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C:\Users\User\Documents\AWC\Mapping\"/>
    </mc:Choice>
  </mc:AlternateContent>
  <xr:revisionPtr revIDLastSave="0" documentId="13_ncr:1_{A02D03A0-6F8A-44DD-A0A8-DC73142CD7CA}" xr6:coauthVersionLast="47" xr6:coauthVersionMax="47" xr10:uidLastSave="{00000000-0000-0000-0000-000000000000}"/>
  <bookViews>
    <workbookView xWindow="-120" yWindow="-120" windowWidth="29040" windowHeight="15720" tabRatio="599" xr2:uid="{00000000-000D-0000-FFFF-FFFF00000000}"/>
  </bookViews>
  <sheets>
    <sheet name="BEMSdar" sheetId="19" r:id="rId1"/>
    <sheet name="B1&amp;B2 UNSCHEDULED" sheetId="58" r:id="rId2"/>
    <sheet name="B3-SCHEDULED" sheetId="61" r:id="rId3"/>
    <sheet name="B4-UPTIME" sheetId="62" r:id="rId4"/>
    <sheet name="B5-T&amp;C" sheetId="53" r:id="rId5"/>
    <sheet name="KDI" sheetId="1" r:id="rId6"/>
    <sheet name="Public Holiday" sheetId="7" r:id="rId7"/>
    <sheet name="Sheet1" sheetId="9" state="hidden"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05_04_2009" localSheetId="2">#REF!</definedName>
    <definedName name="_05_04_2009" localSheetId="3">#REF!</definedName>
    <definedName name="_05_04_2009" localSheetId="4">#REF!</definedName>
    <definedName name="_05_04_2009" localSheetId="6">#REF!</definedName>
    <definedName name="_05_04_2009">#REF!</definedName>
    <definedName name="_xlnm._FilterDatabase" localSheetId="1" hidden="1">'B1&amp;B2 UNSCHEDULED'!$A$21:$W$123</definedName>
    <definedName name="_xlnm._FilterDatabase" localSheetId="2" hidden="1">'B3-SCHEDULED'!$A$19:$P$313</definedName>
    <definedName name="_xlnm._FilterDatabase" localSheetId="3" hidden="1">'B4-UPTIME'!$18:$133</definedName>
    <definedName name="_xlnm._FilterDatabase" localSheetId="7" hidden="1">Sheet1!$A$3:$G$84</definedName>
    <definedName name="a" localSheetId="2">'[1]Term Outstanding Payment'!#REF!</definedName>
    <definedName name="a" localSheetId="3">'[1]Term Outstanding Payment'!#REF!</definedName>
    <definedName name="a" localSheetId="4">'[1]Term Outstanding Payment'!#REF!</definedName>
    <definedName name="a" localSheetId="6">'[1]Term Outstanding Payment'!#REF!</definedName>
    <definedName name="a">'[1]Term Outstanding Payment'!#REF!</definedName>
    <definedName name="AA" localSheetId="2">#REF!</definedName>
    <definedName name="AA" localSheetId="3">#REF!</definedName>
    <definedName name="AA" localSheetId="4">#REF!</definedName>
    <definedName name="AA" localSheetId="6">#REF!</definedName>
    <definedName name="AA">#REF!</definedName>
    <definedName name="aaa" localSheetId="2">#REF!</definedName>
    <definedName name="aaa" localSheetId="3">#REF!</definedName>
    <definedName name="aaa" localSheetId="4">#REF!</definedName>
    <definedName name="aaa" localSheetId="6">#REF!</definedName>
    <definedName name="aaa">#REF!</definedName>
    <definedName name="aaaaa" localSheetId="2">#REF!</definedName>
    <definedName name="aaaaa" localSheetId="3">#REF!</definedName>
    <definedName name="aaaaa" localSheetId="4">#REF!</definedName>
    <definedName name="aaaaa" localSheetId="6">#REF!</definedName>
    <definedName name="aaaaa">#REF!</definedName>
    <definedName name="aaaaaaaaaa" localSheetId="2">#REF!</definedName>
    <definedName name="aaaaaaaaaa" localSheetId="4">#REF!</definedName>
    <definedName name="aaaaaaaaaa" localSheetId="6">#REF!</definedName>
    <definedName name="aaaaaaaaaa">#REF!</definedName>
    <definedName name="AAAAAAAAAAAAA" localSheetId="2">#REF!</definedName>
    <definedName name="AAAAAAAAAAAAA" localSheetId="4">#REF!</definedName>
    <definedName name="AAAAAAAAAAAAA" localSheetId="6">#REF!</definedName>
    <definedName name="AAAAAAAAAAAAA">#REF!</definedName>
    <definedName name="AAAAAAAAAAAAAAAAAA" localSheetId="2">#REF!</definedName>
    <definedName name="AAAAAAAAAAAAAAAAAA" localSheetId="4">#REF!</definedName>
    <definedName name="AAAAAAAAAAAAAAAAAA" localSheetId="6">#REF!</definedName>
    <definedName name="AAAAAAAAAAAAAAAAAA">#REF!</definedName>
    <definedName name="AAAAAAAAAAAAAAAAAAAAA" localSheetId="2">#REF!</definedName>
    <definedName name="AAAAAAAAAAAAAAAAAAAAA" localSheetId="4">#REF!</definedName>
    <definedName name="AAAAAAAAAAAAAAAAAAAAA" localSheetId="6">#REF!</definedName>
    <definedName name="AAAAAAAAAAAAAAAAAAAAA">#REF!</definedName>
    <definedName name="AAAAAAAAAAAAAAAAAAAAAAAAAAA" localSheetId="2">#REF!</definedName>
    <definedName name="AAAAAAAAAAAAAAAAAAAAAAAAAAA" localSheetId="4">#REF!</definedName>
    <definedName name="AAAAAAAAAAAAAAAAAAAAAAAAAAA" localSheetId="6">#REF!</definedName>
    <definedName name="AAAAAAAAAAAAAAAAAAAAAAAAAAA">#REF!</definedName>
    <definedName name="AAAAAAAAAAAAAAAAAAAAAAAAAAAA" localSheetId="2">#REF!</definedName>
    <definedName name="AAAAAAAAAAAAAAAAAAAAAAAAAAAA" localSheetId="4">#REF!</definedName>
    <definedName name="AAAAAAAAAAAAAAAAAAAAAAAAAAAA" localSheetId="6">#REF!</definedName>
    <definedName name="AAAAAAAAAAAAAAAAAAAAAAAAAAAA">#REF!</definedName>
    <definedName name="AAAAAAAAAAAAAAAAAAAAAAAAAAAAAA" localSheetId="2">#REF!</definedName>
    <definedName name="AAAAAAAAAAAAAAAAAAAAAAAAAAAAAA" localSheetId="4">#REF!</definedName>
    <definedName name="AAAAAAAAAAAAAAAAAAAAAAAAAAAAAA" localSheetId="6">#REF!</definedName>
    <definedName name="AAAAAAAAAAAAAAAAAAAAAAAAAAAAAA">#REF!</definedName>
    <definedName name="AAAAAAAAAAAAAAAAAAAAAAAAAAAAAAA" localSheetId="2">#REF!</definedName>
    <definedName name="AAAAAAAAAAAAAAAAAAAAAAAAAAAAAAA" localSheetId="4">#REF!</definedName>
    <definedName name="AAAAAAAAAAAAAAAAAAAAAAAAAAAAAAA" localSheetId="6">#REF!</definedName>
    <definedName name="AAAAAAAAAAAAAAAAAAAAAAAAAAAAAAA">#REF!</definedName>
    <definedName name="AAAAAAAAAAAAAAAAAAAAAAAAAAAAAAAAA" localSheetId="2">#REF!</definedName>
    <definedName name="AAAAAAAAAAAAAAAAAAAAAAAAAAAAAAAAA" localSheetId="4">#REF!</definedName>
    <definedName name="AAAAAAAAAAAAAAAAAAAAAAAAAAAAAAAAA" localSheetId="6">#REF!</definedName>
    <definedName name="AAAAAAAAAAAAAAAAAAAAAAAAAAAAAAAAA">#REF!</definedName>
    <definedName name="AAAAAAAAAAAAAAAAAAAAAAAAAAAAAAAAAA" localSheetId="2">#REF!</definedName>
    <definedName name="AAAAAAAAAAAAAAAAAAAAAAAAAAAAAAAAAA" localSheetId="4">#REF!</definedName>
    <definedName name="AAAAAAAAAAAAAAAAAAAAAAAAAAAAAAAAAA" localSheetId="6">#REF!</definedName>
    <definedName name="AAAAAAAAAAAAAAAAAAAAAAAAAAAAAAAAAA">#REF!</definedName>
    <definedName name="ab" localSheetId="2">'[2]Table A.1'!#REF!</definedName>
    <definedName name="ab" localSheetId="4">'[2]Table A.1'!#REF!</definedName>
    <definedName name="ab" localSheetId="6">'[2]Table A.1'!#REF!</definedName>
    <definedName name="ab">'[2]Table A.1'!#REF!</definedName>
    <definedName name="ac" localSheetId="2">'[2]Table A.1'!#REF!</definedName>
    <definedName name="ac" localSheetId="4">'[2]Table A.1'!#REF!</definedName>
    <definedName name="ac" localSheetId="6">'[2]Table A.1'!#REF!</definedName>
    <definedName name="ac">'[2]Table A.1'!#REF!</definedName>
    <definedName name="ACHGYJF" localSheetId="2">#REF!</definedName>
    <definedName name="ACHGYJF" localSheetId="3">#REF!</definedName>
    <definedName name="ACHGYJF" localSheetId="4">#REF!</definedName>
    <definedName name="ACHGYJF" localSheetId="6">#REF!</definedName>
    <definedName name="ACHGYJF">#REF!</definedName>
    <definedName name="ad" localSheetId="2">'[2]Table A.1'!#REF!</definedName>
    <definedName name="ad" localSheetId="3">'[2]Table A.1'!#REF!</definedName>
    <definedName name="ad" localSheetId="4">'[2]Table A.1'!#REF!</definedName>
    <definedName name="ad" localSheetId="6">'[2]Table A.1'!#REF!</definedName>
    <definedName name="ad">'[2]Table A.1'!#REF!</definedName>
    <definedName name="ae" localSheetId="2">'[2]Table A.1'!#REF!</definedName>
    <definedName name="ae" localSheetId="3">'[2]Table A.1'!#REF!</definedName>
    <definedName name="ae" localSheetId="4">'[2]Table A.1'!#REF!</definedName>
    <definedName name="ae" localSheetId="6">'[2]Table A.1'!#REF!</definedName>
    <definedName name="ae">'[2]Table A.1'!#REF!</definedName>
    <definedName name="af" localSheetId="2">'[2]Table A.1'!#REF!</definedName>
    <definedName name="af" localSheetId="4">'[2]Table A.1'!#REF!</definedName>
    <definedName name="af" localSheetId="6">'[2]Table A.1'!#REF!</definedName>
    <definedName name="af">'[2]Table A.1'!#REF!</definedName>
    <definedName name="AKHIR" localSheetId="1">'B1&amp;B2 UNSCHEDULED'!$M$8</definedName>
    <definedName name="AKHIR" localSheetId="2">#REF!</definedName>
    <definedName name="AKHIR" localSheetId="3">'[3]B1&amp; B2 UNSCHEDULED'!$L$8</definedName>
    <definedName name="AKHIR">#REF!</definedName>
    <definedName name="all" localSheetId="2">#REF!</definedName>
    <definedName name="all" localSheetId="3">#REF!</definedName>
    <definedName name="all" localSheetId="4">#REF!</definedName>
    <definedName name="all" localSheetId="6">#REF!</definedName>
    <definedName name="all">#REF!</definedName>
    <definedName name="AV" localSheetId="2">#REF!</definedName>
    <definedName name="AV" localSheetId="3">#REF!</definedName>
    <definedName name="AV" localSheetId="4">#REF!</definedName>
    <definedName name="AV" localSheetId="6">#REF!</definedName>
    <definedName name="AV">#REF!</definedName>
    <definedName name="AWAL" localSheetId="1">'B1&amp;B2 UNSCHEDULED'!$M$6</definedName>
    <definedName name="AWAL" localSheetId="2">#REF!</definedName>
    <definedName name="AWAL" localSheetId="3">#REF!</definedName>
    <definedName name="AWAL">#REF!</definedName>
    <definedName name="BBBBBBBBBBBB" localSheetId="2">#REF!</definedName>
    <definedName name="BBBBBBBBBBBB" localSheetId="4">#REF!</definedName>
    <definedName name="BBBBBBBBBBBB" localSheetId="6">#REF!</definedName>
    <definedName name="BBBBBBBBBBBB">#REF!</definedName>
    <definedName name="BBBBBBBBBBBBB" localSheetId="2">#REF!</definedName>
    <definedName name="BBBBBBBBBBBBB" localSheetId="4">#REF!</definedName>
    <definedName name="BBBBBBBBBBBBB" localSheetId="6">#REF!</definedName>
    <definedName name="BBBBBBBBBBBBB">#REF!</definedName>
    <definedName name="BBBBBBBBBBBBBB" localSheetId="2">#REF!</definedName>
    <definedName name="BBBBBBBBBBBBBB" localSheetId="4">#REF!</definedName>
    <definedName name="BBBBBBBBBBBBBB" localSheetId="6">#REF!</definedName>
    <definedName name="BBBBBBBBBBBBBB">#REF!</definedName>
    <definedName name="CAAAE" localSheetId="2">#REF!</definedName>
    <definedName name="CAAAE" localSheetId="4">#REF!</definedName>
    <definedName name="CAAAE" localSheetId="6">#REF!</definedName>
    <definedName name="CAAAE">#REF!</definedName>
    <definedName name="Ce" localSheetId="2">#REF!</definedName>
    <definedName name="Ce" localSheetId="4">#REF!</definedName>
    <definedName name="Ce" localSheetId="6">#REF!</definedName>
    <definedName name="Ce">#REF!</definedName>
    <definedName name="CFDSSSSS" localSheetId="2">#REF!</definedName>
    <definedName name="CFDSSSSS" localSheetId="4">#REF!</definedName>
    <definedName name="CFDSSSSS" localSheetId="6">#REF!</definedName>
    <definedName name="CFDSSSSS">#REF!</definedName>
    <definedName name="CFE" localSheetId="2">#REF!</definedName>
    <definedName name="CFE" localSheetId="4">#REF!</definedName>
    <definedName name="CFE" localSheetId="6">#REF!</definedName>
    <definedName name="CFE">#REF!</definedName>
    <definedName name="CFFFFFDS" localSheetId="2">'[4]Term Outstanding Payment'!#REF!</definedName>
    <definedName name="CFFFFFDS" localSheetId="4">'[4]Term Outstanding Payment'!#REF!</definedName>
    <definedName name="CFFFFFDS" localSheetId="6">'[4]Term Outstanding Payment'!#REF!</definedName>
    <definedName name="CFFFFFDS">'[4]Term Outstanding Payment'!#REF!</definedName>
    <definedName name="CRSFD" localSheetId="2">#REF!</definedName>
    <definedName name="CRSFD" localSheetId="3">#REF!</definedName>
    <definedName name="CRSFD" localSheetId="4">#REF!</definedName>
    <definedName name="CRSFD" localSheetId="6">#REF!</definedName>
    <definedName name="CRSFD">#REF!</definedName>
    <definedName name="CTRGSFD" localSheetId="2">#REF!</definedName>
    <definedName name="CTRGSFD" localSheetId="3">#REF!</definedName>
    <definedName name="CTRGSFD" localSheetId="4">#REF!</definedName>
    <definedName name="CTRGSFD" localSheetId="6">#REF!</definedName>
    <definedName name="CTRGSFD">#REF!</definedName>
    <definedName name="cuti">'Public Holiday'!$A$2:$A$47</definedName>
    <definedName name="DASDSAC" localSheetId="2">#REF!</definedName>
    <definedName name="DASDSAC" localSheetId="3">#REF!</definedName>
    <definedName name="DASDSAC" localSheetId="4">#REF!</definedName>
    <definedName name="DASDSAC" localSheetId="6">#REF!</definedName>
    <definedName name="DASDSAC">#REF!</definedName>
    <definedName name="date">'[5]Public Holiday'!$A$3:$A$44</definedName>
    <definedName name="dcfd" localSheetId="2">#REF!</definedName>
    <definedName name="dcfd" localSheetId="3">#REF!</definedName>
    <definedName name="dcfd" localSheetId="4">#REF!</definedName>
    <definedName name="dcfd" localSheetId="6">#REF!</definedName>
    <definedName name="dcfd">#REF!</definedName>
    <definedName name="DDDDDDDDDDD" localSheetId="2">#REF!</definedName>
    <definedName name="DDDDDDDDDDD" localSheetId="3">#REF!</definedName>
    <definedName name="DDDDDDDDDDD" localSheetId="4">#REF!</definedName>
    <definedName name="DDDDDDDDDDD" localSheetId="6">#REF!</definedName>
    <definedName name="DDDDDDDDDDD">#REF!</definedName>
    <definedName name="DDDDDDDDDDDDD" localSheetId="2">#REF!</definedName>
    <definedName name="DDDDDDDDDDDDD" localSheetId="3">#REF!</definedName>
    <definedName name="DDDDDDDDDDDDD" localSheetId="4">#REF!</definedName>
    <definedName name="DDDDDDDDDDDDD" localSheetId="6">#REF!</definedName>
    <definedName name="DDDDDDDDDDDDD">#REF!</definedName>
    <definedName name="DFBNG" localSheetId="2">#REF!</definedName>
    <definedName name="DFBNG" localSheetId="4">#REF!</definedName>
    <definedName name="DFBNG" localSheetId="6">#REF!</definedName>
    <definedName name="DFBNG">#REF!</definedName>
    <definedName name="dfd" localSheetId="2">#REF!</definedName>
    <definedName name="dfd" localSheetId="4">#REF!</definedName>
    <definedName name="dfd" localSheetId="6">#REF!</definedName>
    <definedName name="dfd">#REF!</definedName>
    <definedName name="dfhbcv" localSheetId="2">#REF!</definedName>
    <definedName name="dfhbcv" localSheetId="4">#REF!</definedName>
    <definedName name="dfhbcv" localSheetId="6">#REF!</definedName>
    <definedName name="dfhbcv">#REF!</definedName>
    <definedName name="DFHGB" localSheetId="2">#REF!</definedName>
    <definedName name="DFHGB" localSheetId="4">#REF!</definedName>
    <definedName name="DFHGB" localSheetId="6">#REF!</definedName>
    <definedName name="DFHGB">#REF!</definedName>
    <definedName name="dfssa" localSheetId="2">#REF!</definedName>
    <definedName name="dfssa" localSheetId="4">#REF!</definedName>
    <definedName name="dfssa" localSheetId="6">#REF!</definedName>
    <definedName name="dfssa">#REF!</definedName>
    <definedName name="dggggggggggggg" localSheetId="2">#REF!</definedName>
    <definedName name="dggggggggggggg" localSheetId="4">#REF!</definedName>
    <definedName name="dggggggggggggg" localSheetId="6">#REF!</definedName>
    <definedName name="dggggggggggggg">#REF!</definedName>
    <definedName name="dsgsf" localSheetId="2">#REF!</definedName>
    <definedName name="dsgsf" localSheetId="4">#REF!</definedName>
    <definedName name="dsgsf" localSheetId="6">#REF!</definedName>
    <definedName name="dsgsf">#REF!</definedName>
    <definedName name="DSSSSSSSSSSSSSSSSSF" localSheetId="2">#REF!</definedName>
    <definedName name="DSSSSSSSSSSSSSSSSSF" localSheetId="4">#REF!</definedName>
    <definedName name="DSSSSSSSSSSSSSSSSSF" localSheetId="6">#REF!</definedName>
    <definedName name="DSSSSSSSSSSSSSSSSSF">#REF!</definedName>
    <definedName name="EACFE" localSheetId="2">#REF!</definedName>
    <definedName name="EACFE" localSheetId="4">#REF!</definedName>
    <definedName name="EACFE" localSheetId="6">#REF!</definedName>
    <definedName name="EACFE">#REF!</definedName>
    <definedName name="eec" localSheetId="2">#REF!</definedName>
    <definedName name="eec" localSheetId="4">#REF!</definedName>
    <definedName name="eec" localSheetId="6">#REF!</definedName>
    <definedName name="eec">#REF!</definedName>
    <definedName name="EERC" localSheetId="2">#REF!</definedName>
    <definedName name="EERC" localSheetId="4">#REF!</definedName>
    <definedName name="EERC" localSheetId="6">#REF!</definedName>
    <definedName name="EERC">#REF!</definedName>
    <definedName name="EWA" localSheetId="2">#REF!</definedName>
    <definedName name="EWA" localSheetId="4">#REF!</definedName>
    <definedName name="EWA" localSheetId="6">#REF!</definedName>
    <definedName name="EWA">#REF!</definedName>
    <definedName name="EWEC" localSheetId="2">#REF!</definedName>
    <definedName name="EWEC" localSheetId="4">#REF!</definedName>
    <definedName name="EWEC" localSheetId="6">#REF!</definedName>
    <definedName name="EWEC">#REF!</definedName>
    <definedName name="ewtwet" localSheetId="2">[6]Hidden!#REF!</definedName>
    <definedName name="ewtwet" localSheetId="4">[6]Hidden!#REF!</definedName>
    <definedName name="ewtwet" localSheetId="6">[6]Hidden!#REF!</definedName>
    <definedName name="ewtwet">[6]Hidden!#REF!</definedName>
    <definedName name="excel" localSheetId="2">#REF!</definedName>
    <definedName name="excel" localSheetId="3">#REF!</definedName>
    <definedName name="excel" localSheetId="4">#REF!</definedName>
    <definedName name="excel" localSheetId="6">#REF!</definedName>
    <definedName name="excel">#REF!</definedName>
    <definedName name="Excel_BuiltIn__FilterDatabase_2" localSheetId="2">#REF!</definedName>
    <definedName name="Excel_BuiltIn__FilterDatabase_2" localSheetId="3">#REF!</definedName>
    <definedName name="Excel_BuiltIn__FilterDatabase_2" localSheetId="4">#REF!</definedName>
    <definedName name="Excel_BuiltIn__FilterDatabase_2" localSheetId="6">#REF!</definedName>
    <definedName name="Excel_BuiltIn__FilterDatabase_2">#REF!</definedName>
    <definedName name="Excel_BuiltIn__FilterDatabase_4" localSheetId="2">#REF!</definedName>
    <definedName name="Excel_BuiltIn__FilterDatabase_4" localSheetId="3">#REF!</definedName>
    <definedName name="Excel_BuiltIn__FilterDatabase_4" localSheetId="4">#REF!</definedName>
    <definedName name="Excel_BuiltIn__FilterDatabase_4" localSheetId="6">#REF!</definedName>
    <definedName name="Excel_BuiltIn__FilterDatabase_4">#REF!</definedName>
    <definedName name="Excel_BuiltIn__FilterDatabase_5" localSheetId="2">#REF!</definedName>
    <definedName name="Excel_BuiltIn__FilterDatabase_5" localSheetId="4">#REF!</definedName>
    <definedName name="Excel_BuiltIn__FilterDatabase_5" localSheetId="6">#REF!</definedName>
    <definedName name="Excel_BuiltIn__FilterDatabase_5">#REF!</definedName>
    <definedName name="Excel_BuiltIn__FilterDatabase_8" localSheetId="2">#REF!</definedName>
    <definedName name="Excel_BuiltIn__FilterDatabase_8" localSheetId="4">#REF!</definedName>
    <definedName name="Excel_BuiltIn__FilterDatabase_8" localSheetId="6">#REF!</definedName>
    <definedName name="Excel_BuiltIn__FilterDatabase_8">#REF!</definedName>
    <definedName name="Excel_BuiltIn_Print_Area_1" localSheetId="2">#REF!</definedName>
    <definedName name="Excel_BuiltIn_Print_Area_1" localSheetId="4">#REF!</definedName>
    <definedName name="Excel_BuiltIn_Print_Area_1" localSheetId="6">#REF!</definedName>
    <definedName name="Excel_BuiltIn_Print_Area_1">#REF!</definedName>
    <definedName name="Excel_BuiltIn_Print_Area_1_1" localSheetId="2">#REF!</definedName>
    <definedName name="Excel_BuiltIn_Print_Area_1_1" localSheetId="4">#REF!</definedName>
    <definedName name="Excel_BuiltIn_Print_Area_1_1" localSheetId="6">#REF!</definedName>
    <definedName name="Excel_BuiltIn_Print_Area_1_1">#REF!</definedName>
    <definedName name="Excel_BuiltIn_Print_Area_10_1" localSheetId="2">#REF!</definedName>
    <definedName name="Excel_BuiltIn_Print_Area_10_1" localSheetId="4">#REF!</definedName>
    <definedName name="Excel_BuiltIn_Print_Area_10_1" localSheetId="6">#REF!</definedName>
    <definedName name="Excel_BuiltIn_Print_Area_10_1">#REF!</definedName>
    <definedName name="Excel_BuiltIn_Print_Area_3_1" localSheetId="2">#REF!</definedName>
    <definedName name="Excel_BuiltIn_Print_Area_3_1" localSheetId="4">#REF!</definedName>
    <definedName name="Excel_BuiltIn_Print_Area_3_1" localSheetId="6">#REF!</definedName>
    <definedName name="Excel_BuiltIn_Print_Area_3_1">#REF!</definedName>
    <definedName name="Excel_BuiltIn_Print_Area_3_1_1" localSheetId="2">#REF!</definedName>
    <definedName name="Excel_BuiltIn_Print_Area_3_1_1" localSheetId="4">#REF!</definedName>
    <definedName name="Excel_BuiltIn_Print_Area_3_1_1" localSheetId="6">#REF!</definedName>
    <definedName name="Excel_BuiltIn_Print_Area_3_1_1">#REF!</definedName>
    <definedName name="Excel_BuiltIn_Print_Area_3_1_1_1" localSheetId="2">#REF!</definedName>
    <definedName name="Excel_BuiltIn_Print_Area_3_1_1_1" localSheetId="4">#REF!</definedName>
    <definedName name="Excel_BuiltIn_Print_Area_3_1_1_1" localSheetId="6">#REF!</definedName>
    <definedName name="Excel_BuiltIn_Print_Area_3_1_1_1">#REF!</definedName>
    <definedName name="Excel_BuiltIn_Print_Area_6" localSheetId="2">'[4]Term Outstanding Payment'!#REF!</definedName>
    <definedName name="Excel_BuiltIn_Print_Area_6" localSheetId="4">'[4]Term Outstanding Payment'!#REF!</definedName>
    <definedName name="Excel_BuiltIn_Print_Area_6" localSheetId="6">'[4]Term Outstanding Payment'!#REF!</definedName>
    <definedName name="Excel_BuiltIn_Print_Area_6">'[4]Term Outstanding Payment'!#REF!</definedName>
    <definedName name="Excel_BuiltIn_Print_Area_8_1" localSheetId="2">#REF!</definedName>
    <definedName name="Excel_BuiltIn_Print_Area_8_1" localSheetId="3">#REF!</definedName>
    <definedName name="Excel_BuiltIn_Print_Area_8_1" localSheetId="4">#REF!</definedName>
    <definedName name="Excel_BuiltIn_Print_Area_8_1" localSheetId="6">#REF!</definedName>
    <definedName name="Excel_BuiltIn_Print_Area_8_1">#REF!</definedName>
    <definedName name="Excel_BuiltIn_Print_Area_9_1" localSheetId="2">#REF!</definedName>
    <definedName name="Excel_BuiltIn_Print_Area_9_1" localSheetId="3">#REF!</definedName>
    <definedName name="Excel_BuiltIn_Print_Area_9_1" localSheetId="4">#REF!</definedName>
    <definedName name="Excel_BuiltIn_Print_Area_9_1" localSheetId="6">#REF!</definedName>
    <definedName name="Excel_BuiltIn_Print_Area_9_1">#REF!</definedName>
    <definedName name="Excel_BuiltIn_Print_Area_9_1_1" localSheetId="2">#REF!</definedName>
    <definedName name="Excel_BuiltIn_Print_Area_9_1_1" localSheetId="3">#REF!</definedName>
    <definedName name="Excel_BuiltIn_Print_Area_9_1_1" localSheetId="4">#REF!</definedName>
    <definedName name="Excel_BuiltIn_Print_Area_9_1_1" localSheetId="6">#REF!</definedName>
    <definedName name="Excel_BuiltIn_Print_Area_9_1_1">#REF!</definedName>
    <definedName name="Excel_BuiltIn_Print_JMN_25_9_13" localSheetId="2">#REF!</definedName>
    <definedName name="Excel_BuiltIn_Print_JMN_25_9_13" localSheetId="4">#REF!</definedName>
    <definedName name="Excel_BuiltIn_Print_JMN_25_9_13" localSheetId="6">#REF!</definedName>
    <definedName name="Excel_BuiltIn_Print_JMN_25_9_13">#REF!</definedName>
    <definedName name="Excel_BuiltIn_Print_Titles_1_1" localSheetId="2">#REF!</definedName>
    <definedName name="Excel_BuiltIn_Print_Titles_1_1" localSheetId="4">#REF!</definedName>
    <definedName name="Excel_BuiltIn_Print_Titles_1_1" localSheetId="6">#REF!</definedName>
    <definedName name="Excel_BuiltIn_Print_Titles_1_1">#REF!</definedName>
    <definedName name="Excel_BuiltIn_Print_Titles_8" localSheetId="2">#REF!</definedName>
    <definedName name="Excel_BuiltIn_Print_Titles_8" localSheetId="4">#REF!</definedName>
    <definedName name="Excel_BuiltIn_Print_Titles_8" localSheetId="6">#REF!</definedName>
    <definedName name="Excel_BuiltIn_Print_Titles_8">#REF!</definedName>
    <definedName name="Excel_BuiltIn_Print_Titles_9" localSheetId="2">#REF!</definedName>
    <definedName name="Excel_BuiltIn_Print_Titles_9" localSheetId="4">#REF!</definedName>
    <definedName name="Excel_BuiltIn_Print_Titles_9" localSheetId="6">#REF!</definedName>
    <definedName name="Excel_BuiltIn_Print_Titles_9">#REF!</definedName>
    <definedName name="fasdfasfasfsaf" localSheetId="2">#REF!</definedName>
    <definedName name="fasdfasfasfsaf" localSheetId="4">#REF!</definedName>
    <definedName name="fasdfasfasfsaf" localSheetId="6">#REF!</definedName>
    <definedName name="fasdfasfasfsaf">#REF!</definedName>
    <definedName name="FCXXF" localSheetId="2">#REF!</definedName>
    <definedName name="FCXXF" localSheetId="4">#REF!</definedName>
    <definedName name="FCXXF" localSheetId="6">#REF!</definedName>
    <definedName name="FCXXF">#REF!</definedName>
    <definedName name="fdgfdgdfgdg" localSheetId="2">#REF!</definedName>
    <definedName name="fdgfdgdfgdg" localSheetId="4">#REF!</definedName>
    <definedName name="fdgfdgdfgdg" localSheetId="6">#REF!</definedName>
    <definedName name="fdgfdgdfgdg">#REF!</definedName>
    <definedName name="FFFFFFFFFFFFFFFFF" localSheetId="2">#REF!</definedName>
    <definedName name="FFFFFFFFFFFFFFFFF" localSheetId="4">#REF!</definedName>
    <definedName name="FFFFFFFFFFFFFFFFF" localSheetId="6">#REF!</definedName>
    <definedName name="FFFFFFFFFFFFFFFFF">#REF!</definedName>
    <definedName name="ffgdsdfg" localSheetId="2">#REF!</definedName>
    <definedName name="ffgdsdfg" localSheetId="4">#REF!</definedName>
    <definedName name="ffgdsdfg" localSheetId="6">#REF!</definedName>
    <definedName name="ffgdsdfg">#REF!</definedName>
    <definedName name="GAAAAAAAFC" localSheetId="2">#REF!</definedName>
    <definedName name="GAAAAAAAFC" localSheetId="4">#REF!</definedName>
    <definedName name="GAAAAAAAFC" localSheetId="6">#REF!</definedName>
    <definedName name="GAAAAAAAFC">#REF!</definedName>
    <definedName name="GDRGT" localSheetId="2">#REF!</definedName>
    <definedName name="GDRGT" localSheetId="4">#REF!</definedName>
    <definedName name="GDRGT" localSheetId="6">#REF!</definedName>
    <definedName name="GDRGT">#REF!</definedName>
    <definedName name="GDSF" localSheetId="2">#REF!</definedName>
    <definedName name="GDSF" localSheetId="4">#REF!</definedName>
    <definedName name="GDSF" localSheetId="6">#REF!</definedName>
    <definedName name="GDSF">#REF!</definedName>
    <definedName name="GFHDNHZ" localSheetId="2">#REF!</definedName>
    <definedName name="GFHDNHZ" localSheetId="4">#REF!</definedName>
    <definedName name="GFHDNHZ" localSheetId="6">#REF!</definedName>
    <definedName name="GFHDNHZ">#REF!</definedName>
    <definedName name="GFNBC" localSheetId="2">#REF!</definedName>
    <definedName name="GFNBC" localSheetId="4">#REF!</definedName>
    <definedName name="GFNBC" localSheetId="6">#REF!</definedName>
    <definedName name="GFNBC">#REF!</definedName>
    <definedName name="gfre" localSheetId="2">#REF!</definedName>
    <definedName name="gfre" localSheetId="4">#REF!</definedName>
    <definedName name="gfre" localSheetId="6">#REF!</definedName>
    <definedName name="gfre">#REF!</definedName>
    <definedName name="ggggg" localSheetId="2">#REF!</definedName>
    <definedName name="ggggg" localSheetId="4">#REF!</definedName>
    <definedName name="ggggg" localSheetId="6">#REF!</definedName>
    <definedName name="ggggg">#REF!</definedName>
    <definedName name="gggggggggggggggggg" localSheetId="2">#REF!</definedName>
    <definedName name="gggggggggggggggggg" localSheetId="4">#REF!</definedName>
    <definedName name="gggggggggggggggggg" localSheetId="6">#REF!</definedName>
    <definedName name="gggggggggggggggggg">#REF!</definedName>
    <definedName name="GGGGGGGGGGGGGGGGGGGGG" localSheetId="2">#REF!</definedName>
    <definedName name="GGGGGGGGGGGGGGGGGGGGG" localSheetId="4">#REF!</definedName>
    <definedName name="GGGGGGGGGGGGGGGGGGGGG" localSheetId="6">#REF!</definedName>
    <definedName name="GGGGGGGGGGGGGGGGGGGGG">#REF!</definedName>
    <definedName name="GGGZDG" localSheetId="2">#REF!</definedName>
    <definedName name="GGGZDG" localSheetId="4">#REF!</definedName>
    <definedName name="GGGZDG" localSheetId="6">#REF!</definedName>
    <definedName name="GGGZDG">#REF!</definedName>
    <definedName name="GHNVGC" localSheetId="2">#REF!</definedName>
    <definedName name="GHNVGC" localSheetId="4">#REF!</definedName>
    <definedName name="GHNVGC" localSheetId="6">#REF!</definedName>
    <definedName name="GHNVGC">#REF!</definedName>
    <definedName name="GRFCEZSX" localSheetId="2">#REF!</definedName>
    <definedName name="GRFCEZSX" localSheetId="4">#REF!</definedName>
    <definedName name="GRFCEZSX" localSheetId="6">#REF!</definedName>
    <definedName name="GRFCEZSX">#REF!</definedName>
    <definedName name="gsdfgsdgsds" localSheetId="2">#REF!</definedName>
    <definedName name="gsdfgsdgsds" localSheetId="4">#REF!</definedName>
    <definedName name="gsdfgsdgsds" localSheetId="6">#REF!</definedName>
    <definedName name="gsdfgsdgsds">#REF!</definedName>
    <definedName name="GZDFA" localSheetId="2">#REF!</definedName>
    <definedName name="GZDFA" localSheetId="4">#REF!</definedName>
    <definedName name="GZDFA" localSheetId="6">#REF!</definedName>
    <definedName name="GZDFA">#REF!</definedName>
    <definedName name="hdfhdfhdfhf" localSheetId="2">[6]Hidden!#REF!</definedName>
    <definedName name="hdfhdfhdfhf" localSheetId="4">[6]Hidden!#REF!</definedName>
    <definedName name="hdfhdfhdfhf" localSheetId="6">[6]Hidden!#REF!</definedName>
    <definedName name="hdfhdfhdfhf">[6]Hidden!#REF!</definedName>
    <definedName name="HSA" localSheetId="2">#REF!</definedName>
    <definedName name="HSA" localSheetId="3">#REF!</definedName>
    <definedName name="HSA" localSheetId="4">#REF!</definedName>
    <definedName name="HSA" localSheetId="6">#REF!</definedName>
    <definedName name="HSA">#REF!</definedName>
    <definedName name="hujung" localSheetId="1">'B1&amp;B2 UNSCHEDULED'!$P$8</definedName>
    <definedName name="hujung" localSheetId="2">#REF!</definedName>
    <definedName name="hujung" localSheetId="3">#REF!</definedName>
    <definedName name="hujung">#REF!</definedName>
    <definedName name="I" localSheetId="2">#REF!</definedName>
    <definedName name="I" localSheetId="3">#REF!</definedName>
    <definedName name="I" localSheetId="4">#REF!</definedName>
    <definedName name="I" localSheetId="6">#REF!</definedName>
    <definedName name="I">#REF!</definedName>
    <definedName name="ILA" localSheetId="2">#REF!</definedName>
    <definedName name="ILA" localSheetId="4">#REF!</definedName>
    <definedName name="ILA" localSheetId="6">#REF!</definedName>
    <definedName name="ILA">#REF!</definedName>
    <definedName name="kkk" localSheetId="2">#REF!</definedName>
    <definedName name="kkk" localSheetId="4">#REF!</definedName>
    <definedName name="kkk" localSheetId="6">#REF!</definedName>
    <definedName name="kkk">#REF!</definedName>
    <definedName name="kkkkk" localSheetId="2">#REF!</definedName>
    <definedName name="kkkkk" localSheetId="4">#REF!</definedName>
    <definedName name="kkkkk" localSheetId="6">#REF!</definedName>
    <definedName name="kkkkk">#REF!</definedName>
    <definedName name="LA" localSheetId="2">#REF!</definedName>
    <definedName name="LA" localSheetId="4">#REF!</definedName>
    <definedName name="LA" localSheetId="6">#REF!</definedName>
    <definedName name="LA">#REF!</definedName>
    <definedName name="LALA" localSheetId="2">#REF!</definedName>
    <definedName name="LALA" localSheetId="4">#REF!</definedName>
    <definedName name="LALA" localSheetId="6">#REF!</definedName>
    <definedName name="LALA">#REF!</definedName>
    <definedName name="list" localSheetId="2">#REF!</definedName>
    <definedName name="list" localSheetId="4">#REF!</definedName>
    <definedName name="list" localSheetId="6">#REF!</definedName>
    <definedName name="list">#REF!</definedName>
    <definedName name="ll" localSheetId="2">#REF!</definedName>
    <definedName name="ll" localSheetId="4">#REF!</definedName>
    <definedName name="ll" localSheetId="6">#REF!</definedName>
    <definedName name="ll">#REF!</definedName>
    <definedName name="LLLLL" localSheetId="2">#REF!</definedName>
    <definedName name="LLLLL" localSheetId="4">#REF!</definedName>
    <definedName name="LLLLL" localSheetId="6">#REF!</definedName>
    <definedName name="LLLLL">#REF!</definedName>
    <definedName name="mappingMay" localSheetId="2">#REF!</definedName>
    <definedName name="mappingMay" localSheetId="4">#REF!</definedName>
    <definedName name="mappingMay" localSheetId="6">#REF!</definedName>
    <definedName name="mappingMay">#REF!</definedName>
    <definedName name="mmm" localSheetId="2">[6]Hidden!#REF!</definedName>
    <definedName name="mmm" localSheetId="4">[6]Hidden!#REF!</definedName>
    <definedName name="mmm" localSheetId="6">[6]Hidden!#REF!</definedName>
    <definedName name="mmm">[6]Hidden!#REF!</definedName>
    <definedName name="MMMMMMMMMMMMMM" localSheetId="2">#REF!</definedName>
    <definedName name="MMMMMMMMMMMMMM" localSheetId="3">#REF!</definedName>
    <definedName name="MMMMMMMMMMMMMM" localSheetId="4">#REF!</definedName>
    <definedName name="MMMMMMMMMMMMMM" localSheetId="6">#REF!</definedName>
    <definedName name="MMMMMMMMMMMMMM">#REF!</definedName>
    <definedName name="my_name" localSheetId="2">#REF!</definedName>
    <definedName name="my_name" localSheetId="3">#REF!</definedName>
    <definedName name="my_name" localSheetId="4">#REF!</definedName>
    <definedName name="my_name" localSheetId="6">#REF!</definedName>
    <definedName name="my_name">#REF!</definedName>
    <definedName name="my_name_Ila" localSheetId="2">#REF!</definedName>
    <definedName name="my_name_Ila" localSheetId="3">#REF!</definedName>
    <definedName name="my_name_Ila" localSheetId="4">#REF!</definedName>
    <definedName name="my_name_Ila" localSheetId="6">#REF!</definedName>
    <definedName name="my_name_Ila">#REF!</definedName>
    <definedName name="nnn" localSheetId="2">#REF!</definedName>
    <definedName name="nnn" localSheetId="4">#REF!</definedName>
    <definedName name="nnn" localSheetId="6">#REF!</definedName>
    <definedName name="nnn">#REF!</definedName>
    <definedName name="NNNN" localSheetId="2">#REF!</definedName>
    <definedName name="NNNN" localSheetId="4">#REF!</definedName>
    <definedName name="NNNN" localSheetId="6">#REF!</definedName>
    <definedName name="NNNN">#REF!</definedName>
    <definedName name="NNNNNNNNNNNNNNNN" localSheetId="2">#REF!</definedName>
    <definedName name="NNNNNNNNNNNNNNNN" localSheetId="4">#REF!</definedName>
    <definedName name="NNNNNNNNNNNNNNNN" localSheetId="6">#REF!</definedName>
    <definedName name="NNNNNNNNNNNNNNNN">#REF!</definedName>
    <definedName name="NNNNNNNNNNNNNNNNNNNNNNNNNNNNNNN" localSheetId="2">#REF!</definedName>
    <definedName name="NNNNNNNNNNNNNNNNNNNNNNNNNNNNNNN" localSheetId="4">#REF!</definedName>
    <definedName name="NNNNNNNNNNNNNNNNNNNNNNNNNNNNNNN" localSheetId="6">#REF!</definedName>
    <definedName name="NNNNNNNNNNNNNNNNNNNNNNNNNNNNNNN">#REF!</definedName>
    <definedName name="NNNNNNNNNNNNNNNNNNNNNNNNNNNNNNNNNN" localSheetId="2">#REF!</definedName>
    <definedName name="NNNNNNNNNNNNNNNNNNNNNNNNNNNNNNNNNN" localSheetId="4">#REF!</definedName>
    <definedName name="NNNNNNNNNNNNNNNNNNNNNNNNNNNNNNNNNN" localSheetId="6">#REF!</definedName>
    <definedName name="NNNNNNNNNNNNNNNNNNNNNNNNNNNNNNNNNN">#REF!</definedName>
    <definedName name="NO" localSheetId="2">#REF!</definedName>
    <definedName name="NO" localSheetId="4">#REF!</definedName>
    <definedName name="NO" localSheetId="6">#REF!</definedName>
    <definedName name="NO">#REF!</definedName>
    <definedName name="OLE_LINK2" localSheetId="7">Sheet1!$G$61</definedName>
    <definedName name="OOO" localSheetId="2">#REF!</definedName>
    <definedName name="OOO" localSheetId="4">#REF!</definedName>
    <definedName name="OOO" localSheetId="6">#REF!</definedName>
    <definedName name="OOO">#REF!</definedName>
    <definedName name="OOOOOOOOO" localSheetId="2">#REF!</definedName>
    <definedName name="OOOOOOOOO" localSheetId="4">#REF!</definedName>
    <definedName name="OOOOOOOOO" localSheetId="6">#REF!</definedName>
    <definedName name="OOOOOOOOO">#REF!</definedName>
    <definedName name="PP" localSheetId="2">#REF!</definedName>
    <definedName name="PP" localSheetId="4">#REF!</definedName>
    <definedName name="PP" localSheetId="6">#REF!</definedName>
    <definedName name="PP">#REF!</definedName>
    <definedName name="ppmmay13" localSheetId="2">[6]Hidden!#REF!</definedName>
    <definedName name="ppmmay13" localSheetId="4">[6]Hidden!#REF!</definedName>
    <definedName name="ppmmay13" localSheetId="6">[6]Hidden!#REF!</definedName>
    <definedName name="ppmmay13">[6]Hidden!#REF!</definedName>
    <definedName name="PPP" localSheetId="2">#REF!</definedName>
    <definedName name="PPP" localSheetId="3">#REF!</definedName>
    <definedName name="PPP" localSheetId="4">#REF!</definedName>
    <definedName name="PPP" localSheetId="6">#REF!</definedName>
    <definedName name="PPP">#REF!</definedName>
    <definedName name="PPPPPPP" localSheetId="2">#REF!</definedName>
    <definedName name="PPPPPPP" localSheetId="3">#REF!</definedName>
    <definedName name="PPPPPPP" localSheetId="4">#REF!</definedName>
    <definedName name="PPPPPPP" localSheetId="6">#REF!</definedName>
    <definedName name="PPPPPPP">#REF!</definedName>
    <definedName name="_xlnm.Print_Area" localSheetId="1">'B1&amp;B2 UNSCHEDULED'!$A$1:$V$122</definedName>
    <definedName name="_xlnm.Print_Area" localSheetId="2">'B3-SCHEDULED'!$A$1:$M$313</definedName>
    <definedName name="_xlnm.Print_Area" localSheetId="3">'B4-UPTIME'!$A$1:$AB$54</definedName>
    <definedName name="_xlnm.Print_Area" localSheetId="4">'B5-T&amp;C'!$A$1:$P$24</definedName>
    <definedName name="_xlnm.Print_Area" localSheetId="0">BEMSdar!$A$1:$O$34</definedName>
    <definedName name="_xlnm.Print_Area" localSheetId="5">KDI!$A$1:$I$11</definedName>
    <definedName name="_xlnm.Print_Titles" localSheetId="1">'B1&amp;B2 UNSCHEDULED'!$21:$22</definedName>
    <definedName name="_xlnm.Print_Titles" localSheetId="2">'B3-SCHEDULED'!$19:$20</definedName>
    <definedName name="_xlnm.Print_Titles" localSheetId="3">'B4-UPTIME'!$17:$18</definedName>
    <definedName name="_xlnm.Print_Titles" localSheetId="4">'B5-T&amp;C'!$18:$18</definedName>
    <definedName name="QQQ" localSheetId="2">#REF!</definedName>
    <definedName name="QQQ" localSheetId="3">#REF!</definedName>
    <definedName name="QQQ" localSheetId="4">#REF!</definedName>
    <definedName name="QQQ" localSheetId="6">#REF!</definedName>
    <definedName name="QQQ">#REF!</definedName>
    <definedName name="REEEEEEEW" localSheetId="2">#REF!</definedName>
    <definedName name="REEEEEEEW" localSheetId="4">#REF!</definedName>
    <definedName name="REEEEEEEW" localSheetId="6">#REF!</definedName>
    <definedName name="REEEEEEEW">#REF!</definedName>
    <definedName name="REST" localSheetId="2">#REF!</definedName>
    <definedName name="REST" localSheetId="4">#REF!</definedName>
    <definedName name="REST" localSheetId="6">#REF!</definedName>
    <definedName name="REST">#REF!</definedName>
    <definedName name="rewc" localSheetId="2">#REF!</definedName>
    <definedName name="rewc" localSheetId="4">#REF!</definedName>
    <definedName name="rewc" localSheetId="6">#REF!</definedName>
    <definedName name="rewc">#REF!</definedName>
    <definedName name="rewwrwer" localSheetId="2">[6]Hidden!#REF!</definedName>
    <definedName name="rewwrwer" localSheetId="4">[6]Hidden!#REF!</definedName>
    <definedName name="rewwrwer" localSheetId="6">[6]Hidden!#REF!</definedName>
    <definedName name="rewwrwer">[6]Hidden!#REF!</definedName>
    <definedName name="rfc" localSheetId="2">#REF!</definedName>
    <definedName name="rfc" localSheetId="3">#REF!</definedName>
    <definedName name="rfc" localSheetId="4">#REF!</definedName>
    <definedName name="rfc" localSheetId="6">#REF!</definedName>
    <definedName name="rfc">#REF!</definedName>
    <definedName name="rfdfsd" localSheetId="2">#REF!</definedName>
    <definedName name="rfdfsd" localSheetId="3">#REF!</definedName>
    <definedName name="rfdfsd" localSheetId="4">#REF!</definedName>
    <definedName name="rfdfsd" localSheetId="6">#REF!</definedName>
    <definedName name="rfdfsd">#REF!</definedName>
    <definedName name="RGCCCCCCSX" localSheetId="2">#REF!</definedName>
    <definedName name="RGCCCCCCSX" localSheetId="3">#REF!</definedName>
    <definedName name="RGCCCCCCSX" localSheetId="4">#REF!</definedName>
    <definedName name="RGCCCCCCSX" localSheetId="6">#REF!</definedName>
    <definedName name="RGCCCCCCSX">#REF!</definedName>
    <definedName name="rgfd" localSheetId="2">#REF!</definedName>
    <definedName name="rgfd" localSheetId="4">#REF!</definedName>
    <definedName name="rgfd" localSheetId="6">#REF!</definedName>
    <definedName name="rgfd">#REF!</definedName>
    <definedName name="rrhrdhdr" localSheetId="2">#REF!</definedName>
    <definedName name="rrhrdhdr" localSheetId="4">#REF!</definedName>
    <definedName name="rrhrdhdr" localSheetId="6">#REF!</definedName>
    <definedName name="rrhrdhdr">#REF!</definedName>
    <definedName name="RRRRRRRRRRRRRRRRRRR" localSheetId="2">#REF!</definedName>
    <definedName name="RRRRRRRRRRRRRRRRRRR" localSheetId="4">#REF!</definedName>
    <definedName name="RRRRRRRRRRRRRRRRRRR" localSheetId="6">#REF!</definedName>
    <definedName name="RRRRRRRRRRRRRRRRRRR">#REF!</definedName>
    <definedName name="rtr" localSheetId="2">#REF!</definedName>
    <definedName name="rtr" localSheetId="4">#REF!</definedName>
    <definedName name="rtr" localSheetId="6">#REF!</definedName>
    <definedName name="rtr">#REF!</definedName>
    <definedName name="rtwertert" localSheetId="2">#REF!</definedName>
    <definedName name="rtwertert" localSheetId="4">#REF!</definedName>
    <definedName name="rtwertert" localSheetId="6">#REF!</definedName>
    <definedName name="rtwertert">#REF!</definedName>
    <definedName name="sdssfsf" localSheetId="2">#REF!</definedName>
    <definedName name="sdssfsf" localSheetId="4">#REF!</definedName>
    <definedName name="sdssfsf" localSheetId="6">#REF!</definedName>
    <definedName name="sdssfsf">#REF!</definedName>
    <definedName name="SiterSheet4" localSheetId="2">[6]Hidden!#REF!</definedName>
    <definedName name="SiterSheet4" localSheetId="4">[6]Hidden!#REF!</definedName>
    <definedName name="SiterSheet4" localSheetId="6">[6]Hidden!#REF!</definedName>
    <definedName name="SiterSheet4">[6]Hidden!#REF!</definedName>
    <definedName name="SiteSheet" localSheetId="2">[6]Hidden!#REF!</definedName>
    <definedName name="SiteSheet" localSheetId="4">[6]Hidden!#REF!</definedName>
    <definedName name="SiteSheet" localSheetId="6">[6]Hidden!#REF!</definedName>
    <definedName name="SiteSheet">[6]Hidden!#REF!</definedName>
    <definedName name="ss" localSheetId="2">[7]Hidden!#REF!</definedName>
    <definedName name="ss" localSheetId="4">[7]Hidden!#REF!</definedName>
    <definedName name="ss" localSheetId="6">[7]Hidden!#REF!</definedName>
    <definedName name="ss">[7]Hidden!#REF!</definedName>
    <definedName name="SSSS" localSheetId="2">#REF!</definedName>
    <definedName name="SSSS" localSheetId="3">#REF!</definedName>
    <definedName name="SSSS" localSheetId="4">#REF!</definedName>
    <definedName name="SSSS" localSheetId="6">#REF!</definedName>
    <definedName name="SSSS">#REF!</definedName>
    <definedName name="SSSSSSSSSSS" localSheetId="2">#REF!</definedName>
    <definedName name="SSSSSSSSSSS" localSheetId="3">#REF!</definedName>
    <definedName name="SSSSSSSSSSS" localSheetId="4">#REF!</definedName>
    <definedName name="SSSSSSSSSSS" localSheetId="6">#REF!</definedName>
    <definedName name="SSSSSSSSSSS">#REF!</definedName>
    <definedName name="SSSSSSSSSSSS" localSheetId="2">'[4]Term Outstanding Payment'!#REF!</definedName>
    <definedName name="SSSSSSSSSSSS" localSheetId="3">'[4]Term Outstanding Payment'!#REF!</definedName>
    <definedName name="SSSSSSSSSSSS" localSheetId="4">'[4]Term Outstanding Payment'!#REF!</definedName>
    <definedName name="SSSSSSSSSSSS" localSheetId="6">'[4]Term Outstanding Payment'!#REF!</definedName>
    <definedName name="SSSSSSSSSSSS">'[4]Term Outstanding Payment'!#REF!</definedName>
    <definedName name="SSSSSSSSSSSSSS" localSheetId="2">#REF!</definedName>
    <definedName name="SSSSSSSSSSSSSS" localSheetId="3">#REF!</definedName>
    <definedName name="SSSSSSSSSSSSSS" localSheetId="4">#REF!</definedName>
    <definedName name="SSSSSSSSSSSSSS" localSheetId="6">#REF!</definedName>
    <definedName name="SSSSSSSSSSSSSS">#REF!</definedName>
    <definedName name="SSSSSSSSSSSSSSSSSSSSS" localSheetId="2">#REF!</definedName>
    <definedName name="SSSSSSSSSSSSSSSSSSSSS" localSheetId="3">#REF!</definedName>
    <definedName name="SSSSSSSSSSSSSSSSSSSSS" localSheetId="4">#REF!</definedName>
    <definedName name="SSSSSSSSSSSSSSSSSSSSS" localSheetId="6">#REF!</definedName>
    <definedName name="SSSSSSSSSSSSSSSSSSSSS">#REF!</definedName>
    <definedName name="SSSSSSSSSSSSSSSSSSSSSSSSSS" localSheetId="2">#REF!</definedName>
    <definedName name="SSSSSSSSSSSSSSSSSSSSSSSSSS" localSheetId="3">#REF!</definedName>
    <definedName name="SSSSSSSSSSSSSSSSSSSSSSSSSS" localSheetId="4">#REF!</definedName>
    <definedName name="SSSSSSSSSSSSSSSSSSSSSSSSSS" localSheetId="6">#REF!</definedName>
    <definedName name="SSSSSSSSSSSSSSSSSSSSSSSSSS">#REF!</definedName>
    <definedName name="SSSSSSSSSSSSSSSSSSSSSSSSSSSSSSS" localSheetId="2">#REF!</definedName>
    <definedName name="SSSSSSSSSSSSSSSSSSSSSSSSSSSSSSS" localSheetId="4">#REF!</definedName>
    <definedName name="SSSSSSSSSSSSSSSSSSSSSSSSSSSSSSS" localSheetId="6">#REF!</definedName>
    <definedName name="SSSSSSSSSSSSSSSSSSSSSSSSSSSSSSS">#REF!</definedName>
    <definedName name="SUM" localSheetId="2">#REF!</definedName>
    <definedName name="SUM" localSheetId="4">#REF!</definedName>
    <definedName name="SUM" localSheetId="6">#REF!</definedName>
    <definedName name="SUM">#REF!</definedName>
    <definedName name="tarikhcuti" localSheetId="1">'[8]Public Holiday'!$A$3:$A$50</definedName>
    <definedName name="tarikhcuti" localSheetId="2">'[9]Public Holiday'!$A$4:$A$45</definedName>
    <definedName name="tarikhcuti" localSheetId="3">'[10]Public Holiday'!$A$4:$A$45</definedName>
    <definedName name="tarikhcuti" localSheetId="4">'[11]Public Holiday'!$A$4:$A$43</definedName>
    <definedName name="tarikhcuti">'Public Holiday'!$A$4:$A$47</definedName>
    <definedName name="tertertyertert" localSheetId="2">#REF!</definedName>
    <definedName name="tertertyertert" localSheetId="3">#REF!</definedName>
    <definedName name="tertertyertert" localSheetId="4">#REF!</definedName>
    <definedName name="tertertyertert" localSheetId="6">#REF!</definedName>
    <definedName name="tertertyertert">#REF!</definedName>
    <definedName name="TickCell" localSheetId="2">#REF!</definedName>
    <definedName name="TickCell" localSheetId="3">#REF!</definedName>
    <definedName name="TickCell" localSheetId="4">#REF!</definedName>
    <definedName name="TickCell" localSheetId="6">#REF!</definedName>
    <definedName name="TickCell">#REF!</definedName>
    <definedName name="try" localSheetId="2">#REF!</definedName>
    <definedName name="try" localSheetId="3">#REF!</definedName>
    <definedName name="try" localSheetId="4">#REF!</definedName>
    <definedName name="try" localSheetId="6">#REF!</definedName>
    <definedName name="try">#REF!</definedName>
    <definedName name="tryrtyyu" localSheetId="2">[6]Hidden!#REF!</definedName>
    <definedName name="tryrtyyu" localSheetId="3">[6]Hidden!#REF!</definedName>
    <definedName name="tryrtyyu" localSheetId="4">[6]Hidden!#REF!</definedName>
    <definedName name="tryrtyyu" localSheetId="6">[6]Hidden!#REF!</definedName>
    <definedName name="tryrtyyu">[6]Hidden!#REF!</definedName>
    <definedName name="twewtweewt" localSheetId="2">#REF!</definedName>
    <definedName name="twewtweewt" localSheetId="3">#REF!</definedName>
    <definedName name="twewtweewt" localSheetId="4">#REF!</definedName>
    <definedName name="twewtweewt" localSheetId="6">#REF!</definedName>
    <definedName name="twewtweewt">#REF!</definedName>
    <definedName name="ukjj" localSheetId="2">#REF!</definedName>
    <definedName name="ukjj" localSheetId="3">#REF!</definedName>
    <definedName name="ukjj" localSheetId="4">#REF!</definedName>
    <definedName name="ukjj" localSheetId="6">#REF!</definedName>
    <definedName name="ukjj">#REF!</definedName>
    <definedName name="value">'[12]HWMS 1'!$D$2</definedName>
    <definedName name="VEEEEEEEEE" localSheetId="2">#REF!</definedName>
    <definedName name="VEEEEEEEEE" localSheetId="3">#REF!</definedName>
    <definedName name="VEEEEEEEEE" localSheetId="4">#REF!</definedName>
    <definedName name="VEEEEEEEEE" localSheetId="6">#REF!</definedName>
    <definedName name="VEEEEEEEEE">#REF!</definedName>
    <definedName name="vtecax" localSheetId="2">#REF!</definedName>
    <definedName name="vtecax" localSheetId="3">#REF!</definedName>
    <definedName name="vtecax" localSheetId="4">#REF!</definedName>
    <definedName name="vtecax" localSheetId="6">#REF!</definedName>
    <definedName name="vtecax">#REF!</definedName>
    <definedName name="WAE" localSheetId="2">#REF!</definedName>
    <definedName name="WAE" localSheetId="3">#REF!</definedName>
    <definedName name="WAE" localSheetId="4">#REF!</definedName>
    <definedName name="WAE" localSheetId="6">#REF!</definedName>
    <definedName name="WAE">#REF!</definedName>
    <definedName name="WEA" localSheetId="2">#REF!</definedName>
    <definedName name="WEA" localSheetId="4">#REF!</definedName>
    <definedName name="WEA" localSheetId="6">#REF!</definedName>
    <definedName name="WEA">#REF!</definedName>
    <definedName name="Yes" localSheetId="2">#REF!</definedName>
    <definedName name="Yes" localSheetId="4">#REF!</definedName>
    <definedName name="Yes" localSheetId="6">#REF!</definedName>
    <definedName name="Yes">#REF!</definedName>
    <definedName name="yttyrty" localSheetId="2">#REF!</definedName>
    <definedName name="yttyrty" localSheetId="4">#REF!</definedName>
    <definedName name="yttyrty" localSheetId="6">#REF!</definedName>
    <definedName name="yttyrty">#REF!</definedName>
    <definedName name="zhGFFFDX" localSheetId="2">#REF!</definedName>
    <definedName name="zhGFFFDX" localSheetId="4">#REF!</definedName>
    <definedName name="zhGFFFDX" localSheetId="6">#REF!</definedName>
    <definedName name="zhGFFFDX">#REF!</definedName>
    <definedName name="ZZ" localSheetId="2">[7]Hidden!#REF!</definedName>
    <definedName name="ZZ" localSheetId="4">[7]Hidden!#REF!</definedName>
    <definedName name="ZZ" localSheetId="6">[7]Hidden!#REF!</definedName>
    <definedName name="ZZ">[7]Hidden!#REF!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3" i="61" l="1"/>
  <c r="R117" i="58" l="1"/>
  <c r="R118" i="58"/>
  <c r="R119" i="58"/>
  <c r="R120" i="58"/>
  <c r="R121" i="58"/>
  <c r="U113" i="58"/>
  <c r="U114" i="58"/>
  <c r="U115" i="58"/>
  <c r="R99" i="58"/>
  <c r="R100" i="58"/>
  <c r="Z45" i="62"/>
  <c r="Z46" i="62"/>
  <c r="Z47" i="62"/>
  <c r="Z48" i="62"/>
  <c r="Z49" i="62"/>
  <c r="Z50" i="62"/>
  <c r="Z51" i="62"/>
  <c r="Z52" i="62"/>
  <c r="Z53" i="62"/>
  <c r="Y45" i="62"/>
  <c r="AA45" i="62" s="1"/>
  <c r="Y46" i="62"/>
  <c r="AA46" i="62" s="1"/>
  <c r="Y47" i="62"/>
  <c r="AA47" i="62" s="1"/>
  <c r="Y48" i="62"/>
  <c r="AA48" i="62" s="1"/>
  <c r="Y49" i="62"/>
  <c r="AA49" i="62" s="1"/>
  <c r="Y50" i="62"/>
  <c r="AA50" i="62" s="1"/>
  <c r="Y51" i="62"/>
  <c r="AA51" i="62" s="1"/>
  <c r="Y52" i="62"/>
  <c r="AA52" i="62" s="1"/>
  <c r="Y53" i="62"/>
  <c r="AA53" i="62" s="1"/>
  <c r="T45" i="62"/>
  <c r="T46" i="62"/>
  <c r="T47" i="62"/>
  <c r="T48" i="62"/>
  <c r="T49" i="62"/>
  <c r="T50" i="62"/>
  <c r="T51" i="62"/>
  <c r="T52" i="62"/>
  <c r="T53" i="62"/>
  <c r="K214" i="61"/>
  <c r="K215" i="61"/>
  <c r="K216" i="61"/>
  <c r="K217" i="61"/>
  <c r="K218" i="61"/>
  <c r="R96" i="58"/>
  <c r="K226" i="61"/>
  <c r="L220" i="61"/>
  <c r="L221" i="61"/>
  <c r="L222" i="61"/>
  <c r="L223" i="61"/>
  <c r="L224" i="61"/>
  <c r="L225" i="61"/>
  <c r="L226" i="61"/>
  <c r="L227" i="61"/>
  <c r="L228" i="61"/>
  <c r="L229" i="61"/>
  <c r="L230" i="61"/>
  <c r="L231" i="61"/>
  <c r="L232" i="61"/>
  <c r="L233" i="61"/>
  <c r="L234" i="61"/>
  <c r="L235" i="61"/>
  <c r="L236" i="61"/>
  <c r="L237" i="61"/>
  <c r="L238" i="61"/>
  <c r="L239" i="61"/>
  <c r="L240" i="61"/>
  <c r="L241" i="61"/>
  <c r="L242" i="61"/>
  <c r="L243" i="61"/>
  <c r="L244" i="61"/>
  <c r="L245" i="61"/>
  <c r="L246" i="61"/>
  <c r="L247" i="61"/>
  <c r="L248" i="61"/>
  <c r="L249" i="61"/>
  <c r="L250" i="61"/>
  <c r="L251" i="61"/>
  <c r="L252" i="61"/>
  <c r="L253" i="61"/>
  <c r="L254" i="61"/>
  <c r="L255" i="61"/>
  <c r="L256" i="61"/>
  <c r="L257" i="61"/>
  <c r="L258" i="61"/>
  <c r="K220" i="61"/>
  <c r="K221" i="61"/>
  <c r="K222" i="61"/>
  <c r="K223" i="61"/>
  <c r="K224" i="61"/>
  <c r="K225" i="61"/>
  <c r="K227" i="61"/>
  <c r="D228" i="61"/>
  <c r="K228" i="61" s="1"/>
  <c r="D229" i="61"/>
  <c r="K229" i="61" s="1"/>
  <c r="D230" i="61"/>
  <c r="K230" i="61" s="1"/>
  <c r="D231" i="61"/>
  <c r="K231" i="61" s="1"/>
  <c r="D232" i="61"/>
  <c r="K232" i="61" s="1"/>
  <c r="K233" i="61"/>
  <c r="D234" i="61"/>
  <c r="K234" i="61" s="1"/>
  <c r="D235" i="61"/>
  <c r="K235" i="61" s="1"/>
  <c r="D236" i="61"/>
  <c r="K236" i="61" s="1"/>
  <c r="D237" i="61"/>
  <c r="K237" i="61" s="1"/>
  <c r="D238" i="61"/>
  <c r="K238" i="61" s="1"/>
  <c r="D239" i="61"/>
  <c r="K239" i="61" s="1"/>
  <c r="D240" i="61"/>
  <c r="K240" i="61" s="1"/>
  <c r="D241" i="61"/>
  <c r="K241" i="61" s="1"/>
  <c r="D242" i="61"/>
  <c r="K242" i="61" s="1"/>
  <c r="D243" i="61"/>
  <c r="K243" i="61" s="1"/>
  <c r="D244" i="61"/>
  <c r="K244" i="61" s="1"/>
  <c r="D245" i="61"/>
  <c r="K245" i="61" s="1"/>
  <c r="D246" i="61"/>
  <c r="K246" i="61" s="1"/>
  <c r="D247" i="61"/>
  <c r="K247" i="61" s="1"/>
  <c r="D248" i="61"/>
  <c r="K248" i="61" s="1"/>
  <c r="D249" i="61"/>
  <c r="K249" i="61" s="1"/>
  <c r="D250" i="61"/>
  <c r="K250" i="61" s="1"/>
  <c r="D251" i="61"/>
  <c r="K251" i="61" s="1"/>
  <c r="D252" i="61"/>
  <c r="K252" i="61" s="1"/>
  <c r="D253" i="61"/>
  <c r="K253" i="61" s="1"/>
  <c r="D254" i="61"/>
  <c r="K254" i="61" s="1"/>
  <c r="D255" i="61"/>
  <c r="K255" i="61" s="1"/>
  <c r="D256" i="61"/>
  <c r="K256" i="61" s="1"/>
  <c r="D257" i="61"/>
  <c r="K257" i="61" s="1"/>
  <c r="D258" i="61"/>
  <c r="K258" i="61" s="1"/>
  <c r="R27" i="58"/>
  <c r="U97" i="58"/>
  <c r="S97" i="58"/>
  <c r="R97" i="58"/>
  <c r="O97" i="58"/>
  <c r="D97" i="58"/>
  <c r="M97" i="58" s="1"/>
  <c r="C97" i="58"/>
  <c r="L208" i="61"/>
  <c r="L209" i="61"/>
  <c r="L210" i="61"/>
  <c r="L272" i="61"/>
  <c r="L273" i="61"/>
  <c r="L211" i="61"/>
  <c r="L212" i="61"/>
  <c r="L213" i="61"/>
  <c r="L214" i="61"/>
  <c r="L215" i="61"/>
  <c r="L216" i="61"/>
  <c r="L217" i="61"/>
  <c r="L218" i="61"/>
  <c r="L219" i="61"/>
  <c r="D208" i="61"/>
  <c r="K208" i="61" s="1"/>
  <c r="D209" i="61"/>
  <c r="K209" i="61" s="1"/>
  <c r="D210" i="61"/>
  <c r="K210" i="61" s="1"/>
  <c r="D272" i="61"/>
  <c r="K272" i="61" s="1"/>
  <c r="D273" i="61"/>
  <c r="K273" i="61" s="1"/>
  <c r="D211" i="61"/>
  <c r="K211" i="61" s="1"/>
  <c r="D212" i="61"/>
  <c r="K212" i="61" s="1"/>
  <c r="K213" i="61"/>
  <c r="K219" i="61"/>
  <c r="R112" i="58"/>
  <c r="U95" i="58"/>
  <c r="U96" i="58"/>
  <c r="U107" i="58"/>
  <c r="S95" i="58"/>
  <c r="S96" i="58"/>
  <c r="S107" i="58"/>
  <c r="R95" i="58"/>
  <c r="R107" i="58"/>
  <c r="O95" i="58"/>
  <c r="O96" i="58"/>
  <c r="O107" i="58"/>
  <c r="D95" i="58"/>
  <c r="M95" i="58" s="1"/>
  <c r="D96" i="58"/>
  <c r="M96" i="58" s="1"/>
  <c r="D107" i="58"/>
  <c r="M107" i="58" s="1"/>
  <c r="C95" i="58"/>
  <c r="C96" i="58"/>
  <c r="C107" i="58"/>
  <c r="C99" i="58"/>
  <c r="U77" i="58"/>
  <c r="U78" i="58"/>
  <c r="U79" i="58"/>
  <c r="U80" i="58"/>
  <c r="U81" i="58"/>
  <c r="U82" i="58"/>
  <c r="U83" i="58"/>
  <c r="U84" i="58"/>
  <c r="U85" i="58"/>
  <c r="U86" i="58"/>
  <c r="U87" i="58"/>
  <c r="U88" i="58"/>
  <c r="U89" i="58"/>
  <c r="U90" i="58"/>
  <c r="U91" i="58"/>
  <c r="U92" i="58"/>
  <c r="U102" i="58"/>
  <c r="U104" i="58"/>
  <c r="U105" i="58"/>
  <c r="U93" i="58"/>
  <c r="U94" i="58"/>
  <c r="U106" i="58"/>
  <c r="S77" i="58"/>
  <c r="S78" i="58"/>
  <c r="S79" i="58"/>
  <c r="S80" i="58"/>
  <c r="S81" i="58"/>
  <c r="S82" i="58"/>
  <c r="S83" i="58"/>
  <c r="S84" i="58"/>
  <c r="S85" i="58"/>
  <c r="S86" i="58"/>
  <c r="S87" i="58"/>
  <c r="S88" i="58"/>
  <c r="S89" i="58"/>
  <c r="S90" i="58"/>
  <c r="S91" i="58"/>
  <c r="S92" i="58"/>
  <c r="S102" i="58"/>
  <c r="S104" i="58"/>
  <c r="S105" i="58"/>
  <c r="S93" i="58"/>
  <c r="S94" i="58"/>
  <c r="S106" i="58"/>
  <c r="R77" i="58"/>
  <c r="R78" i="58"/>
  <c r="R79" i="58"/>
  <c r="R80" i="58"/>
  <c r="R81" i="58"/>
  <c r="R82" i="58"/>
  <c r="R83" i="58"/>
  <c r="R84" i="58"/>
  <c r="R85" i="58"/>
  <c r="R86" i="58"/>
  <c r="R87" i="58"/>
  <c r="R88" i="58"/>
  <c r="R89" i="58"/>
  <c r="R90" i="58"/>
  <c r="R91" i="58"/>
  <c r="R92" i="58"/>
  <c r="R102" i="58"/>
  <c r="R105" i="58"/>
  <c r="R93" i="58"/>
  <c r="R94" i="58"/>
  <c r="O77" i="58"/>
  <c r="O78" i="58"/>
  <c r="O79" i="58"/>
  <c r="O80" i="58"/>
  <c r="O81" i="58"/>
  <c r="O82" i="58"/>
  <c r="O83" i="58"/>
  <c r="O84" i="58"/>
  <c r="O85" i="58"/>
  <c r="O86" i="58"/>
  <c r="O87" i="58"/>
  <c r="O88" i="58"/>
  <c r="O89" i="58"/>
  <c r="O90" i="58"/>
  <c r="O91" i="58"/>
  <c r="O92" i="58"/>
  <c r="O102" i="58"/>
  <c r="O104" i="58"/>
  <c r="O105" i="58"/>
  <c r="O93" i="58"/>
  <c r="O94" i="58"/>
  <c r="O106" i="58"/>
  <c r="D77" i="58"/>
  <c r="M77" i="58" s="1"/>
  <c r="M78" i="58"/>
  <c r="D79" i="58"/>
  <c r="M79" i="58" s="1"/>
  <c r="D80" i="58"/>
  <c r="M80" i="58" s="1"/>
  <c r="D81" i="58"/>
  <c r="M81" i="58" s="1"/>
  <c r="D82" i="58"/>
  <c r="M82" i="58" s="1"/>
  <c r="D83" i="58"/>
  <c r="M83" i="58" s="1"/>
  <c r="D84" i="58"/>
  <c r="M84" i="58" s="1"/>
  <c r="M85" i="58"/>
  <c r="D86" i="58"/>
  <c r="M86" i="58" s="1"/>
  <c r="D87" i="58"/>
  <c r="M87" i="58" s="1"/>
  <c r="D88" i="58"/>
  <c r="M88" i="58" s="1"/>
  <c r="D89" i="58"/>
  <c r="M89" i="58" s="1"/>
  <c r="D90" i="58"/>
  <c r="M90" i="58" s="1"/>
  <c r="D91" i="58"/>
  <c r="M91" i="58" s="1"/>
  <c r="D92" i="58"/>
  <c r="M92" i="58" s="1"/>
  <c r="D102" i="58"/>
  <c r="M102" i="58" s="1"/>
  <c r="D104" i="58"/>
  <c r="M104" i="58" s="1"/>
  <c r="D105" i="58"/>
  <c r="M105" i="58" s="1"/>
  <c r="D93" i="58"/>
  <c r="M93" i="58" s="1"/>
  <c r="D94" i="58"/>
  <c r="M94" i="58" s="1"/>
  <c r="D106" i="58"/>
  <c r="M106" i="58" s="1"/>
  <c r="C77" i="58"/>
  <c r="C79" i="58"/>
  <c r="C81" i="58"/>
  <c r="C82" i="58"/>
  <c r="C83" i="58"/>
  <c r="C84" i="58"/>
  <c r="C86" i="58"/>
  <c r="C87" i="58"/>
  <c r="C88" i="58"/>
  <c r="C89" i="58"/>
  <c r="C90" i="58"/>
  <c r="C91" i="58"/>
  <c r="C92" i="58"/>
  <c r="C102" i="58"/>
  <c r="C104" i="58"/>
  <c r="C105" i="58"/>
  <c r="C93" i="58"/>
  <c r="C94" i="58"/>
  <c r="C106" i="58"/>
  <c r="U17" i="10"/>
  <c r="AC16" i="10"/>
  <c r="AB16" i="10"/>
  <c r="Z16" i="10"/>
  <c r="X16" i="10"/>
  <c r="U16" i="10"/>
  <c r="T16" i="10"/>
  <c r="R16" i="10"/>
  <c r="O16" i="10"/>
  <c r="M16" i="10"/>
  <c r="A16" i="10"/>
  <c r="AC15" i="10"/>
  <c r="AB15" i="10"/>
  <c r="Z15" i="10"/>
  <c r="X15" i="10"/>
  <c r="U15" i="10"/>
  <c r="T15" i="10"/>
  <c r="R15" i="10"/>
  <c r="O15" i="10"/>
  <c r="M15" i="10"/>
  <c r="A15" i="10"/>
  <c r="AC14" i="10"/>
  <c r="AB14" i="10"/>
  <c r="Z14" i="10"/>
  <c r="X14" i="10"/>
  <c r="U14" i="10"/>
  <c r="T14" i="10"/>
  <c r="R14" i="10"/>
  <c r="O14" i="10"/>
  <c r="M14" i="10"/>
  <c r="A14" i="10"/>
  <c r="AC13" i="10"/>
  <c r="AB13" i="10"/>
  <c r="Z13" i="10"/>
  <c r="X13" i="10"/>
  <c r="U13" i="10"/>
  <c r="T13" i="10"/>
  <c r="R13" i="10"/>
  <c r="O13" i="10"/>
  <c r="M13" i="10"/>
  <c r="A13" i="10"/>
  <c r="AC12" i="10"/>
  <c r="AB12" i="10"/>
  <c r="Z12" i="10"/>
  <c r="X12" i="10"/>
  <c r="U12" i="10"/>
  <c r="T12" i="10"/>
  <c r="R12" i="10"/>
  <c r="O12" i="10"/>
  <c r="M12" i="10"/>
  <c r="A12" i="10"/>
  <c r="AC11" i="10"/>
  <c r="AB11" i="10"/>
  <c r="Z11" i="10"/>
  <c r="X11" i="10"/>
  <c r="U11" i="10"/>
  <c r="T11" i="10"/>
  <c r="R11" i="10"/>
  <c r="O11" i="10"/>
  <c r="M11" i="10"/>
  <c r="A11" i="10"/>
  <c r="AC10" i="10"/>
  <c r="AB10" i="10"/>
  <c r="Z10" i="10"/>
  <c r="X10" i="10"/>
  <c r="U10" i="10"/>
  <c r="T10" i="10"/>
  <c r="R10" i="10"/>
  <c r="O10" i="10"/>
  <c r="M10" i="10"/>
  <c r="A10" i="10"/>
  <c r="AC9" i="10"/>
  <c r="AB9" i="10"/>
  <c r="Z9" i="10"/>
  <c r="X9" i="10"/>
  <c r="U9" i="10"/>
  <c r="T9" i="10"/>
  <c r="R9" i="10"/>
  <c r="O9" i="10"/>
  <c r="M9" i="10"/>
  <c r="A9" i="10"/>
  <c r="AC8" i="10"/>
  <c r="AB8" i="10"/>
  <c r="Z8" i="10"/>
  <c r="X8" i="10"/>
  <c r="U8" i="10"/>
  <c r="T8" i="10"/>
  <c r="R8" i="10"/>
  <c r="O8" i="10"/>
  <c r="M8" i="10"/>
  <c r="A8" i="10"/>
  <c r="AC7" i="10"/>
  <c r="AB7" i="10"/>
  <c r="Z7" i="10"/>
  <c r="X7" i="10"/>
  <c r="U7" i="10"/>
  <c r="T7" i="10"/>
  <c r="S7" i="10"/>
  <c r="R7" i="10"/>
  <c r="O7" i="10"/>
  <c r="M7" i="10"/>
  <c r="AC6" i="10"/>
  <c r="AB6" i="10"/>
  <c r="Z6" i="10"/>
  <c r="X6" i="10"/>
  <c r="U6" i="10"/>
  <c r="T6" i="10"/>
  <c r="S6" i="10"/>
  <c r="R6" i="10"/>
  <c r="O6" i="10"/>
  <c r="M6" i="10"/>
  <c r="O24" i="53"/>
  <c r="L23" i="19" s="1"/>
  <c r="N23" i="19" s="1"/>
  <c r="O23" i="19" s="1"/>
  <c r="K9" i="53"/>
  <c r="K7" i="53"/>
  <c r="WZX111" i="62"/>
  <c r="WZV111" i="62"/>
  <c r="WZT111" i="62"/>
  <c r="WZR111" i="62"/>
  <c r="WZP111" i="62"/>
  <c r="WZN111" i="62"/>
  <c r="WZL111" i="62"/>
  <c r="WZJ111" i="62"/>
  <c r="WZH111" i="62"/>
  <c r="WZF111" i="62"/>
  <c r="WZD111" i="62"/>
  <c r="WZB111" i="62"/>
  <c r="WYZ111" i="62"/>
  <c r="WYX111" i="62"/>
  <c r="WYV111" i="62"/>
  <c r="WYT111" i="62"/>
  <c r="WYR111" i="62"/>
  <c r="WYP111" i="62"/>
  <c r="WYN111" i="62"/>
  <c r="WYL111" i="62"/>
  <c r="WYJ111" i="62"/>
  <c r="WYH111" i="62"/>
  <c r="WYF111" i="62"/>
  <c r="WYD111" i="62"/>
  <c r="WYB111" i="62"/>
  <c r="WXZ111" i="62"/>
  <c r="WXX111" i="62"/>
  <c r="WXV111" i="62"/>
  <c r="WXT111" i="62"/>
  <c r="WXR111" i="62"/>
  <c r="WXP111" i="62"/>
  <c r="WXN111" i="62"/>
  <c r="WXL111" i="62"/>
  <c r="WXJ111" i="62"/>
  <c r="WXH111" i="62"/>
  <c r="WXF111" i="62"/>
  <c r="WXD111" i="62"/>
  <c r="WXB111" i="62"/>
  <c r="WWZ111" i="62"/>
  <c r="WWX111" i="62"/>
  <c r="WWV111" i="62"/>
  <c r="WWT111" i="62"/>
  <c r="WWR111" i="62"/>
  <c r="WWP111" i="62"/>
  <c r="WWN111" i="62"/>
  <c r="WWL111" i="62"/>
  <c r="WWJ111" i="62"/>
  <c r="WWH111" i="62"/>
  <c r="WWF111" i="62"/>
  <c r="WWD111" i="62"/>
  <c r="WWB111" i="62"/>
  <c r="WVZ111" i="62"/>
  <c r="WVX111" i="62"/>
  <c r="WVV111" i="62"/>
  <c r="WVT111" i="62"/>
  <c r="WVR111" i="62"/>
  <c r="WVP111" i="62"/>
  <c r="WVN111" i="62"/>
  <c r="WVL111" i="62"/>
  <c r="WVJ111" i="62"/>
  <c r="WVH111" i="62"/>
  <c r="WVF111" i="62"/>
  <c r="WVD111" i="62"/>
  <c r="WVB111" i="62"/>
  <c r="WUZ111" i="62"/>
  <c r="WUX111" i="62"/>
  <c r="WUV111" i="62"/>
  <c r="WUT111" i="62"/>
  <c r="WUR111" i="62"/>
  <c r="WUP111" i="62"/>
  <c r="WUN111" i="62"/>
  <c r="WUL111" i="62"/>
  <c r="WUJ111" i="62"/>
  <c r="WUH111" i="62"/>
  <c r="WUF111" i="62"/>
  <c r="WUD111" i="62"/>
  <c r="WUB111" i="62"/>
  <c r="WTZ111" i="62"/>
  <c r="WTX111" i="62"/>
  <c r="WTV111" i="62"/>
  <c r="WTT111" i="62"/>
  <c r="WTR111" i="62"/>
  <c r="WTP111" i="62"/>
  <c r="WTN111" i="62"/>
  <c r="WTL111" i="62"/>
  <c r="WTJ111" i="62"/>
  <c r="WTH111" i="62"/>
  <c r="WTF111" i="62"/>
  <c r="WTD111" i="62"/>
  <c r="WTB111" i="62"/>
  <c r="WSZ111" i="62"/>
  <c r="WSX111" i="62"/>
  <c r="WSV111" i="62"/>
  <c r="WST111" i="62"/>
  <c r="WSR111" i="62"/>
  <c r="WSP111" i="62"/>
  <c r="WSN111" i="62"/>
  <c r="WSL111" i="62"/>
  <c r="WSJ111" i="62"/>
  <c r="WSH111" i="62"/>
  <c r="WSF111" i="62"/>
  <c r="WSD111" i="62"/>
  <c r="WSB111" i="62"/>
  <c r="WRZ111" i="62"/>
  <c r="WRX111" i="62"/>
  <c r="WRV111" i="62"/>
  <c r="WRT111" i="62"/>
  <c r="WRR111" i="62"/>
  <c r="WRP111" i="62"/>
  <c r="WRN111" i="62"/>
  <c r="WRL111" i="62"/>
  <c r="WRJ111" i="62"/>
  <c r="WRH111" i="62"/>
  <c r="WRF111" i="62"/>
  <c r="WRD111" i="62"/>
  <c r="WRB111" i="62"/>
  <c r="WQZ111" i="62"/>
  <c r="WQX111" i="62"/>
  <c r="WQV111" i="62"/>
  <c r="WQT111" i="62"/>
  <c r="WQR111" i="62"/>
  <c r="WQP111" i="62"/>
  <c r="WQN111" i="62"/>
  <c r="WQL111" i="62"/>
  <c r="WQJ111" i="62"/>
  <c r="WQH111" i="62"/>
  <c r="WQF111" i="62"/>
  <c r="WQD111" i="62"/>
  <c r="WQB111" i="62"/>
  <c r="WPZ111" i="62"/>
  <c r="WPX111" i="62"/>
  <c r="WPV111" i="62"/>
  <c r="WPT111" i="62"/>
  <c r="WPR111" i="62"/>
  <c r="WPP111" i="62"/>
  <c r="WPN111" i="62"/>
  <c r="WPL111" i="62"/>
  <c r="WPJ111" i="62"/>
  <c r="WPH111" i="62"/>
  <c r="WPF111" i="62"/>
  <c r="WPD111" i="62"/>
  <c r="WPB111" i="62"/>
  <c r="WOZ111" i="62"/>
  <c r="WOX111" i="62"/>
  <c r="WOV111" i="62"/>
  <c r="WOT111" i="62"/>
  <c r="WOR111" i="62"/>
  <c r="WOP111" i="62"/>
  <c r="WON111" i="62"/>
  <c r="WOL111" i="62"/>
  <c r="WOJ111" i="62"/>
  <c r="WOH111" i="62"/>
  <c r="WOF111" i="62"/>
  <c r="WOD111" i="62"/>
  <c r="WOB111" i="62"/>
  <c r="WNZ111" i="62"/>
  <c r="WNX111" i="62"/>
  <c r="WNV111" i="62"/>
  <c r="WNT111" i="62"/>
  <c r="WNR111" i="62"/>
  <c r="WNP111" i="62"/>
  <c r="WNN111" i="62"/>
  <c r="WNL111" i="62"/>
  <c r="WNJ111" i="62"/>
  <c r="WNH111" i="62"/>
  <c r="WNF111" i="62"/>
  <c r="WND111" i="62"/>
  <c r="WNB111" i="62"/>
  <c r="WMZ111" i="62"/>
  <c r="WMX111" i="62"/>
  <c r="WMV111" i="62"/>
  <c r="WMT111" i="62"/>
  <c r="WMR111" i="62"/>
  <c r="WMP111" i="62"/>
  <c r="WMN111" i="62"/>
  <c r="WML111" i="62"/>
  <c r="WMJ111" i="62"/>
  <c r="WMH111" i="62"/>
  <c r="WMF111" i="62"/>
  <c r="WMD111" i="62"/>
  <c r="WMB111" i="62"/>
  <c r="WLZ111" i="62"/>
  <c r="WLX111" i="62"/>
  <c r="WLV111" i="62"/>
  <c r="WLT111" i="62"/>
  <c r="WLR111" i="62"/>
  <c r="WLP111" i="62"/>
  <c r="WLN111" i="62"/>
  <c r="WLL111" i="62"/>
  <c r="WLJ111" i="62"/>
  <c r="WLH111" i="62"/>
  <c r="WLF111" i="62"/>
  <c r="WLD111" i="62"/>
  <c r="WLB111" i="62"/>
  <c r="WKZ111" i="62"/>
  <c r="WKX111" i="62"/>
  <c r="WKV111" i="62"/>
  <c r="WKT111" i="62"/>
  <c r="WKR111" i="62"/>
  <c r="WKP111" i="62"/>
  <c r="WKN111" i="62"/>
  <c r="WKL111" i="62"/>
  <c r="WKJ111" i="62"/>
  <c r="WKH111" i="62"/>
  <c r="WKF111" i="62"/>
  <c r="WKD111" i="62"/>
  <c r="WKB111" i="62"/>
  <c r="WJZ111" i="62"/>
  <c r="WJX111" i="62"/>
  <c r="WJV111" i="62"/>
  <c r="WJT111" i="62"/>
  <c r="WJR111" i="62"/>
  <c r="WJP111" i="62"/>
  <c r="WJN111" i="62"/>
  <c r="WJL111" i="62"/>
  <c r="WJJ111" i="62"/>
  <c r="WJH111" i="62"/>
  <c r="WJF111" i="62"/>
  <c r="WJD111" i="62"/>
  <c r="WJB111" i="62"/>
  <c r="WIZ111" i="62"/>
  <c r="WIX111" i="62"/>
  <c r="WIV111" i="62"/>
  <c r="WIT111" i="62"/>
  <c r="WIR111" i="62"/>
  <c r="WIP111" i="62"/>
  <c r="WIN111" i="62"/>
  <c r="WIL111" i="62"/>
  <c r="WIJ111" i="62"/>
  <c r="WIH111" i="62"/>
  <c r="WIF111" i="62"/>
  <c r="WID111" i="62"/>
  <c r="WIB111" i="62"/>
  <c r="WHZ111" i="62"/>
  <c r="WHX111" i="62"/>
  <c r="WHV111" i="62"/>
  <c r="WHT111" i="62"/>
  <c r="WHR111" i="62"/>
  <c r="WHP111" i="62"/>
  <c r="WHN111" i="62"/>
  <c r="WHL111" i="62"/>
  <c r="WHJ111" i="62"/>
  <c r="WHH111" i="62"/>
  <c r="WHF111" i="62"/>
  <c r="WHD111" i="62"/>
  <c r="WHB111" i="62"/>
  <c r="WGZ111" i="62"/>
  <c r="WGX111" i="62"/>
  <c r="WGV111" i="62"/>
  <c r="WGT111" i="62"/>
  <c r="WGR111" i="62"/>
  <c r="WGP111" i="62"/>
  <c r="WGN111" i="62"/>
  <c r="WGL111" i="62"/>
  <c r="WGJ111" i="62"/>
  <c r="WGH111" i="62"/>
  <c r="WGF111" i="62"/>
  <c r="WGD111" i="62"/>
  <c r="WGB111" i="62"/>
  <c r="WFZ111" i="62"/>
  <c r="WFX111" i="62"/>
  <c r="WFV111" i="62"/>
  <c r="WFT111" i="62"/>
  <c r="WFR111" i="62"/>
  <c r="WFP111" i="62"/>
  <c r="WFN111" i="62"/>
  <c r="WFL111" i="62"/>
  <c r="WFJ111" i="62"/>
  <c r="WFH111" i="62"/>
  <c r="WFF111" i="62"/>
  <c r="WFD111" i="62"/>
  <c r="WFB111" i="62"/>
  <c r="WEZ111" i="62"/>
  <c r="WEX111" i="62"/>
  <c r="WEV111" i="62"/>
  <c r="WET111" i="62"/>
  <c r="WER111" i="62"/>
  <c r="WEP111" i="62"/>
  <c r="WEN111" i="62"/>
  <c r="WEL111" i="62"/>
  <c r="WEJ111" i="62"/>
  <c r="WEH111" i="62"/>
  <c r="WEF111" i="62"/>
  <c r="WED111" i="62"/>
  <c r="WEB111" i="62"/>
  <c r="WDZ111" i="62"/>
  <c r="WDX111" i="62"/>
  <c r="WDV111" i="62"/>
  <c r="WDT111" i="62"/>
  <c r="WDR111" i="62"/>
  <c r="WDP111" i="62"/>
  <c r="WDN111" i="62"/>
  <c r="WDL111" i="62"/>
  <c r="WDJ111" i="62"/>
  <c r="WDH111" i="62"/>
  <c r="WDF111" i="62"/>
  <c r="WDD111" i="62"/>
  <c r="WDB111" i="62"/>
  <c r="WCZ111" i="62"/>
  <c r="WCX111" i="62"/>
  <c r="WCV111" i="62"/>
  <c r="WCT111" i="62"/>
  <c r="WCR111" i="62"/>
  <c r="WCP111" i="62"/>
  <c r="WCN111" i="62"/>
  <c r="WCL111" i="62"/>
  <c r="WCJ111" i="62"/>
  <c r="WCH111" i="62"/>
  <c r="WCF111" i="62"/>
  <c r="WCD111" i="62"/>
  <c r="WCB111" i="62"/>
  <c r="WBZ111" i="62"/>
  <c r="WBX111" i="62"/>
  <c r="WBV111" i="62"/>
  <c r="WBT111" i="62"/>
  <c r="WBR111" i="62"/>
  <c r="WBP111" i="62"/>
  <c r="WBN111" i="62"/>
  <c r="WBL111" i="62"/>
  <c r="WBJ111" i="62"/>
  <c r="WBH111" i="62"/>
  <c r="WBF111" i="62"/>
  <c r="WBD111" i="62"/>
  <c r="WBB111" i="62"/>
  <c r="WAZ111" i="62"/>
  <c r="WAX111" i="62"/>
  <c r="WAV111" i="62"/>
  <c r="WAT111" i="62"/>
  <c r="WAR111" i="62"/>
  <c r="WAP111" i="62"/>
  <c r="WAN111" i="62"/>
  <c r="WAL111" i="62"/>
  <c r="WAJ111" i="62"/>
  <c r="WAH111" i="62"/>
  <c r="WAF111" i="62"/>
  <c r="WAD111" i="62"/>
  <c r="WAB111" i="62"/>
  <c r="VZZ111" i="62"/>
  <c r="VZX111" i="62"/>
  <c r="VZV111" i="62"/>
  <c r="VZT111" i="62"/>
  <c r="VZR111" i="62"/>
  <c r="VZP111" i="62"/>
  <c r="VZN111" i="62"/>
  <c r="VZL111" i="62"/>
  <c r="VZJ111" i="62"/>
  <c r="VZH111" i="62"/>
  <c r="VZF111" i="62"/>
  <c r="VZD111" i="62"/>
  <c r="VZB111" i="62"/>
  <c r="VYZ111" i="62"/>
  <c r="VYX111" i="62"/>
  <c r="VYV111" i="62"/>
  <c r="VYT111" i="62"/>
  <c r="VYR111" i="62"/>
  <c r="VYP111" i="62"/>
  <c r="VYN111" i="62"/>
  <c r="VYL111" i="62"/>
  <c r="VYJ111" i="62"/>
  <c r="VYH111" i="62"/>
  <c r="VYF111" i="62"/>
  <c r="VYD111" i="62"/>
  <c r="VYB111" i="62"/>
  <c r="VXZ111" i="62"/>
  <c r="VXX111" i="62"/>
  <c r="VXV111" i="62"/>
  <c r="VXT111" i="62"/>
  <c r="VXR111" i="62"/>
  <c r="VXP111" i="62"/>
  <c r="VXN111" i="62"/>
  <c r="VXL111" i="62"/>
  <c r="VXJ111" i="62"/>
  <c r="VXH111" i="62"/>
  <c r="VXF111" i="62"/>
  <c r="VXD111" i="62"/>
  <c r="VXB111" i="62"/>
  <c r="VWZ111" i="62"/>
  <c r="VWX111" i="62"/>
  <c r="VWV111" i="62"/>
  <c r="VWT111" i="62"/>
  <c r="VWR111" i="62"/>
  <c r="VWP111" i="62"/>
  <c r="VWN111" i="62"/>
  <c r="VWL111" i="62"/>
  <c r="VWJ111" i="62"/>
  <c r="VWH111" i="62"/>
  <c r="VWF111" i="62"/>
  <c r="VWD111" i="62"/>
  <c r="VWB111" i="62"/>
  <c r="VVZ111" i="62"/>
  <c r="VVX111" i="62"/>
  <c r="VVV111" i="62"/>
  <c r="VVT111" i="62"/>
  <c r="VVR111" i="62"/>
  <c r="VVP111" i="62"/>
  <c r="VVN111" i="62"/>
  <c r="VVL111" i="62"/>
  <c r="VVJ111" i="62"/>
  <c r="VVH111" i="62"/>
  <c r="VVF111" i="62"/>
  <c r="VVD111" i="62"/>
  <c r="VVB111" i="62"/>
  <c r="VUZ111" i="62"/>
  <c r="VUX111" i="62"/>
  <c r="VUV111" i="62"/>
  <c r="VUT111" i="62"/>
  <c r="VUR111" i="62"/>
  <c r="VUP111" i="62"/>
  <c r="VUN111" i="62"/>
  <c r="VUL111" i="62"/>
  <c r="VUJ111" i="62"/>
  <c r="VUH111" i="62"/>
  <c r="VUF111" i="62"/>
  <c r="VUD111" i="62"/>
  <c r="VUB111" i="62"/>
  <c r="VTZ111" i="62"/>
  <c r="VTX111" i="62"/>
  <c r="VTV111" i="62"/>
  <c r="VTT111" i="62"/>
  <c r="VTR111" i="62"/>
  <c r="VTP111" i="62"/>
  <c r="VTN111" i="62"/>
  <c r="VTL111" i="62"/>
  <c r="VTJ111" i="62"/>
  <c r="VTH111" i="62"/>
  <c r="VTF111" i="62"/>
  <c r="VTD111" i="62"/>
  <c r="VTB111" i="62"/>
  <c r="VSZ111" i="62"/>
  <c r="VSX111" i="62"/>
  <c r="VSV111" i="62"/>
  <c r="VST111" i="62"/>
  <c r="VSR111" i="62"/>
  <c r="VSP111" i="62"/>
  <c r="VSN111" i="62"/>
  <c r="VSL111" i="62"/>
  <c r="VSJ111" i="62"/>
  <c r="VSH111" i="62"/>
  <c r="VSF111" i="62"/>
  <c r="VSD111" i="62"/>
  <c r="VSB111" i="62"/>
  <c r="VRZ111" i="62"/>
  <c r="VRX111" i="62"/>
  <c r="VRV111" i="62"/>
  <c r="VRT111" i="62"/>
  <c r="VRR111" i="62"/>
  <c r="VRP111" i="62"/>
  <c r="VRN111" i="62"/>
  <c r="VRL111" i="62"/>
  <c r="VRJ111" i="62"/>
  <c r="VRH111" i="62"/>
  <c r="VRF111" i="62"/>
  <c r="VRD111" i="62"/>
  <c r="VRB111" i="62"/>
  <c r="VQZ111" i="62"/>
  <c r="VQX111" i="62"/>
  <c r="VQV111" i="62"/>
  <c r="VQT111" i="62"/>
  <c r="VQR111" i="62"/>
  <c r="VQP111" i="62"/>
  <c r="VQN111" i="62"/>
  <c r="VQL111" i="62"/>
  <c r="VQJ111" i="62"/>
  <c r="VQH111" i="62"/>
  <c r="VQF111" i="62"/>
  <c r="VQD111" i="62"/>
  <c r="VQB111" i="62"/>
  <c r="VPZ111" i="62"/>
  <c r="VPX111" i="62"/>
  <c r="VPV111" i="62"/>
  <c r="VPT111" i="62"/>
  <c r="VPR111" i="62"/>
  <c r="VPP111" i="62"/>
  <c r="VPN111" i="62"/>
  <c r="VPL111" i="62"/>
  <c r="VPJ111" i="62"/>
  <c r="VPH111" i="62"/>
  <c r="VPF111" i="62"/>
  <c r="VPD111" i="62"/>
  <c r="VPB111" i="62"/>
  <c r="VOZ111" i="62"/>
  <c r="VOX111" i="62"/>
  <c r="VOV111" i="62"/>
  <c r="VOT111" i="62"/>
  <c r="VOR111" i="62"/>
  <c r="VOP111" i="62"/>
  <c r="VON111" i="62"/>
  <c r="VOL111" i="62"/>
  <c r="VOJ111" i="62"/>
  <c r="VOH111" i="62"/>
  <c r="VOF111" i="62"/>
  <c r="VOD111" i="62"/>
  <c r="VOB111" i="62"/>
  <c r="VNZ111" i="62"/>
  <c r="VNX111" i="62"/>
  <c r="VNV111" i="62"/>
  <c r="VNT111" i="62"/>
  <c r="VNR111" i="62"/>
  <c r="VNP111" i="62"/>
  <c r="VNN111" i="62"/>
  <c r="VNL111" i="62"/>
  <c r="VNJ111" i="62"/>
  <c r="VNH111" i="62"/>
  <c r="VNF111" i="62"/>
  <c r="VND111" i="62"/>
  <c r="VNB111" i="62"/>
  <c r="VMZ111" i="62"/>
  <c r="VMX111" i="62"/>
  <c r="VMV111" i="62"/>
  <c r="VMT111" i="62"/>
  <c r="VMR111" i="62"/>
  <c r="VMP111" i="62"/>
  <c r="VMN111" i="62"/>
  <c r="VML111" i="62"/>
  <c r="VMJ111" i="62"/>
  <c r="VMH111" i="62"/>
  <c r="VMF111" i="62"/>
  <c r="VMD111" i="62"/>
  <c r="VMB111" i="62"/>
  <c r="VLZ111" i="62"/>
  <c r="VLX111" i="62"/>
  <c r="VLV111" i="62"/>
  <c r="VLT111" i="62"/>
  <c r="VLR111" i="62"/>
  <c r="VLP111" i="62"/>
  <c r="VLN111" i="62"/>
  <c r="VLL111" i="62"/>
  <c r="VLJ111" i="62"/>
  <c r="VLH111" i="62"/>
  <c r="VLF111" i="62"/>
  <c r="VLD111" i="62"/>
  <c r="VLB111" i="62"/>
  <c r="VKZ111" i="62"/>
  <c r="VKX111" i="62"/>
  <c r="VKV111" i="62"/>
  <c r="VKT111" i="62"/>
  <c r="VKR111" i="62"/>
  <c r="VKP111" i="62"/>
  <c r="VKN111" i="62"/>
  <c r="VKL111" i="62"/>
  <c r="VKJ111" i="62"/>
  <c r="VKH111" i="62"/>
  <c r="VKF111" i="62"/>
  <c r="VKD111" i="62"/>
  <c r="VKB111" i="62"/>
  <c r="VJZ111" i="62"/>
  <c r="VJX111" i="62"/>
  <c r="VJV111" i="62"/>
  <c r="VJT111" i="62"/>
  <c r="VJR111" i="62"/>
  <c r="VJP111" i="62"/>
  <c r="VJN111" i="62"/>
  <c r="VJL111" i="62"/>
  <c r="VJJ111" i="62"/>
  <c r="VJH111" i="62"/>
  <c r="VJF111" i="62"/>
  <c r="VJD111" i="62"/>
  <c r="VJB111" i="62"/>
  <c r="VIZ111" i="62"/>
  <c r="VIX111" i="62"/>
  <c r="VIV111" i="62"/>
  <c r="VIT111" i="62"/>
  <c r="VIR111" i="62"/>
  <c r="VIP111" i="62"/>
  <c r="VIN111" i="62"/>
  <c r="VIL111" i="62"/>
  <c r="VIJ111" i="62"/>
  <c r="VIH111" i="62"/>
  <c r="VIF111" i="62"/>
  <c r="VID111" i="62"/>
  <c r="VIB111" i="62"/>
  <c r="VHZ111" i="62"/>
  <c r="VHX111" i="62"/>
  <c r="VHV111" i="62"/>
  <c r="VHT111" i="62"/>
  <c r="VHR111" i="62"/>
  <c r="VHP111" i="62"/>
  <c r="VHN111" i="62"/>
  <c r="VHL111" i="62"/>
  <c r="VHJ111" i="62"/>
  <c r="VHH111" i="62"/>
  <c r="VHF111" i="62"/>
  <c r="VHD111" i="62"/>
  <c r="VHB111" i="62"/>
  <c r="VGZ111" i="62"/>
  <c r="VGX111" i="62"/>
  <c r="VGV111" i="62"/>
  <c r="VGT111" i="62"/>
  <c r="VGR111" i="62"/>
  <c r="VGP111" i="62"/>
  <c r="VGN111" i="62"/>
  <c r="VGL111" i="62"/>
  <c r="VGJ111" i="62"/>
  <c r="VGH111" i="62"/>
  <c r="VGF111" i="62"/>
  <c r="VGD111" i="62"/>
  <c r="VGB111" i="62"/>
  <c r="VFZ111" i="62"/>
  <c r="VFX111" i="62"/>
  <c r="VFV111" i="62"/>
  <c r="VFT111" i="62"/>
  <c r="VFR111" i="62"/>
  <c r="VFP111" i="62"/>
  <c r="VFN111" i="62"/>
  <c r="VFL111" i="62"/>
  <c r="VFJ111" i="62"/>
  <c r="VFH111" i="62"/>
  <c r="VFF111" i="62"/>
  <c r="VFD111" i="62"/>
  <c r="VFB111" i="62"/>
  <c r="VEZ111" i="62"/>
  <c r="VEX111" i="62"/>
  <c r="VEV111" i="62"/>
  <c r="VET111" i="62"/>
  <c r="VER111" i="62"/>
  <c r="VEP111" i="62"/>
  <c r="VEN111" i="62"/>
  <c r="VEL111" i="62"/>
  <c r="VEJ111" i="62"/>
  <c r="VEH111" i="62"/>
  <c r="VEF111" i="62"/>
  <c r="VED111" i="62"/>
  <c r="VEB111" i="62"/>
  <c r="VDZ111" i="62"/>
  <c r="VDX111" i="62"/>
  <c r="VDV111" i="62"/>
  <c r="VDT111" i="62"/>
  <c r="VDR111" i="62"/>
  <c r="VDP111" i="62"/>
  <c r="VDN111" i="62"/>
  <c r="VDL111" i="62"/>
  <c r="VDJ111" i="62"/>
  <c r="VDH111" i="62"/>
  <c r="VDF111" i="62"/>
  <c r="VDD111" i="62"/>
  <c r="VDB111" i="62"/>
  <c r="VCZ111" i="62"/>
  <c r="VCX111" i="62"/>
  <c r="VCV111" i="62"/>
  <c r="VCT111" i="62"/>
  <c r="VCR111" i="62"/>
  <c r="VCP111" i="62"/>
  <c r="VCN111" i="62"/>
  <c r="VCL111" i="62"/>
  <c r="VCJ111" i="62"/>
  <c r="VCH111" i="62"/>
  <c r="VCF111" i="62"/>
  <c r="VCD111" i="62"/>
  <c r="VCB111" i="62"/>
  <c r="VBZ111" i="62"/>
  <c r="VBX111" i="62"/>
  <c r="VBV111" i="62"/>
  <c r="VBT111" i="62"/>
  <c r="VBR111" i="62"/>
  <c r="VBP111" i="62"/>
  <c r="VBN111" i="62"/>
  <c r="VBL111" i="62"/>
  <c r="VBJ111" i="62"/>
  <c r="VBH111" i="62"/>
  <c r="VBF111" i="62"/>
  <c r="VBD111" i="62"/>
  <c r="VBB111" i="62"/>
  <c r="VAZ111" i="62"/>
  <c r="VAX111" i="62"/>
  <c r="VAV111" i="62"/>
  <c r="VAT111" i="62"/>
  <c r="VAR111" i="62"/>
  <c r="VAP111" i="62"/>
  <c r="VAN111" i="62"/>
  <c r="VAL111" i="62"/>
  <c r="VAJ111" i="62"/>
  <c r="VAH111" i="62"/>
  <c r="VAF111" i="62"/>
  <c r="VAD111" i="62"/>
  <c r="VAB111" i="62"/>
  <c r="UZZ111" i="62"/>
  <c r="UZX111" i="62"/>
  <c r="UZV111" i="62"/>
  <c r="UZT111" i="62"/>
  <c r="UZR111" i="62"/>
  <c r="UZP111" i="62"/>
  <c r="UZN111" i="62"/>
  <c r="UZL111" i="62"/>
  <c r="UZJ111" i="62"/>
  <c r="UZH111" i="62"/>
  <c r="UZF111" i="62"/>
  <c r="UZD111" i="62"/>
  <c r="UZB111" i="62"/>
  <c r="UYZ111" i="62"/>
  <c r="UYX111" i="62"/>
  <c r="UYV111" i="62"/>
  <c r="UYT111" i="62"/>
  <c r="UYR111" i="62"/>
  <c r="UYP111" i="62"/>
  <c r="UYN111" i="62"/>
  <c r="UYL111" i="62"/>
  <c r="UYJ111" i="62"/>
  <c r="UYH111" i="62"/>
  <c r="UYF111" i="62"/>
  <c r="UYD111" i="62"/>
  <c r="UYB111" i="62"/>
  <c r="UXZ111" i="62"/>
  <c r="UXX111" i="62"/>
  <c r="UXV111" i="62"/>
  <c r="UXT111" i="62"/>
  <c r="UXR111" i="62"/>
  <c r="UXP111" i="62"/>
  <c r="UXN111" i="62"/>
  <c r="UXL111" i="62"/>
  <c r="UXJ111" i="62"/>
  <c r="UXH111" i="62"/>
  <c r="UXF111" i="62"/>
  <c r="UXD111" i="62"/>
  <c r="UXB111" i="62"/>
  <c r="UWZ111" i="62"/>
  <c r="UWX111" i="62"/>
  <c r="UWV111" i="62"/>
  <c r="UWT111" i="62"/>
  <c r="UWR111" i="62"/>
  <c r="UWP111" i="62"/>
  <c r="UWN111" i="62"/>
  <c r="UWL111" i="62"/>
  <c r="UWJ111" i="62"/>
  <c r="UWH111" i="62"/>
  <c r="UWF111" i="62"/>
  <c r="UWD111" i="62"/>
  <c r="UWB111" i="62"/>
  <c r="UVZ111" i="62"/>
  <c r="UVX111" i="62"/>
  <c r="UVV111" i="62"/>
  <c r="UVT111" i="62"/>
  <c r="UVR111" i="62"/>
  <c r="UVP111" i="62"/>
  <c r="UVN111" i="62"/>
  <c r="UVL111" i="62"/>
  <c r="UVJ111" i="62"/>
  <c r="UVH111" i="62"/>
  <c r="UVF111" i="62"/>
  <c r="UVD111" i="62"/>
  <c r="UVB111" i="62"/>
  <c r="UUZ111" i="62"/>
  <c r="UUX111" i="62"/>
  <c r="UUV111" i="62"/>
  <c r="UUT111" i="62"/>
  <c r="UUR111" i="62"/>
  <c r="UUP111" i="62"/>
  <c r="UUN111" i="62"/>
  <c r="UUL111" i="62"/>
  <c r="UUJ111" i="62"/>
  <c r="UUH111" i="62"/>
  <c r="UUF111" i="62"/>
  <c r="UUD111" i="62"/>
  <c r="UUB111" i="62"/>
  <c r="UTZ111" i="62"/>
  <c r="UTX111" i="62"/>
  <c r="UTV111" i="62"/>
  <c r="UTT111" i="62"/>
  <c r="UTR111" i="62"/>
  <c r="UTP111" i="62"/>
  <c r="UTN111" i="62"/>
  <c r="UTL111" i="62"/>
  <c r="UTJ111" i="62"/>
  <c r="UTH111" i="62"/>
  <c r="UTF111" i="62"/>
  <c r="UTD111" i="62"/>
  <c r="UTB111" i="62"/>
  <c r="USZ111" i="62"/>
  <c r="USX111" i="62"/>
  <c r="USV111" i="62"/>
  <c r="UST111" i="62"/>
  <c r="USR111" i="62"/>
  <c r="USP111" i="62"/>
  <c r="USN111" i="62"/>
  <c r="USL111" i="62"/>
  <c r="USJ111" i="62"/>
  <c r="USH111" i="62"/>
  <c r="USF111" i="62"/>
  <c r="USD111" i="62"/>
  <c r="USB111" i="62"/>
  <c r="URZ111" i="62"/>
  <c r="URX111" i="62"/>
  <c r="URV111" i="62"/>
  <c r="URT111" i="62"/>
  <c r="URR111" i="62"/>
  <c r="URP111" i="62"/>
  <c r="URN111" i="62"/>
  <c r="URL111" i="62"/>
  <c r="URJ111" i="62"/>
  <c r="URH111" i="62"/>
  <c r="URF111" i="62"/>
  <c r="URD111" i="62"/>
  <c r="URB111" i="62"/>
  <c r="UQZ111" i="62"/>
  <c r="UQX111" i="62"/>
  <c r="UQV111" i="62"/>
  <c r="UQT111" i="62"/>
  <c r="UQR111" i="62"/>
  <c r="UQP111" i="62"/>
  <c r="UQN111" i="62"/>
  <c r="UQL111" i="62"/>
  <c r="UQJ111" i="62"/>
  <c r="UQH111" i="62"/>
  <c r="UQF111" i="62"/>
  <c r="UQD111" i="62"/>
  <c r="UQB111" i="62"/>
  <c r="UPZ111" i="62"/>
  <c r="UPX111" i="62"/>
  <c r="UPV111" i="62"/>
  <c r="UPT111" i="62"/>
  <c r="UPR111" i="62"/>
  <c r="UPP111" i="62"/>
  <c r="UPN111" i="62"/>
  <c r="UPL111" i="62"/>
  <c r="UPJ111" i="62"/>
  <c r="UPH111" i="62"/>
  <c r="UPF111" i="62"/>
  <c r="UPD111" i="62"/>
  <c r="UPB111" i="62"/>
  <c r="UOZ111" i="62"/>
  <c r="UOX111" i="62"/>
  <c r="UOV111" i="62"/>
  <c r="UOT111" i="62"/>
  <c r="UOR111" i="62"/>
  <c r="UOP111" i="62"/>
  <c r="UON111" i="62"/>
  <c r="UOL111" i="62"/>
  <c r="UOJ111" i="62"/>
  <c r="UOH111" i="62"/>
  <c r="UOF111" i="62"/>
  <c r="UOD111" i="62"/>
  <c r="UOB111" i="62"/>
  <c r="UNZ111" i="62"/>
  <c r="UNX111" i="62"/>
  <c r="UNV111" i="62"/>
  <c r="UNT111" i="62"/>
  <c r="UNR111" i="62"/>
  <c r="UNP111" i="62"/>
  <c r="UNN111" i="62"/>
  <c r="UNL111" i="62"/>
  <c r="UNJ111" i="62"/>
  <c r="UNH111" i="62"/>
  <c r="UNF111" i="62"/>
  <c r="UND111" i="62"/>
  <c r="UNB111" i="62"/>
  <c r="UMZ111" i="62"/>
  <c r="UMX111" i="62"/>
  <c r="UMV111" i="62"/>
  <c r="UMT111" i="62"/>
  <c r="UMR111" i="62"/>
  <c r="UMP111" i="62"/>
  <c r="UMN111" i="62"/>
  <c r="UML111" i="62"/>
  <c r="UMJ111" i="62"/>
  <c r="UMH111" i="62"/>
  <c r="UMF111" i="62"/>
  <c r="UMD111" i="62"/>
  <c r="UMB111" i="62"/>
  <c r="ULZ111" i="62"/>
  <c r="ULX111" i="62"/>
  <c r="ULV111" i="62"/>
  <c r="ULT111" i="62"/>
  <c r="ULR111" i="62"/>
  <c r="ULP111" i="62"/>
  <c r="ULN111" i="62"/>
  <c r="ULL111" i="62"/>
  <c r="ULJ111" i="62"/>
  <c r="ULH111" i="62"/>
  <c r="ULF111" i="62"/>
  <c r="ULD111" i="62"/>
  <c r="ULB111" i="62"/>
  <c r="UKZ111" i="62"/>
  <c r="UKX111" i="62"/>
  <c r="UKV111" i="62"/>
  <c r="UKT111" i="62"/>
  <c r="UKR111" i="62"/>
  <c r="UKP111" i="62"/>
  <c r="UKN111" i="62"/>
  <c r="UKL111" i="62"/>
  <c r="UKJ111" i="62"/>
  <c r="UKH111" i="62"/>
  <c r="UKF111" i="62"/>
  <c r="UKD111" i="62"/>
  <c r="UKB111" i="62"/>
  <c r="UJZ111" i="62"/>
  <c r="UJX111" i="62"/>
  <c r="UJV111" i="62"/>
  <c r="UJT111" i="62"/>
  <c r="UJR111" i="62"/>
  <c r="UJP111" i="62"/>
  <c r="UJN111" i="62"/>
  <c r="UJL111" i="62"/>
  <c r="UJJ111" i="62"/>
  <c r="UJH111" i="62"/>
  <c r="UJF111" i="62"/>
  <c r="UJD111" i="62"/>
  <c r="UJB111" i="62"/>
  <c r="UIZ111" i="62"/>
  <c r="UIX111" i="62"/>
  <c r="UIV111" i="62"/>
  <c r="UIT111" i="62"/>
  <c r="UIR111" i="62"/>
  <c r="UIP111" i="62"/>
  <c r="UIN111" i="62"/>
  <c r="UIL111" i="62"/>
  <c r="UIJ111" i="62"/>
  <c r="UIH111" i="62"/>
  <c r="UIF111" i="62"/>
  <c r="UID111" i="62"/>
  <c r="UIB111" i="62"/>
  <c r="UHZ111" i="62"/>
  <c r="UHX111" i="62"/>
  <c r="UHV111" i="62"/>
  <c r="UHT111" i="62"/>
  <c r="UHR111" i="62"/>
  <c r="UHP111" i="62"/>
  <c r="UHN111" i="62"/>
  <c r="UHL111" i="62"/>
  <c r="UHJ111" i="62"/>
  <c r="UHH111" i="62"/>
  <c r="UHF111" i="62"/>
  <c r="UHD111" i="62"/>
  <c r="UHB111" i="62"/>
  <c r="UGZ111" i="62"/>
  <c r="UGX111" i="62"/>
  <c r="UGV111" i="62"/>
  <c r="UGT111" i="62"/>
  <c r="UGR111" i="62"/>
  <c r="UGP111" i="62"/>
  <c r="UGN111" i="62"/>
  <c r="UGL111" i="62"/>
  <c r="UGJ111" i="62"/>
  <c r="UGH111" i="62"/>
  <c r="UGF111" i="62"/>
  <c r="UGD111" i="62"/>
  <c r="UGB111" i="62"/>
  <c r="UFZ111" i="62"/>
  <c r="UFX111" i="62"/>
  <c r="UFV111" i="62"/>
  <c r="UFT111" i="62"/>
  <c r="UFR111" i="62"/>
  <c r="UFP111" i="62"/>
  <c r="UFN111" i="62"/>
  <c r="UFL111" i="62"/>
  <c r="UFJ111" i="62"/>
  <c r="UFH111" i="62"/>
  <c r="UFF111" i="62"/>
  <c r="UFD111" i="62"/>
  <c r="UFB111" i="62"/>
  <c r="UEZ111" i="62"/>
  <c r="UEX111" i="62"/>
  <c r="UEV111" i="62"/>
  <c r="UET111" i="62"/>
  <c r="UER111" i="62"/>
  <c r="UEP111" i="62"/>
  <c r="UEN111" i="62"/>
  <c r="UEL111" i="62"/>
  <c r="UEJ111" i="62"/>
  <c r="UEH111" i="62"/>
  <c r="UEF111" i="62"/>
  <c r="UED111" i="62"/>
  <c r="UEB111" i="62"/>
  <c r="UDZ111" i="62"/>
  <c r="UDX111" i="62"/>
  <c r="UDV111" i="62"/>
  <c r="UDT111" i="62"/>
  <c r="UDR111" i="62"/>
  <c r="UDP111" i="62"/>
  <c r="UDN111" i="62"/>
  <c r="UDL111" i="62"/>
  <c r="UDJ111" i="62"/>
  <c r="UDH111" i="62"/>
  <c r="UDF111" i="62"/>
  <c r="UDD111" i="62"/>
  <c r="UDB111" i="62"/>
  <c r="UCZ111" i="62"/>
  <c r="UCX111" i="62"/>
  <c r="UCV111" i="62"/>
  <c r="UCT111" i="62"/>
  <c r="UCR111" i="62"/>
  <c r="UCP111" i="62"/>
  <c r="UCN111" i="62"/>
  <c r="UCL111" i="62"/>
  <c r="UCJ111" i="62"/>
  <c r="UCH111" i="62"/>
  <c r="UCF111" i="62"/>
  <c r="UCD111" i="62"/>
  <c r="UCB111" i="62"/>
  <c r="UBZ111" i="62"/>
  <c r="UBX111" i="62"/>
  <c r="UBV111" i="62"/>
  <c r="UBT111" i="62"/>
  <c r="UBR111" i="62"/>
  <c r="UBP111" i="62"/>
  <c r="UBN111" i="62"/>
  <c r="UBL111" i="62"/>
  <c r="UBJ111" i="62"/>
  <c r="UBH111" i="62"/>
  <c r="UBF111" i="62"/>
  <c r="UBD111" i="62"/>
  <c r="UBB111" i="62"/>
  <c r="UAZ111" i="62"/>
  <c r="UAX111" i="62"/>
  <c r="UAV111" i="62"/>
  <c r="UAT111" i="62"/>
  <c r="UAR111" i="62"/>
  <c r="UAP111" i="62"/>
  <c r="UAN111" i="62"/>
  <c r="UAL111" i="62"/>
  <c r="UAJ111" i="62"/>
  <c r="UAH111" i="62"/>
  <c r="UAF111" i="62"/>
  <c r="UAD111" i="62"/>
  <c r="UAB111" i="62"/>
  <c r="TZZ111" i="62"/>
  <c r="TZX111" i="62"/>
  <c r="TZV111" i="62"/>
  <c r="TZT111" i="62"/>
  <c r="TZR111" i="62"/>
  <c r="TZP111" i="62"/>
  <c r="TZN111" i="62"/>
  <c r="TZL111" i="62"/>
  <c r="TZJ111" i="62"/>
  <c r="TZH111" i="62"/>
  <c r="TZF111" i="62"/>
  <c r="TZD111" i="62"/>
  <c r="TZB111" i="62"/>
  <c r="TYZ111" i="62"/>
  <c r="TYX111" i="62"/>
  <c r="TYV111" i="62"/>
  <c r="TYT111" i="62"/>
  <c r="TYR111" i="62"/>
  <c r="TYP111" i="62"/>
  <c r="TYN111" i="62"/>
  <c r="TYL111" i="62"/>
  <c r="TYJ111" i="62"/>
  <c r="TYH111" i="62"/>
  <c r="TYF111" i="62"/>
  <c r="TYD111" i="62"/>
  <c r="TYB111" i="62"/>
  <c r="TXZ111" i="62"/>
  <c r="TXX111" i="62"/>
  <c r="TXV111" i="62"/>
  <c r="TXT111" i="62"/>
  <c r="TXR111" i="62"/>
  <c r="TXP111" i="62"/>
  <c r="TXN111" i="62"/>
  <c r="TXL111" i="62"/>
  <c r="TXJ111" i="62"/>
  <c r="TXH111" i="62"/>
  <c r="TXF111" i="62"/>
  <c r="TXD111" i="62"/>
  <c r="TXB111" i="62"/>
  <c r="TWZ111" i="62"/>
  <c r="TWX111" i="62"/>
  <c r="TWV111" i="62"/>
  <c r="TWT111" i="62"/>
  <c r="TWR111" i="62"/>
  <c r="TWP111" i="62"/>
  <c r="TWN111" i="62"/>
  <c r="TWL111" i="62"/>
  <c r="TWJ111" i="62"/>
  <c r="TWH111" i="62"/>
  <c r="TWF111" i="62"/>
  <c r="TWD111" i="62"/>
  <c r="TWB111" i="62"/>
  <c r="TVZ111" i="62"/>
  <c r="TVX111" i="62"/>
  <c r="TVV111" i="62"/>
  <c r="TVT111" i="62"/>
  <c r="TVR111" i="62"/>
  <c r="TVP111" i="62"/>
  <c r="TVN111" i="62"/>
  <c r="TVL111" i="62"/>
  <c r="TVJ111" i="62"/>
  <c r="TVH111" i="62"/>
  <c r="TVF111" i="62"/>
  <c r="TVD111" i="62"/>
  <c r="TVB111" i="62"/>
  <c r="TUZ111" i="62"/>
  <c r="TUX111" i="62"/>
  <c r="TUV111" i="62"/>
  <c r="TUT111" i="62"/>
  <c r="TUR111" i="62"/>
  <c r="TUP111" i="62"/>
  <c r="TUN111" i="62"/>
  <c r="TUL111" i="62"/>
  <c r="TUJ111" i="62"/>
  <c r="TUH111" i="62"/>
  <c r="TUF111" i="62"/>
  <c r="TUD111" i="62"/>
  <c r="TUB111" i="62"/>
  <c r="TTZ111" i="62"/>
  <c r="TTX111" i="62"/>
  <c r="TTV111" i="62"/>
  <c r="TTT111" i="62"/>
  <c r="TTR111" i="62"/>
  <c r="TTP111" i="62"/>
  <c r="TTN111" i="62"/>
  <c r="TTL111" i="62"/>
  <c r="TTJ111" i="62"/>
  <c r="TTH111" i="62"/>
  <c r="TTF111" i="62"/>
  <c r="TTD111" i="62"/>
  <c r="TTB111" i="62"/>
  <c r="TSZ111" i="62"/>
  <c r="TSX111" i="62"/>
  <c r="TSV111" i="62"/>
  <c r="TST111" i="62"/>
  <c r="TSR111" i="62"/>
  <c r="TSP111" i="62"/>
  <c r="TSN111" i="62"/>
  <c r="TSL111" i="62"/>
  <c r="TSJ111" i="62"/>
  <c r="TSH111" i="62"/>
  <c r="TSF111" i="62"/>
  <c r="TSD111" i="62"/>
  <c r="TSB111" i="62"/>
  <c r="TRZ111" i="62"/>
  <c r="TRX111" i="62"/>
  <c r="TRV111" i="62"/>
  <c r="TRT111" i="62"/>
  <c r="TRR111" i="62"/>
  <c r="TRP111" i="62"/>
  <c r="TRN111" i="62"/>
  <c r="TRL111" i="62"/>
  <c r="TRJ111" i="62"/>
  <c r="TRH111" i="62"/>
  <c r="TRF111" i="62"/>
  <c r="TRD111" i="62"/>
  <c r="TRB111" i="62"/>
  <c r="TQZ111" i="62"/>
  <c r="TQX111" i="62"/>
  <c r="TQV111" i="62"/>
  <c r="TQT111" i="62"/>
  <c r="TQR111" i="62"/>
  <c r="TQP111" i="62"/>
  <c r="TQN111" i="62"/>
  <c r="TQL111" i="62"/>
  <c r="TQJ111" i="62"/>
  <c r="TQH111" i="62"/>
  <c r="TQF111" i="62"/>
  <c r="TQD111" i="62"/>
  <c r="TQB111" i="62"/>
  <c r="TPZ111" i="62"/>
  <c r="TPX111" i="62"/>
  <c r="TPV111" i="62"/>
  <c r="TPT111" i="62"/>
  <c r="TPR111" i="62"/>
  <c r="TPP111" i="62"/>
  <c r="TPN111" i="62"/>
  <c r="TPL111" i="62"/>
  <c r="TPJ111" i="62"/>
  <c r="TPH111" i="62"/>
  <c r="TPF111" i="62"/>
  <c r="TPD111" i="62"/>
  <c r="TPB111" i="62"/>
  <c r="TOZ111" i="62"/>
  <c r="TOX111" i="62"/>
  <c r="TOV111" i="62"/>
  <c r="TOT111" i="62"/>
  <c r="TOR111" i="62"/>
  <c r="TOP111" i="62"/>
  <c r="TON111" i="62"/>
  <c r="TOL111" i="62"/>
  <c r="TOJ111" i="62"/>
  <c r="TOH111" i="62"/>
  <c r="TOF111" i="62"/>
  <c r="TOD111" i="62"/>
  <c r="TOB111" i="62"/>
  <c r="TNZ111" i="62"/>
  <c r="TNX111" i="62"/>
  <c r="TNV111" i="62"/>
  <c r="TNT111" i="62"/>
  <c r="TNR111" i="62"/>
  <c r="TNP111" i="62"/>
  <c r="TNN111" i="62"/>
  <c r="TNL111" i="62"/>
  <c r="TNJ111" i="62"/>
  <c r="TNH111" i="62"/>
  <c r="TNF111" i="62"/>
  <c r="TND111" i="62"/>
  <c r="TNB111" i="62"/>
  <c r="TMZ111" i="62"/>
  <c r="TMX111" i="62"/>
  <c r="TMV111" i="62"/>
  <c r="TMT111" i="62"/>
  <c r="TMR111" i="62"/>
  <c r="TMP111" i="62"/>
  <c r="TMN111" i="62"/>
  <c r="TML111" i="62"/>
  <c r="TMJ111" i="62"/>
  <c r="TMH111" i="62"/>
  <c r="TMF111" i="62"/>
  <c r="TMD111" i="62"/>
  <c r="TMB111" i="62"/>
  <c r="TLZ111" i="62"/>
  <c r="TLX111" i="62"/>
  <c r="TLV111" i="62"/>
  <c r="TLT111" i="62"/>
  <c r="TLR111" i="62"/>
  <c r="TLP111" i="62"/>
  <c r="TLN111" i="62"/>
  <c r="TLL111" i="62"/>
  <c r="TLJ111" i="62"/>
  <c r="TLH111" i="62"/>
  <c r="TLF111" i="62"/>
  <c r="TLD111" i="62"/>
  <c r="TLB111" i="62"/>
  <c r="TKZ111" i="62"/>
  <c r="TKX111" i="62"/>
  <c r="TKV111" i="62"/>
  <c r="TKT111" i="62"/>
  <c r="TKR111" i="62"/>
  <c r="TKP111" i="62"/>
  <c r="TKN111" i="62"/>
  <c r="TKL111" i="62"/>
  <c r="TKJ111" i="62"/>
  <c r="TKH111" i="62"/>
  <c r="TKF111" i="62"/>
  <c r="TKD111" i="62"/>
  <c r="TKB111" i="62"/>
  <c r="TJZ111" i="62"/>
  <c r="TJX111" i="62"/>
  <c r="TJV111" i="62"/>
  <c r="TJT111" i="62"/>
  <c r="TJR111" i="62"/>
  <c r="TJP111" i="62"/>
  <c r="TJN111" i="62"/>
  <c r="TJL111" i="62"/>
  <c r="TJJ111" i="62"/>
  <c r="TJH111" i="62"/>
  <c r="TJF111" i="62"/>
  <c r="TJD111" i="62"/>
  <c r="TJB111" i="62"/>
  <c r="TIZ111" i="62"/>
  <c r="TIX111" i="62"/>
  <c r="TIV111" i="62"/>
  <c r="TIT111" i="62"/>
  <c r="TIR111" i="62"/>
  <c r="TIP111" i="62"/>
  <c r="TIN111" i="62"/>
  <c r="TIL111" i="62"/>
  <c r="TIJ111" i="62"/>
  <c r="TIH111" i="62"/>
  <c r="TIF111" i="62"/>
  <c r="TID111" i="62"/>
  <c r="TIB111" i="62"/>
  <c r="THZ111" i="62"/>
  <c r="THX111" i="62"/>
  <c r="THV111" i="62"/>
  <c r="THT111" i="62"/>
  <c r="THR111" i="62"/>
  <c r="THP111" i="62"/>
  <c r="THN111" i="62"/>
  <c r="THL111" i="62"/>
  <c r="THJ111" i="62"/>
  <c r="THH111" i="62"/>
  <c r="THF111" i="62"/>
  <c r="THD111" i="62"/>
  <c r="THB111" i="62"/>
  <c r="TGZ111" i="62"/>
  <c r="TGX111" i="62"/>
  <c r="TGV111" i="62"/>
  <c r="TGT111" i="62"/>
  <c r="TGR111" i="62"/>
  <c r="TGP111" i="62"/>
  <c r="TGN111" i="62"/>
  <c r="TGL111" i="62"/>
  <c r="TGJ111" i="62"/>
  <c r="TGH111" i="62"/>
  <c r="TGF111" i="62"/>
  <c r="TGD111" i="62"/>
  <c r="TGB111" i="62"/>
  <c r="TFZ111" i="62"/>
  <c r="TFX111" i="62"/>
  <c r="TFV111" i="62"/>
  <c r="TFT111" i="62"/>
  <c r="TFR111" i="62"/>
  <c r="TFP111" i="62"/>
  <c r="TFN111" i="62"/>
  <c r="TFL111" i="62"/>
  <c r="TFJ111" i="62"/>
  <c r="TFH111" i="62"/>
  <c r="TFF111" i="62"/>
  <c r="TFD111" i="62"/>
  <c r="TFB111" i="62"/>
  <c r="TEZ111" i="62"/>
  <c r="TEX111" i="62"/>
  <c r="TEV111" i="62"/>
  <c r="TET111" i="62"/>
  <c r="TER111" i="62"/>
  <c r="TEP111" i="62"/>
  <c r="TEN111" i="62"/>
  <c r="TEL111" i="62"/>
  <c r="TEJ111" i="62"/>
  <c r="TEH111" i="62"/>
  <c r="TEF111" i="62"/>
  <c r="TED111" i="62"/>
  <c r="TEB111" i="62"/>
  <c r="TDZ111" i="62"/>
  <c r="TDX111" i="62"/>
  <c r="TDV111" i="62"/>
  <c r="TDT111" i="62"/>
  <c r="TDR111" i="62"/>
  <c r="TDP111" i="62"/>
  <c r="TDN111" i="62"/>
  <c r="TDL111" i="62"/>
  <c r="TDJ111" i="62"/>
  <c r="TDH111" i="62"/>
  <c r="TDF111" i="62"/>
  <c r="TDD111" i="62"/>
  <c r="TDB111" i="62"/>
  <c r="TCZ111" i="62"/>
  <c r="TCX111" i="62"/>
  <c r="TCV111" i="62"/>
  <c r="TCT111" i="62"/>
  <c r="TCR111" i="62"/>
  <c r="TCP111" i="62"/>
  <c r="TCN111" i="62"/>
  <c r="TCL111" i="62"/>
  <c r="TCJ111" i="62"/>
  <c r="TCH111" i="62"/>
  <c r="TCF111" i="62"/>
  <c r="TCD111" i="62"/>
  <c r="TCB111" i="62"/>
  <c r="TBZ111" i="62"/>
  <c r="TBX111" i="62"/>
  <c r="TBV111" i="62"/>
  <c r="TBT111" i="62"/>
  <c r="TBR111" i="62"/>
  <c r="TBP111" i="62"/>
  <c r="TBN111" i="62"/>
  <c r="TBL111" i="62"/>
  <c r="TBJ111" i="62"/>
  <c r="TBH111" i="62"/>
  <c r="TBF111" i="62"/>
  <c r="TBD111" i="62"/>
  <c r="TBB111" i="62"/>
  <c r="TAZ111" i="62"/>
  <c r="TAX111" i="62"/>
  <c r="TAV111" i="62"/>
  <c r="TAT111" i="62"/>
  <c r="TAR111" i="62"/>
  <c r="TAP111" i="62"/>
  <c r="TAN111" i="62"/>
  <c r="TAL111" i="62"/>
  <c r="TAJ111" i="62"/>
  <c r="TAH111" i="62"/>
  <c r="TAF111" i="62"/>
  <c r="TAD111" i="62"/>
  <c r="TAB111" i="62"/>
  <c r="SZZ111" i="62"/>
  <c r="SZX111" i="62"/>
  <c r="SZV111" i="62"/>
  <c r="SZT111" i="62"/>
  <c r="SZR111" i="62"/>
  <c r="SZP111" i="62"/>
  <c r="SZN111" i="62"/>
  <c r="SZL111" i="62"/>
  <c r="SZJ111" i="62"/>
  <c r="SZH111" i="62"/>
  <c r="SZF111" i="62"/>
  <c r="SZD111" i="62"/>
  <c r="SZB111" i="62"/>
  <c r="SYZ111" i="62"/>
  <c r="SYX111" i="62"/>
  <c r="SYV111" i="62"/>
  <c r="SYT111" i="62"/>
  <c r="SYR111" i="62"/>
  <c r="SYP111" i="62"/>
  <c r="SYN111" i="62"/>
  <c r="SYL111" i="62"/>
  <c r="SYJ111" i="62"/>
  <c r="SYH111" i="62"/>
  <c r="SYF111" i="62"/>
  <c r="SYD111" i="62"/>
  <c r="SYB111" i="62"/>
  <c r="SXZ111" i="62"/>
  <c r="SXX111" i="62"/>
  <c r="SXV111" i="62"/>
  <c r="SXT111" i="62"/>
  <c r="SXR111" i="62"/>
  <c r="SXP111" i="62"/>
  <c r="SXN111" i="62"/>
  <c r="SXL111" i="62"/>
  <c r="SXJ111" i="62"/>
  <c r="SXH111" i="62"/>
  <c r="SXF111" i="62"/>
  <c r="SXD111" i="62"/>
  <c r="SXB111" i="62"/>
  <c r="SWZ111" i="62"/>
  <c r="SWX111" i="62"/>
  <c r="SWV111" i="62"/>
  <c r="SWT111" i="62"/>
  <c r="SWR111" i="62"/>
  <c r="SWP111" i="62"/>
  <c r="SWN111" i="62"/>
  <c r="SWL111" i="62"/>
  <c r="SWJ111" i="62"/>
  <c r="SWH111" i="62"/>
  <c r="SWF111" i="62"/>
  <c r="SWD111" i="62"/>
  <c r="SWB111" i="62"/>
  <c r="SVZ111" i="62"/>
  <c r="SVX111" i="62"/>
  <c r="SVV111" i="62"/>
  <c r="SVT111" i="62"/>
  <c r="SVR111" i="62"/>
  <c r="SVP111" i="62"/>
  <c r="SVN111" i="62"/>
  <c r="SVL111" i="62"/>
  <c r="SVJ111" i="62"/>
  <c r="SVH111" i="62"/>
  <c r="SVF111" i="62"/>
  <c r="SVD111" i="62"/>
  <c r="SVB111" i="62"/>
  <c r="SUZ111" i="62"/>
  <c r="SUX111" i="62"/>
  <c r="SUV111" i="62"/>
  <c r="SUT111" i="62"/>
  <c r="SUR111" i="62"/>
  <c r="SUP111" i="62"/>
  <c r="SUN111" i="62"/>
  <c r="SUL111" i="62"/>
  <c r="SUJ111" i="62"/>
  <c r="SUH111" i="62"/>
  <c r="SUF111" i="62"/>
  <c r="SUD111" i="62"/>
  <c r="SUB111" i="62"/>
  <c r="STZ111" i="62"/>
  <c r="STX111" i="62"/>
  <c r="STV111" i="62"/>
  <c r="STT111" i="62"/>
  <c r="STR111" i="62"/>
  <c r="STP111" i="62"/>
  <c r="STN111" i="62"/>
  <c r="STL111" i="62"/>
  <c r="STJ111" i="62"/>
  <c r="STH111" i="62"/>
  <c r="STF111" i="62"/>
  <c r="STD111" i="62"/>
  <c r="STB111" i="62"/>
  <c r="SSZ111" i="62"/>
  <c r="SSX111" i="62"/>
  <c r="SSV111" i="62"/>
  <c r="SST111" i="62"/>
  <c r="SSR111" i="62"/>
  <c r="SSP111" i="62"/>
  <c r="SSN111" i="62"/>
  <c r="SSL111" i="62"/>
  <c r="SSJ111" i="62"/>
  <c r="SSH111" i="62"/>
  <c r="SSF111" i="62"/>
  <c r="SSD111" i="62"/>
  <c r="SSB111" i="62"/>
  <c r="SRZ111" i="62"/>
  <c r="SRX111" i="62"/>
  <c r="SRV111" i="62"/>
  <c r="SRT111" i="62"/>
  <c r="SRR111" i="62"/>
  <c r="SRP111" i="62"/>
  <c r="SRN111" i="62"/>
  <c r="SRL111" i="62"/>
  <c r="SRJ111" i="62"/>
  <c r="SRH111" i="62"/>
  <c r="SRF111" i="62"/>
  <c r="SRD111" i="62"/>
  <c r="SRB111" i="62"/>
  <c r="SQZ111" i="62"/>
  <c r="SQX111" i="62"/>
  <c r="SQV111" i="62"/>
  <c r="SQT111" i="62"/>
  <c r="SQR111" i="62"/>
  <c r="SQP111" i="62"/>
  <c r="SQN111" i="62"/>
  <c r="SQL111" i="62"/>
  <c r="SQJ111" i="62"/>
  <c r="SQH111" i="62"/>
  <c r="SQF111" i="62"/>
  <c r="SQD111" i="62"/>
  <c r="SQB111" i="62"/>
  <c r="SPZ111" i="62"/>
  <c r="SPX111" i="62"/>
  <c r="SPV111" i="62"/>
  <c r="SPT111" i="62"/>
  <c r="SPR111" i="62"/>
  <c r="SPP111" i="62"/>
  <c r="SPN111" i="62"/>
  <c r="SPL111" i="62"/>
  <c r="SPJ111" i="62"/>
  <c r="SPH111" i="62"/>
  <c r="SPF111" i="62"/>
  <c r="SPD111" i="62"/>
  <c r="SPB111" i="62"/>
  <c r="SOZ111" i="62"/>
  <c r="SOX111" i="62"/>
  <c r="SOV111" i="62"/>
  <c r="SOT111" i="62"/>
  <c r="SOR111" i="62"/>
  <c r="SOP111" i="62"/>
  <c r="SON111" i="62"/>
  <c r="SOL111" i="62"/>
  <c r="SOJ111" i="62"/>
  <c r="SOH111" i="62"/>
  <c r="SOF111" i="62"/>
  <c r="SOD111" i="62"/>
  <c r="SOB111" i="62"/>
  <c r="SNZ111" i="62"/>
  <c r="SNX111" i="62"/>
  <c r="SNV111" i="62"/>
  <c r="SNT111" i="62"/>
  <c r="SNR111" i="62"/>
  <c r="SNP111" i="62"/>
  <c r="SNN111" i="62"/>
  <c r="SNL111" i="62"/>
  <c r="SNJ111" i="62"/>
  <c r="SNH111" i="62"/>
  <c r="SNF111" i="62"/>
  <c r="SND111" i="62"/>
  <c r="SNB111" i="62"/>
  <c r="SMZ111" i="62"/>
  <c r="SMX111" i="62"/>
  <c r="SMV111" i="62"/>
  <c r="SMT111" i="62"/>
  <c r="SMR111" i="62"/>
  <c r="SMP111" i="62"/>
  <c r="SMN111" i="62"/>
  <c r="SML111" i="62"/>
  <c r="SMJ111" i="62"/>
  <c r="SMH111" i="62"/>
  <c r="SMF111" i="62"/>
  <c r="SMD111" i="62"/>
  <c r="SMB111" i="62"/>
  <c r="SLZ111" i="62"/>
  <c r="SLX111" i="62"/>
  <c r="SLV111" i="62"/>
  <c r="SLT111" i="62"/>
  <c r="SLR111" i="62"/>
  <c r="SLP111" i="62"/>
  <c r="SLN111" i="62"/>
  <c r="SLL111" i="62"/>
  <c r="SLJ111" i="62"/>
  <c r="SLH111" i="62"/>
  <c r="SLF111" i="62"/>
  <c r="SLD111" i="62"/>
  <c r="SLB111" i="62"/>
  <c r="SKZ111" i="62"/>
  <c r="SKX111" i="62"/>
  <c r="SKV111" i="62"/>
  <c r="SKT111" i="62"/>
  <c r="SKR111" i="62"/>
  <c r="SKP111" i="62"/>
  <c r="SKN111" i="62"/>
  <c r="SKL111" i="62"/>
  <c r="SKJ111" i="62"/>
  <c r="SKH111" i="62"/>
  <c r="SKF111" i="62"/>
  <c r="SKD111" i="62"/>
  <c r="SKB111" i="62"/>
  <c r="SJZ111" i="62"/>
  <c r="SJX111" i="62"/>
  <c r="SJV111" i="62"/>
  <c r="SJT111" i="62"/>
  <c r="SJR111" i="62"/>
  <c r="SJP111" i="62"/>
  <c r="SJN111" i="62"/>
  <c r="SJL111" i="62"/>
  <c r="SJJ111" i="62"/>
  <c r="SJH111" i="62"/>
  <c r="SJF111" i="62"/>
  <c r="SJD111" i="62"/>
  <c r="SJB111" i="62"/>
  <c r="SIZ111" i="62"/>
  <c r="SIX111" i="62"/>
  <c r="SIV111" i="62"/>
  <c r="SIT111" i="62"/>
  <c r="SIR111" i="62"/>
  <c r="SIP111" i="62"/>
  <c r="SIN111" i="62"/>
  <c r="SIL111" i="62"/>
  <c r="SIJ111" i="62"/>
  <c r="SIH111" i="62"/>
  <c r="SIF111" i="62"/>
  <c r="SID111" i="62"/>
  <c r="SIB111" i="62"/>
  <c r="SHZ111" i="62"/>
  <c r="SHX111" i="62"/>
  <c r="SHV111" i="62"/>
  <c r="SHT111" i="62"/>
  <c r="SHR111" i="62"/>
  <c r="SHP111" i="62"/>
  <c r="SHN111" i="62"/>
  <c r="SHL111" i="62"/>
  <c r="SHJ111" i="62"/>
  <c r="SHH111" i="62"/>
  <c r="SHF111" i="62"/>
  <c r="SHD111" i="62"/>
  <c r="SHB111" i="62"/>
  <c r="SGZ111" i="62"/>
  <c r="SGX111" i="62"/>
  <c r="SGV111" i="62"/>
  <c r="SGT111" i="62"/>
  <c r="SGR111" i="62"/>
  <c r="SGP111" i="62"/>
  <c r="SGN111" i="62"/>
  <c r="SGL111" i="62"/>
  <c r="SGJ111" i="62"/>
  <c r="SGH111" i="62"/>
  <c r="SGF111" i="62"/>
  <c r="SGD111" i="62"/>
  <c r="SGB111" i="62"/>
  <c r="SFZ111" i="62"/>
  <c r="SFX111" i="62"/>
  <c r="SFV111" i="62"/>
  <c r="SFT111" i="62"/>
  <c r="SFR111" i="62"/>
  <c r="SFP111" i="62"/>
  <c r="SFN111" i="62"/>
  <c r="SFL111" i="62"/>
  <c r="SFJ111" i="62"/>
  <c r="SFH111" i="62"/>
  <c r="SFF111" i="62"/>
  <c r="SFD111" i="62"/>
  <c r="SFB111" i="62"/>
  <c r="SEZ111" i="62"/>
  <c r="SEX111" i="62"/>
  <c r="SEV111" i="62"/>
  <c r="SET111" i="62"/>
  <c r="SER111" i="62"/>
  <c r="SEP111" i="62"/>
  <c r="SEN111" i="62"/>
  <c r="SEL111" i="62"/>
  <c r="SEJ111" i="62"/>
  <c r="SEH111" i="62"/>
  <c r="SEF111" i="62"/>
  <c r="SED111" i="62"/>
  <c r="SEB111" i="62"/>
  <c r="SDZ111" i="62"/>
  <c r="SDX111" i="62"/>
  <c r="SDV111" i="62"/>
  <c r="SDT111" i="62"/>
  <c r="SDR111" i="62"/>
  <c r="SDP111" i="62"/>
  <c r="SDN111" i="62"/>
  <c r="SDL111" i="62"/>
  <c r="SDJ111" i="62"/>
  <c r="SDH111" i="62"/>
  <c r="SDF111" i="62"/>
  <c r="SDD111" i="62"/>
  <c r="SDB111" i="62"/>
  <c r="SCZ111" i="62"/>
  <c r="SCX111" i="62"/>
  <c r="SCV111" i="62"/>
  <c r="SCT111" i="62"/>
  <c r="SCR111" i="62"/>
  <c r="SCP111" i="62"/>
  <c r="SCN111" i="62"/>
  <c r="SCL111" i="62"/>
  <c r="SCJ111" i="62"/>
  <c r="SCH111" i="62"/>
  <c r="SCF111" i="62"/>
  <c r="SCD111" i="62"/>
  <c r="SCB111" i="62"/>
  <c r="SBZ111" i="62"/>
  <c r="SBX111" i="62"/>
  <c r="SBV111" i="62"/>
  <c r="SBT111" i="62"/>
  <c r="SBR111" i="62"/>
  <c r="SBP111" i="62"/>
  <c r="SBN111" i="62"/>
  <c r="SBL111" i="62"/>
  <c r="SBJ111" i="62"/>
  <c r="SBH111" i="62"/>
  <c r="SBF111" i="62"/>
  <c r="SBD111" i="62"/>
  <c r="SBB111" i="62"/>
  <c r="SAZ111" i="62"/>
  <c r="SAX111" i="62"/>
  <c r="SAV111" i="62"/>
  <c r="SAT111" i="62"/>
  <c r="SAR111" i="62"/>
  <c r="SAP111" i="62"/>
  <c r="SAN111" i="62"/>
  <c r="SAL111" i="62"/>
  <c r="SAJ111" i="62"/>
  <c r="SAH111" i="62"/>
  <c r="SAF111" i="62"/>
  <c r="SAD111" i="62"/>
  <c r="SAB111" i="62"/>
  <c r="RZZ111" i="62"/>
  <c r="RZX111" i="62"/>
  <c r="RZV111" i="62"/>
  <c r="RZT111" i="62"/>
  <c r="RZR111" i="62"/>
  <c r="RZP111" i="62"/>
  <c r="RZN111" i="62"/>
  <c r="RZL111" i="62"/>
  <c r="RZJ111" i="62"/>
  <c r="RZH111" i="62"/>
  <c r="RZF111" i="62"/>
  <c r="RZD111" i="62"/>
  <c r="RZB111" i="62"/>
  <c r="RYZ111" i="62"/>
  <c r="RYX111" i="62"/>
  <c r="RYV111" i="62"/>
  <c r="RYT111" i="62"/>
  <c r="RYR111" i="62"/>
  <c r="RYP111" i="62"/>
  <c r="RYN111" i="62"/>
  <c r="RYL111" i="62"/>
  <c r="RYJ111" i="62"/>
  <c r="RYH111" i="62"/>
  <c r="RYF111" i="62"/>
  <c r="RYD111" i="62"/>
  <c r="RYB111" i="62"/>
  <c r="RXZ111" i="62"/>
  <c r="RXX111" i="62"/>
  <c r="RXV111" i="62"/>
  <c r="RXT111" i="62"/>
  <c r="RXR111" i="62"/>
  <c r="RXP111" i="62"/>
  <c r="RXN111" i="62"/>
  <c r="RXL111" i="62"/>
  <c r="RXJ111" i="62"/>
  <c r="RXH111" i="62"/>
  <c r="RXF111" i="62"/>
  <c r="RXD111" i="62"/>
  <c r="RXB111" i="62"/>
  <c r="RWZ111" i="62"/>
  <c r="RWX111" i="62"/>
  <c r="RWV111" i="62"/>
  <c r="RWT111" i="62"/>
  <c r="RWR111" i="62"/>
  <c r="RWP111" i="62"/>
  <c r="RWN111" i="62"/>
  <c r="RWL111" i="62"/>
  <c r="RWJ111" i="62"/>
  <c r="RWH111" i="62"/>
  <c r="RWF111" i="62"/>
  <c r="RWD111" i="62"/>
  <c r="RWB111" i="62"/>
  <c r="RVZ111" i="62"/>
  <c r="RVX111" i="62"/>
  <c r="RVV111" i="62"/>
  <c r="RVT111" i="62"/>
  <c r="RVR111" i="62"/>
  <c r="RVP111" i="62"/>
  <c r="RVN111" i="62"/>
  <c r="RVL111" i="62"/>
  <c r="RVJ111" i="62"/>
  <c r="RVH111" i="62"/>
  <c r="RVF111" i="62"/>
  <c r="RVD111" i="62"/>
  <c r="RVB111" i="62"/>
  <c r="RUZ111" i="62"/>
  <c r="RUX111" i="62"/>
  <c r="RUV111" i="62"/>
  <c r="RUT111" i="62"/>
  <c r="RUR111" i="62"/>
  <c r="RUP111" i="62"/>
  <c r="RUN111" i="62"/>
  <c r="RUL111" i="62"/>
  <c r="RUJ111" i="62"/>
  <c r="RUH111" i="62"/>
  <c r="RUF111" i="62"/>
  <c r="RUD111" i="62"/>
  <c r="RUB111" i="62"/>
  <c r="RTZ111" i="62"/>
  <c r="RTX111" i="62"/>
  <c r="RTV111" i="62"/>
  <c r="RTT111" i="62"/>
  <c r="RTR111" i="62"/>
  <c r="RTP111" i="62"/>
  <c r="RTN111" i="62"/>
  <c r="RTL111" i="62"/>
  <c r="RTJ111" i="62"/>
  <c r="RTH111" i="62"/>
  <c r="RTF111" i="62"/>
  <c r="RTD111" i="62"/>
  <c r="RTB111" i="62"/>
  <c r="RSZ111" i="62"/>
  <c r="RSX111" i="62"/>
  <c r="RSV111" i="62"/>
  <c r="RST111" i="62"/>
  <c r="RSR111" i="62"/>
  <c r="RSP111" i="62"/>
  <c r="RSN111" i="62"/>
  <c r="RSL111" i="62"/>
  <c r="RSJ111" i="62"/>
  <c r="RSH111" i="62"/>
  <c r="RSF111" i="62"/>
  <c r="RSD111" i="62"/>
  <c r="RSB111" i="62"/>
  <c r="RRZ111" i="62"/>
  <c r="RRX111" i="62"/>
  <c r="RRV111" i="62"/>
  <c r="RRT111" i="62"/>
  <c r="RRR111" i="62"/>
  <c r="RRP111" i="62"/>
  <c r="RRN111" i="62"/>
  <c r="RRL111" i="62"/>
  <c r="RRJ111" i="62"/>
  <c r="RRH111" i="62"/>
  <c r="RRF111" i="62"/>
  <c r="RRD111" i="62"/>
  <c r="RRB111" i="62"/>
  <c r="RQZ111" i="62"/>
  <c r="RQX111" i="62"/>
  <c r="RQV111" i="62"/>
  <c r="RQT111" i="62"/>
  <c r="RQR111" i="62"/>
  <c r="RQP111" i="62"/>
  <c r="RQN111" i="62"/>
  <c r="RQL111" i="62"/>
  <c r="RQJ111" i="62"/>
  <c r="RQH111" i="62"/>
  <c r="RQF111" i="62"/>
  <c r="RQD111" i="62"/>
  <c r="RQB111" i="62"/>
  <c r="RPZ111" i="62"/>
  <c r="RPX111" i="62"/>
  <c r="RPV111" i="62"/>
  <c r="RPT111" i="62"/>
  <c r="RPR111" i="62"/>
  <c r="RPP111" i="62"/>
  <c r="RPN111" i="62"/>
  <c r="RPL111" i="62"/>
  <c r="RPJ111" i="62"/>
  <c r="RPH111" i="62"/>
  <c r="RPF111" i="62"/>
  <c r="RPD111" i="62"/>
  <c r="RPB111" i="62"/>
  <c r="ROZ111" i="62"/>
  <c r="ROX111" i="62"/>
  <c r="ROV111" i="62"/>
  <c r="ROT111" i="62"/>
  <c r="ROR111" i="62"/>
  <c r="ROP111" i="62"/>
  <c r="RON111" i="62"/>
  <c r="ROL111" i="62"/>
  <c r="ROJ111" i="62"/>
  <c r="ROH111" i="62"/>
  <c r="ROF111" i="62"/>
  <c r="ROD111" i="62"/>
  <c r="ROB111" i="62"/>
  <c r="RNZ111" i="62"/>
  <c r="RNX111" i="62"/>
  <c r="RNV111" i="62"/>
  <c r="RNT111" i="62"/>
  <c r="RNR111" i="62"/>
  <c r="RNP111" i="62"/>
  <c r="RNN111" i="62"/>
  <c r="RNL111" i="62"/>
  <c r="RNJ111" i="62"/>
  <c r="RNH111" i="62"/>
  <c r="RNF111" i="62"/>
  <c r="RND111" i="62"/>
  <c r="RNB111" i="62"/>
  <c r="RMZ111" i="62"/>
  <c r="RMX111" i="62"/>
  <c r="RMV111" i="62"/>
  <c r="RMT111" i="62"/>
  <c r="RMR111" i="62"/>
  <c r="RMP111" i="62"/>
  <c r="RMN111" i="62"/>
  <c r="RML111" i="62"/>
  <c r="RMJ111" i="62"/>
  <c r="RMH111" i="62"/>
  <c r="RMF111" i="62"/>
  <c r="RMD111" i="62"/>
  <c r="RMB111" i="62"/>
  <c r="RLZ111" i="62"/>
  <c r="RLX111" i="62"/>
  <c r="RLV111" i="62"/>
  <c r="RLT111" i="62"/>
  <c r="RLR111" i="62"/>
  <c r="RLP111" i="62"/>
  <c r="RLN111" i="62"/>
  <c r="RLL111" i="62"/>
  <c r="RLJ111" i="62"/>
  <c r="RLH111" i="62"/>
  <c r="RLF111" i="62"/>
  <c r="RLD111" i="62"/>
  <c r="RLB111" i="62"/>
  <c r="RKZ111" i="62"/>
  <c r="RKX111" i="62"/>
  <c r="RKV111" i="62"/>
  <c r="RKT111" i="62"/>
  <c r="RKR111" i="62"/>
  <c r="RKP111" i="62"/>
  <c r="RKN111" i="62"/>
  <c r="RKL111" i="62"/>
  <c r="RKJ111" i="62"/>
  <c r="RKH111" i="62"/>
  <c r="RKF111" i="62"/>
  <c r="RKD111" i="62"/>
  <c r="RKB111" i="62"/>
  <c r="RJZ111" i="62"/>
  <c r="RJX111" i="62"/>
  <c r="RJV111" i="62"/>
  <c r="RJT111" i="62"/>
  <c r="RJR111" i="62"/>
  <c r="RJP111" i="62"/>
  <c r="RJN111" i="62"/>
  <c r="RJL111" i="62"/>
  <c r="RJJ111" i="62"/>
  <c r="RJH111" i="62"/>
  <c r="RJF111" i="62"/>
  <c r="RJD111" i="62"/>
  <c r="RJB111" i="62"/>
  <c r="RIZ111" i="62"/>
  <c r="RIX111" i="62"/>
  <c r="RIV111" i="62"/>
  <c r="RIT111" i="62"/>
  <c r="RIR111" i="62"/>
  <c r="RIP111" i="62"/>
  <c r="RIN111" i="62"/>
  <c r="RIL111" i="62"/>
  <c r="RIJ111" i="62"/>
  <c r="RIH111" i="62"/>
  <c r="RIF111" i="62"/>
  <c r="RID111" i="62"/>
  <c r="RIB111" i="62"/>
  <c r="RHZ111" i="62"/>
  <c r="RHX111" i="62"/>
  <c r="RHV111" i="62"/>
  <c r="RHT111" i="62"/>
  <c r="RHR111" i="62"/>
  <c r="RHP111" i="62"/>
  <c r="RHN111" i="62"/>
  <c r="RHL111" i="62"/>
  <c r="RHJ111" i="62"/>
  <c r="RHH111" i="62"/>
  <c r="RHF111" i="62"/>
  <c r="RHD111" i="62"/>
  <c r="RHB111" i="62"/>
  <c r="RGZ111" i="62"/>
  <c r="RGX111" i="62"/>
  <c r="RGV111" i="62"/>
  <c r="RGT111" i="62"/>
  <c r="RGR111" i="62"/>
  <c r="RGP111" i="62"/>
  <c r="RGN111" i="62"/>
  <c r="RGL111" i="62"/>
  <c r="RGJ111" i="62"/>
  <c r="RGH111" i="62"/>
  <c r="RGF111" i="62"/>
  <c r="RGD111" i="62"/>
  <c r="RGB111" i="62"/>
  <c r="RFZ111" i="62"/>
  <c r="RFX111" i="62"/>
  <c r="RFV111" i="62"/>
  <c r="RFT111" i="62"/>
  <c r="RFR111" i="62"/>
  <c r="RFP111" i="62"/>
  <c r="RFN111" i="62"/>
  <c r="RFL111" i="62"/>
  <c r="RFJ111" i="62"/>
  <c r="RFH111" i="62"/>
  <c r="RFF111" i="62"/>
  <c r="RFD111" i="62"/>
  <c r="RFB111" i="62"/>
  <c r="REZ111" i="62"/>
  <c r="REX111" i="62"/>
  <c r="REV111" i="62"/>
  <c r="RET111" i="62"/>
  <c r="RER111" i="62"/>
  <c r="REP111" i="62"/>
  <c r="REN111" i="62"/>
  <c r="REL111" i="62"/>
  <c r="REJ111" i="62"/>
  <c r="REH111" i="62"/>
  <c r="REF111" i="62"/>
  <c r="RED111" i="62"/>
  <c r="REB111" i="62"/>
  <c r="RDZ111" i="62"/>
  <c r="RDX111" i="62"/>
  <c r="RDV111" i="62"/>
  <c r="RDT111" i="62"/>
  <c r="RDR111" i="62"/>
  <c r="RDP111" i="62"/>
  <c r="RDN111" i="62"/>
  <c r="RDL111" i="62"/>
  <c r="RDJ111" i="62"/>
  <c r="RDH111" i="62"/>
  <c r="RDF111" i="62"/>
  <c r="RDD111" i="62"/>
  <c r="RDB111" i="62"/>
  <c r="RCZ111" i="62"/>
  <c r="RCX111" i="62"/>
  <c r="RCV111" i="62"/>
  <c r="RCT111" i="62"/>
  <c r="RCR111" i="62"/>
  <c r="RCP111" i="62"/>
  <c r="RCN111" i="62"/>
  <c r="RCL111" i="62"/>
  <c r="RCJ111" i="62"/>
  <c r="RCH111" i="62"/>
  <c r="RCF111" i="62"/>
  <c r="RCD111" i="62"/>
  <c r="RCB111" i="62"/>
  <c r="RBZ111" i="62"/>
  <c r="RBX111" i="62"/>
  <c r="RBV111" i="62"/>
  <c r="RBT111" i="62"/>
  <c r="RBR111" i="62"/>
  <c r="RBP111" i="62"/>
  <c r="RBN111" i="62"/>
  <c r="RBL111" i="62"/>
  <c r="RBJ111" i="62"/>
  <c r="RBH111" i="62"/>
  <c r="RBF111" i="62"/>
  <c r="RBD111" i="62"/>
  <c r="RBB111" i="62"/>
  <c r="RAZ111" i="62"/>
  <c r="RAX111" i="62"/>
  <c r="RAV111" i="62"/>
  <c r="RAT111" i="62"/>
  <c r="RAR111" i="62"/>
  <c r="RAP111" i="62"/>
  <c r="RAN111" i="62"/>
  <c r="RAL111" i="62"/>
  <c r="RAJ111" i="62"/>
  <c r="RAH111" i="62"/>
  <c r="RAF111" i="62"/>
  <c r="RAD111" i="62"/>
  <c r="RAB111" i="62"/>
  <c r="QZZ111" i="62"/>
  <c r="QZX111" i="62"/>
  <c r="QZV111" i="62"/>
  <c r="QZT111" i="62"/>
  <c r="QZR111" i="62"/>
  <c r="QZP111" i="62"/>
  <c r="QZN111" i="62"/>
  <c r="QZL111" i="62"/>
  <c r="QZJ111" i="62"/>
  <c r="QZH111" i="62"/>
  <c r="QZF111" i="62"/>
  <c r="QZD111" i="62"/>
  <c r="QZB111" i="62"/>
  <c r="QYZ111" i="62"/>
  <c r="QYX111" i="62"/>
  <c r="QYV111" i="62"/>
  <c r="QYT111" i="62"/>
  <c r="QYR111" i="62"/>
  <c r="QYP111" i="62"/>
  <c r="QYN111" i="62"/>
  <c r="QYL111" i="62"/>
  <c r="QYJ111" i="62"/>
  <c r="QYH111" i="62"/>
  <c r="QYF111" i="62"/>
  <c r="QYD111" i="62"/>
  <c r="QYB111" i="62"/>
  <c r="QXZ111" i="62"/>
  <c r="QXX111" i="62"/>
  <c r="QXV111" i="62"/>
  <c r="QXT111" i="62"/>
  <c r="QXR111" i="62"/>
  <c r="QXP111" i="62"/>
  <c r="QXN111" i="62"/>
  <c r="QXL111" i="62"/>
  <c r="QXJ111" i="62"/>
  <c r="QXH111" i="62"/>
  <c r="QXF111" i="62"/>
  <c r="QXD111" i="62"/>
  <c r="QXB111" i="62"/>
  <c r="QWZ111" i="62"/>
  <c r="QWX111" i="62"/>
  <c r="QWV111" i="62"/>
  <c r="QWT111" i="62"/>
  <c r="QWR111" i="62"/>
  <c r="QWP111" i="62"/>
  <c r="QWN111" i="62"/>
  <c r="QWL111" i="62"/>
  <c r="QWJ111" i="62"/>
  <c r="QWH111" i="62"/>
  <c r="QWF111" i="62"/>
  <c r="QWD111" i="62"/>
  <c r="QWB111" i="62"/>
  <c r="QVZ111" i="62"/>
  <c r="QVX111" i="62"/>
  <c r="QVV111" i="62"/>
  <c r="QVT111" i="62"/>
  <c r="QVR111" i="62"/>
  <c r="QVP111" i="62"/>
  <c r="QVN111" i="62"/>
  <c r="QVL111" i="62"/>
  <c r="QVJ111" i="62"/>
  <c r="QVH111" i="62"/>
  <c r="QVF111" i="62"/>
  <c r="QVD111" i="62"/>
  <c r="QVB111" i="62"/>
  <c r="QUZ111" i="62"/>
  <c r="QUX111" i="62"/>
  <c r="QUV111" i="62"/>
  <c r="QUT111" i="62"/>
  <c r="QUR111" i="62"/>
  <c r="QUP111" i="62"/>
  <c r="QUN111" i="62"/>
  <c r="QUL111" i="62"/>
  <c r="QUJ111" i="62"/>
  <c r="QUH111" i="62"/>
  <c r="QUF111" i="62"/>
  <c r="QUD111" i="62"/>
  <c r="QUB111" i="62"/>
  <c r="QTZ111" i="62"/>
  <c r="QTX111" i="62"/>
  <c r="QTV111" i="62"/>
  <c r="QTT111" i="62"/>
  <c r="QTR111" i="62"/>
  <c r="QTP111" i="62"/>
  <c r="QTN111" i="62"/>
  <c r="QTL111" i="62"/>
  <c r="QTJ111" i="62"/>
  <c r="QTH111" i="62"/>
  <c r="QTF111" i="62"/>
  <c r="QTD111" i="62"/>
  <c r="QTB111" i="62"/>
  <c r="QSZ111" i="62"/>
  <c r="QSX111" i="62"/>
  <c r="QSV111" i="62"/>
  <c r="QST111" i="62"/>
  <c r="QSR111" i="62"/>
  <c r="QSP111" i="62"/>
  <c r="QSN111" i="62"/>
  <c r="QSL111" i="62"/>
  <c r="QSJ111" i="62"/>
  <c r="QSH111" i="62"/>
  <c r="QSF111" i="62"/>
  <c r="QSD111" i="62"/>
  <c r="QSB111" i="62"/>
  <c r="QRZ111" i="62"/>
  <c r="QRX111" i="62"/>
  <c r="QRV111" i="62"/>
  <c r="QRT111" i="62"/>
  <c r="QRR111" i="62"/>
  <c r="QRP111" i="62"/>
  <c r="QRN111" i="62"/>
  <c r="QRL111" i="62"/>
  <c r="QRJ111" i="62"/>
  <c r="QRH111" i="62"/>
  <c r="QRF111" i="62"/>
  <c r="QRD111" i="62"/>
  <c r="QRB111" i="62"/>
  <c r="QQZ111" i="62"/>
  <c r="QQX111" i="62"/>
  <c r="QQV111" i="62"/>
  <c r="QQT111" i="62"/>
  <c r="QQR111" i="62"/>
  <c r="QQP111" i="62"/>
  <c r="QQN111" i="62"/>
  <c r="QQL111" i="62"/>
  <c r="QQJ111" i="62"/>
  <c r="QQH111" i="62"/>
  <c r="QQF111" i="62"/>
  <c r="QQD111" i="62"/>
  <c r="QQB111" i="62"/>
  <c r="QPZ111" i="62"/>
  <c r="QPX111" i="62"/>
  <c r="QPV111" i="62"/>
  <c r="QPT111" i="62"/>
  <c r="QPR111" i="62"/>
  <c r="QPP111" i="62"/>
  <c r="QPN111" i="62"/>
  <c r="QPL111" i="62"/>
  <c r="QPJ111" i="62"/>
  <c r="QPH111" i="62"/>
  <c r="QPF111" i="62"/>
  <c r="QPD111" i="62"/>
  <c r="QPB111" i="62"/>
  <c r="QOZ111" i="62"/>
  <c r="QOX111" i="62"/>
  <c r="QOV111" i="62"/>
  <c r="QOT111" i="62"/>
  <c r="QOR111" i="62"/>
  <c r="QOP111" i="62"/>
  <c r="QON111" i="62"/>
  <c r="QOL111" i="62"/>
  <c r="QOJ111" i="62"/>
  <c r="QOH111" i="62"/>
  <c r="QOF111" i="62"/>
  <c r="QOD111" i="62"/>
  <c r="QOB111" i="62"/>
  <c r="QNZ111" i="62"/>
  <c r="QNX111" i="62"/>
  <c r="QNV111" i="62"/>
  <c r="QNT111" i="62"/>
  <c r="QNR111" i="62"/>
  <c r="QNP111" i="62"/>
  <c r="QNN111" i="62"/>
  <c r="QNL111" i="62"/>
  <c r="QNJ111" i="62"/>
  <c r="QNH111" i="62"/>
  <c r="QNF111" i="62"/>
  <c r="QND111" i="62"/>
  <c r="QNB111" i="62"/>
  <c r="QMZ111" i="62"/>
  <c r="QMX111" i="62"/>
  <c r="QMV111" i="62"/>
  <c r="QMT111" i="62"/>
  <c r="QMR111" i="62"/>
  <c r="QMP111" i="62"/>
  <c r="QMN111" i="62"/>
  <c r="QML111" i="62"/>
  <c r="QMJ111" i="62"/>
  <c r="QMH111" i="62"/>
  <c r="QMF111" i="62"/>
  <c r="QMD111" i="62"/>
  <c r="QMB111" i="62"/>
  <c r="QLZ111" i="62"/>
  <c r="QLX111" i="62"/>
  <c r="QLV111" i="62"/>
  <c r="QLT111" i="62"/>
  <c r="QLR111" i="62"/>
  <c r="QLP111" i="62"/>
  <c r="QLN111" i="62"/>
  <c r="QLL111" i="62"/>
  <c r="QLJ111" i="62"/>
  <c r="QLH111" i="62"/>
  <c r="QLF111" i="62"/>
  <c r="QLD111" i="62"/>
  <c r="QLB111" i="62"/>
  <c r="QKZ111" i="62"/>
  <c r="QKX111" i="62"/>
  <c r="QKV111" i="62"/>
  <c r="QKT111" i="62"/>
  <c r="QKR111" i="62"/>
  <c r="QKP111" i="62"/>
  <c r="QKN111" i="62"/>
  <c r="QKL111" i="62"/>
  <c r="QKJ111" i="62"/>
  <c r="QKH111" i="62"/>
  <c r="QKF111" i="62"/>
  <c r="QKD111" i="62"/>
  <c r="QKB111" i="62"/>
  <c r="QJZ111" i="62"/>
  <c r="QJX111" i="62"/>
  <c r="QJV111" i="62"/>
  <c r="QJT111" i="62"/>
  <c r="QJR111" i="62"/>
  <c r="QJP111" i="62"/>
  <c r="QJN111" i="62"/>
  <c r="QJL111" i="62"/>
  <c r="QJJ111" i="62"/>
  <c r="QJH111" i="62"/>
  <c r="QJF111" i="62"/>
  <c r="QJD111" i="62"/>
  <c r="QJB111" i="62"/>
  <c r="QIZ111" i="62"/>
  <c r="QIX111" i="62"/>
  <c r="QIV111" i="62"/>
  <c r="QIT111" i="62"/>
  <c r="QIR111" i="62"/>
  <c r="QIP111" i="62"/>
  <c r="QIN111" i="62"/>
  <c r="QIL111" i="62"/>
  <c r="QIJ111" i="62"/>
  <c r="QIH111" i="62"/>
  <c r="QIF111" i="62"/>
  <c r="QID111" i="62"/>
  <c r="QIB111" i="62"/>
  <c r="QHZ111" i="62"/>
  <c r="QHX111" i="62"/>
  <c r="QHV111" i="62"/>
  <c r="QHT111" i="62"/>
  <c r="QHR111" i="62"/>
  <c r="QHP111" i="62"/>
  <c r="QHN111" i="62"/>
  <c r="QHL111" i="62"/>
  <c r="QHJ111" i="62"/>
  <c r="QHH111" i="62"/>
  <c r="QHF111" i="62"/>
  <c r="QHD111" i="62"/>
  <c r="QHB111" i="62"/>
  <c r="QGZ111" i="62"/>
  <c r="QGX111" i="62"/>
  <c r="QGV111" i="62"/>
  <c r="QGT111" i="62"/>
  <c r="QGR111" i="62"/>
  <c r="QGP111" i="62"/>
  <c r="QGN111" i="62"/>
  <c r="QGL111" i="62"/>
  <c r="QGJ111" i="62"/>
  <c r="QGH111" i="62"/>
  <c r="QGF111" i="62"/>
  <c r="QGD111" i="62"/>
  <c r="QGB111" i="62"/>
  <c r="QFZ111" i="62"/>
  <c r="QFX111" i="62"/>
  <c r="QFV111" i="62"/>
  <c r="QFT111" i="62"/>
  <c r="QFR111" i="62"/>
  <c r="QFP111" i="62"/>
  <c r="QFN111" i="62"/>
  <c r="QFL111" i="62"/>
  <c r="QFJ111" i="62"/>
  <c r="QFH111" i="62"/>
  <c r="QFF111" i="62"/>
  <c r="QFD111" i="62"/>
  <c r="QFB111" i="62"/>
  <c r="QEZ111" i="62"/>
  <c r="QEX111" i="62"/>
  <c r="QEV111" i="62"/>
  <c r="QET111" i="62"/>
  <c r="QER111" i="62"/>
  <c r="QEP111" i="62"/>
  <c r="QEN111" i="62"/>
  <c r="QEL111" i="62"/>
  <c r="QEJ111" i="62"/>
  <c r="QEH111" i="62"/>
  <c r="QEF111" i="62"/>
  <c r="QED111" i="62"/>
  <c r="QEB111" i="62"/>
  <c r="QDZ111" i="62"/>
  <c r="QDX111" i="62"/>
  <c r="QDV111" i="62"/>
  <c r="QDT111" i="62"/>
  <c r="QDR111" i="62"/>
  <c r="QDP111" i="62"/>
  <c r="QDN111" i="62"/>
  <c r="QDL111" i="62"/>
  <c r="QDJ111" i="62"/>
  <c r="QDH111" i="62"/>
  <c r="QDF111" i="62"/>
  <c r="QDD111" i="62"/>
  <c r="QDB111" i="62"/>
  <c r="QCZ111" i="62"/>
  <c r="QCX111" i="62"/>
  <c r="QCV111" i="62"/>
  <c r="QCT111" i="62"/>
  <c r="QCR111" i="62"/>
  <c r="QCP111" i="62"/>
  <c r="QCN111" i="62"/>
  <c r="QCL111" i="62"/>
  <c r="QCJ111" i="62"/>
  <c r="QCH111" i="62"/>
  <c r="QCF111" i="62"/>
  <c r="QCD111" i="62"/>
  <c r="QCB111" i="62"/>
  <c r="QBZ111" i="62"/>
  <c r="QBX111" i="62"/>
  <c r="QBV111" i="62"/>
  <c r="QBT111" i="62"/>
  <c r="QBR111" i="62"/>
  <c r="QBP111" i="62"/>
  <c r="QBN111" i="62"/>
  <c r="QBL111" i="62"/>
  <c r="QBJ111" i="62"/>
  <c r="QBH111" i="62"/>
  <c r="QBF111" i="62"/>
  <c r="QBD111" i="62"/>
  <c r="QBB111" i="62"/>
  <c r="QAZ111" i="62"/>
  <c r="QAX111" i="62"/>
  <c r="QAV111" i="62"/>
  <c r="QAT111" i="62"/>
  <c r="QAR111" i="62"/>
  <c r="QAP111" i="62"/>
  <c r="QAN111" i="62"/>
  <c r="QAL111" i="62"/>
  <c r="QAJ111" i="62"/>
  <c r="QAH111" i="62"/>
  <c r="QAF111" i="62"/>
  <c r="QAD111" i="62"/>
  <c r="QAB111" i="62"/>
  <c r="PZZ111" i="62"/>
  <c r="PZX111" i="62"/>
  <c r="PZV111" i="62"/>
  <c r="PZT111" i="62"/>
  <c r="PZR111" i="62"/>
  <c r="PZP111" i="62"/>
  <c r="PZN111" i="62"/>
  <c r="PZL111" i="62"/>
  <c r="PZJ111" i="62"/>
  <c r="PZH111" i="62"/>
  <c r="PZF111" i="62"/>
  <c r="PZD111" i="62"/>
  <c r="PZB111" i="62"/>
  <c r="PYZ111" i="62"/>
  <c r="PYX111" i="62"/>
  <c r="PYV111" i="62"/>
  <c r="PYT111" i="62"/>
  <c r="PYR111" i="62"/>
  <c r="PYP111" i="62"/>
  <c r="PYN111" i="62"/>
  <c r="PYL111" i="62"/>
  <c r="PYJ111" i="62"/>
  <c r="PYH111" i="62"/>
  <c r="PYF111" i="62"/>
  <c r="PYD111" i="62"/>
  <c r="PYB111" i="62"/>
  <c r="PXZ111" i="62"/>
  <c r="PXX111" i="62"/>
  <c r="PXV111" i="62"/>
  <c r="PXT111" i="62"/>
  <c r="PXR111" i="62"/>
  <c r="PXP111" i="62"/>
  <c r="PXN111" i="62"/>
  <c r="PXL111" i="62"/>
  <c r="PXJ111" i="62"/>
  <c r="PXH111" i="62"/>
  <c r="PXF111" i="62"/>
  <c r="PXD111" i="62"/>
  <c r="PXB111" i="62"/>
  <c r="PWZ111" i="62"/>
  <c r="PWX111" i="62"/>
  <c r="PWV111" i="62"/>
  <c r="PWT111" i="62"/>
  <c r="PWR111" i="62"/>
  <c r="PWP111" i="62"/>
  <c r="PWN111" i="62"/>
  <c r="PWL111" i="62"/>
  <c r="PWJ111" i="62"/>
  <c r="PWH111" i="62"/>
  <c r="PWF111" i="62"/>
  <c r="PWD111" i="62"/>
  <c r="PWB111" i="62"/>
  <c r="PVZ111" i="62"/>
  <c r="PVX111" i="62"/>
  <c r="PVV111" i="62"/>
  <c r="PVT111" i="62"/>
  <c r="PVR111" i="62"/>
  <c r="PVP111" i="62"/>
  <c r="PVN111" i="62"/>
  <c r="PVL111" i="62"/>
  <c r="PVJ111" i="62"/>
  <c r="PVH111" i="62"/>
  <c r="PVF111" i="62"/>
  <c r="PVD111" i="62"/>
  <c r="PVB111" i="62"/>
  <c r="PUZ111" i="62"/>
  <c r="PUX111" i="62"/>
  <c r="PUV111" i="62"/>
  <c r="PUT111" i="62"/>
  <c r="PUR111" i="62"/>
  <c r="PUP111" i="62"/>
  <c r="PUN111" i="62"/>
  <c r="PUL111" i="62"/>
  <c r="PUJ111" i="62"/>
  <c r="PUH111" i="62"/>
  <c r="PUF111" i="62"/>
  <c r="PUD111" i="62"/>
  <c r="PUB111" i="62"/>
  <c r="PTZ111" i="62"/>
  <c r="PTX111" i="62"/>
  <c r="PTV111" i="62"/>
  <c r="PTT111" i="62"/>
  <c r="PTR111" i="62"/>
  <c r="PTP111" i="62"/>
  <c r="PTN111" i="62"/>
  <c r="PTL111" i="62"/>
  <c r="PTJ111" i="62"/>
  <c r="PTH111" i="62"/>
  <c r="PTF111" i="62"/>
  <c r="PTD111" i="62"/>
  <c r="PTB111" i="62"/>
  <c r="PSZ111" i="62"/>
  <c r="PSX111" i="62"/>
  <c r="PSV111" i="62"/>
  <c r="PST111" i="62"/>
  <c r="PSR111" i="62"/>
  <c r="PSP111" i="62"/>
  <c r="PSN111" i="62"/>
  <c r="PSL111" i="62"/>
  <c r="PSJ111" i="62"/>
  <c r="PSH111" i="62"/>
  <c r="PSF111" i="62"/>
  <c r="PSD111" i="62"/>
  <c r="PSB111" i="62"/>
  <c r="PRZ111" i="62"/>
  <c r="PRX111" i="62"/>
  <c r="PRV111" i="62"/>
  <c r="PRT111" i="62"/>
  <c r="PRR111" i="62"/>
  <c r="PRP111" i="62"/>
  <c r="PRN111" i="62"/>
  <c r="PRL111" i="62"/>
  <c r="PRJ111" i="62"/>
  <c r="PRH111" i="62"/>
  <c r="PRF111" i="62"/>
  <c r="PRD111" i="62"/>
  <c r="PRB111" i="62"/>
  <c r="PQZ111" i="62"/>
  <c r="PQX111" i="62"/>
  <c r="PQV111" i="62"/>
  <c r="PQT111" i="62"/>
  <c r="PQR111" i="62"/>
  <c r="PQP111" i="62"/>
  <c r="PQN111" i="62"/>
  <c r="PQL111" i="62"/>
  <c r="PQJ111" i="62"/>
  <c r="PQH111" i="62"/>
  <c r="PQF111" i="62"/>
  <c r="PQD111" i="62"/>
  <c r="PQB111" i="62"/>
  <c r="PPZ111" i="62"/>
  <c r="PPX111" i="62"/>
  <c r="PPV111" i="62"/>
  <c r="PPT111" i="62"/>
  <c r="PPR111" i="62"/>
  <c r="PPP111" i="62"/>
  <c r="PPN111" i="62"/>
  <c r="PPL111" i="62"/>
  <c r="PPJ111" i="62"/>
  <c r="PPH111" i="62"/>
  <c r="PPF111" i="62"/>
  <c r="PPD111" i="62"/>
  <c r="PPB111" i="62"/>
  <c r="POZ111" i="62"/>
  <c r="POX111" i="62"/>
  <c r="POV111" i="62"/>
  <c r="POT111" i="62"/>
  <c r="POR111" i="62"/>
  <c r="POP111" i="62"/>
  <c r="PON111" i="62"/>
  <c r="POL111" i="62"/>
  <c r="POJ111" i="62"/>
  <c r="POH111" i="62"/>
  <c r="POF111" i="62"/>
  <c r="POD111" i="62"/>
  <c r="POB111" i="62"/>
  <c r="PNZ111" i="62"/>
  <c r="PNX111" i="62"/>
  <c r="PNV111" i="62"/>
  <c r="PNT111" i="62"/>
  <c r="PNR111" i="62"/>
  <c r="PNP111" i="62"/>
  <c r="PNN111" i="62"/>
  <c r="PNL111" i="62"/>
  <c r="PNJ111" i="62"/>
  <c r="PNH111" i="62"/>
  <c r="PNF111" i="62"/>
  <c r="PND111" i="62"/>
  <c r="PNB111" i="62"/>
  <c r="PMZ111" i="62"/>
  <c r="PMX111" i="62"/>
  <c r="PMV111" i="62"/>
  <c r="PMT111" i="62"/>
  <c r="PMR111" i="62"/>
  <c r="PMP111" i="62"/>
  <c r="PMN111" i="62"/>
  <c r="PML111" i="62"/>
  <c r="PMJ111" i="62"/>
  <c r="PMH111" i="62"/>
  <c r="PMF111" i="62"/>
  <c r="PMD111" i="62"/>
  <c r="PMB111" i="62"/>
  <c r="PLZ111" i="62"/>
  <c r="PLX111" i="62"/>
  <c r="PLV111" i="62"/>
  <c r="PLT111" i="62"/>
  <c r="PLR111" i="62"/>
  <c r="PLP111" i="62"/>
  <c r="PLN111" i="62"/>
  <c r="PLL111" i="62"/>
  <c r="PLJ111" i="62"/>
  <c r="PLH111" i="62"/>
  <c r="PLF111" i="62"/>
  <c r="PLD111" i="62"/>
  <c r="PLB111" i="62"/>
  <c r="PKZ111" i="62"/>
  <c r="PKX111" i="62"/>
  <c r="PKV111" i="62"/>
  <c r="PKT111" i="62"/>
  <c r="PKR111" i="62"/>
  <c r="PKP111" i="62"/>
  <c r="PKN111" i="62"/>
  <c r="PKL111" i="62"/>
  <c r="PKJ111" i="62"/>
  <c r="PKH111" i="62"/>
  <c r="PKF111" i="62"/>
  <c r="PKD111" i="62"/>
  <c r="PKB111" i="62"/>
  <c r="PJZ111" i="62"/>
  <c r="PJX111" i="62"/>
  <c r="PJV111" i="62"/>
  <c r="PJT111" i="62"/>
  <c r="PJR111" i="62"/>
  <c r="PJP111" i="62"/>
  <c r="PJN111" i="62"/>
  <c r="PJL111" i="62"/>
  <c r="PJJ111" i="62"/>
  <c r="PJH111" i="62"/>
  <c r="PJF111" i="62"/>
  <c r="PJD111" i="62"/>
  <c r="PJB111" i="62"/>
  <c r="PIZ111" i="62"/>
  <c r="PIX111" i="62"/>
  <c r="PIV111" i="62"/>
  <c r="PIT111" i="62"/>
  <c r="PIR111" i="62"/>
  <c r="PIP111" i="62"/>
  <c r="PIN111" i="62"/>
  <c r="PIL111" i="62"/>
  <c r="PIJ111" i="62"/>
  <c r="PIH111" i="62"/>
  <c r="PIF111" i="62"/>
  <c r="PID111" i="62"/>
  <c r="PIB111" i="62"/>
  <c r="PHZ111" i="62"/>
  <c r="PHX111" i="62"/>
  <c r="PHV111" i="62"/>
  <c r="PHT111" i="62"/>
  <c r="PHR111" i="62"/>
  <c r="PHP111" i="62"/>
  <c r="PHN111" i="62"/>
  <c r="PHL111" i="62"/>
  <c r="PHJ111" i="62"/>
  <c r="PHH111" i="62"/>
  <c r="PHF111" i="62"/>
  <c r="PHD111" i="62"/>
  <c r="PHB111" i="62"/>
  <c r="PGZ111" i="62"/>
  <c r="PGX111" i="62"/>
  <c r="PGV111" i="62"/>
  <c r="PGT111" i="62"/>
  <c r="PGR111" i="62"/>
  <c r="PGP111" i="62"/>
  <c r="PGN111" i="62"/>
  <c r="PGL111" i="62"/>
  <c r="PGJ111" i="62"/>
  <c r="PGH111" i="62"/>
  <c r="PGF111" i="62"/>
  <c r="PGD111" i="62"/>
  <c r="PGB111" i="62"/>
  <c r="PFZ111" i="62"/>
  <c r="PFX111" i="62"/>
  <c r="PFV111" i="62"/>
  <c r="PFT111" i="62"/>
  <c r="PFR111" i="62"/>
  <c r="PFP111" i="62"/>
  <c r="PFN111" i="62"/>
  <c r="PFL111" i="62"/>
  <c r="PFJ111" i="62"/>
  <c r="PFH111" i="62"/>
  <c r="PFF111" i="62"/>
  <c r="PFD111" i="62"/>
  <c r="PFB111" i="62"/>
  <c r="PEZ111" i="62"/>
  <c r="PEX111" i="62"/>
  <c r="PEV111" i="62"/>
  <c r="PET111" i="62"/>
  <c r="PER111" i="62"/>
  <c r="PEP111" i="62"/>
  <c r="PEN111" i="62"/>
  <c r="PEL111" i="62"/>
  <c r="PEJ111" i="62"/>
  <c r="PEH111" i="62"/>
  <c r="PEF111" i="62"/>
  <c r="PED111" i="62"/>
  <c r="PEB111" i="62"/>
  <c r="PDZ111" i="62"/>
  <c r="PDX111" i="62"/>
  <c r="PDV111" i="62"/>
  <c r="PDT111" i="62"/>
  <c r="PDR111" i="62"/>
  <c r="PDP111" i="62"/>
  <c r="PDN111" i="62"/>
  <c r="PDL111" i="62"/>
  <c r="PDJ111" i="62"/>
  <c r="PDH111" i="62"/>
  <c r="PDF111" i="62"/>
  <c r="PDD111" i="62"/>
  <c r="PDB111" i="62"/>
  <c r="PCZ111" i="62"/>
  <c r="PCX111" i="62"/>
  <c r="PCV111" i="62"/>
  <c r="PCT111" i="62"/>
  <c r="PCR111" i="62"/>
  <c r="PCP111" i="62"/>
  <c r="PCN111" i="62"/>
  <c r="PCL111" i="62"/>
  <c r="PCJ111" i="62"/>
  <c r="PCH111" i="62"/>
  <c r="PCF111" i="62"/>
  <c r="PCD111" i="62"/>
  <c r="PCB111" i="62"/>
  <c r="PBZ111" i="62"/>
  <c r="PBX111" i="62"/>
  <c r="PBV111" i="62"/>
  <c r="PBT111" i="62"/>
  <c r="PBR111" i="62"/>
  <c r="PBP111" i="62"/>
  <c r="PBN111" i="62"/>
  <c r="PBL111" i="62"/>
  <c r="PBJ111" i="62"/>
  <c r="PBH111" i="62"/>
  <c r="PBF111" i="62"/>
  <c r="PBD111" i="62"/>
  <c r="PBB111" i="62"/>
  <c r="PAZ111" i="62"/>
  <c r="PAX111" i="62"/>
  <c r="PAV111" i="62"/>
  <c r="PAT111" i="62"/>
  <c r="PAR111" i="62"/>
  <c r="PAP111" i="62"/>
  <c r="PAN111" i="62"/>
  <c r="PAL111" i="62"/>
  <c r="PAJ111" i="62"/>
  <c r="PAH111" i="62"/>
  <c r="PAF111" i="62"/>
  <c r="PAD111" i="62"/>
  <c r="PAB111" i="62"/>
  <c r="OZZ111" i="62"/>
  <c r="OZX111" i="62"/>
  <c r="OZV111" i="62"/>
  <c r="OZT111" i="62"/>
  <c r="OZR111" i="62"/>
  <c r="OZP111" i="62"/>
  <c r="OZN111" i="62"/>
  <c r="OZL111" i="62"/>
  <c r="OZJ111" i="62"/>
  <c r="OZH111" i="62"/>
  <c r="OZF111" i="62"/>
  <c r="OZD111" i="62"/>
  <c r="OZB111" i="62"/>
  <c r="OYZ111" i="62"/>
  <c r="OYX111" i="62"/>
  <c r="OYV111" i="62"/>
  <c r="OYT111" i="62"/>
  <c r="OYR111" i="62"/>
  <c r="OYP111" i="62"/>
  <c r="OYN111" i="62"/>
  <c r="OYL111" i="62"/>
  <c r="OYJ111" i="62"/>
  <c r="OYH111" i="62"/>
  <c r="OYF111" i="62"/>
  <c r="OYD111" i="62"/>
  <c r="OYB111" i="62"/>
  <c r="OXZ111" i="62"/>
  <c r="OXX111" i="62"/>
  <c r="OXV111" i="62"/>
  <c r="OXT111" i="62"/>
  <c r="OXR111" i="62"/>
  <c r="OXP111" i="62"/>
  <c r="OXN111" i="62"/>
  <c r="OXL111" i="62"/>
  <c r="OXJ111" i="62"/>
  <c r="OXH111" i="62"/>
  <c r="OXF111" i="62"/>
  <c r="OXD111" i="62"/>
  <c r="OXB111" i="62"/>
  <c r="OWZ111" i="62"/>
  <c r="OWX111" i="62"/>
  <c r="OWV111" i="62"/>
  <c r="OWT111" i="62"/>
  <c r="OWR111" i="62"/>
  <c r="OWP111" i="62"/>
  <c r="OWN111" i="62"/>
  <c r="OWL111" i="62"/>
  <c r="OWJ111" i="62"/>
  <c r="OWH111" i="62"/>
  <c r="OWF111" i="62"/>
  <c r="OWD111" i="62"/>
  <c r="OWB111" i="62"/>
  <c r="OVZ111" i="62"/>
  <c r="OVX111" i="62"/>
  <c r="OVV111" i="62"/>
  <c r="OVT111" i="62"/>
  <c r="OVR111" i="62"/>
  <c r="OVP111" i="62"/>
  <c r="OVN111" i="62"/>
  <c r="OVL111" i="62"/>
  <c r="OVJ111" i="62"/>
  <c r="OVH111" i="62"/>
  <c r="OVF111" i="62"/>
  <c r="OVD111" i="62"/>
  <c r="OVB111" i="62"/>
  <c r="OUZ111" i="62"/>
  <c r="OUX111" i="62"/>
  <c r="OUV111" i="62"/>
  <c r="OUT111" i="62"/>
  <c r="OUR111" i="62"/>
  <c r="OUP111" i="62"/>
  <c r="OUN111" i="62"/>
  <c r="OUL111" i="62"/>
  <c r="OUJ111" i="62"/>
  <c r="OUH111" i="62"/>
  <c r="OUF111" i="62"/>
  <c r="OUD111" i="62"/>
  <c r="OUB111" i="62"/>
  <c r="OTZ111" i="62"/>
  <c r="OTX111" i="62"/>
  <c r="OTV111" i="62"/>
  <c r="OTT111" i="62"/>
  <c r="OTR111" i="62"/>
  <c r="OTP111" i="62"/>
  <c r="OTN111" i="62"/>
  <c r="OTL111" i="62"/>
  <c r="OTJ111" i="62"/>
  <c r="OTH111" i="62"/>
  <c r="OTF111" i="62"/>
  <c r="OTD111" i="62"/>
  <c r="OTB111" i="62"/>
  <c r="OSZ111" i="62"/>
  <c r="OSX111" i="62"/>
  <c r="OSV111" i="62"/>
  <c r="OST111" i="62"/>
  <c r="OSR111" i="62"/>
  <c r="OSP111" i="62"/>
  <c r="OSN111" i="62"/>
  <c r="OSL111" i="62"/>
  <c r="OSJ111" i="62"/>
  <c r="OSH111" i="62"/>
  <c r="OSF111" i="62"/>
  <c r="OSD111" i="62"/>
  <c r="OSB111" i="62"/>
  <c r="ORZ111" i="62"/>
  <c r="ORX111" i="62"/>
  <c r="ORV111" i="62"/>
  <c r="ORT111" i="62"/>
  <c r="ORR111" i="62"/>
  <c r="ORP111" i="62"/>
  <c r="ORN111" i="62"/>
  <c r="ORL111" i="62"/>
  <c r="ORJ111" i="62"/>
  <c r="ORH111" i="62"/>
  <c r="ORF111" i="62"/>
  <c r="ORD111" i="62"/>
  <c r="ORB111" i="62"/>
  <c r="OQZ111" i="62"/>
  <c r="OQX111" i="62"/>
  <c r="OQV111" i="62"/>
  <c r="OQT111" i="62"/>
  <c r="OQR111" i="62"/>
  <c r="OQP111" i="62"/>
  <c r="OQN111" i="62"/>
  <c r="OQL111" i="62"/>
  <c r="OQJ111" i="62"/>
  <c r="OQH111" i="62"/>
  <c r="OQF111" i="62"/>
  <c r="OQD111" i="62"/>
  <c r="OQB111" i="62"/>
  <c r="OPZ111" i="62"/>
  <c r="OPX111" i="62"/>
  <c r="OPV111" i="62"/>
  <c r="OPT111" i="62"/>
  <c r="OPR111" i="62"/>
  <c r="OPP111" i="62"/>
  <c r="OPN111" i="62"/>
  <c r="OPL111" i="62"/>
  <c r="OPJ111" i="62"/>
  <c r="OPH111" i="62"/>
  <c r="OPF111" i="62"/>
  <c r="OPD111" i="62"/>
  <c r="OPB111" i="62"/>
  <c r="OOZ111" i="62"/>
  <c r="OOX111" i="62"/>
  <c r="OOV111" i="62"/>
  <c r="OOT111" i="62"/>
  <c r="OOR111" i="62"/>
  <c r="OOP111" i="62"/>
  <c r="OON111" i="62"/>
  <c r="OOL111" i="62"/>
  <c r="OOJ111" i="62"/>
  <c r="OOH111" i="62"/>
  <c r="OOF111" i="62"/>
  <c r="OOD111" i="62"/>
  <c r="OOB111" i="62"/>
  <c r="ONZ111" i="62"/>
  <c r="ONX111" i="62"/>
  <c r="ONV111" i="62"/>
  <c r="ONT111" i="62"/>
  <c r="ONR111" i="62"/>
  <c r="ONP111" i="62"/>
  <c r="ONN111" i="62"/>
  <c r="ONL111" i="62"/>
  <c r="ONJ111" i="62"/>
  <c r="ONH111" i="62"/>
  <c r="ONF111" i="62"/>
  <c r="OND111" i="62"/>
  <c r="ONB111" i="62"/>
  <c r="OMZ111" i="62"/>
  <c r="OMX111" i="62"/>
  <c r="OMV111" i="62"/>
  <c r="OMT111" i="62"/>
  <c r="OMR111" i="62"/>
  <c r="OMP111" i="62"/>
  <c r="OMN111" i="62"/>
  <c r="OML111" i="62"/>
  <c r="OMJ111" i="62"/>
  <c r="OMH111" i="62"/>
  <c r="OMF111" i="62"/>
  <c r="OMD111" i="62"/>
  <c r="OMB111" i="62"/>
  <c r="OLZ111" i="62"/>
  <c r="OLX111" i="62"/>
  <c r="OLV111" i="62"/>
  <c r="OLT111" i="62"/>
  <c r="OLR111" i="62"/>
  <c r="OLP111" i="62"/>
  <c r="OLN111" i="62"/>
  <c r="OLL111" i="62"/>
  <c r="OLJ111" i="62"/>
  <c r="OLH111" i="62"/>
  <c r="OLF111" i="62"/>
  <c r="OLD111" i="62"/>
  <c r="OLB111" i="62"/>
  <c r="OKZ111" i="62"/>
  <c r="OKX111" i="62"/>
  <c r="OKV111" i="62"/>
  <c r="OKT111" i="62"/>
  <c r="OKR111" i="62"/>
  <c r="OKP111" i="62"/>
  <c r="OKN111" i="62"/>
  <c r="OKL111" i="62"/>
  <c r="OKJ111" i="62"/>
  <c r="OKH111" i="62"/>
  <c r="OKF111" i="62"/>
  <c r="OKD111" i="62"/>
  <c r="OKB111" i="62"/>
  <c r="OJZ111" i="62"/>
  <c r="OJX111" i="62"/>
  <c r="OJV111" i="62"/>
  <c r="OJT111" i="62"/>
  <c r="OJR111" i="62"/>
  <c r="OJP111" i="62"/>
  <c r="OJN111" i="62"/>
  <c r="OJL111" i="62"/>
  <c r="OJJ111" i="62"/>
  <c r="OJH111" i="62"/>
  <c r="OJF111" i="62"/>
  <c r="OJD111" i="62"/>
  <c r="OJB111" i="62"/>
  <c r="OIZ111" i="62"/>
  <c r="OIX111" i="62"/>
  <c r="OIV111" i="62"/>
  <c r="OIT111" i="62"/>
  <c r="OIR111" i="62"/>
  <c r="OIP111" i="62"/>
  <c r="OIN111" i="62"/>
  <c r="OIL111" i="62"/>
  <c r="OIJ111" i="62"/>
  <c r="OIH111" i="62"/>
  <c r="OIF111" i="62"/>
  <c r="OID111" i="62"/>
  <c r="OIB111" i="62"/>
  <c r="OHZ111" i="62"/>
  <c r="OHX111" i="62"/>
  <c r="OHV111" i="62"/>
  <c r="OHT111" i="62"/>
  <c r="OHR111" i="62"/>
  <c r="OHP111" i="62"/>
  <c r="OHN111" i="62"/>
  <c r="OHL111" i="62"/>
  <c r="OHJ111" i="62"/>
  <c r="OHH111" i="62"/>
  <c r="OHF111" i="62"/>
  <c r="OHD111" i="62"/>
  <c r="OHB111" i="62"/>
  <c r="OGZ111" i="62"/>
  <c r="OGX111" i="62"/>
  <c r="OGV111" i="62"/>
  <c r="OGT111" i="62"/>
  <c r="OGR111" i="62"/>
  <c r="OGP111" i="62"/>
  <c r="OGN111" i="62"/>
  <c r="OGL111" i="62"/>
  <c r="OGJ111" i="62"/>
  <c r="OGH111" i="62"/>
  <c r="OGF111" i="62"/>
  <c r="OGD111" i="62"/>
  <c r="OGB111" i="62"/>
  <c r="OFZ111" i="62"/>
  <c r="OFX111" i="62"/>
  <c r="OFV111" i="62"/>
  <c r="OFT111" i="62"/>
  <c r="OFR111" i="62"/>
  <c r="OFP111" i="62"/>
  <c r="OFN111" i="62"/>
  <c r="OFL111" i="62"/>
  <c r="OFJ111" i="62"/>
  <c r="OFH111" i="62"/>
  <c r="OFF111" i="62"/>
  <c r="OFD111" i="62"/>
  <c r="OFB111" i="62"/>
  <c r="OEZ111" i="62"/>
  <c r="OEX111" i="62"/>
  <c r="OEV111" i="62"/>
  <c r="OET111" i="62"/>
  <c r="OER111" i="62"/>
  <c r="OEP111" i="62"/>
  <c r="OEN111" i="62"/>
  <c r="OEL111" i="62"/>
  <c r="OEJ111" i="62"/>
  <c r="OEH111" i="62"/>
  <c r="OEF111" i="62"/>
  <c r="OED111" i="62"/>
  <c r="OEB111" i="62"/>
  <c r="ODZ111" i="62"/>
  <c r="ODX111" i="62"/>
  <c r="ODV111" i="62"/>
  <c r="ODT111" i="62"/>
  <c r="ODR111" i="62"/>
  <c r="ODP111" i="62"/>
  <c r="ODN111" i="62"/>
  <c r="ODL111" i="62"/>
  <c r="ODJ111" i="62"/>
  <c r="ODH111" i="62"/>
  <c r="ODF111" i="62"/>
  <c r="ODD111" i="62"/>
  <c r="ODB111" i="62"/>
  <c r="OCZ111" i="62"/>
  <c r="OCX111" i="62"/>
  <c r="OCV111" i="62"/>
  <c r="OCT111" i="62"/>
  <c r="OCR111" i="62"/>
  <c r="OCP111" i="62"/>
  <c r="OCN111" i="62"/>
  <c r="OCL111" i="62"/>
  <c r="OCJ111" i="62"/>
  <c r="OCH111" i="62"/>
  <c r="OCF111" i="62"/>
  <c r="OCD111" i="62"/>
  <c r="OCB111" i="62"/>
  <c r="OBZ111" i="62"/>
  <c r="OBX111" i="62"/>
  <c r="OBV111" i="62"/>
  <c r="OBT111" i="62"/>
  <c r="OBR111" i="62"/>
  <c r="OBP111" i="62"/>
  <c r="OBN111" i="62"/>
  <c r="OBL111" i="62"/>
  <c r="OBJ111" i="62"/>
  <c r="OBH111" i="62"/>
  <c r="OBF111" i="62"/>
  <c r="OBD111" i="62"/>
  <c r="OBB111" i="62"/>
  <c r="OAZ111" i="62"/>
  <c r="OAX111" i="62"/>
  <c r="OAV111" i="62"/>
  <c r="OAT111" i="62"/>
  <c r="OAR111" i="62"/>
  <c r="OAP111" i="62"/>
  <c r="OAN111" i="62"/>
  <c r="OAL111" i="62"/>
  <c r="OAJ111" i="62"/>
  <c r="OAH111" i="62"/>
  <c r="OAF111" i="62"/>
  <c r="OAD111" i="62"/>
  <c r="OAB111" i="62"/>
  <c r="NZZ111" i="62"/>
  <c r="NZX111" i="62"/>
  <c r="NZV111" i="62"/>
  <c r="NZT111" i="62"/>
  <c r="NZR111" i="62"/>
  <c r="NZP111" i="62"/>
  <c r="NZN111" i="62"/>
  <c r="NZL111" i="62"/>
  <c r="NZJ111" i="62"/>
  <c r="NZH111" i="62"/>
  <c r="NZF111" i="62"/>
  <c r="NZD111" i="62"/>
  <c r="NZB111" i="62"/>
  <c r="NYZ111" i="62"/>
  <c r="NYX111" i="62"/>
  <c r="NYV111" i="62"/>
  <c r="NYT111" i="62"/>
  <c r="NYR111" i="62"/>
  <c r="NYP111" i="62"/>
  <c r="NYN111" i="62"/>
  <c r="NYL111" i="62"/>
  <c r="NYJ111" i="62"/>
  <c r="NYH111" i="62"/>
  <c r="NYF111" i="62"/>
  <c r="NYD111" i="62"/>
  <c r="NYB111" i="62"/>
  <c r="NXZ111" i="62"/>
  <c r="NXX111" i="62"/>
  <c r="NXV111" i="62"/>
  <c r="NXT111" i="62"/>
  <c r="NXR111" i="62"/>
  <c r="NXP111" i="62"/>
  <c r="NXN111" i="62"/>
  <c r="NXL111" i="62"/>
  <c r="NXJ111" i="62"/>
  <c r="NXH111" i="62"/>
  <c r="NXF111" i="62"/>
  <c r="NXD111" i="62"/>
  <c r="NXB111" i="62"/>
  <c r="NWZ111" i="62"/>
  <c r="NWX111" i="62"/>
  <c r="NWV111" i="62"/>
  <c r="NWT111" i="62"/>
  <c r="NWR111" i="62"/>
  <c r="NWP111" i="62"/>
  <c r="NWN111" i="62"/>
  <c r="NWL111" i="62"/>
  <c r="NWJ111" i="62"/>
  <c r="NWH111" i="62"/>
  <c r="NWF111" i="62"/>
  <c r="NWD111" i="62"/>
  <c r="NWB111" i="62"/>
  <c r="NVZ111" i="62"/>
  <c r="NVX111" i="62"/>
  <c r="NVV111" i="62"/>
  <c r="NVT111" i="62"/>
  <c r="NVR111" i="62"/>
  <c r="NVP111" i="62"/>
  <c r="NVN111" i="62"/>
  <c r="NVL111" i="62"/>
  <c r="NVJ111" i="62"/>
  <c r="NVH111" i="62"/>
  <c r="NVF111" i="62"/>
  <c r="NVD111" i="62"/>
  <c r="NVB111" i="62"/>
  <c r="NUZ111" i="62"/>
  <c r="NUX111" i="62"/>
  <c r="NUV111" i="62"/>
  <c r="NUT111" i="62"/>
  <c r="NUR111" i="62"/>
  <c r="NUP111" i="62"/>
  <c r="NUN111" i="62"/>
  <c r="NUL111" i="62"/>
  <c r="NUJ111" i="62"/>
  <c r="NUH111" i="62"/>
  <c r="NUF111" i="62"/>
  <c r="NUD111" i="62"/>
  <c r="NUB111" i="62"/>
  <c r="NTZ111" i="62"/>
  <c r="NTX111" i="62"/>
  <c r="NTV111" i="62"/>
  <c r="NTT111" i="62"/>
  <c r="NTR111" i="62"/>
  <c r="NTP111" i="62"/>
  <c r="NTN111" i="62"/>
  <c r="NTL111" i="62"/>
  <c r="NTJ111" i="62"/>
  <c r="NTH111" i="62"/>
  <c r="NTF111" i="62"/>
  <c r="NTD111" i="62"/>
  <c r="NTB111" i="62"/>
  <c r="NSZ111" i="62"/>
  <c r="NSX111" i="62"/>
  <c r="NSV111" i="62"/>
  <c r="NST111" i="62"/>
  <c r="NSR111" i="62"/>
  <c r="NSP111" i="62"/>
  <c r="NSN111" i="62"/>
  <c r="NSL111" i="62"/>
  <c r="NSJ111" i="62"/>
  <c r="NSH111" i="62"/>
  <c r="NSF111" i="62"/>
  <c r="NSD111" i="62"/>
  <c r="NSB111" i="62"/>
  <c r="NRZ111" i="62"/>
  <c r="NRX111" i="62"/>
  <c r="NRV111" i="62"/>
  <c r="NRT111" i="62"/>
  <c r="NRR111" i="62"/>
  <c r="NRP111" i="62"/>
  <c r="NRN111" i="62"/>
  <c r="NRL111" i="62"/>
  <c r="NRJ111" i="62"/>
  <c r="NRH111" i="62"/>
  <c r="NRF111" i="62"/>
  <c r="NRD111" i="62"/>
  <c r="NRB111" i="62"/>
  <c r="NQZ111" i="62"/>
  <c r="NQX111" i="62"/>
  <c r="NQV111" i="62"/>
  <c r="NQT111" i="62"/>
  <c r="NQR111" i="62"/>
  <c r="NQP111" i="62"/>
  <c r="NQN111" i="62"/>
  <c r="NQL111" i="62"/>
  <c r="NQJ111" i="62"/>
  <c r="NQH111" i="62"/>
  <c r="NQF111" i="62"/>
  <c r="NQD111" i="62"/>
  <c r="NQB111" i="62"/>
  <c r="NPZ111" i="62"/>
  <c r="NPX111" i="62"/>
  <c r="NPV111" i="62"/>
  <c r="NPT111" i="62"/>
  <c r="NPR111" i="62"/>
  <c r="NPP111" i="62"/>
  <c r="NPN111" i="62"/>
  <c r="NPL111" i="62"/>
  <c r="NPJ111" i="62"/>
  <c r="NPH111" i="62"/>
  <c r="NPF111" i="62"/>
  <c r="NPD111" i="62"/>
  <c r="NPB111" i="62"/>
  <c r="NOZ111" i="62"/>
  <c r="NOX111" i="62"/>
  <c r="NOV111" i="62"/>
  <c r="NOT111" i="62"/>
  <c r="NOR111" i="62"/>
  <c r="NOP111" i="62"/>
  <c r="NON111" i="62"/>
  <c r="NOL111" i="62"/>
  <c r="NOJ111" i="62"/>
  <c r="NOH111" i="62"/>
  <c r="NOF111" i="62"/>
  <c r="NOD111" i="62"/>
  <c r="NOB111" i="62"/>
  <c r="NNZ111" i="62"/>
  <c r="NNX111" i="62"/>
  <c r="NNV111" i="62"/>
  <c r="NNT111" i="62"/>
  <c r="NNR111" i="62"/>
  <c r="NNP111" i="62"/>
  <c r="NNN111" i="62"/>
  <c r="NNL111" i="62"/>
  <c r="NNJ111" i="62"/>
  <c r="NNH111" i="62"/>
  <c r="NNF111" i="62"/>
  <c r="NND111" i="62"/>
  <c r="NNB111" i="62"/>
  <c r="NMZ111" i="62"/>
  <c r="NMX111" i="62"/>
  <c r="NMV111" i="62"/>
  <c r="NMT111" i="62"/>
  <c r="NMR111" i="62"/>
  <c r="NMP111" i="62"/>
  <c r="NMN111" i="62"/>
  <c r="NML111" i="62"/>
  <c r="NMJ111" i="62"/>
  <c r="NMH111" i="62"/>
  <c r="NMF111" i="62"/>
  <c r="NMD111" i="62"/>
  <c r="NMB111" i="62"/>
  <c r="NLZ111" i="62"/>
  <c r="NLX111" i="62"/>
  <c r="NLV111" i="62"/>
  <c r="NLT111" i="62"/>
  <c r="NLR111" i="62"/>
  <c r="NLP111" i="62"/>
  <c r="NLN111" i="62"/>
  <c r="NLL111" i="62"/>
  <c r="NLJ111" i="62"/>
  <c r="NLH111" i="62"/>
  <c r="NLF111" i="62"/>
  <c r="NLD111" i="62"/>
  <c r="NLB111" i="62"/>
  <c r="NKZ111" i="62"/>
  <c r="NKX111" i="62"/>
  <c r="NKV111" i="62"/>
  <c r="NKT111" i="62"/>
  <c r="NKR111" i="62"/>
  <c r="NKP111" i="62"/>
  <c r="NKN111" i="62"/>
  <c r="NKL111" i="62"/>
  <c r="NKJ111" i="62"/>
  <c r="NKH111" i="62"/>
  <c r="NKF111" i="62"/>
  <c r="NKD111" i="62"/>
  <c r="NKB111" i="62"/>
  <c r="NJZ111" i="62"/>
  <c r="NJX111" i="62"/>
  <c r="NJV111" i="62"/>
  <c r="NJT111" i="62"/>
  <c r="NJR111" i="62"/>
  <c r="NJP111" i="62"/>
  <c r="NJN111" i="62"/>
  <c r="NJL111" i="62"/>
  <c r="NJJ111" i="62"/>
  <c r="NJH111" i="62"/>
  <c r="NJF111" i="62"/>
  <c r="NJD111" i="62"/>
  <c r="NJB111" i="62"/>
  <c r="NIZ111" i="62"/>
  <c r="NIX111" i="62"/>
  <c r="NIV111" i="62"/>
  <c r="NIT111" i="62"/>
  <c r="NIR111" i="62"/>
  <c r="NIP111" i="62"/>
  <c r="NIN111" i="62"/>
  <c r="NIL111" i="62"/>
  <c r="NIJ111" i="62"/>
  <c r="NIH111" i="62"/>
  <c r="NIF111" i="62"/>
  <c r="NID111" i="62"/>
  <c r="NIB111" i="62"/>
  <c r="NHZ111" i="62"/>
  <c r="NHX111" i="62"/>
  <c r="NHV111" i="62"/>
  <c r="NHT111" i="62"/>
  <c r="NHR111" i="62"/>
  <c r="NHP111" i="62"/>
  <c r="NHN111" i="62"/>
  <c r="NHL111" i="62"/>
  <c r="NHJ111" i="62"/>
  <c r="NHH111" i="62"/>
  <c r="NHF111" i="62"/>
  <c r="NHD111" i="62"/>
  <c r="NHB111" i="62"/>
  <c r="NGZ111" i="62"/>
  <c r="NGX111" i="62"/>
  <c r="NGV111" i="62"/>
  <c r="NGT111" i="62"/>
  <c r="NGR111" i="62"/>
  <c r="NGP111" i="62"/>
  <c r="NGN111" i="62"/>
  <c r="NGL111" i="62"/>
  <c r="NGJ111" i="62"/>
  <c r="NGH111" i="62"/>
  <c r="NGF111" i="62"/>
  <c r="NGD111" i="62"/>
  <c r="NGB111" i="62"/>
  <c r="NFZ111" i="62"/>
  <c r="NFX111" i="62"/>
  <c r="NFV111" i="62"/>
  <c r="NFT111" i="62"/>
  <c r="NFR111" i="62"/>
  <c r="NFP111" i="62"/>
  <c r="NFN111" i="62"/>
  <c r="NFL111" i="62"/>
  <c r="NFJ111" i="62"/>
  <c r="NFH111" i="62"/>
  <c r="NFF111" i="62"/>
  <c r="NFD111" i="62"/>
  <c r="NFB111" i="62"/>
  <c r="NEZ111" i="62"/>
  <c r="NEX111" i="62"/>
  <c r="NEV111" i="62"/>
  <c r="NET111" i="62"/>
  <c r="NER111" i="62"/>
  <c r="NEP111" i="62"/>
  <c r="NEN111" i="62"/>
  <c r="NEL111" i="62"/>
  <c r="NEJ111" i="62"/>
  <c r="NEH111" i="62"/>
  <c r="NEF111" i="62"/>
  <c r="NED111" i="62"/>
  <c r="NEB111" i="62"/>
  <c r="NDZ111" i="62"/>
  <c r="NDX111" i="62"/>
  <c r="NDV111" i="62"/>
  <c r="NDT111" i="62"/>
  <c r="NDR111" i="62"/>
  <c r="NDP111" i="62"/>
  <c r="NDN111" i="62"/>
  <c r="NDL111" i="62"/>
  <c r="NDJ111" i="62"/>
  <c r="NDH111" i="62"/>
  <c r="NDF111" i="62"/>
  <c r="NDD111" i="62"/>
  <c r="NDB111" i="62"/>
  <c r="NCZ111" i="62"/>
  <c r="NCX111" i="62"/>
  <c r="NCV111" i="62"/>
  <c r="NCT111" i="62"/>
  <c r="NCR111" i="62"/>
  <c r="NCP111" i="62"/>
  <c r="NCN111" i="62"/>
  <c r="NCL111" i="62"/>
  <c r="NCJ111" i="62"/>
  <c r="NCH111" i="62"/>
  <c r="NCF111" i="62"/>
  <c r="NCD111" i="62"/>
  <c r="NCB111" i="62"/>
  <c r="NBZ111" i="62"/>
  <c r="NBX111" i="62"/>
  <c r="NBV111" i="62"/>
  <c r="NBT111" i="62"/>
  <c r="NBR111" i="62"/>
  <c r="NBP111" i="62"/>
  <c r="NBN111" i="62"/>
  <c r="NBL111" i="62"/>
  <c r="NBJ111" i="62"/>
  <c r="NBH111" i="62"/>
  <c r="NBF111" i="62"/>
  <c r="NBD111" i="62"/>
  <c r="NBB111" i="62"/>
  <c r="NAZ111" i="62"/>
  <c r="NAX111" i="62"/>
  <c r="NAV111" i="62"/>
  <c r="NAT111" i="62"/>
  <c r="NAR111" i="62"/>
  <c r="NAP111" i="62"/>
  <c r="NAN111" i="62"/>
  <c r="NAL111" i="62"/>
  <c r="NAJ111" i="62"/>
  <c r="NAH111" i="62"/>
  <c r="NAF111" i="62"/>
  <c r="NAD111" i="62"/>
  <c r="NAB111" i="62"/>
  <c r="MZZ111" i="62"/>
  <c r="MZX111" i="62"/>
  <c r="MZV111" i="62"/>
  <c r="MZT111" i="62"/>
  <c r="MZR111" i="62"/>
  <c r="MZP111" i="62"/>
  <c r="MZN111" i="62"/>
  <c r="MZL111" i="62"/>
  <c r="MZJ111" i="62"/>
  <c r="MZH111" i="62"/>
  <c r="MZF111" i="62"/>
  <c r="MZD111" i="62"/>
  <c r="MZB111" i="62"/>
  <c r="MYZ111" i="62"/>
  <c r="MYX111" i="62"/>
  <c r="MYV111" i="62"/>
  <c r="MYT111" i="62"/>
  <c r="MYR111" i="62"/>
  <c r="MYP111" i="62"/>
  <c r="MYN111" i="62"/>
  <c r="MYL111" i="62"/>
  <c r="MYJ111" i="62"/>
  <c r="MYH111" i="62"/>
  <c r="MYF111" i="62"/>
  <c r="MYD111" i="62"/>
  <c r="MYB111" i="62"/>
  <c r="MXZ111" i="62"/>
  <c r="MXX111" i="62"/>
  <c r="MXV111" i="62"/>
  <c r="MXT111" i="62"/>
  <c r="MXR111" i="62"/>
  <c r="MXP111" i="62"/>
  <c r="MXN111" i="62"/>
  <c r="MXL111" i="62"/>
  <c r="MXJ111" i="62"/>
  <c r="MXH111" i="62"/>
  <c r="MXF111" i="62"/>
  <c r="MXD111" i="62"/>
  <c r="MXB111" i="62"/>
  <c r="MWZ111" i="62"/>
  <c r="MWX111" i="62"/>
  <c r="MWV111" i="62"/>
  <c r="MWT111" i="62"/>
  <c r="MWR111" i="62"/>
  <c r="MWP111" i="62"/>
  <c r="MWN111" i="62"/>
  <c r="MWL111" i="62"/>
  <c r="MWJ111" i="62"/>
  <c r="MWH111" i="62"/>
  <c r="MWF111" i="62"/>
  <c r="MWD111" i="62"/>
  <c r="MWB111" i="62"/>
  <c r="MVZ111" i="62"/>
  <c r="MVX111" i="62"/>
  <c r="MVV111" i="62"/>
  <c r="MVT111" i="62"/>
  <c r="MVR111" i="62"/>
  <c r="MVP111" i="62"/>
  <c r="MVN111" i="62"/>
  <c r="MVL111" i="62"/>
  <c r="MVJ111" i="62"/>
  <c r="MVH111" i="62"/>
  <c r="MVF111" i="62"/>
  <c r="MVD111" i="62"/>
  <c r="MVB111" i="62"/>
  <c r="MUZ111" i="62"/>
  <c r="MUX111" i="62"/>
  <c r="MUV111" i="62"/>
  <c r="MUT111" i="62"/>
  <c r="MUR111" i="62"/>
  <c r="MUP111" i="62"/>
  <c r="MUN111" i="62"/>
  <c r="MUL111" i="62"/>
  <c r="MUJ111" i="62"/>
  <c r="MUH111" i="62"/>
  <c r="MUF111" i="62"/>
  <c r="MUD111" i="62"/>
  <c r="MUB111" i="62"/>
  <c r="MTZ111" i="62"/>
  <c r="MTX111" i="62"/>
  <c r="MTV111" i="62"/>
  <c r="MTT111" i="62"/>
  <c r="MTR111" i="62"/>
  <c r="MTP111" i="62"/>
  <c r="MTN111" i="62"/>
  <c r="MTL111" i="62"/>
  <c r="MTJ111" i="62"/>
  <c r="MTH111" i="62"/>
  <c r="MTF111" i="62"/>
  <c r="MTD111" i="62"/>
  <c r="MTB111" i="62"/>
  <c r="MSZ111" i="62"/>
  <c r="MSX111" i="62"/>
  <c r="MSV111" i="62"/>
  <c r="MST111" i="62"/>
  <c r="MSR111" i="62"/>
  <c r="MSP111" i="62"/>
  <c r="MSN111" i="62"/>
  <c r="MSL111" i="62"/>
  <c r="MSJ111" i="62"/>
  <c r="MSH111" i="62"/>
  <c r="MSF111" i="62"/>
  <c r="MSD111" i="62"/>
  <c r="MSB111" i="62"/>
  <c r="MRZ111" i="62"/>
  <c r="MRX111" i="62"/>
  <c r="MRV111" i="62"/>
  <c r="MRT111" i="62"/>
  <c r="MRR111" i="62"/>
  <c r="MRP111" i="62"/>
  <c r="MRN111" i="62"/>
  <c r="MRL111" i="62"/>
  <c r="MRJ111" i="62"/>
  <c r="MRH111" i="62"/>
  <c r="MRF111" i="62"/>
  <c r="MRD111" i="62"/>
  <c r="MRB111" i="62"/>
  <c r="MQZ111" i="62"/>
  <c r="MQX111" i="62"/>
  <c r="MQV111" i="62"/>
  <c r="MQT111" i="62"/>
  <c r="MQR111" i="62"/>
  <c r="MQP111" i="62"/>
  <c r="MQN111" i="62"/>
  <c r="MQL111" i="62"/>
  <c r="MQJ111" i="62"/>
  <c r="MQH111" i="62"/>
  <c r="MQF111" i="62"/>
  <c r="MQD111" i="62"/>
  <c r="MQB111" i="62"/>
  <c r="MPZ111" i="62"/>
  <c r="MPX111" i="62"/>
  <c r="MPV111" i="62"/>
  <c r="MPT111" i="62"/>
  <c r="MPR111" i="62"/>
  <c r="MPP111" i="62"/>
  <c r="MPN111" i="62"/>
  <c r="MPL111" i="62"/>
  <c r="MPJ111" i="62"/>
  <c r="MPH111" i="62"/>
  <c r="MPF111" i="62"/>
  <c r="MPD111" i="62"/>
  <c r="MPB111" i="62"/>
  <c r="MOZ111" i="62"/>
  <c r="MOX111" i="62"/>
  <c r="MOV111" i="62"/>
  <c r="MOT111" i="62"/>
  <c r="MOR111" i="62"/>
  <c r="MOP111" i="62"/>
  <c r="MON111" i="62"/>
  <c r="MOL111" i="62"/>
  <c r="MOJ111" i="62"/>
  <c r="MOH111" i="62"/>
  <c r="MOF111" i="62"/>
  <c r="MOD111" i="62"/>
  <c r="MOB111" i="62"/>
  <c r="MNZ111" i="62"/>
  <c r="MNX111" i="62"/>
  <c r="MNV111" i="62"/>
  <c r="MNT111" i="62"/>
  <c r="MNR111" i="62"/>
  <c r="MNP111" i="62"/>
  <c r="MNN111" i="62"/>
  <c r="MNL111" i="62"/>
  <c r="MNJ111" i="62"/>
  <c r="MNH111" i="62"/>
  <c r="MNF111" i="62"/>
  <c r="MND111" i="62"/>
  <c r="MNB111" i="62"/>
  <c r="MMZ111" i="62"/>
  <c r="MMX111" i="62"/>
  <c r="MMV111" i="62"/>
  <c r="MMT111" i="62"/>
  <c r="MMR111" i="62"/>
  <c r="MMP111" i="62"/>
  <c r="MMN111" i="62"/>
  <c r="MML111" i="62"/>
  <c r="MMJ111" i="62"/>
  <c r="MMH111" i="62"/>
  <c r="MMF111" i="62"/>
  <c r="MMD111" i="62"/>
  <c r="MMB111" i="62"/>
  <c r="MLZ111" i="62"/>
  <c r="MLX111" i="62"/>
  <c r="MLV111" i="62"/>
  <c r="MLT111" i="62"/>
  <c r="MLR111" i="62"/>
  <c r="MLP111" i="62"/>
  <c r="MLN111" i="62"/>
  <c r="MLL111" i="62"/>
  <c r="MLJ111" i="62"/>
  <c r="MLH111" i="62"/>
  <c r="MLF111" i="62"/>
  <c r="MLD111" i="62"/>
  <c r="MLB111" i="62"/>
  <c r="MKZ111" i="62"/>
  <c r="MKX111" i="62"/>
  <c r="MKV111" i="62"/>
  <c r="MKT111" i="62"/>
  <c r="MKR111" i="62"/>
  <c r="MKP111" i="62"/>
  <c r="MKN111" i="62"/>
  <c r="MKL111" i="62"/>
  <c r="MKJ111" i="62"/>
  <c r="MKH111" i="62"/>
  <c r="MKF111" i="62"/>
  <c r="MKD111" i="62"/>
  <c r="MKB111" i="62"/>
  <c r="MJZ111" i="62"/>
  <c r="MJX111" i="62"/>
  <c r="MJV111" i="62"/>
  <c r="MJT111" i="62"/>
  <c r="MJR111" i="62"/>
  <c r="MJP111" i="62"/>
  <c r="MJN111" i="62"/>
  <c r="MJL111" i="62"/>
  <c r="MJJ111" i="62"/>
  <c r="MJH111" i="62"/>
  <c r="MJF111" i="62"/>
  <c r="MJD111" i="62"/>
  <c r="MJB111" i="62"/>
  <c r="MIZ111" i="62"/>
  <c r="MIX111" i="62"/>
  <c r="MIV111" i="62"/>
  <c r="MIT111" i="62"/>
  <c r="MIR111" i="62"/>
  <c r="MIP111" i="62"/>
  <c r="MIN111" i="62"/>
  <c r="MIL111" i="62"/>
  <c r="MIJ111" i="62"/>
  <c r="MIH111" i="62"/>
  <c r="MIF111" i="62"/>
  <c r="MID111" i="62"/>
  <c r="MIB111" i="62"/>
  <c r="MHZ111" i="62"/>
  <c r="MHX111" i="62"/>
  <c r="MHV111" i="62"/>
  <c r="MHT111" i="62"/>
  <c r="MHR111" i="62"/>
  <c r="MHP111" i="62"/>
  <c r="MHN111" i="62"/>
  <c r="MHL111" i="62"/>
  <c r="MHJ111" i="62"/>
  <c r="MHH111" i="62"/>
  <c r="MHF111" i="62"/>
  <c r="MHD111" i="62"/>
  <c r="MHB111" i="62"/>
  <c r="MGZ111" i="62"/>
  <c r="MGX111" i="62"/>
  <c r="MGV111" i="62"/>
  <c r="MGT111" i="62"/>
  <c r="MGR111" i="62"/>
  <c r="MGP111" i="62"/>
  <c r="MGN111" i="62"/>
  <c r="MGL111" i="62"/>
  <c r="MGJ111" i="62"/>
  <c r="MGH111" i="62"/>
  <c r="MGF111" i="62"/>
  <c r="MGD111" i="62"/>
  <c r="MGB111" i="62"/>
  <c r="MFZ111" i="62"/>
  <c r="MFX111" i="62"/>
  <c r="MFV111" i="62"/>
  <c r="MFT111" i="62"/>
  <c r="MFR111" i="62"/>
  <c r="MFP111" i="62"/>
  <c r="MFN111" i="62"/>
  <c r="MFL111" i="62"/>
  <c r="MFJ111" i="62"/>
  <c r="MFH111" i="62"/>
  <c r="MFF111" i="62"/>
  <c r="MFD111" i="62"/>
  <c r="MFB111" i="62"/>
  <c r="MEZ111" i="62"/>
  <c r="MEX111" i="62"/>
  <c r="MEV111" i="62"/>
  <c r="MET111" i="62"/>
  <c r="MER111" i="62"/>
  <c r="MEP111" i="62"/>
  <c r="MEN111" i="62"/>
  <c r="MEL111" i="62"/>
  <c r="MEJ111" i="62"/>
  <c r="MEH111" i="62"/>
  <c r="MEF111" i="62"/>
  <c r="MED111" i="62"/>
  <c r="MEB111" i="62"/>
  <c r="MDZ111" i="62"/>
  <c r="MDX111" i="62"/>
  <c r="MDV111" i="62"/>
  <c r="MDT111" i="62"/>
  <c r="MDR111" i="62"/>
  <c r="MDP111" i="62"/>
  <c r="MDN111" i="62"/>
  <c r="MDL111" i="62"/>
  <c r="MDJ111" i="62"/>
  <c r="MDH111" i="62"/>
  <c r="MDF111" i="62"/>
  <c r="MDD111" i="62"/>
  <c r="MDB111" i="62"/>
  <c r="MCZ111" i="62"/>
  <c r="MCX111" i="62"/>
  <c r="MCV111" i="62"/>
  <c r="MCT111" i="62"/>
  <c r="MCR111" i="62"/>
  <c r="MCP111" i="62"/>
  <c r="MCN111" i="62"/>
  <c r="MCL111" i="62"/>
  <c r="MCJ111" i="62"/>
  <c r="MCH111" i="62"/>
  <c r="MCF111" i="62"/>
  <c r="MCD111" i="62"/>
  <c r="MCB111" i="62"/>
  <c r="MBZ111" i="62"/>
  <c r="MBX111" i="62"/>
  <c r="MBV111" i="62"/>
  <c r="MBT111" i="62"/>
  <c r="MBR111" i="62"/>
  <c r="MBP111" i="62"/>
  <c r="MBN111" i="62"/>
  <c r="MBL111" i="62"/>
  <c r="MBJ111" i="62"/>
  <c r="MBH111" i="62"/>
  <c r="MBF111" i="62"/>
  <c r="MBD111" i="62"/>
  <c r="MBB111" i="62"/>
  <c r="MAZ111" i="62"/>
  <c r="MAX111" i="62"/>
  <c r="MAV111" i="62"/>
  <c r="MAT111" i="62"/>
  <c r="MAR111" i="62"/>
  <c r="MAP111" i="62"/>
  <c r="MAN111" i="62"/>
  <c r="MAL111" i="62"/>
  <c r="MAJ111" i="62"/>
  <c r="MAH111" i="62"/>
  <c r="MAF111" i="62"/>
  <c r="MAD111" i="62"/>
  <c r="MAB111" i="62"/>
  <c r="LZZ111" i="62"/>
  <c r="LZX111" i="62"/>
  <c r="LZV111" i="62"/>
  <c r="LZT111" i="62"/>
  <c r="LZR111" i="62"/>
  <c r="LZP111" i="62"/>
  <c r="LZN111" i="62"/>
  <c r="LZL111" i="62"/>
  <c r="LZJ111" i="62"/>
  <c r="LZH111" i="62"/>
  <c r="LZF111" i="62"/>
  <c r="LZD111" i="62"/>
  <c r="LZB111" i="62"/>
  <c r="LYZ111" i="62"/>
  <c r="LYX111" i="62"/>
  <c r="LYV111" i="62"/>
  <c r="LYT111" i="62"/>
  <c r="LYR111" i="62"/>
  <c r="LYP111" i="62"/>
  <c r="LYN111" i="62"/>
  <c r="LYL111" i="62"/>
  <c r="LYJ111" i="62"/>
  <c r="LYH111" i="62"/>
  <c r="LYF111" i="62"/>
  <c r="LYD111" i="62"/>
  <c r="LYB111" i="62"/>
  <c r="LXZ111" i="62"/>
  <c r="LXX111" i="62"/>
  <c r="LXV111" i="62"/>
  <c r="LXT111" i="62"/>
  <c r="LXR111" i="62"/>
  <c r="LXP111" i="62"/>
  <c r="LXN111" i="62"/>
  <c r="LXL111" i="62"/>
  <c r="LXJ111" i="62"/>
  <c r="LXH111" i="62"/>
  <c r="LXF111" i="62"/>
  <c r="LXD111" i="62"/>
  <c r="LXB111" i="62"/>
  <c r="LWZ111" i="62"/>
  <c r="LWX111" i="62"/>
  <c r="LWV111" i="62"/>
  <c r="LWT111" i="62"/>
  <c r="LWR111" i="62"/>
  <c r="LWP111" i="62"/>
  <c r="LWN111" i="62"/>
  <c r="LWL111" i="62"/>
  <c r="LWJ111" i="62"/>
  <c r="LWH111" i="62"/>
  <c r="LWF111" i="62"/>
  <c r="LWD111" i="62"/>
  <c r="LWB111" i="62"/>
  <c r="LVZ111" i="62"/>
  <c r="LVX111" i="62"/>
  <c r="LVV111" i="62"/>
  <c r="LVT111" i="62"/>
  <c r="LVR111" i="62"/>
  <c r="LVP111" i="62"/>
  <c r="LVN111" i="62"/>
  <c r="LVL111" i="62"/>
  <c r="LVJ111" i="62"/>
  <c r="LVH111" i="62"/>
  <c r="LVF111" i="62"/>
  <c r="LVD111" i="62"/>
  <c r="LVB111" i="62"/>
  <c r="LUZ111" i="62"/>
  <c r="LUX111" i="62"/>
  <c r="LUV111" i="62"/>
  <c r="LUT111" i="62"/>
  <c r="LUR111" i="62"/>
  <c r="LUP111" i="62"/>
  <c r="LUN111" i="62"/>
  <c r="LUL111" i="62"/>
  <c r="LUJ111" i="62"/>
  <c r="LUH111" i="62"/>
  <c r="LUF111" i="62"/>
  <c r="LUD111" i="62"/>
  <c r="LUB111" i="62"/>
  <c r="LTZ111" i="62"/>
  <c r="LTX111" i="62"/>
  <c r="LTV111" i="62"/>
  <c r="LTT111" i="62"/>
  <c r="LTR111" i="62"/>
  <c r="LTP111" i="62"/>
  <c r="LTN111" i="62"/>
  <c r="LTL111" i="62"/>
  <c r="LTJ111" i="62"/>
  <c r="LTH111" i="62"/>
  <c r="LTF111" i="62"/>
  <c r="LTD111" i="62"/>
  <c r="LTB111" i="62"/>
  <c r="LSZ111" i="62"/>
  <c r="LSX111" i="62"/>
  <c r="LSV111" i="62"/>
  <c r="LST111" i="62"/>
  <c r="LSR111" i="62"/>
  <c r="LSP111" i="62"/>
  <c r="LSN111" i="62"/>
  <c r="LSL111" i="62"/>
  <c r="LSJ111" i="62"/>
  <c r="LSH111" i="62"/>
  <c r="LSF111" i="62"/>
  <c r="LSD111" i="62"/>
  <c r="LSB111" i="62"/>
  <c r="LRZ111" i="62"/>
  <c r="LRX111" i="62"/>
  <c r="LRV111" i="62"/>
  <c r="LRT111" i="62"/>
  <c r="LRR111" i="62"/>
  <c r="LRP111" i="62"/>
  <c r="LRN111" i="62"/>
  <c r="LRL111" i="62"/>
  <c r="LRJ111" i="62"/>
  <c r="LRH111" i="62"/>
  <c r="LRF111" i="62"/>
  <c r="LRD111" i="62"/>
  <c r="LRB111" i="62"/>
  <c r="LQZ111" i="62"/>
  <c r="LQX111" i="62"/>
  <c r="LQV111" i="62"/>
  <c r="LQT111" i="62"/>
  <c r="LQR111" i="62"/>
  <c r="LQP111" i="62"/>
  <c r="LQN111" i="62"/>
  <c r="LQL111" i="62"/>
  <c r="LQJ111" i="62"/>
  <c r="LQH111" i="62"/>
  <c r="LQF111" i="62"/>
  <c r="LQD111" i="62"/>
  <c r="LQB111" i="62"/>
  <c r="LPZ111" i="62"/>
  <c r="LPX111" i="62"/>
  <c r="LPV111" i="62"/>
  <c r="LPT111" i="62"/>
  <c r="LPR111" i="62"/>
  <c r="LPP111" i="62"/>
  <c r="LPN111" i="62"/>
  <c r="LPL111" i="62"/>
  <c r="LPJ111" i="62"/>
  <c r="LPH111" i="62"/>
  <c r="LPF111" i="62"/>
  <c r="LPD111" i="62"/>
  <c r="LPB111" i="62"/>
  <c r="LOZ111" i="62"/>
  <c r="LOX111" i="62"/>
  <c r="LOV111" i="62"/>
  <c r="LOT111" i="62"/>
  <c r="LOR111" i="62"/>
  <c r="LOP111" i="62"/>
  <c r="LON111" i="62"/>
  <c r="LOL111" i="62"/>
  <c r="LOJ111" i="62"/>
  <c r="LOH111" i="62"/>
  <c r="LOF111" i="62"/>
  <c r="LOD111" i="62"/>
  <c r="LOB111" i="62"/>
  <c r="LNZ111" i="62"/>
  <c r="LNX111" i="62"/>
  <c r="LNV111" i="62"/>
  <c r="LNT111" i="62"/>
  <c r="LNR111" i="62"/>
  <c r="LNP111" i="62"/>
  <c r="LNN111" i="62"/>
  <c r="LNL111" i="62"/>
  <c r="LNJ111" i="62"/>
  <c r="LNH111" i="62"/>
  <c r="LNF111" i="62"/>
  <c r="LND111" i="62"/>
  <c r="LNB111" i="62"/>
  <c r="LMZ111" i="62"/>
  <c r="LMX111" i="62"/>
  <c r="LMV111" i="62"/>
  <c r="LMT111" i="62"/>
  <c r="LMR111" i="62"/>
  <c r="LMP111" i="62"/>
  <c r="LMN111" i="62"/>
  <c r="LML111" i="62"/>
  <c r="LMJ111" i="62"/>
  <c r="LMH111" i="62"/>
  <c r="LMF111" i="62"/>
  <c r="LMD111" i="62"/>
  <c r="LMB111" i="62"/>
  <c r="LLZ111" i="62"/>
  <c r="LLX111" i="62"/>
  <c r="LLV111" i="62"/>
  <c r="LLT111" i="62"/>
  <c r="LLR111" i="62"/>
  <c r="LLP111" i="62"/>
  <c r="LLN111" i="62"/>
  <c r="LLL111" i="62"/>
  <c r="LLJ111" i="62"/>
  <c r="LLH111" i="62"/>
  <c r="LLF111" i="62"/>
  <c r="LLD111" i="62"/>
  <c r="LLB111" i="62"/>
  <c r="LKZ111" i="62"/>
  <c r="LKX111" i="62"/>
  <c r="LKV111" i="62"/>
  <c r="LKT111" i="62"/>
  <c r="LKR111" i="62"/>
  <c r="LKP111" i="62"/>
  <c r="LKN111" i="62"/>
  <c r="LKL111" i="62"/>
  <c r="LKJ111" i="62"/>
  <c r="LKH111" i="62"/>
  <c r="LKF111" i="62"/>
  <c r="LKD111" i="62"/>
  <c r="LKB111" i="62"/>
  <c r="LJZ111" i="62"/>
  <c r="LJX111" i="62"/>
  <c r="LJV111" i="62"/>
  <c r="LJT111" i="62"/>
  <c r="LJR111" i="62"/>
  <c r="LJP111" i="62"/>
  <c r="LJN111" i="62"/>
  <c r="LJL111" i="62"/>
  <c r="LJJ111" i="62"/>
  <c r="LJH111" i="62"/>
  <c r="LJF111" i="62"/>
  <c r="LJD111" i="62"/>
  <c r="LJB111" i="62"/>
  <c r="LIZ111" i="62"/>
  <c r="LIX111" i="62"/>
  <c r="LIV111" i="62"/>
  <c r="LIT111" i="62"/>
  <c r="LIR111" i="62"/>
  <c r="LIP111" i="62"/>
  <c r="LIN111" i="62"/>
  <c r="LIL111" i="62"/>
  <c r="LIJ111" i="62"/>
  <c r="LIH111" i="62"/>
  <c r="LIF111" i="62"/>
  <c r="LID111" i="62"/>
  <c r="LIB111" i="62"/>
  <c r="LHZ111" i="62"/>
  <c r="LHX111" i="62"/>
  <c r="LHV111" i="62"/>
  <c r="LHT111" i="62"/>
  <c r="LHR111" i="62"/>
  <c r="LHP111" i="62"/>
  <c r="LHN111" i="62"/>
  <c r="LHL111" i="62"/>
  <c r="LHJ111" i="62"/>
  <c r="LHH111" i="62"/>
  <c r="LHF111" i="62"/>
  <c r="LHD111" i="62"/>
  <c r="LHB111" i="62"/>
  <c r="LGZ111" i="62"/>
  <c r="LGX111" i="62"/>
  <c r="LGV111" i="62"/>
  <c r="LGT111" i="62"/>
  <c r="LGR111" i="62"/>
  <c r="LGP111" i="62"/>
  <c r="LGN111" i="62"/>
  <c r="LGL111" i="62"/>
  <c r="LGJ111" i="62"/>
  <c r="LGH111" i="62"/>
  <c r="LGF111" i="62"/>
  <c r="LGD111" i="62"/>
  <c r="LGB111" i="62"/>
  <c r="LFZ111" i="62"/>
  <c r="LFX111" i="62"/>
  <c r="LFV111" i="62"/>
  <c r="LFT111" i="62"/>
  <c r="LFR111" i="62"/>
  <c r="LFP111" i="62"/>
  <c r="LFN111" i="62"/>
  <c r="LFL111" i="62"/>
  <c r="LFJ111" i="62"/>
  <c r="LFH111" i="62"/>
  <c r="LFF111" i="62"/>
  <c r="LFD111" i="62"/>
  <c r="LFB111" i="62"/>
  <c r="LEZ111" i="62"/>
  <c r="LEX111" i="62"/>
  <c r="LEV111" i="62"/>
  <c r="LET111" i="62"/>
  <c r="LER111" i="62"/>
  <c r="LEP111" i="62"/>
  <c r="LEN111" i="62"/>
  <c r="LEL111" i="62"/>
  <c r="LEJ111" i="62"/>
  <c r="LEH111" i="62"/>
  <c r="LEF111" i="62"/>
  <c r="LED111" i="62"/>
  <c r="LEB111" i="62"/>
  <c r="LDZ111" i="62"/>
  <c r="LDX111" i="62"/>
  <c r="LDV111" i="62"/>
  <c r="LDT111" i="62"/>
  <c r="LDR111" i="62"/>
  <c r="LDP111" i="62"/>
  <c r="LDN111" i="62"/>
  <c r="LDL111" i="62"/>
  <c r="LDJ111" i="62"/>
  <c r="LDH111" i="62"/>
  <c r="LDF111" i="62"/>
  <c r="LDD111" i="62"/>
  <c r="LDB111" i="62"/>
  <c r="LCZ111" i="62"/>
  <c r="LCX111" i="62"/>
  <c r="LCV111" i="62"/>
  <c r="LCT111" i="62"/>
  <c r="LCR111" i="62"/>
  <c r="LCP111" i="62"/>
  <c r="LCN111" i="62"/>
  <c r="LCL111" i="62"/>
  <c r="LCJ111" i="62"/>
  <c r="LCH111" i="62"/>
  <c r="LCF111" i="62"/>
  <c r="LCD111" i="62"/>
  <c r="LCB111" i="62"/>
  <c r="LBZ111" i="62"/>
  <c r="LBX111" i="62"/>
  <c r="LBV111" i="62"/>
  <c r="LBT111" i="62"/>
  <c r="LBR111" i="62"/>
  <c r="LBP111" i="62"/>
  <c r="LBN111" i="62"/>
  <c r="LBL111" i="62"/>
  <c r="LBJ111" i="62"/>
  <c r="LBH111" i="62"/>
  <c r="LBF111" i="62"/>
  <c r="LBD111" i="62"/>
  <c r="LBB111" i="62"/>
  <c r="LAZ111" i="62"/>
  <c r="LAX111" i="62"/>
  <c r="LAV111" i="62"/>
  <c r="LAT111" i="62"/>
  <c r="LAR111" i="62"/>
  <c r="LAP111" i="62"/>
  <c r="LAN111" i="62"/>
  <c r="LAL111" i="62"/>
  <c r="LAJ111" i="62"/>
  <c r="LAH111" i="62"/>
  <c r="LAF111" i="62"/>
  <c r="LAD111" i="62"/>
  <c r="LAB111" i="62"/>
  <c r="KZZ111" i="62"/>
  <c r="KZX111" i="62"/>
  <c r="KZV111" i="62"/>
  <c r="KZT111" i="62"/>
  <c r="KZR111" i="62"/>
  <c r="KZP111" i="62"/>
  <c r="KZN111" i="62"/>
  <c r="KZL111" i="62"/>
  <c r="KZJ111" i="62"/>
  <c r="KZH111" i="62"/>
  <c r="KZF111" i="62"/>
  <c r="KZD111" i="62"/>
  <c r="KZB111" i="62"/>
  <c r="KYZ111" i="62"/>
  <c r="KYX111" i="62"/>
  <c r="KYV111" i="62"/>
  <c r="KYT111" i="62"/>
  <c r="KYR111" i="62"/>
  <c r="KYP111" i="62"/>
  <c r="KYN111" i="62"/>
  <c r="KYL111" i="62"/>
  <c r="KYJ111" i="62"/>
  <c r="KYH111" i="62"/>
  <c r="KYF111" i="62"/>
  <c r="KYD111" i="62"/>
  <c r="KYB111" i="62"/>
  <c r="KXZ111" i="62"/>
  <c r="KXX111" i="62"/>
  <c r="KXV111" i="62"/>
  <c r="KXT111" i="62"/>
  <c r="KXR111" i="62"/>
  <c r="KXP111" i="62"/>
  <c r="KXN111" i="62"/>
  <c r="KXL111" i="62"/>
  <c r="KXJ111" i="62"/>
  <c r="KXH111" i="62"/>
  <c r="KXF111" i="62"/>
  <c r="KXD111" i="62"/>
  <c r="KXB111" i="62"/>
  <c r="KWZ111" i="62"/>
  <c r="KWX111" i="62"/>
  <c r="KWV111" i="62"/>
  <c r="KWT111" i="62"/>
  <c r="KWR111" i="62"/>
  <c r="KWP111" i="62"/>
  <c r="KWN111" i="62"/>
  <c r="KWL111" i="62"/>
  <c r="KWJ111" i="62"/>
  <c r="KWH111" i="62"/>
  <c r="KWF111" i="62"/>
  <c r="KWD111" i="62"/>
  <c r="KWB111" i="62"/>
  <c r="KVZ111" i="62"/>
  <c r="KVX111" i="62"/>
  <c r="KVV111" i="62"/>
  <c r="KVT111" i="62"/>
  <c r="KVR111" i="62"/>
  <c r="KVP111" i="62"/>
  <c r="KVN111" i="62"/>
  <c r="KVL111" i="62"/>
  <c r="KVJ111" i="62"/>
  <c r="KVH111" i="62"/>
  <c r="KVF111" i="62"/>
  <c r="KVD111" i="62"/>
  <c r="KVB111" i="62"/>
  <c r="KUZ111" i="62"/>
  <c r="KUX111" i="62"/>
  <c r="KUV111" i="62"/>
  <c r="KUT111" i="62"/>
  <c r="KUR111" i="62"/>
  <c r="KUP111" i="62"/>
  <c r="KUN111" i="62"/>
  <c r="KUL111" i="62"/>
  <c r="KUJ111" i="62"/>
  <c r="KUH111" i="62"/>
  <c r="KUF111" i="62"/>
  <c r="KUD111" i="62"/>
  <c r="KUB111" i="62"/>
  <c r="KTZ111" i="62"/>
  <c r="KTX111" i="62"/>
  <c r="KTV111" i="62"/>
  <c r="KTT111" i="62"/>
  <c r="KTR111" i="62"/>
  <c r="KTP111" i="62"/>
  <c r="KTN111" i="62"/>
  <c r="KTL111" i="62"/>
  <c r="KTJ111" i="62"/>
  <c r="KTH111" i="62"/>
  <c r="KTF111" i="62"/>
  <c r="KTD111" i="62"/>
  <c r="KTB111" i="62"/>
  <c r="KSZ111" i="62"/>
  <c r="KSX111" i="62"/>
  <c r="KSV111" i="62"/>
  <c r="KST111" i="62"/>
  <c r="KSR111" i="62"/>
  <c r="KSP111" i="62"/>
  <c r="KSN111" i="62"/>
  <c r="KSL111" i="62"/>
  <c r="KSJ111" i="62"/>
  <c r="KSH111" i="62"/>
  <c r="KSF111" i="62"/>
  <c r="KSD111" i="62"/>
  <c r="KSB111" i="62"/>
  <c r="KRZ111" i="62"/>
  <c r="KRX111" i="62"/>
  <c r="KRV111" i="62"/>
  <c r="KRT111" i="62"/>
  <c r="KRR111" i="62"/>
  <c r="KRP111" i="62"/>
  <c r="KRN111" i="62"/>
  <c r="KRL111" i="62"/>
  <c r="KRJ111" i="62"/>
  <c r="KRH111" i="62"/>
  <c r="KRF111" i="62"/>
  <c r="KRD111" i="62"/>
  <c r="KRB111" i="62"/>
  <c r="KQZ111" i="62"/>
  <c r="KQX111" i="62"/>
  <c r="KQV111" i="62"/>
  <c r="KQT111" i="62"/>
  <c r="KQR111" i="62"/>
  <c r="KQP111" i="62"/>
  <c r="KQN111" i="62"/>
  <c r="KQL111" i="62"/>
  <c r="KQJ111" i="62"/>
  <c r="KQH111" i="62"/>
  <c r="KQF111" i="62"/>
  <c r="KQD111" i="62"/>
  <c r="KQB111" i="62"/>
  <c r="KPZ111" i="62"/>
  <c r="KPX111" i="62"/>
  <c r="KPV111" i="62"/>
  <c r="KPT111" i="62"/>
  <c r="KPR111" i="62"/>
  <c r="KPP111" i="62"/>
  <c r="KPN111" i="62"/>
  <c r="KPL111" i="62"/>
  <c r="KPJ111" i="62"/>
  <c r="KPH111" i="62"/>
  <c r="KPF111" i="62"/>
  <c r="KPD111" i="62"/>
  <c r="KPB111" i="62"/>
  <c r="KOZ111" i="62"/>
  <c r="KOX111" i="62"/>
  <c r="KOV111" i="62"/>
  <c r="KOT111" i="62"/>
  <c r="KOR111" i="62"/>
  <c r="KOP111" i="62"/>
  <c r="KON111" i="62"/>
  <c r="KOL111" i="62"/>
  <c r="KOJ111" i="62"/>
  <c r="KOH111" i="62"/>
  <c r="KOF111" i="62"/>
  <c r="KOD111" i="62"/>
  <c r="KOB111" i="62"/>
  <c r="KNZ111" i="62"/>
  <c r="KNX111" i="62"/>
  <c r="KNV111" i="62"/>
  <c r="KNT111" i="62"/>
  <c r="KNR111" i="62"/>
  <c r="KNP111" i="62"/>
  <c r="KNN111" i="62"/>
  <c r="KNL111" i="62"/>
  <c r="KNJ111" i="62"/>
  <c r="KNH111" i="62"/>
  <c r="KNF111" i="62"/>
  <c r="KND111" i="62"/>
  <c r="KNB111" i="62"/>
  <c r="KMZ111" i="62"/>
  <c r="KMX111" i="62"/>
  <c r="KMV111" i="62"/>
  <c r="KMT111" i="62"/>
  <c r="KMR111" i="62"/>
  <c r="KMP111" i="62"/>
  <c r="KMN111" i="62"/>
  <c r="KML111" i="62"/>
  <c r="KMJ111" i="62"/>
  <c r="KMH111" i="62"/>
  <c r="KMF111" i="62"/>
  <c r="KMD111" i="62"/>
  <c r="KMB111" i="62"/>
  <c r="KLZ111" i="62"/>
  <c r="KLX111" i="62"/>
  <c r="KLV111" i="62"/>
  <c r="KLT111" i="62"/>
  <c r="KLR111" i="62"/>
  <c r="KLP111" i="62"/>
  <c r="KLN111" i="62"/>
  <c r="KLL111" i="62"/>
  <c r="KLJ111" i="62"/>
  <c r="KLH111" i="62"/>
  <c r="KLF111" i="62"/>
  <c r="KLD111" i="62"/>
  <c r="KLB111" i="62"/>
  <c r="KKZ111" i="62"/>
  <c r="KKX111" i="62"/>
  <c r="KKV111" i="62"/>
  <c r="KKT111" i="62"/>
  <c r="KKR111" i="62"/>
  <c r="KKP111" i="62"/>
  <c r="KKN111" i="62"/>
  <c r="KKL111" i="62"/>
  <c r="KKJ111" i="62"/>
  <c r="KKH111" i="62"/>
  <c r="KKF111" i="62"/>
  <c r="KKD111" i="62"/>
  <c r="KKB111" i="62"/>
  <c r="KJZ111" i="62"/>
  <c r="KJX111" i="62"/>
  <c r="KJV111" i="62"/>
  <c r="KJT111" i="62"/>
  <c r="KJR111" i="62"/>
  <c r="KJP111" i="62"/>
  <c r="KJN111" i="62"/>
  <c r="KJL111" i="62"/>
  <c r="KJJ111" i="62"/>
  <c r="KJH111" i="62"/>
  <c r="KJF111" i="62"/>
  <c r="KJD111" i="62"/>
  <c r="KJB111" i="62"/>
  <c r="KIZ111" i="62"/>
  <c r="KIX111" i="62"/>
  <c r="KIV111" i="62"/>
  <c r="KIT111" i="62"/>
  <c r="KIR111" i="62"/>
  <c r="KIP111" i="62"/>
  <c r="KIN111" i="62"/>
  <c r="KIL111" i="62"/>
  <c r="KIJ111" i="62"/>
  <c r="KIH111" i="62"/>
  <c r="KIF111" i="62"/>
  <c r="KID111" i="62"/>
  <c r="KIB111" i="62"/>
  <c r="KHZ111" i="62"/>
  <c r="KHX111" i="62"/>
  <c r="KHV111" i="62"/>
  <c r="KHT111" i="62"/>
  <c r="KHR111" i="62"/>
  <c r="KHP111" i="62"/>
  <c r="KHN111" i="62"/>
  <c r="KHL111" i="62"/>
  <c r="KHJ111" i="62"/>
  <c r="KHH111" i="62"/>
  <c r="KHF111" i="62"/>
  <c r="KHD111" i="62"/>
  <c r="KHB111" i="62"/>
  <c r="KGZ111" i="62"/>
  <c r="KGX111" i="62"/>
  <c r="KGV111" i="62"/>
  <c r="KGT111" i="62"/>
  <c r="KGR111" i="62"/>
  <c r="KGP111" i="62"/>
  <c r="KGN111" i="62"/>
  <c r="KGL111" i="62"/>
  <c r="KGJ111" i="62"/>
  <c r="KGH111" i="62"/>
  <c r="KGF111" i="62"/>
  <c r="KGD111" i="62"/>
  <c r="KGB111" i="62"/>
  <c r="KFZ111" i="62"/>
  <c r="KFX111" i="62"/>
  <c r="KFV111" i="62"/>
  <c r="KFT111" i="62"/>
  <c r="KFR111" i="62"/>
  <c r="KFP111" i="62"/>
  <c r="KFN111" i="62"/>
  <c r="KFL111" i="62"/>
  <c r="KFJ111" i="62"/>
  <c r="KFH111" i="62"/>
  <c r="KFF111" i="62"/>
  <c r="KFD111" i="62"/>
  <c r="KFB111" i="62"/>
  <c r="KEZ111" i="62"/>
  <c r="KEX111" i="62"/>
  <c r="KEV111" i="62"/>
  <c r="KET111" i="62"/>
  <c r="KER111" i="62"/>
  <c r="KEP111" i="62"/>
  <c r="KEN111" i="62"/>
  <c r="KEL111" i="62"/>
  <c r="KEJ111" i="62"/>
  <c r="KEH111" i="62"/>
  <c r="KEF111" i="62"/>
  <c r="KED111" i="62"/>
  <c r="KEB111" i="62"/>
  <c r="KDZ111" i="62"/>
  <c r="KDX111" i="62"/>
  <c r="KDV111" i="62"/>
  <c r="KDT111" i="62"/>
  <c r="KDR111" i="62"/>
  <c r="KDP111" i="62"/>
  <c r="KDN111" i="62"/>
  <c r="KDL111" i="62"/>
  <c r="KDJ111" i="62"/>
  <c r="KDH111" i="62"/>
  <c r="KDF111" i="62"/>
  <c r="KDD111" i="62"/>
  <c r="KDB111" i="62"/>
  <c r="KCZ111" i="62"/>
  <c r="KCX111" i="62"/>
  <c r="KCV111" i="62"/>
  <c r="KCT111" i="62"/>
  <c r="KCR111" i="62"/>
  <c r="KCP111" i="62"/>
  <c r="KCN111" i="62"/>
  <c r="KCL111" i="62"/>
  <c r="KCJ111" i="62"/>
  <c r="KCH111" i="62"/>
  <c r="KCF111" i="62"/>
  <c r="KCD111" i="62"/>
  <c r="KCB111" i="62"/>
  <c r="KBZ111" i="62"/>
  <c r="KBX111" i="62"/>
  <c r="KBV111" i="62"/>
  <c r="KBT111" i="62"/>
  <c r="KBR111" i="62"/>
  <c r="KBP111" i="62"/>
  <c r="KBN111" i="62"/>
  <c r="KBL111" i="62"/>
  <c r="KBJ111" i="62"/>
  <c r="KBH111" i="62"/>
  <c r="KBF111" i="62"/>
  <c r="KBD111" i="62"/>
  <c r="KBB111" i="62"/>
  <c r="KAZ111" i="62"/>
  <c r="KAX111" i="62"/>
  <c r="KAV111" i="62"/>
  <c r="KAT111" i="62"/>
  <c r="KAR111" i="62"/>
  <c r="KAP111" i="62"/>
  <c r="KAN111" i="62"/>
  <c r="KAL111" i="62"/>
  <c r="KAJ111" i="62"/>
  <c r="KAH111" i="62"/>
  <c r="KAF111" i="62"/>
  <c r="KAD111" i="62"/>
  <c r="KAB111" i="62"/>
  <c r="JZZ111" i="62"/>
  <c r="JZX111" i="62"/>
  <c r="JZV111" i="62"/>
  <c r="JZT111" i="62"/>
  <c r="JZR111" i="62"/>
  <c r="JZP111" i="62"/>
  <c r="JZN111" i="62"/>
  <c r="JZL111" i="62"/>
  <c r="JZJ111" i="62"/>
  <c r="JZH111" i="62"/>
  <c r="JZF111" i="62"/>
  <c r="JZD111" i="62"/>
  <c r="JZB111" i="62"/>
  <c r="JYZ111" i="62"/>
  <c r="JYX111" i="62"/>
  <c r="JYV111" i="62"/>
  <c r="JYT111" i="62"/>
  <c r="JYR111" i="62"/>
  <c r="JYP111" i="62"/>
  <c r="JYN111" i="62"/>
  <c r="JYL111" i="62"/>
  <c r="JYJ111" i="62"/>
  <c r="JYH111" i="62"/>
  <c r="JYF111" i="62"/>
  <c r="JYD111" i="62"/>
  <c r="JYB111" i="62"/>
  <c r="JXZ111" i="62"/>
  <c r="JXX111" i="62"/>
  <c r="JXV111" i="62"/>
  <c r="JXT111" i="62"/>
  <c r="JXR111" i="62"/>
  <c r="JXP111" i="62"/>
  <c r="JXN111" i="62"/>
  <c r="JXL111" i="62"/>
  <c r="JXJ111" i="62"/>
  <c r="JXH111" i="62"/>
  <c r="JXF111" i="62"/>
  <c r="JXD111" i="62"/>
  <c r="JXB111" i="62"/>
  <c r="JWZ111" i="62"/>
  <c r="JWX111" i="62"/>
  <c r="JWV111" i="62"/>
  <c r="JWT111" i="62"/>
  <c r="JWR111" i="62"/>
  <c r="JWP111" i="62"/>
  <c r="JWN111" i="62"/>
  <c r="JWL111" i="62"/>
  <c r="JWJ111" i="62"/>
  <c r="JWH111" i="62"/>
  <c r="JWF111" i="62"/>
  <c r="JWD111" i="62"/>
  <c r="JWB111" i="62"/>
  <c r="JVZ111" i="62"/>
  <c r="JVX111" i="62"/>
  <c r="JVV111" i="62"/>
  <c r="JVT111" i="62"/>
  <c r="JVR111" i="62"/>
  <c r="JVP111" i="62"/>
  <c r="JVN111" i="62"/>
  <c r="JVL111" i="62"/>
  <c r="JVJ111" i="62"/>
  <c r="JVH111" i="62"/>
  <c r="JVF111" i="62"/>
  <c r="JVD111" i="62"/>
  <c r="JVB111" i="62"/>
  <c r="JUZ111" i="62"/>
  <c r="JUX111" i="62"/>
  <c r="JUV111" i="62"/>
  <c r="JUT111" i="62"/>
  <c r="JUR111" i="62"/>
  <c r="JUP111" i="62"/>
  <c r="JUN111" i="62"/>
  <c r="JUL111" i="62"/>
  <c r="JUJ111" i="62"/>
  <c r="JUH111" i="62"/>
  <c r="JUF111" i="62"/>
  <c r="JUD111" i="62"/>
  <c r="JUB111" i="62"/>
  <c r="JTZ111" i="62"/>
  <c r="JTX111" i="62"/>
  <c r="JTV111" i="62"/>
  <c r="JTT111" i="62"/>
  <c r="JTR111" i="62"/>
  <c r="JTP111" i="62"/>
  <c r="JTN111" i="62"/>
  <c r="JTL111" i="62"/>
  <c r="JTJ111" i="62"/>
  <c r="JTH111" i="62"/>
  <c r="JTF111" i="62"/>
  <c r="JTD111" i="62"/>
  <c r="JTB111" i="62"/>
  <c r="JSZ111" i="62"/>
  <c r="JSX111" i="62"/>
  <c r="JSV111" i="62"/>
  <c r="JST111" i="62"/>
  <c r="JSR111" i="62"/>
  <c r="JSP111" i="62"/>
  <c r="JSN111" i="62"/>
  <c r="JSL111" i="62"/>
  <c r="JSJ111" i="62"/>
  <c r="JSH111" i="62"/>
  <c r="JSF111" i="62"/>
  <c r="JSD111" i="62"/>
  <c r="JSB111" i="62"/>
  <c r="JRZ111" i="62"/>
  <c r="JRX111" i="62"/>
  <c r="JRV111" i="62"/>
  <c r="JRT111" i="62"/>
  <c r="JRR111" i="62"/>
  <c r="JRP111" i="62"/>
  <c r="JRN111" i="62"/>
  <c r="JRL111" i="62"/>
  <c r="JRJ111" i="62"/>
  <c r="JRH111" i="62"/>
  <c r="JRF111" i="62"/>
  <c r="JRD111" i="62"/>
  <c r="JRB111" i="62"/>
  <c r="JQZ111" i="62"/>
  <c r="JQX111" i="62"/>
  <c r="JQV111" i="62"/>
  <c r="JQT111" i="62"/>
  <c r="JQR111" i="62"/>
  <c r="JQP111" i="62"/>
  <c r="JQN111" i="62"/>
  <c r="JQL111" i="62"/>
  <c r="JQJ111" i="62"/>
  <c r="JQH111" i="62"/>
  <c r="JQF111" i="62"/>
  <c r="JQD111" i="62"/>
  <c r="JQB111" i="62"/>
  <c r="JPZ111" i="62"/>
  <c r="JPX111" i="62"/>
  <c r="JPV111" i="62"/>
  <c r="JPT111" i="62"/>
  <c r="JPR111" i="62"/>
  <c r="JPP111" i="62"/>
  <c r="JPN111" i="62"/>
  <c r="JPL111" i="62"/>
  <c r="JPJ111" i="62"/>
  <c r="JPH111" i="62"/>
  <c r="JPF111" i="62"/>
  <c r="JPD111" i="62"/>
  <c r="JPB111" i="62"/>
  <c r="JOZ111" i="62"/>
  <c r="JOX111" i="62"/>
  <c r="JOV111" i="62"/>
  <c r="JOT111" i="62"/>
  <c r="JOR111" i="62"/>
  <c r="JOP111" i="62"/>
  <c r="JON111" i="62"/>
  <c r="JOL111" i="62"/>
  <c r="JOJ111" i="62"/>
  <c r="JOH111" i="62"/>
  <c r="JOF111" i="62"/>
  <c r="JOD111" i="62"/>
  <c r="JOB111" i="62"/>
  <c r="JNZ111" i="62"/>
  <c r="JNX111" i="62"/>
  <c r="JNV111" i="62"/>
  <c r="JNT111" i="62"/>
  <c r="JNR111" i="62"/>
  <c r="JNP111" i="62"/>
  <c r="JNN111" i="62"/>
  <c r="JNL111" i="62"/>
  <c r="JNJ111" i="62"/>
  <c r="JNH111" i="62"/>
  <c r="JNF111" i="62"/>
  <c r="JND111" i="62"/>
  <c r="JNB111" i="62"/>
  <c r="JMZ111" i="62"/>
  <c r="JMX111" i="62"/>
  <c r="JMV111" i="62"/>
  <c r="JMT111" i="62"/>
  <c r="JMR111" i="62"/>
  <c r="JMP111" i="62"/>
  <c r="JMN111" i="62"/>
  <c r="JML111" i="62"/>
  <c r="JMJ111" i="62"/>
  <c r="JMH111" i="62"/>
  <c r="JMF111" i="62"/>
  <c r="JMD111" i="62"/>
  <c r="JMB111" i="62"/>
  <c r="JLZ111" i="62"/>
  <c r="JLX111" i="62"/>
  <c r="JLV111" i="62"/>
  <c r="JLT111" i="62"/>
  <c r="JLR111" i="62"/>
  <c r="JLP111" i="62"/>
  <c r="JLN111" i="62"/>
  <c r="JLL111" i="62"/>
  <c r="JLJ111" i="62"/>
  <c r="JLH111" i="62"/>
  <c r="JLF111" i="62"/>
  <c r="JLD111" i="62"/>
  <c r="JLB111" i="62"/>
  <c r="JKZ111" i="62"/>
  <c r="JKX111" i="62"/>
  <c r="JKV111" i="62"/>
  <c r="JKT111" i="62"/>
  <c r="JKR111" i="62"/>
  <c r="JKP111" i="62"/>
  <c r="JKN111" i="62"/>
  <c r="JKL111" i="62"/>
  <c r="JKJ111" i="62"/>
  <c r="JKH111" i="62"/>
  <c r="JKF111" i="62"/>
  <c r="JKD111" i="62"/>
  <c r="JKB111" i="62"/>
  <c r="JJZ111" i="62"/>
  <c r="JJX111" i="62"/>
  <c r="JJV111" i="62"/>
  <c r="JJT111" i="62"/>
  <c r="JJR111" i="62"/>
  <c r="JJP111" i="62"/>
  <c r="JJN111" i="62"/>
  <c r="JJL111" i="62"/>
  <c r="JJJ111" i="62"/>
  <c r="JJH111" i="62"/>
  <c r="JJF111" i="62"/>
  <c r="JJD111" i="62"/>
  <c r="JJB111" i="62"/>
  <c r="JIZ111" i="62"/>
  <c r="JIX111" i="62"/>
  <c r="JIV111" i="62"/>
  <c r="JIT111" i="62"/>
  <c r="JIR111" i="62"/>
  <c r="JIP111" i="62"/>
  <c r="JIN111" i="62"/>
  <c r="JIL111" i="62"/>
  <c r="JIJ111" i="62"/>
  <c r="JIH111" i="62"/>
  <c r="JIF111" i="62"/>
  <c r="JID111" i="62"/>
  <c r="JIB111" i="62"/>
  <c r="JHZ111" i="62"/>
  <c r="JHX111" i="62"/>
  <c r="JHV111" i="62"/>
  <c r="JHT111" i="62"/>
  <c r="JHR111" i="62"/>
  <c r="JHP111" i="62"/>
  <c r="JHN111" i="62"/>
  <c r="JHL111" i="62"/>
  <c r="JHJ111" i="62"/>
  <c r="JHH111" i="62"/>
  <c r="JHF111" i="62"/>
  <c r="JHD111" i="62"/>
  <c r="JHB111" i="62"/>
  <c r="JGZ111" i="62"/>
  <c r="JGX111" i="62"/>
  <c r="JGV111" i="62"/>
  <c r="JGT111" i="62"/>
  <c r="JGR111" i="62"/>
  <c r="JGP111" i="62"/>
  <c r="JGN111" i="62"/>
  <c r="JGL111" i="62"/>
  <c r="JGJ111" i="62"/>
  <c r="JGH111" i="62"/>
  <c r="JGF111" i="62"/>
  <c r="JGD111" i="62"/>
  <c r="JGB111" i="62"/>
  <c r="JFZ111" i="62"/>
  <c r="JFX111" i="62"/>
  <c r="JFV111" i="62"/>
  <c r="JFT111" i="62"/>
  <c r="JFR111" i="62"/>
  <c r="JFP111" i="62"/>
  <c r="JFN111" i="62"/>
  <c r="JFL111" i="62"/>
  <c r="JFJ111" i="62"/>
  <c r="JFH111" i="62"/>
  <c r="JFF111" i="62"/>
  <c r="JFD111" i="62"/>
  <c r="JFB111" i="62"/>
  <c r="JEZ111" i="62"/>
  <c r="JEX111" i="62"/>
  <c r="JEV111" i="62"/>
  <c r="JET111" i="62"/>
  <c r="JER111" i="62"/>
  <c r="JEP111" i="62"/>
  <c r="JEN111" i="62"/>
  <c r="JEL111" i="62"/>
  <c r="JEJ111" i="62"/>
  <c r="JEH111" i="62"/>
  <c r="JEF111" i="62"/>
  <c r="JED111" i="62"/>
  <c r="JEB111" i="62"/>
  <c r="JDZ111" i="62"/>
  <c r="JDX111" i="62"/>
  <c r="JDV111" i="62"/>
  <c r="JDT111" i="62"/>
  <c r="JDR111" i="62"/>
  <c r="JDP111" i="62"/>
  <c r="JDN111" i="62"/>
  <c r="JDL111" i="62"/>
  <c r="JDJ111" i="62"/>
  <c r="JDH111" i="62"/>
  <c r="JDF111" i="62"/>
  <c r="JDD111" i="62"/>
  <c r="JDB111" i="62"/>
  <c r="JCZ111" i="62"/>
  <c r="JCX111" i="62"/>
  <c r="JCV111" i="62"/>
  <c r="JCT111" i="62"/>
  <c r="JCR111" i="62"/>
  <c r="JCP111" i="62"/>
  <c r="JCN111" i="62"/>
  <c r="JCL111" i="62"/>
  <c r="JCJ111" i="62"/>
  <c r="JCH111" i="62"/>
  <c r="JCF111" i="62"/>
  <c r="JCD111" i="62"/>
  <c r="JCB111" i="62"/>
  <c r="JBZ111" i="62"/>
  <c r="JBX111" i="62"/>
  <c r="JBV111" i="62"/>
  <c r="JBT111" i="62"/>
  <c r="JBR111" i="62"/>
  <c r="JBP111" i="62"/>
  <c r="JBN111" i="62"/>
  <c r="JBL111" i="62"/>
  <c r="JBJ111" i="62"/>
  <c r="JBH111" i="62"/>
  <c r="JBF111" i="62"/>
  <c r="JBD111" i="62"/>
  <c r="JBB111" i="62"/>
  <c r="JAZ111" i="62"/>
  <c r="JAX111" i="62"/>
  <c r="JAV111" i="62"/>
  <c r="JAT111" i="62"/>
  <c r="JAR111" i="62"/>
  <c r="JAP111" i="62"/>
  <c r="JAN111" i="62"/>
  <c r="JAL111" i="62"/>
  <c r="JAJ111" i="62"/>
  <c r="JAH111" i="62"/>
  <c r="JAF111" i="62"/>
  <c r="JAD111" i="62"/>
  <c r="JAB111" i="62"/>
  <c r="IZZ111" i="62"/>
  <c r="IZX111" i="62"/>
  <c r="IZV111" i="62"/>
  <c r="IZT111" i="62"/>
  <c r="IZR111" i="62"/>
  <c r="IZP111" i="62"/>
  <c r="IZN111" i="62"/>
  <c r="IZL111" i="62"/>
  <c r="IZJ111" i="62"/>
  <c r="IZH111" i="62"/>
  <c r="IZF111" i="62"/>
  <c r="IZD111" i="62"/>
  <c r="IZB111" i="62"/>
  <c r="IYZ111" i="62"/>
  <c r="IYX111" i="62"/>
  <c r="IYV111" i="62"/>
  <c r="IYT111" i="62"/>
  <c r="IYR111" i="62"/>
  <c r="IYP111" i="62"/>
  <c r="IYN111" i="62"/>
  <c r="IYL111" i="62"/>
  <c r="IYJ111" i="62"/>
  <c r="IYH111" i="62"/>
  <c r="IYF111" i="62"/>
  <c r="IYD111" i="62"/>
  <c r="IYB111" i="62"/>
  <c r="IXZ111" i="62"/>
  <c r="IXX111" i="62"/>
  <c r="IXV111" i="62"/>
  <c r="IXT111" i="62"/>
  <c r="IXR111" i="62"/>
  <c r="IXP111" i="62"/>
  <c r="IXN111" i="62"/>
  <c r="IXL111" i="62"/>
  <c r="IXJ111" i="62"/>
  <c r="IXH111" i="62"/>
  <c r="IXF111" i="62"/>
  <c r="IXD111" i="62"/>
  <c r="IXB111" i="62"/>
  <c r="IWZ111" i="62"/>
  <c r="IWX111" i="62"/>
  <c r="IWV111" i="62"/>
  <c r="IWT111" i="62"/>
  <c r="IWR111" i="62"/>
  <c r="IWP111" i="62"/>
  <c r="IWN111" i="62"/>
  <c r="IWL111" i="62"/>
  <c r="IWJ111" i="62"/>
  <c r="IWH111" i="62"/>
  <c r="IWF111" i="62"/>
  <c r="IWD111" i="62"/>
  <c r="IWB111" i="62"/>
  <c r="IVZ111" i="62"/>
  <c r="IVX111" i="62"/>
  <c r="IVV111" i="62"/>
  <c r="IVT111" i="62"/>
  <c r="IVR111" i="62"/>
  <c r="IVP111" i="62"/>
  <c r="IVN111" i="62"/>
  <c r="IVL111" i="62"/>
  <c r="IVJ111" i="62"/>
  <c r="IVH111" i="62"/>
  <c r="IVF111" i="62"/>
  <c r="IVD111" i="62"/>
  <c r="IVB111" i="62"/>
  <c r="IUZ111" i="62"/>
  <c r="IUX111" i="62"/>
  <c r="IUV111" i="62"/>
  <c r="IUT111" i="62"/>
  <c r="IUR111" i="62"/>
  <c r="IUP111" i="62"/>
  <c r="IUN111" i="62"/>
  <c r="IUL111" i="62"/>
  <c r="IUJ111" i="62"/>
  <c r="IUH111" i="62"/>
  <c r="IUF111" i="62"/>
  <c r="IUD111" i="62"/>
  <c r="IUB111" i="62"/>
  <c r="ITZ111" i="62"/>
  <c r="ITX111" i="62"/>
  <c r="ITV111" i="62"/>
  <c r="ITT111" i="62"/>
  <c r="ITR111" i="62"/>
  <c r="ITP111" i="62"/>
  <c r="ITN111" i="62"/>
  <c r="ITL111" i="62"/>
  <c r="ITJ111" i="62"/>
  <c r="ITH111" i="62"/>
  <c r="ITF111" i="62"/>
  <c r="ITD111" i="62"/>
  <c r="ITB111" i="62"/>
  <c r="ISZ111" i="62"/>
  <c r="ISX111" i="62"/>
  <c r="ISV111" i="62"/>
  <c r="IST111" i="62"/>
  <c r="ISR111" i="62"/>
  <c r="ISP111" i="62"/>
  <c r="ISN111" i="62"/>
  <c r="ISL111" i="62"/>
  <c r="ISJ111" i="62"/>
  <c r="ISH111" i="62"/>
  <c r="ISF111" i="62"/>
  <c r="ISD111" i="62"/>
  <c r="ISB111" i="62"/>
  <c r="IRZ111" i="62"/>
  <c r="IRX111" i="62"/>
  <c r="IRV111" i="62"/>
  <c r="IRT111" i="62"/>
  <c r="IRR111" i="62"/>
  <c r="IRP111" i="62"/>
  <c r="IRN111" i="62"/>
  <c r="IRL111" i="62"/>
  <c r="IRJ111" i="62"/>
  <c r="IRH111" i="62"/>
  <c r="IRF111" i="62"/>
  <c r="IRD111" i="62"/>
  <c r="IRB111" i="62"/>
  <c r="IQZ111" i="62"/>
  <c r="IQX111" i="62"/>
  <c r="IQV111" i="62"/>
  <c r="IQT111" i="62"/>
  <c r="IQR111" i="62"/>
  <c r="IQP111" i="62"/>
  <c r="IQN111" i="62"/>
  <c r="IQL111" i="62"/>
  <c r="IQJ111" i="62"/>
  <c r="IQH111" i="62"/>
  <c r="IQF111" i="62"/>
  <c r="IQD111" i="62"/>
  <c r="IQB111" i="62"/>
  <c r="IPZ111" i="62"/>
  <c r="IPX111" i="62"/>
  <c r="IPV111" i="62"/>
  <c r="IPT111" i="62"/>
  <c r="IPR111" i="62"/>
  <c r="IPP111" i="62"/>
  <c r="IPN111" i="62"/>
  <c r="IPL111" i="62"/>
  <c r="IPJ111" i="62"/>
  <c r="IPH111" i="62"/>
  <c r="IPF111" i="62"/>
  <c r="IPD111" i="62"/>
  <c r="IPB111" i="62"/>
  <c r="IOZ111" i="62"/>
  <c r="IOX111" i="62"/>
  <c r="IOV111" i="62"/>
  <c r="IOT111" i="62"/>
  <c r="IOR111" i="62"/>
  <c r="IOP111" i="62"/>
  <c r="ION111" i="62"/>
  <c r="IOL111" i="62"/>
  <c r="IOJ111" i="62"/>
  <c r="IOH111" i="62"/>
  <c r="IOF111" i="62"/>
  <c r="IOD111" i="62"/>
  <c r="IOB111" i="62"/>
  <c r="INZ111" i="62"/>
  <c r="INX111" i="62"/>
  <c r="INV111" i="62"/>
  <c r="INT111" i="62"/>
  <c r="INR111" i="62"/>
  <c r="INP111" i="62"/>
  <c r="INN111" i="62"/>
  <c r="INL111" i="62"/>
  <c r="INJ111" i="62"/>
  <c r="INH111" i="62"/>
  <c r="INF111" i="62"/>
  <c r="IND111" i="62"/>
  <c r="INB111" i="62"/>
  <c r="IMZ111" i="62"/>
  <c r="IMX111" i="62"/>
  <c r="IMV111" i="62"/>
  <c r="IMT111" i="62"/>
  <c r="IMR111" i="62"/>
  <c r="IMP111" i="62"/>
  <c r="IMN111" i="62"/>
  <c r="IML111" i="62"/>
  <c r="IMJ111" i="62"/>
  <c r="IMH111" i="62"/>
  <c r="IMF111" i="62"/>
  <c r="IMD111" i="62"/>
  <c r="IMB111" i="62"/>
  <c r="ILZ111" i="62"/>
  <c r="ILX111" i="62"/>
  <c r="ILV111" i="62"/>
  <c r="ILT111" i="62"/>
  <c r="ILR111" i="62"/>
  <c r="ILP111" i="62"/>
  <c r="ILN111" i="62"/>
  <c r="ILL111" i="62"/>
  <c r="ILJ111" i="62"/>
  <c r="ILH111" i="62"/>
  <c r="ILF111" i="62"/>
  <c r="ILD111" i="62"/>
  <c r="ILB111" i="62"/>
  <c r="IKZ111" i="62"/>
  <c r="IKX111" i="62"/>
  <c r="IKV111" i="62"/>
  <c r="IKT111" i="62"/>
  <c r="IKR111" i="62"/>
  <c r="IKP111" i="62"/>
  <c r="IKN111" i="62"/>
  <c r="IKL111" i="62"/>
  <c r="IKJ111" i="62"/>
  <c r="IKH111" i="62"/>
  <c r="IKF111" i="62"/>
  <c r="IKD111" i="62"/>
  <c r="IKB111" i="62"/>
  <c r="IJZ111" i="62"/>
  <c r="IJX111" i="62"/>
  <c r="IJV111" i="62"/>
  <c r="IJT111" i="62"/>
  <c r="IJR111" i="62"/>
  <c r="IJP111" i="62"/>
  <c r="IJN111" i="62"/>
  <c r="IJL111" i="62"/>
  <c r="IJJ111" i="62"/>
  <c r="IJH111" i="62"/>
  <c r="IJF111" i="62"/>
  <c r="IJD111" i="62"/>
  <c r="IJB111" i="62"/>
  <c r="IIZ111" i="62"/>
  <c r="IIX111" i="62"/>
  <c r="IIV111" i="62"/>
  <c r="IIT111" i="62"/>
  <c r="IIR111" i="62"/>
  <c r="IIP111" i="62"/>
  <c r="IIN111" i="62"/>
  <c r="IIL111" i="62"/>
  <c r="IIJ111" i="62"/>
  <c r="IIH111" i="62"/>
  <c r="IIF111" i="62"/>
  <c r="IID111" i="62"/>
  <c r="IIB111" i="62"/>
  <c r="IHZ111" i="62"/>
  <c r="IHX111" i="62"/>
  <c r="IHV111" i="62"/>
  <c r="IHT111" i="62"/>
  <c r="IHR111" i="62"/>
  <c r="IHP111" i="62"/>
  <c r="IHN111" i="62"/>
  <c r="IHL111" i="62"/>
  <c r="IHJ111" i="62"/>
  <c r="IHH111" i="62"/>
  <c r="IHF111" i="62"/>
  <c r="IHD111" i="62"/>
  <c r="IHB111" i="62"/>
  <c r="IGZ111" i="62"/>
  <c r="IGX111" i="62"/>
  <c r="IGV111" i="62"/>
  <c r="IGT111" i="62"/>
  <c r="IGR111" i="62"/>
  <c r="IGP111" i="62"/>
  <c r="IGN111" i="62"/>
  <c r="IGL111" i="62"/>
  <c r="IGJ111" i="62"/>
  <c r="IGH111" i="62"/>
  <c r="IGF111" i="62"/>
  <c r="IGD111" i="62"/>
  <c r="IGB111" i="62"/>
  <c r="IFZ111" i="62"/>
  <c r="IFX111" i="62"/>
  <c r="IFV111" i="62"/>
  <c r="IFT111" i="62"/>
  <c r="IFR111" i="62"/>
  <c r="IFP111" i="62"/>
  <c r="IFN111" i="62"/>
  <c r="IFL111" i="62"/>
  <c r="IFJ111" i="62"/>
  <c r="IFH111" i="62"/>
  <c r="IFF111" i="62"/>
  <c r="IFD111" i="62"/>
  <c r="IFB111" i="62"/>
  <c r="IEZ111" i="62"/>
  <c r="IEX111" i="62"/>
  <c r="IEV111" i="62"/>
  <c r="IET111" i="62"/>
  <c r="IER111" i="62"/>
  <c r="IEP111" i="62"/>
  <c r="IEN111" i="62"/>
  <c r="IEL111" i="62"/>
  <c r="IEJ111" i="62"/>
  <c r="IEH111" i="62"/>
  <c r="IEF111" i="62"/>
  <c r="IED111" i="62"/>
  <c r="IEB111" i="62"/>
  <c r="IDZ111" i="62"/>
  <c r="IDX111" i="62"/>
  <c r="IDV111" i="62"/>
  <c r="IDT111" i="62"/>
  <c r="IDR111" i="62"/>
  <c r="IDP111" i="62"/>
  <c r="IDN111" i="62"/>
  <c r="IDL111" i="62"/>
  <c r="IDJ111" i="62"/>
  <c r="IDH111" i="62"/>
  <c r="IDF111" i="62"/>
  <c r="IDD111" i="62"/>
  <c r="IDB111" i="62"/>
  <c r="ICZ111" i="62"/>
  <c r="ICX111" i="62"/>
  <c r="ICV111" i="62"/>
  <c r="ICT111" i="62"/>
  <c r="ICR111" i="62"/>
  <c r="ICP111" i="62"/>
  <c r="ICN111" i="62"/>
  <c r="ICL111" i="62"/>
  <c r="ICJ111" i="62"/>
  <c r="ICH111" i="62"/>
  <c r="ICF111" i="62"/>
  <c r="ICD111" i="62"/>
  <c r="ICB111" i="62"/>
  <c r="IBZ111" i="62"/>
  <c r="IBX111" i="62"/>
  <c r="IBV111" i="62"/>
  <c r="IBT111" i="62"/>
  <c r="IBR111" i="62"/>
  <c r="IBP111" i="62"/>
  <c r="IBN111" i="62"/>
  <c r="IBL111" i="62"/>
  <c r="IBJ111" i="62"/>
  <c r="IBH111" i="62"/>
  <c r="IBF111" i="62"/>
  <c r="IBD111" i="62"/>
  <c r="IBB111" i="62"/>
  <c r="IAZ111" i="62"/>
  <c r="IAX111" i="62"/>
  <c r="IAV111" i="62"/>
  <c r="IAT111" i="62"/>
  <c r="IAR111" i="62"/>
  <c r="IAP111" i="62"/>
  <c r="IAN111" i="62"/>
  <c r="IAL111" i="62"/>
  <c r="IAJ111" i="62"/>
  <c r="IAH111" i="62"/>
  <c r="IAF111" i="62"/>
  <c r="IAD111" i="62"/>
  <c r="IAB111" i="62"/>
  <c r="HZZ111" i="62"/>
  <c r="HZX111" i="62"/>
  <c r="HZV111" i="62"/>
  <c r="HZT111" i="62"/>
  <c r="HZR111" i="62"/>
  <c r="HZP111" i="62"/>
  <c r="HZN111" i="62"/>
  <c r="HZL111" i="62"/>
  <c r="HZJ111" i="62"/>
  <c r="HZH111" i="62"/>
  <c r="HZF111" i="62"/>
  <c r="HZD111" i="62"/>
  <c r="HZB111" i="62"/>
  <c r="HYZ111" i="62"/>
  <c r="HYX111" i="62"/>
  <c r="HYV111" i="62"/>
  <c r="HYT111" i="62"/>
  <c r="HYR111" i="62"/>
  <c r="HYP111" i="62"/>
  <c r="HYN111" i="62"/>
  <c r="HYL111" i="62"/>
  <c r="HYJ111" i="62"/>
  <c r="HYH111" i="62"/>
  <c r="HYF111" i="62"/>
  <c r="HYD111" i="62"/>
  <c r="HYB111" i="62"/>
  <c r="HXZ111" i="62"/>
  <c r="HXX111" i="62"/>
  <c r="HXV111" i="62"/>
  <c r="HXT111" i="62"/>
  <c r="HXR111" i="62"/>
  <c r="HXP111" i="62"/>
  <c r="HXN111" i="62"/>
  <c r="HXL111" i="62"/>
  <c r="HXJ111" i="62"/>
  <c r="HXH111" i="62"/>
  <c r="HXF111" i="62"/>
  <c r="HXD111" i="62"/>
  <c r="HXB111" i="62"/>
  <c r="HWZ111" i="62"/>
  <c r="HWX111" i="62"/>
  <c r="HWV111" i="62"/>
  <c r="HWT111" i="62"/>
  <c r="HWR111" i="62"/>
  <c r="HWP111" i="62"/>
  <c r="HWN111" i="62"/>
  <c r="HWL111" i="62"/>
  <c r="HWJ111" i="62"/>
  <c r="HWH111" i="62"/>
  <c r="HWF111" i="62"/>
  <c r="HWD111" i="62"/>
  <c r="HWB111" i="62"/>
  <c r="HVZ111" i="62"/>
  <c r="HVX111" i="62"/>
  <c r="HVV111" i="62"/>
  <c r="HVT111" i="62"/>
  <c r="HVR111" i="62"/>
  <c r="HVP111" i="62"/>
  <c r="HVN111" i="62"/>
  <c r="HVL111" i="62"/>
  <c r="HVJ111" i="62"/>
  <c r="HVH111" i="62"/>
  <c r="HVF111" i="62"/>
  <c r="HVD111" i="62"/>
  <c r="HVB111" i="62"/>
  <c r="HUZ111" i="62"/>
  <c r="HUX111" i="62"/>
  <c r="HUV111" i="62"/>
  <c r="HUT111" i="62"/>
  <c r="HUR111" i="62"/>
  <c r="HUP111" i="62"/>
  <c r="HUN111" i="62"/>
  <c r="HUL111" i="62"/>
  <c r="HUJ111" i="62"/>
  <c r="HUH111" i="62"/>
  <c r="HUF111" i="62"/>
  <c r="HUD111" i="62"/>
  <c r="HUB111" i="62"/>
  <c r="HTZ111" i="62"/>
  <c r="HTX111" i="62"/>
  <c r="HTV111" i="62"/>
  <c r="HTT111" i="62"/>
  <c r="HTR111" i="62"/>
  <c r="HTP111" i="62"/>
  <c r="HTN111" i="62"/>
  <c r="HTL111" i="62"/>
  <c r="HTJ111" i="62"/>
  <c r="HTH111" i="62"/>
  <c r="HTF111" i="62"/>
  <c r="HTD111" i="62"/>
  <c r="HTB111" i="62"/>
  <c r="HSZ111" i="62"/>
  <c r="HSX111" i="62"/>
  <c r="HSV111" i="62"/>
  <c r="HST111" i="62"/>
  <c r="HSR111" i="62"/>
  <c r="HSP111" i="62"/>
  <c r="HSN111" i="62"/>
  <c r="HSL111" i="62"/>
  <c r="HSJ111" i="62"/>
  <c r="HSH111" i="62"/>
  <c r="HSF111" i="62"/>
  <c r="HSD111" i="62"/>
  <c r="HSB111" i="62"/>
  <c r="HRZ111" i="62"/>
  <c r="HRX111" i="62"/>
  <c r="HRV111" i="62"/>
  <c r="HRT111" i="62"/>
  <c r="HRR111" i="62"/>
  <c r="HRP111" i="62"/>
  <c r="HRN111" i="62"/>
  <c r="HRL111" i="62"/>
  <c r="HRJ111" i="62"/>
  <c r="HRH111" i="62"/>
  <c r="HRF111" i="62"/>
  <c r="HRD111" i="62"/>
  <c r="HRB111" i="62"/>
  <c r="HQZ111" i="62"/>
  <c r="HQX111" i="62"/>
  <c r="HQV111" i="62"/>
  <c r="HQT111" i="62"/>
  <c r="HQR111" i="62"/>
  <c r="HQP111" i="62"/>
  <c r="HQN111" i="62"/>
  <c r="HQL111" i="62"/>
  <c r="HQJ111" i="62"/>
  <c r="HQH111" i="62"/>
  <c r="HQF111" i="62"/>
  <c r="HQD111" i="62"/>
  <c r="HQB111" i="62"/>
  <c r="HPZ111" i="62"/>
  <c r="HPX111" i="62"/>
  <c r="HPV111" i="62"/>
  <c r="HPT111" i="62"/>
  <c r="HPR111" i="62"/>
  <c r="HPP111" i="62"/>
  <c r="HPN111" i="62"/>
  <c r="HPL111" i="62"/>
  <c r="HPJ111" i="62"/>
  <c r="HPH111" i="62"/>
  <c r="HPF111" i="62"/>
  <c r="HPD111" i="62"/>
  <c r="HPB111" i="62"/>
  <c r="HOZ111" i="62"/>
  <c r="HOX111" i="62"/>
  <c r="HOV111" i="62"/>
  <c r="HOT111" i="62"/>
  <c r="HOR111" i="62"/>
  <c r="HOP111" i="62"/>
  <c r="HON111" i="62"/>
  <c r="HOL111" i="62"/>
  <c r="HOJ111" i="62"/>
  <c r="HOH111" i="62"/>
  <c r="HOF111" i="62"/>
  <c r="HOD111" i="62"/>
  <c r="HOB111" i="62"/>
  <c r="HNZ111" i="62"/>
  <c r="HNX111" i="62"/>
  <c r="HNV111" i="62"/>
  <c r="HNT111" i="62"/>
  <c r="HNR111" i="62"/>
  <c r="HNP111" i="62"/>
  <c r="HNN111" i="62"/>
  <c r="HNL111" i="62"/>
  <c r="HNJ111" i="62"/>
  <c r="HNH111" i="62"/>
  <c r="HNF111" i="62"/>
  <c r="HND111" i="62"/>
  <c r="HNB111" i="62"/>
  <c r="HMZ111" i="62"/>
  <c r="HMX111" i="62"/>
  <c r="HMV111" i="62"/>
  <c r="HMT111" i="62"/>
  <c r="HMR111" i="62"/>
  <c r="HMP111" i="62"/>
  <c r="HMN111" i="62"/>
  <c r="HML111" i="62"/>
  <c r="HMJ111" i="62"/>
  <c r="HMH111" i="62"/>
  <c r="HMF111" i="62"/>
  <c r="HMD111" i="62"/>
  <c r="HMB111" i="62"/>
  <c r="HLZ111" i="62"/>
  <c r="HLX111" i="62"/>
  <c r="HLV111" i="62"/>
  <c r="HLT111" i="62"/>
  <c r="HLR111" i="62"/>
  <c r="HLP111" i="62"/>
  <c r="HLN111" i="62"/>
  <c r="HLL111" i="62"/>
  <c r="HLJ111" i="62"/>
  <c r="HLH111" i="62"/>
  <c r="HLF111" i="62"/>
  <c r="HLD111" i="62"/>
  <c r="HLB111" i="62"/>
  <c r="HKZ111" i="62"/>
  <c r="HKX111" i="62"/>
  <c r="HKV111" i="62"/>
  <c r="HKT111" i="62"/>
  <c r="HKR111" i="62"/>
  <c r="HKP111" i="62"/>
  <c r="HKN111" i="62"/>
  <c r="HKL111" i="62"/>
  <c r="HKJ111" i="62"/>
  <c r="HKH111" i="62"/>
  <c r="HKF111" i="62"/>
  <c r="HKD111" i="62"/>
  <c r="HKB111" i="62"/>
  <c r="HJZ111" i="62"/>
  <c r="HJX111" i="62"/>
  <c r="HJV111" i="62"/>
  <c r="HJT111" i="62"/>
  <c r="HJR111" i="62"/>
  <c r="HJP111" i="62"/>
  <c r="HJN111" i="62"/>
  <c r="HJL111" i="62"/>
  <c r="HJJ111" i="62"/>
  <c r="HJH111" i="62"/>
  <c r="HJF111" i="62"/>
  <c r="HJD111" i="62"/>
  <c r="HJB111" i="62"/>
  <c r="HIZ111" i="62"/>
  <c r="HIX111" i="62"/>
  <c r="HIV111" i="62"/>
  <c r="HIT111" i="62"/>
  <c r="HIR111" i="62"/>
  <c r="HIP111" i="62"/>
  <c r="HIN111" i="62"/>
  <c r="HIL111" i="62"/>
  <c r="HIJ111" i="62"/>
  <c r="HIH111" i="62"/>
  <c r="HIF111" i="62"/>
  <c r="HID111" i="62"/>
  <c r="HIB111" i="62"/>
  <c r="HHZ111" i="62"/>
  <c r="HHX111" i="62"/>
  <c r="HHV111" i="62"/>
  <c r="HHT111" i="62"/>
  <c r="HHR111" i="62"/>
  <c r="HHP111" i="62"/>
  <c r="HHN111" i="62"/>
  <c r="HHL111" i="62"/>
  <c r="HHJ111" i="62"/>
  <c r="HHH111" i="62"/>
  <c r="HHF111" i="62"/>
  <c r="HHD111" i="62"/>
  <c r="HHB111" i="62"/>
  <c r="HGZ111" i="62"/>
  <c r="HGX111" i="62"/>
  <c r="HGV111" i="62"/>
  <c r="HGT111" i="62"/>
  <c r="HGR111" i="62"/>
  <c r="HGP111" i="62"/>
  <c r="HGN111" i="62"/>
  <c r="HGL111" i="62"/>
  <c r="HGJ111" i="62"/>
  <c r="HGH111" i="62"/>
  <c r="HGF111" i="62"/>
  <c r="HGD111" i="62"/>
  <c r="HGB111" i="62"/>
  <c r="HFZ111" i="62"/>
  <c r="HFX111" i="62"/>
  <c r="HFV111" i="62"/>
  <c r="HFT111" i="62"/>
  <c r="HFR111" i="62"/>
  <c r="HFP111" i="62"/>
  <c r="HFN111" i="62"/>
  <c r="HFL111" i="62"/>
  <c r="HFJ111" i="62"/>
  <c r="HFH111" i="62"/>
  <c r="HFF111" i="62"/>
  <c r="HFD111" i="62"/>
  <c r="HFB111" i="62"/>
  <c r="HEZ111" i="62"/>
  <c r="HEX111" i="62"/>
  <c r="HEV111" i="62"/>
  <c r="HET111" i="62"/>
  <c r="HER111" i="62"/>
  <c r="HEP111" i="62"/>
  <c r="HEN111" i="62"/>
  <c r="HEL111" i="62"/>
  <c r="HEJ111" i="62"/>
  <c r="HEH111" i="62"/>
  <c r="HEF111" i="62"/>
  <c r="HED111" i="62"/>
  <c r="HEB111" i="62"/>
  <c r="HDZ111" i="62"/>
  <c r="HDX111" i="62"/>
  <c r="HDV111" i="62"/>
  <c r="HDT111" i="62"/>
  <c r="HDR111" i="62"/>
  <c r="HDP111" i="62"/>
  <c r="HDN111" i="62"/>
  <c r="HDL111" i="62"/>
  <c r="HDJ111" i="62"/>
  <c r="HDH111" i="62"/>
  <c r="HDF111" i="62"/>
  <c r="HDD111" i="62"/>
  <c r="HDB111" i="62"/>
  <c r="HCZ111" i="62"/>
  <c r="HCX111" i="62"/>
  <c r="HCV111" i="62"/>
  <c r="HCT111" i="62"/>
  <c r="HCR111" i="62"/>
  <c r="HCP111" i="62"/>
  <c r="HCN111" i="62"/>
  <c r="HCL111" i="62"/>
  <c r="HCJ111" i="62"/>
  <c r="HCH111" i="62"/>
  <c r="HCF111" i="62"/>
  <c r="HCD111" i="62"/>
  <c r="HCB111" i="62"/>
  <c r="HBZ111" i="62"/>
  <c r="HBX111" i="62"/>
  <c r="HBV111" i="62"/>
  <c r="HBT111" i="62"/>
  <c r="HBR111" i="62"/>
  <c r="HBP111" i="62"/>
  <c r="HBN111" i="62"/>
  <c r="HBL111" i="62"/>
  <c r="HBJ111" i="62"/>
  <c r="HBH111" i="62"/>
  <c r="HBF111" i="62"/>
  <c r="HBD111" i="62"/>
  <c r="HBB111" i="62"/>
  <c r="HAZ111" i="62"/>
  <c r="HAX111" i="62"/>
  <c r="HAV111" i="62"/>
  <c r="HAT111" i="62"/>
  <c r="HAR111" i="62"/>
  <c r="HAP111" i="62"/>
  <c r="HAN111" i="62"/>
  <c r="HAL111" i="62"/>
  <c r="HAJ111" i="62"/>
  <c r="HAH111" i="62"/>
  <c r="HAF111" i="62"/>
  <c r="HAD111" i="62"/>
  <c r="HAB111" i="62"/>
  <c r="GZZ111" i="62"/>
  <c r="GZX111" i="62"/>
  <c r="GZV111" i="62"/>
  <c r="GZT111" i="62"/>
  <c r="GZR111" i="62"/>
  <c r="GZP111" i="62"/>
  <c r="GZN111" i="62"/>
  <c r="GZL111" i="62"/>
  <c r="GZJ111" i="62"/>
  <c r="GZH111" i="62"/>
  <c r="GZF111" i="62"/>
  <c r="GZD111" i="62"/>
  <c r="GZB111" i="62"/>
  <c r="GYZ111" i="62"/>
  <c r="GYX111" i="62"/>
  <c r="GYV111" i="62"/>
  <c r="GYT111" i="62"/>
  <c r="GYR111" i="62"/>
  <c r="GYP111" i="62"/>
  <c r="GYN111" i="62"/>
  <c r="GYL111" i="62"/>
  <c r="GYJ111" i="62"/>
  <c r="GYH111" i="62"/>
  <c r="GYF111" i="62"/>
  <c r="GYD111" i="62"/>
  <c r="GYB111" i="62"/>
  <c r="GXZ111" i="62"/>
  <c r="GXX111" i="62"/>
  <c r="GXV111" i="62"/>
  <c r="GXT111" i="62"/>
  <c r="GXR111" i="62"/>
  <c r="GXP111" i="62"/>
  <c r="GXN111" i="62"/>
  <c r="GXL111" i="62"/>
  <c r="GXJ111" i="62"/>
  <c r="GXH111" i="62"/>
  <c r="GXF111" i="62"/>
  <c r="GXD111" i="62"/>
  <c r="GXB111" i="62"/>
  <c r="GWZ111" i="62"/>
  <c r="GWX111" i="62"/>
  <c r="GWV111" i="62"/>
  <c r="GWT111" i="62"/>
  <c r="GWR111" i="62"/>
  <c r="GWP111" i="62"/>
  <c r="GWN111" i="62"/>
  <c r="GWL111" i="62"/>
  <c r="GWJ111" i="62"/>
  <c r="GWH111" i="62"/>
  <c r="GWF111" i="62"/>
  <c r="GWD111" i="62"/>
  <c r="GWB111" i="62"/>
  <c r="GVZ111" i="62"/>
  <c r="GVX111" i="62"/>
  <c r="GVV111" i="62"/>
  <c r="GVT111" i="62"/>
  <c r="GVR111" i="62"/>
  <c r="GVP111" i="62"/>
  <c r="GVN111" i="62"/>
  <c r="GVL111" i="62"/>
  <c r="GVJ111" i="62"/>
  <c r="GVH111" i="62"/>
  <c r="GVF111" i="62"/>
  <c r="GVD111" i="62"/>
  <c r="GVB111" i="62"/>
  <c r="GUZ111" i="62"/>
  <c r="GUX111" i="62"/>
  <c r="GUV111" i="62"/>
  <c r="GUT111" i="62"/>
  <c r="GUR111" i="62"/>
  <c r="GUP111" i="62"/>
  <c r="GUN111" i="62"/>
  <c r="GUL111" i="62"/>
  <c r="GUJ111" i="62"/>
  <c r="GUH111" i="62"/>
  <c r="GUF111" i="62"/>
  <c r="GUD111" i="62"/>
  <c r="GUB111" i="62"/>
  <c r="GTZ111" i="62"/>
  <c r="GTX111" i="62"/>
  <c r="GTV111" i="62"/>
  <c r="GTT111" i="62"/>
  <c r="GTR111" i="62"/>
  <c r="GTP111" i="62"/>
  <c r="GTN111" i="62"/>
  <c r="GTL111" i="62"/>
  <c r="GTJ111" i="62"/>
  <c r="GTH111" i="62"/>
  <c r="GTF111" i="62"/>
  <c r="GTD111" i="62"/>
  <c r="GTB111" i="62"/>
  <c r="GSZ111" i="62"/>
  <c r="GSX111" i="62"/>
  <c r="GSV111" i="62"/>
  <c r="GST111" i="62"/>
  <c r="GSR111" i="62"/>
  <c r="GSP111" i="62"/>
  <c r="GSN111" i="62"/>
  <c r="GSL111" i="62"/>
  <c r="GSJ111" i="62"/>
  <c r="GSH111" i="62"/>
  <c r="GSF111" i="62"/>
  <c r="GSD111" i="62"/>
  <c r="GSB111" i="62"/>
  <c r="GRZ111" i="62"/>
  <c r="GRX111" i="62"/>
  <c r="GRV111" i="62"/>
  <c r="GRT111" i="62"/>
  <c r="GRR111" i="62"/>
  <c r="GRP111" i="62"/>
  <c r="GRN111" i="62"/>
  <c r="GRL111" i="62"/>
  <c r="GRJ111" i="62"/>
  <c r="GRH111" i="62"/>
  <c r="GRF111" i="62"/>
  <c r="GRD111" i="62"/>
  <c r="GRB111" i="62"/>
  <c r="GQZ111" i="62"/>
  <c r="GQX111" i="62"/>
  <c r="GQV111" i="62"/>
  <c r="GQT111" i="62"/>
  <c r="GQR111" i="62"/>
  <c r="GQP111" i="62"/>
  <c r="GQN111" i="62"/>
  <c r="GQL111" i="62"/>
  <c r="GQJ111" i="62"/>
  <c r="GQH111" i="62"/>
  <c r="GQF111" i="62"/>
  <c r="GQD111" i="62"/>
  <c r="GQB111" i="62"/>
  <c r="GPZ111" i="62"/>
  <c r="GPX111" i="62"/>
  <c r="GPV111" i="62"/>
  <c r="GPT111" i="62"/>
  <c r="GPR111" i="62"/>
  <c r="GPP111" i="62"/>
  <c r="GPN111" i="62"/>
  <c r="GPL111" i="62"/>
  <c r="GPJ111" i="62"/>
  <c r="GPH111" i="62"/>
  <c r="GPF111" i="62"/>
  <c r="GPD111" i="62"/>
  <c r="GPB111" i="62"/>
  <c r="GOZ111" i="62"/>
  <c r="GOX111" i="62"/>
  <c r="GOV111" i="62"/>
  <c r="GOT111" i="62"/>
  <c r="GOR111" i="62"/>
  <c r="GOP111" i="62"/>
  <c r="GON111" i="62"/>
  <c r="GOL111" i="62"/>
  <c r="GOJ111" i="62"/>
  <c r="GOH111" i="62"/>
  <c r="GOF111" i="62"/>
  <c r="GOD111" i="62"/>
  <c r="GOB111" i="62"/>
  <c r="GNZ111" i="62"/>
  <c r="GNX111" i="62"/>
  <c r="GNV111" i="62"/>
  <c r="GNT111" i="62"/>
  <c r="GNR111" i="62"/>
  <c r="GNP111" i="62"/>
  <c r="GNN111" i="62"/>
  <c r="GNL111" i="62"/>
  <c r="GNJ111" i="62"/>
  <c r="GNH111" i="62"/>
  <c r="GNF111" i="62"/>
  <c r="GND111" i="62"/>
  <c r="GNB111" i="62"/>
  <c r="GMZ111" i="62"/>
  <c r="GMX111" i="62"/>
  <c r="GMV111" i="62"/>
  <c r="GMT111" i="62"/>
  <c r="GMR111" i="62"/>
  <c r="GMP111" i="62"/>
  <c r="GMN111" i="62"/>
  <c r="GML111" i="62"/>
  <c r="GMJ111" i="62"/>
  <c r="GMH111" i="62"/>
  <c r="GMF111" i="62"/>
  <c r="GMD111" i="62"/>
  <c r="GMB111" i="62"/>
  <c r="GLZ111" i="62"/>
  <c r="GLX111" i="62"/>
  <c r="GLV111" i="62"/>
  <c r="GLT111" i="62"/>
  <c r="GLR111" i="62"/>
  <c r="GLP111" i="62"/>
  <c r="GLN111" i="62"/>
  <c r="GLL111" i="62"/>
  <c r="GLJ111" i="62"/>
  <c r="GLH111" i="62"/>
  <c r="GLF111" i="62"/>
  <c r="GLD111" i="62"/>
  <c r="GLB111" i="62"/>
  <c r="GKZ111" i="62"/>
  <c r="GKX111" i="62"/>
  <c r="GKV111" i="62"/>
  <c r="GKT111" i="62"/>
  <c r="GKR111" i="62"/>
  <c r="GKP111" i="62"/>
  <c r="GKN111" i="62"/>
  <c r="GKL111" i="62"/>
  <c r="GKJ111" i="62"/>
  <c r="GKH111" i="62"/>
  <c r="GKF111" i="62"/>
  <c r="GKD111" i="62"/>
  <c r="GKB111" i="62"/>
  <c r="GJZ111" i="62"/>
  <c r="GJX111" i="62"/>
  <c r="GJV111" i="62"/>
  <c r="GJT111" i="62"/>
  <c r="GJR111" i="62"/>
  <c r="GJP111" i="62"/>
  <c r="GJN111" i="62"/>
  <c r="GJL111" i="62"/>
  <c r="GJJ111" i="62"/>
  <c r="GJH111" i="62"/>
  <c r="GJF111" i="62"/>
  <c r="GJD111" i="62"/>
  <c r="GJB111" i="62"/>
  <c r="GIZ111" i="62"/>
  <c r="GIX111" i="62"/>
  <c r="GIV111" i="62"/>
  <c r="GIT111" i="62"/>
  <c r="GIR111" i="62"/>
  <c r="GIP111" i="62"/>
  <c r="GIN111" i="62"/>
  <c r="GIL111" i="62"/>
  <c r="GIJ111" i="62"/>
  <c r="GIH111" i="62"/>
  <c r="GIF111" i="62"/>
  <c r="GID111" i="62"/>
  <c r="GIB111" i="62"/>
  <c r="GHZ111" i="62"/>
  <c r="GHX111" i="62"/>
  <c r="GHV111" i="62"/>
  <c r="GHT111" i="62"/>
  <c r="GHR111" i="62"/>
  <c r="GHP111" i="62"/>
  <c r="GHN111" i="62"/>
  <c r="GHL111" i="62"/>
  <c r="GHJ111" i="62"/>
  <c r="GHH111" i="62"/>
  <c r="GHF111" i="62"/>
  <c r="GHD111" i="62"/>
  <c r="GHB111" i="62"/>
  <c r="GGZ111" i="62"/>
  <c r="GGX111" i="62"/>
  <c r="GGV111" i="62"/>
  <c r="GGT111" i="62"/>
  <c r="GGR111" i="62"/>
  <c r="GGP111" i="62"/>
  <c r="GGN111" i="62"/>
  <c r="GGL111" i="62"/>
  <c r="GGJ111" i="62"/>
  <c r="GGH111" i="62"/>
  <c r="GGF111" i="62"/>
  <c r="GGD111" i="62"/>
  <c r="GGB111" i="62"/>
  <c r="GFZ111" i="62"/>
  <c r="GFX111" i="62"/>
  <c r="GFV111" i="62"/>
  <c r="GFT111" i="62"/>
  <c r="GFR111" i="62"/>
  <c r="GFP111" i="62"/>
  <c r="GFN111" i="62"/>
  <c r="GFL111" i="62"/>
  <c r="GFJ111" i="62"/>
  <c r="GFH111" i="62"/>
  <c r="GFF111" i="62"/>
  <c r="GFD111" i="62"/>
  <c r="GFB111" i="62"/>
  <c r="GEZ111" i="62"/>
  <c r="GEX111" i="62"/>
  <c r="GEV111" i="62"/>
  <c r="GET111" i="62"/>
  <c r="GER111" i="62"/>
  <c r="GEP111" i="62"/>
  <c r="GEN111" i="62"/>
  <c r="GEL111" i="62"/>
  <c r="GEJ111" i="62"/>
  <c r="GEH111" i="62"/>
  <c r="GEF111" i="62"/>
  <c r="GED111" i="62"/>
  <c r="GEB111" i="62"/>
  <c r="GDZ111" i="62"/>
  <c r="GDX111" i="62"/>
  <c r="GDV111" i="62"/>
  <c r="GDT111" i="62"/>
  <c r="GDR111" i="62"/>
  <c r="GDP111" i="62"/>
  <c r="GDN111" i="62"/>
  <c r="GDL111" i="62"/>
  <c r="GDJ111" i="62"/>
  <c r="GDH111" i="62"/>
  <c r="GDF111" i="62"/>
  <c r="GDD111" i="62"/>
  <c r="GDB111" i="62"/>
  <c r="GCZ111" i="62"/>
  <c r="GCX111" i="62"/>
  <c r="GCV111" i="62"/>
  <c r="GCT111" i="62"/>
  <c r="GCR111" i="62"/>
  <c r="GCP111" i="62"/>
  <c r="GCN111" i="62"/>
  <c r="GCL111" i="62"/>
  <c r="GCJ111" i="62"/>
  <c r="GCH111" i="62"/>
  <c r="GCF111" i="62"/>
  <c r="GCD111" i="62"/>
  <c r="GCB111" i="62"/>
  <c r="GBZ111" i="62"/>
  <c r="GBX111" i="62"/>
  <c r="GBV111" i="62"/>
  <c r="GBT111" i="62"/>
  <c r="GBR111" i="62"/>
  <c r="GBP111" i="62"/>
  <c r="GBN111" i="62"/>
  <c r="GBL111" i="62"/>
  <c r="GBJ111" i="62"/>
  <c r="GBH111" i="62"/>
  <c r="GBF111" i="62"/>
  <c r="GBD111" i="62"/>
  <c r="GBB111" i="62"/>
  <c r="GAZ111" i="62"/>
  <c r="GAX111" i="62"/>
  <c r="GAV111" i="62"/>
  <c r="GAT111" i="62"/>
  <c r="GAR111" i="62"/>
  <c r="GAP111" i="62"/>
  <c r="GAN111" i="62"/>
  <c r="GAL111" i="62"/>
  <c r="GAJ111" i="62"/>
  <c r="GAH111" i="62"/>
  <c r="GAF111" i="62"/>
  <c r="GAD111" i="62"/>
  <c r="GAB111" i="62"/>
  <c r="FZZ111" i="62"/>
  <c r="FZX111" i="62"/>
  <c r="FZV111" i="62"/>
  <c r="FZT111" i="62"/>
  <c r="FZR111" i="62"/>
  <c r="FZP111" i="62"/>
  <c r="FZN111" i="62"/>
  <c r="FZL111" i="62"/>
  <c r="FZJ111" i="62"/>
  <c r="FZH111" i="62"/>
  <c r="FZF111" i="62"/>
  <c r="FZD111" i="62"/>
  <c r="FZB111" i="62"/>
  <c r="FYZ111" i="62"/>
  <c r="FYX111" i="62"/>
  <c r="FYV111" i="62"/>
  <c r="FYT111" i="62"/>
  <c r="FYR111" i="62"/>
  <c r="FYP111" i="62"/>
  <c r="FYN111" i="62"/>
  <c r="FYL111" i="62"/>
  <c r="FYJ111" i="62"/>
  <c r="FYH111" i="62"/>
  <c r="FYF111" i="62"/>
  <c r="FYD111" i="62"/>
  <c r="FYB111" i="62"/>
  <c r="FXZ111" i="62"/>
  <c r="FXX111" i="62"/>
  <c r="FXV111" i="62"/>
  <c r="FXT111" i="62"/>
  <c r="FXR111" i="62"/>
  <c r="FXP111" i="62"/>
  <c r="FXN111" i="62"/>
  <c r="FXL111" i="62"/>
  <c r="FXJ111" i="62"/>
  <c r="FXH111" i="62"/>
  <c r="FXF111" i="62"/>
  <c r="FXD111" i="62"/>
  <c r="FXB111" i="62"/>
  <c r="FWZ111" i="62"/>
  <c r="FWX111" i="62"/>
  <c r="FWV111" i="62"/>
  <c r="FWT111" i="62"/>
  <c r="FWR111" i="62"/>
  <c r="FWP111" i="62"/>
  <c r="FWN111" i="62"/>
  <c r="FWL111" i="62"/>
  <c r="FWJ111" i="62"/>
  <c r="FWH111" i="62"/>
  <c r="FWF111" i="62"/>
  <c r="FWD111" i="62"/>
  <c r="FWB111" i="62"/>
  <c r="FVZ111" i="62"/>
  <c r="FVX111" i="62"/>
  <c r="FVV111" i="62"/>
  <c r="FVT111" i="62"/>
  <c r="FVR111" i="62"/>
  <c r="FVP111" i="62"/>
  <c r="FVN111" i="62"/>
  <c r="FVL111" i="62"/>
  <c r="FVJ111" i="62"/>
  <c r="FVH111" i="62"/>
  <c r="FVF111" i="62"/>
  <c r="FVD111" i="62"/>
  <c r="FVB111" i="62"/>
  <c r="FUZ111" i="62"/>
  <c r="FUX111" i="62"/>
  <c r="FUV111" i="62"/>
  <c r="FUT111" i="62"/>
  <c r="FUR111" i="62"/>
  <c r="FUP111" i="62"/>
  <c r="FUN111" i="62"/>
  <c r="FUL111" i="62"/>
  <c r="FUJ111" i="62"/>
  <c r="FUH111" i="62"/>
  <c r="FUF111" i="62"/>
  <c r="FUD111" i="62"/>
  <c r="FUB111" i="62"/>
  <c r="FTZ111" i="62"/>
  <c r="FTX111" i="62"/>
  <c r="FTV111" i="62"/>
  <c r="FTT111" i="62"/>
  <c r="FTR111" i="62"/>
  <c r="FTP111" i="62"/>
  <c r="FTN111" i="62"/>
  <c r="FTL111" i="62"/>
  <c r="FTJ111" i="62"/>
  <c r="FTH111" i="62"/>
  <c r="FTF111" i="62"/>
  <c r="FTD111" i="62"/>
  <c r="FTB111" i="62"/>
  <c r="FSZ111" i="62"/>
  <c r="FSX111" i="62"/>
  <c r="FSV111" i="62"/>
  <c r="FST111" i="62"/>
  <c r="FSR111" i="62"/>
  <c r="FSP111" i="62"/>
  <c r="FSN111" i="62"/>
  <c r="FSL111" i="62"/>
  <c r="FSJ111" i="62"/>
  <c r="FSH111" i="62"/>
  <c r="FSF111" i="62"/>
  <c r="FSD111" i="62"/>
  <c r="FSB111" i="62"/>
  <c r="FRZ111" i="62"/>
  <c r="FRX111" i="62"/>
  <c r="FRV111" i="62"/>
  <c r="FRT111" i="62"/>
  <c r="FRR111" i="62"/>
  <c r="FRP111" i="62"/>
  <c r="FRN111" i="62"/>
  <c r="FRL111" i="62"/>
  <c r="FRJ111" i="62"/>
  <c r="FRH111" i="62"/>
  <c r="FRF111" i="62"/>
  <c r="FRD111" i="62"/>
  <c r="FRB111" i="62"/>
  <c r="FQZ111" i="62"/>
  <c r="FQX111" i="62"/>
  <c r="FQV111" i="62"/>
  <c r="FQT111" i="62"/>
  <c r="FQR111" i="62"/>
  <c r="FQP111" i="62"/>
  <c r="FQN111" i="62"/>
  <c r="FQL111" i="62"/>
  <c r="FQJ111" i="62"/>
  <c r="FQH111" i="62"/>
  <c r="FQF111" i="62"/>
  <c r="FQD111" i="62"/>
  <c r="FQB111" i="62"/>
  <c r="FPZ111" i="62"/>
  <c r="FPX111" i="62"/>
  <c r="FPV111" i="62"/>
  <c r="FPT111" i="62"/>
  <c r="FPR111" i="62"/>
  <c r="FPP111" i="62"/>
  <c r="FPN111" i="62"/>
  <c r="FPL111" i="62"/>
  <c r="FPJ111" i="62"/>
  <c r="FPH111" i="62"/>
  <c r="FPF111" i="62"/>
  <c r="FPD111" i="62"/>
  <c r="FPB111" i="62"/>
  <c r="FOZ111" i="62"/>
  <c r="FOX111" i="62"/>
  <c r="FOV111" i="62"/>
  <c r="FOT111" i="62"/>
  <c r="FOR111" i="62"/>
  <c r="FOP111" i="62"/>
  <c r="FON111" i="62"/>
  <c r="FOL111" i="62"/>
  <c r="FOJ111" i="62"/>
  <c r="FOH111" i="62"/>
  <c r="FOF111" i="62"/>
  <c r="FOD111" i="62"/>
  <c r="FOB111" i="62"/>
  <c r="FNZ111" i="62"/>
  <c r="FNX111" i="62"/>
  <c r="FNV111" i="62"/>
  <c r="FNT111" i="62"/>
  <c r="FNR111" i="62"/>
  <c r="FNP111" i="62"/>
  <c r="FNN111" i="62"/>
  <c r="FNL111" i="62"/>
  <c r="FNJ111" i="62"/>
  <c r="FNH111" i="62"/>
  <c r="FNF111" i="62"/>
  <c r="FND111" i="62"/>
  <c r="FNB111" i="62"/>
  <c r="FMZ111" i="62"/>
  <c r="FMX111" i="62"/>
  <c r="FMV111" i="62"/>
  <c r="FMT111" i="62"/>
  <c r="FMR111" i="62"/>
  <c r="FMP111" i="62"/>
  <c r="FMN111" i="62"/>
  <c r="FML111" i="62"/>
  <c r="FMJ111" i="62"/>
  <c r="FMH111" i="62"/>
  <c r="FMF111" i="62"/>
  <c r="FMD111" i="62"/>
  <c r="FMB111" i="62"/>
  <c r="FLZ111" i="62"/>
  <c r="FLX111" i="62"/>
  <c r="FLV111" i="62"/>
  <c r="FLT111" i="62"/>
  <c r="FLR111" i="62"/>
  <c r="FLP111" i="62"/>
  <c r="FLN111" i="62"/>
  <c r="FLL111" i="62"/>
  <c r="FLJ111" i="62"/>
  <c r="FLH111" i="62"/>
  <c r="FLF111" i="62"/>
  <c r="FLD111" i="62"/>
  <c r="FLB111" i="62"/>
  <c r="FKZ111" i="62"/>
  <c r="FKX111" i="62"/>
  <c r="FKV111" i="62"/>
  <c r="FKT111" i="62"/>
  <c r="FKR111" i="62"/>
  <c r="FKP111" i="62"/>
  <c r="FKN111" i="62"/>
  <c r="FKL111" i="62"/>
  <c r="FKJ111" i="62"/>
  <c r="FKH111" i="62"/>
  <c r="FKF111" i="62"/>
  <c r="FKD111" i="62"/>
  <c r="FKB111" i="62"/>
  <c r="FJZ111" i="62"/>
  <c r="FJX111" i="62"/>
  <c r="FJV111" i="62"/>
  <c r="FJT111" i="62"/>
  <c r="FJR111" i="62"/>
  <c r="FJP111" i="62"/>
  <c r="FJN111" i="62"/>
  <c r="FJL111" i="62"/>
  <c r="FJJ111" i="62"/>
  <c r="FJH111" i="62"/>
  <c r="FJF111" i="62"/>
  <c r="FJD111" i="62"/>
  <c r="FJB111" i="62"/>
  <c r="FIZ111" i="62"/>
  <c r="FIX111" i="62"/>
  <c r="FIV111" i="62"/>
  <c r="FIT111" i="62"/>
  <c r="FIR111" i="62"/>
  <c r="FIP111" i="62"/>
  <c r="FIN111" i="62"/>
  <c r="FIL111" i="62"/>
  <c r="FIJ111" i="62"/>
  <c r="FIH111" i="62"/>
  <c r="FIF111" i="62"/>
  <c r="FID111" i="62"/>
  <c r="FIB111" i="62"/>
  <c r="FHZ111" i="62"/>
  <c r="FHX111" i="62"/>
  <c r="FHV111" i="62"/>
  <c r="FHT111" i="62"/>
  <c r="FHR111" i="62"/>
  <c r="FHP111" i="62"/>
  <c r="FHN111" i="62"/>
  <c r="FHL111" i="62"/>
  <c r="FHJ111" i="62"/>
  <c r="FHH111" i="62"/>
  <c r="FHF111" i="62"/>
  <c r="FHD111" i="62"/>
  <c r="FHB111" i="62"/>
  <c r="FGZ111" i="62"/>
  <c r="FGX111" i="62"/>
  <c r="FGV111" i="62"/>
  <c r="FGT111" i="62"/>
  <c r="FGR111" i="62"/>
  <c r="FGP111" i="62"/>
  <c r="FGN111" i="62"/>
  <c r="FGL111" i="62"/>
  <c r="FGJ111" i="62"/>
  <c r="FGH111" i="62"/>
  <c r="FGF111" i="62"/>
  <c r="FGD111" i="62"/>
  <c r="FGB111" i="62"/>
  <c r="FFZ111" i="62"/>
  <c r="FFX111" i="62"/>
  <c r="FFV111" i="62"/>
  <c r="FFT111" i="62"/>
  <c r="FFR111" i="62"/>
  <c r="FFP111" i="62"/>
  <c r="FFN111" i="62"/>
  <c r="FFL111" i="62"/>
  <c r="FFJ111" i="62"/>
  <c r="FFH111" i="62"/>
  <c r="FFF111" i="62"/>
  <c r="FFD111" i="62"/>
  <c r="FFB111" i="62"/>
  <c r="FEZ111" i="62"/>
  <c r="FEX111" i="62"/>
  <c r="FEV111" i="62"/>
  <c r="FET111" i="62"/>
  <c r="FER111" i="62"/>
  <c r="FEP111" i="62"/>
  <c r="FEN111" i="62"/>
  <c r="FEL111" i="62"/>
  <c r="FEJ111" i="62"/>
  <c r="FEH111" i="62"/>
  <c r="FEF111" i="62"/>
  <c r="FED111" i="62"/>
  <c r="FEB111" i="62"/>
  <c r="FDZ111" i="62"/>
  <c r="FDX111" i="62"/>
  <c r="FDV111" i="62"/>
  <c r="FDT111" i="62"/>
  <c r="FDR111" i="62"/>
  <c r="FDP111" i="62"/>
  <c r="FDN111" i="62"/>
  <c r="FDL111" i="62"/>
  <c r="FDJ111" i="62"/>
  <c r="FDH111" i="62"/>
  <c r="FDF111" i="62"/>
  <c r="FDD111" i="62"/>
  <c r="FDB111" i="62"/>
  <c r="FCZ111" i="62"/>
  <c r="FCX111" i="62"/>
  <c r="FCV111" i="62"/>
  <c r="FCT111" i="62"/>
  <c r="FCR111" i="62"/>
  <c r="FCP111" i="62"/>
  <c r="FCN111" i="62"/>
  <c r="FCL111" i="62"/>
  <c r="FCJ111" i="62"/>
  <c r="FCH111" i="62"/>
  <c r="FCF111" i="62"/>
  <c r="FCD111" i="62"/>
  <c r="FCB111" i="62"/>
  <c r="FBZ111" i="62"/>
  <c r="FBX111" i="62"/>
  <c r="FBV111" i="62"/>
  <c r="FBT111" i="62"/>
  <c r="FBR111" i="62"/>
  <c r="FBP111" i="62"/>
  <c r="FBN111" i="62"/>
  <c r="FBL111" i="62"/>
  <c r="FBJ111" i="62"/>
  <c r="FBH111" i="62"/>
  <c r="FBF111" i="62"/>
  <c r="FBD111" i="62"/>
  <c r="FBB111" i="62"/>
  <c r="FAZ111" i="62"/>
  <c r="FAX111" i="62"/>
  <c r="FAV111" i="62"/>
  <c r="FAT111" i="62"/>
  <c r="FAR111" i="62"/>
  <c r="FAP111" i="62"/>
  <c r="FAN111" i="62"/>
  <c r="FAL111" i="62"/>
  <c r="FAJ111" i="62"/>
  <c r="FAH111" i="62"/>
  <c r="FAF111" i="62"/>
  <c r="FAD111" i="62"/>
  <c r="FAB111" i="62"/>
  <c r="EZZ111" i="62"/>
  <c r="EZX111" i="62"/>
  <c r="EZV111" i="62"/>
  <c r="EZT111" i="62"/>
  <c r="EZR111" i="62"/>
  <c r="EZP111" i="62"/>
  <c r="EZN111" i="62"/>
  <c r="EZL111" i="62"/>
  <c r="EZJ111" i="62"/>
  <c r="EZH111" i="62"/>
  <c r="EZF111" i="62"/>
  <c r="EZD111" i="62"/>
  <c r="EZB111" i="62"/>
  <c r="EYZ111" i="62"/>
  <c r="EYX111" i="62"/>
  <c r="EYV111" i="62"/>
  <c r="EYT111" i="62"/>
  <c r="EYR111" i="62"/>
  <c r="EYP111" i="62"/>
  <c r="EYN111" i="62"/>
  <c r="EYL111" i="62"/>
  <c r="EYJ111" i="62"/>
  <c r="EYH111" i="62"/>
  <c r="EYF111" i="62"/>
  <c r="EYD111" i="62"/>
  <c r="EYB111" i="62"/>
  <c r="EXZ111" i="62"/>
  <c r="EXX111" i="62"/>
  <c r="EXV111" i="62"/>
  <c r="EXT111" i="62"/>
  <c r="EXR111" i="62"/>
  <c r="EXP111" i="62"/>
  <c r="EXN111" i="62"/>
  <c r="EXL111" i="62"/>
  <c r="EXJ111" i="62"/>
  <c r="EXH111" i="62"/>
  <c r="EXF111" i="62"/>
  <c r="EXD111" i="62"/>
  <c r="EXB111" i="62"/>
  <c r="EWZ111" i="62"/>
  <c r="EWX111" i="62"/>
  <c r="EWV111" i="62"/>
  <c r="EWT111" i="62"/>
  <c r="EWR111" i="62"/>
  <c r="EWP111" i="62"/>
  <c r="EWN111" i="62"/>
  <c r="EWL111" i="62"/>
  <c r="EWJ111" i="62"/>
  <c r="EWH111" i="62"/>
  <c r="EWF111" i="62"/>
  <c r="EWD111" i="62"/>
  <c r="EWB111" i="62"/>
  <c r="EVZ111" i="62"/>
  <c r="EVX111" i="62"/>
  <c r="EVV111" i="62"/>
  <c r="EVT111" i="62"/>
  <c r="EVR111" i="62"/>
  <c r="EVP111" i="62"/>
  <c r="EVN111" i="62"/>
  <c r="EVL111" i="62"/>
  <c r="EVJ111" i="62"/>
  <c r="EVH111" i="62"/>
  <c r="EVF111" i="62"/>
  <c r="EVD111" i="62"/>
  <c r="EVB111" i="62"/>
  <c r="EUZ111" i="62"/>
  <c r="EUX111" i="62"/>
  <c r="EUV111" i="62"/>
  <c r="EUT111" i="62"/>
  <c r="EUR111" i="62"/>
  <c r="EUP111" i="62"/>
  <c r="EUN111" i="62"/>
  <c r="EUL111" i="62"/>
  <c r="EUJ111" i="62"/>
  <c r="EUH111" i="62"/>
  <c r="EUF111" i="62"/>
  <c r="EUD111" i="62"/>
  <c r="EUB111" i="62"/>
  <c r="ETZ111" i="62"/>
  <c r="ETX111" i="62"/>
  <c r="ETV111" i="62"/>
  <c r="ETT111" i="62"/>
  <c r="ETR111" i="62"/>
  <c r="ETP111" i="62"/>
  <c r="ETN111" i="62"/>
  <c r="ETL111" i="62"/>
  <c r="ETJ111" i="62"/>
  <c r="ETH111" i="62"/>
  <c r="ETF111" i="62"/>
  <c r="ETD111" i="62"/>
  <c r="ETB111" i="62"/>
  <c r="ESZ111" i="62"/>
  <c r="ESX111" i="62"/>
  <c r="ESV111" i="62"/>
  <c r="EST111" i="62"/>
  <c r="ESR111" i="62"/>
  <c r="ESP111" i="62"/>
  <c r="ESN111" i="62"/>
  <c r="ESL111" i="62"/>
  <c r="ESJ111" i="62"/>
  <c r="ESH111" i="62"/>
  <c r="ESF111" i="62"/>
  <c r="ESD111" i="62"/>
  <c r="ESB111" i="62"/>
  <c r="ERZ111" i="62"/>
  <c r="ERX111" i="62"/>
  <c r="ERV111" i="62"/>
  <c r="ERT111" i="62"/>
  <c r="ERR111" i="62"/>
  <c r="ERP111" i="62"/>
  <c r="ERN111" i="62"/>
  <c r="ERL111" i="62"/>
  <c r="ERJ111" i="62"/>
  <c r="ERH111" i="62"/>
  <c r="ERF111" i="62"/>
  <c r="ERD111" i="62"/>
  <c r="ERB111" i="62"/>
  <c r="EQZ111" i="62"/>
  <c r="EQX111" i="62"/>
  <c r="EQV111" i="62"/>
  <c r="EQT111" i="62"/>
  <c r="EQR111" i="62"/>
  <c r="EQP111" i="62"/>
  <c r="EQN111" i="62"/>
  <c r="EQL111" i="62"/>
  <c r="EQJ111" i="62"/>
  <c r="EQH111" i="62"/>
  <c r="EQF111" i="62"/>
  <c r="EQD111" i="62"/>
  <c r="EQB111" i="62"/>
  <c r="EPZ111" i="62"/>
  <c r="EPX111" i="62"/>
  <c r="EPV111" i="62"/>
  <c r="EPT111" i="62"/>
  <c r="EPR111" i="62"/>
  <c r="EPP111" i="62"/>
  <c r="EPN111" i="62"/>
  <c r="EPL111" i="62"/>
  <c r="EPJ111" i="62"/>
  <c r="EPH111" i="62"/>
  <c r="EPF111" i="62"/>
  <c r="EPD111" i="62"/>
  <c r="EPB111" i="62"/>
  <c r="EOZ111" i="62"/>
  <c r="EOX111" i="62"/>
  <c r="EOV111" i="62"/>
  <c r="EOT111" i="62"/>
  <c r="EOR111" i="62"/>
  <c r="EOP111" i="62"/>
  <c r="EON111" i="62"/>
  <c r="EOL111" i="62"/>
  <c r="EOJ111" i="62"/>
  <c r="EOH111" i="62"/>
  <c r="EOF111" i="62"/>
  <c r="EOD111" i="62"/>
  <c r="EOB111" i="62"/>
  <c r="ENZ111" i="62"/>
  <c r="ENX111" i="62"/>
  <c r="ENV111" i="62"/>
  <c r="ENT111" i="62"/>
  <c r="ENR111" i="62"/>
  <c r="ENP111" i="62"/>
  <c r="ENN111" i="62"/>
  <c r="ENL111" i="62"/>
  <c r="ENJ111" i="62"/>
  <c r="ENH111" i="62"/>
  <c r="ENF111" i="62"/>
  <c r="END111" i="62"/>
  <c r="ENB111" i="62"/>
  <c r="EMZ111" i="62"/>
  <c r="EMX111" i="62"/>
  <c r="EMV111" i="62"/>
  <c r="EMT111" i="62"/>
  <c r="EMR111" i="62"/>
  <c r="EMP111" i="62"/>
  <c r="EMN111" i="62"/>
  <c r="EML111" i="62"/>
  <c r="EMJ111" i="62"/>
  <c r="EMH111" i="62"/>
  <c r="EMF111" i="62"/>
  <c r="EMD111" i="62"/>
  <c r="EMB111" i="62"/>
  <c r="ELZ111" i="62"/>
  <c r="ELX111" i="62"/>
  <c r="ELV111" i="62"/>
  <c r="ELT111" i="62"/>
  <c r="ELR111" i="62"/>
  <c r="ELP111" i="62"/>
  <c r="ELN111" i="62"/>
  <c r="ELL111" i="62"/>
  <c r="ELJ111" i="62"/>
  <c r="ELH111" i="62"/>
  <c r="ELF111" i="62"/>
  <c r="ELD111" i="62"/>
  <c r="ELB111" i="62"/>
  <c r="EKZ111" i="62"/>
  <c r="EKX111" i="62"/>
  <c r="EKV111" i="62"/>
  <c r="EKT111" i="62"/>
  <c r="EKR111" i="62"/>
  <c r="EKP111" i="62"/>
  <c r="EKN111" i="62"/>
  <c r="EKL111" i="62"/>
  <c r="EKJ111" i="62"/>
  <c r="EKH111" i="62"/>
  <c r="EKF111" i="62"/>
  <c r="EKD111" i="62"/>
  <c r="EKB111" i="62"/>
  <c r="EJZ111" i="62"/>
  <c r="EJX111" i="62"/>
  <c r="EJV111" i="62"/>
  <c r="EJT111" i="62"/>
  <c r="EJR111" i="62"/>
  <c r="EJP111" i="62"/>
  <c r="EJN111" i="62"/>
  <c r="EJL111" i="62"/>
  <c r="EJJ111" i="62"/>
  <c r="EJH111" i="62"/>
  <c r="EJF111" i="62"/>
  <c r="EJD111" i="62"/>
  <c r="EJB111" i="62"/>
  <c r="EIZ111" i="62"/>
  <c r="EIX111" i="62"/>
  <c r="EIV111" i="62"/>
  <c r="EIT111" i="62"/>
  <c r="EIR111" i="62"/>
  <c r="EIP111" i="62"/>
  <c r="EIN111" i="62"/>
  <c r="EIL111" i="62"/>
  <c r="EIJ111" i="62"/>
  <c r="EIH111" i="62"/>
  <c r="EIF111" i="62"/>
  <c r="EID111" i="62"/>
  <c r="EIB111" i="62"/>
  <c r="EHZ111" i="62"/>
  <c r="EHX111" i="62"/>
  <c r="EHV111" i="62"/>
  <c r="EHT111" i="62"/>
  <c r="EHR111" i="62"/>
  <c r="EHP111" i="62"/>
  <c r="EHN111" i="62"/>
  <c r="EHL111" i="62"/>
  <c r="EHJ111" i="62"/>
  <c r="EHH111" i="62"/>
  <c r="EHF111" i="62"/>
  <c r="EHD111" i="62"/>
  <c r="EHB111" i="62"/>
  <c r="EGZ111" i="62"/>
  <c r="EGX111" i="62"/>
  <c r="EGV111" i="62"/>
  <c r="EGT111" i="62"/>
  <c r="EGR111" i="62"/>
  <c r="EGP111" i="62"/>
  <c r="EGN111" i="62"/>
  <c r="EGL111" i="62"/>
  <c r="EGJ111" i="62"/>
  <c r="EGH111" i="62"/>
  <c r="EGF111" i="62"/>
  <c r="EGD111" i="62"/>
  <c r="EGB111" i="62"/>
  <c r="EFZ111" i="62"/>
  <c r="EFX111" i="62"/>
  <c r="EFV111" i="62"/>
  <c r="EFT111" i="62"/>
  <c r="EFR111" i="62"/>
  <c r="EFP111" i="62"/>
  <c r="EFN111" i="62"/>
  <c r="EFL111" i="62"/>
  <c r="EFJ111" i="62"/>
  <c r="EFH111" i="62"/>
  <c r="EFF111" i="62"/>
  <c r="EFD111" i="62"/>
  <c r="EFB111" i="62"/>
  <c r="EEZ111" i="62"/>
  <c r="EEX111" i="62"/>
  <c r="EEV111" i="62"/>
  <c r="EET111" i="62"/>
  <c r="EER111" i="62"/>
  <c r="EEP111" i="62"/>
  <c r="EEN111" i="62"/>
  <c r="EEL111" i="62"/>
  <c r="EEJ111" i="62"/>
  <c r="EEH111" i="62"/>
  <c r="EEF111" i="62"/>
  <c r="EED111" i="62"/>
  <c r="EEB111" i="62"/>
  <c r="EDZ111" i="62"/>
  <c r="EDX111" i="62"/>
  <c r="EDV111" i="62"/>
  <c r="EDT111" i="62"/>
  <c r="EDR111" i="62"/>
  <c r="EDP111" i="62"/>
  <c r="EDN111" i="62"/>
  <c r="EDL111" i="62"/>
  <c r="EDJ111" i="62"/>
  <c r="EDH111" i="62"/>
  <c r="EDF111" i="62"/>
  <c r="EDD111" i="62"/>
  <c r="EDB111" i="62"/>
  <c r="ECZ111" i="62"/>
  <c r="ECX111" i="62"/>
  <c r="ECV111" i="62"/>
  <c r="ECT111" i="62"/>
  <c r="ECR111" i="62"/>
  <c r="ECP111" i="62"/>
  <c r="ECN111" i="62"/>
  <c r="ECL111" i="62"/>
  <c r="ECJ111" i="62"/>
  <c r="ECH111" i="62"/>
  <c r="ECF111" i="62"/>
  <c r="ECD111" i="62"/>
  <c r="ECB111" i="62"/>
  <c r="EBZ111" i="62"/>
  <c r="EBX111" i="62"/>
  <c r="EBV111" i="62"/>
  <c r="EBT111" i="62"/>
  <c r="EBR111" i="62"/>
  <c r="EBP111" i="62"/>
  <c r="EBN111" i="62"/>
  <c r="EBL111" i="62"/>
  <c r="EBJ111" i="62"/>
  <c r="EBH111" i="62"/>
  <c r="EBF111" i="62"/>
  <c r="EBD111" i="62"/>
  <c r="EBB111" i="62"/>
  <c r="EAZ111" i="62"/>
  <c r="EAX111" i="62"/>
  <c r="EAV111" i="62"/>
  <c r="EAT111" i="62"/>
  <c r="EAR111" i="62"/>
  <c r="EAP111" i="62"/>
  <c r="EAN111" i="62"/>
  <c r="EAL111" i="62"/>
  <c r="EAJ111" i="62"/>
  <c r="EAH111" i="62"/>
  <c r="EAF111" i="62"/>
  <c r="EAD111" i="62"/>
  <c r="EAB111" i="62"/>
  <c r="DZZ111" i="62"/>
  <c r="DZX111" i="62"/>
  <c r="DZV111" i="62"/>
  <c r="DZT111" i="62"/>
  <c r="DZR111" i="62"/>
  <c r="DZP111" i="62"/>
  <c r="DZN111" i="62"/>
  <c r="DZL111" i="62"/>
  <c r="DZJ111" i="62"/>
  <c r="DZH111" i="62"/>
  <c r="DZF111" i="62"/>
  <c r="DZD111" i="62"/>
  <c r="DZB111" i="62"/>
  <c r="DYZ111" i="62"/>
  <c r="DYX111" i="62"/>
  <c r="DYV111" i="62"/>
  <c r="DYT111" i="62"/>
  <c r="DYR111" i="62"/>
  <c r="DYP111" i="62"/>
  <c r="DYN111" i="62"/>
  <c r="DYL111" i="62"/>
  <c r="DYJ111" i="62"/>
  <c r="DYH111" i="62"/>
  <c r="DYF111" i="62"/>
  <c r="DYD111" i="62"/>
  <c r="DYB111" i="62"/>
  <c r="DXZ111" i="62"/>
  <c r="DXX111" i="62"/>
  <c r="DXV111" i="62"/>
  <c r="DXT111" i="62"/>
  <c r="DXR111" i="62"/>
  <c r="DXP111" i="62"/>
  <c r="DXN111" i="62"/>
  <c r="DXL111" i="62"/>
  <c r="DXJ111" i="62"/>
  <c r="DXH111" i="62"/>
  <c r="DXF111" i="62"/>
  <c r="DXD111" i="62"/>
  <c r="DXB111" i="62"/>
  <c r="DWZ111" i="62"/>
  <c r="DWX111" i="62"/>
  <c r="DWV111" i="62"/>
  <c r="DWT111" i="62"/>
  <c r="DWR111" i="62"/>
  <c r="DWP111" i="62"/>
  <c r="DWN111" i="62"/>
  <c r="DWL111" i="62"/>
  <c r="DWJ111" i="62"/>
  <c r="DWH111" i="62"/>
  <c r="DWF111" i="62"/>
  <c r="DWD111" i="62"/>
  <c r="DWB111" i="62"/>
  <c r="DVZ111" i="62"/>
  <c r="DVX111" i="62"/>
  <c r="DVV111" i="62"/>
  <c r="DVT111" i="62"/>
  <c r="DVR111" i="62"/>
  <c r="DVP111" i="62"/>
  <c r="DVN111" i="62"/>
  <c r="DVL111" i="62"/>
  <c r="DVJ111" i="62"/>
  <c r="DVH111" i="62"/>
  <c r="DVF111" i="62"/>
  <c r="DVD111" i="62"/>
  <c r="DVB111" i="62"/>
  <c r="DUZ111" i="62"/>
  <c r="DUX111" i="62"/>
  <c r="DUV111" i="62"/>
  <c r="DUT111" i="62"/>
  <c r="DUR111" i="62"/>
  <c r="DUP111" i="62"/>
  <c r="DUN111" i="62"/>
  <c r="DUL111" i="62"/>
  <c r="DUJ111" i="62"/>
  <c r="DUH111" i="62"/>
  <c r="DUF111" i="62"/>
  <c r="DUD111" i="62"/>
  <c r="DUB111" i="62"/>
  <c r="DTZ111" i="62"/>
  <c r="DTX111" i="62"/>
  <c r="DTV111" i="62"/>
  <c r="DTT111" i="62"/>
  <c r="DTR111" i="62"/>
  <c r="DTP111" i="62"/>
  <c r="DTN111" i="62"/>
  <c r="DTL111" i="62"/>
  <c r="DTJ111" i="62"/>
  <c r="DTH111" i="62"/>
  <c r="DTF111" i="62"/>
  <c r="DTD111" i="62"/>
  <c r="DTB111" i="62"/>
  <c r="DSZ111" i="62"/>
  <c r="DSX111" i="62"/>
  <c r="DSV111" i="62"/>
  <c r="DST111" i="62"/>
  <c r="DSR111" i="62"/>
  <c r="DSP111" i="62"/>
  <c r="DSN111" i="62"/>
  <c r="DSL111" i="62"/>
  <c r="DSJ111" i="62"/>
  <c r="DSH111" i="62"/>
  <c r="DSF111" i="62"/>
  <c r="DSD111" i="62"/>
  <c r="DSB111" i="62"/>
  <c r="DRZ111" i="62"/>
  <c r="DRX111" i="62"/>
  <c r="DRV111" i="62"/>
  <c r="DRT111" i="62"/>
  <c r="DRR111" i="62"/>
  <c r="DRP111" i="62"/>
  <c r="DRN111" i="62"/>
  <c r="DRL111" i="62"/>
  <c r="DRJ111" i="62"/>
  <c r="DRH111" i="62"/>
  <c r="DRF111" i="62"/>
  <c r="DRD111" i="62"/>
  <c r="DRB111" i="62"/>
  <c r="DQZ111" i="62"/>
  <c r="DQX111" i="62"/>
  <c r="DQV111" i="62"/>
  <c r="DQT111" i="62"/>
  <c r="DQR111" i="62"/>
  <c r="DQP111" i="62"/>
  <c r="DQN111" i="62"/>
  <c r="DQL111" i="62"/>
  <c r="DQJ111" i="62"/>
  <c r="DQH111" i="62"/>
  <c r="DQF111" i="62"/>
  <c r="DQD111" i="62"/>
  <c r="DQB111" i="62"/>
  <c r="DPZ111" i="62"/>
  <c r="DPX111" i="62"/>
  <c r="DPV111" i="62"/>
  <c r="DPT111" i="62"/>
  <c r="DPR111" i="62"/>
  <c r="DPP111" i="62"/>
  <c r="DPN111" i="62"/>
  <c r="DPL111" i="62"/>
  <c r="DPJ111" i="62"/>
  <c r="DPH111" i="62"/>
  <c r="DPF111" i="62"/>
  <c r="DPD111" i="62"/>
  <c r="DPB111" i="62"/>
  <c r="DOZ111" i="62"/>
  <c r="DOX111" i="62"/>
  <c r="DOV111" i="62"/>
  <c r="DOT111" i="62"/>
  <c r="DOR111" i="62"/>
  <c r="DOP111" i="62"/>
  <c r="DON111" i="62"/>
  <c r="DOL111" i="62"/>
  <c r="DOJ111" i="62"/>
  <c r="DOH111" i="62"/>
  <c r="DOF111" i="62"/>
  <c r="DOD111" i="62"/>
  <c r="DOB111" i="62"/>
  <c r="DNZ111" i="62"/>
  <c r="DNX111" i="62"/>
  <c r="DNV111" i="62"/>
  <c r="DNT111" i="62"/>
  <c r="DNR111" i="62"/>
  <c r="DNP111" i="62"/>
  <c r="DNN111" i="62"/>
  <c r="DNL111" i="62"/>
  <c r="DNJ111" i="62"/>
  <c r="DNH111" i="62"/>
  <c r="DNF111" i="62"/>
  <c r="DND111" i="62"/>
  <c r="DNB111" i="62"/>
  <c r="DMZ111" i="62"/>
  <c r="DMX111" i="62"/>
  <c r="DMV111" i="62"/>
  <c r="DMT111" i="62"/>
  <c r="DMR111" i="62"/>
  <c r="DMP111" i="62"/>
  <c r="DMN111" i="62"/>
  <c r="DML111" i="62"/>
  <c r="DMJ111" i="62"/>
  <c r="DMH111" i="62"/>
  <c r="DMF111" i="62"/>
  <c r="DMD111" i="62"/>
  <c r="DMB111" i="62"/>
  <c r="DLZ111" i="62"/>
  <c r="DLX111" i="62"/>
  <c r="DLV111" i="62"/>
  <c r="DLT111" i="62"/>
  <c r="DLR111" i="62"/>
  <c r="DLP111" i="62"/>
  <c r="DLN111" i="62"/>
  <c r="DLL111" i="62"/>
  <c r="DLJ111" i="62"/>
  <c r="DLH111" i="62"/>
  <c r="DLF111" i="62"/>
  <c r="DLD111" i="62"/>
  <c r="DLB111" i="62"/>
  <c r="DKZ111" i="62"/>
  <c r="DKX111" i="62"/>
  <c r="DKV111" i="62"/>
  <c r="DKT111" i="62"/>
  <c r="DKR111" i="62"/>
  <c r="DKP111" i="62"/>
  <c r="DKN111" i="62"/>
  <c r="DKL111" i="62"/>
  <c r="DKJ111" i="62"/>
  <c r="DKH111" i="62"/>
  <c r="DKF111" i="62"/>
  <c r="DKD111" i="62"/>
  <c r="DKB111" i="62"/>
  <c r="DJZ111" i="62"/>
  <c r="DJX111" i="62"/>
  <c r="DJV111" i="62"/>
  <c r="DJT111" i="62"/>
  <c r="DJR111" i="62"/>
  <c r="DJP111" i="62"/>
  <c r="DJN111" i="62"/>
  <c r="DJL111" i="62"/>
  <c r="DJJ111" i="62"/>
  <c r="DJH111" i="62"/>
  <c r="DJF111" i="62"/>
  <c r="DJD111" i="62"/>
  <c r="DJB111" i="62"/>
  <c r="DIZ111" i="62"/>
  <c r="DIX111" i="62"/>
  <c r="DIV111" i="62"/>
  <c r="DIT111" i="62"/>
  <c r="DIR111" i="62"/>
  <c r="DIP111" i="62"/>
  <c r="DIN111" i="62"/>
  <c r="DIL111" i="62"/>
  <c r="DIJ111" i="62"/>
  <c r="DIH111" i="62"/>
  <c r="DIF111" i="62"/>
  <c r="DID111" i="62"/>
  <c r="DIB111" i="62"/>
  <c r="DHZ111" i="62"/>
  <c r="DHX111" i="62"/>
  <c r="DHV111" i="62"/>
  <c r="DHT111" i="62"/>
  <c r="DHR111" i="62"/>
  <c r="DHP111" i="62"/>
  <c r="DHN111" i="62"/>
  <c r="DHL111" i="62"/>
  <c r="DHJ111" i="62"/>
  <c r="DHH111" i="62"/>
  <c r="DHF111" i="62"/>
  <c r="DHD111" i="62"/>
  <c r="DHB111" i="62"/>
  <c r="DGZ111" i="62"/>
  <c r="DGX111" i="62"/>
  <c r="DGV111" i="62"/>
  <c r="DGT111" i="62"/>
  <c r="DGR111" i="62"/>
  <c r="DGP111" i="62"/>
  <c r="DGN111" i="62"/>
  <c r="DGL111" i="62"/>
  <c r="DGJ111" i="62"/>
  <c r="DGH111" i="62"/>
  <c r="DGF111" i="62"/>
  <c r="DGD111" i="62"/>
  <c r="DGB111" i="62"/>
  <c r="DFZ111" i="62"/>
  <c r="DFX111" i="62"/>
  <c r="DFV111" i="62"/>
  <c r="DFT111" i="62"/>
  <c r="DFR111" i="62"/>
  <c r="DFP111" i="62"/>
  <c r="DFN111" i="62"/>
  <c r="DFL111" i="62"/>
  <c r="DFJ111" i="62"/>
  <c r="DFH111" i="62"/>
  <c r="DFF111" i="62"/>
  <c r="DFD111" i="62"/>
  <c r="DFB111" i="62"/>
  <c r="DEZ111" i="62"/>
  <c r="DEX111" i="62"/>
  <c r="DEV111" i="62"/>
  <c r="DET111" i="62"/>
  <c r="DER111" i="62"/>
  <c r="DEP111" i="62"/>
  <c r="DEN111" i="62"/>
  <c r="DEL111" i="62"/>
  <c r="DEJ111" i="62"/>
  <c r="DEH111" i="62"/>
  <c r="DEF111" i="62"/>
  <c r="DED111" i="62"/>
  <c r="DEB111" i="62"/>
  <c r="DDZ111" i="62"/>
  <c r="DDX111" i="62"/>
  <c r="DDV111" i="62"/>
  <c r="DDT111" i="62"/>
  <c r="DDR111" i="62"/>
  <c r="DDP111" i="62"/>
  <c r="DDN111" i="62"/>
  <c r="DDL111" i="62"/>
  <c r="DDJ111" i="62"/>
  <c r="DDH111" i="62"/>
  <c r="DDF111" i="62"/>
  <c r="DDD111" i="62"/>
  <c r="DDB111" i="62"/>
  <c r="DCZ111" i="62"/>
  <c r="DCX111" i="62"/>
  <c r="DCV111" i="62"/>
  <c r="DCT111" i="62"/>
  <c r="DCR111" i="62"/>
  <c r="DCP111" i="62"/>
  <c r="DCN111" i="62"/>
  <c r="DCL111" i="62"/>
  <c r="DCJ111" i="62"/>
  <c r="DCH111" i="62"/>
  <c r="DCF111" i="62"/>
  <c r="DCD111" i="62"/>
  <c r="DCB111" i="62"/>
  <c r="DBZ111" i="62"/>
  <c r="DBX111" i="62"/>
  <c r="DBV111" i="62"/>
  <c r="DBT111" i="62"/>
  <c r="DBR111" i="62"/>
  <c r="DBP111" i="62"/>
  <c r="DBN111" i="62"/>
  <c r="DBL111" i="62"/>
  <c r="DBJ111" i="62"/>
  <c r="DBH111" i="62"/>
  <c r="DBF111" i="62"/>
  <c r="DBD111" i="62"/>
  <c r="DBB111" i="62"/>
  <c r="DAZ111" i="62"/>
  <c r="DAX111" i="62"/>
  <c r="DAV111" i="62"/>
  <c r="DAT111" i="62"/>
  <c r="DAR111" i="62"/>
  <c r="DAP111" i="62"/>
  <c r="DAN111" i="62"/>
  <c r="DAL111" i="62"/>
  <c r="DAJ111" i="62"/>
  <c r="DAH111" i="62"/>
  <c r="DAF111" i="62"/>
  <c r="DAD111" i="62"/>
  <c r="DAB111" i="62"/>
  <c r="CZZ111" i="62"/>
  <c r="CZX111" i="62"/>
  <c r="CZV111" i="62"/>
  <c r="CZT111" i="62"/>
  <c r="CZR111" i="62"/>
  <c r="CZP111" i="62"/>
  <c r="CZN111" i="62"/>
  <c r="CZL111" i="62"/>
  <c r="CZJ111" i="62"/>
  <c r="CZH111" i="62"/>
  <c r="CZF111" i="62"/>
  <c r="CZD111" i="62"/>
  <c r="CZB111" i="62"/>
  <c r="CYZ111" i="62"/>
  <c r="CYX111" i="62"/>
  <c r="CYV111" i="62"/>
  <c r="CYT111" i="62"/>
  <c r="CYR111" i="62"/>
  <c r="CYP111" i="62"/>
  <c r="CYN111" i="62"/>
  <c r="CYL111" i="62"/>
  <c r="CYJ111" i="62"/>
  <c r="CYH111" i="62"/>
  <c r="CYF111" i="62"/>
  <c r="CYD111" i="62"/>
  <c r="CYB111" i="62"/>
  <c r="CXZ111" i="62"/>
  <c r="CXX111" i="62"/>
  <c r="CXV111" i="62"/>
  <c r="CXT111" i="62"/>
  <c r="CXR111" i="62"/>
  <c r="CXP111" i="62"/>
  <c r="CXN111" i="62"/>
  <c r="CXL111" i="62"/>
  <c r="CXJ111" i="62"/>
  <c r="CXH111" i="62"/>
  <c r="CXF111" i="62"/>
  <c r="CXD111" i="62"/>
  <c r="CXB111" i="62"/>
  <c r="CWZ111" i="62"/>
  <c r="CWX111" i="62"/>
  <c r="CWV111" i="62"/>
  <c r="CWT111" i="62"/>
  <c r="CWR111" i="62"/>
  <c r="CWP111" i="62"/>
  <c r="CWN111" i="62"/>
  <c r="CWL111" i="62"/>
  <c r="CWJ111" i="62"/>
  <c r="CWH111" i="62"/>
  <c r="CWF111" i="62"/>
  <c r="CWD111" i="62"/>
  <c r="CWB111" i="62"/>
  <c r="CVZ111" i="62"/>
  <c r="CVX111" i="62"/>
  <c r="CVV111" i="62"/>
  <c r="CVT111" i="62"/>
  <c r="CVR111" i="62"/>
  <c r="CVP111" i="62"/>
  <c r="CVN111" i="62"/>
  <c r="CVL111" i="62"/>
  <c r="CVJ111" i="62"/>
  <c r="CVH111" i="62"/>
  <c r="CVF111" i="62"/>
  <c r="CVD111" i="62"/>
  <c r="CVB111" i="62"/>
  <c r="CUZ111" i="62"/>
  <c r="CUX111" i="62"/>
  <c r="CUV111" i="62"/>
  <c r="CUT111" i="62"/>
  <c r="CUR111" i="62"/>
  <c r="CUP111" i="62"/>
  <c r="CUN111" i="62"/>
  <c r="CUL111" i="62"/>
  <c r="CUJ111" i="62"/>
  <c r="CUH111" i="62"/>
  <c r="CUF111" i="62"/>
  <c r="CUD111" i="62"/>
  <c r="CUB111" i="62"/>
  <c r="CTZ111" i="62"/>
  <c r="CTX111" i="62"/>
  <c r="CTV111" i="62"/>
  <c r="CTT111" i="62"/>
  <c r="CTR111" i="62"/>
  <c r="CTP111" i="62"/>
  <c r="CTN111" i="62"/>
  <c r="CTL111" i="62"/>
  <c r="CTJ111" i="62"/>
  <c r="CTH111" i="62"/>
  <c r="CTF111" i="62"/>
  <c r="CTD111" i="62"/>
  <c r="CTB111" i="62"/>
  <c r="CSZ111" i="62"/>
  <c r="CSX111" i="62"/>
  <c r="CSV111" i="62"/>
  <c r="CST111" i="62"/>
  <c r="CSR111" i="62"/>
  <c r="CSP111" i="62"/>
  <c r="CSN111" i="62"/>
  <c r="CSL111" i="62"/>
  <c r="CSJ111" i="62"/>
  <c r="CSH111" i="62"/>
  <c r="CSF111" i="62"/>
  <c r="CSD111" i="62"/>
  <c r="CSB111" i="62"/>
  <c r="CRZ111" i="62"/>
  <c r="CRX111" i="62"/>
  <c r="CRV111" i="62"/>
  <c r="CRT111" i="62"/>
  <c r="CRR111" i="62"/>
  <c r="CRP111" i="62"/>
  <c r="CRN111" i="62"/>
  <c r="CRL111" i="62"/>
  <c r="CRJ111" i="62"/>
  <c r="CRH111" i="62"/>
  <c r="CRF111" i="62"/>
  <c r="CRD111" i="62"/>
  <c r="CRB111" i="62"/>
  <c r="CQZ111" i="62"/>
  <c r="CQX111" i="62"/>
  <c r="CQV111" i="62"/>
  <c r="CQT111" i="62"/>
  <c r="CQR111" i="62"/>
  <c r="CQP111" i="62"/>
  <c r="CQN111" i="62"/>
  <c r="CQL111" i="62"/>
  <c r="CQJ111" i="62"/>
  <c r="CQH111" i="62"/>
  <c r="CQF111" i="62"/>
  <c r="CQD111" i="62"/>
  <c r="CQB111" i="62"/>
  <c r="CPZ111" i="62"/>
  <c r="CPX111" i="62"/>
  <c r="CPV111" i="62"/>
  <c r="CPT111" i="62"/>
  <c r="CPR111" i="62"/>
  <c r="CPP111" i="62"/>
  <c r="CPN111" i="62"/>
  <c r="CPL111" i="62"/>
  <c r="CPJ111" i="62"/>
  <c r="CPH111" i="62"/>
  <c r="CPF111" i="62"/>
  <c r="CPD111" i="62"/>
  <c r="CPB111" i="62"/>
  <c r="COZ111" i="62"/>
  <c r="COX111" i="62"/>
  <c r="COV111" i="62"/>
  <c r="COT111" i="62"/>
  <c r="COR111" i="62"/>
  <c r="COP111" i="62"/>
  <c r="CON111" i="62"/>
  <c r="COL111" i="62"/>
  <c r="COJ111" i="62"/>
  <c r="COH111" i="62"/>
  <c r="COF111" i="62"/>
  <c r="COD111" i="62"/>
  <c r="COB111" i="62"/>
  <c r="CNZ111" i="62"/>
  <c r="CNX111" i="62"/>
  <c r="CNV111" i="62"/>
  <c r="CNT111" i="62"/>
  <c r="CNR111" i="62"/>
  <c r="CNP111" i="62"/>
  <c r="CNN111" i="62"/>
  <c r="CNL111" i="62"/>
  <c r="CNJ111" i="62"/>
  <c r="CNH111" i="62"/>
  <c r="CNF111" i="62"/>
  <c r="CND111" i="62"/>
  <c r="CNB111" i="62"/>
  <c r="CMZ111" i="62"/>
  <c r="CMX111" i="62"/>
  <c r="CMV111" i="62"/>
  <c r="CMT111" i="62"/>
  <c r="CMR111" i="62"/>
  <c r="CMP111" i="62"/>
  <c r="CMN111" i="62"/>
  <c r="CML111" i="62"/>
  <c r="CMJ111" i="62"/>
  <c r="CMH111" i="62"/>
  <c r="CMF111" i="62"/>
  <c r="CMD111" i="62"/>
  <c r="CMB111" i="62"/>
  <c r="CLZ111" i="62"/>
  <c r="CLX111" i="62"/>
  <c r="CLV111" i="62"/>
  <c r="CLT111" i="62"/>
  <c r="CLR111" i="62"/>
  <c r="CLP111" i="62"/>
  <c r="CLN111" i="62"/>
  <c r="CLL111" i="62"/>
  <c r="CLJ111" i="62"/>
  <c r="CLH111" i="62"/>
  <c r="CLF111" i="62"/>
  <c r="CLD111" i="62"/>
  <c r="CLB111" i="62"/>
  <c r="CKZ111" i="62"/>
  <c r="CKX111" i="62"/>
  <c r="CKV111" i="62"/>
  <c r="CKT111" i="62"/>
  <c r="CKR111" i="62"/>
  <c r="CKP111" i="62"/>
  <c r="CKN111" i="62"/>
  <c r="CKL111" i="62"/>
  <c r="CKJ111" i="62"/>
  <c r="CKH111" i="62"/>
  <c r="CKF111" i="62"/>
  <c r="CKD111" i="62"/>
  <c r="CKB111" i="62"/>
  <c r="CJZ111" i="62"/>
  <c r="CJX111" i="62"/>
  <c r="CJV111" i="62"/>
  <c r="CJT111" i="62"/>
  <c r="CJR111" i="62"/>
  <c r="CJP111" i="62"/>
  <c r="CJN111" i="62"/>
  <c r="CJL111" i="62"/>
  <c r="CJJ111" i="62"/>
  <c r="CJH111" i="62"/>
  <c r="CJF111" i="62"/>
  <c r="CJD111" i="62"/>
  <c r="CJB111" i="62"/>
  <c r="CIZ111" i="62"/>
  <c r="CIX111" i="62"/>
  <c r="CIV111" i="62"/>
  <c r="CIT111" i="62"/>
  <c r="CIR111" i="62"/>
  <c r="CIP111" i="62"/>
  <c r="CIN111" i="62"/>
  <c r="CIL111" i="62"/>
  <c r="CIJ111" i="62"/>
  <c r="CIH111" i="62"/>
  <c r="CIF111" i="62"/>
  <c r="CID111" i="62"/>
  <c r="CIB111" i="62"/>
  <c r="CHZ111" i="62"/>
  <c r="CHX111" i="62"/>
  <c r="CHV111" i="62"/>
  <c r="CHT111" i="62"/>
  <c r="CHR111" i="62"/>
  <c r="CHP111" i="62"/>
  <c r="CHN111" i="62"/>
  <c r="CHL111" i="62"/>
  <c r="CHJ111" i="62"/>
  <c r="CHH111" i="62"/>
  <c r="CHF111" i="62"/>
  <c r="CHD111" i="62"/>
  <c r="CHB111" i="62"/>
  <c r="CGZ111" i="62"/>
  <c r="CGX111" i="62"/>
  <c r="CGV111" i="62"/>
  <c r="CGT111" i="62"/>
  <c r="CGR111" i="62"/>
  <c r="CGP111" i="62"/>
  <c r="CGN111" i="62"/>
  <c r="CGL111" i="62"/>
  <c r="CGJ111" i="62"/>
  <c r="CGH111" i="62"/>
  <c r="CGF111" i="62"/>
  <c r="CGD111" i="62"/>
  <c r="CGB111" i="62"/>
  <c r="CFZ111" i="62"/>
  <c r="CFX111" i="62"/>
  <c r="CFV111" i="62"/>
  <c r="CFT111" i="62"/>
  <c r="CFR111" i="62"/>
  <c r="CFP111" i="62"/>
  <c r="CFN111" i="62"/>
  <c r="CFL111" i="62"/>
  <c r="CFJ111" i="62"/>
  <c r="CFH111" i="62"/>
  <c r="CFF111" i="62"/>
  <c r="CFD111" i="62"/>
  <c r="CFB111" i="62"/>
  <c r="CEZ111" i="62"/>
  <c r="CEX111" i="62"/>
  <c r="CEV111" i="62"/>
  <c r="CET111" i="62"/>
  <c r="CER111" i="62"/>
  <c r="CEP111" i="62"/>
  <c r="CEN111" i="62"/>
  <c r="CEL111" i="62"/>
  <c r="CEJ111" i="62"/>
  <c r="CEH111" i="62"/>
  <c r="CEF111" i="62"/>
  <c r="CED111" i="62"/>
  <c r="CEB111" i="62"/>
  <c r="CDZ111" i="62"/>
  <c r="CDX111" i="62"/>
  <c r="CDV111" i="62"/>
  <c r="CDT111" i="62"/>
  <c r="CDR111" i="62"/>
  <c r="CDP111" i="62"/>
  <c r="CDN111" i="62"/>
  <c r="CDL111" i="62"/>
  <c r="CDJ111" i="62"/>
  <c r="CDH111" i="62"/>
  <c r="CDF111" i="62"/>
  <c r="CDD111" i="62"/>
  <c r="CDB111" i="62"/>
  <c r="CCZ111" i="62"/>
  <c r="CCX111" i="62"/>
  <c r="CCV111" i="62"/>
  <c r="CCT111" i="62"/>
  <c r="CCR111" i="62"/>
  <c r="CCP111" i="62"/>
  <c r="CCN111" i="62"/>
  <c r="CCL111" i="62"/>
  <c r="CCJ111" i="62"/>
  <c r="CCH111" i="62"/>
  <c r="CCF111" i="62"/>
  <c r="CCD111" i="62"/>
  <c r="CCB111" i="62"/>
  <c r="CBZ111" i="62"/>
  <c r="CBX111" i="62"/>
  <c r="CBV111" i="62"/>
  <c r="CBT111" i="62"/>
  <c r="CBR111" i="62"/>
  <c r="CBP111" i="62"/>
  <c r="CBN111" i="62"/>
  <c r="CBL111" i="62"/>
  <c r="CBJ111" i="62"/>
  <c r="CBH111" i="62"/>
  <c r="CBF111" i="62"/>
  <c r="CBD111" i="62"/>
  <c r="CBB111" i="62"/>
  <c r="CAZ111" i="62"/>
  <c r="CAX111" i="62"/>
  <c r="CAV111" i="62"/>
  <c r="CAT111" i="62"/>
  <c r="CAR111" i="62"/>
  <c r="CAP111" i="62"/>
  <c r="CAN111" i="62"/>
  <c r="CAL111" i="62"/>
  <c r="CAJ111" i="62"/>
  <c r="CAH111" i="62"/>
  <c r="CAF111" i="62"/>
  <c r="CAD111" i="62"/>
  <c r="CAB111" i="62"/>
  <c r="BZZ111" i="62"/>
  <c r="BZX111" i="62"/>
  <c r="BZV111" i="62"/>
  <c r="BZT111" i="62"/>
  <c r="BZR111" i="62"/>
  <c r="BZP111" i="62"/>
  <c r="BZN111" i="62"/>
  <c r="BZL111" i="62"/>
  <c r="BZJ111" i="62"/>
  <c r="BZH111" i="62"/>
  <c r="BZF111" i="62"/>
  <c r="BZD111" i="62"/>
  <c r="BZB111" i="62"/>
  <c r="BYZ111" i="62"/>
  <c r="BYX111" i="62"/>
  <c r="BYV111" i="62"/>
  <c r="BYT111" i="62"/>
  <c r="BYR111" i="62"/>
  <c r="BYP111" i="62"/>
  <c r="BYN111" i="62"/>
  <c r="BYL111" i="62"/>
  <c r="BYJ111" i="62"/>
  <c r="BYH111" i="62"/>
  <c r="BYF111" i="62"/>
  <c r="BYD111" i="62"/>
  <c r="BYB111" i="62"/>
  <c r="BXZ111" i="62"/>
  <c r="BXX111" i="62"/>
  <c r="BXV111" i="62"/>
  <c r="BXT111" i="62"/>
  <c r="BXR111" i="62"/>
  <c r="BXP111" i="62"/>
  <c r="BXN111" i="62"/>
  <c r="BXL111" i="62"/>
  <c r="BXJ111" i="62"/>
  <c r="BXH111" i="62"/>
  <c r="BXF111" i="62"/>
  <c r="BXD111" i="62"/>
  <c r="BXB111" i="62"/>
  <c r="BWZ111" i="62"/>
  <c r="BWX111" i="62"/>
  <c r="BWV111" i="62"/>
  <c r="BWT111" i="62"/>
  <c r="BWR111" i="62"/>
  <c r="BWP111" i="62"/>
  <c r="BWN111" i="62"/>
  <c r="BWL111" i="62"/>
  <c r="BWJ111" i="62"/>
  <c r="BWH111" i="62"/>
  <c r="BWF111" i="62"/>
  <c r="BWD111" i="62"/>
  <c r="BWB111" i="62"/>
  <c r="BVZ111" i="62"/>
  <c r="BVX111" i="62"/>
  <c r="BVV111" i="62"/>
  <c r="BVT111" i="62"/>
  <c r="BVR111" i="62"/>
  <c r="BVP111" i="62"/>
  <c r="BVN111" i="62"/>
  <c r="BVL111" i="62"/>
  <c r="BVJ111" i="62"/>
  <c r="BVH111" i="62"/>
  <c r="BVF111" i="62"/>
  <c r="BVD111" i="62"/>
  <c r="BVB111" i="62"/>
  <c r="BUZ111" i="62"/>
  <c r="BUX111" i="62"/>
  <c r="BUV111" i="62"/>
  <c r="BUT111" i="62"/>
  <c r="BUR111" i="62"/>
  <c r="BUP111" i="62"/>
  <c r="BUN111" i="62"/>
  <c r="BUL111" i="62"/>
  <c r="BUJ111" i="62"/>
  <c r="BUH111" i="62"/>
  <c r="BUF111" i="62"/>
  <c r="BUD111" i="62"/>
  <c r="BUB111" i="62"/>
  <c r="BTZ111" i="62"/>
  <c r="BTX111" i="62"/>
  <c r="BTV111" i="62"/>
  <c r="BTT111" i="62"/>
  <c r="BTR111" i="62"/>
  <c r="BTP111" i="62"/>
  <c r="BTN111" i="62"/>
  <c r="BTL111" i="62"/>
  <c r="BTJ111" i="62"/>
  <c r="BTH111" i="62"/>
  <c r="BTF111" i="62"/>
  <c r="BTD111" i="62"/>
  <c r="BTB111" i="62"/>
  <c r="BSZ111" i="62"/>
  <c r="BSX111" i="62"/>
  <c r="BSV111" i="62"/>
  <c r="BST111" i="62"/>
  <c r="BSR111" i="62"/>
  <c r="BSP111" i="62"/>
  <c r="BSN111" i="62"/>
  <c r="BSL111" i="62"/>
  <c r="BSJ111" i="62"/>
  <c r="BSH111" i="62"/>
  <c r="BSF111" i="62"/>
  <c r="BSD111" i="62"/>
  <c r="BSB111" i="62"/>
  <c r="BRZ111" i="62"/>
  <c r="BRX111" i="62"/>
  <c r="BRV111" i="62"/>
  <c r="BRT111" i="62"/>
  <c r="BRR111" i="62"/>
  <c r="BRP111" i="62"/>
  <c r="BRN111" i="62"/>
  <c r="BRL111" i="62"/>
  <c r="BRJ111" i="62"/>
  <c r="BRH111" i="62"/>
  <c r="BRF111" i="62"/>
  <c r="BRD111" i="62"/>
  <c r="BRB111" i="62"/>
  <c r="BQZ111" i="62"/>
  <c r="BQX111" i="62"/>
  <c r="BQV111" i="62"/>
  <c r="BQT111" i="62"/>
  <c r="BQR111" i="62"/>
  <c r="BQP111" i="62"/>
  <c r="BQN111" i="62"/>
  <c r="BQL111" i="62"/>
  <c r="BQJ111" i="62"/>
  <c r="BQH111" i="62"/>
  <c r="BQF111" i="62"/>
  <c r="BQD111" i="62"/>
  <c r="BQB111" i="62"/>
  <c r="BPZ111" i="62"/>
  <c r="BPX111" i="62"/>
  <c r="BPV111" i="62"/>
  <c r="BPT111" i="62"/>
  <c r="BPR111" i="62"/>
  <c r="BPP111" i="62"/>
  <c r="BPN111" i="62"/>
  <c r="BPL111" i="62"/>
  <c r="BPJ111" i="62"/>
  <c r="BPH111" i="62"/>
  <c r="BPF111" i="62"/>
  <c r="BPD111" i="62"/>
  <c r="BPB111" i="62"/>
  <c r="BOZ111" i="62"/>
  <c r="BOX111" i="62"/>
  <c r="BOV111" i="62"/>
  <c r="BOT111" i="62"/>
  <c r="BOR111" i="62"/>
  <c r="BOP111" i="62"/>
  <c r="BON111" i="62"/>
  <c r="BOL111" i="62"/>
  <c r="BOJ111" i="62"/>
  <c r="BOH111" i="62"/>
  <c r="BOF111" i="62"/>
  <c r="BOD111" i="62"/>
  <c r="BOB111" i="62"/>
  <c r="BNZ111" i="62"/>
  <c r="BNX111" i="62"/>
  <c r="BNV111" i="62"/>
  <c r="BNT111" i="62"/>
  <c r="BNR111" i="62"/>
  <c r="BNP111" i="62"/>
  <c r="BNN111" i="62"/>
  <c r="BNL111" i="62"/>
  <c r="BNJ111" i="62"/>
  <c r="BNH111" i="62"/>
  <c r="BNF111" i="62"/>
  <c r="BND111" i="62"/>
  <c r="BNB111" i="62"/>
  <c r="BMZ111" i="62"/>
  <c r="BMX111" i="62"/>
  <c r="BMV111" i="62"/>
  <c r="BMT111" i="62"/>
  <c r="BMR111" i="62"/>
  <c r="BMP111" i="62"/>
  <c r="BMN111" i="62"/>
  <c r="BML111" i="62"/>
  <c r="BMJ111" i="62"/>
  <c r="BMH111" i="62"/>
  <c r="BMF111" i="62"/>
  <c r="BMD111" i="62"/>
  <c r="BMB111" i="62"/>
  <c r="BLZ111" i="62"/>
  <c r="BLX111" i="62"/>
  <c r="BLV111" i="62"/>
  <c r="BLT111" i="62"/>
  <c r="BLR111" i="62"/>
  <c r="BLP111" i="62"/>
  <c r="BLN111" i="62"/>
  <c r="BLL111" i="62"/>
  <c r="BLJ111" i="62"/>
  <c r="BLH111" i="62"/>
  <c r="BLF111" i="62"/>
  <c r="BLD111" i="62"/>
  <c r="BLB111" i="62"/>
  <c r="BKZ111" i="62"/>
  <c r="BKX111" i="62"/>
  <c r="BKV111" i="62"/>
  <c r="BKT111" i="62"/>
  <c r="BKR111" i="62"/>
  <c r="BKP111" i="62"/>
  <c r="BKN111" i="62"/>
  <c r="BKL111" i="62"/>
  <c r="BKJ111" i="62"/>
  <c r="BKH111" i="62"/>
  <c r="BKF111" i="62"/>
  <c r="BKD111" i="62"/>
  <c r="BKB111" i="62"/>
  <c r="BJZ111" i="62"/>
  <c r="BJX111" i="62"/>
  <c r="BJV111" i="62"/>
  <c r="BJT111" i="62"/>
  <c r="BJR111" i="62"/>
  <c r="BJP111" i="62"/>
  <c r="BJN111" i="62"/>
  <c r="BJL111" i="62"/>
  <c r="BJJ111" i="62"/>
  <c r="BJH111" i="62"/>
  <c r="BJF111" i="62"/>
  <c r="BJD111" i="62"/>
  <c r="BJB111" i="62"/>
  <c r="BIZ111" i="62"/>
  <c r="BIX111" i="62"/>
  <c r="BIV111" i="62"/>
  <c r="BIT111" i="62"/>
  <c r="BIR111" i="62"/>
  <c r="BIP111" i="62"/>
  <c r="BIN111" i="62"/>
  <c r="BIL111" i="62"/>
  <c r="BIJ111" i="62"/>
  <c r="BIH111" i="62"/>
  <c r="BIF111" i="62"/>
  <c r="BID111" i="62"/>
  <c r="BIB111" i="62"/>
  <c r="BHZ111" i="62"/>
  <c r="BHX111" i="62"/>
  <c r="BHV111" i="62"/>
  <c r="BHT111" i="62"/>
  <c r="BHR111" i="62"/>
  <c r="BHP111" i="62"/>
  <c r="BHN111" i="62"/>
  <c r="BHL111" i="62"/>
  <c r="BHJ111" i="62"/>
  <c r="BHH111" i="62"/>
  <c r="BHF111" i="62"/>
  <c r="BHD111" i="62"/>
  <c r="BHB111" i="62"/>
  <c r="BGZ111" i="62"/>
  <c r="BGX111" i="62"/>
  <c r="BGV111" i="62"/>
  <c r="BGT111" i="62"/>
  <c r="BGR111" i="62"/>
  <c r="BGP111" i="62"/>
  <c r="BGN111" i="62"/>
  <c r="BGL111" i="62"/>
  <c r="BGJ111" i="62"/>
  <c r="BGH111" i="62"/>
  <c r="BGF111" i="62"/>
  <c r="BGD111" i="62"/>
  <c r="BGB111" i="62"/>
  <c r="BFZ111" i="62"/>
  <c r="BFX111" i="62"/>
  <c r="BFV111" i="62"/>
  <c r="BFT111" i="62"/>
  <c r="BFR111" i="62"/>
  <c r="BFP111" i="62"/>
  <c r="BFN111" i="62"/>
  <c r="BFL111" i="62"/>
  <c r="BFJ111" i="62"/>
  <c r="BFH111" i="62"/>
  <c r="BFF111" i="62"/>
  <c r="BFD111" i="62"/>
  <c r="BFB111" i="62"/>
  <c r="BEZ111" i="62"/>
  <c r="BEX111" i="62"/>
  <c r="BEV111" i="62"/>
  <c r="BET111" i="62"/>
  <c r="BER111" i="62"/>
  <c r="BEP111" i="62"/>
  <c r="BEN111" i="62"/>
  <c r="BEL111" i="62"/>
  <c r="BEJ111" i="62"/>
  <c r="BEH111" i="62"/>
  <c r="BEF111" i="62"/>
  <c r="BED111" i="62"/>
  <c r="BEB111" i="62"/>
  <c r="BDZ111" i="62"/>
  <c r="BDX111" i="62"/>
  <c r="BDV111" i="62"/>
  <c r="BDT111" i="62"/>
  <c r="BDR111" i="62"/>
  <c r="BDP111" i="62"/>
  <c r="BDN111" i="62"/>
  <c r="BDL111" i="62"/>
  <c r="BDJ111" i="62"/>
  <c r="BDH111" i="62"/>
  <c r="BDF111" i="62"/>
  <c r="BDD111" i="62"/>
  <c r="BDB111" i="62"/>
  <c r="BCZ111" i="62"/>
  <c r="BCX111" i="62"/>
  <c r="BCV111" i="62"/>
  <c r="BCT111" i="62"/>
  <c r="BCR111" i="62"/>
  <c r="BCP111" i="62"/>
  <c r="BCN111" i="62"/>
  <c r="BCL111" i="62"/>
  <c r="BCJ111" i="62"/>
  <c r="BCH111" i="62"/>
  <c r="BCF111" i="62"/>
  <c r="BCD111" i="62"/>
  <c r="BCB111" i="62"/>
  <c r="BBZ111" i="62"/>
  <c r="BBX111" i="62"/>
  <c r="BBV111" i="62"/>
  <c r="BBT111" i="62"/>
  <c r="BBR111" i="62"/>
  <c r="BBP111" i="62"/>
  <c r="BBN111" i="62"/>
  <c r="BBL111" i="62"/>
  <c r="BBJ111" i="62"/>
  <c r="BBH111" i="62"/>
  <c r="BBF111" i="62"/>
  <c r="BBD111" i="62"/>
  <c r="BBB111" i="62"/>
  <c r="BAZ111" i="62"/>
  <c r="BAX111" i="62"/>
  <c r="BAV111" i="62"/>
  <c r="BAT111" i="62"/>
  <c r="BAR111" i="62"/>
  <c r="BAP111" i="62"/>
  <c r="BAN111" i="62"/>
  <c r="BAL111" i="62"/>
  <c r="BAJ111" i="62"/>
  <c r="BAH111" i="62"/>
  <c r="BAF111" i="62"/>
  <c r="BAD111" i="62"/>
  <c r="BAB111" i="62"/>
  <c r="AZZ111" i="62"/>
  <c r="AZX111" i="62"/>
  <c r="AZV111" i="62"/>
  <c r="AZT111" i="62"/>
  <c r="AZR111" i="62"/>
  <c r="AZP111" i="62"/>
  <c r="AZN111" i="62"/>
  <c r="AZL111" i="62"/>
  <c r="AZJ111" i="62"/>
  <c r="AZH111" i="62"/>
  <c r="AZF111" i="62"/>
  <c r="AZD111" i="62"/>
  <c r="AZB111" i="62"/>
  <c r="AYZ111" i="62"/>
  <c r="AYX111" i="62"/>
  <c r="AYV111" i="62"/>
  <c r="AYT111" i="62"/>
  <c r="AYR111" i="62"/>
  <c r="AYP111" i="62"/>
  <c r="AYN111" i="62"/>
  <c r="AYL111" i="62"/>
  <c r="AYJ111" i="62"/>
  <c r="AYH111" i="62"/>
  <c r="AYF111" i="62"/>
  <c r="AYD111" i="62"/>
  <c r="AYB111" i="62"/>
  <c r="AXZ111" i="62"/>
  <c r="AXX111" i="62"/>
  <c r="AXV111" i="62"/>
  <c r="AXT111" i="62"/>
  <c r="AXR111" i="62"/>
  <c r="AXP111" i="62"/>
  <c r="AXN111" i="62"/>
  <c r="AXL111" i="62"/>
  <c r="AXJ111" i="62"/>
  <c r="AXH111" i="62"/>
  <c r="AXF111" i="62"/>
  <c r="AXD111" i="62"/>
  <c r="AXB111" i="62"/>
  <c r="AWZ111" i="62"/>
  <c r="AWX111" i="62"/>
  <c r="AWV111" i="62"/>
  <c r="AWT111" i="62"/>
  <c r="AWR111" i="62"/>
  <c r="AWP111" i="62"/>
  <c r="AWN111" i="62"/>
  <c r="AWL111" i="62"/>
  <c r="AWJ111" i="62"/>
  <c r="AWH111" i="62"/>
  <c r="AWF111" i="62"/>
  <c r="AWD111" i="62"/>
  <c r="AWB111" i="62"/>
  <c r="AVZ111" i="62"/>
  <c r="AVX111" i="62"/>
  <c r="AVV111" i="62"/>
  <c r="AVT111" i="62"/>
  <c r="AVR111" i="62"/>
  <c r="AVP111" i="62"/>
  <c r="AVN111" i="62"/>
  <c r="AVL111" i="62"/>
  <c r="AVJ111" i="62"/>
  <c r="AVH111" i="62"/>
  <c r="AVF111" i="62"/>
  <c r="AVD111" i="62"/>
  <c r="AVB111" i="62"/>
  <c r="AUZ111" i="62"/>
  <c r="AUX111" i="62"/>
  <c r="AUV111" i="62"/>
  <c r="AUT111" i="62"/>
  <c r="AUR111" i="62"/>
  <c r="AUP111" i="62"/>
  <c r="AUN111" i="62"/>
  <c r="AUL111" i="62"/>
  <c r="AUJ111" i="62"/>
  <c r="AUH111" i="62"/>
  <c r="AUF111" i="62"/>
  <c r="AUD111" i="62"/>
  <c r="AUB111" i="62"/>
  <c r="ATZ111" i="62"/>
  <c r="ATX111" i="62"/>
  <c r="ATV111" i="62"/>
  <c r="ATT111" i="62"/>
  <c r="ATR111" i="62"/>
  <c r="ATP111" i="62"/>
  <c r="ATN111" i="62"/>
  <c r="ATL111" i="62"/>
  <c r="ATJ111" i="62"/>
  <c r="ATH111" i="62"/>
  <c r="ATF111" i="62"/>
  <c r="ATD111" i="62"/>
  <c r="ATB111" i="62"/>
  <c r="ASZ111" i="62"/>
  <c r="ASX111" i="62"/>
  <c r="ASV111" i="62"/>
  <c r="AST111" i="62"/>
  <c r="ASR111" i="62"/>
  <c r="ASP111" i="62"/>
  <c r="ASN111" i="62"/>
  <c r="ASL111" i="62"/>
  <c r="ASJ111" i="62"/>
  <c r="ASH111" i="62"/>
  <c r="ASF111" i="62"/>
  <c r="ASD111" i="62"/>
  <c r="ASB111" i="62"/>
  <c r="ARZ111" i="62"/>
  <c r="ARX111" i="62"/>
  <c r="ARV111" i="62"/>
  <c r="ART111" i="62"/>
  <c r="ARR111" i="62"/>
  <c r="ARP111" i="62"/>
  <c r="ARN111" i="62"/>
  <c r="ARL111" i="62"/>
  <c r="ARJ111" i="62"/>
  <c r="ARH111" i="62"/>
  <c r="ARF111" i="62"/>
  <c r="ARD111" i="62"/>
  <c r="ARB111" i="62"/>
  <c r="AQZ111" i="62"/>
  <c r="AQX111" i="62"/>
  <c r="AQV111" i="62"/>
  <c r="AQT111" i="62"/>
  <c r="AQR111" i="62"/>
  <c r="AQP111" i="62"/>
  <c r="AQN111" i="62"/>
  <c r="AQL111" i="62"/>
  <c r="AQJ111" i="62"/>
  <c r="AQH111" i="62"/>
  <c r="AQF111" i="62"/>
  <c r="AQD111" i="62"/>
  <c r="AQB111" i="62"/>
  <c r="APZ111" i="62"/>
  <c r="APX111" i="62"/>
  <c r="APV111" i="62"/>
  <c r="APT111" i="62"/>
  <c r="APR111" i="62"/>
  <c r="APP111" i="62"/>
  <c r="APN111" i="62"/>
  <c r="APL111" i="62"/>
  <c r="APJ111" i="62"/>
  <c r="APH111" i="62"/>
  <c r="APF111" i="62"/>
  <c r="APD111" i="62"/>
  <c r="APB111" i="62"/>
  <c r="AOZ111" i="62"/>
  <c r="AOX111" i="62"/>
  <c r="AOV111" i="62"/>
  <c r="AOT111" i="62"/>
  <c r="AOR111" i="62"/>
  <c r="AOP111" i="62"/>
  <c r="AON111" i="62"/>
  <c r="AOL111" i="62"/>
  <c r="AOJ111" i="62"/>
  <c r="AOH111" i="62"/>
  <c r="AOF111" i="62"/>
  <c r="AOD111" i="62"/>
  <c r="AOB111" i="62"/>
  <c r="ANZ111" i="62"/>
  <c r="ANX111" i="62"/>
  <c r="ANV111" i="62"/>
  <c r="ANT111" i="62"/>
  <c r="ANR111" i="62"/>
  <c r="ANP111" i="62"/>
  <c r="ANN111" i="62"/>
  <c r="ANL111" i="62"/>
  <c r="ANJ111" i="62"/>
  <c r="ANH111" i="62"/>
  <c r="ANF111" i="62"/>
  <c r="AND111" i="62"/>
  <c r="ANB111" i="62"/>
  <c r="AMZ111" i="62"/>
  <c r="AMX111" i="62"/>
  <c r="AMV111" i="62"/>
  <c r="AMT111" i="62"/>
  <c r="AMR111" i="62"/>
  <c r="AMP111" i="62"/>
  <c r="AMN111" i="62"/>
  <c r="AML111" i="62"/>
  <c r="AMJ111" i="62"/>
  <c r="AMH111" i="62"/>
  <c r="AMF111" i="62"/>
  <c r="AMD111" i="62"/>
  <c r="AMB111" i="62"/>
  <c r="ALZ111" i="62"/>
  <c r="ALX111" i="62"/>
  <c r="ALV111" i="62"/>
  <c r="ALT111" i="62"/>
  <c r="ALR111" i="62"/>
  <c r="ALP111" i="62"/>
  <c r="ALN111" i="62"/>
  <c r="ALL111" i="62"/>
  <c r="ALJ111" i="62"/>
  <c r="ALH111" i="62"/>
  <c r="ALF111" i="62"/>
  <c r="ALD111" i="62"/>
  <c r="ALB111" i="62"/>
  <c r="AKZ111" i="62"/>
  <c r="AKX111" i="62"/>
  <c r="AKV111" i="62"/>
  <c r="AKT111" i="62"/>
  <c r="AKR111" i="62"/>
  <c r="AKP111" i="62"/>
  <c r="AKN111" i="62"/>
  <c r="AKL111" i="62"/>
  <c r="AKJ111" i="62"/>
  <c r="AKH111" i="62"/>
  <c r="AKF111" i="62"/>
  <c r="AKD111" i="62"/>
  <c r="AKB111" i="62"/>
  <c r="AJZ111" i="62"/>
  <c r="AJX111" i="62"/>
  <c r="AJV111" i="62"/>
  <c r="AJT111" i="62"/>
  <c r="AJR111" i="62"/>
  <c r="AJP111" i="62"/>
  <c r="AJN111" i="62"/>
  <c r="AJL111" i="62"/>
  <c r="AJJ111" i="62"/>
  <c r="AJH111" i="62"/>
  <c r="AJF111" i="62"/>
  <c r="AJD111" i="62"/>
  <c r="AJB111" i="62"/>
  <c r="AIZ111" i="62"/>
  <c r="AIX111" i="62"/>
  <c r="AIV111" i="62"/>
  <c r="AIT111" i="62"/>
  <c r="AIR111" i="62"/>
  <c r="AIP111" i="62"/>
  <c r="AIN111" i="62"/>
  <c r="AIL111" i="62"/>
  <c r="AIJ111" i="62"/>
  <c r="AIH111" i="62"/>
  <c r="AIF111" i="62"/>
  <c r="AID111" i="62"/>
  <c r="AIB111" i="62"/>
  <c r="AHZ111" i="62"/>
  <c r="AHX111" i="62"/>
  <c r="AHV111" i="62"/>
  <c r="AHT111" i="62"/>
  <c r="AHR111" i="62"/>
  <c r="AHP111" i="62"/>
  <c r="AHN111" i="62"/>
  <c r="AHL111" i="62"/>
  <c r="AHJ111" i="62"/>
  <c r="AHH111" i="62"/>
  <c r="AHF111" i="62"/>
  <c r="AHD111" i="62"/>
  <c r="AHB111" i="62"/>
  <c r="AGZ111" i="62"/>
  <c r="AGX111" i="62"/>
  <c r="AGV111" i="62"/>
  <c r="AGT111" i="62"/>
  <c r="AGR111" i="62"/>
  <c r="AGP111" i="62"/>
  <c r="AGN111" i="62"/>
  <c r="AGL111" i="62"/>
  <c r="AGJ111" i="62"/>
  <c r="AGH111" i="62"/>
  <c r="AGF111" i="62"/>
  <c r="AGD111" i="62"/>
  <c r="AGB111" i="62"/>
  <c r="AFZ111" i="62"/>
  <c r="AFX111" i="62"/>
  <c r="AFV111" i="62"/>
  <c r="AFT111" i="62"/>
  <c r="AFR111" i="62"/>
  <c r="AFP111" i="62"/>
  <c r="AFN111" i="62"/>
  <c r="AFL111" i="62"/>
  <c r="AFJ111" i="62"/>
  <c r="AFH111" i="62"/>
  <c r="AFF111" i="62"/>
  <c r="AFD111" i="62"/>
  <c r="AFB111" i="62"/>
  <c r="AEZ111" i="62"/>
  <c r="AEX111" i="62"/>
  <c r="AEV111" i="62"/>
  <c r="AET111" i="62"/>
  <c r="AER111" i="62"/>
  <c r="AEP111" i="62"/>
  <c r="AEN111" i="62"/>
  <c r="AEL111" i="62"/>
  <c r="AEJ111" i="62"/>
  <c r="AEH111" i="62"/>
  <c r="AEF111" i="62"/>
  <c r="AED111" i="62"/>
  <c r="AEB111" i="62"/>
  <c r="ADZ111" i="62"/>
  <c r="ADX111" i="62"/>
  <c r="ADV111" i="62"/>
  <c r="ADT111" i="62"/>
  <c r="ADR111" i="62"/>
  <c r="ADP111" i="62"/>
  <c r="ADN111" i="62"/>
  <c r="ADL111" i="62"/>
  <c r="ADJ111" i="62"/>
  <c r="ADH111" i="62"/>
  <c r="ADF111" i="62"/>
  <c r="ADD111" i="62"/>
  <c r="ADB111" i="62"/>
  <c r="ACZ111" i="62"/>
  <c r="ACX111" i="62"/>
  <c r="ACV111" i="62"/>
  <c r="ACT111" i="62"/>
  <c r="ACR111" i="62"/>
  <c r="ACP111" i="62"/>
  <c r="ACN111" i="62"/>
  <c r="ACL111" i="62"/>
  <c r="ACJ111" i="62"/>
  <c r="ACH111" i="62"/>
  <c r="ACF111" i="62"/>
  <c r="ACD111" i="62"/>
  <c r="ACB111" i="62"/>
  <c r="ABZ111" i="62"/>
  <c r="ABX111" i="62"/>
  <c r="ABV111" i="62"/>
  <c r="ABT111" i="62"/>
  <c r="ABR111" i="62"/>
  <c r="ABP111" i="62"/>
  <c r="ABN111" i="62"/>
  <c r="ABL111" i="62"/>
  <c r="ABJ111" i="62"/>
  <c r="ABH111" i="62"/>
  <c r="ABF111" i="62"/>
  <c r="ABD111" i="62"/>
  <c r="ABB111" i="62"/>
  <c r="AAZ111" i="62"/>
  <c r="AAX111" i="62"/>
  <c r="AAV111" i="62"/>
  <c r="AAT111" i="62"/>
  <c r="AAR111" i="62"/>
  <c r="AAP111" i="62"/>
  <c r="AAN111" i="62"/>
  <c r="AAL111" i="62"/>
  <c r="AAJ111" i="62"/>
  <c r="AAH111" i="62"/>
  <c r="AAF111" i="62"/>
  <c r="AAD111" i="62"/>
  <c r="AAB111" i="62"/>
  <c r="ZZ111" i="62"/>
  <c r="ZX111" i="62"/>
  <c r="ZV111" i="62"/>
  <c r="ZT111" i="62"/>
  <c r="ZR111" i="62"/>
  <c r="ZP111" i="62"/>
  <c r="ZN111" i="62"/>
  <c r="ZL111" i="62"/>
  <c r="ZJ111" i="62"/>
  <c r="ZH111" i="62"/>
  <c r="ZF111" i="62"/>
  <c r="ZD111" i="62"/>
  <c r="ZB111" i="62"/>
  <c r="YZ111" i="62"/>
  <c r="YX111" i="62"/>
  <c r="YV111" i="62"/>
  <c r="YT111" i="62"/>
  <c r="YR111" i="62"/>
  <c r="YP111" i="62"/>
  <c r="YN111" i="62"/>
  <c r="YL111" i="62"/>
  <c r="YJ111" i="62"/>
  <c r="YH111" i="62"/>
  <c r="YF111" i="62"/>
  <c r="YD111" i="62"/>
  <c r="YB111" i="62"/>
  <c r="XZ111" i="62"/>
  <c r="XX111" i="62"/>
  <c r="XV111" i="62"/>
  <c r="XT111" i="62"/>
  <c r="XR111" i="62"/>
  <c r="XP111" i="62"/>
  <c r="XN111" i="62"/>
  <c r="XL111" i="62"/>
  <c r="XJ111" i="62"/>
  <c r="XH111" i="62"/>
  <c r="XF111" i="62"/>
  <c r="XD111" i="62"/>
  <c r="XB111" i="62"/>
  <c r="WZ111" i="62"/>
  <c r="WX111" i="62"/>
  <c r="WV111" i="62"/>
  <c r="WT111" i="62"/>
  <c r="WR111" i="62"/>
  <c r="WP111" i="62"/>
  <c r="WN111" i="62"/>
  <c r="WL111" i="62"/>
  <c r="WJ111" i="62"/>
  <c r="WH111" i="62"/>
  <c r="WF111" i="62"/>
  <c r="WD111" i="62"/>
  <c r="WB111" i="62"/>
  <c r="VZ111" i="62"/>
  <c r="VX111" i="62"/>
  <c r="VV111" i="62"/>
  <c r="VT111" i="62"/>
  <c r="VR111" i="62"/>
  <c r="VP111" i="62"/>
  <c r="VN111" i="62"/>
  <c r="VL111" i="62"/>
  <c r="VJ111" i="62"/>
  <c r="VH111" i="62"/>
  <c r="VF111" i="62"/>
  <c r="VD111" i="62"/>
  <c r="VB111" i="62"/>
  <c r="UZ111" i="62"/>
  <c r="UX111" i="62"/>
  <c r="UV111" i="62"/>
  <c r="UT111" i="62"/>
  <c r="UR111" i="62"/>
  <c r="UP111" i="62"/>
  <c r="UN111" i="62"/>
  <c r="UL111" i="62"/>
  <c r="UJ111" i="62"/>
  <c r="UH111" i="62"/>
  <c r="UF111" i="62"/>
  <c r="UD111" i="62"/>
  <c r="UB111" i="62"/>
  <c r="TZ111" i="62"/>
  <c r="TX111" i="62"/>
  <c r="TV111" i="62"/>
  <c r="TT111" i="62"/>
  <c r="TR111" i="62"/>
  <c r="TP111" i="62"/>
  <c r="TN111" i="62"/>
  <c r="TL111" i="62"/>
  <c r="TJ111" i="62"/>
  <c r="TH111" i="62"/>
  <c r="TF111" i="62"/>
  <c r="TD111" i="62"/>
  <c r="TB111" i="62"/>
  <c r="SZ111" i="62"/>
  <c r="SX111" i="62"/>
  <c r="SV111" i="62"/>
  <c r="ST111" i="62"/>
  <c r="SR111" i="62"/>
  <c r="SP111" i="62"/>
  <c r="SN111" i="62"/>
  <c r="SL111" i="62"/>
  <c r="SJ111" i="62"/>
  <c r="SH111" i="62"/>
  <c r="SF111" i="62"/>
  <c r="SD111" i="62"/>
  <c r="SB111" i="62"/>
  <c r="RZ111" i="62"/>
  <c r="RX111" i="62"/>
  <c r="RV111" i="62"/>
  <c r="RT111" i="62"/>
  <c r="RR111" i="62"/>
  <c r="RP111" i="62"/>
  <c r="RN111" i="62"/>
  <c r="RL111" i="62"/>
  <c r="RJ111" i="62"/>
  <c r="RH111" i="62"/>
  <c r="RF111" i="62"/>
  <c r="RD111" i="62"/>
  <c r="RB111" i="62"/>
  <c r="QZ111" i="62"/>
  <c r="QX111" i="62"/>
  <c r="QV111" i="62"/>
  <c r="QT111" i="62"/>
  <c r="QR111" i="62"/>
  <c r="QP111" i="62"/>
  <c r="QN111" i="62"/>
  <c r="QL111" i="62"/>
  <c r="QJ111" i="62"/>
  <c r="QH111" i="62"/>
  <c r="QF111" i="62"/>
  <c r="QD111" i="62"/>
  <c r="QB111" i="62"/>
  <c r="PZ111" i="62"/>
  <c r="PX111" i="62"/>
  <c r="PV111" i="62"/>
  <c r="PT111" i="62"/>
  <c r="PR111" i="62"/>
  <c r="PP111" i="62"/>
  <c r="PN111" i="62"/>
  <c r="PL111" i="62"/>
  <c r="PJ111" i="62"/>
  <c r="PH111" i="62"/>
  <c r="PF111" i="62"/>
  <c r="PD111" i="62"/>
  <c r="PB111" i="62"/>
  <c r="OZ111" i="62"/>
  <c r="OX111" i="62"/>
  <c r="OV111" i="62"/>
  <c r="OT111" i="62"/>
  <c r="OR111" i="62"/>
  <c r="OP111" i="62"/>
  <c r="ON111" i="62"/>
  <c r="OL111" i="62"/>
  <c r="OJ111" i="62"/>
  <c r="OH111" i="62"/>
  <c r="OF111" i="62"/>
  <c r="OD111" i="62"/>
  <c r="OB111" i="62"/>
  <c r="NZ111" i="62"/>
  <c r="NX111" i="62"/>
  <c r="NV111" i="62"/>
  <c r="NT111" i="62"/>
  <c r="NR111" i="62"/>
  <c r="NP111" i="62"/>
  <c r="NN111" i="62"/>
  <c r="NL111" i="62"/>
  <c r="NJ111" i="62"/>
  <c r="NH111" i="62"/>
  <c r="NF111" i="62"/>
  <c r="ND111" i="62"/>
  <c r="NB111" i="62"/>
  <c r="MZ111" i="62"/>
  <c r="MX111" i="62"/>
  <c r="MV111" i="62"/>
  <c r="MT111" i="62"/>
  <c r="MR111" i="62"/>
  <c r="MP111" i="62"/>
  <c r="MN111" i="62"/>
  <c r="ML111" i="62"/>
  <c r="MJ111" i="62"/>
  <c r="MH111" i="62"/>
  <c r="MF111" i="62"/>
  <c r="MD111" i="62"/>
  <c r="MB111" i="62"/>
  <c r="LZ111" i="62"/>
  <c r="LX111" i="62"/>
  <c r="LV111" i="62"/>
  <c r="LT111" i="62"/>
  <c r="LR111" i="62"/>
  <c r="LP111" i="62"/>
  <c r="LN111" i="62"/>
  <c r="LL111" i="62"/>
  <c r="LJ111" i="62"/>
  <c r="LH111" i="62"/>
  <c r="LF111" i="62"/>
  <c r="LD111" i="62"/>
  <c r="LB111" i="62"/>
  <c r="KZ111" i="62"/>
  <c r="KX111" i="62"/>
  <c r="KV111" i="62"/>
  <c r="KT111" i="62"/>
  <c r="KR111" i="62"/>
  <c r="KP111" i="62"/>
  <c r="KN111" i="62"/>
  <c r="KL111" i="62"/>
  <c r="KJ111" i="62"/>
  <c r="KH111" i="62"/>
  <c r="KF111" i="62"/>
  <c r="KD111" i="62"/>
  <c r="KB111" i="62"/>
  <c r="JZ111" i="62"/>
  <c r="JX111" i="62"/>
  <c r="JV111" i="62"/>
  <c r="JT111" i="62"/>
  <c r="JR111" i="62"/>
  <c r="JP111" i="62"/>
  <c r="JN111" i="62"/>
  <c r="JL111" i="62"/>
  <c r="JJ111" i="62"/>
  <c r="JH111" i="62"/>
  <c r="JF111" i="62"/>
  <c r="JD111" i="62"/>
  <c r="JB111" i="62"/>
  <c r="IZ111" i="62"/>
  <c r="IX111" i="62"/>
  <c r="IV111" i="62"/>
  <c r="IT111" i="62"/>
  <c r="IR111" i="62"/>
  <c r="IP111" i="62"/>
  <c r="IN111" i="62"/>
  <c r="IL111" i="62"/>
  <c r="IJ111" i="62"/>
  <c r="IH111" i="62"/>
  <c r="IF111" i="62"/>
  <c r="ID111" i="62"/>
  <c r="IB111" i="62"/>
  <c r="HZ111" i="62"/>
  <c r="HX111" i="62"/>
  <c r="HV111" i="62"/>
  <c r="HT111" i="62"/>
  <c r="HR111" i="62"/>
  <c r="HP111" i="62"/>
  <c r="HN111" i="62"/>
  <c r="HL111" i="62"/>
  <c r="HJ111" i="62"/>
  <c r="HH111" i="62"/>
  <c r="HF111" i="62"/>
  <c r="HD111" i="62"/>
  <c r="HB111" i="62"/>
  <c r="GZ111" i="62"/>
  <c r="GX111" i="62"/>
  <c r="GV111" i="62"/>
  <c r="GT111" i="62"/>
  <c r="GR111" i="62"/>
  <c r="GP111" i="62"/>
  <c r="GN111" i="62"/>
  <c r="GL111" i="62"/>
  <c r="GJ111" i="62"/>
  <c r="GH111" i="62"/>
  <c r="GF111" i="62"/>
  <c r="GD111" i="62"/>
  <c r="GB111" i="62"/>
  <c r="FZ111" i="62"/>
  <c r="FX111" i="62"/>
  <c r="FV111" i="62"/>
  <c r="FT111" i="62"/>
  <c r="FR111" i="62"/>
  <c r="FP111" i="62"/>
  <c r="FN111" i="62"/>
  <c r="FL111" i="62"/>
  <c r="FJ111" i="62"/>
  <c r="FH111" i="62"/>
  <c r="FF111" i="62"/>
  <c r="FD111" i="62"/>
  <c r="FB111" i="62"/>
  <c r="EZ111" i="62"/>
  <c r="EX111" i="62"/>
  <c r="EV111" i="62"/>
  <c r="ET111" i="62"/>
  <c r="ER111" i="62"/>
  <c r="EP111" i="62"/>
  <c r="EN111" i="62"/>
  <c r="EL111" i="62"/>
  <c r="EJ111" i="62"/>
  <c r="EH111" i="62"/>
  <c r="EF111" i="62"/>
  <c r="ED111" i="62"/>
  <c r="EB111" i="62"/>
  <c r="DZ111" i="62"/>
  <c r="DX111" i="62"/>
  <c r="DV111" i="62"/>
  <c r="DT111" i="62"/>
  <c r="DR111" i="62"/>
  <c r="DP111" i="62"/>
  <c r="DN111" i="62"/>
  <c r="DL111" i="62"/>
  <c r="DJ111" i="62"/>
  <c r="DH111" i="62"/>
  <c r="DF111" i="62"/>
  <c r="DD111" i="62"/>
  <c r="DB111" i="62"/>
  <c r="CZ111" i="62"/>
  <c r="CX111" i="62"/>
  <c r="CV111" i="62"/>
  <c r="CT111" i="62"/>
  <c r="CR111" i="62"/>
  <c r="CP111" i="62"/>
  <c r="CN111" i="62"/>
  <c r="CL111" i="62"/>
  <c r="CJ111" i="62"/>
  <c r="CH111" i="62"/>
  <c r="CF111" i="62"/>
  <c r="CD111" i="62"/>
  <c r="CB111" i="62"/>
  <c r="BZ111" i="62"/>
  <c r="BX111" i="62"/>
  <c r="BV111" i="62"/>
  <c r="BT111" i="62"/>
  <c r="BR111" i="62"/>
  <c r="BP111" i="62"/>
  <c r="BN111" i="62"/>
  <c r="BL111" i="62"/>
  <c r="BJ111" i="62"/>
  <c r="BH111" i="62"/>
  <c r="BF111" i="62"/>
  <c r="BD111" i="62"/>
  <c r="BB111" i="62"/>
  <c r="AZ111" i="62"/>
  <c r="AX111" i="62"/>
  <c r="AV111" i="62"/>
  <c r="AT111" i="62"/>
  <c r="AR111" i="62"/>
  <c r="AP111" i="62"/>
  <c r="AN111" i="62"/>
  <c r="AL111" i="62"/>
  <c r="AJ111" i="62"/>
  <c r="AH111" i="62"/>
  <c r="Z44" i="62"/>
  <c r="Y44" i="62"/>
  <c r="T44" i="62"/>
  <c r="Z43" i="62"/>
  <c r="Y43" i="62"/>
  <c r="T43" i="62"/>
  <c r="T42" i="62"/>
  <c r="Z41" i="62"/>
  <c r="Y41" i="62"/>
  <c r="T41" i="62"/>
  <c r="Z40" i="62"/>
  <c r="Y40" i="62"/>
  <c r="T40" i="62"/>
  <c r="Z39" i="62"/>
  <c r="Y39" i="62"/>
  <c r="T39" i="62"/>
  <c r="Z38" i="62"/>
  <c r="Y38" i="62"/>
  <c r="T38" i="62"/>
  <c r="Z37" i="62"/>
  <c r="Y37" i="62"/>
  <c r="T37" i="62"/>
  <c r="Z36" i="62"/>
  <c r="Y36" i="62"/>
  <c r="T36" i="62"/>
  <c r="Z35" i="62"/>
  <c r="Y35" i="62"/>
  <c r="T35" i="62"/>
  <c r="Z34" i="62"/>
  <c r="Y34" i="62"/>
  <c r="T34" i="62"/>
  <c r="Z33" i="62"/>
  <c r="Y33" i="62"/>
  <c r="T33" i="62"/>
  <c r="Z32" i="62"/>
  <c r="Y32" i="62"/>
  <c r="AA32" i="62" s="1"/>
  <c r="T32" i="62"/>
  <c r="Z31" i="62"/>
  <c r="Y31" i="62"/>
  <c r="AA31" i="62" s="1"/>
  <c r="T31" i="62"/>
  <c r="Z30" i="62"/>
  <c r="Y30" i="62"/>
  <c r="AA30" i="62" s="1"/>
  <c r="T30" i="62"/>
  <c r="Z29" i="62"/>
  <c r="Y29" i="62"/>
  <c r="T29" i="62"/>
  <c r="Z28" i="62"/>
  <c r="Y28" i="62"/>
  <c r="AA28" i="62" s="1"/>
  <c r="T28" i="62"/>
  <c r="Z27" i="62"/>
  <c r="Y27" i="62"/>
  <c r="T27" i="62"/>
  <c r="Z26" i="62"/>
  <c r="Y26" i="62"/>
  <c r="AA26" i="62" s="1"/>
  <c r="T26" i="62"/>
  <c r="Z25" i="62"/>
  <c r="Y25" i="62"/>
  <c r="AA25" i="62" s="1"/>
  <c r="T25" i="62"/>
  <c r="Z24" i="62"/>
  <c r="Y24" i="62"/>
  <c r="AA24" i="62" s="1"/>
  <c r="T24" i="62"/>
  <c r="Z23" i="62"/>
  <c r="Y23" i="62"/>
  <c r="T23" i="62"/>
  <c r="Z22" i="62"/>
  <c r="Y22" i="62"/>
  <c r="T22" i="62"/>
  <c r="Z21" i="62"/>
  <c r="Y21" i="62"/>
  <c r="T21" i="62"/>
  <c r="Z20" i="62"/>
  <c r="Y20" i="62"/>
  <c r="T20" i="62"/>
  <c r="Z19" i="62"/>
  <c r="Y19" i="62"/>
  <c r="AA19" i="62" s="1"/>
  <c r="T19" i="62"/>
  <c r="U9" i="62"/>
  <c r="U7" i="62"/>
  <c r="L311" i="61"/>
  <c r="D311" i="61"/>
  <c r="K311" i="61" s="1"/>
  <c r="L310" i="61"/>
  <c r="D310" i="61"/>
  <c r="K310" i="61" s="1"/>
  <c r="L309" i="61"/>
  <c r="D309" i="61"/>
  <c r="K309" i="61" s="1"/>
  <c r="L307" i="61"/>
  <c r="D307" i="61"/>
  <c r="K307" i="61" s="1"/>
  <c r="L306" i="61"/>
  <c r="D306" i="61"/>
  <c r="K306" i="61" s="1"/>
  <c r="L305" i="61"/>
  <c r="D305" i="61"/>
  <c r="K305" i="61" s="1"/>
  <c r="L275" i="61"/>
  <c r="D275" i="61"/>
  <c r="K275" i="61" s="1"/>
  <c r="L284" i="61"/>
  <c r="D284" i="61"/>
  <c r="K284" i="61" s="1"/>
  <c r="L283" i="61"/>
  <c r="D283" i="61"/>
  <c r="K283" i="61" s="1"/>
  <c r="L282" i="61"/>
  <c r="D282" i="61"/>
  <c r="K282" i="61" s="1"/>
  <c r="L281" i="61"/>
  <c r="D281" i="61"/>
  <c r="K281" i="61" s="1"/>
  <c r="L276" i="61"/>
  <c r="D276" i="61"/>
  <c r="K276" i="61" s="1"/>
  <c r="L280" i="61"/>
  <c r="D280" i="61"/>
  <c r="K280" i="61" s="1"/>
  <c r="L279" i="61"/>
  <c r="D279" i="61"/>
  <c r="K279" i="61" s="1"/>
  <c r="L278" i="61"/>
  <c r="D278" i="61"/>
  <c r="K278" i="61" s="1"/>
  <c r="L277" i="61"/>
  <c r="D277" i="61"/>
  <c r="K277" i="61" s="1"/>
  <c r="L285" i="61"/>
  <c r="D285" i="61"/>
  <c r="K285" i="61" s="1"/>
  <c r="L287" i="61"/>
  <c r="D287" i="61"/>
  <c r="K287" i="61" s="1"/>
  <c r="L304" i="61"/>
  <c r="D304" i="61"/>
  <c r="K304" i="61" s="1"/>
  <c r="L303" i="61"/>
  <c r="D303" i="61"/>
  <c r="K303" i="61" s="1"/>
  <c r="L299" i="61"/>
  <c r="D299" i="61"/>
  <c r="K299" i="61" s="1"/>
  <c r="L298" i="61"/>
  <c r="D298" i="61"/>
  <c r="K298" i="61" s="1"/>
  <c r="L297" i="61"/>
  <c r="D297" i="61"/>
  <c r="K297" i="61" s="1"/>
  <c r="L296" i="61"/>
  <c r="D296" i="61"/>
  <c r="K296" i="61" s="1"/>
  <c r="L295" i="61"/>
  <c r="D295" i="61"/>
  <c r="K295" i="61" s="1"/>
  <c r="L294" i="61"/>
  <c r="D294" i="61"/>
  <c r="K294" i="61" s="1"/>
  <c r="L293" i="61"/>
  <c r="D293" i="61"/>
  <c r="K293" i="61" s="1"/>
  <c r="L292" i="61"/>
  <c r="D292" i="61"/>
  <c r="K292" i="61" s="1"/>
  <c r="L291" i="61"/>
  <c r="D291" i="61"/>
  <c r="K291" i="61" s="1"/>
  <c r="L290" i="61"/>
  <c r="D290" i="61"/>
  <c r="K290" i="61" s="1"/>
  <c r="L289" i="61"/>
  <c r="D289" i="61"/>
  <c r="K289" i="61" s="1"/>
  <c r="L288" i="61"/>
  <c r="D288" i="61"/>
  <c r="K288" i="61" s="1"/>
  <c r="L286" i="61"/>
  <c r="D286" i="61"/>
  <c r="K286" i="61" s="1"/>
  <c r="L207" i="61"/>
  <c r="D207" i="61"/>
  <c r="K207" i="61" s="1"/>
  <c r="L206" i="61"/>
  <c r="D206" i="61"/>
  <c r="K206" i="61" s="1"/>
  <c r="L205" i="61"/>
  <c r="D205" i="61"/>
  <c r="K205" i="61" s="1"/>
  <c r="L204" i="61"/>
  <c r="D204" i="61"/>
  <c r="K204" i="61" s="1"/>
  <c r="L203" i="61"/>
  <c r="D203" i="61"/>
  <c r="K203" i="61" s="1"/>
  <c r="L202" i="61"/>
  <c r="D202" i="61"/>
  <c r="K202" i="61" s="1"/>
  <c r="L201" i="61"/>
  <c r="D201" i="61"/>
  <c r="K201" i="61" s="1"/>
  <c r="L200" i="61"/>
  <c r="D200" i="61"/>
  <c r="K200" i="61" s="1"/>
  <c r="L199" i="61"/>
  <c r="D199" i="61"/>
  <c r="K199" i="61" s="1"/>
  <c r="L198" i="61"/>
  <c r="D198" i="61"/>
  <c r="K198" i="61" s="1"/>
  <c r="L197" i="61"/>
  <c r="D197" i="61"/>
  <c r="K197" i="61" s="1"/>
  <c r="L196" i="61"/>
  <c r="D196" i="61"/>
  <c r="K196" i="61" s="1"/>
  <c r="L195" i="61"/>
  <c r="D195" i="61"/>
  <c r="K195" i="61" s="1"/>
  <c r="L194" i="61"/>
  <c r="D194" i="61"/>
  <c r="K194" i="61" s="1"/>
  <c r="L193" i="61"/>
  <c r="D193" i="61"/>
  <c r="K193" i="61" s="1"/>
  <c r="L192" i="61"/>
  <c r="D192" i="61"/>
  <c r="K192" i="61" s="1"/>
  <c r="L191" i="61"/>
  <c r="D191" i="61"/>
  <c r="K191" i="61" s="1"/>
  <c r="L190" i="61"/>
  <c r="D190" i="61"/>
  <c r="K190" i="61" s="1"/>
  <c r="L189" i="61"/>
  <c r="D189" i="61"/>
  <c r="K189" i="61" s="1"/>
  <c r="L188" i="61"/>
  <c r="D188" i="61"/>
  <c r="K188" i="61" s="1"/>
  <c r="L187" i="61"/>
  <c r="D187" i="61"/>
  <c r="K187" i="61" s="1"/>
  <c r="L186" i="61"/>
  <c r="D186" i="61"/>
  <c r="K186" i="61" s="1"/>
  <c r="L185" i="61"/>
  <c r="D185" i="61"/>
  <c r="K185" i="61" s="1"/>
  <c r="L184" i="61"/>
  <c r="D184" i="61"/>
  <c r="K184" i="61" s="1"/>
  <c r="L183" i="61"/>
  <c r="D183" i="61"/>
  <c r="K183" i="61" s="1"/>
  <c r="L182" i="61"/>
  <c r="D182" i="61"/>
  <c r="K182" i="61" s="1"/>
  <c r="L181" i="61"/>
  <c r="D181" i="61"/>
  <c r="K181" i="61" s="1"/>
  <c r="L180" i="61"/>
  <c r="D180" i="61"/>
  <c r="K180" i="61" s="1"/>
  <c r="L179" i="61"/>
  <c r="D179" i="61"/>
  <c r="K179" i="61" s="1"/>
  <c r="L178" i="61"/>
  <c r="D178" i="61"/>
  <c r="K178" i="61" s="1"/>
  <c r="L177" i="61"/>
  <c r="D177" i="61"/>
  <c r="K177" i="61" s="1"/>
  <c r="L176" i="61"/>
  <c r="D176" i="61"/>
  <c r="K176" i="61" s="1"/>
  <c r="L175" i="61"/>
  <c r="D175" i="61"/>
  <c r="K175" i="61" s="1"/>
  <c r="L174" i="61"/>
  <c r="D174" i="61"/>
  <c r="K174" i="61" s="1"/>
  <c r="L173" i="61"/>
  <c r="D173" i="61"/>
  <c r="K173" i="61" s="1"/>
  <c r="L172" i="61"/>
  <c r="D172" i="61"/>
  <c r="K172" i="61" s="1"/>
  <c r="L171" i="61"/>
  <c r="D171" i="61"/>
  <c r="K171" i="61" s="1"/>
  <c r="L170" i="61"/>
  <c r="D170" i="61"/>
  <c r="K170" i="61" s="1"/>
  <c r="L169" i="61"/>
  <c r="D169" i="61"/>
  <c r="K169" i="61" s="1"/>
  <c r="L168" i="61"/>
  <c r="D168" i="61"/>
  <c r="K168" i="61" s="1"/>
  <c r="L167" i="61"/>
  <c r="D167" i="61"/>
  <c r="K167" i="61" s="1"/>
  <c r="L166" i="61"/>
  <c r="D166" i="61"/>
  <c r="K166" i="61" s="1"/>
  <c r="L165" i="61"/>
  <c r="D165" i="61"/>
  <c r="K165" i="61" s="1"/>
  <c r="L164" i="61"/>
  <c r="D164" i="61"/>
  <c r="K164" i="61" s="1"/>
  <c r="L163" i="61"/>
  <c r="D163" i="61"/>
  <c r="K163" i="61" s="1"/>
  <c r="L162" i="61"/>
  <c r="D162" i="61"/>
  <c r="K162" i="61" s="1"/>
  <c r="L161" i="61"/>
  <c r="D161" i="61"/>
  <c r="K161" i="61" s="1"/>
  <c r="L160" i="61"/>
  <c r="D160" i="61"/>
  <c r="K160" i="61" s="1"/>
  <c r="L159" i="61"/>
  <c r="D159" i="61"/>
  <c r="K159" i="61" s="1"/>
  <c r="L158" i="61"/>
  <c r="D158" i="61"/>
  <c r="K158" i="61" s="1"/>
  <c r="L157" i="61"/>
  <c r="D157" i="61"/>
  <c r="K157" i="61" s="1"/>
  <c r="L156" i="61"/>
  <c r="D156" i="61"/>
  <c r="K156" i="61" s="1"/>
  <c r="L155" i="61"/>
  <c r="D155" i="61"/>
  <c r="K155" i="61" s="1"/>
  <c r="L154" i="61"/>
  <c r="D154" i="61"/>
  <c r="K154" i="61" s="1"/>
  <c r="L153" i="61"/>
  <c r="D153" i="61"/>
  <c r="K153" i="61" s="1"/>
  <c r="L152" i="61"/>
  <c r="D152" i="61"/>
  <c r="K152" i="61" s="1"/>
  <c r="L151" i="61"/>
  <c r="D151" i="61"/>
  <c r="K151" i="61" s="1"/>
  <c r="L150" i="61"/>
  <c r="D150" i="61"/>
  <c r="K150" i="61" s="1"/>
  <c r="L149" i="61"/>
  <c r="D149" i="61"/>
  <c r="K149" i="61" s="1"/>
  <c r="L148" i="61"/>
  <c r="D148" i="61"/>
  <c r="K148" i="61" s="1"/>
  <c r="L147" i="61"/>
  <c r="D147" i="61"/>
  <c r="K147" i="61" s="1"/>
  <c r="L146" i="61"/>
  <c r="D146" i="61"/>
  <c r="K146" i="61" s="1"/>
  <c r="L271" i="61"/>
  <c r="D271" i="61"/>
  <c r="K271" i="61" s="1"/>
  <c r="L145" i="61"/>
  <c r="D145" i="61"/>
  <c r="K145" i="61" s="1"/>
  <c r="L270" i="61"/>
  <c r="D270" i="61"/>
  <c r="K270" i="61" s="1"/>
  <c r="L269" i="61"/>
  <c r="D269" i="61"/>
  <c r="K269" i="61" s="1"/>
  <c r="L268" i="61"/>
  <c r="D268" i="61"/>
  <c r="K268" i="61" s="1"/>
  <c r="L144" i="61"/>
  <c r="D144" i="61"/>
  <c r="K144" i="61" s="1"/>
  <c r="L143" i="61"/>
  <c r="D143" i="61"/>
  <c r="K143" i="61" s="1"/>
  <c r="L142" i="61"/>
  <c r="D142" i="61"/>
  <c r="K142" i="61" s="1"/>
  <c r="L141" i="61"/>
  <c r="D141" i="61"/>
  <c r="K141" i="61" s="1"/>
  <c r="L140" i="61"/>
  <c r="D140" i="61"/>
  <c r="K140" i="61" s="1"/>
  <c r="L139" i="61"/>
  <c r="D139" i="61"/>
  <c r="K139" i="61" s="1"/>
  <c r="L138" i="61"/>
  <c r="D138" i="61"/>
  <c r="K138" i="61" s="1"/>
  <c r="L137" i="61"/>
  <c r="D137" i="61"/>
  <c r="K137" i="61" s="1"/>
  <c r="L136" i="61"/>
  <c r="D136" i="61"/>
  <c r="K136" i="61" s="1"/>
  <c r="L135" i="61"/>
  <c r="D135" i="61"/>
  <c r="K135" i="61" s="1"/>
  <c r="L134" i="61"/>
  <c r="D134" i="61"/>
  <c r="K134" i="61" s="1"/>
  <c r="L133" i="61"/>
  <c r="D133" i="61"/>
  <c r="K133" i="61" s="1"/>
  <c r="L132" i="61"/>
  <c r="D132" i="61"/>
  <c r="K132" i="61" s="1"/>
  <c r="L131" i="61"/>
  <c r="D131" i="61"/>
  <c r="K131" i="61" s="1"/>
  <c r="L130" i="61"/>
  <c r="D130" i="61"/>
  <c r="K130" i="61" s="1"/>
  <c r="L129" i="61"/>
  <c r="D129" i="61"/>
  <c r="K129" i="61" s="1"/>
  <c r="L128" i="61"/>
  <c r="D128" i="61"/>
  <c r="K128" i="61" s="1"/>
  <c r="L127" i="61"/>
  <c r="D127" i="61"/>
  <c r="K127" i="61" s="1"/>
  <c r="L126" i="61"/>
  <c r="D126" i="61"/>
  <c r="K126" i="61" s="1"/>
  <c r="L125" i="61"/>
  <c r="D125" i="61"/>
  <c r="K125" i="61" s="1"/>
  <c r="L124" i="61"/>
  <c r="D124" i="61"/>
  <c r="K124" i="61" s="1"/>
  <c r="L123" i="61"/>
  <c r="D123" i="61"/>
  <c r="K123" i="61" s="1"/>
  <c r="L122" i="61"/>
  <c r="D122" i="61"/>
  <c r="K122" i="61" s="1"/>
  <c r="L121" i="61"/>
  <c r="D121" i="61"/>
  <c r="K121" i="61" s="1"/>
  <c r="L120" i="61"/>
  <c r="D120" i="61"/>
  <c r="K120" i="61" s="1"/>
  <c r="L119" i="61"/>
  <c r="D119" i="61"/>
  <c r="K119" i="61" s="1"/>
  <c r="L118" i="61"/>
  <c r="D118" i="61"/>
  <c r="K118" i="61" s="1"/>
  <c r="L117" i="61"/>
  <c r="D117" i="61"/>
  <c r="K117" i="61" s="1"/>
  <c r="L116" i="61"/>
  <c r="D116" i="61"/>
  <c r="K116" i="61" s="1"/>
  <c r="L115" i="61"/>
  <c r="D115" i="61"/>
  <c r="K115" i="61" s="1"/>
  <c r="L114" i="61"/>
  <c r="D114" i="61"/>
  <c r="K114" i="61" s="1"/>
  <c r="L113" i="61"/>
  <c r="D113" i="61"/>
  <c r="K113" i="61" s="1"/>
  <c r="L112" i="61"/>
  <c r="K112" i="61"/>
  <c r="L111" i="61"/>
  <c r="D111" i="61"/>
  <c r="K111" i="61" s="1"/>
  <c r="L110" i="61"/>
  <c r="D110" i="61"/>
  <c r="K110" i="61" s="1"/>
  <c r="L109" i="61"/>
  <c r="D109" i="61"/>
  <c r="K109" i="61" s="1"/>
  <c r="L108" i="61"/>
  <c r="D108" i="61"/>
  <c r="K108" i="61" s="1"/>
  <c r="L267" i="61"/>
  <c r="D267" i="61"/>
  <c r="K267" i="61" s="1"/>
  <c r="L266" i="61"/>
  <c r="D266" i="61"/>
  <c r="K266" i="61" s="1"/>
  <c r="L265" i="61"/>
  <c r="D265" i="61"/>
  <c r="K265" i="61" s="1"/>
  <c r="L264" i="61"/>
  <c r="D264" i="61"/>
  <c r="K264" i="61" s="1"/>
  <c r="L263" i="61"/>
  <c r="D263" i="61"/>
  <c r="K263" i="61" s="1"/>
  <c r="L262" i="61"/>
  <c r="D262" i="61"/>
  <c r="K262" i="61" s="1"/>
  <c r="L107" i="61"/>
  <c r="D107" i="61"/>
  <c r="K107" i="61" s="1"/>
  <c r="L261" i="61"/>
  <c r="D261" i="61"/>
  <c r="K261" i="61" s="1"/>
  <c r="L106" i="61"/>
  <c r="D106" i="61"/>
  <c r="K106" i="61" s="1"/>
  <c r="L105" i="61"/>
  <c r="D105" i="61"/>
  <c r="K105" i="61" s="1"/>
  <c r="L260" i="61"/>
  <c r="D260" i="61"/>
  <c r="K260" i="61" s="1"/>
  <c r="L104" i="61"/>
  <c r="D104" i="61"/>
  <c r="K104" i="61" s="1"/>
  <c r="L103" i="61"/>
  <c r="D103" i="61"/>
  <c r="K103" i="61" s="1"/>
  <c r="L102" i="61"/>
  <c r="D102" i="61"/>
  <c r="K102" i="61" s="1"/>
  <c r="L101" i="61"/>
  <c r="D101" i="61"/>
  <c r="K101" i="61" s="1"/>
  <c r="L100" i="61"/>
  <c r="D100" i="61"/>
  <c r="K100" i="61" s="1"/>
  <c r="L99" i="61"/>
  <c r="D99" i="61"/>
  <c r="K99" i="61" s="1"/>
  <c r="L98" i="61"/>
  <c r="D98" i="61"/>
  <c r="K98" i="61" s="1"/>
  <c r="L97" i="61"/>
  <c r="D97" i="61"/>
  <c r="K97" i="61" s="1"/>
  <c r="L96" i="61"/>
  <c r="D96" i="61"/>
  <c r="K96" i="61" s="1"/>
  <c r="L95" i="61"/>
  <c r="D95" i="61"/>
  <c r="K95" i="61" s="1"/>
  <c r="L94" i="61"/>
  <c r="D94" i="61"/>
  <c r="K94" i="61" s="1"/>
  <c r="L93" i="61"/>
  <c r="D93" i="61"/>
  <c r="K93" i="61" s="1"/>
  <c r="L92" i="61"/>
  <c r="D92" i="61"/>
  <c r="K92" i="61" s="1"/>
  <c r="L91" i="61"/>
  <c r="D91" i="61"/>
  <c r="K91" i="61" s="1"/>
  <c r="L90" i="61"/>
  <c r="D90" i="61"/>
  <c r="K90" i="61" s="1"/>
  <c r="L89" i="61"/>
  <c r="D89" i="61"/>
  <c r="K89" i="61" s="1"/>
  <c r="L88" i="61"/>
  <c r="D88" i="61"/>
  <c r="K88" i="61" s="1"/>
  <c r="L87" i="61"/>
  <c r="D87" i="61"/>
  <c r="K87" i="61" s="1"/>
  <c r="L86" i="61"/>
  <c r="D86" i="61"/>
  <c r="K86" i="61" s="1"/>
  <c r="L85" i="61"/>
  <c r="D85" i="61"/>
  <c r="K85" i="61" s="1"/>
  <c r="L84" i="61"/>
  <c r="D84" i="61"/>
  <c r="K84" i="61" s="1"/>
  <c r="L83" i="61"/>
  <c r="D83" i="61"/>
  <c r="K83" i="61" s="1"/>
  <c r="L82" i="61"/>
  <c r="D82" i="61"/>
  <c r="K82" i="61" s="1"/>
  <c r="L81" i="61"/>
  <c r="D81" i="61"/>
  <c r="K81" i="61" s="1"/>
  <c r="L80" i="61"/>
  <c r="D80" i="61"/>
  <c r="K80" i="61" s="1"/>
  <c r="L79" i="61"/>
  <c r="D79" i="61"/>
  <c r="K79" i="61" s="1"/>
  <c r="L78" i="61"/>
  <c r="D78" i="61"/>
  <c r="K78" i="61" s="1"/>
  <c r="L77" i="61"/>
  <c r="D77" i="61"/>
  <c r="K77" i="61" s="1"/>
  <c r="L76" i="61"/>
  <c r="D76" i="61"/>
  <c r="K76" i="61" s="1"/>
  <c r="L75" i="61"/>
  <c r="D75" i="61"/>
  <c r="K75" i="61" s="1"/>
  <c r="L74" i="61"/>
  <c r="D74" i="61"/>
  <c r="K74" i="61" s="1"/>
  <c r="L73" i="61"/>
  <c r="D73" i="61"/>
  <c r="K73" i="61" s="1"/>
  <c r="L72" i="61"/>
  <c r="D72" i="61"/>
  <c r="K72" i="61" s="1"/>
  <c r="L71" i="61"/>
  <c r="D71" i="61"/>
  <c r="K71" i="61" s="1"/>
  <c r="L70" i="61"/>
  <c r="D70" i="61"/>
  <c r="K70" i="61" s="1"/>
  <c r="L69" i="61"/>
  <c r="D69" i="61"/>
  <c r="K69" i="61" s="1"/>
  <c r="L68" i="61"/>
  <c r="D68" i="61"/>
  <c r="K68" i="61" s="1"/>
  <c r="L67" i="61"/>
  <c r="D67" i="61"/>
  <c r="K67" i="61" s="1"/>
  <c r="L66" i="61"/>
  <c r="D66" i="61"/>
  <c r="K66" i="61" s="1"/>
  <c r="L65" i="61"/>
  <c r="D65" i="61"/>
  <c r="K65" i="61" s="1"/>
  <c r="L64" i="61"/>
  <c r="D64" i="61"/>
  <c r="K64" i="61" s="1"/>
  <c r="L63" i="61"/>
  <c r="D63" i="61"/>
  <c r="K63" i="61" s="1"/>
  <c r="L62" i="61"/>
  <c r="D62" i="61"/>
  <c r="K62" i="61" s="1"/>
  <c r="L61" i="61"/>
  <c r="D61" i="61"/>
  <c r="K61" i="61" s="1"/>
  <c r="L60" i="61"/>
  <c r="D60" i="61"/>
  <c r="K60" i="61" s="1"/>
  <c r="L59" i="61"/>
  <c r="D59" i="61"/>
  <c r="K59" i="61" s="1"/>
  <c r="L58" i="61"/>
  <c r="D58" i="61"/>
  <c r="K58" i="61" s="1"/>
  <c r="L57" i="61"/>
  <c r="D57" i="61"/>
  <c r="K57" i="61" s="1"/>
  <c r="L56" i="61"/>
  <c r="D56" i="61"/>
  <c r="K56" i="61" s="1"/>
  <c r="L55" i="61"/>
  <c r="D55" i="61"/>
  <c r="K55" i="61" s="1"/>
  <c r="L54" i="61"/>
  <c r="D54" i="61"/>
  <c r="K54" i="61" s="1"/>
  <c r="L53" i="61"/>
  <c r="D53" i="61"/>
  <c r="K53" i="61" s="1"/>
  <c r="L52" i="61"/>
  <c r="D52" i="61"/>
  <c r="K52" i="61" s="1"/>
  <c r="L51" i="61"/>
  <c r="D51" i="61"/>
  <c r="K51" i="61" s="1"/>
  <c r="L50" i="61"/>
  <c r="D50" i="61"/>
  <c r="K50" i="61" s="1"/>
  <c r="L49" i="61"/>
  <c r="D49" i="61"/>
  <c r="K49" i="61" s="1"/>
  <c r="L48" i="61"/>
  <c r="D48" i="61"/>
  <c r="K48" i="61" s="1"/>
  <c r="L47" i="61"/>
  <c r="D47" i="61"/>
  <c r="K47" i="61" s="1"/>
  <c r="L46" i="61"/>
  <c r="D46" i="61"/>
  <c r="K46" i="61" s="1"/>
  <c r="L45" i="61"/>
  <c r="D45" i="61"/>
  <c r="K45" i="61" s="1"/>
  <c r="L44" i="61"/>
  <c r="D44" i="61"/>
  <c r="K44" i="61" s="1"/>
  <c r="L43" i="61"/>
  <c r="D43" i="61"/>
  <c r="K43" i="61" s="1"/>
  <c r="L42" i="61"/>
  <c r="D42" i="61"/>
  <c r="K42" i="61" s="1"/>
  <c r="L41" i="61"/>
  <c r="D41" i="61"/>
  <c r="K41" i="61" s="1"/>
  <c r="L40" i="61"/>
  <c r="D40" i="61"/>
  <c r="K40" i="61" s="1"/>
  <c r="L39" i="61"/>
  <c r="D39" i="61"/>
  <c r="K39" i="61" s="1"/>
  <c r="L38" i="61"/>
  <c r="D38" i="61"/>
  <c r="K38" i="61" s="1"/>
  <c r="L37" i="61"/>
  <c r="D37" i="61"/>
  <c r="K37" i="61" s="1"/>
  <c r="L36" i="61"/>
  <c r="D36" i="61"/>
  <c r="K36" i="61" s="1"/>
  <c r="L35" i="61"/>
  <c r="D35" i="61"/>
  <c r="K35" i="61" s="1"/>
  <c r="L34" i="61"/>
  <c r="D34" i="61"/>
  <c r="K34" i="61" s="1"/>
  <c r="L33" i="61"/>
  <c r="D33" i="61"/>
  <c r="K33" i="61" s="1"/>
  <c r="L32" i="61"/>
  <c r="D32" i="61"/>
  <c r="K32" i="61" s="1"/>
  <c r="L31" i="61"/>
  <c r="D31" i="61"/>
  <c r="K31" i="61" s="1"/>
  <c r="L30" i="61"/>
  <c r="D30" i="61"/>
  <c r="K30" i="61" s="1"/>
  <c r="L29" i="61"/>
  <c r="D29" i="61"/>
  <c r="K29" i="61" s="1"/>
  <c r="L28" i="61"/>
  <c r="D28" i="61"/>
  <c r="K28" i="61" s="1"/>
  <c r="L27" i="61"/>
  <c r="D27" i="61"/>
  <c r="K27" i="61" s="1"/>
  <c r="L26" i="61"/>
  <c r="D26" i="61"/>
  <c r="K26" i="61" s="1"/>
  <c r="L25" i="61"/>
  <c r="D25" i="61"/>
  <c r="K25" i="61" s="1"/>
  <c r="L24" i="61"/>
  <c r="D24" i="61"/>
  <c r="K24" i="61" s="1"/>
  <c r="L23" i="61"/>
  <c r="D23" i="61"/>
  <c r="K23" i="61" s="1"/>
  <c r="L22" i="61"/>
  <c r="D22" i="61"/>
  <c r="K22" i="61" s="1"/>
  <c r="J11" i="61"/>
  <c r="J9" i="61"/>
  <c r="O22" i="19"/>
  <c r="N22" i="19"/>
  <c r="O19" i="19"/>
  <c r="E13" i="19"/>
  <c r="E11" i="19"/>
  <c r="S121" i="58"/>
  <c r="O121" i="58"/>
  <c r="D121" i="58"/>
  <c r="M121" i="58" s="1"/>
  <c r="U121" i="58" s="1"/>
  <c r="C121" i="58"/>
  <c r="S120" i="58"/>
  <c r="O120" i="58"/>
  <c r="D120" i="58"/>
  <c r="M120" i="58" s="1"/>
  <c r="U120" i="58" s="1"/>
  <c r="C120" i="58"/>
  <c r="S119" i="58"/>
  <c r="O119" i="58"/>
  <c r="D119" i="58"/>
  <c r="M119" i="58" s="1"/>
  <c r="U119" i="58" s="1"/>
  <c r="C119" i="58"/>
  <c r="S118" i="58"/>
  <c r="O118" i="58"/>
  <c r="D118" i="58"/>
  <c r="M118" i="58" s="1"/>
  <c r="U118" i="58" s="1"/>
  <c r="C118" i="58"/>
  <c r="S117" i="58"/>
  <c r="O117" i="58"/>
  <c r="D117" i="58"/>
  <c r="M117" i="58" s="1"/>
  <c r="U117" i="58" s="1"/>
  <c r="C117" i="58"/>
  <c r="S109" i="58"/>
  <c r="R109" i="58"/>
  <c r="O109" i="58"/>
  <c r="D109" i="58"/>
  <c r="M109" i="58" s="1"/>
  <c r="U109" i="58" s="1"/>
  <c r="C109" i="58"/>
  <c r="S115" i="58"/>
  <c r="O115" i="58"/>
  <c r="D115" i="58"/>
  <c r="M115" i="58" s="1"/>
  <c r="C115" i="58"/>
  <c r="O114" i="58"/>
  <c r="D114" i="58"/>
  <c r="M114" i="58" s="1"/>
  <c r="C114" i="58"/>
  <c r="O113" i="58"/>
  <c r="D113" i="58"/>
  <c r="M113" i="58" s="1"/>
  <c r="C113" i="58"/>
  <c r="S112" i="58"/>
  <c r="O112" i="58"/>
  <c r="D112" i="58"/>
  <c r="M112" i="58" s="1"/>
  <c r="U112" i="58" s="1"/>
  <c r="C112" i="58"/>
  <c r="S111" i="58"/>
  <c r="R111" i="58"/>
  <c r="O111" i="58"/>
  <c r="D111" i="58"/>
  <c r="M111" i="58" s="1"/>
  <c r="U111" i="58" s="1"/>
  <c r="C111" i="58"/>
  <c r="U110" i="58"/>
  <c r="R110" i="58"/>
  <c r="O110" i="58"/>
  <c r="M110" i="58"/>
  <c r="U76" i="58"/>
  <c r="S76" i="58"/>
  <c r="R76" i="58"/>
  <c r="O76" i="58"/>
  <c r="D76" i="58"/>
  <c r="M76" i="58" s="1"/>
  <c r="C76" i="58"/>
  <c r="U75" i="58"/>
  <c r="S75" i="58"/>
  <c r="R75" i="58"/>
  <c r="O75" i="58"/>
  <c r="D75" i="58"/>
  <c r="M75" i="58" s="1"/>
  <c r="C75" i="58"/>
  <c r="U74" i="58"/>
  <c r="S74" i="58"/>
  <c r="R74" i="58"/>
  <c r="O74" i="58"/>
  <c r="D74" i="58"/>
  <c r="M74" i="58" s="1"/>
  <c r="C74" i="58"/>
  <c r="U73" i="58"/>
  <c r="S73" i="58"/>
  <c r="R73" i="58"/>
  <c r="O73" i="58"/>
  <c r="D73" i="58"/>
  <c r="M73" i="58" s="1"/>
  <c r="C73" i="58"/>
  <c r="U72" i="58"/>
  <c r="S72" i="58"/>
  <c r="R72" i="58"/>
  <c r="O72" i="58"/>
  <c r="D72" i="58"/>
  <c r="M72" i="58" s="1"/>
  <c r="C72" i="58"/>
  <c r="U71" i="58"/>
  <c r="S71" i="58"/>
  <c r="R71" i="58"/>
  <c r="O71" i="58"/>
  <c r="D71" i="58"/>
  <c r="M71" i="58" s="1"/>
  <c r="C71" i="58"/>
  <c r="U70" i="58"/>
  <c r="S70" i="58"/>
  <c r="R70" i="58"/>
  <c r="O70" i="58"/>
  <c r="D70" i="58"/>
  <c r="M70" i="58" s="1"/>
  <c r="C70" i="58"/>
  <c r="U69" i="58"/>
  <c r="S69" i="58"/>
  <c r="R69" i="58"/>
  <c r="O69" i="58"/>
  <c r="D69" i="58"/>
  <c r="M69" i="58" s="1"/>
  <c r="C69" i="58"/>
  <c r="U68" i="58"/>
  <c r="S68" i="58"/>
  <c r="R68" i="58"/>
  <c r="O68" i="58"/>
  <c r="D68" i="58"/>
  <c r="M68" i="58" s="1"/>
  <c r="C68" i="58"/>
  <c r="U67" i="58"/>
  <c r="S67" i="58"/>
  <c r="R67" i="58"/>
  <c r="O67" i="58"/>
  <c r="M67" i="58"/>
  <c r="U66" i="58"/>
  <c r="S66" i="58"/>
  <c r="R66" i="58"/>
  <c r="O66" i="58"/>
  <c r="D66" i="58"/>
  <c r="M66" i="58" s="1"/>
  <c r="C66" i="58"/>
  <c r="U65" i="58"/>
  <c r="S65" i="58"/>
  <c r="R65" i="58"/>
  <c r="O65" i="58"/>
  <c r="D65" i="58"/>
  <c r="M65" i="58" s="1"/>
  <c r="C65" i="58"/>
  <c r="U64" i="58"/>
  <c r="S64" i="58"/>
  <c r="R64" i="58"/>
  <c r="O64" i="58"/>
  <c r="D64" i="58"/>
  <c r="M64" i="58" s="1"/>
  <c r="C64" i="58"/>
  <c r="U63" i="58"/>
  <c r="S63" i="58"/>
  <c r="R63" i="58"/>
  <c r="O63" i="58"/>
  <c r="D63" i="58"/>
  <c r="M63" i="58" s="1"/>
  <c r="C63" i="58"/>
  <c r="U62" i="58"/>
  <c r="S62" i="58"/>
  <c r="R62" i="58"/>
  <c r="O62" i="58"/>
  <c r="M62" i="58"/>
  <c r="U61" i="58"/>
  <c r="S61" i="58"/>
  <c r="R61" i="58"/>
  <c r="O61" i="58"/>
  <c r="D61" i="58"/>
  <c r="M61" i="58" s="1"/>
  <c r="C61" i="58"/>
  <c r="U60" i="58"/>
  <c r="S60" i="58"/>
  <c r="R60" i="58"/>
  <c r="O60" i="58"/>
  <c r="D60" i="58"/>
  <c r="M60" i="58" s="1"/>
  <c r="C60" i="58"/>
  <c r="R59" i="58"/>
  <c r="O59" i="58"/>
  <c r="D59" i="58"/>
  <c r="M59" i="58" s="1"/>
  <c r="U59" i="58" s="1"/>
  <c r="C59" i="58"/>
  <c r="U58" i="58"/>
  <c r="S58" i="58"/>
  <c r="R58" i="58"/>
  <c r="O58" i="58"/>
  <c r="D58" i="58"/>
  <c r="M58" i="58" s="1"/>
  <c r="C58" i="58"/>
  <c r="U57" i="58"/>
  <c r="S57" i="58"/>
  <c r="R57" i="58"/>
  <c r="O57" i="58"/>
  <c r="D57" i="58"/>
  <c r="M57" i="58" s="1"/>
  <c r="C57" i="58"/>
  <c r="U56" i="58"/>
  <c r="S56" i="58"/>
  <c r="R56" i="58"/>
  <c r="O56" i="58"/>
  <c r="D56" i="58"/>
  <c r="M56" i="58" s="1"/>
  <c r="C56" i="58"/>
  <c r="U55" i="58"/>
  <c r="S55" i="58"/>
  <c r="R55" i="58"/>
  <c r="O55" i="58"/>
  <c r="D55" i="58"/>
  <c r="M55" i="58" s="1"/>
  <c r="C55" i="58"/>
  <c r="U54" i="58"/>
  <c r="S54" i="58"/>
  <c r="R54" i="58"/>
  <c r="O54" i="58"/>
  <c r="D54" i="58"/>
  <c r="M54" i="58" s="1"/>
  <c r="C54" i="58"/>
  <c r="U53" i="58"/>
  <c r="S53" i="58"/>
  <c r="R53" i="58"/>
  <c r="O53" i="58"/>
  <c r="D53" i="58"/>
  <c r="M53" i="58" s="1"/>
  <c r="C53" i="58"/>
  <c r="U52" i="58"/>
  <c r="S52" i="58"/>
  <c r="R52" i="58"/>
  <c r="O52" i="58"/>
  <c r="D52" i="58"/>
  <c r="M52" i="58" s="1"/>
  <c r="C52" i="58"/>
  <c r="U51" i="58"/>
  <c r="S51" i="58"/>
  <c r="R51" i="58"/>
  <c r="O51" i="58"/>
  <c r="D51" i="58"/>
  <c r="M51" i="58" s="1"/>
  <c r="C51" i="58"/>
  <c r="U50" i="58"/>
  <c r="S50" i="58"/>
  <c r="R50" i="58"/>
  <c r="O50" i="58"/>
  <c r="D50" i="58"/>
  <c r="M50" i="58" s="1"/>
  <c r="C50" i="58"/>
  <c r="U49" i="58"/>
  <c r="S49" i="58"/>
  <c r="R49" i="58"/>
  <c r="O49" i="58"/>
  <c r="D49" i="58"/>
  <c r="M49" i="58" s="1"/>
  <c r="C49" i="58"/>
  <c r="U48" i="58"/>
  <c r="S48" i="58"/>
  <c r="R48" i="58"/>
  <c r="O48" i="58"/>
  <c r="D48" i="58"/>
  <c r="M48" i="58" s="1"/>
  <c r="C48" i="58"/>
  <c r="U47" i="58"/>
  <c r="S47" i="58"/>
  <c r="R47" i="58"/>
  <c r="O47" i="58"/>
  <c r="D47" i="58"/>
  <c r="M47" i="58" s="1"/>
  <c r="C47" i="58"/>
  <c r="U46" i="58"/>
  <c r="S46" i="58"/>
  <c r="R46" i="58"/>
  <c r="O46" i="58"/>
  <c r="D46" i="58"/>
  <c r="M46" i="58" s="1"/>
  <c r="C46" i="58"/>
  <c r="U45" i="58"/>
  <c r="S45" i="58"/>
  <c r="R45" i="58"/>
  <c r="O45" i="58"/>
  <c r="D45" i="58"/>
  <c r="M45" i="58" s="1"/>
  <c r="C45" i="58"/>
  <c r="U44" i="58"/>
  <c r="S44" i="58"/>
  <c r="R44" i="58"/>
  <c r="O44" i="58"/>
  <c r="D44" i="58"/>
  <c r="M44" i="58" s="1"/>
  <c r="C44" i="58"/>
  <c r="U43" i="58"/>
  <c r="S43" i="58"/>
  <c r="R43" i="58"/>
  <c r="O43" i="58"/>
  <c r="D43" i="58"/>
  <c r="M43" i="58" s="1"/>
  <c r="C43" i="58"/>
  <c r="U42" i="58"/>
  <c r="S42" i="58"/>
  <c r="R42" i="58"/>
  <c r="O42" i="58"/>
  <c r="D42" i="58"/>
  <c r="M42" i="58" s="1"/>
  <c r="C42" i="58"/>
  <c r="S103" i="58"/>
  <c r="R103" i="58"/>
  <c r="O103" i="58"/>
  <c r="D103" i="58"/>
  <c r="M103" i="58" s="1"/>
  <c r="C103" i="58"/>
  <c r="S101" i="58"/>
  <c r="R101" i="58"/>
  <c r="O101" i="58"/>
  <c r="D101" i="58"/>
  <c r="M101" i="58" s="1"/>
  <c r="U101" i="58" s="1"/>
  <c r="C101" i="58"/>
  <c r="U41" i="58"/>
  <c r="S41" i="58"/>
  <c r="R41" i="58"/>
  <c r="O41" i="58"/>
  <c r="D41" i="58"/>
  <c r="M41" i="58" s="1"/>
  <c r="C41" i="58"/>
  <c r="U40" i="58"/>
  <c r="S40" i="58"/>
  <c r="R40" i="58"/>
  <c r="O40" i="58"/>
  <c r="D40" i="58"/>
  <c r="M40" i="58" s="1"/>
  <c r="C40" i="58"/>
  <c r="U39" i="58"/>
  <c r="S39" i="58"/>
  <c r="R39" i="58"/>
  <c r="O39" i="58"/>
  <c r="D39" i="58"/>
  <c r="M39" i="58" s="1"/>
  <c r="C39" i="58"/>
  <c r="U38" i="58"/>
  <c r="S38" i="58"/>
  <c r="R38" i="58"/>
  <c r="O38" i="58"/>
  <c r="D38" i="58"/>
  <c r="M38" i="58" s="1"/>
  <c r="C38" i="58"/>
  <c r="U37" i="58"/>
  <c r="S37" i="58"/>
  <c r="R37" i="58"/>
  <c r="O37" i="58"/>
  <c r="D37" i="58"/>
  <c r="M37" i="58" s="1"/>
  <c r="C37" i="58"/>
  <c r="U36" i="58"/>
  <c r="S36" i="58"/>
  <c r="R36" i="58"/>
  <c r="O36" i="58"/>
  <c r="D36" i="58"/>
  <c r="M36" i="58" s="1"/>
  <c r="C36" i="58"/>
  <c r="U35" i="58"/>
  <c r="S35" i="58"/>
  <c r="R35" i="58"/>
  <c r="O35" i="58"/>
  <c r="D35" i="58"/>
  <c r="M35" i="58" s="1"/>
  <c r="C35" i="58"/>
  <c r="S100" i="58"/>
  <c r="O100" i="58"/>
  <c r="D100" i="58"/>
  <c r="M100" i="58" s="1"/>
  <c r="C100" i="58"/>
  <c r="U34" i="58"/>
  <c r="S34" i="58"/>
  <c r="R34" i="58"/>
  <c r="O34" i="58"/>
  <c r="D34" i="58"/>
  <c r="M34" i="58" s="1"/>
  <c r="C34" i="58"/>
  <c r="U33" i="58"/>
  <c r="S33" i="58"/>
  <c r="O33" i="58"/>
  <c r="D33" i="58"/>
  <c r="M33" i="58" s="1"/>
  <c r="C33" i="58"/>
  <c r="U32" i="58"/>
  <c r="S32" i="58"/>
  <c r="R32" i="58"/>
  <c r="O32" i="58"/>
  <c r="M32" i="58"/>
  <c r="U31" i="58"/>
  <c r="S31" i="58"/>
  <c r="R31" i="58"/>
  <c r="O31" i="58"/>
  <c r="D31" i="58"/>
  <c r="M31" i="58" s="1"/>
  <c r="C31" i="58"/>
  <c r="U30" i="58"/>
  <c r="S30" i="58"/>
  <c r="O30" i="58"/>
  <c r="D30" i="58"/>
  <c r="M30" i="58" s="1"/>
  <c r="C30" i="58"/>
  <c r="U29" i="58"/>
  <c r="S29" i="58"/>
  <c r="O29" i="58"/>
  <c r="D29" i="58"/>
  <c r="M29" i="58" s="1"/>
  <c r="C29" i="58"/>
  <c r="U28" i="58"/>
  <c r="S28" i="58"/>
  <c r="R28" i="58"/>
  <c r="O28" i="58"/>
  <c r="D28" i="58"/>
  <c r="M28" i="58" s="1"/>
  <c r="C28" i="58"/>
  <c r="U27" i="58"/>
  <c r="S27" i="58"/>
  <c r="O27" i="58"/>
  <c r="D27" i="58"/>
  <c r="M27" i="58" s="1"/>
  <c r="C27" i="58"/>
  <c r="U26" i="58"/>
  <c r="S26" i="58"/>
  <c r="R26" i="58"/>
  <c r="O26" i="58"/>
  <c r="D26" i="58"/>
  <c r="M26" i="58" s="1"/>
  <c r="C26" i="58"/>
  <c r="U25" i="58"/>
  <c r="S25" i="58"/>
  <c r="R25" i="58"/>
  <c r="O25" i="58"/>
  <c r="D25" i="58"/>
  <c r="M25" i="58" s="1"/>
  <c r="C25" i="58"/>
  <c r="U24" i="58"/>
  <c r="S24" i="58"/>
  <c r="R24" i="58"/>
  <c r="O24" i="58"/>
  <c r="D24" i="58"/>
  <c r="M24" i="58" s="1"/>
  <c r="C24" i="58"/>
  <c r="S99" i="58"/>
  <c r="O99" i="58"/>
  <c r="D99" i="58"/>
  <c r="M99" i="58" s="1"/>
  <c r="U99" i="58" s="1"/>
  <c r="M12" i="58"/>
  <c r="M10" i="58"/>
  <c r="U122" i="58" l="1"/>
  <c r="L20" i="19" s="1"/>
  <c r="AA22" i="62"/>
  <c r="AA21" i="62"/>
  <c r="AA27" i="62"/>
  <c r="AA34" i="62"/>
  <c r="AA33" i="62"/>
  <c r="AA37" i="62"/>
  <c r="AA29" i="62"/>
  <c r="AA38" i="62"/>
  <c r="AA23" i="62"/>
  <c r="AA20" i="62"/>
  <c r="AA54" i="62" s="1"/>
  <c r="AA44" i="62"/>
  <c r="AA41" i="62"/>
  <c r="AA39" i="62"/>
  <c r="AA43" i="62"/>
  <c r="AA40" i="62"/>
  <c r="AA35" i="62"/>
  <c r="AA36" i="62"/>
  <c r="L313" i="61"/>
  <c r="L21" i="19" s="1"/>
  <c r="N21" i="19" s="1"/>
  <c r="O21" i="19" s="1"/>
  <c r="L24" i="19" l="1"/>
  <c r="N20" i="19"/>
  <c r="O20" i="19" l="1"/>
  <c r="N24" i="19"/>
  <c r="O24" i="19" s="1"/>
</calcChain>
</file>

<file path=xl/sharedStrings.xml><?xml version="1.0" encoding="utf-8"?>
<sst xmlns="http://schemas.openxmlformats.org/spreadsheetml/2006/main" count="12643" uniqueCount="1992">
  <si>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</si>
  <si>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</si>
  <si>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</si>
  <si>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</si>
  <si>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</si>
  <si>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</si>
  <si>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</si>
  <si>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</si>
  <si>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</si>
  <si>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</si>
  <si>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</si>
  <si>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</si>
  <si>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</si>
  <si>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</si>
  <si>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</si>
  <si>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</si>
  <si>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</si>
  <si>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</si>
  <si>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</si>
  <si>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</si>
  <si>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</si>
  <si>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</si>
  <si>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</si>
  <si>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</si>
  <si>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</si>
  <si>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rPr>
        <sz val="11"/>
        <color rgb="FF000000"/>
        <rFont val="Tahoma"/>
        <family val="2"/>
      </rPr>
      <t>1</t>
    </r>
    <r>
      <rPr>
        <vertAlign val="superscript"/>
        <sz val="11"/>
        <color indexed="8"/>
        <rFont val="Tahoma"/>
        <family val="2"/>
      </rPr>
      <t>st</t>
    </r>
    <r>
      <rPr>
        <sz val="11"/>
        <color indexed="8"/>
        <rFont val="Tahoma"/>
        <family val="2"/>
      </rPr>
      <t xml:space="preserve"> level of Uptime Target (TRKPI)</t>
    </r>
  </si>
  <si>
    <r>
      <rPr>
        <sz val="11"/>
        <color theme="1"/>
        <rFont val="Tahoma"/>
        <family val="2"/>
      </rP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</si>
  <si>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</si>
  <si>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</si>
  <si>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</si>
  <si>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</si>
  <si>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t>
  </si>
  <si>
    <t>Tarikh</t>
  </si>
  <si>
    <t>Hari</t>
  </si>
  <si>
    <t>Cuti</t>
  </si>
  <si>
    <t>Negeri Berkenaan</t>
  </si>
  <si>
    <t>Khamis</t>
  </si>
  <si>
    <t>Tahun Baru</t>
  </si>
  <si>
    <t>Putrajaya</t>
  </si>
  <si>
    <t>Selasa</t>
  </si>
  <si>
    <t>Tahun Baru Cina</t>
  </si>
  <si>
    <t>Rabu</t>
  </si>
  <si>
    <t>Tahun Baru Cina Hari Kedua</t>
  </si>
  <si>
    <t>Isnin</t>
  </si>
  <si>
    <t>Hari Wilayah Persekutuan</t>
  </si>
  <si>
    <t>Hari Thaipusam</t>
  </si>
  <si>
    <t>Sabtu</t>
  </si>
  <si>
    <t>Hari Nuzul Al-Quran</t>
  </si>
  <si>
    <t>Hari Raya Aidilfitri</t>
  </si>
  <si>
    <t>Ahad</t>
  </si>
  <si>
    <t>Hari Raya Aidilfitri Hari Kedua</t>
  </si>
  <si>
    <t>Jumaat</t>
  </si>
  <si>
    <t>Hari Pekerja</t>
  </si>
  <si>
    <t>Hari Wesak</t>
  </si>
  <si>
    <t>Hari Keputeraan YDP Agong</t>
  </si>
  <si>
    <t>Hari Raya Haji</t>
  </si>
  <si>
    <t>Hari Raya Haji Kedua</t>
  </si>
  <si>
    <t>Awal Muharram</t>
  </si>
  <si>
    <t>Hari Kebangsaan</t>
  </si>
  <si>
    <t>Maulidur Rasul</t>
  </si>
  <si>
    <t>Hari Malaysia</t>
  </si>
  <si>
    <t>Hari Deepavali</t>
  </si>
  <si>
    <t>Cuti Hari Deepavali</t>
  </si>
  <si>
    <t>Hari Krismas</t>
  </si>
  <si>
    <t>* Subject to change (Tertakluk kepada perubahan), TBC - To be confirmed</t>
  </si>
  <si>
    <t>MINISTRY OF HEALTH</t>
  </si>
  <si>
    <r>
      <rPr>
        <b/>
        <sz val="14"/>
        <rFont val="Arial"/>
        <family val="2"/>
      </rPr>
      <t>Deduction Mapping Report</t>
    </r>
    <r>
      <rPr>
        <sz val="8"/>
        <color theme="1"/>
        <rFont val="Calibri"/>
        <family val="2"/>
        <scheme val="minor"/>
      </rPr>
      <t xml:space="preserve">
</t>
    </r>
    <r>
      <rPr>
        <sz val="12"/>
        <color theme="1"/>
        <rFont val="Calibri"/>
        <family val="2"/>
        <scheme val="minor"/>
      </rPr>
      <t>Biomedical Engineering Maintenance Services (BEMS)</t>
    </r>
  </si>
  <si>
    <t>HOSPITAL NAME :</t>
  </si>
  <si>
    <t>Institut Kanser Negara</t>
  </si>
  <si>
    <t xml:space="preserve">STATE: </t>
  </si>
  <si>
    <t>W.P. Putrajaya</t>
  </si>
  <si>
    <t>MONTH/YEAR :</t>
  </si>
  <si>
    <t xml:space="preserve">COMPANY: </t>
  </si>
  <si>
    <t>Ambang Wira Sdn Bhd</t>
  </si>
  <si>
    <t/>
  </si>
  <si>
    <t>MONTHLY SERVICE FEE (RM) :</t>
  </si>
  <si>
    <t>BEMS MONTHLY FEE (RM) @ 97.5%   :</t>
  </si>
  <si>
    <t>FMS MONTHLY FEE (RM) @ 2.5%   :</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</si>
  <si>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</si>
  <si>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</si>
  <si>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</si>
  <si>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</si>
  <si>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</si>
  <si>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</si>
  <si>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</si>
  <si>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</si>
  <si>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</si>
  <si>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</si>
  <si>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</si>
  <si>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</si>
  <si>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</si>
  <si>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</si>
  <si>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Siti Norsaliana Binti Abu Khalid</t>
  </si>
  <si>
    <t>Mohd Shahrulnizam bin Tarmizi</t>
  </si>
  <si>
    <t>Head of BEMS</t>
  </si>
  <si>
    <t>Facility Manager</t>
  </si>
  <si>
    <t>Ambang Wira Sdn Bhd- Institut Kanser Negara</t>
  </si>
  <si>
    <t xml:space="preserve">Date: </t>
  </si>
  <si>
    <r>
      <rPr>
        <b/>
        <sz val="28"/>
        <rFont val="Arial"/>
        <family val="2"/>
      </rPr>
      <t xml:space="preserve">Deduction Mapping Report
</t>
    </r>
    <r>
      <rPr>
        <sz val="28"/>
        <rFont val="Calibri"/>
        <family val="2"/>
        <scheme val="minor"/>
      </rPr>
      <t>Biomedical Engineering Maintenance Services (BEMS)</t>
    </r>
  </si>
  <si>
    <t>INDICATOR B.1  RESPONSE TIME &amp; B.2 REPAIR TIME</t>
  </si>
  <si>
    <t>HOSPITAL NAME:</t>
  </si>
  <si>
    <t>INSTITUT KANSER NEGARA</t>
  </si>
  <si>
    <t>FIRST DATE OF THE MONTH :</t>
  </si>
  <si>
    <t>(For Calculation)</t>
  </si>
  <si>
    <t>STATE:</t>
  </si>
  <si>
    <t>WILAYAH PERSEKUTUAN  PUTRAJAYA</t>
  </si>
  <si>
    <t>LAST DATE OF THE MONTH :</t>
  </si>
  <si>
    <t>COMPANY:</t>
  </si>
  <si>
    <t>AMBANG WIRA SDN BHD</t>
  </si>
  <si>
    <t>BEMS MONTHLY FEE (RM)
@ 97.5%   :</t>
  </si>
  <si>
    <t>MONTH/YEAR:</t>
  </si>
  <si>
    <t>FMS MONTHLY FEE (RM)
@ 2.5%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</si>
  <si>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</si>
  <si>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</si>
  <si>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</si>
  <si>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</si>
  <si>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</si>
  <si>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</si>
  <si>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Asset No</t>
  </si>
  <si>
    <t>Asset Description</t>
  </si>
  <si>
    <t>Asset Purchase Price (RM)</t>
  </si>
  <si>
    <t>Work Order No.</t>
  </si>
  <si>
    <t>User Location</t>
  </si>
  <si>
    <t>Work Order/ Complaint Details</t>
  </si>
  <si>
    <t>Response Category
(Emergency/ Normal)</t>
  </si>
  <si>
    <t>Total Response Time
(minutes)</t>
  </si>
  <si>
    <t>Work Request  Date</t>
  </si>
  <si>
    <t>Response Time (Minutes)</t>
  </si>
  <si>
    <t>Work Completion Date</t>
  </si>
  <si>
    <t>Deduction Ringgit Equivalent
(RM)</t>
  </si>
  <si>
    <t>Indicator B.1</t>
  </si>
  <si>
    <t>Indicator B.2</t>
  </si>
  <si>
    <t>Validate Status
(Y/N)</t>
  </si>
  <si>
    <t>Deduction Value (RM)</t>
  </si>
  <si>
    <t>Remarks/ Exemption</t>
  </si>
  <si>
    <t>Total Repair Time (day)</t>
  </si>
  <si>
    <t>Last date of 7 working days
(dd/mm/yy)</t>
  </si>
  <si>
    <t>Demerit Point</t>
  </si>
  <si>
    <t>Current Month (Work Order Completed)</t>
  </si>
  <si>
    <t>N</t>
  </si>
  <si>
    <t>Y</t>
  </si>
  <si>
    <t>Current Month (Work Order Open)</t>
  </si>
  <si>
    <t>Previous Month (Work Order Closed)</t>
  </si>
  <si>
    <t>IKN400422</t>
  </si>
  <si>
    <t>Infusion Pumps, General-Purpose</t>
  </si>
  <si>
    <t>IKNWIBE25023728</t>
  </si>
  <si>
    <t>06WD153</t>
  </si>
  <si>
    <t>INFUSION PUMP SCREEN TAK KELUAR TULISAN - WAD 6B</t>
  </si>
  <si>
    <t>0 days, 0 hrs, 54 mins</t>
  </si>
  <si>
    <t>27-Dec-2025 14:50:00</t>
  </si>
  <si>
    <t>IKN400653</t>
  </si>
  <si>
    <t>IKNWIBE26002388</t>
  </si>
  <si>
    <t>04DO131</t>
  </si>
  <si>
    <t>CUFF BP SET TIDAK BERFUNGSI</t>
  </si>
  <si>
    <t>Normal</t>
  </si>
  <si>
    <t>0 days, 0 hrs, 22 mins</t>
  </si>
  <si>
    <t>05-Feb-2026 20:08:00</t>
  </si>
  <si>
    <t>02-Apr-2026 16:00:00</t>
  </si>
  <si>
    <t>IKN402184</t>
  </si>
  <si>
    <t>IKNWIBE26004149</t>
  </si>
  <si>
    <t>03NM161</t>
  </si>
  <si>
    <t>USER REQ- CHECKING ECG</t>
  </si>
  <si>
    <t>0 days, 0 hrs, 10 mins</t>
  </si>
  <si>
    <t>03-Mar-2026 15:00:00</t>
  </si>
  <si>
    <t>ECG CABLE FAULTY.
WAITING PARTS FROM VENDOR(MYTECH ESSENTIALS)
QUO : 6/3/2026
PO : 71518 ; 11/3/2026
ETA : End of April</t>
  </si>
  <si>
    <t>IKN400293</t>
  </si>
  <si>
    <t>IKNWIBE26005774</t>
  </si>
  <si>
    <t>08WH121</t>
  </si>
  <si>
    <t>MACHINE SPO2 BATTERY FAULT- 8B</t>
  </si>
  <si>
    <t>26-Mar-2026 08:08:00</t>
  </si>
  <si>
    <t>26-Mar-2026 08:30:00</t>
  </si>
  <si>
    <t>01-Apr-2026 13:00:00</t>
  </si>
  <si>
    <t>M-REPLACE NEW BATTERY .PROPOSE UNIT TO BER DUE TO AUDATED TECHNOLOGY. Closed on 1/4/2026</t>
  </si>
  <si>
    <t>IKN400029</t>
  </si>
  <si>
    <t>IKNWIBE26005898</t>
  </si>
  <si>
    <t>05IC140</t>
  </si>
  <si>
    <t>NO LAN CONNECTION</t>
  </si>
  <si>
    <t>0 days, 1 hrs, 00 mins</t>
  </si>
  <si>
    <t>27-Mar-2026 08:00:00</t>
  </si>
  <si>
    <t>NO CONNECTION, LAN CABLE . CREATE IP ADDRESS AND ADJUST THE CONNECTOR OF INTERNET BOX.</t>
  </si>
  <si>
    <t>IKN400722</t>
  </si>
  <si>
    <t>IKNWIBE26005982</t>
  </si>
  <si>
    <t>04LA141</t>
  </si>
  <si>
    <t>PLATELET AGITATOR LOW BATTERY &amp; HIGH TEMPERATURE - PATOLOGI ARAS 4</t>
  </si>
  <si>
    <t>30-Mar-2026 09:55:00</t>
  </si>
  <si>
    <t>TEMPERATURE HIGH FROM MACHINE, TOUP GAS AND CHECK NO LEAKING.</t>
  </si>
  <si>
    <t>Previous Month (Work Order Open)</t>
  </si>
  <si>
    <t>IKN400366</t>
  </si>
  <si>
    <t>IKNWIBE25020728</t>
  </si>
  <si>
    <t>07WE113</t>
  </si>
  <si>
    <t>INFUSION PUMP  CANNOT OPEN - WAD 7A</t>
  </si>
  <si>
    <t>0 days, 0 hrs, 30 mins</t>
  </si>
  <si>
    <t>11-Nov-2025 20:30:00</t>
  </si>
  <si>
    <t>IKN402081</t>
  </si>
  <si>
    <t>04DO111</t>
  </si>
  <si>
    <t>0 days, 0 hrs, 12 mins</t>
  </si>
  <si>
    <t>IKN400171</t>
  </si>
  <si>
    <t>IKNWIBE26002579</t>
  </si>
  <si>
    <t>05IC131</t>
  </si>
  <si>
    <t xml:space="preserve">DEVICE FAILURE </t>
  </si>
  <si>
    <t>09-Feb-2026 09:00:00</t>
  </si>
  <si>
    <t>IKN400168</t>
  </si>
  <si>
    <t>IKNWIBE26003259</t>
  </si>
  <si>
    <t>05IC115</t>
  </si>
  <si>
    <t>LCD BLANK - ICU ARAS 5</t>
  </si>
  <si>
    <t>20-Feb-2026 10:00:00</t>
  </si>
  <si>
    <t>IKN400787</t>
  </si>
  <si>
    <t>IKNWIBE26005007</t>
  </si>
  <si>
    <t>03ID106</t>
  </si>
  <si>
    <t>CM - TUBE HEAD NOT FULLY LOCK</t>
  </si>
  <si>
    <t>16-Mar-2026 14:00:00</t>
  </si>
  <si>
    <t>IKN400937</t>
  </si>
  <si>
    <t>IKNWIBE26005651</t>
  </si>
  <si>
    <t>03MC127</t>
  </si>
  <si>
    <t>BP Set Screen Blinking - MBC Aras 3</t>
  </si>
  <si>
    <t>0 days, 0 hrs, 04 mins</t>
  </si>
  <si>
    <t>24-Mar-2026 16:04:00</t>
  </si>
  <si>
    <t>IKN401007</t>
  </si>
  <si>
    <t>IKNWIBE26005707</t>
  </si>
  <si>
    <t>03MC111</t>
  </si>
  <si>
    <t>MESIN REPROCESSING KELUAR ERROR E61</t>
  </si>
  <si>
    <t>0 days, 0 hrs, 17 mins</t>
  </si>
  <si>
    <t xml:space="preserve">TOTAL DEDUCTION FOR IND. B.1: </t>
  </si>
  <si>
    <t>-</t>
  </si>
  <si>
    <t>TOTAL DEDUCTION FOR IND. B.2:</t>
  </si>
  <si>
    <t xml:space="preserve">                                                                                                                                                                                                                                                                                                                                                                                                                                                                                                                                                                                                                                                                                                                                                                                                                                                                                                                                                                                                                                                                                                                                                                                                                                                                                                                                                                                                                                                                                                                                                                                                                                                                                                                                                                                                                                                                                                                                                                                                                                                                                                                                                                                                                                                                                                         </t>
  </si>
  <si>
    <r>
      <rPr>
        <b/>
        <sz val="16"/>
        <rFont val="Arial"/>
        <family val="2"/>
      </rPr>
      <t xml:space="preserve">Deduction Mapping Report
</t>
    </r>
    <r>
      <rPr>
        <sz val="16"/>
        <rFont val="Arial"/>
        <family val="2"/>
      </rPr>
      <t>Biomedical Engineering Maintenance Services (BEMS)</t>
    </r>
  </si>
  <si>
    <t>INDICATOR B.3 SCHEDULED MAINTENANCE</t>
  </si>
  <si>
    <t>STATE :</t>
  </si>
  <si>
    <t>COMPANY :</t>
  </si>
  <si>
    <t>2) Deduction Value for Indicator B.3 is Deduction Ringgit Equivalent (per event)</t>
  </si>
  <si>
    <t>3) Rescheduled Date is the final rescheduled date if there are multiple rescheduling</t>
  </si>
  <si>
    <t>4) Display only asset affected by deduction</t>
  </si>
  <si>
    <t>Scheduled Start Date</t>
  </si>
  <si>
    <t>Maintenance Date</t>
  </si>
  <si>
    <t>Rescheduled Date</t>
  </si>
  <si>
    <t>Indicator B.3</t>
  </si>
  <si>
    <t>Current Month (Closed)</t>
  </si>
  <si>
    <t>NA</t>
  </si>
  <si>
    <t>pH Meters</t>
  </si>
  <si>
    <t>Sphygmomanometers, Electronic, Automatic</t>
  </si>
  <si>
    <t>IKN400350</t>
  </si>
  <si>
    <t>Physiologic Monitoring Systems, Acute Care</t>
  </si>
  <si>
    <t>Warming Units, Patient, Forced-Air</t>
  </si>
  <si>
    <t>07WF121</t>
  </si>
  <si>
    <t>Aspirators</t>
  </si>
  <si>
    <t>Mattress Systems, Alternating-Pressure</t>
  </si>
  <si>
    <t>Laser Imagers</t>
  </si>
  <si>
    <t>Radiographic Units, Mobile</t>
  </si>
  <si>
    <t>IKN400782</t>
  </si>
  <si>
    <t>Injectors, Contrast Media</t>
  </si>
  <si>
    <t>Scanning Systems, Ultrasonic, General-Purpose</t>
  </si>
  <si>
    <t>IKN400645</t>
  </si>
  <si>
    <t>IKN400151</t>
  </si>
  <si>
    <t>IKN400439</t>
  </si>
  <si>
    <t>IKN400440</t>
  </si>
  <si>
    <t>03ID109</t>
  </si>
  <si>
    <t>Oximeters, Pulse</t>
  </si>
  <si>
    <t>Current Month (Open)</t>
  </si>
  <si>
    <t>IKN400797</t>
  </si>
  <si>
    <t>IKNWOBE26003405</t>
  </si>
  <si>
    <t>IKN402056</t>
  </si>
  <si>
    <t>Pipetters</t>
  </si>
  <si>
    <t>IKNWOBE26003443</t>
  </si>
  <si>
    <t>04LA130</t>
  </si>
  <si>
    <t>IKN402057</t>
  </si>
  <si>
    <t>IKNWOBE26003444</t>
  </si>
  <si>
    <t>IKN402058</t>
  </si>
  <si>
    <t>IKNWOBE26003445</t>
  </si>
  <si>
    <t>IKN402059</t>
  </si>
  <si>
    <t>IKNWOBE26003446</t>
  </si>
  <si>
    <t>IKN402060</t>
  </si>
  <si>
    <t>IKNWOBE26003447</t>
  </si>
  <si>
    <t>IKN402061</t>
  </si>
  <si>
    <t>IKNWOBE26003448</t>
  </si>
  <si>
    <t>IKN402062</t>
  </si>
  <si>
    <t>IKNWOBE26003449</t>
  </si>
  <si>
    <t>IKN402063</t>
  </si>
  <si>
    <t>IKNWOBE26003450</t>
  </si>
  <si>
    <t>IKN402064</t>
  </si>
  <si>
    <t>IKNWOBE26003451</t>
  </si>
  <si>
    <t>IKN402065</t>
  </si>
  <si>
    <t>IKNWOBE26003452</t>
  </si>
  <si>
    <t>IKN402070</t>
  </si>
  <si>
    <t>IKNWOBE26003453</t>
  </si>
  <si>
    <t>04LA114</t>
  </si>
  <si>
    <t>IKN400755</t>
  </si>
  <si>
    <t>Analyzers, Laboratory, Hematology, Coagulation, Automated</t>
  </si>
  <si>
    <t>IKNWOBE26003472</t>
  </si>
  <si>
    <t>04LA132</t>
  </si>
  <si>
    <t>IKN400373</t>
  </si>
  <si>
    <t>IKNWOBE26003504</t>
  </si>
  <si>
    <t>01-Apr-2026 09:00:00</t>
  </si>
  <si>
    <t>IKN400756</t>
  </si>
  <si>
    <t>IKNWOBE26003516</t>
  </si>
  <si>
    <t>IKN401228</t>
  </si>
  <si>
    <t>IKNWOBE26003518</t>
  </si>
  <si>
    <t>03WA125</t>
  </si>
  <si>
    <t>IKN401230</t>
  </si>
  <si>
    <t>IKNWOBE26003519</t>
  </si>
  <si>
    <t>IKN400337</t>
  </si>
  <si>
    <t>IKNWOBE26003531</t>
  </si>
  <si>
    <t>01-Apr-2026 10:00:00</t>
  </si>
  <si>
    <t>IKNWOBE26003536</t>
  </si>
  <si>
    <t>Calibrators, Radioisotope</t>
  </si>
  <si>
    <t>03NM153</t>
  </si>
  <si>
    <t>ASSET IN USE</t>
  </si>
  <si>
    <t>IKN400369</t>
  </si>
  <si>
    <t>IKNWOBE26004708</t>
  </si>
  <si>
    <t>01-Apr-2026 15:00:00</t>
  </si>
  <si>
    <t>Previous Month (Closed)</t>
  </si>
  <si>
    <t>IKN401071</t>
  </si>
  <si>
    <t>Video Image Processors, Endoscopic</t>
  </si>
  <si>
    <t>01RT213</t>
  </si>
  <si>
    <t>Testers</t>
  </si>
  <si>
    <t>IKN401353</t>
  </si>
  <si>
    <t>Radiographic/Fluoroscopic Units, Mobile</t>
  </si>
  <si>
    <t>Previous Month (Open)</t>
  </si>
  <si>
    <t>IKN402147</t>
  </si>
  <si>
    <t>IKNWOBE25018200</t>
  </si>
  <si>
    <t>01RT131</t>
  </si>
  <si>
    <t>IKN401277</t>
  </si>
  <si>
    <t>IKNWOBE25002671</t>
  </si>
  <si>
    <t>IKN401274</t>
  </si>
  <si>
    <t>IKNWOBE25015424</t>
  </si>
  <si>
    <t>IKN401279</t>
  </si>
  <si>
    <t>IKNWOBE25015425</t>
  </si>
  <si>
    <t>IKN401282</t>
  </si>
  <si>
    <t>IKNWOBE25015426</t>
  </si>
  <si>
    <t>IKN401278</t>
  </si>
  <si>
    <t>IKNWOBE24018322</t>
  </si>
  <si>
    <t xml:space="preserve"> </t>
  </si>
  <si>
    <t>IKN401366</t>
  </si>
  <si>
    <t>IKNWOBE25016423</t>
  </si>
  <si>
    <t>IKN401708</t>
  </si>
  <si>
    <t>IKNWOBE25016424</t>
  </si>
  <si>
    <t>IKN401213</t>
  </si>
  <si>
    <t>IKNWOBE25016421</t>
  </si>
  <si>
    <t>IKN401364</t>
  </si>
  <si>
    <t>IKNWOBE25016422</t>
  </si>
  <si>
    <t>IKN401200</t>
  </si>
  <si>
    <t>IKNWOBE25021543</t>
  </si>
  <si>
    <t>03ID169</t>
  </si>
  <si>
    <t>IKN401196</t>
  </si>
  <si>
    <t>Radiation Survey meters, ionization Chamber</t>
  </si>
  <si>
    <t>IKNWOBE26001674</t>
  </si>
  <si>
    <t>IKN400975</t>
  </si>
  <si>
    <t>IKNWOBE26001675</t>
  </si>
  <si>
    <t>01RT116</t>
  </si>
  <si>
    <t>IKN400980</t>
  </si>
  <si>
    <t>IKNWOBE26001687</t>
  </si>
  <si>
    <t>01RT118</t>
  </si>
  <si>
    <t>IKNWOBE26001870</t>
  </si>
  <si>
    <t>24-Feb-2026 00:00:00</t>
  </si>
  <si>
    <t>IKN401690</t>
  </si>
  <si>
    <t>IKNWOBE26001880</t>
  </si>
  <si>
    <t>21-Feb-2026 00:00:00</t>
  </si>
  <si>
    <t>IKN401281</t>
  </si>
  <si>
    <t>IKNWOBE26001881</t>
  </si>
  <si>
    <t>26-Feb-2026 00:00:00</t>
  </si>
  <si>
    <t>TOTAL DEDUCTION FOR IND. B.3:</t>
  </si>
  <si>
    <r>
      <rPr>
        <b/>
        <sz val="16"/>
        <rFont val="Arial"/>
        <family val="2"/>
      </rPr>
      <t>Deduction Mapping Report</t>
    </r>
    <r>
      <rPr>
        <sz val="16"/>
        <color theme="1"/>
        <rFont val="Arial"/>
        <family val="2"/>
      </rPr>
      <t xml:space="preserve">
Biomedical Engineering Maintenance Services (BEMS)</t>
    </r>
  </si>
  <si>
    <t>INDICATOR B.4 UPTIME GUARANTEE</t>
  </si>
  <si>
    <t>MONTH/YEAR  :</t>
  </si>
  <si>
    <t>BEMS MONTHLY FEE (RM)@ 97.5%  :</t>
  </si>
  <si>
    <t>FMS MONTHLY FEE (RM) @ 2.5%  :</t>
  </si>
  <si>
    <t>2) Deduction Value for 1st cut off is Deduction Ringgit Equivalent (per event)</t>
  </si>
  <si>
    <t>3) Deduction Value for 2nd cut off is Deduction Ringgit Equivalent (per event) multiply by 2</t>
  </si>
  <si>
    <t>No.</t>
  </si>
  <si>
    <t>Type Code</t>
  </si>
  <si>
    <t>Type Description</t>
  </si>
  <si>
    <t>Asset Purchase cost (RM)</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</si>
  <si>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</si>
  <si>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</si>
  <si>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</si>
  <si>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</si>
  <si>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</si>
  <si>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</si>
  <si>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</si>
  <si>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</si>
  <si>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</si>
  <si>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</si>
  <si>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</si>
  <si>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</si>
  <si>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</si>
  <si>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</si>
  <si>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</si>
  <si>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</si>
  <si>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</si>
  <si>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</si>
  <si>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</si>
  <si>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</si>
  <si>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</si>
  <si>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</si>
  <si>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16-173</t>
  </si>
  <si>
    <t>13-215</t>
  </si>
  <si>
    <t>IKN401714</t>
  </si>
  <si>
    <t>IKN400446</t>
  </si>
  <si>
    <t>IKN402165</t>
  </si>
  <si>
    <t>IKN400565</t>
  </si>
  <si>
    <t>12-649</t>
  </si>
  <si>
    <t>Physiologic Monitoring Systems, Stress Exercise</t>
  </si>
  <si>
    <t>IKN401076</t>
  </si>
  <si>
    <t>12-306</t>
  </si>
  <si>
    <t>Lavage Units, Surgical</t>
  </si>
  <si>
    <t>15-605</t>
  </si>
  <si>
    <t>Testers (Ion Chamber Set)</t>
  </si>
  <si>
    <t>18-034</t>
  </si>
  <si>
    <t>11-758</t>
  </si>
  <si>
    <t>IKN400482</t>
  </si>
  <si>
    <t>17-679</t>
  </si>
  <si>
    <t>17-429</t>
  </si>
  <si>
    <t>Ventilators, Intensive Care</t>
  </si>
  <si>
    <t>12-647</t>
  </si>
  <si>
    <t>13-272</t>
  </si>
  <si>
    <t>15-999</t>
  </si>
  <si>
    <t>Washers, Flexible Endoscope</t>
  </si>
  <si>
    <t>17-148</t>
  </si>
  <si>
    <t>15-104</t>
  </si>
  <si>
    <t>Analyzers, Laboratory, Hematology, Platelet Aggregation</t>
  </si>
  <si>
    <t>TOTAL DEDUCTION FOR IND. B.4:</t>
  </si>
  <si>
    <t>0 days, 1 hrs, 8 mins</t>
  </si>
  <si>
    <t>31-Mar-2026 09:30:00</t>
  </si>
  <si>
    <t>31-Mar-2026 10:00:00</t>
  </si>
  <si>
    <t>M-REPLACE NEW BATTERY ,UNIT TEST FUNCTIONING WELL. UNIT PROPOSE TO BER DUE TO AUDATED TECHNOLOGY</t>
  </si>
  <si>
    <t xml:space="preserve">
PO : 
ETA : </t>
  </si>
  <si>
    <t xml:space="preserve">CHARGER FAULTY
WAITING PARTS FROM VENDOR (B BROUN)
PO : 
ETA : </t>
  </si>
  <si>
    <t xml:space="preserve">LCD BOARD FAULTY
WAITING PARTS FROM VENDOR 
PO : 
ETA : </t>
  </si>
  <si>
    <t>IKN401075</t>
  </si>
  <si>
    <r>
      <rPr>
        <b/>
        <sz val="14"/>
        <rFont val="Arial"/>
        <family val="2"/>
      </rPr>
      <t xml:space="preserve">Deduction Mapping Report
</t>
    </r>
    <r>
      <rPr>
        <sz val="14"/>
        <rFont val="Arial"/>
        <family val="2"/>
      </rPr>
      <t>Biomedical Engineering Maintenance Services (BEMS)</t>
    </r>
  </si>
  <si>
    <t>INDICATOR B.5 TESTING &amp; COMMISSIONING AND WARRANTY MANAGEMENT</t>
  </si>
  <si>
    <t>BEMS MONTHLY FEE (RM) @ 97.5%  :</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</si>
  <si>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</si>
  <si>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</si>
  <si>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</si>
  <si>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</si>
  <si>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</si>
  <si>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</si>
  <si>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</si>
  <si>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</si>
  <si>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</si>
  <si>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</si>
  <si>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</si>
  <si>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</si>
  <si>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</si>
  <si>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Work Order Close</t>
  </si>
  <si>
    <t>Testing and Commissioning (T&amp;C)</t>
  </si>
  <si>
    <t>TOTAL DEDUCTION FOR IND. B.5:</t>
  </si>
  <si>
    <t>Equipments</t>
  </si>
  <si>
    <t>Group</t>
  </si>
  <si>
    <t>Operating Hours</t>
  </si>
  <si>
    <t>Operating Hours/WK (Days)</t>
  </si>
  <si>
    <t xml:space="preserve">Uptime Equipment      </t>
  </si>
  <si>
    <t xml:space="preserve">Uptime Equipment   </t>
  </si>
  <si>
    <t>&lt; 5YRS</t>
  </si>
  <si>
    <t>5-10 YRS</t>
  </si>
  <si>
    <t>&gt;10 YRS</t>
  </si>
  <si>
    <t>Therapeutics</t>
  </si>
  <si>
    <t>Alternating Pressure Mattress</t>
  </si>
  <si>
    <t>P</t>
  </si>
  <si>
    <t>Aneasthesia Units and Vaporizers</t>
  </si>
  <si>
    <t>C</t>
  </si>
  <si>
    <t>Aneasthesia Ventilators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</si>
  <si>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</si>
  <si>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</si>
  <si>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</si>
  <si>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</si>
  <si>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</si>
  <si>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</si>
  <si>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</si>
  <si>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</si>
  <si>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</si>
  <si>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</si>
  <si>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</si>
  <si>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</si>
  <si>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</si>
  <si>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</si>
  <si>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</si>
  <si>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</si>
  <si>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</si>
  <si>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</si>
  <si>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</si>
  <si>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</si>
  <si>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</si>
  <si>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</si>
  <si>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</si>
  <si>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</si>
  <si>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</si>
  <si>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</si>
  <si>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</si>
  <si>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</si>
  <si>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</si>
  <si>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</si>
  <si>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</si>
  <si>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</si>
  <si>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</si>
  <si>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</si>
  <si>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</si>
  <si>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</si>
  <si>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</si>
  <si>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</si>
  <si>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</si>
  <si>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</si>
  <si>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</si>
  <si>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</si>
  <si>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</si>
  <si>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</si>
  <si>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</si>
  <si>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</si>
  <si>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r>
      <rPr>
        <sz val="8"/>
        <color theme="1"/>
        <rFont val="Arial"/>
        <family val="2"/>
      </rP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</si>
  <si>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</si>
  <si>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</si>
  <si>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</si>
  <si>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</si>
  <si>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</si>
  <si>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</si>
  <si>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</si>
  <si>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</si>
  <si>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</si>
  <si>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</si>
  <si>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</si>
  <si>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</si>
  <si>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</si>
  <si>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</si>
  <si>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</si>
  <si>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</si>
  <si>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</si>
  <si>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</si>
  <si>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</si>
  <si>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</si>
  <si>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</si>
  <si>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</si>
  <si>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</si>
  <si>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</si>
  <si>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</si>
  <si>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</si>
  <si>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Spectrophotometers</t>
  </si>
  <si>
    <t xml:space="preserve">No
</t>
  </si>
  <si>
    <t>Contract</t>
  </si>
  <si>
    <t>wo</t>
  </si>
  <si>
    <t>Hours</t>
  </si>
  <si>
    <t>Total Hours</t>
  </si>
  <si>
    <t>Total Hours / Year</t>
  </si>
  <si>
    <t>Balance Uptime</t>
  </si>
  <si>
    <t>Uptime Percentage</t>
  </si>
  <si>
    <t>Uptime TRKPI</t>
  </si>
  <si>
    <t>Uptime Deduction Yes / No</t>
  </si>
  <si>
    <t>IKN400966</t>
  </si>
  <si>
    <t>LINEAR ACCELERATOR</t>
  </si>
  <si>
    <t>RT159</t>
  </si>
  <si>
    <t>Lazer Double</t>
  </si>
  <si>
    <t>Response On_Time</t>
  </si>
  <si>
    <t>Strands</t>
  </si>
  <si>
    <t>IKN400292</t>
  </si>
  <si>
    <t>WAD 8A</t>
  </si>
  <si>
    <t>Infucient Pump-Mesin Problem</t>
  </si>
  <si>
    <t>Yes</t>
  </si>
  <si>
    <t>IKN400978</t>
  </si>
  <si>
    <t>Scanning Systems, Computed Tomography</t>
  </si>
  <si>
    <t>RT</t>
  </si>
  <si>
    <t>sendingg image from vsim to mosaiq</t>
  </si>
  <si>
    <t>IKN400973</t>
  </si>
  <si>
    <t>WAD 7A</t>
  </si>
  <si>
    <t>Motor ripple mattress rosak</t>
  </si>
  <si>
    <t>IKN400967</t>
  </si>
  <si>
    <t>Linear Accelerators</t>
  </si>
  <si>
    <t>Table verticle movement problem</t>
  </si>
  <si>
    <t>NB 355296</t>
  </si>
  <si>
    <t>WAD 7B</t>
  </si>
  <si>
    <t>Ripple Mattress tidak boleh pump</t>
  </si>
  <si>
    <t xml:space="preserve">BP Set warna putih rosak. </t>
  </si>
  <si>
    <t>IKN400775</t>
  </si>
  <si>
    <t>ID</t>
  </si>
  <si>
    <t>Ultrasound tidak keluar gambar</t>
  </si>
  <si>
    <t>IKN400567</t>
  </si>
  <si>
    <t>Cameras, Gamma</t>
  </si>
  <si>
    <t>NM</t>
  </si>
  <si>
    <t>MEGP detector one collision</t>
  </si>
  <si>
    <t>IKN400786</t>
  </si>
  <si>
    <t>Radiographic/Fluoroscopic Systems, Angiographic/Intervention</t>
  </si>
  <si>
    <t>Request for user training at Radiology Department (Angio) on 23/10/2019.</t>
  </si>
  <si>
    <t>21-Apr-2026 12:00:00</t>
  </si>
  <si>
    <t>Sent to Bbraun 
DN:19/11/25 
PO : 12153225 ; 5/12/25                           ETA : Middle April 2026
 AN- UNIT SENT TO MANUFACTURER FOR REPLACEMENT PARTS TESTED OK</t>
  </si>
  <si>
    <t xml:space="preserve">
WAITING PARTS FROM VENDOR              (Welch Allyn)                                             PROBLEM : LCD BOARD FAULTY
Quotation:30/3/2026                                 PO:  71520, 31/3/2026                                         ETA : Middle May 2026</t>
  </si>
  <si>
    <t>Quotation received : 9/02/26
PO Date : 17/2/26
Waiting Parts (from German)
ETA : Middle May 2026</t>
  </si>
  <si>
    <t>Quotation received : 25-26/02/26
PO Date : 26/2/26
Waiting Parts (Display board)
ETA : Middle May 2026</t>
  </si>
  <si>
    <t>09-Apr-2026 09:00:00</t>
  </si>
  <si>
    <t>09-Apr-2026 10:00:00</t>
  </si>
  <si>
    <t>03-Apr-2026 08:30:00</t>
  </si>
  <si>
    <t>03-Apr-2026 16:00:00</t>
  </si>
  <si>
    <t>03-Apr-2026 11:00:00</t>
  </si>
  <si>
    <t>03-Apr-2026 10:00:00</t>
  </si>
  <si>
    <t>03-Apr-2026 09:00:00</t>
  </si>
  <si>
    <t xml:space="preserve">  </t>
  </si>
  <si>
    <t>LCD BOARD FAULTY
WAITING PARTS FROM VENDOR (Welch Allyn)
Quotation:30/3/2026                                 PO: 31/3/2026                                         ETA : Middle May 2026</t>
  </si>
  <si>
    <t>21-Apr-2026 11:00:00</t>
  </si>
  <si>
    <t xml:space="preserve">Rescheduled under 
breakdown (IKNWIBE25013055). Sent for calibration DN:31/12/2025 (Nagase). ETA 10/4/2026. Refer email
AN- QE:16. PPM HAS COMPLETED AS PER HEPPM CHECKLIST </t>
  </si>
  <si>
    <t xml:space="preserve">Sent for calibration       
DN:31/12/2025 (Nagase).ETA 10/4/2026. Refer email
AN- QE:16. PPM HAS BEEN COMPLETED AS PER HEPPM CHECKLIST </t>
  </si>
  <si>
    <t>21-Apr-2026 09:00:00</t>
  </si>
  <si>
    <t>21-Apr-2026 17:00:00</t>
  </si>
  <si>
    <t xml:space="preserve">Sent for calibration       
DN:31/12/2025 (Nagase).ETA 10/4/2026. Refer email    
AN- QE:16. PPM HAS BEEN COMPLETED AS PER HEPPM CHECKLIST </t>
  </si>
  <si>
    <t xml:space="preserve">DN:31/12/2025 (Nagase).ETA 10/4/2026. Refer email
AN- QE:16. PPM HAS BEEN COMPLETED AS PER HEPPM CHECKLIST </t>
  </si>
  <si>
    <t>IKNWIBE26006149</t>
  </si>
  <si>
    <t>IKNWIBE26006151</t>
  </si>
  <si>
    <t>IKNWIBE26006247</t>
  </si>
  <si>
    <t>IKNWIBE26006251</t>
  </si>
  <si>
    <t>IKNWIBE26006256</t>
  </si>
  <si>
    <t>IKNWIBE26006261</t>
  </si>
  <si>
    <t>IKNWIBE26006262</t>
  </si>
  <si>
    <t>IKNWIBE26006349</t>
  </si>
  <si>
    <t>IKNWIBE26006360</t>
  </si>
  <si>
    <t>IKNWIBE26006556</t>
  </si>
  <si>
    <t>IKNWIBE26006559</t>
  </si>
  <si>
    <t>IKNWIBE26006562</t>
  </si>
  <si>
    <t>IKNWIBE26006568</t>
  </si>
  <si>
    <t>IKNWIBE26006570</t>
  </si>
  <si>
    <t>IKNWIBE26006629</t>
  </si>
  <si>
    <t>IKNWIBE26006637</t>
  </si>
  <si>
    <t>IKNWIBE26006648</t>
  </si>
  <si>
    <t>IKNWIBE26006701</t>
  </si>
  <si>
    <t>IKNWIBE26006714</t>
  </si>
  <si>
    <t>IKNWIBE26006717</t>
  </si>
  <si>
    <t>IKNWIBE26006779</t>
  </si>
  <si>
    <t>IKNWIBE26006790</t>
  </si>
  <si>
    <t>IKNWIBE26006804</t>
  </si>
  <si>
    <t>IKNWIBE26006824</t>
  </si>
  <si>
    <t>IKNWIBE26006881</t>
  </si>
  <si>
    <t>IKNWIBE26006887</t>
  </si>
  <si>
    <t>IKNWIBE26006909</t>
  </si>
  <si>
    <t>IKNWIBE26006910</t>
  </si>
  <si>
    <t>IKNWIBE26006911</t>
  </si>
  <si>
    <t>IKNWIBE26006912</t>
  </si>
  <si>
    <t>IKNWIBE26006975</t>
  </si>
  <si>
    <t>IKNWIBE26006977</t>
  </si>
  <si>
    <t>IKNWIBE26006985</t>
  </si>
  <si>
    <t>IKNWIBE26006997</t>
  </si>
  <si>
    <t>IKNWIBE26007061</t>
  </si>
  <si>
    <t>IKNWIBE26007065</t>
  </si>
  <si>
    <t>IKNWIBE26007067</t>
  </si>
  <si>
    <t>IKNWIBE26007069</t>
  </si>
  <si>
    <t>IKNWIBE26007089</t>
  </si>
  <si>
    <t>IKNWIBE26007092</t>
  </si>
  <si>
    <t>IKNWIBE26007154</t>
  </si>
  <si>
    <t>IKNWIBE26007155</t>
  </si>
  <si>
    <t>IKNWIBE26007169</t>
  </si>
  <si>
    <t>IKNWIBE26007174</t>
  </si>
  <si>
    <t>IKNWIBE26007177</t>
  </si>
  <si>
    <t>IKNWIBE26007230</t>
  </si>
  <si>
    <t>IKNWIBE26007265</t>
  </si>
  <si>
    <t>IKNWIBE26007334</t>
  </si>
  <si>
    <t>IKNWIBE26007336</t>
  </si>
  <si>
    <t>IKNWIBE26007338</t>
  </si>
  <si>
    <t>IKNWIBE26007345</t>
  </si>
  <si>
    <t>IKNWIBE26007351</t>
  </si>
  <si>
    <t>IKNWIBE26007412</t>
  </si>
  <si>
    <t>IKNWIBE26007474</t>
  </si>
  <si>
    <t>IKNWIBE26007478</t>
  </si>
  <si>
    <t>IKNWIBE26007562</t>
  </si>
  <si>
    <t>IKNWIBE26007600</t>
  </si>
  <si>
    <t>IKNWIBE26007611</t>
  </si>
  <si>
    <t>IKNWIBE26007668</t>
  </si>
  <si>
    <t>IKNWIBE26007669</t>
  </si>
  <si>
    <t>IKNWIBE26007678</t>
  </si>
  <si>
    <t>IKNWIBE26007681</t>
  </si>
  <si>
    <t>IKNWIBE26007682</t>
  </si>
  <si>
    <t>IKNWIBE26007683</t>
  </si>
  <si>
    <t>IKNWIBE26007767</t>
  </si>
  <si>
    <t>IKNWIBE26007826</t>
  </si>
  <si>
    <t>IKNWIBE26007835</t>
  </si>
  <si>
    <t>IKNWIBE26007883</t>
  </si>
  <si>
    <t>IKNWIBE26007888</t>
  </si>
  <si>
    <t>IKNWIBE26007891</t>
  </si>
  <si>
    <t>IKNWIBE26007892</t>
  </si>
  <si>
    <t>IKNWIBE26007943</t>
  </si>
  <si>
    <t>IKNWIBE26007956</t>
  </si>
  <si>
    <t>IKNWIBE26007972</t>
  </si>
  <si>
    <t>IKNWIBE26008075</t>
  </si>
  <si>
    <t>IKNWIBE26008078</t>
  </si>
  <si>
    <t>IKNWIBE26008145</t>
  </si>
  <si>
    <t>IKNWIBE26008151</t>
  </si>
  <si>
    <t>IKNWIBE26008154</t>
  </si>
  <si>
    <t>IKNWIBE26008221</t>
  </si>
  <si>
    <t>IKNWIBE26008226</t>
  </si>
  <si>
    <t>IKNWIBE26008234</t>
  </si>
  <si>
    <t>IKNWIBE26008236</t>
  </si>
  <si>
    <t>IKN400200</t>
  </si>
  <si>
    <t>IKN400349</t>
  </si>
  <si>
    <t>IKN402179</t>
  </si>
  <si>
    <t>IKN400586</t>
  </si>
  <si>
    <t>IKN400413</t>
  </si>
  <si>
    <t>IKN402180</t>
  </si>
  <si>
    <t>IKN402237</t>
  </si>
  <si>
    <t>IKN400016</t>
  </si>
  <si>
    <t>IKN400741</t>
  </si>
  <si>
    <t>IKN402139</t>
  </si>
  <si>
    <t>IKN400298</t>
  </si>
  <si>
    <t>IKN400277</t>
  </si>
  <si>
    <t>IKN400300</t>
  </si>
  <si>
    <t>IKN400956</t>
  </si>
  <si>
    <t>IKN400605</t>
  </si>
  <si>
    <t>IKN400762</t>
  </si>
  <si>
    <t>IKN400304</t>
  </si>
  <si>
    <t>IKN400736</t>
  </si>
  <si>
    <t>IKN400737</t>
  </si>
  <si>
    <t>IKN400919</t>
  </si>
  <si>
    <t>IKN402004</t>
  </si>
  <si>
    <t>IKN400589</t>
  </si>
  <si>
    <t>IKN400347</t>
  </si>
  <si>
    <t>IKN401237</t>
  </si>
  <si>
    <t>IKN401412</t>
  </si>
  <si>
    <t>IKN400223</t>
  </si>
  <si>
    <t>IKN400199</t>
  </si>
  <si>
    <t>IKN400798</t>
  </si>
  <si>
    <t>IKN402093</t>
  </si>
  <si>
    <t>IKN401713</t>
  </si>
  <si>
    <t>IKN400494</t>
  </si>
  <si>
    <t>IKN402166</t>
  </si>
  <si>
    <t>IKN400873</t>
  </si>
  <si>
    <t>IKN400247</t>
  </si>
  <si>
    <t>IKN401044</t>
  </si>
  <si>
    <t>IKN400743</t>
  </si>
  <si>
    <t>IKN401246</t>
  </si>
  <si>
    <t>IKN400774</t>
  </si>
  <si>
    <t>IKN400305</t>
  </si>
  <si>
    <t>IKN400276</t>
  </si>
  <si>
    <t>IKN400766</t>
  </si>
  <si>
    <t>IKN401035</t>
  </si>
  <si>
    <t>IKN401261</t>
  </si>
  <si>
    <t>IKN400530</t>
  </si>
  <si>
    <t>IKN400758</t>
  </si>
  <si>
    <t>IKN400004</t>
  </si>
  <si>
    <t>IKN400215</t>
  </si>
  <si>
    <t>09WJ126</t>
  </si>
  <si>
    <t>01AE111</t>
  </si>
  <si>
    <t>07WF143</t>
  </si>
  <si>
    <t>03NM108</t>
  </si>
  <si>
    <t>06WD124</t>
  </si>
  <si>
    <t>03NM158</t>
  </si>
  <si>
    <t>01AE119</t>
  </si>
  <si>
    <t>04LA126</t>
  </si>
  <si>
    <t>09WJ201</t>
  </si>
  <si>
    <t>08WH107</t>
  </si>
  <si>
    <t>01RT172</t>
  </si>
  <si>
    <t>06WC113</t>
  </si>
  <si>
    <t>04LA133</t>
  </si>
  <si>
    <t>01RT165</t>
  </si>
  <si>
    <t>03MC108</t>
  </si>
  <si>
    <t>03NM154</t>
  </si>
  <si>
    <t>08WG143</t>
  </si>
  <si>
    <t>09WJ222</t>
  </si>
  <si>
    <t>01RT183</t>
  </si>
  <si>
    <t>03ID181</t>
  </si>
  <si>
    <t>04DO119</t>
  </si>
  <si>
    <t>05WB143</t>
  </si>
  <si>
    <t>05WB149</t>
  </si>
  <si>
    <t>05OT159</t>
  </si>
  <si>
    <t>08WG113</t>
  </si>
  <si>
    <t>05OT169</t>
  </si>
  <si>
    <t>01RT156</t>
  </si>
  <si>
    <t>03ID156</t>
  </si>
  <si>
    <t>01RT111</t>
  </si>
  <si>
    <t>08WH143</t>
  </si>
  <si>
    <t>05OT123</t>
  </si>
  <si>
    <t>05WB113</t>
  </si>
  <si>
    <t>03NM155</t>
  </si>
  <si>
    <t>04PC109</t>
  </si>
  <si>
    <t>01AE110</t>
  </si>
  <si>
    <t>09WJ205</t>
  </si>
  <si>
    <t xml:space="preserve">CUVETTE STUCK AT MOTOR </t>
  </si>
  <si>
    <t>WRONG POSITIONING CUVETTE</t>
  </si>
  <si>
    <t xml:space="preserve">CUFF LEAKING.UNABLE TO PUMP </t>
  </si>
  <si>
    <t xml:space="preserve">LOW THERMOMETER BATTERY </t>
  </si>
  <si>
    <t xml:space="preserve">CHARGER FAULTY </t>
  </si>
  <si>
    <t>MOTOR RUSTY MAKE NOUSY SOUND</t>
  </si>
  <si>
    <t xml:space="preserve">LEAKING </t>
  </si>
  <si>
    <t xml:space="preserve">CABLE DIRTY. SPLIT WITH BLOOD </t>
  </si>
  <si>
    <t xml:space="preserve">ROTOR NOT AUTO PICKUP DUE REM NOT ENABLE </t>
  </si>
  <si>
    <t xml:space="preserve">RIPPLE MATTRESS NOT ABLE TO INFLATE WELL </t>
  </si>
  <si>
    <t>ONE OF DETECTOR CANNOT USE</t>
  </si>
  <si>
    <t>RUSTED METAL ON THE TOWER SCOPE IS REQUESTED TO BE REPAINTED</t>
  </si>
  <si>
    <t>01-Apr-2026 14:30:00</t>
  </si>
  <si>
    <t>02-Apr-2026 17:30:00</t>
  </si>
  <si>
    <t>03-Apr-2026 12:15:00</t>
  </si>
  <si>
    <t>07-Apr-2026 09:30:00</t>
  </si>
  <si>
    <t>07-Apr-2026 14:30:00</t>
  </si>
  <si>
    <t>08-Apr-2026 08:00:00</t>
  </si>
  <si>
    <t>08-Apr-2026 11:00:00</t>
  </si>
  <si>
    <t>09-Apr-2026 16:00:00</t>
  </si>
  <si>
    <t>10-Apr-2026 19:30:00</t>
  </si>
  <si>
    <t>12-Apr-2026 01:00:00</t>
  </si>
  <si>
    <t>13-Apr-2026 09:10:00</t>
  </si>
  <si>
    <t>13-Apr-2026 14:00:00</t>
  </si>
  <si>
    <t>13-Apr-2026 13:30:00</t>
  </si>
  <si>
    <t>13-Apr-2026 13:15:00</t>
  </si>
  <si>
    <t>13-Apr-2026 14:30:00</t>
  </si>
  <si>
    <t>14-Apr-2026 09:00:00</t>
  </si>
  <si>
    <t>14-Apr-2026 11:50:00</t>
  </si>
  <si>
    <t>14-Apr-2026 14:30:00</t>
  </si>
  <si>
    <t>15-Apr-2026 09:00:00</t>
  </si>
  <si>
    <t>15-Apr-2026 09:30:00</t>
  </si>
  <si>
    <t>15-Apr-2026 10:00:00</t>
  </si>
  <si>
    <t>15-Apr-2026 15:30:00</t>
  </si>
  <si>
    <t>16-Apr-2026 09:00:00</t>
  </si>
  <si>
    <t>16-Apr-2026 16:30:00</t>
  </si>
  <si>
    <t>17-Apr-2026 11:00:00</t>
  </si>
  <si>
    <t>19-Apr-2026 08:30:00</t>
  </si>
  <si>
    <t>20-Apr-2026 09:30:00</t>
  </si>
  <si>
    <t>20-Apr-2026 15:30:00</t>
  </si>
  <si>
    <t>21-Apr-2026 12:55:00</t>
  </si>
  <si>
    <t>21-Apr-2026 18:20:00</t>
  </si>
  <si>
    <t>22-Apr-2026 11:45:00</t>
  </si>
  <si>
    <t>23-Apr-2026 15:25:00</t>
  </si>
  <si>
    <t>24-Apr-2026 17:40:00</t>
  </si>
  <si>
    <t>25-Apr-2026 10:30:00</t>
  </si>
  <si>
    <t>26-Apr-2026 09:00:00</t>
  </si>
  <si>
    <t>26-Apr-2026 11:00:00</t>
  </si>
  <si>
    <t>26-Apr-2026 13:10:00</t>
  </si>
  <si>
    <t>27-Apr-2026 11:15:00</t>
  </si>
  <si>
    <t>29-Apr-2026 10:35:00</t>
  </si>
  <si>
    <t>30-Apr-2026 17:00:00</t>
  </si>
  <si>
    <t>30-Apr-2026 14:30:00</t>
  </si>
  <si>
    <t>01-Apr-2026 14:07:00</t>
  </si>
  <si>
    <t>02-Apr-2026 10:24:00</t>
  </si>
  <si>
    <t>02-Apr-2026 14:30:00</t>
  </si>
  <si>
    <t>02-Apr-2026 16:34:00</t>
  </si>
  <si>
    <t>02-Apr-2026 14:00:00</t>
  </si>
  <si>
    <t>02-Apr-2026 13:00:00</t>
  </si>
  <si>
    <t>03-Apr-2026 11:47:00</t>
  </si>
  <si>
    <t>03-Apr-2026 14:00:00</t>
  </si>
  <si>
    <t>07-Apr-2026 08:30:00</t>
  </si>
  <si>
    <t>07-Apr-2026 09:17:00</t>
  </si>
  <si>
    <t>08-Apr-2026 07:05:00</t>
  </si>
  <si>
    <t>08-Apr-2026 10:08:00</t>
  </si>
  <si>
    <t>08-Apr-2026 16:53:00</t>
  </si>
  <si>
    <t>09-Apr-2026 08:15:00</t>
  </si>
  <si>
    <t>09-Apr-2026 14:30:00</t>
  </si>
  <si>
    <t>09-Apr-2026 15:29:00</t>
  </si>
  <si>
    <t>10-Apr-2026 09:57:00</t>
  </si>
  <si>
    <t>10-Apr-2026 14:07:00</t>
  </si>
  <si>
    <t>10-Apr-2026 18:59:00</t>
  </si>
  <si>
    <t>12-Apr-2026 00:51:00</t>
  </si>
  <si>
    <t>13-Apr-2026 08:22:00</t>
  </si>
  <si>
    <t>13-Apr-2026 09:03:00</t>
  </si>
  <si>
    <t>13-Apr-2026 12:58:00</t>
  </si>
  <si>
    <t>13-Apr-2026 13:07:00</t>
  </si>
  <si>
    <t>13-Apr-2026 13:11:00</t>
  </si>
  <si>
    <t>13-Apr-2026 13:14:00</t>
  </si>
  <si>
    <t>14-Apr-2026 08:42:00</t>
  </si>
  <si>
    <t>14-Apr-2026 09:16:00</t>
  </si>
  <si>
    <t>14-Apr-2026 11:40:00</t>
  </si>
  <si>
    <t>14-Apr-2026 13:59:00</t>
  </si>
  <si>
    <t>15-Apr-2026 07:33:00</t>
  </si>
  <si>
    <t>15-Apr-2026 08:30:00</t>
  </si>
  <si>
    <t>15-Apr-2026 08:54:00</t>
  </si>
  <si>
    <t>15-Apr-2026 09:22:00</t>
  </si>
  <si>
    <t>15-Apr-2026 14:10:00</t>
  </si>
  <si>
    <t>15-Apr-2026 16:13:00</t>
  </si>
  <si>
    <t>16-Apr-2026 08:21:00</t>
  </si>
  <si>
    <t>16-Apr-2026 08:31:00</t>
  </si>
  <si>
    <t>16-Apr-2026 12:56:00</t>
  </si>
  <si>
    <t>16-Apr-2026 16:17:00</t>
  </si>
  <si>
    <t>16-Apr-2026 16:55:00</t>
  </si>
  <si>
    <t>17-Apr-2026 10:40:00</t>
  </si>
  <si>
    <t>19-Apr-2026 07:28:00</t>
  </si>
  <si>
    <t>20-Apr-2026 08:10:00</t>
  </si>
  <si>
    <t>20-Apr-2026 08:20:00</t>
  </si>
  <si>
    <t>20-Apr-2026 09:17:00</t>
  </si>
  <si>
    <t>20-Apr-2026 11:34:00</t>
  </si>
  <si>
    <t>20-Apr-2026 15:16:00</t>
  </si>
  <si>
    <t>21-Apr-2026 08:14:00</t>
  </si>
  <si>
    <t>21-Apr-2026 11:58:00</t>
  </si>
  <si>
    <t>21-Apr-2026 11:59:00</t>
  </si>
  <si>
    <t>21-Apr-2026 14:30:00</t>
  </si>
  <si>
    <t>21-Apr-2026 12:45:00</t>
  </si>
  <si>
    <t>21-Apr-2026 17:58:00</t>
  </si>
  <si>
    <t>22-Apr-2026 08:02:00</t>
  </si>
  <si>
    <t>22-Apr-2026 09:20:00</t>
  </si>
  <si>
    <t>22-Apr-2026 14:30:00</t>
  </si>
  <si>
    <t>22-Apr-2026 15:36:00</t>
  </si>
  <si>
    <t>22-Apr-2026 11:30:00</t>
  </si>
  <si>
    <t>23-Apr-2026 15:10:00</t>
  </si>
  <si>
    <t>24-Apr-2026 15:30:00</t>
  </si>
  <si>
    <t>24-Apr-2026 17:30:00</t>
  </si>
  <si>
    <t>25-Apr-2026 10:21:00</t>
  </si>
  <si>
    <t>26-Apr-2026 08:31:00</t>
  </si>
  <si>
    <t>26-Apr-2026 10:50:00</t>
  </si>
  <si>
    <t>26-Apr-2026 13:08:00</t>
  </si>
  <si>
    <t>27-Apr-2026 08:28:00</t>
  </si>
  <si>
    <t>27-Apr-2026 10:52:00</t>
  </si>
  <si>
    <t>27-Apr-2026 19:00:00</t>
  </si>
  <si>
    <t>28-Apr-2026 09:10:00</t>
  </si>
  <si>
    <t>28-Apr-2026 10:30:00</t>
  </si>
  <si>
    <t>29-Apr-2026 10:30:00</t>
  </si>
  <si>
    <t>29-Apr-2026 14:14:00</t>
  </si>
  <si>
    <t>30-Apr-2026 10:49:00</t>
  </si>
  <si>
    <t>30-Apr-2026 15:47:00</t>
  </si>
  <si>
    <t>30-Apr-2026 14:00:00</t>
  </si>
  <si>
    <t>0 days, 0 hrs, 23 mins</t>
  </si>
  <si>
    <t>0 days, 0 hrs, 56 mins</t>
  </si>
  <si>
    <t>0 days, 0 hrs, 28 mins</t>
  </si>
  <si>
    <t>0 days, 0 hrs, 13 mins</t>
  </si>
  <si>
    <t>0 days, 0 hrs, 55 mins</t>
  </si>
  <si>
    <t>0 days, 0 hrs, 52 mins</t>
  </si>
  <si>
    <t>0 days, 0 hrs, 31 mins</t>
  </si>
  <si>
    <t>0 days, 0 hrs, 9 mins</t>
  </si>
  <si>
    <t>0 days, 0 hrs, 7 mins</t>
  </si>
  <si>
    <t>0 days, 1 hrs, 2 mins</t>
  </si>
  <si>
    <t>0 days, 0 hrs, 4 mins</t>
  </si>
  <si>
    <t>0 days, 1 hrs, 16 mins</t>
  </si>
  <si>
    <t>0 days, 0 hrs, 18 mins</t>
  </si>
  <si>
    <t>0 days, 0 hrs, 36 mins</t>
  </si>
  <si>
    <t>0 days, 0 hrs, 38 mins</t>
  </si>
  <si>
    <t>0 days, 1 hrs, 20 mins</t>
  </si>
  <si>
    <t>0 days, 0 hrs, 29 mins</t>
  </si>
  <si>
    <t>0 days, 0 hrs, 20 mins</t>
  </si>
  <si>
    <t>0 days, 0 hrs, 14 mins</t>
  </si>
  <si>
    <t>0 days, 0 hrs, 2 mins</t>
  </si>
  <si>
    <t>0 days, 0 hrs, 15 mins</t>
  </si>
  <si>
    <t>0 days, 0 hrs, 5 mins</t>
  </si>
  <si>
    <t>01-Apr-2026 16:30:00</t>
  </si>
  <si>
    <t>02-Apr-2026 15:30:00</t>
  </si>
  <si>
    <t>02-Apr-2026 18:10:00</t>
  </si>
  <si>
    <t>02-Apr-2026 20:00:00</t>
  </si>
  <si>
    <t>09-Apr-2026 15:00:00</t>
  </si>
  <si>
    <t>03-Apr-2026 18:50:00</t>
  </si>
  <si>
    <t>03-Apr-2026 20:00:00</t>
  </si>
  <si>
    <t>07-Apr-2026 10:30:00</t>
  </si>
  <si>
    <t>08-Apr-2026 09:30:00</t>
  </si>
  <si>
    <t>09-Apr-2026 18:50:00</t>
  </si>
  <si>
    <t>08-Apr-2026 18:40:00</t>
  </si>
  <si>
    <t>09-Apr-2026 16:30:00</t>
  </si>
  <si>
    <t>13-Apr-2026 15:00:00</t>
  </si>
  <si>
    <t>13-Apr-2026 17:00:00</t>
  </si>
  <si>
    <t>13-Apr-2026 09:30:00</t>
  </si>
  <si>
    <t>13-Apr-2026 13:45:00</t>
  </si>
  <si>
    <t>14-Apr-2026 09:20:00</t>
  </si>
  <si>
    <t>14-Apr-2026 12:30:00</t>
  </si>
  <si>
    <t>14-Apr-2026 15:15:00</t>
  </si>
  <si>
    <t>15-Apr-2026 10:30:00</t>
  </si>
  <si>
    <t>15-Apr-2026 11:00:00</t>
  </si>
  <si>
    <t>15-Apr-2026 16:30:00</t>
  </si>
  <si>
    <t>16-Apr-2026 10:30:00</t>
  </si>
  <si>
    <t>16-Apr-2026 17:30:00</t>
  </si>
  <si>
    <t>17-Apr-2026 15:00:00</t>
  </si>
  <si>
    <t>19-Apr-2026 08:40:00</t>
  </si>
  <si>
    <t>20-Apr-2026 09:45:00</t>
  </si>
  <si>
    <t>22-Apr-2026 10:00:00</t>
  </si>
  <si>
    <t>21-Apr-2026 16:00:00</t>
  </si>
  <si>
    <t>21-Apr-2026 21:50:00</t>
  </si>
  <si>
    <t>21-Apr-2026 18:40:00</t>
  </si>
  <si>
    <t>22-Apr-2026 13:10:00</t>
  </si>
  <si>
    <t>24-Apr-2026 14:20:00</t>
  </si>
  <si>
    <t>24-Apr-2026 18:40:00</t>
  </si>
  <si>
    <t>27-Apr-2026 11:25:00</t>
  </si>
  <si>
    <t>28-Apr-2026 10:00:00</t>
  </si>
  <si>
    <t>27-Apr-2026 12:30:00</t>
  </si>
  <si>
    <t>27-Apr-2026 16:00:00</t>
  </si>
  <si>
    <t>29-Apr-2026 11:30:00</t>
  </si>
  <si>
    <t>01-May-2026 12:00:00</t>
  </si>
  <si>
    <t>30-Apr-2026 18:40:00</t>
  </si>
  <si>
    <t>21-Apr-2026 14:00:00</t>
  </si>
  <si>
    <t>P - QE:12, REMOVE CUVETTE FROM MOTR. RESTART THE UNIT</t>
  </si>
  <si>
    <t>AK- ADJUST CUVETTE POSITION INFORM USER TO ADJUST CUVETTE POSITIONING</t>
  </si>
  <si>
    <t>M-REPLACE CUFF. TESTED OKAY AND FUNCTIONING</t>
  </si>
  <si>
    <t xml:space="preserve">L, QE:15-PLANNED PREDECTIVE MAINTENANCE AND INSTALLED PATIENT TABLE ELEVATION LOCKING MECHANISM BY VENDOR, TESTED OKAY
</t>
  </si>
  <si>
    <t xml:space="preserve">L, QE:12-REPLACED BATTERY AMD SPO2 PROBE TESTED OKAY
</t>
  </si>
  <si>
    <t xml:space="preserve">M-REPLACE LR41H ALKALINE BUTTON CELL BATTERY </t>
  </si>
  <si>
    <t>L- REPLACE NEW COVER HOSE TEST ON MATTRESS , MAKE SURE NO LEAKING , UNIT OKAY READY FOR USE</t>
  </si>
  <si>
    <t xml:space="preserve">L, QE:12-CHANGE UNIT 2 HOUR DO PERFORMANCE TEST UNTIL CLEAN ECG , IT FULLY DETECT AND SHOW FULL GRAPH , UNIT READY FOR USE
</t>
  </si>
  <si>
    <t xml:space="preserve">L, QE:12-REPLACE NEW COVER HOSE, TEST ON MATTRESS, MAKE SURE NO LELAKING , UNIT OKAY READY FOR USE
</t>
  </si>
  <si>
    <t xml:space="preserve">M-REPLACE ANOTHER CHARGER </t>
  </si>
  <si>
    <t xml:space="preserve">L, QE:12-REPLACE NOW COVER HOSE, TEST ON MATTRESS MAKE SURE NO LEAKING ,UNIT FUNCTIONING OKAY READY FOR USE
</t>
  </si>
  <si>
    <t>L, QE:12-BUTTON TRANSPORT RIPPLE MATTRESS INSTALL BUTTON, MAKE SURE FIT TO USE, TEST UNIT OKAY</t>
  </si>
  <si>
    <t xml:space="preserve">M-CLEAN MOTOR WITH LUBRICATE , CLEAN IT </t>
  </si>
  <si>
    <t>L, QE:12-INSTALL DATA LOGGER</t>
  </si>
  <si>
    <t xml:space="preserve">L, QE:12-INSTALL DATA LOGGER 
</t>
  </si>
  <si>
    <t xml:space="preserve">L, QE:12-INSTALL DATA LOGGER
</t>
  </si>
  <si>
    <t>L, QE:16- REPLACE CUFF , TESTTED OKAY AND FUNCTIONING</t>
  </si>
  <si>
    <t xml:space="preserve">L, QE:12- RESET CABLE , RESET MADICINE , TESTED AND THE SCREEN FUNCTIONING AND IN GOOD CONDITION </t>
  </si>
  <si>
    <t xml:space="preserve">L, QE:12- REPLACE NEW HOSE CONNECTOR, TESTED OKAY AND FUNCTION </t>
  </si>
  <si>
    <t xml:space="preserve">L, QE:12-CHECK LEAKING , TUBING -TEST FUNCTIONING OKAY
</t>
  </si>
  <si>
    <t xml:space="preserve">L, QE:12- CLEAN ECG LEAD DO TEST UNIT , GRAPH OKAY, PRINT SHOW NORMAL GRAPH , UNIT FIT TO USE, UNIT UNDER OBSERVATION </t>
  </si>
  <si>
    <t xml:space="preserve">L, QE:12-UNIT FOUND STARTING NUMBER 4 , RESET  NUM 0.0 TECT WEIGHT 1.25KG  OKAY , UNIT FIT TO USE
</t>
  </si>
  <si>
    <t xml:space="preserve">L, QE:12-FOUND SCREEN NOT CLEAR HAS LINE AND DOT, BUT STILL FUNCTIONING, TRY TO REPAIR THE SCREEN TIGHTEN THE CABLE MAKE SURE IT WELL , TIGHT LINE ON SCREEN , SCREEN LESS AND UNIT FIT TO USE
</t>
  </si>
  <si>
    <t xml:space="preserve">L, QE:12-RESTART MACHINE AND DELETE OLD PATIENT WORKLIST . RESTART, TESTED UNIT FUNCTIONING OKAY, SCANNING PATIENT SUCCESSFUL </t>
  </si>
  <si>
    <t xml:space="preserve">M-CLEAM RIBBON CABLE USING CONTACK LENS. TECT FUNCTIONING PAUSED.NEED TO CLEAN EACH TIME AFTER USUNG </t>
  </si>
  <si>
    <t xml:space="preserve">L, QE:12-REPLACED CUFFS,  TESTED OKAY
</t>
  </si>
  <si>
    <t xml:space="preserve">L, QE:12- ENABLE REM OPTION. RUN TECT FUNCTIONING </t>
  </si>
  <si>
    <t>L, QE:12-CHANGE ANOTHER KEYPAD, TESTED FUNCTIONING PASSED</t>
  </si>
  <si>
    <t xml:space="preserve">AN- RE-SEAT HOSE CONNECTOR, TESTED OKAY MONITOR FOR ONE DAY AND ABLE TO ONFLATE WELL </t>
  </si>
  <si>
    <t>L, QE:12-CONFIRM POWER FSUPPLY INTERRUPTED , TEAM FEMS  SATTLE THE ISSUE , TESTED UNIT FUNCHTIONING OKAY , UNDER MONITORING</t>
  </si>
  <si>
    <t xml:space="preserve">L, QE:12- REPLACED POWER SUPPLY SP UK III  , TESTED OKAY </t>
  </si>
  <si>
    <t xml:space="preserve">L, QE:14- MYRIAN MONTHLY CHECKING COMPLETE BY VENDOR . TESTED OKAY </t>
  </si>
  <si>
    <t>AN- VENDOR CALIBRATE THE DETECTOR, TESTED OKAY. QAP PASSED</t>
  </si>
  <si>
    <t xml:space="preserve">L, QE:12-CLEAR, CLEAN WASTE LINE PREVENT BLOCKAGE </t>
  </si>
  <si>
    <t xml:space="preserve">L, QE:12-ADJUST THE SAMPLE PROBE, ALLIGN , PROBE WITH SPECIAL TOOLS </t>
  </si>
  <si>
    <t xml:space="preserve">L, QE:12- REPLACE NEW TROLEY WHEEL , TEST PULL AND PUSH OK, NOT STUCK AT ALL, UNIT READY FOR USE </t>
  </si>
  <si>
    <t xml:space="preserve">L, QE:16-REPLACE NEW TROLEY WHEEL , TEST PUSH AND PULL UNIT OK
</t>
  </si>
  <si>
    <t xml:space="preserve">L, QE:7-VEBDOR PERFORMED DARK CALIBRATION AND XRAY CALIBRATION PASSED , IMAGE QUALITY OKAY , UNIT FUNCTIONING OKAY
</t>
  </si>
  <si>
    <t xml:space="preserve">L, QE:14-TESTED UNIT USING FSU ANALYZER, ALL MODE FUNCTIONING IN GOOD CONDITONG </t>
  </si>
  <si>
    <t xml:space="preserve">L, QE:16-DONE PERFORMANCE CHECKING </t>
  </si>
  <si>
    <t>M-PAINT AS PER REQUESTED</t>
  </si>
  <si>
    <t xml:space="preserve">L, QE:16-REPAIRS UNIT CLEAN WITH  CONTACT CLEANER, TEST BUTTON OK PASSED UNIT READY TO USE
</t>
  </si>
  <si>
    <t>User Training</t>
  </si>
  <si>
    <t>Corrective Maintenance (CM)</t>
  </si>
  <si>
    <t>RESET BATTERY AND TESTED GOOD FUNCTIONING.</t>
  </si>
  <si>
    <t>NOT FUNCTIONING</t>
  </si>
  <si>
    <t>IKN400442</t>
  </si>
  <si>
    <t>IKN400475</t>
  </si>
  <si>
    <t>Infusion Pumps, Syringe</t>
  </si>
  <si>
    <t>Infusion Pumps, 
Syringe</t>
  </si>
  <si>
    <t xml:space="preserve">USER TRAINING FOR INFUSION PUMPS, SYRINGE </t>
  </si>
  <si>
    <t xml:space="preserve">DONE DO THE USER TRAINING FOR INFUSION PUMPS, SYRINGE </t>
  </si>
  <si>
    <t>IKN400425</t>
  </si>
  <si>
    <t>IKN400286</t>
  </si>
  <si>
    <t>0 days, 0 hrs, 06 mins</t>
  </si>
  <si>
    <t>IKN400224</t>
  </si>
  <si>
    <t>MESIN RIPPLE MATTRESS ROSAK</t>
  </si>
  <si>
    <t>IKNWIBE26006155</t>
  </si>
  <si>
    <t>IKNWIBE26006578</t>
  </si>
  <si>
    <t>IKNWIBE26006579</t>
  </si>
  <si>
    <t>IKNWIBE26007001</t>
  </si>
  <si>
    <t>T&amp;C - UNIT PATIENT MONITOR DI ACCU</t>
  </si>
  <si>
    <t>TNC- T&amp;C Electrocardiograph (IKN402266) -ARAS 1</t>
  </si>
  <si>
    <t>01RT109</t>
  </si>
  <si>
    <t>05CX143</t>
  </si>
  <si>
    <t>14-Apr-2026 10:00:00</t>
  </si>
  <si>
    <t>07-Apr-2026 16:30:00</t>
  </si>
  <si>
    <t>IKN402267</t>
  </si>
  <si>
    <t>IKN402266</t>
  </si>
  <si>
    <t>ELECTROCARDIOGRAPH</t>
  </si>
  <si>
    <t xml:space="preserve">Patient Monitoring System </t>
  </si>
  <si>
    <t>Electrocardiograph</t>
  </si>
  <si>
    <t>14-Apr-2026 10:10:00</t>
  </si>
  <si>
    <t>14-Apr-2026 12:38:00</t>
  </si>
  <si>
    <t>TNC -: T&amp;C ELECTROCARDIOGRAPH (IKN402267 -ARAS 5)</t>
  </si>
  <si>
    <t>2 YEARS</t>
  </si>
  <si>
    <t>SUPPLIER ALAM MEDIK SDN BHD</t>
  </si>
  <si>
    <t>IKN400174</t>
  </si>
  <si>
    <t>IKN400333</t>
  </si>
  <si>
    <t>IKN400561</t>
  </si>
  <si>
    <t>IKN400715</t>
  </si>
  <si>
    <t>IKN401016</t>
  </si>
  <si>
    <t>IKN401061</t>
  </si>
  <si>
    <t>IKN401068</t>
  </si>
  <si>
    <t>IKN401097</t>
  </si>
  <si>
    <t>IKN400449</t>
  </si>
  <si>
    <t>IKN400609</t>
  </si>
  <si>
    <t>IKN400678</t>
  </si>
  <si>
    <t>IKN400704</t>
  </si>
  <si>
    <t>IKN400708</t>
  </si>
  <si>
    <t>IKN400709</t>
  </si>
  <si>
    <t>IKN400710</t>
  </si>
  <si>
    <t>IKN400711</t>
  </si>
  <si>
    <t>IKN400748</t>
  </si>
  <si>
    <t>IKN400749</t>
  </si>
  <si>
    <t>IKN400754</t>
  </si>
  <si>
    <t>IKN400881</t>
  </si>
  <si>
    <t>IKN400981</t>
  </si>
  <si>
    <t>IKN401018</t>
  </si>
  <si>
    <t>IKN401034</t>
  </si>
  <si>
    <t>IKN401509</t>
  </si>
  <si>
    <t>IKN401510</t>
  </si>
  <si>
    <t>IKN401518</t>
  </si>
  <si>
    <t>IKN401544</t>
  </si>
  <si>
    <t>IKN401545</t>
  </si>
  <si>
    <t>IKN401581</t>
  </si>
  <si>
    <t>IKN401656</t>
  </si>
  <si>
    <t>IKN401691</t>
  </si>
  <si>
    <t>IKN401734</t>
  </si>
  <si>
    <t>IKN401999</t>
  </si>
  <si>
    <t>IKN402055</t>
  </si>
  <si>
    <t>IKN401109</t>
  </si>
  <si>
    <t>IKN400764</t>
  </si>
  <si>
    <t>IKN400807</t>
  </si>
  <si>
    <t>IKN400808</t>
  </si>
  <si>
    <t>IKN400809</t>
  </si>
  <si>
    <t>IKN400845</t>
  </si>
  <si>
    <t>IKN400846</t>
  </si>
  <si>
    <t>IKN400847</t>
  </si>
  <si>
    <t>IKN400848</t>
  </si>
  <si>
    <t>IKN400882</t>
  </si>
  <si>
    <t>IKN401617</t>
  </si>
  <si>
    <t>IKN401618</t>
  </si>
  <si>
    <t>IKN401108</t>
  </si>
  <si>
    <t>IKN400310</t>
  </si>
  <si>
    <t>IKN400417</t>
  </si>
  <si>
    <t>IKN400418</t>
  </si>
  <si>
    <t>IKN400421</t>
  </si>
  <si>
    <t>IKN400427</t>
  </si>
  <si>
    <t>IKN400445</t>
  </si>
  <si>
    <t>IKN400617</t>
  </si>
  <si>
    <t>IKN400618</t>
  </si>
  <si>
    <t>IKN400627</t>
  </si>
  <si>
    <t>IKN400634</t>
  </si>
  <si>
    <t>IKN400635</t>
  </si>
  <si>
    <t>IKN400649</t>
  </si>
  <si>
    <t>IKN400661</t>
  </si>
  <si>
    <t>IKN400824</t>
  </si>
  <si>
    <t>IKN400825</t>
  </si>
  <si>
    <t>IKN400246</t>
  </si>
  <si>
    <t>IKN400416</t>
  </si>
  <si>
    <t>IKN400424</t>
  </si>
  <si>
    <t>IKN400527</t>
  </si>
  <si>
    <t>IKN400528</t>
  </si>
  <si>
    <t>IKN400529</t>
  </si>
  <si>
    <t>IKN400579</t>
  </si>
  <si>
    <t>IKN400712</t>
  </si>
  <si>
    <t>IKN400713</t>
  </si>
  <si>
    <t>IKN400716</t>
  </si>
  <si>
    <t>IKN400763</t>
  </si>
  <si>
    <t>IKN400829</t>
  </si>
  <si>
    <t>IKN400830</t>
  </si>
  <si>
    <t>IKN400831</t>
  </si>
  <si>
    <t>IKN400832</t>
  </si>
  <si>
    <t>IKN402068</t>
  </si>
  <si>
    <t>IKN402171</t>
  </si>
  <si>
    <t>IKN401352</t>
  </si>
  <si>
    <t>IKN400492</t>
  </si>
  <si>
    <t>IKN400533</t>
  </si>
  <si>
    <t>IKN401234</t>
  </si>
  <si>
    <t>IKN401340</t>
  </si>
  <si>
    <t>IKN401341</t>
  </si>
  <si>
    <t>IKN401343</t>
  </si>
  <si>
    <t>IKN401344</t>
  </si>
  <si>
    <t>IKN401347</t>
  </si>
  <si>
    <t>IKN401348</t>
  </si>
  <si>
    <t>IKN400464</t>
  </si>
  <si>
    <t>IKN402116</t>
  </si>
  <si>
    <t>IKN400152</t>
  </si>
  <si>
    <t>IKN402239</t>
  </si>
  <si>
    <t>IKN400032</t>
  </si>
  <si>
    <t>IKN400079</t>
  </si>
  <si>
    <t>IKN400087</t>
  </si>
  <si>
    <t>IKN400088</t>
  </si>
  <si>
    <t>IKN400089</t>
  </si>
  <si>
    <t>IKN400090</t>
  </si>
  <si>
    <t>IKN400091</t>
  </si>
  <si>
    <t>IKN400092</t>
  </si>
  <si>
    <t>IKN400135</t>
  </si>
  <si>
    <t>IKN400136</t>
  </si>
  <si>
    <t>IKN400338</t>
  </si>
  <si>
    <t>IKN400339</t>
  </si>
  <si>
    <t>IKN400341</t>
  </si>
  <si>
    <t>IKN400342</t>
  </si>
  <si>
    <t>IKN400343</t>
  </si>
  <si>
    <t>IKN400419</t>
  </si>
  <si>
    <t>IKN400441</t>
  </si>
  <si>
    <t>IKN400447</t>
  </si>
  <si>
    <t>IKN400719</t>
  </si>
  <si>
    <t>IKN400720</t>
  </si>
  <si>
    <t>IKN401069</t>
  </si>
  <si>
    <t>IKN400241</t>
  </si>
  <si>
    <t>IKN400282</t>
  </si>
  <si>
    <t>IKN400377</t>
  </si>
  <si>
    <t>IKN400380</t>
  </si>
  <si>
    <t>IKN401107</t>
  </si>
  <si>
    <t>IKN400031</t>
  </si>
  <si>
    <t>IKN400426</t>
  </si>
  <si>
    <t>IKN400626</t>
  </si>
  <si>
    <t>IKN400648</t>
  </si>
  <si>
    <t>IKN401160</t>
  </si>
  <si>
    <t>IKN401161</t>
  </si>
  <si>
    <t>IKN401162</t>
  </si>
  <si>
    <t>IKN401106</t>
  </si>
  <si>
    <t>IKN400985</t>
  </si>
  <si>
    <t>IKN400994</t>
  </si>
  <si>
    <t>IKN400244</t>
  </si>
  <si>
    <t>IKN400251</t>
  </si>
  <si>
    <t>IKN400252</t>
  </si>
  <si>
    <t>IKN400269</t>
  </si>
  <si>
    <t>IKN400348</t>
  </si>
  <si>
    <t>IKN400381</t>
  </si>
  <si>
    <t>IKN400385</t>
  </si>
  <si>
    <t>IKN400386</t>
  </si>
  <si>
    <t>IKN400390</t>
  </si>
  <si>
    <t>IKN400420</t>
  </si>
  <si>
    <t>IKN400423</t>
  </si>
  <si>
    <t>IKN400033</t>
  </si>
  <si>
    <t>IKN400080</t>
  </si>
  <si>
    <t>IKN400093</t>
  </si>
  <si>
    <t>IKN400094</t>
  </si>
  <si>
    <t>IKN400095</t>
  </si>
  <si>
    <t>IKN400096</t>
  </si>
  <si>
    <t>IKN400097</t>
  </si>
  <si>
    <t>IKN400098</t>
  </si>
  <si>
    <t>IKN400137</t>
  </si>
  <si>
    <t>IKN400138</t>
  </si>
  <si>
    <t>IKN400186</t>
  </si>
  <si>
    <t>IKN400255</t>
  </si>
  <si>
    <t>IKN400448</t>
  </si>
  <si>
    <t>IKN400245</t>
  </si>
  <si>
    <t>IKN400249</t>
  </si>
  <si>
    <t>IKN400250</t>
  </si>
  <si>
    <t>IKN400254</t>
  </si>
  <si>
    <t>IKN400535</t>
  </si>
  <si>
    <t>IKN400248</t>
  </si>
  <si>
    <t>IKN400253</t>
  </si>
  <si>
    <t>IKN400734</t>
  </si>
  <si>
    <t>IKN400739</t>
  </si>
  <si>
    <t>IKN400745</t>
  </si>
  <si>
    <t>IKN400747</t>
  </si>
  <si>
    <t>IKN401223</t>
  </si>
  <si>
    <t>IKN401225</t>
  </si>
  <si>
    <t>IKN401227</t>
  </si>
  <si>
    <t>IKN401229</t>
  </si>
  <si>
    <t>IKN401231</t>
  </si>
  <si>
    <t>IKN402071</t>
  </si>
  <si>
    <t>IKN400237</t>
  </si>
  <si>
    <t>IKN400270</t>
  </si>
  <si>
    <t>IKN400288</t>
  </si>
  <si>
    <t>IKN400289</t>
  </si>
  <si>
    <t>IKN400290</t>
  </si>
  <si>
    <t>IKN400295</t>
  </si>
  <si>
    <t>IKN400313</t>
  </si>
  <si>
    <t>IKN400434</t>
  </si>
  <si>
    <t>IKN400435</t>
  </si>
  <si>
    <t>IKN401027</t>
  </si>
  <si>
    <t>IKN401037</t>
  </si>
  <si>
    <t>IKN401102</t>
  </si>
  <si>
    <t>IKN402075</t>
  </si>
  <si>
    <t>IKN402076</t>
  </si>
  <si>
    <t>IKN402090</t>
  </si>
  <si>
    <t>IKN400398</t>
  </si>
  <si>
    <t>IKN400399</t>
  </si>
  <si>
    <t>IKN400498</t>
  </si>
  <si>
    <t>IKN400500</t>
  </si>
  <si>
    <t>IKN400501</t>
  </si>
  <si>
    <t>IKN400960</t>
  </si>
  <si>
    <t>IKN402167</t>
  </si>
  <si>
    <t>IKN402168</t>
  </si>
  <si>
    <t>IKN402195</t>
  </si>
  <si>
    <t>IKN402196</t>
  </si>
  <si>
    <t>IKN402197</t>
  </si>
  <si>
    <t>IKN402198</t>
  </si>
  <si>
    <t>IKN402199</t>
  </si>
  <si>
    <t>IKN402200</t>
  </si>
  <si>
    <t>IKN402201</t>
  </si>
  <si>
    <t>IKN402202</t>
  </si>
  <si>
    <t>IKN402203</t>
  </si>
  <si>
    <t>IKN402204</t>
  </si>
  <si>
    <t>IKN402205</t>
  </si>
  <si>
    <t>IKN402206</t>
  </si>
  <si>
    <t>IKN402207</t>
  </si>
  <si>
    <t>IKN402233</t>
  </si>
  <si>
    <t>IKN401485</t>
  </si>
  <si>
    <t>IKN401630</t>
  </si>
  <si>
    <t>IKN401631</t>
  </si>
  <si>
    <t>IKN401632</t>
  </si>
  <si>
    <t>IKN402000</t>
  </si>
  <si>
    <t>IKNB05PF110</t>
  </si>
  <si>
    <t>IKN400212</t>
  </si>
  <si>
    <t>IKN400213</t>
  </si>
  <si>
    <t>IKN400214</t>
  </si>
  <si>
    <t>IKN400216</t>
  </si>
  <si>
    <t>IKN400287</t>
  </si>
  <si>
    <t>IKN400721</t>
  </si>
  <si>
    <t>IKN400221</t>
  </si>
  <si>
    <t>IKN400222</t>
  </si>
  <si>
    <t>IKN400536</t>
  </si>
  <si>
    <t>IKN400700</t>
  </si>
  <si>
    <t>IKN400701</t>
  </si>
  <si>
    <t>IKN400957</t>
  </si>
  <si>
    <t>IKN401194</t>
  </si>
  <si>
    <t>IKN401254</t>
  </si>
  <si>
    <t>IKN401255</t>
  </si>
  <si>
    <t>IKN401266</t>
  </si>
  <si>
    <t>IKN402011</t>
  </si>
  <si>
    <t>IKN402012</t>
  </si>
  <si>
    <t>IKN402013</t>
  </si>
  <si>
    <t>IKN402014</t>
  </si>
  <si>
    <t>IKN402015</t>
  </si>
  <si>
    <t>IKN402016</t>
  </si>
  <si>
    <t>IKN402069</t>
  </si>
  <si>
    <t>Warming Units, Blood/Solution</t>
  </si>
  <si>
    <t>Centrifuges, Tabletop</t>
  </si>
  <si>
    <t>Centrifuges, Tabletop, Low-Speed, Nonrefrigerated, Blood Ban</t>
  </si>
  <si>
    <t>Recorders, Tape, Video</t>
  </si>
  <si>
    <t>Stimulators, Electrical, Peripheral Nerve, Analgesic, Transc</t>
  </si>
  <si>
    <t>Lights, Surgical</t>
  </si>
  <si>
    <t>Balances, Electronic, Analytical</t>
  </si>
  <si>
    <t>Balances, Electronic</t>
  </si>
  <si>
    <t>Scales, Patient, Floor</t>
  </si>
  <si>
    <t>Scales, Clinical, Laboratory</t>
  </si>
  <si>
    <t>Fluorometers</t>
  </si>
  <si>
    <t>Infusion Pumps, Patient-Controlled Analgesic</t>
  </si>
  <si>
    <t>Compressors, Medical-Air</t>
  </si>
  <si>
    <t>Radiation Monitors</t>
  </si>
  <si>
    <t>Mixers, Clinical Laboratory</t>
  </si>
  <si>
    <t>Microscopes, Light, Laboratory, Inverted Stage</t>
  </si>
  <si>
    <t>Dosimeters, Radiation</t>
  </si>
  <si>
    <t>Analyzers, Laboratory, Breath, Carbon Monoxide</t>
  </si>
  <si>
    <t>Scanning Systems, Ultrasonic, Cardiac</t>
  </si>
  <si>
    <t>Infusion/ Monitoring Line Organizer System</t>
  </si>
  <si>
    <t>Pumps, Enteral Feeding</t>
  </si>
  <si>
    <t>CIRCULATORY ASSIST UNITS, VENOUS RETURN</t>
  </si>
  <si>
    <t>Bath, Water, Plasma-Thawing</t>
  </si>
  <si>
    <t>Electrocardiographs, Multichannel, Interpretative</t>
  </si>
  <si>
    <t>Monitors, Physiologic, Vital Signs</t>
  </si>
  <si>
    <t>Extractors, Plasma</t>
  </si>
  <si>
    <t>Tables, Operating</t>
  </si>
  <si>
    <t>Pressure Measuring Units, Esophageal</t>
  </si>
  <si>
    <t>Concentrators, Oxygen</t>
  </si>
  <si>
    <t>Stirrers</t>
  </si>
  <si>
    <t>Smoke evacuation systems, surgical</t>
  </si>
  <si>
    <t>Inventory Asset</t>
  </si>
  <si>
    <t>Nebulizers, Nonheated</t>
  </si>
  <si>
    <t>Incubators, Laboratory, Thermocycling</t>
  </si>
  <si>
    <t>IKNWOBE26005092</t>
  </si>
  <si>
    <t>IKNWOBE26005093</t>
  </si>
  <si>
    <t>IKNWOBE26005094</t>
  </si>
  <si>
    <t>IKNWOBE26005095</t>
  </si>
  <si>
    <t>IKNWOBE26005096</t>
  </si>
  <si>
    <t>IKNWOBE26005097</t>
  </si>
  <si>
    <t>IKNWOBE26005098</t>
  </si>
  <si>
    <t>IKNWOBE26005099</t>
  </si>
  <si>
    <t>IKNWOBE26005100</t>
  </si>
  <si>
    <t>IKNWOBE26005101</t>
  </si>
  <si>
    <t>IKNWOBE26005102</t>
  </si>
  <si>
    <t>IKNWOBE26005103</t>
  </si>
  <si>
    <t>IKNWOBE26005104</t>
  </si>
  <si>
    <t>IKNWOBE26005105</t>
  </si>
  <si>
    <t>IKNWOBE26005106</t>
  </si>
  <si>
    <t>IKNWOBE26005107</t>
  </si>
  <si>
    <t>IKNWOBE26005108</t>
  </si>
  <si>
    <t>IKNWOBE26005109</t>
  </si>
  <si>
    <t>IKNWOBE26005110</t>
  </si>
  <si>
    <t>IKNWOBE26005111</t>
  </si>
  <si>
    <t>IKNWOBE26005112</t>
  </si>
  <si>
    <t>IKNWOBE26005113</t>
  </si>
  <si>
    <t>IKNWOBE26005114</t>
  </si>
  <si>
    <t>IKNWOBE26005115</t>
  </si>
  <si>
    <t>IKNWOBE26005116</t>
  </si>
  <si>
    <t>IKNWOBE26005117</t>
  </si>
  <si>
    <t>IKNWOBE26005118</t>
  </si>
  <si>
    <t>IKNWOBE26005119</t>
  </si>
  <si>
    <t>IKNWOBE26005120</t>
  </si>
  <si>
    <t>IKNWOBE26005121</t>
  </si>
  <si>
    <t>IKNWOBE26005122</t>
  </si>
  <si>
    <t>IKNWOBE26005123</t>
  </si>
  <si>
    <t>IKNWOBE26005124</t>
  </si>
  <si>
    <t>IKNWOBE26005125</t>
  </si>
  <si>
    <t>IKNWOBE26005126</t>
  </si>
  <si>
    <t>IKNWOBE26005127</t>
  </si>
  <si>
    <t>IKNWOBE26005128</t>
  </si>
  <si>
    <t>IKNWOBE26005129</t>
  </si>
  <si>
    <t>IKNWOBE26005130</t>
  </si>
  <si>
    <t>IKNWOBE26005131</t>
  </si>
  <si>
    <t>IKNWOBE26005132</t>
  </si>
  <si>
    <t>IKNWOBE26005133</t>
  </si>
  <si>
    <t>IKNWOBE26005134</t>
  </si>
  <si>
    <t>IKNWOBE26005135</t>
  </si>
  <si>
    <t>IKNWOBE26005136</t>
  </si>
  <si>
    <t>IKNWOBE26005137</t>
  </si>
  <si>
    <t>IKNWOBE26005138</t>
  </si>
  <si>
    <t>IKNWOBE26005139</t>
  </si>
  <si>
    <t>IKNWOBE26005141</t>
  </si>
  <si>
    <t>IKNWOBE26005142</t>
  </si>
  <si>
    <t>IKNWOBE26005143</t>
  </si>
  <si>
    <t>IKNWOBE26005144</t>
  </si>
  <si>
    <t>IKNWOBE26005145</t>
  </si>
  <si>
    <t>IKNWOBE26005146</t>
  </si>
  <si>
    <t>IKNWOBE26005147</t>
  </si>
  <si>
    <t>IKNWOBE26005148</t>
  </si>
  <si>
    <t>IKNWOBE26005149</t>
  </si>
  <si>
    <t>IKNWOBE26005150</t>
  </si>
  <si>
    <t>IKNWOBE26005151</t>
  </si>
  <si>
    <t>IKNWOBE26005152</t>
  </si>
  <si>
    <t>IKNWOBE26005153</t>
  </si>
  <si>
    <t>IKNWOBE26005154</t>
  </si>
  <si>
    <t>IKNWOBE26005155</t>
  </si>
  <si>
    <t>IKNWOBE26005156</t>
  </si>
  <si>
    <t>IKNWOBE26005157</t>
  </si>
  <si>
    <t>IKNWOBE26005158</t>
  </si>
  <si>
    <t>IKNWOBE26005160</t>
  </si>
  <si>
    <t>IKNWOBE26005161</t>
  </si>
  <si>
    <t>IKNWOBE26005162</t>
  </si>
  <si>
    <t>IKNWOBE26005163</t>
  </si>
  <si>
    <t>IKNWOBE26005164</t>
  </si>
  <si>
    <t>IKNWOBE26005165</t>
  </si>
  <si>
    <t>IKNWOBE26005166</t>
  </si>
  <si>
    <t>IKNWOBE26005167</t>
  </si>
  <si>
    <t>IKNWOBE26005168</t>
  </si>
  <si>
    <t>IKNWOBE26005169</t>
  </si>
  <si>
    <t>IKNWOBE26005170</t>
  </si>
  <si>
    <t>IKNWOBE26005171</t>
  </si>
  <si>
    <t>IKNWOBE26005172</t>
  </si>
  <si>
    <t>IKNWOBE26005173</t>
  </si>
  <si>
    <t>IKNWOBE26005174</t>
  </si>
  <si>
    <t>IKNWOBE26005179</t>
  </si>
  <si>
    <t>IKNWOBE26005180</t>
  </si>
  <si>
    <t>IKNWOBE26005182</t>
  </si>
  <si>
    <t>IKNWOBE26005183</t>
  </si>
  <si>
    <t>IKNWOBE26005184</t>
  </si>
  <si>
    <t>IKNWOBE26005185</t>
  </si>
  <si>
    <t>IKNWOBE26005186</t>
  </si>
  <si>
    <t>IKNWOBE26005187</t>
  </si>
  <si>
    <t>IKNWOBE26005188</t>
  </si>
  <si>
    <t>IKNWOBE26005189</t>
  </si>
  <si>
    <t>IKNWOBE26005190</t>
  </si>
  <si>
    <t>IKNWOBE26005191</t>
  </si>
  <si>
    <t>IKNWOBE26005192</t>
  </si>
  <si>
    <t>IKNWOBE26005193</t>
  </si>
  <si>
    <t>IKNWOBE26005194</t>
  </si>
  <si>
    <t>IKNWOBE26005195</t>
  </si>
  <si>
    <t>IKNWOBE26005196</t>
  </si>
  <si>
    <t>IKNWOBE26005197</t>
  </si>
  <si>
    <t>IKNWOBE26005198</t>
  </si>
  <si>
    <t>IKNWOBE26005199</t>
  </si>
  <si>
    <t>IKNWOBE26005200</t>
  </si>
  <si>
    <t>IKNWOBE26005201</t>
  </si>
  <si>
    <t>IKNWOBE26005202</t>
  </si>
  <si>
    <t>IKNWOBE26005203</t>
  </si>
  <si>
    <t>IKNWOBE26005204</t>
  </si>
  <si>
    <t>IKNWOBE26005205</t>
  </si>
  <si>
    <t>IKNWOBE26005206</t>
  </si>
  <si>
    <t>IKNWOBE26005207</t>
  </si>
  <si>
    <t>IKNWOBE26005208</t>
  </si>
  <si>
    <t>IKNWOBE26005209</t>
  </si>
  <si>
    <t>IKNWOBE26005210</t>
  </si>
  <si>
    <t>IKNWOBE26005211</t>
  </si>
  <si>
    <t>IKNWOBE26005212</t>
  </si>
  <si>
    <t>IKNWOBE26005213</t>
  </si>
  <si>
    <t>IKNWOBE26005214</t>
  </si>
  <si>
    <t>IKNWOBE26005215</t>
  </si>
  <si>
    <t>IKNWOBE26005216</t>
  </si>
  <si>
    <t>IKNWOBE26005217</t>
  </si>
  <si>
    <t>IKNWOBE26005218</t>
  </si>
  <si>
    <t>IKNWOBE26005219</t>
  </si>
  <si>
    <t>IKNWOBE26005220</t>
  </si>
  <si>
    <t>IKNWOBE26005221</t>
  </si>
  <si>
    <t>IKNWOBE26005222</t>
  </si>
  <si>
    <t>IKNWOBE26005223</t>
  </si>
  <si>
    <t>IKNWOBE26005224</t>
  </si>
  <si>
    <t>IKNWOBE26005225</t>
  </si>
  <si>
    <t>IKNWOBE26005226</t>
  </si>
  <si>
    <t>IKNWOBE26005227</t>
  </si>
  <si>
    <t>IKNWOBE26005228</t>
  </si>
  <si>
    <t>IKNWOBE26005229</t>
  </si>
  <si>
    <t>IKNWOBE26005230</t>
  </si>
  <si>
    <t>IKNWOBE26005231</t>
  </si>
  <si>
    <t>IKNWOBE26005232</t>
  </si>
  <si>
    <t>IKNWOBE26005233</t>
  </si>
  <si>
    <t>IKNWOBE26005234</t>
  </si>
  <si>
    <t>IKNWOBE26005235</t>
  </si>
  <si>
    <t>IKNWOBE26005236</t>
  </si>
  <si>
    <t>IKNWOBE26005237</t>
  </si>
  <si>
    <t>IKNWOBE26005238</t>
  </si>
  <si>
    <t>IKNWOBE26005239</t>
  </si>
  <si>
    <t>IKNWOBE26005240</t>
  </si>
  <si>
    <t>IKNWOBE26005241</t>
  </si>
  <si>
    <t>IKNWOBE26005242</t>
  </si>
  <si>
    <t>IKNWOBE26005243</t>
  </si>
  <si>
    <t>IKNWOBE26005244</t>
  </si>
  <si>
    <t>IKNWOBE26005245</t>
  </si>
  <si>
    <t>IKNWOBE26005246</t>
  </si>
  <si>
    <t>IKNWOBE26005247</t>
  </si>
  <si>
    <t>IKNWOBE26005248</t>
  </si>
  <si>
    <t>IKNWOBE26005249</t>
  </si>
  <si>
    <t>IKNWOBE26005250</t>
  </si>
  <si>
    <t>IKNWOBE26005251</t>
  </si>
  <si>
    <t>IKNWOBE26005252</t>
  </si>
  <si>
    <t>IKNWOBE26005253</t>
  </si>
  <si>
    <t>IKNWOBE26005254</t>
  </si>
  <si>
    <t>IKNWOBE26005255</t>
  </si>
  <si>
    <t>IKNWOBE26005256</t>
  </si>
  <si>
    <t>IKNWOBE26005257</t>
  </si>
  <si>
    <t>IKNWOBE26005258</t>
  </si>
  <si>
    <t>IKNWOBE26005259</t>
  </si>
  <si>
    <t>IKNWOBE26005260</t>
  </si>
  <si>
    <t>IKNWOBE26005261</t>
  </si>
  <si>
    <t>IKNWOBE26005262</t>
  </si>
  <si>
    <t>IKNWOBE26005263</t>
  </si>
  <si>
    <t>IKNWOBE26005264</t>
  </si>
  <si>
    <t>IKNWOBE26005265</t>
  </si>
  <si>
    <t>IKNWOBE26005266</t>
  </si>
  <si>
    <t>IKNWOBE26005267</t>
  </si>
  <si>
    <t>IKNWOBE26005268</t>
  </si>
  <si>
    <t>IKNWOBE26005269</t>
  </si>
  <si>
    <t>IKNWOBE26005270</t>
  </si>
  <si>
    <t>IKNWOBE26005271</t>
  </si>
  <si>
    <t>IKNWOBE26005272</t>
  </si>
  <si>
    <t>IKNWOBE26005273</t>
  </si>
  <si>
    <t>IKNWOBE26005274</t>
  </si>
  <si>
    <t>IKNWOBE26005275</t>
  </si>
  <si>
    <t>IKNWOBE26005276</t>
  </si>
  <si>
    <t>IKNWOBE26005277</t>
  </si>
  <si>
    <t>IKNWOBE26005278</t>
  </si>
  <si>
    <t>IKNWOBE26005279</t>
  </si>
  <si>
    <t>IKNWOBE26005280</t>
  </si>
  <si>
    <t>IKNWOBE26005281</t>
  </si>
  <si>
    <t>IKNWOBE26005282</t>
  </si>
  <si>
    <t>IKNWOBE26005283</t>
  </si>
  <si>
    <t>IKNWOBE26005284</t>
  </si>
  <si>
    <t>IKNWOBE26005285</t>
  </si>
  <si>
    <t>IKNWOBE26005286</t>
  </si>
  <si>
    <t>IKNWOBE26005287</t>
  </si>
  <si>
    <t>IKNWOBE26005288</t>
  </si>
  <si>
    <t>IKNWOBE26005289</t>
  </si>
  <si>
    <t>IKNWOBE26005290</t>
  </si>
  <si>
    <t>IKNWOBE26005291</t>
  </si>
  <si>
    <t>IKNWOBE26005292</t>
  </si>
  <si>
    <t>IKNWOBE26005293</t>
  </si>
  <si>
    <t>IKNWOBE26005294</t>
  </si>
  <si>
    <t>IKNWOBE26005295</t>
  </si>
  <si>
    <t>IKNWOBE26005296</t>
  </si>
  <si>
    <t>IKNWOBE26005354</t>
  </si>
  <si>
    <t>IKNWOBE26005355</t>
  </si>
  <si>
    <t>IKNWOBE26005356</t>
  </si>
  <si>
    <t>IKNWOBE26005357</t>
  </si>
  <si>
    <t>IKNWOBE26005358</t>
  </si>
  <si>
    <t>IKNWOBE26005359</t>
  </si>
  <si>
    <t>IKNWOBE26005360</t>
  </si>
  <si>
    <t>IKNWOBE26005361</t>
  </si>
  <si>
    <t>IKNWOBE26005362</t>
  </si>
  <si>
    <t>IKNWOBE26005363</t>
  </si>
  <si>
    <t>IKNWOBE26005364</t>
  </si>
  <si>
    <t>IKNWOBE26005365</t>
  </si>
  <si>
    <t>IKNWOBE26005366</t>
  </si>
  <si>
    <t>IKNWOBE26005367</t>
  </si>
  <si>
    <t>IKNWOBE26005368</t>
  </si>
  <si>
    <t>IKNWOBE26005369</t>
  </si>
  <si>
    <t>IKNWOBE26005370</t>
  </si>
  <si>
    <t>IKNWOBE26005371</t>
  </si>
  <si>
    <t>IKNWOBE26005372</t>
  </si>
  <si>
    <t>IKNWOBE26005373</t>
  </si>
  <si>
    <t>IKNWOBE26005374</t>
  </si>
  <si>
    <t>IKNWOBE26005375</t>
  </si>
  <si>
    <t>IKNWOBE26005376</t>
  </si>
  <si>
    <t>IKNWOBE26005377</t>
  </si>
  <si>
    <t>IKNWOBE26005378</t>
  </si>
  <si>
    <t>IKNWOBE26005379</t>
  </si>
  <si>
    <t>IKNWOBE26005380</t>
  </si>
  <si>
    <t>IKNWOBE26005381</t>
  </si>
  <si>
    <t>IKNWOBE26005386</t>
  </si>
  <si>
    <t>IKNWOBE26005387</t>
  </si>
  <si>
    <t>IKNWOBE26005388</t>
  </si>
  <si>
    <t>IKNWOBE26005389</t>
  </si>
  <si>
    <t>IKNWOBE26005390</t>
  </si>
  <si>
    <t>IKNWOBE26005391</t>
  </si>
  <si>
    <t>IKNWOBE26005392</t>
  </si>
  <si>
    <t>IKNWOBE26005393</t>
  </si>
  <si>
    <t>IKNWOBE26005394</t>
  </si>
  <si>
    <t>IKNWOBE26005395</t>
  </si>
  <si>
    <t>IKNWOBE26005396</t>
  </si>
  <si>
    <t>IKNWOBE26005397</t>
  </si>
  <si>
    <t>IKNWOBE26005398</t>
  </si>
  <si>
    <t>IKNWOBE26005399</t>
  </si>
  <si>
    <t>IKNWOBE26005400</t>
  </si>
  <si>
    <t>IKNWOBE26005401</t>
  </si>
  <si>
    <t>IKNWOBE26005402</t>
  </si>
  <si>
    <t>IKNWOBE26005403</t>
  </si>
  <si>
    <t>IKNWOBE26005404</t>
  </si>
  <si>
    <t>IKNWOBE26005405</t>
  </si>
  <si>
    <t>IKNWOBE26005406</t>
  </si>
  <si>
    <t>IKNWOBE26005407</t>
  </si>
  <si>
    <t>IKNWOBE26005408</t>
  </si>
  <si>
    <t>IKNWOBE26005409</t>
  </si>
  <si>
    <t>IKNWOBE26005410</t>
  </si>
  <si>
    <t>04LA140</t>
  </si>
  <si>
    <t>05OT167</t>
  </si>
  <si>
    <t>05IC114</t>
  </si>
  <si>
    <t>04DO114</t>
  </si>
  <si>
    <t>04TC119</t>
  </si>
  <si>
    <t>04LA137</t>
  </si>
  <si>
    <t>04LA134</t>
  </si>
  <si>
    <t>04LA127</t>
  </si>
  <si>
    <t>03OC133</t>
  </si>
  <si>
    <t>05OT120</t>
  </si>
  <si>
    <t>01KT106</t>
  </si>
  <si>
    <t>03DU103</t>
  </si>
  <si>
    <t>05PF146</t>
  </si>
  <si>
    <t>05PF112</t>
  </si>
  <si>
    <t>01KT101</t>
  </si>
  <si>
    <t>04HP128</t>
  </si>
  <si>
    <t>05PF110</t>
  </si>
  <si>
    <t>04LA120</t>
  </si>
  <si>
    <t>09WJ130</t>
  </si>
  <si>
    <t>01RT275</t>
  </si>
  <si>
    <t>01RT278</t>
  </si>
  <si>
    <t>01RT233</t>
  </si>
  <si>
    <t>03MC107</t>
  </si>
  <si>
    <t>04DO118</t>
  </si>
  <si>
    <t>04DO120</t>
  </si>
  <si>
    <t>04DO121</t>
  </si>
  <si>
    <t>04DO138</t>
  </si>
  <si>
    <t>01RT243</t>
  </si>
  <si>
    <t>01NW105</t>
  </si>
  <si>
    <t>03NM180</t>
  </si>
  <si>
    <t>03NM142</t>
  </si>
  <si>
    <t>03WA114</t>
  </si>
  <si>
    <t>03NM138</t>
  </si>
  <si>
    <t>01AE112</t>
  </si>
  <si>
    <t>04HP104</t>
  </si>
  <si>
    <t>05IC111</t>
  </si>
  <si>
    <t>05OT150</t>
  </si>
  <si>
    <t>05IC106</t>
  </si>
  <si>
    <t>08WG107</t>
  </si>
  <si>
    <t>07WE143</t>
  </si>
  <si>
    <t>05IC112</t>
  </si>
  <si>
    <t>03WA116</t>
  </si>
  <si>
    <t>04LA131</t>
  </si>
  <si>
    <t>03NM139</t>
  </si>
  <si>
    <t>06WC107</t>
  </si>
  <si>
    <t>03MC126</t>
  </si>
  <si>
    <t>03WA107</t>
  </si>
  <si>
    <t>09WJ136</t>
  </si>
  <si>
    <t>09WJ209</t>
  </si>
  <si>
    <t>04PY130</t>
  </si>
  <si>
    <t>01-Apr-2026 00:00:00</t>
  </si>
  <si>
    <t>22-Apr-2026 00:00:00</t>
  </si>
  <si>
    <t>02-Apr-2026 00:00:00</t>
  </si>
  <si>
    <t>09-Apr-2026 00:00:00</t>
  </si>
  <si>
    <t>03-Apr-2026 00:00:00</t>
  </si>
  <si>
    <t>06-Apr-2026 00:00:00</t>
  </si>
  <si>
    <t>07-Apr-2026 00:00:00</t>
  </si>
  <si>
    <t>10-Apr-2026 00:00:00</t>
  </si>
  <si>
    <t>13-Apr-2026 00:00:00</t>
  </si>
  <si>
    <t>14-Apr-2026 00:00:00</t>
  </si>
  <si>
    <t>15-Apr-2026 00:00:00</t>
  </si>
  <si>
    <t>16-Apr-2026 00:00:00</t>
  </si>
  <si>
    <t>17-Apr-2026 00:00:00</t>
  </si>
  <si>
    <t>20-Apr-2026 00:00:00</t>
  </si>
  <si>
    <t>21-Apr-2026 00:00:00</t>
  </si>
  <si>
    <t>23-Apr-2026 00:00:00</t>
  </si>
  <si>
    <t>24-Apr-2026 00:00:00</t>
  </si>
  <si>
    <t>27-Apr-2026 00:00:00</t>
  </si>
  <si>
    <t>28-Apr-2026 00:00:00</t>
  </si>
  <si>
    <t>30-Apr-2026 00:00:00</t>
  </si>
  <si>
    <t>29-Apr-2026 00:00:00</t>
  </si>
  <si>
    <t>01-Apr-2026 15:30:00</t>
  </si>
  <si>
    <t>01-Apr-2026 14:00:00</t>
  </si>
  <si>
    <t>01-Apr-2026 09:30:00</t>
  </si>
  <si>
    <t>01-Apr-2026 11:30:00</t>
  </si>
  <si>
    <t>01-Apr-2026 08:00:00</t>
  </si>
  <si>
    <t>09-Apr-2026 14:00:00</t>
  </si>
  <si>
    <t>02-Apr-2026 10:00:00</t>
  </si>
  <si>
    <t>02-Apr-2026 11:00:00</t>
  </si>
  <si>
    <t>02-Apr-2026 18:30:00</t>
  </si>
  <si>
    <t>02-Apr-2026 16:30:00</t>
  </si>
  <si>
    <t>02-Apr-2026 17:00:00</t>
  </si>
  <si>
    <t>02-Apr-2026 18:00:00</t>
  </si>
  <si>
    <t>02-Apr-2026 10:30:00</t>
  </si>
  <si>
    <t>02-Apr-2026 11:30:00</t>
  </si>
  <si>
    <t>02-Apr-2026 12:00:00</t>
  </si>
  <si>
    <t>02-Apr-2026 09:00:00</t>
  </si>
  <si>
    <t>02-Apr-2026 08:00:00</t>
  </si>
  <si>
    <t>02-Apr-2026 09:30:00</t>
  </si>
  <si>
    <t>02-Apr-2026 12:30:00</t>
  </si>
  <si>
    <t>02-Apr-2026 15:40:00</t>
  </si>
  <si>
    <t>02-Apr-2026 13:30:00</t>
  </si>
  <si>
    <t>02-Apr-2026 15:00:00</t>
  </si>
  <si>
    <t>03-Apr-2026 08:00:00</t>
  </si>
  <si>
    <t>03-Apr-2026 12:00:00</t>
  </si>
  <si>
    <t>03-Apr-2026 15:00:00</t>
  </si>
  <si>
    <t>06-Apr-2026 08:00:00</t>
  </si>
  <si>
    <t>06-Apr-2026 09:00:00</t>
  </si>
  <si>
    <t>06-Apr-2026 10:00:00</t>
  </si>
  <si>
    <t>06-Apr-2026 11:00:00</t>
  </si>
  <si>
    <t>06-Apr-2026 14:30:00</t>
  </si>
  <si>
    <t>06-Apr-2026 16:00:00</t>
  </si>
  <si>
    <t>06-Apr-2026 17:30:00</t>
  </si>
  <si>
    <t>06-Apr-2026 13:00:00</t>
  </si>
  <si>
    <t>06-Apr-2026 17:50:00</t>
  </si>
  <si>
    <t>06-Apr-2026 18:00:00</t>
  </si>
  <si>
    <t>06-Apr-2026 17:00:00</t>
  </si>
  <si>
    <t>06-Apr-2026 18:15:00</t>
  </si>
  <si>
    <t>06-Apr-2026 18:30:00</t>
  </si>
  <si>
    <t>06-Apr-2026 19:00:00</t>
  </si>
  <si>
    <t>07-Apr-2026 14:00:00</t>
  </si>
  <si>
    <t>07-Apr-2026 08:00:00</t>
  </si>
  <si>
    <t>07-Apr-2026 09:00:00</t>
  </si>
  <si>
    <t>07-Apr-2026 11:00:00</t>
  </si>
  <si>
    <t>07-Apr-2026 10:00:00</t>
  </si>
  <si>
    <t>07-Apr-2026 18:00:00</t>
  </si>
  <si>
    <t>07-Apr-2026 18:30:00</t>
  </si>
  <si>
    <t>07-Apr-2026 17:30:00</t>
  </si>
  <si>
    <t>07-Apr-2026 16:00:00</t>
  </si>
  <si>
    <t>07-Apr-2026 12:00:00</t>
  </si>
  <si>
    <t>07-Apr-2026 15:00:00</t>
  </si>
  <si>
    <t>07-Apr-2026 19:00:00</t>
  </si>
  <si>
    <t>02-Apr-2026 14:50:00</t>
  </si>
  <si>
    <t>13-Apr-2026 09:00:00</t>
  </si>
  <si>
    <t>14-Apr-2026 15:30:00</t>
  </si>
  <si>
    <t>15-Apr-2026 08:00:00</t>
  </si>
  <si>
    <t>15-Apr-2026 18:40:00</t>
  </si>
  <si>
    <t>15-Apr-2026 17:40:00</t>
  </si>
  <si>
    <t>15-Apr-2026 16:00:00</t>
  </si>
  <si>
    <t>15-Apr-2026 15:00:00</t>
  </si>
  <si>
    <t>15-Apr-2026 14:00:00</t>
  </si>
  <si>
    <t>15-Apr-2026 12:00:00</t>
  </si>
  <si>
    <t>15-Apr-2026 11:50:00</t>
  </si>
  <si>
    <t>15-Apr-2026 21:00:00</t>
  </si>
  <si>
    <t>15-Apr-2026 20:00:00</t>
  </si>
  <si>
    <t>16-Apr-2026 12:00:00</t>
  </si>
  <si>
    <t>16-Apr-2026 11:00:00</t>
  </si>
  <si>
    <t>16-Apr-2026 15:00:00</t>
  </si>
  <si>
    <t>16-Apr-2026 14:00:00</t>
  </si>
  <si>
    <t>16-Apr-2026 10:00:00</t>
  </si>
  <si>
    <t>17-Apr-2026 09:45:00</t>
  </si>
  <si>
    <t>17-Apr-2026 10:00:00</t>
  </si>
  <si>
    <t>20-Apr-2026 17:50:00</t>
  </si>
  <si>
    <t>20-Apr-2026 15:00:00</t>
  </si>
  <si>
    <t>20-Apr-2026 14:00:00</t>
  </si>
  <si>
    <t>20-Apr-2026 10:00:00</t>
  </si>
  <si>
    <t>20-Apr-2026 11:00:00</t>
  </si>
  <si>
    <t>20-Apr-2026 12:00:00</t>
  </si>
  <si>
    <t>20-Apr-2026 09:00:00</t>
  </si>
  <si>
    <t>20-Apr-2026 08:00:00</t>
  </si>
  <si>
    <t>21-Apr-2026 20:00:00</t>
  </si>
  <si>
    <t>21-Apr-2026 10:00:00</t>
  </si>
  <si>
    <t>21-Apr-2026 17:40:00</t>
  </si>
  <si>
    <t>22-Apr-2026 14:00:00</t>
  </si>
  <si>
    <t>22-Apr-2026 11:00:00</t>
  </si>
  <si>
    <t>23-Apr-2026 17:30:00</t>
  </si>
  <si>
    <t>23-Apr-2026 16:30:00</t>
  </si>
  <si>
    <t>23-Apr-2026 13:00:00</t>
  </si>
  <si>
    <t>23-Apr-2026 18:00:00</t>
  </si>
  <si>
    <t>24-Apr-2026 16:00:00</t>
  </si>
  <si>
    <t>24-Apr-2026 15:00:00</t>
  </si>
  <si>
    <t>24-Apr-2026 09:00:00</t>
  </si>
  <si>
    <t>24-Apr-2026 11:00:00</t>
  </si>
  <si>
    <t>24-Apr-2026 10:00:00</t>
  </si>
  <si>
    <t>24-Apr-2026 12:00:00</t>
  </si>
  <si>
    <t>24-Apr-2026 13:00:00</t>
  </si>
  <si>
    <t>27-Apr-2026 10:15:00</t>
  </si>
  <si>
    <t>27-Apr-2026 09:30:00</t>
  </si>
  <si>
    <t>27-Apr-2026 09:00:00</t>
  </si>
  <si>
    <t>27-Apr-2026 12:00:00</t>
  </si>
  <si>
    <t>27-Apr-2026 15:00:00</t>
  </si>
  <si>
    <t>27-Apr-2026 14:00:00</t>
  </si>
  <si>
    <t>27-Apr-2026 17:40:00</t>
  </si>
  <si>
    <t>27-Apr-2026 11:00:00</t>
  </si>
  <si>
    <t>27-Apr-2026 13:00:00</t>
  </si>
  <si>
    <t>27-Apr-2026 08:00:00</t>
  </si>
  <si>
    <t>27-Apr-2026 15:30:00</t>
  </si>
  <si>
    <t>27-Apr-2026 14:30:00</t>
  </si>
  <si>
    <t>28-Apr-2026 09:00:00</t>
  </si>
  <si>
    <t>28-Apr-2026 15:00:00</t>
  </si>
  <si>
    <t>29-Apr-2026 09:30:00</t>
  </si>
  <si>
    <t>29-Apr-2026 08:00:00</t>
  </si>
  <si>
    <t>29-Apr-2026 09:00:00</t>
  </si>
  <si>
    <t>29-Apr-2026 10:00:00</t>
  </si>
  <si>
    <t>30-Apr-2026 15:00:00</t>
  </si>
  <si>
    <t>30-Apr-2026 10:00:00</t>
  </si>
  <si>
    <t>30-Apr-2026 18:50:00</t>
  </si>
  <si>
    <t>30-Apr-2026 09:00:00</t>
  </si>
  <si>
    <t>30-Apr-2026 17:40:00</t>
  </si>
  <si>
    <t>30-Apr-2026 11:00:00</t>
  </si>
  <si>
    <t>30-Apr-2026 08:00:00</t>
  </si>
  <si>
    <t>30-Apr-2026 09:30:00</t>
  </si>
  <si>
    <t>30-Apr-2026 16:00:00</t>
  </si>
  <si>
    <t xml:space="preserve">L, QE:16-PPM COMPLETE AS PER CHECKLIST , UNIT TESTED OKAY
</t>
  </si>
  <si>
    <t xml:space="preserve">M,QE:16-PPM DONE AS PER HEPPM CHECKLIST ATTACHED </t>
  </si>
  <si>
    <t>L, QE:16-ROUTINE INSPECTION DONE AS PER CHECKLIST ATTACHED UNIT FUNCTIONING IN GOOD CONDITION</t>
  </si>
  <si>
    <t xml:space="preserve">L, QE:16-MAINTAINANCE DONE AS PER HEPPM CHECKLIST ATTACHED UNIT FUNCTIONING IN GOOD CONDITION
</t>
  </si>
  <si>
    <t xml:space="preserve">L, QE:16-MAINTAINANCE DONE AS PER HEPPM CHECKLIST ATTACHED UNIT FUNCTIONING IN GOOD CONDITION 
</t>
  </si>
  <si>
    <t xml:space="preserve">L, QE:16-PPM DONE AS PERCHEKLIST </t>
  </si>
  <si>
    <t xml:space="preserve">M,QE:16-PPM DONE AS PER VENDOR CHECKLIST ATTACHED </t>
  </si>
  <si>
    <t xml:space="preserve">L, QE:16-PPM DONE AS PER HEPPM CHECKLIST ATTACHED
</t>
  </si>
  <si>
    <t xml:space="preserve">M,QE:16-PPM DONE AS PER HEPPM CHECKLIST ATTACHED 
</t>
  </si>
  <si>
    <t>AN- QE:16. PPM DONE AS PER ATTACHMENT</t>
  </si>
  <si>
    <t xml:space="preserve">AN- QE:16. PPM DONE AS PER VENDOR CHECKLIST ATTACHED </t>
  </si>
  <si>
    <t xml:space="preserve">AN- QE:16. PPM HAS BEEN COMPLETED AS PER HEPPM CHECKLIST 
</t>
  </si>
  <si>
    <t xml:space="preserve">AN- QE:16. PPM DONE AS PER VENDOR CHECKLIST </t>
  </si>
  <si>
    <t xml:space="preserve">L, QE:16-MAINTAINANCE DONE ACCORDING TO HEPPM CHECKLIST ATTACHED UNIT FUNCTIONING IN GOOD CONDITION 
</t>
  </si>
  <si>
    <t>AN- QE:16. PPM HAS BEEN COMPLETED</t>
  </si>
  <si>
    <t xml:space="preserve">L, QE:16-MAINTAINANCE DONE AS CALIBRATION CERTIFICATE ATTACHED UNIT FUNCTIONING IN GOOD CONDITION 
</t>
  </si>
  <si>
    <t xml:space="preserve">L, QE:16-CALIBRATION COMPLETE BY VENDOR , UNIT TESTED OKAY
</t>
  </si>
  <si>
    <t xml:space="preserve">L, QE:16-PPM DONE AS PER HEPPM CHECKLIST </t>
  </si>
  <si>
    <t xml:space="preserve">L, QE:16-PPM DONE AS PERCHEKLIST 
</t>
  </si>
  <si>
    <t>L, QE:16-PPM NOT DONE, UNIT UNDER BER</t>
  </si>
  <si>
    <t xml:space="preserve">AN- QE:10. PPM NOT DONE, UNIT PROPOSED FOR BER </t>
  </si>
  <si>
    <t xml:space="preserve">L, QE:16-MAINTAINANCE DONE AS PER HEPPM CHECKLIST ATTACHED UNIT FUNCTIONING IN GOOD CONDITION </t>
  </si>
  <si>
    <t>L, QE:12-UNIT UNDER REIMBURSE, REFER ATTACH REPORT LP/ AWSB/IKN/BEMS/ASSET PROPASED FOR BER</t>
  </si>
  <si>
    <t xml:space="preserve">L, QE:12-PPM DONE AS PERCHECKLIST 
</t>
  </si>
  <si>
    <t xml:space="preserve">L, QE:16-MAINTAINANCE DONE AS PER HEPPM CHECKLIST </t>
  </si>
  <si>
    <t>AN- QE:16, CALIBRATION DONE BY TRACERCO ASIA AS PER CALIBRATION CERTIFICATE ATTACHED</t>
  </si>
  <si>
    <t xml:space="preserve">AN- QE:16, MAINTENANCE DONE AS PER HEPPM CHECKLIST ATTACHED, UNIT FUNCTIONING IN GOOD CONDITION </t>
  </si>
  <si>
    <t xml:space="preserve">AN- QE:16, MAINTENANCE DONE ACCORDING TO HEPPM CHECKLIST ATTACHED, UNIT FUNCTIONING IN GOOD CONDITION </t>
  </si>
  <si>
    <t>L, QE:16-CALIBRATION COMPLETE  BY VENDOR , UNIT TESTED OKAY</t>
  </si>
  <si>
    <t>L, QE:16-MACHINE ALREADY DISMANTLE . PPM NOT DONE</t>
  </si>
  <si>
    <t>L, QE:16 -PPM COMPLETE AS PER HEPPM CHECKLIST</t>
  </si>
  <si>
    <t xml:space="preserve">AN- QE:16, MAINTENANCE DONE AS PER HEPPM CHERCKLIST ATTACHED, UNIT FUNCTIONING IN GOOD CONDITION </t>
  </si>
  <si>
    <t xml:space="preserve">AN- QE:16. MAINTENANCE DONE AS PER HEPPM CHECKLIST ATTACHED, UNIT FUNCTIONING IN GOOD CONDITION </t>
  </si>
  <si>
    <t xml:space="preserve">AN- QE:16. MAITENANCE DONE AS PER HEPPM CHECKLIST ATTACHED, UNIT FUNCTIONING IN GOOD CONDITION </t>
  </si>
  <si>
    <t xml:space="preserve">AN- QE:16. MAINTENANCE DONE ACCORDING TO HEPPM CHECKLIST ATTACHED, UNIT FUNCTIONING IN GOOD CONDITION </t>
  </si>
  <si>
    <t xml:space="preserve">AN QE:16, MAINTENANCE DONE AS PER HEPPM CHECKLIST ATTACHED, UNIT FUNCTIONING IN GOOD CONDITION </t>
  </si>
  <si>
    <t>AN- QE:16. MAINTENANCE DONE AS PER HEPPM CHECKLIST ATTACHED, UNIT FUNCTIONING IN GOOD CONDITION</t>
  </si>
  <si>
    <t>L, QE:16-PPM DONE AS PER HEPPM CHECKLIST ATTACHED</t>
  </si>
  <si>
    <t xml:space="preserve">L, QE:16-PPM DONE AS PER CHECKLIST </t>
  </si>
  <si>
    <t>L, QE:16-MAINTAINANCE DONE AS PER HEPPM CHECKLIST ATTACHED UNIT FUNCTIONING IN GOOD CONDITION</t>
  </si>
  <si>
    <t>L, QE:16 -PPM DONE AS PERCHECKLIST</t>
  </si>
  <si>
    <t>L, QE:16 -MAINTENANCE DONE ACCORDING TO  HEPPM CHECKLIST ATTACHED</t>
  </si>
  <si>
    <t xml:space="preserve">M,QE:16-PPM HAS BEEN COMPLETED AS PER HEPPM CHECKLIST </t>
  </si>
  <si>
    <t xml:space="preserve">M,QE16- PPM NOT DONE DUE TO ASSET NOT FUNCTION AND ALREADY UNDER BER </t>
  </si>
  <si>
    <t xml:space="preserve">M, QE:16- PPM HAS BEEN COMPLETED AS PER HEPPM CHECKLIST </t>
  </si>
  <si>
    <t xml:space="preserve">M, QE:16-PPM HAS BEEN COMPLETED AS PER HEPPM CHECKLIST </t>
  </si>
  <si>
    <t xml:space="preserve">M,QE:16- PPM HAS BEEN COMPLETED AS PER HEPPM CHECKLIST </t>
  </si>
  <si>
    <t>M,QE:16-PPM HAS BEEN COMPELETED AS PER HEPPM CHECKLIST</t>
  </si>
  <si>
    <t xml:space="preserve">M,QE:16-RI HAS BEEN COMPLETED AS PER CHECKLIST </t>
  </si>
  <si>
    <t>L, QE:16-PPM COMPLETE AS PER CHECKLIST , UNIT TESTED OKAY</t>
  </si>
  <si>
    <t>L, QE:16 -PPM HAS BEEN COMPLETE AS PER HEPPM CHECKLIST</t>
  </si>
  <si>
    <t>L, QE:16 -MAINTENANCE DONE AS PER HEPPM CHECKLIST ATTACHED,  UNIT FUNCTIONING IN GOOD CONDITION</t>
  </si>
  <si>
    <t>L, QE:16 -MAINTENANCE DONE  ACCORDING TO HEPPM CHECKLIST ATTACHED,  UNIT FUNCTIONING IN GOOD CONDITION</t>
  </si>
  <si>
    <t xml:space="preserve">L, QE:12-PPM DONE AS PERCHECKLIST </t>
  </si>
  <si>
    <t>PPM DONE AS PERCHECKLIST BY VENDOR B BRAUN</t>
  </si>
  <si>
    <t>PPM COMPLETED AS PER CHECKLIST. UNIT TESTED FUNCTIONING OKAY.</t>
  </si>
  <si>
    <t>USER TRAINING FOR SIMULATOR MULTIPARAMETER</t>
  </si>
  <si>
    <t>DONE DO THE USER TRAINING FOR SIMULATOR MULTIPARAMETER</t>
  </si>
  <si>
    <t>USER TRAINING FOR ECG MACHINE</t>
  </si>
  <si>
    <t>DONE DO THE USER TRAINING FOR ECG MACHINE</t>
  </si>
  <si>
    <t>IKN402265</t>
  </si>
  <si>
    <t xml:space="preserve">T&amp;C - Patient Monitoring System </t>
  </si>
  <si>
    <t>Tester</t>
  </si>
  <si>
    <t>0 days, 0 hrs, 05 mins</t>
  </si>
  <si>
    <t>L, QE:12- UNIT KEEP PUMPING READING BP NOT APPEAR ERROR 803, UNIT FOUND LACK OF AIR , CHECK TUBING MAKE SURE NO COGGED, TEST UNIT AIR, BP READING APPEAR, UNIT FIT TO USE</t>
  </si>
  <si>
    <t>MLC ERROR INTERMITTEN</t>
  </si>
  <si>
    <t>0 days, 0 hrs, 35 mins</t>
  </si>
  <si>
    <t>BE SIDE LEAF STUCK, REPLACE HALF HD MOTOR FOR SIDE B LEAF</t>
  </si>
  <si>
    <t>LINAC VACUUM TARGET DROP</t>
  </si>
  <si>
    <t>0 days, 0 hrs, 08 mins</t>
  </si>
  <si>
    <t>RESET VACUUM BREAKER AND LET HOLD FOR 10 MINUTES. UNIT RETURN TO NORMAL CONDITION AND TESTED PASS.</t>
  </si>
  <si>
    <t>SENTINEL PC HANG</t>
  </si>
  <si>
    <t>INACTIVATE THE PATIENT DATA SELECTED AND STORED/ARCHIVE TO EXTERNAL DISK. TESTED-PASS AND UNIT LEFT WITH GOOD WORKING CONDITION.</t>
  </si>
  <si>
    <t>MACHINE NOVALIS KELUAR ERROR 'UDR1','UDR2'.</t>
  </si>
  <si>
    <t>0 days, 0 hrs, 27 mins</t>
  </si>
  <si>
    <t xml:space="preserve">UDR1' AND 'UDR2' INTERLOCK SHOW UP DURING ENERGIZE 100MU, 6MV. WARM-UP MACHINE LITTLE BIT MORE BECAUSE ITS TOO COLD. TESTED-PASS AND MACHINE LEFT WITH FULL FUNCTIONALITY. </t>
  </si>
  <si>
    <t>UPS FAILURE.</t>
  </si>
  <si>
    <t>0 days, 0 hrs, 02 mins</t>
  </si>
  <si>
    <t>UPS BATTERY DEPLETED. REPLACED WITH NEW UPS AND TESTED-PASS. UNIT LEFT IN GOOD WORKING CONDITION.</t>
  </si>
  <si>
    <t>WATER TEMPERATURE HIGH</t>
  </si>
  <si>
    <t>0 days, 0 hrs, 09 mins</t>
  </si>
  <si>
    <t>CHILLER UNIT WATER VALVE STUCK. RESET CHILLER VALVE AND BACK TO NORMAL CONDITION. TESTED-PASS AND UNIT L;EFT IN FULLY FUNCTIONAL</t>
  </si>
  <si>
    <t>CCHU ERROR</t>
  </si>
  <si>
    <t>LONGITUDIAL CABLE GLITCH FROM COUCH RAIL. REPLACED WITH NEW CABLE AND TESTED-PASS. UNIT LEFT IN GOOD WORKING CONDITION.</t>
  </si>
  <si>
    <t>LINAC 5 KELUAR BGM MODE</t>
  </si>
  <si>
    <t>LINAC Accelerators</t>
  </si>
  <si>
    <t xml:space="preserve">Linear Accelerators </t>
  </si>
  <si>
    <t>Rm 20,550.421.50</t>
  </si>
  <si>
    <t>KKM/H/IKN/25/353</t>
  </si>
  <si>
    <t>0 days, 0 hrs, 37 mins</t>
  </si>
  <si>
    <t>MESIN RIPPLE MATTRESS KEMPIS</t>
  </si>
  <si>
    <t>0 days, 1 hrs, 03 mins</t>
  </si>
  <si>
    <t>LASER PUDAR BAHAGIAN KANAN</t>
  </si>
  <si>
    <t>PROB: LASER MODULE FAULTY
QUO DATE : 14/4/2026 FROM VENDOR DELTA
PO DATE : 24/4/2026 (PO:AWSB-72348)
ETA : END MAY 2026</t>
  </si>
  <si>
    <t>REBOOT WHOLE SYSTEM AND SYSTEM BACK TO NORMAL CONDITIONS. UNIT LEFT WITH FULLY FUNCTIONAL.</t>
  </si>
  <si>
    <t xml:space="preserve">NOT FUNCTIONING
</t>
  </si>
  <si>
    <t>ADDING PRESSURE BACK TO NORMAL RANGE WHILE TRACING THE LEAKAGE. FOUND THAT EXPENSION VESSEL PRESSURE MALFUNCTION. REPLACED AND TESTED-PASS</t>
  </si>
  <si>
    <t>LINAC 2, WATER PRESSURE LOW</t>
  </si>
  <si>
    <t>NOVALIS COMUNICATION ERROR AUTO SHUTDOWN</t>
  </si>
  <si>
    <t>RESET AND REINITIALIZED WHOLE SYSTEM, ALL WORKING IN NORMAL CONDITION. NO INTERLOCKS SHOW UP AND TESTED-PASS. UNIT LEFT IN GOOD WORKING CONDITION.</t>
  </si>
  <si>
    <t xml:space="preserve">KEYPAD NOT FUNCTIONING
</t>
  </si>
  <si>
    <t>BACAAN VACUUM DROP</t>
  </si>
  <si>
    <t>RESTART VACUUM FROM ISOLATOR AND WAIT UNTIL 10 MINUTES TO TURN ON AGAIN. TESTED-PASS AND VACUUM VALUE SUSTAIN. UNIT LEFT IN GOOD WORKING CONDITION.</t>
  </si>
  <si>
    <t>WARMER TIDAK PANAS</t>
  </si>
  <si>
    <t>0 days, 0 hrs, 11 mins</t>
  </si>
  <si>
    <t>CLEAN AND RESIT HEATER CONNECTION. RECALIBRATED AND TESTED-PASS. UNIT RETURNED WITH FULL FUNCTIONALITY.</t>
  </si>
  <si>
    <t>LINAC 5 SERVER OFFLINE</t>
  </si>
  <si>
    <t>0 days, 0 hrs, 07 mins</t>
  </si>
  <si>
    <t>NETWORK SWITCH FAULTY. REPLACED WITH NEW NETWORK SWITCH AND TESTED-PASS. UNIT LEFT IN FULL FUNCTIONALITY.</t>
  </si>
  <si>
    <t>CM-MONACO MONTHLY CHECKING</t>
  </si>
  <si>
    <t>MONTHLY CHECKING FOR TPS MONACO.</t>
  </si>
  <si>
    <t>ECG MACHINE</t>
  </si>
  <si>
    <t>IKN402261</t>
  </si>
  <si>
    <t>LINAC 2 VACUUM TARGET DROP</t>
  </si>
  <si>
    <t>RECONDITIONING VACUUM AND RESET THROUGH ISOLATOR. TESTED-PASS AND UNIT LEFT IN GOOD WORKING CONDTION.</t>
  </si>
  <si>
    <t>NOVALIS MLC ERROR</t>
  </si>
  <si>
    <t>0 days, 1 hrs, 12 mins</t>
  </si>
  <si>
    <t>REINITIALISED AND CLEAN MLC. UNIT WERE TESTED-OK AND UNIT LEFT IN GOOD WORKING CONDITION.</t>
  </si>
  <si>
    <t>NOVALIS MLC PROBLEM</t>
  </si>
  <si>
    <t>SWAP BOTH SIDE MOTOR DRIVER AND HEAD TRANSCEIVER BOARD. REINITIALIZE MLC AND TESTED-OK. UNIT LEFT IN GOOD WORKING CONDITION.</t>
  </si>
  <si>
    <t>NOT FUNCTION</t>
  </si>
  <si>
    <t xml:space="preserve">SUCTION LOW PRESSURE
</t>
  </si>
  <si>
    <t>Quotation received : 18/02/26
PO Date : 19/2/26
Waiting Parts (housing)
ETA : Middle Appril 2026
M-REPLACE NEW KEYPAD BOARD HOUSING. TESTED OKAY AND FUNCTIONING IN GOOD CONDITION</t>
  </si>
  <si>
    <t xml:space="preserve">1 YEAR </t>
  </si>
  <si>
    <t xml:space="preserve">PREDICTIVE MAINTENANCE SPECT CT
</t>
  </si>
  <si>
    <t xml:space="preserve">UNIT UNDER BREAKDOWN
</t>
  </si>
  <si>
    <t>0 days, 1 hrs, 40 mins</t>
  </si>
  <si>
    <t xml:space="preserve">BP SET CANNOT READING
</t>
  </si>
  <si>
    <t>ANGULATION NOT FUNCTIONING PROPERLY</t>
  </si>
  <si>
    <t>PROB: ANGULATION PROBLEM
DN : 7/4/2026 (DONE GIVE LOANER UNIT)
STATUS : SEND TO VENDOR (HOSPIMETRIX SDN BHD) FOR FURTHER TROUBLESHOOT.</t>
  </si>
  <si>
    <t>0 days, 0 hrs, 47 mins</t>
  </si>
  <si>
    <t>TUBING ROSAK</t>
  </si>
  <si>
    <t xml:space="preserve">
CONNECTOR RIPPLE MATTRESS ROSAK</t>
  </si>
  <si>
    <t>BUTTON TRANSPORT RIPPLE MATTRESS TERCABUT</t>
  </si>
  <si>
    <t xml:space="preserve">PASANG DATA LOGGER
</t>
  </si>
  <si>
    <t xml:space="preserve">GAMMA COUNTER SCREEN BLANK
</t>
  </si>
  <si>
    <t>WIRE CUFF MACHINE BP ROSAK</t>
  </si>
  <si>
    <t>PPM DONE AS AS PERCHECKLIST</t>
  </si>
  <si>
    <t>PPM DONE AS S PERCHECKLIST</t>
  </si>
  <si>
    <t>PPM DONE AS A PERCHECKLIST</t>
  </si>
  <si>
    <t>RESPIMEDIC SDN BHD</t>
  </si>
  <si>
    <t>30-Apr-2026 12:00:00</t>
  </si>
  <si>
    <t>30-Apr-2026 13:00:00</t>
  </si>
  <si>
    <t xml:space="preserve">AN- QE:16. PPM WARRANTY DONE AS PER VENDOR CHECKLIST ATTACHED </t>
  </si>
  <si>
    <t>30-Apr-2026 18:00:00</t>
  </si>
  <si>
    <t xml:space="preserve">AN- QE:16. PPM WAARRANTY DONE AS PER VENDOR CHECKLIST ATTACHED </t>
  </si>
  <si>
    <t xml:space="preserve">AN- QE:16. PPM WARRANTY DONE BY VENDOR AS PER ATTACHED DOCUMENT </t>
  </si>
  <si>
    <t xml:space="preserve">AN- QE:16, PPM DONE AS PER HEPPM CHECKLIST ATTACHED </t>
  </si>
  <si>
    <t xml:space="preserve">AN- QE:16. PPM DONE AS PER CHECKLIST ATTACHED </t>
  </si>
  <si>
    <t>Sent for calibration DN: 5/12/2025  DUE:12/12/25   PO: 10126725 (7/10/2025). Return from VNA Engineering. Need to provide new PO from Agensi Nuklear. Quot received 6/3/26. CALIBRATION COMPLETED BY VENDOR</t>
  </si>
  <si>
    <t>INFUSION PUMP ROSAK</t>
  </si>
  <si>
    <t>0 days, 0 hrs, 40 mins</t>
  </si>
  <si>
    <t>UNIT TIMING OUT AND NOT TALLY. SET TIME RUN UNIT AND TESTED OK</t>
  </si>
  <si>
    <t>REQ- TUKAR CYLINDER GAS OXYGEN -UNIT MIKRO PATOLGI ARAS 4</t>
  </si>
  <si>
    <t>MESIN ARKITEK LEAKING  PATOLOGI</t>
  </si>
  <si>
    <t>ECG- CABLE NOT DETECT</t>
  </si>
  <si>
    <t>0 days, 0 hrs, 53 mins</t>
  </si>
  <si>
    <t>MACHINE CANNOT SHOOT</t>
  </si>
  <si>
    <t>MACHINE IRIS STRIP</t>
  </si>
  <si>
    <t>WIRE MACHINE ECG CANNOT DETECT</t>
  </si>
  <si>
    <t>REPLACED WITH NEW TRUNK AND LEAD CABLE, TESTED-PASS. UNIT LEFT IN FULL FUNCTIONALITY.</t>
  </si>
  <si>
    <t>MESIN ECG BACAAN GRAF TIDAK KELUAR - 8B ARAS 8</t>
  </si>
  <si>
    <t>RIPPLE MATTRESS CONNECTOR ROSAK - WAD 8B</t>
  </si>
  <si>
    <t>MACHINE ECG NOT FUNCTION- KLINIK NUKLEAR ARAS 3</t>
  </si>
  <si>
    <t>REQ-CALIBRATE SCALES- 8A</t>
  </si>
  <si>
    <t>MACHINE ECG 'SCREEN MACHINE FAULTY'-9A</t>
  </si>
  <si>
    <t>RIPPLE MATTRESS TIDAK KEMBANG-DI KATIL 7 9A</t>
  </si>
  <si>
    <t>MACHINE XRAY HANG- RADIOLOGI ARAS 3</t>
  </si>
  <si>
    <t>MACHINE CANNOT RUN TURN ON-</t>
  </si>
  <si>
    <t>CHARGER INFUSION PUMP CANNOT FUNCTION</t>
  </si>
  <si>
    <t>CM- Myrian Monthly checking</t>
  </si>
  <si>
    <t>USER REQUEST-CLEAN WASTE LINE</t>
  </si>
  <si>
    <t>MESIN ELITE PRO ERROR NO FLUSH -OPTIC ERROR PATOLOGI ARAS 4</t>
  </si>
  <si>
    <t>RODA TAYAR MESIN BP PECAH/ROSAK - WAD 8B</t>
  </si>
  <si>
    <t>RODA MESIN PECAH - WAD 8B</t>
  </si>
  <si>
    <t>REQUEST CHECK DETECTOR</t>
  </si>
  <si>
    <t>CM- BUTTON ON NOT FUNCTIONING</t>
  </si>
  <si>
    <t>REPLACE NEW TANK AND OK</t>
  </si>
  <si>
    <t>STRIP CONVEYOR STUCK, DONE CLEAN THE MOTOR AND TESTED OK</t>
  </si>
  <si>
    <t xml:space="preserve">PROB : ECG FAULTY
QUO DATE : 28/4/2026
PO DATE : 5/5/2026 (AWSB-72179)
STATUS : WAITING PARTS FROM VENDOR RICHONE
ETA : Middle May 2026
</t>
  </si>
  <si>
    <t>PROB: RO BOTTLE CRACK
QUO DATE : 16/4/2026 (Q3121389) 
PO DATE : 24/4/2026 (AWSB-72351)
ETA : Middle May 2026</t>
  </si>
  <si>
    <t>18-147</t>
  </si>
  <si>
    <t>15-073</t>
  </si>
  <si>
    <t>Bronchoscopes, Flexible</t>
  </si>
  <si>
    <t>13-469</t>
  </si>
  <si>
    <t>Analyzers, Laboratory, Immunoassay, Chemiluminescent</t>
  </si>
  <si>
    <t>17-916</t>
  </si>
  <si>
    <t>Analyzers, Laboratory, Urine, Automated</t>
  </si>
  <si>
    <t>16-378</t>
  </si>
  <si>
    <t>RW</t>
  </si>
  <si>
    <t>Resheduled due to unit send to calibrate-CALIBRATION AND MAINTENANCE DONE AS A PERCHECKLIST ATTACHED.</t>
  </si>
  <si>
    <t>Resheduled Vendor Not Available. WARRANTY PPM COMPLETED BY VENDOR. UNIT FUNCTIONING OKAY.</t>
  </si>
  <si>
    <t>RECHEDULED ASSET NOT FOUND. UNIT FOUND 
&amp; PPM COMPLETE AS PER CHECKLIST , UNIT TESTED OKAY</t>
  </si>
  <si>
    <t>RECHEDULED DUE TO SEND FOR CALIBRATION,    WAITING ITEM
PO : 71857 (17/3/2026)
ETA : 9/4/2026
L, QE:16-CALIBRATION COMPLETE  BY VENDOR , UNIT TESTED OKAY</t>
  </si>
  <si>
    <t>RECHEDULED DUE TO SEND FOR CALIBRATION. WAITING ITEM
PO : 71857 (17/3/2026)
ETA : 9/4/2026
L, QE:16-CALIBRATION COMPLETE  BY VENDOR , UNIT TESTED OKAY</t>
  </si>
  <si>
    <t xml:space="preserve">RECHEDULED DUE TO ASSET IN USE  M,QE:16-
PPM HAS BEEN COMPLETED AS PER HEPPM CHECKLIST </t>
  </si>
  <si>
    <t>RECHEDULED DUE TO WAITING VENDOR FOR DO THE PPM
PO : 71836 (17/3/2026)
ETA : 7/4/2026
L, QE:16-CALIBRATION COMPLETE  BY VENDOR , UNIT TESTED OKAY</t>
  </si>
  <si>
    <t xml:space="preserve">RECHEDULED DUE TO SEND FOR CALIBRATION. WAITING ITEM
PO : 71857 (17/3/2026)
ETA : 9/4/2026
L, QE:16-CALIBRATION COMPLETE  BY VENDOR , UNIT TESTED OKAY </t>
  </si>
  <si>
    <t>RECHEDULED DUE TO UNIT IN USED M,QE:(ASSET IN USE)
16-PPM HAS BEEN COMPLETED AS PER HEPPM CHECKLIST</t>
  </si>
  <si>
    <t>RECHEDULED DUE TO UNIT IN USED M,QE:16-(ASSET IN USE)PPM HAS BEEN COMPLETED AS PER HEPPM CHECKLIST</t>
  </si>
  <si>
    <t>RECHEDULED DUE TO UNIT SEND FOR  CALIBRATION AND MAINTENANCE DONE AS A PERCHECKLIST ATTACHED.</t>
  </si>
  <si>
    <t>RECHEDULED DUE TO VENDOR NOT AVAILABLE
ETA : 17/4/2026
(MEDI-DIAGNOSTIC)
CALIBRATION AND MAINTENANCE DONE AS A PERCHECLIST.</t>
  </si>
  <si>
    <t>TA done on 20/2/26.Quotation send to IKN done. Request repair under RIW. Decide BER unit Close wo due to asset proposed for BER</t>
  </si>
  <si>
    <t>y</t>
  </si>
  <si>
    <t>Waiting Que calibrate</t>
  </si>
  <si>
    <t>Rescheduled Unit in used Done on 13 Apr 2026</t>
  </si>
  <si>
    <t xml:space="preserve">PROB: SHUTTER VALVE FAULTY
QUO DATE :Waiting Quot 
</t>
  </si>
  <si>
    <r>
      <rPr>
        <sz val="42"/>
        <rFont val="Arial"/>
        <family val="2"/>
      </rPr>
      <t>PROB : INVERTER ERROR               Waiting Quot Part</t>
    </r>
    <r>
      <rPr>
        <sz val="42"/>
        <color rgb="FFFF0000"/>
        <rFont val="Arial"/>
        <family val="2"/>
      </rPr>
      <t xml:space="preserve">
</t>
    </r>
    <r>
      <rPr>
        <sz val="42"/>
        <rFont val="Arial"/>
        <family val="2"/>
      </rPr>
      <t>STATUS : STILL UNDER TROUBLESHOOTING BY SPECIALIST 29/4/26 VENDOR TITAN ON  6 &amp;8/5/2026</t>
    </r>
    <r>
      <rPr>
        <sz val="42"/>
        <color rgb="FFFF0000"/>
        <rFont val="Arial"/>
        <family val="2"/>
      </rPr>
      <t xml:space="preserve">
</t>
    </r>
  </si>
  <si>
    <t>AN- QE:16 PPM DONE AS A PERCHECKLIST</t>
  </si>
  <si>
    <t xml:space="preserve">AN- QE:16. PPM HAS BEEN COMPLETED AS PER HEPPM CHECKLIST </t>
  </si>
  <si>
    <t xml:space="preserve">AN- QE:16. PPM DONE AS PER HEPPM CHECKLIST </t>
  </si>
  <si>
    <t>M,QE:16- PPM DONE AS A PERCHECKLIST</t>
  </si>
  <si>
    <t>L, QE:16-PPM COMPLETE  BY VENDOR , UNIT TESTED OKAY</t>
  </si>
  <si>
    <t>L, QE:16 -MAINTENANCE DONE ACCORDING TO HEPPM CHECKLIST ATTACHED,  UNIT FUNCTIONING IN GOOD CONDITION</t>
  </si>
  <si>
    <t xml:space="preserve">AN- QE:16. PPM DONE AS PER HEPPM CHECKLIST ATTACHED </t>
  </si>
  <si>
    <t>L, QE:16-PPM COMPLETE AS PER CHECKLIST , TESTED OKAY</t>
  </si>
  <si>
    <t xml:space="preserve">L, QE:16-PPM DONE AS PERCHECKLIST </t>
  </si>
  <si>
    <t>L, QE:16 -PPM DONE AS PER HEPPM CHECKLIST ATTACHED</t>
  </si>
  <si>
    <t>L, QE:16 -PPM DONE AS PER HEPPM CHECKLIST ATTACH</t>
  </si>
  <si>
    <t xml:space="preserve">ASSET IN USE ( Patient Paliative loan ) </t>
  </si>
  <si>
    <t>L, QE:12-FOUND UNIT INFLATE WELL BUT NOT CONSTANT AND DEFLATED , INSPECT TUBING HAS LEAKING , TIGHTEN TUBING , MICHINE TEST OKAY MATTRESS INFLATE IN GOOD CONDITON UNTIL READY FOR USE</t>
  </si>
  <si>
    <t xml:space="preserve">PROBLEM : TUBE HEAD NOT FULLY LOCK
SR NO : 122557 (16/3/2026) &amp; 122558     
(5/5/2026) 
STATUS : WAITING PARTS FROM VENDOR (CARESTREAM) </t>
  </si>
  <si>
    <t>UNDER BM REFER 
WI IKNWIBE26005651</t>
  </si>
  <si>
    <t>11/05/2026 CLOSED, WAITING SERVICES REPORT</t>
  </si>
  <si>
    <t>CLOSED, PREVIOUS BM</t>
  </si>
  <si>
    <t>CLOSED PPM DONE ON 11/5/2026</t>
  </si>
  <si>
    <t>CLOSED PPM DONE ON 11/5/2027</t>
  </si>
  <si>
    <t>DONE ON 15/5/2026</t>
  </si>
  <si>
    <t>CLOSED ON 
15/05/2026</t>
  </si>
  <si>
    <t>CLOSED 12/5/2026</t>
  </si>
  <si>
    <r>
      <t>IKN402</t>
    </r>
    <r>
      <rPr>
        <b/>
        <sz val="42"/>
        <rFont val="Arial"/>
        <family val="2"/>
      </rPr>
      <t>139</t>
    </r>
  </si>
  <si>
    <t>PROB: DOUBLE COMPRESSOR ASSEMBLY FAULTY
REQ QUO DATE : 6/4/2026
QUO DATE : 30/4/2026
PO: AWSB 72180. Loaner 9/4/26</t>
  </si>
  <si>
    <t>n</t>
  </si>
  <si>
    <t>Vendor Training</t>
  </si>
  <si>
    <t>date last 20 ke 24</t>
  </si>
  <si>
    <r>
      <t xml:space="preserve">DONE ON 14/5/2026. </t>
    </r>
    <r>
      <rPr>
        <b/>
        <sz val="42"/>
        <color rgb="FFFF0000"/>
        <rFont val="Arial"/>
        <family val="2"/>
      </rPr>
      <t>Print email April</t>
    </r>
  </si>
  <si>
    <t>VENDOR DONE TROUBLESHOOT ON 26/3/2026 &amp; 6/4/2026 (OLYMPUS)                                                                                                                                   PROBLEM : THE SENSOR FAULTY.            QUOTATION RECEIVED :  10/4/2026 (SOW000876) &amp; 24/4/2026 (280001613)                                    
PO DATE : AWSB-72253 &amp; AWSB-72586                                                ETA : End May 2026. Loan unit given 15/4/25</t>
  </si>
  <si>
    <t>6-15 April 8hari</t>
  </si>
  <si>
    <t>EST ?</t>
  </si>
  <si>
    <t>ASSET OUT FOR CALIBRATION Send 9/4/26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</si>
</sst>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409]d\-mmm\-yy;@"/>
    <numFmt numFmtId="165" formatCode="[$-14809]d/m/yyyy;@"/>
    <numFmt numFmtId="166" formatCode="[$-14409]d/m/yyyy;@"/>
    <numFmt numFmtId="167" formatCode="0.00_ "/>
    <numFmt numFmtId="168" formatCode="[$-C09]dd\-mmm\-yy;@"/>
    <numFmt numFmtId="169" formatCode="mmm\-yyyy"/>
    <numFmt numFmtId="170" formatCode="0.000"/>
    <numFmt numFmtId="171" formatCode="#,##0.00_);[Red]\(#,##0.00\)"/>
    <numFmt numFmtId="172" formatCode="#,##0.00;[Red]#,##0.00"/>
    <numFmt numFmtId="173" formatCode="&quot;RM&quot;#,##0.00"/>
    <numFmt numFmtId="174" formatCode="dd\-mmm\-yyyy\ hh:mm:ss"/>
    <numFmt numFmtId="175" formatCode="d\-mmm\-yyyy"/>
    <numFmt numFmtId="176" formatCode="dd\-mmm\-yyyy"/>
    <numFmt numFmtId="177" formatCode="d\ &quot;days&quot;\,\ h\ &quot;hrs&quot;\,\ mm\ &quot;mins&quot;"/>
    <numFmt numFmtId="178" formatCode="[$-409]d\-mmm\-yyyy;@"/>
    <numFmt numFmtId="179" formatCode="m/d;@"/>
    <numFmt numFmtId="180" formatCode="h:mm;@"/>
  </numFmts>
  <fonts count="12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9"/>
      <color theme="1"/>
      <name val="Arial"/>
      <family val="2"/>
    </font>
    <font>
      <b/>
      <sz val="10"/>
      <color theme="1"/>
      <name val="Arial"/>
      <family val="2"/>
    </font>
    <font>
      <sz val="10"/>
      <name val="Arial"/>
      <family val="2"/>
    </font>
    <font>
      <sz val="10"/>
      <color theme="1"/>
      <name val="Calibri"/>
      <family val="2"/>
      <scheme val="minor"/>
    </font>
    <font>
      <sz val="9"/>
      <color theme="1"/>
      <name val="Arial"/>
      <family val="2"/>
    </font>
    <font>
      <sz val="10"/>
      <color theme="1"/>
      <name val="Arial"/>
      <family val="2"/>
    </font>
    <font>
      <b/>
      <sz val="10"/>
      <name val="Arial"/>
      <family val="2"/>
    </font>
    <font>
      <sz val="8"/>
      <color theme="1"/>
      <name val="Arial"/>
      <family val="2"/>
    </font>
    <font>
      <sz val="11"/>
      <color theme="1"/>
      <name val="Arial"/>
      <family val="2"/>
    </font>
    <font>
      <sz val="12"/>
      <color theme="1"/>
      <name val="Arial"/>
      <family val="2"/>
    </font>
    <font>
      <sz val="12"/>
      <name val="Arial"/>
      <family val="2"/>
    </font>
    <font>
      <sz val="14"/>
      <color theme="1"/>
      <name val="Arial"/>
      <family val="2"/>
    </font>
    <font>
      <b/>
      <sz val="14"/>
      <name val="Arial"/>
      <family val="2"/>
    </font>
    <font>
      <b/>
      <sz val="12"/>
      <name val="Arial"/>
      <family val="2"/>
    </font>
    <font>
      <b/>
      <sz val="12"/>
      <color theme="1"/>
      <name val="Arial"/>
      <family val="2"/>
    </font>
    <font>
      <b/>
      <sz val="14"/>
      <color theme="1"/>
      <name val="Arial"/>
      <family val="2"/>
    </font>
    <font>
      <i/>
      <sz val="12"/>
      <name val="Arial"/>
      <family val="2"/>
    </font>
    <font>
      <b/>
      <i/>
      <sz val="12"/>
      <color rgb="FF0070C0"/>
      <name val="Arial"/>
      <family val="2"/>
    </font>
    <font>
      <sz val="12"/>
      <color theme="0"/>
      <name val="Arial"/>
      <family val="2"/>
    </font>
    <font>
      <sz val="14"/>
      <name val="Arial"/>
      <family val="2"/>
    </font>
    <font>
      <sz val="16"/>
      <name val="Calibri"/>
      <family val="2"/>
    </font>
    <font>
      <sz val="16"/>
      <color theme="1"/>
      <name val="Calibri"/>
      <family val="2"/>
    </font>
    <font>
      <b/>
      <sz val="16"/>
      <name val="Arial"/>
      <family val="2"/>
    </font>
    <font>
      <b/>
      <sz val="16"/>
      <color theme="1"/>
      <name val="Arial"/>
      <family val="2"/>
    </font>
    <font>
      <i/>
      <sz val="14"/>
      <name val="Arial"/>
      <family val="2"/>
    </font>
    <font>
      <sz val="16"/>
      <color rgb="FF000000"/>
      <name val="Calibri"/>
      <family val="2"/>
    </font>
    <font>
      <b/>
      <i/>
      <sz val="14"/>
      <color rgb="FF0070C0"/>
      <name val="Arial"/>
      <family val="2"/>
    </font>
    <font>
      <sz val="14"/>
      <color theme="0"/>
      <name val="Arial"/>
      <family val="2"/>
    </font>
    <font>
      <sz val="16"/>
      <name val="Arial"/>
      <family val="2"/>
    </font>
    <font>
      <sz val="33"/>
      <name val="Arial"/>
      <family val="2"/>
    </font>
    <font>
      <sz val="16"/>
      <name val="Tahoma"/>
      <family val="2"/>
    </font>
    <font>
      <sz val="16"/>
      <name val="Calibri"/>
      <family val="2"/>
      <scheme val="minor"/>
    </font>
    <font>
      <b/>
      <sz val="20"/>
      <name val="Arial"/>
      <family val="2"/>
    </font>
    <font>
      <sz val="20"/>
      <name val="Arial"/>
      <family val="2"/>
    </font>
    <font>
      <sz val="24"/>
      <name val="Arial"/>
      <family val="2"/>
    </font>
    <font>
      <sz val="24"/>
      <color theme="1"/>
      <name val="Arial"/>
      <family val="2"/>
    </font>
    <font>
      <sz val="11"/>
      <name val="Calibri"/>
      <family val="2"/>
      <scheme val="minor"/>
    </font>
    <font>
      <sz val="20"/>
      <name val="Calibri"/>
      <family val="2"/>
      <scheme val="minor"/>
    </font>
    <font>
      <b/>
      <sz val="20"/>
      <name val="Calibri"/>
      <family val="2"/>
      <scheme val="minor"/>
    </font>
    <font>
      <sz val="18"/>
      <name val="Calibri"/>
      <family val="2"/>
      <scheme val="minor"/>
    </font>
    <font>
      <sz val="28"/>
      <name val="Calibri"/>
      <family val="2"/>
      <scheme val="minor"/>
    </font>
    <font>
      <sz val="28"/>
      <color theme="1"/>
      <name val="Calibri"/>
      <family val="2"/>
      <scheme val="minor"/>
    </font>
    <font>
      <i/>
      <sz val="20"/>
      <name val="Tahoma"/>
      <family val="2"/>
    </font>
    <font>
      <b/>
      <sz val="20"/>
      <name val="Tahoma"/>
      <family val="2"/>
    </font>
    <font>
      <b/>
      <sz val="16"/>
      <name val="Calibri"/>
      <family val="2"/>
      <scheme val="minor"/>
    </font>
    <font>
      <b/>
      <sz val="18"/>
      <name val="Calibri"/>
      <family val="2"/>
      <scheme val="minor"/>
    </font>
    <font>
      <b/>
      <i/>
      <sz val="20"/>
      <name val="Tahoma"/>
      <family val="2"/>
    </font>
    <font>
      <sz val="20"/>
      <name val="Tahoma"/>
      <family val="2"/>
    </font>
    <font>
      <sz val="24"/>
      <name val="Calibri"/>
      <family val="2"/>
      <scheme val="minor"/>
    </font>
    <font>
      <sz val="24"/>
      <color theme="1"/>
      <name val="Calibri"/>
      <family val="2"/>
      <scheme val="minor"/>
    </font>
    <font>
      <b/>
      <sz val="24"/>
      <name val="Calibri"/>
      <family val="2"/>
      <scheme val="minor"/>
    </font>
    <font>
      <sz val="24"/>
      <color rgb="FFFF0000"/>
      <name val="Calibri"/>
      <family val="2"/>
      <scheme val="minor"/>
    </font>
    <font>
      <b/>
      <sz val="28"/>
      <name val="Arial"/>
      <family val="2"/>
    </font>
    <font>
      <b/>
      <sz val="36"/>
      <color theme="1"/>
      <name val="Arial"/>
      <family val="2"/>
    </font>
    <font>
      <b/>
      <sz val="28"/>
      <color theme="1"/>
      <name val="Arial"/>
      <family val="2"/>
    </font>
    <font>
      <b/>
      <sz val="36"/>
      <color rgb="FF00B050"/>
      <name val="Arial"/>
      <family val="2"/>
    </font>
    <font>
      <b/>
      <sz val="36"/>
      <color rgb="FF0070C0"/>
      <name val="Arial"/>
      <family val="2"/>
    </font>
    <font>
      <b/>
      <sz val="36"/>
      <name val="Arial"/>
      <family val="2"/>
    </font>
    <font>
      <sz val="36"/>
      <name val="Arial"/>
      <family val="2"/>
    </font>
    <font>
      <b/>
      <sz val="36"/>
      <color rgb="FFFF0000"/>
      <name val="Arial"/>
      <family val="2"/>
    </font>
    <font>
      <sz val="28"/>
      <name val="Arial"/>
      <family val="2"/>
    </font>
    <font>
      <b/>
      <sz val="28"/>
      <name val="Calibri"/>
      <family val="2"/>
      <scheme val="minor"/>
    </font>
    <font>
      <sz val="42"/>
      <name val="Arial"/>
      <family val="2"/>
    </font>
    <font>
      <b/>
      <sz val="42"/>
      <name val="Arial"/>
      <family val="2"/>
    </font>
    <font>
      <sz val="42"/>
      <color theme="1"/>
      <name val="Arial"/>
      <family val="2"/>
    </font>
    <font>
      <b/>
      <sz val="28"/>
      <name val="Tahoma"/>
      <family val="2"/>
    </font>
    <font>
      <b/>
      <sz val="42"/>
      <color theme="1"/>
      <name val="Arial"/>
      <family val="2"/>
    </font>
    <font>
      <i/>
      <sz val="28"/>
      <name val="Calibri"/>
      <family val="2"/>
      <scheme val="minor"/>
    </font>
    <font>
      <sz val="42"/>
      <color theme="0"/>
      <name val="Arial"/>
      <family val="2"/>
    </font>
    <font>
      <sz val="42"/>
      <color rgb="FFFF0000"/>
      <name val="Arial"/>
      <family val="2"/>
    </font>
    <font>
      <b/>
      <sz val="42"/>
      <color rgb="FFFF0000"/>
      <name val="Arial"/>
      <family val="2"/>
    </font>
    <font>
      <sz val="42"/>
      <name val="Calibri"/>
      <family val="2"/>
      <scheme val="minor"/>
    </font>
    <font>
      <sz val="9"/>
      <color theme="1"/>
      <name val="Calibri"/>
      <family val="2"/>
      <scheme val="minor"/>
    </font>
    <font>
      <sz val="9"/>
      <name val="Arial"/>
      <family val="2"/>
    </font>
    <font>
      <sz val="8"/>
      <name val="Arial"/>
      <family val="2"/>
    </font>
    <font>
      <b/>
      <sz val="9"/>
      <name val="Arial"/>
      <family val="2"/>
    </font>
    <font>
      <sz val="9"/>
      <color rgb="FF000000"/>
      <name val="Arial"/>
      <family val="2"/>
    </font>
    <font>
      <i/>
      <sz val="9"/>
      <color theme="1"/>
      <name val="Arial"/>
      <family val="2"/>
    </font>
    <font>
      <b/>
      <sz val="9"/>
      <color theme="1"/>
      <name val="Calibri"/>
      <family val="2"/>
      <scheme val="minor"/>
    </font>
    <font>
      <sz val="11"/>
      <name val="Tahoma"/>
      <family val="2"/>
    </font>
    <font>
      <sz val="11"/>
      <color theme="1"/>
      <name val="Tahoma"/>
      <family val="2"/>
    </font>
    <font>
      <b/>
      <sz val="11"/>
      <name val="Tahoma"/>
      <family val="2"/>
    </font>
    <font>
      <sz val="11"/>
      <color rgb="FF000000"/>
      <name val="Tahoma"/>
      <family val="2"/>
    </font>
    <font>
      <sz val="11"/>
      <color indexed="8"/>
      <name val="Calibri"/>
      <family val="2"/>
    </font>
    <font>
      <sz val="11"/>
      <color indexed="9"/>
      <name val="Calibri"/>
      <family val="2"/>
    </font>
    <font>
      <sz val="11"/>
      <color theme="0"/>
      <name val="Calibri"/>
      <family val="2"/>
      <scheme val="minor"/>
    </font>
    <font>
      <sz val="11"/>
      <color indexed="14"/>
      <name val="Calibri"/>
      <family val="2"/>
    </font>
    <font>
      <b/>
      <sz val="11"/>
      <color indexed="13"/>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3"/>
      <name val="Calibri"/>
      <family val="2"/>
    </font>
    <font>
      <sz val="11"/>
      <color indexed="60"/>
      <name val="Calibri"/>
      <family val="2"/>
    </font>
    <font>
      <sz val="11"/>
      <color rgb="FF9C6500"/>
      <name val="Calibri"/>
      <family val="2"/>
      <scheme val="minor"/>
    </font>
    <font>
      <sz val="10"/>
      <color indexed="8"/>
      <name val="Arial"/>
      <family val="2"/>
    </font>
    <font>
      <sz val="10"/>
      <name val="Arial Narrow"/>
      <family val="2"/>
    </font>
    <font>
      <sz val="11"/>
      <name val="Calibri"/>
      <family val="2"/>
    </font>
    <font>
      <sz val="10"/>
      <color theme="1"/>
      <name val="Calibri"/>
      <family val="2"/>
    </font>
    <font>
      <b/>
      <sz val="11"/>
      <color indexed="63"/>
      <name val="Calibri"/>
      <family val="2"/>
    </font>
    <font>
      <b/>
      <sz val="18"/>
      <color indexed="62"/>
      <name val="Cambria"/>
      <family val="1"/>
    </font>
    <font>
      <b/>
      <sz val="11"/>
      <color indexed="8"/>
      <name val="Calibri"/>
      <family val="2"/>
    </font>
    <font>
      <sz val="11"/>
      <color indexed="10"/>
      <name val="Calibri"/>
      <family val="2"/>
    </font>
    <font>
      <vertAlign val="superscript"/>
      <sz val="11"/>
      <color indexed="8"/>
      <name val="Tahoma"/>
      <family val="2"/>
    </font>
    <font>
      <sz val="11"/>
      <color indexed="8"/>
      <name val="Tahoma"/>
      <family val="2"/>
    </font>
    <font>
      <sz val="8"/>
      <color theme="1"/>
      <name val="Calibri"/>
      <family val="2"/>
      <scheme val="minor"/>
    </font>
    <font>
      <sz val="12"/>
      <color theme="1"/>
      <name val="Calibri"/>
      <family val="2"/>
      <scheme val="minor"/>
    </font>
    <font>
      <sz val="16"/>
      <color theme="1"/>
      <name val="Arial"/>
      <family val="2"/>
    </font>
    <font>
      <vertAlign val="superscript"/>
      <sz val="8"/>
      <color theme="1"/>
      <name val="Arial"/>
      <family val="2"/>
    </font>
    <font>
      <sz val="11"/>
      <color theme="1"/>
      <name val="Calibri"/>
      <family val="2"/>
      <scheme val="minor"/>
    </font>
    <font>
      <sz val="20"/>
      <color theme="1"/>
      <name val="Calibri"/>
      <family val="2"/>
      <scheme val="minor"/>
    </font>
    <font>
      <sz val="11"/>
      <color theme="5"/>
      <name val="Calibri"/>
      <family val="2"/>
      <scheme val="minor"/>
    </font>
    <font>
      <sz val="8"/>
      <name val="Calibri"/>
      <family val="2"/>
      <scheme val="minor"/>
    </font>
    <font>
      <b/>
      <sz val="22"/>
      <color rgb="FFFF0000"/>
      <name val="Calibri"/>
      <family val="2"/>
      <scheme val="minor"/>
    </font>
    <font>
      <b/>
      <sz val="42"/>
      <color rgb="FF00B050"/>
      <name val="Arial"/>
      <family val="2"/>
    </font>
    <font>
      <b/>
      <sz val="24"/>
      <color rgb="FFFF0000"/>
      <name val="Congenial Black"/>
    </font>
    <font>
      <sz val="48"/>
      <color theme="1"/>
      <name val="Calibri"/>
      <family val="2"/>
      <scheme val="minor"/>
    </font>
    <font>
      <sz val="26"/>
      <name val="Calibri"/>
      <family val="2"/>
      <scheme val="minor"/>
    </font>
  </fonts>
  <fills count="43">
    <fill>
      <patternFill patternType="none"/>
    </fill>
    <fill>
      <patternFill patternType="gray125"/>
    </fill>
    <fill>
      <patternFill patternType="solid">
        <fgColor theme="4" tint="0.39988402966399123"/>
        <bgColor indexed="64"/>
      </patternFill>
    </fill>
    <fill>
      <patternFill patternType="solid">
        <fgColor theme="0"/>
        <bgColor indexed="64"/>
      </patternFill>
    </fill>
    <fill>
      <patternFill patternType="solid">
        <fgColor rgb="FF00FFFF"/>
        <bgColor indexed="64"/>
      </patternFill>
    </fill>
    <fill>
      <patternFill patternType="solid">
        <fgColor rgb="FFFF9999"/>
        <bgColor indexed="64"/>
      </patternFill>
    </fill>
    <fill>
      <patternFill patternType="solid">
        <fgColor rgb="FFFFCC99"/>
        <bgColor indexed="64"/>
      </patternFill>
    </fill>
    <fill>
      <patternFill patternType="solid">
        <fgColor theme="7" tint="0.59999389629810485"/>
        <bgColor indexed="64"/>
      </patternFill>
    </fill>
    <fill>
      <patternFill patternType="solid">
        <fgColor rgb="FFFFFF00"/>
        <bgColor indexed="64"/>
      </patternFill>
    </fill>
    <fill>
      <patternFill patternType="solid">
        <fgColor rgb="FFD9D9D9"/>
        <bgColor indexed="64"/>
      </patternFill>
    </fill>
    <fill>
      <patternFill patternType="solid">
        <fgColor theme="5" tint="0.59999389629810485"/>
        <bgColor indexed="64"/>
      </patternFill>
    </fill>
    <fill>
      <patternFill patternType="solid">
        <fgColor theme="0"/>
        <bgColor theme="0"/>
      </patternFill>
    </fill>
    <fill>
      <patternFill patternType="solid">
        <fgColor theme="4" tint="0.59999389629810485"/>
        <bgColor indexed="64"/>
      </patternFill>
    </fill>
    <fill>
      <patternFill patternType="solid">
        <fgColor rgb="FF89E0FF"/>
        <bgColor indexed="64"/>
      </patternFill>
    </fill>
    <fill>
      <patternFill patternType="solid">
        <fgColor rgb="FF76E3FF"/>
        <bgColor indexed="64"/>
      </patternFill>
    </fill>
    <fill>
      <patternFill patternType="solid">
        <fgColor rgb="FF33CCFF"/>
        <bgColor indexed="64"/>
      </patternFill>
    </fill>
    <fill>
      <patternFill patternType="solid">
        <fgColor rgb="FFFFE699"/>
        <bgColor indexed="64"/>
      </patternFill>
    </fill>
    <fill>
      <patternFill patternType="solid">
        <fgColor rgb="FF33CCFF"/>
        <bgColor theme="4"/>
      </patternFill>
    </fill>
    <fill>
      <patternFill patternType="solid">
        <fgColor theme="0"/>
        <bgColor theme="4" tint="0.79989013336588644"/>
      </patternFill>
    </fill>
    <fill>
      <patternFill patternType="solid">
        <fgColor theme="7" tint="0.59999389629810485"/>
        <bgColor indexed="64"/>
      </patternFill>
    </fill>
    <fill>
      <patternFill patternType="solid">
        <fgColor rgb="FFCCCC00"/>
        <bgColor indexed="64"/>
      </patternFill>
    </fill>
    <fill>
      <patternFill patternType="solid">
        <fgColor rgb="FFFFEB9C"/>
        <bgColor indexed="64"/>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22"/>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theme="5" tint="0.39988402966399123"/>
        <bgColor indexed="64"/>
      </patternFill>
    </fill>
    <fill>
      <patternFill patternType="solid">
        <fgColor indexed="51"/>
        <bgColor indexed="64"/>
      </patternFill>
    </fill>
    <fill>
      <patternFill patternType="solid">
        <fgColor theme="6" tint="0.39988402966399123"/>
        <bgColor indexed="64"/>
      </patternFill>
    </fill>
    <fill>
      <patternFill patternType="solid">
        <fgColor theme="7" tint="0.39988402966399123"/>
        <bgColor indexed="64"/>
      </patternFill>
    </fill>
    <fill>
      <patternFill patternType="solid">
        <fgColor theme="8" tint="0.39988402966399123"/>
        <bgColor indexed="64"/>
      </patternFill>
    </fill>
    <fill>
      <patternFill patternType="solid">
        <fgColor theme="9" tint="0.39988402966399123"/>
        <bgColor indexed="64"/>
      </patternFill>
    </fill>
    <fill>
      <patternFill patternType="solid">
        <fgColor indexed="56"/>
        <bgColor indexed="64"/>
      </patternFill>
    </fill>
    <fill>
      <patternFill patternType="solid">
        <fgColor indexed="54"/>
        <bgColor indexed="64"/>
      </patternFill>
    </fill>
    <fill>
      <patternFill patternType="solid">
        <fgColor indexed="49"/>
        <bgColor indexed="64"/>
      </patternFill>
    </fill>
    <fill>
      <patternFill patternType="solid">
        <fgColor indexed="13"/>
        <bgColor indexed="64"/>
      </patternFill>
    </fill>
    <fill>
      <patternFill patternType="solid">
        <fgColor indexed="46"/>
        <bgColor indexed="64"/>
      </patternFill>
    </fill>
    <fill>
      <patternFill patternType="solid">
        <fgColor indexed="9"/>
        <bgColor indexed="64"/>
      </patternFill>
    </fill>
    <fill>
      <patternFill patternType="solid">
        <fgColor indexed="55"/>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right style="medium">
        <color auto="1"/>
      </right>
      <top style="medium">
        <color auto="1"/>
      </top>
      <bottom style="medium">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style="thin">
        <color theme="4" tint="0.39988402966399123"/>
      </top>
      <bottom/>
      <diagonal/>
    </border>
    <border>
      <left/>
      <right style="thin">
        <color auto="1"/>
      </right>
      <top/>
      <bottom style="thin">
        <color auto="1"/>
      </bottom>
      <diagonal/>
    </border>
    <border>
      <left/>
      <right/>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thin">
        <color rgb="FFD8D8D8"/>
      </left>
      <right style="thin">
        <color rgb="FFD8D8D8"/>
      </right>
      <top style="thin">
        <color rgb="FFD8D8D8"/>
      </top>
      <bottom style="thin">
        <color rgb="FFD8D8D8"/>
      </bottom>
      <diagonal/>
    </border>
  </borders>
  <cellStyleXfs count="114">
    <xf numFmtId="0" fontId="0" fillId="0" borderId="0"/>
    <xf numFmtId="43" fontId="116" fillId="0" borderId="0" applyFont="0" applyFill="0" applyBorder="0" applyAlignment="0" applyProtection="0"/>
    <xf numFmtId="9" fontId="116" fillId="0" borderId="0" applyFont="0" applyFill="0" applyBorder="0" applyAlignment="0" applyProtection="0"/>
    <xf numFmtId="0" fontId="87" fillId="22" borderId="0" applyNumberFormat="0" applyBorder="0" applyAlignment="0" applyProtection="0"/>
    <xf numFmtId="0" fontId="87" fillId="23" borderId="0" applyNumberFormat="0" applyBorder="0" applyAlignment="0" applyProtection="0"/>
    <xf numFmtId="0" fontId="87" fillId="24" borderId="0" applyNumberFormat="0" applyBorder="0" applyAlignment="0" applyProtection="0"/>
    <xf numFmtId="0" fontId="87" fillId="25" borderId="0" applyNumberFormat="0" applyBorder="0" applyAlignment="0" applyProtection="0"/>
    <xf numFmtId="0" fontId="87" fillId="26" borderId="0" applyNumberFormat="0" applyBorder="0" applyAlignment="0" applyProtection="0"/>
    <xf numFmtId="0" fontId="87" fillId="24" borderId="0" applyNumberFormat="0" applyBorder="0" applyAlignment="0" applyProtection="0"/>
    <xf numFmtId="0" fontId="87" fillId="26" borderId="0" applyNumberFormat="0" applyBorder="0" applyAlignment="0" applyProtection="0"/>
    <xf numFmtId="0" fontId="87" fillId="23" borderId="0" applyNumberFormat="0" applyBorder="0" applyAlignment="0" applyProtection="0"/>
    <xf numFmtId="0" fontId="87" fillId="27" borderId="0" applyNumberFormat="0" applyBorder="0" applyAlignment="0" applyProtection="0"/>
    <xf numFmtId="0" fontId="87" fillId="28" borderId="0" applyNumberFormat="0" applyBorder="0" applyAlignment="0" applyProtection="0"/>
    <xf numFmtId="0" fontId="87" fillId="26" borderId="0" applyNumberFormat="0" applyBorder="0" applyAlignment="0" applyProtection="0"/>
    <xf numFmtId="0" fontId="87" fillId="24" borderId="0" applyNumberFormat="0" applyBorder="0" applyAlignment="0" applyProtection="0"/>
    <xf numFmtId="0" fontId="88" fillId="26" borderId="0" applyNumberFormat="0" applyBorder="0" applyAlignment="0" applyProtection="0"/>
    <xf numFmtId="0" fontId="89" fillId="2" borderId="0" applyNumberFormat="0" applyBorder="0" applyAlignment="0" applyProtection="0"/>
    <xf numFmtId="0" fontId="88" fillId="29" borderId="0" applyNumberFormat="0" applyBorder="0" applyAlignment="0" applyProtection="0"/>
    <xf numFmtId="0" fontId="89" fillId="30" borderId="0" applyNumberFormat="0" applyBorder="0" applyAlignment="0" applyProtection="0"/>
    <xf numFmtId="0" fontId="88" fillId="31" borderId="0" applyNumberFormat="0" applyBorder="0" applyAlignment="0" applyProtection="0"/>
    <xf numFmtId="0" fontId="89" fillId="32" borderId="0" applyNumberFormat="0" applyBorder="0" applyAlignment="0" applyProtection="0"/>
    <xf numFmtId="0" fontId="88" fillId="28" borderId="0" applyNumberFormat="0" applyBorder="0" applyAlignment="0" applyProtection="0"/>
    <xf numFmtId="0" fontId="89" fillId="33" borderId="0" applyNumberFormat="0" applyBorder="0" applyAlignment="0" applyProtection="0"/>
    <xf numFmtId="0" fontId="88" fillId="26" borderId="0" applyNumberFormat="0" applyBorder="0" applyAlignment="0" applyProtection="0"/>
    <xf numFmtId="0" fontId="89" fillId="34" borderId="0" applyNumberFormat="0" applyBorder="0" applyAlignment="0" applyProtection="0"/>
    <xf numFmtId="0" fontId="88" fillId="23" borderId="0" applyNumberFormat="0" applyBorder="0" applyAlignment="0" applyProtection="0"/>
    <xf numFmtId="0" fontId="89" fillId="35" borderId="0" applyNumberFormat="0" applyBorder="0" applyAlignment="0" applyProtection="0"/>
    <xf numFmtId="0" fontId="88" fillId="36" borderId="0" applyNumberFormat="0" applyBorder="0" applyAlignment="0" applyProtection="0"/>
    <xf numFmtId="0" fontId="88" fillId="29" borderId="0" applyNumberFormat="0" applyBorder="0" applyAlignment="0" applyProtection="0"/>
    <xf numFmtId="0" fontId="88" fillId="31" borderId="0" applyNumberFormat="0" applyBorder="0" applyAlignment="0" applyProtection="0"/>
    <xf numFmtId="0" fontId="88" fillId="37" borderId="0" applyNumberFormat="0" applyBorder="0" applyAlignment="0" applyProtection="0"/>
    <xf numFmtId="0" fontId="88" fillId="38" borderId="0" applyNumberFormat="0" applyBorder="0" applyAlignment="0" applyProtection="0"/>
    <xf numFmtId="0" fontId="88" fillId="39" borderId="0" applyNumberFormat="0" applyBorder="0" applyAlignment="0" applyProtection="0"/>
    <xf numFmtId="0" fontId="90" fillId="40" borderId="0" applyNumberFormat="0" applyBorder="0" applyAlignment="0" applyProtection="0"/>
    <xf numFmtId="0" fontId="91" fillId="41" borderId="41" applyNumberFormat="0" applyAlignment="0" applyProtection="0"/>
    <xf numFmtId="0" fontId="92" fillId="42" borderId="42" applyNumberFormat="0" applyAlignment="0" applyProtection="0"/>
    <xf numFmtId="41" fontId="116" fillId="0" borderId="0" applyFont="0" applyFill="0" applyBorder="0" applyAlignment="0" applyProtection="0"/>
    <xf numFmtId="43" fontId="116" fillId="0" borderId="0" applyFont="0" applyFill="0" applyBorder="0" applyAlignment="0" applyProtection="0"/>
    <xf numFmtId="43" fontId="116" fillId="0" borderId="0" applyFont="0" applyFill="0" applyBorder="0" applyAlignment="0" applyProtection="0"/>
    <xf numFmtId="43" fontId="6" fillId="0" borderId="0" applyFont="0" applyFill="0" applyBorder="0" applyAlignment="0" applyProtection="0"/>
    <xf numFmtId="43" fontId="11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93" fillId="0" borderId="0" applyNumberFormat="0" applyFill="0" applyBorder="0" applyAlignment="0" applyProtection="0"/>
    <xf numFmtId="0" fontId="94" fillId="26" borderId="0" applyNumberFormat="0" applyBorder="0" applyAlignment="0" applyProtection="0"/>
    <xf numFmtId="0" fontId="95" fillId="0" borderId="43" applyNumberFormat="0" applyFill="0" applyAlignment="0" applyProtection="0"/>
    <xf numFmtId="0" fontId="96" fillId="0" borderId="44" applyNumberFormat="0" applyFill="0" applyAlignment="0" applyProtection="0"/>
    <xf numFmtId="0" fontId="97" fillId="0" borderId="45" applyNumberFormat="0" applyFill="0" applyAlignment="0" applyProtection="0"/>
    <xf numFmtId="0" fontId="97" fillId="0" borderId="0" applyNumberFormat="0" applyFill="0" applyBorder="0" applyAlignment="0" applyProtection="0"/>
    <xf numFmtId="0" fontId="98" fillId="27" borderId="41" applyNumberFormat="0" applyAlignment="0" applyProtection="0"/>
    <xf numFmtId="0" fontId="99" fillId="0" borderId="46" applyNumberFormat="0" applyFill="0" applyAlignment="0" applyProtection="0"/>
    <xf numFmtId="0" fontId="100" fillId="27" borderId="0" applyNumberFormat="0" applyBorder="0" applyAlignment="0" applyProtection="0"/>
    <xf numFmtId="0" fontId="101" fillId="21" borderId="0" applyNumberFormat="0" applyBorder="0" applyAlignment="0" applyProtection="0"/>
    <xf numFmtId="0" fontId="6" fillId="0" borderId="0"/>
    <xf numFmtId="0" fontId="6" fillId="0" borderId="0"/>
    <xf numFmtId="0" fontId="87" fillId="0" borderId="0" applyFill="0" applyProtection="0"/>
    <xf numFmtId="0" fontId="87" fillId="0" borderId="0" applyFill="0" applyProtection="0"/>
    <xf numFmtId="0" fontId="116" fillId="0" borderId="0"/>
    <xf numFmtId="0" fontId="116" fillId="0" borderId="0"/>
    <xf numFmtId="0" fontId="6" fillId="0" borderId="0"/>
    <xf numFmtId="0" fontId="116" fillId="0" borderId="0"/>
    <xf numFmtId="0" fontId="116" fillId="0" borderId="0"/>
    <xf numFmtId="0" fontId="6" fillId="0" borderId="0"/>
    <xf numFmtId="0" fontId="6" fillId="0" borderId="0"/>
    <xf numFmtId="0" fontId="87" fillId="0" borderId="0" applyFill="0" applyProtection="0"/>
    <xf numFmtId="0" fontId="87" fillId="0" borderId="0" applyFill="0" applyProtection="0"/>
    <xf numFmtId="0" fontId="6" fillId="0" borderId="0"/>
    <xf numFmtId="0" fontId="102" fillId="0" borderId="0"/>
    <xf numFmtId="0" fontId="102" fillId="0" borderId="0"/>
    <xf numFmtId="0" fontId="102" fillId="0" borderId="0"/>
    <xf numFmtId="0" fontId="103" fillId="0" borderId="0">
      <alignment vertical="top" wrapText="1"/>
    </xf>
    <xf numFmtId="0" fontId="116" fillId="0" borderId="0"/>
    <xf numFmtId="0" fontId="104" fillId="0" borderId="0"/>
    <xf numFmtId="0" fontId="1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5" fillId="0" borderId="0"/>
    <xf numFmtId="0" fontId="87" fillId="0" borderId="0" applyFill="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3" fillId="0" borderId="0">
      <alignment vertical="top" wrapText="1"/>
    </xf>
    <xf numFmtId="0" fontId="87" fillId="0" borderId="0" applyFill="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7" fillId="0" borderId="0" applyFill="0" applyProtection="0"/>
    <xf numFmtId="0" fontId="6" fillId="0" borderId="0"/>
    <xf numFmtId="0" fontId="6" fillId="0" borderId="0"/>
    <xf numFmtId="0" fontId="6" fillId="0" borderId="0"/>
    <xf numFmtId="0" fontId="6" fillId="0" borderId="0"/>
    <xf numFmtId="0" fontId="102" fillId="24" borderId="47" applyNumberFormat="0" applyFont="0" applyAlignment="0" applyProtection="0"/>
    <xf numFmtId="0" fontId="106" fillId="41" borderId="48" applyNumberFormat="0" applyAlignment="0" applyProtection="0"/>
    <xf numFmtId="0" fontId="107" fillId="0" borderId="0" applyNumberFormat="0" applyFill="0" applyBorder="0" applyAlignment="0" applyProtection="0"/>
    <xf numFmtId="0" fontId="108" fillId="0" borderId="49" applyNumberFormat="0" applyFill="0" applyAlignment="0" applyProtection="0"/>
    <xf numFmtId="0" fontId="109" fillId="0" borderId="0" applyNumberFormat="0" applyFill="0" applyBorder="0" applyAlignment="0" applyProtection="0"/>
  </cellStyleXfs>
  <cellXfs count="868">
    <xf numFmtId="0" fontId="0" fillId="0" borderId="0" xfId="0"/>
    <xf numFmtId="0" fontId="4" fillId="2" borderId="0" xfId="66" applyFont="1" applyFill="1" applyAlignment="1">
      <alignment horizontal="center" vertical="center" wrapText="1"/>
    </xf>
    <xf numFmtId="0" fontId="5" fillId="0" borderId="0" xfId="66" applyFont="1" applyAlignment="1">
      <alignment horizontal="left" vertical="center" wrapText="1"/>
    </xf>
    <xf numFmtId="0" fontId="6" fillId="0" borderId="0" xfId="66" applyAlignment="1">
      <alignment vertical="center" wrapText="1"/>
    </xf>
    <xf numFmtId="0" fontId="7" fillId="0" borderId="0" xfId="0" applyFont="1"/>
    <xf numFmtId="0" fontId="7" fillId="0" borderId="0" xfId="0" applyFont="1" applyAlignment="1">
      <alignment horizontal="center" vertical="center"/>
    </xf>
    <xf numFmtId="10" fontId="7" fillId="0" borderId="0" xfId="0" applyNumberFormat="1" applyFont="1" applyAlignment="1">
      <alignment horizontal="center" vertical="center"/>
    </xf>
    <xf numFmtId="9" fontId="7" fillId="0" borderId="0" xfId="0" applyNumberFormat="1" applyFont="1" applyAlignment="1">
      <alignment horizontal="center" vertical="center"/>
    </xf>
    <xf numFmtId="0" fontId="8" fillId="2" borderId="1" xfId="66" applyFont="1" applyFill="1" applyBorder="1" applyAlignment="1">
      <alignment horizontal="center" vertical="center" wrapText="1"/>
    </xf>
    <xf numFmtId="49" fontId="8" fillId="2" borderId="1" xfId="66" applyNumberFormat="1" applyFont="1" applyFill="1" applyBorder="1" applyAlignment="1">
      <alignment horizontal="center" vertical="center" wrapText="1"/>
    </xf>
    <xf numFmtId="0" fontId="9" fillId="0" borderId="1" xfId="66" applyFont="1" applyBorder="1" applyAlignment="1">
      <alignment horizontal="center" vertical="center" wrapText="1"/>
    </xf>
    <xf numFmtId="0" fontId="6" fillId="3" borderId="1" xfId="0" applyFont="1" applyFill="1" applyBorder="1" applyAlignment="1">
      <alignment horizontal="left" vertical="center"/>
    </xf>
    <xf numFmtId="0" fontId="9" fillId="0" borderId="4" xfId="0" applyFont="1" applyBorder="1" applyAlignment="1">
      <alignment horizontal="left" vertical="center" wrapText="1"/>
    </xf>
    <xf numFmtId="43" fontId="6" fillId="0" borderId="1" xfId="1" applyFont="1" applyFill="1" applyBorder="1" applyAlignment="1">
      <alignment horizontal="left" vertical="center" wrapText="1"/>
    </xf>
    <xf numFmtId="0" fontId="6" fillId="0" borderId="1" xfId="66"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left" vertical="center" wrapText="1"/>
    </xf>
    <xf numFmtId="43" fontId="9" fillId="0" borderId="1" xfId="1" applyFont="1" applyBorder="1" applyAlignment="1">
      <alignment horizontal="left" vertical="center" wrapText="1"/>
    </xf>
    <xf numFmtId="49" fontId="6" fillId="4" borderId="1" xfId="0" applyNumberFormat="1" applyFont="1" applyFill="1" applyBorder="1" applyAlignment="1">
      <alignment horizontal="center" vertical="center"/>
    </xf>
    <xf numFmtId="0" fontId="9" fillId="0" borderId="5" xfId="0" applyFont="1" applyBorder="1" applyAlignment="1">
      <alignment vertical="center" wrapText="1"/>
    </xf>
    <xf numFmtId="0" fontId="6" fillId="3" borderId="1" xfId="0" applyFont="1" applyFill="1" applyBorder="1" applyAlignment="1">
      <alignment horizontal="left" vertical="center" wrapText="1"/>
    </xf>
    <xf numFmtId="1" fontId="6" fillId="5" borderId="1" xfId="0" applyNumberFormat="1" applyFont="1" applyFill="1" applyBorder="1" applyAlignment="1">
      <alignment horizontal="center" vertical="center" wrapText="1"/>
    </xf>
    <xf numFmtId="0" fontId="6" fillId="0" borderId="5" xfId="0" applyFont="1" applyBorder="1" applyAlignment="1">
      <alignment horizontal="center" vertical="center" wrapText="1"/>
    </xf>
    <xf numFmtId="0" fontId="9" fillId="0" borderId="1"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 xfId="0" applyFont="1" applyBorder="1" applyAlignment="1">
      <alignment vertical="center" wrapText="1"/>
    </xf>
    <xf numFmtId="14" fontId="9" fillId="0" borderId="1" xfId="0" applyNumberFormat="1" applyFont="1" applyBorder="1" applyAlignment="1">
      <alignment vertical="center" wrapText="1"/>
    </xf>
    <xf numFmtId="20" fontId="9" fillId="6" borderId="1" xfId="0" applyNumberFormat="1" applyFont="1" applyFill="1" applyBorder="1" applyAlignment="1">
      <alignment horizontal="center" vertical="center" wrapText="1"/>
    </xf>
    <xf numFmtId="165" fontId="9" fillId="0" borderId="1" xfId="0" applyNumberFormat="1" applyFont="1" applyBorder="1" applyAlignment="1">
      <alignment horizontal="center" vertical="center" wrapText="1"/>
    </xf>
    <xf numFmtId="20" fontId="6" fillId="6" borderId="1" xfId="0" applyNumberFormat="1" applyFont="1" applyFill="1" applyBorder="1" applyAlignment="1">
      <alignment horizontal="center" vertical="center" wrapText="1"/>
    </xf>
    <xf numFmtId="165" fontId="6" fillId="0" borderId="1" xfId="0" applyNumberFormat="1" applyFont="1" applyBorder="1" applyAlignment="1">
      <alignment horizontal="center" vertical="center" wrapText="1"/>
    </xf>
    <xf numFmtId="20" fontId="9" fillId="7" borderId="1" xfId="0" applyNumberFormat="1" applyFont="1" applyFill="1" applyBorder="1" applyAlignment="1">
      <alignment horizontal="center" vertical="center" wrapText="1"/>
    </xf>
    <xf numFmtId="1" fontId="8" fillId="2" borderId="1" xfId="66" applyNumberFormat="1" applyFont="1" applyFill="1" applyBorder="1" applyAlignment="1">
      <alignment horizontal="center" vertical="center" wrapText="1"/>
    </xf>
    <xf numFmtId="0" fontId="8" fillId="2" borderId="1" xfId="66" applyFont="1" applyFill="1" applyBorder="1" applyAlignment="1">
      <alignment vertical="center" wrapText="1"/>
    </xf>
    <xf numFmtId="43" fontId="6" fillId="0" borderId="1" xfId="1" applyFont="1" applyFill="1" applyBorder="1" applyAlignment="1">
      <alignment horizontal="center" vertical="center" wrapText="1"/>
    </xf>
    <xf numFmtId="43" fontId="10" fillId="0" borderId="1" xfId="66" applyNumberFormat="1" applyFont="1" applyBorder="1" applyAlignment="1">
      <alignment horizontal="left" vertical="center" wrapText="1"/>
    </xf>
    <xf numFmtId="43" fontId="10" fillId="0" borderId="1" xfId="66" applyNumberFormat="1" applyFont="1" applyBorder="1" applyAlignment="1">
      <alignment vertical="center" wrapText="1"/>
    </xf>
    <xf numFmtId="166" fontId="8" fillId="2" borderId="1" xfId="66" applyNumberFormat="1" applyFont="1" applyFill="1" applyBorder="1" applyAlignment="1">
      <alignment horizontal="center" vertical="center" wrapText="1"/>
    </xf>
    <xf numFmtId="1" fontId="6" fillId="0" borderId="1" xfId="0" applyNumberFormat="1" applyFont="1" applyBorder="1" applyAlignment="1">
      <alignment horizontal="center" vertical="center" wrapText="1" shrinkToFit="1"/>
    </xf>
    <xf numFmtId="166" fontId="6" fillId="0" borderId="1" xfId="0" applyNumberFormat="1" applyFont="1" applyBorder="1" applyAlignment="1">
      <alignment horizontal="left" vertical="center" wrapText="1" shrinkToFit="1"/>
    </xf>
    <xf numFmtId="166" fontId="6" fillId="0" borderId="1" xfId="0" applyNumberFormat="1" applyFont="1" applyBorder="1" applyAlignment="1">
      <alignment horizontal="center" vertical="center" wrapText="1" shrinkToFit="1"/>
    </xf>
    <xf numFmtId="0" fontId="4" fillId="8" borderId="0" xfId="66" applyFont="1" applyFill="1" applyAlignment="1">
      <alignment horizontal="center" vertical="center" wrapText="1"/>
    </xf>
    <xf numFmtId="0" fontId="8" fillId="2" borderId="5" xfId="66" applyFont="1" applyFill="1" applyBorder="1" applyAlignment="1">
      <alignment horizontal="left" vertical="center" wrapText="1"/>
    </xf>
    <xf numFmtId="0" fontId="8" fillId="8" borderId="1" xfId="66" applyFont="1" applyFill="1" applyBorder="1" applyAlignment="1">
      <alignment horizontal="center" vertical="center" wrapText="1"/>
    </xf>
    <xf numFmtId="43" fontId="6" fillId="0" borderId="1" xfId="66" applyNumberFormat="1" applyBorder="1" applyAlignment="1">
      <alignment horizontal="center" vertical="center" wrapText="1"/>
    </xf>
    <xf numFmtId="0" fontId="9" fillId="0" borderId="5" xfId="66" applyFont="1" applyBorder="1" applyAlignment="1">
      <alignment horizontal="left" vertical="center" wrapText="1"/>
    </xf>
    <xf numFmtId="0" fontId="9" fillId="0" borderId="1" xfId="66" applyFont="1" applyBorder="1" applyAlignment="1">
      <alignment horizontal="left" vertical="center" wrapText="1"/>
    </xf>
    <xf numFmtId="0" fontId="6" fillId="0" borderId="5" xfId="66" applyBorder="1" applyAlignment="1">
      <alignment horizontal="left" vertical="center" wrapText="1"/>
    </xf>
    <xf numFmtId="0" fontId="6" fillId="0" borderId="1" xfId="66" applyBorder="1" applyAlignment="1">
      <alignment horizontal="left" vertical="center" wrapText="1"/>
    </xf>
    <xf numFmtId="43" fontId="7" fillId="0" borderId="0" xfId="0" applyNumberFormat="1" applyFont="1"/>
    <xf numFmtId="0" fontId="5" fillId="0" borderId="0" xfId="66" applyFont="1" applyAlignment="1">
      <alignment horizontal="center" vertical="center" wrapText="1"/>
    </xf>
    <xf numFmtId="0" fontId="6" fillId="0" borderId="0" xfId="66" applyAlignment="1">
      <alignment horizontal="center" vertical="center" wrapText="1"/>
    </xf>
    <xf numFmtId="10" fontId="4" fillId="8" borderId="0" xfId="66" applyNumberFormat="1" applyFont="1" applyFill="1" applyAlignment="1">
      <alignment horizontal="center" vertical="center" wrapText="1"/>
    </xf>
    <xf numFmtId="9" fontId="4" fillId="8" borderId="0" xfId="66" applyNumberFormat="1" applyFont="1" applyFill="1" applyAlignment="1">
      <alignment horizontal="center" vertical="center" wrapText="1"/>
    </xf>
    <xf numFmtId="10" fontId="5" fillId="0" borderId="0" xfId="66" applyNumberFormat="1" applyFont="1" applyAlignment="1">
      <alignment horizontal="center" vertical="center" wrapText="1"/>
    </xf>
    <xf numFmtId="9" fontId="5" fillId="8" borderId="0" xfId="66" applyNumberFormat="1" applyFont="1" applyFill="1" applyAlignment="1">
      <alignment horizontal="center" vertical="center" wrapText="1"/>
    </xf>
    <xf numFmtId="0" fontId="0" fillId="0" borderId="0" xfId="0" applyAlignment="1">
      <alignment horizontal="left"/>
    </xf>
    <xf numFmtId="0" fontId="11" fillId="0" borderId="9" xfId="0" applyFont="1" applyBorder="1" applyAlignment="1">
      <alignment horizontal="left"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9" fontId="11" fillId="0" borderId="12" xfId="0" applyNumberFormat="1" applyFont="1" applyBorder="1" applyAlignment="1">
      <alignment horizontal="center" vertical="center" wrapText="1"/>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3" fillId="0" borderId="0" xfId="66" applyFont="1" applyAlignment="1">
      <alignment horizontal="center" vertical="center" wrapText="1"/>
    </xf>
    <xf numFmtId="0" fontId="15" fillId="0" borderId="0" xfId="66"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167" fontId="16" fillId="3" borderId="0" xfId="66" applyNumberFormat="1" applyFont="1" applyFill="1" applyAlignment="1">
      <alignment horizontal="center" vertical="center" wrapText="1"/>
    </xf>
    <xf numFmtId="0" fontId="14" fillId="3" borderId="0" xfId="66" applyFont="1" applyFill="1" applyAlignment="1">
      <alignment wrapText="1"/>
    </xf>
    <xf numFmtId="167" fontId="17" fillId="3" borderId="0" xfId="66" applyNumberFormat="1" applyFont="1" applyFill="1" applyAlignment="1">
      <alignment horizontal="center" vertical="center" wrapText="1"/>
    </xf>
    <xf numFmtId="0" fontId="13" fillId="3" borderId="0" xfId="0" applyFont="1" applyFill="1" applyAlignment="1">
      <alignment vertical="center"/>
    </xf>
    <xf numFmtId="0" fontId="13" fillId="3" borderId="0" xfId="0" applyFont="1" applyFill="1" applyAlignment="1">
      <alignment horizontal="right" vertical="center"/>
    </xf>
    <xf numFmtId="0" fontId="18" fillId="3" borderId="0" xfId="0" applyFont="1" applyFill="1" applyAlignment="1">
      <alignment horizontal="center" vertical="center"/>
    </xf>
    <xf numFmtId="0" fontId="18" fillId="3" borderId="0" xfId="0" applyFont="1" applyFill="1" applyAlignment="1">
      <alignment horizontal="left" vertical="center"/>
    </xf>
    <xf numFmtId="0" fontId="14" fillId="3" borderId="0" xfId="0" applyFont="1" applyFill="1" applyAlignment="1">
      <alignment vertical="center"/>
    </xf>
    <xf numFmtId="0" fontId="17" fillId="3" borderId="15" xfId="0" applyFont="1" applyFill="1" applyBorder="1" applyAlignment="1">
      <alignment horizontal="center" vertical="center" wrapText="1"/>
    </xf>
    <xf numFmtId="4" fontId="17" fillId="3" borderId="0" xfId="1" applyNumberFormat="1" applyFont="1" applyFill="1" applyAlignment="1">
      <alignment horizontal="left" vertical="center"/>
    </xf>
    <xf numFmtId="0" fontId="13" fillId="3" borderId="0" xfId="0" applyFont="1" applyFill="1" applyAlignment="1">
      <alignment horizontal="center" vertical="center"/>
    </xf>
    <xf numFmtId="0" fontId="15" fillId="0" borderId="1" xfId="66" applyFont="1" applyBorder="1" applyAlignment="1">
      <alignment horizontal="center" vertical="center" wrapText="1"/>
    </xf>
    <xf numFmtId="167" fontId="17" fillId="3" borderId="0" xfId="66" applyNumberFormat="1" applyFont="1" applyFill="1" applyAlignment="1">
      <alignment horizontal="left" vertical="center" wrapText="1"/>
    </xf>
    <xf numFmtId="0" fontId="13" fillId="3" borderId="0" xfId="0" applyFont="1" applyFill="1" applyAlignment="1">
      <alignment vertical="center" wrapText="1"/>
    </xf>
    <xf numFmtId="0" fontId="13" fillId="3" borderId="0" xfId="0" applyFont="1" applyFill="1" applyAlignment="1">
      <alignment horizontal="left" vertical="center"/>
    </xf>
    <xf numFmtId="0" fontId="13" fillId="3" borderId="0" xfId="0" applyFont="1" applyFill="1" applyAlignment="1">
      <alignment horizontal="center" vertical="center" wrapText="1"/>
    </xf>
    <xf numFmtId="0" fontId="20" fillId="3" borderId="0" xfId="0" applyFont="1" applyFill="1" applyAlignment="1">
      <alignment horizontal="left" vertical="center"/>
    </xf>
    <xf numFmtId="4" fontId="21" fillId="3" borderId="0" xfId="0" applyNumberFormat="1" applyFont="1" applyFill="1" applyAlignment="1">
      <alignment horizontal="left" vertical="center"/>
    </xf>
    <xf numFmtId="4" fontId="22" fillId="3" borderId="0" xfId="1" applyNumberFormat="1" applyFont="1" applyFill="1" applyAlignment="1">
      <alignment vertical="center"/>
    </xf>
    <xf numFmtId="0" fontId="22" fillId="3" borderId="0" xfId="0" applyFont="1" applyFill="1" applyAlignment="1">
      <alignment vertical="center"/>
    </xf>
    <xf numFmtId="167" fontId="16" fillId="0" borderId="0" xfId="66" applyNumberFormat="1" applyFont="1" applyAlignment="1">
      <alignment vertical="center" wrapText="1"/>
    </xf>
    <xf numFmtId="167" fontId="16" fillId="0" borderId="0" xfId="66" applyNumberFormat="1" applyFont="1" applyAlignment="1">
      <alignment vertical="top" wrapText="1"/>
    </xf>
    <xf numFmtId="0" fontId="12" fillId="0" borderId="0" xfId="58" applyFont="1" applyAlignment="1">
      <alignment vertical="center"/>
    </xf>
    <xf numFmtId="0" fontId="15" fillId="0" borderId="0" xfId="58" applyFont="1" applyAlignment="1">
      <alignment vertical="center"/>
    </xf>
    <xf numFmtId="0" fontId="23" fillId="0" borderId="0" xfId="58" applyFont="1" applyAlignment="1">
      <alignment vertical="center"/>
    </xf>
    <xf numFmtId="0" fontId="15" fillId="0" borderId="0" xfId="58" applyFont="1"/>
    <xf numFmtId="0" fontId="15" fillId="0" borderId="0" xfId="58" applyFont="1" applyAlignment="1">
      <alignment horizontal="center" wrapText="1"/>
    </xf>
    <xf numFmtId="0" fontId="24" fillId="0" borderId="0" xfId="58" applyFont="1" applyAlignment="1">
      <alignment vertical="center"/>
    </xf>
    <xf numFmtId="0" fontId="25" fillId="0" borderId="0" xfId="58" applyFont="1" applyAlignment="1">
      <alignment vertical="center"/>
    </xf>
    <xf numFmtId="0" fontId="24" fillId="0" borderId="0" xfId="0" applyFont="1" applyAlignment="1">
      <alignment vertical="center"/>
    </xf>
    <xf numFmtId="0" fontId="25" fillId="3" borderId="0" xfId="58" applyFont="1" applyFill="1" applyAlignment="1">
      <alignment vertical="center"/>
    </xf>
    <xf numFmtId="0" fontId="116" fillId="0" borderId="0" xfId="58"/>
    <xf numFmtId="0" fontId="116" fillId="0" borderId="0" xfId="58" applyAlignment="1">
      <alignment horizontal="center"/>
    </xf>
    <xf numFmtId="170" fontId="116" fillId="0" borderId="0" xfId="58" applyNumberFormat="1" applyAlignment="1">
      <alignment horizontal="center"/>
    </xf>
    <xf numFmtId="43" fontId="0" fillId="0" borderId="0" xfId="40" applyFont="1" applyAlignment="1">
      <alignment horizontal="center"/>
    </xf>
    <xf numFmtId="167" fontId="26" fillId="3" borderId="0" xfId="66" applyNumberFormat="1" applyFont="1" applyFill="1" applyAlignment="1">
      <alignment horizontal="center" vertical="center" wrapText="1"/>
    </xf>
    <xf numFmtId="0" fontId="12" fillId="3" borderId="0" xfId="58" applyFont="1" applyFill="1" applyAlignment="1">
      <alignment vertical="center"/>
    </xf>
    <xf numFmtId="0" fontId="6" fillId="3" borderId="0" xfId="66" applyFill="1" applyAlignment="1">
      <alignment wrapText="1"/>
    </xf>
    <xf numFmtId="0" fontId="15" fillId="3" borderId="0" xfId="58" applyFont="1" applyFill="1" applyAlignment="1">
      <alignment vertical="center"/>
    </xf>
    <xf numFmtId="0" fontId="15" fillId="3" borderId="0" xfId="58" applyFont="1" applyFill="1" applyAlignment="1">
      <alignment horizontal="right" vertical="center"/>
    </xf>
    <xf numFmtId="0" fontId="15" fillId="3" borderId="0" xfId="58" applyFont="1" applyFill="1" applyAlignment="1">
      <alignment horizontal="center" vertical="center"/>
    </xf>
    <xf numFmtId="0" fontId="19" fillId="3" borderId="0" xfId="58" applyFont="1" applyFill="1" applyAlignment="1">
      <alignment horizontal="left" vertical="center"/>
    </xf>
    <xf numFmtId="0" fontId="23" fillId="3" borderId="0" xfId="58" applyFont="1" applyFill="1" applyAlignment="1">
      <alignment vertical="center"/>
    </xf>
    <xf numFmtId="0" fontId="23" fillId="3" borderId="0" xfId="58" applyFont="1" applyFill="1" applyAlignment="1">
      <alignment horizontal="center" vertical="center"/>
    </xf>
    <xf numFmtId="0" fontId="16" fillId="3" borderId="0" xfId="58" applyFont="1" applyFill="1" applyAlignment="1">
      <alignment horizontal="left" vertical="center" wrapText="1"/>
    </xf>
    <xf numFmtId="0" fontId="15" fillId="3" borderId="0" xfId="58" applyFont="1" applyFill="1"/>
    <xf numFmtId="0" fontId="15" fillId="3" borderId="0" xfId="58" applyFont="1" applyFill="1" applyAlignment="1">
      <alignment horizontal="center"/>
    </xf>
    <xf numFmtId="0" fontId="24" fillId="0" borderId="1" xfId="58" applyFont="1" applyBorder="1" applyAlignment="1">
      <alignment horizontal="center" vertical="center"/>
    </xf>
    <xf numFmtId="0" fontId="25" fillId="0" borderId="1" xfId="58" applyFont="1" applyBorder="1" applyAlignment="1">
      <alignment horizontal="center" vertical="center"/>
    </xf>
    <xf numFmtId="0" fontId="24" fillId="0" borderId="1" xfId="72" applyFont="1" applyBorder="1" applyAlignment="1">
      <alignment horizontal="left" vertical="center" wrapText="1"/>
    </xf>
    <xf numFmtId="0" fontId="24" fillId="0" borderId="1" xfId="72" applyFont="1" applyBorder="1" applyAlignment="1">
      <alignment vertical="center" wrapText="1"/>
    </xf>
    <xf numFmtId="0" fontId="25" fillId="0" borderId="1" xfId="0" applyFont="1" applyBorder="1" applyAlignment="1">
      <alignment horizontal="center" vertical="center"/>
    </xf>
    <xf numFmtId="0" fontId="19" fillId="3" borderId="0" xfId="58" applyFont="1" applyFill="1" applyAlignment="1">
      <alignment horizontal="center" vertical="center"/>
    </xf>
    <xf numFmtId="4" fontId="16" fillId="3" borderId="0" xfId="40" applyNumberFormat="1" applyFont="1" applyFill="1" applyAlignment="1">
      <alignment horizontal="center" vertical="center"/>
    </xf>
    <xf numFmtId="0" fontId="28" fillId="3" borderId="0" xfId="58" applyFont="1" applyFill="1" applyAlignment="1">
      <alignment horizontal="left" vertical="center"/>
    </xf>
    <xf numFmtId="4" fontId="19" fillId="12" borderId="1" xfId="58" applyNumberFormat="1" applyFont="1" applyFill="1" applyBorder="1" applyAlignment="1">
      <alignment horizontal="center" vertical="center" wrapText="1"/>
    </xf>
    <xf numFmtId="171" fontId="24" fillId="0" borderId="1" xfId="40" applyNumberFormat="1" applyFont="1" applyBorder="1" applyAlignment="1">
      <alignment horizontal="center" vertical="center"/>
    </xf>
    <xf numFmtId="0" fontId="24" fillId="0" borderId="6" xfId="58" applyFont="1" applyBorder="1" applyAlignment="1">
      <alignment horizontal="center" vertical="center"/>
    </xf>
    <xf numFmtId="1" fontId="24" fillId="3" borderId="1" xfId="61" applyNumberFormat="1" applyFont="1" applyFill="1" applyBorder="1" applyAlignment="1">
      <alignment horizontal="center" vertical="center" wrapText="1"/>
    </xf>
    <xf numFmtId="43" fontId="24" fillId="0" borderId="1" xfId="58" applyNumberFormat="1" applyFont="1" applyBorder="1" applyAlignment="1">
      <alignment vertical="center"/>
    </xf>
    <xf numFmtId="171" fontId="24" fillId="0" borderId="1" xfId="72" applyNumberFormat="1" applyFont="1" applyBorder="1" applyAlignment="1">
      <alignment horizontal="center" vertical="center"/>
    </xf>
    <xf numFmtId="0" fontId="25" fillId="0" borderId="6" xfId="58" applyFont="1" applyBorder="1" applyAlignment="1">
      <alignment horizontal="center" vertical="center"/>
    </xf>
    <xf numFmtId="1" fontId="29" fillId="3" borderId="1" xfId="61" applyNumberFormat="1" applyFont="1" applyFill="1" applyBorder="1" applyAlignment="1">
      <alignment horizontal="center" vertical="center" wrapText="1"/>
    </xf>
    <xf numFmtId="43" fontId="25" fillId="0" borderId="1" xfId="58" applyNumberFormat="1" applyFont="1" applyBorder="1" applyAlignment="1">
      <alignment vertical="center"/>
    </xf>
    <xf numFmtId="1" fontId="24" fillId="0" borderId="1" xfId="61" applyNumberFormat="1" applyFont="1" applyBorder="1" applyAlignment="1">
      <alignment horizontal="center" vertical="center" wrapText="1"/>
    </xf>
    <xf numFmtId="171" fontId="25" fillId="0" borderId="1" xfId="1" applyNumberFormat="1" applyFont="1" applyBorder="1" applyAlignment="1">
      <alignment horizontal="center" vertical="center"/>
    </xf>
    <xf numFmtId="0" fontId="25" fillId="0" borderId="6" xfId="0" applyFont="1" applyBorder="1" applyAlignment="1">
      <alignment horizontal="center" vertical="center"/>
    </xf>
    <xf numFmtId="1" fontId="29" fillId="3" borderId="1" xfId="60" applyNumberFormat="1" applyFont="1" applyFill="1" applyBorder="1" applyAlignment="1">
      <alignment horizontal="center" vertical="center" wrapText="1"/>
    </xf>
    <xf numFmtId="43" fontId="25" fillId="0" borderId="1" xfId="0" applyNumberFormat="1" applyFont="1" applyBorder="1" applyAlignment="1">
      <alignment horizontal="center" vertical="center"/>
    </xf>
    <xf numFmtId="172" fontId="25" fillId="0" borderId="1" xfId="1" applyNumberFormat="1" applyFont="1" applyBorder="1" applyAlignment="1">
      <alignment horizontal="center" vertical="center"/>
    </xf>
    <xf numFmtId="170" fontId="16" fillId="3" borderId="0" xfId="66" applyNumberFormat="1" applyFont="1" applyFill="1" applyAlignment="1">
      <alignment horizontal="center" vertical="center" wrapText="1"/>
    </xf>
    <xf numFmtId="170" fontId="15" fillId="3" borderId="0" xfId="58" applyNumberFormat="1" applyFont="1" applyFill="1" applyAlignment="1">
      <alignment horizontal="center" vertical="center"/>
    </xf>
    <xf numFmtId="170" fontId="28" fillId="3" borderId="0" xfId="58" applyNumberFormat="1" applyFont="1" applyFill="1" applyAlignment="1">
      <alignment horizontal="center" vertical="center"/>
    </xf>
    <xf numFmtId="170" fontId="30" fillId="3" borderId="0" xfId="58" applyNumberFormat="1" applyFont="1" applyFill="1" applyAlignment="1">
      <alignment horizontal="center" vertical="center"/>
    </xf>
    <xf numFmtId="4" fontId="31" fillId="3" borderId="0" xfId="40" applyNumberFormat="1" applyFont="1" applyFill="1" applyAlignment="1">
      <alignment horizontal="center" vertical="center"/>
    </xf>
    <xf numFmtId="170" fontId="15" fillId="3" borderId="0" xfId="58" applyNumberFormat="1" applyFont="1" applyFill="1" applyAlignment="1">
      <alignment horizontal="center"/>
    </xf>
    <xf numFmtId="170" fontId="19" fillId="12" borderId="1" xfId="58" applyNumberFormat="1" applyFont="1" applyFill="1" applyBorder="1" applyAlignment="1">
      <alignment horizontal="center" vertical="center" wrapText="1"/>
    </xf>
    <xf numFmtId="0" fontId="25" fillId="0" borderId="0" xfId="58" applyFont="1" applyAlignment="1">
      <alignment horizontal="center" vertical="center"/>
    </xf>
    <xf numFmtId="43" fontId="25" fillId="0" borderId="1" xfId="0" applyNumberFormat="1" applyFont="1" applyBorder="1" applyAlignment="1">
      <alignment vertical="center"/>
    </xf>
    <xf numFmtId="4" fontId="15" fillId="3" borderId="0" xfId="58" applyNumberFormat="1" applyFont="1" applyFill="1" applyAlignment="1">
      <alignment horizontal="right" vertical="center"/>
    </xf>
    <xf numFmtId="0" fontId="31" fillId="3" borderId="0" xfId="58" applyFont="1" applyFill="1" applyAlignment="1">
      <alignment horizontal="center" vertical="center"/>
    </xf>
    <xf numFmtId="0" fontId="15" fillId="3" borderId="0" xfId="58" applyFont="1" applyFill="1" applyAlignment="1">
      <alignment horizontal="center" vertical="center" wrapText="1"/>
    </xf>
    <xf numFmtId="0" fontId="24" fillId="0" borderId="1" xfId="58" applyFont="1" applyBorder="1" applyAlignment="1">
      <alignment vertical="center"/>
    </xf>
    <xf numFmtId="0" fontId="24" fillId="0" borderId="1" xfId="0" applyFont="1" applyBorder="1" applyAlignment="1">
      <alignment vertical="center"/>
    </xf>
    <xf numFmtId="0" fontId="12" fillId="3" borderId="0" xfId="58" applyFont="1" applyFill="1" applyAlignment="1">
      <alignment horizontal="center" vertical="center"/>
    </xf>
    <xf numFmtId="0" fontId="19" fillId="12" borderId="1" xfId="58" applyFont="1" applyFill="1" applyBorder="1" applyAlignment="1">
      <alignment horizontal="center" vertical="center" wrapText="1"/>
    </xf>
    <xf numFmtId="4" fontId="24" fillId="7" borderId="1" xfId="40" applyNumberFormat="1" applyFont="1" applyFill="1" applyBorder="1" applyAlignment="1">
      <alignment horizontal="center" vertical="center"/>
    </xf>
    <xf numFmtId="4" fontId="24" fillId="7" borderId="1" xfId="1" applyNumberFormat="1" applyFont="1" applyFill="1" applyBorder="1" applyAlignment="1">
      <alignment horizontal="center" vertical="center"/>
    </xf>
    <xf numFmtId="3" fontId="24" fillId="0" borderId="1" xfId="40" applyNumberFormat="1" applyFont="1" applyBorder="1" applyAlignment="1">
      <alignment horizontal="center" vertical="center"/>
    </xf>
    <xf numFmtId="0" fontId="24" fillId="0" borderId="1" xfId="40" applyNumberFormat="1" applyFont="1" applyBorder="1" applyAlignment="1">
      <alignment horizontal="center" vertical="center"/>
    </xf>
    <xf numFmtId="43" fontId="24" fillId="0" borderId="1" xfId="40" applyFont="1" applyBorder="1" applyAlignment="1">
      <alignment horizontal="center" vertical="center"/>
    </xf>
    <xf numFmtId="0" fontId="24" fillId="0" borderId="1" xfId="40" applyNumberFormat="1" applyFont="1" applyFill="1" applyBorder="1" applyAlignment="1">
      <alignment horizontal="center" vertical="center"/>
    </xf>
    <xf numFmtId="3" fontId="24" fillId="0" borderId="1" xfId="40" applyNumberFormat="1" applyFont="1" applyFill="1" applyBorder="1" applyAlignment="1">
      <alignment horizontal="center" vertical="center"/>
    </xf>
    <xf numFmtId="43" fontId="24" fillId="0" borderId="1" xfId="40" applyFont="1" applyFill="1" applyBorder="1" applyAlignment="1">
      <alignment horizontal="center" vertical="center"/>
    </xf>
    <xf numFmtId="3" fontId="24" fillId="0" borderId="1" xfId="1" applyNumberFormat="1" applyFont="1" applyBorder="1" applyAlignment="1">
      <alignment horizontal="center" vertical="center"/>
    </xf>
    <xf numFmtId="0" fontId="24" fillId="0" borderId="1" xfId="1" applyNumberFormat="1" applyFont="1" applyBorder="1" applyAlignment="1">
      <alignment horizontal="center" vertical="center"/>
    </xf>
    <xf numFmtId="43" fontId="24" fillId="0" borderId="1" xfId="1" applyFont="1" applyBorder="1" applyAlignment="1">
      <alignment horizontal="center" vertical="center"/>
    </xf>
    <xf numFmtId="43" fontId="15" fillId="3" borderId="0" xfId="40" applyFont="1" applyFill="1" applyAlignment="1">
      <alignment horizontal="center"/>
    </xf>
    <xf numFmtId="43" fontId="19" fillId="12" borderId="1" xfId="40" applyFont="1" applyFill="1" applyBorder="1" applyAlignment="1">
      <alignment horizontal="center" vertical="center" wrapText="1"/>
    </xf>
    <xf numFmtId="43" fontId="24" fillId="7" borderId="1" xfId="40" applyFont="1" applyFill="1" applyBorder="1" applyAlignment="1">
      <alignment horizontal="center" vertical="center"/>
    </xf>
    <xf numFmtId="0" fontId="24" fillId="0" borderId="1" xfId="58" applyFont="1" applyBorder="1" applyAlignment="1">
      <alignment vertical="center" wrapText="1"/>
    </xf>
    <xf numFmtId="0" fontId="24" fillId="3" borderId="1" xfId="58" applyFont="1" applyFill="1" applyBorder="1" applyAlignment="1">
      <alignment vertical="center" wrapText="1"/>
    </xf>
    <xf numFmtId="43" fontId="24" fillId="7" borderId="1" xfId="1" applyFont="1" applyFill="1" applyBorder="1" applyAlignment="1">
      <alignment horizontal="center" vertical="center"/>
    </xf>
    <xf numFmtId="0" fontId="24" fillId="0" borderId="1" xfId="0" applyFont="1" applyBorder="1" applyAlignment="1">
      <alignment vertical="center" wrapText="1"/>
    </xf>
    <xf numFmtId="0" fontId="24" fillId="3" borderId="1" xfId="0" applyFont="1" applyFill="1" applyBorder="1" applyAlignment="1">
      <alignment vertical="center" wrapText="1"/>
    </xf>
    <xf numFmtId="43" fontId="27" fillId="7" borderId="7" xfId="40" applyFont="1" applyFill="1" applyBorder="1" applyAlignment="1">
      <alignment horizontal="center" vertical="center"/>
    </xf>
    <xf numFmtId="0" fontId="32" fillId="0" borderId="1" xfId="58" applyFont="1" applyBorder="1" applyAlignment="1">
      <alignment vertical="center" wrapText="1"/>
    </xf>
    <xf numFmtId="0" fontId="116" fillId="0" borderId="0" xfId="58" applyAlignment="1">
      <alignment horizontal="center" wrapText="1"/>
    </xf>
    <xf numFmtId="0" fontId="33" fillId="11" borderId="4" xfId="58" applyFont="1" applyFill="1" applyBorder="1" applyAlignment="1">
      <alignment horizontal="center" vertical="center"/>
    </xf>
    <xf numFmtId="0" fontId="33" fillId="0" borderId="1" xfId="58" applyFont="1" applyBorder="1" applyAlignment="1">
      <alignment horizontal="left" vertical="center" wrapText="1"/>
    </xf>
    <xf numFmtId="0" fontId="33" fillId="11" borderId="0" xfId="58" applyFont="1" applyFill="1" applyAlignment="1">
      <alignment horizontal="center" vertical="center"/>
    </xf>
    <xf numFmtId="0" fontId="33" fillId="0" borderId="0" xfId="58" applyFont="1" applyAlignment="1">
      <alignment horizontal="left" vertical="center" wrapText="1"/>
    </xf>
    <xf numFmtId="0" fontId="34" fillId="0" borderId="0" xfId="57" applyFont="1" applyAlignment="1">
      <alignment vertical="center" wrapText="1"/>
    </xf>
    <xf numFmtId="0" fontId="35" fillId="0" borderId="0" xfId="57" applyFont="1" applyAlignment="1">
      <alignment vertical="center"/>
    </xf>
    <xf numFmtId="0" fontId="36" fillId="0" borderId="0" xfId="66" applyFont="1" applyAlignment="1">
      <alignment horizontal="center" vertical="center" wrapText="1"/>
    </xf>
    <xf numFmtId="0" fontId="37" fillId="0" borderId="0" xfId="66" applyFont="1" applyAlignment="1">
      <alignment horizontal="left" vertical="center" wrapText="1"/>
    </xf>
    <xf numFmtId="0" fontId="38" fillId="0" borderId="0" xfId="66" applyFont="1" applyAlignment="1">
      <alignment horizontal="left" vertical="center" wrapText="1"/>
    </xf>
    <xf numFmtId="0" fontId="116" fillId="0" borderId="0" xfId="57"/>
    <xf numFmtId="0" fontId="39" fillId="0" borderId="0" xfId="66" applyFont="1" applyAlignment="1">
      <alignment horizontal="left" vertical="center" wrapText="1"/>
    </xf>
    <xf numFmtId="0" fontId="40" fillId="0" borderId="0" xfId="57" applyFont="1"/>
    <xf numFmtId="0" fontId="38" fillId="0" borderId="1" xfId="66" applyFont="1" applyBorder="1" applyAlignment="1">
      <alignment horizontal="left" vertical="center" wrapText="1"/>
    </xf>
    <xf numFmtId="0" fontId="35" fillId="0" borderId="0" xfId="57" applyFont="1" applyAlignment="1">
      <alignment horizontal="left" vertical="center" wrapText="1"/>
    </xf>
    <xf numFmtId="0" fontId="37" fillId="8" borderId="0" xfId="66" applyFont="1" applyFill="1" applyAlignment="1">
      <alignment horizontal="left" vertical="center" wrapText="1"/>
    </xf>
    <xf numFmtId="0" fontId="32" fillId="0" borderId="0" xfId="57" applyFont="1" applyAlignment="1">
      <alignment vertical="center" wrapText="1"/>
    </xf>
    <xf numFmtId="164" fontId="35" fillId="0" borderId="0" xfId="57" applyNumberFormat="1" applyFont="1" applyAlignment="1">
      <alignment horizontal="center" vertical="center" wrapText="1"/>
    </xf>
    <xf numFmtId="0" fontId="35" fillId="0" borderId="0" xfId="57" applyFont="1" applyAlignment="1">
      <alignment vertical="center" wrapText="1"/>
    </xf>
    <xf numFmtId="0" fontId="37" fillId="0" borderId="0" xfId="57" applyFont="1" applyAlignment="1">
      <alignment horizontal="left" vertical="center" wrapText="1"/>
    </xf>
    <xf numFmtId="0" fontId="41" fillId="0" borderId="0" xfId="57" applyFont="1" applyAlignment="1">
      <alignment horizontal="left" vertical="center" wrapText="1"/>
    </xf>
    <xf numFmtId="0" fontId="41" fillId="0" borderId="0" xfId="57" applyFont="1" applyAlignment="1">
      <alignment horizontal="center" vertical="center" wrapText="1"/>
    </xf>
    <xf numFmtId="15" fontId="41" fillId="0" borderId="0" xfId="57" applyNumberFormat="1" applyFont="1" applyAlignment="1">
      <alignment horizontal="center" vertical="center" wrapText="1"/>
    </xf>
    <xf numFmtId="168" fontId="41" fillId="0" borderId="0" xfId="57" applyNumberFormat="1" applyFont="1" applyAlignment="1">
      <alignment horizontal="center" vertical="center" wrapText="1"/>
    </xf>
    <xf numFmtId="0" fontId="35" fillId="0" borderId="0" xfId="57" applyFont="1" applyAlignment="1">
      <alignment horizontal="center" vertical="center" wrapText="1"/>
    </xf>
    <xf numFmtId="167" fontId="26" fillId="3" borderId="0" xfId="66" applyNumberFormat="1" applyFont="1" applyFill="1" applyAlignment="1">
      <alignment vertical="center" wrapText="1"/>
    </xf>
    <xf numFmtId="0" fontId="32" fillId="3" borderId="0" xfId="66" applyFont="1" applyFill="1" applyAlignment="1">
      <alignment vertical="center" wrapText="1"/>
    </xf>
    <xf numFmtId="167" fontId="36" fillId="3" borderId="0" xfId="66" applyNumberFormat="1" applyFont="1" applyFill="1" applyAlignment="1">
      <alignment horizontal="left" vertical="center" wrapText="1"/>
    </xf>
    <xf numFmtId="167" fontId="36" fillId="0" borderId="0" xfId="66" applyNumberFormat="1" applyFont="1" applyAlignment="1">
      <alignment horizontal="center" vertical="center" wrapText="1"/>
    </xf>
    <xf numFmtId="0" fontId="41" fillId="3" borderId="0" xfId="57" applyFont="1" applyFill="1" applyAlignment="1">
      <alignment horizontal="right" vertical="center" wrapText="1"/>
    </xf>
    <xf numFmtId="0" fontId="43" fillId="3" borderId="0" xfId="57" applyFont="1" applyFill="1" applyAlignment="1">
      <alignment horizontal="right" vertical="center" wrapText="1"/>
    </xf>
    <xf numFmtId="0" fontId="41" fillId="3" borderId="0" xfId="57" applyFont="1" applyFill="1" applyAlignment="1">
      <alignment horizontal="left" vertical="center" wrapText="1"/>
    </xf>
    <xf numFmtId="0" fontId="42" fillId="3" borderId="0" xfId="57" applyFont="1" applyFill="1" applyAlignment="1">
      <alignment horizontal="left" vertical="center" wrapText="1"/>
    </xf>
    <xf numFmtId="0" fontId="42" fillId="0" borderId="0" xfId="57" applyFont="1" applyAlignment="1">
      <alignment horizontal="center" vertical="center" wrapText="1"/>
    </xf>
    <xf numFmtId="0" fontId="34" fillId="3" borderId="0" xfId="57" applyFont="1" applyFill="1" applyAlignment="1">
      <alignment vertical="center" wrapText="1"/>
    </xf>
    <xf numFmtId="0" fontId="37" fillId="3" borderId="0" xfId="57" applyFont="1" applyFill="1" applyAlignment="1">
      <alignment horizontal="left" vertical="center" wrapText="1"/>
    </xf>
    <xf numFmtId="0" fontId="35" fillId="3" borderId="0" xfId="57" applyFont="1" applyFill="1" applyAlignment="1">
      <alignment vertical="center"/>
    </xf>
    <xf numFmtId="0" fontId="41" fillId="3" borderId="0" xfId="57" applyFont="1" applyFill="1" applyAlignment="1">
      <alignment horizontal="center" vertical="center" wrapText="1"/>
    </xf>
    <xf numFmtId="0" fontId="35" fillId="3" borderId="0" xfId="57" applyFont="1" applyFill="1" applyAlignment="1">
      <alignment vertical="center" wrapText="1"/>
    </xf>
    <xf numFmtId="0" fontId="42" fillId="12" borderId="1" xfId="66" applyFont="1" applyFill="1" applyBorder="1" applyAlignment="1">
      <alignment horizontal="center" vertical="center" wrapText="1"/>
    </xf>
    <xf numFmtId="0" fontId="44" fillId="0" borderId="1" xfId="57" applyFont="1" applyBorder="1" applyAlignment="1">
      <alignment horizontal="center" vertical="center" wrapText="1"/>
    </xf>
    <xf numFmtId="0" fontId="44" fillId="0" borderId="1" xfId="57" applyFont="1" applyBorder="1" applyAlignment="1">
      <alignment horizontal="left" vertical="center" wrapText="1"/>
    </xf>
    <xf numFmtId="173" fontId="44" fillId="0" borderId="1" xfId="66" applyNumberFormat="1" applyFont="1" applyBorder="1" applyAlignment="1">
      <alignment horizontal="center" vertical="center" wrapText="1"/>
    </xf>
    <xf numFmtId="173" fontId="44" fillId="3" borderId="1" xfId="66" applyNumberFormat="1" applyFont="1" applyFill="1" applyBorder="1" applyAlignment="1">
      <alignment horizontal="center" vertical="center" wrapText="1"/>
    </xf>
    <xf numFmtId="173" fontId="45" fillId="0" borderId="1" xfId="66" applyNumberFormat="1" applyFont="1" applyBorder="1" applyAlignment="1">
      <alignment horizontal="center" vertical="center" wrapText="1"/>
    </xf>
    <xf numFmtId="167" fontId="36" fillId="3" borderId="0" xfId="66" applyNumberFormat="1" applyFont="1" applyFill="1" applyAlignment="1">
      <alignment horizontal="center" vertical="center" wrapText="1"/>
    </xf>
    <xf numFmtId="15" fontId="36" fillId="3" borderId="0" xfId="66" applyNumberFormat="1" applyFont="1" applyFill="1" applyAlignment="1">
      <alignment horizontal="center" vertical="center" wrapText="1"/>
    </xf>
    <xf numFmtId="168" fontId="36" fillId="3" borderId="0" xfId="66" applyNumberFormat="1" applyFont="1" applyFill="1" applyAlignment="1">
      <alignment horizontal="center" vertical="center" wrapText="1"/>
    </xf>
    <xf numFmtId="0" fontId="42" fillId="3" borderId="0" xfId="57" applyFont="1" applyFill="1" applyAlignment="1">
      <alignment horizontal="center" vertical="center" wrapText="1"/>
    </xf>
    <xf numFmtId="15" fontId="42" fillId="3" borderId="0" xfId="57" applyNumberFormat="1" applyFont="1" applyFill="1" applyAlignment="1">
      <alignment horizontal="center" vertical="center" wrapText="1"/>
    </xf>
    <xf numFmtId="168" fontId="41" fillId="3" borderId="0" xfId="57" applyNumberFormat="1" applyFont="1" applyFill="1" applyAlignment="1">
      <alignment horizontal="center" vertical="center" wrapText="1"/>
    </xf>
    <xf numFmtId="168" fontId="46" fillId="3" borderId="0" xfId="57" applyNumberFormat="1" applyFont="1" applyFill="1" applyAlignment="1">
      <alignment horizontal="center" vertical="center" wrapText="1"/>
    </xf>
    <xf numFmtId="15" fontId="41" fillId="3" borderId="0" xfId="57" applyNumberFormat="1" applyFont="1" applyFill="1" applyAlignment="1">
      <alignment horizontal="center" vertical="center" wrapText="1"/>
    </xf>
    <xf numFmtId="164" fontId="47" fillId="3" borderId="0" xfId="57" applyNumberFormat="1" applyFont="1" applyFill="1" applyAlignment="1">
      <alignment horizontal="center" vertical="center" wrapText="1"/>
    </xf>
    <xf numFmtId="0" fontId="36" fillId="3" borderId="0" xfId="66" applyFont="1" applyFill="1" applyAlignment="1">
      <alignment horizontal="center" vertical="center" wrapText="1"/>
    </xf>
    <xf numFmtId="15" fontId="47" fillId="3" borderId="0" xfId="57" applyNumberFormat="1" applyFont="1" applyFill="1" applyAlignment="1">
      <alignment horizontal="center" vertical="center" wrapText="1"/>
    </xf>
    <xf numFmtId="168" fontId="47" fillId="3" borderId="0" xfId="57" applyNumberFormat="1" applyFont="1" applyFill="1" applyAlignment="1">
      <alignment horizontal="center" vertical="center" wrapText="1"/>
    </xf>
    <xf numFmtId="0" fontId="42" fillId="13" borderId="15" xfId="66" applyFont="1" applyFill="1" applyBorder="1" applyAlignment="1">
      <alignment horizontal="center" vertical="center" wrapText="1"/>
    </xf>
    <xf numFmtId="15" fontId="42" fillId="13" borderId="15" xfId="66" applyNumberFormat="1" applyFont="1" applyFill="1" applyBorder="1" applyAlignment="1">
      <alignment horizontal="center" vertical="center" wrapText="1"/>
    </xf>
    <xf numFmtId="168" fontId="41" fillId="13" borderId="0" xfId="57" applyNumberFormat="1" applyFont="1" applyFill="1" applyAlignment="1">
      <alignment horizontal="center" vertical="center" wrapText="1"/>
    </xf>
    <xf numFmtId="174" fontId="44" fillId="0" borderId="1" xfId="57" applyNumberFormat="1" applyFont="1" applyBorder="1" applyAlignment="1">
      <alignment horizontal="center" vertical="center" wrapText="1"/>
    </xf>
    <xf numFmtId="167" fontId="48" fillId="3" borderId="0" xfId="66" applyNumberFormat="1" applyFont="1" applyFill="1" applyAlignment="1">
      <alignment horizontal="center" vertical="center" wrapText="1"/>
    </xf>
    <xf numFmtId="0" fontId="48" fillId="3" borderId="6" xfId="57" applyFont="1" applyFill="1" applyBorder="1" applyAlignment="1">
      <alignment horizontal="center" vertical="center" wrapText="1"/>
    </xf>
    <xf numFmtId="168" fontId="42" fillId="3" borderId="0" xfId="57" applyNumberFormat="1" applyFont="1" applyFill="1" applyAlignment="1">
      <alignment horizontal="center" vertical="center" wrapText="1"/>
    </xf>
    <xf numFmtId="0" fontId="49" fillId="3" borderId="0" xfId="57" applyFont="1" applyFill="1" applyAlignment="1">
      <alignment horizontal="left" vertical="center" wrapText="1"/>
    </xf>
    <xf numFmtId="0" fontId="48" fillId="3" borderId="0" xfId="57" applyFont="1" applyFill="1" applyAlignment="1">
      <alignment horizontal="center" vertical="center" wrapText="1"/>
    </xf>
    <xf numFmtId="43" fontId="48" fillId="3" borderId="6" xfId="38" applyFont="1" applyFill="1" applyBorder="1" applyAlignment="1">
      <alignment horizontal="center" vertical="center" wrapText="1"/>
    </xf>
    <xf numFmtId="168" fontId="50" fillId="3" borderId="0" xfId="57" applyNumberFormat="1" applyFont="1" applyFill="1" applyAlignment="1">
      <alignment horizontal="center" vertical="center" wrapText="1"/>
    </xf>
    <xf numFmtId="168" fontId="51" fillId="3" borderId="0" xfId="57" applyNumberFormat="1" applyFont="1" applyFill="1" applyAlignment="1">
      <alignment horizontal="center" vertical="center" wrapText="1"/>
    </xf>
    <xf numFmtId="0" fontId="35" fillId="3" borderId="0" xfId="57" applyFont="1" applyFill="1" applyAlignment="1">
      <alignment horizontal="center" vertical="center" wrapText="1"/>
    </xf>
    <xf numFmtId="0" fontId="34" fillId="3" borderId="0" xfId="57" applyFont="1" applyFill="1" applyAlignment="1">
      <alignment horizontal="center" vertical="center" wrapText="1"/>
    </xf>
    <xf numFmtId="0" fontId="35" fillId="3" borderId="0" xfId="57" applyFont="1" applyFill="1" applyAlignment="1">
      <alignment horizontal="center" vertical="center"/>
    </xf>
    <xf numFmtId="168" fontId="41" fillId="13" borderId="15" xfId="66" applyNumberFormat="1" applyFont="1" applyFill="1" applyBorder="1" applyAlignment="1">
      <alignment horizontal="center" vertical="center" wrapText="1"/>
    </xf>
    <xf numFmtId="0" fontId="41" fillId="13" borderId="15" xfId="66" applyFont="1" applyFill="1" applyBorder="1" applyAlignment="1">
      <alignment horizontal="center" vertical="center" wrapText="1"/>
    </xf>
    <xf numFmtId="168" fontId="44" fillId="0" borderId="1" xfId="57" applyNumberFormat="1" applyFont="1" applyBorder="1" applyAlignment="1">
      <alignment horizontal="center" vertical="center" wrapText="1"/>
    </xf>
    <xf numFmtId="0" fontId="44" fillId="0" borderId="1" xfId="66" applyFont="1" applyBorder="1" applyAlignment="1">
      <alignment horizontal="center" vertical="center" wrapText="1"/>
    </xf>
    <xf numFmtId="43" fontId="44" fillId="3" borderId="1" xfId="38" applyFont="1" applyFill="1" applyBorder="1" applyAlignment="1">
      <alignment horizontal="center" vertical="center" wrapText="1"/>
    </xf>
    <xf numFmtId="43" fontId="44" fillId="7" borderId="1" xfId="57" applyNumberFormat="1" applyFont="1" applyFill="1" applyBorder="1" applyAlignment="1">
      <alignment horizontal="center" vertical="center" wrapText="1"/>
    </xf>
    <xf numFmtId="168" fontId="45" fillId="0" borderId="1" xfId="57" applyNumberFormat="1" applyFont="1" applyBorder="1" applyAlignment="1">
      <alignment horizontal="center" vertical="center" wrapText="1"/>
    </xf>
    <xf numFmtId="0" fontId="45" fillId="0" borderId="1" xfId="66" applyFont="1" applyBorder="1" applyAlignment="1">
      <alignment horizontal="center" vertical="center" wrapText="1"/>
    </xf>
    <xf numFmtId="43" fontId="45" fillId="3" borderId="1" xfId="38" applyFont="1" applyFill="1" applyBorder="1" applyAlignment="1">
      <alignment horizontal="center" vertical="center" wrapText="1"/>
    </xf>
    <xf numFmtId="43" fontId="45" fillId="7" borderId="1" xfId="57" applyNumberFormat="1" applyFont="1" applyFill="1" applyBorder="1" applyAlignment="1">
      <alignment horizontal="center" vertical="center" wrapText="1"/>
    </xf>
    <xf numFmtId="167" fontId="26" fillId="3" borderId="0" xfId="66" applyNumberFormat="1" applyFont="1" applyFill="1" applyAlignment="1">
      <alignment horizontal="left" vertical="center" wrapText="1"/>
    </xf>
    <xf numFmtId="0" fontId="48" fillId="3" borderId="7" xfId="57" applyFont="1" applyFill="1" applyBorder="1" applyAlignment="1">
      <alignment horizontal="left" vertical="center" wrapText="1"/>
    </xf>
    <xf numFmtId="0" fontId="48" fillId="3" borderId="0" xfId="57" applyFont="1" applyFill="1" applyAlignment="1">
      <alignment horizontal="left" vertical="center" wrapText="1"/>
    </xf>
    <xf numFmtId="43" fontId="48" fillId="3" borderId="7" xfId="38" applyFont="1" applyFill="1" applyBorder="1" applyAlignment="1">
      <alignment horizontal="left" vertical="center" wrapText="1"/>
    </xf>
    <xf numFmtId="0" fontId="34" fillId="3" borderId="0" xfId="57" applyFont="1" applyFill="1" applyAlignment="1">
      <alignment horizontal="left" vertical="center" wrapText="1"/>
    </xf>
    <xf numFmtId="0" fontId="35" fillId="3" borderId="0" xfId="57" applyFont="1" applyFill="1" applyAlignment="1">
      <alignment horizontal="left" vertical="center" wrapText="1"/>
    </xf>
    <xf numFmtId="0" fontId="42" fillId="0" borderId="0" xfId="66" applyFont="1" applyAlignment="1">
      <alignment horizontal="center" vertical="center" wrapText="1"/>
    </xf>
    <xf numFmtId="0" fontId="41" fillId="0" borderId="0" xfId="66" applyFont="1" applyAlignment="1">
      <alignment horizontal="left" vertical="center" wrapText="1"/>
    </xf>
    <xf numFmtId="0" fontId="52" fillId="0" borderId="0" xfId="66" applyFont="1" applyAlignment="1">
      <alignment horizontal="left" vertical="center" wrapText="1"/>
    </xf>
    <xf numFmtId="0" fontId="45" fillId="0" borderId="1" xfId="57" applyFont="1" applyBorder="1" applyAlignment="1">
      <alignment horizontal="left" vertical="center" wrapText="1"/>
    </xf>
    <xf numFmtId="0" fontId="53" fillId="0" borderId="0" xfId="66" applyFont="1" applyAlignment="1">
      <alignment horizontal="left" vertical="center" wrapText="1"/>
    </xf>
    <xf numFmtId="176" fontId="44" fillId="0" borderId="1" xfId="57" applyNumberFormat="1" applyFont="1" applyBorder="1" applyAlignment="1">
      <alignment horizontal="center" vertical="center" wrapText="1"/>
    </xf>
    <xf numFmtId="15" fontId="54" fillId="13" borderId="6" xfId="66" applyNumberFormat="1" applyFont="1" applyFill="1" applyBorder="1" applyAlignment="1">
      <alignment horizontal="center" vertical="center" wrapText="1"/>
    </xf>
    <xf numFmtId="0" fontId="44" fillId="0" borderId="1" xfId="57" applyFont="1" applyBorder="1" applyAlignment="1">
      <alignment vertical="center" wrapText="1"/>
    </xf>
    <xf numFmtId="173" fontId="44" fillId="0" borderId="2" xfId="66" applyNumberFormat="1" applyFont="1" applyBorder="1" applyAlignment="1">
      <alignment horizontal="center" vertical="center" wrapText="1"/>
    </xf>
    <xf numFmtId="0" fontId="44" fillId="3" borderId="1" xfId="57" applyFont="1" applyFill="1" applyBorder="1" applyAlignment="1">
      <alignment vertical="center" wrapText="1"/>
    </xf>
    <xf numFmtId="168" fontId="54" fillId="13" borderId="6" xfId="66" applyNumberFormat="1" applyFont="1" applyFill="1" applyBorder="1" applyAlignment="1">
      <alignment horizontal="center" vertical="center" wrapText="1"/>
    </xf>
    <xf numFmtId="0" fontId="52" fillId="13" borderId="0" xfId="57" applyFont="1" applyFill="1" applyAlignment="1">
      <alignment horizontal="center" vertical="center" wrapText="1"/>
    </xf>
    <xf numFmtId="15" fontId="52" fillId="13" borderId="0" xfId="57" applyNumberFormat="1" applyFont="1" applyFill="1" applyAlignment="1">
      <alignment horizontal="center" vertical="center" wrapText="1"/>
    </xf>
    <xf numFmtId="168" fontId="52" fillId="13" borderId="0" xfId="57" applyNumberFormat="1" applyFont="1" applyFill="1" applyAlignment="1">
      <alignment horizontal="center" vertical="center" wrapText="1"/>
    </xf>
    <xf numFmtId="0" fontId="44" fillId="0" borderId="1" xfId="57" applyFont="1" applyBorder="1" applyAlignment="1">
      <alignment horizontal="center" vertical="center"/>
    </xf>
    <xf numFmtId="0" fontId="44" fillId="3" borderId="1" xfId="57" applyFont="1" applyFill="1" applyBorder="1" applyAlignment="1">
      <alignment horizontal="center" vertical="center"/>
    </xf>
    <xf numFmtId="176" fontId="45" fillId="0" borderId="1" xfId="57" applyNumberFormat="1" applyFont="1" applyBorder="1" applyAlignment="1">
      <alignment horizontal="center" vertical="center" wrapText="1"/>
    </xf>
    <xf numFmtId="168" fontId="52" fillId="14" borderId="0" xfId="57" applyNumberFormat="1" applyFont="1" applyFill="1" applyAlignment="1">
      <alignment horizontal="center" vertical="center" wrapText="1"/>
    </xf>
    <xf numFmtId="0" fontId="54" fillId="13" borderId="0" xfId="66" applyFont="1" applyFill="1" applyAlignment="1">
      <alignment horizontal="center" vertical="center" wrapText="1"/>
    </xf>
    <xf numFmtId="0" fontId="44" fillId="3" borderId="1" xfId="66" applyFont="1" applyFill="1" applyBorder="1" applyAlignment="1">
      <alignment horizontal="center" vertical="center" wrapText="1"/>
    </xf>
    <xf numFmtId="0" fontId="54" fillId="13" borderId="17" xfId="66" applyFont="1" applyFill="1" applyBorder="1" applyAlignment="1">
      <alignment horizontal="left" vertical="center" wrapText="1"/>
    </xf>
    <xf numFmtId="0" fontId="52" fillId="0" borderId="0" xfId="57" applyFont="1" applyAlignment="1">
      <alignment horizontal="center" vertical="center" wrapText="1"/>
    </xf>
    <xf numFmtId="0" fontId="52" fillId="0" borderId="0" xfId="57" applyFont="1" applyAlignment="1">
      <alignment horizontal="left" vertical="center" wrapText="1"/>
    </xf>
    <xf numFmtId="173" fontId="52" fillId="0" borderId="0" xfId="66" applyNumberFormat="1" applyFont="1" applyAlignment="1">
      <alignment horizontal="center" vertical="center" wrapText="1"/>
    </xf>
    <xf numFmtId="15" fontId="54" fillId="13" borderId="0" xfId="66" applyNumberFormat="1" applyFont="1" applyFill="1" applyAlignment="1">
      <alignment horizontal="center" vertical="center" wrapText="1"/>
    </xf>
    <xf numFmtId="168" fontId="54" fillId="13" borderId="0" xfId="66" applyNumberFormat="1" applyFont="1" applyFill="1" applyAlignment="1">
      <alignment horizontal="center" vertical="center" wrapText="1"/>
    </xf>
    <xf numFmtId="168" fontId="44" fillId="0" borderId="2" xfId="57" applyNumberFormat="1" applyFont="1" applyBorder="1" applyAlignment="1">
      <alignment horizontal="center" vertical="center" wrapText="1"/>
    </xf>
    <xf numFmtId="0" fontId="44" fillId="0" borderId="15" xfId="66" applyFont="1" applyBorder="1" applyAlignment="1">
      <alignment horizontal="center" vertical="center" wrapText="1"/>
    </xf>
    <xf numFmtId="43" fontId="52" fillId="7" borderId="3" xfId="57" applyNumberFormat="1" applyFont="1" applyFill="1" applyBorder="1" applyAlignment="1">
      <alignment horizontal="center" vertical="center" wrapText="1"/>
    </xf>
    <xf numFmtId="0" fontId="55" fillId="0" borderId="0" xfId="66" applyFont="1" applyAlignment="1">
      <alignment horizontal="left" vertical="center" wrapText="1"/>
    </xf>
    <xf numFmtId="168" fontId="36" fillId="13" borderId="0" xfId="66" applyNumberFormat="1" applyFont="1" applyFill="1" applyAlignment="1">
      <alignment horizontal="center" vertical="center" wrapText="1"/>
    </xf>
    <xf numFmtId="168" fontId="37" fillId="0" borderId="0" xfId="57" applyNumberFormat="1" applyFont="1" applyAlignment="1">
      <alignment horizontal="center" vertical="center" wrapText="1"/>
    </xf>
    <xf numFmtId="168" fontId="36" fillId="0" borderId="0" xfId="57" applyNumberFormat="1" applyFont="1" applyAlignment="1">
      <alignment horizontal="center" vertical="center" wrapText="1"/>
    </xf>
    <xf numFmtId="168" fontId="37" fillId="3" borderId="0" xfId="57" applyNumberFormat="1" applyFont="1" applyFill="1" applyAlignment="1">
      <alignment horizontal="center" vertical="center" wrapText="1"/>
    </xf>
    <xf numFmtId="0" fontId="44" fillId="3" borderId="0" xfId="0" applyFont="1" applyFill="1" applyAlignment="1">
      <alignment vertical="center"/>
    </xf>
    <xf numFmtId="0" fontId="44" fillId="0" borderId="0" xfId="0" applyFont="1" applyAlignment="1">
      <alignment horizontal="left" vertical="center"/>
    </xf>
    <xf numFmtId="0" fontId="56" fillId="2" borderId="0" xfId="66" applyFont="1" applyFill="1" applyAlignment="1">
      <alignment horizontal="center" vertical="center" wrapText="1"/>
    </xf>
    <xf numFmtId="0" fontId="57" fillId="2" borderId="0" xfId="66" applyFont="1" applyFill="1" applyAlignment="1">
      <alignment horizontal="center" vertical="center" wrapText="1"/>
    </xf>
    <xf numFmtId="0" fontId="58" fillId="0" borderId="0" xfId="66" applyFont="1" applyAlignment="1">
      <alignment horizontal="center" vertical="center" wrapText="1"/>
    </xf>
    <xf numFmtId="0" fontId="59" fillId="0" borderId="0" xfId="66" applyFont="1" applyAlignment="1">
      <alignment horizontal="center" vertical="center" wrapText="1"/>
    </xf>
    <xf numFmtId="0" fontId="57" fillId="0" borderId="0" xfId="66" applyFont="1" applyAlignment="1">
      <alignment horizontal="center" vertical="center" wrapText="1"/>
    </xf>
    <xf numFmtId="0" fontId="60" fillId="0" borderId="0" xfId="66" applyFont="1" applyAlignment="1">
      <alignment horizontal="center" vertical="center" wrapText="1"/>
    </xf>
    <xf numFmtId="0" fontId="61" fillId="0" borderId="0" xfId="66" applyFont="1" applyAlignment="1">
      <alignment horizontal="center" vertical="center" wrapText="1"/>
    </xf>
    <xf numFmtId="0" fontId="62" fillId="0" borderId="0" xfId="66" applyFont="1" applyAlignment="1">
      <alignment horizontal="center" vertical="center" wrapText="1"/>
    </xf>
    <xf numFmtId="0" fontId="63" fillId="0" borderId="0" xfId="66" applyFont="1" applyAlignment="1">
      <alignment horizontal="center" vertical="center" wrapText="1"/>
    </xf>
    <xf numFmtId="0" fontId="44" fillId="0" borderId="0" xfId="0" applyFont="1" applyAlignment="1">
      <alignment horizontal="center" vertical="center"/>
    </xf>
    <xf numFmtId="0" fontId="44" fillId="0" borderId="0" xfId="0" applyFont="1" applyAlignment="1">
      <alignment horizontal="center" vertical="center" wrapText="1"/>
    </xf>
    <xf numFmtId="0" fontId="44" fillId="0" borderId="0" xfId="0" applyFont="1" applyAlignment="1">
      <alignment horizontal="left" vertical="center" wrapText="1"/>
    </xf>
    <xf numFmtId="177" fontId="64" fillId="0" borderId="0" xfId="0" applyNumberFormat="1" applyFont="1" applyAlignment="1">
      <alignment horizontal="center" vertical="center" wrapText="1"/>
    </xf>
    <xf numFmtId="22" fontId="64" fillId="0" borderId="0" xfId="0" applyNumberFormat="1" applyFont="1" applyAlignment="1">
      <alignment horizontal="center" vertical="center" wrapText="1"/>
    </xf>
    <xf numFmtId="174" fontId="64" fillId="0" borderId="0" xfId="0" applyNumberFormat="1" applyFont="1" applyAlignment="1">
      <alignment horizontal="center" vertical="center" wrapText="1"/>
    </xf>
    <xf numFmtId="174" fontId="44" fillId="0" borderId="0" xfId="0" applyNumberFormat="1" applyFont="1" applyAlignment="1">
      <alignment horizontal="center" vertical="center" wrapText="1"/>
    </xf>
    <xf numFmtId="0" fontId="44" fillId="0" borderId="0" xfId="0" applyFont="1" applyAlignment="1">
      <alignment horizontal="right" vertical="center"/>
    </xf>
    <xf numFmtId="164" fontId="44" fillId="0" borderId="0" xfId="0" applyNumberFormat="1" applyFont="1" applyAlignment="1">
      <alignment horizontal="center" vertical="center"/>
    </xf>
    <xf numFmtId="1" fontId="44" fillId="0" borderId="0" xfId="0" applyNumberFormat="1" applyFont="1" applyAlignment="1">
      <alignment horizontal="center" vertical="center"/>
    </xf>
    <xf numFmtId="0" fontId="64" fillId="0" borderId="0" xfId="0" applyFont="1" applyAlignment="1">
      <alignment vertical="center" wrapText="1"/>
    </xf>
    <xf numFmtId="0" fontId="44" fillId="0" borderId="0" xfId="0" applyFont="1" applyAlignment="1">
      <alignment vertical="center"/>
    </xf>
    <xf numFmtId="0" fontId="44" fillId="3" borderId="0" xfId="0" applyFont="1" applyFill="1" applyAlignment="1">
      <alignment horizontal="center" vertical="center"/>
    </xf>
    <xf numFmtId="167" fontId="56" fillId="3" borderId="0" xfId="66" applyNumberFormat="1" applyFont="1" applyFill="1" applyAlignment="1">
      <alignment horizontal="center" vertical="center" wrapText="1"/>
    </xf>
    <xf numFmtId="0" fontId="64" fillId="3" borderId="0" xfId="66" applyFont="1" applyFill="1" applyAlignment="1">
      <alignment horizontal="center" vertical="center" wrapText="1"/>
    </xf>
    <xf numFmtId="167" fontId="56" fillId="3" borderId="0" xfId="66" applyNumberFormat="1" applyFont="1" applyFill="1" applyAlignment="1">
      <alignment horizontal="left" vertical="center" wrapText="1"/>
    </xf>
    <xf numFmtId="0" fontId="44" fillId="3" borderId="0" xfId="0" applyFont="1" applyFill="1" applyAlignment="1">
      <alignment horizontal="center" vertical="center" wrapText="1"/>
    </xf>
    <xf numFmtId="0" fontId="44" fillId="3" borderId="0" xfId="0" applyFont="1" applyFill="1" applyAlignment="1">
      <alignment horizontal="left" vertical="center" wrapText="1"/>
    </xf>
    <xf numFmtId="0" fontId="44" fillId="3" borderId="0" xfId="0" applyFont="1" applyFill="1" applyAlignment="1">
      <alignment horizontal="left" vertical="center"/>
    </xf>
    <xf numFmtId="0" fontId="66" fillId="2" borderId="1" xfId="66" applyFont="1" applyFill="1" applyBorder="1" applyAlignment="1">
      <alignment horizontal="center" vertical="center" wrapText="1"/>
    </xf>
    <xf numFmtId="0" fontId="67" fillId="15" borderId="5" xfId="66" applyFont="1" applyFill="1" applyBorder="1" applyAlignment="1">
      <alignment horizontal="left" vertical="center"/>
    </xf>
    <xf numFmtId="0" fontId="67" fillId="15" borderId="6" xfId="66" applyFont="1" applyFill="1" applyBorder="1" applyAlignment="1">
      <alignment horizontal="center" vertical="center"/>
    </xf>
    <xf numFmtId="0" fontId="67" fillId="15" borderId="6" xfId="66" applyFont="1" applyFill="1" applyBorder="1" applyAlignment="1">
      <alignment horizontal="left" vertical="center"/>
    </xf>
    <xf numFmtId="0" fontId="67" fillId="15" borderId="6" xfId="66" applyFont="1" applyFill="1" applyBorder="1" applyAlignment="1">
      <alignment horizontal="right" vertical="center"/>
    </xf>
    <xf numFmtId="0" fontId="66" fillId="0" borderId="1" xfId="66" applyFont="1" applyBorder="1" applyAlignment="1">
      <alignment horizontal="center" vertical="center" wrapText="1"/>
    </xf>
    <xf numFmtId="0" fontId="66" fillId="11" borderId="1" xfId="0" applyFont="1" applyFill="1" applyBorder="1" applyAlignment="1">
      <alignment horizontal="center" vertical="center"/>
    </xf>
    <xf numFmtId="0" fontId="66" fillId="0" borderId="1" xfId="0" applyFont="1" applyBorder="1" applyAlignment="1">
      <alignment horizontal="left" vertical="center" wrapText="1"/>
    </xf>
    <xf numFmtId="0" fontId="68" fillId="0" borderId="1" xfId="0" applyFont="1" applyBorder="1" applyAlignment="1">
      <alignment horizontal="left" vertical="center" wrapText="1"/>
    </xf>
    <xf numFmtId="0" fontId="44" fillId="3" borderId="20" xfId="0" applyFont="1" applyFill="1" applyBorder="1" applyAlignment="1">
      <alignment horizontal="center" vertical="center" wrapText="1"/>
    </xf>
    <xf numFmtId="164" fontId="69" fillId="3" borderId="0" xfId="0" applyNumberFormat="1" applyFont="1" applyFill="1" applyAlignment="1">
      <alignment horizontal="center" vertical="center" wrapText="1"/>
    </xf>
    <xf numFmtId="0" fontId="56" fillId="3" borderId="0" xfId="66" applyFont="1" applyFill="1" applyAlignment="1">
      <alignment horizontal="center" vertical="center" wrapText="1"/>
    </xf>
    <xf numFmtId="0" fontId="56" fillId="3" borderId="0" xfId="66" applyFont="1" applyFill="1" applyAlignment="1">
      <alignment horizontal="left" vertical="center" wrapText="1"/>
    </xf>
    <xf numFmtId="0" fontId="69" fillId="3" borderId="0" xfId="0" applyFont="1" applyFill="1" applyAlignment="1">
      <alignment horizontal="center" vertical="center"/>
    </xf>
    <xf numFmtId="164" fontId="66" fillId="2" borderId="1" xfId="66" applyNumberFormat="1" applyFont="1" applyFill="1" applyBorder="1" applyAlignment="1">
      <alignment horizontal="center" vertical="center" wrapText="1"/>
    </xf>
    <xf numFmtId="0" fontId="67" fillId="15" borderId="6" xfId="66" applyFont="1" applyFill="1" applyBorder="1" applyAlignment="1">
      <alignment horizontal="center" vertical="center" wrapText="1"/>
    </xf>
    <xf numFmtId="0" fontId="66" fillId="11" borderId="1" xfId="0" applyFont="1" applyFill="1" applyBorder="1" applyAlignment="1">
      <alignment horizontal="left" vertical="center" wrapText="1"/>
    </xf>
    <xf numFmtId="0" fontId="66" fillId="0" borderId="5" xfId="0" applyFont="1" applyBorder="1" applyAlignment="1">
      <alignment horizontal="center" vertical="center"/>
    </xf>
    <xf numFmtId="177" fontId="56" fillId="3" borderId="0" xfId="66" applyNumberFormat="1" applyFont="1" applyFill="1" applyAlignment="1">
      <alignment horizontal="center" vertical="center" wrapText="1"/>
    </xf>
    <xf numFmtId="22" fontId="56" fillId="3" borderId="0" xfId="66" applyNumberFormat="1" applyFont="1" applyFill="1" applyAlignment="1">
      <alignment horizontal="center" vertical="center" wrapText="1"/>
    </xf>
    <xf numFmtId="174" fontId="56" fillId="3" borderId="0" xfId="66" applyNumberFormat="1" applyFont="1" applyFill="1" applyAlignment="1">
      <alignment horizontal="center" vertical="center" wrapText="1"/>
    </xf>
    <xf numFmtId="177" fontId="64" fillId="3" borderId="0" xfId="0" applyNumberFormat="1" applyFont="1" applyFill="1" applyAlignment="1">
      <alignment horizontal="center" vertical="center" wrapText="1"/>
    </xf>
    <xf numFmtId="22" fontId="64" fillId="3" borderId="0" xfId="0" applyNumberFormat="1" applyFont="1" applyFill="1" applyAlignment="1">
      <alignment horizontal="center" vertical="center" wrapText="1"/>
    </xf>
    <xf numFmtId="174" fontId="64" fillId="3" borderId="0" xfId="0" applyNumberFormat="1" applyFont="1" applyFill="1" applyAlignment="1">
      <alignment horizontal="center" vertical="center" wrapText="1"/>
    </xf>
    <xf numFmtId="174" fontId="44" fillId="3" borderId="0" xfId="0" applyNumberFormat="1" applyFont="1" applyFill="1" applyAlignment="1">
      <alignment horizontal="center" vertical="center" wrapText="1"/>
    </xf>
    <xf numFmtId="177" fontId="56" fillId="3" borderId="0" xfId="0" applyNumberFormat="1" applyFont="1" applyFill="1" applyAlignment="1">
      <alignment horizontal="center" vertical="center" wrapText="1"/>
    </xf>
    <xf numFmtId="22" fontId="56" fillId="3" borderId="0" xfId="0" applyNumberFormat="1" applyFont="1" applyFill="1" applyAlignment="1">
      <alignment horizontal="center" vertical="center" wrapText="1"/>
    </xf>
    <xf numFmtId="174" fontId="56" fillId="3" borderId="0" xfId="0" applyNumberFormat="1" applyFont="1" applyFill="1" applyAlignment="1">
      <alignment horizontal="center" vertical="center" wrapText="1"/>
    </xf>
    <xf numFmtId="177" fontId="67" fillId="15" borderId="6" xfId="66" applyNumberFormat="1" applyFont="1" applyFill="1" applyBorder="1" applyAlignment="1">
      <alignment horizontal="center" vertical="center" wrapText="1"/>
    </xf>
    <xf numFmtId="22" fontId="67" fillId="15" borderId="6" xfId="66" applyNumberFormat="1" applyFont="1" applyFill="1" applyBorder="1" applyAlignment="1">
      <alignment horizontal="center" vertical="center" wrapText="1"/>
    </xf>
    <xf numFmtId="174" fontId="67" fillId="15" borderId="6" xfId="66" applyNumberFormat="1" applyFont="1" applyFill="1" applyBorder="1" applyAlignment="1">
      <alignment horizontal="center" vertical="center" wrapText="1"/>
    </xf>
    <xf numFmtId="0" fontId="66" fillId="16" borderId="1" xfId="0" applyFont="1" applyFill="1" applyBorder="1" applyAlignment="1">
      <alignment horizontal="center" vertical="center" wrapText="1"/>
    </xf>
    <xf numFmtId="22" fontId="66" fillId="11" borderId="1" xfId="0" applyNumberFormat="1" applyFont="1" applyFill="1" applyBorder="1" applyAlignment="1">
      <alignment horizontal="center" vertical="center" wrapText="1"/>
    </xf>
    <xf numFmtId="167" fontId="56" fillId="0" borderId="0" xfId="66" applyNumberFormat="1" applyFont="1" applyAlignment="1">
      <alignment horizontal="right" vertical="center" wrapText="1"/>
    </xf>
    <xf numFmtId="167" fontId="56" fillId="0" borderId="0" xfId="66" applyNumberFormat="1" applyFont="1" applyAlignment="1">
      <alignment horizontal="center" vertical="center" wrapText="1"/>
    </xf>
    <xf numFmtId="178" fontId="65" fillId="0" borderId="6" xfId="0" applyNumberFormat="1" applyFont="1" applyBorder="1" applyAlignment="1">
      <alignment horizontal="center" vertical="center"/>
    </xf>
    <xf numFmtId="178" fontId="65" fillId="0" borderId="0" xfId="0" applyNumberFormat="1" applyFont="1" applyAlignment="1">
      <alignment horizontal="right" vertical="center"/>
    </xf>
    <xf numFmtId="178" fontId="65" fillId="0" borderId="0" xfId="0" applyNumberFormat="1" applyFont="1" applyAlignment="1">
      <alignment horizontal="center" vertical="center"/>
    </xf>
    <xf numFmtId="179" fontId="65" fillId="0" borderId="6" xfId="0" applyNumberFormat="1" applyFont="1" applyBorder="1" applyAlignment="1">
      <alignment horizontal="center" vertical="center"/>
    </xf>
    <xf numFmtId="4" fontId="65" fillId="0" borderId="0" xfId="0" applyNumberFormat="1" applyFont="1" applyAlignment="1">
      <alignment horizontal="right" vertical="center"/>
    </xf>
    <xf numFmtId="4" fontId="65" fillId="0" borderId="0" xfId="0" applyNumberFormat="1" applyFont="1" applyAlignment="1">
      <alignment horizontal="center" vertical="center"/>
    </xf>
    <xf numFmtId="4" fontId="65" fillId="0" borderId="6" xfId="0" applyNumberFormat="1" applyFont="1" applyBorder="1" applyAlignment="1">
      <alignment horizontal="center" vertical="center"/>
    </xf>
    <xf numFmtId="1" fontId="66" fillId="2" borderId="1" xfId="66" applyNumberFormat="1" applyFont="1" applyFill="1" applyBorder="1" applyAlignment="1">
      <alignment horizontal="center" vertical="center" wrapText="1"/>
    </xf>
    <xf numFmtId="0" fontId="66" fillId="2" borderId="5" xfId="66" applyFont="1" applyFill="1" applyBorder="1" applyAlignment="1">
      <alignment horizontal="center" vertical="center" wrapText="1"/>
    </xf>
    <xf numFmtId="43" fontId="66" fillId="7" borderId="1" xfId="1" applyFont="1" applyFill="1" applyBorder="1" applyAlignment="1">
      <alignment horizontal="right" vertical="center" wrapText="1"/>
    </xf>
    <xf numFmtId="0" fontId="66" fillId="3" borderId="1" xfId="66" applyFont="1" applyFill="1" applyBorder="1" applyAlignment="1">
      <alignment horizontal="center" vertical="center" wrapText="1"/>
    </xf>
    <xf numFmtId="43" fontId="67" fillId="7" borderId="1" xfId="66" applyNumberFormat="1" applyFont="1" applyFill="1" applyBorder="1" applyAlignment="1">
      <alignment horizontal="center" vertical="center" wrapText="1"/>
    </xf>
    <xf numFmtId="43" fontId="68" fillId="7" borderId="1" xfId="1" applyFont="1" applyFill="1" applyBorder="1" applyAlignment="1">
      <alignment horizontal="right" vertical="center" wrapText="1"/>
    </xf>
    <xf numFmtId="0" fontId="68" fillId="3" borderId="1" xfId="66" applyFont="1" applyFill="1" applyBorder="1" applyAlignment="1">
      <alignment horizontal="center" vertical="center" wrapText="1"/>
    </xf>
    <xf numFmtId="43" fontId="70" fillId="7" borderId="1" xfId="66" applyNumberFormat="1" applyFont="1" applyFill="1" applyBorder="1" applyAlignment="1">
      <alignment horizontal="center" vertical="center" wrapText="1"/>
    </xf>
    <xf numFmtId="43" fontId="66" fillId="7" borderId="1" xfId="66" applyNumberFormat="1" applyFont="1" applyFill="1" applyBorder="1" applyAlignment="1">
      <alignment horizontal="center" vertical="center" wrapText="1"/>
    </xf>
    <xf numFmtId="0" fontId="68" fillId="0" borderId="1" xfId="66" applyFont="1" applyBorder="1" applyAlignment="1">
      <alignment horizontal="center" vertical="center" wrapText="1"/>
    </xf>
    <xf numFmtId="164" fontId="56" fillId="0" borderId="0" xfId="66" applyNumberFormat="1" applyFont="1" applyAlignment="1">
      <alignment horizontal="center" vertical="center" wrapText="1"/>
    </xf>
    <xf numFmtId="1" fontId="56" fillId="0" borderId="0" xfId="66" applyNumberFormat="1" applyFont="1" applyAlignment="1">
      <alignment horizontal="center" vertical="center" wrapText="1"/>
    </xf>
    <xf numFmtId="4" fontId="71" fillId="0" borderId="0" xfId="0" applyNumberFormat="1" applyFont="1" applyAlignment="1">
      <alignment horizontal="center" vertical="center"/>
    </xf>
    <xf numFmtId="4" fontId="65" fillId="0" borderId="7" xfId="0" applyNumberFormat="1" applyFont="1" applyBorder="1" applyAlignment="1">
      <alignment horizontal="center" vertical="center"/>
    </xf>
    <xf numFmtId="164" fontId="67" fillId="15" borderId="6" xfId="66" applyNumberFormat="1" applyFont="1" applyFill="1" applyBorder="1" applyAlignment="1">
      <alignment horizontal="center" vertical="center"/>
    </xf>
    <xf numFmtId="1" fontId="66" fillId="7" borderId="1" xfId="0" applyNumberFormat="1" applyFont="1" applyFill="1" applyBorder="1" applyAlignment="1">
      <alignment horizontal="center" vertical="center" wrapText="1" shrinkToFit="1"/>
    </xf>
    <xf numFmtId="164" fontId="66" fillId="7" borderId="1" xfId="0" applyNumberFormat="1" applyFont="1" applyFill="1" applyBorder="1" applyAlignment="1">
      <alignment horizontal="center" vertical="center" wrapText="1" shrinkToFit="1"/>
    </xf>
    <xf numFmtId="1" fontId="68" fillId="7" borderId="1" xfId="0" applyNumberFormat="1" applyFont="1" applyFill="1" applyBorder="1" applyAlignment="1">
      <alignment horizontal="center" vertical="center" wrapText="1" shrinkToFit="1"/>
    </xf>
    <xf numFmtId="164" fontId="68" fillId="7" borderId="1" xfId="0" applyNumberFormat="1" applyFont="1" applyFill="1" applyBorder="1" applyAlignment="1">
      <alignment horizontal="center" vertical="center" wrapText="1" shrinkToFit="1"/>
    </xf>
    <xf numFmtId="167" fontId="56" fillId="0" borderId="0" xfId="66" applyNumberFormat="1" applyFont="1" applyAlignment="1">
      <alignment vertical="center" wrapText="1"/>
    </xf>
    <xf numFmtId="0" fontId="67" fillId="2" borderId="0" xfId="66" applyFont="1" applyFill="1" applyAlignment="1">
      <alignment horizontal="center" vertical="center" wrapText="1"/>
    </xf>
    <xf numFmtId="0" fontId="66" fillId="2" borderId="1" xfId="66" applyFont="1" applyFill="1" applyBorder="1" applyAlignment="1">
      <alignment vertical="center" wrapText="1"/>
    </xf>
    <xf numFmtId="0" fontId="67" fillId="15" borderId="7" xfId="66" applyFont="1" applyFill="1" applyBorder="1" applyAlignment="1">
      <alignment vertical="center"/>
    </xf>
    <xf numFmtId="0" fontId="67" fillId="0" borderId="0" xfId="66" applyFont="1" applyAlignment="1">
      <alignment horizontal="center" vertical="center" wrapText="1"/>
    </xf>
    <xf numFmtId="0" fontId="66" fillId="7" borderId="1" xfId="0" applyFont="1" applyFill="1" applyBorder="1" applyAlignment="1">
      <alignment horizontal="center" vertical="center"/>
    </xf>
    <xf numFmtId="0" fontId="66" fillId="0" borderId="1" xfId="0" applyFont="1" applyBorder="1" applyAlignment="1">
      <alignment vertical="center" wrapText="1"/>
    </xf>
    <xf numFmtId="0" fontId="68" fillId="7" borderId="1" xfId="0" applyFont="1" applyFill="1" applyBorder="1" applyAlignment="1">
      <alignment horizontal="center" vertical="center"/>
    </xf>
    <xf numFmtId="0" fontId="70" fillId="0" borderId="0" xfId="66" applyFont="1" applyAlignment="1">
      <alignment horizontal="center" vertical="center" wrapText="1"/>
    </xf>
    <xf numFmtId="0" fontId="66" fillId="0" borderId="0" xfId="66" applyFont="1" applyAlignment="1">
      <alignment horizontal="center" vertical="center" wrapText="1"/>
    </xf>
    <xf numFmtId="0" fontId="68" fillId="3" borderId="1" xfId="0" applyFont="1" applyFill="1" applyBorder="1" applyAlignment="1">
      <alignment horizontal="left" vertical="center" wrapText="1"/>
    </xf>
    <xf numFmtId="0" fontId="66" fillId="3" borderId="1" xfId="0" applyFont="1" applyFill="1" applyBorder="1" applyAlignment="1">
      <alignment horizontal="left" vertical="center" wrapText="1"/>
    </xf>
    <xf numFmtId="0" fontId="67" fillId="15" borderId="16" xfId="66" applyFont="1" applyFill="1" applyBorder="1" applyAlignment="1">
      <alignment horizontal="left" vertical="center"/>
    </xf>
    <xf numFmtId="0" fontId="67" fillId="17" borderId="21" xfId="0" applyFont="1" applyFill="1" applyBorder="1" applyAlignment="1">
      <alignment horizontal="center" vertical="center"/>
    </xf>
    <xf numFmtId="0" fontId="68" fillId="11" borderId="1" xfId="0" applyFont="1" applyFill="1" applyBorder="1" applyAlignment="1">
      <alignment horizontal="center" vertical="center"/>
    </xf>
    <xf numFmtId="0" fontId="66" fillId="0" borderId="2" xfId="0" applyFont="1" applyBorder="1" applyAlignment="1">
      <alignment horizontal="left" vertical="center" wrapText="1"/>
    </xf>
    <xf numFmtId="0" fontId="67" fillId="15" borderId="20" xfId="66" applyFont="1" applyFill="1" applyBorder="1" applyAlignment="1">
      <alignment horizontal="left" vertical="center"/>
    </xf>
    <xf numFmtId="0" fontId="67" fillId="15" borderId="0" xfId="66" applyFont="1" applyFill="1" applyAlignment="1">
      <alignment horizontal="center" vertical="center"/>
    </xf>
    <xf numFmtId="0" fontId="66" fillId="18" borderId="1" xfId="0" applyFont="1" applyFill="1" applyBorder="1" applyAlignment="1">
      <alignment horizontal="center" vertical="center"/>
    </xf>
    <xf numFmtId="0" fontId="66" fillId="0" borderId="1" xfId="0" applyFont="1" applyBorder="1" applyAlignment="1">
      <alignment horizontal="center" vertical="center"/>
    </xf>
    <xf numFmtId="0" fontId="68" fillId="11" borderId="2" xfId="0" applyFont="1" applyFill="1" applyBorder="1" applyAlignment="1">
      <alignment horizontal="center" vertical="center"/>
    </xf>
    <xf numFmtId="0" fontId="66" fillId="15" borderId="0" xfId="0" applyFont="1" applyFill="1" applyAlignment="1">
      <alignment horizontal="center" vertical="center" wrapText="1"/>
    </xf>
    <xf numFmtId="0" fontId="68" fillId="11" borderId="1" xfId="0" applyFont="1" applyFill="1" applyBorder="1" applyAlignment="1">
      <alignment horizontal="left" vertical="center" wrapText="1"/>
    </xf>
    <xf numFmtId="0" fontId="67" fillId="15" borderId="0" xfId="66" applyFont="1" applyFill="1" applyAlignment="1">
      <alignment horizontal="left" vertical="center"/>
    </xf>
    <xf numFmtId="0" fontId="68" fillId="0" borderId="5" xfId="0" applyFont="1" applyBorder="1" applyAlignment="1">
      <alignment horizontal="center" vertical="center"/>
    </xf>
    <xf numFmtId="0" fontId="66" fillId="18" borderId="1" xfId="0" applyFont="1" applyFill="1" applyBorder="1" applyAlignment="1">
      <alignment horizontal="left" vertical="center" wrapText="1"/>
    </xf>
    <xf numFmtId="0" fontId="68" fillId="11" borderId="2" xfId="0" applyFont="1" applyFill="1" applyBorder="1" applyAlignment="1">
      <alignment horizontal="left" vertical="center" wrapText="1"/>
    </xf>
    <xf numFmtId="0" fontId="66" fillId="0" borderId="16" xfId="0" applyFont="1" applyBorder="1" applyAlignment="1">
      <alignment horizontal="center" vertical="center"/>
    </xf>
    <xf numFmtId="22" fontId="68" fillId="11" borderId="1" xfId="0" applyNumberFormat="1" applyFont="1" applyFill="1" applyBorder="1" applyAlignment="1">
      <alignment horizontal="center" vertical="center" wrapText="1"/>
    </xf>
    <xf numFmtId="174" fontId="72" fillId="18" borderId="2" xfId="0" applyNumberFormat="1" applyFont="1" applyFill="1" applyBorder="1" applyAlignment="1">
      <alignment horizontal="center" vertical="center" wrapText="1"/>
    </xf>
    <xf numFmtId="22" fontId="67" fillId="15" borderId="0" xfId="66" applyNumberFormat="1" applyFont="1" applyFill="1" applyAlignment="1">
      <alignment horizontal="left" vertical="center"/>
    </xf>
    <xf numFmtId="174" fontId="67" fillId="15" borderId="0" xfId="66" applyNumberFormat="1" applyFont="1" applyFill="1" applyAlignment="1">
      <alignment horizontal="left" vertical="center"/>
    </xf>
    <xf numFmtId="174" fontId="68" fillId="11" borderId="1" xfId="0" applyNumberFormat="1" applyFont="1" applyFill="1" applyBorder="1" applyAlignment="1">
      <alignment horizontal="center" vertical="center" wrapText="1"/>
    </xf>
    <xf numFmtId="22" fontId="66" fillId="18" borderId="1" xfId="0" applyNumberFormat="1" applyFont="1" applyFill="1" applyBorder="1" applyAlignment="1">
      <alignment horizontal="center" vertical="center" wrapText="1"/>
    </xf>
    <xf numFmtId="174" fontId="66" fillId="18" borderId="1" xfId="0" applyNumberFormat="1" applyFont="1" applyFill="1" applyBorder="1" applyAlignment="1">
      <alignment horizontal="center" vertical="center" wrapText="1"/>
    </xf>
    <xf numFmtId="174" fontId="66" fillId="11" borderId="1" xfId="0" applyNumberFormat="1" applyFont="1" applyFill="1" applyBorder="1" applyAlignment="1">
      <alignment horizontal="center" vertical="center" wrapText="1"/>
    </xf>
    <xf numFmtId="0" fontId="66" fillId="16" borderId="2" xfId="0" applyFont="1" applyFill="1" applyBorder="1" applyAlignment="1">
      <alignment horizontal="center" vertical="center" wrapText="1"/>
    </xf>
    <xf numFmtId="22" fontId="68" fillId="11" borderId="2" xfId="0" applyNumberFormat="1" applyFont="1" applyFill="1" applyBorder="1" applyAlignment="1">
      <alignment horizontal="center" vertical="center" wrapText="1"/>
    </xf>
    <xf numFmtId="174" fontId="68" fillId="11" borderId="2" xfId="0" applyNumberFormat="1" applyFont="1" applyFill="1" applyBorder="1" applyAlignment="1">
      <alignment horizontal="center" vertical="center" wrapText="1"/>
    </xf>
    <xf numFmtId="174" fontId="66" fillId="11" borderId="0" xfId="0" applyNumberFormat="1" applyFont="1" applyFill="1" applyAlignment="1">
      <alignment horizontal="center" vertical="center" wrapText="1"/>
    </xf>
    <xf numFmtId="174" fontId="73" fillId="18" borderId="0" xfId="0" applyNumberFormat="1" applyFont="1" applyFill="1" applyAlignment="1">
      <alignment horizontal="center" vertical="center" wrapText="1"/>
    </xf>
    <xf numFmtId="174" fontId="66" fillId="3" borderId="0" xfId="0" applyNumberFormat="1" applyFont="1" applyFill="1" applyAlignment="1">
      <alignment horizontal="center" vertical="center" wrapText="1"/>
    </xf>
    <xf numFmtId="174" fontId="66" fillId="0" borderId="0" xfId="0" applyNumberFormat="1" applyFont="1" applyAlignment="1">
      <alignment horizontal="center" vertical="center" wrapText="1"/>
    </xf>
    <xf numFmtId="174" fontId="66" fillId="18" borderId="0" xfId="0" applyNumberFormat="1" applyFont="1" applyFill="1" applyAlignment="1">
      <alignment horizontal="center" vertical="center" wrapText="1"/>
    </xf>
    <xf numFmtId="43" fontId="66" fillId="7" borderId="2" xfId="1" applyFont="1" applyFill="1" applyBorder="1" applyAlignment="1">
      <alignment horizontal="right" vertical="center" wrapText="1"/>
    </xf>
    <xf numFmtId="0" fontId="66" fillId="3" borderId="2" xfId="66" applyFont="1" applyFill="1" applyBorder="1" applyAlignment="1">
      <alignment horizontal="center" vertical="center" wrapText="1"/>
    </xf>
    <xf numFmtId="43" fontId="67" fillId="7" borderId="22" xfId="66" applyNumberFormat="1" applyFont="1" applyFill="1" applyBorder="1" applyAlignment="1">
      <alignment horizontal="center" vertical="center" wrapText="1"/>
    </xf>
    <xf numFmtId="174" fontId="67" fillId="15" borderId="15" xfId="66" applyNumberFormat="1" applyFont="1" applyFill="1" applyBorder="1" applyAlignment="1">
      <alignment horizontal="center" vertical="center" wrapText="1"/>
    </xf>
    <xf numFmtId="1" fontId="66" fillId="3" borderId="3" xfId="0" applyNumberFormat="1" applyFont="1" applyFill="1" applyBorder="1" applyAlignment="1">
      <alignment horizontal="center" vertical="center" wrapText="1" shrinkToFit="1"/>
    </xf>
    <xf numFmtId="0" fontId="74" fillId="0" borderId="0" xfId="66" applyFont="1" applyAlignment="1">
      <alignment horizontal="center" vertical="center" wrapText="1"/>
    </xf>
    <xf numFmtId="174" fontId="67" fillId="15" borderId="18" xfId="66" applyNumberFormat="1" applyFont="1" applyFill="1" applyBorder="1" applyAlignment="1">
      <alignment horizontal="center" vertical="center" wrapText="1"/>
    </xf>
    <xf numFmtId="0" fontId="68" fillId="0" borderId="1" xfId="0" applyFont="1" applyBorder="1" applyAlignment="1">
      <alignment vertical="center" wrapText="1"/>
    </xf>
    <xf numFmtId="168" fontId="67" fillId="15" borderId="17" xfId="66" applyNumberFormat="1" applyFont="1" applyFill="1" applyBorder="1" applyAlignment="1">
      <alignment horizontal="center" vertical="center" wrapText="1"/>
    </xf>
    <xf numFmtId="174" fontId="67" fillId="15" borderId="7" xfId="66" applyNumberFormat="1" applyFont="1" applyFill="1" applyBorder="1" applyAlignment="1">
      <alignment horizontal="center" vertical="center" wrapText="1"/>
    </xf>
    <xf numFmtId="43" fontId="66" fillId="7" borderId="3" xfId="66" applyNumberFormat="1" applyFont="1" applyFill="1" applyBorder="1" applyAlignment="1">
      <alignment horizontal="center" vertical="center" wrapText="1"/>
    </xf>
    <xf numFmtId="0" fontId="66" fillId="0" borderId="3" xfId="0" applyFont="1" applyBorder="1" applyAlignment="1">
      <alignment vertical="center"/>
    </xf>
    <xf numFmtId="0" fontId="70" fillId="3" borderId="0" xfId="66" applyFont="1" applyFill="1" applyAlignment="1">
      <alignment horizontal="center" vertical="center" wrapText="1"/>
    </xf>
    <xf numFmtId="174" fontId="67" fillId="3" borderId="0" xfId="66" applyNumberFormat="1" applyFont="1" applyFill="1" applyAlignment="1">
      <alignment horizontal="center" vertical="center" wrapText="1"/>
    </xf>
    <xf numFmtId="0" fontId="75" fillId="0" borderId="0" xfId="0" applyFont="1" applyAlignment="1">
      <alignment vertical="center"/>
    </xf>
    <xf numFmtId="174" fontId="67" fillId="0" borderId="0" xfId="0" applyNumberFormat="1" applyFont="1" applyAlignment="1">
      <alignment horizontal="right" vertical="center" wrapText="1"/>
    </xf>
    <xf numFmtId="0" fontId="0" fillId="3" borderId="0" xfId="0" applyFill="1" applyAlignment="1">
      <alignment vertical="center"/>
    </xf>
    <xf numFmtId="0" fontId="12" fillId="3" borderId="0" xfId="0" applyFont="1" applyFill="1" applyAlignment="1">
      <alignment vertical="center"/>
    </xf>
    <xf numFmtId="0" fontId="8" fillId="3" borderId="0" xfId="0" applyFont="1" applyFill="1" applyAlignment="1">
      <alignment vertical="center"/>
    </xf>
    <xf numFmtId="0" fontId="76" fillId="3" borderId="0" xfId="0" applyFont="1" applyFill="1" applyAlignment="1">
      <alignment vertical="center"/>
    </xf>
    <xf numFmtId="0" fontId="77" fillId="3" borderId="0" xfId="66" applyFont="1" applyFill="1"/>
    <xf numFmtId="0" fontId="6" fillId="3" borderId="0" xfId="66" applyFill="1"/>
    <xf numFmtId="0" fontId="8" fillId="3" borderId="0" xfId="0" applyFont="1" applyFill="1" applyAlignment="1">
      <alignment horizontal="right" vertical="center"/>
    </xf>
    <xf numFmtId="0" fontId="8" fillId="3" borderId="0" xfId="0" applyFont="1" applyFill="1" applyAlignment="1">
      <alignment horizontal="right" vertical="center" wrapText="1"/>
    </xf>
    <xf numFmtId="17" fontId="4" fillId="3" borderId="0" xfId="0" applyNumberFormat="1" applyFont="1" applyFill="1" applyAlignment="1">
      <alignment horizontal="center" vertical="center"/>
    </xf>
    <xf numFmtId="0" fontId="76" fillId="3" borderId="0" xfId="0" applyFont="1" applyFill="1" applyAlignment="1">
      <alignment horizontal="right" vertical="center"/>
    </xf>
    <xf numFmtId="167" fontId="78" fillId="3" borderId="0" xfId="66" applyNumberFormat="1" applyFont="1" applyFill="1" applyAlignment="1">
      <alignment horizontal="left" vertical="center" wrapText="1"/>
    </xf>
    <xf numFmtId="3" fontId="79" fillId="3" borderId="1" xfId="66" applyNumberFormat="1" applyFont="1" applyFill="1" applyBorder="1" applyAlignment="1">
      <alignment horizontal="center" vertical="center" wrapText="1"/>
    </xf>
    <xf numFmtId="3" fontId="79" fillId="3" borderId="1" xfId="66" applyNumberFormat="1" applyFont="1" applyFill="1" applyBorder="1" applyAlignment="1">
      <alignment horizontal="center" vertical="center"/>
    </xf>
    <xf numFmtId="0" fontId="77" fillId="3" borderId="23" xfId="66" applyFont="1" applyFill="1" applyBorder="1"/>
    <xf numFmtId="0" fontId="79" fillId="3" borderId="0" xfId="66" applyFont="1" applyFill="1"/>
    <xf numFmtId="167" fontId="16" fillId="3" borderId="0" xfId="66" applyNumberFormat="1" applyFont="1" applyFill="1" applyAlignment="1">
      <alignment horizontal="right" vertical="center" wrapText="1"/>
    </xf>
    <xf numFmtId="0" fontId="4" fillId="3" borderId="20" xfId="0" applyFont="1" applyFill="1" applyBorder="1" applyAlignment="1">
      <alignment vertical="center"/>
    </xf>
    <xf numFmtId="0" fontId="8" fillId="3" borderId="0" xfId="0" applyFont="1" applyFill="1" applyAlignment="1">
      <alignment horizontal="left" vertical="center"/>
    </xf>
    <xf numFmtId="0" fontId="77" fillId="3" borderId="0" xfId="0" applyFont="1" applyFill="1" applyAlignment="1">
      <alignment horizontal="right" vertical="center"/>
    </xf>
    <xf numFmtId="17" fontId="4" fillId="3" borderId="20" xfId="0" applyNumberFormat="1" applyFont="1" applyFill="1" applyBorder="1" applyAlignment="1">
      <alignment vertical="center"/>
    </xf>
    <xf numFmtId="17" fontId="79" fillId="3" borderId="15" xfId="0" applyNumberFormat="1" applyFont="1" applyFill="1" applyBorder="1" applyAlignment="1">
      <alignment horizontal="right" vertical="center"/>
    </xf>
    <xf numFmtId="17" fontId="4" fillId="3" borderId="0" xfId="0" applyNumberFormat="1" applyFont="1" applyFill="1" applyAlignment="1">
      <alignment vertical="center"/>
    </xf>
    <xf numFmtId="0" fontId="76" fillId="3" borderId="0" xfId="0" applyFont="1" applyFill="1" applyAlignment="1">
      <alignment horizontal="left" vertical="center"/>
    </xf>
    <xf numFmtId="4" fontId="78" fillId="3" borderId="0" xfId="66" applyNumberFormat="1" applyFont="1" applyFill="1" applyAlignment="1">
      <alignment horizontal="center" vertical="center" wrapText="1"/>
    </xf>
    <xf numFmtId="4" fontId="78" fillId="3" borderId="0" xfId="66" applyNumberFormat="1" applyFont="1" applyFill="1" applyAlignment="1">
      <alignment horizontal="right" vertical="center" wrapText="1"/>
    </xf>
    <xf numFmtId="0" fontId="6" fillId="3" borderId="0" xfId="66" applyFill="1" applyAlignment="1">
      <alignment vertical="center" wrapText="1"/>
    </xf>
    <xf numFmtId="0" fontId="4" fillId="3" borderId="0" xfId="0" applyFont="1" applyFill="1" applyAlignment="1">
      <alignment vertical="center"/>
    </xf>
    <xf numFmtId="4" fontId="4" fillId="3" borderId="0" xfId="0" applyNumberFormat="1" applyFont="1" applyFill="1" applyAlignment="1">
      <alignment horizontal="center" vertical="center"/>
    </xf>
    <xf numFmtId="167" fontId="78" fillId="3" borderId="0" xfId="66" applyNumberFormat="1" applyFont="1" applyFill="1" applyAlignment="1">
      <alignment horizontal="center" vertical="center" wrapText="1"/>
    </xf>
    <xf numFmtId="167" fontId="16" fillId="3" borderId="0" xfId="66" applyNumberFormat="1" applyFont="1" applyFill="1" applyAlignment="1">
      <alignment vertical="center" wrapText="1"/>
    </xf>
    <xf numFmtId="167" fontId="16" fillId="3" borderId="0" xfId="66" applyNumberFormat="1" applyFont="1" applyFill="1" applyAlignment="1">
      <alignment vertical="top" wrapText="1"/>
    </xf>
    <xf numFmtId="17" fontId="81" fillId="3" borderId="0" xfId="0" applyNumberFormat="1" applyFont="1" applyFill="1" applyAlignment="1">
      <alignment horizontal="right" vertical="center"/>
    </xf>
    <xf numFmtId="4" fontId="4" fillId="3" borderId="0" xfId="0" applyNumberFormat="1" applyFont="1" applyFill="1" applyAlignment="1">
      <alignment horizontal="left" vertical="center"/>
    </xf>
    <xf numFmtId="4" fontId="81" fillId="3" borderId="0" xfId="0" applyNumberFormat="1" applyFont="1" applyFill="1" applyAlignment="1">
      <alignment horizontal="right" vertical="center"/>
    </xf>
    <xf numFmtId="164" fontId="4" fillId="3" borderId="0" xfId="0" applyNumberFormat="1" applyFont="1" applyFill="1" applyAlignment="1">
      <alignment vertical="center"/>
    </xf>
    <xf numFmtId="4" fontId="4" fillId="3" borderId="0" xfId="0" applyNumberFormat="1" applyFont="1" applyFill="1" applyAlignment="1">
      <alignment horizontal="right" vertical="center"/>
    </xf>
    <xf numFmtId="4" fontId="82" fillId="3" borderId="0" xfId="0" applyNumberFormat="1" applyFont="1" applyFill="1" applyAlignment="1">
      <alignment horizontal="right" vertical="center"/>
    </xf>
    <xf numFmtId="2" fontId="79" fillId="3" borderId="1" xfId="66" applyNumberFormat="1" applyFont="1" applyFill="1" applyBorder="1" applyAlignment="1">
      <alignment horizontal="center" vertical="center"/>
    </xf>
    <xf numFmtId="2" fontId="6" fillId="3" borderId="0" xfId="66" applyNumberFormat="1" applyFill="1"/>
    <xf numFmtId="0" fontId="8" fillId="3" borderId="0" xfId="0" applyFont="1" applyFill="1" applyAlignment="1">
      <alignment vertical="center" wrapText="1"/>
    </xf>
    <xf numFmtId="0" fontId="76" fillId="3" borderId="0" xfId="0" applyFont="1" applyFill="1" applyAlignment="1">
      <alignment vertical="center" wrapText="1"/>
    </xf>
    <xf numFmtId="0" fontId="6" fillId="0" borderId="0" xfId="66" applyAlignment="1">
      <alignment horizontal="center"/>
    </xf>
    <xf numFmtId="0" fontId="6" fillId="0" borderId="0" xfId="66"/>
    <xf numFmtId="164" fontId="6" fillId="0" borderId="1" xfId="66" applyNumberFormat="1" applyBorder="1" applyAlignment="1">
      <alignment horizontal="center" wrapText="1"/>
    </xf>
    <xf numFmtId="0" fontId="6" fillId="0" borderId="1" xfId="66" applyBorder="1" applyAlignment="1">
      <alignment horizontal="left" wrapText="1"/>
    </xf>
    <xf numFmtId="0" fontId="6" fillId="0" borderId="0" xfId="66" applyAlignment="1">
      <alignment horizontal="left"/>
    </xf>
    <xf numFmtId="0" fontId="83" fillId="0" borderId="0" xfId="0" applyFont="1" applyAlignment="1">
      <alignment horizontal="center" vertical="center"/>
    </xf>
    <xf numFmtId="0" fontId="84" fillId="0" borderId="0" xfId="0" applyFont="1"/>
    <xf numFmtId="0" fontId="84" fillId="0" borderId="32" xfId="0" applyFont="1" applyBorder="1" applyAlignment="1">
      <alignment horizontal="center" vertical="center"/>
    </xf>
    <xf numFmtId="0" fontId="84" fillId="0" borderId="35" xfId="0" applyFont="1" applyBorder="1" applyAlignment="1">
      <alignment horizontal="center" vertical="center"/>
    </xf>
    <xf numFmtId="0" fontId="85" fillId="20" borderId="2" xfId="0" applyFont="1" applyFill="1" applyBorder="1" applyAlignment="1">
      <alignment horizontal="center" vertical="center" wrapText="1"/>
    </xf>
    <xf numFmtId="0" fontId="84" fillId="0" borderId="38" xfId="0" applyFont="1" applyBorder="1" applyAlignment="1">
      <alignment horizontal="center" vertical="center" wrapText="1"/>
    </xf>
    <xf numFmtId="0" fontId="84" fillId="0" borderId="19" xfId="0" applyFont="1" applyBorder="1" applyAlignment="1">
      <alignment horizontal="center" vertical="center" wrapText="1"/>
    </xf>
    <xf numFmtId="0" fontId="84" fillId="0" borderId="20" xfId="0" applyFont="1" applyBorder="1" applyAlignment="1">
      <alignment horizontal="center" vertical="center" wrapText="1"/>
    </xf>
    <xf numFmtId="0" fontId="84" fillId="0" borderId="37" xfId="0" applyFont="1" applyBorder="1" applyAlignment="1">
      <alignment horizontal="center" vertical="center" wrapText="1"/>
    </xf>
    <xf numFmtId="0" fontId="84" fillId="0" borderId="16" xfId="0" applyFont="1" applyBorder="1" applyAlignment="1">
      <alignment horizontal="center" vertical="center" wrapText="1"/>
    </xf>
    <xf numFmtId="0" fontId="84" fillId="0" borderId="15" xfId="0" applyFont="1" applyBorder="1" applyAlignment="1">
      <alignment horizontal="center" vertical="center" wrapText="1"/>
    </xf>
    <xf numFmtId="0" fontId="86" fillId="0" borderId="39" xfId="0" applyFont="1" applyBorder="1" applyAlignment="1">
      <alignment horizontal="center" vertical="center" wrapText="1" readingOrder="1"/>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40" xfId="0" applyFont="1" applyBorder="1" applyAlignment="1">
      <alignment horizontal="center" vertical="center" wrapText="1" readingOrder="1"/>
    </xf>
    <xf numFmtId="0" fontId="84" fillId="0" borderId="0" xfId="0" applyFont="1" applyAlignment="1">
      <alignment vertical="center"/>
    </xf>
    <xf numFmtId="9" fontId="84" fillId="0" borderId="0" xfId="2" applyFont="1" applyAlignment="1">
      <alignment vertical="center"/>
    </xf>
    <xf numFmtId="0" fontId="8" fillId="3" borderId="0" xfId="0" quotePrefix="1" applyFont="1" applyFill="1" applyAlignment="1">
      <alignment horizontal="right" vertical="center"/>
    </xf>
    <xf numFmtId="15" fontId="44" fillId="0" borderId="1" xfId="57" quotePrefix="1" applyNumberFormat="1" applyFont="1" applyBorder="1" applyAlignment="1">
      <alignment horizontal="center" vertical="center" wrapText="1"/>
    </xf>
    <xf numFmtId="43" fontId="24" fillId="0" borderId="1" xfId="58" quotePrefix="1" applyNumberFormat="1" applyFont="1" applyBorder="1" applyAlignment="1">
      <alignment horizontal="center" vertical="center"/>
    </xf>
    <xf numFmtId="43" fontId="25" fillId="0" borderId="1" xfId="58" quotePrefix="1" applyNumberFormat="1" applyFont="1" applyBorder="1" applyAlignment="1">
      <alignment horizontal="center" vertical="center"/>
    </xf>
    <xf numFmtId="43" fontId="25" fillId="0" borderId="1" xfId="0" quotePrefix="1" applyNumberFormat="1" applyFont="1" applyBorder="1" applyAlignment="1">
      <alignment horizontal="center" vertical="center"/>
    </xf>
    <xf numFmtId="43" fontId="19" fillId="0" borderId="1" xfId="0" quotePrefix="1" applyNumberFormat="1" applyFont="1" applyBorder="1" applyAlignment="1">
      <alignment horizontal="right" vertical="center"/>
    </xf>
    <xf numFmtId="0" fontId="66" fillId="0" borderId="50" xfId="66" applyFont="1" applyBorder="1" applyAlignment="1">
      <alignment horizontal="center" vertical="center" wrapText="1"/>
    </xf>
    <xf numFmtId="0" fontId="66" fillId="11" borderId="50" xfId="0" applyFont="1" applyFill="1" applyBorder="1" applyAlignment="1">
      <alignment horizontal="center" vertical="center"/>
    </xf>
    <xf numFmtId="0" fontId="66" fillId="11" borderId="50" xfId="0" applyFont="1" applyFill="1" applyBorder="1" applyAlignment="1">
      <alignment horizontal="left" vertical="center" wrapText="1"/>
    </xf>
    <xf numFmtId="0" fontId="66" fillId="16" borderId="50" xfId="0" applyFont="1" applyFill="1" applyBorder="1" applyAlignment="1">
      <alignment horizontal="center" vertical="center" wrapText="1"/>
    </xf>
    <xf numFmtId="22" fontId="66" fillId="11" borderId="50" xfId="0" applyNumberFormat="1" applyFont="1" applyFill="1" applyBorder="1" applyAlignment="1">
      <alignment horizontal="center" vertical="center" wrapText="1"/>
    </xf>
    <xf numFmtId="0" fontId="66" fillId="0" borderId="50" xfId="0" applyFont="1" applyBorder="1" applyAlignment="1">
      <alignment vertical="center" wrapText="1"/>
    </xf>
    <xf numFmtId="1" fontId="73" fillId="7" borderId="1" xfId="0" applyNumberFormat="1" applyFont="1" applyFill="1" applyBorder="1" applyAlignment="1">
      <alignment horizontal="center" vertical="center" wrapText="1" shrinkToFit="1"/>
    </xf>
    <xf numFmtId="1" fontId="66" fillId="19" borderId="1" xfId="0" applyNumberFormat="1" applyFont="1" applyFill="1" applyBorder="1" applyAlignment="1">
      <alignment horizontal="center" vertical="center" wrapText="1" shrinkToFit="1"/>
    </xf>
    <xf numFmtId="0" fontId="73" fillId="0" borderId="1" xfId="0" applyFont="1" applyBorder="1" applyAlignment="1">
      <alignment vertical="center" wrapText="1"/>
    </xf>
    <xf numFmtId="0" fontId="44" fillId="0" borderId="50" xfId="57" applyFont="1" applyBorder="1" applyAlignment="1">
      <alignment horizontal="center" vertical="center" wrapText="1"/>
    </xf>
    <xf numFmtId="0" fontId="44" fillId="0" borderId="50" xfId="57" applyFont="1" applyBorder="1" applyAlignment="1">
      <alignment horizontal="left" vertical="center" wrapText="1"/>
    </xf>
    <xf numFmtId="174" fontId="44" fillId="0" borderId="50" xfId="57" applyNumberFormat="1" applyFont="1" applyBorder="1" applyAlignment="1">
      <alignment horizontal="center" vertical="center" wrapText="1"/>
    </xf>
    <xf numFmtId="176" fontId="45" fillId="0" borderId="50" xfId="57" applyNumberFormat="1" applyFont="1" applyBorder="1" applyAlignment="1">
      <alignment horizontal="center" vertical="center" wrapText="1"/>
    </xf>
    <xf numFmtId="0" fontId="45" fillId="0" borderId="50" xfId="57" applyFont="1" applyBorder="1" applyAlignment="1">
      <alignment horizontal="left" vertical="center" wrapText="1"/>
    </xf>
    <xf numFmtId="174" fontId="44" fillId="0" borderId="1" xfId="57" quotePrefix="1" applyNumberFormat="1" applyFont="1" applyBorder="1" applyAlignment="1">
      <alignment horizontal="center" vertical="center" wrapText="1"/>
    </xf>
    <xf numFmtId="0" fontId="45" fillId="0" borderId="1" xfId="57" applyFont="1" applyBorder="1" applyAlignment="1">
      <alignment horizontal="center" vertical="center" wrapText="1"/>
    </xf>
    <xf numFmtId="174" fontId="45" fillId="3" borderId="1" xfId="57" applyNumberFormat="1" applyFont="1" applyFill="1" applyBorder="1" applyAlignment="1">
      <alignment horizontal="center" vertical="center" wrapText="1"/>
    </xf>
    <xf numFmtId="15" fontId="45" fillId="3" borderId="1" xfId="57" applyNumberFormat="1" applyFont="1" applyFill="1" applyBorder="1" applyAlignment="1">
      <alignment horizontal="center" vertical="center" wrapText="1"/>
    </xf>
    <xf numFmtId="0" fontId="117" fillId="0" borderId="0" xfId="57" applyFont="1" applyAlignment="1">
      <alignment vertical="center"/>
    </xf>
    <xf numFmtId="0" fontId="3" fillId="0" borderId="0" xfId="57" applyFont="1"/>
    <xf numFmtId="174" fontId="45" fillId="0" borderId="1" xfId="57" applyNumberFormat="1" applyFont="1" applyBorder="1" applyAlignment="1">
      <alignment horizontal="center" vertical="center" wrapText="1"/>
    </xf>
    <xf numFmtId="174" fontId="45" fillId="0" borderId="1" xfId="57" quotePrefix="1" applyNumberFormat="1" applyFont="1" applyBorder="1" applyAlignment="1">
      <alignment horizontal="center" vertical="center" wrapText="1"/>
    </xf>
    <xf numFmtId="0" fontId="45" fillId="0" borderId="50" xfId="57" applyFont="1" applyBorder="1" applyAlignment="1">
      <alignment horizontal="center" vertical="center" wrapText="1"/>
    </xf>
    <xf numFmtId="173" fontId="45" fillId="0" borderId="50" xfId="66" applyNumberFormat="1" applyFont="1" applyBorder="1" applyAlignment="1">
      <alignment horizontal="center" vertical="center" wrapText="1"/>
    </xf>
    <xf numFmtId="174" fontId="45" fillId="3" borderId="50" xfId="57" applyNumberFormat="1" applyFont="1" applyFill="1" applyBorder="1" applyAlignment="1">
      <alignment horizontal="center" vertical="center" wrapText="1"/>
    </xf>
    <xf numFmtId="15" fontId="45" fillId="3" borderId="50" xfId="57" applyNumberFormat="1" applyFont="1" applyFill="1" applyBorder="1" applyAlignment="1">
      <alignment horizontal="center" vertical="center" wrapText="1"/>
    </xf>
    <xf numFmtId="0" fontId="45" fillId="0" borderId="50" xfId="66" applyFont="1" applyBorder="1" applyAlignment="1">
      <alignment horizontal="center" vertical="center" wrapText="1"/>
    </xf>
    <xf numFmtId="43" fontId="45" fillId="3" borderId="50" xfId="38" applyFont="1" applyFill="1" applyBorder="1" applyAlignment="1">
      <alignment horizontal="center" vertical="center" wrapText="1"/>
    </xf>
    <xf numFmtId="43" fontId="45" fillId="7" borderId="50" xfId="57" applyNumberFormat="1" applyFont="1" applyFill="1" applyBorder="1" applyAlignment="1">
      <alignment horizontal="center" vertical="center" wrapText="1"/>
    </xf>
    <xf numFmtId="175" fontId="45" fillId="3" borderId="1" xfId="57" applyNumberFormat="1" applyFont="1" applyFill="1" applyBorder="1" applyAlignment="1">
      <alignment horizontal="center" vertical="center" wrapText="1"/>
    </xf>
    <xf numFmtId="0" fontId="118" fillId="0" borderId="0" xfId="57" applyFont="1"/>
    <xf numFmtId="174" fontId="44" fillId="0" borderId="1" xfId="66" applyNumberFormat="1" applyFont="1" applyBorder="1" applyAlignment="1">
      <alignment horizontal="center" vertical="center" wrapText="1"/>
    </xf>
    <xf numFmtId="0" fontId="68" fillId="16" borderId="1" xfId="0" applyFont="1" applyFill="1" applyBorder="1" applyAlignment="1">
      <alignment horizontal="center" vertical="center" wrapText="1"/>
    </xf>
    <xf numFmtId="174" fontId="66" fillId="0" borderId="50" xfId="66" applyNumberFormat="1" applyFont="1" applyBorder="1" applyAlignment="1">
      <alignment horizontal="center" vertical="center" wrapText="1"/>
    </xf>
    <xf numFmtId="0" fontId="66" fillId="3" borderId="50" xfId="66" applyFont="1" applyFill="1" applyBorder="1" applyAlignment="1">
      <alignment horizontal="center" vertical="center" wrapText="1"/>
    </xf>
    <xf numFmtId="0" fontId="114" fillId="2" borderId="1" xfId="66" applyFont="1" applyFill="1" applyBorder="1" applyAlignment="1">
      <alignment horizontal="center" vertical="center"/>
    </xf>
    <xf numFmtId="0" fontId="114" fillId="2" borderId="1" xfId="66" applyFont="1" applyFill="1" applyBorder="1" applyAlignment="1">
      <alignment horizontal="center" vertical="center" wrapText="1"/>
    </xf>
    <xf numFmtId="164" fontId="114" fillId="2" borderId="1" xfId="66" applyNumberFormat="1" applyFont="1" applyFill="1" applyBorder="1" applyAlignment="1">
      <alignment horizontal="center" vertical="center" wrapText="1"/>
    </xf>
    <xf numFmtId="49" fontId="114" fillId="2" borderId="1" xfId="66" applyNumberFormat="1" applyFont="1" applyFill="1" applyBorder="1" applyAlignment="1">
      <alignment horizontal="center" vertical="center" wrapText="1"/>
    </xf>
    <xf numFmtId="15" fontId="114" fillId="2" borderId="1" xfId="66" applyNumberFormat="1" applyFont="1" applyFill="1" applyBorder="1" applyAlignment="1">
      <alignment horizontal="center" vertical="center" wrapText="1"/>
    </xf>
    <xf numFmtId="1" fontId="114" fillId="2" borderId="1" xfId="66" applyNumberFormat="1" applyFont="1" applyFill="1" applyBorder="1" applyAlignment="1">
      <alignment horizontal="center" vertical="center" wrapText="1"/>
    </xf>
    <xf numFmtId="0" fontId="114" fillId="0" borderId="1" xfId="66" applyFont="1" applyBorder="1" applyAlignment="1">
      <alignment horizontal="center" vertical="center" wrapText="1"/>
    </xf>
    <xf numFmtId="0" fontId="114" fillId="0" borderId="1" xfId="66" applyFont="1" applyBorder="1" applyAlignment="1">
      <alignment vertical="center" wrapText="1"/>
    </xf>
    <xf numFmtId="0" fontId="32" fillId="11" borderId="1" xfId="0" quotePrefix="1" applyFont="1" applyFill="1" applyBorder="1" applyAlignment="1">
      <alignment horizontal="center" vertical="center"/>
    </xf>
    <xf numFmtId="168" fontId="32" fillId="11" borderId="50" xfId="0" quotePrefix="1" applyNumberFormat="1" applyFont="1" applyFill="1" applyBorder="1" applyAlignment="1">
      <alignment horizontal="center" vertical="center"/>
    </xf>
    <xf numFmtId="4" fontId="32" fillId="11" borderId="50" xfId="0" applyNumberFormat="1" applyFont="1" applyFill="1" applyBorder="1" applyAlignment="1">
      <alignment horizontal="center" vertical="center"/>
    </xf>
    <xf numFmtId="168" fontId="32" fillId="11" borderId="50" xfId="0" quotePrefix="1" applyNumberFormat="1" applyFont="1" applyFill="1" applyBorder="1" applyAlignment="1">
      <alignment horizontal="left" vertical="center"/>
    </xf>
    <xf numFmtId="176" fontId="32" fillId="11" borderId="50" xfId="0" applyNumberFormat="1" applyFont="1" applyFill="1" applyBorder="1" applyAlignment="1">
      <alignment horizontal="center" vertical="center"/>
    </xf>
    <xf numFmtId="0" fontId="66" fillId="0" borderId="1" xfId="0" quotePrefix="1" applyFont="1" applyBorder="1" applyAlignment="1">
      <alignment vertical="center" wrapText="1"/>
    </xf>
    <xf numFmtId="174" fontId="66" fillId="11" borderId="50" xfId="0" applyNumberFormat="1" applyFont="1" applyFill="1" applyBorder="1" applyAlignment="1">
      <alignment horizontal="center" vertical="center" wrapText="1"/>
    </xf>
    <xf numFmtId="0" fontId="32" fillId="11" borderId="50" xfId="0" quotePrefix="1" applyFont="1" applyFill="1" applyBorder="1" applyAlignment="1">
      <alignment horizontal="left" vertical="center" wrapText="1"/>
    </xf>
    <xf numFmtId="0" fontId="52" fillId="3" borderId="0" xfId="66" applyFont="1" applyFill="1" applyAlignment="1">
      <alignment horizontal="left" vertical="center" wrapText="1"/>
    </xf>
    <xf numFmtId="0" fontId="2" fillId="0" borderId="0" xfId="57" applyFont="1"/>
    <xf numFmtId="0" fontId="45" fillId="0" borderId="1" xfId="57" quotePrefix="1" applyFont="1" applyBorder="1" applyAlignment="1">
      <alignment horizontal="center" vertical="center" wrapText="1"/>
    </xf>
    <xf numFmtId="0" fontId="66" fillId="3" borderId="5" xfId="0" applyFont="1" applyFill="1" applyBorder="1" applyAlignment="1">
      <alignment horizontal="center" vertical="center"/>
    </xf>
    <xf numFmtId="0" fontId="66" fillId="3" borderId="1" xfId="0" applyFont="1" applyFill="1" applyBorder="1" applyAlignment="1">
      <alignment vertical="center" wrapText="1"/>
    </xf>
    <xf numFmtId="0" fontId="67" fillId="3" borderId="0" xfId="66" applyFont="1" applyFill="1" applyAlignment="1">
      <alignment horizontal="center" vertical="center" wrapText="1"/>
    </xf>
    <xf numFmtId="0" fontId="60" fillId="3" borderId="0" xfId="66" applyFont="1" applyFill="1" applyAlignment="1">
      <alignment horizontal="center" vertical="center" wrapText="1"/>
    </xf>
    <xf numFmtId="0" fontId="66" fillId="19" borderId="1" xfId="0" applyFont="1" applyFill="1" applyBorder="1" applyAlignment="1">
      <alignment horizontal="center" vertical="center" wrapText="1"/>
    </xf>
    <xf numFmtId="43" fontId="66" fillId="19" borderId="1" xfId="1" applyFont="1" applyFill="1" applyBorder="1" applyAlignment="1">
      <alignment horizontal="right" vertical="center" wrapText="1"/>
    </xf>
    <xf numFmtId="43" fontId="67" fillId="19" borderId="1" xfId="66" applyNumberFormat="1" applyFont="1" applyFill="1" applyBorder="1" applyAlignment="1">
      <alignment horizontal="center" vertical="center" wrapText="1"/>
    </xf>
    <xf numFmtId="164" fontId="66" fillId="19" borderId="1" xfId="0" applyNumberFormat="1" applyFont="1" applyFill="1" applyBorder="1" applyAlignment="1">
      <alignment horizontal="center" vertical="center" wrapText="1" shrinkToFit="1"/>
    </xf>
    <xf numFmtId="0" fontId="66" fillId="19" borderId="1" xfId="0" applyFont="1" applyFill="1" applyBorder="1" applyAlignment="1">
      <alignment horizontal="center" vertical="center"/>
    </xf>
    <xf numFmtId="176" fontId="44" fillId="0" borderId="50" xfId="57" applyNumberFormat="1" applyFont="1" applyBorder="1" applyAlignment="1">
      <alignment horizontal="center" vertical="center" wrapText="1"/>
    </xf>
    <xf numFmtId="176" fontId="44" fillId="3" borderId="1" xfId="57" applyNumberFormat="1" applyFont="1" applyFill="1" applyBorder="1" applyAlignment="1">
      <alignment horizontal="center" vertical="center" wrapText="1"/>
    </xf>
    <xf numFmtId="0" fontId="25" fillId="0" borderId="50" xfId="0" applyFont="1" applyBorder="1" applyAlignment="1">
      <alignment horizontal="center" vertical="center"/>
    </xf>
    <xf numFmtId="0" fontId="24" fillId="0" borderId="50" xfId="72" applyFont="1" applyBorder="1" applyAlignment="1">
      <alignment horizontal="left" vertical="center" wrapText="1"/>
    </xf>
    <xf numFmtId="171" fontId="25" fillId="0" borderId="50" xfId="1" applyNumberFormat="1" applyFont="1" applyBorder="1" applyAlignment="1">
      <alignment horizontal="center" vertical="center"/>
    </xf>
    <xf numFmtId="1" fontId="29" fillId="3" borderId="50" xfId="60" applyNumberFormat="1" applyFont="1" applyFill="1" applyBorder="1" applyAlignment="1">
      <alignment horizontal="center" vertical="center" wrapText="1"/>
    </xf>
    <xf numFmtId="43" fontId="25" fillId="0" borderId="50" xfId="0" quotePrefix="1" applyNumberFormat="1" applyFont="1" applyBorder="1" applyAlignment="1">
      <alignment horizontal="center" vertical="center"/>
    </xf>
    <xf numFmtId="43" fontId="25" fillId="0" borderId="50" xfId="0" applyNumberFormat="1" applyFont="1" applyBorder="1" applyAlignment="1">
      <alignment vertical="center"/>
    </xf>
    <xf numFmtId="0" fontId="24" fillId="0" borderId="50" xfId="0" applyFont="1" applyBorder="1" applyAlignment="1">
      <alignment vertical="center"/>
    </xf>
    <xf numFmtId="0" fontId="25" fillId="0" borderId="51" xfId="0" applyFont="1" applyBorder="1" applyAlignment="1">
      <alignment horizontal="center" vertical="center"/>
    </xf>
    <xf numFmtId="0" fontId="24" fillId="3" borderId="50" xfId="0" applyFont="1" applyFill="1" applyBorder="1" applyAlignment="1">
      <alignment horizontal="center" vertical="center" wrapText="1"/>
    </xf>
    <xf numFmtId="0" fontId="24" fillId="3" borderId="50" xfId="0" applyFont="1" applyFill="1" applyBorder="1" applyAlignment="1">
      <alignment horizontal="center" vertical="center"/>
    </xf>
    <xf numFmtId="0" fontId="24" fillId="3" borderId="1" xfId="58" applyFont="1" applyFill="1" applyBorder="1" applyAlignment="1">
      <alignment horizontal="center" vertical="center" wrapText="1"/>
    </xf>
    <xf numFmtId="174" fontId="72" fillId="11" borderId="1" xfId="0" applyNumberFormat="1" applyFont="1" applyFill="1" applyBorder="1" applyAlignment="1">
      <alignment horizontal="center" vertical="center" wrapText="1"/>
    </xf>
    <xf numFmtId="0" fontId="45" fillId="3" borderId="1" xfId="57" applyFont="1" applyFill="1" applyBorder="1" applyAlignment="1">
      <alignment horizontal="left" vertical="center" wrapText="1"/>
    </xf>
    <xf numFmtId="167" fontId="56" fillId="3" borderId="0" xfId="66" applyNumberFormat="1" applyFont="1" applyFill="1" applyAlignment="1">
      <alignment vertical="center" wrapText="1"/>
    </xf>
    <xf numFmtId="0" fontId="44" fillId="3" borderId="0" xfId="0" applyFont="1" applyFill="1" applyAlignment="1">
      <alignment vertical="center" wrapText="1"/>
    </xf>
    <xf numFmtId="0" fontId="67" fillId="15" borderId="6" xfId="66" applyFont="1" applyFill="1" applyBorder="1" applyAlignment="1">
      <alignment vertical="center"/>
    </xf>
    <xf numFmtId="173" fontId="68" fillId="0" borderId="1" xfId="1" applyNumberFormat="1" applyFont="1" applyFill="1" applyBorder="1" applyAlignment="1">
      <alignment vertical="center" wrapText="1"/>
    </xf>
    <xf numFmtId="173" fontId="66" fillId="0" borderId="1" xfId="1" applyNumberFormat="1" applyFont="1" applyFill="1" applyBorder="1" applyAlignment="1">
      <alignment vertical="center" wrapText="1"/>
    </xf>
    <xf numFmtId="173" fontId="66" fillId="3" borderId="1" xfId="1" applyNumberFormat="1" applyFont="1" applyFill="1" applyBorder="1" applyAlignment="1">
      <alignment vertical="center" wrapText="1"/>
    </xf>
    <xf numFmtId="173" fontId="68" fillId="3" borderId="1" xfId="1" applyNumberFormat="1" applyFont="1" applyFill="1" applyBorder="1" applyAlignment="1">
      <alignment vertical="center" wrapText="1"/>
    </xf>
    <xf numFmtId="0" fontId="67" fillId="17" borderId="21" xfId="0" applyFont="1" applyFill="1" applyBorder="1" applyAlignment="1">
      <alignment vertical="center"/>
    </xf>
    <xf numFmtId="0" fontId="67" fillId="15" borderId="0" xfId="66" applyFont="1" applyFill="1" applyAlignment="1">
      <alignment vertical="center"/>
    </xf>
    <xf numFmtId="173" fontId="66" fillId="0" borderId="2" xfId="1" applyNumberFormat="1" applyFont="1" applyFill="1" applyBorder="1" applyAlignment="1">
      <alignment vertical="center" wrapText="1"/>
    </xf>
    <xf numFmtId="0" fontId="44" fillId="0" borderId="0" xfId="0" applyFont="1" applyAlignment="1">
      <alignment vertical="center" wrapText="1"/>
    </xf>
    <xf numFmtId="0" fontId="67" fillId="17" borderId="21" xfId="0" applyFont="1" applyFill="1" applyBorder="1" applyAlignment="1">
      <alignment horizontal="left" vertical="center"/>
    </xf>
    <xf numFmtId="0" fontId="66" fillId="15" borderId="0" xfId="0" applyFont="1" applyFill="1" applyAlignment="1">
      <alignment horizontal="left" vertical="center" wrapText="1"/>
    </xf>
    <xf numFmtId="0" fontId="120" fillId="0" borderId="0" xfId="57" applyFont="1" applyAlignment="1">
      <alignment vertical="center" wrapText="1"/>
    </xf>
    <xf numFmtId="0" fontId="121" fillId="0" borderId="0" xfId="66" applyFont="1" applyAlignment="1">
      <alignment horizontal="left" vertical="center" wrapText="1"/>
    </xf>
    <xf numFmtId="0" fontId="66" fillId="3" borderId="1" xfId="0" applyFont="1" applyFill="1" applyBorder="1" applyAlignment="1">
      <alignment horizontal="center" vertical="center"/>
    </xf>
    <xf numFmtId="180" fontId="66" fillId="16" borderId="1" xfId="0" applyNumberFormat="1" applyFont="1" applyFill="1" applyBorder="1" applyAlignment="1">
      <alignment horizontal="center" vertical="center" wrapText="1"/>
    </xf>
    <xf numFmtId="174" fontId="66" fillId="0" borderId="1" xfId="0" applyNumberFormat="1" applyFont="1" applyBorder="1" applyAlignment="1">
      <alignment horizontal="center" vertical="center" wrapText="1"/>
    </xf>
    <xf numFmtId="174" fontId="66" fillId="0" borderId="1" xfId="0" applyNumberFormat="1" applyFont="1" applyBorder="1" applyAlignment="1">
      <alignment horizontal="left" vertical="center" wrapText="1"/>
    </xf>
    <xf numFmtId="164" fontId="66" fillId="16" borderId="1" xfId="0" applyNumberFormat="1" applyFont="1" applyFill="1" applyBorder="1" applyAlignment="1">
      <alignment horizontal="center" vertical="center" wrapText="1" shrinkToFit="1"/>
    </xf>
    <xf numFmtId="0" fontId="44" fillId="3" borderId="1" xfId="57" applyFont="1" applyFill="1" applyBorder="1" applyAlignment="1">
      <alignment horizontal="center" vertical="center" wrapText="1"/>
    </xf>
    <xf numFmtId="176" fontId="114" fillId="11" borderId="50" xfId="0" applyNumberFormat="1" applyFont="1" applyFill="1" applyBorder="1" applyAlignment="1">
      <alignment horizontal="center" vertical="center"/>
    </xf>
    <xf numFmtId="168" fontId="114" fillId="11" borderId="50" xfId="0" quotePrefix="1" applyNumberFormat="1" applyFont="1" applyFill="1" applyBorder="1" applyAlignment="1">
      <alignment horizontal="center" vertical="center"/>
    </xf>
    <xf numFmtId="168" fontId="114" fillId="11" borderId="50" xfId="0" quotePrefix="1" applyNumberFormat="1" applyFont="1" applyFill="1" applyBorder="1" applyAlignment="1">
      <alignment horizontal="left" vertical="center"/>
    </xf>
    <xf numFmtId="4" fontId="114" fillId="11" borderId="50" xfId="0" applyNumberFormat="1" applyFont="1" applyFill="1" applyBorder="1" applyAlignment="1">
      <alignment horizontal="center" vertical="center"/>
    </xf>
    <xf numFmtId="0" fontId="114" fillId="11" borderId="1" xfId="0" quotePrefix="1" applyFont="1" applyFill="1" applyBorder="1" applyAlignment="1">
      <alignment horizontal="center" vertical="center"/>
    </xf>
    <xf numFmtId="0" fontId="114" fillId="11" borderId="50" xfId="0" quotePrefix="1" applyFont="1" applyFill="1" applyBorder="1" applyAlignment="1">
      <alignment horizontal="left" vertical="center" wrapText="1"/>
    </xf>
    <xf numFmtId="0" fontId="1" fillId="0" borderId="0" xfId="57" applyFont="1"/>
    <xf numFmtId="0" fontId="121" fillId="0" borderId="0" xfId="66" applyFont="1" applyAlignment="1">
      <alignment horizontal="center" vertical="center" wrapText="1"/>
    </xf>
    <xf numFmtId="0" fontId="44" fillId="3" borderId="50" xfId="57" applyFont="1" applyFill="1" applyBorder="1" applyAlignment="1">
      <alignment horizontal="center" vertical="center" wrapText="1"/>
    </xf>
    <xf numFmtId="0" fontId="44" fillId="3" borderId="50" xfId="57" applyFont="1" applyFill="1" applyBorder="1" applyAlignment="1">
      <alignment horizontal="left" vertical="center" wrapText="1"/>
    </xf>
    <xf numFmtId="43" fontId="44" fillId="19" borderId="1" xfId="57" applyNumberFormat="1" applyFont="1" applyFill="1" applyBorder="1" applyAlignment="1">
      <alignment horizontal="center" vertical="center" wrapText="1"/>
    </xf>
    <xf numFmtId="0" fontId="40" fillId="3" borderId="0" xfId="57" applyFont="1" applyFill="1"/>
    <xf numFmtId="0" fontId="118" fillId="0" borderId="0" xfId="57" applyFont="1" applyAlignment="1">
      <alignment horizontal="center" vertical="center"/>
    </xf>
    <xf numFmtId="0" fontId="122" fillId="0" borderId="0" xfId="57" applyFont="1" applyAlignment="1">
      <alignment vertical="center" wrapText="1"/>
    </xf>
    <xf numFmtId="0" fontId="120" fillId="3" borderId="0" xfId="57" applyFont="1" applyFill="1" applyAlignment="1">
      <alignment horizontal="center" vertical="center"/>
    </xf>
    <xf numFmtId="0" fontId="120" fillId="0" borderId="0" xfId="57" applyFont="1" applyAlignment="1">
      <alignment vertical="center"/>
    </xf>
    <xf numFmtId="176" fontId="114" fillId="11" borderId="1" xfId="0" applyNumberFormat="1" applyFont="1" applyFill="1" applyBorder="1" applyAlignment="1">
      <alignment horizontal="center" vertical="center"/>
    </xf>
    <xf numFmtId="168" fontId="114" fillId="11" borderId="1" xfId="0" quotePrefix="1" applyNumberFormat="1" applyFont="1" applyFill="1" applyBorder="1" applyAlignment="1">
      <alignment horizontal="center" vertical="center"/>
    </xf>
    <xf numFmtId="168" fontId="114" fillId="11" borderId="1" xfId="0" quotePrefix="1" applyNumberFormat="1" applyFont="1" applyFill="1" applyBorder="1" applyAlignment="1">
      <alignment horizontal="left" vertical="center"/>
    </xf>
    <xf numFmtId="174" fontId="114" fillId="11" borderId="1" xfId="0" applyNumberFormat="1" applyFont="1" applyFill="1" applyBorder="1" applyAlignment="1">
      <alignment horizontal="center" vertical="center"/>
    </xf>
    <xf numFmtId="4" fontId="114" fillId="11" borderId="1" xfId="0" applyNumberFormat="1" applyFont="1" applyFill="1" applyBorder="1" applyAlignment="1">
      <alignment horizontal="center" vertical="center"/>
    </xf>
    <xf numFmtId="0" fontId="114" fillId="11" borderId="1" xfId="0" quotePrefix="1" applyFont="1" applyFill="1" applyBorder="1" applyAlignment="1">
      <alignment horizontal="left" vertical="center" wrapText="1"/>
    </xf>
    <xf numFmtId="0" fontId="45" fillId="8" borderId="1" xfId="57" applyFont="1" applyFill="1" applyBorder="1" applyAlignment="1">
      <alignment horizontal="center" vertical="center" wrapText="1"/>
    </xf>
    <xf numFmtId="0" fontId="123" fillId="0" borderId="0" xfId="57" applyFont="1"/>
    <xf numFmtId="22" fontId="44" fillId="0" borderId="1" xfId="57" applyNumberFormat="1" applyFont="1" applyBorder="1" applyAlignment="1">
      <alignment horizontal="center" vertical="center" wrapText="1"/>
    </xf>
    <xf numFmtId="14" fontId="124" fillId="0" borderId="0" xfId="57" applyNumberFormat="1" applyFont="1"/>
    <xf numFmtId="0" fontId="54" fillId="13" borderId="6" xfId="66" applyFont="1" applyFill="1" applyBorder="1" applyAlignment="1">
      <alignment horizontal="left" vertical="center" wrapText="1"/>
    </xf>
    <xf numFmtId="0" fontId="54" fillId="13" borderId="20" xfId="66" applyFont="1" applyFill="1" applyBorder="1" applyAlignment="1">
      <alignment horizontal="left" vertical="center" wrapText="1"/>
    </xf>
    <xf numFmtId="0" fontId="54" fillId="13" borderId="0" xfId="66" applyFont="1" applyFill="1" applyAlignment="1">
      <alignment horizontal="left" vertical="center" wrapText="1"/>
    </xf>
    <xf numFmtId="0" fontId="54" fillId="0" borderId="0" xfId="57" applyFont="1" applyAlignment="1">
      <alignment horizontal="right" vertical="center" wrapText="1"/>
    </xf>
    <xf numFmtId="0" fontId="54" fillId="0" borderId="17" xfId="57" applyFont="1" applyBorder="1" applyAlignment="1">
      <alignment horizontal="right" vertical="center" wrapText="1"/>
    </xf>
    <xf numFmtId="0" fontId="42" fillId="12" borderId="1" xfId="66" applyFont="1" applyFill="1" applyBorder="1" applyAlignment="1">
      <alignment horizontal="center" vertical="center" wrapText="1"/>
    </xf>
    <xf numFmtId="49" fontId="42" fillId="12" borderId="1" xfId="66" applyNumberFormat="1" applyFont="1" applyFill="1" applyBorder="1" applyAlignment="1">
      <alignment horizontal="left" vertical="center" wrapText="1"/>
    </xf>
    <xf numFmtId="0" fontId="42" fillId="12" borderId="1" xfId="66" applyFont="1" applyFill="1" applyBorder="1" applyAlignment="1">
      <alignment horizontal="left" vertical="center" wrapText="1"/>
    </xf>
    <xf numFmtId="0" fontId="42" fillId="12" borderId="2" xfId="66" applyFont="1" applyFill="1" applyBorder="1" applyAlignment="1">
      <alignment horizontal="center" vertical="center" wrapText="1"/>
    </xf>
    <xf numFmtId="0" fontId="42" fillId="12" borderId="3" xfId="66" applyFont="1" applyFill="1" applyBorder="1" applyAlignment="1">
      <alignment horizontal="center" vertical="center" wrapText="1"/>
    </xf>
    <xf numFmtId="49" fontId="42" fillId="12" borderId="1" xfId="66" applyNumberFormat="1" applyFont="1" applyFill="1" applyBorder="1" applyAlignment="1">
      <alignment horizontal="center" vertical="center" wrapText="1"/>
    </xf>
    <xf numFmtId="15" fontId="42" fillId="12" borderId="1" xfId="66" applyNumberFormat="1" applyFont="1" applyFill="1" applyBorder="1" applyAlignment="1">
      <alignment horizontal="center" vertical="center" wrapText="1"/>
    </xf>
    <xf numFmtId="168" fontId="42" fillId="12" borderId="1" xfId="66" applyNumberFormat="1" applyFont="1" applyFill="1" applyBorder="1" applyAlignment="1">
      <alignment horizontal="center" vertical="center" wrapText="1"/>
    </xf>
    <xf numFmtId="168" fontId="42" fillId="12" borderId="7" xfId="66" applyNumberFormat="1" applyFont="1" applyFill="1" applyBorder="1" applyAlignment="1">
      <alignment horizontal="center" vertical="center" wrapText="1"/>
    </xf>
    <xf numFmtId="1" fontId="42" fillId="12" borderId="1" xfId="66" applyNumberFormat="1" applyFont="1" applyFill="1" applyBorder="1" applyAlignment="1">
      <alignment horizontal="center" vertical="center" wrapText="1"/>
    </xf>
    <xf numFmtId="0" fontId="42" fillId="3" borderId="5" xfId="57" applyFont="1" applyFill="1" applyBorder="1" applyAlignment="1">
      <alignment horizontal="left" vertical="center" wrapText="1"/>
    </xf>
    <xf numFmtId="0" fontId="42" fillId="3" borderId="6" xfId="57" applyFont="1" applyFill="1" applyBorder="1" applyAlignment="1">
      <alignment horizontal="left" vertical="center" wrapText="1"/>
    </xf>
    <xf numFmtId="0" fontId="42" fillId="3" borderId="7" xfId="57" applyFont="1" applyFill="1" applyBorder="1" applyAlignment="1">
      <alignment horizontal="left" vertical="center" wrapText="1"/>
    </xf>
    <xf numFmtId="168" fontId="41" fillId="3" borderId="0" xfId="57" applyNumberFormat="1" applyFont="1" applyFill="1" applyAlignment="1">
      <alignment horizontal="right" vertical="center" wrapText="1"/>
    </xf>
    <xf numFmtId="168" fontId="41" fillId="3" borderId="17" xfId="57" applyNumberFormat="1" applyFont="1" applyFill="1" applyBorder="1" applyAlignment="1">
      <alignment horizontal="right" vertical="center" wrapText="1"/>
    </xf>
    <xf numFmtId="4" fontId="49" fillId="3" borderId="5" xfId="57" applyNumberFormat="1" applyFont="1" applyFill="1" applyBorder="1" applyAlignment="1">
      <alignment horizontal="left" vertical="center" wrapText="1"/>
    </xf>
    <xf numFmtId="4" fontId="49" fillId="3" borderId="6" xfId="57" applyNumberFormat="1" applyFont="1" applyFill="1" applyBorder="1" applyAlignment="1">
      <alignment horizontal="left" vertical="center" wrapText="1"/>
    </xf>
    <xf numFmtId="0" fontId="42" fillId="13" borderId="16" xfId="66" applyFont="1" applyFill="1" applyBorder="1" applyAlignment="1">
      <alignment horizontal="left" vertical="center" wrapText="1"/>
    </xf>
    <xf numFmtId="0" fontId="42" fillId="13" borderId="15" xfId="66" applyFont="1" applyFill="1" applyBorder="1" applyAlignment="1">
      <alignment horizontal="left" vertical="center" wrapText="1"/>
    </xf>
    <xf numFmtId="0" fontId="41" fillId="3" borderId="0" xfId="57" applyFont="1" applyFill="1" applyAlignment="1">
      <alignment horizontal="right" vertical="center" wrapText="1"/>
    </xf>
    <xf numFmtId="0" fontId="41" fillId="3" borderId="17" xfId="57" applyFont="1" applyFill="1" applyBorder="1" applyAlignment="1">
      <alignment horizontal="right" vertical="center" wrapText="1"/>
    </xf>
    <xf numFmtId="169" fontId="49" fillId="3" borderId="5" xfId="57" applyNumberFormat="1" applyFont="1" applyFill="1" applyBorder="1" applyAlignment="1">
      <alignment horizontal="left" vertical="center" wrapText="1"/>
    </xf>
    <xf numFmtId="169" fontId="49" fillId="3" borderId="6" xfId="57" applyNumberFormat="1" applyFont="1" applyFill="1" applyBorder="1" applyAlignment="1">
      <alignment horizontal="left" vertical="center" wrapText="1"/>
    </xf>
    <xf numFmtId="167" fontId="26" fillId="3" borderId="0" xfId="66" applyNumberFormat="1" applyFont="1" applyFill="1" applyAlignment="1">
      <alignment horizontal="center" vertical="center" wrapText="1"/>
    </xf>
    <xf numFmtId="167" fontId="26" fillId="3" borderId="0" xfId="66" applyNumberFormat="1" applyFont="1" applyFill="1" applyAlignment="1">
      <alignment vertical="center" wrapText="1"/>
    </xf>
    <xf numFmtId="167" fontId="26" fillId="3" borderId="0" xfId="66" applyNumberFormat="1" applyFont="1" applyFill="1" applyAlignment="1">
      <alignment horizontal="center" wrapText="1"/>
    </xf>
    <xf numFmtId="167" fontId="26" fillId="3" borderId="0" xfId="66" applyNumberFormat="1" applyFont="1" applyFill="1" applyAlignment="1">
      <alignment wrapText="1"/>
    </xf>
    <xf numFmtId="0" fontId="85" fillId="20" borderId="37" xfId="0" applyFont="1" applyFill="1" applyBorder="1" applyAlignment="1">
      <alignment horizontal="center" vertical="center" wrapText="1"/>
    </xf>
    <xf numFmtId="0" fontId="85" fillId="20" borderId="2" xfId="0" applyFont="1" applyFill="1" applyBorder="1" applyAlignment="1">
      <alignment horizontal="center" vertical="center" wrapText="1"/>
    </xf>
    <xf numFmtId="0" fontId="84" fillId="0" borderId="37" xfId="0" applyFont="1" applyBorder="1" applyAlignment="1">
      <alignment horizontal="center" vertical="center" wrapText="1"/>
    </xf>
    <xf numFmtId="0" fontId="84" fillId="0" borderId="2" xfId="0" applyFont="1" applyBorder="1" applyAlignment="1">
      <alignment horizontal="center" vertical="center" wrapText="1"/>
    </xf>
    <xf numFmtId="0" fontId="84" fillId="0" borderId="1" xfId="0" applyFont="1" applyBorder="1" applyAlignment="1">
      <alignment horizontal="center" vertical="center" wrapText="1"/>
    </xf>
    <xf numFmtId="0" fontId="84" fillId="0" borderId="3" xfId="0" applyFont="1" applyBorder="1" applyAlignment="1">
      <alignment horizontal="center" vertical="center" wrapText="1"/>
    </xf>
    <xf numFmtId="0" fontId="85" fillId="20" borderId="25" xfId="0" applyFont="1" applyFill="1" applyBorder="1" applyAlignment="1">
      <alignment horizontal="center" vertical="center" wrapText="1"/>
    </xf>
    <xf numFmtId="0" fontId="85" fillId="20" borderId="26" xfId="0" applyFont="1" applyFill="1" applyBorder="1" applyAlignment="1">
      <alignment horizontal="center" vertical="center" wrapText="1"/>
    </xf>
    <xf numFmtId="0" fontId="85" fillId="20" borderId="27" xfId="0" applyFont="1" applyFill="1" applyBorder="1" applyAlignment="1">
      <alignment horizontal="center" vertical="center" wrapText="1"/>
    </xf>
    <xf numFmtId="0" fontId="85" fillId="20" borderId="29" xfId="0" applyFont="1" applyFill="1" applyBorder="1" applyAlignment="1">
      <alignment horizontal="center" vertical="center" wrapText="1"/>
    </xf>
    <xf numFmtId="0" fontId="85" fillId="20" borderId="30" xfId="0" applyFont="1" applyFill="1" applyBorder="1" applyAlignment="1">
      <alignment horizontal="center" vertical="center" wrapText="1"/>
    </xf>
    <xf numFmtId="0" fontId="85" fillId="20" borderId="31" xfId="0" applyFont="1" applyFill="1" applyBorder="1" applyAlignment="1">
      <alignment horizontal="center" vertical="center" wrapText="1"/>
    </xf>
    <xf numFmtId="0" fontId="85" fillId="20" borderId="20" xfId="0" applyFont="1" applyFill="1" applyBorder="1" applyAlignment="1">
      <alignment horizontal="center" vertical="center" wrapText="1"/>
    </xf>
    <xf numFmtId="0" fontId="85" fillId="20" borderId="17" xfId="0" applyFont="1" applyFill="1" applyBorder="1" applyAlignment="1">
      <alignment horizontal="center" vertical="center" wrapText="1"/>
    </xf>
    <xf numFmtId="0" fontId="84" fillId="0" borderId="25" xfId="0" applyFont="1" applyBorder="1" applyAlignment="1">
      <alignment horizontal="left" vertical="center" wrapText="1"/>
    </xf>
    <xf numFmtId="0" fontId="84" fillId="0" borderId="26" xfId="0" applyFont="1" applyBorder="1" applyAlignment="1">
      <alignment horizontal="left" vertical="center" wrapText="1"/>
    </xf>
    <xf numFmtId="0" fontId="84" fillId="0" borderId="27" xfId="0" applyFont="1" applyBorder="1" applyAlignment="1">
      <alignment horizontal="left" vertical="center" wrapText="1"/>
    </xf>
    <xf numFmtId="0" fontId="84" fillId="0" borderId="20" xfId="0" applyFont="1" applyBorder="1" applyAlignment="1">
      <alignment horizontal="left" vertical="center" wrapText="1"/>
    </xf>
    <xf numFmtId="0" fontId="84" fillId="0" borderId="0" xfId="0" applyFont="1" applyAlignment="1">
      <alignment horizontal="left" vertical="center" wrapText="1"/>
    </xf>
    <xf numFmtId="0" fontId="84" fillId="0" borderId="17" xfId="0" applyFont="1" applyBorder="1" applyAlignment="1">
      <alignment horizontal="left" vertical="center" wrapText="1"/>
    </xf>
    <xf numFmtId="0" fontId="84" fillId="0" borderId="16" xfId="0" applyFont="1" applyBorder="1" applyAlignment="1">
      <alignment horizontal="left" vertical="center" wrapText="1"/>
    </xf>
    <xf numFmtId="0" fontId="84" fillId="0" borderId="15" xfId="0" applyFont="1" applyBorder="1" applyAlignment="1">
      <alignment horizontal="left" vertical="center" wrapText="1"/>
    </xf>
    <xf numFmtId="0" fontId="84" fillId="0" borderId="18" xfId="0" applyFont="1" applyBorder="1" applyAlignment="1">
      <alignment horizontal="left" vertical="center" wrapText="1"/>
    </xf>
    <xf numFmtId="0" fontId="84" fillId="0" borderId="36" xfId="0" applyFont="1" applyBorder="1" applyAlignment="1">
      <alignment horizontal="left" vertical="center" wrapText="1"/>
    </xf>
    <xf numFmtId="0" fontId="84" fillId="0" borderId="23" xfId="0" applyFont="1" applyBorder="1" applyAlignment="1">
      <alignment horizontal="left" vertical="center" wrapText="1"/>
    </xf>
    <xf numFmtId="0" fontId="84" fillId="0" borderId="22" xfId="0" applyFont="1" applyBorder="1" applyAlignment="1">
      <alignment horizontal="left" vertical="center" wrapText="1"/>
    </xf>
    <xf numFmtId="0" fontId="84" fillId="0" borderId="5" xfId="0" applyFont="1" applyBorder="1" applyAlignment="1">
      <alignment horizontal="center" vertical="center" wrapText="1"/>
    </xf>
    <xf numFmtId="0" fontId="84" fillId="0" borderId="6" xfId="0" applyFont="1" applyBorder="1" applyAlignment="1">
      <alignment horizontal="center" vertical="center" wrapText="1"/>
    </xf>
    <xf numFmtId="0" fontId="84" fillId="0" borderId="7" xfId="0" applyFont="1" applyBorder="1" applyAlignment="1">
      <alignment horizontal="center" vertical="center" wrapText="1"/>
    </xf>
    <xf numFmtId="0" fontId="84" fillId="0" borderId="16"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33" xfId="0" applyFont="1" applyBorder="1" applyAlignment="1">
      <alignment horizontal="center" vertical="center" wrapText="1"/>
    </xf>
    <xf numFmtId="0" fontId="84" fillId="0" borderId="34" xfId="0" applyFont="1" applyBorder="1" applyAlignment="1">
      <alignment horizontal="center" vertical="center" wrapText="1"/>
    </xf>
    <xf numFmtId="0" fontId="84" fillId="0" borderId="20" xfId="0" applyFont="1" applyBorder="1" applyAlignment="1">
      <alignment horizontal="center" vertical="center" wrapText="1"/>
    </xf>
    <xf numFmtId="0" fontId="84" fillId="0" borderId="17" xfId="0" applyFont="1" applyBorder="1" applyAlignment="1">
      <alignment horizontal="center" vertical="center" wrapText="1"/>
    </xf>
    <xf numFmtId="0" fontId="85" fillId="20" borderId="24" xfId="0" applyFont="1" applyFill="1" applyBorder="1" applyAlignment="1">
      <alignment horizontal="center" vertical="center" wrapText="1"/>
    </xf>
    <xf numFmtId="0" fontId="85" fillId="20" borderId="28" xfId="0" applyFont="1" applyFill="1" applyBorder="1" applyAlignment="1">
      <alignment horizontal="center" vertical="center" wrapText="1"/>
    </xf>
    <xf numFmtId="0" fontId="84" fillId="0" borderId="24" xfId="0" applyFont="1" applyBorder="1" applyAlignment="1">
      <alignment horizontal="center" vertical="center"/>
    </xf>
    <xf numFmtId="0" fontId="84" fillId="0" borderId="28" xfId="0" applyFont="1" applyBorder="1" applyAlignment="1">
      <alignment horizontal="center" vertical="center"/>
    </xf>
    <xf numFmtId="0" fontId="84" fillId="0" borderId="2" xfId="0" applyFont="1" applyBorder="1" applyAlignment="1">
      <alignment horizontal="center" vertical="center"/>
    </xf>
    <xf numFmtId="0" fontId="84" fillId="0" borderId="19" xfId="0" applyFont="1" applyBorder="1" applyAlignment="1">
      <alignment horizontal="center" vertical="center"/>
    </xf>
    <xf numFmtId="0" fontId="84" fillId="0" borderId="3" xfId="0" applyFont="1" applyBorder="1" applyAlignment="1">
      <alignment horizontal="center" vertical="center"/>
    </xf>
    <xf numFmtId="0" fontId="84" fillId="0" borderId="1" xfId="0" applyFont="1" applyBorder="1" applyAlignment="1">
      <alignment horizontal="center" vertical="center"/>
    </xf>
    <xf numFmtId="0" fontId="84" fillId="0" borderId="33" xfId="0" applyFont="1" applyBorder="1" applyAlignment="1">
      <alignment horizontal="left" vertical="center" wrapText="1"/>
    </xf>
    <xf numFmtId="0" fontId="84" fillId="0" borderId="11" xfId="0" applyFont="1" applyBorder="1" applyAlignment="1">
      <alignment horizontal="left" vertical="center" wrapText="1"/>
    </xf>
    <xf numFmtId="0" fontId="84" fillId="0" borderId="34" xfId="0" applyFont="1" applyBorder="1" applyAlignment="1">
      <alignment horizontal="left" vertical="center" wrapText="1"/>
    </xf>
    <xf numFmtId="167" fontId="79" fillId="3" borderId="1" xfId="66" applyNumberFormat="1" applyFont="1" applyFill="1" applyBorder="1" applyAlignment="1">
      <alignment horizontal="center" vertical="center" wrapText="1"/>
    </xf>
    <xf numFmtId="4" fontId="79" fillId="3" borderId="1" xfId="66" applyNumberFormat="1" applyFont="1" applyFill="1" applyBorder="1" applyAlignment="1">
      <alignment horizontal="center" vertical="center"/>
    </xf>
    <xf numFmtId="0" fontId="77" fillId="3" borderId="1" xfId="66" applyFont="1" applyFill="1" applyBorder="1" applyAlignment="1">
      <alignment horizontal="center" vertical="center"/>
    </xf>
    <xf numFmtId="0" fontId="77" fillId="3" borderId="1" xfId="66" applyFont="1" applyFill="1" applyBorder="1" applyAlignment="1">
      <alignment vertical="center" wrapText="1"/>
    </xf>
    <xf numFmtId="0" fontId="79" fillId="3" borderId="1" xfId="66" applyFont="1" applyFill="1" applyBorder="1" applyAlignment="1">
      <alignment horizontal="center" vertical="center" wrapText="1"/>
    </xf>
    <xf numFmtId="0" fontId="80" fillId="3" borderId="1" xfId="66" applyFont="1" applyFill="1" applyBorder="1" applyAlignment="1">
      <alignment horizontal="left" vertical="center" wrapText="1"/>
    </xf>
    <xf numFmtId="0" fontId="80" fillId="3" borderId="1" xfId="66" applyFont="1" applyFill="1" applyBorder="1" applyAlignment="1">
      <alignment horizontal="center" vertical="center" wrapText="1"/>
    </xf>
    <xf numFmtId="4" fontId="79" fillId="3" borderId="1" xfId="66" applyNumberFormat="1" applyFont="1" applyFill="1" applyBorder="1" applyAlignment="1">
      <alignment horizontal="center" vertical="center" wrapText="1"/>
    </xf>
    <xf numFmtId="4" fontId="79" fillId="3" borderId="5" xfId="66" applyNumberFormat="1" applyFont="1" applyFill="1" applyBorder="1" applyAlignment="1">
      <alignment horizontal="center" vertical="center" wrapText="1"/>
    </xf>
    <xf numFmtId="4" fontId="79" fillId="3" borderId="7" xfId="66" applyNumberFormat="1" applyFont="1" applyFill="1" applyBorder="1" applyAlignment="1">
      <alignment horizontal="center" vertical="center" wrapText="1"/>
    </xf>
    <xf numFmtId="0" fontId="8" fillId="3" borderId="0" xfId="0" applyFont="1" applyFill="1" applyAlignment="1">
      <alignment horizontal="right" vertical="center" wrapText="1"/>
    </xf>
    <xf numFmtId="0" fontId="8" fillId="3" borderId="0" xfId="0" applyFont="1" applyFill="1" applyAlignment="1">
      <alignment horizontal="right" vertical="center"/>
    </xf>
    <xf numFmtId="0" fontId="8" fillId="3" borderId="17" xfId="0" applyFont="1" applyFill="1" applyBorder="1" applyAlignment="1">
      <alignment horizontal="right" vertical="center"/>
    </xf>
    <xf numFmtId="4" fontId="4" fillId="3" borderId="5" xfId="1" applyNumberFormat="1" applyFont="1" applyFill="1" applyBorder="1" applyAlignment="1">
      <alignment horizontal="right" vertical="center"/>
    </xf>
    <xf numFmtId="4" fontId="4" fillId="3" borderId="7" xfId="1" applyNumberFormat="1" applyFont="1" applyFill="1" applyBorder="1" applyAlignment="1">
      <alignment horizontal="right" vertical="center"/>
    </xf>
    <xf numFmtId="0" fontId="77" fillId="3" borderId="1" xfId="66" applyFont="1" applyFill="1" applyBorder="1" applyAlignment="1">
      <alignment horizontal="left" vertical="center" wrapText="1"/>
    </xf>
    <xf numFmtId="169" fontId="4" fillId="3" borderId="5" xfId="0" applyNumberFormat="1" applyFont="1" applyFill="1" applyBorder="1" applyAlignment="1">
      <alignment horizontal="right" vertical="center"/>
    </xf>
    <xf numFmtId="169" fontId="4" fillId="3" borderId="7" xfId="0" applyNumberFormat="1" applyFont="1" applyFill="1" applyBorder="1" applyAlignment="1">
      <alignment horizontal="right" vertical="center"/>
    </xf>
    <xf numFmtId="0" fontId="4" fillId="3" borderId="5" xfId="0" applyFont="1" applyFill="1" applyBorder="1" applyAlignment="1">
      <alignment horizontal="right" vertical="center"/>
    </xf>
    <xf numFmtId="0" fontId="4" fillId="3" borderId="6" xfId="0" applyFont="1" applyFill="1" applyBorder="1" applyAlignment="1">
      <alignment horizontal="right" vertical="center"/>
    </xf>
    <xf numFmtId="0" fontId="4" fillId="3" borderId="7" xfId="0" applyFont="1" applyFill="1" applyBorder="1" applyAlignment="1">
      <alignment horizontal="right" vertical="center"/>
    </xf>
    <xf numFmtId="4" fontId="79" fillId="3" borderId="5" xfId="1" applyNumberFormat="1" applyFont="1" applyFill="1" applyBorder="1" applyAlignment="1">
      <alignment horizontal="right" vertical="center"/>
    </xf>
    <xf numFmtId="4" fontId="79" fillId="3" borderId="7" xfId="1" applyNumberFormat="1" applyFont="1" applyFill="1" applyBorder="1" applyAlignment="1">
      <alignment horizontal="right" vertical="center"/>
    </xf>
    <xf numFmtId="0" fontId="8" fillId="3" borderId="17" xfId="0" applyFont="1" applyFill="1" applyBorder="1" applyAlignment="1">
      <alignment horizontal="right" vertical="center" wrapText="1"/>
    </xf>
    <xf numFmtId="167" fontId="16" fillId="3" borderId="0" xfId="66" applyNumberFormat="1" applyFont="1" applyFill="1" applyAlignment="1">
      <alignment horizontal="center" wrapText="1"/>
    </xf>
    <xf numFmtId="167" fontId="16" fillId="3" borderId="0" xfId="66" applyNumberFormat="1" applyFont="1" applyFill="1" applyAlignment="1">
      <alignment horizontal="center" vertical="top" wrapText="1"/>
    </xf>
    <xf numFmtId="167" fontId="16" fillId="3" borderId="0" xfId="66" applyNumberFormat="1" applyFont="1" applyFill="1" applyAlignment="1">
      <alignment horizontal="center" vertical="center" wrapText="1"/>
    </xf>
    <xf numFmtId="0" fontId="4" fillId="3" borderId="1" xfId="0" applyFont="1" applyFill="1" applyBorder="1" applyAlignment="1">
      <alignment horizontal="right" vertical="center"/>
    </xf>
    <xf numFmtId="0" fontId="66" fillId="2" borderId="5" xfId="66" applyFont="1" applyFill="1" applyBorder="1" applyAlignment="1">
      <alignment horizontal="center" vertical="center" wrapText="1"/>
    </xf>
    <xf numFmtId="0" fontId="66" fillId="2" borderId="6" xfId="66" applyFont="1" applyFill="1" applyBorder="1" applyAlignment="1">
      <alignment horizontal="center" vertical="center" wrapText="1"/>
    </xf>
    <xf numFmtId="164" fontId="66" fillId="2" borderId="6" xfId="66" applyNumberFormat="1" applyFont="1" applyFill="1" applyBorder="1" applyAlignment="1">
      <alignment horizontal="center" vertical="center" wrapText="1"/>
    </xf>
    <xf numFmtId="0" fontId="66" fillId="2" borderId="7" xfId="66" applyFont="1" applyFill="1" applyBorder="1" applyAlignment="1">
      <alignment horizontal="left" vertical="center" wrapText="1"/>
    </xf>
    <xf numFmtId="22" fontId="66" fillId="15" borderId="15" xfId="0" applyNumberFormat="1" applyFont="1" applyFill="1" applyBorder="1" applyAlignment="1">
      <alignment horizontal="center" vertical="center" wrapText="1"/>
    </xf>
    <xf numFmtId="0" fontId="67" fillId="15" borderId="6" xfId="66" applyFont="1" applyFill="1" applyBorder="1" applyAlignment="1">
      <alignment horizontal="center" vertical="center"/>
    </xf>
    <xf numFmtId="0" fontId="67" fillId="0" borderId="1" xfId="0" applyFont="1" applyBorder="1" applyAlignment="1">
      <alignment horizontal="left" vertical="center" wrapText="1"/>
    </xf>
    <xf numFmtId="0" fontId="67" fillId="0" borderId="3" xfId="0" applyFont="1" applyBorder="1" applyAlignment="1">
      <alignment horizontal="left" vertical="center" wrapText="1"/>
    </xf>
    <xf numFmtId="164" fontId="67" fillId="0" borderId="3" xfId="0" applyNumberFormat="1" applyFont="1" applyBorder="1" applyAlignment="1">
      <alignment horizontal="left" vertical="center" wrapText="1"/>
    </xf>
    <xf numFmtId="0" fontId="66" fillId="2" borderId="1" xfId="66" applyFont="1" applyFill="1" applyBorder="1" applyAlignment="1">
      <alignment horizontal="center" vertical="center" wrapText="1"/>
    </xf>
    <xf numFmtId="49" fontId="66" fillId="2" borderId="1" xfId="66" applyNumberFormat="1" applyFont="1" applyFill="1" applyBorder="1" applyAlignment="1">
      <alignment horizontal="center" vertical="center" wrapText="1"/>
    </xf>
    <xf numFmtId="0" fontId="66" fillId="2" borderId="2" xfId="66" applyFont="1" applyFill="1" applyBorder="1" applyAlignment="1">
      <alignment horizontal="left" vertical="center" wrapText="1"/>
    </xf>
    <xf numFmtId="0" fontId="66" fillId="2" borderId="3" xfId="66" applyFont="1" applyFill="1" applyBorder="1" applyAlignment="1">
      <alignment horizontal="left" vertical="center" wrapText="1"/>
    </xf>
    <xf numFmtId="0" fontId="66" fillId="2" borderId="2" xfId="66" applyFont="1" applyFill="1" applyBorder="1" applyAlignment="1">
      <alignment vertical="center" wrapText="1"/>
    </xf>
    <xf numFmtId="0" fontId="66" fillId="2" borderId="3" xfId="66" applyFont="1" applyFill="1" applyBorder="1" applyAlignment="1">
      <alignment vertical="center" wrapText="1"/>
    </xf>
    <xf numFmtId="0" fontId="66" fillId="2" borderId="1" xfId="66" applyFont="1" applyFill="1" applyBorder="1" applyAlignment="1">
      <alignment horizontal="left" vertical="center" wrapText="1"/>
    </xf>
    <xf numFmtId="164" fontId="66" fillId="2" borderId="1" xfId="66" applyNumberFormat="1" applyFont="1" applyFill="1" applyBorder="1" applyAlignment="1">
      <alignment horizontal="center" vertical="center" wrapText="1"/>
    </xf>
    <xf numFmtId="177" fontId="66" fillId="2" borderId="1" xfId="66" applyNumberFormat="1" applyFont="1" applyFill="1" applyBorder="1" applyAlignment="1">
      <alignment horizontal="center" vertical="center" wrapText="1"/>
    </xf>
    <xf numFmtId="22" fontId="66" fillId="2" borderId="6" xfId="66" applyNumberFormat="1" applyFont="1" applyFill="1" applyBorder="1" applyAlignment="1">
      <alignment horizontal="center" vertical="center" wrapText="1"/>
    </xf>
    <xf numFmtId="174" fontId="66" fillId="2" borderId="1" xfId="66" applyNumberFormat="1" applyFont="1" applyFill="1" applyBorder="1" applyAlignment="1">
      <alignment horizontal="center" vertical="center" wrapText="1"/>
    </xf>
    <xf numFmtId="174" fontId="66" fillId="2" borderId="7" xfId="66" applyNumberFormat="1" applyFont="1" applyFill="1" applyBorder="1" applyAlignment="1">
      <alignment horizontal="center" vertical="center" wrapText="1"/>
    </xf>
    <xf numFmtId="1" fontId="66" fillId="2" borderId="1" xfId="66" applyNumberFormat="1" applyFont="1" applyFill="1" applyBorder="1" applyAlignment="1">
      <alignment horizontal="center" vertical="center" wrapText="1"/>
    </xf>
    <xf numFmtId="0" fontId="66" fillId="2" borderId="7" xfId="66" applyFont="1" applyFill="1" applyBorder="1" applyAlignment="1">
      <alignment horizontal="center" vertical="center" wrapText="1"/>
    </xf>
    <xf numFmtId="0" fontId="44" fillId="3" borderId="0" xfId="0" applyFont="1" applyFill="1" applyAlignment="1">
      <alignment horizontal="right" vertical="center" wrapText="1"/>
    </xf>
    <xf numFmtId="0" fontId="44" fillId="3" borderId="17" xfId="0" applyFont="1" applyFill="1" applyBorder="1" applyAlignment="1">
      <alignment horizontal="right" vertical="center" wrapText="1"/>
    </xf>
    <xf numFmtId="0" fontId="65" fillId="3" borderId="5" xfId="0" applyFont="1" applyFill="1" applyBorder="1" applyAlignment="1">
      <alignment vertical="center"/>
    </xf>
    <xf numFmtId="0" fontId="65" fillId="3" borderId="6" xfId="0" applyFont="1" applyFill="1" applyBorder="1" applyAlignment="1">
      <alignment vertical="center"/>
    </xf>
    <xf numFmtId="0" fontId="65" fillId="3" borderId="7" xfId="0" applyFont="1" applyFill="1" applyBorder="1" applyAlignment="1">
      <alignment vertical="center" wrapText="1"/>
    </xf>
    <xf numFmtId="164" fontId="44" fillId="3" borderId="0" xfId="0" applyNumberFormat="1" applyFont="1" applyFill="1" applyAlignment="1">
      <alignment horizontal="right" wrapText="1"/>
    </xf>
    <xf numFmtId="164" fontId="44" fillId="3" borderId="17" xfId="0" applyNumberFormat="1" applyFont="1" applyFill="1" applyBorder="1" applyAlignment="1">
      <alignment horizontal="right" wrapText="1"/>
    </xf>
    <xf numFmtId="4" fontId="65" fillId="0" borderId="5" xfId="0" applyNumberFormat="1" applyFont="1" applyBorder="1" applyAlignment="1">
      <alignment horizontal="left" vertical="center"/>
    </xf>
    <xf numFmtId="4" fontId="65" fillId="0" borderId="6" xfId="0" applyNumberFormat="1" applyFont="1" applyBorder="1" applyAlignment="1">
      <alignment horizontal="left" vertical="center"/>
    </xf>
    <xf numFmtId="169" fontId="65" fillId="3" borderId="5" xfId="0" applyNumberFormat="1" applyFont="1" applyFill="1" applyBorder="1" applyAlignment="1">
      <alignment horizontal="left" vertical="center"/>
    </xf>
    <xf numFmtId="169" fontId="65" fillId="3" borderId="6" xfId="0" applyNumberFormat="1" applyFont="1" applyFill="1" applyBorder="1" applyAlignment="1">
      <alignment horizontal="left" vertical="center"/>
    </xf>
    <xf numFmtId="169" fontId="65" fillId="3" borderId="7" xfId="0" applyNumberFormat="1" applyFont="1" applyFill="1" applyBorder="1" applyAlignment="1">
      <alignment horizontal="left" vertical="center" wrapText="1"/>
    </xf>
    <xf numFmtId="165" fontId="44" fillId="3" borderId="0" xfId="0" applyNumberFormat="1" applyFont="1" applyFill="1" applyAlignment="1">
      <alignment horizontal="right" vertical="center"/>
    </xf>
    <xf numFmtId="164" fontId="44" fillId="3" borderId="17" xfId="0" applyNumberFormat="1" applyFont="1" applyFill="1" applyBorder="1" applyAlignment="1">
      <alignment horizontal="right" vertical="center"/>
    </xf>
    <xf numFmtId="14" fontId="65" fillId="0" borderId="5" xfId="0" applyNumberFormat="1" applyFont="1" applyBorder="1" applyAlignment="1">
      <alignment horizontal="left" vertical="center"/>
    </xf>
    <xf numFmtId="0" fontId="65" fillId="0" borderId="6" xfId="0" applyFont="1" applyBorder="1" applyAlignment="1">
      <alignment horizontal="left" vertical="center"/>
    </xf>
    <xf numFmtId="17" fontId="71" fillId="0" borderId="6" xfId="0" applyNumberFormat="1" applyFont="1" applyBorder="1" applyAlignment="1">
      <alignment horizontal="center" vertical="center"/>
    </xf>
    <xf numFmtId="164" fontId="71" fillId="0" borderId="7" xfId="0" applyNumberFormat="1" applyFont="1" applyBorder="1" applyAlignment="1">
      <alignment horizontal="center" vertical="center"/>
    </xf>
    <xf numFmtId="0" fontId="44" fillId="3" borderId="0" xfId="0" applyFont="1" applyFill="1" applyAlignment="1">
      <alignment horizontal="center" vertical="center"/>
    </xf>
    <xf numFmtId="0" fontId="44" fillId="3" borderId="0" xfId="0" applyFont="1" applyFill="1" applyAlignment="1">
      <alignment horizontal="left" vertical="center"/>
    </xf>
    <xf numFmtId="167" fontId="56" fillId="3" borderId="0" xfId="66" applyNumberFormat="1" applyFont="1" applyFill="1" applyAlignment="1">
      <alignment horizontal="center" vertical="center" wrapText="1"/>
    </xf>
    <xf numFmtId="43" fontId="19" fillId="12" borderId="1" xfId="40" applyFont="1" applyFill="1" applyBorder="1" applyAlignment="1">
      <alignment horizontal="center" vertical="center" wrapText="1"/>
    </xf>
    <xf numFmtId="0" fontId="19" fillId="12" borderId="1" xfId="66" applyFont="1" applyFill="1" applyBorder="1" applyAlignment="1">
      <alignment horizontal="center" vertical="center" wrapText="1"/>
    </xf>
    <xf numFmtId="4" fontId="19" fillId="12" borderId="1" xfId="58" applyNumberFormat="1" applyFont="1" applyFill="1" applyBorder="1" applyAlignment="1">
      <alignment horizontal="center" vertical="center"/>
    </xf>
    <xf numFmtId="0" fontId="19" fillId="12" borderId="1" xfId="58" applyFont="1" applyFill="1" applyBorder="1" applyAlignment="1">
      <alignment horizontal="center" vertical="center" wrapText="1"/>
    </xf>
    <xf numFmtId="4" fontId="19" fillId="12" borderId="1" xfId="58" applyNumberFormat="1" applyFont="1" applyFill="1" applyBorder="1" applyAlignment="1">
      <alignment horizontal="center" vertical="center" wrapText="1"/>
    </xf>
    <xf numFmtId="0" fontId="27" fillId="0" borderId="5" xfId="58" applyFont="1" applyBorder="1" applyAlignment="1">
      <alignment horizontal="right" vertical="center"/>
    </xf>
    <xf numFmtId="0" fontId="27" fillId="0" borderId="6" xfId="58" applyFont="1" applyBorder="1" applyAlignment="1">
      <alignment horizontal="right" vertical="center"/>
    </xf>
    <xf numFmtId="0" fontId="27" fillId="0" borderId="6" xfId="58" applyFont="1" applyBorder="1" applyAlignment="1">
      <alignment horizontal="center" vertical="center"/>
    </xf>
    <xf numFmtId="0" fontId="27" fillId="0" borderId="7" xfId="58" applyFont="1" applyBorder="1" applyAlignment="1">
      <alignment horizontal="right" vertical="center"/>
    </xf>
    <xf numFmtId="49" fontId="19" fillId="12" borderId="2" xfId="58" applyNumberFormat="1" applyFont="1" applyFill="1" applyBorder="1" applyAlignment="1">
      <alignment horizontal="center" vertical="center" wrapText="1"/>
    </xf>
    <xf numFmtId="49" fontId="19" fillId="12" borderId="19" xfId="58" applyNumberFormat="1" applyFont="1" applyFill="1" applyBorder="1" applyAlignment="1">
      <alignment horizontal="center" vertical="center" wrapText="1"/>
    </xf>
    <xf numFmtId="43" fontId="19" fillId="12" borderId="2" xfId="40" applyFont="1" applyFill="1" applyBorder="1" applyAlignment="1">
      <alignment horizontal="center" vertical="center" wrapText="1"/>
    </xf>
    <xf numFmtId="43" fontId="19" fillId="12" borderId="19" xfId="40" applyFont="1" applyFill="1" applyBorder="1" applyAlignment="1">
      <alignment horizontal="center" vertical="center" wrapText="1"/>
    </xf>
    <xf numFmtId="4" fontId="19" fillId="12" borderId="2" xfId="58" applyNumberFormat="1" applyFont="1" applyFill="1" applyBorder="1" applyAlignment="1">
      <alignment horizontal="center" vertical="center" wrapText="1"/>
    </xf>
    <xf numFmtId="4" fontId="19" fillId="12" borderId="19" xfId="58" applyNumberFormat="1" applyFont="1" applyFill="1" applyBorder="1" applyAlignment="1">
      <alignment horizontal="center" vertical="center" wrapText="1"/>
    </xf>
    <xf numFmtId="0" fontId="15" fillId="3" borderId="0" xfId="58" applyFont="1" applyFill="1" applyAlignment="1">
      <alignment horizontal="left" vertical="center"/>
    </xf>
    <xf numFmtId="0" fontId="15" fillId="3" borderId="0" xfId="58" applyFont="1" applyFill="1" applyAlignment="1">
      <alignment horizontal="center" vertical="center"/>
    </xf>
    <xf numFmtId="0" fontId="19" fillId="3" borderId="5" xfId="58" applyFont="1" applyFill="1" applyBorder="1" applyAlignment="1">
      <alignment horizontal="left" vertical="center"/>
    </xf>
    <xf numFmtId="0" fontId="19" fillId="3" borderId="6" xfId="58" applyFont="1" applyFill="1" applyBorder="1" applyAlignment="1">
      <alignment horizontal="left" vertical="center"/>
    </xf>
    <xf numFmtId="0" fontId="19" fillId="3" borderId="6" xfId="58" applyFont="1" applyFill="1" applyBorder="1" applyAlignment="1">
      <alignment horizontal="center" vertical="center"/>
    </xf>
    <xf numFmtId="0" fontId="19" fillId="3" borderId="7" xfId="58" applyFont="1" applyFill="1" applyBorder="1" applyAlignment="1">
      <alignment horizontal="left" vertical="center"/>
    </xf>
    <xf numFmtId="0" fontId="15" fillId="3" borderId="0" xfId="58" applyFont="1" applyFill="1" applyAlignment="1">
      <alignment horizontal="right" vertical="center" wrapText="1"/>
    </xf>
    <xf numFmtId="4" fontId="15" fillId="3" borderId="0" xfId="58" applyNumberFormat="1" applyFont="1" applyFill="1" applyAlignment="1">
      <alignment horizontal="right" vertical="center"/>
    </xf>
    <xf numFmtId="4" fontId="19" fillId="3" borderId="5" xfId="58" applyNumberFormat="1" applyFont="1" applyFill="1" applyBorder="1" applyAlignment="1">
      <alignment horizontal="right" vertical="center"/>
    </xf>
    <xf numFmtId="4" fontId="19" fillId="3" borderId="6" xfId="58" applyNumberFormat="1" applyFont="1" applyFill="1" applyBorder="1" applyAlignment="1">
      <alignment horizontal="right" vertical="center"/>
    </xf>
    <xf numFmtId="4" fontId="19" fillId="3" borderId="7" xfId="58" applyNumberFormat="1" applyFont="1" applyFill="1" applyBorder="1" applyAlignment="1">
      <alignment horizontal="right" vertical="center"/>
    </xf>
    <xf numFmtId="4" fontId="19" fillId="3" borderId="1" xfId="58" applyNumberFormat="1" applyFont="1" applyFill="1" applyBorder="1" applyAlignment="1">
      <alignment horizontal="right" vertical="center"/>
    </xf>
    <xf numFmtId="0" fontId="15" fillId="3" borderId="0" xfId="58" applyFont="1" applyFill="1" applyAlignment="1">
      <alignment horizontal="right" vertical="center"/>
    </xf>
    <xf numFmtId="17" fontId="15" fillId="3" borderId="0" xfId="58" quotePrefix="1" applyNumberFormat="1" applyFont="1" applyFill="1" applyAlignment="1">
      <alignment horizontal="right" vertical="center"/>
    </xf>
    <xf numFmtId="17" fontId="15" fillId="3" borderId="0" xfId="58" applyNumberFormat="1" applyFont="1" applyFill="1" applyAlignment="1">
      <alignment horizontal="right" vertical="center"/>
    </xf>
    <xf numFmtId="169" fontId="19" fillId="3" borderId="1" xfId="58" applyNumberFormat="1" applyFont="1" applyFill="1" applyBorder="1" applyAlignment="1">
      <alignment horizontal="right" vertical="center"/>
    </xf>
    <xf numFmtId="0" fontId="27" fillId="10" borderId="16" xfId="66" applyFont="1" applyFill="1" applyBorder="1" applyAlignment="1">
      <alignment horizontal="left" vertical="center"/>
    </xf>
    <xf numFmtId="0" fontId="27" fillId="10" borderId="15" xfId="66" applyFont="1" applyFill="1" applyBorder="1" applyAlignment="1">
      <alignment horizontal="left" vertical="center"/>
    </xf>
    <xf numFmtId="0" fontId="27" fillId="10" borderId="18" xfId="66" applyFont="1" applyFill="1" applyBorder="1" applyAlignment="1">
      <alignment horizontal="left" vertical="center"/>
    </xf>
    <xf numFmtId="0" fontId="19" fillId="0" borderId="5" xfId="0" applyFont="1" applyBorder="1" applyAlignment="1">
      <alignment horizontal="right" vertical="center"/>
    </xf>
    <xf numFmtId="0" fontId="19" fillId="0" borderId="6" xfId="0" applyFont="1" applyBorder="1" applyAlignment="1">
      <alignment horizontal="right" vertical="center"/>
    </xf>
    <xf numFmtId="0" fontId="19" fillId="0" borderId="7" xfId="0" applyFont="1" applyBorder="1" applyAlignment="1">
      <alignment horizontal="right" vertical="center"/>
    </xf>
    <xf numFmtId="0" fontId="18" fillId="3" borderId="1" xfId="0" applyFont="1" applyFill="1" applyBorder="1" applyAlignment="1">
      <alignment horizontal="left" vertical="center"/>
    </xf>
    <xf numFmtId="43" fontId="13" fillId="3" borderId="0" xfId="1" applyFont="1" applyFill="1" applyBorder="1" applyAlignment="1">
      <alignment horizontal="right" vertical="center" wrapText="1"/>
    </xf>
    <xf numFmtId="43" fontId="13" fillId="3" borderId="17" xfId="1" applyFont="1" applyFill="1" applyBorder="1" applyAlignment="1">
      <alignment horizontal="right" vertical="center" wrapText="1"/>
    </xf>
    <xf numFmtId="43" fontId="18" fillId="3" borderId="5" xfId="1" applyFont="1" applyFill="1" applyBorder="1" applyAlignment="1">
      <alignment horizontal="left" vertical="center"/>
    </xf>
    <xf numFmtId="43" fontId="18" fillId="3" borderId="6" xfId="1" applyFont="1" applyFill="1" applyBorder="1" applyAlignment="1">
      <alignment horizontal="left" vertical="center"/>
    </xf>
    <xf numFmtId="43" fontId="18" fillId="3" borderId="7" xfId="1" applyFont="1" applyFill="1" applyBorder="1" applyAlignment="1">
      <alignment horizontal="left" vertical="center"/>
    </xf>
    <xf numFmtId="43" fontId="18" fillId="3" borderId="5" xfId="1" applyFont="1" applyFill="1" applyBorder="1" applyAlignment="1">
      <alignment horizontal="center" vertical="center"/>
    </xf>
    <xf numFmtId="43" fontId="18" fillId="3" borderId="6" xfId="1" applyFont="1" applyFill="1" applyBorder="1" applyAlignment="1">
      <alignment horizontal="center" vertical="center"/>
    </xf>
    <xf numFmtId="43" fontId="18" fillId="3" borderId="7" xfId="1" applyFont="1" applyFill="1" applyBorder="1" applyAlignment="1">
      <alignment horizontal="center" vertical="center"/>
    </xf>
    <xf numFmtId="0" fontId="13" fillId="3" borderId="0" xfId="0" applyFont="1" applyFill="1" applyAlignment="1">
      <alignment horizontal="right" vertical="center"/>
    </xf>
    <xf numFmtId="0" fontId="13" fillId="3" borderId="17" xfId="0" applyFont="1" applyFill="1" applyBorder="1" applyAlignment="1">
      <alignment horizontal="right" vertical="center"/>
    </xf>
    <xf numFmtId="169" fontId="18" fillId="3" borderId="5" xfId="0" applyNumberFormat="1" applyFont="1" applyFill="1" applyBorder="1" applyAlignment="1">
      <alignment horizontal="right" vertical="center"/>
    </xf>
    <xf numFmtId="169" fontId="18" fillId="3" borderId="6" xfId="0" applyNumberFormat="1" applyFont="1" applyFill="1" applyBorder="1" applyAlignment="1">
      <alignment horizontal="right" vertical="center"/>
    </xf>
    <xf numFmtId="169" fontId="18" fillId="3" borderId="7" xfId="0" applyNumberFormat="1" applyFont="1" applyFill="1" applyBorder="1" applyAlignment="1">
      <alignment horizontal="right" vertical="center"/>
    </xf>
    <xf numFmtId="0" fontId="11" fillId="9" borderId="10" xfId="0" applyFont="1" applyFill="1" applyBorder="1" applyAlignment="1">
      <alignment vertical="center" wrapText="1"/>
    </xf>
    <xf numFmtId="0" fontId="11" fillId="9" borderId="11" xfId="0" applyFont="1" applyFill="1" applyBorder="1" applyAlignment="1">
      <alignment vertical="center" wrapText="1"/>
    </xf>
    <xf numFmtId="0" fontId="11" fillId="9" borderId="14" xfId="0" applyFont="1" applyFill="1" applyBorder="1" applyAlignment="1">
      <alignmen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4" fillId="2" borderId="2" xfId="66" applyFont="1" applyFill="1" applyBorder="1" applyAlignment="1">
      <alignment horizontal="left" vertical="center" wrapText="1"/>
    </xf>
    <xf numFmtId="0" fontId="4" fillId="2" borderId="3" xfId="66" applyFont="1" applyFill="1" applyBorder="1" applyAlignment="1">
      <alignment horizontal="left" vertical="center" wrapText="1"/>
    </xf>
    <xf numFmtId="0" fontId="8" fillId="2" borderId="5" xfId="66" applyFont="1" applyFill="1" applyBorder="1" applyAlignment="1">
      <alignment horizontal="center" vertical="center" wrapText="1"/>
    </xf>
    <xf numFmtId="0" fontId="8" fillId="2" borderId="6" xfId="66" applyFont="1" applyFill="1" applyBorder="1" applyAlignment="1">
      <alignment vertical="center" wrapText="1"/>
    </xf>
    <xf numFmtId="0" fontId="8" fillId="2" borderId="7" xfId="66" applyFont="1" applyFill="1" applyBorder="1" applyAlignment="1">
      <alignment horizontal="center" vertical="center" wrapText="1"/>
    </xf>
    <xf numFmtId="0" fontId="8" fillId="2" borderId="6" xfId="66" applyFont="1" applyFill="1" applyBorder="1" applyAlignment="1">
      <alignment horizontal="center" vertical="center" wrapText="1"/>
    </xf>
    <xf numFmtId="0" fontId="8" fillId="2" borderId="6" xfId="66" applyFont="1" applyFill="1" applyBorder="1" applyAlignment="1">
      <alignment horizontal="left" vertical="center" wrapText="1"/>
    </xf>
    <xf numFmtId="0" fontId="8" fillId="2" borderId="1" xfId="66" applyFont="1" applyFill="1" applyBorder="1" applyAlignment="1">
      <alignment horizontal="center" vertical="center" wrapText="1"/>
    </xf>
    <xf numFmtId="49" fontId="8" fillId="2" borderId="1" xfId="66" applyNumberFormat="1" applyFont="1" applyFill="1" applyBorder="1" applyAlignment="1">
      <alignment horizontal="center" vertical="center" wrapText="1"/>
    </xf>
    <xf numFmtId="0" fontId="8" fillId="2" borderId="2" xfId="66" applyFont="1" applyFill="1" applyBorder="1" applyAlignment="1">
      <alignment horizontal="center" vertical="center" wrapText="1"/>
    </xf>
    <xf numFmtId="0" fontId="8" fillId="2" borderId="3" xfId="66" applyFont="1" applyFill="1" applyBorder="1" applyAlignment="1">
      <alignment horizontal="center" vertical="center" wrapText="1"/>
    </xf>
    <xf numFmtId="164" fontId="8" fillId="2" borderId="1" xfId="66" applyNumberFormat="1" applyFont="1" applyFill="1" applyBorder="1" applyAlignment="1">
      <alignment horizontal="center" vertical="center" wrapText="1"/>
    </xf>
    <xf numFmtId="20" fontId="8" fillId="2" borderId="1" xfId="66" applyNumberFormat="1" applyFont="1" applyFill="1" applyBorder="1" applyAlignment="1">
      <alignment horizontal="center" vertical="center" wrapText="1"/>
    </xf>
    <xf numFmtId="165" fontId="8" fillId="2" borderId="1" xfId="66" applyNumberFormat="1" applyFont="1" applyFill="1" applyBorder="1" applyAlignment="1">
      <alignment horizontal="center" vertical="center" wrapText="1"/>
    </xf>
    <xf numFmtId="1" fontId="8" fillId="2" borderId="1" xfId="66" applyNumberFormat="1" applyFont="1" applyFill="1" applyBorder="1" applyAlignment="1">
      <alignment horizontal="center" vertical="center" wrapText="1"/>
    </xf>
  </cellXfs>
  <cellStyles count="114">
    <cellStyle name="20% - Accent1 2" xfId="3" xr:uid="{00000000-0005-0000-0000-000031000000}"/>
    <cellStyle name="20% - Accent2 2" xfId="4" xr:uid="{00000000-0005-0000-0000-000032000000}"/>
    <cellStyle name="20% - Accent3 2" xfId="5" xr:uid="{00000000-0005-0000-0000-000033000000}"/>
    <cellStyle name="20% - Accent4 2" xfId="6" xr:uid="{00000000-0005-0000-0000-000034000000}"/>
    <cellStyle name="20% - Accent5 2" xfId="7" xr:uid="{00000000-0005-0000-0000-000035000000}"/>
    <cellStyle name="20% - Accent6 2" xfId="8" xr:uid="{00000000-0005-0000-0000-000036000000}"/>
    <cellStyle name="40% - Accent1 2" xfId="9" xr:uid="{00000000-0005-0000-0000-000037000000}"/>
    <cellStyle name="40% - Accent2 2" xfId="10" xr:uid="{00000000-0005-0000-0000-000038000000}"/>
    <cellStyle name="40% - Accent3 2" xfId="11" xr:uid="{00000000-0005-0000-0000-000039000000}"/>
    <cellStyle name="40% - Accent4 2" xfId="12" xr:uid="{00000000-0005-0000-0000-00003A000000}"/>
    <cellStyle name="40% - Accent5 2" xfId="13" xr:uid="{00000000-0005-0000-0000-00003B000000}"/>
    <cellStyle name="40% - Accent6 2" xfId="14" xr:uid="{00000000-0005-0000-0000-00003C000000}"/>
    <cellStyle name="60% - Accent1 2" xfId="15" xr:uid="{00000000-0005-0000-0000-00003D000000}"/>
    <cellStyle name="60% - Accent1 3" xfId="16" xr:uid="{00000000-0005-0000-0000-00003E000000}"/>
    <cellStyle name="60% - Accent2 2" xfId="17" xr:uid="{00000000-0005-0000-0000-00003F000000}"/>
    <cellStyle name="60% - Accent2 3" xfId="18" xr:uid="{00000000-0005-0000-0000-000040000000}"/>
    <cellStyle name="60% - Accent3 2" xfId="19" xr:uid="{00000000-0005-0000-0000-000041000000}"/>
    <cellStyle name="60% - Accent3 3" xfId="20" xr:uid="{00000000-0005-0000-0000-000042000000}"/>
    <cellStyle name="60% - Accent4 2" xfId="21" xr:uid="{00000000-0005-0000-0000-000043000000}"/>
    <cellStyle name="60% - Accent4 3" xfId="22" xr:uid="{00000000-0005-0000-0000-000044000000}"/>
    <cellStyle name="60% - Accent5 2" xfId="23" xr:uid="{00000000-0005-0000-0000-000045000000}"/>
    <cellStyle name="60% - Accent5 3" xfId="24" xr:uid="{00000000-0005-0000-0000-000046000000}"/>
    <cellStyle name="60% - Accent6 2" xfId="25" xr:uid="{00000000-0005-0000-0000-000047000000}"/>
    <cellStyle name="60% - Accent6 3" xfId="26" xr:uid="{00000000-0005-0000-0000-000048000000}"/>
    <cellStyle name="Accent1 2" xfId="27" xr:uid="{00000000-0005-0000-0000-000049000000}"/>
    <cellStyle name="Accent2 2" xfId="28" xr:uid="{00000000-0005-0000-0000-00004A000000}"/>
    <cellStyle name="Accent3 2" xfId="29" xr:uid="{00000000-0005-0000-0000-00004B000000}"/>
    <cellStyle name="Accent4 2" xfId="30" xr:uid="{00000000-0005-0000-0000-00004C000000}"/>
    <cellStyle name="Accent5 2" xfId="31" xr:uid="{00000000-0005-0000-0000-00004D000000}"/>
    <cellStyle name="Accent6 2" xfId="32" xr:uid="{00000000-0005-0000-0000-00004E000000}"/>
    <cellStyle name="Bad 2" xfId="33" xr:uid="{00000000-0005-0000-0000-00004F000000}"/>
    <cellStyle name="Calculation 2" xfId="34" xr:uid="{00000000-0005-0000-0000-000050000000}"/>
    <cellStyle name="Check Cell 2" xfId="35" xr:uid="{00000000-0005-0000-0000-000051000000}"/>
    <cellStyle name="Comma" xfId="1" builtinId="3"/>
    <cellStyle name="Comma [0] 2" xfId="36" xr:uid="{00000000-0005-0000-0000-000052000000}"/>
    <cellStyle name="Comma 2" xfId="37" xr:uid="{00000000-0005-0000-0000-000053000000}"/>
    <cellStyle name="Comma 3" xfId="38" xr:uid="{00000000-0005-0000-0000-000054000000}"/>
    <cellStyle name="Comma 36" xfId="39" xr:uid="{00000000-0005-0000-0000-000055000000}"/>
    <cellStyle name="Comma 4" xfId="40" xr:uid="{00000000-0005-0000-0000-000056000000}"/>
    <cellStyle name="Comma 42" xfId="41" xr:uid="{00000000-0005-0000-0000-000057000000}"/>
    <cellStyle name="Comma 43" xfId="42" xr:uid="{00000000-0005-0000-0000-000058000000}"/>
    <cellStyle name="Explanatory Text 2" xfId="43" xr:uid="{00000000-0005-0000-0000-000059000000}"/>
    <cellStyle name="Good 2" xfId="44" xr:uid="{00000000-0005-0000-0000-00005A000000}"/>
    <cellStyle name="Heading 1 2" xfId="45" xr:uid="{00000000-0005-0000-0000-00005B000000}"/>
    <cellStyle name="Heading 2 2" xfId="46" xr:uid="{00000000-0005-0000-0000-00005C000000}"/>
    <cellStyle name="Heading 3 2" xfId="47" xr:uid="{00000000-0005-0000-0000-00005D000000}"/>
    <cellStyle name="Heading 4 2" xfId="48" xr:uid="{00000000-0005-0000-0000-00005E000000}"/>
    <cellStyle name="Input 2" xfId="49" xr:uid="{00000000-0005-0000-0000-00005F000000}"/>
    <cellStyle name="Linked Cell 2" xfId="50" xr:uid="{00000000-0005-0000-0000-000060000000}"/>
    <cellStyle name="Neutral 2" xfId="51" xr:uid="{00000000-0005-0000-0000-000061000000}"/>
    <cellStyle name="Neutral 3" xfId="52" xr:uid="{00000000-0005-0000-0000-000062000000}"/>
    <cellStyle name="Normal" xfId="0" builtinId="0"/>
    <cellStyle name="Normal 10" xfId="53" xr:uid="{00000000-0005-0000-0000-000063000000}"/>
    <cellStyle name="Normal 11" xfId="54" xr:uid="{00000000-0005-0000-0000-000064000000}"/>
    <cellStyle name="Normal 12" xfId="55" xr:uid="{00000000-0005-0000-0000-000065000000}"/>
    <cellStyle name="Normal 13" xfId="56" xr:uid="{00000000-0005-0000-0000-000066000000}"/>
    <cellStyle name="Normal 14" xfId="57" xr:uid="{00000000-0005-0000-0000-000067000000}"/>
    <cellStyle name="Normal 15" xfId="58" xr:uid="{00000000-0005-0000-0000-000068000000}"/>
    <cellStyle name="Normal 16" xfId="59" xr:uid="{00000000-0005-0000-0000-000069000000}"/>
    <cellStyle name="Normal 17 2 3" xfId="60" xr:uid="{00000000-0005-0000-0000-00006A000000}"/>
    <cellStyle name="Normal 17 2 3 2" xfId="61" xr:uid="{00000000-0005-0000-0000-00006B000000}"/>
    <cellStyle name="Normal 18" xfId="62" xr:uid="{00000000-0005-0000-0000-00006C000000}"/>
    <cellStyle name="Normal 19" xfId="63" xr:uid="{00000000-0005-0000-0000-00006D000000}"/>
    <cellStyle name="Normal 2" xfId="64" xr:uid="{00000000-0005-0000-0000-00006E000000}"/>
    <cellStyle name="Normal 2 2" xfId="65" xr:uid="{00000000-0005-0000-0000-00006F000000}"/>
    <cellStyle name="Normal 2 2 2" xfId="66" xr:uid="{00000000-0005-0000-0000-000070000000}"/>
    <cellStyle name="Normal 2 2 3" xfId="67" xr:uid="{00000000-0005-0000-0000-000071000000}"/>
    <cellStyle name="Normal 2 3" xfId="68" xr:uid="{00000000-0005-0000-0000-000072000000}"/>
    <cellStyle name="Normal 2 4" xfId="69" xr:uid="{00000000-0005-0000-0000-000073000000}"/>
    <cellStyle name="Normal 2 5" xfId="70" xr:uid="{00000000-0005-0000-0000-000074000000}"/>
    <cellStyle name="Normal 2 6" xfId="71" xr:uid="{00000000-0005-0000-0000-000075000000}"/>
    <cellStyle name="Normal 2 7" xfId="72" xr:uid="{00000000-0005-0000-0000-000076000000}"/>
    <cellStyle name="Normal 2 8" xfId="73" xr:uid="{00000000-0005-0000-0000-000077000000}"/>
    <cellStyle name="Normal 20" xfId="74" xr:uid="{00000000-0005-0000-0000-000078000000}"/>
    <cellStyle name="Normal 21" xfId="75" xr:uid="{00000000-0005-0000-0000-000079000000}"/>
    <cellStyle name="Normal 22" xfId="76" xr:uid="{00000000-0005-0000-0000-00007A000000}"/>
    <cellStyle name="Normal 23" xfId="77" xr:uid="{00000000-0005-0000-0000-00007B000000}"/>
    <cellStyle name="Normal 24" xfId="78" xr:uid="{00000000-0005-0000-0000-00007C000000}"/>
    <cellStyle name="Normal 25" xfId="79" xr:uid="{00000000-0005-0000-0000-00007D000000}"/>
    <cellStyle name="Normal 26" xfId="80" xr:uid="{00000000-0005-0000-0000-00007E000000}"/>
    <cellStyle name="Normal 27" xfId="81" xr:uid="{00000000-0005-0000-0000-00007F000000}"/>
    <cellStyle name="Normal 28" xfId="82" xr:uid="{00000000-0005-0000-0000-000080000000}"/>
    <cellStyle name="Normal 29" xfId="83" xr:uid="{00000000-0005-0000-0000-000081000000}"/>
    <cellStyle name="Normal 3" xfId="84" xr:uid="{00000000-0005-0000-0000-000082000000}"/>
    <cellStyle name="Normal 3 2" xfId="85" xr:uid="{00000000-0005-0000-0000-000083000000}"/>
    <cellStyle name="Normal 30" xfId="86" xr:uid="{00000000-0005-0000-0000-000084000000}"/>
    <cellStyle name="Normal 31" xfId="87" xr:uid="{00000000-0005-0000-0000-000085000000}"/>
    <cellStyle name="Normal 32" xfId="88" xr:uid="{00000000-0005-0000-0000-000086000000}"/>
    <cellStyle name="Normal 33" xfId="89" xr:uid="{00000000-0005-0000-0000-000087000000}"/>
    <cellStyle name="Normal 35" xfId="90" xr:uid="{00000000-0005-0000-0000-000088000000}"/>
    <cellStyle name="Normal 36" xfId="91" xr:uid="{00000000-0005-0000-0000-000089000000}"/>
    <cellStyle name="Normal 37" xfId="92" xr:uid="{00000000-0005-0000-0000-00008A000000}"/>
    <cellStyle name="Normal 38" xfId="93" xr:uid="{00000000-0005-0000-0000-00008B000000}"/>
    <cellStyle name="Normal 39" xfId="94" xr:uid="{00000000-0005-0000-0000-00008C000000}"/>
    <cellStyle name="Normal 4" xfId="95" xr:uid="{00000000-0005-0000-0000-00008D000000}"/>
    <cellStyle name="Normal 4 2" xfId="96" xr:uid="{00000000-0005-0000-0000-00008E000000}"/>
    <cellStyle name="Normal 40" xfId="97" xr:uid="{00000000-0005-0000-0000-00008F000000}"/>
    <cellStyle name="Normal 41" xfId="98" xr:uid="{00000000-0005-0000-0000-000090000000}"/>
    <cellStyle name="Normal 42" xfId="99" xr:uid="{00000000-0005-0000-0000-000091000000}"/>
    <cellStyle name="Normal 43" xfId="100" xr:uid="{00000000-0005-0000-0000-000092000000}"/>
    <cellStyle name="Normal 44" xfId="101" xr:uid="{00000000-0005-0000-0000-000093000000}"/>
    <cellStyle name="Normal 45" xfId="102" xr:uid="{00000000-0005-0000-0000-000094000000}"/>
    <cellStyle name="Normal 5" xfId="103" xr:uid="{00000000-0005-0000-0000-000095000000}"/>
    <cellStyle name="Normal 5 2" xfId="104" xr:uid="{00000000-0005-0000-0000-000096000000}"/>
    <cellStyle name="Normal 6" xfId="105" xr:uid="{00000000-0005-0000-0000-000097000000}"/>
    <cellStyle name="Normal 7" xfId="106" xr:uid="{00000000-0005-0000-0000-000098000000}"/>
    <cellStyle name="Normal 8" xfId="107" xr:uid="{00000000-0005-0000-0000-000099000000}"/>
    <cellStyle name="Normal 9" xfId="108" xr:uid="{00000000-0005-0000-0000-00009A000000}"/>
    <cellStyle name="Note 2" xfId="109" xr:uid="{00000000-0005-0000-0000-00009B000000}"/>
    <cellStyle name="Output 2" xfId="110" xr:uid="{00000000-0005-0000-0000-00009C000000}"/>
    <cellStyle name="Percent" xfId="2" builtinId="5"/>
    <cellStyle name="Title 2" xfId="111" xr:uid="{00000000-0005-0000-0000-00009D000000}"/>
    <cellStyle name="Total 2" xfId="112" xr:uid="{00000000-0005-0000-0000-00009E000000}"/>
    <cellStyle name="Warning Text 2" xfId="113" xr:uid="{00000000-0005-0000-0000-00009F000000}"/>
  </cellStyles>
  <dxfs count="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7C80"/>
      <color rgb="FFFF99CC"/>
      <color rgb="FFFF00FF"/>
      <color rgb="FF33CCFF"/>
      <color rgb="FF00FFFF"/>
      <color rgb="FFFFFF99"/>
      <color rgb="FF89E0FF"/>
      <color rgb="FF00CCFF"/>
      <color rgb="FFFFCC99"/>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www.wps.cn/officeDocument/2021/sharedlinks" Target="NUL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6</xdr:col>
      <xdr:colOff>296575</xdr:colOff>
      <xdr:row>0</xdr:row>
      <xdr:rowOff>0</xdr:rowOff>
    </xdr:from>
    <xdr:to>
      <xdr:col>7</xdr:col>
      <xdr:colOff>107156</xdr:colOff>
      <xdr:row>0</xdr:row>
      <xdr:rowOff>626207</xdr:rowOff>
    </xdr:to>
    <xdr:pic>
      <xdr:nvPicPr>
        <xdr:cNvPr id="2" name="Picture 7" descr="log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647055" y="0"/>
          <a:ext cx="927100" cy="626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428344</xdr:colOff>
      <xdr:row>0</xdr:row>
      <xdr:rowOff>0</xdr:rowOff>
    </xdr:from>
    <xdr:to>
      <xdr:col>9</xdr:col>
      <xdr:colOff>2400019</xdr:colOff>
      <xdr:row>1</xdr:row>
      <xdr:rowOff>95250</xdr:rowOff>
    </xdr:to>
    <xdr:pic>
      <xdr:nvPicPr>
        <xdr:cNvPr id="2" name="Picture 7" descr="logo">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2658665" y="0"/>
          <a:ext cx="1971675"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56321" name="Object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6</xdr:col>
      <xdr:colOff>924198</xdr:colOff>
      <xdr:row>0</xdr:row>
      <xdr:rowOff>307975</xdr:rowOff>
    </xdr:from>
    <xdr:to>
      <xdr:col>6</xdr:col>
      <xdr:colOff>2422523</xdr:colOff>
      <xdr:row>1</xdr:row>
      <xdr:rowOff>860426</xdr:rowOff>
    </xdr:to>
    <xdr:pic>
      <xdr:nvPicPr>
        <xdr:cNvPr id="2" name="Picture 7" descr="logo">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6350615" y="307975"/>
          <a:ext cx="149796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178926</xdr:colOff>
      <xdr:row>0</xdr:row>
      <xdr:rowOff>185788</xdr:rowOff>
    </xdr:from>
    <xdr:to>
      <xdr:col>15</xdr:col>
      <xdr:colOff>419962</xdr:colOff>
      <xdr:row>0</xdr:row>
      <xdr:rowOff>988609</xdr:rowOff>
    </xdr:to>
    <xdr:pic>
      <xdr:nvPicPr>
        <xdr:cNvPr id="2" name="Picture 7" descr="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02676" y="185788"/>
          <a:ext cx="1743869"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541259</xdr:colOff>
      <xdr:row>0</xdr:row>
      <xdr:rowOff>435428</xdr:rowOff>
    </xdr:from>
    <xdr:to>
      <xdr:col>7</xdr:col>
      <xdr:colOff>79376</xdr:colOff>
      <xdr:row>0</xdr:row>
      <xdr:rowOff>1211035</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077342" y="435428"/>
          <a:ext cx="1771201" cy="775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ablet/Download/C:/tablet/Download/PC1/Users/Salasiah/Desktop/EO%202/SEPTEMBER/BPA/EO/Deduction/NONIE%20BAGI/SK%20Pendrive/nana/PERFORMANCE%20REPORT/BPA/2011/repot%20team%202010/DATABASE%20MASTER/dak%20man/OUTSTANDING%20PAYMENT/TOTAL%20OUTSTANDING%20PAYMENT%20(Ogos08).xls" TargetMode="External"/><Relationship Id="rId2" Type="http://schemas.microsoft.com/office/2019/04/relationships/externalLinkLongPath" Target="/tablet/Download/C:/tablet/Download/PC1/Users/Salasiah/Desktop/EO%202/SEPTEMBER/BPA/EO/Deduction/NONIE%20BAGI/SK%20Pendrive/nana/PERFORMANCE%20REPORT/BPA/2011/repot%20team%202010/DATABASE%20MASTER/dak%20man/OUTSTANDING%20PAYMENT/TOTAL%20OUTSTANDING%20PAYMENT%20(Ogos08).xls?5D3F9A08" TargetMode="External"/><Relationship Id="rId1" Type="http://schemas.openxmlformats.org/officeDocument/2006/relationships/externalLinkPath" Target="file:///\\5D3F9A08\TOTAL%20OUTSTANDING%20PAYMENT%20(Ogos08).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tablet/Download/C:/tablet/Download/Quinnie/DRAFT%20FOLDER/Cost%20estimate/NIF%20RMSB%2026.12.2002/VO%20-%20RMSB%20FEMS%2026.12.2002%20CFRates.xls" TargetMode="External"/><Relationship Id="rId1" Type="http://schemas.openxmlformats.org/officeDocument/2006/relationships/externalLinkPath" Target="/tablet/Download/C:/tablet/Download/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tablet/Download/C:/tablet/Download/C:/Users/Head%20Of%20BEMS/Desktop/Document/mapping/LETTER/2024/MAPPING%20BEMS_IKN%20MAY%202024.xlsx" TargetMode="External"/><Relationship Id="rId1" Type="http://schemas.openxmlformats.org/officeDocument/2006/relationships/externalLinkPath" Target="/tablet/Download/C:/tablet/Download/C:/Users/Head%20Of%20BEMS/Desktop/Document/mapping/LETTER/2024/MAPPING%20BEMS_IKN%20MAY%2020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ablet/Download/C:/tablet/Download/02DAD46E/TOTAL%20OUTSTANDING%20PAYMENT%20(Ogos08).xls" TargetMode="External"/><Relationship Id="rId1" Type="http://schemas.openxmlformats.org/officeDocument/2006/relationships/externalLinkPath" Target="/tablet/Download/C:/tablet/Download/02DAD46E/TOTAL%20OUTSTANDING%20PAYMENT%20(Ogos08).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tablet/Download/C:/tablet/Download/PC2/Users/Public/Documents/MAPPING%20BEMS_IKN%20(Dec%202020)-1st%20draft%2006012021.xlsx" TargetMode="External"/><Relationship Id="rId1" Type="http://schemas.openxmlformats.org/officeDocument/2006/relationships/externalLinkPath" Target="/tablet/Download/C:/tablet/Download/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tablet/Download/C:/tablet/Download/hq/medivest/Users/acer/Documents/data%20laptop%20apsb%20latest/lain-lain%202012/Yearly%20Planner%202013%20SBN.xls" TargetMode="External"/><Relationship Id="rId1" Type="http://schemas.openxmlformats.org/officeDocument/2006/relationships/externalLinkPath" Target="/tablet/Download/C:/tablet/Download/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tablet/Download/C:/tablet/Download/hq/medivest/Users/AP%20KLG/Documents/data%20laptop%20apsb%20latest@120413/folder%20for%20staff%20contract%20(ira)/warranty/yearly%20planner%202013%20as%20at%2019_2_13.xls" TargetMode="External"/><Relationship Id="rId1" Type="http://schemas.openxmlformats.org/officeDocument/2006/relationships/externalLinkPath" Target="/tablet/Download/C:/tablet/Download/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tablet/Download/C:/tablet/Download/C:/Users/user/AppData/Local/Microsoft/Windows/INetCache/Content.Outlook/P1J7AALU/MAPPING%20BEMS_IKN%20DEC%202023.xlsx" TargetMode="External"/><Relationship Id="rId1" Type="http://schemas.openxmlformats.org/officeDocument/2006/relationships/externalLinkPath" Target="/tablet/Download/C:/tablet/Download/C:/Users/user/AppData/Local/Microsoft/Windows/INetCache/Content.Outlook/P1J7AALU/MAPPING%20BEMS_IKN%20DEC%202023.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tablet/Download/C:/tablet/Download/C:/Users/user/AppData/Local/Microsoft/Windows/INetCache/Content.Outlook/S9UTTOG3/MAPPING%20MAY%202024%20B3.xlsx" TargetMode="External"/><Relationship Id="rId1" Type="http://schemas.openxmlformats.org/officeDocument/2006/relationships/externalLinkPath" Target="/tablet/Download/C:/tablet/Download/C:/Users/user/AppData/Local/Microsoft/Windows/INetCache/Content.Outlook/S9UTTOG3/MAPPING%20MAY%202024%20B3.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tablet/Download/C:/tablet/Download/C:/Users/Head%20Of%20BEMS/Desktop/Document/mapping/LETTER/2024/MAPPING%20BEMS_IKN%20FEB%202024.xlsx" TargetMode="External"/><Relationship Id="rId1" Type="http://schemas.openxmlformats.org/officeDocument/2006/relationships/externalLinkPath" Target="/tablet/Download/C:/tablet/Download/C:/Users/Head%20Of%20BEMS/Desktop/Document/mapping/LETTER/2024/MAPPING%20BEMS_IKN%20FEB%202024.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tablet/Download/C:/tablet/Download/C:/Users/User/Desktop/MAPPING%20PREVCM/MAPPING%20BEMS%20MAY%202025.xlsx" TargetMode="External"/><Relationship Id="rId1" Type="http://schemas.openxmlformats.org/officeDocument/2006/relationships/externalLinkPath" Target="/tablet/Download/C:/tablet/Download/C:/Users/User/Desktop/MAPPING%20PREVCM/MAPPING%20BEMS%20MAY%202025.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tablet/Download/C:/tablet/Download/PC1/Users/CC%20copy's/Simulation%20on%20Taiping/DAR_HWMS%20sample.xls" TargetMode="External"/><Relationship Id="rId1" Type="http://schemas.openxmlformats.org/officeDocument/2006/relationships/externalLinkPath" Target="/tablet/Download/C:/tablet/Download/PC1/Users/CC%20copy's/Simulation%20on%20Taiping/DAR_HWMS%20sample.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tablet/Download/C:/tablet/Download/C:/Users/User/Desktop/DAILY%20LOG%20IKN/ASSET%20MASTERLIST%20NCI/Asset%20Masterlist%20NCI%20update%2029112024.xlsx" TargetMode="External"/><Relationship Id="rId1" Type="http://schemas.openxmlformats.org/officeDocument/2006/relationships/externalLinkPath" Target="/tablet/Download/C:/tablet/Download/C:/Users/User/Desktop/DAILY%20LOG%20IKN/ASSET%20MASTERLIST%20NCI/Asset%20Masterlist%20NCI%20update%2029112024.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tablet/Download/C:/tablet/Download/C:/Users/User/Downloads/MAPPING_BEMS_AUG_2025%20(2).xlsx" TargetMode="External"/><Relationship Id="rId1" Type="http://schemas.openxmlformats.org/officeDocument/2006/relationships/externalLinkPath" Target="/tablet/Download/C:/tablet/Download/C:/Users/User/Downloads/MAPPING_BEMS_AUG_2025%20(2).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tablet/Download/D:/Desktop/Document/mapping/LETTER/2026/MAPPING_BEMS_JAN_2026.xlsx" TargetMode="External"/><Relationship Id="rId1" Type="http://schemas.openxmlformats.org/officeDocument/2006/relationships/externalLinkPath" Target="/tablet/Download/D:/Desktop/Document/mapping/LETTER/2026/MAPPING_BEMS_JAN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sheetName val="B3-SCHEDULED"/>
      <sheetName val="B4-UPTIME "/>
      <sheetName val="B4-UPTIME updated"/>
      <sheetName val="B5-T&amp;C"/>
      <sheetName val="Sheet1 "/>
      <sheetName val="Sheet1"/>
      <sheetName val="Sheet2"/>
      <sheetName val="BEM1/25Sdar"/>
    </sheetNames>
    <sheetDataSet>
      <sheetData sheetId="0"/>
      <sheetData sheetId="1"/>
      <sheetData sheetId="2"/>
      <sheetData sheetId="3">
        <row r="8">
          <cell r="L8">
            <v>45443</v>
          </cell>
        </row>
      </sheetData>
      <sheetData sheetId="4"/>
      <sheetData sheetId="5"/>
      <sheetData sheetId="6"/>
      <sheetData sheetId="7"/>
      <sheetData sheetId="8"/>
      <sheetData sheetId="9"/>
      <sheetData sheetId="10"/>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3-SCHEDULED (2)"/>
      <sheetName val="KDI"/>
      <sheetName val="Public Holiday"/>
      <sheetName val="BEMSdar"/>
      <sheetName val="B1&amp; B2 UNSCHEDULED"/>
      <sheetName val="B3-SCHEDULED "/>
      <sheetName val="B4-UPTIME "/>
      <sheetName val="B5-T&amp;C"/>
      <sheetName val="Sheet1"/>
      <sheetName val="Sheet2"/>
      <sheetName val="B3-SCHEDULED"/>
      <sheetName val="B4-UPTIME"/>
      <sheetName val="B5-T&amp;C (UPDATE)"/>
    </sheetNames>
    <sheetDataSet>
      <sheetData sheetId="0"/>
      <sheetData sheetId="1" refreshError="1"/>
      <sheetData sheetId="2">
        <row r="3">
          <cell r="A3">
            <v>44927</v>
          </cell>
        </row>
        <row r="4">
          <cell r="A4">
            <v>45292</v>
          </cell>
        </row>
        <row r="5">
          <cell r="A5">
            <v>44928</v>
          </cell>
        </row>
        <row r="6">
          <cell r="A6">
            <v>45316</v>
          </cell>
        </row>
        <row r="7">
          <cell r="A7">
            <v>44948</v>
          </cell>
        </row>
        <row r="8">
          <cell r="A8">
            <v>45323</v>
          </cell>
        </row>
        <row r="9">
          <cell r="A9">
            <v>44584</v>
          </cell>
        </row>
        <row r="10">
          <cell r="A10">
            <v>45332</v>
          </cell>
        </row>
        <row r="11">
          <cell r="A11">
            <v>44585</v>
          </cell>
        </row>
        <row r="12">
          <cell r="A12">
            <v>45333</v>
          </cell>
        </row>
        <row r="13">
          <cell r="A13">
            <v>44958</v>
          </cell>
        </row>
        <row r="14">
          <cell r="A14">
            <v>45334</v>
          </cell>
        </row>
        <row r="15">
          <cell r="A15">
            <v>44962</v>
          </cell>
        </row>
        <row r="16">
          <cell r="A16">
            <v>45379</v>
          </cell>
        </row>
        <row r="17">
          <cell r="A17">
            <v>44963</v>
          </cell>
        </row>
        <row r="18">
          <cell r="A18">
            <v>45392</v>
          </cell>
        </row>
        <row r="19">
          <cell r="A19">
            <v>45024</v>
          </cell>
        </row>
        <row r="20">
          <cell r="A20">
            <v>45393</v>
          </cell>
        </row>
        <row r="21">
          <cell r="A21">
            <v>45037</v>
          </cell>
        </row>
        <row r="22">
          <cell r="A22">
            <v>45413</v>
          </cell>
        </row>
        <row r="23">
          <cell r="A23">
            <v>45038</v>
          </cell>
        </row>
        <row r="24">
          <cell r="A24">
            <v>45434</v>
          </cell>
        </row>
        <row r="25">
          <cell r="A25">
            <v>45039</v>
          </cell>
        </row>
        <row r="26">
          <cell r="A26">
            <v>45446</v>
          </cell>
        </row>
        <row r="27">
          <cell r="A27">
            <v>45040</v>
          </cell>
        </row>
        <row r="28">
          <cell r="A28">
            <v>45460</v>
          </cell>
        </row>
        <row r="29">
          <cell r="A29">
            <v>45047</v>
          </cell>
        </row>
        <row r="30">
          <cell r="A30">
            <v>45480</v>
          </cell>
        </row>
        <row r="31">
          <cell r="A31">
            <v>45050</v>
          </cell>
        </row>
        <row r="32">
          <cell r="A32">
            <v>45481</v>
          </cell>
        </row>
        <row r="33">
          <cell r="A33">
            <v>45082</v>
          </cell>
        </row>
        <row r="34">
          <cell r="A34">
            <v>45535</v>
          </cell>
        </row>
        <row r="35">
          <cell r="A35">
            <v>45106</v>
          </cell>
        </row>
        <row r="36">
          <cell r="A36">
            <v>45551</v>
          </cell>
        </row>
        <row r="37">
          <cell r="A37">
            <v>45126</v>
          </cell>
        </row>
        <row r="38">
          <cell r="A38">
            <v>45551</v>
          </cell>
        </row>
        <row r="39">
          <cell r="A39">
            <v>45169</v>
          </cell>
        </row>
        <row r="40">
          <cell r="A40">
            <v>45552</v>
          </cell>
        </row>
        <row r="41">
          <cell r="A41">
            <v>45185</v>
          </cell>
        </row>
        <row r="42">
          <cell r="A42">
            <v>45596</v>
          </cell>
        </row>
        <row r="43">
          <cell r="A43">
            <v>45197</v>
          </cell>
        </row>
        <row r="44">
          <cell r="A44">
            <v>45651</v>
          </cell>
        </row>
        <row r="45">
          <cell r="A45">
            <v>45242</v>
          </cell>
        </row>
        <row r="47">
          <cell r="A47">
            <v>45243</v>
          </cell>
        </row>
        <row r="49">
          <cell r="A49">
            <v>45285</v>
          </cell>
        </row>
      </sheetData>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hantar"/>
      <sheetName val="B3-SCHEDULED (2)"/>
      <sheetName val="B3-SCHEDULED"/>
      <sheetName val="B5-T&amp;C"/>
      <sheetName val="B4-UPTIME"/>
      <sheetName val="Sheet1"/>
      <sheetName val="Sheet2"/>
    </sheetNames>
    <sheetDataSet>
      <sheetData sheetId="0" refreshError="1"/>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sheetName val="B3-SCHEDULED"/>
      <sheetName val="B4-UPTIME"/>
      <sheetName val="B4-UPTIME updated"/>
      <sheetName val="B5-T&amp;C"/>
      <sheetName val="Sheet1"/>
      <sheetName val="Sheet2"/>
    </sheetNames>
    <sheetDataSet>
      <sheetData sheetId="0"/>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sheetData sheetId="4"/>
      <sheetData sheetId="5"/>
      <sheetData sheetId="6"/>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sheetName val="B3-SCHEDULED  (MAY)"/>
      <sheetName val="B4-UPTIME"/>
      <sheetName val="B5-T&amp;C"/>
      <sheetName val="Sheet1"/>
      <sheetName val="Sheet2"/>
    </sheetNames>
    <sheetDataSet>
      <sheetData sheetId="0" refreshError="1"/>
      <sheetData sheetId="1">
        <row r="4">
          <cell r="A4">
            <v>45658</v>
          </cell>
        </row>
        <row r="6">
          <cell r="A6">
            <v>45686</v>
          </cell>
        </row>
        <row r="8">
          <cell r="A8">
            <v>45687</v>
          </cell>
        </row>
        <row r="10">
          <cell r="A10">
            <v>45689</v>
          </cell>
        </row>
        <row r="12">
          <cell r="A12">
            <v>45699</v>
          </cell>
        </row>
        <row r="14">
          <cell r="A14">
            <v>45734</v>
          </cell>
        </row>
        <row r="16">
          <cell r="A16">
            <v>45748</v>
          </cell>
        </row>
        <row r="18">
          <cell r="A18">
            <v>45749</v>
          </cell>
        </row>
        <row r="20">
          <cell r="A20">
            <v>45778</v>
          </cell>
        </row>
        <row r="22">
          <cell r="A22">
            <v>45789</v>
          </cell>
        </row>
        <row r="24">
          <cell r="A24">
            <v>45810</v>
          </cell>
        </row>
        <row r="26">
          <cell r="A26">
            <v>45815</v>
          </cell>
        </row>
        <row r="28">
          <cell r="A28">
            <v>45816</v>
          </cell>
        </row>
        <row r="30">
          <cell r="A30">
            <v>45835</v>
          </cell>
        </row>
        <row r="32">
          <cell r="A32">
            <v>45900</v>
          </cell>
        </row>
        <row r="34">
          <cell r="A34">
            <v>45901</v>
          </cell>
        </row>
        <row r="36">
          <cell r="A36">
            <v>45905</v>
          </cell>
        </row>
        <row r="38">
          <cell r="A38">
            <v>45916</v>
          </cell>
        </row>
        <row r="40">
          <cell r="A40">
            <v>45950</v>
          </cell>
        </row>
        <row r="42">
          <cell r="A42">
            <v>46016</v>
          </cell>
        </row>
      </sheetData>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WMS 1"/>
      <sheetName val="HWMS 2"/>
    </sheetNames>
    <sheetDataSet>
      <sheetData sheetId="0"/>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etDetails_UEM"/>
      <sheetName val="NW"/>
      <sheetName val="AUDIT"/>
    </sheetNames>
    <sheetDataSet>
      <sheetData sheetId="0" refreshError="1">
        <row r="3">
          <cell r="A3" t="str">
            <v>IKN400557</v>
          </cell>
          <cell r="B3">
            <v>557</v>
          </cell>
          <cell r="C3" t="str">
            <v>Institut Kanser Negara</v>
          </cell>
          <cell r="D3" t="str">
            <v>KKM/IKN/H/17/9</v>
          </cell>
          <cell r="E3" t="str">
            <v>10-208</v>
          </cell>
          <cell r="F3" t="str">
            <v>Aspirators</v>
          </cell>
          <cell r="G3" t="str">
            <v>MC</v>
          </cell>
          <cell r="H3" t="str">
            <v>MULTI-DISCIPLINE CLINIC</v>
          </cell>
          <cell r="I3" t="str">
            <v>03MC107</v>
          </cell>
          <cell r="J3" t="str">
            <v>TREATMENT 1</v>
          </cell>
          <cell r="K3" t="str">
            <v>BMED</v>
          </cell>
          <cell r="L3" t="str">
            <v>Critical</v>
          </cell>
          <cell r="M3" t="str">
            <v>Italy</v>
          </cell>
          <cell r="N3" t="str">
            <v>Hospivac</v>
          </cell>
          <cell r="O3" t="str">
            <v>Hospivac 350</v>
          </cell>
          <cell r="P3" t="str">
            <v>140701786</v>
          </cell>
          <cell r="Q3" t="str">
            <v>Not Applicable</v>
          </cell>
          <cell r="R3" t="str">
            <v>Ca-Mi Snc</v>
          </cell>
          <cell r="S3" t="str">
            <v>ONE DENTAL SUPPLY AND MARKETING SDN BHD</v>
          </cell>
          <cell r="T3" t="str">
            <v>Functioning</v>
          </cell>
          <cell r="U3" t="str">
            <v>Asset</v>
          </cell>
          <cell r="V3">
            <v>4280</v>
          </cell>
          <cell r="W3" t="str">
            <v>KEW</v>
          </cell>
          <cell r="X3" t="str">
            <v>27/09/2017</v>
          </cell>
          <cell r="Y3" t="str">
            <v>KEW</v>
          </cell>
          <cell r="Z3" t="str">
            <v>13/11/2017</v>
          </cell>
          <cell r="AA3" t="str">
            <v>13/11/2018</v>
          </cell>
          <cell r="AB3" t="str">
            <v>No</v>
          </cell>
          <cell r="AC3" t="str">
            <v>13/11/2017</v>
          </cell>
          <cell r="AD3" t="str">
            <v>Good</v>
          </cell>
          <cell r="AE3" t="str">
            <v>V3 - Added Installed Facilities (New)</v>
          </cell>
          <cell r="AF3">
            <v>43404</v>
          </cell>
          <cell r="AG3">
            <v>2.17</v>
          </cell>
          <cell r="AH3" t="str">
            <v>PPM</v>
          </cell>
          <cell r="AI3" t="str">
            <v>Strands</v>
          </cell>
          <cell r="AJ3" t="str">
            <v>Strands PW</v>
          </cell>
          <cell r="AK3" t="str">
            <v>SNF received. 1st batch of V3 asset (December 2020)</v>
          </cell>
        </row>
        <row r="4">
          <cell r="A4" t="str">
            <v>IKN400558</v>
          </cell>
          <cell r="B4">
            <v>558</v>
          </cell>
          <cell r="C4" t="str">
            <v>Institut Kanser Negara</v>
          </cell>
          <cell r="D4" t="str">
            <v>KKM/IKN/H/17/12</v>
          </cell>
          <cell r="E4" t="str">
            <v>15-161</v>
          </cell>
          <cell r="F4" t="str">
            <v>Mixers, Clinical Laboratory</v>
          </cell>
          <cell r="G4" t="str">
            <v>MC</v>
          </cell>
          <cell r="H4" t="str">
            <v>MULTI-DISCIPLINE CLINIC</v>
          </cell>
          <cell r="I4" t="str">
            <v>03MC107</v>
          </cell>
          <cell r="J4" t="str">
            <v>TREATMENT 1</v>
          </cell>
          <cell r="K4" t="str">
            <v>BMED</v>
          </cell>
          <cell r="L4" t="str">
            <v>Normal</v>
          </cell>
          <cell r="M4" t="str">
            <v>USA</v>
          </cell>
          <cell r="N4" t="str">
            <v>Dentamerica</v>
          </cell>
          <cell r="O4" t="str">
            <v>Blendex</v>
          </cell>
          <cell r="P4" t="str">
            <v>G00097</v>
          </cell>
          <cell r="Q4" t="str">
            <v>Not Applicable</v>
          </cell>
          <cell r="R4" t="str">
            <v>Dentamerica</v>
          </cell>
          <cell r="S4" t="str">
            <v>One Dental Supply &amp; Marketing Sdn. Bhd.</v>
          </cell>
          <cell r="T4" t="str">
            <v>Functioning</v>
          </cell>
          <cell r="U4" t="str">
            <v>Asset</v>
          </cell>
          <cell r="V4">
            <v>3120</v>
          </cell>
          <cell r="W4" t="str">
            <v>KEW</v>
          </cell>
          <cell r="X4" t="str">
            <v>27/09/2017</v>
          </cell>
          <cell r="Y4" t="str">
            <v>KEW</v>
          </cell>
          <cell r="Z4" t="str">
            <v>28/11/2017</v>
          </cell>
          <cell r="AA4" t="str">
            <v>28/11/2018</v>
          </cell>
          <cell r="AB4" t="str">
            <v>No</v>
          </cell>
          <cell r="AC4" t="str">
            <v>28/11/2017</v>
          </cell>
          <cell r="AD4" t="str">
            <v>Good</v>
          </cell>
          <cell r="AE4" t="str">
            <v>V3 - Added Installed Facilities (New)</v>
          </cell>
          <cell r="AF4">
            <v>43404</v>
          </cell>
          <cell r="AG4">
            <v>2.17</v>
          </cell>
          <cell r="AH4" t="str">
            <v>PPM</v>
          </cell>
          <cell r="AI4" t="str">
            <v>Strands</v>
          </cell>
          <cell r="AJ4" t="str">
            <v>Strands PW</v>
          </cell>
          <cell r="AK4" t="str">
            <v>SNF received. 1st batch of V3 asset (December 2020)</v>
          </cell>
        </row>
        <row r="5">
          <cell r="A5" t="str">
            <v>IKN400559</v>
          </cell>
          <cell r="B5">
            <v>559</v>
          </cell>
          <cell r="C5" t="str">
            <v>Institut Kanser Negara</v>
          </cell>
          <cell r="D5" t="str">
            <v>KKM/IKN/H/17/7</v>
          </cell>
          <cell r="E5" t="str">
            <v>18-231</v>
          </cell>
          <cell r="F5" t="str">
            <v>Electrosurgical Units, Monopolar/Bipolar</v>
          </cell>
          <cell r="G5" t="str">
            <v>MC</v>
          </cell>
          <cell r="H5" t="str">
            <v>MULTI-DISCIPLINE CLINIC</v>
          </cell>
          <cell r="I5" t="str">
            <v>03MC107</v>
          </cell>
          <cell r="J5" t="str">
            <v>TREATMENT 1</v>
          </cell>
          <cell r="K5" t="str">
            <v>BMED</v>
          </cell>
          <cell r="L5" t="str">
            <v>Critical</v>
          </cell>
          <cell r="M5" t="str">
            <v>UK</v>
          </cell>
          <cell r="N5" t="str">
            <v>Eschmann</v>
          </cell>
          <cell r="O5" t="str">
            <v>Eschmann E30</v>
          </cell>
          <cell r="P5" t="str">
            <v>12103003</v>
          </cell>
          <cell r="Q5" t="str">
            <v>Not Applicable</v>
          </cell>
          <cell r="R5" t="str">
            <v>Eschmann Bros &amp; Walsh Ltd</v>
          </cell>
          <cell r="S5" t="str">
            <v>Uni Dex (Malaysia) Sdn. Bhd.</v>
          </cell>
          <cell r="T5" t="str">
            <v>Functioning</v>
          </cell>
          <cell r="U5" t="str">
            <v>Asset</v>
          </cell>
          <cell r="V5">
            <v>32478</v>
          </cell>
          <cell r="W5" t="str">
            <v>KEW</v>
          </cell>
          <cell r="X5" t="str">
            <v>28/09/2017</v>
          </cell>
          <cell r="Y5" t="str">
            <v>KEW</v>
          </cell>
          <cell r="Z5" t="str">
            <v>15/11/2017</v>
          </cell>
          <cell r="AA5" t="str">
            <v>15/11/2018</v>
          </cell>
          <cell r="AB5" t="str">
            <v>No</v>
          </cell>
          <cell r="AC5" t="str">
            <v>15/11/2017</v>
          </cell>
          <cell r="AD5" t="str">
            <v>Good</v>
          </cell>
          <cell r="AE5" t="str">
            <v>V3 - Added Installed Facilities (New)</v>
          </cell>
          <cell r="AF5">
            <v>43404</v>
          </cell>
          <cell r="AG5">
            <v>2.17</v>
          </cell>
          <cell r="AH5" t="str">
            <v>PPM</v>
          </cell>
          <cell r="AI5" t="str">
            <v>Strands</v>
          </cell>
          <cell r="AJ5" t="str">
            <v>Strands PW</v>
          </cell>
          <cell r="AK5" t="str">
            <v>SNF received. 1st batch of V3 asset (December 2020)</v>
          </cell>
        </row>
        <row r="6">
          <cell r="A6" t="str">
            <v>IKN400858</v>
          </cell>
          <cell r="B6">
            <v>858</v>
          </cell>
          <cell r="C6" t="str">
            <v>Institut Kanser Negara</v>
          </cell>
          <cell r="E6" t="str">
            <v>17-508</v>
          </cell>
          <cell r="F6" t="str">
            <v>Printers, Video</v>
          </cell>
          <cell r="G6" t="str">
            <v>RT</v>
          </cell>
          <cell r="H6" t="str">
            <v>RADIATION TREATMENT UNIT</v>
          </cell>
          <cell r="I6" t="str">
            <v>01RT127</v>
          </cell>
          <cell r="J6" t="str">
            <v>BRACHY OT 2</v>
          </cell>
          <cell r="K6" t="str">
            <v>BMED</v>
          </cell>
          <cell r="L6" t="str">
            <v>Normal</v>
          </cell>
          <cell r="M6" t="str">
            <v>Japan</v>
          </cell>
          <cell r="N6" t="str">
            <v>Sony</v>
          </cell>
          <cell r="O6" t="str">
            <v>Sony UP-25MD</v>
          </cell>
          <cell r="P6" t="str">
            <v>705115</v>
          </cell>
          <cell r="Q6" t="str">
            <v>Not Applicable</v>
          </cell>
          <cell r="R6" t="str">
            <v>Sony Corp</v>
          </cell>
          <cell r="S6" t="str">
            <v>V Medical Services</v>
          </cell>
          <cell r="T6" t="str">
            <v>Functioning</v>
          </cell>
          <cell r="U6" t="str">
            <v>Asset</v>
          </cell>
          <cell r="V6">
            <v>5000</v>
          </cell>
          <cell r="W6" t="str">
            <v>Estimate</v>
          </cell>
          <cell r="X6" t="str">
            <v>01/09/2010</v>
          </cell>
          <cell r="Y6" t="str">
            <v>KEW</v>
          </cell>
          <cell r="Z6" t="str">
            <v>16/08/2013</v>
          </cell>
          <cell r="AA6" t="str">
            <v>15/08/2015</v>
          </cell>
          <cell r="AB6" t="str">
            <v>No</v>
          </cell>
          <cell r="AC6" t="str">
            <v>31/08/2013</v>
          </cell>
          <cell r="AD6" t="str">
            <v>Good</v>
          </cell>
          <cell r="AE6" t="str">
            <v>V1 - Existing / No Claim</v>
          </cell>
          <cell r="AF6">
            <v>42720</v>
          </cell>
          <cell r="AG6">
            <v>9.17</v>
          </cell>
          <cell r="AH6" t="str">
            <v>RI</v>
          </cell>
          <cell r="AI6" t="str">
            <v>package</v>
          </cell>
          <cell r="AJ6" t="str">
            <v>Strands PW</v>
          </cell>
          <cell r="AK6" t="str">
            <v>located BOT</v>
          </cell>
        </row>
        <row r="7">
          <cell r="A7" t="str">
            <v>IKN400859</v>
          </cell>
          <cell r="B7">
            <v>859</v>
          </cell>
          <cell r="C7" t="str">
            <v>Institut Kanser Negara</v>
          </cell>
          <cell r="D7" t="e">
            <v>#N/A</v>
          </cell>
          <cell r="E7" t="str">
            <v>12-093</v>
          </cell>
          <cell r="F7" t="str">
            <v>Immobilizers</v>
          </cell>
          <cell r="G7" t="str">
            <v>PY</v>
          </cell>
          <cell r="H7" t="str">
            <v>PHYSIOTHERAPY</v>
          </cell>
          <cell r="I7" t="str">
            <v>04PY115</v>
          </cell>
          <cell r="J7" t="str">
            <v>GYMNASIUM</v>
          </cell>
          <cell r="K7" t="str">
            <v>BMED</v>
          </cell>
          <cell r="L7" t="str">
            <v>Normal</v>
          </cell>
          <cell r="M7" t="str">
            <v>TAIWAN</v>
          </cell>
          <cell r="N7" t="str">
            <v>PUMA</v>
          </cell>
          <cell r="O7" t="str">
            <v>DLD-20-10V</v>
          </cell>
          <cell r="P7" t="str">
            <v>VA070021</v>
          </cell>
          <cell r="Q7" t="str">
            <v>Not Applicable</v>
          </cell>
          <cell r="R7" t="str">
            <v>MY POWER TOOLS</v>
          </cell>
          <cell r="S7" t="str">
            <v>MY POWER TOOLS</v>
          </cell>
          <cell r="T7" t="str">
            <v>Functioning</v>
          </cell>
          <cell r="U7" t="str">
            <v>Asset</v>
          </cell>
          <cell r="V7">
            <v>1</v>
          </cell>
          <cell r="W7" t="str">
            <v>KEW</v>
          </cell>
          <cell r="X7" t="str">
            <v>01/09/2010</v>
          </cell>
          <cell r="Y7" t="str">
            <v>KEW</v>
          </cell>
          <cell r="Z7" t="str">
            <v>16/08/2013</v>
          </cell>
          <cell r="AA7" t="str">
            <v>15/08/2015</v>
          </cell>
          <cell r="AB7" t="str">
            <v>No</v>
          </cell>
          <cell r="AC7" t="str">
            <v>16/08/2013</v>
          </cell>
          <cell r="AD7" t="str">
            <v>Good</v>
          </cell>
          <cell r="AE7" t="str">
            <v>V10 - Asset in initial fee submission(new/replacement hosp)</v>
          </cell>
          <cell r="AF7">
            <v>43699</v>
          </cell>
          <cell r="AG7">
            <v>9.17</v>
          </cell>
          <cell r="AH7" t="str">
            <v>PPM</v>
          </cell>
          <cell r="AI7" t="str">
            <v>package</v>
          </cell>
          <cell r="AJ7" t="str">
            <v>Strands PW F</v>
          </cell>
        </row>
        <row r="8">
          <cell r="A8" t="str">
            <v>IKN400860</v>
          </cell>
          <cell r="B8">
            <v>860</v>
          </cell>
          <cell r="C8" t="str">
            <v>Institut Kanser Negara</v>
          </cell>
          <cell r="E8" t="str">
            <v>12-282</v>
          </cell>
          <cell r="F8" t="str">
            <v>Lights, Surgical</v>
          </cell>
          <cell r="G8" t="str">
            <v>MC</v>
          </cell>
          <cell r="H8" t="str">
            <v>MULTI-DISCIPLINE CLINIC</v>
          </cell>
          <cell r="I8" t="str">
            <v>03MC107</v>
          </cell>
          <cell r="J8" t="str">
            <v>TREATMENT 1</v>
          </cell>
          <cell r="K8" t="str">
            <v>BMED</v>
          </cell>
          <cell r="L8" t="str">
            <v>Normal</v>
          </cell>
          <cell r="M8" t="str">
            <v>USA</v>
          </cell>
          <cell r="N8" t="str">
            <v>Welch Allyn</v>
          </cell>
          <cell r="O8" t="str">
            <v>Welch Allyn GS900</v>
          </cell>
          <cell r="P8" t="str">
            <v>10032911105639</v>
          </cell>
          <cell r="Q8" t="str">
            <v>Not Applicable</v>
          </cell>
          <cell r="R8" t="str">
            <v>Welch Allyn Inc</v>
          </cell>
          <cell r="S8" t="str">
            <v>Welch Allyn Malaysia Sdn Bhd</v>
          </cell>
          <cell r="T8" t="str">
            <v>Functioning</v>
          </cell>
          <cell r="U8" t="str">
            <v>Asset</v>
          </cell>
          <cell r="V8">
            <v>10585</v>
          </cell>
          <cell r="W8" t="str">
            <v>KEW</v>
          </cell>
          <cell r="X8" t="str">
            <v>01/09/2010</v>
          </cell>
          <cell r="Y8" t="str">
            <v>KEW</v>
          </cell>
          <cell r="Z8" t="str">
            <v>16/08/2013</v>
          </cell>
          <cell r="AA8" t="str">
            <v>15/08/2015</v>
          </cell>
          <cell r="AB8" t="str">
            <v>No</v>
          </cell>
          <cell r="AC8" t="str">
            <v>31/08/2013</v>
          </cell>
          <cell r="AD8" t="str">
            <v>Good</v>
          </cell>
          <cell r="AE8" t="str">
            <v>V1 - Existing / No Claim</v>
          </cell>
          <cell r="AF8">
            <v>42235</v>
          </cell>
          <cell r="AG8">
            <v>9.17</v>
          </cell>
          <cell r="AH8" t="str">
            <v>PPM</v>
          </cell>
          <cell r="AI8" t="str">
            <v>Not in contract</v>
          </cell>
          <cell r="AJ8" t="str">
            <v>Strands PW</v>
          </cell>
        </row>
        <row r="9">
          <cell r="A9" t="str">
            <v>IKN400918</v>
          </cell>
          <cell r="B9">
            <v>917</v>
          </cell>
          <cell r="C9" t="str">
            <v>Institut Kanser Negara</v>
          </cell>
          <cell r="D9" t="str">
            <v>KKM/IKN/H/13/565</v>
          </cell>
          <cell r="E9" t="str">
            <v>16-241</v>
          </cell>
          <cell r="F9" t="str">
            <v>Scanning Systems, Ultrasonic, Abdominal</v>
          </cell>
          <cell r="G9" t="str">
            <v>MC</v>
          </cell>
          <cell r="H9" t="str">
            <v>MULTI-DISCIPLINE CLINIC</v>
          </cell>
          <cell r="I9" t="str">
            <v>03MC107</v>
          </cell>
          <cell r="J9" t="str">
            <v>TREATMENT 1</v>
          </cell>
          <cell r="K9" t="str">
            <v>BMED</v>
          </cell>
          <cell r="L9" t="str">
            <v>Normal</v>
          </cell>
          <cell r="M9" t="str">
            <v>UK</v>
          </cell>
          <cell r="N9" t="str">
            <v>Portascan</v>
          </cell>
          <cell r="O9" t="str">
            <v>Portascan+</v>
          </cell>
          <cell r="P9" t="str">
            <v>01025</v>
          </cell>
          <cell r="Q9" t="str">
            <v>Not Applicable</v>
          </cell>
          <cell r="R9" t="str">
            <v>Mediwatch Ltd</v>
          </cell>
          <cell r="S9" t="str">
            <v>MKS Medic Sdn Bhd</v>
          </cell>
          <cell r="T9" t="str">
            <v>Functioning</v>
          </cell>
          <cell r="U9" t="str">
            <v>Asset</v>
          </cell>
          <cell r="V9">
            <v>107510</v>
          </cell>
          <cell r="W9" t="str">
            <v>KEW</v>
          </cell>
          <cell r="X9" t="str">
            <v>01/09/2010</v>
          </cell>
          <cell r="Y9" t="str">
            <v>KEW</v>
          </cell>
          <cell r="Z9" t="str">
            <v>16/08/2013</v>
          </cell>
          <cell r="AA9" t="str">
            <v>15/08/2015</v>
          </cell>
          <cell r="AB9" t="str">
            <v>No</v>
          </cell>
          <cell r="AC9" t="str">
            <v>31/08/2013</v>
          </cell>
          <cell r="AD9" t="str">
            <v>Good</v>
          </cell>
          <cell r="AE9" t="str">
            <v>V1 - Existing / No Claim</v>
          </cell>
          <cell r="AF9">
            <v>42235</v>
          </cell>
          <cell r="AG9">
            <v>9.17</v>
          </cell>
          <cell r="AH9" t="str">
            <v>PPM</v>
          </cell>
          <cell r="AI9" t="str">
            <v>Strands</v>
          </cell>
          <cell r="AJ9" t="str">
            <v>Strands PW</v>
          </cell>
        </row>
        <row r="10">
          <cell r="A10" t="str">
            <v>IKN400919</v>
          </cell>
          <cell r="B10">
            <v>918</v>
          </cell>
          <cell r="C10" t="str">
            <v>Institut Kanser Negara</v>
          </cell>
          <cell r="E10" t="str">
            <v>16-173</v>
          </cell>
          <cell r="F10" t="str">
            <v>Sphygmomanometers, Electronic, Automatic</v>
          </cell>
          <cell r="G10" t="str">
            <v>MC</v>
          </cell>
          <cell r="H10" t="str">
            <v>MULTI-DISCIPLINE CLINIC</v>
          </cell>
          <cell r="I10" t="str">
            <v>03MC108</v>
          </cell>
          <cell r="J10" t="str">
            <v>TREATMENT/PROCEDURE</v>
          </cell>
          <cell r="K10" t="str">
            <v>BMED</v>
          </cell>
          <cell r="L10" t="str">
            <v>Normal</v>
          </cell>
          <cell r="M10" t="str">
            <v>USA</v>
          </cell>
          <cell r="N10" t="str">
            <v>Connex</v>
          </cell>
          <cell r="O10" t="str">
            <v>Connex ProBP 3400</v>
          </cell>
          <cell r="P10" t="str">
            <v>100001600613</v>
          </cell>
          <cell r="Q10" t="str">
            <v>Not Applicable</v>
          </cell>
          <cell r="R10" t="str">
            <v>Welch Allyn Inc</v>
          </cell>
          <cell r="S10" t="str">
            <v>Welch Allyn Malaysia Sdn Bhd</v>
          </cell>
          <cell r="T10" t="str">
            <v>Functioning</v>
          </cell>
          <cell r="U10" t="str">
            <v>Asset</v>
          </cell>
          <cell r="V10">
            <v>4510</v>
          </cell>
          <cell r="W10" t="str">
            <v>KEW</v>
          </cell>
          <cell r="X10" t="str">
            <v>01/09/2010</v>
          </cell>
          <cell r="Y10" t="str">
            <v>KEW</v>
          </cell>
          <cell r="Z10" t="str">
            <v>16/08/2013</v>
          </cell>
          <cell r="AA10" t="str">
            <v>15/08/2015</v>
          </cell>
          <cell r="AB10" t="str">
            <v>No</v>
          </cell>
          <cell r="AC10" t="str">
            <v>31/08/2013</v>
          </cell>
          <cell r="AD10" t="str">
            <v>Good</v>
          </cell>
          <cell r="AE10" t="str">
            <v>V1 - Existing / No Claim</v>
          </cell>
          <cell r="AF10">
            <v>42235</v>
          </cell>
          <cell r="AG10">
            <v>9.17</v>
          </cell>
          <cell r="AH10" t="str">
            <v>PPM</v>
          </cell>
          <cell r="AI10" t="str">
            <v>strands</v>
          </cell>
          <cell r="AJ10" t="str">
            <v>Strands PW</v>
          </cell>
        </row>
        <row r="11">
          <cell r="A11" t="str">
            <v>IKN400920</v>
          </cell>
          <cell r="B11">
            <v>919</v>
          </cell>
          <cell r="C11" t="str">
            <v>Institut Kanser Negara</v>
          </cell>
          <cell r="E11" t="str">
            <v>11-134</v>
          </cell>
          <cell r="F11" t="str">
            <v>Defibrillators, External, Manual</v>
          </cell>
          <cell r="G11" t="str">
            <v>MC</v>
          </cell>
          <cell r="H11" t="str">
            <v>MULTI-DISCIPLINE CLINIC</v>
          </cell>
          <cell r="I11" t="str">
            <v>03MC124</v>
          </cell>
          <cell r="J11" t="str">
            <v>RESUS EQ. BAY</v>
          </cell>
          <cell r="K11" t="str">
            <v>BMED</v>
          </cell>
          <cell r="L11" t="str">
            <v>Critical</v>
          </cell>
          <cell r="M11" t="str">
            <v>USA</v>
          </cell>
          <cell r="N11" t="str">
            <v>Responder</v>
          </cell>
          <cell r="O11" t="str">
            <v>Responder 2000</v>
          </cell>
          <cell r="P11" t="str">
            <v>3206725</v>
          </cell>
          <cell r="Q11" t="str">
            <v>Not Applicable</v>
          </cell>
          <cell r="R11" t="str">
            <v>GE Medical Systems</v>
          </cell>
          <cell r="S11" t="str">
            <v>Antah Sir Radin Sdn. Bhd.</v>
          </cell>
          <cell r="T11" t="str">
            <v>Functioning</v>
          </cell>
          <cell r="U11" t="str">
            <v>Asset</v>
          </cell>
          <cell r="V11">
            <v>45000</v>
          </cell>
          <cell r="W11" t="str">
            <v>Estimate</v>
          </cell>
          <cell r="X11" t="str">
            <v>01/09/2010</v>
          </cell>
          <cell r="Y11" t="str">
            <v>KEW</v>
          </cell>
          <cell r="Z11" t="str">
            <v>16/08/2013</v>
          </cell>
          <cell r="AA11" t="str">
            <v>15/08/2015</v>
          </cell>
          <cell r="AB11" t="str">
            <v>No</v>
          </cell>
          <cell r="AC11" t="str">
            <v>31/08/2013</v>
          </cell>
          <cell r="AD11" t="str">
            <v>Good</v>
          </cell>
          <cell r="AE11" t="str">
            <v>V1 - Existing / No Claim</v>
          </cell>
          <cell r="AF11">
            <v>42605</v>
          </cell>
          <cell r="AG11">
            <v>9.17</v>
          </cell>
          <cell r="AH11" t="str">
            <v>PPM</v>
          </cell>
          <cell r="AI11" t="str">
            <v>Strands</v>
          </cell>
          <cell r="AJ11" t="str">
            <v>Strands PW</v>
          </cell>
          <cell r="AK11" t="str">
            <v>Crash Trolley (FEMS)</v>
          </cell>
        </row>
        <row r="12">
          <cell r="A12" t="str">
            <v>IKN400925</v>
          </cell>
          <cell r="B12">
            <v>924</v>
          </cell>
          <cell r="C12" t="str">
            <v>Institut Kanser Negara</v>
          </cell>
          <cell r="D12" t="str">
            <v>KKM/IKN/H/13/557</v>
          </cell>
          <cell r="E12" t="str">
            <v>16-231</v>
          </cell>
          <cell r="F12" t="str">
            <v>Electrocardiographs, Multichannel, Interpretative</v>
          </cell>
          <cell r="G12" t="str">
            <v>MC</v>
          </cell>
          <cell r="H12" t="str">
            <v>MULTI-DISCIPLINE CLINIC</v>
          </cell>
          <cell r="I12" t="str">
            <v>03MC107</v>
          </cell>
          <cell r="J12" t="str">
            <v>TREATMENT 1</v>
          </cell>
          <cell r="K12" t="str">
            <v>BMED</v>
          </cell>
          <cell r="L12" t="str">
            <v>Normal</v>
          </cell>
          <cell r="M12" t="str">
            <v>China</v>
          </cell>
          <cell r="N12" t="str">
            <v>Mac</v>
          </cell>
          <cell r="O12" t="str">
            <v>MAC 800</v>
          </cell>
          <cell r="P12" t="str">
            <v>SJ412450340 WA</v>
          </cell>
          <cell r="Q12" t="str">
            <v>Not Applicable</v>
          </cell>
          <cell r="R12" t="str">
            <v>GE Healthcare Systems</v>
          </cell>
          <cell r="S12" t="str">
            <v>GE Healthcare Technologies</v>
          </cell>
          <cell r="T12" t="str">
            <v>Functioning</v>
          </cell>
          <cell r="U12" t="str">
            <v>Asset</v>
          </cell>
          <cell r="V12">
            <v>25260</v>
          </cell>
          <cell r="W12" t="str">
            <v>KEW</v>
          </cell>
          <cell r="X12" t="str">
            <v>01/09/2010</v>
          </cell>
          <cell r="Y12" t="str">
            <v>KEW</v>
          </cell>
          <cell r="Z12" t="str">
            <v>16/08/2013</v>
          </cell>
          <cell r="AA12" t="str">
            <v>15/08/2015</v>
          </cell>
          <cell r="AB12" t="str">
            <v>No</v>
          </cell>
          <cell r="AC12" t="str">
            <v>31/08/2013</v>
          </cell>
          <cell r="AD12" t="str">
            <v>Good</v>
          </cell>
          <cell r="AE12" t="str">
            <v>V1 - Existing / No Claim</v>
          </cell>
          <cell r="AF12">
            <v>42235</v>
          </cell>
          <cell r="AG12">
            <v>9.17</v>
          </cell>
          <cell r="AH12" t="str">
            <v>PPM</v>
          </cell>
          <cell r="AI12" t="str">
            <v>Strands</v>
          </cell>
          <cell r="AJ12" t="str">
            <v>Strands PW</v>
          </cell>
        </row>
        <row r="13">
          <cell r="A13" t="str">
            <v>IKN400926</v>
          </cell>
          <cell r="B13">
            <v>925</v>
          </cell>
          <cell r="C13" t="str">
            <v>Institut Kanser Negara</v>
          </cell>
          <cell r="D13" t="str">
            <v>KKM/IKN/H/13/532</v>
          </cell>
          <cell r="E13" t="str">
            <v>12-282</v>
          </cell>
          <cell r="F13" t="str">
            <v>Lights, Surgical</v>
          </cell>
          <cell r="G13" t="str">
            <v>MC</v>
          </cell>
          <cell r="H13" t="str">
            <v>MULTI-DISCIPLINE CLINIC</v>
          </cell>
          <cell r="I13" t="str">
            <v>03MC118</v>
          </cell>
          <cell r="J13" t="str">
            <v>C/E 5</v>
          </cell>
          <cell r="K13" t="str">
            <v>BMED</v>
          </cell>
          <cell r="L13" t="str">
            <v>Critical</v>
          </cell>
          <cell r="M13" t="str">
            <v>USA</v>
          </cell>
          <cell r="N13" t="str">
            <v>Welch Allyn</v>
          </cell>
          <cell r="O13" t="str">
            <v>Welch Allyn GS600</v>
          </cell>
          <cell r="P13" t="str">
            <v>GS-600-06</v>
          </cell>
          <cell r="Q13" t="str">
            <v>Not Applicable</v>
          </cell>
          <cell r="R13" t="str">
            <v>Welch Allyn Inc</v>
          </cell>
          <cell r="S13" t="str">
            <v>Welch Allyn Malaysia Sdn Bhd</v>
          </cell>
          <cell r="T13" t="str">
            <v>Functioning</v>
          </cell>
          <cell r="U13" t="str">
            <v>Asset</v>
          </cell>
          <cell r="V13">
            <v>5050</v>
          </cell>
          <cell r="W13" t="str">
            <v>KEW</v>
          </cell>
          <cell r="X13" t="str">
            <v>01/09/2010</v>
          </cell>
          <cell r="Y13" t="str">
            <v>KEW</v>
          </cell>
          <cell r="Z13" t="str">
            <v>16/08/2013</v>
          </cell>
          <cell r="AA13" t="str">
            <v>15/08/2015</v>
          </cell>
          <cell r="AB13" t="str">
            <v>No</v>
          </cell>
          <cell r="AC13" t="str">
            <v>31/08/2013</v>
          </cell>
          <cell r="AD13" t="str">
            <v>Good</v>
          </cell>
          <cell r="AE13" t="str">
            <v>V1 - Existing / No Claim</v>
          </cell>
          <cell r="AF13">
            <v>42800</v>
          </cell>
          <cell r="AG13">
            <v>9.17</v>
          </cell>
          <cell r="AH13" t="str">
            <v>PPM</v>
          </cell>
          <cell r="AI13" t="str">
            <v>Strands</v>
          </cell>
          <cell r="AJ13" t="str">
            <v>Strands PW</v>
          </cell>
        </row>
        <row r="14">
          <cell r="A14" t="str">
            <v>IKN400927</v>
          </cell>
          <cell r="B14">
            <v>926</v>
          </cell>
          <cell r="C14" t="str">
            <v>Institut Kanser Negara</v>
          </cell>
          <cell r="D14" t="str">
            <v>KKM/IKN/H/13/534</v>
          </cell>
          <cell r="E14" t="str">
            <v>12-282</v>
          </cell>
          <cell r="F14" t="str">
            <v>Lights, Surgical</v>
          </cell>
          <cell r="G14" t="str">
            <v>MC</v>
          </cell>
          <cell r="H14" t="str">
            <v>MULTI-DISCIPLINE CLINIC</v>
          </cell>
          <cell r="I14" t="str">
            <v>04MC142</v>
          </cell>
          <cell r="K14" t="str">
            <v>BMED</v>
          </cell>
          <cell r="L14" t="str">
            <v>Critical</v>
          </cell>
          <cell r="M14" t="str">
            <v>USA</v>
          </cell>
          <cell r="N14" t="str">
            <v>Welch Allyn</v>
          </cell>
          <cell r="O14" t="str">
            <v>Welch Allyn GS600</v>
          </cell>
          <cell r="P14" t="str">
            <v>GS-600-07</v>
          </cell>
          <cell r="Q14" t="str">
            <v>Not Applicable</v>
          </cell>
          <cell r="R14" t="str">
            <v>Welch Allyn Inc</v>
          </cell>
          <cell r="S14" t="str">
            <v>Welch Allyn Malaysia Sdn Bhd</v>
          </cell>
          <cell r="T14" t="str">
            <v>Functioning</v>
          </cell>
          <cell r="U14" t="str">
            <v>Asset</v>
          </cell>
          <cell r="V14">
            <v>5050</v>
          </cell>
          <cell r="W14" t="str">
            <v>KEW</v>
          </cell>
          <cell r="X14" t="str">
            <v>01/09/2010</v>
          </cell>
          <cell r="Y14" t="str">
            <v>KEW</v>
          </cell>
          <cell r="Z14" t="str">
            <v>16/08/2013</v>
          </cell>
          <cell r="AA14" t="str">
            <v>15/08/2015</v>
          </cell>
          <cell r="AB14" t="str">
            <v>No</v>
          </cell>
          <cell r="AC14" t="str">
            <v>31/08/2013</v>
          </cell>
          <cell r="AD14" t="str">
            <v>Good</v>
          </cell>
          <cell r="AE14" t="str">
            <v>V1 - Existing / No Claim</v>
          </cell>
          <cell r="AF14">
            <v>42800</v>
          </cell>
          <cell r="AG14">
            <v>9.17</v>
          </cell>
          <cell r="AH14" t="str">
            <v>PPM</v>
          </cell>
          <cell r="AI14" t="str">
            <v>Strands</v>
          </cell>
          <cell r="AJ14" t="str">
            <v>Strands PW</v>
          </cell>
          <cell r="AK14" t="str">
            <v>[29/7/2024, Indira]: Change Location.</v>
          </cell>
        </row>
        <row r="15">
          <cell r="A15" t="str">
            <v>IKN400928</v>
          </cell>
          <cell r="B15">
            <v>927</v>
          </cell>
          <cell r="C15" t="str">
            <v>Institut Kanser Negara</v>
          </cell>
          <cell r="D15" t="str">
            <v>KKM/IKN/H/13/536</v>
          </cell>
          <cell r="E15" t="str">
            <v>12-282</v>
          </cell>
          <cell r="F15" t="str">
            <v>Lights, Surgical</v>
          </cell>
          <cell r="G15" t="str">
            <v>MC</v>
          </cell>
          <cell r="H15" t="str">
            <v>MULTI-DISCIPLINE CLINIC</v>
          </cell>
          <cell r="I15" t="str">
            <v>03MC121</v>
          </cell>
          <cell r="J15" t="str">
            <v>C/E 3</v>
          </cell>
          <cell r="K15" t="str">
            <v>BMED</v>
          </cell>
          <cell r="L15" t="str">
            <v>Critical</v>
          </cell>
          <cell r="M15" t="str">
            <v>USA</v>
          </cell>
          <cell r="N15" t="str">
            <v>Welch Allyn</v>
          </cell>
          <cell r="O15" t="str">
            <v>Welch Allyn GS600</v>
          </cell>
          <cell r="P15" t="str">
            <v>GS-600-08</v>
          </cell>
          <cell r="Q15" t="str">
            <v>Not Applicable</v>
          </cell>
          <cell r="R15" t="str">
            <v>Welch Allyn Inc</v>
          </cell>
          <cell r="S15" t="str">
            <v>Welch Allyn Malaysia Sdn Bhd</v>
          </cell>
          <cell r="T15" t="str">
            <v>Functioning</v>
          </cell>
          <cell r="U15" t="str">
            <v>Asset</v>
          </cell>
          <cell r="V15">
            <v>5050</v>
          </cell>
          <cell r="W15" t="str">
            <v>KEW</v>
          </cell>
          <cell r="X15" t="str">
            <v>01/09/2010</v>
          </cell>
          <cell r="Y15" t="str">
            <v>KEW</v>
          </cell>
          <cell r="Z15" t="str">
            <v>16/08/2013</v>
          </cell>
          <cell r="AA15" t="str">
            <v>15/08/2015</v>
          </cell>
          <cell r="AB15" t="str">
            <v>No</v>
          </cell>
          <cell r="AC15" t="str">
            <v>31/08/2013</v>
          </cell>
          <cell r="AD15" t="str">
            <v>Good</v>
          </cell>
          <cell r="AE15" t="str">
            <v>V1 - Existing / No Claim</v>
          </cell>
          <cell r="AF15">
            <v>42800</v>
          </cell>
          <cell r="AG15">
            <v>9.17</v>
          </cell>
          <cell r="AH15" t="str">
            <v>PPM</v>
          </cell>
          <cell r="AI15" t="str">
            <v>Strands</v>
          </cell>
          <cell r="AJ15" t="str">
            <v>Strands PW</v>
          </cell>
        </row>
        <row r="16">
          <cell r="A16" t="str">
            <v>IKN400929</v>
          </cell>
          <cell r="B16">
            <v>928</v>
          </cell>
          <cell r="C16" t="str">
            <v>Institut Kanser Negara</v>
          </cell>
          <cell r="D16" t="str">
            <v>KKM/IKN/H/13/537</v>
          </cell>
          <cell r="E16" t="str">
            <v>12-282</v>
          </cell>
          <cell r="F16" t="str">
            <v>Lights, Surgical</v>
          </cell>
          <cell r="G16" t="str">
            <v>MC</v>
          </cell>
          <cell r="H16" t="str">
            <v>MULTI-DISCIPLINE CLINIC</v>
          </cell>
          <cell r="I16" t="str">
            <v>03MC127</v>
          </cell>
          <cell r="J16" t="str">
            <v>C/E 1 (ENT)</v>
          </cell>
          <cell r="K16" t="str">
            <v>BMED</v>
          </cell>
          <cell r="L16" t="str">
            <v>Critical</v>
          </cell>
          <cell r="M16" t="str">
            <v>USA</v>
          </cell>
          <cell r="N16" t="str">
            <v>Welch Allyn</v>
          </cell>
          <cell r="O16" t="str">
            <v>Welch Allyn GS600</v>
          </cell>
          <cell r="P16" t="str">
            <v>GS-600-09</v>
          </cell>
          <cell r="Q16" t="str">
            <v>Not Applicable</v>
          </cell>
          <cell r="R16" t="str">
            <v>Welch Allyn Inc</v>
          </cell>
          <cell r="S16" t="str">
            <v>Welch Allyn Malaysia Sdn Bhd</v>
          </cell>
          <cell r="T16" t="str">
            <v>Functioning</v>
          </cell>
          <cell r="U16" t="str">
            <v>Asset</v>
          </cell>
          <cell r="V16">
            <v>5050</v>
          </cell>
          <cell r="W16" t="str">
            <v>KEW</v>
          </cell>
          <cell r="X16" t="str">
            <v>01/09/2010</v>
          </cell>
          <cell r="Y16" t="str">
            <v>KEW</v>
          </cell>
          <cell r="Z16" t="str">
            <v>16/08/2013</v>
          </cell>
          <cell r="AA16" t="str">
            <v>15/08/2015</v>
          </cell>
          <cell r="AB16" t="str">
            <v>No</v>
          </cell>
          <cell r="AC16" t="str">
            <v>31/08/2013</v>
          </cell>
          <cell r="AD16" t="str">
            <v>Good</v>
          </cell>
          <cell r="AE16" t="str">
            <v>V1 - Existing / No Claim</v>
          </cell>
          <cell r="AF16">
            <v>42800</v>
          </cell>
          <cell r="AG16">
            <v>9.17</v>
          </cell>
          <cell r="AH16" t="str">
            <v>PPM</v>
          </cell>
          <cell r="AI16" t="str">
            <v>Strands</v>
          </cell>
          <cell r="AJ16" t="str">
            <v>Strands PW</v>
          </cell>
        </row>
        <row r="17">
          <cell r="A17" t="str">
            <v>IKN400930</v>
          </cell>
          <cell r="B17">
            <v>929</v>
          </cell>
          <cell r="C17" t="str">
            <v>Institut Kanser Negara</v>
          </cell>
          <cell r="D17" t="str">
            <v>KKM/IKN/H/13/538</v>
          </cell>
          <cell r="E17" t="str">
            <v>12-282</v>
          </cell>
          <cell r="F17" t="str">
            <v>Lights, Surgical</v>
          </cell>
          <cell r="G17" t="str">
            <v>MC</v>
          </cell>
          <cell r="H17" t="str">
            <v>MULTI-DISCIPLINE CLINIC</v>
          </cell>
          <cell r="I17" t="str">
            <v>03MC128</v>
          </cell>
          <cell r="J17" t="str">
            <v>C/E 2</v>
          </cell>
          <cell r="K17" t="str">
            <v>BMED</v>
          </cell>
          <cell r="L17" t="str">
            <v>Critical</v>
          </cell>
          <cell r="M17" t="str">
            <v>USA</v>
          </cell>
          <cell r="N17" t="str">
            <v>Welch Allyn</v>
          </cell>
          <cell r="O17" t="str">
            <v>Welch Allyn GS600</v>
          </cell>
          <cell r="P17" t="str">
            <v>GS-600-10</v>
          </cell>
          <cell r="Q17" t="str">
            <v>Not Applicable</v>
          </cell>
          <cell r="R17" t="str">
            <v>Welch Allyn Inc</v>
          </cell>
          <cell r="S17" t="str">
            <v>Welch Allyn Malaysia Sdn Bhd</v>
          </cell>
          <cell r="T17" t="str">
            <v>Functioning</v>
          </cell>
          <cell r="U17" t="str">
            <v>Asset</v>
          </cell>
          <cell r="V17">
            <v>5050</v>
          </cell>
          <cell r="W17" t="str">
            <v>KEW</v>
          </cell>
          <cell r="X17" t="str">
            <v>01/09/2010</v>
          </cell>
          <cell r="Y17" t="str">
            <v>KEW</v>
          </cell>
          <cell r="Z17" t="str">
            <v>16/08/2013</v>
          </cell>
          <cell r="AA17" t="str">
            <v>15/08/2015</v>
          </cell>
          <cell r="AB17" t="str">
            <v>No</v>
          </cell>
          <cell r="AC17" t="str">
            <v>31/08/2013</v>
          </cell>
          <cell r="AD17" t="str">
            <v>Good</v>
          </cell>
          <cell r="AE17" t="str">
            <v>V1 - Existing / No Claim</v>
          </cell>
          <cell r="AF17">
            <v>42800</v>
          </cell>
          <cell r="AG17">
            <v>9.17</v>
          </cell>
          <cell r="AH17" t="str">
            <v>PPM</v>
          </cell>
          <cell r="AI17" t="str">
            <v>Strands</v>
          </cell>
          <cell r="AJ17" t="str">
            <v>Strands PW</v>
          </cell>
        </row>
        <row r="18">
          <cell r="A18" t="str">
            <v>IKN400931</v>
          </cell>
          <cell r="B18">
            <v>930</v>
          </cell>
          <cell r="C18" t="str">
            <v>Institut Kanser Negara</v>
          </cell>
          <cell r="D18" t="str">
            <v>KKM/IKN/H/13/574</v>
          </cell>
          <cell r="E18" t="str">
            <v>15-045</v>
          </cell>
          <cell r="F18" t="str">
            <v>Nebulizers, Nonheated</v>
          </cell>
          <cell r="G18" t="str">
            <v>MC</v>
          </cell>
          <cell r="H18" t="str">
            <v>MULTI-DISCIPLINE CLINIC</v>
          </cell>
          <cell r="I18" t="str">
            <v>03MC107</v>
          </cell>
          <cell r="J18" t="str">
            <v>TREATMENT 1</v>
          </cell>
          <cell r="K18" t="str">
            <v>BMED</v>
          </cell>
          <cell r="L18" t="str">
            <v>Normal</v>
          </cell>
          <cell r="M18" t="str">
            <v>Germany</v>
          </cell>
          <cell r="N18" t="str">
            <v>Pari Boy</v>
          </cell>
          <cell r="O18" t="str">
            <v>Pari Boy SX 085</v>
          </cell>
          <cell r="P18" t="str">
            <v>2W12F13800</v>
          </cell>
          <cell r="Q18" t="str">
            <v>Not Applicable</v>
          </cell>
          <cell r="R18" t="str">
            <v>Pari GmbH</v>
          </cell>
          <cell r="S18" t="str">
            <v>Welch Allyn Malaysia Sdn Bhd</v>
          </cell>
          <cell r="T18" t="str">
            <v>Functioning</v>
          </cell>
          <cell r="U18" t="str">
            <v>Asset</v>
          </cell>
          <cell r="V18">
            <v>1140</v>
          </cell>
          <cell r="W18" t="str">
            <v>KEW</v>
          </cell>
          <cell r="X18" t="str">
            <v>01/09/2010</v>
          </cell>
          <cell r="Y18" t="str">
            <v>KEW</v>
          </cell>
          <cell r="Z18" t="str">
            <v>16/08/2013</v>
          </cell>
          <cell r="AA18" t="str">
            <v>15/08/2015</v>
          </cell>
          <cell r="AB18" t="str">
            <v>No</v>
          </cell>
          <cell r="AC18" t="str">
            <v>31/08/2013</v>
          </cell>
          <cell r="AD18" t="str">
            <v>Good</v>
          </cell>
          <cell r="AE18" t="str">
            <v>V1 - Existing / No Claim</v>
          </cell>
          <cell r="AF18">
            <v>42235</v>
          </cell>
          <cell r="AG18">
            <v>9.17</v>
          </cell>
          <cell r="AH18" t="str">
            <v>PPM</v>
          </cell>
          <cell r="AI18" t="str">
            <v>Strands</v>
          </cell>
          <cell r="AJ18" t="str">
            <v>Strands PW</v>
          </cell>
        </row>
        <row r="19">
          <cell r="A19" t="str">
            <v>IKN400932</v>
          </cell>
          <cell r="B19">
            <v>931</v>
          </cell>
          <cell r="C19" t="str">
            <v>Institut Kanser Negara</v>
          </cell>
          <cell r="D19" t="str">
            <v>KKM/IKN/H/13/575</v>
          </cell>
          <cell r="E19" t="str">
            <v>15-045</v>
          </cell>
          <cell r="F19" t="str">
            <v>Nebulizers, Nonheated</v>
          </cell>
          <cell r="G19" t="str">
            <v>MC</v>
          </cell>
          <cell r="H19" t="str">
            <v>MULTI-DISCIPLINE CLINIC</v>
          </cell>
          <cell r="I19" t="str">
            <v>03MC107</v>
          </cell>
          <cell r="J19" t="str">
            <v>TREATMENT 1</v>
          </cell>
          <cell r="K19" t="str">
            <v>BMED</v>
          </cell>
          <cell r="L19" t="str">
            <v>Normal</v>
          </cell>
          <cell r="M19" t="str">
            <v>Germany</v>
          </cell>
          <cell r="N19" t="str">
            <v>Pari Boy</v>
          </cell>
          <cell r="O19" t="str">
            <v>Pari Boy SX 085</v>
          </cell>
          <cell r="P19" t="str">
            <v>2W12F13721</v>
          </cell>
          <cell r="Q19" t="str">
            <v>Not Applicable</v>
          </cell>
          <cell r="R19" t="str">
            <v>Pari GmbH</v>
          </cell>
          <cell r="S19" t="str">
            <v>Welch Allyn Malaysia Sdn Bhd</v>
          </cell>
          <cell r="T19" t="str">
            <v>Functioning</v>
          </cell>
          <cell r="U19" t="str">
            <v>Asset</v>
          </cell>
          <cell r="V19">
            <v>1140</v>
          </cell>
          <cell r="W19" t="str">
            <v>KEW</v>
          </cell>
          <cell r="X19" t="str">
            <v>01/09/2010</v>
          </cell>
          <cell r="Y19" t="str">
            <v>KEW</v>
          </cell>
          <cell r="Z19" t="str">
            <v>16/08/2013</v>
          </cell>
          <cell r="AA19" t="str">
            <v>15/08/2015</v>
          </cell>
          <cell r="AB19" t="str">
            <v>No</v>
          </cell>
          <cell r="AC19" t="str">
            <v>31/08/2013</v>
          </cell>
          <cell r="AD19" t="str">
            <v>Good</v>
          </cell>
          <cell r="AE19" t="str">
            <v>V1 - Existing / No Claim</v>
          </cell>
          <cell r="AF19">
            <v>42235</v>
          </cell>
          <cell r="AG19">
            <v>9.17</v>
          </cell>
          <cell r="AH19" t="str">
            <v>PPM</v>
          </cell>
          <cell r="AI19" t="str">
            <v>Strands</v>
          </cell>
          <cell r="AJ19" t="str">
            <v>Strands PW</v>
          </cell>
        </row>
        <row r="20">
          <cell r="A20" t="str">
            <v>IKN400934</v>
          </cell>
          <cell r="B20">
            <v>933</v>
          </cell>
          <cell r="C20" t="str">
            <v>Institut Kanser Negara</v>
          </cell>
          <cell r="D20" t="str">
            <v>KKM/IKN/I/13/5684</v>
          </cell>
          <cell r="E20" t="str">
            <v>16-173</v>
          </cell>
          <cell r="F20" t="str">
            <v>Sphygmomanometers, Electronic, Automatic</v>
          </cell>
          <cell r="G20" t="str">
            <v>MC</v>
          </cell>
          <cell r="H20" t="str">
            <v>MULTI-DISCIPLINE CLINIC</v>
          </cell>
          <cell r="I20" t="str">
            <v>03MC107</v>
          </cell>
          <cell r="J20" t="str">
            <v>TREATMENT 1</v>
          </cell>
          <cell r="K20" t="str">
            <v>BMED</v>
          </cell>
          <cell r="L20" t="str">
            <v>Critical</v>
          </cell>
          <cell r="M20" t="str">
            <v>USA</v>
          </cell>
          <cell r="N20" t="str">
            <v>Connex</v>
          </cell>
          <cell r="O20" t="str">
            <v>Connex ProBP 3400</v>
          </cell>
          <cell r="P20" t="str">
            <v>100000860413</v>
          </cell>
          <cell r="Q20" t="str">
            <v>Not Applicable</v>
          </cell>
          <cell r="R20" t="str">
            <v>Welch Allyn Inc</v>
          </cell>
          <cell r="S20" t="str">
            <v>Welch Allyn Malaysia Sdn Bhd</v>
          </cell>
          <cell r="T20" t="str">
            <v>Functioning</v>
          </cell>
          <cell r="U20" t="str">
            <v>Asset</v>
          </cell>
          <cell r="V20">
            <v>336</v>
          </cell>
          <cell r="W20" t="str">
            <v>KEW</v>
          </cell>
          <cell r="X20" t="str">
            <v>01/09/2010</v>
          </cell>
          <cell r="Y20" t="str">
            <v>KEW</v>
          </cell>
          <cell r="Z20" t="str">
            <v>16/08/2013</v>
          </cell>
          <cell r="AA20" t="str">
            <v>15/08/2015</v>
          </cell>
          <cell r="AB20" t="str">
            <v>No</v>
          </cell>
          <cell r="AC20" t="str">
            <v>31/08/2013</v>
          </cell>
          <cell r="AD20" t="str">
            <v>Good</v>
          </cell>
          <cell r="AE20" t="str">
            <v>V1 - Existing / No Claim</v>
          </cell>
          <cell r="AF20">
            <v>42799</v>
          </cell>
          <cell r="AG20">
            <v>9.17</v>
          </cell>
          <cell r="AH20" t="str">
            <v>PPM</v>
          </cell>
          <cell r="AI20" t="str">
            <v>Strands</v>
          </cell>
          <cell r="AJ20" t="str">
            <v>Strands PW</v>
          </cell>
        </row>
        <row r="21">
          <cell r="A21" t="str">
            <v>IKN400935</v>
          </cell>
          <cell r="B21">
            <v>934</v>
          </cell>
          <cell r="C21" t="str">
            <v>Institut Kanser Negara</v>
          </cell>
          <cell r="D21" t="str">
            <v>KKM/IKN/I/13/5683</v>
          </cell>
          <cell r="E21" t="str">
            <v>16-173</v>
          </cell>
          <cell r="F21" t="str">
            <v>Sphygmomanometers, Electronic, Automatic</v>
          </cell>
          <cell r="G21" t="str">
            <v>MC</v>
          </cell>
          <cell r="H21" t="str">
            <v>MULTI-DISCIPLINE CLINIC</v>
          </cell>
          <cell r="I21" t="str">
            <v>03MC119</v>
          </cell>
          <cell r="J21" t="str">
            <v>C/E 4</v>
          </cell>
          <cell r="K21" t="str">
            <v>BMED</v>
          </cell>
          <cell r="L21" t="str">
            <v>Critical</v>
          </cell>
          <cell r="M21" t="str">
            <v>USA</v>
          </cell>
          <cell r="N21" t="str">
            <v>Connex</v>
          </cell>
          <cell r="O21" t="str">
            <v>Connex ProBP 3400</v>
          </cell>
          <cell r="P21" t="str">
            <v>100000660313</v>
          </cell>
          <cell r="Q21" t="str">
            <v>Not Applicable</v>
          </cell>
          <cell r="R21" t="str">
            <v>Welch Allyn Inc</v>
          </cell>
          <cell r="S21" t="str">
            <v>Welch Allyn Malaysia Sdn Bhd</v>
          </cell>
          <cell r="T21" t="str">
            <v>Functioning</v>
          </cell>
          <cell r="U21" t="str">
            <v>Asset</v>
          </cell>
          <cell r="V21">
            <v>336</v>
          </cell>
          <cell r="W21" t="str">
            <v>KEW</v>
          </cell>
          <cell r="X21" t="str">
            <v>01/09/2010</v>
          </cell>
          <cell r="Y21" t="str">
            <v>KEW</v>
          </cell>
          <cell r="Z21" t="str">
            <v>16/08/2013</v>
          </cell>
          <cell r="AA21" t="str">
            <v>15/08/2015</v>
          </cell>
          <cell r="AB21" t="str">
            <v>No</v>
          </cell>
          <cell r="AC21" t="str">
            <v>31/08/2013</v>
          </cell>
          <cell r="AD21" t="str">
            <v>Good</v>
          </cell>
          <cell r="AE21" t="str">
            <v>V1 - Existing / No Claim</v>
          </cell>
          <cell r="AF21">
            <v>42800</v>
          </cell>
          <cell r="AG21">
            <v>9.17</v>
          </cell>
          <cell r="AH21" t="str">
            <v>PPM</v>
          </cell>
          <cell r="AI21" t="str">
            <v>Strands</v>
          </cell>
          <cell r="AJ21" t="str">
            <v>Strands PW</v>
          </cell>
        </row>
        <row r="22">
          <cell r="A22" t="str">
            <v>IKN400936</v>
          </cell>
          <cell r="B22">
            <v>935</v>
          </cell>
          <cell r="C22" t="str">
            <v>Institut Kanser Negara</v>
          </cell>
          <cell r="D22" t="str">
            <v>KKM/IKN/I/13/5681</v>
          </cell>
          <cell r="E22" t="str">
            <v>16-173</v>
          </cell>
          <cell r="F22" t="str">
            <v>Sphygmomanometers, Electronic, Automatic</v>
          </cell>
          <cell r="G22" t="str">
            <v>MC</v>
          </cell>
          <cell r="H22" t="str">
            <v>MULTI-DISCIPLINE CLINIC</v>
          </cell>
          <cell r="I22" t="str">
            <v>03MC121</v>
          </cell>
          <cell r="J22" t="str">
            <v>C/E 3</v>
          </cell>
          <cell r="K22" t="str">
            <v>BMED</v>
          </cell>
          <cell r="L22" t="str">
            <v>Critical</v>
          </cell>
          <cell r="M22" t="str">
            <v>USA</v>
          </cell>
          <cell r="N22" t="str">
            <v>Connex</v>
          </cell>
          <cell r="O22" t="str">
            <v>Connex ProBP 3400</v>
          </cell>
          <cell r="P22" t="str">
            <v>100003020413</v>
          </cell>
          <cell r="Q22" t="str">
            <v>Not Applicable</v>
          </cell>
          <cell r="R22" t="str">
            <v>Welch Allyn Inc</v>
          </cell>
          <cell r="S22" t="str">
            <v>Welch Allyn Malaysia Sdn Bhd</v>
          </cell>
          <cell r="T22" t="str">
            <v>Functioning</v>
          </cell>
          <cell r="U22" t="str">
            <v>Asset</v>
          </cell>
          <cell r="V22">
            <v>336</v>
          </cell>
          <cell r="W22" t="str">
            <v>KEW</v>
          </cell>
          <cell r="X22" t="str">
            <v>01/09/2010</v>
          </cell>
          <cell r="Y22" t="str">
            <v>KEW</v>
          </cell>
          <cell r="Z22" t="str">
            <v>16/08/2013</v>
          </cell>
          <cell r="AA22" t="str">
            <v>15/08/2015</v>
          </cell>
          <cell r="AB22" t="str">
            <v>No</v>
          </cell>
          <cell r="AC22" t="str">
            <v>31/08/2013</v>
          </cell>
          <cell r="AD22" t="str">
            <v>Good</v>
          </cell>
          <cell r="AE22" t="str">
            <v>V1 - Existing / No Claim</v>
          </cell>
          <cell r="AF22">
            <v>42800</v>
          </cell>
          <cell r="AG22">
            <v>9.17</v>
          </cell>
          <cell r="AH22" t="str">
            <v>PPM</v>
          </cell>
          <cell r="AI22" t="str">
            <v>Strands</v>
          </cell>
          <cell r="AJ22" t="str">
            <v>Strands PW</v>
          </cell>
        </row>
        <row r="23">
          <cell r="A23" t="str">
            <v>IKN400937</v>
          </cell>
          <cell r="B23">
            <v>936</v>
          </cell>
          <cell r="C23" t="str">
            <v>Institut Kanser Negara</v>
          </cell>
          <cell r="D23" t="str">
            <v>KKM/IKN/I/13/5682</v>
          </cell>
          <cell r="E23" t="str">
            <v>16-173</v>
          </cell>
          <cell r="F23" t="str">
            <v>Sphygmomanometers, Electronic, Automatic</v>
          </cell>
          <cell r="G23" t="str">
            <v>MC</v>
          </cell>
          <cell r="H23" t="str">
            <v>MULTI-DISCIPLINE CLINIC</v>
          </cell>
          <cell r="I23" t="str">
            <v>03MC127</v>
          </cell>
          <cell r="J23" t="str">
            <v>C/E 1 (ENT)</v>
          </cell>
          <cell r="K23" t="str">
            <v>BMED</v>
          </cell>
          <cell r="L23" t="str">
            <v>Critical</v>
          </cell>
          <cell r="M23" t="str">
            <v>USA</v>
          </cell>
          <cell r="N23" t="str">
            <v>Connex</v>
          </cell>
          <cell r="O23" t="str">
            <v>Connex ProBP 3400</v>
          </cell>
          <cell r="P23" t="str">
            <v>100001980413</v>
          </cell>
          <cell r="Q23" t="str">
            <v>Not Applicable</v>
          </cell>
          <cell r="R23" t="str">
            <v>Welch Allyn Inc</v>
          </cell>
          <cell r="S23" t="str">
            <v>Welch Allyn Malaysia Sdn Bhd</v>
          </cell>
          <cell r="T23" t="str">
            <v>Functioning</v>
          </cell>
          <cell r="U23" t="str">
            <v>Asset</v>
          </cell>
          <cell r="V23">
            <v>336</v>
          </cell>
          <cell r="W23" t="str">
            <v>KEW</v>
          </cell>
          <cell r="X23" t="str">
            <v>01/09/2010</v>
          </cell>
          <cell r="Y23" t="str">
            <v>KEW</v>
          </cell>
          <cell r="Z23" t="str">
            <v>16/08/2013</v>
          </cell>
          <cell r="AA23" t="str">
            <v>15/08/2015</v>
          </cell>
          <cell r="AB23" t="str">
            <v>No</v>
          </cell>
          <cell r="AC23" t="str">
            <v>31/08/2013</v>
          </cell>
          <cell r="AD23" t="str">
            <v>Good</v>
          </cell>
          <cell r="AE23" t="str">
            <v>V1 - Existing / No Claim</v>
          </cell>
          <cell r="AF23">
            <v>42800</v>
          </cell>
          <cell r="AG23">
            <v>9.17</v>
          </cell>
          <cell r="AH23" t="str">
            <v>PPM</v>
          </cell>
          <cell r="AI23" t="str">
            <v>Strands</v>
          </cell>
          <cell r="AJ23" t="str">
            <v>Strands PW</v>
          </cell>
        </row>
        <row r="24">
          <cell r="A24" t="str">
            <v>IKN400938</v>
          </cell>
          <cell r="B24">
            <v>937</v>
          </cell>
          <cell r="C24" t="str">
            <v>Institut Kanser Negara</v>
          </cell>
          <cell r="D24" t="str">
            <v>KKM/IKN/I/13/5680</v>
          </cell>
          <cell r="E24" t="str">
            <v>16-173</v>
          </cell>
          <cell r="F24" t="str">
            <v>Sphygmomanometers, Electronic, Automatic</v>
          </cell>
          <cell r="G24" t="str">
            <v>MC</v>
          </cell>
          <cell r="H24" t="str">
            <v>MULTI-DISCIPLINE CLINIC</v>
          </cell>
          <cell r="I24" t="str">
            <v>03MC128</v>
          </cell>
          <cell r="J24" t="str">
            <v>C/E 2</v>
          </cell>
          <cell r="K24" t="str">
            <v>BMED</v>
          </cell>
          <cell r="L24" t="str">
            <v>Critical</v>
          </cell>
          <cell r="M24" t="str">
            <v>USA</v>
          </cell>
          <cell r="N24" t="str">
            <v>Connex</v>
          </cell>
          <cell r="O24" t="str">
            <v>Connex ProBP 3400</v>
          </cell>
          <cell r="P24" t="str">
            <v>100000880313</v>
          </cell>
          <cell r="Q24" t="str">
            <v>Not Applicable</v>
          </cell>
          <cell r="R24" t="str">
            <v>Welch Allyn Inc</v>
          </cell>
          <cell r="S24" t="str">
            <v>Welch Allyn Malaysia Sdn Bhd</v>
          </cell>
          <cell r="T24" t="str">
            <v>Functioning</v>
          </cell>
          <cell r="U24" t="str">
            <v>Asset</v>
          </cell>
          <cell r="V24">
            <v>336</v>
          </cell>
          <cell r="W24" t="str">
            <v>KEW</v>
          </cell>
          <cell r="X24" t="str">
            <v>01/09/2010</v>
          </cell>
          <cell r="Y24" t="str">
            <v>KEW</v>
          </cell>
          <cell r="Z24" t="str">
            <v>16/08/2013</v>
          </cell>
          <cell r="AA24" t="str">
            <v>15/08/2015</v>
          </cell>
          <cell r="AB24" t="str">
            <v>No</v>
          </cell>
          <cell r="AC24" t="str">
            <v>31/08/2013</v>
          </cell>
          <cell r="AD24" t="str">
            <v>Good</v>
          </cell>
          <cell r="AE24" t="str">
            <v>V1 - Existing / No Claim</v>
          </cell>
          <cell r="AF24">
            <v>42800</v>
          </cell>
          <cell r="AG24">
            <v>9.17</v>
          </cell>
          <cell r="AH24" t="str">
            <v>PPM</v>
          </cell>
          <cell r="AI24" t="str">
            <v>Strands</v>
          </cell>
          <cell r="AJ24" t="str">
            <v>Strands PW</v>
          </cell>
        </row>
        <row r="25">
          <cell r="A25" t="str">
            <v>IKN400940</v>
          </cell>
          <cell r="B25">
            <v>939</v>
          </cell>
          <cell r="C25" t="str">
            <v>Institut Kanser Negara</v>
          </cell>
          <cell r="E25" t="str">
            <v>16-156</v>
          </cell>
          <cell r="F25" t="str">
            <v>Sphygmomanometers, Aneroid</v>
          </cell>
          <cell r="G25" t="str">
            <v>MC</v>
          </cell>
          <cell r="H25" t="str">
            <v>MULTI-DISCIPLINE CLINIC</v>
          </cell>
          <cell r="I25" t="str">
            <v>03MC127</v>
          </cell>
          <cell r="J25" t="str">
            <v>C/E 1 (ENT)</v>
          </cell>
          <cell r="K25" t="str">
            <v>BMED</v>
          </cell>
          <cell r="L25" t="str">
            <v>Normal</v>
          </cell>
          <cell r="M25" t="str">
            <v>Germany</v>
          </cell>
          <cell r="N25" t="str">
            <v>Erka</v>
          </cell>
          <cell r="O25" t="str">
            <v>D-83646</v>
          </cell>
          <cell r="P25" t="str">
            <v>13400144</v>
          </cell>
          <cell r="Q25" t="str">
            <v>Not Applicable</v>
          </cell>
          <cell r="R25" t="str">
            <v>Erka GmbH &amp; Co</v>
          </cell>
          <cell r="S25" t="str">
            <v>Acucare Systems (M) Sdn bhd</v>
          </cell>
          <cell r="T25" t="str">
            <v>Functioning</v>
          </cell>
          <cell r="U25" t="str">
            <v>Asset</v>
          </cell>
          <cell r="V25">
            <v>505</v>
          </cell>
          <cell r="W25" t="str">
            <v>KEW</v>
          </cell>
          <cell r="X25" t="str">
            <v>01/09/2010</v>
          </cell>
          <cell r="Y25" t="str">
            <v>KEW</v>
          </cell>
          <cell r="Z25" t="str">
            <v>16/08/2013</v>
          </cell>
          <cell r="AA25" t="str">
            <v>15/08/2015</v>
          </cell>
          <cell r="AB25" t="str">
            <v>No</v>
          </cell>
          <cell r="AC25" t="str">
            <v>31/08/2013</v>
          </cell>
          <cell r="AD25" t="str">
            <v>Good</v>
          </cell>
          <cell r="AE25" t="str">
            <v>V1 - Existing / No Claim</v>
          </cell>
          <cell r="AF25">
            <v>42832</v>
          </cell>
          <cell r="AG25">
            <v>9.17</v>
          </cell>
          <cell r="AH25" t="str">
            <v>PPM</v>
          </cell>
          <cell r="AI25" t="str">
            <v>Not in contract</v>
          </cell>
          <cell r="AJ25" t="str">
            <v>Strands PW</v>
          </cell>
        </row>
        <row r="26">
          <cell r="A26" t="str">
            <v>IKN400941</v>
          </cell>
          <cell r="B26">
            <v>940</v>
          </cell>
          <cell r="C26" t="str">
            <v>Institut Kanser Negara</v>
          </cell>
          <cell r="D26" t="str">
            <v>KKM/IKN/H/13/2486</v>
          </cell>
          <cell r="E26" t="str">
            <v>11-585</v>
          </cell>
          <cell r="F26" t="str">
            <v>Ear/Nose/Throat Treatment Units</v>
          </cell>
          <cell r="G26" t="str">
            <v>MC</v>
          </cell>
          <cell r="H26" t="str">
            <v>MULTI-DISCIPLINE CLINIC</v>
          </cell>
          <cell r="I26" t="str">
            <v>03MC127</v>
          </cell>
          <cell r="J26" t="str">
            <v>C/E 1 (ENT)</v>
          </cell>
          <cell r="K26" t="str">
            <v>BMED</v>
          </cell>
          <cell r="L26" t="str">
            <v>Normal</v>
          </cell>
          <cell r="M26" t="str">
            <v>Germany</v>
          </cell>
          <cell r="N26" t="str">
            <v>Atmos</v>
          </cell>
          <cell r="O26" t="str">
            <v>Atmos C31</v>
          </cell>
          <cell r="P26" t="str">
            <v>030044554-101360-2012-12</v>
          </cell>
          <cell r="Q26" t="str">
            <v>Not Applicable</v>
          </cell>
          <cell r="R26" t="str">
            <v>Atmos Medizintechnik GmbH &amp; Co KG</v>
          </cell>
          <cell r="S26" t="str">
            <v>Atmos Medizintechnik (M) Sdn Bhd</v>
          </cell>
          <cell r="T26" t="str">
            <v>Functioning</v>
          </cell>
          <cell r="U26" t="str">
            <v>Asset</v>
          </cell>
          <cell r="W26" t="str">
            <v>Estimate</v>
          </cell>
          <cell r="X26" t="str">
            <v>01/09/2010</v>
          </cell>
          <cell r="Y26" t="str">
            <v>KEW</v>
          </cell>
          <cell r="Z26" t="str">
            <v>16/08/2013</v>
          </cell>
          <cell r="AA26" t="str">
            <v>15/08/2015</v>
          </cell>
          <cell r="AB26" t="str">
            <v>No</v>
          </cell>
          <cell r="AC26" t="str">
            <v>31/08/2013</v>
          </cell>
          <cell r="AD26" t="str">
            <v>Good</v>
          </cell>
          <cell r="AE26" t="str">
            <v>V1 - Existing / No Claim</v>
          </cell>
          <cell r="AF26">
            <v>42800</v>
          </cell>
          <cell r="AG26">
            <v>9.17</v>
          </cell>
          <cell r="AH26" t="str">
            <v>PPM</v>
          </cell>
          <cell r="AI26" t="str">
            <v>Strands</v>
          </cell>
          <cell r="AJ26" t="str">
            <v>Strands Package</v>
          </cell>
          <cell r="AK26" t="str">
            <v>Pecah Kewpa. Complement with IKN402031. Package Code ZE0001. [28/12/2023, HIDAYAH]: CURRENT LOC NM.</v>
          </cell>
        </row>
        <row r="27">
          <cell r="A27" t="str">
            <v>IKN400942</v>
          </cell>
          <cell r="B27">
            <v>941</v>
          </cell>
          <cell r="C27" t="str">
            <v>Institut Kanser Negara</v>
          </cell>
          <cell r="D27" t="str">
            <v>KKM/IKN/H/13/320</v>
          </cell>
          <cell r="E27" t="str">
            <v>10-960</v>
          </cell>
          <cell r="F27" t="str">
            <v>Colposcopes</v>
          </cell>
          <cell r="G27" t="str">
            <v>MC</v>
          </cell>
          <cell r="H27" t="str">
            <v>MULTI-DISCIPLINE CLINIC</v>
          </cell>
          <cell r="I27" t="str">
            <v>03MC127</v>
          </cell>
          <cell r="J27" t="str">
            <v>C/E 1 (ENT)</v>
          </cell>
          <cell r="K27" t="str">
            <v>BMED</v>
          </cell>
          <cell r="L27" t="str">
            <v>Normal</v>
          </cell>
          <cell r="M27" t="str">
            <v>Japan</v>
          </cell>
          <cell r="N27" t="str">
            <v>Olympus</v>
          </cell>
          <cell r="O27" t="str">
            <v>Olympus OCS-500</v>
          </cell>
          <cell r="P27" t="str">
            <v>110342</v>
          </cell>
          <cell r="Q27" t="str">
            <v>Not Applicable</v>
          </cell>
          <cell r="R27" t="str">
            <v>Olympus Optical Co Ltd</v>
          </cell>
          <cell r="S27" t="str">
            <v>Endodynamics</v>
          </cell>
          <cell r="T27" t="str">
            <v>Functioning</v>
          </cell>
          <cell r="U27" t="str">
            <v>Asset</v>
          </cell>
          <cell r="V27">
            <v>155820</v>
          </cell>
          <cell r="W27" t="str">
            <v>KEW</v>
          </cell>
          <cell r="X27" t="str">
            <v>01/09/2010</v>
          </cell>
          <cell r="Y27" t="str">
            <v>KEW</v>
          </cell>
          <cell r="Z27" t="str">
            <v>16/08/2013</v>
          </cell>
          <cell r="AA27" t="str">
            <v>15/08/2015</v>
          </cell>
          <cell r="AB27" t="str">
            <v>No</v>
          </cell>
          <cell r="AC27" t="str">
            <v>31/08/2013</v>
          </cell>
          <cell r="AD27" t="str">
            <v>Good</v>
          </cell>
          <cell r="AE27" t="str">
            <v>V1 - Existing / No Claim</v>
          </cell>
          <cell r="AF27">
            <v>42235</v>
          </cell>
          <cell r="AG27">
            <v>9.17</v>
          </cell>
          <cell r="AH27" t="str">
            <v>PPM</v>
          </cell>
          <cell r="AI27" t="str">
            <v>Strands</v>
          </cell>
          <cell r="AJ27" t="str">
            <v>Strands Package</v>
          </cell>
          <cell r="AK27" t="str">
            <v>Package Code EN0028</v>
          </cell>
        </row>
        <row r="28">
          <cell r="A28" t="str">
            <v>IKN400943</v>
          </cell>
          <cell r="B28">
            <v>942</v>
          </cell>
          <cell r="C28" t="str">
            <v>Institut Kanser Negara</v>
          </cell>
          <cell r="E28" t="str">
            <v>12-343</v>
          </cell>
          <cell r="F28" t="str">
            <v>Light Sources, Fiberoptic, Flexible Endoscopic</v>
          </cell>
          <cell r="G28" t="str">
            <v>MC</v>
          </cell>
          <cell r="H28" t="str">
            <v>MULTI-DISCIPLINE CLINIC</v>
          </cell>
          <cell r="I28" t="str">
            <v>03MC127</v>
          </cell>
          <cell r="J28" t="str">
            <v>C/E 1 (ENT)</v>
          </cell>
          <cell r="K28" t="str">
            <v>BMED</v>
          </cell>
          <cell r="L28" t="str">
            <v>Normal</v>
          </cell>
          <cell r="M28" t="str">
            <v>Japan</v>
          </cell>
          <cell r="N28" t="str">
            <v>Olympus</v>
          </cell>
          <cell r="O28" t="str">
            <v>Olympus CLH-250</v>
          </cell>
          <cell r="P28" t="str">
            <v>7232991</v>
          </cell>
          <cell r="Q28" t="str">
            <v>Not Applicable</v>
          </cell>
          <cell r="R28" t="str">
            <v>Olympus Optical Co Ltd</v>
          </cell>
          <cell r="S28" t="str">
            <v>Endodynamics</v>
          </cell>
          <cell r="T28" t="str">
            <v>Functioning</v>
          </cell>
          <cell r="U28" t="str">
            <v>Asset</v>
          </cell>
          <cell r="V28">
            <v>38575</v>
          </cell>
          <cell r="W28" t="str">
            <v>KEW</v>
          </cell>
          <cell r="X28" t="str">
            <v>01/09/2010</v>
          </cell>
          <cell r="Y28" t="str">
            <v>KEW</v>
          </cell>
          <cell r="Z28" t="str">
            <v>16/08/2013</v>
          </cell>
          <cell r="AA28" t="str">
            <v>15/08/2015</v>
          </cell>
          <cell r="AB28" t="str">
            <v>No</v>
          </cell>
          <cell r="AC28" t="str">
            <v>31/08/2013</v>
          </cell>
          <cell r="AD28" t="str">
            <v>Good</v>
          </cell>
          <cell r="AE28" t="str">
            <v>V1 - Existing / No Claim</v>
          </cell>
          <cell r="AF28">
            <v>42800</v>
          </cell>
          <cell r="AG28">
            <v>9.17</v>
          </cell>
          <cell r="AH28" t="str">
            <v>PPM</v>
          </cell>
          <cell r="AI28" t="str">
            <v>Strands</v>
          </cell>
          <cell r="AJ28" t="str">
            <v>Strands Package</v>
          </cell>
          <cell r="AK28" t="str">
            <v>Package Code EN0028</v>
          </cell>
        </row>
        <row r="29">
          <cell r="A29" t="str">
            <v>IKN400944</v>
          </cell>
          <cell r="B29">
            <v>943</v>
          </cell>
          <cell r="C29" t="str">
            <v>Institut Kanser Negara</v>
          </cell>
          <cell r="E29" t="str">
            <v>15-967</v>
          </cell>
          <cell r="F29" t="str">
            <v>Television Systems, Endoscope</v>
          </cell>
          <cell r="G29" t="str">
            <v>MC</v>
          </cell>
          <cell r="H29" t="str">
            <v>MULTI-DISCIPLINE CLINIC</v>
          </cell>
          <cell r="I29" t="str">
            <v>03MC127</v>
          </cell>
          <cell r="J29" t="str">
            <v>C/E 1 (ENT)</v>
          </cell>
          <cell r="K29" t="str">
            <v>BMED</v>
          </cell>
          <cell r="L29" t="str">
            <v>Normal</v>
          </cell>
          <cell r="M29" t="str">
            <v>JAPAN</v>
          </cell>
          <cell r="N29" t="str">
            <v>Olympus</v>
          </cell>
          <cell r="O29" t="str">
            <v>Olympus OEV261H</v>
          </cell>
          <cell r="P29" t="str">
            <v>7245440</v>
          </cell>
          <cell r="Q29" t="str">
            <v>Not Applicable</v>
          </cell>
          <cell r="R29" t="str">
            <v>Olympus Medical Systems Corp</v>
          </cell>
          <cell r="S29" t="str">
            <v>Endodynamics</v>
          </cell>
          <cell r="T29" t="str">
            <v>Functioning</v>
          </cell>
          <cell r="U29" t="str">
            <v>Asset</v>
          </cell>
          <cell r="V29">
            <v>20000</v>
          </cell>
          <cell r="W29" t="str">
            <v>Estimate</v>
          </cell>
          <cell r="X29" t="str">
            <v>01/09/2010</v>
          </cell>
          <cell r="Y29" t="str">
            <v>KEW</v>
          </cell>
          <cell r="Z29" t="str">
            <v>16/08/2013</v>
          </cell>
          <cell r="AA29" t="str">
            <v>15/08/2015</v>
          </cell>
          <cell r="AB29" t="str">
            <v>No</v>
          </cell>
          <cell r="AC29" t="str">
            <v>31/08/2013</v>
          </cell>
          <cell r="AD29" t="str">
            <v>Good</v>
          </cell>
          <cell r="AE29" t="str">
            <v>V1 - Existing / No Claim</v>
          </cell>
          <cell r="AF29">
            <v>42605</v>
          </cell>
          <cell r="AG29">
            <v>9.17</v>
          </cell>
          <cell r="AH29" t="str">
            <v>RI</v>
          </cell>
          <cell r="AI29" t="str">
            <v>package</v>
          </cell>
          <cell r="AJ29" t="str">
            <v>Strands Package</v>
          </cell>
          <cell r="AK29" t="str">
            <v>IKNB03MC127</v>
          </cell>
        </row>
        <row r="30">
          <cell r="A30" t="str">
            <v>IKN400945</v>
          </cell>
          <cell r="B30">
            <v>944</v>
          </cell>
          <cell r="C30" t="str">
            <v>Institut Kanser Negara</v>
          </cell>
          <cell r="E30" t="str">
            <v>13-274</v>
          </cell>
          <cell r="F30" t="str">
            <v>Recorders, Tape, Video</v>
          </cell>
          <cell r="G30" t="str">
            <v>MC</v>
          </cell>
          <cell r="H30" t="str">
            <v>MULTI-DISCIPLINE CLINIC</v>
          </cell>
          <cell r="I30" t="str">
            <v>03MC127</v>
          </cell>
          <cell r="J30" t="str">
            <v>C/E 1 (ENT)</v>
          </cell>
          <cell r="K30" t="str">
            <v>BMED</v>
          </cell>
          <cell r="L30" t="str">
            <v>Normal</v>
          </cell>
          <cell r="M30" t="str">
            <v>China</v>
          </cell>
          <cell r="N30" t="str">
            <v>Sony</v>
          </cell>
          <cell r="O30" t="str">
            <v>Sony DVD-1000MD</v>
          </cell>
          <cell r="P30" t="str">
            <v>35240</v>
          </cell>
          <cell r="Q30" t="str">
            <v>Not Applicable</v>
          </cell>
          <cell r="R30" t="str">
            <v>Sony Corp</v>
          </cell>
          <cell r="S30" t="str">
            <v>Endodynamics</v>
          </cell>
          <cell r="T30" t="str">
            <v>Functioning</v>
          </cell>
          <cell r="U30" t="str">
            <v>Asset</v>
          </cell>
          <cell r="V30">
            <v>4000</v>
          </cell>
          <cell r="W30" t="str">
            <v>Estimate</v>
          </cell>
          <cell r="X30" t="str">
            <v>01/09/2010</v>
          </cell>
          <cell r="Y30" t="str">
            <v>KEW</v>
          </cell>
          <cell r="Z30" t="str">
            <v>16/08/2013</v>
          </cell>
          <cell r="AA30" t="str">
            <v>15/08/2015</v>
          </cell>
          <cell r="AB30" t="str">
            <v>No</v>
          </cell>
          <cell r="AC30" t="str">
            <v>31/08/2013</v>
          </cell>
          <cell r="AD30" t="str">
            <v>Good</v>
          </cell>
          <cell r="AE30" t="str">
            <v>V1 - Existing / No Claim</v>
          </cell>
          <cell r="AF30">
            <v>42643</v>
          </cell>
          <cell r="AG30">
            <v>9.17</v>
          </cell>
          <cell r="AH30" t="str">
            <v>RI</v>
          </cell>
          <cell r="AI30" t="str">
            <v>package</v>
          </cell>
          <cell r="AJ30" t="str">
            <v>Strands Package</v>
          </cell>
          <cell r="AK30" t="str">
            <v>IKNB03MC127</v>
          </cell>
        </row>
        <row r="31">
          <cell r="A31" t="str">
            <v>IKN400946</v>
          </cell>
          <cell r="B31">
            <v>945</v>
          </cell>
          <cell r="C31" t="str">
            <v>Institut Kanser Negara</v>
          </cell>
          <cell r="E31" t="str">
            <v>18-034</v>
          </cell>
          <cell r="F31" t="str">
            <v>Video Image Processors, Endoscopic</v>
          </cell>
          <cell r="G31" t="str">
            <v>MC</v>
          </cell>
          <cell r="H31" t="str">
            <v>MULTI-DISCIPLINE CLINIC</v>
          </cell>
          <cell r="I31" t="str">
            <v>03MC127</v>
          </cell>
          <cell r="J31" t="str">
            <v>C/E 1 (ENT)</v>
          </cell>
          <cell r="K31" t="str">
            <v>BMED</v>
          </cell>
          <cell r="L31" t="str">
            <v>Normal</v>
          </cell>
          <cell r="M31" t="str">
            <v>JAPAN</v>
          </cell>
          <cell r="N31" t="str">
            <v>Evis Exera III</v>
          </cell>
          <cell r="O31" t="str">
            <v>Evis Exera III CV-190</v>
          </cell>
          <cell r="P31" t="str">
            <v>713165</v>
          </cell>
          <cell r="Q31" t="str">
            <v>Not Applicable</v>
          </cell>
          <cell r="R31" t="str">
            <v>Olympus Medical Systems Corp</v>
          </cell>
          <cell r="S31" t="str">
            <v>Endodynamics</v>
          </cell>
          <cell r="T31" t="str">
            <v>Functioning</v>
          </cell>
          <cell r="U31" t="str">
            <v>Asset</v>
          </cell>
          <cell r="V31">
            <v>80000</v>
          </cell>
          <cell r="W31" t="str">
            <v>Estimate</v>
          </cell>
          <cell r="X31" t="str">
            <v>01/09/2010</v>
          </cell>
          <cell r="Y31" t="str">
            <v>KEW</v>
          </cell>
          <cell r="Z31" t="str">
            <v>16/08/2013</v>
          </cell>
          <cell r="AA31" t="str">
            <v>15/08/2015</v>
          </cell>
          <cell r="AB31" t="str">
            <v>No</v>
          </cell>
          <cell r="AC31" t="str">
            <v>31/08/2013</v>
          </cell>
          <cell r="AD31" t="str">
            <v>Good</v>
          </cell>
          <cell r="AE31" t="str">
            <v>V1 - Existing / No Claim</v>
          </cell>
          <cell r="AF31">
            <v>42605</v>
          </cell>
          <cell r="AG31">
            <v>9.17</v>
          </cell>
          <cell r="AH31" t="str">
            <v>PPM</v>
          </cell>
          <cell r="AI31" t="str">
            <v>package</v>
          </cell>
          <cell r="AJ31" t="str">
            <v>Strands PW</v>
          </cell>
        </row>
        <row r="32">
          <cell r="A32" t="str">
            <v>IKN400947</v>
          </cell>
          <cell r="B32">
            <v>946</v>
          </cell>
          <cell r="C32" t="str">
            <v>Institut Kanser Negara</v>
          </cell>
          <cell r="E32" t="str">
            <v>13-274</v>
          </cell>
          <cell r="F32" t="str">
            <v>Recorders, Tape, Video</v>
          </cell>
          <cell r="G32" t="str">
            <v>MC</v>
          </cell>
          <cell r="H32" t="str">
            <v>MULTI-DISCIPLINE CLINIC</v>
          </cell>
          <cell r="I32" t="str">
            <v>03MC127</v>
          </cell>
          <cell r="J32" t="str">
            <v>C/E 1 (ENT)</v>
          </cell>
          <cell r="K32" t="str">
            <v>BMED</v>
          </cell>
          <cell r="L32" t="str">
            <v>Normal</v>
          </cell>
          <cell r="M32" t="str">
            <v>USA</v>
          </cell>
          <cell r="N32" t="str">
            <v>Medicapture</v>
          </cell>
          <cell r="O32" t="str">
            <v>Medicapture</v>
          </cell>
          <cell r="P32" t="str">
            <v>803731</v>
          </cell>
          <cell r="Q32" t="str">
            <v>Not Applicable</v>
          </cell>
          <cell r="R32" t="str">
            <v>Medicapture Inc</v>
          </cell>
          <cell r="S32" t="str">
            <v>Endodynamics</v>
          </cell>
          <cell r="T32" t="str">
            <v>Functioning</v>
          </cell>
          <cell r="U32" t="str">
            <v>Asset</v>
          </cell>
          <cell r="V32">
            <v>8000</v>
          </cell>
          <cell r="W32" t="str">
            <v>Estimate</v>
          </cell>
          <cell r="X32" t="str">
            <v>01/09/2010</v>
          </cell>
          <cell r="Y32" t="str">
            <v>KEW</v>
          </cell>
          <cell r="Z32" t="str">
            <v>16/08/2013</v>
          </cell>
          <cell r="AA32" t="str">
            <v>15/08/2015</v>
          </cell>
          <cell r="AB32" t="str">
            <v>No</v>
          </cell>
          <cell r="AC32" t="str">
            <v>31/08/2013</v>
          </cell>
          <cell r="AD32" t="str">
            <v>Good</v>
          </cell>
          <cell r="AE32" t="str">
            <v>V1 - Existing / No Claim</v>
          </cell>
          <cell r="AF32">
            <v>42605</v>
          </cell>
          <cell r="AG32">
            <v>9.17</v>
          </cell>
          <cell r="AH32" t="str">
            <v>RI</v>
          </cell>
          <cell r="AI32" t="str">
            <v>package</v>
          </cell>
          <cell r="AJ32" t="str">
            <v>Strands Package</v>
          </cell>
          <cell r="AK32" t="str">
            <v>IKNB03MC127</v>
          </cell>
        </row>
        <row r="33">
          <cell r="A33" t="str">
            <v>IKN400948</v>
          </cell>
          <cell r="B33">
            <v>947</v>
          </cell>
          <cell r="C33" t="str">
            <v>Institut Kanser Negara</v>
          </cell>
          <cell r="E33" t="str">
            <v>17-002</v>
          </cell>
          <cell r="F33" t="str">
            <v>Cameras, Video, Endoscope</v>
          </cell>
          <cell r="G33" t="str">
            <v>MC</v>
          </cell>
          <cell r="H33" t="str">
            <v>MULTI-DISCIPLINE CLINIC</v>
          </cell>
          <cell r="I33" t="str">
            <v>03MC127</v>
          </cell>
          <cell r="J33" t="str">
            <v>C/E 1 (ENT)</v>
          </cell>
          <cell r="K33" t="str">
            <v>BMED</v>
          </cell>
          <cell r="L33" t="str">
            <v>Normal</v>
          </cell>
          <cell r="M33" t="str">
            <v>JAPAN</v>
          </cell>
          <cell r="N33" t="str">
            <v>Olympus</v>
          </cell>
          <cell r="O33" t="str">
            <v>Olympus OTV-S7</v>
          </cell>
          <cell r="P33" t="str">
            <v>7291748</v>
          </cell>
          <cell r="Q33" t="str">
            <v>Not Applicable</v>
          </cell>
          <cell r="R33" t="str">
            <v>Olympus Optical Co Ltd</v>
          </cell>
          <cell r="S33" t="str">
            <v>Endodynamics</v>
          </cell>
          <cell r="T33" t="str">
            <v>Functioning</v>
          </cell>
          <cell r="U33" t="str">
            <v>Asset</v>
          </cell>
          <cell r="V33">
            <v>5000</v>
          </cell>
          <cell r="W33" t="str">
            <v>Estimate</v>
          </cell>
          <cell r="X33" t="str">
            <v>01/09/2010</v>
          </cell>
          <cell r="Y33" t="str">
            <v>KEW</v>
          </cell>
          <cell r="Z33" t="str">
            <v>16/08/2013</v>
          </cell>
          <cell r="AA33" t="str">
            <v>15/08/2015</v>
          </cell>
          <cell r="AB33" t="str">
            <v>No</v>
          </cell>
          <cell r="AC33" t="str">
            <v>31/08/2013</v>
          </cell>
          <cell r="AD33" t="str">
            <v>Good</v>
          </cell>
          <cell r="AE33" t="str">
            <v>V1 - Existing / No Claim</v>
          </cell>
          <cell r="AF33">
            <v>42605</v>
          </cell>
          <cell r="AG33">
            <v>9.17</v>
          </cell>
          <cell r="AH33" t="str">
            <v>PPM</v>
          </cell>
          <cell r="AI33" t="str">
            <v>package</v>
          </cell>
          <cell r="AJ33" t="str">
            <v>Strands PW</v>
          </cell>
        </row>
        <row r="34">
          <cell r="A34" t="str">
            <v>IKN400949</v>
          </cell>
          <cell r="B34">
            <v>948</v>
          </cell>
          <cell r="C34" t="str">
            <v>Institut Kanser Negara</v>
          </cell>
          <cell r="E34" t="str">
            <v>12-343</v>
          </cell>
          <cell r="F34" t="str">
            <v>Light Sources, Fiberoptic, Flexible Endoscopic</v>
          </cell>
          <cell r="G34" t="str">
            <v>MC</v>
          </cell>
          <cell r="H34" t="str">
            <v>MULTI-DISCIPLINE CLINIC</v>
          </cell>
          <cell r="I34" t="str">
            <v>03MC127</v>
          </cell>
          <cell r="J34" t="str">
            <v>C/E 1 (ENT)</v>
          </cell>
          <cell r="K34" t="str">
            <v>BMED</v>
          </cell>
          <cell r="L34" t="str">
            <v>Normal</v>
          </cell>
          <cell r="M34" t="str">
            <v>JAPAN</v>
          </cell>
          <cell r="N34" t="str">
            <v>Olympus</v>
          </cell>
          <cell r="O34" t="str">
            <v>Olympus CLV-S45</v>
          </cell>
          <cell r="P34" t="str">
            <v>7311822</v>
          </cell>
          <cell r="Q34" t="str">
            <v>Not Applicable</v>
          </cell>
          <cell r="R34" t="str">
            <v>Olympus Optical Co Ltd</v>
          </cell>
          <cell r="S34" t="str">
            <v>Endodynamics</v>
          </cell>
          <cell r="T34" t="str">
            <v>Functioning</v>
          </cell>
          <cell r="U34" t="str">
            <v>Asset</v>
          </cell>
          <cell r="V34">
            <v>15000</v>
          </cell>
          <cell r="W34" t="str">
            <v>Estimate</v>
          </cell>
          <cell r="X34" t="str">
            <v>01/09/2010</v>
          </cell>
          <cell r="Y34" t="str">
            <v>KEW</v>
          </cell>
          <cell r="Z34" t="str">
            <v>16/08/2013</v>
          </cell>
          <cell r="AA34" t="str">
            <v>15/08/2015</v>
          </cell>
          <cell r="AB34" t="str">
            <v>No</v>
          </cell>
          <cell r="AC34" t="str">
            <v>31/08/2013</v>
          </cell>
          <cell r="AD34" t="str">
            <v>Good</v>
          </cell>
          <cell r="AE34" t="str">
            <v>V1 - Existing / No Claim</v>
          </cell>
          <cell r="AF34">
            <v>42800</v>
          </cell>
          <cell r="AG34">
            <v>9.17</v>
          </cell>
          <cell r="AH34" t="str">
            <v>PPM</v>
          </cell>
          <cell r="AI34" t="str">
            <v>package</v>
          </cell>
          <cell r="AJ34" t="str">
            <v>Strands PW</v>
          </cell>
        </row>
        <row r="35">
          <cell r="A35" t="str">
            <v>IKN400950</v>
          </cell>
          <cell r="B35">
            <v>949</v>
          </cell>
          <cell r="C35" t="str">
            <v>Institut Kanser Negara</v>
          </cell>
          <cell r="D35" t="str">
            <v>KKM/IKN/H/13/3542</v>
          </cell>
          <cell r="E35" t="str">
            <v>25-209</v>
          </cell>
          <cell r="F35" t="str">
            <v>Monitors, Physiologic, Vital Signs</v>
          </cell>
          <cell r="G35" t="str">
            <v>MC</v>
          </cell>
          <cell r="H35" t="str">
            <v>MULTI-DISCIPLINE CLINIC</v>
          </cell>
          <cell r="I35" t="str">
            <v>03MC107</v>
          </cell>
          <cell r="J35" t="str">
            <v>TREATMENT 1</v>
          </cell>
          <cell r="K35" t="str">
            <v>BMED</v>
          </cell>
          <cell r="L35" t="str">
            <v>Critical</v>
          </cell>
          <cell r="M35" t="str">
            <v>Mexico</v>
          </cell>
          <cell r="N35" t="str">
            <v>Carespace</v>
          </cell>
          <cell r="O35" t="str">
            <v>Carescape V100</v>
          </cell>
          <cell r="P35" t="str">
            <v>SH612450579SA</v>
          </cell>
          <cell r="Q35" t="str">
            <v>Not Applicable</v>
          </cell>
          <cell r="R35" t="str">
            <v>GE Healthcare Systems</v>
          </cell>
          <cell r="S35" t="str">
            <v>GE Healthcare Technologies</v>
          </cell>
          <cell r="T35" t="str">
            <v>Functioning</v>
          </cell>
          <cell r="U35" t="str">
            <v>Asset</v>
          </cell>
          <cell r="V35">
            <v>18765</v>
          </cell>
          <cell r="W35" t="str">
            <v>KEW</v>
          </cell>
          <cell r="X35" t="str">
            <v>01/09/2010</v>
          </cell>
          <cell r="Y35" t="str">
            <v>KEW</v>
          </cell>
          <cell r="Z35" t="str">
            <v>16/08/2013</v>
          </cell>
          <cell r="AA35" t="str">
            <v>15/08/2015</v>
          </cell>
          <cell r="AB35" t="str">
            <v>No</v>
          </cell>
          <cell r="AC35" t="str">
            <v>31/08/2013</v>
          </cell>
          <cell r="AD35" t="str">
            <v>Good</v>
          </cell>
          <cell r="AE35" t="str">
            <v>V1 - Existing / No Claim</v>
          </cell>
          <cell r="AF35">
            <v>42799</v>
          </cell>
          <cell r="AG35">
            <v>9.17</v>
          </cell>
          <cell r="AH35" t="str">
            <v>PPM</v>
          </cell>
          <cell r="AI35" t="str">
            <v>Strands</v>
          </cell>
          <cell r="AJ35" t="str">
            <v>Strands PW</v>
          </cell>
        </row>
        <row r="36">
          <cell r="A36" t="str">
            <v>IKN400960</v>
          </cell>
          <cell r="B36">
            <v>959</v>
          </cell>
          <cell r="C36" t="str">
            <v>Institut Kanser Negara</v>
          </cell>
          <cell r="D36" t="str">
            <v>KKM/IKN/H/13/4943</v>
          </cell>
          <cell r="E36" t="str">
            <v>12-647</v>
          </cell>
          <cell r="F36" t="str">
            <v>Physiologic Monitoring Systems, Acute Care</v>
          </cell>
          <cell r="G36" t="str">
            <v>MC</v>
          </cell>
          <cell r="H36" t="str">
            <v>MULTI-DISCIPLINE CLINIC</v>
          </cell>
          <cell r="I36" t="str">
            <v>03MC108</v>
          </cell>
          <cell r="J36" t="str">
            <v>TREATMENT/PROCEDURE</v>
          </cell>
          <cell r="K36" t="str">
            <v>BMED</v>
          </cell>
          <cell r="L36" t="str">
            <v>Critical</v>
          </cell>
          <cell r="M36" t="str">
            <v>Finland</v>
          </cell>
          <cell r="N36" t="str">
            <v>CareScape</v>
          </cell>
          <cell r="O36" t="str">
            <v>CareScape B650</v>
          </cell>
          <cell r="P36" t="str">
            <v>SEW12357360HA</v>
          </cell>
          <cell r="Q36" t="str">
            <v>Not Applicable</v>
          </cell>
          <cell r="R36" t="str">
            <v>GE Medical Systems</v>
          </cell>
          <cell r="S36" t="str">
            <v>GE Healthcare Technologies</v>
          </cell>
          <cell r="T36" t="str">
            <v>Functioning</v>
          </cell>
          <cell r="U36" t="str">
            <v>Asset</v>
          </cell>
          <cell r="V36">
            <v>87400</v>
          </cell>
          <cell r="W36" t="str">
            <v>KEW</v>
          </cell>
          <cell r="X36" t="str">
            <v>01/09/2010</v>
          </cell>
          <cell r="Y36" t="str">
            <v>KEW</v>
          </cell>
          <cell r="Z36" t="str">
            <v>16/08/2013</v>
          </cell>
          <cell r="AA36" t="str">
            <v>15/08/2015</v>
          </cell>
          <cell r="AB36" t="str">
            <v>No</v>
          </cell>
          <cell r="AC36" t="str">
            <v>31/08/2013</v>
          </cell>
          <cell r="AD36" t="str">
            <v>Good</v>
          </cell>
          <cell r="AE36" t="str">
            <v>V1 - Existing / No Claim</v>
          </cell>
          <cell r="AF36">
            <v>42799</v>
          </cell>
          <cell r="AG36">
            <v>9.17</v>
          </cell>
          <cell r="AH36" t="str">
            <v>PPM</v>
          </cell>
          <cell r="AI36" t="str">
            <v>Strands</v>
          </cell>
          <cell r="AJ36" t="str">
            <v>Strands PW</v>
          </cell>
        </row>
        <row r="37">
          <cell r="A37" t="str">
            <v>IKN401000</v>
          </cell>
          <cell r="B37">
            <v>998</v>
          </cell>
          <cell r="C37" t="str">
            <v>Institut Kanser Negara</v>
          </cell>
          <cell r="D37" t="str">
            <v>KKM/IKN/H/13/5432</v>
          </cell>
          <cell r="E37" t="str">
            <v>17-679</v>
          </cell>
          <cell r="F37" t="str">
            <v>Laser Imagers</v>
          </cell>
          <cell r="G37" t="str">
            <v>NM</v>
          </cell>
          <cell r="H37" t="str">
            <v>NUCLEAR MED (DIAGNOSTIC)</v>
          </cell>
          <cell r="I37" t="str">
            <v>03NM166</v>
          </cell>
          <cell r="J37" t="str">
            <v>REPORTING</v>
          </cell>
          <cell r="K37" t="str">
            <v>BMED</v>
          </cell>
          <cell r="L37" t="str">
            <v>Normal</v>
          </cell>
          <cell r="M37" t="str">
            <v>USA</v>
          </cell>
          <cell r="N37" t="str">
            <v>DryPix</v>
          </cell>
          <cell r="O37" t="str">
            <v>DryPix Plus</v>
          </cell>
          <cell r="P37" t="str">
            <v>26510102</v>
          </cell>
          <cell r="Q37" t="str">
            <v>Not Applicable</v>
          </cell>
          <cell r="R37" t="str">
            <v>FujiFilm Corp</v>
          </cell>
          <cell r="S37" t="str">
            <v>Advance Altimas Sdn Bhd</v>
          </cell>
          <cell r="T37" t="str">
            <v>Functioning</v>
          </cell>
          <cell r="U37" t="str">
            <v>Asset</v>
          </cell>
          <cell r="V37">
            <v>80000</v>
          </cell>
          <cell r="W37" t="str">
            <v>Estimate</v>
          </cell>
          <cell r="X37" t="str">
            <v>01/09/2010</v>
          </cell>
          <cell r="Y37" t="str">
            <v>KEW</v>
          </cell>
          <cell r="Z37" t="str">
            <v>16/08/2013</v>
          </cell>
          <cell r="AA37" t="str">
            <v>15/08/2015</v>
          </cell>
          <cell r="AB37" t="str">
            <v>No</v>
          </cell>
          <cell r="AC37" t="str">
            <v>31/08/2013</v>
          </cell>
          <cell r="AD37" t="str">
            <v>Good</v>
          </cell>
          <cell r="AE37" t="str">
            <v>V1 - Existing / No Claim</v>
          </cell>
          <cell r="AF37">
            <v>42605</v>
          </cell>
          <cell r="AG37">
            <v>9.17</v>
          </cell>
          <cell r="AH37" t="str">
            <v>PPM</v>
          </cell>
          <cell r="AI37" t="str">
            <v>Strands</v>
          </cell>
          <cell r="AJ37" t="str">
            <v>Strands Package. Proposed for V4 P2.23</v>
          </cell>
          <cell r="AK37" t="str">
            <v>Package Code XK0001B</v>
          </cell>
        </row>
        <row r="38">
          <cell r="A38" t="str">
            <v>IKN401002</v>
          </cell>
          <cell r="B38">
            <v>1000</v>
          </cell>
          <cell r="C38" t="str">
            <v>Institut Kanser Negara</v>
          </cell>
          <cell r="D38" t="str">
            <v>KKM/IKN/H/13/731</v>
          </cell>
          <cell r="E38" t="str">
            <v>10-208</v>
          </cell>
          <cell r="F38" t="str">
            <v>Aspirators</v>
          </cell>
          <cell r="G38" t="str">
            <v>MC</v>
          </cell>
          <cell r="H38" t="str">
            <v>MULTI-DISCIPLINE CLINIC</v>
          </cell>
          <cell r="I38" t="str">
            <v>03MC108</v>
          </cell>
          <cell r="J38" t="str">
            <v>TREATMENT/PROCEDURE</v>
          </cell>
          <cell r="K38" t="str">
            <v>BMED</v>
          </cell>
          <cell r="L38" t="str">
            <v>Critical</v>
          </cell>
          <cell r="M38" t="str">
            <v>Switzerland</v>
          </cell>
          <cell r="N38" t="str">
            <v>Senator</v>
          </cell>
          <cell r="O38" t="str">
            <v>Senator</v>
          </cell>
          <cell r="P38" t="str">
            <v>1220749</v>
          </cell>
          <cell r="Q38" t="str">
            <v>Not Applicable</v>
          </cell>
          <cell r="R38" t="str">
            <v>Ardo Medical AG</v>
          </cell>
          <cell r="S38" t="str">
            <v>Histopoint</v>
          </cell>
          <cell r="T38" t="str">
            <v>Functioning</v>
          </cell>
          <cell r="U38" t="str">
            <v>Asset</v>
          </cell>
          <cell r="V38">
            <v>7580</v>
          </cell>
          <cell r="W38" t="str">
            <v>KEW</v>
          </cell>
          <cell r="X38" t="str">
            <v>01/09/2010</v>
          </cell>
          <cell r="Y38" t="str">
            <v>KEW</v>
          </cell>
          <cell r="Z38" t="str">
            <v>16/08/2013</v>
          </cell>
          <cell r="AA38" t="str">
            <v>15/08/2015</v>
          </cell>
          <cell r="AB38" t="str">
            <v>No</v>
          </cell>
          <cell r="AC38" t="str">
            <v>31/08/2013</v>
          </cell>
          <cell r="AD38" t="str">
            <v>Good</v>
          </cell>
          <cell r="AE38" t="str">
            <v>V1 - Existing / No Claim</v>
          </cell>
          <cell r="AF38">
            <v>42800</v>
          </cell>
          <cell r="AG38">
            <v>9.17</v>
          </cell>
          <cell r="AH38" t="str">
            <v>PPM</v>
          </cell>
          <cell r="AI38" t="str">
            <v>Strands</v>
          </cell>
          <cell r="AJ38" t="str">
            <v>Strands PW</v>
          </cell>
        </row>
        <row r="39">
          <cell r="A39" t="str">
            <v>IKN401007</v>
          </cell>
          <cell r="B39">
            <v>1005</v>
          </cell>
          <cell r="C39" t="str">
            <v>Institut Kanser Negara</v>
          </cell>
          <cell r="D39" t="str">
            <v>KKM/IKN/H/13/3887</v>
          </cell>
          <cell r="E39" t="str">
            <v>15-999</v>
          </cell>
          <cell r="F39" t="str">
            <v>Washers, Flexible Endoscope</v>
          </cell>
          <cell r="G39" t="str">
            <v>MC</v>
          </cell>
          <cell r="H39" t="str">
            <v>MULTI-DISCIPLINE CLINIC</v>
          </cell>
          <cell r="I39" t="str">
            <v>03MC111</v>
          </cell>
          <cell r="J39" t="str">
            <v>SCOPE WASH</v>
          </cell>
          <cell r="K39" t="str">
            <v>BMED</v>
          </cell>
          <cell r="L39" t="str">
            <v>Normal</v>
          </cell>
          <cell r="M39" t="str">
            <v>Japan</v>
          </cell>
          <cell r="N39" t="str">
            <v>Olympus</v>
          </cell>
          <cell r="O39" t="str">
            <v>Olympus OER-AW</v>
          </cell>
          <cell r="P39" t="str">
            <v>2220744</v>
          </cell>
          <cell r="Q39" t="str">
            <v>Not Applicable</v>
          </cell>
          <cell r="R39" t="str">
            <v>Olympus Medical Systems Corp</v>
          </cell>
          <cell r="S39" t="str">
            <v>Endodynamics</v>
          </cell>
          <cell r="T39" t="str">
            <v>Functioning</v>
          </cell>
          <cell r="U39" t="str">
            <v>Asset</v>
          </cell>
          <cell r="V39">
            <v>126300</v>
          </cell>
          <cell r="W39" t="str">
            <v>KEW</v>
          </cell>
          <cell r="X39" t="str">
            <v>01/09/2010</v>
          </cell>
          <cell r="Y39" t="str">
            <v>KEW</v>
          </cell>
          <cell r="Z39" t="str">
            <v>16/08/2013</v>
          </cell>
          <cell r="AA39" t="str">
            <v>15/08/2015</v>
          </cell>
          <cell r="AB39" t="str">
            <v>No</v>
          </cell>
          <cell r="AC39" t="str">
            <v>31/08/2013</v>
          </cell>
          <cell r="AD39" t="str">
            <v>Good</v>
          </cell>
          <cell r="AE39" t="str">
            <v>V1 - Existing / No Claim</v>
          </cell>
          <cell r="AF39">
            <v>43063</v>
          </cell>
          <cell r="AG39">
            <v>9.17</v>
          </cell>
          <cell r="AH39" t="str">
            <v>PPM</v>
          </cell>
          <cell r="AI39" t="str">
            <v>Strands</v>
          </cell>
          <cell r="AJ39" t="str">
            <v>Strands PW</v>
          </cell>
        </row>
        <row r="40">
          <cell r="A40" t="str">
            <v>IKN401008</v>
          </cell>
          <cell r="B40">
            <v>1006</v>
          </cell>
          <cell r="C40" t="str">
            <v>Institut Kanser Negara</v>
          </cell>
          <cell r="D40" t="str">
            <v>KKM/IKN/H/13/3937</v>
          </cell>
          <cell r="E40" t="str">
            <v>15-605</v>
          </cell>
          <cell r="F40" t="str">
            <v>Testers</v>
          </cell>
          <cell r="G40" t="str">
            <v>MC</v>
          </cell>
          <cell r="H40" t="str">
            <v>MULTI-DISCIPLINE CLINIC</v>
          </cell>
          <cell r="I40" t="str">
            <v>03MC111</v>
          </cell>
          <cell r="J40" t="str">
            <v>SCOPE WASH</v>
          </cell>
          <cell r="K40" t="str">
            <v>BMED</v>
          </cell>
          <cell r="L40" t="str">
            <v>Normal</v>
          </cell>
          <cell r="M40" t="str">
            <v>Japan</v>
          </cell>
          <cell r="N40" t="str">
            <v>Olympus Jap</v>
          </cell>
          <cell r="O40" t="str">
            <v>Mu-1/ Mb-155</v>
          </cell>
          <cell r="P40" t="str">
            <v>7249963</v>
          </cell>
          <cell r="Q40" t="str">
            <v>Not Applicable</v>
          </cell>
          <cell r="R40" t="str">
            <v>Olympus Jap</v>
          </cell>
          <cell r="S40" t="str">
            <v>Endodynamics</v>
          </cell>
          <cell r="T40" t="str">
            <v>Functioning</v>
          </cell>
          <cell r="U40" t="str">
            <v>Asset</v>
          </cell>
          <cell r="V40">
            <v>2700</v>
          </cell>
          <cell r="W40" t="str">
            <v>KEW</v>
          </cell>
          <cell r="X40" t="str">
            <v>01/09/2010</v>
          </cell>
          <cell r="Y40" t="str">
            <v>KEW</v>
          </cell>
          <cell r="Z40" t="str">
            <v>16/08/2013</v>
          </cell>
          <cell r="AA40" t="str">
            <v>15/08/2015</v>
          </cell>
          <cell r="AB40" t="str">
            <v>No</v>
          </cell>
          <cell r="AC40" t="str">
            <v>31/08/2013</v>
          </cell>
          <cell r="AD40" t="str">
            <v>Good</v>
          </cell>
          <cell r="AE40" t="str">
            <v>V1 - Existing / No Claim</v>
          </cell>
          <cell r="AF40">
            <v>42542</v>
          </cell>
          <cell r="AG40">
            <v>9.17</v>
          </cell>
          <cell r="AH40" t="str">
            <v>PPM</v>
          </cell>
          <cell r="AI40" t="str">
            <v>Strands</v>
          </cell>
          <cell r="AJ40" t="str">
            <v>Strands PW</v>
          </cell>
        </row>
        <row r="41">
          <cell r="A41" t="str">
            <v>IKN401009</v>
          </cell>
          <cell r="B41">
            <v>1007</v>
          </cell>
          <cell r="C41" t="str">
            <v>Institut Kanser Negara</v>
          </cell>
          <cell r="D41" t="str">
            <v>KKM/IKN/H/13/173</v>
          </cell>
          <cell r="E41" t="str">
            <v>17-665</v>
          </cell>
          <cell r="F41" t="str">
            <v>Colonoscopes, Video</v>
          </cell>
          <cell r="G41" t="str">
            <v>MC</v>
          </cell>
          <cell r="H41" t="str">
            <v>MULTI-DISCIPLINE CLINIC</v>
          </cell>
          <cell r="I41" t="str">
            <v>03MC108</v>
          </cell>
          <cell r="J41" t="str">
            <v>TREATMENT/PROCEDURE</v>
          </cell>
          <cell r="K41" t="str">
            <v>BMED</v>
          </cell>
          <cell r="L41" t="str">
            <v>Normal</v>
          </cell>
          <cell r="M41" t="str">
            <v>Japan</v>
          </cell>
          <cell r="N41" t="str">
            <v>Olympus</v>
          </cell>
          <cell r="O41" t="str">
            <v>Olympus PCF-H190L</v>
          </cell>
          <cell r="P41" t="str">
            <v>2200270</v>
          </cell>
          <cell r="Q41" t="str">
            <v>Not Applicable</v>
          </cell>
          <cell r="R41" t="str">
            <v>Olympus Medical Systems Corp</v>
          </cell>
          <cell r="S41" t="str">
            <v>Endodynamics</v>
          </cell>
          <cell r="T41" t="str">
            <v>Functioning</v>
          </cell>
          <cell r="U41" t="str">
            <v>Asset</v>
          </cell>
          <cell r="V41">
            <v>143382</v>
          </cell>
          <cell r="W41" t="str">
            <v>KEW</v>
          </cell>
          <cell r="X41" t="str">
            <v>01/09/2010</v>
          </cell>
          <cell r="Y41" t="str">
            <v>KEW</v>
          </cell>
          <cell r="Z41" t="str">
            <v>16/08/2013</v>
          </cell>
          <cell r="AA41" t="str">
            <v>15/08/2015</v>
          </cell>
          <cell r="AB41" t="str">
            <v>No</v>
          </cell>
          <cell r="AC41" t="str">
            <v>31/08/2013</v>
          </cell>
          <cell r="AD41" t="str">
            <v>Good</v>
          </cell>
          <cell r="AE41" t="str">
            <v>V1 - Existing / No Claim</v>
          </cell>
          <cell r="AF41">
            <v>42514</v>
          </cell>
          <cell r="AG41">
            <v>9.17</v>
          </cell>
          <cell r="AH41" t="str">
            <v>PPM</v>
          </cell>
          <cell r="AI41" t="str">
            <v>Strands</v>
          </cell>
          <cell r="AJ41" t="str">
            <v>Strands PW</v>
          </cell>
        </row>
        <row r="42">
          <cell r="A42" t="str">
            <v>IKN401010</v>
          </cell>
          <cell r="B42">
            <v>1008</v>
          </cell>
          <cell r="C42" t="str">
            <v>Institut Kanser Negara</v>
          </cell>
          <cell r="D42" t="str">
            <v>KKM/IKN/H/13/175</v>
          </cell>
          <cell r="E42" t="str">
            <v>17-663</v>
          </cell>
          <cell r="F42" t="str">
            <v>Gastroscopes, Flexible, Video</v>
          </cell>
          <cell r="G42" t="str">
            <v>MC</v>
          </cell>
          <cell r="H42" t="str">
            <v>MULTI-DISCIPLINE CLINIC</v>
          </cell>
          <cell r="I42" t="str">
            <v>03MC108</v>
          </cell>
          <cell r="J42" t="str">
            <v>TREATMENT/PROCEDURE</v>
          </cell>
          <cell r="K42" t="str">
            <v>BMED</v>
          </cell>
          <cell r="L42" t="str">
            <v>Normal</v>
          </cell>
          <cell r="M42" t="str">
            <v>Japan</v>
          </cell>
          <cell r="N42" t="str">
            <v>Olympus</v>
          </cell>
          <cell r="O42" t="str">
            <v>Olympus GIF-XTQ160</v>
          </cell>
          <cell r="P42" t="str">
            <v>2200808</v>
          </cell>
          <cell r="Q42" t="str">
            <v>Not Applicable</v>
          </cell>
          <cell r="R42" t="str">
            <v>Olympus Optical Co Ltd</v>
          </cell>
          <cell r="S42" t="str">
            <v>Endodynamics</v>
          </cell>
          <cell r="T42" t="str">
            <v>Functioning</v>
          </cell>
          <cell r="U42" t="str">
            <v>Asset</v>
          </cell>
          <cell r="V42">
            <v>118230</v>
          </cell>
          <cell r="W42" t="str">
            <v>KEW</v>
          </cell>
          <cell r="X42" t="str">
            <v>01/09/2010</v>
          </cell>
          <cell r="Y42" t="str">
            <v>KEW</v>
          </cell>
          <cell r="Z42" t="str">
            <v>16/08/2013</v>
          </cell>
          <cell r="AA42" t="str">
            <v>15/08/2015</v>
          </cell>
          <cell r="AB42" t="str">
            <v>No</v>
          </cell>
          <cell r="AC42" t="str">
            <v>31/08/2013</v>
          </cell>
          <cell r="AD42" t="str">
            <v>Good</v>
          </cell>
          <cell r="AE42" t="str">
            <v>V1 - Existing / No Claim</v>
          </cell>
          <cell r="AF42">
            <v>42514</v>
          </cell>
          <cell r="AG42">
            <v>9.17</v>
          </cell>
          <cell r="AH42" t="str">
            <v>PPM</v>
          </cell>
          <cell r="AI42" t="str">
            <v>Strands</v>
          </cell>
          <cell r="AJ42" t="str">
            <v>Strands PW</v>
          </cell>
        </row>
        <row r="43">
          <cell r="A43" t="str">
            <v>IKN401012</v>
          </cell>
          <cell r="B43">
            <v>1010</v>
          </cell>
          <cell r="C43" t="str">
            <v>Institut Kanser Negara</v>
          </cell>
          <cell r="E43" t="str">
            <v>12-343</v>
          </cell>
          <cell r="F43" t="str">
            <v>Light Sources, Fiberoptic, Flexible Endoscopic</v>
          </cell>
          <cell r="G43" t="str">
            <v>MC</v>
          </cell>
          <cell r="H43" t="str">
            <v>MULTI-DISCIPLINE CLINIC</v>
          </cell>
          <cell r="I43" t="str">
            <v>03MC108</v>
          </cell>
          <cell r="J43" t="str">
            <v>TREATMENT/PROCEDURE</v>
          </cell>
          <cell r="K43" t="str">
            <v>BMED</v>
          </cell>
          <cell r="L43" t="str">
            <v>Normal</v>
          </cell>
          <cell r="M43" t="str">
            <v>JAPAN</v>
          </cell>
          <cell r="N43" t="str">
            <v>Olympus</v>
          </cell>
          <cell r="O43" t="str">
            <v>Olympus CLV-S45</v>
          </cell>
          <cell r="P43" t="str">
            <v>7211418</v>
          </cell>
          <cell r="Q43" t="str">
            <v>Not Applicable</v>
          </cell>
          <cell r="R43" t="str">
            <v>Karl Storz GmbH</v>
          </cell>
          <cell r="S43" t="str">
            <v>Endodynamics</v>
          </cell>
          <cell r="T43" t="str">
            <v>Functioning</v>
          </cell>
          <cell r="U43" t="str">
            <v>Asset</v>
          </cell>
          <cell r="V43">
            <v>35000</v>
          </cell>
          <cell r="W43" t="str">
            <v>Estimate</v>
          </cell>
          <cell r="X43" t="str">
            <v>01/09/2010</v>
          </cell>
          <cell r="Y43" t="str">
            <v>KEW</v>
          </cell>
          <cell r="Z43" t="str">
            <v>16/08/2013</v>
          </cell>
          <cell r="AA43" t="str">
            <v>15/08/2015</v>
          </cell>
          <cell r="AB43" t="str">
            <v>No</v>
          </cell>
          <cell r="AC43" t="str">
            <v>31/08/2013</v>
          </cell>
          <cell r="AD43" t="str">
            <v>Good</v>
          </cell>
          <cell r="AE43" t="str">
            <v>V1 - Existing / No Claim</v>
          </cell>
          <cell r="AF43">
            <v>43543</v>
          </cell>
          <cell r="AG43">
            <v>9.17</v>
          </cell>
          <cell r="AH43" t="str">
            <v>PPM</v>
          </cell>
          <cell r="AI43" t="str">
            <v>package</v>
          </cell>
          <cell r="AJ43" t="str">
            <v>Strands PW</v>
          </cell>
        </row>
        <row r="44">
          <cell r="A44" t="str">
            <v>IKN401070</v>
          </cell>
          <cell r="B44">
            <v>1068</v>
          </cell>
          <cell r="C44" t="str">
            <v>Institut Kanser Negara</v>
          </cell>
          <cell r="D44" t="str">
            <v>KKM/IKN/H/13/3935-03</v>
          </cell>
          <cell r="E44" t="str">
            <v>12-343</v>
          </cell>
          <cell r="F44" t="str">
            <v>Light Sources, Fiberoptic, Flexible Endoscopic</v>
          </cell>
          <cell r="G44" t="str">
            <v>MC</v>
          </cell>
          <cell r="H44" t="str">
            <v>MULTI-DISCIPLINE CLINIC</v>
          </cell>
          <cell r="I44" t="str">
            <v>03MC108</v>
          </cell>
          <cell r="J44" t="str">
            <v>TREATMENT/PROCEDURE</v>
          </cell>
          <cell r="K44" t="str">
            <v>BMED</v>
          </cell>
          <cell r="L44" t="str">
            <v>Normal</v>
          </cell>
          <cell r="M44" t="str">
            <v>Japan</v>
          </cell>
          <cell r="N44" t="str">
            <v>Evis Exera III</v>
          </cell>
          <cell r="O44" t="str">
            <v>Evis Exera III CLV-190</v>
          </cell>
          <cell r="P44" t="str">
            <v>7222936</v>
          </cell>
          <cell r="Q44" t="str">
            <v>Not Applicable</v>
          </cell>
          <cell r="R44" t="str">
            <v>Olympus Medical Systems Corp</v>
          </cell>
          <cell r="S44" t="str">
            <v>Endodynamics</v>
          </cell>
          <cell r="T44" t="str">
            <v>Functioning</v>
          </cell>
          <cell r="U44" t="str">
            <v>Asset</v>
          </cell>
          <cell r="V44">
            <v>52460</v>
          </cell>
          <cell r="W44" t="str">
            <v>Estimate</v>
          </cell>
          <cell r="X44" t="str">
            <v>01/09/2010</v>
          </cell>
          <cell r="Y44" t="str">
            <v>KEW</v>
          </cell>
          <cell r="Z44" t="str">
            <v>16/08/2013</v>
          </cell>
          <cell r="AA44" t="str">
            <v>15/08/2015</v>
          </cell>
          <cell r="AB44" t="str">
            <v>No</v>
          </cell>
          <cell r="AC44" t="str">
            <v>31/08/2013</v>
          </cell>
          <cell r="AD44" t="str">
            <v>Good</v>
          </cell>
          <cell r="AE44" t="str">
            <v>V1 - Existing / No Claim</v>
          </cell>
          <cell r="AF44">
            <v>42605</v>
          </cell>
          <cell r="AG44">
            <v>9.17</v>
          </cell>
          <cell r="AH44" t="str">
            <v>PPM</v>
          </cell>
          <cell r="AI44" t="str">
            <v>Strands</v>
          </cell>
          <cell r="AJ44" t="str">
            <v>Strands Package</v>
          </cell>
          <cell r="AK44" t="str">
            <v>Package Code EP0110</v>
          </cell>
        </row>
        <row r="45">
          <cell r="A45" t="str">
            <v>IKN401071</v>
          </cell>
          <cell r="B45">
            <v>1069</v>
          </cell>
          <cell r="C45" t="str">
            <v>Institut Kanser Negara</v>
          </cell>
          <cell r="D45" t="str">
            <v>KKM/IKN/H/13/3935</v>
          </cell>
          <cell r="E45" t="str">
            <v>18-034</v>
          </cell>
          <cell r="F45" t="str">
            <v>Video Image Processors, Endoscopic</v>
          </cell>
          <cell r="G45" t="str">
            <v>MC</v>
          </cell>
          <cell r="H45" t="str">
            <v>MULTI-DISCIPLINE CLINIC</v>
          </cell>
          <cell r="I45" t="str">
            <v>03MC108</v>
          </cell>
          <cell r="J45" t="str">
            <v>TREATMENT/PROCEDURE</v>
          </cell>
          <cell r="K45" t="str">
            <v>BMED</v>
          </cell>
          <cell r="L45" t="str">
            <v>Normal</v>
          </cell>
          <cell r="M45" t="str">
            <v>JAPAN</v>
          </cell>
          <cell r="N45" t="str">
            <v>Evis Exera III</v>
          </cell>
          <cell r="O45" t="str">
            <v>Evis Exera III CV-190</v>
          </cell>
          <cell r="P45" t="str">
            <v>7211777</v>
          </cell>
          <cell r="Q45" t="str">
            <v>Not Applicable</v>
          </cell>
          <cell r="R45" t="str">
            <v>Olympus Medical Systems Corp</v>
          </cell>
          <cell r="S45" t="str">
            <v>Endodynamics</v>
          </cell>
          <cell r="T45" t="str">
            <v>Functioning</v>
          </cell>
          <cell r="U45" t="str">
            <v>Asset</v>
          </cell>
          <cell r="V45">
            <v>80000</v>
          </cell>
          <cell r="W45" t="str">
            <v>Estimate</v>
          </cell>
          <cell r="X45" t="str">
            <v>01/09/2010</v>
          </cell>
          <cell r="Y45" t="str">
            <v>KEW</v>
          </cell>
          <cell r="Z45" t="str">
            <v>16/08/2013</v>
          </cell>
          <cell r="AA45" t="str">
            <v>15/08/2015</v>
          </cell>
          <cell r="AB45" t="str">
            <v>No</v>
          </cell>
          <cell r="AC45" t="str">
            <v>31/08/2013</v>
          </cell>
          <cell r="AD45" t="str">
            <v>Good</v>
          </cell>
          <cell r="AE45" t="str">
            <v>V1 - Existing / No Claim</v>
          </cell>
          <cell r="AF45">
            <v>42605</v>
          </cell>
          <cell r="AG45">
            <v>9.17</v>
          </cell>
          <cell r="AH45" t="str">
            <v>PPM</v>
          </cell>
          <cell r="AI45" t="str">
            <v>Strands</v>
          </cell>
          <cell r="AJ45" t="str">
            <v>Strands Package</v>
          </cell>
          <cell r="AK45" t="str">
            <v>Package Code EP0110</v>
          </cell>
        </row>
        <row r="46">
          <cell r="A46" t="str">
            <v>IKN401072</v>
          </cell>
          <cell r="B46">
            <v>1070</v>
          </cell>
          <cell r="C46" t="str">
            <v>Institut Kanser Negara</v>
          </cell>
          <cell r="D46" t="str">
            <v>KKM/IKN/H/13/3935-02</v>
          </cell>
          <cell r="E46" t="str">
            <v>15-967</v>
          </cell>
          <cell r="F46" t="str">
            <v>Television Systems, Endoscope</v>
          </cell>
          <cell r="G46" t="str">
            <v>MC</v>
          </cell>
          <cell r="H46" t="str">
            <v>MULTI-DISCIPLINE CLINIC</v>
          </cell>
          <cell r="I46" t="str">
            <v>03MC108</v>
          </cell>
          <cell r="J46" t="str">
            <v>TREATMENT/PROCEDURE</v>
          </cell>
          <cell r="K46" t="str">
            <v>BMED</v>
          </cell>
          <cell r="L46" t="str">
            <v>Normal</v>
          </cell>
          <cell r="M46" t="str">
            <v>JAPAN</v>
          </cell>
          <cell r="N46" t="str">
            <v>Olympus</v>
          </cell>
          <cell r="O46" t="str">
            <v>Olympus OEV261H</v>
          </cell>
          <cell r="P46" t="str">
            <v>7246184</v>
          </cell>
          <cell r="Q46" t="str">
            <v>Not Applicable</v>
          </cell>
          <cell r="R46" t="str">
            <v>Olympus Medical Systems Corp</v>
          </cell>
          <cell r="S46" t="str">
            <v>Endodynamics</v>
          </cell>
          <cell r="T46" t="str">
            <v>Functioning</v>
          </cell>
          <cell r="U46" t="str">
            <v>Asset</v>
          </cell>
          <cell r="V46">
            <v>30000</v>
          </cell>
          <cell r="W46" t="str">
            <v>Estimate</v>
          </cell>
          <cell r="X46" t="str">
            <v>01/09/2010</v>
          </cell>
          <cell r="Y46" t="str">
            <v>KEW</v>
          </cell>
          <cell r="Z46" t="str">
            <v>16/08/2013</v>
          </cell>
          <cell r="AA46" t="str">
            <v>15/08/2015</v>
          </cell>
          <cell r="AB46" t="str">
            <v>No</v>
          </cell>
          <cell r="AC46" t="str">
            <v>31/08/2013</v>
          </cell>
          <cell r="AD46" t="str">
            <v>Good</v>
          </cell>
          <cell r="AE46" t="str">
            <v>V1 - Existing / No Claim</v>
          </cell>
          <cell r="AF46">
            <v>42605</v>
          </cell>
          <cell r="AG46">
            <v>9.17</v>
          </cell>
          <cell r="AH46" t="str">
            <v>RI</v>
          </cell>
          <cell r="AI46" t="str">
            <v>Strands</v>
          </cell>
          <cell r="AJ46" t="str">
            <v>Strands Package</v>
          </cell>
          <cell r="AK46" t="str">
            <v>Package Code EP0110</v>
          </cell>
        </row>
        <row r="47">
          <cell r="A47" t="str">
            <v>IKN401073</v>
          </cell>
          <cell r="B47">
            <v>1071</v>
          </cell>
          <cell r="C47" t="str">
            <v>Institut Kanser Negara</v>
          </cell>
          <cell r="D47" t="str">
            <v>KKM/IKN/H/13/3935-04</v>
          </cell>
          <cell r="E47" t="str">
            <v>13-274</v>
          </cell>
          <cell r="F47" t="str">
            <v>Recorders, Tape, Video</v>
          </cell>
          <cell r="G47" t="str">
            <v>MC</v>
          </cell>
          <cell r="H47" t="str">
            <v>MULTI-DISCIPLINE CLINIC</v>
          </cell>
          <cell r="I47" t="str">
            <v>03MC108</v>
          </cell>
          <cell r="J47" t="str">
            <v>TREATMENT/PROCEDURE</v>
          </cell>
          <cell r="K47" t="str">
            <v>BMED</v>
          </cell>
          <cell r="L47" t="str">
            <v>Normal</v>
          </cell>
          <cell r="M47" t="str">
            <v>China</v>
          </cell>
          <cell r="N47" t="str">
            <v>Sony</v>
          </cell>
          <cell r="O47" t="str">
            <v>Sony DVD-1000MD</v>
          </cell>
          <cell r="P47" t="str">
            <v>35243</v>
          </cell>
          <cell r="Q47" t="str">
            <v>Not Applicable</v>
          </cell>
          <cell r="R47" t="str">
            <v>Sony Corp</v>
          </cell>
          <cell r="S47" t="str">
            <v>Endodynamics</v>
          </cell>
          <cell r="T47" t="str">
            <v>Functioning</v>
          </cell>
          <cell r="U47" t="str">
            <v>Asset</v>
          </cell>
          <cell r="V47">
            <v>4000</v>
          </cell>
          <cell r="W47" t="str">
            <v>Estimate</v>
          </cell>
          <cell r="X47" t="str">
            <v>01/09/2010</v>
          </cell>
          <cell r="Y47" t="str">
            <v>KEW</v>
          </cell>
          <cell r="Z47" t="str">
            <v>16/08/2013</v>
          </cell>
          <cell r="AA47" t="str">
            <v>15/08/2015</v>
          </cell>
          <cell r="AB47" t="str">
            <v>No</v>
          </cell>
          <cell r="AC47" t="str">
            <v>31/08/2013</v>
          </cell>
          <cell r="AD47" t="str">
            <v>Good</v>
          </cell>
          <cell r="AE47" t="str">
            <v>V1 - Existing / No Claim</v>
          </cell>
          <cell r="AF47">
            <v>42605</v>
          </cell>
          <cell r="AG47">
            <v>9.17</v>
          </cell>
          <cell r="AH47" t="str">
            <v>RI</v>
          </cell>
          <cell r="AI47" t="str">
            <v>Strands</v>
          </cell>
          <cell r="AJ47" t="str">
            <v>Strands Package</v>
          </cell>
          <cell r="AK47" t="str">
            <v>Package Code EP0110</v>
          </cell>
        </row>
        <row r="48">
          <cell r="A48" t="str">
            <v>IKN401074</v>
          </cell>
          <cell r="B48">
            <v>1072</v>
          </cell>
          <cell r="C48" t="str">
            <v>Institut Kanser Negara</v>
          </cell>
          <cell r="D48" t="str">
            <v>KKM/IKN/H/13/3935-08</v>
          </cell>
          <cell r="E48" t="str">
            <v>17-508</v>
          </cell>
          <cell r="F48" t="str">
            <v>Printers, Video</v>
          </cell>
          <cell r="G48" t="str">
            <v>MC</v>
          </cell>
          <cell r="H48" t="str">
            <v>MULTI-DISCIPLINE CLINIC</v>
          </cell>
          <cell r="I48" t="str">
            <v>03MC108</v>
          </cell>
          <cell r="J48" t="str">
            <v>TREATMENT/PROCEDURE</v>
          </cell>
          <cell r="K48" t="str">
            <v>BMED</v>
          </cell>
          <cell r="L48" t="str">
            <v>Normal</v>
          </cell>
          <cell r="M48" t="str">
            <v>Japan</v>
          </cell>
          <cell r="N48" t="str">
            <v>Sony</v>
          </cell>
          <cell r="O48" t="str">
            <v>Sony UP-25MD</v>
          </cell>
          <cell r="P48" t="str">
            <v>713164</v>
          </cell>
          <cell r="Q48" t="str">
            <v>Not Applicable</v>
          </cell>
          <cell r="R48" t="str">
            <v>Sony Corp</v>
          </cell>
          <cell r="S48" t="str">
            <v>V Medical Services</v>
          </cell>
          <cell r="T48" t="str">
            <v>Functioning</v>
          </cell>
          <cell r="U48" t="str">
            <v>Asset</v>
          </cell>
          <cell r="V48">
            <v>4000</v>
          </cell>
          <cell r="W48" t="str">
            <v>Estimate</v>
          </cell>
          <cell r="X48" t="str">
            <v>01/09/2010</v>
          </cell>
          <cell r="Y48" t="str">
            <v>KEW</v>
          </cell>
          <cell r="Z48" t="str">
            <v>16/08/2013</v>
          </cell>
          <cell r="AA48" t="str">
            <v>15/08/2015</v>
          </cell>
          <cell r="AB48" t="str">
            <v>No</v>
          </cell>
          <cell r="AC48" t="str">
            <v>31/08/2013</v>
          </cell>
          <cell r="AD48" t="str">
            <v>Good</v>
          </cell>
          <cell r="AE48" t="str">
            <v>V1 - Existing / No Claim</v>
          </cell>
          <cell r="AF48">
            <v>42605</v>
          </cell>
          <cell r="AG48">
            <v>9.17</v>
          </cell>
          <cell r="AH48" t="str">
            <v>RI</v>
          </cell>
          <cell r="AI48" t="str">
            <v>Strands</v>
          </cell>
          <cell r="AJ48" t="str">
            <v>Strands Package</v>
          </cell>
          <cell r="AK48" t="str">
            <v>Package Code EP0110</v>
          </cell>
        </row>
        <row r="49">
          <cell r="A49" t="str">
            <v>IKN401075</v>
          </cell>
          <cell r="B49">
            <v>1073</v>
          </cell>
          <cell r="C49" t="str">
            <v>Institut Kanser Negara</v>
          </cell>
          <cell r="D49" t="str">
            <v>KKM/IKN/H/13/3935-05</v>
          </cell>
          <cell r="E49" t="str">
            <v>18-231</v>
          </cell>
          <cell r="F49" t="str">
            <v>Electrosurgical Units, Monopolar/Bipolar</v>
          </cell>
          <cell r="G49" t="str">
            <v>MC</v>
          </cell>
          <cell r="H49" t="str">
            <v>MULTI-DISCIPLINE CLINIC</v>
          </cell>
          <cell r="I49" t="str">
            <v>03MC108</v>
          </cell>
          <cell r="J49" t="str">
            <v>TREATMENT/PROCEDURE</v>
          </cell>
          <cell r="K49" t="str">
            <v>BMED</v>
          </cell>
          <cell r="L49" t="str">
            <v>Critical</v>
          </cell>
          <cell r="M49" t="str">
            <v>Japan</v>
          </cell>
          <cell r="N49" t="str">
            <v>Olympus</v>
          </cell>
          <cell r="O49" t="str">
            <v>Olympus PSD-30</v>
          </cell>
          <cell r="P49" t="str">
            <v>7274818</v>
          </cell>
          <cell r="Q49" t="str">
            <v>Not Applicable</v>
          </cell>
          <cell r="R49" t="str">
            <v>Olympus Medical Systems Corp</v>
          </cell>
          <cell r="S49" t="str">
            <v>Endodynamics</v>
          </cell>
          <cell r="T49" t="str">
            <v>Functioning</v>
          </cell>
          <cell r="U49" t="str">
            <v>Asset</v>
          </cell>
          <cell r="V49">
            <v>20000</v>
          </cell>
          <cell r="W49" t="str">
            <v>Estimate</v>
          </cell>
          <cell r="X49" t="str">
            <v>01/09/2010</v>
          </cell>
          <cell r="Y49" t="str">
            <v>KEW</v>
          </cell>
          <cell r="Z49" t="str">
            <v>16/08/2013</v>
          </cell>
          <cell r="AA49" t="str">
            <v>15/08/2015</v>
          </cell>
          <cell r="AB49" t="str">
            <v>No</v>
          </cell>
          <cell r="AC49" t="str">
            <v>31/08/2013</v>
          </cell>
          <cell r="AD49" t="str">
            <v>Good</v>
          </cell>
          <cell r="AE49" t="str">
            <v>V1 - Existing / No Claim</v>
          </cell>
          <cell r="AF49">
            <v>43430</v>
          </cell>
          <cell r="AG49">
            <v>9.17</v>
          </cell>
          <cell r="AH49" t="str">
            <v>PPM</v>
          </cell>
          <cell r="AI49" t="str">
            <v>Strands</v>
          </cell>
          <cell r="AJ49" t="str">
            <v>Strands Package</v>
          </cell>
          <cell r="AK49" t="str">
            <v>Package Code EP0110</v>
          </cell>
        </row>
        <row r="50">
          <cell r="A50" t="str">
            <v>IKN401076</v>
          </cell>
          <cell r="B50">
            <v>1074</v>
          </cell>
          <cell r="C50" t="str">
            <v>Institut Kanser Negara</v>
          </cell>
          <cell r="D50" t="str">
            <v>KKM/IKN/H/13/3935-06</v>
          </cell>
          <cell r="E50" t="str">
            <v>12-306</v>
          </cell>
          <cell r="F50" t="str">
            <v>Lavage Units, Surgical</v>
          </cell>
          <cell r="G50" t="str">
            <v>MC</v>
          </cell>
          <cell r="H50" t="str">
            <v>MULTI-DISCIPLINE CLINIC</v>
          </cell>
          <cell r="I50" t="str">
            <v>03MC108</v>
          </cell>
          <cell r="J50" t="str">
            <v>TREATMENT/PROCEDURE</v>
          </cell>
          <cell r="K50" t="str">
            <v>BMED</v>
          </cell>
          <cell r="L50" t="str">
            <v>Critical</v>
          </cell>
          <cell r="M50" t="str">
            <v>JAPAN</v>
          </cell>
          <cell r="N50" t="str">
            <v>Olympus</v>
          </cell>
          <cell r="O50" t="str">
            <v>Olympus OFP-2</v>
          </cell>
          <cell r="P50" t="str">
            <v>21214324</v>
          </cell>
          <cell r="Q50" t="str">
            <v>Not Applicable</v>
          </cell>
          <cell r="R50" t="str">
            <v>Olympus Optical Co Ltd</v>
          </cell>
          <cell r="S50" t="str">
            <v>Endodynamics</v>
          </cell>
          <cell r="T50" t="str">
            <v>Functioning</v>
          </cell>
          <cell r="U50" t="str">
            <v>Asset</v>
          </cell>
          <cell r="V50">
            <v>5000</v>
          </cell>
          <cell r="W50" t="str">
            <v>Estimate</v>
          </cell>
          <cell r="X50" t="str">
            <v>01/09/2010</v>
          </cell>
          <cell r="Y50" t="str">
            <v>KEW</v>
          </cell>
          <cell r="Z50" t="str">
            <v>16/08/2013</v>
          </cell>
          <cell r="AA50" t="str">
            <v>15/08/2015</v>
          </cell>
          <cell r="AB50" t="str">
            <v>No</v>
          </cell>
          <cell r="AC50" t="str">
            <v>31/08/2013</v>
          </cell>
          <cell r="AD50" t="str">
            <v>Good</v>
          </cell>
          <cell r="AE50" t="str">
            <v>V1 - Existing / No Claim</v>
          </cell>
          <cell r="AF50">
            <v>42605</v>
          </cell>
          <cell r="AG50">
            <v>9.17</v>
          </cell>
          <cell r="AH50" t="str">
            <v>PPM</v>
          </cell>
          <cell r="AI50" t="str">
            <v>Strands</v>
          </cell>
          <cell r="AJ50" t="str">
            <v>Strands Package</v>
          </cell>
          <cell r="AK50" t="str">
            <v>Package Code EP0110</v>
          </cell>
        </row>
        <row r="51">
          <cell r="A51" t="str">
            <v>IKN401077</v>
          </cell>
          <cell r="B51">
            <v>1075</v>
          </cell>
          <cell r="C51" t="str">
            <v>Institut Kanser Negara</v>
          </cell>
          <cell r="D51" t="str">
            <v>KKM/IKN/H/13/3935-07</v>
          </cell>
          <cell r="E51" t="str">
            <v>10-208</v>
          </cell>
          <cell r="F51" t="str">
            <v>Aspirators</v>
          </cell>
          <cell r="G51" t="str">
            <v>MC</v>
          </cell>
          <cell r="H51" t="str">
            <v>MULTI-DISCIPLINE CLINIC</v>
          </cell>
          <cell r="I51" t="str">
            <v>03MC108</v>
          </cell>
          <cell r="J51" t="str">
            <v>TREATMENT/PROCEDURE</v>
          </cell>
          <cell r="K51" t="str">
            <v>BMED</v>
          </cell>
          <cell r="L51" t="str">
            <v>Critical</v>
          </cell>
          <cell r="M51" t="str">
            <v>Japan</v>
          </cell>
          <cell r="N51" t="str">
            <v>Olympus</v>
          </cell>
          <cell r="O51" t="str">
            <v>Olympus SSU-2</v>
          </cell>
          <cell r="P51" t="str">
            <v>21214442</v>
          </cell>
          <cell r="Q51" t="str">
            <v>Not Applicable</v>
          </cell>
          <cell r="R51" t="str">
            <v>Olympus Optical Co Ltd</v>
          </cell>
          <cell r="S51" t="str">
            <v>Endodynamics</v>
          </cell>
          <cell r="T51" t="str">
            <v>Functioning</v>
          </cell>
          <cell r="U51" t="str">
            <v>Asset</v>
          </cell>
          <cell r="V51">
            <v>4000</v>
          </cell>
          <cell r="W51" t="str">
            <v>Estimate</v>
          </cell>
          <cell r="X51" t="str">
            <v>01/09/2010</v>
          </cell>
          <cell r="Y51" t="str">
            <v>KEW</v>
          </cell>
          <cell r="Z51" t="str">
            <v>16/08/2013</v>
          </cell>
          <cell r="AA51" t="str">
            <v>15/08/2015</v>
          </cell>
          <cell r="AB51" t="str">
            <v>No</v>
          </cell>
          <cell r="AC51" t="str">
            <v>31/08/2013</v>
          </cell>
          <cell r="AD51" t="str">
            <v>Good</v>
          </cell>
          <cell r="AE51" t="str">
            <v>V1 - Existing / No Claim</v>
          </cell>
          <cell r="AF51">
            <v>42605</v>
          </cell>
          <cell r="AG51">
            <v>9.17</v>
          </cell>
          <cell r="AH51" t="str">
            <v>PPM</v>
          </cell>
          <cell r="AI51" t="str">
            <v>Strands</v>
          </cell>
          <cell r="AJ51" t="str">
            <v>Strands Package</v>
          </cell>
          <cell r="AK51" t="str">
            <v>Package Code EP0110</v>
          </cell>
        </row>
        <row r="52">
          <cell r="A52" t="str">
            <v>IKN401090</v>
          </cell>
          <cell r="B52">
            <v>1088</v>
          </cell>
          <cell r="C52" t="str">
            <v>Institut Kanser Negara</v>
          </cell>
          <cell r="E52" t="str">
            <v>12-282</v>
          </cell>
          <cell r="F52" t="str">
            <v>Lights, Surgical</v>
          </cell>
          <cell r="G52" t="str">
            <v>MC</v>
          </cell>
          <cell r="H52" t="str">
            <v>MULTI-DISCIPLINE CLINIC</v>
          </cell>
          <cell r="I52" t="str">
            <v>03MC108</v>
          </cell>
          <cell r="J52" t="str">
            <v>TREATMENT/PROCEDURE</v>
          </cell>
          <cell r="K52" t="str">
            <v>BMED</v>
          </cell>
          <cell r="L52" t="str">
            <v>Normal</v>
          </cell>
          <cell r="M52" t="str">
            <v>USA</v>
          </cell>
          <cell r="N52" t="str">
            <v>Welch Allyn</v>
          </cell>
          <cell r="O52" t="str">
            <v>Welch Allyn GS900</v>
          </cell>
          <cell r="P52" t="str">
            <v>10033711107108</v>
          </cell>
          <cell r="Q52" t="str">
            <v>Not Applicable</v>
          </cell>
          <cell r="R52" t="str">
            <v>Welch Allyn Inc</v>
          </cell>
          <cell r="S52" t="str">
            <v>Welch Allyn Malaysia Sdn Bhd</v>
          </cell>
          <cell r="T52" t="str">
            <v>Functioning</v>
          </cell>
          <cell r="U52" t="str">
            <v>Asset</v>
          </cell>
          <cell r="V52">
            <v>10585</v>
          </cell>
          <cell r="W52" t="str">
            <v>KEW</v>
          </cell>
          <cell r="X52" t="str">
            <v>01/09/2010</v>
          </cell>
          <cell r="Y52" t="str">
            <v>KEW</v>
          </cell>
          <cell r="Z52" t="str">
            <v>16/08/2013</v>
          </cell>
          <cell r="AA52" t="str">
            <v>15/08/2015</v>
          </cell>
          <cell r="AB52" t="str">
            <v>No</v>
          </cell>
          <cell r="AC52" t="str">
            <v>31/08/2013</v>
          </cell>
          <cell r="AD52" t="str">
            <v>Good</v>
          </cell>
          <cell r="AE52" t="str">
            <v>V1 - Existing / No Claim</v>
          </cell>
          <cell r="AF52">
            <v>42235</v>
          </cell>
          <cell r="AG52">
            <v>9.17</v>
          </cell>
          <cell r="AH52" t="str">
            <v>PPM</v>
          </cell>
          <cell r="AI52" t="str">
            <v>Not in contract- FEMS -ambulan</v>
          </cell>
          <cell r="AJ52" t="str">
            <v>Strands PW</v>
          </cell>
        </row>
        <row r="53">
          <cell r="A53" t="str">
            <v>IKN401311</v>
          </cell>
          <cell r="B53">
            <v>1307</v>
          </cell>
          <cell r="C53" t="str">
            <v>Institut Kanser Negara</v>
          </cell>
          <cell r="D53" t="str">
            <v>KKM/IKN/H/16/11</v>
          </cell>
          <cell r="E53" t="str">
            <v>18-231</v>
          </cell>
          <cell r="F53" t="str">
            <v>Electrosurgical Units, Monopolar/Bipolar</v>
          </cell>
          <cell r="G53" t="str">
            <v>MC</v>
          </cell>
          <cell r="H53" t="str">
            <v>MULTI-DISCIPLINE CLINIC</v>
          </cell>
          <cell r="I53" t="str">
            <v>03MC107</v>
          </cell>
          <cell r="J53" t="str">
            <v>TREATMENT 1</v>
          </cell>
          <cell r="K53" t="str">
            <v>BMED</v>
          </cell>
          <cell r="L53" t="str">
            <v>Critical</v>
          </cell>
          <cell r="M53" t="str">
            <v>USA</v>
          </cell>
          <cell r="N53" t="str">
            <v>Covidien</v>
          </cell>
          <cell r="O53" t="str">
            <v>Force FX-8CS</v>
          </cell>
          <cell r="P53" t="str">
            <v>F5L75006AX</v>
          </cell>
          <cell r="Q53" t="str">
            <v>Not Applicable</v>
          </cell>
          <cell r="R53" t="str">
            <v>Covidien Co</v>
          </cell>
          <cell r="S53" t="str">
            <v>Medtronic</v>
          </cell>
          <cell r="T53" t="str">
            <v>Functioning</v>
          </cell>
          <cell r="U53" t="str">
            <v>Asset</v>
          </cell>
          <cell r="V53">
            <v>36000</v>
          </cell>
          <cell r="W53" t="str">
            <v>KEW</v>
          </cell>
          <cell r="X53" t="str">
            <v>12/08/2016</v>
          </cell>
          <cell r="Y53" t="str">
            <v>KEW</v>
          </cell>
          <cell r="Z53" t="str">
            <v>07/10/2016</v>
          </cell>
          <cell r="AA53" t="str">
            <v>08/10/2018</v>
          </cell>
          <cell r="AB53" t="str">
            <v>No</v>
          </cell>
          <cell r="AC53" t="str">
            <v>07/10/2016</v>
          </cell>
          <cell r="AD53" t="str">
            <v>Good</v>
          </cell>
          <cell r="AE53" t="str">
            <v>V3 - Added Installed Facilities (New)</v>
          </cell>
          <cell r="AF53">
            <v>42799</v>
          </cell>
          <cell r="AG53">
            <v>3.25</v>
          </cell>
          <cell r="AH53" t="str">
            <v>PPM</v>
          </cell>
          <cell r="AI53" t="str">
            <v>Strands</v>
          </cell>
          <cell r="AJ53" t="str">
            <v>Strands PW</v>
          </cell>
          <cell r="AK53" t="str">
            <v>SNF received on 25.2.2020</v>
          </cell>
        </row>
        <row r="54">
          <cell r="A54" t="str">
            <v>IKN401338</v>
          </cell>
          <cell r="B54">
            <v>1332</v>
          </cell>
          <cell r="C54" t="str">
            <v>Institut Kanser Negara</v>
          </cell>
          <cell r="D54" t="str">
            <v>KKM/IKN/H/16/37</v>
          </cell>
          <cell r="E54" t="str">
            <v>18-231</v>
          </cell>
          <cell r="F54" t="str">
            <v>Electrosurgical Units, Monopolar/Bipolar</v>
          </cell>
          <cell r="G54" t="str">
            <v>MC</v>
          </cell>
          <cell r="H54" t="str">
            <v>MULTI-DISCIPLINE CLINIC</v>
          </cell>
          <cell r="I54" t="str">
            <v>03MC107</v>
          </cell>
          <cell r="J54" t="str">
            <v>TREATMENT 1</v>
          </cell>
          <cell r="K54" t="str">
            <v>BMED</v>
          </cell>
          <cell r="L54" t="str">
            <v>Critical</v>
          </cell>
          <cell r="M54" t="str">
            <v>France</v>
          </cell>
          <cell r="N54" t="str">
            <v>Servotome</v>
          </cell>
          <cell r="O54" t="str">
            <v>Servotome</v>
          </cell>
          <cell r="P54" t="str">
            <v>871532005</v>
          </cell>
          <cell r="Q54" t="str">
            <v>Not Applicable</v>
          </cell>
          <cell r="R54" t="str">
            <v>Satelec</v>
          </cell>
          <cell r="S54" t="str">
            <v>RAF SYNERGY SDN BHD</v>
          </cell>
          <cell r="T54" t="str">
            <v>Functioning</v>
          </cell>
          <cell r="U54" t="str">
            <v>Asset</v>
          </cell>
          <cell r="V54">
            <v>16000</v>
          </cell>
          <cell r="W54" t="str">
            <v>KEW</v>
          </cell>
          <cell r="X54" t="str">
            <v>27/10/2016</v>
          </cell>
          <cell r="Y54" t="str">
            <v>KEW</v>
          </cell>
          <cell r="Z54" t="str">
            <v>06/12/2016</v>
          </cell>
          <cell r="AA54" t="str">
            <v>06/12/2018</v>
          </cell>
          <cell r="AB54" t="str">
            <v>No</v>
          </cell>
          <cell r="AC54" t="str">
            <v>06/12/2016</v>
          </cell>
          <cell r="AD54" t="str">
            <v>Good</v>
          </cell>
          <cell r="AE54" t="str">
            <v>V3 - Added Installed Facilities (New)</v>
          </cell>
          <cell r="AF54">
            <v>42951</v>
          </cell>
          <cell r="AG54">
            <v>3.08</v>
          </cell>
          <cell r="AH54" t="str">
            <v>PPM</v>
          </cell>
          <cell r="AI54" t="str">
            <v>Strands</v>
          </cell>
          <cell r="AJ54" t="str">
            <v>Strands PW</v>
          </cell>
          <cell r="AK54" t="str">
            <v>SNF received on 25.2.2020</v>
          </cell>
        </row>
        <row r="55">
          <cell r="A55" t="str">
            <v>IKN401444</v>
          </cell>
          <cell r="B55">
            <v>1419</v>
          </cell>
          <cell r="C55" t="str">
            <v>Institut Kanser Negara</v>
          </cell>
          <cell r="D55" t="str">
            <v>KKM/IKN/H/13/2432</v>
          </cell>
          <cell r="E55" t="str">
            <v>13-461</v>
          </cell>
          <cell r="F55" t="str">
            <v>Scales, Patient, Floor</v>
          </cell>
          <cell r="G55" t="str">
            <v>DO</v>
          </cell>
          <cell r="H55" t="str">
            <v>DAY ONCOLOGY UNIT</v>
          </cell>
          <cell r="I55" t="str">
            <v>04DO105</v>
          </cell>
          <cell r="J55" t="str">
            <v>C/E</v>
          </cell>
          <cell r="K55" t="str">
            <v>BMED</v>
          </cell>
          <cell r="L55" t="str">
            <v>Normal</v>
          </cell>
          <cell r="M55" t="str">
            <v>USA</v>
          </cell>
          <cell r="N55" t="str">
            <v>Detecto</v>
          </cell>
          <cell r="O55" t="str">
            <v>758 C</v>
          </cell>
          <cell r="P55" t="str">
            <v>E34812-0038</v>
          </cell>
          <cell r="Q55" t="str">
            <v>Not Applicable</v>
          </cell>
          <cell r="R55" t="str">
            <v>DETECTO</v>
          </cell>
          <cell r="S55" t="str">
            <v>ACUCARE SYSTEM SDN BHD</v>
          </cell>
          <cell r="T55" t="str">
            <v>Functioning</v>
          </cell>
          <cell r="U55" t="str">
            <v>Asset</v>
          </cell>
          <cell r="V55">
            <v>9380</v>
          </cell>
          <cell r="W55" t="str">
            <v>KEW</v>
          </cell>
          <cell r="X55" t="str">
            <v>01/09/2010</v>
          </cell>
          <cell r="Y55" t="str">
            <v>Estimate</v>
          </cell>
          <cell r="Z55" t="str">
            <v>16/08/2013</v>
          </cell>
          <cell r="AA55" t="str">
            <v>15/08/2015</v>
          </cell>
          <cell r="AB55" t="str">
            <v>No</v>
          </cell>
          <cell r="AC55" t="str">
            <v>31/08/2013</v>
          </cell>
          <cell r="AD55" t="str">
            <v>Good</v>
          </cell>
          <cell r="AE55" t="str">
            <v>V1 - Existing / No Claim</v>
          </cell>
          <cell r="AF55">
            <v>43430</v>
          </cell>
          <cell r="AG55">
            <v>9.17</v>
          </cell>
          <cell r="AH55" t="str">
            <v>PPM</v>
          </cell>
          <cell r="AI55" t="str">
            <v>Strands</v>
          </cell>
          <cell r="AJ55" t="str">
            <v>Strands PW. Proposed for V4 P2.23</v>
          </cell>
        </row>
        <row r="56">
          <cell r="A56" t="str">
            <v>IKN401525</v>
          </cell>
          <cell r="B56">
            <v>1465</v>
          </cell>
          <cell r="C56" t="str">
            <v>Institut Kanser Negara</v>
          </cell>
          <cell r="D56" t="str">
            <v>KKM/IKN/H/16/35 &amp; KKM/IKN/H21/82 (Accessory)</v>
          </cell>
          <cell r="E56" t="str">
            <v>10-792</v>
          </cell>
          <cell r="F56" t="str">
            <v>Chairs, Examination/Treatment, Dentistry</v>
          </cell>
          <cell r="G56" t="str">
            <v>MC</v>
          </cell>
          <cell r="H56" t="str">
            <v>MULTI-DISCIPLINE CLINIC</v>
          </cell>
          <cell r="I56" t="str">
            <v>03MC107</v>
          </cell>
          <cell r="J56" t="str">
            <v>TREATMENT 1</v>
          </cell>
          <cell r="K56" t="str">
            <v>BMED</v>
          </cell>
          <cell r="L56" t="str">
            <v>Normal</v>
          </cell>
          <cell r="M56" t="str">
            <v>Germany</v>
          </cell>
          <cell r="N56" t="str">
            <v>KAVO</v>
          </cell>
          <cell r="O56" t="str">
            <v>RAF 1058 LIFE</v>
          </cell>
          <cell r="P56" t="str">
            <v>2016-08-1000650</v>
          </cell>
          <cell r="Q56" t="str">
            <v>Not Applicable</v>
          </cell>
          <cell r="R56" t="str">
            <v>KALTENBACH &amp; VOIGT GMBH</v>
          </cell>
          <cell r="S56" t="str">
            <v>RAF SYNERGY SDN BHD</v>
          </cell>
          <cell r="T56" t="str">
            <v>Functioning</v>
          </cell>
          <cell r="U56" t="str">
            <v>Asset</v>
          </cell>
          <cell r="V56">
            <v>72000</v>
          </cell>
          <cell r="W56" t="str">
            <v>KEW</v>
          </cell>
          <cell r="X56" t="str">
            <v>27/10/2016</v>
          </cell>
          <cell r="Y56" t="str">
            <v>KEW</v>
          </cell>
          <cell r="Z56" t="str">
            <v>06/12/2016</v>
          </cell>
          <cell r="AA56" t="str">
            <v>06/12/2018</v>
          </cell>
          <cell r="AB56" t="str">
            <v>No</v>
          </cell>
          <cell r="AC56" t="str">
            <v>06/12/2016</v>
          </cell>
          <cell r="AD56" t="str">
            <v>Good</v>
          </cell>
          <cell r="AE56" t="str">
            <v>V3 - Added Installed Facilities (New)</v>
          </cell>
          <cell r="AF56">
            <v>43019</v>
          </cell>
          <cell r="AG56">
            <v>3.08</v>
          </cell>
          <cell r="AH56" t="str">
            <v>PPM</v>
          </cell>
          <cell r="AI56" t="str">
            <v>Strands</v>
          </cell>
          <cell r="AJ56" t="str">
            <v>Strands PW</v>
          </cell>
          <cell r="AK56" t="str">
            <v>SNF received on 25.2.2020. [17/5/2024, SHARIFAH]: Add KEWPA Accessory SN: KAV-1.007.5540</v>
          </cell>
        </row>
        <row r="57">
          <cell r="A57" t="str">
            <v>IKN401532</v>
          </cell>
          <cell r="B57">
            <v>1472</v>
          </cell>
          <cell r="C57" t="str">
            <v>Institut Kanser Negara</v>
          </cell>
          <cell r="E57" t="str">
            <v>17-848</v>
          </cell>
          <cell r="F57" t="str">
            <v>Biopsy Guns</v>
          </cell>
          <cell r="G57" t="str">
            <v>MC</v>
          </cell>
          <cell r="H57" t="str">
            <v>MULTI-DISCIPLINE CLINIC</v>
          </cell>
          <cell r="I57" t="str">
            <v>03MC108</v>
          </cell>
          <cell r="J57" t="str">
            <v>TREATMENT/PROCEDURE</v>
          </cell>
          <cell r="K57" t="str">
            <v>BMED</v>
          </cell>
          <cell r="L57" t="str">
            <v>Critical</v>
          </cell>
          <cell r="M57" t="str">
            <v>USA</v>
          </cell>
          <cell r="N57" t="str">
            <v>Magnum</v>
          </cell>
          <cell r="O57" t="str">
            <v>Magnum MG1522</v>
          </cell>
          <cell r="P57" t="str">
            <v>51DY0001</v>
          </cell>
          <cell r="Q57" t="str">
            <v>Not Applicable</v>
          </cell>
          <cell r="R57" t="str">
            <v>Bard Peripheral Vascular Inc</v>
          </cell>
          <cell r="S57" t="str">
            <v>SAPPHIRE MEDTECH INDUSTRIES</v>
          </cell>
          <cell r="T57" t="str">
            <v>Functioning</v>
          </cell>
          <cell r="U57" t="str">
            <v>Asset</v>
          </cell>
          <cell r="V57">
            <v>7750</v>
          </cell>
          <cell r="W57" t="str">
            <v>KEW</v>
          </cell>
          <cell r="X57" t="str">
            <v>25/09/2014</v>
          </cell>
          <cell r="Y57" t="str">
            <v>KEW</v>
          </cell>
          <cell r="Z57" t="str">
            <v>09/10/2014</v>
          </cell>
          <cell r="AA57" t="str">
            <v>09/10/2015</v>
          </cell>
          <cell r="AB57" t="str">
            <v>No</v>
          </cell>
          <cell r="AC57" t="str">
            <v>09/10/2014</v>
          </cell>
          <cell r="AD57" t="str">
            <v>Good</v>
          </cell>
          <cell r="AE57" t="str">
            <v>V3 - Added Installed Facilities (New)</v>
          </cell>
          <cell r="AF57">
            <v>42899</v>
          </cell>
          <cell r="AG57">
            <v>5.17</v>
          </cell>
          <cell r="AH57" t="str">
            <v>PPM</v>
          </cell>
          <cell r="AI57" t="str">
            <v>Not in contract</v>
          </cell>
          <cell r="AJ57" t="str">
            <v>Strands PW</v>
          </cell>
          <cell r="AK57" t="str">
            <v>Unit not found. So will be under V4 later</v>
          </cell>
        </row>
        <row r="58">
          <cell r="A58" t="str">
            <v>IKN401617</v>
          </cell>
          <cell r="B58">
            <v>1551</v>
          </cell>
          <cell r="C58" t="str">
            <v>Institut Kanser Negara</v>
          </cell>
          <cell r="D58" t="str">
            <v>KKM/IKN/H/16/36</v>
          </cell>
          <cell r="E58" t="str">
            <v>10-208</v>
          </cell>
          <cell r="F58" t="str">
            <v>Aspirators</v>
          </cell>
          <cell r="G58" t="str">
            <v>MC</v>
          </cell>
          <cell r="H58" t="str">
            <v>MULTI-DISCIPLINE CLINIC</v>
          </cell>
          <cell r="I58" t="str">
            <v>03MC107</v>
          </cell>
          <cell r="J58" t="str">
            <v>TREATMENT 1</v>
          </cell>
          <cell r="K58" t="str">
            <v>BMED</v>
          </cell>
          <cell r="L58" t="str">
            <v>Critical</v>
          </cell>
          <cell r="M58" t="str">
            <v>Korea</v>
          </cell>
          <cell r="N58" t="str">
            <v>Omega</v>
          </cell>
          <cell r="O58" t="str">
            <v>S101C</v>
          </cell>
          <cell r="P58" t="str">
            <v>SIC 16380034</v>
          </cell>
          <cell r="Q58" t="str">
            <v>Not Applicable</v>
          </cell>
          <cell r="R58" t="str">
            <v>OMEGA</v>
          </cell>
          <cell r="S58" t="str">
            <v>RAF SYNERGY SDN BHD</v>
          </cell>
          <cell r="T58" t="str">
            <v>Functioning</v>
          </cell>
          <cell r="U58" t="str">
            <v>Asset</v>
          </cell>
          <cell r="V58">
            <v>4900</v>
          </cell>
          <cell r="W58" t="str">
            <v>KEW</v>
          </cell>
          <cell r="X58" t="str">
            <v>27/10/2016</v>
          </cell>
          <cell r="Y58" t="str">
            <v>KEW</v>
          </cell>
          <cell r="Z58" t="str">
            <v>06/12/2016</v>
          </cell>
          <cell r="AA58" t="str">
            <v>06/12/2018</v>
          </cell>
          <cell r="AB58" t="str">
            <v>No</v>
          </cell>
          <cell r="AC58" t="str">
            <v>06/12/2016</v>
          </cell>
          <cell r="AD58" t="str">
            <v>Good</v>
          </cell>
          <cell r="AE58" t="str">
            <v>V3 - Added Installed Facilities (New)</v>
          </cell>
          <cell r="AF58">
            <v>42951</v>
          </cell>
          <cell r="AG58">
            <v>3.08</v>
          </cell>
          <cell r="AH58" t="str">
            <v>PPM</v>
          </cell>
          <cell r="AI58" t="str">
            <v>Strands</v>
          </cell>
          <cell r="AJ58" t="str">
            <v>Strands PW</v>
          </cell>
          <cell r="AK58" t="str">
            <v>SNF received. 1st batch of V3 asset (December 2020)</v>
          </cell>
        </row>
        <row r="59">
          <cell r="A59" t="str">
            <v>IKN401618</v>
          </cell>
          <cell r="B59">
            <v>1552</v>
          </cell>
          <cell r="C59" t="str">
            <v>Institut Kanser Negara</v>
          </cell>
          <cell r="D59" t="str">
            <v>KKM/IKN/H/16/39</v>
          </cell>
          <cell r="E59" t="str">
            <v>10-972</v>
          </cell>
          <cell r="F59" t="str">
            <v>Compressors, Medical-Air</v>
          </cell>
          <cell r="G59" t="str">
            <v>MC</v>
          </cell>
          <cell r="H59" t="str">
            <v>MULTI-DISCIPLINE CLINIC</v>
          </cell>
          <cell r="I59" t="str">
            <v>03MC107</v>
          </cell>
          <cell r="J59" t="str">
            <v>TREATMENT 1</v>
          </cell>
          <cell r="K59" t="str">
            <v>BMED</v>
          </cell>
          <cell r="L59" t="str">
            <v>Normal</v>
          </cell>
          <cell r="M59" t="str">
            <v>Germany</v>
          </cell>
          <cell r="N59" t="str">
            <v>Tornado</v>
          </cell>
          <cell r="O59" t="str">
            <v>Tornado 1</v>
          </cell>
          <cell r="P59" t="str">
            <v>H 103304706</v>
          </cell>
          <cell r="Q59" t="str">
            <v>Not Applicable</v>
          </cell>
          <cell r="R59" t="str">
            <v>Durr Dental Ag</v>
          </cell>
          <cell r="S59" t="str">
            <v>RAF SYNERGY SDN BHD</v>
          </cell>
          <cell r="T59" t="str">
            <v>Functioning</v>
          </cell>
          <cell r="U59" t="str">
            <v>Asset</v>
          </cell>
          <cell r="V59">
            <v>7000</v>
          </cell>
          <cell r="W59" t="str">
            <v>KEW</v>
          </cell>
          <cell r="X59" t="str">
            <v>27/10/2016</v>
          </cell>
          <cell r="Y59" t="str">
            <v>KEW</v>
          </cell>
          <cell r="Z59" t="str">
            <v>06/12/2016</v>
          </cell>
          <cell r="AA59" t="str">
            <v>06/12/2018</v>
          </cell>
          <cell r="AB59" t="str">
            <v>No</v>
          </cell>
          <cell r="AC59" t="str">
            <v>06/12/2016</v>
          </cell>
          <cell r="AD59" t="str">
            <v>Good</v>
          </cell>
          <cell r="AE59" t="str">
            <v>V3 - Added Installed Facilities (New)</v>
          </cell>
          <cell r="AF59">
            <v>42951</v>
          </cell>
          <cell r="AG59">
            <v>3.08</v>
          </cell>
          <cell r="AH59" t="str">
            <v>PPM</v>
          </cell>
          <cell r="AI59" t="str">
            <v>Strands</v>
          </cell>
          <cell r="AJ59" t="str">
            <v>Strands PW</v>
          </cell>
          <cell r="AK59" t="str">
            <v>SNF received. 1st batch of V3 asset (December 2020)</v>
          </cell>
        </row>
        <row r="60">
          <cell r="A60" t="str">
            <v>IKN401619</v>
          </cell>
          <cell r="B60">
            <v>1553</v>
          </cell>
          <cell r="C60" t="str">
            <v>Institut Kanser Negara</v>
          </cell>
          <cell r="D60" t="str">
            <v>KKM/IKN/H/16/38</v>
          </cell>
          <cell r="E60" t="str">
            <v>88-026</v>
          </cell>
          <cell r="F60" t="str">
            <v>Cameras, Video, Dental, Intraoral/Extraoral</v>
          </cell>
          <cell r="G60" t="str">
            <v>MC</v>
          </cell>
          <cell r="H60" t="str">
            <v>MULTI-DISCIPLINE CLINIC</v>
          </cell>
          <cell r="I60" t="str">
            <v>03MC107</v>
          </cell>
          <cell r="J60" t="str">
            <v>TREATMENT 1</v>
          </cell>
          <cell r="K60" t="str">
            <v>BMED</v>
          </cell>
          <cell r="L60" t="str">
            <v>Critical</v>
          </cell>
          <cell r="M60" t="str">
            <v>France</v>
          </cell>
          <cell r="N60" t="str">
            <v>Satelec</v>
          </cell>
          <cell r="O60" t="str">
            <v>Durr Vista Cam-1x</v>
          </cell>
          <cell r="P60" t="str">
            <v>H006083</v>
          </cell>
          <cell r="Q60" t="str">
            <v>Not Applicable</v>
          </cell>
          <cell r="R60" t="str">
            <v>DURR DENTAL AG</v>
          </cell>
          <cell r="S60" t="str">
            <v>RAF SYNERGY SDN BHD</v>
          </cell>
          <cell r="T60" t="str">
            <v>Functioning</v>
          </cell>
          <cell r="U60" t="str">
            <v>Asset</v>
          </cell>
          <cell r="V60">
            <v>20000</v>
          </cell>
          <cell r="W60" t="str">
            <v>KEW</v>
          </cell>
          <cell r="X60" t="str">
            <v>27/10/2016</v>
          </cell>
          <cell r="Y60" t="str">
            <v>KEW</v>
          </cell>
          <cell r="Z60" t="str">
            <v>06/12/2016</v>
          </cell>
          <cell r="AA60" t="str">
            <v>06/12/2018</v>
          </cell>
          <cell r="AB60" t="str">
            <v>No</v>
          </cell>
          <cell r="AC60" t="str">
            <v>06/12/2016</v>
          </cell>
          <cell r="AD60" t="str">
            <v>Good</v>
          </cell>
          <cell r="AE60" t="str">
            <v>V3 - Added Installed Facilities (New)</v>
          </cell>
          <cell r="AF60">
            <v>42951</v>
          </cell>
          <cell r="AG60">
            <v>3.08</v>
          </cell>
          <cell r="AH60" t="str">
            <v>PPM</v>
          </cell>
          <cell r="AI60" t="str">
            <v>Strands</v>
          </cell>
          <cell r="AJ60" t="str">
            <v>Strands PW</v>
          </cell>
          <cell r="AK60" t="str">
            <v>SNF received. 1st batch of V3 asset (December 2020)</v>
          </cell>
        </row>
        <row r="61">
          <cell r="A61" t="str">
            <v>IKN402001</v>
          </cell>
          <cell r="B61">
            <v>1656</v>
          </cell>
          <cell r="C61" t="str">
            <v>Institut Kanser Negara</v>
          </cell>
          <cell r="D61" t="str">
            <v>KKM/IKN/H/19/5</v>
          </cell>
          <cell r="E61" t="str">
            <v>16-666</v>
          </cell>
          <cell r="F61" t="str">
            <v>Dental Hand Instruments, Surgical</v>
          </cell>
          <cell r="G61" t="str">
            <v>MC</v>
          </cell>
          <cell r="H61" t="str">
            <v>MULTI-DISCIPLINE CLINIC</v>
          </cell>
          <cell r="I61" t="str">
            <v>03MC107</v>
          </cell>
          <cell r="J61" t="str">
            <v>TREATMENT 1</v>
          </cell>
          <cell r="K61" t="str">
            <v>BMED</v>
          </cell>
          <cell r="L61" t="str">
            <v>Normal</v>
          </cell>
          <cell r="M61" t="str">
            <v>Switzerland</v>
          </cell>
          <cell r="N61" t="str">
            <v>DEPUY SYNTHES</v>
          </cell>
          <cell r="O61" t="str">
            <v>01.001.560</v>
          </cell>
          <cell r="P61" t="str">
            <v>(21)3699</v>
          </cell>
          <cell r="Q61" t="str">
            <v>Not Applicable</v>
          </cell>
          <cell r="R61" t="str">
            <v>DEPUY SYNTHES</v>
          </cell>
          <cell r="S61" t="str">
            <v>JOHNSON &amp; JOHNSON SDN BHD</v>
          </cell>
          <cell r="T61" t="str">
            <v>Functioning</v>
          </cell>
          <cell r="U61" t="str">
            <v>Asset</v>
          </cell>
          <cell r="V61">
            <v>89980</v>
          </cell>
          <cell r="W61" t="str">
            <v>KEW</v>
          </cell>
          <cell r="X61">
            <v>43677</v>
          </cell>
          <cell r="Y61" t="str">
            <v>KEW</v>
          </cell>
          <cell r="Z61">
            <v>43725</v>
          </cell>
          <cell r="AA61">
            <v>44091</v>
          </cell>
          <cell r="AB61" t="str">
            <v>No</v>
          </cell>
          <cell r="AC61">
            <v>43725</v>
          </cell>
          <cell r="AD61" t="str">
            <v>Good</v>
          </cell>
          <cell r="AE61" t="str">
            <v>V3 - Added Installed Facilities (New)</v>
          </cell>
          <cell r="AG61">
            <v>9.17</v>
          </cell>
          <cell r="AH61" t="str">
            <v>PPM</v>
          </cell>
          <cell r="AI61" t="str">
            <v>strands</v>
          </cell>
          <cell r="AJ61" t="str">
            <v>Strands PW</v>
          </cell>
        </row>
        <row r="62">
          <cell r="A62" t="str">
            <v>IKN402002</v>
          </cell>
          <cell r="B62">
            <v>1657</v>
          </cell>
          <cell r="C62" t="str">
            <v>Institut Kanser Negara</v>
          </cell>
          <cell r="D62" t="str">
            <v>KKM/IKN/H/19/19</v>
          </cell>
          <cell r="E62" t="str">
            <v>15-976</v>
          </cell>
          <cell r="F62" t="str">
            <v>Scanning Systems, Ultrasonic, General-Purpose</v>
          </cell>
          <cell r="G62" t="str">
            <v>MC</v>
          </cell>
          <cell r="H62" t="str">
            <v>MULTI-DISCIPLINE CLINIC</v>
          </cell>
          <cell r="I62" t="str">
            <v>03MC128</v>
          </cell>
          <cell r="J62" t="str">
            <v>C/E 2</v>
          </cell>
          <cell r="K62" t="str">
            <v>BMED</v>
          </cell>
          <cell r="L62" t="str">
            <v>Normal</v>
          </cell>
          <cell r="M62" t="str">
            <v>CHINA</v>
          </cell>
          <cell r="N62" t="str">
            <v>MINDRAY</v>
          </cell>
          <cell r="O62" t="str">
            <v>DC-70X</v>
          </cell>
          <cell r="P62" t="str">
            <v>CJ1-99001151</v>
          </cell>
          <cell r="Q62" t="str">
            <v>Not Applicable</v>
          </cell>
          <cell r="R62" t="str">
            <v>MINDRAY</v>
          </cell>
          <cell r="S62" t="str">
            <v>INFINITY MEDICAL SDN BHD</v>
          </cell>
          <cell r="T62" t="str">
            <v>Functioning</v>
          </cell>
          <cell r="U62" t="str">
            <v>Asset</v>
          </cell>
          <cell r="V62">
            <v>142800</v>
          </cell>
          <cell r="W62" t="str">
            <v>KEW</v>
          </cell>
          <cell r="X62">
            <v>43788</v>
          </cell>
          <cell r="Y62" t="str">
            <v>KEW</v>
          </cell>
          <cell r="Z62">
            <v>43791</v>
          </cell>
          <cell r="AA62">
            <v>44887</v>
          </cell>
          <cell r="AB62" t="str">
            <v>No</v>
          </cell>
          <cell r="AC62">
            <v>43791</v>
          </cell>
          <cell r="AD62" t="str">
            <v>Good</v>
          </cell>
          <cell r="AE62" t="str">
            <v>V3 - Added Installed Facilities (New)</v>
          </cell>
          <cell r="AG62">
            <v>9.17</v>
          </cell>
          <cell r="AH62" t="str">
            <v>PPM</v>
          </cell>
          <cell r="AI62" t="str">
            <v>strands</v>
          </cell>
          <cell r="AJ62" t="str">
            <v>Strands DW</v>
          </cell>
        </row>
        <row r="63">
          <cell r="A63" t="str">
            <v>IKN402021</v>
          </cell>
          <cell r="B63">
            <v>1676</v>
          </cell>
          <cell r="C63" t="str">
            <v>Institut Kanser Negara</v>
          </cell>
          <cell r="D63" t="str">
            <v>KKM/IKN/H/20/9</v>
          </cell>
          <cell r="E63" t="str">
            <v>10-429</v>
          </cell>
          <cell r="F63" t="str">
            <v>Blood-Flow Detectors, Ultrasonic</v>
          </cell>
          <cell r="G63" t="str">
            <v>MC</v>
          </cell>
          <cell r="H63" t="str">
            <v>MULTI-DISCIPLINE CLINIC</v>
          </cell>
          <cell r="I63" t="str">
            <v>03MC107</v>
          </cell>
          <cell r="J63" t="str">
            <v>TREATMENT 1</v>
          </cell>
          <cell r="K63" t="str">
            <v>BMED</v>
          </cell>
          <cell r="L63" t="str">
            <v>Normal</v>
          </cell>
          <cell r="M63" t="str">
            <v>United Kingdom</v>
          </cell>
          <cell r="N63" t="str">
            <v>Huntleigh</v>
          </cell>
          <cell r="O63" t="str">
            <v>DMX-R</v>
          </cell>
          <cell r="P63" t="str">
            <v>(21)772A200785119</v>
          </cell>
          <cell r="Q63" t="str">
            <v>Not Applicable</v>
          </cell>
          <cell r="R63" t="str">
            <v>Huntleigh</v>
          </cell>
          <cell r="S63" t="str">
            <v>J &amp; J MURNI SDN BHD</v>
          </cell>
          <cell r="T63" t="str">
            <v>Functioning</v>
          </cell>
          <cell r="U63" t="str">
            <v>Asset</v>
          </cell>
          <cell r="V63">
            <v>15000</v>
          </cell>
          <cell r="W63" t="str">
            <v>KEW</v>
          </cell>
          <cell r="X63">
            <v>43907</v>
          </cell>
          <cell r="Y63" t="str">
            <v>KEW</v>
          </cell>
          <cell r="Z63">
            <v>43949</v>
          </cell>
          <cell r="AA63">
            <v>44314</v>
          </cell>
          <cell r="AB63" t="str">
            <v>No</v>
          </cell>
          <cell r="AC63">
            <v>43949</v>
          </cell>
          <cell r="AD63" t="str">
            <v>Good</v>
          </cell>
          <cell r="AE63" t="str">
            <v>V3 - Added Installed Facilities (New)</v>
          </cell>
          <cell r="AG63">
            <v>9.17</v>
          </cell>
          <cell r="AH63" t="str">
            <v>PPM</v>
          </cell>
          <cell r="AI63" t="str">
            <v>Strands</v>
          </cell>
          <cell r="AJ63" t="str">
            <v>Strands PW</v>
          </cell>
          <cell r="AK63" t="str">
            <v>SNF received on 19.5.2020</v>
          </cell>
        </row>
        <row r="64">
          <cell r="A64" t="str">
            <v>IKN402022</v>
          </cell>
          <cell r="B64">
            <v>1677</v>
          </cell>
          <cell r="C64" t="str">
            <v>Institut Kanser Negara</v>
          </cell>
          <cell r="D64" t="str">
            <v>KKM/IKN/H/20/8</v>
          </cell>
          <cell r="E64" t="str">
            <v>14-074</v>
          </cell>
          <cell r="F64" t="str">
            <v>Tourniquets, Pneumatic</v>
          </cell>
          <cell r="G64" t="str">
            <v>MC</v>
          </cell>
          <cell r="H64" t="str">
            <v>MULTI-DISCIPLINE CLINIC</v>
          </cell>
          <cell r="I64" t="str">
            <v>OT</v>
          </cell>
          <cell r="J64" t="str">
            <v>OPERATION THEATRE</v>
          </cell>
          <cell r="K64" t="str">
            <v>BMED</v>
          </cell>
          <cell r="L64" t="str">
            <v>Normal</v>
          </cell>
          <cell r="M64" t="str">
            <v>USA</v>
          </cell>
          <cell r="N64" t="str">
            <v>Zimmer</v>
          </cell>
          <cell r="O64" t="str">
            <v>ATS 4000</v>
          </cell>
          <cell r="P64" t="str">
            <v>40190814-007</v>
          </cell>
          <cell r="Q64" t="str">
            <v>Not Applicable</v>
          </cell>
          <cell r="R64" t="str">
            <v>Zimmer</v>
          </cell>
          <cell r="S64" t="str">
            <v>Metro Jendela Sdn Bhd</v>
          </cell>
          <cell r="T64" t="str">
            <v>Functioning</v>
          </cell>
          <cell r="U64" t="str">
            <v>Asset</v>
          </cell>
          <cell r="V64">
            <v>43000</v>
          </cell>
          <cell r="W64" t="str">
            <v>KEW</v>
          </cell>
          <cell r="X64">
            <v>43907</v>
          </cell>
          <cell r="Y64" t="str">
            <v>KEW</v>
          </cell>
          <cell r="Z64">
            <v>43950</v>
          </cell>
          <cell r="AA64">
            <v>44680</v>
          </cell>
          <cell r="AB64" t="str">
            <v>No</v>
          </cell>
          <cell r="AC64">
            <v>43950</v>
          </cell>
          <cell r="AD64" t="str">
            <v>Good</v>
          </cell>
          <cell r="AE64" t="str">
            <v>V3 - Added Installed Facilities (New)</v>
          </cell>
          <cell r="AG64">
            <v>9.17</v>
          </cell>
          <cell r="AH64" t="str">
            <v>PPM</v>
          </cell>
          <cell r="AI64" t="str">
            <v>Strands</v>
          </cell>
          <cell r="AJ64" t="str">
            <v>Strands PW</v>
          </cell>
          <cell r="AK64" t="str">
            <v>SNF received on 19.5.2020. [28/12/2023, INDIRA]: CURRENT LOC: OT.</v>
          </cell>
        </row>
        <row r="65">
          <cell r="A65" t="str">
            <v>IKN402031</v>
          </cell>
          <cell r="B65">
            <v>1686</v>
          </cell>
          <cell r="C65" t="str">
            <v>Institut Kanser Negara</v>
          </cell>
          <cell r="D65" t="str">
            <v>KKM/IKN/H/13/24</v>
          </cell>
          <cell r="E65" t="str">
            <v>12-539</v>
          </cell>
          <cell r="F65" t="str">
            <v>Microscopes, Light, Operating</v>
          </cell>
          <cell r="G65" t="str">
            <v>MC</v>
          </cell>
          <cell r="H65" t="str">
            <v>MULTI-DISCIPLINE CLINIC</v>
          </cell>
          <cell r="I65" t="str">
            <v>03MC127</v>
          </cell>
          <cell r="J65" t="str">
            <v>C/E 1 (ENT)</v>
          </cell>
          <cell r="K65" t="str">
            <v>BMED</v>
          </cell>
          <cell r="L65" t="str">
            <v>Normal</v>
          </cell>
          <cell r="M65" t="str">
            <v>Germany</v>
          </cell>
          <cell r="N65" t="str">
            <v>CARL ZEISS</v>
          </cell>
          <cell r="O65" t="str">
            <v>OPMI PICO</v>
          </cell>
          <cell r="P65">
            <v>6898101023</v>
          </cell>
          <cell r="Q65" t="str">
            <v>Not Applicable</v>
          </cell>
          <cell r="R65" t="str">
            <v>CARL ZEISS</v>
          </cell>
          <cell r="S65" t="str">
            <v>Atmos Medizintechnik (M) Sdn Bhd</v>
          </cell>
          <cell r="T65" t="str">
            <v>Functioning</v>
          </cell>
          <cell r="U65" t="str">
            <v>Asset</v>
          </cell>
          <cell r="V65">
            <v>70601</v>
          </cell>
          <cell r="W65" t="str">
            <v>KEW</v>
          </cell>
          <cell r="X65">
            <v>41516</v>
          </cell>
          <cell r="Y65" t="str">
            <v>KEW</v>
          </cell>
          <cell r="Z65">
            <v>41516</v>
          </cell>
          <cell r="AA65">
            <v>41881</v>
          </cell>
          <cell r="AB65" t="str">
            <v>NO</v>
          </cell>
          <cell r="AC65">
            <v>41516</v>
          </cell>
          <cell r="AD65" t="str">
            <v>Good</v>
          </cell>
          <cell r="AE65" t="str">
            <v>V1 - Existing / No Claim</v>
          </cell>
          <cell r="AG65">
            <v>9.17</v>
          </cell>
          <cell r="AH65" t="str">
            <v>PPM</v>
          </cell>
          <cell r="AI65" t="str">
            <v>Strands</v>
          </cell>
          <cell r="AJ65" t="str">
            <v>Strands Package</v>
          </cell>
          <cell r="AK65" t="str">
            <v>Pecah Kewpa. Complement with IKN400941 but different Model/Brand. Package Code ZE0001. [28/12/2023, HIDAYAH]: CURRENT LOC NM.</v>
          </cell>
        </row>
        <row r="66">
          <cell r="A66" t="str">
            <v>IKN402037</v>
          </cell>
          <cell r="B66">
            <v>1692</v>
          </cell>
          <cell r="C66" t="str">
            <v>Institut Kanser Negara</v>
          </cell>
          <cell r="D66" t="str">
            <v>KKM/IKN/H/20/34</v>
          </cell>
          <cell r="E66" t="str">
            <v>88-027</v>
          </cell>
          <cell r="F66" t="str">
            <v>Dental Handpiece Maintenance Unit</v>
          </cell>
          <cell r="G66" t="str">
            <v>MC</v>
          </cell>
          <cell r="H66" t="str">
            <v>MULTI-DISCIPLINE CLINIC</v>
          </cell>
          <cell r="I66" t="str">
            <v>03MC107</v>
          </cell>
          <cell r="J66" t="str">
            <v>TREATMENT 1</v>
          </cell>
          <cell r="K66" t="str">
            <v>BMED</v>
          </cell>
          <cell r="L66" t="str">
            <v>Normal</v>
          </cell>
          <cell r="M66" t="str">
            <v>CHINA</v>
          </cell>
          <cell r="N66" t="str">
            <v>META SYSTEMS</v>
          </cell>
          <cell r="O66" t="str">
            <v>EQ-V FULL GP</v>
          </cell>
          <cell r="P66" t="str">
            <v>EQV0262001406</v>
          </cell>
          <cell r="Q66" t="str">
            <v>Not Applicable</v>
          </cell>
          <cell r="R66" t="str">
            <v>META SYSTEMS CO. LTD</v>
          </cell>
          <cell r="S66" t="str">
            <v>One Dental Supply &amp; Marketing Sdn Bhd</v>
          </cell>
          <cell r="T66" t="str">
            <v>Functioning</v>
          </cell>
          <cell r="U66" t="str">
            <v>Asset</v>
          </cell>
          <cell r="V66">
            <v>4500</v>
          </cell>
          <cell r="W66" t="str">
            <v>KEW</v>
          </cell>
          <cell r="X66">
            <v>43907</v>
          </cell>
          <cell r="Y66" t="str">
            <v>KEW</v>
          </cell>
          <cell r="Z66">
            <v>44050</v>
          </cell>
          <cell r="AA66">
            <v>44415</v>
          </cell>
          <cell r="AB66" t="str">
            <v>No</v>
          </cell>
          <cell r="AC66">
            <v>44050</v>
          </cell>
          <cell r="AD66" t="str">
            <v>Good</v>
          </cell>
          <cell r="AE66" t="str">
            <v>V3 - Added Installed Facilities (New)</v>
          </cell>
          <cell r="AG66">
            <v>9.17</v>
          </cell>
          <cell r="AH66" t="str">
            <v>PPM</v>
          </cell>
          <cell r="AI66" t="str">
            <v>Strands</v>
          </cell>
          <cell r="AJ66" t="str">
            <v>Strands PW</v>
          </cell>
          <cell r="AK66" t="str">
            <v>SNF received on 18/12/2020</v>
          </cell>
        </row>
        <row r="67">
          <cell r="A67" t="str">
            <v>IKN402038</v>
          </cell>
          <cell r="B67">
            <v>1693</v>
          </cell>
          <cell r="C67" t="str">
            <v>Institut Kanser Negara</v>
          </cell>
          <cell r="D67" t="str">
            <v>KKM/IKN/H/20/35</v>
          </cell>
          <cell r="E67" t="str">
            <v>88-013</v>
          </cell>
          <cell r="F67" t="str">
            <v>Micromotor, Dental</v>
          </cell>
          <cell r="G67" t="str">
            <v>MC</v>
          </cell>
          <cell r="H67" t="str">
            <v>MULTI-DISCIPLINE CLINIC</v>
          </cell>
          <cell r="I67" t="str">
            <v>03MC107</v>
          </cell>
          <cell r="J67" t="str">
            <v>TREATMENT 1</v>
          </cell>
          <cell r="K67" t="str">
            <v>BMED</v>
          </cell>
          <cell r="L67" t="str">
            <v>Normal</v>
          </cell>
          <cell r="M67" t="str">
            <v>CHINA</v>
          </cell>
          <cell r="N67" t="str">
            <v>Woodpeeker Medical</v>
          </cell>
          <cell r="O67" t="str">
            <v>Endo Rader Plus</v>
          </cell>
          <cell r="P67" t="str">
            <v>E2@10222WS</v>
          </cell>
          <cell r="Q67" t="str">
            <v>Not Applicable</v>
          </cell>
          <cell r="R67" t="str">
            <v>Woodpeeker Medical Instrument</v>
          </cell>
          <cell r="S67" t="str">
            <v>One Dental Supply &amp; Marketing Sdn Bhd</v>
          </cell>
          <cell r="T67" t="str">
            <v>Functioning</v>
          </cell>
          <cell r="U67" t="str">
            <v>Asset</v>
          </cell>
          <cell r="V67">
            <v>7500</v>
          </cell>
          <cell r="W67" t="str">
            <v>KEW</v>
          </cell>
          <cell r="X67">
            <v>43907</v>
          </cell>
          <cell r="Y67" t="str">
            <v>KEW</v>
          </cell>
          <cell r="Z67">
            <v>44050</v>
          </cell>
          <cell r="AA67">
            <v>44415</v>
          </cell>
          <cell r="AB67" t="str">
            <v>No</v>
          </cell>
          <cell r="AC67">
            <v>44050</v>
          </cell>
          <cell r="AD67" t="str">
            <v>Good</v>
          </cell>
          <cell r="AE67" t="str">
            <v>V3 - Added Installed Facilities (New)</v>
          </cell>
          <cell r="AG67">
            <v>9.17</v>
          </cell>
          <cell r="AH67" t="str">
            <v>PPM</v>
          </cell>
          <cell r="AI67" t="str">
            <v>Strands</v>
          </cell>
          <cell r="AJ67" t="str">
            <v>Strands PW</v>
          </cell>
          <cell r="AK67" t="str">
            <v>SNF received on 18/12/2020</v>
          </cell>
        </row>
        <row r="68">
          <cell r="A68" t="str">
            <v>IKN402039</v>
          </cell>
          <cell r="B68">
            <v>1694</v>
          </cell>
          <cell r="C68" t="str">
            <v>Institut Kanser Negara</v>
          </cell>
          <cell r="D68" t="str">
            <v>KKM/IKN/H/20/63</v>
          </cell>
          <cell r="E68" t="str">
            <v>10-208</v>
          </cell>
          <cell r="F68" t="str">
            <v>Aspirators</v>
          </cell>
          <cell r="G68" t="str">
            <v>MC</v>
          </cell>
          <cell r="H68" t="str">
            <v>MULTI-DISCIPLINE CLINIC</v>
          </cell>
          <cell r="I68" t="str">
            <v>03MC107</v>
          </cell>
          <cell r="J68" t="str">
            <v>TREATMENT 1</v>
          </cell>
          <cell r="K68" t="str">
            <v>BMED</v>
          </cell>
          <cell r="L68" t="str">
            <v>Normal</v>
          </cell>
          <cell r="M68" t="str">
            <v>CHINA</v>
          </cell>
          <cell r="N68" t="str">
            <v>DYNAMIC</v>
          </cell>
          <cell r="O68" t="str">
            <v>DS 1000</v>
          </cell>
          <cell r="P68">
            <v>19643</v>
          </cell>
          <cell r="Q68" t="str">
            <v>Not Applicable</v>
          </cell>
          <cell r="R68" t="str">
            <v>Jiangsu Dynamic Medical Technology Co.,Ltd</v>
          </cell>
          <cell r="S68" t="str">
            <v>One Dental Supply &amp; Marketing Sdn Bhd</v>
          </cell>
          <cell r="T68" t="str">
            <v>Functioning</v>
          </cell>
          <cell r="U68" t="str">
            <v>Asset</v>
          </cell>
          <cell r="V68">
            <v>6000</v>
          </cell>
          <cell r="W68" t="str">
            <v>KEW</v>
          </cell>
          <cell r="X68">
            <v>44130</v>
          </cell>
          <cell r="Y68" t="str">
            <v>KEW</v>
          </cell>
          <cell r="Z68">
            <v>44154</v>
          </cell>
          <cell r="AA68">
            <v>44884</v>
          </cell>
          <cell r="AB68" t="str">
            <v>No</v>
          </cell>
          <cell r="AC68">
            <v>44154</v>
          </cell>
          <cell r="AD68" t="str">
            <v>Good</v>
          </cell>
          <cell r="AE68" t="str">
            <v>V3 - Added Installed Facilities (New)</v>
          </cell>
          <cell r="AF68" t="str">
            <v>NA</v>
          </cell>
          <cell r="AG68">
            <v>5.17</v>
          </cell>
          <cell r="AH68" t="str">
            <v>PPM</v>
          </cell>
          <cell r="AI68" t="str">
            <v>Not in contract</v>
          </cell>
          <cell r="AJ68" t="str">
            <v>Strands PW</v>
          </cell>
        </row>
        <row r="69">
          <cell r="A69" t="str">
            <v>IKN402040</v>
          </cell>
          <cell r="B69">
            <v>1695</v>
          </cell>
          <cell r="C69" t="str">
            <v>Institut Kanser Negara</v>
          </cell>
          <cell r="D69" t="str">
            <v>KKM/IKN/H/20/67</v>
          </cell>
          <cell r="E69" t="str">
            <v>17-663</v>
          </cell>
          <cell r="F69" t="str">
            <v>Gastroscopes, Flexible, Video</v>
          </cell>
          <cell r="G69" t="str">
            <v>MC</v>
          </cell>
          <cell r="H69" t="str">
            <v>MULTI-DISCIPLINE CLINIC</v>
          </cell>
          <cell r="I69" t="str">
            <v>03MC108</v>
          </cell>
          <cell r="J69" t="str">
            <v>TREATMENT/PROCEDURE</v>
          </cell>
          <cell r="K69" t="str">
            <v>BMED</v>
          </cell>
          <cell r="L69" t="str">
            <v>Normal</v>
          </cell>
          <cell r="M69" t="str">
            <v>Japan</v>
          </cell>
          <cell r="N69" t="str">
            <v>Olympus</v>
          </cell>
          <cell r="O69" t="str">
            <v>Olympus GIF-H170</v>
          </cell>
          <cell r="P69">
            <v>2032729</v>
          </cell>
          <cell r="Q69" t="str">
            <v>Not Applicable</v>
          </cell>
          <cell r="R69" t="str">
            <v>Olympus Optical Co Ltd</v>
          </cell>
          <cell r="S69" t="str">
            <v>J &amp; J MURNI SDN BHD</v>
          </cell>
          <cell r="T69" t="str">
            <v>Functioning</v>
          </cell>
          <cell r="U69" t="str">
            <v>Asset</v>
          </cell>
          <cell r="V69">
            <v>125900</v>
          </cell>
          <cell r="W69" t="str">
            <v>KEW</v>
          </cell>
          <cell r="X69">
            <v>44154</v>
          </cell>
          <cell r="Y69" t="str">
            <v>KEW</v>
          </cell>
          <cell r="Z69">
            <v>44160</v>
          </cell>
          <cell r="AA69">
            <v>44524</v>
          </cell>
          <cell r="AB69" t="str">
            <v>No</v>
          </cell>
          <cell r="AC69">
            <v>44160</v>
          </cell>
          <cell r="AD69" t="str">
            <v>Good</v>
          </cell>
          <cell r="AE69" t="str">
            <v>V3 - Added Installed Facilities (New)</v>
          </cell>
          <cell r="AG69">
            <v>9.17</v>
          </cell>
          <cell r="AH69" t="str">
            <v>PPM</v>
          </cell>
          <cell r="AI69" t="str">
            <v>Not in contract</v>
          </cell>
          <cell r="AJ69" t="str">
            <v>Proposed for V3 P2.23</v>
          </cell>
          <cell r="AK69" t="str">
            <v>SNF received on 11/10/2023.</v>
          </cell>
        </row>
        <row r="70">
          <cell r="A70" t="str">
            <v>IKN402041</v>
          </cell>
          <cell r="B70">
            <v>1696</v>
          </cell>
          <cell r="C70" t="str">
            <v>Institut Kanser Negara</v>
          </cell>
          <cell r="D70" t="str">
            <v>KKM/IKN/H/20/68</v>
          </cell>
          <cell r="E70" t="str">
            <v>17-663</v>
          </cell>
          <cell r="F70" t="str">
            <v>Gastroscopes, Flexible, Video</v>
          </cell>
          <cell r="G70" t="str">
            <v>MC</v>
          </cell>
          <cell r="H70" t="str">
            <v>MULTI-DISCIPLINE CLINIC</v>
          </cell>
          <cell r="I70" t="str">
            <v>03MC108</v>
          </cell>
          <cell r="J70" t="str">
            <v>TREATMENT/PROCEDURE</v>
          </cell>
          <cell r="K70" t="str">
            <v>BMED</v>
          </cell>
          <cell r="L70" t="str">
            <v>Normal</v>
          </cell>
          <cell r="M70" t="str">
            <v>Japan</v>
          </cell>
          <cell r="N70" t="str">
            <v>Olympus</v>
          </cell>
          <cell r="O70" t="str">
            <v>Olympus GIF-H170</v>
          </cell>
          <cell r="P70">
            <v>2032940</v>
          </cell>
          <cell r="Q70" t="str">
            <v>Not Applicable</v>
          </cell>
          <cell r="R70" t="str">
            <v>Olympus Optical Co Ltd</v>
          </cell>
          <cell r="S70" t="str">
            <v>J &amp; J MURNI SDN BHD</v>
          </cell>
          <cell r="T70" t="str">
            <v>Functioning</v>
          </cell>
          <cell r="U70" t="str">
            <v>Asset</v>
          </cell>
          <cell r="V70">
            <v>125900</v>
          </cell>
          <cell r="W70" t="str">
            <v>KEW</v>
          </cell>
          <cell r="X70">
            <v>44154</v>
          </cell>
          <cell r="Y70" t="str">
            <v>KEW</v>
          </cell>
          <cell r="Z70">
            <v>44160</v>
          </cell>
          <cell r="AA70">
            <v>44524</v>
          </cell>
          <cell r="AB70" t="str">
            <v>No</v>
          </cell>
          <cell r="AC70">
            <v>44160</v>
          </cell>
          <cell r="AD70" t="str">
            <v>Good</v>
          </cell>
          <cell r="AE70" t="str">
            <v>V3 - Added Installed Facilities (New)</v>
          </cell>
          <cell r="AG70">
            <v>9.17</v>
          </cell>
          <cell r="AH70" t="str">
            <v>PPM</v>
          </cell>
          <cell r="AI70" t="str">
            <v>Not in contract</v>
          </cell>
          <cell r="AJ70" t="str">
            <v>Proposed for V3 P2.23</v>
          </cell>
          <cell r="AK70" t="str">
            <v>SNF received on 11/10/2023.</v>
          </cell>
        </row>
        <row r="71">
          <cell r="A71" t="str">
            <v>IKN402042</v>
          </cell>
          <cell r="B71">
            <v>1697</v>
          </cell>
          <cell r="C71" t="str">
            <v>Institut Kanser Negara</v>
          </cell>
          <cell r="D71" t="str">
            <v>KKM/IKN/H/20/69</v>
          </cell>
          <cell r="E71" t="str">
            <v>17-665</v>
          </cell>
          <cell r="F71" t="str">
            <v>Gastroscopes,Video</v>
          </cell>
          <cell r="G71" t="str">
            <v>MC</v>
          </cell>
          <cell r="H71" t="str">
            <v>MULTI-DISCIPLINE CLINIC</v>
          </cell>
          <cell r="I71" t="str">
            <v>03MC108</v>
          </cell>
          <cell r="J71" t="str">
            <v>TREATMENT/PROCEDURE</v>
          </cell>
          <cell r="K71" t="str">
            <v>BMED</v>
          </cell>
          <cell r="L71" t="str">
            <v>Normal</v>
          </cell>
          <cell r="M71" t="str">
            <v>Japan</v>
          </cell>
          <cell r="N71" t="str">
            <v>Olympus</v>
          </cell>
          <cell r="O71" t="str">
            <v>Olympus CF-H170L</v>
          </cell>
          <cell r="P71">
            <v>2026002</v>
          </cell>
          <cell r="Q71" t="str">
            <v>Not Applicable</v>
          </cell>
          <cell r="R71" t="str">
            <v>Olympus Optical Co Ltd</v>
          </cell>
          <cell r="S71" t="str">
            <v>J &amp; J MURNI SDN BHD</v>
          </cell>
          <cell r="T71" t="str">
            <v>Functioning</v>
          </cell>
          <cell r="U71" t="str">
            <v>Asset</v>
          </cell>
          <cell r="V71">
            <v>77350</v>
          </cell>
          <cell r="W71" t="str">
            <v>KEW</v>
          </cell>
          <cell r="X71">
            <v>44154</v>
          </cell>
          <cell r="Y71" t="str">
            <v>KEW</v>
          </cell>
          <cell r="Z71">
            <v>44160</v>
          </cell>
          <cell r="AA71">
            <v>44524</v>
          </cell>
          <cell r="AB71" t="str">
            <v>No</v>
          </cell>
          <cell r="AC71">
            <v>44160</v>
          </cell>
          <cell r="AD71" t="str">
            <v>Good</v>
          </cell>
          <cell r="AE71" t="str">
            <v>V3 - Added Installed Facilities (New)</v>
          </cell>
          <cell r="AF71" t="str">
            <v>NA</v>
          </cell>
          <cell r="AG71">
            <v>5.17</v>
          </cell>
          <cell r="AH71" t="str">
            <v>PPM</v>
          </cell>
          <cell r="AI71" t="str">
            <v>Not in contract</v>
          </cell>
          <cell r="AJ71" t="str">
            <v>Strands PW</v>
          </cell>
        </row>
        <row r="72">
          <cell r="A72" t="str">
            <v>IKN402049</v>
          </cell>
          <cell r="B72">
            <v>1704</v>
          </cell>
          <cell r="C72" t="str">
            <v>Institut Kanser Negara</v>
          </cell>
          <cell r="E72" t="str">
            <v>10-960</v>
          </cell>
          <cell r="F72" t="str">
            <v>Colposcopes</v>
          </cell>
          <cell r="G72" t="str">
            <v>MC</v>
          </cell>
          <cell r="H72" t="str">
            <v>MULTI-DISCIPLINE CLINIC</v>
          </cell>
          <cell r="I72" t="str">
            <v>03MC108</v>
          </cell>
          <cell r="J72" t="str">
            <v>TREATMENT/PROCEDURE</v>
          </cell>
          <cell r="K72" t="str">
            <v>BMED</v>
          </cell>
          <cell r="L72" t="str">
            <v>Normal</v>
          </cell>
          <cell r="M72" t="str">
            <v>Japan</v>
          </cell>
          <cell r="N72" t="str">
            <v>ATMOS</v>
          </cell>
          <cell r="O72" t="str">
            <v>ATMOS iView 31 Colposcope</v>
          </cell>
          <cell r="P72">
            <v>1036002</v>
          </cell>
          <cell r="Q72" t="str">
            <v>Not Applicable</v>
          </cell>
          <cell r="R72" t="str">
            <v>Atmos Medizintechnik GmbH &amp; Co KG</v>
          </cell>
          <cell r="S72" t="str">
            <v>UMMI Surgical Sdn Bhd</v>
          </cell>
          <cell r="T72" t="str">
            <v>Functioning</v>
          </cell>
          <cell r="U72" t="str">
            <v>Asset</v>
          </cell>
          <cell r="V72">
            <v>107490</v>
          </cell>
          <cell r="W72" t="str">
            <v>KEW</v>
          </cell>
          <cell r="X72">
            <v>44111</v>
          </cell>
          <cell r="Y72" t="str">
            <v>KEW</v>
          </cell>
          <cell r="Z72">
            <v>44188</v>
          </cell>
          <cell r="AA72">
            <v>44553</v>
          </cell>
          <cell r="AB72" t="str">
            <v>No</v>
          </cell>
          <cell r="AC72">
            <v>44188</v>
          </cell>
          <cell r="AD72" t="str">
            <v>Good</v>
          </cell>
          <cell r="AE72" t="str">
            <v>V3 - Added Installed Facilities (New)</v>
          </cell>
          <cell r="AF72" t="str">
            <v>NA</v>
          </cell>
          <cell r="AG72">
            <v>5.17</v>
          </cell>
          <cell r="AH72" t="str">
            <v>PPM</v>
          </cell>
          <cell r="AI72" t="str">
            <v>Not in contract</v>
          </cell>
          <cell r="AJ72" t="str">
            <v>Strands PW</v>
          </cell>
        </row>
        <row r="73">
          <cell r="A73" t="str">
            <v>IKN402053</v>
          </cell>
          <cell r="B73">
            <v>1708</v>
          </cell>
          <cell r="C73" t="str">
            <v>Institut Kanser Negara</v>
          </cell>
          <cell r="D73" t="str">
            <v>KKM/IKN/H/19/2</v>
          </cell>
          <cell r="E73" t="str">
            <v>18-426</v>
          </cell>
          <cell r="F73" t="str">
            <v>Radiographic Units, dental intraoral</v>
          </cell>
          <cell r="G73" t="str">
            <v>MC</v>
          </cell>
          <cell r="H73" t="str">
            <v>MULTI-DISCIPLINE CLINIC</v>
          </cell>
          <cell r="I73" t="str">
            <v>03ID109</v>
          </cell>
          <cell r="J73" t="str">
            <v>INDUCTION</v>
          </cell>
          <cell r="K73" t="str">
            <v>BMED</v>
          </cell>
          <cell r="L73" t="str">
            <v>Normal</v>
          </cell>
          <cell r="M73" t="str">
            <v>Finland</v>
          </cell>
          <cell r="N73" t="str">
            <v>Planmeca</v>
          </cell>
          <cell r="O73" t="str">
            <v>Pro X</v>
          </cell>
          <cell r="P73" t="str">
            <v>IPX031651</v>
          </cell>
          <cell r="Q73" t="str">
            <v>Not Applicable</v>
          </cell>
          <cell r="R73" t="str">
            <v>Planmeca</v>
          </cell>
          <cell r="S73" t="str">
            <v>Medik Link Sales &amp; Services Sdn Bhd</v>
          </cell>
          <cell r="T73" t="str">
            <v>Functioning</v>
          </cell>
          <cell r="U73" t="str">
            <v>Asset</v>
          </cell>
          <cell r="V73">
            <v>50000</v>
          </cell>
          <cell r="W73" t="str">
            <v>KEW</v>
          </cell>
          <cell r="X73">
            <v>43637</v>
          </cell>
          <cell r="Y73" t="str">
            <v>KEW</v>
          </cell>
          <cell r="Z73">
            <v>43650</v>
          </cell>
          <cell r="AA73">
            <v>44016</v>
          </cell>
          <cell r="AB73" t="str">
            <v>No</v>
          </cell>
          <cell r="AC73">
            <v>43650</v>
          </cell>
          <cell r="AD73" t="str">
            <v>Good</v>
          </cell>
          <cell r="AE73" t="str">
            <v>V3 - Added Installed Facilities (New)</v>
          </cell>
          <cell r="AF73">
            <v>43650</v>
          </cell>
          <cell r="AG73">
            <v>9.17</v>
          </cell>
          <cell r="AH73" t="str">
            <v>PPM</v>
          </cell>
          <cell r="AI73" t="str">
            <v>Strands</v>
          </cell>
          <cell r="AJ73" t="str">
            <v>Proposed for V3 P2.23</v>
          </cell>
          <cell r="AK73" t="str">
            <v>Unit under MDC, located at ID.</v>
          </cell>
        </row>
        <row r="74">
          <cell r="A74" t="str">
            <v>IKN402054</v>
          </cell>
          <cell r="B74">
            <v>1709</v>
          </cell>
          <cell r="C74" t="str">
            <v>Institut Kanser Negara</v>
          </cell>
          <cell r="D74" t="str">
            <v>KKM/IKN/H/13/3438</v>
          </cell>
          <cell r="E74" t="str">
            <v>13-396</v>
          </cell>
          <cell r="F74" t="str">
            <v>Rhinoscopes</v>
          </cell>
          <cell r="G74" t="str">
            <v>MC</v>
          </cell>
          <cell r="H74" t="str">
            <v>MULTI-DISCIPLINE CLINIC</v>
          </cell>
          <cell r="I74" t="str">
            <v>03MC111</v>
          </cell>
          <cell r="J74" t="str">
            <v>SCOPE WASH</v>
          </cell>
          <cell r="K74" t="str">
            <v>BMED</v>
          </cell>
          <cell r="L74" t="str">
            <v>Normal</v>
          </cell>
          <cell r="M74" t="str">
            <v>Japan</v>
          </cell>
          <cell r="N74" t="str">
            <v>Olympus</v>
          </cell>
          <cell r="O74" t="str">
            <v>Olympus ENF-T3</v>
          </cell>
          <cell r="P74">
            <v>2325042</v>
          </cell>
          <cell r="Q74" t="str">
            <v>Not Applicable</v>
          </cell>
          <cell r="R74" t="str">
            <v>Olympus Optical Co Ltd</v>
          </cell>
          <cell r="S74" t="str">
            <v>Endodynamics</v>
          </cell>
          <cell r="T74" t="str">
            <v>Functioning</v>
          </cell>
          <cell r="U74" t="str">
            <v>Asset</v>
          </cell>
          <cell r="V74">
            <v>59362</v>
          </cell>
          <cell r="W74" t="str">
            <v>KEW</v>
          </cell>
          <cell r="X74">
            <v>41516</v>
          </cell>
          <cell r="Y74" t="str">
            <v>KEW</v>
          </cell>
          <cell r="Z74">
            <v>41516</v>
          </cell>
          <cell r="AA74">
            <v>42246</v>
          </cell>
          <cell r="AB74" t="str">
            <v>No</v>
          </cell>
          <cell r="AC74">
            <v>41516</v>
          </cell>
          <cell r="AD74" t="str">
            <v>Good</v>
          </cell>
          <cell r="AE74" t="str">
            <v>V1 - Existing / No Claim</v>
          </cell>
          <cell r="AG74">
            <v>9.17</v>
          </cell>
          <cell r="AH74" t="str">
            <v>PPM</v>
          </cell>
          <cell r="AI74" t="str">
            <v>Strands</v>
          </cell>
          <cell r="AJ74" t="str">
            <v>Strands PW</v>
          </cell>
          <cell r="AK74" t="str">
            <v>Only have KKM no in contract. Register with new IKN no</v>
          </cell>
        </row>
        <row r="75">
          <cell r="A75" t="str">
            <v>IKN402073</v>
          </cell>
          <cell r="B75">
            <v>1728</v>
          </cell>
          <cell r="C75" t="str">
            <v>Institut Kanser Negara</v>
          </cell>
          <cell r="D75" t="str">
            <v>KKM/IKN/H/21/63</v>
          </cell>
          <cell r="E75" t="str">
            <v>10-082</v>
          </cell>
          <cell r="F75" t="str">
            <v>Amalgamators</v>
          </cell>
          <cell r="G75" t="str">
            <v>MC</v>
          </cell>
          <cell r="H75" t="str">
            <v>MULTI-DISCIPLINE CLINIC</v>
          </cell>
          <cell r="I75" t="str">
            <v>03MC107</v>
          </cell>
          <cell r="J75" t="str">
            <v>TREATMENT 1</v>
          </cell>
          <cell r="K75" t="str">
            <v>BMED</v>
          </cell>
          <cell r="L75" t="str">
            <v>Normal</v>
          </cell>
          <cell r="M75" t="str">
            <v>TAIWAN</v>
          </cell>
          <cell r="N75" t="str">
            <v>MONITEX</v>
          </cell>
          <cell r="O75" t="str">
            <v>AM-1</v>
          </cell>
          <cell r="P75" t="str">
            <v>20K1319</v>
          </cell>
          <cell r="Q75" t="str">
            <v>Not Applicable</v>
          </cell>
          <cell r="R75" t="str">
            <v>MONITEX INDUSTRIAL CO LTD</v>
          </cell>
          <cell r="S75" t="str">
            <v>N.K LUCK SDN BHD</v>
          </cell>
          <cell r="T75" t="str">
            <v>Functioning</v>
          </cell>
          <cell r="U75" t="str">
            <v>Asset</v>
          </cell>
          <cell r="V75">
            <v>2000</v>
          </cell>
          <cell r="W75" t="str">
            <v>KEW</v>
          </cell>
          <cell r="X75">
            <v>44454</v>
          </cell>
          <cell r="Y75" t="str">
            <v>KEW</v>
          </cell>
          <cell r="Z75">
            <v>44469</v>
          </cell>
          <cell r="AA75">
            <v>44834</v>
          </cell>
          <cell r="AB75" t="str">
            <v>No</v>
          </cell>
          <cell r="AC75">
            <v>44517</v>
          </cell>
          <cell r="AD75" t="str">
            <v>Good</v>
          </cell>
          <cell r="AE75" t="str">
            <v>V3 - Added Installed Facilities (New)</v>
          </cell>
          <cell r="AF75">
            <v>44517</v>
          </cell>
          <cell r="AG75">
            <v>9.17</v>
          </cell>
          <cell r="AH75" t="str">
            <v>PPM</v>
          </cell>
          <cell r="AJ75" t="str">
            <v>Strands DW</v>
          </cell>
        </row>
        <row r="76">
          <cell r="A76" t="str">
            <v>IKN402075</v>
          </cell>
          <cell r="B76">
            <v>1730</v>
          </cell>
          <cell r="C76" t="str">
            <v>Institut Kanser Negara</v>
          </cell>
          <cell r="D76" t="str">
            <v>KKM/IKN/H/20/80</v>
          </cell>
          <cell r="E76" t="str">
            <v>13-108</v>
          </cell>
          <cell r="F76" t="str">
            <v>Pressure Measuring Units, Esophageal</v>
          </cell>
          <cell r="G76" t="str">
            <v>MC</v>
          </cell>
          <cell r="H76" t="str">
            <v>MULTI-DISCIPLINE CLINIC</v>
          </cell>
          <cell r="I76" t="str">
            <v>03MC108</v>
          </cell>
          <cell r="J76" t="str">
            <v>TREATMENT/PROCEDURE</v>
          </cell>
          <cell r="K76" t="str">
            <v>BMED</v>
          </cell>
          <cell r="L76" t="str">
            <v>Normal</v>
          </cell>
          <cell r="N76" t="str">
            <v>Insight Ultima HRiM</v>
          </cell>
          <cell r="O76" t="str">
            <v>Insight Ultima HRiM</v>
          </cell>
          <cell r="P76" t="str">
            <v>084-005180/K14C009B</v>
          </cell>
          <cell r="Q76" t="str">
            <v>Not Applicable</v>
          </cell>
          <cell r="R76" t="str">
            <v>Sandhill Scientific</v>
          </cell>
          <cell r="T76" t="str">
            <v>Functioning</v>
          </cell>
          <cell r="V76">
            <v>279000</v>
          </cell>
          <cell r="W76" t="str">
            <v>KEW</v>
          </cell>
          <cell r="X76">
            <v>41988</v>
          </cell>
          <cell r="Y76" t="str">
            <v>KEW</v>
          </cell>
          <cell r="Z76" t="str">
            <v>N/A</v>
          </cell>
          <cell r="AA76" t="str">
            <v>N/A</v>
          </cell>
          <cell r="AB76" t="str">
            <v>NO</v>
          </cell>
          <cell r="AC76">
            <v>44151</v>
          </cell>
          <cell r="AD76" t="str">
            <v>Good</v>
          </cell>
          <cell r="AE76" t="str">
            <v>V3 - Added Installed Facilities (New)</v>
          </cell>
          <cell r="AF76">
            <v>44151</v>
          </cell>
          <cell r="AG76">
            <v>9.17</v>
          </cell>
          <cell r="AH76" t="str">
            <v>PPM</v>
          </cell>
          <cell r="AJ76" t="str">
            <v>Strands PW SET F</v>
          </cell>
          <cell r="AK76" t="str">
            <v>HRiM Catherer (scopes)=US-38-2504 (SN), (REF)=K123245-E-1047-D. Unit received from Hospital Sg.Buloh</v>
          </cell>
        </row>
        <row r="77">
          <cell r="A77" t="str">
            <v>IKN402076</v>
          </cell>
          <cell r="B77">
            <v>1731</v>
          </cell>
          <cell r="C77" t="str">
            <v>Institut Kanser Negara</v>
          </cell>
          <cell r="D77" t="str">
            <v>KKM/IKN/H/20/80</v>
          </cell>
          <cell r="E77" t="str">
            <v>15-164</v>
          </cell>
          <cell r="F77" t="str">
            <v>pH Meters</v>
          </cell>
          <cell r="G77" t="str">
            <v>MC</v>
          </cell>
          <cell r="H77" t="str">
            <v>MULTI-DISCIPLINE CLINIC</v>
          </cell>
          <cell r="I77" t="str">
            <v>03MC108</v>
          </cell>
          <cell r="J77" t="str">
            <v>TREATMENT/PROCEDURE</v>
          </cell>
          <cell r="K77" t="str">
            <v>BMED</v>
          </cell>
          <cell r="L77" t="str">
            <v>Normal</v>
          </cell>
          <cell r="N77" t="str">
            <v>ZepHr</v>
          </cell>
          <cell r="O77" t="str">
            <v>Sleuth ZepHr</v>
          </cell>
          <cell r="P77" t="str">
            <v>J149005C</v>
          </cell>
          <cell r="Q77" t="str">
            <v>Not Applicable</v>
          </cell>
          <cell r="R77" t="str">
            <v>Sandhill Scientific</v>
          </cell>
          <cell r="T77" t="str">
            <v>Functioning</v>
          </cell>
          <cell r="V77">
            <v>35000</v>
          </cell>
          <cell r="W77" t="str">
            <v>KEW</v>
          </cell>
          <cell r="X77">
            <v>41988</v>
          </cell>
          <cell r="Y77" t="str">
            <v>KEW</v>
          </cell>
          <cell r="Z77" t="str">
            <v>N/A</v>
          </cell>
          <cell r="AA77" t="str">
            <v>N/A</v>
          </cell>
          <cell r="AB77" t="str">
            <v>No</v>
          </cell>
          <cell r="AC77">
            <v>44151</v>
          </cell>
          <cell r="AD77" t="str">
            <v>Good</v>
          </cell>
          <cell r="AE77" t="str">
            <v>V3 - Added Installed Facilities (New)</v>
          </cell>
          <cell r="AF77">
            <v>44151</v>
          </cell>
          <cell r="AG77">
            <v>9.17</v>
          </cell>
          <cell r="AH77" t="str">
            <v>PPM</v>
          </cell>
          <cell r="AJ77" t="str">
            <v>Strands PW SET F</v>
          </cell>
          <cell r="AK77" t="str">
            <v>Share KEWPA IKN402075.</v>
          </cell>
        </row>
        <row r="78">
          <cell r="A78" t="str">
            <v>IKN402090</v>
          </cell>
          <cell r="B78">
            <v>1745</v>
          </cell>
          <cell r="C78" t="str">
            <v>Institut Kanser Negara</v>
          </cell>
          <cell r="D78" t="str">
            <v>KKM/IKN/H/20/78</v>
          </cell>
          <cell r="E78" t="str">
            <v>15-164</v>
          </cell>
          <cell r="F78" t="str">
            <v>pH Meters</v>
          </cell>
          <cell r="G78" t="str">
            <v>MC</v>
          </cell>
          <cell r="H78" t="str">
            <v>MULTI-DISCIPLINE CLINIC</v>
          </cell>
          <cell r="I78" t="str">
            <v>03MC108</v>
          </cell>
          <cell r="J78" t="str">
            <v>TREATMENT/PROCEDURE</v>
          </cell>
          <cell r="K78" t="str">
            <v>BMED</v>
          </cell>
          <cell r="L78" t="str">
            <v>Normal</v>
          </cell>
          <cell r="N78" t="str">
            <v>ZepHr</v>
          </cell>
          <cell r="O78" t="str">
            <v>ZepHR PH Monitoring System</v>
          </cell>
          <cell r="P78" t="str">
            <v>J0099028C</v>
          </cell>
          <cell r="Q78" t="str">
            <v>Not Applicable</v>
          </cell>
          <cell r="R78" t="str">
            <v>Sandhill Scientific</v>
          </cell>
          <cell r="T78" t="str">
            <v>Functioning</v>
          </cell>
          <cell r="V78">
            <v>35000</v>
          </cell>
          <cell r="W78" t="str">
            <v>KEW</v>
          </cell>
          <cell r="X78">
            <v>40396</v>
          </cell>
          <cell r="Y78" t="str">
            <v>KEW</v>
          </cell>
          <cell r="Z78" t="str">
            <v>N/A</v>
          </cell>
          <cell r="AA78" t="str">
            <v>N/A</v>
          </cell>
          <cell r="AB78" t="str">
            <v>No</v>
          </cell>
          <cell r="AC78">
            <v>44151</v>
          </cell>
          <cell r="AD78" t="str">
            <v>Good</v>
          </cell>
          <cell r="AE78" t="str">
            <v>V3 - Added Installed Facilities (New)</v>
          </cell>
          <cell r="AF78">
            <v>44151</v>
          </cell>
          <cell r="AG78">
            <v>9.17</v>
          </cell>
          <cell r="AH78" t="str">
            <v>PPM</v>
          </cell>
          <cell r="AJ78" t="str">
            <v>Strands PW</v>
          </cell>
          <cell r="AK78" t="str">
            <v>PACKAGE IKN402075, IKN402076,IKN402090</v>
          </cell>
        </row>
        <row r="79">
          <cell r="A79" t="str">
            <v>IKN402091</v>
          </cell>
          <cell r="B79">
            <v>1746</v>
          </cell>
          <cell r="C79" t="str">
            <v>Institut Kanser Negara</v>
          </cell>
          <cell r="D79" t="str">
            <v>KKM/IKN/H/20/79</v>
          </cell>
          <cell r="E79" t="str">
            <v>17-663-037</v>
          </cell>
          <cell r="F79" t="str">
            <v>Gastroscopes, Flexible, Video</v>
          </cell>
          <cell r="G79" t="str">
            <v>MC</v>
          </cell>
          <cell r="H79" t="str">
            <v>MULTI-DISCIPLINE CLINIC</v>
          </cell>
          <cell r="I79" t="str">
            <v>03MC108</v>
          </cell>
          <cell r="J79" t="str">
            <v>TREATMENT/PROCEDURE</v>
          </cell>
          <cell r="K79" t="str">
            <v>BMED</v>
          </cell>
          <cell r="L79" t="str">
            <v>Normal</v>
          </cell>
          <cell r="M79" t="str">
            <v>Japan</v>
          </cell>
          <cell r="N79" t="str">
            <v>Olympus</v>
          </cell>
          <cell r="O79" t="str">
            <v>Olympus GIF-XP150N</v>
          </cell>
          <cell r="P79" t="str">
            <v>2612536</v>
          </cell>
          <cell r="Q79" t="str">
            <v>Not Applicable</v>
          </cell>
          <cell r="R79" t="str">
            <v>Olympus Optical Co Ltd</v>
          </cell>
          <cell r="S79" t="str">
            <v>Olympus Optical Co Ltd</v>
          </cell>
          <cell r="T79" t="str">
            <v>Functioning</v>
          </cell>
          <cell r="U79" t="str">
            <v>Asset</v>
          </cell>
          <cell r="V79">
            <v>66000</v>
          </cell>
          <cell r="W79" t="str">
            <v>KEW</v>
          </cell>
          <cell r="X79">
            <v>42699</v>
          </cell>
          <cell r="Y79" t="str">
            <v>KEW</v>
          </cell>
          <cell r="Z79">
            <v>42709</v>
          </cell>
          <cell r="AA79">
            <v>43074</v>
          </cell>
          <cell r="AB79" t="str">
            <v>No</v>
          </cell>
          <cell r="AC79">
            <v>44470</v>
          </cell>
          <cell r="AD79" t="str">
            <v>Good</v>
          </cell>
          <cell r="AE79" t="str">
            <v>V3 - Added Installed Facilities (New)</v>
          </cell>
          <cell r="AF79">
            <v>44470</v>
          </cell>
          <cell r="AG79">
            <v>9.17</v>
          </cell>
          <cell r="AH79" t="str">
            <v>PPM</v>
          </cell>
          <cell r="AJ79" t="str">
            <v>Strands PW</v>
          </cell>
        </row>
        <row r="80">
          <cell r="A80" t="str">
            <v>IKN402094</v>
          </cell>
          <cell r="B80">
            <v>1749</v>
          </cell>
          <cell r="C80" t="str">
            <v>Institut Kanser Negara</v>
          </cell>
          <cell r="D80" t="str">
            <v>KKM/IKN/H/21/73</v>
          </cell>
          <cell r="E80" t="str">
            <v>16-353</v>
          </cell>
          <cell r="F80" t="str">
            <v>VERTEX ECOLIGHT BOX UV</v>
          </cell>
          <cell r="G80" t="str">
            <v>MC</v>
          </cell>
          <cell r="H80" t="str">
            <v>MULTI-DISCIPLINE CLINIC</v>
          </cell>
          <cell r="I80" t="str">
            <v>03MC108</v>
          </cell>
          <cell r="J80" t="str">
            <v>TREATMENT 1</v>
          </cell>
          <cell r="K80" t="str">
            <v>BMED</v>
          </cell>
          <cell r="L80" t="str">
            <v>Normal</v>
          </cell>
          <cell r="M80" t="str">
            <v>NETHERLANDS</v>
          </cell>
          <cell r="N80" t="str">
            <v>VERTEX</v>
          </cell>
          <cell r="O80" t="str">
            <v>ECO LIGHT BOX</v>
          </cell>
          <cell r="P80" t="str">
            <v>201901-1827</v>
          </cell>
          <cell r="Q80" t="str">
            <v>Not Applicable</v>
          </cell>
          <cell r="R80" t="str">
            <v>NETHERLANDS</v>
          </cell>
          <cell r="S80" t="str">
            <v>QS DENTAL SUPPLY SDN BHD</v>
          </cell>
          <cell r="T80" t="str">
            <v>Functioning</v>
          </cell>
          <cell r="U80" t="str">
            <v>Asset</v>
          </cell>
          <cell r="V80">
            <v>2300</v>
          </cell>
          <cell r="W80" t="str">
            <v>KEW</v>
          </cell>
          <cell r="X80">
            <v>44476</v>
          </cell>
          <cell r="Y80" t="str">
            <v>KEW</v>
          </cell>
          <cell r="Z80">
            <v>44517</v>
          </cell>
          <cell r="AA80">
            <v>44882</v>
          </cell>
          <cell r="AB80" t="str">
            <v>NO</v>
          </cell>
          <cell r="AC80">
            <v>44517</v>
          </cell>
          <cell r="AD80" t="str">
            <v>Good</v>
          </cell>
          <cell r="AE80" t="str">
            <v>V3 - Added Installed Facilities (New)</v>
          </cell>
          <cell r="AF80">
            <v>44517</v>
          </cell>
          <cell r="AG80">
            <v>9.17</v>
          </cell>
          <cell r="AH80" t="str">
            <v>PPM</v>
          </cell>
          <cell r="AI80" t="str">
            <v>Not in Contract</v>
          </cell>
          <cell r="AJ80" t="str">
            <v>Proposed for V3 P2.23</v>
          </cell>
          <cell r="AK80" t="str">
            <v>KKM follow P2.23 list.</v>
          </cell>
        </row>
        <row r="81">
          <cell r="A81" t="str">
            <v>IKN402118</v>
          </cell>
          <cell r="B81">
            <v>1773</v>
          </cell>
          <cell r="C81" t="str">
            <v>Institut Kanser Negara</v>
          </cell>
          <cell r="D81" t="str">
            <v>Shahira/Accuvein</v>
          </cell>
          <cell r="E81" t="str">
            <v>NA</v>
          </cell>
          <cell r="F81" t="str">
            <v>ACCUVEIN VEIN VIEWER</v>
          </cell>
          <cell r="G81" t="str">
            <v>DO</v>
          </cell>
          <cell r="H81" t="str">
            <v>DAY ONCOLOGY UNIT</v>
          </cell>
          <cell r="I81" t="str">
            <v>04DO124</v>
          </cell>
          <cell r="J81" t="str">
            <v>TREATMENT ROOM</v>
          </cell>
          <cell r="K81" t="str">
            <v>BMED</v>
          </cell>
          <cell r="L81" t="str">
            <v>Normal</v>
          </cell>
          <cell r="M81" t="str">
            <v>USA</v>
          </cell>
          <cell r="N81" t="str">
            <v>ACCUVEIN</v>
          </cell>
          <cell r="O81" t="str">
            <v>AV500</v>
          </cell>
          <cell r="P81" t="str">
            <v>C212 HF57021090110</v>
          </cell>
          <cell r="Q81" t="str">
            <v>Not Applicable</v>
          </cell>
          <cell r="R81" t="str">
            <v>ACCUVEIN INC</v>
          </cell>
          <cell r="S81" t="str">
            <v>UTAS MAJU SDN BHD</v>
          </cell>
          <cell r="T81" t="str">
            <v>Functioning</v>
          </cell>
          <cell r="U81" t="str">
            <v>Asset</v>
          </cell>
          <cell r="V81">
            <v>200000</v>
          </cell>
          <cell r="W81" t="str">
            <v>KEW</v>
          </cell>
          <cell r="X81" t="str">
            <v>NA</v>
          </cell>
          <cell r="Y81" t="str">
            <v>NA</v>
          </cell>
          <cell r="Z81">
            <v>44692</v>
          </cell>
          <cell r="AA81">
            <v>45423</v>
          </cell>
          <cell r="AB81" t="str">
            <v>YES</v>
          </cell>
          <cell r="AC81">
            <v>44692</v>
          </cell>
          <cell r="AD81" t="str">
            <v>Good</v>
          </cell>
          <cell r="AE81" t="str">
            <v>V3 - Added Installed Facilities (New)</v>
          </cell>
          <cell r="AF81">
            <v>44692</v>
          </cell>
          <cell r="AG81" t="str">
            <v>NA</v>
          </cell>
          <cell r="AH81" t="str">
            <v>PPM</v>
          </cell>
          <cell r="AI81" t="str">
            <v>Not in Contract</v>
          </cell>
          <cell r="AJ81" t="str">
            <v>Proposed for V3 P2.24</v>
          </cell>
          <cell r="AK81" t="str">
            <v>(PIC: SHAHIRA: ASSET SUMBANGAN)</v>
          </cell>
        </row>
        <row r="82">
          <cell r="A82" t="str">
            <v>IKN402139</v>
          </cell>
          <cell r="B82">
            <v>1794</v>
          </cell>
          <cell r="C82" t="str">
            <v>Institut Kanser Negara</v>
          </cell>
          <cell r="D82" t="str">
            <v>KKM/IKN/H/22/70</v>
          </cell>
          <cell r="E82" t="str">
            <v>15-073</v>
          </cell>
          <cell r="F82" t="str">
            <v>Bronchoscopes, Flexible</v>
          </cell>
          <cell r="G82" t="str">
            <v>IC</v>
          </cell>
          <cell r="H82" t="str">
            <v>INTENSIVE CARE UNIT</v>
          </cell>
          <cell r="I82" t="str">
            <v>IC</v>
          </cell>
          <cell r="J82" t="str">
            <v>INTENSIVE CARE UNIT</v>
          </cell>
          <cell r="K82" t="str">
            <v>BMED</v>
          </cell>
          <cell r="L82" t="str">
            <v>Normal</v>
          </cell>
          <cell r="M82" t="str">
            <v>CHINA</v>
          </cell>
          <cell r="N82" t="str">
            <v>INSIGHTERS</v>
          </cell>
          <cell r="O82" t="str">
            <v>I5-PF1</v>
          </cell>
          <cell r="P82" t="str">
            <v>C201226004</v>
          </cell>
          <cell r="Q82" t="str">
            <v>Not Applicable</v>
          </cell>
          <cell r="R82" t="str">
            <v>SHENZEN INSIGHTERS MEDICAL TECHNOLOGY</v>
          </cell>
          <cell r="S82" t="str">
            <v>Perniagaan Bekalan Abadi Sdn.Bhd.</v>
          </cell>
          <cell r="T82" t="str">
            <v>Functioning</v>
          </cell>
          <cell r="U82" t="str">
            <v>ASSET</v>
          </cell>
          <cell r="V82">
            <v>58000</v>
          </cell>
          <cell r="W82" t="str">
            <v>KEW</v>
          </cell>
          <cell r="X82">
            <v>44855</v>
          </cell>
          <cell r="Y82" t="str">
            <v>KEW</v>
          </cell>
          <cell r="Z82">
            <v>44855</v>
          </cell>
          <cell r="AA82">
            <v>45585</v>
          </cell>
          <cell r="AB82" t="str">
            <v>YES</v>
          </cell>
          <cell r="AC82">
            <v>44855</v>
          </cell>
          <cell r="AD82" t="str">
            <v>GOOD</v>
          </cell>
          <cell r="AE82" t="str">
            <v>V3 - Added Installed Facilities (New)</v>
          </cell>
          <cell r="AF82">
            <v>45008</v>
          </cell>
          <cell r="AG82" t="str">
            <v>NA</v>
          </cell>
          <cell r="AH82" t="str">
            <v>PPM</v>
          </cell>
          <cell r="AI82" t="str">
            <v>Not in contract</v>
          </cell>
          <cell r="AJ82" t="str">
            <v>Strands V3 P1.23</v>
          </cell>
          <cell r="AK82" t="str">
            <v>(PIC: IMRAN) [23/8/2023, Sharifah]: V3 P1.23, add KKM No.</v>
          </cell>
        </row>
        <row r="83">
          <cell r="A83" t="str">
            <v>IKN402150</v>
          </cell>
          <cell r="B83">
            <v>1805</v>
          </cell>
          <cell r="C83" t="str">
            <v>Institut Kanser Negara</v>
          </cell>
          <cell r="D83" t="str">
            <v>KKM/IKN/H/23/30</v>
          </cell>
          <cell r="E83" t="str">
            <v>13-217</v>
          </cell>
          <cell r="F83" t="str">
            <v>Syringe Pump/Total Anesthesia Intravenous Pump</v>
          </cell>
          <cell r="G83" t="str">
            <v>IC</v>
          </cell>
          <cell r="H83" t="str">
            <v>INTENSIVE CARE UNIT</v>
          </cell>
          <cell r="I83" t="str">
            <v>05IC115</v>
          </cell>
          <cell r="J83" t="str">
            <v>ICU RM 4</v>
          </cell>
          <cell r="K83" t="str">
            <v>BMED</v>
          </cell>
          <cell r="L83" t="str">
            <v>Normal</v>
          </cell>
          <cell r="N83" t="str">
            <v>BENEFUSION NSP</v>
          </cell>
          <cell r="O83" t="str">
            <v>TCI&amp;TIVA</v>
          </cell>
          <cell r="P83" t="str">
            <v>SG1-39016070</v>
          </cell>
          <cell r="R83" t="str">
            <v>SHENZEN MINDRAY SCIENTIFIC CO. LTD</v>
          </cell>
          <cell r="S83" t="str">
            <v>SCHMIDT BIOMEDTECH SDN BHD</v>
          </cell>
          <cell r="T83" t="str">
            <v>Functioning</v>
          </cell>
          <cell r="U83" t="str">
            <v>Asset</v>
          </cell>
          <cell r="V83">
            <v>12000</v>
          </cell>
          <cell r="W83" t="str">
            <v>KEW</v>
          </cell>
          <cell r="X83">
            <v>45236</v>
          </cell>
          <cell r="Y83" t="str">
            <v>KEW</v>
          </cell>
          <cell r="Z83">
            <v>45236</v>
          </cell>
          <cell r="AA83">
            <v>45966</v>
          </cell>
          <cell r="AB83" t="str">
            <v>YES</v>
          </cell>
          <cell r="AC83">
            <v>45236</v>
          </cell>
          <cell r="AD83" t="str">
            <v>GOOD</v>
          </cell>
          <cell r="AE83" t="str">
            <v>V3 - Added Installed Facilities (New)</v>
          </cell>
          <cell r="AF83">
            <v>45251</v>
          </cell>
          <cell r="AG83" t="str">
            <v>NA</v>
          </cell>
          <cell r="AH83" t="str">
            <v>PPM</v>
          </cell>
          <cell r="AI83" t="str">
            <v>Strands</v>
          </cell>
          <cell r="AJ83" t="str">
            <v>Proposed for V3 P2.23</v>
          </cell>
          <cell r="AK83" t="str">
            <v>SNF received on November 2023.</v>
          </cell>
        </row>
        <row r="84">
          <cell r="A84" t="str">
            <v>IKN402151</v>
          </cell>
          <cell r="B84">
            <v>1806</v>
          </cell>
          <cell r="C84" t="str">
            <v>Institut Kanser Negara</v>
          </cell>
          <cell r="D84" t="str">
            <v>KKM/IKN/H/22/109</v>
          </cell>
          <cell r="E84" t="str">
            <v>15-709</v>
          </cell>
          <cell r="F84" t="str">
            <v>Analyzers, Laboratory, Blood Gas/pH</v>
          </cell>
          <cell r="G84" t="str">
            <v>IC</v>
          </cell>
          <cell r="H84" t="str">
            <v>INTENSIVE CARE UNIT</v>
          </cell>
          <cell r="I84" t="str">
            <v>05IC122</v>
          </cell>
          <cell r="J84" t="str">
            <v>STAT LAB</v>
          </cell>
          <cell r="K84" t="str">
            <v>BMED</v>
          </cell>
          <cell r="L84" t="str">
            <v>Normal</v>
          </cell>
          <cell r="M84" t="str">
            <v>Denmark</v>
          </cell>
          <cell r="N84" t="str">
            <v>Radiometer</v>
          </cell>
          <cell r="O84" t="str">
            <v>ABL 90</v>
          </cell>
          <cell r="P84" t="str">
            <v>092R029440010</v>
          </cell>
          <cell r="Q84" t="str">
            <v>Not Applicable</v>
          </cell>
          <cell r="R84" t="str">
            <v>Radiometer Medical ApS</v>
          </cell>
          <cell r="S84" t="str">
            <v>Anugerah Saintifik Sdn Bhd</v>
          </cell>
          <cell r="T84" t="str">
            <v>Functioning</v>
          </cell>
          <cell r="U84" t="str">
            <v>Asset</v>
          </cell>
          <cell r="V84">
            <v>49000</v>
          </cell>
          <cell r="W84" t="str">
            <v>KEW</v>
          </cell>
          <cell r="X84">
            <v>44980</v>
          </cell>
          <cell r="Y84" t="str">
            <v>KEW</v>
          </cell>
          <cell r="Z84">
            <v>44874</v>
          </cell>
          <cell r="AA84">
            <v>45239</v>
          </cell>
          <cell r="AB84" t="str">
            <v>No</v>
          </cell>
          <cell r="AC84">
            <v>44980</v>
          </cell>
          <cell r="AD84" t="str">
            <v>Good</v>
          </cell>
          <cell r="AE84" t="str">
            <v>V6</v>
          </cell>
          <cell r="AF84">
            <v>45008</v>
          </cell>
          <cell r="AG84" t="str">
            <v>NA</v>
          </cell>
          <cell r="AH84" t="str">
            <v>PPM</v>
          </cell>
          <cell r="AI84" t="str">
            <v>NA</v>
          </cell>
          <cell r="AJ84" t="str">
            <v>Strands V3 P1.23</v>
          </cell>
          <cell r="AK84" t="str">
            <v>[8/12/2023, Imran]: New IKN No., V3 P1.23.</v>
          </cell>
        </row>
        <row r="85">
          <cell r="A85" t="str">
            <v>IKN402185</v>
          </cell>
          <cell r="B85">
            <v>1831</v>
          </cell>
          <cell r="C85" t="str">
            <v>Institut Kanser Negara</v>
          </cell>
          <cell r="D85" t="str">
            <v>KKM/IKN/H/24/18</v>
          </cell>
          <cell r="E85" t="str">
            <v>16-231</v>
          </cell>
          <cell r="F85" t="str">
            <v>ECG</v>
          </cell>
          <cell r="G85" t="str">
            <v>DO</v>
          </cell>
          <cell r="H85" t="str">
            <v>DAYCARE ONCOLOGY CLINIC</v>
          </cell>
          <cell r="I85" t="str">
            <v>04DO125</v>
          </cell>
          <cell r="J85" t="str">
            <v>PROCEDURE ROOM</v>
          </cell>
          <cell r="K85" t="str">
            <v>BMED</v>
          </cell>
          <cell r="L85" t="str">
            <v>Normal</v>
          </cell>
          <cell r="M85" t="str">
            <v>USA, Assamble in China</v>
          </cell>
          <cell r="N85" t="str">
            <v>GE MAC 5</v>
          </cell>
          <cell r="O85" t="str">
            <v>MAC 5 A4</v>
          </cell>
          <cell r="P85" t="str">
            <v>SUE2420034WA</v>
          </cell>
          <cell r="R85" t="str">
            <v>GE Medical Systems Information Technologies, Inc</v>
          </cell>
          <cell r="S85" t="str">
            <v>Insan Damai Sdn Bhd</v>
          </cell>
          <cell r="T85" t="str">
            <v>Functioning</v>
          </cell>
          <cell r="U85" t="str">
            <v>Asset</v>
          </cell>
          <cell r="V85" t="str">
            <v>RM</v>
          </cell>
          <cell r="W85" t="str">
            <v>KEW</v>
          </cell>
          <cell r="X85">
            <v>45467</v>
          </cell>
          <cell r="Y85" t="str">
            <v>KEW</v>
          </cell>
          <cell r="Z85">
            <v>45474</v>
          </cell>
          <cell r="AA85">
            <v>45839</v>
          </cell>
          <cell r="AB85" t="str">
            <v>Yes</v>
          </cell>
          <cell r="AC85">
            <v>45474</v>
          </cell>
          <cell r="AD85" t="str">
            <v>Good</v>
          </cell>
          <cell r="AE85" t="str">
            <v>V3 - Added Installed Facilities (New)</v>
          </cell>
          <cell r="AF85">
            <v>45492</v>
          </cell>
          <cell r="AG85" t="str">
            <v>NA</v>
          </cell>
          <cell r="AH85" t="str">
            <v>PPM</v>
          </cell>
          <cell r="AI85" t="str">
            <v>Not in Contract</v>
          </cell>
          <cell r="AJ85" t="str">
            <v>Proposed for V3 P2.24</v>
          </cell>
          <cell r="AK85" t="str">
            <v>Accessories: 10 Lead AHA Patient Cable MAC 5 A4, Patient Interface Cable MAC 5 A4, Power Adapter 24Vdc 2.5A, Rechargeable battery MAC 5 A4, Local Made Cart Trolley MAC 5 A4</v>
          </cell>
        </row>
        <row r="86">
          <cell r="A86" t="str">
            <v>IKN402186</v>
          </cell>
          <cell r="B86">
            <v>1832</v>
          </cell>
          <cell r="C86" t="str">
            <v>Institut Kanser Negara</v>
          </cell>
          <cell r="D86" t="str">
            <v>KKM/IKN/H/24/26</v>
          </cell>
          <cell r="F86" t="str">
            <v>Defibrillator</v>
          </cell>
          <cell r="G86" t="str">
            <v>DO</v>
          </cell>
          <cell r="AC86">
            <v>45484</v>
          </cell>
          <cell r="AF86">
            <v>45512</v>
          </cell>
          <cell r="AI86" t="str">
            <v>Not in Contract</v>
          </cell>
          <cell r="AJ86" t="str">
            <v>Proposed for V3 P2.24</v>
          </cell>
          <cell r="AK86" t="str">
            <v>SNF 8/8/2024</v>
          </cell>
        </row>
        <row r="87">
          <cell r="A87" t="str">
            <v>IKN402187</v>
          </cell>
          <cell r="B87">
            <v>1833</v>
          </cell>
          <cell r="C87" t="str">
            <v>Institut Kanser Negara</v>
          </cell>
          <cell r="D87" t="str">
            <v>KKM/IKN/H/24/34</v>
          </cell>
          <cell r="F87" t="str">
            <v>Ultrasound</v>
          </cell>
          <cell r="G87" t="str">
            <v>ID</v>
          </cell>
          <cell r="H87" t="str">
            <v>IMAGING DEPARTMENT</v>
          </cell>
          <cell r="J87" t="str">
            <v>RADIOGRAPHER</v>
          </cell>
          <cell r="AB87" t="str">
            <v>No</v>
          </cell>
          <cell r="AD87" t="str">
            <v>Good</v>
          </cell>
          <cell r="AE87" t="str">
            <v>V3 - Added Installed Facilities (New)</v>
          </cell>
          <cell r="AF87">
            <v>45508</v>
          </cell>
          <cell r="AG87" t="str">
            <v>NA</v>
          </cell>
          <cell r="AH87" t="str">
            <v>PPM</v>
          </cell>
          <cell r="AI87" t="str">
            <v>NA</v>
          </cell>
          <cell r="AJ87" t="str">
            <v>TnC Anis Ultrasound 25/6/2024</v>
          </cell>
          <cell r="AK87" t="str">
            <v>SNF 2/8/2024</v>
          </cell>
        </row>
        <row r="88">
          <cell r="A88" t="str">
            <v>IKN400003</v>
          </cell>
          <cell r="B88">
            <v>3</v>
          </cell>
          <cell r="C88" t="str">
            <v>Institut Kanser Negara</v>
          </cell>
          <cell r="D88" t="str">
            <v>KKM/IKN/H/13/4932</v>
          </cell>
          <cell r="E88" t="str">
            <v>18-595</v>
          </cell>
          <cell r="F88" t="str">
            <v>Ophthalmoscopes/Otoscopes</v>
          </cell>
          <cell r="G88" t="str">
            <v>AE</v>
          </cell>
          <cell r="H88" t="str">
            <v>EMERGENCY UNIT</v>
          </cell>
          <cell r="I88" t="str">
            <v>01AE106</v>
          </cell>
          <cell r="J88" t="str">
            <v>C/E ROOM</v>
          </cell>
          <cell r="K88" t="str">
            <v>BMED</v>
          </cell>
          <cell r="L88" t="str">
            <v>Normal</v>
          </cell>
          <cell r="M88" t="str">
            <v>USA</v>
          </cell>
          <cell r="N88" t="str">
            <v>Welch Allyn</v>
          </cell>
          <cell r="O88" t="str">
            <v>Welch Allyn 71904</v>
          </cell>
          <cell r="P88" t="str">
            <v>GD0019-9</v>
          </cell>
          <cell r="Q88" t="str">
            <v>Not Applicable</v>
          </cell>
          <cell r="R88" t="str">
            <v>Welch Allyn Inc</v>
          </cell>
          <cell r="S88" t="str">
            <v>Welch Allyn Malaysia Sdn Bhd</v>
          </cell>
          <cell r="T88" t="str">
            <v>Functioning</v>
          </cell>
          <cell r="U88" t="str">
            <v>Asset</v>
          </cell>
          <cell r="V88">
            <v>4690</v>
          </cell>
          <cell r="W88" t="str">
            <v>KEW</v>
          </cell>
          <cell r="X88" t="str">
            <v>01/09/2010</v>
          </cell>
          <cell r="Y88" t="str">
            <v>KEW</v>
          </cell>
          <cell r="Z88" t="str">
            <v>16/08/2013</v>
          </cell>
          <cell r="AA88" t="str">
            <v>15/08/2015</v>
          </cell>
          <cell r="AB88" t="str">
            <v>No</v>
          </cell>
          <cell r="AC88" t="str">
            <v>31/08/2013</v>
          </cell>
          <cell r="AD88" t="str">
            <v>Good</v>
          </cell>
          <cell r="AE88" t="str">
            <v>V1 - Existing / No Claim</v>
          </cell>
          <cell r="AF88">
            <v>42800</v>
          </cell>
          <cell r="AG88">
            <v>9.17</v>
          </cell>
          <cell r="AH88" t="str">
            <v>RI</v>
          </cell>
          <cell r="AI88" t="str">
            <v>Strands</v>
          </cell>
          <cell r="AJ88" t="str">
            <v>Not under maintenance</v>
          </cell>
        </row>
        <row r="89">
          <cell r="A89" t="str">
            <v>IKN400026</v>
          </cell>
          <cell r="B89">
            <v>26</v>
          </cell>
          <cell r="C89" t="str">
            <v>Institut Kanser Negara</v>
          </cell>
          <cell r="D89" t="e">
            <v>#N/A</v>
          </cell>
          <cell r="E89" t="str">
            <v>18-595</v>
          </cell>
          <cell r="F89" t="str">
            <v>Ophthalmoscopes/Otoscopes</v>
          </cell>
          <cell r="G89" t="str">
            <v>IC</v>
          </cell>
          <cell r="H89" t="str">
            <v>INTENSIVE CARE UNIT</v>
          </cell>
          <cell r="I89" t="str">
            <v>05IC106</v>
          </cell>
          <cell r="J89" t="str">
            <v>EQ. ROOM</v>
          </cell>
          <cell r="K89" t="str">
            <v>BMED</v>
          </cell>
          <cell r="L89" t="str">
            <v>Normal</v>
          </cell>
          <cell r="M89" t="str">
            <v>USA</v>
          </cell>
          <cell r="N89" t="str">
            <v>Welch Allyn</v>
          </cell>
          <cell r="O89" t="str">
            <v>Welch Allyn 97150-BIM</v>
          </cell>
          <cell r="P89" t="str">
            <v>GD0019-30</v>
          </cell>
          <cell r="Q89" t="str">
            <v>Not Applicable</v>
          </cell>
          <cell r="R89" t="str">
            <v>Welch Allyn Inc</v>
          </cell>
          <cell r="S89" t="str">
            <v>Welch Allyn Malaysia Sdn Bhd</v>
          </cell>
          <cell r="T89" t="str">
            <v>Functioning</v>
          </cell>
          <cell r="U89" t="str">
            <v>Asset</v>
          </cell>
          <cell r="V89">
            <v>4690</v>
          </cell>
          <cell r="W89" t="str">
            <v>KEW</v>
          </cell>
          <cell r="X89" t="str">
            <v>01/09/2010</v>
          </cell>
          <cell r="Y89" t="str">
            <v>KEW</v>
          </cell>
          <cell r="Z89" t="str">
            <v>16/08/2013</v>
          </cell>
          <cell r="AA89" t="str">
            <v>15/08/2015</v>
          </cell>
          <cell r="AB89" t="str">
            <v>No</v>
          </cell>
          <cell r="AC89" t="str">
            <v>31/08/2013</v>
          </cell>
          <cell r="AD89" t="str">
            <v>Good</v>
          </cell>
          <cell r="AE89" t="str">
            <v>V1 - Existing / No Claim</v>
          </cell>
          <cell r="AF89">
            <v>42235</v>
          </cell>
          <cell r="AG89">
            <v>9.17</v>
          </cell>
          <cell r="AH89" t="str">
            <v>RI</v>
          </cell>
          <cell r="AI89" t="str">
            <v>Not in contract</v>
          </cell>
          <cell r="AJ89" t="str">
            <v>Not under maintenance</v>
          </cell>
          <cell r="AK89" t="str">
            <v>Will be under V4. Taken out of contract as agreed by IKN</v>
          </cell>
        </row>
        <row r="90">
          <cell r="A90" t="str">
            <v>IKN400027</v>
          </cell>
          <cell r="B90">
            <v>27</v>
          </cell>
          <cell r="C90" t="str">
            <v>Institut Kanser Negara</v>
          </cell>
          <cell r="D90" t="e">
            <v>#N/A</v>
          </cell>
          <cell r="E90" t="str">
            <v>18-595</v>
          </cell>
          <cell r="F90" t="str">
            <v>Ophthalmoscopes/Otoscopes</v>
          </cell>
          <cell r="G90" t="str">
            <v>IC</v>
          </cell>
          <cell r="H90" t="str">
            <v>INTENSIVE CARE UNIT</v>
          </cell>
          <cell r="I90" t="str">
            <v>05IC106</v>
          </cell>
          <cell r="J90" t="str">
            <v>EQ. ROOM</v>
          </cell>
          <cell r="K90" t="str">
            <v>BMED</v>
          </cell>
          <cell r="L90" t="str">
            <v>Normal</v>
          </cell>
          <cell r="M90" t="str">
            <v>USA</v>
          </cell>
          <cell r="N90" t="str">
            <v>Welch Allyn</v>
          </cell>
          <cell r="O90" t="str">
            <v>Welch Allyn 97150-BIM</v>
          </cell>
          <cell r="P90" t="str">
            <v>GD0019-21</v>
          </cell>
          <cell r="Q90" t="str">
            <v>Not Applicable</v>
          </cell>
          <cell r="R90" t="str">
            <v>Welch Allyn Inc</v>
          </cell>
          <cell r="S90" t="str">
            <v>Welch Allyn Malaysia Sdn Bhd</v>
          </cell>
          <cell r="T90" t="str">
            <v>Functioning</v>
          </cell>
          <cell r="U90" t="str">
            <v>Asset</v>
          </cell>
          <cell r="V90">
            <v>4690</v>
          </cell>
          <cell r="W90" t="str">
            <v>KEW</v>
          </cell>
          <cell r="X90" t="str">
            <v>01/09/2010</v>
          </cell>
          <cell r="Y90" t="str">
            <v>KEW</v>
          </cell>
          <cell r="Z90" t="str">
            <v>16/08/2013</v>
          </cell>
          <cell r="AA90" t="str">
            <v>15/08/2015</v>
          </cell>
          <cell r="AB90" t="str">
            <v>No</v>
          </cell>
          <cell r="AC90" t="str">
            <v>31/08/2013</v>
          </cell>
          <cell r="AD90" t="str">
            <v>Good</v>
          </cell>
          <cell r="AE90" t="str">
            <v>V1 - Existing / No Claim</v>
          </cell>
          <cell r="AF90">
            <v>42235</v>
          </cell>
          <cell r="AG90">
            <v>9.17</v>
          </cell>
          <cell r="AH90" t="str">
            <v>RI</v>
          </cell>
          <cell r="AI90" t="str">
            <v>Not in contract</v>
          </cell>
          <cell r="AJ90" t="str">
            <v>Not under maintenance</v>
          </cell>
          <cell r="AK90" t="str">
            <v>Will be under V4. Taken out of contract as agreed by IKN</v>
          </cell>
        </row>
        <row r="91">
          <cell r="A91" t="str">
            <v>IKN400028</v>
          </cell>
          <cell r="B91">
            <v>28</v>
          </cell>
          <cell r="C91" t="str">
            <v>Institut Kanser Negara</v>
          </cell>
          <cell r="D91" t="e">
            <v>#N/A</v>
          </cell>
          <cell r="E91" t="str">
            <v>18-595</v>
          </cell>
          <cell r="F91" t="str">
            <v>Ophthalmoscopes/Otoscopes</v>
          </cell>
          <cell r="G91" t="str">
            <v>IC</v>
          </cell>
          <cell r="H91" t="str">
            <v>INTENSIVE CARE UNIT</v>
          </cell>
          <cell r="I91" t="str">
            <v>05IC106</v>
          </cell>
          <cell r="J91" t="str">
            <v>EQ. ROOM</v>
          </cell>
          <cell r="K91" t="str">
            <v>BMED</v>
          </cell>
          <cell r="L91" t="str">
            <v>Normal</v>
          </cell>
          <cell r="M91" t="str">
            <v>USA</v>
          </cell>
          <cell r="N91" t="str">
            <v>Welch Allyn</v>
          </cell>
          <cell r="O91" t="str">
            <v>Welch Allyn 97150-BIM</v>
          </cell>
          <cell r="P91" t="str">
            <v>GD0019-44</v>
          </cell>
          <cell r="Q91" t="str">
            <v>Not Applicable</v>
          </cell>
          <cell r="R91" t="str">
            <v>Welch Allyn Inc</v>
          </cell>
          <cell r="S91" t="str">
            <v>Welch Allyn Malaysia Sdn Bhd</v>
          </cell>
          <cell r="T91" t="str">
            <v>Functioning</v>
          </cell>
          <cell r="U91" t="str">
            <v>Asset</v>
          </cell>
          <cell r="V91">
            <v>4690</v>
          </cell>
          <cell r="W91" t="str">
            <v>KEW</v>
          </cell>
          <cell r="X91" t="str">
            <v>01/09/2010</v>
          </cell>
          <cell r="Y91" t="str">
            <v>KEW</v>
          </cell>
          <cell r="Z91" t="str">
            <v>16/08/2013</v>
          </cell>
          <cell r="AA91" t="str">
            <v>15/08/2015</v>
          </cell>
          <cell r="AB91" t="str">
            <v>No</v>
          </cell>
          <cell r="AC91" t="str">
            <v>31/08/2013</v>
          </cell>
          <cell r="AD91" t="str">
            <v>Good</v>
          </cell>
          <cell r="AE91" t="str">
            <v>V1 - Existing / No Claim</v>
          </cell>
          <cell r="AF91">
            <v>42235</v>
          </cell>
          <cell r="AG91">
            <v>9.17</v>
          </cell>
          <cell r="AH91" t="str">
            <v>RI</v>
          </cell>
          <cell r="AI91" t="str">
            <v>Not in contract</v>
          </cell>
          <cell r="AJ91" t="str">
            <v>Not under maintenance</v>
          </cell>
          <cell r="AK91" t="str">
            <v>Will be under V4. Taken out of contract as agreed by IKN</v>
          </cell>
        </row>
        <row r="92">
          <cell r="A92" t="str">
            <v>IKN400081</v>
          </cell>
          <cell r="B92">
            <v>81</v>
          </cell>
          <cell r="C92" t="str">
            <v>Institut Kanser Negara</v>
          </cell>
          <cell r="D92" t="str">
            <v>KKM/IKN/H/13/1624</v>
          </cell>
          <cell r="E92" t="str">
            <v>18-595</v>
          </cell>
          <cell r="F92" t="str">
            <v>Ophthalmoscopes/Otoscopes</v>
          </cell>
          <cell r="G92" t="str">
            <v>IC</v>
          </cell>
          <cell r="H92" t="str">
            <v>INTENSIVE CARE UNIT</v>
          </cell>
          <cell r="I92" t="str">
            <v>05IC106</v>
          </cell>
          <cell r="J92" t="str">
            <v>EQ. ROOM</v>
          </cell>
          <cell r="K92" t="str">
            <v>BMED</v>
          </cell>
          <cell r="L92" t="str">
            <v>Normal</v>
          </cell>
          <cell r="M92" t="str">
            <v>USA</v>
          </cell>
          <cell r="N92" t="str">
            <v>Welch Allyn</v>
          </cell>
          <cell r="O92" t="str">
            <v>Welch Allyn 97150-BIM</v>
          </cell>
          <cell r="P92" t="str">
            <v>GD0019-23</v>
          </cell>
          <cell r="Q92" t="str">
            <v>Not Applicable</v>
          </cell>
          <cell r="R92" t="str">
            <v>Welch Allyn Inc</v>
          </cell>
          <cell r="S92" t="str">
            <v>Welch Allyn Malaysia Sdn Bhd</v>
          </cell>
          <cell r="T92" t="str">
            <v>Functioning</v>
          </cell>
          <cell r="U92" t="str">
            <v>Asset</v>
          </cell>
          <cell r="V92">
            <v>4690</v>
          </cell>
          <cell r="W92" t="str">
            <v>KEW</v>
          </cell>
          <cell r="X92" t="str">
            <v>01/09/2010</v>
          </cell>
          <cell r="Y92" t="str">
            <v>KEW</v>
          </cell>
          <cell r="Z92" t="str">
            <v>16/08/2013</v>
          </cell>
          <cell r="AA92" t="str">
            <v>15/08/2015</v>
          </cell>
          <cell r="AB92" t="str">
            <v>No</v>
          </cell>
          <cell r="AC92" t="str">
            <v>31/08/2013</v>
          </cell>
          <cell r="AD92" t="str">
            <v>Good</v>
          </cell>
          <cell r="AE92" t="str">
            <v>V1 - Existing / No Claim</v>
          </cell>
          <cell r="AF92">
            <v>42235</v>
          </cell>
          <cell r="AG92">
            <v>9.17</v>
          </cell>
          <cell r="AH92" t="str">
            <v>RI</v>
          </cell>
          <cell r="AI92" t="str">
            <v>Strands</v>
          </cell>
          <cell r="AJ92" t="str">
            <v>Not under maintenance</v>
          </cell>
        </row>
        <row r="93">
          <cell r="A93" t="str">
            <v>IKN400166</v>
          </cell>
          <cell r="B93">
            <v>166</v>
          </cell>
          <cell r="C93" t="str">
            <v>Institut Kanser Negara</v>
          </cell>
          <cell r="D93" t="e">
            <v>#N/A</v>
          </cell>
          <cell r="E93" t="str">
            <v>18-595</v>
          </cell>
          <cell r="F93" t="str">
            <v>Ophthalmoscopes/Otoscopes</v>
          </cell>
          <cell r="G93" t="str">
            <v>IC</v>
          </cell>
          <cell r="H93" t="str">
            <v>INTENSIVE CARE UNIT</v>
          </cell>
          <cell r="I93" t="str">
            <v>05IC106</v>
          </cell>
          <cell r="J93" t="str">
            <v>EQ. ROOM</v>
          </cell>
          <cell r="K93" t="str">
            <v>BMED</v>
          </cell>
          <cell r="L93" t="str">
            <v>Normal</v>
          </cell>
          <cell r="M93" t="str">
            <v>USA</v>
          </cell>
          <cell r="N93" t="str">
            <v>Welch Allyn</v>
          </cell>
          <cell r="O93" t="str">
            <v>Welch Allyn 97150-BIM</v>
          </cell>
          <cell r="P93" t="str">
            <v>GD0019-31</v>
          </cell>
          <cell r="Q93" t="str">
            <v>Not Applicable</v>
          </cell>
          <cell r="R93" t="str">
            <v>Welch Allyn Inc</v>
          </cell>
          <cell r="S93" t="str">
            <v>Welch Allyn Malaysia Sdn Bhd</v>
          </cell>
          <cell r="T93" t="str">
            <v>Functioning</v>
          </cell>
          <cell r="U93" t="str">
            <v>Asset</v>
          </cell>
          <cell r="V93">
            <v>4690</v>
          </cell>
          <cell r="W93" t="str">
            <v>KEW</v>
          </cell>
          <cell r="X93" t="str">
            <v>01/09/2010</v>
          </cell>
          <cell r="Y93" t="str">
            <v>KEW</v>
          </cell>
          <cell r="Z93" t="str">
            <v>16/08/2013</v>
          </cell>
          <cell r="AA93" t="str">
            <v>15/08/2015</v>
          </cell>
          <cell r="AB93" t="str">
            <v>No</v>
          </cell>
          <cell r="AC93" t="str">
            <v>31/08/2013</v>
          </cell>
          <cell r="AD93" t="str">
            <v>Good</v>
          </cell>
          <cell r="AE93" t="str">
            <v>V1 - Existing / No Claim</v>
          </cell>
          <cell r="AF93">
            <v>42235</v>
          </cell>
          <cell r="AG93">
            <v>9.17</v>
          </cell>
          <cell r="AH93" t="str">
            <v>RI</v>
          </cell>
          <cell r="AI93" t="str">
            <v>Not in contract</v>
          </cell>
          <cell r="AJ93" t="str">
            <v>Not under maintenance</v>
          </cell>
          <cell r="AK93" t="str">
            <v>Will be under V4. Taken out of contract as agreed by IKN</v>
          </cell>
        </row>
        <row r="94">
          <cell r="A94" t="str">
            <v>IKN400207</v>
          </cell>
          <cell r="B94">
            <v>207</v>
          </cell>
          <cell r="C94" t="str">
            <v>Institut Kanser Negara</v>
          </cell>
          <cell r="D94" t="e">
            <v>#N/A</v>
          </cell>
          <cell r="E94" t="str">
            <v>16-158</v>
          </cell>
          <cell r="F94" t="str">
            <v>Sphygmomanometers, Mercury</v>
          </cell>
          <cell r="G94" t="str">
            <v>WJ</v>
          </cell>
          <cell r="H94" t="str">
            <v>MULTIDISCIPLINE WARD 1</v>
          </cell>
          <cell r="I94" t="str">
            <v>09WJ130</v>
          </cell>
          <cell r="J94" t="str">
            <v>TREATMENT/ PROCEDURE</v>
          </cell>
          <cell r="K94" t="str">
            <v>BMED</v>
          </cell>
          <cell r="L94" t="str">
            <v>Normal</v>
          </cell>
          <cell r="M94" t="str">
            <v>Germany</v>
          </cell>
          <cell r="N94" t="str">
            <v>Erka</v>
          </cell>
          <cell r="O94" t="str">
            <v>Erkameter 3000</v>
          </cell>
          <cell r="P94" t="str">
            <v>13500746</v>
          </cell>
          <cell r="Q94" t="str">
            <v>Not Applicable</v>
          </cell>
          <cell r="R94" t="str">
            <v>Erka GmbH &amp; Co</v>
          </cell>
          <cell r="S94" t="str">
            <v>Acucare Systems (M) Sdn bhd</v>
          </cell>
          <cell r="T94" t="str">
            <v>Functioning</v>
          </cell>
          <cell r="U94" t="str">
            <v>Asset</v>
          </cell>
          <cell r="V94">
            <v>505</v>
          </cell>
          <cell r="W94" t="str">
            <v>KEW</v>
          </cell>
          <cell r="X94" t="str">
            <v>01/09/2010</v>
          </cell>
          <cell r="Y94" t="str">
            <v>KEW</v>
          </cell>
          <cell r="Z94" t="str">
            <v>16/08/2013</v>
          </cell>
          <cell r="AA94" t="str">
            <v>15/08/2015</v>
          </cell>
          <cell r="AB94" t="str">
            <v>No</v>
          </cell>
          <cell r="AC94" t="str">
            <v>31/08/2013</v>
          </cell>
          <cell r="AD94" t="str">
            <v>Good</v>
          </cell>
          <cell r="AE94" t="str">
            <v>V4 - Decommissioned Installed Facility</v>
          </cell>
          <cell r="AF94">
            <v>42235</v>
          </cell>
          <cell r="AG94">
            <v>9.17</v>
          </cell>
          <cell r="AH94" t="str">
            <v>PPM</v>
          </cell>
          <cell r="AI94" t="str">
            <v>Not in contract</v>
          </cell>
          <cell r="AJ94" t="str">
            <v>Not under maintenance</v>
          </cell>
          <cell r="AK94" t="e">
            <v>#N/A</v>
          </cell>
        </row>
        <row r="95">
          <cell r="A95" t="str">
            <v>IKN400219</v>
          </cell>
          <cell r="B95">
            <v>219</v>
          </cell>
          <cell r="C95" t="str">
            <v>Institut Kanser Negara</v>
          </cell>
          <cell r="D95" t="e">
            <v>#N/A</v>
          </cell>
          <cell r="E95" t="str">
            <v>16-158</v>
          </cell>
          <cell r="F95" t="str">
            <v>Sphygmomanometers, Mercury</v>
          </cell>
          <cell r="G95" t="str">
            <v>WJ</v>
          </cell>
          <cell r="H95" t="str">
            <v>MULTIDISCIPLINE WARD 1</v>
          </cell>
          <cell r="I95" t="str">
            <v>09WJ222</v>
          </cell>
          <cell r="J95" t="str">
            <v>TREATMENT</v>
          </cell>
          <cell r="K95" t="str">
            <v>BMED</v>
          </cell>
          <cell r="L95" t="str">
            <v>Normal</v>
          </cell>
          <cell r="M95" t="str">
            <v>Germany</v>
          </cell>
          <cell r="N95" t="str">
            <v>Erka</v>
          </cell>
          <cell r="O95" t="str">
            <v>Erkameter 3000</v>
          </cell>
          <cell r="P95" t="str">
            <v>13500749</v>
          </cell>
          <cell r="Q95" t="str">
            <v>Not Applicable</v>
          </cell>
          <cell r="R95" t="str">
            <v>Erka GmbH &amp; Co</v>
          </cell>
          <cell r="S95" t="str">
            <v>Acucare Systems (M) Sdn bhd</v>
          </cell>
          <cell r="T95" t="str">
            <v>Functioning</v>
          </cell>
          <cell r="U95" t="str">
            <v>Asset</v>
          </cell>
          <cell r="V95">
            <v>505</v>
          </cell>
          <cell r="W95" t="str">
            <v>KEW</v>
          </cell>
          <cell r="X95" t="str">
            <v>01/09/2010</v>
          </cell>
          <cell r="Y95" t="str">
            <v>KEW</v>
          </cell>
          <cell r="Z95" t="str">
            <v>16/08/2013</v>
          </cell>
          <cell r="AA95" t="str">
            <v>15/08/2015</v>
          </cell>
          <cell r="AB95" t="str">
            <v>No</v>
          </cell>
          <cell r="AC95" t="str">
            <v>31/08/2013</v>
          </cell>
          <cell r="AD95" t="str">
            <v>Good</v>
          </cell>
          <cell r="AE95" t="str">
            <v>V4 - Decommissioned Installed Facility</v>
          </cell>
          <cell r="AF95">
            <v>42235</v>
          </cell>
          <cell r="AG95">
            <v>9.17</v>
          </cell>
          <cell r="AH95" t="str">
            <v>PPM</v>
          </cell>
          <cell r="AI95" t="str">
            <v>Not in contract</v>
          </cell>
          <cell r="AJ95" t="str">
            <v>Not under maintenance</v>
          </cell>
          <cell r="AK95" t="e">
            <v>#N/A</v>
          </cell>
        </row>
        <row r="96">
          <cell r="A96" t="str">
            <v>IKN400220</v>
          </cell>
          <cell r="B96">
            <v>220</v>
          </cell>
          <cell r="C96" t="str">
            <v>Institut Kanser Negara</v>
          </cell>
          <cell r="D96" t="e">
            <v>#N/A</v>
          </cell>
          <cell r="E96" t="str">
            <v>18-595</v>
          </cell>
          <cell r="F96" t="str">
            <v>Ophthalmoscopes/Otoscopes</v>
          </cell>
          <cell r="G96" t="str">
            <v>WJ</v>
          </cell>
          <cell r="H96" t="str">
            <v>MULTIDISCIPLINE WARD 1</v>
          </cell>
          <cell r="I96" t="str">
            <v>09WJ222</v>
          </cell>
          <cell r="J96" t="str">
            <v>TREATMENT</v>
          </cell>
          <cell r="K96" t="str">
            <v>BMED</v>
          </cell>
          <cell r="L96" t="str">
            <v>Normal</v>
          </cell>
          <cell r="M96" t="str">
            <v>USA</v>
          </cell>
          <cell r="N96" t="str">
            <v>Welch Allyn</v>
          </cell>
          <cell r="O96" t="str">
            <v>Welch Allyn 71904</v>
          </cell>
          <cell r="P96" t="str">
            <v>GD0019-19</v>
          </cell>
          <cell r="Q96" t="str">
            <v>Not Applicable</v>
          </cell>
          <cell r="R96" t="str">
            <v>Welch Allyn Inc</v>
          </cell>
          <cell r="S96" t="str">
            <v>Welch Allyn Malaysia Sdn Bhd</v>
          </cell>
          <cell r="T96" t="str">
            <v>Functioning</v>
          </cell>
          <cell r="U96" t="str">
            <v>Asset</v>
          </cell>
          <cell r="V96">
            <v>4690</v>
          </cell>
          <cell r="W96" t="str">
            <v>KEW</v>
          </cell>
          <cell r="X96" t="str">
            <v>01/09/2010</v>
          </cell>
          <cell r="Y96" t="str">
            <v>KEW</v>
          </cell>
          <cell r="Z96" t="str">
            <v>16/08/2013</v>
          </cell>
          <cell r="AA96" t="str">
            <v>15/08/2015</v>
          </cell>
          <cell r="AB96" t="str">
            <v>No</v>
          </cell>
          <cell r="AC96" t="str">
            <v>31/08/2013</v>
          </cell>
          <cell r="AD96" t="str">
            <v>Good</v>
          </cell>
          <cell r="AE96" t="str">
            <v>V1 - Existing / No Claim</v>
          </cell>
          <cell r="AF96">
            <v>42944</v>
          </cell>
          <cell r="AG96">
            <v>9.17</v>
          </cell>
          <cell r="AH96" t="str">
            <v>RI</v>
          </cell>
          <cell r="AI96" t="str">
            <v>Not in contract</v>
          </cell>
          <cell r="AJ96" t="str">
            <v>Not under maintenance</v>
          </cell>
          <cell r="AK96" t="str">
            <v>Will be under V4. Taken out of contract as agreed by IKN</v>
          </cell>
        </row>
        <row r="97">
          <cell r="A97" t="str">
            <v>IKN400272</v>
          </cell>
          <cell r="B97">
            <v>272</v>
          </cell>
          <cell r="C97" t="str">
            <v>Institut Kanser Negara</v>
          </cell>
          <cell r="D97" t="str">
            <v>KKM/IKN/H/13/2561</v>
          </cell>
          <cell r="E97" t="str">
            <v>18-595</v>
          </cell>
          <cell r="F97" t="str">
            <v>Ophthalmoscopes/Otoscopes</v>
          </cell>
          <cell r="G97" t="str">
            <v>WG</v>
          </cell>
          <cell r="H97" t="str">
            <v>RT/ONCO WARD 1 (M)</v>
          </cell>
          <cell r="I97" t="str">
            <v>08WG107</v>
          </cell>
          <cell r="J97" t="str">
            <v>TREATMENT / PROCEDURE</v>
          </cell>
          <cell r="K97" t="str">
            <v>BMED</v>
          </cell>
          <cell r="L97" t="str">
            <v>Normal</v>
          </cell>
          <cell r="M97" t="str">
            <v>USA</v>
          </cell>
          <cell r="N97" t="str">
            <v>Welch Allyn</v>
          </cell>
          <cell r="O97" t="str">
            <v>Welch Allyn 71904</v>
          </cell>
          <cell r="P97" t="str">
            <v>GD0019-17</v>
          </cell>
          <cell r="Q97" t="str">
            <v>Not Applicable</v>
          </cell>
          <cell r="R97" t="str">
            <v>Welch Allyn Inc</v>
          </cell>
          <cell r="S97" t="str">
            <v>Welch Allyn Malaysia Sdn Bhd</v>
          </cell>
          <cell r="T97" t="str">
            <v>Functioning</v>
          </cell>
          <cell r="U97" t="str">
            <v>Asset</v>
          </cell>
          <cell r="V97">
            <v>4690</v>
          </cell>
          <cell r="W97" t="str">
            <v>KEW</v>
          </cell>
          <cell r="X97" t="str">
            <v>01/09/2010</v>
          </cell>
          <cell r="Y97" t="str">
            <v>KEW</v>
          </cell>
          <cell r="Z97" t="str">
            <v>16/08/2013</v>
          </cell>
          <cell r="AA97" t="str">
            <v>15/08/2015</v>
          </cell>
          <cell r="AB97" t="str">
            <v>No</v>
          </cell>
          <cell r="AC97" t="str">
            <v>31/08/2013</v>
          </cell>
          <cell r="AD97" t="str">
            <v>Good</v>
          </cell>
          <cell r="AE97" t="str">
            <v>V1 - Existing / No Claim</v>
          </cell>
          <cell r="AF97">
            <v>42235</v>
          </cell>
          <cell r="AG97">
            <v>9.17</v>
          </cell>
          <cell r="AH97" t="str">
            <v>RI</v>
          </cell>
          <cell r="AI97" t="str">
            <v>Strands</v>
          </cell>
          <cell r="AJ97" t="str">
            <v>Not under maintenance</v>
          </cell>
        </row>
        <row r="98">
          <cell r="A98" t="str">
            <v>IKN400273</v>
          </cell>
          <cell r="B98">
            <v>273</v>
          </cell>
          <cell r="C98" t="str">
            <v>Institut Kanser Negara</v>
          </cell>
          <cell r="D98" t="e">
            <v>#N/A</v>
          </cell>
          <cell r="E98" t="str">
            <v>16-158</v>
          </cell>
          <cell r="F98" t="str">
            <v>Sphygmomanometers, Mercury</v>
          </cell>
          <cell r="G98" t="str">
            <v>WJ</v>
          </cell>
          <cell r="H98" t="str">
            <v>MULTIDISCIPLINE WARD 1</v>
          </cell>
          <cell r="I98" t="str">
            <v>09WJ126</v>
          </cell>
          <cell r="J98" t="str">
            <v>EQUIPT. ROOM</v>
          </cell>
          <cell r="K98" t="str">
            <v>BMED</v>
          </cell>
          <cell r="L98" t="str">
            <v>Normal</v>
          </cell>
          <cell r="M98" t="str">
            <v>Germany</v>
          </cell>
          <cell r="N98" t="str">
            <v>Erka</v>
          </cell>
          <cell r="O98" t="str">
            <v>Erkameter 3000</v>
          </cell>
          <cell r="P98" t="str">
            <v>12508913</v>
          </cell>
          <cell r="Q98" t="str">
            <v>Not Applicable</v>
          </cell>
          <cell r="R98" t="str">
            <v>Erka GmbH &amp; Co</v>
          </cell>
          <cell r="S98" t="str">
            <v>Acucare Systems (M) Sdn bhd</v>
          </cell>
          <cell r="T98" t="str">
            <v>Functioning</v>
          </cell>
          <cell r="U98" t="str">
            <v>Asset</v>
          </cell>
          <cell r="V98">
            <v>505</v>
          </cell>
          <cell r="W98" t="str">
            <v>KEW</v>
          </cell>
          <cell r="X98" t="str">
            <v>01/09/2010</v>
          </cell>
          <cell r="Y98" t="str">
            <v>KEW</v>
          </cell>
          <cell r="Z98" t="str">
            <v>16/08/2013</v>
          </cell>
          <cell r="AA98" t="str">
            <v>15/08/2015</v>
          </cell>
          <cell r="AB98" t="str">
            <v>No</v>
          </cell>
          <cell r="AC98" t="str">
            <v>31/08/2013</v>
          </cell>
          <cell r="AD98" t="str">
            <v>Good</v>
          </cell>
          <cell r="AE98" t="str">
            <v>V4 - Decommissioned Installed Facility</v>
          </cell>
          <cell r="AF98">
            <v>42235</v>
          </cell>
          <cell r="AG98">
            <v>9.17</v>
          </cell>
          <cell r="AH98" t="str">
            <v>PPM</v>
          </cell>
          <cell r="AI98" t="str">
            <v>Not in contract</v>
          </cell>
          <cell r="AJ98" t="str">
            <v>Not under maintenance</v>
          </cell>
          <cell r="AK98" t="e">
            <v>#N/A</v>
          </cell>
        </row>
        <row r="99">
          <cell r="A99" t="str">
            <v>IKN400274</v>
          </cell>
          <cell r="B99">
            <v>274</v>
          </cell>
          <cell r="C99" t="str">
            <v>Institut Kanser Negara</v>
          </cell>
          <cell r="D99" t="e">
            <v>#N/A</v>
          </cell>
          <cell r="E99" t="str">
            <v>16-158</v>
          </cell>
          <cell r="F99" t="str">
            <v>Sphygmomanometers, Mercury</v>
          </cell>
          <cell r="G99" t="str">
            <v>WJ</v>
          </cell>
          <cell r="H99" t="str">
            <v>MULTIDISCIPLINE WARD 1</v>
          </cell>
          <cell r="I99" t="str">
            <v>09WJ126</v>
          </cell>
          <cell r="J99" t="str">
            <v>EQUIPT. ROOM</v>
          </cell>
          <cell r="K99" t="str">
            <v>BMED</v>
          </cell>
          <cell r="L99" t="str">
            <v>Normal</v>
          </cell>
          <cell r="M99" t="str">
            <v>Germany</v>
          </cell>
          <cell r="N99" t="str">
            <v>Erka</v>
          </cell>
          <cell r="O99" t="str">
            <v>Erkameter 3000</v>
          </cell>
          <cell r="P99" t="str">
            <v>12508925</v>
          </cell>
          <cell r="Q99" t="str">
            <v>Not Applicable</v>
          </cell>
          <cell r="R99" t="str">
            <v>Erka GmbH &amp; Co</v>
          </cell>
          <cell r="S99" t="str">
            <v>Acucare Systems (M) Sdn bhd</v>
          </cell>
          <cell r="T99" t="str">
            <v>Functioning</v>
          </cell>
          <cell r="U99" t="str">
            <v>Asset</v>
          </cell>
          <cell r="V99">
            <v>505</v>
          </cell>
          <cell r="W99" t="str">
            <v>KEW</v>
          </cell>
          <cell r="X99" t="str">
            <v>01/09/2010</v>
          </cell>
          <cell r="Y99" t="str">
            <v>KEW</v>
          </cell>
          <cell r="Z99" t="str">
            <v>16/08/2013</v>
          </cell>
          <cell r="AA99" t="str">
            <v>15/08/2015</v>
          </cell>
          <cell r="AB99" t="str">
            <v>No</v>
          </cell>
          <cell r="AC99" t="str">
            <v>31/08/2013</v>
          </cell>
          <cell r="AD99" t="str">
            <v>Good</v>
          </cell>
          <cell r="AE99" t="str">
            <v>V4 - Decommissioned Installed Facility</v>
          </cell>
          <cell r="AF99">
            <v>42235</v>
          </cell>
          <cell r="AG99">
            <v>9.17</v>
          </cell>
          <cell r="AH99" t="str">
            <v>PPM</v>
          </cell>
          <cell r="AI99" t="str">
            <v>Not in contract</v>
          </cell>
          <cell r="AJ99" t="str">
            <v>Not under maintenance</v>
          </cell>
          <cell r="AK99" t="e">
            <v>#N/A</v>
          </cell>
        </row>
        <row r="100">
          <cell r="A100" t="str">
            <v>IKN400275</v>
          </cell>
          <cell r="B100">
            <v>275</v>
          </cell>
          <cell r="C100" t="str">
            <v>Institut Kanser Negara</v>
          </cell>
          <cell r="D100" t="str">
            <v>KKM/IKN/H/13/3167</v>
          </cell>
          <cell r="E100" t="str">
            <v>18-595</v>
          </cell>
          <cell r="F100" t="str">
            <v>Ophthalmoscopes/Otoscopes</v>
          </cell>
          <cell r="G100" t="str">
            <v>WH</v>
          </cell>
          <cell r="H100" t="str">
            <v>RT/ONCO WARD 2 (M)</v>
          </cell>
          <cell r="I100" t="str">
            <v>08WH107</v>
          </cell>
          <cell r="J100" t="str">
            <v>TREATMENT / PROCEDURE</v>
          </cell>
          <cell r="K100" t="str">
            <v>BMED</v>
          </cell>
          <cell r="L100" t="str">
            <v>Normal</v>
          </cell>
          <cell r="M100" t="str">
            <v>USA</v>
          </cell>
          <cell r="N100" t="str">
            <v>Welch Allyn</v>
          </cell>
          <cell r="O100" t="str">
            <v>Welch Allyn 71904</v>
          </cell>
          <cell r="P100" t="str">
            <v>GD0019-18</v>
          </cell>
          <cell r="Q100" t="str">
            <v>Not Applicable</v>
          </cell>
          <cell r="R100" t="str">
            <v>Welch Allyn Inc</v>
          </cell>
          <cell r="S100" t="str">
            <v>Welch Allyn Malaysia Sdn Bhd</v>
          </cell>
          <cell r="T100" t="str">
            <v>Functioning</v>
          </cell>
          <cell r="U100" t="str">
            <v>Asset</v>
          </cell>
          <cell r="V100">
            <v>4690</v>
          </cell>
          <cell r="W100" t="str">
            <v>KEW</v>
          </cell>
          <cell r="X100" t="str">
            <v>01/09/2010</v>
          </cell>
          <cell r="Y100" t="str">
            <v>KEW</v>
          </cell>
          <cell r="Z100" t="str">
            <v>16/08/2013</v>
          </cell>
          <cell r="AA100" t="str">
            <v>15/08/2015</v>
          </cell>
          <cell r="AB100" t="str">
            <v>No</v>
          </cell>
          <cell r="AC100" t="str">
            <v>31/08/2013</v>
          </cell>
          <cell r="AD100" t="str">
            <v>Good</v>
          </cell>
          <cell r="AE100" t="str">
            <v>V1 - Existing / No Claim</v>
          </cell>
          <cell r="AF100">
            <v>43033</v>
          </cell>
          <cell r="AG100">
            <v>9.17</v>
          </cell>
          <cell r="AH100" t="str">
            <v>RI</v>
          </cell>
          <cell r="AI100" t="str">
            <v>Strands</v>
          </cell>
          <cell r="AJ100" t="str">
            <v>Not under maintenance</v>
          </cell>
        </row>
        <row r="101">
          <cell r="A101" t="str">
            <v>IKN400314</v>
          </cell>
          <cell r="B101">
            <v>314</v>
          </cell>
          <cell r="C101" t="str">
            <v>Institut Kanser Negara</v>
          </cell>
          <cell r="D101" t="str">
            <v>KKM/IKN/H/13/2460</v>
          </cell>
          <cell r="E101" t="str">
            <v>18-595</v>
          </cell>
          <cell r="F101" t="str">
            <v>Ophthalmoscopes/Otoscopes</v>
          </cell>
          <cell r="G101" t="str">
            <v>WF</v>
          </cell>
          <cell r="H101" t="str">
            <v>RT/ONCO WARD 2 (F)</v>
          </cell>
          <cell r="I101" t="str">
            <v>07WF107</v>
          </cell>
          <cell r="J101" t="str">
            <v>TREATMENT / PROCEDDURE</v>
          </cell>
          <cell r="K101" t="str">
            <v>BMED</v>
          </cell>
          <cell r="L101" t="str">
            <v>Normal</v>
          </cell>
          <cell r="M101" t="str">
            <v>USA</v>
          </cell>
          <cell r="N101" t="str">
            <v>Welch Allyn</v>
          </cell>
          <cell r="O101" t="str">
            <v>Welch Allyn 71904</v>
          </cell>
          <cell r="P101" t="str">
            <v>GD0019-16</v>
          </cell>
          <cell r="Q101" t="str">
            <v>Not Applicable</v>
          </cell>
          <cell r="R101" t="str">
            <v>Welch Allyn Inc</v>
          </cell>
          <cell r="S101" t="str">
            <v>Welch Allyn Malaysia Sdn Bhd</v>
          </cell>
          <cell r="T101" t="str">
            <v>Functioning</v>
          </cell>
          <cell r="U101" t="str">
            <v>Asset</v>
          </cell>
          <cell r="V101">
            <v>4690</v>
          </cell>
          <cell r="W101" t="str">
            <v>KEW</v>
          </cell>
          <cell r="X101" t="str">
            <v>01/09/2010</v>
          </cell>
          <cell r="Y101" t="str">
            <v>KEW</v>
          </cell>
          <cell r="Z101" t="str">
            <v>16/08/2013</v>
          </cell>
          <cell r="AA101" t="str">
            <v>15/08/2015</v>
          </cell>
          <cell r="AB101" t="str">
            <v>No</v>
          </cell>
          <cell r="AC101" t="str">
            <v>31/08/2013</v>
          </cell>
          <cell r="AD101" t="str">
            <v>Good</v>
          </cell>
          <cell r="AE101" t="str">
            <v>V1 - Existing / No Claim</v>
          </cell>
          <cell r="AF101">
            <v>42235</v>
          </cell>
          <cell r="AG101">
            <v>9.17</v>
          </cell>
          <cell r="AH101" t="str">
            <v>RI</v>
          </cell>
          <cell r="AI101" t="str">
            <v>Strands</v>
          </cell>
          <cell r="AJ101" t="str">
            <v>Not under maintenance</v>
          </cell>
        </row>
        <row r="102">
          <cell r="A102" t="str">
            <v>IKN400317</v>
          </cell>
          <cell r="B102">
            <v>317</v>
          </cell>
          <cell r="C102" t="str">
            <v>Institut Kanser Negara</v>
          </cell>
          <cell r="D102" t="str">
            <v>KKM/IKN/H/13/3177</v>
          </cell>
          <cell r="E102" t="str">
            <v>18-595</v>
          </cell>
          <cell r="F102" t="str">
            <v>Ophthalmoscopes/Otoscopes</v>
          </cell>
          <cell r="G102" t="str">
            <v>WF</v>
          </cell>
          <cell r="H102" t="str">
            <v>RT/ONCO WARD 2 (F)</v>
          </cell>
          <cell r="I102" t="str">
            <v>07WF107</v>
          </cell>
          <cell r="J102" t="str">
            <v>TREATMENT / PROCEDDURE</v>
          </cell>
          <cell r="K102" t="str">
            <v>BMED</v>
          </cell>
          <cell r="L102" t="str">
            <v>Normal</v>
          </cell>
          <cell r="M102" t="str">
            <v>USA</v>
          </cell>
          <cell r="N102" t="str">
            <v>Welch Allyn</v>
          </cell>
          <cell r="O102" t="str">
            <v>Welch Allyn 97150-BIM</v>
          </cell>
          <cell r="P102" t="str">
            <v>GD0019-40</v>
          </cell>
          <cell r="Q102" t="str">
            <v>Not Applicable</v>
          </cell>
          <cell r="R102" t="str">
            <v>Welch Allyn Inc</v>
          </cell>
          <cell r="S102" t="str">
            <v>Welch Allyn Malaysia Sdn Bhd</v>
          </cell>
          <cell r="T102" t="str">
            <v>Functioning</v>
          </cell>
          <cell r="U102" t="str">
            <v>Asset</v>
          </cell>
          <cell r="V102">
            <v>4690</v>
          </cell>
          <cell r="W102" t="str">
            <v>KEW</v>
          </cell>
          <cell r="X102" t="str">
            <v>01/09/2010</v>
          </cell>
          <cell r="Y102" t="str">
            <v>KEW</v>
          </cell>
          <cell r="Z102" t="str">
            <v>16/08/2013</v>
          </cell>
          <cell r="AA102" t="str">
            <v>15/08/2015</v>
          </cell>
          <cell r="AB102" t="str">
            <v>No</v>
          </cell>
          <cell r="AC102" t="str">
            <v>31/08/2013</v>
          </cell>
          <cell r="AD102" t="str">
            <v>Good</v>
          </cell>
          <cell r="AE102" t="str">
            <v>V1 - Existing / No Claim</v>
          </cell>
          <cell r="AF102">
            <v>42235</v>
          </cell>
          <cell r="AG102">
            <v>9.17</v>
          </cell>
          <cell r="AH102" t="str">
            <v>RI</v>
          </cell>
          <cell r="AI102" t="str">
            <v>Strands</v>
          </cell>
          <cell r="AJ102" t="str">
            <v>Not under maintenance</v>
          </cell>
        </row>
        <row r="103">
          <cell r="A103" t="str">
            <v>IKN400318</v>
          </cell>
          <cell r="B103">
            <v>318</v>
          </cell>
          <cell r="C103" t="str">
            <v>Institut Kanser Negara</v>
          </cell>
          <cell r="D103" t="e">
            <v>#N/A</v>
          </cell>
          <cell r="E103" t="str">
            <v>16-158</v>
          </cell>
          <cell r="F103" t="str">
            <v>Sphygmomanometers, Mercury</v>
          </cell>
          <cell r="G103" t="str">
            <v>WF</v>
          </cell>
          <cell r="H103" t="str">
            <v>RT/ONCO WARD 2 (F)</v>
          </cell>
          <cell r="I103" t="str">
            <v>07WF107</v>
          </cell>
          <cell r="J103" t="str">
            <v>TREATMENT / PROCEDDURE</v>
          </cell>
          <cell r="K103" t="str">
            <v>BMED</v>
          </cell>
          <cell r="L103" t="str">
            <v>Normal</v>
          </cell>
          <cell r="M103" t="str">
            <v>Germany</v>
          </cell>
          <cell r="N103" t="str">
            <v>Erka</v>
          </cell>
          <cell r="O103" t="str">
            <v>Erkameter 3000</v>
          </cell>
          <cell r="P103" t="str">
            <v>13500747</v>
          </cell>
          <cell r="Q103" t="str">
            <v>Not Applicable</v>
          </cell>
          <cell r="R103" t="str">
            <v>Erka GmbH &amp; Co</v>
          </cell>
          <cell r="S103" t="str">
            <v>Acucare Systems (M) Sdn bhd</v>
          </cell>
          <cell r="T103" t="str">
            <v>Functioning</v>
          </cell>
          <cell r="U103" t="str">
            <v>Asset</v>
          </cell>
          <cell r="V103">
            <v>505</v>
          </cell>
          <cell r="W103" t="str">
            <v>KEW</v>
          </cell>
          <cell r="X103" t="str">
            <v>01/09/2010</v>
          </cell>
          <cell r="Y103" t="str">
            <v>KEW</v>
          </cell>
          <cell r="Z103" t="str">
            <v>16/08/2013</v>
          </cell>
          <cell r="AA103" t="str">
            <v>15/08/2015</v>
          </cell>
          <cell r="AB103" t="str">
            <v>No</v>
          </cell>
          <cell r="AC103" t="str">
            <v>31/08/2013</v>
          </cell>
          <cell r="AD103" t="str">
            <v>Good</v>
          </cell>
          <cell r="AE103" t="str">
            <v>V4 - Decommissioned Installed Facility</v>
          </cell>
          <cell r="AF103">
            <v>42235</v>
          </cell>
          <cell r="AG103">
            <v>9.17</v>
          </cell>
          <cell r="AH103" t="str">
            <v>PPM</v>
          </cell>
          <cell r="AI103" t="str">
            <v>Not in contract</v>
          </cell>
          <cell r="AJ103" t="str">
            <v>Not under maintenance</v>
          </cell>
          <cell r="AK103" t="e">
            <v>#N/A</v>
          </cell>
        </row>
        <row r="104">
          <cell r="A104" t="str">
            <v>IKN400351</v>
          </cell>
          <cell r="B104">
            <v>351</v>
          </cell>
          <cell r="C104" t="str">
            <v>Institut Kanser Negara</v>
          </cell>
          <cell r="D104" t="e">
            <v>#N/A</v>
          </cell>
          <cell r="E104" t="str">
            <v>18-595</v>
          </cell>
          <cell r="F104" t="str">
            <v>Ophthalmoscopes/Otoscopes</v>
          </cell>
          <cell r="G104" t="str">
            <v>WF</v>
          </cell>
          <cell r="H104" t="str">
            <v>RT/ONCO WARD 2 (F)</v>
          </cell>
          <cell r="I104" t="str">
            <v>07WF143</v>
          </cell>
          <cell r="J104" t="str">
            <v>NURSE STATION</v>
          </cell>
          <cell r="K104" t="str">
            <v>BMED</v>
          </cell>
          <cell r="L104" t="str">
            <v>Normal</v>
          </cell>
          <cell r="M104" t="str">
            <v>USA</v>
          </cell>
          <cell r="N104" t="str">
            <v>Welch Allyn</v>
          </cell>
          <cell r="O104" t="str">
            <v>Welch Allyn 97150-BIM</v>
          </cell>
          <cell r="P104" t="str">
            <v>GD0019-41</v>
          </cell>
          <cell r="Q104" t="str">
            <v>Not Applicable</v>
          </cell>
          <cell r="R104" t="str">
            <v>Welch Allyn Inc</v>
          </cell>
          <cell r="S104" t="str">
            <v>Welch Allyn Malaysia Sdn Bhd</v>
          </cell>
          <cell r="T104" t="str">
            <v>Functioning</v>
          </cell>
          <cell r="U104" t="str">
            <v>Asset</v>
          </cell>
          <cell r="V104">
            <v>4690</v>
          </cell>
          <cell r="W104" t="str">
            <v>KEW</v>
          </cell>
          <cell r="X104" t="str">
            <v>01/09/2010</v>
          </cell>
          <cell r="Y104" t="str">
            <v>KEW</v>
          </cell>
          <cell r="Z104" t="str">
            <v>16/08/2013</v>
          </cell>
          <cell r="AA104" t="str">
            <v>15/08/2015</v>
          </cell>
          <cell r="AB104" t="str">
            <v>No</v>
          </cell>
          <cell r="AC104" t="str">
            <v>31/08/2013</v>
          </cell>
          <cell r="AD104" t="str">
            <v>Good</v>
          </cell>
          <cell r="AE104" t="str">
            <v>V1 - Existing / No Claim</v>
          </cell>
          <cell r="AF104">
            <v>42235</v>
          </cell>
          <cell r="AG104">
            <v>9.17</v>
          </cell>
          <cell r="AH104" t="str">
            <v>RI</v>
          </cell>
          <cell r="AI104" t="str">
            <v>Not in contract</v>
          </cell>
          <cell r="AJ104" t="str">
            <v>Not under maintenance</v>
          </cell>
          <cell r="AK104" t="str">
            <v>Will be under V4. Taken out of contract as agreed by IKN</v>
          </cell>
        </row>
        <row r="105">
          <cell r="A105" t="str">
            <v>IKN400354</v>
          </cell>
          <cell r="B105">
            <v>354</v>
          </cell>
          <cell r="C105" t="str">
            <v>Institut Kanser Negara</v>
          </cell>
          <cell r="D105" t="str">
            <v>KKM/IKN/H/13/2240</v>
          </cell>
          <cell r="E105" t="str">
            <v>18-595</v>
          </cell>
          <cell r="F105" t="str">
            <v>Ophthalmoscopes/Otoscopes</v>
          </cell>
          <cell r="G105" t="str">
            <v>WE</v>
          </cell>
          <cell r="H105" t="str">
            <v>RT/ONCO WARD 1 (F)</v>
          </cell>
          <cell r="I105" t="str">
            <v>07WE107</v>
          </cell>
          <cell r="J105" t="str">
            <v>TREATMENT / PROCESURE</v>
          </cell>
          <cell r="K105" t="str">
            <v>BMED</v>
          </cell>
          <cell r="L105" t="str">
            <v>Normal</v>
          </cell>
          <cell r="M105" t="str">
            <v>USA</v>
          </cell>
          <cell r="N105" t="str">
            <v>Welch Allyn</v>
          </cell>
          <cell r="O105" t="str">
            <v>Welch Allyn 71904</v>
          </cell>
          <cell r="P105" t="str">
            <v>GD0019-5</v>
          </cell>
          <cell r="Q105" t="str">
            <v>Not Applicable</v>
          </cell>
          <cell r="R105" t="str">
            <v>Welch Allyn Inc</v>
          </cell>
          <cell r="S105" t="str">
            <v>Welch Allyn Malaysia Sdn Bhd</v>
          </cell>
          <cell r="T105" t="str">
            <v>Functioning</v>
          </cell>
          <cell r="U105" t="str">
            <v>Asset</v>
          </cell>
          <cell r="V105">
            <v>4690</v>
          </cell>
          <cell r="W105" t="str">
            <v>KEW</v>
          </cell>
          <cell r="X105" t="str">
            <v>01/09/2010</v>
          </cell>
          <cell r="Y105" t="str">
            <v>KEW</v>
          </cell>
          <cell r="Z105" t="str">
            <v>16/08/2013</v>
          </cell>
          <cell r="AA105" t="str">
            <v>15/08/2015</v>
          </cell>
          <cell r="AB105" t="str">
            <v>No</v>
          </cell>
          <cell r="AC105" t="str">
            <v>31/08/2013</v>
          </cell>
          <cell r="AD105" t="str">
            <v>Good</v>
          </cell>
          <cell r="AE105" t="str">
            <v>V1 - Existing / No Claim</v>
          </cell>
          <cell r="AF105">
            <v>42235</v>
          </cell>
          <cell r="AG105">
            <v>9.17</v>
          </cell>
          <cell r="AH105" t="str">
            <v>RI</v>
          </cell>
          <cell r="AI105" t="str">
            <v>Strands</v>
          </cell>
          <cell r="AJ105" t="str">
            <v>Not under maintenance</v>
          </cell>
        </row>
        <row r="106">
          <cell r="A106" t="str">
            <v>IKN400388</v>
          </cell>
          <cell r="B106">
            <v>388</v>
          </cell>
          <cell r="C106" t="str">
            <v>Institut Kanser Negara</v>
          </cell>
          <cell r="D106" t="e">
            <v>#N/A</v>
          </cell>
          <cell r="E106" t="str">
            <v>16-158</v>
          </cell>
          <cell r="F106" t="str">
            <v>Sphygmomanometers, Mercury</v>
          </cell>
          <cell r="G106" t="str">
            <v>WE</v>
          </cell>
          <cell r="H106" t="str">
            <v>RT/ONCO WARD 1 (F)</v>
          </cell>
          <cell r="I106" t="str">
            <v>07WE143</v>
          </cell>
          <cell r="J106" t="str">
            <v>NURSE STATION</v>
          </cell>
          <cell r="K106" t="str">
            <v>BMED</v>
          </cell>
          <cell r="L106" t="str">
            <v>Normal</v>
          </cell>
          <cell r="M106" t="str">
            <v>Germany</v>
          </cell>
          <cell r="N106" t="str">
            <v>Erka</v>
          </cell>
          <cell r="O106" t="str">
            <v>Erkameter 3000</v>
          </cell>
          <cell r="P106" t="str">
            <v>13500763</v>
          </cell>
          <cell r="Q106" t="str">
            <v>Not Applicable</v>
          </cell>
          <cell r="R106" t="str">
            <v>Erka GmbH &amp; Co</v>
          </cell>
          <cell r="S106" t="str">
            <v>Acucare Systems (M) Sdn bhd</v>
          </cell>
          <cell r="T106" t="str">
            <v>Functioning</v>
          </cell>
          <cell r="U106" t="str">
            <v>Asset</v>
          </cell>
          <cell r="V106">
            <v>505</v>
          </cell>
          <cell r="W106" t="str">
            <v>KEW</v>
          </cell>
          <cell r="X106" t="str">
            <v>01/09/2010</v>
          </cell>
          <cell r="Y106" t="str">
            <v>KEW</v>
          </cell>
          <cell r="Z106" t="str">
            <v>16/08/2013</v>
          </cell>
          <cell r="AA106" t="str">
            <v>15/08/2015</v>
          </cell>
          <cell r="AB106" t="str">
            <v>No</v>
          </cell>
          <cell r="AC106" t="str">
            <v>31/08/2013</v>
          </cell>
          <cell r="AD106" t="str">
            <v>Good</v>
          </cell>
          <cell r="AE106" t="str">
            <v>V4 - Decommissioned Installed Facility</v>
          </cell>
          <cell r="AF106">
            <v>42235</v>
          </cell>
          <cell r="AG106">
            <v>9.17</v>
          </cell>
          <cell r="AH106" t="str">
            <v>PPM</v>
          </cell>
          <cell r="AI106" t="str">
            <v>Not in contract</v>
          </cell>
          <cell r="AJ106" t="str">
            <v>Not under maintenance</v>
          </cell>
          <cell r="AK106" t="e">
            <v>#N/A</v>
          </cell>
        </row>
        <row r="107">
          <cell r="A107" t="str">
            <v>IKN400391</v>
          </cell>
          <cell r="B107">
            <v>391</v>
          </cell>
          <cell r="C107" t="str">
            <v>Institut Kanser Negara</v>
          </cell>
          <cell r="D107" t="str">
            <v>KKM/IKN/H/13/2326</v>
          </cell>
          <cell r="E107" t="str">
            <v>18-595</v>
          </cell>
          <cell r="F107" t="str">
            <v>Ophthalmoscopes/Otoscopes</v>
          </cell>
          <cell r="G107" t="str">
            <v>WE</v>
          </cell>
          <cell r="H107" t="str">
            <v>RT/ONCO WARD 1 (F)</v>
          </cell>
          <cell r="I107" t="str">
            <v>07WE143</v>
          </cell>
          <cell r="J107" t="str">
            <v>NURSE STATION</v>
          </cell>
          <cell r="K107" t="str">
            <v>BMED</v>
          </cell>
          <cell r="L107" t="str">
            <v>Normal</v>
          </cell>
          <cell r="M107" t="str">
            <v>USA</v>
          </cell>
          <cell r="N107" t="str">
            <v>Welch Allyn</v>
          </cell>
          <cell r="O107" t="str">
            <v>Welch Allyn 97150-BIM</v>
          </cell>
          <cell r="P107" t="str">
            <v>GD0019-38</v>
          </cell>
          <cell r="Q107" t="str">
            <v>Not Applicable</v>
          </cell>
          <cell r="R107" t="str">
            <v>Welch Allyn Inc</v>
          </cell>
          <cell r="S107" t="str">
            <v>Welch Allyn Malaysia Sdn Bhd</v>
          </cell>
          <cell r="T107" t="str">
            <v>Functioning</v>
          </cell>
          <cell r="U107" t="str">
            <v>Asset</v>
          </cell>
          <cell r="V107">
            <v>4690</v>
          </cell>
          <cell r="W107" t="str">
            <v>KEW</v>
          </cell>
          <cell r="X107" t="str">
            <v>01/09/2010</v>
          </cell>
          <cell r="Y107" t="str">
            <v>KEW</v>
          </cell>
          <cell r="Z107" t="str">
            <v>16/08/2013</v>
          </cell>
          <cell r="AA107" t="str">
            <v>15/08/2015</v>
          </cell>
          <cell r="AB107" t="str">
            <v>No</v>
          </cell>
          <cell r="AC107" t="str">
            <v>31/08/2013</v>
          </cell>
          <cell r="AD107" t="str">
            <v>Good</v>
          </cell>
          <cell r="AE107" t="str">
            <v>V1 - Existing / No Claim</v>
          </cell>
          <cell r="AF107">
            <v>42235</v>
          </cell>
          <cell r="AG107">
            <v>9.17</v>
          </cell>
          <cell r="AH107" t="str">
            <v>RI</v>
          </cell>
          <cell r="AI107" t="str">
            <v>Strands</v>
          </cell>
          <cell r="AJ107" t="str">
            <v>Not under maintenance</v>
          </cell>
        </row>
        <row r="108">
          <cell r="A108" t="str">
            <v>IKN400396</v>
          </cell>
          <cell r="B108">
            <v>396</v>
          </cell>
          <cell r="C108" t="str">
            <v>Institut Kanser Negara</v>
          </cell>
          <cell r="D108" t="str">
            <v>KKM/IKN/H/13/1467</v>
          </cell>
          <cell r="E108" t="str">
            <v>18-595</v>
          </cell>
          <cell r="F108" t="str">
            <v>Ophthalmoscopes/Otoscopes</v>
          </cell>
          <cell r="G108" t="str">
            <v>WD</v>
          </cell>
          <cell r="H108" t="str">
            <v>RT/ONCO PAED/ADOLESCENT WARD</v>
          </cell>
          <cell r="I108" t="str">
            <v>06WD124</v>
          </cell>
          <cell r="J108" t="str">
            <v>TREATMENT / PROCEDURE</v>
          </cell>
          <cell r="K108" t="str">
            <v>BMED</v>
          </cell>
          <cell r="L108" t="str">
            <v>Normal</v>
          </cell>
          <cell r="M108" t="str">
            <v>USA</v>
          </cell>
          <cell r="N108" t="str">
            <v>Welch Allyn</v>
          </cell>
          <cell r="O108" t="str">
            <v>Welch Allyn 71904</v>
          </cell>
          <cell r="P108" t="str">
            <v>GD0019-4</v>
          </cell>
          <cell r="Q108" t="str">
            <v>Not Applicable</v>
          </cell>
          <cell r="R108" t="str">
            <v>Welch Allyn Inc</v>
          </cell>
          <cell r="S108" t="str">
            <v>Welch Allyn Malaysia Sdn Bhd</v>
          </cell>
          <cell r="T108" t="str">
            <v>Functioning</v>
          </cell>
          <cell r="U108" t="str">
            <v>Asset</v>
          </cell>
          <cell r="V108">
            <v>4690</v>
          </cell>
          <cell r="W108" t="str">
            <v>KEW</v>
          </cell>
          <cell r="X108" t="str">
            <v>01/09/2010</v>
          </cell>
          <cell r="Y108" t="str">
            <v>KEW</v>
          </cell>
          <cell r="Z108" t="str">
            <v>16/08/2013</v>
          </cell>
          <cell r="AA108" t="str">
            <v>15/08/2015</v>
          </cell>
          <cell r="AB108" t="str">
            <v>No</v>
          </cell>
          <cell r="AC108" t="str">
            <v>31/08/2013</v>
          </cell>
          <cell r="AD108" t="str">
            <v>Good</v>
          </cell>
          <cell r="AE108" t="str">
            <v>V1 - Existing / No Claim</v>
          </cell>
          <cell r="AF108">
            <v>42235</v>
          </cell>
          <cell r="AG108">
            <v>9.17</v>
          </cell>
          <cell r="AH108" t="str">
            <v>RI</v>
          </cell>
          <cell r="AI108" t="str">
            <v>Strands</v>
          </cell>
          <cell r="AJ108" t="str">
            <v>Not under maintenance</v>
          </cell>
        </row>
        <row r="109">
          <cell r="A109" t="str">
            <v>IKN400544</v>
          </cell>
          <cell r="B109">
            <v>544</v>
          </cell>
          <cell r="C109" t="str">
            <v>Institut Kanser Negara</v>
          </cell>
          <cell r="D109" t="e">
            <v>#N/A</v>
          </cell>
          <cell r="E109" t="str">
            <v>16-158</v>
          </cell>
          <cell r="F109" t="str">
            <v>Sphygmomanometers, Mercury</v>
          </cell>
          <cell r="G109" t="str">
            <v>NM</v>
          </cell>
          <cell r="H109" t="str">
            <v>NUCLEAR MED (DIAGNOSTIC)</v>
          </cell>
          <cell r="I109" t="str">
            <v>03NM109</v>
          </cell>
          <cell r="J109" t="str">
            <v>TREATMENT 2 (RAS) (-VE)</v>
          </cell>
          <cell r="K109" t="str">
            <v>BMED</v>
          </cell>
          <cell r="L109" t="str">
            <v>Normal</v>
          </cell>
          <cell r="M109" t="str">
            <v>Germany</v>
          </cell>
          <cell r="N109" t="str">
            <v>Erka</v>
          </cell>
          <cell r="O109" t="str">
            <v>Erkameter 3000</v>
          </cell>
          <cell r="P109" t="str">
            <v>13500751</v>
          </cell>
          <cell r="Q109" t="str">
            <v>Not Applicable</v>
          </cell>
          <cell r="R109" t="str">
            <v>Erka GmbH &amp; Co</v>
          </cell>
          <cell r="S109" t="str">
            <v>Acucare Systems (M) Sdn bhd</v>
          </cell>
          <cell r="T109" t="str">
            <v>Functioning</v>
          </cell>
          <cell r="U109" t="str">
            <v>Asset</v>
          </cell>
          <cell r="V109">
            <v>505</v>
          </cell>
          <cell r="W109" t="str">
            <v>KEW</v>
          </cell>
          <cell r="X109" t="str">
            <v>01/09/2010</v>
          </cell>
          <cell r="Y109" t="str">
            <v>KEW</v>
          </cell>
          <cell r="Z109" t="str">
            <v>16/08/2013</v>
          </cell>
          <cell r="AA109" t="str">
            <v>15/08/2015</v>
          </cell>
          <cell r="AB109" t="str">
            <v>No</v>
          </cell>
          <cell r="AC109" t="str">
            <v>31/08/2013</v>
          </cell>
          <cell r="AD109" t="str">
            <v>Good</v>
          </cell>
          <cell r="AE109" t="str">
            <v>V4 - Decommissioned Installed Facility</v>
          </cell>
          <cell r="AF109">
            <v>42235</v>
          </cell>
          <cell r="AG109">
            <v>9.17</v>
          </cell>
          <cell r="AH109" t="str">
            <v>PPM</v>
          </cell>
          <cell r="AI109" t="str">
            <v>Not in contract</v>
          </cell>
          <cell r="AJ109" t="str">
            <v>Not under maintenance</v>
          </cell>
          <cell r="AK109" t="e">
            <v>#N/A</v>
          </cell>
        </row>
        <row r="110">
          <cell r="A110" t="str">
            <v>IKN400551</v>
          </cell>
          <cell r="B110">
            <v>551</v>
          </cell>
          <cell r="C110" t="str">
            <v>Institut Kanser Negara</v>
          </cell>
          <cell r="D110" t="str">
            <v>KKM/IKN/H/13/3026</v>
          </cell>
          <cell r="E110" t="str">
            <v>12-815</v>
          </cell>
          <cell r="F110" t="str">
            <v>Ophthalmoscopes</v>
          </cell>
          <cell r="G110" t="str">
            <v>NM</v>
          </cell>
          <cell r="H110" t="str">
            <v>NUCLEAR MED (DIAGNOSTIC)</v>
          </cell>
          <cell r="I110" t="str">
            <v>03NM109</v>
          </cell>
          <cell r="J110" t="str">
            <v>TREATMENT 2 (RAS) (-VE)</v>
          </cell>
          <cell r="K110" t="str">
            <v>BMED</v>
          </cell>
          <cell r="L110" t="str">
            <v>Normal</v>
          </cell>
          <cell r="M110" t="str">
            <v>USA</v>
          </cell>
          <cell r="N110" t="str">
            <v>Welch Allyn</v>
          </cell>
          <cell r="O110" t="str">
            <v>Welch Allyn 767</v>
          </cell>
          <cell r="P110" t="str">
            <v>767-06</v>
          </cell>
          <cell r="Q110" t="str">
            <v>Not Applicable</v>
          </cell>
          <cell r="R110" t="str">
            <v>Welch Allyn Inc</v>
          </cell>
          <cell r="S110" t="str">
            <v>Welch Allyn Malaysia Sdn Bhd</v>
          </cell>
          <cell r="T110" t="str">
            <v>Functioning</v>
          </cell>
          <cell r="U110" t="str">
            <v>Asset</v>
          </cell>
          <cell r="V110">
            <v>5773</v>
          </cell>
          <cell r="W110" t="str">
            <v>KEW</v>
          </cell>
          <cell r="X110" t="str">
            <v>01/09/2010</v>
          </cell>
          <cell r="Y110" t="str">
            <v>KEW</v>
          </cell>
          <cell r="Z110" t="str">
            <v>16/08/2013</v>
          </cell>
          <cell r="AA110" t="str">
            <v>15/08/2015</v>
          </cell>
          <cell r="AB110" t="str">
            <v>No</v>
          </cell>
          <cell r="AC110" t="str">
            <v>31/08/2013</v>
          </cell>
          <cell r="AD110" t="str">
            <v>Good</v>
          </cell>
          <cell r="AE110" t="str">
            <v>V4 - Decommissioned Installed Facility</v>
          </cell>
          <cell r="AF110">
            <v>42235</v>
          </cell>
          <cell r="AG110">
            <v>9.17</v>
          </cell>
          <cell r="AH110" t="str">
            <v>RI</v>
          </cell>
          <cell r="AI110" t="str">
            <v>Strands</v>
          </cell>
          <cell r="AJ110" t="str">
            <v>Strands PW. Proposed for V4 P2.23</v>
          </cell>
        </row>
        <row r="111">
          <cell r="A111" t="str">
            <v>IKN400569</v>
          </cell>
          <cell r="B111">
            <v>569</v>
          </cell>
          <cell r="C111" t="str">
            <v>Institut Kanser Negara</v>
          </cell>
          <cell r="D111" t="str">
            <v>KKM/IKN/H/13/3027</v>
          </cell>
          <cell r="E111" t="str">
            <v>12-815</v>
          </cell>
          <cell r="F111" t="str">
            <v>Ophthalmoscopes</v>
          </cell>
          <cell r="G111" t="str">
            <v>NM</v>
          </cell>
          <cell r="H111" t="str">
            <v>NUCLEAR MED (DIAGNOSTIC)</v>
          </cell>
          <cell r="I111" t="str">
            <v>03NM182</v>
          </cell>
          <cell r="J111" t="str">
            <v>C/E 5 (VE)</v>
          </cell>
          <cell r="K111" t="str">
            <v>BMED</v>
          </cell>
          <cell r="L111" t="str">
            <v>Normal</v>
          </cell>
          <cell r="M111" t="str">
            <v>USA</v>
          </cell>
          <cell r="N111" t="str">
            <v>Welch Allyn</v>
          </cell>
          <cell r="O111" t="str">
            <v>Welch Allyn 767</v>
          </cell>
          <cell r="P111" t="str">
            <v>767-07</v>
          </cell>
          <cell r="Q111" t="str">
            <v>Not Applicable</v>
          </cell>
          <cell r="R111" t="str">
            <v>Welch Allyn Inc</v>
          </cell>
          <cell r="S111" t="str">
            <v>Welch Allyn Malaysia Sdn Bhd</v>
          </cell>
          <cell r="T111" t="str">
            <v>Functioning</v>
          </cell>
          <cell r="U111" t="str">
            <v>Asset</v>
          </cell>
          <cell r="V111">
            <v>5773</v>
          </cell>
          <cell r="W111" t="str">
            <v>KEW</v>
          </cell>
          <cell r="X111" t="str">
            <v>01/09/2010</v>
          </cell>
          <cell r="Y111" t="str">
            <v>KEW</v>
          </cell>
          <cell r="Z111" t="str">
            <v>16/08/2013</v>
          </cell>
          <cell r="AA111" t="str">
            <v>15/08/2015</v>
          </cell>
          <cell r="AB111" t="str">
            <v>No</v>
          </cell>
          <cell r="AC111" t="str">
            <v>31/08/2013</v>
          </cell>
          <cell r="AD111" t="str">
            <v>Good</v>
          </cell>
          <cell r="AE111" t="str">
            <v>V4 - Decommissioned Installed Facility</v>
          </cell>
          <cell r="AF111">
            <v>42235</v>
          </cell>
          <cell r="AG111">
            <v>9.17</v>
          </cell>
          <cell r="AH111" t="str">
            <v>RI</v>
          </cell>
          <cell r="AI111" t="str">
            <v>Strands</v>
          </cell>
          <cell r="AJ111" t="str">
            <v>Strands PW. Proposed for V4 P2.23</v>
          </cell>
        </row>
        <row r="112">
          <cell r="A112" t="str">
            <v>IKN400572</v>
          </cell>
          <cell r="B112">
            <v>572</v>
          </cell>
          <cell r="C112" t="str">
            <v>Institut Kanser Negara</v>
          </cell>
          <cell r="D112" t="str">
            <v>KKM/IKN/H/13/3028</v>
          </cell>
          <cell r="E112" t="str">
            <v>12-815</v>
          </cell>
          <cell r="F112" t="str">
            <v>Ophthalmoscopes</v>
          </cell>
          <cell r="G112" t="str">
            <v>NM</v>
          </cell>
          <cell r="H112" t="str">
            <v>NUCLEAR MED (DIAGNOSTIC)</v>
          </cell>
          <cell r="I112" t="str">
            <v>03NM183</v>
          </cell>
          <cell r="J112" t="str">
            <v>C/E 4 (VE)</v>
          </cell>
          <cell r="K112" t="str">
            <v>BMED</v>
          </cell>
          <cell r="L112" t="str">
            <v>Normal</v>
          </cell>
          <cell r="M112" t="str">
            <v>USA</v>
          </cell>
          <cell r="N112" t="str">
            <v>Welch Allyn</v>
          </cell>
          <cell r="O112" t="str">
            <v>Welch Allyn 767</v>
          </cell>
          <cell r="P112" t="str">
            <v>767-08</v>
          </cell>
          <cell r="Q112" t="str">
            <v>Not Applicable</v>
          </cell>
          <cell r="R112" t="str">
            <v>Welch Allyn Inc</v>
          </cell>
          <cell r="S112" t="str">
            <v>Welch Allyn Malaysia Sdn Bhd</v>
          </cell>
          <cell r="T112" t="str">
            <v>Functioning</v>
          </cell>
          <cell r="U112" t="str">
            <v>Asset</v>
          </cell>
          <cell r="V112">
            <v>5773</v>
          </cell>
          <cell r="W112" t="str">
            <v>KEW</v>
          </cell>
          <cell r="X112" t="str">
            <v>01/09/2010</v>
          </cell>
          <cell r="Y112" t="str">
            <v>KEW</v>
          </cell>
          <cell r="Z112" t="str">
            <v>16/08/2013</v>
          </cell>
          <cell r="AA112" t="str">
            <v>15/08/2015</v>
          </cell>
          <cell r="AB112" t="str">
            <v>No</v>
          </cell>
          <cell r="AC112" t="str">
            <v>31/08/2013</v>
          </cell>
          <cell r="AD112" t="str">
            <v>Good</v>
          </cell>
          <cell r="AE112" t="str">
            <v>V4 - Decommissioned Installed Facility</v>
          </cell>
          <cell r="AF112">
            <v>42235</v>
          </cell>
          <cell r="AG112">
            <v>9.17</v>
          </cell>
          <cell r="AH112" t="str">
            <v>RI</v>
          </cell>
          <cell r="AI112" t="str">
            <v>Strands</v>
          </cell>
          <cell r="AJ112" t="str">
            <v>Strands PW. Proposed for V4 P2.23</v>
          </cell>
        </row>
        <row r="113">
          <cell r="A113" t="str">
            <v>IKN400574</v>
          </cell>
          <cell r="B113">
            <v>574</v>
          </cell>
          <cell r="C113" t="str">
            <v>Institut Kanser Negara</v>
          </cell>
          <cell r="D113" t="str">
            <v>KKM/IKN/H/13/3029</v>
          </cell>
          <cell r="E113" t="str">
            <v>12-815</v>
          </cell>
          <cell r="F113" t="str">
            <v>Ophthalmoscopes</v>
          </cell>
          <cell r="G113" t="str">
            <v>NM</v>
          </cell>
          <cell r="H113" t="str">
            <v>NUCLEAR MED (DIAGNOSTIC)</v>
          </cell>
          <cell r="I113" t="str">
            <v>03NM184</v>
          </cell>
          <cell r="J113" t="str">
            <v>C/E 3 (VE)</v>
          </cell>
          <cell r="K113" t="str">
            <v>BMED</v>
          </cell>
          <cell r="L113" t="str">
            <v>Normal</v>
          </cell>
          <cell r="M113" t="str">
            <v>USA</v>
          </cell>
          <cell r="N113" t="str">
            <v>Welch Allyn</v>
          </cell>
          <cell r="O113" t="str">
            <v>Welch Allyn 767</v>
          </cell>
          <cell r="P113" t="str">
            <v>767-09</v>
          </cell>
          <cell r="Q113" t="str">
            <v>Not Applicable</v>
          </cell>
          <cell r="R113" t="str">
            <v>Welch Allyn Inc</v>
          </cell>
          <cell r="S113" t="str">
            <v>Welch Allyn Malaysia Sdn Bhd</v>
          </cell>
          <cell r="T113" t="str">
            <v>Functioning</v>
          </cell>
          <cell r="U113" t="str">
            <v>Asset</v>
          </cell>
          <cell r="V113">
            <v>5773</v>
          </cell>
          <cell r="W113" t="str">
            <v>KEW</v>
          </cell>
          <cell r="X113" t="str">
            <v>01/09/2010</v>
          </cell>
          <cell r="Y113" t="str">
            <v>KEW</v>
          </cell>
          <cell r="Z113" t="str">
            <v>16/08/2013</v>
          </cell>
          <cell r="AA113" t="str">
            <v>15/08/2015</v>
          </cell>
          <cell r="AB113" t="str">
            <v>No</v>
          </cell>
          <cell r="AC113" t="str">
            <v>31/08/2013</v>
          </cell>
          <cell r="AD113" t="str">
            <v>Good</v>
          </cell>
          <cell r="AE113" t="str">
            <v>V4 - Decommissioned Installed Facility</v>
          </cell>
          <cell r="AF113">
            <v>42235</v>
          </cell>
          <cell r="AG113">
            <v>9.17</v>
          </cell>
          <cell r="AH113" t="str">
            <v>RI</v>
          </cell>
          <cell r="AI113" t="str">
            <v>Strands</v>
          </cell>
          <cell r="AJ113" t="str">
            <v>Strands PW. Proposed for V4 P2.23</v>
          </cell>
        </row>
        <row r="114">
          <cell r="A114" t="str">
            <v>IKN400576</v>
          </cell>
          <cell r="B114">
            <v>576</v>
          </cell>
          <cell r="C114" t="str">
            <v>Institut Kanser Negara</v>
          </cell>
          <cell r="D114" t="str">
            <v>KKM/IKN/H/13/3030</v>
          </cell>
          <cell r="E114" t="str">
            <v>12-815</v>
          </cell>
          <cell r="F114" t="str">
            <v>Ophthalmoscopes</v>
          </cell>
          <cell r="G114" t="str">
            <v>NM</v>
          </cell>
          <cell r="H114" t="str">
            <v>NUCLEAR MED (DIAGNOSTIC)</v>
          </cell>
          <cell r="I114" t="str">
            <v>03NM185</v>
          </cell>
          <cell r="J114" t="str">
            <v>C/E 2 (VE)</v>
          </cell>
          <cell r="K114" t="str">
            <v>BMED</v>
          </cell>
          <cell r="L114" t="str">
            <v>Normal</v>
          </cell>
          <cell r="M114" t="str">
            <v>USA</v>
          </cell>
          <cell r="N114" t="str">
            <v>Welch Allyn</v>
          </cell>
          <cell r="O114" t="str">
            <v>Welch Allyn 767</v>
          </cell>
          <cell r="P114" t="str">
            <v>767-10</v>
          </cell>
          <cell r="Q114" t="str">
            <v>Not Applicable</v>
          </cell>
          <cell r="R114" t="str">
            <v>Welch Allyn Inc</v>
          </cell>
          <cell r="S114" t="str">
            <v>Welch Allyn Malaysia Sdn Bhd</v>
          </cell>
          <cell r="T114" t="str">
            <v>Functioning</v>
          </cell>
          <cell r="U114" t="str">
            <v>Asset</v>
          </cell>
          <cell r="V114">
            <v>5773</v>
          </cell>
          <cell r="W114" t="str">
            <v>KEW</v>
          </cell>
          <cell r="X114" t="str">
            <v>01/09/2010</v>
          </cell>
          <cell r="Y114" t="str">
            <v>KEW</v>
          </cell>
          <cell r="Z114" t="str">
            <v>16/08/2013</v>
          </cell>
          <cell r="AA114" t="str">
            <v>15/08/2015</v>
          </cell>
          <cell r="AB114" t="str">
            <v>No</v>
          </cell>
          <cell r="AC114" t="str">
            <v>31/08/2013</v>
          </cell>
          <cell r="AD114" t="str">
            <v>Good</v>
          </cell>
          <cell r="AE114" t="str">
            <v>V4 - Decommissioned Installed Facility</v>
          </cell>
          <cell r="AF114">
            <v>42235</v>
          </cell>
          <cell r="AG114">
            <v>9.17</v>
          </cell>
          <cell r="AH114" t="str">
            <v>RI</v>
          </cell>
          <cell r="AI114" t="str">
            <v>Strands</v>
          </cell>
          <cell r="AJ114" t="str">
            <v>Strands PW. Proposed for V4 P2.23</v>
          </cell>
        </row>
        <row r="115">
          <cell r="A115" t="str">
            <v>IKN400578</v>
          </cell>
          <cell r="B115">
            <v>578</v>
          </cell>
          <cell r="C115" t="str">
            <v>Institut Kanser Negara</v>
          </cell>
          <cell r="D115" t="str">
            <v>KKM/IKN/H/13/3031</v>
          </cell>
          <cell r="E115" t="str">
            <v>12-815</v>
          </cell>
          <cell r="F115" t="str">
            <v>Ophthalmoscopes</v>
          </cell>
          <cell r="G115" t="str">
            <v>NM</v>
          </cell>
          <cell r="H115" t="str">
            <v>NUCLEAR MED (DIAGNOSTIC)</v>
          </cell>
          <cell r="I115" t="str">
            <v>03NM186</v>
          </cell>
          <cell r="J115" t="str">
            <v>C/E 1 (VE)</v>
          </cell>
          <cell r="K115" t="str">
            <v>BMED</v>
          </cell>
          <cell r="L115" t="str">
            <v>Normal</v>
          </cell>
          <cell r="M115" t="str">
            <v>USA</v>
          </cell>
          <cell r="N115" t="str">
            <v>Welch Allyn</v>
          </cell>
          <cell r="O115" t="str">
            <v>Welch Allyn 767</v>
          </cell>
          <cell r="P115" t="str">
            <v>767-11</v>
          </cell>
          <cell r="Q115" t="str">
            <v>Not Applicable</v>
          </cell>
          <cell r="R115" t="str">
            <v>Welch Allyn Inc</v>
          </cell>
          <cell r="S115" t="str">
            <v>Welch Allyn Malaysia Sdn Bhd</v>
          </cell>
          <cell r="T115" t="str">
            <v>Functioning</v>
          </cell>
          <cell r="U115" t="str">
            <v>Asset</v>
          </cell>
          <cell r="V115">
            <v>5773</v>
          </cell>
          <cell r="W115" t="str">
            <v>KEW</v>
          </cell>
          <cell r="X115" t="str">
            <v>01/09/2010</v>
          </cell>
          <cell r="Y115" t="str">
            <v>KEW</v>
          </cell>
          <cell r="Z115" t="str">
            <v>16/08/2013</v>
          </cell>
          <cell r="AA115" t="str">
            <v>15/08/2015</v>
          </cell>
          <cell r="AB115" t="str">
            <v>No</v>
          </cell>
          <cell r="AC115" t="str">
            <v>31/08/2013</v>
          </cell>
          <cell r="AD115" t="str">
            <v>Good</v>
          </cell>
          <cell r="AE115" t="str">
            <v>V4 - Decommissioned Installed Facility</v>
          </cell>
          <cell r="AF115">
            <v>42235</v>
          </cell>
          <cell r="AG115">
            <v>9.17</v>
          </cell>
          <cell r="AH115" t="str">
            <v>RI</v>
          </cell>
          <cell r="AI115" t="str">
            <v>Strands</v>
          </cell>
          <cell r="AJ115" t="str">
            <v>Strands PW. Proposed for V4 P2.23</v>
          </cell>
        </row>
        <row r="116">
          <cell r="A116" t="str">
            <v>IKN400584</v>
          </cell>
          <cell r="B116">
            <v>584</v>
          </cell>
          <cell r="C116" t="str">
            <v>Institut Kanser Negara</v>
          </cell>
          <cell r="D116" t="str">
            <v>KKM/IKN/H/13/3024</v>
          </cell>
          <cell r="E116" t="str">
            <v>12-815</v>
          </cell>
          <cell r="F116" t="str">
            <v>Ophthalmoscopes</v>
          </cell>
          <cell r="G116" t="str">
            <v>NM</v>
          </cell>
          <cell r="H116" t="str">
            <v>NUCLEAR MED (DIAGNOSTIC)</v>
          </cell>
          <cell r="I116" t="str">
            <v>03NM108</v>
          </cell>
          <cell r="J116" t="str">
            <v>TREATMENT 1 (RAI)(VE)</v>
          </cell>
          <cell r="K116" t="str">
            <v>BMED</v>
          </cell>
          <cell r="L116" t="str">
            <v>Normal</v>
          </cell>
          <cell r="M116" t="str">
            <v>USA</v>
          </cell>
          <cell r="N116" t="str">
            <v>Welch Allyn</v>
          </cell>
          <cell r="O116" t="str">
            <v>Welch Allyn 767</v>
          </cell>
          <cell r="P116" t="str">
            <v>767-05</v>
          </cell>
          <cell r="Q116" t="str">
            <v>Not Applicable</v>
          </cell>
          <cell r="R116" t="str">
            <v>Welch Allyn Inc</v>
          </cell>
          <cell r="S116" t="str">
            <v>Welch Allyn Malaysia Sdn Bhd</v>
          </cell>
          <cell r="T116" t="str">
            <v>Functioning</v>
          </cell>
          <cell r="U116" t="str">
            <v>Asset</v>
          </cell>
          <cell r="V116">
            <v>5773</v>
          </cell>
          <cell r="W116" t="str">
            <v>KEW</v>
          </cell>
          <cell r="X116" t="str">
            <v>01/09/2010</v>
          </cell>
          <cell r="Y116" t="str">
            <v>KEW</v>
          </cell>
          <cell r="Z116" t="str">
            <v>16/08/2013</v>
          </cell>
          <cell r="AA116" t="str">
            <v>15/08/2015</v>
          </cell>
          <cell r="AB116" t="str">
            <v>No</v>
          </cell>
          <cell r="AC116" t="str">
            <v>31/08/2013</v>
          </cell>
          <cell r="AD116" t="str">
            <v>Good</v>
          </cell>
          <cell r="AE116" t="str">
            <v>V4 - Decommissioned Installed Facility</v>
          </cell>
          <cell r="AF116">
            <v>42235</v>
          </cell>
          <cell r="AG116">
            <v>9.17</v>
          </cell>
          <cell r="AH116" t="str">
            <v>RI</v>
          </cell>
          <cell r="AI116" t="str">
            <v>Strands</v>
          </cell>
          <cell r="AJ116" t="str">
            <v>Strands PW. Proposed for V4 P2.23</v>
          </cell>
        </row>
        <row r="117">
          <cell r="A117" t="str">
            <v>IKN400662</v>
          </cell>
          <cell r="B117">
            <v>662</v>
          </cell>
          <cell r="C117" t="str">
            <v>Institut Kanser Negara</v>
          </cell>
          <cell r="D117" t="e">
            <v>#N/A</v>
          </cell>
          <cell r="E117" t="str">
            <v>16-158</v>
          </cell>
          <cell r="F117" t="str">
            <v>Sphygmomanometers, Mercury</v>
          </cell>
          <cell r="G117" t="str">
            <v>DO</v>
          </cell>
          <cell r="H117" t="str">
            <v>DAY ONCOLOGY UNIT</v>
          </cell>
          <cell r="I117" t="str">
            <v>04DO138</v>
          </cell>
          <cell r="J117" t="str">
            <v>CHEMOTHERAPY BAY (4 BEDS)</v>
          </cell>
          <cell r="K117" t="str">
            <v>BMED</v>
          </cell>
          <cell r="L117" t="str">
            <v>Normal</v>
          </cell>
          <cell r="M117" t="str">
            <v>Germany</v>
          </cell>
          <cell r="N117" t="str">
            <v>Erka</v>
          </cell>
          <cell r="O117" t="str">
            <v>Erkameter 3000</v>
          </cell>
          <cell r="P117" t="str">
            <v>13500748</v>
          </cell>
          <cell r="Q117" t="str">
            <v>Not Applicable</v>
          </cell>
          <cell r="R117" t="str">
            <v>Erka GmbH &amp; Co</v>
          </cell>
          <cell r="S117" t="str">
            <v>Acucare Systems (M) Sdn bhd</v>
          </cell>
          <cell r="T117" t="str">
            <v>Functioning</v>
          </cell>
          <cell r="U117" t="str">
            <v>Asset</v>
          </cell>
          <cell r="V117">
            <v>505</v>
          </cell>
          <cell r="W117" t="str">
            <v>KEW</v>
          </cell>
          <cell r="X117" t="str">
            <v>01/09/2010</v>
          </cell>
          <cell r="Y117" t="str">
            <v>KEW</v>
          </cell>
          <cell r="Z117" t="str">
            <v>16/08/2013</v>
          </cell>
          <cell r="AA117" t="str">
            <v>15/08/2015</v>
          </cell>
          <cell r="AB117" t="str">
            <v>No</v>
          </cell>
          <cell r="AC117" t="str">
            <v>31/08/2013</v>
          </cell>
          <cell r="AD117" t="str">
            <v>Good</v>
          </cell>
          <cell r="AE117" t="str">
            <v>V4 - Decommissioned Installed Facility</v>
          </cell>
          <cell r="AF117">
            <v>42235</v>
          </cell>
          <cell r="AG117">
            <v>9.17</v>
          </cell>
          <cell r="AH117" t="str">
            <v>PPM</v>
          </cell>
          <cell r="AI117" t="str">
            <v>Not in contract</v>
          </cell>
          <cell r="AJ117" t="str">
            <v>Not under maintenance</v>
          </cell>
          <cell r="AK117" t="e">
            <v>#N/A</v>
          </cell>
        </row>
        <row r="118">
          <cell r="A118" t="str">
            <v>IKN400668</v>
          </cell>
          <cell r="B118">
            <v>668</v>
          </cell>
          <cell r="C118" t="str">
            <v>Institut Kanser Negara</v>
          </cell>
          <cell r="D118" t="str">
            <v>KKM/IKN/H/13/1200</v>
          </cell>
          <cell r="E118" t="str">
            <v>18-595</v>
          </cell>
          <cell r="F118" t="str">
            <v>Ophthalmoscopes/Otoscopes</v>
          </cell>
          <cell r="G118" t="str">
            <v>TC</v>
          </cell>
          <cell r="H118" t="str">
            <v>TRADITIONAL COMPLEMENTARY MEDICINE</v>
          </cell>
          <cell r="I118" t="str">
            <v>04TC125</v>
          </cell>
          <cell r="J118" t="str">
            <v>ASSESSMENT</v>
          </cell>
          <cell r="K118" t="str">
            <v>BMED</v>
          </cell>
          <cell r="L118" t="str">
            <v>Normal</v>
          </cell>
          <cell r="M118" t="str">
            <v>USA</v>
          </cell>
          <cell r="N118" t="str">
            <v>Welch Allyn</v>
          </cell>
          <cell r="O118" t="str">
            <v>Welch Allyn 71904</v>
          </cell>
          <cell r="P118" t="str">
            <v>GD0019-3</v>
          </cell>
          <cell r="Q118" t="str">
            <v>Not Applicable</v>
          </cell>
          <cell r="R118" t="str">
            <v>Welch Allyn Inc</v>
          </cell>
          <cell r="S118" t="str">
            <v>Welch Allyn Malaysia Sdn Bhd</v>
          </cell>
          <cell r="T118" t="str">
            <v>Functioning</v>
          </cell>
          <cell r="U118" t="str">
            <v>Asset</v>
          </cell>
          <cell r="V118">
            <v>4690</v>
          </cell>
          <cell r="W118" t="str">
            <v>KEW</v>
          </cell>
          <cell r="X118" t="str">
            <v>01/09/2010</v>
          </cell>
          <cell r="Y118" t="str">
            <v>KEW</v>
          </cell>
          <cell r="Z118" t="str">
            <v>16/08/2013</v>
          </cell>
          <cell r="AA118" t="str">
            <v>15/08/2015</v>
          </cell>
          <cell r="AB118" t="str">
            <v>No</v>
          </cell>
          <cell r="AC118" t="str">
            <v>31/08/2013</v>
          </cell>
          <cell r="AD118" t="str">
            <v>Good</v>
          </cell>
          <cell r="AE118" t="str">
            <v>V1 - Existing / No Claim</v>
          </cell>
          <cell r="AF118">
            <v>42235</v>
          </cell>
          <cell r="AG118">
            <v>9.17</v>
          </cell>
          <cell r="AH118" t="str">
            <v>RI</v>
          </cell>
          <cell r="AI118" t="str">
            <v>Strands</v>
          </cell>
          <cell r="AJ118" t="str">
            <v>Not under maintenance</v>
          </cell>
          <cell r="AK118" t="str">
            <v>V4 ON 22 FEB 2021.</v>
          </cell>
        </row>
        <row r="119">
          <cell r="A119" t="str">
            <v>IKN400682</v>
          </cell>
          <cell r="B119">
            <v>682</v>
          </cell>
          <cell r="C119" t="str">
            <v>Institut Kanser Negara</v>
          </cell>
          <cell r="D119" t="str">
            <v>KKM/IKN/H/13/1243</v>
          </cell>
          <cell r="E119" t="str">
            <v>12-815</v>
          </cell>
          <cell r="F119" t="str">
            <v>Ophthalmoscopes</v>
          </cell>
          <cell r="G119" t="str">
            <v>TC</v>
          </cell>
          <cell r="H119" t="str">
            <v>TRADITIONAL COMPLEMENTARY MEDICINE</v>
          </cell>
          <cell r="I119" t="str">
            <v>04TC127</v>
          </cell>
          <cell r="J119" t="str">
            <v>C/E</v>
          </cell>
          <cell r="K119" t="str">
            <v>BMED</v>
          </cell>
          <cell r="L119" t="str">
            <v>Normal</v>
          </cell>
          <cell r="M119" t="str">
            <v>USA</v>
          </cell>
          <cell r="N119" t="str">
            <v>Welch Allyn</v>
          </cell>
          <cell r="O119" t="str">
            <v>Welch Allyn 767</v>
          </cell>
          <cell r="P119" t="str">
            <v>716-1</v>
          </cell>
          <cell r="Q119" t="str">
            <v>Not Applicable</v>
          </cell>
          <cell r="R119" t="str">
            <v>Welch Allyn Inc</v>
          </cell>
          <cell r="S119" t="str">
            <v>Welch Allyn Malaysia Sdn Bhd</v>
          </cell>
          <cell r="T119" t="str">
            <v>Functioning</v>
          </cell>
          <cell r="U119" t="str">
            <v>Asset</v>
          </cell>
          <cell r="V119">
            <v>5773</v>
          </cell>
          <cell r="W119" t="str">
            <v>KEW</v>
          </cell>
          <cell r="X119" t="str">
            <v>01/09/2010</v>
          </cell>
          <cell r="Y119" t="str">
            <v>KEW</v>
          </cell>
          <cell r="Z119" t="str">
            <v>16/08/2013</v>
          </cell>
          <cell r="AA119" t="str">
            <v>15/08/2015</v>
          </cell>
          <cell r="AB119" t="str">
            <v>No</v>
          </cell>
          <cell r="AC119" t="str">
            <v>31/08/2013</v>
          </cell>
          <cell r="AD119" t="str">
            <v>Good</v>
          </cell>
          <cell r="AE119" t="str">
            <v>V4 - Decommissioned Installed Facility</v>
          </cell>
          <cell r="AF119">
            <v>42235</v>
          </cell>
          <cell r="AG119">
            <v>9.17</v>
          </cell>
          <cell r="AH119" t="str">
            <v>RI</v>
          </cell>
          <cell r="AI119" t="str">
            <v>Strands</v>
          </cell>
          <cell r="AJ119" t="str">
            <v>Strands PW. Proposed for V4 P2.23</v>
          </cell>
        </row>
        <row r="120">
          <cell r="A120" t="str">
            <v>IKN400811</v>
          </cell>
          <cell r="B120">
            <v>811</v>
          </cell>
          <cell r="C120" t="str">
            <v>Institut Kanser Negara</v>
          </cell>
          <cell r="E120" t="str">
            <v>16-158</v>
          </cell>
          <cell r="F120" t="str">
            <v>Sphygmomanometers, Mercury</v>
          </cell>
          <cell r="G120" t="str">
            <v>RT</v>
          </cell>
          <cell r="H120" t="str">
            <v>RADIATION TREATMENT UNIT</v>
          </cell>
          <cell r="I120" t="str">
            <v>01RT233</v>
          </cell>
          <cell r="J120" t="str">
            <v>EQ ROOM</v>
          </cell>
          <cell r="K120" t="str">
            <v>BMED</v>
          </cell>
          <cell r="L120" t="str">
            <v>Normal</v>
          </cell>
          <cell r="M120" t="str">
            <v>Germany</v>
          </cell>
          <cell r="N120" t="str">
            <v>Erka</v>
          </cell>
          <cell r="O120" t="str">
            <v>Erkameter 3000</v>
          </cell>
          <cell r="P120" t="str">
            <v>13500755</v>
          </cell>
          <cell r="Q120" t="str">
            <v>Not Applicable</v>
          </cell>
          <cell r="R120" t="str">
            <v>Erka GmbH &amp; Co</v>
          </cell>
          <cell r="S120" t="str">
            <v>Acucare Systems (M) Sdn bhd</v>
          </cell>
          <cell r="T120" t="str">
            <v>Functioning</v>
          </cell>
          <cell r="U120" t="str">
            <v>Asset</v>
          </cell>
          <cell r="V120">
            <v>505</v>
          </cell>
          <cell r="W120" t="str">
            <v>KEW</v>
          </cell>
          <cell r="X120" t="str">
            <v>01/09/2010</v>
          </cell>
          <cell r="Y120" t="str">
            <v>KEW</v>
          </cell>
          <cell r="Z120" t="str">
            <v>16/08/2013</v>
          </cell>
          <cell r="AA120" t="str">
            <v>15/08/2015</v>
          </cell>
          <cell r="AB120" t="str">
            <v>No</v>
          </cell>
          <cell r="AC120" t="str">
            <v>31/08/2013</v>
          </cell>
          <cell r="AD120" t="str">
            <v>Good</v>
          </cell>
          <cell r="AE120" t="str">
            <v>V4 - Decommissioned Installed Facility</v>
          </cell>
          <cell r="AF120">
            <v>42235</v>
          </cell>
          <cell r="AG120">
            <v>9.17</v>
          </cell>
          <cell r="AH120" t="str">
            <v>PPM</v>
          </cell>
          <cell r="AI120" t="str">
            <v>Not in contract</v>
          </cell>
          <cell r="AJ120" t="str">
            <v>Not under maintenance</v>
          </cell>
        </row>
        <row r="121">
          <cell r="A121" t="str">
            <v>IKN400837</v>
          </cell>
          <cell r="B121">
            <v>837</v>
          </cell>
          <cell r="C121" t="str">
            <v>Institut Kanser Negara</v>
          </cell>
          <cell r="D121" t="str">
            <v>KKM/IKN/H/13/2603</v>
          </cell>
          <cell r="E121" t="str">
            <v>18-595</v>
          </cell>
          <cell r="F121" t="str">
            <v>Ophthalmoscopes/Otoscopes</v>
          </cell>
          <cell r="G121" t="str">
            <v>RT</v>
          </cell>
          <cell r="H121" t="str">
            <v>RADIATION TREATMENT UNIT</v>
          </cell>
          <cell r="I121" t="str">
            <v>01RT237</v>
          </cell>
          <cell r="J121" t="str">
            <v>N/S</v>
          </cell>
          <cell r="K121" t="str">
            <v>BMED</v>
          </cell>
          <cell r="L121" t="str">
            <v>Normal</v>
          </cell>
          <cell r="M121" t="str">
            <v>USA</v>
          </cell>
          <cell r="N121" t="str">
            <v>Welch Allyn</v>
          </cell>
          <cell r="O121" t="str">
            <v>Welch Allyn 71904</v>
          </cell>
          <cell r="P121" t="str">
            <v>GD0019-8</v>
          </cell>
          <cell r="Q121" t="str">
            <v>Not Applicable</v>
          </cell>
          <cell r="R121" t="str">
            <v>Welch Allyn Inc</v>
          </cell>
          <cell r="S121" t="str">
            <v>Welch Allyn Malaysia Sdn Bhd</v>
          </cell>
          <cell r="T121" t="str">
            <v>Functioning</v>
          </cell>
          <cell r="U121" t="str">
            <v>Asset</v>
          </cell>
          <cell r="V121">
            <v>4690</v>
          </cell>
          <cell r="W121" t="str">
            <v>KEW</v>
          </cell>
          <cell r="X121" t="str">
            <v>01/09/2010</v>
          </cell>
          <cell r="Y121" t="str">
            <v>KEW</v>
          </cell>
          <cell r="Z121" t="str">
            <v>16/08/2013</v>
          </cell>
          <cell r="AA121" t="str">
            <v>15/08/2015</v>
          </cell>
          <cell r="AB121" t="str">
            <v>No</v>
          </cell>
          <cell r="AC121" t="str">
            <v>31/08/2013</v>
          </cell>
          <cell r="AD121" t="str">
            <v>Good</v>
          </cell>
          <cell r="AE121" t="str">
            <v>V1 - Existing / No Claim</v>
          </cell>
          <cell r="AF121">
            <v>42235</v>
          </cell>
          <cell r="AG121">
            <v>9.17</v>
          </cell>
          <cell r="AH121" t="str">
            <v>RI</v>
          </cell>
          <cell r="AI121" t="str">
            <v>Strands</v>
          </cell>
          <cell r="AJ121" t="str">
            <v>Not under maintenance</v>
          </cell>
        </row>
        <row r="122">
          <cell r="A122" t="str">
            <v>IKN400884</v>
          </cell>
          <cell r="B122">
            <v>883</v>
          </cell>
          <cell r="C122" t="str">
            <v>Institut Kanser Negara</v>
          </cell>
          <cell r="D122" t="str">
            <v>KKM/IKN/H/13/1618</v>
          </cell>
          <cell r="E122" t="str">
            <v>18-595</v>
          </cell>
          <cell r="F122" t="str">
            <v>Ophthalmoscopes/Otoscopes</v>
          </cell>
          <cell r="G122" t="str">
            <v>OC</v>
          </cell>
          <cell r="H122" t="str">
            <v>ONCOLOGY CLINIC</v>
          </cell>
          <cell r="I122" t="str">
            <v>03OC109</v>
          </cell>
          <cell r="J122" t="str">
            <v>C/E 1 (VIP)</v>
          </cell>
          <cell r="K122" t="str">
            <v>BMED</v>
          </cell>
          <cell r="L122" t="str">
            <v>Normal</v>
          </cell>
          <cell r="M122" t="str">
            <v>USA</v>
          </cell>
          <cell r="N122" t="str">
            <v>Welch Allyn</v>
          </cell>
          <cell r="O122" t="str">
            <v>Welch Allyn 71904</v>
          </cell>
          <cell r="P122" t="str">
            <v>GD0019-10</v>
          </cell>
          <cell r="Q122" t="str">
            <v>Not Applicable</v>
          </cell>
          <cell r="R122" t="str">
            <v>Welch Allyn Inc</v>
          </cell>
          <cell r="S122" t="str">
            <v>Welch Allyn Malaysia Sdn Bhd</v>
          </cell>
          <cell r="T122" t="str">
            <v>Functioning</v>
          </cell>
          <cell r="U122" t="str">
            <v>Asset</v>
          </cell>
          <cell r="V122">
            <v>4690</v>
          </cell>
          <cell r="W122" t="str">
            <v>KEW</v>
          </cell>
          <cell r="X122" t="str">
            <v>01/09/2010</v>
          </cell>
          <cell r="Y122" t="str">
            <v>KEW</v>
          </cell>
          <cell r="Z122" t="str">
            <v>16/08/2013</v>
          </cell>
          <cell r="AA122" t="str">
            <v>15/08/2015</v>
          </cell>
          <cell r="AB122" t="str">
            <v>No</v>
          </cell>
          <cell r="AC122" t="str">
            <v>31/08/2013</v>
          </cell>
          <cell r="AD122" t="str">
            <v>Good</v>
          </cell>
          <cell r="AE122" t="str">
            <v>V1 - Existing / No Claim</v>
          </cell>
          <cell r="AF122">
            <v>42235</v>
          </cell>
          <cell r="AG122">
            <v>9.17</v>
          </cell>
          <cell r="AH122" t="str">
            <v>RI</v>
          </cell>
          <cell r="AI122" t="str">
            <v>Strands</v>
          </cell>
          <cell r="AJ122" t="str">
            <v>Not under maintenance</v>
          </cell>
        </row>
        <row r="123">
          <cell r="A123" t="str">
            <v>IKN400885</v>
          </cell>
          <cell r="B123">
            <v>884</v>
          </cell>
          <cell r="C123" t="str">
            <v>Institut Kanser Negara</v>
          </cell>
          <cell r="D123" t="str">
            <v>KKM/IKN/H/13/1619</v>
          </cell>
          <cell r="E123" t="str">
            <v>18-595</v>
          </cell>
          <cell r="F123" t="str">
            <v>Ophthalmoscopes/Otoscopes</v>
          </cell>
          <cell r="G123" t="str">
            <v>OC</v>
          </cell>
          <cell r="H123" t="str">
            <v>ONCOLOGY CLINIC</v>
          </cell>
          <cell r="I123" t="str">
            <v>03OC117</v>
          </cell>
          <cell r="J123" t="str">
            <v>C/E 6</v>
          </cell>
          <cell r="K123" t="str">
            <v>BMED</v>
          </cell>
          <cell r="L123" t="str">
            <v>Normal</v>
          </cell>
          <cell r="M123" t="str">
            <v>USA</v>
          </cell>
          <cell r="N123" t="str">
            <v>Welch Allyn</v>
          </cell>
          <cell r="O123" t="str">
            <v>Welch Allyn 71904</v>
          </cell>
          <cell r="P123" t="str">
            <v>GD0019-11</v>
          </cell>
          <cell r="Q123" t="str">
            <v>Not Applicable</v>
          </cell>
          <cell r="R123" t="str">
            <v>Welch Allyn Inc</v>
          </cell>
          <cell r="S123" t="str">
            <v>Welch Allyn Malaysia Sdn Bhd</v>
          </cell>
          <cell r="T123" t="str">
            <v>Functioning</v>
          </cell>
          <cell r="U123" t="str">
            <v>Asset</v>
          </cell>
          <cell r="V123">
            <v>4690</v>
          </cell>
          <cell r="W123" t="str">
            <v>KEW</v>
          </cell>
          <cell r="X123" t="str">
            <v>01/09/2010</v>
          </cell>
          <cell r="Y123" t="str">
            <v>KEW</v>
          </cell>
          <cell r="Z123" t="str">
            <v>16/08/2013</v>
          </cell>
          <cell r="AA123" t="str">
            <v>15/08/2015</v>
          </cell>
          <cell r="AB123" t="str">
            <v>No</v>
          </cell>
          <cell r="AC123" t="str">
            <v>31/08/2013</v>
          </cell>
          <cell r="AD123" t="str">
            <v>Good</v>
          </cell>
          <cell r="AE123" t="str">
            <v>V1 - Existing / No Claim</v>
          </cell>
          <cell r="AF123">
            <v>42802</v>
          </cell>
          <cell r="AG123">
            <v>9.17</v>
          </cell>
          <cell r="AH123" t="str">
            <v>RI</v>
          </cell>
          <cell r="AI123" t="str">
            <v>Strands</v>
          </cell>
          <cell r="AJ123" t="str">
            <v>Not under maintenance</v>
          </cell>
        </row>
        <row r="124">
          <cell r="A124" t="str">
            <v>IKN400886</v>
          </cell>
          <cell r="B124">
            <v>885</v>
          </cell>
          <cell r="C124" t="str">
            <v>Institut Kanser Negara</v>
          </cell>
          <cell r="D124" t="str">
            <v>KKM/IKN/H/13/1620</v>
          </cell>
          <cell r="E124" t="str">
            <v>18-595</v>
          </cell>
          <cell r="F124" t="str">
            <v>Ophthalmoscopes/Otoscopes</v>
          </cell>
          <cell r="G124" t="str">
            <v>OC</v>
          </cell>
          <cell r="H124" t="str">
            <v>ONCOLOGY CLINIC</v>
          </cell>
          <cell r="I124" t="str">
            <v>03OC118</v>
          </cell>
          <cell r="J124" t="str">
            <v>C/E 5</v>
          </cell>
          <cell r="K124" t="str">
            <v>BMED</v>
          </cell>
          <cell r="L124" t="str">
            <v>Normal</v>
          </cell>
          <cell r="M124" t="str">
            <v>USA</v>
          </cell>
          <cell r="N124" t="str">
            <v>Welch Allyn</v>
          </cell>
          <cell r="O124" t="str">
            <v>Welch Allyn 71904</v>
          </cell>
          <cell r="P124" t="str">
            <v>GD0019-12</v>
          </cell>
          <cell r="Q124" t="str">
            <v>Not Applicable</v>
          </cell>
          <cell r="R124" t="str">
            <v>Welch Allyn Inc</v>
          </cell>
          <cell r="S124" t="str">
            <v>Welch Allyn Malaysia Sdn Bhd</v>
          </cell>
          <cell r="T124" t="str">
            <v>Functioning</v>
          </cell>
          <cell r="U124" t="str">
            <v>Asset</v>
          </cell>
          <cell r="V124">
            <v>4690</v>
          </cell>
          <cell r="W124" t="str">
            <v>KEW</v>
          </cell>
          <cell r="X124" t="str">
            <v>01/09/2010</v>
          </cell>
          <cell r="Y124" t="str">
            <v>KEW</v>
          </cell>
          <cell r="Z124" t="str">
            <v>16/08/2013</v>
          </cell>
          <cell r="AA124" t="str">
            <v>15/08/2015</v>
          </cell>
          <cell r="AB124" t="str">
            <v>No</v>
          </cell>
          <cell r="AC124" t="str">
            <v>31/08/2013</v>
          </cell>
          <cell r="AD124" t="str">
            <v>Good</v>
          </cell>
          <cell r="AE124" t="str">
            <v>V1 - Existing / No Claim</v>
          </cell>
          <cell r="AF124">
            <v>42802</v>
          </cell>
          <cell r="AG124">
            <v>9.17</v>
          </cell>
          <cell r="AH124" t="str">
            <v>RI</v>
          </cell>
          <cell r="AI124" t="str">
            <v>Strands</v>
          </cell>
          <cell r="AJ124" t="str">
            <v>Not under maintenance</v>
          </cell>
        </row>
        <row r="125">
          <cell r="A125" t="str">
            <v>IKN400887</v>
          </cell>
          <cell r="B125">
            <v>886</v>
          </cell>
          <cell r="C125" t="str">
            <v>Institut Kanser Negara</v>
          </cell>
          <cell r="D125" t="str">
            <v>KKM/IKN/H/13/1621</v>
          </cell>
          <cell r="E125" t="str">
            <v>18-595</v>
          </cell>
          <cell r="F125" t="str">
            <v>Ophthalmoscopes/Otoscopes</v>
          </cell>
          <cell r="G125" t="str">
            <v>OC</v>
          </cell>
          <cell r="H125" t="str">
            <v>ONCOLOGY CLINIC</v>
          </cell>
          <cell r="I125" t="str">
            <v>03OC119</v>
          </cell>
          <cell r="J125" t="str">
            <v>C/E 4</v>
          </cell>
          <cell r="K125" t="str">
            <v>BMED</v>
          </cell>
          <cell r="L125" t="str">
            <v>Normal</v>
          </cell>
          <cell r="M125" t="str">
            <v>USA</v>
          </cell>
          <cell r="N125" t="str">
            <v>Welch Allyn</v>
          </cell>
          <cell r="O125" t="str">
            <v>Welch Allyn 71904</v>
          </cell>
          <cell r="P125" t="str">
            <v>GD0019-13</v>
          </cell>
          <cell r="Q125" t="str">
            <v>Not Applicable</v>
          </cell>
          <cell r="R125" t="str">
            <v>Welch Allyn Inc</v>
          </cell>
          <cell r="S125" t="str">
            <v>Welch Allyn Malaysia Sdn Bhd</v>
          </cell>
          <cell r="T125" t="str">
            <v>Functioning</v>
          </cell>
          <cell r="U125" t="str">
            <v>Asset</v>
          </cell>
          <cell r="V125">
            <v>4690</v>
          </cell>
          <cell r="W125" t="str">
            <v>KEW</v>
          </cell>
          <cell r="X125" t="str">
            <v>01/09/2010</v>
          </cell>
          <cell r="Y125" t="str">
            <v>KEW</v>
          </cell>
          <cell r="Z125" t="str">
            <v>16/08/2013</v>
          </cell>
          <cell r="AA125" t="str">
            <v>15/08/2015</v>
          </cell>
          <cell r="AB125" t="str">
            <v>No</v>
          </cell>
          <cell r="AC125" t="str">
            <v>31/08/2013</v>
          </cell>
          <cell r="AD125" t="str">
            <v>Good</v>
          </cell>
          <cell r="AE125" t="str">
            <v>V1 - Existing / No Claim</v>
          </cell>
          <cell r="AF125">
            <v>42235</v>
          </cell>
          <cell r="AG125">
            <v>9.17</v>
          </cell>
          <cell r="AH125" t="str">
            <v>RI</v>
          </cell>
          <cell r="AI125" t="str">
            <v>Strands</v>
          </cell>
          <cell r="AJ125" t="str">
            <v>Not under maintenance</v>
          </cell>
        </row>
        <row r="126">
          <cell r="A126" t="str">
            <v>IKN400888</v>
          </cell>
          <cell r="B126">
            <v>887</v>
          </cell>
          <cell r="C126" t="str">
            <v>Institut Kanser Negara</v>
          </cell>
          <cell r="D126" t="str">
            <v>KKM/IKN/H/13/1622</v>
          </cell>
          <cell r="E126" t="str">
            <v>18-595</v>
          </cell>
          <cell r="F126" t="str">
            <v>Ophthalmoscopes/Otoscopes</v>
          </cell>
          <cell r="G126" t="str">
            <v>OC</v>
          </cell>
          <cell r="H126" t="str">
            <v>ONCOLOGY CLINIC</v>
          </cell>
          <cell r="I126" t="str">
            <v>03OC120</v>
          </cell>
          <cell r="J126" t="str">
            <v>C/E 3</v>
          </cell>
          <cell r="K126" t="str">
            <v>BMED</v>
          </cell>
          <cell r="L126" t="str">
            <v>Normal</v>
          </cell>
          <cell r="M126" t="str">
            <v>USA</v>
          </cell>
          <cell r="N126" t="str">
            <v>Welch Allyn</v>
          </cell>
          <cell r="O126" t="str">
            <v>Welch Allyn 71904</v>
          </cell>
          <cell r="P126" t="str">
            <v>GD0019-14</v>
          </cell>
          <cell r="Q126" t="str">
            <v>Not Applicable</v>
          </cell>
          <cell r="R126" t="str">
            <v>Welch Allyn Inc</v>
          </cell>
          <cell r="S126" t="str">
            <v>Welch Allyn Malaysia Sdn Bhd</v>
          </cell>
          <cell r="T126" t="str">
            <v>Functioning</v>
          </cell>
          <cell r="U126" t="str">
            <v>Asset</v>
          </cell>
          <cell r="V126">
            <v>4690</v>
          </cell>
          <cell r="W126" t="str">
            <v>KEW</v>
          </cell>
          <cell r="X126" t="str">
            <v>01/09/2010</v>
          </cell>
          <cell r="Y126" t="str">
            <v>KEW</v>
          </cell>
          <cell r="Z126" t="str">
            <v>16/08/2013</v>
          </cell>
          <cell r="AA126" t="str">
            <v>15/08/2015</v>
          </cell>
          <cell r="AB126" t="str">
            <v>No</v>
          </cell>
          <cell r="AC126" t="str">
            <v>31/08/2013</v>
          </cell>
          <cell r="AD126" t="str">
            <v>Good</v>
          </cell>
          <cell r="AE126" t="str">
            <v>V1 - Existing / No Claim</v>
          </cell>
          <cell r="AF126">
            <v>42802</v>
          </cell>
          <cell r="AG126">
            <v>9.17</v>
          </cell>
          <cell r="AH126" t="str">
            <v>RI</v>
          </cell>
          <cell r="AI126" t="str">
            <v>Strands</v>
          </cell>
          <cell r="AJ126" t="str">
            <v>Not under maintenance</v>
          </cell>
        </row>
        <row r="127">
          <cell r="A127" t="str">
            <v>IKN400889</v>
          </cell>
          <cell r="B127">
            <v>888</v>
          </cell>
          <cell r="C127" t="str">
            <v>Institut Kanser Negara</v>
          </cell>
          <cell r="D127" t="str">
            <v>KKM/IKN/H/13/1623</v>
          </cell>
          <cell r="E127" t="str">
            <v>18-595</v>
          </cell>
          <cell r="F127" t="str">
            <v>Ophthalmoscopes/Otoscopes</v>
          </cell>
          <cell r="G127" t="str">
            <v>OC</v>
          </cell>
          <cell r="H127" t="str">
            <v>ONCOLOGY CLINIC</v>
          </cell>
          <cell r="I127" t="str">
            <v>03OC121</v>
          </cell>
          <cell r="J127" t="str">
            <v>C/E2</v>
          </cell>
          <cell r="K127" t="str">
            <v>BMED</v>
          </cell>
          <cell r="L127" t="str">
            <v>Normal</v>
          </cell>
          <cell r="M127" t="str">
            <v>USA</v>
          </cell>
          <cell r="N127" t="str">
            <v>Welch Allyn</v>
          </cell>
          <cell r="O127" t="str">
            <v>Welch Allyn 71904</v>
          </cell>
          <cell r="P127" t="str">
            <v>GD0019-15</v>
          </cell>
          <cell r="Q127" t="str">
            <v>Not Applicable</v>
          </cell>
          <cell r="R127" t="str">
            <v>Welch Allyn Inc</v>
          </cell>
          <cell r="S127" t="str">
            <v>Welch Allyn Malaysia Sdn Bhd</v>
          </cell>
          <cell r="T127" t="str">
            <v>Functioning</v>
          </cell>
          <cell r="U127" t="str">
            <v>Asset</v>
          </cell>
          <cell r="V127">
            <v>4690</v>
          </cell>
          <cell r="W127" t="str">
            <v>KEW</v>
          </cell>
          <cell r="X127" t="str">
            <v>01/09/2010</v>
          </cell>
          <cell r="Y127" t="str">
            <v>KEW</v>
          </cell>
          <cell r="Z127" t="str">
            <v>16/08/2013</v>
          </cell>
          <cell r="AA127" t="str">
            <v>15/08/2015</v>
          </cell>
          <cell r="AB127" t="str">
            <v>No</v>
          </cell>
          <cell r="AC127" t="str">
            <v>31/08/2013</v>
          </cell>
          <cell r="AD127" t="str">
            <v>Good</v>
          </cell>
          <cell r="AE127" t="str">
            <v>V1 - Existing / No Claim</v>
          </cell>
          <cell r="AF127">
            <v>42802</v>
          </cell>
          <cell r="AG127">
            <v>9.17</v>
          </cell>
          <cell r="AH127" t="str">
            <v>RI</v>
          </cell>
          <cell r="AI127" t="str">
            <v>Strands</v>
          </cell>
          <cell r="AJ127" t="str">
            <v>Not under maintenance</v>
          </cell>
        </row>
        <row r="128">
          <cell r="A128" t="str">
            <v>IKN400911</v>
          </cell>
          <cell r="B128">
            <v>910</v>
          </cell>
          <cell r="C128" t="str">
            <v>Institut Kanser Negara</v>
          </cell>
          <cell r="D128" t="e">
            <v>#N/A</v>
          </cell>
          <cell r="E128" t="str">
            <v>16-158</v>
          </cell>
          <cell r="F128" t="str">
            <v>Sphygmomanometers, Mercury</v>
          </cell>
          <cell r="G128" t="str">
            <v>OC</v>
          </cell>
          <cell r="H128" t="str">
            <v>ONCOLOGY CLINIC</v>
          </cell>
          <cell r="I128" t="str">
            <v>03OC104</v>
          </cell>
          <cell r="J128" t="str">
            <v>C/E 7</v>
          </cell>
          <cell r="K128" t="str">
            <v>BMED</v>
          </cell>
          <cell r="L128" t="str">
            <v>Normal</v>
          </cell>
          <cell r="M128" t="str">
            <v>Germany</v>
          </cell>
          <cell r="N128" t="str">
            <v>Erka</v>
          </cell>
          <cell r="O128" t="str">
            <v>Erkameter 3000</v>
          </cell>
          <cell r="P128" t="str">
            <v>12508922</v>
          </cell>
          <cell r="Q128" t="str">
            <v>Not Applicable</v>
          </cell>
          <cell r="R128" t="str">
            <v>Erka GmbH &amp; Co</v>
          </cell>
          <cell r="S128" t="str">
            <v>Acucare Systems (M) Sdn bhd</v>
          </cell>
          <cell r="T128" t="str">
            <v>Functioning</v>
          </cell>
          <cell r="U128" t="str">
            <v>Asset</v>
          </cell>
          <cell r="V128">
            <v>505</v>
          </cell>
          <cell r="W128" t="str">
            <v>KEW</v>
          </cell>
          <cell r="X128" t="str">
            <v>01/09/2010</v>
          </cell>
          <cell r="Y128" t="str">
            <v>KEW</v>
          </cell>
          <cell r="Z128" t="str">
            <v>16/08/2013</v>
          </cell>
          <cell r="AA128" t="str">
            <v>15/08/2015</v>
          </cell>
          <cell r="AB128" t="str">
            <v>No</v>
          </cell>
          <cell r="AC128" t="str">
            <v>31/08/2013</v>
          </cell>
          <cell r="AD128" t="str">
            <v>Good</v>
          </cell>
          <cell r="AE128" t="str">
            <v>V4 - Decommissioned Installed Facility</v>
          </cell>
          <cell r="AF128">
            <v>42235</v>
          </cell>
          <cell r="AG128">
            <v>9.17</v>
          </cell>
          <cell r="AH128" t="str">
            <v>PPM</v>
          </cell>
          <cell r="AI128" t="str">
            <v>Not in contract</v>
          </cell>
          <cell r="AJ128" t="str">
            <v>Not under maintenance</v>
          </cell>
          <cell r="AK128" t="e">
            <v>#N/A</v>
          </cell>
        </row>
        <row r="129">
          <cell r="A129" t="str">
            <v>IKN400912</v>
          </cell>
          <cell r="B129">
            <v>911</v>
          </cell>
          <cell r="C129" t="str">
            <v>Institut Kanser Negara</v>
          </cell>
          <cell r="D129" t="e">
            <v>#N/A</v>
          </cell>
          <cell r="E129" t="str">
            <v>16-158</v>
          </cell>
          <cell r="F129" t="str">
            <v>Sphygmomanometers, Mercury</v>
          </cell>
          <cell r="G129" t="str">
            <v>OC</v>
          </cell>
          <cell r="H129" t="str">
            <v>ONCOLOGY CLINIC</v>
          </cell>
          <cell r="I129" t="str">
            <v>03OC105</v>
          </cell>
          <cell r="J129" t="str">
            <v>C/E 8</v>
          </cell>
          <cell r="K129" t="str">
            <v>BMED</v>
          </cell>
          <cell r="L129" t="str">
            <v>Normal</v>
          </cell>
          <cell r="M129" t="str">
            <v>Germany</v>
          </cell>
          <cell r="N129" t="str">
            <v>Erka</v>
          </cell>
          <cell r="O129" t="str">
            <v>Erkameter 3000</v>
          </cell>
          <cell r="P129" t="str">
            <v>12508923</v>
          </cell>
          <cell r="Q129" t="str">
            <v>Not Applicable</v>
          </cell>
          <cell r="R129" t="str">
            <v>Erka GmbH &amp; Co</v>
          </cell>
          <cell r="S129" t="str">
            <v>Acucare Systems (M) Sdn bhd</v>
          </cell>
          <cell r="T129" t="str">
            <v>Functioning</v>
          </cell>
          <cell r="U129" t="str">
            <v>Asset</v>
          </cell>
          <cell r="V129">
            <v>505</v>
          </cell>
          <cell r="W129" t="str">
            <v>KEW</v>
          </cell>
          <cell r="X129" t="str">
            <v>01/09/2010</v>
          </cell>
          <cell r="Y129" t="str">
            <v>KEW</v>
          </cell>
          <cell r="Z129" t="str">
            <v>16/08/2013</v>
          </cell>
          <cell r="AA129" t="str">
            <v>15/08/2015</v>
          </cell>
          <cell r="AB129" t="str">
            <v>No</v>
          </cell>
          <cell r="AC129" t="str">
            <v>31/08/2013</v>
          </cell>
          <cell r="AD129" t="str">
            <v>Good</v>
          </cell>
          <cell r="AE129" t="str">
            <v>V4 - Decommissioned Installed Facility</v>
          </cell>
          <cell r="AF129">
            <v>42235</v>
          </cell>
          <cell r="AG129">
            <v>9.17</v>
          </cell>
          <cell r="AH129" t="str">
            <v>PPM</v>
          </cell>
          <cell r="AI129" t="str">
            <v>Not in contract</v>
          </cell>
          <cell r="AJ129" t="str">
            <v>Not under maintenance</v>
          </cell>
          <cell r="AK129" t="e">
            <v>#N/A</v>
          </cell>
        </row>
        <row r="130">
          <cell r="A130" t="str">
            <v>IKN400913</v>
          </cell>
          <cell r="B130">
            <v>912</v>
          </cell>
          <cell r="C130" t="str">
            <v>Institut Kanser Negara</v>
          </cell>
          <cell r="D130" t="e">
            <v>#N/A</v>
          </cell>
          <cell r="E130" t="str">
            <v>16-158</v>
          </cell>
          <cell r="F130" t="str">
            <v>Sphygmomanometers, Mercury</v>
          </cell>
          <cell r="G130" t="str">
            <v>OC</v>
          </cell>
          <cell r="H130" t="str">
            <v>ONCOLOGY CLINIC</v>
          </cell>
          <cell r="I130" t="str">
            <v>03OC133</v>
          </cell>
          <cell r="J130" t="str">
            <v>ASSESSMENT</v>
          </cell>
          <cell r="K130" t="str">
            <v>BMED</v>
          </cell>
          <cell r="L130" t="str">
            <v>Normal</v>
          </cell>
          <cell r="M130" t="str">
            <v>Germany</v>
          </cell>
          <cell r="N130" t="str">
            <v>Erka</v>
          </cell>
          <cell r="O130" t="str">
            <v>Erkameter 3000</v>
          </cell>
          <cell r="P130" t="str">
            <v>13500752</v>
          </cell>
          <cell r="Q130" t="str">
            <v>Not Applicable</v>
          </cell>
          <cell r="R130" t="str">
            <v>Erka GmbH &amp; Co</v>
          </cell>
          <cell r="S130" t="str">
            <v>Acucare Systems (M) Sdn bhd</v>
          </cell>
          <cell r="T130" t="str">
            <v>Functioning</v>
          </cell>
          <cell r="U130" t="str">
            <v>Asset</v>
          </cell>
          <cell r="V130">
            <v>505</v>
          </cell>
          <cell r="W130" t="str">
            <v>KEW</v>
          </cell>
          <cell r="X130" t="str">
            <v>01/09/2010</v>
          </cell>
          <cell r="Y130" t="str">
            <v>KEW</v>
          </cell>
          <cell r="Z130" t="str">
            <v>16/08/2013</v>
          </cell>
          <cell r="AA130" t="str">
            <v>15/08/2015</v>
          </cell>
          <cell r="AB130" t="str">
            <v>No</v>
          </cell>
          <cell r="AC130" t="str">
            <v>31/08/2013</v>
          </cell>
          <cell r="AD130" t="str">
            <v>Good</v>
          </cell>
          <cell r="AE130" t="str">
            <v>V4 - Decommissioned Installed Facility</v>
          </cell>
          <cell r="AF130">
            <v>42235</v>
          </cell>
          <cell r="AG130">
            <v>9.17</v>
          </cell>
          <cell r="AH130" t="str">
            <v>PPM</v>
          </cell>
          <cell r="AI130" t="str">
            <v>Not in contract</v>
          </cell>
          <cell r="AJ130" t="str">
            <v>Not under maintenance</v>
          </cell>
          <cell r="AK130" t="e">
            <v>#N/A</v>
          </cell>
        </row>
        <row r="131">
          <cell r="A131" t="str">
            <v>IKN400970</v>
          </cell>
          <cell r="B131">
            <v>968</v>
          </cell>
          <cell r="C131" t="str">
            <v>Institut Kanser Negara</v>
          </cell>
          <cell r="D131" t="e">
            <v>#N/A</v>
          </cell>
          <cell r="E131" t="str">
            <v>16-158</v>
          </cell>
          <cell r="F131" t="str">
            <v>Sphygmomanometers, Mercury</v>
          </cell>
          <cell r="G131" t="str">
            <v>RT</v>
          </cell>
          <cell r="H131" t="str">
            <v>RADIATION TREATMENT UNIT</v>
          </cell>
          <cell r="I131" t="str">
            <v>01RT109</v>
          </cell>
          <cell r="J131" t="str">
            <v>C/L 1</v>
          </cell>
          <cell r="K131" t="str">
            <v>BMED</v>
          </cell>
          <cell r="L131" t="str">
            <v>Normal</v>
          </cell>
          <cell r="M131" t="str">
            <v>Germany</v>
          </cell>
          <cell r="N131" t="str">
            <v>Erka</v>
          </cell>
          <cell r="O131" t="str">
            <v>Erkameter 3000</v>
          </cell>
          <cell r="P131" t="str">
            <v>13500759</v>
          </cell>
          <cell r="Q131" t="str">
            <v>Not Applicable</v>
          </cell>
          <cell r="R131" t="str">
            <v>Erka GmbH &amp; Co</v>
          </cell>
          <cell r="S131" t="str">
            <v>Acucare Systems (M) Sdn bhd</v>
          </cell>
          <cell r="T131" t="str">
            <v>Functioning</v>
          </cell>
          <cell r="U131" t="str">
            <v>Asset</v>
          </cell>
          <cell r="V131">
            <v>505</v>
          </cell>
          <cell r="W131" t="str">
            <v>KEW</v>
          </cell>
          <cell r="X131" t="str">
            <v>01/09/2010</v>
          </cell>
          <cell r="Y131" t="str">
            <v>KEW</v>
          </cell>
          <cell r="Z131" t="str">
            <v>16/08/2013</v>
          </cell>
          <cell r="AA131" t="str">
            <v>15/08/2015</v>
          </cell>
          <cell r="AB131" t="str">
            <v>No</v>
          </cell>
          <cell r="AC131" t="str">
            <v>31/08/2013</v>
          </cell>
          <cell r="AD131" t="str">
            <v>Good</v>
          </cell>
          <cell r="AE131" t="str">
            <v>V4 - Decommissioned Installed Facility</v>
          </cell>
          <cell r="AF131">
            <v>42235</v>
          </cell>
          <cell r="AG131">
            <v>9.17</v>
          </cell>
          <cell r="AH131" t="str">
            <v>PPM</v>
          </cell>
          <cell r="AI131" t="str">
            <v>Not in contract</v>
          </cell>
          <cell r="AJ131" t="str">
            <v>Not under maintenance</v>
          </cell>
          <cell r="AK131" t="e">
            <v>#N/A</v>
          </cell>
        </row>
        <row r="132">
          <cell r="A132" t="str">
            <v>IKN400971</v>
          </cell>
          <cell r="B132">
            <v>969</v>
          </cell>
          <cell r="C132" t="str">
            <v>Institut Kanser Negara</v>
          </cell>
          <cell r="D132" t="e">
            <v>#N/A</v>
          </cell>
          <cell r="E132" t="str">
            <v>16-158</v>
          </cell>
          <cell r="F132" t="str">
            <v>Sphygmomanometers, Mercury</v>
          </cell>
          <cell r="G132" t="str">
            <v>RT</v>
          </cell>
          <cell r="H132" t="str">
            <v>RADIATION TREATMENT UNIT</v>
          </cell>
          <cell r="I132" t="str">
            <v>01RT110</v>
          </cell>
          <cell r="J132" t="str">
            <v>C/E 2</v>
          </cell>
          <cell r="K132" t="str">
            <v>BMED</v>
          </cell>
          <cell r="L132" t="str">
            <v>Normal</v>
          </cell>
          <cell r="M132" t="str">
            <v>Germany</v>
          </cell>
          <cell r="N132" t="str">
            <v>Erka</v>
          </cell>
          <cell r="O132" t="str">
            <v>Erkameter 3000</v>
          </cell>
          <cell r="P132" t="str">
            <v>12508915</v>
          </cell>
          <cell r="Q132" t="str">
            <v>Not Applicable</v>
          </cell>
          <cell r="R132" t="str">
            <v>Erka GmbH &amp; Co</v>
          </cell>
          <cell r="S132" t="str">
            <v>Acucare Systems (M) Sdn bhd</v>
          </cell>
          <cell r="T132" t="str">
            <v>Functioning</v>
          </cell>
          <cell r="U132" t="str">
            <v>Asset</v>
          </cell>
          <cell r="V132">
            <v>505</v>
          </cell>
          <cell r="W132" t="str">
            <v>KEW</v>
          </cell>
          <cell r="X132" t="str">
            <v>01/09/2010</v>
          </cell>
          <cell r="Y132" t="str">
            <v>KEW</v>
          </cell>
          <cell r="Z132" t="str">
            <v>16/08/2013</v>
          </cell>
          <cell r="AA132" t="str">
            <v>15/08/2015</v>
          </cell>
          <cell r="AB132" t="str">
            <v>No</v>
          </cell>
          <cell r="AC132" t="str">
            <v>31/08/2013</v>
          </cell>
          <cell r="AD132" t="str">
            <v>Good</v>
          </cell>
          <cell r="AE132" t="str">
            <v>V4 - Decommissioned Installed Facility</v>
          </cell>
          <cell r="AF132">
            <v>42235</v>
          </cell>
          <cell r="AG132">
            <v>9.17</v>
          </cell>
          <cell r="AH132" t="str">
            <v>PPM</v>
          </cell>
          <cell r="AI132" t="str">
            <v>Not in contract</v>
          </cell>
          <cell r="AJ132" t="str">
            <v>Not under maintenance</v>
          </cell>
          <cell r="AK132" t="e">
            <v>#N/A</v>
          </cell>
        </row>
        <row r="133">
          <cell r="A133" t="str">
            <v>IKN401062</v>
          </cell>
          <cell r="B133">
            <v>1060</v>
          </cell>
          <cell r="C133" t="str">
            <v>Institut Kanser Negara</v>
          </cell>
          <cell r="D133" t="e">
            <v>#N/A</v>
          </cell>
          <cell r="E133" t="str">
            <v>16-158</v>
          </cell>
          <cell r="F133" t="str">
            <v>Sphygmomanometers, Mercury</v>
          </cell>
          <cell r="G133" t="str">
            <v>OT</v>
          </cell>
          <cell r="H133" t="str">
            <v>OPERATING THEATRE</v>
          </cell>
          <cell r="I133" t="str">
            <v>05OT169</v>
          </cell>
          <cell r="J133" t="str">
            <v>EQ. ROOM</v>
          </cell>
          <cell r="K133" t="str">
            <v>BMED</v>
          </cell>
          <cell r="L133" t="str">
            <v>Normal</v>
          </cell>
          <cell r="M133" t="str">
            <v>Germany</v>
          </cell>
          <cell r="N133" t="str">
            <v>Erka</v>
          </cell>
          <cell r="O133" t="str">
            <v>Erkameter 3000</v>
          </cell>
          <cell r="P133" t="str">
            <v>13500820</v>
          </cell>
          <cell r="Q133" t="str">
            <v>Not Applicable</v>
          </cell>
          <cell r="R133" t="str">
            <v>Erka GmbH &amp; Co</v>
          </cell>
          <cell r="S133" t="str">
            <v>Acucare Systems (M) Sdn bhd</v>
          </cell>
          <cell r="T133" t="str">
            <v>Functioning</v>
          </cell>
          <cell r="U133" t="str">
            <v>Asset</v>
          </cell>
          <cell r="V133">
            <v>505</v>
          </cell>
          <cell r="W133" t="str">
            <v>KEW</v>
          </cell>
          <cell r="X133" t="str">
            <v>01/09/2010</v>
          </cell>
          <cell r="Y133" t="str">
            <v>KEW</v>
          </cell>
          <cell r="Z133" t="str">
            <v>16/08/2013</v>
          </cell>
          <cell r="AA133" t="str">
            <v>15/08/2015</v>
          </cell>
          <cell r="AB133" t="str">
            <v>No</v>
          </cell>
          <cell r="AC133" t="str">
            <v>31/08/2013</v>
          </cell>
          <cell r="AD133" t="str">
            <v>Good</v>
          </cell>
          <cell r="AE133" t="str">
            <v>V4 - Decommissioned Installed Facility</v>
          </cell>
          <cell r="AF133">
            <v>42235</v>
          </cell>
          <cell r="AG133">
            <v>9.17</v>
          </cell>
          <cell r="AH133" t="str">
            <v>PPM</v>
          </cell>
          <cell r="AI133" t="str">
            <v>Not in contract</v>
          </cell>
          <cell r="AJ133" t="str">
            <v>Not under maintenance</v>
          </cell>
          <cell r="AK133" t="e">
            <v>#N/A</v>
          </cell>
        </row>
        <row r="134">
          <cell r="A134" t="str">
            <v>IKN401063</v>
          </cell>
          <cell r="B134">
            <v>1061</v>
          </cell>
          <cell r="C134" t="str">
            <v>Institut Kanser Negara</v>
          </cell>
          <cell r="D134" t="e">
            <v>#N/A</v>
          </cell>
          <cell r="E134" t="str">
            <v>16-158</v>
          </cell>
          <cell r="F134" t="str">
            <v>Sphygmomanometers, Mercury</v>
          </cell>
          <cell r="G134" t="str">
            <v>OT</v>
          </cell>
          <cell r="H134" t="str">
            <v>OPERATING THEATRE</v>
          </cell>
          <cell r="I134" t="str">
            <v>05OT169</v>
          </cell>
          <cell r="J134" t="str">
            <v>EQ. ROOM</v>
          </cell>
          <cell r="K134" t="str">
            <v>BMED</v>
          </cell>
          <cell r="L134" t="str">
            <v>Critical</v>
          </cell>
          <cell r="M134" t="str">
            <v>Germany</v>
          </cell>
          <cell r="N134" t="str">
            <v>Erka</v>
          </cell>
          <cell r="O134" t="str">
            <v>Erkameter 3000</v>
          </cell>
          <cell r="P134" t="str">
            <v>13500750</v>
          </cell>
          <cell r="Q134" t="str">
            <v>Not Applicable</v>
          </cell>
          <cell r="R134" t="str">
            <v>Erka GmbH &amp; Co</v>
          </cell>
          <cell r="S134" t="str">
            <v>Acucare Systems (M) Sdn bhd</v>
          </cell>
          <cell r="T134" t="str">
            <v>Functioning</v>
          </cell>
          <cell r="U134" t="str">
            <v>Asset</v>
          </cell>
          <cell r="V134">
            <v>336</v>
          </cell>
          <cell r="W134" t="str">
            <v>KEW</v>
          </cell>
          <cell r="X134" t="str">
            <v>01/09/2010</v>
          </cell>
          <cell r="Y134" t="str">
            <v>KEW</v>
          </cell>
          <cell r="Z134" t="str">
            <v>16/08/2013</v>
          </cell>
          <cell r="AA134" t="str">
            <v>15/08/2015</v>
          </cell>
          <cell r="AB134" t="str">
            <v>No</v>
          </cell>
          <cell r="AC134" t="str">
            <v>31/08/2013</v>
          </cell>
          <cell r="AD134" t="str">
            <v>Good</v>
          </cell>
          <cell r="AE134" t="str">
            <v>V4 - Decommissioned Installed Facility</v>
          </cell>
          <cell r="AF134">
            <v>42803</v>
          </cell>
          <cell r="AG134">
            <v>9.17</v>
          </cell>
          <cell r="AH134" t="str">
            <v>PPM</v>
          </cell>
          <cell r="AI134" t="str">
            <v>Not in contract</v>
          </cell>
          <cell r="AJ134" t="str">
            <v>Not under maintenance</v>
          </cell>
          <cell r="AK134" t="e">
            <v>#N/A</v>
          </cell>
        </row>
        <row r="135">
          <cell r="A135" t="str">
            <v>IKN401064</v>
          </cell>
          <cell r="B135">
            <v>1062</v>
          </cell>
          <cell r="C135" t="str">
            <v>Institut Kanser Negara</v>
          </cell>
          <cell r="D135" t="str">
            <v>KKM/IKN/H/13/177</v>
          </cell>
          <cell r="E135" t="str">
            <v>18-595</v>
          </cell>
          <cell r="F135" t="str">
            <v>Ophthalmoscopes/Otoscopes</v>
          </cell>
          <cell r="G135" t="str">
            <v>OT</v>
          </cell>
          <cell r="H135" t="str">
            <v>OPERATING THEATRE</v>
          </cell>
          <cell r="I135" t="str">
            <v>05OT158</v>
          </cell>
          <cell r="J135" t="str">
            <v>NURSE STATION</v>
          </cell>
          <cell r="K135" t="str">
            <v>BMED</v>
          </cell>
          <cell r="L135" t="str">
            <v>Normal</v>
          </cell>
          <cell r="M135" t="str">
            <v>USA</v>
          </cell>
          <cell r="N135" t="str">
            <v>Welch Allyn</v>
          </cell>
          <cell r="O135" t="str">
            <v>Welch Allyn 97150-BIM</v>
          </cell>
          <cell r="P135" t="str">
            <v>GD0019-33</v>
          </cell>
          <cell r="Q135" t="str">
            <v>Not Applicable</v>
          </cell>
          <cell r="R135" t="str">
            <v>Welch Allyn Inc</v>
          </cell>
          <cell r="S135" t="str">
            <v>Welch Allyn Malaysia Sdn Bhd</v>
          </cell>
          <cell r="T135" t="str">
            <v>Functioning</v>
          </cell>
          <cell r="U135" t="str">
            <v>Asset</v>
          </cell>
          <cell r="V135">
            <v>4690</v>
          </cell>
          <cell r="W135" t="str">
            <v>KEW</v>
          </cell>
          <cell r="X135" t="str">
            <v>01/09/2010</v>
          </cell>
          <cell r="Y135" t="str">
            <v>KEW</v>
          </cell>
          <cell r="Z135" t="str">
            <v>16/08/2013</v>
          </cell>
          <cell r="AA135" t="str">
            <v>15/08/2015</v>
          </cell>
          <cell r="AB135" t="str">
            <v>No</v>
          </cell>
          <cell r="AC135" t="str">
            <v>31/08/2013</v>
          </cell>
          <cell r="AD135" t="str">
            <v>Good</v>
          </cell>
          <cell r="AE135" t="str">
            <v>V1 - Existing / No Claim</v>
          </cell>
          <cell r="AF135">
            <v>42803</v>
          </cell>
          <cell r="AG135">
            <v>9.17</v>
          </cell>
          <cell r="AH135" t="str">
            <v>RI</v>
          </cell>
          <cell r="AI135" t="str">
            <v>Strands</v>
          </cell>
          <cell r="AJ135" t="str">
            <v>Not under maintenance</v>
          </cell>
        </row>
        <row r="136">
          <cell r="A136" t="str">
            <v>IKN401065</v>
          </cell>
          <cell r="B136">
            <v>1063</v>
          </cell>
          <cell r="C136" t="str">
            <v>Institut Kanser Negara</v>
          </cell>
          <cell r="D136" t="str">
            <v>KKM/IKN/H/13/176</v>
          </cell>
          <cell r="E136" t="str">
            <v>18-595</v>
          </cell>
          <cell r="F136" t="str">
            <v>Ophthalmoscopes/Otoscopes</v>
          </cell>
          <cell r="G136" t="str">
            <v>OT</v>
          </cell>
          <cell r="H136" t="str">
            <v>OPERATING THEATRE</v>
          </cell>
          <cell r="I136" t="str">
            <v>05OT150</v>
          </cell>
          <cell r="J136" t="str">
            <v>RECEPTION STAFF BASE</v>
          </cell>
          <cell r="K136" t="str">
            <v>BMED</v>
          </cell>
          <cell r="L136" t="str">
            <v>Normal</v>
          </cell>
          <cell r="M136" t="str">
            <v>USA</v>
          </cell>
          <cell r="N136" t="str">
            <v>Welch Allyn</v>
          </cell>
          <cell r="O136" t="str">
            <v>Welch Allyn 97150-BIM</v>
          </cell>
          <cell r="P136" t="str">
            <v>GD0019-32</v>
          </cell>
          <cell r="Q136" t="str">
            <v>Not Applicable</v>
          </cell>
          <cell r="R136" t="str">
            <v>Welch Allyn Inc</v>
          </cell>
          <cell r="S136" t="str">
            <v>Welch Allyn Malaysia Sdn Bhd</v>
          </cell>
          <cell r="T136" t="str">
            <v>Functioning</v>
          </cell>
          <cell r="U136" t="str">
            <v>Asset</v>
          </cell>
          <cell r="V136">
            <v>4690</v>
          </cell>
          <cell r="W136" t="str">
            <v>KEW</v>
          </cell>
          <cell r="X136" t="str">
            <v>01/09/2010</v>
          </cell>
          <cell r="Y136" t="str">
            <v>KEW</v>
          </cell>
          <cell r="Z136" t="str">
            <v>16/08/2013</v>
          </cell>
          <cell r="AA136" t="str">
            <v>15/08/2015</v>
          </cell>
          <cell r="AB136" t="str">
            <v>No</v>
          </cell>
          <cell r="AC136" t="str">
            <v>31/08/2013</v>
          </cell>
          <cell r="AD136" t="str">
            <v>Good</v>
          </cell>
          <cell r="AE136" t="str">
            <v>V1 - Existing / No Claim</v>
          </cell>
          <cell r="AF136">
            <v>42803</v>
          </cell>
          <cell r="AG136">
            <v>9.17</v>
          </cell>
          <cell r="AH136" t="str">
            <v>RI</v>
          </cell>
          <cell r="AI136" t="str">
            <v>Strands</v>
          </cell>
          <cell r="AJ136" t="str">
            <v>Not under maintenance</v>
          </cell>
        </row>
        <row r="137">
          <cell r="A137" t="str">
            <v>IKN401066</v>
          </cell>
          <cell r="B137">
            <v>1064</v>
          </cell>
          <cell r="C137" t="str">
            <v>Institut Kanser Negara</v>
          </cell>
          <cell r="D137" t="e">
            <v>#N/A</v>
          </cell>
          <cell r="E137" t="str">
            <v>18-595</v>
          </cell>
          <cell r="F137" t="str">
            <v>Ophthalmoscopes/Otoscopes</v>
          </cell>
          <cell r="G137" t="str">
            <v>OT</v>
          </cell>
          <cell r="H137" t="str">
            <v>OPERATING THEATRE</v>
          </cell>
          <cell r="I137" t="str">
            <v>05OT169</v>
          </cell>
          <cell r="J137" t="str">
            <v>EQ. ROOM</v>
          </cell>
          <cell r="K137" t="str">
            <v>BMED</v>
          </cell>
          <cell r="L137" t="str">
            <v>Normal</v>
          </cell>
          <cell r="M137" t="str">
            <v>USA</v>
          </cell>
          <cell r="N137" t="str">
            <v>Welch Allyn</v>
          </cell>
          <cell r="O137" t="str">
            <v>Welch Allyn 97150-BIM</v>
          </cell>
          <cell r="P137" t="str">
            <v>N/A</v>
          </cell>
          <cell r="Q137" t="str">
            <v>Not Applicable</v>
          </cell>
          <cell r="R137" t="str">
            <v>Welch Allyn Inc</v>
          </cell>
          <cell r="S137" t="str">
            <v>Welch Allyn Malaysia Sdn Bhd</v>
          </cell>
          <cell r="T137" t="str">
            <v>Functioning</v>
          </cell>
          <cell r="U137" t="str">
            <v>Asset</v>
          </cell>
          <cell r="V137">
            <v>4690</v>
          </cell>
          <cell r="W137" t="str">
            <v>KEW</v>
          </cell>
          <cell r="X137" t="str">
            <v>01/09/2010</v>
          </cell>
          <cell r="Y137" t="str">
            <v>KEW</v>
          </cell>
          <cell r="Z137" t="str">
            <v>16/08/2013</v>
          </cell>
          <cell r="AA137" t="str">
            <v>15/08/2015</v>
          </cell>
          <cell r="AB137" t="str">
            <v>No</v>
          </cell>
          <cell r="AC137" t="str">
            <v>31/08/2013</v>
          </cell>
          <cell r="AD137" t="str">
            <v>Good</v>
          </cell>
          <cell r="AE137" t="str">
            <v>V1 - Existing / No Claim</v>
          </cell>
          <cell r="AF137">
            <v>42235</v>
          </cell>
          <cell r="AG137">
            <v>9.17</v>
          </cell>
          <cell r="AH137" t="str">
            <v>RI</v>
          </cell>
          <cell r="AI137" t="str">
            <v>Not in contract</v>
          </cell>
          <cell r="AJ137" t="str">
            <v>Not under maintenance</v>
          </cell>
          <cell r="AK137" t="str">
            <v>Will be under V4. Taken out of contract as agreed by IKN</v>
          </cell>
        </row>
        <row r="138">
          <cell r="A138" t="str">
            <v>IKN401067</v>
          </cell>
          <cell r="B138">
            <v>1065</v>
          </cell>
          <cell r="C138" t="str">
            <v>Institut Kanser Negara</v>
          </cell>
          <cell r="D138" t="e">
            <v>#N/A</v>
          </cell>
          <cell r="E138" t="str">
            <v>18-595</v>
          </cell>
          <cell r="F138" t="str">
            <v>Ophthalmoscopes/Otoscopes</v>
          </cell>
          <cell r="G138" t="str">
            <v>OT</v>
          </cell>
          <cell r="H138" t="str">
            <v>OPERATING THEATRE</v>
          </cell>
          <cell r="I138" t="str">
            <v>05OT169</v>
          </cell>
          <cell r="J138" t="str">
            <v>EQ. ROOM</v>
          </cell>
          <cell r="K138" t="str">
            <v>BMED</v>
          </cell>
          <cell r="L138" t="str">
            <v>Normal</v>
          </cell>
          <cell r="M138" t="str">
            <v>USA</v>
          </cell>
          <cell r="N138" t="str">
            <v>Welch Allyn</v>
          </cell>
          <cell r="O138" t="str">
            <v>Welch Allyn 97150-BIM</v>
          </cell>
          <cell r="P138" t="str">
            <v>N/A</v>
          </cell>
          <cell r="Q138" t="str">
            <v>Not Applicable</v>
          </cell>
          <cell r="R138" t="str">
            <v>Welch Allyn Inc</v>
          </cell>
          <cell r="S138" t="str">
            <v>Welch Allyn Malaysia Sdn Bhd</v>
          </cell>
          <cell r="T138" t="str">
            <v>Functioning</v>
          </cell>
          <cell r="U138" t="str">
            <v>Asset</v>
          </cell>
          <cell r="V138">
            <v>4690</v>
          </cell>
          <cell r="W138" t="str">
            <v>KEW</v>
          </cell>
          <cell r="X138" t="str">
            <v>01/09/2010</v>
          </cell>
          <cell r="Y138" t="str">
            <v>KEW</v>
          </cell>
          <cell r="Z138" t="str">
            <v>16/08/2013</v>
          </cell>
          <cell r="AA138" t="str">
            <v>15/08/2015</v>
          </cell>
          <cell r="AB138" t="str">
            <v>No</v>
          </cell>
          <cell r="AC138" t="str">
            <v>31/08/2013</v>
          </cell>
          <cell r="AD138" t="str">
            <v>Good</v>
          </cell>
          <cell r="AE138" t="str">
            <v>V1 - Existing / No Claim</v>
          </cell>
          <cell r="AF138">
            <v>42235</v>
          </cell>
          <cell r="AG138">
            <v>9.17</v>
          </cell>
          <cell r="AH138" t="str">
            <v>RI</v>
          </cell>
          <cell r="AI138" t="str">
            <v>Not in contract</v>
          </cell>
          <cell r="AJ138" t="str">
            <v>Not under maintenance</v>
          </cell>
          <cell r="AK138" t="str">
            <v>Will be under V4. Taken out of contract as agreed by IKN</v>
          </cell>
        </row>
        <row r="139">
          <cell r="A139" t="str">
            <v>IKN401114</v>
          </cell>
          <cell r="B139">
            <v>1112</v>
          </cell>
          <cell r="C139" t="str">
            <v>Institut Kanser Negara</v>
          </cell>
          <cell r="D139" t="e">
            <v>#N/A</v>
          </cell>
          <cell r="E139" t="str">
            <v>16-158</v>
          </cell>
          <cell r="F139" t="str">
            <v>Sphygmomanometers, Mercury</v>
          </cell>
          <cell r="G139" t="str">
            <v>AE</v>
          </cell>
          <cell r="H139" t="str">
            <v>EMERGENCY UNIT</v>
          </cell>
          <cell r="I139" t="str">
            <v>01AE118</v>
          </cell>
          <cell r="J139" t="str">
            <v>RESUSCITATION TREATMENT 1</v>
          </cell>
          <cell r="K139" t="str">
            <v>BMED</v>
          </cell>
          <cell r="L139" t="str">
            <v>Normal</v>
          </cell>
          <cell r="M139" t="str">
            <v>Germany</v>
          </cell>
          <cell r="N139" t="str">
            <v>Erka</v>
          </cell>
          <cell r="O139" t="str">
            <v>Erkameter 3000</v>
          </cell>
          <cell r="P139" t="str">
            <v>13500745</v>
          </cell>
          <cell r="Q139" t="str">
            <v>Not Applicable</v>
          </cell>
          <cell r="R139" t="str">
            <v>Erka GmbH &amp; Co</v>
          </cell>
          <cell r="S139" t="str">
            <v>Acucare Systems (M) Sdn bhd</v>
          </cell>
          <cell r="T139" t="str">
            <v>Functioning</v>
          </cell>
          <cell r="U139" t="str">
            <v>Asset</v>
          </cell>
          <cell r="V139">
            <v>505</v>
          </cell>
          <cell r="W139" t="str">
            <v>KEW</v>
          </cell>
          <cell r="X139" t="str">
            <v>01/09/2010</v>
          </cell>
          <cell r="Y139" t="str">
            <v>KEW</v>
          </cell>
          <cell r="Z139" t="str">
            <v>16/08/2013</v>
          </cell>
          <cell r="AA139" t="str">
            <v>15/08/2015</v>
          </cell>
          <cell r="AB139" t="str">
            <v>No</v>
          </cell>
          <cell r="AC139" t="str">
            <v>31/08/2013</v>
          </cell>
          <cell r="AD139" t="str">
            <v>Good</v>
          </cell>
          <cell r="AE139" t="str">
            <v>V4 - Decommissioned Installed Facility</v>
          </cell>
          <cell r="AF139">
            <v>42235</v>
          </cell>
          <cell r="AG139">
            <v>9.17</v>
          </cell>
          <cell r="AH139" t="str">
            <v>PPM</v>
          </cell>
          <cell r="AI139" t="str">
            <v>Not in contract</v>
          </cell>
          <cell r="AJ139" t="str">
            <v>Not under maintenance</v>
          </cell>
          <cell r="AK139" t="e">
            <v>#N/A</v>
          </cell>
        </row>
        <row r="140">
          <cell r="A140" t="str">
            <v>IKN401115</v>
          </cell>
          <cell r="B140">
            <v>1113</v>
          </cell>
          <cell r="C140" t="str">
            <v>Institut Kanser Negara</v>
          </cell>
          <cell r="D140" t="e">
            <v>#N/A</v>
          </cell>
          <cell r="E140" t="str">
            <v>16-158</v>
          </cell>
          <cell r="F140" t="str">
            <v>Sphygmomanometers, Mercury</v>
          </cell>
          <cell r="G140" t="str">
            <v>AE</v>
          </cell>
          <cell r="H140" t="str">
            <v>EMERGENCY UNIT</v>
          </cell>
          <cell r="I140" t="str">
            <v>01AE119</v>
          </cell>
          <cell r="J140" t="str">
            <v>RESUSCITATION/TREATMENT</v>
          </cell>
          <cell r="K140" t="str">
            <v>BMED</v>
          </cell>
          <cell r="L140" t="str">
            <v>Normal</v>
          </cell>
          <cell r="M140" t="str">
            <v>Germany</v>
          </cell>
          <cell r="N140" t="str">
            <v>Erka</v>
          </cell>
          <cell r="O140" t="str">
            <v>Erkameter 3000</v>
          </cell>
          <cell r="P140" t="str">
            <v>13500762</v>
          </cell>
          <cell r="Q140" t="str">
            <v>Not Applicable</v>
          </cell>
          <cell r="R140" t="str">
            <v>Erka GmbH &amp; Co</v>
          </cell>
          <cell r="S140" t="str">
            <v>Acucare Systems (M) Sdn bhd</v>
          </cell>
          <cell r="T140" t="str">
            <v>Functioning</v>
          </cell>
          <cell r="U140" t="str">
            <v>Asset</v>
          </cell>
          <cell r="V140">
            <v>505</v>
          </cell>
          <cell r="W140" t="str">
            <v>KEW</v>
          </cell>
          <cell r="X140" t="str">
            <v>01/09/2010</v>
          </cell>
          <cell r="Y140" t="str">
            <v>KEW</v>
          </cell>
          <cell r="Z140" t="str">
            <v>16/08/2013</v>
          </cell>
          <cell r="AA140" t="str">
            <v>15/08/2015</v>
          </cell>
          <cell r="AB140" t="str">
            <v>No</v>
          </cell>
          <cell r="AC140" t="str">
            <v>31/08/2013</v>
          </cell>
          <cell r="AD140" t="str">
            <v>Good</v>
          </cell>
          <cell r="AE140" t="str">
            <v>V4 - Decommissioned Installed Facility</v>
          </cell>
          <cell r="AF140">
            <v>42235</v>
          </cell>
          <cell r="AG140">
            <v>9.17</v>
          </cell>
          <cell r="AH140" t="str">
            <v>PPM</v>
          </cell>
          <cell r="AI140" t="str">
            <v>Not in contract</v>
          </cell>
          <cell r="AJ140" t="str">
            <v>Not under maintenance</v>
          </cell>
          <cell r="AK140" t="e">
            <v>#N/A</v>
          </cell>
        </row>
        <row r="141">
          <cell r="A141" t="str">
            <v>IKN401132</v>
          </cell>
          <cell r="B141">
            <v>1130</v>
          </cell>
          <cell r="C141" t="str">
            <v>Institut Kanser Negara</v>
          </cell>
          <cell r="D141" t="e">
            <v>#N/A</v>
          </cell>
          <cell r="E141" t="str">
            <v>18-595</v>
          </cell>
          <cell r="F141" t="str">
            <v>Ophthalmoscopes/Otoscopes</v>
          </cell>
          <cell r="G141" t="str">
            <v>AE</v>
          </cell>
          <cell r="H141" t="str">
            <v>EMERGENCY UNIT</v>
          </cell>
          <cell r="I141" t="str">
            <v>01AE106</v>
          </cell>
          <cell r="J141" t="str">
            <v>C/E ROOM</v>
          </cell>
          <cell r="K141" t="str">
            <v>BMED</v>
          </cell>
          <cell r="L141" t="str">
            <v>Normal</v>
          </cell>
          <cell r="M141" t="str">
            <v>USA</v>
          </cell>
          <cell r="N141" t="str">
            <v>Welch Allyn</v>
          </cell>
          <cell r="O141" t="str">
            <v>Welch Allyn 71904</v>
          </cell>
          <cell r="P141" t="str">
            <v>N/A</v>
          </cell>
          <cell r="Q141" t="str">
            <v>Not Applicable</v>
          </cell>
          <cell r="R141" t="str">
            <v>Welch Allyn Inc</v>
          </cell>
          <cell r="S141" t="str">
            <v>Welch Allyn Malaysia Sdn Bhd</v>
          </cell>
          <cell r="T141" t="str">
            <v>Functioning</v>
          </cell>
          <cell r="U141" t="str">
            <v>Asset</v>
          </cell>
          <cell r="V141">
            <v>4690</v>
          </cell>
          <cell r="W141" t="str">
            <v>KEW</v>
          </cell>
          <cell r="X141" t="str">
            <v>01/09/2010</v>
          </cell>
          <cell r="Y141" t="str">
            <v>KEW</v>
          </cell>
          <cell r="Z141" t="str">
            <v>16/08/2013</v>
          </cell>
          <cell r="AA141" t="str">
            <v>15/08/2015</v>
          </cell>
          <cell r="AB141" t="str">
            <v>No</v>
          </cell>
          <cell r="AC141" t="str">
            <v>31/08/2013</v>
          </cell>
          <cell r="AD141" t="str">
            <v>Good</v>
          </cell>
          <cell r="AE141" t="str">
            <v>V1 - Existing / No Claim</v>
          </cell>
          <cell r="AF141">
            <v>42235</v>
          </cell>
          <cell r="AG141">
            <v>9.17</v>
          </cell>
          <cell r="AH141" t="str">
            <v>RI</v>
          </cell>
          <cell r="AI141" t="str">
            <v>Not in contract</v>
          </cell>
          <cell r="AJ141" t="str">
            <v>Not under maintenance</v>
          </cell>
          <cell r="AK141" t="str">
            <v>Will be under V4. Taken out of contract as agreed by IKN</v>
          </cell>
        </row>
        <row r="142">
          <cell r="A142" t="str">
            <v>IKN401153</v>
          </cell>
          <cell r="B142">
            <v>1151</v>
          </cell>
          <cell r="C142" t="str">
            <v>Institut Kanser Negara</v>
          </cell>
          <cell r="D142" t="e">
            <v>#N/A</v>
          </cell>
          <cell r="E142" t="str">
            <v>18-595</v>
          </cell>
          <cell r="F142" t="str">
            <v>Ophthalmoscopes/Otoscopes</v>
          </cell>
          <cell r="G142" t="str">
            <v>OC</v>
          </cell>
          <cell r="H142" t="str">
            <v>ONCOLOGY CLINIC</v>
          </cell>
          <cell r="I142" t="str">
            <v>03OC104</v>
          </cell>
          <cell r="J142" t="str">
            <v>C/E 7</v>
          </cell>
          <cell r="K142" t="str">
            <v>BMED</v>
          </cell>
          <cell r="L142" t="str">
            <v>Normal</v>
          </cell>
          <cell r="M142" t="str">
            <v>USA</v>
          </cell>
          <cell r="N142" t="str">
            <v>Welch Allyn</v>
          </cell>
          <cell r="O142" t="str">
            <v>Welch Allyn 71904</v>
          </cell>
          <cell r="P142" t="str">
            <v>GD0019-39</v>
          </cell>
          <cell r="Q142" t="str">
            <v>Not Applicable</v>
          </cell>
          <cell r="R142" t="str">
            <v>Welch Allyn Inc</v>
          </cell>
          <cell r="S142" t="str">
            <v>Welch Allyn Malaysia Sdn Bhd</v>
          </cell>
          <cell r="T142" t="str">
            <v>Functioning</v>
          </cell>
          <cell r="U142" t="str">
            <v>Asset</v>
          </cell>
          <cell r="V142">
            <v>4690</v>
          </cell>
          <cell r="W142" t="str">
            <v>KEW</v>
          </cell>
          <cell r="X142" t="str">
            <v>01/09/2010</v>
          </cell>
          <cell r="Y142" t="str">
            <v>KEW</v>
          </cell>
          <cell r="Z142" t="str">
            <v>16/08/2013</v>
          </cell>
          <cell r="AA142" t="str">
            <v>15/08/2015</v>
          </cell>
          <cell r="AB142" t="str">
            <v>No</v>
          </cell>
          <cell r="AC142" t="str">
            <v>31/08/2013</v>
          </cell>
          <cell r="AD142" t="str">
            <v>Good</v>
          </cell>
          <cell r="AE142" t="str">
            <v>V1 - Existing / No Claim</v>
          </cell>
          <cell r="AF142">
            <v>42797</v>
          </cell>
          <cell r="AG142">
            <v>9.17</v>
          </cell>
          <cell r="AH142" t="str">
            <v>RI</v>
          </cell>
          <cell r="AI142" t="str">
            <v>Not in contract</v>
          </cell>
          <cell r="AJ142" t="str">
            <v>Not under maintenance</v>
          </cell>
          <cell r="AK142" t="str">
            <v>Will be under V4. Taken out of contract as agreed by IKN</v>
          </cell>
        </row>
        <row r="143">
          <cell r="A143" t="str">
            <v>IKN401154</v>
          </cell>
          <cell r="B143">
            <v>1152</v>
          </cell>
          <cell r="C143" t="str">
            <v>Institut Kanser Negara</v>
          </cell>
          <cell r="D143" t="str">
            <v>KKM/IKN/H/13/1625</v>
          </cell>
          <cell r="E143" t="str">
            <v>18-595</v>
          </cell>
          <cell r="F143" t="str">
            <v>Ophthalmoscopes/Otoscopes</v>
          </cell>
          <cell r="G143" t="str">
            <v>OC</v>
          </cell>
          <cell r="H143" t="str">
            <v>ONCOLOGY CLINIC</v>
          </cell>
          <cell r="I143" t="str">
            <v>03OC105</v>
          </cell>
          <cell r="J143" t="str">
            <v>C/E 8</v>
          </cell>
          <cell r="K143" t="str">
            <v>BMED</v>
          </cell>
          <cell r="L143" t="str">
            <v>Normal</v>
          </cell>
          <cell r="M143" t="str">
            <v>USA</v>
          </cell>
          <cell r="N143" t="str">
            <v>Welch Allyn</v>
          </cell>
          <cell r="O143" t="str">
            <v>Welch Allyn 71904</v>
          </cell>
          <cell r="P143" t="str">
            <v>GD0019-24</v>
          </cell>
          <cell r="Q143" t="str">
            <v>Not Applicable</v>
          </cell>
          <cell r="R143" t="str">
            <v>Welch Allyn Inc</v>
          </cell>
          <cell r="S143" t="str">
            <v>Welch Allyn Malaysia Sdn Bhd</v>
          </cell>
          <cell r="T143" t="str">
            <v>Functioning</v>
          </cell>
          <cell r="U143" t="str">
            <v>Asset</v>
          </cell>
          <cell r="V143">
            <v>4690</v>
          </cell>
          <cell r="W143" t="str">
            <v>KEW</v>
          </cell>
          <cell r="X143" t="str">
            <v>01/09/2010</v>
          </cell>
          <cell r="Y143" t="str">
            <v>KEW</v>
          </cell>
          <cell r="Z143" t="str">
            <v>16/08/2013</v>
          </cell>
          <cell r="AA143" t="str">
            <v>15/08/2015</v>
          </cell>
          <cell r="AB143" t="str">
            <v>No</v>
          </cell>
          <cell r="AC143" t="str">
            <v>31/08/2013</v>
          </cell>
          <cell r="AD143" t="str">
            <v>Good</v>
          </cell>
          <cell r="AE143" t="str">
            <v>V1 - Existing / No Claim</v>
          </cell>
          <cell r="AF143">
            <v>42802</v>
          </cell>
          <cell r="AG143">
            <v>9.17</v>
          </cell>
          <cell r="AH143" t="str">
            <v>RI</v>
          </cell>
          <cell r="AI143" t="str">
            <v>Strands</v>
          </cell>
          <cell r="AJ143" t="str">
            <v>Not under maintenance</v>
          </cell>
        </row>
        <row r="144">
          <cell r="A144" t="str">
            <v>IKN401155</v>
          </cell>
          <cell r="B144">
            <v>1153</v>
          </cell>
          <cell r="C144" t="str">
            <v>Institut Kanser Negara</v>
          </cell>
          <cell r="D144" t="e">
            <v>#N/A</v>
          </cell>
          <cell r="E144" t="str">
            <v>18-595</v>
          </cell>
          <cell r="F144" t="str">
            <v>Ophthalmoscopes/Otoscopes</v>
          </cell>
          <cell r="G144" t="str">
            <v>OC</v>
          </cell>
          <cell r="H144" t="str">
            <v>ONCOLOGY CLINIC</v>
          </cell>
          <cell r="I144" t="str">
            <v>03OC106</v>
          </cell>
          <cell r="J144" t="str">
            <v>C/E 9</v>
          </cell>
          <cell r="K144" t="str">
            <v>BMED</v>
          </cell>
          <cell r="L144" t="str">
            <v>Normal</v>
          </cell>
          <cell r="M144" t="str">
            <v>USA</v>
          </cell>
          <cell r="N144" t="str">
            <v>Welch Allyn</v>
          </cell>
          <cell r="O144" t="str">
            <v>Welch Allyn 71904</v>
          </cell>
          <cell r="P144" t="str">
            <v>GD0019-25</v>
          </cell>
          <cell r="Q144" t="str">
            <v>Not Applicable</v>
          </cell>
          <cell r="R144" t="str">
            <v>Welch Allyn Inc</v>
          </cell>
          <cell r="S144" t="str">
            <v>Welch Allyn Malaysia Sdn Bhd</v>
          </cell>
          <cell r="T144" t="str">
            <v>Functioning</v>
          </cell>
          <cell r="U144" t="str">
            <v>Asset</v>
          </cell>
          <cell r="V144">
            <v>4690</v>
          </cell>
          <cell r="W144" t="str">
            <v>KEW</v>
          </cell>
          <cell r="X144" t="str">
            <v>01/09/2010</v>
          </cell>
          <cell r="Y144" t="str">
            <v>KEW</v>
          </cell>
          <cell r="Z144" t="str">
            <v>16/08/2013</v>
          </cell>
          <cell r="AA144" t="str">
            <v>15/08/2015</v>
          </cell>
          <cell r="AB144" t="str">
            <v>No</v>
          </cell>
          <cell r="AC144" t="str">
            <v>31/08/2013</v>
          </cell>
          <cell r="AD144" t="str">
            <v>Good</v>
          </cell>
          <cell r="AE144" t="str">
            <v>V1 - Existing / No Claim</v>
          </cell>
          <cell r="AF144">
            <v>42802</v>
          </cell>
          <cell r="AG144">
            <v>9.17</v>
          </cell>
          <cell r="AH144" t="str">
            <v>RI</v>
          </cell>
          <cell r="AI144" t="str">
            <v>Not in contract</v>
          </cell>
          <cell r="AJ144" t="str">
            <v>Not under maintenance</v>
          </cell>
          <cell r="AK144" t="str">
            <v>Will be under V4. Taken out of contract as agreed by IKN</v>
          </cell>
        </row>
        <row r="145">
          <cell r="A145" t="str">
            <v>IKN401156</v>
          </cell>
          <cell r="B145">
            <v>1154</v>
          </cell>
          <cell r="C145" t="str">
            <v>Institut Kanser Negara</v>
          </cell>
          <cell r="D145" t="str">
            <v>KKM/IKN/H/13/1627</v>
          </cell>
          <cell r="E145" t="str">
            <v>18-595</v>
          </cell>
          <cell r="F145" t="str">
            <v>Ophthalmoscopes/Otoscopes</v>
          </cell>
          <cell r="G145" t="str">
            <v>OC</v>
          </cell>
          <cell r="H145" t="str">
            <v>ONCOLOGY CLINIC</v>
          </cell>
          <cell r="I145" t="str">
            <v>03OC107</v>
          </cell>
          <cell r="J145" t="str">
            <v>C/E 10</v>
          </cell>
          <cell r="K145" t="str">
            <v>BMED</v>
          </cell>
          <cell r="L145" t="str">
            <v>Normal</v>
          </cell>
          <cell r="M145" t="str">
            <v>USA</v>
          </cell>
          <cell r="N145" t="str">
            <v>Welch Allyn</v>
          </cell>
          <cell r="O145" t="str">
            <v>Welch Allyn 71904</v>
          </cell>
          <cell r="P145" t="str">
            <v>GD0019-26</v>
          </cell>
          <cell r="Q145" t="str">
            <v>Not Applicable</v>
          </cell>
          <cell r="R145" t="str">
            <v>Welch Allyn Inc</v>
          </cell>
          <cell r="S145" t="str">
            <v>Welch Allyn Malaysia Sdn Bhd</v>
          </cell>
          <cell r="T145" t="str">
            <v>Functioning</v>
          </cell>
          <cell r="U145" t="str">
            <v>Asset</v>
          </cell>
          <cell r="V145">
            <v>4690</v>
          </cell>
          <cell r="W145" t="str">
            <v>KEW</v>
          </cell>
          <cell r="X145" t="str">
            <v>01/09/2010</v>
          </cell>
          <cell r="Y145" t="str">
            <v>KEW</v>
          </cell>
          <cell r="Z145" t="str">
            <v>16/08/2013</v>
          </cell>
          <cell r="AA145" t="str">
            <v>15/08/2015</v>
          </cell>
          <cell r="AB145" t="str">
            <v>No</v>
          </cell>
          <cell r="AC145" t="str">
            <v>31/08/2013</v>
          </cell>
          <cell r="AD145" t="str">
            <v>Good</v>
          </cell>
          <cell r="AE145" t="str">
            <v>V1 - Existing / No Claim</v>
          </cell>
          <cell r="AF145">
            <v>42802</v>
          </cell>
          <cell r="AG145">
            <v>9.17</v>
          </cell>
          <cell r="AH145" t="str">
            <v>RI</v>
          </cell>
          <cell r="AI145" t="str">
            <v>Strands</v>
          </cell>
          <cell r="AJ145" t="str">
            <v>Not under maintenance</v>
          </cell>
        </row>
        <row r="146">
          <cell r="A146" t="str">
            <v>IKN401157</v>
          </cell>
          <cell r="B146">
            <v>1155</v>
          </cell>
          <cell r="C146" t="str">
            <v>Institut Kanser Negara</v>
          </cell>
          <cell r="D146" t="str">
            <v>KKM/IKN/H/13/1617</v>
          </cell>
          <cell r="E146" t="str">
            <v>18-595</v>
          </cell>
          <cell r="F146" t="str">
            <v>Ophthalmoscopes/Otoscopes</v>
          </cell>
          <cell r="G146" t="str">
            <v>OC</v>
          </cell>
          <cell r="H146" t="str">
            <v>ONCOLOGY CLINIC</v>
          </cell>
          <cell r="I146" t="str">
            <v>03OC108</v>
          </cell>
          <cell r="J146" t="str">
            <v>C/E 11</v>
          </cell>
          <cell r="K146" t="str">
            <v>BMED</v>
          </cell>
          <cell r="L146" t="str">
            <v>Normal</v>
          </cell>
          <cell r="M146" t="str">
            <v>USA</v>
          </cell>
          <cell r="N146" t="str">
            <v>Welch Allyn</v>
          </cell>
          <cell r="O146" t="str">
            <v>Welch Allyn 71904</v>
          </cell>
          <cell r="P146" t="str">
            <v>GD0019-27</v>
          </cell>
          <cell r="Q146" t="str">
            <v>Not Applicable</v>
          </cell>
          <cell r="R146" t="str">
            <v>Welch Allyn Inc</v>
          </cell>
          <cell r="S146" t="str">
            <v>Welch Allyn Malaysia Sdn Bhd</v>
          </cell>
          <cell r="T146" t="str">
            <v>Functioning</v>
          </cell>
          <cell r="U146" t="str">
            <v>Asset</v>
          </cell>
          <cell r="V146">
            <v>4690</v>
          </cell>
          <cell r="W146" t="str">
            <v>KEW</v>
          </cell>
          <cell r="X146" t="str">
            <v>01/09/2010</v>
          </cell>
          <cell r="Y146" t="str">
            <v>KEW</v>
          </cell>
          <cell r="Z146" t="str">
            <v>16/08/2013</v>
          </cell>
          <cell r="AA146" t="str">
            <v>15/08/2015</v>
          </cell>
          <cell r="AB146" t="str">
            <v>No</v>
          </cell>
          <cell r="AC146" t="str">
            <v>31/08/2013</v>
          </cell>
          <cell r="AD146" t="str">
            <v>Good</v>
          </cell>
          <cell r="AE146" t="str">
            <v>V1 - Existing / No Claim</v>
          </cell>
          <cell r="AF146">
            <v>42802</v>
          </cell>
          <cell r="AG146">
            <v>9.17</v>
          </cell>
          <cell r="AH146" t="str">
            <v>RI</v>
          </cell>
          <cell r="AI146" t="str">
            <v>Strands</v>
          </cell>
          <cell r="AJ146" t="str">
            <v>Not under maintenance</v>
          </cell>
        </row>
        <row r="147">
          <cell r="A147" t="str">
            <v>IKN401158</v>
          </cell>
          <cell r="B147">
            <v>1156</v>
          </cell>
          <cell r="C147" t="str">
            <v>Institut Kanser Negara</v>
          </cell>
          <cell r="D147" t="e">
            <v>#N/A</v>
          </cell>
          <cell r="E147" t="str">
            <v>18-595</v>
          </cell>
          <cell r="F147" t="str">
            <v>Ophthalmoscopes/Otoscopes</v>
          </cell>
          <cell r="G147" t="str">
            <v>OC</v>
          </cell>
          <cell r="H147" t="str">
            <v>ONCOLOGY CLINIC</v>
          </cell>
          <cell r="I147" t="str">
            <v>03OC109</v>
          </cell>
          <cell r="J147" t="str">
            <v>C/E 1 (VIP)</v>
          </cell>
          <cell r="K147" t="str">
            <v>BMED</v>
          </cell>
          <cell r="L147" t="str">
            <v>Normal</v>
          </cell>
          <cell r="M147" t="str">
            <v>USA</v>
          </cell>
          <cell r="N147" t="str">
            <v>Welch Allyn</v>
          </cell>
          <cell r="O147" t="str">
            <v>Welch Allyn 71904</v>
          </cell>
          <cell r="P147" t="str">
            <v>GD0019-11</v>
          </cell>
          <cell r="Q147" t="str">
            <v>Not Applicable</v>
          </cell>
          <cell r="R147" t="str">
            <v>Welch Allyn Inc</v>
          </cell>
          <cell r="S147" t="str">
            <v>Welch Allyn Malaysia Sdn Bhd</v>
          </cell>
          <cell r="T147" t="str">
            <v>Functioning</v>
          </cell>
          <cell r="U147" t="str">
            <v>Asset</v>
          </cell>
          <cell r="V147">
            <v>4690</v>
          </cell>
          <cell r="W147" t="str">
            <v>KEW</v>
          </cell>
          <cell r="X147" t="str">
            <v>01/09/2010</v>
          </cell>
          <cell r="Y147" t="str">
            <v>KEW</v>
          </cell>
          <cell r="Z147" t="str">
            <v>16/08/2013</v>
          </cell>
          <cell r="AA147" t="str">
            <v>15/08/2015</v>
          </cell>
          <cell r="AB147" t="str">
            <v>No</v>
          </cell>
          <cell r="AC147" t="str">
            <v>31/08/2013</v>
          </cell>
          <cell r="AD147" t="str">
            <v>Good</v>
          </cell>
          <cell r="AE147" t="str">
            <v>V1 - Existing / No Claim</v>
          </cell>
          <cell r="AF147">
            <v>42802</v>
          </cell>
          <cell r="AG147">
            <v>9.17</v>
          </cell>
          <cell r="AH147" t="str">
            <v>RI</v>
          </cell>
          <cell r="AI147" t="str">
            <v>Not in contract</v>
          </cell>
          <cell r="AJ147" t="str">
            <v>Not under maintenance</v>
          </cell>
          <cell r="AK147" t="str">
            <v>Will be under V4. Taken out of contract as agreed by IKN</v>
          </cell>
        </row>
        <row r="148">
          <cell r="A148" t="str">
            <v>IKN401201</v>
          </cell>
          <cell r="B148">
            <v>1199</v>
          </cell>
          <cell r="C148" t="str">
            <v>Institut Kanser Negara</v>
          </cell>
          <cell r="D148" t="e">
            <v>#N/A</v>
          </cell>
          <cell r="E148" t="str">
            <v>15-076</v>
          </cell>
          <cell r="F148" t="str">
            <v>Laryngoscopes, Rigid</v>
          </cell>
          <cell r="G148" t="str">
            <v>WJ</v>
          </cell>
          <cell r="H148" t="str">
            <v>MULTIDISCIPLINE WARD 1</v>
          </cell>
          <cell r="I148" t="str">
            <v>09WJ126</v>
          </cell>
          <cell r="J148" t="str">
            <v>EQUIPT. ROOM</v>
          </cell>
          <cell r="K148" t="str">
            <v>BMED</v>
          </cell>
          <cell r="L148" t="str">
            <v>Normal</v>
          </cell>
          <cell r="M148" t="str">
            <v>Not Available</v>
          </cell>
          <cell r="N148" t="str">
            <v>Not Available</v>
          </cell>
          <cell r="O148" t="str">
            <v>Not Available</v>
          </cell>
          <cell r="P148" t="str">
            <v>Not Available</v>
          </cell>
          <cell r="Q148" t="str">
            <v>Not Available</v>
          </cell>
          <cell r="R148" t="str">
            <v>Not Available</v>
          </cell>
          <cell r="S148" t="str">
            <v>ANTAH SRI RADIN SDN BHD</v>
          </cell>
          <cell r="T148" t="str">
            <v>Functioning</v>
          </cell>
          <cell r="U148" t="str">
            <v>Asset</v>
          </cell>
          <cell r="V148">
            <v>4000</v>
          </cell>
          <cell r="W148" t="str">
            <v>Estimate</v>
          </cell>
          <cell r="X148" t="str">
            <v>01/09/2010</v>
          </cell>
          <cell r="Y148" t="str">
            <v>Estimate</v>
          </cell>
          <cell r="Z148" t="str">
            <v>16/08/2013</v>
          </cell>
          <cell r="AA148" t="str">
            <v>15/08/2015</v>
          </cell>
          <cell r="AB148" t="str">
            <v>No</v>
          </cell>
          <cell r="AC148" t="str">
            <v>31/08/2013</v>
          </cell>
          <cell r="AD148" t="str">
            <v>Good</v>
          </cell>
          <cell r="AE148" t="str">
            <v>V4 - Decommissioned Installed Facility</v>
          </cell>
          <cell r="AF148">
            <v>42387</v>
          </cell>
          <cell r="AG148">
            <v>9.17</v>
          </cell>
          <cell r="AH148" t="str">
            <v>RI</v>
          </cell>
          <cell r="AI148" t="str">
            <v>Not in contract</v>
          </cell>
          <cell r="AJ148" t="str">
            <v>Not under maintenance</v>
          </cell>
          <cell r="AK148" t="str">
            <v>Will be under V4. Taken out of contract as agreed by IKN</v>
          </cell>
        </row>
        <row r="149">
          <cell r="A149" t="str">
            <v>IKN401202</v>
          </cell>
          <cell r="B149">
            <v>1200</v>
          </cell>
          <cell r="C149" t="str">
            <v>Institut Kanser Negara</v>
          </cell>
          <cell r="D149" t="e">
            <v>#N/A</v>
          </cell>
          <cell r="E149" t="str">
            <v>15-076</v>
          </cell>
          <cell r="F149" t="str">
            <v>Laryngoscopes, Rigid</v>
          </cell>
          <cell r="G149" t="str">
            <v>WJ</v>
          </cell>
          <cell r="H149" t="str">
            <v>MULTIDISCIPLINE WARD 1</v>
          </cell>
          <cell r="I149" t="str">
            <v>09WJ126</v>
          </cell>
          <cell r="J149" t="str">
            <v>EQUIPT. ROOM</v>
          </cell>
          <cell r="K149" t="str">
            <v>BMED</v>
          </cell>
          <cell r="L149" t="str">
            <v>Normal</v>
          </cell>
          <cell r="M149" t="str">
            <v>Not Available</v>
          </cell>
          <cell r="N149" t="str">
            <v>Not Available</v>
          </cell>
          <cell r="O149" t="str">
            <v>Not Available</v>
          </cell>
          <cell r="P149" t="str">
            <v>Not Available</v>
          </cell>
          <cell r="Q149" t="str">
            <v>Not Available</v>
          </cell>
          <cell r="R149" t="str">
            <v>Not Available</v>
          </cell>
          <cell r="S149" t="str">
            <v>ANTAH SRI RADIN SDN BHD</v>
          </cell>
          <cell r="T149" t="str">
            <v>Functioning</v>
          </cell>
          <cell r="U149" t="str">
            <v>Asset</v>
          </cell>
          <cell r="V149">
            <v>4000</v>
          </cell>
          <cell r="W149" t="str">
            <v>Estimate</v>
          </cell>
          <cell r="X149" t="str">
            <v>01/09/2010</v>
          </cell>
          <cell r="Y149" t="str">
            <v>Estimate</v>
          </cell>
          <cell r="Z149" t="str">
            <v>16/08/2013</v>
          </cell>
          <cell r="AA149" t="str">
            <v>15/08/2015</v>
          </cell>
          <cell r="AB149" t="str">
            <v>No</v>
          </cell>
          <cell r="AC149" t="str">
            <v>31/08/2013</v>
          </cell>
          <cell r="AD149" t="str">
            <v>Good</v>
          </cell>
          <cell r="AE149" t="str">
            <v>V4 - Decommissioned Installed Facility</v>
          </cell>
          <cell r="AF149">
            <v>42387</v>
          </cell>
          <cell r="AG149">
            <v>9.17</v>
          </cell>
          <cell r="AH149" t="str">
            <v>RI</v>
          </cell>
          <cell r="AI149" t="str">
            <v>Not in contract</v>
          </cell>
          <cell r="AJ149" t="str">
            <v>Not under maintenance</v>
          </cell>
          <cell r="AK149" t="str">
            <v>Will be under V4. Taken out of contract as agreed by IKN</v>
          </cell>
        </row>
        <row r="150">
          <cell r="A150" t="str">
            <v>IKN401203</v>
          </cell>
          <cell r="B150">
            <v>1201</v>
          </cell>
          <cell r="C150" t="str">
            <v>Institut Kanser Negara</v>
          </cell>
          <cell r="D150" t="e">
            <v>#N/A</v>
          </cell>
          <cell r="E150" t="str">
            <v>18-595</v>
          </cell>
          <cell r="F150" t="str">
            <v>Ophthalmoscopes/Otoscopes</v>
          </cell>
          <cell r="G150" t="str">
            <v>WJ</v>
          </cell>
          <cell r="H150" t="str">
            <v>MULTIDISCIPLINE WARD 1</v>
          </cell>
          <cell r="I150" t="str">
            <v>09WJ126</v>
          </cell>
          <cell r="J150" t="str">
            <v>EQUIPT. ROOM</v>
          </cell>
          <cell r="K150" t="str">
            <v>BMED</v>
          </cell>
          <cell r="L150" t="str">
            <v>Normal</v>
          </cell>
          <cell r="M150" t="str">
            <v>USA</v>
          </cell>
          <cell r="N150" t="str">
            <v>Welch Allyn</v>
          </cell>
          <cell r="O150" t="str">
            <v>Welch Allyn 97150-BIM</v>
          </cell>
          <cell r="P150" t="str">
            <v>N/A</v>
          </cell>
          <cell r="Q150" t="str">
            <v>Not Applicable</v>
          </cell>
          <cell r="R150" t="str">
            <v>Welch Allyn Inc</v>
          </cell>
          <cell r="S150" t="str">
            <v>Welch Allyn Malaysia Sdn Bhd</v>
          </cell>
          <cell r="T150" t="str">
            <v>Functioning</v>
          </cell>
          <cell r="U150" t="str">
            <v>Asset</v>
          </cell>
          <cell r="V150">
            <v>4690</v>
          </cell>
          <cell r="W150" t="str">
            <v>KEW</v>
          </cell>
          <cell r="X150" t="str">
            <v>01/09/2010</v>
          </cell>
          <cell r="Y150" t="str">
            <v>KEW</v>
          </cell>
          <cell r="Z150" t="str">
            <v>16/08/2013</v>
          </cell>
          <cell r="AA150" t="str">
            <v>15/08/2015</v>
          </cell>
          <cell r="AB150" t="str">
            <v>No</v>
          </cell>
          <cell r="AC150" t="str">
            <v>31/08/2013</v>
          </cell>
          <cell r="AD150" t="str">
            <v>Good</v>
          </cell>
          <cell r="AE150" t="str">
            <v>V1 - Existing / No Claim</v>
          </cell>
          <cell r="AF150">
            <v>42235</v>
          </cell>
          <cell r="AG150">
            <v>9.17</v>
          </cell>
          <cell r="AH150" t="str">
            <v>RI</v>
          </cell>
          <cell r="AI150" t="str">
            <v>not in contract</v>
          </cell>
          <cell r="AJ150" t="str">
            <v>Not under maintenance</v>
          </cell>
          <cell r="AK150" t="str">
            <v>Will be under V4. Taken out of contract as agreed by IKN</v>
          </cell>
        </row>
        <row r="151">
          <cell r="A151" t="str">
            <v>IKN401204</v>
          </cell>
          <cell r="B151">
            <v>1202</v>
          </cell>
          <cell r="C151" t="str">
            <v>Institut Kanser Negara</v>
          </cell>
          <cell r="D151" t="e">
            <v>#N/A</v>
          </cell>
          <cell r="E151" t="str">
            <v>15-076</v>
          </cell>
          <cell r="F151" t="str">
            <v>Laryngoscopes, Rigid</v>
          </cell>
          <cell r="G151" t="str">
            <v>WJ</v>
          </cell>
          <cell r="H151" t="str">
            <v>MULTIDISCIPLINE WARD 1</v>
          </cell>
          <cell r="I151" t="str">
            <v>09WJ126</v>
          </cell>
          <cell r="J151" t="str">
            <v>EQUIPT. ROOM</v>
          </cell>
          <cell r="K151" t="str">
            <v>BMED</v>
          </cell>
          <cell r="L151" t="str">
            <v>Normal</v>
          </cell>
          <cell r="M151" t="str">
            <v>Not Available</v>
          </cell>
          <cell r="N151" t="str">
            <v>Not Available</v>
          </cell>
          <cell r="O151" t="str">
            <v>Not Available</v>
          </cell>
          <cell r="P151" t="str">
            <v>Not Available</v>
          </cell>
          <cell r="Q151" t="str">
            <v>Not Available</v>
          </cell>
          <cell r="R151" t="str">
            <v>Not Available</v>
          </cell>
          <cell r="S151" t="str">
            <v>ANTAH SRI RADIN SDN BHD</v>
          </cell>
          <cell r="T151" t="str">
            <v>Functioning</v>
          </cell>
          <cell r="U151" t="str">
            <v>Asset</v>
          </cell>
          <cell r="V151">
            <v>4000</v>
          </cell>
          <cell r="W151" t="str">
            <v>Estimate</v>
          </cell>
          <cell r="X151" t="str">
            <v>01/09/2010</v>
          </cell>
          <cell r="Y151" t="str">
            <v>Estimate</v>
          </cell>
          <cell r="Z151" t="str">
            <v>16/08/2013</v>
          </cell>
          <cell r="AA151" t="str">
            <v>15/08/2015</v>
          </cell>
          <cell r="AB151" t="str">
            <v>No</v>
          </cell>
          <cell r="AC151" t="str">
            <v>31/08/2013</v>
          </cell>
          <cell r="AD151" t="str">
            <v>Good</v>
          </cell>
          <cell r="AE151" t="str">
            <v>V4 - Decommissioned Installed Facility</v>
          </cell>
          <cell r="AF151">
            <v>42387</v>
          </cell>
          <cell r="AG151">
            <v>9.17</v>
          </cell>
          <cell r="AH151" t="str">
            <v>RI</v>
          </cell>
          <cell r="AI151" t="str">
            <v>Not in contract</v>
          </cell>
          <cell r="AJ151" t="str">
            <v>Not under maintenance</v>
          </cell>
          <cell r="AK151" t="str">
            <v>Will be under V4. Taken out of contract as agreed by IKN</v>
          </cell>
        </row>
        <row r="152">
          <cell r="A152" t="str">
            <v>IKN401205</v>
          </cell>
          <cell r="B152">
            <v>1203</v>
          </cell>
          <cell r="C152" t="str">
            <v>Institut Kanser Negara</v>
          </cell>
          <cell r="D152" t="e">
            <v>#N/A</v>
          </cell>
          <cell r="E152" t="str">
            <v>15-076</v>
          </cell>
          <cell r="F152" t="str">
            <v>Laryngoscopes, Rigid</v>
          </cell>
          <cell r="G152" t="str">
            <v>WJ</v>
          </cell>
          <cell r="H152" t="str">
            <v>MULTIDISCIPLINE WARD 1</v>
          </cell>
          <cell r="I152" t="str">
            <v>09WJ126</v>
          </cell>
          <cell r="J152" t="str">
            <v>EQUIPT. ROOM</v>
          </cell>
          <cell r="K152" t="str">
            <v>BMED</v>
          </cell>
          <cell r="L152" t="str">
            <v>Normal</v>
          </cell>
          <cell r="M152" t="str">
            <v>Not Available</v>
          </cell>
          <cell r="N152" t="str">
            <v>Not Available</v>
          </cell>
          <cell r="O152" t="str">
            <v>Not Available</v>
          </cell>
          <cell r="P152" t="str">
            <v>Not Available</v>
          </cell>
          <cell r="Q152" t="str">
            <v>Not Available</v>
          </cell>
          <cell r="R152" t="str">
            <v>Not Available</v>
          </cell>
          <cell r="S152" t="str">
            <v>ANTAH SRI RADIN SDN BHD</v>
          </cell>
          <cell r="T152" t="str">
            <v>Functioning</v>
          </cell>
          <cell r="U152" t="str">
            <v>Asset</v>
          </cell>
          <cell r="V152">
            <v>4000</v>
          </cell>
          <cell r="W152" t="str">
            <v>Estimate</v>
          </cell>
          <cell r="X152" t="str">
            <v>01/09/2010</v>
          </cell>
          <cell r="Y152" t="str">
            <v>Estimate</v>
          </cell>
          <cell r="Z152" t="str">
            <v>16/08/2013</v>
          </cell>
          <cell r="AA152" t="str">
            <v>15/08/2015</v>
          </cell>
          <cell r="AB152" t="str">
            <v>No</v>
          </cell>
          <cell r="AC152" t="str">
            <v>31/08/2013</v>
          </cell>
          <cell r="AD152" t="str">
            <v>Good</v>
          </cell>
          <cell r="AE152" t="str">
            <v>V4 - Decommissioned Installed Facility</v>
          </cell>
          <cell r="AF152">
            <v>42387</v>
          </cell>
          <cell r="AG152">
            <v>9.17</v>
          </cell>
          <cell r="AH152" t="str">
            <v>RI</v>
          </cell>
          <cell r="AI152" t="str">
            <v>Not in contract</v>
          </cell>
          <cell r="AJ152" t="str">
            <v>Not under maintenance</v>
          </cell>
          <cell r="AK152" t="str">
            <v>Will be under V4. Taken out of contract as agreed by IKN</v>
          </cell>
        </row>
        <row r="153">
          <cell r="A153" t="str">
            <v>IKN401206</v>
          </cell>
          <cell r="B153">
            <v>1204</v>
          </cell>
          <cell r="C153" t="str">
            <v>Institut Kanser Negara</v>
          </cell>
          <cell r="D153" t="e">
            <v>#N/A</v>
          </cell>
          <cell r="E153" t="str">
            <v>18-595</v>
          </cell>
          <cell r="F153" t="str">
            <v>Ophthalmoscopes/Otoscopes</v>
          </cell>
          <cell r="G153" t="str">
            <v>WJ</v>
          </cell>
          <cell r="H153" t="str">
            <v>MULTIDISCIPLINE WARD 1</v>
          </cell>
          <cell r="I153" t="str">
            <v>09WJ126</v>
          </cell>
          <cell r="J153" t="str">
            <v>EQUIPT. ROOM</v>
          </cell>
          <cell r="K153" t="str">
            <v>BMED</v>
          </cell>
          <cell r="L153" t="str">
            <v>Normal</v>
          </cell>
          <cell r="M153" t="str">
            <v>USA</v>
          </cell>
          <cell r="N153" t="str">
            <v>Welch Allyn</v>
          </cell>
          <cell r="O153" t="str">
            <v>Welch Allyn 97150-BIM</v>
          </cell>
          <cell r="P153" t="str">
            <v>N/A</v>
          </cell>
          <cell r="Q153" t="str">
            <v>Not Applicable</v>
          </cell>
          <cell r="R153" t="str">
            <v>Welch Allyn Inc</v>
          </cell>
          <cell r="S153" t="str">
            <v>Welch Allyn Malaysia Sdn Bhd</v>
          </cell>
          <cell r="T153" t="str">
            <v>Functioning</v>
          </cell>
          <cell r="U153" t="str">
            <v>Asset</v>
          </cell>
          <cell r="V153">
            <v>4690</v>
          </cell>
          <cell r="W153" t="str">
            <v>KEW</v>
          </cell>
          <cell r="X153" t="str">
            <v>01/09/2010</v>
          </cell>
          <cell r="Y153" t="str">
            <v>KEW</v>
          </cell>
          <cell r="Z153" t="str">
            <v>16/08/2013</v>
          </cell>
          <cell r="AA153" t="str">
            <v>15/08/2015</v>
          </cell>
          <cell r="AB153" t="str">
            <v>No</v>
          </cell>
          <cell r="AC153" t="str">
            <v>31/08/2013</v>
          </cell>
          <cell r="AD153" t="str">
            <v>Good</v>
          </cell>
          <cell r="AE153" t="str">
            <v>V1 - Existing / No Claim</v>
          </cell>
          <cell r="AF153">
            <v>42235</v>
          </cell>
          <cell r="AG153">
            <v>9.17</v>
          </cell>
          <cell r="AH153" t="str">
            <v>RI</v>
          </cell>
          <cell r="AI153" t="str">
            <v>Not in contract</v>
          </cell>
          <cell r="AJ153" t="str">
            <v>Not under maintenance</v>
          </cell>
          <cell r="AK153" t="str">
            <v>Will be under V4. Taken out of contract as agreed by IKN</v>
          </cell>
        </row>
        <row r="154">
          <cell r="A154" t="str">
            <v>IKN401207</v>
          </cell>
          <cell r="B154">
            <v>1205</v>
          </cell>
          <cell r="C154" t="str">
            <v>Institut Kanser Negara</v>
          </cell>
          <cell r="D154" t="e">
            <v>#N/A</v>
          </cell>
          <cell r="E154" t="str">
            <v>18-595</v>
          </cell>
          <cell r="F154" t="str">
            <v>Ophthalmoscopes/Otoscopes</v>
          </cell>
          <cell r="G154" t="str">
            <v>WG</v>
          </cell>
          <cell r="H154" t="str">
            <v>RT/ONCO WARD 1 (M)</v>
          </cell>
          <cell r="I154" t="str">
            <v>08WG107</v>
          </cell>
          <cell r="J154" t="str">
            <v>TREATMENT / PROCEDURE</v>
          </cell>
          <cell r="K154" t="str">
            <v>BMED</v>
          </cell>
          <cell r="L154" t="str">
            <v>Normal</v>
          </cell>
          <cell r="M154" t="str">
            <v>USA</v>
          </cell>
          <cell r="N154" t="str">
            <v>Welch Allyn</v>
          </cell>
          <cell r="O154" t="str">
            <v>Welch Allyn 97150-BIM</v>
          </cell>
          <cell r="P154" t="str">
            <v>N/A</v>
          </cell>
          <cell r="Q154" t="str">
            <v>Not Applicable</v>
          </cell>
          <cell r="R154" t="str">
            <v>Welch Allyn Inc</v>
          </cell>
          <cell r="S154" t="str">
            <v>Welch Allyn Malaysia Sdn Bhd</v>
          </cell>
          <cell r="T154" t="str">
            <v>Functioning</v>
          </cell>
          <cell r="U154" t="str">
            <v>Asset</v>
          </cell>
          <cell r="V154">
            <v>4690</v>
          </cell>
          <cell r="W154" t="str">
            <v>KEW</v>
          </cell>
          <cell r="X154" t="str">
            <v>01/09/2010</v>
          </cell>
          <cell r="Y154" t="str">
            <v>KEW</v>
          </cell>
          <cell r="Z154" t="str">
            <v>16/08/2013</v>
          </cell>
          <cell r="AA154" t="str">
            <v>15/08/2015</v>
          </cell>
          <cell r="AB154" t="str">
            <v>No</v>
          </cell>
          <cell r="AC154" t="str">
            <v>31/08/2013</v>
          </cell>
          <cell r="AD154" t="str">
            <v>Good</v>
          </cell>
          <cell r="AE154" t="str">
            <v>V1 - Existing / No Claim</v>
          </cell>
          <cell r="AF154">
            <v>42235</v>
          </cell>
          <cell r="AG154">
            <v>9.17</v>
          </cell>
          <cell r="AH154" t="str">
            <v>RI</v>
          </cell>
          <cell r="AI154" t="str">
            <v>Not in contract</v>
          </cell>
          <cell r="AJ154" t="str">
            <v>Not under maintenance</v>
          </cell>
          <cell r="AK154" t="str">
            <v>Will be under V4. Taken out of contract as agreed by IKN</v>
          </cell>
        </row>
        <row r="155">
          <cell r="A155" t="str">
            <v>IKN401208</v>
          </cell>
          <cell r="B155">
            <v>1206</v>
          </cell>
          <cell r="C155" t="str">
            <v>Institut Kanser Negara</v>
          </cell>
          <cell r="D155" t="e">
            <v>#N/A</v>
          </cell>
          <cell r="E155" t="str">
            <v>18-595</v>
          </cell>
          <cell r="F155" t="str">
            <v>Ophthalmoscopes/Otoscopes</v>
          </cell>
          <cell r="G155" t="str">
            <v>WE</v>
          </cell>
          <cell r="H155" t="str">
            <v>RT/ONCO WARD 1 (F)</v>
          </cell>
          <cell r="I155" t="str">
            <v>07WE143</v>
          </cell>
          <cell r="J155" t="str">
            <v>NURSE STATION</v>
          </cell>
          <cell r="K155" t="str">
            <v>BMED</v>
          </cell>
          <cell r="L155" t="str">
            <v>Normal</v>
          </cell>
          <cell r="M155" t="str">
            <v>USA</v>
          </cell>
          <cell r="N155" t="str">
            <v>Welch Allyn</v>
          </cell>
          <cell r="O155" t="str">
            <v>Welch Allyn 97150-BIM</v>
          </cell>
          <cell r="P155" t="str">
            <v>0</v>
          </cell>
          <cell r="Q155" t="str">
            <v>Not Applicable</v>
          </cell>
          <cell r="R155" t="str">
            <v>Welch Allyn Inc</v>
          </cell>
          <cell r="S155" t="str">
            <v>Welch Allyn Malaysia Sdn Bhd</v>
          </cell>
          <cell r="T155" t="str">
            <v>Functioning</v>
          </cell>
          <cell r="U155" t="str">
            <v>Asset</v>
          </cell>
          <cell r="V155">
            <v>4690</v>
          </cell>
          <cell r="W155" t="str">
            <v>KEW</v>
          </cell>
          <cell r="X155" t="str">
            <v>01/09/2010</v>
          </cell>
          <cell r="Y155" t="str">
            <v>KEW</v>
          </cell>
          <cell r="Z155" t="str">
            <v>16/08/2013</v>
          </cell>
          <cell r="AA155" t="str">
            <v>15/08/2015</v>
          </cell>
          <cell r="AB155" t="str">
            <v>No</v>
          </cell>
          <cell r="AC155" t="str">
            <v>31/08/2013</v>
          </cell>
          <cell r="AD155" t="str">
            <v>Good</v>
          </cell>
          <cell r="AE155" t="str">
            <v>V1 - Existing / No Claim</v>
          </cell>
          <cell r="AF155">
            <v>42235</v>
          </cell>
          <cell r="AG155">
            <v>9.17</v>
          </cell>
          <cell r="AH155" t="str">
            <v>RI</v>
          </cell>
          <cell r="AI155" t="str">
            <v>Not in contract</v>
          </cell>
          <cell r="AJ155" t="str">
            <v>Not under maintenance</v>
          </cell>
          <cell r="AK155" t="str">
            <v>Will be under V4. Taken out of contract as agreed by IKN</v>
          </cell>
        </row>
        <row r="156">
          <cell r="A156" t="str">
            <v>IKN401209</v>
          </cell>
          <cell r="B156">
            <v>1207</v>
          </cell>
          <cell r="C156" t="str">
            <v>Institut Kanser Negara</v>
          </cell>
          <cell r="D156" t="e">
            <v>#N/A</v>
          </cell>
          <cell r="E156" t="str">
            <v>15-076</v>
          </cell>
          <cell r="F156" t="str">
            <v>Laryngoscopes, Rigid</v>
          </cell>
          <cell r="G156" t="str">
            <v>WF</v>
          </cell>
          <cell r="H156" t="str">
            <v>RT/ONCO WARD 2 (F)</v>
          </cell>
          <cell r="I156" t="str">
            <v>07WF143</v>
          </cell>
          <cell r="J156" t="str">
            <v>NURSE STATION</v>
          </cell>
          <cell r="K156" t="str">
            <v>BMED</v>
          </cell>
          <cell r="L156" t="str">
            <v>Normal</v>
          </cell>
          <cell r="M156" t="str">
            <v>Not Available</v>
          </cell>
          <cell r="N156" t="str">
            <v>Not Available</v>
          </cell>
          <cell r="O156" t="str">
            <v>Not Available</v>
          </cell>
          <cell r="P156" t="str">
            <v>Not Available</v>
          </cell>
          <cell r="Q156" t="str">
            <v>Not Available</v>
          </cell>
          <cell r="R156" t="str">
            <v>Not Available</v>
          </cell>
          <cell r="S156" t="str">
            <v>ANTAH SRI RADIN SDN BHD</v>
          </cell>
          <cell r="T156" t="str">
            <v>Functioning</v>
          </cell>
          <cell r="U156" t="str">
            <v>Asset</v>
          </cell>
          <cell r="V156">
            <v>4000</v>
          </cell>
          <cell r="W156" t="str">
            <v>Estimate</v>
          </cell>
          <cell r="X156" t="str">
            <v>01/09/2010</v>
          </cell>
          <cell r="Y156" t="str">
            <v>Estimate</v>
          </cell>
          <cell r="Z156" t="str">
            <v>16/08/2013</v>
          </cell>
          <cell r="AA156" t="str">
            <v>15/08/2015</v>
          </cell>
          <cell r="AB156" t="str">
            <v>No</v>
          </cell>
          <cell r="AC156" t="str">
            <v>31/08/2013</v>
          </cell>
          <cell r="AD156" t="str">
            <v>Good</v>
          </cell>
          <cell r="AE156" t="str">
            <v>V4 - Decommissioned Installed Facility</v>
          </cell>
          <cell r="AF156">
            <v>42661</v>
          </cell>
          <cell r="AG156">
            <v>9.17</v>
          </cell>
          <cell r="AH156" t="str">
            <v>RI</v>
          </cell>
          <cell r="AI156" t="str">
            <v>Not in contract</v>
          </cell>
          <cell r="AJ156" t="str">
            <v>Not under maintenance</v>
          </cell>
          <cell r="AK156" t="str">
            <v>Will be under V4. Taken out of contract as agreed by IKN</v>
          </cell>
        </row>
        <row r="157">
          <cell r="A157" t="str">
            <v>IKN401210</v>
          </cell>
          <cell r="B157">
            <v>1208</v>
          </cell>
          <cell r="C157" t="str">
            <v>Institut Kanser Negara</v>
          </cell>
          <cell r="D157" t="e">
            <v>#N/A</v>
          </cell>
          <cell r="E157" t="str">
            <v>15-076</v>
          </cell>
          <cell r="F157" t="str">
            <v>Laryngoscopes, Rigid</v>
          </cell>
          <cell r="G157" t="str">
            <v>WF</v>
          </cell>
          <cell r="H157" t="str">
            <v>RT/ONCO WARD 2 (F)</v>
          </cell>
          <cell r="I157" t="str">
            <v>07WF107</v>
          </cell>
          <cell r="J157" t="str">
            <v>TREATMENT / PROCEDDURE</v>
          </cell>
          <cell r="K157" t="str">
            <v>BMED</v>
          </cell>
          <cell r="L157" t="str">
            <v>Normal</v>
          </cell>
          <cell r="M157" t="str">
            <v>Not Available</v>
          </cell>
          <cell r="N157" t="str">
            <v>Not Available</v>
          </cell>
          <cell r="O157" t="str">
            <v>Not Available</v>
          </cell>
          <cell r="P157" t="str">
            <v>Not Available</v>
          </cell>
          <cell r="Q157" t="str">
            <v>Not Available</v>
          </cell>
          <cell r="R157" t="str">
            <v>Not Available</v>
          </cell>
          <cell r="S157" t="str">
            <v>ANTAH SRI RADIN SDN BHD</v>
          </cell>
          <cell r="T157" t="str">
            <v>Functioning</v>
          </cell>
          <cell r="U157" t="str">
            <v>Asset</v>
          </cell>
          <cell r="V157">
            <v>4000</v>
          </cell>
          <cell r="W157" t="str">
            <v>Estimate</v>
          </cell>
          <cell r="X157" t="str">
            <v>01/09/2010</v>
          </cell>
          <cell r="Y157" t="str">
            <v>Estimate</v>
          </cell>
          <cell r="Z157" t="str">
            <v>16/08/2013</v>
          </cell>
          <cell r="AA157" t="str">
            <v>15/08/2015</v>
          </cell>
          <cell r="AB157" t="str">
            <v>No</v>
          </cell>
          <cell r="AC157" t="str">
            <v>31/08/2013</v>
          </cell>
          <cell r="AD157" t="str">
            <v>Good</v>
          </cell>
          <cell r="AE157" t="str">
            <v>V4 - Decommissioned Installed Facility</v>
          </cell>
          <cell r="AF157">
            <v>42397</v>
          </cell>
          <cell r="AG157">
            <v>9.17</v>
          </cell>
          <cell r="AH157" t="str">
            <v>RI</v>
          </cell>
          <cell r="AI157" t="str">
            <v>Not in contract</v>
          </cell>
          <cell r="AJ157" t="str">
            <v>Not under maintenance</v>
          </cell>
          <cell r="AK157" t="str">
            <v>Will be under V4. Taken out of contract as agreed by IKN</v>
          </cell>
        </row>
        <row r="158">
          <cell r="A158" t="str">
            <v>IKN401211</v>
          </cell>
          <cell r="B158">
            <v>1209</v>
          </cell>
          <cell r="C158" t="str">
            <v>Institut Kanser Negara</v>
          </cell>
          <cell r="D158" t="e">
            <v>#N/A</v>
          </cell>
          <cell r="E158" t="str">
            <v>15-076</v>
          </cell>
          <cell r="F158" t="str">
            <v>Laryngoscopes, Rigid</v>
          </cell>
          <cell r="G158" t="str">
            <v>WG</v>
          </cell>
          <cell r="H158" t="str">
            <v>RT/ONCO WARD 1 (M)</v>
          </cell>
          <cell r="I158" t="str">
            <v>08WG113</v>
          </cell>
          <cell r="J158" t="str">
            <v>EQUIPMENT ROOM</v>
          </cell>
          <cell r="K158" t="str">
            <v>BMED</v>
          </cell>
          <cell r="L158" t="str">
            <v>Normal</v>
          </cell>
          <cell r="M158" t="str">
            <v>Not Available</v>
          </cell>
          <cell r="N158" t="str">
            <v>Not Available</v>
          </cell>
          <cell r="O158" t="str">
            <v>Not Available</v>
          </cell>
          <cell r="P158" t="str">
            <v>NOT AVAILABE</v>
          </cell>
          <cell r="Q158" t="str">
            <v>NOT AVAILABLE</v>
          </cell>
          <cell r="R158" t="str">
            <v>Not Available</v>
          </cell>
          <cell r="S158" t="str">
            <v>ANTAH SRI RADIN SDN BHD</v>
          </cell>
          <cell r="T158" t="str">
            <v>Functioning</v>
          </cell>
          <cell r="U158" t="str">
            <v>Asset</v>
          </cell>
          <cell r="V158">
            <v>4000</v>
          </cell>
          <cell r="W158" t="str">
            <v>Estimate</v>
          </cell>
          <cell r="X158" t="str">
            <v>01/09/2010</v>
          </cell>
          <cell r="Y158" t="str">
            <v>Estimate</v>
          </cell>
          <cell r="Z158" t="str">
            <v>16/08/2013</v>
          </cell>
          <cell r="AA158" t="str">
            <v>15/08/2015</v>
          </cell>
          <cell r="AB158" t="str">
            <v>No</v>
          </cell>
          <cell r="AC158" t="str">
            <v>31/08/2013</v>
          </cell>
          <cell r="AD158" t="str">
            <v>Good</v>
          </cell>
          <cell r="AE158" t="str">
            <v>V4 - Decommissioned Installed Facility</v>
          </cell>
          <cell r="AF158">
            <v>42387</v>
          </cell>
          <cell r="AG158">
            <v>9.17</v>
          </cell>
          <cell r="AH158" t="str">
            <v>RI</v>
          </cell>
          <cell r="AI158" t="str">
            <v>Not in contract</v>
          </cell>
          <cell r="AJ158" t="str">
            <v>Not under maintenance</v>
          </cell>
          <cell r="AK158" t="str">
            <v>Will be under V4. Taken out of contract as agreed by IKN</v>
          </cell>
        </row>
        <row r="159">
          <cell r="A159" t="str">
            <v>IKN401212</v>
          </cell>
          <cell r="B159">
            <v>1210</v>
          </cell>
          <cell r="C159" t="str">
            <v>Institut Kanser Negara</v>
          </cell>
          <cell r="D159" t="e">
            <v>#N/A</v>
          </cell>
          <cell r="E159" t="str">
            <v>15-076</v>
          </cell>
          <cell r="F159" t="str">
            <v>Laryngoscopes, Rigid</v>
          </cell>
          <cell r="G159" t="str">
            <v>WG</v>
          </cell>
          <cell r="H159" t="str">
            <v>RT/ONCO WARD 1 (M)</v>
          </cell>
          <cell r="I159" t="str">
            <v>08WG107</v>
          </cell>
          <cell r="J159" t="str">
            <v>TREATMENT / PROCEDURE</v>
          </cell>
          <cell r="K159" t="str">
            <v>BMED</v>
          </cell>
          <cell r="L159" t="str">
            <v>Normal</v>
          </cell>
          <cell r="M159" t="str">
            <v>Not Available</v>
          </cell>
          <cell r="N159" t="str">
            <v>Not Available</v>
          </cell>
          <cell r="O159" t="str">
            <v>Not Available</v>
          </cell>
          <cell r="P159" t="str">
            <v>Not Available</v>
          </cell>
          <cell r="Q159" t="str">
            <v>Not Available</v>
          </cell>
          <cell r="R159" t="str">
            <v>Not Available</v>
          </cell>
          <cell r="S159" t="str">
            <v>ANTAH SRI RADIN SDN BHD</v>
          </cell>
          <cell r="T159" t="str">
            <v>Functioning</v>
          </cell>
          <cell r="U159" t="str">
            <v>Asset</v>
          </cell>
          <cell r="V159">
            <v>4000</v>
          </cell>
          <cell r="W159" t="str">
            <v>Estimate</v>
          </cell>
          <cell r="X159" t="str">
            <v>01/09/2010</v>
          </cell>
          <cell r="Y159" t="str">
            <v>Estimate</v>
          </cell>
          <cell r="Z159" t="str">
            <v>16/08/2013</v>
          </cell>
          <cell r="AA159" t="str">
            <v>15/08/2015</v>
          </cell>
          <cell r="AB159" t="str">
            <v>No</v>
          </cell>
          <cell r="AC159" t="str">
            <v>31/08/2013</v>
          </cell>
          <cell r="AD159" t="str">
            <v>Good</v>
          </cell>
          <cell r="AE159" t="str">
            <v>V4 - Decommissioned Installed Facility</v>
          </cell>
          <cell r="AF159">
            <v>42397</v>
          </cell>
          <cell r="AG159">
            <v>9.17</v>
          </cell>
          <cell r="AH159" t="str">
            <v>RI</v>
          </cell>
          <cell r="AI159" t="str">
            <v>Not in contract</v>
          </cell>
          <cell r="AJ159" t="str">
            <v>Not under maintenance</v>
          </cell>
          <cell r="AK159" t="str">
            <v>Will be under V4. Taken out of contract as agreed by IKN</v>
          </cell>
        </row>
        <row r="160">
          <cell r="A160" t="str">
            <v>IKN401218</v>
          </cell>
          <cell r="B160">
            <v>1216</v>
          </cell>
          <cell r="C160" t="str">
            <v>Institut Kanser Negara</v>
          </cell>
          <cell r="D160" t="str">
            <v>KKM/IKN/H/13/3025</v>
          </cell>
          <cell r="E160" t="str">
            <v>18-595</v>
          </cell>
          <cell r="F160" t="str">
            <v>Ophthalmoscopes/Otoscopes</v>
          </cell>
          <cell r="G160" t="str">
            <v>NM</v>
          </cell>
          <cell r="H160" t="str">
            <v>NUCLEAR MED (DIAGNOSTIC)</v>
          </cell>
          <cell r="I160" t="str">
            <v>03NM152</v>
          </cell>
          <cell r="J160" t="str">
            <v>NURSE STATION</v>
          </cell>
          <cell r="K160" t="str">
            <v>BMED</v>
          </cell>
          <cell r="L160" t="str">
            <v>Normal</v>
          </cell>
          <cell r="M160" t="str">
            <v>USA</v>
          </cell>
          <cell r="N160" t="str">
            <v>Welch Allyn</v>
          </cell>
          <cell r="O160" t="str">
            <v>Welch Allyn 97150-BIM</v>
          </cell>
          <cell r="P160" t="str">
            <v>N/A</v>
          </cell>
          <cell r="Q160" t="str">
            <v>Not Applicable</v>
          </cell>
          <cell r="R160" t="str">
            <v>Welch Allyn Inc</v>
          </cell>
          <cell r="S160" t="str">
            <v>Welch Allyn Malaysia Sdn Bhd</v>
          </cell>
          <cell r="T160" t="str">
            <v>Functioning</v>
          </cell>
          <cell r="U160" t="str">
            <v>Asset</v>
          </cell>
          <cell r="V160">
            <v>4690</v>
          </cell>
          <cell r="W160" t="str">
            <v>KEW</v>
          </cell>
          <cell r="X160" t="str">
            <v>01/09/2010</v>
          </cell>
          <cell r="Y160" t="str">
            <v>KEW</v>
          </cell>
          <cell r="Z160" t="str">
            <v>16/08/2013</v>
          </cell>
          <cell r="AA160" t="str">
            <v>15/08/2015</v>
          </cell>
          <cell r="AB160" t="str">
            <v>No</v>
          </cell>
          <cell r="AC160" t="str">
            <v>31/08/2013</v>
          </cell>
          <cell r="AD160" t="str">
            <v>Good</v>
          </cell>
          <cell r="AE160" t="str">
            <v>V1 - Existing / No Claim</v>
          </cell>
          <cell r="AF160">
            <v>42235</v>
          </cell>
          <cell r="AG160">
            <v>9.17</v>
          </cell>
          <cell r="AH160" t="str">
            <v>RI</v>
          </cell>
          <cell r="AI160" t="str">
            <v>Strands</v>
          </cell>
          <cell r="AJ160" t="str">
            <v>Not under maintenance</v>
          </cell>
        </row>
        <row r="161">
          <cell r="A161" t="str">
            <v>IKN401243</v>
          </cell>
          <cell r="B161">
            <v>1241</v>
          </cell>
          <cell r="C161" t="str">
            <v>Institut Kanser Negara</v>
          </cell>
          <cell r="D161" t="e">
            <v>#N/A</v>
          </cell>
          <cell r="E161" t="str">
            <v>18-595</v>
          </cell>
          <cell r="F161" t="str">
            <v>Ophthalmoscopes/Otoscopes</v>
          </cell>
          <cell r="G161" t="str">
            <v>WG</v>
          </cell>
          <cell r="H161" t="str">
            <v>RT/ONCO WARD 1 (M)</v>
          </cell>
          <cell r="I161" t="str">
            <v>08WG107</v>
          </cell>
          <cell r="J161" t="str">
            <v>TREATMENT / PROCEDURE</v>
          </cell>
          <cell r="K161" t="str">
            <v>BMED</v>
          </cell>
          <cell r="L161" t="str">
            <v>Normal</v>
          </cell>
          <cell r="M161" t="str">
            <v>USA</v>
          </cell>
          <cell r="N161" t="str">
            <v>Welch Allyn</v>
          </cell>
          <cell r="O161" t="str">
            <v>Welch Allyn 97150-BIM</v>
          </cell>
          <cell r="P161" t="str">
            <v>N/A</v>
          </cell>
          <cell r="Q161" t="str">
            <v>Not Applicable</v>
          </cell>
          <cell r="R161" t="str">
            <v>Welch Allyn Inc</v>
          </cell>
          <cell r="S161" t="str">
            <v>Welch Allyn Malaysia Sdn Bhd</v>
          </cell>
          <cell r="T161" t="str">
            <v>Functioning</v>
          </cell>
          <cell r="U161" t="str">
            <v>Asset</v>
          </cell>
          <cell r="V161">
            <v>4690</v>
          </cell>
          <cell r="W161" t="str">
            <v>KEW</v>
          </cell>
          <cell r="X161" t="str">
            <v>01/09/2010</v>
          </cell>
          <cell r="Y161" t="str">
            <v>KEW</v>
          </cell>
          <cell r="Z161" t="str">
            <v>16/08/2013</v>
          </cell>
          <cell r="AA161" t="str">
            <v>15/08/2015</v>
          </cell>
          <cell r="AB161" t="str">
            <v>No</v>
          </cell>
          <cell r="AC161" t="str">
            <v>31/08/2013</v>
          </cell>
          <cell r="AD161" t="str">
            <v>Good</v>
          </cell>
          <cell r="AE161" t="str">
            <v>V1 - Existing / No Claim</v>
          </cell>
          <cell r="AF161">
            <v>42235</v>
          </cell>
          <cell r="AG161">
            <v>9.17</v>
          </cell>
          <cell r="AH161" t="str">
            <v>RI</v>
          </cell>
          <cell r="AI161" t="str">
            <v>Not in contract</v>
          </cell>
          <cell r="AJ161" t="str">
            <v>Not under maintenance</v>
          </cell>
          <cell r="AK161" t="str">
            <v>Will be under V4. Taken out of contract as agreed by IKN</v>
          </cell>
        </row>
        <row r="162">
          <cell r="A162" t="str">
            <v>IKN401245</v>
          </cell>
          <cell r="B162">
            <v>1243</v>
          </cell>
          <cell r="C162" t="str">
            <v>Institut Kanser Negara</v>
          </cell>
          <cell r="D162" t="e">
            <v>#N/A</v>
          </cell>
          <cell r="E162" t="str">
            <v>16-158</v>
          </cell>
          <cell r="F162" t="str">
            <v>Sphygmomanometers, Mercury</v>
          </cell>
          <cell r="G162" t="str">
            <v>NM</v>
          </cell>
          <cell r="H162" t="str">
            <v>NUCLEAR MED (DIAGNOSTIC)</v>
          </cell>
          <cell r="I162" t="str">
            <v>03NM109</v>
          </cell>
          <cell r="J162" t="str">
            <v>TREATMENT 2 (RAS) (-VE)</v>
          </cell>
          <cell r="K162" t="str">
            <v>BMED</v>
          </cell>
          <cell r="L162" t="str">
            <v>Normal</v>
          </cell>
          <cell r="M162" t="str">
            <v>Germany</v>
          </cell>
          <cell r="N162" t="str">
            <v>Erka</v>
          </cell>
          <cell r="O162" t="str">
            <v>Erkameter 3000</v>
          </cell>
          <cell r="P162" t="str">
            <v>12508899</v>
          </cell>
          <cell r="Q162" t="str">
            <v>Not Applicable</v>
          </cell>
          <cell r="R162" t="str">
            <v>Erka GmbH &amp; Co</v>
          </cell>
          <cell r="S162" t="str">
            <v>Acucare Systems (M) Sdn bhd</v>
          </cell>
          <cell r="T162" t="str">
            <v>Functioning</v>
          </cell>
          <cell r="U162" t="str">
            <v>Asset</v>
          </cell>
          <cell r="V162">
            <v>505</v>
          </cell>
          <cell r="W162" t="str">
            <v>KEW</v>
          </cell>
          <cell r="X162" t="str">
            <v>01/09/2010</v>
          </cell>
          <cell r="Y162" t="str">
            <v>KEW</v>
          </cell>
          <cell r="Z162" t="str">
            <v>16/08/2013</v>
          </cell>
          <cell r="AA162" t="str">
            <v>15/08/2015</v>
          </cell>
          <cell r="AB162" t="str">
            <v>No</v>
          </cell>
          <cell r="AC162" t="str">
            <v>31/08/2013</v>
          </cell>
          <cell r="AD162" t="str">
            <v>Good</v>
          </cell>
          <cell r="AE162" t="str">
            <v>V4 - Decommissioned Installed Facility</v>
          </cell>
          <cell r="AF162">
            <v>42235</v>
          </cell>
          <cell r="AG162">
            <v>9.17</v>
          </cell>
          <cell r="AH162" t="str">
            <v>PPM</v>
          </cell>
          <cell r="AI162" t="str">
            <v>Not in contract</v>
          </cell>
          <cell r="AJ162" t="str">
            <v>Not under maintenance</v>
          </cell>
          <cell r="AK162" t="e">
            <v>#N/A</v>
          </cell>
        </row>
        <row r="163">
          <cell r="A163" t="str">
            <v>IKN401267</v>
          </cell>
          <cell r="B163">
            <v>1263</v>
          </cell>
          <cell r="C163" t="str">
            <v>Institut Kanser Negara</v>
          </cell>
          <cell r="D163" t="e">
            <v>#N/A</v>
          </cell>
          <cell r="E163" t="str">
            <v>15-076</v>
          </cell>
          <cell r="F163" t="str">
            <v>Laryngoscopes, Rigid</v>
          </cell>
          <cell r="G163" t="str">
            <v>RT</v>
          </cell>
          <cell r="H163" t="str">
            <v>RADIATION TREATMENT UNIT</v>
          </cell>
          <cell r="I163" t="str">
            <v>01RT243</v>
          </cell>
          <cell r="J163" t="str">
            <v>NURSE STATION</v>
          </cell>
          <cell r="K163" t="str">
            <v>BMED</v>
          </cell>
          <cell r="L163" t="str">
            <v>Normal</v>
          </cell>
          <cell r="M163" t="str">
            <v>Not Available</v>
          </cell>
          <cell r="N163" t="str">
            <v>Not Available</v>
          </cell>
          <cell r="O163" t="str">
            <v>Not Available</v>
          </cell>
          <cell r="P163" t="str">
            <v>Not Available</v>
          </cell>
          <cell r="Q163" t="str">
            <v>Not Available</v>
          </cell>
          <cell r="R163" t="str">
            <v>Not Available</v>
          </cell>
          <cell r="S163" t="str">
            <v>Antah Sir Radin Sdn. Bhd.</v>
          </cell>
          <cell r="T163" t="str">
            <v>Functioning</v>
          </cell>
          <cell r="U163" t="str">
            <v>Asset</v>
          </cell>
          <cell r="V163">
            <v>4000</v>
          </cell>
          <cell r="W163" t="str">
            <v>KEW</v>
          </cell>
          <cell r="X163" t="str">
            <v>01/09/2010</v>
          </cell>
          <cell r="Y163" t="str">
            <v>KEW</v>
          </cell>
          <cell r="Z163" t="str">
            <v>16/08/2013</v>
          </cell>
          <cell r="AA163" t="str">
            <v>15/08/2015</v>
          </cell>
          <cell r="AB163" t="str">
            <v>No</v>
          </cell>
          <cell r="AC163" t="str">
            <v>16/08/2013</v>
          </cell>
          <cell r="AD163" t="str">
            <v>Good</v>
          </cell>
          <cell r="AE163" t="str">
            <v>V4 - Decommissioned Installed Facility</v>
          </cell>
          <cell r="AF163">
            <v>42681</v>
          </cell>
          <cell r="AG163">
            <v>9.17</v>
          </cell>
          <cell r="AH163" t="str">
            <v>RI</v>
          </cell>
          <cell r="AI163" t="str">
            <v>Not in contract</v>
          </cell>
          <cell r="AJ163" t="str">
            <v>Not under maintenance</v>
          </cell>
          <cell r="AK163" t="str">
            <v>Will be under V4. Taken out of contract as agreed by IKN</v>
          </cell>
        </row>
        <row r="164">
          <cell r="A164" t="str">
            <v>IKN401268</v>
          </cell>
          <cell r="B164">
            <v>1264</v>
          </cell>
          <cell r="C164" t="str">
            <v>Institut Kanser Negara</v>
          </cell>
          <cell r="D164" t="e">
            <v>#N/A</v>
          </cell>
          <cell r="E164" t="str">
            <v>15-076</v>
          </cell>
          <cell r="F164" t="str">
            <v>Laryngoscopes, Rigid</v>
          </cell>
          <cell r="G164" t="str">
            <v>RT</v>
          </cell>
          <cell r="H164" t="str">
            <v>RADIATION TREATMENT UNIT</v>
          </cell>
          <cell r="I164" t="str">
            <v>01RT243</v>
          </cell>
          <cell r="J164" t="str">
            <v>NURSE STATION</v>
          </cell>
          <cell r="K164" t="str">
            <v>BMED</v>
          </cell>
          <cell r="L164" t="str">
            <v>Normal</v>
          </cell>
          <cell r="M164" t="str">
            <v>Not Available</v>
          </cell>
          <cell r="N164" t="str">
            <v>Not Available</v>
          </cell>
          <cell r="O164" t="str">
            <v>Not Available</v>
          </cell>
          <cell r="P164" t="str">
            <v>Not Available</v>
          </cell>
          <cell r="Q164" t="str">
            <v>Not Available</v>
          </cell>
          <cell r="R164" t="str">
            <v>Not Available</v>
          </cell>
          <cell r="S164" t="str">
            <v>Antah Sir Radin Sdn. Bhd.</v>
          </cell>
          <cell r="T164" t="str">
            <v>Functioning</v>
          </cell>
          <cell r="U164" t="str">
            <v>Asset</v>
          </cell>
          <cell r="V164">
            <v>4000</v>
          </cell>
          <cell r="W164" t="str">
            <v>KEW</v>
          </cell>
          <cell r="X164" t="str">
            <v>01/09/2010</v>
          </cell>
          <cell r="Y164" t="str">
            <v>KEW</v>
          </cell>
          <cell r="Z164" t="str">
            <v>16/08/2013</v>
          </cell>
          <cell r="AA164" t="str">
            <v>15/08/2015</v>
          </cell>
          <cell r="AB164" t="str">
            <v>No</v>
          </cell>
          <cell r="AC164" t="str">
            <v>16/08/2013</v>
          </cell>
          <cell r="AD164" t="str">
            <v>Good</v>
          </cell>
          <cell r="AE164" t="str">
            <v>V4 - Decommissioned Installed Facility</v>
          </cell>
          <cell r="AF164">
            <v>42681</v>
          </cell>
          <cell r="AG164">
            <v>9.17</v>
          </cell>
          <cell r="AH164" t="str">
            <v>RI</v>
          </cell>
          <cell r="AI164" t="str">
            <v>Not in contract</v>
          </cell>
          <cell r="AJ164" t="str">
            <v>Not under maintenance</v>
          </cell>
          <cell r="AK164" t="str">
            <v>Will be under V4. Taken out of contract as agreed by IKN</v>
          </cell>
        </row>
        <row r="165">
          <cell r="A165" t="str">
            <v>IKN401269</v>
          </cell>
          <cell r="B165">
            <v>1265</v>
          </cell>
          <cell r="C165" t="str">
            <v>Institut Kanser Negara</v>
          </cell>
          <cell r="D165" t="e">
            <v>#N/A</v>
          </cell>
          <cell r="E165" t="str">
            <v>15-076</v>
          </cell>
          <cell r="F165" t="str">
            <v>Laryngoscopes, Rigid</v>
          </cell>
          <cell r="G165" t="str">
            <v>AE</v>
          </cell>
          <cell r="H165" t="str">
            <v>EMERGENCY UNIT</v>
          </cell>
          <cell r="I165" t="str">
            <v>01AE112</v>
          </cell>
          <cell r="J165" t="str">
            <v>EMERGENCY TROLLEY BAY</v>
          </cell>
          <cell r="K165" t="str">
            <v>BMED</v>
          </cell>
          <cell r="L165" t="str">
            <v>Normal</v>
          </cell>
          <cell r="M165" t="str">
            <v>Not Available</v>
          </cell>
          <cell r="N165" t="str">
            <v>Not Available</v>
          </cell>
          <cell r="O165" t="str">
            <v>Not Available</v>
          </cell>
          <cell r="P165" t="str">
            <v>Not Available</v>
          </cell>
          <cell r="Q165" t="str">
            <v>Not Available</v>
          </cell>
          <cell r="R165" t="str">
            <v>Not Available</v>
          </cell>
          <cell r="S165" t="str">
            <v>Antah Sir Radin Sdn. Bhd.</v>
          </cell>
          <cell r="T165" t="str">
            <v>Functioning</v>
          </cell>
          <cell r="U165" t="str">
            <v>Asset</v>
          </cell>
          <cell r="V165">
            <v>4000</v>
          </cell>
          <cell r="W165" t="str">
            <v>KEW</v>
          </cell>
          <cell r="X165" t="str">
            <v>01/09/2010</v>
          </cell>
          <cell r="Y165" t="str">
            <v>KEW</v>
          </cell>
          <cell r="Z165" t="str">
            <v>16/08/2013</v>
          </cell>
          <cell r="AA165" t="str">
            <v>15/08/2015</v>
          </cell>
          <cell r="AB165" t="str">
            <v>No</v>
          </cell>
          <cell r="AC165" t="str">
            <v>16/08/2013</v>
          </cell>
          <cell r="AD165" t="str">
            <v>Good</v>
          </cell>
          <cell r="AE165" t="str">
            <v>V4 - Decommissioned Installed Facility</v>
          </cell>
          <cell r="AF165">
            <v>43543</v>
          </cell>
          <cell r="AG165">
            <v>9.17</v>
          </cell>
          <cell r="AH165" t="str">
            <v>RI</v>
          </cell>
          <cell r="AI165" t="str">
            <v>Not in contract</v>
          </cell>
          <cell r="AJ165" t="str">
            <v>Not under maintenance</v>
          </cell>
          <cell r="AK165" t="str">
            <v>Will be under V4. Taken out of contract as agreed by IKN</v>
          </cell>
        </row>
        <row r="166">
          <cell r="A166" t="str">
            <v>IKN401270</v>
          </cell>
          <cell r="B166">
            <v>1266</v>
          </cell>
          <cell r="C166" t="str">
            <v>Institut Kanser Negara</v>
          </cell>
          <cell r="D166" t="e">
            <v>#N/A</v>
          </cell>
          <cell r="E166" t="str">
            <v>15-076</v>
          </cell>
          <cell r="F166" t="str">
            <v>Laryngoscopes, Rigid</v>
          </cell>
          <cell r="G166" t="str">
            <v>AE</v>
          </cell>
          <cell r="H166" t="str">
            <v>EMERGENCY UNIT</v>
          </cell>
          <cell r="I166" t="str">
            <v>01AE112</v>
          </cell>
          <cell r="J166" t="str">
            <v>EMERGENCY TROLLEY BAY</v>
          </cell>
          <cell r="K166" t="str">
            <v>BMED</v>
          </cell>
          <cell r="L166" t="str">
            <v>Normal</v>
          </cell>
          <cell r="M166" t="str">
            <v>Not Available</v>
          </cell>
          <cell r="N166" t="str">
            <v>Not Available</v>
          </cell>
          <cell r="O166" t="str">
            <v>Not Available</v>
          </cell>
          <cell r="P166" t="str">
            <v>Not Available</v>
          </cell>
          <cell r="Q166" t="str">
            <v>Not Available</v>
          </cell>
          <cell r="R166" t="str">
            <v>Not Available</v>
          </cell>
          <cell r="S166" t="str">
            <v>Not Available</v>
          </cell>
          <cell r="T166" t="str">
            <v>Functioning</v>
          </cell>
          <cell r="U166" t="str">
            <v>Asset</v>
          </cell>
          <cell r="V166">
            <v>4000</v>
          </cell>
          <cell r="W166" t="str">
            <v>KEW</v>
          </cell>
          <cell r="X166" t="str">
            <v>01/09/2010</v>
          </cell>
          <cell r="Y166" t="str">
            <v>KEW</v>
          </cell>
          <cell r="Z166" t="str">
            <v>16/08/2013</v>
          </cell>
          <cell r="AA166" t="str">
            <v>15/08/2015</v>
          </cell>
          <cell r="AB166" t="str">
            <v>No</v>
          </cell>
          <cell r="AC166" t="str">
            <v>16/08/2013</v>
          </cell>
          <cell r="AD166" t="str">
            <v>Good</v>
          </cell>
          <cell r="AE166" t="str">
            <v>V4 - Decommissioned Installed Facility</v>
          </cell>
          <cell r="AF166">
            <v>42681</v>
          </cell>
          <cell r="AG166">
            <v>9.17</v>
          </cell>
          <cell r="AH166" t="str">
            <v>RI</v>
          </cell>
          <cell r="AI166" t="str">
            <v>Not in contract</v>
          </cell>
          <cell r="AJ166" t="str">
            <v>Not under maintenance</v>
          </cell>
          <cell r="AK166" t="str">
            <v>Will be under V4. Taken out of contract as agreed by IKN</v>
          </cell>
        </row>
        <row r="167">
          <cell r="A167" t="str">
            <v>IKN401271</v>
          </cell>
          <cell r="B167">
            <v>1267</v>
          </cell>
          <cell r="C167" t="str">
            <v>Institut Kanser Negara</v>
          </cell>
          <cell r="D167" t="e">
            <v>#N/A</v>
          </cell>
          <cell r="E167" t="str">
            <v>15-076</v>
          </cell>
          <cell r="F167" t="str">
            <v>Laryngoscopes, Rigid</v>
          </cell>
          <cell r="G167" t="str">
            <v>AE</v>
          </cell>
          <cell r="H167" t="str">
            <v>EMERGENCY UNIT</v>
          </cell>
          <cell r="I167" t="str">
            <v>01AE119</v>
          </cell>
          <cell r="J167" t="str">
            <v>RESUSCITATION/TREATMENT</v>
          </cell>
          <cell r="K167" t="str">
            <v>BMED</v>
          </cell>
          <cell r="L167" t="str">
            <v>Normal</v>
          </cell>
          <cell r="M167" t="str">
            <v>Not Available</v>
          </cell>
          <cell r="N167" t="str">
            <v>Not Available</v>
          </cell>
          <cell r="O167" t="str">
            <v>Not Available</v>
          </cell>
          <cell r="P167" t="str">
            <v>Not Available</v>
          </cell>
          <cell r="Q167" t="str">
            <v>Not Available</v>
          </cell>
          <cell r="R167" t="str">
            <v>Not Available</v>
          </cell>
          <cell r="S167" t="str">
            <v>Antah Sir Radin Sdn. Bhd.</v>
          </cell>
          <cell r="T167" t="str">
            <v>Functioning</v>
          </cell>
          <cell r="U167" t="str">
            <v>Asset</v>
          </cell>
          <cell r="V167">
            <v>4000</v>
          </cell>
          <cell r="W167" t="str">
            <v>KEW</v>
          </cell>
          <cell r="X167" t="str">
            <v>01/09/2010</v>
          </cell>
          <cell r="Y167" t="str">
            <v>KEW</v>
          </cell>
          <cell r="Z167" t="str">
            <v>16/08/2013</v>
          </cell>
          <cell r="AA167" t="str">
            <v>15/08/2015</v>
          </cell>
          <cell r="AB167" t="str">
            <v>No</v>
          </cell>
          <cell r="AC167" t="str">
            <v>16/08/2013</v>
          </cell>
          <cell r="AD167" t="str">
            <v>Good</v>
          </cell>
          <cell r="AE167" t="str">
            <v>V4 - Decommissioned Installed Facility</v>
          </cell>
          <cell r="AF167">
            <v>42681</v>
          </cell>
          <cell r="AG167">
            <v>9.17</v>
          </cell>
          <cell r="AH167" t="str">
            <v>RI</v>
          </cell>
          <cell r="AI167" t="str">
            <v>Not in contract</v>
          </cell>
          <cell r="AJ167" t="str">
            <v>Not under maintenance</v>
          </cell>
          <cell r="AK167" t="str">
            <v>Will be under V4. Taken out of contract as agreed by IKN</v>
          </cell>
        </row>
        <row r="168">
          <cell r="A168" t="str">
            <v>IKN401272</v>
          </cell>
          <cell r="B168">
            <v>1268</v>
          </cell>
          <cell r="C168" t="str">
            <v>Institut Kanser Negara</v>
          </cell>
          <cell r="D168" t="e">
            <v>#N/A</v>
          </cell>
          <cell r="E168" t="str">
            <v>15-076</v>
          </cell>
          <cell r="F168" t="str">
            <v>Laryngoscopes, Rigid</v>
          </cell>
          <cell r="G168" t="str">
            <v>AE</v>
          </cell>
          <cell r="H168" t="str">
            <v>EMERGENCY UNIT</v>
          </cell>
          <cell r="I168" t="str">
            <v>01AE119</v>
          </cell>
          <cell r="J168" t="str">
            <v>RESUSCITATION/TREATMENT</v>
          </cell>
          <cell r="K168" t="str">
            <v>BMED</v>
          </cell>
          <cell r="L168" t="str">
            <v>Normal</v>
          </cell>
          <cell r="M168" t="str">
            <v>Not Available</v>
          </cell>
          <cell r="N168" t="str">
            <v>Not Available</v>
          </cell>
          <cell r="O168" t="str">
            <v>Not Available</v>
          </cell>
          <cell r="P168" t="str">
            <v>Not Available</v>
          </cell>
          <cell r="Q168" t="str">
            <v>Not Available</v>
          </cell>
          <cell r="R168" t="str">
            <v>Not Available</v>
          </cell>
          <cell r="S168" t="str">
            <v>Antah Sir Radin Sdn. Bhd.</v>
          </cell>
          <cell r="T168" t="str">
            <v>Functioning</v>
          </cell>
          <cell r="U168" t="str">
            <v>Asset</v>
          </cell>
          <cell r="V168">
            <v>4000</v>
          </cell>
          <cell r="W168" t="str">
            <v>KEW</v>
          </cell>
          <cell r="X168" t="str">
            <v>01/09/2010</v>
          </cell>
          <cell r="Y168" t="str">
            <v>KEW</v>
          </cell>
          <cell r="Z168" t="str">
            <v>16/08/2013</v>
          </cell>
          <cell r="AA168" t="str">
            <v>15/08/2015</v>
          </cell>
          <cell r="AB168" t="str">
            <v>No</v>
          </cell>
          <cell r="AC168" t="str">
            <v>16/08/2013</v>
          </cell>
          <cell r="AD168" t="str">
            <v>Good</v>
          </cell>
          <cell r="AE168" t="str">
            <v>V4 - Decommissioned Installed Facility</v>
          </cell>
          <cell r="AF168">
            <v>42681</v>
          </cell>
          <cell r="AG168">
            <v>9.17</v>
          </cell>
          <cell r="AH168" t="str">
            <v>RI</v>
          </cell>
          <cell r="AI168" t="str">
            <v>Not in contract</v>
          </cell>
          <cell r="AJ168" t="str">
            <v>Not under maintenance</v>
          </cell>
          <cell r="AK168" t="str">
            <v>Will be under V4. Taken out of contract as agreed by IKN</v>
          </cell>
        </row>
        <row r="169">
          <cell r="A169" t="str">
            <v>IKN401283</v>
          </cell>
          <cell r="B169">
            <v>1279</v>
          </cell>
          <cell r="C169" t="str">
            <v>Institut Kanser Negara</v>
          </cell>
          <cell r="D169" t="e">
            <v>#N/A</v>
          </cell>
          <cell r="E169" t="str">
            <v>15-076</v>
          </cell>
          <cell r="F169" t="str">
            <v>Laryngoscopes, Rigid</v>
          </cell>
          <cell r="G169" t="str">
            <v>RT</v>
          </cell>
          <cell r="H169" t="str">
            <v>RADIATION TREATMENT UNIT</v>
          </cell>
          <cell r="I169" t="str">
            <v>01RT116</v>
          </cell>
          <cell r="J169" t="str">
            <v>CT SIMULATOR 1</v>
          </cell>
          <cell r="K169" t="str">
            <v>BMED</v>
          </cell>
          <cell r="L169" t="str">
            <v>Normal</v>
          </cell>
          <cell r="M169" t="str">
            <v>Not Available</v>
          </cell>
          <cell r="N169" t="str">
            <v>Not Available</v>
          </cell>
          <cell r="O169" t="str">
            <v>Not Available</v>
          </cell>
          <cell r="P169" t="str">
            <v>Not Available</v>
          </cell>
          <cell r="Q169" t="str">
            <v>Not Available</v>
          </cell>
          <cell r="R169" t="str">
            <v>Not Available</v>
          </cell>
          <cell r="S169" t="str">
            <v>Not Available</v>
          </cell>
          <cell r="T169" t="str">
            <v>Functioning</v>
          </cell>
          <cell r="U169" t="str">
            <v>Asset</v>
          </cell>
          <cell r="V169">
            <v>4000</v>
          </cell>
          <cell r="W169" t="str">
            <v>KEW</v>
          </cell>
          <cell r="X169" t="str">
            <v>01/09/2010</v>
          </cell>
          <cell r="Y169" t="str">
            <v>KEW</v>
          </cell>
          <cell r="Z169" t="str">
            <v>16/08/2013</v>
          </cell>
          <cell r="AA169" t="str">
            <v>15/08/2015</v>
          </cell>
          <cell r="AB169" t="str">
            <v>No</v>
          </cell>
          <cell r="AC169" t="str">
            <v>16/08/2013</v>
          </cell>
          <cell r="AD169" t="str">
            <v>Good</v>
          </cell>
          <cell r="AE169" t="str">
            <v>V4 - Decommissioned Installed Facility</v>
          </cell>
          <cell r="AF169">
            <v>42681</v>
          </cell>
          <cell r="AG169">
            <v>9.17</v>
          </cell>
          <cell r="AH169" t="str">
            <v>RI</v>
          </cell>
          <cell r="AI169" t="str">
            <v>Not in contract</v>
          </cell>
          <cell r="AJ169" t="str">
            <v>Not under maintenance</v>
          </cell>
          <cell r="AK169" t="str">
            <v>Will be under V4. Taken out of contract as agreed by IKN</v>
          </cell>
        </row>
        <row r="170">
          <cell r="A170" t="str">
            <v>IKN401284</v>
          </cell>
          <cell r="B170">
            <v>1280</v>
          </cell>
          <cell r="C170" t="str">
            <v>Institut Kanser Negara</v>
          </cell>
          <cell r="D170" t="e">
            <v>#N/A</v>
          </cell>
          <cell r="E170" t="str">
            <v>15-076</v>
          </cell>
          <cell r="F170" t="str">
            <v>Laryngoscopes, Rigid</v>
          </cell>
          <cell r="G170" t="str">
            <v>RT</v>
          </cell>
          <cell r="H170" t="str">
            <v>RADIATION TREATMENT UNIT</v>
          </cell>
          <cell r="I170" t="str">
            <v>01RT116</v>
          </cell>
          <cell r="J170" t="str">
            <v>CT SIMULATOR 1</v>
          </cell>
          <cell r="K170" t="str">
            <v>BMED</v>
          </cell>
          <cell r="L170" t="str">
            <v>Normal</v>
          </cell>
          <cell r="M170" t="str">
            <v>Not Available</v>
          </cell>
          <cell r="N170" t="str">
            <v>Not Available</v>
          </cell>
          <cell r="O170" t="str">
            <v>Not Available</v>
          </cell>
          <cell r="P170" t="str">
            <v>Not Available</v>
          </cell>
          <cell r="Q170" t="str">
            <v>Not Available</v>
          </cell>
          <cell r="R170" t="str">
            <v>Not Available</v>
          </cell>
          <cell r="S170" t="str">
            <v>Not Available</v>
          </cell>
          <cell r="T170" t="str">
            <v>Functioning</v>
          </cell>
          <cell r="U170" t="str">
            <v>Asset</v>
          </cell>
          <cell r="V170">
            <v>4000</v>
          </cell>
          <cell r="W170" t="str">
            <v>KEW</v>
          </cell>
          <cell r="X170" t="str">
            <v>01/09/2010</v>
          </cell>
          <cell r="Y170" t="str">
            <v>KEW</v>
          </cell>
          <cell r="Z170" t="str">
            <v>16/08/2013</v>
          </cell>
          <cell r="AA170" t="str">
            <v>15/08/2015</v>
          </cell>
          <cell r="AB170" t="str">
            <v>No</v>
          </cell>
          <cell r="AC170" t="str">
            <v>16/08/2013</v>
          </cell>
          <cell r="AD170" t="str">
            <v>Good</v>
          </cell>
          <cell r="AE170" t="str">
            <v>V4 - Decommissioned Installed Facility</v>
          </cell>
          <cell r="AF170">
            <v>42681</v>
          </cell>
          <cell r="AG170">
            <v>9.17</v>
          </cell>
          <cell r="AH170" t="str">
            <v>RI</v>
          </cell>
          <cell r="AI170" t="str">
            <v>Not in contract</v>
          </cell>
          <cell r="AJ170" t="str">
            <v>Not under maintenance</v>
          </cell>
          <cell r="AK170" t="str">
            <v>Will be under V4. Taken out of contract as agreed by IKN</v>
          </cell>
        </row>
        <row r="171">
          <cell r="A171" t="str">
            <v>IKN401285</v>
          </cell>
          <cell r="B171">
            <v>1281</v>
          </cell>
          <cell r="C171" t="str">
            <v>Institut Kanser Negara</v>
          </cell>
          <cell r="D171" t="e">
            <v>#N/A</v>
          </cell>
          <cell r="E171" t="str">
            <v>15-076</v>
          </cell>
          <cell r="F171" t="str">
            <v>Laryngoscopes, Rigid</v>
          </cell>
          <cell r="G171" t="str">
            <v>RT</v>
          </cell>
          <cell r="H171" t="str">
            <v>RADIATION TREATMENT UNIT</v>
          </cell>
          <cell r="I171" t="str">
            <v>01RT237</v>
          </cell>
          <cell r="J171" t="str">
            <v>N/S</v>
          </cell>
          <cell r="K171" t="str">
            <v>BMED</v>
          </cell>
          <cell r="L171" t="str">
            <v>Normal</v>
          </cell>
          <cell r="M171" t="str">
            <v>Not Available</v>
          </cell>
          <cell r="N171" t="str">
            <v>Not Available</v>
          </cell>
          <cell r="O171" t="str">
            <v>Not Available</v>
          </cell>
          <cell r="P171" t="str">
            <v>Not Available</v>
          </cell>
          <cell r="Q171" t="str">
            <v>Not Available</v>
          </cell>
          <cell r="R171" t="str">
            <v>Not Available</v>
          </cell>
          <cell r="S171" t="str">
            <v>Antah Sir Radin Sdn. Bhd.</v>
          </cell>
          <cell r="T171" t="str">
            <v>Functioning</v>
          </cell>
          <cell r="U171" t="str">
            <v>Asset</v>
          </cell>
          <cell r="V171">
            <v>4000</v>
          </cell>
          <cell r="W171" t="str">
            <v>KEW</v>
          </cell>
          <cell r="X171" t="str">
            <v>01/09/2010</v>
          </cell>
          <cell r="Y171" t="str">
            <v>KEW</v>
          </cell>
          <cell r="Z171" t="str">
            <v>16/08/2013</v>
          </cell>
          <cell r="AA171" t="str">
            <v>15/08/2015</v>
          </cell>
          <cell r="AB171" t="str">
            <v>No</v>
          </cell>
          <cell r="AC171" t="str">
            <v>16/08/2013</v>
          </cell>
          <cell r="AD171" t="str">
            <v>Good</v>
          </cell>
          <cell r="AE171" t="str">
            <v>V4 - Decommissioned Installed Facility</v>
          </cell>
          <cell r="AF171">
            <v>42681</v>
          </cell>
          <cell r="AG171">
            <v>9.17</v>
          </cell>
          <cell r="AH171" t="str">
            <v>RI</v>
          </cell>
          <cell r="AI171" t="str">
            <v>Not in contract</v>
          </cell>
          <cell r="AJ171" t="str">
            <v>Not under maintenance</v>
          </cell>
          <cell r="AK171" t="str">
            <v>Will be under V4. Taken out of contract as agreed by IKN</v>
          </cell>
        </row>
        <row r="172">
          <cell r="A172" t="str">
            <v>IKN401286</v>
          </cell>
          <cell r="B172">
            <v>1282</v>
          </cell>
          <cell r="C172" t="str">
            <v>Institut Kanser Negara</v>
          </cell>
          <cell r="D172" t="e">
            <v>#N/A</v>
          </cell>
          <cell r="E172" t="str">
            <v>15-076</v>
          </cell>
          <cell r="F172" t="str">
            <v>Laryngoscopes, Rigid</v>
          </cell>
          <cell r="G172" t="str">
            <v>RT</v>
          </cell>
          <cell r="H172" t="str">
            <v>RADIATION TREATMENT UNIT</v>
          </cell>
          <cell r="I172" t="str">
            <v>01RT237</v>
          </cell>
          <cell r="J172" t="str">
            <v>N/S</v>
          </cell>
          <cell r="K172" t="str">
            <v>BMED</v>
          </cell>
          <cell r="L172" t="str">
            <v>Normal</v>
          </cell>
          <cell r="M172" t="str">
            <v>Not Available</v>
          </cell>
          <cell r="N172" t="str">
            <v>Not Available</v>
          </cell>
          <cell r="O172" t="str">
            <v>Not Available</v>
          </cell>
          <cell r="P172" t="str">
            <v>Not Available</v>
          </cell>
          <cell r="Q172" t="str">
            <v>Not Available</v>
          </cell>
          <cell r="R172" t="str">
            <v>Not Available</v>
          </cell>
          <cell r="S172" t="str">
            <v>Antah Sir Radin Sdn. Bhd.</v>
          </cell>
          <cell r="T172" t="str">
            <v>Functioning</v>
          </cell>
          <cell r="U172" t="str">
            <v>Asset</v>
          </cell>
          <cell r="V172">
            <v>4000</v>
          </cell>
          <cell r="W172" t="str">
            <v>KEW</v>
          </cell>
          <cell r="X172" t="str">
            <v>01/09/2010</v>
          </cell>
          <cell r="Y172" t="str">
            <v>KEW</v>
          </cell>
          <cell r="Z172" t="str">
            <v>16/08/2013</v>
          </cell>
          <cell r="AA172" t="str">
            <v>15/08/2015</v>
          </cell>
          <cell r="AB172" t="str">
            <v>No</v>
          </cell>
          <cell r="AC172" t="str">
            <v>16/08/2013</v>
          </cell>
          <cell r="AD172" t="str">
            <v>Good</v>
          </cell>
          <cell r="AE172" t="str">
            <v>V4 - Decommissioned Installed Facility</v>
          </cell>
          <cell r="AF172">
            <v>42681</v>
          </cell>
          <cell r="AG172">
            <v>9.17</v>
          </cell>
          <cell r="AH172" t="str">
            <v>RI</v>
          </cell>
          <cell r="AI172" t="str">
            <v>Not in contract</v>
          </cell>
          <cell r="AJ172" t="str">
            <v>Not under maintenance</v>
          </cell>
          <cell r="AK172" t="str">
            <v>Will be under V4. Taken out of contract as agreed by IKN</v>
          </cell>
        </row>
        <row r="173">
          <cell r="A173" t="str">
            <v>IKN401293</v>
          </cell>
          <cell r="B173">
            <v>1289</v>
          </cell>
          <cell r="C173" t="str">
            <v>Institut Kanser Negara</v>
          </cell>
          <cell r="D173" t="e">
            <v>#N/A</v>
          </cell>
          <cell r="E173" t="str">
            <v>16-158</v>
          </cell>
          <cell r="F173" t="str">
            <v>Sphygmomanometers, Mercury</v>
          </cell>
          <cell r="G173" t="str">
            <v>IC</v>
          </cell>
          <cell r="H173" t="str">
            <v>INTENSIVE CARE UNIT</v>
          </cell>
          <cell r="I173" t="str">
            <v>05IC121</v>
          </cell>
          <cell r="J173" t="str">
            <v>MEDICATION PREPARATION</v>
          </cell>
          <cell r="K173" t="str">
            <v>BMED</v>
          </cell>
          <cell r="L173" t="str">
            <v>Critical</v>
          </cell>
          <cell r="M173" t="str">
            <v>Germany</v>
          </cell>
          <cell r="N173" t="str">
            <v>Erka</v>
          </cell>
          <cell r="O173" t="str">
            <v>Erkameter 3000</v>
          </cell>
          <cell r="P173" t="str">
            <v>13500753</v>
          </cell>
          <cell r="Q173" t="str">
            <v>Not Available</v>
          </cell>
          <cell r="R173" t="str">
            <v>Erka GmbH &amp; Co</v>
          </cell>
          <cell r="S173" t="str">
            <v>Acucare Sdn. Bhd</v>
          </cell>
          <cell r="T173" t="str">
            <v>Functioning</v>
          </cell>
          <cell r="U173" t="str">
            <v>Asset</v>
          </cell>
          <cell r="V173">
            <v>505</v>
          </cell>
          <cell r="W173" t="str">
            <v>KEW</v>
          </cell>
          <cell r="X173" t="str">
            <v>01/09/2010</v>
          </cell>
          <cell r="Y173" t="str">
            <v>KEW</v>
          </cell>
          <cell r="Z173" t="str">
            <v>16/08/2013</v>
          </cell>
          <cell r="AA173" t="str">
            <v>15/08/2015</v>
          </cell>
          <cell r="AB173" t="str">
            <v>No</v>
          </cell>
          <cell r="AC173" t="str">
            <v>31/08/2013</v>
          </cell>
          <cell r="AD173" t="str">
            <v>Good</v>
          </cell>
          <cell r="AE173" t="str">
            <v>V4 - Decommissioned Installed Facility</v>
          </cell>
          <cell r="AF173">
            <v>42590</v>
          </cell>
          <cell r="AG173">
            <v>9.17</v>
          </cell>
          <cell r="AH173" t="str">
            <v>PPM</v>
          </cell>
          <cell r="AI173" t="str">
            <v>Not in contract</v>
          </cell>
          <cell r="AJ173" t="str">
            <v>Not under maintenance</v>
          </cell>
          <cell r="AK173" t="e">
            <v>#N/A</v>
          </cell>
        </row>
        <row r="174">
          <cell r="A174" t="str">
            <v>IKN401294</v>
          </cell>
          <cell r="B174">
            <v>1290</v>
          </cell>
          <cell r="C174" t="str">
            <v>Institut Kanser Negara</v>
          </cell>
          <cell r="D174" t="e">
            <v>#N/A</v>
          </cell>
          <cell r="E174" t="str">
            <v>18-595</v>
          </cell>
          <cell r="F174" t="str">
            <v>Ophthalmoscopes/Otoscopes</v>
          </cell>
          <cell r="G174" t="str">
            <v>WB</v>
          </cell>
          <cell r="H174" t="str">
            <v>SURGICAL ONCO MALE WARD</v>
          </cell>
          <cell r="I174" t="str">
            <v>05WB107</v>
          </cell>
          <cell r="J174" t="str">
            <v>TREATMENT / PROCEDURE</v>
          </cell>
          <cell r="K174" t="str">
            <v>BMED</v>
          </cell>
          <cell r="L174" t="str">
            <v>Normal</v>
          </cell>
          <cell r="M174" t="str">
            <v>USA</v>
          </cell>
          <cell r="N174" t="str">
            <v>Welch Allyn</v>
          </cell>
          <cell r="O174" t="str">
            <v>Welch Allyn 97150-BIM</v>
          </cell>
          <cell r="P174" t="str">
            <v>Not Available</v>
          </cell>
          <cell r="Q174" t="str">
            <v>Not Available</v>
          </cell>
          <cell r="R174" t="str">
            <v>Welch Allyn Inc</v>
          </cell>
          <cell r="S174" t="str">
            <v>Welch Allyn</v>
          </cell>
          <cell r="T174" t="str">
            <v>Functioning</v>
          </cell>
          <cell r="U174" t="str">
            <v>Asset</v>
          </cell>
          <cell r="V174">
            <v>4690</v>
          </cell>
          <cell r="W174" t="str">
            <v>KEW</v>
          </cell>
          <cell r="X174" t="str">
            <v>01/09/2010</v>
          </cell>
          <cell r="Y174" t="str">
            <v>KEW</v>
          </cell>
          <cell r="Z174" t="str">
            <v>16/08/2013</v>
          </cell>
          <cell r="AA174" t="str">
            <v>15/08/2015</v>
          </cell>
          <cell r="AB174" t="str">
            <v>No</v>
          </cell>
          <cell r="AC174" t="str">
            <v>31/08/2013</v>
          </cell>
          <cell r="AD174" t="str">
            <v>Good</v>
          </cell>
          <cell r="AE174" t="str">
            <v>V1 - Existing / No Claim</v>
          </cell>
          <cell r="AF174">
            <v>42590</v>
          </cell>
          <cell r="AG174">
            <v>9.17</v>
          </cell>
          <cell r="AH174" t="str">
            <v>RI</v>
          </cell>
          <cell r="AI174" t="str">
            <v>Not in contract</v>
          </cell>
          <cell r="AJ174" t="str">
            <v>Not under maintenance</v>
          </cell>
          <cell r="AK174" t="str">
            <v>Will be under V4. Taken out of contract as agreed by IKN</v>
          </cell>
        </row>
        <row r="175">
          <cell r="A175" t="str">
            <v>IKN401295</v>
          </cell>
          <cell r="B175">
            <v>1291</v>
          </cell>
          <cell r="C175" t="str">
            <v>Institut Kanser Negara</v>
          </cell>
          <cell r="D175" t="e">
            <v>#N/A</v>
          </cell>
          <cell r="E175" t="str">
            <v>15-076</v>
          </cell>
          <cell r="F175" t="str">
            <v>Laryngoscopes, Rigid</v>
          </cell>
          <cell r="G175" t="str">
            <v>WB</v>
          </cell>
          <cell r="H175" t="str">
            <v>SURGICAL ONCO MALE WARD</v>
          </cell>
          <cell r="I175" t="str">
            <v>05WB107</v>
          </cell>
          <cell r="J175" t="str">
            <v>TREATMENT / PROCEDURE</v>
          </cell>
          <cell r="K175" t="str">
            <v>BMED</v>
          </cell>
          <cell r="L175" t="str">
            <v>Normal</v>
          </cell>
          <cell r="M175" t="str">
            <v>Not Available</v>
          </cell>
          <cell r="N175" t="str">
            <v>Not Available</v>
          </cell>
          <cell r="O175" t="str">
            <v>Not Available</v>
          </cell>
          <cell r="P175" t="str">
            <v>Not Available</v>
          </cell>
          <cell r="Q175" t="str">
            <v>Not Available</v>
          </cell>
          <cell r="R175" t="str">
            <v>Not Available</v>
          </cell>
          <cell r="S175" t="str">
            <v>Antah Sri Radin</v>
          </cell>
          <cell r="T175" t="str">
            <v>Functioning</v>
          </cell>
          <cell r="U175" t="str">
            <v>Asset</v>
          </cell>
          <cell r="V175">
            <v>4000</v>
          </cell>
          <cell r="W175" t="str">
            <v>KEW</v>
          </cell>
          <cell r="X175" t="str">
            <v>01/09/2010</v>
          </cell>
          <cell r="Y175" t="str">
            <v>KEW</v>
          </cell>
          <cell r="Z175" t="str">
            <v>16/08/2013</v>
          </cell>
          <cell r="AA175" t="str">
            <v>15/08/2015</v>
          </cell>
          <cell r="AB175" t="str">
            <v>No</v>
          </cell>
          <cell r="AC175" t="str">
            <v>31/08/2013</v>
          </cell>
          <cell r="AD175" t="str">
            <v>Good</v>
          </cell>
          <cell r="AE175" t="str">
            <v>V4 - Decommissioned Installed Facility</v>
          </cell>
          <cell r="AF175">
            <v>42590</v>
          </cell>
          <cell r="AG175">
            <v>9.17</v>
          </cell>
          <cell r="AH175" t="str">
            <v>RI</v>
          </cell>
          <cell r="AI175" t="str">
            <v>Not in contract</v>
          </cell>
          <cell r="AJ175" t="str">
            <v>Not under maintenance</v>
          </cell>
          <cell r="AK175" t="str">
            <v>Will be under V4. Taken out of contract as agreed by IKN</v>
          </cell>
        </row>
        <row r="176">
          <cell r="A176" t="str">
            <v>IKN401296</v>
          </cell>
          <cell r="B176">
            <v>1292</v>
          </cell>
          <cell r="C176" t="str">
            <v>Institut Kanser Negara</v>
          </cell>
          <cell r="D176" t="e">
            <v>#N/A</v>
          </cell>
          <cell r="E176" t="str">
            <v>15-076</v>
          </cell>
          <cell r="F176" t="str">
            <v>Laryngoscopes, Rigid</v>
          </cell>
          <cell r="G176" t="str">
            <v>WB</v>
          </cell>
          <cell r="H176" t="str">
            <v>SURGICAL ONCO MALE WARD</v>
          </cell>
          <cell r="I176" t="str">
            <v>05WB107</v>
          </cell>
          <cell r="J176" t="str">
            <v>TREATMENT / PROCEDURE</v>
          </cell>
          <cell r="K176" t="str">
            <v>BMED</v>
          </cell>
          <cell r="L176" t="str">
            <v>Normal</v>
          </cell>
          <cell r="M176" t="str">
            <v>Not Available</v>
          </cell>
          <cell r="N176" t="str">
            <v>Not Available</v>
          </cell>
          <cell r="O176" t="str">
            <v>Not Available</v>
          </cell>
          <cell r="P176" t="str">
            <v>Not Available</v>
          </cell>
          <cell r="Q176" t="str">
            <v>Not Available</v>
          </cell>
          <cell r="R176" t="str">
            <v>Not Available</v>
          </cell>
          <cell r="S176" t="str">
            <v>Antah Sri Radin</v>
          </cell>
          <cell r="T176" t="str">
            <v>Functioning</v>
          </cell>
          <cell r="U176" t="str">
            <v>Asset</v>
          </cell>
          <cell r="V176">
            <v>505</v>
          </cell>
          <cell r="W176" t="str">
            <v>KEW</v>
          </cell>
          <cell r="X176" t="str">
            <v>01/09/2010</v>
          </cell>
          <cell r="Y176" t="str">
            <v>KEW</v>
          </cell>
          <cell r="Z176" t="str">
            <v>16/08/2013</v>
          </cell>
          <cell r="AA176" t="str">
            <v>15/08/2015</v>
          </cell>
          <cell r="AB176" t="str">
            <v>No</v>
          </cell>
          <cell r="AC176" t="str">
            <v>31/08/2013</v>
          </cell>
          <cell r="AD176" t="str">
            <v>Good</v>
          </cell>
          <cell r="AE176" t="str">
            <v>V4 - Decommissioned Installed Facility</v>
          </cell>
          <cell r="AF176">
            <v>42590</v>
          </cell>
          <cell r="AG176">
            <v>9.17</v>
          </cell>
          <cell r="AH176" t="str">
            <v>RI</v>
          </cell>
          <cell r="AI176" t="str">
            <v>Not in contract</v>
          </cell>
          <cell r="AJ176" t="str">
            <v>Not under maintenance</v>
          </cell>
          <cell r="AK176" t="str">
            <v>Will be under V4. Taken out of contract as agreed by IKN</v>
          </cell>
        </row>
        <row r="177">
          <cell r="A177" t="str">
            <v>IKN401297</v>
          </cell>
          <cell r="B177">
            <v>1293</v>
          </cell>
          <cell r="C177" t="str">
            <v>Institut Kanser Negara</v>
          </cell>
          <cell r="D177" t="e">
            <v>#N/A</v>
          </cell>
          <cell r="E177" t="str">
            <v>16-158</v>
          </cell>
          <cell r="F177" t="str">
            <v>Sphygmomanometers, Mercury</v>
          </cell>
          <cell r="G177" t="str">
            <v>WB</v>
          </cell>
          <cell r="H177" t="str">
            <v>SURGICAL ONCO MALE WARD</v>
          </cell>
          <cell r="I177" t="str">
            <v>05WB107</v>
          </cell>
          <cell r="J177" t="str">
            <v>TREATMENT / PROCEDURE</v>
          </cell>
          <cell r="K177" t="str">
            <v>BMED</v>
          </cell>
          <cell r="L177" t="str">
            <v>Critical</v>
          </cell>
          <cell r="M177" t="str">
            <v>Germany</v>
          </cell>
          <cell r="N177" t="str">
            <v>Erka</v>
          </cell>
          <cell r="O177" t="str">
            <v>Erkameter 3000</v>
          </cell>
          <cell r="P177" t="str">
            <v>13500744</v>
          </cell>
          <cell r="Q177" t="str">
            <v>Not Available</v>
          </cell>
          <cell r="R177" t="str">
            <v>Erka GmbH &amp; Co</v>
          </cell>
          <cell r="S177" t="str">
            <v>Acucare Sdn. Bhd</v>
          </cell>
          <cell r="T177" t="str">
            <v>Functioning</v>
          </cell>
          <cell r="U177" t="str">
            <v>Asset</v>
          </cell>
          <cell r="V177">
            <v>505</v>
          </cell>
          <cell r="W177" t="str">
            <v>KEW</v>
          </cell>
          <cell r="X177" t="str">
            <v>01/09/2010</v>
          </cell>
          <cell r="Y177" t="str">
            <v>KEW</v>
          </cell>
          <cell r="Z177" t="str">
            <v>16/08/2013</v>
          </cell>
          <cell r="AA177" t="str">
            <v>15/08/2015</v>
          </cell>
          <cell r="AB177" t="str">
            <v>No</v>
          </cell>
          <cell r="AC177" t="str">
            <v>31/08/2013</v>
          </cell>
          <cell r="AD177" t="str">
            <v>Good</v>
          </cell>
          <cell r="AE177" t="str">
            <v>V4 - Decommissioned Installed Facility</v>
          </cell>
          <cell r="AF177">
            <v>42590</v>
          </cell>
          <cell r="AG177">
            <v>9.17</v>
          </cell>
          <cell r="AH177" t="str">
            <v>PPM</v>
          </cell>
          <cell r="AI177" t="str">
            <v>Not in contract</v>
          </cell>
          <cell r="AJ177" t="str">
            <v>Not under maintenance</v>
          </cell>
          <cell r="AK177" t="e">
            <v>#N/A</v>
          </cell>
        </row>
        <row r="178">
          <cell r="A178" t="str">
            <v>IKN401298</v>
          </cell>
          <cell r="B178">
            <v>1294</v>
          </cell>
          <cell r="C178" t="str">
            <v>Institut Kanser Negara</v>
          </cell>
          <cell r="D178" t="e">
            <v>#N/A</v>
          </cell>
          <cell r="E178" t="str">
            <v>15-076</v>
          </cell>
          <cell r="F178" t="str">
            <v>Laryngoscopes, Rigid</v>
          </cell>
          <cell r="G178" t="str">
            <v>IC</v>
          </cell>
          <cell r="H178" t="str">
            <v>INTENSIVE CARE UNIT</v>
          </cell>
          <cell r="I178" t="str">
            <v>05IC121</v>
          </cell>
          <cell r="J178" t="str">
            <v>MEDICATION PREPARATION</v>
          </cell>
          <cell r="K178" t="str">
            <v>BMED</v>
          </cell>
          <cell r="L178" t="str">
            <v>Normal</v>
          </cell>
          <cell r="M178" t="str">
            <v>Not Available</v>
          </cell>
          <cell r="N178" t="str">
            <v>Not Available</v>
          </cell>
          <cell r="O178" t="str">
            <v>Not Available</v>
          </cell>
          <cell r="P178" t="str">
            <v>Not Available</v>
          </cell>
          <cell r="Q178" t="str">
            <v>Not Available</v>
          </cell>
          <cell r="R178" t="str">
            <v>Not Available</v>
          </cell>
          <cell r="S178" t="str">
            <v>Antah Sri Radin</v>
          </cell>
          <cell r="T178" t="str">
            <v>Functioning</v>
          </cell>
          <cell r="U178" t="str">
            <v>Asset</v>
          </cell>
          <cell r="V178">
            <v>4000</v>
          </cell>
          <cell r="W178" t="str">
            <v>KEW</v>
          </cell>
          <cell r="X178" t="str">
            <v>01/09/2010</v>
          </cell>
          <cell r="Y178" t="str">
            <v>KEW</v>
          </cell>
          <cell r="Z178" t="str">
            <v>16/08/2013</v>
          </cell>
          <cell r="AA178" t="str">
            <v>15/08/2015</v>
          </cell>
          <cell r="AB178" t="str">
            <v>No</v>
          </cell>
          <cell r="AC178" t="str">
            <v>31/08/2013</v>
          </cell>
          <cell r="AD178" t="str">
            <v>Good</v>
          </cell>
          <cell r="AE178" t="str">
            <v>V4 - Decommissioned Installed Facility</v>
          </cell>
          <cell r="AF178">
            <v>42590</v>
          </cell>
          <cell r="AG178">
            <v>9.17</v>
          </cell>
          <cell r="AH178" t="str">
            <v>RI</v>
          </cell>
          <cell r="AI178" t="str">
            <v>Not in contract</v>
          </cell>
          <cell r="AJ178" t="str">
            <v>Not under maintenance</v>
          </cell>
          <cell r="AK178" t="str">
            <v>Will be under V4. Taken out of contract as agreed by IKN</v>
          </cell>
        </row>
        <row r="179">
          <cell r="A179" t="str">
            <v>IKN401299</v>
          </cell>
          <cell r="B179">
            <v>1295</v>
          </cell>
          <cell r="C179" t="str">
            <v>Institut Kanser Negara</v>
          </cell>
          <cell r="D179" t="e">
            <v>#N/A</v>
          </cell>
          <cell r="E179" t="str">
            <v>15-076</v>
          </cell>
          <cell r="F179" t="str">
            <v>Laryngoscopes, Rigid</v>
          </cell>
          <cell r="G179" t="str">
            <v>IC</v>
          </cell>
          <cell r="H179" t="str">
            <v>INTENSIVE CARE UNIT</v>
          </cell>
          <cell r="I179" t="str">
            <v>05IC121</v>
          </cell>
          <cell r="J179" t="str">
            <v>MEDICATION PREPARATION</v>
          </cell>
          <cell r="K179" t="str">
            <v>BMED</v>
          </cell>
          <cell r="L179" t="str">
            <v>Normal</v>
          </cell>
          <cell r="M179" t="str">
            <v>Not Available</v>
          </cell>
          <cell r="N179" t="str">
            <v>Not Available</v>
          </cell>
          <cell r="O179" t="str">
            <v>Not Available</v>
          </cell>
          <cell r="P179" t="str">
            <v>Not Available</v>
          </cell>
          <cell r="Q179" t="str">
            <v>Not Available</v>
          </cell>
          <cell r="R179" t="str">
            <v>Not Available</v>
          </cell>
          <cell r="S179" t="str">
            <v>Antah Sri Radin</v>
          </cell>
          <cell r="T179" t="str">
            <v>Functioning</v>
          </cell>
          <cell r="U179" t="str">
            <v>Asset</v>
          </cell>
          <cell r="V179">
            <v>4000</v>
          </cell>
          <cell r="W179" t="str">
            <v>KEW</v>
          </cell>
          <cell r="X179" t="str">
            <v>01/09/2010</v>
          </cell>
          <cell r="Y179" t="str">
            <v>KEW</v>
          </cell>
          <cell r="Z179" t="str">
            <v>16/08/2013</v>
          </cell>
          <cell r="AA179" t="str">
            <v>15/08/2015</v>
          </cell>
          <cell r="AB179" t="str">
            <v>No</v>
          </cell>
          <cell r="AC179" t="str">
            <v>31/08/2013</v>
          </cell>
          <cell r="AD179" t="str">
            <v>Good</v>
          </cell>
          <cell r="AE179" t="str">
            <v>V4 - Decommissioned Installed Facility</v>
          </cell>
          <cell r="AF179">
            <v>42590</v>
          </cell>
          <cell r="AG179">
            <v>9.17</v>
          </cell>
          <cell r="AH179" t="str">
            <v>RI</v>
          </cell>
          <cell r="AI179" t="str">
            <v>Not in contract</v>
          </cell>
          <cell r="AJ179" t="str">
            <v>Not under maintenance</v>
          </cell>
          <cell r="AK179" t="str">
            <v>Will be under V4. Taken out of contract as agreed by IKN</v>
          </cell>
        </row>
        <row r="180">
          <cell r="A180" t="str">
            <v>IKN401300</v>
          </cell>
          <cell r="B180">
            <v>1296</v>
          </cell>
          <cell r="C180" t="str">
            <v>Institut Kanser Negara</v>
          </cell>
          <cell r="D180" t="e">
            <v>#N/A</v>
          </cell>
          <cell r="E180" t="str">
            <v>16-158</v>
          </cell>
          <cell r="F180" t="str">
            <v>Sphygmomanometers, Mercury</v>
          </cell>
          <cell r="G180" t="str">
            <v>WC</v>
          </cell>
          <cell r="H180" t="str">
            <v>SURGICAL ONCO FEMALE WARD</v>
          </cell>
          <cell r="I180" t="str">
            <v>06WC107</v>
          </cell>
          <cell r="J180" t="str">
            <v>TREATMENT / PROCEDURE</v>
          </cell>
          <cell r="K180" t="str">
            <v>BMED</v>
          </cell>
          <cell r="L180" t="str">
            <v>Critical</v>
          </cell>
          <cell r="M180" t="str">
            <v>Germany</v>
          </cell>
          <cell r="N180" t="str">
            <v>Erka</v>
          </cell>
          <cell r="O180" t="str">
            <v>Erkameter 3000</v>
          </cell>
          <cell r="P180" t="str">
            <v>13500819</v>
          </cell>
          <cell r="Q180" t="str">
            <v>Not Available</v>
          </cell>
          <cell r="R180" t="str">
            <v>Erka GmbH &amp; Co</v>
          </cell>
          <cell r="S180" t="str">
            <v>Acucare Sdn. Bhd</v>
          </cell>
          <cell r="T180" t="str">
            <v>Functioning</v>
          </cell>
          <cell r="U180" t="str">
            <v>Asset</v>
          </cell>
          <cell r="V180">
            <v>505</v>
          </cell>
          <cell r="W180" t="str">
            <v>KEW</v>
          </cell>
          <cell r="X180" t="str">
            <v>01/09/2010</v>
          </cell>
          <cell r="Y180" t="str">
            <v>KEW</v>
          </cell>
          <cell r="Z180" t="str">
            <v>15/08/2013</v>
          </cell>
          <cell r="AA180" t="str">
            <v>15/08/2015</v>
          </cell>
          <cell r="AB180" t="str">
            <v>No</v>
          </cell>
          <cell r="AC180" t="str">
            <v>31/08/2013</v>
          </cell>
          <cell r="AD180" t="str">
            <v>Good</v>
          </cell>
          <cell r="AE180" t="str">
            <v>V4 - Decommissioned Installed Facility</v>
          </cell>
          <cell r="AF180">
            <v>42590</v>
          </cell>
          <cell r="AG180">
            <v>9.17</v>
          </cell>
          <cell r="AH180" t="str">
            <v>PPM</v>
          </cell>
          <cell r="AI180" t="str">
            <v>Not in contract</v>
          </cell>
          <cell r="AJ180" t="str">
            <v>Not under maintenance</v>
          </cell>
          <cell r="AK180" t="e">
            <v>#N/A</v>
          </cell>
        </row>
        <row r="181">
          <cell r="A181" t="str">
            <v>IKN401301</v>
          </cell>
          <cell r="B181">
            <v>1297</v>
          </cell>
          <cell r="C181" t="str">
            <v>Institut Kanser Negara</v>
          </cell>
          <cell r="D181" t="e">
            <v>#N/A</v>
          </cell>
          <cell r="E181" t="str">
            <v>15-076</v>
          </cell>
          <cell r="F181" t="str">
            <v>Laryngoscopes, Rigid</v>
          </cell>
          <cell r="G181" t="str">
            <v>WC</v>
          </cell>
          <cell r="H181" t="str">
            <v>SURGICAL ONCO FEMALE WARD</v>
          </cell>
          <cell r="I181" t="str">
            <v>06WC107</v>
          </cell>
          <cell r="J181" t="str">
            <v>TREATMENT / PROCEDURE</v>
          </cell>
          <cell r="K181" t="str">
            <v>BMED</v>
          </cell>
          <cell r="L181" t="str">
            <v>Normal</v>
          </cell>
          <cell r="M181" t="str">
            <v>Not Available</v>
          </cell>
          <cell r="N181" t="str">
            <v>Not Available</v>
          </cell>
          <cell r="O181" t="str">
            <v>Not Available</v>
          </cell>
          <cell r="P181" t="str">
            <v>Not Available</v>
          </cell>
          <cell r="Q181" t="str">
            <v>Not Available</v>
          </cell>
          <cell r="R181" t="str">
            <v>Not Available</v>
          </cell>
          <cell r="S181" t="str">
            <v>Antah Sri Radin</v>
          </cell>
          <cell r="T181" t="str">
            <v>Functioning</v>
          </cell>
          <cell r="U181" t="str">
            <v>Asset</v>
          </cell>
          <cell r="V181">
            <v>4000</v>
          </cell>
          <cell r="W181" t="str">
            <v>KEW</v>
          </cell>
          <cell r="X181" t="str">
            <v>01/09/2010</v>
          </cell>
          <cell r="Y181" t="str">
            <v>KEW</v>
          </cell>
          <cell r="Z181" t="str">
            <v>16/08/2013</v>
          </cell>
          <cell r="AA181" t="str">
            <v>15/08/2015</v>
          </cell>
          <cell r="AB181" t="str">
            <v>No</v>
          </cell>
          <cell r="AC181" t="str">
            <v>31/08/2013</v>
          </cell>
          <cell r="AD181" t="str">
            <v>Good</v>
          </cell>
          <cell r="AE181" t="str">
            <v>V4 - Decommissioned Installed Facility</v>
          </cell>
          <cell r="AF181">
            <v>42590</v>
          </cell>
          <cell r="AG181">
            <v>9.17</v>
          </cell>
          <cell r="AH181" t="str">
            <v>RI</v>
          </cell>
          <cell r="AI181" t="str">
            <v>Not in contract</v>
          </cell>
          <cell r="AJ181" t="str">
            <v>Not under maintenance</v>
          </cell>
          <cell r="AK181" t="str">
            <v>Will be under V4. Taken out of contract as agreed by IKN</v>
          </cell>
        </row>
        <row r="182">
          <cell r="A182" t="str">
            <v>IKN401302</v>
          </cell>
          <cell r="B182">
            <v>1298</v>
          </cell>
          <cell r="C182" t="str">
            <v>Institut Kanser Negara</v>
          </cell>
          <cell r="D182" t="e">
            <v>#N/A</v>
          </cell>
          <cell r="E182" t="str">
            <v>15-076</v>
          </cell>
          <cell r="F182" t="str">
            <v>Laryngoscopes, Rigid</v>
          </cell>
          <cell r="G182" t="str">
            <v>WC</v>
          </cell>
          <cell r="H182" t="str">
            <v>SURGICAL ONCO FEMALE WARD</v>
          </cell>
          <cell r="I182" t="str">
            <v>06WC107</v>
          </cell>
          <cell r="J182" t="str">
            <v>TREATMENT / PROCEDURE</v>
          </cell>
          <cell r="K182" t="str">
            <v>BMED</v>
          </cell>
          <cell r="L182" t="str">
            <v>Normal</v>
          </cell>
          <cell r="M182" t="str">
            <v>Not Available</v>
          </cell>
          <cell r="N182" t="str">
            <v>Not Available</v>
          </cell>
          <cell r="O182" t="str">
            <v>Not Available</v>
          </cell>
          <cell r="P182" t="str">
            <v>Not Available</v>
          </cell>
          <cell r="Q182" t="str">
            <v>Not Available</v>
          </cell>
          <cell r="R182" t="str">
            <v>Not Available</v>
          </cell>
          <cell r="S182" t="str">
            <v>ANTAH SRI RADIN</v>
          </cell>
          <cell r="T182" t="str">
            <v>Functioning</v>
          </cell>
          <cell r="U182" t="str">
            <v>Asset</v>
          </cell>
          <cell r="V182">
            <v>4000</v>
          </cell>
          <cell r="W182" t="str">
            <v>KEW</v>
          </cell>
          <cell r="X182" t="str">
            <v>01/09/2010</v>
          </cell>
          <cell r="Y182" t="str">
            <v>KEW</v>
          </cell>
          <cell r="Z182" t="str">
            <v>15/08/2013</v>
          </cell>
          <cell r="AA182" t="str">
            <v>15/08/2015</v>
          </cell>
          <cell r="AB182" t="str">
            <v>No</v>
          </cell>
          <cell r="AC182" t="str">
            <v>31/08/2013</v>
          </cell>
          <cell r="AD182" t="str">
            <v>Good</v>
          </cell>
          <cell r="AE182" t="str">
            <v>V4 - Decommissioned Installed Facility</v>
          </cell>
          <cell r="AF182">
            <v>42585</v>
          </cell>
          <cell r="AG182">
            <v>9.17</v>
          </cell>
          <cell r="AH182" t="str">
            <v>RI</v>
          </cell>
          <cell r="AI182" t="str">
            <v>Not in contract</v>
          </cell>
          <cell r="AJ182" t="str">
            <v>Not under maintenance</v>
          </cell>
          <cell r="AK182" t="str">
            <v>Will be under V4. Taken out of contract as agreed by IKN</v>
          </cell>
        </row>
        <row r="183">
          <cell r="A183" t="str">
            <v>IKN401303</v>
          </cell>
          <cell r="B183">
            <v>1299</v>
          </cell>
          <cell r="C183" t="str">
            <v>Institut Kanser Negara</v>
          </cell>
          <cell r="D183" t="str">
            <v>KKM/IKN/H/13/1354</v>
          </cell>
          <cell r="E183" t="str">
            <v>18-595</v>
          </cell>
          <cell r="F183" t="str">
            <v>Ophthalmoscopes/Otoscopes</v>
          </cell>
          <cell r="G183" t="str">
            <v>WC</v>
          </cell>
          <cell r="H183" t="str">
            <v>SURGICAL ONCO FEMALE WARD</v>
          </cell>
          <cell r="I183" t="str">
            <v>06WC107</v>
          </cell>
          <cell r="J183" t="str">
            <v>TREATMENT / PROCEDURE</v>
          </cell>
          <cell r="K183" t="str">
            <v>BMED</v>
          </cell>
          <cell r="L183" t="str">
            <v>Normal</v>
          </cell>
          <cell r="M183" t="str">
            <v>USA</v>
          </cell>
          <cell r="N183" t="str">
            <v>Welch Allyn</v>
          </cell>
          <cell r="O183" t="str">
            <v>Welch Allyn 97150-BIM</v>
          </cell>
          <cell r="P183" t="str">
            <v>Not Available</v>
          </cell>
          <cell r="Q183" t="str">
            <v>Not Available</v>
          </cell>
          <cell r="R183" t="str">
            <v>Welch Allyn Inc</v>
          </cell>
          <cell r="S183" t="str">
            <v>Welch Allyn</v>
          </cell>
          <cell r="T183" t="str">
            <v>Functioning</v>
          </cell>
          <cell r="U183" t="str">
            <v>Asset</v>
          </cell>
          <cell r="V183">
            <v>4690</v>
          </cell>
          <cell r="W183" t="str">
            <v>KEW</v>
          </cell>
          <cell r="X183" t="str">
            <v>01/09/2010</v>
          </cell>
          <cell r="Y183" t="str">
            <v>KEW</v>
          </cell>
          <cell r="Z183" t="str">
            <v>16/08/2013</v>
          </cell>
          <cell r="AA183" t="str">
            <v>15/08/2015</v>
          </cell>
          <cell r="AB183" t="str">
            <v>No</v>
          </cell>
          <cell r="AC183" t="str">
            <v>31/08/2013</v>
          </cell>
          <cell r="AD183" t="str">
            <v>Good</v>
          </cell>
          <cell r="AE183" t="str">
            <v>V1 - Existing / No Claim</v>
          </cell>
          <cell r="AF183">
            <v>42590</v>
          </cell>
          <cell r="AG183">
            <v>9.17</v>
          </cell>
          <cell r="AH183" t="str">
            <v>RI</v>
          </cell>
          <cell r="AI183" t="str">
            <v>Strands</v>
          </cell>
          <cell r="AJ183" t="str">
            <v>Not under maintenance</v>
          </cell>
        </row>
        <row r="184">
          <cell r="A184" t="str">
            <v>IKN401304</v>
          </cell>
          <cell r="B184">
            <v>1300</v>
          </cell>
          <cell r="C184" t="str">
            <v>Institut Kanser Negara</v>
          </cell>
          <cell r="D184" t="str">
            <v>KKM/IKN/H/13/1355</v>
          </cell>
          <cell r="E184" t="str">
            <v>18-595</v>
          </cell>
          <cell r="F184" t="str">
            <v>Ophthalmoscopes/Otoscopes</v>
          </cell>
          <cell r="G184" t="str">
            <v>WC</v>
          </cell>
          <cell r="H184" t="str">
            <v>SURGICAL ONCO FEMALE WARD</v>
          </cell>
          <cell r="I184" t="str">
            <v>06WC107</v>
          </cell>
          <cell r="J184" t="str">
            <v>TREATMENT / PROCEDURE</v>
          </cell>
          <cell r="K184" t="str">
            <v>BMED</v>
          </cell>
          <cell r="L184" t="str">
            <v>Normal</v>
          </cell>
          <cell r="M184" t="str">
            <v>USA</v>
          </cell>
          <cell r="N184" t="str">
            <v>Welch Allyn</v>
          </cell>
          <cell r="O184" t="str">
            <v>Welch Allyn 97150-BIM</v>
          </cell>
          <cell r="P184" t="str">
            <v>Not Available</v>
          </cell>
          <cell r="Q184" t="str">
            <v>Not Available</v>
          </cell>
          <cell r="R184" t="str">
            <v>Welch Allyn Inc</v>
          </cell>
          <cell r="S184" t="str">
            <v>Welch Allyn</v>
          </cell>
          <cell r="T184" t="str">
            <v>Functioning</v>
          </cell>
          <cell r="U184" t="str">
            <v>Asset</v>
          </cell>
          <cell r="V184">
            <v>4690</v>
          </cell>
          <cell r="W184" t="str">
            <v>KEW</v>
          </cell>
          <cell r="X184" t="str">
            <v>01/09/2010</v>
          </cell>
          <cell r="Y184" t="str">
            <v>KEW</v>
          </cell>
          <cell r="Z184" t="str">
            <v>16/08/2013</v>
          </cell>
          <cell r="AA184" t="str">
            <v>15/08/2015</v>
          </cell>
          <cell r="AB184" t="str">
            <v>No</v>
          </cell>
          <cell r="AC184" t="str">
            <v>31/08/2013</v>
          </cell>
          <cell r="AD184" t="str">
            <v>Good</v>
          </cell>
          <cell r="AE184" t="str">
            <v>V1 - Existing / No Claim</v>
          </cell>
          <cell r="AF184">
            <v>42590</v>
          </cell>
          <cell r="AG184">
            <v>9.17</v>
          </cell>
          <cell r="AH184" t="str">
            <v>RI</v>
          </cell>
          <cell r="AI184" t="str">
            <v>Strands</v>
          </cell>
          <cell r="AJ184" t="str">
            <v>Not under maintenance</v>
          </cell>
        </row>
        <row r="185">
          <cell r="A185" t="str">
            <v>IKN401305</v>
          </cell>
          <cell r="B185">
            <v>1301</v>
          </cell>
          <cell r="C185" t="str">
            <v>Institut Kanser Negara</v>
          </cell>
          <cell r="D185" t="e">
            <v>#N/A</v>
          </cell>
          <cell r="E185" t="str">
            <v>16-158</v>
          </cell>
          <cell r="F185" t="str">
            <v>Sphygmomanometers, Mercury</v>
          </cell>
          <cell r="G185" t="str">
            <v>WD</v>
          </cell>
          <cell r="H185" t="str">
            <v>RT/ONCO PAED/ADOLESCENT WARD</v>
          </cell>
          <cell r="I185" t="str">
            <v>06WD154</v>
          </cell>
          <cell r="J185" t="str">
            <v>CLEAN UTILITY</v>
          </cell>
          <cell r="K185" t="str">
            <v>BMED</v>
          </cell>
          <cell r="L185" t="str">
            <v>Critical</v>
          </cell>
          <cell r="M185" t="str">
            <v>Germany</v>
          </cell>
          <cell r="N185" t="str">
            <v>Erka</v>
          </cell>
          <cell r="O185" t="str">
            <v>Erkameter 3000</v>
          </cell>
          <cell r="P185" t="str">
            <v>13500822</v>
          </cell>
          <cell r="Q185" t="str">
            <v>Not Available</v>
          </cell>
          <cell r="R185" t="str">
            <v>Erka GmbH &amp; Co</v>
          </cell>
          <cell r="S185" t="str">
            <v>Acucare Sdn. Bhd</v>
          </cell>
          <cell r="T185" t="str">
            <v>Functioning</v>
          </cell>
          <cell r="U185" t="str">
            <v>Asset</v>
          </cell>
          <cell r="V185">
            <v>505</v>
          </cell>
          <cell r="W185" t="str">
            <v>KEW</v>
          </cell>
          <cell r="X185" t="str">
            <v>01/09/2010</v>
          </cell>
          <cell r="Y185" t="str">
            <v>KEW</v>
          </cell>
          <cell r="Z185" t="str">
            <v>16/08/2013</v>
          </cell>
          <cell r="AA185" t="str">
            <v>15/08/2015</v>
          </cell>
          <cell r="AB185" t="str">
            <v>No</v>
          </cell>
          <cell r="AC185" t="str">
            <v>31/08/2013</v>
          </cell>
          <cell r="AD185" t="str">
            <v>Good</v>
          </cell>
          <cell r="AE185" t="str">
            <v>V4 - Decommissioned Installed Facility</v>
          </cell>
          <cell r="AF185">
            <v>42590</v>
          </cell>
          <cell r="AG185">
            <v>9.17</v>
          </cell>
          <cell r="AH185" t="str">
            <v>PPM</v>
          </cell>
          <cell r="AI185" t="str">
            <v>Not in contract</v>
          </cell>
          <cell r="AJ185" t="str">
            <v>Not under maintenance</v>
          </cell>
          <cell r="AK185" t="e">
            <v>#N/A</v>
          </cell>
        </row>
        <row r="186">
          <cell r="A186" t="str">
            <v>IKN401306</v>
          </cell>
          <cell r="B186">
            <v>1302</v>
          </cell>
          <cell r="C186" t="str">
            <v>Institut Kanser Negara</v>
          </cell>
          <cell r="D186" t="e">
            <v>#N/A</v>
          </cell>
          <cell r="E186" t="str">
            <v>15-076</v>
          </cell>
          <cell r="F186" t="str">
            <v>Laryngoscopes, Rigid</v>
          </cell>
          <cell r="G186" t="str">
            <v>WD</v>
          </cell>
          <cell r="H186" t="str">
            <v>RT/ONCO PAED/ADOLESCENT WARD</v>
          </cell>
          <cell r="I186" t="str">
            <v>06WD154</v>
          </cell>
          <cell r="J186" t="str">
            <v>CLEAN UTILITY</v>
          </cell>
          <cell r="K186" t="str">
            <v>BMED</v>
          </cell>
          <cell r="L186" t="str">
            <v>Normal</v>
          </cell>
          <cell r="M186" t="str">
            <v>Not Available</v>
          </cell>
          <cell r="N186" t="str">
            <v>Not Available</v>
          </cell>
          <cell r="O186" t="str">
            <v>Not Available</v>
          </cell>
          <cell r="P186" t="str">
            <v>Not Available</v>
          </cell>
          <cell r="Q186" t="str">
            <v>Not Available</v>
          </cell>
          <cell r="R186" t="str">
            <v>Not Available</v>
          </cell>
          <cell r="S186" t="str">
            <v>Antah Sri Radin</v>
          </cell>
          <cell r="T186" t="str">
            <v>Functioning</v>
          </cell>
          <cell r="U186" t="str">
            <v>Asset</v>
          </cell>
          <cell r="V186">
            <v>4000</v>
          </cell>
          <cell r="W186" t="str">
            <v>KEW</v>
          </cell>
          <cell r="X186" t="str">
            <v>01/09/2010</v>
          </cell>
          <cell r="Y186" t="str">
            <v>KEW</v>
          </cell>
          <cell r="Z186" t="str">
            <v>16/08/2013</v>
          </cell>
          <cell r="AA186" t="str">
            <v>15/08/2015</v>
          </cell>
          <cell r="AB186" t="str">
            <v>No</v>
          </cell>
          <cell r="AC186" t="str">
            <v>31/08/2013</v>
          </cell>
          <cell r="AD186" t="str">
            <v>Good</v>
          </cell>
          <cell r="AE186" t="str">
            <v>V4 - Decommissioned Installed Facility</v>
          </cell>
          <cell r="AF186">
            <v>42590</v>
          </cell>
          <cell r="AG186">
            <v>9.17</v>
          </cell>
          <cell r="AH186" t="str">
            <v>RI</v>
          </cell>
          <cell r="AI186" t="str">
            <v>Not in contract</v>
          </cell>
          <cell r="AJ186" t="str">
            <v>Not under maintenance</v>
          </cell>
          <cell r="AK186" t="str">
            <v>Will be under V4. Taken out of contract as agreed by IKN</v>
          </cell>
        </row>
        <row r="187">
          <cell r="A187" t="str">
            <v>IKN401307</v>
          </cell>
          <cell r="B187">
            <v>1303</v>
          </cell>
          <cell r="C187" t="str">
            <v>Institut Kanser Negara</v>
          </cell>
          <cell r="D187" t="e">
            <v>#N/A</v>
          </cell>
          <cell r="E187" t="str">
            <v>15-076</v>
          </cell>
          <cell r="F187" t="str">
            <v>Laryngoscopes, Rigid</v>
          </cell>
          <cell r="G187" t="str">
            <v>WD</v>
          </cell>
          <cell r="H187" t="str">
            <v>RT/ONCO PAED/ADOLESCENT WARD</v>
          </cell>
          <cell r="I187" t="str">
            <v>06WD154</v>
          </cell>
          <cell r="J187" t="str">
            <v>CLEAN UTILITY</v>
          </cell>
          <cell r="K187" t="str">
            <v>BMED</v>
          </cell>
          <cell r="L187" t="str">
            <v>Normal</v>
          </cell>
          <cell r="M187" t="str">
            <v>Not Available</v>
          </cell>
          <cell r="N187" t="str">
            <v>Not Available</v>
          </cell>
          <cell r="O187" t="str">
            <v>Not Available</v>
          </cell>
          <cell r="P187" t="str">
            <v>Not Available</v>
          </cell>
          <cell r="Q187" t="str">
            <v>Not Available</v>
          </cell>
          <cell r="R187" t="str">
            <v>Not Available</v>
          </cell>
          <cell r="S187" t="str">
            <v>Antah Sri Radin</v>
          </cell>
          <cell r="T187" t="str">
            <v>Functioning</v>
          </cell>
          <cell r="U187" t="str">
            <v>Asset</v>
          </cell>
          <cell r="V187">
            <v>4000</v>
          </cell>
          <cell r="W187" t="str">
            <v>KEW</v>
          </cell>
          <cell r="X187" t="str">
            <v>01/09/2010</v>
          </cell>
          <cell r="Y187" t="str">
            <v>KEW</v>
          </cell>
          <cell r="Z187" t="str">
            <v>16/08/2013</v>
          </cell>
          <cell r="AA187" t="str">
            <v>15/08/2015</v>
          </cell>
          <cell r="AB187" t="str">
            <v>No</v>
          </cell>
          <cell r="AC187" t="str">
            <v>31/08/2013</v>
          </cell>
          <cell r="AD187" t="str">
            <v>Good</v>
          </cell>
          <cell r="AE187" t="str">
            <v>V4 - Decommissioned Installed Facility</v>
          </cell>
          <cell r="AF187">
            <v>42590</v>
          </cell>
          <cell r="AG187">
            <v>9.17</v>
          </cell>
          <cell r="AH187" t="str">
            <v>RI</v>
          </cell>
          <cell r="AI187" t="str">
            <v>Not in contract</v>
          </cell>
          <cell r="AJ187" t="str">
            <v>Not under maintenance</v>
          </cell>
          <cell r="AK187" t="str">
            <v>Will be under V4. Taken out of contract as agreed by IKN</v>
          </cell>
        </row>
        <row r="188">
          <cell r="A188" t="str">
            <v>IKN401308</v>
          </cell>
          <cell r="B188">
            <v>1304</v>
          </cell>
          <cell r="C188" t="str">
            <v>Institut Kanser Negara</v>
          </cell>
          <cell r="D188" t="str">
            <v>KKM/IKN/H/13/1469</v>
          </cell>
          <cell r="E188" t="str">
            <v>18-595</v>
          </cell>
          <cell r="F188" t="str">
            <v>Ophthalmoscopes/Otoscopes</v>
          </cell>
          <cell r="G188" t="str">
            <v>WD</v>
          </cell>
          <cell r="H188" t="str">
            <v>RT/ONCO PAED/ADOLESCENT WARD</v>
          </cell>
          <cell r="I188" t="str">
            <v>06WD154</v>
          </cell>
          <cell r="J188" t="str">
            <v>CLEAN UTILITY</v>
          </cell>
          <cell r="K188" t="str">
            <v>BMED</v>
          </cell>
          <cell r="L188" t="str">
            <v>Normal</v>
          </cell>
          <cell r="M188" t="str">
            <v>USA</v>
          </cell>
          <cell r="N188" t="str">
            <v>Welch Allyn</v>
          </cell>
          <cell r="O188" t="str">
            <v>Welch Allyn 97150-BIM</v>
          </cell>
          <cell r="P188" t="str">
            <v>Not Available</v>
          </cell>
          <cell r="Q188" t="str">
            <v>Not Available</v>
          </cell>
          <cell r="R188" t="str">
            <v>Welch Allyn Inc</v>
          </cell>
          <cell r="S188" t="str">
            <v>Welch Allyn</v>
          </cell>
          <cell r="T188" t="str">
            <v>Functioning</v>
          </cell>
          <cell r="U188" t="str">
            <v>Asset</v>
          </cell>
          <cell r="V188">
            <v>4690</v>
          </cell>
          <cell r="W188" t="str">
            <v>KEW</v>
          </cell>
          <cell r="X188" t="str">
            <v>01/09/2010</v>
          </cell>
          <cell r="Y188" t="str">
            <v>KEW</v>
          </cell>
          <cell r="Z188" t="str">
            <v>16/08/2013</v>
          </cell>
          <cell r="AA188" t="str">
            <v>15/08/2015</v>
          </cell>
          <cell r="AB188" t="str">
            <v>No</v>
          </cell>
          <cell r="AC188" t="str">
            <v>31/08/2013</v>
          </cell>
          <cell r="AD188" t="str">
            <v>Good</v>
          </cell>
          <cell r="AE188" t="str">
            <v>V1 - Existing / No Claim</v>
          </cell>
          <cell r="AF188">
            <v>42590</v>
          </cell>
          <cell r="AG188">
            <v>9.17</v>
          </cell>
          <cell r="AH188" t="str">
            <v>RI</v>
          </cell>
          <cell r="AI188" t="str">
            <v>Strands</v>
          </cell>
          <cell r="AJ188" t="str">
            <v>Not under maintenance</v>
          </cell>
        </row>
        <row r="189">
          <cell r="A189" t="str">
            <v>IKN401309</v>
          </cell>
          <cell r="B189">
            <v>1305</v>
          </cell>
          <cell r="C189" t="str">
            <v>Institut Kanser Negara</v>
          </cell>
          <cell r="D189" t="e">
            <v>#N/A</v>
          </cell>
          <cell r="E189" t="str">
            <v>15-076</v>
          </cell>
          <cell r="F189" t="str">
            <v>Laryngoscopes, Rigid</v>
          </cell>
          <cell r="G189" t="str">
            <v>WE</v>
          </cell>
          <cell r="H189" t="str">
            <v>RT/ONCO WARD 1 (F)</v>
          </cell>
          <cell r="I189" t="str">
            <v>07WE107</v>
          </cell>
          <cell r="J189" t="str">
            <v>TREATMENT / PROCESURE</v>
          </cell>
          <cell r="K189" t="str">
            <v>BMED</v>
          </cell>
          <cell r="L189" t="str">
            <v>Normal</v>
          </cell>
          <cell r="M189" t="str">
            <v>Not Available</v>
          </cell>
          <cell r="N189" t="str">
            <v>Not Available</v>
          </cell>
          <cell r="O189" t="str">
            <v>Not Available</v>
          </cell>
          <cell r="P189" t="str">
            <v>Not Available</v>
          </cell>
          <cell r="Q189" t="str">
            <v>Not Available</v>
          </cell>
          <cell r="R189" t="str">
            <v>Not Available</v>
          </cell>
          <cell r="S189" t="str">
            <v>Antah Sri Radin</v>
          </cell>
          <cell r="T189" t="str">
            <v>Functioning</v>
          </cell>
          <cell r="U189" t="str">
            <v>Asset</v>
          </cell>
          <cell r="V189">
            <v>4000</v>
          </cell>
          <cell r="W189" t="str">
            <v>KEW</v>
          </cell>
          <cell r="X189" t="str">
            <v>01/09/2010</v>
          </cell>
          <cell r="Y189" t="str">
            <v>KEW</v>
          </cell>
          <cell r="Z189" t="str">
            <v>16/08/2013</v>
          </cell>
          <cell r="AA189" t="str">
            <v>15/08/2015</v>
          </cell>
          <cell r="AB189" t="str">
            <v>No</v>
          </cell>
          <cell r="AC189" t="str">
            <v>31/08/2013</v>
          </cell>
          <cell r="AD189" t="str">
            <v>Good</v>
          </cell>
          <cell r="AE189" t="str">
            <v>V4 - Decommissioned Installed Facility</v>
          </cell>
          <cell r="AF189">
            <v>42590</v>
          </cell>
          <cell r="AG189">
            <v>9.17</v>
          </cell>
          <cell r="AH189" t="str">
            <v>RI</v>
          </cell>
          <cell r="AI189" t="str">
            <v>Not in contract</v>
          </cell>
          <cell r="AJ189" t="str">
            <v>Not under maintenance</v>
          </cell>
          <cell r="AK189" t="str">
            <v>Will be under V4. Taken out of contract as agreed by IKN</v>
          </cell>
        </row>
        <row r="190">
          <cell r="A190" t="str">
            <v>IKN401310</v>
          </cell>
          <cell r="B190">
            <v>1306</v>
          </cell>
          <cell r="C190" t="str">
            <v>Institut Kanser Negara</v>
          </cell>
          <cell r="D190" t="e">
            <v>#N/A</v>
          </cell>
          <cell r="E190" t="str">
            <v>15-076</v>
          </cell>
          <cell r="F190" t="str">
            <v>Laryngoscopes, Rigid</v>
          </cell>
          <cell r="G190" t="str">
            <v>WE</v>
          </cell>
          <cell r="H190" t="str">
            <v>RT/ONCO WARD 1 (F)</v>
          </cell>
          <cell r="I190" t="str">
            <v>07WE107</v>
          </cell>
          <cell r="J190" t="str">
            <v>TREATMENT / PROCESURE</v>
          </cell>
          <cell r="K190" t="str">
            <v>BMED</v>
          </cell>
          <cell r="L190" t="str">
            <v>Normal</v>
          </cell>
          <cell r="M190" t="str">
            <v>Not Available</v>
          </cell>
          <cell r="N190" t="str">
            <v>Not Available</v>
          </cell>
          <cell r="O190" t="str">
            <v>Not Available</v>
          </cell>
          <cell r="P190" t="str">
            <v>Not Available</v>
          </cell>
          <cell r="Q190" t="str">
            <v>Not Available</v>
          </cell>
          <cell r="R190" t="str">
            <v>Not Available</v>
          </cell>
          <cell r="S190" t="str">
            <v>Antah Sri Radin</v>
          </cell>
          <cell r="T190" t="str">
            <v>Functioning</v>
          </cell>
          <cell r="U190" t="str">
            <v>Asset</v>
          </cell>
          <cell r="V190">
            <v>4000</v>
          </cell>
          <cell r="W190" t="str">
            <v>KEW</v>
          </cell>
          <cell r="X190" t="str">
            <v>01/09/2010</v>
          </cell>
          <cell r="Y190" t="str">
            <v>KEW</v>
          </cell>
          <cell r="Z190" t="str">
            <v>16/08/2013</v>
          </cell>
          <cell r="AA190" t="str">
            <v>15/08/2015</v>
          </cell>
          <cell r="AB190" t="str">
            <v>No</v>
          </cell>
          <cell r="AC190" t="str">
            <v>31/08/2013</v>
          </cell>
          <cell r="AD190" t="str">
            <v>Good</v>
          </cell>
          <cell r="AE190" t="str">
            <v>V4 - Decommissioned Installed Facility</v>
          </cell>
          <cell r="AF190">
            <v>42590</v>
          </cell>
          <cell r="AG190">
            <v>9.17</v>
          </cell>
          <cell r="AH190" t="str">
            <v>RI</v>
          </cell>
          <cell r="AI190" t="str">
            <v>Not in contract</v>
          </cell>
          <cell r="AJ190" t="str">
            <v>Not under maintenance</v>
          </cell>
          <cell r="AK190" t="str">
            <v>Will be under V4. Taken out of contract as agreed by IKN</v>
          </cell>
        </row>
        <row r="191">
          <cell r="A191" t="str">
            <v>IKN401319</v>
          </cell>
          <cell r="B191">
            <v>1313</v>
          </cell>
          <cell r="C191" t="str">
            <v>Institut Kanser Negara</v>
          </cell>
          <cell r="D191" t="e">
            <v>#N/A</v>
          </cell>
          <cell r="E191" t="str">
            <v>15-076</v>
          </cell>
          <cell r="F191" t="str">
            <v>Laryngoscopes, Rigid</v>
          </cell>
          <cell r="G191" t="str">
            <v>OC</v>
          </cell>
          <cell r="H191" t="str">
            <v>ONCOLOGY CLINIC</v>
          </cell>
          <cell r="I191" t="str">
            <v>03OC133</v>
          </cell>
          <cell r="J191" t="str">
            <v>ASSESSMENT</v>
          </cell>
          <cell r="K191" t="str">
            <v>BMED</v>
          </cell>
          <cell r="L191" t="str">
            <v>Normal</v>
          </cell>
          <cell r="M191" t="str">
            <v>Not Available</v>
          </cell>
          <cell r="N191" t="str">
            <v>Not Available</v>
          </cell>
          <cell r="O191" t="str">
            <v>Not Available</v>
          </cell>
          <cell r="P191" t="str">
            <v>Not Available</v>
          </cell>
          <cell r="Q191" t="str">
            <v>Not Available</v>
          </cell>
          <cell r="R191" t="str">
            <v>Not Available</v>
          </cell>
          <cell r="S191" t="str">
            <v>Antah Sir Radin Sdn. Bhd.</v>
          </cell>
          <cell r="T191" t="str">
            <v>Functioning</v>
          </cell>
          <cell r="U191" t="str">
            <v>Asset</v>
          </cell>
          <cell r="V191">
            <v>4000</v>
          </cell>
          <cell r="W191" t="str">
            <v>KEW</v>
          </cell>
          <cell r="X191" t="str">
            <v>01/09/2010</v>
          </cell>
          <cell r="Y191" t="str">
            <v>KEW</v>
          </cell>
          <cell r="Z191" t="str">
            <v>31/08/2013</v>
          </cell>
          <cell r="AA191" t="str">
            <v>15/08/2015</v>
          </cell>
          <cell r="AB191" t="str">
            <v>No</v>
          </cell>
          <cell r="AC191" t="str">
            <v>31/08/2013</v>
          </cell>
          <cell r="AD191" t="str">
            <v>Good</v>
          </cell>
          <cell r="AE191" t="str">
            <v>V4 - Decommissioned Installed Facility</v>
          </cell>
          <cell r="AF191">
            <v>42630</v>
          </cell>
          <cell r="AG191">
            <v>9.17</v>
          </cell>
          <cell r="AH191" t="str">
            <v>RI</v>
          </cell>
          <cell r="AI191" t="str">
            <v>Not in contract</v>
          </cell>
          <cell r="AJ191" t="str">
            <v>Not under maintenance</v>
          </cell>
          <cell r="AK191" t="str">
            <v>Will be under V4. Taken out of contract as agreed by IKN</v>
          </cell>
        </row>
        <row r="192">
          <cell r="A192" t="str">
            <v>IKN401320</v>
          </cell>
          <cell r="B192">
            <v>1314</v>
          </cell>
          <cell r="C192" t="str">
            <v>Institut Kanser Negara</v>
          </cell>
          <cell r="D192" t="e">
            <v>#N/A</v>
          </cell>
          <cell r="E192" t="str">
            <v>15-076</v>
          </cell>
          <cell r="F192" t="str">
            <v>Laryngoscopes, Rigid</v>
          </cell>
          <cell r="G192" t="str">
            <v>OC</v>
          </cell>
          <cell r="H192" t="str">
            <v>ONCOLOGY CLINIC</v>
          </cell>
          <cell r="I192" t="str">
            <v>03OC133</v>
          </cell>
          <cell r="J192" t="str">
            <v>ASSESSMENT</v>
          </cell>
          <cell r="K192" t="str">
            <v>BMED</v>
          </cell>
          <cell r="L192" t="str">
            <v>Normal</v>
          </cell>
          <cell r="M192" t="str">
            <v>Not Available</v>
          </cell>
          <cell r="N192" t="str">
            <v>Not Available</v>
          </cell>
          <cell r="O192" t="str">
            <v>Not Available</v>
          </cell>
          <cell r="P192" t="str">
            <v>Not Available</v>
          </cell>
          <cell r="Q192" t="str">
            <v>Not Available</v>
          </cell>
          <cell r="R192" t="str">
            <v>Not Available</v>
          </cell>
          <cell r="S192" t="str">
            <v>Antah Sir Radin Sdn. Bhd.</v>
          </cell>
          <cell r="T192" t="str">
            <v>Functioning</v>
          </cell>
          <cell r="U192" t="str">
            <v>Asset</v>
          </cell>
          <cell r="V192">
            <v>4000</v>
          </cell>
          <cell r="W192" t="str">
            <v>KEW</v>
          </cell>
          <cell r="X192" t="str">
            <v>01/09/2010</v>
          </cell>
          <cell r="Y192" t="str">
            <v>KEW</v>
          </cell>
          <cell r="Z192" t="str">
            <v>31/08/2013</v>
          </cell>
          <cell r="AA192" t="str">
            <v>15/08/2015</v>
          </cell>
          <cell r="AB192" t="str">
            <v>No</v>
          </cell>
          <cell r="AC192" t="str">
            <v>31/08/2013</v>
          </cell>
          <cell r="AD192" t="str">
            <v>Good</v>
          </cell>
          <cell r="AE192" t="str">
            <v>V4 - Decommissioned Installed Facility</v>
          </cell>
          <cell r="AF192">
            <v>42630</v>
          </cell>
          <cell r="AG192">
            <v>9.17</v>
          </cell>
          <cell r="AH192" t="str">
            <v>RI</v>
          </cell>
          <cell r="AI192" t="str">
            <v>Not in contract</v>
          </cell>
          <cell r="AJ192" t="str">
            <v>Not under maintenance</v>
          </cell>
          <cell r="AK192" t="str">
            <v>Will be under V4. Taken out of contract as agreed by IKN</v>
          </cell>
        </row>
        <row r="193">
          <cell r="A193" t="str">
            <v>IKN401323</v>
          </cell>
          <cell r="B193">
            <v>1317</v>
          </cell>
          <cell r="C193" t="str">
            <v>Institut Kanser Negara</v>
          </cell>
          <cell r="D193" t="str">
            <v>KKM/IKN/H/13/5071</v>
          </cell>
          <cell r="E193" t="str">
            <v>15-076</v>
          </cell>
          <cell r="F193" t="str">
            <v>Laryngoscopes, Rigid</v>
          </cell>
          <cell r="G193" t="str">
            <v>WH</v>
          </cell>
          <cell r="H193" t="str">
            <v>RT/ONCO WARD 2 (M)</v>
          </cell>
          <cell r="I193" t="str">
            <v>08WH135</v>
          </cell>
          <cell r="J193" t="str">
            <v>4 BED BAY 2</v>
          </cell>
          <cell r="K193" t="str">
            <v>BMED</v>
          </cell>
          <cell r="L193" t="str">
            <v>Normal</v>
          </cell>
          <cell r="M193" t="str">
            <v>Not Available</v>
          </cell>
          <cell r="N193" t="str">
            <v>Not Available</v>
          </cell>
          <cell r="O193" t="str">
            <v>Not Available</v>
          </cell>
          <cell r="P193" t="str">
            <v>Not Available</v>
          </cell>
          <cell r="Q193" t="str">
            <v>Not Available</v>
          </cell>
          <cell r="R193" t="str">
            <v>Not Available</v>
          </cell>
          <cell r="S193" t="str">
            <v>Antah Sir Radin Sdn. Bhd.</v>
          </cell>
          <cell r="T193" t="str">
            <v>Functioning</v>
          </cell>
          <cell r="U193" t="str">
            <v>Asset</v>
          </cell>
          <cell r="V193">
            <v>4000</v>
          </cell>
          <cell r="W193" t="str">
            <v>KEW</v>
          </cell>
          <cell r="X193" t="str">
            <v>01/09/2010</v>
          </cell>
          <cell r="Y193" t="str">
            <v>KEW</v>
          </cell>
          <cell r="Z193" t="str">
            <v>31/08/2013</v>
          </cell>
          <cell r="AA193" t="str">
            <v>15/08/2015</v>
          </cell>
          <cell r="AB193" t="str">
            <v>No</v>
          </cell>
          <cell r="AC193" t="str">
            <v>31/08/2013</v>
          </cell>
          <cell r="AD193" t="str">
            <v>Good</v>
          </cell>
          <cell r="AE193" t="str">
            <v>V4 - Decommissioned Installed Facility</v>
          </cell>
          <cell r="AF193">
            <v>42630</v>
          </cell>
          <cell r="AG193">
            <v>9.17</v>
          </cell>
          <cell r="AH193" t="str">
            <v>RI</v>
          </cell>
          <cell r="AI193" t="str">
            <v>Strands</v>
          </cell>
          <cell r="AJ193" t="str">
            <v>Not under maintenance</v>
          </cell>
        </row>
        <row r="194">
          <cell r="A194" t="str">
            <v>IKN401324</v>
          </cell>
          <cell r="B194">
            <v>1318</v>
          </cell>
          <cell r="C194" t="str">
            <v>Institut Kanser Negara</v>
          </cell>
          <cell r="D194" t="str">
            <v>KKM/IKN/H/13/5072</v>
          </cell>
          <cell r="E194" t="str">
            <v>15-076</v>
          </cell>
          <cell r="F194" t="str">
            <v>Laryngoscopes, Rigid</v>
          </cell>
          <cell r="G194" t="str">
            <v>WH</v>
          </cell>
          <cell r="H194" t="str">
            <v>RT/ONCO WARD 2 (M)</v>
          </cell>
          <cell r="I194" t="str">
            <v>08WH117</v>
          </cell>
          <cell r="J194" t="str">
            <v>SISTER</v>
          </cell>
          <cell r="K194" t="str">
            <v>BMED</v>
          </cell>
          <cell r="L194" t="str">
            <v>Normal</v>
          </cell>
          <cell r="M194" t="str">
            <v>Not Available</v>
          </cell>
          <cell r="N194" t="str">
            <v>Not Available</v>
          </cell>
          <cell r="O194" t="str">
            <v>Not Available</v>
          </cell>
          <cell r="P194" t="str">
            <v>Not Available</v>
          </cell>
          <cell r="Q194" t="str">
            <v>Not Available</v>
          </cell>
          <cell r="R194" t="str">
            <v>Not Available</v>
          </cell>
          <cell r="S194" t="str">
            <v>Antah Sir Radin Sdn. Bhd.</v>
          </cell>
          <cell r="T194" t="str">
            <v>Functioning</v>
          </cell>
          <cell r="U194" t="str">
            <v>Asset</v>
          </cell>
          <cell r="V194">
            <v>4000</v>
          </cell>
          <cell r="W194" t="str">
            <v>KEW</v>
          </cell>
          <cell r="X194" t="str">
            <v>01/09/2010</v>
          </cell>
          <cell r="Y194" t="str">
            <v>KEW</v>
          </cell>
          <cell r="Z194" t="str">
            <v>31/08/2013</v>
          </cell>
          <cell r="AA194" t="str">
            <v>15/08/2015</v>
          </cell>
          <cell r="AB194" t="str">
            <v>No</v>
          </cell>
          <cell r="AC194" t="str">
            <v>31/08/2013</v>
          </cell>
          <cell r="AD194" t="str">
            <v>Good</v>
          </cell>
          <cell r="AE194" t="str">
            <v>V4 - Decommissioned Installed Facility</v>
          </cell>
          <cell r="AF194">
            <v>42630</v>
          </cell>
          <cell r="AG194">
            <v>9.17</v>
          </cell>
          <cell r="AH194" t="str">
            <v>RI</v>
          </cell>
          <cell r="AI194" t="str">
            <v>Strands</v>
          </cell>
          <cell r="AJ194" t="str">
            <v>Not under maintenance</v>
          </cell>
        </row>
        <row r="195">
          <cell r="A195" t="str">
            <v>IKN401325</v>
          </cell>
          <cell r="B195">
            <v>1319</v>
          </cell>
          <cell r="C195" t="str">
            <v>Institut Kanser Negara</v>
          </cell>
          <cell r="D195" t="str">
            <v>KKM/IKN/H/13/5073</v>
          </cell>
          <cell r="E195" t="str">
            <v>18-595</v>
          </cell>
          <cell r="F195" t="str">
            <v>Ophthalmoscopes/Otoscopes</v>
          </cell>
          <cell r="G195" t="str">
            <v>WH</v>
          </cell>
          <cell r="H195" t="str">
            <v>RT/ONCO WARD 2 (M)</v>
          </cell>
          <cell r="I195" t="str">
            <v>08WH135</v>
          </cell>
          <cell r="J195" t="str">
            <v>4 BED BAY 2</v>
          </cell>
          <cell r="K195" t="str">
            <v>BMED</v>
          </cell>
          <cell r="L195" t="str">
            <v>Normal</v>
          </cell>
          <cell r="M195" t="str">
            <v>USA</v>
          </cell>
          <cell r="N195" t="str">
            <v>Welch Allyn</v>
          </cell>
          <cell r="O195" t="str">
            <v>Welch Allyn 97150-BIM</v>
          </cell>
          <cell r="P195" t="str">
            <v>GD0019-36</v>
          </cell>
          <cell r="Q195" t="str">
            <v>Not Available</v>
          </cell>
          <cell r="R195" t="str">
            <v>Welch Allyn Inc</v>
          </cell>
          <cell r="S195" t="str">
            <v>Welch Allyn</v>
          </cell>
          <cell r="T195" t="str">
            <v>Functioning</v>
          </cell>
          <cell r="U195" t="str">
            <v>Asset</v>
          </cell>
          <cell r="V195">
            <v>4690</v>
          </cell>
          <cell r="W195" t="str">
            <v>KEW</v>
          </cell>
          <cell r="X195" t="str">
            <v>01/09/2010</v>
          </cell>
          <cell r="Y195" t="str">
            <v>KEW</v>
          </cell>
          <cell r="Z195" t="str">
            <v>31/08/2013</v>
          </cell>
          <cell r="AA195" t="str">
            <v>15/08/2015</v>
          </cell>
          <cell r="AB195" t="str">
            <v>No</v>
          </cell>
          <cell r="AC195" t="str">
            <v>31/08/2013</v>
          </cell>
          <cell r="AD195" t="str">
            <v>Good</v>
          </cell>
          <cell r="AE195" t="str">
            <v>V1 - Existing / No Claim</v>
          </cell>
          <cell r="AF195">
            <v>42622</v>
          </cell>
          <cell r="AG195">
            <v>9.17</v>
          </cell>
          <cell r="AH195" t="str">
            <v>RI</v>
          </cell>
          <cell r="AI195" t="str">
            <v>Strands</v>
          </cell>
          <cell r="AJ195" t="str">
            <v>Not under maintenance</v>
          </cell>
        </row>
        <row r="196">
          <cell r="A196" t="str">
            <v>IKN401326</v>
          </cell>
          <cell r="B196">
            <v>1320</v>
          </cell>
          <cell r="C196" t="str">
            <v>Institut Kanser Negara</v>
          </cell>
          <cell r="D196" t="e">
            <v>#N/A</v>
          </cell>
          <cell r="E196" t="str">
            <v>18-595</v>
          </cell>
          <cell r="F196" t="str">
            <v>Ophthalmoscopes/Otoscopes</v>
          </cell>
          <cell r="G196" t="str">
            <v>WH</v>
          </cell>
          <cell r="H196" t="str">
            <v>RT/ONCO WARD 2 (M)</v>
          </cell>
          <cell r="I196" t="str">
            <v>08WH117</v>
          </cell>
          <cell r="J196" t="str">
            <v>SISTER</v>
          </cell>
          <cell r="K196" t="str">
            <v>BMED</v>
          </cell>
          <cell r="L196" t="str">
            <v>Normal</v>
          </cell>
          <cell r="M196" t="str">
            <v>USA</v>
          </cell>
          <cell r="N196" t="str">
            <v>Welch Allyn</v>
          </cell>
          <cell r="O196" t="str">
            <v>Welch Allyn 11710</v>
          </cell>
          <cell r="P196" t="str">
            <v>GD0019-37</v>
          </cell>
          <cell r="Q196" t="str">
            <v>Not Available</v>
          </cell>
          <cell r="R196" t="str">
            <v>Welch Allyn Inc</v>
          </cell>
          <cell r="S196" t="str">
            <v>Welch Allyn</v>
          </cell>
          <cell r="T196" t="str">
            <v>Functioning</v>
          </cell>
          <cell r="U196" t="str">
            <v>Asset</v>
          </cell>
          <cell r="V196">
            <v>4690</v>
          </cell>
          <cell r="W196" t="str">
            <v>KEW</v>
          </cell>
          <cell r="X196" t="str">
            <v>01/09/2010</v>
          </cell>
          <cell r="Y196" t="str">
            <v>KEW</v>
          </cell>
          <cell r="Z196" t="str">
            <v>31/08/2013</v>
          </cell>
          <cell r="AA196" t="str">
            <v>15/08/2015</v>
          </cell>
          <cell r="AB196" t="str">
            <v>No</v>
          </cell>
          <cell r="AC196" t="str">
            <v>31/08/2013</v>
          </cell>
          <cell r="AD196" t="str">
            <v>Good</v>
          </cell>
          <cell r="AE196" t="str">
            <v>V1 - Existing / No Claim</v>
          </cell>
          <cell r="AF196">
            <v>42622</v>
          </cell>
          <cell r="AG196">
            <v>9.17</v>
          </cell>
          <cell r="AH196" t="str">
            <v>RI</v>
          </cell>
          <cell r="AI196" t="str">
            <v>Not in contract</v>
          </cell>
          <cell r="AJ196" t="str">
            <v>Not under maintenance</v>
          </cell>
          <cell r="AK196" t="str">
            <v>Will be under V4. Taken out of contract as agreed by IKN</v>
          </cell>
        </row>
        <row r="197">
          <cell r="A197" t="str">
            <v>IKN401327</v>
          </cell>
          <cell r="B197">
            <v>1321</v>
          </cell>
          <cell r="C197" t="str">
            <v>Institut Kanser Negara</v>
          </cell>
          <cell r="D197" t="e">
            <v>#N/A</v>
          </cell>
          <cell r="E197" t="str">
            <v>16-158</v>
          </cell>
          <cell r="F197" t="str">
            <v>Sphygmomanometers, Mercury</v>
          </cell>
          <cell r="G197" t="str">
            <v>WH</v>
          </cell>
          <cell r="H197" t="str">
            <v>RT/ONCO WARD 2 (M)</v>
          </cell>
          <cell r="I197" t="str">
            <v>08WH135</v>
          </cell>
          <cell r="J197" t="str">
            <v>4 BED BAY 2</v>
          </cell>
          <cell r="K197" t="str">
            <v>BMED</v>
          </cell>
          <cell r="L197" t="str">
            <v>Critical</v>
          </cell>
          <cell r="M197" t="str">
            <v>Germany</v>
          </cell>
          <cell r="N197" t="str">
            <v>Erka</v>
          </cell>
          <cell r="O197" t="str">
            <v>Erka</v>
          </cell>
          <cell r="P197" t="str">
            <v>13500757</v>
          </cell>
          <cell r="Q197" t="str">
            <v>Not Available</v>
          </cell>
          <cell r="R197" t="str">
            <v>Erka GmbH &amp; Co</v>
          </cell>
          <cell r="S197" t="str">
            <v>Acucare Sdn. Bhd</v>
          </cell>
          <cell r="T197" t="str">
            <v>Functioning</v>
          </cell>
          <cell r="U197" t="str">
            <v>Asset</v>
          </cell>
          <cell r="V197">
            <v>505</v>
          </cell>
          <cell r="W197" t="str">
            <v>KEW</v>
          </cell>
          <cell r="X197" t="str">
            <v>01/09/2010</v>
          </cell>
          <cell r="Y197" t="str">
            <v>KEW</v>
          </cell>
          <cell r="Z197" t="str">
            <v>31/08/2013</v>
          </cell>
          <cell r="AA197" t="str">
            <v>15/08/2015</v>
          </cell>
          <cell r="AB197" t="str">
            <v>No</v>
          </cell>
          <cell r="AC197" t="str">
            <v>31/08/2013</v>
          </cell>
          <cell r="AD197" t="str">
            <v>Good</v>
          </cell>
          <cell r="AE197" t="str">
            <v>V4 - Decommissioned Installed Facility</v>
          </cell>
          <cell r="AF197">
            <v>42622</v>
          </cell>
          <cell r="AG197">
            <v>9.17</v>
          </cell>
          <cell r="AH197" t="str">
            <v>PPM</v>
          </cell>
          <cell r="AI197" t="str">
            <v>Not in contract</v>
          </cell>
          <cell r="AJ197" t="str">
            <v>Not under maintenance</v>
          </cell>
          <cell r="AK197" t="e">
            <v>#N/A</v>
          </cell>
        </row>
        <row r="198">
          <cell r="A198" t="str">
            <v>IKN401328</v>
          </cell>
          <cell r="B198">
            <v>1322</v>
          </cell>
          <cell r="C198" t="str">
            <v>Institut Kanser Negara</v>
          </cell>
          <cell r="D198" t="e">
            <v>#N/A</v>
          </cell>
          <cell r="E198" t="str">
            <v>16-158</v>
          </cell>
          <cell r="F198" t="str">
            <v>Sphygmomanometers, Mercury</v>
          </cell>
          <cell r="G198" t="str">
            <v>WG</v>
          </cell>
          <cell r="H198" t="str">
            <v>RT/ONCO WARD 1 (M)</v>
          </cell>
          <cell r="I198" t="str">
            <v>08WG135</v>
          </cell>
          <cell r="J198" t="str">
            <v>4 BED BAY 2</v>
          </cell>
          <cell r="K198" t="str">
            <v>BMED</v>
          </cell>
          <cell r="L198" t="str">
            <v>Critical</v>
          </cell>
          <cell r="M198" t="str">
            <v>Germany</v>
          </cell>
          <cell r="N198" t="str">
            <v>Erka</v>
          </cell>
          <cell r="O198" t="str">
            <v>Erka</v>
          </cell>
          <cell r="P198" t="str">
            <v>13500760</v>
          </cell>
          <cell r="Q198" t="str">
            <v>Not Available</v>
          </cell>
          <cell r="R198" t="str">
            <v>Erka GmbH &amp; Co</v>
          </cell>
          <cell r="S198" t="str">
            <v>Acucare Sdn. Bhd</v>
          </cell>
          <cell r="T198" t="str">
            <v>Functioning</v>
          </cell>
          <cell r="U198" t="str">
            <v>Asset</v>
          </cell>
          <cell r="V198">
            <v>505</v>
          </cell>
          <cell r="W198" t="str">
            <v>KEW</v>
          </cell>
          <cell r="X198" t="str">
            <v>01/09/2010</v>
          </cell>
          <cell r="Y198" t="str">
            <v>KEW</v>
          </cell>
          <cell r="Z198" t="str">
            <v>31/08/2013</v>
          </cell>
          <cell r="AA198" t="str">
            <v>15/08/2015</v>
          </cell>
          <cell r="AB198" t="str">
            <v>No</v>
          </cell>
          <cell r="AC198" t="str">
            <v>31/08/2013</v>
          </cell>
          <cell r="AD198" t="str">
            <v>Good</v>
          </cell>
          <cell r="AE198" t="str">
            <v>V4 - Decommissioned Installed Facility</v>
          </cell>
          <cell r="AF198">
            <v>42622</v>
          </cell>
          <cell r="AG198">
            <v>9.17</v>
          </cell>
          <cell r="AH198" t="str">
            <v>PPM</v>
          </cell>
          <cell r="AI198" t="str">
            <v>Not in contract</v>
          </cell>
          <cell r="AJ198" t="str">
            <v>Not under maintenance</v>
          </cell>
          <cell r="AK198" t="e">
            <v>#N/A</v>
          </cell>
        </row>
        <row r="199">
          <cell r="A199" t="str">
            <v>IKN401329</v>
          </cell>
          <cell r="B199">
            <v>1323</v>
          </cell>
          <cell r="C199" t="str">
            <v>Institut Kanser Negara</v>
          </cell>
          <cell r="D199" t="e">
            <v>#N/A</v>
          </cell>
          <cell r="E199" t="str">
            <v>16-158</v>
          </cell>
          <cell r="F199" t="str">
            <v>Sphygmomanometers, Mercury</v>
          </cell>
          <cell r="G199" t="str">
            <v>DO</v>
          </cell>
          <cell r="H199" t="str">
            <v>DAY ONCOLOGY UNIT</v>
          </cell>
          <cell r="I199" t="str">
            <v>04do105</v>
          </cell>
          <cell r="J199" t="str">
            <v>C/E</v>
          </cell>
          <cell r="K199" t="str">
            <v>BMED</v>
          </cell>
          <cell r="L199" t="str">
            <v>Critical</v>
          </cell>
          <cell r="M199" t="str">
            <v>Germany</v>
          </cell>
          <cell r="N199" t="str">
            <v>Erka</v>
          </cell>
          <cell r="O199" t="str">
            <v>Erkameter 3000</v>
          </cell>
          <cell r="P199" t="str">
            <v>12508908</v>
          </cell>
          <cell r="Q199" t="str">
            <v>Not Available</v>
          </cell>
          <cell r="R199" t="str">
            <v>Erka GmbH &amp; Co</v>
          </cell>
          <cell r="S199" t="str">
            <v>Acucare System (M) Sdn. Bhd</v>
          </cell>
          <cell r="T199" t="str">
            <v>Functioning</v>
          </cell>
          <cell r="U199" t="str">
            <v>Asset</v>
          </cell>
          <cell r="V199">
            <v>505</v>
          </cell>
          <cell r="W199" t="str">
            <v>KEW</v>
          </cell>
          <cell r="X199" t="str">
            <v>01/09/2010</v>
          </cell>
          <cell r="Y199" t="str">
            <v>KEW</v>
          </cell>
          <cell r="Z199" t="str">
            <v>16/08/2013</v>
          </cell>
          <cell r="AA199" t="str">
            <v>15/08/2015</v>
          </cell>
          <cell r="AB199" t="str">
            <v>No</v>
          </cell>
          <cell r="AC199" t="str">
            <v>31/08/2013</v>
          </cell>
          <cell r="AD199" t="str">
            <v>Good</v>
          </cell>
          <cell r="AE199" t="str">
            <v>V4 - Decommissioned Installed Facility</v>
          </cell>
          <cell r="AF199">
            <v>42704</v>
          </cell>
          <cell r="AG199">
            <v>9.17</v>
          </cell>
          <cell r="AH199" t="str">
            <v>PPM</v>
          </cell>
          <cell r="AI199" t="str">
            <v>Not in contract</v>
          </cell>
          <cell r="AJ199" t="str">
            <v>Not under maintenance</v>
          </cell>
          <cell r="AK199" t="e">
            <v>#N/A</v>
          </cell>
        </row>
        <row r="200">
          <cell r="A200" t="str">
            <v>IKN401330</v>
          </cell>
          <cell r="B200">
            <v>1324</v>
          </cell>
          <cell r="C200" t="str">
            <v>Institut Kanser Negara</v>
          </cell>
          <cell r="D200" t="e">
            <v>#N/A</v>
          </cell>
          <cell r="E200" t="str">
            <v>15-076</v>
          </cell>
          <cell r="F200" t="str">
            <v>Laryngoscopes, Rigid</v>
          </cell>
          <cell r="G200" t="str">
            <v>DO</v>
          </cell>
          <cell r="H200" t="str">
            <v>DAY ONCOLOGY UNIT</v>
          </cell>
          <cell r="I200" t="str">
            <v>04do133</v>
          </cell>
          <cell r="J200" t="str">
            <v>CLEAN UTILITY</v>
          </cell>
          <cell r="K200" t="str">
            <v>BMED</v>
          </cell>
          <cell r="L200" t="str">
            <v>Normal</v>
          </cell>
          <cell r="M200" t="str">
            <v>Not Available</v>
          </cell>
          <cell r="N200" t="str">
            <v>Not Available</v>
          </cell>
          <cell r="O200" t="str">
            <v>Not Available</v>
          </cell>
          <cell r="P200" t="str">
            <v>Not Available</v>
          </cell>
          <cell r="Q200" t="str">
            <v>Not Available</v>
          </cell>
          <cell r="R200" t="str">
            <v>Not Available</v>
          </cell>
          <cell r="S200" t="str">
            <v>Antah Sri Radin Sdn. Bhd</v>
          </cell>
          <cell r="T200" t="str">
            <v>Functioning</v>
          </cell>
          <cell r="U200" t="str">
            <v>Asset</v>
          </cell>
          <cell r="V200">
            <v>4000</v>
          </cell>
          <cell r="W200" t="str">
            <v>KEW</v>
          </cell>
          <cell r="X200" t="str">
            <v>01/09/2010</v>
          </cell>
          <cell r="Y200" t="str">
            <v>KEW</v>
          </cell>
          <cell r="Z200" t="str">
            <v>16/08/2013</v>
          </cell>
          <cell r="AA200" t="str">
            <v>15/08/2015</v>
          </cell>
          <cell r="AB200" t="str">
            <v>No</v>
          </cell>
          <cell r="AC200" t="str">
            <v>31/08/2013</v>
          </cell>
          <cell r="AD200" t="str">
            <v>Good</v>
          </cell>
          <cell r="AE200" t="str">
            <v>V4 - Decommissioned Installed Facility</v>
          </cell>
          <cell r="AF200">
            <v>42704</v>
          </cell>
          <cell r="AG200">
            <v>9.17</v>
          </cell>
          <cell r="AH200" t="str">
            <v>RI</v>
          </cell>
          <cell r="AI200" t="str">
            <v>Not in contract</v>
          </cell>
          <cell r="AJ200" t="str">
            <v>Not under maintenance</v>
          </cell>
          <cell r="AK200" t="str">
            <v>Will be under V4. Taken out of contract as agreed by IKN</v>
          </cell>
        </row>
        <row r="201">
          <cell r="A201" t="str">
            <v>IKN401331</v>
          </cell>
          <cell r="B201">
            <v>1325</v>
          </cell>
          <cell r="C201" t="str">
            <v>Institut Kanser Negara</v>
          </cell>
          <cell r="D201" t="e">
            <v>#N/A</v>
          </cell>
          <cell r="E201" t="str">
            <v>15-076</v>
          </cell>
          <cell r="F201" t="str">
            <v>Laryngoscopes, Rigid</v>
          </cell>
          <cell r="G201" t="str">
            <v>DO</v>
          </cell>
          <cell r="H201" t="str">
            <v>DAY ONCOLOGY UNIT</v>
          </cell>
          <cell r="I201" t="str">
            <v>04do133</v>
          </cell>
          <cell r="J201" t="str">
            <v>CLEAN UTILITY</v>
          </cell>
          <cell r="K201" t="str">
            <v>BMED</v>
          </cell>
          <cell r="L201" t="str">
            <v>Normal</v>
          </cell>
          <cell r="M201" t="str">
            <v>Not Available</v>
          </cell>
          <cell r="N201" t="str">
            <v>Not Available</v>
          </cell>
          <cell r="O201" t="str">
            <v>Not Available</v>
          </cell>
          <cell r="P201" t="str">
            <v>Not Available</v>
          </cell>
          <cell r="Q201" t="str">
            <v>Not Available</v>
          </cell>
          <cell r="R201" t="str">
            <v>Not Available</v>
          </cell>
          <cell r="S201" t="str">
            <v>Antah Sri Radin Sdn. Bhd</v>
          </cell>
          <cell r="T201" t="str">
            <v>Functioning</v>
          </cell>
          <cell r="U201" t="str">
            <v>Asset</v>
          </cell>
          <cell r="V201">
            <v>4000</v>
          </cell>
          <cell r="W201" t="str">
            <v>KEW</v>
          </cell>
          <cell r="X201" t="str">
            <v>01/09/2010</v>
          </cell>
          <cell r="Y201" t="str">
            <v>KEW</v>
          </cell>
          <cell r="Z201" t="str">
            <v>16/08/2013</v>
          </cell>
          <cell r="AA201" t="str">
            <v>15/08/2015</v>
          </cell>
          <cell r="AB201" t="str">
            <v>No</v>
          </cell>
          <cell r="AC201" t="str">
            <v>31/08/2013</v>
          </cell>
          <cell r="AD201" t="str">
            <v>Good</v>
          </cell>
          <cell r="AE201" t="str">
            <v>V4 - Decommissioned Installed Facility</v>
          </cell>
          <cell r="AF201">
            <v>42704</v>
          </cell>
          <cell r="AG201">
            <v>9.17</v>
          </cell>
          <cell r="AH201" t="str">
            <v>RI</v>
          </cell>
          <cell r="AI201" t="str">
            <v>Not in contract</v>
          </cell>
          <cell r="AJ201" t="str">
            <v>Not under maintenance</v>
          </cell>
          <cell r="AK201" t="str">
            <v>Will be under V4. Taken out of contract as agreed by IKN</v>
          </cell>
        </row>
        <row r="202">
          <cell r="A202" t="str">
            <v>IKN401332</v>
          </cell>
          <cell r="B202">
            <v>1326</v>
          </cell>
          <cell r="C202" t="str">
            <v>Institut Kanser Negara</v>
          </cell>
          <cell r="D202" t="str">
            <v>KKM/IKN/H/13/5123</v>
          </cell>
          <cell r="E202" t="str">
            <v>18-595</v>
          </cell>
          <cell r="F202" t="str">
            <v>Ophthalmoscopes/Otoscopes</v>
          </cell>
          <cell r="G202" t="str">
            <v>DO</v>
          </cell>
          <cell r="H202" t="str">
            <v>DAY ONCOLOGY UNIT</v>
          </cell>
          <cell r="I202" t="str">
            <v>04DO105</v>
          </cell>
          <cell r="J202" t="str">
            <v>C/E</v>
          </cell>
          <cell r="K202" t="str">
            <v>BMED</v>
          </cell>
          <cell r="L202" t="str">
            <v>Normal</v>
          </cell>
          <cell r="M202" t="str">
            <v>USA</v>
          </cell>
          <cell r="N202" t="str">
            <v>Welch Allyn</v>
          </cell>
          <cell r="O202" t="str">
            <v>Welch Allyn 71904</v>
          </cell>
          <cell r="P202" t="str">
            <v>GD0019-29</v>
          </cell>
          <cell r="Q202" t="str">
            <v>Not Available</v>
          </cell>
          <cell r="R202" t="str">
            <v>Welch Allyn Inc</v>
          </cell>
          <cell r="S202" t="str">
            <v>Welch Allyn</v>
          </cell>
          <cell r="T202" t="str">
            <v>Functioning</v>
          </cell>
          <cell r="U202" t="str">
            <v>Asset</v>
          </cell>
          <cell r="V202">
            <v>4690</v>
          </cell>
          <cell r="W202" t="str">
            <v>KEW</v>
          </cell>
          <cell r="X202" t="str">
            <v>01/09/2010</v>
          </cell>
          <cell r="Y202" t="str">
            <v>KEW</v>
          </cell>
          <cell r="Z202" t="str">
            <v>16/08/2013</v>
          </cell>
          <cell r="AA202" t="str">
            <v>15/08/2015</v>
          </cell>
          <cell r="AB202" t="str">
            <v>No</v>
          </cell>
          <cell r="AC202" t="str">
            <v>16/08/2013</v>
          </cell>
          <cell r="AD202" t="str">
            <v>Good</v>
          </cell>
          <cell r="AE202" t="str">
            <v>V1 - Existing / No Claim</v>
          </cell>
          <cell r="AF202">
            <v>42663</v>
          </cell>
          <cell r="AG202">
            <v>9.17</v>
          </cell>
          <cell r="AH202" t="str">
            <v>RI</v>
          </cell>
          <cell r="AI202" t="str">
            <v>Strands</v>
          </cell>
          <cell r="AJ202" t="str">
            <v>Not under maintenance</v>
          </cell>
        </row>
        <row r="203">
          <cell r="A203" t="str">
            <v>IKN401333</v>
          </cell>
          <cell r="B203">
            <v>1327</v>
          </cell>
          <cell r="C203" t="str">
            <v>Institut Kanser Negara</v>
          </cell>
          <cell r="D203" t="str">
            <v>KKM/IKN/H/13/5122</v>
          </cell>
          <cell r="E203" t="str">
            <v>18-595</v>
          </cell>
          <cell r="F203" t="str">
            <v>Ophthalmoscopes/Otoscopes</v>
          </cell>
          <cell r="G203" t="str">
            <v>DO</v>
          </cell>
          <cell r="H203" t="str">
            <v>DAY ONCOLOGY UNIT</v>
          </cell>
          <cell r="I203" t="str">
            <v>04DO131</v>
          </cell>
          <cell r="J203" t="str">
            <v>NURSE STATION</v>
          </cell>
          <cell r="K203" t="str">
            <v>BMED</v>
          </cell>
          <cell r="L203" t="str">
            <v>Normal</v>
          </cell>
          <cell r="M203" t="str">
            <v>USA</v>
          </cell>
          <cell r="N203" t="str">
            <v>Welch Allyn</v>
          </cell>
          <cell r="O203" t="str">
            <v>Welch Allyn 97150-BIM</v>
          </cell>
          <cell r="P203" t="str">
            <v>GD0019-7</v>
          </cell>
          <cell r="Q203" t="str">
            <v>Not Available</v>
          </cell>
          <cell r="R203" t="str">
            <v>Welch Allyn Inc</v>
          </cell>
          <cell r="S203" t="str">
            <v>Welch Allyn Malaysia Sdn. Bhd</v>
          </cell>
          <cell r="T203" t="str">
            <v>Functioning</v>
          </cell>
          <cell r="U203" t="str">
            <v>Asset</v>
          </cell>
          <cell r="V203">
            <v>4690</v>
          </cell>
          <cell r="W203" t="str">
            <v>KEW</v>
          </cell>
          <cell r="X203" t="str">
            <v>01/09/2010</v>
          </cell>
          <cell r="Y203" t="str">
            <v>KEW</v>
          </cell>
          <cell r="Z203" t="str">
            <v>16/08/2013</v>
          </cell>
          <cell r="AA203" t="str">
            <v>15/08/2015</v>
          </cell>
          <cell r="AB203" t="str">
            <v>No</v>
          </cell>
          <cell r="AC203" t="str">
            <v>31/08/2013</v>
          </cell>
          <cell r="AD203" t="str">
            <v>Good</v>
          </cell>
          <cell r="AE203" t="str">
            <v>V1 - Existing / No Claim</v>
          </cell>
          <cell r="AF203">
            <v>42704</v>
          </cell>
          <cell r="AG203">
            <v>9.17</v>
          </cell>
          <cell r="AH203" t="str">
            <v>RI</v>
          </cell>
          <cell r="AI203" t="str">
            <v>Strands</v>
          </cell>
          <cell r="AJ203" t="str">
            <v>Not under maintenance</v>
          </cell>
        </row>
        <row r="204">
          <cell r="A204" t="str">
            <v>IKN401334</v>
          </cell>
          <cell r="B204">
            <v>1328</v>
          </cell>
          <cell r="C204" t="str">
            <v>Institut Kanser Negara</v>
          </cell>
          <cell r="D204" t="e">
            <v>#N/A</v>
          </cell>
          <cell r="E204" t="str">
            <v>18-595</v>
          </cell>
          <cell r="F204" t="str">
            <v>Ophthalmoscopes/Otoscopes</v>
          </cell>
          <cell r="G204" t="str">
            <v>DO</v>
          </cell>
          <cell r="H204" t="str">
            <v>DAY ONCOLOGY UNIT</v>
          </cell>
          <cell r="I204" t="str">
            <v>04do133</v>
          </cell>
          <cell r="J204" t="str">
            <v>CLEAN UTILITY</v>
          </cell>
          <cell r="K204" t="str">
            <v>BMED</v>
          </cell>
          <cell r="L204" t="str">
            <v>Normal</v>
          </cell>
          <cell r="M204" t="str">
            <v>USA</v>
          </cell>
          <cell r="N204" t="str">
            <v>Welch Allyn</v>
          </cell>
          <cell r="O204" t="str">
            <v>Welch Allyn 97150-BIM</v>
          </cell>
          <cell r="P204" t="str">
            <v>Not Available</v>
          </cell>
          <cell r="Q204" t="str">
            <v>Not Available</v>
          </cell>
          <cell r="R204" t="str">
            <v>Welch Allyn Inc</v>
          </cell>
          <cell r="S204" t="str">
            <v>Welch Allyn Malaysia Sdn. Bhd</v>
          </cell>
          <cell r="T204" t="str">
            <v>Functioning</v>
          </cell>
          <cell r="U204" t="str">
            <v>Asset</v>
          </cell>
          <cell r="V204">
            <v>4690</v>
          </cell>
          <cell r="W204" t="str">
            <v>KEW</v>
          </cell>
          <cell r="X204" t="str">
            <v>01/09/2010</v>
          </cell>
          <cell r="Y204" t="str">
            <v>KEW</v>
          </cell>
          <cell r="Z204" t="str">
            <v>16/08/2013</v>
          </cell>
          <cell r="AA204" t="str">
            <v>15/08/2015</v>
          </cell>
          <cell r="AB204" t="str">
            <v>No</v>
          </cell>
          <cell r="AC204" t="str">
            <v>31/08/2013</v>
          </cell>
          <cell r="AD204" t="str">
            <v>Good</v>
          </cell>
          <cell r="AE204" t="str">
            <v>V1 - Existing / No Claim</v>
          </cell>
          <cell r="AF204">
            <v>42704</v>
          </cell>
          <cell r="AG204">
            <v>9.17</v>
          </cell>
          <cell r="AH204" t="str">
            <v>RI</v>
          </cell>
          <cell r="AI204" t="str">
            <v>Not in contract</v>
          </cell>
          <cell r="AJ204" t="str">
            <v>Not under maintenance</v>
          </cell>
          <cell r="AK204" t="str">
            <v>Will be under V4. Taken out of contract as agreed by IKN</v>
          </cell>
        </row>
        <row r="205">
          <cell r="A205" t="str">
            <v>IKN401372</v>
          </cell>
          <cell r="B205">
            <v>1366</v>
          </cell>
          <cell r="C205" t="str">
            <v>Institut Kanser Negara</v>
          </cell>
          <cell r="D205" t="str">
            <v>KKM/IKN/H/13/2665-01</v>
          </cell>
          <cell r="E205" t="str">
            <v>15-076</v>
          </cell>
          <cell r="F205" t="str">
            <v>Laryngoscopes, Rigid</v>
          </cell>
          <cell r="G205" t="str">
            <v>ID</v>
          </cell>
          <cell r="H205" t="str">
            <v>IMAGING DEPARTMENT</v>
          </cell>
          <cell r="I205" t="str">
            <v>03id107</v>
          </cell>
          <cell r="J205" t="str">
            <v>RESUS EQ.BAY</v>
          </cell>
          <cell r="K205" t="str">
            <v>BMED</v>
          </cell>
          <cell r="L205" t="str">
            <v>Normal</v>
          </cell>
          <cell r="M205" t="str">
            <v>Not Available</v>
          </cell>
          <cell r="N205" t="str">
            <v>Not Available</v>
          </cell>
          <cell r="O205" t="str">
            <v>Not Available</v>
          </cell>
          <cell r="P205" t="str">
            <v>Not Available</v>
          </cell>
          <cell r="Q205" t="str">
            <v>Not Available</v>
          </cell>
          <cell r="R205" t="str">
            <v>Not Available</v>
          </cell>
          <cell r="S205" t="str">
            <v>Antah Sri Radin Sdn. Bhd</v>
          </cell>
          <cell r="T205" t="str">
            <v>Functioning</v>
          </cell>
          <cell r="U205" t="str">
            <v>Asset</v>
          </cell>
          <cell r="V205">
            <v>4000</v>
          </cell>
          <cell r="W205" t="str">
            <v>KEW</v>
          </cell>
          <cell r="X205" t="str">
            <v>01/09/2010</v>
          </cell>
          <cell r="Y205" t="str">
            <v>KEW</v>
          </cell>
          <cell r="Z205" t="str">
            <v>16/08/2013</v>
          </cell>
          <cell r="AA205" t="str">
            <v>15/08/2015</v>
          </cell>
          <cell r="AB205" t="str">
            <v>No</v>
          </cell>
          <cell r="AC205" t="str">
            <v>31/08/2013</v>
          </cell>
          <cell r="AD205" t="str">
            <v>Good</v>
          </cell>
          <cell r="AE205" t="str">
            <v>V4 - Decommissioned Installed Facility</v>
          </cell>
          <cell r="AF205">
            <v>42696</v>
          </cell>
          <cell r="AG205">
            <v>9.17</v>
          </cell>
          <cell r="AH205" t="str">
            <v>RI</v>
          </cell>
          <cell r="AI205" t="str">
            <v>Not in contract</v>
          </cell>
          <cell r="AJ205" t="str">
            <v>Not under maintenance</v>
          </cell>
          <cell r="AK205" t="str">
            <v>Will be under V4. Taken out of contract as agreed by IKN. Under MRI</v>
          </cell>
        </row>
        <row r="206">
          <cell r="A206" t="str">
            <v>IKN401373</v>
          </cell>
          <cell r="B206">
            <v>1367</v>
          </cell>
          <cell r="C206" t="str">
            <v>Institut Kanser Negara</v>
          </cell>
          <cell r="D206" t="str">
            <v>KKM/IKN/H/13/3940-13</v>
          </cell>
          <cell r="E206" t="str">
            <v>15-076</v>
          </cell>
          <cell r="F206" t="str">
            <v>Laryngoscopes, Rigid</v>
          </cell>
          <cell r="G206" t="str">
            <v>ID</v>
          </cell>
          <cell r="H206" t="str">
            <v>IMAGING DEPARTMENT</v>
          </cell>
          <cell r="I206" t="str">
            <v>03ID107</v>
          </cell>
          <cell r="J206" t="str">
            <v>RESUS EQ.BAY</v>
          </cell>
          <cell r="K206" t="str">
            <v>BMED</v>
          </cell>
          <cell r="L206" t="str">
            <v>Normal</v>
          </cell>
          <cell r="M206" t="str">
            <v>Not Available</v>
          </cell>
          <cell r="N206" t="str">
            <v>Not Available</v>
          </cell>
          <cell r="O206" t="str">
            <v>Not Available</v>
          </cell>
          <cell r="P206" t="str">
            <v>Not Available</v>
          </cell>
          <cell r="Q206" t="str">
            <v>Not Available</v>
          </cell>
          <cell r="R206" t="str">
            <v>Not Available</v>
          </cell>
          <cell r="S206" t="str">
            <v>Antah Sri Radin Sdn. Bhd</v>
          </cell>
          <cell r="T206" t="str">
            <v>Functioning</v>
          </cell>
          <cell r="U206" t="str">
            <v>Asset</v>
          </cell>
          <cell r="V206">
            <v>4000</v>
          </cell>
          <cell r="W206" t="str">
            <v>KEW</v>
          </cell>
          <cell r="X206" t="str">
            <v>01/09/2010</v>
          </cell>
          <cell r="Y206" t="str">
            <v>KEW</v>
          </cell>
          <cell r="Z206" t="str">
            <v>16/08/2013</v>
          </cell>
          <cell r="AA206" t="str">
            <v>15/08/2015</v>
          </cell>
          <cell r="AB206" t="str">
            <v>No</v>
          </cell>
          <cell r="AC206" t="str">
            <v>31/08/2013</v>
          </cell>
          <cell r="AD206" t="str">
            <v>Good</v>
          </cell>
          <cell r="AE206" t="str">
            <v>V4 - Decommissioned Installed Facility</v>
          </cell>
          <cell r="AF206">
            <v>42697</v>
          </cell>
          <cell r="AG206">
            <v>9.17</v>
          </cell>
          <cell r="AH206" t="str">
            <v>RI</v>
          </cell>
          <cell r="AI206" t="str">
            <v>Not in contract</v>
          </cell>
          <cell r="AJ206" t="str">
            <v>Not under maintenance</v>
          </cell>
          <cell r="AK206" t="str">
            <v>Will be under V4. Taken out of contract as agreed by IKN. Dekat Nurse Bay</v>
          </cell>
        </row>
        <row r="207">
          <cell r="A207" t="str">
            <v>IKN401374</v>
          </cell>
          <cell r="B207">
            <v>1368</v>
          </cell>
          <cell r="C207" t="str">
            <v>Institut Kanser Negara</v>
          </cell>
          <cell r="D207" t="str">
            <v>NA</v>
          </cell>
          <cell r="E207" t="str">
            <v>15-076</v>
          </cell>
          <cell r="F207" t="str">
            <v>Laryngoscopes, Rigid</v>
          </cell>
          <cell r="G207" t="str">
            <v>WA</v>
          </cell>
          <cell r="H207" t="str">
            <v>NUCLEAR MED WARD (THERAPY)</v>
          </cell>
          <cell r="I207" t="str">
            <v>03WA121</v>
          </cell>
          <cell r="J207" t="str">
            <v>N/S 2</v>
          </cell>
          <cell r="K207" t="str">
            <v>BMED</v>
          </cell>
          <cell r="L207" t="str">
            <v>Normal</v>
          </cell>
          <cell r="M207" t="str">
            <v>Not Available</v>
          </cell>
          <cell r="N207" t="str">
            <v>Not Available</v>
          </cell>
          <cell r="O207" t="str">
            <v>Not Available</v>
          </cell>
          <cell r="P207" t="str">
            <v>Not Available</v>
          </cell>
          <cell r="Q207" t="str">
            <v>Not Available</v>
          </cell>
          <cell r="R207" t="str">
            <v>Not Available</v>
          </cell>
          <cell r="S207" t="str">
            <v>Antah Sri Radin Sdn. Bhd</v>
          </cell>
          <cell r="T207" t="str">
            <v>Functioning</v>
          </cell>
          <cell r="U207" t="str">
            <v>Asset</v>
          </cell>
          <cell r="V207">
            <v>4000</v>
          </cell>
          <cell r="W207" t="str">
            <v>KEW</v>
          </cell>
          <cell r="X207" t="str">
            <v>01/09/2010</v>
          </cell>
          <cell r="Y207" t="str">
            <v>KEW</v>
          </cell>
          <cell r="Z207" t="str">
            <v>16/08/2013</v>
          </cell>
          <cell r="AA207" t="str">
            <v>15/08/2015</v>
          </cell>
          <cell r="AB207" t="str">
            <v>No</v>
          </cell>
          <cell r="AC207" t="str">
            <v>31/08/2013</v>
          </cell>
          <cell r="AD207" t="str">
            <v>Good</v>
          </cell>
          <cell r="AE207" t="str">
            <v>V4 - Decommissioned Installed Facility</v>
          </cell>
          <cell r="AF207">
            <v>42697</v>
          </cell>
          <cell r="AG207">
            <v>9.17</v>
          </cell>
          <cell r="AH207" t="str">
            <v>RI</v>
          </cell>
          <cell r="AI207" t="str">
            <v>Not in contract</v>
          </cell>
          <cell r="AJ207" t="str">
            <v>Not under maintenance</v>
          </cell>
          <cell r="AK207" t="str">
            <v>Will be under V4. Taken out of contract as agreed by IKN</v>
          </cell>
        </row>
        <row r="208">
          <cell r="A208" t="str">
            <v>IKN401375</v>
          </cell>
          <cell r="B208">
            <v>1369</v>
          </cell>
          <cell r="C208" t="str">
            <v>Institut Kanser Negara</v>
          </cell>
          <cell r="D208" t="e">
            <v>#N/A</v>
          </cell>
          <cell r="E208" t="str">
            <v>15-076</v>
          </cell>
          <cell r="F208" t="str">
            <v>Laryngoscopes, Rigid</v>
          </cell>
          <cell r="G208" t="str">
            <v>NM</v>
          </cell>
          <cell r="H208" t="str">
            <v>NUCLEAR MED (DIAGNOSTIC)</v>
          </cell>
          <cell r="I208" t="str">
            <v>03nm155</v>
          </cell>
          <cell r="J208" t="str">
            <v>STRESS LAB</v>
          </cell>
          <cell r="K208" t="str">
            <v>BMED</v>
          </cell>
          <cell r="L208" t="str">
            <v>Normal</v>
          </cell>
          <cell r="M208" t="str">
            <v>Not Available</v>
          </cell>
          <cell r="N208" t="str">
            <v>Not Available</v>
          </cell>
          <cell r="O208" t="str">
            <v>Not Available</v>
          </cell>
          <cell r="P208" t="str">
            <v>Not Available</v>
          </cell>
          <cell r="Q208" t="str">
            <v>Not Available</v>
          </cell>
          <cell r="R208" t="str">
            <v>Not Available</v>
          </cell>
          <cell r="S208" t="str">
            <v>Antah Sri Radin Sdn. Bhd</v>
          </cell>
          <cell r="T208" t="str">
            <v>Functioning</v>
          </cell>
          <cell r="U208" t="str">
            <v>Asset</v>
          </cell>
          <cell r="V208">
            <v>4000</v>
          </cell>
          <cell r="W208" t="str">
            <v>KEW</v>
          </cell>
          <cell r="X208" t="str">
            <v>01/09/2010</v>
          </cell>
          <cell r="Y208" t="str">
            <v>KEW</v>
          </cell>
          <cell r="Z208" t="str">
            <v>16/08/2013</v>
          </cell>
          <cell r="AA208" t="str">
            <v>15/08/2015</v>
          </cell>
          <cell r="AB208" t="str">
            <v>No</v>
          </cell>
          <cell r="AC208" t="str">
            <v>31/08/2013</v>
          </cell>
          <cell r="AD208" t="str">
            <v>Good</v>
          </cell>
          <cell r="AE208" t="str">
            <v>V4 - Decommissioned Installed Facility</v>
          </cell>
          <cell r="AF208">
            <v>42696</v>
          </cell>
          <cell r="AG208">
            <v>9.17</v>
          </cell>
          <cell r="AH208" t="str">
            <v>RI</v>
          </cell>
          <cell r="AI208" t="str">
            <v>Not in contract</v>
          </cell>
          <cell r="AJ208" t="str">
            <v>Not under maintenance</v>
          </cell>
          <cell r="AK208" t="str">
            <v>Will be under V4. Taken out of contract as agreed by IKN</v>
          </cell>
        </row>
        <row r="209">
          <cell r="A209" t="str">
            <v>IKN401376</v>
          </cell>
          <cell r="B209">
            <v>1370</v>
          </cell>
          <cell r="C209" t="str">
            <v>Institut Kanser Negara</v>
          </cell>
          <cell r="D209" t="e">
            <v>#N/A</v>
          </cell>
          <cell r="E209" t="str">
            <v>15-076</v>
          </cell>
          <cell r="F209" t="str">
            <v>Laryngoscopes, Rigid</v>
          </cell>
          <cell r="G209" t="str">
            <v>NM</v>
          </cell>
          <cell r="H209" t="str">
            <v>NUCLEAR MED (DIAGNOSTIC)</v>
          </cell>
          <cell r="I209" t="str">
            <v>03nm155</v>
          </cell>
          <cell r="J209" t="str">
            <v>STRESS LAB</v>
          </cell>
          <cell r="K209" t="str">
            <v>BMED</v>
          </cell>
          <cell r="L209" t="str">
            <v>Normal</v>
          </cell>
          <cell r="M209" t="str">
            <v>Not Available</v>
          </cell>
          <cell r="N209" t="str">
            <v>Not Available</v>
          </cell>
          <cell r="O209" t="str">
            <v>Not Available</v>
          </cell>
          <cell r="P209" t="str">
            <v>Not Available</v>
          </cell>
          <cell r="Q209" t="str">
            <v>Not Available</v>
          </cell>
          <cell r="R209" t="str">
            <v>Not Available</v>
          </cell>
          <cell r="S209" t="str">
            <v>Antah Sri Radin Sdn. Bhd</v>
          </cell>
          <cell r="T209" t="str">
            <v>Functioning</v>
          </cell>
          <cell r="U209" t="str">
            <v>Asset</v>
          </cell>
          <cell r="V209">
            <v>4000</v>
          </cell>
          <cell r="W209" t="str">
            <v>KEW</v>
          </cell>
          <cell r="X209" t="str">
            <v>01/09/2010</v>
          </cell>
          <cell r="Y209" t="str">
            <v>KEW</v>
          </cell>
          <cell r="Z209" t="str">
            <v>16/08/2013</v>
          </cell>
          <cell r="AA209" t="str">
            <v>15/08/2015</v>
          </cell>
          <cell r="AB209" t="str">
            <v>No</v>
          </cell>
          <cell r="AC209" t="str">
            <v>31/08/2013</v>
          </cell>
          <cell r="AD209" t="str">
            <v>Good</v>
          </cell>
          <cell r="AE209" t="str">
            <v>V4 - Decommissioned Installed Facility</v>
          </cell>
          <cell r="AF209">
            <v>42696</v>
          </cell>
          <cell r="AG209">
            <v>9.17</v>
          </cell>
          <cell r="AH209" t="str">
            <v>RI</v>
          </cell>
          <cell r="AI209" t="str">
            <v>Not in contract</v>
          </cell>
          <cell r="AJ209" t="str">
            <v>Not under maintenance</v>
          </cell>
          <cell r="AK209" t="str">
            <v>Will be under V4. Taken out of contract as agreed by IKN</v>
          </cell>
        </row>
        <row r="210">
          <cell r="A210" t="str">
            <v>IKN401377</v>
          </cell>
          <cell r="B210">
            <v>1371</v>
          </cell>
          <cell r="C210" t="str">
            <v>Institut Kanser Negara</v>
          </cell>
          <cell r="D210" t="e">
            <v>#N/A</v>
          </cell>
          <cell r="E210" t="str">
            <v>15-076</v>
          </cell>
          <cell r="F210" t="str">
            <v>Laryngoscopes, Rigid</v>
          </cell>
          <cell r="G210" t="str">
            <v>WA</v>
          </cell>
          <cell r="H210" t="str">
            <v>NUCLEAR MED WARD (THERAPY)</v>
          </cell>
          <cell r="I210" t="str">
            <v>03WA121</v>
          </cell>
          <cell r="J210" t="str">
            <v>N/S 2</v>
          </cell>
          <cell r="K210" t="str">
            <v>BMED</v>
          </cell>
          <cell r="L210" t="str">
            <v>Normal</v>
          </cell>
          <cell r="M210" t="str">
            <v>Not Available</v>
          </cell>
          <cell r="N210" t="str">
            <v>Not Available</v>
          </cell>
          <cell r="O210" t="str">
            <v>Not Available</v>
          </cell>
          <cell r="P210" t="str">
            <v>Not Available</v>
          </cell>
          <cell r="Q210" t="str">
            <v>Not Available</v>
          </cell>
          <cell r="R210" t="str">
            <v>Not Available</v>
          </cell>
          <cell r="S210" t="str">
            <v>Antah Sri Radin Sdn. Bhd</v>
          </cell>
          <cell r="T210" t="str">
            <v>Functioning</v>
          </cell>
          <cell r="U210" t="str">
            <v>Asset</v>
          </cell>
          <cell r="V210">
            <v>4000</v>
          </cell>
          <cell r="W210" t="str">
            <v>KEW</v>
          </cell>
          <cell r="X210" t="str">
            <v>01/09/2010</v>
          </cell>
          <cell r="Y210" t="str">
            <v>KEW</v>
          </cell>
          <cell r="Z210" t="str">
            <v>16/08/2013</v>
          </cell>
          <cell r="AA210" t="str">
            <v>15/08/2015</v>
          </cell>
          <cell r="AB210" t="str">
            <v>No</v>
          </cell>
          <cell r="AC210" t="str">
            <v>31/08/2013</v>
          </cell>
          <cell r="AD210" t="str">
            <v>Good</v>
          </cell>
          <cell r="AE210" t="str">
            <v>V4 - Decommissioned Installed Facility</v>
          </cell>
          <cell r="AF210">
            <v>42697</v>
          </cell>
          <cell r="AG210">
            <v>9.17</v>
          </cell>
          <cell r="AH210" t="str">
            <v>RI</v>
          </cell>
          <cell r="AI210" t="str">
            <v>Not in contract</v>
          </cell>
          <cell r="AJ210" t="str">
            <v>Not under maintenance</v>
          </cell>
          <cell r="AK210" t="str">
            <v>Will be under V4. Taken out of contract as agreed by IKN</v>
          </cell>
        </row>
        <row r="211">
          <cell r="A211" t="str">
            <v>IKN401378</v>
          </cell>
          <cell r="B211">
            <v>1372</v>
          </cell>
          <cell r="C211" t="str">
            <v>Institut Kanser Negara</v>
          </cell>
          <cell r="D211" t="e">
            <v>#N/A</v>
          </cell>
          <cell r="E211" t="str">
            <v>15-076</v>
          </cell>
          <cell r="F211" t="str">
            <v>Laryngoscopes, Rigid</v>
          </cell>
          <cell r="G211" t="str">
            <v>WA</v>
          </cell>
          <cell r="H211" t="str">
            <v>NUCLEAR MED WARD (THERAPY)</v>
          </cell>
          <cell r="I211" t="str">
            <v>03WA117</v>
          </cell>
          <cell r="J211" t="str">
            <v>N/S 1</v>
          </cell>
          <cell r="K211" t="str">
            <v>BMED</v>
          </cell>
          <cell r="L211" t="str">
            <v>Normal</v>
          </cell>
          <cell r="M211" t="str">
            <v>Not Available</v>
          </cell>
          <cell r="N211" t="str">
            <v>Not Available</v>
          </cell>
          <cell r="O211" t="str">
            <v>Not Available</v>
          </cell>
          <cell r="P211" t="str">
            <v>Not Available</v>
          </cell>
          <cell r="Q211" t="str">
            <v>N</v>
          </cell>
          <cell r="R211" t="str">
            <v>Not Available</v>
          </cell>
          <cell r="S211" t="str">
            <v>Antah Sri Radin Sdn. Bhd</v>
          </cell>
          <cell r="T211" t="str">
            <v>Functioning</v>
          </cell>
          <cell r="U211" t="str">
            <v>Asset</v>
          </cell>
          <cell r="V211">
            <v>4000</v>
          </cell>
          <cell r="W211" t="str">
            <v>KEW</v>
          </cell>
          <cell r="X211" t="str">
            <v>01/09/2010</v>
          </cell>
          <cell r="Y211" t="str">
            <v>KEW</v>
          </cell>
          <cell r="Z211" t="str">
            <v>16/08/2013</v>
          </cell>
          <cell r="AA211" t="str">
            <v>15/08/2015</v>
          </cell>
          <cell r="AB211" t="str">
            <v>No</v>
          </cell>
          <cell r="AC211" t="str">
            <v>31/08/2013</v>
          </cell>
          <cell r="AD211" t="str">
            <v>Good</v>
          </cell>
          <cell r="AE211" t="str">
            <v>V4 - Decommissioned Installed Facility</v>
          </cell>
          <cell r="AF211">
            <v>42697</v>
          </cell>
          <cell r="AG211">
            <v>9.17</v>
          </cell>
          <cell r="AH211" t="str">
            <v>RI</v>
          </cell>
          <cell r="AI211" t="str">
            <v>Not in contract</v>
          </cell>
          <cell r="AJ211" t="str">
            <v>Not under maintenance</v>
          </cell>
          <cell r="AK211" t="str">
            <v>Will be under V4. Taken out of contract as agreed by IKN</v>
          </cell>
        </row>
        <row r="212">
          <cell r="A212" t="str">
            <v>IKN401379</v>
          </cell>
          <cell r="B212">
            <v>1373</v>
          </cell>
          <cell r="C212" t="str">
            <v>Institut Kanser Negara</v>
          </cell>
          <cell r="D212" t="e">
            <v>#N/A</v>
          </cell>
          <cell r="E212" t="str">
            <v>15-076</v>
          </cell>
          <cell r="F212" t="str">
            <v>Laryngoscopes, Rigid</v>
          </cell>
          <cell r="G212" t="str">
            <v>WA</v>
          </cell>
          <cell r="H212" t="str">
            <v>NUCLEAR MED WARD (THERAPY)</v>
          </cell>
          <cell r="I212" t="str">
            <v>03WA117</v>
          </cell>
          <cell r="J212" t="str">
            <v>N/S 1</v>
          </cell>
          <cell r="K212" t="str">
            <v>BMED</v>
          </cell>
          <cell r="L212" t="str">
            <v>Normal</v>
          </cell>
          <cell r="M212" t="str">
            <v>Not Available</v>
          </cell>
          <cell r="N212" t="str">
            <v>Not Available</v>
          </cell>
          <cell r="O212" t="str">
            <v>Not Available</v>
          </cell>
          <cell r="P212" t="str">
            <v>Not Available</v>
          </cell>
          <cell r="Q212" t="str">
            <v>Not Available</v>
          </cell>
          <cell r="R212" t="str">
            <v>Not Available</v>
          </cell>
          <cell r="S212" t="str">
            <v>Antah Sri Radin Sdn. Bhd</v>
          </cell>
          <cell r="T212" t="str">
            <v>Functioning</v>
          </cell>
          <cell r="U212" t="str">
            <v>Asset</v>
          </cell>
          <cell r="V212">
            <v>4000</v>
          </cell>
          <cell r="W212" t="str">
            <v>KEW</v>
          </cell>
          <cell r="X212" t="str">
            <v>01/09/2010</v>
          </cell>
          <cell r="Y212" t="str">
            <v>KEW</v>
          </cell>
          <cell r="Z212" t="str">
            <v>16/08/2013</v>
          </cell>
          <cell r="AA212" t="str">
            <v>15/08/2015</v>
          </cell>
          <cell r="AB212" t="str">
            <v>No</v>
          </cell>
          <cell r="AC212" t="str">
            <v>31/08/2013</v>
          </cell>
          <cell r="AD212" t="str">
            <v>Good</v>
          </cell>
          <cell r="AE212" t="str">
            <v>V4 - Decommissioned Installed Facility</v>
          </cell>
          <cell r="AF212">
            <v>42697</v>
          </cell>
          <cell r="AG212">
            <v>9.17</v>
          </cell>
          <cell r="AH212" t="str">
            <v>RI</v>
          </cell>
          <cell r="AI212" t="str">
            <v>Not in contract</v>
          </cell>
          <cell r="AJ212" t="str">
            <v>Not under maintenance</v>
          </cell>
          <cell r="AK212" t="str">
            <v>Will be under V4. Taken out of contract as agreed by IKN</v>
          </cell>
        </row>
        <row r="213">
          <cell r="A213" t="str">
            <v>IKN401406</v>
          </cell>
          <cell r="B213">
            <v>1390</v>
          </cell>
          <cell r="C213" t="str">
            <v>Institut Kanser Negara</v>
          </cell>
          <cell r="D213" t="e">
            <v>#N/A</v>
          </cell>
          <cell r="E213" t="str">
            <v>17-887</v>
          </cell>
          <cell r="F213" t="str">
            <v>Thermometers, Electronic, Infrared, Ear</v>
          </cell>
          <cell r="G213" t="str">
            <v>WJ</v>
          </cell>
          <cell r="H213" t="str">
            <v>MULTIDISCIPLINE WARD 1</v>
          </cell>
          <cell r="I213" t="str">
            <v>09WJ222</v>
          </cell>
          <cell r="J213" t="str">
            <v>TREATMENT</v>
          </cell>
          <cell r="K213" t="str">
            <v>BMED</v>
          </cell>
          <cell r="L213" t="str">
            <v>Normal</v>
          </cell>
          <cell r="M213" t="str">
            <v>Mexico</v>
          </cell>
          <cell r="N213" t="str">
            <v>Thermoscan</v>
          </cell>
          <cell r="O213" t="str">
            <v>Thermoscan Pro 4000</v>
          </cell>
          <cell r="P213" t="str">
            <v>33412K01028</v>
          </cell>
          <cell r="Q213" t="str">
            <v>Not Available</v>
          </cell>
          <cell r="R213" t="str">
            <v>Welch Allyn Inc</v>
          </cell>
          <cell r="S213" t="str">
            <v>Welch Allyn Malaysia Sdn. Bhd</v>
          </cell>
          <cell r="T213" t="str">
            <v>Functioning</v>
          </cell>
          <cell r="U213" t="str">
            <v>Asset</v>
          </cell>
          <cell r="V213">
            <v>540</v>
          </cell>
          <cell r="W213" t="str">
            <v>KEW</v>
          </cell>
          <cell r="X213" t="str">
            <v>01/09/2010</v>
          </cell>
          <cell r="Y213" t="str">
            <v>KEW</v>
          </cell>
          <cell r="Z213" t="str">
            <v>16/08/2013</v>
          </cell>
          <cell r="AA213" t="str">
            <v>15/08/2015</v>
          </cell>
          <cell r="AB213" t="str">
            <v>No</v>
          </cell>
          <cell r="AC213" t="str">
            <v>31/08/2013</v>
          </cell>
          <cell r="AD213" t="str">
            <v>Good</v>
          </cell>
          <cell r="AE213" t="str">
            <v>V1 - Existing / No Claim</v>
          </cell>
          <cell r="AF213">
            <v>42781</v>
          </cell>
          <cell r="AG213">
            <v>9.17</v>
          </cell>
          <cell r="AH213" t="str">
            <v>RI</v>
          </cell>
          <cell r="AI213" t="str">
            <v>Not in contract</v>
          </cell>
          <cell r="AJ213" t="str">
            <v>Not under maintenance</v>
          </cell>
          <cell r="AK213" t="str">
            <v>Repalced new unit (RTM). S/N:31419K41381. B.Braun Thermoscan5</v>
          </cell>
        </row>
        <row r="214">
          <cell r="A214" t="str">
            <v>IKN401408</v>
          </cell>
          <cell r="B214">
            <v>1391</v>
          </cell>
          <cell r="C214" t="str">
            <v>Institut Kanser Negara</v>
          </cell>
          <cell r="D214" t="e">
            <v>#N/A</v>
          </cell>
          <cell r="E214" t="str">
            <v>17-887</v>
          </cell>
          <cell r="F214" t="str">
            <v>Thermometers, Electronic, Infrared, Ear</v>
          </cell>
          <cell r="G214" t="str">
            <v>WJ</v>
          </cell>
          <cell r="H214" t="str">
            <v>MULTIDISCIPLINE WARD 1</v>
          </cell>
          <cell r="I214" t="str">
            <v>09WJ130</v>
          </cell>
          <cell r="J214" t="str">
            <v>TREATMENT/ PROCEDURE</v>
          </cell>
          <cell r="K214" t="str">
            <v>BMED</v>
          </cell>
          <cell r="L214" t="str">
            <v>Normal</v>
          </cell>
          <cell r="M214" t="str">
            <v>Mexico</v>
          </cell>
          <cell r="N214" t="str">
            <v>Thermoscan</v>
          </cell>
          <cell r="O214" t="str">
            <v>Thermoscan Pro 4000</v>
          </cell>
          <cell r="P214" t="str">
            <v>33412K00600</v>
          </cell>
          <cell r="Q214" t="str">
            <v>Not Available</v>
          </cell>
          <cell r="R214" t="str">
            <v>Welch Allyn Inc</v>
          </cell>
          <cell r="S214" t="str">
            <v>Welch Allyn Malaysia Sdn. Bhd</v>
          </cell>
          <cell r="T214" t="str">
            <v>Functioning</v>
          </cell>
          <cell r="U214" t="str">
            <v>Asset</v>
          </cell>
          <cell r="V214">
            <v>540</v>
          </cell>
          <cell r="W214" t="str">
            <v>KEW</v>
          </cell>
          <cell r="X214" t="str">
            <v>01/09/2010</v>
          </cell>
          <cell r="Y214" t="str">
            <v>KEW</v>
          </cell>
          <cell r="Z214" t="str">
            <v>16/08/2013</v>
          </cell>
          <cell r="AA214" t="str">
            <v>15/08/2015</v>
          </cell>
          <cell r="AB214" t="str">
            <v>No</v>
          </cell>
          <cell r="AC214" t="str">
            <v>31/08/2013</v>
          </cell>
          <cell r="AD214" t="str">
            <v>Good</v>
          </cell>
          <cell r="AE214" t="str">
            <v>V1 - Existing / No Claim</v>
          </cell>
          <cell r="AF214">
            <v>42781</v>
          </cell>
          <cell r="AG214">
            <v>9.17</v>
          </cell>
          <cell r="AH214" t="str">
            <v>RI</v>
          </cell>
          <cell r="AI214" t="str">
            <v>Not in contract</v>
          </cell>
          <cell r="AJ214" t="str">
            <v>Not under maintenance</v>
          </cell>
          <cell r="AK214" t="e">
            <v>#N/A</v>
          </cell>
        </row>
        <row r="215">
          <cell r="A215" t="str">
            <v>IKN401409</v>
          </cell>
          <cell r="B215">
            <v>1392</v>
          </cell>
          <cell r="C215" t="str">
            <v>Institut Kanser Negara</v>
          </cell>
          <cell r="D215" t="e">
            <v>#N/A</v>
          </cell>
          <cell r="E215" t="str">
            <v>17-887</v>
          </cell>
          <cell r="F215" t="str">
            <v>Thermometers, Electronic, Infrared, Ear</v>
          </cell>
          <cell r="G215" t="str">
            <v>WJ</v>
          </cell>
          <cell r="H215" t="str">
            <v>MULTIDISCIPLINE WARD 1</v>
          </cell>
          <cell r="I215" t="str">
            <v>09WJ209</v>
          </cell>
          <cell r="J215" t="str">
            <v>NURSE STATION</v>
          </cell>
          <cell r="K215" t="str">
            <v>BMED</v>
          </cell>
          <cell r="L215" t="str">
            <v>Normal</v>
          </cell>
          <cell r="M215" t="str">
            <v>Mexico</v>
          </cell>
          <cell r="N215" t="str">
            <v>Thermoscan</v>
          </cell>
          <cell r="O215" t="str">
            <v>Thermoscan Pro 4000</v>
          </cell>
          <cell r="P215" t="str">
            <v>33312K08739</v>
          </cell>
          <cell r="Q215" t="str">
            <v>Not Available</v>
          </cell>
          <cell r="R215" t="str">
            <v>Welch Allyn Inc</v>
          </cell>
          <cell r="S215" t="str">
            <v>Welch Allyn Malaysia Sdn. Bhd</v>
          </cell>
          <cell r="T215" t="str">
            <v>Functioning</v>
          </cell>
          <cell r="U215" t="str">
            <v>Asset</v>
          </cell>
          <cell r="V215">
            <v>540</v>
          </cell>
          <cell r="W215" t="str">
            <v>KEW</v>
          </cell>
          <cell r="X215" t="str">
            <v>01/09/2010</v>
          </cell>
          <cell r="Y215" t="str">
            <v>KEW</v>
          </cell>
          <cell r="Z215" t="str">
            <v>16/08/2013</v>
          </cell>
          <cell r="AA215" t="str">
            <v>15/08/2015</v>
          </cell>
          <cell r="AB215" t="str">
            <v>No</v>
          </cell>
          <cell r="AC215" t="str">
            <v>31/08/2013</v>
          </cell>
          <cell r="AD215" t="str">
            <v>Good</v>
          </cell>
          <cell r="AE215" t="str">
            <v>V1 - Existing / No Claim</v>
          </cell>
          <cell r="AF215">
            <v>42781</v>
          </cell>
          <cell r="AG215">
            <v>9.17</v>
          </cell>
          <cell r="AH215" t="str">
            <v>RI</v>
          </cell>
          <cell r="AI215" t="str">
            <v>Not in contract</v>
          </cell>
          <cell r="AJ215" t="str">
            <v>Not under maintenance</v>
          </cell>
          <cell r="AK215" t="e">
            <v>#N/A</v>
          </cell>
        </row>
        <row r="216">
          <cell r="A216" t="str">
            <v>IKN401410</v>
          </cell>
          <cell r="B216">
            <v>1393</v>
          </cell>
          <cell r="C216" t="str">
            <v>Institut Kanser Negara</v>
          </cell>
          <cell r="D216" t="e">
            <v>#N/A</v>
          </cell>
          <cell r="E216" t="str">
            <v>17-887</v>
          </cell>
          <cell r="F216" t="str">
            <v>Thermometers, Electronic, Infrared, Ear</v>
          </cell>
          <cell r="G216" t="str">
            <v>WJ</v>
          </cell>
          <cell r="H216" t="str">
            <v>MULTIDISCIPLINE WARD 1</v>
          </cell>
          <cell r="I216" t="str">
            <v>09WJ136</v>
          </cell>
          <cell r="J216" t="str">
            <v>NURSE STATION</v>
          </cell>
          <cell r="K216" t="str">
            <v>BMED</v>
          </cell>
          <cell r="L216" t="str">
            <v>Normal</v>
          </cell>
          <cell r="M216" t="str">
            <v>Mexico</v>
          </cell>
          <cell r="N216" t="str">
            <v>Thermoscan</v>
          </cell>
          <cell r="O216" t="str">
            <v>Thermoscan Pro 4000</v>
          </cell>
          <cell r="P216" t="str">
            <v>33412K00425</v>
          </cell>
          <cell r="Q216" t="str">
            <v>Not Available</v>
          </cell>
          <cell r="R216" t="str">
            <v>Welch Allyn Inc</v>
          </cell>
          <cell r="S216" t="str">
            <v>Welch Allyn Malaysia Sdn. Bhd</v>
          </cell>
          <cell r="T216" t="str">
            <v>Functioning</v>
          </cell>
          <cell r="U216" t="str">
            <v>Asset</v>
          </cell>
          <cell r="V216">
            <v>540</v>
          </cell>
          <cell r="W216" t="str">
            <v>KEW</v>
          </cell>
          <cell r="X216" t="str">
            <v>01/09/2010</v>
          </cell>
          <cell r="Y216" t="str">
            <v>KEW</v>
          </cell>
          <cell r="Z216" t="str">
            <v>16/08/2013</v>
          </cell>
          <cell r="AA216" t="str">
            <v>15/08/2015</v>
          </cell>
          <cell r="AB216" t="str">
            <v>No</v>
          </cell>
          <cell r="AC216" t="str">
            <v>31/08/2013</v>
          </cell>
          <cell r="AD216" t="str">
            <v>Good</v>
          </cell>
          <cell r="AE216" t="str">
            <v>V1 - Existing / No Claim</v>
          </cell>
          <cell r="AF216">
            <v>42781</v>
          </cell>
          <cell r="AG216">
            <v>9.17</v>
          </cell>
          <cell r="AH216" t="str">
            <v>RI</v>
          </cell>
          <cell r="AI216" t="str">
            <v>Not in contract</v>
          </cell>
          <cell r="AJ216" t="str">
            <v>Not under maintenance</v>
          </cell>
          <cell r="AK216" t="e">
            <v>#N/A</v>
          </cell>
        </row>
        <row r="217">
          <cell r="A217" t="str">
            <v>IKN401411</v>
          </cell>
          <cell r="B217">
            <v>1394</v>
          </cell>
          <cell r="C217" t="str">
            <v>Institut Kanser Negara</v>
          </cell>
          <cell r="D217" t="e">
            <v>#N/A</v>
          </cell>
          <cell r="E217" t="str">
            <v>17-887</v>
          </cell>
          <cell r="F217" t="str">
            <v>Thermometers, Electronic, Infrared, Ear</v>
          </cell>
          <cell r="G217" t="str">
            <v>WJ</v>
          </cell>
          <cell r="H217" t="str">
            <v>MULTIDISCIPLINE WARD 1</v>
          </cell>
          <cell r="I217" t="str">
            <v>09WJ136</v>
          </cell>
          <cell r="J217" t="str">
            <v>NURSE STATION</v>
          </cell>
          <cell r="K217" t="str">
            <v>BMED</v>
          </cell>
          <cell r="L217" t="str">
            <v>Normal</v>
          </cell>
          <cell r="M217" t="str">
            <v>Mexico</v>
          </cell>
          <cell r="N217" t="str">
            <v>Thermoscan</v>
          </cell>
          <cell r="O217" t="str">
            <v>Thermoscan Pro 4000</v>
          </cell>
          <cell r="P217" t="str">
            <v>33412K00675</v>
          </cell>
          <cell r="Q217" t="str">
            <v>Not Available</v>
          </cell>
          <cell r="R217" t="str">
            <v>Welch Allyn Inc</v>
          </cell>
          <cell r="S217" t="str">
            <v>Welch Allyn Malaysia Sdn. Bhd</v>
          </cell>
          <cell r="T217" t="str">
            <v>Functioning</v>
          </cell>
          <cell r="U217" t="str">
            <v>Asset</v>
          </cell>
          <cell r="V217">
            <v>540</v>
          </cell>
          <cell r="W217" t="str">
            <v>KEW</v>
          </cell>
          <cell r="X217" t="str">
            <v>01/09/2010</v>
          </cell>
          <cell r="Y217" t="str">
            <v>KEW</v>
          </cell>
          <cell r="Z217" t="str">
            <v>16/08/2013</v>
          </cell>
          <cell r="AA217" t="str">
            <v>15/08/2015</v>
          </cell>
          <cell r="AB217" t="str">
            <v>No</v>
          </cell>
          <cell r="AC217" t="str">
            <v>31/08/2013</v>
          </cell>
          <cell r="AD217" t="str">
            <v>Good</v>
          </cell>
          <cell r="AE217" t="str">
            <v>V1 - Existing / No Claim</v>
          </cell>
          <cell r="AF217">
            <v>42781</v>
          </cell>
          <cell r="AG217">
            <v>9.17</v>
          </cell>
          <cell r="AH217" t="str">
            <v>RI</v>
          </cell>
          <cell r="AI217" t="str">
            <v>Not in contract</v>
          </cell>
          <cell r="AJ217" t="str">
            <v>Not under maintenance</v>
          </cell>
          <cell r="AK217" t="e">
            <v>#N/A</v>
          </cell>
        </row>
        <row r="218">
          <cell r="A218" t="str">
            <v>IKN401414</v>
          </cell>
          <cell r="B218">
            <v>1396</v>
          </cell>
          <cell r="C218" t="str">
            <v>Institut Kanser Negara</v>
          </cell>
          <cell r="D218" t="e">
            <v>#N/A</v>
          </cell>
          <cell r="E218" t="str">
            <v>17-887</v>
          </cell>
          <cell r="F218" t="str">
            <v>Thermometers, Electronic, Infrared, Ear</v>
          </cell>
          <cell r="G218" t="str">
            <v>WH</v>
          </cell>
          <cell r="H218" t="str">
            <v>RT/ONCO WARD 2 (M)</v>
          </cell>
          <cell r="I218" t="str">
            <v>08WH143</v>
          </cell>
          <cell r="J218" t="str">
            <v>NURSE STATION</v>
          </cell>
          <cell r="K218" t="str">
            <v>BMED</v>
          </cell>
          <cell r="L218" t="str">
            <v>Normal</v>
          </cell>
          <cell r="M218" t="str">
            <v>Mexico</v>
          </cell>
          <cell r="N218" t="str">
            <v>Thermoscan</v>
          </cell>
          <cell r="O218" t="str">
            <v>Thermoscan Pro 4000</v>
          </cell>
          <cell r="P218" t="str">
            <v>33312K08851</v>
          </cell>
          <cell r="Q218" t="str">
            <v>Not Available</v>
          </cell>
          <cell r="R218" t="str">
            <v>Welch Allyn Inc</v>
          </cell>
          <cell r="S218" t="str">
            <v>Welch Allyn Malaysia Sdn. Bhd</v>
          </cell>
          <cell r="T218" t="str">
            <v>Functioning</v>
          </cell>
          <cell r="U218" t="str">
            <v>Asset</v>
          </cell>
          <cell r="V218">
            <v>540</v>
          </cell>
          <cell r="W218" t="str">
            <v>KEW</v>
          </cell>
          <cell r="X218" t="str">
            <v>01/09/2010</v>
          </cell>
          <cell r="Y218" t="str">
            <v>KEW</v>
          </cell>
          <cell r="Z218" t="str">
            <v>16/08/2013</v>
          </cell>
          <cell r="AA218" t="str">
            <v>15/08/2015</v>
          </cell>
          <cell r="AB218" t="str">
            <v>No</v>
          </cell>
          <cell r="AC218" t="str">
            <v>31/08/2013</v>
          </cell>
          <cell r="AD218" t="str">
            <v>Good</v>
          </cell>
          <cell r="AE218" t="str">
            <v>V1 - Existing / No Claim</v>
          </cell>
          <cell r="AF218">
            <v>42776</v>
          </cell>
          <cell r="AG218">
            <v>9.17</v>
          </cell>
          <cell r="AH218" t="str">
            <v>RI</v>
          </cell>
          <cell r="AI218" t="str">
            <v>Not in contract</v>
          </cell>
          <cell r="AJ218" t="str">
            <v>Not under maintenance</v>
          </cell>
          <cell r="AK218" t="e">
            <v>#N/A</v>
          </cell>
        </row>
        <row r="219">
          <cell r="A219" t="str">
            <v>IKN401417</v>
          </cell>
          <cell r="B219">
            <v>1398</v>
          </cell>
          <cell r="C219" t="str">
            <v>Institut Kanser Negara</v>
          </cell>
          <cell r="D219" t="e">
            <v>#N/A</v>
          </cell>
          <cell r="E219" t="str">
            <v>17-887</v>
          </cell>
          <cell r="F219" t="str">
            <v>Thermometers, Electronic, Infrared, Ear</v>
          </cell>
          <cell r="G219" t="str">
            <v>WH</v>
          </cell>
          <cell r="H219" t="str">
            <v>RT/ONCO WARD 2 (M)</v>
          </cell>
          <cell r="I219" t="str">
            <v>08WH143</v>
          </cell>
          <cell r="J219" t="str">
            <v>NURSE STATION</v>
          </cell>
          <cell r="K219" t="str">
            <v>BMED</v>
          </cell>
          <cell r="L219" t="str">
            <v>Normal</v>
          </cell>
          <cell r="M219" t="str">
            <v>Mexico</v>
          </cell>
          <cell r="N219" t="str">
            <v>Thermoscan</v>
          </cell>
          <cell r="O219" t="str">
            <v>Thermoscan Pro 4000</v>
          </cell>
          <cell r="P219" t="str">
            <v>33412K00407</v>
          </cell>
          <cell r="Q219" t="str">
            <v>Not Available</v>
          </cell>
          <cell r="R219" t="str">
            <v>Welch Allyn Inc</v>
          </cell>
          <cell r="S219" t="str">
            <v>Welch Allyn Malaysia Sdn. Bhd</v>
          </cell>
          <cell r="T219" t="str">
            <v>Functioning</v>
          </cell>
          <cell r="U219" t="str">
            <v>Asset</v>
          </cell>
          <cell r="V219">
            <v>540</v>
          </cell>
          <cell r="W219" t="str">
            <v>KEW</v>
          </cell>
          <cell r="X219" t="str">
            <v>01/09/2010</v>
          </cell>
          <cell r="Y219" t="str">
            <v>KEW</v>
          </cell>
          <cell r="Z219" t="str">
            <v>16/08/2013</v>
          </cell>
          <cell r="AA219" t="str">
            <v>15/08/2015</v>
          </cell>
          <cell r="AB219" t="str">
            <v>No</v>
          </cell>
          <cell r="AC219" t="str">
            <v>31/08/2013</v>
          </cell>
          <cell r="AD219" t="str">
            <v>Good</v>
          </cell>
          <cell r="AE219" t="str">
            <v>V1 - Existing / No Claim</v>
          </cell>
          <cell r="AF219">
            <v>42780</v>
          </cell>
          <cell r="AG219">
            <v>9.17</v>
          </cell>
          <cell r="AH219" t="str">
            <v>RI</v>
          </cell>
          <cell r="AI219" t="str">
            <v>Not in contract</v>
          </cell>
          <cell r="AJ219" t="str">
            <v>Not under maintenance</v>
          </cell>
          <cell r="AK219" t="e">
            <v>#N/A</v>
          </cell>
        </row>
        <row r="220">
          <cell r="A220" t="str">
            <v>IKN401418</v>
          </cell>
          <cell r="B220">
            <v>1399</v>
          </cell>
          <cell r="C220" t="str">
            <v>Institut Kanser Negara</v>
          </cell>
          <cell r="D220" t="str">
            <v>KKM/IKN/H/13/3988</v>
          </cell>
          <cell r="E220" t="str">
            <v>17-887</v>
          </cell>
          <cell r="F220" t="str">
            <v>Thermometers, Electronic, Infrared, Ear</v>
          </cell>
          <cell r="G220" t="str">
            <v>WG</v>
          </cell>
          <cell r="H220" t="str">
            <v>RT/ONCO WARD 1 (M)</v>
          </cell>
          <cell r="I220" t="str">
            <v>08WG143</v>
          </cell>
          <cell r="J220" t="str">
            <v>NURSE STATION</v>
          </cell>
          <cell r="K220" t="str">
            <v>BMED</v>
          </cell>
          <cell r="L220" t="str">
            <v>Normal</v>
          </cell>
          <cell r="M220" t="str">
            <v>Mexico</v>
          </cell>
          <cell r="N220" t="str">
            <v>Thermoscan</v>
          </cell>
          <cell r="O220" t="str">
            <v>Thermoscan Pro 4000</v>
          </cell>
          <cell r="P220" t="str">
            <v>33412K00412</v>
          </cell>
          <cell r="Q220" t="str">
            <v>Not Available</v>
          </cell>
          <cell r="R220" t="str">
            <v>Welch Allyn Inc</v>
          </cell>
          <cell r="S220" t="str">
            <v>Welch Allyn Malaysia Sdn. Bhd</v>
          </cell>
          <cell r="T220" t="str">
            <v>Functioning</v>
          </cell>
          <cell r="U220" t="str">
            <v>Asset</v>
          </cell>
          <cell r="V220">
            <v>540</v>
          </cell>
          <cell r="W220" t="str">
            <v>KEW</v>
          </cell>
          <cell r="X220" t="str">
            <v>01/09/2010</v>
          </cell>
          <cell r="Y220" t="str">
            <v>KEW</v>
          </cell>
          <cell r="Z220" t="str">
            <v>16/08/2013</v>
          </cell>
          <cell r="AA220" t="str">
            <v>15/08/2015</v>
          </cell>
          <cell r="AB220" t="str">
            <v>No</v>
          </cell>
          <cell r="AC220" t="str">
            <v>31/08/2013</v>
          </cell>
          <cell r="AD220" t="str">
            <v>Good</v>
          </cell>
          <cell r="AE220" t="str">
            <v>V1 - Existing / No Claim</v>
          </cell>
          <cell r="AF220">
            <v>42780</v>
          </cell>
          <cell r="AG220">
            <v>9.17</v>
          </cell>
          <cell r="AH220" t="str">
            <v>RI</v>
          </cell>
          <cell r="AI220" t="str">
            <v>Strands</v>
          </cell>
          <cell r="AJ220" t="str">
            <v>Not under maintenance</v>
          </cell>
        </row>
        <row r="221">
          <cell r="A221" t="str">
            <v>IKN401423</v>
          </cell>
          <cell r="B221">
            <v>1402</v>
          </cell>
          <cell r="C221" t="str">
            <v>Institut Kanser Negara</v>
          </cell>
          <cell r="D221" t="str">
            <v>KKM/IKN/I/13/5383</v>
          </cell>
          <cell r="E221" t="str">
            <v>17-887</v>
          </cell>
          <cell r="F221" t="str">
            <v>Thermometers, Electronic, Infrared, Ear</v>
          </cell>
          <cell r="G221" t="str">
            <v>WF</v>
          </cell>
          <cell r="H221" t="str">
            <v>RT/ONCO WARD 2 (F)</v>
          </cell>
          <cell r="I221" t="str">
            <v>07WF143</v>
          </cell>
          <cell r="J221" t="str">
            <v>NURSE STATION</v>
          </cell>
          <cell r="K221" t="str">
            <v>BMED</v>
          </cell>
          <cell r="L221" t="str">
            <v>Normal</v>
          </cell>
          <cell r="M221" t="str">
            <v>Mexico</v>
          </cell>
          <cell r="N221" t="str">
            <v>Thermoscan</v>
          </cell>
          <cell r="O221" t="str">
            <v>Thermoscan Pro 4000</v>
          </cell>
          <cell r="P221" t="str">
            <v>33412K01109</v>
          </cell>
          <cell r="Q221" t="str">
            <v>Not Available</v>
          </cell>
          <cell r="R221" t="str">
            <v>Welch Allyn Inc</v>
          </cell>
          <cell r="S221" t="str">
            <v>Welch Allyn Malaysia Sdn. Bhd</v>
          </cell>
          <cell r="T221" t="str">
            <v>Functioning</v>
          </cell>
          <cell r="U221" t="str">
            <v>Asset</v>
          </cell>
          <cell r="V221">
            <v>540</v>
          </cell>
          <cell r="W221" t="str">
            <v>KEW</v>
          </cell>
          <cell r="X221" t="str">
            <v>01/09/2010</v>
          </cell>
          <cell r="Y221" t="str">
            <v>KEW</v>
          </cell>
          <cell r="Z221" t="str">
            <v>16/08/2013</v>
          </cell>
          <cell r="AA221" t="str">
            <v>15/08/2015</v>
          </cell>
          <cell r="AB221" t="str">
            <v>No</v>
          </cell>
          <cell r="AC221" t="str">
            <v>31/08/2013</v>
          </cell>
          <cell r="AD221" t="str">
            <v>Good</v>
          </cell>
          <cell r="AE221" t="str">
            <v>V1 - Existing / No Claim</v>
          </cell>
          <cell r="AF221">
            <v>42780</v>
          </cell>
          <cell r="AG221">
            <v>9.17</v>
          </cell>
          <cell r="AH221" t="str">
            <v>RI</v>
          </cell>
          <cell r="AI221" t="str">
            <v>Strands</v>
          </cell>
          <cell r="AJ221" t="str">
            <v>Not under maintenance</v>
          </cell>
        </row>
        <row r="222">
          <cell r="A222" t="str">
            <v>IKN401424</v>
          </cell>
          <cell r="B222">
            <v>1403</v>
          </cell>
          <cell r="C222" t="str">
            <v>Institut Kanser Negara</v>
          </cell>
          <cell r="D222" t="str">
            <v>KKM/IKN/I/13/5384</v>
          </cell>
          <cell r="E222" t="str">
            <v>17-887</v>
          </cell>
          <cell r="F222" t="str">
            <v>Thermometers, Electronic, Infrared, Ear</v>
          </cell>
          <cell r="G222" t="str">
            <v>WF</v>
          </cell>
          <cell r="H222" t="str">
            <v>RT/ONCO WARD 2 (F)</v>
          </cell>
          <cell r="I222" t="str">
            <v>07WF143</v>
          </cell>
          <cell r="J222" t="str">
            <v>NURSE STATION</v>
          </cell>
          <cell r="K222" t="str">
            <v>BMED</v>
          </cell>
          <cell r="L222" t="str">
            <v>Normal</v>
          </cell>
          <cell r="M222" t="str">
            <v>Mexico</v>
          </cell>
          <cell r="N222" t="str">
            <v>Thermoscan</v>
          </cell>
          <cell r="O222" t="str">
            <v>Thermoscan Pro 4000</v>
          </cell>
          <cell r="P222" t="str">
            <v>33312K06491</v>
          </cell>
          <cell r="Q222" t="str">
            <v>Not Available</v>
          </cell>
          <cell r="R222" t="str">
            <v>Welch Allyn Inc</v>
          </cell>
          <cell r="S222" t="str">
            <v>Welch Allyn Malaysia Sdn. Bhd</v>
          </cell>
          <cell r="T222" t="str">
            <v>Functioning</v>
          </cell>
          <cell r="U222" t="str">
            <v>Asset</v>
          </cell>
          <cell r="V222">
            <v>540</v>
          </cell>
          <cell r="W222" t="str">
            <v>KEW</v>
          </cell>
          <cell r="X222" t="str">
            <v>01/09/2010</v>
          </cell>
          <cell r="Y222" t="str">
            <v>KEW</v>
          </cell>
          <cell r="Z222" t="str">
            <v>16/08/2013</v>
          </cell>
          <cell r="AA222" t="str">
            <v>15/08/2015</v>
          </cell>
          <cell r="AB222" t="str">
            <v>No</v>
          </cell>
          <cell r="AC222" t="str">
            <v>31/08/2013</v>
          </cell>
          <cell r="AD222" t="str">
            <v>Good</v>
          </cell>
          <cell r="AE222" t="str">
            <v>V1 - Existing / No Claim</v>
          </cell>
          <cell r="AF222">
            <v>42780</v>
          </cell>
          <cell r="AG222">
            <v>9.17</v>
          </cell>
          <cell r="AH222" t="str">
            <v>RI</v>
          </cell>
          <cell r="AI222" t="str">
            <v>Strands</v>
          </cell>
          <cell r="AJ222" t="str">
            <v>Not under maintenance</v>
          </cell>
        </row>
        <row r="223">
          <cell r="A223" t="str">
            <v>IKN401425</v>
          </cell>
          <cell r="B223">
            <v>1404</v>
          </cell>
          <cell r="C223" t="str">
            <v>Institut Kanser Negara</v>
          </cell>
          <cell r="D223" t="str">
            <v>KKM/IKN/H/13/3519</v>
          </cell>
          <cell r="E223" t="str">
            <v>17-887</v>
          </cell>
          <cell r="F223" t="str">
            <v>Thermometers, Electronic, Infrared, Ear</v>
          </cell>
          <cell r="G223" t="str">
            <v>WE</v>
          </cell>
          <cell r="H223" t="str">
            <v>RT/ONCO WARD 1 (F)</v>
          </cell>
          <cell r="I223" t="str">
            <v>07WE143</v>
          </cell>
          <cell r="J223" t="str">
            <v>NURSE STATION</v>
          </cell>
          <cell r="K223" t="str">
            <v>BMED</v>
          </cell>
          <cell r="L223" t="str">
            <v>Normal</v>
          </cell>
          <cell r="M223" t="str">
            <v>Mexico</v>
          </cell>
          <cell r="N223" t="str">
            <v>Thermoscan</v>
          </cell>
          <cell r="O223" t="str">
            <v>Thermoscan Pro 4000</v>
          </cell>
          <cell r="P223" t="str">
            <v>33412K05053</v>
          </cell>
          <cell r="Q223" t="str">
            <v>Not Available</v>
          </cell>
          <cell r="R223" t="str">
            <v>Welch Allyn Inc</v>
          </cell>
          <cell r="S223" t="str">
            <v>Welch Allyn Malaysia Sdn. Bhd</v>
          </cell>
          <cell r="T223" t="str">
            <v>Functioning</v>
          </cell>
          <cell r="U223" t="str">
            <v>Asset</v>
          </cell>
          <cell r="V223">
            <v>540</v>
          </cell>
          <cell r="W223" t="str">
            <v>KEW</v>
          </cell>
          <cell r="X223" t="str">
            <v>01/09/2010</v>
          </cell>
          <cell r="Y223" t="str">
            <v>KEW</v>
          </cell>
          <cell r="Z223" t="str">
            <v>16/08/2013</v>
          </cell>
          <cell r="AA223" t="str">
            <v>15/08/2015</v>
          </cell>
          <cell r="AB223" t="str">
            <v>No</v>
          </cell>
          <cell r="AC223" t="str">
            <v>31/08/2013</v>
          </cell>
          <cell r="AD223" t="str">
            <v>Good</v>
          </cell>
          <cell r="AE223" t="str">
            <v>V1 - Existing / No Claim</v>
          </cell>
          <cell r="AF223">
            <v>42780</v>
          </cell>
          <cell r="AG223">
            <v>9.17</v>
          </cell>
          <cell r="AH223" t="str">
            <v>RI</v>
          </cell>
          <cell r="AI223" t="str">
            <v>Strands</v>
          </cell>
          <cell r="AJ223" t="str">
            <v>Not under maintenance</v>
          </cell>
        </row>
        <row r="224">
          <cell r="A224" t="str">
            <v>IKN401426</v>
          </cell>
          <cell r="B224">
            <v>1405</v>
          </cell>
          <cell r="C224" t="str">
            <v>Institut Kanser Negara</v>
          </cell>
          <cell r="D224" t="str">
            <v>KKM/IKN/H/13/3520</v>
          </cell>
          <cell r="E224" t="str">
            <v>17-887</v>
          </cell>
          <cell r="F224" t="str">
            <v>Thermometers, Electronic, Infrared, Ear</v>
          </cell>
          <cell r="G224" t="str">
            <v>WE</v>
          </cell>
          <cell r="H224" t="str">
            <v>RT/ONCO WARD 1 (F)</v>
          </cell>
          <cell r="I224" t="str">
            <v>07WE143</v>
          </cell>
          <cell r="J224" t="str">
            <v>NURSE STATION</v>
          </cell>
          <cell r="K224" t="str">
            <v>BMED</v>
          </cell>
          <cell r="L224" t="str">
            <v>Normal</v>
          </cell>
          <cell r="M224" t="str">
            <v>Mexico</v>
          </cell>
          <cell r="N224" t="str">
            <v>Thermoscan</v>
          </cell>
          <cell r="O224" t="str">
            <v>Thermoscan Pro 4000</v>
          </cell>
          <cell r="P224" t="str">
            <v>33412K01051</v>
          </cell>
          <cell r="Q224" t="str">
            <v>Not Available</v>
          </cell>
          <cell r="R224" t="str">
            <v>Welch Allyn Inc</v>
          </cell>
          <cell r="S224" t="str">
            <v>Welch Allyn Malaysia Sdn. Bhd</v>
          </cell>
          <cell r="T224" t="str">
            <v>Functioning</v>
          </cell>
          <cell r="U224" t="str">
            <v>Asset</v>
          </cell>
          <cell r="V224">
            <v>540</v>
          </cell>
          <cell r="W224" t="str">
            <v>KEW</v>
          </cell>
          <cell r="X224" t="str">
            <v>01/09/2010</v>
          </cell>
          <cell r="Y224" t="str">
            <v>KEW</v>
          </cell>
          <cell r="Z224" t="str">
            <v>16/08/2013</v>
          </cell>
          <cell r="AA224" t="str">
            <v>15/08/2015</v>
          </cell>
          <cell r="AB224" t="str">
            <v>No</v>
          </cell>
          <cell r="AC224" t="str">
            <v>31/08/2013</v>
          </cell>
          <cell r="AD224" t="str">
            <v>Good</v>
          </cell>
          <cell r="AE224" t="str">
            <v>V1 - Existing / No Claim</v>
          </cell>
          <cell r="AF224">
            <v>42780</v>
          </cell>
          <cell r="AG224">
            <v>9.17</v>
          </cell>
          <cell r="AH224" t="str">
            <v>RI</v>
          </cell>
          <cell r="AI224" t="str">
            <v>Strands</v>
          </cell>
          <cell r="AJ224" t="str">
            <v>Not under maintenance</v>
          </cell>
        </row>
        <row r="225">
          <cell r="A225" t="str">
            <v>IKN401427</v>
          </cell>
          <cell r="B225">
            <v>1406</v>
          </cell>
          <cell r="C225" t="str">
            <v>Institut Kanser Negara</v>
          </cell>
          <cell r="D225" t="e">
            <v>#N/A</v>
          </cell>
          <cell r="E225" t="str">
            <v>17-887</v>
          </cell>
          <cell r="F225" t="str">
            <v>Thermometers, Electronic, Infrared, Ear</v>
          </cell>
          <cell r="G225" t="str">
            <v>WD</v>
          </cell>
          <cell r="H225" t="str">
            <v>RT/ONCO PAED/ADOLESCENT WARD</v>
          </cell>
          <cell r="I225" t="str">
            <v>06WD146</v>
          </cell>
          <cell r="J225" t="str">
            <v>NURSE STATION</v>
          </cell>
          <cell r="K225" t="str">
            <v>BMED</v>
          </cell>
          <cell r="L225" t="str">
            <v>Normal</v>
          </cell>
          <cell r="M225" t="str">
            <v>Mexico</v>
          </cell>
          <cell r="N225" t="str">
            <v>Thermoscan</v>
          </cell>
          <cell r="O225" t="str">
            <v>Thermoscan Pro 4000</v>
          </cell>
          <cell r="P225" t="str">
            <v>33412K00406</v>
          </cell>
          <cell r="Q225" t="str">
            <v>Not Available</v>
          </cell>
          <cell r="R225" t="str">
            <v>Welch Allyn Inc</v>
          </cell>
          <cell r="S225" t="str">
            <v>Welch Allyn Malaysia Sdn. Bhd</v>
          </cell>
          <cell r="T225" t="str">
            <v>Functioning</v>
          </cell>
          <cell r="U225" t="str">
            <v>Asset</v>
          </cell>
          <cell r="V225">
            <v>540</v>
          </cell>
          <cell r="W225" t="str">
            <v>KEW</v>
          </cell>
          <cell r="X225" t="str">
            <v>01/09/2010</v>
          </cell>
          <cell r="Y225" t="str">
            <v>KEW</v>
          </cell>
          <cell r="Z225" t="str">
            <v>16/08/2013</v>
          </cell>
          <cell r="AA225" t="str">
            <v>15/08/2015</v>
          </cell>
          <cell r="AB225" t="str">
            <v>No</v>
          </cell>
          <cell r="AC225" t="str">
            <v>31/08/2013</v>
          </cell>
          <cell r="AD225" t="str">
            <v>Good</v>
          </cell>
          <cell r="AE225" t="str">
            <v>V1 - Existing / No Claim</v>
          </cell>
          <cell r="AF225">
            <v>42780</v>
          </cell>
          <cell r="AG225">
            <v>9.17</v>
          </cell>
          <cell r="AH225" t="str">
            <v>RI</v>
          </cell>
          <cell r="AI225" t="str">
            <v>Not in contract</v>
          </cell>
          <cell r="AJ225" t="str">
            <v>Not under maintenance</v>
          </cell>
          <cell r="AK225" t="e">
            <v>#N/A</v>
          </cell>
        </row>
        <row r="226">
          <cell r="A226" t="str">
            <v>IKN401428</v>
          </cell>
          <cell r="B226">
            <v>1407</v>
          </cell>
          <cell r="C226" t="str">
            <v>Institut Kanser Negara</v>
          </cell>
          <cell r="D226" t="e">
            <v>#N/A</v>
          </cell>
          <cell r="E226" t="str">
            <v>17-887</v>
          </cell>
          <cell r="F226" t="str">
            <v>Thermometers, Electronic, Infrared, Ear</v>
          </cell>
          <cell r="G226" t="str">
            <v>WD</v>
          </cell>
          <cell r="H226" t="str">
            <v>RT/ONCO PAED/ADOLESCENT WARD</v>
          </cell>
          <cell r="I226" t="str">
            <v>06WD124</v>
          </cell>
          <cell r="J226" t="str">
            <v>TREATMENT / PROCEDURE</v>
          </cell>
          <cell r="K226" t="str">
            <v>BMED</v>
          </cell>
          <cell r="L226" t="str">
            <v>Normal</v>
          </cell>
          <cell r="M226" t="str">
            <v>Mexico</v>
          </cell>
          <cell r="N226" t="str">
            <v>Thermoscan</v>
          </cell>
          <cell r="O226" t="str">
            <v>Thermoscan Pro 4000</v>
          </cell>
          <cell r="P226" t="str">
            <v>33412K01815</v>
          </cell>
          <cell r="Q226" t="str">
            <v>Not Available</v>
          </cell>
          <cell r="R226" t="str">
            <v>Welch Allyn Inc</v>
          </cell>
          <cell r="S226" t="str">
            <v>Welch Allyn Malaysia Sdn. Bhd</v>
          </cell>
          <cell r="T226" t="str">
            <v>Functioning</v>
          </cell>
          <cell r="U226" t="str">
            <v>Asset</v>
          </cell>
          <cell r="V226">
            <v>540</v>
          </cell>
          <cell r="W226" t="str">
            <v>KEW</v>
          </cell>
          <cell r="X226" t="str">
            <v>01/09/2010</v>
          </cell>
          <cell r="Y226" t="str">
            <v>KEW</v>
          </cell>
          <cell r="Z226" t="str">
            <v>16/08/2013</v>
          </cell>
          <cell r="AA226" t="str">
            <v>15/08/2015</v>
          </cell>
          <cell r="AB226" t="str">
            <v>No</v>
          </cell>
          <cell r="AC226" t="str">
            <v>31/08/2013</v>
          </cell>
          <cell r="AD226" t="str">
            <v>Good</v>
          </cell>
          <cell r="AE226" t="str">
            <v>V1 - Existing / No Claim</v>
          </cell>
          <cell r="AF226">
            <v>42780</v>
          </cell>
          <cell r="AG226">
            <v>9.17</v>
          </cell>
          <cell r="AH226" t="str">
            <v>RI</v>
          </cell>
          <cell r="AI226" t="str">
            <v>Not in contract</v>
          </cell>
          <cell r="AJ226" t="str">
            <v>Not under maintenance</v>
          </cell>
          <cell r="AK226" t="e">
            <v>#N/A</v>
          </cell>
        </row>
        <row r="227">
          <cell r="A227" t="str">
            <v>IKN401429</v>
          </cell>
          <cell r="B227">
            <v>1408</v>
          </cell>
          <cell r="C227" t="str">
            <v>Institut Kanser Negara</v>
          </cell>
          <cell r="D227" t="e">
            <v>#N/A</v>
          </cell>
          <cell r="E227" t="str">
            <v>17-887</v>
          </cell>
          <cell r="F227" t="str">
            <v>Thermometers, Electronic, Infrared, Ear</v>
          </cell>
          <cell r="G227" t="str">
            <v>WD</v>
          </cell>
          <cell r="H227" t="str">
            <v>RT/ONCO PAED/ADOLESCENT WARD</v>
          </cell>
          <cell r="I227" t="str">
            <v>06WD146</v>
          </cell>
          <cell r="J227" t="str">
            <v>NURSE STATION</v>
          </cell>
          <cell r="K227" t="str">
            <v>BMED</v>
          </cell>
          <cell r="L227" t="str">
            <v>Normal</v>
          </cell>
          <cell r="M227" t="str">
            <v>Mexico</v>
          </cell>
          <cell r="N227" t="str">
            <v>Thermoscan</v>
          </cell>
          <cell r="O227" t="str">
            <v>Thermoscan Pro 4000</v>
          </cell>
          <cell r="P227" t="str">
            <v>33412K00260</v>
          </cell>
          <cell r="Q227" t="str">
            <v>Not Available</v>
          </cell>
          <cell r="R227" t="str">
            <v>Welch Allyn Inc</v>
          </cell>
          <cell r="S227" t="str">
            <v>Welch Allyn Malaysia Sdn. Bhd</v>
          </cell>
          <cell r="T227" t="str">
            <v>Functioning</v>
          </cell>
          <cell r="U227" t="str">
            <v>Asset</v>
          </cell>
          <cell r="V227">
            <v>540</v>
          </cell>
          <cell r="W227" t="str">
            <v>Replacement</v>
          </cell>
          <cell r="X227" t="str">
            <v>01/09/2010</v>
          </cell>
          <cell r="Y227" t="str">
            <v>KEW</v>
          </cell>
          <cell r="Z227" t="str">
            <v>16/08/2013</v>
          </cell>
          <cell r="AA227" t="str">
            <v>15/08/2015</v>
          </cell>
          <cell r="AB227" t="str">
            <v>No</v>
          </cell>
          <cell r="AC227" t="str">
            <v>31/08/2013</v>
          </cell>
          <cell r="AD227" t="str">
            <v>Good</v>
          </cell>
          <cell r="AE227" t="str">
            <v>V1 - Existing / No Claim</v>
          </cell>
          <cell r="AF227">
            <v>42780</v>
          </cell>
          <cell r="AG227">
            <v>9.17</v>
          </cell>
          <cell r="AH227" t="str">
            <v>RI</v>
          </cell>
          <cell r="AI227" t="str">
            <v>Not in contract</v>
          </cell>
          <cell r="AJ227" t="str">
            <v>Not under maintenance</v>
          </cell>
          <cell r="AK227" t="e">
            <v>#N/A</v>
          </cell>
        </row>
        <row r="228">
          <cell r="A228" t="str">
            <v>IKN401431</v>
          </cell>
          <cell r="B228">
            <v>1409</v>
          </cell>
          <cell r="C228" t="str">
            <v>Institut Kanser Negara</v>
          </cell>
          <cell r="D228" t="e">
            <v>#N/A</v>
          </cell>
          <cell r="E228" t="str">
            <v>17-887</v>
          </cell>
          <cell r="F228" t="str">
            <v>Thermometers, Electronic, Infrared, Ear</v>
          </cell>
          <cell r="G228" t="str">
            <v>WC</v>
          </cell>
          <cell r="H228" t="str">
            <v>SURGICAL ONCO FEMALE WARD</v>
          </cell>
          <cell r="I228" t="str">
            <v>06WC107</v>
          </cell>
          <cell r="J228" t="str">
            <v>TREATMENT / PROCEDURE</v>
          </cell>
          <cell r="K228" t="str">
            <v>BMED</v>
          </cell>
          <cell r="L228" t="str">
            <v>Normal</v>
          </cell>
          <cell r="M228" t="str">
            <v>Mexico</v>
          </cell>
          <cell r="N228" t="str">
            <v>Thermoscan</v>
          </cell>
          <cell r="O228" t="str">
            <v>Thermoscan Pro 4000</v>
          </cell>
          <cell r="P228" t="str">
            <v>29612K05674</v>
          </cell>
          <cell r="Q228" t="str">
            <v>Not Available</v>
          </cell>
          <cell r="R228" t="str">
            <v>Welch Allyn Inc</v>
          </cell>
          <cell r="S228" t="str">
            <v>Welch Allyn Malaysia Sdn. Bhd</v>
          </cell>
          <cell r="T228" t="str">
            <v>Functioning</v>
          </cell>
          <cell r="U228" t="str">
            <v>Asset</v>
          </cell>
          <cell r="V228">
            <v>540</v>
          </cell>
          <cell r="W228" t="str">
            <v>KEW</v>
          </cell>
          <cell r="X228" t="str">
            <v>01/09/2010</v>
          </cell>
          <cell r="Y228" t="str">
            <v>KEW</v>
          </cell>
          <cell r="Z228" t="str">
            <v>16/08/2013</v>
          </cell>
          <cell r="AA228" t="str">
            <v>15/08/2015</v>
          </cell>
          <cell r="AB228" t="str">
            <v>No</v>
          </cell>
          <cell r="AC228" t="str">
            <v>31/08/2013</v>
          </cell>
          <cell r="AD228" t="str">
            <v>Good</v>
          </cell>
          <cell r="AE228" t="str">
            <v>V1 - Existing / No Claim</v>
          </cell>
          <cell r="AF228">
            <v>42780</v>
          </cell>
          <cell r="AG228">
            <v>9.17</v>
          </cell>
          <cell r="AH228" t="str">
            <v>RI</v>
          </cell>
          <cell r="AI228" t="str">
            <v>Not in contract</v>
          </cell>
          <cell r="AJ228" t="str">
            <v>Not under maintenance</v>
          </cell>
          <cell r="AK228" t="e">
            <v>#N/A</v>
          </cell>
        </row>
        <row r="229">
          <cell r="A229" t="str">
            <v>IKN401440</v>
          </cell>
          <cell r="B229">
            <v>1416</v>
          </cell>
          <cell r="C229" t="str">
            <v>Institut Kanser Negara</v>
          </cell>
          <cell r="D229" t="str">
            <v>KKM/IKN/I/13/4630</v>
          </cell>
          <cell r="E229" t="str">
            <v>17-887</v>
          </cell>
          <cell r="F229" t="str">
            <v>Thermometers, Electronic, Infrared, Ear</v>
          </cell>
          <cell r="G229" t="str">
            <v>WA</v>
          </cell>
          <cell r="H229" t="str">
            <v>NUCLEAR MED WARD (THERAPY)</v>
          </cell>
          <cell r="I229" t="str">
            <v>03WA117</v>
          </cell>
          <cell r="J229" t="str">
            <v>N/S 1</v>
          </cell>
          <cell r="K229" t="str">
            <v>BMED</v>
          </cell>
          <cell r="L229" t="str">
            <v>Normal</v>
          </cell>
          <cell r="M229" t="str">
            <v>Mexico</v>
          </cell>
          <cell r="N229" t="str">
            <v>Thermoscan</v>
          </cell>
          <cell r="O229" t="str">
            <v>Thermoscan Pro 4000</v>
          </cell>
          <cell r="P229" t="str">
            <v>33412K04471</v>
          </cell>
          <cell r="Q229" t="str">
            <v>Not Available</v>
          </cell>
          <cell r="R229" t="str">
            <v>Welch Allyn Inc</v>
          </cell>
          <cell r="S229" t="str">
            <v>Welch Allyn Malaysia Sdn. Bhd</v>
          </cell>
          <cell r="T229" t="str">
            <v>Functioning</v>
          </cell>
          <cell r="U229" t="str">
            <v>Asset</v>
          </cell>
          <cell r="V229">
            <v>540</v>
          </cell>
          <cell r="W229" t="str">
            <v>KEW</v>
          </cell>
          <cell r="X229" t="str">
            <v>01/09/2010</v>
          </cell>
          <cell r="Y229" t="str">
            <v>KEW</v>
          </cell>
          <cell r="Z229" t="str">
            <v>16/08/2013</v>
          </cell>
          <cell r="AA229" t="str">
            <v>15/08/2015</v>
          </cell>
          <cell r="AB229" t="str">
            <v>No</v>
          </cell>
          <cell r="AC229" t="str">
            <v>31/08/2013</v>
          </cell>
          <cell r="AD229" t="str">
            <v>Good</v>
          </cell>
          <cell r="AE229" t="str">
            <v>V1 - Existing / No Claim</v>
          </cell>
          <cell r="AF229">
            <v>42780</v>
          </cell>
          <cell r="AG229">
            <v>9.17</v>
          </cell>
          <cell r="AH229" t="str">
            <v>RI</v>
          </cell>
          <cell r="AI229" t="str">
            <v>Strands</v>
          </cell>
          <cell r="AJ229" t="str">
            <v>Not under maintenance</v>
          </cell>
        </row>
        <row r="230">
          <cell r="A230" t="str">
            <v>IKN401441</v>
          </cell>
          <cell r="B230">
            <v>1417</v>
          </cell>
          <cell r="C230" t="str">
            <v>Institut Kanser Negara</v>
          </cell>
          <cell r="D230" t="str">
            <v>KKM/IKN/I/13/4629</v>
          </cell>
          <cell r="E230" t="str">
            <v>17-887</v>
          </cell>
          <cell r="F230" t="str">
            <v>Thermometers, Electronic, Infrared, Ear</v>
          </cell>
          <cell r="G230" t="str">
            <v>WA</v>
          </cell>
          <cell r="H230" t="str">
            <v>NUCLEAR MED WARD (THERAPY)</v>
          </cell>
          <cell r="I230" t="str">
            <v>03WA121</v>
          </cell>
          <cell r="J230" t="str">
            <v>N/S 2</v>
          </cell>
          <cell r="K230" t="str">
            <v>BMED</v>
          </cell>
          <cell r="L230" t="str">
            <v>Normal</v>
          </cell>
          <cell r="M230" t="str">
            <v>Mexico</v>
          </cell>
          <cell r="N230" t="str">
            <v>Thermoscan</v>
          </cell>
          <cell r="O230" t="str">
            <v>Thermoscan Pro 4000</v>
          </cell>
          <cell r="P230" t="str">
            <v>33412K04806</v>
          </cell>
          <cell r="Q230" t="str">
            <v>Not Available</v>
          </cell>
          <cell r="R230" t="str">
            <v>Welch Allyn Inc</v>
          </cell>
          <cell r="S230" t="str">
            <v>Welch Allyn Malaysia Sdn. Bhd</v>
          </cell>
          <cell r="T230" t="str">
            <v>Functioning</v>
          </cell>
          <cell r="U230" t="str">
            <v>Asset</v>
          </cell>
          <cell r="V230">
            <v>540</v>
          </cell>
          <cell r="W230" t="str">
            <v>KEW</v>
          </cell>
          <cell r="X230" t="str">
            <v>01/09/2010</v>
          </cell>
          <cell r="Y230" t="str">
            <v>KEW</v>
          </cell>
          <cell r="Z230" t="str">
            <v>16/08/2013</v>
          </cell>
          <cell r="AA230" t="str">
            <v>15/08/2015</v>
          </cell>
          <cell r="AB230" t="str">
            <v>No</v>
          </cell>
          <cell r="AC230" t="str">
            <v>31/08/2013</v>
          </cell>
          <cell r="AD230" t="str">
            <v>Good</v>
          </cell>
          <cell r="AE230" t="str">
            <v>V1 - Existing / No Claim</v>
          </cell>
          <cell r="AF230">
            <v>42780</v>
          </cell>
          <cell r="AG230">
            <v>9.17</v>
          </cell>
          <cell r="AH230" t="str">
            <v>RI</v>
          </cell>
          <cell r="AI230" t="str">
            <v>Strands</v>
          </cell>
          <cell r="AJ230" t="str">
            <v>Not under maintenance</v>
          </cell>
        </row>
        <row r="231">
          <cell r="A231" t="str">
            <v>IKN401448</v>
          </cell>
          <cell r="B231">
            <v>1421</v>
          </cell>
          <cell r="C231" t="str">
            <v>Institut Kanser Negara</v>
          </cell>
          <cell r="D231" t="str">
            <v>KKM/IKN/H/13/866</v>
          </cell>
          <cell r="E231" t="str">
            <v>17-887</v>
          </cell>
          <cell r="F231" t="str">
            <v>Thermometers, Electronic, Infrared, Ear</v>
          </cell>
          <cell r="G231" t="str">
            <v>TC</v>
          </cell>
          <cell r="H231" t="str">
            <v>TRADITIONAL COMPLEMENTARY MEDICINE</v>
          </cell>
          <cell r="I231" t="str">
            <v>04TC128</v>
          </cell>
          <cell r="J231" t="str">
            <v>TREATMENT 1 (REFLEXOLOGY</v>
          </cell>
          <cell r="K231" t="str">
            <v>BMED</v>
          </cell>
          <cell r="L231" t="str">
            <v>Normal</v>
          </cell>
          <cell r="M231" t="str">
            <v>Mexico</v>
          </cell>
          <cell r="N231" t="str">
            <v>Thermoscan</v>
          </cell>
          <cell r="O231" t="str">
            <v>Thermoscan Pro 4000</v>
          </cell>
          <cell r="P231" t="str">
            <v>33412K00594</v>
          </cell>
          <cell r="Q231" t="str">
            <v>Not Available</v>
          </cell>
          <cell r="R231" t="str">
            <v>Welch Allyn Inc</v>
          </cell>
          <cell r="S231" t="str">
            <v>Welch Allyn Malaysia Sdn. Bhd</v>
          </cell>
          <cell r="T231" t="str">
            <v>Functioning</v>
          </cell>
          <cell r="U231" t="str">
            <v>Asset</v>
          </cell>
          <cell r="V231">
            <v>540</v>
          </cell>
          <cell r="W231" t="str">
            <v>KEW</v>
          </cell>
          <cell r="X231" t="str">
            <v>01/09/2010</v>
          </cell>
          <cell r="Y231" t="str">
            <v>KEW</v>
          </cell>
          <cell r="Z231" t="str">
            <v>16/08/2013</v>
          </cell>
          <cell r="AA231" t="str">
            <v>15/08/2015</v>
          </cell>
          <cell r="AB231" t="str">
            <v>No</v>
          </cell>
          <cell r="AC231" t="str">
            <v>31/08/2013</v>
          </cell>
          <cell r="AD231" t="str">
            <v>Good</v>
          </cell>
          <cell r="AE231" t="str">
            <v>V1 - Existing / No Claim</v>
          </cell>
          <cell r="AF231">
            <v>42780</v>
          </cell>
          <cell r="AG231">
            <v>9.17</v>
          </cell>
          <cell r="AH231" t="str">
            <v>RI</v>
          </cell>
          <cell r="AI231" t="str">
            <v>Strands</v>
          </cell>
          <cell r="AJ231" t="str">
            <v>Not under maintenance</v>
          </cell>
        </row>
        <row r="232">
          <cell r="A232" t="str">
            <v>IKN401452</v>
          </cell>
          <cell r="B232">
            <v>1423</v>
          </cell>
          <cell r="C232" t="str">
            <v>Institut Kanser Negara</v>
          </cell>
          <cell r="D232" t="str">
            <v>KKM/IKN/H/13/3646</v>
          </cell>
          <cell r="E232" t="str">
            <v>17-887</v>
          </cell>
          <cell r="F232" t="str">
            <v>Thermometers, Electronic, Infrared, Ear</v>
          </cell>
          <cell r="G232" t="str">
            <v>DO</v>
          </cell>
          <cell r="H232" t="str">
            <v>DAY ONCOLOGY UNIT</v>
          </cell>
          <cell r="I232" t="str">
            <v>04DO131</v>
          </cell>
          <cell r="J232" t="str">
            <v>NURSE STATION</v>
          </cell>
          <cell r="K232" t="str">
            <v>BMED</v>
          </cell>
          <cell r="L232" t="str">
            <v>Normal</v>
          </cell>
          <cell r="M232" t="str">
            <v>Mexico</v>
          </cell>
          <cell r="N232" t="str">
            <v>Thermoscan</v>
          </cell>
          <cell r="O232" t="str">
            <v>Thermoscan Pro 4000</v>
          </cell>
          <cell r="P232" t="str">
            <v>33412K00576</v>
          </cell>
          <cell r="Q232" t="str">
            <v>Not Applicable</v>
          </cell>
          <cell r="R232" t="str">
            <v>Welch Allyn Inc</v>
          </cell>
          <cell r="S232" t="str">
            <v>Welch Allyn Malaysia Sdn. Bhd</v>
          </cell>
          <cell r="T232" t="str">
            <v>Functioning</v>
          </cell>
          <cell r="U232" t="str">
            <v>Asset</v>
          </cell>
          <cell r="V232">
            <v>540</v>
          </cell>
          <cell r="W232" t="str">
            <v>KEW</v>
          </cell>
          <cell r="X232" t="str">
            <v>01/09/2010</v>
          </cell>
          <cell r="Y232" t="str">
            <v>KEW</v>
          </cell>
          <cell r="Z232" t="str">
            <v>16/08/2013</v>
          </cell>
          <cell r="AA232" t="str">
            <v>15/08/2015</v>
          </cell>
          <cell r="AB232" t="str">
            <v>No</v>
          </cell>
          <cell r="AC232" t="str">
            <v>31/08/2013</v>
          </cell>
          <cell r="AD232" t="str">
            <v>Good</v>
          </cell>
          <cell r="AE232" t="str">
            <v>V1 - Existing / No Claim</v>
          </cell>
          <cell r="AF232">
            <v>42793</v>
          </cell>
          <cell r="AG232">
            <v>9.17</v>
          </cell>
          <cell r="AH232" t="str">
            <v>RI</v>
          </cell>
          <cell r="AI232" t="str">
            <v>Strands</v>
          </cell>
          <cell r="AJ232" t="str">
            <v>Not under maintenance</v>
          </cell>
        </row>
        <row r="233">
          <cell r="A233" t="str">
            <v>IKN401455</v>
          </cell>
          <cell r="B233">
            <v>1425</v>
          </cell>
          <cell r="C233" t="str">
            <v>Institut Kanser Negara</v>
          </cell>
          <cell r="D233" t="e">
            <v>#N/A</v>
          </cell>
          <cell r="E233" t="str">
            <v>17-887</v>
          </cell>
          <cell r="F233" t="str">
            <v>Thermometers, Electronic, Infrared, Ear</v>
          </cell>
          <cell r="G233" t="str">
            <v>WB</v>
          </cell>
          <cell r="H233" t="str">
            <v>SURGICAL ONCO MALE WARD</v>
          </cell>
          <cell r="I233" t="str">
            <v>05WB107</v>
          </cell>
          <cell r="J233" t="str">
            <v>TREATMENT / PROCEDURE</v>
          </cell>
          <cell r="K233" t="str">
            <v>BMED</v>
          </cell>
          <cell r="L233" t="str">
            <v>Normal</v>
          </cell>
          <cell r="M233" t="str">
            <v>Mexico</v>
          </cell>
          <cell r="N233" t="str">
            <v>Thermoscan</v>
          </cell>
          <cell r="O233" t="str">
            <v>Thermoscan Pro 4000</v>
          </cell>
          <cell r="P233" t="str">
            <v>33412K00780</v>
          </cell>
          <cell r="Q233" t="str">
            <v>Not Available</v>
          </cell>
          <cell r="R233" t="str">
            <v>Welch Allyn Inc</v>
          </cell>
          <cell r="S233" t="str">
            <v>Welch Allyn Malaysia Sdn. Bhd</v>
          </cell>
          <cell r="T233" t="str">
            <v>Functioning</v>
          </cell>
          <cell r="U233" t="str">
            <v>Asset</v>
          </cell>
          <cell r="V233">
            <v>540</v>
          </cell>
          <cell r="W233" t="str">
            <v>KEW</v>
          </cell>
          <cell r="X233" t="str">
            <v>01/09/2010</v>
          </cell>
          <cell r="Y233" t="str">
            <v>KEW</v>
          </cell>
          <cell r="Z233" t="str">
            <v>16/08/2013</v>
          </cell>
          <cell r="AA233" t="str">
            <v>15/08/2015</v>
          </cell>
          <cell r="AB233" t="str">
            <v>No</v>
          </cell>
          <cell r="AC233" t="str">
            <v>31/08/2013</v>
          </cell>
          <cell r="AD233" t="str">
            <v>Good</v>
          </cell>
          <cell r="AE233" t="str">
            <v>V1 - Existing / No Claim</v>
          </cell>
          <cell r="AF233">
            <v>42780</v>
          </cell>
          <cell r="AG233">
            <v>9.17</v>
          </cell>
          <cell r="AH233" t="str">
            <v>RI</v>
          </cell>
          <cell r="AI233" t="str">
            <v>Not in contract</v>
          </cell>
          <cell r="AJ233" t="str">
            <v>Not under maintenance</v>
          </cell>
          <cell r="AK233" t="e">
            <v>#N/A</v>
          </cell>
        </row>
        <row r="234">
          <cell r="A234" t="str">
            <v>IKN401456</v>
          </cell>
          <cell r="B234">
            <v>1426</v>
          </cell>
          <cell r="C234" t="str">
            <v>Institut Kanser Negara</v>
          </cell>
          <cell r="D234" t="e">
            <v>#N/A</v>
          </cell>
          <cell r="E234" t="str">
            <v>17-887</v>
          </cell>
          <cell r="F234" t="str">
            <v>Thermometers, Electronic, Infrared, Ear</v>
          </cell>
          <cell r="G234" t="str">
            <v>WB</v>
          </cell>
          <cell r="H234" t="str">
            <v>SURGICAL ONCO MALE WARD</v>
          </cell>
          <cell r="I234" t="str">
            <v>05WB143</v>
          </cell>
          <cell r="J234" t="str">
            <v>NURSES STATION</v>
          </cell>
          <cell r="K234" t="str">
            <v>BMED</v>
          </cell>
          <cell r="L234" t="str">
            <v>Normal</v>
          </cell>
          <cell r="M234" t="str">
            <v>Mexico</v>
          </cell>
          <cell r="N234" t="str">
            <v>Thermoscan</v>
          </cell>
          <cell r="O234" t="str">
            <v>Thermoscan Pro 4000</v>
          </cell>
          <cell r="P234" t="str">
            <v>33412K00806</v>
          </cell>
          <cell r="Q234" t="str">
            <v>Not Available</v>
          </cell>
          <cell r="R234" t="str">
            <v>Welch Allyn Inc</v>
          </cell>
          <cell r="S234" t="str">
            <v>Welch Allyn Malaysia Sdn. Bhd</v>
          </cell>
          <cell r="T234" t="str">
            <v>Functioning</v>
          </cell>
          <cell r="U234" t="str">
            <v>Asset</v>
          </cell>
          <cell r="V234">
            <v>540</v>
          </cell>
          <cell r="W234" t="str">
            <v>KEW</v>
          </cell>
          <cell r="X234" t="str">
            <v>01/09/2010</v>
          </cell>
          <cell r="Y234" t="str">
            <v>KEW</v>
          </cell>
          <cell r="Z234" t="str">
            <v>16/08/2013</v>
          </cell>
          <cell r="AA234" t="str">
            <v>15/08/2015</v>
          </cell>
          <cell r="AB234" t="str">
            <v>No</v>
          </cell>
          <cell r="AC234" t="str">
            <v>31/08/2013</v>
          </cell>
          <cell r="AD234" t="str">
            <v>Good</v>
          </cell>
          <cell r="AE234" t="str">
            <v>V1 - Existing / No Claim</v>
          </cell>
          <cell r="AF234">
            <v>42780</v>
          </cell>
          <cell r="AG234">
            <v>9.17</v>
          </cell>
          <cell r="AH234" t="str">
            <v>RI</v>
          </cell>
          <cell r="AI234" t="str">
            <v>Not in contract</v>
          </cell>
          <cell r="AJ234" t="str">
            <v>Not under maintenance</v>
          </cell>
          <cell r="AK234" t="e">
            <v>#N/A</v>
          </cell>
        </row>
        <row r="235">
          <cell r="A235" t="str">
            <v>IKN401457</v>
          </cell>
          <cell r="B235">
            <v>1427</v>
          </cell>
          <cell r="C235" t="str">
            <v>Institut Kanser Negara</v>
          </cell>
          <cell r="D235" t="e">
            <v>#N/A</v>
          </cell>
          <cell r="E235" t="str">
            <v>17-887</v>
          </cell>
          <cell r="F235" t="str">
            <v>Thermometers, Electronic, Infrared, Ear</v>
          </cell>
          <cell r="G235" t="str">
            <v>WB</v>
          </cell>
          <cell r="H235" t="str">
            <v>SURGICAL ONCO MALE WARD</v>
          </cell>
          <cell r="I235" t="str">
            <v>05WB143</v>
          </cell>
          <cell r="J235" t="str">
            <v>NURSES STATION</v>
          </cell>
          <cell r="K235" t="str">
            <v>BMED</v>
          </cell>
          <cell r="L235" t="str">
            <v>Normal</v>
          </cell>
          <cell r="M235" t="str">
            <v>Mexico</v>
          </cell>
          <cell r="N235" t="str">
            <v>Thermoscan</v>
          </cell>
          <cell r="O235" t="str">
            <v>Thermoscan Pro 4000</v>
          </cell>
          <cell r="P235" t="str">
            <v>33412K01587</v>
          </cell>
          <cell r="Q235" t="str">
            <v>Not Available</v>
          </cell>
          <cell r="R235" t="str">
            <v>Welch Allyn Inc</v>
          </cell>
          <cell r="S235" t="str">
            <v>Welch Allyn Malaysia Sdn. Bhd</v>
          </cell>
          <cell r="T235" t="str">
            <v>Functioning</v>
          </cell>
          <cell r="U235" t="str">
            <v>Asset</v>
          </cell>
          <cell r="V235">
            <v>540</v>
          </cell>
          <cell r="W235" t="str">
            <v>KEW</v>
          </cell>
          <cell r="X235" t="str">
            <v>01/09/2010</v>
          </cell>
          <cell r="Y235" t="str">
            <v>KEW</v>
          </cell>
          <cell r="Z235" t="str">
            <v>16/08/2013</v>
          </cell>
          <cell r="AA235" t="str">
            <v>15/08/2015</v>
          </cell>
          <cell r="AB235" t="str">
            <v>No</v>
          </cell>
          <cell r="AC235" t="str">
            <v>31/08/2013</v>
          </cell>
          <cell r="AD235" t="str">
            <v>Good</v>
          </cell>
          <cell r="AE235" t="str">
            <v>V1 - Existing / No Claim</v>
          </cell>
          <cell r="AF235">
            <v>42780</v>
          </cell>
          <cell r="AG235">
            <v>9.17</v>
          </cell>
          <cell r="AH235" t="str">
            <v>RI</v>
          </cell>
          <cell r="AI235" t="str">
            <v>Not in contract</v>
          </cell>
          <cell r="AJ235" t="str">
            <v>Not under maintenance</v>
          </cell>
          <cell r="AK235" t="e">
            <v>#N/A</v>
          </cell>
        </row>
        <row r="236">
          <cell r="A236" t="str">
            <v>IKN401459</v>
          </cell>
          <cell r="B236">
            <v>1428</v>
          </cell>
          <cell r="C236" t="str">
            <v>Institut Kanser Negara</v>
          </cell>
          <cell r="D236" t="e">
            <v>#N/A</v>
          </cell>
          <cell r="E236" t="str">
            <v>17-887</v>
          </cell>
          <cell r="F236" t="str">
            <v>Thermometers, Electronic, Infrared, Ear</v>
          </cell>
          <cell r="G236" t="str">
            <v>IC</v>
          </cell>
          <cell r="H236" t="str">
            <v>INTENSIVE CARE UNIT</v>
          </cell>
          <cell r="I236" t="str">
            <v>05IC140</v>
          </cell>
          <cell r="J236" t="str">
            <v>NURSE STATION 1</v>
          </cell>
          <cell r="K236" t="str">
            <v>BMED</v>
          </cell>
          <cell r="L236" t="str">
            <v>Normal</v>
          </cell>
          <cell r="M236" t="str">
            <v>Mexico</v>
          </cell>
          <cell r="N236" t="str">
            <v>Thermoscan</v>
          </cell>
          <cell r="O236" t="str">
            <v>Thermoscan Pro 4000</v>
          </cell>
          <cell r="P236" t="str">
            <v>33312K06563</v>
          </cell>
          <cell r="Q236" t="str">
            <v>Not Available</v>
          </cell>
          <cell r="R236" t="str">
            <v>Welch Allyn Inc</v>
          </cell>
          <cell r="S236" t="str">
            <v>Welch Allyn Malaysia Sdn. Bhd</v>
          </cell>
          <cell r="T236" t="str">
            <v>Functioning</v>
          </cell>
          <cell r="U236" t="str">
            <v>Asset</v>
          </cell>
          <cell r="V236">
            <v>540</v>
          </cell>
          <cell r="W236" t="str">
            <v>KEW</v>
          </cell>
          <cell r="X236" t="str">
            <v>01/09/2010</v>
          </cell>
          <cell r="Y236" t="str">
            <v>KEW</v>
          </cell>
          <cell r="Z236" t="str">
            <v>16/08/2013</v>
          </cell>
          <cell r="AA236" t="str">
            <v>15/08/2015</v>
          </cell>
          <cell r="AB236" t="str">
            <v>No</v>
          </cell>
          <cell r="AC236" t="str">
            <v>31/08/2013</v>
          </cell>
          <cell r="AD236" t="str">
            <v>Good</v>
          </cell>
          <cell r="AE236" t="str">
            <v>V1 - Existing / No Claim</v>
          </cell>
          <cell r="AF236">
            <v>42780</v>
          </cell>
          <cell r="AG236">
            <v>9.17</v>
          </cell>
          <cell r="AH236" t="str">
            <v>RI</v>
          </cell>
          <cell r="AI236" t="str">
            <v>Not in contract</v>
          </cell>
          <cell r="AJ236" t="str">
            <v>Not under maintenance</v>
          </cell>
          <cell r="AK236" t="e">
            <v>#N/A</v>
          </cell>
        </row>
        <row r="237">
          <cell r="A237" t="str">
            <v>IKN401460</v>
          </cell>
          <cell r="B237">
            <v>1429</v>
          </cell>
          <cell r="C237" t="str">
            <v>Institut Kanser Negara</v>
          </cell>
          <cell r="D237" t="e">
            <v>#N/A</v>
          </cell>
          <cell r="E237" t="str">
            <v>17-887</v>
          </cell>
          <cell r="F237" t="str">
            <v>Thermometers, Electronic, Infrared, Ear</v>
          </cell>
          <cell r="G237" t="str">
            <v>IC</v>
          </cell>
          <cell r="H237" t="str">
            <v>INTENSIVE CARE UNIT</v>
          </cell>
          <cell r="I237" t="str">
            <v>05IC140</v>
          </cell>
          <cell r="J237" t="str">
            <v>NURSE STATION 1</v>
          </cell>
          <cell r="K237" t="str">
            <v>BMED</v>
          </cell>
          <cell r="L237" t="str">
            <v>Normal</v>
          </cell>
          <cell r="M237" t="str">
            <v>Mexico</v>
          </cell>
          <cell r="N237" t="str">
            <v>Thermoscan</v>
          </cell>
          <cell r="O237" t="str">
            <v>Thermoscan Pro 4000</v>
          </cell>
          <cell r="P237" t="str">
            <v>33412K01008</v>
          </cell>
          <cell r="Q237" t="str">
            <v>Not Available</v>
          </cell>
          <cell r="R237" t="str">
            <v>Welch Allyn Inc</v>
          </cell>
          <cell r="S237" t="str">
            <v>Welch Allyn Malaysia Sdn. Bhd</v>
          </cell>
          <cell r="T237" t="str">
            <v>Functioning</v>
          </cell>
          <cell r="U237" t="str">
            <v>Asset</v>
          </cell>
          <cell r="V237">
            <v>540</v>
          </cell>
          <cell r="W237" t="str">
            <v>KEW</v>
          </cell>
          <cell r="X237" t="str">
            <v>01/09/2010</v>
          </cell>
          <cell r="Y237" t="str">
            <v>KEW</v>
          </cell>
          <cell r="Z237" t="str">
            <v>16/08/2013</v>
          </cell>
          <cell r="AA237" t="str">
            <v>15/08/2015</v>
          </cell>
          <cell r="AB237" t="str">
            <v>No</v>
          </cell>
          <cell r="AC237" t="str">
            <v>31/08/2013</v>
          </cell>
          <cell r="AD237" t="str">
            <v>Good</v>
          </cell>
          <cell r="AE237" t="str">
            <v>V1 - Existing / No Claim</v>
          </cell>
          <cell r="AF237">
            <v>42780</v>
          </cell>
          <cell r="AG237">
            <v>9.17</v>
          </cell>
          <cell r="AH237" t="str">
            <v>RI</v>
          </cell>
          <cell r="AI237" t="str">
            <v>Not in contract</v>
          </cell>
          <cell r="AJ237" t="str">
            <v>Not under maintenance</v>
          </cell>
          <cell r="AK237" t="e">
            <v>#N/A</v>
          </cell>
        </row>
        <row r="238">
          <cell r="A238" t="str">
            <v>IKN401463</v>
          </cell>
          <cell r="B238">
            <v>1431</v>
          </cell>
          <cell r="C238" t="str">
            <v>Institut Kanser Negara</v>
          </cell>
          <cell r="D238" t="e">
            <v>#N/A</v>
          </cell>
          <cell r="E238" t="str">
            <v>17-887</v>
          </cell>
          <cell r="F238" t="str">
            <v>Thermometers, Electronic, Infrared, Ear</v>
          </cell>
          <cell r="G238" t="str">
            <v>WJ</v>
          </cell>
          <cell r="H238" t="str">
            <v>MULTIDISCIPLINE WARD 1</v>
          </cell>
          <cell r="I238" t="str">
            <v>09WJ209</v>
          </cell>
          <cell r="J238" t="str">
            <v>NURSE STATION</v>
          </cell>
          <cell r="K238" t="str">
            <v>BMED</v>
          </cell>
          <cell r="L238" t="str">
            <v>Normal</v>
          </cell>
          <cell r="M238" t="str">
            <v>Mexico</v>
          </cell>
          <cell r="N238" t="str">
            <v>Thermoscan</v>
          </cell>
          <cell r="O238" t="str">
            <v>Thermoscan Pro 4000</v>
          </cell>
          <cell r="P238" t="str">
            <v>33412K01023</v>
          </cell>
          <cell r="Q238" t="str">
            <v>Not Available</v>
          </cell>
          <cell r="R238" t="str">
            <v>Welch Allyn Inc</v>
          </cell>
          <cell r="S238" t="str">
            <v>Welch Allyn Malaysia Sdn. Bhd</v>
          </cell>
          <cell r="T238" t="str">
            <v>Functioning</v>
          </cell>
          <cell r="U238" t="str">
            <v>Asset</v>
          </cell>
          <cell r="V238">
            <v>540</v>
          </cell>
          <cell r="W238" t="str">
            <v>KEW</v>
          </cell>
          <cell r="X238" t="str">
            <v>01/09/2010</v>
          </cell>
          <cell r="Y238" t="str">
            <v>KEW</v>
          </cell>
          <cell r="Z238" t="str">
            <v>16/08/2013</v>
          </cell>
          <cell r="AA238" t="str">
            <v>15/08/2015</v>
          </cell>
          <cell r="AB238" t="str">
            <v>No</v>
          </cell>
          <cell r="AC238" t="str">
            <v>31/08/2013</v>
          </cell>
          <cell r="AD238" t="str">
            <v>Good</v>
          </cell>
          <cell r="AE238" t="str">
            <v>V1 - Existing / No Claim</v>
          </cell>
          <cell r="AF238">
            <v>42780</v>
          </cell>
          <cell r="AG238">
            <v>9.17</v>
          </cell>
          <cell r="AH238" t="str">
            <v>RI</v>
          </cell>
          <cell r="AI238" t="str">
            <v>Not in contract</v>
          </cell>
          <cell r="AJ238" t="str">
            <v>Not under maintenance</v>
          </cell>
          <cell r="AK238" t="e">
            <v>#N/A</v>
          </cell>
        </row>
        <row r="239">
          <cell r="A239" t="str">
            <v>IKN401464</v>
          </cell>
          <cell r="B239">
            <v>1432</v>
          </cell>
          <cell r="C239" t="str">
            <v>Institut Kanser Negara</v>
          </cell>
          <cell r="D239" t="e">
            <v>#N/A</v>
          </cell>
          <cell r="E239" t="str">
            <v>17-887</v>
          </cell>
          <cell r="F239" t="str">
            <v>Thermometers, Electronic, Infrared, Ear</v>
          </cell>
          <cell r="G239" t="str">
            <v>WJ</v>
          </cell>
          <cell r="H239" t="str">
            <v>MULTIDISCIPLINE WARD 1</v>
          </cell>
          <cell r="I239" t="str">
            <v>09WJ205</v>
          </cell>
          <cell r="J239" t="str">
            <v>NURSE STATION</v>
          </cell>
          <cell r="K239" t="str">
            <v>BMED</v>
          </cell>
          <cell r="L239" t="str">
            <v>Normal</v>
          </cell>
          <cell r="M239" t="str">
            <v>Mexico</v>
          </cell>
          <cell r="N239" t="str">
            <v>Thermoscan</v>
          </cell>
          <cell r="O239" t="str">
            <v>Thermoscan Pro 4000</v>
          </cell>
          <cell r="P239" t="str">
            <v>33412K00505</v>
          </cell>
          <cell r="Q239" t="str">
            <v>Not Available</v>
          </cell>
          <cell r="R239" t="str">
            <v>Welch Allyn Inc</v>
          </cell>
          <cell r="S239" t="str">
            <v>Welch Allyn Malaysia Sdn. Bhd</v>
          </cell>
          <cell r="T239" t="str">
            <v>Functioning</v>
          </cell>
          <cell r="U239" t="str">
            <v>Asset</v>
          </cell>
          <cell r="V239">
            <v>540</v>
          </cell>
          <cell r="W239" t="str">
            <v>KEW</v>
          </cell>
          <cell r="X239" t="str">
            <v>01/09/2010</v>
          </cell>
          <cell r="Y239" t="str">
            <v>KEW</v>
          </cell>
          <cell r="Z239" t="str">
            <v>16/08/2013</v>
          </cell>
          <cell r="AA239" t="str">
            <v>15/08/2015</v>
          </cell>
          <cell r="AB239" t="str">
            <v>No</v>
          </cell>
          <cell r="AC239" t="str">
            <v>31/08/2013</v>
          </cell>
          <cell r="AD239" t="str">
            <v>Good</v>
          </cell>
          <cell r="AE239" t="str">
            <v>V1 - Existing / No Claim</v>
          </cell>
          <cell r="AF239">
            <v>42781</v>
          </cell>
          <cell r="AG239">
            <v>9.17</v>
          </cell>
          <cell r="AH239" t="str">
            <v>RI</v>
          </cell>
          <cell r="AI239" t="str">
            <v>Not in contract</v>
          </cell>
          <cell r="AJ239" t="str">
            <v>Not under maintenance</v>
          </cell>
          <cell r="AK239" t="e">
            <v>#N/A</v>
          </cell>
        </row>
        <row r="240">
          <cell r="A240" t="str">
            <v>IKN401465</v>
          </cell>
          <cell r="B240">
            <v>1433</v>
          </cell>
          <cell r="C240" t="str">
            <v>Institut Kanser Negara</v>
          </cell>
          <cell r="D240" t="e">
            <v>#N/A</v>
          </cell>
          <cell r="E240" t="str">
            <v>17-887</v>
          </cell>
          <cell r="F240" t="str">
            <v>Thermometers, Electronic, Infrared, Ear</v>
          </cell>
          <cell r="G240" t="str">
            <v>WJ</v>
          </cell>
          <cell r="H240" t="str">
            <v>MULTIDISCIPLINE WARD 1</v>
          </cell>
          <cell r="I240" t="str">
            <v>09WJ205</v>
          </cell>
          <cell r="J240" t="str">
            <v>NURSE STATION</v>
          </cell>
          <cell r="K240" t="str">
            <v>BMED</v>
          </cell>
          <cell r="L240" t="str">
            <v>Normal</v>
          </cell>
          <cell r="M240" t="str">
            <v>Mexico</v>
          </cell>
          <cell r="N240" t="str">
            <v>Thermoscan</v>
          </cell>
          <cell r="O240" t="str">
            <v>Thermoscan Pro 4000</v>
          </cell>
          <cell r="P240" t="str">
            <v>33412K05108</v>
          </cell>
          <cell r="Q240" t="str">
            <v>Not Available</v>
          </cell>
          <cell r="R240" t="str">
            <v>Welch Allyn Inc</v>
          </cell>
          <cell r="S240" t="str">
            <v>Welch Allyn Malaysia Sdn. Bhd</v>
          </cell>
          <cell r="T240" t="str">
            <v>Functioning</v>
          </cell>
          <cell r="U240" t="str">
            <v>Asset</v>
          </cell>
          <cell r="V240">
            <v>540</v>
          </cell>
          <cell r="W240" t="str">
            <v>KEW</v>
          </cell>
          <cell r="X240" t="str">
            <v>01/09/2010</v>
          </cell>
          <cell r="Y240" t="str">
            <v>KEW</v>
          </cell>
          <cell r="Z240" t="str">
            <v>16/08/2013</v>
          </cell>
          <cell r="AA240" t="str">
            <v>15/08/2015</v>
          </cell>
          <cell r="AB240" t="str">
            <v>No</v>
          </cell>
          <cell r="AC240" t="str">
            <v>31/08/2013</v>
          </cell>
          <cell r="AD240" t="str">
            <v>Good</v>
          </cell>
          <cell r="AE240" t="str">
            <v>V1 - Existing / No Claim</v>
          </cell>
          <cell r="AF240">
            <v>42780</v>
          </cell>
          <cell r="AG240">
            <v>9.17</v>
          </cell>
          <cell r="AH240" t="str">
            <v>RI</v>
          </cell>
          <cell r="AI240" t="str">
            <v>Not in contract</v>
          </cell>
          <cell r="AJ240" t="str">
            <v>Not under maintenance</v>
          </cell>
          <cell r="AK240" t="e">
            <v>#N/A</v>
          </cell>
        </row>
        <row r="241">
          <cell r="A241" t="str">
            <v>IKN401467</v>
          </cell>
          <cell r="B241">
            <v>1434</v>
          </cell>
          <cell r="C241" t="str">
            <v>Institut Kanser Negara</v>
          </cell>
          <cell r="D241" t="str">
            <v>KKM/IKN/I/13/3989</v>
          </cell>
          <cell r="E241" t="str">
            <v>17-887</v>
          </cell>
          <cell r="F241" t="str">
            <v>Thermometers, Electronic, Infrared, Ear</v>
          </cell>
          <cell r="G241" t="str">
            <v>WG</v>
          </cell>
          <cell r="H241" t="str">
            <v>RT/ONCO WARD 1 (M)</v>
          </cell>
          <cell r="I241" t="str">
            <v>08WG143</v>
          </cell>
          <cell r="J241" t="str">
            <v>NURSE STATION</v>
          </cell>
          <cell r="K241" t="str">
            <v>BMED</v>
          </cell>
          <cell r="L241" t="str">
            <v>Normal</v>
          </cell>
          <cell r="M241" t="str">
            <v>Mexico</v>
          </cell>
          <cell r="N241" t="str">
            <v>Thermoscan</v>
          </cell>
          <cell r="O241" t="str">
            <v>Thermoscan Pro 4000</v>
          </cell>
          <cell r="P241" t="str">
            <v>33412K00663</v>
          </cell>
          <cell r="Q241" t="str">
            <v>Not Applicable</v>
          </cell>
          <cell r="R241" t="str">
            <v>Welch Allyn Inc</v>
          </cell>
          <cell r="S241" t="str">
            <v>Welch Allyn Malaysia Sdn. Bhd</v>
          </cell>
          <cell r="T241" t="str">
            <v>Functioning</v>
          </cell>
          <cell r="U241" t="str">
            <v>Asset</v>
          </cell>
          <cell r="V241">
            <v>540</v>
          </cell>
          <cell r="W241" t="str">
            <v>KEW</v>
          </cell>
          <cell r="X241" t="str">
            <v>01/09/2010</v>
          </cell>
          <cell r="Y241" t="str">
            <v>KEW</v>
          </cell>
          <cell r="Z241" t="str">
            <v>16/08/2013</v>
          </cell>
          <cell r="AA241" t="str">
            <v>15/08/2015</v>
          </cell>
          <cell r="AB241" t="str">
            <v>No</v>
          </cell>
          <cell r="AC241" t="str">
            <v>31/08/2013</v>
          </cell>
          <cell r="AD241" t="str">
            <v>Good</v>
          </cell>
          <cell r="AE241" t="str">
            <v>V1 - Existing / No Claim</v>
          </cell>
          <cell r="AF241">
            <v>42789</v>
          </cell>
          <cell r="AG241">
            <v>9.17</v>
          </cell>
          <cell r="AH241" t="str">
            <v>RI</v>
          </cell>
          <cell r="AI241" t="str">
            <v>Strands</v>
          </cell>
          <cell r="AJ241" t="str">
            <v>Not under maintenance</v>
          </cell>
        </row>
        <row r="242">
          <cell r="A242" t="str">
            <v>IKN401468</v>
          </cell>
          <cell r="B242">
            <v>1435</v>
          </cell>
          <cell r="C242" t="str">
            <v>Institut Kanser Negara</v>
          </cell>
          <cell r="D242" t="e">
            <v>#N/A</v>
          </cell>
          <cell r="E242" t="str">
            <v>17-887</v>
          </cell>
          <cell r="F242" t="str">
            <v>Thermometers, Electronic, Infrared, Ear</v>
          </cell>
          <cell r="G242" t="str">
            <v>WC</v>
          </cell>
          <cell r="H242" t="str">
            <v>SURGICAL ONCO FEMALE WARD</v>
          </cell>
          <cell r="I242" t="str">
            <v>06WC143</v>
          </cell>
          <cell r="J242" t="str">
            <v>NURSE STATION</v>
          </cell>
          <cell r="K242" t="str">
            <v>BMED</v>
          </cell>
          <cell r="L242" t="str">
            <v>Normal</v>
          </cell>
          <cell r="M242" t="str">
            <v>Mexico</v>
          </cell>
          <cell r="N242" t="str">
            <v>Thermoscan</v>
          </cell>
          <cell r="O242" t="str">
            <v>Thermoscan Pro 4000</v>
          </cell>
          <cell r="P242" t="str">
            <v>22414K07527</v>
          </cell>
          <cell r="Q242" t="str">
            <v>Not Available</v>
          </cell>
          <cell r="R242" t="str">
            <v>Welch Allyn Inc</v>
          </cell>
          <cell r="S242" t="str">
            <v>Welch Allyn Malaysia Sdn. Bhd</v>
          </cell>
          <cell r="T242" t="str">
            <v>Functioning</v>
          </cell>
          <cell r="U242" t="str">
            <v>Asset</v>
          </cell>
          <cell r="V242">
            <v>540</v>
          </cell>
          <cell r="W242" t="str">
            <v>KEW</v>
          </cell>
          <cell r="X242" t="str">
            <v>01/09/2010</v>
          </cell>
          <cell r="Y242" t="str">
            <v>KEW</v>
          </cell>
          <cell r="Z242" t="str">
            <v>16/08/2013</v>
          </cell>
          <cell r="AA242" t="str">
            <v>15/08/2015</v>
          </cell>
          <cell r="AB242" t="str">
            <v>No</v>
          </cell>
          <cell r="AC242" t="str">
            <v>31/08/2013</v>
          </cell>
          <cell r="AD242" t="str">
            <v>Good</v>
          </cell>
          <cell r="AE242" t="str">
            <v>V1 - Existing / No Claim</v>
          </cell>
          <cell r="AF242">
            <v>42780</v>
          </cell>
          <cell r="AG242">
            <v>9.17</v>
          </cell>
          <cell r="AH242" t="str">
            <v>RI</v>
          </cell>
          <cell r="AI242" t="str">
            <v>Not in contract</v>
          </cell>
          <cell r="AJ242" t="str">
            <v>Not under maintenance</v>
          </cell>
          <cell r="AK242" t="e">
            <v>#N/A</v>
          </cell>
        </row>
        <row r="243">
          <cell r="A243" t="str">
            <v>IKN401469</v>
          </cell>
          <cell r="B243">
            <v>1436</v>
          </cell>
          <cell r="C243" t="str">
            <v>Institut Kanser Negara</v>
          </cell>
          <cell r="D243" t="e">
            <v>#N/A</v>
          </cell>
          <cell r="E243" t="str">
            <v>17-887</v>
          </cell>
          <cell r="F243" t="str">
            <v>Thermometers, Electronic, Infrared, Ear</v>
          </cell>
          <cell r="G243" t="str">
            <v>WC</v>
          </cell>
          <cell r="H243" t="str">
            <v>SURGICAL ONCO FEMALE WARD</v>
          </cell>
          <cell r="I243" t="str">
            <v>06WC143</v>
          </cell>
          <cell r="J243" t="str">
            <v>NURSE STATION</v>
          </cell>
          <cell r="K243" t="str">
            <v>BMED</v>
          </cell>
          <cell r="L243" t="str">
            <v>Normal</v>
          </cell>
          <cell r="M243" t="str">
            <v>Mexico</v>
          </cell>
          <cell r="N243" t="str">
            <v>Thermoscan</v>
          </cell>
          <cell r="O243" t="str">
            <v>Thermoscan Pro 4000</v>
          </cell>
          <cell r="P243" t="str">
            <v>33412K00299</v>
          </cell>
          <cell r="Q243" t="str">
            <v>Not Available</v>
          </cell>
          <cell r="R243" t="str">
            <v>Welch Allyn Inc</v>
          </cell>
          <cell r="S243" t="str">
            <v>Welch Allyn Malaysia Sdn. Bhd</v>
          </cell>
          <cell r="T243" t="str">
            <v>Functioning</v>
          </cell>
          <cell r="U243" t="str">
            <v>Asset</v>
          </cell>
          <cell r="V243">
            <v>540</v>
          </cell>
          <cell r="W243" t="str">
            <v>KEW</v>
          </cell>
          <cell r="X243" t="str">
            <v>01/09/2010</v>
          </cell>
          <cell r="Y243" t="str">
            <v>KEW</v>
          </cell>
          <cell r="Z243" t="str">
            <v>16/08/2013</v>
          </cell>
          <cell r="AA243" t="str">
            <v>15/08/2015</v>
          </cell>
          <cell r="AB243" t="str">
            <v>No</v>
          </cell>
          <cell r="AC243" t="str">
            <v>31/08/2013</v>
          </cell>
          <cell r="AD243" t="str">
            <v>Good</v>
          </cell>
          <cell r="AE243" t="str">
            <v>V1 - Existing / No Claim</v>
          </cell>
          <cell r="AF243">
            <v>42780</v>
          </cell>
          <cell r="AG243">
            <v>9.17</v>
          </cell>
          <cell r="AH243" t="str">
            <v>RI</v>
          </cell>
          <cell r="AI243" t="str">
            <v>Not in contract</v>
          </cell>
          <cell r="AJ243" t="str">
            <v>Not under maintenance</v>
          </cell>
          <cell r="AK243" t="e">
            <v>#N/A</v>
          </cell>
        </row>
        <row r="244">
          <cell r="A244" t="str">
            <v>IKN401473</v>
          </cell>
          <cell r="B244">
            <v>1439</v>
          </cell>
          <cell r="C244" t="str">
            <v>Institut Kanser Negara</v>
          </cell>
          <cell r="D244" t="e">
            <v>#N/A</v>
          </cell>
          <cell r="E244" t="str">
            <v>17-887</v>
          </cell>
          <cell r="F244" t="str">
            <v>Thermometers, Electronic, Infrared, Ear</v>
          </cell>
          <cell r="G244" t="str">
            <v>OT</v>
          </cell>
          <cell r="H244" t="str">
            <v>OPERATING THEATRE</v>
          </cell>
          <cell r="I244" t="str">
            <v>05OT158</v>
          </cell>
          <cell r="J244" t="str">
            <v>NURSE STATION</v>
          </cell>
          <cell r="K244" t="str">
            <v>BMED</v>
          </cell>
          <cell r="L244" t="str">
            <v>Normal</v>
          </cell>
          <cell r="M244" t="str">
            <v>Mexico</v>
          </cell>
          <cell r="N244" t="str">
            <v>Thermoscan</v>
          </cell>
          <cell r="O244" t="str">
            <v>Thermoscan Pro 4000</v>
          </cell>
          <cell r="P244" t="str">
            <v>33412K08730</v>
          </cell>
          <cell r="Q244" t="str">
            <v>Not Available</v>
          </cell>
          <cell r="R244" t="str">
            <v>Welch Allyn Inc</v>
          </cell>
          <cell r="S244" t="str">
            <v>Welch Allyn Malaysia Sdn. Bhd</v>
          </cell>
          <cell r="T244" t="str">
            <v>Functioning</v>
          </cell>
          <cell r="U244" t="str">
            <v>Asset</v>
          </cell>
          <cell r="V244">
            <v>540</v>
          </cell>
          <cell r="W244" t="str">
            <v>KEW</v>
          </cell>
          <cell r="X244" t="str">
            <v>01/09/2010</v>
          </cell>
          <cell r="Y244" t="str">
            <v>KEW</v>
          </cell>
          <cell r="Z244" t="str">
            <v>16/08/2013</v>
          </cell>
          <cell r="AA244" t="str">
            <v>15/08/2015</v>
          </cell>
          <cell r="AB244" t="str">
            <v>No</v>
          </cell>
          <cell r="AC244" t="str">
            <v>31/08/2013</v>
          </cell>
          <cell r="AD244" t="str">
            <v>Good</v>
          </cell>
          <cell r="AE244" t="str">
            <v>V1 - Existing / No Claim</v>
          </cell>
          <cell r="AF244">
            <v>42781</v>
          </cell>
          <cell r="AG244">
            <v>9.17</v>
          </cell>
          <cell r="AH244" t="str">
            <v>RI</v>
          </cell>
          <cell r="AI244" t="str">
            <v>Not in contract</v>
          </cell>
          <cell r="AJ244" t="str">
            <v>Not under maintenance</v>
          </cell>
          <cell r="AK244" t="e">
            <v>#N/A</v>
          </cell>
        </row>
        <row r="245">
          <cell r="A245" t="str">
            <v>IKN401474</v>
          </cell>
          <cell r="B245">
            <v>1440</v>
          </cell>
          <cell r="C245" t="str">
            <v>Institut Kanser Negara</v>
          </cell>
          <cell r="D245" t="str">
            <v>KKM/IKN/I/13/2196</v>
          </cell>
          <cell r="E245" t="str">
            <v>17-887</v>
          </cell>
          <cell r="F245" t="str">
            <v>Thermometers, Electronic, Infrared, Ear</v>
          </cell>
          <cell r="G245" t="str">
            <v>OT</v>
          </cell>
          <cell r="H245" t="str">
            <v>OPERATING THEATRE</v>
          </cell>
          <cell r="I245" t="str">
            <v>05OT158</v>
          </cell>
          <cell r="J245" t="str">
            <v>NURSE STATION</v>
          </cell>
          <cell r="K245" t="str">
            <v>BMED</v>
          </cell>
          <cell r="L245" t="str">
            <v>Normal</v>
          </cell>
          <cell r="M245" t="str">
            <v>Mexico</v>
          </cell>
          <cell r="N245" t="str">
            <v>Thermoscan</v>
          </cell>
          <cell r="O245" t="str">
            <v>Thermoscan Pro 4000</v>
          </cell>
          <cell r="P245" t="str">
            <v>33412K08738</v>
          </cell>
          <cell r="Q245" t="str">
            <v>Not Applicable</v>
          </cell>
          <cell r="R245" t="str">
            <v>Welch Allyn Inc</v>
          </cell>
          <cell r="S245" t="str">
            <v>Welch Allyn Malaysia Sdn. Bhd</v>
          </cell>
          <cell r="T245" t="str">
            <v>Functioning</v>
          </cell>
          <cell r="U245" t="str">
            <v>Asset</v>
          </cell>
          <cell r="V245">
            <v>540</v>
          </cell>
          <cell r="W245" t="str">
            <v>KEW</v>
          </cell>
          <cell r="X245" t="str">
            <v>01/09/2010</v>
          </cell>
          <cell r="Y245" t="str">
            <v>KEW</v>
          </cell>
          <cell r="Z245" t="str">
            <v>16/08/2013</v>
          </cell>
          <cell r="AA245" t="str">
            <v>15/08/2015</v>
          </cell>
          <cell r="AB245" t="str">
            <v>No</v>
          </cell>
          <cell r="AC245" t="str">
            <v>31/08/2013</v>
          </cell>
          <cell r="AD245" t="str">
            <v>Good</v>
          </cell>
          <cell r="AE245" t="str">
            <v>V1 - Existing / No Claim</v>
          </cell>
          <cell r="AF245">
            <v>42803</v>
          </cell>
          <cell r="AG245">
            <v>9.17</v>
          </cell>
          <cell r="AH245" t="str">
            <v>RI</v>
          </cell>
          <cell r="AI245" t="str">
            <v>Strands</v>
          </cell>
          <cell r="AJ245" t="str">
            <v>Not under maintenance</v>
          </cell>
        </row>
        <row r="246">
          <cell r="A246" t="str">
            <v>IKN401475</v>
          </cell>
          <cell r="B246">
            <v>1441</v>
          </cell>
          <cell r="C246" t="str">
            <v>Institut Kanser Negara</v>
          </cell>
          <cell r="D246" t="e">
            <v>#N/A</v>
          </cell>
          <cell r="E246" t="str">
            <v>17-887</v>
          </cell>
          <cell r="F246" t="str">
            <v>Thermometers, Electronic, Infrared, Ear</v>
          </cell>
          <cell r="G246" t="str">
            <v>RT</v>
          </cell>
          <cell r="H246" t="str">
            <v>RADIATION TREATMENT UNIT</v>
          </cell>
          <cell r="I246" t="str">
            <v>01RT243</v>
          </cell>
          <cell r="J246" t="str">
            <v>NURSE STATION</v>
          </cell>
          <cell r="K246" t="str">
            <v>BMED</v>
          </cell>
          <cell r="L246" t="str">
            <v>Normal</v>
          </cell>
          <cell r="M246" t="str">
            <v>Mexico</v>
          </cell>
          <cell r="N246" t="str">
            <v>Thermoscan</v>
          </cell>
          <cell r="O246" t="str">
            <v>Thermoscan Pro 4000</v>
          </cell>
          <cell r="P246" t="str">
            <v>33412K00447</v>
          </cell>
          <cell r="Q246" t="str">
            <v>Not Applicable</v>
          </cell>
          <cell r="R246" t="str">
            <v>Welch Allyn Inc</v>
          </cell>
          <cell r="S246" t="str">
            <v>Welch Allyn Malaysia Sdn Bhd</v>
          </cell>
          <cell r="T246" t="str">
            <v>Functioning</v>
          </cell>
          <cell r="U246" t="str">
            <v>Asset</v>
          </cell>
          <cell r="V246">
            <v>540</v>
          </cell>
          <cell r="W246" t="str">
            <v>KEW</v>
          </cell>
          <cell r="X246" t="str">
            <v>01/09/2010</v>
          </cell>
          <cell r="Y246" t="str">
            <v>KEW</v>
          </cell>
          <cell r="Z246" t="str">
            <v>16/08/2013</v>
          </cell>
          <cell r="AA246" t="str">
            <v>15/08/2015</v>
          </cell>
          <cell r="AB246" t="str">
            <v>No</v>
          </cell>
          <cell r="AC246" t="str">
            <v>31/08/2013</v>
          </cell>
          <cell r="AD246" t="str">
            <v>Good</v>
          </cell>
          <cell r="AE246" t="str">
            <v>V1 - Existing / No Claim</v>
          </cell>
          <cell r="AF246">
            <v>42816</v>
          </cell>
          <cell r="AG246">
            <v>9.17</v>
          </cell>
          <cell r="AH246" t="str">
            <v>RI</v>
          </cell>
          <cell r="AI246" t="str">
            <v>Not in contract</v>
          </cell>
          <cell r="AJ246" t="str">
            <v>Not under maintenance</v>
          </cell>
          <cell r="AK246" t="e">
            <v>#N/A</v>
          </cell>
        </row>
        <row r="247">
          <cell r="A247" t="str">
            <v>IKN401478</v>
          </cell>
          <cell r="B247">
            <v>1443</v>
          </cell>
          <cell r="C247" t="str">
            <v>Institut Kanser Negara</v>
          </cell>
          <cell r="D247" t="e">
            <v>#N/A</v>
          </cell>
          <cell r="E247" t="str">
            <v>17-887</v>
          </cell>
          <cell r="F247" t="str">
            <v>Thermometers, Electronic, Infrared, Ear</v>
          </cell>
          <cell r="G247" t="str">
            <v>RT</v>
          </cell>
          <cell r="H247" t="str">
            <v>RADIATION TREATMENT UNIT</v>
          </cell>
          <cell r="I247" t="str">
            <v>01RT264</v>
          </cell>
          <cell r="J247" t="str">
            <v>SISTER</v>
          </cell>
          <cell r="K247" t="str">
            <v>BMED</v>
          </cell>
          <cell r="L247" t="str">
            <v>Normal</v>
          </cell>
          <cell r="M247" t="str">
            <v>Mexico</v>
          </cell>
          <cell r="N247" t="str">
            <v>Thermoscan</v>
          </cell>
          <cell r="O247" t="str">
            <v>Thermoscan Pro 4000</v>
          </cell>
          <cell r="P247" t="str">
            <v>04413K07501</v>
          </cell>
          <cell r="Q247" t="str">
            <v>Not Applicable</v>
          </cell>
          <cell r="R247" t="str">
            <v>Welch Allyn Inc</v>
          </cell>
          <cell r="S247" t="str">
            <v>Welch Allyn Malaysia Sdn Bhd</v>
          </cell>
          <cell r="T247" t="str">
            <v>Functioning</v>
          </cell>
          <cell r="U247" t="str">
            <v>Asset</v>
          </cell>
          <cell r="V247">
            <v>540</v>
          </cell>
          <cell r="W247" t="str">
            <v>KEW</v>
          </cell>
          <cell r="X247" t="str">
            <v>01/09/2010</v>
          </cell>
          <cell r="Y247" t="str">
            <v>KEW</v>
          </cell>
          <cell r="Z247" t="str">
            <v>16/08/2013</v>
          </cell>
          <cell r="AA247" t="str">
            <v>15/08/2015</v>
          </cell>
          <cell r="AB247" t="str">
            <v>No</v>
          </cell>
          <cell r="AC247" t="str">
            <v>31/08/2013</v>
          </cell>
          <cell r="AD247" t="str">
            <v>Good</v>
          </cell>
          <cell r="AE247" t="str">
            <v>V1 - Existing / No Claim</v>
          </cell>
          <cell r="AF247">
            <v>42816</v>
          </cell>
          <cell r="AG247">
            <v>9.17</v>
          </cell>
          <cell r="AH247" t="str">
            <v>RI</v>
          </cell>
          <cell r="AI247" t="str">
            <v>Not in contract</v>
          </cell>
          <cell r="AJ247" t="str">
            <v>Not under maintenance</v>
          </cell>
        </row>
        <row r="248">
          <cell r="A248" t="str">
            <v>IKN401531</v>
          </cell>
          <cell r="B248">
            <v>1471</v>
          </cell>
          <cell r="C248" t="str">
            <v>Institut Kanser Negara</v>
          </cell>
          <cell r="D248" t="str">
            <v>KKM/IKN/I/13/3647</v>
          </cell>
          <cell r="E248" t="str">
            <v>17-887</v>
          </cell>
          <cell r="F248" t="str">
            <v>Thermometers, Electronic, Infrared, Ear</v>
          </cell>
          <cell r="G248" t="str">
            <v>DO</v>
          </cell>
          <cell r="H248" t="str">
            <v>DAY ONCOLOGY UNIT</v>
          </cell>
          <cell r="I248" t="str">
            <v>04DO131</v>
          </cell>
          <cell r="J248" t="str">
            <v>NURSE STATION</v>
          </cell>
          <cell r="K248" t="str">
            <v>BMED</v>
          </cell>
          <cell r="L248" t="str">
            <v>Normal</v>
          </cell>
          <cell r="M248" t="str">
            <v>Mexico</v>
          </cell>
          <cell r="N248" t="str">
            <v>Thermoscan</v>
          </cell>
          <cell r="O248" t="str">
            <v>Thermoscan Pro 4000</v>
          </cell>
          <cell r="P248" t="str">
            <v>33412K00638</v>
          </cell>
          <cell r="Q248" t="str">
            <v>Not Applicable</v>
          </cell>
          <cell r="R248" t="str">
            <v>Welch Allyn Inc</v>
          </cell>
          <cell r="S248" t="str">
            <v>Welch Allyn Malaysia Sdn. Bhd</v>
          </cell>
          <cell r="T248" t="str">
            <v>Functioning</v>
          </cell>
          <cell r="U248" t="str">
            <v>Asset</v>
          </cell>
          <cell r="V248">
            <v>540</v>
          </cell>
          <cell r="W248" t="str">
            <v>KEW</v>
          </cell>
          <cell r="X248" t="str">
            <v>01/09/2010</v>
          </cell>
          <cell r="Y248" t="str">
            <v>Estimate</v>
          </cell>
          <cell r="Z248" t="str">
            <v>16/08/2013</v>
          </cell>
          <cell r="AA248" t="str">
            <v>15/08/2015</v>
          </cell>
          <cell r="AB248" t="str">
            <v>No</v>
          </cell>
          <cell r="AC248" t="str">
            <v>31/08/2013</v>
          </cell>
          <cell r="AD248" t="str">
            <v>Good</v>
          </cell>
          <cell r="AE248" t="str">
            <v>V1 - Existing / No Claim</v>
          </cell>
          <cell r="AF248">
            <v>42839</v>
          </cell>
          <cell r="AG248">
            <v>9.17</v>
          </cell>
          <cell r="AH248" t="str">
            <v>RI</v>
          </cell>
          <cell r="AI248" t="str">
            <v>Strands</v>
          </cell>
          <cell r="AJ248" t="str">
            <v>Not under maintenance</v>
          </cell>
        </row>
        <row r="249">
          <cell r="A249" t="str">
            <v>IKN401548</v>
          </cell>
          <cell r="B249">
            <v>1487</v>
          </cell>
          <cell r="C249" t="str">
            <v>Institut Kanser Negara</v>
          </cell>
          <cell r="D249" t="str">
            <v>KKM/IKN/H/13/5216</v>
          </cell>
          <cell r="E249" t="str">
            <v>13-325</v>
          </cell>
          <cell r="F249" t="str">
            <v>Regulators, Suction</v>
          </cell>
          <cell r="G249" t="str">
            <v>IC</v>
          </cell>
          <cell r="H249" t="str">
            <v>INTENSIVE CARE UNIT</v>
          </cell>
          <cell r="I249" t="str">
            <v>05IC111</v>
          </cell>
          <cell r="J249" t="str">
            <v>ISOL 1(-VE)</v>
          </cell>
          <cell r="K249" t="str">
            <v>BMED</v>
          </cell>
          <cell r="L249" t="str">
            <v>Normal</v>
          </cell>
          <cell r="M249" t="str">
            <v>United States</v>
          </cell>
          <cell r="N249" t="str">
            <v>OHIO</v>
          </cell>
          <cell r="O249" t="str">
            <v>R244047311229905</v>
          </cell>
          <cell r="P249" t="str">
            <v>GPHS65141</v>
          </cell>
          <cell r="Q249" t="str">
            <v>Not Applicable</v>
          </cell>
          <cell r="R249" t="str">
            <v>OHIO</v>
          </cell>
          <cell r="S249" t="str">
            <v>Respimedic</v>
          </cell>
          <cell r="T249" t="str">
            <v>Functioning</v>
          </cell>
          <cell r="U249" t="str">
            <v>Asset</v>
          </cell>
          <cell r="V249">
            <v>920</v>
          </cell>
          <cell r="W249" t="str">
            <v>KEW</v>
          </cell>
          <cell r="X249" t="str">
            <v>01/09/2010</v>
          </cell>
          <cell r="Y249" t="str">
            <v>KEW</v>
          </cell>
          <cell r="Z249" t="str">
            <v>16/08/2013</v>
          </cell>
          <cell r="AA249" t="str">
            <v>15/08/2015</v>
          </cell>
          <cell r="AB249" t="str">
            <v>No</v>
          </cell>
          <cell r="AC249" t="str">
            <v>31/08/2013</v>
          </cell>
          <cell r="AD249" t="str">
            <v>Good</v>
          </cell>
          <cell r="AE249" t="str">
            <v>V4 - Decommissioned Installed Facility</v>
          </cell>
          <cell r="AF249">
            <v>42920</v>
          </cell>
          <cell r="AG249">
            <v>9.17</v>
          </cell>
          <cell r="AH249" t="str">
            <v>RI</v>
          </cell>
          <cell r="AI249" t="str">
            <v>Strands</v>
          </cell>
          <cell r="AJ249" t="str">
            <v>Not under maintenance</v>
          </cell>
        </row>
        <row r="250">
          <cell r="A250" t="str">
            <v>IKN401549</v>
          </cell>
          <cell r="B250">
            <v>1488</v>
          </cell>
          <cell r="C250" t="str">
            <v>Institut Kanser Negara</v>
          </cell>
          <cell r="D250" t="str">
            <v>KKM/IKN/H/13/5214</v>
          </cell>
          <cell r="E250" t="str">
            <v>13-325</v>
          </cell>
          <cell r="F250" t="str">
            <v>Regulators, Suction</v>
          </cell>
          <cell r="G250" t="str">
            <v>IC</v>
          </cell>
          <cell r="H250" t="str">
            <v>INTENSIVE CARE UNIT</v>
          </cell>
          <cell r="I250" t="str">
            <v>05IC116</v>
          </cell>
          <cell r="J250" t="str">
            <v>ISOL 2 (+VE)</v>
          </cell>
          <cell r="K250" t="str">
            <v>BMED</v>
          </cell>
          <cell r="L250" t="str">
            <v>Normal</v>
          </cell>
          <cell r="M250" t="str">
            <v>United States</v>
          </cell>
          <cell r="N250" t="str">
            <v>OHIO</v>
          </cell>
          <cell r="O250" t="str">
            <v>R244047311229905</v>
          </cell>
          <cell r="P250" t="str">
            <v>GPHS65149</v>
          </cell>
          <cell r="Q250" t="str">
            <v>Not Applicable</v>
          </cell>
          <cell r="R250" t="str">
            <v>OHIO</v>
          </cell>
          <cell r="S250" t="str">
            <v>Respimedic</v>
          </cell>
          <cell r="T250" t="str">
            <v>Functioning</v>
          </cell>
          <cell r="U250" t="str">
            <v>Asset</v>
          </cell>
          <cell r="V250">
            <v>920</v>
          </cell>
          <cell r="W250" t="str">
            <v>KEW</v>
          </cell>
          <cell r="X250" t="str">
            <v>01/09/2010</v>
          </cell>
          <cell r="Y250" t="str">
            <v>KEW</v>
          </cell>
          <cell r="Z250" t="str">
            <v>16/08/2013</v>
          </cell>
          <cell r="AA250" t="str">
            <v>15/08/2015</v>
          </cell>
          <cell r="AB250" t="str">
            <v>No</v>
          </cell>
          <cell r="AC250" t="str">
            <v>31/08/2013</v>
          </cell>
          <cell r="AD250" t="str">
            <v>Good</v>
          </cell>
          <cell r="AE250" t="str">
            <v>V4 - Decommissioned Installed Facility</v>
          </cell>
          <cell r="AF250">
            <v>42920</v>
          </cell>
          <cell r="AG250">
            <v>9.17</v>
          </cell>
          <cell r="AH250" t="str">
            <v>RI</v>
          </cell>
          <cell r="AI250" t="str">
            <v>Strands</v>
          </cell>
          <cell r="AJ250" t="str">
            <v>Not under maintenance</v>
          </cell>
        </row>
        <row r="251">
          <cell r="A251" t="str">
            <v>IKN401550</v>
          </cell>
          <cell r="B251">
            <v>1489</v>
          </cell>
          <cell r="C251" t="str">
            <v>Institut Kanser Negara</v>
          </cell>
          <cell r="D251" t="str">
            <v>KKM/IKN/H/13/5210</v>
          </cell>
          <cell r="E251" t="str">
            <v>13-325</v>
          </cell>
          <cell r="F251" t="str">
            <v>Regulators, Suction</v>
          </cell>
          <cell r="G251" t="str">
            <v>IC</v>
          </cell>
          <cell r="H251" t="str">
            <v>INTENSIVE CARE UNIT</v>
          </cell>
          <cell r="I251" t="str">
            <v>05IC129</v>
          </cell>
          <cell r="J251" t="str">
            <v>ISOL 4 (+VE)</v>
          </cell>
          <cell r="K251" t="str">
            <v>BMED</v>
          </cell>
          <cell r="L251" t="str">
            <v>Normal</v>
          </cell>
          <cell r="M251" t="str">
            <v>United States</v>
          </cell>
          <cell r="N251" t="str">
            <v>OHIO</v>
          </cell>
          <cell r="O251" t="str">
            <v>R244047311229905</v>
          </cell>
          <cell r="P251" t="str">
            <v>GPHS65130</v>
          </cell>
          <cell r="Q251" t="str">
            <v>Not Applicable</v>
          </cell>
          <cell r="R251" t="str">
            <v>OHIO</v>
          </cell>
          <cell r="S251" t="str">
            <v>Respimedic</v>
          </cell>
          <cell r="T251" t="str">
            <v>Functioning</v>
          </cell>
          <cell r="U251" t="str">
            <v>Asset</v>
          </cell>
          <cell r="V251">
            <v>920</v>
          </cell>
          <cell r="W251" t="str">
            <v>KEW</v>
          </cell>
          <cell r="X251" t="str">
            <v>01/09/2010</v>
          </cell>
          <cell r="Y251" t="str">
            <v>KEW</v>
          </cell>
          <cell r="Z251" t="str">
            <v>16/08/2013</v>
          </cell>
          <cell r="AA251" t="str">
            <v>15/08/2015</v>
          </cell>
          <cell r="AB251" t="str">
            <v>No</v>
          </cell>
          <cell r="AC251" t="str">
            <v>31/08/2013</v>
          </cell>
          <cell r="AD251" t="str">
            <v>Good</v>
          </cell>
          <cell r="AE251" t="str">
            <v>V4 - Decommissioned Installed Facility</v>
          </cell>
          <cell r="AF251">
            <v>42920</v>
          </cell>
          <cell r="AG251">
            <v>9.17</v>
          </cell>
          <cell r="AH251" t="str">
            <v>RI</v>
          </cell>
          <cell r="AI251" t="str">
            <v>Strands</v>
          </cell>
          <cell r="AJ251" t="str">
            <v>Not under maintenance</v>
          </cell>
        </row>
        <row r="252">
          <cell r="A252" t="str">
            <v>IKN401551</v>
          </cell>
          <cell r="B252">
            <v>1490</v>
          </cell>
          <cell r="C252" t="str">
            <v>Institut Kanser Negara</v>
          </cell>
          <cell r="D252" t="str">
            <v>KKM/IKN/H/13/5212</v>
          </cell>
          <cell r="E252" t="str">
            <v>13-325</v>
          </cell>
          <cell r="F252" t="str">
            <v>Regulators, Suction</v>
          </cell>
          <cell r="G252" t="str">
            <v>IC</v>
          </cell>
          <cell r="H252" t="str">
            <v>INTENSIVE CARE UNIT</v>
          </cell>
          <cell r="I252" t="str">
            <v>05IC115</v>
          </cell>
          <cell r="J252" t="str">
            <v>ICU RM 4</v>
          </cell>
          <cell r="K252" t="str">
            <v>BMED</v>
          </cell>
          <cell r="L252" t="str">
            <v>Normal</v>
          </cell>
          <cell r="M252" t="str">
            <v>United States</v>
          </cell>
          <cell r="N252" t="str">
            <v>OHIO</v>
          </cell>
          <cell r="O252" t="str">
            <v>R244047311229905</v>
          </cell>
          <cell r="P252" t="str">
            <v>GPHS65138</v>
          </cell>
          <cell r="Q252" t="str">
            <v>Not Applicable</v>
          </cell>
          <cell r="R252" t="str">
            <v>OHIO</v>
          </cell>
          <cell r="S252" t="str">
            <v>Respimedic</v>
          </cell>
          <cell r="T252" t="str">
            <v>Functioning</v>
          </cell>
          <cell r="U252" t="str">
            <v>Asset</v>
          </cell>
          <cell r="V252">
            <v>920</v>
          </cell>
          <cell r="W252" t="str">
            <v>KEW</v>
          </cell>
          <cell r="X252" t="str">
            <v>01/09/2010</v>
          </cell>
          <cell r="Y252" t="str">
            <v>KEW</v>
          </cell>
          <cell r="Z252" t="str">
            <v>16/08/2013</v>
          </cell>
          <cell r="AA252" t="str">
            <v>15/08/2015</v>
          </cell>
          <cell r="AB252" t="str">
            <v>No</v>
          </cell>
          <cell r="AC252" t="str">
            <v>31/08/2013</v>
          </cell>
          <cell r="AD252" t="str">
            <v>Good</v>
          </cell>
          <cell r="AE252" t="str">
            <v>V4 - Decommissioned Installed Facility</v>
          </cell>
          <cell r="AF252">
            <v>42920</v>
          </cell>
          <cell r="AG252">
            <v>9.17</v>
          </cell>
          <cell r="AH252" t="str">
            <v>RI</v>
          </cell>
          <cell r="AI252" t="str">
            <v>Strands</v>
          </cell>
          <cell r="AJ252" t="str">
            <v>Not under maintenance</v>
          </cell>
        </row>
        <row r="253">
          <cell r="A253" t="str">
            <v>IKN401552</v>
          </cell>
          <cell r="B253">
            <v>1491</v>
          </cell>
          <cell r="C253" t="str">
            <v>Institut Kanser Negara</v>
          </cell>
          <cell r="D253" t="str">
            <v>KKM/IKN/H/13/5213</v>
          </cell>
          <cell r="E253" t="str">
            <v>13-325</v>
          </cell>
          <cell r="F253" t="str">
            <v>Regulators, Suction</v>
          </cell>
          <cell r="G253" t="str">
            <v>IC</v>
          </cell>
          <cell r="H253" t="str">
            <v>INTENSIVE CARE UNIT</v>
          </cell>
          <cell r="I253" t="str">
            <v>05IC114</v>
          </cell>
          <cell r="J253" t="str">
            <v>ICU RM 3</v>
          </cell>
          <cell r="K253" t="str">
            <v>BMED</v>
          </cell>
          <cell r="L253" t="str">
            <v>Normal</v>
          </cell>
          <cell r="M253" t="str">
            <v>United States</v>
          </cell>
          <cell r="N253" t="str">
            <v>OHIO</v>
          </cell>
          <cell r="O253" t="str">
            <v>R244047311229905</v>
          </cell>
          <cell r="P253" t="str">
            <v>GPHS65139</v>
          </cell>
          <cell r="Q253" t="str">
            <v>Not Applicable</v>
          </cell>
          <cell r="R253" t="str">
            <v>OHIO</v>
          </cell>
          <cell r="S253" t="str">
            <v>Respimedic</v>
          </cell>
          <cell r="T253" t="str">
            <v>Functioning</v>
          </cell>
          <cell r="U253" t="str">
            <v>Asset</v>
          </cell>
          <cell r="V253">
            <v>920</v>
          </cell>
          <cell r="W253" t="str">
            <v>KEW</v>
          </cell>
          <cell r="X253" t="str">
            <v>01/09/2010</v>
          </cell>
          <cell r="Y253" t="str">
            <v>KEW</v>
          </cell>
          <cell r="Z253" t="str">
            <v>16/08/2013</v>
          </cell>
          <cell r="AA253" t="str">
            <v>15/08/2015</v>
          </cell>
          <cell r="AB253" t="str">
            <v>No</v>
          </cell>
          <cell r="AC253" t="str">
            <v>31/08/2013</v>
          </cell>
          <cell r="AD253" t="str">
            <v>Good</v>
          </cell>
          <cell r="AE253" t="str">
            <v>V4 - Decommissioned Installed Facility</v>
          </cell>
          <cell r="AF253">
            <v>42920</v>
          </cell>
          <cell r="AG253">
            <v>9.17</v>
          </cell>
          <cell r="AH253" t="str">
            <v>RI</v>
          </cell>
          <cell r="AI253" t="str">
            <v>Strands</v>
          </cell>
          <cell r="AJ253" t="str">
            <v>Not under maintenance</v>
          </cell>
        </row>
        <row r="254">
          <cell r="A254" t="str">
            <v>IKN401553</v>
          </cell>
          <cell r="B254">
            <v>1492</v>
          </cell>
          <cell r="C254" t="str">
            <v>Institut Kanser Negara</v>
          </cell>
          <cell r="D254" t="str">
            <v>KKM/IKN/H/13/5215</v>
          </cell>
          <cell r="E254" t="str">
            <v>13-325</v>
          </cell>
          <cell r="F254" t="str">
            <v>Regulators, Suction</v>
          </cell>
          <cell r="G254" t="str">
            <v>IC</v>
          </cell>
          <cell r="H254" t="str">
            <v>INTENSIVE CARE UNIT</v>
          </cell>
          <cell r="I254" t="str">
            <v>05IC112</v>
          </cell>
          <cell r="J254" t="str">
            <v>ICU RM 1</v>
          </cell>
          <cell r="K254" t="str">
            <v>BMED</v>
          </cell>
          <cell r="L254" t="str">
            <v>Normal</v>
          </cell>
          <cell r="M254" t="str">
            <v>United States</v>
          </cell>
          <cell r="N254" t="str">
            <v>OHIO</v>
          </cell>
          <cell r="O254" t="str">
            <v>R244047311229905</v>
          </cell>
          <cell r="P254" t="str">
            <v>GPHS65121</v>
          </cell>
          <cell r="Q254" t="str">
            <v>Not Applicable</v>
          </cell>
          <cell r="R254" t="str">
            <v>OHIO</v>
          </cell>
          <cell r="S254" t="str">
            <v>Respimedic</v>
          </cell>
          <cell r="T254" t="str">
            <v>Functioning</v>
          </cell>
          <cell r="U254" t="str">
            <v>Asset</v>
          </cell>
          <cell r="V254">
            <v>920</v>
          </cell>
          <cell r="W254" t="str">
            <v>KEW</v>
          </cell>
          <cell r="X254" t="str">
            <v>01/09/2010</v>
          </cell>
          <cell r="Y254" t="str">
            <v>KEW</v>
          </cell>
          <cell r="Z254" t="str">
            <v>16/08/2013</v>
          </cell>
          <cell r="AA254" t="str">
            <v>15/08/2015</v>
          </cell>
          <cell r="AB254" t="str">
            <v>No</v>
          </cell>
          <cell r="AC254" t="str">
            <v>31/08/2013</v>
          </cell>
          <cell r="AD254" t="str">
            <v>Good</v>
          </cell>
          <cell r="AE254" t="str">
            <v>V4 - Decommissioned Installed Facility</v>
          </cell>
          <cell r="AF254">
            <v>42920</v>
          </cell>
          <cell r="AG254">
            <v>9.17</v>
          </cell>
          <cell r="AH254" t="str">
            <v>RI</v>
          </cell>
          <cell r="AI254" t="str">
            <v>Strands</v>
          </cell>
          <cell r="AJ254" t="str">
            <v>Not under maintenance</v>
          </cell>
        </row>
        <row r="255">
          <cell r="A255" t="str">
            <v>IKN401554</v>
          </cell>
          <cell r="B255">
            <v>1493</v>
          </cell>
          <cell r="C255" t="str">
            <v>Institut Kanser Negara</v>
          </cell>
          <cell r="D255" t="str">
            <v>KKM/IKN/H/13/2883</v>
          </cell>
          <cell r="E255" t="str">
            <v>13-325</v>
          </cell>
          <cell r="F255" t="str">
            <v>Regulators, Suction</v>
          </cell>
          <cell r="G255" t="str">
            <v>WB</v>
          </cell>
          <cell r="H255" t="str">
            <v>SURGICAL ONCO MALE WARD</v>
          </cell>
          <cell r="I255" t="str">
            <v>05WB113</v>
          </cell>
          <cell r="J255" t="str">
            <v>EQUIP. ROOM</v>
          </cell>
          <cell r="K255" t="str">
            <v>BMED</v>
          </cell>
          <cell r="L255" t="str">
            <v>Normal</v>
          </cell>
          <cell r="M255" t="str">
            <v>United States</v>
          </cell>
          <cell r="N255" t="str">
            <v>OHIO</v>
          </cell>
          <cell r="O255" t="str">
            <v>R244047311229905</v>
          </cell>
          <cell r="P255" t="str">
            <v>GPHS65047</v>
          </cell>
          <cell r="Q255" t="str">
            <v>Not Applicable</v>
          </cell>
          <cell r="R255" t="str">
            <v>OHIO</v>
          </cell>
          <cell r="S255" t="str">
            <v>Respimedic</v>
          </cell>
          <cell r="T255" t="str">
            <v>Functioning</v>
          </cell>
          <cell r="U255" t="str">
            <v>Asset</v>
          </cell>
          <cell r="V255">
            <v>920</v>
          </cell>
          <cell r="W255" t="str">
            <v>KEW</v>
          </cell>
          <cell r="X255" t="str">
            <v>01/09/2010</v>
          </cell>
          <cell r="Y255" t="str">
            <v>KEW</v>
          </cell>
          <cell r="Z255" t="str">
            <v>16/08/2013</v>
          </cell>
          <cell r="AA255" t="str">
            <v>15/08/2015</v>
          </cell>
          <cell r="AB255" t="str">
            <v>No</v>
          </cell>
          <cell r="AC255" t="str">
            <v>31/08/2013</v>
          </cell>
          <cell r="AD255" t="str">
            <v>Good</v>
          </cell>
          <cell r="AE255" t="str">
            <v>V4 - Decommissioned Installed Facility</v>
          </cell>
          <cell r="AF255">
            <v>42920</v>
          </cell>
          <cell r="AG255">
            <v>9.17</v>
          </cell>
          <cell r="AH255" t="str">
            <v>RI</v>
          </cell>
          <cell r="AI255" t="str">
            <v>Strands</v>
          </cell>
          <cell r="AJ255" t="str">
            <v>Not under maintenance</v>
          </cell>
        </row>
        <row r="256">
          <cell r="A256" t="str">
            <v>IKN401555</v>
          </cell>
          <cell r="B256">
            <v>1494</v>
          </cell>
          <cell r="C256" t="str">
            <v>Institut Kanser Negara</v>
          </cell>
          <cell r="D256" t="str">
            <v>KKM/IKN/H/13/2898</v>
          </cell>
          <cell r="E256" t="str">
            <v>13-325</v>
          </cell>
          <cell r="F256" t="str">
            <v>Regulators, Suction</v>
          </cell>
          <cell r="G256" t="str">
            <v>WB</v>
          </cell>
          <cell r="H256" t="str">
            <v>SURGICAL ONCO MALE WARD</v>
          </cell>
          <cell r="I256" t="str">
            <v>05WB113</v>
          </cell>
          <cell r="J256" t="str">
            <v>EQUIP. ROOM</v>
          </cell>
          <cell r="K256" t="str">
            <v>BMED</v>
          </cell>
          <cell r="L256" t="str">
            <v>Normal</v>
          </cell>
          <cell r="M256" t="str">
            <v>United States</v>
          </cell>
          <cell r="N256" t="str">
            <v>OHIO</v>
          </cell>
          <cell r="O256" t="str">
            <v>R244047311229905</v>
          </cell>
          <cell r="P256" t="str">
            <v>GPHS65072</v>
          </cell>
          <cell r="Q256" t="str">
            <v>Not Applicable</v>
          </cell>
          <cell r="R256" t="str">
            <v>OHIO</v>
          </cell>
          <cell r="S256" t="str">
            <v>Respimedic</v>
          </cell>
          <cell r="T256" t="str">
            <v>Functioning</v>
          </cell>
          <cell r="U256" t="str">
            <v>Asset</v>
          </cell>
          <cell r="V256">
            <v>920</v>
          </cell>
          <cell r="W256" t="str">
            <v>KEW</v>
          </cell>
          <cell r="X256" t="str">
            <v>01/09/2010</v>
          </cell>
          <cell r="Y256" t="str">
            <v>KEW</v>
          </cell>
          <cell r="Z256" t="str">
            <v>16/08/2013</v>
          </cell>
          <cell r="AA256" t="str">
            <v>15/08/2015</v>
          </cell>
          <cell r="AB256" t="str">
            <v>No</v>
          </cell>
          <cell r="AC256" t="str">
            <v>31/08/2013</v>
          </cell>
          <cell r="AD256" t="str">
            <v>Good</v>
          </cell>
          <cell r="AE256" t="str">
            <v>V4 - Decommissioned Installed Facility</v>
          </cell>
          <cell r="AF256">
            <v>42922</v>
          </cell>
          <cell r="AG256">
            <v>9.17</v>
          </cell>
          <cell r="AH256" t="str">
            <v>RI</v>
          </cell>
          <cell r="AI256" t="str">
            <v>Strands</v>
          </cell>
          <cell r="AJ256" t="str">
            <v>Not under maintenance</v>
          </cell>
        </row>
        <row r="257">
          <cell r="A257" t="str">
            <v>IKN401556</v>
          </cell>
          <cell r="B257">
            <v>1495</v>
          </cell>
          <cell r="C257" t="str">
            <v>Institut Kanser Negara</v>
          </cell>
          <cell r="D257" t="str">
            <v>KKM/IKN/H/13/2882</v>
          </cell>
          <cell r="E257" t="str">
            <v>13-325</v>
          </cell>
          <cell r="F257" t="str">
            <v>Regulators, Suction</v>
          </cell>
          <cell r="G257" t="str">
            <v>WB</v>
          </cell>
          <cell r="H257" t="str">
            <v>SURGICAL ONCO MALE WARD</v>
          </cell>
          <cell r="I257" t="str">
            <v>05WB113</v>
          </cell>
          <cell r="J257" t="str">
            <v>EQUIP. ROOM</v>
          </cell>
          <cell r="K257" t="str">
            <v>BMED</v>
          </cell>
          <cell r="L257" t="str">
            <v>Normal</v>
          </cell>
          <cell r="M257" t="str">
            <v>United States</v>
          </cell>
          <cell r="N257" t="str">
            <v>OHIO</v>
          </cell>
          <cell r="O257" t="str">
            <v>R244047311229905</v>
          </cell>
          <cell r="P257" t="str">
            <v>GPHS65035</v>
          </cell>
          <cell r="Q257" t="str">
            <v>Not Applicable</v>
          </cell>
          <cell r="R257" t="str">
            <v>OHIO</v>
          </cell>
          <cell r="S257" t="str">
            <v>Respimedic</v>
          </cell>
          <cell r="T257" t="str">
            <v>Functioning</v>
          </cell>
          <cell r="U257" t="str">
            <v>Asset</v>
          </cell>
          <cell r="V257">
            <v>920</v>
          </cell>
          <cell r="W257" t="str">
            <v>KEW</v>
          </cell>
          <cell r="X257" t="str">
            <v>01/09/2010</v>
          </cell>
          <cell r="Y257" t="str">
            <v>KEW</v>
          </cell>
          <cell r="Z257" t="str">
            <v>16/08/2013</v>
          </cell>
          <cell r="AA257" t="str">
            <v>15/08/2015</v>
          </cell>
          <cell r="AB257" t="str">
            <v>No</v>
          </cell>
          <cell r="AC257" t="str">
            <v>31/08/2013</v>
          </cell>
          <cell r="AD257" t="str">
            <v>Good</v>
          </cell>
          <cell r="AE257" t="str">
            <v>V4 - Decommissioned Installed Facility</v>
          </cell>
          <cell r="AF257">
            <v>42920</v>
          </cell>
          <cell r="AG257">
            <v>9.17</v>
          </cell>
          <cell r="AH257" t="str">
            <v>RI</v>
          </cell>
          <cell r="AI257" t="str">
            <v>Strands</v>
          </cell>
          <cell r="AJ257" t="str">
            <v>Not under maintenance</v>
          </cell>
        </row>
        <row r="258">
          <cell r="A258" t="str">
            <v>IKN401557</v>
          </cell>
          <cell r="B258">
            <v>1496</v>
          </cell>
          <cell r="C258" t="str">
            <v>Institut Kanser Negara</v>
          </cell>
          <cell r="D258" t="str">
            <v>KKM/IKN/H/13/2880</v>
          </cell>
          <cell r="E258" t="str">
            <v>13-325</v>
          </cell>
          <cell r="F258" t="str">
            <v>Regulators, Suction</v>
          </cell>
          <cell r="G258" t="str">
            <v>WB</v>
          </cell>
          <cell r="H258" t="str">
            <v>SURGICAL ONCO MALE WARD</v>
          </cell>
          <cell r="I258" t="str">
            <v>05WB113</v>
          </cell>
          <cell r="J258" t="str">
            <v>EQUIP. ROOM</v>
          </cell>
          <cell r="K258" t="str">
            <v>BMED</v>
          </cell>
          <cell r="L258" t="str">
            <v>Normal</v>
          </cell>
          <cell r="M258" t="str">
            <v>United States</v>
          </cell>
          <cell r="N258" t="str">
            <v>OHIO</v>
          </cell>
          <cell r="O258" t="str">
            <v>R244047311229905</v>
          </cell>
          <cell r="P258" t="str">
            <v>GPHS65061</v>
          </cell>
          <cell r="Q258" t="str">
            <v>Not Applicable</v>
          </cell>
          <cell r="R258" t="str">
            <v>OHIO</v>
          </cell>
          <cell r="S258" t="str">
            <v>Respimedic</v>
          </cell>
          <cell r="T258" t="str">
            <v>Functioning</v>
          </cell>
          <cell r="U258" t="str">
            <v>Asset</v>
          </cell>
          <cell r="V258">
            <v>920</v>
          </cell>
          <cell r="W258" t="str">
            <v>KEW</v>
          </cell>
          <cell r="X258" t="str">
            <v>01/09/2010</v>
          </cell>
          <cell r="Y258" t="str">
            <v>KEW</v>
          </cell>
          <cell r="Z258" t="str">
            <v>16/08/2013</v>
          </cell>
          <cell r="AA258" t="str">
            <v>15/08/2015</v>
          </cell>
          <cell r="AB258" t="str">
            <v>No</v>
          </cell>
          <cell r="AC258" t="str">
            <v>31/08/2013</v>
          </cell>
          <cell r="AD258" t="str">
            <v>Good</v>
          </cell>
          <cell r="AE258" t="str">
            <v>V4 - Decommissioned Installed Facility</v>
          </cell>
          <cell r="AF258">
            <v>42922</v>
          </cell>
          <cell r="AG258">
            <v>9.17</v>
          </cell>
          <cell r="AH258" t="str">
            <v>RI</v>
          </cell>
          <cell r="AI258" t="str">
            <v>Strands</v>
          </cell>
          <cell r="AJ258" t="str">
            <v>Not under maintenance</v>
          </cell>
        </row>
        <row r="259">
          <cell r="A259" t="str">
            <v>IKN401558</v>
          </cell>
          <cell r="B259">
            <v>1497</v>
          </cell>
          <cell r="C259" t="str">
            <v>Institut Kanser Negara</v>
          </cell>
          <cell r="D259" t="str">
            <v>KKM/IKN/H/13/2885</v>
          </cell>
          <cell r="E259" t="str">
            <v>13-325</v>
          </cell>
          <cell r="F259" t="str">
            <v>Regulators, Suction</v>
          </cell>
          <cell r="G259" t="str">
            <v>WB</v>
          </cell>
          <cell r="H259" t="str">
            <v>SURGICAL ONCO MALE WARD</v>
          </cell>
          <cell r="I259" t="str">
            <v>05WB113</v>
          </cell>
          <cell r="J259" t="str">
            <v>EQUIP. ROOM</v>
          </cell>
          <cell r="K259" t="str">
            <v>BMED</v>
          </cell>
          <cell r="L259" t="str">
            <v>Normal</v>
          </cell>
          <cell r="M259" t="str">
            <v>United States</v>
          </cell>
          <cell r="N259" t="str">
            <v>OHIO</v>
          </cell>
          <cell r="O259" t="str">
            <v>R244047311229905</v>
          </cell>
          <cell r="P259" t="str">
            <v>GPHS65039</v>
          </cell>
          <cell r="Q259" t="str">
            <v>Not Applicable</v>
          </cell>
          <cell r="R259" t="str">
            <v>OHIO</v>
          </cell>
          <cell r="S259" t="str">
            <v>Respimedic</v>
          </cell>
          <cell r="T259" t="str">
            <v>Functioning</v>
          </cell>
          <cell r="U259" t="str">
            <v>Asset</v>
          </cell>
          <cell r="V259">
            <v>920</v>
          </cell>
          <cell r="W259" t="str">
            <v>KEW</v>
          </cell>
          <cell r="X259" t="str">
            <v>01/09/2010</v>
          </cell>
          <cell r="Y259" t="str">
            <v>KEW</v>
          </cell>
          <cell r="Z259" t="str">
            <v>16/08/2013</v>
          </cell>
          <cell r="AA259" t="str">
            <v>15/08/2015</v>
          </cell>
          <cell r="AB259" t="str">
            <v>No</v>
          </cell>
          <cell r="AC259" t="str">
            <v>31/08/2013</v>
          </cell>
          <cell r="AD259" t="str">
            <v>Good</v>
          </cell>
          <cell r="AE259" t="str">
            <v>V4 - Decommissioned Installed Facility</v>
          </cell>
          <cell r="AF259">
            <v>42920</v>
          </cell>
          <cell r="AG259">
            <v>9.17</v>
          </cell>
          <cell r="AH259" t="str">
            <v>RI</v>
          </cell>
          <cell r="AI259" t="str">
            <v>Strands</v>
          </cell>
          <cell r="AJ259" t="str">
            <v>Not under maintenance</v>
          </cell>
        </row>
        <row r="260">
          <cell r="A260" t="str">
            <v>IKN401559</v>
          </cell>
          <cell r="B260">
            <v>1498</v>
          </cell>
          <cell r="C260" t="str">
            <v>Institut Kanser Negara</v>
          </cell>
          <cell r="D260" t="str">
            <v>KKM/IKN/H/13/2881</v>
          </cell>
          <cell r="E260" t="str">
            <v>13-325</v>
          </cell>
          <cell r="F260" t="str">
            <v>Regulators, Suction</v>
          </cell>
          <cell r="G260" t="str">
            <v>WB</v>
          </cell>
          <cell r="H260" t="str">
            <v>SURGICAL ONCO MALE WARD</v>
          </cell>
          <cell r="I260" t="str">
            <v>05WB113</v>
          </cell>
          <cell r="J260" t="str">
            <v>EQUIP. ROOM</v>
          </cell>
          <cell r="K260" t="str">
            <v>BMED</v>
          </cell>
          <cell r="L260" t="str">
            <v>Normal</v>
          </cell>
          <cell r="M260" t="str">
            <v>United States</v>
          </cell>
          <cell r="N260" t="str">
            <v>OHIO</v>
          </cell>
          <cell r="O260" t="str">
            <v>R244047311229905</v>
          </cell>
          <cell r="P260" t="str">
            <v>GPHS65045</v>
          </cell>
          <cell r="Q260" t="str">
            <v>Not Applicable</v>
          </cell>
          <cell r="R260" t="str">
            <v>OHIO</v>
          </cell>
          <cell r="S260" t="str">
            <v>Respimedic</v>
          </cell>
          <cell r="T260" t="str">
            <v>Functioning</v>
          </cell>
          <cell r="U260" t="str">
            <v>Asset</v>
          </cell>
          <cell r="V260">
            <v>920</v>
          </cell>
          <cell r="W260" t="str">
            <v>KEW</v>
          </cell>
          <cell r="X260" t="str">
            <v>01/09/2010</v>
          </cell>
          <cell r="Y260" t="str">
            <v>KEW</v>
          </cell>
          <cell r="Z260" t="str">
            <v>16/08/2013</v>
          </cell>
          <cell r="AA260" t="str">
            <v>15/08/2015</v>
          </cell>
          <cell r="AB260" t="str">
            <v>No</v>
          </cell>
          <cell r="AC260" t="str">
            <v>31/08/2013</v>
          </cell>
          <cell r="AD260" t="str">
            <v>Good</v>
          </cell>
          <cell r="AE260" t="str">
            <v>V4 - Decommissioned Installed Facility</v>
          </cell>
          <cell r="AF260">
            <v>42922</v>
          </cell>
          <cell r="AG260">
            <v>9.17</v>
          </cell>
          <cell r="AH260" t="str">
            <v>RI</v>
          </cell>
          <cell r="AI260" t="str">
            <v>Strands</v>
          </cell>
          <cell r="AJ260" t="str">
            <v>Not under maintenance</v>
          </cell>
        </row>
        <row r="261">
          <cell r="A261" t="str">
            <v>IKN401560</v>
          </cell>
          <cell r="B261">
            <v>1499</v>
          </cell>
          <cell r="C261" t="str">
            <v>Institut Kanser Negara</v>
          </cell>
          <cell r="D261" t="str">
            <v>KKM/IKN/H/13/2884</v>
          </cell>
          <cell r="E261" t="str">
            <v>13-325</v>
          </cell>
          <cell r="F261" t="str">
            <v>Regulators, Suction</v>
          </cell>
          <cell r="G261" t="str">
            <v>WB</v>
          </cell>
          <cell r="H261" t="str">
            <v>SURGICAL ONCO MALE WARD</v>
          </cell>
          <cell r="I261" t="str">
            <v>05WB113</v>
          </cell>
          <cell r="J261" t="str">
            <v>EQUIP. ROOM</v>
          </cell>
          <cell r="K261" t="str">
            <v>BMED</v>
          </cell>
          <cell r="L261" t="str">
            <v>Normal</v>
          </cell>
          <cell r="M261" t="str">
            <v>United States</v>
          </cell>
          <cell r="N261" t="str">
            <v>OHIO</v>
          </cell>
          <cell r="O261" t="str">
            <v>R244047311229905</v>
          </cell>
          <cell r="P261" t="str">
            <v>GPHS65074</v>
          </cell>
          <cell r="Q261" t="str">
            <v>Not Applicable</v>
          </cell>
          <cell r="R261" t="str">
            <v>OHIO</v>
          </cell>
          <cell r="S261" t="str">
            <v>Respimedic</v>
          </cell>
          <cell r="T261" t="str">
            <v>Functioning</v>
          </cell>
          <cell r="U261" t="str">
            <v>Asset</v>
          </cell>
          <cell r="V261">
            <v>920</v>
          </cell>
          <cell r="W261" t="str">
            <v>KEW</v>
          </cell>
          <cell r="X261" t="str">
            <v>01/09/2010</v>
          </cell>
          <cell r="Y261" t="str">
            <v>KEW</v>
          </cell>
          <cell r="Z261" t="str">
            <v>16/08/2013</v>
          </cell>
          <cell r="AA261" t="str">
            <v>15/08/2015</v>
          </cell>
          <cell r="AB261" t="str">
            <v>No</v>
          </cell>
          <cell r="AC261" t="str">
            <v>31/08/2013</v>
          </cell>
          <cell r="AD261" t="str">
            <v>Good</v>
          </cell>
          <cell r="AE261" t="str">
            <v>V4 - Decommissioned Installed Facility</v>
          </cell>
          <cell r="AF261">
            <v>42922</v>
          </cell>
          <cell r="AG261">
            <v>9.17</v>
          </cell>
          <cell r="AH261" t="str">
            <v>RI</v>
          </cell>
          <cell r="AI261" t="str">
            <v>Strands</v>
          </cell>
          <cell r="AJ261" t="str">
            <v>Not under maintenance</v>
          </cell>
        </row>
        <row r="262">
          <cell r="A262" t="str">
            <v>IKN401561</v>
          </cell>
          <cell r="B262">
            <v>1500</v>
          </cell>
          <cell r="C262" t="str">
            <v>Institut Kanser Negara</v>
          </cell>
          <cell r="D262" t="str">
            <v>KKM/IKN/H/13/3445</v>
          </cell>
          <cell r="E262" t="str">
            <v>13-325</v>
          </cell>
          <cell r="F262" t="str">
            <v>Regulators, Suction</v>
          </cell>
          <cell r="G262" t="str">
            <v>WB</v>
          </cell>
          <cell r="H262" t="str">
            <v>SURGICAL ONCO MALE WARD</v>
          </cell>
          <cell r="I262" t="str">
            <v>05WB113</v>
          </cell>
          <cell r="J262" t="str">
            <v>EQUIP. ROOM</v>
          </cell>
          <cell r="K262" t="str">
            <v>BMED</v>
          </cell>
          <cell r="L262" t="str">
            <v>Normal</v>
          </cell>
          <cell r="M262" t="str">
            <v>United States</v>
          </cell>
          <cell r="N262" t="str">
            <v>OHIO</v>
          </cell>
          <cell r="O262" t="str">
            <v>R244047311229905</v>
          </cell>
          <cell r="P262" t="str">
            <v>GPHS65128</v>
          </cell>
          <cell r="Q262" t="str">
            <v>Not Applicable</v>
          </cell>
          <cell r="R262" t="str">
            <v>OHIO</v>
          </cell>
          <cell r="S262" t="str">
            <v>Respimedic</v>
          </cell>
          <cell r="T262" t="str">
            <v>Functioning</v>
          </cell>
          <cell r="U262" t="str">
            <v>Asset</v>
          </cell>
          <cell r="V262">
            <v>920</v>
          </cell>
          <cell r="W262" t="str">
            <v>KEW</v>
          </cell>
          <cell r="X262" t="str">
            <v>01/09/2010</v>
          </cell>
          <cell r="Y262" t="str">
            <v>KEW</v>
          </cell>
          <cell r="Z262" t="str">
            <v>16/08/2013</v>
          </cell>
          <cell r="AA262" t="str">
            <v>15/08/2015</v>
          </cell>
          <cell r="AB262" t="str">
            <v>No</v>
          </cell>
          <cell r="AC262" t="str">
            <v>31/08/2013</v>
          </cell>
          <cell r="AD262" t="str">
            <v>Good</v>
          </cell>
          <cell r="AE262" t="str">
            <v>V4 - Decommissioned Installed Facility</v>
          </cell>
          <cell r="AF262">
            <v>42920</v>
          </cell>
          <cell r="AG262">
            <v>9.17</v>
          </cell>
          <cell r="AH262" t="str">
            <v>RI</v>
          </cell>
          <cell r="AI262" t="str">
            <v>Strands</v>
          </cell>
          <cell r="AJ262" t="str">
            <v>Not under maintenance</v>
          </cell>
        </row>
        <row r="263">
          <cell r="A263" t="str">
            <v>IKN401562</v>
          </cell>
          <cell r="B263">
            <v>1501</v>
          </cell>
          <cell r="C263" t="str">
            <v>Institut Kanser Negara</v>
          </cell>
          <cell r="D263" t="str">
            <v>KKM/IKN/H/13/2887</v>
          </cell>
          <cell r="E263" t="str">
            <v>13-325</v>
          </cell>
          <cell r="F263" t="str">
            <v>Regulators, Suction</v>
          </cell>
          <cell r="G263" t="str">
            <v>WB</v>
          </cell>
          <cell r="H263" t="str">
            <v>SURGICAL ONCO MALE WARD</v>
          </cell>
          <cell r="I263" t="str">
            <v>05WB113</v>
          </cell>
          <cell r="J263" t="str">
            <v>EQUIP. ROOM</v>
          </cell>
          <cell r="K263" t="str">
            <v>BMED</v>
          </cell>
          <cell r="L263" t="str">
            <v>Normal</v>
          </cell>
          <cell r="M263" t="str">
            <v>United States</v>
          </cell>
          <cell r="N263" t="str">
            <v>OHIO</v>
          </cell>
          <cell r="O263" t="str">
            <v>R244047311229905</v>
          </cell>
          <cell r="P263" t="str">
            <v>GPHS65063</v>
          </cell>
          <cell r="Q263" t="str">
            <v>Not Applicable</v>
          </cell>
          <cell r="R263" t="str">
            <v>OHIO</v>
          </cell>
          <cell r="S263" t="str">
            <v>Respimedic</v>
          </cell>
          <cell r="T263" t="str">
            <v>Functioning</v>
          </cell>
          <cell r="U263" t="str">
            <v>Asset</v>
          </cell>
          <cell r="V263">
            <v>920</v>
          </cell>
          <cell r="W263" t="str">
            <v>KEW</v>
          </cell>
          <cell r="X263" t="str">
            <v>01/09/2010</v>
          </cell>
          <cell r="Y263" t="str">
            <v>KEW</v>
          </cell>
          <cell r="Z263" t="str">
            <v>16/08/2013</v>
          </cell>
          <cell r="AA263" t="str">
            <v>15/08/2015</v>
          </cell>
          <cell r="AB263" t="str">
            <v>No</v>
          </cell>
          <cell r="AC263" t="str">
            <v>31/08/2013</v>
          </cell>
          <cell r="AD263" t="str">
            <v>Good</v>
          </cell>
          <cell r="AE263" t="str">
            <v>V4 - Decommissioned Installed Facility</v>
          </cell>
          <cell r="AF263">
            <v>42920</v>
          </cell>
          <cell r="AG263">
            <v>9.17</v>
          </cell>
          <cell r="AH263" t="str">
            <v>RI</v>
          </cell>
          <cell r="AI263" t="str">
            <v>Strands</v>
          </cell>
          <cell r="AJ263" t="str">
            <v>Not under maintenance</v>
          </cell>
        </row>
        <row r="264">
          <cell r="A264" t="str">
            <v>IKN401563</v>
          </cell>
          <cell r="B264">
            <v>1502</v>
          </cell>
          <cell r="C264" t="str">
            <v>Institut Kanser Negara</v>
          </cell>
          <cell r="D264" t="str">
            <v>KKM/IKN/H/13/2888</v>
          </cell>
          <cell r="E264" t="str">
            <v>13-325</v>
          </cell>
          <cell r="F264" t="str">
            <v>Regulators, Suction</v>
          </cell>
          <cell r="G264" t="str">
            <v>WB</v>
          </cell>
          <cell r="H264" t="str">
            <v>SURGICAL ONCO MALE WARD</v>
          </cell>
          <cell r="I264" t="str">
            <v>05WB113</v>
          </cell>
          <cell r="J264" t="str">
            <v>EQUIP. ROOM</v>
          </cell>
          <cell r="K264" t="str">
            <v>BMED</v>
          </cell>
          <cell r="L264" t="str">
            <v>Normal</v>
          </cell>
          <cell r="M264" t="str">
            <v>United States</v>
          </cell>
          <cell r="N264" t="str">
            <v>OHIO</v>
          </cell>
          <cell r="O264" t="str">
            <v>R244047311229905</v>
          </cell>
          <cell r="P264" t="str">
            <v>GPHS65066</v>
          </cell>
          <cell r="Q264" t="str">
            <v>Not Applicable</v>
          </cell>
          <cell r="R264" t="str">
            <v>OHIO</v>
          </cell>
          <cell r="S264" t="str">
            <v>Respimedic</v>
          </cell>
          <cell r="T264" t="str">
            <v>Functioning</v>
          </cell>
          <cell r="U264" t="str">
            <v>Asset</v>
          </cell>
          <cell r="V264">
            <v>920</v>
          </cell>
          <cell r="W264" t="str">
            <v>KEW</v>
          </cell>
          <cell r="X264" t="str">
            <v>01/09/2010</v>
          </cell>
          <cell r="Y264" t="str">
            <v>KEW</v>
          </cell>
          <cell r="Z264" t="str">
            <v>16/08/2013</v>
          </cell>
          <cell r="AA264" t="str">
            <v>15/08/2015</v>
          </cell>
          <cell r="AB264" t="str">
            <v>No</v>
          </cell>
          <cell r="AC264" t="str">
            <v>31/08/2013</v>
          </cell>
          <cell r="AD264" t="str">
            <v>Good</v>
          </cell>
          <cell r="AE264" t="str">
            <v>V4 - Decommissioned Installed Facility</v>
          </cell>
          <cell r="AF264">
            <v>42920</v>
          </cell>
          <cell r="AG264">
            <v>9.17</v>
          </cell>
          <cell r="AH264" t="str">
            <v>RI</v>
          </cell>
          <cell r="AI264" t="str">
            <v>Strands</v>
          </cell>
          <cell r="AJ264" t="str">
            <v>Not under maintenance</v>
          </cell>
        </row>
        <row r="265">
          <cell r="A265" t="str">
            <v>IKN401564</v>
          </cell>
          <cell r="B265">
            <v>1503</v>
          </cell>
          <cell r="C265" t="str">
            <v>Institut Kanser Negara</v>
          </cell>
          <cell r="D265" t="str">
            <v>KKM/IKN/H/13/5209</v>
          </cell>
          <cell r="E265" t="str">
            <v>13-325</v>
          </cell>
          <cell r="F265" t="str">
            <v>Regulators, Suction</v>
          </cell>
          <cell r="G265" t="str">
            <v>IC</v>
          </cell>
          <cell r="H265" t="str">
            <v>INTENSIVE CARE UNIT</v>
          </cell>
          <cell r="I265" t="str">
            <v>05IC113</v>
          </cell>
          <cell r="J265" t="str">
            <v>ICU RM 2</v>
          </cell>
          <cell r="K265" t="str">
            <v>BMED</v>
          </cell>
          <cell r="L265" t="str">
            <v>Normal</v>
          </cell>
          <cell r="M265" t="str">
            <v>United States</v>
          </cell>
          <cell r="N265" t="str">
            <v>OHIO</v>
          </cell>
          <cell r="O265" t="str">
            <v>R244047311229905</v>
          </cell>
          <cell r="P265" t="str">
            <v>GPHS65007</v>
          </cell>
          <cell r="Q265" t="str">
            <v>Not Applicable</v>
          </cell>
          <cell r="R265" t="str">
            <v>OHIO</v>
          </cell>
          <cell r="S265" t="str">
            <v>Respimedic</v>
          </cell>
          <cell r="T265" t="str">
            <v>Functioning</v>
          </cell>
          <cell r="U265" t="str">
            <v>Asset</v>
          </cell>
          <cell r="V265">
            <v>920</v>
          </cell>
          <cell r="W265" t="str">
            <v>KEW</v>
          </cell>
          <cell r="X265" t="str">
            <v>01/09/2010</v>
          </cell>
          <cell r="Y265" t="str">
            <v>KEW</v>
          </cell>
          <cell r="Z265" t="str">
            <v>16/08/2013</v>
          </cell>
          <cell r="AA265" t="str">
            <v>15/08/2015</v>
          </cell>
          <cell r="AB265" t="str">
            <v>No</v>
          </cell>
          <cell r="AC265" t="str">
            <v>31/08/2013</v>
          </cell>
          <cell r="AD265" t="str">
            <v>Good</v>
          </cell>
          <cell r="AE265" t="str">
            <v>V4 - Decommissioned Installed Facility</v>
          </cell>
          <cell r="AF265">
            <v>42920</v>
          </cell>
          <cell r="AG265">
            <v>9.17</v>
          </cell>
          <cell r="AH265" t="str">
            <v>RI</v>
          </cell>
          <cell r="AI265" t="str">
            <v>Strands</v>
          </cell>
          <cell r="AJ265" t="str">
            <v>Not under maintenance</v>
          </cell>
        </row>
        <row r="266">
          <cell r="A266" t="str">
            <v>IKN401565</v>
          </cell>
          <cell r="B266">
            <v>1504</v>
          </cell>
          <cell r="C266" t="str">
            <v>Institut Kanser Negara</v>
          </cell>
          <cell r="D266" t="str">
            <v>KKM/IKN/H/13/5211</v>
          </cell>
          <cell r="E266" t="str">
            <v>13-325</v>
          </cell>
          <cell r="F266" t="str">
            <v>Regulators, Suction</v>
          </cell>
          <cell r="G266" t="str">
            <v>IC</v>
          </cell>
          <cell r="H266" t="str">
            <v>INTENSIVE CARE UNIT</v>
          </cell>
          <cell r="I266" t="str">
            <v>05IC131</v>
          </cell>
          <cell r="J266" t="str">
            <v>ISOL 3 (+VE)</v>
          </cell>
          <cell r="K266" t="str">
            <v>BMED</v>
          </cell>
          <cell r="L266" t="str">
            <v>Normal</v>
          </cell>
          <cell r="M266" t="str">
            <v>United States</v>
          </cell>
          <cell r="N266" t="str">
            <v>OHIO</v>
          </cell>
          <cell r="O266" t="str">
            <v>R244047311229905</v>
          </cell>
          <cell r="P266" t="str">
            <v>GPHS 65000</v>
          </cell>
          <cell r="Q266" t="str">
            <v>Not Applicable</v>
          </cell>
          <cell r="R266" t="str">
            <v>OHIO</v>
          </cell>
          <cell r="S266" t="str">
            <v>Respimedic</v>
          </cell>
          <cell r="T266" t="str">
            <v>Functioning</v>
          </cell>
          <cell r="U266" t="str">
            <v>Asset</v>
          </cell>
          <cell r="V266">
            <v>920</v>
          </cell>
          <cell r="W266" t="str">
            <v>KEW</v>
          </cell>
          <cell r="X266" t="str">
            <v>01/09/2010</v>
          </cell>
          <cell r="Y266" t="str">
            <v>KEW</v>
          </cell>
          <cell r="Z266" t="str">
            <v>16/08/2013</v>
          </cell>
          <cell r="AA266" t="str">
            <v>15/08/2015</v>
          </cell>
          <cell r="AB266" t="str">
            <v>No</v>
          </cell>
          <cell r="AC266" t="str">
            <v>31/08/2013</v>
          </cell>
          <cell r="AD266" t="str">
            <v>Good</v>
          </cell>
          <cell r="AE266" t="str">
            <v>V4 - Decommissioned Installed Facility</v>
          </cell>
          <cell r="AF266">
            <v>42920</v>
          </cell>
          <cell r="AG266">
            <v>9.17</v>
          </cell>
          <cell r="AH266" t="str">
            <v>RI</v>
          </cell>
          <cell r="AI266" t="str">
            <v>Strands</v>
          </cell>
          <cell r="AJ266" t="str">
            <v>Not under maintenance</v>
          </cell>
        </row>
        <row r="267">
          <cell r="A267" t="str">
            <v>IKN401566</v>
          </cell>
          <cell r="B267">
            <v>1505</v>
          </cell>
          <cell r="C267" t="str">
            <v>Institut Kanser Negara</v>
          </cell>
          <cell r="D267" t="str">
            <v>KKM/IKN/I/13/8953</v>
          </cell>
          <cell r="E267" t="str">
            <v>13-325</v>
          </cell>
          <cell r="F267" t="str">
            <v>Regulators, Suction</v>
          </cell>
          <cell r="G267" t="str">
            <v>WC</v>
          </cell>
          <cell r="H267" t="str">
            <v>SURGICAL ONCO FEMALE WARD</v>
          </cell>
          <cell r="I267" t="str">
            <v>06WC113</v>
          </cell>
          <cell r="J267" t="str">
            <v>EQUIPMENT ROOM</v>
          </cell>
          <cell r="K267" t="str">
            <v>BMED</v>
          </cell>
          <cell r="L267" t="str">
            <v>Normal</v>
          </cell>
          <cell r="M267" t="str">
            <v>United States</v>
          </cell>
          <cell r="N267" t="str">
            <v>OHIO</v>
          </cell>
          <cell r="O267" t="str">
            <v>R244047311229905</v>
          </cell>
          <cell r="P267" t="str">
            <v>GPHS65129</v>
          </cell>
          <cell r="Q267" t="str">
            <v>Not Applicable</v>
          </cell>
          <cell r="R267" t="str">
            <v>OHIO</v>
          </cell>
          <cell r="S267" t="str">
            <v>Respimedic</v>
          </cell>
          <cell r="T267" t="str">
            <v>Functioning</v>
          </cell>
          <cell r="U267" t="str">
            <v>Asset</v>
          </cell>
          <cell r="V267">
            <v>920</v>
          </cell>
          <cell r="W267" t="str">
            <v>KEW</v>
          </cell>
          <cell r="X267" t="str">
            <v>01/09/2010</v>
          </cell>
          <cell r="Y267" t="str">
            <v>KEW</v>
          </cell>
          <cell r="Z267" t="str">
            <v>16/08/2013</v>
          </cell>
          <cell r="AA267" t="str">
            <v>15/08/2015</v>
          </cell>
          <cell r="AB267" t="str">
            <v>No</v>
          </cell>
          <cell r="AC267" t="str">
            <v>31/08/2013</v>
          </cell>
          <cell r="AD267" t="str">
            <v>Good</v>
          </cell>
          <cell r="AE267" t="str">
            <v>V4 - Decommissioned Installed Facility</v>
          </cell>
          <cell r="AF267">
            <v>42926</v>
          </cell>
          <cell r="AG267">
            <v>9.17</v>
          </cell>
          <cell r="AH267" t="str">
            <v>RI</v>
          </cell>
          <cell r="AI267" t="str">
            <v>Strands</v>
          </cell>
          <cell r="AJ267" t="str">
            <v>Not under maintenance</v>
          </cell>
        </row>
        <row r="268">
          <cell r="A268" t="str">
            <v>IKN401567</v>
          </cell>
          <cell r="B268">
            <v>1506</v>
          </cell>
          <cell r="C268" t="str">
            <v>Institut Kanser Negara</v>
          </cell>
          <cell r="D268" t="str">
            <v>KKM/IKN/I/13/8952</v>
          </cell>
          <cell r="E268" t="str">
            <v>13-325</v>
          </cell>
          <cell r="F268" t="str">
            <v>Regulators, Suction</v>
          </cell>
          <cell r="G268" t="str">
            <v>WC</v>
          </cell>
          <cell r="H268" t="str">
            <v>SURGICAL ONCO FEMALE WARD</v>
          </cell>
          <cell r="I268" t="str">
            <v>06WC113</v>
          </cell>
          <cell r="J268" t="str">
            <v>EQUIPMENT ROOM</v>
          </cell>
          <cell r="K268" t="str">
            <v>BMED</v>
          </cell>
          <cell r="L268" t="str">
            <v>Normal</v>
          </cell>
          <cell r="M268" t="str">
            <v>United States</v>
          </cell>
          <cell r="N268" t="str">
            <v>OHIO</v>
          </cell>
          <cell r="O268" t="str">
            <v>R244047311229905</v>
          </cell>
          <cell r="P268" t="str">
            <v>GPHS65134</v>
          </cell>
          <cell r="Q268" t="str">
            <v>Not Applicable</v>
          </cell>
          <cell r="R268" t="str">
            <v>OHIO</v>
          </cell>
          <cell r="S268" t="str">
            <v>Respimedic</v>
          </cell>
          <cell r="T268" t="str">
            <v>Functioning</v>
          </cell>
          <cell r="U268" t="str">
            <v>Asset</v>
          </cell>
          <cell r="V268">
            <v>920</v>
          </cell>
          <cell r="W268" t="str">
            <v>KEW</v>
          </cell>
          <cell r="X268" t="str">
            <v>01/09/2010</v>
          </cell>
          <cell r="Y268" t="str">
            <v>KEW</v>
          </cell>
          <cell r="Z268" t="str">
            <v>16/08/2013</v>
          </cell>
          <cell r="AA268" t="str">
            <v>15/08/2015</v>
          </cell>
          <cell r="AB268" t="str">
            <v>No</v>
          </cell>
          <cell r="AC268" t="str">
            <v>31/08/2013</v>
          </cell>
          <cell r="AD268" t="str">
            <v>Good</v>
          </cell>
          <cell r="AE268" t="str">
            <v>V4 - Decommissioned Installed Facility</v>
          </cell>
          <cell r="AF268">
            <v>42926</v>
          </cell>
          <cell r="AG268">
            <v>9.17</v>
          </cell>
          <cell r="AH268" t="str">
            <v>RI</v>
          </cell>
          <cell r="AI268" t="str">
            <v>Strands</v>
          </cell>
          <cell r="AJ268" t="str">
            <v>Not under maintenance</v>
          </cell>
        </row>
        <row r="269">
          <cell r="A269" t="str">
            <v>IKN401568</v>
          </cell>
          <cell r="B269">
            <v>1507</v>
          </cell>
          <cell r="C269" t="str">
            <v>Institut Kanser Negara</v>
          </cell>
          <cell r="D269" t="e">
            <v>#N/A</v>
          </cell>
          <cell r="E269" t="str">
            <v>13-325</v>
          </cell>
          <cell r="F269" t="str">
            <v>Regulators, Suction</v>
          </cell>
          <cell r="G269" t="str">
            <v>DO</v>
          </cell>
          <cell r="H269" t="str">
            <v>DAY ONCOLOGY UNIT</v>
          </cell>
          <cell r="I269" t="str">
            <v>04DO121</v>
          </cell>
          <cell r="J269" t="str">
            <v>TREATMENT BAY 4</v>
          </cell>
          <cell r="K269" t="str">
            <v>BMED</v>
          </cell>
          <cell r="L269" t="str">
            <v>Normal</v>
          </cell>
          <cell r="M269" t="str">
            <v>United States</v>
          </cell>
          <cell r="N269" t="str">
            <v>OHIO</v>
          </cell>
          <cell r="O269" t="str">
            <v>R244047311229905</v>
          </cell>
          <cell r="P269" t="str">
            <v>GPHS65191</v>
          </cell>
          <cell r="Q269" t="str">
            <v>Not Applicable</v>
          </cell>
          <cell r="R269" t="str">
            <v>OHIO</v>
          </cell>
          <cell r="S269" t="str">
            <v>Respimedic</v>
          </cell>
          <cell r="T269" t="str">
            <v>Functioning</v>
          </cell>
          <cell r="U269" t="str">
            <v>Asset</v>
          </cell>
          <cell r="V269">
            <v>920</v>
          </cell>
          <cell r="W269" t="str">
            <v>KEW</v>
          </cell>
          <cell r="X269" t="str">
            <v>01/09/2010</v>
          </cell>
          <cell r="Y269" t="str">
            <v>KEW</v>
          </cell>
          <cell r="Z269" t="str">
            <v>16/08/2013</v>
          </cell>
          <cell r="AA269" t="str">
            <v>15/08/2015</v>
          </cell>
          <cell r="AB269" t="str">
            <v>No</v>
          </cell>
          <cell r="AC269" t="str">
            <v>31/08/2013</v>
          </cell>
          <cell r="AD269" t="str">
            <v>Good</v>
          </cell>
          <cell r="AE269" t="str">
            <v>V4 - Decommissioned Installed Facility</v>
          </cell>
          <cell r="AF269">
            <v>42935</v>
          </cell>
          <cell r="AG269">
            <v>9.17</v>
          </cell>
          <cell r="AH269" t="str">
            <v>RI</v>
          </cell>
          <cell r="AI269" t="str">
            <v>Not in contract</v>
          </cell>
          <cell r="AJ269" t="str">
            <v>Not under maintenance</v>
          </cell>
          <cell r="AK269" t="e">
            <v>#N/A</v>
          </cell>
        </row>
        <row r="270">
          <cell r="A270" t="str">
            <v>IKN401569</v>
          </cell>
          <cell r="B270">
            <v>1508</v>
          </cell>
          <cell r="C270" t="str">
            <v>Institut Kanser Negara</v>
          </cell>
          <cell r="D270" t="e">
            <v>#N/A</v>
          </cell>
          <cell r="E270" t="str">
            <v>13-325</v>
          </cell>
          <cell r="F270" t="str">
            <v>Regulators, Suction</v>
          </cell>
          <cell r="G270" t="str">
            <v>DO</v>
          </cell>
          <cell r="H270" t="str">
            <v>DAY ONCOLOGY UNIT</v>
          </cell>
          <cell r="I270" t="str">
            <v>04DO118</v>
          </cell>
          <cell r="J270" t="str">
            <v>TREATMENT BAY 1</v>
          </cell>
          <cell r="K270" t="str">
            <v>BMED</v>
          </cell>
          <cell r="L270" t="str">
            <v>Normal</v>
          </cell>
          <cell r="M270" t="str">
            <v>United States</v>
          </cell>
          <cell r="N270" t="str">
            <v>OHIO</v>
          </cell>
          <cell r="O270" t="str">
            <v>R244047311229905</v>
          </cell>
          <cell r="P270" t="str">
            <v>GPHS65193</v>
          </cell>
          <cell r="Q270" t="str">
            <v>Not Applicable</v>
          </cell>
          <cell r="R270" t="str">
            <v>OHIO</v>
          </cell>
          <cell r="S270" t="str">
            <v>Respimedic</v>
          </cell>
          <cell r="T270" t="str">
            <v>Functioning</v>
          </cell>
          <cell r="U270" t="str">
            <v>Asset</v>
          </cell>
          <cell r="V270">
            <v>920</v>
          </cell>
          <cell r="W270" t="str">
            <v>KEW</v>
          </cell>
          <cell r="X270" t="str">
            <v>01/09/2010</v>
          </cell>
          <cell r="Y270" t="str">
            <v>KEW</v>
          </cell>
          <cell r="Z270" t="str">
            <v>16/08/2013</v>
          </cell>
          <cell r="AA270" t="str">
            <v>15/08/2015</v>
          </cell>
          <cell r="AB270" t="str">
            <v>No</v>
          </cell>
          <cell r="AC270" t="str">
            <v>31/08/2013</v>
          </cell>
          <cell r="AD270" t="str">
            <v>Good</v>
          </cell>
          <cell r="AE270" t="str">
            <v>V4 - Decommissioned Installed Facility</v>
          </cell>
          <cell r="AF270">
            <v>42935</v>
          </cell>
          <cell r="AG270">
            <v>9.17</v>
          </cell>
          <cell r="AH270" t="str">
            <v>RI</v>
          </cell>
          <cell r="AI270" t="str">
            <v>Not in contract</v>
          </cell>
          <cell r="AJ270" t="str">
            <v>Not under maintenance</v>
          </cell>
          <cell r="AK270" t="e">
            <v>#N/A</v>
          </cell>
        </row>
        <row r="271">
          <cell r="A271" t="str">
            <v>IKN401570</v>
          </cell>
          <cell r="B271">
            <v>1509</v>
          </cell>
          <cell r="C271" t="str">
            <v>Institut Kanser Negara</v>
          </cell>
          <cell r="D271" t="e">
            <v>#N/A</v>
          </cell>
          <cell r="E271" t="str">
            <v>13-325</v>
          </cell>
          <cell r="F271" t="str">
            <v>Regulators, Suction</v>
          </cell>
          <cell r="G271" t="str">
            <v>DO</v>
          </cell>
          <cell r="H271" t="str">
            <v>DAY ONCOLOGY UNIT</v>
          </cell>
          <cell r="I271" t="str">
            <v>04DO121</v>
          </cell>
          <cell r="J271" t="str">
            <v>TREATMENT BAY 4</v>
          </cell>
          <cell r="K271" t="str">
            <v>BMED</v>
          </cell>
          <cell r="L271" t="str">
            <v>Normal</v>
          </cell>
          <cell r="M271" t="str">
            <v>United States</v>
          </cell>
          <cell r="N271" t="str">
            <v>OHIO</v>
          </cell>
          <cell r="O271" t="str">
            <v>R244047311229905</v>
          </cell>
          <cell r="P271" t="str">
            <v>GPHS65195</v>
          </cell>
          <cell r="Q271" t="str">
            <v>Not Applicable</v>
          </cell>
          <cell r="R271" t="str">
            <v>OHIO</v>
          </cell>
          <cell r="S271" t="str">
            <v>Respimedic</v>
          </cell>
          <cell r="T271" t="str">
            <v>Functioning</v>
          </cell>
          <cell r="U271" t="str">
            <v>Asset</v>
          </cell>
          <cell r="V271">
            <v>920</v>
          </cell>
          <cell r="W271" t="str">
            <v>KEW</v>
          </cell>
          <cell r="X271" t="str">
            <v>01/09/2010</v>
          </cell>
          <cell r="Y271" t="str">
            <v>KEW</v>
          </cell>
          <cell r="Z271" t="str">
            <v>16/08/2013</v>
          </cell>
          <cell r="AA271" t="str">
            <v>15/08/2015</v>
          </cell>
          <cell r="AB271" t="str">
            <v>No</v>
          </cell>
          <cell r="AC271" t="str">
            <v>31/08/2013</v>
          </cell>
          <cell r="AD271" t="str">
            <v>Good</v>
          </cell>
          <cell r="AE271" t="str">
            <v>V4 - Decommissioned Installed Facility</v>
          </cell>
          <cell r="AF271">
            <v>42935</v>
          </cell>
          <cell r="AG271">
            <v>9.17</v>
          </cell>
          <cell r="AH271" t="str">
            <v>RI</v>
          </cell>
          <cell r="AI271" t="str">
            <v>Not in contract</v>
          </cell>
          <cell r="AJ271" t="str">
            <v>Not under maintenance</v>
          </cell>
          <cell r="AK271" t="e">
            <v>#N/A</v>
          </cell>
        </row>
        <row r="272">
          <cell r="A272" t="str">
            <v>IKN401571</v>
          </cell>
          <cell r="B272">
            <v>1510</v>
          </cell>
          <cell r="C272" t="str">
            <v>Institut Kanser Negara</v>
          </cell>
          <cell r="D272" t="e">
            <v>#N/A</v>
          </cell>
          <cell r="E272" t="str">
            <v>13-325</v>
          </cell>
          <cell r="F272" t="str">
            <v>Regulators, Suction</v>
          </cell>
          <cell r="G272" t="str">
            <v>DO</v>
          </cell>
          <cell r="H272" t="str">
            <v>DAY ONCOLOGY UNIT</v>
          </cell>
          <cell r="I272" t="str">
            <v>04DO118</v>
          </cell>
          <cell r="J272" t="str">
            <v>TREATMENT BAY 1</v>
          </cell>
          <cell r="K272" t="str">
            <v>BMED</v>
          </cell>
          <cell r="L272" t="str">
            <v>Normal</v>
          </cell>
          <cell r="M272" t="str">
            <v>United States</v>
          </cell>
          <cell r="N272" t="str">
            <v>OHIO</v>
          </cell>
          <cell r="O272" t="str">
            <v>R244047311229905</v>
          </cell>
          <cell r="P272" t="str">
            <v>GPHS65172</v>
          </cell>
          <cell r="Q272" t="str">
            <v>Not Applicable</v>
          </cell>
          <cell r="R272" t="str">
            <v>OHIO</v>
          </cell>
          <cell r="S272" t="str">
            <v>Respimedic</v>
          </cell>
          <cell r="T272" t="str">
            <v>Functioning</v>
          </cell>
          <cell r="U272" t="str">
            <v>Asset</v>
          </cell>
          <cell r="V272">
            <v>920</v>
          </cell>
          <cell r="W272" t="str">
            <v>KEW</v>
          </cell>
          <cell r="X272" t="str">
            <v>01/09/2010</v>
          </cell>
          <cell r="Y272" t="str">
            <v>KEW</v>
          </cell>
          <cell r="Z272" t="str">
            <v>16/08/2013</v>
          </cell>
          <cell r="AA272" t="str">
            <v>15/08/2015</v>
          </cell>
          <cell r="AB272" t="str">
            <v>No</v>
          </cell>
          <cell r="AC272" t="str">
            <v>31/08/2013</v>
          </cell>
          <cell r="AD272" t="str">
            <v>Good</v>
          </cell>
          <cell r="AE272" t="str">
            <v>V4 - Decommissioned Installed Facility</v>
          </cell>
          <cell r="AF272">
            <v>42935</v>
          </cell>
          <cell r="AG272">
            <v>9.17</v>
          </cell>
          <cell r="AH272" t="str">
            <v>RI</v>
          </cell>
          <cell r="AI272" t="str">
            <v>Not in contract</v>
          </cell>
          <cell r="AJ272" t="str">
            <v>Not under maintenance</v>
          </cell>
          <cell r="AK272" t="e">
            <v>#N/A</v>
          </cell>
        </row>
        <row r="273">
          <cell r="A273" t="str">
            <v>IKN401572</v>
          </cell>
          <cell r="B273">
            <v>1511</v>
          </cell>
          <cell r="C273" t="str">
            <v>Institut Kanser Negara</v>
          </cell>
          <cell r="D273" t="e">
            <v>#N/A</v>
          </cell>
          <cell r="E273" t="str">
            <v>13-325</v>
          </cell>
          <cell r="F273" t="str">
            <v>Regulators, Suction</v>
          </cell>
          <cell r="G273" t="str">
            <v>DO</v>
          </cell>
          <cell r="H273" t="str">
            <v>DAY ONCOLOGY UNIT</v>
          </cell>
          <cell r="I273" t="str">
            <v>04DO120</v>
          </cell>
          <cell r="J273" t="str">
            <v>TREATMENT BAY 3</v>
          </cell>
          <cell r="K273" t="str">
            <v>BMED</v>
          </cell>
          <cell r="L273" t="str">
            <v>Normal</v>
          </cell>
          <cell r="M273" t="str">
            <v>United States</v>
          </cell>
          <cell r="N273" t="str">
            <v>OHIO</v>
          </cell>
          <cell r="O273" t="str">
            <v>R244047311229905</v>
          </cell>
          <cell r="P273" t="str">
            <v>GPHS65171</v>
          </cell>
          <cell r="Q273" t="str">
            <v>Not Applicable</v>
          </cell>
          <cell r="R273" t="str">
            <v>OHIO</v>
          </cell>
          <cell r="S273" t="str">
            <v>Respimedic</v>
          </cell>
          <cell r="T273" t="str">
            <v>Functioning</v>
          </cell>
          <cell r="U273" t="str">
            <v>Asset</v>
          </cell>
          <cell r="V273">
            <v>920</v>
          </cell>
          <cell r="W273" t="str">
            <v>KEW</v>
          </cell>
          <cell r="X273" t="str">
            <v>01/09/2010</v>
          </cell>
          <cell r="Y273" t="str">
            <v>KEW</v>
          </cell>
          <cell r="Z273" t="str">
            <v>16/08/2013</v>
          </cell>
          <cell r="AA273" t="str">
            <v>15/08/2015</v>
          </cell>
          <cell r="AB273" t="str">
            <v>No</v>
          </cell>
          <cell r="AC273" t="str">
            <v>31/08/2013</v>
          </cell>
          <cell r="AD273" t="str">
            <v>Good</v>
          </cell>
          <cell r="AE273" t="str">
            <v>V4 - Decommissioned Installed Facility</v>
          </cell>
          <cell r="AF273">
            <v>42935</v>
          </cell>
          <cell r="AG273">
            <v>9.17</v>
          </cell>
          <cell r="AH273" t="str">
            <v>RI</v>
          </cell>
          <cell r="AI273" t="str">
            <v>Not in contract</v>
          </cell>
          <cell r="AJ273" t="str">
            <v>Not under maintenance</v>
          </cell>
          <cell r="AK273" t="e">
            <v>#N/A</v>
          </cell>
        </row>
        <row r="274">
          <cell r="A274" t="str">
            <v>IKN401573</v>
          </cell>
          <cell r="B274">
            <v>1512</v>
          </cell>
          <cell r="C274" t="str">
            <v>Institut Kanser Negara</v>
          </cell>
          <cell r="D274" t="e">
            <v>#N/A</v>
          </cell>
          <cell r="E274" t="str">
            <v>13-325</v>
          </cell>
          <cell r="F274" t="str">
            <v>Regulators, Suction</v>
          </cell>
          <cell r="G274" t="str">
            <v>DO</v>
          </cell>
          <cell r="H274" t="str">
            <v>DAY ONCOLOGY UNIT</v>
          </cell>
          <cell r="I274" t="str">
            <v>04DO119</v>
          </cell>
          <cell r="J274" t="str">
            <v>TREATMENT BAY 2</v>
          </cell>
          <cell r="K274" t="str">
            <v>BMED</v>
          </cell>
          <cell r="L274" t="str">
            <v>Normal</v>
          </cell>
          <cell r="M274" t="str">
            <v>United States</v>
          </cell>
          <cell r="N274" t="str">
            <v>OHIO</v>
          </cell>
          <cell r="O274" t="str">
            <v>R244047311229905</v>
          </cell>
          <cell r="P274" t="str">
            <v>GPHS65081</v>
          </cell>
          <cell r="Q274" t="str">
            <v>Not Applicable</v>
          </cell>
          <cell r="R274" t="str">
            <v>OHIO</v>
          </cell>
          <cell r="S274" t="str">
            <v>Respimedic</v>
          </cell>
          <cell r="T274" t="str">
            <v>Functioning</v>
          </cell>
          <cell r="U274" t="str">
            <v>Asset</v>
          </cell>
          <cell r="V274">
            <v>920</v>
          </cell>
          <cell r="W274" t="str">
            <v>KEW</v>
          </cell>
          <cell r="X274" t="str">
            <v>01/09/2010</v>
          </cell>
          <cell r="Y274" t="str">
            <v>KEW</v>
          </cell>
          <cell r="Z274" t="str">
            <v>16/08/2013</v>
          </cell>
          <cell r="AA274" t="str">
            <v>15/08/2015</v>
          </cell>
          <cell r="AB274" t="str">
            <v>No</v>
          </cell>
          <cell r="AC274" t="str">
            <v>31/08/2013</v>
          </cell>
          <cell r="AD274" t="str">
            <v>Good</v>
          </cell>
          <cell r="AE274" t="str">
            <v>V4 - Decommissioned Installed Facility</v>
          </cell>
          <cell r="AF274">
            <v>42935</v>
          </cell>
          <cell r="AG274">
            <v>9.17</v>
          </cell>
          <cell r="AH274" t="str">
            <v>RI</v>
          </cell>
          <cell r="AI274" t="str">
            <v>Not in contract</v>
          </cell>
          <cell r="AJ274" t="str">
            <v>Not under maintenance</v>
          </cell>
          <cell r="AK274" t="e">
            <v>#N/A</v>
          </cell>
        </row>
        <row r="275">
          <cell r="A275" t="str">
            <v>IKN401574</v>
          </cell>
          <cell r="B275">
            <v>1513</v>
          </cell>
          <cell r="C275" t="str">
            <v>Institut Kanser Negara</v>
          </cell>
          <cell r="D275" t="e">
            <v>#N/A</v>
          </cell>
          <cell r="E275" t="str">
            <v>13-325</v>
          </cell>
          <cell r="F275" t="str">
            <v>Regulators, Suction</v>
          </cell>
          <cell r="G275" t="str">
            <v>DO</v>
          </cell>
          <cell r="H275" t="str">
            <v>DAY ONCOLOGY UNIT</v>
          </cell>
          <cell r="I275" t="str">
            <v>04DO120</v>
          </cell>
          <cell r="J275" t="str">
            <v>TREATMENT BAY 3</v>
          </cell>
          <cell r="K275" t="str">
            <v>BMED</v>
          </cell>
          <cell r="L275" t="str">
            <v>Normal</v>
          </cell>
          <cell r="M275" t="str">
            <v>United States</v>
          </cell>
          <cell r="N275" t="str">
            <v>OHIO</v>
          </cell>
          <cell r="O275" t="str">
            <v>R244047311229905</v>
          </cell>
          <cell r="P275" t="str">
            <v>GPHS65085</v>
          </cell>
          <cell r="Q275" t="str">
            <v>Not Applicable</v>
          </cell>
          <cell r="R275" t="str">
            <v>OHIO</v>
          </cell>
          <cell r="S275" t="str">
            <v>Respimedic</v>
          </cell>
          <cell r="T275" t="str">
            <v>Functioning</v>
          </cell>
          <cell r="U275" t="str">
            <v>Asset</v>
          </cell>
          <cell r="V275">
            <v>920</v>
          </cell>
          <cell r="W275" t="str">
            <v>KEW</v>
          </cell>
          <cell r="X275" t="str">
            <v>01/09/2010</v>
          </cell>
          <cell r="Y275" t="str">
            <v>KEW</v>
          </cell>
          <cell r="Z275" t="str">
            <v>16/08/2013</v>
          </cell>
          <cell r="AA275" t="str">
            <v>15/08/2015</v>
          </cell>
          <cell r="AB275" t="str">
            <v>No</v>
          </cell>
          <cell r="AC275" t="str">
            <v>31/08/2013</v>
          </cell>
          <cell r="AD275" t="str">
            <v>Good</v>
          </cell>
          <cell r="AE275" t="str">
            <v>V4 - Decommissioned Installed Facility</v>
          </cell>
          <cell r="AF275">
            <v>42935</v>
          </cell>
          <cell r="AG275">
            <v>9.17</v>
          </cell>
          <cell r="AH275" t="str">
            <v>RI</v>
          </cell>
          <cell r="AI275" t="str">
            <v>Not in contract</v>
          </cell>
          <cell r="AJ275" t="str">
            <v>Not under maintenance</v>
          </cell>
          <cell r="AK275" t="e">
            <v>#N/A</v>
          </cell>
        </row>
        <row r="276">
          <cell r="A276" t="str">
            <v>IKN401575</v>
          </cell>
          <cell r="B276">
            <v>1514</v>
          </cell>
          <cell r="C276" t="str">
            <v>Institut Kanser Negara</v>
          </cell>
          <cell r="D276" t="e">
            <v>#N/A</v>
          </cell>
          <cell r="E276" t="str">
            <v>13-325</v>
          </cell>
          <cell r="F276" t="str">
            <v>Regulators, Suction</v>
          </cell>
          <cell r="G276" t="str">
            <v>DO</v>
          </cell>
          <cell r="H276" t="str">
            <v>DAY ONCOLOGY UNIT</v>
          </cell>
          <cell r="I276" t="str">
            <v>04DO124</v>
          </cell>
          <cell r="J276" t="str">
            <v>TREATMENT ROOM</v>
          </cell>
          <cell r="K276" t="str">
            <v>BMED</v>
          </cell>
          <cell r="L276" t="str">
            <v>Normal</v>
          </cell>
          <cell r="M276" t="str">
            <v>United States</v>
          </cell>
          <cell r="N276" t="str">
            <v>OHIO</v>
          </cell>
          <cell r="O276" t="str">
            <v>R244047311229905</v>
          </cell>
          <cell r="P276" t="str">
            <v>GPHS65180</v>
          </cell>
          <cell r="Q276" t="str">
            <v>Not Applicable</v>
          </cell>
          <cell r="R276" t="str">
            <v>OHIO</v>
          </cell>
          <cell r="S276" t="str">
            <v>Respimedic</v>
          </cell>
          <cell r="T276" t="str">
            <v>Functioning</v>
          </cell>
          <cell r="U276" t="str">
            <v>Asset</v>
          </cell>
          <cell r="V276">
            <v>920</v>
          </cell>
          <cell r="W276" t="str">
            <v>KEW</v>
          </cell>
          <cell r="X276" t="str">
            <v>01/09/2010</v>
          </cell>
          <cell r="Y276" t="str">
            <v>KEW</v>
          </cell>
          <cell r="Z276" t="str">
            <v>16/08/2013</v>
          </cell>
          <cell r="AA276" t="str">
            <v>15/08/2015</v>
          </cell>
          <cell r="AB276" t="str">
            <v>No</v>
          </cell>
          <cell r="AC276" t="str">
            <v>31/08/2013</v>
          </cell>
          <cell r="AD276" t="str">
            <v>Good</v>
          </cell>
          <cell r="AE276" t="str">
            <v>V4 - Decommissioned Installed Facility</v>
          </cell>
          <cell r="AF276">
            <v>42935</v>
          </cell>
          <cell r="AG276">
            <v>9.17</v>
          </cell>
          <cell r="AH276" t="str">
            <v>RI</v>
          </cell>
          <cell r="AI276" t="str">
            <v>Not in contract</v>
          </cell>
          <cell r="AJ276" t="str">
            <v>Not under maintenance</v>
          </cell>
          <cell r="AK276" t="e">
            <v>#N/A</v>
          </cell>
        </row>
        <row r="277">
          <cell r="A277" t="str">
            <v>IKN401576</v>
          </cell>
          <cell r="B277">
            <v>1515</v>
          </cell>
          <cell r="C277" t="str">
            <v>Institut Kanser Negara</v>
          </cell>
          <cell r="D277" t="e">
            <v>#N/A</v>
          </cell>
          <cell r="E277" t="str">
            <v>13-325</v>
          </cell>
          <cell r="F277" t="str">
            <v>Regulators, Suction</v>
          </cell>
          <cell r="G277" t="str">
            <v>DO</v>
          </cell>
          <cell r="H277" t="str">
            <v>DAY ONCOLOGY UNIT</v>
          </cell>
          <cell r="I277" t="str">
            <v>04DO121</v>
          </cell>
          <cell r="J277" t="str">
            <v>TREATMENT BAY 4</v>
          </cell>
          <cell r="K277" t="str">
            <v>BMED</v>
          </cell>
          <cell r="L277" t="str">
            <v>Normal</v>
          </cell>
          <cell r="M277" t="str">
            <v>United States</v>
          </cell>
          <cell r="N277" t="str">
            <v>OHIO</v>
          </cell>
          <cell r="O277" t="str">
            <v>R244047311229905</v>
          </cell>
          <cell r="P277" t="str">
            <v>GPHS65041</v>
          </cell>
          <cell r="Q277" t="str">
            <v>Not Applicable</v>
          </cell>
          <cell r="R277" t="str">
            <v>OHIO</v>
          </cell>
          <cell r="S277" t="str">
            <v>Respimedic</v>
          </cell>
          <cell r="T277" t="str">
            <v>Functioning</v>
          </cell>
          <cell r="U277" t="str">
            <v>Asset</v>
          </cell>
          <cell r="V277">
            <v>920</v>
          </cell>
          <cell r="W277" t="str">
            <v>KEW</v>
          </cell>
          <cell r="X277" t="str">
            <v>01/09/2010</v>
          </cell>
          <cell r="Y277" t="str">
            <v>KEW</v>
          </cell>
          <cell r="Z277" t="str">
            <v>16/08/2013</v>
          </cell>
          <cell r="AA277" t="str">
            <v>15/08/2015</v>
          </cell>
          <cell r="AB277" t="str">
            <v>No</v>
          </cell>
          <cell r="AC277" t="str">
            <v>31/08/2013</v>
          </cell>
          <cell r="AD277" t="str">
            <v>Good</v>
          </cell>
          <cell r="AE277" t="str">
            <v>V4 - Decommissioned Installed Facility</v>
          </cell>
          <cell r="AF277">
            <v>42935</v>
          </cell>
          <cell r="AG277">
            <v>9.17</v>
          </cell>
          <cell r="AH277" t="str">
            <v>RI</v>
          </cell>
          <cell r="AI277" t="str">
            <v>Not in contract</v>
          </cell>
          <cell r="AJ277" t="str">
            <v>Not under maintenance</v>
          </cell>
          <cell r="AK277" t="e">
            <v>#N/A</v>
          </cell>
        </row>
        <row r="278">
          <cell r="A278" t="str">
            <v>IKN401577</v>
          </cell>
          <cell r="B278">
            <v>1516</v>
          </cell>
          <cell r="C278" t="str">
            <v>Institut Kanser Negara</v>
          </cell>
          <cell r="D278" t="e">
            <v>#N/A</v>
          </cell>
          <cell r="E278" t="str">
            <v>13-325</v>
          </cell>
          <cell r="F278" t="str">
            <v>Regulators, Suction</v>
          </cell>
          <cell r="G278" t="str">
            <v>DO</v>
          </cell>
          <cell r="H278" t="str">
            <v>DAY ONCOLOGY UNIT</v>
          </cell>
          <cell r="I278" t="str">
            <v>04DO119</v>
          </cell>
          <cell r="J278" t="str">
            <v>TREATMENT BAY 2</v>
          </cell>
          <cell r="K278" t="str">
            <v>BMED</v>
          </cell>
          <cell r="L278" t="str">
            <v>Normal</v>
          </cell>
          <cell r="M278" t="str">
            <v>United States</v>
          </cell>
          <cell r="N278" t="str">
            <v>OHIO</v>
          </cell>
          <cell r="O278" t="str">
            <v>R244047311229905</v>
          </cell>
          <cell r="P278" t="str">
            <v>GPHS65199</v>
          </cell>
          <cell r="Q278" t="str">
            <v>Not Applicable</v>
          </cell>
          <cell r="R278" t="str">
            <v>OHIO</v>
          </cell>
          <cell r="S278" t="str">
            <v>Respimedic</v>
          </cell>
          <cell r="T278" t="str">
            <v>Functioning</v>
          </cell>
          <cell r="U278" t="str">
            <v>Asset</v>
          </cell>
          <cell r="V278">
            <v>920</v>
          </cell>
          <cell r="W278" t="str">
            <v>KEW</v>
          </cell>
          <cell r="X278" t="str">
            <v>01/09/2010</v>
          </cell>
          <cell r="Y278" t="str">
            <v>KEW</v>
          </cell>
          <cell r="Z278" t="str">
            <v>16/08/2013</v>
          </cell>
          <cell r="AA278" t="str">
            <v>15/08/2015</v>
          </cell>
          <cell r="AB278" t="str">
            <v>No</v>
          </cell>
          <cell r="AC278" t="str">
            <v>31/08/2013</v>
          </cell>
          <cell r="AD278" t="str">
            <v>Good</v>
          </cell>
          <cell r="AE278" t="str">
            <v>V4 - Decommissioned Installed Facility</v>
          </cell>
          <cell r="AF278">
            <v>42937</v>
          </cell>
          <cell r="AG278">
            <v>9.17</v>
          </cell>
          <cell r="AH278" t="str">
            <v>RI</v>
          </cell>
          <cell r="AI278" t="str">
            <v>Not in contract</v>
          </cell>
          <cell r="AJ278" t="str">
            <v>Not under maintenance</v>
          </cell>
          <cell r="AK278" t="e">
            <v>#N/A</v>
          </cell>
        </row>
        <row r="279">
          <cell r="A279" t="str">
            <v>IKN401578</v>
          </cell>
          <cell r="B279">
            <v>1517</v>
          </cell>
          <cell r="C279" t="str">
            <v>Institut Kanser Negara</v>
          </cell>
          <cell r="D279" t="e">
            <v>#N/A</v>
          </cell>
          <cell r="E279" t="str">
            <v>13-325</v>
          </cell>
          <cell r="F279" t="str">
            <v>Regulators, Suction</v>
          </cell>
          <cell r="G279" t="str">
            <v>DO</v>
          </cell>
          <cell r="H279" t="str">
            <v>DAY ONCOLOGY UNIT</v>
          </cell>
          <cell r="I279" t="str">
            <v>04DO119</v>
          </cell>
          <cell r="J279" t="str">
            <v>TREATMENT BAY 2</v>
          </cell>
          <cell r="K279" t="str">
            <v>BMED</v>
          </cell>
          <cell r="L279" t="str">
            <v>Normal</v>
          </cell>
          <cell r="M279" t="str">
            <v>United States</v>
          </cell>
          <cell r="N279" t="str">
            <v>OHIO</v>
          </cell>
          <cell r="O279" t="str">
            <v>R244047311229905</v>
          </cell>
          <cell r="P279" t="str">
            <v>GPHS65194</v>
          </cell>
          <cell r="Q279" t="str">
            <v>Not Applicable</v>
          </cell>
          <cell r="R279" t="str">
            <v>OHIO</v>
          </cell>
          <cell r="S279" t="str">
            <v>Respimedic</v>
          </cell>
          <cell r="T279" t="str">
            <v>Functioning</v>
          </cell>
          <cell r="U279" t="str">
            <v>Asset</v>
          </cell>
          <cell r="V279">
            <v>920</v>
          </cell>
          <cell r="W279" t="str">
            <v>KEW</v>
          </cell>
          <cell r="X279" t="str">
            <v>01/09/2010</v>
          </cell>
          <cell r="Y279" t="str">
            <v>KEW</v>
          </cell>
          <cell r="Z279" t="str">
            <v>16/08/2013</v>
          </cell>
          <cell r="AA279" t="str">
            <v>15/08/2015</v>
          </cell>
          <cell r="AB279" t="str">
            <v>No</v>
          </cell>
          <cell r="AC279" t="str">
            <v>31/08/2013</v>
          </cell>
          <cell r="AD279" t="str">
            <v>Good</v>
          </cell>
          <cell r="AE279" t="str">
            <v>V4 - Decommissioned Installed Facility</v>
          </cell>
          <cell r="AF279">
            <v>42937</v>
          </cell>
          <cell r="AG279">
            <v>9.17</v>
          </cell>
          <cell r="AH279" t="str">
            <v>RI</v>
          </cell>
          <cell r="AI279" t="str">
            <v>Not in contract</v>
          </cell>
          <cell r="AJ279" t="str">
            <v>Not under maintenance</v>
          </cell>
          <cell r="AK279" t="e">
            <v>#N/A</v>
          </cell>
        </row>
        <row r="280">
          <cell r="A280" t="str">
            <v>IKN401579</v>
          </cell>
          <cell r="B280">
            <v>1518</v>
          </cell>
          <cell r="C280" t="str">
            <v>Institut Kanser Negara</v>
          </cell>
          <cell r="D280" t="e">
            <v>#N/A</v>
          </cell>
          <cell r="E280" t="str">
            <v>13-325</v>
          </cell>
          <cell r="F280" t="str">
            <v>Regulators, Suction</v>
          </cell>
          <cell r="G280" t="str">
            <v>DO</v>
          </cell>
          <cell r="H280" t="str">
            <v>DAY ONCOLOGY UNIT</v>
          </cell>
          <cell r="I280" t="str">
            <v>04DO125</v>
          </cell>
          <cell r="J280" t="str">
            <v>PROCEDURE ROOM</v>
          </cell>
          <cell r="K280" t="str">
            <v>BMED</v>
          </cell>
          <cell r="L280" t="str">
            <v>Normal</v>
          </cell>
          <cell r="M280" t="str">
            <v>United States</v>
          </cell>
          <cell r="N280" t="str">
            <v>OHIO</v>
          </cell>
          <cell r="O280" t="str">
            <v>R244047311229905</v>
          </cell>
          <cell r="P280" t="str">
            <v>GPHS65170</v>
          </cell>
          <cell r="Q280" t="str">
            <v>Not Applicable</v>
          </cell>
          <cell r="R280" t="str">
            <v>OHIO</v>
          </cell>
          <cell r="S280" t="str">
            <v>Respimedic</v>
          </cell>
          <cell r="T280" t="str">
            <v>Functioning</v>
          </cell>
          <cell r="U280" t="str">
            <v>Asset</v>
          </cell>
          <cell r="V280">
            <v>920</v>
          </cell>
          <cell r="W280" t="str">
            <v>KEW</v>
          </cell>
          <cell r="X280" t="str">
            <v>01/09/2010</v>
          </cell>
          <cell r="Y280" t="str">
            <v>KEW</v>
          </cell>
          <cell r="Z280" t="str">
            <v>16/08/2013</v>
          </cell>
          <cell r="AA280" t="str">
            <v>15/08/2015</v>
          </cell>
          <cell r="AB280" t="str">
            <v>No</v>
          </cell>
          <cell r="AC280" t="str">
            <v>31/08/2013</v>
          </cell>
          <cell r="AD280" t="str">
            <v>Good</v>
          </cell>
          <cell r="AE280" t="str">
            <v>V4 - Decommissioned Installed Facility</v>
          </cell>
          <cell r="AF280">
            <v>42937</v>
          </cell>
          <cell r="AG280">
            <v>9.17</v>
          </cell>
          <cell r="AH280" t="str">
            <v>RI</v>
          </cell>
          <cell r="AI280" t="str">
            <v>Not in contract</v>
          </cell>
          <cell r="AJ280" t="str">
            <v>Not under maintenance</v>
          </cell>
          <cell r="AK280" t="e">
            <v>#N/A</v>
          </cell>
        </row>
        <row r="281">
          <cell r="A281" t="str">
            <v>IKN401580</v>
          </cell>
          <cell r="B281">
            <v>1519</v>
          </cell>
          <cell r="C281" t="str">
            <v>Institut Kanser Negara</v>
          </cell>
          <cell r="D281" t="str">
            <v>KKM/IKN/I/13/8957</v>
          </cell>
          <cell r="E281" t="str">
            <v>13-325</v>
          </cell>
          <cell r="F281" t="str">
            <v>Regulators, Suction</v>
          </cell>
          <cell r="G281" t="str">
            <v>DO</v>
          </cell>
          <cell r="H281" t="str">
            <v>DAY ONCOLOGY UNIT</v>
          </cell>
          <cell r="I281" t="str">
            <v>04DO118</v>
          </cell>
          <cell r="J281" t="str">
            <v>TREATMENT BAY 1</v>
          </cell>
          <cell r="K281" t="str">
            <v>BMED</v>
          </cell>
          <cell r="L281" t="str">
            <v>Normal</v>
          </cell>
          <cell r="M281" t="str">
            <v>United States</v>
          </cell>
          <cell r="N281" t="str">
            <v>OHIO</v>
          </cell>
          <cell r="O281" t="str">
            <v>R244047311229905</v>
          </cell>
          <cell r="P281" t="str">
            <v>GPHS65126</v>
          </cell>
          <cell r="Q281" t="str">
            <v>Not Applicable</v>
          </cell>
          <cell r="R281" t="str">
            <v>OHIO</v>
          </cell>
          <cell r="S281" t="str">
            <v>Respimedic</v>
          </cell>
          <cell r="T281" t="str">
            <v>Functioning</v>
          </cell>
          <cell r="U281" t="str">
            <v>Asset</v>
          </cell>
          <cell r="V281">
            <v>920</v>
          </cell>
          <cell r="W281" t="str">
            <v>KEW</v>
          </cell>
          <cell r="X281" t="str">
            <v>01/09/2010</v>
          </cell>
          <cell r="Y281" t="str">
            <v>KEW</v>
          </cell>
          <cell r="Z281" t="str">
            <v>16/08/2013</v>
          </cell>
          <cell r="AA281" t="str">
            <v>15/08/2015</v>
          </cell>
          <cell r="AB281" t="str">
            <v>No</v>
          </cell>
          <cell r="AC281" t="str">
            <v>31/08/2013</v>
          </cell>
          <cell r="AD281" t="str">
            <v>Good</v>
          </cell>
          <cell r="AE281" t="str">
            <v>V4 - Decommissioned Installed Facility</v>
          </cell>
          <cell r="AF281">
            <v>42937</v>
          </cell>
          <cell r="AG281">
            <v>9.17</v>
          </cell>
          <cell r="AH281" t="str">
            <v>RI</v>
          </cell>
          <cell r="AI281" t="str">
            <v>Strands</v>
          </cell>
          <cell r="AJ281" t="str">
            <v>Not under maintenance</v>
          </cell>
        </row>
        <row r="282">
          <cell r="A282" t="str">
            <v>IKN401587</v>
          </cell>
          <cell r="B282">
            <v>1521</v>
          </cell>
          <cell r="C282" t="str">
            <v>Institut Kanser Negara</v>
          </cell>
          <cell r="D282" t="str">
            <v>KKM/IKN/I/13/8958</v>
          </cell>
          <cell r="E282" t="str">
            <v>13-325</v>
          </cell>
          <cell r="F282" t="str">
            <v>Regulators, Suction</v>
          </cell>
          <cell r="G282" t="str">
            <v>WC</v>
          </cell>
          <cell r="H282" t="str">
            <v>SURGICAL ONCO FEMALE WARD</v>
          </cell>
          <cell r="I282" t="str">
            <v>06WC123</v>
          </cell>
          <cell r="J282" t="str">
            <v>ISOLATION 2 (-VE)</v>
          </cell>
          <cell r="K282" t="str">
            <v>BMED</v>
          </cell>
          <cell r="L282" t="str">
            <v>Normal</v>
          </cell>
          <cell r="M282" t="str">
            <v>United States</v>
          </cell>
          <cell r="N282" t="str">
            <v>OHIO</v>
          </cell>
          <cell r="O282" t="str">
            <v>R244047311229905</v>
          </cell>
          <cell r="P282" t="str">
            <v>GPHS65102</v>
          </cell>
          <cell r="Q282" t="str">
            <v>Not Applicable</v>
          </cell>
          <cell r="R282" t="str">
            <v>OHIO</v>
          </cell>
          <cell r="S282" t="str">
            <v>Respimedic</v>
          </cell>
          <cell r="T282" t="str">
            <v>Functioning</v>
          </cell>
          <cell r="U282" t="str">
            <v>Asset</v>
          </cell>
          <cell r="V282">
            <v>920</v>
          </cell>
          <cell r="W282" t="str">
            <v>KEW</v>
          </cell>
          <cell r="X282" t="str">
            <v>01/09/2010</v>
          </cell>
          <cell r="Y282" t="str">
            <v>KEW</v>
          </cell>
          <cell r="Z282" t="str">
            <v>16/08/2013</v>
          </cell>
          <cell r="AA282" t="str">
            <v>15/08/2015</v>
          </cell>
          <cell r="AB282" t="str">
            <v>No</v>
          </cell>
          <cell r="AC282" t="str">
            <v>31/08/2013</v>
          </cell>
          <cell r="AD282" t="str">
            <v>Good</v>
          </cell>
          <cell r="AE282" t="str">
            <v>V4 - Decommissioned Installed Facility</v>
          </cell>
          <cell r="AF282">
            <v>42926</v>
          </cell>
          <cell r="AG282">
            <v>9.17</v>
          </cell>
          <cell r="AH282" t="str">
            <v>RI</v>
          </cell>
          <cell r="AI282" t="str">
            <v>Strands</v>
          </cell>
          <cell r="AJ282" t="str">
            <v>Not under maintenance</v>
          </cell>
        </row>
        <row r="283">
          <cell r="A283" t="str">
            <v>IKN401588</v>
          </cell>
          <cell r="B283">
            <v>1522</v>
          </cell>
          <cell r="C283" t="str">
            <v>Institut Kanser Negara</v>
          </cell>
          <cell r="D283" t="str">
            <v>KKM/IKN/I/13/8954</v>
          </cell>
          <cell r="E283" t="str">
            <v>13-325</v>
          </cell>
          <cell r="F283" t="str">
            <v>Regulators, Suction</v>
          </cell>
          <cell r="G283" t="str">
            <v>WC</v>
          </cell>
          <cell r="H283" t="str">
            <v>SURGICAL ONCO FEMALE WARD</v>
          </cell>
          <cell r="I283" t="str">
            <v>06WC113</v>
          </cell>
          <cell r="J283" t="str">
            <v>EQUIPMENT ROOM</v>
          </cell>
          <cell r="K283" t="str">
            <v>BMED</v>
          </cell>
          <cell r="L283" t="str">
            <v>Normal</v>
          </cell>
          <cell r="M283" t="str">
            <v>United States</v>
          </cell>
          <cell r="N283" t="str">
            <v>OHIO</v>
          </cell>
          <cell r="O283" t="str">
            <v>R244047311229905</v>
          </cell>
          <cell r="P283" t="str">
            <v>GPHS65131</v>
          </cell>
          <cell r="Q283" t="str">
            <v>Not Applicable</v>
          </cell>
          <cell r="R283" t="str">
            <v>OHIO</v>
          </cell>
          <cell r="S283" t="str">
            <v>Respimedic</v>
          </cell>
          <cell r="T283" t="str">
            <v>Functioning</v>
          </cell>
          <cell r="U283" t="str">
            <v>Asset</v>
          </cell>
          <cell r="V283">
            <v>920</v>
          </cell>
          <cell r="W283" t="str">
            <v>KEW</v>
          </cell>
          <cell r="X283" t="str">
            <v>01/09/2010</v>
          </cell>
          <cell r="Y283" t="str">
            <v>KEW</v>
          </cell>
          <cell r="Z283" t="str">
            <v>16/08/2013</v>
          </cell>
          <cell r="AA283" t="str">
            <v>15/08/2015</v>
          </cell>
          <cell r="AB283" t="str">
            <v>No</v>
          </cell>
          <cell r="AC283" t="str">
            <v>31/08/2013</v>
          </cell>
          <cell r="AD283" t="str">
            <v>Good</v>
          </cell>
          <cell r="AE283" t="str">
            <v>V4 - Decommissioned Installed Facility</v>
          </cell>
          <cell r="AF283">
            <v>42926</v>
          </cell>
          <cell r="AG283">
            <v>9.17</v>
          </cell>
          <cell r="AH283" t="str">
            <v>RI</v>
          </cell>
          <cell r="AI283" t="str">
            <v>Strands</v>
          </cell>
          <cell r="AJ283" t="str">
            <v>Not under maintenance</v>
          </cell>
        </row>
        <row r="284">
          <cell r="A284" t="str">
            <v>IKN401589</v>
          </cell>
          <cell r="B284">
            <v>1523</v>
          </cell>
          <cell r="C284" t="str">
            <v>Institut Kanser Negara</v>
          </cell>
          <cell r="D284" t="str">
            <v>KKM/IKN/I/13/8956</v>
          </cell>
          <cell r="E284" t="str">
            <v>13-325</v>
          </cell>
          <cell r="F284" t="str">
            <v>Regulators, Suction</v>
          </cell>
          <cell r="G284" t="str">
            <v>WC</v>
          </cell>
          <cell r="H284" t="str">
            <v>SURGICAL ONCO FEMALE WARD</v>
          </cell>
          <cell r="I284" t="str">
            <v>06WC113</v>
          </cell>
          <cell r="J284" t="str">
            <v>EQUIPMENT ROOM</v>
          </cell>
          <cell r="K284" t="str">
            <v>BMED</v>
          </cell>
          <cell r="L284" t="str">
            <v>Normal</v>
          </cell>
          <cell r="M284" t="str">
            <v>United States</v>
          </cell>
          <cell r="N284" t="str">
            <v>OHIO</v>
          </cell>
          <cell r="O284" t="str">
            <v>R244047311229905</v>
          </cell>
          <cell r="P284" t="str">
            <v>GPHS65127</v>
          </cell>
          <cell r="Q284" t="str">
            <v>Not Applicable</v>
          </cell>
          <cell r="R284" t="str">
            <v>OHIO</v>
          </cell>
          <cell r="S284" t="str">
            <v>Respimedic</v>
          </cell>
          <cell r="T284" t="str">
            <v>Functioning</v>
          </cell>
          <cell r="U284" t="str">
            <v>Asset</v>
          </cell>
          <cell r="V284">
            <v>920</v>
          </cell>
          <cell r="W284" t="str">
            <v>KEW</v>
          </cell>
          <cell r="X284" t="str">
            <v>01/09/2010</v>
          </cell>
          <cell r="Y284" t="str">
            <v>KEW</v>
          </cell>
          <cell r="Z284" t="str">
            <v>16/08/2013</v>
          </cell>
          <cell r="AA284" t="str">
            <v>15/08/2015</v>
          </cell>
          <cell r="AB284" t="str">
            <v>No</v>
          </cell>
          <cell r="AC284" t="str">
            <v>31/08/2013</v>
          </cell>
          <cell r="AD284" t="str">
            <v>Good</v>
          </cell>
          <cell r="AE284" t="str">
            <v>V4 - Decommissioned Installed Facility</v>
          </cell>
          <cell r="AF284">
            <v>42926</v>
          </cell>
          <cell r="AG284">
            <v>9.17</v>
          </cell>
          <cell r="AH284" t="str">
            <v>RI</v>
          </cell>
          <cell r="AI284" t="str">
            <v>Strands</v>
          </cell>
          <cell r="AJ284" t="str">
            <v>Not under maintenance</v>
          </cell>
        </row>
        <row r="285">
          <cell r="A285" t="str">
            <v>IKN401590</v>
          </cell>
          <cell r="B285">
            <v>1524</v>
          </cell>
          <cell r="C285" t="str">
            <v>Institut Kanser Negara</v>
          </cell>
          <cell r="D285" t="str">
            <v>KKM/IKN/I/13/8951</v>
          </cell>
          <cell r="E285" t="str">
            <v>13-325</v>
          </cell>
          <cell r="F285" t="str">
            <v>Regulators, Suction</v>
          </cell>
          <cell r="G285" t="str">
            <v>WC</v>
          </cell>
          <cell r="H285" t="str">
            <v>SURGICAL ONCO FEMALE WARD</v>
          </cell>
          <cell r="I285" t="str">
            <v>06WC113</v>
          </cell>
          <cell r="J285" t="str">
            <v>EQUIPMENT ROOM</v>
          </cell>
          <cell r="K285" t="str">
            <v>BMED</v>
          </cell>
          <cell r="L285" t="str">
            <v>Normal</v>
          </cell>
          <cell r="M285" t="str">
            <v>United States</v>
          </cell>
          <cell r="N285" t="str">
            <v>OHIO</v>
          </cell>
          <cell r="O285" t="str">
            <v>R244047311229905</v>
          </cell>
          <cell r="P285" t="str">
            <v>GPHS65132</v>
          </cell>
          <cell r="Q285" t="str">
            <v>Not Applicable</v>
          </cell>
          <cell r="R285" t="str">
            <v>OHIO</v>
          </cell>
          <cell r="S285" t="str">
            <v>Respimedic</v>
          </cell>
          <cell r="T285" t="str">
            <v>Functioning</v>
          </cell>
          <cell r="U285" t="str">
            <v>Asset</v>
          </cell>
          <cell r="V285">
            <v>920</v>
          </cell>
          <cell r="W285" t="str">
            <v>KEW</v>
          </cell>
          <cell r="X285" t="str">
            <v>01/09/2010</v>
          </cell>
          <cell r="Y285" t="str">
            <v>KEW</v>
          </cell>
          <cell r="Z285" t="str">
            <v>16/08/2013</v>
          </cell>
          <cell r="AA285" t="str">
            <v>15/08/2015</v>
          </cell>
          <cell r="AB285" t="str">
            <v>No</v>
          </cell>
          <cell r="AC285" t="str">
            <v>31/08/2013</v>
          </cell>
          <cell r="AD285" t="str">
            <v>Good</v>
          </cell>
          <cell r="AE285" t="str">
            <v>V4 - Decommissioned Installed Facility</v>
          </cell>
          <cell r="AF285">
            <v>42926</v>
          </cell>
          <cell r="AG285">
            <v>9.17</v>
          </cell>
          <cell r="AH285" t="str">
            <v>RI</v>
          </cell>
          <cell r="AI285" t="str">
            <v>Strands</v>
          </cell>
          <cell r="AJ285" t="str">
            <v>Not under maintenance</v>
          </cell>
        </row>
        <row r="286">
          <cell r="A286" t="str">
            <v>IKN401591</v>
          </cell>
          <cell r="B286">
            <v>1525</v>
          </cell>
          <cell r="C286" t="str">
            <v>Institut Kanser Negara</v>
          </cell>
          <cell r="D286" t="e">
            <v>#N/A</v>
          </cell>
          <cell r="E286" t="str">
            <v>13-325</v>
          </cell>
          <cell r="F286" t="str">
            <v>Regulators, Suction</v>
          </cell>
          <cell r="G286" t="str">
            <v>WC</v>
          </cell>
          <cell r="H286" t="str">
            <v>SURGICAL ONCO FEMALE WARD</v>
          </cell>
          <cell r="I286" t="str">
            <v>06WC120</v>
          </cell>
          <cell r="J286" t="str">
            <v>ISOLATION 1</v>
          </cell>
          <cell r="K286" t="str">
            <v>BMED</v>
          </cell>
          <cell r="L286" t="str">
            <v>Normal</v>
          </cell>
          <cell r="M286" t="str">
            <v>United States</v>
          </cell>
          <cell r="N286" t="str">
            <v>OHIO</v>
          </cell>
          <cell r="O286" t="str">
            <v>R244047311229905</v>
          </cell>
          <cell r="P286" t="str">
            <v>GPHS65152</v>
          </cell>
          <cell r="Q286" t="str">
            <v>Not Applicable</v>
          </cell>
          <cell r="R286" t="str">
            <v>OHIO</v>
          </cell>
          <cell r="S286" t="str">
            <v>Respimedic</v>
          </cell>
          <cell r="T286" t="str">
            <v>Functioning</v>
          </cell>
          <cell r="U286" t="str">
            <v>Asset</v>
          </cell>
          <cell r="V286">
            <v>920</v>
          </cell>
          <cell r="W286" t="str">
            <v>KEW</v>
          </cell>
          <cell r="X286" t="str">
            <v>01/09/2010</v>
          </cell>
          <cell r="Y286" t="str">
            <v>KEW</v>
          </cell>
          <cell r="Z286" t="str">
            <v>16/08/2013</v>
          </cell>
          <cell r="AA286" t="str">
            <v>15/08/2015</v>
          </cell>
          <cell r="AB286" t="str">
            <v>No</v>
          </cell>
          <cell r="AC286" t="str">
            <v>31/08/2013</v>
          </cell>
          <cell r="AD286" t="str">
            <v>Good</v>
          </cell>
          <cell r="AE286" t="str">
            <v>V4 - Decommissioned Installed Facility</v>
          </cell>
          <cell r="AF286">
            <v>42922</v>
          </cell>
          <cell r="AG286">
            <v>9.17</v>
          </cell>
          <cell r="AH286" t="str">
            <v>RI</v>
          </cell>
          <cell r="AI286" t="str">
            <v>Not in contract</v>
          </cell>
          <cell r="AJ286" t="str">
            <v>Not under maintenance</v>
          </cell>
          <cell r="AK286" t="e">
            <v>#N/A</v>
          </cell>
        </row>
        <row r="287">
          <cell r="A287" t="str">
            <v>IKN401592</v>
          </cell>
          <cell r="B287">
            <v>1526</v>
          </cell>
          <cell r="C287" t="str">
            <v>Institut Kanser Negara</v>
          </cell>
          <cell r="D287" t="e">
            <v>#N/A</v>
          </cell>
          <cell r="E287" t="str">
            <v>13-325</v>
          </cell>
          <cell r="F287" t="str">
            <v>Regulators, Suction</v>
          </cell>
          <cell r="G287" t="str">
            <v>WC</v>
          </cell>
          <cell r="H287" t="str">
            <v>SURGICAL ONCO FEMALE WARD</v>
          </cell>
          <cell r="I287" t="str">
            <v>06WC120</v>
          </cell>
          <cell r="J287" t="str">
            <v>ISOLATION 1</v>
          </cell>
          <cell r="K287" t="str">
            <v>BMED</v>
          </cell>
          <cell r="L287" t="str">
            <v>Normal</v>
          </cell>
          <cell r="M287" t="str">
            <v>United States</v>
          </cell>
          <cell r="N287" t="str">
            <v>OHIO</v>
          </cell>
          <cell r="O287" t="str">
            <v>R244047311229905</v>
          </cell>
          <cell r="P287" t="str">
            <v>GPHS65077</v>
          </cell>
          <cell r="Q287" t="str">
            <v>Not Applicable</v>
          </cell>
          <cell r="R287" t="str">
            <v>OHIO</v>
          </cell>
          <cell r="S287" t="str">
            <v>Respimedic</v>
          </cell>
          <cell r="T287" t="str">
            <v>Functioning</v>
          </cell>
          <cell r="U287" t="str">
            <v>Asset</v>
          </cell>
          <cell r="V287">
            <v>920</v>
          </cell>
          <cell r="W287" t="str">
            <v>KEW</v>
          </cell>
          <cell r="X287" t="str">
            <v>01/09/2010</v>
          </cell>
          <cell r="Y287" t="str">
            <v>KEW</v>
          </cell>
          <cell r="Z287" t="str">
            <v>16/08/2013</v>
          </cell>
          <cell r="AA287" t="str">
            <v>15/08/2015</v>
          </cell>
          <cell r="AB287" t="str">
            <v>No</v>
          </cell>
          <cell r="AC287" t="str">
            <v>31/08/2013</v>
          </cell>
          <cell r="AD287" t="str">
            <v>Good</v>
          </cell>
          <cell r="AE287" t="str">
            <v>V4 - Decommissioned Installed Facility</v>
          </cell>
          <cell r="AF287">
            <v>42926</v>
          </cell>
          <cell r="AG287">
            <v>9.17</v>
          </cell>
          <cell r="AH287" t="str">
            <v>RI</v>
          </cell>
          <cell r="AI287" t="str">
            <v>Not in contract</v>
          </cell>
          <cell r="AJ287" t="str">
            <v>Not under maintenance</v>
          </cell>
          <cell r="AK287" t="e">
            <v>#N/A</v>
          </cell>
        </row>
        <row r="288">
          <cell r="A288" t="str">
            <v>IKN401593</v>
          </cell>
          <cell r="B288">
            <v>1527</v>
          </cell>
          <cell r="C288" t="str">
            <v>Institut Kanser Negara</v>
          </cell>
          <cell r="D288" t="str">
            <v>KKM/IKN/H/13/1492</v>
          </cell>
          <cell r="E288" t="str">
            <v>13-325</v>
          </cell>
          <cell r="F288" t="str">
            <v>Regulators, Suction</v>
          </cell>
          <cell r="G288" t="str">
            <v>WD</v>
          </cell>
          <cell r="H288" t="str">
            <v>RT/ONCO PAED/ADOLESCENT WARD</v>
          </cell>
          <cell r="I288" t="str">
            <v>06WD153</v>
          </cell>
          <cell r="J288" t="str">
            <v>EQP.ROOM</v>
          </cell>
          <cell r="K288" t="str">
            <v>BMED</v>
          </cell>
          <cell r="L288" t="str">
            <v>Normal</v>
          </cell>
          <cell r="M288" t="str">
            <v>United States</v>
          </cell>
          <cell r="N288" t="str">
            <v>OHIO</v>
          </cell>
          <cell r="O288" t="str">
            <v>R244047311229905</v>
          </cell>
          <cell r="P288" t="str">
            <v>GPHS65004</v>
          </cell>
          <cell r="Q288" t="str">
            <v>Not Applicable</v>
          </cell>
          <cell r="R288" t="str">
            <v>OHIO</v>
          </cell>
          <cell r="S288" t="str">
            <v>Respimedic</v>
          </cell>
          <cell r="T288" t="str">
            <v>Functioning</v>
          </cell>
          <cell r="U288" t="str">
            <v>Asset</v>
          </cell>
          <cell r="V288">
            <v>920</v>
          </cell>
          <cell r="W288" t="str">
            <v>KEW</v>
          </cell>
          <cell r="X288" t="str">
            <v>01/09/2010</v>
          </cell>
          <cell r="Y288" t="str">
            <v>KEW</v>
          </cell>
          <cell r="Z288" t="str">
            <v>16/08/2013</v>
          </cell>
          <cell r="AA288" t="str">
            <v>15/08/2015</v>
          </cell>
          <cell r="AB288" t="str">
            <v>No</v>
          </cell>
          <cell r="AC288" t="str">
            <v>31/08/2013</v>
          </cell>
          <cell r="AD288" t="str">
            <v>Good</v>
          </cell>
          <cell r="AE288" t="str">
            <v>V4 - Decommissioned Installed Facility</v>
          </cell>
          <cell r="AF288">
            <v>42927</v>
          </cell>
          <cell r="AG288">
            <v>9.17</v>
          </cell>
          <cell r="AH288" t="str">
            <v>RI</v>
          </cell>
          <cell r="AI288" t="str">
            <v>Strands</v>
          </cell>
          <cell r="AJ288" t="str">
            <v>Not under maintenance</v>
          </cell>
        </row>
        <row r="289">
          <cell r="A289" t="str">
            <v>IKN401594</v>
          </cell>
          <cell r="B289">
            <v>1528</v>
          </cell>
          <cell r="C289" t="str">
            <v>Institut Kanser Negara</v>
          </cell>
          <cell r="D289" t="str">
            <v>KKM/IKN/H/13/1487</v>
          </cell>
          <cell r="E289" t="str">
            <v>13-325</v>
          </cell>
          <cell r="F289" t="str">
            <v>Regulators, Suction</v>
          </cell>
          <cell r="G289" t="str">
            <v>WD</v>
          </cell>
          <cell r="H289" t="str">
            <v>RT/ONCO PAED/ADOLESCENT WARD</v>
          </cell>
          <cell r="I289" t="str">
            <v>06WD111</v>
          </cell>
          <cell r="J289" t="str">
            <v>ISOLATION 1 (+VE)</v>
          </cell>
          <cell r="K289" t="str">
            <v>BMED</v>
          </cell>
          <cell r="L289" t="str">
            <v>Normal</v>
          </cell>
          <cell r="M289" t="str">
            <v>United States</v>
          </cell>
          <cell r="N289" t="str">
            <v>OHIO</v>
          </cell>
          <cell r="O289" t="str">
            <v>R244047311229905</v>
          </cell>
          <cell r="P289" t="str">
            <v>GPHS65058</v>
          </cell>
          <cell r="Q289" t="str">
            <v>Not Applicable</v>
          </cell>
          <cell r="R289" t="str">
            <v>OHIO</v>
          </cell>
          <cell r="S289" t="str">
            <v>Respimedic</v>
          </cell>
          <cell r="T289" t="str">
            <v>Functioning</v>
          </cell>
          <cell r="U289" t="str">
            <v>Asset</v>
          </cell>
          <cell r="V289">
            <v>920</v>
          </cell>
          <cell r="W289" t="str">
            <v>KEW</v>
          </cell>
          <cell r="X289" t="str">
            <v>01/09/2010</v>
          </cell>
          <cell r="Y289" t="str">
            <v>KEW</v>
          </cell>
          <cell r="Z289" t="str">
            <v>16/08/2013</v>
          </cell>
          <cell r="AA289" t="str">
            <v>15/08/2015</v>
          </cell>
          <cell r="AB289" t="str">
            <v>No</v>
          </cell>
          <cell r="AC289" t="str">
            <v>31/08/2013</v>
          </cell>
          <cell r="AD289" t="str">
            <v>Good</v>
          </cell>
          <cell r="AE289" t="str">
            <v>V4 - Decommissioned Installed Facility</v>
          </cell>
          <cell r="AF289">
            <v>42927</v>
          </cell>
          <cell r="AG289">
            <v>9.17</v>
          </cell>
          <cell r="AH289" t="str">
            <v>RI</v>
          </cell>
          <cell r="AI289" t="str">
            <v>Strands</v>
          </cell>
          <cell r="AJ289" t="str">
            <v>Not under maintenance</v>
          </cell>
        </row>
        <row r="290">
          <cell r="A290" t="str">
            <v>IKN401595</v>
          </cell>
          <cell r="B290">
            <v>1529</v>
          </cell>
          <cell r="C290" t="str">
            <v>Institut Kanser Negara</v>
          </cell>
          <cell r="D290" t="str">
            <v>KKM/IKN/H/13/1486</v>
          </cell>
          <cell r="E290" t="str">
            <v>13-325</v>
          </cell>
          <cell r="F290" t="str">
            <v>Regulators, Suction</v>
          </cell>
          <cell r="G290" t="str">
            <v>WD</v>
          </cell>
          <cell r="H290" t="str">
            <v>RT/ONCO PAED/ADOLESCENT WARD</v>
          </cell>
          <cell r="I290" t="str">
            <v>06WD153</v>
          </cell>
          <cell r="J290" t="str">
            <v>EQP.ROOM</v>
          </cell>
          <cell r="K290" t="str">
            <v>BMED</v>
          </cell>
          <cell r="L290" t="str">
            <v>Normal</v>
          </cell>
          <cell r="M290" t="str">
            <v>United States</v>
          </cell>
          <cell r="N290" t="str">
            <v>OHIO</v>
          </cell>
          <cell r="O290" t="str">
            <v>R244047311229905</v>
          </cell>
          <cell r="P290" t="str">
            <v>GPHS65006</v>
          </cell>
          <cell r="Q290" t="str">
            <v>Not Applicable</v>
          </cell>
          <cell r="R290" t="str">
            <v>OHIO</v>
          </cell>
          <cell r="S290" t="str">
            <v>Respimedic</v>
          </cell>
          <cell r="T290" t="str">
            <v>Functioning</v>
          </cell>
          <cell r="U290" t="str">
            <v>Asset</v>
          </cell>
          <cell r="V290">
            <v>920</v>
          </cell>
          <cell r="W290" t="str">
            <v>KEW</v>
          </cell>
          <cell r="X290" t="str">
            <v>01/09/2010</v>
          </cell>
          <cell r="Y290" t="str">
            <v>KEW</v>
          </cell>
          <cell r="Z290" t="str">
            <v>16/08/2013</v>
          </cell>
          <cell r="AA290" t="str">
            <v>15/08/2015</v>
          </cell>
          <cell r="AB290" t="str">
            <v>No</v>
          </cell>
          <cell r="AC290" t="str">
            <v>31/08/2013</v>
          </cell>
          <cell r="AD290" t="str">
            <v>Good</v>
          </cell>
          <cell r="AE290" t="str">
            <v>V4 - Decommissioned Installed Facility</v>
          </cell>
          <cell r="AF290">
            <v>42926</v>
          </cell>
          <cell r="AG290">
            <v>9.17</v>
          </cell>
          <cell r="AH290" t="str">
            <v>RI</v>
          </cell>
          <cell r="AI290" t="str">
            <v>Strands</v>
          </cell>
          <cell r="AJ290" t="str">
            <v>Not under maintenance</v>
          </cell>
        </row>
        <row r="291">
          <cell r="A291" t="str">
            <v>IKN401596</v>
          </cell>
          <cell r="B291">
            <v>1530</v>
          </cell>
          <cell r="C291" t="str">
            <v>Institut Kanser Negara</v>
          </cell>
          <cell r="D291" t="str">
            <v>KKM/IKN/H/13/1483</v>
          </cell>
          <cell r="E291" t="str">
            <v>13-325</v>
          </cell>
          <cell r="F291" t="str">
            <v>Regulators, Suction</v>
          </cell>
          <cell r="G291" t="str">
            <v>WD</v>
          </cell>
          <cell r="H291" t="str">
            <v>RT/ONCO PAED/ADOLESCENT WARD</v>
          </cell>
          <cell r="I291" t="str">
            <v>06WD153</v>
          </cell>
          <cell r="J291" t="str">
            <v>EQP.ROOM</v>
          </cell>
          <cell r="K291" t="str">
            <v>BMED</v>
          </cell>
          <cell r="L291" t="str">
            <v>Normal</v>
          </cell>
          <cell r="M291" t="str">
            <v>United States</v>
          </cell>
          <cell r="N291" t="str">
            <v>OHIO</v>
          </cell>
          <cell r="O291" t="str">
            <v>R244047311229905</v>
          </cell>
          <cell r="P291" t="str">
            <v>GPHS65003</v>
          </cell>
          <cell r="Q291" t="str">
            <v>Not Applicable</v>
          </cell>
          <cell r="R291" t="str">
            <v>OHIO</v>
          </cell>
          <cell r="S291" t="str">
            <v>Respimedic</v>
          </cell>
          <cell r="T291" t="str">
            <v>Functioning</v>
          </cell>
          <cell r="U291" t="str">
            <v>Asset</v>
          </cell>
          <cell r="V291">
            <v>920</v>
          </cell>
          <cell r="W291" t="str">
            <v>KEW</v>
          </cell>
          <cell r="X291" t="str">
            <v>01/09/2010</v>
          </cell>
          <cell r="Y291" t="str">
            <v>KEW</v>
          </cell>
          <cell r="Z291" t="str">
            <v>16/08/2013</v>
          </cell>
          <cell r="AA291" t="str">
            <v>15/08/2015</v>
          </cell>
          <cell r="AB291" t="str">
            <v>No</v>
          </cell>
          <cell r="AC291" t="str">
            <v>31/08/2013</v>
          </cell>
          <cell r="AD291" t="str">
            <v>Good</v>
          </cell>
          <cell r="AE291" t="str">
            <v>V4 - Decommissioned Installed Facility</v>
          </cell>
          <cell r="AF291">
            <v>42926</v>
          </cell>
          <cell r="AG291">
            <v>9.17</v>
          </cell>
          <cell r="AH291" t="str">
            <v>RI</v>
          </cell>
          <cell r="AI291" t="str">
            <v>Strands</v>
          </cell>
          <cell r="AJ291" t="str">
            <v>Not under maintenance</v>
          </cell>
        </row>
        <row r="292">
          <cell r="A292" t="str">
            <v>IKN401597</v>
          </cell>
          <cell r="B292">
            <v>1531</v>
          </cell>
          <cell r="C292" t="str">
            <v>Institut Kanser Negara</v>
          </cell>
          <cell r="D292" t="str">
            <v>KKM/IKN/H/13/1485</v>
          </cell>
          <cell r="E292" t="str">
            <v>13-325</v>
          </cell>
          <cell r="F292" t="str">
            <v>Regulators, Suction</v>
          </cell>
          <cell r="G292" t="str">
            <v>WD</v>
          </cell>
          <cell r="H292" t="str">
            <v>RT/ONCO PAED/ADOLESCENT WARD</v>
          </cell>
          <cell r="I292" t="str">
            <v>06WD120</v>
          </cell>
          <cell r="J292" t="str">
            <v>ISOLATION 4 (-VE)</v>
          </cell>
          <cell r="K292" t="str">
            <v>BMED</v>
          </cell>
          <cell r="L292" t="str">
            <v>Normal</v>
          </cell>
          <cell r="M292" t="str">
            <v>United States</v>
          </cell>
          <cell r="N292" t="str">
            <v>OHIO</v>
          </cell>
          <cell r="O292" t="str">
            <v>R244047311229905</v>
          </cell>
          <cell r="P292" t="str">
            <v>GPHS65008</v>
          </cell>
          <cell r="Q292" t="str">
            <v>Not Applicable</v>
          </cell>
          <cell r="R292" t="str">
            <v>OHIO</v>
          </cell>
          <cell r="S292" t="str">
            <v>Respimedic</v>
          </cell>
          <cell r="T292" t="str">
            <v>Functioning</v>
          </cell>
          <cell r="U292" t="str">
            <v>Asset</v>
          </cell>
          <cell r="V292">
            <v>920</v>
          </cell>
          <cell r="W292" t="str">
            <v>KEW</v>
          </cell>
          <cell r="X292" t="str">
            <v>01/09/2010</v>
          </cell>
          <cell r="Y292" t="str">
            <v>KEW</v>
          </cell>
          <cell r="Z292" t="str">
            <v>16/08/2013</v>
          </cell>
          <cell r="AA292" t="str">
            <v>15/08/2015</v>
          </cell>
          <cell r="AB292" t="str">
            <v>No</v>
          </cell>
          <cell r="AC292" t="str">
            <v>31/08/2013</v>
          </cell>
          <cell r="AD292" t="str">
            <v>Good</v>
          </cell>
          <cell r="AE292" t="str">
            <v>V4 - Decommissioned Installed Facility</v>
          </cell>
          <cell r="AF292">
            <v>42926</v>
          </cell>
          <cell r="AG292">
            <v>9.17</v>
          </cell>
          <cell r="AH292" t="str">
            <v>RI</v>
          </cell>
          <cell r="AI292" t="str">
            <v>Strands</v>
          </cell>
          <cell r="AJ292" t="str">
            <v>Not under maintenance</v>
          </cell>
        </row>
        <row r="293">
          <cell r="A293" t="str">
            <v>IKN401598</v>
          </cell>
          <cell r="B293">
            <v>1532</v>
          </cell>
          <cell r="C293" t="str">
            <v>Institut Kanser Negara</v>
          </cell>
          <cell r="D293" t="str">
            <v>KKM/IKN/H/13/1490</v>
          </cell>
          <cell r="E293" t="str">
            <v>13-325</v>
          </cell>
          <cell r="F293" t="str">
            <v>Regulators, Suction</v>
          </cell>
          <cell r="G293" t="str">
            <v>WD</v>
          </cell>
          <cell r="H293" t="str">
            <v>RT/ONCO PAED/ADOLESCENT WARD</v>
          </cell>
          <cell r="I293" t="str">
            <v>06WD114</v>
          </cell>
          <cell r="J293" t="str">
            <v>ISOLATION 2 (+VE)</v>
          </cell>
          <cell r="K293" t="str">
            <v>BMED</v>
          </cell>
          <cell r="L293" t="str">
            <v>Normal</v>
          </cell>
          <cell r="M293" t="str">
            <v>United States</v>
          </cell>
          <cell r="N293" t="str">
            <v>OHIO</v>
          </cell>
          <cell r="O293" t="str">
            <v>R244047311229905</v>
          </cell>
          <cell r="P293" t="str">
            <v>GPHS65056</v>
          </cell>
          <cell r="Q293" t="str">
            <v>Not Applicable</v>
          </cell>
          <cell r="R293" t="str">
            <v>OHIO</v>
          </cell>
          <cell r="S293" t="str">
            <v>Respimedic</v>
          </cell>
          <cell r="T293" t="str">
            <v>Functioning</v>
          </cell>
          <cell r="U293" t="str">
            <v>Asset</v>
          </cell>
          <cell r="V293">
            <v>920</v>
          </cell>
          <cell r="W293" t="str">
            <v>KEW</v>
          </cell>
          <cell r="X293" t="str">
            <v>01/09/2010</v>
          </cell>
          <cell r="Y293" t="str">
            <v>KEW</v>
          </cell>
          <cell r="Z293" t="str">
            <v>16/08/2013</v>
          </cell>
          <cell r="AA293" t="str">
            <v>15/08/2015</v>
          </cell>
          <cell r="AB293" t="str">
            <v>No</v>
          </cell>
          <cell r="AC293" t="str">
            <v>31/08/2013</v>
          </cell>
          <cell r="AD293" t="str">
            <v>Good</v>
          </cell>
          <cell r="AE293" t="str">
            <v>V4 - Decommissioned Installed Facility</v>
          </cell>
          <cell r="AF293">
            <v>42926</v>
          </cell>
          <cell r="AG293">
            <v>9.17</v>
          </cell>
          <cell r="AH293" t="str">
            <v>RI</v>
          </cell>
          <cell r="AI293" t="str">
            <v>Strands</v>
          </cell>
          <cell r="AJ293" t="str">
            <v>Not under maintenance</v>
          </cell>
        </row>
        <row r="294">
          <cell r="A294" t="str">
            <v>IKN401599</v>
          </cell>
          <cell r="B294">
            <v>1533</v>
          </cell>
          <cell r="C294" t="str">
            <v>Institut Kanser Negara</v>
          </cell>
          <cell r="D294" t="str">
            <v>KKM/IKN/H/13/1484</v>
          </cell>
          <cell r="E294" t="str">
            <v>13-325</v>
          </cell>
          <cell r="F294" t="str">
            <v>Regulators, Suction</v>
          </cell>
          <cell r="G294" t="str">
            <v>WD</v>
          </cell>
          <cell r="H294" t="str">
            <v>RT/ONCO PAED/ADOLESCENT WARD</v>
          </cell>
          <cell r="I294" t="str">
            <v>06WD119</v>
          </cell>
          <cell r="J294" t="str">
            <v>ISOLATION 3(-VE)</v>
          </cell>
          <cell r="K294" t="str">
            <v>BMED</v>
          </cell>
          <cell r="L294" t="str">
            <v>Normal</v>
          </cell>
          <cell r="M294" t="str">
            <v>United States</v>
          </cell>
          <cell r="N294" t="str">
            <v>OHIO</v>
          </cell>
          <cell r="O294" t="str">
            <v>R244047311229905</v>
          </cell>
          <cell r="P294" t="str">
            <v>GPHS65055</v>
          </cell>
          <cell r="Q294" t="str">
            <v>Not Applicable</v>
          </cell>
          <cell r="R294" t="str">
            <v>OHIO</v>
          </cell>
          <cell r="S294" t="str">
            <v>Respimedic</v>
          </cell>
          <cell r="T294" t="str">
            <v>Functioning</v>
          </cell>
          <cell r="U294" t="str">
            <v>Asset</v>
          </cell>
          <cell r="V294">
            <v>920</v>
          </cell>
          <cell r="W294" t="str">
            <v>KEW</v>
          </cell>
          <cell r="X294" t="str">
            <v>01/09/2010</v>
          </cell>
          <cell r="Y294" t="str">
            <v>KEW</v>
          </cell>
          <cell r="Z294" t="str">
            <v>16/08/2013</v>
          </cell>
          <cell r="AA294" t="str">
            <v>15/08/2015</v>
          </cell>
          <cell r="AB294" t="str">
            <v>No</v>
          </cell>
          <cell r="AC294" t="str">
            <v>31/08/2013</v>
          </cell>
          <cell r="AD294" t="str">
            <v>Good</v>
          </cell>
          <cell r="AE294" t="str">
            <v>V4 - Decommissioned Installed Facility</v>
          </cell>
          <cell r="AF294">
            <v>42926</v>
          </cell>
          <cell r="AG294">
            <v>9.17</v>
          </cell>
          <cell r="AH294" t="str">
            <v>RI</v>
          </cell>
          <cell r="AI294" t="str">
            <v>Strands</v>
          </cell>
          <cell r="AJ294" t="str">
            <v>Not under maintenance</v>
          </cell>
        </row>
        <row r="295">
          <cell r="A295" t="str">
            <v>IKN401600</v>
          </cell>
          <cell r="B295">
            <v>1534</v>
          </cell>
          <cell r="C295" t="str">
            <v>Institut Kanser Negara</v>
          </cell>
          <cell r="D295" t="str">
            <v>KKM/IKN/H/13/1489</v>
          </cell>
          <cell r="E295" t="str">
            <v>13-325</v>
          </cell>
          <cell r="F295" t="str">
            <v>Regulators, Suction</v>
          </cell>
          <cell r="G295" t="str">
            <v>WD</v>
          </cell>
          <cell r="H295" t="str">
            <v>RT/ONCO PAED/ADOLESCENT WARD</v>
          </cell>
          <cell r="I295" t="str">
            <v>06WD153</v>
          </cell>
          <cell r="J295" t="str">
            <v>EQP.ROOM</v>
          </cell>
          <cell r="K295" t="str">
            <v>BMED</v>
          </cell>
          <cell r="L295" t="str">
            <v>Normal</v>
          </cell>
          <cell r="M295" t="str">
            <v>United States</v>
          </cell>
          <cell r="N295" t="str">
            <v>OHIO</v>
          </cell>
          <cell r="O295" t="str">
            <v>R244047311229905</v>
          </cell>
          <cell r="P295" t="str">
            <v>GPHS65005</v>
          </cell>
          <cell r="Q295" t="str">
            <v>Not Applicable</v>
          </cell>
          <cell r="R295" t="str">
            <v>OHIO</v>
          </cell>
          <cell r="S295" t="str">
            <v>Respimedic</v>
          </cell>
          <cell r="T295" t="str">
            <v>Functioning</v>
          </cell>
          <cell r="U295" t="str">
            <v>Asset</v>
          </cell>
          <cell r="V295">
            <v>920</v>
          </cell>
          <cell r="W295" t="str">
            <v>KEW</v>
          </cell>
          <cell r="X295" t="str">
            <v>01/09/2010</v>
          </cell>
          <cell r="Y295" t="str">
            <v>KEW</v>
          </cell>
          <cell r="Z295" t="str">
            <v>16/08/2013</v>
          </cell>
          <cell r="AA295" t="str">
            <v>15/08/2015</v>
          </cell>
          <cell r="AB295" t="str">
            <v>No</v>
          </cell>
          <cell r="AC295" t="str">
            <v>31/08/2013</v>
          </cell>
          <cell r="AD295" t="str">
            <v>Good</v>
          </cell>
          <cell r="AE295" t="str">
            <v>V4 - Decommissioned Installed Facility</v>
          </cell>
          <cell r="AF295">
            <v>42926</v>
          </cell>
          <cell r="AG295">
            <v>9.17</v>
          </cell>
          <cell r="AH295" t="str">
            <v>RI</v>
          </cell>
          <cell r="AI295" t="str">
            <v>Strands</v>
          </cell>
          <cell r="AJ295" t="str">
            <v>Not under maintenance</v>
          </cell>
        </row>
        <row r="296">
          <cell r="A296" t="str">
            <v>IKN401601</v>
          </cell>
          <cell r="B296">
            <v>1535</v>
          </cell>
          <cell r="C296" t="str">
            <v>Institut Kanser Negara</v>
          </cell>
          <cell r="D296" t="str">
            <v>KKM/IKN/H/13/1488</v>
          </cell>
          <cell r="E296" t="str">
            <v>13-325</v>
          </cell>
          <cell r="F296" t="str">
            <v>Regulators, Suction</v>
          </cell>
          <cell r="G296" t="str">
            <v>WD</v>
          </cell>
          <cell r="H296" t="str">
            <v>RT/ONCO PAED/ADOLESCENT WARD</v>
          </cell>
          <cell r="I296" t="str">
            <v>06WD124</v>
          </cell>
          <cell r="J296" t="str">
            <v>TREATMENT / PROCEDURE</v>
          </cell>
          <cell r="K296" t="str">
            <v>BMED</v>
          </cell>
          <cell r="L296" t="str">
            <v>Normal</v>
          </cell>
          <cell r="M296" t="str">
            <v>United States</v>
          </cell>
          <cell r="N296" t="str">
            <v>OHIO</v>
          </cell>
          <cell r="O296" t="str">
            <v>R244047311229905</v>
          </cell>
          <cell r="P296" t="str">
            <v>GPHS65009</v>
          </cell>
          <cell r="Q296" t="str">
            <v>Not Applicable</v>
          </cell>
          <cell r="R296" t="str">
            <v>OHIO</v>
          </cell>
          <cell r="S296" t="str">
            <v>Respimedic</v>
          </cell>
          <cell r="T296" t="str">
            <v>Functioning</v>
          </cell>
          <cell r="U296" t="str">
            <v>Asset</v>
          </cell>
          <cell r="V296">
            <v>920</v>
          </cell>
          <cell r="W296" t="str">
            <v>KEW</v>
          </cell>
          <cell r="X296" t="str">
            <v>01/09/2010</v>
          </cell>
          <cell r="Y296" t="str">
            <v>Estimate</v>
          </cell>
          <cell r="Z296" t="str">
            <v>16/08/2013</v>
          </cell>
          <cell r="AA296" t="str">
            <v>15/08/2015</v>
          </cell>
          <cell r="AB296" t="str">
            <v>No</v>
          </cell>
          <cell r="AC296" t="str">
            <v>31/08/2013</v>
          </cell>
          <cell r="AD296" t="str">
            <v>Good</v>
          </cell>
          <cell r="AE296" t="str">
            <v>V4 - Decommissioned Installed Facility</v>
          </cell>
          <cell r="AF296">
            <v>42926</v>
          </cell>
          <cell r="AG296">
            <v>9.17</v>
          </cell>
          <cell r="AH296" t="str">
            <v>RI</v>
          </cell>
          <cell r="AI296" t="str">
            <v>Strands</v>
          </cell>
          <cell r="AJ296" t="str">
            <v>Not under maintenance</v>
          </cell>
        </row>
        <row r="297">
          <cell r="A297" t="str">
            <v>IKN401602</v>
          </cell>
          <cell r="B297">
            <v>1536</v>
          </cell>
          <cell r="C297" t="str">
            <v>Institut Kanser Negara</v>
          </cell>
          <cell r="D297" t="str">
            <v>KKM/IKN/H/13/1491</v>
          </cell>
          <cell r="E297" t="str">
            <v>13-325</v>
          </cell>
          <cell r="F297" t="str">
            <v>Regulators, Suction</v>
          </cell>
          <cell r="G297" t="str">
            <v>WD</v>
          </cell>
          <cell r="H297" t="str">
            <v>RT/ONCO PAED/ADOLESCENT WARD</v>
          </cell>
          <cell r="I297" t="str">
            <v>06WD153</v>
          </cell>
          <cell r="J297" t="str">
            <v>EQP.ROOM</v>
          </cell>
          <cell r="K297" t="str">
            <v>BMED</v>
          </cell>
          <cell r="L297" t="str">
            <v>Normal</v>
          </cell>
          <cell r="M297" t="str">
            <v>United States</v>
          </cell>
          <cell r="N297" t="str">
            <v>OHIO</v>
          </cell>
          <cell r="O297" t="str">
            <v>R244047311229905</v>
          </cell>
          <cell r="P297" t="str">
            <v>GPHS65001</v>
          </cell>
          <cell r="Q297" t="str">
            <v>Not Applicable</v>
          </cell>
          <cell r="R297" t="str">
            <v>OHIO</v>
          </cell>
          <cell r="S297" t="str">
            <v>Respimedic</v>
          </cell>
          <cell r="T297" t="str">
            <v>Functioning</v>
          </cell>
          <cell r="U297" t="str">
            <v>Asset</v>
          </cell>
          <cell r="V297">
            <v>920</v>
          </cell>
          <cell r="W297" t="str">
            <v>KEW</v>
          </cell>
          <cell r="X297" t="str">
            <v>01/09/2010</v>
          </cell>
          <cell r="Y297" t="str">
            <v>KEW</v>
          </cell>
          <cell r="Z297" t="str">
            <v>16/08/2013</v>
          </cell>
          <cell r="AA297" t="str">
            <v>15/08/2015</v>
          </cell>
          <cell r="AB297" t="str">
            <v>No</v>
          </cell>
          <cell r="AC297" t="str">
            <v>31/08/2013</v>
          </cell>
          <cell r="AD297" t="str">
            <v>Good</v>
          </cell>
          <cell r="AE297" t="str">
            <v>V4 - Decommissioned Installed Facility</v>
          </cell>
          <cell r="AF297">
            <v>42927</v>
          </cell>
          <cell r="AG297">
            <v>9.17</v>
          </cell>
          <cell r="AH297" t="str">
            <v>RI</v>
          </cell>
          <cell r="AI297" t="str">
            <v>Strands</v>
          </cell>
          <cell r="AJ297" t="str">
            <v>Not under maintenance</v>
          </cell>
        </row>
        <row r="298">
          <cell r="A298" t="str">
            <v>IKN401603</v>
          </cell>
          <cell r="B298">
            <v>1537</v>
          </cell>
          <cell r="C298" t="str">
            <v>Institut Kanser Negara</v>
          </cell>
          <cell r="D298" t="e">
            <v>#N/A</v>
          </cell>
          <cell r="E298" t="str">
            <v>13-325</v>
          </cell>
          <cell r="F298" t="str">
            <v>Regulators, Suction</v>
          </cell>
          <cell r="G298" t="str">
            <v>WE</v>
          </cell>
          <cell r="H298" t="str">
            <v>RT/ONCO WARD 1 (F)</v>
          </cell>
          <cell r="I298" t="str">
            <v>07WE113</v>
          </cell>
          <cell r="J298" t="str">
            <v>EQUIPMENT ROOM</v>
          </cell>
          <cell r="K298" t="str">
            <v>BMED</v>
          </cell>
          <cell r="L298" t="str">
            <v>Normal</v>
          </cell>
          <cell r="M298" t="str">
            <v>United States</v>
          </cell>
          <cell r="N298" t="str">
            <v>OHIO</v>
          </cell>
          <cell r="O298" t="str">
            <v>R244047311229905</v>
          </cell>
          <cell r="P298" t="str">
            <v>GPHS65173</v>
          </cell>
          <cell r="Q298" t="str">
            <v>Not Applicable</v>
          </cell>
          <cell r="R298" t="str">
            <v>OHIO</v>
          </cell>
          <cell r="S298" t="str">
            <v>Respimedic</v>
          </cell>
          <cell r="T298" t="str">
            <v>Functioning</v>
          </cell>
          <cell r="U298" t="str">
            <v>Asset</v>
          </cell>
          <cell r="V298">
            <v>920</v>
          </cell>
          <cell r="W298" t="str">
            <v>KEW</v>
          </cell>
          <cell r="X298" t="str">
            <v>01/09/2010</v>
          </cell>
          <cell r="Y298" t="str">
            <v>KEW</v>
          </cell>
          <cell r="Z298" t="str">
            <v>16/08/2013</v>
          </cell>
          <cell r="AA298" t="str">
            <v>15/08/2015</v>
          </cell>
          <cell r="AB298" t="str">
            <v>No</v>
          </cell>
          <cell r="AC298" t="str">
            <v>31/08/2013</v>
          </cell>
          <cell r="AD298" t="str">
            <v>Good</v>
          </cell>
          <cell r="AE298" t="str">
            <v>V4 - Decommissioned Installed Facility</v>
          </cell>
          <cell r="AF298">
            <v>42927</v>
          </cell>
          <cell r="AG298">
            <v>9.17</v>
          </cell>
          <cell r="AH298" t="str">
            <v>RI</v>
          </cell>
          <cell r="AI298" t="str">
            <v>Not in contract</v>
          </cell>
          <cell r="AJ298" t="str">
            <v>Not under maintenance</v>
          </cell>
          <cell r="AK298" t="e">
            <v>#N/A</v>
          </cell>
        </row>
        <row r="299">
          <cell r="A299" t="str">
            <v>IKN401604</v>
          </cell>
          <cell r="B299">
            <v>1538</v>
          </cell>
          <cell r="C299" t="str">
            <v>Institut Kanser Negara</v>
          </cell>
          <cell r="D299" t="e">
            <v>#N/A</v>
          </cell>
          <cell r="E299" t="str">
            <v>13-325</v>
          </cell>
          <cell r="F299" t="str">
            <v>Regulators, Suction</v>
          </cell>
          <cell r="G299" t="str">
            <v>WE</v>
          </cell>
          <cell r="H299" t="str">
            <v>RT/ONCO WARD 1 (F)</v>
          </cell>
          <cell r="I299" t="str">
            <v>07WE113</v>
          </cell>
          <cell r="J299" t="str">
            <v>EQUIPMENT ROOM</v>
          </cell>
          <cell r="K299" t="str">
            <v>BMED</v>
          </cell>
          <cell r="L299" t="str">
            <v>Normal</v>
          </cell>
          <cell r="M299" t="str">
            <v>United States</v>
          </cell>
          <cell r="N299" t="str">
            <v>OHIO</v>
          </cell>
          <cell r="O299" t="str">
            <v>R244047311229905</v>
          </cell>
          <cell r="P299" t="str">
            <v>GPHS65096</v>
          </cell>
          <cell r="Q299" t="str">
            <v>Not Applicable</v>
          </cell>
          <cell r="R299" t="str">
            <v>OHIO</v>
          </cell>
          <cell r="S299" t="str">
            <v>Respimedic</v>
          </cell>
          <cell r="T299" t="str">
            <v>Functioning</v>
          </cell>
          <cell r="U299" t="str">
            <v>Asset</v>
          </cell>
          <cell r="V299">
            <v>920</v>
          </cell>
          <cell r="W299" t="str">
            <v>KEW</v>
          </cell>
          <cell r="X299" t="str">
            <v>01/09/2010</v>
          </cell>
          <cell r="Y299" t="str">
            <v>KEW</v>
          </cell>
          <cell r="Z299" t="str">
            <v>16/08/2013</v>
          </cell>
          <cell r="AA299" t="str">
            <v>15/08/2015</v>
          </cell>
          <cell r="AB299" t="str">
            <v>No</v>
          </cell>
          <cell r="AC299" t="str">
            <v>31/08/2013</v>
          </cell>
          <cell r="AD299" t="str">
            <v>Good</v>
          </cell>
          <cell r="AE299" t="str">
            <v>V4 - Decommissioned Installed Facility</v>
          </cell>
          <cell r="AF299">
            <v>42927</v>
          </cell>
          <cell r="AG299">
            <v>9.17</v>
          </cell>
          <cell r="AH299" t="str">
            <v>RI</v>
          </cell>
          <cell r="AI299" t="str">
            <v>Not in contract</v>
          </cell>
          <cell r="AJ299" t="str">
            <v>Not under maintenance</v>
          </cell>
          <cell r="AK299" t="e">
            <v>#N/A</v>
          </cell>
        </row>
        <row r="300">
          <cell r="A300" t="str">
            <v>IKN401605</v>
          </cell>
          <cell r="B300">
            <v>1539</v>
          </cell>
          <cell r="C300" t="str">
            <v>Institut Kanser Negara</v>
          </cell>
          <cell r="D300" t="str">
            <v>KKM/IKN/H/13/2239</v>
          </cell>
          <cell r="E300" t="str">
            <v>13-325</v>
          </cell>
          <cell r="F300" t="str">
            <v>Regulators, Suction</v>
          </cell>
          <cell r="G300" t="str">
            <v>WE</v>
          </cell>
          <cell r="H300" t="str">
            <v>RT/ONCO WARD 1 (F)</v>
          </cell>
          <cell r="I300" t="str">
            <v>07WE107</v>
          </cell>
          <cell r="J300" t="str">
            <v>TREATMENT / PROCESURE</v>
          </cell>
          <cell r="K300" t="str">
            <v>BMED</v>
          </cell>
          <cell r="L300" t="str">
            <v>Normal</v>
          </cell>
          <cell r="M300" t="str">
            <v>United States</v>
          </cell>
          <cell r="N300" t="str">
            <v>OHIO</v>
          </cell>
          <cell r="O300" t="str">
            <v>R244047311229905</v>
          </cell>
          <cell r="P300" t="str">
            <v>GPHS65197</v>
          </cell>
          <cell r="Q300" t="str">
            <v>Not Applicable</v>
          </cell>
          <cell r="R300" t="str">
            <v>OHIO</v>
          </cell>
          <cell r="S300" t="str">
            <v>Respimedic</v>
          </cell>
          <cell r="T300" t="str">
            <v>Functioning</v>
          </cell>
          <cell r="U300" t="str">
            <v>Asset</v>
          </cell>
          <cell r="V300">
            <v>920</v>
          </cell>
          <cell r="W300" t="str">
            <v>KEW</v>
          </cell>
          <cell r="X300" t="str">
            <v>01/09/2010</v>
          </cell>
          <cell r="Y300" t="str">
            <v>KEW</v>
          </cell>
          <cell r="Z300" t="str">
            <v>16/08/2013</v>
          </cell>
          <cell r="AA300" t="str">
            <v>15/08/2015</v>
          </cell>
          <cell r="AB300" t="str">
            <v>No</v>
          </cell>
          <cell r="AC300" t="str">
            <v>31/08/2013</v>
          </cell>
          <cell r="AD300" t="str">
            <v>Good</v>
          </cell>
          <cell r="AE300" t="str">
            <v>V4 - Decommissioned Installed Facility</v>
          </cell>
          <cell r="AF300">
            <v>42927</v>
          </cell>
          <cell r="AG300">
            <v>9.17</v>
          </cell>
          <cell r="AH300" t="str">
            <v>RI</v>
          </cell>
          <cell r="AI300" t="str">
            <v>Strands</v>
          </cell>
          <cell r="AJ300" t="str">
            <v>Not under maintenance</v>
          </cell>
        </row>
        <row r="301">
          <cell r="A301" t="str">
            <v>IKN401606</v>
          </cell>
          <cell r="B301">
            <v>1540</v>
          </cell>
          <cell r="C301" t="str">
            <v>Institut Kanser Negara</v>
          </cell>
          <cell r="D301" t="str">
            <v>KKM/IKN/H/13/2104</v>
          </cell>
          <cell r="E301" t="str">
            <v>13-325</v>
          </cell>
          <cell r="F301" t="str">
            <v>Regulators, Suction</v>
          </cell>
          <cell r="G301" t="str">
            <v>WE</v>
          </cell>
          <cell r="H301" t="str">
            <v>RT/ONCO WARD 1 (F)</v>
          </cell>
          <cell r="I301" t="str">
            <v>07WE113</v>
          </cell>
          <cell r="J301" t="str">
            <v>EQUIPMENT ROOM</v>
          </cell>
          <cell r="K301" t="str">
            <v>BMED</v>
          </cell>
          <cell r="L301" t="str">
            <v>Normal</v>
          </cell>
          <cell r="M301" t="str">
            <v>United States</v>
          </cell>
          <cell r="N301" t="str">
            <v>OHIO</v>
          </cell>
          <cell r="O301" t="str">
            <v>R244047311229905</v>
          </cell>
          <cell r="P301" t="str">
            <v>GPHS65196</v>
          </cell>
          <cell r="Q301" t="str">
            <v>Not Applicable</v>
          </cell>
          <cell r="R301" t="str">
            <v>OHIO</v>
          </cell>
          <cell r="S301" t="str">
            <v>Respimedic</v>
          </cell>
          <cell r="T301" t="str">
            <v>Functioning</v>
          </cell>
          <cell r="U301" t="str">
            <v>Asset</v>
          </cell>
          <cell r="V301">
            <v>920</v>
          </cell>
          <cell r="W301" t="str">
            <v>KEW</v>
          </cell>
          <cell r="X301" t="str">
            <v>01/09/2010</v>
          </cell>
          <cell r="Y301" t="str">
            <v>KEW</v>
          </cell>
          <cell r="Z301" t="str">
            <v>16/08/2013</v>
          </cell>
          <cell r="AA301" t="str">
            <v>15/08/2015</v>
          </cell>
          <cell r="AB301" t="str">
            <v>No</v>
          </cell>
          <cell r="AC301" t="str">
            <v>31/08/2013</v>
          </cell>
          <cell r="AD301" t="str">
            <v>Good</v>
          </cell>
          <cell r="AE301" t="str">
            <v>V4 - Decommissioned Installed Facility</v>
          </cell>
          <cell r="AF301">
            <v>42927</v>
          </cell>
          <cell r="AG301">
            <v>9.17</v>
          </cell>
          <cell r="AH301" t="str">
            <v>RI</v>
          </cell>
          <cell r="AI301" t="str">
            <v>Strands</v>
          </cell>
          <cell r="AJ301" t="str">
            <v>Not under maintenance</v>
          </cell>
        </row>
        <row r="302">
          <cell r="A302" t="str">
            <v>IKN401607</v>
          </cell>
          <cell r="B302">
            <v>1541</v>
          </cell>
          <cell r="C302" t="str">
            <v>Institut Kanser Negara</v>
          </cell>
          <cell r="D302" t="str">
            <v>KKM/IKN/H/13/2100</v>
          </cell>
          <cell r="E302" t="str">
            <v>13-325</v>
          </cell>
          <cell r="F302" t="str">
            <v>Regulators, Suction</v>
          </cell>
          <cell r="G302" t="str">
            <v>WE</v>
          </cell>
          <cell r="H302" t="str">
            <v>RT/ONCO WARD 1 (F)</v>
          </cell>
          <cell r="I302" t="str">
            <v>07WE113</v>
          </cell>
          <cell r="J302" t="str">
            <v>EQUIPMENT ROOM</v>
          </cell>
          <cell r="K302" t="str">
            <v>BMED</v>
          </cell>
          <cell r="L302" t="str">
            <v>Normal</v>
          </cell>
          <cell r="M302" t="str">
            <v>United States</v>
          </cell>
          <cell r="N302" t="str">
            <v>OHIO</v>
          </cell>
          <cell r="O302" t="str">
            <v>R244047311229905</v>
          </cell>
          <cell r="P302" t="str">
            <v>GPHS65189</v>
          </cell>
          <cell r="Q302" t="str">
            <v>Not Applicable</v>
          </cell>
          <cell r="R302" t="str">
            <v>OHIO</v>
          </cell>
          <cell r="S302" t="str">
            <v>Respimedic</v>
          </cell>
          <cell r="T302" t="str">
            <v>Functioning</v>
          </cell>
          <cell r="U302" t="str">
            <v>Asset</v>
          </cell>
          <cell r="V302">
            <v>920</v>
          </cell>
          <cell r="W302" t="str">
            <v>KEW</v>
          </cell>
          <cell r="X302" t="str">
            <v>01/09/2010</v>
          </cell>
          <cell r="Y302" t="str">
            <v>KEW</v>
          </cell>
          <cell r="Z302" t="str">
            <v>16/08/2013</v>
          </cell>
          <cell r="AA302" t="str">
            <v>15/08/2015</v>
          </cell>
          <cell r="AB302" t="str">
            <v>No</v>
          </cell>
          <cell r="AC302" t="str">
            <v>31/08/2013</v>
          </cell>
          <cell r="AD302" t="str">
            <v>Good</v>
          </cell>
          <cell r="AE302" t="str">
            <v>V4 - Decommissioned Installed Facility</v>
          </cell>
          <cell r="AF302">
            <v>42927</v>
          </cell>
          <cell r="AG302">
            <v>9.17</v>
          </cell>
          <cell r="AH302" t="str">
            <v>RI</v>
          </cell>
          <cell r="AI302" t="str">
            <v>Strands</v>
          </cell>
          <cell r="AJ302" t="str">
            <v>Not under maintenance</v>
          </cell>
        </row>
        <row r="303">
          <cell r="A303" t="str">
            <v>IKN401608</v>
          </cell>
          <cell r="B303">
            <v>1542</v>
          </cell>
          <cell r="C303" t="str">
            <v>Institut Kanser Negara</v>
          </cell>
          <cell r="D303" t="str">
            <v>KKM/IKN/H/13/2102</v>
          </cell>
          <cell r="E303" t="str">
            <v>13-325</v>
          </cell>
          <cell r="F303" t="str">
            <v>Regulators, Suction</v>
          </cell>
          <cell r="G303" t="str">
            <v>WE</v>
          </cell>
          <cell r="H303" t="str">
            <v>RT/ONCO WARD 1 (F)</v>
          </cell>
          <cell r="I303" t="str">
            <v>07WE123</v>
          </cell>
          <cell r="J303" t="str">
            <v>ISOLATION 2 (-VE)</v>
          </cell>
          <cell r="K303" t="str">
            <v>BMED</v>
          </cell>
          <cell r="L303" t="str">
            <v>Normal</v>
          </cell>
          <cell r="M303" t="str">
            <v>United States</v>
          </cell>
          <cell r="N303" t="str">
            <v>OHIO</v>
          </cell>
          <cell r="O303" t="str">
            <v>R244047311229905</v>
          </cell>
          <cell r="P303" t="str">
            <v>GPHS65192</v>
          </cell>
          <cell r="Q303" t="str">
            <v>Not Applicable</v>
          </cell>
          <cell r="R303" t="str">
            <v>OHIO</v>
          </cell>
          <cell r="S303" t="str">
            <v>Respimedic</v>
          </cell>
          <cell r="T303" t="str">
            <v>Functioning</v>
          </cell>
          <cell r="U303" t="str">
            <v>Asset</v>
          </cell>
          <cell r="V303">
            <v>920</v>
          </cell>
          <cell r="W303" t="str">
            <v>KEW</v>
          </cell>
          <cell r="X303" t="str">
            <v>01/09/2010</v>
          </cell>
          <cell r="Y303" t="str">
            <v>KEW</v>
          </cell>
          <cell r="Z303" t="str">
            <v>16/08/2013</v>
          </cell>
          <cell r="AA303" t="str">
            <v>15/08/2015</v>
          </cell>
          <cell r="AB303" t="str">
            <v>No</v>
          </cell>
          <cell r="AC303" t="str">
            <v>31/08/2013</v>
          </cell>
          <cell r="AD303" t="str">
            <v>Good</v>
          </cell>
          <cell r="AE303" t="str">
            <v>V4 - Decommissioned Installed Facility</v>
          </cell>
          <cell r="AF303">
            <v>42927</v>
          </cell>
          <cell r="AG303">
            <v>9.17</v>
          </cell>
          <cell r="AH303" t="str">
            <v>RI</v>
          </cell>
          <cell r="AI303" t="str">
            <v>Strands</v>
          </cell>
          <cell r="AJ303" t="str">
            <v>Not under maintenance</v>
          </cell>
        </row>
        <row r="304">
          <cell r="A304" t="str">
            <v>IKN401609</v>
          </cell>
          <cell r="B304">
            <v>1543</v>
          </cell>
          <cell r="C304" t="str">
            <v>Institut Kanser Negara</v>
          </cell>
          <cell r="D304" t="str">
            <v>KKM/IKN/H/13/2101</v>
          </cell>
          <cell r="E304" t="str">
            <v>13-325</v>
          </cell>
          <cell r="F304" t="str">
            <v>Regulators, Suction</v>
          </cell>
          <cell r="G304" t="str">
            <v>WE</v>
          </cell>
          <cell r="H304" t="str">
            <v>RT/ONCO WARD 1 (F)</v>
          </cell>
          <cell r="I304" t="str">
            <v>07WE120</v>
          </cell>
          <cell r="J304" t="str">
            <v>ISOLATION 1 (+)</v>
          </cell>
          <cell r="K304" t="str">
            <v>BMED</v>
          </cell>
          <cell r="L304" t="str">
            <v>Normal</v>
          </cell>
          <cell r="M304" t="str">
            <v>United States</v>
          </cell>
          <cell r="N304" t="str">
            <v>OHIO</v>
          </cell>
          <cell r="O304" t="str">
            <v>R244047311229905</v>
          </cell>
          <cell r="P304" t="str">
            <v>GPHS65185</v>
          </cell>
          <cell r="Q304" t="str">
            <v>Not Applicable</v>
          </cell>
          <cell r="R304" t="str">
            <v>OHIO</v>
          </cell>
          <cell r="S304" t="str">
            <v>Respimedic</v>
          </cell>
          <cell r="T304" t="str">
            <v>Functioning</v>
          </cell>
          <cell r="U304" t="str">
            <v>Asset</v>
          </cell>
          <cell r="V304">
            <v>920</v>
          </cell>
          <cell r="W304" t="str">
            <v>KEW</v>
          </cell>
          <cell r="X304" t="str">
            <v>01/09/2010</v>
          </cell>
          <cell r="Y304" t="str">
            <v>KEW</v>
          </cell>
          <cell r="Z304" t="str">
            <v>16/08/2013</v>
          </cell>
          <cell r="AA304" t="str">
            <v>15/08/2015</v>
          </cell>
          <cell r="AB304" t="str">
            <v>No</v>
          </cell>
          <cell r="AC304" t="str">
            <v>31/08/2013</v>
          </cell>
          <cell r="AD304" t="str">
            <v>Good</v>
          </cell>
          <cell r="AE304" t="str">
            <v>V4 - Decommissioned Installed Facility</v>
          </cell>
          <cell r="AF304">
            <v>42927</v>
          </cell>
          <cell r="AG304">
            <v>9.17</v>
          </cell>
          <cell r="AH304" t="str">
            <v>RI</v>
          </cell>
          <cell r="AI304" t="str">
            <v>Strands</v>
          </cell>
          <cell r="AJ304" t="str">
            <v>Not under maintenance</v>
          </cell>
        </row>
        <row r="305">
          <cell r="A305" t="str">
            <v>IKN401610</v>
          </cell>
          <cell r="B305">
            <v>1544</v>
          </cell>
          <cell r="C305" t="str">
            <v>Institut Kanser Negara</v>
          </cell>
          <cell r="D305" t="str">
            <v>KKM/IKN/H/13/2097</v>
          </cell>
          <cell r="E305" t="str">
            <v>13-325</v>
          </cell>
          <cell r="F305" t="str">
            <v>Regulators, Suction</v>
          </cell>
          <cell r="G305" t="str">
            <v>WE</v>
          </cell>
          <cell r="H305" t="str">
            <v>RT/ONCO WARD 1 (F)</v>
          </cell>
          <cell r="I305" t="str">
            <v>07WE113</v>
          </cell>
          <cell r="J305" t="str">
            <v>EQUIPMENT ROOM</v>
          </cell>
          <cell r="K305" t="str">
            <v>BMED</v>
          </cell>
          <cell r="L305" t="str">
            <v>Normal</v>
          </cell>
          <cell r="M305" t="str">
            <v>United States</v>
          </cell>
          <cell r="N305" t="str">
            <v>OHIO</v>
          </cell>
          <cell r="O305" t="str">
            <v>R244047311229905</v>
          </cell>
          <cell r="P305" t="str">
            <v>GPHS65124</v>
          </cell>
          <cell r="Q305" t="str">
            <v>Not Applicable</v>
          </cell>
          <cell r="R305" t="str">
            <v>OHIO</v>
          </cell>
          <cell r="S305" t="str">
            <v>Respimedic</v>
          </cell>
          <cell r="T305" t="str">
            <v>Functioning</v>
          </cell>
          <cell r="U305" t="str">
            <v>Asset</v>
          </cell>
          <cell r="V305">
            <v>920</v>
          </cell>
          <cell r="W305" t="str">
            <v>KEW</v>
          </cell>
          <cell r="X305" t="str">
            <v>01/09/2010</v>
          </cell>
          <cell r="Y305" t="str">
            <v>Estimate</v>
          </cell>
          <cell r="Z305" t="str">
            <v>16/08/2013</v>
          </cell>
          <cell r="AA305" t="str">
            <v>15/08/2015</v>
          </cell>
          <cell r="AB305" t="str">
            <v>No</v>
          </cell>
          <cell r="AC305" t="str">
            <v>31/08/2013</v>
          </cell>
          <cell r="AD305" t="str">
            <v>Good</v>
          </cell>
          <cell r="AE305" t="str">
            <v>V4 - Decommissioned Installed Facility</v>
          </cell>
          <cell r="AF305">
            <v>42927</v>
          </cell>
          <cell r="AG305">
            <v>9.17</v>
          </cell>
          <cell r="AH305" t="str">
            <v>RI</v>
          </cell>
          <cell r="AI305" t="str">
            <v>Strands</v>
          </cell>
          <cell r="AJ305" t="str">
            <v>Not under maintenance</v>
          </cell>
        </row>
        <row r="306">
          <cell r="A306" t="str">
            <v>IKN401611</v>
          </cell>
          <cell r="B306">
            <v>1545</v>
          </cell>
          <cell r="C306" t="str">
            <v>Institut Kanser Negara</v>
          </cell>
          <cell r="D306" t="str">
            <v>KKM/IKN/H/13/2236</v>
          </cell>
          <cell r="E306" t="str">
            <v>13-325</v>
          </cell>
          <cell r="F306" t="str">
            <v>Regulators, Suction</v>
          </cell>
          <cell r="G306" t="str">
            <v>WE</v>
          </cell>
          <cell r="H306" t="str">
            <v>RT/ONCO WARD 1 (F)</v>
          </cell>
          <cell r="I306" t="str">
            <v>07WE113</v>
          </cell>
          <cell r="J306" t="str">
            <v>EQUIPMENT ROOM</v>
          </cell>
          <cell r="K306" t="str">
            <v>BMED</v>
          </cell>
          <cell r="L306" t="str">
            <v>Normal</v>
          </cell>
          <cell r="M306" t="str">
            <v>United States</v>
          </cell>
          <cell r="N306" t="str">
            <v>OHIO</v>
          </cell>
          <cell r="O306" t="str">
            <v>R244047311229905</v>
          </cell>
          <cell r="P306" t="str">
            <v>GPHS65089</v>
          </cell>
          <cell r="Q306" t="str">
            <v>Not Applicable</v>
          </cell>
          <cell r="R306" t="str">
            <v>OHIO</v>
          </cell>
          <cell r="S306" t="str">
            <v>Respimedic</v>
          </cell>
          <cell r="T306" t="str">
            <v>Functioning</v>
          </cell>
          <cell r="U306" t="str">
            <v>Asset</v>
          </cell>
          <cell r="V306">
            <v>920</v>
          </cell>
          <cell r="W306" t="str">
            <v>KEW</v>
          </cell>
          <cell r="X306" t="str">
            <v>01/09/2010</v>
          </cell>
          <cell r="Y306" t="str">
            <v>KEW</v>
          </cell>
          <cell r="Z306" t="str">
            <v>16/08/2013</v>
          </cell>
          <cell r="AA306" t="str">
            <v>15/08/2015</v>
          </cell>
          <cell r="AB306" t="str">
            <v>No</v>
          </cell>
          <cell r="AC306" t="str">
            <v>31/08/2013</v>
          </cell>
          <cell r="AD306" t="str">
            <v>Good</v>
          </cell>
          <cell r="AE306" t="str">
            <v>V4 - Decommissioned Installed Facility</v>
          </cell>
          <cell r="AF306">
            <v>42927</v>
          </cell>
          <cell r="AG306">
            <v>9.17</v>
          </cell>
          <cell r="AH306" t="str">
            <v>RI</v>
          </cell>
          <cell r="AI306" t="str">
            <v>Strands</v>
          </cell>
          <cell r="AJ306" t="str">
            <v>Not under maintenance</v>
          </cell>
        </row>
        <row r="307">
          <cell r="A307" t="str">
            <v>IKN401620</v>
          </cell>
          <cell r="B307">
            <v>1554</v>
          </cell>
          <cell r="C307" t="str">
            <v>Institut Kanser Negara</v>
          </cell>
          <cell r="D307" t="e">
            <v>#N/A</v>
          </cell>
          <cell r="E307" t="str">
            <v>13-325</v>
          </cell>
          <cell r="F307" t="str">
            <v>Regulators, Suction</v>
          </cell>
          <cell r="G307" t="str">
            <v>WJ</v>
          </cell>
          <cell r="H307" t="str">
            <v>MULTIDISCIPLINE WARD 1</v>
          </cell>
          <cell r="I307" t="str">
            <v>09WJ126</v>
          </cell>
          <cell r="J307" t="str">
            <v>EQUIPT. ROOM</v>
          </cell>
          <cell r="K307" t="str">
            <v>BMED</v>
          </cell>
          <cell r="L307" t="str">
            <v>Normal</v>
          </cell>
          <cell r="M307" t="str">
            <v>United States</v>
          </cell>
          <cell r="N307" t="str">
            <v>OHIO</v>
          </cell>
          <cell r="O307" t="str">
            <v>R244047311229905</v>
          </cell>
          <cell r="P307" t="str">
            <v>GPHS65079</v>
          </cell>
          <cell r="Q307" t="str">
            <v>Not Applicable</v>
          </cell>
          <cell r="R307" t="str">
            <v>OHIO</v>
          </cell>
          <cell r="S307" t="str">
            <v>Respimedic</v>
          </cell>
          <cell r="T307" t="str">
            <v>Functioning</v>
          </cell>
          <cell r="U307" t="str">
            <v>Asset</v>
          </cell>
          <cell r="V307">
            <v>920</v>
          </cell>
          <cell r="W307" t="str">
            <v>KEW</v>
          </cell>
          <cell r="X307" t="str">
            <v>01/09/2010</v>
          </cell>
          <cell r="Y307" t="str">
            <v>KEW</v>
          </cell>
          <cell r="Z307" t="str">
            <v>16/08/2013</v>
          </cell>
          <cell r="AA307" t="str">
            <v>15/08/2015</v>
          </cell>
          <cell r="AB307" t="str">
            <v>No</v>
          </cell>
          <cell r="AC307" t="str">
            <v>31/08/2013</v>
          </cell>
          <cell r="AD307" t="str">
            <v>Good</v>
          </cell>
          <cell r="AE307" t="str">
            <v>V4 - Decommissioned Installed Facility</v>
          </cell>
          <cell r="AF307">
            <v>42955</v>
          </cell>
          <cell r="AG307">
            <v>9.17</v>
          </cell>
          <cell r="AH307" t="str">
            <v>RI</v>
          </cell>
          <cell r="AI307" t="str">
            <v>Not in contract</v>
          </cell>
          <cell r="AJ307" t="str">
            <v>Not under maintenance</v>
          </cell>
          <cell r="AK307" t="e">
            <v>#N/A</v>
          </cell>
        </row>
        <row r="308">
          <cell r="A308" t="str">
            <v>IKN401621</v>
          </cell>
          <cell r="B308">
            <v>1555</v>
          </cell>
          <cell r="C308" t="str">
            <v>Institut Kanser Negara</v>
          </cell>
          <cell r="D308" t="e">
            <v>#N/A</v>
          </cell>
          <cell r="E308" t="str">
            <v>13-325</v>
          </cell>
          <cell r="F308" t="str">
            <v>Regulators, Suction</v>
          </cell>
          <cell r="G308" t="str">
            <v>WJ</v>
          </cell>
          <cell r="H308" t="str">
            <v>MULTIDISCIPLINE WARD 1</v>
          </cell>
          <cell r="I308" t="str">
            <v>09WJ126</v>
          </cell>
          <cell r="J308" t="str">
            <v>EQUIPT. ROOM</v>
          </cell>
          <cell r="K308" t="str">
            <v>BMED</v>
          </cell>
          <cell r="L308" t="str">
            <v>Normal</v>
          </cell>
          <cell r="M308" t="str">
            <v>United States</v>
          </cell>
          <cell r="N308" t="str">
            <v>OHIO</v>
          </cell>
          <cell r="O308" t="str">
            <v>R244047311229905</v>
          </cell>
          <cell r="P308" t="str">
            <v>GPHS65088</v>
          </cell>
          <cell r="Q308" t="str">
            <v>Not Applicable</v>
          </cell>
          <cell r="R308" t="str">
            <v>OHIO</v>
          </cell>
          <cell r="S308" t="str">
            <v>Respimedic</v>
          </cell>
          <cell r="T308" t="str">
            <v>Functioning</v>
          </cell>
          <cell r="U308" t="str">
            <v>Asset</v>
          </cell>
          <cell r="V308">
            <v>920</v>
          </cell>
          <cell r="W308" t="str">
            <v>KEW</v>
          </cell>
          <cell r="X308" t="str">
            <v>01/09/2010</v>
          </cell>
          <cell r="Y308" t="str">
            <v>KEW</v>
          </cell>
          <cell r="Z308" t="str">
            <v>16/08/2013</v>
          </cell>
          <cell r="AA308" t="str">
            <v>15/08/2015</v>
          </cell>
          <cell r="AB308" t="str">
            <v>No</v>
          </cell>
          <cell r="AC308" t="str">
            <v>31/08/2013</v>
          </cell>
          <cell r="AD308" t="str">
            <v>Good</v>
          </cell>
          <cell r="AE308" t="str">
            <v>V4 - Decommissioned Installed Facility</v>
          </cell>
          <cell r="AF308">
            <v>42955</v>
          </cell>
          <cell r="AG308">
            <v>9.17</v>
          </cell>
          <cell r="AH308" t="str">
            <v>RI</v>
          </cell>
          <cell r="AI308" t="str">
            <v>Not in contract</v>
          </cell>
          <cell r="AJ308" t="str">
            <v>Not under maintenance</v>
          </cell>
          <cell r="AK308" t="e">
            <v>#N/A</v>
          </cell>
        </row>
        <row r="309">
          <cell r="A309" t="str">
            <v>IKN401622</v>
          </cell>
          <cell r="B309">
            <v>1556</v>
          </cell>
          <cell r="C309" t="str">
            <v>Institut Kanser Negara</v>
          </cell>
          <cell r="D309" t="e">
            <v>#N/A</v>
          </cell>
          <cell r="E309" t="str">
            <v>13-325</v>
          </cell>
          <cell r="F309" t="str">
            <v>Regulators, Suction</v>
          </cell>
          <cell r="G309" t="str">
            <v>WJ</v>
          </cell>
          <cell r="H309" t="str">
            <v>MULTIDISCIPLINE WARD 1</v>
          </cell>
          <cell r="I309" t="str">
            <v>09WJ222</v>
          </cell>
          <cell r="J309" t="str">
            <v>TREATMENT</v>
          </cell>
          <cell r="K309" t="str">
            <v>BMED</v>
          </cell>
          <cell r="L309" t="str">
            <v>Normal</v>
          </cell>
          <cell r="M309" t="str">
            <v>United States</v>
          </cell>
          <cell r="N309" t="str">
            <v>OHIO</v>
          </cell>
          <cell r="O309" t="str">
            <v>R244047311229905</v>
          </cell>
          <cell r="P309" t="str">
            <v>GPHS65017</v>
          </cell>
          <cell r="Q309" t="str">
            <v>Not Applicable</v>
          </cell>
          <cell r="R309" t="str">
            <v>OHIO</v>
          </cell>
          <cell r="S309" t="str">
            <v>Respimedic</v>
          </cell>
          <cell r="T309" t="str">
            <v>Functioning</v>
          </cell>
          <cell r="U309" t="str">
            <v>Asset</v>
          </cell>
          <cell r="V309">
            <v>920</v>
          </cell>
          <cell r="W309" t="str">
            <v>KEW</v>
          </cell>
          <cell r="X309" t="str">
            <v>01/09/2010</v>
          </cell>
          <cell r="Y309" t="str">
            <v>KEW</v>
          </cell>
          <cell r="Z309" t="str">
            <v>16/08/2013</v>
          </cell>
          <cell r="AA309" t="str">
            <v>15/08/2015</v>
          </cell>
          <cell r="AB309" t="str">
            <v>No</v>
          </cell>
          <cell r="AC309" t="str">
            <v>31/08/2013</v>
          </cell>
          <cell r="AD309" t="str">
            <v>Good</v>
          </cell>
          <cell r="AE309" t="str">
            <v>V4 - Decommissioned Installed Facility</v>
          </cell>
          <cell r="AF309">
            <v>42955</v>
          </cell>
          <cell r="AG309">
            <v>9.17</v>
          </cell>
          <cell r="AH309" t="str">
            <v>RI</v>
          </cell>
          <cell r="AI309" t="str">
            <v>Not in contract</v>
          </cell>
          <cell r="AJ309" t="str">
            <v>Not under maintenance</v>
          </cell>
          <cell r="AK309" t="e">
            <v>#N/A</v>
          </cell>
        </row>
        <row r="310">
          <cell r="A310" t="str">
            <v>IKN401623</v>
          </cell>
          <cell r="B310">
            <v>1557</v>
          </cell>
          <cell r="C310" t="str">
            <v>Institut Kanser Negara</v>
          </cell>
          <cell r="D310" t="e">
            <v>#N/A</v>
          </cell>
          <cell r="E310" t="str">
            <v>13-325</v>
          </cell>
          <cell r="F310" t="str">
            <v>Regulators, Suction</v>
          </cell>
          <cell r="G310" t="str">
            <v>WJ</v>
          </cell>
          <cell r="H310" t="str">
            <v>MULTIDISCIPLINE WARD 1</v>
          </cell>
          <cell r="I310" t="str">
            <v>09WJ222</v>
          </cell>
          <cell r="J310" t="str">
            <v>TREATMENT</v>
          </cell>
          <cell r="K310" t="str">
            <v>BMED</v>
          </cell>
          <cell r="L310" t="str">
            <v>Normal</v>
          </cell>
          <cell r="M310" t="str">
            <v>United States</v>
          </cell>
          <cell r="N310" t="str">
            <v>OHIO</v>
          </cell>
          <cell r="O310" t="str">
            <v>R244047311229905</v>
          </cell>
          <cell r="P310" t="str">
            <v>GPHS65154</v>
          </cell>
          <cell r="Q310" t="str">
            <v>Not Applicable</v>
          </cell>
          <cell r="R310" t="str">
            <v>OHIO</v>
          </cell>
          <cell r="S310" t="str">
            <v>Respimedic</v>
          </cell>
          <cell r="T310" t="str">
            <v>Functioning</v>
          </cell>
          <cell r="U310" t="str">
            <v>Asset</v>
          </cell>
          <cell r="V310">
            <v>920</v>
          </cell>
          <cell r="W310" t="str">
            <v>KEW</v>
          </cell>
          <cell r="X310" t="str">
            <v>01/09/2010</v>
          </cell>
          <cell r="Y310" t="str">
            <v>KEW</v>
          </cell>
          <cell r="Z310" t="str">
            <v>16/08/2013</v>
          </cell>
          <cell r="AA310" t="str">
            <v>15/08/2015</v>
          </cell>
          <cell r="AB310" t="str">
            <v>No</v>
          </cell>
          <cell r="AC310" t="str">
            <v>31/08/2013</v>
          </cell>
          <cell r="AD310" t="str">
            <v>Good</v>
          </cell>
          <cell r="AE310" t="str">
            <v>V4 - Decommissioned Installed Facility</v>
          </cell>
          <cell r="AF310">
            <v>42955</v>
          </cell>
          <cell r="AG310">
            <v>9.17</v>
          </cell>
          <cell r="AH310" t="str">
            <v>RI</v>
          </cell>
          <cell r="AI310" t="str">
            <v>Not in contract</v>
          </cell>
          <cell r="AJ310" t="str">
            <v>Not under maintenance</v>
          </cell>
          <cell r="AK310" t="e">
            <v>#N/A</v>
          </cell>
        </row>
        <row r="311">
          <cell r="A311" t="str">
            <v>IKN401624</v>
          </cell>
          <cell r="B311">
            <v>1558</v>
          </cell>
          <cell r="C311" t="str">
            <v>Institut Kanser Negara</v>
          </cell>
          <cell r="D311" t="e">
            <v>#N/A</v>
          </cell>
          <cell r="E311" t="str">
            <v>13-325</v>
          </cell>
          <cell r="F311" t="str">
            <v>Regulators, Suction</v>
          </cell>
          <cell r="G311" t="str">
            <v>WJ</v>
          </cell>
          <cell r="H311" t="str">
            <v>MULTIDISCIPLINE WARD 1</v>
          </cell>
          <cell r="I311" t="str">
            <v>09WJ222</v>
          </cell>
          <cell r="J311" t="str">
            <v>TREATMENT</v>
          </cell>
          <cell r="K311" t="str">
            <v>BMED</v>
          </cell>
          <cell r="L311" t="str">
            <v>Normal</v>
          </cell>
          <cell r="M311" t="str">
            <v>United States</v>
          </cell>
          <cell r="N311" t="str">
            <v>OHIO</v>
          </cell>
          <cell r="O311" t="str">
            <v>R244047311229905</v>
          </cell>
          <cell r="P311" t="str">
            <v>GPHS65018</v>
          </cell>
          <cell r="Q311" t="str">
            <v>Not Applicable</v>
          </cell>
          <cell r="R311" t="str">
            <v>OHIO</v>
          </cell>
          <cell r="S311" t="str">
            <v>Respimedic</v>
          </cell>
          <cell r="T311" t="str">
            <v>Functioning</v>
          </cell>
          <cell r="U311" t="str">
            <v>Asset</v>
          </cell>
          <cell r="V311">
            <v>920</v>
          </cell>
          <cell r="W311" t="str">
            <v>KEW</v>
          </cell>
          <cell r="X311" t="str">
            <v>01/09/2010</v>
          </cell>
          <cell r="Y311" t="str">
            <v>KEW</v>
          </cell>
          <cell r="Z311" t="str">
            <v>16/08/2013</v>
          </cell>
          <cell r="AA311" t="str">
            <v>15/08/2015</v>
          </cell>
          <cell r="AB311" t="str">
            <v>No</v>
          </cell>
          <cell r="AC311" t="str">
            <v>31/08/2013</v>
          </cell>
          <cell r="AD311" t="str">
            <v>Good</v>
          </cell>
          <cell r="AE311" t="str">
            <v>V4 - Decommissioned Installed Facility</v>
          </cell>
          <cell r="AF311">
            <v>42955</v>
          </cell>
          <cell r="AG311">
            <v>9.17</v>
          </cell>
          <cell r="AH311" t="str">
            <v>RI</v>
          </cell>
          <cell r="AI311" t="str">
            <v>Not in contract</v>
          </cell>
          <cell r="AJ311" t="str">
            <v>Not under maintenance</v>
          </cell>
          <cell r="AK311" t="e">
            <v>#N/A</v>
          </cell>
        </row>
        <row r="312">
          <cell r="A312" t="str">
            <v>IKN401625</v>
          </cell>
          <cell r="B312">
            <v>1559</v>
          </cell>
          <cell r="C312" t="str">
            <v>Institut Kanser Negara</v>
          </cell>
          <cell r="D312" t="e">
            <v>#N/A</v>
          </cell>
          <cell r="E312" t="str">
            <v>13-325</v>
          </cell>
          <cell r="F312" t="str">
            <v>Regulators, Suction</v>
          </cell>
          <cell r="G312" t="str">
            <v>WJ</v>
          </cell>
          <cell r="H312" t="str">
            <v>MULTIDISCIPLINE WARD 1</v>
          </cell>
          <cell r="I312" t="str">
            <v>09WJ130</v>
          </cell>
          <cell r="J312" t="str">
            <v>TREATMENT/ PROCEDURE</v>
          </cell>
          <cell r="K312" t="str">
            <v>BMED</v>
          </cell>
          <cell r="L312" t="str">
            <v>Normal</v>
          </cell>
          <cell r="M312" t="str">
            <v>United States</v>
          </cell>
          <cell r="N312" t="str">
            <v>OHIO</v>
          </cell>
          <cell r="O312" t="str">
            <v>R244047311229905</v>
          </cell>
          <cell r="P312" t="str">
            <v>GPHS65164</v>
          </cell>
          <cell r="Q312" t="str">
            <v>Not Applicable</v>
          </cell>
          <cell r="R312" t="str">
            <v>OHIO</v>
          </cell>
          <cell r="S312" t="str">
            <v>Respimedic</v>
          </cell>
          <cell r="T312" t="str">
            <v>Functioning</v>
          </cell>
          <cell r="U312" t="str">
            <v>Asset</v>
          </cell>
          <cell r="V312">
            <v>920</v>
          </cell>
          <cell r="W312" t="str">
            <v>KEW</v>
          </cell>
          <cell r="X312" t="str">
            <v>01/09/2010</v>
          </cell>
          <cell r="Y312" t="str">
            <v>KEW</v>
          </cell>
          <cell r="Z312" t="str">
            <v>16/08/2013</v>
          </cell>
          <cell r="AA312" t="str">
            <v>15/08/2015</v>
          </cell>
          <cell r="AB312" t="str">
            <v>No</v>
          </cell>
          <cell r="AC312" t="str">
            <v>31/08/2013</v>
          </cell>
          <cell r="AD312" t="str">
            <v>Good</v>
          </cell>
          <cell r="AE312" t="str">
            <v>V4 - Decommissioned Installed Facility</v>
          </cell>
          <cell r="AF312">
            <v>42955</v>
          </cell>
          <cell r="AG312">
            <v>9.17</v>
          </cell>
          <cell r="AH312" t="str">
            <v>RI</v>
          </cell>
          <cell r="AI312" t="str">
            <v>Not in contract</v>
          </cell>
          <cell r="AJ312" t="str">
            <v>Not under maintenance</v>
          </cell>
          <cell r="AK312" t="e">
            <v>#N/A</v>
          </cell>
        </row>
        <row r="313">
          <cell r="A313" t="str">
            <v>IKN401626</v>
          </cell>
          <cell r="B313">
            <v>1560</v>
          </cell>
          <cell r="C313" t="str">
            <v>Institut Kanser Negara</v>
          </cell>
          <cell r="D313" t="e">
            <v>#N/A</v>
          </cell>
          <cell r="E313" t="str">
            <v>13-325</v>
          </cell>
          <cell r="F313" t="str">
            <v>Regulators, Suction</v>
          </cell>
          <cell r="G313" t="str">
            <v>WJ</v>
          </cell>
          <cell r="H313" t="str">
            <v>MULTIDISCIPLINE WARD 1</v>
          </cell>
          <cell r="I313" t="str">
            <v>09WJ222</v>
          </cell>
          <cell r="J313" t="str">
            <v>TREATMENT</v>
          </cell>
          <cell r="K313" t="str">
            <v>BMED</v>
          </cell>
          <cell r="L313" t="str">
            <v>Normal</v>
          </cell>
          <cell r="M313" t="str">
            <v>United States</v>
          </cell>
          <cell r="N313" t="str">
            <v>OHIO</v>
          </cell>
          <cell r="O313" t="str">
            <v>R244047311229905</v>
          </cell>
          <cell r="P313" t="str">
            <v>GPHS65151</v>
          </cell>
          <cell r="Q313" t="str">
            <v>Not Applicable</v>
          </cell>
          <cell r="R313" t="str">
            <v>OHIO</v>
          </cell>
          <cell r="S313" t="str">
            <v>Respimedic</v>
          </cell>
          <cell r="T313" t="str">
            <v>Functioning</v>
          </cell>
          <cell r="U313" t="str">
            <v>Asset</v>
          </cell>
          <cell r="V313">
            <v>920</v>
          </cell>
          <cell r="W313" t="str">
            <v>KEW</v>
          </cell>
          <cell r="X313" t="str">
            <v>01/09/2010</v>
          </cell>
          <cell r="Y313" t="str">
            <v>KEW</v>
          </cell>
          <cell r="Z313" t="str">
            <v>16/08/2013</v>
          </cell>
          <cell r="AA313" t="str">
            <v>15/08/2015</v>
          </cell>
          <cell r="AB313" t="str">
            <v>No</v>
          </cell>
          <cell r="AC313" t="str">
            <v>31/08/2013</v>
          </cell>
          <cell r="AD313" t="str">
            <v>Good</v>
          </cell>
          <cell r="AE313" t="str">
            <v>V4 - Decommissioned Installed Facility</v>
          </cell>
          <cell r="AF313">
            <v>42955</v>
          </cell>
          <cell r="AG313">
            <v>9.17</v>
          </cell>
          <cell r="AH313" t="str">
            <v>RI</v>
          </cell>
          <cell r="AI313" t="str">
            <v>Not in contract</v>
          </cell>
          <cell r="AJ313" t="str">
            <v>Not under maintenance</v>
          </cell>
          <cell r="AK313" t="e">
            <v>#N/A</v>
          </cell>
        </row>
        <row r="314">
          <cell r="A314" t="str">
            <v>IKN401627</v>
          </cell>
          <cell r="B314">
            <v>1561</v>
          </cell>
          <cell r="C314" t="str">
            <v>Institut Kanser Negara</v>
          </cell>
          <cell r="D314" t="e">
            <v>#N/A</v>
          </cell>
          <cell r="E314" t="str">
            <v>13-325</v>
          </cell>
          <cell r="F314" t="str">
            <v>Regulators, Suction</v>
          </cell>
          <cell r="G314" t="str">
            <v>WJ</v>
          </cell>
          <cell r="H314" t="str">
            <v>MULTIDISCIPLINE WARD 1</v>
          </cell>
          <cell r="I314" t="str">
            <v>09WJ126</v>
          </cell>
          <cell r="J314" t="str">
            <v>EQUIPT. ROOM</v>
          </cell>
          <cell r="K314" t="str">
            <v>BMED</v>
          </cell>
          <cell r="L314" t="str">
            <v>Normal</v>
          </cell>
          <cell r="M314" t="str">
            <v>United States</v>
          </cell>
          <cell r="N314" t="str">
            <v>OHIO</v>
          </cell>
          <cell r="O314" t="str">
            <v>R244047311229905</v>
          </cell>
          <cell r="P314" t="str">
            <v>GPHS65119</v>
          </cell>
          <cell r="Q314" t="str">
            <v>Not Applicable</v>
          </cell>
          <cell r="R314" t="str">
            <v>OHIO</v>
          </cell>
          <cell r="S314" t="str">
            <v>Respimedic</v>
          </cell>
          <cell r="T314" t="str">
            <v>Functioning</v>
          </cell>
          <cell r="U314" t="str">
            <v>Asset</v>
          </cell>
          <cell r="V314">
            <v>920</v>
          </cell>
          <cell r="W314" t="str">
            <v>KEW</v>
          </cell>
          <cell r="X314" t="str">
            <v>01/09/2010</v>
          </cell>
          <cell r="Y314" t="str">
            <v>KEW</v>
          </cell>
          <cell r="Z314" t="str">
            <v>16/08/2013</v>
          </cell>
          <cell r="AA314" t="str">
            <v>15/08/2015</v>
          </cell>
          <cell r="AB314" t="str">
            <v>No</v>
          </cell>
          <cell r="AC314" t="str">
            <v>31/08/2013</v>
          </cell>
          <cell r="AD314" t="str">
            <v>Good</v>
          </cell>
          <cell r="AE314" t="str">
            <v>V4 - Decommissioned Installed Facility</v>
          </cell>
          <cell r="AF314">
            <v>42955</v>
          </cell>
          <cell r="AG314">
            <v>9.17</v>
          </cell>
          <cell r="AH314" t="str">
            <v>RI</v>
          </cell>
          <cell r="AI314" t="str">
            <v>Not in contract</v>
          </cell>
          <cell r="AJ314" t="str">
            <v>Not under maintenance</v>
          </cell>
          <cell r="AK314" t="e">
            <v>#N/A</v>
          </cell>
        </row>
        <row r="315">
          <cell r="A315" t="str">
            <v>IKN401628</v>
          </cell>
          <cell r="B315">
            <v>1562</v>
          </cell>
          <cell r="C315" t="str">
            <v>Institut Kanser Negara</v>
          </cell>
          <cell r="D315" t="e">
            <v>#N/A</v>
          </cell>
          <cell r="E315" t="str">
            <v>13-325</v>
          </cell>
          <cell r="F315" t="str">
            <v>Regulators, Suction</v>
          </cell>
          <cell r="G315" t="str">
            <v>WJ</v>
          </cell>
          <cell r="H315" t="str">
            <v>MULTIDISCIPLINE WARD 1</v>
          </cell>
          <cell r="I315" t="str">
            <v>09WJ126</v>
          </cell>
          <cell r="J315" t="str">
            <v>EQUIPT. ROOM</v>
          </cell>
          <cell r="K315" t="str">
            <v>BMED</v>
          </cell>
          <cell r="L315" t="str">
            <v>Normal</v>
          </cell>
          <cell r="M315" t="str">
            <v>United States</v>
          </cell>
          <cell r="N315" t="str">
            <v>OHIO</v>
          </cell>
          <cell r="O315" t="str">
            <v>R244047311229905</v>
          </cell>
          <cell r="P315" t="str">
            <v>GPHS65080</v>
          </cell>
          <cell r="Q315" t="str">
            <v>Not Applicable</v>
          </cell>
          <cell r="R315" t="str">
            <v>OHIO</v>
          </cell>
          <cell r="S315" t="str">
            <v>Respimedic</v>
          </cell>
          <cell r="T315" t="str">
            <v>Functioning</v>
          </cell>
          <cell r="U315" t="str">
            <v>Asset</v>
          </cell>
          <cell r="V315">
            <v>920</v>
          </cell>
          <cell r="W315" t="str">
            <v>KEW</v>
          </cell>
          <cell r="X315" t="str">
            <v>01/09/2010</v>
          </cell>
          <cell r="Y315" t="str">
            <v>KEW</v>
          </cell>
          <cell r="Z315" t="str">
            <v>16/08/2013</v>
          </cell>
          <cell r="AA315" t="str">
            <v>15/08/2015</v>
          </cell>
          <cell r="AB315" t="str">
            <v>No</v>
          </cell>
          <cell r="AC315" t="str">
            <v>31/08/2013</v>
          </cell>
          <cell r="AD315" t="str">
            <v>Good</v>
          </cell>
          <cell r="AE315" t="str">
            <v>V4 - Decommissioned Installed Facility</v>
          </cell>
          <cell r="AF315">
            <v>42955</v>
          </cell>
          <cell r="AG315">
            <v>9.17</v>
          </cell>
          <cell r="AH315" t="str">
            <v>RI</v>
          </cell>
          <cell r="AI315" t="str">
            <v>Not in contract</v>
          </cell>
          <cell r="AJ315" t="str">
            <v>Not under maintenance</v>
          </cell>
          <cell r="AK315" t="e">
            <v>#N/A</v>
          </cell>
        </row>
        <row r="316">
          <cell r="A316" t="str">
            <v>IKN401629</v>
          </cell>
          <cell r="B316">
            <v>1563</v>
          </cell>
          <cell r="C316" t="str">
            <v>Institut Kanser Negara</v>
          </cell>
          <cell r="D316" t="e">
            <v>#N/A</v>
          </cell>
          <cell r="E316" t="str">
            <v>13-325</v>
          </cell>
          <cell r="F316" t="str">
            <v>Regulators, Suction</v>
          </cell>
          <cell r="G316" t="str">
            <v>WJ</v>
          </cell>
          <cell r="H316" t="str">
            <v>MULTIDISCIPLINE WARD 1</v>
          </cell>
          <cell r="I316" t="str">
            <v>09WJ126</v>
          </cell>
          <cell r="J316" t="str">
            <v>EQUIPT. ROOM</v>
          </cell>
          <cell r="K316" t="str">
            <v>BMED</v>
          </cell>
          <cell r="L316" t="str">
            <v>Normal</v>
          </cell>
          <cell r="M316" t="str">
            <v>United States</v>
          </cell>
          <cell r="N316" t="str">
            <v>OHIO</v>
          </cell>
          <cell r="O316" t="str">
            <v>R244047311229905</v>
          </cell>
          <cell r="P316" t="str">
            <v>GPHS65175</v>
          </cell>
          <cell r="Q316" t="str">
            <v>Not Applicable</v>
          </cell>
          <cell r="R316" t="str">
            <v>OHIO</v>
          </cell>
          <cell r="S316" t="str">
            <v>Respimedic</v>
          </cell>
          <cell r="T316" t="str">
            <v>Functioning</v>
          </cell>
          <cell r="U316" t="str">
            <v>Asset</v>
          </cell>
          <cell r="V316">
            <v>920</v>
          </cell>
          <cell r="W316" t="str">
            <v>KEW</v>
          </cell>
          <cell r="X316" t="str">
            <v>01/09/2010</v>
          </cell>
          <cell r="Y316" t="str">
            <v>KEW</v>
          </cell>
          <cell r="Z316" t="str">
            <v>16/08/2013</v>
          </cell>
          <cell r="AA316" t="str">
            <v>15/08/2015</v>
          </cell>
          <cell r="AB316" t="str">
            <v>No</v>
          </cell>
          <cell r="AC316" t="str">
            <v>31/08/2013</v>
          </cell>
          <cell r="AD316" t="str">
            <v>Good</v>
          </cell>
          <cell r="AE316" t="str">
            <v>V4 - Decommissioned Installed Facility</v>
          </cell>
          <cell r="AF316">
            <v>42955</v>
          </cell>
          <cell r="AG316">
            <v>9.17</v>
          </cell>
          <cell r="AH316" t="str">
            <v>RI</v>
          </cell>
          <cell r="AI316" t="str">
            <v>Not in contract</v>
          </cell>
          <cell r="AJ316" t="str">
            <v>Not under maintenance</v>
          </cell>
          <cell r="AK316" t="e">
            <v>#N/A</v>
          </cell>
        </row>
        <row r="317">
          <cell r="A317" t="str">
            <v>IKN401637</v>
          </cell>
          <cell r="B317">
            <v>1567</v>
          </cell>
          <cell r="C317" t="str">
            <v>Institut Kanser Negara</v>
          </cell>
          <cell r="D317" t="e">
            <v>#N/A</v>
          </cell>
          <cell r="E317" t="str">
            <v>13-325</v>
          </cell>
          <cell r="F317" t="str">
            <v>Regulators, Suction</v>
          </cell>
          <cell r="G317" t="str">
            <v>WE</v>
          </cell>
          <cell r="H317" t="str">
            <v>RT/ONCO WARD 1 (F)</v>
          </cell>
          <cell r="I317" t="str">
            <v>07WE107</v>
          </cell>
          <cell r="J317" t="str">
            <v>TREATMENT / PROCESURE</v>
          </cell>
          <cell r="K317" t="str">
            <v>BMED</v>
          </cell>
          <cell r="L317" t="str">
            <v>Normal</v>
          </cell>
          <cell r="M317" t="str">
            <v>United States</v>
          </cell>
          <cell r="N317" t="str">
            <v>OHIO</v>
          </cell>
          <cell r="O317" t="str">
            <v>R244047311229905</v>
          </cell>
          <cell r="P317" t="str">
            <v>GPHS65084</v>
          </cell>
          <cell r="Q317" t="str">
            <v>Not Applicable</v>
          </cell>
          <cell r="R317" t="str">
            <v>OHIO</v>
          </cell>
          <cell r="S317" t="str">
            <v>Respimedic</v>
          </cell>
          <cell r="T317" t="str">
            <v>Functioning</v>
          </cell>
          <cell r="U317" t="str">
            <v>Asset</v>
          </cell>
          <cell r="V317">
            <v>920</v>
          </cell>
          <cell r="W317" t="str">
            <v>KEW</v>
          </cell>
          <cell r="X317" t="str">
            <v>01/09/2010</v>
          </cell>
          <cell r="Y317" t="str">
            <v>KEW</v>
          </cell>
          <cell r="Z317" t="str">
            <v>16/08/2013</v>
          </cell>
          <cell r="AA317" t="str">
            <v>15/08/2015</v>
          </cell>
          <cell r="AB317" t="str">
            <v>No</v>
          </cell>
          <cell r="AC317" t="str">
            <v>31/08/2013</v>
          </cell>
          <cell r="AD317" t="str">
            <v>Good</v>
          </cell>
          <cell r="AE317" t="str">
            <v>V4 - Decommissioned Installed Facility</v>
          </cell>
          <cell r="AF317">
            <v>42927</v>
          </cell>
          <cell r="AG317">
            <v>9.17</v>
          </cell>
          <cell r="AH317" t="str">
            <v>RI</v>
          </cell>
          <cell r="AI317" t="str">
            <v>Not in contract</v>
          </cell>
          <cell r="AJ317" t="str">
            <v>Not under maintenance</v>
          </cell>
          <cell r="AK317" t="e">
            <v>#N/A</v>
          </cell>
        </row>
        <row r="318">
          <cell r="A318" t="str">
            <v>IKN401638</v>
          </cell>
          <cell r="B318">
            <v>1568</v>
          </cell>
          <cell r="C318" t="str">
            <v>Institut Kanser Negara</v>
          </cell>
          <cell r="D318" t="e">
            <v>#N/A</v>
          </cell>
          <cell r="E318" t="str">
            <v>13-325</v>
          </cell>
          <cell r="F318" t="str">
            <v>Regulators, Suction</v>
          </cell>
          <cell r="G318" t="str">
            <v>WF</v>
          </cell>
          <cell r="H318" t="str">
            <v>RT/ONCO WARD 2 (F)</v>
          </cell>
          <cell r="I318" t="str">
            <v>07WF121</v>
          </cell>
          <cell r="J318" t="str">
            <v>EQUIPMENT ROOM</v>
          </cell>
          <cell r="K318" t="str">
            <v>BMED</v>
          </cell>
          <cell r="L318" t="str">
            <v>Normal</v>
          </cell>
          <cell r="M318" t="str">
            <v>United States</v>
          </cell>
          <cell r="N318" t="str">
            <v>OHIO</v>
          </cell>
          <cell r="O318" t="str">
            <v>R244047311229905</v>
          </cell>
          <cell r="P318" t="str">
            <v>GPHS65086</v>
          </cell>
          <cell r="Q318" t="str">
            <v>Not Applicable</v>
          </cell>
          <cell r="R318" t="str">
            <v>OHIO</v>
          </cell>
          <cell r="S318" t="str">
            <v>Respimedic</v>
          </cell>
          <cell r="T318" t="str">
            <v>Functioning</v>
          </cell>
          <cell r="U318" t="str">
            <v>Asset</v>
          </cell>
          <cell r="V318">
            <v>920</v>
          </cell>
          <cell r="W318" t="str">
            <v>KEW</v>
          </cell>
          <cell r="X318" t="str">
            <v>01/09/2010</v>
          </cell>
          <cell r="Y318" t="str">
            <v>KEW</v>
          </cell>
          <cell r="Z318" t="str">
            <v>16/08/2013</v>
          </cell>
          <cell r="AA318" t="str">
            <v>15/08/2015</v>
          </cell>
          <cell r="AB318" t="str">
            <v>No</v>
          </cell>
          <cell r="AC318" t="str">
            <v>31/08/2013</v>
          </cell>
          <cell r="AD318" t="str">
            <v>Good</v>
          </cell>
          <cell r="AE318" t="str">
            <v>V4 - Decommissioned Installed Facility</v>
          </cell>
          <cell r="AF318">
            <v>42928</v>
          </cell>
          <cell r="AG318">
            <v>9.17</v>
          </cell>
          <cell r="AH318" t="str">
            <v>RI</v>
          </cell>
          <cell r="AI318" t="str">
            <v>Not in contract</v>
          </cell>
          <cell r="AJ318" t="str">
            <v>Not under maintenance</v>
          </cell>
          <cell r="AK318" t="e">
            <v>#N/A</v>
          </cell>
        </row>
        <row r="319">
          <cell r="A319" t="str">
            <v>IKN401639</v>
          </cell>
          <cell r="B319">
            <v>1569</v>
          </cell>
          <cell r="C319" t="str">
            <v>Institut Kanser Negara</v>
          </cell>
          <cell r="D319" t="e">
            <v>#N/A</v>
          </cell>
          <cell r="E319" t="str">
            <v>13-325</v>
          </cell>
          <cell r="F319" t="str">
            <v>Regulators, Suction</v>
          </cell>
          <cell r="G319" t="str">
            <v>WF</v>
          </cell>
          <cell r="H319" t="str">
            <v>RT/ONCO WARD 2 (F)</v>
          </cell>
          <cell r="I319" t="str">
            <v>07WF121</v>
          </cell>
          <cell r="J319" t="str">
            <v>EQUIPMENT ROOM</v>
          </cell>
          <cell r="K319" t="str">
            <v>BMED</v>
          </cell>
          <cell r="L319" t="str">
            <v>Normal</v>
          </cell>
          <cell r="M319" t="str">
            <v>United States</v>
          </cell>
          <cell r="N319" t="str">
            <v>OHIO</v>
          </cell>
          <cell r="O319" t="str">
            <v>R244047311229905</v>
          </cell>
          <cell r="P319" t="str">
            <v>GPHS65087</v>
          </cell>
          <cell r="Q319" t="str">
            <v>Not Applicable</v>
          </cell>
          <cell r="R319" t="str">
            <v>OHIO</v>
          </cell>
          <cell r="S319" t="str">
            <v>Respimedic</v>
          </cell>
          <cell r="T319" t="str">
            <v>Functioning</v>
          </cell>
          <cell r="U319" t="str">
            <v>Asset</v>
          </cell>
          <cell r="V319">
            <v>920</v>
          </cell>
          <cell r="W319" t="str">
            <v>KEW</v>
          </cell>
          <cell r="X319" t="str">
            <v>01/09/2010</v>
          </cell>
          <cell r="Y319" t="str">
            <v>KEW</v>
          </cell>
          <cell r="Z319" t="str">
            <v>16/08/2013</v>
          </cell>
          <cell r="AA319" t="str">
            <v>15/08/2015</v>
          </cell>
          <cell r="AB319" t="str">
            <v>No</v>
          </cell>
          <cell r="AC319" t="str">
            <v>31/08/2013</v>
          </cell>
          <cell r="AD319" t="str">
            <v>Good</v>
          </cell>
          <cell r="AE319" t="str">
            <v>V4 - Decommissioned Installed Facility</v>
          </cell>
          <cell r="AF319">
            <v>42928</v>
          </cell>
          <cell r="AG319">
            <v>9.17</v>
          </cell>
          <cell r="AH319" t="str">
            <v>RI</v>
          </cell>
          <cell r="AI319" t="str">
            <v>Not in contract</v>
          </cell>
          <cell r="AJ319" t="str">
            <v>Not under maintenance</v>
          </cell>
          <cell r="AK319" t="e">
            <v>#N/A</v>
          </cell>
        </row>
        <row r="320">
          <cell r="A320" t="str">
            <v>IKN401640</v>
          </cell>
          <cell r="B320">
            <v>1570</v>
          </cell>
          <cell r="C320" t="str">
            <v>Institut Kanser Negara</v>
          </cell>
          <cell r="D320" t="e">
            <v>#N/A</v>
          </cell>
          <cell r="E320" t="str">
            <v>13-325</v>
          </cell>
          <cell r="F320" t="str">
            <v>Regulators, Suction</v>
          </cell>
          <cell r="G320" t="str">
            <v>WF</v>
          </cell>
          <cell r="H320" t="str">
            <v>RT/ONCO WARD 2 (F)</v>
          </cell>
          <cell r="I320" t="str">
            <v>07WF121</v>
          </cell>
          <cell r="J320" t="str">
            <v>EQUIPMENT ROOM</v>
          </cell>
          <cell r="K320" t="str">
            <v>BMED</v>
          </cell>
          <cell r="L320" t="str">
            <v>Normal</v>
          </cell>
          <cell r="M320" t="str">
            <v>United States</v>
          </cell>
          <cell r="N320" t="str">
            <v>OHIO</v>
          </cell>
          <cell r="O320" t="str">
            <v>R244047311229905</v>
          </cell>
          <cell r="P320" t="str">
            <v>GPHS65093</v>
          </cell>
          <cell r="Q320" t="str">
            <v>Not Applicable</v>
          </cell>
          <cell r="R320" t="str">
            <v>OHIO</v>
          </cell>
          <cell r="S320" t="str">
            <v>Respimedic</v>
          </cell>
          <cell r="T320" t="str">
            <v>Functioning</v>
          </cell>
          <cell r="U320" t="str">
            <v>Asset</v>
          </cell>
          <cell r="V320">
            <v>920</v>
          </cell>
          <cell r="W320" t="str">
            <v>KEW</v>
          </cell>
          <cell r="X320" t="str">
            <v>01/09/2010</v>
          </cell>
          <cell r="Y320" t="str">
            <v>KEW</v>
          </cell>
          <cell r="Z320" t="str">
            <v>16/08/2013</v>
          </cell>
          <cell r="AA320" t="str">
            <v>15/08/2015</v>
          </cell>
          <cell r="AB320" t="str">
            <v>No</v>
          </cell>
          <cell r="AC320" t="str">
            <v>31/08/2013</v>
          </cell>
          <cell r="AD320" t="str">
            <v>Good</v>
          </cell>
          <cell r="AE320" t="str">
            <v>V4 - Decommissioned Installed Facility</v>
          </cell>
          <cell r="AF320">
            <v>42928</v>
          </cell>
          <cell r="AG320">
            <v>9.17</v>
          </cell>
          <cell r="AH320" t="str">
            <v>RI</v>
          </cell>
          <cell r="AI320" t="str">
            <v>Not in contract</v>
          </cell>
          <cell r="AJ320" t="str">
            <v>Not under maintenance</v>
          </cell>
          <cell r="AK320" t="e">
            <v>#N/A</v>
          </cell>
        </row>
        <row r="321">
          <cell r="A321" t="str">
            <v>IKN401641</v>
          </cell>
          <cell r="B321">
            <v>1571</v>
          </cell>
          <cell r="C321" t="str">
            <v>Institut Kanser Negara</v>
          </cell>
          <cell r="D321" t="e">
            <v>#N/A</v>
          </cell>
          <cell r="E321" t="str">
            <v>13-325</v>
          </cell>
          <cell r="F321" t="str">
            <v>Regulators, Suction</v>
          </cell>
          <cell r="G321" t="str">
            <v>WF</v>
          </cell>
          <cell r="H321" t="str">
            <v>RT/ONCO WARD 2 (F)</v>
          </cell>
          <cell r="I321" t="str">
            <v>07WF113</v>
          </cell>
          <cell r="J321" t="str">
            <v>ISOLATION 1 (+VE)</v>
          </cell>
          <cell r="K321" t="str">
            <v>BMED</v>
          </cell>
          <cell r="L321" t="str">
            <v>Normal</v>
          </cell>
          <cell r="M321" t="str">
            <v>United States</v>
          </cell>
          <cell r="N321" t="str">
            <v>OHIO</v>
          </cell>
          <cell r="O321" t="str">
            <v>R244047311229905</v>
          </cell>
          <cell r="P321" t="str">
            <v>GPHS65092</v>
          </cell>
          <cell r="Q321" t="str">
            <v>Not Applicable</v>
          </cell>
          <cell r="R321" t="str">
            <v>OHIO</v>
          </cell>
          <cell r="S321" t="str">
            <v>Respimedic</v>
          </cell>
          <cell r="T321" t="str">
            <v>Functioning</v>
          </cell>
          <cell r="U321" t="str">
            <v>Asset</v>
          </cell>
          <cell r="V321">
            <v>920</v>
          </cell>
          <cell r="W321" t="str">
            <v>KEW</v>
          </cell>
          <cell r="X321" t="str">
            <v>01/09/2010</v>
          </cell>
          <cell r="Y321" t="str">
            <v>KEW</v>
          </cell>
          <cell r="Z321" t="str">
            <v>16/08/2013</v>
          </cell>
          <cell r="AA321" t="str">
            <v>15/08/2015</v>
          </cell>
          <cell r="AB321" t="str">
            <v>No</v>
          </cell>
          <cell r="AC321" t="str">
            <v>31/08/2013</v>
          </cell>
          <cell r="AD321" t="str">
            <v>Good</v>
          </cell>
          <cell r="AE321" t="str">
            <v>V4 - Decommissioned Installed Facility</v>
          </cell>
          <cell r="AF321">
            <v>42928</v>
          </cell>
          <cell r="AG321">
            <v>9.17</v>
          </cell>
          <cell r="AH321" t="str">
            <v>RI</v>
          </cell>
          <cell r="AI321" t="str">
            <v>Not in contract</v>
          </cell>
          <cell r="AJ321" t="str">
            <v>Not under maintenance</v>
          </cell>
          <cell r="AK321" t="e">
            <v>#N/A</v>
          </cell>
        </row>
        <row r="322">
          <cell r="A322" t="str">
            <v>IKN401642</v>
          </cell>
          <cell r="B322">
            <v>1572</v>
          </cell>
          <cell r="C322" t="str">
            <v>Institut Kanser Negara</v>
          </cell>
          <cell r="D322" t="e">
            <v>#N/A</v>
          </cell>
          <cell r="E322" t="str">
            <v>13-325</v>
          </cell>
          <cell r="F322" t="str">
            <v>Regulators, Suction</v>
          </cell>
          <cell r="G322" t="str">
            <v>WF</v>
          </cell>
          <cell r="H322" t="str">
            <v>RT/ONCO WARD 2 (F)</v>
          </cell>
          <cell r="I322" t="str">
            <v>07WF107</v>
          </cell>
          <cell r="J322" t="str">
            <v>TREATMENT / PROCEDDURE</v>
          </cell>
          <cell r="K322" t="str">
            <v>BMED</v>
          </cell>
          <cell r="L322" t="str">
            <v>Normal</v>
          </cell>
          <cell r="M322" t="str">
            <v>United States</v>
          </cell>
          <cell r="N322" t="str">
            <v>OHIO</v>
          </cell>
          <cell r="O322" t="str">
            <v>R244047311229905</v>
          </cell>
          <cell r="P322" t="str">
            <v>GPHS65090</v>
          </cell>
          <cell r="Q322" t="str">
            <v>Not Applicable</v>
          </cell>
          <cell r="R322" t="str">
            <v>OHIO</v>
          </cell>
          <cell r="S322" t="str">
            <v>Respimedic</v>
          </cell>
          <cell r="T322" t="str">
            <v>Functioning</v>
          </cell>
          <cell r="U322" t="str">
            <v>Asset</v>
          </cell>
          <cell r="V322">
            <v>920</v>
          </cell>
          <cell r="W322" t="str">
            <v>KEW</v>
          </cell>
          <cell r="X322" t="str">
            <v>01/09/2010</v>
          </cell>
          <cell r="Y322" t="str">
            <v>KEW</v>
          </cell>
          <cell r="Z322" t="str">
            <v>16/08/2013</v>
          </cell>
          <cell r="AA322" t="str">
            <v>15/08/2015</v>
          </cell>
          <cell r="AB322" t="str">
            <v>No</v>
          </cell>
          <cell r="AC322" t="str">
            <v>31/08/2013</v>
          </cell>
          <cell r="AD322" t="str">
            <v>Good</v>
          </cell>
          <cell r="AE322" t="str">
            <v>V4 - Decommissioned Installed Facility</v>
          </cell>
          <cell r="AF322">
            <v>42928</v>
          </cell>
          <cell r="AG322">
            <v>9.17</v>
          </cell>
          <cell r="AH322" t="str">
            <v>RI</v>
          </cell>
          <cell r="AI322" t="str">
            <v>Not in contract</v>
          </cell>
          <cell r="AJ322" t="str">
            <v>Not under maintenance</v>
          </cell>
          <cell r="AK322" t="e">
            <v>#N/A</v>
          </cell>
        </row>
        <row r="323">
          <cell r="A323" t="str">
            <v>IKN401643</v>
          </cell>
          <cell r="B323">
            <v>1573</v>
          </cell>
          <cell r="C323" t="str">
            <v>Institut Kanser Negara</v>
          </cell>
          <cell r="D323" t="e">
            <v>#N/A</v>
          </cell>
          <cell r="E323" t="str">
            <v>13-325</v>
          </cell>
          <cell r="F323" t="str">
            <v>Regulators, Suction</v>
          </cell>
          <cell r="G323" t="str">
            <v>WF</v>
          </cell>
          <cell r="H323" t="str">
            <v>RT/ONCO WARD 2 (F)</v>
          </cell>
          <cell r="I323" t="str">
            <v>07WF121</v>
          </cell>
          <cell r="J323" t="str">
            <v>EQUIPMENT ROOM</v>
          </cell>
          <cell r="K323" t="str">
            <v>BMED</v>
          </cell>
          <cell r="L323" t="str">
            <v>Normal</v>
          </cell>
          <cell r="M323" t="str">
            <v>United States</v>
          </cell>
          <cell r="N323" t="str">
            <v>OHIO</v>
          </cell>
          <cell r="O323" t="str">
            <v>R244047311229905</v>
          </cell>
          <cell r="P323" t="str">
            <v>GPHS65187</v>
          </cell>
          <cell r="Q323" t="str">
            <v>Not Applicable</v>
          </cell>
          <cell r="R323" t="str">
            <v>OHIO</v>
          </cell>
          <cell r="S323" t="str">
            <v>Respimedic</v>
          </cell>
          <cell r="T323" t="str">
            <v>Functioning</v>
          </cell>
          <cell r="U323" t="str">
            <v>Asset</v>
          </cell>
          <cell r="V323">
            <v>920</v>
          </cell>
          <cell r="W323" t="str">
            <v>KEW</v>
          </cell>
          <cell r="X323" t="str">
            <v>01/09/2010</v>
          </cell>
          <cell r="Y323" t="str">
            <v>KEW</v>
          </cell>
          <cell r="Z323" t="str">
            <v>16/08/2013</v>
          </cell>
          <cell r="AA323" t="str">
            <v>15/08/2015</v>
          </cell>
          <cell r="AB323" t="str">
            <v>No</v>
          </cell>
          <cell r="AC323" t="str">
            <v>31/08/2013</v>
          </cell>
          <cell r="AD323" t="str">
            <v>Good</v>
          </cell>
          <cell r="AE323" t="str">
            <v>V4 - Decommissioned Installed Facility</v>
          </cell>
          <cell r="AF323">
            <v>42928</v>
          </cell>
          <cell r="AG323">
            <v>9.17</v>
          </cell>
          <cell r="AH323" t="str">
            <v>RI</v>
          </cell>
          <cell r="AI323" t="str">
            <v>Not in contract</v>
          </cell>
          <cell r="AJ323" t="str">
            <v>Not under maintenance</v>
          </cell>
          <cell r="AK323" t="e">
            <v>#N/A</v>
          </cell>
        </row>
        <row r="324">
          <cell r="A324" t="str">
            <v>IKN401644</v>
          </cell>
          <cell r="B324">
            <v>1574</v>
          </cell>
          <cell r="C324" t="str">
            <v>Institut Kanser Negara</v>
          </cell>
          <cell r="D324" t="e">
            <v>#N/A</v>
          </cell>
          <cell r="E324" t="str">
            <v>13-325</v>
          </cell>
          <cell r="F324" t="str">
            <v>Regulators, Suction</v>
          </cell>
          <cell r="G324" t="str">
            <v>WF</v>
          </cell>
          <cell r="H324" t="str">
            <v>RT/ONCO WARD 2 (F)</v>
          </cell>
          <cell r="I324" t="str">
            <v>07WF121</v>
          </cell>
          <cell r="J324" t="str">
            <v>EQUIPMENT ROOM</v>
          </cell>
          <cell r="K324" t="str">
            <v>BMED</v>
          </cell>
          <cell r="L324" t="str">
            <v>Normal</v>
          </cell>
          <cell r="M324" t="str">
            <v>United States</v>
          </cell>
          <cell r="N324" t="str">
            <v>OHIO</v>
          </cell>
          <cell r="O324" t="str">
            <v>R244047311229905</v>
          </cell>
          <cell r="P324" t="str">
            <v>GPHS65144</v>
          </cell>
          <cell r="Q324" t="str">
            <v>Not Applicable</v>
          </cell>
          <cell r="R324" t="str">
            <v>OHIO</v>
          </cell>
          <cell r="S324" t="str">
            <v>Respimedic</v>
          </cell>
          <cell r="T324" t="str">
            <v>Functioning</v>
          </cell>
          <cell r="U324" t="str">
            <v>Asset</v>
          </cell>
          <cell r="V324">
            <v>920</v>
          </cell>
          <cell r="W324" t="str">
            <v>KEW</v>
          </cell>
          <cell r="X324" t="str">
            <v>01/09/2010</v>
          </cell>
          <cell r="Y324" t="str">
            <v>KEW</v>
          </cell>
          <cell r="Z324" t="str">
            <v>16/08/2013</v>
          </cell>
          <cell r="AA324" t="str">
            <v>15/08/2015</v>
          </cell>
          <cell r="AB324" t="str">
            <v>No</v>
          </cell>
          <cell r="AC324" t="str">
            <v>31/08/2013</v>
          </cell>
          <cell r="AD324" t="str">
            <v>Good</v>
          </cell>
          <cell r="AE324" t="str">
            <v>V4 - Decommissioned Installed Facility</v>
          </cell>
          <cell r="AF324">
            <v>42927</v>
          </cell>
          <cell r="AG324">
            <v>9.17</v>
          </cell>
          <cell r="AH324" t="str">
            <v>RI</v>
          </cell>
          <cell r="AI324" t="str">
            <v>Not in contract</v>
          </cell>
          <cell r="AJ324" t="str">
            <v>Not under maintenance</v>
          </cell>
          <cell r="AK324" t="e">
            <v>#N/A</v>
          </cell>
        </row>
        <row r="325">
          <cell r="A325" t="str">
            <v>IKN401645</v>
          </cell>
          <cell r="B325">
            <v>1575</v>
          </cell>
          <cell r="C325" t="str">
            <v>Institut Kanser Negara</v>
          </cell>
          <cell r="D325" t="e">
            <v>#N/A</v>
          </cell>
          <cell r="E325" t="str">
            <v>13-325</v>
          </cell>
          <cell r="F325" t="str">
            <v>Regulators, Suction</v>
          </cell>
          <cell r="G325" t="str">
            <v>WF</v>
          </cell>
          <cell r="H325" t="str">
            <v>RT/ONCO WARD 2 (F)</v>
          </cell>
          <cell r="I325" t="str">
            <v>07WF121</v>
          </cell>
          <cell r="J325" t="str">
            <v>EQUIPMENT ROOM</v>
          </cell>
          <cell r="K325" t="str">
            <v>BMED</v>
          </cell>
          <cell r="L325" t="str">
            <v>Normal</v>
          </cell>
          <cell r="M325" t="str">
            <v>United States</v>
          </cell>
          <cell r="N325" t="str">
            <v>OHIO</v>
          </cell>
          <cell r="O325" t="str">
            <v>R244047311229905</v>
          </cell>
          <cell r="P325" t="str">
            <v>GPHS65148</v>
          </cell>
          <cell r="Q325" t="str">
            <v>Not Applicable</v>
          </cell>
          <cell r="R325" t="str">
            <v>OHIO</v>
          </cell>
          <cell r="S325" t="str">
            <v>Respimedic</v>
          </cell>
          <cell r="T325" t="str">
            <v>Functioning</v>
          </cell>
          <cell r="U325" t="str">
            <v>Asset</v>
          </cell>
          <cell r="V325">
            <v>920</v>
          </cell>
          <cell r="W325" t="str">
            <v>KEW</v>
          </cell>
          <cell r="X325" t="str">
            <v>01/09/2010</v>
          </cell>
          <cell r="Y325" t="str">
            <v>KEW</v>
          </cell>
          <cell r="Z325" t="str">
            <v>16/08/2013</v>
          </cell>
          <cell r="AA325" t="str">
            <v>15/08/2015</v>
          </cell>
          <cell r="AB325" t="str">
            <v>No</v>
          </cell>
          <cell r="AC325" t="str">
            <v>31/08/2013</v>
          </cell>
          <cell r="AD325" t="str">
            <v>Good</v>
          </cell>
          <cell r="AE325" t="str">
            <v>V4 - Decommissioned Installed Facility</v>
          </cell>
          <cell r="AF325">
            <v>42927</v>
          </cell>
          <cell r="AG325">
            <v>9.17</v>
          </cell>
          <cell r="AH325" t="str">
            <v>RI</v>
          </cell>
          <cell r="AI325" t="str">
            <v>Not in contract</v>
          </cell>
          <cell r="AJ325" t="str">
            <v>Not under maintenance</v>
          </cell>
          <cell r="AK325" t="e">
            <v>#N/A</v>
          </cell>
        </row>
        <row r="326">
          <cell r="A326" t="str">
            <v>IKN401646</v>
          </cell>
          <cell r="B326">
            <v>1576</v>
          </cell>
          <cell r="C326" t="str">
            <v>Institut Kanser Negara</v>
          </cell>
          <cell r="D326" t="e">
            <v>#N/A</v>
          </cell>
          <cell r="E326" t="str">
            <v>13-325</v>
          </cell>
          <cell r="F326" t="str">
            <v>Regulators, Suction</v>
          </cell>
          <cell r="G326" t="str">
            <v>WF</v>
          </cell>
          <cell r="H326" t="str">
            <v>RT/ONCO WARD 2 (F)</v>
          </cell>
          <cell r="I326" t="str">
            <v>07WF121</v>
          </cell>
          <cell r="J326" t="str">
            <v>EQUIPMENT ROOM</v>
          </cell>
          <cell r="K326" t="str">
            <v>BMED</v>
          </cell>
          <cell r="L326" t="str">
            <v>Normal</v>
          </cell>
          <cell r="M326" t="str">
            <v>United States</v>
          </cell>
          <cell r="N326" t="str">
            <v>OHIO</v>
          </cell>
          <cell r="O326" t="str">
            <v>R244047311229905</v>
          </cell>
          <cell r="P326" t="str">
            <v>GPHS65146</v>
          </cell>
          <cell r="Q326" t="str">
            <v>Not Applicable</v>
          </cell>
          <cell r="R326" t="str">
            <v>OHIO</v>
          </cell>
          <cell r="S326" t="str">
            <v>Respimedic</v>
          </cell>
          <cell r="T326" t="str">
            <v>Functioning</v>
          </cell>
          <cell r="U326" t="str">
            <v>Asset</v>
          </cell>
          <cell r="V326">
            <v>920</v>
          </cell>
          <cell r="W326" t="str">
            <v>KEW</v>
          </cell>
          <cell r="X326" t="str">
            <v>01/09/2010</v>
          </cell>
          <cell r="Y326" t="str">
            <v>KEW</v>
          </cell>
          <cell r="Z326" t="str">
            <v>16/08/2013</v>
          </cell>
          <cell r="AA326" t="str">
            <v>15/08/2015</v>
          </cell>
          <cell r="AB326" t="str">
            <v>No</v>
          </cell>
          <cell r="AC326" t="str">
            <v>31/08/2013</v>
          </cell>
          <cell r="AD326" t="str">
            <v>Good</v>
          </cell>
          <cell r="AE326" t="str">
            <v>V4 - Decommissioned Installed Facility</v>
          </cell>
          <cell r="AF326">
            <v>42927</v>
          </cell>
          <cell r="AG326">
            <v>9.17</v>
          </cell>
          <cell r="AH326" t="str">
            <v>RI</v>
          </cell>
          <cell r="AI326" t="str">
            <v>Not in contract</v>
          </cell>
          <cell r="AJ326" t="str">
            <v>Not under maintenance</v>
          </cell>
          <cell r="AK326" t="e">
            <v>#N/A</v>
          </cell>
        </row>
        <row r="327">
          <cell r="A327" t="str">
            <v>IKN401647</v>
          </cell>
          <cell r="B327">
            <v>1577</v>
          </cell>
          <cell r="C327" t="str">
            <v>Institut Kanser Negara</v>
          </cell>
          <cell r="D327" t="e">
            <v>#N/A</v>
          </cell>
          <cell r="E327" t="str">
            <v>13-325</v>
          </cell>
          <cell r="F327" t="str">
            <v>Regulators, Suction</v>
          </cell>
          <cell r="G327" t="str">
            <v>WF</v>
          </cell>
          <cell r="H327" t="str">
            <v>RT/ONCO WARD 2 (F)</v>
          </cell>
          <cell r="I327" t="str">
            <v>07WF121</v>
          </cell>
          <cell r="J327" t="str">
            <v>EQUIPMENT ROOM</v>
          </cell>
          <cell r="K327" t="str">
            <v>BMED</v>
          </cell>
          <cell r="L327" t="str">
            <v>Normal</v>
          </cell>
          <cell r="M327" t="str">
            <v>United States</v>
          </cell>
          <cell r="N327" t="str">
            <v>OHIO</v>
          </cell>
          <cell r="O327" t="str">
            <v>R244047311229905</v>
          </cell>
          <cell r="P327" t="str">
            <v>GPHS65123</v>
          </cell>
          <cell r="Q327" t="str">
            <v>Not Applicable</v>
          </cell>
          <cell r="R327" t="str">
            <v>OHIO</v>
          </cell>
          <cell r="S327" t="str">
            <v>Respimedic</v>
          </cell>
          <cell r="T327" t="str">
            <v>Functioning</v>
          </cell>
          <cell r="U327" t="str">
            <v>Asset</v>
          </cell>
          <cell r="V327">
            <v>920</v>
          </cell>
          <cell r="W327" t="str">
            <v>KEW</v>
          </cell>
          <cell r="X327" t="str">
            <v>01/09/2010</v>
          </cell>
          <cell r="Y327" t="str">
            <v>KEW</v>
          </cell>
          <cell r="Z327" t="str">
            <v>16/08/2013</v>
          </cell>
          <cell r="AA327" t="str">
            <v>15/08/2015</v>
          </cell>
          <cell r="AB327" t="str">
            <v>No</v>
          </cell>
          <cell r="AC327" t="str">
            <v>31/08/2013</v>
          </cell>
          <cell r="AD327" t="str">
            <v>Good</v>
          </cell>
          <cell r="AE327" t="str">
            <v>V4 - Decommissioned Installed Facility</v>
          </cell>
          <cell r="AF327">
            <v>42927</v>
          </cell>
          <cell r="AG327">
            <v>9.17</v>
          </cell>
          <cell r="AH327" t="str">
            <v>RI</v>
          </cell>
          <cell r="AI327" t="str">
            <v>Not in contract</v>
          </cell>
          <cell r="AJ327" t="str">
            <v>Not under maintenance</v>
          </cell>
          <cell r="AK327" t="e">
            <v>#N/A</v>
          </cell>
        </row>
        <row r="328">
          <cell r="A328" t="str">
            <v>IKN401648</v>
          </cell>
          <cell r="B328">
            <v>1578</v>
          </cell>
          <cell r="C328" t="str">
            <v>Institut Kanser Negara</v>
          </cell>
          <cell r="D328" t="str">
            <v>KKM/IKN/H/13/5006</v>
          </cell>
          <cell r="E328" t="str">
            <v>13-325</v>
          </cell>
          <cell r="F328" t="str">
            <v>Regulators, Suction</v>
          </cell>
          <cell r="G328" t="str">
            <v>OT</v>
          </cell>
          <cell r="H328" t="str">
            <v>OPERATING THEATRE</v>
          </cell>
          <cell r="I328" t="str">
            <v>05OT159</v>
          </cell>
          <cell r="J328" t="str">
            <v>POST-OP/RECOVERY (FUTURE)</v>
          </cell>
          <cell r="K328" t="str">
            <v>BMED</v>
          </cell>
          <cell r="L328" t="str">
            <v>Normal</v>
          </cell>
          <cell r="M328" t="str">
            <v>United States</v>
          </cell>
          <cell r="N328" t="str">
            <v>OHIO</v>
          </cell>
          <cell r="O328" t="str">
            <v>R244047311229905</v>
          </cell>
          <cell r="P328" t="str">
            <v>GFJT00084</v>
          </cell>
          <cell r="Q328" t="str">
            <v>Not Applicable</v>
          </cell>
          <cell r="R328" t="str">
            <v>OHIO</v>
          </cell>
          <cell r="S328" t="str">
            <v>Respimedic</v>
          </cell>
          <cell r="T328" t="str">
            <v>Functioning</v>
          </cell>
          <cell r="U328" t="str">
            <v>Asset</v>
          </cell>
          <cell r="V328">
            <v>920</v>
          </cell>
          <cell r="W328" t="str">
            <v>KEW</v>
          </cell>
          <cell r="X328" t="str">
            <v>01/09/2010</v>
          </cell>
          <cell r="Y328" t="str">
            <v>KEW</v>
          </cell>
          <cell r="Z328" t="str">
            <v>16/08/2013</v>
          </cell>
          <cell r="AA328" t="str">
            <v>15/08/2015</v>
          </cell>
          <cell r="AB328" t="str">
            <v>No</v>
          </cell>
          <cell r="AC328" t="str">
            <v>31/08/2013</v>
          </cell>
          <cell r="AD328" t="str">
            <v>Good</v>
          </cell>
          <cell r="AE328" t="str">
            <v>V4 - Decommissioned Installed Facility</v>
          </cell>
          <cell r="AF328">
            <v>42928</v>
          </cell>
          <cell r="AG328">
            <v>9.17</v>
          </cell>
          <cell r="AH328" t="str">
            <v>RI</v>
          </cell>
          <cell r="AI328" t="str">
            <v>Strands</v>
          </cell>
          <cell r="AJ328" t="str">
            <v>Not under maintenance</v>
          </cell>
        </row>
        <row r="329">
          <cell r="A329" t="str">
            <v>IKN401649</v>
          </cell>
          <cell r="B329">
            <v>1579</v>
          </cell>
          <cell r="C329" t="str">
            <v>Institut Kanser Negara</v>
          </cell>
          <cell r="D329" t="str">
            <v>KKM/IKN/H/13/5011</v>
          </cell>
          <cell r="E329" t="str">
            <v>13-325</v>
          </cell>
          <cell r="F329" t="str">
            <v>Regulators, Suction</v>
          </cell>
          <cell r="G329" t="str">
            <v>OT</v>
          </cell>
          <cell r="H329" t="str">
            <v>OPERATING THEATRE</v>
          </cell>
          <cell r="I329" t="str">
            <v>05OT159</v>
          </cell>
          <cell r="J329" t="str">
            <v>POST-OP/RECOVERY (FUTURE)</v>
          </cell>
          <cell r="K329" t="str">
            <v>BMED</v>
          </cell>
          <cell r="L329" t="str">
            <v>Normal</v>
          </cell>
          <cell r="M329" t="str">
            <v>United States</v>
          </cell>
          <cell r="N329" t="str">
            <v>OHIO</v>
          </cell>
          <cell r="O329" t="str">
            <v>R244047311229905</v>
          </cell>
          <cell r="P329" t="str">
            <v>GFJT00083</v>
          </cell>
          <cell r="Q329" t="str">
            <v>Not Applicable</v>
          </cell>
          <cell r="R329" t="str">
            <v>OHIO</v>
          </cell>
          <cell r="S329" t="str">
            <v>Respimedic</v>
          </cell>
          <cell r="T329" t="str">
            <v>Functioning</v>
          </cell>
          <cell r="U329" t="str">
            <v>Asset</v>
          </cell>
          <cell r="V329">
            <v>920</v>
          </cell>
          <cell r="W329" t="str">
            <v>KEW</v>
          </cell>
          <cell r="X329" t="str">
            <v>01/09/2010</v>
          </cell>
          <cell r="Y329" t="str">
            <v>KEW</v>
          </cell>
          <cell r="Z329" t="str">
            <v>16/08/2013</v>
          </cell>
          <cell r="AA329" t="str">
            <v>15/08/2015</v>
          </cell>
          <cell r="AB329" t="str">
            <v>No</v>
          </cell>
          <cell r="AC329" t="str">
            <v>31/08/2013</v>
          </cell>
          <cell r="AD329" t="str">
            <v>Good</v>
          </cell>
          <cell r="AE329" t="str">
            <v>V4 - Decommissioned Installed Facility</v>
          </cell>
          <cell r="AF329">
            <v>42928</v>
          </cell>
          <cell r="AG329">
            <v>9.17</v>
          </cell>
          <cell r="AH329" t="str">
            <v>RI</v>
          </cell>
          <cell r="AI329" t="str">
            <v>Strands</v>
          </cell>
          <cell r="AJ329" t="str">
            <v>Not under maintenance</v>
          </cell>
        </row>
        <row r="330">
          <cell r="A330" t="str">
            <v>IKN401650</v>
          </cell>
          <cell r="B330">
            <v>1580</v>
          </cell>
          <cell r="C330" t="str">
            <v>Institut Kanser Negara</v>
          </cell>
          <cell r="D330" t="str">
            <v>KKM/IKN/H/13/5010</v>
          </cell>
          <cell r="E330" t="str">
            <v>13-325</v>
          </cell>
          <cell r="F330" t="str">
            <v>Regulators, Suction</v>
          </cell>
          <cell r="G330" t="str">
            <v>OT</v>
          </cell>
          <cell r="H330" t="str">
            <v>OPERATING THEATRE</v>
          </cell>
          <cell r="I330" t="str">
            <v>05OT128</v>
          </cell>
          <cell r="J330" t="str">
            <v>PRE-OP / PATIENT HOLDING</v>
          </cell>
          <cell r="K330" t="str">
            <v>BMED</v>
          </cell>
          <cell r="L330" t="str">
            <v>Normal</v>
          </cell>
          <cell r="M330" t="str">
            <v>United States</v>
          </cell>
          <cell r="N330" t="str">
            <v>OHIO</v>
          </cell>
          <cell r="O330" t="str">
            <v>R244047311229905</v>
          </cell>
          <cell r="P330" t="str">
            <v>GFJT00097</v>
          </cell>
          <cell r="Q330" t="str">
            <v>Not Applicable</v>
          </cell>
          <cell r="R330" t="str">
            <v>OHIO</v>
          </cell>
          <cell r="S330" t="str">
            <v>Respimedic</v>
          </cell>
          <cell r="T330" t="str">
            <v>Functioning</v>
          </cell>
          <cell r="U330" t="str">
            <v>Asset</v>
          </cell>
          <cell r="V330">
            <v>920</v>
          </cell>
          <cell r="W330" t="str">
            <v>KEW</v>
          </cell>
          <cell r="X330" t="str">
            <v>01/09/2010</v>
          </cell>
          <cell r="Y330" t="str">
            <v>KEW</v>
          </cell>
          <cell r="Z330" t="str">
            <v>16/08/2013</v>
          </cell>
          <cell r="AA330" t="str">
            <v>15/08/2015</v>
          </cell>
          <cell r="AB330" t="str">
            <v>No</v>
          </cell>
          <cell r="AC330" t="str">
            <v>31/08/2013</v>
          </cell>
          <cell r="AD330" t="str">
            <v>Good</v>
          </cell>
          <cell r="AE330" t="str">
            <v>V4 - Decommissioned Installed Facility</v>
          </cell>
          <cell r="AF330">
            <v>42928</v>
          </cell>
          <cell r="AG330">
            <v>9.17</v>
          </cell>
          <cell r="AH330" t="str">
            <v>RI</v>
          </cell>
          <cell r="AI330" t="str">
            <v>Strands</v>
          </cell>
          <cell r="AJ330" t="str">
            <v>Not under maintenance</v>
          </cell>
        </row>
        <row r="331">
          <cell r="A331" t="str">
            <v>IKN401651</v>
          </cell>
          <cell r="B331">
            <v>1581</v>
          </cell>
          <cell r="C331" t="str">
            <v>Institut Kanser Negara</v>
          </cell>
          <cell r="D331" t="str">
            <v>KKM/IKN/H/13/5008</v>
          </cell>
          <cell r="E331" t="str">
            <v>13-325</v>
          </cell>
          <cell r="F331" t="str">
            <v>Regulators, Suction</v>
          </cell>
          <cell r="G331" t="str">
            <v>OT</v>
          </cell>
          <cell r="H331" t="str">
            <v>OPERATING THEATRE</v>
          </cell>
          <cell r="I331" t="str">
            <v>05OT128</v>
          </cell>
          <cell r="J331" t="str">
            <v>PRE-OP / PATIENT HOLDING</v>
          </cell>
          <cell r="K331" t="str">
            <v>BMED</v>
          </cell>
          <cell r="L331" t="str">
            <v>Normal</v>
          </cell>
          <cell r="M331" t="str">
            <v>United States</v>
          </cell>
          <cell r="N331" t="str">
            <v>OHIO</v>
          </cell>
          <cell r="O331" t="str">
            <v>R244047311229905</v>
          </cell>
          <cell r="P331" t="str">
            <v>GFJT00094</v>
          </cell>
          <cell r="Q331" t="str">
            <v>Not Applicable</v>
          </cell>
          <cell r="R331" t="str">
            <v>OHIO</v>
          </cell>
          <cell r="S331" t="str">
            <v>Respimedic</v>
          </cell>
          <cell r="T331" t="str">
            <v>Functioning</v>
          </cell>
          <cell r="U331" t="str">
            <v>Asset</v>
          </cell>
          <cell r="V331">
            <v>920</v>
          </cell>
          <cell r="W331" t="str">
            <v>KEW</v>
          </cell>
          <cell r="X331" t="str">
            <v>01/09/2010</v>
          </cell>
          <cell r="Y331" t="str">
            <v>KEW</v>
          </cell>
          <cell r="Z331" t="str">
            <v>16/08/2013</v>
          </cell>
          <cell r="AA331" t="str">
            <v>15/08/2015</v>
          </cell>
          <cell r="AB331" t="str">
            <v>No</v>
          </cell>
          <cell r="AC331" t="str">
            <v>31/08/2013</v>
          </cell>
          <cell r="AD331" t="str">
            <v>Good</v>
          </cell>
          <cell r="AE331" t="str">
            <v>V4 - Decommissioned Installed Facility</v>
          </cell>
          <cell r="AF331">
            <v>42928</v>
          </cell>
          <cell r="AG331">
            <v>9.17</v>
          </cell>
          <cell r="AH331" t="str">
            <v>RI</v>
          </cell>
          <cell r="AI331" t="str">
            <v>Strands</v>
          </cell>
          <cell r="AJ331" t="str">
            <v>Not under maintenance</v>
          </cell>
        </row>
        <row r="332">
          <cell r="A332" t="str">
            <v>IKN401652</v>
          </cell>
          <cell r="B332">
            <v>1582</v>
          </cell>
          <cell r="C332" t="str">
            <v>Institut Kanser Negara</v>
          </cell>
          <cell r="D332" t="str">
            <v>KKM/IKN/H/13/5012</v>
          </cell>
          <cell r="E332" t="str">
            <v>13-325</v>
          </cell>
          <cell r="F332" t="str">
            <v>Regulators, Suction</v>
          </cell>
          <cell r="G332" t="str">
            <v>OT</v>
          </cell>
          <cell r="H332" t="str">
            <v>OPERATING THEATRE</v>
          </cell>
          <cell r="I332" t="str">
            <v>05OT123</v>
          </cell>
          <cell r="J332" t="str">
            <v>0T 1</v>
          </cell>
          <cell r="K332" t="str">
            <v>BMED</v>
          </cell>
          <cell r="L332" t="str">
            <v>Normal</v>
          </cell>
          <cell r="M332" t="str">
            <v>United States</v>
          </cell>
          <cell r="N332" t="str">
            <v>OHIO</v>
          </cell>
          <cell r="O332" t="str">
            <v>R244047311229905</v>
          </cell>
          <cell r="P332" t="str">
            <v>GFJT00081</v>
          </cell>
          <cell r="Q332" t="str">
            <v>Not Applicable</v>
          </cell>
          <cell r="R332" t="str">
            <v>OHIO</v>
          </cell>
          <cell r="S332" t="str">
            <v>Respimedic</v>
          </cell>
          <cell r="T332" t="str">
            <v>Functioning</v>
          </cell>
          <cell r="U332" t="str">
            <v>Asset</v>
          </cell>
          <cell r="V332">
            <v>920</v>
          </cell>
          <cell r="W332" t="str">
            <v>KEW</v>
          </cell>
          <cell r="X332" t="str">
            <v>01/09/2010</v>
          </cell>
          <cell r="Y332" t="str">
            <v>KEW</v>
          </cell>
          <cell r="Z332" t="str">
            <v>16/08/2013</v>
          </cell>
          <cell r="AA332" t="str">
            <v>15/08/2015</v>
          </cell>
          <cell r="AB332" t="str">
            <v>No</v>
          </cell>
          <cell r="AC332" t="str">
            <v>31/08/2013</v>
          </cell>
          <cell r="AD332" t="str">
            <v>Good</v>
          </cell>
          <cell r="AE332" t="str">
            <v>V4 - Decommissioned Installed Facility</v>
          </cell>
          <cell r="AF332">
            <v>42928</v>
          </cell>
          <cell r="AG332">
            <v>9.17</v>
          </cell>
          <cell r="AH332" t="str">
            <v>RI</v>
          </cell>
          <cell r="AI332" t="str">
            <v>Strands</v>
          </cell>
          <cell r="AJ332" t="str">
            <v>Not under maintenance</v>
          </cell>
        </row>
        <row r="333">
          <cell r="A333" t="str">
            <v>IKN401653</v>
          </cell>
          <cell r="B333">
            <v>1583</v>
          </cell>
          <cell r="C333" t="str">
            <v>Institut Kanser Negara</v>
          </cell>
          <cell r="D333" t="str">
            <v>KKM/IKN/H/13/5009</v>
          </cell>
          <cell r="E333" t="str">
            <v>13-325</v>
          </cell>
          <cell r="F333" t="str">
            <v>Regulators, Suction</v>
          </cell>
          <cell r="G333" t="str">
            <v>OT</v>
          </cell>
          <cell r="H333" t="str">
            <v>OPERATING THEATRE</v>
          </cell>
          <cell r="I333" t="str">
            <v>05OT123</v>
          </cell>
          <cell r="J333" t="str">
            <v>0T 1</v>
          </cell>
          <cell r="K333" t="str">
            <v>BMED</v>
          </cell>
          <cell r="L333" t="str">
            <v>Normal</v>
          </cell>
          <cell r="M333" t="str">
            <v>United States</v>
          </cell>
          <cell r="N333" t="str">
            <v>OHIO</v>
          </cell>
          <cell r="O333" t="str">
            <v>R244047311229905</v>
          </cell>
          <cell r="P333" t="str">
            <v>GFJT00095</v>
          </cell>
          <cell r="Q333" t="str">
            <v>Not Applicable</v>
          </cell>
          <cell r="R333" t="str">
            <v>OHIO</v>
          </cell>
          <cell r="S333" t="str">
            <v>Respimedic</v>
          </cell>
          <cell r="T333" t="str">
            <v>Functioning</v>
          </cell>
          <cell r="U333" t="str">
            <v>Asset</v>
          </cell>
          <cell r="V333">
            <v>920</v>
          </cell>
          <cell r="W333" t="str">
            <v>KEW</v>
          </cell>
          <cell r="X333" t="str">
            <v>01/09/2010</v>
          </cell>
          <cell r="Y333" t="str">
            <v>KEW</v>
          </cell>
          <cell r="Z333" t="str">
            <v>16/08/2013</v>
          </cell>
          <cell r="AA333" t="str">
            <v>15/08/2015</v>
          </cell>
          <cell r="AB333" t="str">
            <v>No</v>
          </cell>
          <cell r="AC333" t="str">
            <v>31/08/2013</v>
          </cell>
          <cell r="AD333" t="str">
            <v>Good</v>
          </cell>
          <cell r="AE333" t="str">
            <v>V4 - Decommissioned Installed Facility</v>
          </cell>
          <cell r="AF333">
            <v>42928</v>
          </cell>
          <cell r="AG333">
            <v>9.17</v>
          </cell>
          <cell r="AH333" t="str">
            <v>RI</v>
          </cell>
          <cell r="AI333" t="str">
            <v>Strands</v>
          </cell>
          <cell r="AJ333" t="str">
            <v>Not under maintenance</v>
          </cell>
        </row>
        <row r="334">
          <cell r="A334" t="str">
            <v>IKN401654</v>
          </cell>
          <cell r="B334">
            <v>1584</v>
          </cell>
          <cell r="C334" t="str">
            <v>Institut Kanser Negara</v>
          </cell>
          <cell r="D334" t="str">
            <v>KKM/IKN/H/13/5013</v>
          </cell>
          <cell r="E334" t="str">
            <v>13-325</v>
          </cell>
          <cell r="F334" t="str">
            <v>Regulators, Suction</v>
          </cell>
          <cell r="G334" t="str">
            <v>OT</v>
          </cell>
          <cell r="H334" t="str">
            <v>OPERATING THEATRE</v>
          </cell>
          <cell r="I334" t="str">
            <v>05OT123</v>
          </cell>
          <cell r="J334" t="str">
            <v>0T 1</v>
          </cell>
          <cell r="K334" t="str">
            <v>BMED</v>
          </cell>
          <cell r="L334" t="str">
            <v>Normal</v>
          </cell>
          <cell r="M334" t="str">
            <v>United States</v>
          </cell>
          <cell r="N334" t="str">
            <v>OHIO</v>
          </cell>
          <cell r="O334" t="str">
            <v>R244047311229905</v>
          </cell>
          <cell r="P334" t="str">
            <v>GFJT00085</v>
          </cell>
          <cell r="Q334" t="str">
            <v>Not Applicable</v>
          </cell>
          <cell r="R334" t="str">
            <v>OHIO</v>
          </cell>
          <cell r="S334" t="str">
            <v>Respimedic</v>
          </cell>
          <cell r="T334" t="str">
            <v>Functioning</v>
          </cell>
          <cell r="U334" t="str">
            <v>Asset</v>
          </cell>
          <cell r="V334">
            <v>920</v>
          </cell>
          <cell r="W334" t="str">
            <v>KEW</v>
          </cell>
          <cell r="X334" t="str">
            <v>01/09/2010</v>
          </cell>
          <cell r="Y334" t="str">
            <v>KEW</v>
          </cell>
          <cell r="Z334" t="str">
            <v>16/08/2013</v>
          </cell>
          <cell r="AA334" t="str">
            <v>15/08/2015</v>
          </cell>
          <cell r="AB334" t="str">
            <v>No</v>
          </cell>
          <cell r="AC334" t="str">
            <v>31/08/2013</v>
          </cell>
          <cell r="AD334" t="str">
            <v>Good</v>
          </cell>
          <cell r="AE334" t="str">
            <v>V4 - Decommissioned Installed Facility</v>
          </cell>
          <cell r="AF334">
            <v>42929</v>
          </cell>
          <cell r="AG334">
            <v>9.17</v>
          </cell>
          <cell r="AH334" t="str">
            <v>RI</v>
          </cell>
          <cell r="AI334" t="str">
            <v>Strands</v>
          </cell>
          <cell r="AJ334" t="str">
            <v>Not under maintenance</v>
          </cell>
        </row>
        <row r="335">
          <cell r="A335" t="str">
            <v>IKN401655</v>
          </cell>
          <cell r="B335">
            <v>1585</v>
          </cell>
          <cell r="C335" t="str">
            <v>Institut Kanser Negara</v>
          </cell>
          <cell r="D335" t="str">
            <v>KKM/IKN/H/13/5007</v>
          </cell>
          <cell r="E335" t="str">
            <v>13-325</v>
          </cell>
          <cell r="F335" t="str">
            <v>Regulators, Suction</v>
          </cell>
          <cell r="G335" t="str">
            <v>OT</v>
          </cell>
          <cell r="H335" t="str">
            <v>OPERATING THEATRE</v>
          </cell>
          <cell r="I335" t="str">
            <v>05OT120</v>
          </cell>
          <cell r="J335" t="str">
            <v>OT 2</v>
          </cell>
          <cell r="K335" t="str">
            <v>BMED</v>
          </cell>
          <cell r="L335" t="str">
            <v>Normal</v>
          </cell>
          <cell r="M335" t="str">
            <v>United States</v>
          </cell>
          <cell r="N335" t="str">
            <v>OHIO</v>
          </cell>
          <cell r="O335" t="str">
            <v>R244047311229905</v>
          </cell>
          <cell r="P335" t="str">
            <v>GFJT00100</v>
          </cell>
          <cell r="Q335" t="str">
            <v>Not Applicable</v>
          </cell>
          <cell r="R335" t="str">
            <v>OHIO</v>
          </cell>
          <cell r="S335" t="str">
            <v>Respimedic</v>
          </cell>
          <cell r="T335" t="str">
            <v>Functioning</v>
          </cell>
          <cell r="U335" t="str">
            <v>Asset</v>
          </cell>
          <cell r="V335">
            <v>920</v>
          </cell>
          <cell r="W335" t="str">
            <v>KEW</v>
          </cell>
          <cell r="X335" t="str">
            <v>01/09/2010</v>
          </cell>
          <cell r="Y335" t="str">
            <v>KEW</v>
          </cell>
          <cell r="Z335" t="str">
            <v>16/08/2013</v>
          </cell>
          <cell r="AA335" t="str">
            <v>15/08/2015</v>
          </cell>
          <cell r="AB335" t="str">
            <v>No</v>
          </cell>
          <cell r="AC335" t="str">
            <v>31/08/2013</v>
          </cell>
          <cell r="AD335" t="str">
            <v>Good</v>
          </cell>
          <cell r="AE335" t="str">
            <v>V4 - Decommissioned Installed Facility</v>
          </cell>
          <cell r="AF335">
            <v>42929</v>
          </cell>
          <cell r="AG335">
            <v>9.17</v>
          </cell>
          <cell r="AH335" t="str">
            <v>RI</v>
          </cell>
          <cell r="AI335" t="str">
            <v>Strands</v>
          </cell>
          <cell r="AJ335" t="str">
            <v>Not under maintenance</v>
          </cell>
        </row>
        <row r="336">
          <cell r="A336" t="str">
            <v>IKN401657</v>
          </cell>
          <cell r="B336">
            <v>1587</v>
          </cell>
          <cell r="C336" t="str">
            <v>Institut Kanser Negara</v>
          </cell>
          <cell r="D336" t="e">
            <v>#N/A</v>
          </cell>
          <cell r="E336" t="str">
            <v>13-325</v>
          </cell>
          <cell r="F336" t="str">
            <v>Regulators, Suction</v>
          </cell>
          <cell r="G336" t="str">
            <v>WG</v>
          </cell>
          <cell r="H336" t="str">
            <v>RT/ONCO WARD 1 (M)</v>
          </cell>
          <cell r="I336" t="str">
            <v>08WG111</v>
          </cell>
          <cell r="J336" t="str">
            <v>2 BED ROOM</v>
          </cell>
          <cell r="K336" t="str">
            <v>BMED</v>
          </cell>
          <cell r="L336" t="str">
            <v>Normal</v>
          </cell>
          <cell r="M336" t="str">
            <v>United States</v>
          </cell>
          <cell r="N336" t="str">
            <v>OHIO</v>
          </cell>
          <cell r="O336" t="str">
            <v>R244047311229905</v>
          </cell>
          <cell r="P336" t="str">
            <v>GPHS65157</v>
          </cell>
          <cell r="Q336" t="str">
            <v>Not Applicable</v>
          </cell>
          <cell r="R336" t="str">
            <v>OHIO</v>
          </cell>
          <cell r="S336" t="str">
            <v>Respimedic</v>
          </cell>
          <cell r="T336" t="str">
            <v>Functioning</v>
          </cell>
          <cell r="U336" t="str">
            <v>Asset</v>
          </cell>
          <cell r="V336">
            <v>920</v>
          </cell>
          <cell r="W336" t="str">
            <v>KEW</v>
          </cell>
          <cell r="X336" t="str">
            <v>01/09/2010</v>
          </cell>
          <cell r="Y336" t="str">
            <v>KEW</v>
          </cell>
          <cell r="Z336" t="str">
            <v>16/08/2013</v>
          </cell>
          <cell r="AA336" t="str">
            <v>15/08/2015</v>
          </cell>
          <cell r="AB336" t="str">
            <v>No</v>
          </cell>
          <cell r="AC336" t="str">
            <v>31/08/2013</v>
          </cell>
          <cell r="AD336" t="str">
            <v>Good</v>
          </cell>
          <cell r="AE336" t="str">
            <v>V4 - Decommissioned Installed Facility</v>
          </cell>
          <cell r="AF336">
            <v>42957</v>
          </cell>
          <cell r="AG336">
            <v>9.17</v>
          </cell>
          <cell r="AH336" t="str">
            <v>RI</v>
          </cell>
          <cell r="AI336" t="str">
            <v>Not in contract</v>
          </cell>
          <cell r="AJ336" t="str">
            <v>Not under maintenance</v>
          </cell>
          <cell r="AK336" t="e">
            <v>#N/A</v>
          </cell>
        </row>
        <row r="337">
          <cell r="A337" t="str">
            <v>IKN401658</v>
          </cell>
          <cell r="B337">
            <v>1588</v>
          </cell>
          <cell r="C337" t="str">
            <v>Institut Kanser Negara</v>
          </cell>
          <cell r="D337" t="e">
            <v>#N/A</v>
          </cell>
          <cell r="E337" t="str">
            <v>13-325</v>
          </cell>
          <cell r="F337" t="str">
            <v>Regulators, Suction</v>
          </cell>
          <cell r="G337" t="str">
            <v>WG</v>
          </cell>
          <cell r="H337" t="str">
            <v>RT/ONCO WARD 1 (M)</v>
          </cell>
          <cell r="I337" t="str">
            <v>08WG111</v>
          </cell>
          <cell r="J337" t="str">
            <v>2 BED ROOM</v>
          </cell>
          <cell r="K337" t="str">
            <v>BMED</v>
          </cell>
          <cell r="L337" t="str">
            <v>Normal</v>
          </cell>
          <cell r="M337" t="str">
            <v>United States</v>
          </cell>
          <cell r="N337" t="str">
            <v>OHIO</v>
          </cell>
          <cell r="O337" t="str">
            <v>R244047311229905</v>
          </cell>
          <cell r="P337" t="str">
            <v>GPHS65122</v>
          </cell>
          <cell r="Q337" t="str">
            <v>Not Applicable</v>
          </cell>
          <cell r="R337" t="str">
            <v>OHIO</v>
          </cell>
          <cell r="S337" t="str">
            <v>Respimedic</v>
          </cell>
          <cell r="T337" t="str">
            <v>Functioning</v>
          </cell>
          <cell r="U337" t="str">
            <v>Asset</v>
          </cell>
          <cell r="V337">
            <v>920</v>
          </cell>
          <cell r="W337" t="str">
            <v>KEW</v>
          </cell>
          <cell r="X337" t="str">
            <v>01/09/2010</v>
          </cell>
          <cell r="Y337" t="str">
            <v>KEW</v>
          </cell>
          <cell r="Z337" t="str">
            <v>16/08/2013</v>
          </cell>
          <cell r="AA337" t="str">
            <v>15/08/2015</v>
          </cell>
          <cell r="AB337" t="str">
            <v>No</v>
          </cell>
          <cell r="AC337" t="str">
            <v>31/08/2013</v>
          </cell>
          <cell r="AD337" t="str">
            <v>Good</v>
          </cell>
          <cell r="AE337" t="str">
            <v>V4 - Decommissioned Installed Facility</v>
          </cell>
          <cell r="AF337">
            <v>42957</v>
          </cell>
          <cell r="AG337">
            <v>9.17</v>
          </cell>
          <cell r="AH337" t="str">
            <v>RI</v>
          </cell>
          <cell r="AI337" t="str">
            <v>Not in contract</v>
          </cell>
          <cell r="AJ337" t="str">
            <v>Not under maintenance</v>
          </cell>
          <cell r="AK337" t="e">
            <v>#N/A</v>
          </cell>
        </row>
        <row r="338">
          <cell r="A338" t="str">
            <v>IKN401659</v>
          </cell>
          <cell r="B338">
            <v>1589</v>
          </cell>
          <cell r="C338" t="str">
            <v>Institut Kanser Negara</v>
          </cell>
          <cell r="D338" t="e">
            <v>#N/A</v>
          </cell>
          <cell r="E338" t="str">
            <v>13-325</v>
          </cell>
          <cell r="F338" t="str">
            <v>Regulators, Suction</v>
          </cell>
          <cell r="G338" t="str">
            <v>WG</v>
          </cell>
          <cell r="H338" t="str">
            <v>RT/ONCO WARD 1 (M)</v>
          </cell>
          <cell r="I338" t="str">
            <v>08WG108</v>
          </cell>
          <cell r="J338" t="str">
            <v>4 BED ROOM 1</v>
          </cell>
          <cell r="K338" t="str">
            <v>BMED</v>
          </cell>
          <cell r="L338" t="str">
            <v>Normal</v>
          </cell>
          <cell r="M338" t="str">
            <v>United States</v>
          </cell>
          <cell r="N338" t="str">
            <v>OHIO</v>
          </cell>
          <cell r="O338" t="str">
            <v>R244047311229905</v>
          </cell>
          <cell r="P338" t="str">
            <v>GPHS65156</v>
          </cell>
          <cell r="Q338" t="str">
            <v>Not Applicable</v>
          </cell>
          <cell r="R338" t="str">
            <v>OHIO</v>
          </cell>
          <cell r="S338" t="str">
            <v>Respimedic</v>
          </cell>
          <cell r="T338" t="str">
            <v>Functioning</v>
          </cell>
          <cell r="U338" t="str">
            <v>Asset</v>
          </cell>
          <cell r="V338">
            <v>920</v>
          </cell>
          <cell r="W338" t="str">
            <v>KEW</v>
          </cell>
          <cell r="X338" t="str">
            <v>01/09/2010</v>
          </cell>
          <cell r="Y338" t="str">
            <v>KEW</v>
          </cell>
          <cell r="Z338" t="str">
            <v>16/08/2013</v>
          </cell>
          <cell r="AA338" t="str">
            <v>15/08/2015</v>
          </cell>
          <cell r="AB338" t="str">
            <v>No</v>
          </cell>
          <cell r="AC338" t="str">
            <v>31/08/2013</v>
          </cell>
          <cell r="AD338" t="str">
            <v>Good</v>
          </cell>
          <cell r="AE338" t="str">
            <v>V4 - Decommissioned Installed Facility</v>
          </cell>
          <cell r="AF338">
            <v>42957</v>
          </cell>
          <cell r="AG338">
            <v>9.17</v>
          </cell>
          <cell r="AH338" t="str">
            <v>RI</v>
          </cell>
          <cell r="AI338" t="str">
            <v>Not in contract</v>
          </cell>
          <cell r="AJ338" t="str">
            <v>Not under maintenance</v>
          </cell>
          <cell r="AK338" t="e">
            <v>#N/A</v>
          </cell>
        </row>
        <row r="339">
          <cell r="A339" t="str">
            <v>IKN401660</v>
          </cell>
          <cell r="B339">
            <v>1590</v>
          </cell>
          <cell r="C339" t="str">
            <v>Institut Kanser Negara</v>
          </cell>
          <cell r="D339" t="e">
            <v>#N/A</v>
          </cell>
          <cell r="E339" t="str">
            <v>13-325</v>
          </cell>
          <cell r="F339" t="str">
            <v>Regulators, Suction</v>
          </cell>
          <cell r="G339" t="str">
            <v>WG</v>
          </cell>
          <cell r="H339" t="str">
            <v>RT/ONCO WARD 1 (M)</v>
          </cell>
          <cell r="I339" t="str">
            <v>08WG108</v>
          </cell>
          <cell r="J339" t="str">
            <v>4 BED ROOM 1</v>
          </cell>
          <cell r="K339" t="str">
            <v>BMED</v>
          </cell>
          <cell r="L339" t="str">
            <v>Normal</v>
          </cell>
          <cell r="M339" t="str">
            <v>United States</v>
          </cell>
          <cell r="N339" t="str">
            <v>OHIO</v>
          </cell>
          <cell r="O339" t="str">
            <v>R244047311229905</v>
          </cell>
          <cell r="P339" t="str">
            <v>GPHS65165</v>
          </cell>
          <cell r="Q339" t="str">
            <v>Not Applicable</v>
          </cell>
          <cell r="R339" t="str">
            <v>OHIO</v>
          </cell>
          <cell r="S339" t="str">
            <v>Respimedic</v>
          </cell>
          <cell r="T339" t="str">
            <v>Functioning</v>
          </cell>
          <cell r="U339" t="str">
            <v>Asset</v>
          </cell>
          <cell r="V339">
            <v>920</v>
          </cell>
          <cell r="W339" t="str">
            <v>KEW</v>
          </cell>
          <cell r="X339" t="str">
            <v>01/09/2010</v>
          </cell>
          <cell r="Y339" t="str">
            <v>KEW</v>
          </cell>
          <cell r="Z339" t="str">
            <v>16/08/2013</v>
          </cell>
          <cell r="AA339" t="str">
            <v>15/08/2015</v>
          </cell>
          <cell r="AB339" t="str">
            <v>No</v>
          </cell>
          <cell r="AC339" t="str">
            <v>31/08/2013</v>
          </cell>
          <cell r="AD339" t="str">
            <v>Good</v>
          </cell>
          <cell r="AE339" t="str">
            <v>V4 - Decommissioned Installed Facility</v>
          </cell>
          <cell r="AF339">
            <v>42957</v>
          </cell>
          <cell r="AG339">
            <v>9.17</v>
          </cell>
          <cell r="AH339" t="str">
            <v>RI</v>
          </cell>
          <cell r="AI339" t="str">
            <v>Not in contract</v>
          </cell>
          <cell r="AJ339" t="str">
            <v>Not under maintenance</v>
          </cell>
          <cell r="AK339" t="e">
            <v>#N/A</v>
          </cell>
        </row>
        <row r="340">
          <cell r="A340" t="str">
            <v>IKN401661</v>
          </cell>
          <cell r="B340">
            <v>1591</v>
          </cell>
          <cell r="C340" t="str">
            <v>Institut Kanser Negara</v>
          </cell>
          <cell r="D340" t="e">
            <v>#N/A</v>
          </cell>
          <cell r="E340" t="str">
            <v>13-325</v>
          </cell>
          <cell r="F340" t="str">
            <v>Regulators, Suction</v>
          </cell>
          <cell r="G340" t="str">
            <v>WG</v>
          </cell>
          <cell r="H340" t="str">
            <v>RT/ONCO WARD 1 (M)</v>
          </cell>
          <cell r="I340" t="str">
            <v>08WG108</v>
          </cell>
          <cell r="J340" t="str">
            <v>4 BED ROOM 1</v>
          </cell>
          <cell r="K340" t="str">
            <v>BMED</v>
          </cell>
          <cell r="L340" t="str">
            <v>Normal</v>
          </cell>
          <cell r="M340" t="str">
            <v>United States</v>
          </cell>
          <cell r="N340" t="str">
            <v>OHIO</v>
          </cell>
          <cell r="O340" t="str">
            <v>R244047311229905</v>
          </cell>
          <cell r="P340" t="str">
            <v>GPHS65147</v>
          </cell>
          <cell r="Q340" t="str">
            <v>Not Applicable</v>
          </cell>
          <cell r="R340" t="str">
            <v>OHIO</v>
          </cell>
          <cell r="S340" t="str">
            <v>Respimedic</v>
          </cell>
          <cell r="T340" t="str">
            <v>Functioning</v>
          </cell>
          <cell r="U340" t="str">
            <v>Asset</v>
          </cell>
          <cell r="V340">
            <v>920</v>
          </cell>
          <cell r="W340" t="str">
            <v>KEW</v>
          </cell>
          <cell r="X340" t="str">
            <v>01/09/2010</v>
          </cell>
          <cell r="Y340" t="str">
            <v>KEW</v>
          </cell>
          <cell r="Z340" t="str">
            <v>16/08/2013</v>
          </cell>
          <cell r="AA340" t="str">
            <v>15/08/2015</v>
          </cell>
          <cell r="AB340" t="str">
            <v>No</v>
          </cell>
          <cell r="AC340" t="str">
            <v>31/08/2013</v>
          </cell>
          <cell r="AD340" t="str">
            <v>Good</v>
          </cell>
          <cell r="AE340" t="str">
            <v>V4 - Decommissioned Installed Facility</v>
          </cell>
          <cell r="AF340">
            <v>42957</v>
          </cell>
          <cell r="AG340">
            <v>9.17</v>
          </cell>
          <cell r="AH340" t="str">
            <v>RI</v>
          </cell>
          <cell r="AI340" t="str">
            <v>Not in contract</v>
          </cell>
          <cell r="AJ340" t="str">
            <v>Not under maintenance</v>
          </cell>
          <cell r="AK340" t="e">
            <v>#N/A</v>
          </cell>
        </row>
        <row r="341">
          <cell r="A341" t="str">
            <v>IKN401662</v>
          </cell>
          <cell r="B341">
            <v>1592</v>
          </cell>
          <cell r="C341" t="str">
            <v>Institut Kanser Negara</v>
          </cell>
          <cell r="D341" t="e">
            <v>#N/A</v>
          </cell>
          <cell r="E341" t="str">
            <v>13-325</v>
          </cell>
          <cell r="F341" t="str">
            <v>Regulators, Suction</v>
          </cell>
          <cell r="G341" t="str">
            <v>WG</v>
          </cell>
          <cell r="H341" t="str">
            <v>RT/ONCO WARD 1 (M)</v>
          </cell>
          <cell r="I341" t="str">
            <v>08WG116</v>
          </cell>
          <cell r="J341" t="str">
            <v>4 BEDROOM 2</v>
          </cell>
          <cell r="K341" t="str">
            <v>BMED</v>
          </cell>
          <cell r="L341" t="str">
            <v>Normal</v>
          </cell>
          <cell r="M341" t="str">
            <v>United States</v>
          </cell>
          <cell r="N341" t="str">
            <v>OHIO</v>
          </cell>
          <cell r="O341" t="str">
            <v>R244047311229905</v>
          </cell>
          <cell r="P341" t="str">
            <v>GPHS65161</v>
          </cell>
          <cell r="Q341" t="str">
            <v>Not Applicable</v>
          </cell>
          <cell r="R341" t="str">
            <v>OHIO</v>
          </cell>
          <cell r="S341" t="str">
            <v>Respimedic</v>
          </cell>
          <cell r="T341" t="str">
            <v>Functioning</v>
          </cell>
          <cell r="U341" t="str">
            <v>Asset</v>
          </cell>
          <cell r="V341">
            <v>920</v>
          </cell>
          <cell r="W341" t="str">
            <v>KEW</v>
          </cell>
          <cell r="X341" t="str">
            <v>01/09/2010</v>
          </cell>
          <cell r="Y341" t="str">
            <v>KEW</v>
          </cell>
          <cell r="Z341" t="str">
            <v>16/08/2013</v>
          </cell>
          <cell r="AA341" t="str">
            <v>15/08/2015</v>
          </cell>
          <cell r="AB341" t="str">
            <v>No</v>
          </cell>
          <cell r="AC341" t="str">
            <v>31/08/2013</v>
          </cell>
          <cell r="AD341" t="str">
            <v>Good</v>
          </cell>
          <cell r="AE341" t="str">
            <v>V4 - Decommissioned Installed Facility</v>
          </cell>
          <cell r="AF341">
            <v>42957</v>
          </cell>
          <cell r="AG341">
            <v>9.17</v>
          </cell>
          <cell r="AH341" t="str">
            <v>RI</v>
          </cell>
          <cell r="AI341" t="str">
            <v>Not in contract</v>
          </cell>
          <cell r="AJ341" t="str">
            <v>Not under maintenance</v>
          </cell>
          <cell r="AK341" t="e">
            <v>#N/A</v>
          </cell>
        </row>
        <row r="342">
          <cell r="A342" t="str">
            <v>IKN401663</v>
          </cell>
          <cell r="B342">
            <v>1593</v>
          </cell>
          <cell r="C342" t="str">
            <v>Institut Kanser Negara</v>
          </cell>
          <cell r="D342" t="e">
            <v>#N/A</v>
          </cell>
          <cell r="E342" t="str">
            <v>13-325</v>
          </cell>
          <cell r="F342" t="str">
            <v>Regulators, Suction</v>
          </cell>
          <cell r="G342" t="str">
            <v>WG</v>
          </cell>
          <cell r="H342" t="str">
            <v>RT/ONCO WARD 1 (M)</v>
          </cell>
          <cell r="I342" t="str">
            <v>08WG116</v>
          </cell>
          <cell r="J342" t="str">
            <v>4 BEDROOM 2</v>
          </cell>
          <cell r="K342" t="str">
            <v>BMED</v>
          </cell>
          <cell r="L342" t="str">
            <v>Normal</v>
          </cell>
          <cell r="M342" t="str">
            <v>United States</v>
          </cell>
          <cell r="N342" t="str">
            <v>OHIO</v>
          </cell>
          <cell r="O342" t="str">
            <v>R244047311229905</v>
          </cell>
          <cell r="P342" t="str">
            <v>GPHS65140</v>
          </cell>
          <cell r="Q342" t="str">
            <v>Not Applicable</v>
          </cell>
          <cell r="R342" t="str">
            <v>OHIO</v>
          </cell>
          <cell r="S342" t="str">
            <v>Respimedic</v>
          </cell>
          <cell r="T342" t="str">
            <v>Functioning</v>
          </cell>
          <cell r="U342" t="str">
            <v>Asset</v>
          </cell>
          <cell r="V342">
            <v>920</v>
          </cell>
          <cell r="W342" t="str">
            <v>KEW</v>
          </cell>
          <cell r="X342" t="str">
            <v>01/09/2010</v>
          </cell>
          <cell r="Y342" t="str">
            <v>KEW</v>
          </cell>
          <cell r="Z342" t="str">
            <v>16/08/2013</v>
          </cell>
          <cell r="AA342" t="str">
            <v>15/08/2015</v>
          </cell>
          <cell r="AB342" t="str">
            <v>No</v>
          </cell>
          <cell r="AC342" t="str">
            <v>31/08/2013</v>
          </cell>
          <cell r="AD342" t="str">
            <v>Good</v>
          </cell>
          <cell r="AE342" t="str">
            <v>V4 - Decommissioned Installed Facility</v>
          </cell>
          <cell r="AF342">
            <v>42957</v>
          </cell>
          <cell r="AG342">
            <v>9.17</v>
          </cell>
          <cell r="AH342" t="str">
            <v>RI</v>
          </cell>
          <cell r="AI342" t="str">
            <v>Not in contract</v>
          </cell>
          <cell r="AJ342" t="str">
            <v>Not under maintenance</v>
          </cell>
          <cell r="AK342" t="e">
            <v>#N/A</v>
          </cell>
        </row>
        <row r="343">
          <cell r="A343" t="str">
            <v>IKN401664</v>
          </cell>
          <cell r="B343">
            <v>1594</v>
          </cell>
          <cell r="C343" t="str">
            <v>Institut Kanser Negara</v>
          </cell>
          <cell r="D343" t="e">
            <v>#N/A</v>
          </cell>
          <cell r="E343" t="str">
            <v>13-325</v>
          </cell>
          <cell r="F343" t="str">
            <v>Regulators, Suction</v>
          </cell>
          <cell r="G343" t="str">
            <v>WG</v>
          </cell>
          <cell r="H343" t="str">
            <v>RT/ONCO WARD 1 (M)</v>
          </cell>
          <cell r="I343" t="str">
            <v>08WG128</v>
          </cell>
          <cell r="J343" t="str">
            <v>4 BED ROOM</v>
          </cell>
          <cell r="K343" t="str">
            <v>BMED</v>
          </cell>
          <cell r="L343" t="str">
            <v>Normal</v>
          </cell>
          <cell r="M343" t="str">
            <v>United States</v>
          </cell>
          <cell r="N343" t="str">
            <v>OHIO</v>
          </cell>
          <cell r="O343" t="str">
            <v>R244047311229905</v>
          </cell>
          <cell r="P343" t="str">
            <v>GPHS65099</v>
          </cell>
          <cell r="Q343" t="str">
            <v>Not Applicable</v>
          </cell>
          <cell r="R343" t="str">
            <v>OHIO</v>
          </cell>
          <cell r="S343" t="str">
            <v>Respimedic</v>
          </cell>
          <cell r="T343" t="str">
            <v>Functioning</v>
          </cell>
          <cell r="U343" t="str">
            <v>Asset</v>
          </cell>
          <cell r="V343">
            <v>920</v>
          </cell>
          <cell r="W343" t="str">
            <v>KEW</v>
          </cell>
          <cell r="X343" t="str">
            <v>01/09/2010</v>
          </cell>
          <cell r="Y343" t="str">
            <v>KEW</v>
          </cell>
          <cell r="Z343" t="str">
            <v>16/08/2013</v>
          </cell>
          <cell r="AA343" t="str">
            <v>15/08/2015</v>
          </cell>
          <cell r="AB343" t="str">
            <v>No</v>
          </cell>
          <cell r="AC343" t="str">
            <v>31/08/2013</v>
          </cell>
          <cell r="AD343" t="str">
            <v>Good</v>
          </cell>
          <cell r="AE343" t="str">
            <v>V4 - Decommissioned Installed Facility</v>
          </cell>
          <cell r="AF343">
            <v>42962</v>
          </cell>
          <cell r="AG343">
            <v>9.17</v>
          </cell>
          <cell r="AH343" t="str">
            <v>RI</v>
          </cell>
          <cell r="AI343" t="str">
            <v>Not in contract</v>
          </cell>
          <cell r="AJ343" t="str">
            <v>Not under maintenance</v>
          </cell>
          <cell r="AK343" t="e">
            <v>#N/A</v>
          </cell>
        </row>
        <row r="344">
          <cell r="A344" t="str">
            <v>IKN401665</v>
          </cell>
          <cell r="B344">
            <v>1595</v>
          </cell>
          <cell r="C344" t="str">
            <v>Institut Kanser Negara</v>
          </cell>
          <cell r="D344" t="e">
            <v>#N/A</v>
          </cell>
          <cell r="E344" t="str">
            <v>13-325</v>
          </cell>
          <cell r="F344" t="str">
            <v>Regulators, Suction</v>
          </cell>
          <cell r="G344" t="str">
            <v>WG</v>
          </cell>
          <cell r="H344" t="str">
            <v>RT/ONCO WARD 1 (M)</v>
          </cell>
          <cell r="I344" t="str">
            <v>08WG128</v>
          </cell>
          <cell r="J344" t="str">
            <v>4 BED ROOM</v>
          </cell>
          <cell r="K344" t="str">
            <v>BMED</v>
          </cell>
          <cell r="L344" t="str">
            <v>Normal</v>
          </cell>
          <cell r="M344" t="str">
            <v>United States</v>
          </cell>
          <cell r="N344" t="str">
            <v>OHIO</v>
          </cell>
          <cell r="O344" t="str">
            <v>R244047311229905</v>
          </cell>
          <cell r="P344" t="str">
            <v>GPHS65160</v>
          </cell>
          <cell r="Q344" t="str">
            <v>Not Applicable</v>
          </cell>
          <cell r="R344" t="str">
            <v>OHIO</v>
          </cell>
          <cell r="S344" t="str">
            <v>Respimedic</v>
          </cell>
          <cell r="T344" t="str">
            <v>Functioning</v>
          </cell>
          <cell r="U344" t="str">
            <v>Asset</v>
          </cell>
          <cell r="V344">
            <v>920</v>
          </cell>
          <cell r="W344" t="str">
            <v>KEW</v>
          </cell>
          <cell r="X344" t="str">
            <v>01/09/2010</v>
          </cell>
          <cell r="Y344" t="str">
            <v>KEW</v>
          </cell>
          <cell r="Z344" t="str">
            <v>16/08/2013</v>
          </cell>
          <cell r="AA344" t="str">
            <v>15/08/2015</v>
          </cell>
          <cell r="AB344" t="str">
            <v>No</v>
          </cell>
          <cell r="AC344" t="str">
            <v>31/08/2013</v>
          </cell>
          <cell r="AD344" t="str">
            <v>Good</v>
          </cell>
          <cell r="AE344" t="str">
            <v>V4 - Decommissioned Installed Facility</v>
          </cell>
          <cell r="AF344">
            <v>42962</v>
          </cell>
          <cell r="AG344">
            <v>9.17</v>
          </cell>
          <cell r="AH344" t="str">
            <v>RI</v>
          </cell>
          <cell r="AI344" t="str">
            <v>Not in contract</v>
          </cell>
          <cell r="AJ344" t="str">
            <v>Not under maintenance</v>
          </cell>
          <cell r="AK344" t="e">
            <v>#N/A</v>
          </cell>
        </row>
        <row r="345">
          <cell r="A345" t="str">
            <v>IKN401666</v>
          </cell>
          <cell r="B345">
            <v>1596</v>
          </cell>
          <cell r="C345" t="str">
            <v>Institut Kanser Negara</v>
          </cell>
          <cell r="D345" t="e">
            <v>#N/A</v>
          </cell>
          <cell r="E345" t="str">
            <v>13-325</v>
          </cell>
          <cell r="F345" t="str">
            <v>Regulators, Suction</v>
          </cell>
          <cell r="G345" t="str">
            <v>WG</v>
          </cell>
          <cell r="H345" t="str">
            <v>RT/ONCO WARD 1 (M)</v>
          </cell>
          <cell r="I345" t="str">
            <v>08WG131</v>
          </cell>
          <cell r="J345" t="str">
            <v>4 BED ROOM4</v>
          </cell>
          <cell r="K345" t="str">
            <v>BMED</v>
          </cell>
          <cell r="L345" t="str">
            <v>Normal</v>
          </cell>
          <cell r="M345" t="str">
            <v>United States</v>
          </cell>
          <cell r="N345" t="str">
            <v>OHIO</v>
          </cell>
          <cell r="O345" t="str">
            <v>R244047311229905</v>
          </cell>
          <cell r="P345" t="str">
            <v>GPHS65162</v>
          </cell>
          <cell r="Q345" t="str">
            <v>Not Applicable</v>
          </cell>
          <cell r="R345" t="str">
            <v>OHIO</v>
          </cell>
          <cell r="S345" t="str">
            <v>Respimedic</v>
          </cell>
          <cell r="T345" t="str">
            <v>Functioning</v>
          </cell>
          <cell r="U345" t="str">
            <v>Asset</v>
          </cell>
          <cell r="V345">
            <v>920</v>
          </cell>
          <cell r="W345" t="str">
            <v>KEW</v>
          </cell>
          <cell r="X345" t="str">
            <v>01/09/2010</v>
          </cell>
          <cell r="Y345" t="str">
            <v>KEW</v>
          </cell>
          <cell r="Z345" t="str">
            <v>16/08/2013</v>
          </cell>
          <cell r="AA345" t="str">
            <v>15/08/2015</v>
          </cell>
          <cell r="AB345" t="str">
            <v>No</v>
          </cell>
          <cell r="AC345" t="str">
            <v>31/08/2013</v>
          </cell>
          <cell r="AD345" t="str">
            <v>Good</v>
          </cell>
          <cell r="AE345" t="str">
            <v>V4 - Decommissioned Installed Facility</v>
          </cell>
          <cell r="AF345">
            <v>42962</v>
          </cell>
          <cell r="AG345">
            <v>9.17</v>
          </cell>
          <cell r="AH345" t="str">
            <v>RI</v>
          </cell>
          <cell r="AI345" t="str">
            <v>Not in contract</v>
          </cell>
          <cell r="AJ345" t="str">
            <v>Not under maintenance</v>
          </cell>
          <cell r="AK345" t="e">
            <v>#N/A</v>
          </cell>
        </row>
        <row r="346">
          <cell r="A346" t="str">
            <v>IKN401667</v>
          </cell>
          <cell r="B346">
            <v>1597</v>
          </cell>
          <cell r="C346" t="str">
            <v>Institut Kanser Negara</v>
          </cell>
          <cell r="D346" t="e">
            <v>#N/A</v>
          </cell>
          <cell r="E346" t="str">
            <v>13-325</v>
          </cell>
          <cell r="F346" t="str">
            <v>Regulators, Suction</v>
          </cell>
          <cell r="G346" t="str">
            <v>WG</v>
          </cell>
          <cell r="H346" t="str">
            <v>RT/ONCO WARD 1 (M)</v>
          </cell>
          <cell r="I346" t="str">
            <v>08WG136</v>
          </cell>
          <cell r="J346" t="str">
            <v>4 BED BAY 1</v>
          </cell>
          <cell r="K346" t="str">
            <v>BMED</v>
          </cell>
          <cell r="L346" t="str">
            <v>Normal</v>
          </cell>
          <cell r="M346" t="str">
            <v>United States</v>
          </cell>
          <cell r="N346" t="str">
            <v>OHIO</v>
          </cell>
          <cell r="O346" t="str">
            <v>R244047311229905</v>
          </cell>
          <cell r="P346" t="str">
            <v>GPHS65155</v>
          </cell>
          <cell r="Q346" t="str">
            <v>Not Applicable</v>
          </cell>
          <cell r="R346" t="str">
            <v>OHIO</v>
          </cell>
          <cell r="S346" t="str">
            <v>Respimedic</v>
          </cell>
          <cell r="T346" t="str">
            <v>Functioning</v>
          </cell>
          <cell r="U346" t="str">
            <v>Asset</v>
          </cell>
          <cell r="V346">
            <v>920</v>
          </cell>
          <cell r="W346" t="str">
            <v>KEW</v>
          </cell>
          <cell r="X346" t="str">
            <v>01/09/2010</v>
          </cell>
          <cell r="Y346" t="str">
            <v>KEW</v>
          </cell>
          <cell r="Z346" t="str">
            <v>16/08/2013</v>
          </cell>
          <cell r="AA346" t="str">
            <v>15/08/2015</v>
          </cell>
          <cell r="AB346" t="str">
            <v>No</v>
          </cell>
          <cell r="AC346" t="str">
            <v>31/08/2013</v>
          </cell>
          <cell r="AD346" t="str">
            <v>Good</v>
          </cell>
          <cell r="AE346" t="str">
            <v>V4 - Decommissioned Installed Facility</v>
          </cell>
          <cell r="AF346">
            <v>42962</v>
          </cell>
          <cell r="AG346">
            <v>9.17</v>
          </cell>
          <cell r="AH346" t="str">
            <v>RI</v>
          </cell>
          <cell r="AI346" t="str">
            <v>Not in contract</v>
          </cell>
          <cell r="AJ346" t="str">
            <v>Not under maintenance</v>
          </cell>
          <cell r="AK346" t="e">
            <v>#N/A</v>
          </cell>
        </row>
        <row r="347">
          <cell r="A347" t="str">
            <v>IKN401668</v>
          </cell>
          <cell r="B347">
            <v>1598</v>
          </cell>
          <cell r="C347" t="str">
            <v>Institut Kanser Negara</v>
          </cell>
          <cell r="D347" t="e">
            <v>#N/A</v>
          </cell>
          <cell r="E347" t="str">
            <v>13-325</v>
          </cell>
          <cell r="F347" t="str">
            <v>Regulators, Suction</v>
          </cell>
          <cell r="G347" t="str">
            <v>WG</v>
          </cell>
          <cell r="H347" t="str">
            <v>RT/ONCO WARD 1 (M)</v>
          </cell>
          <cell r="I347" t="str">
            <v>08WG136</v>
          </cell>
          <cell r="J347" t="str">
            <v>4 BED BAY 1</v>
          </cell>
          <cell r="K347" t="str">
            <v>BMED</v>
          </cell>
          <cell r="L347" t="str">
            <v>Normal</v>
          </cell>
          <cell r="M347" t="str">
            <v>United States</v>
          </cell>
          <cell r="N347" t="str">
            <v>OHIO</v>
          </cell>
          <cell r="O347" t="str">
            <v>R244047311229905</v>
          </cell>
          <cell r="P347" t="str">
            <v>GPHS65145</v>
          </cell>
          <cell r="Q347" t="str">
            <v>Not Applicable</v>
          </cell>
          <cell r="R347" t="str">
            <v>OHIO</v>
          </cell>
          <cell r="S347" t="str">
            <v>Respimedic</v>
          </cell>
          <cell r="T347" t="str">
            <v>Functioning</v>
          </cell>
          <cell r="U347" t="str">
            <v>Asset</v>
          </cell>
          <cell r="V347">
            <v>920</v>
          </cell>
          <cell r="W347" t="str">
            <v>KEW</v>
          </cell>
          <cell r="X347" t="str">
            <v>01/09/2010</v>
          </cell>
          <cell r="Y347" t="str">
            <v>KEW</v>
          </cell>
          <cell r="Z347" t="str">
            <v>16/08/2013</v>
          </cell>
          <cell r="AA347" t="str">
            <v>15/08/2015</v>
          </cell>
          <cell r="AB347" t="str">
            <v>No</v>
          </cell>
          <cell r="AC347" t="str">
            <v>31/08/2013</v>
          </cell>
          <cell r="AD347" t="str">
            <v>Good</v>
          </cell>
          <cell r="AE347" t="str">
            <v>V4 - Decommissioned Installed Facility</v>
          </cell>
          <cell r="AF347">
            <v>42962</v>
          </cell>
          <cell r="AG347">
            <v>9.17</v>
          </cell>
          <cell r="AH347" t="str">
            <v>RI</v>
          </cell>
          <cell r="AI347" t="str">
            <v>Not in contract</v>
          </cell>
          <cell r="AJ347" t="str">
            <v>Not under maintenance</v>
          </cell>
          <cell r="AK347" t="e">
            <v>#N/A</v>
          </cell>
        </row>
        <row r="348">
          <cell r="A348" t="str">
            <v>IKN401669</v>
          </cell>
          <cell r="B348">
            <v>1599</v>
          </cell>
          <cell r="C348" t="str">
            <v>Institut Kanser Negara</v>
          </cell>
          <cell r="D348" t="e">
            <v>#N/A</v>
          </cell>
          <cell r="E348" t="str">
            <v>13-325</v>
          </cell>
          <cell r="F348" t="str">
            <v>Regulators, Suction</v>
          </cell>
          <cell r="G348" t="str">
            <v>WG</v>
          </cell>
          <cell r="H348" t="str">
            <v>RT/ONCO WARD 1 (M)</v>
          </cell>
          <cell r="I348" t="str">
            <v>08WG135</v>
          </cell>
          <cell r="J348" t="str">
            <v>4 BED BAY 2</v>
          </cell>
          <cell r="K348" t="str">
            <v>BMED</v>
          </cell>
          <cell r="L348" t="str">
            <v>Normal</v>
          </cell>
          <cell r="M348" t="str">
            <v>United States</v>
          </cell>
          <cell r="N348" t="str">
            <v>OHIO</v>
          </cell>
          <cell r="O348" t="str">
            <v>R244047311229905</v>
          </cell>
          <cell r="P348" t="str">
            <v>GPHS65163</v>
          </cell>
          <cell r="Q348" t="str">
            <v>Not Applicable</v>
          </cell>
          <cell r="R348" t="str">
            <v>OHIO</v>
          </cell>
          <cell r="S348" t="str">
            <v>Respimedic</v>
          </cell>
          <cell r="T348" t="str">
            <v>Functioning</v>
          </cell>
          <cell r="U348" t="str">
            <v>Asset</v>
          </cell>
          <cell r="V348">
            <v>920</v>
          </cell>
          <cell r="W348" t="str">
            <v>KEW</v>
          </cell>
          <cell r="X348" t="str">
            <v>01/09/2010</v>
          </cell>
          <cell r="Y348" t="str">
            <v>KEW</v>
          </cell>
          <cell r="Z348" t="str">
            <v>16/08/2013</v>
          </cell>
          <cell r="AA348" t="str">
            <v>15/08/2015</v>
          </cell>
          <cell r="AB348" t="str">
            <v>No</v>
          </cell>
          <cell r="AC348" t="str">
            <v>31/08/2013</v>
          </cell>
          <cell r="AD348" t="str">
            <v>Good</v>
          </cell>
          <cell r="AE348" t="str">
            <v>V4 - Decommissioned Installed Facility</v>
          </cell>
          <cell r="AF348">
            <v>42962</v>
          </cell>
          <cell r="AG348">
            <v>9.17</v>
          </cell>
          <cell r="AH348" t="str">
            <v>RI</v>
          </cell>
          <cell r="AI348" t="str">
            <v>Not in contract</v>
          </cell>
          <cell r="AJ348" t="str">
            <v>Not under maintenance</v>
          </cell>
          <cell r="AK348" t="e">
            <v>#N/A</v>
          </cell>
        </row>
        <row r="349">
          <cell r="A349" t="str">
            <v>IKN401670</v>
          </cell>
          <cell r="B349">
            <v>1600</v>
          </cell>
          <cell r="C349" t="str">
            <v>Institut Kanser Negara</v>
          </cell>
          <cell r="D349" t="e">
            <v>#N/A</v>
          </cell>
          <cell r="E349" t="str">
            <v>13-325</v>
          </cell>
          <cell r="F349" t="str">
            <v>Regulators, Suction</v>
          </cell>
          <cell r="G349" t="str">
            <v>WH</v>
          </cell>
          <cell r="H349" t="str">
            <v>RT/ONCO WARD 2 (M)</v>
          </cell>
          <cell r="I349" t="str">
            <v>08WH111</v>
          </cell>
          <cell r="J349" t="str">
            <v>2 BED ROOM</v>
          </cell>
          <cell r="K349" t="str">
            <v>BMED</v>
          </cell>
          <cell r="L349" t="str">
            <v>Normal</v>
          </cell>
          <cell r="M349" t="str">
            <v>United States</v>
          </cell>
          <cell r="N349" t="str">
            <v>OHIO</v>
          </cell>
          <cell r="O349" t="str">
            <v>R244047311229905</v>
          </cell>
          <cell r="P349" t="str">
            <v>GPHS65167</v>
          </cell>
          <cell r="Q349" t="str">
            <v>Not Applicable</v>
          </cell>
          <cell r="R349" t="str">
            <v>OHIO</v>
          </cell>
          <cell r="S349" t="str">
            <v>Respimedic</v>
          </cell>
          <cell r="T349" t="str">
            <v>Functioning</v>
          </cell>
          <cell r="U349" t="str">
            <v>Asset</v>
          </cell>
          <cell r="V349">
            <v>920</v>
          </cell>
          <cell r="W349" t="str">
            <v>KEW</v>
          </cell>
          <cell r="X349" t="str">
            <v>01/09/2010</v>
          </cell>
          <cell r="Y349" t="str">
            <v>KEW</v>
          </cell>
          <cell r="Z349" t="str">
            <v>16/08/2013</v>
          </cell>
          <cell r="AA349" t="str">
            <v>15/08/2015</v>
          </cell>
          <cell r="AB349" t="str">
            <v>No</v>
          </cell>
          <cell r="AC349" t="str">
            <v>31/08/2013</v>
          </cell>
          <cell r="AD349" t="str">
            <v>Good</v>
          </cell>
          <cell r="AE349" t="str">
            <v>V4 - Decommissioned Installed Facility</v>
          </cell>
          <cell r="AF349">
            <v>42962</v>
          </cell>
          <cell r="AG349">
            <v>9.17</v>
          </cell>
          <cell r="AH349" t="str">
            <v>RI</v>
          </cell>
          <cell r="AI349" t="str">
            <v>Not in contract</v>
          </cell>
          <cell r="AJ349" t="str">
            <v>Not under maintenance</v>
          </cell>
          <cell r="AK349" t="e">
            <v>#N/A</v>
          </cell>
        </row>
        <row r="350">
          <cell r="A350" t="str">
            <v>IKN401671</v>
          </cell>
          <cell r="B350">
            <v>1601</v>
          </cell>
          <cell r="C350" t="str">
            <v>Institut Kanser Negara</v>
          </cell>
          <cell r="D350" t="e">
            <v>#N/A</v>
          </cell>
          <cell r="E350" t="str">
            <v>13-325</v>
          </cell>
          <cell r="F350" t="str">
            <v>Regulators, Suction</v>
          </cell>
          <cell r="G350" t="str">
            <v>WH</v>
          </cell>
          <cell r="H350" t="str">
            <v>RT/ONCO WARD 2 (M)</v>
          </cell>
          <cell r="I350" t="str">
            <v>08WH111</v>
          </cell>
          <cell r="J350" t="str">
            <v>2 BED ROOM</v>
          </cell>
          <cell r="K350" t="str">
            <v>BMED</v>
          </cell>
          <cell r="L350" t="str">
            <v>Normal</v>
          </cell>
          <cell r="M350" t="str">
            <v>United States</v>
          </cell>
          <cell r="N350" t="str">
            <v>OHIO</v>
          </cell>
          <cell r="O350" t="str">
            <v>R244047311229905</v>
          </cell>
          <cell r="P350" t="str">
            <v>GPHS65116</v>
          </cell>
          <cell r="Q350" t="str">
            <v>Not Applicable</v>
          </cell>
          <cell r="R350" t="str">
            <v>OHIO</v>
          </cell>
          <cell r="S350" t="str">
            <v>Respimedic</v>
          </cell>
          <cell r="T350" t="str">
            <v>Functioning</v>
          </cell>
          <cell r="U350" t="str">
            <v>Asset</v>
          </cell>
          <cell r="V350">
            <v>920</v>
          </cell>
          <cell r="W350" t="str">
            <v>KEW</v>
          </cell>
          <cell r="X350" t="str">
            <v>01/09/2010</v>
          </cell>
          <cell r="Y350" t="str">
            <v>KEW</v>
          </cell>
          <cell r="Z350" t="str">
            <v>16/08/2013</v>
          </cell>
          <cell r="AA350" t="str">
            <v>15/08/2015</v>
          </cell>
          <cell r="AB350" t="str">
            <v>No</v>
          </cell>
          <cell r="AC350" t="str">
            <v>31/08/2013</v>
          </cell>
          <cell r="AD350" t="str">
            <v>Good</v>
          </cell>
          <cell r="AE350" t="str">
            <v>V4 - Decommissioned Installed Facility</v>
          </cell>
          <cell r="AF350">
            <v>42962</v>
          </cell>
          <cell r="AG350">
            <v>9.17</v>
          </cell>
          <cell r="AH350" t="str">
            <v>RI</v>
          </cell>
          <cell r="AI350" t="str">
            <v>Not in contract</v>
          </cell>
          <cell r="AJ350" t="str">
            <v>Not under maintenance</v>
          </cell>
          <cell r="AK350" t="e">
            <v>#N/A</v>
          </cell>
        </row>
        <row r="351">
          <cell r="A351" t="str">
            <v>IKN401672</v>
          </cell>
          <cell r="B351">
            <v>1602</v>
          </cell>
          <cell r="C351" t="str">
            <v>Institut Kanser Negara</v>
          </cell>
          <cell r="D351" t="e">
            <v>#N/A</v>
          </cell>
          <cell r="E351" t="str">
            <v>13-325</v>
          </cell>
          <cell r="F351" t="str">
            <v>Regulators, Suction</v>
          </cell>
          <cell r="G351" t="str">
            <v>WH</v>
          </cell>
          <cell r="H351" t="str">
            <v>RT/ONCO WARD 2 (M)</v>
          </cell>
          <cell r="I351" t="str">
            <v>08WH108</v>
          </cell>
          <cell r="J351" t="str">
            <v>4 BED ROOM 1</v>
          </cell>
          <cell r="K351" t="str">
            <v>BMED</v>
          </cell>
          <cell r="L351" t="str">
            <v>Normal</v>
          </cell>
          <cell r="M351" t="str">
            <v>United States</v>
          </cell>
          <cell r="N351" t="str">
            <v>OHIO</v>
          </cell>
          <cell r="O351" t="str">
            <v>R244047311229905</v>
          </cell>
          <cell r="P351" t="str">
            <v>GPHS65114</v>
          </cell>
          <cell r="Q351" t="str">
            <v>Not Applicable</v>
          </cell>
          <cell r="R351" t="str">
            <v>OHIO</v>
          </cell>
          <cell r="S351" t="str">
            <v>Respimedic</v>
          </cell>
          <cell r="T351" t="str">
            <v>Functioning</v>
          </cell>
          <cell r="U351" t="str">
            <v>Asset</v>
          </cell>
          <cell r="V351">
            <v>920</v>
          </cell>
          <cell r="W351" t="str">
            <v>KEW</v>
          </cell>
          <cell r="X351" t="str">
            <v>01/09/2010</v>
          </cell>
          <cell r="Y351" t="str">
            <v>KEW</v>
          </cell>
          <cell r="Z351" t="str">
            <v>16/08/2013</v>
          </cell>
          <cell r="AA351" t="str">
            <v>15/08/2015</v>
          </cell>
          <cell r="AB351" t="str">
            <v>No</v>
          </cell>
          <cell r="AC351" t="str">
            <v>31/08/2013</v>
          </cell>
          <cell r="AD351" t="str">
            <v>Good</v>
          </cell>
          <cell r="AE351" t="str">
            <v>V4 - Decommissioned Installed Facility</v>
          </cell>
          <cell r="AF351">
            <v>42962</v>
          </cell>
          <cell r="AG351">
            <v>9.17</v>
          </cell>
          <cell r="AH351" t="str">
            <v>RI</v>
          </cell>
          <cell r="AI351" t="str">
            <v>Not in contract</v>
          </cell>
          <cell r="AJ351" t="str">
            <v>Not under maintenance</v>
          </cell>
          <cell r="AK351" t="e">
            <v>#N/A</v>
          </cell>
        </row>
        <row r="352">
          <cell r="A352" t="str">
            <v>IKN401673</v>
          </cell>
          <cell r="B352">
            <v>1603</v>
          </cell>
          <cell r="C352" t="str">
            <v>Institut Kanser Negara</v>
          </cell>
          <cell r="D352" t="e">
            <v>#N/A</v>
          </cell>
          <cell r="E352" t="str">
            <v>13-325</v>
          </cell>
          <cell r="F352" t="str">
            <v>Regulators, Suction</v>
          </cell>
          <cell r="G352" t="str">
            <v>WH</v>
          </cell>
          <cell r="H352" t="str">
            <v>RT/ONCO WARD 2 (M)</v>
          </cell>
          <cell r="I352" t="str">
            <v>08WH108</v>
          </cell>
          <cell r="J352" t="str">
            <v>4 BED ROOM 1</v>
          </cell>
          <cell r="K352" t="str">
            <v>BMED</v>
          </cell>
          <cell r="L352" t="str">
            <v>Normal</v>
          </cell>
          <cell r="M352" t="str">
            <v>United States</v>
          </cell>
          <cell r="N352" t="str">
            <v>OHIO</v>
          </cell>
          <cell r="O352" t="str">
            <v>R244047311229905</v>
          </cell>
          <cell r="P352" t="str">
            <v>GPHS65117</v>
          </cell>
          <cell r="Q352" t="str">
            <v>Not Applicable</v>
          </cell>
          <cell r="R352" t="str">
            <v>OHIO</v>
          </cell>
          <cell r="S352" t="str">
            <v>Respimedic</v>
          </cell>
          <cell r="T352" t="str">
            <v>Functioning</v>
          </cell>
          <cell r="U352" t="str">
            <v>Asset</v>
          </cell>
          <cell r="V352">
            <v>920</v>
          </cell>
          <cell r="W352" t="str">
            <v>KEW</v>
          </cell>
          <cell r="X352" t="str">
            <v>01/09/2010</v>
          </cell>
          <cell r="Y352" t="str">
            <v>KEW</v>
          </cell>
          <cell r="Z352" t="str">
            <v>16/08/2013</v>
          </cell>
          <cell r="AA352" t="str">
            <v>15/08/2015</v>
          </cell>
          <cell r="AB352" t="str">
            <v>No</v>
          </cell>
          <cell r="AC352" t="str">
            <v>31/08/2013</v>
          </cell>
          <cell r="AD352" t="str">
            <v>Good</v>
          </cell>
          <cell r="AE352" t="str">
            <v>V4 - Decommissioned Installed Facility</v>
          </cell>
          <cell r="AF352">
            <v>42962</v>
          </cell>
          <cell r="AG352">
            <v>9.17</v>
          </cell>
          <cell r="AH352" t="str">
            <v>RI</v>
          </cell>
          <cell r="AI352" t="str">
            <v>Not in contract</v>
          </cell>
          <cell r="AJ352" t="str">
            <v>Not under maintenance</v>
          </cell>
          <cell r="AK352" t="e">
            <v>#N/A</v>
          </cell>
        </row>
        <row r="353">
          <cell r="A353" t="str">
            <v>IKN401674</v>
          </cell>
          <cell r="B353">
            <v>1604</v>
          </cell>
          <cell r="C353" t="str">
            <v>Institut Kanser Negara</v>
          </cell>
          <cell r="D353" t="e">
            <v>#N/A</v>
          </cell>
          <cell r="E353" t="str">
            <v>13-325</v>
          </cell>
          <cell r="F353" t="str">
            <v>Regulators, Suction</v>
          </cell>
          <cell r="G353" t="str">
            <v>WH</v>
          </cell>
          <cell r="H353" t="str">
            <v>RT/ONCO WARD 2 (M)</v>
          </cell>
          <cell r="I353" t="str">
            <v>08WH108</v>
          </cell>
          <cell r="J353" t="str">
            <v>4 BED ROOM 1</v>
          </cell>
          <cell r="K353" t="str">
            <v>BMED</v>
          </cell>
          <cell r="L353" t="str">
            <v>Normal</v>
          </cell>
          <cell r="M353" t="str">
            <v>United States</v>
          </cell>
          <cell r="N353" t="str">
            <v>OHIO</v>
          </cell>
          <cell r="O353" t="str">
            <v>R244047311229905</v>
          </cell>
          <cell r="P353" t="str">
            <v>GPHS65166</v>
          </cell>
          <cell r="Q353" t="str">
            <v>Not Applicable</v>
          </cell>
          <cell r="R353" t="str">
            <v>OHIO</v>
          </cell>
          <cell r="S353" t="str">
            <v>Respimedic</v>
          </cell>
          <cell r="T353" t="str">
            <v>Functioning</v>
          </cell>
          <cell r="U353" t="str">
            <v>Asset</v>
          </cell>
          <cell r="V353">
            <v>920</v>
          </cell>
          <cell r="W353" t="str">
            <v>KEW</v>
          </cell>
          <cell r="X353" t="str">
            <v>01/09/2010</v>
          </cell>
          <cell r="Y353" t="str">
            <v>KEW</v>
          </cell>
          <cell r="Z353" t="str">
            <v>16/08/2013</v>
          </cell>
          <cell r="AA353" t="str">
            <v>15/08/2015</v>
          </cell>
          <cell r="AB353" t="str">
            <v>No</v>
          </cell>
          <cell r="AC353" t="str">
            <v>31/08/2013</v>
          </cell>
          <cell r="AD353" t="str">
            <v>Good</v>
          </cell>
          <cell r="AE353" t="str">
            <v>V4 - Decommissioned Installed Facility</v>
          </cell>
          <cell r="AF353">
            <v>42962</v>
          </cell>
          <cell r="AG353">
            <v>9.17</v>
          </cell>
          <cell r="AH353" t="str">
            <v>RI</v>
          </cell>
          <cell r="AI353" t="str">
            <v>Not in contract</v>
          </cell>
          <cell r="AJ353" t="str">
            <v>Not under maintenance</v>
          </cell>
          <cell r="AK353" t="e">
            <v>#N/A</v>
          </cell>
        </row>
        <row r="354">
          <cell r="A354" t="str">
            <v>IKN401675</v>
          </cell>
          <cell r="B354">
            <v>1605</v>
          </cell>
          <cell r="C354" t="str">
            <v>Institut Kanser Negara</v>
          </cell>
          <cell r="D354" t="e">
            <v>#N/A</v>
          </cell>
          <cell r="E354" t="str">
            <v>13-325</v>
          </cell>
          <cell r="F354" t="str">
            <v>Regulators, Suction</v>
          </cell>
          <cell r="G354" t="str">
            <v>WH</v>
          </cell>
          <cell r="H354" t="str">
            <v>RT/ONCO WARD 2 (M)</v>
          </cell>
          <cell r="I354" t="str">
            <v>08WH115</v>
          </cell>
          <cell r="J354" t="str">
            <v>AIRLOCK</v>
          </cell>
          <cell r="K354" t="str">
            <v>BMED</v>
          </cell>
          <cell r="L354" t="str">
            <v>Normal</v>
          </cell>
          <cell r="M354" t="str">
            <v>United States</v>
          </cell>
          <cell r="N354" t="str">
            <v>OHIO</v>
          </cell>
          <cell r="O354" t="str">
            <v>R244047311229905</v>
          </cell>
          <cell r="P354" t="str">
            <v>GPHS65078</v>
          </cell>
          <cell r="Q354" t="str">
            <v>Not Applicable</v>
          </cell>
          <cell r="R354" t="str">
            <v>OHIO</v>
          </cell>
          <cell r="S354" t="str">
            <v>Respimedic</v>
          </cell>
          <cell r="T354" t="str">
            <v>Functioning</v>
          </cell>
          <cell r="U354" t="str">
            <v>Asset</v>
          </cell>
          <cell r="V354">
            <v>920</v>
          </cell>
          <cell r="W354" t="str">
            <v>KEW</v>
          </cell>
          <cell r="X354" t="str">
            <v>01/09/2010</v>
          </cell>
          <cell r="Y354" t="str">
            <v>KEW</v>
          </cell>
          <cell r="Z354" t="str">
            <v>16/08/2013</v>
          </cell>
          <cell r="AA354" t="str">
            <v>15/08/2015</v>
          </cell>
          <cell r="AB354" t="str">
            <v>No</v>
          </cell>
          <cell r="AC354" t="str">
            <v>31/08/2013</v>
          </cell>
          <cell r="AD354" t="str">
            <v>Good</v>
          </cell>
          <cell r="AE354" t="str">
            <v>V4 - Decommissioned Installed Facility</v>
          </cell>
          <cell r="AF354">
            <v>42962</v>
          </cell>
          <cell r="AG354">
            <v>9.17</v>
          </cell>
          <cell r="AH354" t="str">
            <v>RI</v>
          </cell>
          <cell r="AI354" t="str">
            <v>Not in contract</v>
          </cell>
          <cell r="AJ354" t="str">
            <v>Not under maintenance</v>
          </cell>
          <cell r="AK354" t="e">
            <v>#N/A</v>
          </cell>
        </row>
        <row r="355">
          <cell r="A355" t="str">
            <v>IKN401676</v>
          </cell>
          <cell r="B355">
            <v>1606</v>
          </cell>
          <cell r="C355" t="str">
            <v>Institut Kanser Negara</v>
          </cell>
          <cell r="D355" t="e">
            <v>#N/A</v>
          </cell>
          <cell r="E355" t="str">
            <v>13-325</v>
          </cell>
          <cell r="F355" t="str">
            <v>Regulators, Suction</v>
          </cell>
          <cell r="G355" t="str">
            <v>WH</v>
          </cell>
          <cell r="H355" t="str">
            <v>RT/ONCO WARD 2 (M)</v>
          </cell>
          <cell r="I355" t="str">
            <v>08WH124</v>
          </cell>
          <cell r="J355" t="str">
            <v>AIRLOCK</v>
          </cell>
          <cell r="K355" t="str">
            <v>BMED</v>
          </cell>
          <cell r="L355" t="str">
            <v>Normal</v>
          </cell>
          <cell r="M355" t="str">
            <v>United States</v>
          </cell>
          <cell r="N355" t="str">
            <v>OHIO</v>
          </cell>
          <cell r="O355" t="str">
            <v>R244047311229905</v>
          </cell>
          <cell r="P355" t="str">
            <v>GPHS65118</v>
          </cell>
          <cell r="Q355" t="str">
            <v>Not Applicable</v>
          </cell>
          <cell r="R355" t="str">
            <v>OHIO</v>
          </cell>
          <cell r="S355" t="str">
            <v>Respimedic</v>
          </cell>
          <cell r="T355" t="str">
            <v>Functioning</v>
          </cell>
          <cell r="U355" t="str">
            <v>Asset</v>
          </cell>
          <cell r="V355">
            <v>920</v>
          </cell>
          <cell r="W355" t="str">
            <v>KEW</v>
          </cell>
          <cell r="X355" t="str">
            <v>01/09/2010</v>
          </cell>
          <cell r="Y355" t="str">
            <v>KEW</v>
          </cell>
          <cell r="Z355" t="str">
            <v>16/08/2013</v>
          </cell>
          <cell r="AA355" t="str">
            <v>15/08/2015</v>
          </cell>
          <cell r="AB355" t="str">
            <v>No</v>
          </cell>
          <cell r="AC355" t="str">
            <v>31/08/2013</v>
          </cell>
          <cell r="AD355" t="str">
            <v>Good</v>
          </cell>
          <cell r="AE355" t="str">
            <v>V4 - Decommissioned Installed Facility</v>
          </cell>
          <cell r="AF355">
            <v>42962</v>
          </cell>
          <cell r="AG355">
            <v>9.17</v>
          </cell>
          <cell r="AH355" t="str">
            <v>RI</v>
          </cell>
          <cell r="AI355" t="str">
            <v>Not in contract</v>
          </cell>
          <cell r="AJ355" t="str">
            <v>Not under maintenance</v>
          </cell>
          <cell r="AK355" t="e">
            <v>#N/A</v>
          </cell>
        </row>
        <row r="356">
          <cell r="A356" t="str">
            <v>IKN401677</v>
          </cell>
          <cell r="B356">
            <v>1607</v>
          </cell>
          <cell r="C356" t="str">
            <v>Institut Kanser Negara</v>
          </cell>
          <cell r="D356" t="e">
            <v>#N/A</v>
          </cell>
          <cell r="E356" t="str">
            <v>13-325</v>
          </cell>
          <cell r="F356" t="str">
            <v>Regulators, Suction</v>
          </cell>
          <cell r="G356" t="str">
            <v>WH</v>
          </cell>
          <cell r="H356" t="str">
            <v>RT/ONCO WARD 2 (M)</v>
          </cell>
          <cell r="I356" t="str">
            <v>08WH128</v>
          </cell>
          <cell r="J356" t="str">
            <v>4 BED ROOM 3</v>
          </cell>
          <cell r="K356" t="str">
            <v>BMED</v>
          </cell>
          <cell r="L356" t="str">
            <v>Normal</v>
          </cell>
          <cell r="M356" t="str">
            <v>United States</v>
          </cell>
          <cell r="N356" t="str">
            <v>OHIO</v>
          </cell>
          <cell r="O356" t="str">
            <v>R244047311229905</v>
          </cell>
          <cell r="P356" t="str">
            <v>GPHS65168</v>
          </cell>
          <cell r="Q356" t="str">
            <v>Not Applicable</v>
          </cell>
          <cell r="R356" t="str">
            <v>OHIO</v>
          </cell>
          <cell r="S356" t="str">
            <v>Respimedic</v>
          </cell>
          <cell r="T356" t="str">
            <v>Functioning</v>
          </cell>
          <cell r="U356" t="str">
            <v>Asset</v>
          </cell>
          <cell r="V356">
            <v>920</v>
          </cell>
          <cell r="W356" t="str">
            <v>KEW</v>
          </cell>
          <cell r="X356" t="str">
            <v>01/09/2010</v>
          </cell>
          <cell r="Y356" t="str">
            <v>KEW</v>
          </cell>
          <cell r="Z356" t="str">
            <v>16/08/2013</v>
          </cell>
          <cell r="AA356" t="str">
            <v>15/08/2015</v>
          </cell>
          <cell r="AB356" t="str">
            <v>No</v>
          </cell>
          <cell r="AC356" t="str">
            <v>31/08/2013</v>
          </cell>
          <cell r="AD356" t="str">
            <v>Good</v>
          </cell>
          <cell r="AE356" t="str">
            <v>V4 - Decommissioned Installed Facility</v>
          </cell>
          <cell r="AF356">
            <v>42962</v>
          </cell>
          <cell r="AG356">
            <v>9.17</v>
          </cell>
          <cell r="AH356" t="str">
            <v>RI</v>
          </cell>
          <cell r="AI356" t="str">
            <v>Not in contract</v>
          </cell>
          <cell r="AJ356" t="str">
            <v>Not under maintenance</v>
          </cell>
          <cell r="AK356" t="e">
            <v>#N/A</v>
          </cell>
        </row>
        <row r="357">
          <cell r="A357" t="str">
            <v>IKN401678</v>
          </cell>
          <cell r="B357">
            <v>1608</v>
          </cell>
          <cell r="C357" t="str">
            <v>Institut Kanser Negara</v>
          </cell>
          <cell r="D357" t="e">
            <v>#N/A</v>
          </cell>
          <cell r="E357" t="str">
            <v>13-325</v>
          </cell>
          <cell r="F357" t="str">
            <v>Regulators, Suction</v>
          </cell>
          <cell r="G357" t="str">
            <v>WH</v>
          </cell>
          <cell r="H357" t="str">
            <v>RT/ONCO WARD 2 (M)</v>
          </cell>
          <cell r="I357" t="str">
            <v>08WH131</v>
          </cell>
          <cell r="J357" t="str">
            <v>4 BED ROOM 4</v>
          </cell>
          <cell r="K357" t="str">
            <v>BMED</v>
          </cell>
          <cell r="L357" t="str">
            <v>Normal</v>
          </cell>
          <cell r="M357" t="str">
            <v>United States</v>
          </cell>
          <cell r="N357" t="str">
            <v>OHIO</v>
          </cell>
          <cell r="O357" t="str">
            <v>R244047311229905</v>
          </cell>
          <cell r="P357" t="str">
            <v>GPHS65169</v>
          </cell>
          <cell r="Q357" t="str">
            <v>Not Applicable</v>
          </cell>
          <cell r="R357" t="str">
            <v>OHIO</v>
          </cell>
          <cell r="S357" t="str">
            <v>Respimedic</v>
          </cell>
          <cell r="T357" t="str">
            <v>Functioning</v>
          </cell>
          <cell r="U357" t="str">
            <v>Asset</v>
          </cell>
          <cell r="V357">
            <v>920</v>
          </cell>
          <cell r="W357" t="str">
            <v>KEW</v>
          </cell>
          <cell r="X357" t="str">
            <v>01/09/2010</v>
          </cell>
          <cell r="Y357" t="str">
            <v>KEW</v>
          </cell>
          <cell r="Z357" t="str">
            <v>16/08/2013</v>
          </cell>
          <cell r="AA357" t="str">
            <v>15/08/2015</v>
          </cell>
          <cell r="AB357" t="str">
            <v>No</v>
          </cell>
          <cell r="AC357" t="str">
            <v>31/08/2013</v>
          </cell>
          <cell r="AD357" t="str">
            <v>Good</v>
          </cell>
          <cell r="AE357" t="str">
            <v>V4 - Decommissioned Installed Facility</v>
          </cell>
          <cell r="AF357">
            <v>42962</v>
          </cell>
          <cell r="AG357">
            <v>9.17</v>
          </cell>
          <cell r="AH357" t="str">
            <v>RI</v>
          </cell>
          <cell r="AI357" t="str">
            <v>Not in contract</v>
          </cell>
          <cell r="AJ357" t="str">
            <v>Not under maintenance</v>
          </cell>
          <cell r="AK357" t="e">
            <v>#N/A</v>
          </cell>
        </row>
        <row r="358">
          <cell r="A358" t="str">
            <v>IKN401679</v>
          </cell>
          <cell r="B358">
            <v>1609</v>
          </cell>
          <cell r="C358" t="str">
            <v>Institut Kanser Negara</v>
          </cell>
          <cell r="D358" t="e">
            <v>#N/A</v>
          </cell>
          <cell r="E358" t="str">
            <v>13-325</v>
          </cell>
          <cell r="F358" t="str">
            <v>Regulators, Suction</v>
          </cell>
          <cell r="G358" t="str">
            <v>WH</v>
          </cell>
          <cell r="H358" t="str">
            <v>RT/ONCO WARD 2 (M)</v>
          </cell>
          <cell r="I358" t="str">
            <v>08WH131</v>
          </cell>
          <cell r="J358" t="str">
            <v>4 BED ROOM 4</v>
          </cell>
          <cell r="K358" t="str">
            <v>BMED</v>
          </cell>
          <cell r="L358" t="str">
            <v>Normal</v>
          </cell>
          <cell r="M358" t="str">
            <v>United States</v>
          </cell>
          <cell r="N358" t="str">
            <v>OHIO</v>
          </cell>
          <cell r="O358" t="str">
            <v>R244047311229905</v>
          </cell>
          <cell r="P358" t="str">
            <v>GPHS65112</v>
          </cell>
          <cell r="Q358" t="str">
            <v>Not Applicable</v>
          </cell>
          <cell r="R358" t="str">
            <v>OHIO</v>
          </cell>
          <cell r="S358" t="str">
            <v>Respimedic</v>
          </cell>
          <cell r="T358" t="str">
            <v>Functioning</v>
          </cell>
          <cell r="U358" t="str">
            <v>Asset</v>
          </cell>
          <cell r="V358">
            <v>920</v>
          </cell>
          <cell r="W358" t="str">
            <v>KEW</v>
          </cell>
          <cell r="X358" t="str">
            <v>01/09/2010</v>
          </cell>
          <cell r="Y358" t="str">
            <v>KEW</v>
          </cell>
          <cell r="Z358" t="str">
            <v>16/08/2013</v>
          </cell>
          <cell r="AA358" t="str">
            <v>15/08/2015</v>
          </cell>
          <cell r="AB358" t="str">
            <v>No</v>
          </cell>
          <cell r="AC358" t="str">
            <v>31/08/2013</v>
          </cell>
          <cell r="AD358" t="str">
            <v>Good</v>
          </cell>
          <cell r="AE358" t="str">
            <v>V4 - Decommissioned Installed Facility</v>
          </cell>
          <cell r="AF358">
            <v>42962</v>
          </cell>
          <cell r="AG358">
            <v>9.17</v>
          </cell>
          <cell r="AH358" t="str">
            <v>RI</v>
          </cell>
          <cell r="AI358" t="str">
            <v>Not in contract</v>
          </cell>
          <cell r="AJ358" t="str">
            <v>Not under maintenance</v>
          </cell>
          <cell r="AK358" t="e">
            <v>#N/A</v>
          </cell>
        </row>
        <row r="359">
          <cell r="A359" t="str">
            <v>IKN401680</v>
          </cell>
          <cell r="B359">
            <v>1610</v>
          </cell>
          <cell r="C359" t="str">
            <v>Institut Kanser Negara</v>
          </cell>
          <cell r="D359" t="e">
            <v>#N/A</v>
          </cell>
          <cell r="E359" t="str">
            <v>13-325</v>
          </cell>
          <cell r="F359" t="str">
            <v>Regulators, Suction</v>
          </cell>
          <cell r="G359" t="str">
            <v>WH</v>
          </cell>
          <cell r="H359" t="str">
            <v>RT/ONCO WARD 2 (M)</v>
          </cell>
          <cell r="I359" t="str">
            <v>08WH107</v>
          </cell>
          <cell r="J359" t="str">
            <v>TREATMENT / PROCEDURE</v>
          </cell>
          <cell r="K359" t="str">
            <v>BMED</v>
          </cell>
          <cell r="L359" t="str">
            <v>Normal</v>
          </cell>
          <cell r="M359" t="str">
            <v>United States</v>
          </cell>
          <cell r="N359" t="str">
            <v>OHIO</v>
          </cell>
          <cell r="O359" t="str">
            <v>R244047311229905</v>
          </cell>
          <cell r="P359" t="str">
            <v>GPHS65115</v>
          </cell>
          <cell r="Q359" t="str">
            <v>Not Applicable</v>
          </cell>
          <cell r="R359" t="str">
            <v>OHIO</v>
          </cell>
          <cell r="S359" t="str">
            <v>Respimedic</v>
          </cell>
          <cell r="T359" t="str">
            <v>Functioning</v>
          </cell>
          <cell r="U359" t="str">
            <v>Asset</v>
          </cell>
          <cell r="V359">
            <v>920</v>
          </cell>
          <cell r="W359" t="str">
            <v>KEW</v>
          </cell>
          <cell r="X359" t="str">
            <v>01/09/2010</v>
          </cell>
          <cell r="Y359" t="str">
            <v>KEW</v>
          </cell>
          <cell r="Z359" t="str">
            <v>16/08/2013</v>
          </cell>
          <cell r="AA359" t="str">
            <v>15/08/2015</v>
          </cell>
          <cell r="AB359" t="str">
            <v>No</v>
          </cell>
          <cell r="AC359" t="str">
            <v>31/08/2013</v>
          </cell>
          <cell r="AD359" t="str">
            <v>Good</v>
          </cell>
          <cell r="AE359" t="str">
            <v>V4 - Decommissioned Installed Facility</v>
          </cell>
          <cell r="AF359">
            <v>42962</v>
          </cell>
          <cell r="AG359">
            <v>9.17</v>
          </cell>
          <cell r="AH359" t="str">
            <v>RI</v>
          </cell>
          <cell r="AI359" t="str">
            <v>Not in contract</v>
          </cell>
          <cell r="AJ359" t="str">
            <v>Not under maintenance</v>
          </cell>
          <cell r="AK359" t="e">
            <v>#N/A</v>
          </cell>
        </row>
        <row r="360">
          <cell r="A360" t="str">
            <v>IKN400238</v>
          </cell>
          <cell r="B360">
            <v>238</v>
          </cell>
          <cell r="C360" t="str">
            <v>Institut Kanser Negara</v>
          </cell>
          <cell r="D360" t="e">
            <v>#N/A</v>
          </cell>
          <cell r="E360" t="str">
            <v>10-447</v>
          </cell>
          <cell r="F360" t="str">
            <v>Warming Units, Blood/Solution</v>
          </cell>
          <cell r="G360" t="str">
            <v>WG</v>
          </cell>
          <cell r="H360" t="str">
            <v>RT/ONCO WARD 1 (M)</v>
          </cell>
          <cell r="I360" t="str">
            <v>08WG113</v>
          </cell>
          <cell r="J360" t="str">
            <v>EQUIPMENT ROOM</v>
          </cell>
          <cell r="K360" t="str">
            <v>BMED</v>
          </cell>
          <cell r="L360" t="str">
            <v>Normal</v>
          </cell>
          <cell r="M360" t="str">
            <v>Japan</v>
          </cell>
          <cell r="N360" t="str">
            <v>Animec</v>
          </cell>
          <cell r="O360" t="str">
            <v>Animec AM-301</v>
          </cell>
          <cell r="P360" t="str">
            <v>2012D0156</v>
          </cell>
          <cell r="Q360" t="str">
            <v>Not Applicable</v>
          </cell>
          <cell r="R360" t="str">
            <v>Elltec Co Ltd</v>
          </cell>
          <cell r="S360" t="str">
            <v>IDS Services (Malaysia) Sdn Bhd</v>
          </cell>
          <cell r="T360" t="str">
            <v>Disposed</v>
          </cell>
          <cell r="U360" t="str">
            <v>Asset</v>
          </cell>
          <cell r="V360">
            <v>4990</v>
          </cell>
          <cell r="W360" t="str">
            <v>KEW</v>
          </cell>
          <cell r="X360" t="str">
            <v>01/09/2010</v>
          </cell>
          <cell r="Y360" t="str">
            <v>KEW</v>
          </cell>
          <cell r="Z360" t="str">
            <v>16/08/2013</v>
          </cell>
          <cell r="AA360" t="str">
            <v>15/08/2015</v>
          </cell>
          <cell r="AB360" t="str">
            <v>No</v>
          </cell>
          <cell r="AC360" t="str">
            <v>31/08/2013</v>
          </cell>
          <cell r="AD360" t="str">
            <v>Good</v>
          </cell>
          <cell r="AE360" t="str">
            <v>V4 - Decommissioned Installed Facility</v>
          </cell>
          <cell r="AF360">
            <v>42741</v>
          </cell>
          <cell r="AG360">
            <v>9.17</v>
          </cell>
          <cell r="AH360" t="str">
            <v>PPM</v>
          </cell>
          <cell r="AI360" t="str">
            <v>Not in contract</v>
          </cell>
          <cell r="AJ360" t="str">
            <v>Not in contract</v>
          </cell>
          <cell r="AK360" t="e">
            <v>#N/A</v>
          </cell>
        </row>
        <row r="361">
          <cell r="A361" t="str">
            <v>IKN400239</v>
          </cell>
          <cell r="B361">
            <v>239</v>
          </cell>
          <cell r="C361" t="str">
            <v>Institut Kanser Negara</v>
          </cell>
          <cell r="D361" t="e">
            <v>#N/A</v>
          </cell>
          <cell r="E361" t="str">
            <v>10-447</v>
          </cell>
          <cell r="F361" t="str">
            <v>Warming Units, Blood/Solution</v>
          </cell>
          <cell r="G361" t="str">
            <v>WG</v>
          </cell>
          <cell r="H361" t="str">
            <v>RT/ONCO WARD 1 (M)</v>
          </cell>
          <cell r="I361" t="str">
            <v>08WG113</v>
          </cell>
          <cell r="J361" t="str">
            <v>EQUIPMENT ROOM</v>
          </cell>
          <cell r="K361" t="str">
            <v>BMED</v>
          </cell>
          <cell r="L361" t="str">
            <v>Normal</v>
          </cell>
          <cell r="M361" t="str">
            <v>Japan</v>
          </cell>
          <cell r="N361" t="str">
            <v>Animec</v>
          </cell>
          <cell r="O361" t="str">
            <v>Animec AM-301</v>
          </cell>
          <cell r="P361" t="str">
            <v>2013D0249</v>
          </cell>
          <cell r="Q361" t="str">
            <v>Not Applicable</v>
          </cell>
          <cell r="R361" t="str">
            <v>Elltec Co Ltd</v>
          </cell>
          <cell r="S361" t="str">
            <v>IDS Services (Malaysia) Sdn Bhd</v>
          </cell>
          <cell r="T361" t="str">
            <v>Disposed</v>
          </cell>
          <cell r="U361" t="str">
            <v>Asset</v>
          </cell>
          <cell r="V361">
            <v>4990</v>
          </cell>
          <cell r="W361" t="str">
            <v>KEW</v>
          </cell>
          <cell r="X361" t="str">
            <v>01/09/2010</v>
          </cell>
          <cell r="Y361" t="str">
            <v>KEW</v>
          </cell>
          <cell r="Z361" t="str">
            <v>16/08/2013</v>
          </cell>
          <cell r="AA361" t="str">
            <v>15/08/2015</v>
          </cell>
          <cell r="AB361" t="str">
            <v>No</v>
          </cell>
          <cell r="AC361" t="str">
            <v>31/08/2013</v>
          </cell>
          <cell r="AD361" t="str">
            <v>Good</v>
          </cell>
          <cell r="AE361" t="str">
            <v>V4 - Decommissioned Installed Facility</v>
          </cell>
          <cell r="AF361">
            <v>42733</v>
          </cell>
          <cell r="AG361">
            <v>9.17</v>
          </cell>
          <cell r="AH361" t="str">
            <v>PPM</v>
          </cell>
          <cell r="AI361" t="str">
            <v>Not in contract</v>
          </cell>
          <cell r="AJ361" t="str">
            <v>Not in contract</v>
          </cell>
          <cell r="AK361" t="e">
            <v>#N/A</v>
          </cell>
        </row>
        <row r="362">
          <cell r="A362" t="str">
            <v>IKN400240</v>
          </cell>
          <cell r="B362">
            <v>240</v>
          </cell>
          <cell r="C362" t="str">
            <v>Institut Kanser Negara</v>
          </cell>
          <cell r="D362" t="e">
            <v>#N/A</v>
          </cell>
          <cell r="E362" t="str">
            <v>10-447</v>
          </cell>
          <cell r="F362" t="str">
            <v>Warming Units, Blood/Solution</v>
          </cell>
          <cell r="G362" t="str">
            <v>WG</v>
          </cell>
          <cell r="H362" t="str">
            <v>RT/ONCO WARD 1 (M)</v>
          </cell>
          <cell r="I362" t="str">
            <v>08WG113</v>
          </cell>
          <cell r="J362" t="str">
            <v>EQUIPMENT ROOM</v>
          </cell>
          <cell r="K362" t="str">
            <v>BMED</v>
          </cell>
          <cell r="L362" t="str">
            <v>Normal</v>
          </cell>
          <cell r="M362" t="str">
            <v>Japan</v>
          </cell>
          <cell r="N362" t="str">
            <v>Animec</v>
          </cell>
          <cell r="O362" t="str">
            <v>Animec AM-301</v>
          </cell>
          <cell r="P362" t="str">
            <v>2013D0250</v>
          </cell>
          <cell r="Q362" t="str">
            <v>Not Applicable</v>
          </cell>
          <cell r="R362" t="str">
            <v>Elltec Co Ltd</v>
          </cell>
          <cell r="S362" t="str">
            <v>IDS Services (Malaysia) Sdn Bhd</v>
          </cell>
          <cell r="T362" t="str">
            <v>Disposed</v>
          </cell>
          <cell r="U362" t="str">
            <v>Asset</v>
          </cell>
          <cell r="V362">
            <v>4990</v>
          </cell>
          <cell r="W362" t="str">
            <v>KEW</v>
          </cell>
          <cell r="X362" t="str">
            <v>01/09/2010</v>
          </cell>
          <cell r="Y362" t="str">
            <v>KEW</v>
          </cell>
          <cell r="Z362" t="str">
            <v>16/08/2013</v>
          </cell>
          <cell r="AA362" t="str">
            <v>15/08/2015</v>
          </cell>
          <cell r="AB362" t="str">
            <v>No</v>
          </cell>
          <cell r="AC362" t="str">
            <v>31/08/2013</v>
          </cell>
          <cell r="AD362" t="str">
            <v>Good</v>
          </cell>
          <cell r="AE362" t="str">
            <v>V4 - Decommissioned Installed Facility</v>
          </cell>
          <cell r="AF362">
            <v>42733</v>
          </cell>
          <cell r="AG362">
            <v>9.17</v>
          </cell>
          <cell r="AH362" t="str">
            <v>PPM</v>
          </cell>
          <cell r="AI362" t="str">
            <v>Not in contract</v>
          </cell>
          <cell r="AJ362" t="str">
            <v>Not in contract</v>
          </cell>
          <cell r="AK362" t="e">
            <v>#N/A</v>
          </cell>
        </row>
        <row r="363">
          <cell r="A363" t="str">
            <v>IKN400279</v>
          </cell>
          <cell r="B363">
            <v>279</v>
          </cell>
          <cell r="C363" t="str">
            <v>Institut Kanser Negara</v>
          </cell>
          <cell r="D363" t="e">
            <v>#N/A</v>
          </cell>
          <cell r="E363" t="str">
            <v>10-447</v>
          </cell>
          <cell r="F363" t="str">
            <v>Warming Units, Blood/Solution</v>
          </cell>
          <cell r="G363" t="str">
            <v>WH</v>
          </cell>
          <cell r="H363" t="str">
            <v>RT/ONCO WARD 2 (M)</v>
          </cell>
          <cell r="I363" t="str">
            <v>08WH121</v>
          </cell>
          <cell r="J363" t="str">
            <v>EQUIPMENT ROOM</v>
          </cell>
          <cell r="K363" t="str">
            <v>BMED</v>
          </cell>
          <cell r="L363" t="str">
            <v>Normal</v>
          </cell>
          <cell r="M363" t="str">
            <v>Japan</v>
          </cell>
          <cell r="N363" t="str">
            <v>Animec</v>
          </cell>
          <cell r="O363" t="str">
            <v>Animec AM-301</v>
          </cell>
          <cell r="P363" t="str">
            <v>2013D0246</v>
          </cell>
          <cell r="Q363" t="str">
            <v>Not Applicable</v>
          </cell>
          <cell r="R363" t="str">
            <v>Elltec Co Ltd</v>
          </cell>
          <cell r="S363" t="str">
            <v>IDS Services (Malaysia) Sdn Bhd</v>
          </cell>
          <cell r="T363" t="str">
            <v>Not In Use</v>
          </cell>
          <cell r="U363" t="str">
            <v>Asset</v>
          </cell>
          <cell r="V363">
            <v>4990</v>
          </cell>
          <cell r="W363" t="str">
            <v>KEW</v>
          </cell>
          <cell r="X363" t="str">
            <v>01/09/2010</v>
          </cell>
          <cell r="Y363" t="str">
            <v>KEW</v>
          </cell>
          <cell r="Z363" t="str">
            <v>16/08/2013</v>
          </cell>
          <cell r="AA363" t="str">
            <v>15/08/2015</v>
          </cell>
          <cell r="AB363" t="str">
            <v>No</v>
          </cell>
          <cell r="AC363" t="str">
            <v>31/08/2013</v>
          </cell>
          <cell r="AD363" t="str">
            <v>Request for Exemption</v>
          </cell>
          <cell r="AE363" t="str">
            <v>V4 - Decommissioned Installed Facility</v>
          </cell>
          <cell r="AF363">
            <v>43050</v>
          </cell>
          <cell r="AG363">
            <v>9.17</v>
          </cell>
          <cell r="AH363" t="str">
            <v>PPM</v>
          </cell>
          <cell r="AI363" t="str">
            <v>Not in contract</v>
          </cell>
          <cell r="AJ363" t="str">
            <v>Not in contract</v>
          </cell>
          <cell r="AK363" t="e">
            <v>#N/A</v>
          </cell>
        </row>
        <row r="364">
          <cell r="A364" t="str">
            <v>IKN400280</v>
          </cell>
          <cell r="B364">
            <v>280</v>
          </cell>
          <cell r="C364" t="str">
            <v>Institut Kanser Negara</v>
          </cell>
          <cell r="D364" t="e">
            <v>#N/A</v>
          </cell>
          <cell r="E364" t="str">
            <v>10-447</v>
          </cell>
          <cell r="F364" t="str">
            <v>Warming Units, Blood/Solution</v>
          </cell>
          <cell r="G364" t="str">
            <v>WH</v>
          </cell>
          <cell r="H364" t="str">
            <v>RT/ONCO WARD 2 (M)</v>
          </cell>
          <cell r="I364" t="str">
            <v>08WH121</v>
          </cell>
          <cell r="J364" t="str">
            <v>EQUIPMENT ROOM</v>
          </cell>
          <cell r="K364" t="str">
            <v>BMED</v>
          </cell>
          <cell r="L364" t="str">
            <v>Normal</v>
          </cell>
          <cell r="M364" t="str">
            <v>Japan</v>
          </cell>
          <cell r="N364" t="str">
            <v>Animec</v>
          </cell>
          <cell r="O364" t="str">
            <v>Animec AM-301</v>
          </cell>
          <cell r="P364" t="str">
            <v>2013D0245</v>
          </cell>
          <cell r="Q364" t="str">
            <v>Not Applicable</v>
          </cell>
          <cell r="R364" t="str">
            <v>Elltec Co Ltd</v>
          </cell>
          <cell r="S364" t="str">
            <v>IDS Services (Malaysia) Sdn Bhd</v>
          </cell>
          <cell r="T364" t="str">
            <v>Not In Use</v>
          </cell>
          <cell r="U364" t="str">
            <v>Asset</v>
          </cell>
          <cell r="V364">
            <v>4990</v>
          </cell>
          <cell r="W364" t="str">
            <v>KEW</v>
          </cell>
          <cell r="X364" t="str">
            <v>01/09/2010</v>
          </cell>
          <cell r="Y364" t="str">
            <v>KEW</v>
          </cell>
          <cell r="Z364" t="str">
            <v>16/08/2013</v>
          </cell>
          <cell r="AA364" t="str">
            <v>15/08/2015</v>
          </cell>
          <cell r="AB364" t="str">
            <v>No</v>
          </cell>
          <cell r="AC364" t="str">
            <v>31/08/2013</v>
          </cell>
          <cell r="AD364" t="str">
            <v>Good</v>
          </cell>
          <cell r="AE364" t="str">
            <v>V4 - Decommissioned Installed Facility</v>
          </cell>
          <cell r="AF364">
            <v>43050</v>
          </cell>
          <cell r="AG364">
            <v>9.17</v>
          </cell>
          <cell r="AH364" t="str">
            <v>PPM</v>
          </cell>
          <cell r="AI364" t="str">
            <v>Not in contract</v>
          </cell>
          <cell r="AJ364" t="str">
            <v>Not in contract</v>
          </cell>
          <cell r="AK364" t="e">
            <v>#N/A</v>
          </cell>
        </row>
        <row r="365">
          <cell r="A365" t="str">
            <v>IKN400281</v>
          </cell>
          <cell r="B365">
            <v>281</v>
          </cell>
          <cell r="C365" t="str">
            <v>Institut Kanser Negara</v>
          </cell>
          <cell r="D365" t="e">
            <v>#N/A</v>
          </cell>
          <cell r="E365" t="str">
            <v>10-447</v>
          </cell>
          <cell r="F365" t="str">
            <v>Warming Units, Blood/Solution</v>
          </cell>
          <cell r="G365" t="str">
            <v>WH</v>
          </cell>
          <cell r="H365" t="str">
            <v>RT/ONCO WARD 2 (M)</v>
          </cell>
          <cell r="I365" t="str">
            <v>08WH121</v>
          </cell>
          <cell r="J365" t="str">
            <v>EQUIPMENT ROOM</v>
          </cell>
          <cell r="K365" t="str">
            <v>BMED</v>
          </cell>
          <cell r="L365" t="str">
            <v>Normal</v>
          </cell>
          <cell r="M365" t="str">
            <v>Japan</v>
          </cell>
          <cell r="N365" t="str">
            <v>Animec</v>
          </cell>
          <cell r="O365" t="str">
            <v>Animec AM-301</v>
          </cell>
          <cell r="P365" t="str">
            <v>2012D0054</v>
          </cell>
          <cell r="Q365" t="str">
            <v>Not Applicable</v>
          </cell>
          <cell r="R365" t="str">
            <v>Elltec Co Ltd</v>
          </cell>
          <cell r="S365" t="str">
            <v>IDS Services (Malaysia) Sdn Bhd</v>
          </cell>
          <cell r="T365" t="str">
            <v>Disposed</v>
          </cell>
          <cell r="U365" t="str">
            <v>Asset</v>
          </cell>
          <cell r="V365">
            <v>4990</v>
          </cell>
          <cell r="W365" t="str">
            <v>KEW</v>
          </cell>
          <cell r="X365" t="str">
            <v>01/09/2010</v>
          </cell>
          <cell r="Y365" t="str">
            <v>KEW</v>
          </cell>
          <cell r="Z365" t="str">
            <v>16/08/2013</v>
          </cell>
          <cell r="AA365" t="str">
            <v>15/08/2015</v>
          </cell>
          <cell r="AB365" t="str">
            <v>No</v>
          </cell>
          <cell r="AC365" t="str">
            <v>31/08/2013</v>
          </cell>
          <cell r="AD365" t="str">
            <v>Good</v>
          </cell>
          <cell r="AE365" t="str">
            <v>V4 - Decommissioned Installed Facility</v>
          </cell>
          <cell r="AF365">
            <v>42538</v>
          </cell>
          <cell r="AG365">
            <v>9.17</v>
          </cell>
          <cell r="AH365" t="str">
            <v>PPM</v>
          </cell>
          <cell r="AI365" t="str">
            <v>Not in contract</v>
          </cell>
          <cell r="AJ365" t="str">
            <v>Not in contract</v>
          </cell>
          <cell r="AK365" t="e">
            <v>#N/A</v>
          </cell>
        </row>
        <row r="366">
          <cell r="A366" t="str">
            <v>IKN400393</v>
          </cell>
          <cell r="B366">
            <v>393</v>
          </cell>
          <cell r="C366" t="str">
            <v>Institut Kanser Negara</v>
          </cell>
          <cell r="D366" t="e">
            <v>#N/A</v>
          </cell>
          <cell r="E366" t="str">
            <v>10-447</v>
          </cell>
          <cell r="F366" t="str">
            <v>Warming Units, Blood/Solution</v>
          </cell>
          <cell r="G366" t="str">
            <v>WD</v>
          </cell>
          <cell r="H366" t="str">
            <v>RT/ONCO PAED/ADOLESCENT WARD</v>
          </cell>
          <cell r="I366" t="str">
            <v>06WD153</v>
          </cell>
          <cell r="J366" t="str">
            <v>EQP.ROOM</v>
          </cell>
          <cell r="K366" t="str">
            <v>BMED</v>
          </cell>
          <cell r="L366" t="str">
            <v>Normal</v>
          </cell>
          <cell r="M366" t="str">
            <v>Japan</v>
          </cell>
          <cell r="N366" t="str">
            <v>Animec</v>
          </cell>
          <cell r="O366" t="str">
            <v>Animec AM-301</v>
          </cell>
          <cell r="P366" t="str">
            <v>2013D0265</v>
          </cell>
          <cell r="Q366" t="str">
            <v>Not Applicable</v>
          </cell>
          <cell r="R366" t="str">
            <v>Elltec Co Ltd</v>
          </cell>
          <cell r="S366" t="str">
            <v>IDS Services (Malaysia) Sdn Bhd</v>
          </cell>
          <cell r="T366" t="str">
            <v>Disposed</v>
          </cell>
          <cell r="U366" t="str">
            <v>Asset</v>
          </cell>
          <cell r="V366">
            <v>4990</v>
          </cell>
          <cell r="W366" t="str">
            <v>KEW</v>
          </cell>
          <cell r="X366" t="str">
            <v>01/09/2010</v>
          </cell>
          <cell r="Y366" t="str">
            <v>KEW</v>
          </cell>
          <cell r="Z366" t="str">
            <v>16/08/2013</v>
          </cell>
          <cell r="AA366" t="str">
            <v>15/08/2015</v>
          </cell>
          <cell r="AB366" t="str">
            <v>No</v>
          </cell>
          <cell r="AC366" t="str">
            <v>31/08/2013</v>
          </cell>
          <cell r="AD366" t="str">
            <v>Request for Exemption</v>
          </cell>
          <cell r="AE366" t="str">
            <v>V4 - Decommissioned Installed Facility</v>
          </cell>
          <cell r="AF366">
            <v>42538</v>
          </cell>
          <cell r="AG366">
            <v>9.17</v>
          </cell>
          <cell r="AH366" t="str">
            <v>PPM</v>
          </cell>
          <cell r="AI366" t="str">
            <v>Not in contract</v>
          </cell>
          <cell r="AJ366" t="str">
            <v>Not in contract</v>
          </cell>
          <cell r="AK366" t="e">
            <v>#N/A</v>
          </cell>
        </row>
        <row r="367">
          <cell r="A367" t="str">
            <v>IKN400394</v>
          </cell>
          <cell r="B367">
            <v>394</v>
          </cell>
          <cell r="C367" t="str">
            <v>Institut Kanser Negara</v>
          </cell>
          <cell r="D367" t="e">
            <v>#N/A</v>
          </cell>
          <cell r="E367" t="str">
            <v>10-447</v>
          </cell>
          <cell r="F367" t="str">
            <v>Warming Units, Blood/Solution</v>
          </cell>
          <cell r="G367" t="str">
            <v>WD</v>
          </cell>
          <cell r="H367" t="str">
            <v>RT/ONCO PAED/ADOLESCENT WARD</v>
          </cell>
          <cell r="I367" t="str">
            <v>06WD153</v>
          </cell>
          <cell r="J367" t="str">
            <v>EQP.ROOM</v>
          </cell>
          <cell r="K367" t="str">
            <v>BMED</v>
          </cell>
          <cell r="L367" t="str">
            <v>Normal</v>
          </cell>
          <cell r="M367" t="str">
            <v>Japan</v>
          </cell>
          <cell r="N367" t="str">
            <v>Animec</v>
          </cell>
          <cell r="O367" t="str">
            <v>Animec AM-301</v>
          </cell>
          <cell r="P367" t="str">
            <v>2013D0266</v>
          </cell>
          <cell r="Q367" t="str">
            <v>Not Applicable</v>
          </cell>
          <cell r="R367" t="str">
            <v>Elltec Co Ltd</v>
          </cell>
          <cell r="S367" t="str">
            <v>IDS Services (Malaysia) Sdn Bhd</v>
          </cell>
          <cell r="T367" t="str">
            <v>Disposed</v>
          </cell>
          <cell r="U367" t="str">
            <v>Asset</v>
          </cell>
          <cell r="V367">
            <v>4990</v>
          </cell>
          <cell r="W367" t="str">
            <v>KEW</v>
          </cell>
          <cell r="X367" t="str">
            <v>01/09/2010</v>
          </cell>
          <cell r="Y367" t="str">
            <v>KEW</v>
          </cell>
          <cell r="Z367" t="str">
            <v>16/08/2013</v>
          </cell>
          <cell r="AA367" t="str">
            <v>15/08/2015</v>
          </cell>
          <cell r="AB367" t="str">
            <v>No</v>
          </cell>
          <cell r="AC367" t="str">
            <v>31/08/2013</v>
          </cell>
          <cell r="AD367" t="str">
            <v>Good</v>
          </cell>
          <cell r="AE367" t="str">
            <v>V4 - Decommissioned Installed Facility</v>
          </cell>
          <cell r="AF367">
            <v>42538</v>
          </cell>
          <cell r="AG367">
            <v>9.17</v>
          </cell>
          <cell r="AH367" t="str">
            <v>PPM</v>
          </cell>
          <cell r="AI367" t="str">
            <v>Not in contract</v>
          </cell>
          <cell r="AJ367" t="str">
            <v>Not in contract</v>
          </cell>
          <cell r="AK367" t="e">
            <v>#N/A</v>
          </cell>
        </row>
        <row r="368">
          <cell r="A368" t="str">
            <v>IKN400395</v>
          </cell>
          <cell r="B368">
            <v>395</v>
          </cell>
          <cell r="C368" t="str">
            <v>Institut Kanser Negara</v>
          </cell>
          <cell r="D368" t="e">
            <v>#N/A</v>
          </cell>
          <cell r="E368" t="str">
            <v>10-447</v>
          </cell>
          <cell r="F368" t="str">
            <v>Warming Units, Blood/Solution</v>
          </cell>
          <cell r="G368" t="str">
            <v>WD</v>
          </cell>
          <cell r="H368" t="str">
            <v>RT/ONCO PAED/ADOLESCENT WARD</v>
          </cell>
          <cell r="I368" t="str">
            <v>06WD153</v>
          </cell>
          <cell r="J368" t="str">
            <v>EQP.ROOM</v>
          </cell>
          <cell r="K368" t="str">
            <v>BMED</v>
          </cell>
          <cell r="L368" t="str">
            <v>Normal</v>
          </cell>
          <cell r="M368" t="str">
            <v>Japan</v>
          </cell>
          <cell r="N368" t="str">
            <v>Animec</v>
          </cell>
          <cell r="O368" t="str">
            <v>Animec AM-301</v>
          </cell>
          <cell r="P368" t="str">
            <v>2013D0264</v>
          </cell>
          <cell r="Q368" t="str">
            <v>Not Applicable</v>
          </cell>
          <cell r="R368" t="str">
            <v>Elltec Co Ltd</v>
          </cell>
          <cell r="S368" t="str">
            <v>IDS Services (Malaysia) Sdn Bhd</v>
          </cell>
          <cell r="T368" t="str">
            <v>Disposed</v>
          </cell>
          <cell r="U368" t="str">
            <v>Asset</v>
          </cell>
          <cell r="V368">
            <v>4990</v>
          </cell>
          <cell r="W368" t="str">
            <v>KEW</v>
          </cell>
          <cell r="X368" t="str">
            <v>01/09/2010</v>
          </cell>
          <cell r="Y368" t="str">
            <v>KEW</v>
          </cell>
          <cell r="Z368" t="str">
            <v>16/08/2013</v>
          </cell>
          <cell r="AA368" t="str">
            <v>15/08/2015</v>
          </cell>
          <cell r="AB368" t="str">
            <v>No</v>
          </cell>
          <cell r="AC368" t="str">
            <v>31/08/2013</v>
          </cell>
          <cell r="AD368" t="str">
            <v>Request for Exemption</v>
          </cell>
          <cell r="AE368" t="str">
            <v>V4 - Decommissioned Installed Facility</v>
          </cell>
          <cell r="AF368">
            <v>42538</v>
          </cell>
          <cell r="AG368">
            <v>9.17</v>
          </cell>
          <cell r="AH368" t="str">
            <v>PPM</v>
          </cell>
          <cell r="AI368" t="str">
            <v>Not in contract</v>
          </cell>
          <cell r="AJ368" t="str">
            <v>Not in contract</v>
          </cell>
          <cell r="AK368" t="e">
            <v>#N/A</v>
          </cell>
        </row>
        <row r="369">
          <cell r="A369" t="str">
            <v>IKN400431</v>
          </cell>
          <cell r="B369">
            <v>431</v>
          </cell>
          <cell r="C369" t="str">
            <v>Institut Kanser Negara</v>
          </cell>
          <cell r="D369" t="e">
            <v>#N/A</v>
          </cell>
          <cell r="E369" t="str">
            <v>10-447</v>
          </cell>
          <cell r="F369" t="str">
            <v>Warming Units, Blood/Solution</v>
          </cell>
          <cell r="G369" t="str">
            <v>WC</v>
          </cell>
          <cell r="H369" t="str">
            <v>SURGICAL ONCO FEMALE WARD</v>
          </cell>
          <cell r="I369" t="str">
            <v>06WC113</v>
          </cell>
          <cell r="J369" t="str">
            <v>EQUIPMENT ROOM</v>
          </cell>
          <cell r="K369" t="str">
            <v>BMED</v>
          </cell>
          <cell r="L369" t="str">
            <v>Normal</v>
          </cell>
          <cell r="M369" t="str">
            <v>Japan</v>
          </cell>
          <cell r="N369" t="str">
            <v>Animec</v>
          </cell>
          <cell r="O369" t="str">
            <v>Animec AM-301</v>
          </cell>
          <cell r="P369" t="str">
            <v>2013D0263</v>
          </cell>
          <cell r="Q369" t="str">
            <v>Not Applicable</v>
          </cell>
          <cell r="R369" t="str">
            <v>Elltec Co Ltd</v>
          </cell>
          <cell r="S369" t="str">
            <v>IDS Services (Malaysia) Sdn Bhd</v>
          </cell>
          <cell r="T369" t="str">
            <v>Disposed</v>
          </cell>
          <cell r="U369" t="str">
            <v>Asset</v>
          </cell>
          <cell r="V369">
            <v>4990</v>
          </cell>
          <cell r="W369" t="str">
            <v>KEW</v>
          </cell>
          <cell r="X369" t="str">
            <v>01/09/2010</v>
          </cell>
          <cell r="Y369" t="str">
            <v>KEW</v>
          </cell>
          <cell r="Z369" t="str">
            <v>16/08/2013</v>
          </cell>
          <cell r="AA369" t="str">
            <v>15/08/2015</v>
          </cell>
          <cell r="AB369" t="str">
            <v>No</v>
          </cell>
          <cell r="AC369" t="str">
            <v>31/08/2013</v>
          </cell>
          <cell r="AD369" t="str">
            <v>Good</v>
          </cell>
          <cell r="AE369" t="str">
            <v>V4 - Decommissioned Installed Facility</v>
          </cell>
          <cell r="AF369">
            <v>42538</v>
          </cell>
          <cell r="AG369">
            <v>9.17</v>
          </cell>
          <cell r="AH369" t="str">
            <v>PPM</v>
          </cell>
          <cell r="AI369" t="str">
            <v>Not in contract</v>
          </cell>
          <cell r="AJ369" t="str">
            <v>Not in contract</v>
          </cell>
          <cell r="AK369" t="e">
            <v>#N/A</v>
          </cell>
        </row>
        <row r="370">
          <cell r="A370" t="str">
            <v>IKN400432</v>
          </cell>
          <cell r="B370">
            <v>432</v>
          </cell>
          <cell r="C370" t="str">
            <v>Institut Kanser Negara</v>
          </cell>
          <cell r="D370" t="e">
            <v>#N/A</v>
          </cell>
          <cell r="E370" t="str">
            <v>10-447</v>
          </cell>
          <cell r="F370" t="str">
            <v>Warming Units, Blood/Solution</v>
          </cell>
          <cell r="G370" t="str">
            <v>WC</v>
          </cell>
          <cell r="H370" t="str">
            <v>SURGICAL ONCO FEMALE WARD</v>
          </cell>
          <cell r="I370" t="str">
            <v>06WC113</v>
          </cell>
          <cell r="J370" t="str">
            <v>EQUIPMENT ROOM</v>
          </cell>
          <cell r="K370" t="str">
            <v>BMED</v>
          </cell>
          <cell r="L370" t="str">
            <v>Normal</v>
          </cell>
          <cell r="M370" t="str">
            <v>Japan</v>
          </cell>
          <cell r="N370" t="str">
            <v>Animec</v>
          </cell>
          <cell r="O370" t="str">
            <v>Animec AM-301</v>
          </cell>
          <cell r="P370" t="str">
            <v>2013D0262</v>
          </cell>
          <cell r="Q370" t="str">
            <v>Not Applicable</v>
          </cell>
          <cell r="R370" t="str">
            <v>Elltec Co Ltd</v>
          </cell>
          <cell r="S370" t="str">
            <v>IDS Services (Malaysia) Sdn Bhd</v>
          </cell>
          <cell r="T370" t="str">
            <v>Disposed</v>
          </cell>
          <cell r="U370" t="str">
            <v>Asset</v>
          </cell>
          <cell r="V370">
            <v>4990</v>
          </cell>
          <cell r="W370" t="str">
            <v>KEW</v>
          </cell>
          <cell r="X370" t="str">
            <v>01/09/2010</v>
          </cell>
          <cell r="Y370" t="str">
            <v>KEW</v>
          </cell>
          <cell r="Z370" t="str">
            <v>16/08/2013</v>
          </cell>
          <cell r="AA370" t="str">
            <v>15/08/2015</v>
          </cell>
          <cell r="AB370" t="str">
            <v>No</v>
          </cell>
          <cell r="AC370" t="str">
            <v>31/08/2013</v>
          </cell>
          <cell r="AD370" t="str">
            <v>Good</v>
          </cell>
          <cell r="AE370" t="str">
            <v>V4 - Decommissioned Installed Facility</v>
          </cell>
          <cell r="AF370">
            <v>42538</v>
          </cell>
          <cell r="AG370">
            <v>9.17</v>
          </cell>
          <cell r="AH370" t="str">
            <v>PPM</v>
          </cell>
          <cell r="AI370" t="str">
            <v>Not in contract</v>
          </cell>
          <cell r="AJ370" t="str">
            <v>Not in contract</v>
          </cell>
          <cell r="AK370" t="e">
            <v>#N/A</v>
          </cell>
        </row>
        <row r="371">
          <cell r="A371" t="str">
            <v>IKN400433</v>
          </cell>
          <cell r="B371">
            <v>433</v>
          </cell>
          <cell r="C371" t="str">
            <v>Institut Kanser Negara</v>
          </cell>
          <cell r="D371" t="str">
            <v>KKM/IKN/H/13/2005</v>
          </cell>
          <cell r="E371" t="str">
            <v>11-134</v>
          </cell>
          <cell r="F371" t="str">
            <v>Defibrillators, External, Manual</v>
          </cell>
          <cell r="G371" t="str">
            <v>WC</v>
          </cell>
          <cell r="H371" t="str">
            <v>SURGICAL ONCO FEMALE WARD</v>
          </cell>
          <cell r="I371" t="str">
            <v>06WC133</v>
          </cell>
          <cell r="J371" t="str">
            <v>RESUS EQ. BAY</v>
          </cell>
          <cell r="K371" t="str">
            <v>BMED</v>
          </cell>
          <cell r="L371" t="str">
            <v>Critical</v>
          </cell>
          <cell r="M371" t="str">
            <v>USA</v>
          </cell>
          <cell r="N371" t="str">
            <v>Responder</v>
          </cell>
          <cell r="O371" t="str">
            <v>Responder 2000</v>
          </cell>
          <cell r="P371" t="str">
            <v>3206740</v>
          </cell>
          <cell r="Q371" t="str">
            <v>Not Applicable</v>
          </cell>
          <cell r="R371" t="str">
            <v>GE Medical Systems</v>
          </cell>
          <cell r="S371" t="str">
            <v>Antah Sir Radin Sdn. Bhd.</v>
          </cell>
          <cell r="T371" t="str">
            <v>Functioning</v>
          </cell>
          <cell r="U371" t="str">
            <v>Asset</v>
          </cell>
          <cell r="V371">
            <v>45000</v>
          </cell>
          <cell r="W371" t="str">
            <v>KEW</v>
          </cell>
          <cell r="X371" t="str">
            <v>01/09/2010</v>
          </cell>
          <cell r="Y371" t="str">
            <v>KEW</v>
          </cell>
          <cell r="Z371" t="str">
            <v>16/08/2013</v>
          </cell>
          <cell r="AA371" t="str">
            <v>15/08/2015</v>
          </cell>
          <cell r="AB371" t="str">
            <v>No</v>
          </cell>
          <cell r="AC371" t="str">
            <v>31/08/2013</v>
          </cell>
          <cell r="AD371" t="str">
            <v>Good</v>
          </cell>
          <cell r="AE371" t="str">
            <v>V3 - Added Installed Facilities (New)</v>
          </cell>
          <cell r="AF371">
            <v>42601</v>
          </cell>
          <cell r="AG371">
            <v>9.17</v>
          </cell>
          <cell r="AH371" t="str">
            <v>PPM</v>
          </cell>
          <cell r="AI371" t="str">
            <v>Strands</v>
          </cell>
          <cell r="AJ371" t="str">
            <v>Strands PW. Proposed for V4 P2.23</v>
          </cell>
          <cell r="AK371" t="str">
            <v>SNF received. 1st batch of V3 asset (December 2020). [18/9/2023, SHARIFAH]: PEP ON 8/8/2023, BER/BEMS/IKN/23/019 - Aset mengalami kerosakan pada mainboard dan theraphy board.</v>
          </cell>
        </row>
        <row r="372">
          <cell r="A372" t="str">
            <v>IKN400436</v>
          </cell>
          <cell r="B372">
            <v>436</v>
          </cell>
          <cell r="C372" t="str">
            <v>Institut Kanser Negara</v>
          </cell>
          <cell r="D372" t="e">
            <v>#N/A</v>
          </cell>
          <cell r="E372" t="str">
            <v>12-660</v>
          </cell>
          <cell r="F372" t="str">
            <v>Radiation Monitors</v>
          </cell>
          <cell r="G372" t="str">
            <v>NM</v>
          </cell>
          <cell r="H372" t="str">
            <v>NUCLEAR MED (DIAGNOSTIC)</v>
          </cell>
          <cell r="I372" t="str">
            <v>03NM161</v>
          </cell>
          <cell r="J372" t="str">
            <v>GAMMA CAMERA 1 (-VE)</v>
          </cell>
          <cell r="K372" t="str">
            <v>BMED</v>
          </cell>
          <cell r="L372" t="str">
            <v>Normal</v>
          </cell>
          <cell r="M372" t="str">
            <v>USA</v>
          </cell>
          <cell r="N372" t="str">
            <v>Ludlum</v>
          </cell>
          <cell r="O372" t="str">
            <v>Ludlum 375P</v>
          </cell>
          <cell r="P372">
            <v>294335</v>
          </cell>
          <cell r="Q372" t="str">
            <v>Not Applicable</v>
          </cell>
          <cell r="R372" t="str">
            <v>Ludlum Measurements Inc</v>
          </cell>
          <cell r="S372" t="str">
            <v>Advance Altimas Sdn Bhd</v>
          </cell>
          <cell r="T372" t="str">
            <v>Functioning</v>
          </cell>
          <cell r="U372" t="str">
            <v>Asset</v>
          </cell>
          <cell r="V372">
            <v>25000</v>
          </cell>
          <cell r="W372" t="str">
            <v>Estimate</v>
          </cell>
          <cell r="X372" t="str">
            <v>01/09/2010</v>
          </cell>
          <cell r="Y372" t="str">
            <v>KEW</v>
          </cell>
          <cell r="Z372" t="str">
            <v>16/08/2013</v>
          </cell>
          <cell r="AA372" t="str">
            <v>15/08/2015</v>
          </cell>
          <cell r="AB372" t="str">
            <v>No</v>
          </cell>
          <cell r="AC372" t="str">
            <v>31/08/2013</v>
          </cell>
          <cell r="AD372" t="str">
            <v>Good</v>
          </cell>
          <cell r="AE372" t="str">
            <v>V1 - Existing / No Claim</v>
          </cell>
          <cell r="AF372">
            <v>42601</v>
          </cell>
          <cell r="AG372">
            <v>9.17</v>
          </cell>
          <cell r="AH372" t="str">
            <v>PPM</v>
          </cell>
          <cell r="AI372" t="str">
            <v>package</v>
          </cell>
          <cell r="AJ372" t="str">
            <v>Strands Package. Proposed for V4 P2.23</v>
          </cell>
          <cell r="AK372" t="str">
            <v>BER PACKAGE GAMMA Package Code XK0001A.</v>
          </cell>
        </row>
        <row r="373">
          <cell r="A373" t="str">
            <v>IKN400467</v>
          </cell>
          <cell r="B373">
            <v>467</v>
          </cell>
          <cell r="C373" t="str">
            <v>Institut Kanser Negara</v>
          </cell>
          <cell r="D373" t="e">
            <v>#N/A</v>
          </cell>
          <cell r="E373" t="str">
            <v>10-447</v>
          </cell>
          <cell r="F373" t="str">
            <v>Warming Units, Blood/Solution</v>
          </cell>
          <cell r="G373" t="str">
            <v>WB</v>
          </cell>
          <cell r="H373" t="str">
            <v>SURGICAL ONCO MALE WARD</v>
          </cell>
          <cell r="I373" t="str">
            <v>05WB113</v>
          </cell>
          <cell r="J373" t="str">
            <v>EQUIP. ROOM</v>
          </cell>
          <cell r="K373" t="str">
            <v>BMED</v>
          </cell>
          <cell r="L373" t="str">
            <v>Normal</v>
          </cell>
          <cell r="M373" t="str">
            <v>Japan</v>
          </cell>
          <cell r="N373" t="str">
            <v>Animec</v>
          </cell>
          <cell r="O373" t="str">
            <v>Animec AM-301</v>
          </cell>
          <cell r="P373" t="str">
            <v>2013D0259</v>
          </cell>
          <cell r="Q373" t="str">
            <v>Not Applicable</v>
          </cell>
          <cell r="R373" t="str">
            <v>Elltec Co Ltd</v>
          </cell>
          <cell r="S373" t="str">
            <v>IDS Services (Malaysia) Sdn Bhd</v>
          </cell>
          <cell r="T373" t="str">
            <v>Disposed</v>
          </cell>
          <cell r="U373" t="str">
            <v>Asset</v>
          </cell>
          <cell r="V373">
            <v>4990</v>
          </cell>
          <cell r="W373" t="str">
            <v>KEW</v>
          </cell>
          <cell r="X373" t="str">
            <v>01/09/2010</v>
          </cell>
          <cell r="Y373" t="str">
            <v>KEW</v>
          </cell>
          <cell r="Z373" t="str">
            <v>16/08/2013</v>
          </cell>
          <cell r="AA373" t="str">
            <v>15/08/2015</v>
          </cell>
          <cell r="AB373" t="str">
            <v>No</v>
          </cell>
          <cell r="AC373" t="str">
            <v>31/08/2013</v>
          </cell>
          <cell r="AD373" t="str">
            <v>Good</v>
          </cell>
          <cell r="AE373" t="str">
            <v>V4 - Decommissioned Installed Facility</v>
          </cell>
          <cell r="AF373">
            <v>42538</v>
          </cell>
          <cell r="AG373">
            <v>9.17</v>
          </cell>
          <cell r="AH373" t="str">
            <v>PPM</v>
          </cell>
          <cell r="AI373" t="str">
            <v>Not in contract</v>
          </cell>
          <cell r="AJ373" t="str">
            <v>Not in contract</v>
          </cell>
          <cell r="AK373" t="e">
            <v>#N/A</v>
          </cell>
        </row>
        <row r="374">
          <cell r="A374" t="str">
            <v>IKN400468</v>
          </cell>
          <cell r="B374">
            <v>468</v>
          </cell>
          <cell r="C374" t="str">
            <v>Institut Kanser Negara</v>
          </cell>
          <cell r="D374" t="e">
            <v>#N/A</v>
          </cell>
          <cell r="E374" t="str">
            <v>10-447</v>
          </cell>
          <cell r="F374" t="str">
            <v>Warming Units, Blood/Solution</v>
          </cell>
          <cell r="G374" t="str">
            <v>WB</v>
          </cell>
          <cell r="H374" t="str">
            <v>SURGICAL ONCO MALE WARD</v>
          </cell>
          <cell r="I374" t="str">
            <v>05WB113</v>
          </cell>
          <cell r="J374" t="str">
            <v>EQUIP. ROOM</v>
          </cell>
          <cell r="K374" t="str">
            <v>BMED</v>
          </cell>
          <cell r="L374" t="str">
            <v>Normal</v>
          </cell>
          <cell r="M374" t="str">
            <v>Japan</v>
          </cell>
          <cell r="N374" t="str">
            <v>Animec</v>
          </cell>
          <cell r="O374" t="str">
            <v>Animec AM-301</v>
          </cell>
          <cell r="P374" t="str">
            <v>2013D0258</v>
          </cell>
          <cell r="Q374" t="str">
            <v>Not Applicable</v>
          </cell>
          <cell r="R374" t="str">
            <v>Elltec Co Ltd</v>
          </cell>
          <cell r="S374" t="str">
            <v>IDS Services (Malaysia) Sdn Bhd</v>
          </cell>
          <cell r="T374" t="str">
            <v>Disposed</v>
          </cell>
          <cell r="U374" t="str">
            <v>Asset</v>
          </cell>
          <cell r="V374">
            <v>4990</v>
          </cell>
          <cell r="W374" t="str">
            <v>KEW</v>
          </cell>
          <cell r="X374" t="str">
            <v>01/09/2010</v>
          </cell>
          <cell r="Y374" t="str">
            <v>KEW</v>
          </cell>
          <cell r="Z374" t="str">
            <v>16/08/2013</v>
          </cell>
          <cell r="AA374" t="str">
            <v>15/08/2015</v>
          </cell>
          <cell r="AB374" t="str">
            <v>No</v>
          </cell>
          <cell r="AC374" t="str">
            <v>31/08/2013</v>
          </cell>
          <cell r="AD374" t="str">
            <v>Good</v>
          </cell>
          <cell r="AE374" t="str">
            <v>V4 - Decommissioned Installed Facility</v>
          </cell>
          <cell r="AF374">
            <v>42538</v>
          </cell>
          <cell r="AG374">
            <v>9.17</v>
          </cell>
          <cell r="AH374" t="str">
            <v>PPM</v>
          </cell>
          <cell r="AI374" t="str">
            <v>Not in contract</v>
          </cell>
          <cell r="AJ374" t="str">
            <v>Not in contract</v>
          </cell>
          <cell r="AK374" t="e">
            <v>#N/A</v>
          </cell>
        </row>
        <row r="375">
          <cell r="A375" t="str">
            <v>IKN400479</v>
          </cell>
          <cell r="B375">
            <v>479</v>
          </cell>
          <cell r="C375" t="str">
            <v>Institut Kanser Negara</v>
          </cell>
          <cell r="D375" t="str">
            <v>KKM/IKN/H/13/430</v>
          </cell>
          <cell r="E375" t="str">
            <v>13-215</v>
          </cell>
          <cell r="F375" t="str">
            <v>Infusion Pumps, General-Purpose</v>
          </cell>
          <cell r="G375" t="str">
            <v>WB</v>
          </cell>
          <cell r="H375" t="str">
            <v>SURGICAL ONCO MALE WARD</v>
          </cell>
          <cell r="I375" t="str">
            <v>05WB113</v>
          </cell>
          <cell r="J375" t="str">
            <v>EQUIP. ROOM</v>
          </cell>
          <cell r="K375" t="str">
            <v>BMED</v>
          </cell>
          <cell r="L375" t="str">
            <v>Critical</v>
          </cell>
          <cell r="M375" t="str">
            <v>Germany</v>
          </cell>
          <cell r="N375" t="str">
            <v>Infusomat</v>
          </cell>
          <cell r="O375" t="str">
            <v>Infusomat Space</v>
          </cell>
          <cell r="P375" t="str">
            <v>212025</v>
          </cell>
          <cell r="Q375" t="str">
            <v>Not Applicable</v>
          </cell>
          <cell r="R375" t="str">
            <v>B Braun Melsungen AG</v>
          </cell>
          <cell r="S375" t="str">
            <v>B Braun Medical Supplies Sdn. Bhd.</v>
          </cell>
          <cell r="T375" t="str">
            <v>Functioning</v>
          </cell>
          <cell r="U375" t="str">
            <v>Asset</v>
          </cell>
          <cell r="V375">
            <v>10825</v>
          </cell>
          <cell r="W375" t="str">
            <v>KEW</v>
          </cell>
          <cell r="X375" t="str">
            <v>01/09/2010</v>
          </cell>
          <cell r="Y375" t="str">
            <v>KEW</v>
          </cell>
          <cell r="Z375" t="str">
            <v>16/08/2013</v>
          </cell>
          <cell r="AA375" t="str">
            <v>15/08/2015</v>
          </cell>
          <cell r="AB375" t="str">
            <v>No</v>
          </cell>
          <cell r="AC375" t="str">
            <v>31/08/2013</v>
          </cell>
          <cell r="AD375" t="str">
            <v>Good</v>
          </cell>
          <cell r="AE375" t="str">
            <v>V4 - Decommissioned Installed Facility</v>
          </cell>
          <cell r="AF375">
            <v>42788</v>
          </cell>
          <cell r="AG375">
            <v>9.17</v>
          </cell>
          <cell r="AH375" t="str">
            <v>PPM</v>
          </cell>
          <cell r="AI375" t="str">
            <v>Not in contract</v>
          </cell>
          <cell r="AJ375" t="str">
            <v>Not in contract</v>
          </cell>
          <cell r="AK375" t="str">
            <v>BER. Total damage due to internal leaking. [22/9/2023, SHARIFAH]: PEP ON FEB 2021, BER/BEMS/AWSB/21/001 - Asset mengalami kerosakan pada komponen-komponen utama.</v>
          </cell>
        </row>
        <row r="376">
          <cell r="A376" t="str">
            <v>IKN400505</v>
          </cell>
          <cell r="B376">
            <v>505</v>
          </cell>
          <cell r="C376" t="str">
            <v>Institut Kanser Negara</v>
          </cell>
          <cell r="D376" t="e">
            <v>#N/A</v>
          </cell>
          <cell r="E376" t="str">
            <v>15-045</v>
          </cell>
          <cell r="F376" t="str">
            <v>Nebulizers, Nonheated</v>
          </cell>
          <cell r="G376" t="str">
            <v>PC</v>
          </cell>
          <cell r="H376" t="str">
            <v>PALLIATIVE CARE UNIT</v>
          </cell>
          <cell r="I376" t="str">
            <v>04PC109</v>
          </cell>
          <cell r="J376" t="str">
            <v>GEN. STORE</v>
          </cell>
          <cell r="K376" t="str">
            <v>BMED</v>
          </cell>
          <cell r="L376" t="str">
            <v>Normal</v>
          </cell>
          <cell r="M376" t="str">
            <v>Germany</v>
          </cell>
          <cell r="N376" t="str">
            <v>Pari Boy</v>
          </cell>
          <cell r="O376" t="str">
            <v>Pari Boy SX 085</v>
          </cell>
          <cell r="P376" t="str">
            <v>2W12J05972</v>
          </cell>
          <cell r="Q376" t="str">
            <v>Not Applicable</v>
          </cell>
          <cell r="R376" t="str">
            <v>Pari GmbH</v>
          </cell>
          <cell r="S376" t="str">
            <v>Welch Allyn Malaysia Sdn Bhd</v>
          </cell>
          <cell r="T376" t="str">
            <v>Not Functioning</v>
          </cell>
          <cell r="U376" t="str">
            <v>Asset</v>
          </cell>
          <cell r="V376">
            <v>1140</v>
          </cell>
          <cell r="W376" t="str">
            <v>KEW</v>
          </cell>
          <cell r="X376" t="str">
            <v>01/09/2010</v>
          </cell>
          <cell r="Y376" t="str">
            <v>KEW</v>
          </cell>
          <cell r="Z376" t="str">
            <v>16/08/2013</v>
          </cell>
          <cell r="AA376" t="str">
            <v>15/08/2015</v>
          </cell>
          <cell r="AB376" t="str">
            <v>No</v>
          </cell>
          <cell r="AC376" t="str">
            <v>31/08/2013</v>
          </cell>
          <cell r="AD376" t="str">
            <v>Good</v>
          </cell>
          <cell r="AE376" t="str">
            <v>V4 - Decommissioned Installed Facility</v>
          </cell>
          <cell r="AF376">
            <v>43434</v>
          </cell>
          <cell r="AG376">
            <v>9.17</v>
          </cell>
          <cell r="AH376" t="str">
            <v>PPM</v>
          </cell>
          <cell r="AI376" t="str">
            <v>Not in contract</v>
          </cell>
          <cell r="AJ376" t="str">
            <v>Not in contract</v>
          </cell>
          <cell r="AK376" t="e">
            <v>#N/A</v>
          </cell>
        </row>
        <row r="377">
          <cell r="A377" t="str">
            <v>IKN400507</v>
          </cell>
          <cell r="B377">
            <v>507</v>
          </cell>
          <cell r="C377" t="str">
            <v>Institut Kanser Negara</v>
          </cell>
          <cell r="D377" t="e">
            <v>#N/A</v>
          </cell>
          <cell r="E377" t="str">
            <v>15-045</v>
          </cell>
          <cell r="F377" t="str">
            <v>Nebulizers, Nonheated</v>
          </cell>
          <cell r="G377" t="str">
            <v>PC</v>
          </cell>
          <cell r="H377" t="str">
            <v>PALLIATIVE CARE UNIT</v>
          </cell>
          <cell r="I377" t="str">
            <v>04PC109</v>
          </cell>
          <cell r="J377" t="str">
            <v>GEN. STORE</v>
          </cell>
          <cell r="K377" t="str">
            <v>BMED</v>
          </cell>
          <cell r="L377" t="str">
            <v>Normal</v>
          </cell>
          <cell r="M377" t="str">
            <v>Germany</v>
          </cell>
          <cell r="N377" t="str">
            <v>Pari Boy</v>
          </cell>
          <cell r="O377" t="str">
            <v>Pari Boy SX 085</v>
          </cell>
          <cell r="P377" t="str">
            <v>2W12J05927</v>
          </cell>
          <cell r="Q377" t="str">
            <v>Not Applicable</v>
          </cell>
          <cell r="R377" t="str">
            <v>Pari GmbH</v>
          </cell>
          <cell r="S377" t="str">
            <v>Welch Allyn Malaysia Sdn Bhd</v>
          </cell>
          <cell r="T377" t="str">
            <v>Transferred</v>
          </cell>
          <cell r="U377" t="str">
            <v>Asset</v>
          </cell>
          <cell r="V377">
            <v>1140</v>
          </cell>
          <cell r="W377" t="str">
            <v>KEW</v>
          </cell>
          <cell r="X377" t="str">
            <v>01/09/2010</v>
          </cell>
          <cell r="Y377" t="str">
            <v>KEW</v>
          </cell>
          <cell r="Z377" t="str">
            <v>16/08/2013</v>
          </cell>
          <cell r="AA377" t="str">
            <v>15/08/2015</v>
          </cell>
          <cell r="AB377" t="str">
            <v>No</v>
          </cell>
          <cell r="AC377" t="str">
            <v>31/08/2013</v>
          </cell>
          <cell r="AD377" t="str">
            <v>Good</v>
          </cell>
          <cell r="AE377" t="str">
            <v>V4 - Decommissioned Installed Facility</v>
          </cell>
          <cell r="AF377">
            <v>43367</v>
          </cell>
          <cell r="AG377">
            <v>9.17</v>
          </cell>
          <cell r="AH377" t="str">
            <v>PPM</v>
          </cell>
          <cell r="AI377" t="str">
            <v>Not in contract</v>
          </cell>
          <cell r="AJ377" t="str">
            <v>Not in contract</v>
          </cell>
          <cell r="AK377" t="str">
            <v>Transfer to Alor Setar.</v>
          </cell>
        </row>
        <row r="378">
          <cell r="A378" t="str">
            <v>IKN400508</v>
          </cell>
          <cell r="B378">
            <v>508</v>
          </cell>
          <cell r="C378" t="str">
            <v>Institut Kanser Negara</v>
          </cell>
          <cell r="D378" t="e">
            <v>#N/A</v>
          </cell>
          <cell r="E378" t="str">
            <v>15-045</v>
          </cell>
          <cell r="F378" t="str">
            <v>Nebulizers, Nonheated</v>
          </cell>
          <cell r="G378" t="str">
            <v>PC</v>
          </cell>
          <cell r="H378" t="str">
            <v>PALLIATIVE CARE UNIT</v>
          </cell>
          <cell r="I378" t="str">
            <v>04PC109</v>
          </cell>
          <cell r="J378" t="str">
            <v>GEN. STORE</v>
          </cell>
          <cell r="K378" t="str">
            <v>BMED</v>
          </cell>
          <cell r="L378" t="str">
            <v>Normal</v>
          </cell>
          <cell r="M378" t="str">
            <v>Germany</v>
          </cell>
          <cell r="N378" t="str">
            <v>Pari Boy</v>
          </cell>
          <cell r="O378" t="str">
            <v>Pari Boy SX 085</v>
          </cell>
          <cell r="P378" t="str">
            <v>2W12J05951</v>
          </cell>
          <cell r="Q378" t="str">
            <v>Not Applicable</v>
          </cell>
          <cell r="R378" t="str">
            <v>Pari GmbH</v>
          </cell>
          <cell r="S378" t="str">
            <v>Welch Allyn Malaysia Sdn Bhd</v>
          </cell>
          <cell r="T378" t="str">
            <v>Transferred</v>
          </cell>
          <cell r="U378" t="str">
            <v>Asset</v>
          </cell>
          <cell r="V378">
            <v>1140</v>
          </cell>
          <cell r="W378" t="str">
            <v>KEW</v>
          </cell>
          <cell r="X378" t="str">
            <v>01/09/2010</v>
          </cell>
          <cell r="Y378" t="str">
            <v>KEW</v>
          </cell>
          <cell r="Z378" t="str">
            <v>16/08/2013</v>
          </cell>
          <cell r="AA378" t="str">
            <v>15/08/2015</v>
          </cell>
          <cell r="AB378" t="str">
            <v>No</v>
          </cell>
          <cell r="AC378" t="str">
            <v>31/08/2013</v>
          </cell>
          <cell r="AD378" t="str">
            <v>Good</v>
          </cell>
          <cell r="AE378" t="str">
            <v>V4 - Decommissioned Installed Facility</v>
          </cell>
          <cell r="AF378">
            <v>43367</v>
          </cell>
          <cell r="AG378">
            <v>9.17</v>
          </cell>
          <cell r="AH378" t="str">
            <v>PPM</v>
          </cell>
          <cell r="AI378" t="str">
            <v>Not in contract</v>
          </cell>
          <cell r="AJ378" t="str">
            <v>Not in contract</v>
          </cell>
          <cell r="AK378" t="str">
            <v>Transfer to Alor Setar.</v>
          </cell>
        </row>
        <row r="379">
          <cell r="A379" t="str">
            <v>IKN400510</v>
          </cell>
          <cell r="B379">
            <v>510</v>
          </cell>
          <cell r="C379" t="str">
            <v>Institut Kanser Negara</v>
          </cell>
          <cell r="D379" t="e">
            <v>#N/A</v>
          </cell>
          <cell r="E379" t="str">
            <v>18-092</v>
          </cell>
          <cell r="F379" t="str">
            <v>Drivers, syringe</v>
          </cell>
          <cell r="G379" t="str">
            <v>PC</v>
          </cell>
          <cell r="H379" t="str">
            <v>PALLIATIVE CARE UNIT</v>
          </cell>
          <cell r="I379" t="str">
            <v>04PC109</v>
          </cell>
          <cell r="J379" t="str">
            <v>GEN. STORE</v>
          </cell>
          <cell r="K379" t="str">
            <v>BMED</v>
          </cell>
          <cell r="L379" t="str">
            <v>Normal</v>
          </cell>
          <cell r="M379" t="str">
            <v>UK</v>
          </cell>
          <cell r="N379" t="str">
            <v>Graseby</v>
          </cell>
          <cell r="O379" t="str">
            <v>Graseby MS-26</v>
          </cell>
          <cell r="P379" t="str">
            <v>14014769</v>
          </cell>
          <cell r="Q379" t="str">
            <v>Not Applicable</v>
          </cell>
          <cell r="R379" t="str">
            <v>Graseby Medical Ltd</v>
          </cell>
          <cell r="S379" t="str">
            <v>Primed Medical Services Sdn Bhd</v>
          </cell>
          <cell r="T379" t="str">
            <v>Disposed</v>
          </cell>
          <cell r="U379" t="str">
            <v>Asset</v>
          </cell>
          <cell r="V379">
            <v>3848</v>
          </cell>
          <cell r="W379" t="str">
            <v>KEW</v>
          </cell>
          <cell r="X379" t="str">
            <v>01/09/2010</v>
          </cell>
          <cell r="Y379" t="str">
            <v>KEW</v>
          </cell>
          <cell r="Z379" t="str">
            <v>16/08/2013</v>
          </cell>
          <cell r="AA379" t="str">
            <v>15/08/2015</v>
          </cell>
          <cell r="AB379" t="str">
            <v>No</v>
          </cell>
          <cell r="AC379" t="str">
            <v>31/08/2013</v>
          </cell>
          <cell r="AD379" t="str">
            <v>Good</v>
          </cell>
          <cell r="AE379" t="str">
            <v>V4 - Decommissioned Installed Facility</v>
          </cell>
          <cell r="AF379">
            <v>43243</v>
          </cell>
          <cell r="AG379">
            <v>9.17</v>
          </cell>
          <cell r="AH379" t="str">
            <v>PPM</v>
          </cell>
          <cell r="AI379" t="str">
            <v>Not in contract</v>
          </cell>
          <cell r="AJ379" t="str">
            <v>Not in contract</v>
          </cell>
        </row>
        <row r="380">
          <cell r="A380" t="str">
            <v>IKN400511</v>
          </cell>
          <cell r="B380">
            <v>511</v>
          </cell>
          <cell r="C380" t="str">
            <v>Institut Kanser Negara</v>
          </cell>
          <cell r="D380" t="e">
            <v>#N/A</v>
          </cell>
          <cell r="E380" t="str">
            <v>18-092</v>
          </cell>
          <cell r="F380" t="str">
            <v>Drivers, syringe</v>
          </cell>
          <cell r="G380" t="str">
            <v>PC</v>
          </cell>
          <cell r="H380" t="str">
            <v>PALLIATIVE CARE UNIT</v>
          </cell>
          <cell r="I380" t="str">
            <v>04PC109</v>
          </cell>
          <cell r="J380" t="str">
            <v>GEN. STORE</v>
          </cell>
          <cell r="K380" t="str">
            <v>BMED</v>
          </cell>
          <cell r="L380" t="str">
            <v>Normal</v>
          </cell>
          <cell r="M380" t="str">
            <v>UK</v>
          </cell>
          <cell r="N380" t="str">
            <v>Graseby</v>
          </cell>
          <cell r="O380" t="str">
            <v>Graseby MS-26</v>
          </cell>
          <cell r="P380" t="str">
            <v>14014766</v>
          </cell>
          <cell r="Q380" t="str">
            <v>Not Applicable</v>
          </cell>
          <cell r="R380" t="str">
            <v>Graseby Medical Ltd</v>
          </cell>
          <cell r="S380" t="str">
            <v>Primed Medical Services Sdn Bhd</v>
          </cell>
          <cell r="T380" t="str">
            <v>Disposed</v>
          </cell>
          <cell r="U380" t="str">
            <v>Asset</v>
          </cell>
          <cell r="V380">
            <v>3848</v>
          </cell>
          <cell r="W380" t="str">
            <v>KEW</v>
          </cell>
          <cell r="X380" t="str">
            <v>01/09/2010</v>
          </cell>
          <cell r="Y380" t="str">
            <v>KEW</v>
          </cell>
          <cell r="Z380" t="str">
            <v>16/08/2013</v>
          </cell>
          <cell r="AA380" t="str">
            <v>15/08/2015</v>
          </cell>
          <cell r="AB380" t="str">
            <v>No</v>
          </cell>
          <cell r="AC380" t="str">
            <v>31/08/2013</v>
          </cell>
          <cell r="AD380" t="str">
            <v>Good</v>
          </cell>
          <cell r="AE380" t="str">
            <v>V4 - Decommissioned Installed Facility</v>
          </cell>
          <cell r="AF380">
            <v>43243</v>
          </cell>
          <cell r="AG380">
            <v>9.17</v>
          </cell>
          <cell r="AH380" t="str">
            <v>PPM</v>
          </cell>
          <cell r="AI380" t="str">
            <v>Not in contract</v>
          </cell>
          <cell r="AJ380" t="str">
            <v>Not in contract</v>
          </cell>
        </row>
        <row r="381">
          <cell r="A381" t="str">
            <v>IKN400512</v>
          </cell>
          <cell r="B381">
            <v>512</v>
          </cell>
          <cell r="C381" t="str">
            <v>Institut Kanser Negara</v>
          </cell>
          <cell r="D381" t="e">
            <v>#N/A</v>
          </cell>
          <cell r="E381" t="str">
            <v>18-092</v>
          </cell>
          <cell r="F381" t="str">
            <v>Drivers, syringe</v>
          </cell>
          <cell r="G381" t="str">
            <v>PC</v>
          </cell>
          <cell r="H381" t="str">
            <v>PALLIATIVE CARE UNIT</v>
          </cell>
          <cell r="I381" t="str">
            <v>04PC109</v>
          </cell>
          <cell r="J381" t="str">
            <v>GEN. STORE</v>
          </cell>
          <cell r="K381" t="str">
            <v>BMED</v>
          </cell>
          <cell r="L381" t="str">
            <v>Normal</v>
          </cell>
          <cell r="M381" t="str">
            <v>UK</v>
          </cell>
          <cell r="N381" t="str">
            <v>Graseby</v>
          </cell>
          <cell r="O381" t="str">
            <v>Graseby MS-26</v>
          </cell>
          <cell r="P381" t="str">
            <v>14014785</v>
          </cell>
          <cell r="Q381" t="str">
            <v>Not Applicable</v>
          </cell>
          <cell r="R381" t="str">
            <v>Graseby Medical Ltd</v>
          </cell>
          <cell r="S381" t="str">
            <v>Primed Medical Services Sdn Bhd</v>
          </cell>
          <cell r="T381" t="str">
            <v>Disposed</v>
          </cell>
          <cell r="U381" t="str">
            <v>Asset</v>
          </cell>
          <cell r="V381">
            <v>3848</v>
          </cell>
          <cell r="W381" t="str">
            <v>KEW</v>
          </cell>
          <cell r="X381" t="str">
            <v>01/09/2010</v>
          </cell>
          <cell r="Y381" t="str">
            <v>KEW</v>
          </cell>
          <cell r="Z381" t="str">
            <v>16/08/2013</v>
          </cell>
          <cell r="AA381" t="str">
            <v>15/08/2015</v>
          </cell>
          <cell r="AB381" t="str">
            <v>No</v>
          </cell>
          <cell r="AC381" t="str">
            <v>31/08/2013</v>
          </cell>
          <cell r="AD381" t="str">
            <v>Good</v>
          </cell>
          <cell r="AE381" t="str">
            <v>V4 - Decommissioned Installed Facility</v>
          </cell>
          <cell r="AF381">
            <v>43430</v>
          </cell>
          <cell r="AG381">
            <v>9.17</v>
          </cell>
          <cell r="AH381" t="str">
            <v>PPM</v>
          </cell>
          <cell r="AI381" t="str">
            <v>Not in contract</v>
          </cell>
          <cell r="AJ381" t="str">
            <v>Not in contract</v>
          </cell>
        </row>
        <row r="382">
          <cell r="A382" t="str">
            <v>IKN400513</v>
          </cell>
          <cell r="B382">
            <v>513</v>
          </cell>
          <cell r="C382" t="str">
            <v>Institut Kanser Negara</v>
          </cell>
          <cell r="D382" t="e">
            <v>#N/A</v>
          </cell>
          <cell r="E382" t="str">
            <v>18-092</v>
          </cell>
          <cell r="F382" t="str">
            <v>Drivers, syringe</v>
          </cell>
          <cell r="G382" t="str">
            <v>PC</v>
          </cell>
          <cell r="H382" t="str">
            <v>PALLIATIVE CARE UNIT</v>
          </cell>
          <cell r="I382" t="str">
            <v>04PC109</v>
          </cell>
          <cell r="J382" t="str">
            <v>GEN. STORE</v>
          </cell>
          <cell r="K382" t="str">
            <v>BMED</v>
          </cell>
          <cell r="L382" t="str">
            <v>Normal</v>
          </cell>
          <cell r="M382" t="str">
            <v>UK</v>
          </cell>
          <cell r="N382" t="str">
            <v>Graseby</v>
          </cell>
          <cell r="O382" t="str">
            <v>Graseby MS-26</v>
          </cell>
          <cell r="P382" t="str">
            <v>14014768</v>
          </cell>
          <cell r="Q382" t="str">
            <v>Not Applicable</v>
          </cell>
          <cell r="R382" t="str">
            <v>Graseby Medical Ltd</v>
          </cell>
          <cell r="S382" t="str">
            <v>Primed Medical Services Sdn Bhd</v>
          </cell>
          <cell r="T382" t="str">
            <v>Disposed</v>
          </cell>
          <cell r="U382" t="str">
            <v>Asset</v>
          </cell>
          <cell r="V382">
            <v>3848</v>
          </cell>
          <cell r="W382" t="str">
            <v>KEW</v>
          </cell>
          <cell r="X382" t="str">
            <v>01/09/2010</v>
          </cell>
          <cell r="Y382" t="str">
            <v>KEW</v>
          </cell>
          <cell r="Z382" t="str">
            <v>16/08/2013</v>
          </cell>
          <cell r="AA382" t="str">
            <v>15/08/2015</v>
          </cell>
          <cell r="AB382" t="str">
            <v>No</v>
          </cell>
          <cell r="AC382" t="str">
            <v>31/08/2013</v>
          </cell>
          <cell r="AD382" t="str">
            <v>Good</v>
          </cell>
          <cell r="AE382" t="str">
            <v>V4 - Decommissioned Installed Facility</v>
          </cell>
          <cell r="AF382">
            <v>43243</v>
          </cell>
          <cell r="AG382">
            <v>9.17</v>
          </cell>
          <cell r="AH382" t="str">
            <v>PPM</v>
          </cell>
          <cell r="AI382" t="str">
            <v>Not in contract</v>
          </cell>
          <cell r="AJ382" t="str">
            <v>Not in contract</v>
          </cell>
        </row>
        <row r="383">
          <cell r="A383" t="str">
            <v>IKN400515</v>
          </cell>
          <cell r="B383">
            <v>515</v>
          </cell>
          <cell r="C383" t="str">
            <v>Institut Kanser Negara</v>
          </cell>
          <cell r="D383" t="e">
            <v>#N/A</v>
          </cell>
          <cell r="E383" t="str">
            <v>18-092</v>
          </cell>
          <cell r="F383" t="str">
            <v>Drivers, syringe</v>
          </cell>
          <cell r="G383" t="str">
            <v>PC</v>
          </cell>
          <cell r="H383" t="str">
            <v>PALLIATIVE CARE UNIT</v>
          </cell>
          <cell r="I383" t="str">
            <v>04PC109</v>
          </cell>
          <cell r="J383" t="str">
            <v>GEN. STORE</v>
          </cell>
          <cell r="K383" t="str">
            <v>BMED</v>
          </cell>
          <cell r="L383" t="str">
            <v>Normal</v>
          </cell>
          <cell r="M383" t="str">
            <v>UK</v>
          </cell>
          <cell r="N383" t="str">
            <v>Graseby</v>
          </cell>
          <cell r="O383" t="str">
            <v>Graseby MS-26</v>
          </cell>
          <cell r="P383" t="str">
            <v>14014770</v>
          </cell>
          <cell r="Q383" t="str">
            <v>Not Applicable</v>
          </cell>
          <cell r="R383" t="str">
            <v>Graseby Medical Ltd</v>
          </cell>
          <cell r="S383" t="str">
            <v>Primed Medical Services Sdn Bhd</v>
          </cell>
          <cell r="T383" t="str">
            <v>Disposed</v>
          </cell>
          <cell r="U383" t="str">
            <v>Asset</v>
          </cell>
          <cell r="V383">
            <v>3848</v>
          </cell>
          <cell r="W383" t="str">
            <v>KEW</v>
          </cell>
          <cell r="X383" t="str">
            <v>01/09/2010</v>
          </cell>
          <cell r="Y383" t="str">
            <v>KEW</v>
          </cell>
          <cell r="Z383" t="str">
            <v>16/08/2013</v>
          </cell>
          <cell r="AA383" t="str">
            <v>15/08/2015</v>
          </cell>
          <cell r="AB383" t="str">
            <v>No</v>
          </cell>
          <cell r="AC383" t="str">
            <v>31/08/2013</v>
          </cell>
          <cell r="AD383" t="str">
            <v>Good</v>
          </cell>
          <cell r="AE383" t="str">
            <v>V4 - Decommissioned Installed Facility</v>
          </cell>
          <cell r="AF383">
            <v>43243</v>
          </cell>
          <cell r="AG383">
            <v>9.17</v>
          </cell>
          <cell r="AH383" t="str">
            <v>PPM</v>
          </cell>
          <cell r="AI383" t="str">
            <v>Not in contract</v>
          </cell>
          <cell r="AJ383" t="str">
            <v>Not in contract</v>
          </cell>
        </row>
        <row r="384">
          <cell r="A384" t="str">
            <v>IKN400524</v>
          </cell>
          <cell r="B384">
            <v>524</v>
          </cell>
          <cell r="C384" t="str">
            <v>Institut Kanser Negara</v>
          </cell>
          <cell r="D384" t="e">
            <v>#N/A</v>
          </cell>
          <cell r="E384" t="str">
            <v>16-924</v>
          </cell>
          <cell r="F384" t="str">
            <v>Infusion Pumps, Patient-Controlled Analgesic</v>
          </cell>
          <cell r="G384" t="str">
            <v>PC</v>
          </cell>
          <cell r="H384" t="str">
            <v>PALLIATIVE CARE UNIT</v>
          </cell>
          <cell r="I384" t="str">
            <v>04PC109</v>
          </cell>
          <cell r="J384" t="str">
            <v>GEN. STORE</v>
          </cell>
          <cell r="K384" t="str">
            <v>BMED</v>
          </cell>
          <cell r="L384" t="str">
            <v>Critical</v>
          </cell>
          <cell r="M384" t="str">
            <v>Germany</v>
          </cell>
          <cell r="N384" t="str">
            <v>Perfusor</v>
          </cell>
          <cell r="O384" t="str">
            <v>Perfusor Space PCA</v>
          </cell>
          <cell r="P384" t="str">
            <v>186597</v>
          </cell>
          <cell r="Q384" t="str">
            <v>Not Applicable</v>
          </cell>
          <cell r="R384" t="str">
            <v>B Braun Melsungen AG</v>
          </cell>
          <cell r="S384" t="str">
            <v>B Braun Medical Supplies Sdn. Bhd.</v>
          </cell>
          <cell r="T384" t="str">
            <v>Transferred</v>
          </cell>
          <cell r="U384" t="str">
            <v>Asset</v>
          </cell>
          <cell r="V384">
            <v>16840</v>
          </cell>
          <cell r="W384" t="str">
            <v>KEW</v>
          </cell>
          <cell r="X384" t="str">
            <v>01/09/2010</v>
          </cell>
          <cell r="Y384" t="str">
            <v>KEW</v>
          </cell>
          <cell r="Z384" t="str">
            <v>16/08/2013</v>
          </cell>
          <cell r="AA384" t="str">
            <v>15/08/2015</v>
          </cell>
          <cell r="AB384" t="str">
            <v>No</v>
          </cell>
          <cell r="AC384" t="str">
            <v>31/08/2013</v>
          </cell>
          <cell r="AD384" t="str">
            <v>Good</v>
          </cell>
          <cell r="AE384" t="str">
            <v>V4 - Decommissioned Installed Facility</v>
          </cell>
          <cell r="AF384">
            <v>43367</v>
          </cell>
          <cell r="AG384">
            <v>9.17</v>
          </cell>
          <cell r="AH384" t="str">
            <v>PPM</v>
          </cell>
          <cell r="AI384" t="str">
            <v>Not in contract</v>
          </cell>
          <cell r="AJ384" t="str">
            <v>Not in contract</v>
          </cell>
          <cell r="AK384" t="str">
            <v>Transfer to Alor Setar.</v>
          </cell>
        </row>
        <row r="385">
          <cell r="A385" t="str">
            <v>IKN400526</v>
          </cell>
          <cell r="B385">
            <v>526</v>
          </cell>
          <cell r="C385" t="str">
            <v>Institut Kanser Negara</v>
          </cell>
          <cell r="D385" t="e">
            <v>#N/A</v>
          </cell>
          <cell r="E385" t="str">
            <v>16-924</v>
          </cell>
          <cell r="F385" t="str">
            <v>Infusion Pumps, Patient-Controlled Analgesic</v>
          </cell>
          <cell r="G385" t="str">
            <v>PC</v>
          </cell>
          <cell r="H385" t="str">
            <v>PALLIATIVE CARE UNIT</v>
          </cell>
          <cell r="I385" t="str">
            <v>04PC109</v>
          </cell>
          <cell r="J385" t="str">
            <v>GEN. STORE</v>
          </cell>
          <cell r="K385" t="str">
            <v>BMED</v>
          </cell>
          <cell r="L385" t="str">
            <v>Critical</v>
          </cell>
          <cell r="M385" t="str">
            <v>Germany</v>
          </cell>
          <cell r="N385" t="str">
            <v>Perfusor</v>
          </cell>
          <cell r="O385" t="str">
            <v>Perfusor Space PCA</v>
          </cell>
          <cell r="P385" t="str">
            <v>187812</v>
          </cell>
          <cell r="Q385" t="str">
            <v>Not Applicable</v>
          </cell>
          <cell r="R385" t="str">
            <v>B Braun Melsungen AG</v>
          </cell>
          <cell r="S385" t="str">
            <v>B Braun Medical Supplies Sdn. Bhd.</v>
          </cell>
          <cell r="T385" t="str">
            <v>Transferred</v>
          </cell>
          <cell r="U385" t="str">
            <v>Asset</v>
          </cell>
          <cell r="V385">
            <v>16840</v>
          </cell>
          <cell r="W385" t="str">
            <v>KEW</v>
          </cell>
          <cell r="X385" t="str">
            <v>01/09/2010</v>
          </cell>
          <cell r="Y385" t="str">
            <v>KEW</v>
          </cell>
          <cell r="Z385" t="str">
            <v>16/08/2013</v>
          </cell>
          <cell r="AA385" t="str">
            <v>15/08/2015</v>
          </cell>
          <cell r="AB385" t="str">
            <v>No</v>
          </cell>
          <cell r="AC385" t="str">
            <v>31/08/2013</v>
          </cell>
          <cell r="AD385" t="str">
            <v>Good</v>
          </cell>
          <cell r="AE385" t="str">
            <v>V4 - Decommissioned Installed Facility</v>
          </cell>
          <cell r="AF385">
            <v>43367</v>
          </cell>
          <cell r="AG385">
            <v>9.17</v>
          </cell>
          <cell r="AH385" t="str">
            <v>PPM</v>
          </cell>
          <cell r="AI385" t="str">
            <v>Not in contract</v>
          </cell>
          <cell r="AJ385" t="str">
            <v>Not in contract</v>
          </cell>
          <cell r="AK385" t="str">
            <v>Transfer to Alor Setar.</v>
          </cell>
        </row>
        <row r="386">
          <cell r="A386" t="str">
            <v>IKN400531</v>
          </cell>
          <cell r="B386">
            <v>531</v>
          </cell>
          <cell r="C386" t="str">
            <v>Institut Kanser Negara</v>
          </cell>
          <cell r="D386" t="e">
            <v>#N/A</v>
          </cell>
          <cell r="E386" t="str">
            <v>13-775</v>
          </cell>
          <cell r="F386" t="str">
            <v>Stimulators, Electrical, Neuromuscular</v>
          </cell>
          <cell r="G386" t="str">
            <v>PC</v>
          </cell>
          <cell r="H386" t="str">
            <v>PALLIATIVE CARE UNIT</v>
          </cell>
          <cell r="I386" t="str">
            <v>04PC109</v>
          </cell>
          <cell r="J386" t="str">
            <v>GEN. STORE</v>
          </cell>
          <cell r="K386" t="str">
            <v>BMED</v>
          </cell>
          <cell r="L386" t="str">
            <v>Normal</v>
          </cell>
          <cell r="M386" t="str">
            <v>Denmark</v>
          </cell>
          <cell r="N386" t="str">
            <v>Danmeter</v>
          </cell>
          <cell r="O386" t="str">
            <v>Elpha II 3000</v>
          </cell>
          <cell r="P386" t="str">
            <v>2013080056</v>
          </cell>
          <cell r="Q386" t="str">
            <v>Not Applicable</v>
          </cell>
          <cell r="R386" t="str">
            <v>Danmeter AS</v>
          </cell>
          <cell r="S386" t="str">
            <v>Maycare (M) Sdn. Bhd.</v>
          </cell>
          <cell r="T386" t="str">
            <v>Transferred</v>
          </cell>
          <cell r="U386" t="str">
            <v>Asset</v>
          </cell>
          <cell r="V386">
            <v>420</v>
          </cell>
          <cell r="W386" t="str">
            <v>KEW</v>
          </cell>
          <cell r="X386" t="str">
            <v>01/09/2010</v>
          </cell>
          <cell r="Y386" t="str">
            <v>KEW</v>
          </cell>
          <cell r="Z386" t="str">
            <v>16/08/2013</v>
          </cell>
          <cell r="AA386" t="str">
            <v>15/08/2015</v>
          </cell>
          <cell r="AB386" t="str">
            <v>No</v>
          </cell>
          <cell r="AC386" t="str">
            <v>31/08/2013</v>
          </cell>
          <cell r="AD386" t="str">
            <v>Good</v>
          </cell>
          <cell r="AE386" t="str">
            <v>V1 - Existing / No Claim</v>
          </cell>
          <cell r="AF386">
            <v>42235</v>
          </cell>
          <cell r="AG386">
            <v>9.17</v>
          </cell>
          <cell r="AH386" t="str">
            <v>PPM</v>
          </cell>
          <cell r="AI386" t="str">
            <v>Not in contract</v>
          </cell>
          <cell r="AJ386" t="str">
            <v>Not in contract</v>
          </cell>
          <cell r="AK386" t="str">
            <v>ASSET TRANSFER TO HOSP. SULTANAH BAHIYAH, KEDAH.</v>
          </cell>
        </row>
        <row r="387">
          <cell r="A387" t="str">
            <v>IKN400532</v>
          </cell>
          <cell r="B387">
            <v>532</v>
          </cell>
          <cell r="C387" t="str">
            <v>Institut Kanser Negara</v>
          </cell>
          <cell r="D387" t="e">
            <v>#N/A</v>
          </cell>
          <cell r="E387" t="str">
            <v>13-775</v>
          </cell>
          <cell r="F387" t="str">
            <v>Stimulators, Electrical, Neuromuscular</v>
          </cell>
          <cell r="G387" t="str">
            <v>PC</v>
          </cell>
          <cell r="H387" t="str">
            <v>PALLIATIVE CARE UNIT</v>
          </cell>
          <cell r="I387" t="str">
            <v>04PC109</v>
          </cell>
          <cell r="J387" t="str">
            <v>GEN. STORE</v>
          </cell>
          <cell r="K387" t="str">
            <v>BMED</v>
          </cell>
          <cell r="L387" t="str">
            <v>Normal</v>
          </cell>
          <cell r="M387" t="str">
            <v>Denmark</v>
          </cell>
          <cell r="N387" t="str">
            <v>Danmeter</v>
          </cell>
          <cell r="O387" t="str">
            <v>Elpha II 3000</v>
          </cell>
          <cell r="P387" t="str">
            <v>2013080057</v>
          </cell>
          <cell r="Q387" t="str">
            <v>Not Applicable</v>
          </cell>
          <cell r="R387" t="str">
            <v>Danmeter AS</v>
          </cell>
          <cell r="S387" t="str">
            <v>Maycare (M) Sdn. Bhd.</v>
          </cell>
          <cell r="T387" t="str">
            <v>Transferred</v>
          </cell>
          <cell r="U387" t="str">
            <v>Asset</v>
          </cell>
          <cell r="V387">
            <v>420</v>
          </cell>
          <cell r="W387" t="str">
            <v>KEW</v>
          </cell>
          <cell r="X387" t="str">
            <v>01/09/2010</v>
          </cell>
          <cell r="Y387" t="str">
            <v>KEW</v>
          </cell>
          <cell r="Z387" t="str">
            <v>16/08/2013</v>
          </cell>
          <cell r="AA387" t="str">
            <v>15/08/2015</v>
          </cell>
          <cell r="AB387" t="str">
            <v>No</v>
          </cell>
          <cell r="AC387" t="str">
            <v>31/08/2013</v>
          </cell>
          <cell r="AD387" t="str">
            <v>Good</v>
          </cell>
          <cell r="AE387" t="str">
            <v>V4 - Decommissioned Installed Facility</v>
          </cell>
          <cell r="AF387">
            <v>43367</v>
          </cell>
          <cell r="AG387">
            <v>9.17</v>
          </cell>
          <cell r="AH387" t="str">
            <v>PPM</v>
          </cell>
          <cell r="AI387" t="str">
            <v>Not in contract</v>
          </cell>
          <cell r="AJ387" t="str">
            <v>Not in contract</v>
          </cell>
          <cell r="AK387" t="str">
            <v>Transfer to Alor Setar.</v>
          </cell>
        </row>
        <row r="388">
          <cell r="A388" t="str">
            <v>IKN400540</v>
          </cell>
          <cell r="B388">
            <v>540</v>
          </cell>
          <cell r="C388" t="str">
            <v>Institut Kanser Negara</v>
          </cell>
          <cell r="D388" t="str">
            <v>KKM/IKN/H/13/2476</v>
          </cell>
          <cell r="E388" t="str">
            <v>12-660</v>
          </cell>
          <cell r="F388" t="str">
            <v>Radiation Monitors</v>
          </cell>
          <cell r="G388" t="str">
            <v>WA</v>
          </cell>
          <cell r="H388" t="str">
            <v>NUCLEAR MED WARD (THERAPY)</v>
          </cell>
          <cell r="I388" t="str">
            <v>03WA117</v>
          </cell>
          <cell r="J388" t="str">
            <v>N/S 1</v>
          </cell>
          <cell r="K388" t="str">
            <v>BMED</v>
          </cell>
          <cell r="L388" t="str">
            <v>Normal</v>
          </cell>
          <cell r="M388" t="str">
            <v>Germany</v>
          </cell>
          <cell r="N388" t="str">
            <v>CoMo</v>
          </cell>
          <cell r="O388" t="str">
            <v>CoMo 170</v>
          </cell>
          <cell r="P388" t="str">
            <v>5068DL</v>
          </cell>
          <cell r="Q388" t="str">
            <v>Not Applicable</v>
          </cell>
          <cell r="R388" t="str">
            <v>MED Nuklear-Medizintechnik Dresden GmbH</v>
          </cell>
          <cell r="S388" t="str">
            <v/>
          </cell>
          <cell r="T388" t="str">
            <v>Functioning</v>
          </cell>
          <cell r="U388" t="str">
            <v>Asset</v>
          </cell>
          <cell r="V388">
            <v>23270</v>
          </cell>
          <cell r="W388" t="str">
            <v>KEW</v>
          </cell>
          <cell r="X388" t="str">
            <v>01/09/2010</v>
          </cell>
          <cell r="Y388" t="str">
            <v>KEW</v>
          </cell>
          <cell r="Z388" t="str">
            <v>16/08/2013</v>
          </cell>
          <cell r="AA388" t="str">
            <v>15/08/2015</v>
          </cell>
          <cell r="AB388" t="str">
            <v>No</v>
          </cell>
          <cell r="AC388" t="str">
            <v>31/08/2013</v>
          </cell>
          <cell r="AD388" t="str">
            <v>Good</v>
          </cell>
          <cell r="AE388" t="str">
            <v>V4 - Decommissioned Installed Facility</v>
          </cell>
          <cell r="AF388">
            <v>42235</v>
          </cell>
          <cell r="AG388">
            <v>9.17</v>
          </cell>
          <cell r="AH388" t="str">
            <v>PPM</v>
          </cell>
          <cell r="AI388" t="str">
            <v>Strands</v>
          </cell>
          <cell r="AJ388" t="str">
            <v>Strands PW. Proposed for V4 P2.23</v>
          </cell>
          <cell r="AK388" t="str">
            <v>[ZARINA]: PEP ON 1/3/2023, BER/BEMS/IKN/23/004 - Aset mengalami kerosakan pada litar utama dan kabel.</v>
          </cell>
        </row>
        <row r="389">
          <cell r="A389" t="str">
            <v>IKN400554</v>
          </cell>
          <cell r="B389">
            <v>554</v>
          </cell>
          <cell r="C389" t="str">
            <v>Institut Kanser Negara</v>
          </cell>
          <cell r="D389" t="str">
            <v>KKM/IKN/H/13/5430-01</v>
          </cell>
          <cell r="E389" t="str">
            <v>17-882</v>
          </cell>
          <cell r="F389" t="str">
            <v>Defibrillator/Pacemakers, External</v>
          </cell>
          <cell r="G389" t="str">
            <v>NM</v>
          </cell>
          <cell r="H389" t="str">
            <v>NUCLEAR MED (DIAGNOSTIC)</v>
          </cell>
          <cell r="I389" t="str">
            <v>03NM161</v>
          </cell>
          <cell r="J389" t="str">
            <v>GAMMA CAMERA 1 (-VE)</v>
          </cell>
          <cell r="K389" t="str">
            <v>BMED</v>
          </cell>
          <cell r="L389" t="str">
            <v>Critical</v>
          </cell>
          <cell r="M389" t="str">
            <v>Germany</v>
          </cell>
          <cell r="N389" t="str">
            <v>HeartStart</v>
          </cell>
          <cell r="O389" t="str">
            <v>HeartStart XL+</v>
          </cell>
          <cell r="P389" t="str">
            <v>US91202396</v>
          </cell>
          <cell r="Q389" t="str">
            <v>Not Applicable</v>
          </cell>
          <cell r="R389" t="str">
            <v>Philips Medical System</v>
          </cell>
          <cell r="S389" t="str">
            <v>Advance Altimas Sdn Bhd</v>
          </cell>
          <cell r="T389" t="str">
            <v>Functioning</v>
          </cell>
          <cell r="U389" t="str">
            <v>Asset</v>
          </cell>
          <cell r="V389">
            <v>37000</v>
          </cell>
          <cell r="W389" t="str">
            <v>Estimate</v>
          </cell>
          <cell r="X389" t="str">
            <v>01/09/2010</v>
          </cell>
          <cell r="Y389" t="str">
            <v>KEW</v>
          </cell>
          <cell r="Z389" t="str">
            <v>16/08/2013</v>
          </cell>
          <cell r="AA389" t="str">
            <v>15/08/2015</v>
          </cell>
          <cell r="AB389" t="str">
            <v>No</v>
          </cell>
          <cell r="AC389" t="str">
            <v>31/08/2013</v>
          </cell>
          <cell r="AD389" t="str">
            <v>Good</v>
          </cell>
          <cell r="AE389" t="str">
            <v>V1 - Existing / No Claim</v>
          </cell>
          <cell r="AF389">
            <v>42601</v>
          </cell>
          <cell r="AG389">
            <v>9.17</v>
          </cell>
          <cell r="AH389" t="str">
            <v>PPM</v>
          </cell>
          <cell r="AI389" t="str">
            <v>Strands</v>
          </cell>
          <cell r="AJ389" t="str">
            <v>Strands Package. Proposed for V4 P2.23</v>
          </cell>
          <cell r="AK389" t="str">
            <v>Package Code XK0001A. [7/11/2023]: KKM no lama: KKM/IKN/H/13/3106, Update cost ikut KEWPA</v>
          </cell>
        </row>
        <row r="390">
          <cell r="A390" t="str">
            <v>IKN400555</v>
          </cell>
          <cell r="B390">
            <v>555</v>
          </cell>
          <cell r="C390" t="str">
            <v>Institut Kanser Negara</v>
          </cell>
          <cell r="D390" t="str">
            <v>KKM/IKN/H/13/5435</v>
          </cell>
          <cell r="E390" t="str">
            <v>12-647</v>
          </cell>
          <cell r="F390" t="str">
            <v>Physiologic Monitoring Systems, Acute Care</v>
          </cell>
          <cell r="G390" t="str">
            <v>NM</v>
          </cell>
          <cell r="H390" t="str">
            <v>NUCLEAR MED (DIAGNOSTIC)</v>
          </cell>
          <cell r="I390" t="str">
            <v>03NM161</v>
          </cell>
          <cell r="J390" t="str">
            <v>GAMMA CAMERA 1 (-VE)</v>
          </cell>
          <cell r="K390" t="str">
            <v>BMED</v>
          </cell>
          <cell r="L390" t="str">
            <v>Critical</v>
          </cell>
          <cell r="M390" t="str">
            <v>USA</v>
          </cell>
          <cell r="N390" t="str">
            <v>Cardiac Trigger</v>
          </cell>
          <cell r="O390" t="str">
            <v>Cardiac Trigger Monitor 3000</v>
          </cell>
          <cell r="P390" t="str">
            <v>12060289</v>
          </cell>
          <cell r="Q390" t="str">
            <v>Not Applicable</v>
          </cell>
          <cell r="R390" t="str">
            <v>Ivy Biomedical Systems Inc</v>
          </cell>
          <cell r="S390" t="str">
            <v>Advance Altimas Sdn Bhd</v>
          </cell>
          <cell r="T390" t="str">
            <v>Functioning</v>
          </cell>
          <cell r="U390" t="str">
            <v>Asset</v>
          </cell>
          <cell r="V390">
            <v>20000</v>
          </cell>
          <cell r="W390" t="str">
            <v>Estimate</v>
          </cell>
          <cell r="X390" t="str">
            <v>01/09/2010</v>
          </cell>
          <cell r="Y390" t="str">
            <v>KEW</v>
          </cell>
          <cell r="Z390" t="str">
            <v>16/08/2013</v>
          </cell>
          <cell r="AA390" t="str">
            <v>15/08/2015</v>
          </cell>
          <cell r="AB390" t="str">
            <v>No</v>
          </cell>
          <cell r="AC390" t="str">
            <v>31/08/2013</v>
          </cell>
          <cell r="AD390" t="str">
            <v>Good</v>
          </cell>
          <cell r="AE390" t="str">
            <v>V4 - Decommissioned Installed Facility</v>
          </cell>
          <cell r="AF390">
            <v>42601</v>
          </cell>
          <cell r="AG390">
            <v>9.17</v>
          </cell>
          <cell r="AH390" t="str">
            <v>PPM</v>
          </cell>
          <cell r="AI390" t="str">
            <v>Strands</v>
          </cell>
          <cell r="AJ390" t="str">
            <v>Strands Package. Proposed for V4 P2.23</v>
          </cell>
          <cell r="AK390" t="str">
            <v>Package Code XK0001A [22/9/2023, SHARIFAH]: PEP ON NOV 2020, BER/BEMS/AWSB/20/006 - Asset masih boleh digunakan namun asset tidak ekonomik diperbaiki lagi sekiranya rosak. SNF V4 received on 8/11/2023. [26/1/2024]: PEP JAN 2024, BER/BEMS/AWSB/20/006 - Penggunaan hendaklah dihentikan.</v>
          </cell>
        </row>
        <row r="391">
          <cell r="A391" t="str">
            <v>IKN400566</v>
          </cell>
          <cell r="B391">
            <v>566</v>
          </cell>
          <cell r="C391" t="str">
            <v>Institut Kanser Negara</v>
          </cell>
          <cell r="D391" t="str">
            <v>KKM/IKN/H/13/5430</v>
          </cell>
          <cell r="E391" t="str">
            <v>15-944</v>
          </cell>
          <cell r="F391" t="str">
            <v>Cameras, Gamma</v>
          </cell>
          <cell r="G391" t="str">
            <v>NM</v>
          </cell>
          <cell r="H391" t="str">
            <v>NUCLEAR MED (DIAGNOSTIC)</v>
          </cell>
          <cell r="I391" t="str">
            <v>03NM161</v>
          </cell>
          <cell r="J391" t="str">
            <v>GAMMA CAMERA 1 (-VE)</v>
          </cell>
          <cell r="K391" t="str">
            <v>BMED</v>
          </cell>
          <cell r="L391" t="str">
            <v>Normal</v>
          </cell>
          <cell r="M391" t="str">
            <v>The Netherlands</v>
          </cell>
          <cell r="N391" t="str">
            <v>Brightview</v>
          </cell>
          <cell r="O391" t="str">
            <v>Brightview XCT</v>
          </cell>
          <cell r="P391" t="str">
            <v>60000315</v>
          </cell>
          <cell r="Q391" t="str">
            <v>Not Applicable</v>
          </cell>
          <cell r="R391" t="str">
            <v>Philips Medical Systems</v>
          </cell>
          <cell r="S391" t="str">
            <v>Advance Altimas Sdn Bhd</v>
          </cell>
          <cell r="T391" t="str">
            <v>Not Functioning</v>
          </cell>
          <cell r="U391" t="str">
            <v>Asset</v>
          </cell>
          <cell r="V391">
            <v>3071300</v>
          </cell>
          <cell r="W391" t="str">
            <v>KEW</v>
          </cell>
          <cell r="X391" t="str">
            <v>01/09/2010</v>
          </cell>
          <cell r="Y391" t="str">
            <v>KEW</v>
          </cell>
          <cell r="Z391" t="str">
            <v>16/08/2013</v>
          </cell>
          <cell r="AA391" t="str">
            <v>15/08/2015</v>
          </cell>
          <cell r="AB391" t="str">
            <v>No</v>
          </cell>
          <cell r="AC391" t="str">
            <v>31/08/2013</v>
          </cell>
          <cell r="AD391" t="str">
            <v>Good</v>
          </cell>
          <cell r="AE391" t="str">
            <v>V1 - Existing / No Claim</v>
          </cell>
          <cell r="AF391">
            <v>42235</v>
          </cell>
          <cell r="AG391">
            <v>9.17</v>
          </cell>
          <cell r="AH391" t="str">
            <v>PPM</v>
          </cell>
          <cell r="AI391" t="str">
            <v>Strands</v>
          </cell>
          <cell r="AJ391" t="str">
            <v>Strands Package. Proposed for V4 P2.23</v>
          </cell>
          <cell r="AK391" t="str">
            <v>Package Code XK0001A. [SHARIFAH, 16/10/2023]: PEP ON 21/7/2022. BER/BEMS/IKN/22/003 - Aset tidak ekonomik digunakan lagi. Penggunaannya mestilah dihentikan. KEWPA lama: KKM/IKN/H/13/3797. SNF V4 received on 8/11/2023.</v>
          </cell>
        </row>
        <row r="392">
          <cell r="A392" t="str">
            <v>IKN400597</v>
          </cell>
          <cell r="B392">
            <v>597</v>
          </cell>
          <cell r="C392" t="str">
            <v>Institut Kanser Negara</v>
          </cell>
          <cell r="D392" t="e">
            <v>#N/A</v>
          </cell>
          <cell r="E392" t="str">
            <v>10-447</v>
          </cell>
          <cell r="F392" t="str">
            <v>Warming Units, Blood/Solution</v>
          </cell>
          <cell r="G392" t="str">
            <v>DO</v>
          </cell>
          <cell r="H392" t="str">
            <v>DAY ONCOLOGY UNIT</v>
          </cell>
          <cell r="I392" t="str">
            <v>04DO111</v>
          </cell>
          <cell r="J392" t="str">
            <v>EQUIP. ROOM</v>
          </cell>
          <cell r="K392" t="str">
            <v>BMED</v>
          </cell>
          <cell r="L392" t="str">
            <v>Normal</v>
          </cell>
          <cell r="M392" t="str">
            <v>Japan</v>
          </cell>
          <cell r="N392" t="str">
            <v>Animec</v>
          </cell>
          <cell r="O392" t="str">
            <v>Animec AM-301</v>
          </cell>
          <cell r="P392" t="str">
            <v>2013D0244</v>
          </cell>
          <cell r="Q392" t="str">
            <v>Not Applicable</v>
          </cell>
          <cell r="R392" t="str">
            <v>Elltec Co Ltd</v>
          </cell>
          <cell r="S392" t="str">
            <v>IDS Services (Malaysia) Sdn Bhd</v>
          </cell>
          <cell r="T392" t="str">
            <v>Disposed</v>
          </cell>
          <cell r="U392" t="str">
            <v>Asset</v>
          </cell>
          <cell r="V392">
            <v>4990</v>
          </cell>
          <cell r="W392" t="str">
            <v>KEW</v>
          </cell>
          <cell r="X392" t="str">
            <v>01/09/2010</v>
          </cell>
          <cell r="Y392" t="str">
            <v>KEW</v>
          </cell>
          <cell r="Z392" t="str">
            <v>16/08/2013</v>
          </cell>
          <cell r="AA392" t="str">
            <v>15/08/2015</v>
          </cell>
          <cell r="AB392" t="str">
            <v>No</v>
          </cell>
          <cell r="AC392" t="str">
            <v>31/08/2013</v>
          </cell>
          <cell r="AD392" t="str">
            <v>Good</v>
          </cell>
          <cell r="AE392" t="str">
            <v>V4 - Decommissioned Installed Facility</v>
          </cell>
          <cell r="AF392">
            <v>42733</v>
          </cell>
          <cell r="AG392">
            <v>9.17</v>
          </cell>
          <cell r="AH392" t="str">
            <v>PPM</v>
          </cell>
          <cell r="AI392" t="str">
            <v>Not in contract</v>
          </cell>
          <cell r="AJ392" t="str">
            <v>Not in contract</v>
          </cell>
          <cell r="AK392" t="e">
            <v>#N/A</v>
          </cell>
        </row>
        <row r="393">
          <cell r="A393" t="str">
            <v>IKN400669</v>
          </cell>
          <cell r="B393">
            <v>669</v>
          </cell>
          <cell r="C393" t="str">
            <v>Institut Kanser Negara</v>
          </cell>
          <cell r="E393" t="str">
            <v>13-763</v>
          </cell>
          <cell r="F393" t="str">
            <v>Stimulators, Electrical, Peripheral Nerve, Acupuncture</v>
          </cell>
          <cell r="G393" t="str">
            <v>TC</v>
          </cell>
          <cell r="H393" t="str">
            <v>TRADITIONAL COMPLEMENTARY MEDICINE</v>
          </cell>
          <cell r="I393" t="str">
            <v>04TC127</v>
          </cell>
          <cell r="J393" t="str">
            <v>C/E</v>
          </cell>
          <cell r="K393" t="str">
            <v>BMED</v>
          </cell>
          <cell r="L393" t="str">
            <v>Normal</v>
          </cell>
          <cell r="M393" t="str">
            <v>China</v>
          </cell>
          <cell r="N393" t="str">
            <v>Shantou</v>
          </cell>
          <cell r="O393" t="str">
            <v>Shantou Itpg-6805-D</v>
          </cell>
          <cell r="P393" t="str">
            <v>AD1206104</v>
          </cell>
          <cell r="Q393" t="str">
            <v>Not Applicable</v>
          </cell>
          <cell r="R393" t="str">
            <v>Shantou Medical</v>
          </cell>
          <cell r="S393" t="str">
            <v>ITP Academy Malaysia</v>
          </cell>
          <cell r="T393" t="str">
            <v>Disposed</v>
          </cell>
          <cell r="U393" t="str">
            <v>Asset</v>
          </cell>
          <cell r="V393">
            <v>10725</v>
          </cell>
          <cell r="W393" t="str">
            <v>KEW</v>
          </cell>
          <cell r="X393" t="str">
            <v>01/09/2010</v>
          </cell>
          <cell r="Y393" t="str">
            <v>KEW</v>
          </cell>
          <cell r="Z393" t="str">
            <v>16/08/2013</v>
          </cell>
          <cell r="AA393" t="str">
            <v>15/08/2015</v>
          </cell>
          <cell r="AB393" t="str">
            <v>No</v>
          </cell>
          <cell r="AC393" t="str">
            <v>31/08/2013</v>
          </cell>
          <cell r="AD393" t="str">
            <v>Request for Exemption</v>
          </cell>
          <cell r="AE393" t="str">
            <v>V4 - Decommissioned Installed Facility</v>
          </cell>
          <cell r="AF393">
            <v>42857</v>
          </cell>
          <cell r="AG393">
            <v>9.17</v>
          </cell>
          <cell r="AH393" t="str">
            <v>PPM</v>
          </cell>
          <cell r="AI393" t="str">
            <v>Not in contract</v>
          </cell>
          <cell r="AJ393" t="str">
            <v>Not in contract</v>
          </cell>
          <cell r="AK393" t="e">
            <v>#N/A</v>
          </cell>
        </row>
        <row r="394">
          <cell r="A394" t="str">
            <v>IKN400672</v>
          </cell>
          <cell r="B394">
            <v>672</v>
          </cell>
          <cell r="C394" t="str">
            <v>Institut Kanser Negara</v>
          </cell>
          <cell r="E394" t="str">
            <v>13-763</v>
          </cell>
          <cell r="F394" t="str">
            <v>Stimulators, Electrical, Peripheral Nerve, Acupuncture</v>
          </cell>
          <cell r="G394" t="str">
            <v>TC</v>
          </cell>
          <cell r="H394" t="str">
            <v>TRADITIONAL COMPLEMENTARY MEDICINE</v>
          </cell>
          <cell r="I394" t="str">
            <v>04TC129</v>
          </cell>
          <cell r="J394" t="str">
            <v>TREATMENT 2 (ACCUPUNCTURE)</v>
          </cell>
          <cell r="K394" t="str">
            <v>BMED</v>
          </cell>
          <cell r="L394" t="str">
            <v>Normal</v>
          </cell>
          <cell r="M394" t="str">
            <v>China</v>
          </cell>
          <cell r="N394" t="str">
            <v>Shantou</v>
          </cell>
          <cell r="O394" t="str">
            <v>Shantou Itpg-6805-D</v>
          </cell>
          <cell r="P394" t="str">
            <v>AD1206109</v>
          </cell>
          <cell r="Q394" t="str">
            <v>Not Applicable</v>
          </cell>
          <cell r="R394" t="str">
            <v>Shantou Medical</v>
          </cell>
          <cell r="S394" t="str">
            <v>ITP Academy Malaysia</v>
          </cell>
          <cell r="T394" t="str">
            <v>Disposed</v>
          </cell>
          <cell r="U394" t="str">
            <v>Asset</v>
          </cell>
          <cell r="V394">
            <v>10725</v>
          </cell>
          <cell r="W394" t="str">
            <v>KEW</v>
          </cell>
          <cell r="X394" t="str">
            <v>01/09/2010</v>
          </cell>
          <cell r="Y394" t="str">
            <v>KEW</v>
          </cell>
          <cell r="Z394" t="str">
            <v>16/08/2013</v>
          </cell>
          <cell r="AA394" t="str">
            <v>15/08/2015</v>
          </cell>
          <cell r="AB394" t="str">
            <v>No</v>
          </cell>
          <cell r="AC394" t="str">
            <v>31/08/2013</v>
          </cell>
          <cell r="AD394" t="str">
            <v>Good</v>
          </cell>
          <cell r="AE394" t="str">
            <v>V4 - Decommissioned Installed Facility</v>
          </cell>
          <cell r="AF394">
            <v>42733</v>
          </cell>
          <cell r="AG394">
            <v>9.17</v>
          </cell>
          <cell r="AH394" t="str">
            <v>PPM</v>
          </cell>
          <cell r="AI394" t="str">
            <v>Not in contract</v>
          </cell>
          <cell r="AJ394" t="str">
            <v>Not in contract</v>
          </cell>
          <cell r="AK394" t="e">
            <v>#N/A</v>
          </cell>
        </row>
        <row r="395">
          <cell r="A395" t="str">
            <v>IKN400673</v>
          </cell>
          <cell r="B395">
            <v>673</v>
          </cell>
          <cell r="C395" t="str">
            <v>Institut Kanser Negara</v>
          </cell>
          <cell r="D395" t="str">
            <v>KKM/IKN/H/13/1202</v>
          </cell>
          <cell r="E395" t="str">
            <v>12-278</v>
          </cell>
          <cell r="F395" t="str">
            <v>Lights, Infrared</v>
          </cell>
          <cell r="G395" t="str">
            <v>TC</v>
          </cell>
          <cell r="H395" t="str">
            <v>TRADITIONAL COMPLEMENTARY MEDICINE</v>
          </cell>
          <cell r="I395" t="str">
            <v>04TC108</v>
          </cell>
          <cell r="J395" t="str">
            <v>TREATMENT 3 (MOXISBUSTION</v>
          </cell>
          <cell r="K395" t="str">
            <v>BMED</v>
          </cell>
          <cell r="L395" t="str">
            <v>Normal</v>
          </cell>
          <cell r="M395" t="str">
            <v>China</v>
          </cell>
          <cell r="N395" t="str">
            <v>Chongqing</v>
          </cell>
          <cell r="O395" t="str">
            <v>Chongqing Itp-Xf29-Tdp</v>
          </cell>
          <cell r="P395" t="str">
            <v>12110072</v>
          </cell>
          <cell r="Q395" t="str">
            <v>Not Applicable</v>
          </cell>
          <cell r="R395" t="str">
            <v>Chongqing Xinfeng Me</v>
          </cell>
          <cell r="S395" t="str">
            <v>ITP Academy Malaysia</v>
          </cell>
          <cell r="T395" t="str">
            <v>Functioning</v>
          </cell>
          <cell r="U395" t="str">
            <v>Asset</v>
          </cell>
          <cell r="V395">
            <v>1410</v>
          </cell>
          <cell r="W395" t="str">
            <v>KEW</v>
          </cell>
          <cell r="X395" t="str">
            <v>01/09/2010</v>
          </cell>
          <cell r="Y395" t="str">
            <v>KEW</v>
          </cell>
          <cell r="Z395" t="str">
            <v>16/08/2013</v>
          </cell>
          <cell r="AA395" t="str">
            <v>15/08/2015</v>
          </cell>
          <cell r="AB395" t="str">
            <v>No</v>
          </cell>
          <cell r="AC395" t="str">
            <v>31/08/2013</v>
          </cell>
          <cell r="AD395" t="str">
            <v>Good</v>
          </cell>
          <cell r="AE395" t="str">
            <v>V1 - Existing / No Claim</v>
          </cell>
          <cell r="AF395">
            <v>42794</v>
          </cell>
          <cell r="AG395">
            <v>9.17</v>
          </cell>
          <cell r="AH395" t="str">
            <v>PPM</v>
          </cell>
          <cell r="AI395" t="str">
            <v>Strands</v>
          </cell>
          <cell r="AJ395" t="str">
            <v>Strands PW</v>
          </cell>
          <cell r="AK395" t="str">
            <v>[INDIRA, 17/10/2023]: Update KKM No. [27/12/2023, SHARIFAH]: PEP ON 22/12/2023, BER/BEMS/IKN/23/024 - Aset mengalami kerosakan pada komponen heater, mineral plate telah berkarat dan penggunaanya hendaklah dihentikan.</v>
          </cell>
        </row>
        <row r="396">
          <cell r="A396" t="str">
            <v>IKN400675</v>
          </cell>
          <cell r="B396">
            <v>675</v>
          </cell>
          <cell r="C396" t="str">
            <v>Institut Kanser Negara</v>
          </cell>
          <cell r="D396" t="str">
            <v>KKM/IKN/H/13/1204 (OLD) KKM/IKN/R/13/621-NEW</v>
          </cell>
          <cell r="E396" t="str">
            <v>12-278</v>
          </cell>
          <cell r="F396" t="str">
            <v>Lights, Infrared</v>
          </cell>
          <cell r="G396" t="str">
            <v>TC</v>
          </cell>
          <cell r="H396" t="str">
            <v>TRADITIONAL COMPLEMENTARY MEDICINE</v>
          </cell>
          <cell r="I396" t="str">
            <v>04TC129</v>
          </cell>
          <cell r="J396" t="str">
            <v>TREATMENT 2 (ACCUPUNCTURE)</v>
          </cell>
          <cell r="K396" t="str">
            <v>BMED</v>
          </cell>
          <cell r="L396" t="str">
            <v>Normal</v>
          </cell>
          <cell r="M396" t="str">
            <v>China</v>
          </cell>
          <cell r="N396" t="str">
            <v>Chongqing</v>
          </cell>
          <cell r="O396" t="str">
            <v>Chongqing Itp-Xf29-Tdp</v>
          </cell>
          <cell r="P396" t="str">
            <v>12110068</v>
          </cell>
          <cell r="Q396" t="str">
            <v>Not Applicable</v>
          </cell>
          <cell r="R396" t="str">
            <v>Chongqing Xinfeng Me</v>
          </cell>
          <cell r="S396" t="str">
            <v>ITP Academy Malaysia</v>
          </cell>
          <cell r="T396" t="str">
            <v>Functioning</v>
          </cell>
          <cell r="U396" t="str">
            <v>Asset</v>
          </cell>
          <cell r="V396">
            <v>1410</v>
          </cell>
          <cell r="W396" t="str">
            <v>KEW</v>
          </cell>
          <cell r="X396" t="str">
            <v>01/09/2010</v>
          </cell>
          <cell r="Y396" t="str">
            <v>KEW</v>
          </cell>
          <cell r="Z396" t="str">
            <v>16/08/2013</v>
          </cell>
          <cell r="AA396" t="str">
            <v>15/08/2015</v>
          </cell>
          <cell r="AB396" t="str">
            <v>No</v>
          </cell>
          <cell r="AC396" t="str">
            <v>31/08/2013</v>
          </cell>
          <cell r="AD396" t="str">
            <v>Good</v>
          </cell>
          <cell r="AE396" t="str">
            <v>V1 - Existing / No Claim</v>
          </cell>
          <cell r="AF396">
            <v>42794</v>
          </cell>
          <cell r="AG396">
            <v>9.17</v>
          </cell>
          <cell r="AH396" t="str">
            <v>PPM</v>
          </cell>
          <cell r="AI396" t="str">
            <v>Strands</v>
          </cell>
          <cell r="AJ396" t="str">
            <v>Strands PW. Proposed for V4 P2.23</v>
          </cell>
          <cell r="AK396" t="str">
            <v>[ZARINA]: PEP ON 1/3/2023, BER/BEMS/IKN/23/006 (KKM/IKN/H/13/1204) - Aset mengalami kerosakan pada komponen power cord dan mineral heating plate. [INDIRA, 17/10/2023]: Update KKM No.</v>
          </cell>
        </row>
        <row r="397">
          <cell r="A397" t="str">
            <v>IKN400676</v>
          </cell>
          <cell r="B397">
            <v>676</v>
          </cell>
          <cell r="C397" t="str">
            <v>Institut Kanser Negara</v>
          </cell>
          <cell r="D397" t="str">
            <v>KKM/IKN/H/13/1205</v>
          </cell>
          <cell r="E397" t="str">
            <v>12-278</v>
          </cell>
          <cell r="F397" t="str">
            <v>Lights, Infrared</v>
          </cell>
          <cell r="G397" t="str">
            <v>TC</v>
          </cell>
          <cell r="H397" t="str">
            <v>TRADITIONAL COMPLEMENTARY MEDICINE</v>
          </cell>
          <cell r="I397" t="str">
            <v>04TC129</v>
          </cell>
          <cell r="J397" t="str">
            <v>TREATMENT 2 (ACCUPUNCTURE)</v>
          </cell>
          <cell r="K397" t="str">
            <v>BMED</v>
          </cell>
          <cell r="L397" t="str">
            <v>Normal</v>
          </cell>
          <cell r="M397" t="str">
            <v>China</v>
          </cell>
          <cell r="N397" t="str">
            <v>Chongqing</v>
          </cell>
          <cell r="O397" t="str">
            <v>Chongqing Itp-Xf29-Tdp</v>
          </cell>
          <cell r="P397" t="str">
            <v>12110075</v>
          </cell>
          <cell r="Q397" t="str">
            <v>Not Applicable</v>
          </cell>
          <cell r="R397" t="str">
            <v>Chongqing Xinfeng Me</v>
          </cell>
          <cell r="S397" t="str">
            <v>ITP Academy Malaysia</v>
          </cell>
          <cell r="T397" t="str">
            <v>Functioning</v>
          </cell>
          <cell r="U397" t="str">
            <v>Asset</v>
          </cell>
          <cell r="V397">
            <v>1410</v>
          </cell>
          <cell r="W397" t="str">
            <v>KEW</v>
          </cell>
          <cell r="X397" t="str">
            <v>01/09/2010</v>
          </cell>
          <cell r="Y397" t="str">
            <v>KEW</v>
          </cell>
          <cell r="Z397" t="str">
            <v>16/08/2013</v>
          </cell>
          <cell r="AA397" t="str">
            <v>15/08/2015</v>
          </cell>
          <cell r="AB397" t="str">
            <v>No</v>
          </cell>
          <cell r="AC397" t="str">
            <v>31/08/2013</v>
          </cell>
          <cell r="AD397" t="str">
            <v>Good</v>
          </cell>
          <cell r="AE397" t="str">
            <v>V1 - Existing / No Claim</v>
          </cell>
          <cell r="AF397">
            <v>42794</v>
          </cell>
          <cell r="AG397">
            <v>9.17</v>
          </cell>
          <cell r="AH397" t="str">
            <v>PPM</v>
          </cell>
          <cell r="AI397" t="str">
            <v>Strands</v>
          </cell>
          <cell r="AJ397" t="str">
            <v>Strands PW</v>
          </cell>
          <cell r="AK397" t="str">
            <v>[INDIRA, 17/10/2023]: Update KKM No. [27/12/2023, SHARIFAH]: PEP ON 22/12/2023, BER/BEMS/IKN/23/025 - Komponen aset telah longgar, chasis retak dan mineral plat berkarat dan penggunaanya hendaklah dihentikan.</v>
          </cell>
        </row>
        <row r="398">
          <cell r="A398" t="str">
            <v>IKN400683</v>
          </cell>
          <cell r="B398">
            <v>683</v>
          </cell>
          <cell r="C398" t="str">
            <v>Institut Kanser Negara</v>
          </cell>
          <cell r="E398" t="str">
            <v>13-763</v>
          </cell>
          <cell r="F398" t="str">
            <v>Stimulators, Electrical, Peripheral Nerve, Acupuncture</v>
          </cell>
          <cell r="G398" t="str">
            <v>TC</v>
          </cell>
          <cell r="H398" t="str">
            <v>TRADITIONAL COMPLEMENTARY MEDICINE</v>
          </cell>
          <cell r="I398" t="str">
            <v>04TC119</v>
          </cell>
          <cell r="J398" t="str">
            <v>GEN.STORE</v>
          </cell>
          <cell r="K398" t="str">
            <v>BMED</v>
          </cell>
          <cell r="L398" t="str">
            <v>Normal</v>
          </cell>
          <cell r="M398" t="str">
            <v>China</v>
          </cell>
          <cell r="N398" t="str">
            <v>Shantou</v>
          </cell>
          <cell r="O398" t="str">
            <v>Shantou Itpg-6805-D</v>
          </cell>
          <cell r="P398" t="str">
            <v>AD1206102</v>
          </cell>
          <cell r="Q398" t="str">
            <v>Not Applicable</v>
          </cell>
          <cell r="R398" t="str">
            <v>Shantou Medical</v>
          </cell>
          <cell r="S398" t="str">
            <v>ITP Academy Malaysia</v>
          </cell>
          <cell r="T398" t="str">
            <v>Disposed</v>
          </cell>
          <cell r="U398" t="str">
            <v>Asset</v>
          </cell>
          <cell r="V398">
            <v>10725</v>
          </cell>
          <cell r="W398" t="str">
            <v>KEW</v>
          </cell>
          <cell r="X398" t="str">
            <v>01/09/2010</v>
          </cell>
          <cell r="Y398" t="str">
            <v>KEW</v>
          </cell>
          <cell r="Z398" t="str">
            <v>16/08/2013</v>
          </cell>
          <cell r="AA398" t="str">
            <v>15/08/2015</v>
          </cell>
          <cell r="AB398" t="str">
            <v>No</v>
          </cell>
          <cell r="AC398" t="str">
            <v>31/08/2013</v>
          </cell>
          <cell r="AD398" t="str">
            <v>Good</v>
          </cell>
          <cell r="AE398" t="str">
            <v>V4 - Decommissioned Installed Facility</v>
          </cell>
          <cell r="AF398">
            <v>42733</v>
          </cell>
          <cell r="AG398">
            <v>9.17</v>
          </cell>
          <cell r="AH398" t="str">
            <v>PPM</v>
          </cell>
          <cell r="AI398" t="str">
            <v>Not in contract</v>
          </cell>
          <cell r="AJ398" t="str">
            <v>Not in contract</v>
          </cell>
          <cell r="AK398" t="e">
            <v>#N/A</v>
          </cell>
        </row>
        <row r="399">
          <cell r="A399" t="str">
            <v>IKN400699</v>
          </cell>
          <cell r="B399">
            <v>699</v>
          </cell>
          <cell r="C399" t="str">
            <v>Institut Kanser Negara</v>
          </cell>
          <cell r="D399" t="str">
            <v>KKM/IKN/H/13/1422</v>
          </cell>
          <cell r="E399" t="str">
            <v>16-953</v>
          </cell>
          <cell r="F399" t="str">
            <v>Analgesia Units, Inhalation</v>
          </cell>
          <cell r="G399" t="str">
            <v>PY</v>
          </cell>
          <cell r="H399" t="str">
            <v>PHYSIOTHERAPY</v>
          </cell>
          <cell r="I399" t="str">
            <v>04PY130</v>
          </cell>
          <cell r="J399" t="str">
            <v>RESPIRATORY</v>
          </cell>
          <cell r="K399" t="str">
            <v>BMED</v>
          </cell>
          <cell r="L399" t="str">
            <v>Normal</v>
          </cell>
          <cell r="M399" t="str">
            <v>Germany</v>
          </cell>
          <cell r="N399" t="str">
            <v>Foggy</v>
          </cell>
          <cell r="O399" t="str">
            <v>Foggy Jet, 192-0000</v>
          </cell>
          <cell r="P399" t="str">
            <v>350-0912-1696</v>
          </cell>
          <cell r="Q399" t="str">
            <v>Not Applicable</v>
          </cell>
          <cell r="R399" t="str">
            <v>Heyer Medical AG</v>
          </cell>
          <cell r="S399" t="str">
            <v>Maycare (M) Sdn. Bhd.</v>
          </cell>
          <cell r="T399" t="str">
            <v>Functioning</v>
          </cell>
          <cell r="U399" t="str">
            <v>Asset</v>
          </cell>
          <cell r="V399">
            <v>96230</v>
          </cell>
          <cell r="W399" t="str">
            <v>KEW</v>
          </cell>
          <cell r="X399" t="str">
            <v>01/09/2010</v>
          </cell>
          <cell r="Y399" t="str">
            <v>KEW</v>
          </cell>
          <cell r="Z399" t="str">
            <v>16/08/2013</v>
          </cell>
          <cell r="AA399" t="str">
            <v>15/08/2015</v>
          </cell>
          <cell r="AB399" t="str">
            <v>No</v>
          </cell>
          <cell r="AC399" t="str">
            <v>31/08/2013</v>
          </cell>
          <cell r="AD399" t="str">
            <v>Good</v>
          </cell>
          <cell r="AE399" t="str">
            <v>V1 - Existing / No Claim</v>
          </cell>
          <cell r="AF399">
            <v>42802</v>
          </cell>
          <cell r="AG399">
            <v>9.17</v>
          </cell>
          <cell r="AH399" t="str">
            <v>RI</v>
          </cell>
          <cell r="AI399" t="str">
            <v>Strands</v>
          </cell>
          <cell r="AJ399" t="str">
            <v>Strands PW</v>
          </cell>
          <cell r="AK399" t="str">
            <v>PEP 23/7/2024</v>
          </cell>
        </row>
        <row r="400">
          <cell r="A400" t="str">
            <v>IKN400728</v>
          </cell>
          <cell r="B400">
            <v>728</v>
          </cell>
          <cell r="C400" t="str">
            <v>Institut Kanser Negara</v>
          </cell>
          <cell r="D400" t="str">
            <v>KKM/IKN/H/13/1903</v>
          </cell>
          <cell r="E400" t="str">
            <v>17-440</v>
          </cell>
          <cell r="F400" t="str">
            <v>Microscopes, Light, Laboratory, Inverted Stage</v>
          </cell>
          <cell r="G400" t="str">
            <v>LA</v>
          </cell>
          <cell r="H400" t="str">
            <v>PATHOLOGY</v>
          </cell>
          <cell r="I400" t="str">
            <v>04LA125</v>
          </cell>
          <cell r="J400" t="str">
            <v>OFFICE/RECORDS</v>
          </cell>
          <cell r="K400" t="str">
            <v>BMED</v>
          </cell>
          <cell r="L400" t="str">
            <v>Normal</v>
          </cell>
          <cell r="M400" t="str">
            <v>Japan</v>
          </cell>
          <cell r="N400" t="str">
            <v>Olympus</v>
          </cell>
          <cell r="O400" t="str">
            <v>Olympus BX 43</v>
          </cell>
          <cell r="P400" t="str">
            <v>2J49403</v>
          </cell>
          <cell r="Q400" t="str">
            <v>Not Applicable</v>
          </cell>
          <cell r="R400" t="str">
            <v>Olympus Corp</v>
          </cell>
          <cell r="S400" t="str">
            <v>Matrix Optics (M) Sdn Bhd</v>
          </cell>
          <cell r="T400" t="str">
            <v>Functioning</v>
          </cell>
          <cell r="U400" t="str">
            <v>Asset</v>
          </cell>
          <cell r="V400">
            <v>19380</v>
          </cell>
          <cell r="W400" t="str">
            <v>KEW</v>
          </cell>
          <cell r="X400" t="str">
            <v>01/09/2010</v>
          </cell>
          <cell r="Y400" t="str">
            <v>KEW</v>
          </cell>
          <cell r="Z400" t="str">
            <v>16/08/2013</v>
          </cell>
          <cell r="AA400" t="str">
            <v>15/08/2015</v>
          </cell>
          <cell r="AB400" t="str">
            <v>No</v>
          </cell>
          <cell r="AC400" t="str">
            <v>31/08/2013</v>
          </cell>
          <cell r="AD400" t="str">
            <v>Good</v>
          </cell>
          <cell r="AE400" t="str">
            <v>V5 - Transfer to other Hospitals/Healthcare Facility</v>
          </cell>
          <cell r="AF400">
            <v>42235</v>
          </cell>
          <cell r="AG400">
            <v>9.17</v>
          </cell>
          <cell r="AH400" t="str">
            <v>PPM</v>
          </cell>
          <cell r="AI400" t="str">
            <v>Not in contract</v>
          </cell>
          <cell r="AJ400" t="str">
            <v>Not in contract</v>
          </cell>
          <cell r="AK400" t="str">
            <v>SNF received on 28.5.2021. Under Strands previously. Transferred to Hospital Serdang.</v>
          </cell>
        </row>
        <row r="401">
          <cell r="A401" t="str">
            <v>IKN400729</v>
          </cell>
          <cell r="B401">
            <v>729</v>
          </cell>
          <cell r="C401" t="str">
            <v>Institut Kanser Negara</v>
          </cell>
          <cell r="D401" t="e">
            <v>#N/A</v>
          </cell>
          <cell r="E401" t="str">
            <v>17-440</v>
          </cell>
          <cell r="F401" t="str">
            <v>Microscopes, Light, Laboratory, Inverted Stage</v>
          </cell>
          <cell r="G401" t="str">
            <v>LA</v>
          </cell>
          <cell r="H401" t="str">
            <v>PATHOLOGY</v>
          </cell>
          <cell r="I401" t="str">
            <v>04LA125</v>
          </cell>
          <cell r="J401" t="str">
            <v>OFFICE/RECORDS</v>
          </cell>
          <cell r="K401" t="str">
            <v>BMED</v>
          </cell>
          <cell r="L401" t="str">
            <v>Normal</v>
          </cell>
          <cell r="M401" t="str">
            <v>Japan</v>
          </cell>
          <cell r="N401" t="str">
            <v>Olympus</v>
          </cell>
          <cell r="O401" t="str">
            <v>Olympus BX 43</v>
          </cell>
          <cell r="P401" t="str">
            <v>2J48395</v>
          </cell>
          <cell r="Q401" t="str">
            <v>Not Applicable</v>
          </cell>
          <cell r="R401" t="str">
            <v>Olympus Corp</v>
          </cell>
          <cell r="S401" t="str">
            <v>Matrix Optics (M) Sdn Bhd</v>
          </cell>
          <cell r="T401" t="str">
            <v>Disposed</v>
          </cell>
          <cell r="U401" t="str">
            <v>Asset</v>
          </cell>
          <cell r="V401">
            <v>19380</v>
          </cell>
          <cell r="W401" t="str">
            <v>KEW</v>
          </cell>
          <cell r="X401" t="str">
            <v>01/09/2010</v>
          </cell>
          <cell r="Y401" t="str">
            <v>KEW</v>
          </cell>
          <cell r="Z401" t="str">
            <v>16/08/2013</v>
          </cell>
          <cell r="AA401" t="str">
            <v>15/08/2015</v>
          </cell>
          <cell r="AB401" t="str">
            <v>No</v>
          </cell>
          <cell r="AC401" t="str">
            <v>31/08/2013</v>
          </cell>
          <cell r="AD401" t="str">
            <v>Request for Exemption</v>
          </cell>
          <cell r="AE401" t="str">
            <v>V4 - Decommissioned Installed Facility</v>
          </cell>
          <cell r="AF401">
            <v>42538</v>
          </cell>
          <cell r="AG401">
            <v>9.17</v>
          </cell>
          <cell r="AH401" t="str">
            <v>PPM</v>
          </cell>
          <cell r="AI401" t="str">
            <v>Not in contract</v>
          </cell>
          <cell r="AJ401" t="str">
            <v>Not in contract</v>
          </cell>
          <cell r="AK401" t="e">
            <v>#N/A</v>
          </cell>
        </row>
        <row r="402">
          <cell r="A402" t="str">
            <v>IKN400730</v>
          </cell>
          <cell r="B402">
            <v>730</v>
          </cell>
          <cell r="C402" t="str">
            <v>Institut Kanser Negara</v>
          </cell>
          <cell r="D402" t="e">
            <v>#N/A</v>
          </cell>
          <cell r="E402" t="str">
            <v>17-440</v>
          </cell>
          <cell r="F402" t="str">
            <v>Microscopes, Light, Laboratory, Inverted Stage</v>
          </cell>
          <cell r="G402" t="str">
            <v>LA</v>
          </cell>
          <cell r="H402" t="str">
            <v>PATHOLOGY</v>
          </cell>
          <cell r="I402" t="str">
            <v>04LA125</v>
          </cell>
          <cell r="J402" t="str">
            <v>OFFICE/RECORDS</v>
          </cell>
          <cell r="K402" t="str">
            <v>BMED</v>
          </cell>
          <cell r="L402" t="str">
            <v>Normal</v>
          </cell>
          <cell r="M402" t="str">
            <v>Japan</v>
          </cell>
          <cell r="N402" t="str">
            <v>Olympus</v>
          </cell>
          <cell r="O402" t="str">
            <v>Olympus BX 43</v>
          </cell>
          <cell r="P402" t="str">
            <v>2J49081</v>
          </cell>
          <cell r="Q402" t="str">
            <v>Not Applicable</v>
          </cell>
          <cell r="R402" t="str">
            <v>Olympus Corp</v>
          </cell>
          <cell r="S402" t="str">
            <v>Matrix Optics (M) Sdn Bhd</v>
          </cell>
          <cell r="T402" t="str">
            <v>Not In Use</v>
          </cell>
          <cell r="U402" t="str">
            <v>Asset</v>
          </cell>
          <cell r="V402">
            <v>19380</v>
          </cell>
          <cell r="W402" t="str">
            <v>KEW</v>
          </cell>
          <cell r="X402" t="str">
            <v>01/09/2010</v>
          </cell>
          <cell r="Y402" t="str">
            <v>KEW</v>
          </cell>
          <cell r="Z402" t="str">
            <v>16/08/2013</v>
          </cell>
          <cell r="AA402" t="str">
            <v>15/08/2015</v>
          </cell>
          <cell r="AB402" t="str">
            <v>No</v>
          </cell>
          <cell r="AC402" t="str">
            <v>31/08/2013</v>
          </cell>
          <cell r="AD402" t="str">
            <v>Good</v>
          </cell>
          <cell r="AE402" t="str">
            <v>V4 - Decommissioned Installed Facility</v>
          </cell>
          <cell r="AF402">
            <v>42951</v>
          </cell>
          <cell r="AG402">
            <v>9.17</v>
          </cell>
          <cell r="AH402" t="str">
            <v>PPM</v>
          </cell>
          <cell r="AI402" t="str">
            <v>Not in contract</v>
          </cell>
          <cell r="AJ402" t="str">
            <v>Not in contract</v>
          </cell>
          <cell r="AK402" t="e">
            <v>#N/A</v>
          </cell>
        </row>
        <row r="403">
          <cell r="A403" t="str">
            <v>IKN400731</v>
          </cell>
          <cell r="B403">
            <v>731</v>
          </cell>
          <cell r="C403" t="str">
            <v>Institut Kanser Negara</v>
          </cell>
          <cell r="D403" t="str">
            <v>KKM/IKN/H/13/4688</v>
          </cell>
          <cell r="E403" t="str">
            <v>15-709</v>
          </cell>
          <cell r="F403" t="str">
            <v>Analyzers, Laboratory, Blood Gas/pH</v>
          </cell>
          <cell r="G403" t="str">
            <v>LA</v>
          </cell>
          <cell r="H403" t="str">
            <v>PATHOLOGY</v>
          </cell>
          <cell r="I403" t="str">
            <v>04LA126</v>
          </cell>
          <cell r="J403" t="str">
            <v>MICROBIOLOGY UNIT</v>
          </cell>
          <cell r="K403" t="str">
            <v>BMED</v>
          </cell>
          <cell r="L403" t="str">
            <v>Critical</v>
          </cell>
          <cell r="M403" t="str">
            <v>Denmark</v>
          </cell>
          <cell r="N403" t="str">
            <v>Radiometer</v>
          </cell>
          <cell r="O403" t="str">
            <v>Radiometer ABL 80</v>
          </cell>
          <cell r="P403" t="str">
            <v>306028</v>
          </cell>
          <cell r="Q403" t="str">
            <v>Not Applicable</v>
          </cell>
          <cell r="R403" t="str">
            <v>Radiometer Medical ApS</v>
          </cell>
          <cell r="S403" t="str">
            <v>Metrojendela</v>
          </cell>
          <cell r="T403" t="str">
            <v>Functioning</v>
          </cell>
          <cell r="U403" t="str">
            <v>Asset</v>
          </cell>
          <cell r="V403">
            <v>76980</v>
          </cell>
          <cell r="W403" t="str">
            <v>KEW</v>
          </cell>
          <cell r="X403" t="str">
            <v>01/09/2010</v>
          </cell>
          <cell r="Y403" t="str">
            <v>KEW</v>
          </cell>
          <cell r="Z403" t="str">
            <v>16/08/2013</v>
          </cell>
          <cell r="AA403" t="str">
            <v>15/08/2015</v>
          </cell>
          <cell r="AB403" t="str">
            <v>No</v>
          </cell>
          <cell r="AC403" t="str">
            <v>31/08/2013</v>
          </cell>
          <cell r="AD403" t="str">
            <v>Good</v>
          </cell>
          <cell r="AE403" t="str">
            <v>V1 - Existing / No Claim</v>
          </cell>
          <cell r="AF403">
            <v>42790</v>
          </cell>
          <cell r="AG403">
            <v>9.17</v>
          </cell>
          <cell r="AH403" t="str">
            <v>PPM</v>
          </cell>
          <cell r="AI403" t="str">
            <v>Strands</v>
          </cell>
          <cell r="AJ403" t="str">
            <v>Strands Package</v>
          </cell>
          <cell r="AK403" t="str">
            <v>Package Code LC0005. [29/2/2024, SHARIFAH]: PEP ON 18/1/2024; BER/BEMS/IKN/23/029- TIADA BEKALAN REAGENTS/CONSUMABLE/SUPPLY. PENGGUNAAN DIHENTIKAN.</v>
          </cell>
        </row>
        <row r="404">
          <cell r="A404" t="str">
            <v>IKN400738</v>
          </cell>
          <cell r="B404">
            <v>738</v>
          </cell>
          <cell r="C404" t="str">
            <v>Institut Kanser Negara</v>
          </cell>
          <cell r="D404" t="str">
            <v>KKM/IKN/H/13/1848</v>
          </cell>
          <cell r="E404" t="str">
            <v>16-861</v>
          </cell>
          <cell r="F404" t="str">
            <v>Baths, Water, Laboratory</v>
          </cell>
          <cell r="G404" t="str">
            <v>LA</v>
          </cell>
          <cell r="H404" t="str">
            <v>PATHOLOGY</v>
          </cell>
          <cell r="I404" t="str">
            <v>04LA126</v>
          </cell>
          <cell r="J404" t="str">
            <v>MICROBIOLOGY UNIT</v>
          </cell>
          <cell r="K404" t="str">
            <v>BMED</v>
          </cell>
          <cell r="L404" t="str">
            <v>Normal</v>
          </cell>
          <cell r="M404" t="str">
            <v>Germany</v>
          </cell>
          <cell r="N404" t="str">
            <v>Memmert</v>
          </cell>
          <cell r="O404" t="str">
            <v>Memmert WNB14</v>
          </cell>
          <cell r="P404" t="str">
            <v>L412.0342</v>
          </cell>
          <cell r="Q404" t="str">
            <v>Not Applicable</v>
          </cell>
          <cell r="R404" t="str">
            <v>Memmert GmbH</v>
          </cell>
          <cell r="S404" t="str">
            <v>Saujana Saintifik Sdn Bhd</v>
          </cell>
          <cell r="T404" t="str">
            <v>Functioning</v>
          </cell>
          <cell r="U404" t="str">
            <v>Asset</v>
          </cell>
          <cell r="V404">
            <v>4210</v>
          </cell>
          <cell r="W404" t="str">
            <v>KEW</v>
          </cell>
          <cell r="X404" t="str">
            <v>01/09/2010</v>
          </cell>
          <cell r="Y404" t="str">
            <v>KEW</v>
          </cell>
          <cell r="Z404" t="str">
            <v>16/08/2013</v>
          </cell>
          <cell r="AA404" t="str">
            <v>15/08/2015</v>
          </cell>
          <cell r="AB404" t="str">
            <v>No</v>
          </cell>
          <cell r="AC404" t="str">
            <v>31/08/2013</v>
          </cell>
          <cell r="AD404" t="str">
            <v>Good</v>
          </cell>
          <cell r="AE404" t="str">
            <v>V5 - Transfer to other Hospitals/Healthcare Facility</v>
          </cell>
          <cell r="AF404" t="str">
            <v>24/2/2017 - 1/12/2022</v>
          </cell>
          <cell r="AG404">
            <v>9.17</v>
          </cell>
          <cell r="AH404" t="str">
            <v>PPM</v>
          </cell>
          <cell r="AI404" t="str">
            <v>Strands</v>
          </cell>
          <cell r="AJ404" t="str">
            <v>Strands (V4 P1.23.)</v>
          </cell>
          <cell r="AK404" t="str">
            <v>SNF received on 26.4.2022. Transfer to Hospital Putrajaya [18/9/2023, Sharifah]: V4 P1.23.</v>
          </cell>
        </row>
        <row r="405">
          <cell r="A405" t="str">
            <v>IKN400740</v>
          </cell>
          <cell r="B405">
            <v>740</v>
          </cell>
          <cell r="C405" t="str">
            <v>Institut Kanser Negara</v>
          </cell>
          <cell r="D405" t="str">
            <v>KKM/IKN/H/13/1864</v>
          </cell>
          <cell r="E405" t="str">
            <v>18-630</v>
          </cell>
          <cell r="F405" t="str">
            <v>Analyzers, Laboratory, Microbiology, Blood Culture, Mycobacteria</v>
          </cell>
          <cell r="G405" t="str">
            <v>LA</v>
          </cell>
          <cell r="H405" t="str">
            <v>PATHOLOGY</v>
          </cell>
          <cell r="I405" t="str">
            <v>04LA126</v>
          </cell>
          <cell r="J405" t="str">
            <v>MICROBIOLOGY UNIT</v>
          </cell>
          <cell r="K405" t="str">
            <v>BMED</v>
          </cell>
          <cell r="L405" t="str">
            <v>Normal</v>
          </cell>
          <cell r="M405" t="str">
            <v>USA</v>
          </cell>
          <cell r="N405" t="str">
            <v>Becton</v>
          </cell>
          <cell r="O405" t="str">
            <v>Becton Phoenix 100</v>
          </cell>
          <cell r="P405" t="str">
            <v>PX1747</v>
          </cell>
          <cell r="Q405" t="str">
            <v>Not Applicable</v>
          </cell>
          <cell r="R405" t="str">
            <v>Becton Dickinson &amp; Co</v>
          </cell>
          <cell r="S405" t="str">
            <v>Biomarketing Services (M) Sdn Bhd</v>
          </cell>
          <cell r="T405" t="str">
            <v>Functioning</v>
          </cell>
          <cell r="U405" t="str">
            <v>Asset</v>
          </cell>
          <cell r="V405">
            <v>342820</v>
          </cell>
          <cell r="W405" t="str">
            <v>KEW</v>
          </cell>
          <cell r="X405" t="str">
            <v>01/09/2010</v>
          </cell>
          <cell r="Y405" t="str">
            <v>KEW</v>
          </cell>
          <cell r="Z405" t="str">
            <v>16/08/2013</v>
          </cell>
          <cell r="AA405" t="str">
            <v>15/08/2015</v>
          </cell>
          <cell r="AB405" t="str">
            <v>No</v>
          </cell>
          <cell r="AC405" t="str">
            <v>31/08/2013</v>
          </cell>
          <cell r="AD405" t="str">
            <v>Good</v>
          </cell>
          <cell r="AE405" t="str">
            <v>V1 - Existing / No Claim</v>
          </cell>
          <cell r="AF405">
            <v>42790</v>
          </cell>
          <cell r="AG405">
            <v>9.17</v>
          </cell>
          <cell r="AH405" t="str">
            <v>PPM</v>
          </cell>
          <cell r="AI405" t="str">
            <v>Strands</v>
          </cell>
          <cell r="AJ405" t="str">
            <v>Strands Package</v>
          </cell>
          <cell r="AK405" t="str">
            <v>Package Code LR0016</v>
          </cell>
        </row>
        <row r="406">
          <cell r="A406" t="str">
            <v>IKN400751</v>
          </cell>
          <cell r="B406">
            <v>751</v>
          </cell>
          <cell r="C406" t="str">
            <v>Institut Kanser Negara</v>
          </cell>
          <cell r="D406" t="str">
            <v>KKM/IKN/H/13/1849</v>
          </cell>
          <cell r="E406" t="str">
            <v>15-146</v>
          </cell>
          <cell r="F406" t="str">
            <v>Analyzers, Laboratory, Hematology, Hemoglobin</v>
          </cell>
          <cell r="G406" t="str">
            <v>LA</v>
          </cell>
          <cell r="H406" t="str">
            <v>PATHOLOGY</v>
          </cell>
          <cell r="I406" t="str">
            <v>04LA133</v>
          </cell>
          <cell r="J406" t="str">
            <v>CHEMICAL PATHOLOGY 1</v>
          </cell>
          <cell r="K406" t="str">
            <v>BMED</v>
          </cell>
          <cell r="L406" t="str">
            <v>Normal</v>
          </cell>
          <cell r="M406" t="str">
            <v>USA</v>
          </cell>
          <cell r="N406" t="str">
            <v>Bio-Rad</v>
          </cell>
          <cell r="O406" t="str">
            <v>Bio-Rad D10</v>
          </cell>
          <cell r="P406" t="str">
            <v>DC2C695904</v>
          </cell>
          <cell r="Q406" t="str">
            <v>Not Applicable</v>
          </cell>
          <cell r="R406" t="str">
            <v>Bio-Rad Laboratories</v>
          </cell>
          <cell r="S406" t="str">
            <v>KL Scientific</v>
          </cell>
          <cell r="T406" t="str">
            <v>Functioning</v>
          </cell>
          <cell r="U406" t="str">
            <v>Asset</v>
          </cell>
          <cell r="V406">
            <v>221210</v>
          </cell>
          <cell r="W406" t="str">
            <v>KEW</v>
          </cell>
          <cell r="X406" t="str">
            <v>01/09/2010</v>
          </cell>
          <cell r="Y406" t="str">
            <v>KEW</v>
          </cell>
          <cell r="Z406" t="str">
            <v>16/08/2013</v>
          </cell>
          <cell r="AA406" t="str">
            <v>15/08/2015</v>
          </cell>
          <cell r="AB406" t="str">
            <v>No</v>
          </cell>
          <cell r="AC406" t="str">
            <v>31/08/2013</v>
          </cell>
          <cell r="AD406" t="str">
            <v>Good</v>
          </cell>
          <cell r="AE406" t="str">
            <v>V1 - Existing / No Claim</v>
          </cell>
          <cell r="AF406">
            <v>42790</v>
          </cell>
          <cell r="AG406">
            <v>9.17</v>
          </cell>
          <cell r="AH406" t="str">
            <v>PPM</v>
          </cell>
          <cell r="AI406" t="str">
            <v>Strands</v>
          </cell>
          <cell r="AJ406" t="str">
            <v>Strands Package</v>
          </cell>
          <cell r="AK406" t="str">
            <v>MEMO PERMOHONAN PELUPUSAN SUDAH DI SUBMIT. [DIKELUARKAN DARI ASSET 21/10/2024]</v>
          </cell>
        </row>
        <row r="407">
          <cell r="A407" t="str">
            <v>IKN400752</v>
          </cell>
          <cell r="B407">
            <v>752</v>
          </cell>
          <cell r="C407" t="str">
            <v>Institut Kanser Negara</v>
          </cell>
          <cell r="D407" t="str">
            <v>KKM/IKN/H/13/1799</v>
          </cell>
          <cell r="E407" t="str">
            <v>12-842</v>
          </cell>
          <cell r="F407" t="str">
            <v>Osmometers</v>
          </cell>
          <cell r="G407" t="str">
            <v>LA</v>
          </cell>
          <cell r="H407" t="str">
            <v>PATHOLOGY</v>
          </cell>
          <cell r="I407" t="str">
            <v>04LA134</v>
          </cell>
          <cell r="J407" t="str">
            <v>CHEMICAL PATHOLOGY 2</v>
          </cell>
          <cell r="K407" t="str">
            <v>BMED</v>
          </cell>
          <cell r="L407" t="str">
            <v>Normal</v>
          </cell>
          <cell r="M407" t="str">
            <v>Germany</v>
          </cell>
          <cell r="N407" t="str">
            <v>Osmomat</v>
          </cell>
          <cell r="O407" t="str">
            <v>Osmomat 030</v>
          </cell>
          <cell r="P407" t="str">
            <v>102810</v>
          </cell>
          <cell r="Q407" t="str">
            <v>Not Applicable</v>
          </cell>
          <cell r="R407" t="str">
            <v>Gonotec GMBH</v>
          </cell>
          <cell r="S407" t="str">
            <v>Biomarketing Services (M) Sdn Bhd</v>
          </cell>
          <cell r="T407" t="str">
            <v>Functioning</v>
          </cell>
          <cell r="U407" t="str">
            <v>Asset</v>
          </cell>
          <cell r="V407">
            <v>34880</v>
          </cell>
          <cell r="W407" t="str">
            <v>KEW</v>
          </cell>
          <cell r="X407" t="str">
            <v>01/09/2010</v>
          </cell>
          <cell r="Y407" t="str">
            <v>KEW</v>
          </cell>
          <cell r="Z407" t="str">
            <v>16/08/2013</v>
          </cell>
          <cell r="AA407" t="str">
            <v>15/08/2015</v>
          </cell>
          <cell r="AB407" t="str">
            <v>No</v>
          </cell>
          <cell r="AC407" t="str">
            <v>31/08/2013</v>
          </cell>
          <cell r="AD407" t="str">
            <v>Good</v>
          </cell>
          <cell r="AE407" t="str">
            <v>V1 - Existing / No Claim</v>
          </cell>
          <cell r="AF407">
            <v>42790</v>
          </cell>
          <cell r="AG407">
            <v>9.17</v>
          </cell>
          <cell r="AH407" t="str">
            <v>PPM</v>
          </cell>
          <cell r="AI407" t="str">
            <v>Strands</v>
          </cell>
          <cell r="AJ407" t="str">
            <v>Strands PW. Proposed for V4 P2.23</v>
          </cell>
          <cell r="AK407" t="str">
            <v>[18/9/2023, SHARIFAH]: PEP ON 27/7/2023, BER/BEMS/IKN/23/017 - Asset mengalami kerosakan pada probe tip.</v>
          </cell>
        </row>
        <row r="408">
          <cell r="A408" t="str">
            <v>IKN400759</v>
          </cell>
          <cell r="B408">
            <v>759</v>
          </cell>
          <cell r="C408" t="str">
            <v>Institut Kanser Negara</v>
          </cell>
          <cell r="D408" t="str">
            <v>KKM/IKN/H/13/4686</v>
          </cell>
          <cell r="E408" t="str">
            <v>16-378</v>
          </cell>
          <cell r="F408" t="str">
            <v>Analyzers, Laboratory, Urine, Automated</v>
          </cell>
          <cell r="G408" t="str">
            <v>LA</v>
          </cell>
          <cell r="H408" t="str">
            <v>PATHOLOGY</v>
          </cell>
          <cell r="I408" t="str">
            <v>04LA133</v>
          </cell>
          <cell r="J408" t="str">
            <v>CHEMICAL PATHOLOGY 1</v>
          </cell>
          <cell r="K408" t="str">
            <v>BMED</v>
          </cell>
          <cell r="L408" t="str">
            <v>Normal</v>
          </cell>
          <cell r="M408" t="str">
            <v>USA</v>
          </cell>
          <cell r="N408" t="str">
            <v>Ichem</v>
          </cell>
          <cell r="O408" t="str">
            <v>Ichem Velocity</v>
          </cell>
          <cell r="P408" t="str">
            <v>V01474</v>
          </cell>
          <cell r="Q408" t="str">
            <v>Not Applicable</v>
          </cell>
          <cell r="R408" t="str">
            <v>Iris Medical Instruments Inc</v>
          </cell>
          <cell r="S408" t="str">
            <v>Diagnostic Systems (M) Sdn Bhd</v>
          </cell>
          <cell r="T408" t="str">
            <v>Functioning</v>
          </cell>
          <cell r="U408" t="str">
            <v>Asset</v>
          </cell>
          <cell r="V408">
            <v>36080</v>
          </cell>
          <cell r="W408" t="str">
            <v>KEW</v>
          </cell>
          <cell r="X408" t="str">
            <v>01/09/2010</v>
          </cell>
          <cell r="Y408" t="str">
            <v>KEW</v>
          </cell>
          <cell r="Z408" t="str">
            <v>16/08/2013</v>
          </cell>
          <cell r="AA408" t="str">
            <v>15/08/2015</v>
          </cell>
          <cell r="AB408" t="str">
            <v>No</v>
          </cell>
          <cell r="AC408" t="str">
            <v>31/08/2013</v>
          </cell>
          <cell r="AD408" t="str">
            <v>Good</v>
          </cell>
          <cell r="AE408" t="str">
            <v>V1 - Existing / No Claim</v>
          </cell>
          <cell r="AF408">
            <v>42235</v>
          </cell>
          <cell r="AG408">
            <v>9.17</v>
          </cell>
          <cell r="AH408" t="str">
            <v>PPM</v>
          </cell>
          <cell r="AI408" t="str">
            <v>Strands</v>
          </cell>
          <cell r="AJ408" t="str">
            <v>Strands Package</v>
          </cell>
          <cell r="AK408" t="str">
            <v>Package Code LC0054. [17/12/2023, SHARIFAH]: PEP ON 7/12/2023, BER/BEMS/IKN/23/021 - Asset mengalami kerosakan pada internal CPU Board. Penggunaannya hendaklah dihentikan. SNF V4 received on 6/3/2024.</v>
          </cell>
        </row>
        <row r="409">
          <cell r="A409" t="str">
            <v>IKN400765</v>
          </cell>
          <cell r="B409">
            <v>765</v>
          </cell>
          <cell r="C409" t="str">
            <v>Institut Kanser Negara</v>
          </cell>
          <cell r="D409" t="str">
            <v>KKM/IKN/H/13/1879</v>
          </cell>
          <cell r="E409" t="str">
            <v>14-410</v>
          </cell>
          <cell r="F409" t="str">
            <v>Ovens, Drying</v>
          </cell>
          <cell r="G409" t="str">
            <v>LA</v>
          </cell>
          <cell r="H409" t="str">
            <v>PATHOLOGY</v>
          </cell>
          <cell r="I409" t="str">
            <v>04LA117</v>
          </cell>
          <cell r="J409" t="str">
            <v>WASH ROOM</v>
          </cell>
          <cell r="K409" t="str">
            <v>BMED</v>
          </cell>
          <cell r="L409" t="str">
            <v>Normal</v>
          </cell>
          <cell r="M409" t="str">
            <v>Germany</v>
          </cell>
          <cell r="N409" t="str">
            <v>Heratherm</v>
          </cell>
          <cell r="O409" t="str">
            <v>Heratherm OGS 100</v>
          </cell>
          <cell r="P409" t="str">
            <v>41419441</v>
          </cell>
          <cell r="Q409" t="str">
            <v>Not Applicable</v>
          </cell>
          <cell r="R409" t="str">
            <v>Thermo Scientific Inc</v>
          </cell>
          <cell r="S409" t="str">
            <v>Bumi Sains Sdn. Bhd.</v>
          </cell>
          <cell r="T409" t="str">
            <v>Functioning</v>
          </cell>
          <cell r="U409" t="str">
            <v>Asset</v>
          </cell>
          <cell r="V409">
            <v>6620</v>
          </cell>
          <cell r="W409" t="str">
            <v>KEW</v>
          </cell>
          <cell r="X409" t="str">
            <v>01/09/2010</v>
          </cell>
          <cell r="Y409" t="str">
            <v>KEW</v>
          </cell>
          <cell r="Z409" t="str">
            <v>16/08/2013</v>
          </cell>
          <cell r="AA409" t="str">
            <v>15/08/2015</v>
          </cell>
          <cell r="AB409" t="str">
            <v>No</v>
          </cell>
          <cell r="AC409" t="str">
            <v>31/08/2013</v>
          </cell>
          <cell r="AD409" t="str">
            <v>Good</v>
          </cell>
          <cell r="AE409" t="str">
            <v>V4 - Decommissioned Installed Facility</v>
          </cell>
          <cell r="AF409">
            <v>42235</v>
          </cell>
          <cell r="AG409">
            <v>9.17</v>
          </cell>
          <cell r="AH409" t="str">
            <v>PPM</v>
          </cell>
          <cell r="AI409" t="str">
            <v>Strands</v>
          </cell>
          <cell r="AJ409" t="str">
            <v>Strands PW</v>
          </cell>
          <cell r="AK409" t="str">
            <v>[28/2/2024, FAEZAH: SNF V4; TRANSFER TO HOSPITAL KAJANG, RECEIVED 19/2/2024.</v>
          </cell>
        </row>
        <row r="410">
          <cell r="A410" t="str">
            <v>IKN400783</v>
          </cell>
          <cell r="B410">
            <v>783</v>
          </cell>
          <cell r="C410" t="str">
            <v>Institut Kanser Negara</v>
          </cell>
          <cell r="D410" t="str">
            <v>KKM/IKN/H/13/3940 - 06</v>
          </cell>
          <cell r="E410" t="str">
            <v>17-679</v>
          </cell>
          <cell r="F410" t="str">
            <v>Laser Imagers</v>
          </cell>
          <cell r="G410" t="str">
            <v>ID</v>
          </cell>
          <cell r="H410" t="str">
            <v>IMAGING DEPARTMENT</v>
          </cell>
          <cell r="I410" t="str">
            <v>03ID178</v>
          </cell>
          <cell r="J410" t="str">
            <v>PACS BAY</v>
          </cell>
          <cell r="K410" t="str">
            <v>BMED</v>
          </cell>
          <cell r="L410" t="str">
            <v>Normal</v>
          </cell>
          <cell r="M410" t="str">
            <v>USA</v>
          </cell>
          <cell r="N410" t="str">
            <v>DryView</v>
          </cell>
          <cell r="O410" t="str">
            <v>DryView 6850</v>
          </cell>
          <cell r="P410" t="str">
            <v>68504434</v>
          </cell>
          <cell r="Q410" t="str">
            <v>Not Applicable</v>
          </cell>
          <cell r="R410" t="str">
            <v>Carestream Health Inc</v>
          </cell>
          <cell r="S410" t="str">
            <v>Best Contact (M) Sdn Bhd</v>
          </cell>
          <cell r="T410" t="str">
            <v>Functioning</v>
          </cell>
          <cell r="U410" t="str">
            <v>Asset</v>
          </cell>
          <cell r="V410">
            <v>83100</v>
          </cell>
          <cell r="W410" t="str">
            <v>KEW</v>
          </cell>
          <cell r="X410" t="str">
            <v>01/09/2010</v>
          </cell>
          <cell r="Y410" t="str">
            <v>KEW</v>
          </cell>
          <cell r="Z410" t="str">
            <v>16/08/2013</v>
          </cell>
          <cell r="AA410" t="str">
            <v>15/08/2015</v>
          </cell>
          <cell r="AB410" t="str">
            <v>No</v>
          </cell>
          <cell r="AC410" t="str">
            <v>31/08/2013</v>
          </cell>
          <cell r="AD410" t="str">
            <v>Good</v>
          </cell>
          <cell r="AE410" t="str">
            <v>V4 - Decommissioned Installed Facility</v>
          </cell>
          <cell r="AF410" t="str">
            <v>19/8/2015 - 04/08/2024</v>
          </cell>
          <cell r="AG410">
            <v>9.17</v>
          </cell>
          <cell r="AH410" t="str">
            <v>PPM</v>
          </cell>
          <cell r="AI410" t="str">
            <v>package</v>
          </cell>
          <cell r="AJ410" t="str">
            <v>Strands Package</v>
          </cell>
          <cell r="AK410" t="str">
            <v>[21/9/2023, Anis]: Package MRI. Package Code XJ0007. SNF V4 received on 4/8/2024.</v>
          </cell>
        </row>
        <row r="411">
          <cell r="A411" t="str">
            <v>IKN400792</v>
          </cell>
          <cell r="B411">
            <v>792</v>
          </cell>
          <cell r="C411" t="str">
            <v>Institut Kanser Negara</v>
          </cell>
          <cell r="D411" t="str">
            <v>KKM/IKN/H/13/4294 (OLD) KKM/IKN/R/13/1352 -NEW</v>
          </cell>
          <cell r="E411" t="str">
            <v>13-215</v>
          </cell>
          <cell r="F411" t="str">
            <v>Infusion Pumps, General-Purpose</v>
          </cell>
          <cell r="G411" t="str">
            <v>ID</v>
          </cell>
          <cell r="H411" t="str">
            <v>IMAGING DEPARTMENT</v>
          </cell>
          <cell r="I411" t="str">
            <v>03ID111</v>
          </cell>
          <cell r="J411" t="str">
            <v>M.R.I (VE)</v>
          </cell>
          <cell r="K411" t="str">
            <v>BMED</v>
          </cell>
          <cell r="L411" t="str">
            <v>Critical</v>
          </cell>
          <cell r="M411" t="str">
            <v>USA</v>
          </cell>
          <cell r="N411" t="str">
            <v>Mridium</v>
          </cell>
          <cell r="O411" t="str">
            <v>MRidium 3851</v>
          </cell>
          <cell r="P411" t="str">
            <v>IR5110596/IR5011212</v>
          </cell>
          <cell r="Q411" t="str">
            <v>Not Applicable</v>
          </cell>
          <cell r="R411" t="str">
            <v>Iradimed Corp</v>
          </cell>
          <cell r="S411" t="str">
            <v>APPLIED MEDICAL SYSTEMS SDN BHD</v>
          </cell>
          <cell r="T411" t="str">
            <v>Functioning</v>
          </cell>
          <cell r="U411" t="str">
            <v>Asset</v>
          </cell>
          <cell r="V411">
            <v>1400</v>
          </cell>
          <cell r="W411" t="str">
            <v>Estimate</v>
          </cell>
          <cell r="X411" t="str">
            <v>01/09/2010</v>
          </cell>
          <cell r="Y411" t="str">
            <v>KEW</v>
          </cell>
          <cell r="Z411" t="str">
            <v>16/08/2013</v>
          </cell>
          <cell r="AA411" t="str">
            <v>15/08/2015</v>
          </cell>
          <cell r="AB411" t="str">
            <v>No</v>
          </cell>
          <cell r="AC411" t="str">
            <v>31/08/2013</v>
          </cell>
          <cell r="AD411" t="str">
            <v>Good</v>
          </cell>
          <cell r="AE411" t="str">
            <v>V1 - Existing / No Claim</v>
          </cell>
          <cell r="AF411">
            <v>42791</v>
          </cell>
          <cell r="AG411">
            <v>9.17</v>
          </cell>
          <cell r="AH411" t="str">
            <v>PPM</v>
          </cell>
          <cell r="AI411" t="str">
            <v>Strands</v>
          </cell>
          <cell r="AJ411" t="str">
            <v>Strands PW. Proposed for V4 P2.23</v>
          </cell>
          <cell r="AK411" t="str">
            <v>[18/9/2023, SHARIFAH]: PEP ON 8/8/2023, BER/BEMS/IKN/23/012 - Asset mengalami kerosakan pada board.</v>
          </cell>
        </row>
        <row r="412">
          <cell r="A412" t="str">
            <v>IKN400793</v>
          </cell>
          <cell r="B412">
            <v>793</v>
          </cell>
          <cell r="C412" t="str">
            <v>Institut Kanser Negara</v>
          </cell>
          <cell r="D412" t="str">
            <v>KKM/IKN/H/13/2744</v>
          </cell>
          <cell r="E412" t="str">
            <v>12-647</v>
          </cell>
          <cell r="F412" t="str">
            <v>Physiologic Monitoring Systems, Acute Care</v>
          </cell>
          <cell r="G412" t="str">
            <v>ID</v>
          </cell>
          <cell r="H412" t="str">
            <v>IMAGING DEPARTMENT</v>
          </cell>
          <cell r="I412" t="str">
            <v>03ID109</v>
          </cell>
          <cell r="J412" t="str">
            <v>INDUCTION</v>
          </cell>
          <cell r="K412" t="str">
            <v>BMED</v>
          </cell>
          <cell r="L412" t="str">
            <v>Normal</v>
          </cell>
          <cell r="M412" t="str">
            <v>USA</v>
          </cell>
          <cell r="N412" t="str">
            <v>GE</v>
          </cell>
          <cell r="O412" t="str">
            <v>Mri Monitor</v>
          </cell>
          <cell r="P412" t="str">
            <v>6849794</v>
          </cell>
          <cell r="Q412" t="str">
            <v>Not Applicable</v>
          </cell>
          <cell r="R412" t="str">
            <v>GE Healthcare Systems</v>
          </cell>
          <cell r="S412" t="str">
            <v>GE Healthcare Technologies</v>
          </cell>
          <cell r="T412" t="str">
            <v>Functioning</v>
          </cell>
          <cell r="U412" t="str">
            <v>Asset</v>
          </cell>
          <cell r="V412">
            <v>163590</v>
          </cell>
          <cell r="W412" t="str">
            <v>KEW</v>
          </cell>
          <cell r="X412" t="str">
            <v>01/09/2010</v>
          </cell>
          <cell r="Y412" t="str">
            <v>KEW</v>
          </cell>
          <cell r="Z412" t="str">
            <v>16/08/2013</v>
          </cell>
          <cell r="AA412" t="str">
            <v>15/08/2015</v>
          </cell>
          <cell r="AB412" t="str">
            <v>No</v>
          </cell>
          <cell r="AC412" t="str">
            <v>31/08/2013</v>
          </cell>
          <cell r="AD412" t="str">
            <v>Good</v>
          </cell>
          <cell r="AE412" t="str">
            <v>V4 - Decommissioned Installed Facility</v>
          </cell>
          <cell r="AF412">
            <v>42235</v>
          </cell>
          <cell r="AG412">
            <v>9.17</v>
          </cell>
          <cell r="AH412" t="str">
            <v>PPM</v>
          </cell>
          <cell r="AI412" t="str">
            <v>strands</v>
          </cell>
          <cell r="AJ412" t="str">
            <v>Strands PW. Proposed for V4 P2.23</v>
          </cell>
          <cell r="AK412" t="str">
            <v>[22/9/2023, SHARIFAH]: PEP ON NOV 2020, BER/BEMS/AWSB/20/005 - Aset masih boleh digunakan namun asset tidak ekonomik diperbaiki lagi sekiranya rosak.</v>
          </cell>
        </row>
        <row r="413">
          <cell r="A413" t="str">
            <v>IKN400794</v>
          </cell>
          <cell r="B413">
            <v>794</v>
          </cell>
          <cell r="C413" t="str">
            <v>Institut Kanser Negara</v>
          </cell>
          <cell r="D413" t="str">
            <v>KKM/IKN/H/13/3940</v>
          </cell>
          <cell r="E413" t="str">
            <v>18-108</v>
          </cell>
          <cell r="F413" t="str">
            <v>Scanning Systems, Magnetic Resonance Imaging, Full-Body</v>
          </cell>
          <cell r="G413" t="str">
            <v>ID</v>
          </cell>
          <cell r="H413" t="str">
            <v>IMAGING DEPARTMENT</v>
          </cell>
          <cell r="I413" t="str">
            <v>03ID111</v>
          </cell>
          <cell r="J413" t="str">
            <v>M.R.I (VE)</v>
          </cell>
          <cell r="K413" t="str">
            <v>BMED</v>
          </cell>
          <cell r="L413" t="str">
            <v>Normal</v>
          </cell>
          <cell r="M413" t="str">
            <v>Germany</v>
          </cell>
          <cell r="N413" t="str">
            <v>Magnetom</v>
          </cell>
          <cell r="O413" t="str">
            <v>Magnetom Verio</v>
          </cell>
          <cell r="P413" t="str">
            <v>62009</v>
          </cell>
          <cell r="Q413" t="str">
            <v>Not Applicable</v>
          </cell>
          <cell r="R413" t="str">
            <v>Siemens Medical Systems</v>
          </cell>
          <cell r="S413" t="str">
            <v>Metro Jendela Sdn Bhd</v>
          </cell>
          <cell r="T413" t="str">
            <v>Functioning</v>
          </cell>
          <cell r="U413" t="str">
            <v>Asset</v>
          </cell>
          <cell r="V413">
            <v>11586530</v>
          </cell>
          <cell r="W413" t="str">
            <v>KEW</v>
          </cell>
          <cell r="X413" t="str">
            <v>01/09/2010</v>
          </cell>
          <cell r="Y413" t="str">
            <v>KEW</v>
          </cell>
          <cell r="Z413" t="str">
            <v>16/08/2013</v>
          </cell>
          <cell r="AA413" t="str">
            <v>15/08/2015</v>
          </cell>
          <cell r="AB413" t="str">
            <v>No</v>
          </cell>
          <cell r="AC413" t="str">
            <v>31/08/2013</v>
          </cell>
          <cell r="AD413" t="str">
            <v>Good</v>
          </cell>
          <cell r="AE413" t="str">
            <v>V4 - Decommissioned Installed Facility</v>
          </cell>
          <cell r="AF413" t="str">
            <v>19/8/2015 - 04/08/2024</v>
          </cell>
          <cell r="AG413">
            <v>9.17</v>
          </cell>
          <cell r="AH413" t="str">
            <v>PPM</v>
          </cell>
          <cell r="AI413" t="str">
            <v>Strands</v>
          </cell>
          <cell r="AJ413" t="str">
            <v>Strands Package</v>
          </cell>
          <cell r="AK413" t="str">
            <v>Package Code XJ0007. SNF V4 received on 4/8/2024.</v>
          </cell>
        </row>
        <row r="414">
          <cell r="A414" t="str">
            <v>IKN400812</v>
          </cell>
          <cell r="B414">
            <v>812</v>
          </cell>
          <cell r="C414" t="str">
            <v>Institut Kanser Negara</v>
          </cell>
          <cell r="E414" t="str">
            <v>11-134</v>
          </cell>
          <cell r="F414" t="str">
            <v>Defibrillators, External, Manual</v>
          </cell>
          <cell r="G414" t="str">
            <v>RT</v>
          </cell>
          <cell r="H414" t="str">
            <v>RADIATION TREATMENT UNIT</v>
          </cell>
          <cell r="I414" t="str">
            <v>01RT237</v>
          </cell>
          <cell r="J414" t="str">
            <v>N/S</v>
          </cell>
          <cell r="K414" t="str">
            <v>BMED</v>
          </cell>
          <cell r="L414" t="str">
            <v>Critical</v>
          </cell>
          <cell r="M414" t="str">
            <v>USA</v>
          </cell>
          <cell r="N414" t="str">
            <v>Responder</v>
          </cell>
          <cell r="O414" t="str">
            <v>Responder 2000</v>
          </cell>
          <cell r="P414" t="str">
            <v>3206738</v>
          </cell>
          <cell r="Q414" t="str">
            <v>Not Applicable</v>
          </cell>
          <cell r="R414" t="str">
            <v>GE Medical Systems</v>
          </cell>
          <cell r="S414" t="str">
            <v>Antah Sir Radin Sdn. Bhd.</v>
          </cell>
          <cell r="T414" t="str">
            <v>Functioning</v>
          </cell>
          <cell r="U414" t="str">
            <v>Asset</v>
          </cell>
          <cell r="V414">
            <v>45000</v>
          </cell>
          <cell r="W414" t="str">
            <v>Estimate</v>
          </cell>
          <cell r="X414" t="str">
            <v>01/09/2010</v>
          </cell>
          <cell r="Y414" t="str">
            <v>KEW</v>
          </cell>
          <cell r="Z414" t="str">
            <v>16/08/2013</v>
          </cell>
          <cell r="AA414" t="str">
            <v>15/08/2015</v>
          </cell>
          <cell r="AB414" t="str">
            <v>No</v>
          </cell>
          <cell r="AC414" t="str">
            <v>31/08/2013</v>
          </cell>
          <cell r="AD414" t="str">
            <v>Good</v>
          </cell>
          <cell r="AE414" t="str">
            <v>V1 - Existing / No Claim</v>
          </cell>
          <cell r="AF414">
            <v>42605</v>
          </cell>
          <cell r="AG414">
            <v>9.17</v>
          </cell>
          <cell r="AH414" t="str">
            <v>PPM</v>
          </cell>
          <cell r="AI414" t="str">
            <v>Not in contract</v>
          </cell>
        </row>
        <row r="415">
          <cell r="A415" t="str">
            <v>IKN400852</v>
          </cell>
          <cell r="B415">
            <v>852</v>
          </cell>
          <cell r="C415" t="str">
            <v>Institut Kanser Negara</v>
          </cell>
          <cell r="D415" t="e">
            <v>#N/A</v>
          </cell>
          <cell r="E415" t="str">
            <v>18-231</v>
          </cell>
          <cell r="F415" t="str">
            <v>Electrosurgical Units, Monopolar/Bipolar</v>
          </cell>
          <cell r="G415" t="str">
            <v>RT</v>
          </cell>
          <cell r="H415" t="str">
            <v>RADIATION TREATMENT UNIT</v>
          </cell>
          <cell r="I415" t="str">
            <v>01RT278</v>
          </cell>
          <cell r="J415" t="str">
            <v>BRACHY OT 2</v>
          </cell>
          <cell r="K415" t="str">
            <v>BMED</v>
          </cell>
          <cell r="L415" t="str">
            <v>Critical</v>
          </cell>
          <cell r="M415" t="str">
            <v>Germany</v>
          </cell>
          <cell r="N415" t="str">
            <v>ERBE</v>
          </cell>
          <cell r="O415" t="str">
            <v>Erbe VIO 100 C</v>
          </cell>
          <cell r="P415" t="str">
            <v>11341789</v>
          </cell>
          <cell r="Q415" t="str">
            <v>Not Applicable</v>
          </cell>
          <cell r="R415" t="str">
            <v>ERBE Electromedizin GmbH</v>
          </cell>
          <cell r="S415" t="str">
            <v>AVRO Medical Sdn. Bhd.</v>
          </cell>
          <cell r="T415" t="str">
            <v>Not In Use</v>
          </cell>
          <cell r="U415" t="str">
            <v>Asset</v>
          </cell>
          <cell r="V415">
            <v>23580</v>
          </cell>
          <cell r="W415" t="str">
            <v>KEW</v>
          </cell>
          <cell r="X415" t="str">
            <v>01/09/2010</v>
          </cell>
          <cell r="Y415" t="str">
            <v>KEW</v>
          </cell>
          <cell r="Z415" t="str">
            <v>16/08/2013</v>
          </cell>
          <cell r="AA415" t="str">
            <v>15/08/2015</v>
          </cell>
          <cell r="AB415" t="str">
            <v>No</v>
          </cell>
          <cell r="AC415" t="str">
            <v>31/08/2013</v>
          </cell>
          <cell r="AD415" t="str">
            <v>Request for Exemption</v>
          </cell>
          <cell r="AE415" t="str">
            <v>V4 - Decommissioned Installed Facility</v>
          </cell>
          <cell r="AF415">
            <v>43059</v>
          </cell>
          <cell r="AG415">
            <v>9.17</v>
          </cell>
          <cell r="AH415" t="str">
            <v>PPM</v>
          </cell>
          <cell r="AI415" t="str">
            <v>Not in contract</v>
          </cell>
          <cell r="AJ415" t="str">
            <v>Not in contract</v>
          </cell>
          <cell r="AK415" t="e">
            <v>#N/A</v>
          </cell>
        </row>
        <row r="416">
          <cell r="A416" t="str">
            <v>IKN400854</v>
          </cell>
          <cell r="B416">
            <v>854</v>
          </cell>
          <cell r="C416" t="str">
            <v>Institut Kanser Negara</v>
          </cell>
          <cell r="D416" t="e">
            <v>#N/A</v>
          </cell>
          <cell r="E416" t="str">
            <v>12-539</v>
          </cell>
          <cell r="F416" t="str">
            <v>Microscopes, Light, Operating</v>
          </cell>
          <cell r="G416" t="str">
            <v>RT</v>
          </cell>
          <cell r="H416" t="str">
            <v>RADIATION TREATMENT UNIT</v>
          </cell>
          <cell r="I416" t="str">
            <v>01RT278</v>
          </cell>
          <cell r="J416" t="str">
            <v>BRACHY OT 2</v>
          </cell>
          <cell r="K416" t="str">
            <v>BMED</v>
          </cell>
          <cell r="L416" t="str">
            <v>Critical</v>
          </cell>
          <cell r="M416" t="str">
            <v>Singapore</v>
          </cell>
          <cell r="N416" t="str">
            <v>Leica</v>
          </cell>
          <cell r="O416" t="str">
            <v>Leica M822 F20</v>
          </cell>
          <cell r="P416" t="str">
            <v>Z10812002</v>
          </cell>
          <cell r="Q416" t="str">
            <v>Not Applicable</v>
          </cell>
          <cell r="R416" t="str">
            <v>Leica Microsystems AG</v>
          </cell>
          <cell r="S416" t="str">
            <v>Schmidt Biomedtech Sdn. Bhd.</v>
          </cell>
          <cell r="T416" t="str">
            <v>Disposed</v>
          </cell>
          <cell r="U416" t="str">
            <v>Asset</v>
          </cell>
          <cell r="V416">
            <v>481150</v>
          </cell>
          <cell r="W416" t="str">
            <v>KEW</v>
          </cell>
          <cell r="X416" t="str">
            <v>01/09/2010</v>
          </cell>
          <cell r="Y416" t="str">
            <v>KEW</v>
          </cell>
          <cell r="Z416" t="str">
            <v>16/08/2013</v>
          </cell>
          <cell r="AA416" t="str">
            <v>15/08/2015</v>
          </cell>
          <cell r="AB416" t="str">
            <v>No</v>
          </cell>
          <cell r="AC416" t="str">
            <v>31/08/2013</v>
          </cell>
          <cell r="AD416" t="str">
            <v>Good</v>
          </cell>
          <cell r="AE416" t="str">
            <v>V4 - Decommissioned Installed Facility</v>
          </cell>
          <cell r="AF416">
            <v>42622</v>
          </cell>
          <cell r="AG416">
            <v>9.17</v>
          </cell>
          <cell r="AH416" t="str">
            <v>PPM</v>
          </cell>
          <cell r="AI416" t="str">
            <v>Not in contract</v>
          </cell>
          <cell r="AJ416" t="str">
            <v>Not in contract</v>
          </cell>
          <cell r="AK416" t="e">
            <v>#N/A</v>
          </cell>
        </row>
        <row r="417">
          <cell r="A417" t="str">
            <v>IKN400855</v>
          </cell>
          <cell r="B417">
            <v>855</v>
          </cell>
          <cell r="C417" t="str">
            <v>Institut Kanser Negara</v>
          </cell>
          <cell r="D417" t="str">
            <v>KKM/IKN/H/13/4886</v>
          </cell>
          <cell r="E417" t="str">
            <v>15-177</v>
          </cell>
          <cell r="F417" t="str">
            <v>Sedimentation Rate Units</v>
          </cell>
          <cell r="G417" t="str">
            <v>LA</v>
          </cell>
          <cell r="H417" t="str">
            <v>PATHOLOGY</v>
          </cell>
          <cell r="I417" t="str">
            <v>04LA132</v>
          </cell>
          <cell r="J417" t="str">
            <v>HAEMATOLOGY LAB 2</v>
          </cell>
          <cell r="K417" t="str">
            <v>BMED</v>
          </cell>
          <cell r="L417" t="str">
            <v>Normal</v>
          </cell>
          <cell r="M417" t="str">
            <v>USA</v>
          </cell>
          <cell r="N417" t="str">
            <v>ESR-Auto Plus</v>
          </cell>
          <cell r="O417" t="str">
            <v>ESR-Auto Plus</v>
          </cell>
          <cell r="P417" t="str">
            <v>506-0456</v>
          </cell>
          <cell r="Q417" t="str">
            <v>Not Applicable</v>
          </cell>
          <cell r="R417" t="str">
            <v>Streck Labotatories Inc</v>
          </cell>
          <cell r="S417" t="str">
            <v>All Eights (M) Sdn Bhd</v>
          </cell>
          <cell r="T417" t="str">
            <v>Functioning</v>
          </cell>
          <cell r="U417" t="str">
            <v>Asset</v>
          </cell>
          <cell r="V417">
            <v>19250</v>
          </cell>
          <cell r="W417" t="str">
            <v>KEW</v>
          </cell>
          <cell r="X417" t="str">
            <v>01/09/2010</v>
          </cell>
          <cell r="Y417" t="str">
            <v>KEW</v>
          </cell>
          <cell r="Z417" t="str">
            <v>16/08/2013</v>
          </cell>
          <cell r="AA417" t="str">
            <v>15/08/2015</v>
          </cell>
          <cell r="AB417" t="str">
            <v>No</v>
          </cell>
          <cell r="AC417" t="str">
            <v>31/08/2013</v>
          </cell>
          <cell r="AD417" t="str">
            <v>Good</v>
          </cell>
          <cell r="AE417" t="str">
            <v>V1 - Existing / No Claim</v>
          </cell>
          <cell r="AF417">
            <v>43209</v>
          </cell>
          <cell r="AG417">
            <v>9.17</v>
          </cell>
          <cell r="AH417" t="str">
            <v>PPM</v>
          </cell>
          <cell r="AI417" t="str">
            <v>Strands</v>
          </cell>
          <cell r="AJ417" t="str">
            <v>Strands PW</v>
          </cell>
          <cell r="AK417" t="str">
            <v>PEP 13/7/2024</v>
          </cell>
        </row>
        <row r="418">
          <cell r="A418" t="str">
            <v>IKN400856</v>
          </cell>
          <cell r="B418">
            <v>856</v>
          </cell>
          <cell r="C418" t="str">
            <v>Institut Kanser Negara</v>
          </cell>
          <cell r="D418" t="str">
            <v>KKM/IKN/H/13/4887</v>
          </cell>
          <cell r="E418" t="str">
            <v>15-177</v>
          </cell>
          <cell r="F418" t="str">
            <v>Sedimentation Rate Units</v>
          </cell>
          <cell r="G418" t="str">
            <v>LA</v>
          </cell>
          <cell r="H418" t="str">
            <v>PATHOLOGY</v>
          </cell>
          <cell r="I418" t="str">
            <v>04LA132</v>
          </cell>
          <cell r="J418" t="str">
            <v>HAEMATOLOGY LAB 2</v>
          </cell>
          <cell r="K418" t="str">
            <v>BMED</v>
          </cell>
          <cell r="L418" t="str">
            <v>Normal</v>
          </cell>
          <cell r="M418" t="str">
            <v>USA</v>
          </cell>
          <cell r="N418" t="str">
            <v>ESR-Auto Plus</v>
          </cell>
          <cell r="O418" t="str">
            <v>ESR-Auto Plus</v>
          </cell>
          <cell r="P418" t="str">
            <v>506-1092</v>
          </cell>
          <cell r="Q418" t="str">
            <v>Not Applicable</v>
          </cell>
          <cell r="R418" t="str">
            <v>Streck Labotatories Inc</v>
          </cell>
          <cell r="S418" t="str">
            <v>All Eights (M) Sdn Bhd</v>
          </cell>
          <cell r="T418" t="str">
            <v>Functioning</v>
          </cell>
          <cell r="U418" t="str">
            <v>Asset</v>
          </cell>
          <cell r="V418">
            <v>19250</v>
          </cell>
          <cell r="W418" t="str">
            <v>KEW</v>
          </cell>
          <cell r="X418" t="str">
            <v>01/09/2010</v>
          </cell>
          <cell r="Y418" t="str">
            <v>KEW</v>
          </cell>
          <cell r="Z418" t="str">
            <v>16/08/2013</v>
          </cell>
          <cell r="AA418" t="str">
            <v>15/08/2015</v>
          </cell>
          <cell r="AB418" t="str">
            <v>No</v>
          </cell>
          <cell r="AC418" t="str">
            <v>31/08/2013</v>
          </cell>
          <cell r="AD418" t="str">
            <v>Good</v>
          </cell>
          <cell r="AE418" t="str">
            <v>V1 - Existing / No Claim</v>
          </cell>
          <cell r="AF418">
            <v>43209</v>
          </cell>
          <cell r="AG418">
            <v>9.17</v>
          </cell>
          <cell r="AH418" t="str">
            <v>PPM</v>
          </cell>
          <cell r="AI418" t="str">
            <v>Strands</v>
          </cell>
          <cell r="AJ418" t="str">
            <v>Strands PW. Proposed for V4 P2.23</v>
          </cell>
          <cell r="AK418" t="str">
            <v>[18/9/2023, SHARIFAH]: PEP (PEP salah nombor KKM) ON 8/8/2023, BER/BEMS/IKN/23/008 - Aset mengalami kerosakan pada scanner.</v>
          </cell>
        </row>
        <row r="419">
          <cell r="A419" t="str">
            <v>IKN400857</v>
          </cell>
          <cell r="B419">
            <v>857</v>
          </cell>
          <cell r="C419" t="str">
            <v>Institut Kanser Negara</v>
          </cell>
          <cell r="D419" t="e">
            <v>#N/A</v>
          </cell>
          <cell r="E419" t="str">
            <v>17-808</v>
          </cell>
          <cell r="F419" t="str">
            <v>Lasers, Diode, Ophthalmic</v>
          </cell>
          <cell r="G419" t="str">
            <v>RT</v>
          </cell>
          <cell r="H419" t="str">
            <v>RADIATION TREATMENT UNIT</v>
          </cell>
          <cell r="I419" t="str">
            <v>01RT278</v>
          </cell>
          <cell r="J419" t="str">
            <v>BRACHY OT 2</v>
          </cell>
          <cell r="K419" t="str">
            <v>BMED</v>
          </cell>
          <cell r="L419" t="str">
            <v>Normal</v>
          </cell>
          <cell r="M419" t="str">
            <v>USA</v>
          </cell>
          <cell r="N419" t="str">
            <v>Iridex</v>
          </cell>
          <cell r="O419" t="str">
            <v>Iridex IQ810</v>
          </cell>
          <cell r="P419" t="str">
            <v>60422</v>
          </cell>
          <cell r="Q419" t="str">
            <v>Not Applicable</v>
          </cell>
          <cell r="R419" t="str">
            <v>Iridex Corp</v>
          </cell>
          <cell r="S419" t="str">
            <v>Mandarin Opto-Medic</v>
          </cell>
          <cell r="T419" t="str">
            <v>Disposed</v>
          </cell>
          <cell r="U419" t="str">
            <v>Asset</v>
          </cell>
          <cell r="V419">
            <v>222530</v>
          </cell>
          <cell r="W419" t="str">
            <v>KEW</v>
          </cell>
          <cell r="X419" t="str">
            <v>01/09/2010</v>
          </cell>
          <cell r="Y419" t="str">
            <v>KEW</v>
          </cell>
          <cell r="Z419" t="str">
            <v>16/08/2013</v>
          </cell>
          <cell r="AA419" t="str">
            <v>15/08/2015</v>
          </cell>
          <cell r="AB419" t="str">
            <v>No</v>
          </cell>
          <cell r="AC419" t="str">
            <v>31/08/2013</v>
          </cell>
          <cell r="AD419" t="str">
            <v>Good</v>
          </cell>
          <cell r="AE419" t="str">
            <v>V4 - Decommissioned Installed Facility</v>
          </cell>
          <cell r="AF419">
            <v>42622</v>
          </cell>
          <cell r="AG419">
            <v>9.17</v>
          </cell>
          <cell r="AH419" t="str">
            <v>PPM</v>
          </cell>
          <cell r="AI419" t="str">
            <v>Not in contract</v>
          </cell>
          <cell r="AJ419" t="str">
            <v>Not in contract</v>
          </cell>
          <cell r="AK419" t="e">
            <v>#N/A</v>
          </cell>
        </row>
        <row r="420">
          <cell r="A420" t="str">
            <v>IKN400862</v>
          </cell>
          <cell r="B420">
            <v>861</v>
          </cell>
          <cell r="C420" t="str">
            <v>Institut Kanser Negara</v>
          </cell>
          <cell r="E420" t="str">
            <v>18-037</v>
          </cell>
          <cell r="F420" t="str">
            <v>Video Image Processors</v>
          </cell>
          <cell r="G420" t="str">
            <v>MC</v>
          </cell>
          <cell r="H420" t="str">
            <v>MULTI-DISCIPLINE CLINIC</v>
          </cell>
          <cell r="I420" t="str">
            <v>03MC108</v>
          </cell>
          <cell r="J420" t="str">
            <v>TREATMENT/PROCEDURE</v>
          </cell>
          <cell r="K420" t="str">
            <v>BMED</v>
          </cell>
          <cell r="L420" t="str">
            <v>Critical</v>
          </cell>
          <cell r="M420" t="str">
            <v>Taiwan</v>
          </cell>
          <cell r="N420" t="str">
            <v>Medicapture</v>
          </cell>
          <cell r="O420" t="str">
            <v>Medicapture USB 300</v>
          </cell>
          <cell r="P420" t="str">
            <v>3012241</v>
          </cell>
          <cell r="Q420" t="str">
            <v>Not Applicable</v>
          </cell>
          <cell r="R420" t="str">
            <v>Medicapture Inc</v>
          </cell>
          <cell r="S420" t="str">
            <v>Schmidt Biomedtech Sdn. Bhd.</v>
          </cell>
          <cell r="T420" t="str">
            <v>Disposed</v>
          </cell>
          <cell r="U420" t="str">
            <v>Asset</v>
          </cell>
          <cell r="V420">
            <v>20000</v>
          </cell>
          <cell r="W420" t="str">
            <v>Estimate</v>
          </cell>
          <cell r="X420" t="str">
            <v>01/09/2010</v>
          </cell>
          <cell r="Y420" t="str">
            <v>KEW</v>
          </cell>
          <cell r="Z420" t="str">
            <v>16/08/2013</v>
          </cell>
          <cell r="AA420" t="str">
            <v>15/08/2015</v>
          </cell>
          <cell r="AB420" t="str">
            <v>No</v>
          </cell>
          <cell r="AC420" t="str">
            <v>31/08/2013</v>
          </cell>
          <cell r="AD420" t="str">
            <v>Request for Exemption</v>
          </cell>
          <cell r="AE420" t="str">
            <v>V4 - Decommissioned Installed Facility</v>
          </cell>
          <cell r="AF420">
            <v>42740</v>
          </cell>
          <cell r="AG420">
            <v>9.17</v>
          </cell>
          <cell r="AH420" t="str">
            <v>PPM</v>
          </cell>
          <cell r="AI420" t="str">
            <v>Not in contract</v>
          </cell>
          <cell r="AJ420" t="str">
            <v>Not in contract</v>
          </cell>
        </row>
        <row r="421">
          <cell r="A421" t="str">
            <v>IKN400921</v>
          </cell>
          <cell r="B421">
            <v>920</v>
          </cell>
          <cell r="C421" t="str">
            <v>Institut Kanser Negara</v>
          </cell>
          <cell r="D421" t="str">
            <v>KKM/IKN/H/13/562</v>
          </cell>
          <cell r="E421" t="str">
            <v>12-815</v>
          </cell>
          <cell r="F421" t="str">
            <v>Ophthalmoscopes</v>
          </cell>
          <cell r="G421" t="str">
            <v>MC</v>
          </cell>
          <cell r="H421" t="str">
            <v>MULTI-DISCIPLINE CLINIC</v>
          </cell>
          <cell r="I421" t="str">
            <v>03MC118</v>
          </cell>
          <cell r="J421" t="str">
            <v>C/E 5</v>
          </cell>
          <cell r="K421" t="str">
            <v>BMED</v>
          </cell>
          <cell r="L421" t="str">
            <v>Normal</v>
          </cell>
          <cell r="M421" t="str">
            <v>USA</v>
          </cell>
          <cell r="N421" t="str">
            <v>Welch Allyn</v>
          </cell>
          <cell r="O421" t="str">
            <v>Welch Allyn 767</v>
          </cell>
          <cell r="P421" t="str">
            <v>767-01</v>
          </cell>
          <cell r="Q421" t="str">
            <v>Not Applicable</v>
          </cell>
          <cell r="R421" t="str">
            <v>Welch Allyn Inc</v>
          </cell>
          <cell r="S421" t="str">
            <v>Welch Allyn Malaysia Sdn Bhd</v>
          </cell>
          <cell r="T421" t="str">
            <v>Functioning</v>
          </cell>
          <cell r="U421" t="str">
            <v>Asset</v>
          </cell>
          <cell r="V421">
            <v>5773</v>
          </cell>
          <cell r="W421" t="str">
            <v>KEW</v>
          </cell>
          <cell r="X421" t="str">
            <v>01/09/2010</v>
          </cell>
          <cell r="Y421" t="str">
            <v>KEW</v>
          </cell>
          <cell r="Z421" t="str">
            <v>16/08/2013</v>
          </cell>
          <cell r="AA421" t="str">
            <v>15/08/2015</v>
          </cell>
          <cell r="AB421" t="str">
            <v>No</v>
          </cell>
          <cell r="AC421" t="str">
            <v>31/08/2013</v>
          </cell>
          <cell r="AD421" t="str">
            <v>Good</v>
          </cell>
          <cell r="AE421" t="str">
            <v>V4 - Decommissioned Installed Facility</v>
          </cell>
          <cell r="AF421">
            <v>42800</v>
          </cell>
          <cell r="AG421">
            <v>9.17</v>
          </cell>
          <cell r="AH421" t="str">
            <v>RI</v>
          </cell>
          <cell r="AJ421" t="str">
            <v>Strands PW. Proposed for V4 P2.23</v>
          </cell>
        </row>
        <row r="422">
          <cell r="A422" t="str">
            <v>IKN400922</v>
          </cell>
          <cell r="B422">
            <v>921</v>
          </cell>
          <cell r="C422" t="str">
            <v>Institut Kanser Negara</v>
          </cell>
          <cell r="D422" t="str">
            <v>KKM/IKN/H/13/564</v>
          </cell>
          <cell r="E422" t="str">
            <v>12-815</v>
          </cell>
          <cell r="F422" t="str">
            <v>Ophthalmoscopes</v>
          </cell>
          <cell r="G422" t="str">
            <v>MC</v>
          </cell>
          <cell r="H422" t="str">
            <v>MULTI-DISCIPLINE CLINIC</v>
          </cell>
          <cell r="I422" t="str">
            <v>03MC119</v>
          </cell>
          <cell r="J422" t="str">
            <v>C/E 4</v>
          </cell>
          <cell r="K422" t="str">
            <v>BMED</v>
          </cell>
          <cell r="L422" t="str">
            <v>Normal</v>
          </cell>
          <cell r="M422" t="str">
            <v>USA</v>
          </cell>
          <cell r="N422" t="str">
            <v>Welch Allyn</v>
          </cell>
          <cell r="O422" t="str">
            <v>Welch Allyn 767</v>
          </cell>
          <cell r="P422" t="str">
            <v>767-02</v>
          </cell>
          <cell r="Q422" t="str">
            <v>Not Applicable</v>
          </cell>
          <cell r="R422" t="str">
            <v>Welch Allyn Inc</v>
          </cell>
          <cell r="S422" t="str">
            <v>Welch Allyn Malaysia Sdn Bhd</v>
          </cell>
          <cell r="T422" t="str">
            <v>Functioning</v>
          </cell>
          <cell r="U422" t="str">
            <v>Asset</v>
          </cell>
          <cell r="V422">
            <v>5773</v>
          </cell>
          <cell r="W422" t="str">
            <v>KEW</v>
          </cell>
          <cell r="X422" t="str">
            <v>01/09/2010</v>
          </cell>
          <cell r="Y422" t="str">
            <v>KEW</v>
          </cell>
          <cell r="Z422" t="str">
            <v>16/08/2013</v>
          </cell>
          <cell r="AA422" t="str">
            <v>15/08/2015</v>
          </cell>
          <cell r="AB422" t="str">
            <v>No</v>
          </cell>
          <cell r="AC422" t="str">
            <v>31/08/2013</v>
          </cell>
          <cell r="AD422" t="str">
            <v>Good</v>
          </cell>
          <cell r="AE422" t="str">
            <v>V4 - Decommissioned Installed Facility</v>
          </cell>
          <cell r="AF422">
            <v>42800</v>
          </cell>
          <cell r="AG422">
            <v>9.17</v>
          </cell>
          <cell r="AH422" t="str">
            <v>RI</v>
          </cell>
          <cell r="AI422" t="str">
            <v>Strands</v>
          </cell>
          <cell r="AJ422" t="str">
            <v>Strands PW. Proposed for V4 P2.23</v>
          </cell>
        </row>
        <row r="423">
          <cell r="A423" t="str">
            <v>IKN400923</v>
          </cell>
          <cell r="B423">
            <v>922</v>
          </cell>
          <cell r="C423" t="str">
            <v>Institut Kanser Negara</v>
          </cell>
          <cell r="D423" t="str">
            <v>KKM/IKN/H/13/559</v>
          </cell>
          <cell r="E423" t="str">
            <v>12-815</v>
          </cell>
          <cell r="F423" t="str">
            <v>Ophthalmoscopes</v>
          </cell>
          <cell r="G423" t="str">
            <v>MC</v>
          </cell>
          <cell r="H423" t="str">
            <v>MULTI-DISCIPLINE CLINIC</v>
          </cell>
          <cell r="I423" t="str">
            <v>03MC121</v>
          </cell>
          <cell r="J423" t="str">
            <v>C/E 3</v>
          </cell>
          <cell r="K423" t="str">
            <v>BMED</v>
          </cell>
          <cell r="L423" t="str">
            <v>Normal</v>
          </cell>
          <cell r="M423" t="str">
            <v>USA</v>
          </cell>
          <cell r="N423" t="str">
            <v>Welch Allyn</v>
          </cell>
          <cell r="O423" t="str">
            <v>Welch Allyn 767</v>
          </cell>
          <cell r="P423" t="str">
            <v>767-03</v>
          </cell>
          <cell r="Q423" t="str">
            <v>Not Applicable</v>
          </cell>
          <cell r="R423" t="str">
            <v>Welch Allyn Inc</v>
          </cell>
          <cell r="S423" t="str">
            <v>Welch Allyn Malaysia Sdn Bhd</v>
          </cell>
          <cell r="T423" t="str">
            <v>Functioning</v>
          </cell>
          <cell r="U423" t="str">
            <v>Asset</v>
          </cell>
          <cell r="V423">
            <v>5773</v>
          </cell>
          <cell r="W423" t="str">
            <v>KEW</v>
          </cell>
          <cell r="X423" t="str">
            <v>01/09/2010</v>
          </cell>
          <cell r="Y423" t="str">
            <v>KEW</v>
          </cell>
          <cell r="Z423" t="str">
            <v>16/08/2013</v>
          </cell>
          <cell r="AA423" t="str">
            <v>15/08/2015</v>
          </cell>
          <cell r="AB423" t="str">
            <v>No</v>
          </cell>
          <cell r="AC423" t="str">
            <v>31/08/2013</v>
          </cell>
          <cell r="AD423" t="str">
            <v>Good</v>
          </cell>
          <cell r="AE423" t="str">
            <v>V4 - Decommissioned Installed Facility</v>
          </cell>
          <cell r="AF423">
            <v>42800</v>
          </cell>
          <cell r="AG423">
            <v>9.17</v>
          </cell>
          <cell r="AH423" t="str">
            <v>RI</v>
          </cell>
          <cell r="AI423" t="str">
            <v>Strands</v>
          </cell>
          <cell r="AJ423" t="str">
            <v>Strands PW. Proposed for V4 P2.23</v>
          </cell>
        </row>
        <row r="424">
          <cell r="A424" t="str">
            <v>IKN400924</v>
          </cell>
          <cell r="B424">
            <v>923</v>
          </cell>
          <cell r="C424" t="str">
            <v>Institut Kanser Negara</v>
          </cell>
          <cell r="D424" t="str">
            <v>KKM/IKN/H/13/561</v>
          </cell>
          <cell r="E424" t="str">
            <v>12-815</v>
          </cell>
          <cell r="F424" t="str">
            <v>Ophthalmoscopes</v>
          </cell>
          <cell r="G424" t="str">
            <v>MC</v>
          </cell>
          <cell r="H424" t="str">
            <v>MULTI-DISCIPLINE CLINIC</v>
          </cell>
          <cell r="I424" t="str">
            <v>03MC128</v>
          </cell>
          <cell r="J424" t="str">
            <v>C/E 2</v>
          </cell>
          <cell r="K424" t="str">
            <v>BMED</v>
          </cell>
          <cell r="L424" t="str">
            <v>Normal</v>
          </cell>
          <cell r="M424" t="str">
            <v>USA</v>
          </cell>
          <cell r="N424" t="str">
            <v>Welch Allyn</v>
          </cell>
          <cell r="O424" t="str">
            <v>Welch Allyn 767</v>
          </cell>
          <cell r="P424" t="str">
            <v>767-04</v>
          </cell>
          <cell r="Q424" t="str">
            <v>Not Applicable</v>
          </cell>
          <cell r="R424" t="str">
            <v>Welch Allyn Inc</v>
          </cell>
          <cell r="S424" t="str">
            <v>Welch Allyn Malaysia Sdn Bhd</v>
          </cell>
          <cell r="T424" t="str">
            <v>Functioning</v>
          </cell>
          <cell r="U424" t="str">
            <v>Asset</v>
          </cell>
          <cell r="V424">
            <v>5773</v>
          </cell>
          <cell r="W424" t="str">
            <v>KEW</v>
          </cell>
          <cell r="X424" t="str">
            <v>01/09/2010</v>
          </cell>
          <cell r="Y424" t="str">
            <v>KEW</v>
          </cell>
          <cell r="Z424" t="str">
            <v>16/08/2013</v>
          </cell>
          <cell r="AA424" t="str">
            <v>15/08/2015</v>
          </cell>
          <cell r="AB424" t="str">
            <v>No</v>
          </cell>
          <cell r="AC424" t="str">
            <v>31/08/2013</v>
          </cell>
          <cell r="AD424" t="str">
            <v>Good</v>
          </cell>
          <cell r="AE424" t="str">
            <v>V4 - Decommissioned Installed Facility</v>
          </cell>
          <cell r="AF424">
            <v>42800</v>
          </cell>
          <cell r="AG424">
            <v>9.17</v>
          </cell>
          <cell r="AH424" t="str">
            <v>RI</v>
          </cell>
          <cell r="AI424" t="str">
            <v>Strands</v>
          </cell>
          <cell r="AJ424" t="str">
            <v>Strands PW. Proposed for V4 P2.23</v>
          </cell>
        </row>
        <row r="425">
          <cell r="A425" t="str">
            <v>IKN400933</v>
          </cell>
          <cell r="B425">
            <v>932</v>
          </cell>
          <cell r="C425" t="str">
            <v>Institut Kanser Negara</v>
          </cell>
          <cell r="D425" t="str">
            <v>KKM/IKN/H/13/550</v>
          </cell>
          <cell r="E425" t="str">
            <v>12-818</v>
          </cell>
          <cell r="F425" t="str">
            <v>Ophthalmoscopes, Indirect</v>
          </cell>
          <cell r="G425" t="str">
            <v>MC</v>
          </cell>
          <cell r="H425" t="str">
            <v>MULTI-DISCIPLINE CLINIC</v>
          </cell>
          <cell r="I425" t="str">
            <v>03MC128</v>
          </cell>
          <cell r="J425" t="str">
            <v>C/E 2</v>
          </cell>
          <cell r="K425" t="str">
            <v>BMED</v>
          </cell>
          <cell r="L425" t="str">
            <v>Normal</v>
          </cell>
          <cell r="M425" t="str">
            <v>Germany</v>
          </cell>
          <cell r="N425" t="str">
            <v>Omega</v>
          </cell>
          <cell r="O425" t="str">
            <v>Omega 500 Unplugged</v>
          </cell>
          <cell r="P425" t="str">
            <v>1121000615</v>
          </cell>
          <cell r="Q425" t="str">
            <v>Not Applicable</v>
          </cell>
          <cell r="R425" t="str">
            <v>Heine Optotechnik GmbH &amp; Co KG</v>
          </cell>
          <cell r="S425" t="str">
            <v>Mandarin Opto-Medic</v>
          </cell>
          <cell r="T425" t="str">
            <v>Transferred</v>
          </cell>
          <cell r="U425" t="str">
            <v>Asset</v>
          </cell>
          <cell r="V425">
            <v>18890</v>
          </cell>
          <cell r="W425" t="str">
            <v>KEW</v>
          </cell>
          <cell r="X425" t="str">
            <v>01/09/2010</v>
          </cell>
          <cell r="Y425" t="str">
            <v>KEW</v>
          </cell>
          <cell r="Z425" t="str">
            <v>16/08/2013</v>
          </cell>
          <cell r="AA425" t="str">
            <v>15/08/2015</v>
          </cell>
          <cell r="AB425" t="str">
            <v>No</v>
          </cell>
          <cell r="AC425" t="str">
            <v>31/08/2013</v>
          </cell>
          <cell r="AD425" t="str">
            <v>Good</v>
          </cell>
          <cell r="AE425" t="str">
            <v>V1 - Existing / No Claim</v>
          </cell>
          <cell r="AF425">
            <v>43437</v>
          </cell>
          <cell r="AG425">
            <v>9.17</v>
          </cell>
          <cell r="AH425" t="str">
            <v>PPM</v>
          </cell>
          <cell r="AI425" t="str">
            <v>Strands</v>
          </cell>
          <cell r="AJ425" t="str">
            <v>Strands PW. Proposed V4 P1.24.</v>
          </cell>
          <cell r="AK425" t="str">
            <v>[1/3/2024, Sharifah]: Based on PPM 2017, Asset transfer to Hospital Lahad Datu, Sabah.</v>
          </cell>
        </row>
        <row r="426">
          <cell r="A426" t="str">
            <v>IKN400939</v>
          </cell>
          <cell r="B426">
            <v>938</v>
          </cell>
          <cell r="C426" t="str">
            <v>Institut Kanser Negara</v>
          </cell>
          <cell r="E426" t="str">
            <v>16-158</v>
          </cell>
          <cell r="F426" t="str">
            <v>Sphygmomanometers, Mercury</v>
          </cell>
          <cell r="G426" t="str">
            <v>MC</v>
          </cell>
          <cell r="H426" t="str">
            <v>MULTI-DISCIPLINE CLINIC</v>
          </cell>
          <cell r="I426" t="str">
            <v>03MC118</v>
          </cell>
          <cell r="J426" t="str">
            <v>C/E 5</v>
          </cell>
          <cell r="K426" t="str">
            <v>BMED</v>
          </cell>
          <cell r="L426" t="str">
            <v>Normal</v>
          </cell>
          <cell r="M426" t="str">
            <v>Germany</v>
          </cell>
          <cell r="N426" t="str">
            <v>Erka</v>
          </cell>
          <cell r="O426" t="str">
            <v>Erkameter 3000</v>
          </cell>
          <cell r="P426" t="str">
            <v>13500821</v>
          </cell>
          <cell r="Q426" t="str">
            <v>Not Applicable</v>
          </cell>
          <cell r="R426" t="str">
            <v>Erka GmbH &amp; Co</v>
          </cell>
          <cell r="S426" t="str">
            <v>Acucare Systems (M) Sdn bhd</v>
          </cell>
          <cell r="T426" t="str">
            <v>Functioning</v>
          </cell>
          <cell r="U426" t="str">
            <v>Asset</v>
          </cell>
          <cell r="V426">
            <v>505</v>
          </cell>
          <cell r="W426" t="str">
            <v>KEW</v>
          </cell>
          <cell r="X426" t="str">
            <v>01/09/2010</v>
          </cell>
          <cell r="Y426" t="str">
            <v>KEW</v>
          </cell>
          <cell r="Z426" t="str">
            <v>16/08/2013</v>
          </cell>
          <cell r="AA426" t="str">
            <v>15/08/2015</v>
          </cell>
          <cell r="AB426" t="str">
            <v>No</v>
          </cell>
          <cell r="AC426" t="str">
            <v>31/08/2013</v>
          </cell>
          <cell r="AD426" t="str">
            <v>Good</v>
          </cell>
          <cell r="AE426" t="str">
            <v>V4 - Decommissioned Installed Facility</v>
          </cell>
          <cell r="AF426">
            <v>42235</v>
          </cell>
          <cell r="AG426">
            <v>9.17</v>
          </cell>
          <cell r="AH426" t="str">
            <v>PPM</v>
          </cell>
          <cell r="AI426" t="str">
            <v>Not in contract</v>
          </cell>
          <cell r="AJ426" t="str">
            <v>Not under maintenance</v>
          </cell>
        </row>
        <row r="427">
          <cell r="A427" t="str">
            <v>IKN400953</v>
          </cell>
          <cell r="B427">
            <v>952</v>
          </cell>
          <cell r="C427" t="str">
            <v>Institut Kanser Negara</v>
          </cell>
          <cell r="D427" t="e">
            <v>#N/A</v>
          </cell>
          <cell r="E427" t="str">
            <v>16-173</v>
          </cell>
          <cell r="F427" t="str">
            <v>Sphygmomanometers, Electronic, Automatic</v>
          </cell>
          <cell r="G427" t="str">
            <v>RT</v>
          </cell>
          <cell r="H427" t="str">
            <v>RADIATION TREATMENT UNIT</v>
          </cell>
          <cell r="I427" t="str">
            <v>01RT110</v>
          </cell>
          <cell r="J427" t="str">
            <v>C/E 2</v>
          </cell>
          <cell r="K427" t="str">
            <v>BMED</v>
          </cell>
          <cell r="L427" t="str">
            <v>Normal</v>
          </cell>
          <cell r="M427" t="str">
            <v>USA</v>
          </cell>
          <cell r="N427" t="str">
            <v>Connex</v>
          </cell>
          <cell r="O427" t="str">
            <v>Connex ProBP 3400</v>
          </cell>
          <cell r="P427" t="str">
            <v>100000630413</v>
          </cell>
          <cell r="Q427" t="str">
            <v>Not Applicable</v>
          </cell>
          <cell r="R427" t="str">
            <v>Welch Allyn Inc</v>
          </cell>
          <cell r="S427" t="str">
            <v>Welch Allyn Malaysia Sdn Bhd</v>
          </cell>
          <cell r="T427" t="str">
            <v>Functioning</v>
          </cell>
          <cell r="U427" t="str">
            <v>Asset</v>
          </cell>
          <cell r="V427">
            <v>336</v>
          </cell>
          <cell r="W427" t="str">
            <v>KEW</v>
          </cell>
          <cell r="X427" t="str">
            <v>01/09/2010</v>
          </cell>
          <cell r="Y427" t="str">
            <v>KEW</v>
          </cell>
          <cell r="Z427" t="str">
            <v>16/08/2013</v>
          </cell>
          <cell r="AA427" t="str">
            <v>15/08/2015</v>
          </cell>
          <cell r="AB427" t="str">
            <v>No</v>
          </cell>
          <cell r="AC427" t="str">
            <v>31/08/2013</v>
          </cell>
          <cell r="AD427" t="str">
            <v>Good</v>
          </cell>
          <cell r="AE427" t="str">
            <v>V1 - Existing / No Claim</v>
          </cell>
          <cell r="AF427">
            <v>42235</v>
          </cell>
          <cell r="AG427">
            <v>9.17</v>
          </cell>
          <cell r="AH427" t="str">
            <v>PPM</v>
          </cell>
          <cell r="AI427" t="str">
            <v>Not in contract</v>
          </cell>
        </row>
        <row r="428">
          <cell r="A428" t="str">
            <v>IKN400972</v>
          </cell>
          <cell r="B428">
            <v>970</v>
          </cell>
          <cell r="C428" t="str">
            <v>Institut Kanser Negara</v>
          </cell>
          <cell r="D428" t="e">
            <v>#N/A</v>
          </cell>
          <cell r="E428" t="str">
            <v>17-148</v>
          </cell>
          <cell r="F428" t="str">
            <v>Oximeters, Pulse</v>
          </cell>
          <cell r="G428" t="str">
            <v>RT</v>
          </cell>
          <cell r="H428" t="str">
            <v>RADIATION TREATMENT UNIT</v>
          </cell>
          <cell r="I428" t="str">
            <v>01RT110</v>
          </cell>
          <cell r="J428" t="str">
            <v>C/E 2</v>
          </cell>
          <cell r="K428" t="str">
            <v>BMED</v>
          </cell>
          <cell r="L428" t="str">
            <v>Normal</v>
          </cell>
          <cell r="M428" t="str">
            <v>Finland</v>
          </cell>
          <cell r="N428" t="str">
            <v>Trusat</v>
          </cell>
          <cell r="O428" t="str">
            <v>Trusat</v>
          </cell>
          <cell r="P428" t="str">
            <v>FCC12430069SA</v>
          </cell>
          <cell r="Q428" t="str">
            <v>Not Applicable</v>
          </cell>
          <cell r="R428" t="str">
            <v>GE Healthcare Systems</v>
          </cell>
          <cell r="S428" t="str">
            <v>GE Healthcare Technologies</v>
          </cell>
          <cell r="T428" t="str">
            <v>Functioning</v>
          </cell>
          <cell r="U428" t="str">
            <v>Asset</v>
          </cell>
          <cell r="V428">
            <v>11120</v>
          </cell>
          <cell r="W428" t="str">
            <v>KEW</v>
          </cell>
          <cell r="X428" t="str">
            <v>01/09/2010</v>
          </cell>
          <cell r="Y428" t="str">
            <v>KEW</v>
          </cell>
          <cell r="Z428" t="str">
            <v>16/08/2013</v>
          </cell>
          <cell r="AA428" t="str">
            <v>15/08/2015</v>
          </cell>
          <cell r="AB428" t="str">
            <v>No</v>
          </cell>
          <cell r="AC428" t="str">
            <v>31/08/2013</v>
          </cell>
          <cell r="AD428" t="str">
            <v>Good</v>
          </cell>
          <cell r="AE428" t="str">
            <v>V1 - Existing / No Claim</v>
          </cell>
          <cell r="AF428">
            <v>42235</v>
          </cell>
          <cell r="AG428">
            <v>9.17</v>
          </cell>
          <cell r="AH428" t="str">
            <v>PPM</v>
          </cell>
          <cell r="AI428" t="str">
            <v>Not in contract</v>
          </cell>
        </row>
        <row r="429">
          <cell r="A429" t="str">
            <v>IKN400991</v>
          </cell>
          <cell r="B429">
            <v>989</v>
          </cell>
          <cell r="C429" t="str">
            <v>Institut Kanser Negara</v>
          </cell>
          <cell r="D429" t="str">
            <v>KKM/IKN/H/13/3001</v>
          </cell>
          <cell r="E429" t="str">
            <v>13-275</v>
          </cell>
          <cell r="F429" t="str">
            <v>Calibrators, Radioisotope</v>
          </cell>
          <cell r="G429" t="str">
            <v>NM</v>
          </cell>
          <cell r="H429" t="str">
            <v>NUCLEAR MED (DIAGNOSTIC)</v>
          </cell>
          <cell r="I429" t="str">
            <v>03NM166</v>
          </cell>
          <cell r="J429" t="str">
            <v>REPORTING</v>
          </cell>
          <cell r="K429" t="str">
            <v>BMED</v>
          </cell>
          <cell r="L429" t="str">
            <v>Normal</v>
          </cell>
          <cell r="M429" t="str">
            <v>USA</v>
          </cell>
          <cell r="N429" t="str">
            <v>Atomlab</v>
          </cell>
          <cell r="O429" t="str">
            <v>Atomlab 500 Plus</v>
          </cell>
          <cell r="P429" t="str">
            <v>11060309-E</v>
          </cell>
          <cell r="Q429" t="str">
            <v>Not Applicable</v>
          </cell>
          <cell r="R429" t="str">
            <v>Biodex Medical Systems Inc</v>
          </cell>
          <cell r="S429" t="str">
            <v>Not Available</v>
          </cell>
          <cell r="T429" t="str">
            <v>Functioning</v>
          </cell>
          <cell r="U429" t="str">
            <v>Asset</v>
          </cell>
          <cell r="V429">
            <v>60390</v>
          </cell>
          <cell r="W429" t="str">
            <v>Estimate</v>
          </cell>
          <cell r="X429" t="str">
            <v>01/09/2010</v>
          </cell>
          <cell r="Y429" t="str">
            <v>KEW</v>
          </cell>
          <cell r="Z429" t="str">
            <v>16/08/2013</v>
          </cell>
          <cell r="AA429" t="str">
            <v>15/08/2015</v>
          </cell>
          <cell r="AB429" t="str">
            <v>No</v>
          </cell>
          <cell r="AC429" t="str">
            <v>31/08/2013</v>
          </cell>
          <cell r="AD429" t="str">
            <v>Good</v>
          </cell>
          <cell r="AE429" t="str">
            <v>V1 - Existing / No Claim</v>
          </cell>
          <cell r="AF429" t="str">
            <v>2/10/2018 - 17/4/2024</v>
          </cell>
          <cell r="AG429">
            <v>9.17</v>
          </cell>
          <cell r="AH429" t="str">
            <v>PPM</v>
          </cell>
          <cell r="AI429" t="str">
            <v>package</v>
          </cell>
          <cell r="AJ429" t="str">
            <v>Not in contract</v>
          </cell>
          <cell r="AK429" t="str">
            <v>[SHARIFAH, 16/10/2023]: PEP ON 21/7/2023. BER/BEMS/IKN/22/001 - Aset mengalami kerosakan pada komponen utama iaitu reader dan asset ini tidak ekonomik diperbaiki lagi. SNF V4 received on 17/4/2024.</v>
          </cell>
        </row>
        <row r="430">
          <cell r="A430" t="str">
            <v>IKN400992</v>
          </cell>
          <cell r="B430">
            <v>990</v>
          </cell>
          <cell r="C430" t="str">
            <v>Institut Kanser Negara</v>
          </cell>
          <cell r="D430" t="str">
            <v>KKM/IKN/H/13/5151</v>
          </cell>
          <cell r="E430" t="str">
            <v>13-275</v>
          </cell>
          <cell r="F430" t="str">
            <v>Calibrators, Radioisotope</v>
          </cell>
          <cell r="G430" t="str">
            <v>WA</v>
          </cell>
          <cell r="H430" t="str">
            <v>NUCLEAR MED WARD (THERAPY)</v>
          </cell>
          <cell r="I430" t="str">
            <v>03WA125</v>
          </cell>
          <cell r="J430" t="str">
            <v>RADIOIODIN PREP (100% F.A.)</v>
          </cell>
          <cell r="K430" t="str">
            <v>BMED</v>
          </cell>
          <cell r="L430" t="str">
            <v>Normal</v>
          </cell>
          <cell r="M430" t="str">
            <v>USA</v>
          </cell>
          <cell r="N430" t="str">
            <v>Atomlab</v>
          </cell>
          <cell r="O430" t="str">
            <v>Atomlab 500</v>
          </cell>
          <cell r="P430" t="str">
            <v>13040805</v>
          </cell>
          <cell r="Q430" t="str">
            <v>Not Applicable</v>
          </cell>
          <cell r="R430" t="str">
            <v>Biodex Medical Systems Inc</v>
          </cell>
          <cell r="S430" t="str">
            <v>Not Available</v>
          </cell>
          <cell r="T430" t="str">
            <v>Functioning</v>
          </cell>
          <cell r="U430" t="str">
            <v>Asset</v>
          </cell>
          <cell r="V430">
            <v>60390</v>
          </cell>
          <cell r="W430" t="str">
            <v>KEW</v>
          </cell>
          <cell r="X430" t="str">
            <v>01/09/2010</v>
          </cell>
          <cell r="Y430" t="str">
            <v>KEW</v>
          </cell>
          <cell r="Z430" t="str">
            <v>16/08/2013</v>
          </cell>
          <cell r="AA430" t="str">
            <v>15/08/2015</v>
          </cell>
          <cell r="AB430" t="str">
            <v>No</v>
          </cell>
          <cell r="AC430" t="str">
            <v>31/08/2013</v>
          </cell>
          <cell r="AD430" t="str">
            <v>Good</v>
          </cell>
          <cell r="AE430" t="str">
            <v>V1 - Existing / No Claim</v>
          </cell>
          <cell r="AF430" t="str">
            <v>23/8/2016 - 1/12/2022</v>
          </cell>
          <cell r="AG430">
            <v>9.17</v>
          </cell>
          <cell r="AH430" t="str">
            <v>PPM</v>
          </cell>
          <cell r="AI430" t="str">
            <v>Strands</v>
          </cell>
          <cell r="AJ430" t="str">
            <v>Strands (V4 P1.23.)</v>
          </cell>
          <cell r="AK430" t="str">
            <v>[23/8/2023, Sharifah]: V4 P1.23</v>
          </cell>
        </row>
        <row r="431">
          <cell r="A431" t="str">
            <v>IKN400999</v>
          </cell>
          <cell r="B431">
            <v>997</v>
          </cell>
          <cell r="C431" t="str">
            <v>Institut Kanser Negara</v>
          </cell>
          <cell r="D431" t="str">
            <v>N/A</v>
          </cell>
          <cell r="E431" t="str">
            <v>17-679</v>
          </cell>
          <cell r="F431" t="str">
            <v>Laser Imagers</v>
          </cell>
          <cell r="G431" t="str">
            <v>NM</v>
          </cell>
          <cell r="H431" t="str">
            <v>NUCLEAR MED (DIAGNOSTIC)</v>
          </cell>
          <cell r="I431" t="str">
            <v>03NM166</v>
          </cell>
          <cell r="J431" t="str">
            <v>REPORTING</v>
          </cell>
          <cell r="K431" t="str">
            <v>BMED</v>
          </cell>
          <cell r="L431" t="str">
            <v>Normal</v>
          </cell>
          <cell r="M431" t="str">
            <v>USA</v>
          </cell>
          <cell r="N431" t="str">
            <v>DryPix</v>
          </cell>
          <cell r="O431" t="str">
            <v>DryPix Plus</v>
          </cell>
          <cell r="P431" t="str">
            <v>26510103</v>
          </cell>
          <cell r="Q431" t="str">
            <v>Not Applicable</v>
          </cell>
          <cell r="R431" t="str">
            <v>FujiFilm Corp</v>
          </cell>
          <cell r="S431" t="str">
            <v>Advance Altimas Sdn Bhd</v>
          </cell>
          <cell r="T431" t="str">
            <v>Functioning</v>
          </cell>
          <cell r="U431" t="str">
            <v>Asset</v>
          </cell>
          <cell r="V431">
            <v>80000</v>
          </cell>
          <cell r="W431" t="str">
            <v>Estimate</v>
          </cell>
          <cell r="X431" t="str">
            <v>01/09/2010</v>
          </cell>
          <cell r="Y431" t="str">
            <v>KEW</v>
          </cell>
          <cell r="Z431" t="str">
            <v>16/08/2013</v>
          </cell>
          <cell r="AA431" t="str">
            <v>15/08/2015</v>
          </cell>
          <cell r="AB431" t="str">
            <v>No</v>
          </cell>
          <cell r="AC431" t="str">
            <v>31/08/2013</v>
          </cell>
          <cell r="AD431" t="str">
            <v>Good</v>
          </cell>
          <cell r="AE431" t="str">
            <v>V1 - Existing / No Claim</v>
          </cell>
          <cell r="AF431">
            <v>42605</v>
          </cell>
          <cell r="AG431">
            <v>9.17</v>
          </cell>
          <cell r="AH431" t="str">
            <v>PPM</v>
          </cell>
          <cell r="AI431" t="str">
            <v>Strands</v>
          </cell>
          <cell r="AJ431" t="str">
            <v>Strands Package</v>
          </cell>
          <cell r="AK431" t="str">
            <v>Package Code XK0001A</v>
          </cell>
        </row>
        <row r="432">
          <cell r="A432" t="str">
            <v>IKN401006</v>
          </cell>
          <cell r="B432">
            <v>1004</v>
          </cell>
          <cell r="C432" t="str">
            <v>Institut Kanser Negara</v>
          </cell>
          <cell r="D432" t="str">
            <v>KKM/IKN/H/13/3888</v>
          </cell>
          <cell r="E432" t="str">
            <v>15-999</v>
          </cell>
          <cell r="F432" t="str">
            <v>Washers, Flexible Endoscope</v>
          </cell>
          <cell r="G432" t="str">
            <v>MC</v>
          </cell>
          <cell r="H432" t="str">
            <v>MULTI-DISCIPLINE CLINIC</v>
          </cell>
          <cell r="I432" t="str">
            <v>03MC111</v>
          </cell>
          <cell r="J432" t="str">
            <v>SCOPE WASH</v>
          </cell>
          <cell r="K432" t="str">
            <v>BMED</v>
          </cell>
          <cell r="L432" t="str">
            <v>Normal</v>
          </cell>
          <cell r="M432" t="str">
            <v>USA</v>
          </cell>
          <cell r="N432" t="str">
            <v>System</v>
          </cell>
          <cell r="O432" t="str">
            <v>System 1 Express</v>
          </cell>
          <cell r="P432" t="str">
            <v>20215</v>
          </cell>
          <cell r="Q432" t="str">
            <v>Not Applicable</v>
          </cell>
          <cell r="R432" t="str">
            <v>Steris Corp</v>
          </cell>
          <cell r="S432" t="str">
            <v>Maymedic Technology Sdn Bhd</v>
          </cell>
          <cell r="T432" t="str">
            <v>Functioning</v>
          </cell>
          <cell r="U432" t="str">
            <v>Asset</v>
          </cell>
          <cell r="V432">
            <v>168040</v>
          </cell>
          <cell r="W432" t="str">
            <v>KEW</v>
          </cell>
          <cell r="X432" t="str">
            <v>01/09/2010</v>
          </cell>
          <cell r="Y432" t="str">
            <v>KEW</v>
          </cell>
          <cell r="Z432" t="str">
            <v>16/08/2013</v>
          </cell>
          <cell r="AA432" t="str">
            <v>15/08/2015</v>
          </cell>
          <cell r="AB432" t="str">
            <v>No</v>
          </cell>
          <cell r="AC432" t="str">
            <v>31/08/2013</v>
          </cell>
          <cell r="AD432" t="str">
            <v>Good</v>
          </cell>
          <cell r="AE432" t="str">
            <v>V1 - Existing / No Claim</v>
          </cell>
          <cell r="AF432">
            <v>43063</v>
          </cell>
          <cell r="AG432">
            <v>9.17</v>
          </cell>
          <cell r="AH432" t="str">
            <v>PPM</v>
          </cell>
          <cell r="AI432" t="str">
            <v>Strands</v>
          </cell>
          <cell r="AJ432" t="str">
            <v>Strands PW</v>
          </cell>
          <cell r="AK432" t="str">
            <v>SJIJIL PEP  15/8/2024</v>
          </cell>
        </row>
        <row r="433">
          <cell r="A433" t="str">
            <v>IKN401015</v>
          </cell>
          <cell r="B433">
            <v>1013</v>
          </cell>
          <cell r="C433" t="str">
            <v>Institut Kanser Negara</v>
          </cell>
          <cell r="D433" t="str">
            <v>KKM/IKN/H/13/3934-01</v>
          </cell>
          <cell r="E433" t="str">
            <v>17-002</v>
          </cell>
          <cell r="F433" t="str">
            <v>Cameras, Video, Endoscope</v>
          </cell>
          <cell r="G433" t="str">
            <v>OT</v>
          </cell>
          <cell r="H433" t="str">
            <v>OPERATING THEATRE</v>
          </cell>
          <cell r="I433" t="str">
            <v>05OT167</v>
          </cell>
          <cell r="J433" t="str">
            <v>SCOPE WASH</v>
          </cell>
          <cell r="K433" t="str">
            <v>BMED</v>
          </cell>
          <cell r="L433" t="str">
            <v>Normal</v>
          </cell>
          <cell r="M433" t="str">
            <v>Germany</v>
          </cell>
          <cell r="N433" t="str">
            <v>Image 1</v>
          </cell>
          <cell r="O433" t="str">
            <v>Image 1 HUB 22201020</v>
          </cell>
          <cell r="P433" t="str">
            <v>WX698068-P</v>
          </cell>
          <cell r="Q433" t="str">
            <v>Not Applicable</v>
          </cell>
          <cell r="R433" t="str">
            <v>Karl Storz-Endoskope</v>
          </cell>
          <cell r="S433" t="str">
            <v>UMMI Surgical Sdn Bhd</v>
          </cell>
          <cell r="T433" t="str">
            <v>Functioning</v>
          </cell>
          <cell r="U433" t="str">
            <v>Asset</v>
          </cell>
          <cell r="V433">
            <v>60000</v>
          </cell>
          <cell r="W433" t="str">
            <v>Estimate</v>
          </cell>
          <cell r="X433" t="str">
            <v>01/09/2010</v>
          </cell>
          <cell r="Y433" t="str">
            <v>KEW</v>
          </cell>
          <cell r="Z433" t="str">
            <v>16/08/2013</v>
          </cell>
          <cell r="AA433" t="str">
            <v>15/08/2015</v>
          </cell>
          <cell r="AB433" t="str">
            <v>No</v>
          </cell>
          <cell r="AC433" t="str">
            <v>31/08/2013</v>
          </cell>
          <cell r="AD433" t="str">
            <v>Good</v>
          </cell>
          <cell r="AE433" t="str">
            <v>V1 - Existing / No Claim</v>
          </cell>
          <cell r="AF433">
            <v>42605</v>
          </cell>
          <cell r="AG433">
            <v>9.17</v>
          </cell>
          <cell r="AH433" t="str">
            <v>PPM</v>
          </cell>
          <cell r="AI433" t="str">
            <v>Strands</v>
          </cell>
          <cell r="AJ433" t="str">
            <v>Strands Package. Proposed for V4 P2.23</v>
          </cell>
          <cell r="AK433" t="str">
            <v>[Indira] Camera Head (Serial No: ZX807403-H), CAT No: 22220055 (Cable: SNNW808458-H). [18/9/2023, SHARIFAH]: PEP ON 8/8/2023, BER/BEMS/IKN/23/018 - Asset mengalami kerosakan pada camera head. Package Code EP0127</v>
          </cell>
        </row>
        <row r="434">
          <cell r="A434" t="str">
            <v>IKN401087</v>
          </cell>
          <cell r="B434">
            <v>1085</v>
          </cell>
          <cell r="C434" t="str">
            <v>Institut Kanser Negara</v>
          </cell>
          <cell r="D434" t="str">
            <v>KKM/IKN/H/13/4545</v>
          </cell>
          <cell r="E434" t="str">
            <v>12-647</v>
          </cell>
          <cell r="F434" t="str">
            <v>Physiologic Monitoring Systems, Acute Care</v>
          </cell>
          <cell r="G434" t="str">
            <v>AE</v>
          </cell>
          <cell r="H434" t="str">
            <v>EMERGENCY UNIT</v>
          </cell>
          <cell r="I434" t="str">
            <v>01AE108</v>
          </cell>
          <cell r="J434" t="str">
            <v>TRIAGE</v>
          </cell>
          <cell r="K434" t="str">
            <v>BMED</v>
          </cell>
          <cell r="L434" t="str">
            <v>Critical</v>
          </cell>
          <cell r="M434" t="str">
            <v>USA</v>
          </cell>
          <cell r="N434" t="str">
            <v>Propaq</v>
          </cell>
          <cell r="O434" t="str">
            <v>Propaq CS 242</v>
          </cell>
          <cell r="P434" t="str">
            <v>GA117269</v>
          </cell>
          <cell r="Q434" t="str">
            <v>Not Applicable</v>
          </cell>
          <cell r="R434" t="str">
            <v>Welch Allyn Inc</v>
          </cell>
          <cell r="S434" t="str">
            <v>Continental Top Products &amp; Engineering S</v>
          </cell>
          <cell r="T434" t="str">
            <v>Functioning</v>
          </cell>
          <cell r="U434" t="str">
            <v>Asset</v>
          </cell>
          <cell r="V434">
            <v>22000</v>
          </cell>
          <cell r="W434" t="str">
            <v>KEW</v>
          </cell>
          <cell r="X434" t="str">
            <v>23/12/2013</v>
          </cell>
          <cell r="Y434" t="str">
            <v>KEW</v>
          </cell>
          <cell r="Z434" t="str">
            <v>23/12/2013</v>
          </cell>
          <cell r="AA434" t="str">
            <v>22/12/2015</v>
          </cell>
          <cell r="AB434" t="str">
            <v>No</v>
          </cell>
          <cell r="AC434" t="str">
            <v>23/12/2013</v>
          </cell>
          <cell r="AD434" t="str">
            <v>Good</v>
          </cell>
          <cell r="AE434" t="str">
            <v>V3 - Added Installed Facilities (New)</v>
          </cell>
          <cell r="AF434">
            <v>42800</v>
          </cell>
          <cell r="AG434">
            <v>5.92</v>
          </cell>
          <cell r="AH434" t="str">
            <v>PPM</v>
          </cell>
          <cell r="AI434" t="str">
            <v>Strands</v>
          </cell>
          <cell r="AJ434" t="str">
            <v>Strands PW</v>
          </cell>
          <cell r="AK434" t="str">
            <v>SNF received. 1st batch of V3 asset (December 2020). [29/2/2024, SHARIFAH]: PEP ON 28/2/2024, BER/BEMS/IKN/23/010 - Aset mengalami kerosakan pada main board. Penggunaannya hendaklah dihentikan.</v>
          </cell>
        </row>
        <row r="435">
          <cell r="A435" t="str">
            <v>IKN401104</v>
          </cell>
          <cell r="B435">
            <v>1102</v>
          </cell>
          <cell r="C435" t="str">
            <v>Institut Kanser Negara</v>
          </cell>
          <cell r="D435" t="e">
            <v>#N/A</v>
          </cell>
          <cell r="E435" t="str">
            <v>12-282</v>
          </cell>
          <cell r="F435" t="str">
            <v>Lights, Surgical</v>
          </cell>
          <cell r="G435" t="str">
            <v>WE</v>
          </cell>
          <cell r="H435" t="str">
            <v>RT/ONCO WARD 1 (F)</v>
          </cell>
          <cell r="I435" t="str">
            <v>07WE107</v>
          </cell>
          <cell r="J435" t="str">
            <v>TREATMENT / PROCESURE</v>
          </cell>
          <cell r="K435" t="str">
            <v>BMED</v>
          </cell>
          <cell r="L435" t="str">
            <v>Normal</v>
          </cell>
          <cell r="M435" t="str">
            <v>USA</v>
          </cell>
          <cell r="N435" t="str">
            <v>Welch Allyn</v>
          </cell>
          <cell r="O435" t="str">
            <v>Welch Allyn GS900</v>
          </cell>
          <cell r="P435" t="str">
            <v>10032911105652</v>
          </cell>
          <cell r="Q435" t="str">
            <v>Not Applicable</v>
          </cell>
          <cell r="R435" t="str">
            <v>Welch Allyn Inc</v>
          </cell>
          <cell r="S435" t="str">
            <v>Welch Allyn Malaysia Sdn Bhd</v>
          </cell>
          <cell r="T435" t="str">
            <v>Functioning</v>
          </cell>
          <cell r="U435" t="str">
            <v>Asset</v>
          </cell>
          <cell r="V435">
            <v>10585</v>
          </cell>
          <cell r="W435" t="str">
            <v>KEW</v>
          </cell>
          <cell r="X435" t="str">
            <v>01/09/2010</v>
          </cell>
          <cell r="Y435" t="str">
            <v>KEW</v>
          </cell>
          <cell r="Z435" t="str">
            <v>16/08/2013</v>
          </cell>
          <cell r="AA435" t="str">
            <v>15/08/2015</v>
          </cell>
          <cell r="AB435" t="str">
            <v>No</v>
          </cell>
          <cell r="AC435" t="str">
            <v>31/08/2013</v>
          </cell>
          <cell r="AD435" t="str">
            <v>Good</v>
          </cell>
          <cell r="AE435" t="str">
            <v>V1 - Existing / No Claim</v>
          </cell>
          <cell r="AF435">
            <v>42235</v>
          </cell>
          <cell r="AG435">
            <v>9.17</v>
          </cell>
          <cell r="AH435" t="str">
            <v>PPM</v>
          </cell>
          <cell r="AI435" t="str">
            <v>Not in contract</v>
          </cell>
        </row>
        <row r="436">
          <cell r="A436" t="str">
            <v>IKN401116</v>
          </cell>
          <cell r="B436">
            <v>1114</v>
          </cell>
          <cell r="C436" t="str">
            <v>Institut Kanser Negara</v>
          </cell>
          <cell r="D436" t="str">
            <v>KKM/IKN/H/13/2128</v>
          </cell>
          <cell r="E436" t="str">
            <v>16-320</v>
          </cell>
          <cell r="F436" t="str">
            <v>Incinerators, Pathology</v>
          </cell>
          <cell r="G436" t="str">
            <v>LA</v>
          </cell>
          <cell r="H436" t="str">
            <v>PATHOLOGY</v>
          </cell>
          <cell r="I436" t="str">
            <v>04LA126</v>
          </cell>
          <cell r="J436" t="str">
            <v>MICROBIOLOGY UNIT</v>
          </cell>
          <cell r="K436" t="str">
            <v>BMED</v>
          </cell>
          <cell r="L436" t="str">
            <v>Normal</v>
          </cell>
          <cell r="M436" t="str">
            <v>USA</v>
          </cell>
          <cell r="N436" t="str">
            <v>Bacticinerator</v>
          </cell>
          <cell r="O436" t="str">
            <v>Bacticinerator IV</v>
          </cell>
          <cell r="P436" t="str">
            <v>03130006-5</v>
          </cell>
          <cell r="Q436" t="str">
            <v>Not Applicable</v>
          </cell>
          <cell r="R436" t="str">
            <v>Thermo Fisher Scientific Ltd</v>
          </cell>
          <cell r="S436" t="str">
            <v>Bumi Sains Sdn. Bhd.</v>
          </cell>
          <cell r="T436" t="str">
            <v>Functioning</v>
          </cell>
          <cell r="U436" t="str">
            <v>Asset</v>
          </cell>
          <cell r="V436">
            <v>3000</v>
          </cell>
          <cell r="W436" t="str">
            <v>KEW</v>
          </cell>
          <cell r="X436" t="str">
            <v>01/09/2010</v>
          </cell>
          <cell r="Y436" t="str">
            <v>KEW</v>
          </cell>
          <cell r="Z436" t="str">
            <v>16/08/2013</v>
          </cell>
          <cell r="AA436" t="str">
            <v>15/08/2015</v>
          </cell>
          <cell r="AB436" t="str">
            <v>No</v>
          </cell>
          <cell r="AC436" t="str">
            <v>31/08/2013</v>
          </cell>
          <cell r="AD436" t="str">
            <v>Good</v>
          </cell>
          <cell r="AE436" t="str">
            <v>V4 - Decommissioned Installed Facility</v>
          </cell>
          <cell r="AF436">
            <v>42790</v>
          </cell>
          <cell r="AG436">
            <v>9.17</v>
          </cell>
          <cell r="AH436" t="str">
            <v>PPM</v>
          </cell>
          <cell r="AI436" t="str">
            <v>Not in contract</v>
          </cell>
          <cell r="AJ436" t="str">
            <v>Not in contract</v>
          </cell>
          <cell r="AK436" t="str">
            <v>[22/9/2023, SHARIFAH]: PEP ON FEB 2021, BER/BEMS/AWSB/20/009 - Asset masih berfungsi namun asset tidak ekonomik diperbaiki lagi sekiranya rosak.</v>
          </cell>
        </row>
        <row r="437">
          <cell r="A437" t="str">
            <v>IKN401117</v>
          </cell>
          <cell r="B437">
            <v>1115</v>
          </cell>
          <cell r="C437" t="str">
            <v>Institut Kanser Negara</v>
          </cell>
          <cell r="D437" t="str">
            <v>KKM/IKN/H/13/2130</v>
          </cell>
          <cell r="E437" t="str">
            <v>16-320</v>
          </cell>
          <cell r="F437" t="str">
            <v>Incinerators, Pathology</v>
          </cell>
          <cell r="G437" t="str">
            <v>LA</v>
          </cell>
          <cell r="H437" t="str">
            <v>PATHOLOGY</v>
          </cell>
          <cell r="I437" t="str">
            <v>04LA126</v>
          </cell>
          <cell r="J437" t="str">
            <v>MICROBIOLOGY UNIT</v>
          </cell>
          <cell r="K437" t="str">
            <v>BMED</v>
          </cell>
          <cell r="L437" t="str">
            <v>Normal</v>
          </cell>
          <cell r="M437" t="str">
            <v>USA</v>
          </cell>
          <cell r="N437" t="str">
            <v>Bacticinerator</v>
          </cell>
          <cell r="O437" t="str">
            <v>Bacticinerator IV</v>
          </cell>
          <cell r="P437" t="str">
            <v>03130003-5</v>
          </cell>
          <cell r="Q437" t="str">
            <v>Not Applicable</v>
          </cell>
          <cell r="R437" t="str">
            <v>Thermo Fisher Scientific Ltd</v>
          </cell>
          <cell r="S437" t="str">
            <v>Bumi Sains Sdn. Bhd.</v>
          </cell>
          <cell r="T437" t="str">
            <v>Functioning</v>
          </cell>
          <cell r="U437" t="str">
            <v>Asset</v>
          </cell>
          <cell r="V437">
            <v>3000</v>
          </cell>
          <cell r="W437" t="str">
            <v>KEW</v>
          </cell>
          <cell r="X437" t="str">
            <v>01/09/2010</v>
          </cell>
          <cell r="Y437" t="str">
            <v>KEW</v>
          </cell>
          <cell r="Z437" t="str">
            <v>16/08/2013</v>
          </cell>
          <cell r="AA437" t="str">
            <v>15/08/2015</v>
          </cell>
          <cell r="AB437" t="str">
            <v>No</v>
          </cell>
          <cell r="AC437" t="str">
            <v>31/08/2013</v>
          </cell>
          <cell r="AD437" t="str">
            <v>Good</v>
          </cell>
          <cell r="AE437" t="str">
            <v>V4 - Decommissioned Installed Facility</v>
          </cell>
          <cell r="AF437">
            <v>42235</v>
          </cell>
          <cell r="AG437">
            <v>9.17</v>
          </cell>
          <cell r="AH437" t="str">
            <v>PPM</v>
          </cell>
          <cell r="AI437" t="str">
            <v>Not in contract</v>
          </cell>
          <cell r="AJ437" t="str">
            <v>Not in contract</v>
          </cell>
          <cell r="AK437" t="str">
            <v>[22/9/2023, SHARIFAH]: PEP ON FEB 2021, BER/BEMS/AWSB/20/010 - Asset masih berfungsi namun asset tidak ekonomik diperbaiki lagi sekiranya rosak.</v>
          </cell>
        </row>
        <row r="438">
          <cell r="A438" t="str">
            <v>IKN401118</v>
          </cell>
          <cell r="B438">
            <v>1116</v>
          </cell>
          <cell r="C438" t="str">
            <v>Institut Kanser Negara</v>
          </cell>
          <cell r="D438" t="str">
            <v>KKM/IKN/H/13/2131</v>
          </cell>
          <cell r="E438" t="str">
            <v>16-320</v>
          </cell>
          <cell r="F438" t="str">
            <v>Incinerators, Pathology</v>
          </cell>
          <cell r="G438" t="str">
            <v>LA</v>
          </cell>
          <cell r="H438" t="str">
            <v>PATHOLOGY</v>
          </cell>
          <cell r="I438" t="str">
            <v>04LA126</v>
          </cell>
          <cell r="J438" t="str">
            <v>MICROBIOLOGY UNIT</v>
          </cell>
          <cell r="K438" t="str">
            <v>BMED</v>
          </cell>
          <cell r="L438" t="str">
            <v>Normal</v>
          </cell>
          <cell r="M438" t="str">
            <v>USA</v>
          </cell>
          <cell r="N438" t="str">
            <v>Bacticinerator</v>
          </cell>
          <cell r="O438" t="str">
            <v>Bacticinerator IV</v>
          </cell>
          <cell r="P438" t="str">
            <v>03130004-5</v>
          </cell>
          <cell r="Q438" t="str">
            <v>Not Applicable</v>
          </cell>
          <cell r="R438" t="str">
            <v>Thermo Fisher Scientific Ltd</v>
          </cell>
          <cell r="S438" t="str">
            <v>Bumi Sains Sdn. Bhd.</v>
          </cell>
          <cell r="T438" t="str">
            <v>Not Functioning</v>
          </cell>
          <cell r="U438" t="str">
            <v>Asset</v>
          </cell>
          <cell r="V438">
            <v>3000</v>
          </cell>
          <cell r="W438" t="str">
            <v>KEW</v>
          </cell>
          <cell r="X438" t="str">
            <v>01/09/2010</v>
          </cell>
          <cell r="Y438" t="str">
            <v>KEW</v>
          </cell>
          <cell r="Z438" t="str">
            <v>16/08/2013</v>
          </cell>
          <cell r="AA438" t="str">
            <v>15/08/2015</v>
          </cell>
          <cell r="AB438" t="str">
            <v>No</v>
          </cell>
          <cell r="AC438" t="str">
            <v>31/08/2013</v>
          </cell>
          <cell r="AD438" t="str">
            <v>Good</v>
          </cell>
          <cell r="AE438" t="str">
            <v>V4 - Decommissioned Installed Facility</v>
          </cell>
          <cell r="AF438">
            <v>42235</v>
          </cell>
          <cell r="AG438">
            <v>9.17</v>
          </cell>
          <cell r="AH438" t="str">
            <v>PPM</v>
          </cell>
          <cell r="AI438" t="str">
            <v>Not in contract</v>
          </cell>
          <cell r="AJ438" t="str">
            <v>Not in contract</v>
          </cell>
          <cell r="AK438" t="str">
            <v>[22/9/2023, SHARIFAH]: PEP ON FEB 2021, BER/BEMS/AWSB/20/011 - Asset mengalami kerosakan pada Heater Element.</v>
          </cell>
        </row>
        <row r="439">
          <cell r="A439" t="str">
            <v>IKN401119</v>
          </cell>
          <cell r="B439">
            <v>1117</v>
          </cell>
          <cell r="C439" t="str">
            <v>Institut Kanser Negara</v>
          </cell>
          <cell r="D439" t="str">
            <v>KKM/IKN/H/13/2132</v>
          </cell>
          <cell r="E439" t="str">
            <v>16-320</v>
          </cell>
          <cell r="F439" t="str">
            <v>Incinerators, Pathology</v>
          </cell>
          <cell r="G439" t="str">
            <v>LA</v>
          </cell>
          <cell r="H439" t="str">
            <v>PATHOLOGY</v>
          </cell>
          <cell r="I439" t="str">
            <v>04LA127</v>
          </cell>
          <cell r="J439" t="str">
            <v>INNOCULATION/STAINING</v>
          </cell>
          <cell r="K439" t="str">
            <v>BMED</v>
          </cell>
          <cell r="L439" t="str">
            <v>Normal</v>
          </cell>
          <cell r="M439" t="str">
            <v>USA</v>
          </cell>
          <cell r="N439" t="str">
            <v>Bacticinerator</v>
          </cell>
          <cell r="O439" t="str">
            <v>Bacticinerator IV</v>
          </cell>
          <cell r="P439" t="str">
            <v>03130005-5</v>
          </cell>
          <cell r="Q439" t="str">
            <v>Not Applicable</v>
          </cell>
          <cell r="R439" t="str">
            <v>Thermo Fisher Scientific Ltd</v>
          </cell>
          <cell r="S439" t="str">
            <v>Bumi Sains Sdn. Bhd.</v>
          </cell>
          <cell r="T439" t="str">
            <v>Functioning</v>
          </cell>
          <cell r="U439" t="str">
            <v>Asset</v>
          </cell>
          <cell r="V439">
            <v>3000</v>
          </cell>
          <cell r="W439" t="str">
            <v>KEW</v>
          </cell>
          <cell r="X439" t="str">
            <v>01/09/2010</v>
          </cell>
          <cell r="Y439" t="str">
            <v>KEW</v>
          </cell>
          <cell r="Z439" t="str">
            <v>16/08/2013</v>
          </cell>
          <cell r="AA439" t="str">
            <v>15/08/2015</v>
          </cell>
          <cell r="AB439" t="str">
            <v>No</v>
          </cell>
          <cell r="AC439" t="str">
            <v>31/08/2013</v>
          </cell>
          <cell r="AD439" t="str">
            <v>Good</v>
          </cell>
          <cell r="AE439" t="str">
            <v>V4 - Decommissioned Installed Facility</v>
          </cell>
          <cell r="AF439">
            <v>42235</v>
          </cell>
          <cell r="AG439">
            <v>9.17</v>
          </cell>
          <cell r="AH439" t="str">
            <v>PPM</v>
          </cell>
          <cell r="AI439" t="str">
            <v>Not in contract</v>
          </cell>
          <cell r="AJ439" t="str">
            <v>Not in contract</v>
          </cell>
          <cell r="AK439" t="str">
            <v>[22/9/2023, SHARIFAH]: PEP ON FEB 2021, BER/BEMS/AWSB/20/012 - Asset masih berfungsi namun asset tidak ekonomik diperbaiki lagi sekiranya rosak.</v>
          </cell>
        </row>
        <row r="440">
          <cell r="A440" t="str">
            <v>IKN401120</v>
          </cell>
          <cell r="B440">
            <v>1118</v>
          </cell>
          <cell r="C440" t="str">
            <v>Institut Kanser Negara</v>
          </cell>
          <cell r="D440" t="str">
            <v>KKM/IKN/H/13/2129</v>
          </cell>
          <cell r="E440" t="str">
            <v>16-320</v>
          </cell>
          <cell r="F440" t="str">
            <v>Incinerators, Pathology</v>
          </cell>
          <cell r="G440" t="str">
            <v>LA</v>
          </cell>
          <cell r="H440" t="str">
            <v>PATHOLOGY</v>
          </cell>
          <cell r="I440" t="str">
            <v>04LA126</v>
          </cell>
          <cell r="J440" t="str">
            <v>MICROBIOLOGY UNIT</v>
          </cell>
          <cell r="K440" t="str">
            <v>BMED</v>
          </cell>
          <cell r="L440" t="str">
            <v>Normal</v>
          </cell>
          <cell r="M440" t="str">
            <v>USA</v>
          </cell>
          <cell r="N440" t="str">
            <v>Bacticinerator</v>
          </cell>
          <cell r="O440" t="str">
            <v>Bacticinerator IV</v>
          </cell>
          <cell r="P440" t="str">
            <v>03130001-5</v>
          </cell>
          <cell r="Q440" t="str">
            <v>Not Applicable</v>
          </cell>
          <cell r="R440" t="str">
            <v>Thermo Fisher Scientific Ltd</v>
          </cell>
          <cell r="S440" t="str">
            <v>Bumi Sains Sdn. Bhd.</v>
          </cell>
          <cell r="T440" t="str">
            <v>Functioning</v>
          </cell>
          <cell r="U440" t="str">
            <v>Asset</v>
          </cell>
          <cell r="V440">
            <v>3000</v>
          </cell>
          <cell r="W440" t="str">
            <v>KEW</v>
          </cell>
          <cell r="X440" t="str">
            <v>01/09/2010</v>
          </cell>
          <cell r="Y440" t="str">
            <v>KEW</v>
          </cell>
          <cell r="Z440" t="str">
            <v>16/08/2013</v>
          </cell>
          <cell r="AA440" t="str">
            <v>15/08/2015</v>
          </cell>
          <cell r="AB440" t="str">
            <v>No</v>
          </cell>
          <cell r="AC440" t="str">
            <v>31/08/2013</v>
          </cell>
          <cell r="AD440" t="str">
            <v>Good</v>
          </cell>
          <cell r="AE440" t="str">
            <v>V4 - Decommissioned Installed Facility</v>
          </cell>
          <cell r="AF440">
            <v>42790</v>
          </cell>
          <cell r="AG440">
            <v>9.17</v>
          </cell>
          <cell r="AH440" t="str">
            <v>PPM</v>
          </cell>
          <cell r="AI440" t="str">
            <v>Not in contract</v>
          </cell>
          <cell r="AJ440" t="str">
            <v>Not in contract</v>
          </cell>
          <cell r="AK440" t="str">
            <v>[22/9/2023, SHARIFAH]: PEP ON FEB 2021, BER/BEMS/AWSB/20/013 - Asset mengalami kerosakan pada Heater Element.</v>
          </cell>
        </row>
        <row r="441">
          <cell r="A441" t="str">
            <v>IKN401121</v>
          </cell>
          <cell r="B441">
            <v>1119</v>
          </cell>
          <cell r="C441" t="str">
            <v>Institut Kanser Negara</v>
          </cell>
          <cell r="D441" t="str">
            <v>KKM/IKN/H/13/2127</v>
          </cell>
          <cell r="E441" t="str">
            <v>16-320</v>
          </cell>
          <cell r="F441" t="str">
            <v>Incinerators, Pathology</v>
          </cell>
          <cell r="G441" t="str">
            <v>LA</v>
          </cell>
          <cell r="H441" t="str">
            <v>PATHOLOGY</v>
          </cell>
          <cell r="I441" t="str">
            <v>04LA126</v>
          </cell>
          <cell r="J441" t="str">
            <v>MICROBIOLOGY UNIT</v>
          </cell>
          <cell r="K441" t="str">
            <v>BMED</v>
          </cell>
          <cell r="L441" t="str">
            <v>Normal</v>
          </cell>
          <cell r="M441" t="str">
            <v>USA</v>
          </cell>
          <cell r="N441" t="str">
            <v>Bacticinerator</v>
          </cell>
          <cell r="O441" t="str">
            <v>Bacticinerator IV</v>
          </cell>
          <cell r="P441" t="str">
            <v>03130002-5</v>
          </cell>
          <cell r="Q441" t="str">
            <v>Not Applicable</v>
          </cell>
          <cell r="R441" t="str">
            <v>Thermo Fisher Scientific Ltd</v>
          </cell>
          <cell r="S441" t="str">
            <v>Bumi Sains Sdn. Bhd.</v>
          </cell>
          <cell r="T441" t="str">
            <v>Functioning</v>
          </cell>
          <cell r="U441" t="str">
            <v>Asset</v>
          </cell>
          <cell r="V441">
            <v>3000</v>
          </cell>
          <cell r="W441" t="str">
            <v>KEW</v>
          </cell>
          <cell r="X441" t="str">
            <v>01/09/2010</v>
          </cell>
          <cell r="Y441" t="str">
            <v>KEW</v>
          </cell>
          <cell r="Z441" t="str">
            <v>16/08/2013</v>
          </cell>
          <cell r="AA441" t="str">
            <v>15/08/2015</v>
          </cell>
          <cell r="AB441" t="str">
            <v>No</v>
          </cell>
          <cell r="AC441" t="str">
            <v>31/08/2013</v>
          </cell>
          <cell r="AD441" t="str">
            <v>Good</v>
          </cell>
          <cell r="AE441" t="str">
            <v>V4 - Decommissioned Installed Facility</v>
          </cell>
          <cell r="AF441">
            <v>42790</v>
          </cell>
          <cell r="AG441">
            <v>9.17</v>
          </cell>
          <cell r="AH441" t="str">
            <v>PPM</v>
          </cell>
          <cell r="AI441" t="str">
            <v>Not in contract</v>
          </cell>
          <cell r="AJ441" t="str">
            <v>Not in contract</v>
          </cell>
          <cell r="AK441" t="str">
            <v>[22/9/2023, SHARIFAH]: PEP ON FEB 2021, BER/BEMS/AWSB/20/014 - Asset mengalami kerosakan pada Heater Element.</v>
          </cell>
        </row>
        <row r="442">
          <cell r="A442" t="str">
            <v>IKN401163</v>
          </cell>
          <cell r="B442">
            <v>1161</v>
          </cell>
          <cell r="C442" t="str">
            <v>Institut Kanser Negara</v>
          </cell>
          <cell r="D442" t="str">
            <v>KKM/IKN/H/13/2314</v>
          </cell>
          <cell r="E442" t="str">
            <v>11-295</v>
          </cell>
          <cell r="F442" t="str">
            <v>Dosimeters, Radiation</v>
          </cell>
          <cell r="G442" t="str">
            <v>ID</v>
          </cell>
          <cell r="H442" t="str">
            <v>IMAGING DEPARTMENT</v>
          </cell>
          <cell r="I442" t="str">
            <v>03ID169</v>
          </cell>
          <cell r="J442" t="str">
            <v>RADIOGRAPHER</v>
          </cell>
          <cell r="K442" t="str">
            <v>BMED</v>
          </cell>
          <cell r="L442" t="str">
            <v>Normal</v>
          </cell>
          <cell r="M442" t="str">
            <v>Germany</v>
          </cell>
          <cell r="N442" t="str">
            <v>Thermo Fisher</v>
          </cell>
          <cell r="O442" t="str">
            <v>EPD MK2.5</v>
          </cell>
          <cell r="P442" t="str">
            <v>00289471</v>
          </cell>
          <cell r="Q442" t="str">
            <v>Not Applicable</v>
          </cell>
          <cell r="R442" t="str">
            <v>Thermo Fisher Scientific</v>
          </cell>
          <cell r="S442" t="str">
            <v>Delta Advantech (M) Sdn Bhd</v>
          </cell>
          <cell r="T442" t="str">
            <v>Disposed</v>
          </cell>
          <cell r="U442" t="str">
            <v>Asset</v>
          </cell>
          <cell r="V442">
            <v>4370</v>
          </cell>
          <cell r="W442" t="str">
            <v>KEW</v>
          </cell>
          <cell r="X442" t="str">
            <v>01/09/2010</v>
          </cell>
          <cell r="Y442" t="str">
            <v>KEW</v>
          </cell>
          <cell r="Z442" t="str">
            <v>16/08/2013</v>
          </cell>
          <cell r="AA442" t="str">
            <v>15/08/2015</v>
          </cell>
          <cell r="AB442" t="str">
            <v>No</v>
          </cell>
          <cell r="AC442" t="str">
            <v>31/08/2013</v>
          </cell>
          <cell r="AD442" t="str">
            <v>Good</v>
          </cell>
          <cell r="AE442" t="str">
            <v>V1 - Existing / No Claim</v>
          </cell>
          <cell r="AF442" t="str">
            <v>19/8/2015 - 17/4/2024</v>
          </cell>
          <cell r="AG442">
            <v>9.17</v>
          </cell>
          <cell r="AH442" t="str">
            <v>PPM</v>
          </cell>
          <cell r="AI442" t="str">
            <v>Strands</v>
          </cell>
          <cell r="AJ442" t="str">
            <v>Strands PW. Proposed V4 P1.24.</v>
          </cell>
          <cell r="AK442" t="str">
            <v>[2/4/2024]: BER2 received on 22/5/2023. No need PEP.</v>
          </cell>
        </row>
        <row r="443">
          <cell r="A443" t="str">
            <v>IKN401193</v>
          </cell>
          <cell r="B443">
            <v>1191</v>
          </cell>
          <cell r="C443" t="str">
            <v>Institut Kanser Negara</v>
          </cell>
          <cell r="D443" t="str">
            <v>KKM/IKN/H/13/4005</v>
          </cell>
          <cell r="E443" t="str">
            <v>11-295</v>
          </cell>
          <cell r="F443" t="str">
            <v>Dosimeters, Radiation</v>
          </cell>
          <cell r="G443" t="str">
            <v>NM</v>
          </cell>
          <cell r="H443" t="str">
            <v>NUCLEAR MED (DIAGNOSTIC)</v>
          </cell>
          <cell r="I443" t="str">
            <v>03NM170</v>
          </cell>
          <cell r="J443" t="str">
            <v>CHIEF PHYSICIST</v>
          </cell>
          <cell r="K443" t="str">
            <v>BMED</v>
          </cell>
          <cell r="L443" t="str">
            <v>Normal</v>
          </cell>
          <cell r="M443" t="str">
            <v>Germany</v>
          </cell>
          <cell r="N443" t="str">
            <v>Thermo Fisher</v>
          </cell>
          <cell r="O443" t="str">
            <v>EPD MK2.5</v>
          </cell>
          <cell r="P443" t="str">
            <v>00289472</v>
          </cell>
          <cell r="Q443" t="str">
            <v>Not Applicable</v>
          </cell>
          <cell r="R443" t="str">
            <v>Thermo Fisher Scientific</v>
          </cell>
          <cell r="S443" t="str">
            <v>Delta Advantech (M) Sdn Bhd</v>
          </cell>
          <cell r="T443" t="str">
            <v>Disposed</v>
          </cell>
          <cell r="U443" t="str">
            <v>Asset</v>
          </cell>
          <cell r="V443">
            <v>4370</v>
          </cell>
          <cell r="W443" t="str">
            <v>KEW</v>
          </cell>
          <cell r="X443" t="str">
            <v>01/09/2010</v>
          </cell>
          <cell r="Y443" t="str">
            <v>KEW</v>
          </cell>
          <cell r="Z443" t="str">
            <v>16/08/2013</v>
          </cell>
          <cell r="AA443" t="str">
            <v>15/08/2015</v>
          </cell>
          <cell r="AB443" t="str">
            <v>No</v>
          </cell>
          <cell r="AC443" t="str">
            <v>31/08/2013</v>
          </cell>
          <cell r="AD443" t="str">
            <v>Good</v>
          </cell>
          <cell r="AE443" t="str">
            <v>V1 - Existing / No Claim</v>
          </cell>
          <cell r="AF443" t="str">
            <v>19/8/2015 - 17/4/2024</v>
          </cell>
          <cell r="AG443">
            <v>9.17</v>
          </cell>
          <cell r="AH443" t="str">
            <v>PPM</v>
          </cell>
          <cell r="AI443" t="str">
            <v>Strands</v>
          </cell>
          <cell r="AJ443" t="str">
            <v>Strands PW. Proposed V4 P1.24.</v>
          </cell>
          <cell r="AK443" t="str">
            <v>[ZARINA]: PEP ON 1/3/2023, BER/BEMS/IKN/23/002 - Aset mengalami kerosakan besar iaitu unit tidak berfungsi.</v>
          </cell>
        </row>
        <row r="444">
          <cell r="A444" t="str">
            <v>IKN401216</v>
          </cell>
          <cell r="B444">
            <v>1214</v>
          </cell>
          <cell r="C444" t="str">
            <v>Institut Kanser Negara</v>
          </cell>
          <cell r="D444" t="e">
            <v>#N/A</v>
          </cell>
          <cell r="E444" t="str">
            <v>14-032</v>
          </cell>
          <cell r="F444" t="str">
            <v>Thermometers, Electronic</v>
          </cell>
          <cell r="G444" t="str">
            <v>RT</v>
          </cell>
          <cell r="H444" t="str">
            <v>RADIATION TREATMENT UNIT</v>
          </cell>
          <cell r="I444" t="str">
            <v>01RT213</v>
          </cell>
          <cell r="J444" t="str">
            <v>EQUIPMENT ROOM1</v>
          </cell>
          <cell r="K444" t="str">
            <v>BMED</v>
          </cell>
          <cell r="L444" t="str">
            <v>Normal</v>
          </cell>
          <cell r="M444" t="str">
            <v>Romania</v>
          </cell>
          <cell r="N444" t="str">
            <v>Hanna</v>
          </cell>
          <cell r="O444" t="str">
            <v>HI151-00 CheckTemp 4</v>
          </cell>
          <cell r="P444" t="str">
            <v>473340</v>
          </cell>
          <cell r="Q444" t="str">
            <v>Not Applicable</v>
          </cell>
          <cell r="R444" t="str">
            <v>Hanna Instruments</v>
          </cell>
          <cell r="S444" t="str">
            <v>Delta Advantech (M) Sdn Bhd</v>
          </cell>
          <cell r="T444" t="str">
            <v>Functioning</v>
          </cell>
          <cell r="U444" t="str">
            <v>Asset</v>
          </cell>
          <cell r="V444">
            <v>450</v>
          </cell>
          <cell r="W444" t="str">
            <v>KEW</v>
          </cell>
          <cell r="X444" t="str">
            <v>01/09/2010</v>
          </cell>
          <cell r="Y444" t="str">
            <v>KEW</v>
          </cell>
          <cell r="Z444" t="str">
            <v>16/08/2013</v>
          </cell>
          <cell r="AA444" t="str">
            <v>15/08/2015</v>
          </cell>
          <cell r="AB444" t="str">
            <v>No</v>
          </cell>
          <cell r="AC444" t="str">
            <v>31/08/2013</v>
          </cell>
          <cell r="AD444" t="str">
            <v>Good</v>
          </cell>
          <cell r="AE444" t="str">
            <v>V1 - Existing / No Claim</v>
          </cell>
          <cell r="AF444">
            <v>42235</v>
          </cell>
          <cell r="AG444">
            <v>9.17</v>
          </cell>
          <cell r="AH444" t="str">
            <v>RI</v>
          </cell>
          <cell r="AI444" t="str">
            <v>Not in contract</v>
          </cell>
          <cell r="AK444" t="str">
            <v>[22/8/2024, Sharifah]: User say do not have to calibrate.</v>
          </cell>
        </row>
        <row r="445">
          <cell r="A445" t="str">
            <v>IKN401219</v>
          </cell>
          <cell r="B445">
            <v>1217</v>
          </cell>
          <cell r="C445" t="str">
            <v>Institut Kanser Negara</v>
          </cell>
          <cell r="D445" t="str">
            <v>KKM/IKN/H/13/4006</v>
          </cell>
          <cell r="E445" t="str">
            <v>11-295</v>
          </cell>
          <cell r="F445" t="str">
            <v>Dosimeters, Radiation</v>
          </cell>
          <cell r="G445" t="str">
            <v>NM</v>
          </cell>
          <cell r="H445" t="str">
            <v>NUCLEAR MED (DIAGNOSTIC)</v>
          </cell>
          <cell r="I445" t="str">
            <v>03NM106</v>
          </cell>
          <cell r="J445" t="str">
            <v>OFFICE/RECORDS</v>
          </cell>
          <cell r="K445" t="str">
            <v>BMED</v>
          </cell>
          <cell r="L445" t="str">
            <v>Normal</v>
          </cell>
          <cell r="M445" t="str">
            <v>Germany</v>
          </cell>
          <cell r="N445" t="str">
            <v>Thermo Fisher</v>
          </cell>
          <cell r="O445" t="str">
            <v>EPD MK2.5</v>
          </cell>
          <cell r="P445" t="str">
            <v>00289460</v>
          </cell>
          <cell r="Q445" t="str">
            <v>Not Applicable</v>
          </cell>
          <cell r="R445" t="str">
            <v>Thermo Fisher Scientific</v>
          </cell>
          <cell r="S445" t="str">
            <v>Delta Advantech (M) Sdn Bhd</v>
          </cell>
          <cell r="T445" t="str">
            <v>Disposed</v>
          </cell>
          <cell r="U445" t="str">
            <v>Asset</v>
          </cell>
          <cell r="V445">
            <v>4370</v>
          </cell>
          <cell r="W445" t="str">
            <v>KEW</v>
          </cell>
          <cell r="X445" t="str">
            <v>01/09/2010</v>
          </cell>
          <cell r="Y445" t="str">
            <v>KEW</v>
          </cell>
          <cell r="Z445" t="str">
            <v>16/08/2013</v>
          </cell>
          <cell r="AA445" t="str">
            <v>15/08/2015</v>
          </cell>
          <cell r="AB445" t="str">
            <v>No</v>
          </cell>
          <cell r="AC445" t="str">
            <v>31/08/2013</v>
          </cell>
          <cell r="AD445" t="str">
            <v>Good</v>
          </cell>
          <cell r="AE445" t="str">
            <v>V1 - Existing / No Claim</v>
          </cell>
          <cell r="AF445" t="str">
            <v>19/8/2015 - 17/4/2024</v>
          </cell>
          <cell r="AG445">
            <v>9.17</v>
          </cell>
          <cell r="AH445" t="str">
            <v>PPM</v>
          </cell>
          <cell r="AI445" t="str">
            <v>Strands</v>
          </cell>
          <cell r="AJ445" t="str">
            <v>Strands PW. Proposed V4 P1.24.</v>
          </cell>
          <cell r="AK445" t="str">
            <v>[ZARINA]: PEP ON 1/3/2023, BER/BEMS/IKN/23/003 - Aset mengalami kerosakan pada paparan unit.</v>
          </cell>
        </row>
        <row r="446">
          <cell r="A446" t="str">
            <v>IKN401241</v>
          </cell>
          <cell r="B446">
            <v>1239</v>
          </cell>
          <cell r="C446" t="str">
            <v>Institut Kanser Negara</v>
          </cell>
          <cell r="E446" t="str">
            <v>16-158</v>
          </cell>
          <cell r="F446" t="str">
            <v>Sphygmomanometers, Mercury</v>
          </cell>
          <cell r="G446" t="str">
            <v>MC</v>
          </cell>
          <cell r="H446" t="str">
            <v>MULTI-DISCIPLINE CLINIC</v>
          </cell>
          <cell r="I446" t="str">
            <v>03MC107</v>
          </cell>
          <cell r="J446" t="str">
            <v>TREATMENT 1</v>
          </cell>
          <cell r="K446" t="str">
            <v>BMED</v>
          </cell>
          <cell r="L446" t="str">
            <v>Normal</v>
          </cell>
          <cell r="M446" t="str">
            <v>Germany</v>
          </cell>
          <cell r="N446" t="str">
            <v>Erka</v>
          </cell>
          <cell r="O446" t="str">
            <v>Erkameter 3000</v>
          </cell>
          <cell r="P446" t="str">
            <v>12508918</v>
          </cell>
          <cell r="Q446" t="str">
            <v>Not Applicable</v>
          </cell>
          <cell r="R446" t="str">
            <v>Erka GmbH &amp; Co</v>
          </cell>
          <cell r="S446" t="str">
            <v>Acucare Systems (M) Sdn bhd</v>
          </cell>
          <cell r="T446" t="str">
            <v>Functioning</v>
          </cell>
          <cell r="U446" t="str">
            <v>Asset</v>
          </cell>
          <cell r="V446">
            <v>505</v>
          </cell>
          <cell r="W446" t="str">
            <v>KEW</v>
          </cell>
          <cell r="X446" t="str">
            <v>01/09/2010</v>
          </cell>
          <cell r="Y446" t="str">
            <v>KEW</v>
          </cell>
          <cell r="Z446" t="str">
            <v>16/08/2013</v>
          </cell>
          <cell r="AA446" t="str">
            <v>15/08/2015</v>
          </cell>
          <cell r="AB446" t="str">
            <v>No</v>
          </cell>
          <cell r="AC446" t="str">
            <v>31/08/2013</v>
          </cell>
          <cell r="AD446" t="str">
            <v>Good</v>
          </cell>
          <cell r="AE446" t="str">
            <v>V4 - Decommissioned Installed Facility</v>
          </cell>
          <cell r="AF446">
            <v>42235</v>
          </cell>
          <cell r="AG446">
            <v>9.17</v>
          </cell>
          <cell r="AH446" t="str">
            <v>PPM</v>
          </cell>
          <cell r="AI446" t="str">
            <v>Not in contract</v>
          </cell>
          <cell r="AJ446" t="str">
            <v>Not under maintenance</v>
          </cell>
          <cell r="AK446" t="e">
            <v>#N/A</v>
          </cell>
        </row>
        <row r="447">
          <cell r="A447" t="str">
            <v>IKN401242</v>
          </cell>
          <cell r="B447">
            <v>1240</v>
          </cell>
          <cell r="C447" t="str">
            <v>Institut Kanser Negara</v>
          </cell>
          <cell r="E447" t="str">
            <v>18-595</v>
          </cell>
          <cell r="F447" t="str">
            <v>Ophthalmoscopes/Otoscopes</v>
          </cell>
          <cell r="G447" t="str">
            <v>MC</v>
          </cell>
          <cell r="H447" t="str">
            <v>MULTI-DISCIPLINE CLINIC</v>
          </cell>
          <cell r="I447" t="str">
            <v>03MC107</v>
          </cell>
          <cell r="J447" t="str">
            <v>TREATMENT 1</v>
          </cell>
          <cell r="K447" t="str">
            <v>BMED</v>
          </cell>
          <cell r="L447" t="str">
            <v>Normal</v>
          </cell>
          <cell r="M447" t="str">
            <v>USA</v>
          </cell>
          <cell r="N447" t="str">
            <v>Welch Allyn</v>
          </cell>
          <cell r="O447" t="str">
            <v>Welch Allyn 97150-BIM</v>
          </cell>
          <cell r="P447" t="str">
            <v>N/A</v>
          </cell>
          <cell r="Q447" t="str">
            <v>Not Applicable</v>
          </cell>
          <cell r="R447" t="str">
            <v>Welch Allyn Inc</v>
          </cell>
          <cell r="S447" t="str">
            <v>Welch Allyn Malaysia Sdn Bhd</v>
          </cell>
          <cell r="T447" t="str">
            <v>Functioning</v>
          </cell>
          <cell r="U447" t="str">
            <v>Asset</v>
          </cell>
          <cell r="V447">
            <v>4690</v>
          </cell>
          <cell r="W447" t="str">
            <v>KEW</v>
          </cell>
          <cell r="X447" t="str">
            <v>01/09/2010</v>
          </cell>
          <cell r="Y447" t="str">
            <v>KEW</v>
          </cell>
          <cell r="Z447" t="str">
            <v>16/08/2013</v>
          </cell>
          <cell r="AA447" t="str">
            <v>15/08/2015</v>
          </cell>
          <cell r="AB447" t="str">
            <v>No</v>
          </cell>
          <cell r="AC447" t="str">
            <v>31/08/2013</v>
          </cell>
          <cell r="AD447" t="str">
            <v>Good</v>
          </cell>
          <cell r="AE447" t="str">
            <v>V1 - Existing / No Claim</v>
          </cell>
          <cell r="AF447">
            <v>42235</v>
          </cell>
          <cell r="AG447">
            <v>9.17</v>
          </cell>
          <cell r="AH447" t="str">
            <v>RI</v>
          </cell>
          <cell r="AI447" t="str">
            <v>Not in contract</v>
          </cell>
          <cell r="AJ447" t="str">
            <v>Not under maintenance</v>
          </cell>
          <cell r="AK447" t="str">
            <v>Will be under V4. Taken out of contract as agreed by IKN</v>
          </cell>
        </row>
        <row r="448">
          <cell r="A448" t="str">
            <v>IKN401244</v>
          </cell>
          <cell r="B448">
            <v>1242</v>
          </cell>
          <cell r="C448" t="str">
            <v>Institut Kanser Negara</v>
          </cell>
          <cell r="D448" t="str">
            <v>KKM/IKN/H/13/3683</v>
          </cell>
          <cell r="E448" t="str">
            <v>17-148</v>
          </cell>
          <cell r="F448" t="str">
            <v>Oximeters, Pulse</v>
          </cell>
          <cell r="G448" t="str">
            <v>WH</v>
          </cell>
          <cell r="H448" t="str">
            <v>RT/ONCO WARD 2 (M)</v>
          </cell>
          <cell r="I448" t="str">
            <v>08WH121</v>
          </cell>
          <cell r="J448" t="str">
            <v>EQUIPMENT ROOM</v>
          </cell>
          <cell r="K448" t="str">
            <v>BMED</v>
          </cell>
          <cell r="L448" t="str">
            <v>Critical</v>
          </cell>
          <cell r="M448" t="str">
            <v>USA</v>
          </cell>
          <cell r="N448" t="str">
            <v>PalmSat</v>
          </cell>
          <cell r="O448" t="str">
            <v>PalmSat 2500</v>
          </cell>
          <cell r="P448" t="str">
            <v>501439263</v>
          </cell>
          <cell r="Q448" t="str">
            <v>Not Applicable</v>
          </cell>
          <cell r="R448" t="str">
            <v>Nonin Medical Inc</v>
          </cell>
          <cell r="S448" t="str">
            <v>Acucare Systems (M) Sdn bhd</v>
          </cell>
          <cell r="T448" t="str">
            <v>Functioning</v>
          </cell>
          <cell r="U448" t="str">
            <v>Asset</v>
          </cell>
          <cell r="V448">
            <v>5410</v>
          </cell>
          <cell r="W448" t="str">
            <v>KEW</v>
          </cell>
          <cell r="X448" t="str">
            <v>01/09/2010</v>
          </cell>
          <cell r="Y448" t="str">
            <v>KEW</v>
          </cell>
          <cell r="Z448" t="str">
            <v>16/08/2013</v>
          </cell>
          <cell r="AA448" t="str">
            <v>15/08/2015</v>
          </cell>
          <cell r="AB448" t="str">
            <v>No</v>
          </cell>
          <cell r="AC448" t="str">
            <v>31/08/2013</v>
          </cell>
          <cell r="AD448" t="str">
            <v>Good</v>
          </cell>
          <cell r="AE448" t="str">
            <v>V1 - Existing / No Claim</v>
          </cell>
          <cell r="AF448">
            <v>42788</v>
          </cell>
          <cell r="AG448">
            <v>9.17</v>
          </cell>
          <cell r="AH448" t="str">
            <v>PPM</v>
          </cell>
          <cell r="AI448" t="str">
            <v>Strands</v>
          </cell>
          <cell r="AJ448" t="str">
            <v>Strands PW. Proposed for V4 P2.23</v>
          </cell>
          <cell r="AK448" t="str">
            <v>[18/9/2023, SHARIFAH]: PEP ON 27/7/2023, BER/BEMS/AWSB/23/016 - Asset mengalami kerosakan pada mainboard.</v>
          </cell>
        </row>
        <row r="449">
          <cell r="A449" t="str">
            <v>IKN401262</v>
          </cell>
          <cell r="B449">
            <v>1260</v>
          </cell>
          <cell r="C449" t="str">
            <v>Institut Kanser Negara</v>
          </cell>
          <cell r="D449" t="e">
            <v>#N/A</v>
          </cell>
          <cell r="E449" t="str">
            <v>14-032</v>
          </cell>
          <cell r="F449" t="str">
            <v>Thermometers, Electronic</v>
          </cell>
          <cell r="G449" t="str">
            <v>RT</v>
          </cell>
          <cell r="H449" t="str">
            <v>RADIATION TREATMENT UNIT</v>
          </cell>
          <cell r="I449" t="str">
            <v>01RT213</v>
          </cell>
          <cell r="J449" t="str">
            <v>EQUIPMENT ROOM1</v>
          </cell>
          <cell r="K449" t="str">
            <v>BMED</v>
          </cell>
          <cell r="L449" t="str">
            <v>Normal</v>
          </cell>
          <cell r="M449" t="str">
            <v>Romania</v>
          </cell>
          <cell r="N449" t="str">
            <v>Hanna</v>
          </cell>
          <cell r="O449" t="str">
            <v>HI151-00 CheckTemp 4</v>
          </cell>
          <cell r="P449" t="str">
            <v>473341</v>
          </cell>
          <cell r="Q449" t="str">
            <v>NA</v>
          </cell>
          <cell r="R449" t="str">
            <v>Hanna Instruments</v>
          </cell>
          <cell r="S449" t="str">
            <v>Delta Advantech (M) Sdn Bhd</v>
          </cell>
          <cell r="T449" t="str">
            <v>Functioning</v>
          </cell>
          <cell r="U449" t="str">
            <v>Asset</v>
          </cell>
          <cell r="V449">
            <v>450</v>
          </cell>
          <cell r="W449" t="str">
            <v>KEW</v>
          </cell>
          <cell r="X449" t="str">
            <v>01/09/2010</v>
          </cell>
          <cell r="Y449" t="str">
            <v>KEW</v>
          </cell>
          <cell r="Z449" t="str">
            <v>16/08/2013</v>
          </cell>
          <cell r="AA449" t="str">
            <v>15/08/2015</v>
          </cell>
          <cell r="AB449" t="str">
            <v>No</v>
          </cell>
          <cell r="AC449" t="str">
            <v>31/08/2013</v>
          </cell>
          <cell r="AD449" t="str">
            <v>Good</v>
          </cell>
          <cell r="AE449" t="str">
            <v>V1 - Existing / No Claim</v>
          </cell>
          <cell r="AF449">
            <v>42398</v>
          </cell>
          <cell r="AG449">
            <v>9.17</v>
          </cell>
          <cell r="AH449" t="str">
            <v>RI</v>
          </cell>
          <cell r="AI449" t="str">
            <v>Not in contract</v>
          </cell>
          <cell r="AJ449" t="e">
            <v>#REF!</v>
          </cell>
          <cell r="AK449" t="str">
            <v>Unit found faulty 2021.</v>
          </cell>
        </row>
        <row r="450">
          <cell r="A450" t="str">
            <v>IKN401290</v>
          </cell>
          <cell r="B450">
            <v>1286</v>
          </cell>
          <cell r="C450" t="str">
            <v>Institut Kanser Negara</v>
          </cell>
          <cell r="D450" t="e">
            <v>#N/A</v>
          </cell>
          <cell r="E450" t="str">
            <v>10-849</v>
          </cell>
          <cell r="F450" t="str">
            <v>Circulatory Assist Units, Venous Return</v>
          </cell>
          <cell r="G450" t="str">
            <v>PC</v>
          </cell>
          <cell r="H450" t="str">
            <v>PALLIATIVE CARE UNIT</v>
          </cell>
          <cell r="I450" t="str">
            <v>04PC109</v>
          </cell>
          <cell r="J450" t="str">
            <v>GEN. STORE</v>
          </cell>
          <cell r="K450" t="str">
            <v>BMED</v>
          </cell>
          <cell r="L450" t="str">
            <v>Critical</v>
          </cell>
          <cell r="M450" t="str">
            <v>USA</v>
          </cell>
          <cell r="N450" t="str">
            <v>MediPress</v>
          </cell>
          <cell r="O450" t="str">
            <v>MediPress 6101</v>
          </cell>
          <cell r="P450" t="str">
            <v>P131203682</v>
          </cell>
          <cell r="Q450" t="str">
            <v>Not Applicable</v>
          </cell>
          <cell r="R450" t="str">
            <v>Meridian Medical</v>
          </cell>
          <cell r="S450" t="str">
            <v>MEDIKA SUPPLIES SDN BHD</v>
          </cell>
          <cell r="T450" t="str">
            <v>Transferred</v>
          </cell>
          <cell r="U450" t="str">
            <v>Asset</v>
          </cell>
          <cell r="V450">
            <v>3300</v>
          </cell>
          <cell r="W450" t="str">
            <v>KEW</v>
          </cell>
          <cell r="X450" t="str">
            <v>03/12/2013</v>
          </cell>
          <cell r="Y450" t="str">
            <v>Estimate</v>
          </cell>
          <cell r="Z450" t="str">
            <v>03/12/2013</v>
          </cell>
          <cell r="AA450" t="str">
            <v>02/12/2015</v>
          </cell>
          <cell r="AB450" t="str">
            <v>No</v>
          </cell>
          <cell r="AC450" t="str">
            <v>03/12/2013</v>
          </cell>
          <cell r="AD450" t="str">
            <v>Good</v>
          </cell>
          <cell r="AE450" t="str">
            <v>V4 - Decommissioned Installed Facility</v>
          </cell>
          <cell r="AF450">
            <v>43367</v>
          </cell>
          <cell r="AG450">
            <v>5.92</v>
          </cell>
          <cell r="AH450" t="str">
            <v>PPM</v>
          </cell>
          <cell r="AI450" t="str">
            <v>Not in contract</v>
          </cell>
          <cell r="AJ450" t="str">
            <v>Not in contract</v>
          </cell>
          <cell r="AK450" t="str">
            <v>Transfer to Alor Setar.</v>
          </cell>
        </row>
        <row r="451">
          <cell r="A451" t="str">
            <v>IKN401321</v>
          </cell>
          <cell r="B451" t="str">
            <v>Institut Kanser Negara</v>
          </cell>
          <cell r="C451" t="str">
            <v>KKM/IKN/H/13/5081</v>
          </cell>
          <cell r="E451" t="str">
            <v>15-076</v>
          </cell>
          <cell r="F451" t="str">
            <v>Laryngoscopes, Rigid</v>
          </cell>
          <cell r="G451" t="str">
            <v>MC</v>
          </cell>
          <cell r="H451" t="str">
            <v>MULTI-DISCIPLINE CLINIC</v>
          </cell>
          <cell r="I451" t="str">
            <v>03MC127</v>
          </cell>
          <cell r="J451" t="str">
            <v>C/E 1 (ENT)</v>
          </cell>
          <cell r="K451" t="str">
            <v>BMED</v>
          </cell>
          <cell r="L451" t="str">
            <v>Normal</v>
          </cell>
          <cell r="M451" t="str">
            <v>Not Available</v>
          </cell>
          <cell r="N451" t="str">
            <v>Not Available</v>
          </cell>
          <cell r="O451" t="str">
            <v>Not Available</v>
          </cell>
          <cell r="P451" t="str">
            <v>Not Available</v>
          </cell>
          <cell r="Q451" t="str">
            <v>Not Available</v>
          </cell>
          <cell r="R451" t="str">
            <v>Antah Sir Radin Sdn. Bhd.</v>
          </cell>
          <cell r="S451" t="str">
            <v>Functioning</v>
          </cell>
          <cell r="T451" t="str">
            <v>Functioning</v>
          </cell>
          <cell r="U451" t="str">
            <v>KEW</v>
          </cell>
          <cell r="V451">
            <v>4000</v>
          </cell>
          <cell r="W451" t="str">
            <v>KEW</v>
          </cell>
          <cell r="X451" t="str">
            <v>31/08/2013</v>
          </cell>
          <cell r="Y451" t="str">
            <v>15/08/2015</v>
          </cell>
          <cell r="Z451" t="str">
            <v>No</v>
          </cell>
          <cell r="AA451" t="str">
            <v>31/08/2013</v>
          </cell>
          <cell r="AB451" t="str">
            <v>Good</v>
          </cell>
          <cell r="AC451" t="str">
            <v>V4 - Decommissioned Installed Facility</v>
          </cell>
          <cell r="AD451">
            <v>42630</v>
          </cell>
          <cell r="AG451">
            <v>9.17</v>
          </cell>
        </row>
        <row r="452">
          <cell r="A452" t="str">
            <v>IKN401322</v>
          </cell>
          <cell r="B452">
            <v>1316</v>
          </cell>
          <cell r="C452" t="str">
            <v>Institut Kanser Negara</v>
          </cell>
          <cell r="D452" t="str">
            <v>KKM/IKN/H/13/5082</v>
          </cell>
          <cell r="E452" t="str">
            <v>15-076</v>
          </cell>
          <cell r="F452" t="str">
            <v>Laryngoscopes, Rigid</v>
          </cell>
          <cell r="G452" t="str">
            <v>MC</v>
          </cell>
          <cell r="H452" t="str">
            <v>MULTI-DISCIPLINE CLINIC</v>
          </cell>
          <cell r="I452" t="str">
            <v>03MC127</v>
          </cell>
          <cell r="J452" t="str">
            <v>C/E 1 (ENT)</v>
          </cell>
          <cell r="K452" t="str">
            <v>BMED</v>
          </cell>
          <cell r="L452" t="str">
            <v>Normal</v>
          </cell>
          <cell r="M452" t="str">
            <v>Not Available</v>
          </cell>
          <cell r="N452" t="str">
            <v>Not Available</v>
          </cell>
          <cell r="O452" t="str">
            <v>Not Available</v>
          </cell>
          <cell r="P452" t="str">
            <v>Not Available</v>
          </cell>
          <cell r="Q452" t="str">
            <v>Not Available</v>
          </cell>
          <cell r="R452" t="str">
            <v>Not Available</v>
          </cell>
          <cell r="S452" t="str">
            <v>Antah Sir Radin Sdn. Bhd.</v>
          </cell>
          <cell r="T452" t="str">
            <v>Functioning</v>
          </cell>
          <cell r="U452" t="str">
            <v>Asset</v>
          </cell>
          <cell r="V452">
            <v>4000</v>
          </cell>
          <cell r="W452" t="str">
            <v>KEW</v>
          </cell>
          <cell r="X452" t="str">
            <v>01/09/2010</v>
          </cell>
          <cell r="Y452" t="str">
            <v>KEW</v>
          </cell>
          <cell r="Z452" t="str">
            <v>31/08/2013</v>
          </cell>
          <cell r="AA452" t="str">
            <v>15/08/2015</v>
          </cell>
          <cell r="AB452" t="str">
            <v>No</v>
          </cell>
          <cell r="AC452" t="str">
            <v>31/08/2013</v>
          </cell>
          <cell r="AD452" t="str">
            <v>Good</v>
          </cell>
          <cell r="AE452" t="str">
            <v>V4 - Decommissioned Installed Facility</v>
          </cell>
          <cell r="AF452">
            <v>42630</v>
          </cell>
          <cell r="AG452">
            <v>9.17</v>
          </cell>
          <cell r="AH452" t="str">
            <v>RI</v>
          </cell>
          <cell r="AI452" t="str">
            <v>Strands</v>
          </cell>
          <cell r="AJ452" t="str">
            <v>Not under maintenance</v>
          </cell>
        </row>
        <row r="453">
          <cell r="A453" t="str">
            <v>IKN401345</v>
          </cell>
          <cell r="B453">
            <v>1339</v>
          </cell>
          <cell r="C453" t="str">
            <v>Institut Kanser Negara</v>
          </cell>
          <cell r="D453" t="str">
            <v>KKM/IKN/H/14/109</v>
          </cell>
          <cell r="E453" t="str">
            <v>11-295</v>
          </cell>
          <cell r="F453" t="str">
            <v>Dosimeters, Radiation</v>
          </cell>
          <cell r="G453" t="str">
            <v>NM</v>
          </cell>
          <cell r="H453" t="str">
            <v>NUCLEAR MED (DIAGNOSTIC)</v>
          </cell>
          <cell r="I453" t="str">
            <v>03NM180</v>
          </cell>
          <cell r="J453" t="str">
            <v>GEN.OFFICE</v>
          </cell>
          <cell r="K453" t="str">
            <v>BMED</v>
          </cell>
          <cell r="L453" t="str">
            <v>Normal</v>
          </cell>
          <cell r="M453" t="str">
            <v>Japan</v>
          </cell>
          <cell r="N453" t="str">
            <v>Aloka</v>
          </cell>
          <cell r="O453" t="str">
            <v>PDM-222C-SH</v>
          </cell>
          <cell r="P453" t="str">
            <v>203V1524</v>
          </cell>
          <cell r="Q453" t="str">
            <v>Not Applicable</v>
          </cell>
          <cell r="R453" t="str">
            <v>Hitachi Aloka Medical Co Ltd</v>
          </cell>
          <cell r="S453" t="str">
            <v>Elite</v>
          </cell>
          <cell r="T453" t="str">
            <v>Disposed</v>
          </cell>
          <cell r="U453" t="str">
            <v>Asset</v>
          </cell>
          <cell r="V453">
            <v>1883</v>
          </cell>
          <cell r="W453" t="str">
            <v>KEW</v>
          </cell>
          <cell r="X453" t="str">
            <v>06/11/2014</v>
          </cell>
          <cell r="Y453" t="str">
            <v>KEW</v>
          </cell>
          <cell r="Z453" t="str">
            <v>05/12/2014</v>
          </cell>
          <cell r="AA453" t="str">
            <v>04/12/2016</v>
          </cell>
          <cell r="AB453" t="str">
            <v>No</v>
          </cell>
          <cell r="AC453" t="str">
            <v>05/12/2014</v>
          </cell>
          <cell r="AD453" t="str">
            <v>Good</v>
          </cell>
          <cell r="AE453" t="str">
            <v>V3 - Added Installed Facilities (New)</v>
          </cell>
          <cell r="AF453" t="str">
            <v>31/10/2018 - 1/12/2022</v>
          </cell>
          <cell r="AG453">
            <v>5</v>
          </cell>
          <cell r="AH453" t="str">
            <v>PPM</v>
          </cell>
          <cell r="AI453" t="str">
            <v>Strands</v>
          </cell>
          <cell r="AJ453" t="str">
            <v>Strands (V4 P1.23.)</v>
          </cell>
          <cell r="AK453" t="str">
            <v>SNF received. 1st batch of V3 asset (December 2020). [23/8/2023, Sharifah]: V4 on P1.23</v>
          </cell>
        </row>
        <row r="454">
          <cell r="A454" t="str">
            <v>IKN401380</v>
          </cell>
          <cell r="B454">
            <v>1374</v>
          </cell>
          <cell r="C454" t="str">
            <v>Institut Kanser Negara</v>
          </cell>
          <cell r="D454" t="e">
            <v>#N/A</v>
          </cell>
          <cell r="E454" t="str">
            <v>17-148</v>
          </cell>
          <cell r="F454" t="str">
            <v>Oximeters, Pulse</v>
          </cell>
          <cell r="G454" t="str">
            <v>NM</v>
          </cell>
          <cell r="H454" t="str">
            <v>NUCLEAR MED (DIAGNOSTIC)</v>
          </cell>
          <cell r="I454" t="str">
            <v>03NM108</v>
          </cell>
          <cell r="J454" t="str">
            <v>TREATMENT 1 (RAI)(VE)</v>
          </cell>
          <cell r="K454" t="str">
            <v>BMED</v>
          </cell>
          <cell r="L454" t="str">
            <v>Critical</v>
          </cell>
          <cell r="M454" t="str">
            <v>UK</v>
          </cell>
          <cell r="N454" t="str">
            <v>Trusat</v>
          </cell>
          <cell r="O454" t="str">
            <v>Trusat</v>
          </cell>
          <cell r="P454" t="str">
            <v>FCC12430059SA</v>
          </cell>
          <cell r="Q454" t="str">
            <v>NA</v>
          </cell>
          <cell r="R454" t="str">
            <v>Datex-Ohmeda Inc</v>
          </cell>
          <cell r="S454" t="str">
            <v>GE HEALTHCARE SDN BHD</v>
          </cell>
          <cell r="T454" t="str">
            <v>Not Functioning</v>
          </cell>
          <cell r="U454" t="str">
            <v>Asset</v>
          </cell>
          <cell r="V454">
            <v>11120</v>
          </cell>
          <cell r="W454" t="str">
            <v>KEW</v>
          </cell>
          <cell r="X454" t="str">
            <v>01/09/2010</v>
          </cell>
          <cell r="Y454" t="str">
            <v>KEW</v>
          </cell>
          <cell r="Z454" t="str">
            <v>16/08/2013</v>
          </cell>
          <cell r="AA454" t="str">
            <v>15/08/2015</v>
          </cell>
          <cell r="AB454" t="str">
            <v>No</v>
          </cell>
          <cell r="AC454" t="str">
            <v>30/08/2013</v>
          </cell>
          <cell r="AD454" t="str">
            <v>Good</v>
          </cell>
          <cell r="AE454" t="str">
            <v>V4 - Decommissioned Installed Facility</v>
          </cell>
          <cell r="AF454">
            <v>43404</v>
          </cell>
          <cell r="AG454">
            <v>9.17</v>
          </cell>
          <cell r="AH454" t="str">
            <v>PPM</v>
          </cell>
          <cell r="AI454" t="str">
            <v>Not in contract</v>
          </cell>
          <cell r="AJ454" t="str">
            <v>Not in contract</v>
          </cell>
          <cell r="AK454" t="e">
            <v>#N/A</v>
          </cell>
        </row>
        <row r="455">
          <cell r="A455" t="str">
            <v>IKN401381</v>
          </cell>
          <cell r="B455">
            <v>1375</v>
          </cell>
          <cell r="C455" t="str">
            <v>Institut Kanser Negara</v>
          </cell>
          <cell r="D455" t="e">
            <v>#N/A</v>
          </cell>
          <cell r="E455" t="str">
            <v>13-275</v>
          </cell>
          <cell r="F455" t="str">
            <v>Calibrators, Radioisotope</v>
          </cell>
          <cell r="G455" t="str">
            <v>NM</v>
          </cell>
          <cell r="H455" t="str">
            <v>NUCLEAR MED (DIAGNOSTIC)</v>
          </cell>
          <cell r="I455" t="str">
            <v>03NM138</v>
          </cell>
          <cell r="J455" t="str">
            <v>RADIOIODINE PREP. (100% F.A)</v>
          </cell>
          <cell r="K455" t="str">
            <v>BMED</v>
          </cell>
          <cell r="L455" t="str">
            <v>Normal</v>
          </cell>
          <cell r="M455" t="str">
            <v>USA</v>
          </cell>
          <cell r="N455" t="str">
            <v>Atomlab</v>
          </cell>
          <cell r="O455" t="str">
            <v>Atomlab 500</v>
          </cell>
          <cell r="P455">
            <v>12080700</v>
          </cell>
          <cell r="Q455" t="str">
            <v>NA</v>
          </cell>
          <cell r="R455" t="str">
            <v>Biodex Medical Systems Inc</v>
          </cell>
          <cell r="S455" t="str">
            <v>PHILIPS</v>
          </cell>
          <cell r="T455" t="str">
            <v>Not Functioning</v>
          </cell>
          <cell r="U455" t="str">
            <v>Asset</v>
          </cell>
          <cell r="V455">
            <v>60390</v>
          </cell>
          <cell r="W455" t="str">
            <v>Replacement</v>
          </cell>
          <cell r="X455" t="str">
            <v>01/09/2010</v>
          </cell>
          <cell r="Y455" t="str">
            <v>KEW</v>
          </cell>
          <cell r="Z455" t="str">
            <v>16/08/2013</v>
          </cell>
          <cell r="AA455" t="str">
            <v>15/08/2015</v>
          </cell>
          <cell r="AB455" t="str">
            <v>No</v>
          </cell>
          <cell r="AC455" t="str">
            <v>30/08/2013</v>
          </cell>
          <cell r="AD455" t="str">
            <v>Good</v>
          </cell>
          <cell r="AE455" t="str">
            <v>V4 - Decommissioned Installed Facility</v>
          </cell>
          <cell r="AF455">
            <v>43404</v>
          </cell>
          <cell r="AG455">
            <v>9.17</v>
          </cell>
          <cell r="AH455" t="str">
            <v>PPM</v>
          </cell>
          <cell r="AI455" t="str">
            <v>Not in contract</v>
          </cell>
          <cell r="AJ455" t="str">
            <v>Not in contract</v>
          </cell>
          <cell r="AK455" t="e">
            <v>#N/A</v>
          </cell>
        </row>
        <row r="456">
          <cell r="A456" t="str">
            <v>IKN401382</v>
          </cell>
          <cell r="B456">
            <v>1376</v>
          </cell>
          <cell r="C456" t="str">
            <v>Institut Kanser Negara</v>
          </cell>
          <cell r="D456" t="str">
            <v>KKM/IKN/H/13/3989</v>
          </cell>
          <cell r="E456" t="str">
            <v>13-275</v>
          </cell>
          <cell r="F456" t="str">
            <v>Calibrators, Radioisotope</v>
          </cell>
          <cell r="G456" t="str">
            <v>NM</v>
          </cell>
          <cell r="H456" t="str">
            <v>NUCLEAR MED (DIAGNOSTIC)</v>
          </cell>
          <cell r="I456" t="str">
            <v>03NM139</v>
          </cell>
          <cell r="J456" t="str">
            <v>QC</v>
          </cell>
          <cell r="K456" t="str">
            <v>BMED</v>
          </cell>
          <cell r="L456" t="str">
            <v>Normal</v>
          </cell>
          <cell r="M456" t="str">
            <v>USA</v>
          </cell>
          <cell r="N456" t="str">
            <v>Atomlab</v>
          </cell>
          <cell r="O456" t="str">
            <v>Atomlab 500</v>
          </cell>
          <cell r="P456" t="str">
            <v>12080702</v>
          </cell>
          <cell r="Q456" t="str">
            <v>NA</v>
          </cell>
          <cell r="R456" t="str">
            <v>Biodex Medical Systems Inc</v>
          </cell>
          <cell r="S456" t="str">
            <v>PHILIPS</v>
          </cell>
          <cell r="T456" t="str">
            <v>Not Functioning</v>
          </cell>
          <cell r="U456" t="str">
            <v>Asset</v>
          </cell>
          <cell r="V456">
            <v>60390</v>
          </cell>
          <cell r="W456" t="str">
            <v>KEW</v>
          </cell>
          <cell r="X456" t="str">
            <v>01/09/2010</v>
          </cell>
          <cell r="Y456" t="str">
            <v>Estimate</v>
          </cell>
          <cell r="Z456" t="str">
            <v>16/08/2013</v>
          </cell>
          <cell r="AA456" t="str">
            <v>15/08/2015</v>
          </cell>
          <cell r="AB456" t="str">
            <v>No</v>
          </cell>
          <cell r="AC456" t="str">
            <v>30/08/2013</v>
          </cell>
          <cell r="AD456" t="str">
            <v>Good</v>
          </cell>
          <cell r="AE456" t="str">
            <v>V4 - Decommissioned Installed Facility</v>
          </cell>
          <cell r="AF456">
            <v>43404</v>
          </cell>
          <cell r="AG456">
            <v>9.17</v>
          </cell>
          <cell r="AH456" t="str">
            <v>PPM</v>
          </cell>
          <cell r="AI456" t="str">
            <v>Not in contract</v>
          </cell>
          <cell r="AJ456" t="str">
            <v>Not in contract</v>
          </cell>
          <cell r="AK456" t="str">
            <v>[SHARIFAH; 10/7/2023]: SNF (STOP SERVICE) RECEIVED ON 10/7/2023.</v>
          </cell>
        </row>
        <row r="457">
          <cell r="A457" t="str">
            <v>IKN401404</v>
          </cell>
          <cell r="B457">
            <v>1389</v>
          </cell>
          <cell r="C457" t="str">
            <v>Institut Kanser Negara</v>
          </cell>
          <cell r="D457" t="str">
            <v>KKM/IKN/H/13/1876</v>
          </cell>
          <cell r="E457" t="str">
            <v>13-461</v>
          </cell>
          <cell r="F457" t="str">
            <v>Scales, Patient, Floor</v>
          </cell>
          <cell r="G457" t="str">
            <v>WJ</v>
          </cell>
          <cell r="H457" t="str">
            <v>MULTIDISCIPLINE WARD 1</v>
          </cell>
          <cell r="I457" t="str">
            <v>09WJ205</v>
          </cell>
          <cell r="J457" t="str">
            <v>NURSE STATION</v>
          </cell>
          <cell r="K457" t="str">
            <v>BMED</v>
          </cell>
          <cell r="L457" t="str">
            <v>Normal</v>
          </cell>
          <cell r="M457" t="str">
            <v>USA</v>
          </cell>
          <cell r="N457" t="str">
            <v>Detecto</v>
          </cell>
          <cell r="O457" t="str">
            <v>758 C</v>
          </cell>
          <cell r="P457" t="str">
            <v>E-32112-0201</v>
          </cell>
          <cell r="Q457" t="str">
            <v>NA</v>
          </cell>
          <cell r="R457" t="str">
            <v>DETECTO</v>
          </cell>
          <cell r="S457" t="str">
            <v>ACUCARE SYSTEM SDN BHD</v>
          </cell>
          <cell r="T457" t="str">
            <v>Functioning</v>
          </cell>
          <cell r="U457" t="str">
            <v>Asset</v>
          </cell>
          <cell r="V457">
            <v>9380</v>
          </cell>
          <cell r="W457" t="str">
            <v>KEW</v>
          </cell>
          <cell r="X457" t="str">
            <v>01/09/2010</v>
          </cell>
          <cell r="Y457" t="str">
            <v>Estimate</v>
          </cell>
          <cell r="Z457" t="str">
            <v>16/08/2013</v>
          </cell>
          <cell r="AA457" t="str">
            <v>15/08/2015</v>
          </cell>
          <cell r="AB457" t="str">
            <v>No</v>
          </cell>
          <cell r="AC457" t="str">
            <v>31/08/2013</v>
          </cell>
          <cell r="AD457" t="str">
            <v>Good</v>
          </cell>
          <cell r="AE457" t="str">
            <v>V1 - Existing / No Claim</v>
          </cell>
          <cell r="AF457">
            <v>42781</v>
          </cell>
          <cell r="AG457">
            <v>9.17</v>
          </cell>
          <cell r="AH457" t="str">
            <v>PPM</v>
          </cell>
          <cell r="AI457" t="str">
            <v>Strands</v>
          </cell>
          <cell r="AJ457" t="str">
            <v>Strands PW. Proposed for V4 P2.23</v>
          </cell>
          <cell r="AK457" t="str">
            <v>[18/9/2023, SHARIFAH]: PEP ON 27/7/2023, BER/BEMS/IKN/23/015 - Asset mengalami kerosakan pada load sensor.</v>
          </cell>
        </row>
        <row r="458">
          <cell r="A458" t="str">
            <v>IKN401421</v>
          </cell>
          <cell r="B458">
            <v>1401</v>
          </cell>
          <cell r="C458" t="str">
            <v>Institut Kanser Negara</v>
          </cell>
          <cell r="D458" t="str">
            <v>KKM/IKN/H/13/3175</v>
          </cell>
          <cell r="E458" t="str">
            <v>13-461</v>
          </cell>
          <cell r="F458" t="str">
            <v>Scales, Patient, Floor</v>
          </cell>
          <cell r="G458" t="str">
            <v>WF</v>
          </cell>
          <cell r="H458" t="str">
            <v>RT/ONCO WARD 2 (F)</v>
          </cell>
          <cell r="I458" t="str">
            <v>07WF143</v>
          </cell>
          <cell r="J458" t="str">
            <v>NURSE STATION</v>
          </cell>
          <cell r="K458" t="str">
            <v>BMED</v>
          </cell>
          <cell r="L458" t="str">
            <v>Normal</v>
          </cell>
          <cell r="M458" t="str">
            <v>USA</v>
          </cell>
          <cell r="N458" t="str">
            <v>Detecto</v>
          </cell>
          <cell r="O458" t="str">
            <v>758 C</v>
          </cell>
          <cell r="P458" t="str">
            <v>E 34812-0040</v>
          </cell>
          <cell r="Q458" t="str">
            <v>Not Available</v>
          </cell>
          <cell r="R458" t="str">
            <v>DETECTO</v>
          </cell>
          <cell r="S458" t="str">
            <v>Acucare System (M) Sdn. Bhd</v>
          </cell>
          <cell r="T458" t="str">
            <v>Functioning</v>
          </cell>
          <cell r="U458" t="str">
            <v>Asset</v>
          </cell>
          <cell r="V458">
            <v>9380</v>
          </cell>
          <cell r="W458" t="str">
            <v>KEW</v>
          </cell>
          <cell r="X458" t="str">
            <v>01/09/2010</v>
          </cell>
          <cell r="Y458" t="str">
            <v>KEW</v>
          </cell>
          <cell r="Z458" t="str">
            <v>16/08/2013</v>
          </cell>
          <cell r="AA458" t="str">
            <v>15/08/2015</v>
          </cell>
          <cell r="AB458" t="str">
            <v>No</v>
          </cell>
          <cell r="AC458" t="str">
            <v>31/08/2013</v>
          </cell>
          <cell r="AD458" t="str">
            <v>Good</v>
          </cell>
          <cell r="AE458" t="str">
            <v>V1 - Existing / No Claim</v>
          </cell>
          <cell r="AF458">
            <v>42788</v>
          </cell>
          <cell r="AG458">
            <v>9.17</v>
          </cell>
          <cell r="AH458" t="str">
            <v>PPM</v>
          </cell>
          <cell r="AI458" t="str">
            <v>Strands</v>
          </cell>
          <cell r="AJ458" t="str">
            <v>Strands PW. Proposed for V4 P2.23</v>
          </cell>
          <cell r="AK458" t="str">
            <v>[5/7/2023] INDIRA: DETECTO TIADA DI WAD 7B. [SHARIFAH, 16/10/2023]: PEP ON 21/7/2023. BER/BEMS/IKN/22/002 - Aset telah mengalami kerosakan pada komponen mainboard dan display panel. Aset ini tidak ekonomik diperbaiki lagi.</v>
          </cell>
        </row>
        <row r="459">
          <cell r="A459" t="str">
            <v>IKN401435</v>
          </cell>
          <cell r="B459">
            <v>1411</v>
          </cell>
          <cell r="C459" t="str">
            <v>Institut Kanser Negara</v>
          </cell>
          <cell r="E459" t="str">
            <v>17-887</v>
          </cell>
          <cell r="F459" t="str">
            <v>Thermometers, Electronic, Infrared, Ear</v>
          </cell>
          <cell r="G459" t="str">
            <v>MC</v>
          </cell>
          <cell r="H459" t="str">
            <v>MULTI-DISCIPLINE CLINIC</v>
          </cell>
          <cell r="I459" t="str">
            <v>03MC127</v>
          </cell>
          <cell r="J459" t="str">
            <v>C/E 1 (ENT)</v>
          </cell>
          <cell r="K459" t="str">
            <v>BMED</v>
          </cell>
          <cell r="L459" t="str">
            <v>Normal</v>
          </cell>
          <cell r="M459" t="str">
            <v>Mexico</v>
          </cell>
          <cell r="N459" t="str">
            <v>Thermoscan</v>
          </cell>
          <cell r="O459" t="str">
            <v>Thermoscan Pro 4000</v>
          </cell>
          <cell r="P459" t="str">
            <v>33412K02317</v>
          </cell>
          <cell r="Q459" t="str">
            <v>Not Available</v>
          </cell>
          <cell r="R459" t="str">
            <v>Welch Allyn Inc</v>
          </cell>
          <cell r="S459" t="str">
            <v>Welch Allyn Malaysia Sdn. Bhd</v>
          </cell>
          <cell r="T459" t="str">
            <v>Functioning</v>
          </cell>
          <cell r="U459" t="str">
            <v>Asset</v>
          </cell>
          <cell r="V459">
            <v>540</v>
          </cell>
          <cell r="W459" t="str">
            <v>KEW</v>
          </cell>
          <cell r="X459" t="str">
            <v>01/09/2010</v>
          </cell>
          <cell r="Y459" t="str">
            <v>KEW</v>
          </cell>
          <cell r="Z459" t="str">
            <v>16/08/2013</v>
          </cell>
          <cell r="AA459" t="str">
            <v>15/08/2015</v>
          </cell>
          <cell r="AB459" t="str">
            <v>No</v>
          </cell>
          <cell r="AC459" t="str">
            <v>31/08/2013</v>
          </cell>
          <cell r="AD459" t="str">
            <v>Good</v>
          </cell>
          <cell r="AE459" t="str">
            <v>V1 - Existing / No Claim</v>
          </cell>
          <cell r="AF459">
            <v>42781</v>
          </cell>
          <cell r="AG459">
            <v>9.17</v>
          </cell>
          <cell r="AH459" t="str">
            <v>RI</v>
          </cell>
          <cell r="AI459" t="str">
            <v>Not in contract</v>
          </cell>
          <cell r="AJ459" t="str">
            <v>Not under maintenance</v>
          </cell>
          <cell r="AK459" t="e">
            <v>#N/A</v>
          </cell>
        </row>
        <row r="460">
          <cell r="A460" t="str">
            <v>IKN401437</v>
          </cell>
          <cell r="B460">
            <v>1413</v>
          </cell>
          <cell r="C460" t="str">
            <v>Institut Kanser Negara</v>
          </cell>
          <cell r="E460" t="str">
            <v>17-887</v>
          </cell>
          <cell r="F460" t="str">
            <v>Thermometers, Electronic, Infrared, Ear</v>
          </cell>
          <cell r="G460" t="str">
            <v>MC</v>
          </cell>
          <cell r="H460" t="str">
            <v>MULTI-DISCIPLINE CLINIC</v>
          </cell>
          <cell r="I460" t="str">
            <v>03MC107</v>
          </cell>
          <cell r="J460" t="str">
            <v>TREATMENT 1</v>
          </cell>
          <cell r="K460" t="str">
            <v>BMED</v>
          </cell>
          <cell r="L460" t="str">
            <v>Normal</v>
          </cell>
          <cell r="M460" t="str">
            <v>Mexico</v>
          </cell>
          <cell r="N460" t="str">
            <v>Thermoscan</v>
          </cell>
          <cell r="O460" t="str">
            <v>Thermoscan Pro 4000</v>
          </cell>
          <cell r="P460" t="str">
            <v>33412K05388</v>
          </cell>
          <cell r="Q460" t="str">
            <v>Not Applicable</v>
          </cell>
          <cell r="R460" t="str">
            <v>Welch Allyn Inc</v>
          </cell>
          <cell r="S460" t="str">
            <v>Welch Allyn Malaysia Sdn. Bhd</v>
          </cell>
          <cell r="T460" t="str">
            <v>Functioning</v>
          </cell>
          <cell r="U460" t="str">
            <v>Asset</v>
          </cell>
          <cell r="V460">
            <v>540</v>
          </cell>
          <cell r="W460" t="str">
            <v>KEW</v>
          </cell>
          <cell r="X460" t="str">
            <v>01/09/2010</v>
          </cell>
          <cell r="Y460" t="str">
            <v>KEW</v>
          </cell>
          <cell r="Z460" t="str">
            <v>16/08/2013</v>
          </cell>
          <cell r="AA460" t="str">
            <v>15/08/2015</v>
          </cell>
          <cell r="AB460" t="str">
            <v>No</v>
          </cell>
          <cell r="AC460" t="str">
            <v>31/08/2013</v>
          </cell>
          <cell r="AD460" t="str">
            <v>Good</v>
          </cell>
          <cell r="AE460" t="str">
            <v>V1 - Existing / No Claim</v>
          </cell>
          <cell r="AF460">
            <v>42799</v>
          </cell>
          <cell r="AG460">
            <v>9.17</v>
          </cell>
          <cell r="AH460" t="str">
            <v>RI</v>
          </cell>
          <cell r="AI460" t="str">
            <v>Not in contract</v>
          </cell>
          <cell r="AJ460" t="str">
            <v>Not under maintenance</v>
          </cell>
          <cell r="AK460" t="e">
            <v>#N/A</v>
          </cell>
        </row>
        <row r="461">
          <cell r="A461" t="str">
            <v>IKN401438</v>
          </cell>
          <cell r="B461">
            <v>1414</v>
          </cell>
          <cell r="C461" t="str">
            <v>Institut Kanser Negara</v>
          </cell>
          <cell r="E461" t="str">
            <v>17-887</v>
          </cell>
          <cell r="F461" t="str">
            <v>Thermometers, Electronic, Infrared, Ear</v>
          </cell>
          <cell r="G461" t="str">
            <v>MC</v>
          </cell>
          <cell r="H461" t="str">
            <v>MULTI-DISCIPLINE CLINIC</v>
          </cell>
          <cell r="I461" t="str">
            <v>03MC108</v>
          </cell>
          <cell r="J461" t="str">
            <v>TREATMENT/PROCEDURE</v>
          </cell>
          <cell r="K461" t="str">
            <v>BMED</v>
          </cell>
          <cell r="L461" t="str">
            <v>Normal</v>
          </cell>
          <cell r="M461" t="str">
            <v>Mexico</v>
          </cell>
          <cell r="N461" t="str">
            <v>Thermoscan</v>
          </cell>
          <cell r="O461" t="str">
            <v>Thermoscan Pro 4000</v>
          </cell>
          <cell r="P461" t="str">
            <v>33412K0518</v>
          </cell>
          <cell r="Q461" t="str">
            <v>Not Available</v>
          </cell>
          <cell r="R461" t="str">
            <v>Welch Allyn Inc</v>
          </cell>
          <cell r="S461" t="str">
            <v>Welch Allyn Malaysia Sdn. Bhd</v>
          </cell>
          <cell r="T461" t="str">
            <v>Functioning</v>
          </cell>
          <cell r="U461" t="str">
            <v>Asset</v>
          </cell>
          <cell r="V461">
            <v>540</v>
          </cell>
          <cell r="W461" t="str">
            <v>KEW</v>
          </cell>
          <cell r="X461" t="str">
            <v>01/09/2010</v>
          </cell>
          <cell r="Y461" t="str">
            <v>KEW</v>
          </cell>
          <cell r="Z461" t="str">
            <v>16/08/2013</v>
          </cell>
          <cell r="AA461" t="str">
            <v>15/08/2015</v>
          </cell>
          <cell r="AB461" t="str">
            <v>No</v>
          </cell>
          <cell r="AC461" t="str">
            <v>31/08/2013</v>
          </cell>
          <cell r="AD461" t="str">
            <v>Good</v>
          </cell>
          <cell r="AE461" t="str">
            <v>V1 - Existing / No Claim</v>
          </cell>
          <cell r="AF461">
            <v>42781</v>
          </cell>
          <cell r="AG461">
            <v>9.17</v>
          </cell>
          <cell r="AH461" t="str">
            <v>RI</v>
          </cell>
          <cell r="AI461" t="str">
            <v>Not in contract</v>
          </cell>
          <cell r="AJ461" t="str">
            <v>Not under maintenance</v>
          </cell>
          <cell r="AK461" t="e">
            <v>#N/A</v>
          </cell>
        </row>
        <row r="462">
          <cell r="A462" t="str">
            <v>IKN401443</v>
          </cell>
          <cell r="B462">
            <v>1418</v>
          </cell>
          <cell r="C462" t="str">
            <v>Institut Kanser Negara</v>
          </cell>
          <cell r="D462" t="str">
            <v>KKM/IKN/H/13/1540</v>
          </cell>
          <cell r="E462" t="str">
            <v>13-461</v>
          </cell>
          <cell r="F462" t="str">
            <v>Scales, Patient, Floor</v>
          </cell>
          <cell r="G462" t="str">
            <v>PY</v>
          </cell>
          <cell r="H462" t="str">
            <v>PHYSIOTHERAPY</v>
          </cell>
          <cell r="I462" t="str">
            <v>04PY109</v>
          </cell>
          <cell r="J462" t="str">
            <v>ASSESSMENT / TREATMENT</v>
          </cell>
          <cell r="K462" t="str">
            <v>BMED</v>
          </cell>
          <cell r="L462" t="str">
            <v>Normal</v>
          </cell>
          <cell r="M462" t="str">
            <v>USA</v>
          </cell>
          <cell r="N462" t="str">
            <v>Detecto</v>
          </cell>
          <cell r="O462" t="str">
            <v>758 C</v>
          </cell>
          <cell r="P462" t="str">
            <v>E 34812-0045</v>
          </cell>
          <cell r="Q462" t="str">
            <v>Not Applicable</v>
          </cell>
          <cell r="R462" t="str">
            <v>DETECTO</v>
          </cell>
          <cell r="S462" t="str">
            <v>Acucare System (M) Sdn. Bhd</v>
          </cell>
          <cell r="T462" t="str">
            <v>Not Functioning</v>
          </cell>
          <cell r="U462" t="str">
            <v>Asset</v>
          </cell>
          <cell r="V462">
            <v>9380</v>
          </cell>
          <cell r="W462" t="str">
            <v>KEW</v>
          </cell>
          <cell r="X462" t="str">
            <v>01/09/2010</v>
          </cell>
          <cell r="Y462" t="str">
            <v>KEW</v>
          </cell>
          <cell r="Z462" t="str">
            <v>16/08/2013</v>
          </cell>
          <cell r="AA462" t="str">
            <v>15/08/2015</v>
          </cell>
          <cell r="AB462" t="str">
            <v>No</v>
          </cell>
          <cell r="AC462" t="str">
            <v>31/08/2013</v>
          </cell>
          <cell r="AD462" t="str">
            <v>Good</v>
          </cell>
          <cell r="AE462" t="str">
            <v>V1 - Existing / No Claim</v>
          </cell>
          <cell r="AF462">
            <v>42801</v>
          </cell>
          <cell r="AG462">
            <v>9.17</v>
          </cell>
          <cell r="AH462" t="str">
            <v>PPM</v>
          </cell>
          <cell r="AI462" t="str">
            <v>Strands</v>
          </cell>
          <cell r="AJ462" t="str">
            <v>Not in contract</v>
          </cell>
          <cell r="AK462" t="str">
            <v>[22/9/2023, SHARIFAH]: PEP ON FEB 2021, BER/BEMS/AWSB/21/003 - Asset mengalami kerosakan pada komponen Mainboard.</v>
          </cell>
        </row>
        <row r="463">
          <cell r="A463" t="str">
            <v>IKN401511</v>
          </cell>
          <cell r="B463">
            <v>1455</v>
          </cell>
          <cell r="C463" t="str">
            <v>Institut Kanser Negara</v>
          </cell>
          <cell r="D463" t="str">
            <v>KKM/IKN/H/13/630</v>
          </cell>
          <cell r="E463" t="str">
            <v>10-263</v>
          </cell>
          <cell r="F463" t="str">
            <v>Balances, Electronic</v>
          </cell>
          <cell r="G463" t="str">
            <v>KT</v>
          </cell>
          <cell r="H463" t="str">
            <v>CATERING</v>
          </cell>
          <cell r="I463" t="str">
            <v>01KT131</v>
          </cell>
          <cell r="J463" t="str">
            <v>EXTERNAL PREP.</v>
          </cell>
          <cell r="K463" t="str">
            <v>BMED</v>
          </cell>
          <cell r="L463" t="str">
            <v>Normal</v>
          </cell>
          <cell r="M463" t="str">
            <v>Spain</v>
          </cell>
          <cell r="N463" t="str">
            <v>Avery</v>
          </cell>
          <cell r="O463" t="str">
            <v>AWE-15</v>
          </cell>
          <cell r="P463" t="str">
            <v>Not Available</v>
          </cell>
          <cell r="Q463" t="str">
            <v>Not Applicable</v>
          </cell>
          <cell r="R463" t="str">
            <v>AVERY BERKEL</v>
          </cell>
          <cell r="S463" t="str">
            <v>Somerco Jaya Sdn Bhd</v>
          </cell>
          <cell r="T463" t="str">
            <v>Functioning</v>
          </cell>
          <cell r="U463" t="str">
            <v>Asset</v>
          </cell>
          <cell r="V463">
            <v>1840</v>
          </cell>
          <cell r="W463" t="str">
            <v>KEW</v>
          </cell>
          <cell r="X463" t="str">
            <v>01/09/2010</v>
          </cell>
          <cell r="Y463" t="str">
            <v>KEW</v>
          </cell>
          <cell r="Z463" t="str">
            <v>16/08/2013</v>
          </cell>
          <cell r="AA463" t="str">
            <v>15/08/2015</v>
          </cell>
          <cell r="AB463" t="str">
            <v>No</v>
          </cell>
          <cell r="AC463" t="str">
            <v>31/08/2013</v>
          </cell>
          <cell r="AD463" t="str">
            <v>Good</v>
          </cell>
          <cell r="AE463" t="str">
            <v>V1 - Existing / No Claim</v>
          </cell>
          <cell r="AF463">
            <v>42951</v>
          </cell>
          <cell r="AG463">
            <v>9.17</v>
          </cell>
          <cell r="AH463" t="str">
            <v>PPM</v>
          </cell>
          <cell r="AI463" t="str">
            <v>Strands</v>
          </cell>
          <cell r="AJ463" t="str">
            <v>Strands PW</v>
          </cell>
          <cell r="AK463" t="str">
            <v>[12/3/2024]: TRANSFER TO HTAA, KUANTAN.</v>
          </cell>
        </row>
        <row r="464">
          <cell r="A464" t="str">
            <v>IKN401517</v>
          </cell>
          <cell r="B464" t="str">
            <v>Institut Kanser Negara</v>
          </cell>
          <cell r="C464" t="str">
            <v>KKM/IKN/H/13/4637</v>
          </cell>
          <cell r="D464" t="str">
            <v>13-462</v>
          </cell>
          <cell r="E464" t="str">
            <v>Scales, Infant</v>
          </cell>
          <cell r="F464" t="str">
            <v>DU</v>
          </cell>
          <cell r="G464" t="str">
            <v>DIETICIAN UNIT</v>
          </cell>
          <cell r="H464" t="str">
            <v>03DU105</v>
          </cell>
          <cell r="I464" t="str">
            <v>HEAD OF UNIT</v>
          </cell>
          <cell r="J464" t="str">
            <v>BMED</v>
          </cell>
          <cell r="K464" t="str">
            <v>Normal</v>
          </cell>
          <cell r="L464" t="str">
            <v>Germany</v>
          </cell>
          <cell r="M464" t="str">
            <v>SECA</v>
          </cell>
          <cell r="N464" t="str">
            <v>SECA 334</v>
          </cell>
          <cell r="O464" t="str">
            <v>5769177136666</v>
          </cell>
          <cell r="P464" t="str">
            <v>SECA GMBH</v>
          </cell>
          <cell r="Q464" t="str">
            <v>Lazcorp Holding (M) Sdn Bhd</v>
          </cell>
          <cell r="R464" t="str">
            <v>Functioning</v>
          </cell>
          <cell r="S464">
            <v>3515</v>
          </cell>
          <cell r="T464" t="str">
            <v>KEW</v>
          </cell>
          <cell r="U464" t="str">
            <v>10/12/2013</v>
          </cell>
          <cell r="V464" t="str">
            <v>KEW</v>
          </cell>
          <cell r="W464" t="str">
            <v>16/12/2013</v>
          </cell>
          <cell r="X464" t="str">
            <v>15/12/2014</v>
          </cell>
          <cell r="Y464" t="str">
            <v>No</v>
          </cell>
          <cell r="Z464" t="str">
            <v>16/12/2013</v>
          </cell>
          <cell r="AA464" t="str">
            <v>Good</v>
          </cell>
          <cell r="AB464" t="str">
            <v>V5 - Transfer to other Hospitals/Healthcare Facility</v>
          </cell>
          <cell r="AC464">
            <v>43033</v>
          </cell>
          <cell r="AD464">
            <v>5.92</v>
          </cell>
          <cell r="AE464" t="str">
            <v>PPM</v>
          </cell>
          <cell r="AF464" t="str">
            <v>Not in contract</v>
          </cell>
          <cell r="AG464" t="str">
            <v>Strands PW. Proposed for V5 P2.23</v>
          </cell>
          <cell r="AH464" t="str">
            <v>SNF received. 1st batch of V3 asset (December 2020). V4 received on Jan 2021. Transfer to Hospital Serdang</v>
          </cell>
        </row>
        <row r="465">
          <cell r="A465" t="str">
            <v>IKN401612</v>
          </cell>
          <cell r="B465">
            <v>1546</v>
          </cell>
          <cell r="C465" t="str">
            <v>Institut Kanser Negara</v>
          </cell>
          <cell r="D465" t="str">
            <v>KKM/IKN/I/13/5898</v>
          </cell>
          <cell r="E465" t="str">
            <v>13-325</v>
          </cell>
          <cell r="F465" t="str">
            <v>Regulators, Suction</v>
          </cell>
          <cell r="G465" t="str">
            <v>MC</v>
          </cell>
          <cell r="H465" t="str">
            <v>MULTI-DISCIPLINE CLINIC</v>
          </cell>
          <cell r="I465" t="str">
            <v>03MC108</v>
          </cell>
          <cell r="J465" t="str">
            <v>TREATMENT/PROCEDURE</v>
          </cell>
          <cell r="K465" t="str">
            <v>BMED</v>
          </cell>
          <cell r="L465" t="str">
            <v>Normal</v>
          </cell>
          <cell r="M465" t="str">
            <v>United States</v>
          </cell>
          <cell r="N465" t="str">
            <v>OHIO</v>
          </cell>
          <cell r="O465" t="str">
            <v>R244047311229905</v>
          </cell>
          <cell r="P465" t="str">
            <v>GPHS65052</v>
          </cell>
          <cell r="Q465" t="str">
            <v>Not Applicable</v>
          </cell>
          <cell r="R465" t="str">
            <v>OHIO</v>
          </cell>
          <cell r="S465" t="str">
            <v>Respimedic</v>
          </cell>
          <cell r="T465" t="str">
            <v>Functioning</v>
          </cell>
          <cell r="U465" t="str">
            <v>Asset</v>
          </cell>
          <cell r="V465">
            <v>920</v>
          </cell>
          <cell r="W465" t="str">
            <v>KEW</v>
          </cell>
          <cell r="X465" t="str">
            <v>01/09/2010</v>
          </cell>
          <cell r="Y465" t="str">
            <v>KEW</v>
          </cell>
          <cell r="Z465" t="str">
            <v>16/08/2013</v>
          </cell>
          <cell r="AA465" t="str">
            <v>15/08/2015</v>
          </cell>
          <cell r="AB465" t="str">
            <v>No</v>
          </cell>
          <cell r="AC465" t="str">
            <v>31/08/2013</v>
          </cell>
          <cell r="AD465" t="str">
            <v>Good</v>
          </cell>
          <cell r="AE465" t="str">
            <v>V4 - Decommissioned Installed Facility</v>
          </cell>
          <cell r="AF465">
            <v>42951</v>
          </cell>
          <cell r="AG465">
            <v>9.17</v>
          </cell>
          <cell r="AH465" t="str">
            <v>RI</v>
          </cell>
          <cell r="AI465" t="str">
            <v>Strands</v>
          </cell>
          <cell r="AJ465" t="str">
            <v>Not under maintenance</v>
          </cell>
        </row>
        <row r="466">
          <cell r="A466" t="str">
            <v>IKN401613</v>
          </cell>
          <cell r="B466">
            <v>1547</v>
          </cell>
          <cell r="C466" t="str">
            <v>Institut Kanser Negara</v>
          </cell>
          <cell r="D466" t="str">
            <v>KKM/IKN/I/13/5899</v>
          </cell>
          <cell r="E466" t="str">
            <v>13-325</v>
          </cell>
          <cell r="F466" t="str">
            <v>Regulators, Suction</v>
          </cell>
          <cell r="G466" t="str">
            <v>MC</v>
          </cell>
          <cell r="H466" t="str">
            <v>MULTI-DISCIPLINE CLINIC</v>
          </cell>
          <cell r="I466" t="str">
            <v>03MC107</v>
          </cell>
          <cell r="J466" t="str">
            <v>TREATMENT 1</v>
          </cell>
          <cell r="K466" t="str">
            <v>BMED</v>
          </cell>
          <cell r="L466" t="str">
            <v>Normal</v>
          </cell>
          <cell r="M466" t="str">
            <v>United States</v>
          </cell>
          <cell r="N466" t="str">
            <v>OHIO</v>
          </cell>
          <cell r="O466" t="str">
            <v>R244047311229905</v>
          </cell>
          <cell r="P466" t="str">
            <v>GPHS65079</v>
          </cell>
          <cell r="Q466" t="str">
            <v>Not Applicable</v>
          </cell>
          <cell r="R466" t="str">
            <v>OHIO</v>
          </cell>
          <cell r="S466" t="str">
            <v>Respimedic</v>
          </cell>
          <cell r="T466" t="str">
            <v>Functioning</v>
          </cell>
          <cell r="U466" t="str">
            <v>Asset</v>
          </cell>
          <cell r="V466">
            <v>920</v>
          </cell>
          <cell r="W466" t="str">
            <v>KEW</v>
          </cell>
          <cell r="X466" t="str">
            <v>01/09/2010</v>
          </cell>
          <cell r="Y466" t="str">
            <v>KEW</v>
          </cell>
          <cell r="Z466" t="str">
            <v>16/08/2013</v>
          </cell>
          <cell r="AA466" t="str">
            <v>15/08/2015</v>
          </cell>
          <cell r="AB466" t="str">
            <v>No</v>
          </cell>
          <cell r="AC466" t="str">
            <v>31/08/2013</v>
          </cell>
          <cell r="AD466" t="str">
            <v>Good</v>
          </cell>
          <cell r="AE466" t="str">
            <v>V4 - Decommissioned Installed Facility</v>
          </cell>
          <cell r="AF466">
            <v>42951</v>
          </cell>
          <cell r="AG466">
            <v>9.17</v>
          </cell>
          <cell r="AH466" t="str">
            <v>RI</v>
          </cell>
          <cell r="AI466" t="str">
            <v>Strands</v>
          </cell>
          <cell r="AJ466" t="str">
            <v>Not under maintenance</v>
          </cell>
        </row>
        <row r="467">
          <cell r="A467" t="str">
            <v>IKN401614</v>
          </cell>
          <cell r="B467">
            <v>1548</v>
          </cell>
          <cell r="C467" t="str">
            <v>Institut Kanser Negara</v>
          </cell>
          <cell r="D467" t="str">
            <v>KKM/IKN/I/13/5897</v>
          </cell>
          <cell r="E467" t="str">
            <v>13-325</v>
          </cell>
          <cell r="F467" t="str">
            <v>Regulators, Suction</v>
          </cell>
          <cell r="G467" t="str">
            <v>MC</v>
          </cell>
          <cell r="H467" t="str">
            <v>MULTI-DISCIPLINE CLINIC</v>
          </cell>
          <cell r="I467" t="str">
            <v>03MC107</v>
          </cell>
          <cell r="J467" t="str">
            <v>TREATMENT 1</v>
          </cell>
          <cell r="K467" t="str">
            <v>BMED</v>
          </cell>
          <cell r="L467" t="str">
            <v>Normal</v>
          </cell>
          <cell r="M467" t="str">
            <v>United States</v>
          </cell>
          <cell r="N467" t="str">
            <v>OHIO</v>
          </cell>
          <cell r="O467" t="str">
            <v>R244047311229905</v>
          </cell>
          <cell r="P467" t="str">
            <v>GPHS65059</v>
          </cell>
          <cell r="Q467" t="str">
            <v>Not Applicable</v>
          </cell>
          <cell r="R467" t="str">
            <v>OHIO</v>
          </cell>
          <cell r="S467" t="str">
            <v>Respimedic</v>
          </cell>
          <cell r="T467" t="str">
            <v>Functioning</v>
          </cell>
          <cell r="U467" t="str">
            <v>Asset</v>
          </cell>
          <cell r="V467">
            <v>920</v>
          </cell>
          <cell r="W467" t="str">
            <v>KEW</v>
          </cell>
          <cell r="X467" t="str">
            <v>01/09/2010</v>
          </cell>
          <cell r="Y467" t="str">
            <v>KEW</v>
          </cell>
          <cell r="Z467" t="str">
            <v>16/08/2013</v>
          </cell>
          <cell r="AA467" t="str">
            <v>15/08/2015</v>
          </cell>
          <cell r="AB467" t="str">
            <v>No</v>
          </cell>
          <cell r="AC467" t="str">
            <v>31/08/2013</v>
          </cell>
          <cell r="AD467" t="str">
            <v>Good</v>
          </cell>
          <cell r="AE467" t="str">
            <v>V4 - Decommissioned Installed Facility</v>
          </cell>
          <cell r="AF467">
            <v>42951</v>
          </cell>
          <cell r="AG467">
            <v>9.17</v>
          </cell>
          <cell r="AH467" t="str">
            <v>RI</v>
          </cell>
          <cell r="AI467" t="str">
            <v>Strands</v>
          </cell>
          <cell r="AJ467" t="str">
            <v>Not under maintenance</v>
          </cell>
        </row>
        <row r="468">
          <cell r="A468" t="str">
            <v>IKN401696</v>
          </cell>
          <cell r="B468">
            <v>1619</v>
          </cell>
          <cell r="C468" t="str">
            <v>Institut Kanser Negara</v>
          </cell>
          <cell r="D468" t="str">
            <v>KKM/IKN/H/13/3107</v>
          </cell>
          <cell r="E468" t="str">
            <v>12-660</v>
          </cell>
          <cell r="F468" t="str">
            <v>Radiation Monitors</v>
          </cell>
          <cell r="G468" t="str">
            <v>WA</v>
          </cell>
          <cell r="H468" t="str">
            <v>NUCLEAR MED WARD (THERAPY)</v>
          </cell>
          <cell r="I468" t="str">
            <v>03WA117</v>
          </cell>
          <cell r="J468" t="str">
            <v>N/S 1</v>
          </cell>
          <cell r="K468" t="str">
            <v>BMED</v>
          </cell>
          <cell r="L468" t="str">
            <v>Normal</v>
          </cell>
          <cell r="M468" t="str">
            <v>GERMANY</v>
          </cell>
          <cell r="N468" t="str">
            <v>PADOS</v>
          </cell>
          <cell r="O468" t="str">
            <v>PADOS</v>
          </cell>
          <cell r="P468" t="str">
            <v>Not Available</v>
          </cell>
          <cell r="Q468" t="str">
            <v>Not Applicable</v>
          </cell>
          <cell r="R468" t="str">
            <v>MED DULMEN/NUVIA INSTRUMENT GMBH</v>
          </cell>
          <cell r="S468" t="str">
            <v>MED Nuklear-Medizintechnik Dresden GmbH</v>
          </cell>
          <cell r="T468" t="str">
            <v>Functioning</v>
          </cell>
          <cell r="U468" t="str">
            <v>Asset</v>
          </cell>
          <cell r="V468">
            <v>21290</v>
          </cell>
          <cell r="W468" t="str">
            <v>KEW</v>
          </cell>
          <cell r="X468" t="str">
            <v>01/09/2010</v>
          </cell>
          <cell r="Y468" t="str">
            <v>KEW</v>
          </cell>
          <cell r="Z468" t="str">
            <v>16/08/2013</v>
          </cell>
          <cell r="AA468" t="str">
            <v>15/08/2015</v>
          </cell>
          <cell r="AB468" t="str">
            <v>No</v>
          </cell>
          <cell r="AC468" t="str">
            <v>16/08/2013</v>
          </cell>
          <cell r="AD468" t="str">
            <v>Good</v>
          </cell>
          <cell r="AE468" t="str">
            <v>V10 - Asset in initial fee submission(new/replacement hosp)</v>
          </cell>
          <cell r="AF468">
            <v>43431</v>
          </cell>
          <cell r="AG468">
            <v>9.17</v>
          </cell>
          <cell r="AH468" t="str">
            <v>PPM</v>
          </cell>
          <cell r="AI468" t="str">
            <v>Strands</v>
          </cell>
          <cell r="AJ468" t="str">
            <v>Strands PW</v>
          </cell>
          <cell r="AK468" t="str">
            <v>BER</v>
          </cell>
        </row>
        <row r="469">
          <cell r="A469" t="str">
            <v>IKN402003</v>
          </cell>
          <cell r="B469">
            <v>1658</v>
          </cell>
          <cell r="C469" t="str">
            <v>Institut Kanser Negara</v>
          </cell>
          <cell r="D469" t="str">
            <v>KKM/IKN/H/19/24</v>
          </cell>
          <cell r="E469" t="str">
            <v>17-973</v>
          </cell>
          <cell r="F469" t="str">
            <v>Testers, Laser Beam</v>
          </cell>
          <cell r="G469" t="str">
            <v>RT</v>
          </cell>
          <cell r="H469" t="str">
            <v>RADIATION TREATMENT UNIT</v>
          </cell>
          <cell r="I469" t="str">
            <v>01RT213</v>
          </cell>
          <cell r="J469" t="str">
            <v>EQUIPMENT ROOM1</v>
          </cell>
          <cell r="K469" t="str">
            <v>BMED</v>
          </cell>
          <cell r="L469" t="str">
            <v>Normal</v>
          </cell>
          <cell r="Q469" t="str">
            <v>Not Applicable</v>
          </cell>
          <cell r="R469" t="str">
            <v>MODUS MEDICAL DEVICES INC.</v>
          </cell>
          <cell r="S469" t="str">
            <v>ABEX MEDICAL SYSTEM SDN BHD</v>
          </cell>
          <cell r="T469" t="str">
            <v>Functioning</v>
          </cell>
          <cell r="U469" t="str">
            <v>Asset</v>
          </cell>
          <cell r="V469">
            <v>200000</v>
          </cell>
          <cell r="W469" t="str">
            <v>KEW</v>
          </cell>
          <cell r="X469">
            <v>43749</v>
          </cell>
          <cell r="Y469" t="str">
            <v>KEW</v>
          </cell>
          <cell r="Z469">
            <v>43768</v>
          </cell>
          <cell r="AA469">
            <v>44526</v>
          </cell>
          <cell r="AB469" t="str">
            <v>No</v>
          </cell>
          <cell r="AC469">
            <v>43768</v>
          </cell>
          <cell r="AD469" t="str">
            <v>Good</v>
          </cell>
          <cell r="AE469" t="str">
            <v>V3 - Added Installed Facilities (New)</v>
          </cell>
          <cell r="AH469" t="str">
            <v>PPM</v>
          </cell>
          <cell r="AI469" t="str">
            <v>Strands</v>
          </cell>
          <cell r="AJ469" t="str">
            <v>Strands PW</v>
          </cell>
          <cell r="AK469" t="str">
            <v>SNF received for P2.19. Vendor/User inform no maintenance. Quasar Respiratory Motion Phantom.</v>
          </cell>
        </row>
        <row r="470">
          <cell r="A470" t="str">
            <v>IKN402023</v>
          </cell>
          <cell r="B470">
            <v>1678</v>
          </cell>
          <cell r="C470" t="str">
            <v>Institut Kanser Negara</v>
          </cell>
          <cell r="D470" t="str">
            <v>KKM/IKN/H/20/21</v>
          </cell>
          <cell r="E470" t="str">
            <v>17-949</v>
          </cell>
          <cell r="F470" t="str">
            <v>Handpieces, Surgical</v>
          </cell>
          <cell r="G470" t="str">
            <v>OT</v>
          </cell>
          <cell r="H470" t="str">
            <v>OPERATING THEATRE</v>
          </cell>
          <cell r="I470" t="str">
            <v>05OT105</v>
          </cell>
          <cell r="J470" t="str">
            <v>ORTHO ROOM (FUTURE)</v>
          </cell>
          <cell r="K470" t="str">
            <v>BMED</v>
          </cell>
          <cell r="L470" t="str">
            <v>Normal</v>
          </cell>
          <cell r="M470" t="str">
            <v>USA</v>
          </cell>
          <cell r="N470" t="str">
            <v>MEDTRONIC</v>
          </cell>
          <cell r="O470" t="str">
            <v>IPC EC300</v>
          </cell>
          <cell r="P470" t="str">
            <v>NCT 68498</v>
          </cell>
          <cell r="Q470" t="str">
            <v>Not Applicable</v>
          </cell>
          <cell r="R470" t="str">
            <v>MEDTRONIC  XIOMED INC</v>
          </cell>
          <cell r="S470" t="str">
            <v>Mediliance (M) Sdn. Bhd.</v>
          </cell>
          <cell r="T470" t="str">
            <v>Functioning</v>
          </cell>
          <cell r="U470" t="str">
            <v>Asset</v>
          </cell>
          <cell r="V470">
            <v>150000</v>
          </cell>
          <cell r="W470" t="str">
            <v>KEW</v>
          </cell>
          <cell r="X470">
            <v>43942</v>
          </cell>
          <cell r="Y470" t="str">
            <v>KEW</v>
          </cell>
          <cell r="Z470">
            <v>43959</v>
          </cell>
          <cell r="AA470">
            <v>44324</v>
          </cell>
          <cell r="AB470" t="str">
            <v>No</v>
          </cell>
          <cell r="AC470">
            <v>43959</v>
          </cell>
          <cell r="AD470" t="str">
            <v>Good</v>
          </cell>
          <cell r="AE470" t="str">
            <v>V5 - Transfer to other Hospitals/Healthcare Facility</v>
          </cell>
          <cell r="AH470" t="str">
            <v>PPM</v>
          </cell>
          <cell r="AI470" t="str">
            <v>Not in contract</v>
          </cell>
          <cell r="AJ470" t="str">
            <v>Not in contract</v>
          </cell>
          <cell r="AK470" t="str">
            <v>SNF received on 22.6.2020. Transfer to Hospital Sungai Buloh.</v>
          </cell>
        </row>
        <row r="471">
          <cell r="A471" t="str">
            <v>IKN402024</v>
          </cell>
          <cell r="B471">
            <v>1679</v>
          </cell>
          <cell r="C471" t="str">
            <v>Institut Kanser Negara</v>
          </cell>
          <cell r="D471" t="str">
            <v>KKM/IKN/H/20/20</v>
          </cell>
          <cell r="E471" t="str">
            <v>17-949</v>
          </cell>
          <cell r="F471" t="str">
            <v>Handpieces, Surgical</v>
          </cell>
          <cell r="G471" t="str">
            <v>OT</v>
          </cell>
          <cell r="H471" t="str">
            <v>OPERATING THEATRE</v>
          </cell>
          <cell r="I471" t="str">
            <v>05OT105</v>
          </cell>
          <cell r="J471" t="str">
            <v>ORTHO ROOM (FUTURE)</v>
          </cell>
          <cell r="K471" t="str">
            <v>BMED</v>
          </cell>
          <cell r="L471" t="str">
            <v>Normal</v>
          </cell>
          <cell r="M471" t="str">
            <v>USA</v>
          </cell>
          <cell r="N471" t="str">
            <v>MEDTRONIC</v>
          </cell>
          <cell r="O471" t="str">
            <v>IPC EC300</v>
          </cell>
          <cell r="P471" t="str">
            <v>NCT 68881</v>
          </cell>
          <cell r="Q471" t="str">
            <v>Not Applicable</v>
          </cell>
          <cell r="R471" t="str">
            <v>MEDTRONIC  XIOMED INC</v>
          </cell>
          <cell r="S471" t="str">
            <v>Mediliance (M) Sdn. Bhd.</v>
          </cell>
          <cell r="T471" t="str">
            <v>Functioning</v>
          </cell>
          <cell r="U471" t="str">
            <v>Asset</v>
          </cell>
          <cell r="V471">
            <v>150000</v>
          </cell>
          <cell r="W471" t="str">
            <v>KEW</v>
          </cell>
          <cell r="X471">
            <v>43942</v>
          </cell>
          <cell r="Y471" t="str">
            <v>KEW</v>
          </cell>
          <cell r="Z471">
            <v>43959</v>
          </cell>
          <cell r="AA471">
            <v>44324</v>
          </cell>
          <cell r="AB471" t="str">
            <v>No</v>
          </cell>
          <cell r="AC471">
            <v>43959</v>
          </cell>
          <cell r="AD471" t="str">
            <v>Good</v>
          </cell>
          <cell r="AE471" t="str">
            <v>V5 - Transfer to other Hospitals/Healthcare Facility</v>
          </cell>
          <cell r="AH471" t="str">
            <v>PPM</v>
          </cell>
          <cell r="AI471" t="str">
            <v>Not in contract</v>
          </cell>
          <cell r="AJ471" t="str">
            <v>Not in contract</v>
          </cell>
          <cell r="AK471" t="str">
            <v>SNF received on 22.6.2020. Transfer to Hospital Sungai Buloh.</v>
          </cell>
        </row>
        <row r="472">
          <cell r="A472" t="str">
            <v>IKN402026</v>
          </cell>
          <cell r="B472">
            <v>1681</v>
          </cell>
          <cell r="C472" t="str">
            <v>Institut Kanser Negara</v>
          </cell>
          <cell r="D472" t="str">
            <v>KKM/IKN/H/20/15</v>
          </cell>
          <cell r="E472" t="str">
            <v>13-209</v>
          </cell>
          <cell r="F472" t="str">
            <v>Pumps, Enteral Feeding</v>
          </cell>
          <cell r="G472" t="str">
            <v>WB</v>
          </cell>
          <cell r="H472" t="str">
            <v>SURGICAL ONCO MALE WARD</v>
          </cell>
          <cell r="I472" t="str">
            <v>05WB113</v>
          </cell>
          <cell r="J472" t="str">
            <v>EQUIP. ROOM</v>
          </cell>
          <cell r="K472" t="str">
            <v>BMED</v>
          </cell>
          <cell r="L472" t="str">
            <v>Normal</v>
          </cell>
          <cell r="M472" t="str">
            <v>USA</v>
          </cell>
          <cell r="N472" t="str">
            <v>Sentinel</v>
          </cell>
          <cell r="O472" t="str">
            <v>Sentinel S-3000</v>
          </cell>
          <cell r="P472" t="str">
            <v>001816</v>
          </cell>
          <cell r="Q472" t="str">
            <v>Not Applicable</v>
          </cell>
          <cell r="R472" t="str">
            <v>Alcor Scientific Inc</v>
          </cell>
          <cell r="S472" t="str">
            <v>Kenanga Network Sdn Bhd</v>
          </cell>
          <cell r="T472" t="str">
            <v>Transferred</v>
          </cell>
          <cell r="U472" t="str">
            <v>Asset</v>
          </cell>
          <cell r="V472">
            <v>3000</v>
          </cell>
          <cell r="W472" t="str">
            <v>KEW</v>
          </cell>
          <cell r="X472">
            <v>43941</v>
          </cell>
          <cell r="Y472" t="str">
            <v>KEW</v>
          </cell>
          <cell r="Z472">
            <v>43955</v>
          </cell>
          <cell r="AA472">
            <v>44320</v>
          </cell>
          <cell r="AB472" t="str">
            <v>No</v>
          </cell>
          <cell r="AC472">
            <v>43955</v>
          </cell>
          <cell r="AD472" t="str">
            <v>Good</v>
          </cell>
          <cell r="AE472" t="str">
            <v>V5 - Transfer to other Hospitals/Healthcare Facility</v>
          </cell>
          <cell r="AH472" t="str">
            <v>PPM</v>
          </cell>
          <cell r="AI472" t="str">
            <v>Not in contract</v>
          </cell>
          <cell r="AJ472" t="str">
            <v>Not in contract</v>
          </cell>
          <cell r="AK472" t="str">
            <v>SNF received on 22.6.2020. Transfer to Hospital Sungai Buloh.</v>
          </cell>
        </row>
        <row r="473">
          <cell r="A473" t="str">
            <v>IKN402027</v>
          </cell>
          <cell r="B473">
            <v>1682</v>
          </cell>
          <cell r="C473" t="str">
            <v>Institut Kanser Negara</v>
          </cell>
          <cell r="D473" t="str">
            <v>KKM/IKN/H/20/16</v>
          </cell>
          <cell r="E473" t="str">
            <v>13-209</v>
          </cell>
          <cell r="F473" t="str">
            <v>Pumps, Enteral Feeding</v>
          </cell>
          <cell r="G473" t="str">
            <v>WB</v>
          </cell>
          <cell r="H473" t="str">
            <v>SURGICAL ONCO MALE WARD</v>
          </cell>
          <cell r="I473" t="str">
            <v>05WB113</v>
          </cell>
          <cell r="J473" t="str">
            <v>EQUIP. ROOM</v>
          </cell>
          <cell r="K473" t="str">
            <v>BMED</v>
          </cell>
          <cell r="L473" t="str">
            <v>Normal</v>
          </cell>
          <cell r="M473" t="str">
            <v>USA</v>
          </cell>
          <cell r="N473" t="str">
            <v>Sentinel</v>
          </cell>
          <cell r="O473" t="str">
            <v>Sentinel S-3000</v>
          </cell>
          <cell r="P473" t="str">
            <v>001817</v>
          </cell>
          <cell r="Q473" t="str">
            <v>Not Applicable</v>
          </cell>
          <cell r="S473" t="str">
            <v>Kenanga Network Sdn Bhd</v>
          </cell>
          <cell r="T473" t="str">
            <v>Transferred</v>
          </cell>
          <cell r="U473" t="str">
            <v>Asset</v>
          </cell>
          <cell r="V473">
            <v>3000</v>
          </cell>
          <cell r="W473" t="str">
            <v>KEW</v>
          </cell>
          <cell r="X473">
            <v>43941</v>
          </cell>
          <cell r="Y473" t="str">
            <v>KEW</v>
          </cell>
          <cell r="Z473">
            <v>43955</v>
          </cell>
          <cell r="AA473">
            <v>44320</v>
          </cell>
          <cell r="AB473" t="str">
            <v>No</v>
          </cell>
          <cell r="AC473">
            <v>43955</v>
          </cell>
          <cell r="AD473" t="str">
            <v>Good</v>
          </cell>
          <cell r="AE473" t="str">
            <v>V5 - Transfer to other Hospitals/Healthcare Facility</v>
          </cell>
          <cell r="AH473" t="str">
            <v>PPM</v>
          </cell>
          <cell r="AI473" t="str">
            <v>Not in contract</v>
          </cell>
          <cell r="AJ473" t="str">
            <v>Not in contract</v>
          </cell>
          <cell r="AK473" t="str">
            <v>SNF received on 22.6.2020. Transfer to Hospital Sungai Buloh.</v>
          </cell>
        </row>
        <row r="474">
          <cell r="A474" t="str">
            <v>IKN402028</v>
          </cell>
          <cell r="B474">
            <v>1683</v>
          </cell>
          <cell r="C474" t="str">
            <v>Institut Kanser Negara</v>
          </cell>
          <cell r="D474" t="str">
            <v>KKM/IKN/H/20/26</v>
          </cell>
          <cell r="E474" t="str">
            <v>18-147</v>
          </cell>
          <cell r="F474" t="str">
            <v>Mattress Systems, Alternating-Pressure</v>
          </cell>
          <cell r="G474" t="str">
            <v>WB</v>
          </cell>
          <cell r="H474" t="str">
            <v>SURGICAL ONCO MALE WARD</v>
          </cell>
          <cell r="I474" t="str">
            <v>05WB113</v>
          </cell>
          <cell r="J474" t="str">
            <v>EQUIP. ROOM</v>
          </cell>
          <cell r="K474" t="str">
            <v>BMED</v>
          </cell>
          <cell r="L474" t="str">
            <v>Normal</v>
          </cell>
          <cell r="P474">
            <v>19062173</v>
          </cell>
          <cell r="Q474" t="str">
            <v>Not Applicable</v>
          </cell>
          <cell r="S474" t="str">
            <v>Perniagaan Bekalan Abadi Sdn.Bhd.</v>
          </cell>
          <cell r="T474" t="str">
            <v>Transferred</v>
          </cell>
          <cell r="U474" t="str">
            <v>Asset</v>
          </cell>
          <cell r="V474">
            <v>1000</v>
          </cell>
          <cell r="W474" t="str">
            <v>KEW</v>
          </cell>
          <cell r="X474">
            <v>43941</v>
          </cell>
          <cell r="Y474" t="str">
            <v>KEW</v>
          </cell>
          <cell r="Z474">
            <v>43963</v>
          </cell>
          <cell r="AA474">
            <v>44328</v>
          </cell>
          <cell r="AB474" t="str">
            <v>No</v>
          </cell>
          <cell r="AC474">
            <v>43963</v>
          </cell>
          <cell r="AD474" t="str">
            <v>Good</v>
          </cell>
          <cell r="AE474" t="str">
            <v>V5 - Transfer to other Hospitals/Healthcare Facility</v>
          </cell>
          <cell r="AH474" t="str">
            <v>PPM</v>
          </cell>
          <cell r="AI474" t="str">
            <v>Not in contract</v>
          </cell>
          <cell r="AJ474" t="str">
            <v>Not in contract</v>
          </cell>
          <cell r="AK474" t="str">
            <v>SNF received on 22.6.2020. Transfer to Hospital Sungai Buloh.</v>
          </cell>
        </row>
        <row r="475">
          <cell r="A475" t="str">
            <v>IKN402029</v>
          </cell>
          <cell r="B475">
            <v>1684</v>
          </cell>
          <cell r="C475" t="str">
            <v>Institut Kanser Negara</v>
          </cell>
          <cell r="D475" t="str">
            <v>KKM/IKN/H/20/27</v>
          </cell>
          <cell r="E475" t="str">
            <v>18-147</v>
          </cell>
          <cell r="F475" t="str">
            <v>Mattress Systems, Alternating-Pressure</v>
          </cell>
          <cell r="G475" t="str">
            <v>WB</v>
          </cell>
          <cell r="H475" t="str">
            <v>SURGICAL ONCO MALE WARD</v>
          </cell>
          <cell r="I475" t="str">
            <v>05WB113</v>
          </cell>
          <cell r="J475" t="str">
            <v>EQUIP. ROOM</v>
          </cell>
          <cell r="K475" t="str">
            <v>BMED</v>
          </cell>
          <cell r="L475" t="str">
            <v>Normal</v>
          </cell>
          <cell r="P475">
            <v>19061904</v>
          </cell>
          <cell r="Q475" t="str">
            <v>Not Applicable</v>
          </cell>
          <cell r="S475" t="str">
            <v>Perniagaan Bekalan Abadi Sdn.Bhd.</v>
          </cell>
          <cell r="T475" t="str">
            <v>Transferred</v>
          </cell>
          <cell r="U475" t="str">
            <v>Asset</v>
          </cell>
          <cell r="V475">
            <v>1000</v>
          </cell>
          <cell r="W475" t="str">
            <v>KEW</v>
          </cell>
          <cell r="X475">
            <v>43941</v>
          </cell>
          <cell r="Y475" t="str">
            <v>KEW</v>
          </cell>
          <cell r="Z475">
            <v>43963</v>
          </cell>
          <cell r="AA475">
            <v>44328</v>
          </cell>
          <cell r="AB475" t="str">
            <v>No</v>
          </cell>
          <cell r="AC475">
            <v>43963</v>
          </cell>
          <cell r="AD475" t="str">
            <v>Good</v>
          </cell>
          <cell r="AE475" t="str">
            <v>V5 - Transfer to other Hospitals/Healthcare Facility</v>
          </cell>
          <cell r="AH475" t="str">
            <v>PPM</v>
          </cell>
          <cell r="AI475" t="str">
            <v>Not in contract</v>
          </cell>
          <cell r="AJ475" t="str">
            <v>Not in contract</v>
          </cell>
          <cell r="AK475" t="str">
            <v>SNF received on 22.6.2020. Transfer to Hospital Sungai Buloh.</v>
          </cell>
        </row>
        <row r="476">
          <cell r="A476" t="str">
            <v>IKN402030</v>
          </cell>
          <cell r="B476">
            <v>1685</v>
          </cell>
          <cell r="C476" t="str">
            <v>Institut Kanser Negara</v>
          </cell>
          <cell r="D476" t="str">
            <v>KKM/IKN/H/20/28</v>
          </cell>
          <cell r="E476" t="str">
            <v>18-147</v>
          </cell>
          <cell r="F476" t="str">
            <v>Mattress Systems, Alternating-Pressure</v>
          </cell>
          <cell r="G476" t="str">
            <v>WB</v>
          </cell>
          <cell r="H476" t="str">
            <v>SURGICAL ONCO MALE WARD</v>
          </cell>
          <cell r="I476" t="str">
            <v>05WB113</v>
          </cell>
          <cell r="J476" t="str">
            <v>EQUIP. ROOM</v>
          </cell>
          <cell r="K476" t="str">
            <v>BMED</v>
          </cell>
          <cell r="L476" t="str">
            <v>Normal</v>
          </cell>
          <cell r="P476">
            <v>19061905</v>
          </cell>
          <cell r="Q476" t="str">
            <v>Not Applicable</v>
          </cell>
          <cell r="S476" t="str">
            <v>Perniagaan Bekalan Abadi Sdn.Bhd.</v>
          </cell>
          <cell r="T476" t="str">
            <v>Transferred</v>
          </cell>
          <cell r="U476" t="str">
            <v>Asset</v>
          </cell>
          <cell r="V476">
            <v>1000</v>
          </cell>
          <cell r="W476" t="str">
            <v>KEW</v>
          </cell>
          <cell r="X476">
            <v>43941</v>
          </cell>
          <cell r="Y476" t="str">
            <v>KEW</v>
          </cell>
          <cell r="Z476">
            <v>43963</v>
          </cell>
          <cell r="AA476">
            <v>44328</v>
          </cell>
          <cell r="AB476" t="str">
            <v>No</v>
          </cell>
          <cell r="AC476">
            <v>43963</v>
          </cell>
          <cell r="AD476" t="str">
            <v>Good</v>
          </cell>
          <cell r="AE476" t="str">
            <v>V5 - Transfer to other Hospitals/Healthcare Facility</v>
          </cell>
          <cell r="AH476" t="str">
            <v>PPM</v>
          </cell>
          <cell r="AI476" t="str">
            <v>Not in contract</v>
          </cell>
          <cell r="AJ476" t="str">
            <v>Strands PW. Proposed for V5 P2.23</v>
          </cell>
          <cell r="AK476" t="str">
            <v>SNF received on 22.6.2020. Transfer to Hospital Sungai Buloh.</v>
          </cell>
        </row>
        <row r="477">
          <cell r="A477" t="str">
            <v>IKN402034</v>
          </cell>
          <cell r="B477">
            <v>1689</v>
          </cell>
          <cell r="C477" t="str">
            <v>Institut Kanser Negara</v>
          </cell>
          <cell r="D477" t="str">
            <v>KKM/IKN/H/20/22</v>
          </cell>
          <cell r="E477" t="str">
            <v>10-849</v>
          </cell>
          <cell r="F477" t="str">
            <v>CIRCULATORY ASSIST UNITS, VENOUS RETURN</v>
          </cell>
          <cell r="G477" t="str">
            <v>WB</v>
          </cell>
          <cell r="H477" t="str">
            <v>SURGICAL ONCO MALE WARD</v>
          </cell>
          <cell r="I477" t="str">
            <v>05WB113</v>
          </cell>
          <cell r="J477" t="str">
            <v>EQUIP. ROOM</v>
          </cell>
          <cell r="K477" t="str">
            <v>BMED</v>
          </cell>
          <cell r="L477" t="str">
            <v>Normal</v>
          </cell>
          <cell r="M477" t="str">
            <v>USA</v>
          </cell>
          <cell r="N477" t="str">
            <v>Covidien</v>
          </cell>
          <cell r="O477" t="str">
            <v>Kendall SCD 700 DVT</v>
          </cell>
          <cell r="P477" t="str">
            <v>V1933113SX</v>
          </cell>
          <cell r="Q477" t="str">
            <v>Not Applicable</v>
          </cell>
          <cell r="R477" t="str">
            <v>Covidien LLC, USA</v>
          </cell>
          <cell r="S477" t="str">
            <v>ALAM MEDIK SDN BHD</v>
          </cell>
          <cell r="T477" t="str">
            <v>Transferred</v>
          </cell>
          <cell r="U477" t="str">
            <v>Asset</v>
          </cell>
          <cell r="V477">
            <v>8500</v>
          </cell>
          <cell r="W477" t="str">
            <v>KEW</v>
          </cell>
          <cell r="X477">
            <v>43973</v>
          </cell>
          <cell r="Y477" t="str">
            <v>KEW</v>
          </cell>
          <cell r="Z477">
            <v>43973</v>
          </cell>
          <cell r="AA477">
            <v>44338</v>
          </cell>
          <cell r="AB477" t="str">
            <v>No</v>
          </cell>
          <cell r="AD477" t="str">
            <v>Good</v>
          </cell>
          <cell r="AE477" t="str">
            <v>V5 - Transfer to other Hospitals/Healthcare Facility</v>
          </cell>
          <cell r="AH477" t="str">
            <v>PPM</v>
          </cell>
          <cell r="AI477" t="str">
            <v>Not in contract</v>
          </cell>
          <cell r="AJ477" t="str">
            <v>Not in contract</v>
          </cell>
          <cell r="AK477" t="str">
            <v>SNF received on 22.6.2020. Transfer to Hospital Sungai Buloh.</v>
          </cell>
        </row>
        <row r="478">
          <cell r="A478" t="str">
            <v>IKN402047</v>
          </cell>
          <cell r="B478">
            <v>1702</v>
          </cell>
          <cell r="C478" t="str">
            <v>Institut Kanser Negara</v>
          </cell>
          <cell r="D478" t="str">
            <v>KKM/IKN/H/20/51</v>
          </cell>
          <cell r="E478" t="str">
            <v>15-167</v>
          </cell>
          <cell r="F478" t="str">
            <v>Extractors, Plasma</v>
          </cell>
          <cell r="G478" t="str">
            <v>LA</v>
          </cell>
          <cell r="H478" t="str">
            <v>PATHOLOGY</v>
          </cell>
          <cell r="I478" t="str">
            <v>04LA127</v>
          </cell>
          <cell r="J478" t="str">
            <v>INNOCULATION/STAINING</v>
          </cell>
          <cell r="K478" t="str">
            <v>BMED</v>
          </cell>
          <cell r="L478" t="str">
            <v>Normal</v>
          </cell>
          <cell r="M478" t="str">
            <v>Taiwan</v>
          </cell>
          <cell r="N478" t="str">
            <v>LabTurbo</v>
          </cell>
          <cell r="O478" t="str">
            <v>AIO24-64</v>
          </cell>
          <cell r="P478" t="str">
            <v>02091707001</v>
          </cell>
          <cell r="Q478" t="str">
            <v>Not Applicable</v>
          </cell>
          <cell r="R478" t="str">
            <v>LabTurbo Biotech Corporation</v>
          </cell>
          <cell r="S478" t="str">
            <v>Tree Med Sdn. Bhd</v>
          </cell>
          <cell r="T478" t="str">
            <v>Functioning</v>
          </cell>
          <cell r="U478" t="str">
            <v>Asset</v>
          </cell>
          <cell r="V478">
            <v>430000</v>
          </cell>
          <cell r="W478" t="str">
            <v>KEW</v>
          </cell>
          <cell r="X478">
            <v>43935</v>
          </cell>
          <cell r="Y478" t="str">
            <v>KEW</v>
          </cell>
          <cell r="Z478">
            <v>44167</v>
          </cell>
          <cell r="AA478">
            <v>44897</v>
          </cell>
          <cell r="AB478" t="str">
            <v>No</v>
          </cell>
          <cell r="AC478">
            <v>44167</v>
          </cell>
          <cell r="AD478" t="str">
            <v>Good</v>
          </cell>
          <cell r="AE478" t="str">
            <v>V3 - Added Installed Facilities (New)</v>
          </cell>
          <cell r="AF478">
            <v>44167</v>
          </cell>
          <cell r="AH478" t="str">
            <v>PPM</v>
          </cell>
          <cell r="AI478" t="str">
            <v>Strands</v>
          </cell>
          <cell r="AJ478" t="str">
            <v>Strands DW</v>
          </cell>
          <cell r="AK478" t="str">
            <v>SNF received on 15.1.2021. [29/2/2024, SHARIFAH]: RENEW PEP ON 28/2/2024; BER/BEMS/IKN/23/028- ALAT TIDAK MEMENUHI KEPERLUAN KLINIKAL PENGGUNA.  PENGGUNAANNYA HENDAKLAH DIHENTIKAN. PURPOSED V4 IN P1 24</v>
          </cell>
        </row>
        <row r="479">
          <cell r="A479" t="str">
            <v>IKN402066</v>
          </cell>
          <cell r="B479">
            <v>1721</v>
          </cell>
          <cell r="C479" t="str">
            <v>Institut Kanser Negara</v>
          </cell>
          <cell r="D479" t="str">
            <v>NA</v>
          </cell>
          <cell r="E479" t="str">
            <v>15-663</v>
          </cell>
          <cell r="F479" t="str">
            <v>Pipetters</v>
          </cell>
          <cell r="G479" t="str">
            <v>LA</v>
          </cell>
          <cell r="H479" t="str">
            <v>PATHOLOGY</v>
          </cell>
          <cell r="I479" t="str">
            <v>04LA130</v>
          </cell>
          <cell r="J479" t="str">
            <v>SEROLOGY</v>
          </cell>
          <cell r="K479" t="str">
            <v>BMED</v>
          </cell>
          <cell r="L479" t="str">
            <v>Normal</v>
          </cell>
          <cell r="M479" t="str">
            <v>Germany</v>
          </cell>
          <cell r="N479" t="str">
            <v>Eppendorf</v>
          </cell>
          <cell r="O479" t="str">
            <v>Eppendorf Research Plus</v>
          </cell>
          <cell r="P479" t="str">
            <v>M29138J</v>
          </cell>
          <cell r="Q479" t="str">
            <v>Not Applicable</v>
          </cell>
          <cell r="R479" t="str">
            <v>Eppendorf</v>
          </cell>
          <cell r="S479" t="str">
            <v>MEDIGENE SDN BHD</v>
          </cell>
          <cell r="T479" t="str">
            <v>Functioning</v>
          </cell>
          <cell r="U479" t="str">
            <v>Asset</v>
          </cell>
          <cell r="V479">
            <v>1000</v>
          </cell>
          <cell r="W479" t="str">
            <v>KEW</v>
          </cell>
          <cell r="X479">
            <v>44291</v>
          </cell>
          <cell r="Y479" t="str">
            <v>KEW</v>
          </cell>
          <cell r="Z479">
            <v>44307</v>
          </cell>
          <cell r="AA479">
            <v>44672</v>
          </cell>
          <cell r="AB479" t="str">
            <v>No</v>
          </cell>
          <cell r="AC479">
            <v>44307</v>
          </cell>
          <cell r="AD479" t="str">
            <v>Good</v>
          </cell>
          <cell r="AE479" t="str">
            <v>V3 - Added Installed Facilities (New)</v>
          </cell>
          <cell r="AH479" t="str">
            <v>PPM</v>
          </cell>
          <cell r="AI479" t="str">
            <v>Not in contract</v>
          </cell>
          <cell r="AJ479" t="str">
            <v>Not in contract</v>
          </cell>
          <cell r="AK479" t="str">
            <v>BARANG SUMBANGAN. USER DID NOT WANT TO CALIBRATE.[INDIRA UPDATE 21/10/2024]</v>
          </cell>
        </row>
        <row r="480">
          <cell r="A480" t="str">
            <v>IKN402067</v>
          </cell>
          <cell r="B480">
            <v>1722</v>
          </cell>
          <cell r="C480" t="str">
            <v>Institut Kanser Negara</v>
          </cell>
          <cell r="D480" t="str">
            <v>NA</v>
          </cell>
          <cell r="E480" t="str">
            <v>15-663</v>
          </cell>
          <cell r="F480" t="str">
            <v>Pipetters</v>
          </cell>
          <cell r="G480" t="str">
            <v>LA</v>
          </cell>
          <cell r="H480" t="str">
            <v>PATHOLOGY</v>
          </cell>
          <cell r="I480" t="str">
            <v>04LA130</v>
          </cell>
          <cell r="J480" t="str">
            <v>SEROLOGY</v>
          </cell>
          <cell r="K480" t="str">
            <v>BMED</v>
          </cell>
          <cell r="L480" t="str">
            <v>Normal</v>
          </cell>
          <cell r="M480" t="str">
            <v>Germany</v>
          </cell>
          <cell r="N480" t="str">
            <v>Eppendorf</v>
          </cell>
          <cell r="O480" t="str">
            <v>Eppendorf Research Plus</v>
          </cell>
          <cell r="P480" t="str">
            <v>M29092J</v>
          </cell>
          <cell r="Q480" t="str">
            <v>Not Applicable</v>
          </cell>
          <cell r="R480" t="str">
            <v>Eppendorf</v>
          </cell>
          <cell r="S480" t="str">
            <v>MEDIGENE SDN BHD</v>
          </cell>
          <cell r="T480" t="str">
            <v>Functioning</v>
          </cell>
          <cell r="U480" t="str">
            <v>Asset</v>
          </cell>
          <cell r="V480">
            <v>1000</v>
          </cell>
          <cell r="W480" t="str">
            <v>KEW</v>
          </cell>
          <cell r="X480">
            <v>44291</v>
          </cell>
          <cell r="Y480" t="str">
            <v>KEW</v>
          </cell>
          <cell r="Z480">
            <v>44307</v>
          </cell>
          <cell r="AA480">
            <v>44672</v>
          </cell>
          <cell r="AB480" t="str">
            <v>No</v>
          </cell>
          <cell r="AC480">
            <v>44307</v>
          </cell>
          <cell r="AD480" t="str">
            <v>Good</v>
          </cell>
          <cell r="AE480" t="str">
            <v>V3 - Added Installed Facilities (New)</v>
          </cell>
          <cell r="AH480" t="str">
            <v>PPM</v>
          </cell>
          <cell r="AI480" t="str">
            <v>Not in contract</v>
          </cell>
          <cell r="AJ480" t="str">
            <v>Not in contract</v>
          </cell>
          <cell r="AK480" t="str">
            <v>BARANG SUMBANGAN. USER DID NOT WANT TO CALIBRATE.[INDIRA UPDATE 21/10/2024]</v>
          </cell>
        </row>
        <row r="481">
          <cell r="A481" t="str">
            <v>IKN402080</v>
          </cell>
          <cell r="B481">
            <v>1735</v>
          </cell>
          <cell r="C481" t="str">
            <v>Institut Kanser Negara</v>
          </cell>
          <cell r="D481" t="str">
            <v>KKM/IKN/H/21/37</v>
          </cell>
          <cell r="E481" t="str">
            <v>13-215</v>
          </cell>
          <cell r="F481" t="str">
            <v>Infusion Pumps, General-Purpose</v>
          </cell>
          <cell r="G481" t="str">
            <v>DO</v>
          </cell>
          <cell r="H481" t="str">
            <v>DAY ONCOLOGY UNIT</v>
          </cell>
          <cell r="I481" t="str">
            <v>04DO111</v>
          </cell>
          <cell r="J481" t="str">
            <v>EQUIP. ROOM</v>
          </cell>
          <cell r="K481" t="str">
            <v>BMED</v>
          </cell>
          <cell r="L481" t="str">
            <v>Critical</v>
          </cell>
          <cell r="M481" t="str">
            <v>CHINA</v>
          </cell>
          <cell r="N481" t="str">
            <v>MedCaptian</v>
          </cell>
          <cell r="O481" t="str">
            <v>HP-60</v>
          </cell>
          <cell r="P481" t="str">
            <v>9024022107065</v>
          </cell>
          <cell r="Q481" t="str">
            <v>Not Applicable</v>
          </cell>
          <cell r="R481" t="str">
            <v>MedCaptain Medical Technology</v>
          </cell>
          <cell r="S481" t="str">
            <v>Alam Medik Sdn Bhd</v>
          </cell>
          <cell r="T481" t="str">
            <v>Functioning</v>
          </cell>
          <cell r="U481" t="str">
            <v>Asset</v>
          </cell>
          <cell r="V481">
            <v>3500</v>
          </cell>
          <cell r="W481" t="str">
            <v>KEW</v>
          </cell>
          <cell r="X481">
            <v>44421</v>
          </cell>
          <cell r="Y481" t="str">
            <v>KEW</v>
          </cell>
          <cell r="Z481">
            <v>44432</v>
          </cell>
          <cell r="AA481">
            <v>44797</v>
          </cell>
          <cell r="AB481" t="str">
            <v>No</v>
          </cell>
          <cell r="AC481">
            <v>44432</v>
          </cell>
          <cell r="AD481" t="str">
            <v>Good</v>
          </cell>
          <cell r="AE481" t="str">
            <v>V3 - Added Installed Facilities (New)</v>
          </cell>
          <cell r="AF481">
            <v>44432</v>
          </cell>
          <cell r="AH481" t="str">
            <v>PPM</v>
          </cell>
          <cell r="AI481" t="str">
            <v>Strands</v>
          </cell>
          <cell r="AJ481" t="str">
            <v>Strands PW</v>
          </cell>
          <cell r="AK481" t="str">
            <v>SNF received on 28.9.2021. [17/12/2023, SHARIFAH]: PEP ON 7/12/2023, BER/BEMS/IKN/23/022 - Asset mengalami kerosakan pada mainboard. Penggunaannya hendaklah dihentikan. SNF V4 received on 6/3/2024.</v>
          </cell>
        </row>
        <row r="482">
          <cell r="A482" t="str">
            <v>IKN402110</v>
          </cell>
          <cell r="B482">
            <v>1765</v>
          </cell>
          <cell r="C482" t="str">
            <v>Institut Kanser Negara</v>
          </cell>
          <cell r="D482" t="str">
            <v>KKM/IKN/H/22/13</v>
          </cell>
          <cell r="E482" t="str">
            <v>13-215</v>
          </cell>
          <cell r="F482" t="str">
            <v>Infusion Pumps, General-Purpose</v>
          </cell>
          <cell r="G482" t="str">
            <v>WD</v>
          </cell>
          <cell r="H482" t="str">
            <v>RT/ONCO PAED/ADOLESCENT WARD</v>
          </cell>
          <cell r="I482" t="str">
            <v>06WD153</v>
          </cell>
          <cell r="J482" t="str">
            <v>EQP.ROOM</v>
          </cell>
          <cell r="K482" t="str">
            <v>BMED</v>
          </cell>
          <cell r="L482" t="str">
            <v>Critical</v>
          </cell>
          <cell r="M482" t="str">
            <v>CHINA</v>
          </cell>
          <cell r="N482" t="str">
            <v>MedCaptian</v>
          </cell>
          <cell r="O482" t="str">
            <v>HP-60</v>
          </cell>
          <cell r="P482">
            <v>9024022108379</v>
          </cell>
          <cell r="Q482" t="str">
            <v>Not Applicable</v>
          </cell>
          <cell r="R482" t="str">
            <v>MedCaptain Medical Technology</v>
          </cell>
          <cell r="S482" t="str">
            <v>Alam Medik Sdn Bhd</v>
          </cell>
          <cell r="T482" t="str">
            <v>Functioning</v>
          </cell>
          <cell r="U482" t="str">
            <v>Asset</v>
          </cell>
          <cell r="V482">
            <v>3500</v>
          </cell>
          <cell r="W482" t="str">
            <v>KEW</v>
          </cell>
          <cell r="X482">
            <v>44643</v>
          </cell>
          <cell r="Y482" t="str">
            <v>KEW</v>
          </cell>
          <cell r="Z482">
            <v>44658</v>
          </cell>
          <cell r="AA482">
            <v>45023</v>
          </cell>
          <cell r="AB482" t="str">
            <v>NO</v>
          </cell>
          <cell r="AC482">
            <v>44658</v>
          </cell>
          <cell r="AD482" t="str">
            <v>Good</v>
          </cell>
          <cell r="AE482" t="str">
            <v>V3 - Added Installed Facilities (New)</v>
          </cell>
          <cell r="AF482">
            <v>45195</v>
          </cell>
          <cell r="AG482" t="str">
            <v>NA</v>
          </cell>
          <cell r="AH482" t="str">
            <v>PPM</v>
          </cell>
          <cell r="AI482" t="str">
            <v>Not in Contract</v>
          </cell>
          <cell r="AJ482" t="str">
            <v>Proposed for V3 P2.23</v>
          </cell>
          <cell r="AK482" t="str">
            <v>(PIC: ATIQA). KKM follow P2.23.</v>
          </cell>
        </row>
        <row r="483">
          <cell r="A483" t="str">
            <v>IKN402125</v>
          </cell>
          <cell r="B483">
            <v>1780</v>
          </cell>
          <cell r="C483" t="str">
            <v>Institut Kanser Negara</v>
          </cell>
          <cell r="D483" t="str">
            <v>KKM/IKN/H/22/50</v>
          </cell>
          <cell r="E483" t="str">
            <v>16-320</v>
          </cell>
          <cell r="F483" t="str">
            <v>Bacti Incinerator/Infared Sterilizer</v>
          </cell>
          <cell r="G483" t="str">
            <v>LA</v>
          </cell>
          <cell r="H483" t="str">
            <v>PATHOLOGY</v>
          </cell>
          <cell r="I483" t="str">
            <v>04LA127</v>
          </cell>
          <cell r="J483" t="str">
            <v>INNOCULATION/STAINING</v>
          </cell>
          <cell r="K483" t="str">
            <v>BMED</v>
          </cell>
          <cell r="L483" t="str">
            <v>Normal</v>
          </cell>
          <cell r="M483" t="str">
            <v>CHINA</v>
          </cell>
          <cell r="N483" t="str">
            <v>Bacti Zapper</v>
          </cell>
          <cell r="O483" t="str">
            <v>B1000-E</v>
          </cell>
          <cell r="P483" t="str">
            <v>023-16031-20050032</v>
          </cell>
          <cell r="Q483" t="str">
            <v>Not Applicable</v>
          </cell>
          <cell r="R483" t="str">
            <v>Beachmark Scientific Inc</v>
          </cell>
          <cell r="S483" t="str">
            <v>Chemopharm Sdn Bhd</v>
          </cell>
          <cell r="T483" t="str">
            <v>Functioning</v>
          </cell>
          <cell r="U483" t="str">
            <v>Asset</v>
          </cell>
          <cell r="V483">
            <v>3395</v>
          </cell>
          <cell r="W483" t="str">
            <v>KEW</v>
          </cell>
          <cell r="X483">
            <v>44648</v>
          </cell>
          <cell r="Y483" t="str">
            <v>KEW</v>
          </cell>
          <cell r="Z483">
            <v>44726</v>
          </cell>
          <cell r="AA483">
            <v>45090</v>
          </cell>
          <cell r="AB483" t="str">
            <v>No</v>
          </cell>
          <cell r="AC483">
            <v>44726</v>
          </cell>
          <cell r="AD483" t="str">
            <v>Good</v>
          </cell>
          <cell r="AE483" t="str">
            <v>V3 - Added Installed Facilities (New)</v>
          </cell>
          <cell r="AF483">
            <v>44726</v>
          </cell>
          <cell r="AG483" t="str">
            <v>NA</v>
          </cell>
          <cell r="AH483" t="str">
            <v>PPM</v>
          </cell>
          <cell r="AI483" t="str">
            <v>NOT IN CONTRACT</v>
          </cell>
          <cell r="AJ483" t="str">
            <v>Not under maintenance</v>
          </cell>
          <cell r="AK483" t="str">
            <v>[28/2/2024, FAEZAH: MEMO PENOLAKAN V3 DARI AWC.</v>
          </cell>
        </row>
        <row r="484">
          <cell r="A484" t="str">
            <v>IKN402126</v>
          </cell>
          <cell r="B484">
            <v>1781</v>
          </cell>
          <cell r="C484" t="str">
            <v>Institut Kanser Negara</v>
          </cell>
          <cell r="D484" t="str">
            <v>KKM/IKN/H/22/51</v>
          </cell>
          <cell r="E484" t="str">
            <v>16-320</v>
          </cell>
          <cell r="F484" t="str">
            <v>Bacti Incinerator/Infared Sterilizer</v>
          </cell>
          <cell r="G484" t="str">
            <v>LA</v>
          </cell>
          <cell r="H484" t="str">
            <v>PATHOLOGY</v>
          </cell>
          <cell r="I484" t="str">
            <v>04LA127</v>
          </cell>
          <cell r="J484" t="str">
            <v>INNOCULATION/STAINING</v>
          </cell>
          <cell r="K484" t="str">
            <v>BMED</v>
          </cell>
          <cell r="L484" t="str">
            <v>Normal</v>
          </cell>
          <cell r="M484" t="str">
            <v>CHINA</v>
          </cell>
          <cell r="N484" t="str">
            <v>Bacti Zapper</v>
          </cell>
          <cell r="O484" t="str">
            <v>B1000-E</v>
          </cell>
          <cell r="P484" t="str">
            <v>023-16031-20050035</v>
          </cell>
          <cell r="Q484" t="str">
            <v>Not Applicable</v>
          </cell>
          <cell r="R484" t="str">
            <v>Beachmark Scientific Inc</v>
          </cell>
          <cell r="S484" t="str">
            <v>Chemopharm Sdn Bhd</v>
          </cell>
          <cell r="T484" t="str">
            <v>Functioning</v>
          </cell>
          <cell r="U484" t="str">
            <v>Asset</v>
          </cell>
          <cell r="V484">
            <v>3395</v>
          </cell>
          <cell r="W484" t="str">
            <v>KEW</v>
          </cell>
          <cell r="X484">
            <v>44648</v>
          </cell>
          <cell r="Y484" t="str">
            <v>KEW</v>
          </cell>
          <cell r="Z484">
            <v>44726</v>
          </cell>
          <cell r="AA484">
            <v>45090</v>
          </cell>
          <cell r="AB484" t="str">
            <v>No</v>
          </cell>
          <cell r="AC484">
            <v>44726</v>
          </cell>
          <cell r="AD484" t="str">
            <v>Good</v>
          </cell>
          <cell r="AE484" t="str">
            <v>V3 - Added Installed Facilities (New)</v>
          </cell>
          <cell r="AF484">
            <v>44726</v>
          </cell>
          <cell r="AG484" t="str">
            <v>NA</v>
          </cell>
          <cell r="AH484" t="str">
            <v>PPM</v>
          </cell>
          <cell r="AI484" t="str">
            <v>NOT IN CONTRACT</v>
          </cell>
          <cell r="AJ484" t="str">
            <v>Not under maintenance</v>
          </cell>
          <cell r="AK484" t="str">
            <v>[28/2/2024, FAEZAH: MEMO PENOLAKAN V3 DARI AWC.</v>
          </cell>
        </row>
        <row r="485">
          <cell r="A485" t="str">
            <v>IKN402127</v>
          </cell>
          <cell r="B485">
            <v>1782</v>
          </cell>
          <cell r="C485" t="str">
            <v>Institut Kanser Negara</v>
          </cell>
          <cell r="D485" t="str">
            <v>KKM/IKN/H/22/52</v>
          </cell>
          <cell r="E485" t="str">
            <v>16-320</v>
          </cell>
          <cell r="F485" t="str">
            <v>Bacti Incinerator/Infared Sterilizer</v>
          </cell>
          <cell r="G485" t="str">
            <v>LA</v>
          </cell>
          <cell r="H485" t="str">
            <v>PATHOLOGY</v>
          </cell>
          <cell r="I485" t="str">
            <v>04LA127</v>
          </cell>
          <cell r="J485" t="str">
            <v>INNOCULATION/STAINING</v>
          </cell>
          <cell r="K485" t="str">
            <v>BMED</v>
          </cell>
          <cell r="L485" t="str">
            <v>Normal</v>
          </cell>
          <cell r="M485" t="str">
            <v>CHINA</v>
          </cell>
          <cell r="N485" t="str">
            <v>Bacti Zapper</v>
          </cell>
          <cell r="O485" t="str">
            <v>B1000-E</v>
          </cell>
          <cell r="P485" t="str">
            <v>023-16031-21030085</v>
          </cell>
          <cell r="Q485" t="str">
            <v>Not Applicable</v>
          </cell>
          <cell r="R485" t="str">
            <v>Beachmark Scientific Inc</v>
          </cell>
          <cell r="S485" t="str">
            <v>Chemopharm Sdn Bhd</v>
          </cell>
          <cell r="T485" t="str">
            <v>Functioning</v>
          </cell>
          <cell r="U485" t="str">
            <v>Asset</v>
          </cell>
          <cell r="V485">
            <v>3395</v>
          </cell>
          <cell r="W485" t="str">
            <v>KEW</v>
          </cell>
          <cell r="X485">
            <v>44648</v>
          </cell>
          <cell r="Y485" t="str">
            <v>KEW</v>
          </cell>
          <cell r="Z485">
            <v>44726</v>
          </cell>
          <cell r="AA485">
            <v>45090</v>
          </cell>
          <cell r="AB485" t="str">
            <v>No</v>
          </cell>
          <cell r="AC485">
            <v>44726</v>
          </cell>
          <cell r="AD485" t="str">
            <v>Good</v>
          </cell>
          <cell r="AE485" t="str">
            <v>V3 - Added Installed Facilities (New)</v>
          </cell>
          <cell r="AF485">
            <v>44726</v>
          </cell>
          <cell r="AG485" t="str">
            <v>NA</v>
          </cell>
          <cell r="AH485" t="str">
            <v>PPM</v>
          </cell>
          <cell r="AI485" t="str">
            <v>NOT IN CONTRACT</v>
          </cell>
          <cell r="AJ485" t="str">
            <v>Not under maintenance</v>
          </cell>
          <cell r="AK485" t="str">
            <v>[28/2/2024, FAEZAH: MEMO PENOLAKAN V3 DARI AWC.</v>
          </cell>
        </row>
        <row r="486">
          <cell r="A486" t="str">
            <v>IKN402128</v>
          </cell>
          <cell r="B486">
            <v>1783</v>
          </cell>
          <cell r="C486" t="str">
            <v>Institut Kanser Negara</v>
          </cell>
          <cell r="D486" t="str">
            <v>KKM/IKN/H/22/53</v>
          </cell>
          <cell r="E486" t="str">
            <v>16-320</v>
          </cell>
          <cell r="F486" t="str">
            <v>Bacti Incinerator/Infared Sterilizer</v>
          </cell>
          <cell r="G486" t="str">
            <v>LA</v>
          </cell>
          <cell r="H486" t="str">
            <v>PATHOLOGY</v>
          </cell>
          <cell r="I486" t="str">
            <v>04LA127</v>
          </cell>
          <cell r="J486" t="str">
            <v>INNOCULATION/STAINING</v>
          </cell>
          <cell r="K486" t="str">
            <v>BMED</v>
          </cell>
          <cell r="L486" t="str">
            <v>Normal</v>
          </cell>
          <cell r="M486" t="str">
            <v>CHINA</v>
          </cell>
          <cell r="N486" t="str">
            <v>Bacti Zapper</v>
          </cell>
          <cell r="O486" t="str">
            <v>B1000-E</v>
          </cell>
          <cell r="P486" t="str">
            <v>023-16031-21030087</v>
          </cell>
          <cell r="Q486" t="str">
            <v>Not Applicable</v>
          </cell>
          <cell r="R486" t="str">
            <v>Beachmark Scientific Inc</v>
          </cell>
          <cell r="S486" t="str">
            <v>Chemopharm Sdn Bhd</v>
          </cell>
          <cell r="T486" t="str">
            <v>Functioning</v>
          </cell>
          <cell r="U486" t="str">
            <v>Asset</v>
          </cell>
          <cell r="V486">
            <v>3395</v>
          </cell>
          <cell r="W486" t="str">
            <v>KEW</v>
          </cell>
          <cell r="X486">
            <v>44648</v>
          </cell>
          <cell r="Y486" t="str">
            <v>KEW</v>
          </cell>
          <cell r="Z486">
            <v>44726</v>
          </cell>
          <cell r="AA486">
            <v>45090</v>
          </cell>
          <cell r="AB486" t="str">
            <v>No</v>
          </cell>
          <cell r="AC486">
            <v>44726</v>
          </cell>
          <cell r="AD486" t="str">
            <v>Good</v>
          </cell>
          <cell r="AE486" t="str">
            <v>V3 - Added Installed Facilities (New)</v>
          </cell>
          <cell r="AF486">
            <v>44726</v>
          </cell>
          <cell r="AG486" t="str">
            <v>NA</v>
          </cell>
          <cell r="AH486" t="str">
            <v>PPM</v>
          </cell>
          <cell r="AI486" t="str">
            <v>NOT IN CONTRACT</v>
          </cell>
          <cell r="AJ486" t="str">
            <v>Not under maintenance</v>
          </cell>
          <cell r="AK486" t="str">
            <v>[28/2/2024, FAEZAH: MEMO PENOLAKAN V3 DARI AWC.</v>
          </cell>
        </row>
        <row r="487">
          <cell r="A487" t="str">
            <v>IKN400001</v>
          </cell>
          <cell r="B487">
            <v>1</v>
          </cell>
          <cell r="C487" t="str">
            <v>Institut Kanser Negara</v>
          </cell>
          <cell r="D487" t="str">
            <v>KKM/IKN/H/13/3795</v>
          </cell>
          <cell r="E487" t="str">
            <v>11-134</v>
          </cell>
          <cell r="F487" t="str">
            <v>Defibrillators, External, Manual</v>
          </cell>
          <cell r="G487" t="str">
            <v>AE</v>
          </cell>
          <cell r="H487" t="str">
            <v>EMERGENCY UNIT</v>
          </cell>
          <cell r="I487" t="str">
            <v>01AE112</v>
          </cell>
          <cell r="J487" t="str">
            <v>EMERGENCY TROLLEY BAY</v>
          </cell>
          <cell r="K487" t="str">
            <v>BMED</v>
          </cell>
          <cell r="L487" t="str">
            <v>Critical</v>
          </cell>
          <cell r="M487" t="str">
            <v>USA</v>
          </cell>
          <cell r="N487" t="str">
            <v>Responder</v>
          </cell>
          <cell r="O487" t="str">
            <v>Responder 2000</v>
          </cell>
          <cell r="P487" t="str">
            <v>3206730</v>
          </cell>
          <cell r="Q487" t="str">
            <v>Not Applicable</v>
          </cell>
          <cell r="R487" t="str">
            <v>GE Medical Systems</v>
          </cell>
          <cell r="S487" t="str">
            <v>Antah Sir Radin Sdn. Bhd.</v>
          </cell>
          <cell r="T487" t="str">
            <v>Functioning</v>
          </cell>
          <cell r="U487" t="str">
            <v>Asset</v>
          </cell>
          <cell r="V487">
            <v>45000</v>
          </cell>
          <cell r="W487" t="str">
            <v>Estimate</v>
          </cell>
          <cell r="X487" t="str">
            <v>01/09/2010</v>
          </cell>
          <cell r="Y487" t="str">
            <v>KEW</v>
          </cell>
          <cell r="Z487" t="str">
            <v>16/08/2013</v>
          </cell>
          <cell r="AA487" t="str">
            <v>15/08/2015</v>
          </cell>
          <cell r="AB487" t="str">
            <v>No</v>
          </cell>
          <cell r="AC487" t="str">
            <v>31/08/2013</v>
          </cell>
          <cell r="AD487" t="str">
            <v>Good</v>
          </cell>
          <cell r="AE487" t="str">
            <v>V1 - Existing / No Claim</v>
          </cell>
          <cell r="AF487">
            <v>42599</v>
          </cell>
          <cell r="AG487">
            <v>9.17</v>
          </cell>
          <cell r="AH487" t="str">
            <v>PPM</v>
          </cell>
          <cell r="AI487" t="str">
            <v>Strands</v>
          </cell>
          <cell r="AJ487" t="str">
            <v>Strands PW</v>
          </cell>
        </row>
        <row r="488">
          <cell r="A488" t="str">
            <v>IKN400002</v>
          </cell>
          <cell r="B488">
            <v>2</v>
          </cell>
          <cell r="C488" t="str">
            <v>Institut Kanser Negara</v>
          </cell>
          <cell r="D488" t="str">
            <v>KKM/IKN/H/13/3794</v>
          </cell>
          <cell r="E488" t="str">
            <v>11-134</v>
          </cell>
          <cell r="F488" t="str">
            <v>Defibrillators, External, Manual</v>
          </cell>
          <cell r="G488" t="str">
            <v>AE</v>
          </cell>
          <cell r="H488" t="str">
            <v>EMERGENCY UNIT</v>
          </cell>
          <cell r="I488" t="str">
            <v>01AE119</v>
          </cell>
          <cell r="J488" t="str">
            <v>RESUSCITATION/TREATMENT</v>
          </cell>
          <cell r="K488" t="str">
            <v>BMED</v>
          </cell>
          <cell r="L488" t="str">
            <v>Critical</v>
          </cell>
          <cell r="M488" t="str">
            <v>USA</v>
          </cell>
          <cell r="N488" t="str">
            <v>Responder</v>
          </cell>
          <cell r="O488" t="str">
            <v>Responder 2000</v>
          </cell>
          <cell r="P488" t="str">
            <v>3206728</v>
          </cell>
          <cell r="Q488" t="str">
            <v>Not Available</v>
          </cell>
          <cell r="R488" t="str">
            <v>GE Medical Systems</v>
          </cell>
          <cell r="S488" t="str">
            <v>Antah Sir Radin Sdn. Bhd.</v>
          </cell>
          <cell r="T488" t="str">
            <v>Functioning</v>
          </cell>
          <cell r="U488" t="str">
            <v>Asset</v>
          </cell>
          <cell r="V488">
            <v>45000</v>
          </cell>
          <cell r="W488" t="str">
            <v>Estimate</v>
          </cell>
          <cell r="X488" t="str">
            <v>01/09/2010</v>
          </cell>
          <cell r="Y488" t="str">
            <v>KEW</v>
          </cell>
          <cell r="Z488" t="str">
            <v>16/08/2013</v>
          </cell>
          <cell r="AA488" t="str">
            <v>15/08/2015</v>
          </cell>
          <cell r="AB488" t="str">
            <v>No</v>
          </cell>
          <cell r="AC488" t="str">
            <v>31/08/2013</v>
          </cell>
          <cell r="AD488" t="str">
            <v>Good</v>
          </cell>
          <cell r="AE488" t="str">
            <v>V1 - Existing / No Claim</v>
          </cell>
          <cell r="AF488">
            <v>42601</v>
          </cell>
          <cell r="AG488">
            <v>9.17</v>
          </cell>
          <cell r="AH488" t="str">
            <v>PPM</v>
          </cell>
          <cell r="AI488" t="str">
            <v>Strands</v>
          </cell>
          <cell r="AJ488" t="str">
            <v>Strands PW</v>
          </cell>
        </row>
        <row r="489">
          <cell r="A489" t="str">
            <v>IKN400004</v>
          </cell>
          <cell r="B489">
            <v>4</v>
          </cell>
          <cell r="C489" t="str">
            <v>Institut Kanser Negara</v>
          </cell>
          <cell r="D489" t="str">
            <v>KKM/IKN/H/13/1706</v>
          </cell>
          <cell r="E489" t="str">
            <v>16-231</v>
          </cell>
          <cell r="F489" t="str">
            <v>Electrocardiographs, Multichannel, Interpretative</v>
          </cell>
          <cell r="G489" t="str">
            <v>AE</v>
          </cell>
          <cell r="H489" t="str">
            <v>EMERGENCY UNIT</v>
          </cell>
          <cell r="I489" t="str">
            <v>01AE110</v>
          </cell>
          <cell r="J489" t="str">
            <v>EQUIPT. ROOM</v>
          </cell>
          <cell r="K489" t="str">
            <v>BMED</v>
          </cell>
          <cell r="L489" t="str">
            <v>Critical</v>
          </cell>
          <cell r="M489" t="str">
            <v>China</v>
          </cell>
          <cell r="N489" t="str">
            <v>Mac</v>
          </cell>
          <cell r="O489" t="str">
            <v>MAC 800</v>
          </cell>
          <cell r="P489" t="str">
            <v>SJ412450364 WA</v>
          </cell>
          <cell r="Q489" t="str">
            <v>Not Applicable</v>
          </cell>
          <cell r="R489" t="str">
            <v>GE Healthcare Systems</v>
          </cell>
          <cell r="S489" t="str">
            <v>GE Healthcare Technologies</v>
          </cell>
          <cell r="T489" t="str">
            <v>Functioning</v>
          </cell>
          <cell r="U489" t="str">
            <v>Asset</v>
          </cell>
          <cell r="V489">
            <v>25260</v>
          </cell>
          <cell r="W489" t="str">
            <v>KEW</v>
          </cell>
          <cell r="X489" t="str">
            <v>01/09/2010</v>
          </cell>
          <cell r="Y489" t="str">
            <v>KEW</v>
          </cell>
          <cell r="Z489" t="str">
            <v>16/08/2013</v>
          </cell>
          <cell r="AA489" t="str">
            <v>15/08/2015</v>
          </cell>
          <cell r="AB489" t="str">
            <v>No</v>
          </cell>
          <cell r="AC489" t="str">
            <v>31/08/2013</v>
          </cell>
          <cell r="AD489" t="str">
            <v>Good</v>
          </cell>
          <cell r="AE489" t="str">
            <v>V1 - Existing / No Claim</v>
          </cell>
          <cell r="AF489">
            <v>42800</v>
          </cell>
          <cell r="AG489">
            <v>9.17</v>
          </cell>
          <cell r="AH489" t="str">
            <v>PPM</v>
          </cell>
          <cell r="AI489" t="str">
            <v>Strands</v>
          </cell>
          <cell r="AJ489" t="str">
            <v>Strands PW</v>
          </cell>
        </row>
        <row r="490">
          <cell r="A490" t="str">
            <v>IKN400005</v>
          </cell>
          <cell r="B490">
            <v>5</v>
          </cell>
          <cell r="C490" t="str">
            <v>Institut Kanser Negara</v>
          </cell>
          <cell r="D490" t="str">
            <v>KKM/IKN/H/13/3140</v>
          </cell>
          <cell r="E490" t="str">
            <v>12-282</v>
          </cell>
          <cell r="F490" t="str">
            <v>Lights, Surgical</v>
          </cell>
          <cell r="G490" t="str">
            <v>AE</v>
          </cell>
          <cell r="H490" t="str">
            <v>EMERGENCY UNIT</v>
          </cell>
          <cell r="I490" t="str">
            <v>01AE106</v>
          </cell>
          <cell r="J490" t="str">
            <v>C/E ROOM</v>
          </cell>
          <cell r="K490" t="str">
            <v>BMED</v>
          </cell>
          <cell r="L490" t="str">
            <v>Critical</v>
          </cell>
          <cell r="M490" t="str">
            <v>USA</v>
          </cell>
          <cell r="N490" t="str">
            <v>Welch Allyn</v>
          </cell>
          <cell r="O490" t="str">
            <v>Welch Allyn GS600</v>
          </cell>
          <cell r="P490" t="str">
            <v>GS-600-44</v>
          </cell>
          <cell r="Q490" t="str">
            <v>Not Applicable</v>
          </cell>
          <cell r="R490" t="str">
            <v>Welch Allyn Inc</v>
          </cell>
          <cell r="S490" t="str">
            <v>Welch Allyn Malaysia Sdn Bhd</v>
          </cell>
          <cell r="T490" t="str">
            <v>Functioning</v>
          </cell>
          <cell r="U490" t="str">
            <v>Asset</v>
          </cell>
          <cell r="V490">
            <v>5050</v>
          </cell>
          <cell r="W490" t="str">
            <v>KEW</v>
          </cell>
          <cell r="X490" t="str">
            <v>01/09/2010</v>
          </cell>
          <cell r="Y490" t="str">
            <v>KEW</v>
          </cell>
          <cell r="Z490" t="str">
            <v>16/08/2013</v>
          </cell>
          <cell r="AA490" t="str">
            <v>15/08/2015</v>
          </cell>
          <cell r="AB490" t="str">
            <v>No</v>
          </cell>
          <cell r="AC490" t="str">
            <v>31/08/2013</v>
          </cell>
          <cell r="AD490" t="str">
            <v>Good</v>
          </cell>
          <cell r="AE490" t="str">
            <v>V1 - Existing / No Claim</v>
          </cell>
          <cell r="AF490">
            <v>42800</v>
          </cell>
          <cell r="AG490">
            <v>9.17</v>
          </cell>
          <cell r="AH490" t="str">
            <v>PPM</v>
          </cell>
          <cell r="AI490" t="str">
            <v>Strands</v>
          </cell>
          <cell r="AJ490" t="str">
            <v>Strands PW</v>
          </cell>
        </row>
        <row r="491">
          <cell r="A491" t="str">
            <v>IKN400006</v>
          </cell>
          <cell r="B491">
            <v>6</v>
          </cell>
          <cell r="C491" t="str">
            <v>Institut Kanser Negara</v>
          </cell>
          <cell r="D491" t="str">
            <v>KKM/IKN/H/13/1785</v>
          </cell>
          <cell r="E491" t="str">
            <v>12-282</v>
          </cell>
          <cell r="F491" t="str">
            <v>Lights, Surgical</v>
          </cell>
          <cell r="G491" t="str">
            <v>AE</v>
          </cell>
          <cell r="H491" t="str">
            <v>EMERGENCY UNIT</v>
          </cell>
          <cell r="I491" t="str">
            <v>01AE110</v>
          </cell>
          <cell r="J491" t="str">
            <v>EQUIPT. ROOM</v>
          </cell>
          <cell r="K491" t="str">
            <v>BMED</v>
          </cell>
          <cell r="L491" t="str">
            <v>Normal</v>
          </cell>
          <cell r="M491" t="str">
            <v>USA</v>
          </cell>
          <cell r="N491" t="str">
            <v>Welch Allyn</v>
          </cell>
          <cell r="O491" t="str">
            <v>Welch Allyn GS600</v>
          </cell>
          <cell r="P491" t="str">
            <v>GS-600-01</v>
          </cell>
          <cell r="Q491" t="str">
            <v>Not Applicable</v>
          </cell>
          <cell r="R491" t="str">
            <v>Welch Allyn Inc</v>
          </cell>
          <cell r="S491" t="str">
            <v>Welch Allyn Malaysia Sdn Bhd</v>
          </cell>
          <cell r="T491" t="str">
            <v>Functioning</v>
          </cell>
          <cell r="U491" t="str">
            <v>Asset</v>
          </cell>
          <cell r="V491">
            <v>5050</v>
          </cell>
          <cell r="W491" t="str">
            <v>KEW</v>
          </cell>
          <cell r="X491" t="str">
            <v>01/09/2010</v>
          </cell>
          <cell r="Y491" t="str">
            <v>KEW</v>
          </cell>
          <cell r="Z491" t="str">
            <v>16/08/2013</v>
          </cell>
          <cell r="AA491" t="str">
            <v>15/08/2015</v>
          </cell>
          <cell r="AB491" t="str">
            <v>No</v>
          </cell>
          <cell r="AC491" t="str">
            <v>31/08/2013</v>
          </cell>
          <cell r="AD491" t="str">
            <v>Good</v>
          </cell>
          <cell r="AE491" t="str">
            <v>V1 - Existing / No Claim</v>
          </cell>
          <cell r="AF491">
            <v>42235</v>
          </cell>
          <cell r="AG491">
            <v>9.17</v>
          </cell>
          <cell r="AH491" t="str">
            <v>PPM</v>
          </cell>
          <cell r="AI491" t="str">
            <v>Strands</v>
          </cell>
          <cell r="AJ491" t="str">
            <v>Strands PW</v>
          </cell>
        </row>
        <row r="492">
          <cell r="A492" t="str">
            <v>IKN400007</v>
          </cell>
          <cell r="B492">
            <v>7</v>
          </cell>
          <cell r="C492" t="str">
            <v>Institut Kanser Negara</v>
          </cell>
          <cell r="D492" t="str">
            <v>KKM/IKN/H/13/1787</v>
          </cell>
          <cell r="E492" t="str">
            <v>12-647</v>
          </cell>
          <cell r="F492" t="str">
            <v>Physiologic Monitoring Systems, Acute Care</v>
          </cell>
          <cell r="G492" t="str">
            <v>AE</v>
          </cell>
          <cell r="H492" t="str">
            <v>EMERGENCY UNIT</v>
          </cell>
          <cell r="I492" t="str">
            <v>01AE118</v>
          </cell>
          <cell r="J492" t="str">
            <v>RESUSCITATION TREATMENT 1</v>
          </cell>
          <cell r="K492" t="str">
            <v>BMED</v>
          </cell>
          <cell r="L492" t="str">
            <v>Critical</v>
          </cell>
          <cell r="M492" t="str">
            <v>Finland</v>
          </cell>
          <cell r="N492" t="str">
            <v>CareScape</v>
          </cell>
          <cell r="O492" t="str">
            <v>CareScape B650</v>
          </cell>
          <cell r="P492" t="str">
            <v>SEW12357352HA</v>
          </cell>
          <cell r="Q492" t="str">
            <v>Not Applicable</v>
          </cell>
          <cell r="R492" t="str">
            <v>GE Medical Systems</v>
          </cell>
          <cell r="S492" t="str">
            <v>GE Healthcare Technologies</v>
          </cell>
          <cell r="T492" t="str">
            <v>Functioning</v>
          </cell>
          <cell r="U492" t="str">
            <v>Asset</v>
          </cell>
          <cell r="V492">
            <v>87400</v>
          </cell>
          <cell r="W492" t="str">
            <v>KEW</v>
          </cell>
          <cell r="X492" t="str">
            <v>01/09/2010</v>
          </cell>
          <cell r="Y492" t="str">
            <v>KEW</v>
          </cell>
          <cell r="Z492" t="str">
            <v>16/08/2013</v>
          </cell>
          <cell r="AA492" t="str">
            <v>15/08/2015</v>
          </cell>
          <cell r="AB492" t="str">
            <v>No</v>
          </cell>
          <cell r="AC492" t="str">
            <v>31/08/2013</v>
          </cell>
          <cell r="AD492" t="str">
            <v>Good</v>
          </cell>
          <cell r="AE492" t="str">
            <v>V1 - Existing / No Claim</v>
          </cell>
          <cell r="AF492">
            <v>42800</v>
          </cell>
          <cell r="AG492">
            <v>9.17</v>
          </cell>
          <cell r="AH492" t="str">
            <v>PPM</v>
          </cell>
          <cell r="AI492" t="str">
            <v>Strands</v>
          </cell>
          <cell r="AJ492" t="str">
            <v>Strands PW</v>
          </cell>
        </row>
        <row r="493">
          <cell r="A493" t="str">
            <v>IKN400008</v>
          </cell>
          <cell r="B493">
            <v>8</v>
          </cell>
          <cell r="C493" t="str">
            <v>Institut Kanser Negara</v>
          </cell>
          <cell r="D493" t="str">
            <v>KKM/IKN/H/13/1790</v>
          </cell>
          <cell r="E493" t="str">
            <v>12-647</v>
          </cell>
          <cell r="F493" t="str">
            <v>Physiologic Monitoring Systems, Acute Care</v>
          </cell>
          <cell r="G493" t="str">
            <v>AE</v>
          </cell>
          <cell r="H493" t="str">
            <v>EMERGENCY UNIT</v>
          </cell>
          <cell r="I493" t="str">
            <v>01AE119</v>
          </cell>
          <cell r="J493" t="str">
            <v>RESUSCITATION/TREATMENT</v>
          </cell>
          <cell r="K493" t="str">
            <v>BMED</v>
          </cell>
          <cell r="L493" t="str">
            <v>Critical</v>
          </cell>
          <cell r="M493" t="str">
            <v>Finland</v>
          </cell>
          <cell r="N493" t="str">
            <v>CareScape</v>
          </cell>
          <cell r="O493" t="str">
            <v>CareScape B650</v>
          </cell>
          <cell r="P493" t="str">
            <v>SEW12357505HA</v>
          </cell>
          <cell r="Q493" t="str">
            <v>Not Applicable</v>
          </cell>
          <cell r="R493" t="str">
            <v>GE Medical Systems</v>
          </cell>
          <cell r="S493" t="str">
            <v>GE Healthcare Technologies</v>
          </cell>
          <cell r="T493" t="str">
            <v>Functioning</v>
          </cell>
          <cell r="U493" t="str">
            <v>Asset</v>
          </cell>
          <cell r="V493">
            <v>87400</v>
          </cell>
          <cell r="W493" t="str">
            <v>KEW</v>
          </cell>
          <cell r="X493" t="str">
            <v>01/09/2010</v>
          </cell>
          <cell r="Y493" t="str">
            <v>KEW</v>
          </cell>
          <cell r="Z493" t="str">
            <v>16/08/2013</v>
          </cell>
          <cell r="AA493" t="str">
            <v>15/08/2015</v>
          </cell>
          <cell r="AB493" t="str">
            <v>No</v>
          </cell>
          <cell r="AC493" t="str">
            <v>31/08/2013</v>
          </cell>
          <cell r="AD493" t="str">
            <v>Good</v>
          </cell>
          <cell r="AE493" t="str">
            <v>V1 - Existing / No Claim</v>
          </cell>
          <cell r="AF493">
            <v>42800</v>
          </cell>
          <cell r="AG493">
            <v>9.17</v>
          </cell>
          <cell r="AH493" t="str">
            <v>PPM</v>
          </cell>
          <cell r="AI493" t="str">
            <v>Strands</v>
          </cell>
          <cell r="AJ493" t="str">
            <v>Strands PW</v>
          </cell>
        </row>
        <row r="494">
          <cell r="A494" t="str">
            <v>IKN400009</v>
          </cell>
          <cell r="B494">
            <v>9</v>
          </cell>
          <cell r="C494" t="str">
            <v>Institut Kanser Negara</v>
          </cell>
          <cell r="D494" t="str">
            <v>KKM/IKN/H/13/1776</v>
          </cell>
          <cell r="E494" t="str">
            <v>15-045</v>
          </cell>
          <cell r="F494" t="str">
            <v>Nebulizers, Nonheated</v>
          </cell>
          <cell r="G494" t="str">
            <v>AE</v>
          </cell>
          <cell r="H494" t="str">
            <v>EMERGENCY UNIT</v>
          </cell>
          <cell r="I494" t="str">
            <v>01AE110</v>
          </cell>
          <cell r="J494" t="str">
            <v>EQUIPT. ROOM</v>
          </cell>
          <cell r="K494" t="str">
            <v>BMED</v>
          </cell>
          <cell r="L494" t="str">
            <v>Normal</v>
          </cell>
          <cell r="M494" t="str">
            <v>Germany</v>
          </cell>
          <cell r="N494" t="str">
            <v>Pari Boy</v>
          </cell>
          <cell r="O494" t="str">
            <v>Pari Boy SX 085</v>
          </cell>
          <cell r="P494" t="str">
            <v>2W12F13805</v>
          </cell>
          <cell r="Q494" t="str">
            <v>Not Applicable</v>
          </cell>
          <cell r="R494" t="str">
            <v>Pari GmbH</v>
          </cell>
          <cell r="S494" t="str">
            <v>Welch Allyn Malaysia Sdn Bhd</v>
          </cell>
          <cell r="T494" t="str">
            <v>Functioning</v>
          </cell>
          <cell r="U494" t="str">
            <v>Asset</v>
          </cell>
          <cell r="V494">
            <v>1140</v>
          </cell>
          <cell r="W494" t="str">
            <v>KEW</v>
          </cell>
          <cell r="X494" t="str">
            <v>01/09/2010</v>
          </cell>
          <cell r="Y494" t="str">
            <v>KEW</v>
          </cell>
          <cell r="Z494" t="str">
            <v>16/08/2013</v>
          </cell>
          <cell r="AA494" t="str">
            <v>15/08/2015</v>
          </cell>
          <cell r="AB494" t="str">
            <v>No</v>
          </cell>
          <cell r="AC494" t="str">
            <v>31/08/2013</v>
          </cell>
          <cell r="AD494" t="str">
            <v>Good</v>
          </cell>
          <cell r="AE494" t="str">
            <v>V1 - Existing / No Claim</v>
          </cell>
          <cell r="AF494">
            <v>42235</v>
          </cell>
          <cell r="AG494">
            <v>9.17</v>
          </cell>
          <cell r="AH494" t="str">
            <v>PPM</v>
          </cell>
          <cell r="AI494" t="str">
            <v>Strands</v>
          </cell>
          <cell r="AJ494" t="str">
            <v>Strands PW</v>
          </cell>
        </row>
        <row r="495">
          <cell r="A495" t="str">
            <v>IKN400010</v>
          </cell>
          <cell r="B495">
            <v>10</v>
          </cell>
          <cell r="C495" t="str">
            <v>Institut Kanser Negara</v>
          </cell>
          <cell r="D495" t="str">
            <v>KKM/IKN/H/13/1779</v>
          </cell>
          <cell r="E495" t="str">
            <v>13-217</v>
          </cell>
          <cell r="F495" t="str">
            <v>Infusion Pumps, Syringe</v>
          </cell>
          <cell r="G495" t="str">
            <v>AE</v>
          </cell>
          <cell r="H495" t="str">
            <v>EMERGENCY UNIT</v>
          </cell>
          <cell r="I495" t="str">
            <v>01AE118</v>
          </cell>
          <cell r="J495" t="str">
            <v>RESUSCITATION TREATMENT 1</v>
          </cell>
          <cell r="K495" t="str">
            <v>BMED</v>
          </cell>
          <cell r="L495" t="str">
            <v>Critical</v>
          </cell>
          <cell r="M495" t="str">
            <v>Germany</v>
          </cell>
          <cell r="N495" t="str">
            <v>Perfusor</v>
          </cell>
          <cell r="O495" t="str">
            <v>Perfusor Space</v>
          </cell>
          <cell r="P495" t="str">
            <v>143272</v>
          </cell>
          <cell r="Q495" t="str">
            <v>Not Applicable</v>
          </cell>
          <cell r="R495" t="str">
            <v>B Braun Melsungen AG</v>
          </cell>
          <cell r="S495" t="str">
            <v>B Braun Medical Supplies Sdn. Bhd.</v>
          </cell>
          <cell r="T495" t="str">
            <v>Functioning</v>
          </cell>
          <cell r="U495" t="str">
            <v>Asset</v>
          </cell>
          <cell r="V495">
            <v>10225</v>
          </cell>
          <cell r="W495" t="str">
            <v>KEW</v>
          </cell>
          <cell r="X495" t="str">
            <v>01/09/2010</v>
          </cell>
          <cell r="Y495" t="str">
            <v>KEW</v>
          </cell>
          <cell r="Z495" t="str">
            <v>16/08/2013</v>
          </cell>
          <cell r="AA495" t="str">
            <v>15/08/2015</v>
          </cell>
          <cell r="AB495" t="str">
            <v>No</v>
          </cell>
          <cell r="AC495" t="str">
            <v>31/08/2013</v>
          </cell>
          <cell r="AD495" t="str">
            <v>Good</v>
          </cell>
          <cell r="AE495" t="str">
            <v>V1 - Existing / No Claim</v>
          </cell>
          <cell r="AF495">
            <v>42800</v>
          </cell>
          <cell r="AG495">
            <v>9.17</v>
          </cell>
          <cell r="AH495" t="str">
            <v>PPM</v>
          </cell>
          <cell r="AI495" t="str">
            <v>Strands</v>
          </cell>
          <cell r="AJ495" t="str">
            <v>Strands PW</v>
          </cell>
        </row>
        <row r="496">
          <cell r="A496" t="str">
            <v>IKN400011</v>
          </cell>
          <cell r="B496">
            <v>11</v>
          </cell>
          <cell r="C496" t="str">
            <v>Institut Kanser Negara</v>
          </cell>
          <cell r="D496" t="str">
            <v>KKM/IKN/H/13/1780</v>
          </cell>
          <cell r="E496" t="str">
            <v>13-217</v>
          </cell>
          <cell r="F496" t="str">
            <v>Infusion Pumps, Syringe</v>
          </cell>
          <cell r="G496" t="str">
            <v>AE</v>
          </cell>
          <cell r="H496" t="str">
            <v>EMERGENCY UNIT</v>
          </cell>
          <cell r="I496" t="str">
            <v>01AE118</v>
          </cell>
          <cell r="J496" t="str">
            <v>RESUSCITATION TREATMENT 1</v>
          </cell>
          <cell r="K496" t="str">
            <v>BMED</v>
          </cell>
          <cell r="L496" t="str">
            <v>Critical</v>
          </cell>
          <cell r="M496" t="str">
            <v>Germany</v>
          </cell>
          <cell r="N496" t="str">
            <v>Perfusor</v>
          </cell>
          <cell r="O496" t="str">
            <v>Perfusor Space</v>
          </cell>
          <cell r="P496" t="str">
            <v>186903</v>
          </cell>
          <cell r="Q496" t="str">
            <v>Not Applicable</v>
          </cell>
          <cell r="R496" t="str">
            <v>B Braun Melsungen AG</v>
          </cell>
          <cell r="S496" t="str">
            <v>B Braun Medical Supplies Sdn. Bhd.</v>
          </cell>
          <cell r="T496" t="str">
            <v>Functioning</v>
          </cell>
          <cell r="U496" t="str">
            <v>Asset</v>
          </cell>
          <cell r="V496">
            <v>10225</v>
          </cell>
          <cell r="W496" t="str">
            <v>KEW</v>
          </cell>
          <cell r="X496" t="str">
            <v>01/09/2010</v>
          </cell>
          <cell r="Y496" t="str">
            <v>KEW</v>
          </cell>
          <cell r="Z496" t="str">
            <v>16/08/2013</v>
          </cell>
          <cell r="AA496" t="str">
            <v>15/08/2015</v>
          </cell>
          <cell r="AB496" t="str">
            <v>No</v>
          </cell>
          <cell r="AC496" t="str">
            <v>31/08/2013</v>
          </cell>
          <cell r="AD496" t="str">
            <v>Good</v>
          </cell>
          <cell r="AE496" t="str">
            <v>V1 - Existing / No Claim</v>
          </cell>
          <cell r="AF496">
            <v>42800</v>
          </cell>
          <cell r="AG496">
            <v>9.17</v>
          </cell>
          <cell r="AH496" t="str">
            <v>PPM</v>
          </cell>
          <cell r="AI496" t="str">
            <v>Strands</v>
          </cell>
          <cell r="AJ496" t="str">
            <v>Strands PW</v>
          </cell>
        </row>
        <row r="497">
          <cell r="A497" t="str">
            <v>IKN400012</v>
          </cell>
          <cell r="B497">
            <v>12</v>
          </cell>
          <cell r="C497" t="str">
            <v>Institut Kanser Negara</v>
          </cell>
          <cell r="D497" t="str">
            <v>KKM/IKN/H/13/1781</v>
          </cell>
          <cell r="E497" t="str">
            <v>13-217</v>
          </cell>
          <cell r="F497" t="str">
            <v>Infusion Pumps, Syringe</v>
          </cell>
          <cell r="G497" t="str">
            <v>AE</v>
          </cell>
          <cell r="H497" t="str">
            <v>EMERGENCY UNIT</v>
          </cell>
          <cell r="I497" t="str">
            <v>01AE119</v>
          </cell>
          <cell r="J497" t="str">
            <v>RESUSCITATION/TREATMENT</v>
          </cell>
          <cell r="K497" t="str">
            <v>BMED</v>
          </cell>
          <cell r="L497" t="str">
            <v>Critical</v>
          </cell>
          <cell r="M497" t="str">
            <v>Germany</v>
          </cell>
          <cell r="N497" t="str">
            <v>Perfusor</v>
          </cell>
          <cell r="O497" t="str">
            <v>Perfusor Space</v>
          </cell>
          <cell r="P497" t="str">
            <v>186999</v>
          </cell>
          <cell r="Q497" t="str">
            <v>Not Applicable</v>
          </cell>
          <cell r="R497" t="str">
            <v>B Braun Melsungen AG</v>
          </cell>
          <cell r="S497" t="str">
            <v>B Braun Medical Supplies Sdn. Bhd.</v>
          </cell>
          <cell r="T497" t="str">
            <v>Functioning</v>
          </cell>
          <cell r="U497" t="str">
            <v>Asset</v>
          </cell>
          <cell r="V497">
            <v>10225</v>
          </cell>
          <cell r="W497" t="str">
            <v>KEW</v>
          </cell>
          <cell r="X497" t="str">
            <v>01/09/2010</v>
          </cell>
          <cell r="Y497" t="str">
            <v>KEW</v>
          </cell>
          <cell r="Z497" t="str">
            <v>16/08/2013</v>
          </cell>
          <cell r="AA497" t="str">
            <v>15/08/2015</v>
          </cell>
          <cell r="AB497" t="str">
            <v>No</v>
          </cell>
          <cell r="AC497" t="str">
            <v>31/08/2013</v>
          </cell>
          <cell r="AD497" t="str">
            <v>Good</v>
          </cell>
          <cell r="AE497" t="str">
            <v>V1 - Existing / No Claim</v>
          </cell>
          <cell r="AF497">
            <v>42800</v>
          </cell>
          <cell r="AG497">
            <v>9.17</v>
          </cell>
          <cell r="AH497" t="str">
            <v>PPM</v>
          </cell>
          <cell r="AI497" t="str">
            <v>Strands</v>
          </cell>
          <cell r="AJ497" t="str">
            <v>Strands PW</v>
          </cell>
        </row>
        <row r="498">
          <cell r="A498" t="str">
            <v>IKN400013</v>
          </cell>
          <cell r="B498">
            <v>13</v>
          </cell>
          <cell r="C498" t="str">
            <v>Institut Kanser Negara</v>
          </cell>
          <cell r="D498" t="str">
            <v>KKM/IKN/H/13/1782</v>
          </cell>
          <cell r="E498" t="str">
            <v>13-217</v>
          </cell>
          <cell r="F498" t="str">
            <v>Infusion Pumps, Syringe</v>
          </cell>
          <cell r="G498" t="str">
            <v>AE</v>
          </cell>
          <cell r="H498" t="str">
            <v>EMERGENCY UNIT</v>
          </cell>
          <cell r="I498" t="str">
            <v>01AE119</v>
          </cell>
          <cell r="J498" t="str">
            <v>RESUSCITATION/TREATMENT</v>
          </cell>
          <cell r="K498" t="str">
            <v>BMED</v>
          </cell>
          <cell r="L498" t="str">
            <v>Normal</v>
          </cell>
          <cell r="M498" t="str">
            <v>Germany</v>
          </cell>
          <cell r="N498" t="str">
            <v>Perfusor</v>
          </cell>
          <cell r="O498" t="str">
            <v>Perfusor Space</v>
          </cell>
          <cell r="P498" t="str">
            <v>186596</v>
          </cell>
          <cell r="Q498" t="str">
            <v>Not Applicable</v>
          </cell>
          <cell r="R498" t="str">
            <v>B Braun Melsungen AG</v>
          </cell>
          <cell r="S498" t="str">
            <v>B Braun Medical Supplies Sdn. Bhd.</v>
          </cell>
          <cell r="T498" t="str">
            <v>Functioning</v>
          </cell>
          <cell r="U498" t="str">
            <v>Asset</v>
          </cell>
          <cell r="V498">
            <v>10225</v>
          </cell>
          <cell r="W498" t="str">
            <v>KEW</v>
          </cell>
          <cell r="X498" t="str">
            <v>01/09/2010</v>
          </cell>
          <cell r="Y498" t="str">
            <v>KEW</v>
          </cell>
          <cell r="Z498" t="str">
            <v>16/08/2013</v>
          </cell>
          <cell r="AA498" t="str">
            <v>15/08/2015</v>
          </cell>
          <cell r="AB498" t="str">
            <v>No</v>
          </cell>
          <cell r="AC498" t="str">
            <v>31/08/2013</v>
          </cell>
          <cell r="AD498" t="str">
            <v>Good</v>
          </cell>
          <cell r="AE498" t="str">
            <v>V1 - Existing / No Claim</v>
          </cell>
          <cell r="AF498">
            <v>42235</v>
          </cell>
          <cell r="AG498">
            <v>9.17</v>
          </cell>
          <cell r="AH498" t="str">
            <v>PPM</v>
          </cell>
          <cell r="AI498" t="str">
            <v>Strands</v>
          </cell>
          <cell r="AJ498" t="str">
            <v>Strands PW</v>
          </cell>
        </row>
        <row r="499">
          <cell r="A499" t="str">
            <v>IKN400014</v>
          </cell>
          <cell r="B499">
            <v>14</v>
          </cell>
          <cell r="C499" t="str">
            <v>Institut Kanser Negara</v>
          </cell>
          <cell r="D499" t="str">
            <v>KKM/IKN/H/13/1740</v>
          </cell>
          <cell r="E499" t="str">
            <v>13-215</v>
          </cell>
          <cell r="F499" t="str">
            <v>Infusion Pumps, General-Purpose</v>
          </cell>
          <cell r="G499" t="str">
            <v>AE</v>
          </cell>
          <cell r="H499" t="str">
            <v>EMERGENCY UNIT</v>
          </cell>
          <cell r="I499" t="str">
            <v>01AE118</v>
          </cell>
          <cell r="J499" t="str">
            <v>RESUSCITATION TREATMENT 1</v>
          </cell>
          <cell r="K499" t="str">
            <v>BMED</v>
          </cell>
          <cell r="L499" t="str">
            <v>Critical</v>
          </cell>
          <cell r="M499" t="str">
            <v>Germany</v>
          </cell>
          <cell r="N499" t="str">
            <v>Infusomat</v>
          </cell>
          <cell r="O499" t="str">
            <v>Infusomat Space</v>
          </cell>
          <cell r="P499" t="str">
            <v>212260</v>
          </cell>
          <cell r="Q499" t="str">
            <v>Not Applicable</v>
          </cell>
          <cell r="R499" t="str">
            <v>B Braun Melsungen AG</v>
          </cell>
          <cell r="S499" t="str">
            <v>B Braun Medical Supplies Sdn. Bhd.</v>
          </cell>
          <cell r="T499" t="str">
            <v>Functioning</v>
          </cell>
          <cell r="U499" t="str">
            <v>Asset</v>
          </cell>
          <cell r="V499">
            <v>10825</v>
          </cell>
          <cell r="W499" t="str">
            <v>KEW</v>
          </cell>
          <cell r="X499" t="str">
            <v>01/09/2010</v>
          </cell>
          <cell r="Y499" t="str">
            <v>KEW</v>
          </cell>
          <cell r="Z499" t="str">
            <v>16/08/2013</v>
          </cell>
          <cell r="AA499" t="str">
            <v>15/08/2015</v>
          </cell>
          <cell r="AB499" t="str">
            <v>No</v>
          </cell>
          <cell r="AC499" t="str">
            <v>31/08/2013</v>
          </cell>
          <cell r="AD499" t="str">
            <v>Good</v>
          </cell>
          <cell r="AE499" t="str">
            <v>V1 - Existing / No Claim</v>
          </cell>
          <cell r="AF499">
            <v>42800</v>
          </cell>
          <cell r="AG499">
            <v>9.17</v>
          </cell>
          <cell r="AH499" t="str">
            <v>PPM</v>
          </cell>
          <cell r="AI499" t="str">
            <v>Strands</v>
          </cell>
          <cell r="AJ499" t="str">
            <v>Strands PW</v>
          </cell>
        </row>
        <row r="500">
          <cell r="A500" t="str">
            <v>IKN400015</v>
          </cell>
          <cell r="B500">
            <v>15</v>
          </cell>
          <cell r="C500" t="str">
            <v>Institut Kanser Negara</v>
          </cell>
          <cell r="D500" t="str">
            <v>KKM/IKN/H/13/1762</v>
          </cell>
          <cell r="E500" t="str">
            <v>13-215</v>
          </cell>
          <cell r="F500" t="str">
            <v>Infusion Pumps, General-Purpose</v>
          </cell>
          <cell r="G500" t="str">
            <v>AE</v>
          </cell>
          <cell r="H500" t="str">
            <v>EMERGENCY UNIT</v>
          </cell>
          <cell r="I500" t="str">
            <v>01AE118</v>
          </cell>
          <cell r="J500" t="str">
            <v>RESUSCITATION TREATMENT 1</v>
          </cell>
          <cell r="K500" t="str">
            <v>BMED</v>
          </cell>
          <cell r="L500" t="str">
            <v>Critical</v>
          </cell>
          <cell r="M500" t="str">
            <v>Germany</v>
          </cell>
          <cell r="N500" t="str">
            <v>Infusomat</v>
          </cell>
          <cell r="O500" t="str">
            <v>Infusomat Space</v>
          </cell>
          <cell r="P500" t="str">
            <v>212039</v>
          </cell>
          <cell r="Q500" t="str">
            <v>Not Applicable</v>
          </cell>
          <cell r="R500" t="str">
            <v>B Braun Melsungen AG</v>
          </cell>
          <cell r="S500" t="str">
            <v>B Braun Medical Supplies Sdn. Bhd.</v>
          </cell>
          <cell r="T500" t="str">
            <v>Functioning</v>
          </cell>
          <cell r="U500" t="str">
            <v>Asset</v>
          </cell>
          <cell r="V500">
            <v>10825</v>
          </cell>
          <cell r="W500" t="str">
            <v>KEW</v>
          </cell>
          <cell r="X500" t="str">
            <v>01/09/2010</v>
          </cell>
          <cell r="Y500" t="str">
            <v>KEW</v>
          </cell>
          <cell r="Z500" t="str">
            <v>16/08/2013</v>
          </cell>
          <cell r="AA500" t="str">
            <v>15/08/2015</v>
          </cell>
          <cell r="AB500" t="str">
            <v>No</v>
          </cell>
          <cell r="AC500" t="str">
            <v>31/08/2013</v>
          </cell>
          <cell r="AD500" t="str">
            <v>Good</v>
          </cell>
          <cell r="AE500" t="str">
            <v>V1 - Existing / No Claim</v>
          </cell>
          <cell r="AF500">
            <v>42800</v>
          </cell>
          <cell r="AG500">
            <v>9.17</v>
          </cell>
          <cell r="AH500" t="str">
            <v>PPM</v>
          </cell>
          <cell r="AI500" t="str">
            <v>Strands</v>
          </cell>
          <cell r="AJ500" t="str">
            <v>Strands PW</v>
          </cell>
        </row>
        <row r="501">
          <cell r="A501" t="str">
            <v>IKN400016</v>
          </cell>
          <cell r="B501">
            <v>16</v>
          </cell>
          <cell r="C501" t="str">
            <v>Institut Kanser Negara</v>
          </cell>
          <cell r="D501" t="str">
            <v>KKM/IKN/H/13/1741</v>
          </cell>
          <cell r="E501" t="str">
            <v>13-215</v>
          </cell>
          <cell r="F501" t="str">
            <v>Infusion Pumps, General-Purpose</v>
          </cell>
          <cell r="G501" t="str">
            <v>AE</v>
          </cell>
          <cell r="H501" t="str">
            <v>EMERGENCY UNIT</v>
          </cell>
          <cell r="I501" t="str">
            <v>01AE119</v>
          </cell>
          <cell r="J501" t="str">
            <v>RESUSCITATION/TREATMENT</v>
          </cell>
          <cell r="K501" t="str">
            <v>BMED</v>
          </cell>
          <cell r="L501" t="str">
            <v>Critical</v>
          </cell>
          <cell r="M501" t="str">
            <v>Germany</v>
          </cell>
          <cell r="N501" t="str">
            <v>Infusomat</v>
          </cell>
          <cell r="O501" t="str">
            <v>Infusomat Space</v>
          </cell>
          <cell r="P501" t="str">
            <v>211770</v>
          </cell>
          <cell r="Q501" t="str">
            <v>Not Applicable</v>
          </cell>
          <cell r="R501" t="str">
            <v>B Braun Melsungen AG</v>
          </cell>
          <cell r="S501" t="str">
            <v>B Braun Medical Supplies Sdn. Bhd.</v>
          </cell>
          <cell r="T501" t="str">
            <v>Functioning</v>
          </cell>
          <cell r="U501" t="str">
            <v>Asset</v>
          </cell>
          <cell r="V501">
            <v>10825</v>
          </cell>
          <cell r="W501" t="str">
            <v>KEW</v>
          </cell>
          <cell r="X501" t="str">
            <v>01/09/2010</v>
          </cell>
          <cell r="Y501" t="str">
            <v>KEW</v>
          </cell>
          <cell r="Z501" t="str">
            <v>16/08/2013</v>
          </cell>
          <cell r="AA501" t="str">
            <v>15/08/2015</v>
          </cell>
          <cell r="AB501" t="str">
            <v>No</v>
          </cell>
          <cell r="AC501" t="str">
            <v>31/08/2013</v>
          </cell>
          <cell r="AD501" t="str">
            <v>Good</v>
          </cell>
          <cell r="AE501" t="str">
            <v>V1 - Existing / No Claim</v>
          </cell>
          <cell r="AF501">
            <v>42800</v>
          </cell>
          <cell r="AG501">
            <v>9.17</v>
          </cell>
          <cell r="AH501" t="str">
            <v>PPM</v>
          </cell>
          <cell r="AI501" t="str">
            <v>Strands</v>
          </cell>
          <cell r="AJ501" t="str">
            <v>Strands PW</v>
          </cell>
        </row>
        <row r="502">
          <cell r="A502" t="str">
            <v>IKN400017</v>
          </cell>
          <cell r="B502">
            <v>17</v>
          </cell>
          <cell r="C502" t="str">
            <v>Institut Kanser Negara</v>
          </cell>
          <cell r="D502" t="str">
            <v>KKM/IKN/H/13/1742</v>
          </cell>
          <cell r="E502" t="str">
            <v>13-215</v>
          </cell>
          <cell r="F502" t="str">
            <v>Infusion Pumps, General-Purpose</v>
          </cell>
          <cell r="G502" t="str">
            <v>AE</v>
          </cell>
          <cell r="H502" t="str">
            <v>EMERGENCY UNIT</v>
          </cell>
          <cell r="I502" t="str">
            <v>01AE119</v>
          </cell>
          <cell r="J502" t="str">
            <v>RESUSCITATION/TREATMENT</v>
          </cell>
          <cell r="K502" t="str">
            <v>BMED</v>
          </cell>
          <cell r="L502" t="str">
            <v>Critical</v>
          </cell>
          <cell r="M502" t="str">
            <v>Germany</v>
          </cell>
          <cell r="N502" t="str">
            <v>Infusomat</v>
          </cell>
          <cell r="O502" t="str">
            <v>Infusomat Space</v>
          </cell>
          <cell r="P502" t="str">
            <v>211612</v>
          </cell>
          <cell r="Q502" t="str">
            <v>Not Applicable</v>
          </cell>
          <cell r="R502" t="str">
            <v>B Braun Melsungen AG</v>
          </cell>
          <cell r="S502" t="str">
            <v>B Braun Medical Supplies Sdn. Bhd.</v>
          </cell>
          <cell r="T502" t="str">
            <v>Functioning</v>
          </cell>
          <cell r="U502" t="str">
            <v>Asset</v>
          </cell>
          <cell r="V502">
            <v>10825</v>
          </cell>
          <cell r="W502" t="str">
            <v>KEW</v>
          </cell>
          <cell r="X502" t="str">
            <v>01/09/2010</v>
          </cell>
          <cell r="Y502" t="str">
            <v>KEW</v>
          </cell>
          <cell r="Z502" t="str">
            <v>16/08/2013</v>
          </cell>
          <cell r="AA502" t="str">
            <v>15/08/2015</v>
          </cell>
          <cell r="AB502" t="str">
            <v>No</v>
          </cell>
          <cell r="AC502" t="str">
            <v>31/08/2013</v>
          </cell>
          <cell r="AD502" t="str">
            <v>Good</v>
          </cell>
          <cell r="AE502" t="str">
            <v>V1 - Existing / No Claim</v>
          </cell>
          <cell r="AF502">
            <v>42800</v>
          </cell>
          <cell r="AG502">
            <v>9.17</v>
          </cell>
          <cell r="AH502" t="str">
            <v>PPM</v>
          </cell>
          <cell r="AI502" t="str">
            <v>Strands</v>
          </cell>
          <cell r="AJ502" t="str">
            <v>Strands PW</v>
          </cell>
        </row>
        <row r="503">
          <cell r="A503" t="str">
            <v>IKN400018</v>
          </cell>
          <cell r="B503">
            <v>18</v>
          </cell>
          <cell r="C503" t="str">
            <v>Institut Kanser Negara</v>
          </cell>
          <cell r="D503" t="str">
            <v>KKM/IKN/I/13/1654</v>
          </cell>
          <cell r="E503" t="str">
            <v>16-173</v>
          </cell>
          <cell r="F503" t="str">
            <v>Sphygmomanometers, Electronic, Automatic</v>
          </cell>
          <cell r="G503" t="str">
            <v>AE</v>
          </cell>
          <cell r="H503" t="str">
            <v>EMERGENCY UNIT</v>
          </cell>
          <cell r="I503" t="str">
            <v>01AE106</v>
          </cell>
          <cell r="J503" t="str">
            <v>C/E ROOM</v>
          </cell>
          <cell r="K503" t="str">
            <v>BMED</v>
          </cell>
          <cell r="L503" t="str">
            <v>Normal</v>
          </cell>
          <cell r="M503" t="str">
            <v>USA</v>
          </cell>
          <cell r="N503" t="str">
            <v>Connex</v>
          </cell>
          <cell r="O503" t="str">
            <v>Connex ProBP 3400</v>
          </cell>
          <cell r="P503" t="str">
            <v>100001460413</v>
          </cell>
          <cell r="Q503" t="str">
            <v>Not Applicable</v>
          </cell>
          <cell r="R503" t="str">
            <v>Welch Allyn Inc</v>
          </cell>
          <cell r="S503" t="str">
            <v>Welch Allyn Malaysia Sdn Bhd</v>
          </cell>
          <cell r="T503" t="str">
            <v>Functioning</v>
          </cell>
          <cell r="U503" t="str">
            <v>Asset</v>
          </cell>
          <cell r="V503">
            <v>336</v>
          </cell>
          <cell r="W503" t="str">
            <v>KEW</v>
          </cell>
          <cell r="X503" t="str">
            <v>01/09/2010</v>
          </cell>
          <cell r="Y503" t="str">
            <v>KEW</v>
          </cell>
          <cell r="Z503" t="str">
            <v>16/08/2013</v>
          </cell>
          <cell r="AA503" t="str">
            <v>15/08/2015</v>
          </cell>
          <cell r="AB503" t="str">
            <v>No</v>
          </cell>
          <cell r="AC503" t="str">
            <v>31/08/2013</v>
          </cell>
          <cell r="AD503" t="str">
            <v>Good</v>
          </cell>
          <cell r="AE503" t="str">
            <v>V1 - Existing / No Claim</v>
          </cell>
          <cell r="AF503">
            <v>42235</v>
          </cell>
          <cell r="AG503">
            <v>9.17</v>
          </cell>
          <cell r="AH503" t="str">
            <v>PPM</v>
          </cell>
          <cell r="AI503" t="str">
            <v>Strands</v>
          </cell>
          <cell r="AJ503" t="str">
            <v>Strands PW</v>
          </cell>
        </row>
        <row r="504">
          <cell r="A504" t="str">
            <v>IKN400019</v>
          </cell>
          <cell r="B504">
            <v>19</v>
          </cell>
          <cell r="C504" t="str">
            <v>Institut Kanser Negara</v>
          </cell>
          <cell r="D504" t="str">
            <v>KKM/IKN/I/13/1646</v>
          </cell>
          <cell r="E504" t="str">
            <v>16-173</v>
          </cell>
          <cell r="F504" t="str">
            <v>Sphygmomanometers, Electronic, Automatic</v>
          </cell>
          <cell r="G504" t="str">
            <v>AE</v>
          </cell>
          <cell r="H504" t="str">
            <v>EMERGENCY UNIT</v>
          </cell>
          <cell r="I504" t="str">
            <v>01AE108</v>
          </cell>
          <cell r="J504" t="str">
            <v>TRIAGE</v>
          </cell>
          <cell r="K504" t="str">
            <v>BMED</v>
          </cell>
          <cell r="L504" t="str">
            <v>Critical</v>
          </cell>
          <cell r="M504" t="str">
            <v>USA</v>
          </cell>
          <cell r="N504" t="str">
            <v>Connex</v>
          </cell>
          <cell r="O504" t="str">
            <v>Connex ProBP 3400</v>
          </cell>
          <cell r="P504" t="str">
            <v>100000800413</v>
          </cell>
          <cell r="Q504" t="str">
            <v>Not Applicable</v>
          </cell>
          <cell r="R504" t="str">
            <v>Welch Allyn Inc</v>
          </cell>
          <cell r="S504" t="str">
            <v>Welch Allyn Malaysia Sdn Bhd</v>
          </cell>
          <cell r="T504" t="str">
            <v>Functioning</v>
          </cell>
          <cell r="U504" t="str">
            <v>Asset</v>
          </cell>
          <cell r="V504">
            <v>336</v>
          </cell>
          <cell r="W504" t="str">
            <v>KEW</v>
          </cell>
          <cell r="X504" t="str">
            <v>01/09/2010</v>
          </cell>
          <cell r="Y504" t="str">
            <v>KEW</v>
          </cell>
          <cell r="Z504" t="str">
            <v>16/08/2013</v>
          </cell>
          <cell r="AA504" t="str">
            <v>15/08/2015</v>
          </cell>
          <cell r="AB504" t="str">
            <v>No</v>
          </cell>
          <cell r="AC504" t="str">
            <v>31/08/2013</v>
          </cell>
          <cell r="AD504" t="str">
            <v>Good</v>
          </cell>
          <cell r="AE504" t="str">
            <v>V1 - Existing / No Claim</v>
          </cell>
          <cell r="AF504">
            <v>42800</v>
          </cell>
          <cell r="AG504">
            <v>9.17</v>
          </cell>
          <cell r="AH504" t="str">
            <v>PPM</v>
          </cell>
          <cell r="AI504" t="str">
            <v>Strands</v>
          </cell>
          <cell r="AJ504" t="str">
            <v>Strands PW</v>
          </cell>
        </row>
        <row r="505">
          <cell r="A505" t="str">
            <v>IKN400020</v>
          </cell>
          <cell r="B505">
            <v>20</v>
          </cell>
          <cell r="C505" t="str">
            <v>Institut Kanser Negara</v>
          </cell>
          <cell r="D505" t="str">
            <v>KKM/IKN/H/13/1784</v>
          </cell>
          <cell r="E505" t="str">
            <v>10-208</v>
          </cell>
          <cell r="F505" t="str">
            <v>Aspirators</v>
          </cell>
          <cell r="G505" t="str">
            <v>AE</v>
          </cell>
          <cell r="H505" t="str">
            <v>EMERGENCY UNIT</v>
          </cell>
          <cell r="I505" t="str">
            <v>01AE118</v>
          </cell>
          <cell r="J505" t="str">
            <v>RESUSCITATION TREATMENT 1</v>
          </cell>
          <cell r="K505" t="str">
            <v>BMED</v>
          </cell>
          <cell r="L505" t="str">
            <v>Critical</v>
          </cell>
          <cell r="M505" t="str">
            <v>Switzerland</v>
          </cell>
          <cell r="N505" t="str">
            <v>Senator</v>
          </cell>
          <cell r="O505" t="str">
            <v>Senator</v>
          </cell>
          <cell r="P505" t="str">
            <v>1220754</v>
          </cell>
          <cell r="Q505" t="str">
            <v>Not Applicable</v>
          </cell>
          <cell r="R505" t="str">
            <v>Ardo Medical AG</v>
          </cell>
          <cell r="S505" t="str">
            <v>Histopoint</v>
          </cell>
          <cell r="T505" t="str">
            <v>Functioning</v>
          </cell>
          <cell r="U505" t="str">
            <v>Asset</v>
          </cell>
          <cell r="V505">
            <v>7580</v>
          </cell>
          <cell r="W505" t="str">
            <v>KEW</v>
          </cell>
          <cell r="X505" t="str">
            <v>01/09/2010</v>
          </cell>
          <cell r="Y505" t="str">
            <v>KEW</v>
          </cell>
          <cell r="Z505" t="str">
            <v>16/08/2013</v>
          </cell>
          <cell r="AA505" t="str">
            <v>15/08/2015</v>
          </cell>
          <cell r="AB505" t="str">
            <v>No</v>
          </cell>
          <cell r="AC505" t="str">
            <v>31/08/2013</v>
          </cell>
          <cell r="AD505" t="str">
            <v>Good</v>
          </cell>
          <cell r="AE505" t="str">
            <v>V1 - Existing / No Claim</v>
          </cell>
          <cell r="AF505">
            <v>42800</v>
          </cell>
          <cell r="AG505">
            <v>9.17</v>
          </cell>
          <cell r="AH505" t="str">
            <v>PPM</v>
          </cell>
          <cell r="AI505" t="str">
            <v>Strands</v>
          </cell>
          <cell r="AJ505" t="str">
            <v>Strands PW</v>
          </cell>
        </row>
        <row r="506">
          <cell r="A506" t="str">
            <v>IKN400021</v>
          </cell>
          <cell r="B506">
            <v>21</v>
          </cell>
          <cell r="C506" t="str">
            <v>Institut Kanser Negara</v>
          </cell>
          <cell r="D506" t="str">
            <v>KKM/IKN/H/13/1783</v>
          </cell>
          <cell r="E506" t="str">
            <v>10-208</v>
          </cell>
          <cell r="F506" t="str">
            <v>Aspirators</v>
          </cell>
          <cell r="G506" t="str">
            <v>AE</v>
          </cell>
          <cell r="H506" t="str">
            <v>EMERGENCY UNIT</v>
          </cell>
          <cell r="I506" t="str">
            <v>01AE119</v>
          </cell>
          <cell r="J506" t="str">
            <v>RESUSCITATION/TREATMENT</v>
          </cell>
          <cell r="K506" t="str">
            <v>BMED</v>
          </cell>
          <cell r="L506" t="str">
            <v>Normal</v>
          </cell>
          <cell r="M506" t="str">
            <v>Switzerland</v>
          </cell>
          <cell r="N506" t="str">
            <v>Senator</v>
          </cell>
          <cell r="O506" t="str">
            <v>Senator</v>
          </cell>
          <cell r="P506" t="str">
            <v>1220758</v>
          </cell>
          <cell r="Q506" t="str">
            <v>Not Applicable</v>
          </cell>
          <cell r="R506" t="str">
            <v>Ardo Medical AG</v>
          </cell>
          <cell r="S506" t="str">
            <v>Histopoint</v>
          </cell>
          <cell r="T506" t="str">
            <v>Functioning</v>
          </cell>
          <cell r="U506" t="str">
            <v>Asset</v>
          </cell>
          <cell r="V506">
            <v>7580</v>
          </cell>
          <cell r="W506" t="str">
            <v>KEW</v>
          </cell>
          <cell r="X506" t="str">
            <v>01/09/2010</v>
          </cell>
          <cell r="Y506" t="str">
            <v>KEW</v>
          </cell>
          <cell r="Z506" t="str">
            <v>16/08/2013</v>
          </cell>
          <cell r="AA506" t="str">
            <v>15/08/2015</v>
          </cell>
          <cell r="AB506" t="str">
            <v>No</v>
          </cell>
          <cell r="AC506" t="str">
            <v>31/08/2013</v>
          </cell>
          <cell r="AD506" t="str">
            <v>Good</v>
          </cell>
          <cell r="AE506" t="str">
            <v>V1 - Existing / No Claim</v>
          </cell>
          <cell r="AF506">
            <v>42235</v>
          </cell>
          <cell r="AG506">
            <v>9.17</v>
          </cell>
          <cell r="AH506" t="str">
            <v>PPM</v>
          </cell>
          <cell r="AI506" t="str">
            <v>Strands</v>
          </cell>
          <cell r="AJ506" t="str">
            <v>Strands PW</v>
          </cell>
        </row>
        <row r="507">
          <cell r="A507" t="str">
            <v>IKN400022</v>
          </cell>
          <cell r="B507">
            <v>22</v>
          </cell>
          <cell r="C507" t="str">
            <v>Institut Kanser Negara</v>
          </cell>
          <cell r="D507" t="str">
            <v>KKM/IKN/H/13/1772</v>
          </cell>
          <cell r="E507" t="str">
            <v>18-098</v>
          </cell>
          <cell r="F507" t="str">
            <v>Ventilators, Transport</v>
          </cell>
          <cell r="G507" t="str">
            <v>AE</v>
          </cell>
          <cell r="H507" t="str">
            <v>EMERGENCY UNIT</v>
          </cell>
          <cell r="I507" t="str">
            <v>01AE110</v>
          </cell>
          <cell r="J507" t="str">
            <v>EQUIPT. ROOM</v>
          </cell>
          <cell r="K507" t="str">
            <v>BMED</v>
          </cell>
          <cell r="L507" t="str">
            <v>Normal</v>
          </cell>
          <cell r="M507" t="str">
            <v>Germany</v>
          </cell>
          <cell r="N507" t="str">
            <v>Oxylog</v>
          </cell>
          <cell r="O507" t="str">
            <v>Oxylog 3000 Plus</v>
          </cell>
          <cell r="P507" t="str">
            <v>ASDJ-0137</v>
          </cell>
          <cell r="Q507" t="str">
            <v>Not Applicable</v>
          </cell>
          <cell r="R507" t="str">
            <v>Draegerwerk Ag</v>
          </cell>
          <cell r="S507" t="str">
            <v>Beau Consortium Sdn Bhd</v>
          </cell>
          <cell r="T507" t="str">
            <v>Functioning</v>
          </cell>
          <cell r="U507" t="str">
            <v>Asset</v>
          </cell>
          <cell r="V507">
            <v>60150</v>
          </cell>
          <cell r="W507" t="str">
            <v>KEW</v>
          </cell>
          <cell r="X507" t="str">
            <v>01/09/2010</v>
          </cell>
          <cell r="Y507" t="str">
            <v>KEW</v>
          </cell>
          <cell r="Z507" t="str">
            <v>16/08/2013</v>
          </cell>
          <cell r="AA507" t="str">
            <v>15/08/2015</v>
          </cell>
          <cell r="AB507" t="str">
            <v>No</v>
          </cell>
          <cell r="AC507" t="str">
            <v>31/08/2013</v>
          </cell>
          <cell r="AD507" t="str">
            <v>Good</v>
          </cell>
          <cell r="AE507" t="str">
            <v>V1 - Existing / No Claim</v>
          </cell>
          <cell r="AF507">
            <v>42235</v>
          </cell>
          <cell r="AG507">
            <v>9.17</v>
          </cell>
          <cell r="AH507" t="str">
            <v>PPM</v>
          </cell>
          <cell r="AI507" t="str">
            <v>Strands</v>
          </cell>
          <cell r="AJ507" t="str">
            <v>Strands PW</v>
          </cell>
        </row>
        <row r="508">
          <cell r="A508" t="str">
            <v>IKN400023</v>
          </cell>
          <cell r="B508">
            <v>23</v>
          </cell>
          <cell r="C508" t="str">
            <v>Institut Kanser Negara</v>
          </cell>
          <cell r="D508" t="str">
            <v>KKM/IKN/H/13/1771</v>
          </cell>
          <cell r="E508" t="str">
            <v>10-447</v>
          </cell>
          <cell r="F508" t="str">
            <v>Warming Units, Blood/Solution</v>
          </cell>
          <cell r="G508" t="str">
            <v>AE</v>
          </cell>
          <cell r="H508" t="str">
            <v>EMERGENCY UNIT</v>
          </cell>
          <cell r="I508" t="str">
            <v>01AE110</v>
          </cell>
          <cell r="J508" t="str">
            <v>EQUIPT. ROOM</v>
          </cell>
          <cell r="K508" t="str">
            <v>BMED</v>
          </cell>
          <cell r="L508" t="str">
            <v>Normal</v>
          </cell>
          <cell r="M508" t="str">
            <v>Japan</v>
          </cell>
          <cell r="N508" t="str">
            <v>Animec</v>
          </cell>
          <cell r="O508" t="str">
            <v>Animec AM-301</v>
          </cell>
          <cell r="P508" t="str">
            <v>2013D0270</v>
          </cell>
          <cell r="Q508" t="str">
            <v>Not Applicable</v>
          </cell>
          <cell r="R508" t="str">
            <v>Elltec Co Ltd</v>
          </cell>
          <cell r="S508" t="str">
            <v>IDS Services (Malaysia) Sdn Bhd</v>
          </cell>
          <cell r="T508" t="str">
            <v>Functioning</v>
          </cell>
          <cell r="U508" t="str">
            <v>Asset</v>
          </cell>
          <cell r="V508">
            <v>4990</v>
          </cell>
          <cell r="W508" t="str">
            <v>KEW</v>
          </cell>
          <cell r="X508" t="str">
            <v>01/09/2010</v>
          </cell>
          <cell r="Y508" t="str">
            <v>KEW</v>
          </cell>
          <cell r="Z508" t="str">
            <v>16/08/2013</v>
          </cell>
          <cell r="AA508" t="str">
            <v>15/08/2015</v>
          </cell>
          <cell r="AB508" t="str">
            <v>No</v>
          </cell>
          <cell r="AC508" t="str">
            <v>31/08/2013</v>
          </cell>
          <cell r="AD508" t="str">
            <v>Good</v>
          </cell>
          <cell r="AE508" t="str">
            <v>V1 - Existing / No Claim</v>
          </cell>
          <cell r="AF508">
            <v>42800</v>
          </cell>
          <cell r="AG508">
            <v>9.17</v>
          </cell>
          <cell r="AH508" t="str">
            <v>PPM</v>
          </cell>
          <cell r="AI508" t="str">
            <v>Strands</v>
          </cell>
          <cell r="AJ508" t="str">
            <v>Strands PW</v>
          </cell>
        </row>
        <row r="509">
          <cell r="A509" t="str">
            <v>IKN400024</v>
          </cell>
          <cell r="B509">
            <v>24</v>
          </cell>
          <cell r="C509" t="str">
            <v>Institut Kanser Negara</v>
          </cell>
          <cell r="D509" t="str">
            <v>KKM/IKN/H/13/1705</v>
          </cell>
          <cell r="E509" t="str">
            <v>10-447</v>
          </cell>
          <cell r="F509" t="str">
            <v>Warming Units, Blood/Solution</v>
          </cell>
          <cell r="G509" t="str">
            <v>AE</v>
          </cell>
          <cell r="H509" t="str">
            <v>EMERGENCY UNIT</v>
          </cell>
          <cell r="I509" t="str">
            <v>01AE110</v>
          </cell>
          <cell r="J509" t="str">
            <v>EQUIPT. ROOM</v>
          </cell>
          <cell r="K509" t="str">
            <v>BMED</v>
          </cell>
          <cell r="L509" t="str">
            <v>Normal</v>
          </cell>
          <cell r="M509" t="str">
            <v>Japan</v>
          </cell>
          <cell r="N509" t="str">
            <v>Animec</v>
          </cell>
          <cell r="O509" t="str">
            <v>Animec AM-301</v>
          </cell>
          <cell r="P509" t="str">
            <v>2013D0271</v>
          </cell>
          <cell r="Q509" t="str">
            <v>Not Applicable</v>
          </cell>
          <cell r="R509" t="str">
            <v>Elltec Co Ltd</v>
          </cell>
          <cell r="S509" t="str">
            <v>IDS Services (Malaysia) Sdn Bhd</v>
          </cell>
          <cell r="T509" t="str">
            <v>Functioning</v>
          </cell>
          <cell r="U509" t="str">
            <v>Asset</v>
          </cell>
          <cell r="V509">
            <v>4990</v>
          </cell>
          <cell r="W509" t="str">
            <v>KEW</v>
          </cell>
          <cell r="X509" t="str">
            <v>01/09/2010</v>
          </cell>
          <cell r="Y509" t="str">
            <v>KEW</v>
          </cell>
          <cell r="Z509" t="str">
            <v>16/08/2013</v>
          </cell>
          <cell r="AA509" t="str">
            <v>15/08/2015</v>
          </cell>
          <cell r="AB509" t="str">
            <v>No</v>
          </cell>
          <cell r="AC509" t="str">
            <v>31/08/2013</v>
          </cell>
          <cell r="AD509" t="str">
            <v>Good</v>
          </cell>
          <cell r="AE509" t="str">
            <v>V1 - Existing / No Claim</v>
          </cell>
          <cell r="AF509">
            <v>42800</v>
          </cell>
          <cell r="AG509">
            <v>9.17</v>
          </cell>
          <cell r="AH509" t="str">
            <v>PPM</v>
          </cell>
          <cell r="AI509" t="str">
            <v>Strands</v>
          </cell>
          <cell r="AJ509" t="str">
            <v>Strands PW</v>
          </cell>
        </row>
        <row r="510">
          <cell r="A510" t="str">
            <v>IKN400025</v>
          </cell>
          <cell r="B510">
            <v>25</v>
          </cell>
          <cell r="C510" t="str">
            <v>Institut Kanser Negara</v>
          </cell>
          <cell r="D510" t="str">
            <v>KKM/IKN/H/13/1117</v>
          </cell>
          <cell r="E510" t="str">
            <v>12-863</v>
          </cell>
          <cell r="F510" t="str">
            <v>Oxygen Monitors</v>
          </cell>
          <cell r="G510" t="str">
            <v>IC</v>
          </cell>
          <cell r="H510" t="str">
            <v>INTENSIVE CARE UNIT</v>
          </cell>
          <cell r="I510" t="str">
            <v>05IC124</v>
          </cell>
          <cell r="J510" t="str">
            <v>RHU</v>
          </cell>
          <cell r="K510" t="str">
            <v>BMED</v>
          </cell>
          <cell r="L510" t="str">
            <v>Critical</v>
          </cell>
          <cell r="M510" t="str">
            <v>Germany</v>
          </cell>
          <cell r="N510" t="str">
            <v>Mysign</v>
          </cell>
          <cell r="O510" t="str">
            <v>Mysign O</v>
          </cell>
          <cell r="P510" t="str">
            <v>100169</v>
          </cell>
          <cell r="Q510" t="str">
            <v>Not Applicable</v>
          </cell>
          <cell r="R510" t="str">
            <v>EnviteC-Wismar GmbH</v>
          </cell>
          <cell r="S510" t="str">
            <v>Respimedic</v>
          </cell>
          <cell r="T510" t="str">
            <v>Functioning</v>
          </cell>
          <cell r="U510" t="str">
            <v>Asset</v>
          </cell>
          <cell r="V510">
            <v>3079</v>
          </cell>
          <cell r="W510" t="str">
            <v>KEW</v>
          </cell>
          <cell r="X510" t="str">
            <v>01/09/2010</v>
          </cell>
          <cell r="Y510" t="str">
            <v>KEW</v>
          </cell>
          <cell r="Z510" t="str">
            <v>16/08/2013</v>
          </cell>
          <cell r="AA510" t="str">
            <v>15/08/2015</v>
          </cell>
          <cell r="AB510" t="str">
            <v>No</v>
          </cell>
          <cell r="AC510" t="str">
            <v>31/08/2013</v>
          </cell>
          <cell r="AD510" t="str">
            <v>Good</v>
          </cell>
          <cell r="AE510" t="str">
            <v>V1 - Existing / No Claim</v>
          </cell>
          <cell r="AF510">
            <v>42797</v>
          </cell>
          <cell r="AG510">
            <v>9.17</v>
          </cell>
          <cell r="AH510" t="str">
            <v>PPM</v>
          </cell>
          <cell r="AI510" t="str">
            <v>Strands</v>
          </cell>
          <cell r="AJ510" t="str">
            <v>Strands PW</v>
          </cell>
        </row>
        <row r="511">
          <cell r="A511" t="str">
            <v>IKN400029</v>
          </cell>
          <cell r="B511">
            <v>29</v>
          </cell>
          <cell r="C511" t="str">
            <v>Institut Kanser Negara</v>
          </cell>
          <cell r="D511" t="str">
            <v>KKM/IKN/H/13/1051</v>
          </cell>
          <cell r="E511" t="str">
            <v>12-647</v>
          </cell>
          <cell r="F511" t="str">
            <v>Physiologic Monitoring Systems, Acute Care</v>
          </cell>
          <cell r="G511" t="str">
            <v>IC</v>
          </cell>
          <cell r="H511" t="str">
            <v>INTENSIVE CARE UNIT</v>
          </cell>
          <cell r="I511" t="str">
            <v>05IC140</v>
          </cell>
          <cell r="J511" t="str">
            <v>NURSE STATION 1</v>
          </cell>
          <cell r="K511" t="str">
            <v>BMED</v>
          </cell>
          <cell r="L511" t="str">
            <v>Normal</v>
          </cell>
          <cell r="M511" t="str">
            <v>USA</v>
          </cell>
          <cell r="N511" t="str">
            <v>I-Central</v>
          </cell>
          <cell r="O511" t="str">
            <v>I-Central</v>
          </cell>
          <cell r="P511" t="str">
            <v>1642569</v>
          </cell>
          <cell r="Q511" t="str">
            <v>Not Applicable</v>
          </cell>
          <cell r="R511" t="str">
            <v>GE Healthcare Systems</v>
          </cell>
          <cell r="S511" t="str">
            <v>GE Healthcare Technologies</v>
          </cell>
          <cell r="T511" t="str">
            <v>Functioning</v>
          </cell>
          <cell r="U511" t="str">
            <v>Asset</v>
          </cell>
          <cell r="V511">
            <v>105850</v>
          </cell>
          <cell r="W511" t="str">
            <v>KEW</v>
          </cell>
          <cell r="X511" t="str">
            <v>01/09/2010</v>
          </cell>
          <cell r="Y511" t="str">
            <v>KEW</v>
          </cell>
          <cell r="Z511" t="str">
            <v>16/08/2013</v>
          </cell>
          <cell r="AA511" t="str">
            <v>15/08/2015</v>
          </cell>
          <cell r="AB511" t="str">
            <v>No</v>
          </cell>
          <cell r="AC511" t="str">
            <v>31/08/2013</v>
          </cell>
          <cell r="AD511" t="str">
            <v>Good</v>
          </cell>
          <cell r="AE511" t="str">
            <v>V1 - Existing / No Claim</v>
          </cell>
          <cell r="AF511">
            <v>42235</v>
          </cell>
          <cell r="AG511">
            <v>9.17</v>
          </cell>
          <cell r="AH511" t="str">
            <v>PPM</v>
          </cell>
          <cell r="AI511" t="str">
            <v>Strands</v>
          </cell>
          <cell r="AJ511" t="str">
            <v>Strands Package</v>
          </cell>
          <cell r="AK511" t="str">
            <v>Package Code MJ0023</v>
          </cell>
        </row>
        <row r="512">
          <cell r="A512" t="str">
            <v>IKN400030</v>
          </cell>
          <cell r="B512">
            <v>30</v>
          </cell>
          <cell r="C512" t="str">
            <v>Institut Kanser Negara</v>
          </cell>
          <cell r="D512" t="str">
            <v>KKM/IKN/H/13/3447</v>
          </cell>
          <cell r="E512" t="str">
            <v>11-134</v>
          </cell>
          <cell r="F512" t="str">
            <v>Defibrillators, External, Manual</v>
          </cell>
          <cell r="G512" t="str">
            <v>IC</v>
          </cell>
          <cell r="H512" t="str">
            <v>INTENSIVE CARE UNIT</v>
          </cell>
          <cell r="I512" t="str">
            <v>05IC141</v>
          </cell>
          <cell r="J512" t="str">
            <v>UTILITY</v>
          </cell>
          <cell r="K512" t="str">
            <v>BMED</v>
          </cell>
          <cell r="L512" t="str">
            <v>Critical</v>
          </cell>
          <cell r="M512" t="str">
            <v>USA</v>
          </cell>
          <cell r="N512" t="str">
            <v>Responder</v>
          </cell>
          <cell r="O512" t="str">
            <v>Responder 2000</v>
          </cell>
          <cell r="P512" t="str">
            <v>3206737</v>
          </cell>
          <cell r="Q512" t="str">
            <v>Not Applicable</v>
          </cell>
          <cell r="R512" t="str">
            <v>GE Medical Systems</v>
          </cell>
          <cell r="S512" t="str">
            <v>Antah Sir Radin Sdn. Bhd.</v>
          </cell>
          <cell r="T512" t="str">
            <v>Functioning</v>
          </cell>
          <cell r="U512" t="str">
            <v>Asset</v>
          </cell>
          <cell r="V512">
            <v>45000</v>
          </cell>
          <cell r="W512" t="str">
            <v>Estimate</v>
          </cell>
          <cell r="X512" t="str">
            <v>01/09/2010</v>
          </cell>
          <cell r="Y512" t="str">
            <v>KEW</v>
          </cell>
          <cell r="Z512" t="str">
            <v>16/08/2013</v>
          </cell>
          <cell r="AA512" t="str">
            <v>15/08/2015</v>
          </cell>
          <cell r="AB512" t="str">
            <v>No</v>
          </cell>
          <cell r="AC512" t="str">
            <v>31/08/2013</v>
          </cell>
          <cell r="AD512" t="str">
            <v>Good</v>
          </cell>
          <cell r="AE512" t="str">
            <v>V1 - Existing / No Claim</v>
          </cell>
          <cell r="AF512">
            <v>43306</v>
          </cell>
          <cell r="AG512">
            <v>9.17</v>
          </cell>
          <cell r="AH512" t="str">
            <v>PPM</v>
          </cell>
          <cell r="AI512" t="str">
            <v>Strands</v>
          </cell>
          <cell r="AJ512" t="str">
            <v>Strands PW</v>
          </cell>
        </row>
        <row r="513">
          <cell r="A513" t="str">
            <v>IKN400031</v>
          </cell>
          <cell r="B513">
            <v>31</v>
          </cell>
          <cell r="C513" t="str">
            <v>Institut Kanser Negara</v>
          </cell>
          <cell r="D513" t="str">
            <v>KKM/IKN/H/13/1049</v>
          </cell>
          <cell r="E513" t="str">
            <v>16-231</v>
          </cell>
          <cell r="F513" t="str">
            <v>Electrocardiographs, Multichannel, Interpretative</v>
          </cell>
          <cell r="G513" t="str">
            <v>IC</v>
          </cell>
          <cell r="H513" t="str">
            <v>INTENSIVE CARE UNIT</v>
          </cell>
          <cell r="I513" t="str">
            <v>05IC106</v>
          </cell>
          <cell r="J513" t="str">
            <v>EQ. ROOM</v>
          </cell>
          <cell r="K513" t="str">
            <v>BMED</v>
          </cell>
          <cell r="L513" t="str">
            <v>Normal</v>
          </cell>
          <cell r="M513" t="str">
            <v>India</v>
          </cell>
          <cell r="N513" t="str">
            <v>Mac</v>
          </cell>
          <cell r="O513" t="str">
            <v>Mac 5500</v>
          </cell>
          <cell r="P513" t="str">
            <v>SCD 1230 5247 PA</v>
          </cell>
          <cell r="Q513" t="str">
            <v>Not Applicable</v>
          </cell>
          <cell r="R513" t="str">
            <v>GE Healthcare Systems</v>
          </cell>
          <cell r="S513" t="str">
            <v>GE Healthcare Technologies</v>
          </cell>
          <cell r="T513" t="str">
            <v>Functioning</v>
          </cell>
          <cell r="U513" t="str">
            <v>Asset</v>
          </cell>
          <cell r="V513">
            <v>31270</v>
          </cell>
          <cell r="W513" t="str">
            <v>KEW</v>
          </cell>
          <cell r="X513" t="str">
            <v>01/09/2010</v>
          </cell>
          <cell r="Y513" t="str">
            <v>KEW</v>
          </cell>
          <cell r="Z513" t="str">
            <v>16/08/2013</v>
          </cell>
          <cell r="AA513" t="str">
            <v>15/08/2015</v>
          </cell>
          <cell r="AB513" t="str">
            <v>No</v>
          </cell>
          <cell r="AC513" t="str">
            <v>31/08/2013</v>
          </cell>
          <cell r="AD513" t="str">
            <v>Good</v>
          </cell>
          <cell r="AE513" t="str">
            <v>V1 - Existing / No Claim</v>
          </cell>
          <cell r="AF513">
            <v>42235</v>
          </cell>
          <cell r="AG513">
            <v>9.17</v>
          </cell>
          <cell r="AH513" t="str">
            <v>PPM</v>
          </cell>
          <cell r="AI513" t="str">
            <v>Strands</v>
          </cell>
          <cell r="AJ513" t="str">
            <v>Strands PW</v>
          </cell>
        </row>
        <row r="514">
          <cell r="A514" t="str">
            <v>IKN400032</v>
          </cell>
          <cell r="B514">
            <v>32</v>
          </cell>
          <cell r="C514" t="str">
            <v>Institut Kanser Negara</v>
          </cell>
          <cell r="D514" t="str">
            <v>KKM/IKN/H/13/929</v>
          </cell>
          <cell r="E514" t="str">
            <v>17-793</v>
          </cell>
          <cell r="F514" t="str">
            <v>Infusion/ Monitoring Line Organizer System</v>
          </cell>
          <cell r="G514" t="str">
            <v>IC</v>
          </cell>
          <cell r="H514" t="str">
            <v>INTENSIVE CARE UNIT</v>
          </cell>
          <cell r="I514" t="str">
            <v>05IC111</v>
          </cell>
          <cell r="J514" t="str">
            <v>ISOL 1(-VE)</v>
          </cell>
          <cell r="K514" t="str">
            <v>BMED</v>
          </cell>
          <cell r="L514" t="str">
            <v>Normal</v>
          </cell>
          <cell r="M514" t="str">
            <v>Germany</v>
          </cell>
          <cell r="N514" t="str">
            <v>Space Station</v>
          </cell>
          <cell r="O514" t="str">
            <v>Space Station</v>
          </cell>
          <cell r="P514" t="str">
            <v>13977</v>
          </cell>
          <cell r="Q514" t="str">
            <v>Not Applicable</v>
          </cell>
          <cell r="R514" t="str">
            <v>B Braun Melsungen AG</v>
          </cell>
          <cell r="S514" t="str">
            <v>B Braun Medical Supplies Sdn. Bhd.</v>
          </cell>
          <cell r="T514" t="str">
            <v>Functioning</v>
          </cell>
          <cell r="U514" t="str">
            <v>Asset</v>
          </cell>
          <cell r="V514">
            <v>84200</v>
          </cell>
          <cell r="W514" t="str">
            <v>KEW</v>
          </cell>
          <cell r="X514" t="str">
            <v>01/09/2010</v>
          </cell>
          <cell r="Y514" t="str">
            <v>KEW</v>
          </cell>
          <cell r="Z514" t="str">
            <v>16/08/2013</v>
          </cell>
          <cell r="AA514" t="str">
            <v>15/08/2015</v>
          </cell>
          <cell r="AB514" t="str">
            <v>No</v>
          </cell>
          <cell r="AC514" t="str">
            <v>31/08/2013</v>
          </cell>
          <cell r="AD514" t="str">
            <v>Good</v>
          </cell>
          <cell r="AE514" t="str">
            <v>V1 - Existing / No Claim</v>
          </cell>
          <cell r="AF514">
            <v>42235</v>
          </cell>
          <cell r="AG514">
            <v>9.17</v>
          </cell>
          <cell r="AH514" t="str">
            <v>PPM</v>
          </cell>
          <cell r="AI514" t="str">
            <v>Strands</v>
          </cell>
          <cell r="AJ514" t="str">
            <v>Strands PW</v>
          </cell>
        </row>
        <row r="515">
          <cell r="A515" t="str">
            <v>IKN400033</v>
          </cell>
          <cell r="B515">
            <v>33</v>
          </cell>
          <cell r="C515" t="str">
            <v>Institut Kanser Negara</v>
          </cell>
          <cell r="D515" t="str">
            <v>KKM/IKN/H/13/936</v>
          </cell>
          <cell r="E515" t="str">
            <v>17-793</v>
          </cell>
          <cell r="F515" t="str">
            <v>Infusion/ Monitoring Line Organizer System</v>
          </cell>
          <cell r="G515" t="str">
            <v>IC</v>
          </cell>
          <cell r="H515" t="str">
            <v>INTENSIVE CARE UNIT</v>
          </cell>
          <cell r="I515" t="str">
            <v>05IC112</v>
          </cell>
          <cell r="J515" t="str">
            <v>ICU RM 1</v>
          </cell>
          <cell r="K515" t="str">
            <v>BMED</v>
          </cell>
          <cell r="L515" t="str">
            <v>Normal</v>
          </cell>
          <cell r="M515" t="str">
            <v>Germany</v>
          </cell>
          <cell r="N515" t="str">
            <v>Space Station</v>
          </cell>
          <cell r="O515" t="str">
            <v>Space Station</v>
          </cell>
          <cell r="P515" t="str">
            <v>13979</v>
          </cell>
          <cell r="Q515" t="str">
            <v>Not Applicable</v>
          </cell>
          <cell r="R515" t="str">
            <v>B Braun Melsungen AG</v>
          </cell>
          <cell r="S515" t="str">
            <v>B Braun Medical Supplies Sdn. Bhd.</v>
          </cell>
          <cell r="T515" t="str">
            <v>Functioning</v>
          </cell>
          <cell r="U515" t="str">
            <v>Asset</v>
          </cell>
          <cell r="V515">
            <v>84200</v>
          </cell>
          <cell r="W515" t="str">
            <v>KEW</v>
          </cell>
          <cell r="X515" t="str">
            <v>01/09/2010</v>
          </cell>
          <cell r="Y515" t="str">
            <v>KEW</v>
          </cell>
          <cell r="Z515" t="str">
            <v>16/08/2013</v>
          </cell>
          <cell r="AA515" t="str">
            <v>15/08/2015</v>
          </cell>
          <cell r="AB515" t="str">
            <v>No</v>
          </cell>
          <cell r="AC515" t="str">
            <v>31/08/2013</v>
          </cell>
          <cell r="AD515" t="str">
            <v>Good</v>
          </cell>
          <cell r="AE515" t="str">
            <v>V1 - Existing / No Claim</v>
          </cell>
          <cell r="AF515">
            <v>42235</v>
          </cell>
          <cell r="AG515">
            <v>9.17</v>
          </cell>
          <cell r="AH515" t="str">
            <v>PPM</v>
          </cell>
          <cell r="AI515" t="str">
            <v>Strands</v>
          </cell>
          <cell r="AJ515" t="str">
            <v>Strands PW</v>
          </cell>
        </row>
        <row r="516">
          <cell r="A516" t="str">
            <v>IKN400034</v>
          </cell>
          <cell r="B516">
            <v>34</v>
          </cell>
          <cell r="C516" t="str">
            <v>Institut Kanser Negara</v>
          </cell>
          <cell r="D516" t="str">
            <v>KKM/IKN/H/13/930</v>
          </cell>
          <cell r="E516" t="str">
            <v>17-793</v>
          </cell>
          <cell r="F516" t="str">
            <v>Infusion/ Monitoring Line Organizer System</v>
          </cell>
          <cell r="G516" t="str">
            <v>IC</v>
          </cell>
          <cell r="H516" t="str">
            <v>INTENSIVE CARE UNIT</v>
          </cell>
          <cell r="I516" t="str">
            <v>05IC113</v>
          </cell>
          <cell r="J516" t="str">
            <v>ICU RM 2</v>
          </cell>
          <cell r="K516" t="str">
            <v>BMED</v>
          </cell>
          <cell r="L516" t="str">
            <v>Normal</v>
          </cell>
          <cell r="M516" t="str">
            <v>Germany</v>
          </cell>
          <cell r="N516" t="str">
            <v>Space Station</v>
          </cell>
          <cell r="O516" t="str">
            <v>Space Station</v>
          </cell>
          <cell r="P516" t="str">
            <v>13991</v>
          </cell>
          <cell r="Q516" t="str">
            <v>Not Applicable</v>
          </cell>
          <cell r="R516" t="str">
            <v>B Braun Melsungen AG</v>
          </cell>
          <cell r="S516" t="str">
            <v>B Braun Medical Supplies Sdn. Bhd.</v>
          </cell>
          <cell r="T516" t="str">
            <v>Functioning</v>
          </cell>
          <cell r="U516" t="str">
            <v>Asset</v>
          </cell>
          <cell r="V516">
            <v>84200</v>
          </cell>
          <cell r="W516" t="str">
            <v>KEW</v>
          </cell>
          <cell r="X516" t="str">
            <v>01/09/2010</v>
          </cell>
          <cell r="Y516" t="str">
            <v>KEW</v>
          </cell>
          <cell r="Z516" t="str">
            <v>16/08/2013</v>
          </cell>
          <cell r="AA516" t="str">
            <v>15/08/2015</v>
          </cell>
          <cell r="AB516" t="str">
            <v>No</v>
          </cell>
          <cell r="AC516" t="str">
            <v>31/08/2013</v>
          </cell>
          <cell r="AD516" t="str">
            <v>Good</v>
          </cell>
          <cell r="AE516" t="str">
            <v>V1 - Existing / No Claim</v>
          </cell>
          <cell r="AF516">
            <v>42796</v>
          </cell>
          <cell r="AG516">
            <v>9.17</v>
          </cell>
          <cell r="AH516" t="str">
            <v>PPM</v>
          </cell>
          <cell r="AI516" t="str">
            <v>Strands</v>
          </cell>
          <cell r="AJ516" t="str">
            <v>Strands PW</v>
          </cell>
        </row>
        <row r="517">
          <cell r="A517" t="str">
            <v>IKN400035</v>
          </cell>
          <cell r="B517">
            <v>35</v>
          </cell>
          <cell r="C517" t="str">
            <v>Institut Kanser Negara</v>
          </cell>
          <cell r="D517" t="str">
            <v>KKM/IKN/H/13/931</v>
          </cell>
          <cell r="E517" t="str">
            <v>17-793</v>
          </cell>
          <cell r="F517" t="str">
            <v>Infusion/ Monitoring Line Organizer System</v>
          </cell>
          <cell r="G517" t="str">
            <v>IC</v>
          </cell>
          <cell r="H517" t="str">
            <v>INTENSIVE CARE UNIT</v>
          </cell>
          <cell r="I517" t="str">
            <v>05IC114</v>
          </cell>
          <cell r="J517" t="str">
            <v>ICU RM 3</v>
          </cell>
          <cell r="K517" t="str">
            <v>BMED</v>
          </cell>
          <cell r="L517" t="str">
            <v>Normal</v>
          </cell>
          <cell r="M517" t="str">
            <v>Germany</v>
          </cell>
          <cell r="N517" t="str">
            <v>Space Station</v>
          </cell>
          <cell r="O517" t="str">
            <v>Space Station</v>
          </cell>
          <cell r="P517" t="str">
            <v>13986</v>
          </cell>
          <cell r="Q517" t="str">
            <v>Not Applicable</v>
          </cell>
          <cell r="R517" t="str">
            <v>B Braun Melsungen AG</v>
          </cell>
          <cell r="S517" t="str">
            <v>B Braun Medical Supplies Sdn. Bhd.</v>
          </cell>
          <cell r="T517" t="str">
            <v>Functioning</v>
          </cell>
          <cell r="U517" t="str">
            <v>Asset</v>
          </cell>
          <cell r="V517">
            <v>84200</v>
          </cell>
          <cell r="W517" t="str">
            <v>KEW</v>
          </cell>
          <cell r="X517" t="str">
            <v>01/09/2010</v>
          </cell>
          <cell r="Y517" t="str">
            <v>KEW</v>
          </cell>
          <cell r="Z517" t="str">
            <v>16/08/2013</v>
          </cell>
          <cell r="AA517" t="str">
            <v>15/08/2015</v>
          </cell>
          <cell r="AB517" t="str">
            <v>No</v>
          </cell>
          <cell r="AC517" t="str">
            <v>31/08/2013</v>
          </cell>
          <cell r="AD517" t="str">
            <v>Good</v>
          </cell>
          <cell r="AE517" t="str">
            <v>V1 - Existing / No Claim</v>
          </cell>
          <cell r="AF517">
            <v>42797</v>
          </cell>
          <cell r="AG517">
            <v>9.17</v>
          </cell>
          <cell r="AH517" t="str">
            <v>PPM</v>
          </cell>
          <cell r="AI517" t="str">
            <v>Strands</v>
          </cell>
          <cell r="AJ517" t="str">
            <v>Strands PW</v>
          </cell>
        </row>
        <row r="518">
          <cell r="A518" t="str">
            <v>IKN400036</v>
          </cell>
          <cell r="B518">
            <v>36</v>
          </cell>
          <cell r="C518" t="str">
            <v>Institut Kanser Negara</v>
          </cell>
          <cell r="D518" t="str">
            <v>KKM/IKN/H/13/932</v>
          </cell>
          <cell r="E518" t="str">
            <v>17-793</v>
          </cell>
          <cell r="F518" t="str">
            <v>Infusion/ Monitoring Line Organizer System</v>
          </cell>
          <cell r="G518" t="str">
            <v>IC</v>
          </cell>
          <cell r="H518" t="str">
            <v>INTENSIVE CARE UNIT</v>
          </cell>
          <cell r="I518" t="str">
            <v>05IC115</v>
          </cell>
          <cell r="J518" t="str">
            <v>ICU RM 4</v>
          </cell>
          <cell r="K518" t="str">
            <v>BMED</v>
          </cell>
          <cell r="L518" t="str">
            <v>Normal</v>
          </cell>
          <cell r="M518" t="str">
            <v>Germany</v>
          </cell>
          <cell r="N518" t="str">
            <v>Space Station</v>
          </cell>
          <cell r="O518" t="str">
            <v>Space Station</v>
          </cell>
          <cell r="P518" t="str">
            <v>13978</v>
          </cell>
          <cell r="Q518" t="str">
            <v>Not Applicable</v>
          </cell>
          <cell r="R518" t="str">
            <v>B Braun Melsungen AG</v>
          </cell>
          <cell r="S518" t="str">
            <v>B Braun Medical Supplies Sdn. Bhd.</v>
          </cell>
          <cell r="T518" t="str">
            <v>Functioning</v>
          </cell>
          <cell r="U518" t="str">
            <v>Asset</v>
          </cell>
          <cell r="V518">
            <v>84200</v>
          </cell>
          <cell r="W518" t="str">
            <v>KEW</v>
          </cell>
          <cell r="X518" t="str">
            <v>01/09/2010</v>
          </cell>
          <cell r="Y518" t="str">
            <v>KEW</v>
          </cell>
          <cell r="Z518" t="str">
            <v>16/08/2013</v>
          </cell>
          <cell r="AA518" t="str">
            <v>15/08/2015</v>
          </cell>
          <cell r="AB518" t="str">
            <v>No</v>
          </cell>
          <cell r="AC518" t="str">
            <v>31/08/2013</v>
          </cell>
          <cell r="AD518" t="str">
            <v>Good</v>
          </cell>
          <cell r="AE518" t="str">
            <v>V1 - Existing / No Claim</v>
          </cell>
          <cell r="AF518">
            <v>42235</v>
          </cell>
          <cell r="AG518">
            <v>9.17</v>
          </cell>
          <cell r="AH518" t="str">
            <v>PPM</v>
          </cell>
          <cell r="AI518" t="str">
            <v>Strands</v>
          </cell>
          <cell r="AJ518" t="str">
            <v>Strands PW</v>
          </cell>
        </row>
        <row r="519">
          <cell r="A519" t="str">
            <v>IKN400037</v>
          </cell>
          <cell r="B519">
            <v>37</v>
          </cell>
          <cell r="C519" t="str">
            <v>Institut Kanser Negara</v>
          </cell>
          <cell r="D519" t="str">
            <v>KKM/IKN/H/13/933</v>
          </cell>
          <cell r="E519" t="str">
            <v>17-793</v>
          </cell>
          <cell r="F519" t="str">
            <v>Infusion/ Monitoring Line Organizer System</v>
          </cell>
          <cell r="G519" t="str">
            <v>IC</v>
          </cell>
          <cell r="H519" t="str">
            <v>INTENSIVE CARE UNIT</v>
          </cell>
          <cell r="I519" t="str">
            <v>05IC116</v>
          </cell>
          <cell r="J519" t="str">
            <v>ISOL 2 (+VE)</v>
          </cell>
          <cell r="K519" t="str">
            <v>BMED</v>
          </cell>
          <cell r="L519" t="str">
            <v>Normal</v>
          </cell>
          <cell r="M519" t="str">
            <v>Germany</v>
          </cell>
          <cell r="N519" t="str">
            <v>Space Station</v>
          </cell>
          <cell r="O519" t="str">
            <v>Space Station</v>
          </cell>
          <cell r="P519" t="str">
            <v>13988</v>
          </cell>
          <cell r="Q519" t="str">
            <v>Not Applicable</v>
          </cell>
          <cell r="R519" t="str">
            <v>B Braun Melsungen AG</v>
          </cell>
          <cell r="S519" t="str">
            <v>B Braun Medical Supplies Sdn. Bhd.</v>
          </cell>
          <cell r="T519" t="str">
            <v>Functioning</v>
          </cell>
          <cell r="U519" t="str">
            <v>Asset</v>
          </cell>
          <cell r="V519">
            <v>84200</v>
          </cell>
          <cell r="W519" t="str">
            <v>KEW</v>
          </cell>
          <cell r="X519" t="str">
            <v>01/09/2010</v>
          </cell>
          <cell r="Y519" t="str">
            <v>KEW</v>
          </cell>
          <cell r="Z519" t="str">
            <v>16/08/2013</v>
          </cell>
          <cell r="AA519" t="str">
            <v>15/08/2015</v>
          </cell>
          <cell r="AB519" t="str">
            <v>No</v>
          </cell>
          <cell r="AC519" t="str">
            <v>31/08/2013</v>
          </cell>
          <cell r="AD519" t="str">
            <v>Good</v>
          </cell>
          <cell r="AE519" t="str">
            <v>V1 - Existing / No Claim</v>
          </cell>
          <cell r="AF519">
            <v>42797</v>
          </cell>
          <cell r="AG519">
            <v>9.17</v>
          </cell>
          <cell r="AH519" t="str">
            <v>PPM</v>
          </cell>
          <cell r="AI519" t="str">
            <v>Strands</v>
          </cell>
          <cell r="AJ519" t="str">
            <v>Strands PW</v>
          </cell>
        </row>
        <row r="520">
          <cell r="A520" t="str">
            <v>IKN400038</v>
          </cell>
          <cell r="B520">
            <v>38</v>
          </cell>
          <cell r="C520" t="str">
            <v>Institut Kanser Negara</v>
          </cell>
          <cell r="D520" t="str">
            <v>KKM/IKN/H/13/934</v>
          </cell>
          <cell r="E520" t="str">
            <v>17-793</v>
          </cell>
          <cell r="F520" t="str">
            <v>Infusion/ Monitoring Line Organizer System</v>
          </cell>
          <cell r="G520" t="str">
            <v>IC</v>
          </cell>
          <cell r="H520" t="str">
            <v>INTENSIVE CARE UNIT</v>
          </cell>
          <cell r="I520" t="str">
            <v>05IC129</v>
          </cell>
          <cell r="J520" t="str">
            <v>ISOL 4 (+VE)</v>
          </cell>
          <cell r="K520" t="str">
            <v>BMED</v>
          </cell>
          <cell r="L520" t="str">
            <v>Normal</v>
          </cell>
          <cell r="M520" t="str">
            <v>Germany</v>
          </cell>
          <cell r="N520" t="str">
            <v>Space Station</v>
          </cell>
          <cell r="O520" t="str">
            <v>Space Station</v>
          </cell>
          <cell r="P520" t="str">
            <v>13976</v>
          </cell>
          <cell r="Q520" t="str">
            <v>Not Applicable</v>
          </cell>
          <cell r="R520" t="str">
            <v>B Braun Melsungen AG</v>
          </cell>
          <cell r="S520" t="str">
            <v>B Braun Medical Supplies Sdn. Bhd.</v>
          </cell>
          <cell r="T520" t="str">
            <v>Functioning</v>
          </cell>
          <cell r="U520" t="str">
            <v>Asset</v>
          </cell>
          <cell r="V520">
            <v>84200</v>
          </cell>
          <cell r="W520" t="str">
            <v>KEW</v>
          </cell>
          <cell r="X520" t="str">
            <v>01/09/2010</v>
          </cell>
          <cell r="Y520" t="str">
            <v>KEW</v>
          </cell>
          <cell r="Z520" t="str">
            <v>16/08/2013</v>
          </cell>
          <cell r="AA520" t="str">
            <v>15/08/2015</v>
          </cell>
          <cell r="AB520" t="str">
            <v>No</v>
          </cell>
          <cell r="AC520" t="str">
            <v>31/08/2013</v>
          </cell>
          <cell r="AD520" t="str">
            <v>Good</v>
          </cell>
          <cell r="AE520" t="str">
            <v>V1 - Existing / No Claim</v>
          </cell>
          <cell r="AF520">
            <v>42797</v>
          </cell>
          <cell r="AG520">
            <v>9.17</v>
          </cell>
          <cell r="AH520" t="str">
            <v>PPM</v>
          </cell>
          <cell r="AI520" t="str">
            <v>Strands</v>
          </cell>
          <cell r="AJ520" t="str">
            <v>Strands PW</v>
          </cell>
        </row>
        <row r="521">
          <cell r="A521" t="str">
            <v>IKN400039</v>
          </cell>
          <cell r="B521">
            <v>39</v>
          </cell>
          <cell r="C521" t="str">
            <v>Institut Kanser Negara</v>
          </cell>
          <cell r="D521" t="str">
            <v>KKM/IKN/H/13/935</v>
          </cell>
          <cell r="E521" t="str">
            <v>17-793</v>
          </cell>
          <cell r="F521" t="str">
            <v>Infusion/ Monitoring Line Organizer System</v>
          </cell>
          <cell r="G521" t="str">
            <v>IC</v>
          </cell>
          <cell r="H521" t="str">
            <v>INTENSIVE CARE UNIT</v>
          </cell>
          <cell r="I521" t="str">
            <v>05IC131</v>
          </cell>
          <cell r="J521" t="str">
            <v>ISOL 3 (+VE)</v>
          </cell>
          <cell r="K521" t="str">
            <v>BMED</v>
          </cell>
          <cell r="L521" t="str">
            <v>Normal</v>
          </cell>
          <cell r="M521" t="str">
            <v>Germany</v>
          </cell>
          <cell r="N521" t="str">
            <v>Space Station</v>
          </cell>
          <cell r="O521" t="str">
            <v>Space Station</v>
          </cell>
          <cell r="P521" t="str">
            <v>13980</v>
          </cell>
          <cell r="Q521" t="str">
            <v>Not Applicable</v>
          </cell>
          <cell r="R521" t="str">
            <v>B Braun Melsungen AG</v>
          </cell>
          <cell r="S521" t="str">
            <v>B Braun Medical Supplies Sdn. Bhd.</v>
          </cell>
          <cell r="T521" t="str">
            <v>Functioning</v>
          </cell>
          <cell r="U521" t="str">
            <v>Asset</v>
          </cell>
          <cell r="V521">
            <v>84200</v>
          </cell>
          <cell r="W521" t="str">
            <v>KEW</v>
          </cell>
          <cell r="X521" t="str">
            <v>01/09/2010</v>
          </cell>
          <cell r="Y521" t="str">
            <v>KEW</v>
          </cell>
          <cell r="Z521" t="str">
            <v>16/08/2013</v>
          </cell>
          <cell r="AA521" t="str">
            <v>15/08/2015</v>
          </cell>
          <cell r="AB521" t="str">
            <v>No</v>
          </cell>
          <cell r="AC521" t="str">
            <v>31/08/2013</v>
          </cell>
          <cell r="AD521" t="str">
            <v>Good</v>
          </cell>
          <cell r="AE521" t="str">
            <v>V1 - Existing / No Claim</v>
          </cell>
          <cell r="AF521">
            <v>42235</v>
          </cell>
          <cell r="AG521">
            <v>9.17</v>
          </cell>
          <cell r="AH521" t="str">
            <v>PPM</v>
          </cell>
          <cell r="AI521" t="str">
            <v>Strands</v>
          </cell>
          <cell r="AJ521" t="str">
            <v>Strands PW</v>
          </cell>
        </row>
        <row r="522">
          <cell r="A522" t="str">
            <v>IKN400040</v>
          </cell>
          <cell r="B522">
            <v>40</v>
          </cell>
          <cell r="C522" t="str">
            <v>Institut Kanser Negara</v>
          </cell>
          <cell r="D522" t="str">
            <v>KKM/IKN/H/13/1026</v>
          </cell>
          <cell r="E522" t="str">
            <v>11-218</v>
          </cell>
          <cell r="F522" t="str">
            <v>Hemodialysis Units</v>
          </cell>
          <cell r="G522" t="str">
            <v>IC</v>
          </cell>
          <cell r="H522" t="str">
            <v>INTENSIVE CARE UNIT</v>
          </cell>
          <cell r="I522" t="str">
            <v>05IC106</v>
          </cell>
          <cell r="J522" t="str">
            <v>EQ. ROOM</v>
          </cell>
          <cell r="K522" t="str">
            <v>BMED</v>
          </cell>
          <cell r="L522" t="str">
            <v>Critical</v>
          </cell>
          <cell r="M522" t="str">
            <v>Germany</v>
          </cell>
          <cell r="N522" t="str">
            <v>Fresenius</v>
          </cell>
          <cell r="O522" t="str">
            <v>Fresenius 5008S</v>
          </cell>
          <cell r="P522" t="str">
            <v>3VSAG772</v>
          </cell>
          <cell r="Q522" t="str">
            <v>Not Applicable</v>
          </cell>
          <cell r="R522" t="str">
            <v>Fresenius FMC</v>
          </cell>
          <cell r="S522" t="str">
            <v>Fischer CW Medical</v>
          </cell>
          <cell r="T522" t="str">
            <v>Functioning</v>
          </cell>
          <cell r="U522" t="str">
            <v>Asset</v>
          </cell>
          <cell r="V522">
            <v>76985</v>
          </cell>
          <cell r="W522" t="str">
            <v>KEW</v>
          </cell>
          <cell r="X522" t="str">
            <v>01/09/2010</v>
          </cell>
          <cell r="Y522" t="str">
            <v>KEW</v>
          </cell>
          <cell r="Z522" t="str">
            <v>16/08/2013</v>
          </cell>
          <cell r="AA522" t="str">
            <v>15/08/2015</v>
          </cell>
          <cell r="AB522" t="str">
            <v>No</v>
          </cell>
          <cell r="AC522" t="str">
            <v>31/08/2013</v>
          </cell>
          <cell r="AD522" t="str">
            <v>Good</v>
          </cell>
          <cell r="AE522" t="str">
            <v>V1 - Existing / No Claim</v>
          </cell>
          <cell r="AF522">
            <v>42796</v>
          </cell>
          <cell r="AG522">
            <v>9.17</v>
          </cell>
          <cell r="AH522" t="str">
            <v>PPM</v>
          </cell>
          <cell r="AI522" t="str">
            <v>Strands</v>
          </cell>
          <cell r="AJ522" t="str">
            <v>Strands PW</v>
          </cell>
        </row>
        <row r="523">
          <cell r="A523" t="str">
            <v>IKN400041</v>
          </cell>
          <cell r="B523">
            <v>41</v>
          </cell>
          <cell r="C523" t="str">
            <v>Institut Kanser Negara</v>
          </cell>
          <cell r="D523" t="str">
            <v>KKM/IKN/H/13/865</v>
          </cell>
          <cell r="E523" t="str">
            <v>15-039</v>
          </cell>
          <cell r="F523" t="str">
            <v>Hemofiltration Units</v>
          </cell>
          <cell r="G523" t="str">
            <v>IC</v>
          </cell>
          <cell r="H523" t="str">
            <v>INTENSIVE CARE UNIT</v>
          </cell>
          <cell r="I523" t="str">
            <v>05IC106</v>
          </cell>
          <cell r="J523" t="str">
            <v>EQ. ROOM</v>
          </cell>
          <cell r="K523" t="str">
            <v>BMED</v>
          </cell>
          <cell r="L523" t="str">
            <v>Normal</v>
          </cell>
          <cell r="M523" t="str">
            <v>Sweden</v>
          </cell>
          <cell r="N523" t="str">
            <v>Prismaflex</v>
          </cell>
          <cell r="O523" t="str">
            <v>Prismaflex</v>
          </cell>
          <cell r="P523" t="str">
            <v>PA10395</v>
          </cell>
          <cell r="Q523" t="str">
            <v>Not Applicable</v>
          </cell>
          <cell r="R523" t="str">
            <v>Gambro AB</v>
          </cell>
          <cell r="S523" t="str">
            <v>Gambro Renal Care (M) Sdn Bhd</v>
          </cell>
          <cell r="T523" t="str">
            <v>Functioning</v>
          </cell>
          <cell r="U523" t="str">
            <v>Asset</v>
          </cell>
          <cell r="V523">
            <v>168400</v>
          </cell>
          <cell r="W523" t="str">
            <v>KEW</v>
          </cell>
          <cell r="X523" t="str">
            <v>01/09/2010</v>
          </cell>
          <cell r="Y523" t="str">
            <v>KEW</v>
          </cell>
          <cell r="Z523" t="str">
            <v>16/08/2013</v>
          </cell>
          <cell r="AA523" t="str">
            <v>15/08/2015</v>
          </cell>
          <cell r="AB523" t="str">
            <v>No</v>
          </cell>
          <cell r="AC523" t="str">
            <v>31/08/2013</v>
          </cell>
          <cell r="AD523" t="str">
            <v>Good</v>
          </cell>
          <cell r="AE523" t="str">
            <v>V1 - Existing / No Claim</v>
          </cell>
          <cell r="AF523">
            <v>42235</v>
          </cell>
          <cell r="AG523">
            <v>9.17</v>
          </cell>
          <cell r="AH523" t="str">
            <v>PPM</v>
          </cell>
          <cell r="AI523" t="str">
            <v>Strands</v>
          </cell>
          <cell r="AJ523" t="str">
            <v>Strands PW</v>
          </cell>
        </row>
        <row r="524">
          <cell r="A524" t="str">
            <v>IKN400042</v>
          </cell>
          <cell r="B524">
            <v>42</v>
          </cell>
          <cell r="C524" t="str">
            <v>Institut Kanser Negara</v>
          </cell>
          <cell r="D524" t="str">
            <v>KKM/IKN/H/13/161</v>
          </cell>
          <cell r="E524" t="str">
            <v>12-647</v>
          </cell>
          <cell r="F524" t="str">
            <v>Physiologic Monitoring Systems, Acute Care</v>
          </cell>
          <cell r="G524" t="str">
            <v>IC</v>
          </cell>
          <cell r="H524" t="str">
            <v>INTENSIVE CARE UNIT</v>
          </cell>
          <cell r="I524" t="str">
            <v>05IC111</v>
          </cell>
          <cell r="J524" t="str">
            <v>ISOL 1(-VE)</v>
          </cell>
          <cell r="K524" t="str">
            <v>BMED</v>
          </cell>
          <cell r="L524" t="str">
            <v>Normal</v>
          </cell>
          <cell r="M524" t="str">
            <v>Finland</v>
          </cell>
          <cell r="N524" t="str">
            <v>Carespace</v>
          </cell>
          <cell r="O524" t="str">
            <v>Carespace B850</v>
          </cell>
          <cell r="P524" t="str">
            <v>SED12370776GA</v>
          </cell>
          <cell r="Q524" t="str">
            <v>Not Applicable</v>
          </cell>
          <cell r="R524" t="str">
            <v>GE Healthcare Systems</v>
          </cell>
          <cell r="S524" t="str">
            <v>GE Healthcare Technologies</v>
          </cell>
          <cell r="T524" t="str">
            <v>Functioning</v>
          </cell>
          <cell r="U524" t="str">
            <v>Asset</v>
          </cell>
          <cell r="V524">
            <v>119690</v>
          </cell>
          <cell r="W524" t="str">
            <v>KEW</v>
          </cell>
          <cell r="X524" t="str">
            <v>01/09/2010</v>
          </cell>
          <cell r="Y524" t="str">
            <v>KEW</v>
          </cell>
          <cell r="Z524" t="str">
            <v>16/08/2013</v>
          </cell>
          <cell r="AA524" t="str">
            <v>15/08/2015</v>
          </cell>
          <cell r="AB524" t="str">
            <v>No</v>
          </cell>
          <cell r="AC524" t="str">
            <v>31/08/2013</v>
          </cell>
          <cell r="AD524" t="str">
            <v>Good</v>
          </cell>
          <cell r="AE524" t="str">
            <v>V1 - Existing / No Claim</v>
          </cell>
          <cell r="AF524">
            <v>42235</v>
          </cell>
          <cell r="AG524">
            <v>9.17</v>
          </cell>
          <cell r="AH524" t="str">
            <v>PPM</v>
          </cell>
          <cell r="AI524" t="str">
            <v>Strands</v>
          </cell>
          <cell r="AJ524" t="str">
            <v>Strands PW</v>
          </cell>
        </row>
        <row r="525">
          <cell r="A525" t="str">
            <v>IKN400043</v>
          </cell>
          <cell r="B525">
            <v>43</v>
          </cell>
          <cell r="C525" t="str">
            <v>Institut Kanser Negara</v>
          </cell>
          <cell r="D525" t="str">
            <v>KKM/IKN/H/13/1040</v>
          </cell>
          <cell r="E525" t="str">
            <v>12-647</v>
          </cell>
          <cell r="F525" t="str">
            <v>Physiologic Monitoring Systems, Acute Care</v>
          </cell>
          <cell r="G525" t="str">
            <v>IC</v>
          </cell>
          <cell r="H525" t="str">
            <v>INTENSIVE CARE UNIT</v>
          </cell>
          <cell r="I525" t="str">
            <v>05IC112</v>
          </cell>
          <cell r="J525" t="str">
            <v>ICU RM 1</v>
          </cell>
          <cell r="K525" t="str">
            <v>BMED</v>
          </cell>
          <cell r="L525" t="str">
            <v>Normal</v>
          </cell>
          <cell r="M525" t="str">
            <v>Finland</v>
          </cell>
          <cell r="N525" t="str">
            <v>Carespace</v>
          </cell>
          <cell r="O525" t="str">
            <v>Carespace B850</v>
          </cell>
          <cell r="P525" t="str">
            <v>SED12370825GA</v>
          </cell>
          <cell r="Q525" t="str">
            <v>Not Applicable</v>
          </cell>
          <cell r="R525" t="str">
            <v>GE Healthcare Systems</v>
          </cell>
          <cell r="S525" t="str">
            <v>GE Healthcare Technologies</v>
          </cell>
          <cell r="T525" t="str">
            <v>Functioning</v>
          </cell>
          <cell r="U525" t="str">
            <v>Asset</v>
          </cell>
          <cell r="V525">
            <v>119690</v>
          </cell>
          <cell r="W525" t="str">
            <v>KEW</v>
          </cell>
          <cell r="X525" t="str">
            <v>01/09/2010</v>
          </cell>
          <cell r="Y525" t="str">
            <v>KEW</v>
          </cell>
          <cell r="Z525" t="str">
            <v>16/08/2013</v>
          </cell>
          <cell r="AA525" t="str">
            <v>15/08/2015</v>
          </cell>
          <cell r="AB525" t="str">
            <v>No</v>
          </cell>
          <cell r="AC525" t="str">
            <v>31/08/2013</v>
          </cell>
          <cell r="AD525" t="str">
            <v>Good</v>
          </cell>
          <cell r="AE525" t="str">
            <v>V1 - Existing / No Claim</v>
          </cell>
          <cell r="AF525">
            <v>42235</v>
          </cell>
          <cell r="AG525">
            <v>9.17</v>
          </cell>
          <cell r="AH525" t="str">
            <v>PPM</v>
          </cell>
          <cell r="AI525" t="str">
            <v>Strands</v>
          </cell>
          <cell r="AJ525" t="str">
            <v>Strands PW</v>
          </cell>
        </row>
        <row r="526">
          <cell r="A526" t="str">
            <v>IKN400044</v>
          </cell>
          <cell r="B526">
            <v>44</v>
          </cell>
          <cell r="C526" t="str">
            <v>Institut Kanser Negara</v>
          </cell>
          <cell r="D526" t="str">
            <v>KKM/IKN/H/13/1041</v>
          </cell>
          <cell r="E526" t="str">
            <v>12-647</v>
          </cell>
          <cell r="F526" t="str">
            <v>Physiologic Monitoring Systems, Acute Care</v>
          </cell>
          <cell r="G526" t="str">
            <v>IC</v>
          </cell>
          <cell r="H526" t="str">
            <v>INTENSIVE CARE UNIT</v>
          </cell>
          <cell r="I526" t="str">
            <v>05IC113</v>
          </cell>
          <cell r="J526" t="str">
            <v>ICU RM 2</v>
          </cell>
          <cell r="K526" t="str">
            <v>BMED</v>
          </cell>
          <cell r="L526" t="str">
            <v>Critical</v>
          </cell>
          <cell r="M526" t="str">
            <v>Finland</v>
          </cell>
          <cell r="N526" t="str">
            <v>Carespace</v>
          </cell>
          <cell r="O526" t="str">
            <v>Carespace B850</v>
          </cell>
          <cell r="P526" t="str">
            <v>SED12370680GA</v>
          </cell>
          <cell r="Q526" t="str">
            <v>Not Applicable</v>
          </cell>
          <cell r="R526" t="str">
            <v>GE Healthcare Systems</v>
          </cell>
          <cell r="S526" t="str">
            <v>GE Healthcare Technologies</v>
          </cell>
          <cell r="T526" t="str">
            <v>Functioning</v>
          </cell>
          <cell r="U526" t="str">
            <v>Asset</v>
          </cell>
          <cell r="V526">
            <v>119690</v>
          </cell>
          <cell r="W526" t="str">
            <v>KEW</v>
          </cell>
          <cell r="X526" t="str">
            <v>01/09/2010</v>
          </cell>
          <cell r="Y526" t="str">
            <v>KEW</v>
          </cell>
          <cell r="Z526" t="str">
            <v>16/08/2013</v>
          </cell>
          <cell r="AA526" t="str">
            <v>15/08/2015</v>
          </cell>
          <cell r="AB526" t="str">
            <v>No</v>
          </cell>
          <cell r="AC526" t="str">
            <v>31/08/2013</v>
          </cell>
          <cell r="AD526" t="str">
            <v>Good</v>
          </cell>
          <cell r="AE526" t="str">
            <v>V1 - Existing / No Claim</v>
          </cell>
          <cell r="AF526">
            <v>42796</v>
          </cell>
          <cell r="AG526">
            <v>9.17</v>
          </cell>
          <cell r="AH526" t="str">
            <v>PPM</v>
          </cell>
          <cell r="AI526" t="str">
            <v>Strands</v>
          </cell>
          <cell r="AJ526" t="str">
            <v>Strands PW</v>
          </cell>
        </row>
        <row r="527">
          <cell r="A527" t="str">
            <v>IKN400045</v>
          </cell>
          <cell r="B527">
            <v>45</v>
          </cell>
          <cell r="C527" t="str">
            <v>Institut Kanser Negara</v>
          </cell>
          <cell r="D527" t="str">
            <v>KKM/IKN/H/13/1042</v>
          </cell>
          <cell r="E527" t="str">
            <v>12-647</v>
          </cell>
          <cell r="F527" t="str">
            <v>Physiologic Monitoring Systems, Acute Care</v>
          </cell>
          <cell r="G527" t="str">
            <v>IC</v>
          </cell>
          <cell r="H527" t="str">
            <v>INTENSIVE CARE UNIT</v>
          </cell>
          <cell r="I527" t="str">
            <v>05IC114</v>
          </cell>
          <cell r="J527" t="str">
            <v>ICU RM 3</v>
          </cell>
          <cell r="K527" t="str">
            <v>BMED</v>
          </cell>
          <cell r="L527" t="str">
            <v>Critical</v>
          </cell>
          <cell r="M527" t="str">
            <v>Finland</v>
          </cell>
          <cell r="N527" t="str">
            <v>Carespace</v>
          </cell>
          <cell r="O527" t="str">
            <v>Carespace B850</v>
          </cell>
          <cell r="P527" t="str">
            <v>SED12370780GA</v>
          </cell>
          <cell r="Q527" t="str">
            <v>Not Applicable</v>
          </cell>
          <cell r="R527" t="str">
            <v>GE Healthcare Systems</v>
          </cell>
          <cell r="S527" t="str">
            <v>GE Healthcare Technologies</v>
          </cell>
          <cell r="T527" t="str">
            <v>Functioning</v>
          </cell>
          <cell r="U527" t="str">
            <v>Asset</v>
          </cell>
          <cell r="V527">
            <v>119690</v>
          </cell>
          <cell r="W527" t="str">
            <v>KEW</v>
          </cell>
          <cell r="X527" t="str">
            <v>01/09/2010</v>
          </cell>
          <cell r="Y527" t="str">
            <v>KEW</v>
          </cell>
          <cell r="Z527" t="str">
            <v>16/08/2013</v>
          </cell>
          <cell r="AA527" t="str">
            <v>15/08/2015</v>
          </cell>
          <cell r="AB527" t="str">
            <v>No</v>
          </cell>
          <cell r="AC527" t="str">
            <v>31/08/2013</v>
          </cell>
          <cell r="AD527" t="str">
            <v>Good</v>
          </cell>
          <cell r="AE527" t="str">
            <v>V1 - Existing / No Claim</v>
          </cell>
          <cell r="AF527">
            <v>42797</v>
          </cell>
          <cell r="AG527">
            <v>9.17</v>
          </cell>
          <cell r="AH527" t="str">
            <v>PPM</v>
          </cell>
          <cell r="AI527" t="str">
            <v>Strands</v>
          </cell>
          <cell r="AJ527" t="str">
            <v>Strands PW</v>
          </cell>
        </row>
        <row r="528">
          <cell r="A528" t="str">
            <v>IKN400046</v>
          </cell>
          <cell r="B528">
            <v>46</v>
          </cell>
          <cell r="C528" t="str">
            <v>Institut Kanser Negara</v>
          </cell>
          <cell r="D528" t="str">
            <v>KKM/IKN/H/13/1043</v>
          </cell>
          <cell r="E528" t="str">
            <v>12-647</v>
          </cell>
          <cell r="F528" t="str">
            <v>Physiologic Monitoring Systems, Acute Care</v>
          </cell>
          <cell r="G528" t="str">
            <v>IC</v>
          </cell>
          <cell r="H528" t="str">
            <v>INTENSIVE CARE UNIT</v>
          </cell>
          <cell r="I528" t="str">
            <v>05IC115</v>
          </cell>
          <cell r="J528" t="str">
            <v>ICU RM 4</v>
          </cell>
          <cell r="K528" t="str">
            <v>BMED</v>
          </cell>
          <cell r="L528" t="str">
            <v>Normal</v>
          </cell>
          <cell r="M528" t="str">
            <v>Finland</v>
          </cell>
          <cell r="N528" t="str">
            <v>Carespace</v>
          </cell>
          <cell r="O528" t="str">
            <v>Carespace B850</v>
          </cell>
          <cell r="P528" t="str">
            <v>SED12370747GA</v>
          </cell>
          <cell r="Q528" t="str">
            <v>Not Applicable</v>
          </cell>
          <cell r="R528" t="str">
            <v>GE Healthcare Systems</v>
          </cell>
          <cell r="S528" t="str">
            <v>GE Healthcare Technologies</v>
          </cell>
          <cell r="T528" t="str">
            <v>Functioning</v>
          </cell>
          <cell r="U528" t="str">
            <v>Asset</v>
          </cell>
          <cell r="V528">
            <v>119690</v>
          </cell>
          <cell r="W528" t="str">
            <v>KEW</v>
          </cell>
          <cell r="X528" t="str">
            <v>01/09/2010</v>
          </cell>
          <cell r="Y528" t="str">
            <v>KEW</v>
          </cell>
          <cell r="Z528" t="str">
            <v>16/08/2013</v>
          </cell>
          <cell r="AA528" t="str">
            <v>15/08/2015</v>
          </cell>
          <cell r="AB528" t="str">
            <v>No</v>
          </cell>
          <cell r="AC528" t="str">
            <v>31/08/2013</v>
          </cell>
          <cell r="AD528" t="str">
            <v>Good</v>
          </cell>
          <cell r="AE528" t="str">
            <v>V1 - Existing / No Claim</v>
          </cell>
          <cell r="AF528">
            <v>42235</v>
          </cell>
          <cell r="AG528">
            <v>9.17</v>
          </cell>
          <cell r="AH528" t="str">
            <v>PPM</v>
          </cell>
          <cell r="AI528" t="str">
            <v>Strands</v>
          </cell>
          <cell r="AJ528" t="str">
            <v>Strands PW</v>
          </cell>
        </row>
        <row r="529">
          <cell r="A529" t="str">
            <v>IKN400047</v>
          </cell>
          <cell r="B529">
            <v>47</v>
          </cell>
          <cell r="C529" t="str">
            <v>Institut Kanser Negara</v>
          </cell>
          <cell r="D529" t="str">
            <v>KKM/IKN/H/13/1044</v>
          </cell>
          <cell r="E529" t="str">
            <v>12-647</v>
          </cell>
          <cell r="F529" t="str">
            <v>Physiologic Monitoring Systems, Acute Care</v>
          </cell>
          <cell r="G529" t="str">
            <v>IC</v>
          </cell>
          <cell r="H529" t="str">
            <v>INTENSIVE CARE UNIT</v>
          </cell>
          <cell r="I529" t="str">
            <v>05IC116</v>
          </cell>
          <cell r="J529" t="str">
            <v>ISOL 2 (+VE)</v>
          </cell>
          <cell r="K529" t="str">
            <v>BMED</v>
          </cell>
          <cell r="L529" t="str">
            <v>Critical</v>
          </cell>
          <cell r="M529" t="str">
            <v>Finland</v>
          </cell>
          <cell r="N529" t="str">
            <v>Carespace</v>
          </cell>
          <cell r="O529" t="str">
            <v>Carespace B850</v>
          </cell>
          <cell r="P529" t="str">
            <v>SED12370774GA</v>
          </cell>
          <cell r="Q529" t="str">
            <v>Not Applicable</v>
          </cell>
          <cell r="R529" t="str">
            <v>GE Healthcare Systems</v>
          </cell>
          <cell r="S529" t="str">
            <v>GE Healthcare Technologies</v>
          </cell>
          <cell r="T529" t="str">
            <v>Functioning</v>
          </cell>
          <cell r="U529" t="str">
            <v>Asset</v>
          </cell>
          <cell r="V529">
            <v>119690</v>
          </cell>
          <cell r="W529" t="str">
            <v>KEW</v>
          </cell>
          <cell r="X529" t="str">
            <v>01/09/2010</v>
          </cell>
          <cell r="Y529" t="str">
            <v>KEW</v>
          </cell>
          <cell r="Z529" t="str">
            <v>16/08/2013</v>
          </cell>
          <cell r="AA529" t="str">
            <v>15/08/2015</v>
          </cell>
          <cell r="AB529" t="str">
            <v>No</v>
          </cell>
          <cell r="AC529" t="str">
            <v>31/08/2013</v>
          </cell>
          <cell r="AD529" t="str">
            <v>Good</v>
          </cell>
          <cell r="AE529" t="str">
            <v>V1 - Existing / No Claim</v>
          </cell>
          <cell r="AF529">
            <v>42797</v>
          </cell>
          <cell r="AG529">
            <v>9.17</v>
          </cell>
          <cell r="AH529" t="str">
            <v>PPM</v>
          </cell>
          <cell r="AI529" t="str">
            <v>Strands</v>
          </cell>
          <cell r="AJ529" t="str">
            <v>Strands PW</v>
          </cell>
        </row>
        <row r="530">
          <cell r="A530" t="str">
            <v>IKN400048</v>
          </cell>
          <cell r="B530">
            <v>48</v>
          </cell>
          <cell r="C530" t="str">
            <v>Institut Kanser Negara</v>
          </cell>
          <cell r="D530" t="str">
            <v>KKM/IKN/H/13/1045</v>
          </cell>
          <cell r="E530" t="str">
            <v>12-647</v>
          </cell>
          <cell r="F530" t="str">
            <v>Physiologic Monitoring Systems, Acute Care</v>
          </cell>
          <cell r="G530" t="str">
            <v>IC</v>
          </cell>
          <cell r="H530" t="str">
            <v>INTENSIVE CARE UNIT</v>
          </cell>
          <cell r="I530" t="str">
            <v>05IC129</v>
          </cell>
          <cell r="J530" t="str">
            <v>ISOL 4 (+VE)</v>
          </cell>
          <cell r="K530" t="str">
            <v>BMED</v>
          </cell>
          <cell r="L530" t="str">
            <v>Critical</v>
          </cell>
          <cell r="M530" t="str">
            <v>Finland</v>
          </cell>
          <cell r="N530" t="str">
            <v>Carespace</v>
          </cell>
          <cell r="O530" t="str">
            <v>Carespace B850</v>
          </cell>
          <cell r="P530" t="str">
            <v>SED12370782GA</v>
          </cell>
          <cell r="Q530" t="str">
            <v>Not Applicable</v>
          </cell>
          <cell r="R530" t="str">
            <v>GE Healthcare Systems</v>
          </cell>
          <cell r="S530" t="str">
            <v>GE Healthcare Technologies</v>
          </cell>
          <cell r="T530" t="str">
            <v>Functioning</v>
          </cell>
          <cell r="U530" t="str">
            <v>Asset</v>
          </cell>
          <cell r="V530">
            <v>119690</v>
          </cell>
          <cell r="W530" t="str">
            <v>KEW</v>
          </cell>
          <cell r="X530" t="str">
            <v>01/09/2010</v>
          </cell>
          <cell r="Y530" t="str">
            <v>KEW</v>
          </cell>
          <cell r="Z530" t="str">
            <v>16/08/2013</v>
          </cell>
          <cell r="AA530" t="str">
            <v>15/08/2015</v>
          </cell>
          <cell r="AB530" t="str">
            <v>No</v>
          </cell>
          <cell r="AC530" t="str">
            <v>31/08/2013</v>
          </cell>
          <cell r="AD530" t="str">
            <v>Good</v>
          </cell>
          <cell r="AE530" t="str">
            <v>V1 - Existing / No Claim</v>
          </cell>
          <cell r="AF530">
            <v>42797</v>
          </cell>
          <cell r="AG530">
            <v>9.17</v>
          </cell>
          <cell r="AH530" t="str">
            <v>PPM</v>
          </cell>
          <cell r="AI530" t="str">
            <v>Strands</v>
          </cell>
          <cell r="AJ530" t="str">
            <v>Strands PW</v>
          </cell>
        </row>
        <row r="531">
          <cell r="A531" t="str">
            <v>IKN400049</v>
          </cell>
          <cell r="B531">
            <v>49</v>
          </cell>
          <cell r="C531" t="str">
            <v>Institut Kanser Negara</v>
          </cell>
          <cell r="D531" t="str">
            <v>KKM/IKN/H/13/1046</v>
          </cell>
          <cell r="E531" t="str">
            <v>12-647</v>
          </cell>
          <cell r="F531" t="str">
            <v>Physiologic Monitoring Systems, Acute Care</v>
          </cell>
          <cell r="G531" t="str">
            <v>IC</v>
          </cell>
          <cell r="H531" t="str">
            <v>INTENSIVE CARE UNIT</v>
          </cell>
          <cell r="I531" t="str">
            <v>05IC131</v>
          </cell>
          <cell r="J531" t="str">
            <v>ISOL 3 (+VE)</v>
          </cell>
          <cell r="K531" t="str">
            <v>BMED</v>
          </cell>
          <cell r="L531" t="str">
            <v>Critical</v>
          </cell>
          <cell r="M531" t="str">
            <v>Finland</v>
          </cell>
          <cell r="N531" t="str">
            <v>Carespace</v>
          </cell>
          <cell r="O531" t="str">
            <v>Carespace B850</v>
          </cell>
          <cell r="P531" t="str">
            <v>SED12370682GA</v>
          </cell>
          <cell r="Q531" t="str">
            <v>Not Applicable</v>
          </cell>
          <cell r="R531" t="str">
            <v>GE Healthcare Systems</v>
          </cell>
          <cell r="S531" t="str">
            <v>GE Healthcare Technologies</v>
          </cell>
          <cell r="T531" t="str">
            <v>Functioning</v>
          </cell>
          <cell r="U531" t="str">
            <v>Asset</v>
          </cell>
          <cell r="V531">
            <v>119690</v>
          </cell>
          <cell r="W531" t="str">
            <v>KEW</v>
          </cell>
          <cell r="X531" t="str">
            <v>01/09/2010</v>
          </cell>
          <cell r="Y531" t="str">
            <v>KEW</v>
          </cell>
          <cell r="Z531" t="str">
            <v>16/08/2013</v>
          </cell>
          <cell r="AA531" t="str">
            <v>15/08/2015</v>
          </cell>
          <cell r="AB531" t="str">
            <v>No</v>
          </cell>
          <cell r="AC531" t="str">
            <v>31/08/2013</v>
          </cell>
          <cell r="AD531" t="str">
            <v>Good</v>
          </cell>
          <cell r="AE531" t="str">
            <v>V1 - Existing / No Claim</v>
          </cell>
          <cell r="AF531">
            <v>42797</v>
          </cell>
          <cell r="AG531">
            <v>9.17</v>
          </cell>
          <cell r="AH531" t="str">
            <v>PPM</v>
          </cell>
          <cell r="AI531" t="str">
            <v>Strands</v>
          </cell>
          <cell r="AJ531" t="str">
            <v>Strands PW</v>
          </cell>
        </row>
        <row r="532">
          <cell r="A532" t="str">
            <v>IKN400050</v>
          </cell>
          <cell r="B532">
            <v>50</v>
          </cell>
          <cell r="C532" t="str">
            <v>Institut Kanser Negara</v>
          </cell>
          <cell r="D532" t="str">
            <v>KKM/IKN/H/13/1059</v>
          </cell>
          <cell r="E532" t="str">
            <v>12-647</v>
          </cell>
          <cell r="F532" t="str">
            <v>Physiologic Monitoring Systems, Acute Care</v>
          </cell>
          <cell r="G532" t="str">
            <v>IC</v>
          </cell>
          <cell r="H532" t="str">
            <v>INTENSIVE CARE UNIT</v>
          </cell>
          <cell r="I532" t="str">
            <v>05IC106</v>
          </cell>
          <cell r="J532" t="str">
            <v>EQ. ROOM</v>
          </cell>
          <cell r="K532" t="str">
            <v>BMED</v>
          </cell>
          <cell r="L532" t="str">
            <v>Critical</v>
          </cell>
          <cell r="M532" t="str">
            <v>USA</v>
          </cell>
          <cell r="N532" t="str">
            <v>Tram</v>
          </cell>
          <cell r="O532" t="str">
            <v>Transport Pro</v>
          </cell>
          <cell r="P532" t="str">
            <v>SCS12367507GA</v>
          </cell>
          <cell r="Q532" t="str">
            <v>Not Applicable</v>
          </cell>
          <cell r="R532" t="str">
            <v>GE Medical Systems</v>
          </cell>
          <cell r="S532" t="str">
            <v>GE Healthcare Technologies</v>
          </cell>
          <cell r="T532" t="str">
            <v>Functioning</v>
          </cell>
          <cell r="U532" t="str">
            <v>Asset</v>
          </cell>
          <cell r="V532">
            <v>54100</v>
          </cell>
          <cell r="W532" t="str">
            <v>KEW</v>
          </cell>
          <cell r="X532" t="str">
            <v>01/09/2010</v>
          </cell>
          <cell r="Y532" t="str">
            <v>KEW</v>
          </cell>
          <cell r="Z532" t="str">
            <v>16/08/2013</v>
          </cell>
          <cell r="AA532" t="str">
            <v>15/08/2015</v>
          </cell>
          <cell r="AB532" t="str">
            <v>No</v>
          </cell>
          <cell r="AC532" t="str">
            <v>31/08/2013</v>
          </cell>
          <cell r="AD532" t="str">
            <v>Good</v>
          </cell>
          <cell r="AE532" t="str">
            <v>V1 - Existing / No Claim</v>
          </cell>
          <cell r="AF532">
            <v>42796</v>
          </cell>
          <cell r="AG532">
            <v>9.17</v>
          </cell>
          <cell r="AH532" t="str">
            <v>PPM</v>
          </cell>
          <cell r="AI532" t="str">
            <v>Strands</v>
          </cell>
          <cell r="AJ532" t="str">
            <v>Strands PW</v>
          </cell>
        </row>
        <row r="533">
          <cell r="A533" t="str">
            <v>IKN400051</v>
          </cell>
          <cell r="B533">
            <v>51</v>
          </cell>
          <cell r="C533" t="str">
            <v>Institut Kanser Negara</v>
          </cell>
          <cell r="D533" t="str">
            <v>KKM/IKN/H/13/1058</v>
          </cell>
          <cell r="E533" t="str">
            <v>12-647</v>
          </cell>
          <cell r="F533" t="str">
            <v>Physiologic Monitoring Systems, Acute Care</v>
          </cell>
          <cell r="G533" t="str">
            <v>IC</v>
          </cell>
          <cell r="H533" t="str">
            <v>INTENSIVE CARE UNIT</v>
          </cell>
          <cell r="I533" t="str">
            <v>05IC106</v>
          </cell>
          <cell r="J533" t="str">
            <v>EQ. ROOM</v>
          </cell>
          <cell r="K533" t="str">
            <v>BMED</v>
          </cell>
          <cell r="L533" t="str">
            <v>Critical</v>
          </cell>
          <cell r="M533" t="str">
            <v>USA</v>
          </cell>
          <cell r="N533" t="str">
            <v>Tram</v>
          </cell>
          <cell r="O533" t="str">
            <v>Transport Pro</v>
          </cell>
          <cell r="P533" t="str">
            <v>SCS12367504GA</v>
          </cell>
          <cell r="Q533" t="str">
            <v>Not Applicable</v>
          </cell>
          <cell r="R533" t="str">
            <v>GE Medical Systems</v>
          </cell>
          <cell r="S533" t="str">
            <v>GE Healthcare Technologies</v>
          </cell>
          <cell r="T533" t="str">
            <v>Functioning</v>
          </cell>
          <cell r="U533" t="str">
            <v>Asset</v>
          </cell>
          <cell r="V533">
            <v>54100</v>
          </cell>
          <cell r="W533" t="str">
            <v>KEW</v>
          </cell>
          <cell r="X533" t="str">
            <v>01/09/2010</v>
          </cell>
          <cell r="Y533" t="str">
            <v>KEW</v>
          </cell>
          <cell r="Z533" t="str">
            <v>16/08/2013</v>
          </cell>
          <cell r="AA533" t="str">
            <v>15/08/2015</v>
          </cell>
          <cell r="AB533" t="str">
            <v>No</v>
          </cell>
          <cell r="AC533" t="str">
            <v>31/08/2013</v>
          </cell>
          <cell r="AD533" t="str">
            <v>Good</v>
          </cell>
          <cell r="AE533" t="str">
            <v>V1 - Existing / No Claim</v>
          </cell>
          <cell r="AF533">
            <v>42796</v>
          </cell>
          <cell r="AG533">
            <v>9.17</v>
          </cell>
          <cell r="AH533" t="str">
            <v>PPM</v>
          </cell>
          <cell r="AI533" t="str">
            <v>Strands</v>
          </cell>
          <cell r="AJ533" t="str">
            <v>Strands PW</v>
          </cell>
        </row>
        <row r="534">
          <cell r="A534" t="str">
            <v>IKN400052</v>
          </cell>
          <cell r="B534">
            <v>52</v>
          </cell>
          <cell r="C534" t="str">
            <v>Institut Kanser Negara</v>
          </cell>
          <cell r="D534" t="str">
            <v>KKM/IKN/H/13/937</v>
          </cell>
          <cell r="E534" t="str">
            <v>15-045</v>
          </cell>
          <cell r="F534" t="str">
            <v>Nebulizers, Nonheated</v>
          </cell>
          <cell r="G534" t="str">
            <v>IC</v>
          </cell>
          <cell r="H534" t="str">
            <v>INTENSIVE CARE UNIT</v>
          </cell>
          <cell r="I534" t="str">
            <v>05IC106</v>
          </cell>
          <cell r="J534" t="str">
            <v>EQ. ROOM</v>
          </cell>
          <cell r="K534" t="str">
            <v>BMED</v>
          </cell>
          <cell r="L534" t="str">
            <v>Normal</v>
          </cell>
          <cell r="M534" t="str">
            <v>Germany</v>
          </cell>
          <cell r="N534" t="str">
            <v>Pari Boy</v>
          </cell>
          <cell r="O534" t="str">
            <v>Pari Boy SX 085</v>
          </cell>
          <cell r="P534" t="str">
            <v>2W12J05922</v>
          </cell>
          <cell r="Q534" t="str">
            <v>Not Applicable</v>
          </cell>
          <cell r="R534" t="str">
            <v>Pari GmbH</v>
          </cell>
          <cell r="S534" t="str">
            <v>Welch Allyn Malaysia Sdn Bhd</v>
          </cell>
          <cell r="T534" t="str">
            <v>Functioning</v>
          </cell>
          <cell r="U534" t="str">
            <v>Asset</v>
          </cell>
          <cell r="V534">
            <v>1140</v>
          </cell>
          <cell r="W534" t="str">
            <v>KEW</v>
          </cell>
          <cell r="X534" t="str">
            <v>01/09/2010</v>
          </cell>
          <cell r="Y534" t="str">
            <v>KEW</v>
          </cell>
          <cell r="Z534" t="str">
            <v>16/08/2013</v>
          </cell>
          <cell r="AA534" t="str">
            <v>15/08/2015</v>
          </cell>
          <cell r="AB534" t="str">
            <v>No</v>
          </cell>
          <cell r="AC534" t="str">
            <v>31/08/2013</v>
          </cell>
          <cell r="AD534" t="str">
            <v>Good</v>
          </cell>
          <cell r="AE534" t="str">
            <v>V1 - Existing / No Claim</v>
          </cell>
          <cell r="AF534">
            <v>42235</v>
          </cell>
          <cell r="AG534">
            <v>9.17</v>
          </cell>
          <cell r="AH534" t="str">
            <v>PPM</v>
          </cell>
          <cell r="AI534" t="str">
            <v>Strands</v>
          </cell>
          <cell r="AJ534" t="str">
            <v>Strands PW</v>
          </cell>
        </row>
        <row r="535">
          <cell r="A535" t="str">
            <v>IKN400053</v>
          </cell>
          <cell r="B535">
            <v>53</v>
          </cell>
          <cell r="C535" t="str">
            <v>Institut Kanser Negara</v>
          </cell>
          <cell r="D535" t="str">
            <v>KKM/IKN/H/13/938</v>
          </cell>
          <cell r="E535" t="str">
            <v>15-045</v>
          </cell>
          <cell r="F535" t="str">
            <v>Nebulizers, Nonheated</v>
          </cell>
          <cell r="G535" t="str">
            <v>IC</v>
          </cell>
          <cell r="H535" t="str">
            <v>INTENSIVE CARE UNIT</v>
          </cell>
          <cell r="I535" t="str">
            <v>05IC106</v>
          </cell>
          <cell r="J535" t="str">
            <v>EQ. ROOM</v>
          </cell>
          <cell r="K535" t="str">
            <v>BMED</v>
          </cell>
          <cell r="L535" t="str">
            <v>Normal</v>
          </cell>
          <cell r="M535" t="str">
            <v>Germany</v>
          </cell>
          <cell r="N535" t="str">
            <v>Pari Boy</v>
          </cell>
          <cell r="O535" t="str">
            <v>Pari Boy SX 085</v>
          </cell>
          <cell r="P535" t="str">
            <v>2W12F13733</v>
          </cell>
          <cell r="Q535" t="str">
            <v>Not Applicable</v>
          </cell>
          <cell r="R535" t="str">
            <v>Pari GmbH</v>
          </cell>
          <cell r="S535" t="str">
            <v>Welch Allyn Malaysia Sdn Bhd</v>
          </cell>
          <cell r="T535" t="str">
            <v>Functioning</v>
          </cell>
          <cell r="U535" t="str">
            <v>Asset</v>
          </cell>
          <cell r="V535">
            <v>1140</v>
          </cell>
          <cell r="W535" t="str">
            <v>KEW</v>
          </cell>
          <cell r="X535" t="str">
            <v>01/09/2010</v>
          </cell>
          <cell r="Y535" t="str">
            <v>KEW</v>
          </cell>
          <cell r="Z535" t="str">
            <v>16/08/2013</v>
          </cell>
          <cell r="AA535" t="str">
            <v>15/08/2015</v>
          </cell>
          <cell r="AB535" t="str">
            <v>No</v>
          </cell>
          <cell r="AC535" t="str">
            <v>31/08/2013</v>
          </cell>
          <cell r="AD535" t="str">
            <v>Good</v>
          </cell>
          <cell r="AE535" t="str">
            <v>V1 - Existing / No Claim</v>
          </cell>
          <cell r="AF535">
            <v>42235</v>
          </cell>
          <cell r="AG535">
            <v>9.17</v>
          </cell>
          <cell r="AH535" t="str">
            <v>PPM</v>
          </cell>
          <cell r="AI535" t="str">
            <v>Strands</v>
          </cell>
          <cell r="AJ535" t="str">
            <v>Strands PW</v>
          </cell>
        </row>
        <row r="536">
          <cell r="A536" t="str">
            <v>IKN400054</v>
          </cell>
          <cell r="B536">
            <v>54</v>
          </cell>
          <cell r="C536" t="str">
            <v>Institut Kanser Negara</v>
          </cell>
          <cell r="D536" t="str">
            <v>KKM/IKN/H/13/939</v>
          </cell>
          <cell r="E536" t="str">
            <v>16-924</v>
          </cell>
          <cell r="F536" t="str">
            <v>Infusion Pumps, Patient-Controlled Analgesic</v>
          </cell>
          <cell r="G536" t="str">
            <v>IC</v>
          </cell>
          <cell r="H536" t="str">
            <v>INTENSIVE CARE UNIT</v>
          </cell>
          <cell r="I536" t="str">
            <v>05IC108</v>
          </cell>
          <cell r="J536" t="str">
            <v>PCA</v>
          </cell>
          <cell r="K536" t="str">
            <v>BMED</v>
          </cell>
          <cell r="L536" t="str">
            <v>Normal</v>
          </cell>
          <cell r="M536" t="str">
            <v>Germany</v>
          </cell>
          <cell r="N536" t="str">
            <v>Perfusor</v>
          </cell>
          <cell r="O536" t="str">
            <v>Perfusor Space PCA</v>
          </cell>
          <cell r="P536" t="str">
            <v>186598</v>
          </cell>
          <cell r="Q536" t="str">
            <v>Not Applicable</v>
          </cell>
          <cell r="R536" t="str">
            <v>B Braun Melsungen AG</v>
          </cell>
          <cell r="S536" t="str">
            <v>B Braun Medical Supplies Sdn. Bhd.</v>
          </cell>
          <cell r="T536" t="str">
            <v>Functioning</v>
          </cell>
          <cell r="U536" t="str">
            <v>Asset</v>
          </cell>
          <cell r="V536">
            <v>16840</v>
          </cell>
          <cell r="W536" t="str">
            <v>KEW</v>
          </cell>
          <cell r="X536" t="str">
            <v>01/09/2010</v>
          </cell>
          <cell r="Y536" t="str">
            <v>KEW</v>
          </cell>
          <cell r="Z536" t="str">
            <v>16/08/2013</v>
          </cell>
          <cell r="AA536" t="str">
            <v>15/08/2015</v>
          </cell>
          <cell r="AB536" t="str">
            <v>No</v>
          </cell>
          <cell r="AC536" t="str">
            <v>31/08/2013</v>
          </cell>
          <cell r="AD536" t="str">
            <v>Good</v>
          </cell>
          <cell r="AE536" t="str">
            <v>V1 - Existing / No Claim</v>
          </cell>
          <cell r="AF536">
            <v>42235</v>
          </cell>
          <cell r="AG536">
            <v>9.17</v>
          </cell>
          <cell r="AH536" t="str">
            <v>PPM</v>
          </cell>
          <cell r="AI536" t="str">
            <v>Strands</v>
          </cell>
          <cell r="AJ536" t="str">
            <v>Strands PW</v>
          </cell>
        </row>
        <row r="537">
          <cell r="A537" t="str">
            <v>IKN400055</v>
          </cell>
          <cell r="B537">
            <v>55</v>
          </cell>
          <cell r="C537" t="str">
            <v>Institut Kanser Negara</v>
          </cell>
          <cell r="D537" t="str">
            <v>KKM/IKN/H/13/953</v>
          </cell>
          <cell r="E537" t="str">
            <v>16-924</v>
          </cell>
          <cell r="F537" t="str">
            <v>Infusion Pumps, Patient-Controlled Analgesic</v>
          </cell>
          <cell r="G537" t="str">
            <v>IC</v>
          </cell>
          <cell r="H537" t="str">
            <v>INTENSIVE CARE UNIT</v>
          </cell>
          <cell r="I537" t="str">
            <v>05IC108</v>
          </cell>
          <cell r="J537" t="str">
            <v>PCA</v>
          </cell>
          <cell r="K537" t="str">
            <v>BMED</v>
          </cell>
          <cell r="L537" t="str">
            <v>Normal</v>
          </cell>
          <cell r="M537" t="str">
            <v>Germany</v>
          </cell>
          <cell r="N537" t="str">
            <v>Perfusor</v>
          </cell>
          <cell r="O537" t="str">
            <v>Perfusor Space PCA</v>
          </cell>
          <cell r="P537" t="str">
            <v>186576</v>
          </cell>
          <cell r="Q537" t="str">
            <v>Not Applicable</v>
          </cell>
          <cell r="R537" t="str">
            <v>B Braun Melsungen AG</v>
          </cell>
          <cell r="S537" t="str">
            <v>B Braun Medical Supplies Sdn. Bhd.</v>
          </cell>
          <cell r="T537" t="str">
            <v>Functioning</v>
          </cell>
          <cell r="U537" t="str">
            <v>Asset</v>
          </cell>
          <cell r="V537">
            <v>16840</v>
          </cell>
          <cell r="W537" t="str">
            <v>KEW</v>
          </cell>
          <cell r="X537" t="str">
            <v>01/09/2010</v>
          </cell>
          <cell r="Y537" t="str">
            <v>KEW</v>
          </cell>
          <cell r="Z537" t="str">
            <v>16/08/2013</v>
          </cell>
          <cell r="AA537" t="str">
            <v>15/08/2015</v>
          </cell>
          <cell r="AB537" t="str">
            <v>No</v>
          </cell>
          <cell r="AC537" t="str">
            <v>31/08/2013</v>
          </cell>
          <cell r="AD537" t="str">
            <v>Good</v>
          </cell>
          <cell r="AE537" t="str">
            <v>V1 - Existing / No Claim</v>
          </cell>
          <cell r="AF537">
            <v>42235</v>
          </cell>
          <cell r="AG537">
            <v>9.17</v>
          </cell>
          <cell r="AH537" t="str">
            <v>PPM</v>
          </cell>
          <cell r="AI537" t="str">
            <v>Strands</v>
          </cell>
          <cell r="AJ537" t="str">
            <v>Strands PW</v>
          </cell>
        </row>
        <row r="538">
          <cell r="A538" t="str">
            <v>IKN400056</v>
          </cell>
          <cell r="B538">
            <v>56</v>
          </cell>
          <cell r="C538" t="str">
            <v>Institut Kanser Negara</v>
          </cell>
          <cell r="D538" t="str">
            <v>KKM/IKN/H/13/940</v>
          </cell>
          <cell r="E538" t="str">
            <v>16-924</v>
          </cell>
          <cell r="F538" t="str">
            <v>Infusion Pumps, Patient-Controlled Analgesic</v>
          </cell>
          <cell r="G538" t="str">
            <v>IC</v>
          </cell>
          <cell r="H538" t="str">
            <v>INTENSIVE CARE UNIT</v>
          </cell>
          <cell r="I538" t="str">
            <v>05IC108</v>
          </cell>
          <cell r="J538" t="str">
            <v>PCA</v>
          </cell>
          <cell r="K538" t="str">
            <v>BMED</v>
          </cell>
          <cell r="L538" t="str">
            <v>Critical</v>
          </cell>
          <cell r="M538" t="str">
            <v>Germany</v>
          </cell>
          <cell r="N538" t="str">
            <v>Perfusor</v>
          </cell>
          <cell r="O538" t="str">
            <v>Perfusor Space PCA</v>
          </cell>
          <cell r="P538" t="str">
            <v>187067</v>
          </cell>
          <cell r="Q538" t="str">
            <v>Not Applicable</v>
          </cell>
          <cell r="R538" t="str">
            <v>B Braun Melsungen AG</v>
          </cell>
          <cell r="S538" t="str">
            <v>B Braun Medical Supplies Sdn. Bhd.</v>
          </cell>
          <cell r="T538" t="str">
            <v>Functioning</v>
          </cell>
          <cell r="U538" t="str">
            <v>Asset</v>
          </cell>
          <cell r="V538">
            <v>16840</v>
          </cell>
          <cell r="W538" t="str">
            <v>KEW</v>
          </cell>
          <cell r="X538" t="str">
            <v>01/09/2010</v>
          </cell>
          <cell r="Y538" t="str">
            <v>KEW</v>
          </cell>
          <cell r="Z538" t="str">
            <v>16/08/2013</v>
          </cell>
          <cell r="AA538" t="str">
            <v>15/08/2015</v>
          </cell>
          <cell r="AB538" t="str">
            <v>No</v>
          </cell>
          <cell r="AC538" t="str">
            <v>31/08/2013</v>
          </cell>
          <cell r="AD538" t="str">
            <v>Good</v>
          </cell>
          <cell r="AE538" t="str">
            <v>V1 - Existing / No Claim</v>
          </cell>
          <cell r="AF538">
            <v>42796</v>
          </cell>
          <cell r="AG538">
            <v>9.17</v>
          </cell>
          <cell r="AH538" t="str">
            <v>PPM</v>
          </cell>
          <cell r="AI538" t="str">
            <v>Strands</v>
          </cell>
          <cell r="AJ538" t="str">
            <v>Strands PW</v>
          </cell>
        </row>
        <row r="539">
          <cell r="A539" t="str">
            <v>IKN400057</v>
          </cell>
          <cell r="B539">
            <v>57</v>
          </cell>
          <cell r="C539" t="str">
            <v>Institut Kanser Negara</v>
          </cell>
          <cell r="D539" t="str">
            <v>KKM/IKN/H/13/941</v>
          </cell>
          <cell r="E539" t="str">
            <v>16-924</v>
          </cell>
          <cell r="F539" t="str">
            <v>Infusion Pumps, Patient-Controlled Analgesic</v>
          </cell>
          <cell r="G539" t="str">
            <v>IC</v>
          </cell>
          <cell r="H539" t="str">
            <v>INTENSIVE CARE UNIT</v>
          </cell>
          <cell r="I539" t="str">
            <v>05IC108</v>
          </cell>
          <cell r="J539" t="str">
            <v>PCA</v>
          </cell>
          <cell r="K539" t="str">
            <v>BMED</v>
          </cell>
          <cell r="L539" t="str">
            <v>Critical</v>
          </cell>
          <cell r="M539" t="str">
            <v>Germany</v>
          </cell>
          <cell r="N539" t="str">
            <v>Perfusor</v>
          </cell>
          <cell r="O539" t="str">
            <v>Perfusor Space PCA</v>
          </cell>
          <cell r="P539" t="str">
            <v>187819</v>
          </cell>
          <cell r="Q539" t="str">
            <v>Not Applicable</v>
          </cell>
          <cell r="R539" t="str">
            <v>B Braun Melsungen AG</v>
          </cell>
          <cell r="S539" t="str">
            <v>B Braun Medical Supplies Sdn. Bhd.</v>
          </cell>
          <cell r="T539" t="str">
            <v>Functioning</v>
          </cell>
          <cell r="U539" t="str">
            <v>Asset</v>
          </cell>
          <cell r="V539">
            <v>16840</v>
          </cell>
          <cell r="W539" t="str">
            <v>KEW</v>
          </cell>
          <cell r="X539" t="str">
            <v>01/09/2010</v>
          </cell>
          <cell r="Y539" t="str">
            <v>KEW</v>
          </cell>
          <cell r="Z539" t="str">
            <v>16/08/2013</v>
          </cell>
          <cell r="AA539" t="str">
            <v>15/08/2015</v>
          </cell>
          <cell r="AB539" t="str">
            <v>No</v>
          </cell>
          <cell r="AC539" t="str">
            <v>31/08/2013</v>
          </cell>
          <cell r="AD539" t="str">
            <v>Good</v>
          </cell>
          <cell r="AE539" t="str">
            <v>V1 - Existing / No Claim</v>
          </cell>
          <cell r="AF539">
            <v>42796</v>
          </cell>
          <cell r="AG539">
            <v>9.17</v>
          </cell>
          <cell r="AH539" t="str">
            <v>PPM</v>
          </cell>
          <cell r="AI539" t="str">
            <v>Strands</v>
          </cell>
          <cell r="AJ539" t="str">
            <v>Strands PW</v>
          </cell>
        </row>
        <row r="540">
          <cell r="A540" t="str">
            <v>IKN400058</v>
          </cell>
          <cell r="B540">
            <v>58</v>
          </cell>
          <cell r="C540" t="str">
            <v>Institut Kanser Negara</v>
          </cell>
          <cell r="D540" t="str">
            <v>KKM/IKN/H/13/942</v>
          </cell>
          <cell r="E540" t="str">
            <v>16-924</v>
          </cell>
          <cell r="F540" t="str">
            <v>Infusion Pumps, Patient-Controlled Analgesic</v>
          </cell>
          <cell r="G540" t="str">
            <v>IC</v>
          </cell>
          <cell r="H540" t="str">
            <v>INTENSIVE CARE UNIT</v>
          </cell>
          <cell r="I540" t="str">
            <v>05IC108</v>
          </cell>
          <cell r="J540" t="str">
            <v>PCA</v>
          </cell>
          <cell r="K540" t="str">
            <v>BMED</v>
          </cell>
          <cell r="L540" t="str">
            <v>Critical</v>
          </cell>
          <cell r="M540" t="str">
            <v>Germany</v>
          </cell>
          <cell r="N540" t="str">
            <v>Perfusor</v>
          </cell>
          <cell r="O540" t="str">
            <v>Perfusor Space PCA</v>
          </cell>
          <cell r="P540" t="str">
            <v>187833</v>
          </cell>
          <cell r="Q540" t="str">
            <v>Not Applicable</v>
          </cell>
          <cell r="R540" t="str">
            <v>B Braun Melsungen AG</v>
          </cell>
          <cell r="S540" t="str">
            <v>B Braun Medical Supplies Sdn. Bhd.</v>
          </cell>
          <cell r="T540" t="str">
            <v>Functioning</v>
          </cell>
          <cell r="U540" t="str">
            <v>Asset</v>
          </cell>
          <cell r="V540">
            <v>16840</v>
          </cell>
          <cell r="W540" t="str">
            <v>KEW</v>
          </cell>
          <cell r="X540" t="str">
            <v>01/09/2010</v>
          </cell>
          <cell r="Y540" t="str">
            <v>KEW</v>
          </cell>
          <cell r="Z540" t="str">
            <v>16/08/2013</v>
          </cell>
          <cell r="AA540" t="str">
            <v>15/08/2015</v>
          </cell>
          <cell r="AB540" t="str">
            <v>No</v>
          </cell>
          <cell r="AC540" t="str">
            <v>31/08/2013</v>
          </cell>
          <cell r="AD540" t="str">
            <v>Good</v>
          </cell>
          <cell r="AE540" t="str">
            <v>V1 - Existing / No Claim</v>
          </cell>
          <cell r="AF540">
            <v>42796</v>
          </cell>
          <cell r="AG540">
            <v>9.17</v>
          </cell>
          <cell r="AH540" t="str">
            <v>PPM</v>
          </cell>
          <cell r="AI540" t="str">
            <v>Strands</v>
          </cell>
          <cell r="AJ540" t="str">
            <v>Strands PW</v>
          </cell>
        </row>
        <row r="541">
          <cell r="A541" t="str">
            <v>IKN400059</v>
          </cell>
          <cell r="B541">
            <v>59</v>
          </cell>
          <cell r="C541" t="str">
            <v>Institut Kanser Negara</v>
          </cell>
          <cell r="D541" t="str">
            <v>KKM/IKN/H/13/943</v>
          </cell>
          <cell r="E541" t="str">
            <v>16-924</v>
          </cell>
          <cell r="F541" t="str">
            <v>Infusion Pumps, Patient-Controlled Analgesic</v>
          </cell>
          <cell r="G541" t="str">
            <v>IC</v>
          </cell>
          <cell r="H541" t="str">
            <v>INTENSIVE CARE UNIT</v>
          </cell>
          <cell r="I541" t="str">
            <v>05IC108</v>
          </cell>
          <cell r="J541" t="str">
            <v>PCA</v>
          </cell>
          <cell r="K541" t="str">
            <v>BMED</v>
          </cell>
          <cell r="L541" t="str">
            <v>Critical</v>
          </cell>
          <cell r="M541" t="str">
            <v>Germany</v>
          </cell>
          <cell r="N541" t="str">
            <v>Perfusor</v>
          </cell>
          <cell r="O541" t="str">
            <v>Perfusor Space PCA</v>
          </cell>
          <cell r="P541" t="str">
            <v>187810</v>
          </cell>
          <cell r="Q541" t="str">
            <v>Not Applicable</v>
          </cell>
          <cell r="R541" t="str">
            <v>B Braun Melsungen AG</v>
          </cell>
          <cell r="S541" t="str">
            <v>B Braun Medical Supplies Sdn. Bhd.</v>
          </cell>
          <cell r="T541" t="str">
            <v>Functioning</v>
          </cell>
          <cell r="U541" t="str">
            <v>Asset</v>
          </cell>
          <cell r="V541">
            <v>16840</v>
          </cell>
          <cell r="W541" t="str">
            <v>KEW</v>
          </cell>
          <cell r="X541" t="str">
            <v>01/09/2010</v>
          </cell>
          <cell r="Y541" t="str">
            <v>KEW</v>
          </cell>
          <cell r="Z541" t="str">
            <v>16/08/2013</v>
          </cell>
          <cell r="AA541" t="str">
            <v>15/08/2015</v>
          </cell>
          <cell r="AB541" t="str">
            <v>No</v>
          </cell>
          <cell r="AC541" t="str">
            <v>31/08/2013</v>
          </cell>
          <cell r="AD541" t="str">
            <v>Good</v>
          </cell>
          <cell r="AE541" t="str">
            <v>V1 - Existing / No Claim</v>
          </cell>
          <cell r="AF541">
            <v>42796</v>
          </cell>
          <cell r="AG541">
            <v>9.17</v>
          </cell>
          <cell r="AH541" t="str">
            <v>PPM</v>
          </cell>
          <cell r="AI541" t="str">
            <v>Strands</v>
          </cell>
          <cell r="AJ541" t="str">
            <v>Strands PW</v>
          </cell>
        </row>
        <row r="542">
          <cell r="A542" t="str">
            <v>IKN400060</v>
          </cell>
          <cell r="B542">
            <v>60</v>
          </cell>
          <cell r="C542" t="str">
            <v>Institut Kanser Negara</v>
          </cell>
          <cell r="D542" t="str">
            <v>KKM/IKN/H/13/944</v>
          </cell>
          <cell r="E542" t="str">
            <v>16-924</v>
          </cell>
          <cell r="F542" t="str">
            <v>Infusion Pumps, Patient-Controlled Analgesic</v>
          </cell>
          <cell r="G542" t="str">
            <v>IC</v>
          </cell>
          <cell r="H542" t="str">
            <v>INTENSIVE CARE UNIT</v>
          </cell>
          <cell r="I542" t="str">
            <v>05IC108</v>
          </cell>
          <cell r="J542" t="str">
            <v>PCA</v>
          </cell>
          <cell r="K542" t="str">
            <v>BMED</v>
          </cell>
          <cell r="L542" t="str">
            <v>Critical</v>
          </cell>
          <cell r="M542" t="str">
            <v>Germany</v>
          </cell>
          <cell r="N542" t="str">
            <v>Perfusor</v>
          </cell>
          <cell r="O542" t="str">
            <v>Perfusor Space PCA</v>
          </cell>
          <cell r="P542" t="str">
            <v>187805</v>
          </cell>
          <cell r="Q542" t="str">
            <v>Not Applicable</v>
          </cell>
          <cell r="R542" t="str">
            <v>B Braun Melsungen AG</v>
          </cell>
          <cell r="S542" t="str">
            <v>B Braun Medical Supplies Sdn. Bhd.</v>
          </cell>
          <cell r="T542" t="str">
            <v>Functioning</v>
          </cell>
          <cell r="U542" t="str">
            <v>Asset</v>
          </cell>
          <cell r="V542">
            <v>16840</v>
          </cell>
          <cell r="W542" t="str">
            <v>KEW</v>
          </cell>
          <cell r="X542" t="str">
            <v>01/09/2010</v>
          </cell>
          <cell r="Y542" t="str">
            <v>KEW</v>
          </cell>
          <cell r="Z542" t="str">
            <v>16/08/2013</v>
          </cell>
          <cell r="AA542" t="str">
            <v>15/08/2015</v>
          </cell>
          <cell r="AB542" t="str">
            <v>No</v>
          </cell>
          <cell r="AC542" t="str">
            <v>31/08/2013</v>
          </cell>
          <cell r="AD542" t="str">
            <v>Good</v>
          </cell>
          <cell r="AE542" t="str">
            <v>V1 - Existing / No Claim</v>
          </cell>
          <cell r="AF542">
            <v>42796</v>
          </cell>
          <cell r="AG542">
            <v>9.17</v>
          </cell>
          <cell r="AH542" t="str">
            <v>PPM</v>
          </cell>
          <cell r="AI542" t="str">
            <v>Strands</v>
          </cell>
          <cell r="AJ542" t="str">
            <v>Strands PW</v>
          </cell>
        </row>
        <row r="543">
          <cell r="A543" t="str">
            <v>IKN400061</v>
          </cell>
          <cell r="B543">
            <v>61</v>
          </cell>
          <cell r="C543" t="str">
            <v>Institut Kanser Negara</v>
          </cell>
          <cell r="D543" t="str">
            <v>KKM/IKN/H/13/946</v>
          </cell>
          <cell r="E543" t="str">
            <v>16-924</v>
          </cell>
          <cell r="F543" t="str">
            <v>Infusion Pumps, Patient-Controlled Analgesic</v>
          </cell>
          <cell r="G543" t="str">
            <v>IC</v>
          </cell>
          <cell r="H543" t="str">
            <v>INTENSIVE CARE UNIT</v>
          </cell>
          <cell r="I543" t="str">
            <v>05IC108</v>
          </cell>
          <cell r="J543" t="str">
            <v>PCA</v>
          </cell>
          <cell r="K543" t="str">
            <v>BMED</v>
          </cell>
          <cell r="L543" t="str">
            <v>Normal</v>
          </cell>
          <cell r="M543" t="str">
            <v>Germany</v>
          </cell>
          <cell r="N543" t="str">
            <v>Perfusor</v>
          </cell>
          <cell r="O543" t="str">
            <v>Perfusor Space PCA</v>
          </cell>
          <cell r="P543" t="str">
            <v>185353</v>
          </cell>
          <cell r="Q543" t="str">
            <v>Not Applicable</v>
          </cell>
          <cell r="R543" t="str">
            <v>B Braun Melsungen AG</v>
          </cell>
          <cell r="S543" t="str">
            <v>B Braun Medical Supplies Sdn. Bhd.</v>
          </cell>
          <cell r="T543" t="str">
            <v>Functioning</v>
          </cell>
          <cell r="U543" t="str">
            <v>Asset</v>
          </cell>
          <cell r="V543">
            <v>16840</v>
          </cell>
          <cell r="W543" t="str">
            <v>KEW</v>
          </cell>
          <cell r="X543" t="str">
            <v>01/09/2010</v>
          </cell>
          <cell r="Y543" t="str">
            <v>KEW</v>
          </cell>
          <cell r="Z543" t="str">
            <v>16/08/2013</v>
          </cell>
          <cell r="AA543" t="str">
            <v>15/08/2015</v>
          </cell>
          <cell r="AB543" t="str">
            <v>No</v>
          </cell>
          <cell r="AC543" t="str">
            <v>31/08/2013</v>
          </cell>
          <cell r="AD543" t="str">
            <v>Good</v>
          </cell>
          <cell r="AE543" t="str">
            <v>V1 - Existing / No Claim</v>
          </cell>
          <cell r="AF543">
            <v>42235</v>
          </cell>
          <cell r="AG543">
            <v>9.17</v>
          </cell>
          <cell r="AH543" t="str">
            <v>PPM</v>
          </cell>
          <cell r="AI543" t="str">
            <v>Strands</v>
          </cell>
          <cell r="AJ543" t="str">
            <v>Strands PW</v>
          </cell>
        </row>
        <row r="544">
          <cell r="A544" t="str">
            <v>IKN400062</v>
          </cell>
          <cell r="B544">
            <v>62</v>
          </cell>
          <cell r="C544" t="str">
            <v>Institut Kanser Negara</v>
          </cell>
          <cell r="D544" t="str">
            <v>KKM/IKN/H/13/945</v>
          </cell>
          <cell r="E544" t="str">
            <v>16-924</v>
          </cell>
          <cell r="F544" t="str">
            <v>Infusion Pumps, Patient-Controlled Analgesic</v>
          </cell>
          <cell r="G544" t="str">
            <v>IC</v>
          </cell>
          <cell r="H544" t="str">
            <v>INTENSIVE CARE UNIT</v>
          </cell>
          <cell r="I544" t="str">
            <v>05IC108</v>
          </cell>
          <cell r="J544" t="str">
            <v>PCA</v>
          </cell>
          <cell r="K544" t="str">
            <v>BMED</v>
          </cell>
          <cell r="L544" t="str">
            <v>Normal</v>
          </cell>
          <cell r="M544" t="str">
            <v>Germany</v>
          </cell>
          <cell r="N544" t="str">
            <v>Perfusor</v>
          </cell>
          <cell r="O544" t="str">
            <v>Perfusor Space PCA</v>
          </cell>
          <cell r="P544" t="str">
            <v>187893</v>
          </cell>
          <cell r="Q544" t="str">
            <v>Not Applicable</v>
          </cell>
          <cell r="R544" t="str">
            <v>B Braun Melsungen AG</v>
          </cell>
          <cell r="S544" t="str">
            <v>B Braun Medical Supplies Sdn. Bhd.</v>
          </cell>
          <cell r="T544" t="str">
            <v>Functioning</v>
          </cell>
          <cell r="U544" t="str">
            <v>Asset</v>
          </cell>
          <cell r="V544">
            <v>16840</v>
          </cell>
          <cell r="W544" t="str">
            <v>KEW</v>
          </cell>
          <cell r="X544" t="str">
            <v>01/09/2010</v>
          </cell>
          <cell r="Y544" t="str">
            <v>KEW</v>
          </cell>
          <cell r="Z544" t="str">
            <v>16/08/2013</v>
          </cell>
          <cell r="AA544" t="str">
            <v>15/08/2015</v>
          </cell>
          <cell r="AB544" t="str">
            <v>No</v>
          </cell>
          <cell r="AC544" t="str">
            <v>31/08/2013</v>
          </cell>
          <cell r="AD544" t="str">
            <v>Good</v>
          </cell>
          <cell r="AE544" t="str">
            <v>V1 - Existing / No Claim</v>
          </cell>
          <cell r="AF544">
            <v>42235</v>
          </cell>
          <cell r="AG544">
            <v>9.17</v>
          </cell>
          <cell r="AH544" t="str">
            <v>PPM</v>
          </cell>
          <cell r="AI544" t="str">
            <v>Strands</v>
          </cell>
          <cell r="AJ544" t="str">
            <v>Strands PW</v>
          </cell>
        </row>
        <row r="545">
          <cell r="A545" t="str">
            <v>IKN400063</v>
          </cell>
          <cell r="B545">
            <v>63</v>
          </cell>
          <cell r="C545" t="str">
            <v>Institut Kanser Negara</v>
          </cell>
          <cell r="D545" t="str">
            <v>KKM/IKN/H/13/947</v>
          </cell>
          <cell r="E545" t="str">
            <v>16-924</v>
          </cell>
          <cell r="F545" t="str">
            <v>Infusion Pumps, Patient-Controlled Analgesic</v>
          </cell>
          <cell r="G545" t="str">
            <v>IC</v>
          </cell>
          <cell r="H545" t="str">
            <v>INTENSIVE CARE UNIT</v>
          </cell>
          <cell r="I545" t="str">
            <v>05IC108</v>
          </cell>
          <cell r="J545" t="str">
            <v>PCA</v>
          </cell>
          <cell r="K545" t="str">
            <v>BMED</v>
          </cell>
          <cell r="L545" t="str">
            <v>Normal</v>
          </cell>
          <cell r="M545" t="str">
            <v>Germany</v>
          </cell>
          <cell r="N545" t="str">
            <v>Perfusor</v>
          </cell>
          <cell r="O545" t="str">
            <v>Perfusor Space PCA</v>
          </cell>
          <cell r="P545" t="str">
            <v>187849</v>
          </cell>
          <cell r="Q545" t="str">
            <v>Not Applicable</v>
          </cell>
          <cell r="R545" t="str">
            <v>B Braun Melsungen AG</v>
          </cell>
          <cell r="S545" t="str">
            <v>B Braun Medical Supplies Sdn. Bhd.</v>
          </cell>
          <cell r="T545" t="str">
            <v>Functioning</v>
          </cell>
          <cell r="U545" t="str">
            <v>Asset</v>
          </cell>
          <cell r="V545">
            <v>16840</v>
          </cell>
          <cell r="W545" t="str">
            <v>KEW</v>
          </cell>
          <cell r="X545" t="str">
            <v>01/09/2010</v>
          </cell>
          <cell r="Y545" t="str">
            <v>KEW</v>
          </cell>
          <cell r="Z545" t="str">
            <v>16/08/2013</v>
          </cell>
          <cell r="AA545" t="str">
            <v>15/08/2015</v>
          </cell>
          <cell r="AB545" t="str">
            <v>No</v>
          </cell>
          <cell r="AC545" t="str">
            <v>31/08/2013</v>
          </cell>
          <cell r="AD545" t="str">
            <v>Good</v>
          </cell>
          <cell r="AE545" t="str">
            <v>V1 - Existing / No Claim</v>
          </cell>
          <cell r="AF545">
            <v>42235</v>
          </cell>
          <cell r="AG545">
            <v>9.17</v>
          </cell>
          <cell r="AH545" t="str">
            <v>PPM</v>
          </cell>
          <cell r="AI545" t="str">
            <v>Strands</v>
          </cell>
          <cell r="AJ545" t="str">
            <v>Strands PW</v>
          </cell>
        </row>
        <row r="546">
          <cell r="A546" t="str">
            <v>IKN400064</v>
          </cell>
          <cell r="B546">
            <v>64</v>
          </cell>
          <cell r="C546" t="str">
            <v>Institut Kanser Negara</v>
          </cell>
          <cell r="D546" t="str">
            <v>KKM/IKN/H/13/948</v>
          </cell>
          <cell r="E546" t="str">
            <v>16-924</v>
          </cell>
          <cell r="F546" t="str">
            <v>Infusion Pumps, Patient-Controlled Analgesic</v>
          </cell>
          <cell r="G546" t="str">
            <v>IC</v>
          </cell>
          <cell r="H546" t="str">
            <v>INTENSIVE CARE UNIT</v>
          </cell>
          <cell r="I546" t="str">
            <v>05IC108</v>
          </cell>
          <cell r="J546" t="str">
            <v>PCA</v>
          </cell>
          <cell r="K546" t="str">
            <v>BMED</v>
          </cell>
          <cell r="L546" t="str">
            <v>Normal</v>
          </cell>
          <cell r="M546" t="str">
            <v>Germany</v>
          </cell>
          <cell r="N546" t="str">
            <v>Perfusor</v>
          </cell>
          <cell r="O546" t="str">
            <v>Perfusor Space PCA</v>
          </cell>
          <cell r="P546" t="str">
            <v>187832</v>
          </cell>
          <cell r="Q546" t="str">
            <v>Not Applicable</v>
          </cell>
          <cell r="R546" t="str">
            <v>B Braun Melsungen AG</v>
          </cell>
          <cell r="S546" t="str">
            <v>B Braun Medical Supplies Sdn. Bhd.</v>
          </cell>
          <cell r="T546" t="str">
            <v>Functioning</v>
          </cell>
          <cell r="U546" t="str">
            <v>Asset</v>
          </cell>
          <cell r="V546">
            <v>16840</v>
          </cell>
          <cell r="W546" t="str">
            <v>KEW</v>
          </cell>
          <cell r="X546" t="str">
            <v>01/09/2010</v>
          </cell>
          <cell r="Y546" t="str">
            <v>KEW</v>
          </cell>
          <cell r="Z546" t="str">
            <v>16/08/2013</v>
          </cell>
          <cell r="AA546" t="str">
            <v>15/08/2015</v>
          </cell>
          <cell r="AB546" t="str">
            <v>No</v>
          </cell>
          <cell r="AC546" t="str">
            <v>31/08/2013</v>
          </cell>
          <cell r="AD546" t="str">
            <v>Good</v>
          </cell>
          <cell r="AE546" t="str">
            <v>V1 - Existing / No Claim</v>
          </cell>
          <cell r="AF546">
            <v>42235</v>
          </cell>
          <cell r="AG546">
            <v>9.17</v>
          </cell>
          <cell r="AH546" t="str">
            <v>PPM</v>
          </cell>
          <cell r="AI546" t="str">
            <v>Strands</v>
          </cell>
          <cell r="AJ546" t="str">
            <v>Strands PW</v>
          </cell>
        </row>
        <row r="547">
          <cell r="A547" t="str">
            <v>IKN400065</v>
          </cell>
          <cell r="B547">
            <v>65</v>
          </cell>
          <cell r="C547" t="str">
            <v>Institut Kanser Negara</v>
          </cell>
          <cell r="D547" t="str">
            <v>KKM/IKN/H/13/949</v>
          </cell>
          <cell r="E547" t="str">
            <v>16-924</v>
          </cell>
          <cell r="F547" t="str">
            <v>Infusion Pumps, Patient-Controlled Analgesic</v>
          </cell>
          <cell r="G547" t="str">
            <v>IC</v>
          </cell>
          <cell r="H547" t="str">
            <v>INTENSIVE CARE UNIT</v>
          </cell>
          <cell r="I547" t="str">
            <v>05IC108</v>
          </cell>
          <cell r="J547" t="str">
            <v>PCA</v>
          </cell>
          <cell r="K547" t="str">
            <v>BMED</v>
          </cell>
          <cell r="L547" t="str">
            <v>Normal</v>
          </cell>
          <cell r="M547" t="str">
            <v>Germany</v>
          </cell>
          <cell r="N547" t="str">
            <v>Perfusor</v>
          </cell>
          <cell r="O547" t="str">
            <v>Perfusor Space PCA</v>
          </cell>
          <cell r="P547" t="str">
            <v>187004</v>
          </cell>
          <cell r="Q547" t="str">
            <v>Not Applicable</v>
          </cell>
          <cell r="R547" t="str">
            <v>B Braun Melsungen AG</v>
          </cell>
          <cell r="S547" t="str">
            <v>B Braun Medical Supplies Sdn. Bhd.</v>
          </cell>
          <cell r="T547" t="str">
            <v>Functioning</v>
          </cell>
          <cell r="U547" t="str">
            <v>Asset</v>
          </cell>
          <cell r="V547">
            <v>16840</v>
          </cell>
          <cell r="W547" t="str">
            <v>KEW</v>
          </cell>
          <cell r="X547" t="str">
            <v>01/09/2010</v>
          </cell>
          <cell r="Y547" t="str">
            <v>KEW</v>
          </cell>
          <cell r="Z547" t="str">
            <v>16/08/2013</v>
          </cell>
          <cell r="AA547" t="str">
            <v>15/08/2015</v>
          </cell>
          <cell r="AB547" t="str">
            <v>No</v>
          </cell>
          <cell r="AC547" t="str">
            <v>31/08/2013</v>
          </cell>
          <cell r="AD547" t="str">
            <v>Good</v>
          </cell>
          <cell r="AE547" t="str">
            <v>V1 - Existing / No Claim</v>
          </cell>
          <cell r="AF547">
            <v>42235</v>
          </cell>
          <cell r="AG547">
            <v>9.17</v>
          </cell>
          <cell r="AH547" t="str">
            <v>PPM</v>
          </cell>
          <cell r="AI547" t="str">
            <v>Strands</v>
          </cell>
          <cell r="AJ547" t="str">
            <v>Strands PW</v>
          </cell>
        </row>
        <row r="548">
          <cell r="A548" t="str">
            <v>IKN400066</v>
          </cell>
          <cell r="B548">
            <v>66</v>
          </cell>
          <cell r="C548" t="str">
            <v>Institut Kanser Negara</v>
          </cell>
          <cell r="D548" t="str">
            <v>KKM/IKN/H/13/950</v>
          </cell>
          <cell r="E548" t="str">
            <v>16-924</v>
          </cell>
          <cell r="F548" t="str">
            <v>Infusion Pumps, Patient-Controlled Analgesic</v>
          </cell>
          <cell r="G548" t="str">
            <v>IC</v>
          </cell>
          <cell r="H548" t="str">
            <v>INTENSIVE CARE UNIT</v>
          </cell>
          <cell r="I548" t="str">
            <v>05IC108</v>
          </cell>
          <cell r="J548" t="str">
            <v>PCA</v>
          </cell>
          <cell r="K548" t="str">
            <v>BMED</v>
          </cell>
          <cell r="L548" t="str">
            <v>Critical</v>
          </cell>
          <cell r="M548" t="str">
            <v>Germany</v>
          </cell>
          <cell r="N548" t="str">
            <v>Perfusor</v>
          </cell>
          <cell r="O548" t="str">
            <v>Perfusor Space PCA</v>
          </cell>
          <cell r="P548" t="str">
            <v>187814</v>
          </cell>
          <cell r="Q548" t="str">
            <v>Not Applicable</v>
          </cell>
          <cell r="R548" t="str">
            <v>B Braun Melsungen AG</v>
          </cell>
          <cell r="S548" t="str">
            <v>B Braun Medical Supplies Sdn. Bhd.</v>
          </cell>
          <cell r="T548" t="str">
            <v>Functioning</v>
          </cell>
          <cell r="U548" t="str">
            <v>Asset</v>
          </cell>
          <cell r="V548">
            <v>16840</v>
          </cell>
          <cell r="W548" t="str">
            <v>KEW</v>
          </cell>
          <cell r="X548" t="str">
            <v>01/09/2010</v>
          </cell>
          <cell r="Y548" t="str">
            <v>KEW</v>
          </cell>
          <cell r="Z548" t="str">
            <v>16/08/2013</v>
          </cell>
          <cell r="AA548" t="str">
            <v>15/08/2015</v>
          </cell>
          <cell r="AB548" t="str">
            <v>No</v>
          </cell>
          <cell r="AC548" t="str">
            <v>31/08/2013</v>
          </cell>
          <cell r="AD548" t="str">
            <v>Good</v>
          </cell>
          <cell r="AE548" t="str">
            <v>V1 - Existing / No Claim</v>
          </cell>
          <cell r="AF548">
            <v>42796</v>
          </cell>
          <cell r="AG548">
            <v>9.17</v>
          </cell>
          <cell r="AH548" t="str">
            <v>PPM</v>
          </cell>
          <cell r="AI548" t="str">
            <v>Strands</v>
          </cell>
          <cell r="AJ548" t="str">
            <v>Strands PW</v>
          </cell>
        </row>
        <row r="549">
          <cell r="A549" t="str">
            <v>IKN400067</v>
          </cell>
          <cell r="B549">
            <v>67</v>
          </cell>
          <cell r="C549" t="str">
            <v>Institut Kanser Negara</v>
          </cell>
          <cell r="D549" t="str">
            <v>KKM/IKN/H/13/951</v>
          </cell>
          <cell r="E549" t="str">
            <v>16-924</v>
          </cell>
          <cell r="F549" t="str">
            <v>Infusion Pumps, Patient-Controlled Analgesic</v>
          </cell>
          <cell r="G549" t="str">
            <v>IC</v>
          </cell>
          <cell r="H549" t="str">
            <v>INTENSIVE CARE UNIT</v>
          </cell>
          <cell r="I549" t="str">
            <v>05IC108</v>
          </cell>
          <cell r="J549" t="str">
            <v>PCA</v>
          </cell>
          <cell r="K549" t="str">
            <v>BMED</v>
          </cell>
          <cell r="L549" t="str">
            <v>Normal</v>
          </cell>
          <cell r="M549" t="str">
            <v>Germany</v>
          </cell>
          <cell r="N549" t="str">
            <v>Perfusor</v>
          </cell>
          <cell r="O549" t="str">
            <v>Perfusor Space PCA</v>
          </cell>
          <cell r="P549" t="str">
            <v>186995</v>
          </cell>
          <cell r="Q549" t="str">
            <v>Not Applicable</v>
          </cell>
          <cell r="R549" t="str">
            <v>B Braun Melsungen AG</v>
          </cell>
          <cell r="S549" t="str">
            <v>B Braun Medical Supplies Sdn. Bhd.</v>
          </cell>
          <cell r="T549" t="str">
            <v>Functioning</v>
          </cell>
          <cell r="U549" t="str">
            <v>Asset</v>
          </cell>
          <cell r="V549">
            <v>16840</v>
          </cell>
          <cell r="W549" t="str">
            <v>KEW</v>
          </cell>
          <cell r="X549" t="str">
            <v>01/09/2010</v>
          </cell>
          <cell r="Y549" t="str">
            <v>KEW</v>
          </cell>
          <cell r="Z549" t="str">
            <v>16/08/2013</v>
          </cell>
          <cell r="AA549" t="str">
            <v>15/08/2015</v>
          </cell>
          <cell r="AB549" t="str">
            <v>No</v>
          </cell>
          <cell r="AC549" t="str">
            <v>31/08/2013</v>
          </cell>
          <cell r="AD549" t="str">
            <v>Good</v>
          </cell>
          <cell r="AE549" t="str">
            <v>V1 - Existing / No Claim</v>
          </cell>
          <cell r="AF549">
            <v>42235</v>
          </cell>
          <cell r="AG549">
            <v>9.17</v>
          </cell>
          <cell r="AH549" t="str">
            <v>PPM</v>
          </cell>
          <cell r="AI549" t="str">
            <v>Strands</v>
          </cell>
          <cell r="AJ549" t="str">
            <v>Strands PW</v>
          </cell>
        </row>
        <row r="550">
          <cell r="A550" t="str">
            <v>IKN400068</v>
          </cell>
          <cell r="B550">
            <v>68</v>
          </cell>
          <cell r="C550" t="str">
            <v>Institut Kanser Negara</v>
          </cell>
          <cell r="D550" t="str">
            <v>KKM/IKN/H/13/952</v>
          </cell>
          <cell r="E550" t="str">
            <v>16-924</v>
          </cell>
          <cell r="F550" t="str">
            <v>Infusion Pumps, Patient-Controlled Analgesic</v>
          </cell>
          <cell r="G550" t="str">
            <v>IC</v>
          </cell>
          <cell r="H550" t="str">
            <v>INTENSIVE CARE UNIT</v>
          </cell>
          <cell r="I550" t="str">
            <v>05IC108</v>
          </cell>
          <cell r="J550" t="str">
            <v>PCA</v>
          </cell>
          <cell r="K550" t="str">
            <v>BMED</v>
          </cell>
          <cell r="L550" t="str">
            <v>Normal</v>
          </cell>
          <cell r="M550" t="str">
            <v>Germany</v>
          </cell>
          <cell r="N550" t="str">
            <v>Perfusor</v>
          </cell>
          <cell r="O550" t="str">
            <v>Perfusor Space PCA</v>
          </cell>
          <cell r="P550" t="str">
            <v>187868</v>
          </cell>
          <cell r="Q550" t="str">
            <v>Not Applicable</v>
          </cell>
          <cell r="R550" t="str">
            <v>B Braun Melsungen AG</v>
          </cell>
          <cell r="S550" t="str">
            <v>B Braun Medical Supplies Sdn. Bhd.</v>
          </cell>
          <cell r="T550" t="str">
            <v>Functioning</v>
          </cell>
          <cell r="U550" t="str">
            <v>Asset</v>
          </cell>
          <cell r="V550">
            <v>16840</v>
          </cell>
          <cell r="W550" t="str">
            <v>KEW</v>
          </cell>
          <cell r="X550" t="str">
            <v>01/09/2010</v>
          </cell>
          <cell r="Y550" t="str">
            <v>KEW</v>
          </cell>
          <cell r="Z550" t="str">
            <v>16/08/2013</v>
          </cell>
          <cell r="AA550" t="str">
            <v>15/08/2015</v>
          </cell>
          <cell r="AB550" t="str">
            <v>No</v>
          </cell>
          <cell r="AC550" t="str">
            <v>31/08/2013</v>
          </cell>
          <cell r="AD550" t="str">
            <v>Good</v>
          </cell>
          <cell r="AE550" t="str">
            <v>V1 - Existing / No Claim</v>
          </cell>
          <cell r="AF550">
            <v>42235</v>
          </cell>
          <cell r="AG550">
            <v>9.17</v>
          </cell>
          <cell r="AH550" t="str">
            <v>PPM</v>
          </cell>
          <cell r="AI550" t="str">
            <v>Strands</v>
          </cell>
          <cell r="AJ550" t="str">
            <v>Strands PW</v>
          </cell>
        </row>
        <row r="551">
          <cell r="A551" t="str">
            <v>IKN400069</v>
          </cell>
          <cell r="B551">
            <v>69</v>
          </cell>
          <cell r="C551" t="str">
            <v>Institut Kanser Negara</v>
          </cell>
          <cell r="D551" t="str">
            <v>KKM/IKN/H/13/856</v>
          </cell>
          <cell r="E551" t="str">
            <v>10-849</v>
          </cell>
          <cell r="F551" t="str">
            <v>Circulatory Assist Units, Venous Return</v>
          </cell>
          <cell r="G551" t="str">
            <v>IC</v>
          </cell>
          <cell r="H551" t="str">
            <v>INTENSIVE CARE UNIT</v>
          </cell>
          <cell r="I551" t="str">
            <v>05IC111</v>
          </cell>
          <cell r="J551" t="str">
            <v>ISOL 1(-VE)</v>
          </cell>
          <cell r="K551" t="str">
            <v>BMED</v>
          </cell>
          <cell r="L551" t="str">
            <v>Normal</v>
          </cell>
          <cell r="M551" t="str">
            <v>Taiwan</v>
          </cell>
          <cell r="N551" t="str">
            <v>Vena Press</v>
          </cell>
          <cell r="O551" t="str">
            <v>Vena Press IPC</v>
          </cell>
          <cell r="P551" t="str">
            <v>C820016673</v>
          </cell>
          <cell r="Q551" t="str">
            <v>Not Applicable</v>
          </cell>
          <cell r="R551" t="str">
            <v>Prius Healthcare Solution</v>
          </cell>
          <cell r="S551" t="str">
            <v>Medika Supplies</v>
          </cell>
          <cell r="T551" t="str">
            <v>Functioning</v>
          </cell>
          <cell r="U551" t="str">
            <v>Asset</v>
          </cell>
          <cell r="V551">
            <v>13470</v>
          </cell>
          <cell r="W551" t="str">
            <v>KEW</v>
          </cell>
          <cell r="X551" t="str">
            <v>01/09/2010</v>
          </cell>
          <cell r="Y551" t="str">
            <v>KEW</v>
          </cell>
          <cell r="Z551" t="str">
            <v>16/08/2013</v>
          </cell>
          <cell r="AA551" t="str">
            <v>15/08/2015</v>
          </cell>
          <cell r="AB551" t="str">
            <v>No</v>
          </cell>
          <cell r="AC551" t="str">
            <v>31/08/2013</v>
          </cell>
          <cell r="AD551" t="str">
            <v>Good</v>
          </cell>
          <cell r="AE551" t="str">
            <v>V1 - Existing / No Claim</v>
          </cell>
          <cell r="AF551">
            <v>42235</v>
          </cell>
          <cell r="AG551">
            <v>9.17</v>
          </cell>
          <cell r="AH551" t="str">
            <v>PPM</v>
          </cell>
          <cell r="AI551" t="str">
            <v>Strands</v>
          </cell>
          <cell r="AJ551" t="str">
            <v>Strands PW</v>
          </cell>
        </row>
        <row r="552">
          <cell r="A552" t="str">
            <v>IKN400070</v>
          </cell>
          <cell r="B552">
            <v>70</v>
          </cell>
          <cell r="C552" t="str">
            <v>Institut Kanser Negara</v>
          </cell>
          <cell r="D552" t="str">
            <v>KKM/IKN/H/13/1119</v>
          </cell>
          <cell r="E552" t="str">
            <v>17-429</v>
          </cell>
          <cell r="F552" t="str">
            <v>Ventilators, Intensive Care</v>
          </cell>
          <cell r="G552" t="str">
            <v>IC</v>
          </cell>
          <cell r="H552" t="str">
            <v>INTENSIVE CARE UNIT</v>
          </cell>
          <cell r="I552" t="str">
            <v>05IC129</v>
          </cell>
          <cell r="J552" t="str">
            <v>ISOL 4 (+VE)</v>
          </cell>
          <cell r="K552" t="str">
            <v>BMED</v>
          </cell>
          <cell r="L552" t="str">
            <v>Normal</v>
          </cell>
          <cell r="M552" t="str">
            <v>Germany</v>
          </cell>
          <cell r="N552" t="str">
            <v>Evita</v>
          </cell>
          <cell r="O552" t="str">
            <v>Evita XL</v>
          </cell>
          <cell r="P552" t="str">
            <v>ASDD-0069</v>
          </cell>
          <cell r="Q552" t="str">
            <v>Not Applicable</v>
          </cell>
          <cell r="R552" t="str">
            <v>Drager Medical AG &amp; Co KGaA</v>
          </cell>
          <cell r="S552" t="str">
            <v>Beau Consortium Sdn Bhd</v>
          </cell>
          <cell r="T552" t="str">
            <v>Functioning</v>
          </cell>
          <cell r="U552" t="str">
            <v>Asset</v>
          </cell>
          <cell r="V552">
            <v>151560</v>
          </cell>
          <cell r="W552" t="str">
            <v>KEW</v>
          </cell>
          <cell r="X552" t="str">
            <v>01/09/2010</v>
          </cell>
          <cell r="Y552" t="str">
            <v>KEW</v>
          </cell>
          <cell r="Z552" t="str">
            <v>16/08/2013</v>
          </cell>
          <cell r="AA552" t="str">
            <v>15/08/2015</v>
          </cell>
          <cell r="AB552" t="str">
            <v>No</v>
          </cell>
          <cell r="AC552" t="str">
            <v>31/08/2013</v>
          </cell>
          <cell r="AD552" t="str">
            <v>Good</v>
          </cell>
          <cell r="AE552" t="str">
            <v>V1 - Existing / No Claim</v>
          </cell>
          <cell r="AF552">
            <v>42235</v>
          </cell>
          <cell r="AG552">
            <v>9.17</v>
          </cell>
          <cell r="AH552" t="str">
            <v>PPM</v>
          </cell>
          <cell r="AI552" t="str">
            <v>Strands</v>
          </cell>
          <cell r="AJ552" t="str">
            <v>Strands PW</v>
          </cell>
        </row>
        <row r="553">
          <cell r="A553" t="str">
            <v>IKN400071</v>
          </cell>
          <cell r="B553">
            <v>71</v>
          </cell>
          <cell r="C553" t="str">
            <v>Institut Kanser Negara</v>
          </cell>
          <cell r="D553" t="str">
            <v>KKM/IKN/H/13/858</v>
          </cell>
          <cell r="E553" t="str">
            <v>10-849</v>
          </cell>
          <cell r="F553" t="str">
            <v>Circulatory Assist Units, Venous Return</v>
          </cell>
          <cell r="G553" t="str">
            <v>IC</v>
          </cell>
          <cell r="H553" t="str">
            <v>INTENSIVE CARE UNIT</v>
          </cell>
          <cell r="I553" t="str">
            <v>05IC113</v>
          </cell>
          <cell r="J553" t="str">
            <v>ICU RM 2</v>
          </cell>
          <cell r="K553" t="str">
            <v>BMED</v>
          </cell>
          <cell r="L553" t="str">
            <v>Normal</v>
          </cell>
          <cell r="M553" t="str">
            <v>Taiwan</v>
          </cell>
          <cell r="N553" t="str">
            <v>Vena Press</v>
          </cell>
          <cell r="O553" t="str">
            <v>Vena Press IPC</v>
          </cell>
          <cell r="P553" t="str">
            <v>C820016799</v>
          </cell>
          <cell r="Q553" t="str">
            <v>Not Applicable</v>
          </cell>
          <cell r="R553" t="str">
            <v>Prius Healthcare Solution</v>
          </cell>
          <cell r="S553" t="str">
            <v>Medika Supplies</v>
          </cell>
          <cell r="T553" t="str">
            <v>Functioning</v>
          </cell>
          <cell r="U553" t="str">
            <v>Asset</v>
          </cell>
          <cell r="V553">
            <v>13470</v>
          </cell>
          <cell r="W553" t="str">
            <v>KEW</v>
          </cell>
          <cell r="X553" t="str">
            <v>01/09/2010</v>
          </cell>
          <cell r="Y553" t="str">
            <v>KEW</v>
          </cell>
          <cell r="Z553" t="str">
            <v>16/08/2013</v>
          </cell>
          <cell r="AA553" t="str">
            <v>15/08/2015</v>
          </cell>
          <cell r="AB553" t="str">
            <v>No</v>
          </cell>
          <cell r="AC553" t="str">
            <v>31/08/2013</v>
          </cell>
          <cell r="AD553" t="str">
            <v>Good</v>
          </cell>
          <cell r="AE553" t="str">
            <v>V1 - Existing / No Claim</v>
          </cell>
          <cell r="AF553">
            <v>42235</v>
          </cell>
          <cell r="AG553">
            <v>9.17</v>
          </cell>
          <cell r="AH553" t="str">
            <v>PPM</v>
          </cell>
          <cell r="AI553" t="str">
            <v>Strands</v>
          </cell>
          <cell r="AJ553" t="str">
            <v>Strands PW</v>
          </cell>
        </row>
        <row r="554">
          <cell r="A554" t="str">
            <v>IKN400072</v>
          </cell>
          <cell r="B554">
            <v>72</v>
          </cell>
          <cell r="C554" t="str">
            <v>Institut Kanser Negara</v>
          </cell>
          <cell r="D554" t="str">
            <v>KKM/IKN/H/13/859</v>
          </cell>
          <cell r="E554" t="str">
            <v>10-849</v>
          </cell>
          <cell r="F554" t="str">
            <v>Circulatory Assist Units, Venous Return</v>
          </cell>
          <cell r="G554" t="str">
            <v>IC</v>
          </cell>
          <cell r="H554" t="str">
            <v>INTENSIVE CARE UNIT</v>
          </cell>
          <cell r="I554" t="str">
            <v>05IC114</v>
          </cell>
          <cell r="J554" t="str">
            <v>ICU RM 3</v>
          </cell>
          <cell r="K554" t="str">
            <v>BMED</v>
          </cell>
          <cell r="L554" t="str">
            <v>Critical</v>
          </cell>
          <cell r="M554" t="str">
            <v>Taiwan</v>
          </cell>
          <cell r="N554" t="str">
            <v>Vena Press</v>
          </cell>
          <cell r="O554" t="str">
            <v>Vena Press IPC</v>
          </cell>
          <cell r="P554" t="str">
            <v>C820017537</v>
          </cell>
          <cell r="Q554" t="str">
            <v>Not Applicable</v>
          </cell>
          <cell r="R554" t="str">
            <v>Prius Healthcare Solution</v>
          </cell>
          <cell r="S554" t="str">
            <v>Medika Supplies</v>
          </cell>
          <cell r="T554" t="str">
            <v>Functioning</v>
          </cell>
          <cell r="U554" t="str">
            <v>Asset</v>
          </cell>
          <cell r="V554">
            <v>13470</v>
          </cell>
          <cell r="W554" t="str">
            <v>KEW</v>
          </cell>
          <cell r="X554" t="str">
            <v>01/09/2010</v>
          </cell>
          <cell r="Y554" t="str">
            <v>KEW</v>
          </cell>
          <cell r="Z554" t="str">
            <v>16/08/2013</v>
          </cell>
          <cell r="AA554" t="str">
            <v>15/08/2015</v>
          </cell>
          <cell r="AB554" t="str">
            <v>No</v>
          </cell>
          <cell r="AC554" t="str">
            <v>31/08/2013</v>
          </cell>
          <cell r="AD554" t="str">
            <v>Good</v>
          </cell>
          <cell r="AE554" t="str">
            <v>V1 - Existing / No Claim</v>
          </cell>
          <cell r="AF554">
            <v>42797</v>
          </cell>
          <cell r="AG554">
            <v>9.17</v>
          </cell>
          <cell r="AH554" t="str">
            <v>PPM</v>
          </cell>
          <cell r="AI554" t="str">
            <v>Strands</v>
          </cell>
          <cell r="AJ554" t="str">
            <v>Strands PW</v>
          </cell>
        </row>
        <row r="555">
          <cell r="A555" t="str">
            <v>IKN400073</v>
          </cell>
          <cell r="B555">
            <v>73</v>
          </cell>
          <cell r="C555" t="str">
            <v>Institut Kanser Negara</v>
          </cell>
          <cell r="D555" t="str">
            <v>KKM/IKN/H/13/860</v>
          </cell>
          <cell r="E555" t="str">
            <v>10-849</v>
          </cell>
          <cell r="F555" t="str">
            <v>Circulatory Assist Units, Venous Return</v>
          </cell>
          <cell r="G555" t="str">
            <v>IC</v>
          </cell>
          <cell r="H555" t="str">
            <v>INTENSIVE CARE UNIT</v>
          </cell>
          <cell r="I555" t="str">
            <v>05IC115</v>
          </cell>
          <cell r="J555" t="str">
            <v>ICU RM 4</v>
          </cell>
          <cell r="K555" t="str">
            <v>BMED</v>
          </cell>
          <cell r="L555" t="str">
            <v>Normal</v>
          </cell>
          <cell r="M555" t="str">
            <v>Taiwan</v>
          </cell>
          <cell r="N555" t="str">
            <v>Vena Press</v>
          </cell>
          <cell r="O555" t="str">
            <v>Vena Press IPC</v>
          </cell>
          <cell r="P555" t="str">
            <v>C820016532</v>
          </cell>
          <cell r="Q555" t="str">
            <v>Not Applicable</v>
          </cell>
          <cell r="R555" t="str">
            <v>Prius Healthcare Solution</v>
          </cell>
          <cell r="S555" t="str">
            <v>Medika Supplies</v>
          </cell>
          <cell r="T555" t="str">
            <v>Functioning</v>
          </cell>
          <cell r="U555" t="str">
            <v>Asset</v>
          </cell>
          <cell r="V555">
            <v>13470</v>
          </cell>
          <cell r="W555" t="str">
            <v>KEW</v>
          </cell>
          <cell r="X555" t="str">
            <v>01/09/2010</v>
          </cell>
          <cell r="Y555" t="str">
            <v>KEW</v>
          </cell>
          <cell r="Z555" t="str">
            <v>16/08/2013</v>
          </cell>
          <cell r="AA555" t="str">
            <v>15/08/2015</v>
          </cell>
          <cell r="AB555" t="str">
            <v>No</v>
          </cell>
          <cell r="AC555" t="str">
            <v>31/08/2013</v>
          </cell>
          <cell r="AD555" t="str">
            <v>Good</v>
          </cell>
          <cell r="AE555" t="str">
            <v>V1 - Existing / No Claim</v>
          </cell>
          <cell r="AF555">
            <v>42235</v>
          </cell>
          <cell r="AG555">
            <v>9.17</v>
          </cell>
          <cell r="AH555" t="str">
            <v>PPM</v>
          </cell>
          <cell r="AI555" t="str">
            <v>Strands</v>
          </cell>
          <cell r="AJ555" t="str">
            <v>Strands PW</v>
          </cell>
        </row>
        <row r="556">
          <cell r="A556" t="str">
            <v>IKN400074</v>
          </cell>
          <cell r="B556">
            <v>74</v>
          </cell>
          <cell r="C556" t="str">
            <v>Institut Kanser Negara</v>
          </cell>
          <cell r="D556" t="str">
            <v>KKM/IKN/H/13/862</v>
          </cell>
          <cell r="E556" t="str">
            <v>10-849</v>
          </cell>
          <cell r="F556" t="str">
            <v>Circulatory Assist Units, Venous Return</v>
          </cell>
          <cell r="G556" t="str">
            <v>IC</v>
          </cell>
          <cell r="H556" t="str">
            <v>INTENSIVE CARE UNIT</v>
          </cell>
          <cell r="I556" t="str">
            <v>05IC116</v>
          </cell>
          <cell r="J556" t="str">
            <v>ISOL 2 (+VE)</v>
          </cell>
          <cell r="K556" t="str">
            <v>BMED</v>
          </cell>
          <cell r="L556" t="str">
            <v>Normal</v>
          </cell>
          <cell r="M556" t="str">
            <v>Taiwan</v>
          </cell>
          <cell r="N556" t="str">
            <v>Vena Press</v>
          </cell>
          <cell r="O556" t="str">
            <v>Vena Press IPC</v>
          </cell>
          <cell r="P556" t="str">
            <v>C820017617</v>
          </cell>
          <cell r="Q556" t="str">
            <v>Not Applicable</v>
          </cell>
          <cell r="R556" t="str">
            <v>Prius Healthcare Solution</v>
          </cell>
          <cell r="S556" t="str">
            <v>Medika Supplies</v>
          </cell>
          <cell r="T556" t="str">
            <v>Functioning</v>
          </cell>
          <cell r="U556" t="str">
            <v>Asset</v>
          </cell>
          <cell r="V556">
            <v>13470</v>
          </cell>
          <cell r="W556" t="str">
            <v>KEW</v>
          </cell>
          <cell r="X556" t="str">
            <v>01/09/2010</v>
          </cell>
          <cell r="Y556" t="str">
            <v>KEW</v>
          </cell>
          <cell r="Z556" t="str">
            <v>16/08/2013</v>
          </cell>
          <cell r="AA556" t="str">
            <v>15/08/2015</v>
          </cell>
          <cell r="AB556" t="str">
            <v>No</v>
          </cell>
          <cell r="AC556" t="str">
            <v>31/08/2013</v>
          </cell>
          <cell r="AD556" t="str">
            <v>Good</v>
          </cell>
          <cell r="AE556" t="str">
            <v>V1 - Existing / No Claim</v>
          </cell>
          <cell r="AF556">
            <v>42235</v>
          </cell>
          <cell r="AG556">
            <v>9.17</v>
          </cell>
          <cell r="AH556" t="str">
            <v>PPM</v>
          </cell>
          <cell r="AI556" t="str">
            <v>Strands</v>
          </cell>
          <cell r="AJ556" t="str">
            <v>Strands PW</v>
          </cell>
        </row>
        <row r="557">
          <cell r="A557" t="str">
            <v>IKN400075</v>
          </cell>
          <cell r="B557">
            <v>75</v>
          </cell>
          <cell r="C557" t="str">
            <v>Institut Kanser Negara</v>
          </cell>
          <cell r="D557" t="str">
            <v>KKM/IKN/H/13/863</v>
          </cell>
          <cell r="E557" t="str">
            <v>10-849</v>
          </cell>
          <cell r="F557" t="str">
            <v>Circulatory Assist Units, Venous Return</v>
          </cell>
          <cell r="G557" t="str">
            <v>IC</v>
          </cell>
          <cell r="H557" t="str">
            <v>INTENSIVE CARE UNIT</v>
          </cell>
          <cell r="I557" t="str">
            <v>05IC129</v>
          </cell>
          <cell r="J557" t="str">
            <v>ISOL 4 (+VE)</v>
          </cell>
          <cell r="K557" t="str">
            <v>BMED</v>
          </cell>
          <cell r="L557" t="str">
            <v>Normal</v>
          </cell>
          <cell r="M557" t="str">
            <v>Taiwan</v>
          </cell>
          <cell r="N557" t="str">
            <v>Vena Press</v>
          </cell>
          <cell r="O557" t="str">
            <v>Vena Press IPC</v>
          </cell>
          <cell r="P557" t="str">
            <v>C820016529</v>
          </cell>
          <cell r="Q557" t="str">
            <v>Not Applicable</v>
          </cell>
          <cell r="R557" t="str">
            <v>Prius Healthcare Solution</v>
          </cell>
          <cell r="S557" t="str">
            <v>Medika Supplies</v>
          </cell>
          <cell r="T557" t="str">
            <v>Functioning</v>
          </cell>
          <cell r="U557" t="str">
            <v>Asset</v>
          </cell>
          <cell r="V557">
            <v>13470</v>
          </cell>
          <cell r="W557" t="str">
            <v>KEW</v>
          </cell>
          <cell r="X557" t="str">
            <v>01/09/2010</v>
          </cell>
          <cell r="Y557" t="str">
            <v>KEW</v>
          </cell>
          <cell r="Z557" t="str">
            <v>16/08/2013</v>
          </cell>
          <cell r="AA557" t="str">
            <v>15/08/2015</v>
          </cell>
          <cell r="AB557" t="str">
            <v>No</v>
          </cell>
          <cell r="AC557" t="str">
            <v>31/08/2013</v>
          </cell>
          <cell r="AD557" t="str">
            <v>Good</v>
          </cell>
          <cell r="AE557" t="str">
            <v>V1 - Existing / No Claim</v>
          </cell>
          <cell r="AF557">
            <v>42235</v>
          </cell>
          <cell r="AG557">
            <v>9.17</v>
          </cell>
          <cell r="AH557" t="str">
            <v>PPM</v>
          </cell>
          <cell r="AI557" t="str">
            <v>Strands</v>
          </cell>
          <cell r="AJ557" t="str">
            <v>Strands PW</v>
          </cell>
        </row>
        <row r="558">
          <cell r="A558" t="str">
            <v>IKN400076</v>
          </cell>
          <cell r="B558">
            <v>76</v>
          </cell>
          <cell r="C558" t="str">
            <v>Institut Kanser Negara</v>
          </cell>
          <cell r="D558" t="str">
            <v>KKM/IKN/H/13/864</v>
          </cell>
          <cell r="E558" t="str">
            <v>10-849</v>
          </cell>
          <cell r="F558" t="str">
            <v>Circulatory Assist Units, Venous Return</v>
          </cell>
          <cell r="G558" t="str">
            <v>IC</v>
          </cell>
          <cell r="H558" t="str">
            <v>INTENSIVE CARE UNIT</v>
          </cell>
          <cell r="I558" t="str">
            <v>05IC131</v>
          </cell>
          <cell r="J558" t="str">
            <v>ISOL 3 (+VE)</v>
          </cell>
          <cell r="K558" t="str">
            <v>BMED</v>
          </cell>
          <cell r="L558" t="str">
            <v>Critical</v>
          </cell>
          <cell r="M558" t="str">
            <v>Taiwan</v>
          </cell>
          <cell r="N558" t="str">
            <v>Vena Press</v>
          </cell>
          <cell r="O558" t="str">
            <v>Vena Press IPC</v>
          </cell>
          <cell r="P558" t="str">
            <v>C820017519</v>
          </cell>
          <cell r="Q558" t="str">
            <v>Not Applicable</v>
          </cell>
          <cell r="R558" t="str">
            <v>Prius Healthcare Solution</v>
          </cell>
          <cell r="S558" t="str">
            <v>Medika Supplies</v>
          </cell>
          <cell r="T558" t="str">
            <v>Functioning</v>
          </cell>
          <cell r="U558" t="str">
            <v>Asset</v>
          </cell>
          <cell r="V558">
            <v>13470</v>
          </cell>
          <cell r="W558" t="str">
            <v>KEW</v>
          </cell>
          <cell r="X558" t="str">
            <v>01/09/2010</v>
          </cell>
          <cell r="Y558" t="str">
            <v>KEW</v>
          </cell>
          <cell r="Z558" t="str">
            <v>16/08/2013</v>
          </cell>
          <cell r="AA558" t="str">
            <v>15/08/2015</v>
          </cell>
          <cell r="AB558" t="str">
            <v>No</v>
          </cell>
          <cell r="AC558" t="str">
            <v>31/08/2013</v>
          </cell>
          <cell r="AD558" t="str">
            <v>Good</v>
          </cell>
          <cell r="AE558" t="str">
            <v>V1 - Existing / No Claim</v>
          </cell>
          <cell r="AF558">
            <v>42797</v>
          </cell>
          <cell r="AG558">
            <v>9.17</v>
          </cell>
          <cell r="AH558" t="str">
            <v>PPM</v>
          </cell>
          <cell r="AI558" t="str">
            <v>Strands</v>
          </cell>
          <cell r="AJ558" t="str">
            <v>Strands PW</v>
          </cell>
        </row>
        <row r="559">
          <cell r="A559" t="str">
            <v>IKN400077</v>
          </cell>
          <cell r="B559">
            <v>77</v>
          </cell>
          <cell r="C559" t="str">
            <v>Institut Kanser Negara</v>
          </cell>
          <cell r="D559" t="str">
            <v>KKM/IKN/H/13/3475</v>
          </cell>
          <cell r="E559" t="str">
            <v>20-683</v>
          </cell>
          <cell r="F559" t="str">
            <v>Water Purification Systems, Reverse Osmosis, Hemodialysis, Portable</v>
          </cell>
          <cell r="G559" t="str">
            <v>IC</v>
          </cell>
          <cell r="H559" t="str">
            <v>INTENSIVE CARE UNIT</v>
          </cell>
          <cell r="I559" t="str">
            <v>05IC106</v>
          </cell>
          <cell r="J559" t="str">
            <v>EQ. ROOM</v>
          </cell>
          <cell r="K559" t="str">
            <v>BMED</v>
          </cell>
          <cell r="L559" t="str">
            <v>Critical</v>
          </cell>
          <cell r="M559" t="str">
            <v>Germany</v>
          </cell>
          <cell r="N559" t="str">
            <v>Aqua</v>
          </cell>
          <cell r="O559" t="str">
            <v>Aqua WTU125</v>
          </cell>
          <cell r="P559" t="str">
            <v>344S1544</v>
          </cell>
          <cell r="Q559" t="str">
            <v>Not Applicable</v>
          </cell>
          <cell r="R559" t="str">
            <v>Fresenius Kabi AG</v>
          </cell>
          <cell r="S559" t="str">
            <v>Fischer CW Medical</v>
          </cell>
          <cell r="T559" t="str">
            <v>Functioning</v>
          </cell>
          <cell r="U559" t="str">
            <v>Asset</v>
          </cell>
          <cell r="V559">
            <v>56534</v>
          </cell>
          <cell r="W559" t="str">
            <v>KEW</v>
          </cell>
          <cell r="X559" t="str">
            <v>01/09/2010</v>
          </cell>
          <cell r="Y559" t="str">
            <v>KEW</v>
          </cell>
          <cell r="Z559" t="str">
            <v>16/08/2013</v>
          </cell>
          <cell r="AA559" t="str">
            <v>15/08/2015</v>
          </cell>
          <cell r="AB559" t="str">
            <v>No</v>
          </cell>
          <cell r="AC559" t="str">
            <v>31/08/2013</v>
          </cell>
          <cell r="AD559" t="str">
            <v>Good</v>
          </cell>
          <cell r="AE559" t="str">
            <v>V1 - Existing / No Claim</v>
          </cell>
          <cell r="AF559">
            <v>42796</v>
          </cell>
          <cell r="AG559">
            <v>9.17</v>
          </cell>
          <cell r="AH559" t="str">
            <v>PPM</v>
          </cell>
          <cell r="AI559" t="str">
            <v>Strands</v>
          </cell>
          <cell r="AJ559" t="str">
            <v>Strands PW</v>
          </cell>
        </row>
        <row r="560">
          <cell r="A560" t="str">
            <v>IKN400078</v>
          </cell>
          <cell r="B560">
            <v>78</v>
          </cell>
          <cell r="C560" t="str">
            <v>Institut Kanser Negara</v>
          </cell>
          <cell r="D560" t="str">
            <v>KKM/IKN/H/13/1052</v>
          </cell>
          <cell r="E560" t="str">
            <v>10-613</v>
          </cell>
          <cell r="F560" t="str">
            <v>Cardiac Output Units</v>
          </cell>
          <cell r="G560" t="str">
            <v>IC</v>
          </cell>
          <cell r="H560" t="str">
            <v>INTENSIVE CARE UNIT</v>
          </cell>
          <cell r="I560" t="str">
            <v>05IC106</v>
          </cell>
          <cell r="J560" t="str">
            <v>EQ. ROOM</v>
          </cell>
          <cell r="K560" t="str">
            <v>BMED</v>
          </cell>
          <cell r="L560" t="str">
            <v>Normal</v>
          </cell>
          <cell r="M560" t="str">
            <v>Germany</v>
          </cell>
          <cell r="N560" t="str">
            <v>Picco</v>
          </cell>
          <cell r="O560" t="str">
            <v>Picco 2 Monitor, Pc8500</v>
          </cell>
          <cell r="P560" t="str">
            <v>A108500038</v>
          </cell>
          <cell r="Q560" t="str">
            <v>Not Applicable</v>
          </cell>
          <cell r="R560" t="str">
            <v>Pulsion</v>
          </cell>
          <cell r="S560" t="str">
            <v>Dyna Medicare</v>
          </cell>
          <cell r="T560" t="str">
            <v>Functioning</v>
          </cell>
          <cell r="U560" t="str">
            <v>Asset</v>
          </cell>
          <cell r="V560">
            <v>60000</v>
          </cell>
          <cell r="W560" t="str">
            <v>KEW</v>
          </cell>
          <cell r="X560" t="str">
            <v>01/09/2010</v>
          </cell>
          <cell r="Y560" t="str">
            <v>KEW</v>
          </cell>
          <cell r="Z560" t="str">
            <v>16/08/2013</v>
          </cell>
          <cell r="AA560" t="str">
            <v>15/08/2015</v>
          </cell>
          <cell r="AB560" t="str">
            <v>No</v>
          </cell>
          <cell r="AC560" t="str">
            <v>31/08/2013</v>
          </cell>
          <cell r="AD560" t="str">
            <v>Good</v>
          </cell>
          <cell r="AE560" t="str">
            <v>V1 - Existing / No Claim</v>
          </cell>
          <cell r="AF560">
            <v>42796</v>
          </cell>
          <cell r="AG560">
            <v>9.17</v>
          </cell>
          <cell r="AH560" t="str">
            <v>PPM</v>
          </cell>
          <cell r="AI560" t="str">
            <v>Strands</v>
          </cell>
          <cell r="AJ560" t="str">
            <v>Strands PW</v>
          </cell>
        </row>
        <row r="561">
          <cell r="A561" t="str">
            <v>IKN400079</v>
          </cell>
          <cell r="B561">
            <v>79</v>
          </cell>
          <cell r="C561" t="str">
            <v>Institut Kanser Negara</v>
          </cell>
          <cell r="D561" t="str">
            <v>KKM/IKN/H/13/954</v>
          </cell>
          <cell r="E561" t="str">
            <v>13-209</v>
          </cell>
          <cell r="F561" t="str">
            <v>Pumps, Enteral Feeding</v>
          </cell>
          <cell r="G561" t="str">
            <v>IC</v>
          </cell>
          <cell r="H561" t="str">
            <v>INTENSIVE CARE UNIT</v>
          </cell>
          <cell r="I561" t="str">
            <v>05IC111</v>
          </cell>
          <cell r="J561" t="str">
            <v>ISOL 1(-VE)</v>
          </cell>
          <cell r="K561" t="str">
            <v>BMED</v>
          </cell>
          <cell r="L561" t="str">
            <v>Normal</v>
          </cell>
          <cell r="M561" t="str">
            <v>USA</v>
          </cell>
          <cell r="N561" t="str">
            <v>Kangaroo</v>
          </cell>
          <cell r="O561" t="str">
            <v>Kangaroo ePump</v>
          </cell>
          <cell r="P561" t="str">
            <v>C1177266</v>
          </cell>
          <cell r="Q561" t="str">
            <v>Not Applicable</v>
          </cell>
          <cell r="R561" t="str">
            <v>Covidien</v>
          </cell>
          <cell r="S561" t="str">
            <v>Schmidt Biomedtech Sdn. Bhd.</v>
          </cell>
          <cell r="T561" t="str">
            <v>Functioning</v>
          </cell>
          <cell r="U561" t="str">
            <v>Asset</v>
          </cell>
          <cell r="V561">
            <v>6615</v>
          </cell>
          <cell r="W561" t="str">
            <v>KEW</v>
          </cell>
          <cell r="X561" t="str">
            <v>01/09/2010</v>
          </cell>
          <cell r="Y561" t="str">
            <v>KEW</v>
          </cell>
          <cell r="Z561" t="str">
            <v>16/08/2013</v>
          </cell>
          <cell r="AA561" t="str">
            <v>15/08/2015</v>
          </cell>
          <cell r="AB561" t="str">
            <v>No</v>
          </cell>
          <cell r="AC561" t="str">
            <v>31/08/2013</v>
          </cell>
          <cell r="AD561" t="str">
            <v>Good</v>
          </cell>
          <cell r="AE561" t="str">
            <v>V1 - Existing / No Claim</v>
          </cell>
          <cell r="AF561">
            <v>42235</v>
          </cell>
          <cell r="AG561">
            <v>9.17</v>
          </cell>
          <cell r="AH561" t="str">
            <v>PPM</v>
          </cell>
          <cell r="AI561" t="str">
            <v>Strands</v>
          </cell>
          <cell r="AJ561" t="str">
            <v>Strands PW</v>
          </cell>
        </row>
        <row r="562">
          <cell r="A562" t="str">
            <v>IKN400080</v>
          </cell>
          <cell r="B562">
            <v>80</v>
          </cell>
          <cell r="C562" t="str">
            <v>Institut Kanser Negara</v>
          </cell>
          <cell r="D562" t="str">
            <v>KKM/IKN/H/13/955</v>
          </cell>
          <cell r="E562" t="str">
            <v>13-209</v>
          </cell>
          <cell r="F562" t="str">
            <v>Pumps, Enteral Feeding</v>
          </cell>
          <cell r="G562" t="str">
            <v>IC</v>
          </cell>
          <cell r="H562" t="str">
            <v>INTENSIVE CARE UNIT</v>
          </cell>
          <cell r="I562" t="str">
            <v>05IC112</v>
          </cell>
          <cell r="J562" t="str">
            <v>ICU RM 1</v>
          </cell>
          <cell r="K562" t="str">
            <v>BMED</v>
          </cell>
          <cell r="L562" t="str">
            <v>Normal</v>
          </cell>
          <cell r="M562" t="str">
            <v>USA</v>
          </cell>
          <cell r="N562" t="str">
            <v>Kangaroo</v>
          </cell>
          <cell r="O562" t="str">
            <v>Kangaroo ePump</v>
          </cell>
          <cell r="P562" t="str">
            <v>C1166026</v>
          </cell>
          <cell r="Q562" t="str">
            <v>Not Applicable</v>
          </cell>
          <cell r="R562" t="str">
            <v>Covidien</v>
          </cell>
          <cell r="S562" t="str">
            <v>Schmidt Biomedtech Sdn. Bhd.</v>
          </cell>
          <cell r="T562" t="str">
            <v>Functioning</v>
          </cell>
          <cell r="U562" t="str">
            <v>Asset</v>
          </cell>
          <cell r="V562">
            <v>6615</v>
          </cell>
          <cell r="W562" t="str">
            <v>KEW</v>
          </cell>
          <cell r="X562" t="str">
            <v>01/09/2010</v>
          </cell>
          <cell r="Y562" t="str">
            <v>KEW</v>
          </cell>
          <cell r="Z562" t="str">
            <v>16/08/2013</v>
          </cell>
          <cell r="AA562" t="str">
            <v>15/08/2015</v>
          </cell>
          <cell r="AB562" t="str">
            <v>No</v>
          </cell>
          <cell r="AC562" t="str">
            <v>31/08/2013</v>
          </cell>
          <cell r="AD562" t="str">
            <v>Good</v>
          </cell>
          <cell r="AE562" t="str">
            <v>V1 - Existing / No Claim</v>
          </cell>
          <cell r="AF562">
            <v>42235</v>
          </cell>
          <cell r="AG562">
            <v>9.17</v>
          </cell>
          <cell r="AH562" t="str">
            <v>PPM</v>
          </cell>
          <cell r="AI562" t="str">
            <v>Strands</v>
          </cell>
          <cell r="AJ562" t="str">
            <v>Strands PW</v>
          </cell>
        </row>
        <row r="563">
          <cell r="A563" t="str">
            <v>IKN400082</v>
          </cell>
          <cell r="B563">
            <v>82</v>
          </cell>
          <cell r="C563" t="str">
            <v>Institut Kanser Negara</v>
          </cell>
          <cell r="D563" t="str">
            <v>KKM/IKN/H/13/957</v>
          </cell>
          <cell r="E563" t="str">
            <v>13-209</v>
          </cell>
          <cell r="F563" t="str">
            <v>Pumps, Enteral Feeding</v>
          </cell>
          <cell r="G563" t="str">
            <v>IC</v>
          </cell>
          <cell r="H563" t="str">
            <v>INTENSIVE CARE UNIT</v>
          </cell>
          <cell r="I563" t="str">
            <v>05IC114</v>
          </cell>
          <cell r="J563" t="str">
            <v>ICU RM 3</v>
          </cell>
          <cell r="K563" t="str">
            <v>BMED</v>
          </cell>
          <cell r="L563" t="str">
            <v>Normal</v>
          </cell>
          <cell r="M563" t="str">
            <v>USA</v>
          </cell>
          <cell r="N563" t="str">
            <v>Kangaroo</v>
          </cell>
          <cell r="O563" t="str">
            <v>Kangaroo ePump</v>
          </cell>
          <cell r="P563" t="str">
            <v>C1166063</v>
          </cell>
          <cell r="Q563" t="str">
            <v>Not Applicable</v>
          </cell>
          <cell r="R563" t="str">
            <v>Covidien</v>
          </cell>
          <cell r="S563" t="str">
            <v>Schmidt Biomedtech Sdn. Bhd.</v>
          </cell>
          <cell r="T563" t="str">
            <v>Functioning</v>
          </cell>
          <cell r="U563" t="str">
            <v>Asset</v>
          </cell>
          <cell r="V563">
            <v>6615</v>
          </cell>
          <cell r="W563" t="str">
            <v>KEW</v>
          </cell>
          <cell r="X563" t="str">
            <v>01/09/2010</v>
          </cell>
          <cell r="Y563" t="str">
            <v>KEW</v>
          </cell>
          <cell r="Z563" t="str">
            <v>16/08/2013</v>
          </cell>
          <cell r="AA563" t="str">
            <v>15/08/2015</v>
          </cell>
          <cell r="AB563" t="str">
            <v>No</v>
          </cell>
          <cell r="AC563" t="str">
            <v>31/08/2013</v>
          </cell>
          <cell r="AD563" t="str">
            <v>Good</v>
          </cell>
          <cell r="AE563" t="str">
            <v>V1 - Existing / No Claim</v>
          </cell>
          <cell r="AF563">
            <v>42235</v>
          </cell>
          <cell r="AG563">
            <v>9.17</v>
          </cell>
          <cell r="AH563" t="str">
            <v>PPM</v>
          </cell>
          <cell r="AI563" t="str">
            <v>Strands</v>
          </cell>
          <cell r="AJ563" t="str">
            <v>Strands PW</v>
          </cell>
        </row>
        <row r="564">
          <cell r="A564" t="str">
            <v>IKN400083</v>
          </cell>
          <cell r="B564">
            <v>83</v>
          </cell>
          <cell r="C564" t="str">
            <v>Institut Kanser Negara</v>
          </cell>
          <cell r="D564" t="str">
            <v>KKM/IKN/H/13/958</v>
          </cell>
          <cell r="E564" t="str">
            <v>13-209</v>
          </cell>
          <cell r="F564" t="str">
            <v>Pumps, Enteral Feeding</v>
          </cell>
          <cell r="G564" t="str">
            <v>IC</v>
          </cell>
          <cell r="H564" t="str">
            <v>INTENSIVE CARE UNIT</v>
          </cell>
          <cell r="I564" t="str">
            <v>05IC115</v>
          </cell>
          <cell r="J564" t="str">
            <v>ICU RM 4</v>
          </cell>
          <cell r="K564" t="str">
            <v>BMED</v>
          </cell>
          <cell r="L564" t="str">
            <v>Normal</v>
          </cell>
          <cell r="M564" t="str">
            <v>USA</v>
          </cell>
          <cell r="N564" t="str">
            <v>Kangaroo</v>
          </cell>
          <cell r="O564" t="str">
            <v>Kangaroo ePump</v>
          </cell>
          <cell r="P564" t="str">
            <v>C1166100</v>
          </cell>
          <cell r="Q564" t="str">
            <v>Not Applicable</v>
          </cell>
          <cell r="R564" t="str">
            <v>Covidien</v>
          </cell>
          <cell r="S564" t="str">
            <v>Schmidt Biomedtech Sdn. Bhd.</v>
          </cell>
          <cell r="T564" t="str">
            <v>Functioning</v>
          </cell>
          <cell r="U564" t="str">
            <v>Asset</v>
          </cell>
          <cell r="V564">
            <v>6615</v>
          </cell>
          <cell r="W564" t="str">
            <v>KEW</v>
          </cell>
          <cell r="X564" t="str">
            <v>01/09/2010</v>
          </cell>
          <cell r="Y564" t="str">
            <v>KEW</v>
          </cell>
          <cell r="Z564" t="str">
            <v>16/08/2013</v>
          </cell>
          <cell r="AA564" t="str">
            <v>15/08/2015</v>
          </cell>
          <cell r="AB564" t="str">
            <v>No</v>
          </cell>
          <cell r="AC564" t="str">
            <v>31/08/2013</v>
          </cell>
          <cell r="AD564" t="str">
            <v>Good</v>
          </cell>
          <cell r="AE564" t="str">
            <v>V1 - Existing / No Claim</v>
          </cell>
          <cell r="AF564">
            <v>42235</v>
          </cell>
          <cell r="AG564">
            <v>9.17</v>
          </cell>
          <cell r="AH564" t="str">
            <v>PPM</v>
          </cell>
          <cell r="AI564" t="str">
            <v>Strands</v>
          </cell>
          <cell r="AJ564" t="str">
            <v>Strands PW</v>
          </cell>
        </row>
        <row r="565">
          <cell r="A565" t="str">
            <v>IKN400084</v>
          </cell>
          <cell r="B565">
            <v>84</v>
          </cell>
          <cell r="C565" t="str">
            <v>Institut Kanser Negara</v>
          </cell>
          <cell r="D565" t="str">
            <v>KKM/IKN/H/13/959</v>
          </cell>
          <cell r="E565" t="str">
            <v>13-209</v>
          </cell>
          <cell r="F565" t="str">
            <v>Pumps, Enteral Feeding</v>
          </cell>
          <cell r="G565" t="str">
            <v>IC</v>
          </cell>
          <cell r="H565" t="str">
            <v>INTENSIVE CARE UNIT</v>
          </cell>
          <cell r="I565" t="str">
            <v>05IC116</v>
          </cell>
          <cell r="J565" t="str">
            <v>ISOL 2 (+VE)</v>
          </cell>
          <cell r="K565" t="str">
            <v>BMED</v>
          </cell>
          <cell r="L565" t="str">
            <v>Normal</v>
          </cell>
          <cell r="M565" t="str">
            <v>USA</v>
          </cell>
          <cell r="N565" t="str">
            <v>Kangaroo</v>
          </cell>
          <cell r="O565" t="str">
            <v>Kangaroo ePump</v>
          </cell>
          <cell r="P565" t="str">
            <v>C1166873</v>
          </cell>
          <cell r="Q565" t="str">
            <v>Not Applicable</v>
          </cell>
          <cell r="R565" t="str">
            <v>Covidien</v>
          </cell>
          <cell r="S565" t="str">
            <v>Schmidt Biomedtech Sdn. Bhd.</v>
          </cell>
          <cell r="T565" t="str">
            <v>Functioning</v>
          </cell>
          <cell r="U565" t="str">
            <v>Asset</v>
          </cell>
          <cell r="V565">
            <v>6615</v>
          </cell>
          <cell r="W565" t="str">
            <v>KEW</v>
          </cell>
          <cell r="X565" t="str">
            <v>01/09/2010</v>
          </cell>
          <cell r="Y565" t="str">
            <v>KEW</v>
          </cell>
          <cell r="Z565" t="str">
            <v>16/08/2013</v>
          </cell>
          <cell r="AA565" t="str">
            <v>15/08/2015</v>
          </cell>
          <cell r="AB565" t="str">
            <v>No</v>
          </cell>
          <cell r="AC565" t="str">
            <v>31/08/2013</v>
          </cell>
          <cell r="AD565" t="str">
            <v>Good</v>
          </cell>
          <cell r="AE565" t="str">
            <v>V1 - Existing / No Claim</v>
          </cell>
          <cell r="AF565">
            <v>42797</v>
          </cell>
          <cell r="AG565">
            <v>9.17</v>
          </cell>
          <cell r="AH565" t="str">
            <v>PPM</v>
          </cell>
          <cell r="AI565" t="str">
            <v>Strands</v>
          </cell>
          <cell r="AJ565" t="str">
            <v>Strands PW</v>
          </cell>
        </row>
        <row r="566">
          <cell r="A566" t="str">
            <v>IKN400085</v>
          </cell>
          <cell r="B566">
            <v>85</v>
          </cell>
          <cell r="C566" t="str">
            <v>Institut Kanser Negara</v>
          </cell>
          <cell r="D566" t="str">
            <v>KKM/IKN/H/13/960</v>
          </cell>
          <cell r="E566" t="str">
            <v>13-209</v>
          </cell>
          <cell r="F566" t="str">
            <v>Pumps, Enteral Feeding</v>
          </cell>
          <cell r="G566" t="str">
            <v>IC</v>
          </cell>
          <cell r="H566" t="str">
            <v>INTENSIVE CARE UNIT</v>
          </cell>
          <cell r="I566" t="str">
            <v>05IC129</v>
          </cell>
          <cell r="J566" t="str">
            <v>ISOL 4 (+VE)</v>
          </cell>
          <cell r="K566" t="str">
            <v>BMED</v>
          </cell>
          <cell r="L566" t="str">
            <v>Normal</v>
          </cell>
          <cell r="M566" t="str">
            <v>USA</v>
          </cell>
          <cell r="N566" t="str">
            <v>Kangaroo</v>
          </cell>
          <cell r="O566" t="str">
            <v>Kangaroo ePump</v>
          </cell>
          <cell r="P566" t="str">
            <v>C1176479</v>
          </cell>
          <cell r="Q566" t="str">
            <v>Not Applicable</v>
          </cell>
          <cell r="R566" t="str">
            <v>Covidien</v>
          </cell>
          <cell r="S566" t="str">
            <v>Schmidt Biomedtech Sdn. Bhd.</v>
          </cell>
          <cell r="T566" t="str">
            <v>Functioning</v>
          </cell>
          <cell r="U566" t="str">
            <v>Asset</v>
          </cell>
          <cell r="V566">
            <v>6615</v>
          </cell>
          <cell r="W566" t="str">
            <v>KEW</v>
          </cell>
          <cell r="X566" t="str">
            <v>01/09/2010</v>
          </cell>
          <cell r="Y566" t="str">
            <v>KEW</v>
          </cell>
          <cell r="Z566" t="str">
            <v>16/08/2013</v>
          </cell>
          <cell r="AA566" t="str">
            <v>15/08/2015</v>
          </cell>
          <cell r="AB566" t="str">
            <v>No</v>
          </cell>
          <cell r="AC566" t="str">
            <v>31/08/2013</v>
          </cell>
          <cell r="AD566" t="str">
            <v>Good</v>
          </cell>
          <cell r="AE566" t="str">
            <v>V1 - Existing / No Claim</v>
          </cell>
          <cell r="AF566">
            <v>42235</v>
          </cell>
          <cell r="AG566">
            <v>9.17</v>
          </cell>
          <cell r="AH566" t="str">
            <v>PPM</v>
          </cell>
          <cell r="AI566" t="str">
            <v>Strands</v>
          </cell>
          <cell r="AJ566" t="str">
            <v>Strands PW</v>
          </cell>
        </row>
        <row r="567">
          <cell r="A567" t="str">
            <v>IKN400086</v>
          </cell>
          <cell r="B567">
            <v>86</v>
          </cell>
          <cell r="C567" t="str">
            <v>Institut Kanser Negara</v>
          </cell>
          <cell r="D567" t="str">
            <v>KKM/IKN/H/13/1132</v>
          </cell>
          <cell r="E567" t="str">
            <v>13-209</v>
          </cell>
          <cell r="F567" t="str">
            <v>Pumps, Enteral Feeding</v>
          </cell>
          <cell r="G567" t="str">
            <v>IC</v>
          </cell>
          <cell r="H567" t="str">
            <v>INTENSIVE CARE UNIT</v>
          </cell>
          <cell r="I567" t="str">
            <v>05IC131</v>
          </cell>
          <cell r="J567" t="str">
            <v>ISOL 3 (+VE)</v>
          </cell>
          <cell r="K567" t="str">
            <v>BMED</v>
          </cell>
          <cell r="L567" t="str">
            <v>Normal</v>
          </cell>
          <cell r="M567" t="str">
            <v>USA</v>
          </cell>
          <cell r="N567" t="str">
            <v>Kangaroo</v>
          </cell>
          <cell r="O567" t="str">
            <v>Kangaroo ePump</v>
          </cell>
          <cell r="P567" t="str">
            <v>C1176494</v>
          </cell>
          <cell r="Q567" t="str">
            <v>Not Applicable</v>
          </cell>
          <cell r="R567" t="str">
            <v>Covidien</v>
          </cell>
          <cell r="S567" t="str">
            <v>Schmidt Biomedtech Sdn. Bhd.</v>
          </cell>
          <cell r="T567" t="str">
            <v>Functioning</v>
          </cell>
          <cell r="U567" t="str">
            <v>Asset</v>
          </cell>
          <cell r="V567">
            <v>6615</v>
          </cell>
          <cell r="W567" t="str">
            <v>KEW</v>
          </cell>
          <cell r="X567" t="str">
            <v>01/09/2010</v>
          </cell>
          <cell r="Y567" t="str">
            <v>KEW</v>
          </cell>
          <cell r="Z567" t="str">
            <v>16/08/2013</v>
          </cell>
          <cell r="AA567" t="str">
            <v>15/08/2015</v>
          </cell>
          <cell r="AB567" t="str">
            <v>No</v>
          </cell>
          <cell r="AC567" t="str">
            <v>31/08/2013</v>
          </cell>
          <cell r="AD567" t="str">
            <v>Good</v>
          </cell>
          <cell r="AE567" t="str">
            <v>V1 - Existing / No Claim</v>
          </cell>
          <cell r="AF567">
            <v>42797</v>
          </cell>
          <cell r="AG567">
            <v>9.17</v>
          </cell>
          <cell r="AH567" t="str">
            <v>PPM</v>
          </cell>
          <cell r="AI567" t="str">
            <v>Strands</v>
          </cell>
          <cell r="AJ567" t="str">
            <v>Strands PW</v>
          </cell>
        </row>
        <row r="568">
          <cell r="A568" t="str">
            <v>IKN400087</v>
          </cell>
          <cell r="B568">
            <v>87</v>
          </cell>
          <cell r="C568" t="str">
            <v>Institut Kanser Negara</v>
          </cell>
          <cell r="D568" t="str">
            <v>KKM/IKN/H/13/961</v>
          </cell>
          <cell r="E568" t="str">
            <v>13-217</v>
          </cell>
          <cell r="F568" t="str">
            <v>Infusion Pumps, Syringe</v>
          </cell>
          <cell r="G568" t="str">
            <v>IC</v>
          </cell>
          <cell r="H568" t="str">
            <v>INTENSIVE CARE UNIT</v>
          </cell>
          <cell r="I568" t="str">
            <v>05IC111</v>
          </cell>
          <cell r="J568" t="str">
            <v>ISOL 1(-VE)</v>
          </cell>
          <cell r="K568" t="str">
            <v>BMED</v>
          </cell>
          <cell r="L568" t="str">
            <v>Normal</v>
          </cell>
          <cell r="M568" t="str">
            <v>Germany</v>
          </cell>
          <cell r="N568" t="str">
            <v>Perfusor</v>
          </cell>
          <cell r="O568" t="str">
            <v>Perfusor Space</v>
          </cell>
          <cell r="P568" t="str">
            <v>143291</v>
          </cell>
          <cell r="Q568" t="str">
            <v>Not Applicable</v>
          </cell>
          <cell r="R568" t="str">
            <v>B Braun Melsungen AG</v>
          </cell>
          <cell r="S568" t="str">
            <v>B Braun Medical Supplies Sdn. Bhd.</v>
          </cell>
          <cell r="T568" t="str">
            <v>Functioning</v>
          </cell>
          <cell r="U568" t="str">
            <v>Asset</v>
          </cell>
          <cell r="V568">
            <v>10225</v>
          </cell>
          <cell r="W568" t="str">
            <v>KEW</v>
          </cell>
          <cell r="X568" t="str">
            <v>01/09/2010</v>
          </cell>
          <cell r="Y568" t="str">
            <v>KEW</v>
          </cell>
          <cell r="Z568" t="str">
            <v>16/08/2013</v>
          </cell>
          <cell r="AA568" t="str">
            <v>15/08/2015</v>
          </cell>
          <cell r="AB568" t="str">
            <v>No</v>
          </cell>
          <cell r="AC568" t="str">
            <v>31/08/2013</v>
          </cell>
          <cell r="AD568" t="str">
            <v>Good</v>
          </cell>
          <cell r="AE568" t="str">
            <v>V1 - Existing / No Claim</v>
          </cell>
          <cell r="AF568">
            <v>42235</v>
          </cell>
          <cell r="AG568">
            <v>9.17</v>
          </cell>
          <cell r="AH568" t="str">
            <v>PPM</v>
          </cell>
          <cell r="AI568" t="str">
            <v>Strands</v>
          </cell>
          <cell r="AJ568" t="str">
            <v>Strands PW</v>
          </cell>
        </row>
        <row r="569">
          <cell r="A569" t="str">
            <v>IKN400088</v>
          </cell>
          <cell r="B569">
            <v>88</v>
          </cell>
          <cell r="C569" t="str">
            <v>Institut Kanser Negara</v>
          </cell>
          <cell r="D569" t="str">
            <v>KKM/IKN/H/13/962</v>
          </cell>
          <cell r="E569" t="str">
            <v>13-217</v>
          </cell>
          <cell r="F569" t="str">
            <v>Infusion Pumps, Syringe</v>
          </cell>
          <cell r="G569" t="str">
            <v>IC</v>
          </cell>
          <cell r="H569" t="str">
            <v>INTENSIVE CARE UNIT</v>
          </cell>
          <cell r="I569" t="str">
            <v>05IC111</v>
          </cell>
          <cell r="J569" t="str">
            <v>ISOL 1(-VE)</v>
          </cell>
          <cell r="K569" t="str">
            <v>BMED</v>
          </cell>
          <cell r="L569" t="str">
            <v>Normal</v>
          </cell>
          <cell r="M569" t="str">
            <v>Germany</v>
          </cell>
          <cell r="N569" t="str">
            <v>Perfusor</v>
          </cell>
          <cell r="O569" t="str">
            <v>Perfusor Space</v>
          </cell>
          <cell r="P569" t="str">
            <v>186992</v>
          </cell>
          <cell r="Q569" t="str">
            <v>Not Applicable</v>
          </cell>
          <cell r="R569" t="str">
            <v>B Braun Melsungen AG</v>
          </cell>
          <cell r="S569" t="str">
            <v>B Braun Medical Supplies Sdn. Bhd.</v>
          </cell>
          <cell r="T569" t="str">
            <v>Functioning</v>
          </cell>
          <cell r="U569" t="str">
            <v>Asset</v>
          </cell>
          <cell r="V569">
            <v>10225</v>
          </cell>
          <cell r="W569" t="str">
            <v>KEW</v>
          </cell>
          <cell r="X569" t="str">
            <v>01/09/2010</v>
          </cell>
          <cell r="Y569" t="str">
            <v>KEW</v>
          </cell>
          <cell r="Z569" t="str">
            <v>16/08/2013</v>
          </cell>
          <cell r="AA569" t="str">
            <v>15/08/2015</v>
          </cell>
          <cell r="AB569" t="str">
            <v>No</v>
          </cell>
          <cell r="AC569" t="str">
            <v>31/08/2013</v>
          </cell>
          <cell r="AD569" t="str">
            <v>Good</v>
          </cell>
          <cell r="AE569" t="str">
            <v>V1 - Existing / No Claim</v>
          </cell>
          <cell r="AF569">
            <v>42235</v>
          </cell>
          <cell r="AG569">
            <v>9.17</v>
          </cell>
          <cell r="AH569" t="str">
            <v>PPM</v>
          </cell>
          <cell r="AI569" t="str">
            <v>Strands</v>
          </cell>
          <cell r="AJ569" t="str">
            <v>Strands PW</v>
          </cell>
        </row>
        <row r="570">
          <cell r="A570" t="str">
            <v>IKN400089</v>
          </cell>
          <cell r="B570">
            <v>89</v>
          </cell>
          <cell r="C570" t="str">
            <v>Institut Kanser Negara</v>
          </cell>
          <cell r="D570" t="str">
            <v>KKM/IKN/H/13/963</v>
          </cell>
          <cell r="E570" t="str">
            <v>13-217</v>
          </cell>
          <cell r="F570" t="str">
            <v>Infusion Pumps, Syringe</v>
          </cell>
          <cell r="G570" t="str">
            <v>IC</v>
          </cell>
          <cell r="H570" t="str">
            <v>INTENSIVE CARE UNIT</v>
          </cell>
          <cell r="I570" t="str">
            <v>05IC111</v>
          </cell>
          <cell r="J570" t="str">
            <v>ISOL 1(-VE)</v>
          </cell>
          <cell r="K570" t="str">
            <v>BMED</v>
          </cell>
          <cell r="L570" t="str">
            <v>Normal</v>
          </cell>
          <cell r="M570" t="str">
            <v>Germany</v>
          </cell>
          <cell r="N570" t="str">
            <v>Perfusor</v>
          </cell>
          <cell r="O570" t="str">
            <v>Perfusor Space</v>
          </cell>
          <cell r="P570" t="str">
            <v>186990</v>
          </cell>
          <cell r="Q570" t="str">
            <v>Not Applicable</v>
          </cell>
          <cell r="R570" t="str">
            <v>B Braun Melsungen AG</v>
          </cell>
          <cell r="S570" t="str">
            <v>B Braun Medical Supplies Sdn. Bhd.</v>
          </cell>
          <cell r="T570" t="str">
            <v>Functioning</v>
          </cell>
          <cell r="U570" t="str">
            <v>Asset</v>
          </cell>
          <cell r="V570">
            <v>10225</v>
          </cell>
          <cell r="W570" t="str">
            <v>KEW</v>
          </cell>
          <cell r="X570" t="str">
            <v>01/09/2010</v>
          </cell>
          <cell r="Y570" t="str">
            <v>KEW</v>
          </cell>
          <cell r="Z570" t="str">
            <v>16/08/2013</v>
          </cell>
          <cell r="AA570" t="str">
            <v>15/08/2015</v>
          </cell>
          <cell r="AB570" t="str">
            <v>No</v>
          </cell>
          <cell r="AC570" t="str">
            <v>31/08/2013</v>
          </cell>
          <cell r="AD570" t="str">
            <v>Good</v>
          </cell>
          <cell r="AE570" t="str">
            <v>V1 - Existing / No Claim</v>
          </cell>
          <cell r="AF570">
            <v>42235</v>
          </cell>
          <cell r="AG570">
            <v>9.17</v>
          </cell>
          <cell r="AH570" t="str">
            <v>PPM</v>
          </cell>
          <cell r="AI570" t="str">
            <v>Strands</v>
          </cell>
          <cell r="AJ570" t="str">
            <v>Strands PW</v>
          </cell>
        </row>
        <row r="571">
          <cell r="A571" t="str">
            <v>IKN400090</v>
          </cell>
          <cell r="B571">
            <v>90</v>
          </cell>
          <cell r="C571" t="str">
            <v>Institut Kanser Negara</v>
          </cell>
          <cell r="D571" t="str">
            <v>KKM/IKN/H/13/964</v>
          </cell>
          <cell r="E571" t="str">
            <v>13-217</v>
          </cell>
          <cell r="F571" t="str">
            <v>Infusion Pumps, Syringe</v>
          </cell>
          <cell r="G571" t="str">
            <v>IC</v>
          </cell>
          <cell r="H571" t="str">
            <v>INTENSIVE CARE UNIT</v>
          </cell>
          <cell r="I571" t="str">
            <v>05IC111</v>
          </cell>
          <cell r="J571" t="str">
            <v>ISOL 1(-VE)</v>
          </cell>
          <cell r="K571" t="str">
            <v>BMED</v>
          </cell>
          <cell r="L571" t="str">
            <v>Normal</v>
          </cell>
          <cell r="M571" t="str">
            <v>Germany</v>
          </cell>
          <cell r="N571" t="str">
            <v>Perfusor</v>
          </cell>
          <cell r="O571" t="str">
            <v>Perfusor Space</v>
          </cell>
          <cell r="P571" t="str">
            <v>187023</v>
          </cell>
          <cell r="Q571" t="str">
            <v>Not Applicable</v>
          </cell>
          <cell r="R571" t="str">
            <v>B Braun Melsungen AG</v>
          </cell>
          <cell r="S571" t="str">
            <v>B Braun Medical Supplies Sdn. Bhd.</v>
          </cell>
          <cell r="T571" t="str">
            <v>Functioning</v>
          </cell>
          <cell r="U571" t="str">
            <v>Asset</v>
          </cell>
          <cell r="V571">
            <v>10225</v>
          </cell>
          <cell r="W571" t="str">
            <v>KEW</v>
          </cell>
          <cell r="X571" t="str">
            <v>01/09/2010</v>
          </cell>
          <cell r="Y571" t="str">
            <v>KEW</v>
          </cell>
          <cell r="Z571" t="str">
            <v>16/08/2013</v>
          </cell>
          <cell r="AA571" t="str">
            <v>15/08/2015</v>
          </cell>
          <cell r="AB571" t="str">
            <v>No</v>
          </cell>
          <cell r="AC571" t="str">
            <v>31/08/2013</v>
          </cell>
          <cell r="AD571" t="str">
            <v>Good</v>
          </cell>
          <cell r="AE571" t="str">
            <v>V1 - Existing / No Claim</v>
          </cell>
          <cell r="AF571">
            <v>42235</v>
          </cell>
          <cell r="AG571">
            <v>9.17</v>
          </cell>
          <cell r="AH571" t="str">
            <v>PPM</v>
          </cell>
          <cell r="AI571" t="str">
            <v>Strands</v>
          </cell>
          <cell r="AJ571" t="str">
            <v>Strands PW</v>
          </cell>
        </row>
        <row r="572">
          <cell r="A572" t="str">
            <v>IKN400091</v>
          </cell>
          <cell r="B572">
            <v>91</v>
          </cell>
          <cell r="C572" t="str">
            <v>Institut Kanser Negara</v>
          </cell>
          <cell r="D572" t="str">
            <v>KKM/IKN/H/13/2054</v>
          </cell>
          <cell r="E572" t="str">
            <v>13-217</v>
          </cell>
          <cell r="F572" t="str">
            <v>Infusion Pumps, Syringe</v>
          </cell>
          <cell r="G572" t="str">
            <v>IC</v>
          </cell>
          <cell r="H572" t="str">
            <v>INTENSIVE CARE UNIT</v>
          </cell>
          <cell r="I572" t="str">
            <v>05IC111</v>
          </cell>
          <cell r="J572" t="str">
            <v>ISOL 1(-VE)</v>
          </cell>
          <cell r="K572" t="str">
            <v>BMED</v>
          </cell>
          <cell r="L572" t="str">
            <v>Normal</v>
          </cell>
          <cell r="M572" t="str">
            <v>Germany</v>
          </cell>
          <cell r="N572" t="str">
            <v>Perfusor</v>
          </cell>
          <cell r="O572" t="str">
            <v>Perfusor Space</v>
          </cell>
          <cell r="P572" t="str">
            <v>186985</v>
          </cell>
          <cell r="Q572" t="str">
            <v>Not Applicable</v>
          </cell>
          <cell r="R572" t="str">
            <v>B Braun Melsungen AG</v>
          </cell>
          <cell r="S572" t="str">
            <v>B Braun Medical Supplies Sdn. Bhd.</v>
          </cell>
          <cell r="T572" t="str">
            <v>Functioning</v>
          </cell>
          <cell r="U572" t="str">
            <v>Asset</v>
          </cell>
          <cell r="V572">
            <v>10225</v>
          </cell>
          <cell r="W572" t="str">
            <v>KEW</v>
          </cell>
          <cell r="X572" t="str">
            <v>01/09/2010</v>
          </cell>
          <cell r="Y572" t="str">
            <v>KEW</v>
          </cell>
          <cell r="Z572" t="str">
            <v>16/08/2013</v>
          </cell>
          <cell r="AA572" t="str">
            <v>15/08/2015</v>
          </cell>
          <cell r="AB572" t="str">
            <v>No</v>
          </cell>
          <cell r="AC572" t="str">
            <v>31/08/2013</v>
          </cell>
          <cell r="AD572" t="str">
            <v>Good</v>
          </cell>
          <cell r="AE572" t="str">
            <v>V1 - Existing / No Claim</v>
          </cell>
          <cell r="AF572">
            <v>42235</v>
          </cell>
          <cell r="AG572">
            <v>9.17</v>
          </cell>
          <cell r="AH572" t="str">
            <v>PPM</v>
          </cell>
          <cell r="AI572" t="str">
            <v>Strands</v>
          </cell>
          <cell r="AJ572" t="str">
            <v>Strands PW</v>
          </cell>
        </row>
        <row r="573">
          <cell r="A573" t="str">
            <v>IKN400092</v>
          </cell>
          <cell r="B573">
            <v>92</v>
          </cell>
          <cell r="C573" t="str">
            <v>Institut Kanser Negara</v>
          </cell>
          <cell r="D573" t="str">
            <v>KKM/IKN/H/13/965</v>
          </cell>
          <cell r="E573" t="str">
            <v>13-217</v>
          </cell>
          <cell r="F573" t="str">
            <v>Infusion Pumps, Syringe</v>
          </cell>
          <cell r="G573" t="str">
            <v>IC</v>
          </cell>
          <cell r="H573" t="str">
            <v>INTENSIVE CARE UNIT</v>
          </cell>
          <cell r="I573" t="str">
            <v>05IC111</v>
          </cell>
          <cell r="J573" t="str">
            <v>ISOL 1(-VE)</v>
          </cell>
          <cell r="K573" t="str">
            <v>BMED</v>
          </cell>
          <cell r="L573" t="str">
            <v>Normal</v>
          </cell>
          <cell r="M573" t="str">
            <v>Germany</v>
          </cell>
          <cell r="N573" t="str">
            <v>Perfusor</v>
          </cell>
          <cell r="O573" t="str">
            <v>Perfusor Space</v>
          </cell>
          <cell r="P573" t="str">
            <v>187048</v>
          </cell>
          <cell r="Q573" t="str">
            <v>Not Applicable</v>
          </cell>
          <cell r="R573" t="str">
            <v>B Braun Melsungen AG</v>
          </cell>
          <cell r="S573" t="str">
            <v>B Braun Medical Supplies Sdn. Bhd.</v>
          </cell>
          <cell r="T573" t="str">
            <v>Functioning</v>
          </cell>
          <cell r="U573" t="str">
            <v>Asset</v>
          </cell>
          <cell r="V573">
            <v>10225</v>
          </cell>
          <cell r="W573" t="str">
            <v>KEW</v>
          </cell>
          <cell r="X573" t="str">
            <v>01/09/2010</v>
          </cell>
          <cell r="Y573" t="str">
            <v>KEW</v>
          </cell>
          <cell r="Z573" t="str">
            <v>16/08/2013</v>
          </cell>
          <cell r="AA573" t="str">
            <v>15/08/2015</v>
          </cell>
          <cell r="AB573" t="str">
            <v>No</v>
          </cell>
          <cell r="AC573" t="str">
            <v>31/08/2013</v>
          </cell>
          <cell r="AD573" t="str">
            <v>Good</v>
          </cell>
          <cell r="AE573" t="str">
            <v>V1 - Existing / No Claim</v>
          </cell>
          <cell r="AF573">
            <v>42235</v>
          </cell>
          <cell r="AG573">
            <v>9.17</v>
          </cell>
          <cell r="AH573" t="str">
            <v>PPM</v>
          </cell>
          <cell r="AI573" t="str">
            <v>Strands</v>
          </cell>
          <cell r="AJ573" t="str">
            <v>Strands PW</v>
          </cell>
        </row>
        <row r="574">
          <cell r="A574" t="str">
            <v>IKN400093</v>
          </cell>
          <cell r="B574">
            <v>93</v>
          </cell>
          <cell r="C574" t="str">
            <v>Institut Kanser Negara</v>
          </cell>
          <cell r="D574" t="str">
            <v>KKM/IKN/H/13/966</v>
          </cell>
          <cell r="E574" t="str">
            <v>13-217</v>
          </cell>
          <cell r="F574" t="str">
            <v>Infusion Pumps, Syringe</v>
          </cell>
          <cell r="G574" t="str">
            <v>IC</v>
          </cell>
          <cell r="H574" t="str">
            <v>INTENSIVE CARE UNIT</v>
          </cell>
          <cell r="I574" t="str">
            <v>05IC112</v>
          </cell>
          <cell r="J574" t="str">
            <v>ICU RM 1</v>
          </cell>
          <cell r="K574" t="str">
            <v>BMED</v>
          </cell>
          <cell r="L574" t="str">
            <v>Normal</v>
          </cell>
          <cell r="M574" t="str">
            <v>Germany</v>
          </cell>
          <cell r="N574" t="str">
            <v>Perfusor</v>
          </cell>
          <cell r="O574" t="str">
            <v>Perfusor Space</v>
          </cell>
          <cell r="P574" t="str">
            <v>143224</v>
          </cell>
          <cell r="Q574" t="str">
            <v>Not Applicable</v>
          </cell>
          <cell r="R574" t="str">
            <v>B Braun Melsungen AG</v>
          </cell>
          <cell r="S574" t="str">
            <v>B Braun Medical Supplies Sdn. Bhd.</v>
          </cell>
          <cell r="T574" t="str">
            <v>Functioning</v>
          </cell>
          <cell r="U574" t="str">
            <v>Asset</v>
          </cell>
          <cell r="V574">
            <v>10225</v>
          </cell>
          <cell r="W574" t="str">
            <v>KEW</v>
          </cell>
          <cell r="X574" t="str">
            <v>01/09/2010</v>
          </cell>
          <cell r="Y574" t="str">
            <v>KEW</v>
          </cell>
          <cell r="Z574" t="str">
            <v>16/08/2013</v>
          </cell>
          <cell r="AA574" t="str">
            <v>15/08/2015</v>
          </cell>
          <cell r="AB574" t="str">
            <v>No</v>
          </cell>
          <cell r="AC574" t="str">
            <v>31/08/2013</v>
          </cell>
          <cell r="AD574" t="str">
            <v>Good</v>
          </cell>
          <cell r="AE574" t="str">
            <v>V1 - Existing / No Claim</v>
          </cell>
          <cell r="AF574">
            <v>42235</v>
          </cell>
          <cell r="AG574">
            <v>9.17</v>
          </cell>
          <cell r="AH574" t="str">
            <v>PPM</v>
          </cell>
          <cell r="AI574" t="str">
            <v>Strands</v>
          </cell>
          <cell r="AJ574" t="str">
            <v>Strands PW</v>
          </cell>
        </row>
        <row r="575">
          <cell r="A575" t="str">
            <v>IKN400094</v>
          </cell>
          <cell r="B575">
            <v>94</v>
          </cell>
          <cell r="C575" t="str">
            <v>Institut Kanser Negara</v>
          </cell>
          <cell r="D575" t="str">
            <v>KKM/IKN/H/13/1189</v>
          </cell>
          <cell r="E575" t="str">
            <v>13-217</v>
          </cell>
          <cell r="F575" t="str">
            <v>Infusion Pumps, Syringe</v>
          </cell>
          <cell r="G575" t="str">
            <v>IC</v>
          </cell>
          <cell r="H575" t="str">
            <v>INTENSIVE CARE UNIT</v>
          </cell>
          <cell r="I575" t="str">
            <v>05IC112</v>
          </cell>
          <cell r="J575" t="str">
            <v>ICU RM 1</v>
          </cell>
          <cell r="K575" t="str">
            <v>BMED</v>
          </cell>
          <cell r="L575" t="str">
            <v>Normal</v>
          </cell>
          <cell r="M575" t="str">
            <v>Germany</v>
          </cell>
          <cell r="N575" t="str">
            <v>Perfusor</v>
          </cell>
          <cell r="O575" t="str">
            <v>Perfusor Space</v>
          </cell>
          <cell r="P575" t="str">
            <v>143326</v>
          </cell>
          <cell r="Q575" t="str">
            <v>Not Applicable</v>
          </cell>
          <cell r="R575" t="str">
            <v>B Braun Melsungen AG</v>
          </cell>
          <cell r="S575" t="str">
            <v>B Braun Medical Supplies Sdn. Bhd.</v>
          </cell>
          <cell r="T575" t="str">
            <v>Functioning</v>
          </cell>
          <cell r="U575" t="str">
            <v>Asset</v>
          </cell>
          <cell r="V575">
            <v>10225</v>
          </cell>
          <cell r="W575" t="str">
            <v>KEW</v>
          </cell>
          <cell r="X575" t="str">
            <v>01/09/2010</v>
          </cell>
          <cell r="Y575" t="str">
            <v>KEW</v>
          </cell>
          <cell r="Z575" t="str">
            <v>16/08/2013</v>
          </cell>
          <cell r="AA575" t="str">
            <v>15/08/2015</v>
          </cell>
          <cell r="AB575" t="str">
            <v>No</v>
          </cell>
          <cell r="AC575" t="str">
            <v>31/08/2013</v>
          </cell>
          <cell r="AD575" t="str">
            <v>Good</v>
          </cell>
          <cell r="AE575" t="str">
            <v>V1 - Existing / No Claim</v>
          </cell>
          <cell r="AF575">
            <v>42235</v>
          </cell>
          <cell r="AG575">
            <v>9.17</v>
          </cell>
          <cell r="AH575" t="str">
            <v>PPM</v>
          </cell>
          <cell r="AI575" t="str">
            <v>Strands</v>
          </cell>
          <cell r="AJ575" t="str">
            <v>Strands PW SET A</v>
          </cell>
          <cell r="AK575" t="str">
            <v>CUBA CHECK IKN401165 PUNYA KEWPA</v>
          </cell>
        </row>
        <row r="576">
          <cell r="A576" t="str">
            <v>IKN400095</v>
          </cell>
          <cell r="B576">
            <v>95</v>
          </cell>
          <cell r="C576" t="str">
            <v>Institut Kanser Negara</v>
          </cell>
          <cell r="D576" t="str">
            <v>KKM/IKN/H/13/967</v>
          </cell>
          <cell r="E576" t="str">
            <v>13-217</v>
          </cell>
          <cell r="F576" t="str">
            <v>Infusion Pumps, Syringe</v>
          </cell>
          <cell r="G576" t="str">
            <v>IC</v>
          </cell>
          <cell r="H576" t="str">
            <v>INTENSIVE CARE UNIT</v>
          </cell>
          <cell r="I576" t="str">
            <v>05IC112</v>
          </cell>
          <cell r="J576" t="str">
            <v>ICU RM 1</v>
          </cell>
          <cell r="K576" t="str">
            <v>BMED</v>
          </cell>
          <cell r="L576" t="str">
            <v>Normal</v>
          </cell>
          <cell r="M576" t="str">
            <v>Germany</v>
          </cell>
          <cell r="N576" t="str">
            <v>Perfusor</v>
          </cell>
          <cell r="O576" t="str">
            <v>Perfusor Space</v>
          </cell>
          <cell r="P576" t="str">
            <v>186593</v>
          </cell>
          <cell r="Q576" t="str">
            <v>Not Applicable</v>
          </cell>
          <cell r="R576" t="str">
            <v>B Braun Melsungen AG</v>
          </cell>
          <cell r="S576" t="str">
            <v>B Braun Medical Supplies Sdn. Bhd.</v>
          </cell>
          <cell r="T576" t="str">
            <v>Functioning</v>
          </cell>
          <cell r="U576" t="str">
            <v>Asset</v>
          </cell>
          <cell r="V576">
            <v>10225</v>
          </cell>
          <cell r="W576" t="str">
            <v>KEW</v>
          </cell>
          <cell r="X576" t="str">
            <v>01/09/2010</v>
          </cell>
          <cell r="Y576" t="str">
            <v>KEW</v>
          </cell>
          <cell r="Z576" t="str">
            <v>16/08/2013</v>
          </cell>
          <cell r="AA576" t="str">
            <v>15/08/2015</v>
          </cell>
          <cell r="AB576" t="str">
            <v>No</v>
          </cell>
          <cell r="AC576" t="str">
            <v>31/08/2013</v>
          </cell>
          <cell r="AD576" t="str">
            <v>Good</v>
          </cell>
          <cell r="AE576" t="str">
            <v>V1 - Existing / No Claim</v>
          </cell>
          <cell r="AF576">
            <v>42235</v>
          </cell>
          <cell r="AG576">
            <v>9.17</v>
          </cell>
          <cell r="AH576" t="str">
            <v>PPM</v>
          </cell>
          <cell r="AI576" t="str">
            <v>Strands</v>
          </cell>
          <cell r="AJ576" t="str">
            <v>Strands PW</v>
          </cell>
        </row>
        <row r="577">
          <cell r="A577" t="str">
            <v>IKN400096</v>
          </cell>
          <cell r="B577">
            <v>96</v>
          </cell>
          <cell r="C577" t="str">
            <v>Institut Kanser Negara</v>
          </cell>
          <cell r="D577" t="str">
            <v>KKM/IKN/H/13/968</v>
          </cell>
          <cell r="E577" t="str">
            <v>13-217</v>
          </cell>
          <cell r="F577" t="str">
            <v>Infusion Pumps, Syringe</v>
          </cell>
          <cell r="G577" t="str">
            <v>IC</v>
          </cell>
          <cell r="H577" t="str">
            <v>INTENSIVE CARE UNIT</v>
          </cell>
          <cell r="I577" t="str">
            <v>05IC112</v>
          </cell>
          <cell r="J577" t="str">
            <v>ICU RM 1</v>
          </cell>
          <cell r="K577" t="str">
            <v>BMED</v>
          </cell>
          <cell r="L577" t="str">
            <v>Normal</v>
          </cell>
          <cell r="M577" t="str">
            <v>Germany</v>
          </cell>
          <cell r="N577" t="str">
            <v>Perfusor</v>
          </cell>
          <cell r="O577" t="str">
            <v>Perfusor Space</v>
          </cell>
          <cell r="P577" t="str">
            <v>186973</v>
          </cell>
          <cell r="Q577" t="str">
            <v>Not Applicable</v>
          </cell>
          <cell r="R577" t="str">
            <v>B Braun Melsungen AG</v>
          </cell>
          <cell r="S577" t="str">
            <v>B Braun Medical Supplies Sdn. Bhd.</v>
          </cell>
          <cell r="T577" t="str">
            <v>Functioning</v>
          </cell>
          <cell r="U577" t="str">
            <v>Asset</v>
          </cell>
          <cell r="V577">
            <v>10225</v>
          </cell>
          <cell r="W577" t="str">
            <v>KEW</v>
          </cell>
          <cell r="X577" t="str">
            <v>01/09/2010</v>
          </cell>
          <cell r="Y577" t="str">
            <v>KEW</v>
          </cell>
          <cell r="Z577" t="str">
            <v>16/08/2013</v>
          </cell>
          <cell r="AA577" t="str">
            <v>15/08/2015</v>
          </cell>
          <cell r="AB577" t="str">
            <v>No</v>
          </cell>
          <cell r="AC577" t="str">
            <v>31/08/2013</v>
          </cell>
          <cell r="AD577" t="str">
            <v>Good</v>
          </cell>
          <cell r="AE577" t="str">
            <v>V1 - Existing / No Claim</v>
          </cell>
          <cell r="AF577">
            <v>42235</v>
          </cell>
          <cell r="AG577">
            <v>9.17</v>
          </cell>
          <cell r="AH577" t="str">
            <v>PPM</v>
          </cell>
          <cell r="AI577" t="str">
            <v>Strands</v>
          </cell>
          <cell r="AJ577" t="str">
            <v>Strands PW</v>
          </cell>
        </row>
        <row r="578">
          <cell r="A578" t="str">
            <v>IKN400097</v>
          </cell>
          <cell r="B578">
            <v>97</v>
          </cell>
          <cell r="C578" t="str">
            <v>Institut Kanser Negara</v>
          </cell>
          <cell r="D578" t="str">
            <v>KKM/IKN/H/13/969</v>
          </cell>
          <cell r="E578" t="str">
            <v>13-217</v>
          </cell>
          <cell r="F578" t="str">
            <v>Infusion Pumps, Syringe</v>
          </cell>
          <cell r="G578" t="str">
            <v>IC</v>
          </cell>
          <cell r="H578" t="str">
            <v>INTENSIVE CARE UNIT</v>
          </cell>
          <cell r="I578" t="str">
            <v>05IC112</v>
          </cell>
          <cell r="J578" t="str">
            <v>ICU RM 1</v>
          </cell>
          <cell r="K578" t="str">
            <v>BMED</v>
          </cell>
          <cell r="L578" t="str">
            <v>Normal</v>
          </cell>
          <cell r="M578" t="str">
            <v>Germany</v>
          </cell>
          <cell r="N578" t="str">
            <v>Perfusor</v>
          </cell>
          <cell r="O578" t="str">
            <v>Perfusor Space</v>
          </cell>
          <cell r="P578" t="str">
            <v>187025</v>
          </cell>
          <cell r="Q578" t="str">
            <v>Not Applicable</v>
          </cell>
          <cell r="R578" t="str">
            <v>B Braun Melsungen AG</v>
          </cell>
          <cell r="S578" t="str">
            <v>B Braun Medical Supplies Sdn. Bhd.</v>
          </cell>
          <cell r="T578" t="str">
            <v>Functioning</v>
          </cell>
          <cell r="U578" t="str">
            <v>Asset</v>
          </cell>
          <cell r="V578">
            <v>10225</v>
          </cell>
          <cell r="W578" t="str">
            <v>KEW</v>
          </cell>
          <cell r="X578" t="str">
            <v>01/09/2010</v>
          </cell>
          <cell r="Y578" t="str">
            <v>KEW</v>
          </cell>
          <cell r="Z578" t="str">
            <v>16/08/2013</v>
          </cell>
          <cell r="AA578" t="str">
            <v>15/08/2015</v>
          </cell>
          <cell r="AB578" t="str">
            <v>No</v>
          </cell>
          <cell r="AC578" t="str">
            <v>31/08/2013</v>
          </cell>
          <cell r="AD578" t="str">
            <v>Good</v>
          </cell>
          <cell r="AE578" t="str">
            <v>V1 - Existing / No Claim</v>
          </cell>
          <cell r="AF578">
            <v>42235</v>
          </cell>
          <cell r="AG578">
            <v>9.17</v>
          </cell>
          <cell r="AH578" t="str">
            <v>PPM</v>
          </cell>
          <cell r="AI578" t="str">
            <v>Strands</v>
          </cell>
          <cell r="AJ578" t="str">
            <v>Strands PW</v>
          </cell>
        </row>
        <row r="579">
          <cell r="A579" t="str">
            <v>IKN400098</v>
          </cell>
          <cell r="B579">
            <v>98</v>
          </cell>
          <cell r="C579" t="str">
            <v>Institut Kanser Negara</v>
          </cell>
          <cell r="D579" t="str">
            <v>KKM/IKN/H/13/970</v>
          </cell>
          <cell r="E579" t="str">
            <v>13-217</v>
          </cell>
          <cell r="F579" t="str">
            <v>Infusion Pumps, Syringe</v>
          </cell>
          <cell r="G579" t="str">
            <v>IC</v>
          </cell>
          <cell r="H579" t="str">
            <v>INTENSIVE CARE UNIT</v>
          </cell>
          <cell r="I579" t="str">
            <v>05IC112</v>
          </cell>
          <cell r="J579" t="str">
            <v>ICU RM 1</v>
          </cell>
          <cell r="K579" t="str">
            <v>BMED</v>
          </cell>
          <cell r="L579" t="str">
            <v>Normal</v>
          </cell>
          <cell r="M579" t="str">
            <v>Germany</v>
          </cell>
          <cell r="N579" t="str">
            <v>Perfusor</v>
          </cell>
          <cell r="O579" t="str">
            <v>Perfusor Space</v>
          </cell>
          <cell r="P579" t="str">
            <v>187038</v>
          </cell>
          <cell r="Q579" t="str">
            <v>Not Applicable</v>
          </cell>
          <cell r="R579" t="str">
            <v>B Braun Melsungen AG</v>
          </cell>
          <cell r="S579" t="str">
            <v>B Braun Medical Supplies Sdn. Bhd.</v>
          </cell>
          <cell r="T579" t="str">
            <v>Functioning</v>
          </cell>
          <cell r="U579" t="str">
            <v>Asset</v>
          </cell>
          <cell r="V579">
            <v>10225</v>
          </cell>
          <cell r="W579" t="str">
            <v>KEW</v>
          </cell>
          <cell r="X579" t="str">
            <v>01/09/2010</v>
          </cell>
          <cell r="Y579" t="str">
            <v>KEW</v>
          </cell>
          <cell r="Z579" t="str">
            <v>16/08/2013</v>
          </cell>
          <cell r="AA579" t="str">
            <v>15/08/2015</v>
          </cell>
          <cell r="AB579" t="str">
            <v>No</v>
          </cell>
          <cell r="AC579" t="str">
            <v>31/08/2013</v>
          </cell>
          <cell r="AD579" t="str">
            <v>Good</v>
          </cell>
          <cell r="AE579" t="str">
            <v>V1 - Existing / No Claim</v>
          </cell>
          <cell r="AF579">
            <v>42235</v>
          </cell>
          <cell r="AG579">
            <v>9.17</v>
          </cell>
          <cell r="AH579" t="str">
            <v>PPM</v>
          </cell>
          <cell r="AI579" t="str">
            <v>Strands</v>
          </cell>
          <cell r="AJ579" t="str">
            <v>Strands PW</v>
          </cell>
        </row>
        <row r="580">
          <cell r="A580" t="str">
            <v>IKN400099</v>
          </cell>
          <cell r="B580">
            <v>99</v>
          </cell>
          <cell r="C580" t="str">
            <v>Institut Kanser Negara</v>
          </cell>
          <cell r="D580" t="str">
            <v>KKM/IKN/H/13/971</v>
          </cell>
          <cell r="E580" t="str">
            <v>13-217</v>
          </cell>
          <cell r="F580" t="str">
            <v>Infusion Pumps, Syringe</v>
          </cell>
          <cell r="G580" t="str">
            <v>IC</v>
          </cell>
          <cell r="H580" t="str">
            <v>INTENSIVE CARE UNIT</v>
          </cell>
          <cell r="I580" t="str">
            <v>05IC113</v>
          </cell>
          <cell r="J580" t="str">
            <v>ICU RM 2</v>
          </cell>
          <cell r="K580" t="str">
            <v>BMED</v>
          </cell>
          <cell r="L580" t="str">
            <v>Critical</v>
          </cell>
          <cell r="M580" t="str">
            <v>Germany</v>
          </cell>
          <cell r="N580" t="str">
            <v>Perfusor</v>
          </cell>
          <cell r="O580" t="str">
            <v>Perfusor Space</v>
          </cell>
          <cell r="P580" t="str">
            <v>186972</v>
          </cell>
          <cell r="Q580" t="str">
            <v>Not Applicable</v>
          </cell>
          <cell r="R580" t="str">
            <v>B Braun Melsungen AG</v>
          </cell>
          <cell r="S580" t="str">
            <v>B Braun Medical Supplies Sdn. Bhd.</v>
          </cell>
          <cell r="T580" t="str">
            <v>Functioning</v>
          </cell>
          <cell r="U580" t="str">
            <v>Asset</v>
          </cell>
          <cell r="V580">
            <v>10225</v>
          </cell>
          <cell r="W580" t="str">
            <v>KEW</v>
          </cell>
          <cell r="X580" t="str">
            <v>01/09/2010</v>
          </cell>
          <cell r="Y580" t="str">
            <v>KEW</v>
          </cell>
          <cell r="Z580" t="str">
            <v>16/08/2013</v>
          </cell>
          <cell r="AA580" t="str">
            <v>15/08/2015</v>
          </cell>
          <cell r="AB580" t="str">
            <v>No</v>
          </cell>
          <cell r="AC580" t="str">
            <v>31/08/2013</v>
          </cell>
          <cell r="AD580" t="str">
            <v>Good</v>
          </cell>
          <cell r="AE580" t="str">
            <v>V1 - Existing / No Claim</v>
          </cell>
          <cell r="AF580">
            <v>42797</v>
          </cell>
          <cell r="AG580">
            <v>9.17</v>
          </cell>
          <cell r="AH580" t="str">
            <v>PPM</v>
          </cell>
          <cell r="AI580" t="str">
            <v>Strands</v>
          </cell>
          <cell r="AJ580" t="str">
            <v>Strands PW</v>
          </cell>
        </row>
        <row r="581">
          <cell r="A581" t="str">
            <v>IKN400100</v>
          </cell>
          <cell r="B581">
            <v>100</v>
          </cell>
          <cell r="C581" t="str">
            <v>Institut Kanser Negara</v>
          </cell>
          <cell r="D581" t="str">
            <v>KKM/IKN/H/13/972</v>
          </cell>
          <cell r="E581" t="str">
            <v>13-217</v>
          </cell>
          <cell r="F581" t="str">
            <v>Infusion Pumps, Syringe</v>
          </cell>
          <cell r="G581" t="str">
            <v>IC</v>
          </cell>
          <cell r="H581" t="str">
            <v>INTENSIVE CARE UNIT</v>
          </cell>
          <cell r="I581" t="str">
            <v>05IC113</v>
          </cell>
          <cell r="J581" t="str">
            <v>ICU RM 2</v>
          </cell>
          <cell r="K581" t="str">
            <v>BMED</v>
          </cell>
          <cell r="L581" t="str">
            <v>Critical</v>
          </cell>
          <cell r="M581" t="str">
            <v>Germany</v>
          </cell>
          <cell r="N581" t="str">
            <v>Perfusor</v>
          </cell>
          <cell r="O581" t="str">
            <v>Perfusor Space</v>
          </cell>
          <cell r="P581" t="str">
            <v>186981</v>
          </cell>
          <cell r="Q581" t="str">
            <v>Not Applicable</v>
          </cell>
          <cell r="R581" t="str">
            <v>B Braun Melsungen AG</v>
          </cell>
          <cell r="S581" t="str">
            <v>B Braun Medical Supplies Sdn. Bhd.</v>
          </cell>
          <cell r="T581" t="str">
            <v>Functioning</v>
          </cell>
          <cell r="U581" t="str">
            <v>Asset</v>
          </cell>
          <cell r="V581">
            <v>10225</v>
          </cell>
          <cell r="W581" t="str">
            <v>KEW</v>
          </cell>
          <cell r="X581" t="str">
            <v>01/09/2010</v>
          </cell>
          <cell r="Y581" t="str">
            <v>KEW</v>
          </cell>
          <cell r="Z581" t="str">
            <v>16/08/2013</v>
          </cell>
          <cell r="AA581" t="str">
            <v>15/08/2015</v>
          </cell>
          <cell r="AB581" t="str">
            <v>No</v>
          </cell>
          <cell r="AC581" t="str">
            <v>31/08/2013</v>
          </cell>
          <cell r="AD581" t="str">
            <v>Good</v>
          </cell>
          <cell r="AE581" t="str">
            <v>V1 - Existing / No Claim</v>
          </cell>
          <cell r="AF581">
            <v>42797</v>
          </cell>
          <cell r="AG581">
            <v>9.17</v>
          </cell>
          <cell r="AH581" t="str">
            <v>PPM</v>
          </cell>
          <cell r="AI581" t="str">
            <v>Strands</v>
          </cell>
          <cell r="AJ581" t="str">
            <v>Strands PW</v>
          </cell>
        </row>
        <row r="582">
          <cell r="A582" t="str">
            <v>IKN400101</v>
          </cell>
          <cell r="B582">
            <v>101</v>
          </cell>
          <cell r="C582" t="str">
            <v>Institut Kanser Negara</v>
          </cell>
          <cell r="D582" t="str">
            <v>KKM/IKN/H/13/973</v>
          </cell>
          <cell r="E582" t="str">
            <v>13-217</v>
          </cell>
          <cell r="F582" t="str">
            <v>Infusion Pumps, Syringe</v>
          </cell>
          <cell r="G582" t="str">
            <v>IC</v>
          </cell>
          <cell r="H582" t="str">
            <v>INTENSIVE CARE UNIT</v>
          </cell>
          <cell r="I582" t="str">
            <v>05IC113</v>
          </cell>
          <cell r="J582" t="str">
            <v>ICU RM 2</v>
          </cell>
          <cell r="K582" t="str">
            <v>BMED</v>
          </cell>
          <cell r="L582" t="str">
            <v>Critical</v>
          </cell>
          <cell r="M582" t="str">
            <v>Germany</v>
          </cell>
          <cell r="N582" t="str">
            <v>Perfusor</v>
          </cell>
          <cell r="O582" t="str">
            <v>Perfusor Space</v>
          </cell>
          <cell r="P582" t="str">
            <v>186983</v>
          </cell>
          <cell r="Q582" t="str">
            <v>Not Applicable</v>
          </cell>
          <cell r="R582" t="str">
            <v>B Braun Melsungen AG</v>
          </cell>
          <cell r="S582" t="str">
            <v>B Braun Medical Supplies Sdn. Bhd.</v>
          </cell>
          <cell r="T582" t="str">
            <v>Functioning</v>
          </cell>
          <cell r="U582" t="str">
            <v>Asset</v>
          </cell>
          <cell r="V582">
            <v>10225</v>
          </cell>
          <cell r="W582" t="str">
            <v>KEW</v>
          </cell>
          <cell r="X582" t="str">
            <v>01/09/2010</v>
          </cell>
          <cell r="Y582" t="str">
            <v>KEW</v>
          </cell>
          <cell r="Z582" t="str">
            <v>16/08/2013</v>
          </cell>
          <cell r="AA582" t="str">
            <v>15/08/2015</v>
          </cell>
          <cell r="AB582" t="str">
            <v>No</v>
          </cell>
          <cell r="AC582" t="str">
            <v>31/08/2013</v>
          </cell>
          <cell r="AD582" t="str">
            <v>Good</v>
          </cell>
          <cell r="AE582" t="str">
            <v>V1 - Existing / No Claim</v>
          </cell>
          <cell r="AF582">
            <v>42797</v>
          </cell>
          <cell r="AG582">
            <v>9.17</v>
          </cell>
          <cell r="AH582" t="str">
            <v>PPM</v>
          </cell>
          <cell r="AI582" t="str">
            <v>Strands</v>
          </cell>
          <cell r="AJ582" t="str">
            <v>Strands PW</v>
          </cell>
        </row>
        <row r="583">
          <cell r="A583" t="str">
            <v>IKN400102</v>
          </cell>
          <cell r="B583">
            <v>102</v>
          </cell>
          <cell r="C583" t="str">
            <v>Institut Kanser Negara</v>
          </cell>
          <cell r="D583" t="str">
            <v>KKM/IKN/H/13/974</v>
          </cell>
          <cell r="E583" t="str">
            <v>13-217</v>
          </cell>
          <cell r="F583" t="str">
            <v>Infusion Pumps, Syringe</v>
          </cell>
          <cell r="G583" t="str">
            <v>IC</v>
          </cell>
          <cell r="H583" t="str">
            <v>INTENSIVE CARE UNIT</v>
          </cell>
          <cell r="I583" t="str">
            <v>05IC113</v>
          </cell>
          <cell r="J583" t="str">
            <v>ICU RM 2</v>
          </cell>
          <cell r="K583" t="str">
            <v>BMED</v>
          </cell>
          <cell r="L583" t="str">
            <v>Critical</v>
          </cell>
          <cell r="M583" t="str">
            <v>Germany</v>
          </cell>
          <cell r="N583" t="str">
            <v>Perfusor</v>
          </cell>
          <cell r="O583" t="str">
            <v>Perfusor Space</v>
          </cell>
          <cell r="P583" t="str">
            <v>187010</v>
          </cell>
          <cell r="Q583" t="str">
            <v>Not Applicable</v>
          </cell>
          <cell r="R583" t="str">
            <v>B Braun Melsungen AG</v>
          </cell>
          <cell r="S583" t="str">
            <v>B Braun Medical Supplies Sdn. Bhd.</v>
          </cell>
          <cell r="T583" t="str">
            <v>Functioning</v>
          </cell>
          <cell r="U583" t="str">
            <v>Asset</v>
          </cell>
          <cell r="V583">
            <v>10225</v>
          </cell>
          <cell r="W583" t="str">
            <v>KEW</v>
          </cell>
          <cell r="X583" t="str">
            <v>01/09/2010</v>
          </cell>
          <cell r="Y583" t="str">
            <v>KEW</v>
          </cell>
          <cell r="Z583" t="str">
            <v>16/08/2013</v>
          </cell>
          <cell r="AA583" t="str">
            <v>15/08/2015</v>
          </cell>
          <cell r="AB583" t="str">
            <v>No</v>
          </cell>
          <cell r="AC583" t="str">
            <v>31/08/2013</v>
          </cell>
          <cell r="AD583" t="str">
            <v>Good</v>
          </cell>
          <cell r="AE583" t="str">
            <v>V1 - Existing / No Claim</v>
          </cell>
          <cell r="AF583">
            <v>42797</v>
          </cell>
          <cell r="AG583">
            <v>9.17</v>
          </cell>
          <cell r="AH583" t="str">
            <v>PPM</v>
          </cell>
          <cell r="AI583" t="str">
            <v>Strands</v>
          </cell>
          <cell r="AJ583" t="str">
            <v>Strands PW</v>
          </cell>
        </row>
        <row r="584">
          <cell r="A584" t="str">
            <v>IKN400103</v>
          </cell>
          <cell r="B584">
            <v>103</v>
          </cell>
          <cell r="C584" t="str">
            <v>Institut Kanser Negara</v>
          </cell>
          <cell r="D584" t="str">
            <v>KKM/IKN/H/13/975</v>
          </cell>
          <cell r="E584" t="str">
            <v>13-217</v>
          </cell>
          <cell r="F584" t="str">
            <v>Infusion Pumps, Syringe</v>
          </cell>
          <cell r="G584" t="str">
            <v>IC</v>
          </cell>
          <cell r="H584" t="str">
            <v>INTENSIVE CARE UNIT</v>
          </cell>
          <cell r="I584" t="str">
            <v>05IC113</v>
          </cell>
          <cell r="J584" t="str">
            <v>ICU RM 2</v>
          </cell>
          <cell r="K584" t="str">
            <v>BMED</v>
          </cell>
          <cell r="L584" t="str">
            <v>Critical</v>
          </cell>
          <cell r="M584" t="str">
            <v>Germany</v>
          </cell>
          <cell r="N584" t="str">
            <v>Perfusor</v>
          </cell>
          <cell r="O584" t="str">
            <v>Perfusor Space</v>
          </cell>
          <cell r="P584" t="str">
            <v>187016</v>
          </cell>
          <cell r="Q584" t="str">
            <v>Not Applicable</v>
          </cell>
          <cell r="R584" t="str">
            <v>B Braun Melsungen AG</v>
          </cell>
          <cell r="S584" t="str">
            <v>B Braun Medical Supplies Sdn. Bhd.</v>
          </cell>
          <cell r="T584" t="str">
            <v>Functioning</v>
          </cell>
          <cell r="U584" t="str">
            <v>Asset</v>
          </cell>
          <cell r="V584">
            <v>10225</v>
          </cell>
          <cell r="W584" t="str">
            <v>KEW</v>
          </cell>
          <cell r="X584" t="str">
            <v>01/09/2010</v>
          </cell>
          <cell r="Y584" t="str">
            <v>KEW</v>
          </cell>
          <cell r="Z584" t="str">
            <v>16/08/2013</v>
          </cell>
          <cell r="AA584" t="str">
            <v>15/08/2015</v>
          </cell>
          <cell r="AB584" t="str">
            <v>No</v>
          </cell>
          <cell r="AC584" t="str">
            <v>31/08/2013</v>
          </cell>
          <cell r="AD584" t="str">
            <v>Good</v>
          </cell>
          <cell r="AE584" t="str">
            <v>V1 - Existing / No Claim</v>
          </cell>
          <cell r="AF584">
            <v>42797</v>
          </cell>
          <cell r="AG584">
            <v>9.17</v>
          </cell>
          <cell r="AH584" t="str">
            <v>PPM</v>
          </cell>
          <cell r="AI584" t="str">
            <v>Strands</v>
          </cell>
          <cell r="AJ584" t="str">
            <v>Strands PW</v>
          </cell>
        </row>
        <row r="585">
          <cell r="A585" t="str">
            <v>IKN400104</v>
          </cell>
          <cell r="B585">
            <v>104</v>
          </cell>
          <cell r="C585" t="str">
            <v>Institut Kanser Negara</v>
          </cell>
          <cell r="D585" t="str">
            <v>KKM/IKN/H/13/976</v>
          </cell>
          <cell r="E585" t="str">
            <v>13-217</v>
          </cell>
          <cell r="F585" t="str">
            <v>Infusion Pumps, Syringe</v>
          </cell>
          <cell r="G585" t="str">
            <v>IC</v>
          </cell>
          <cell r="H585" t="str">
            <v>INTENSIVE CARE UNIT</v>
          </cell>
          <cell r="I585" t="str">
            <v>05IC113</v>
          </cell>
          <cell r="J585" t="str">
            <v>ICU RM 2</v>
          </cell>
          <cell r="K585" t="str">
            <v>BMED</v>
          </cell>
          <cell r="L585" t="str">
            <v>Critical</v>
          </cell>
          <cell r="M585" t="str">
            <v>Germany</v>
          </cell>
          <cell r="N585" t="str">
            <v>Perfusor</v>
          </cell>
          <cell r="O585" t="str">
            <v>Perfusor Space</v>
          </cell>
          <cell r="P585" t="str">
            <v>187058</v>
          </cell>
          <cell r="Q585" t="str">
            <v>Not Applicable</v>
          </cell>
          <cell r="R585" t="str">
            <v>B Braun Melsungen AG</v>
          </cell>
          <cell r="S585" t="str">
            <v>B Braun Medical Supplies Sdn. Bhd.</v>
          </cell>
          <cell r="T585" t="str">
            <v>Functioning</v>
          </cell>
          <cell r="U585" t="str">
            <v>Asset</v>
          </cell>
          <cell r="V585">
            <v>10225</v>
          </cell>
          <cell r="W585" t="str">
            <v>KEW</v>
          </cell>
          <cell r="X585" t="str">
            <v>01/09/2010</v>
          </cell>
          <cell r="Y585" t="str">
            <v>KEW</v>
          </cell>
          <cell r="Z585" t="str">
            <v>16/08/2013</v>
          </cell>
          <cell r="AA585" t="str">
            <v>15/08/2015</v>
          </cell>
          <cell r="AB585" t="str">
            <v>No</v>
          </cell>
          <cell r="AC585" t="str">
            <v>31/08/2013</v>
          </cell>
          <cell r="AD585" t="str">
            <v>Good</v>
          </cell>
          <cell r="AE585" t="str">
            <v>V1 - Existing / No Claim</v>
          </cell>
          <cell r="AF585">
            <v>42797</v>
          </cell>
          <cell r="AG585">
            <v>9.17</v>
          </cell>
          <cell r="AH585" t="str">
            <v>PPM</v>
          </cell>
          <cell r="AI585" t="str">
            <v>Strands</v>
          </cell>
          <cell r="AJ585" t="str">
            <v>Strands PW</v>
          </cell>
        </row>
        <row r="586">
          <cell r="A586" t="str">
            <v>IKN400105</v>
          </cell>
          <cell r="B586">
            <v>105</v>
          </cell>
          <cell r="C586" t="str">
            <v>Institut Kanser Negara</v>
          </cell>
          <cell r="D586" t="str">
            <v>KKM/IKN/H/13/977</v>
          </cell>
          <cell r="E586" t="str">
            <v>13-217</v>
          </cell>
          <cell r="F586" t="str">
            <v>Infusion Pumps, Syringe</v>
          </cell>
          <cell r="G586" t="str">
            <v>IC</v>
          </cell>
          <cell r="H586" t="str">
            <v>INTENSIVE CARE UNIT</v>
          </cell>
          <cell r="I586" t="str">
            <v>05IC114</v>
          </cell>
          <cell r="J586" t="str">
            <v>ICU RM 3</v>
          </cell>
          <cell r="K586" t="str">
            <v>BMED</v>
          </cell>
          <cell r="L586" t="str">
            <v>Normal</v>
          </cell>
          <cell r="M586" t="str">
            <v>Germany</v>
          </cell>
          <cell r="N586" t="str">
            <v>Perfusor</v>
          </cell>
          <cell r="O586" t="str">
            <v>Perfusor Space</v>
          </cell>
          <cell r="P586" t="str">
            <v>187003</v>
          </cell>
          <cell r="Q586" t="str">
            <v>Not Applicable</v>
          </cell>
          <cell r="R586" t="str">
            <v>B Braun Melsungen AG</v>
          </cell>
          <cell r="S586" t="str">
            <v>B Braun Medical Supplies Sdn. Bhd.</v>
          </cell>
          <cell r="T586" t="str">
            <v>Functioning</v>
          </cell>
          <cell r="U586" t="str">
            <v>Asset</v>
          </cell>
          <cell r="V586">
            <v>10225</v>
          </cell>
          <cell r="W586" t="str">
            <v>KEW</v>
          </cell>
          <cell r="X586" t="str">
            <v>01/09/2010</v>
          </cell>
          <cell r="Y586" t="str">
            <v>KEW</v>
          </cell>
          <cell r="Z586" t="str">
            <v>16/08/2013</v>
          </cell>
          <cell r="AA586" t="str">
            <v>15/08/2015</v>
          </cell>
          <cell r="AB586" t="str">
            <v>No</v>
          </cell>
          <cell r="AC586" t="str">
            <v>31/08/2013</v>
          </cell>
          <cell r="AD586" t="str">
            <v>Good</v>
          </cell>
          <cell r="AE586" t="str">
            <v>V1 - Existing / No Claim</v>
          </cell>
          <cell r="AF586">
            <v>42235</v>
          </cell>
          <cell r="AG586">
            <v>9.17</v>
          </cell>
          <cell r="AH586" t="str">
            <v>PPM</v>
          </cell>
          <cell r="AI586" t="str">
            <v>Strands</v>
          </cell>
          <cell r="AJ586" t="str">
            <v>Strands PW</v>
          </cell>
        </row>
        <row r="587">
          <cell r="A587" t="str">
            <v>IKN400106</v>
          </cell>
          <cell r="B587">
            <v>106</v>
          </cell>
          <cell r="C587" t="str">
            <v>Institut Kanser Negara</v>
          </cell>
          <cell r="D587" t="str">
            <v>KKM/IKN/H/13/978</v>
          </cell>
          <cell r="E587" t="str">
            <v>13-217</v>
          </cell>
          <cell r="F587" t="str">
            <v>Infusion Pumps, Syringe</v>
          </cell>
          <cell r="G587" t="str">
            <v>IC</v>
          </cell>
          <cell r="H587" t="str">
            <v>INTENSIVE CARE UNIT</v>
          </cell>
          <cell r="I587" t="str">
            <v>05IC114</v>
          </cell>
          <cell r="J587" t="str">
            <v>ICU RM 3</v>
          </cell>
          <cell r="K587" t="str">
            <v>BMED</v>
          </cell>
          <cell r="L587" t="str">
            <v>Normal</v>
          </cell>
          <cell r="M587" t="str">
            <v>Germany</v>
          </cell>
          <cell r="N587" t="str">
            <v>Perfusor</v>
          </cell>
          <cell r="O587" t="str">
            <v>Perfusor Space</v>
          </cell>
          <cell r="P587">
            <v>187029</v>
          </cell>
          <cell r="Q587" t="str">
            <v>Not Applicable</v>
          </cell>
          <cell r="R587" t="str">
            <v>B Braun Melsungen AG</v>
          </cell>
          <cell r="S587" t="str">
            <v>B Braun Medical Supplies Sdn. Bhd.</v>
          </cell>
          <cell r="T587" t="str">
            <v>Functioning</v>
          </cell>
          <cell r="U587" t="str">
            <v>Asset</v>
          </cell>
          <cell r="V587">
            <v>10225</v>
          </cell>
          <cell r="W587" t="str">
            <v>KEW</v>
          </cell>
          <cell r="X587" t="str">
            <v>01/09/2010</v>
          </cell>
          <cell r="Y587" t="str">
            <v>KEW</v>
          </cell>
          <cell r="Z587" t="str">
            <v>16/08/2013</v>
          </cell>
          <cell r="AA587" t="str">
            <v>15/08/2015</v>
          </cell>
          <cell r="AB587" t="str">
            <v>No</v>
          </cell>
          <cell r="AC587" t="str">
            <v>31/08/2013</v>
          </cell>
          <cell r="AD587" t="str">
            <v>Good</v>
          </cell>
          <cell r="AE587" t="str">
            <v>V1 - Existing / No Claim</v>
          </cell>
          <cell r="AF587">
            <v>42235</v>
          </cell>
          <cell r="AG587">
            <v>9.17</v>
          </cell>
          <cell r="AH587" t="str">
            <v>PPM</v>
          </cell>
          <cell r="AI587" t="str">
            <v>Strands</v>
          </cell>
          <cell r="AJ587" t="str">
            <v>Strands PW</v>
          </cell>
        </row>
        <row r="588">
          <cell r="A588" t="str">
            <v>IKN400107</v>
          </cell>
          <cell r="B588">
            <v>107</v>
          </cell>
          <cell r="C588" t="str">
            <v>Institut Kanser Negara</v>
          </cell>
          <cell r="D588" t="str">
            <v>KKM/IKN/H/13/979</v>
          </cell>
          <cell r="E588" t="str">
            <v>13-217</v>
          </cell>
          <cell r="F588" t="str">
            <v>Infusion Pumps, Syringe</v>
          </cell>
          <cell r="G588" t="str">
            <v>IC</v>
          </cell>
          <cell r="H588" t="str">
            <v>INTENSIVE CARE UNIT</v>
          </cell>
          <cell r="I588" t="str">
            <v>05IC114</v>
          </cell>
          <cell r="J588" t="str">
            <v>ICU RM 3</v>
          </cell>
          <cell r="K588" t="str">
            <v>BMED</v>
          </cell>
          <cell r="L588" t="str">
            <v>Normal</v>
          </cell>
          <cell r="M588" t="str">
            <v>Germany</v>
          </cell>
          <cell r="N588" t="str">
            <v>Perfusor</v>
          </cell>
          <cell r="O588" t="str">
            <v>Perfusor Space</v>
          </cell>
          <cell r="P588" t="str">
            <v>143347</v>
          </cell>
          <cell r="Q588" t="str">
            <v>Not Applicable</v>
          </cell>
          <cell r="R588" t="str">
            <v>B Braun Melsungen AG</v>
          </cell>
          <cell r="S588" t="str">
            <v>B Braun Medical Supplies Sdn. Bhd.</v>
          </cell>
          <cell r="T588" t="str">
            <v>Functioning</v>
          </cell>
          <cell r="U588" t="str">
            <v>Asset</v>
          </cell>
          <cell r="V588">
            <v>10225</v>
          </cell>
          <cell r="W588" t="str">
            <v>KEW</v>
          </cell>
          <cell r="X588" t="str">
            <v>01/09/2010</v>
          </cell>
          <cell r="Y588" t="str">
            <v>KEW</v>
          </cell>
          <cell r="Z588" t="str">
            <v>16/08/2013</v>
          </cell>
          <cell r="AA588" t="str">
            <v>15/08/2015</v>
          </cell>
          <cell r="AB588" t="str">
            <v>No</v>
          </cell>
          <cell r="AC588" t="str">
            <v>31/08/2013</v>
          </cell>
          <cell r="AD588" t="str">
            <v>Good</v>
          </cell>
          <cell r="AE588" t="str">
            <v>V1 - Existing / No Claim</v>
          </cell>
          <cell r="AF588">
            <v>42235</v>
          </cell>
          <cell r="AG588">
            <v>9.17</v>
          </cell>
          <cell r="AH588" t="str">
            <v>PPM</v>
          </cell>
          <cell r="AI588" t="str">
            <v>Strands</v>
          </cell>
          <cell r="AJ588" t="str">
            <v>Strands PW</v>
          </cell>
        </row>
        <row r="589">
          <cell r="A589" t="str">
            <v>IKN400108</v>
          </cell>
          <cell r="B589">
            <v>108</v>
          </cell>
          <cell r="C589" t="str">
            <v>Institut Kanser Negara</v>
          </cell>
          <cell r="D589" t="str">
            <v>KKM/IKN/H/13/980</v>
          </cell>
          <cell r="E589" t="str">
            <v>13-217</v>
          </cell>
          <cell r="F589" t="str">
            <v>Infusion Pumps, Syringe</v>
          </cell>
          <cell r="G589" t="str">
            <v>IC</v>
          </cell>
          <cell r="H589" t="str">
            <v>INTENSIVE CARE UNIT</v>
          </cell>
          <cell r="I589" t="str">
            <v>05IC114</v>
          </cell>
          <cell r="J589" t="str">
            <v>ICU RM 3</v>
          </cell>
          <cell r="K589" t="str">
            <v>BMED</v>
          </cell>
          <cell r="L589" t="str">
            <v>Normal</v>
          </cell>
          <cell r="M589" t="str">
            <v>Germany</v>
          </cell>
          <cell r="N589" t="str">
            <v>Perfusor</v>
          </cell>
          <cell r="O589" t="str">
            <v>Perfusor Space</v>
          </cell>
          <cell r="P589" t="str">
            <v>186826</v>
          </cell>
          <cell r="Q589" t="str">
            <v>Not Applicable</v>
          </cell>
          <cell r="R589" t="str">
            <v>B Braun Melsungen AG</v>
          </cell>
          <cell r="S589" t="str">
            <v>B Braun Medical Supplies Sdn. Bhd.</v>
          </cell>
          <cell r="T589" t="str">
            <v>Functioning</v>
          </cell>
          <cell r="U589" t="str">
            <v>Asset</v>
          </cell>
          <cell r="V589">
            <v>10225</v>
          </cell>
          <cell r="W589" t="str">
            <v>KEW</v>
          </cell>
          <cell r="X589" t="str">
            <v>01/09/2010</v>
          </cell>
          <cell r="Y589" t="str">
            <v>KEW</v>
          </cell>
          <cell r="Z589" t="str">
            <v>16/08/2013</v>
          </cell>
          <cell r="AA589" t="str">
            <v>15/08/2015</v>
          </cell>
          <cell r="AB589" t="str">
            <v>No</v>
          </cell>
          <cell r="AC589" t="str">
            <v>31/08/2013</v>
          </cell>
          <cell r="AD589" t="str">
            <v>Good</v>
          </cell>
          <cell r="AE589" t="str">
            <v>V1 - Existing / No Claim</v>
          </cell>
          <cell r="AF589">
            <v>42235</v>
          </cell>
          <cell r="AG589">
            <v>9.17</v>
          </cell>
          <cell r="AH589" t="str">
            <v>PPM</v>
          </cell>
          <cell r="AI589" t="str">
            <v>Strands</v>
          </cell>
          <cell r="AJ589" t="str">
            <v>Strands PW</v>
          </cell>
        </row>
        <row r="590">
          <cell r="A590" t="str">
            <v>IKN400109</v>
          </cell>
          <cell r="B590">
            <v>109</v>
          </cell>
          <cell r="C590" t="str">
            <v>Institut Kanser Negara</v>
          </cell>
          <cell r="D590" t="str">
            <v>KKM/IKN/H/13/981</v>
          </cell>
          <cell r="E590" t="str">
            <v>13-217</v>
          </cell>
          <cell r="F590" t="str">
            <v>Infusion Pumps, Syringe</v>
          </cell>
          <cell r="G590" t="str">
            <v>IC</v>
          </cell>
          <cell r="H590" t="str">
            <v>INTENSIVE CARE UNIT</v>
          </cell>
          <cell r="I590" t="str">
            <v>05IC114</v>
          </cell>
          <cell r="J590" t="str">
            <v>ICU RM 3</v>
          </cell>
          <cell r="K590" t="str">
            <v>BMED</v>
          </cell>
          <cell r="L590" t="str">
            <v>Normal</v>
          </cell>
          <cell r="M590" t="str">
            <v>Germany</v>
          </cell>
          <cell r="N590" t="str">
            <v>Perfusor</v>
          </cell>
          <cell r="O590" t="str">
            <v>Perfusor Space</v>
          </cell>
          <cell r="P590" t="str">
            <v>187013</v>
          </cell>
          <cell r="Q590" t="str">
            <v>Not Applicable</v>
          </cell>
          <cell r="R590" t="str">
            <v>B Braun Melsungen AG</v>
          </cell>
          <cell r="S590" t="str">
            <v>B Braun Medical Supplies Sdn. Bhd.</v>
          </cell>
          <cell r="T590" t="str">
            <v>Functioning</v>
          </cell>
          <cell r="U590" t="str">
            <v>Asset</v>
          </cell>
          <cell r="V590">
            <v>10225</v>
          </cell>
          <cell r="W590" t="str">
            <v>KEW</v>
          </cell>
          <cell r="X590" t="str">
            <v>01/09/2010</v>
          </cell>
          <cell r="Y590" t="str">
            <v>KEW</v>
          </cell>
          <cell r="Z590" t="str">
            <v>16/08/2013</v>
          </cell>
          <cell r="AA590" t="str">
            <v>15/08/2015</v>
          </cell>
          <cell r="AB590" t="str">
            <v>No</v>
          </cell>
          <cell r="AC590" t="str">
            <v>31/08/2013</v>
          </cell>
          <cell r="AD590" t="str">
            <v>Good</v>
          </cell>
          <cell r="AE590" t="str">
            <v>V1 - Existing / No Claim</v>
          </cell>
          <cell r="AF590">
            <v>42235</v>
          </cell>
          <cell r="AG590">
            <v>9.17</v>
          </cell>
          <cell r="AH590" t="str">
            <v>PPM</v>
          </cell>
          <cell r="AI590" t="str">
            <v>Strands</v>
          </cell>
          <cell r="AJ590" t="str">
            <v>Strands PW</v>
          </cell>
        </row>
        <row r="591">
          <cell r="A591" t="str">
            <v>IKN400110</v>
          </cell>
          <cell r="B591">
            <v>110</v>
          </cell>
          <cell r="C591" t="str">
            <v>Institut Kanser Negara</v>
          </cell>
          <cell r="D591" t="str">
            <v>KKM/IKN/H/13/982</v>
          </cell>
          <cell r="E591" t="str">
            <v>13-217</v>
          </cell>
          <cell r="F591" t="str">
            <v>Infusion Pumps, Syringe</v>
          </cell>
          <cell r="G591" t="str">
            <v>IC</v>
          </cell>
          <cell r="H591" t="str">
            <v>INTENSIVE CARE UNIT</v>
          </cell>
          <cell r="I591" t="str">
            <v>05IC114</v>
          </cell>
          <cell r="J591" t="str">
            <v>ICU RM 3</v>
          </cell>
          <cell r="K591" t="str">
            <v>BMED</v>
          </cell>
          <cell r="L591" t="str">
            <v>Normal</v>
          </cell>
          <cell r="M591" t="str">
            <v>Germany</v>
          </cell>
          <cell r="N591" t="str">
            <v>Perfusor</v>
          </cell>
          <cell r="O591" t="str">
            <v>Perfusor Space</v>
          </cell>
          <cell r="P591" t="str">
            <v>187060</v>
          </cell>
          <cell r="Q591" t="str">
            <v>Not Applicable</v>
          </cell>
          <cell r="R591" t="str">
            <v>B Braun Melsungen AG</v>
          </cell>
          <cell r="S591" t="str">
            <v>B Braun Medical Supplies Sdn. Bhd.</v>
          </cell>
          <cell r="T591" t="str">
            <v>Functioning</v>
          </cell>
          <cell r="U591" t="str">
            <v>Asset</v>
          </cell>
          <cell r="V591">
            <v>10225</v>
          </cell>
          <cell r="W591" t="str">
            <v>KEW</v>
          </cell>
          <cell r="X591" t="str">
            <v>01/09/2010</v>
          </cell>
          <cell r="Y591" t="str">
            <v>KEW</v>
          </cell>
          <cell r="Z591" t="str">
            <v>16/08/2013</v>
          </cell>
          <cell r="AA591" t="str">
            <v>15/08/2015</v>
          </cell>
          <cell r="AB591" t="str">
            <v>No</v>
          </cell>
          <cell r="AC591" t="str">
            <v>31/08/2013</v>
          </cell>
          <cell r="AD591" t="str">
            <v>Good</v>
          </cell>
          <cell r="AE591" t="str">
            <v>V1 - Existing / No Claim</v>
          </cell>
          <cell r="AF591">
            <v>42235</v>
          </cell>
          <cell r="AG591">
            <v>9.17</v>
          </cell>
          <cell r="AH591" t="str">
            <v>PPM</v>
          </cell>
          <cell r="AI591" t="str">
            <v>Strands</v>
          </cell>
          <cell r="AJ591" t="str">
            <v>Strands PW</v>
          </cell>
        </row>
        <row r="592">
          <cell r="A592" t="str">
            <v>IKN400111</v>
          </cell>
          <cell r="B592">
            <v>111</v>
          </cell>
          <cell r="C592" t="str">
            <v>Institut Kanser Negara</v>
          </cell>
          <cell r="D592" t="str">
            <v>KKM/IKN/H/13/983</v>
          </cell>
          <cell r="E592" t="str">
            <v>13-217</v>
          </cell>
          <cell r="F592" t="str">
            <v>Infusion Pumps, Syringe</v>
          </cell>
          <cell r="G592" t="str">
            <v>IC</v>
          </cell>
          <cell r="H592" t="str">
            <v>INTENSIVE CARE UNIT</v>
          </cell>
          <cell r="I592" t="str">
            <v>05IC115</v>
          </cell>
          <cell r="J592" t="str">
            <v>ICU RM 4</v>
          </cell>
          <cell r="K592" t="str">
            <v>BMED</v>
          </cell>
          <cell r="L592" t="str">
            <v>Critical</v>
          </cell>
          <cell r="M592" t="str">
            <v>Germany</v>
          </cell>
          <cell r="N592" t="str">
            <v>Perfusor</v>
          </cell>
          <cell r="O592" t="str">
            <v>Perfusor Space</v>
          </cell>
          <cell r="P592" t="str">
            <v>143340</v>
          </cell>
          <cell r="Q592" t="str">
            <v>Not Applicable</v>
          </cell>
          <cell r="R592" t="str">
            <v>B Braun Melsungen AG</v>
          </cell>
          <cell r="S592" t="str">
            <v>B Braun Medical Supplies Sdn. Bhd.</v>
          </cell>
          <cell r="T592" t="str">
            <v>Functioning</v>
          </cell>
          <cell r="U592" t="str">
            <v>Asset</v>
          </cell>
          <cell r="V592">
            <v>10225</v>
          </cell>
          <cell r="W592" t="str">
            <v>KEW</v>
          </cell>
          <cell r="X592" t="str">
            <v>01/09/2010</v>
          </cell>
          <cell r="Y592" t="str">
            <v>KEW</v>
          </cell>
          <cell r="Z592" t="str">
            <v>16/08/2013</v>
          </cell>
          <cell r="AA592" t="str">
            <v>15/08/2015</v>
          </cell>
          <cell r="AB592" t="str">
            <v>No</v>
          </cell>
          <cell r="AC592" t="str">
            <v>31/08/2013</v>
          </cell>
          <cell r="AD592" t="str">
            <v>Good</v>
          </cell>
          <cell r="AE592" t="str">
            <v>V1 - Existing / No Claim</v>
          </cell>
          <cell r="AF592">
            <v>42797</v>
          </cell>
          <cell r="AG592">
            <v>9.17</v>
          </cell>
          <cell r="AH592" t="str">
            <v>PPM</v>
          </cell>
          <cell r="AI592" t="str">
            <v>Strands</v>
          </cell>
          <cell r="AJ592" t="str">
            <v>Strands PW</v>
          </cell>
        </row>
        <row r="593">
          <cell r="A593" t="str">
            <v>IKN400112</v>
          </cell>
          <cell r="B593">
            <v>112</v>
          </cell>
          <cell r="C593" t="str">
            <v>Institut Kanser Negara</v>
          </cell>
          <cell r="D593" t="str">
            <v>KKM/IKN/H/13/984</v>
          </cell>
          <cell r="E593" t="str">
            <v>13-217</v>
          </cell>
          <cell r="F593" t="str">
            <v>Infusion Pumps, Syringe</v>
          </cell>
          <cell r="G593" t="str">
            <v>IC</v>
          </cell>
          <cell r="H593" t="str">
            <v>INTENSIVE CARE UNIT</v>
          </cell>
          <cell r="I593" t="str">
            <v>05IC115</v>
          </cell>
          <cell r="J593" t="str">
            <v>ICU RM 4</v>
          </cell>
          <cell r="K593" t="str">
            <v>BMED</v>
          </cell>
          <cell r="L593" t="str">
            <v>Critical</v>
          </cell>
          <cell r="M593" t="str">
            <v>Germany</v>
          </cell>
          <cell r="N593" t="str">
            <v>Perfusor</v>
          </cell>
          <cell r="O593" t="str">
            <v>Perfusor Space</v>
          </cell>
          <cell r="P593" t="str">
            <v>186798</v>
          </cell>
          <cell r="Q593" t="str">
            <v>Not Applicable</v>
          </cell>
          <cell r="R593" t="str">
            <v>B Braun Melsungen AG</v>
          </cell>
          <cell r="S593" t="str">
            <v>B Braun Medical Supplies Sdn. Bhd.</v>
          </cell>
          <cell r="T593" t="str">
            <v>Functioning</v>
          </cell>
          <cell r="U593" t="str">
            <v>Asset</v>
          </cell>
          <cell r="V593">
            <v>10225</v>
          </cell>
          <cell r="W593" t="str">
            <v>KEW</v>
          </cell>
          <cell r="X593" t="str">
            <v>01/09/2010</v>
          </cell>
          <cell r="Y593" t="str">
            <v>KEW</v>
          </cell>
          <cell r="Z593" t="str">
            <v>16/08/2013</v>
          </cell>
          <cell r="AA593" t="str">
            <v>15/08/2015</v>
          </cell>
          <cell r="AB593" t="str">
            <v>No</v>
          </cell>
          <cell r="AC593" t="str">
            <v>31/08/2013</v>
          </cell>
          <cell r="AD593" t="str">
            <v>Good</v>
          </cell>
          <cell r="AE593" t="str">
            <v>V1 - Existing / No Claim</v>
          </cell>
          <cell r="AF593">
            <v>42797</v>
          </cell>
          <cell r="AG593">
            <v>9.17</v>
          </cell>
          <cell r="AH593" t="str">
            <v>PPM</v>
          </cell>
          <cell r="AI593" t="str">
            <v>Strands</v>
          </cell>
          <cell r="AJ593" t="str">
            <v>Strands PW</v>
          </cell>
        </row>
        <row r="594">
          <cell r="A594" t="str">
            <v>IKN400113</v>
          </cell>
          <cell r="B594">
            <v>113</v>
          </cell>
          <cell r="C594" t="str">
            <v>Institut Kanser Negara</v>
          </cell>
          <cell r="D594" t="str">
            <v>KKM/IKN/H/13/985</v>
          </cell>
          <cell r="E594" t="str">
            <v>13-217</v>
          </cell>
          <cell r="F594" t="str">
            <v>Infusion Pumps, Syringe</v>
          </cell>
          <cell r="G594" t="str">
            <v>IC</v>
          </cell>
          <cell r="H594" t="str">
            <v>INTENSIVE CARE UNIT</v>
          </cell>
          <cell r="I594" t="str">
            <v>05IC115</v>
          </cell>
          <cell r="J594" t="str">
            <v>ICU RM 4</v>
          </cell>
          <cell r="K594" t="str">
            <v>BMED</v>
          </cell>
          <cell r="L594" t="str">
            <v>Critical</v>
          </cell>
          <cell r="M594" t="str">
            <v>Germany</v>
          </cell>
          <cell r="N594" t="str">
            <v>Perfusor</v>
          </cell>
          <cell r="O594" t="str">
            <v>Perfusor Space</v>
          </cell>
          <cell r="P594" t="str">
            <v>186986</v>
          </cell>
          <cell r="Q594" t="str">
            <v>Not Applicable</v>
          </cell>
          <cell r="R594" t="str">
            <v>B Braun Melsungen AG</v>
          </cell>
          <cell r="S594" t="str">
            <v>B Braun Medical Supplies Sdn. Bhd.</v>
          </cell>
          <cell r="T594" t="str">
            <v>Functioning</v>
          </cell>
          <cell r="U594" t="str">
            <v>Asset</v>
          </cell>
          <cell r="V594">
            <v>10225</v>
          </cell>
          <cell r="W594" t="str">
            <v>KEW</v>
          </cell>
          <cell r="X594" t="str">
            <v>01/09/2010</v>
          </cell>
          <cell r="Y594" t="str">
            <v>KEW</v>
          </cell>
          <cell r="Z594" t="str">
            <v>16/08/2013</v>
          </cell>
          <cell r="AA594" t="str">
            <v>15/08/2015</v>
          </cell>
          <cell r="AB594" t="str">
            <v>No</v>
          </cell>
          <cell r="AC594" t="str">
            <v>31/08/2013</v>
          </cell>
          <cell r="AD594" t="str">
            <v>Good</v>
          </cell>
          <cell r="AE594" t="str">
            <v>V1 - Existing / No Claim</v>
          </cell>
          <cell r="AF594">
            <v>42797</v>
          </cell>
          <cell r="AG594">
            <v>9.17</v>
          </cell>
          <cell r="AH594" t="str">
            <v>PPM</v>
          </cell>
          <cell r="AI594" t="str">
            <v>Strands</v>
          </cell>
          <cell r="AJ594" t="str">
            <v>Strands PW</v>
          </cell>
        </row>
        <row r="595">
          <cell r="A595" t="str">
            <v>IKN400114</v>
          </cell>
          <cell r="B595">
            <v>114</v>
          </cell>
          <cell r="C595" t="str">
            <v>Institut Kanser Negara</v>
          </cell>
          <cell r="D595" t="str">
            <v>KKM/IKN/H/13/986</v>
          </cell>
          <cell r="E595" t="str">
            <v>13-217</v>
          </cell>
          <cell r="F595" t="str">
            <v>Infusion Pumps, Syringe</v>
          </cell>
          <cell r="G595" t="str">
            <v>IC</v>
          </cell>
          <cell r="H595" t="str">
            <v>INTENSIVE CARE UNIT</v>
          </cell>
          <cell r="I595" t="str">
            <v>05IC115</v>
          </cell>
          <cell r="J595" t="str">
            <v>ICU RM 4</v>
          </cell>
          <cell r="K595" t="str">
            <v>BMED</v>
          </cell>
          <cell r="L595" t="str">
            <v>Critical</v>
          </cell>
          <cell r="M595" t="str">
            <v>Germany</v>
          </cell>
          <cell r="N595" t="str">
            <v>Perfusor</v>
          </cell>
          <cell r="O595" t="str">
            <v>Perfusor Space</v>
          </cell>
          <cell r="P595" t="str">
            <v>186989</v>
          </cell>
          <cell r="Q595" t="str">
            <v>Not Applicable</v>
          </cell>
          <cell r="R595" t="str">
            <v>B Braun Melsungen AG</v>
          </cell>
          <cell r="S595" t="str">
            <v>B Braun Medical Supplies Sdn. Bhd.</v>
          </cell>
          <cell r="T595" t="str">
            <v>Functioning</v>
          </cell>
          <cell r="U595" t="str">
            <v>Asset</v>
          </cell>
          <cell r="V595">
            <v>10225</v>
          </cell>
          <cell r="W595" t="str">
            <v>KEW</v>
          </cell>
          <cell r="X595" t="str">
            <v>01/09/2010</v>
          </cell>
          <cell r="Y595" t="str">
            <v>KEW</v>
          </cell>
          <cell r="Z595" t="str">
            <v>16/08/2013</v>
          </cell>
          <cell r="AA595" t="str">
            <v>15/08/2015</v>
          </cell>
          <cell r="AB595" t="str">
            <v>No</v>
          </cell>
          <cell r="AC595" t="str">
            <v>31/08/2013</v>
          </cell>
          <cell r="AD595" t="str">
            <v>Good</v>
          </cell>
          <cell r="AE595" t="str">
            <v>V1 - Existing / No Claim</v>
          </cell>
          <cell r="AF595">
            <v>42797</v>
          </cell>
          <cell r="AG595">
            <v>9.17</v>
          </cell>
          <cell r="AH595" t="str">
            <v>PPM</v>
          </cell>
          <cell r="AI595" t="str">
            <v>Strands</v>
          </cell>
          <cell r="AJ595" t="str">
            <v>Strands PW</v>
          </cell>
        </row>
        <row r="596">
          <cell r="A596" t="str">
            <v>IKN400115</v>
          </cell>
          <cell r="B596">
            <v>115</v>
          </cell>
          <cell r="C596" t="str">
            <v>Institut Kanser Negara</v>
          </cell>
          <cell r="D596" t="str">
            <v>KKM/IKN/H/13/987</v>
          </cell>
          <cell r="E596" t="str">
            <v>13-217</v>
          </cell>
          <cell r="F596" t="str">
            <v>Infusion Pumps, Syringe</v>
          </cell>
          <cell r="G596" t="str">
            <v>IC</v>
          </cell>
          <cell r="H596" t="str">
            <v>INTENSIVE CARE UNIT</v>
          </cell>
          <cell r="I596" t="str">
            <v>05IC115</v>
          </cell>
          <cell r="J596" t="str">
            <v>ICU RM 4</v>
          </cell>
          <cell r="K596" t="str">
            <v>BMED</v>
          </cell>
          <cell r="L596" t="str">
            <v>Critical</v>
          </cell>
          <cell r="M596" t="str">
            <v>Germany</v>
          </cell>
          <cell r="N596" t="str">
            <v>Perfusor</v>
          </cell>
          <cell r="O596" t="str">
            <v>Perfusor Space</v>
          </cell>
          <cell r="P596" t="str">
            <v>186997</v>
          </cell>
          <cell r="Q596" t="str">
            <v>Not Applicable</v>
          </cell>
          <cell r="R596" t="str">
            <v>B Braun Melsungen AG</v>
          </cell>
          <cell r="S596" t="str">
            <v>B Braun Medical Supplies Sdn. Bhd.</v>
          </cell>
          <cell r="T596" t="str">
            <v>Functioning</v>
          </cell>
          <cell r="U596" t="str">
            <v>Asset</v>
          </cell>
          <cell r="V596">
            <v>10225</v>
          </cell>
          <cell r="W596" t="str">
            <v>KEW</v>
          </cell>
          <cell r="X596" t="str">
            <v>01/09/2010</v>
          </cell>
          <cell r="Y596" t="str">
            <v>KEW</v>
          </cell>
          <cell r="Z596" t="str">
            <v>16/08/2013</v>
          </cell>
          <cell r="AA596" t="str">
            <v>15/08/2015</v>
          </cell>
          <cell r="AB596" t="str">
            <v>No</v>
          </cell>
          <cell r="AC596" t="str">
            <v>31/08/2013</v>
          </cell>
          <cell r="AD596" t="str">
            <v>Good</v>
          </cell>
          <cell r="AE596" t="str">
            <v>V1 - Existing / No Claim</v>
          </cell>
          <cell r="AF596">
            <v>42797</v>
          </cell>
          <cell r="AG596">
            <v>9.17</v>
          </cell>
          <cell r="AH596" t="str">
            <v>PPM</v>
          </cell>
          <cell r="AI596" t="str">
            <v>Strands</v>
          </cell>
          <cell r="AJ596" t="str">
            <v>Strands PW</v>
          </cell>
        </row>
        <row r="597">
          <cell r="A597" t="str">
            <v>IKN400116</v>
          </cell>
          <cell r="B597">
            <v>116</v>
          </cell>
          <cell r="C597" t="str">
            <v>Institut Kanser Negara</v>
          </cell>
          <cell r="D597" t="str">
            <v>KKM/IKN/H/13/988</v>
          </cell>
          <cell r="E597" t="str">
            <v>13-217</v>
          </cell>
          <cell r="F597" t="str">
            <v>Infusion Pumps, Syringe</v>
          </cell>
          <cell r="G597" t="str">
            <v>IC</v>
          </cell>
          <cell r="H597" t="str">
            <v>INTENSIVE CARE UNIT</v>
          </cell>
          <cell r="I597" t="str">
            <v>05IC115</v>
          </cell>
          <cell r="J597" t="str">
            <v>ICU RM 4</v>
          </cell>
          <cell r="K597" t="str">
            <v>BMED</v>
          </cell>
          <cell r="L597" t="str">
            <v>Critical</v>
          </cell>
          <cell r="M597" t="str">
            <v>Germany</v>
          </cell>
          <cell r="N597" t="str">
            <v>Perfusor</v>
          </cell>
          <cell r="O597" t="str">
            <v>Perfusor Space</v>
          </cell>
          <cell r="P597" t="str">
            <v>187012</v>
          </cell>
          <cell r="Q597" t="str">
            <v>Not Applicable</v>
          </cell>
          <cell r="R597" t="str">
            <v>B Braun Melsungen AG</v>
          </cell>
          <cell r="S597" t="str">
            <v>B Braun Medical Supplies Sdn. Bhd.</v>
          </cell>
          <cell r="T597" t="str">
            <v>Functioning</v>
          </cell>
          <cell r="U597" t="str">
            <v>Asset</v>
          </cell>
          <cell r="V597">
            <v>10225</v>
          </cell>
          <cell r="W597" t="str">
            <v>KEW</v>
          </cell>
          <cell r="X597" t="str">
            <v>01/09/2010</v>
          </cell>
          <cell r="Y597" t="str">
            <v>KEW</v>
          </cell>
          <cell r="Z597" t="str">
            <v>16/08/2013</v>
          </cell>
          <cell r="AA597" t="str">
            <v>15/08/2015</v>
          </cell>
          <cell r="AB597" t="str">
            <v>No</v>
          </cell>
          <cell r="AC597" t="str">
            <v>31/08/2013</v>
          </cell>
          <cell r="AD597" t="str">
            <v>Good</v>
          </cell>
          <cell r="AE597" t="str">
            <v>V1 - Existing / No Claim</v>
          </cell>
          <cell r="AF597">
            <v>42797</v>
          </cell>
          <cell r="AG597">
            <v>9.17</v>
          </cell>
          <cell r="AH597" t="str">
            <v>PPM</v>
          </cell>
          <cell r="AI597" t="str">
            <v>Strands</v>
          </cell>
          <cell r="AJ597" t="str">
            <v>Strands PW</v>
          </cell>
        </row>
        <row r="598">
          <cell r="A598" t="str">
            <v>IKN400117</v>
          </cell>
          <cell r="B598">
            <v>117</v>
          </cell>
          <cell r="C598" t="str">
            <v>Institut Kanser Negara</v>
          </cell>
          <cell r="D598" t="str">
            <v>KKM/IKN/H/13/989</v>
          </cell>
          <cell r="E598" t="str">
            <v>13-217</v>
          </cell>
          <cell r="F598" t="str">
            <v>Infusion Pumps, Syringe</v>
          </cell>
          <cell r="G598" t="str">
            <v>IC</v>
          </cell>
          <cell r="H598" t="str">
            <v>INTENSIVE CARE UNIT</v>
          </cell>
          <cell r="I598" t="str">
            <v>05IC116</v>
          </cell>
          <cell r="J598" t="str">
            <v>ISOL 2 (+VE)</v>
          </cell>
          <cell r="K598" t="str">
            <v>BMED</v>
          </cell>
          <cell r="L598" t="str">
            <v>Critical</v>
          </cell>
          <cell r="M598" t="str">
            <v>Germany</v>
          </cell>
          <cell r="N598" t="str">
            <v>Perfusor</v>
          </cell>
          <cell r="O598" t="str">
            <v>Perfusor Space</v>
          </cell>
          <cell r="P598" t="str">
            <v>143330</v>
          </cell>
          <cell r="Q598" t="str">
            <v>Not Applicable</v>
          </cell>
          <cell r="R598" t="str">
            <v>B Braun Melsungen AG</v>
          </cell>
          <cell r="S598" t="str">
            <v>B Braun Medical Supplies Sdn. Bhd.</v>
          </cell>
          <cell r="T598" t="str">
            <v>Functioning</v>
          </cell>
          <cell r="U598" t="str">
            <v>Asset</v>
          </cell>
          <cell r="V598">
            <v>10225</v>
          </cell>
          <cell r="W598" t="str">
            <v>KEW</v>
          </cell>
          <cell r="X598" t="str">
            <v>01/09/2010</v>
          </cell>
          <cell r="Y598" t="str">
            <v>KEW</v>
          </cell>
          <cell r="Z598" t="str">
            <v>16/08/2013</v>
          </cell>
          <cell r="AA598" t="str">
            <v>15/08/2015</v>
          </cell>
          <cell r="AB598" t="str">
            <v>No</v>
          </cell>
          <cell r="AC598" t="str">
            <v>31/08/2013</v>
          </cell>
          <cell r="AD598" t="str">
            <v>Good</v>
          </cell>
          <cell r="AE598" t="str">
            <v>V1 - Existing / No Claim</v>
          </cell>
          <cell r="AF598">
            <v>42797</v>
          </cell>
          <cell r="AG598">
            <v>9.17</v>
          </cell>
          <cell r="AH598" t="str">
            <v>PPM</v>
          </cell>
          <cell r="AI598" t="str">
            <v>Strands</v>
          </cell>
          <cell r="AJ598" t="str">
            <v>Strands PW</v>
          </cell>
        </row>
        <row r="599">
          <cell r="A599" t="str">
            <v>IKN400118</v>
          </cell>
          <cell r="B599">
            <v>118</v>
          </cell>
          <cell r="C599" t="str">
            <v>Institut Kanser Negara</v>
          </cell>
          <cell r="D599" t="str">
            <v>KKM/IKN/H/13/990</v>
          </cell>
          <cell r="E599" t="str">
            <v>13-217</v>
          </cell>
          <cell r="F599" t="str">
            <v>Infusion Pumps, Syringe</v>
          </cell>
          <cell r="G599" t="str">
            <v>IC</v>
          </cell>
          <cell r="H599" t="str">
            <v>INTENSIVE CARE UNIT</v>
          </cell>
          <cell r="I599" t="str">
            <v>05IC116</v>
          </cell>
          <cell r="J599" t="str">
            <v>ISOL 2 (+VE)</v>
          </cell>
          <cell r="K599" t="str">
            <v>BMED</v>
          </cell>
          <cell r="L599" t="str">
            <v>Critical</v>
          </cell>
          <cell r="M599" t="str">
            <v>Germany</v>
          </cell>
          <cell r="N599" t="str">
            <v>Perfusor</v>
          </cell>
          <cell r="O599" t="str">
            <v>Perfusor Space</v>
          </cell>
          <cell r="P599" t="str">
            <v>143331</v>
          </cell>
          <cell r="Q599" t="str">
            <v>Not Applicable</v>
          </cell>
          <cell r="R599" t="str">
            <v>B Braun Melsungen AG</v>
          </cell>
          <cell r="S599" t="str">
            <v>B Braun Medical Supplies Sdn. Bhd.</v>
          </cell>
          <cell r="T599" t="str">
            <v>Functioning</v>
          </cell>
          <cell r="U599" t="str">
            <v>Asset</v>
          </cell>
          <cell r="V599">
            <v>10225</v>
          </cell>
          <cell r="W599" t="str">
            <v>KEW</v>
          </cell>
          <cell r="X599" t="str">
            <v>01/09/2010</v>
          </cell>
          <cell r="Y599" t="str">
            <v>KEW</v>
          </cell>
          <cell r="Z599" t="str">
            <v>16/08/2013</v>
          </cell>
          <cell r="AA599" t="str">
            <v>15/08/2015</v>
          </cell>
          <cell r="AB599" t="str">
            <v>No</v>
          </cell>
          <cell r="AC599" t="str">
            <v>31/08/2013</v>
          </cell>
          <cell r="AD599" t="str">
            <v>Good</v>
          </cell>
          <cell r="AE599" t="str">
            <v>V1 - Existing / No Claim</v>
          </cell>
          <cell r="AF599">
            <v>42797</v>
          </cell>
          <cell r="AG599">
            <v>9.17</v>
          </cell>
          <cell r="AH599" t="str">
            <v>PPM</v>
          </cell>
          <cell r="AI599" t="str">
            <v>Strands</v>
          </cell>
          <cell r="AJ599" t="str">
            <v>Strands PW</v>
          </cell>
        </row>
        <row r="600">
          <cell r="A600" t="str">
            <v>IKN400119</v>
          </cell>
          <cell r="B600">
            <v>119</v>
          </cell>
          <cell r="C600" t="str">
            <v>Institut Kanser Negara</v>
          </cell>
          <cell r="D600" t="str">
            <v>KKM/IKN/H/13/1007</v>
          </cell>
          <cell r="E600" t="str">
            <v>13-217</v>
          </cell>
          <cell r="F600" t="str">
            <v>Infusion Pumps, Syringe</v>
          </cell>
          <cell r="G600" t="str">
            <v>IC</v>
          </cell>
          <cell r="H600" t="str">
            <v>INTENSIVE CARE UNIT</v>
          </cell>
          <cell r="I600" t="str">
            <v>05IC116</v>
          </cell>
          <cell r="J600" t="str">
            <v>ISOL 2 (+VE)</v>
          </cell>
          <cell r="K600" t="str">
            <v>BMED</v>
          </cell>
          <cell r="L600" t="str">
            <v>Critical</v>
          </cell>
          <cell r="M600" t="str">
            <v>Germany</v>
          </cell>
          <cell r="N600" t="str">
            <v>Perfusor</v>
          </cell>
          <cell r="O600" t="str">
            <v>Perfusor Space</v>
          </cell>
          <cell r="P600" t="str">
            <v>143350</v>
          </cell>
          <cell r="Q600" t="str">
            <v>Not Applicable</v>
          </cell>
          <cell r="R600" t="str">
            <v>B Braun Melsungen AG</v>
          </cell>
          <cell r="S600" t="str">
            <v>B Braun Medical Supplies Sdn. Bhd.</v>
          </cell>
          <cell r="T600" t="str">
            <v>Functioning</v>
          </cell>
          <cell r="U600" t="str">
            <v>Asset</v>
          </cell>
          <cell r="V600">
            <v>10225</v>
          </cell>
          <cell r="W600" t="str">
            <v>KEW</v>
          </cell>
          <cell r="X600" t="str">
            <v>01/09/2010</v>
          </cell>
          <cell r="Y600" t="str">
            <v>KEW</v>
          </cell>
          <cell r="Z600" t="str">
            <v>16/08/2013</v>
          </cell>
          <cell r="AA600" t="str">
            <v>15/08/2015</v>
          </cell>
          <cell r="AB600" t="str">
            <v>No</v>
          </cell>
          <cell r="AC600" t="str">
            <v>31/08/2013</v>
          </cell>
          <cell r="AD600" t="str">
            <v>Good</v>
          </cell>
          <cell r="AE600" t="str">
            <v>V1 - Existing / No Claim</v>
          </cell>
          <cell r="AF600">
            <v>42797</v>
          </cell>
          <cell r="AG600">
            <v>9.17</v>
          </cell>
          <cell r="AH600" t="str">
            <v>PPM</v>
          </cell>
          <cell r="AI600" t="str">
            <v>Strands</v>
          </cell>
          <cell r="AJ600" t="str">
            <v>Strands PW</v>
          </cell>
        </row>
        <row r="601">
          <cell r="A601" t="str">
            <v>IKN400120</v>
          </cell>
          <cell r="B601">
            <v>120</v>
          </cell>
          <cell r="C601" t="str">
            <v>Institut Kanser Negara</v>
          </cell>
          <cell r="D601" t="str">
            <v>KKM/IKN/H/13/991</v>
          </cell>
          <cell r="E601" t="str">
            <v>13-217</v>
          </cell>
          <cell r="F601" t="str">
            <v>Infusion Pumps, Syringe</v>
          </cell>
          <cell r="G601" t="str">
            <v>IC</v>
          </cell>
          <cell r="H601" t="str">
            <v>INTENSIVE CARE UNIT</v>
          </cell>
          <cell r="I601" t="str">
            <v>05IC116</v>
          </cell>
          <cell r="J601" t="str">
            <v>ISOL 2 (+VE)</v>
          </cell>
          <cell r="K601" t="str">
            <v>BMED</v>
          </cell>
          <cell r="L601" t="str">
            <v>Critical</v>
          </cell>
          <cell r="M601" t="str">
            <v>Germany</v>
          </cell>
          <cell r="N601" t="str">
            <v>Perfusor</v>
          </cell>
          <cell r="O601" t="str">
            <v>Perfusor Space</v>
          </cell>
          <cell r="P601" t="str">
            <v>143363</v>
          </cell>
          <cell r="Q601" t="str">
            <v>Not Applicable</v>
          </cell>
          <cell r="R601" t="str">
            <v>B Braun Melsungen AG</v>
          </cell>
          <cell r="S601" t="str">
            <v>B Braun Medical Supplies Sdn. Bhd.</v>
          </cell>
          <cell r="T601" t="str">
            <v>Functioning</v>
          </cell>
          <cell r="U601" t="str">
            <v>Asset</v>
          </cell>
          <cell r="V601">
            <v>10225</v>
          </cell>
          <cell r="W601" t="str">
            <v>KEW</v>
          </cell>
          <cell r="X601" t="str">
            <v>01/09/2010</v>
          </cell>
          <cell r="Y601" t="str">
            <v>KEW</v>
          </cell>
          <cell r="Z601" t="str">
            <v>16/08/2013</v>
          </cell>
          <cell r="AA601" t="str">
            <v>15/08/2015</v>
          </cell>
          <cell r="AB601" t="str">
            <v>No</v>
          </cell>
          <cell r="AC601" t="str">
            <v>31/08/2013</v>
          </cell>
          <cell r="AD601" t="str">
            <v>Good</v>
          </cell>
          <cell r="AE601" t="str">
            <v>V1 - Existing / No Claim</v>
          </cell>
          <cell r="AF601">
            <v>42797</v>
          </cell>
          <cell r="AG601">
            <v>9.17</v>
          </cell>
          <cell r="AH601" t="str">
            <v>PPM</v>
          </cell>
          <cell r="AI601" t="str">
            <v>Strands</v>
          </cell>
          <cell r="AJ601" t="str">
            <v>Strands PW</v>
          </cell>
        </row>
        <row r="602">
          <cell r="A602" t="str">
            <v>IKN400121</v>
          </cell>
          <cell r="B602">
            <v>121</v>
          </cell>
          <cell r="C602" t="str">
            <v>Institut Kanser Negara</v>
          </cell>
          <cell r="D602" t="str">
            <v>KKM/IKN/H/13/992</v>
          </cell>
          <cell r="E602" t="str">
            <v>13-217</v>
          </cell>
          <cell r="F602" t="str">
            <v>Infusion Pumps, Syringe</v>
          </cell>
          <cell r="G602" t="str">
            <v>IC</v>
          </cell>
          <cell r="H602" t="str">
            <v>INTENSIVE CARE UNIT</v>
          </cell>
          <cell r="I602" t="str">
            <v>05IC116</v>
          </cell>
          <cell r="J602" t="str">
            <v>ISOL 2 (+VE)</v>
          </cell>
          <cell r="K602" t="str">
            <v>BMED</v>
          </cell>
          <cell r="L602" t="str">
            <v>Critical</v>
          </cell>
          <cell r="M602" t="str">
            <v>Germany</v>
          </cell>
          <cell r="N602" t="str">
            <v>Perfusor</v>
          </cell>
          <cell r="O602" t="str">
            <v>Perfusor Space</v>
          </cell>
          <cell r="P602" t="str">
            <v>186971</v>
          </cell>
          <cell r="Q602" t="str">
            <v>Not Applicable</v>
          </cell>
          <cell r="R602" t="str">
            <v>B Braun Melsungen AG</v>
          </cell>
          <cell r="S602" t="str">
            <v>B Braun Medical Supplies Sdn. Bhd.</v>
          </cell>
          <cell r="T602" t="str">
            <v>Functioning</v>
          </cell>
          <cell r="U602" t="str">
            <v>Asset</v>
          </cell>
          <cell r="V602">
            <v>10225</v>
          </cell>
          <cell r="W602" t="str">
            <v>KEW</v>
          </cell>
          <cell r="X602" t="str">
            <v>01/09/2010</v>
          </cell>
          <cell r="Y602" t="str">
            <v>KEW</v>
          </cell>
          <cell r="Z602" t="str">
            <v>16/08/2013</v>
          </cell>
          <cell r="AA602" t="str">
            <v>15/08/2015</v>
          </cell>
          <cell r="AB602" t="str">
            <v>No</v>
          </cell>
          <cell r="AC602" t="str">
            <v>31/08/2013</v>
          </cell>
          <cell r="AD602" t="str">
            <v>Good</v>
          </cell>
          <cell r="AE602" t="str">
            <v>V1 - Existing / No Claim</v>
          </cell>
          <cell r="AF602">
            <v>42797</v>
          </cell>
          <cell r="AG602">
            <v>9.17</v>
          </cell>
          <cell r="AH602" t="str">
            <v>PPM</v>
          </cell>
          <cell r="AI602" t="str">
            <v>Strands</v>
          </cell>
          <cell r="AJ602" t="str">
            <v>Strands PW</v>
          </cell>
        </row>
        <row r="603">
          <cell r="A603" t="str">
            <v>IKN400122</v>
          </cell>
          <cell r="B603">
            <v>122</v>
          </cell>
          <cell r="C603" t="str">
            <v>Institut Kanser Negara</v>
          </cell>
          <cell r="D603" t="str">
            <v>KKM/IKN/H/13/993</v>
          </cell>
          <cell r="E603" t="str">
            <v>13-217</v>
          </cell>
          <cell r="F603" t="str">
            <v>Infusion Pumps, Syringe</v>
          </cell>
          <cell r="G603" t="str">
            <v>IC</v>
          </cell>
          <cell r="H603" t="str">
            <v>INTENSIVE CARE UNIT</v>
          </cell>
          <cell r="I603" t="str">
            <v>05IC116</v>
          </cell>
          <cell r="J603" t="str">
            <v>ISOL 2 (+VE)</v>
          </cell>
          <cell r="K603" t="str">
            <v>BMED</v>
          </cell>
          <cell r="L603" t="str">
            <v>Critical</v>
          </cell>
          <cell r="M603" t="str">
            <v>Germany</v>
          </cell>
          <cell r="N603" t="str">
            <v>Perfusor</v>
          </cell>
          <cell r="O603" t="str">
            <v>Perfusor Space</v>
          </cell>
          <cell r="P603" t="str">
            <v>186975</v>
          </cell>
          <cell r="Q603" t="str">
            <v>Not Applicable</v>
          </cell>
          <cell r="R603" t="str">
            <v>B Braun Melsungen AG</v>
          </cell>
          <cell r="S603" t="str">
            <v>B Braun Medical Supplies Sdn. Bhd.</v>
          </cell>
          <cell r="T603" t="str">
            <v>Functioning</v>
          </cell>
          <cell r="U603" t="str">
            <v>Asset</v>
          </cell>
          <cell r="V603">
            <v>10225</v>
          </cell>
          <cell r="W603" t="str">
            <v>KEW</v>
          </cell>
          <cell r="X603" t="str">
            <v>01/09/2010</v>
          </cell>
          <cell r="Y603" t="str">
            <v>KEW</v>
          </cell>
          <cell r="Z603" t="str">
            <v>16/08/2013</v>
          </cell>
          <cell r="AA603" t="str">
            <v>15/08/2015</v>
          </cell>
          <cell r="AB603" t="str">
            <v>No</v>
          </cell>
          <cell r="AC603" t="str">
            <v>31/08/2013</v>
          </cell>
          <cell r="AD603" t="str">
            <v>Good</v>
          </cell>
          <cell r="AE603" t="str">
            <v>V1 - Existing / No Claim</v>
          </cell>
          <cell r="AF603">
            <v>42797</v>
          </cell>
          <cell r="AG603">
            <v>9.17</v>
          </cell>
          <cell r="AH603" t="str">
            <v>PPM</v>
          </cell>
          <cell r="AI603" t="str">
            <v>Strands</v>
          </cell>
          <cell r="AJ603" t="str">
            <v>Strands PW</v>
          </cell>
        </row>
        <row r="604">
          <cell r="A604" t="str">
            <v>IKN400123</v>
          </cell>
          <cell r="B604">
            <v>123</v>
          </cell>
          <cell r="C604" t="str">
            <v>Institut Kanser Negara</v>
          </cell>
          <cell r="D604" t="str">
            <v>KKM/IKN/H/13/994</v>
          </cell>
          <cell r="E604" t="str">
            <v>13-217</v>
          </cell>
          <cell r="F604" t="str">
            <v>Infusion Pumps, Syringe</v>
          </cell>
          <cell r="G604" t="str">
            <v>IC</v>
          </cell>
          <cell r="H604" t="str">
            <v>INTENSIVE CARE UNIT</v>
          </cell>
          <cell r="I604" t="str">
            <v>05IC129</v>
          </cell>
          <cell r="J604" t="str">
            <v>ISOL 4 (+VE)</v>
          </cell>
          <cell r="K604" t="str">
            <v>BMED</v>
          </cell>
          <cell r="L604" t="str">
            <v>Normal</v>
          </cell>
          <cell r="M604" t="str">
            <v>Germany</v>
          </cell>
          <cell r="N604" t="str">
            <v>Perfusor</v>
          </cell>
          <cell r="O604" t="str">
            <v>Perfusor Space</v>
          </cell>
          <cell r="P604" t="str">
            <v>143198</v>
          </cell>
          <cell r="Q604" t="str">
            <v>Not Applicable</v>
          </cell>
          <cell r="R604" t="str">
            <v>B Braun Melsungen AG</v>
          </cell>
          <cell r="S604" t="str">
            <v>B Braun Medical Supplies Sdn. Bhd.</v>
          </cell>
          <cell r="T604" t="str">
            <v>Functioning</v>
          </cell>
          <cell r="U604" t="str">
            <v>Asset</v>
          </cell>
          <cell r="V604">
            <v>10225</v>
          </cell>
          <cell r="W604" t="str">
            <v>KEW</v>
          </cell>
          <cell r="X604" t="str">
            <v>01/09/2010</v>
          </cell>
          <cell r="Y604" t="str">
            <v>KEW</v>
          </cell>
          <cell r="Z604" t="str">
            <v>16/08/2013</v>
          </cell>
          <cell r="AA604" t="str">
            <v>15/08/2015</v>
          </cell>
          <cell r="AB604" t="str">
            <v>No</v>
          </cell>
          <cell r="AC604" t="str">
            <v>31/08/2013</v>
          </cell>
          <cell r="AD604" t="str">
            <v>Good</v>
          </cell>
          <cell r="AE604" t="str">
            <v>V1 - Existing / No Claim</v>
          </cell>
          <cell r="AF604">
            <v>42235</v>
          </cell>
          <cell r="AG604">
            <v>9.17</v>
          </cell>
          <cell r="AH604" t="str">
            <v>PPM</v>
          </cell>
          <cell r="AI604" t="str">
            <v>Strands</v>
          </cell>
          <cell r="AJ604" t="str">
            <v>Strands PW</v>
          </cell>
        </row>
        <row r="605">
          <cell r="A605" t="str">
            <v>IKN400124</v>
          </cell>
          <cell r="B605">
            <v>124</v>
          </cell>
          <cell r="C605" t="str">
            <v>Institut Kanser Negara</v>
          </cell>
          <cell r="D605" t="str">
            <v>KKM/IKN/H/13/995</v>
          </cell>
          <cell r="E605" t="str">
            <v>13-217</v>
          </cell>
          <cell r="F605" t="str">
            <v>Infusion Pumps, Syringe</v>
          </cell>
          <cell r="G605" t="str">
            <v>IC</v>
          </cell>
          <cell r="H605" t="str">
            <v>INTENSIVE CARE UNIT</v>
          </cell>
          <cell r="I605" t="str">
            <v>05IC129</v>
          </cell>
          <cell r="J605" t="str">
            <v>ISOL 4 (+VE)</v>
          </cell>
          <cell r="K605" t="str">
            <v>BMED</v>
          </cell>
          <cell r="L605" t="str">
            <v>Normal</v>
          </cell>
          <cell r="M605" t="str">
            <v>Germany</v>
          </cell>
          <cell r="N605" t="str">
            <v>Perfusor</v>
          </cell>
          <cell r="O605" t="str">
            <v>Perfusor Space</v>
          </cell>
          <cell r="P605">
            <v>143318</v>
          </cell>
          <cell r="Q605" t="str">
            <v>Not Applicable</v>
          </cell>
          <cell r="R605" t="str">
            <v>B Braun Melsungen AG</v>
          </cell>
          <cell r="S605" t="str">
            <v>B Braun Medical Supplies Sdn. Bhd.</v>
          </cell>
          <cell r="T605" t="str">
            <v>Functioning</v>
          </cell>
          <cell r="U605" t="str">
            <v>Asset</v>
          </cell>
          <cell r="V605">
            <v>10225</v>
          </cell>
          <cell r="W605" t="str">
            <v>KEW</v>
          </cell>
          <cell r="X605" t="str">
            <v>01/09/2010</v>
          </cell>
          <cell r="Y605" t="str">
            <v>KEW</v>
          </cell>
          <cell r="Z605" t="str">
            <v>16/08/2013</v>
          </cell>
          <cell r="AA605" t="str">
            <v>15/08/2015</v>
          </cell>
          <cell r="AB605" t="str">
            <v>No</v>
          </cell>
          <cell r="AC605" t="str">
            <v>31/08/2013</v>
          </cell>
          <cell r="AD605" t="str">
            <v>Good</v>
          </cell>
          <cell r="AE605" t="str">
            <v>V1 - Existing / No Claim</v>
          </cell>
          <cell r="AF605">
            <v>42235</v>
          </cell>
          <cell r="AG605">
            <v>9.17</v>
          </cell>
          <cell r="AH605" t="str">
            <v>PPM</v>
          </cell>
          <cell r="AI605" t="str">
            <v>Strands</v>
          </cell>
          <cell r="AJ605" t="str">
            <v>Strands PW</v>
          </cell>
        </row>
        <row r="606">
          <cell r="A606" t="str">
            <v>IKN400125</v>
          </cell>
          <cell r="B606">
            <v>125</v>
          </cell>
          <cell r="C606" t="str">
            <v>Institut Kanser Negara</v>
          </cell>
          <cell r="D606" t="str">
            <v>KKM/IKN/H/13/996</v>
          </cell>
          <cell r="E606" t="str">
            <v>13-217</v>
          </cell>
          <cell r="F606" t="str">
            <v>Infusion Pumps, Syringe</v>
          </cell>
          <cell r="G606" t="str">
            <v>IC</v>
          </cell>
          <cell r="H606" t="str">
            <v>INTENSIVE CARE UNIT</v>
          </cell>
          <cell r="I606" t="str">
            <v>05IC129</v>
          </cell>
          <cell r="J606" t="str">
            <v>ISOL 4 (+VE)</v>
          </cell>
          <cell r="K606" t="str">
            <v>BMED</v>
          </cell>
          <cell r="L606" t="str">
            <v>Normal</v>
          </cell>
          <cell r="M606" t="str">
            <v>Germany</v>
          </cell>
          <cell r="N606" t="str">
            <v>Perfusor</v>
          </cell>
          <cell r="O606" t="str">
            <v>Perfusor Space</v>
          </cell>
          <cell r="P606" t="str">
            <v>143346</v>
          </cell>
          <cell r="Q606" t="str">
            <v>Not Applicable</v>
          </cell>
          <cell r="R606" t="str">
            <v>B Braun Melsungen AG</v>
          </cell>
          <cell r="S606" t="str">
            <v>B Braun Medical Supplies Sdn. Bhd.</v>
          </cell>
          <cell r="T606" t="str">
            <v>Functioning</v>
          </cell>
          <cell r="U606" t="str">
            <v>Asset</v>
          </cell>
          <cell r="V606">
            <v>10225</v>
          </cell>
          <cell r="W606" t="str">
            <v>KEW</v>
          </cell>
          <cell r="X606" t="str">
            <v>01/09/2010</v>
          </cell>
          <cell r="Y606" t="str">
            <v>KEW</v>
          </cell>
          <cell r="Z606" t="str">
            <v>16/08/2013</v>
          </cell>
          <cell r="AA606" t="str">
            <v>15/08/2015</v>
          </cell>
          <cell r="AB606" t="str">
            <v>No</v>
          </cell>
          <cell r="AC606" t="str">
            <v>31/08/2013</v>
          </cell>
          <cell r="AD606" t="str">
            <v>Good</v>
          </cell>
          <cell r="AE606" t="str">
            <v>V1 - Existing / No Claim</v>
          </cell>
          <cell r="AF606">
            <v>42235</v>
          </cell>
          <cell r="AG606">
            <v>9.17</v>
          </cell>
          <cell r="AH606" t="str">
            <v>PPM</v>
          </cell>
          <cell r="AI606" t="str">
            <v>Strands</v>
          </cell>
          <cell r="AJ606" t="str">
            <v>Strands PW</v>
          </cell>
        </row>
        <row r="607">
          <cell r="A607" t="str">
            <v>IKN400126</v>
          </cell>
          <cell r="B607">
            <v>126</v>
          </cell>
          <cell r="C607" t="str">
            <v>Institut Kanser Negara</v>
          </cell>
          <cell r="D607" t="str">
            <v>KKM/IKN/H/13/997</v>
          </cell>
          <cell r="E607" t="str">
            <v>13-217</v>
          </cell>
          <cell r="F607" t="str">
            <v>Infusion Pumps, Syringe</v>
          </cell>
          <cell r="G607" t="str">
            <v>IC</v>
          </cell>
          <cell r="H607" t="str">
            <v>INTENSIVE CARE UNIT</v>
          </cell>
          <cell r="I607" t="str">
            <v>05IC129</v>
          </cell>
          <cell r="J607" t="str">
            <v>ISOL 4 (+VE)</v>
          </cell>
          <cell r="K607" t="str">
            <v>BMED</v>
          </cell>
          <cell r="L607" t="str">
            <v>Normal</v>
          </cell>
          <cell r="M607" t="str">
            <v>Germany</v>
          </cell>
          <cell r="N607" t="str">
            <v>Perfusor</v>
          </cell>
          <cell r="O607" t="str">
            <v>Perfusor Space</v>
          </cell>
          <cell r="P607" t="str">
            <v>186811</v>
          </cell>
          <cell r="Q607" t="str">
            <v>Not Applicable</v>
          </cell>
          <cell r="R607" t="str">
            <v>B Braun Melsungen AG</v>
          </cell>
          <cell r="S607" t="str">
            <v>B Braun Medical Supplies Sdn. Bhd.</v>
          </cell>
          <cell r="T607" t="str">
            <v>Functioning</v>
          </cell>
          <cell r="U607" t="str">
            <v>Asset</v>
          </cell>
          <cell r="V607">
            <v>10225</v>
          </cell>
          <cell r="W607" t="str">
            <v>KEW</v>
          </cell>
          <cell r="X607" t="str">
            <v>01/09/2010</v>
          </cell>
          <cell r="Y607" t="str">
            <v>KEW</v>
          </cell>
          <cell r="Z607" t="str">
            <v>16/08/2013</v>
          </cell>
          <cell r="AA607" t="str">
            <v>15/08/2015</v>
          </cell>
          <cell r="AB607" t="str">
            <v>No</v>
          </cell>
          <cell r="AC607" t="str">
            <v>31/08/2013</v>
          </cell>
          <cell r="AD607" t="str">
            <v>Good</v>
          </cell>
          <cell r="AE607" t="str">
            <v>V1 - Existing / No Claim</v>
          </cell>
          <cell r="AF607">
            <v>42235</v>
          </cell>
          <cell r="AG607">
            <v>9.17</v>
          </cell>
          <cell r="AH607" t="str">
            <v>PPM</v>
          </cell>
          <cell r="AI607" t="str">
            <v>Strands</v>
          </cell>
          <cell r="AJ607" t="str">
            <v>Strands PW</v>
          </cell>
        </row>
        <row r="608">
          <cell r="A608" t="str">
            <v>IKN400127</v>
          </cell>
          <cell r="B608">
            <v>127</v>
          </cell>
          <cell r="C608" t="str">
            <v>Institut Kanser Negara</v>
          </cell>
          <cell r="D608" t="str">
            <v>KKM/IKN/H/13/1005</v>
          </cell>
          <cell r="E608" t="str">
            <v>13-217</v>
          </cell>
          <cell r="F608" t="str">
            <v>Infusion Pumps, Syringe</v>
          </cell>
          <cell r="G608" t="str">
            <v>IC</v>
          </cell>
          <cell r="H608" t="str">
            <v>INTENSIVE CARE UNIT</v>
          </cell>
          <cell r="I608" t="str">
            <v>05IC129</v>
          </cell>
          <cell r="J608" t="str">
            <v>ISOL 4 (+VE)</v>
          </cell>
          <cell r="K608" t="str">
            <v>BMED</v>
          </cell>
          <cell r="L608" t="str">
            <v>Normal</v>
          </cell>
          <cell r="M608" t="str">
            <v>Germany</v>
          </cell>
          <cell r="N608" t="str">
            <v>Perfusor</v>
          </cell>
          <cell r="O608" t="str">
            <v>Perfusor Space</v>
          </cell>
          <cell r="P608" t="str">
            <v>186988</v>
          </cell>
          <cell r="Q608" t="str">
            <v>Not Applicable</v>
          </cell>
          <cell r="R608" t="str">
            <v>B Braun Melsungen AG</v>
          </cell>
          <cell r="S608" t="str">
            <v>B Braun Medical Supplies Sdn. Bhd.</v>
          </cell>
          <cell r="T608" t="str">
            <v>Functioning</v>
          </cell>
          <cell r="U608" t="str">
            <v>Asset</v>
          </cell>
          <cell r="V608">
            <v>10225</v>
          </cell>
          <cell r="W608" t="str">
            <v>KEW</v>
          </cell>
          <cell r="X608" t="str">
            <v>01/09/2010</v>
          </cell>
          <cell r="Y608" t="str">
            <v>KEW</v>
          </cell>
          <cell r="Z608" t="str">
            <v>16/08/2013</v>
          </cell>
          <cell r="AA608" t="str">
            <v>15/08/2015</v>
          </cell>
          <cell r="AB608" t="str">
            <v>No</v>
          </cell>
          <cell r="AC608" t="str">
            <v>31/08/2013</v>
          </cell>
          <cell r="AD608" t="str">
            <v>Good</v>
          </cell>
          <cell r="AE608" t="str">
            <v>V1 - Existing / No Claim</v>
          </cell>
          <cell r="AF608">
            <v>42235</v>
          </cell>
          <cell r="AG608">
            <v>9.17</v>
          </cell>
          <cell r="AH608" t="str">
            <v>PPM</v>
          </cell>
          <cell r="AI608" t="str">
            <v>Strands</v>
          </cell>
          <cell r="AJ608" t="str">
            <v>Strands PW</v>
          </cell>
        </row>
        <row r="609">
          <cell r="A609" t="str">
            <v>IKN400128</v>
          </cell>
          <cell r="B609">
            <v>128</v>
          </cell>
          <cell r="C609" t="str">
            <v>Institut Kanser Negara</v>
          </cell>
          <cell r="D609" t="str">
            <v>KKM/IKN/H/13/998</v>
          </cell>
          <cell r="E609" t="str">
            <v>13-217</v>
          </cell>
          <cell r="F609" t="str">
            <v>Infusion Pumps, Syringe</v>
          </cell>
          <cell r="G609" t="str">
            <v>IC</v>
          </cell>
          <cell r="H609" t="str">
            <v>INTENSIVE CARE UNIT</v>
          </cell>
          <cell r="I609" t="str">
            <v>05IC129</v>
          </cell>
          <cell r="J609" t="str">
            <v>ISOL 4 (+VE)</v>
          </cell>
          <cell r="K609" t="str">
            <v>BMED</v>
          </cell>
          <cell r="L609" t="str">
            <v>Normal</v>
          </cell>
          <cell r="M609" t="str">
            <v>Germany</v>
          </cell>
          <cell r="N609" t="str">
            <v>Perfusor</v>
          </cell>
          <cell r="O609" t="str">
            <v>Perfusor Space</v>
          </cell>
          <cell r="P609" t="str">
            <v>187055</v>
          </cell>
          <cell r="Q609" t="str">
            <v>Not Applicable</v>
          </cell>
          <cell r="R609" t="str">
            <v>B Braun Melsungen AG</v>
          </cell>
          <cell r="S609" t="str">
            <v>B Braun Medical Supplies Sdn. Bhd.</v>
          </cell>
          <cell r="T609" t="str">
            <v>Functioning</v>
          </cell>
          <cell r="U609" t="str">
            <v>Asset</v>
          </cell>
          <cell r="V609">
            <v>10225</v>
          </cell>
          <cell r="W609" t="str">
            <v>KEW</v>
          </cell>
          <cell r="X609" t="str">
            <v>01/09/2010</v>
          </cell>
          <cell r="Y609" t="str">
            <v>KEW</v>
          </cell>
          <cell r="Z609" t="str">
            <v>16/08/2013</v>
          </cell>
          <cell r="AA609" t="str">
            <v>15/08/2015</v>
          </cell>
          <cell r="AB609" t="str">
            <v>No</v>
          </cell>
          <cell r="AC609" t="str">
            <v>31/08/2013</v>
          </cell>
          <cell r="AD609" t="str">
            <v>Good</v>
          </cell>
          <cell r="AE609" t="str">
            <v>V1 - Existing / No Claim</v>
          </cell>
          <cell r="AF609">
            <v>42235</v>
          </cell>
          <cell r="AG609">
            <v>9.17</v>
          </cell>
          <cell r="AH609" t="str">
            <v>PPM</v>
          </cell>
          <cell r="AI609" t="str">
            <v>Strands</v>
          </cell>
          <cell r="AJ609" t="str">
            <v>Strands PW</v>
          </cell>
        </row>
        <row r="610">
          <cell r="A610" t="str">
            <v>IKN400129</v>
          </cell>
          <cell r="B610">
            <v>129</v>
          </cell>
          <cell r="C610" t="str">
            <v>Institut Kanser Negara</v>
          </cell>
          <cell r="D610" t="str">
            <v>KKM/IKN/H/13/999</v>
          </cell>
          <cell r="E610" t="str">
            <v>13-217</v>
          </cell>
          <cell r="F610" t="str">
            <v>Infusion Pumps, Syringe</v>
          </cell>
          <cell r="G610" t="str">
            <v>IC</v>
          </cell>
          <cell r="H610" t="str">
            <v>INTENSIVE CARE UNIT</v>
          </cell>
          <cell r="I610" t="str">
            <v>05IC131</v>
          </cell>
          <cell r="J610" t="str">
            <v>ISOL 3 (+VE)</v>
          </cell>
          <cell r="K610" t="str">
            <v>BMED</v>
          </cell>
          <cell r="L610" t="str">
            <v>Normal</v>
          </cell>
          <cell r="M610" t="str">
            <v>Germany</v>
          </cell>
          <cell r="N610" t="str">
            <v>Perfusor</v>
          </cell>
          <cell r="O610" t="str">
            <v>Perfusor Space</v>
          </cell>
          <cell r="P610" t="str">
            <v>143336</v>
          </cell>
          <cell r="Q610" t="str">
            <v>Not Applicable</v>
          </cell>
          <cell r="R610" t="str">
            <v>B Braun Melsungen AG</v>
          </cell>
          <cell r="S610" t="str">
            <v>B Braun Medical Supplies Sdn. Bhd.</v>
          </cell>
          <cell r="T610" t="str">
            <v>Functioning</v>
          </cell>
          <cell r="U610" t="str">
            <v>Asset</v>
          </cell>
          <cell r="V610">
            <v>10225</v>
          </cell>
          <cell r="W610" t="str">
            <v>KEW</v>
          </cell>
          <cell r="X610" t="str">
            <v>01/09/2010</v>
          </cell>
          <cell r="Y610" t="str">
            <v>KEW</v>
          </cell>
          <cell r="Z610" t="str">
            <v>16/08/2013</v>
          </cell>
          <cell r="AA610" t="str">
            <v>15/08/2015</v>
          </cell>
          <cell r="AB610" t="str">
            <v>No</v>
          </cell>
          <cell r="AC610" t="str">
            <v>31/08/2013</v>
          </cell>
          <cell r="AD610" t="str">
            <v>Good</v>
          </cell>
          <cell r="AE610" t="str">
            <v>V1 - Existing / No Claim</v>
          </cell>
          <cell r="AF610">
            <v>42235</v>
          </cell>
          <cell r="AG610">
            <v>9.17</v>
          </cell>
          <cell r="AH610" t="str">
            <v>PPM</v>
          </cell>
          <cell r="AI610" t="str">
            <v>Strands</v>
          </cell>
          <cell r="AJ610" t="str">
            <v>Strands PW</v>
          </cell>
        </row>
        <row r="611">
          <cell r="A611" t="str">
            <v>IKN400130</v>
          </cell>
          <cell r="B611">
            <v>130</v>
          </cell>
          <cell r="C611" t="str">
            <v>Institut Kanser Negara</v>
          </cell>
          <cell r="D611" t="str">
            <v>KKM/IKN/H/13/1000</v>
          </cell>
          <cell r="E611" t="str">
            <v>13-217</v>
          </cell>
          <cell r="F611" t="str">
            <v>Infusion Pumps, Syringe</v>
          </cell>
          <cell r="G611" t="str">
            <v>IC</v>
          </cell>
          <cell r="H611" t="str">
            <v>INTENSIVE CARE UNIT</v>
          </cell>
          <cell r="I611" t="str">
            <v>05IC131</v>
          </cell>
          <cell r="J611" t="str">
            <v>ISOL 3 (+VE)</v>
          </cell>
          <cell r="K611" t="str">
            <v>BMED</v>
          </cell>
          <cell r="L611" t="str">
            <v>Normal</v>
          </cell>
          <cell r="M611" t="str">
            <v>Germany</v>
          </cell>
          <cell r="N611" t="str">
            <v>Perfusor</v>
          </cell>
          <cell r="O611" t="str">
            <v>Perfusor Space</v>
          </cell>
          <cell r="P611" t="str">
            <v>186991</v>
          </cell>
          <cell r="Q611" t="str">
            <v>Not Applicable</v>
          </cell>
          <cell r="R611" t="str">
            <v>B Braun Melsungen AG</v>
          </cell>
          <cell r="S611" t="str">
            <v>B Braun Medical Supplies Sdn. Bhd.</v>
          </cell>
          <cell r="T611" t="str">
            <v>Functioning</v>
          </cell>
          <cell r="U611" t="str">
            <v>Asset</v>
          </cell>
          <cell r="V611">
            <v>10225</v>
          </cell>
          <cell r="W611" t="str">
            <v>KEW</v>
          </cell>
          <cell r="X611" t="str">
            <v>01/09/2010</v>
          </cell>
          <cell r="Y611" t="str">
            <v>KEW</v>
          </cell>
          <cell r="Z611" t="str">
            <v>16/08/2013</v>
          </cell>
          <cell r="AA611" t="str">
            <v>15/08/2015</v>
          </cell>
          <cell r="AB611" t="str">
            <v>No</v>
          </cell>
          <cell r="AC611" t="str">
            <v>31/08/2013</v>
          </cell>
          <cell r="AD611" t="str">
            <v>Good</v>
          </cell>
          <cell r="AE611" t="str">
            <v>V1 - Existing / No Claim</v>
          </cell>
          <cell r="AF611">
            <v>42235</v>
          </cell>
          <cell r="AG611">
            <v>9.17</v>
          </cell>
          <cell r="AH611" t="str">
            <v>PPM</v>
          </cell>
          <cell r="AI611" t="str">
            <v>Strands</v>
          </cell>
          <cell r="AJ611" t="str">
            <v>Strands PW</v>
          </cell>
        </row>
        <row r="612">
          <cell r="A612" t="str">
            <v>IKN400131</v>
          </cell>
          <cell r="B612">
            <v>131</v>
          </cell>
          <cell r="C612" t="str">
            <v>Institut Kanser Negara</v>
          </cell>
          <cell r="D612" t="str">
            <v>KKM/IKN/H/13/1001</v>
          </cell>
          <cell r="E612" t="str">
            <v>13-217</v>
          </cell>
          <cell r="F612" t="str">
            <v>Infusion Pumps, Syringe</v>
          </cell>
          <cell r="G612" t="str">
            <v>IC</v>
          </cell>
          <cell r="H612" t="str">
            <v>INTENSIVE CARE UNIT</v>
          </cell>
          <cell r="I612" t="str">
            <v>05IC131</v>
          </cell>
          <cell r="J612" t="str">
            <v>ISOL 3 (+VE)</v>
          </cell>
          <cell r="K612" t="str">
            <v>BMED</v>
          </cell>
          <cell r="L612" t="str">
            <v>Normal</v>
          </cell>
          <cell r="M612" t="str">
            <v>Germany</v>
          </cell>
          <cell r="N612" t="str">
            <v>Perfusor</v>
          </cell>
          <cell r="O612" t="str">
            <v>Perfusor Space</v>
          </cell>
          <cell r="P612" t="str">
            <v>187000</v>
          </cell>
          <cell r="Q612" t="str">
            <v>Not Applicable</v>
          </cell>
          <cell r="R612" t="str">
            <v>B Braun Melsungen AG</v>
          </cell>
          <cell r="S612" t="str">
            <v>B Braun Medical Supplies Sdn. Bhd.</v>
          </cell>
          <cell r="T612" t="str">
            <v>Functioning</v>
          </cell>
          <cell r="U612" t="str">
            <v>Asset</v>
          </cell>
          <cell r="V612">
            <v>10225</v>
          </cell>
          <cell r="W612" t="str">
            <v>KEW</v>
          </cell>
          <cell r="X612" t="str">
            <v>01/09/2010</v>
          </cell>
          <cell r="Y612" t="str">
            <v>KEW</v>
          </cell>
          <cell r="Z612" t="str">
            <v>16/08/2013</v>
          </cell>
          <cell r="AA612" t="str">
            <v>15/08/2015</v>
          </cell>
          <cell r="AB612" t="str">
            <v>No</v>
          </cell>
          <cell r="AC612" t="str">
            <v>31/08/2013</v>
          </cell>
          <cell r="AD612" t="str">
            <v>Good</v>
          </cell>
          <cell r="AE612" t="str">
            <v>V1 - Existing / No Claim</v>
          </cell>
          <cell r="AF612">
            <v>42235</v>
          </cell>
          <cell r="AG612">
            <v>9.17</v>
          </cell>
          <cell r="AH612" t="str">
            <v>PPM</v>
          </cell>
          <cell r="AI612" t="str">
            <v>Strands</v>
          </cell>
          <cell r="AJ612" t="str">
            <v>Strands PW</v>
          </cell>
        </row>
        <row r="613">
          <cell r="A613" t="str">
            <v>IKN400132</v>
          </cell>
          <cell r="B613">
            <v>132</v>
          </cell>
          <cell r="C613" t="str">
            <v>Institut Kanser Negara</v>
          </cell>
          <cell r="D613" t="str">
            <v>KKM/IKN/H/13/1002</v>
          </cell>
          <cell r="E613" t="str">
            <v>13-217</v>
          </cell>
          <cell r="F613" t="str">
            <v>Infusion Pumps, Syringe</v>
          </cell>
          <cell r="G613" t="str">
            <v>IC</v>
          </cell>
          <cell r="H613" t="str">
            <v>INTENSIVE CARE UNIT</v>
          </cell>
          <cell r="I613" t="str">
            <v>05IC131</v>
          </cell>
          <cell r="J613" t="str">
            <v>ISOL 3 (+VE)</v>
          </cell>
          <cell r="K613" t="str">
            <v>BMED</v>
          </cell>
          <cell r="L613" t="str">
            <v>Normal</v>
          </cell>
          <cell r="M613" t="str">
            <v>Germany</v>
          </cell>
          <cell r="N613" t="str">
            <v>Perfusor</v>
          </cell>
          <cell r="O613" t="str">
            <v>Perfusor Space</v>
          </cell>
          <cell r="P613" t="str">
            <v>187040</v>
          </cell>
          <cell r="Q613" t="str">
            <v>Not Applicable</v>
          </cell>
          <cell r="R613" t="str">
            <v>B Braun Melsungen AG</v>
          </cell>
          <cell r="S613" t="str">
            <v>B Braun Medical Supplies Sdn. Bhd.</v>
          </cell>
          <cell r="T613" t="str">
            <v>Functioning</v>
          </cell>
          <cell r="U613" t="str">
            <v>Asset</v>
          </cell>
          <cell r="V613">
            <v>10225</v>
          </cell>
          <cell r="W613" t="str">
            <v>KEW</v>
          </cell>
          <cell r="X613" t="str">
            <v>01/09/2010</v>
          </cell>
          <cell r="Y613" t="str">
            <v>KEW</v>
          </cell>
          <cell r="Z613" t="str">
            <v>16/08/2013</v>
          </cell>
          <cell r="AA613" t="str">
            <v>15/08/2015</v>
          </cell>
          <cell r="AB613" t="str">
            <v>No</v>
          </cell>
          <cell r="AC613" t="str">
            <v>31/08/2013</v>
          </cell>
          <cell r="AD613" t="str">
            <v>Good</v>
          </cell>
          <cell r="AE613" t="str">
            <v>V1 - Existing / No Claim</v>
          </cell>
          <cell r="AF613">
            <v>42235</v>
          </cell>
          <cell r="AG613">
            <v>9.17</v>
          </cell>
          <cell r="AH613" t="str">
            <v>PPM</v>
          </cell>
          <cell r="AI613" t="str">
            <v>Strands</v>
          </cell>
          <cell r="AJ613" t="str">
            <v>Strands PW</v>
          </cell>
        </row>
        <row r="614">
          <cell r="A614" t="str">
            <v>IKN400133</v>
          </cell>
          <cell r="B614">
            <v>133</v>
          </cell>
          <cell r="C614" t="str">
            <v>Institut Kanser Negara</v>
          </cell>
          <cell r="D614" t="str">
            <v>KKM/IKN/H/13/1003</v>
          </cell>
          <cell r="E614" t="str">
            <v>13-217</v>
          </cell>
          <cell r="F614" t="str">
            <v>Infusion Pumps, Syringe</v>
          </cell>
          <cell r="G614" t="str">
            <v>IC</v>
          </cell>
          <cell r="H614" t="str">
            <v>INTENSIVE CARE UNIT</v>
          </cell>
          <cell r="I614" t="str">
            <v>05IC131</v>
          </cell>
          <cell r="J614" t="str">
            <v>ISOL 3 (+VE)</v>
          </cell>
          <cell r="K614" t="str">
            <v>BMED</v>
          </cell>
          <cell r="L614" t="str">
            <v>Normal</v>
          </cell>
          <cell r="M614" t="str">
            <v>Germany</v>
          </cell>
          <cell r="N614" t="str">
            <v>Perfusor</v>
          </cell>
          <cell r="O614" t="str">
            <v>Perfusor Space</v>
          </cell>
          <cell r="P614" t="str">
            <v>187046</v>
          </cell>
          <cell r="Q614" t="str">
            <v>Not Applicable</v>
          </cell>
          <cell r="R614" t="str">
            <v>B Braun Melsungen AG</v>
          </cell>
          <cell r="S614" t="str">
            <v>B Braun Medical Supplies Sdn. Bhd.</v>
          </cell>
          <cell r="T614" t="str">
            <v>Functioning</v>
          </cell>
          <cell r="U614" t="str">
            <v>Asset</v>
          </cell>
          <cell r="V614">
            <v>10225</v>
          </cell>
          <cell r="W614" t="str">
            <v>KEW</v>
          </cell>
          <cell r="X614" t="str">
            <v>01/09/2010</v>
          </cell>
          <cell r="Y614" t="str">
            <v>KEW</v>
          </cell>
          <cell r="Z614" t="str">
            <v>16/08/2013</v>
          </cell>
          <cell r="AA614" t="str">
            <v>15/08/2015</v>
          </cell>
          <cell r="AB614" t="str">
            <v>No</v>
          </cell>
          <cell r="AC614" t="str">
            <v>31/08/2013</v>
          </cell>
          <cell r="AD614" t="str">
            <v>Good</v>
          </cell>
          <cell r="AE614" t="str">
            <v>V1 - Existing / No Claim</v>
          </cell>
          <cell r="AF614">
            <v>42235</v>
          </cell>
          <cell r="AG614">
            <v>9.17</v>
          </cell>
          <cell r="AH614" t="str">
            <v>PPM</v>
          </cell>
          <cell r="AI614" t="str">
            <v>Strands</v>
          </cell>
          <cell r="AJ614" t="str">
            <v>Strands PW</v>
          </cell>
        </row>
        <row r="615">
          <cell r="A615" t="str">
            <v>IKN400134</v>
          </cell>
          <cell r="B615">
            <v>134</v>
          </cell>
          <cell r="C615" t="str">
            <v>Institut Kanser Negara</v>
          </cell>
          <cell r="D615" t="str">
            <v>KKM/IKN/H/13/1004</v>
          </cell>
          <cell r="E615" t="str">
            <v>13-217</v>
          </cell>
          <cell r="F615" t="str">
            <v>Infusion Pumps, Syringe</v>
          </cell>
          <cell r="G615" t="str">
            <v>IC</v>
          </cell>
          <cell r="H615" t="str">
            <v>INTENSIVE CARE UNIT</v>
          </cell>
          <cell r="I615" t="str">
            <v>05IC131</v>
          </cell>
          <cell r="J615" t="str">
            <v>ISOL 3 (+VE)</v>
          </cell>
          <cell r="K615" t="str">
            <v>BMED</v>
          </cell>
          <cell r="L615" t="str">
            <v>Normal</v>
          </cell>
          <cell r="M615" t="str">
            <v>Germany</v>
          </cell>
          <cell r="N615" t="str">
            <v>Perfusor</v>
          </cell>
          <cell r="O615" t="str">
            <v>Perfusor Space</v>
          </cell>
          <cell r="P615" t="str">
            <v>187059</v>
          </cell>
          <cell r="Q615" t="str">
            <v>Not Applicable</v>
          </cell>
          <cell r="R615" t="str">
            <v>B Braun Melsungen AG</v>
          </cell>
          <cell r="S615" t="str">
            <v>B Braun Medical Supplies Sdn. Bhd.</v>
          </cell>
          <cell r="T615" t="str">
            <v>Functioning</v>
          </cell>
          <cell r="U615" t="str">
            <v>Asset</v>
          </cell>
          <cell r="V615">
            <v>10225</v>
          </cell>
          <cell r="W615" t="str">
            <v>KEW</v>
          </cell>
          <cell r="X615" t="str">
            <v>01/09/2010</v>
          </cell>
          <cell r="Y615" t="str">
            <v>KEW</v>
          </cell>
          <cell r="Z615" t="str">
            <v>16/08/2013</v>
          </cell>
          <cell r="AA615" t="str">
            <v>15/08/2015</v>
          </cell>
          <cell r="AB615" t="str">
            <v>No</v>
          </cell>
          <cell r="AC615" t="str">
            <v>31/08/2013</v>
          </cell>
          <cell r="AD615" t="str">
            <v>Good</v>
          </cell>
          <cell r="AE615" t="str">
            <v>V1 - Existing / No Claim</v>
          </cell>
          <cell r="AF615">
            <v>42235</v>
          </cell>
          <cell r="AG615">
            <v>9.17</v>
          </cell>
          <cell r="AH615" t="str">
            <v>PPM</v>
          </cell>
          <cell r="AI615" t="str">
            <v>Strands</v>
          </cell>
          <cell r="AJ615" t="str">
            <v>Strands PW</v>
          </cell>
        </row>
        <row r="616">
          <cell r="A616" t="str">
            <v>IKN400135</v>
          </cell>
          <cell r="B616">
            <v>135</v>
          </cell>
          <cell r="C616" t="str">
            <v>Institut Kanser Negara</v>
          </cell>
          <cell r="D616" t="str">
            <v>KKM/IKN/H/13/1006</v>
          </cell>
          <cell r="E616" t="str">
            <v>13-215</v>
          </cell>
          <cell r="F616" t="str">
            <v>Infusion Pumps, General-Purpose</v>
          </cell>
          <cell r="G616" t="str">
            <v>IC</v>
          </cell>
          <cell r="H616" t="str">
            <v>INTENSIVE CARE UNIT</v>
          </cell>
          <cell r="I616" t="str">
            <v>05IC111</v>
          </cell>
          <cell r="J616" t="str">
            <v>ISOL 1(-VE)</v>
          </cell>
          <cell r="K616" t="str">
            <v>BMED</v>
          </cell>
          <cell r="L616" t="str">
            <v>Normal</v>
          </cell>
          <cell r="M616" t="str">
            <v>Germany</v>
          </cell>
          <cell r="N616" t="str">
            <v>Infusomat</v>
          </cell>
          <cell r="O616" t="str">
            <v>Infusomat Space</v>
          </cell>
          <cell r="P616" t="str">
            <v>212105</v>
          </cell>
          <cell r="Q616" t="str">
            <v>Not Applicable</v>
          </cell>
          <cell r="R616" t="str">
            <v>B Braun Melsungen AG</v>
          </cell>
          <cell r="S616" t="str">
            <v>B Braun Medical Supplies Sdn. Bhd.</v>
          </cell>
          <cell r="T616" t="str">
            <v>Functioning</v>
          </cell>
          <cell r="U616" t="str">
            <v>Asset</v>
          </cell>
          <cell r="V616">
            <v>10825</v>
          </cell>
          <cell r="W616" t="str">
            <v>KEW</v>
          </cell>
          <cell r="X616" t="str">
            <v>01/09/2010</v>
          </cell>
          <cell r="Y616" t="str">
            <v>KEW</v>
          </cell>
          <cell r="Z616" t="str">
            <v>16/08/2013</v>
          </cell>
          <cell r="AA616" t="str">
            <v>15/08/2015</v>
          </cell>
          <cell r="AB616" t="str">
            <v>No</v>
          </cell>
          <cell r="AC616" t="str">
            <v>31/08/2013</v>
          </cell>
          <cell r="AD616" t="str">
            <v>Good</v>
          </cell>
          <cell r="AE616" t="str">
            <v>V1 - Existing / No Claim</v>
          </cell>
          <cell r="AF616">
            <v>42235</v>
          </cell>
          <cell r="AG616">
            <v>9.17</v>
          </cell>
          <cell r="AH616" t="str">
            <v>PPM</v>
          </cell>
          <cell r="AI616" t="str">
            <v>Strands</v>
          </cell>
          <cell r="AJ616" t="str">
            <v>Strands PW</v>
          </cell>
        </row>
        <row r="617">
          <cell r="A617" t="str">
            <v>IKN400136</v>
          </cell>
          <cell r="B617">
            <v>136</v>
          </cell>
          <cell r="C617" t="str">
            <v>Institut Kanser Negara</v>
          </cell>
          <cell r="D617" t="str">
            <v>KKM/IKN/H/13/1008</v>
          </cell>
          <cell r="E617" t="str">
            <v>13-215</v>
          </cell>
          <cell r="F617" t="str">
            <v>Infusion Pumps, General-Purpose</v>
          </cell>
          <cell r="G617" t="str">
            <v>IC</v>
          </cell>
          <cell r="H617" t="str">
            <v>INTENSIVE CARE UNIT</v>
          </cell>
          <cell r="I617" t="str">
            <v>05IC111</v>
          </cell>
          <cell r="J617" t="str">
            <v>ISOL 1(-VE)</v>
          </cell>
          <cell r="K617" t="str">
            <v>BMED</v>
          </cell>
          <cell r="L617" t="str">
            <v>Normal</v>
          </cell>
          <cell r="M617" t="str">
            <v>Germany</v>
          </cell>
          <cell r="N617" t="str">
            <v>Infusomat</v>
          </cell>
          <cell r="O617" t="str">
            <v>Infusomat Space</v>
          </cell>
          <cell r="P617" t="str">
            <v>211994</v>
          </cell>
          <cell r="Q617" t="str">
            <v>Not Applicable</v>
          </cell>
          <cell r="R617" t="str">
            <v>B Braun Melsungen AG</v>
          </cell>
          <cell r="S617" t="str">
            <v>B Braun Medical Supplies Sdn. Bhd.</v>
          </cell>
          <cell r="T617" t="str">
            <v>Functioning</v>
          </cell>
          <cell r="U617" t="str">
            <v>Asset</v>
          </cell>
          <cell r="V617">
            <v>10825</v>
          </cell>
          <cell r="W617" t="str">
            <v>KEW</v>
          </cell>
          <cell r="X617" t="str">
            <v>01/09/2010</v>
          </cell>
          <cell r="Y617" t="str">
            <v>KEW</v>
          </cell>
          <cell r="Z617" t="str">
            <v>16/08/2013</v>
          </cell>
          <cell r="AA617" t="str">
            <v>15/08/2015</v>
          </cell>
          <cell r="AB617" t="str">
            <v>No</v>
          </cell>
          <cell r="AC617" t="str">
            <v>31/08/2013</v>
          </cell>
          <cell r="AD617" t="str">
            <v>Good</v>
          </cell>
          <cell r="AE617" t="str">
            <v>V1 - Existing / No Claim</v>
          </cell>
          <cell r="AF617">
            <v>42235</v>
          </cell>
          <cell r="AG617">
            <v>9.17</v>
          </cell>
          <cell r="AH617" t="str">
            <v>PPM</v>
          </cell>
          <cell r="AI617" t="str">
            <v>Strands</v>
          </cell>
          <cell r="AJ617" t="str">
            <v>Strands PW</v>
          </cell>
        </row>
        <row r="618">
          <cell r="A618" t="str">
            <v>IKN400137</v>
          </cell>
          <cell r="B618">
            <v>137</v>
          </cell>
          <cell r="C618" t="str">
            <v>Institut Kanser Negara</v>
          </cell>
          <cell r="D618" t="str">
            <v>KKM/IKN/H/13/1009</v>
          </cell>
          <cell r="E618" t="str">
            <v>13-215</v>
          </cell>
          <cell r="F618" t="str">
            <v>Infusion Pumps, General-Purpose</v>
          </cell>
          <cell r="G618" t="str">
            <v>IC</v>
          </cell>
          <cell r="H618" t="str">
            <v>INTENSIVE CARE UNIT</v>
          </cell>
          <cell r="I618" t="str">
            <v>05IC112</v>
          </cell>
          <cell r="J618" t="str">
            <v>ICU RM 1</v>
          </cell>
          <cell r="K618" t="str">
            <v>BMED</v>
          </cell>
          <cell r="L618" t="str">
            <v>Normal</v>
          </cell>
          <cell r="M618" t="str">
            <v>Germany</v>
          </cell>
          <cell r="N618" t="str">
            <v>Infusomat</v>
          </cell>
          <cell r="O618" t="str">
            <v>Infusomat Space</v>
          </cell>
          <cell r="P618">
            <v>211715</v>
          </cell>
          <cell r="Q618" t="str">
            <v>Not Applicable</v>
          </cell>
          <cell r="R618" t="str">
            <v>B Braun Melsungen AG</v>
          </cell>
          <cell r="S618" t="str">
            <v>B Braun Medical Supplies Sdn. Bhd.</v>
          </cell>
          <cell r="T618" t="str">
            <v>Functioning</v>
          </cell>
          <cell r="U618" t="str">
            <v>Asset</v>
          </cell>
          <cell r="V618">
            <v>10825</v>
          </cell>
          <cell r="W618" t="str">
            <v>KEW</v>
          </cell>
          <cell r="X618" t="str">
            <v>01/09/2010</v>
          </cell>
          <cell r="Y618" t="str">
            <v>KEW</v>
          </cell>
          <cell r="Z618" t="str">
            <v>16/08/2013</v>
          </cell>
          <cell r="AA618" t="str">
            <v>15/08/2015</v>
          </cell>
          <cell r="AB618" t="str">
            <v>No</v>
          </cell>
          <cell r="AC618" t="str">
            <v>31/08/2013</v>
          </cell>
          <cell r="AD618" t="str">
            <v>Good</v>
          </cell>
          <cell r="AE618" t="str">
            <v>V1 - Existing / No Claim</v>
          </cell>
          <cell r="AF618">
            <v>42235</v>
          </cell>
          <cell r="AG618">
            <v>9.17</v>
          </cell>
          <cell r="AH618" t="str">
            <v>PPM</v>
          </cell>
          <cell r="AI618" t="str">
            <v>Strands</v>
          </cell>
          <cell r="AJ618" t="str">
            <v>Strands PW</v>
          </cell>
        </row>
        <row r="619">
          <cell r="A619" t="str">
            <v>IKN400138</v>
          </cell>
          <cell r="B619">
            <v>138</v>
          </cell>
          <cell r="C619" t="str">
            <v>Institut Kanser Negara</v>
          </cell>
          <cell r="D619" t="str">
            <v>KKM/IKN/H/13/1010</v>
          </cell>
          <cell r="E619" t="str">
            <v>13-215</v>
          </cell>
          <cell r="F619" t="str">
            <v>Infusion Pumps, General-Purpose</v>
          </cell>
          <cell r="G619" t="str">
            <v>IC</v>
          </cell>
          <cell r="H619" t="str">
            <v>INTENSIVE CARE UNIT</v>
          </cell>
          <cell r="I619" t="str">
            <v>05IC112</v>
          </cell>
          <cell r="J619" t="str">
            <v>ICU RM 1</v>
          </cell>
          <cell r="K619" t="str">
            <v>BMED</v>
          </cell>
          <cell r="L619" t="str">
            <v>Normal</v>
          </cell>
          <cell r="M619" t="str">
            <v>Germany</v>
          </cell>
          <cell r="N619" t="str">
            <v>Infusomat</v>
          </cell>
          <cell r="O619" t="str">
            <v>Infusomat Space</v>
          </cell>
          <cell r="P619" t="str">
            <v>211936</v>
          </cell>
          <cell r="Q619" t="str">
            <v>Not Applicable</v>
          </cell>
          <cell r="R619" t="str">
            <v>B Braun Melsungen AG</v>
          </cell>
          <cell r="S619" t="str">
            <v>B Braun Medical Supplies Sdn. Bhd.</v>
          </cell>
          <cell r="T619" t="str">
            <v>Functioning</v>
          </cell>
          <cell r="U619" t="str">
            <v>Asset</v>
          </cell>
          <cell r="V619">
            <v>10825</v>
          </cell>
          <cell r="W619" t="str">
            <v>KEW</v>
          </cell>
          <cell r="X619" t="str">
            <v>01/09/2010</v>
          </cell>
          <cell r="Y619" t="str">
            <v>KEW</v>
          </cell>
          <cell r="Z619" t="str">
            <v>16/08/2013</v>
          </cell>
          <cell r="AA619" t="str">
            <v>15/08/2015</v>
          </cell>
          <cell r="AB619" t="str">
            <v>No</v>
          </cell>
          <cell r="AC619" t="str">
            <v>31/08/2013</v>
          </cell>
          <cell r="AD619" t="str">
            <v>Good</v>
          </cell>
          <cell r="AE619" t="str">
            <v>V1 - Existing / No Claim</v>
          </cell>
          <cell r="AF619">
            <v>42235</v>
          </cell>
          <cell r="AG619">
            <v>9.17</v>
          </cell>
          <cell r="AH619" t="str">
            <v>PPM</v>
          </cell>
          <cell r="AI619" t="str">
            <v>Strands</v>
          </cell>
          <cell r="AJ619" t="str">
            <v>Strands PW</v>
          </cell>
        </row>
        <row r="620">
          <cell r="A620" t="str">
            <v>IKN400139</v>
          </cell>
          <cell r="B620">
            <v>139</v>
          </cell>
          <cell r="C620" t="str">
            <v>Institut Kanser Negara</v>
          </cell>
          <cell r="D620" t="str">
            <v>KKM/IKN/H/13/1011</v>
          </cell>
          <cell r="E620" t="str">
            <v>13-215</v>
          </cell>
          <cell r="F620" t="str">
            <v>Infusion Pumps, General-Purpose</v>
          </cell>
          <cell r="G620" t="str">
            <v>IC</v>
          </cell>
          <cell r="H620" t="str">
            <v>INTENSIVE CARE UNIT</v>
          </cell>
          <cell r="I620" t="str">
            <v>05IC113</v>
          </cell>
          <cell r="J620" t="str">
            <v>ICU RM 2</v>
          </cell>
          <cell r="K620" t="str">
            <v>BMED</v>
          </cell>
          <cell r="L620" t="str">
            <v>Critical</v>
          </cell>
          <cell r="M620" t="str">
            <v>Germany</v>
          </cell>
          <cell r="N620" t="str">
            <v>Infusomat</v>
          </cell>
          <cell r="O620" t="str">
            <v>Infusomat Space</v>
          </cell>
          <cell r="P620" t="str">
            <v>211828</v>
          </cell>
          <cell r="Q620" t="str">
            <v>Not Applicable</v>
          </cell>
          <cell r="R620" t="str">
            <v>B Braun Melsungen AG</v>
          </cell>
          <cell r="S620" t="str">
            <v>B Braun Medical Supplies Sdn. Bhd.</v>
          </cell>
          <cell r="T620" t="str">
            <v>Functioning</v>
          </cell>
          <cell r="U620" t="str">
            <v>Asset</v>
          </cell>
          <cell r="V620">
            <v>10825</v>
          </cell>
          <cell r="W620" t="str">
            <v>KEW</v>
          </cell>
          <cell r="X620" t="str">
            <v>01/09/2010</v>
          </cell>
          <cell r="Y620" t="str">
            <v>KEW</v>
          </cell>
          <cell r="Z620" t="str">
            <v>16/08/2013</v>
          </cell>
          <cell r="AA620" t="str">
            <v>15/08/2015</v>
          </cell>
          <cell r="AB620" t="str">
            <v>No</v>
          </cell>
          <cell r="AC620" t="str">
            <v>31/08/2013</v>
          </cell>
          <cell r="AD620" t="str">
            <v>Good</v>
          </cell>
          <cell r="AE620" t="str">
            <v>V1 - Existing / No Claim</v>
          </cell>
          <cell r="AF620">
            <v>42797</v>
          </cell>
          <cell r="AG620">
            <v>9.17</v>
          </cell>
          <cell r="AH620" t="str">
            <v>PPM</v>
          </cell>
          <cell r="AI620" t="str">
            <v>Strands</v>
          </cell>
          <cell r="AJ620" t="str">
            <v>Strands PW</v>
          </cell>
        </row>
        <row r="621">
          <cell r="A621" t="str">
            <v>IKN400140</v>
          </cell>
          <cell r="B621">
            <v>140</v>
          </cell>
          <cell r="C621" t="str">
            <v>Institut Kanser Negara</v>
          </cell>
          <cell r="D621" t="str">
            <v>KKM/IKN/H/13/1012</v>
          </cell>
          <cell r="E621" t="str">
            <v>13-215</v>
          </cell>
          <cell r="F621" t="str">
            <v>Infusion Pumps, General-Purpose</v>
          </cell>
          <cell r="G621" t="str">
            <v>IC</v>
          </cell>
          <cell r="H621" t="str">
            <v>INTENSIVE CARE UNIT</v>
          </cell>
          <cell r="I621" t="str">
            <v>05IC113</v>
          </cell>
          <cell r="J621" t="str">
            <v>ICU RM 2</v>
          </cell>
          <cell r="K621" t="str">
            <v>BMED</v>
          </cell>
          <cell r="L621" t="str">
            <v>Critical</v>
          </cell>
          <cell r="M621" t="str">
            <v>Germany</v>
          </cell>
          <cell r="N621" t="str">
            <v>Infusomat</v>
          </cell>
          <cell r="O621" t="str">
            <v>Infusomat Space</v>
          </cell>
          <cell r="P621" t="str">
            <v>212094</v>
          </cell>
          <cell r="Q621" t="str">
            <v>Not Applicable</v>
          </cell>
          <cell r="R621" t="str">
            <v>B Braun Melsungen AG</v>
          </cell>
          <cell r="S621" t="str">
            <v>B Braun Medical Supplies Sdn. Bhd.</v>
          </cell>
          <cell r="T621" t="str">
            <v>Functioning</v>
          </cell>
          <cell r="U621" t="str">
            <v>Asset</v>
          </cell>
          <cell r="V621">
            <v>10825</v>
          </cell>
          <cell r="W621" t="str">
            <v>KEW</v>
          </cell>
          <cell r="X621" t="str">
            <v>01/09/2010</v>
          </cell>
          <cell r="Y621" t="str">
            <v>KEW</v>
          </cell>
          <cell r="Z621" t="str">
            <v>16/08/2013</v>
          </cell>
          <cell r="AA621" t="str">
            <v>15/08/2015</v>
          </cell>
          <cell r="AB621" t="str">
            <v>No</v>
          </cell>
          <cell r="AC621" t="str">
            <v>31/08/2013</v>
          </cell>
          <cell r="AD621" t="str">
            <v>Good</v>
          </cell>
          <cell r="AE621" t="str">
            <v>V1 - Existing / No Claim</v>
          </cell>
          <cell r="AF621">
            <v>42797</v>
          </cell>
          <cell r="AG621">
            <v>9.17</v>
          </cell>
          <cell r="AH621" t="str">
            <v>PPM</v>
          </cell>
          <cell r="AI621" t="str">
            <v>Strands</v>
          </cell>
          <cell r="AJ621" t="str">
            <v>Strands PW</v>
          </cell>
        </row>
        <row r="622">
          <cell r="A622" t="str">
            <v>IKN400141</v>
          </cell>
          <cell r="B622">
            <v>141</v>
          </cell>
          <cell r="C622" t="str">
            <v>Institut Kanser Negara</v>
          </cell>
          <cell r="D622" t="str">
            <v>KKM/IKN/H/13/1013</v>
          </cell>
          <cell r="E622" t="str">
            <v>13-215</v>
          </cell>
          <cell r="F622" t="str">
            <v>Infusion Pumps, General-Purpose</v>
          </cell>
          <cell r="G622" t="str">
            <v>IC</v>
          </cell>
          <cell r="H622" t="str">
            <v>INTENSIVE CARE UNIT</v>
          </cell>
          <cell r="I622" t="str">
            <v>05IC114</v>
          </cell>
          <cell r="J622" t="str">
            <v>ICU RM 3</v>
          </cell>
          <cell r="K622" t="str">
            <v>BMED</v>
          </cell>
          <cell r="L622" t="str">
            <v>Critical</v>
          </cell>
          <cell r="M622" t="str">
            <v>Germany</v>
          </cell>
          <cell r="N622" t="str">
            <v>Infusomat</v>
          </cell>
          <cell r="O622" t="str">
            <v>Infusomat Space</v>
          </cell>
          <cell r="P622" t="str">
            <v>211919</v>
          </cell>
          <cell r="Q622" t="str">
            <v>Not Applicable</v>
          </cell>
          <cell r="R622" t="str">
            <v>B Braun Melsungen AG</v>
          </cell>
          <cell r="S622" t="str">
            <v>B Braun Medical Supplies Sdn. Bhd.</v>
          </cell>
          <cell r="T622" t="str">
            <v>Functioning</v>
          </cell>
          <cell r="U622" t="str">
            <v>Asset</v>
          </cell>
          <cell r="V622">
            <v>10825</v>
          </cell>
          <cell r="W622" t="str">
            <v>KEW</v>
          </cell>
          <cell r="X622" t="str">
            <v>01/09/2010</v>
          </cell>
          <cell r="Y622" t="str">
            <v>KEW</v>
          </cell>
          <cell r="Z622" t="str">
            <v>16/08/2013</v>
          </cell>
          <cell r="AA622" t="str">
            <v>15/08/2015</v>
          </cell>
          <cell r="AB622" t="str">
            <v>No</v>
          </cell>
          <cell r="AC622" t="str">
            <v>31/08/2013</v>
          </cell>
          <cell r="AD622" t="str">
            <v>Good</v>
          </cell>
          <cell r="AE622" t="str">
            <v>V1 - Existing / No Claim</v>
          </cell>
          <cell r="AF622">
            <v>42797</v>
          </cell>
          <cell r="AG622">
            <v>9.17</v>
          </cell>
          <cell r="AH622" t="str">
            <v>PPM</v>
          </cell>
          <cell r="AI622" t="str">
            <v>Strands</v>
          </cell>
          <cell r="AJ622" t="str">
            <v>Strands PW</v>
          </cell>
        </row>
        <row r="623">
          <cell r="A623" t="str">
            <v>IKN400142</v>
          </cell>
          <cell r="B623">
            <v>142</v>
          </cell>
          <cell r="C623" t="str">
            <v>Institut Kanser Negara</v>
          </cell>
          <cell r="D623" t="str">
            <v>KKM/IKN/H/13/1014</v>
          </cell>
          <cell r="E623" t="str">
            <v>13-215</v>
          </cell>
          <cell r="F623" t="str">
            <v>Infusion Pumps, General-Purpose</v>
          </cell>
          <cell r="G623" t="str">
            <v>IC</v>
          </cell>
          <cell r="H623" t="str">
            <v>INTENSIVE CARE UNIT</v>
          </cell>
          <cell r="I623" t="str">
            <v>05IC114</v>
          </cell>
          <cell r="J623" t="str">
            <v>ICU RM 3</v>
          </cell>
          <cell r="K623" t="str">
            <v>BMED</v>
          </cell>
          <cell r="L623" t="str">
            <v>Normal</v>
          </cell>
          <cell r="M623" t="str">
            <v>Germany</v>
          </cell>
          <cell r="N623" t="str">
            <v>Infusomat</v>
          </cell>
          <cell r="O623" t="str">
            <v>Infusomat Space</v>
          </cell>
          <cell r="P623" t="str">
            <v>212022</v>
          </cell>
          <cell r="Q623" t="str">
            <v>Not Applicable</v>
          </cell>
          <cell r="R623" t="str">
            <v>B Braun Melsungen AG</v>
          </cell>
          <cell r="S623" t="str">
            <v>B Braun Medical Supplies Sdn. Bhd.</v>
          </cell>
          <cell r="T623" t="str">
            <v>Functioning</v>
          </cell>
          <cell r="U623" t="str">
            <v>Asset</v>
          </cell>
          <cell r="V623">
            <v>10825</v>
          </cell>
          <cell r="W623" t="str">
            <v>KEW</v>
          </cell>
          <cell r="X623" t="str">
            <v>01/09/2010</v>
          </cell>
          <cell r="Y623" t="str">
            <v>KEW</v>
          </cell>
          <cell r="Z623" t="str">
            <v>16/08/2013</v>
          </cell>
          <cell r="AA623" t="str">
            <v>15/08/2015</v>
          </cell>
          <cell r="AB623" t="str">
            <v>No</v>
          </cell>
          <cell r="AC623" t="str">
            <v>31/08/2013</v>
          </cell>
          <cell r="AD623" t="str">
            <v>Good</v>
          </cell>
          <cell r="AE623" t="str">
            <v>V1 - Existing / No Claim</v>
          </cell>
          <cell r="AF623">
            <v>42235</v>
          </cell>
          <cell r="AG623">
            <v>9.17</v>
          </cell>
          <cell r="AH623" t="str">
            <v>PPM</v>
          </cell>
          <cell r="AI623" t="str">
            <v>Strands</v>
          </cell>
          <cell r="AJ623" t="str">
            <v>Strands PW</v>
          </cell>
        </row>
        <row r="624">
          <cell r="A624" t="str">
            <v>IKN400143</v>
          </cell>
          <cell r="B624">
            <v>143</v>
          </cell>
          <cell r="C624" t="str">
            <v>Institut Kanser Negara</v>
          </cell>
          <cell r="D624" t="str">
            <v>KKM/IKN/H/13/1015</v>
          </cell>
          <cell r="E624" t="str">
            <v>13-215</v>
          </cell>
          <cell r="F624" t="str">
            <v>Infusion Pumps, General-Purpose</v>
          </cell>
          <cell r="G624" t="str">
            <v>IC</v>
          </cell>
          <cell r="H624" t="str">
            <v>INTENSIVE CARE UNIT</v>
          </cell>
          <cell r="I624" t="str">
            <v>05IC115</v>
          </cell>
          <cell r="J624" t="str">
            <v>ICU RM 4</v>
          </cell>
          <cell r="K624" t="str">
            <v>BMED</v>
          </cell>
          <cell r="L624" t="str">
            <v>Normal</v>
          </cell>
          <cell r="M624" t="str">
            <v>Germany</v>
          </cell>
          <cell r="N624" t="str">
            <v>Infusomat</v>
          </cell>
          <cell r="O624" t="str">
            <v>Infusomat Space</v>
          </cell>
          <cell r="P624" t="str">
            <v>212054</v>
          </cell>
          <cell r="Q624" t="str">
            <v>Not Applicable</v>
          </cell>
          <cell r="R624" t="str">
            <v>B Braun Melsungen AG</v>
          </cell>
          <cell r="S624" t="str">
            <v>B Braun Medical Supplies Sdn. Bhd.</v>
          </cell>
          <cell r="T624" t="str">
            <v>Functioning</v>
          </cell>
          <cell r="U624" t="str">
            <v>Asset</v>
          </cell>
          <cell r="V624">
            <v>10825</v>
          </cell>
          <cell r="W624" t="str">
            <v>KEW</v>
          </cell>
          <cell r="X624" t="str">
            <v>01/09/2010</v>
          </cell>
          <cell r="Y624" t="str">
            <v>KEW</v>
          </cell>
          <cell r="Z624" t="str">
            <v>16/08/2013</v>
          </cell>
          <cell r="AA624" t="str">
            <v>15/08/2015</v>
          </cell>
          <cell r="AB624" t="str">
            <v>No</v>
          </cell>
          <cell r="AC624" t="str">
            <v>31/08/2013</v>
          </cell>
          <cell r="AD624" t="str">
            <v>Good</v>
          </cell>
          <cell r="AE624" t="str">
            <v>V1 - Existing / No Claim</v>
          </cell>
          <cell r="AF624">
            <v>42235</v>
          </cell>
          <cell r="AG624">
            <v>9.17</v>
          </cell>
          <cell r="AH624" t="str">
            <v>PPM</v>
          </cell>
          <cell r="AI624" t="str">
            <v>Strands</v>
          </cell>
          <cell r="AJ624" t="str">
            <v>Strands PW</v>
          </cell>
        </row>
        <row r="625">
          <cell r="A625" t="str">
            <v>IKN400144</v>
          </cell>
          <cell r="B625">
            <v>144</v>
          </cell>
          <cell r="C625" t="str">
            <v>Institut Kanser Negara</v>
          </cell>
          <cell r="D625" t="str">
            <v>KKM/IKN/H/13/1016</v>
          </cell>
          <cell r="E625" t="str">
            <v>13-215</v>
          </cell>
          <cell r="F625" t="str">
            <v>Infusion Pumps, General-Purpose</v>
          </cell>
          <cell r="G625" t="str">
            <v>IC</v>
          </cell>
          <cell r="H625" t="str">
            <v>INTENSIVE CARE UNIT</v>
          </cell>
          <cell r="I625" t="str">
            <v>05IC115</v>
          </cell>
          <cell r="J625" t="str">
            <v>ICU RM 4</v>
          </cell>
          <cell r="K625" t="str">
            <v>BMED</v>
          </cell>
          <cell r="L625" t="str">
            <v>Critical</v>
          </cell>
          <cell r="M625" t="str">
            <v>Germany</v>
          </cell>
          <cell r="N625" t="str">
            <v>Infusomat</v>
          </cell>
          <cell r="O625" t="str">
            <v>Infusomat Space</v>
          </cell>
          <cell r="P625" t="str">
            <v>211920</v>
          </cell>
          <cell r="Q625" t="str">
            <v>Not Applicable</v>
          </cell>
          <cell r="R625" t="str">
            <v>B Braun Melsungen AG</v>
          </cell>
          <cell r="S625" t="str">
            <v>B Braun Medical Supplies Sdn. Bhd.</v>
          </cell>
          <cell r="T625" t="str">
            <v>Functioning</v>
          </cell>
          <cell r="U625" t="str">
            <v>Asset</v>
          </cell>
          <cell r="V625">
            <v>10825</v>
          </cell>
          <cell r="W625" t="str">
            <v>KEW</v>
          </cell>
          <cell r="X625" t="str">
            <v>01/09/2010</v>
          </cell>
          <cell r="Y625" t="str">
            <v>KEW</v>
          </cell>
          <cell r="Z625" t="str">
            <v>16/08/2013</v>
          </cell>
          <cell r="AA625" t="str">
            <v>15/08/2015</v>
          </cell>
          <cell r="AB625" t="str">
            <v>No</v>
          </cell>
          <cell r="AC625" t="str">
            <v>31/08/2013</v>
          </cell>
          <cell r="AD625" t="str">
            <v>Good</v>
          </cell>
          <cell r="AE625" t="str">
            <v>V1 - Existing / No Claim</v>
          </cell>
          <cell r="AF625">
            <v>42797</v>
          </cell>
          <cell r="AG625">
            <v>9.17</v>
          </cell>
          <cell r="AH625" t="str">
            <v>PPM</v>
          </cell>
          <cell r="AI625" t="str">
            <v>Strands</v>
          </cell>
          <cell r="AJ625" t="str">
            <v>Strands PW</v>
          </cell>
        </row>
        <row r="626">
          <cell r="A626" t="str">
            <v>IKN400145</v>
          </cell>
          <cell r="B626">
            <v>145</v>
          </cell>
          <cell r="C626" t="str">
            <v>Institut Kanser Negara</v>
          </cell>
          <cell r="D626" t="str">
            <v>KKM/IKN/H/13/1017</v>
          </cell>
          <cell r="E626" t="str">
            <v>13-215</v>
          </cell>
          <cell r="F626" t="str">
            <v>Infusion Pumps, General-Purpose</v>
          </cell>
          <cell r="G626" t="str">
            <v>IC</v>
          </cell>
          <cell r="H626" t="str">
            <v>INTENSIVE CARE UNIT</v>
          </cell>
          <cell r="I626" t="str">
            <v>05IC116</v>
          </cell>
          <cell r="J626" t="str">
            <v>ISOL 2 (+VE)</v>
          </cell>
          <cell r="K626" t="str">
            <v>BMED</v>
          </cell>
          <cell r="L626" t="str">
            <v>Critical</v>
          </cell>
          <cell r="M626" t="str">
            <v>Germany</v>
          </cell>
          <cell r="N626" t="str">
            <v>Infusomat</v>
          </cell>
          <cell r="O626" t="str">
            <v>Infusomat Space</v>
          </cell>
          <cell r="P626" t="str">
            <v>211981</v>
          </cell>
          <cell r="Q626" t="str">
            <v>Not Applicable</v>
          </cell>
          <cell r="R626" t="str">
            <v>B Braun Melsungen AG</v>
          </cell>
          <cell r="S626" t="str">
            <v>B Braun Medical Supplies Sdn. Bhd.</v>
          </cell>
          <cell r="T626" t="str">
            <v>Functioning</v>
          </cell>
          <cell r="U626" t="str">
            <v>Asset</v>
          </cell>
          <cell r="V626">
            <v>10825</v>
          </cell>
          <cell r="W626" t="str">
            <v>KEW</v>
          </cell>
          <cell r="X626" t="str">
            <v>01/09/2010</v>
          </cell>
          <cell r="Y626" t="str">
            <v>KEW</v>
          </cell>
          <cell r="Z626" t="str">
            <v>16/08/2013</v>
          </cell>
          <cell r="AA626" t="str">
            <v>15/08/2015</v>
          </cell>
          <cell r="AB626" t="str">
            <v>No</v>
          </cell>
          <cell r="AC626" t="str">
            <v>31/08/2013</v>
          </cell>
          <cell r="AD626" t="str">
            <v>Good</v>
          </cell>
          <cell r="AE626" t="str">
            <v>V1 - Existing / No Claim</v>
          </cell>
          <cell r="AF626">
            <v>42797</v>
          </cell>
          <cell r="AG626">
            <v>9.17</v>
          </cell>
          <cell r="AH626" t="str">
            <v>PPM</v>
          </cell>
          <cell r="AI626" t="str">
            <v>Strands</v>
          </cell>
          <cell r="AJ626" t="str">
            <v>Strands PW</v>
          </cell>
        </row>
        <row r="627">
          <cell r="A627" t="str">
            <v>IKN400146</v>
          </cell>
          <cell r="B627">
            <v>146</v>
          </cell>
          <cell r="C627" t="str">
            <v>Institut Kanser Negara</v>
          </cell>
          <cell r="D627" t="str">
            <v>KKM/IKN/H/13/1018</v>
          </cell>
          <cell r="E627" t="str">
            <v>13-215</v>
          </cell>
          <cell r="F627" t="str">
            <v>Infusion Pumps, General-Purpose</v>
          </cell>
          <cell r="G627" t="str">
            <v>IC</v>
          </cell>
          <cell r="H627" t="str">
            <v>INTENSIVE CARE UNIT</v>
          </cell>
          <cell r="I627" t="str">
            <v>05IC116</v>
          </cell>
          <cell r="J627" t="str">
            <v>ISOL 2 (+VE)</v>
          </cell>
          <cell r="K627" t="str">
            <v>BMED</v>
          </cell>
          <cell r="L627" t="str">
            <v>Critical</v>
          </cell>
          <cell r="M627" t="str">
            <v>Germany</v>
          </cell>
          <cell r="N627" t="str">
            <v>Infusomat</v>
          </cell>
          <cell r="O627" t="str">
            <v>Infusomat Space</v>
          </cell>
          <cell r="P627" t="str">
            <v>212071</v>
          </cell>
          <cell r="Q627" t="str">
            <v>Not Applicable</v>
          </cell>
          <cell r="R627" t="str">
            <v>B Braun Melsungen AG</v>
          </cell>
          <cell r="S627" t="str">
            <v>B Braun Medical Supplies Sdn. Bhd.</v>
          </cell>
          <cell r="T627" t="str">
            <v>Functioning</v>
          </cell>
          <cell r="U627" t="str">
            <v>Asset</v>
          </cell>
          <cell r="V627">
            <v>10825</v>
          </cell>
          <cell r="W627" t="str">
            <v>KEW</v>
          </cell>
          <cell r="X627" t="str">
            <v>01/09/2010</v>
          </cell>
          <cell r="Y627" t="str">
            <v>KEW</v>
          </cell>
          <cell r="Z627" t="str">
            <v>16/08/2013</v>
          </cell>
          <cell r="AA627" t="str">
            <v>15/08/2015</v>
          </cell>
          <cell r="AB627" t="str">
            <v>No</v>
          </cell>
          <cell r="AC627" t="str">
            <v>31/08/2013</v>
          </cell>
          <cell r="AD627" t="str">
            <v>Good</v>
          </cell>
          <cell r="AE627" t="str">
            <v>V1 - Existing / No Claim</v>
          </cell>
          <cell r="AF627">
            <v>42797</v>
          </cell>
          <cell r="AG627">
            <v>9.17</v>
          </cell>
          <cell r="AH627" t="str">
            <v>PPM</v>
          </cell>
          <cell r="AI627" t="str">
            <v>Strands</v>
          </cell>
          <cell r="AJ627" t="str">
            <v>Strands PW</v>
          </cell>
        </row>
        <row r="628">
          <cell r="A628" t="str">
            <v>IKN400147</v>
          </cell>
          <cell r="B628">
            <v>147</v>
          </cell>
          <cell r="C628" t="str">
            <v>Institut Kanser Negara</v>
          </cell>
          <cell r="D628" t="str">
            <v>KKM/IKN/H/13/1019</v>
          </cell>
          <cell r="E628" t="str">
            <v>13-215</v>
          </cell>
          <cell r="F628" t="str">
            <v>Infusion Pumps, General-Purpose</v>
          </cell>
          <cell r="G628" t="str">
            <v>IC</v>
          </cell>
          <cell r="H628" t="str">
            <v>INTENSIVE CARE UNIT</v>
          </cell>
          <cell r="I628" t="str">
            <v>05IC129</v>
          </cell>
          <cell r="J628" t="str">
            <v>ISOL 4 (+VE)</v>
          </cell>
          <cell r="K628" t="str">
            <v>BMED</v>
          </cell>
          <cell r="L628" t="str">
            <v>Normal</v>
          </cell>
          <cell r="M628" t="str">
            <v>Germany</v>
          </cell>
          <cell r="N628" t="str">
            <v>Infusomat</v>
          </cell>
          <cell r="O628" t="str">
            <v>Infusomat Space</v>
          </cell>
          <cell r="P628" t="str">
            <v>211870</v>
          </cell>
          <cell r="Q628" t="str">
            <v>Not Applicable</v>
          </cell>
          <cell r="R628" t="str">
            <v>B Braun Melsungen AG</v>
          </cell>
          <cell r="S628" t="str">
            <v>B Braun Medical Supplies Sdn. Bhd.</v>
          </cell>
          <cell r="T628" t="str">
            <v>Functioning</v>
          </cell>
          <cell r="U628" t="str">
            <v>Asset</v>
          </cell>
          <cell r="V628">
            <v>10825</v>
          </cell>
          <cell r="W628" t="str">
            <v>KEW</v>
          </cell>
          <cell r="X628" t="str">
            <v>01/09/2010</v>
          </cell>
          <cell r="Y628" t="str">
            <v>KEW</v>
          </cell>
          <cell r="Z628" t="str">
            <v>16/08/2013</v>
          </cell>
          <cell r="AA628" t="str">
            <v>15/08/2015</v>
          </cell>
          <cell r="AB628" t="str">
            <v>No</v>
          </cell>
          <cell r="AC628" t="str">
            <v>31/08/2013</v>
          </cell>
          <cell r="AD628" t="str">
            <v>Good</v>
          </cell>
          <cell r="AE628" t="str">
            <v>V1 - Existing / No Claim</v>
          </cell>
          <cell r="AF628">
            <v>42235</v>
          </cell>
          <cell r="AG628">
            <v>9.17</v>
          </cell>
          <cell r="AH628" t="str">
            <v>PPM</v>
          </cell>
          <cell r="AI628" t="str">
            <v>Strands</v>
          </cell>
          <cell r="AJ628" t="str">
            <v>Strands PW</v>
          </cell>
        </row>
        <row r="629">
          <cell r="A629" t="str">
            <v>IKN400148</v>
          </cell>
          <cell r="B629">
            <v>148</v>
          </cell>
          <cell r="C629" t="str">
            <v>Institut Kanser Negara</v>
          </cell>
          <cell r="D629" t="str">
            <v>KKM/IKN/H/13/1020</v>
          </cell>
          <cell r="E629" t="str">
            <v>13-215</v>
          </cell>
          <cell r="F629" t="str">
            <v>Infusion Pumps, General-Purpose</v>
          </cell>
          <cell r="G629" t="str">
            <v>IC</v>
          </cell>
          <cell r="H629" t="str">
            <v>INTENSIVE CARE UNIT</v>
          </cell>
          <cell r="I629" t="str">
            <v>05IC129</v>
          </cell>
          <cell r="J629" t="str">
            <v>ISOL 4 (+VE)</v>
          </cell>
          <cell r="K629" t="str">
            <v>BMED</v>
          </cell>
          <cell r="L629" t="str">
            <v>Normal</v>
          </cell>
          <cell r="M629" t="str">
            <v>Germany</v>
          </cell>
          <cell r="N629" t="str">
            <v>Infusomat</v>
          </cell>
          <cell r="O629" t="str">
            <v>Infusomat Space</v>
          </cell>
          <cell r="P629" t="str">
            <v>212100</v>
          </cell>
          <cell r="Q629" t="str">
            <v>Not Applicable</v>
          </cell>
          <cell r="R629" t="str">
            <v>B Braun Melsungen AG</v>
          </cell>
          <cell r="S629" t="str">
            <v>B Braun Medical Supplies Sdn. Bhd.</v>
          </cell>
          <cell r="T629" t="str">
            <v>Functioning</v>
          </cell>
          <cell r="U629" t="str">
            <v>Asset</v>
          </cell>
          <cell r="V629">
            <v>10825</v>
          </cell>
          <cell r="W629" t="str">
            <v>KEW</v>
          </cell>
          <cell r="X629" t="str">
            <v>01/09/2010</v>
          </cell>
          <cell r="Y629" t="str">
            <v>KEW</v>
          </cell>
          <cell r="Z629" t="str">
            <v>16/08/2013</v>
          </cell>
          <cell r="AA629" t="str">
            <v>15/08/2015</v>
          </cell>
          <cell r="AB629" t="str">
            <v>No</v>
          </cell>
          <cell r="AC629" t="str">
            <v>31/08/2013</v>
          </cell>
          <cell r="AD629" t="str">
            <v>Good</v>
          </cell>
          <cell r="AE629" t="str">
            <v>V1 - Existing / No Claim</v>
          </cell>
          <cell r="AF629">
            <v>42235</v>
          </cell>
          <cell r="AG629">
            <v>9.17</v>
          </cell>
          <cell r="AH629" t="str">
            <v>PPM</v>
          </cell>
          <cell r="AI629" t="str">
            <v>Strands</v>
          </cell>
          <cell r="AJ629" t="str">
            <v>Strands PW</v>
          </cell>
        </row>
        <row r="630">
          <cell r="A630" t="str">
            <v>IKN400149</v>
          </cell>
          <cell r="B630">
            <v>149</v>
          </cell>
          <cell r="C630" t="str">
            <v>Institut Kanser Negara</v>
          </cell>
          <cell r="D630" t="str">
            <v>KKM/IKN/H/13/1021</v>
          </cell>
          <cell r="E630" t="str">
            <v>13-215</v>
          </cell>
          <cell r="F630" t="str">
            <v>Infusion Pumps, General-Purpose</v>
          </cell>
          <cell r="G630" t="str">
            <v>IC</v>
          </cell>
          <cell r="H630" t="str">
            <v>INTENSIVE CARE UNIT</v>
          </cell>
          <cell r="I630" t="str">
            <v>05IC131</v>
          </cell>
          <cell r="J630" t="str">
            <v>ISOL 3 (+VE)</v>
          </cell>
          <cell r="K630" t="str">
            <v>BMED</v>
          </cell>
          <cell r="L630" t="str">
            <v>Normal</v>
          </cell>
          <cell r="M630" t="str">
            <v>Germany</v>
          </cell>
          <cell r="N630" t="str">
            <v>Infusomat</v>
          </cell>
          <cell r="O630" t="str">
            <v>Infusomat Space</v>
          </cell>
          <cell r="P630" t="str">
            <v>212111</v>
          </cell>
          <cell r="Q630" t="str">
            <v>Not Applicable</v>
          </cell>
          <cell r="R630" t="str">
            <v>B Braun Melsungen AG</v>
          </cell>
          <cell r="S630" t="str">
            <v>B Braun Medical Supplies Sdn. Bhd.</v>
          </cell>
          <cell r="T630" t="str">
            <v>Functioning</v>
          </cell>
          <cell r="U630" t="str">
            <v>Asset</v>
          </cell>
          <cell r="V630">
            <v>10825</v>
          </cell>
          <cell r="W630" t="str">
            <v>KEW</v>
          </cell>
          <cell r="X630" t="str">
            <v>01/09/2010</v>
          </cell>
          <cell r="Y630" t="str">
            <v>KEW</v>
          </cell>
          <cell r="Z630" t="str">
            <v>16/08/2013</v>
          </cell>
          <cell r="AA630" t="str">
            <v>15/08/2015</v>
          </cell>
          <cell r="AB630" t="str">
            <v>No</v>
          </cell>
          <cell r="AC630" t="str">
            <v>31/08/2013</v>
          </cell>
          <cell r="AD630" t="str">
            <v>Good</v>
          </cell>
          <cell r="AE630" t="str">
            <v>V1 - Existing / No Claim</v>
          </cell>
          <cell r="AF630">
            <v>42235</v>
          </cell>
          <cell r="AG630">
            <v>9.17</v>
          </cell>
          <cell r="AH630" t="str">
            <v>PPM</v>
          </cell>
          <cell r="AI630" t="str">
            <v>Strands</v>
          </cell>
          <cell r="AJ630" t="str">
            <v>Strands PW</v>
          </cell>
        </row>
        <row r="631">
          <cell r="A631" t="str">
            <v>IKN400150</v>
          </cell>
          <cell r="B631">
            <v>150</v>
          </cell>
          <cell r="C631" t="str">
            <v>Institut Kanser Negara</v>
          </cell>
          <cell r="D631" t="str">
            <v>KKM/IKN/H/13/1022</v>
          </cell>
          <cell r="E631" t="str">
            <v>13-215</v>
          </cell>
          <cell r="F631" t="str">
            <v>Infusion Pumps, General-Purpose</v>
          </cell>
          <cell r="G631" t="str">
            <v>IC</v>
          </cell>
          <cell r="H631" t="str">
            <v>INTENSIVE CARE UNIT</v>
          </cell>
          <cell r="I631" t="str">
            <v>05IC131</v>
          </cell>
          <cell r="J631" t="str">
            <v>ISOL 3 (+VE)</v>
          </cell>
          <cell r="K631" t="str">
            <v>BMED</v>
          </cell>
          <cell r="L631" t="str">
            <v>Normal</v>
          </cell>
          <cell r="M631" t="str">
            <v>Germany</v>
          </cell>
          <cell r="N631" t="str">
            <v>Infusomat</v>
          </cell>
          <cell r="O631" t="str">
            <v>Infusomat Space</v>
          </cell>
          <cell r="P631" t="str">
            <v>212060</v>
          </cell>
          <cell r="Q631" t="str">
            <v>Not Applicable</v>
          </cell>
          <cell r="R631" t="str">
            <v>B Braun Melsungen AG</v>
          </cell>
          <cell r="S631" t="str">
            <v>B Braun Medical Supplies Sdn. Bhd.</v>
          </cell>
          <cell r="T631" t="str">
            <v>Functioning</v>
          </cell>
          <cell r="U631" t="str">
            <v>Asset</v>
          </cell>
          <cell r="V631">
            <v>10825</v>
          </cell>
          <cell r="W631" t="str">
            <v>KEW</v>
          </cell>
          <cell r="X631" t="str">
            <v>01/09/2010</v>
          </cell>
          <cell r="Y631" t="str">
            <v>KEW</v>
          </cell>
          <cell r="Z631" t="str">
            <v>16/08/2013</v>
          </cell>
          <cell r="AA631" t="str">
            <v>15/08/2015</v>
          </cell>
          <cell r="AB631" t="str">
            <v>No</v>
          </cell>
          <cell r="AC631" t="str">
            <v>31/08/2013</v>
          </cell>
          <cell r="AD631" t="str">
            <v>Good</v>
          </cell>
          <cell r="AE631" t="str">
            <v>V1 - Existing / No Claim</v>
          </cell>
          <cell r="AF631">
            <v>42235</v>
          </cell>
          <cell r="AG631">
            <v>9.17</v>
          </cell>
          <cell r="AH631" t="str">
            <v>PPM</v>
          </cell>
          <cell r="AI631" t="str">
            <v>Strands</v>
          </cell>
          <cell r="AJ631" t="str">
            <v>Strands PW</v>
          </cell>
        </row>
        <row r="632">
          <cell r="A632" t="str">
            <v>IKN400151</v>
          </cell>
          <cell r="B632">
            <v>151</v>
          </cell>
          <cell r="C632" t="str">
            <v>Institut Kanser Negara</v>
          </cell>
          <cell r="D632" t="str">
            <v>KKM/IKN/H/13/1023</v>
          </cell>
          <cell r="E632" t="str">
            <v>18-147</v>
          </cell>
          <cell r="F632" t="str">
            <v>Mattress Systems, Alternating-Pressure</v>
          </cell>
          <cell r="G632" t="str">
            <v>WE</v>
          </cell>
          <cell r="H632" t="str">
            <v>RT/ONCO WARD 1 (F)</v>
          </cell>
          <cell r="I632" t="str">
            <v>07WE113</v>
          </cell>
          <cell r="J632" t="str">
            <v>EQUIPMENT ROOM</v>
          </cell>
          <cell r="K632" t="str">
            <v>BMED</v>
          </cell>
          <cell r="L632" t="str">
            <v>Normal</v>
          </cell>
          <cell r="M632" t="str">
            <v>Poland</v>
          </cell>
          <cell r="N632" t="str">
            <v>Nimbus</v>
          </cell>
          <cell r="O632" t="str">
            <v>Nimbus 3</v>
          </cell>
          <cell r="P632" t="str">
            <v>1200006460</v>
          </cell>
          <cell r="Q632" t="str">
            <v>Not Applicable</v>
          </cell>
          <cell r="R632" t="str">
            <v>Arjohuntleigh</v>
          </cell>
          <cell r="S632" t="str">
            <v>Hexamine Sdn. Bhd.</v>
          </cell>
          <cell r="T632" t="str">
            <v>Functioning</v>
          </cell>
          <cell r="U632" t="str">
            <v>Asset</v>
          </cell>
          <cell r="V632">
            <v>28630</v>
          </cell>
          <cell r="W632" t="str">
            <v>KEW</v>
          </cell>
          <cell r="X632" t="str">
            <v>01/09/2010</v>
          </cell>
          <cell r="Y632" t="str">
            <v>KEW</v>
          </cell>
          <cell r="Z632" t="str">
            <v>16/08/2013</v>
          </cell>
          <cell r="AA632" t="str">
            <v>15/08/2015</v>
          </cell>
          <cell r="AB632" t="str">
            <v>No</v>
          </cell>
          <cell r="AC632" t="str">
            <v>31/08/2013</v>
          </cell>
          <cell r="AD632" t="str">
            <v>Good</v>
          </cell>
          <cell r="AE632" t="str">
            <v>V1 - Existing / No Claim</v>
          </cell>
          <cell r="AF632">
            <v>42992</v>
          </cell>
          <cell r="AG632">
            <v>9.17</v>
          </cell>
          <cell r="AH632" t="str">
            <v>PPM</v>
          </cell>
          <cell r="AI632" t="str">
            <v>Strands</v>
          </cell>
          <cell r="AJ632" t="str">
            <v>Strands PW</v>
          </cell>
        </row>
        <row r="633">
          <cell r="A633" t="str">
            <v>IKN400152</v>
          </cell>
          <cell r="B633">
            <v>152</v>
          </cell>
          <cell r="C633" t="str">
            <v>Institut Kanser Negara</v>
          </cell>
          <cell r="D633" t="str">
            <v>KKM/IKN/H/13/1024</v>
          </cell>
          <cell r="E633" t="str">
            <v>18-147</v>
          </cell>
          <cell r="F633" t="str">
            <v>Mattress Systems, Alternating-Pressure</v>
          </cell>
          <cell r="G633" t="str">
            <v>WF</v>
          </cell>
          <cell r="H633" t="str">
            <v>RT/ONCO WARD 2 (F)</v>
          </cell>
          <cell r="I633" t="str">
            <v>07WF121</v>
          </cell>
          <cell r="J633" t="str">
            <v>EQUIPMENT ROOM</v>
          </cell>
          <cell r="K633" t="str">
            <v>BMED</v>
          </cell>
          <cell r="L633" t="str">
            <v>Normal</v>
          </cell>
          <cell r="M633" t="str">
            <v>Poland</v>
          </cell>
          <cell r="N633" t="str">
            <v>Nimbus</v>
          </cell>
          <cell r="O633" t="str">
            <v>Nimbus 3</v>
          </cell>
          <cell r="P633" t="str">
            <v>1200006461</v>
          </cell>
          <cell r="Q633" t="str">
            <v>Not Applicable</v>
          </cell>
          <cell r="R633" t="str">
            <v>Arjohuntleigh</v>
          </cell>
          <cell r="S633" t="str">
            <v>Hexamine Sdn. Bhd.</v>
          </cell>
          <cell r="T633" t="str">
            <v>Functioning</v>
          </cell>
          <cell r="U633" t="str">
            <v>Asset</v>
          </cell>
          <cell r="V633">
            <v>28630</v>
          </cell>
          <cell r="W633" t="str">
            <v>KEW</v>
          </cell>
          <cell r="X633" t="str">
            <v>01/09/2010</v>
          </cell>
          <cell r="Y633" t="str">
            <v>KEW</v>
          </cell>
          <cell r="Z633" t="str">
            <v>16/08/2013</v>
          </cell>
          <cell r="AA633" t="str">
            <v>15/08/2015</v>
          </cell>
          <cell r="AB633" t="str">
            <v>No</v>
          </cell>
          <cell r="AC633" t="str">
            <v>31/08/2013</v>
          </cell>
          <cell r="AD633" t="str">
            <v>Good</v>
          </cell>
          <cell r="AE633" t="str">
            <v>V1 - Existing / No Claim</v>
          </cell>
          <cell r="AF633">
            <v>42992</v>
          </cell>
          <cell r="AG633">
            <v>9.17</v>
          </cell>
          <cell r="AH633" t="str">
            <v>PPM</v>
          </cell>
          <cell r="AI633" t="str">
            <v>Strands</v>
          </cell>
          <cell r="AJ633" t="str">
            <v>Strands PW</v>
          </cell>
        </row>
        <row r="634">
          <cell r="A634" t="str">
            <v>IKN400153</v>
          </cell>
          <cell r="B634">
            <v>153</v>
          </cell>
          <cell r="C634" t="str">
            <v>Institut Kanser Negara</v>
          </cell>
          <cell r="D634" t="str">
            <v>KKM/IKN/H/13/1054</v>
          </cell>
          <cell r="E634" t="str">
            <v>16-603</v>
          </cell>
          <cell r="F634" t="str">
            <v>Television Monitors</v>
          </cell>
          <cell r="G634" t="str">
            <v>IC</v>
          </cell>
          <cell r="H634" t="str">
            <v>INTENSIVE CARE UNIT</v>
          </cell>
          <cell r="I634" t="str">
            <v>05IC110</v>
          </cell>
          <cell r="J634" t="str">
            <v>AIRLOCK 1</v>
          </cell>
          <cell r="K634" t="str">
            <v>BMED</v>
          </cell>
          <cell r="L634" t="str">
            <v>Normal</v>
          </cell>
          <cell r="M634" t="str">
            <v>Japan</v>
          </cell>
          <cell r="N634" t="str">
            <v>RadiForce</v>
          </cell>
          <cell r="O634" t="str">
            <v>RadiForce RS110</v>
          </cell>
          <cell r="P634" t="str">
            <v>34930112CD</v>
          </cell>
          <cell r="Q634" t="str">
            <v>Not Applicable</v>
          </cell>
          <cell r="R634" t="str">
            <v>Eizo</v>
          </cell>
          <cell r="S634" t="str">
            <v>GE Healthcare Technologies</v>
          </cell>
          <cell r="T634" t="str">
            <v>Functioning</v>
          </cell>
          <cell r="U634" t="str">
            <v>Asset</v>
          </cell>
          <cell r="V634">
            <v>2700</v>
          </cell>
          <cell r="W634" t="str">
            <v>KEW</v>
          </cell>
          <cell r="X634" t="str">
            <v>01/09/2010</v>
          </cell>
          <cell r="Y634" t="str">
            <v>KEW</v>
          </cell>
          <cell r="Z634" t="str">
            <v>16/08/2013</v>
          </cell>
          <cell r="AA634" t="str">
            <v>15/08/2015</v>
          </cell>
          <cell r="AB634" t="str">
            <v>No</v>
          </cell>
          <cell r="AC634" t="str">
            <v>31/08/2013</v>
          </cell>
          <cell r="AD634" t="str">
            <v>Good</v>
          </cell>
          <cell r="AE634" t="str">
            <v>V1 - Existing / No Claim</v>
          </cell>
          <cell r="AF634">
            <v>42235</v>
          </cell>
          <cell r="AG634">
            <v>9.17</v>
          </cell>
          <cell r="AH634" t="str">
            <v>RI</v>
          </cell>
          <cell r="AI634" t="str">
            <v>Strands</v>
          </cell>
          <cell r="AJ634" t="str">
            <v>Strands PW</v>
          </cell>
        </row>
        <row r="635">
          <cell r="A635" t="str">
            <v>IKN400154</v>
          </cell>
          <cell r="B635">
            <v>154</v>
          </cell>
          <cell r="C635" t="str">
            <v>Institut Kanser Negara</v>
          </cell>
          <cell r="D635" t="str">
            <v>KKM/IKN/H/13/1055</v>
          </cell>
          <cell r="E635" t="str">
            <v>16-603</v>
          </cell>
          <cell r="F635" t="str">
            <v>Television Monitors</v>
          </cell>
          <cell r="G635" t="str">
            <v>IC</v>
          </cell>
          <cell r="H635" t="str">
            <v>INTENSIVE CARE UNIT</v>
          </cell>
          <cell r="I635" t="str">
            <v>05IC117</v>
          </cell>
          <cell r="J635" t="str">
            <v>AIRLOCK 2</v>
          </cell>
          <cell r="K635" t="str">
            <v>BMED</v>
          </cell>
          <cell r="L635" t="str">
            <v>Normal</v>
          </cell>
          <cell r="M635" t="str">
            <v>Japan</v>
          </cell>
          <cell r="N635" t="str">
            <v>RadiForce</v>
          </cell>
          <cell r="O635" t="str">
            <v>RadiForce RS110</v>
          </cell>
          <cell r="P635" t="str">
            <v>34931112CD</v>
          </cell>
          <cell r="Q635" t="str">
            <v>Not Applicable</v>
          </cell>
          <cell r="R635" t="str">
            <v>Eizo</v>
          </cell>
          <cell r="S635" t="str">
            <v>GE Healthcare Technologies</v>
          </cell>
          <cell r="T635" t="str">
            <v>Functioning</v>
          </cell>
          <cell r="U635" t="str">
            <v>Asset</v>
          </cell>
          <cell r="V635">
            <v>2700</v>
          </cell>
          <cell r="W635" t="str">
            <v>KEW</v>
          </cell>
          <cell r="X635" t="str">
            <v>01/09/2010</v>
          </cell>
          <cell r="Y635" t="str">
            <v>KEW</v>
          </cell>
          <cell r="Z635" t="str">
            <v>16/08/2013</v>
          </cell>
          <cell r="AA635" t="str">
            <v>15/08/2015</v>
          </cell>
          <cell r="AB635" t="str">
            <v>No</v>
          </cell>
          <cell r="AC635" t="str">
            <v>31/08/2013</v>
          </cell>
          <cell r="AD635" t="str">
            <v>Good</v>
          </cell>
          <cell r="AE635" t="str">
            <v>V1 - Existing / No Claim</v>
          </cell>
          <cell r="AF635">
            <v>42235</v>
          </cell>
          <cell r="AG635">
            <v>9.17</v>
          </cell>
          <cell r="AH635" t="str">
            <v>RI</v>
          </cell>
          <cell r="AI635" t="str">
            <v>Strands</v>
          </cell>
          <cell r="AJ635" t="str">
            <v>Strands PW</v>
          </cell>
        </row>
        <row r="636">
          <cell r="A636" t="str">
            <v>IKN400155</v>
          </cell>
          <cell r="B636">
            <v>155</v>
          </cell>
          <cell r="C636" t="str">
            <v>Institut Kanser Negara</v>
          </cell>
          <cell r="D636" t="str">
            <v>KKM/IKN/H/13/2755</v>
          </cell>
          <cell r="E636" t="str">
            <v>16-603</v>
          </cell>
          <cell r="F636" t="str">
            <v>Television Monitors</v>
          </cell>
          <cell r="G636" t="str">
            <v>IC</v>
          </cell>
          <cell r="H636" t="str">
            <v>INTENSIVE CARE UNIT</v>
          </cell>
          <cell r="I636" t="str">
            <v>05IC128</v>
          </cell>
          <cell r="J636" t="str">
            <v>AIRLOCK 4</v>
          </cell>
          <cell r="K636" t="str">
            <v>BMED</v>
          </cell>
          <cell r="L636" t="str">
            <v>Normal</v>
          </cell>
          <cell r="M636" t="str">
            <v>Japan</v>
          </cell>
          <cell r="N636" t="str">
            <v>RadiForce</v>
          </cell>
          <cell r="O636" t="str">
            <v>RadiForce RS110</v>
          </cell>
          <cell r="P636" t="str">
            <v>34932112CD</v>
          </cell>
          <cell r="Q636" t="str">
            <v>Not Applicable</v>
          </cell>
          <cell r="R636" t="str">
            <v>Eizo</v>
          </cell>
          <cell r="S636" t="str">
            <v>GE Healthcare Technologies</v>
          </cell>
          <cell r="T636" t="str">
            <v>Functioning</v>
          </cell>
          <cell r="U636" t="str">
            <v>Asset</v>
          </cell>
          <cell r="V636">
            <v>2700</v>
          </cell>
          <cell r="W636" t="str">
            <v>KEW</v>
          </cell>
          <cell r="X636" t="str">
            <v>01/09/2010</v>
          </cell>
          <cell r="Y636" t="str">
            <v>KEW</v>
          </cell>
          <cell r="Z636" t="str">
            <v>16/08/2013</v>
          </cell>
          <cell r="AA636" t="str">
            <v>15/08/2015</v>
          </cell>
          <cell r="AB636" t="str">
            <v>No</v>
          </cell>
          <cell r="AC636" t="str">
            <v>31/08/2013</v>
          </cell>
          <cell r="AD636" t="str">
            <v>Good</v>
          </cell>
          <cell r="AE636" t="str">
            <v>V1 - Existing / No Claim</v>
          </cell>
          <cell r="AF636">
            <v>42235</v>
          </cell>
          <cell r="AG636">
            <v>9.17</v>
          </cell>
          <cell r="AH636" t="str">
            <v>RI</v>
          </cell>
          <cell r="AI636" t="str">
            <v>Strands</v>
          </cell>
          <cell r="AJ636" t="str">
            <v>Strands PW</v>
          </cell>
        </row>
        <row r="637">
          <cell r="A637" t="str">
            <v>IKN400156</v>
          </cell>
          <cell r="B637">
            <v>156</v>
          </cell>
          <cell r="C637" t="str">
            <v>Institut Kanser Negara</v>
          </cell>
          <cell r="D637" t="str">
            <v>KKM/IKN/H/13/1057</v>
          </cell>
          <cell r="E637" t="str">
            <v>16-603</v>
          </cell>
          <cell r="F637" t="str">
            <v>Television Monitors</v>
          </cell>
          <cell r="G637" t="str">
            <v>IC</v>
          </cell>
          <cell r="H637" t="str">
            <v>INTENSIVE CARE UNIT</v>
          </cell>
          <cell r="I637" t="str">
            <v>05IC130</v>
          </cell>
          <cell r="J637" t="str">
            <v>AIRLOCK 3</v>
          </cell>
          <cell r="K637" t="str">
            <v>BMED</v>
          </cell>
          <cell r="L637" t="str">
            <v>Normal</v>
          </cell>
          <cell r="M637" t="str">
            <v>Japan</v>
          </cell>
          <cell r="N637" t="str">
            <v>RadiForce</v>
          </cell>
          <cell r="O637" t="str">
            <v>RadiForce RS110</v>
          </cell>
          <cell r="P637" t="str">
            <v>34924112CD</v>
          </cell>
          <cell r="Q637" t="str">
            <v>Not Applicable</v>
          </cell>
          <cell r="R637" t="str">
            <v>Eizo</v>
          </cell>
          <cell r="S637" t="str">
            <v>GE Healthcare Technologies</v>
          </cell>
          <cell r="T637" t="str">
            <v>Functioning</v>
          </cell>
          <cell r="U637" t="str">
            <v>Asset</v>
          </cell>
          <cell r="V637">
            <v>2700</v>
          </cell>
          <cell r="W637" t="str">
            <v>KEW</v>
          </cell>
          <cell r="X637" t="str">
            <v>01/09/2010</v>
          </cell>
          <cell r="Y637" t="str">
            <v>KEW</v>
          </cell>
          <cell r="Z637" t="str">
            <v>16/08/2013</v>
          </cell>
          <cell r="AA637" t="str">
            <v>15/08/2015</v>
          </cell>
          <cell r="AB637" t="str">
            <v>No</v>
          </cell>
          <cell r="AC637" t="str">
            <v>31/08/2013</v>
          </cell>
          <cell r="AD637" t="str">
            <v>Good</v>
          </cell>
          <cell r="AE637" t="str">
            <v>V1 - Existing / No Claim</v>
          </cell>
          <cell r="AF637">
            <v>42235</v>
          </cell>
          <cell r="AG637">
            <v>9.17</v>
          </cell>
          <cell r="AH637" t="str">
            <v>RI</v>
          </cell>
          <cell r="AI637" t="str">
            <v>Strands</v>
          </cell>
          <cell r="AJ637" t="str">
            <v>Strands PW</v>
          </cell>
        </row>
        <row r="638">
          <cell r="A638" t="str">
            <v>IKN400157</v>
          </cell>
          <cell r="B638">
            <v>157</v>
          </cell>
          <cell r="C638" t="str">
            <v>Institut Kanser Negara</v>
          </cell>
          <cell r="D638" t="str">
            <v>KKM/IKN/H/13/2753</v>
          </cell>
          <cell r="E638" t="str">
            <v>10-208</v>
          </cell>
          <cell r="F638" t="str">
            <v>Aspirators</v>
          </cell>
          <cell r="G638" t="str">
            <v>IC</v>
          </cell>
          <cell r="H638" t="str">
            <v>INTENSIVE CARE UNIT</v>
          </cell>
          <cell r="I638" t="str">
            <v>05IC106</v>
          </cell>
          <cell r="J638" t="str">
            <v>EQ. ROOM</v>
          </cell>
          <cell r="K638" t="str">
            <v>BMED</v>
          </cell>
          <cell r="L638" t="str">
            <v>Normal</v>
          </cell>
          <cell r="M638" t="str">
            <v>UK</v>
          </cell>
          <cell r="N638" t="str">
            <v>SAM</v>
          </cell>
          <cell r="O638" t="str">
            <v>SAM 427</v>
          </cell>
          <cell r="P638" t="str">
            <v>0313-0536</v>
          </cell>
          <cell r="Q638" t="str">
            <v>Not Applicable</v>
          </cell>
          <cell r="R638" t="str">
            <v>MG Electric Ltd</v>
          </cell>
          <cell r="S638" t="str">
            <v>Delta Medisains</v>
          </cell>
          <cell r="T638" t="str">
            <v>Functioning</v>
          </cell>
          <cell r="U638" t="str">
            <v>Asset</v>
          </cell>
          <cell r="V638">
            <v>10705</v>
          </cell>
          <cell r="W638" t="str">
            <v>KEW</v>
          </cell>
          <cell r="X638" t="str">
            <v>01/09/2010</v>
          </cell>
          <cell r="Y638" t="str">
            <v>KEW</v>
          </cell>
          <cell r="Z638" t="str">
            <v>16/08/2013</v>
          </cell>
          <cell r="AA638" t="str">
            <v>15/08/2015</v>
          </cell>
          <cell r="AB638" t="str">
            <v>No</v>
          </cell>
          <cell r="AC638" t="str">
            <v>31/08/2013</v>
          </cell>
          <cell r="AD638" t="str">
            <v>Good</v>
          </cell>
          <cell r="AE638" t="str">
            <v>V1 - Existing / No Claim</v>
          </cell>
          <cell r="AF638">
            <v>42235</v>
          </cell>
          <cell r="AG638">
            <v>9.17</v>
          </cell>
          <cell r="AH638" t="str">
            <v>PPM</v>
          </cell>
          <cell r="AI638" t="str">
            <v>Strands</v>
          </cell>
          <cell r="AJ638" t="str">
            <v>Strands PW</v>
          </cell>
        </row>
        <row r="639">
          <cell r="A639" t="str">
            <v>IKN400158</v>
          </cell>
          <cell r="B639">
            <v>158</v>
          </cell>
          <cell r="C639" t="str">
            <v>Institut Kanser Negara</v>
          </cell>
          <cell r="D639" t="str">
            <v>KKM/IKN/H/13/867</v>
          </cell>
          <cell r="E639" t="str">
            <v>10-208</v>
          </cell>
          <cell r="F639" t="str">
            <v>Aspirators</v>
          </cell>
          <cell r="G639" t="str">
            <v>IC</v>
          </cell>
          <cell r="H639" t="str">
            <v>INTENSIVE CARE UNIT</v>
          </cell>
          <cell r="I639" t="str">
            <v>05IC106</v>
          </cell>
          <cell r="J639" t="str">
            <v>EQ. ROOM</v>
          </cell>
          <cell r="K639" t="str">
            <v>BMED</v>
          </cell>
          <cell r="L639" t="str">
            <v>Normal</v>
          </cell>
          <cell r="M639" t="str">
            <v>UK</v>
          </cell>
          <cell r="N639" t="str">
            <v>SAM</v>
          </cell>
          <cell r="O639" t="str">
            <v>SAM 427</v>
          </cell>
          <cell r="P639" t="str">
            <v>0313-0531</v>
          </cell>
          <cell r="Q639" t="str">
            <v>Not Applicable</v>
          </cell>
          <cell r="R639" t="str">
            <v>MG Electric Ltd</v>
          </cell>
          <cell r="S639" t="str">
            <v>Delta Medisains</v>
          </cell>
          <cell r="T639" t="str">
            <v>Functioning</v>
          </cell>
          <cell r="U639" t="str">
            <v>Asset</v>
          </cell>
          <cell r="V639">
            <v>10705</v>
          </cell>
          <cell r="W639" t="str">
            <v>KEW</v>
          </cell>
          <cell r="X639" t="str">
            <v>01/09/2010</v>
          </cell>
          <cell r="Y639" t="str">
            <v>KEW</v>
          </cell>
          <cell r="Z639" t="str">
            <v>16/08/2013</v>
          </cell>
          <cell r="AA639" t="str">
            <v>15/08/2015</v>
          </cell>
          <cell r="AB639" t="str">
            <v>No</v>
          </cell>
          <cell r="AC639" t="str">
            <v>31/08/2013</v>
          </cell>
          <cell r="AD639" t="str">
            <v>Good</v>
          </cell>
          <cell r="AE639" t="str">
            <v>V1 - Existing / No Claim</v>
          </cell>
          <cell r="AF639">
            <v>42235</v>
          </cell>
          <cell r="AG639">
            <v>9.17</v>
          </cell>
          <cell r="AH639" t="str">
            <v>PPM</v>
          </cell>
          <cell r="AI639" t="str">
            <v>Strands</v>
          </cell>
          <cell r="AJ639" t="str">
            <v>Strands PW</v>
          </cell>
        </row>
        <row r="640">
          <cell r="A640" t="str">
            <v>IKN400159</v>
          </cell>
          <cell r="B640">
            <v>159</v>
          </cell>
          <cell r="C640" t="str">
            <v>Institut Kanser Negara</v>
          </cell>
          <cell r="D640" t="str">
            <v>KKM/IKN/H/13/3474</v>
          </cell>
          <cell r="E640" t="str">
            <v>17-422</v>
          </cell>
          <cell r="F640" t="str">
            <v>Scanning Systems, Ultrasonic, Cardiac</v>
          </cell>
          <cell r="G640" t="str">
            <v>OC</v>
          </cell>
          <cell r="H640" t="str">
            <v>ONCOLOGY CLINIC</v>
          </cell>
          <cell r="I640" t="str">
            <v>03OC136</v>
          </cell>
          <cell r="J640" t="str">
            <v>TREATMENT 2</v>
          </cell>
          <cell r="K640" t="str">
            <v>BMED</v>
          </cell>
          <cell r="L640" t="str">
            <v>Normal</v>
          </cell>
          <cell r="M640" t="str">
            <v>USA</v>
          </cell>
          <cell r="N640" t="str">
            <v>Vivid</v>
          </cell>
          <cell r="O640" t="str">
            <v>Vivid S5</v>
          </cell>
          <cell r="P640" t="str">
            <v>050527VS5N</v>
          </cell>
          <cell r="Q640" t="str">
            <v>Not Applicable</v>
          </cell>
          <cell r="R640" t="str">
            <v>GE Healthcare Systems</v>
          </cell>
          <cell r="S640" t="str">
            <v>GE Healthcare Technologies</v>
          </cell>
          <cell r="T640" t="str">
            <v>Functioning</v>
          </cell>
          <cell r="U640" t="str">
            <v>Asset</v>
          </cell>
          <cell r="V640">
            <v>332320</v>
          </cell>
          <cell r="W640" t="str">
            <v>KEW</v>
          </cell>
          <cell r="X640" t="str">
            <v>01/09/2010</v>
          </cell>
          <cell r="Y640" t="str">
            <v>KEW</v>
          </cell>
          <cell r="Z640" t="str">
            <v>16/08/2013</v>
          </cell>
          <cell r="AA640" t="str">
            <v>15/08/2015</v>
          </cell>
          <cell r="AB640" t="str">
            <v>No</v>
          </cell>
          <cell r="AC640" t="str">
            <v>31/08/2013</v>
          </cell>
          <cell r="AD640" t="str">
            <v>Good</v>
          </cell>
          <cell r="AE640" t="str">
            <v>V1 - Existing / No Claim</v>
          </cell>
          <cell r="AF640">
            <v>42796</v>
          </cell>
          <cell r="AG640">
            <v>9.17</v>
          </cell>
          <cell r="AH640" t="str">
            <v>PPM</v>
          </cell>
          <cell r="AI640" t="str">
            <v>Strands</v>
          </cell>
          <cell r="AJ640" t="str">
            <v>Strands Package</v>
          </cell>
          <cell r="AK640" t="str">
            <v>Package Code XU0022-S. [14/2/2024]: Tukar location ikut KEWPA</v>
          </cell>
        </row>
        <row r="641">
          <cell r="A641" t="str">
            <v>IKN400160</v>
          </cell>
          <cell r="B641">
            <v>160</v>
          </cell>
          <cell r="C641" t="str">
            <v>Institut Kanser Negara</v>
          </cell>
          <cell r="D641" t="str">
            <v>KKM/IKN/H/13/1128</v>
          </cell>
          <cell r="E641" t="str">
            <v>17-429</v>
          </cell>
          <cell r="F641" t="str">
            <v>Ventilators, Intensive Care</v>
          </cell>
          <cell r="G641" t="str">
            <v>IC</v>
          </cell>
          <cell r="H641" t="str">
            <v>INTENSIVE CARE UNIT</v>
          </cell>
          <cell r="I641" t="str">
            <v>05IC106</v>
          </cell>
          <cell r="J641" t="str">
            <v>EQ. ROOM</v>
          </cell>
          <cell r="K641" t="str">
            <v>BMED</v>
          </cell>
          <cell r="L641" t="str">
            <v>Critical</v>
          </cell>
          <cell r="M641" t="str">
            <v>USA</v>
          </cell>
          <cell r="N641" t="str">
            <v>Respironics</v>
          </cell>
          <cell r="O641" t="str">
            <v>Respironics V60</v>
          </cell>
          <cell r="P641" t="str">
            <v>201004392</v>
          </cell>
          <cell r="Q641" t="str">
            <v>Not Applicable</v>
          </cell>
          <cell r="R641" t="str">
            <v>Philips Medical Systems</v>
          </cell>
          <cell r="S641" t="str">
            <v>Goodlabs Medical (M) Sdn. Bhd.</v>
          </cell>
          <cell r="T641" t="str">
            <v>Functioning</v>
          </cell>
          <cell r="U641" t="str">
            <v>Asset</v>
          </cell>
          <cell r="V641">
            <v>92620</v>
          </cell>
          <cell r="W641" t="str">
            <v>KEW</v>
          </cell>
          <cell r="X641" t="str">
            <v>01/09/2010</v>
          </cell>
          <cell r="Y641" t="str">
            <v>KEW</v>
          </cell>
          <cell r="Z641" t="str">
            <v>16/08/2013</v>
          </cell>
          <cell r="AA641" t="str">
            <v>15/08/2015</v>
          </cell>
          <cell r="AB641" t="str">
            <v>No</v>
          </cell>
          <cell r="AC641" t="str">
            <v>31/08/2013</v>
          </cell>
          <cell r="AD641" t="str">
            <v>Good</v>
          </cell>
          <cell r="AE641" t="str">
            <v>V1 - Existing / No Claim</v>
          </cell>
          <cell r="AF641">
            <v>42796</v>
          </cell>
          <cell r="AG641">
            <v>9.17</v>
          </cell>
          <cell r="AH641" t="str">
            <v>PPM</v>
          </cell>
          <cell r="AI641" t="str">
            <v>Strands</v>
          </cell>
          <cell r="AJ641" t="str">
            <v>Strands PW</v>
          </cell>
        </row>
        <row r="642">
          <cell r="A642" t="str">
            <v>IKN400161</v>
          </cell>
          <cell r="B642">
            <v>161</v>
          </cell>
          <cell r="C642" t="str">
            <v>Institut Kanser Negara</v>
          </cell>
          <cell r="D642" t="str">
            <v>KKM/IKN/H/13/1129</v>
          </cell>
          <cell r="E642" t="str">
            <v>17-429</v>
          </cell>
          <cell r="F642" t="str">
            <v>Ventilators, Intensive Care</v>
          </cell>
          <cell r="G642" t="str">
            <v>IC</v>
          </cell>
          <cell r="H642" t="str">
            <v>INTENSIVE CARE UNIT</v>
          </cell>
          <cell r="I642" t="str">
            <v>05IC106</v>
          </cell>
          <cell r="J642" t="str">
            <v>EQ. ROOM</v>
          </cell>
          <cell r="K642" t="str">
            <v>BMED</v>
          </cell>
          <cell r="L642" t="str">
            <v>Normal</v>
          </cell>
          <cell r="M642" t="str">
            <v>USA</v>
          </cell>
          <cell r="N642" t="str">
            <v>Respironics</v>
          </cell>
          <cell r="O642" t="str">
            <v>Respironics V60</v>
          </cell>
          <cell r="P642" t="str">
            <v>201004388</v>
          </cell>
          <cell r="Q642" t="str">
            <v>Not Applicable</v>
          </cell>
          <cell r="R642" t="str">
            <v>Philips Medical Systems</v>
          </cell>
          <cell r="S642" t="str">
            <v>Goodlabs Medical (M) Sdn. Bhd.</v>
          </cell>
          <cell r="T642" t="str">
            <v>Functioning</v>
          </cell>
          <cell r="U642" t="str">
            <v>Asset</v>
          </cell>
          <cell r="V642">
            <v>92620</v>
          </cell>
          <cell r="W642" t="str">
            <v>KEW</v>
          </cell>
          <cell r="X642" t="str">
            <v>01/09/2010</v>
          </cell>
          <cell r="Y642" t="str">
            <v>KEW</v>
          </cell>
          <cell r="Z642" t="str">
            <v>16/08/2013</v>
          </cell>
          <cell r="AA642" t="str">
            <v>15/08/2015</v>
          </cell>
          <cell r="AB642" t="str">
            <v>No</v>
          </cell>
          <cell r="AC642" t="str">
            <v>31/08/2013</v>
          </cell>
          <cell r="AD642" t="str">
            <v>Good</v>
          </cell>
          <cell r="AE642" t="str">
            <v>V1 - Existing / No Claim</v>
          </cell>
          <cell r="AF642">
            <v>42235</v>
          </cell>
          <cell r="AG642">
            <v>9.17</v>
          </cell>
          <cell r="AH642" t="str">
            <v>PPM</v>
          </cell>
          <cell r="AI642" t="str">
            <v>Strands</v>
          </cell>
          <cell r="AJ642" t="str">
            <v>Strands PW</v>
          </cell>
        </row>
        <row r="643">
          <cell r="A643" t="str">
            <v>IKN400162</v>
          </cell>
          <cell r="B643">
            <v>162</v>
          </cell>
          <cell r="C643" t="str">
            <v>Institut Kanser Negara</v>
          </cell>
          <cell r="D643" t="str">
            <v>KKM/IKN/H/13/1130</v>
          </cell>
          <cell r="E643" t="str">
            <v>17-429</v>
          </cell>
          <cell r="F643" t="str">
            <v>Ventilators, Intensive Care</v>
          </cell>
          <cell r="G643" t="str">
            <v>IC</v>
          </cell>
          <cell r="H643" t="str">
            <v>INTENSIVE CARE UNIT</v>
          </cell>
          <cell r="I643" t="str">
            <v>05IC106</v>
          </cell>
          <cell r="J643" t="str">
            <v>EQ. ROOM</v>
          </cell>
          <cell r="K643" t="str">
            <v>BMED</v>
          </cell>
          <cell r="L643" t="str">
            <v>Critical</v>
          </cell>
          <cell r="M643" t="str">
            <v>USA</v>
          </cell>
          <cell r="N643" t="str">
            <v>Respironics</v>
          </cell>
          <cell r="O643" t="str">
            <v>Respironics V60</v>
          </cell>
          <cell r="P643" t="str">
            <v>201004259</v>
          </cell>
          <cell r="Q643" t="str">
            <v>Not Applicable</v>
          </cell>
          <cell r="R643" t="str">
            <v>Philips Medical Systems</v>
          </cell>
          <cell r="S643" t="str">
            <v>Goodlabs Medical (M) Sdn. Bhd.</v>
          </cell>
          <cell r="T643" t="str">
            <v>Functioning</v>
          </cell>
          <cell r="U643" t="str">
            <v>Asset</v>
          </cell>
          <cell r="V643">
            <v>92620</v>
          </cell>
          <cell r="W643" t="str">
            <v>KEW</v>
          </cell>
          <cell r="X643" t="str">
            <v>01/09/2010</v>
          </cell>
          <cell r="Y643" t="str">
            <v>KEW</v>
          </cell>
          <cell r="Z643" t="str">
            <v>16/08/2013</v>
          </cell>
          <cell r="AA643" t="str">
            <v>15/08/2015</v>
          </cell>
          <cell r="AB643" t="str">
            <v>No</v>
          </cell>
          <cell r="AC643" t="str">
            <v>31/08/2013</v>
          </cell>
          <cell r="AD643" t="str">
            <v>Good</v>
          </cell>
          <cell r="AE643" t="str">
            <v>V1 - Existing / No Claim</v>
          </cell>
          <cell r="AF643">
            <v>42796</v>
          </cell>
          <cell r="AG643">
            <v>9.17</v>
          </cell>
          <cell r="AH643" t="str">
            <v>PPM</v>
          </cell>
          <cell r="AI643" t="str">
            <v>Strands</v>
          </cell>
          <cell r="AJ643" t="str">
            <v>Strands PW</v>
          </cell>
        </row>
        <row r="644">
          <cell r="A644" t="str">
            <v>IKN400163</v>
          </cell>
          <cell r="B644">
            <v>163</v>
          </cell>
          <cell r="C644" t="str">
            <v>Institut Kanser Negara</v>
          </cell>
          <cell r="D644" t="str">
            <v>KKM/IKN/H/13/1131</v>
          </cell>
          <cell r="E644" t="str">
            <v>17-429</v>
          </cell>
          <cell r="F644" t="str">
            <v>Ventilators, Intensive Care</v>
          </cell>
          <cell r="G644" t="str">
            <v>IC</v>
          </cell>
          <cell r="H644" t="str">
            <v>INTENSIVE CARE UNIT</v>
          </cell>
          <cell r="I644" t="str">
            <v>05IC106</v>
          </cell>
          <cell r="J644" t="str">
            <v>EQ. ROOM</v>
          </cell>
          <cell r="K644" t="str">
            <v>BMED</v>
          </cell>
          <cell r="L644" t="str">
            <v>Critical</v>
          </cell>
          <cell r="M644" t="str">
            <v>USA</v>
          </cell>
          <cell r="N644" t="str">
            <v>Respironics</v>
          </cell>
          <cell r="O644" t="str">
            <v>Respironics V60</v>
          </cell>
          <cell r="P644" t="str">
            <v>201004246</v>
          </cell>
          <cell r="Q644" t="str">
            <v>Not Applicable</v>
          </cell>
          <cell r="R644" t="str">
            <v>Philips Medical Systems</v>
          </cell>
          <cell r="S644" t="str">
            <v>Goodlabs Medical (M) Sdn. Bhd.</v>
          </cell>
          <cell r="T644" t="str">
            <v>Functioning</v>
          </cell>
          <cell r="U644" t="str">
            <v>Asset</v>
          </cell>
          <cell r="V644">
            <v>92620</v>
          </cell>
          <cell r="W644" t="str">
            <v>KEW</v>
          </cell>
          <cell r="X644" t="str">
            <v>01/09/2010</v>
          </cell>
          <cell r="Y644" t="str">
            <v>KEW</v>
          </cell>
          <cell r="Z644" t="str">
            <v>16/08/2013</v>
          </cell>
          <cell r="AA644" t="str">
            <v>15/08/2015</v>
          </cell>
          <cell r="AB644" t="str">
            <v>No</v>
          </cell>
          <cell r="AC644" t="str">
            <v>31/08/2013</v>
          </cell>
          <cell r="AD644" t="str">
            <v>Good</v>
          </cell>
          <cell r="AE644" t="str">
            <v>V1 - Existing / No Claim</v>
          </cell>
          <cell r="AF644">
            <v>42796</v>
          </cell>
          <cell r="AG644">
            <v>9.17</v>
          </cell>
          <cell r="AH644" t="str">
            <v>PPM</v>
          </cell>
          <cell r="AI644" t="str">
            <v>Strands</v>
          </cell>
          <cell r="AJ644" t="str">
            <v>Strands PW</v>
          </cell>
        </row>
        <row r="645">
          <cell r="A645" t="str">
            <v>IKN400164</v>
          </cell>
          <cell r="B645">
            <v>164</v>
          </cell>
          <cell r="C645" t="str">
            <v>Institut Kanser Negara</v>
          </cell>
          <cell r="D645" t="str">
            <v>KKM/IKN/H/13/1118</v>
          </cell>
          <cell r="E645" t="str">
            <v>17-429</v>
          </cell>
          <cell r="F645" t="str">
            <v>Ventilators, Intensive Care</v>
          </cell>
          <cell r="G645" t="str">
            <v>IC</v>
          </cell>
          <cell r="H645" t="str">
            <v>INTENSIVE CARE UNIT</v>
          </cell>
          <cell r="I645" t="str">
            <v>05IC111</v>
          </cell>
          <cell r="J645" t="str">
            <v>ISOL 1(-VE)</v>
          </cell>
          <cell r="K645" t="str">
            <v>BMED</v>
          </cell>
          <cell r="L645" t="str">
            <v>Normal</v>
          </cell>
          <cell r="M645" t="str">
            <v>Germany</v>
          </cell>
          <cell r="N645" t="str">
            <v>Evita</v>
          </cell>
          <cell r="O645" t="str">
            <v>Evita XL</v>
          </cell>
          <cell r="P645" t="str">
            <v>ASDD-0070</v>
          </cell>
          <cell r="Q645" t="str">
            <v>Not Applicable</v>
          </cell>
          <cell r="R645" t="str">
            <v>Drager Medical GmbH</v>
          </cell>
          <cell r="S645" t="str">
            <v>Beau Consortium Sdn Bhd</v>
          </cell>
          <cell r="T645" t="str">
            <v>Functioning</v>
          </cell>
          <cell r="U645" t="str">
            <v>Asset</v>
          </cell>
          <cell r="V645">
            <v>151560</v>
          </cell>
          <cell r="W645" t="str">
            <v>KEW</v>
          </cell>
          <cell r="X645" t="str">
            <v>01/09/2010</v>
          </cell>
          <cell r="Y645" t="str">
            <v>KEW</v>
          </cell>
          <cell r="Z645" t="str">
            <v>16/08/2013</v>
          </cell>
          <cell r="AA645" t="str">
            <v>15/08/2015</v>
          </cell>
          <cell r="AB645" t="str">
            <v>No</v>
          </cell>
          <cell r="AC645" t="str">
            <v>31/08/2013</v>
          </cell>
          <cell r="AD645" t="str">
            <v>Good</v>
          </cell>
          <cell r="AE645" t="str">
            <v>V1 - Existing / No Claim</v>
          </cell>
          <cell r="AF645">
            <v>42235</v>
          </cell>
          <cell r="AG645">
            <v>9.17</v>
          </cell>
          <cell r="AH645" t="str">
            <v>PPM</v>
          </cell>
          <cell r="AI645" t="str">
            <v>Strands</v>
          </cell>
          <cell r="AJ645" t="str">
            <v>Strands PW</v>
          </cell>
        </row>
        <row r="646">
          <cell r="A646" t="str">
            <v>IKN400165</v>
          </cell>
          <cell r="B646">
            <v>165</v>
          </cell>
          <cell r="C646" t="str">
            <v>Institut Kanser Negara</v>
          </cell>
          <cell r="D646" t="str">
            <v>KKM/IKN/H/13/1120</v>
          </cell>
          <cell r="E646" t="str">
            <v>17-429</v>
          </cell>
          <cell r="F646" t="str">
            <v>Ventilators, Intensive Care</v>
          </cell>
          <cell r="G646" t="str">
            <v>IC</v>
          </cell>
          <cell r="H646" t="str">
            <v>INTENSIVE CARE UNIT</v>
          </cell>
          <cell r="I646" t="str">
            <v>05IC112</v>
          </cell>
          <cell r="J646" t="str">
            <v>ICU RM 1</v>
          </cell>
          <cell r="K646" t="str">
            <v>BMED</v>
          </cell>
          <cell r="L646" t="str">
            <v>Normal</v>
          </cell>
          <cell r="M646" t="str">
            <v>Germany</v>
          </cell>
          <cell r="N646" t="str">
            <v>Evita</v>
          </cell>
          <cell r="O646" t="str">
            <v>Evita XL</v>
          </cell>
          <cell r="P646" t="str">
            <v>ASDD-0071</v>
          </cell>
          <cell r="Q646" t="str">
            <v>Not Applicable</v>
          </cell>
          <cell r="R646" t="str">
            <v>Drager Medical GmbH</v>
          </cell>
          <cell r="S646" t="str">
            <v>Beau Consortium Sdn Bhd</v>
          </cell>
          <cell r="T646" t="str">
            <v>Functioning</v>
          </cell>
          <cell r="U646" t="str">
            <v>Asset</v>
          </cell>
          <cell r="V646">
            <v>151560</v>
          </cell>
          <cell r="W646" t="str">
            <v>KEW</v>
          </cell>
          <cell r="X646" t="str">
            <v>01/09/2010</v>
          </cell>
          <cell r="Y646" t="str">
            <v>KEW</v>
          </cell>
          <cell r="Z646" t="str">
            <v>16/08/2013</v>
          </cell>
          <cell r="AA646" t="str">
            <v>15/08/2015</v>
          </cell>
          <cell r="AB646" t="str">
            <v>No</v>
          </cell>
          <cell r="AC646" t="str">
            <v>31/08/2013</v>
          </cell>
          <cell r="AD646" t="str">
            <v>Good</v>
          </cell>
          <cell r="AE646" t="str">
            <v>V1 - Existing / No Claim</v>
          </cell>
          <cell r="AF646">
            <v>42235</v>
          </cell>
          <cell r="AG646">
            <v>9.17</v>
          </cell>
          <cell r="AH646" t="str">
            <v>PPM</v>
          </cell>
          <cell r="AI646" t="str">
            <v>Strands</v>
          </cell>
          <cell r="AJ646" t="str">
            <v>Strands PW</v>
          </cell>
        </row>
        <row r="647">
          <cell r="A647" t="str">
            <v>IKN400167</v>
          </cell>
          <cell r="B647">
            <v>167</v>
          </cell>
          <cell r="C647" t="str">
            <v>Institut Kanser Negara</v>
          </cell>
          <cell r="D647" t="str">
            <v>KKM/IKN/H/13/1124</v>
          </cell>
          <cell r="E647" t="str">
            <v>17-429</v>
          </cell>
          <cell r="F647" t="str">
            <v>Ventilators, Intensive Care</v>
          </cell>
          <cell r="G647" t="str">
            <v>IC</v>
          </cell>
          <cell r="H647" t="str">
            <v>INTENSIVE CARE UNIT</v>
          </cell>
          <cell r="I647" t="str">
            <v>05IC114</v>
          </cell>
          <cell r="J647" t="str">
            <v>ICU RM 3</v>
          </cell>
          <cell r="K647" t="str">
            <v>BMED</v>
          </cell>
          <cell r="L647" t="str">
            <v>Normal</v>
          </cell>
          <cell r="M647" t="str">
            <v>Germany</v>
          </cell>
          <cell r="N647" t="str">
            <v>Evita</v>
          </cell>
          <cell r="O647" t="str">
            <v>Evita XL</v>
          </cell>
          <cell r="P647" t="str">
            <v>ASDD-0075</v>
          </cell>
          <cell r="Q647" t="str">
            <v>Not Applicable</v>
          </cell>
          <cell r="R647" t="str">
            <v>Drager Medical GmbH</v>
          </cell>
          <cell r="S647" t="str">
            <v>Beau Consortium Sdn Bhd</v>
          </cell>
          <cell r="T647" t="str">
            <v>Functioning</v>
          </cell>
          <cell r="U647" t="str">
            <v>Asset</v>
          </cell>
          <cell r="V647">
            <v>151560</v>
          </cell>
          <cell r="W647" t="str">
            <v>KEW</v>
          </cell>
          <cell r="X647" t="str">
            <v>01/09/2010</v>
          </cell>
          <cell r="Y647" t="str">
            <v>KEW</v>
          </cell>
          <cell r="Z647" t="str">
            <v>16/08/2013</v>
          </cell>
          <cell r="AA647" t="str">
            <v>15/08/2015</v>
          </cell>
          <cell r="AB647" t="str">
            <v>No</v>
          </cell>
          <cell r="AC647" t="str">
            <v>31/08/2013</v>
          </cell>
          <cell r="AD647" t="str">
            <v>Good</v>
          </cell>
          <cell r="AE647" t="str">
            <v>V1 - Existing / No Claim</v>
          </cell>
          <cell r="AF647">
            <v>42235</v>
          </cell>
          <cell r="AG647">
            <v>9.17</v>
          </cell>
          <cell r="AH647" t="str">
            <v>PPM</v>
          </cell>
          <cell r="AI647" t="str">
            <v>Strands</v>
          </cell>
          <cell r="AJ647" t="str">
            <v>Strands PW</v>
          </cell>
        </row>
        <row r="648">
          <cell r="A648" t="str">
            <v>IKN400168</v>
          </cell>
          <cell r="B648">
            <v>168</v>
          </cell>
          <cell r="C648" t="str">
            <v>Institut Kanser Negara</v>
          </cell>
          <cell r="D648" t="str">
            <v>KKM/IKN/H/13/1125</v>
          </cell>
          <cell r="E648" t="str">
            <v>17-429</v>
          </cell>
          <cell r="F648" t="str">
            <v>Ventilators, Intensive Care</v>
          </cell>
          <cell r="G648" t="str">
            <v>IC</v>
          </cell>
          <cell r="H648" t="str">
            <v>INTENSIVE CARE UNIT</v>
          </cell>
          <cell r="I648" t="str">
            <v>05IC115</v>
          </cell>
          <cell r="J648" t="str">
            <v>ICU RM 4</v>
          </cell>
          <cell r="K648" t="str">
            <v>BMED</v>
          </cell>
          <cell r="L648" t="str">
            <v>Normal</v>
          </cell>
          <cell r="M648" t="str">
            <v>Germany</v>
          </cell>
          <cell r="N648" t="str">
            <v>Evita</v>
          </cell>
          <cell r="O648" t="str">
            <v>Evita XL</v>
          </cell>
          <cell r="P648" t="str">
            <v>ASDD-0068</v>
          </cell>
          <cell r="Q648" t="str">
            <v>Not Applicable</v>
          </cell>
          <cell r="R648" t="str">
            <v>Drager Medical GmbH</v>
          </cell>
          <cell r="S648" t="str">
            <v>Beau Consortium Sdn Bhd</v>
          </cell>
          <cell r="T648" t="str">
            <v>Functioning</v>
          </cell>
          <cell r="U648" t="str">
            <v>Asset</v>
          </cell>
          <cell r="V648">
            <v>151560</v>
          </cell>
          <cell r="W648" t="str">
            <v>KEW</v>
          </cell>
          <cell r="X648" t="str">
            <v>01/09/2010</v>
          </cell>
          <cell r="Y648" t="str">
            <v>KEW</v>
          </cell>
          <cell r="Z648" t="str">
            <v>16/08/2013</v>
          </cell>
          <cell r="AA648" t="str">
            <v>15/08/2015</v>
          </cell>
          <cell r="AB648" t="str">
            <v>No</v>
          </cell>
          <cell r="AC648" t="str">
            <v>31/08/2013</v>
          </cell>
          <cell r="AD648" t="str">
            <v>Good</v>
          </cell>
          <cell r="AE648" t="str">
            <v>V1 - Existing / No Claim</v>
          </cell>
          <cell r="AF648">
            <v>42235</v>
          </cell>
          <cell r="AG648">
            <v>9.17</v>
          </cell>
          <cell r="AH648" t="str">
            <v>PPM</v>
          </cell>
          <cell r="AI648" t="str">
            <v>Strands</v>
          </cell>
          <cell r="AJ648" t="str">
            <v>Strands PW</v>
          </cell>
        </row>
        <row r="649">
          <cell r="A649" t="str">
            <v>IKN400169</v>
          </cell>
          <cell r="B649">
            <v>169</v>
          </cell>
          <cell r="C649" t="str">
            <v>Institut Kanser Negara</v>
          </cell>
          <cell r="D649" t="str">
            <v>KKM/IKN/H/13/1121</v>
          </cell>
          <cell r="E649" t="str">
            <v>17-429</v>
          </cell>
          <cell r="F649" t="str">
            <v>Ventilators, Intensive Care</v>
          </cell>
          <cell r="G649" t="str">
            <v>IC</v>
          </cell>
          <cell r="H649" t="str">
            <v>INTENSIVE CARE UNIT</v>
          </cell>
          <cell r="I649" t="str">
            <v>05IC116</v>
          </cell>
          <cell r="J649" t="str">
            <v>ISOL 2 (+VE)</v>
          </cell>
          <cell r="K649" t="str">
            <v>BMED</v>
          </cell>
          <cell r="L649" t="str">
            <v>Normal</v>
          </cell>
          <cell r="M649" t="str">
            <v>Germany</v>
          </cell>
          <cell r="N649" t="str">
            <v>Evita</v>
          </cell>
          <cell r="O649" t="str">
            <v>Evita XL</v>
          </cell>
          <cell r="P649" t="str">
            <v>ASDD-0072</v>
          </cell>
          <cell r="Q649" t="str">
            <v>Not Applicable</v>
          </cell>
          <cell r="R649" t="str">
            <v>Drager Medical GmbH</v>
          </cell>
          <cell r="S649" t="str">
            <v>Beau Consortium Sdn Bhd</v>
          </cell>
          <cell r="T649" t="str">
            <v>Functioning</v>
          </cell>
          <cell r="U649" t="str">
            <v>Asset</v>
          </cell>
          <cell r="V649">
            <v>151560</v>
          </cell>
          <cell r="W649" t="str">
            <v>KEW</v>
          </cell>
          <cell r="X649" t="str">
            <v>01/09/2010</v>
          </cell>
          <cell r="Y649" t="str">
            <v>KEW</v>
          </cell>
          <cell r="Z649" t="str">
            <v>16/08/2013</v>
          </cell>
          <cell r="AA649" t="str">
            <v>15/08/2015</v>
          </cell>
          <cell r="AB649" t="str">
            <v>No</v>
          </cell>
          <cell r="AC649" t="str">
            <v>31/08/2013</v>
          </cell>
          <cell r="AD649" t="str">
            <v>Good</v>
          </cell>
          <cell r="AE649" t="str">
            <v>V1 - Existing / No Claim</v>
          </cell>
          <cell r="AF649">
            <v>42235</v>
          </cell>
          <cell r="AG649">
            <v>9.17</v>
          </cell>
          <cell r="AH649" t="str">
            <v>PPM</v>
          </cell>
          <cell r="AI649" t="str">
            <v>Strands</v>
          </cell>
          <cell r="AJ649" t="str">
            <v>Strands PW</v>
          </cell>
        </row>
        <row r="650">
          <cell r="A650" t="str">
            <v>IKN400170</v>
          </cell>
          <cell r="B650">
            <v>170</v>
          </cell>
          <cell r="C650" t="str">
            <v>Institut Kanser Negara</v>
          </cell>
          <cell r="D650" t="str">
            <v>KKM/IKN/H/13/4412</v>
          </cell>
          <cell r="E650" t="str">
            <v>15-709</v>
          </cell>
          <cell r="F650" t="str">
            <v>Analyzers, Laboratory, Blood Gas/pH</v>
          </cell>
          <cell r="G650" t="str">
            <v>IC</v>
          </cell>
          <cell r="H650" t="str">
            <v>INTENSIVE CARE UNIT</v>
          </cell>
          <cell r="I650" t="str">
            <v>05IC122</v>
          </cell>
          <cell r="J650" t="str">
            <v>STAT LAB</v>
          </cell>
          <cell r="K650" t="str">
            <v>BMED</v>
          </cell>
          <cell r="L650" t="str">
            <v>Critical</v>
          </cell>
          <cell r="M650" t="str">
            <v>Denmark</v>
          </cell>
          <cell r="N650" t="str">
            <v>Radiometer</v>
          </cell>
          <cell r="O650" t="str">
            <v>Radiometer ABL 90</v>
          </cell>
          <cell r="P650" t="str">
            <v>R0177N0008</v>
          </cell>
          <cell r="Q650" t="str">
            <v>Not Applicable</v>
          </cell>
          <cell r="R650" t="str">
            <v>Radiometer Medical ApS</v>
          </cell>
          <cell r="S650" t="str">
            <v>Metrojendela</v>
          </cell>
          <cell r="T650" t="str">
            <v>Functioning</v>
          </cell>
          <cell r="U650" t="str">
            <v>Asset</v>
          </cell>
          <cell r="V650">
            <v>210505</v>
          </cell>
          <cell r="W650" t="str">
            <v>KEW</v>
          </cell>
          <cell r="X650" t="str">
            <v>01/09/2010</v>
          </cell>
          <cell r="Y650" t="str">
            <v>KEW</v>
          </cell>
          <cell r="Z650" t="str">
            <v>16/08/2013</v>
          </cell>
          <cell r="AA650" t="str">
            <v>15/08/2015</v>
          </cell>
          <cell r="AB650" t="str">
            <v>No</v>
          </cell>
          <cell r="AC650" t="str">
            <v>31/08/2013</v>
          </cell>
          <cell r="AD650" t="str">
            <v>Good</v>
          </cell>
          <cell r="AE650" t="str">
            <v>V1 - Existing / No Claim</v>
          </cell>
          <cell r="AF650">
            <v>42797</v>
          </cell>
          <cell r="AG650">
            <v>9.17</v>
          </cell>
          <cell r="AH650" t="str">
            <v>PPM</v>
          </cell>
          <cell r="AI650" t="str">
            <v>Strands</v>
          </cell>
          <cell r="AJ650" t="str">
            <v>Strands Package</v>
          </cell>
          <cell r="AK650" t="str">
            <v>Package Code LC0002</v>
          </cell>
        </row>
        <row r="651">
          <cell r="A651" t="str">
            <v>IKN400171</v>
          </cell>
          <cell r="B651">
            <v>171</v>
          </cell>
          <cell r="C651" t="str">
            <v>Institut Kanser Negara</v>
          </cell>
          <cell r="D651" t="str">
            <v>KKM/IKN/H/13/1123</v>
          </cell>
          <cell r="E651" t="str">
            <v>17-429</v>
          </cell>
          <cell r="F651" t="str">
            <v>Ventilators, Intensive Care</v>
          </cell>
          <cell r="G651" t="str">
            <v>IC</v>
          </cell>
          <cell r="H651" t="str">
            <v>INTENSIVE CARE UNIT</v>
          </cell>
          <cell r="I651" t="str">
            <v>05IC131</v>
          </cell>
          <cell r="J651" t="str">
            <v>ISOL 3 (+VE)</v>
          </cell>
          <cell r="K651" t="str">
            <v>BMED</v>
          </cell>
          <cell r="L651" t="str">
            <v>Normal</v>
          </cell>
          <cell r="M651" t="str">
            <v>Germany</v>
          </cell>
          <cell r="N651" t="str">
            <v>Evita</v>
          </cell>
          <cell r="O651" t="str">
            <v>Evita XL</v>
          </cell>
          <cell r="P651" t="str">
            <v>ASDD-0074</v>
          </cell>
          <cell r="Q651" t="str">
            <v>Not Applicable</v>
          </cell>
          <cell r="R651" t="str">
            <v>Drager Medical GmbH</v>
          </cell>
          <cell r="S651" t="str">
            <v>Beau Consortium Sdn Bhd</v>
          </cell>
          <cell r="T651" t="str">
            <v>Functioning</v>
          </cell>
          <cell r="U651" t="str">
            <v>Asset</v>
          </cell>
          <cell r="V651">
            <v>151560</v>
          </cell>
          <cell r="W651" t="str">
            <v>KEW</v>
          </cell>
          <cell r="X651" t="str">
            <v>01/09/2010</v>
          </cell>
          <cell r="Y651" t="str">
            <v>KEW</v>
          </cell>
          <cell r="Z651" t="str">
            <v>16/08/2013</v>
          </cell>
          <cell r="AA651" t="str">
            <v>15/08/2015</v>
          </cell>
          <cell r="AB651" t="str">
            <v>No</v>
          </cell>
          <cell r="AC651" t="str">
            <v>31/08/2013</v>
          </cell>
          <cell r="AD651" t="str">
            <v>Good</v>
          </cell>
          <cell r="AE651" t="str">
            <v>V1 - Existing / No Claim</v>
          </cell>
          <cell r="AF651">
            <v>42235</v>
          </cell>
          <cell r="AG651">
            <v>9.17</v>
          </cell>
          <cell r="AH651" t="str">
            <v>PPM</v>
          </cell>
          <cell r="AI651" t="str">
            <v>Strands</v>
          </cell>
          <cell r="AJ651" t="str">
            <v>Strands PW</v>
          </cell>
        </row>
        <row r="652">
          <cell r="A652" t="str">
            <v>IKN400172</v>
          </cell>
          <cell r="B652">
            <v>172</v>
          </cell>
          <cell r="C652" t="str">
            <v>Institut Kanser Negara</v>
          </cell>
          <cell r="D652" t="str">
            <v>KKM/IKN/H/13/1127</v>
          </cell>
          <cell r="E652" t="str">
            <v>18-098</v>
          </cell>
          <cell r="F652" t="str">
            <v>Ventilators, Transport</v>
          </cell>
          <cell r="G652" t="str">
            <v>IC</v>
          </cell>
          <cell r="H652" t="str">
            <v>INTENSIVE CARE UNIT</v>
          </cell>
          <cell r="I652" t="str">
            <v>05IC106</v>
          </cell>
          <cell r="J652" t="str">
            <v>EQ. ROOM</v>
          </cell>
          <cell r="K652" t="str">
            <v>BMED</v>
          </cell>
          <cell r="L652" t="str">
            <v>Critical</v>
          </cell>
          <cell r="M652" t="str">
            <v>Germany</v>
          </cell>
          <cell r="N652" t="str">
            <v>Oxylog</v>
          </cell>
          <cell r="O652" t="str">
            <v>Oxylog 3000 Plus</v>
          </cell>
          <cell r="P652" t="str">
            <v>ASDJ-0135</v>
          </cell>
          <cell r="Q652" t="str">
            <v>Not Applicable</v>
          </cell>
          <cell r="R652" t="str">
            <v>Draegerwerk Ag</v>
          </cell>
          <cell r="S652" t="str">
            <v>Beau Consortium Sdn Bhd</v>
          </cell>
          <cell r="T652" t="str">
            <v>Functioning</v>
          </cell>
          <cell r="U652" t="str">
            <v>Asset</v>
          </cell>
          <cell r="V652">
            <v>60150</v>
          </cell>
          <cell r="W652" t="str">
            <v>KEW</v>
          </cell>
          <cell r="X652" t="str">
            <v>01/09/2010</v>
          </cell>
          <cell r="Y652" t="str">
            <v>KEW</v>
          </cell>
          <cell r="Z652" t="str">
            <v>16/08/2013</v>
          </cell>
          <cell r="AA652" t="str">
            <v>15/08/2015</v>
          </cell>
          <cell r="AB652" t="str">
            <v>No</v>
          </cell>
          <cell r="AC652" t="str">
            <v>31/08/2013</v>
          </cell>
          <cell r="AD652" t="str">
            <v>Good</v>
          </cell>
          <cell r="AE652" t="str">
            <v>V1 - Existing / No Claim</v>
          </cell>
          <cell r="AF652">
            <v>42796</v>
          </cell>
          <cell r="AG652">
            <v>9.17</v>
          </cell>
          <cell r="AH652" t="str">
            <v>PPM</v>
          </cell>
          <cell r="AI652" t="str">
            <v>Strands</v>
          </cell>
          <cell r="AJ652" t="str">
            <v>Strands PW</v>
          </cell>
        </row>
        <row r="653">
          <cell r="A653" t="str">
            <v>IKN400173</v>
          </cell>
          <cell r="B653">
            <v>173</v>
          </cell>
          <cell r="C653" t="str">
            <v>Institut Kanser Negara</v>
          </cell>
          <cell r="D653" t="str">
            <v>KKM/IKN/H/13/1126</v>
          </cell>
          <cell r="E653" t="str">
            <v>18-098</v>
          </cell>
          <cell r="F653" t="str">
            <v>Ventilators, Transport</v>
          </cell>
          <cell r="G653" t="str">
            <v>IC</v>
          </cell>
          <cell r="H653" t="str">
            <v>INTENSIVE CARE UNIT</v>
          </cell>
          <cell r="I653" t="str">
            <v>05IC106</v>
          </cell>
          <cell r="J653" t="str">
            <v>EQ. ROOM</v>
          </cell>
          <cell r="K653" t="str">
            <v>BMED</v>
          </cell>
          <cell r="L653" t="str">
            <v>Critical</v>
          </cell>
          <cell r="M653" t="str">
            <v>Germany</v>
          </cell>
          <cell r="N653" t="str">
            <v>Oxylog</v>
          </cell>
          <cell r="O653" t="str">
            <v>Oxylog 3000 Plus</v>
          </cell>
          <cell r="P653" t="str">
            <v>ASDJ-0134</v>
          </cell>
          <cell r="Q653" t="str">
            <v>Not Applicable</v>
          </cell>
          <cell r="R653" t="str">
            <v>Draegerwerk Ag</v>
          </cell>
          <cell r="S653" t="str">
            <v>Beau Consortium Sdn Bhd</v>
          </cell>
          <cell r="T653" t="str">
            <v>Functioning</v>
          </cell>
          <cell r="U653" t="str">
            <v>Asset</v>
          </cell>
          <cell r="V653">
            <v>60150</v>
          </cell>
          <cell r="W653" t="str">
            <v>KEW</v>
          </cell>
          <cell r="X653" t="str">
            <v>01/09/2010</v>
          </cell>
          <cell r="Y653" t="str">
            <v>KEW</v>
          </cell>
          <cell r="Z653" t="str">
            <v>16/08/2013</v>
          </cell>
          <cell r="AA653" t="str">
            <v>15/08/2015</v>
          </cell>
          <cell r="AB653" t="str">
            <v>No</v>
          </cell>
          <cell r="AC653" t="str">
            <v>31/08/2013</v>
          </cell>
          <cell r="AD653" t="str">
            <v>Good</v>
          </cell>
          <cell r="AE653" t="str">
            <v>V1 - Existing / No Claim</v>
          </cell>
          <cell r="AF653">
            <v>42796</v>
          </cell>
          <cell r="AG653">
            <v>9.17</v>
          </cell>
          <cell r="AH653" t="str">
            <v>PPM</v>
          </cell>
          <cell r="AI653" t="str">
            <v>Strands</v>
          </cell>
          <cell r="AJ653" t="str">
            <v>Strands PW</v>
          </cell>
        </row>
        <row r="654">
          <cell r="A654" t="str">
            <v>IKN400174</v>
          </cell>
          <cell r="B654">
            <v>174</v>
          </cell>
          <cell r="C654" t="str">
            <v>Institut Kanser Negara</v>
          </cell>
          <cell r="D654" t="str">
            <v>KKM/IKN/H/14/84</v>
          </cell>
          <cell r="E654" t="str">
            <v>10-447</v>
          </cell>
          <cell r="F654" t="str">
            <v>Warming Units, Blood/Solution</v>
          </cell>
          <cell r="G654" t="str">
            <v>ID</v>
          </cell>
          <cell r="H654" t="str">
            <v>IMAGING DEPARTMENT</v>
          </cell>
          <cell r="I654" t="str">
            <v>03ID156</v>
          </cell>
          <cell r="J654" t="str">
            <v>C.T. SCAN 1 (+VE)</v>
          </cell>
          <cell r="K654" t="str">
            <v>BMED</v>
          </cell>
          <cell r="L654" t="str">
            <v>Normal</v>
          </cell>
          <cell r="M654" t="str">
            <v>USA</v>
          </cell>
          <cell r="N654" t="str">
            <v>Heratherm</v>
          </cell>
          <cell r="O654" t="str">
            <v>Heratherm IM-18</v>
          </cell>
          <cell r="P654" t="str">
            <v>IMC40474563</v>
          </cell>
          <cell r="Q654" t="str">
            <v>Not Applicable</v>
          </cell>
          <cell r="R654" t="str">
            <v>Thermo Scientific Inc</v>
          </cell>
          <cell r="S654" t="str">
            <v>Fero -Medic &amp; Consultantcy</v>
          </cell>
          <cell r="T654" t="str">
            <v>Functioning</v>
          </cell>
          <cell r="U654" t="str">
            <v>Asset</v>
          </cell>
          <cell r="V654">
            <v>4950</v>
          </cell>
          <cell r="W654" t="str">
            <v>KEW</v>
          </cell>
          <cell r="X654" t="str">
            <v>25/09/2014</v>
          </cell>
          <cell r="Y654" t="str">
            <v>KEW</v>
          </cell>
          <cell r="Z654" t="str">
            <v>12/11/2014</v>
          </cell>
          <cell r="AA654" t="str">
            <v>11/11/2015</v>
          </cell>
          <cell r="AB654" t="str">
            <v>No</v>
          </cell>
          <cell r="AC654" t="str">
            <v>12/11/2014</v>
          </cell>
          <cell r="AD654" t="str">
            <v>Good</v>
          </cell>
          <cell r="AE654" t="str">
            <v>V3 - Added Installed Facilities (New)</v>
          </cell>
          <cell r="AF654">
            <v>42679</v>
          </cell>
          <cell r="AG654">
            <v>5.17</v>
          </cell>
          <cell r="AH654" t="str">
            <v>PPM</v>
          </cell>
          <cell r="AI654" t="str">
            <v>Strands</v>
          </cell>
          <cell r="AJ654" t="str">
            <v>Strands PW</v>
          </cell>
          <cell r="AK654" t="str">
            <v>SNF received. 1st batch of V3 asset (December 2020)</v>
          </cell>
        </row>
        <row r="655">
          <cell r="A655" t="str">
            <v>IKN400175</v>
          </cell>
          <cell r="B655">
            <v>175</v>
          </cell>
          <cell r="C655" t="str">
            <v>Institut Kanser Negara</v>
          </cell>
          <cell r="D655" t="str">
            <v>KKM/IKN/H/13/1028</v>
          </cell>
          <cell r="E655" t="str">
            <v>10-447</v>
          </cell>
          <cell r="F655" t="str">
            <v>Warming Units, Blood/Solution</v>
          </cell>
          <cell r="G655" t="str">
            <v>IC</v>
          </cell>
          <cell r="H655" t="str">
            <v>INTENSIVE CARE UNIT</v>
          </cell>
          <cell r="I655" t="str">
            <v>05IC106</v>
          </cell>
          <cell r="J655" t="str">
            <v>EQ. ROOM</v>
          </cell>
          <cell r="K655" t="str">
            <v>BMED</v>
          </cell>
          <cell r="L655" t="str">
            <v>Normal</v>
          </cell>
          <cell r="M655" t="str">
            <v>Japan</v>
          </cell>
          <cell r="N655" t="str">
            <v>Animec</v>
          </cell>
          <cell r="O655" t="str">
            <v>Animec AM-301</v>
          </cell>
          <cell r="P655" t="str">
            <v>2013D0257</v>
          </cell>
          <cell r="Q655" t="str">
            <v>Not Applicable</v>
          </cell>
          <cell r="R655" t="str">
            <v>Elltec Co Ltd</v>
          </cell>
          <cell r="S655" t="str">
            <v>IDS Services (Malaysia) Sdn Bhd</v>
          </cell>
          <cell r="T655" t="str">
            <v>Functioning</v>
          </cell>
          <cell r="U655" t="str">
            <v>Asset</v>
          </cell>
          <cell r="V655">
            <v>4990</v>
          </cell>
          <cell r="W655" t="str">
            <v>KEW</v>
          </cell>
          <cell r="X655" t="str">
            <v>01/09/2010</v>
          </cell>
          <cell r="Y655" t="str">
            <v>KEW</v>
          </cell>
          <cell r="Z655" t="str">
            <v>16/08/2013</v>
          </cell>
          <cell r="AA655" t="str">
            <v>15/08/2015</v>
          </cell>
          <cell r="AB655" t="str">
            <v>No</v>
          </cell>
          <cell r="AC655" t="str">
            <v>31/08/2013</v>
          </cell>
          <cell r="AD655" t="str">
            <v>Good</v>
          </cell>
          <cell r="AE655" t="str">
            <v>V1 - Existing / No Claim</v>
          </cell>
          <cell r="AF655">
            <v>42235</v>
          </cell>
          <cell r="AG655">
            <v>9.17</v>
          </cell>
          <cell r="AH655" t="str">
            <v>PPM</v>
          </cell>
          <cell r="AI655" t="str">
            <v>Strands</v>
          </cell>
          <cell r="AJ655" t="str">
            <v>Strands PW</v>
          </cell>
        </row>
        <row r="656">
          <cell r="A656" t="str">
            <v>IKN400176</v>
          </cell>
          <cell r="B656">
            <v>176</v>
          </cell>
          <cell r="C656" t="str">
            <v>Institut Kanser Negara</v>
          </cell>
          <cell r="D656" t="str">
            <v>KKM/IKN/H/13/1029</v>
          </cell>
          <cell r="E656" t="str">
            <v>10-447</v>
          </cell>
          <cell r="F656" t="str">
            <v>Warming Units, Blood/Solution</v>
          </cell>
          <cell r="G656" t="str">
            <v>IC</v>
          </cell>
          <cell r="H656" t="str">
            <v>INTENSIVE CARE UNIT</v>
          </cell>
          <cell r="I656" t="str">
            <v>05IC106</v>
          </cell>
          <cell r="J656" t="str">
            <v>EQ. ROOM</v>
          </cell>
          <cell r="K656" t="str">
            <v>BMED</v>
          </cell>
          <cell r="L656" t="str">
            <v>Normal</v>
          </cell>
          <cell r="M656" t="str">
            <v>Japan</v>
          </cell>
          <cell r="N656" t="str">
            <v>Animec</v>
          </cell>
          <cell r="O656" t="str">
            <v>Animec AM-301</v>
          </cell>
          <cell r="P656" t="str">
            <v>2013D0255</v>
          </cell>
          <cell r="Q656" t="str">
            <v>Not Applicable</v>
          </cell>
          <cell r="R656" t="str">
            <v>Elltec Co Ltd</v>
          </cell>
          <cell r="S656" t="str">
            <v>IDS Services (Malaysia) Sdn Bhd</v>
          </cell>
          <cell r="T656" t="str">
            <v>Functioning</v>
          </cell>
          <cell r="U656" t="str">
            <v>Asset</v>
          </cell>
          <cell r="V656">
            <v>4990</v>
          </cell>
          <cell r="W656" t="str">
            <v>KEW</v>
          </cell>
          <cell r="X656" t="str">
            <v>01/09/2010</v>
          </cell>
          <cell r="Y656" t="str">
            <v>KEW</v>
          </cell>
          <cell r="Z656" t="str">
            <v>16/08/2013</v>
          </cell>
          <cell r="AA656" t="str">
            <v>15/08/2015</v>
          </cell>
          <cell r="AB656" t="str">
            <v>No</v>
          </cell>
          <cell r="AC656" t="str">
            <v>31/08/2013</v>
          </cell>
          <cell r="AD656" t="str">
            <v>Good</v>
          </cell>
          <cell r="AE656" t="str">
            <v>V1 - Existing / No Claim</v>
          </cell>
          <cell r="AF656">
            <v>42235</v>
          </cell>
          <cell r="AG656">
            <v>9.17</v>
          </cell>
          <cell r="AH656" t="str">
            <v>PPM</v>
          </cell>
          <cell r="AI656" t="str">
            <v>Strands</v>
          </cell>
          <cell r="AJ656" t="str">
            <v>Strands PW</v>
          </cell>
        </row>
        <row r="657">
          <cell r="A657" t="str">
            <v>IKN400177</v>
          </cell>
          <cell r="B657">
            <v>177</v>
          </cell>
          <cell r="C657" t="str">
            <v>Institut Kanser Negara</v>
          </cell>
          <cell r="D657" t="str">
            <v>KKM/IKN/H/13/1030</v>
          </cell>
          <cell r="E657" t="str">
            <v>10-447</v>
          </cell>
          <cell r="F657" t="str">
            <v>Warming Units, Blood/Solution</v>
          </cell>
          <cell r="G657" t="str">
            <v>IC</v>
          </cell>
          <cell r="H657" t="str">
            <v>INTENSIVE CARE UNIT</v>
          </cell>
          <cell r="I657" t="str">
            <v>05IC106</v>
          </cell>
          <cell r="J657" t="str">
            <v>EQ. ROOM</v>
          </cell>
          <cell r="K657" t="str">
            <v>BMED</v>
          </cell>
          <cell r="L657" t="str">
            <v>Normal</v>
          </cell>
          <cell r="M657" t="str">
            <v>Japan</v>
          </cell>
          <cell r="N657" t="str">
            <v>Animec</v>
          </cell>
          <cell r="O657" t="str">
            <v>Animec AM-301</v>
          </cell>
          <cell r="P657" t="str">
            <v>2013D0256</v>
          </cell>
          <cell r="Q657" t="str">
            <v>Not Applicable</v>
          </cell>
          <cell r="R657" t="str">
            <v>Elltec Co Ltd</v>
          </cell>
          <cell r="S657" t="str">
            <v>IDS Services (Malaysia) Sdn Bhd</v>
          </cell>
          <cell r="T657" t="str">
            <v>Functioning</v>
          </cell>
          <cell r="U657" t="str">
            <v>Asset</v>
          </cell>
          <cell r="V657">
            <v>4990</v>
          </cell>
          <cell r="W657" t="str">
            <v>KEW</v>
          </cell>
          <cell r="X657" t="str">
            <v>01/09/2010</v>
          </cell>
          <cell r="Y657" t="str">
            <v>KEW</v>
          </cell>
          <cell r="Z657" t="str">
            <v>16/08/2013</v>
          </cell>
          <cell r="AA657" t="str">
            <v>15/08/2015</v>
          </cell>
          <cell r="AB657" t="str">
            <v>No</v>
          </cell>
          <cell r="AC657" t="str">
            <v>31/08/2013</v>
          </cell>
          <cell r="AD657" t="str">
            <v>Good</v>
          </cell>
          <cell r="AE657" t="str">
            <v>V1 - Existing / No Claim</v>
          </cell>
          <cell r="AF657">
            <v>42235</v>
          </cell>
          <cell r="AG657">
            <v>9.17</v>
          </cell>
          <cell r="AH657" t="str">
            <v>PPM</v>
          </cell>
          <cell r="AI657" t="str">
            <v>Strands</v>
          </cell>
          <cell r="AJ657" t="str">
            <v>Strands PW</v>
          </cell>
        </row>
        <row r="658">
          <cell r="A658" t="str">
            <v>IKN400178</v>
          </cell>
          <cell r="B658">
            <v>178</v>
          </cell>
          <cell r="C658" t="str">
            <v>Institut Kanser Negara</v>
          </cell>
          <cell r="D658" t="str">
            <v>KKM/IKN/H/13/1031</v>
          </cell>
          <cell r="E658" t="str">
            <v>17-950</v>
          </cell>
          <cell r="F658" t="str">
            <v>Warming Units, Patient, Forced-Air</v>
          </cell>
          <cell r="G658" t="str">
            <v>IC</v>
          </cell>
          <cell r="H658" t="str">
            <v>INTENSIVE CARE UNIT</v>
          </cell>
          <cell r="I658" t="str">
            <v>05IC111</v>
          </cell>
          <cell r="J658" t="str">
            <v>ISOL 1(-VE)</v>
          </cell>
          <cell r="K658" t="str">
            <v>BMED</v>
          </cell>
          <cell r="L658" t="str">
            <v>Normal</v>
          </cell>
          <cell r="M658" t="str">
            <v>USA</v>
          </cell>
          <cell r="N658" t="str">
            <v>Bair Hugger</v>
          </cell>
          <cell r="O658" t="str">
            <v>Bair Hugger 775</v>
          </cell>
          <cell r="P658" t="str">
            <v>35944</v>
          </cell>
          <cell r="Q658" t="str">
            <v>Not Applicable</v>
          </cell>
          <cell r="R658" t="str">
            <v>Arizant Healthcare Inc</v>
          </cell>
          <cell r="S658" t="str">
            <v>Calmed Healthcare Sdn Bhd</v>
          </cell>
          <cell r="T658" t="str">
            <v>Functioning</v>
          </cell>
          <cell r="U658" t="str">
            <v>Asset</v>
          </cell>
          <cell r="V658">
            <v>15515</v>
          </cell>
          <cell r="W658" t="str">
            <v>KEW</v>
          </cell>
          <cell r="X658" t="str">
            <v>01/09/2010</v>
          </cell>
          <cell r="Y658" t="str">
            <v>KEW</v>
          </cell>
          <cell r="Z658" t="str">
            <v>16/08/2013</v>
          </cell>
          <cell r="AA658" t="str">
            <v>15/08/2015</v>
          </cell>
          <cell r="AB658" t="str">
            <v>No</v>
          </cell>
          <cell r="AC658" t="str">
            <v>31/08/2013</v>
          </cell>
          <cell r="AD658" t="str">
            <v>Good</v>
          </cell>
          <cell r="AE658" t="str">
            <v>V1 - Existing / No Claim</v>
          </cell>
          <cell r="AF658">
            <v>42235</v>
          </cell>
          <cell r="AG658">
            <v>9.17</v>
          </cell>
          <cell r="AH658" t="str">
            <v>PPM</v>
          </cell>
          <cell r="AI658" t="str">
            <v>Strands</v>
          </cell>
          <cell r="AJ658" t="str">
            <v>Strands PW</v>
          </cell>
        </row>
        <row r="659">
          <cell r="A659" t="str">
            <v>IKN400179</v>
          </cell>
          <cell r="B659">
            <v>179</v>
          </cell>
          <cell r="C659" t="str">
            <v>Institut Kanser Negara</v>
          </cell>
          <cell r="D659" t="str">
            <v>KKM/IKN/H/13/1032</v>
          </cell>
          <cell r="E659" t="str">
            <v>17-950</v>
          </cell>
          <cell r="F659" t="str">
            <v>Warming Units, Patient, Forced-Air</v>
          </cell>
          <cell r="G659" t="str">
            <v>IC</v>
          </cell>
          <cell r="H659" t="str">
            <v>INTENSIVE CARE UNIT</v>
          </cell>
          <cell r="I659" t="str">
            <v>05IC112</v>
          </cell>
          <cell r="J659" t="str">
            <v>ICU RM 1</v>
          </cell>
          <cell r="K659" t="str">
            <v>BMED</v>
          </cell>
          <cell r="L659" t="str">
            <v>Normal</v>
          </cell>
          <cell r="M659" t="str">
            <v>USA</v>
          </cell>
          <cell r="N659" t="str">
            <v>Bair Hugger</v>
          </cell>
          <cell r="O659" t="str">
            <v>Bair Hugger 775</v>
          </cell>
          <cell r="P659" t="str">
            <v>35945</v>
          </cell>
          <cell r="Q659" t="str">
            <v>Not Applicable</v>
          </cell>
          <cell r="R659" t="str">
            <v>Arizant Healthcare Inc</v>
          </cell>
          <cell r="S659" t="str">
            <v>Calmed Healthcare Sdn Bhd</v>
          </cell>
          <cell r="T659" t="str">
            <v>Functioning</v>
          </cell>
          <cell r="U659" t="str">
            <v>Asset</v>
          </cell>
          <cell r="V659">
            <v>15515</v>
          </cell>
          <cell r="W659" t="str">
            <v>KEW</v>
          </cell>
          <cell r="X659" t="str">
            <v>01/09/2010</v>
          </cell>
          <cell r="Y659" t="str">
            <v>KEW</v>
          </cell>
          <cell r="Z659" t="str">
            <v>16/08/2013</v>
          </cell>
          <cell r="AA659" t="str">
            <v>15/08/2015</v>
          </cell>
          <cell r="AB659" t="str">
            <v>No</v>
          </cell>
          <cell r="AC659" t="str">
            <v>31/08/2013</v>
          </cell>
          <cell r="AD659" t="str">
            <v>Good</v>
          </cell>
          <cell r="AE659" t="str">
            <v>V1 - Existing / No Claim</v>
          </cell>
          <cell r="AF659">
            <v>42235</v>
          </cell>
          <cell r="AG659">
            <v>9.17</v>
          </cell>
          <cell r="AH659" t="str">
            <v>PPM</v>
          </cell>
          <cell r="AI659" t="str">
            <v>Strands</v>
          </cell>
          <cell r="AJ659" t="str">
            <v>Strands PW</v>
          </cell>
        </row>
        <row r="660">
          <cell r="A660" t="str">
            <v>IKN400180</v>
          </cell>
          <cell r="B660">
            <v>180</v>
          </cell>
          <cell r="C660" t="str">
            <v>Institut Kanser Negara</v>
          </cell>
          <cell r="D660" t="str">
            <v>KKM/IKN/H/13/1038</v>
          </cell>
          <cell r="E660" t="str">
            <v>17-950</v>
          </cell>
          <cell r="F660" t="str">
            <v>Warming Units, Patient, Forced-Air</v>
          </cell>
          <cell r="G660" t="str">
            <v>IC</v>
          </cell>
          <cell r="H660" t="str">
            <v>INTENSIVE CARE UNIT</v>
          </cell>
          <cell r="I660" t="str">
            <v>05IC113</v>
          </cell>
          <cell r="J660" t="str">
            <v>ICU RM 2</v>
          </cell>
          <cell r="K660" t="str">
            <v>BMED</v>
          </cell>
          <cell r="L660" t="str">
            <v>Normal</v>
          </cell>
          <cell r="M660" t="str">
            <v>USA</v>
          </cell>
          <cell r="N660" t="str">
            <v>Bair Hugger</v>
          </cell>
          <cell r="O660" t="str">
            <v>Bair Hugger 775</v>
          </cell>
          <cell r="P660" t="str">
            <v>35946</v>
          </cell>
          <cell r="Q660" t="str">
            <v>Not Applicable</v>
          </cell>
          <cell r="R660" t="str">
            <v>Arizant Healthcare Inc</v>
          </cell>
          <cell r="S660" t="str">
            <v>Calmed Healthcare Sdn Bhd</v>
          </cell>
          <cell r="T660" t="str">
            <v>Functioning</v>
          </cell>
          <cell r="U660" t="str">
            <v>Asset</v>
          </cell>
          <cell r="V660">
            <v>15515</v>
          </cell>
          <cell r="W660" t="str">
            <v>KEW</v>
          </cell>
          <cell r="X660" t="str">
            <v>01/09/2010</v>
          </cell>
          <cell r="Y660" t="str">
            <v>KEW</v>
          </cell>
          <cell r="Z660" t="str">
            <v>16/08/2013</v>
          </cell>
          <cell r="AA660" t="str">
            <v>15/08/2015</v>
          </cell>
          <cell r="AB660" t="str">
            <v>No</v>
          </cell>
          <cell r="AC660" t="str">
            <v>31/08/2013</v>
          </cell>
          <cell r="AD660" t="str">
            <v>Good</v>
          </cell>
          <cell r="AE660" t="str">
            <v>V1 - Existing / No Claim</v>
          </cell>
          <cell r="AF660">
            <v>42235</v>
          </cell>
          <cell r="AG660">
            <v>9.17</v>
          </cell>
          <cell r="AH660" t="str">
            <v>PPM</v>
          </cell>
          <cell r="AI660" t="str">
            <v>Strands</v>
          </cell>
          <cell r="AJ660" t="str">
            <v>Strands PW</v>
          </cell>
        </row>
        <row r="661">
          <cell r="A661" t="str">
            <v>IKN400181</v>
          </cell>
          <cell r="B661">
            <v>181</v>
          </cell>
          <cell r="C661" t="str">
            <v>Institut Kanser Negara</v>
          </cell>
          <cell r="D661" t="str">
            <v>KKM/IKN/H/13/1033</v>
          </cell>
          <cell r="E661" t="str">
            <v>17-950</v>
          </cell>
          <cell r="F661" t="str">
            <v>Warming Units, Patient, Forced-Air</v>
          </cell>
          <cell r="G661" t="str">
            <v>IC</v>
          </cell>
          <cell r="H661" t="str">
            <v>INTENSIVE CARE UNIT</v>
          </cell>
          <cell r="I661" t="str">
            <v>05IC114</v>
          </cell>
          <cell r="J661" t="str">
            <v>ICU RM 3</v>
          </cell>
          <cell r="K661" t="str">
            <v>BMED</v>
          </cell>
          <cell r="L661" t="str">
            <v>Normal</v>
          </cell>
          <cell r="M661" t="str">
            <v>USA</v>
          </cell>
          <cell r="N661" t="str">
            <v>Bair Hugger</v>
          </cell>
          <cell r="O661" t="str">
            <v>Bair Hugger 775</v>
          </cell>
          <cell r="P661" t="str">
            <v>35947</v>
          </cell>
          <cell r="Q661" t="str">
            <v>Not Applicable</v>
          </cell>
          <cell r="R661" t="str">
            <v>Arizant Healthcare Inc</v>
          </cell>
          <cell r="S661" t="str">
            <v>Calmed Healthcare Sdn Bhd</v>
          </cell>
          <cell r="T661" t="str">
            <v>Functioning</v>
          </cell>
          <cell r="U661" t="str">
            <v>Asset</v>
          </cell>
          <cell r="V661">
            <v>15515</v>
          </cell>
          <cell r="W661" t="str">
            <v>KEW</v>
          </cell>
          <cell r="X661" t="str">
            <v>01/09/2010</v>
          </cell>
          <cell r="Y661" t="str">
            <v>KEW</v>
          </cell>
          <cell r="Z661" t="str">
            <v>16/08/2013</v>
          </cell>
          <cell r="AA661" t="str">
            <v>15/08/2015</v>
          </cell>
          <cell r="AB661" t="str">
            <v>No</v>
          </cell>
          <cell r="AC661" t="str">
            <v>31/08/2013</v>
          </cell>
          <cell r="AD661" t="str">
            <v>Good</v>
          </cell>
          <cell r="AE661" t="str">
            <v>V1 - Existing / No Claim</v>
          </cell>
          <cell r="AF661">
            <v>42797</v>
          </cell>
          <cell r="AG661">
            <v>9.17</v>
          </cell>
          <cell r="AH661" t="str">
            <v>PPM</v>
          </cell>
          <cell r="AI661" t="str">
            <v>Strands</v>
          </cell>
          <cell r="AJ661" t="str">
            <v>Strands PW</v>
          </cell>
        </row>
        <row r="662">
          <cell r="A662" t="str">
            <v>IKN400182</v>
          </cell>
          <cell r="B662">
            <v>182</v>
          </cell>
          <cell r="C662" t="str">
            <v>Institut Kanser Negara</v>
          </cell>
          <cell r="D662" t="str">
            <v>KKM/IKN/H/13/1034</v>
          </cell>
          <cell r="E662" t="str">
            <v>17-950</v>
          </cell>
          <cell r="F662" t="str">
            <v>Warming Units, Patient, Forced-Air</v>
          </cell>
          <cell r="G662" t="str">
            <v>IC</v>
          </cell>
          <cell r="H662" t="str">
            <v>INTENSIVE CARE UNIT</v>
          </cell>
          <cell r="I662" t="str">
            <v>05IC115</v>
          </cell>
          <cell r="J662" t="str">
            <v>ICU RM 4</v>
          </cell>
          <cell r="K662" t="str">
            <v>BMED</v>
          </cell>
          <cell r="L662" t="str">
            <v>Normal</v>
          </cell>
          <cell r="M662" t="str">
            <v>USA</v>
          </cell>
          <cell r="N662" t="str">
            <v>Bair Hugger</v>
          </cell>
          <cell r="O662" t="str">
            <v>Bair Hugger 775</v>
          </cell>
          <cell r="P662" t="str">
            <v>35948</v>
          </cell>
          <cell r="Q662" t="str">
            <v>Not Applicable</v>
          </cell>
          <cell r="R662" t="str">
            <v>Arizant Healthcare Inc</v>
          </cell>
          <cell r="S662" t="str">
            <v>Calmed Healthcare Sdn Bhd</v>
          </cell>
          <cell r="T662" t="str">
            <v>Functioning</v>
          </cell>
          <cell r="U662" t="str">
            <v>Asset</v>
          </cell>
          <cell r="V662">
            <v>15515</v>
          </cell>
          <cell r="W662" t="str">
            <v>KEW</v>
          </cell>
          <cell r="X662" t="str">
            <v>01/09/2010</v>
          </cell>
          <cell r="Y662" t="str">
            <v>KEW</v>
          </cell>
          <cell r="Z662" t="str">
            <v>16/08/2013</v>
          </cell>
          <cell r="AA662" t="str">
            <v>15/08/2015</v>
          </cell>
          <cell r="AB662" t="str">
            <v>No</v>
          </cell>
          <cell r="AC662" t="str">
            <v>31/08/2013</v>
          </cell>
          <cell r="AD662" t="str">
            <v>Good</v>
          </cell>
          <cell r="AE662" t="str">
            <v>V1 - Existing / No Claim</v>
          </cell>
          <cell r="AF662">
            <v>42235</v>
          </cell>
          <cell r="AG662">
            <v>9.17</v>
          </cell>
          <cell r="AH662" t="str">
            <v>PPM</v>
          </cell>
          <cell r="AI662" t="str">
            <v>Strands</v>
          </cell>
          <cell r="AJ662" t="str">
            <v>Strands PW</v>
          </cell>
        </row>
        <row r="663">
          <cell r="A663" t="str">
            <v>IKN400183</v>
          </cell>
          <cell r="B663">
            <v>183</v>
          </cell>
          <cell r="C663" t="str">
            <v>Institut Kanser Negara</v>
          </cell>
          <cell r="D663" t="str">
            <v>KKM/IKN/H/13/1035</v>
          </cell>
          <cell r="E663" t="str">
            <v>17-950</v>
          </cell>
          <cell r="F663" t="str">
            <v>Warming Units, Patient, Forced-Air</v>
          </cell>
          <cell r="G663" t="str">
            <v>IC</v>
          </cell>
          <cell r="H663" t="str">
            <v>INTENSIVE CARE UNIT</v>
          </cell>
          <cell r="I663" t="str">
            <v>05IC116</v>
          </cell>
          <cell r="J663" t="str">
            <v>ISOL 2 (+VE)</v>
          </cell>
          <cell r="K663" t="str">
            <v>BMED</v>
          </cell>
          <cell r="L663" t="str">
            <v>Normal</v>
          </cell>
          <cell r="M663" t="str">
            <v>USA</v>
          </cell>
          <cell r="N663" t="str">
            <v>Bair Hugger</v>
          </cell>
          <cell r="O663" t="str">
            <v>Bair Hugger 775</v>
          </cell>
          <cell r="P663" t="str">
            <v>35932</v>
          </cell>
          <cell r="Q663" t="str">
            <v>Not Applicable</v>
          </cell>
          <cell r="R663" t="str">
            <v>Arizant Healthcare Inc</v>
          </cell>
          <cell r="S663" t="str">
            <v>Calmed Healthcare Sdn Bhd</v>
          </cell>
          <cell r="T663" t="str">
            <v>Functioning</v>
          </cell>
          <cell r="U663" t="str">
            <v>Asset</v>
          </cell>
          <cell r="V663">
            <v>15515</v>
          </cell>
          <cell r="W663" t="str">
            <v>KEW</v>
          </cell>
          <cell r="X663" t="str">
            <v>01/09/2010</v>
          </cell>
          <cell r="Y663" t="str">
            <v>KEW</v>
          </cell>
          <cell r="Z663" t="str">
            <v>16/08/2013</v>
          </cell>
          <cell r="AA663" t="str">
            <v>15/08/2015</v>
          </cell>
          <cell r="AB663" t="str">
            <v>No</v>
          </cell>
          <cell r="AC663" t="str">
            <v>31/08/2013</v>
          </cell>
          <cell r="AD663" t="str">
            <v>Good</v>
          </cell>
          <cell r="AE663" t="str">
            <v>V1 - Existing / No Claim</v>
          </cell>
          <cell r="AF663">
            <v>42797</v>
          </cell>
          <cell r="AG663">
            <v>9.17</v>
          </cell>
          <cell r="AH663" t="str">
            <v>PPM</v>
          </cell>
          <cell r="AI663" t="str">
            <v>Strands</v>
          </cell>
          <cell r="AJ663" t="str">
            <v>Strands PW</v>
          </cell>
        </row>
        <row r="664">
          <cell r="A664" t="str">
            <v>IKN400184</v>
          </cell>
          <cell r="B664">
            <v>184</v>
          </cell>
          <cell r="C664" t="str">
            <v>Institut Kanser Negara</v>
          </cell>
          <cell r="D664" t="str">
            <v>KKM/IKN/H/13/1036</v>
          </cell>
          <cell r="E664" t="str">
            <v>17-950</v>
          </cell>
          <cell r="F664" t="str">
            <v>Warming Units, Patient, Forced-Air</v>
          </cell>
          <cell r="G664" t="str">
            <v>IC</v>
          </cell>
          <cell r="H664" t="str">
            <v>INTENSIVE CARE UNIT</v>
          </cell>
          <cell r="I664" t="str">
            <v>05IC129</v>
          </cell>
          <cell r="J664" t="str">
            <v>ISOL 4 (+VE)</v>
          </cell>
          <cell r="K664" t="str">
            <v>BMED</v>
          </cell>
          <cell r="L664" t="str">
            <v>Normal</v>
          </cell>
          <cell r="M664" t="str">
            <v>USA</v>
          </cell>
          <cell r="N664" t="str">
            <v>Bair Hugger</v>
          </cell>
          <cell r="O664" t="str">
            <v>Bair Hugger 775</v>
          </cell>
          <cell r="P664" t="str">
            <v>35931</v>
          </cell>
          <cell r="Q664" t="str">
            <v>Not Applicable</v>
          </cell>
          <cell r="R664" t="str">
            <v>Arizant Healthcare Inc</v>
          </cell>
          <cell r="S664" t="str">
            <v>Calmed Healthcare Sdn Bhd</v>
          </cell>
          <cell r="T664" t="str">
            <v>Functioning</v>
          </cell>
          <cell r="U664" t="str">
            <v>Asset</v>
          </cell>
          <cell r="V664">
            <v>15515</v>
          </cell>
          <cell r="W664" t="str">
            <v>KEW</v>
          </cell>
          <cell r="X664" t="str">
            <v>01/09/2010</v>
          </cell>
          <cell r="Y664" t="str">
            <v>KEW</v>
          </cell>
          <cell r="Z664" t="str">
            <v>16/08/2013</v>
          </cell>
          <cell r="AA664" t="str">
            <v>15/08/2015</v>
          </cell>
          <cell r="AB664" t="str">
            <v>No</v>
          </cell>
          <cell r="AC664" t="str">
            <v>31/08/2013</v>
          </cell>
          <cell r="AD664" t="str">
            <v>Good</v>
          </cell>
          <cell r="AE664" t="str">
            <v>V1 - Existing / No Claim</v>
          </cell>
          <cell r="AF664">
            <v>42235</v>
          </cell>
          <cell r="AG664">
            <v>9.17</v>
          </cell>
          <cell r="AH664" t="str">
            <v>PPM</v>
          </cell>
          <cell r="AI664" t="str">
            <v>Strands</v>
          </cell>
          <cell r="AJ664" t="str">
            <v>Strands PW</v>
          </cell>
        </row>
        <row r="665">
          <cell r="A665" t="str">
            <v>IKN400185</v>
          </cell>
          <cell r="B665">
            <v>185</v>
          </cell>
          <cell r="C665" t="str">
            <v>Institut Kanser Negara</v>
          </cell>
          <cell r="D665" t="str">
            <v>KKM/IKN/H/13/1037</v>
          </cell>
          <cell r="E665" t="str">
            <v>17-950</v>
          </cell>
          <cell r="F665" t="str">
            <v>Warming Units, Patient, Forced-Air</v>
          </cell>
          <cell r="G665" t="str">
            <v>IC</v>
          </cell>
          <cell r="H665" t="str">
            <v>INTENSIVE CARE UNIT</v>
          </cell>
          <cell r="I665" t="str">
            <v>05IC131</v>
          </cell>
          <cell r="J665" t="str">
            <v>ISOL 3 (+VE)</v>
          </cell>
          <cell r="K665" t="str">
            <v>BMED</v>
          </cell>
          <cell r="L665" t="str">
            <v>Normal</v>
          </cell>
          <cell r="M665" t="str">
            <v>USA</v>
          </cell>
          <cell r="N665" t="str">
            <v>Bair Hugger</v>
          </cell>
          <cell r="O665" t="str">
            <v>Bair Hugger 775</v>
          </cell>
          <cell r="P665" t="str">
            <v>35950</v>
          </cell>
          <cell r="Q665" t="str">
            <v>Not Applicable</v>
          </cell>
          <cell r="R665" t="str">
            <v>Arizant Healthcare Inc</v>
          </cell>
          <cell r="S665" t="str">
            <v>Calmed Healthcare Sdn Bhd</v>
          </cell>
          <cell r="T665" t="str">
            <v>Functioning</v>
          </cell>
          <cell r="U665" t="str">
            <v>Asset</v>
          </cell>
          <cell r="V665">
            <v>15515</v>
          </cell>
          <cell r="W665" t="str">
            <v>KEW</v>
          </cell>
          <cell r="X665" t="str">
            <v>01/09/2010</v>
          </cell>
          <cell r="Y665" t="str">
            <v>KEW</v>
          </cell>
          <cell r="Z665" t="str">
            <v>16/08/2013</v>
          </cell>
          <cell r="AA665" t="str">
            <v>15/08/2015</v>
          </cell>
          <cell r="AB665" t="str">
            <v>No</v>
          </cell>
          <cell r="AC665" t="str">
            <v>31/08/2013</v>
          </cell>
          <cell r="AD665" t="str">
            <v>Good</v>
          </cell>
          <cell r="AE665" t="str">
            <v>V1 - Existing / No Claim</v>
          </cell>
          <cell r="AF665">
            <v>42235</v>
          </cell>
          <cell r="AG665">
            <v>9.17</v>
          </cell>
          <cell r="AH665" t="str">
            <v>PPM</v>
          </cell>
          <cell r="AI665" t="str">
            <v>Strands</v>
          </cell>
          <cell r="AJ665" t="str">
            <v>Strands PW</v>
          </cell>
        </row>
        <row r="666">
          <cell r="A666" t="str">
            <v>IKN400186</v>
          </cell>
          <cell r="B666">
            <v>186</v>
          </cell>
          <cell r="C666" t="str">
            <v>Institut Kanser Negara</v>
          </cell>
          <cell r="D666" t="str">
            <v>KKM/IKN/H/13/857</v>
          </cell>
          <cell r="E666" t="str">
            <v>10-849</v>
          </cell>
          <cell r="F666" t="str">
            <v>Circulatory Assist Units, Venous Return</v>
          </cell>
          <cell r="G666" t="str">
            <v>IC</v>
          </cell>
          <cell r="H666" t="str">
            <v>INTENSIVE CARE UNIT</v>
          </cell>
          <cell r="I666" t="str">
            <v>05IC112</v>
          </cell>
          <cell r="J666" t="str">
            <v>ICU RM 1</v>
          </cell>
          <cell r="K666" t="str">
            <v>BMED</v>
          </cell>
          <cell r="L666" t="str">
            <v>Critical</v>
          </cell>
          <cell r="M666" t="str">
            <v>Taiwan</v>
          </cell>
          <cell r="N666" t="str">
            <v>Vena Press</v>
          </cell>
          <cell r="O666" t="str">
            <v>Vena Press IPC</v>
          </cell>
          <cell r="P666" t="str">
            <v>C820017576</v>
          </cell>
          <cell r="Q666" t="str">
            <v>Not Applicable</v>
          </cell>
          <cell r="R666" t="str">
            <v>Prius Healthcare Solution</v>
          </cell>
          <cell r="S666" t="str">
            <v>Medika Supplies</v>
          </cell>
          <cell r="T666" t="str">
            <v>Functioning</v>
          </cell>
          <cell r="U666" t="str">
            <v>Asset</v>
          </cell>
          <cell r="V666">
            <v>13470</v>
          </cell>
          <cell r="W666" t="str">
            <v>KEW</v>
          </cell>
          <cell r="X666" t="str">
            <v>01/09/2010</v>
          </cell>
          <cell r="Y666" t="str">
            <v>KEW</v>
          </cell>
          <cell r="Z666" t="str">
            <v>16/08/2013</v>
          </cell>
          <cell r="AA666" t="str">
            <v>15/08/2015</v>
          </cell>
          <cell r="AB666" t="str">
            <v>No</v>
          </cell>
          <cell r="AC666" t="str">
            <v>31/08/2013</v>
          </cell>
          <cell r="AD666" t="str">
            <v>Good</v>
          </cell>
          <cell r="AE666" t="str">
            <v>V1 - Existing / No Claim</v>
          </cell>
          <cell r="AF666">
            <v>42796</v>
          </cell>
          <cell r="AG666">
            <v>9.17</v>
          </cell>
          <cell r="AH666" t="str">
            <v>PPM</v>
          </cell>
          <cell r="AI666" t="str">
            <v>Strands</v>
          </cell>
          <cell r="AJ666" t="str">
            <v>Strands PW</v>
          </cell>
        </row>
        <row r="667">
          <cell r="A667" t="str">
            <v>IKN400187</v>
          </cell>
          <cell r="B667">
            <v>187</v>
          </cell>
          <cell r="C667" t="str">
            <v>Institut Kanser Negara</v>
          </cell>
          <cell r="D667" t="str">
            <v>KKM/IKN/H/13/1025</v>
          </cell>
          <cell r="E667" t="str">
            <v>16-173</v>
          </cell>
          <cell r="F667" t="str">
            <v>Sphygmomanometers, Electronic, Automatic</v>
          </cell>
          <cell r="G667" t="str">
            <v>IC</v>
          </cell>
          <cell r="H667" t="str">
            <v>INTENSIVE CARE UNIT</v>
          </cell>
          <cell r="I667" t="str">
            <v>05IC140</v>
          </cell>
          <cell r="J667" t="str">
            <v>NURSE STATION 1</v>
          </cell>
          <cell r="K667" t="str">
            <v>BMED</v>
          </cell>
          <cell r="L667" t="str">
            <v>Normal</v>
          </cell>
          <cell r="M667" t="str">
            <v>USA</v>
          </cell>
          <cell r="N667" t="str">
            <v>Connex</v>
          </cell>
          <cell r="O667" t="str">
            <v>Connex ProBP 3400</v>
          </cell>
          <cell r="P667" t="str">
            <v>100001740613</v>
          </cell>
          <cell r="Q667" t="str">
            <v>Not Applicable</v>
          </cell>
          <cell r="R667" t="str">
            <v>Welch Allyn Inc</v>
          </cell>
          <cell r="S667" t="str">
            <v>Welch Allyn Malaysia Sdn Bhd</v>
          </cell>
          <cell r="T667" t="str">
            <v>Functioning</v>
          </cell>
          <cell r="U667" t="str">
            <v>Asset</v>
          </cell>
          <cell r="V667">
            <v>4510</v>
          </cell>
          <cell r="W667" t="str">
            <v>KEW</v>
          </cell>
          <cell r="X667" t="str">
            <v>01/09/2010</v>
          </cell>
          <cell r="Y667" t="str">
            <v>KEW</v>
          </cell>
          <cell r="Z667" t="str">
            <v>16/08/2013</v>
          </cell>
          <cell r="AA667" t="str">
            <v>15/08/2015</v>
          </cell>
          <cell r="AB667" t="str">
            <v>No</v>
          </cell>
          <cell r="AC667" t="str">
            <v>31/08/2013</v>
          </cell>
          <cell r="AD667" t="str">
            <v>Good</v>
          </cell>
          <cell r="AE667" t="str">
            <v>V1 - Existing / No Claim</v>
          </cell>
          <cell r="AF667">
            <v>42235</v>
          </cell>
          <cell r="AG667">
            <v>9.17</v>
          </cell>
          <cell r="AH667" t="str">
            <v>PPM</v>
          </cell>
          <cell r="AI667" t="str">
            <v>Strands</v>
          </cell>
          <cell r="AJ667" t="str">
            <v>Strands PW</v>
          </cell>
        </row>
        <row r="668">
          <cell r="A668" t="str">
            <v>IKN400188</v>
          </cell>
          <cell r="B668">
            <v>188</v>
          </cell>
          <cell r="C668" t="str">
            <v>Institut Kanser Negara</v>
          </cell>
          <cell r="D668" t="str">
            <v>KKM/IKN/H/13/4662</v>
          </cell>
          <cell r="E668" t="str">
            <v>15-156</v>
          </cell>
          <cell r="F668" t="str">
            <v>Microscopes, Light, Laboratory</v>
          </cell>
          <cell r="G668" t="str">
            <v>LA</v>
          </cell>
          <cell r="H668" t="str">
            <v>PATHOLOGY</v>
          </cell>
          <cell r="I668" t="str">
            <v>04LA130</v>
          </cell>
          <cell r="J668" t="str">
            <v>SEROLOGY</v>
          </cell>
          <cell r="K668" t="str">
            <v>BMED</v>
          </cell>
          <cell r="L668" t="str">
            <v>Normal</v>
          </cell>
          <cell r="M668" t="str">
            <v>Japan</v>
          </cell>
          <cell r="N668" t="str">
            <v>Olympus</v>
          </cell>
          <cell r="O668" t="str">
            <v>Olympus BX 53</v>
          </cell>
          <cell r="P668" t="str">
            <v>2hH23588</v>
          </cell>
          <cell r="Q668" t="str">
            <v>Not Applicable</v>
          </cell>
          <cell r="R668" t="str">
            <v>Olympus Corp</v>
          </cell>
          <cell r="S668" t="str">
            <v>Matrix Optics (M) Sdn Bhd</v>
          </cell>
          <cell r="T668" t="str">
            <v>Functioning</v>
          </cell>
          <cell r="U668" t="str">
            <v>Asset</v>
          </cell>
          <cell r="V668">
            <v>125500</v>
          </cell>
          <cell r="W668" t="str">
            <v>KEW</v>
          </cell>
          <cell r="X668" t="str">
            <v>01/09/2010</v>
          </cell>
          <cell r="Y668" t="str">
            <v>KEW</v>
          </cell>
          <cell r="Z668" t="str">
            <v>16/08/2013</v>
          </cell>
          <cell r="AA668" t="str">
            <v>15/08/2015</v>
          </cell>
          <cell r="AB668" t="str">
            <v>No</v>
          </cell>
          <cell r="AC668" t="str">
            <v>31/08/2013</v>
          </cell>
          <cell r="AD668" t="str">
            <v>Good</v>
          </cell>
          <cell r="AE668" t="str">
            <v>V1 - Existing / No Claim</v>
          </cell>
          <cell r="AF668">
            <v>42800</v>
          </cell>
          <cell r="AG668">
            <v>9.17</v>
          </cell>
          <cell r="AH668" t="str">
            <v>PPM</v>
          </cell>
          <cell r="AI668" t="str">
            <v>Strands</v>
          </cell>
          <cell r="AJ668" t="str">
            <v>Strands PW</v>
          </cell>
          <cell r="AK668" t="str">
            <v>[17/7/2024]: Change Department from MDC to LA on July 2024.</v>
          </cell>
        </row>
        <row r="669">
          <cell r="A669" t="str">
            <v>IKN400189</v>
          </cell>
          <cell r="B669">
            <v>189</v>
          </cell>
          <cell r="C669" t="str">
            <v>Institut Kanser Negara</v>
          </cell>
          <cell r="D669" t="str">
            <v>KKM/IKN/H/13/1027</v>
          </cell>
          <cell r="E669" t="str">
            <v>10-447</v>
          </cell>
          <cell r="F669" t="str">
            <v>Warming Units, Blood/Solution</v>
          </cell>
          <cell r="G669" t="str">
            <v>IC</v>
          </cell>
          <cell r="H669" t="str">
            <v>INTENSIVE CARE UNIT</v>
          </cell>
          <cell r="I669" t="str">
            <v>05IC106</v>
          </cell>
          <cell r="J669" t="str">
            <v>EQ. ROOM</v>
          </cell>
          <cell r="K669" t="str">
            <v>BMED</v>
          </cell>
          <cell r="L669" t="str">
            <v>Normal</v>
          </cell>
          <cell r="M669" t="str">
            <v>USA</v>
          </cell>
          <cell r="N669" t="str">
            <v>Hotline</v>
          </cell>
          <cell r="O669" t="str">
            <v>Hotline HL-90</v>
          </cell>
          <cell r="P669" t="str">
            <v>S101B00814</v>
          </cell>
          <cell r="Q669" t="str">
            <v>Not Applicable</v>
          </cell>
          <cell r="R669" t="str">
            <v>Level 1 Technologies Inc</v>
          </cell>
          <cell r="S669" t="str">
            <v>Primed Medical Services Sdn Bhd</v>
          </cell>
          <cell r="T669" t="str">
            <v>Functioning</v>
          </cell>
          <cell r="U669" t="str">
            <v>Asset</v>
          </cell>
          <cell r="V669">
            <v>15395</v>
          </cell>
          <cell r="W669" t="str">
            <v>KEW</v>
          </cell>
          <cell r="X669" t="str">
            <v>01/09/2010</v>
          </cell>
          <cell r="Y669" t="str">
            <v>KEW</v>
          </cell>
          <cell r="Z669" t="str">
            <v>16/08/2013</v>
          </cell>
          <cell r="AA669" t="str">
            <v>15/08/2015</v>
          </cell>
          <cell r="AB669" t="str">
            <v>No</v>
          </cell>
          <cell r="AC669" t="str">
            <v>31/08/2013</v>
          </cell>
          <cell r="AD669" t="str">
            <v>Good</v>
          </cell>
          <cell r="AE669" t="str">
            <v>V1 - Existing / No Claim</v>
          </cell>
          <cell r="AF669">
            <v>42235</v>
          </cell>
          <cell r="AG669">
            <v>9.17</v>
          </cell>
          <cell r="AH669" t="str">
            <v>PPM</v>
          </cell>
          <cell r="AI669" t="str">
            <v>Strands</v>
          </cell>
          <cell r="AJ669" t="str">
            <v>Strands PW</v>
          </cell>
        </row>
        <row r="670">
          <cell r="A670" t="str">
            <v>IKN400190</v>
          </cell>
          <cell r="B670">
            <v>190</v>
          </cell>
          <cell r="C670" t="str">
            <v>Institut Kanser Negara</v>
          </cell>
          <cell r="D670" t="str">
            <v>KKM/IKN/H/13/2209</v>
          </cell>
          <cell r="E670" t="str">
            <v>10-447</v>
          </cell>
          <cell r="F670" t="str">
            <v>Warming Units, Blood/Solution</v>
          </cell>
          <cell r="G670" t="str">
            <v>WJ</v>
          </cell>
          <cell r="H670" t="str">
            <v>MULTIDISCIPLINE WARD 1</v>
          </cell>
          <cell r="I670" t="str">
            <v>09WJ126</v>
          </cell>
          <cell r="J670" t="str">
            <v>EQUIPT. ROOM</v>
          </cell>
          <cell r="K670" t="str">
            <v>BMED</v>
          </cell>
          <cell r="L670" t="str">
            <v>Normal</v>
          </cell>
          <cell r="M670" t="str">
            <v>Japan</v>
          </cell>
          <cell r="N670" t="str">
            <v>Animec</v>
          </cell>
          <cell r="O670" t="str">
            <v>Animec AM-301</v>
          </cell>
          <cell r="P670" t="str">
            <v>2013D0267</v>
          </cell>
          <cell r="Q670" t="str">
            <v>Not Applicable</v>
          </cell>
          <cell r="R670" t="str">
            <v>Elltec Co Ltd</v>
          </cell>
          <cell r="S670" t="str">
            <v>IDS Services (Malaysia) Sdn Bhd</v>
          </cell>
          <cell r="T670" t="str">
            <v>Functioning</v>
          </cell>
          <cell r="U670" t="str">
            <v>Asset</v>
          </cell>
          <cell r="V670">
            <v>4990</v>
          </cell>
          <cell r="W670" t="str">
            <v>KEW</v>
          </cell>
          <cell r="X670" t="str">
            <v>01/09/2010</v>
          </cell>
          <cell r="Y670" t="str">
            <v>KEW</v>
          </cell>
          <cell r="Z670" t="str">
            <v>16/08/2013</v>
          </cell>
          <cell r="AA670" t="str">
            <v>15/08/2015</v>
          </cell>
          <cell r="AB670" t="str">
            <v>No</v>
          </cell>
          <cell r="AC670" t="str">
            <v>31/08/2013</v>
          </cell>
          <cell r="AD670" t="str">
            <v>Good</v>
          </cell>
          <cell r="AE670" t="str">
            <v>V1 - Existing / No Claim</v>
          </cell>
          <cell r="AF670">
            <v>42235</v>
          </cell>
          <cell r="AG670">
            <v>9.17</v>
          </cell>
          <cell r="AH670" t="str">
            <v>PPM</v>
          </cell>
          <cell r="AI670" t="str">
            <v>Strands</v>
          </cell>
          <cell r="AJ670" t="str">
            <v>Strands PW</v>
          </cell>
        </row>
        <row r="671">
          <cell r="A671" t="str">
            <v>IKN400191</v>
          </cell>
          <cell r="B671">
            <v>191</v>
          </cell>
          <cell r="C671" t="str">
            <v>Institut Kanser Negara</v>
          </cell>
          <cell r="D671" t="str">
            <v>KKM/IKN/H/13/2243</v>
          </cell>
          <cell r="E671" t="str">
            <v>10-447</v>
          </cell>
          <cell r="F671" t="str">
            <v>Warming Units, Blood/Solution</v>
          </cell>
          <cell r="G671" t="str">
            <v>WJ</v>
          </cell>
          <cell r="H671" t="str">
            <v>MULTIDISCIPLINE WARD 1</v>
          </cell>
          <cell r="I671" t="str">
            <v>09WJ126</v>
          </cell>
          <cell r="J671" t="str">
            <v>EQUIPT. ROOM</v>
          </cell>
          <cell r="K671" t="str">
            <v>BMED</v>
          </cell>
          <cell r="L671" t="str">
            <v>Normal</v>
          </cell>
          <cell r="M671" t="str">
            <v>Japan</v>
          </cell>
          <cell r="N671" t="str">
            <v>Animec</v>
          </cell>
          <cell r="O671" t="str">
            <v>Animec AM-301</v>
          </cell>
          <cell r="P671" t="str">
            <v>2012D0059</v>
          </cell>
          <cell r="Q671" t="str">
            <v>Not Applicable</v>
          </cell>
          <cell r="R671" t="str">
            <v>Elltec Co Ltd</v>
          </cell>
          <cell r="S671" t="str">
            <v>IDS Services (Malaysia) Sdn Bhd</v>
          </cell>
          <cell r="T671" t="str">
            <v>Functioning</v>
          </cell>
          <cell r="U671" t="str">
            <v>Asset</v>
          </cell>
          <cell r="V671">
            <v>4990</v>
          </cell>
          <cell r="W671" t="str">
            <v>KEW</v>
          </cell>
          <cell r="X671" t="str">
            <v>01/09/2010</v>
          </cell>
          <cell r="Y671" t="str">
            <v>KEW</v>
          </cell>
          <cell r="Z671" t="str">
            <v>16/08/2013</v>
          </cell>
          <cell r="AA671" t="str">
            <v>15/08/2015</v>
          </cell>
          <cell r="AB671" t="str">
            <v>No</v>
          </cell>
          <cell r="AC671" t="str">
            <v>31/08/2013</v>
          </cell>
          <cell r="AD671" t="str">
            <v>Good</v>
          </cell>
          <cell r="AE671" t="str">
            <v>V1 - Existing / No Claim</v>
          </cell>
          <cell r="AF671">
            <v>42789</v>
          </cell>
          <cell r="AG671">
            <v>9.17</v>
          </cell>
          <cell r="AH671" t="str">
            <v>PPM</v>
          </cell>
          <cell r="AI671" t="str">
            <v>Strands</v>
          </cell>
          <cell r="AJ671" t="str">
            <v>Strands PW</v>
          </cell>
        </row>
        <row r="672">
          <cell r="A672" t="str">
            <v>IKN400192</v>
          </cell>
          <cell r="B672">
            <v>192</v>
          </cell>
          <cell r="C672" t="str">
            <v>Institut Kanser Negara</v>
          </cell>
          <cell r="D672" t="str">
            <v>KKM/IKN/H/13/2019</v>
          </cell>
          <cell r="E672" t="str">
            <v>10-447</v>
          </cell>
          <cell r="F672" t="str">
            <v>Warming Units, Blood/Solution</v>
          </cell>
          <cell r="G672" t="str">
            <v>WJ</v>
          </cell>
          <cell r="H672" t="str">
            <v>MULTIDISCIPLINE WARD 1</v>
          </cell>
          <cell r="I672" t="str">
            <v>09WJ126</v>
          </cell>
          <cell r="J672" t="str">
            <v>EQUIPT. ROOM</v>
          </cell>
          <cell r="K672" t="str">
            <v>BMED</v>
          </cell>
          <cell r="L672" t="str">
            <v>Normal</v>
          </cell>
          <cell r="M672" t="str">
            <v>Japan</v>
          </cell>
          <cell r="N672" t="str">
            <v>Animec</v>
          </cell>
          <cell r="O672" t="str">
            <v>Animec AM-301</v>
          </cell>
          <cell r="P672" t="str">
            <v>2013D0268</v>
          </cell>
          <cell r="Q672" t="str">
            <v>Not Applicable</v>
          </cell>
          <cell r="R672" t="str">
            <v>Elltec Co Ltd</v>
          </cell>
          <cell r="S672" t="str">
            <v>IDS Services (Malaysia) Sdn Bhd</v>
          </cell>
          <cell r="T672" t="str">
            <v>Functioning</v>
          </cell>
          <cell r="U672" t="str">
            <v>Asset</v>
          </cell>
          <cell r="V672">
            <v>4990</v>
          </cell>
          <cell r="W672" t="str">
            <v>KEW</v>
          </cell>
          <cell r="X672" t="str">
            <v>01/09/2010</v>
          </cell>
          <cell r="Y672" t="str">
            <v>KEW</v>
          </cell>
          <cell r="Z672" t="str">
            <v>16/08/2013</v>
          </cell>
          <cell r="AA672" t="str">
            <v>15/08/2015</v>
          </cell>
          <cell r="AB672" t="str">
            <v>No</v>
          </cell>
          <cell r="AC672" t="str">
            <v>31/08/2013</v>
          </cell>
          <cell r="AD672" t="str">
            <v>Good</v>
          </cell>
          <cell r="AE672" t="str">
            <v>V1 - Existing / No Claim</v>
          </cell>
          <cell r="AF672">
            <v>42235</v>
          </cell>
          <cell r="AG672">
            <v>9.17</v>
          </cell>
          <cell r="AH672" t="str">
            <v>PPM</v>
          </cell>
          <cell r="AI672" t="str">
            <v>Strands</v>
          </cell>
          <cell r="AJ672" t="str">
            <v>Strands PW</v>
          </cell>
        </row>
        <row r="673">
          <cell r="A673" t="str">
            <v>IKN400193</v>
          </cell>
          <cell r="B673">
            <v>193</v>
          </cell>
          <cell r="C673" t="str">
            <v>Institut Kanser Negara</v>
          </cell>
          <cell r="D673" t="str">
            <v>KKM/IKN/H/13/2245</v>
          </cell>
          <cell r="E673" t="str">
            <v>12-282</v>
          </cell>
          <cell r="F673" t="str">
            <v>Lights, Surgical</v>
          </cell>
          <cell r="G673" t="str">
            <v>WJ</v>
          </cell>
          <cell r="H673" t="str">
            <v>MULTIDISCIPLINE WARD 1</v>
          </cell>
          <cell r="I673" t="str">
            <v>09WJ126</v>
          </cell>
          <cell r="J673" t="str">
            <v>EQUIPT. ROOM</v>
          </cell>
          <cell r="K673" t="str">
            <v>BMED</v>
          </cell>
          <cell r="L673" t="str">
            <v>Critical</v>
          </cell>
          <cell r="M673" t="str">
            <v>USA</v>
          </cell>
          <cell r="N673" t="str">
            <v>Welch Allyn</v>
          </cell>
          <cell r="O673" t="str">
            <v>Welch Allyn GS600</v>
          </cell>
          <cell r="P673" t="str">
            <v>GS-600-42</v>
          </cell>
          <cell r="Q673" t="str">
            <v>Not Applicable</v>
          </cell>
          <cell r="R673" t="str">
            <v>Welch Allyn Inc</v>
          </cell>
          <cell r="S673" t="str">
            <v>Welch Allyn Malaysia Sdn Bhd</v>
          </cell>
          <cell r="T673" t="str">
            <v>Functioning</v>
          </cell>
          <cell r="U673" t="str">
            <v>Asset</v>
          </cell>
          <cell r="V673">
            <v>5050</v>
          </cell>
          <cell r="W673" t="str">
            <v>KEW</v>
          </cell>
          <cell r="X673" t="str">
            <v>01/09/2010</v>
          </cell>
          <cell r="Y673" t="str">
            <v>KEW</v>
          </cell>
          <cell r="Z673" t="str">
            <v>16/08/2013</v>
          </cell>
          <cell r="AA673" t="str">
            <v>15/08/2015</v>
          </cell>
          <cell r="AB673" t="str">
            <v>No</v>
          </cell>
          <cell r="AC673" t="str">
            <v>31/08/2013</v>
          </cell>
          <cell r="AD673" t="str">
            <v>Good</v>
          </cell>
          <cell r="AE673" t="str">
            <v>V1 - Existing / No Claim</v>
          </cell>
          <cell r="AF673">
            <v>42789</v>
          </cell>
          <cell r="AG673">
            <v>9.17</v>
          </cell>
          <cell r="AH673" t="str">
            <v>PPM</v>
          </cell>
          <cell r="AI673" t="str">
            <v>Strands</v>
          </cell>
          <cell r="AJ673" t="str">
            <v>Strands PW</v>
          </cell>
        </row>
        <row r="674">
          <cell r="A674" t="str">
            <v>IKN400194</v>
          </cell>
          <cell r="B674">
            <v>194</v>
          </cell>
          <cell r="C674" t="str">
            <v>Institut Kanser Negara</v>
          </cell>
          <cell r="D674" t="str">
            <v>KKM/IKN/H/13/2246</v>
          </cell>
          <cell r="E674" t="str">
            <v>12-282</v>
          </cell>
          <cell r="F674" t="str">
            <v>Lights, Surgical</v>
          </cell>
          <cell r="G674" t="str">
            <v>WJ</v>
          </cell>
          <cell r="H674" t="str">
            <v>MULTIDISCIPLINE WARD 1</v>
          </cell>
          <cell r="I674" t="str">
            <v>09WJ222</v>
          </cell>
          <cell r="J674" t="str">
            <v>TREATMENT</v>
          </cell>
          <cell r="K674" t="str">
            <v>BMED</v>
          </cell>
          <cell r="L674" t="str">
            <v>Critical</v>
          </cell>
          <cell r="M674" t="str">
            <v>USA</v>
          </cell>
          <cell r="N674" t="str">
            <v>Welch Allyn</v>
          </cell>
          <cell r="O674" t="str">
            <v>Welch Allyn GS600</v>
          </cell>
          <cell r="P674" t="str">
            <v>GS-600-45</v>
          </cell>
          <cell r="Q674" t="str">
            <v>Not Applicable</v>
          </cell>
          <cell r="R674" t="str">
            <v>Welch Allyn Inc</v>
          </cell>
          <cell r="S674" t="str">
            <v>Welch Allyn Malaysia Sdn Bhd</v>
          </cell>
          <cell r="T674" t="str">
            <v>Functioning</v>
          </cell>
          <cell r="U674" t="str">
            <v>Asset</v>
          </cell>
          <cell r="V674">
            <v>5050</v>
          </cell>
          <cell r="W674" t="str">
            <v>KEW</v>
          </cell>
          <cell r="X674" t="str">
            <v>01/09/2010</v>
          </cell>
          <cell r="Y674" t="str">
            <v>KEW</v>
          </cell>
          <cell r="Z674" t="str">
            <v>16/08/2013</v>
          </cell>
          <cell r="AA674" t="str">
            <v>15/08/2015</v>
          </cell>
          <cell r="AB674" t="str">
            <v>No</v>
          </cell>
          <cell r="AC674" t="str">
            <v>31/08/2013</v>
          </cell>
          <cell r="AD674" t="str">
            <v>Good</v>
          </cell>
          <cell r="AE674" t="str">
            <v>V1 - Existing / No Claim</v>
          </cell>
          <cell r="AF674">
            <v>43063</v>
          </cell>
          <cell r="AG674">
            <v>9.17</v>
          </cell>
          <cell r="AH674" t="str">
            <v>PPM</v>
          </cell>
          <cell r="AI674" t="str">
            <v>Strands</v>
          </cell>
          <cell r="AJ674" t="str">
            <v>Strands PW</v>
          </cell>
        </row>
        <row r="675">
          <cell r="A675" t="str">
            <v>IKN400195</v>
          </cell>
          <cell r="B675">
            <v>195</v>
          </cell>
          <cell r="C675" t="str">
            <v>Institut Kanser Negara</v>
          </cell>
          <cell r="D675" t="str">
            <v>KKM/IKN/H/13/2242</v>
          </cell>
          <cell r="E675" t="str">
            <v>15-045</v>
          </cell>
          <cell r="F675" t="str">
            <v>Nebulizers, Nonheated</v>
          </cell>
          <cell r="G675" t="str">
            <v>WJ</v>
          </cell>
          <cell r="H675" t="str">
            <v>MULTIDISCIPLINE WARD 1</v>
          </cell>
          <cell r="I675" t="str">
            <v>09WJ126</v>
          </cell>
          <cell r="J675" t="str">
            <v>EQUIPT. ROOM</v>
          </cell>
          <cell r="K675" t="str">
            <v>BMED</v>
          </cell>
          <cell r="L675" t="str">
            <v>Normal</v>
          </cell>
          <cell r="M675" t="str">
            <v>Germany</v>
          </cell>
          <cell r="N675" t="str">
            <v>Pari Boy</v>
          </cell>
          <cell r="O675" t="str">
            <v>Pari Boy SX 085</v>
          </cell>
          <cell r="P675" t="str">
            <v>2W12F13794</v>
          </cell>
          <cell r="Q675" t="str">
            <v>Not Applicable</v>
          </cell>
          <cell r="R675" t="str">
            <v>Pari GmbH</v>
          </cell>
          <cell r="S675" t="str">
            <v>Welch Allyn Malaysia Sdn Bhd</v>
          </cell>
          <cell r="T675" t="str">
            <v>Functioning</v>
          </cell>
          <cell r="U675" t="str">
            <v>Asset</v>
          </cell>
          <cell r="V675">
            <v>1140</v>
          </cell>
          <cell r="W675" t="str">
            <v>KEW</v>
          </cell>
          <cell r="X675" t="str">
            <v>01/09/2010</v>
          </cell>
          <cell r="Y675" t="str">
            <v>KEW</v>
          </cell>
          <cell r="Z675" t="str">
            <v>16/08/2013</v>
          </cell>
          <cell r="AA675" t="str">
            <v>15/08/2015</v>
          </cell>
          <cell r="AB675" t="str">
            <v>No</v>
          </cell>
          <cell r="AC675" t="str">
            <v>31/08/2013</v>
          </cell>
          <cell r="AD675" t="str">
            <v>Good</v>
          </cell>
          <cell r="AE675" t="str">
            <v>V1 - Existing / No Claim</v>
          </cell>
          <cell r="AF675">
            <v>42789</v>
          </cell>
          <cell r="AG675">
            <v>9.17</v>
          </cell>
          <cell r="AH675" t="str">
            <v>PPM</v>
          </cell>
          <cell r="AI675" t="str">
            <v>Strands</v>
          </cell>
          <cell r="AJ675" t="str">
            <v>Strands PW</v>
          </cell>
        </row>
        <row r="676">
          <cell r="A676" t="str">
            <v>IKN400196</v>
          </cell>
          <cell r="B676">
            <v>196</v>
          </cell>
          <cell r="C676" t="str">
            <v>Institut Kanser Negara</v>
          </cell>
          <cell r="D676" t="str">
            <v>KKM/IKN/H/13/1770</v>
          </cell>
          <cell r="E676" t="str">
            <v>15-045</v>
          </cell>
          <cell r="F676" t="str">
            <v>Nebulizers, Nonheated</v>
          </cell>
          <cell r="G676" t="str">
            <v>WJ</v>
          </cell>
          <cell r="H676" t="str">
            <v>MULTIDISCIPLINE WARD 1</v>
          </cell>
          <cell r="I676" t="str">
            <v>09WJ126</v>
          </cell>
          <cell r="J676" t="str">
            <v>EQUIPT. ROOM</v>
          </cell>
          <cell r="K676" t="str">
            <v>BMED</v>
          </cell>
          <cell r="L676" t="str">
            <v>Normal</v>
          </cell>
          <cell r="M676" t="str">
            <v>Germany</v>
          </cell>
          <cell r="N676" t="str">
            <v>Pari Boy</v>
          </cell>
          <cell r="O676" t="str">
            <v>Pari Boy SX 085</v>
          </cell>
          <cell r="P676" t="str">
            <v>2W12F13854</v>
          </cell>
          <cell r="Q676" t="str">
            <v>Not Applicable</v>
          </cell>
          <cell r="R676" t="str">
            <v>Pari GmbH</v>
          </cell>
          <cell r="S676" t="str">
            <v>Welch Allyn Malaysia Sdn Bhd</v>
          </cell>
          <cell r="T676" t="str">
            <v>Functioning</v>
          </cell>
          <cell r="U676" t="str">
            <v>Asset</v>
          </cell>
          <cell r="V676">
            <v>1140</v>
          </cell>
          <cell r="W676" t="str">
            <v>KEW</v>
          </cell>
          <cell r="X676" t="str">
            <v>01/09/2010</v>
          </cell>
          <cell r="Y676" t="str">
            <v>KEW</v>
          </cell>
          <cell r="Z676" t="str">
            <v>16/08/2013</v>
          </cell>
          <cell r="AA676" t="str">
            <v>15/08/2015</v>
          </cell>
          <cell r="AB676" t="str">
            <v>No</v>
          </cell>
          <cell r="AC676" t="str">
            <v>31/08/2013</v>
          </cell>
          <cell r="AD676" t="str">
            <v>Good</v>
          </cell>
          <cell r="AE676" t="str">
            <v>V1 - Existing / No Claim</v>
          </cell>
          <cell r="AF676">
            <v>42235</v>
          </cell>
          <cell r="AG676">
            <v>9.17</v>
          </cell>
          <cell r="AH676" t="str">
            <v>PPM</v>
          </cell>
          <cell r="AI676" t="str">
            <v>Strands</v>
          </cell>
          <cell r="AJ676" t="str">
            <v>Strands PW</v>
          </cell>
        </row>
        <row r="677">
          <cell r="A677" t="str">
            <v>IKN400197</v>
          </cell>
          <cell r="B677">
            <v>197</v>
          </cell>
          <cell r="C677" t="str">
            <v>Institut Kanser Negara</v>
          </cell>
          <cell r="D677" t="str">
            <v>KKM/IKN/H/13/2241</v>
          </cell>
          <cell r="E677" t="str">
            <v>15-045</v>
          </cell>
          <cell r="F677" t="str">
            <v>Nebulizers, Nonheated</v>
          </cell>
          <cell r="G677" t="str">
            <v>WJ</v>
          </cell>
          <cell r="H677" t="str">
            <v>MULTIDISCIPLINE WARD 1</v>
          </cell>
          <cell r="I677" t="str">
            <v>09WJ126</v>
          </cell>
          <cell r="J677" t="str">
            <v>EQUIPT. ROOM</v>
          </cell>
          <cell r="K677" t="str">
            <v>BMED</v>
          </cell>
          <cell r="L677" t="str">
            <v>Normal</v>
          </cell>
          <cell r="M677" t="str">
            <v>Germany</v>
          </cell>
          <cell r="N677" t="str">
            <v>Pari Boy</v>
          </cell>
          <cell r="O677" t="str">
            <v>Pari Boy SX 085</v>
          </cell>
          <cell r="P677" t="str">
            <v>2W12F13833</v>
          </cell>
          <cell r="Q677" t="str">
            <v>Not Applicable</v>
          </cell>
          <cell r="R677" t="str">
            <v>Pari GmbH</v>
          </cell>
          <cell r="S677" t="str">
            <v>Welch Allyn Malaysia Sdn Bhd</v>
          </cell>
          <cell r="T677" t="str">
            <v>Functioning</v>
          </cell>
          <cell r="U677" t="str">
            <v>Asset</v>
          </cell>
          <cell r="V677">
            <v>1140</v>
          </cell>
          <cell r="W677" t="str">
            <v>KEW</v>
          </cell>
          <cell r="X677" t="str">
            <v>01/09/2010</v>
          </cell>
          <cell r="Y677" t="str">
            <v>KEW</v>
          </cell>
          <cell r="Z677" t="str">
            <v>16/08/2013</v>
          </cell>
          <cell r="AA677" t="str">
            <v>15/08/2015</v>
          </cell>
          <cell r="AB677" t="str">
            <v>No</v>
          </cell>
          <cell r="AC677" t="str">
            <v>31/08/2013</v>
          </cell>
          <cell r="AD677" t="str">
            <v>Good</v>
          </cell>
          <cell r="AE677" t="str">
            <v>V1 - Existing / No Claim</v>
          </cell>
          <cell r="AF677">
            <v>42789</v>
          </cell>
          <cell r="AG677">
            <v>9.17</v>
          </cell>
          <cell r="AH677" t="str">
            <v>PPM</v>
          </cell>
          <cell r="AI677" t="str">
            <v>Strands</v>
          </cell>
          <cell r="AJ677" t="str">
            <v>Strands PW</v>
          </cell>
        </row>
        <row r="678">
          <cell r="A678" t="str">
            <v>IKN400198</v>
          </cell>
          <cell r="B678">
            <v>198</v>
          </cell>
          <cell r="C678" t="str">
            <v>Institut Kanser Negara</v>
          </cell>
          <cell r="D678" t="str">
            <v>KKM/IKN/H/13/1768</v>
          </cell>
          <cell r="E678" t="str">
            <v>18-147</v>
          </cell>
          <cell r="F678" t="str">
            <v>Mattress Systems, Alternating-Pressure</v>
          </cell>
          <cell r="G678" t="str">
            <v>WJ</v>
          </cell>
          <cell r="H678" t="str">
            <v>MULTIDISCIPLINE WARD 1</v>
          </cell>
          <cell r="I678" t="str">
            <v>09WJ126</v>
          </cell>
          <cell r="J678" t="str">
            <v>EQUIPT. ROOM</v>
          </cell>
          <cell r="K678" t="str">
            <v>BMED</v>
          </cell>
          <cell r="L678" t="str">
            <v>Normal</v>
          </cell>
          <cell r="M678" t="str">
            <v>Poland</v>
          </cell>
          <cell r="N678" t="str">
            <v>Nimbus</v>
          </cell>
          <cell r="O678" t="str">
            <v>Nimbus 3</v>
          </cell>
          <cell r="P678" t="str">
            <v>1200035189</v>
          </cell>
          <cell r="Q678" t="str">
            <v>Not Applicable</v>
          </cell>
          <cell r="R678" t="str">
            <v>Arjohuntleigh</v>
          </cell>
          <cell r="S678" t="str">
            <v>Hexamine Sdn. Bhd.</v>
          </cell>
          <cell r="T678" t="str">
            <v>Functioning</v>
          </cell>
          <cell r="U678" t="str">
            <v>Asset</v>
          </cell>
          <cell r="V678">
            <v>28630</v>
          </cell>
          <cell r="W678" t="str">
            <v>KEW</v>
          </cell>
          <cell r="X678" t="str">
            <v>01/09/2010</v>
          </cell>
          <cell r="Y678" t="str">
            <v>KEW</v>
          </cell>
          <cell r="Z678" t="str">
            <v>16/08/2013</v>
          </cell>
          <cell r="AA678" t="str">
            <v>15/08/2015</v>
          </cell>
          <cell r="AB678" t="str">
            <v>No</v>
          </cell>
          <cell r="AC678" t="str">
            <v>31/08/2013</v>
          </cell>
          <cell r="AD678" t="str">
            <v>Good</v>
          </cell>
          <cell r="AE678" t="str">
            <v>V1 - Existing / No Claim</v>
          </cell>
          <cell r="AF678">
            <v>42789</v>
          </cell>
          <cell r="AG678">
            <v>9.17</v>
          </cell>
          <cell r="AH678" t="str">
            <v>PPM</v>
          </cell>
          <cell r="AI678" t="str">
            <v>Strands</v>
          </cell>
          <cell r="AJ678" t="str">
            <v>Strands PW</v>
          </cell>
        </row>
        <row r="679">
          <cell r="A679" t="str">
            <v>IKN400199</v>
          </cell>
          <cell r="B679">
            <v>199</v>
          </cell>
          <cell r="C679" t="str">
            <v>Institut Kanser Negara</v>
          </cell>
          <cell r="D679" t="str">
            <v>KKM/IKN/H/13/1769</v>
          </cell>
          <cell r="E679" t="str">
            <v>18-147</v>
          </cell>
          <cell r="F679" t="str">
            <v>Mattress Systems, Alternating-Pressure</v>
          </cell>
          <cell r="G679" t="str">
            <v>WJ</v>
          </cell>
          <cell r="H679" t="str">
            <v>MULTIDISCIPLINE WARD 1</v>
          </cell>
          <cell r="I679" t="str">
            <v>09WJ126</v>
          </cell>
          <cell r="J679" t="str">
            <v>EQUIPT. ROOM</v>
          </cell>
          <cell r="K679" t="str">
            <v>BMED</v>
          </cell>
          <cell r="L679" t="str">
            <v>Normal</v>
          </cell>
          <cell r="M679" t="str">
            <v>Poland</v>
          </cell>
          <cell r="N679" t="str">
            <v>Nimbus</v>
          </cell>
          <cell r="O679" t="str">
            <v>Nimbus 3</v>
          </cell>
          <cell r="P679" t="str">
            <v>1200005126</v>
          </cell>
          <cell r="Q679" t="str">
            <v>Not Applicable</v>
          </cell>
          <cell r="R679" t="str">
            <v>Arjohuntleigh</v>
          </cell>
          <cell r="S679" t="str">
            <v>Hexamine Sdn. Bhd.</v>
          </cell>
          <cell r="T679" t="str">
            <v>Functioning</v>
          </cell>
          <cell r="U679" t="str">
            <v>Asset</v>
          </cell>
          <cell r="V679">
            <v>28630</v>
          </cell>
          <cell r="W679" t="str">
            <v>KEW</v>
          </cell>
          <cell r="X679" t="str">
            <v>01/09/2010</v>
          </cell>
          <cell r="Y679" t="str">
            <v>KEW</v>
          </cell>
          <cell r="Z679" t="str">
            <v>16/08/2013</v>
          </cell>
          <cell r="AA679" t="str">
            <v>15/08/2015</v>
          </cell>
          <cell r="AB679" t="str">
            <v>No</v>
          </cell>
          <cell r="AC679" t="str">
            <v>31/08/2013</v>
          </cell>
          <cell r="AD679" t="str">
            <v>Good</v>
          </cell>
          <cell r="AE679" t="str">
            <v>V1 - Existing / No Claim</v>
          </cell>
          <cell r="AF679">
            <v>42789</v>
          </cell>
          <cell r="AG679">
            <v>9.17</v>
          </cell>
          <cell r="AH679" t="str">
            <v>PPM</v>
          </cell>
          <cell r="AI679" t="str">
            <v>Strands</v>
          </cell>
          <cell r="AJ679" t="str">
            <v>Strands PW</v>
          </cell>
        </row>
        <row r="680">
          <cell r="A680" t="str">
            <v>IKN400200</v>
          </cell>
          <cell r="B680">
            <v>200</v>
          </cell>
          <cell r="C680" t="str">
            <v>Institut Kanser Negara</v>
          </cell>
          <cell r="D680" t="str">
            <v>KKM/IKN/H/13/5375</v>
          </cell>
          <cell r="E680" t="str">
            <v>18-147</v>
          </cell>
          <cell r="F680" t="str">
            <v>Mattress Systems, Alternating-Pressure</v>
          </cell>
          <cell r="G680" t="str">
            <v>WJ</v>
          </cell>
          <cell r="H680" t="str">
            <v>MULTIDISCIPLINE WARD 1</v>
          </cell>
          <cell r="I680" t="str">
            <v>09WJ126</v>
          </cell>
          <cell r="J680" t="str">
            <v>EQUIPT. ROOM</v>
          </cell>
          <cell r="K680" t="str">
            <v>BMED</v>
          </cell>
          <cell r="L680" t="str">
            <v>Normal</v>
          </cell>
          <cell r="M680" t="str">
            <v>Poland</v>
          </cell>
          <cell r="N680" t="str">
            <v>Nimbus</v>
          </cell>
          <cell r="O680" t="str">
            <v>Nimbus 3</v>
          </cell>
          <cell r="P680" t="str">
            <v>1200006451</v>
          </cell>
          <cell r="Q680" t="str">
            <v>Not Applicable</v>
          </cell>
          <cell r="R680" t="str">
            <v>Arjohuntleigh</v>
          </cell>
          <cell r="S680" t="str">
            <v>Hexamine Sdn. Bhd.</v>
          </cell>
          <cell r="T680" t="str">
            <v>Functioning</v>
          </cell>
          <cell r="U680" t="str">
            <v>Asset</v>
          </cell>
          <cell r="V680">
            <v>28630</v>
          </cell>
          <cell r="W680" t="str">
            <v>KEW</v>
          </cell>
          <cell r="X680" t="str">
            <v>01/09/2010</v>
          </cell>
          <cell r="Y680" t="str">
            <v>KEW</v>
          </cell>
          <cell r="Z680" t="str">
            <v>16/08/2013</v>
          </cell>
          <cell r="AA680" t="str">
            <v>15/08/2015</v>
          </cell>
          <cell r="AB680" t="str">
            <v>No</v>
          </cell>
          <cell r="AC680" t="str">
            <v>31/08/2013</v>
          </cell>
          <cell r="AD680" t="str">
            <v>Good</v>
          </cell>
          <cell r="AE680" t="str">
            <v>V1 - Existing / No Claim</v>
          </cell>
          <cell r="AF680">
            <v>42789</v>
          </cell>
          <cell r="AG680">
            <v>9.17</v>
          </cell>
          <cell r="AH680" t="str">
            <v>PPM</v>
          </cell>
          <cell r="AI680" t="str">
            <v>Strands</v>
          </cell>
          <cell r="AJ680" t="str">
            <v>Strands PW</v>
          </cell>
        </row>
        <row r="681">
          <cell r="A681" t="str">
            <v>IKN400201</v>
          </cell>
          <cell r="B681">
            <v>201</v>
          </cell>
          <cell r="C681" t="str">
            <v>Institut Kanser Negara</v>
          </cell>
          <cell r="D681" t="str">
            <v>KKM/IKN/H/13/1767</v>
          </cell>
          <cell r="E681" t="str">
            <v>18-147</v>
          </cell>
          <cell r="F681" t="str">
            <v>Mattress Systems, Alternating-Pressure</v>
          </cell>
          <cell r="G681" t="str">
            <v>WJ</v>
          </cell>
          <cell r="H681" t="str">
            <v>MULTIDISCIPLINE WARD 1</v>
          </cell>
          <cell r="I681" t="str">
            <v>09WJ126</v>
          </cell>
          <cell r="J681" t="str">
            <v>EQUIPT. ROOM</v>
          </cell>
          <cell r="K681" t="str">
            <v>BMED</v>
          </cell>
          <cell r="L681" t="str">
            <v>Normal</v>
          </cell>
          <cell r="M681" t="str">
            <v>Poland</v>
          </cell>
          <cell r="N681" t="str">
            <v>Nimbus</v>
          </cell>
          <cell r="O681" t="str">
            <v>Nimbus 3</v>
          </cell>
          <cell r="P681" t="str">
            <v>1200005120</v>
          </cell>
          <cell r="Q681" t="str">
            <v>Not Applicable</v>
          </cell>
          <cell r="R681" t="str">
            <v>Arjohuntleigh</v>
          </cell>
          <cell r="S681" t="str">
            <v>Hexamine Sdn. Bhd.</v>
          </cell>
          <cell r="T681" t="str">
            <v>Functioning</v>
          </cell>
          <cell r="U681" t="str">
            <v>Asset</v>
          </cell>
          <cell r="V681">
            <v>28630</v>
          </cell>
          <cell r="W681" t="str">
            <v>KEW</v>
          </cell>
          <cell r="X681" t="str">
            <v>01/09/2010</v>
          </cell>
          <cell r="Y681" t="str">
            <v>KEW</v>
          </cell>
          <cell r="Z681" t="str">
            <v>16/08/2013</v>
          </cell>
          <cell r="AA681" t="str">
            <v>15/08/2015</v>
          </cell>
          <cell r="AB681" t="str">
            <v>No</v>
          </cell>
          <cell r="AC681" t="str">
            <v>31/08/2013</v>
          </cell>
          <cell r="AD681" t="str">
            <v>Good</v>
          </cell>
          <cell r="AE681" t="str">
            <v>V1 - Existing / No Claim</v>
          </cell>
          <cell r="AF681">
            <v>42789</v>
          </cell>
          <cell r="AG681">
            <v>9.17</v>
          </cell>
          <cell r="AH681" t="str">
            <v>PPM</v>
          </cell>
          <cell r="AI681" t="str">
            <v>Strands</v>
          </cell>
          <cell r="AJ681" t="str">
            <v>Strands PW</v>
          </cell>
        </row>
        <row r="682">
          <cell r="A682" t="str">
            <v>IKN400202</v>
          </cell>
          <cell r="B682">
            <v>202</v>
          </cell>
          <cell r="C682" t="str">
            <v>Institut Kanser Negara</v>
          </cell>
          <cell r="D682" t="str">
            <v>KKM/IKN/H/13/1765</v>
          </cell>
          <cell r="E682" t="str">
            <v>18-147</v>
          </cell>
          <cell r="F682" t="str">
            <v>Mattress Systems, Alternating-Pressure</v>
          </cell>
          <cell r="G682" t="str">
            <v>WJ</v>
          </cell>
          <cell r="H682" t="str">
            <v>MULTIDISCIPLINE WARD 1</v>
          </cell>
          <cell r="I682" t="str">
            <v>09WJ126</v>
          </cell>
          <cell r="J682" t="str">
            <v>EQUIPT. ROOM</v>
          </cell>
          <cell r="K682" t="str">
            <v>BMED</v>
          </cell>
          <cell r="L682" t="str">
            <v>Normal</v>
          </cell>
          <cell r="M682" t="str">
            <v>Poland</v>
          </cell>
          <cell r="N682" t="str">
            <v>Nimbus</v>
          </cell>
          <cell r="O682" t="str">
            <v>Nimbus 3</v>
          </cell>
          <cell r="P682" t="str">
            <v>1200006452</v>
          </cell>
          <cell r="Q682" t="str">
            <v>Not Applicable</v>
          </cell>
          <cell r="R682" t="str">
            <v>Arjohuntleigh</v>
          </cell>
          <cell r="S682" t="str">
            <v>Hexamine Sdn. Bhd.</v>
          </cell>
          <cell r="T682" t="str">
            <v>Functioning</v>
          </cell>
          <cell r="U682" t="str">
            <v>Asset</v>
          </cell>
          <cell r="V682">
            <v>28630</v>
          </cell>
          <cell r="W682" t="str">
            <v>KEW</v>
          </cell>
          <cell r="X682" t="str">
            <v>01/09/2010</v>
          </cell>
          <cell r="Y682" t="str">
            <v>KEW</v>
          </cell>
          <cell r="Z682" t="str">
            <v>16/08/2013</v>
          </cell>
          <cell r="AA682" t="str">
            <v>15/08/2015</v>
          </cell>
          <cell r="AB682" t="str">
            <v>No</v>
          </cell>
          <cell r="AC682" t="str">
            <v>31/08/2013</v>
          </cell>
          <cell r="AD682" t="str">
            <v>Good</v>
          </cell>
          <cell r="AE682" t="str">
            <v>V1 - Existing / No Claim</v>
          </cell>
          <cell r="AF682">
            <v>42789</v>
          </cell>
          <cell r="AG682">
            <v>9.17</v>
          </cell>
          <cell r="AH682" t="str">
            <v>PPM</v>
          </cell>
          <cell r="AI682" t="str">
            <v>Strands</v>
          </cell>
          <cell r="AJ682" t="str">
            <v>Strands PW</v>
          </cell>
        </row>
        <row r="683">
          <cell r="A683" t="str">
            <v>IKN400203</v>
          </cell>
          <cell r="B683">
            <v>203</v>
          </cell>
          <cell r="C683" t="str">
            <v>Institut Kanser Negara</v>
          </cell>
          <cell r="D683" t="str">
            <v>KKM/IKN/H/13/1764</v>
          </cell>
          <cell r="E683" t="str">
            <v>18-147</v>
          </cell>
          <cell r="F683" t="str">
            <v>Mattress Systems, Alternating-Pressure</v>
          </cell>
          <cell r="G683" t="str">
            <v>WJ</v>
          </cell>
          <cell r="H683" t="str">
            <v>MULTIDISCIPLINE WARD 1</v>
          </cell>
          <cell r="I683" t="str">
            <v>09WJ126</v>
          </cell>
          <cell r="J683" t="str">
            <v>EQUIPT. ROOM</v>
          </cell>
          <cell r="K683" t="str">
            <v>BMED</v>
          </cell>
          <cell r="L683" t="str">
            <v>Normal</v>
          </cell>
          <cell r="M683" t="str">
            <v>Poland</v>
          </cell>
          <cell r="N683" t="str">
            <v>Nimbus</v>
          </cell>
          <cell r="O683" t="str">
            <v>Nimbus 3</v>
          </cell>
          <cell r="P683" t="str">
            <v>1200006465</v>
          </cell>
          <cell r="Q683" t="str">
            <v>Not Applicable</v>
          </cell>
          <cell r="R683" t="str">
            <v>Arjohuntleigh</v>
          </cell>
          <cell r="S683" t="str">
            <v>Hexamine Sdn. Bhd.</v>
          </cell>
          <cell r="T683" t="str">
            <v>Functioning</v>
          </cell>
          <cell r="U683" t="str">
            <v>Asset</v>
          </cell>
          <cell r="V683">
            <v>28630</v>
          </cell>
          <cell r="W683" t="str">
            <v>KEW</v>
          </cell>
          <cell r="X683" t="str">
            <v>01/09/2010</v>
          </cell>
          <cell r="Y683" t="str">
            <v>KEW</v>
          </cell>
          <cell r="Z683" t="str">
            <v>16/08/2013</v>
          </cell>
          <cell r="AA683" t="str">
            <v>15/08/2015</v>
          </cell>
          <cell r="AB683" t="str">
            <v>No</v>
          </cell>
          <cell r="AC683" t="str">
            <v>31/08/2013</v>
          </cell>
          <cell r="AD683" t="str">
            <v>Good</v>
          </cell>
          <cell r="AE683" t="str">
            <v>V1 - Existing / No Claim</v>
          </cell>
          <cell r="AF683">
            <v>42789</v>
          </cell>
          <cell r="AG683">
            <v>9.17</v>
          </cell>
          <cell r="AH683" t="str">
            <v>PPM</v>
          </cell>
          <cell r="AI683" t="str">
            <v>Strands</v>
          </cell>
          <cell r="AJ683" t="str">
            <v>Strands PW</v>
          </cell>
        </row>
        <row r="684">
          <cell r="A684" t="str">
            <v>IKN400204</v>
          </cell>
          <cell r="B684">
            <v>204</v>
          </cell>
          <cell r="C684" t="str">
            <v>Institut Kanser Negara</v>
          </cell>
          <cell r="D684" t="str">
            <v>KKM/IKN/H/13/2752</v>
          </cell>
          <cell r="E684" t="str">
            <v>10-208</v>
          </cell>
          <cell r="F684" t="str">
            <v>Aspirators</v>
          </cell>
          <cell r="G684" t="str">
            <v>WJ</v>
          </cell>
          <cell r="H684" t="str">
            <v>MULTIDISCIPLINE WARD 1</v>
          </cell>
          <cell r="I684" t="str">
            <v>09WJ126</v>
          </cell>
          <cell r="J684" t="str">
            <v>EQUIPT. ROOM</v>
          </cell>
          <cell r="K684" t="str">
            <v>BMED</v>
          </cell>
          <cell r="L684" t="str">
            <v>Critical</v>
          </cell>
          <cell r="M684" t="str">
            <v>UK</v>
          </cell>
          <cell r="N684" t="str">
            <v>SAM</v>
          </cell>
          <cell r="O684" t="str">
            <v>SAM 427</v>
          </cell>
          <cell r="P684" t="str">
            <v>0313-0535</v>
          </cell>
          <cell r="Q684" t="str">
            <v>Not Applicable</v>
          </cell>
          <cell r="R684" t="str">
            <v>MG Electric Ltd</v>
          </cell>
          <cell r="S684" t="str">
            <v>Delta Medisains</v>
          </cell>
          <cell r="T684" t="str">
            <v>Functioning</v>
          </cell>
          <cell r="U684" t="str">
            <v>Asset</v>
          </cell>
          <cell r="V684">
            <v>10705</v>
          </cell>
          <cell r="W684" t="str">
            <v>KEW</v>
          </cell>
          <cell r="X684" t="str">
            <v>01/09/2010</v>
          </cell>
          <cell r="Y684" t="str">
            <v>KEW</v>
          </cell>
          <cell r="Z684" t="str">
            <v>16/08/2013</v>
          </cell>
          <cell r="AA684" t="str">
            <v>15/08/2015</v>
          </cell>
          <cell r="AB684" t="str">
            <v>No</v>
          </cell>
          <cell r="AC684" t="str">
            <v>31/08/2013</v>
          </cell>
          <cell r="AD684" t="str">
            <v>Good</v>
          </cell>
          <cell r="AE684" t="str">
            <v>V1 - Existing / No Claim</v>
          </cell>
          <cell r="AF684">
            <v>42789</v>
          </cell>
          <cell r="AG684">
            <v>9.17</v>
          </cell>
          <cell r="AH684" t="str">
            <v>PPM</v>
          </cell>
          <cell r="AI684" t="str">
            <v>Strands</v>
          </cell>
          <cell r="AJ684" t="str">
            <v>Strands PW</v>
          </cell>
        </row>
        <row r="685">
          <cell r="A685" t="str">
            <v>IKN400205</v>
          </cell>
          <cell r="B685">
            <v>205</v>
          </cell>
          <cell r="C685" t="str">
            <v>Institut Kanser Negara</v>
          </cell>
          <cell r="D685" t="str">
            <v>KKM/IKN/H/13/1827</v>
          </cell>
          <cell r="E685" t="str">
            <v>12-647</v>
          </cell>
          <cell r="F685" t="str">
            <v>Physiologic Monitoring Systems, Acute Care</v>
          </cell>
          <cell r="G685" t="str">
            <v>WJ</v>
          </cell>
          <cell r="H685" t="str">
            <v>MULTIDISCIPLINE WARD 1</v>
          </cell>
          <cell r="I685" t="str">
            <v>09WJ126</v>
          </cell>
          <cell r="J685" t="str">
            <v>EQUIPT. ROOM</v>
          </cell>
          <cell r="K685" t="str">
            <v>BMED</v>
          </cell>
          <cell r="L685" t="str">
            <v>Critical</v>
          </cell>
          <cell r="M685" t="str">
            <v>USA</v>
          </cell>
          <cell r="N685" t="str">
            <v>GE</v>
          </cell>
          <cell r="O685" t="str">
            <v>GE B30</v>
          </cell>
          <cell r="P685" t="str">
            <v>SF312325895WA</v>
          </cell>
          <cell r="Q685" t="str">
            <v>Not Applicable</v>
          </cell>
          <cell r="R685" t="str">
            <v>GE Healthcare Systems</v>
          </cell>
          <cell r="S685" t="str">
            <v>GE Healthcare Technologies</v>
          </cell>
          <cell r="T685" t="str">
            <v>Functioning</v>
          </cell>
          <cell r="U685" t="str">
            <v>Asset</v>
          </cell>
          <cell r="V685">
            <v>44510</v>
          </cell>
          <cell r="W685" t="str">
            <v>KEW</v>
          </cell>
          <cell r="X685" t="str">
            <v>01/09/2010</v>
          </cell>
          <cell r="Y685" t="str">
            <v>KEW</v>
          </cell>
          <cell r="Z685" t="str">
            <v>16/08/2013</v>
          </cell>
          <cell r="AA685" t="str">
            <v>15/08/2015</v>
          </cell>
          <cell r="AB685" t="str">
            <v>No</v>
          </cell>
          <cell r="AC685" t="str">
            <v>31/08/2013</v>
          </cell>
          <cell r="AD685" t="str">
            <v>Good</v>
          </cell>
          <cell r="AE685" t="str">
            <v>V1 - Existing / No Claim</v>
          </cell>
          <cell r="AF685">
            <v>42789</v>
          </cell>
          <cell r="AG685">
            <v>9.17</v>
          </cell>
          <cell r="AH685" t="str">
            <v>PPM</v>
          </cell>
          <cell r="AI685" t="str">
            <v>Strands</v>
          </cell>
          <cell r="AJ685" t="str">
            <v>Strands PW</v>
          </cell>
        </row>
        <row r="686">
          <cell r="A686" t="str">
            <v>IKN400206</v>
          </cell>
          <cell r="B686">
            <v>206</v>
          </cell>
          <cell r="C686" t="str">
            <v>Institut Kanser Negara</v>
          </cell>
          <cell r="D686" t="str">
            <v>KKM/IKN/H/13/1881</v>
          </cell>
          <cell r="E686" t="str">
            <v>12-647</v>
          </cell>
          <cell r="F686" t="str">
            <v>Physiologic Monitoring Systems, Acute Care</v>
          </cell>
          <cell r="G686" t="str">
            <v>WJ</v>
          </cell>
          <cell r="H686" t="str">
            <v>MULTIDISCIPLINE WARD 1</v>
          </cell>
          <cell r="I686" t="str">
            <v>09WJ126</v>
          </cell>
          <cell r="J686" t="str">
            <v>EQUIPT. ROOM</v>
          </cell>
          <cell r="K686" t="str">
            <v>BMED</v>
          </cell>
          <cell r="L686" t="str">
            <v>Critical</v>
          </cell>
          <cell r="M686" t="str">
            <v>USA</v>
          </cell>
          <cell r="N686" t="str">
            <v>GE</v>
          </cell>
          <cell r="O686" t="str">
            <v>GE B30</v>
          </cell>
          <cell r="P686" t="str">
            <v>SF312325924WA</v>
          </cell>
          <cell r="Q686" t="str">
            <v>Not Applicable</v>
          </cell>
          <cell r="R686" t="str">
            <v>GE Healthcare Systems</v>
          </cell>
          <cell r="S686" t="str">
            <v>GE Healthcare Technologies</v>
          </cell>
          <cell r="T686" t="str">
            <v>Functioning</v>
          </cell>
          <cell r="U686" t="str">
            <v>Asset</v>
          </cell>
          <cell r="V686">
            <v>44510</v>
          </cell>
          <cell r="W686" t="str">
            <v>KEW</v>
          </cell>
          <cell r="X686" t="str">
            <v>01/09/2010</v>
          </cell>
          <cell r="Y686" t="str">
            <v>KEW</v>
          </cell>
          <cell r="Z686" t="str">
            <v>16/08/2013</v>
          </cell>
          <cell r="AA686" t="str">
            <v>15/08/2015</v>
          </cell>
          <cell r="AB686" t="str">
            <v>No</v>
          </cell>
          <cell r="AC686" t="str">
            <v>31/08/2013</v>
          </cell>
          <cell r="AD686" t="str">
            <v>Good</v>
          </cell>
          <cell r="AE686" t="str">
            <v>V1 - Existing / No Claim</v>
          </cell>
          <cell r="AF686">
            <v>42789</v>
          </cell>
          <cell r="AG686">
            <v>9.17</v>
          </cell>
          <cell r="AH686" t="str">
            <v>PPM</v>
          </cell>
          <cell r="AI686" t="str">
            <v>Strands</v>
          </cell>
          <cell r="AJ686" t="str">
            <v>Strands PW</v>
          </cell>
        </row>
        <row r="687">
          <cell r="A687" t="str">
            <v>IKN400208</v>
          </cell>
          <cell r="B687">
            <v>208</v>
          </cell>
          <cell r="C687" t="str">
            <v>Institut Kanser Negara</v>
          </cell>
          <cell r="D687" t="str">
            <v>KKM/IKN/H/13/2020</v>
          </cell>
          <cell r="E687" t="str">
            <v>10-208</v>
          </cell>
          <cell r="F687" t="str">
            <v>Aspirators</v>
          </cell>
          <cell r="G687" t="str">
            <v>WJ</v>
          </cell>
          <cell r="H687" t="str">
            <v>MULTIDISCIPLINE WARD 1</v>
          </cell>
          <cell r="I687" t="str">
            <v>09WJ130</v>
          </cell>
          <cell r="J687" t="str">
            <v>TREATMENT/ PROCEDURE</v>
          </cell>
          <cell r="K687" t="str">
            <v>BMED</v>
          </cell>
          <cell r="L687" t="str">
            <v>Critical</v>
          </cell>
          <cell r="M687" t="str">
            <v>Switzerland</v>
          </cell>
          <cell r="N687" t="str">
            <v>Senator</v>
          </cell>
          <cell r="O687" t="str">
            <v>Senator</v>
          </cell>
          <cell r="P687" t="str">
            <v>1220751</v>
          </cell>
          <cell r="Q687" t="str">
            <v>Not Applicable</v>
          </cell>
          <cell r="R687" t="str">
            <v>Ardo Medical AG</v>
          </cell>
          <cell r="S687" t="str">
            <v>Histopoint</v>
          </cell>
          <cell r="T687" t="str">
            <v>Functioning</v>
          </cell>
          <cell r="U687" t="str">
            <v>Asset</v>
          </cell>
          <cell r="V687">
            <v>5052</v>
          </cell>
          <cell r="W687" t="str">
            <v>KEW</v>
          </cell>
          <cell r="X687" t="str">
            <v>01/09/2010</v>
          </cell>
          <cell r="Y687" t="str">
            <v>KEW</v>
          </cell>
          <cell r="Z687" t="str">
            <v>16/08/2013</v>
          </cell>
          <cell r="AA687" t="str">
            <v>15/08/2015</v>
          </cell>
          <cell r="AB687" t="str">
            <v>No</v>
          </cell>
          <cell r="AC687" t="str">
            <v>31/08/2013</v>
          </cell>
          <cell r="AD687" t="str">
            <v>Good</v>
          </cell>
          <cell r="AE687" t="str">
            <v>V1 - Existing / No Claim</v>
          </cell>
          <cell r="AF687">
            <v>42789</v>
          </cell>
          <cell r="AG687">
            <v>9.17</v>
          </cell>
          <cell r="AH687" t="str">
            <v>PPM</v>
          </cell>
          <cell r="AI687" t="str">
            <v>Strands</v>
          </cell>
          <cell r="AJ687" t="str">
            <v>Strands PW</v>
          </cell>
        </row>
        <row r="688">
          <cell r="A688" t="str">
            <v>IKN400209</v>
          </cell>
          <cell r="B688">
            <v>209</v>
          </cell>
          <cell r="C688" t="str">
            <v>Institut Kanser Negara</v>
          </cell>
          <cell r="D688" t="str">
            <v>KKM/IKN/H/13/2207</v>
          </cell>
          <cell r="E688" t="str">
            <v>25-209</v>
          </cell>
          <cell r="F688" t="str">
            <v>Monitors, Physiologic, Vital Signs</v>
          </cell>
          <cell r="G688" t="str">
            <v>WJ</v>
          </cell>
          <cell r="H688" t="str">
            <v>MULTIDISCIPLINE WARD 1</v>
          </cell>
          <cell r="I688" t="str">
            <v>09WJ130</v>
          </cell>
          <cell r="J688" t="str">
            <v>TREATMENT/ PROCEDURE</v>
          </cell>
          <cell r="K688" t="str">
            <v>BMED</v>
          </cell>
          <cell r="L688" t="str">
            <v>Critical</v>
          </cell>
          <cell r="M688" t="str">
            <v>Mexico</v>
          </cell>
          <cell r="N688" t="str">
            <v>Carespace</v>
          </cell>
          <cell r="O688" t="str">
            <v>Carescape V100</v>
          </cell>
          <cell r="P688" t="str">
            <v>SH612430107SA</v>
          </cell>
          <cell r="Q688" t="str">
            <v>Not Applicable</v>
          </cell>
          <cell r="R688" t="str">
            <v>GE Healthcare Systems</v>
          </cell>
          <cell r="S688" t="str">
            <v>GE Healthcare Technologies</v>
          </cell>
          <cell r="T688" t="str">
            <v>Functioning</v>
          </cell>
          <cell r="U688" t="str">
            <v>Asset</v>
          </cell>
          <cell r="V688">
            <v>4510</v>
          </cell>
          <cell r="W688" t="str">
            <v>KEW</v>
          </cell>
          <cell r="X688" t="str">
            <v>01/09/2010</v>
          </cell>
          <cell r="Y688" t="str">
            <v>KEW</v>
          </cell>
          <cell r="Z688" t="str">
            <v>16/08/2013</v>
          </cell>
          <cell r="AA688" t="str">
            <v>15/08/2015</v>
          </cell>
          <cell r="AB688" t="str">
            <v>No</v>
          </cell>
          <cell r="AC688" t="str">
            <v>31/08/2013</v>
          </cell>
          <cell r="AD688" t="str">
            <v>Good</v>
          </cell>
          <cell r="AE688" t="str">
            <v>V1 - Existing / No Claim</v>
          </cell>
          <cell r="AF688">
            <v>42789</v>
          </cell>
          <cell r="AG688">
            <v>9.17</v>
          </cell>
          <cell r="AH688" t="str">
            <v>PPM</v>
          </cell>
          <cell r="AI688" t="str">
            <v>Strands</v>
          </cell>
          <cell r="AJ688" t="str">
            <v>Strands PW</v>
          </cell>
        </row>
        <row r="689">
          <cell r="A689" t="str">
            <v>IKN400210</v>
          </cell>
          <cell r="B689">
            <v>210</v>
          </cell>
          <cell r="C689" t="str">
            <v>Institut Kanser Negara</v>
          </cell>
          <cell r="D689" t="str">
            <v>KKM/IKN/H/13/1826</v>
          </cell>
          <cell r="E689" t="str">
            <v>16-231</v>
          </cell>
          <cell r="F689" t="str">
            <v>Electrocardiographs, Multichannel, Interpretative</v>
          </cell>
          <cell r="G689" t="str">
            <v>WJ</v>
          </cell>
          <cell r="H689" t="str">
            <v>MULTIDISCIPLINE WARD 1</v>
          </cell>
          <cell r="I689" t="str">
            <v>09WJ130</v>
          </cell>
          <cell r="J689" t="str">
            <v>TREATMENT/ PROCEDURE</v>
          </cell>
          <cell r="K689" t="str">
            <v>BMED</v>
          </cell>
          <cell r="L689" t="str">
            <v>Critical</v>
          </cell>
          <cell r="M689" t="str">
            <v>China</v>
          </cell>
          <cell r="N689" t="str">
            <v>Mac</v>
          </cell>
          <cell r="O689" t="str">
            <v>MAC 800</v>
          </cell>
          <cell r="P689" t="str">
            <v>SJ412450379 WA</v>
          </cell>
          <cell r="Q689" t="str">
            <v>Not Applicable</v>
          </cell>
          <cell r="R689" t="str">
            <v>GE Healthcare Systems</v>
          </cell>
          <cell r="S689" t="str">
            <v>GE Healthcare Technologies</v>
          </cell>
          <cell r="T689" t="str">
            <v>Functioning</v>
          </cell>
          <cell r="U689" t="str">
            <v>Asset</v>
          </cell>
          <cell r="V689">
            <v>25260</v>
          </cell>
          <cell r="W689" t="str">
            <v>KEW</v>
          </cell>
          <cell r="X689" t="str">
            <v>01/09/2010</v>
          </cell>
          <cell r="Y689" t="str">
            <v>KEW</v>
          </cell>
          <cell r="Z689" t="str">
            <v>16/08/2013</v>
          </cell>
          <cell r="AA689" t="str">
            <v>15/08/2015</v>
          </cell>
          <cell r="AB689" t="str">
            <v>No</v>
          </cell>
          <cell r="AC689" t="str">
            <v>31/08/2013</v>
          </cell>
          <cell r="AD689" t="str">
            <v>Good</v>
          </cell>
          <cell r="AE689" t="str">
            <v>V1 - Existing / No Claim</v>
          </cell>
          <cell r="AF689">
            <v>42789</v>
          </cell>
          <cell r="AG689">
            <v>9.17</v>
          </cell>
          <cell r="AH689" t="str">
            <v>PPM</v>
          </cell>
          <cell r="AI689" t="str">
            <v>Strands</v>
          </cell>
          <cell r="AJ689" t="str">
            <v>Strands PW</v>
          </cell>
        </row>
        <row r="690">
          <cell r="A690" t="str">
            <v>IKN400211</v>
          </cell>
          <cell r="B690">
            <v>211</v>
          </cell>
          <cell r="C690" t="str">
            <v>Institut Kanser Negara</v>
          </cell>
          <cell r="D690" t="str">
            <v>KKM/IKN/H/13/2765</v>
          </cell>
          <cell r="E690" t="str">
            <v>11-134</v>
          </cell>
          <cell r="F690" t="str">
            <v>Defibrillators, External, Manual</v>
          </cell>
          <cell r="G690" t="str">
            <v>WJ</v>
          </cell>
          <cell r="H690" t="str">
            <v>MULTIDISCIPLINE WARD 1</v>
          </cell>
          <cell r="I690" t="str">
            <v>09WJ135</v>
          </cell>
          <cell r="J690" t="str">
            <v>RESUS EQUIP</v>
          </cell>
          <cell r="K690" t="str">
            <v>BMED</v>
          </cell>
          <cell r="L690" t="str">
            <v>Critical</v>
          </cell>
          <cell r="M690" t="str">
            <v>USA</v>
          </cell>
          <cell r="N690" t="str">
            <v>Responder</v>
          </cell>
          <cell r="O690" t="str">
            <v>Responder 2000</v>
          </cell>
          <cell r="P690" t="str">
            <v>3206729</v>
          </cell>
          <cell r="Q690" t="str">
            <v>Not Applicable</v>
          </cell>
          <cell r="R690" t="str">
            <v>GE Medical Systems</v>
          </cell>
          <cell r="S690" t="str">
            <v>Antah Sir Radin Sdn. Bhd.</v>
          </cell>
          <cell r="T690" t="str">
            <v>Functioning</v>
          </cell>
          <cell r="U690" t="str">
            <v>Asset</v>
          </cell>
          <cell r="V690">
            <v>45000</v>
          </cell>
          <cell r="W690" t="str">
            <v>KEW</v>
          </cell>
          <cell r="X690" t="str">
            <v>01/09/2010</v>
          </cell>
          <cell r="Y690" t="str">
            <v>KEW</v>
          </cell>
          <cell r="Z690" t="str">
            <v>16/08/2013</v>
          </cell>
          <cell r="AA690" t="str">
            <v>15/08/2015</v>
          </cell>
          <cell r="AB690" t="str">
            <v>No</v>
          </cell>
          <cell r="AC690" t="str">
            <v>31/08/2013</v>
          </cell>
          <cell r="AD690" t="str">
            <v>Good</v>
          </cell>
          <cell r="AE690" t="str">
            <v>V3 - Added Installed Facilities (New)</v>
          </cell>
          <cell r="AF690">
            <v>42601</v>
          </cell>
          <cell r="AG690">
            <v>9.17</v>
          </cell>
          <cell r="AH690" t="str">
            <v>PPM</v>
          </cell>
          <cell r="AI690" t="str">
            <v>Strands</v>
          </cell>
          <cell r="AJ690" t="str">
            <v>Strands PW</v>
          </cell>
          <cell r="AK690" t="str">
            <v>SNF received. 1st batch of V3 asset (December 2020)</v>
          </cell>
        </row>
        <row r="691">
          <cell r="A691" t="str">
            <v>IKN400212</v>
          </cell>
          <cell r="B691">
            <v>212</v>
          </cell>
          <cell r="C691" t="str">
            <v>Institut Kanser Negara</v>
          </cell>
          <cell r="D691" t="str">
            <v>KKM/IKN/H/13/2013</v>
          </cell>
          <cell r="E691" t="str">
            <v>16-173</v>
          </cell>
          <cell r="F691" t="str">
            <v>Sphygmomanometers, Electronic, Automatic</v>
          </cell>
          <cell r="G691" t="str">
            <v>WJ</v>
          </cell>
          <cell r="H691" t="str">
            <v>MULTIDISCIPLINE WARD 1</v>
          </cell>
          <cell r="I691" t="str">
            <v>09WJ136</v>
          </cell>
          <cell r="J691" t="str">
            <v>NURSE STATION</v>
          </cell>
          <cell r="K691" t="str">
            <v>BMED</v>
          </cell>
          <cell r="L691" t="str">
            <v>Normal</v>
          </cell>
          <cell r="M691" t="str">
            <v>USA</v>
          </cell>
          <cell r="N691" t="str">
            <v>Connex</v>
          </cell>
          <cell r="O691" t="str">
            <v>Connex ProBP 3400</v>
          </cell>
          <cell r="P691" t="str">
            <v>100001750613</v>
          </cell>
          <cell r="Q691" t="str">
            <v>Not Applicable</v>
          </cell>
          <cell r="R691" t="str">
            <v>Welch Allyn Inc</v>
          </cell>
          <cell r="S691" t="str">
            <v>Welch Allyn Malaysia Sdn Bhd</v>
          </cell>
          <cell r="T691" t="str">
            <v>Functioning</v>
          </cell>
          <cell r="U691" t="str">
            <v>Asset</v>
          </cell>
          <cell r="V691">
            <v>4510</v>
          </cell>
          <cell r="W691" t="str">
            <v>KEW</v>
          </cell>
          <cell r="X691" t="str">
            <v>01/09/2010</v>
          </cell>
          <cell r="Y691" t="str">
            <v>KEW</v>
          </cell>
          <cell r="Z691" t="str">
            <v>16/08/2013</v>
          </cell>
          <cell r="AA691" t="str">
            <v>15/08/2015</v>
          </cell>
          <cell r="AB691" t="str">
            <v>No</v>
          </cell>
          <cell r="AC691" t="str">
            <v>31/08/2013</v>
          </cell>
          <cell r="AD691" t="str">
            <v>Good</v>
          </cell>
          <cell r="AE691" t="str">
            <v>V1 - Existing / No Claim</v>
          </cell>
          <cell r="AF691">
            <v>42235</v>
          </cell>
          <cell r="AG691">
            <v>9.17</v>
          </cell>
          <cell r="AH691" t="str">
            <v>PPM</v>
          </cell>
          <cell r="AI691" t="str">
            <v>Strands</v>
          </cell>
          <cell r="AJ691" t="str">
            <v>Strands PW</v>
          </cell>
        </row>
        <row r="692">
          <cell r="A692" t="str">
            <v>IKN400213</v>
          </cell>
          <cell r="B692">
            <v>213</v>
          </cell>
          <cell r="C692" t="str">
            <v>Institut Kanser Negara</v>
          </cell>
          <cell r="D692" t="str">
            <v>KKM/IKN/H/13/2244</v>
          </cell>
          <cell r="E692" t="str">
            <v>16-173</v>
          </cell>
          <cell r="F692" t="str">
            <v>Sphygmomanometers, Electronic, Automatic</v>
          </cell>
          <cell r="G692" t="str">
            <v>WJ</v>
          </cell>
          <cell r="H692" t="str">
            <v>MULTIDISCIPLINE WARD 1</v>
          </cell>
          <cell r="I692" t="str">
            <v>09WJ136</v>
          </cell>
          <cell r="J692" t="str">
            <v>NURSE STATION</v>
          </cell>
          <cell r="K692" t="str">
            <v>BMED</v>
          </cell>
          <cell r="L692" t="str">
            <v>Critical</v>
          </cell>
          <cell r="M692" t="str">
            <v>USA</v>
          </cell>
          <cell r="N692" t="str">
            <v>Connex</v>
          </cell>
          <cell r="O692" t="str">
            <v>Connex ProBP 3400</v>
          </cell>
          <cell r="P692" t="str">
            <v>100000684313</v>
          </cell>
          <cell r="Q692" t="str">
            <v>Not Applicable</v>
          </cell>
          <cell r="R692" t="str">
            <v>Welch Allyn Inc</v>
          </cell>
          <cell r="S692" t="str">
            <v>Welch Allyn Malaysia Sdn Bhd</v>
          </cell>
          <cell r="T692" t="str">
            <v>Functioning</v>
          </cell>
          <cell r="U692" t="str">
            <v>Asset</v>
          </cell>
          <cell r="V692">
            <v>4510</v>
          </cell>
          <cell r="W692" t="str">
            <v>KEW</v>
          </cell>
          <cell r="X692" t="str">
            <v>01/09/2010</v>
          </cell>
          <cell r="Y692" t="str">
            <v>KEW</v>
          </cell>
          <cell r="Z692" t="str">
            <v>16/08/2013</v>
          </cell>
          <cell r="AA692" t="str">
            <v>15/08/2015</v>
          </cell>
          <cell r="AB692" t="str">
            <v>No</v>
          </cell>
          <cell r="AC692" t="str">
            <v>31/08/2013</v>
          </cell>
          <cell r="AD692" t="str">
            <v>Good</v>
          </cell>
          <cell r="AE692" t="str">
            <v>V1 - Existing / No Claim</v>
          </cell>
          <cell r="AF692">
            <v>42789</v>
          </cell>
          <cell r="AG692">
            <v>9.17</v>
          </cell>
          <cell r="AH692" t="str">
            <v>PPM</v>
          </cell>
          <cell r="AI692" t="str">
            <v>Strands</v>
          </cell>
          <cell r="AJ692" t="str">
            <v>Strands PW</v>
          </cell>
        </row>
        <row r="693">
          <cell r="A693" t="str">
            <v>IKN400214</v>
          </cell>
          <cell r="B693">
            <v>214</v>
          </cell>
          <cell r="C693" t="str">
            <v>Institut Kanser Negara</v>
          </cell>
          <cell r="D693" t="str">
            <v>KKM/IKN/H/13/2014</v>
          </cell>
          <cell r="E693" t="str">
            <v>16-173</v>
          </cell>
          <cell r="F693" t="str">
            <v>Sphygmomanometers, Electronic, Automatic</v>
          </cell>
          <cell r="G693" t="str">
            <v>WJ</v>
          </cell>
          <cell r="H693" t="str">
            <v>MULTIDISCIPLINE WARD 1</v>
          </cell>
          <cell r="I693" t="str">
            <v>09WJ205</v>
          </cell>
          <cell r="J693" t="str">
            <v>NURSE STATION</v>
          </cell>
          <cell r="K693" t="str">
            <v>BMED</v>
          </cell>
          <cell r="L693" t="str">
            <v>Critical</v>
          </cell>
          <cell r="M693" t="str">
            <v>USA</v>
          </cell>
          <cell r="N693" t="str">
            <v>Connex</v>
          </cell>
          <cell r="O693" t="str">
            <v>Connex ProBP 3400</v>
          </cell>
          <cell r="P693" t="str">
            <v>100001680613</v>
          </cell>
          <cell r="Q693" t="str">
            <v>Not Applicable</v>
          </cell>
          <cell r="R693" t="str">
            <v>Welch Allyn Inc</v>
          </cell>
          <cell r="S693" t="str">
            <v>Welch Allyn Malaysia Sdn Bhd</v>
          </cell>
          <cell r="T693" t="str">
            <v>Functioning</v>
          </cell>
          <cell r="U693" t="str">
            <v>Asset</v>
          </cell>
          <cell r="V693">
            <v>4510</v>
          </cell>
          <cell r="W693" t="str">
            <v>KEW</v>
          </cell>
          <cell r="X693" t="str">
            <v>01/09/2010</v>
          </cell>
          <cell r="Y693" t="str">
            <v>KEW</v>
          </cell>
          <cell r="Z693" t="str">
            <v>16/08/2013</v>
          </cell>
          <cell r="AA693" t="str">
            <v>15/08/2015</v>
          </cell>
          <cell r="AB693" t="str">
            <v>No</v>
          </cell>
          <cell r="AC693" t="str">
            <v>31/08/2013</v>
          </cell>
          <cell r="AD693" t="str">
            <v>Good</v>
          </cell>
          <cell r="AE693" t="str">
            <v>V1 - Existing / No Claim</v>
          </cell>
          <cell r="AF693">
            <v>42789</v>
          </cell>
          <cell r="AG693">
            <v>9.17</v>
          </cell>
          <cell r="AH693" t="str">
            <v>PPM</v>
          </cell>
          <cell r="AI693" t="str">
            <v>Strands</v>
          </cell>
          <cell r="AJ693" t="str">
            <v>Strands PW</v>
          </cell>
        </row>
        <row r="694">
          <cell r="A694" t="str">
            <v>IKN400215</v>
          </cell>
          <cell r="B694">
            <v>215</v>
          </cell>
          <cell r="C694" t="str">
            <v>Institut Kanser Negara</v>
          </cell>
          <cell r="D694" t="str">
            <v>KKM/IKN/H/13/2016</v>
          </cell>
          <cell r="E694" t="str">
            <v>16-173</v>
          </cell>
          <cell r="F694" t="str">
            <v>Sphygmomanometers, Electronic, Automatic</v>
          </cell>
          <cell r="G694" t="str">
            <v>WJ</v>
          </cell>
          <cell r="H694" t="str">
            <v>MULTIDISCIPLINE WARD 1</v>
          </cell>
          <cell r="I694" t="str">
            <v>09WJ205</v>
          </cell>
          <cell r="J694" t="str">
            <v>NURSE STATION</v>
          </cell>
          <cell r="K694" t="str">
            <v>BMED</v>
          </cell>
          <cell r="L694" t="str">
            <v>Critical</v>
          </cell>
          <cell r="M694" t="str">
            <v>USA</v>
          </cell>
          <cell r="N694" t="str">
            <v>Connex</v>
          </cell>
          <cell r="O694" t="str">
            <v>Connex ProBP 3400</v>
          </cell>
          <cell r="P694" t="str">
            <v>100001710613</v>
          </cell>
          <cell r="Q694" t="str">
            <v>Not Applicable</v>
          </cell>
          <cell r="R694" t="str">
            <v>Welch Allyn Inc</v>
          </cell>
          <cell r="S694" t="str">
            <v>Welch Allyn Malaysia Sdn Bhd</v>
          </cell>
          <cell r="T694" t="str">
            <v>Functioning</v>
          </cell>
          <cell r="U694" t="str">
            <v>Asset</v>
          </cell>
          <cell r="V694">
            <v>4510</v>
          </cell>
          <cell r="W694" t="str">
            <v>KEW</v>
          </cell>
          <cell r="X694" t="str">
            <v>01/09/2010</v>
          </cell>
          <cell r="Y694" t="str">
            <v>KEW</v>
          </cell>
          <cell r="Z694" t="str">
            <v>16/08/2013</v>
          </cell>
          <cell r="AA694" t="str">
            <v>15/08/2015</v>
          </cell>
          <cell r="AB694" t="str">
            <v>No</v>
          </cell>
          <cell r="AC694" t="str">
            <v>31/08/2013</v>
          </cell>
          <cell r="AD694" t="str">
            <v>Good</v>
          </cell>
          <cell r="AE694" t="str">
            <v>V1 - Existing / No Claim</v>
          </cell>
          <cell r="AF694">
            <v>42789</v>
          </cell>
          <cell r="AG694">
            <v>9.17</v>
          </cell>
          <cell r="AH694" t="str">
            <v>PPM</v>
          </cell>
          <cell r="AI694" t="str">
            <v>Strands</v>
          </cell>
          <cell r="AJ694" t="str">
            <v>Strands PW</v>
          </cell>
        </row>
        <row r="695">
          <cell r="A695" t="str">
            <v>IKN400216</v>
          </cell>
          <cell r="B695">
            <v>216</v>
          </cell>
          <cell r="C695" t="str">
            <v>Institut Kanser Negara</v>
          </cell>
          <cell r="D695" t="str">
            <v>KKM/IKN/H/13/1763</v>
          </cell>
          <cell r="E695" t="str">
            <v>16-173</v>
          </cell>
          <cell r="F695" t="str">
            <v>Sphygmomanometers, Electronic, Automatic</v>
          </cell>
          <cell r="G695" t="str">
            <v>WJ</v>
          </cell>
          <cell r="H695" t="str">
            <v>MULTIDISCIPLINE WARD 1</v>
          </cell>
          <cell r="I695" t="str">
            <v>09WJ209</v>
          </cell>
          <cell r="J695" t="str">
            <v>NURSE STATION</v>
          </cell>
          <cell r="K695" t="str">
            <v>BMED</v>
          </cell>
          <cell r="L695" t="str">
            <v>Critical</v>
          </cell>
          <cell r="M695" t="str">
            <v>USA</v>
          </cell>
          <cell r="N695" t="str">
            <v>Connex</v>
          </cell>
          <cell r="O695" t="str">
            <v>Connex ProBP 3400</v>
          </cell>
          <cell r="P695" t="str">
            <v>100001610613</v>
          </cell>
          <cell r="Q695" t="str">
            <v>Not Applicable</v>
          </cell>
          <cell r="R695" t="str">
            <v>Welch Allyn Inc</v>
          </cell>
          <cell r="S695" t="str">
            <v>Welch Allyn Malaysia Sdn Bhd</v>
          </cell>
          <cell r="T695" t="str">
            <v>Functioning</v>
          </cell>
          <cell r="U695" t="str">
            <v>Asset</v>
          </cell>
          <cell r="V695">
            <v>4510</v>
          </cell>
          <cell r="W695" t="str">
            <v>KEW</v>
          </cell>
          <cell r="X695" t="str">
            <v>01/09/2010</v>
          </cell>
          <cell r="Y695" t="str">
            <v>KEW</v>
          </cell>
          <cell r="Z695" t="str">
            <v>16/08/2013</v>
          </cell>
          <cell r="AA695" t="str">
            <v>15/08/2015</v>
          </cell>
          <cell r="AB695" t="str">
            <v>No</v>
          </cell>
          <cell r="AC695" t="str">
            <v>31/08/2013</v>
          </cell>
          <cell r="AD695" t="str">
            <v>Good</v>
          </cell>
          <cell r="AE695" t="str">
            <v>V1 - Existing / No Claim</v>
          </cell>
          <cell r="AF695">
            <v>42789</v>
          </cell>
          <cell r="AG695">
            <v>9.17</v>
          </cell>
          <cell r="AH695" t="str">
            <v>PPM</v>
          </cell>
          <cell r="AI695" t="str">
            <v>Strands</v>
          </cell>
          <cell r="AJ695" t="str">
            <v>Strands PW</v>
          </cell>
        </row>
        <row r="696">
          <cell r="A696" t="str">
            <v>IKN400217</v>
          </cell>
          <cell r="B696">
            <v>217</v>
          </cell>
          <cell r="C696" t="str">
            <v>Institut Kanser Negara</v>
          </cell>
          <cell r="D696" t="str">
            <v>KKM/IKN/H/13/2015</v>
          </cell>
          <cell r="E696" t="str">
            <v>16-173</v>
          </cell>
          <cell r="F696" t="str">
            <v>Sphygmomanometers, Electronic, Automatic</v>
          </cell>
          <cell r="G696" t="str">
            <v>WJ</v>
          </cell>
          <cell r="H696" t="str">
            <v>MULTIDISCIPLINE WARD 1</v>
          </cell>
          <cell r="I696" t="str">
            <v>09WJ209</v>
          </cell>
          <cell r="J696" t="str">
            <v>NURSE STATION</v>
          </cell>
          <cell r="K696" t="str">
            <v>BMED</v>
          </cell>
          <cell r="L696" t="str">
            <v>Normal</v>
          </cell>
          <cell r="M696" t="str">
            <v>USA</v>
          </cell>
          <cell r="N696" t="str">
            <v>Connex</v>
          </cell>
          <cell r="O696" t="str">
            <v>Connex ProBP 3400</v>
          </cell>
          <cell r="P696" t="str">
            <v>100001780613</v>
          </cell>
          <cell r="Q696" t="str">
            <v>Not Applicable</v>
          </cell>
          <cell r="R696" t="str">
            <v>Welch Allyn Inc</v>
          </cell>
          <cell r="S696" t="str">
            <v>Welch Allyn Malaysia Sdn Bhd</v>
          </cell>
          <cell r="T696" t="str">
            <v>Functioning</v>
          </cell>
          <cell r="U696" t="str">
            <v>Asset</v>
          </cell>
          <cell r="V696">
            <v>4510</v>
          </cell>
          <cell r="W696" t="str">
            <v>KEW</v>
          </cell>
          <cell r="X696" t="str">
            <v>01/09/2010</v>
          </cell>
          <cell r="Y696" t="str">
            <v>KEW</v>
          </cell>
          <cell r="Z696" t="str">
            <v>16/08/2013</v>
          </cell>
          <cell r="AA696" t="str">
            <v>15/08/2015</v>
          </cell>
          <cell r="AB696" t="str">
            <v>No</v>
          </cell>
          <cell r="AC696" t="str">
            <v>31/08/2013</v>
          </cell>
          <cell r="AD696" t="str">
            <v>Good</v>
          </cell>
          <cell r="AE696" t="str">
            <v>V1 - Existing / No Claim</v>
          </cell>
          <cell r="AF696">
            <v>42235</v>
          </cell>
          <cell r="AG696">
            <v>9.17</v>
          </cell>
          <cell r="AH696" t="str">
            <v>PPM</v>
          </cell>
          <cell r="AI696" t="str">
            <v>Strands</v>
          </cell>
          <cell r="AJ696" t="str">
            <v>Strands PW</v>
          </cell>
        </row>
        <row r="697">
          <cell r="A697" t="str">
            <v>IKN400218</v>
          </cell>
          <cell r="B697">
            <v>218</v>
          </cell>
          <cell r="C697" t="str">
            <v>Institut Kanser Negara</v>
          </cell>
          <cell r="D697" t="str">
            <v>KKM/IKN/H/13/2764</v>
          </cell>
          <cell r="E697" t="str">
            <v>11-134</v>
          </cell>
          <cell r="F697" t="str">
            <v>Defibrillators, External, Manual</v>
          </cell>
          <cell r="G697" t="str">
            <v>WJ</v>
          </cell>
          <cell r="H697" t="str">
            <v>MULTIDISCIPLINE WARD 1</v>
          </cell>
          <cell r="I697" t="str">
            <v>09WJ210</v>
          </cell>
          <cell r="J697" t="str">
            <v>RESUS EQUIP.BAY</v>
          </cell>
          <cell r="K697" t="str">
            <v>BMED</v>
          </cell>
          <cell r="L697" t="str">
            <v>Critical</v>
          </cell>
          <cell r="M697" t="str">
            <v>USA</v>
          </cell>
          <cell r="N697" t="str">
            <v>Responder</v>
          </cell>
          <cell r="O697" t="str">
            <v>Responder 2000</v>
          </cell>
          <cell r="P697" t="str">
            <v>3206731</v>
          </cell>
          <cell r="Q697" t="str">
            <v>Not Applicable</v>
          </cell>
          <cell r="R697" t="str">
            <v>GE Medical Systems</v>
          </cell>
          <cell r="S697" t="str">
            <v>Antah Sir Radin Sdn. Bhd.</v>
          </cell>
          <cell r="T697" t="str">
            <v>Functioning</v>
          </cell>
          <cell r="U697" t="str">
            <v>Asset</v>
          </cell>
          <cell r="V697">
            <v>45000</v>
          </cell>
          <cell r="W697" t="str">
            <v>KEW</v>
          </cell>
          <cell r="X697" t="str">
            <v>01/09/2010</v>
          </cell>
          <cell r="Y697" t="str">
            <v>KEW</v>
          </cell>
          <cell r="Z697" t="str">
            <v>16/08/2013</v>
          </cell>
          <cell r="AA697" t="str">
            <v>15/08/2015</v>
          </cell>
          <cell r="AB697" t="str">
            <v>No</v>
          </cell>
          <cell r="AC697" t="str">
            <v>31/08/2013</v>
          </cell>
          <cell r="AD697" t="str">
            <v>Good</v>
          </cell>
          <cell r="AE697" t="str">
            <v>V3 - Added Installed Facilities (New)</v>
          </cell>
          <cell r="AF697">
            <v>42601</v>
          </cell>
          <cell r="AG697">
            <v>9.17</v>
          </cell>
          <cell r="AH697" t="str">
            <v>PPM</v>
          </cell>
          <cell r="AI697" t="str">
            <v>Strands</v>
          </cell>
          <cell r="AJ697" t="str">
            <v>Strands PW</v>
          </cell>
          <cell r="AK697" t="str">
            <v>SNF received. 1st batch of V3 asset (December 2020)</v>
          </cell>
        </row>
        <row r="698">
          <cell r="A698" t="str">
            <v>IKN400221</v>
          </cell>
          <cell r="B698">
            <v>221</v>
          </cell>
          <cell r="C698" t="str">
            <v>Institut Kanser Negara</v>
          </cell>
          <cell r="D698" t="str">
            <v>KKM/IKN/H/13/1825</v>
          </cell>
          <cell r="E698" t="str">
            <v>10-208</v>
          </cell>
          <cell r="F698" t="str">
            <v>Aspirators</v>
          </cell>
          <cell r="G698" t="str">
            <v>WJ</v>
          </cell>
          <cell r="H698" t="str">
            <v>MULTIDISCIPLINE WARD 1</v>
          </cell>
          <cell r="I698" t="str">
            <v>09WJ222</v>
          </cell>
          <cell r="J698" t="str">
            <v>TREATMENT</v>
          </cell>
          <cell r="K698" t="str">
            <v>BMED</v>
          </cell>
          <cell r="L698" t="str">
            <v>Critical</v>
          </cell>
          <cell r="M698" t="str">
            <v>Switzerland</v>
          </cell>
          <cell r="N698" t="str">
            <v>Senator</v>
          </cell>
          <cell r="O698" t="str">
            <v>Senator</v>
          </cell>
          <cell r="P698" t="str">
            <v>1220752</v>
          </cell>
          <cell r="Q698" t="str">
            <v>Not Applicable</v>
          </cell>
          <cell r="R698" t="str">
            <v>Ardo Medical AG</v>
          </cell>
          <cell r="S698" t="str">
            <v>Histopoint</v>
          </cell>
          <cell r="T698" t="str">
            <v>Functioning</v>
          </cell>
          <cell r="U698" t="str">
            <v>Asset</v>
          </cell>
          <cell r="V698">
            <v>5052</v>
          </cell>
          <cell r="W698" t="str">
            <v>KEW</v>
          </cell>
          <cell r="X698" t="str">
            <v>01/09/2010</v>
          </cell>
          <cell r="Y698" t="str">
            <v>KEW</v>
          </cell>
          <cell r="Z698" t="str">
            <v>16/08/2013</v>
          </cell>
          <cell r="AA698" t="str">
            <v>15/08/2015</v>
          </cell>
          <cell r="AB698" t="str">
            <v>No</v>
          </cell>
          <cell r="AC698" t="str">
            <v>31/08/2013</v>
          </cell>
          <cell r="AD698" t="str">
            <v>Good</v>
          </cell>
          <cell r="AE698" t="str">
            <v>V1 - Existing / No Claim</v>
          </cell>
          <cell r="AF698">
            <v>42789</v>
          </cell>
          <cell r="AG698">
            <v>9.17</v>
          </cell>
          <cell r="AH698" t="str">
            <v>PPM</v>
          </cell>
          <cell r="AI698" t="str">
            <v>Strands</v>
          </cell>
          <cell r="AJ698" t="str">
            <v>Strands PW</v>
          </cell>
        </row>
        <row r="699">
          <cell r="A699" t="str">
            <v>IKN400222</v>
          </cell>
          <cell r="B699">
            <v>222</v>
          </cell>
          <cell r="C699" t="str">
            <v>Institut Kanser Negara</v>
          </cell>
          <cell r="D699" t="str">
            <v>KKM/IKN/H/13/2208</v>
          </cell>
          <cell r="E699" t="str">
            <v>16-173</v>
          </cell>
          <cell r="F699" t="str">
            <v>Sphygmomanometers, Electronic, Automatic</v>
          </cell>
          <cell r="G699" t="str">
            <v>WJ</v>
          </cell>
          <cell r="H699" t="str">
            <v>MULTIDISCIPLINE WARD 1</v>
          </cell>
          <cell r="I699" t="str">
            <v>09WJ222</v>
          </cell>
          <cell r="J699" t="str">
            <v>TREATMENT</v>
          </cell>
          <cell r="K699" t="str">
            <v>BMED</v>
          </cell>
          <cell r="L699" t="str">
            <v>Critical</v>
          </cell>
          <cell r="M699" t="str">
            <v>Mexico</v>
          </cell>
          <cell r="N699" t="str">
            <v>Carespace</v>
          </cell>
          <cell r="O699" t="str">
            <v>Carescape V100</v>
          </cell>
          <cell r="P699" t="str">
            <v>SH612430116SA</v>
          </cell>
          <cell r="Q699" t="str">
            <v>Not Applicable</v>
          </cell>
          <cell r="R699" t="str">
            <v>GE Healthcare Systems</v>
          </cell>
          <cell r="S699" t="str">
            <v>GE Healthcare Technologies</v>
          </cell>
          <cell r="T699" t="str">
            <v>Functioning</v>
          </cell>
          <cell r="U699" t="str">
            <v>Asset</v>
          </cell>
          <cell r="V699">
            <v>7770</v>
          </cell>
          <cell r="W699" t="str">
            <v>KEW</v>
          </cell>
          <cell r="X699" t="str">
            <v>01/09/2010</v>
          </cell>
          <cell r="Y699" t="str">
            <v>KEW</v>
          </cell>
          <cell r="Z699" t="str">
            <v>16/08/2013</v>
          </cell>
          <cell r="AA699" t="str">
            <v>15/08/2015</v>
          </cell>
          <cell r="AB699" t="str">
            <v>No</v>
          </cell>
          <cell r="AC699" t="str">
            <v>31/08/2013</v>
          </cell>
          <cell r="AD699" t="str">
            <v>Good</v>
          </cell>
          <cell r="AE699" t="str">
            <v>V1 - Existing / No Claim</v>
          </cell>
          <cell r="AF699">
            <v>42789</v>
          </cell>
          <cell r="AG699">
            <v>9.17</v>
          </cell>
          <cell r="AH699" t="str">
            <v>PPM</v>
          </cell>
          <cell r="AI699" t="str">
            <v>Strands</v>
          </cell>
          <cell r="AJ699" t="str">
            <v>Strands PW</v>
          </cell>
        </row>
        <row r="700">
          <cell r="A700" t="str">
            <v>IKN400223</v>
          </cell>
          <cell r="B700">
            <v>223</v>
          </cell>
          <cell r="C700" t="str">
            <v>Institut Kanser Negara</v>
          </cell>
          <cell r="D700" t="str">
            <v>KKM/IKN/H/13/2206</v>
          </cell>
          <cell r="E700" t="str">
            <v>16-231</v>
          </cell>
          <cell r="F700" t="str">
            <v>Electrocardiographs, Multichannel, Interpretative</v>
          </cell>
          <cell r="G700" t="str">
            <v>WJ</v>
          </cell>
          <cell r="H700" t="str">
            <v>MULTIDISCIPLINE WARD 1</v>
          </cell>
          <cell r="I700" t="str">
            <v>09WJ222</v>
          </cell>
          <cell r="J700" t="str">
            <v>TREATMENT</v>
          </cell>
          <cell r="K700" t="str">
            <v>BMED</v>
          </cell>
          <cell r="L700" t="str">
            <v>Normal</v>
          </cell>
          <cell r="M700" t="str">
            <v>China</v>
          </cell>
          <cell r="N700" t="str">
            <v>Mac</v>
          </cell>
          <cell r="O700" t="str">
            <v>MAC 800</v>
          </cell>
          <cell r="P700" t="str">
            <v>SJ412450352WA</v>
          </cell>
          <cell r="Q700" t="str">
            <v>Not Applicable</v>
          </cell>
          <cell r="R700" t="str">
            <v>GE Healthcare Systems</v>
          </cell>
          <cell r="S700" t="str">
            <v>GE Healthcare Technologies</v>
          </cell>
          <cell r="T700" t="str">
            <v>Functioning</v>
          </cell>
          <cell r="U700" t="str">
            <v>Asset</v>
          </cell>
          <cell r="V700">
            <v>25260</v>
          </cell>
          <cell r="W700" t="str">
            <v>KEW</v>
          </cell>
          <cell r="X700" t="str">
            <v>01/09/2010</v>
          </cell>
          <cell r="Y700" t="str">
            <v>KEW</v>
          </cell>
          <cell r="Z700" t="str">
            <v>16/08/2013</v>
          </cell>
          <cell r="AA700" t="str">
            <v>15/08/2015</v>
          </cell>
          <cell r="AB700" t="str">
            <v>No</v>
          </cell>
          <cell r="AC700" t="str">
            <v>31/08/2013</v>
          </cell>
          <cell r="AD700" t="str">
            <v>Good</v>
          </cell>
          <cell r="AE700" t="str">
            <v>V1 - Existing / No Claim</v>
          </cell>
          <cell r="AF700">
            <v>42235</v>
          </cell>
          <cell r="AG700">
            <v>9.17</v>
          </cell>
          <cell r="AH700" t="str">
            <v>PPM</v>
          </cell>
          <cell r="AI700" t="str">
            <v>Strands</v>
          </cell>
          <cell r="AJ700" t="str">
            <v>Strands PW</v>
          </cell>
        </row>
        <row r="701">
          <cell r="A701" t="str">
            <v>IKN400224</v>
          </cell>
          <cell r="B701">
            <v>224</v>
          </cell>
          <cell r="C701" t="str">
            <v>Institut Kanser Negara</v>
          </cell>
          <cell r="D701" t="str">
            <v>KKM/IKN/H/13/2210</v>
          </cell>
          <cell r="E701" t="str">
            <v>13-217</v>
          </cell>
          <cell r="F701" t="str">
            <v>Infusion Pumps, Syringe</v>
          </cell>
          <cell r="G701" t="str">
            <v>WJ</v>
          </cell>
          <cell r="H701" t="str">
            <v>MULTIDISCIPLINE WARD 1</v>
          </cell>
          <cell r="I701" t="str">
            <v>09WJ126</v>
          </cell>
          <cell r="J701" t="str">
            <v>EQUIPT. ROOM</v>
          </cell>
          <cell r="K701" t="str">
            <v>BMED</v>
          </cell>
          <cell r="L701" t="str">
            <v>Normal</v>
          </cell>
          <cell r="M701" t="str">
            <v>Germany</v>
          </cell>
          <cell r="N701" t="str">
            <v>Perfusor</v>
          </cell>
          <cell r="O701" t="str">
            <v>Perfusor Space</v>
          </cell>
          <cell r="P701" t="str">
            <v>211431</v>
          </cell>
          <cell r="Q701" t="str">
            <v>Not Applicable</v>
          </cell>
          <cell r="R701" t="str">
            <v>B Braun Melsungen AG</v>
          </cell>
          <cell r="S701" t="str">
            <v>B Braun Medical Supplies Sdn. Bhd.</v>
          </cell>
          <cell r="T701" t="str">
            <v>Functioning</v>
          </cell>
          <cell r="U701" t="str">
            <v>Asset</v>
          </cell>
          <cell r="V701">
            <v>10225</v>
          </cell>
          <cell r="W701" t="str">
            <v>KEW</v>
          </cell>
          <cell r="X701" t="str">
            <v>01/09/2010</v>
          </cell>
          <cell r="Y701" t="str">
            <v>KEW</v>
          </cell>
          <cell r="Z701" t="str">
            <v>16/08/2013</v>
          </cell>
          <cell r="AA701" t="str">
            <v>15/08/2015</v>
          </cell>
          <cell r="AB701" t="str">
            <v>No</v>
          </cell>
          <cell r="AC701" t="str">
            <v>31/08/2013</v>
          </cell>
          <cell r="AD701" t="str">
            <v>Good</v>
          </cell>
          <cell r="AE701" t="str">
            <v>V1 - Existing / No Claim</v>
          </cell>
          <cell r="AF701">
            <v>42235</v>
          </cell>
          <cell r="AG701">
            <v>9.17</v>
          </cell>
          <cell r="AH701" t="str">
            <v>PPM</v>
          </cell>
          <cell r="AI701" t="str">
            <v>Strands</v>
          </cell>
          <cell r="AJ701" t="str">
            <v>Strands PW</v>
          </cell>
        </row>
        <row r="702">
          <cell r="A702" t="str">
            <v>IKN400225</v>
          </cell>
          <cell r="B702">
            <v>225</v>
          </cell>
          <cell r="C702" t="str">
            <v>Institut Kanser Negara</v>
          </cell>
          <cell r="D702" t="str">
            <v>KKM/IKN/H/13/2211</v>
          </cell>
          <cell r="E702" t="str">
            <v>13-217</v>
          </cell>
          <cell r="F702" t="str">
            <v>Infusion Pumps, Syringe</v>
          </cell>
          <cell r="G702" t="str">
            <v>WJ</v>
          </cell>
          <cell r="H702" t="str">
            <v>MULTIDISCIPLINE WARD 1</v>
          </cell>
          <cell r="I702" t="str">
            <v>09WJ126</v>
          </cell>
          <cell r="J702" t="str">
            <v>EQUIPT. ROOM</v>
          </cell>
          <cell r="K702" t="str">
            <v>BMED</v>
          </cell>
          <cell r="L702" t="str">
            <v>Normal</v>
          </cell>
          <cell r="M702" t="str">
            <v>Germany</v>
          </cell>
          <cell r="N702" t="str">
            <v>Perfusor</v>
          </cell>
          <cell r="O702" t="str">
            <v>Perfusor Space</v>
          </cell>
          <cell r="P702" t="str">
            <v>211426</v>
          </cell>
          <cell r="Q702" t="str">
            <v>Not Applicable</v>
          </cell>
          <cell r="R702" t="str">
            <v>B Braun Melsungen AG</v>
          </cell>
          <cell r="S702" t="str">
            <v>B Braun Medical Supplies Sdn. Bhd.</v>
          </cell>
          <cell r="T702" t="str">
            <v>Functioning</v>
          </cell>
          <cell r="U702" t="str">
            <v>Asset</v>
          </cell>
          <cell r="V702">
            <v>10225</v>
          </cell>
          <cell r="W702" t="str">
            <v>KEW</v>
          </cell>
          <cell r="X702" t="str">
            <v>01/09/2010</v>
          </cell>
          <cell r="Y702" t="str">
            <v>KEW</v>
          </cell>
          <cell r="Z702" t="str">
            <v>16/08/2013</v>
          </cell>
          <cell r="AA702" t="str">
            <v>15/08/2015</v>
          </cell>
          <cell r="AB702" t="str">
            <v>No</v>
          </cell>
          <cell r="AC702" t="str">
            <v>31/08/2013</v>
          </cell>
          <cell r="AD702" t="str">
            <v>Good</v>
          </cell>
          <cell r="AE702" t="str">
            <v>V1 - Existing / No Claim</v>
          </cell>
          <cell r="AF702">
            <v>42235</v>
          </cell>
          <cell r="AG702">
            <v>9.17</v>
          </cell>
          <cell r="AH702" t="str">
            <v>PPM</v>
          </cell>
          <cell r="AI702" t="str">
            <v>Strands</v>
          </cell>
          <cell r="AJ702" t="str">
            <v>Strands PW</v>
          </cell>
        </row>
        <row r="703">
          <cell r="A703" t="str">
            <v>IKN400226</v>
          </cell>
          <cell r="B703">
            <v>226</v>
          </cell>
          <cell r="C703" t="str">
            <v>Institut Kanser Negara</v>
          </cell>
          <cell r="D703" t="str">
            <v>KKM/IKN/H/13/2213</v>
          </cell>
          <cell r="E703" t="str">
            <v>13-215</v>
          </cell>
          <cell r="F703" t="str">
            <v>Infusion Pumps, General-Purpose</v>
          </cell>
          <cell r="G703" t="str">
            <v>WJ</v>
          </cell>
          <cell r="H703" t="str">
            <v>MULTIDISCIPLINE WARD 1</v>
          </cell>
          <cell r="I703" t="str">
            <v>09WJ126</v>
          </cell>
          <cell r="J703" t="str">
            <v>EQUIPT. ROOM</v>
          </cell>
          <cell r="K703" t="str">
            <v>BMED</v>
          </cell>
          <cell r="L703" t="str">
            <v>Normal</v>
          </cell>
          <cell r="M703" t="str">
            <v>Germany</v>
          </cell>
          <cell r="N703" t="str">
            <v>Infusomat</v>
          </cell>
          <cell r="O703" t="str">
            <v>Infusomat Space</v>
          </cell>
          <cell r="P703" t="str">
            <v>246643</v>
          </cell>
          <cell r="Q703" t="str">
            <v>Not Applicable</v>
          </cell>
          <cell r="R703" t="str">
            <v>B Braun Melsungen AG</v>
          </cell>
          <cell r="S703" t="str">
            <v>B Braun Medical Supplies Sdn. Bhd.</v>
          </cell>
          <cell r="T703" t="str">
            <v>Functioning</v>
          </cell>
          <cell r="U703" t="str">
            <v>Asset</v>
          </cell>
          <cell r="V703">
            <v>10825</v>
          </cell>
          <cell r="W703" t="str">
            <v>KEW</v>
          </cell>
          <cell r="X703" t="str">
            <v>01/09/2010</v>
          </cell>
          <cell r="Y703" t="str">
            <v>KEW</v>
          </cell>
          <cell r="Z703" t="str">
            <v>16/08/2013</v>
          </cell>
          <cell r="AA703" t="str">
            <v>15/08/2015</v>
          </cell>
          <cell r="AB703" t="str">
            <v>No</v>
          </cell>
          <cell r="AC703" t="str">
            <v>31/08/2013</v>
          </cell>
          <cell r="AD703" t="str">
            <v>Good</v>
          </cell>
          <cell r="AE703" t="str">
            <v>V1 - Existing / No Claim</v>
          </cell>
          <cell r="AF703">
            <v>42235</v>
          </cell>
          <cell r="AG703">
            <v>9.17</v>
          </cell>
          <cell r="AH703" t="str">
            <v>PPM</v>
          </cell>
          <cell r="AI703" t="str">
            <v>Strands</v>
          </cell>
          <cell r="AJ703" t="str">
            <v>Strands PW</v>
          </cell>
        </row>
        <row r="704">
          <cell r="A704" t="str">
            <v>IKN400227</v>
          </cell>
          <cell r="B704">
            <v>227</v>
          </cell>
          <cell r="C704" t="str">
            <v>Institut Kanser Negara</v>
          </cell>
          <cell r="D704" t="str">
            <v>KKM/IKN/H/13/2230</v>
          </cell>
          <cell r="E704" t="str">
            <v>13-215</v>
          </cell>
          <cell r="F704" t="str">
            <v>Infusion Pumps, General-Purpose</v>
          </cell>
          <cell r="G704" t="str">
            <v>WJ</v>
          </cell>
          <cell r="H704" t="str">
            <v>MULTIDISCIPLINE WARD 1</v>
          </cell>
          <cell r="I704" t="str">
            <v>09WJ126</v>
          </cell>
          <cell r="J704" t="str">
            <v>EQUIPT. ROOM</v>
          </cell>
          <cell r="K704" t="str">
            <v>BMED</v>
          </cell>
          <cell r="L704" t="str">
            <v>Critical</v>
          </cell>
          <cell r="M704" t="str">
            <v>Germany</v>
          </cell>
          <cell r="N704" t="str">
            <v>Infusomat</v>
          </cell>
          <cell r="O704" t="str">
            <v>Infusomat Space</v>
          </cell>
          <cell r="P704" t="str">
            <v>246642</v>
          </cell>
          <cell r="Q704" t="str">
            <v>Not Applicable</v>
          </cell>
          <cell r="R704" t="str">
            <v>B Braun Melsungen AG</v>
          </cell>
          <cell r="S704" t="str">
            <v>B Braun Medical Supplies Sdn. Bhd.</v>
          </cell>
          <cell r="T704" t="str">
            <v>Functioning</v>
          </cell>
          <cell r="U704" t="str">
            <v>Asset</v>
          </cell>
          <cell r="V704">
            <v>10825</v>
          </cell>
          <cell r="W704" t="str">
            <v>KEW</v>
          </cell>
          <cell r="X704" t="str">
            <v>01/09/2010</v>
          </cell>
          <cell r="Y704" t="str">
            <v>KEW</v>
          </cell>
          <cell r="Z704" t="str">
            <v>16/08/2013</v>
          </cell>
          <cell r="AA704" t="str">
            <v>15/08/2015</v>
          </cell>
          <cell r="AB704" t="str">
            <v>No</v>
          </cell>
          <cell r="AC704" t="str">
            <v>31/08/2013</v>
          </cell>
          <cell r="AD704" t="str">
            <v>Good</v>
          </cell>
          <cell r="AE704" t="str">
            <v>V1 - Existing / No Claim</v>
          </cell>
          <cell r="AF704">
            <v>42789</v>
          </cell>
          <cell r="AG704">
            <v>9.17</v>
          </cell>
          <cell r="AH704" t="str">
            <v>PPM</v>
          </cell>
          <cell r="AI704" t="str">
            <v>Strands</v>
          </cell>
          <cell r="AJ704" t="str">
            <v>Strands PW</v>
          </cell>
        </row>
        <row r="705">
          <cell r="A705" t="str">
            <v>IKN400228</v>
          </cell>
          <cell r="B705">
            <v>228</v>
          </cell>
          <cell r="C705" t="str">
            <v>Institut Kanser Negara</v>
          </cell>
          <cell r="D705" t="str">
            <v>KKM/IKN/H/13/2231</v>
          </cell>
          <cell r="E705" t="str">
            <v>13-215</v>
          </cell>
          <cell r="F705" t="str">
            <v>Infusion Pumps, General-Purpose</v>
          </cell>
          <cell r="G705" t="str">
            <v>WJ</v>
          </cell>
          <cell r="H705" t="str">
            <v>MULTIDISCIPLINE WARD 1</v>
          </cell>
          <cell r="I705" t="str">
            <v>09WJ126</v>
          </cell>
          <cell r="J705" t="str">
            <v>EQUIPT. ROOM</v>
          </cell>
          <cell r="K705" t="str">
            <v>BMED</v>
          </cell>
          <cell r="L705" t="str">
            <v>Normal</v>
          </cell>
          <cell r="M705" t="str">
            <v>Germany</v>
          </cell>
          <cell r="N705" t="str">
            <v>Infusomat</v>
          </cell>
          <cell r="O705" t="str">
            <v>Infusomat Space</v>
          </cell>
          <cell r="P705" t="str">
            <v>237129</v>
          </cell>
          <cell r="Q705" t="str">
            <v>Not Applicable</v>
          </cell>
          <cell r="R705" t="str">
            <v>B Braun Melsungen AG</v>
          </cell>
          <cell r="S705" t="str">
            <v>B Braun Medical Supplies Sdn. Bhd.</v>
          </cell>
          <cell r="T705" t="str">
            <v>Functioning</v>
          </cell>
          <cell r="U705" t="str">
            <v>Asset</v>
          </cell>
          <cell r="V705">
            <v>10825</v>
          </cell>
          <cell r="W705" t="str">
            <v>KEW</v>
          </cell>
          <cell r="X705" t="str">
            <v>01/09/2010</v>
          </cell>
          <cell r="Y705" t="str">
            <v>KEW</v>
          </cell>
          <cell r="Z705" t="str">
            <v>16/08/2013</v>
          </cell>
          <cell r="AA705" t="str">
            <v>15/08/2015</v>
          </cell>
          <cell r="AB705" t="str">
            <v>No</v>
          </cell>
          <cell r="AC705" t="str">
            <v>31/08/2013</v>
          </cell>
          <cell r="AD705" t="str">
            <v>Good</v>
          </cell>
          <cell r="AE705" t="str">
            <v>V1 - Existing / No Claim</v>
          </cell>
          <cell r="AF705">
            <v>42235</v>
          </cell>
          <cell r="AG705">
            <v>9.17</v>
          </cell>
          <cell r="AH705" t="str">
            <v>PPM</v>
          </cell>
          <cell r="AI705" t="str">
            <v>Strands</v>
          </cell>
          <cell r="AJ705" t="str">
            <v>Strands PW</v>
          </cell>
        </row>
        <row r="706">
          <cell r="A706" t="str">
            <v>IKN400229</v>
          </cell>
          <cell r="B706">
            <v>229</v>
          </cell>
          <cell r="C706" t="str">
            <v>Institut Kanser Negara</v>
          </cell>
          <cell r="D706" t="str">
            <v>KKM/IKN/H/13/2214</v>
          </cell>
          <cell r="E706" t="str">
            <v>13-215</v>
          </cell>
          <cell r="F706" t="str">
            <v>Infusion Pumps, General-Purpose</v>
          </cell>
          <cell r="G706" t="str">
            <v>WJ</v>
          </cell>
          <cell r="H706" t="str">
            <v>MULTIDISCIPLINE WARD 1</v>
          </cell>
          <cell r="I706" t="str">
            <v>09WJ126</v>
          </cell>
          <cell r="J706" t="str">
            <v>EQUIPT. ROOM</v>
          </cell>
          <cell r="K706" t="str">
            <v>BMED</v>
          </cell>
          <cell r="L706" t="str">
            <v>Normal</v>
          </cell>
          <cell r="M706" t="str">
            <v>Germany</v>
          </cell>
          <cell r="N706" t="str">
            <v>Infusomat</v>
          </cell>
          <cell r="O706" t="str">
            <v>Infusomat Space</v>
          </cell>
          <cell r="P706" t="str">
            <v>246689</v>
          </cell>
          <cell r="Q706" t="str">
            <v>Not Applicable</v>
          </cell>
          <cell r="R706" t="str">
            <v>B Braun Melsungen AG</v>
          </cell>
          <cell r="S706" t="str">
            <v>B Braun Medical Supplies Sdn. Bhd.</v>
          </cell>
          <cell r="T706" t="str">
            <v>Functioning</v>
          </cell>
          <cell r="U706" t="str">
            <v>Asset</v>
          </cell>
          <cell r="V706">
            <v>10825</v>
          </cell>
          <cell r="W706" t="str">
            <v>KEW</v>
          </cell>
          <cell r="X706" t="str">
            <v>01/09/2010</v>
          </cell>
          <cell r="Y706" t="str">
            <v>KEW</v>
          </cell>
          <cell r="Z706" t="str">
            <v>16/08/2013</v>
          </cell>
          <cell r="AA706" t="str">
            <v>15/08/2015</v>
          </cell>
          <cell r="AB706" t="str">
            <v>No</v>
          </cell>
          <cell r="AC706" t="str">
            <v>31/08/2013</v>
          </cell>
          <cell r="AD706" t="str">
            <v>Good</v>
          </cell>
          <cell r="AE706" t="str">
            <v>V1 - Existing / No Claim</v>
          </cell>
          <cell r="AF706">
            <v>42235</v>
          </cell>
          <cell r="AG706">
            <v>9.17</v>
          </cell>
          <cell r="AH706" t="str">
            <v>PPM</v>
          </cell>
          <cell r="AI706" t="str">
            <v>Strands</v>
          </cell>
          <cell r="AJ706" t="str">
            <v>Strands PW</v>
          </cell>
        </row>
        <row r="707">
          <cell r="A707" t="str">
            <v>IKN400230</v>
          </cell>
          <cell r="B707">
            <v>230</v>
          </cell>
          <cell r="C707" t="str">
            <v>Institut Kanser Negara</v>
          </cell>
          <cell r="D707" t="str">
            <v>KKM/IKN/H/13/2215</v>
          </cell>
          <cell r="E707" t="str">
            <v>13-215</v>
          </cell>
          <cell r="F707" t="str">
            <v>Infusion Pumps, General-Purpose</v>
          </cell>
          <cell r="G707" t="str">
            <v>WJ</v>
          </cell>
          <cell r="H707" t="str">
            <v>MULTIDISCIPLINE WARD 1</v>
          </cell>
          <cell r="I707" t="str">
            <v>09WJ126</v>
          </cell>
          <cell r="J707" t="str">
            <v>EQUIPT. ROOM</v>
          </cell>
          <cell r="K707" t="str">
            <v>BMED</v>
          </cell>
          <cell r="L707" t="str">
            <v>Normal</v>
          </cell>
          <cell r="M707" t="str">
            <v>Germany</v>
          </cell>
          <cell r="N707" t="str">
            <v>Infusomat</v>
          </cell>
          <cell r="O707" t="str">
            <v>Infusomat Space</v>
          </cell>
          <cell r="P707" t="str">
            <v>246674</v>
          </cell>
          <cell r="Q707" t="str">
            <v>Not Applicable</v>
          </cell>
          <cell r="R707" t="str">
            <v>B Braun Melsungen AG</v>
          </cell>
          <cell r="S707" t="str">
            <v>B Braun Medical Supplies Sdn. Bhd.</v>
          </cell>
          <cell r="T707" t="str">
            <v>Functioning</v>
          </cell>
          <cell r="U707" t="str">
            <v>Asset</v>
          </cell>
          <cell r="V707">
            <v>10825</v>
          </cell>
          <cell r="W707" t="str">
            <v>KEW</v>
          </cell>
          <cell r="X707" t="str">
            <v>01/09/2010</v>
          </cell>
          <cell r="Y707" t="str">
            <v>KEW</v>
          </cell>
          <cell r="Z707" t="str">
            <v>16/08/2013</v>
          </cell>
          <cell r="AA707" t="str">
            <v>15/08/2015</v>
          </cell>
          <cell r="AB707" t="str">
            <v>No</v>
          </cell>
          <cell r="AC707" t="str">
            <v>31/08/2013</v>
          </cell>
          <cell r="AD707" t="str">
            <v>Good</v>
          </cell>
          <cell r="AE707" t="str">
            <v>V1 - Existing / No Claim</v>
          </cell>
          <cell r="AF707">
            <v>42235</v>
          </cell>
          <cell r="AG707">
            <v>9.17</v>
          </cell>
          <cell r="AH707" t="str">
            <v>PPM</v>
          </cell>
          <cell r="AI707" t="str">
            <v>Strands</v>
          </cell>
          <cell r="AJ707" t="str">
            <v>Strands PW</v>
          </cell>
        </row>
        <row r="708">
          <cell r="A708" t="str">
            <v>IKN400231</v>
          </cell>
          <cell r="B708">
            <v>231</v>
          </cell>
          <cell r="C708" t="str">
            <v>Institut Kanser Negara</v>
          </cell>
          <cell r="D708" t="str">
            <v>KKM/IKN/H/13/2216</v>
          </cell>
          <cell r="E708" t="str">
            <v>13-215</v>
          </cell>
          <cell r="F708" t="str">
            <v>Infusion Pumps, General-Purpose</v>
          </cell>
          <cell r="G708" t="str">
            <v>WJ</v>
          </cell>
          <cell r="H708" t="str">
            <v>MULTIDISCIPLINE WARD 1</v>
          </cell>
          <cell r="I708" t="str">
            <v>09WJ126</v>
          </cell>
          <cell r="J708" t="str">
            <v>EQUIPT. ROOM</v>
          </cell>
          <cell r="K708" t="str">
            <v>BMED</v>
          </cell>
          <cell r="L708" t="str">
            <v>Normal</v>
          </cell>
          <cell r="M708" t="str">
            <v>Germany</v>
          </cell>
          <cell r="N708" t="str">
            <v>Infusomat</v>
          </cell>
          <cell r="O708" t="str">
            <v>Infusomat Space</v>
          </cell>
          <cell r="P708" t="str">
            <v>245266</v>
          </cell>
          <cell r="Q708" t="str">
            <v>Not Applicable</v>
          </cell>
          <cell r="R708" t="str">
            <v>B Braun Melsungen AG</v>
          </cell>
          <cell r="S708" t="str">
            <v>B Braun Medical Supplies Sdn. Bhd.</v>
          </cell>
          <cell r="T708" t="str">
            <v>Functioning</v>
          </cell>
          <cell r="U708" t="str">
            <v>Asset</v>
          </cell>
          <cell r="V708">
            <v>10825</v>
          </cell>
          <cell r="W708" t="str">
            <v>KEW</v>
          </cell>
          <cell r="X708" t="str">
            <v>01/09/2010</v>
          </cell>
          <cell r="Y708" t="str">
            <v>KEW</v>
          </cell>
          <cell r="Z708" t="str">
            <v>16/08/2013</v>
          </cell>
          <cell r="AA708" t="str">
            <v>15/08/2015</v>
          </cell>
          <cell r="AB708" t="str">
            <v>No</v>
          </cell>
          <cell r="AC708" t="str">
            <v>31/08/2013</v>
          </cell>
          <cell r="AD708" t="str">
            <v>Good</v>
          </cell>
          <cell r="AE708" t="str">
            <v>V1 - Existing / No Claim</v>
          </cell>
          <cell r="AF708">
            <v>42235</v>
          </cell>
          <cell r="AG708">
            <v>9.17</v>
          </cell>
          <cell r="AH708" t="str">
            <v>PPM</v>
          </cell>
          <cell r="AI708" t="str">
            <v>Strands</v>
          </cell>
          <cell r="AJ708" t="str">
            <v>Strands PW</v>
          </cell>
        </row>
        <row r="709">
          <cell r="A709" t="str">
            <v>IKN400232</v>
          </cell>
          <cell r="B709">
            <v>232</v>
          </cell>
          <cell r="C709" t="str">
            <v>Institut Kanser Negara</v>
          </cell>
          <cell r="D709" t="str">
            <v>KKM/IKN/H/13/2217</v>
          </cell>
          <cell r="E709" t="str">
            <v>13-215</v>
          </cell>
          <cell r="F709" t="str">
            <v>Infusion Pumps, General-Purpose</v>
          </cell>
          <cell r="G709" t="str">
            <v>WJ</v>
          </cell>
          <cell r="H709" t="str">
            <v>MULTIDISCIPLINE WARD 1</v>
          </cell>
          <cell r="I709" t="str">
            <v>09WJ126</v>
          </cell>
          <cell r="J709" t="str">
            <v>EQUIPT. ROOM</v>
          </cell>
          <cell r="K709" t="str">
            <v>BMED</v>
          </cell>
          <cell r="L709" t="str">
            <v>Normal</v>
          </cell>
          <cell r="M709" t="str">
            <v>Germany</v>
          </cell>
          <cell r="N709" t="str">
            <v>Infusomat</v>
          </cell>
          <cell r="O709" t="str">
            <v>Infusomat Space</v>
          </cell>
          <cell r="P709" t="str">
            <v>246650</v>
          </cell>
          <cell r="Q709" t="str">
            <v>Not Applicable</v>
          </cell>
          <cell r="R709" t="str">
            <v>B Braun Melsungen AG</v>
          </cell>
          <cell r="S709" t="str">
            <v>B Braun Medical Supplies Sdn. Bhd.</v>
          </cell>
          <cell r="T709" t="str">
            <v>Functioning</v>
          </cell>
          <cell r="U709" t="str">
            <v>Asset</v>
          </cell>
          <cell r="V709">
            <v>10825</v>
          </cell>
          <cell r="W709" t="str">
            <v>KEW</v>
          </cell>
          <cell r="X709" t="str">
            <v>01/09/2010</v>
          </cell>
          <cell r="Y709" t="str">
            <v>KEW</v>
          </cell>
          <cell r="Z709" t="str">
            <v>16/08/2013</v>
          </cell>
          <cell r="AA709" t="str">
            <v>15/08/2015</v>
          </cell>
          <cell r="AB709" t="str">
            <v>No</v>
          </cell>
          <cell r="AC709" t="str">
            <v>31/08/2013</v>
          </cell>
          <cell r="AD709" t="str">
            <v>Good</v>
          </cell>
          <cell r="AE709" t="str">
            <v>V1 - Existing / No Claim</v>
          </cell>
          <cell r="AF709">
            <v>42235</v>
          </cell>
          <cell r="AG709">
            <v>9.17</v>
          </cell>
          <cell r="AH709" t="str">
            <v>PPM</v>
          </cell>
          <cell r="AI709" t="str">
            <v>Strands</v>
          </cell>
          <cell r="AJ709" t="str">
            <v>Strands PW</v>
          </cell>
        </row>
        <row r="710">
          <cell r="A710" t="str">
            <v>IKN400233</v>
          </cell>
          <cell r="B710">
            <v>233</v>
          </cell>
          <cell r="C710" t="str">
            <v>Institut Kanser Negara</v>
          </cell>
          <cell r="D710" t="str">
            <v>KKM/IKN/H/13/2218</v>
          </cell>
          <cell r="E710" t="str">
            <v>13-215</v>
          </cell>
          <cell r="F710" t="str">
            <v>Infusion Pumps, General-Purpose</v>
          </cell>
          <cell r="G710" t="str">
            <v>WJ</v>
          </cell>
          <cell r="H710" t="str">
            <v>MULTIDISCIPLINE WARD 1</v>
          </cell>
          <cell r="I710" t="str">
            <v>09WJ126</v>
          </cell>
          <cell r="J710" t="str">
            <v>EQUIPT. ROOM</v>
          </cell>
          <cell r="K710" t="str">
            <v>BMED</v>
          </cell>
          <cell r="L710" t="str">
            <v>Normal</v>
          </cell>
          <cell r="M710" t="str">
            <v>Germany</v>
          </cell>
          <cell r="N710" t="str">
            <v>Infusomat</v>
          </cell>
          <cell r="O710" t="str">
            <v>Infusomat Space</v>
          </cell>
          <cell r="P710" t="str">
            <v>245254</v>
          </cell>
          <cell r="Q710" t="str">
            <v>Not Applicable</v>
          </cell>
          <cell r="R710" t="str">
            <v>B Braun Melsungen AG</v>
          </cell>
          <cell r="S710" t="str">
            <v>B Braun Medical Supplies Sdn. Bhd.</v>
          </cell>
          <cell r="T710" t="str">
            <v>Functioning</v>
          </cell>
          <cell r="U710" t="str">
            <v>Asset</v>
          </cell>
          <cell r="V710">
            <v>10825</v>
          </cell>
          <cell r="W710" t="str">
            <v>KEW</v>
          </cell>
          <cell r="X710" t="str">
            <v>01/09/2010</v>
          </cell>
          <cell r="Y710" t="str">
            <v>KEW</v>
          </cell>
          <cell r="Z710" t="str">
            <v>16/08/2013</v>
          </cell>
          <cell r="AA710" t="str">
            <v>15/08/2015</v>
          </cell>
          <cell r="AB710" t="str">
            <v>No</v>
          </cell>
          <cell r="AC710" t="str">
            <v>31/08/2013</v>
          </cell>
          <cell r="AD710" t="str">
            <v>Good</v>
          </cell>
          <cell r="AE710" t="str">
            <v>V1 - Existing / No Claim</v>
          </cell>
          <cell r="AF710">
            <v>42235</v>
          </cell>
          <cell r="AG710">
            <v>9.17</v>
          </cell>
          <cell r="AH710" t="str">
            <v>PPM</v>
          </cell>
          <cell r="AI710" t="str">
            <v>Strands</v>
          </cell>
          <cell r="AJ710" t="str">
            <v>Strands PW</v>
          </cell>
        </row>
        <row r="711">
          <cell r="A711" t="str">
            <v>IKN400234</v>
          </cell>
          <cell r="B711">
            <v>234</v>
          </cell>
          <cell r="C711" t="str">
            <v>Institut Kanser Negara</v>
          </cell>
          <cell r="D711" t="str">
            <v>KKM/IKN/H/13/2219</v>
          </cell>
          <cell r="E711" t="str">
            <v>13-215</v>
          </cell>
          <cell r="F711" t="str">
            <v>Infusion Pumps, General-Purpose</v>
          </cell>
          <cell r="G711" t="str">
            <v>WJ</v>
          </cell>
          <cell r="H711" t="str">
            <v>MULTIDISCIPLINE WARD 1</v>
          </cell>
          <cell r="I711" t="str">
            <v>09WJ126</v>
          </cell>
          <cell r="J711" t="str">
            <v>EQUIPT. ROOM</v>
          </cell>
          <cell r="K711" t="str">
            <v>BMED</v>
          </cell>
          <cell r="L711" t="str">
            <v>Normal</v>
          </cell>
          <cell r="M711" t="str">
            <v>Germany</v>
          </cell>
          <cell r="N711" t="str">
            <v>Infusomat</v>
          </cell>
          <cell r="O711" t="str">
            <v>Infusomat Space</v>
          </cell>
          <cell r="P711" t="str">
            <v>237199</v>
          </cell>
          <cell r="Q711" t="str">
            <v>Not Applicable</v>
          </cell>
          <cell r="R711" t="str">
            <v>B Braun Melsungen AG</v>
          </cell>
          <cell r="S711" t="str">
            <v>B Braun Medical Supplies Sdn. Bhd.</v>
          </cell>
          <cell r="T711" t="str">
            <v>Functioning</v>
          </cell>
          <cell r="U711" t="str">
            <v>Asset</v>
          </cell>
          <cell r="V711">
            <v>10825</v>
          </cell>
          <cell r="W711" t="str">
            <v>KEW</v>
          </cell>
          <cell r="X711" t="str">
            <v>01/09/2010</v>
          </cell>
          <cell r="Y711" t="str">
            <v>KEW</v>
          </cell>
          <cell r="Z711" t="str">
            <v>16/08/2013</v>
          </cell>
          <cell r="AA711" t="str">
            <v>15/08/2015</v>
          </cell>
          <cell r="AB711" t="str">
            <v>No</v>
          </cell>
          <cell r="AC711" t="str">
            <v>31/08/2013</v>
          </cell>
          <cell r="AD711" t="str">
            <v>Good</v>
          </cell>
          <cell r="AE711" t="str">
            <v>V1 - Existing / No Claim</v>
          </cell>
          <cell r="AF711">
            <v>42235</v>
          </cell>
          <cell r="AG711">
            <v>9.17</v>
          </cell>
          <cell r="AH711" t="str">
            <v>PPM</v>
          </cell>
          <cell r="AI711" t="str">
            <v>Strands</v>
          </cell>
          <cell r="AJ711" t="str">
            <v>Strands PW</v>
          </cell>
        </row>
        <row r="712">
          <cell r="A712" t="str">
            <v>IKN400235</v>
          </cell>
          <cell r="B712">
            <v>235</v>
          </cell>
          <cell r="C712" t="str">
            <v>Institut Kanser Negara</v>
          </cell>
          <cell r="D712" t="str">
            <v>KKM/IKN/H/13/2220</v>
          </cell>
          <cell r="E712" t="str">
            <v>13-215</v>
          </cell>
          <cell r="F712" t="str">
            <v>Infusion Pumps, General-Purpose</v>
          </cell>
          <cell r="G712" t="str">
            <v>WJ</v>
          </cell>
          <cell r="H712" t="str">
            <v>MULTIDISCIPLINE WARD 1</v>
          </cell>
          <cell r="I712" t="str">
            <v>09WJ126</v>
          </cell>
          <cell r="J712" t="str">
            <v>EQUIPT. ROOM</v>
          </cell>
          <cell r="K712" t="str">
            <v>BMED</v>
          </cell>
          <cell r="L712" t="str">
            <v>Normal</v>
          </cell>
          <cell r="M712" t="str">
            <v>Germany</v>
          </cell>
          <cell r="N712" t="str">
            <v>Infusomat</v>
          </cell>
          <cell r="O712" t="str">
            <v>Infusomat Space</v>
          </cell>
          <cell r="P712" t="str">
            <v>237132</v>
          </cell>
          <cell r="Q712" t="str">
            <v>Not Applicable</v>
          </cell>
          <cell r="R712" t="str">
            <v>B Braun Melsungen AG</v>
          </cell>
          <cell r="S712" t="str">
            <v>B Braun Medical Supplies Sdn. Bhd.</v>
          </cell>
          <cell r="T712" t="str">
            <v>Functioning</v>
          </cell>
          <cell r="U712" t="str">
            <v>Asset</v>
          </cell>
          <cell r="V712">
            <v>10825</v>
          </cell>
          <cell r="W712" t="str">
            <v>KEW</v>
          </cell>
          <cell r="X712" t="str">
            <v>01/09/2010</v>
          </cell>
          <cell r="Y712" t="str">
            <v>KEW</v>
          </cell>
          <cell r="Z712" t="str">
            <v>16/08/2013</v>
          </cell>
          <cell r="AA712" t="str">
            <v>15/08/2015</v>
          </cell>
          <cell r="AB712" t="str">
            <v>No</v>
          </cell>
          <cell r="AC712" t="str">
            <v>31/08/2013</v>
          </cell>
          <cell r="AD712" t="str">
            <v>Good</v>
          </cell>
          <cell r="AE712" t="str">
            <v>V1 - Existing / No Claim</v>
          </cell>
          <cell r="AF712">
            <v>42235</v>
          </cell>
          <cell r="AG712">
            <v>9.17</v>
          </cell>
          <cell r="AH712" t="str">
            <v>PPM</v>
          </cell>
          <cell r="AI712" t="str">
            <v>Strands</v>
          </cell>
          <cell r="AJ712" t="str">
            <v>Strands PW</v>
          </cell>
        </row>
        <row r="713">
          <cell r="A713" t="str">
            <v>IKN400236</v>
          </cell>
          <cell r="B713">
            <v>236</v>
          </cell>
          <cell r="C713" t="str">
            <v>Institut Kanser Negara</v>
          </cell>
          <cell r="D713" t="str">
            <v>KKM/IKN/H/13/2528</v>
          </cell>
          <cell r="E713" t="str">
            <v>16-231</v>
          </cell>
          <cell r="F713" t="str">
            <v>Electrocardiographs, Multichannel, Interpretative</v>
          </cell>
          <cell r="G713" t="str">
            <v>WG</v>
          </cell>
          <cell r="H713" t="str">
            <v>RT/ONCO WARD 1 (M)</v>
          </cell>
          <cell r="I713" t="str">
            <v>08WG107</v>
          </cell>
          <cell r="J713" t="str">
            <v>TREATMENT / PROCEDURE</v>
          </cell>
          <cell r="K713" t="str">
            <v>BMED</v>
          </cell>
          <cell r="L713" t="str">
            <v>Normal</v>
          </cell>
          <cell r="M713" t="str">
            <v>China</v>
          </cell>
          <cell r="N713" t="str">
            <v>Mac</v>
          </cell>
          <cell r="O713" t="str">
            <v>MAC 800</v>
          </cell>
          <cell r="P713" t="str">
            <v>SJ412450375WA</v>
          </cell>
          <cell r="Q713" t="str">
            <v>Not Applicable</v>
          </cell>
          <cell r="R713" t="str">
            <v>GE Healthcare Systems</v>
          </cell>
          <cell r="S713" t="str">
            <v>GE Healthcare Technologies</v>
          </cell>
          <cell r="T713" t="str">
            <v>Functioning</v>
          </cell>
          <cell r="U713" t="str">
            <v>Asset</v>
          </cell>
          <cell r="V713">
            <v>25260</v>
          </cell>
          <cell r="W713" t="str">
            <v>KEW</v>
          </cell>
          <cell r="X713" t="str">
            <v>01/09/2010</v>
          </cell>
          <cell r="Y713" t="str">
            <v>KEW</v>
          </cell>
          <cell r="Z713" t="str">
            <v>16/08/2013</v>
          </cell>
          <cell r="AA713" t="str">
            <v>15/08/2015</v>
          </cell>
          <cell r="AB713" t="str">
            <v>No</v>
          </cell>
          <cell r="AC713" t="str">
            <v>31/08/2013</v>
          </cell>
          <cell r="AD713" t="str">
            <v>Good</v>
          </cell>
          <cell r="AE713" t="str">
            <v>V1 - Existing / No Claim</v>
          </cell>
          <cell r="AF713">
            <v>42235</v>
          </cell>
          <cell r="AG713">
            <v>9.17</v>
          </cell>
          <cell r="AH713" t="str">
            <v>PPM</v>
          </cell>
          <cell r="AI713" t="str">
            <v>Strands</v>
          </cell>
          <cell r="AJ713" t="str">
            <v>Strands PW</v>
          </cell>
        </row>
        <row r="714">
          <cell r="A714" t="str">
            <v>IKN400237</v>
          </cell>
          <cell r="B714">
            <v>237</v>
          </cell>
          <cell r="C714" t="str">
            <v>Institut Kanser Negara</v>
          </cell>
          <cell r="D714" t="str">
            <v>KKM/IKN/H/13/2536</v>
          </cell>
          <cell r="E714" t="str">
            <v>10-208</v>
          </cell>
          <cell r="F714" t="str">
            <v>Aspirators</v>
          </cell>
          <cell r="G714" t="str">
            <v>WG</v>
          </cell>
          <cell r="H714" t="str">
            <v>RT/ONCO WARD 1 (M)</v>
          </cell>
          <cell r="I714" t="str">
            <v>08WG107</v>
          </cell>
          <cell r="J714" t="str">
            <v>TREATMENT / PROCEDURE</v>
          </cell>
          <cell r="K714" t="str">
            <v>BMED</v>
          </cell>
          <cell r="L714" t="str">
            <v>Critical</v>
          </cell>
          <cell r="M714" t="str">
            <v>Switzerland</v>
          </cell>
          <cell r="N714" t="str">
            <v>Senator</v>
          </cell>
          <cell r="O714" t="str">
            <v>Senator</v>
          </cell>
          <cell r="P714" t="str">
            <v>1220753</v>
          </cell>
          <cell r="Q714" t="str">
            <v>Not Applicable</v>
          </cell>
          <cell r="R714" t="str">
            <v>Ardo Medical AG</v>
          </cell>
          <cell r="S714" t="str">
            <v>Histopoint</v>
          </cell>
          <cell r="T714" t="str">
            <v>Functioning</v>
          </cell>
          <cell r="U714" t="str">
            <v>Asset</v>
          </cell>
          <cell r="V714">
            <v>5052</v>
          </cell>
          <cell r="W714" t="str">
            <v>KEW</v>
          </cell>
          <cell r="X714" t="str">
            <v>01/09/2010</v>
          </cell>
          <cell r="Y714" t="str">
            <v>KEW</v>
          </cell>
          <cell r="Z714" t="str">
            <v>16/08/2013</v>
          </cell>
          <cell r="AA714" t="str">
            <v>15/08/2015</v>
          </cell>
          <cell r="AB714" t="str">
            <v>No</v>
          </cell>
          <cell r="AC714" t="str">
            <v>31/08/2013</v>
          </cell>
          <cell r="AD714" t="str">
            <v>Good</v>
          </cell>
          <cell r="AE714" t="str">
            <v>V1 - Existing / No Claim</v>
          </cell>
          <cell r="AF714">
            <v>42789</v>
          </cell>
          <cell r="AG714">
            <v>9.17</v>
          </cell>
          <cell r="AH714" t="str">
            <v>PPM</v>
          </cell>
          <cell r="AI714" t="str">
            <v>Strands</v>
          </cell>
          <cell r="AJ714" t="str">
            <v>Strands PW</v>
          </cell>
        </row>
        <row r="715">
          <cell r="A715" t="str">
            <v>IKN400241</v>
          </cell>
          <cell r="B715">
            <v>241</v>
          </cell>
          <cell r="C715" t="str">
            <v>Institut Kanser Negara</v>
          </cell>
          <cell r="D715" t="str">
            <v>KKM/IKN/H/13/2555</v>
          </cell>
          <cell r="E715" t="str">
            <v>12-282</v>
          </cell>
          <cell r="F715" t="str">
            <v>Lights, Surgical</v>
          </cell>
          <cell r="G715" t="str">
            <v>WG</v>
          </cell>
          <cell r="H715" t="str">
            <v>RT/ONCO WARD 1 (M)</v>
          </cell>
          <cell r="I715" t="str">
            <v>08WG113</v>
          </cell>
          <cell r="J715" t="str">
            <v>EQUIPMENT ROOM</v>
          </cell>
          <cell r="K715" t="str">
            <v>BMED</v>
          </cell>
          <cell r="L715" t="str">
            <v>Critical</v>
          </cell>
          <cell r="M715" t="str">
            <v>USA</v>
          </cell>
          <cell r="N715" t="str">
            <v>Welch Allyn</v>
          </cell>
          <cell r="O715" t="str">
            <v>Welch Allyn GS600</v>
          </cell>
          <cell r="P715" t="str">
            <v>GS-600-40</v>
          </cell>
          <cell r="Q715" t="str">
            <v>Not Applicable</v>
          </cell>
          <cell r="R715" t="str">
            <v>Welch Allyn Inc</v>
          </cell>
          <cell r="S715" t="str">
            <v>Welch Allyn Malaysia Sdn Bhd</v>
          </cell>
          <cell r="T715" t="str">
            <v>Functioning</v>
          </cell>
          <cell r="U715" t="str">
            <v>Asset</v>
          </cell>
          <cell r="V715">
            <v>5050</v>
          </cell>
          <cell r="W715" t="str">
            <v>KEW</v>
          </cell>
          <cell r="X715" t="str">
            <v>01/09/2010</v>
          </cell>
          <cell r="Y715" t="str">
            <v>KEW</v>
          </cell>
          <cell r="Z715" t="str">
            <v>16/08/2013</v>
          </cell>
          <cell r="AA715" t="str">
            <v>15/08/2015</v>
          </cell>
          <cell r="AB715" t="str">
            <v>No</v>
          </cell>
          <cell r="AC715" t="str">
            <v>31/08/2013</v>
          </cell>
          <cell r="AD715" t="str">
            <v>Good</v>
          </cell>
          <cell r="AE715" t="str">
            <v>V1 - Existing / No Claim</v>
          </cell>
          <cell r="AF715">
            <v>42789</v>
          </cell>
          <cell r="AG715">
            <v>9.17</v>
          </cell>
          <cell r="AH715" t="str">
            <v>PPM</v>
          </cell>
          <cell r="AI715" t="str">
            <v>Strands</v>
          </cell>
          <cell r="AJ715" t="str">
            <v>Strands PW</v>
          </cell>
        </row>
        <row r="716">
          <cell r="A716" t="str">
            <v>IKN400242</v>
          </cell>
          <cell r="B716">
            <v>242</v>
          </cell>
          <cell r="C716" t="str">
            <v>Institut Kanser Negara</v>
          </cell>
          <cell r="D716" t="str">
            <v>KKM/IKN/H/13/2552</v>
          </cell>
          <cell r="E716" t="str">
            <v>15-045</v>
          </cell>
          <cell r="F716" t="str">
            <v>Nebulizers, Nonheated</v>
          </cell>
          <cell r="G716" t="str">
            <v>WG</v>
          </cell>
          <cell r="H716" t="str">
            <v>RT/ONCO WARD 1 (M)</v>
          </cell>
          <cell r="I716" t="str">
            <v>08WG113</v>
          </cell>
          <cell r="J716" t="str">
            <v>EQUIPMENT ROOM</v>
          </cell>
          <cell r="K716" t="str">
            <v>BMED</v>
          </cell>
          <cell r="L716" t="str">
            <v>Normal</v>
          </cell>
          <cell r="M716" t="str">
            <v>Germany</v>
          </cell>
          <cell r="N716" t="str">
            <v>Pari Boy</v>
          </cell>
          <cell r="O716" t="str">
            <v>Pari Boy SX 085</v>
          </cell>
          <cell r="P716" t="str">
            <v>2W12F13761</v>
          </cell>
          <cell r="Q716" t="str">
            <v>Not Applicable</v>
          </cell>
          <cell r="R716" t="str">
            <v>Pari GmbH</v>
          </cell>
          <cell r="S716" t="str">
            <v>Welch Allyn Malaysia Sdn Bhd</v>
          </cell>
          <cell r="T716" t="str">
            <v>Functioning</v>
          </cell>
          <cell r="U716" t="str">
            <v>Asset</v>
          </cell>
          <cell r="V716">
            <v>1140</v>
          </cell>
          <cell r="W716" t="str">
            <v>KEW</v>
          </cell>
          <cell r="X716" t="str">
            <v>01/09/2010</v>
          </cell>
          <cell r="Y716" t="str">
            <v>KEW</v>
          </cell>
          <cell r="Z716" t="str">
            <v>16/08/2013</v>
          </cell>
          <cell r="AA716" t="str">
            <v>15/08/2015</v>
          </cell>
          <cell r="AB716" t="str">
            <v>No</v>
          </cell>
          <cell r="AC716" t="str">
            <v>31/08/2013</v>
          </cell>
          <cell r="AD716" t="str">
            <v>Good</v>
          </cell>
          <cell r="AE716" t="str">
            <v>V1 - Existing / No Claim</v>
          </cell>
          <cell r="AF716">
            <v>42789</v>
          </cell>
          <cell r="AG716">
            <v>9.17</v>
          </cell>
          <cell r="AH716" t="str">
            <v>PPM</v>
          </cell>
          <cell r="AI716" t="str">
            <v>Strands</v>
          </cell>
          <cell r="AJ716" t="str">
            <v>Strands PW</v>
          </cell>
        </row>
        <row r="717">
          <cell r="A717" t="str">
            <v>IKN400243</v>
          </cell>
          <cell r="B717">
            <v>243</v>
          </cell>
          <cell r="C717" t="str">
            <v>Institut Kanser Negara</v>
          </cell>
          <cell r="D717" t="str">
            <v>KKM/IKN/H/13/2549</v>
          </cell>
          <cell r="E717" t="str">
            <v>15-045</v>
          </cell>
          <cell r="F717" t="str">
            <v>Nebulizers, Nonheated</v>
          </cell>
          <cell r="G717" t="str">
            <v>WG</v>
          </cell>
          <cell r="H717" t="str">
            <v>RT/ONCO WARD 1 (M)</v>
          </cell>
          <cell r="I717" t="str">
            <v>08WG113</v>
          </cell>
          <cell r="J717" t="str">
            <v>EQUIPMENT ROOM</v>
          </cell>
          <cell r="K717" t="str">
            <v>BMED</v>
          </cell>
          <cell r="L717" t="str">
            <v>Normal</v>
          </cell>
          <cell r="M717" t="str">
            <v>Germany</v>
          </cell>
          <cell r="N717" t="str">
            <v>Pari Boy</v>
          </cell>
          <cell r="O717" t="str">
            <v>Pari Boy SX 085</v>
          </cell>
          <cell r="P717" t="str">
            <v>2W12K14116</v>
          </cell>
          <cell r="Q717" t="str">
            <v>Not Applicable</v>
          </cell>
          <cell r="R717" t="str">
            <v>Pari GmbH</v>
          </cell>
          <cell r="S717" t="str">
            <v>Welch Allyn Malaysia Sdn Bhd</v>
          </cell>
          <cell r="T717" t="str">
            <v>Functioning</v>
          </cell>
          <cell r="U717" t="str">
            <v>Asset</v>
          </cell>
          <cell r="V717">
            <v>1140</v>
          </cell>
          <cell r="W717" t="str">
            <v>KEW</v>
          </cell>
          <cell r="X717" t="str">
            <v>01/09/2010</v>
          </cell>
          <cell r="Y717" t="str">
            <v>KEW</v>
          </cell>
          <cell r="Z717" t="str">
            <v>16/08/2013</v>
          </cell>
          <cell r="AA717" t="str">
            <v>15/08/2015</v>
          </cell>
          <cell r="AB717" t="str">
            <v>No</v>
          </cell>
          <cell r="AC717" t="str">
            <v>31/08/2013</v>
          </cell>
          <cell r="AD717" t="str">
            <v>Good</v>
          </cell>
          <cell r="AE717" t="str">
            <v>V1 - Existing / No Claim</v>
          </cell>
          <cell r="AF717">
            <v>42789</v>
          </cell>
          <cell r="AG717">
            <v>9.17</v>
          </cell>
          <cell r="AH717" t="str">
            <v>PPM</v>
          </cell>
          <cell r="AI717" t="str">
            <v>Strands</v>
          </cell>
          <cell r="AJ717" t="str">
            <v>Strands PW</v>
          </cell>
        </row>
        <row r="718">
          <cell r="A718" t="str">
            <v>IKN400244</v>
          </cell>
          <cell r="B718">
            <v>244</v>
          </cell>
          <cell r="C718" t="str">
            <v>Institut Kanser Negara</v>
          </cell>
          <cell r="D718" t="str">
            <v>KKM/IKN/H/13/2523</v>
          </cell>
          <cell r="E718" t="str">
            <v>13-217</v>
          </cell>
          <cell r="F718" t="str">
            <v>Infusion Pumps, Syringe</v>
          </cell>
          <cell r="G718" t="str">
            <v>WG</v>
          </cell>
          <cell r="H718" t="str">
            <v>RT/ONCO WARD 1 (M)</v>
          </cell>
          <cell r="I718" t="str">
            <v>08WG113</v>
          </cell>
          <cell r="J718" t="str">
            <v>EQUIPMENT ROOM</v>
          </cell>
          <cell r="K718" t="str">
            <v>BMED</v>
          </cell>
          <cell r="L718" t="str">
            <v>Critical</v>
          </cell>
          <cell r="M718" t="str">
            <v>Germany</v>
          </cell>
          <cell r="N718" t="str">
            <v>Perfusor</v>
          </cell>
          <cell r="O718" t="str">
            <v>Perfusor Space</v>
          </cell>
          <cell r="P718" t="str">
            <v>186599</v>
          </cell>
          <cell r="Q718" t="str">
            <v>Not Applicable</v>
          </cell>
          <cell r="R718" t="str">
            <v>B Braun Melsungen AG</v>
          </cell>
          <cell r="S718" t="str">
            <v>B Braun Medical Supplies Sdn. Bhd.</v>
          </cell>
          <cell r="T718" t="str">
            <v>Functioning</v>
          </cell>
          <cell r="U718" t="str">
            <v>Asset</v>
          </cell>
          <cell r="V718">
            <v>10225</v>
          </cell>
          <cell r="W718" t="str">
            <v>KEW</v>
          </cell>
          <cell r="X718" t="str">
            <v>01/09/2010</v>
          </cell>
          <cell r="Y718" t="str">
            <v>KEW</v>
          </cell>
          <cell r="Z718" t="str">
            <v>16/08/2013</v>
          </cell>
          <cell r="AA718" t="str">
            <v>15/08/2015</v>
          </cell>
          <cell r="AB718" t="str">
            <v>No</v>
          </cell>
          <cell r="AC718" t="str">
            <v>31/08/2013</v>
          </cell>
          <cell r="AD718" t="str">
            <v>Good</v>
          </cell>
          <cell r="AE718" t="str">
            <v>V1 - Existing / No Claim</v>
          </cell>
          <cell r="AF718">
            <v>42789</v>
          </cell>
          <cell r="AG718">
            <v>9.17</v>
          </cell>
          <cell r="AH718" t="str">
            <v>PPM</v>
          </cell>
          <cell r="AI718" t="str">
            <v>Strands</v>
          </cell>
          <cell r="AJ718" t="str">
            <v>Strands PW</v>
          </cell>
        </row>
        <row r="719">
          <cell r="A719" t="str">
            <v>IKN400245</v>
          </cell>
          <cell r="B719">
            <v>245</v>
          </cell>
          <cell r="C719" t="str">
            <v>Institut Kanser Negara</v>
          </cell>
          <cell r="D719" t="str">
            <v>KKM/IKN/H/13/2526</v>
          </cell>
          <cell r="E719" t="str">
            <v>13-217</v>
          </cell>
          <cell r="F719" t="str">
            <v>Infusion Pumps, Syringe</v>
          </cell>
          <cell r="G719" t="str">
            <v>WG</v>
          </cell>
          <cell r="H719" t="str">
            <v>RT/ONCO WARD 1 (M)</v>
          </cell>
          <cell r="I719" t="str">
            <v>08WG113</v>
          </cell>
          <cell r="J719" t="str">
            <v>EQUIPMENT ROOM</v>
          </cell>
          <cell r="K719" t="str">
            <v>BMED</v>
          </cell>
          <cell r="L719" t="str">
            <v>Critical</v>
          </cell>
          <cell r="M719" t="str">
            <v>Germany</v>
          </cell>
          <cell r="N719" t="str">
            <v>Perfusor</v>
          </cell>
          <cell r="O719" t="str">
            <v>Perfusor Space</v>
          </cell>
          <cell r="P719" t="str">
            <v>186996</v>
          </cell>
          <cell r="Q719" t="str">
            <v>Not Applicable</v>
          </cell>
          <cell r="R719" t="str">
            <v>B Braun Melsungen AG</v>
          </cell>
          <cell r="S719" t="str">
            <v>B Braun Medical Supplies Sdn. Bhd.</v>
          </cell>
          <cell r="T719" t="str">
            <v>Functioning</v>
          </cell>
          <cell r="U719" t="str">
            <v>Asset</v>
          </cell>
          <cell r="V719">
            <v>10225</v>
          </cell>
          <cell r="W719" t="str">
            <v>KEW</v>
          </cell>
          <cell r="X719" t="str">
            <v>01/09/2010</v>
          </cell>
          <cell r="Y719" t="str">
            <v>KEW</v>
          </cell>
          <cell r="Z719" t="str">
            <v>16/08/2013</v>
          </cell>
          <cell r="AA719" t="str">
            <v>15/08/2015</v>
          </cell>
          <cell r="AB719" t="str">
            <v>No</v>
          </cell>
          <cell r="AC719" t="str">
            <v>31/08/2013</v>
          </cell>
          <cell r="AD719" t="str">
            <v>Good</v>
          </cell>
          <cell r="AE719" t="str">
            <v>V1 - Existing / No Claim</v>
          </cell>
          <cell r="AF719">
            <v>42789</v>
          </cell>
          <cell r="AG719">
            <v>9.17</v>
          </cell>
          <cell r="AH719" t="str">
            <v>PPM</v>
          </cell>
          <cell r="AI719" t="str">
            <v>Strands</v>
          </cell>
          <cell r="AJ719" t="str">
            <v>Strands PW</v>
          </cell>
        </row>
        <row r="720">
          <cell r="A720" t="str">
            <v>IKN400246</v>
          </cell>
          <cell r="B720">
            <v>246</v>
          </cell>
          <cell r="C720" t="str">
            <v>Institut Kanser Negara</v>
          </cell>
          <cell r="D720" t="str">
            <v>KKM/IKN/H/13/2495</v>
          </cell>
          <cell r="E720" t="str">
            <v>13-215</v>
          </cell>
          <cell r="F720" t="str">
            <v>Infusion Pumps, General-Purpose</v>
          </cell>
          <cell r="G720" t="str">
            <v>WG</v>
          </cell>
          <cell r="H720" t="str">
            <v>RT/ONCO WARD 1 (M)</v>
          </cell>
          <cell r="I720" t="str">
            <v>08WG113</v>
          </cell>
          <cell r="J720" t="str">
            <v>EQUIPMENT ROOM</v>
          </cell>
          <cell r="K720" t="str">
            <v>BMED</v>
          </cell>
          <cell r="L720" t="str">
            <v>Critical</v>
          </cell>
          <cell r="M720" t="str">
            <v>Germany</v>
          </cell>
          <cell r="N720" t="str">
            <v>Infusomat</v>
          </cell>
          <cell r="O720" t="str">
            <v>Infusomat Space</v>
          </cell>
          <cell r="P720" t="str">
            <v>212041</v>
          </cell>
          <cell r="Q720" t="str">
            <v>Not Applicable</v>
          </cell>
          <cell r="R720" t="str">
            <v>B Braun Melsungen AG</v>
          </cell>
          <cell r="S720" t="str">
            <v>B Braun Medical Supplies Sdn. Bhd.</v>
          </cell>
          <cell r="T720" t="str">
            <v>Functioning</v>
          </cell>
          <cell r="U720" t="str">
            <v>Asset</v>
          </cell>
          <cell r="V720">
            <v>10825</v>
          </cell>
          <cell r="W720" t="str">
            <v>KEW</v>
          </cell>
          <cell r="X720" t="str">
            <v>01/09/2010</v>
          </cell>
          <cell r="Y720" t="str">
            <v>KEW</v>
          </cell>
          <cell r="Z720" t="str">
            <v>16/08/2013</v>
          </cell>
          <cell r="AA720" t="str">
            <v>15/08/2015</v>
          </cell>
          <cell r="AB720" t="str">
            <v>No</v>
          </cell>
          <cell r="AC720" t="str">
            <v>31/08/2013</v>
          </cell>
          <cell r="AD720" t="str">
            <v>Good</v>
          </cell>
          <cell r="AE720" t="str">
            <v>V1 - Existing / No Claim</v>
          </cell>
          <cell r="AF720">
            <v>42789</v>
          </cell>
          <cell r="AG720">
            <v>9.17</v>
          </cell>
          <cell r="AH720" t="str">
            <v>PPM</v>
          </cell>
          <cell r="AI720" t="str">
            <v>Strands</v>
          </cell>
          <cell r="AJ720" t="str">
            <v>Strands PW</v>
          </cell>
        </row>
        <row r="721">
          <cell r="A721" t="str">
            <v>IKN400247</v>
          </cell>
          <cell r="B721">
            <v>247</v>
          </cell>
          <cell r="C721" t="str">
            <v>Institut Kanser Negara</v>
          </cell>
          <cell r="D721" t="str">
            <v>KKM/IKN/H/13/2499</v>
          </cell>
          <cell r="E721" t="str">
            <v>13-215</v>
          </cell>
          <cell r="F721" t="str">
            <v>Infusion Pumps, General-Purpose</v>
          </cell>
          <cell r="G721" t="str">
            <v>WG</v>
          </cell>
          <cell r="H721" t="str">
            <v>RT/ONCO WARD 1 (M)</v>
          </cell>
          <cell r="I721" t="str">
            <v>08WG113</v>
          </cell>
          <cell r="J721" t="str">
            <v>EQUIPMENT ROOM</v>
          </cell>
          <cell r="K721" t="str">
            <v>BMED</v>
          </cell>
          <cell r="L721" t="str">
            <v>Critical</v>
          </cell>
          <cell r="M721" t="str">
            <v>Germany</v>
          </cell>
          <cell r="N721" t="str">
            <v>Infusomat</v>
          </cell>
          <cell r="O721" t="str">
            <v>Infusomat Space</v>
          </cell>
          <cell r="P721" t="str">
            <v>212089</v>
          </cell>
          <cell r="Q721" t="str">
            <v>Not Applicable</v>
          </cell>
          <cell r="R721" t="str">
            <v>B Braun Melsungen AG</v>
          </cell>
          <cell r="S721" t="str">
            <v>B Braun Medical Supplies Sdn. Bhd.</v>
          </cell>
          <cell r="T721" t="str">
            <v>Functioning</v>
          </cell>
          <cell r="U721" t="str">
            <v>Asset</v>
          </cell>
          <cell r="V721">
            <v>10825</v>
          </cell>
          <cell r="W721" t="str">
            <v>KEW</v>
          </cell>
          <cell r="X721" t="str">
            <v>01/09/2010</v>
          </cell>
          <cell r="Y721" t="str">
            <v>KEW</v>
          </cell>
          <cell r="Z721" t="str">
            <v>16/08/2013</v>
          </cell>
          <cell r="AA721" t="str">
            <v>15/08/2015</v>
          </cell>
          <cell r="AB721" t="str">
            <v>No</v>
          </cell>
          <cell r="AC721" t="str">
            <v>31/08/2013</v>
          </cell>
          <cell r="AD721" t="str">
            <v>Good</v>
          </cell>
          <cell r="AE721" t="str">
            <v>V1 - Existing / No Claim</v>
          </cell>
          <cell r="AF721">
            <v>42789</v>
          </cell>
          <cell r="AG721">
            <v>9.17</v>
          </cell>
          <cell r="AH721" t="str">
            <v>PPM</v>
          </cell>
          <cell r="AI721" t="str">
            <v>Strands</v>
          </cell>
          <cell r="AJ721" t="str">
            <v>Strands PW</v>
          </cell>
        </row>
        <row r="722">
          <cell r="A722" t="str">
            <v>IKN400248</v>
          </cell>
          <cell r="B722">
            <v>248</v>
          </cell>
          <cell r="C722" t="str">
            <v>Institut Kanser Negara</v>
          </cell>
          <cell r="D722" t="str">
            <v>KKM/IKN/H/13/2502</v>
          </cell>
          <cell r="E722" t="str">
            <v>13-215</v>
          </cell>
          <cell r="F722" t="str">
            <v>Infusion Pumps, General-Purpose</v>
          </cell>
          <cell r="G722" t="str">
            <v>WG</v>
          </cell>
          <cell r="H722" t="str">
            <v>RT/ONCO WARD 1 (M)</v>
          </cell>
          <cell r="I722" t="str">
            <v>08WG113</v>
          </cell>
          <cell r="J722" t="str">
            <v>EQUIPMENT ROOM</v>
          </cell>
          <cell r="K722" t="str">
            <v>BMED</v>
          </cell>
          <cell r="L722" t="str">
            <v>Critical</v>
          </cell>
          <cell r="M722" t="str">
            <v>Germany</v>
          </cell>
          <cell r="N722" t="str">
            <v>Infusomat</v>
          </cell>
          <cell r="O722" t="str">
            <v>Infusomat Space</v>
          </cell>
          <cell r="P722" t="str">
            <v>212101</v>
          </cell>
          <cell r="Q722" t="str">
            <v>Not Applicable</v>
          </cell>
          <cell r="R722" t="str">
            <v>B Braun Melsungen AG</v>
          </cell>
          <cell r="S722" t="str">
            <v>B Braun Medical Supplies Sdn. Bhd.</v>
          </cell>
          <cell r="T722" t="str">
            <v>Functioning</v>
          </cell>
          <cell r="U722" t="str">
            <v>Asset</v>
          </cell>
          <cell r="V722">
            <v>10825</v>
          </cell>
          <cell r="W722" t="str">
            <v>KEW</v>
          </cell>
          <cell r="X722" t="str">
            <v>01/09/2010</v>
          </cell>
          <cell r="Y722" t="str">
            <v>KEW</v>
          </cell>
          <cell r="Z722" t="str">
            <v>16/08/2013</v>
          </cell>
          <cell r="AA722" t="str">
            <v>15/08/2015</v>
          </cell>
          <cell r="AB722" t="str">
            <v>No</v>
          </cell>
          <cell r="AC722" t="str">
            <v>31/08/2013</v>
          </cell>
          <cell r="AD722" t="str">
            <v>Good</v>
          </cell>
          <cell r="AE722" t="str">
            <v>V1 - Existing / No Claim</v>
          </cell>
          <cell r="AF722">
            <v>42789</v>
          </cell>
          <cell r="AG722">
            <v>9.17</v>
          </cell>
          <cell r="AH722" t="str">
            <v>PPM</v>
          </cell>
          <cell r="AI722" t="str">
            <v>Strands</v>
          </cell>
          <cell r="AJ722" t="str">
            <v>Strands PW</v>
          </cell>
        </row>
        <row r="723">
          <cell r="A723" t="str">
            <v>IKN400249</v>
          </cell>
          <cell r="B723">
            <v>249</v>
          </cell>
          <cell r="C723" t="str">
            <v>Institut Kanser Negara</v>
          </cell>
          <cell r="D723" t="str">
            <v>KKM/IKN/H/13/2506</v>
          </cell>
          <cell r="E723" t="str">
            <v>13-215</v>
          </cell>
          <cell r="F723" t="str">
            <v>Infusion Pumps, General-Purpose</v>
          </cell>
          <cell r="G723" t="str">
            <v>WG</v>
          </cell>
          <cell r="H723" t="str">
            <v>RT/ONCO WARD 1 (M)</v>
          </cell>
          <cell r="I723" t="str">
            <v>08WG113</v>
          </cell>
          <cell r="J723" t="str">
            <v>EQUIPMENT ROOM</v>
          </cell>
          <cell r="K723" t="str">
            <v>BMED</v>
          </cell>
          <cell r="L723" t="str">
            <v>Critical</v>
          </cell>
          <cell r="M723" t="str">
            <v>Germany</v>
          </cell>
          <cell r="N723" t="str">
            <v>Infusomat</v>
          </cell>
          <cell r="O723" t="str">
            <v>Infusomat Space</v>
          </cell>
          <cell r="P723">
            <v>211943</v>
          </cell>
          <cell r="Q723" t="str">
            <v>Not Applicable</v>
          </cell>
          <cell r="R723" t="str">
            <v>B Braun Melsungen AG</v>
          </cell>
          <cell r="S723" t="str">
            <v>B Braun Medical Supplies Sdn. Bhd.</v>
          </cell>
          <cell r="T723" t="str">
            <v>Functioning</v>
          </cell>
          <cell r="U723" t="str">
            <v>Asset</v>
          </cell>
          <cell r="V723">
            <v>10825</v>
          </cell>
          <cell r="W723" t="str">
            <v>KEW</v>
          </cell>
          <cell r="X723" t="str">
            <v>01/09/2010</v>
          </cell>
          <cell r="Y723" t="str">
            <v>KEW</v>
          </cell>
          <cell r="Z723" t="str">
            <v>16/08/2013</v>
          </cell>
          <cell r="AA723" t="str">
            <v>15/08/2015</v>
          </cell>
          <cell r="AB723" t="str">
            <v>No</v>
          </cell>
          <cell r="AC723" t="str">
            <v>31/08/2013</v>
          </cell>
          <cell r="AD723" t="str">
            <v>Good</v>
          </cell>
          <cell r="AE723" t="str">
            <v>V1 - Existing / No Claim</v>
          </cell>
          <cell r="AF723">
            <v>42789</v>
          </cell>
          <cell r="AG723">
            <v>9.17</v>
          </cell>
          <cell r="AH723" t="str">
            <v>PPM</v>
          </cell>
          <cell r="AI723" t="str">
            <v>Strands</v>
          </cell>
          <cell r="AJ723" t="str">
            <v>Strands PW</v>
          </cell>
        </row>
        <row r="724">
          <cell r="A724" t="str">
            <v>IKN400250</v>
          </cell>
          <cell r="B724">
            <v>250</v>
          </cell>
          <cell r="C724" t="str">
            <v>Institut Kanser Negara</v>
          </cell>
          <cell r="D724" t="str">
            <v>KKM/IKN/H/13/2508</v>
          </cell>
          <cell r="E724" t="str">
            <v>13-215</v>
          </cell>
          <cell r="F724" t="str">
            <v>Infusion Pumps, General-Purpose</v>
          </cell>
          <cell r="G724" t="str">
            <v>WG</v>
          </cell>
          <cell r="H724" t="str">
            <v>RT/ONCO WARD 1 (M)</v>
          </cell>
          <cell r="I724" t="str">
            <v>08WG113</v>
          </cell>
          <cell r="J724" t="str">
            <v>EQUIPMENT ROOM</v>
          </cell>
          <cell r="K724" t="str">
            <v>BMED</v>
          </cell>
          <cell r="L724" t="str">
            <v>Critical</v>
          </cell>
          <cell r="M724" t="str">
            <v>Germany</v>
          </cell>
          <cell r="N724" t="str">
            <v>Infusomat</v>
          </cell>
          <cell r="O724" t="str">
            <v>Infusomat Space</v>
          </cell>
          <cell r="P724" t="str">
            <v>211900</v>
          </cell>
          <cell r="Q724" t="str">
            <v>Not Applicable</v>
          </cell>
          <cell r="R724" t="str">
            <v>B Braun Melsungen AG</v>
          </cell>
          <cell r="S724" t="str">
            <v>B Braun Medical Supplies Sdn. Bhd.</v>
          </cell>
          <cell r="T724" t="str">
            <v>Functioning</v>
          </cell>
          <cell r="U724" t="str">
            <v>Asset</v>
          </cell>
          <cell r="V724">
            <v>10825</v>
          </cell>
          <cell r="W724" t="str">
            <v>KEW</v>
          </cell>
          <cell r="X724" t="str">
            <v>01/09/2010</v>
          </cell>
          <cell r="Y724" t="str">
            <v>KEW</v>
          </cell>
          <cell r="Z724" t="str">
            <v>16/08/2013</v>
          </cell>
          <cell r="AA724" t="str">
            <v>15/08/2015</v>
          </cell>
          <cell r="AB724" t="str">
            <v>No</v>
          </cell>
          <cell r="AC724" t="str">
            <v>31/08/2013</v>
          </cell>
          <cell r="AD724" t="str">
            <v>Good</v>
          </cell>
          <cell r="AE724" t="str">
            <v>V1 - Existing / No Claim</v>
          </cell>
          <cell r="AF724">
            <v>42789</v>
          </cell>
          <cell r="AG724">
            <v>9.17</v>
          </cell>
          <cell r="AH724" t="str">
            <v>PPM</v>
          </cell>
          <cell r="AI724" t="str">
            <v>Strands</v>
          </cell>
          <cell r="AJ724" t="str">
            <v>Strands PW</v>
          </cell>
        </row>
        <row r="725">
          <cell r="A725" t="str">
            <v>IKN400251</v>
          </cell>
          <cell r="B725">
            <v>251</v>
          </cell>
          <cell r="C725" t="str">
            <v>Institut Kanser Negara</v>
          </cell>
          <cell r="D725" t="str">
            <v>KKM/IKN/H/13/2510</v>
          </cell>
          <cell r="E725" t="str">
            <v>13-215</v>
          </cell>
          <cell r="F725" t="str">
            <v>Infusion Pumps, General-Purpose</v>
          </cell>
          <cell r="G725" t="str">
            <v>WG</v>
          </cell>
          <cell r="H725" t="str">
            <v>RT/ONCO WARD 1 (M)</v>
          </cell>
          <cell r="I725" t="str">
            <v>08WG113</v>
          </cell>
          <cell r="J725" t="str">
            <v>EQUIPMENT ROOM</v>
          </cell>
          <cell r="K725" t="str">
            <v>BMED</v>
          </cell>
          <cell r="L725" t="str">
            <v>Critical</v>
          </cell>
          <cell r="M725" t="str">
            <v>Germany</v>
          </cell>
          <cell r="N725" t="str">
            <v>Infusomat</v>
          </cell>
          <cell r="O725" t="str">
            <v>Infusomat Space</v>
          </cell>
          <cell r="P725" t="str">
            <v>211912</v>
          </cell>
          <cell r="Q725" t="str">
            <v>Not Applicable</v>
          </cell>
          <cell r="R725" t="str">
            <v>B Braun Melsungen AG</v>
          </cell>
          <cell r="S725" t="str">
            <v>B Braun Medical Supplies Sdn. Bhd.</v>
          </cell>
          <cell r="T725" t="str">
            <v>Functioning</v>
          </cell>
          <cell r="U725" t="str">
            <v>Asset</v>
          </cell>
          <cell r="V725">
            <v>10825</v>
          </cell>
          <cell r="W725" t="str">
            <v>KEW</v>
          </cell>
          <cell r="X725" t="str">
            <v>01/09/2010</v>
          </cell>
          <cell r="Y725" t="str">
            <v>KEW</v>
          </cell>
          <cell r="Z725" t="str">
            <v>16/08/2013</v>
          </cell>
          <cell r="AA725" t="str">
            <v>15/08/2015</v>
          </cell>
          <cell r="AB725" t="str">
            <v>No</v>
          </cell>
          <cell r="AC725" t="str">
            <v>31/08/2013</v>
          </cell>
          <cell r="AD725" t="str">
            <v>Good</v>
          </cell>
          <cell r="AE725" t="str">
            <v>V1 - Existing / No Claim</v>
          </cell>
          <cell r="AF725">
            <v>42789</v>
          </cell>
          <cell r="AG725">
            <v>9.17</v>
          </cell>
          <cell r="AH725" t="str">
            <v>PPM</v>
          </cell>
          <cell r="AI725" t="str">
            <v>Strands</v>
          </cell>
          <cell r="AJ725" t="str">
            <v>Strands PW</v>
          </cell>
        </row>
        <row r="726">
          <cell r="A726" t="str">
            <v>IKN400252</v>
          </cell>
          <cell r="B726">
            <v>252</v>
          </cell>
          <cell r="C726" t="str">
            <v>Institut Kanser Negara</v>
          </cell>
          <cell r="D726" t="str">
            <v>KKM/IKN/H/13/2513</v>
          </cell>
          <cell r="E726" t="str">
            <v>13-215</v>
          </cell>
          <cell r="F726" t="str">
            <v>Infusion Pumps, General-Purpose</v>
          </cell>
          <cell r="G726" t="str">
            <v>WG</v>
          </cell>
          <cell r="H726" t="str">
            <v>RT/ONCO WARD 1 (M)</v>
          </cell>
          <cell r="I726" t="str">
            <v>08WG113</v>
          </cell>
          <cell r="J726" t="str">
            <v>EQUIPMENT ROOM</v>
          </cell>
          <cell r="K726" t="str">
            <v>BMED</v>
          </cell>
          <cell r="L726" t="str">
            <v>Normal</v>
          </cell>
          <cell r="M726" t="str">
            <v>Germany</v>
          </cell>
          <cell r="N726" t="str">
            <v>Infusomat</v>
          </cell>
          <cell r="O726" t="str">
            <v>Infusomat Space</v>
          </cell>
          <cell r="P726" t="str">
            <v>212083</v>
          </cell>
          <cell r="Q726" t="str">
            <v>Not Applicable</v>
          </cell>
          <cell r="R726" t="str">
            <v>B Braun Melsungen AG</v>
          </cell>
          <cell r="S726" t="str">
            <v>B Braun Medical Supplies Sdn. Bhd.</v>
          </cell>
          <cell r="T726" t="str">
            <v>Functioning</v>
          </cell>
          <cell r="U726" t="str">
            <v>Asset</v>
          </cell>
          <cell r="V726">
            <v>10825</v>
          </cell>
          <cell r="W726" t="str">
            <v>KEW</v>
          </cell>
          <cell r="X726" t="str">
            <v>01/09/2010</v>
          </cell>
          <cell r="Y726" t="str">
            <v>KEW</v>
          </cell>
          <cell r="Z726" t="str">
            <v>16/08/2013</v>
          </cell>
          <cell r="AA726" t="str">
            <v>15/08/2015</v>
          </cell>
          <cell r="AB726" t="str">
            <v>No</v>
          </cell>
          <cell r="AC726" t="str">
            <v>31/08/2013</v>
          </cell>
          <cell r="AD726" t="str">
            <v>Good</v>
          </cell>
          <cell r="AE726" t="str">
            <v>V1 - Existing / No Claim</v>
          </cell>
          <cell r="AF726">
            <v>42235</v>
          </cell>
          <cell r="AG726">
            <v>9.17</v>
          </cell>
          <cell r="AH726" t="str">
            <v>PPM</v>
          </cell>
          <cell r="AI726" t="str">
            <v>Strands</v>
          </cell>
          <cell r="AJ726" t="str">
            <v>Strands PW</v>
          </cell>
        </row>
        <row r="727">
          <cell r="A727" t="str">
            <v>IKN400253</v>
          </cell>
          <cell r="B727">
            <v>253</v>
          </cell>
          <cell r="C727" t="str">
            <v>Institut Kanser Negara</v>
          </cell>
          <cell r="D727" t="str">
            <v>KKM/IKN/H/13/2516</v>
          </cell>
          <cell r="E727" t="str">
            <v>13-215</v>
          </cell>
          <cell r="F727" t="str">
            <v>Infusion Pumps, General-Purpose</v>
          </cell>
          <cell r="G727" t="str">
            <v>WG</v>
          </cell>
          <cell r="H727" t="str">
            <v>RT/ONCO WARD 1 (M)</v>
          </cell>
          <cell r="I727" t="str">
            <v>08WG113</v>
          </cell>
          <cell r="J727" t="str">
            <v>EQUIPMENT ROOM</v>
          </cell>
          <cell r="K727" t="str">
            <v>BMED</v>
          </cell>
          <cell r="L727" t="str">
            <v>Critical</v>
          </cell>
          <cell r="M727" t="str">
            <v>Germany</v>
          </cell>
          <cell r="N727" t="str">
            <v>Infusomat</v>
          </cell>
          <cell r="O727" t="str">
            <v>Infusomat Space</v>
          </cell>
          <cell r="P727" t="str">
            <v>211897</v>
          </cell>
          <cell r="Q727" t="str">
            <v>Not Applicable</v>
          </cell>
          <cell r="R727" t="str">
            <v>B Braun Melsungen AG</v>
          </cell>
          <cell r="S727" t="str">
            <v>B Braun Medical Supplies Sdn. Bhd.</v>
          </cell>
          <cell r="T727" t="str">
            <v>Functioning</v>
          </cell>
          <cell r="U727" t="str">
            <v>Asset</v>
          </cell>
          <cell r="V727">
            <v>10825</v>
          </cell>
          <cell r="W727" t="str">
            <v>KEW</v>
          </cell>
          <cell r="X727" t="str">
            <v>01/09/2010</v>
          </cell>
          <cell r="Y727" t="str">
            <v>KEW</v>
          </cell>
          <cell r="Z727" t="str">
            <v>16/08/2013</v>
          </cell>
          <cell r="AA727" t="str">
            <v>15/08/2015</v>
          </cell>
          <cell r="AB727" t="str">
            <v>No</v>
          </cell>
          <cell r="AC727" t="str">
            <v>31/08/2013</v>
          </cell>
          <cell r="AD727" t="str">
            <v>Good</v>
          </cell>
          <cell r="AE727" t="str">
            <v>V1 - Existing / No Claim</v>
          </cell>
          <cell r="AF727">
            <v>42789</v>
          </cell>
          <cell r="AG727">
            <v>9.17</v>
          </cell>
          <cell r="AH727" t="str">
            <v>PPM</v>
          </cell>
          <cell r="AI727" t="str">
            <v>Strands</v>
          </cell>
          <cell r="AJ727" t="str">
            <v>Strands PW</v>
          </cell>
        </row>
        <row r="728">
          <cell r="A728" t="str">
            <v>IKN400254</v>
          </cell>
          <cell r="B728">
            <v>254</v>
          </cell>
          <cell r="C728" t="str">
            <v>Institut Kanser Negara</v>
          </cell>
          <cell r="D728" t="str">
            <v>KKM/IKN/H/13/2520</v>
          </cell>
          <cell r="E728" t="str">
            <v>13-215</v>
          </cell>
          <cell r="F728" t="str">
            <v>Infusion Pumps, General-Purpose</v>
          </cell>
          <cell r="G728" t="str">
            <v>WG</v>
          </cell>
          <cell r="H728" t="str">
            <v>RT/ONCO WARD 1 (M)</v>
          </cell>
          <cell r="I728" t="str">
            <v>08WG113</v>
          </cell>
          <cell r="J728" t="str">
            <v>EQUIPMENT ROOM</v>
          </cell>
          <cell r="K728" t="str">
            <v>BMED</v>
          </cell>
          <cell r="L728" t="str">
            <v>Critical</v>
          </cell>
          <cell r="M728" t="str">
            <v>Germany</v>
          </cell>
          <cell r="N728" t="str">
            <v>Infusomat</v>
          </cell>
          <cell r="O728" t="str">
            <v>Infusomat Space</v>
          </cell>
          <cell r="P728" t="str">
            <v>211834</v>
          </cell>
          <cell r="Q728" t="str">
            <v>Not Applicable</v>
          </cell>
          <cell r="R728" t="str">
            <v>B Braun Melsungen AG</v>
          </cell>
          <cell r="S728" t="str">
            <v>B Braun Medical Supplies Sdn. Bhd.</v>
          </cell>
          <cell r="T728" t="str">
            <v>Functioning</v>
          </cell>
          <cell r="U728" t="str">
            <v>Asset</v>
          </cell>
          <cell r="V728">
            <v>10825</v>
          </cell>
          <cell r="W728" t="str">
            <v>KEW</v>
          </cell>
          <cell r="X728" t="str">
            <v>01/09/2010</v>
          </cell>
          <cell r="Y728" t="str">
            <v>KEW</v>
          </cell>
          <cell r="Z728" t="str">
            <v>16/08/2013</v>
          </cell>
          <cell r="AA728" t="str">
            <v>15/08/2015</v>
          </cell>
          <cell r="AB728" t="str">
            <v>No</v>
          </cell>
          <cell r="AC728" t="str">
            <v>31/08/2013</v>
          </cell>
          <cell r="AD728" t="str">
            <v>Good</v>
          </cell>
          <cell r="AE728" t="str">
            <v>V1 - Existing / No Claim</v>
          </cell>
          <cell r="AF728">
            <v>42789</v>
          </cell>
          <cell r="AG728">
            <v>9.17</v>
          </cell>
          <cell r="AH728" t="str">
            <v>PPM</v>
          </cell>
          <cell r="AI728" t="str">
            <v>Strands</v>
          </cell>
          <cell r="AJ728" t="str">
            <v>Strands PW</v>
          </cell>
        </row>
        <row r="729">
          <cell r="A729" t="str">
            <v>IKN400255</v>
          </cell>
          <cell r="B729">
            <v>255</v>
          </cell>
          <cell r="C729" t="str">
            <v>Institut Kanser Negara</v>
          </cell>
          <cell r="D729" t="str">
            <v>KKM/IKN/H/13/2522</v>
          </cell>
          <cell r="E729" t="str">
            <v>13-215</v>
          </cell>
          <cell r="F729" t="str">
            <v>Infusion Pumps, General-Purpose</v>
          </cell>
          <cell r="G729" t="str">
            <v>WG</v>
          </cell>
          <cell r="H729" t="str">
            <v>RT/ONCO WARD 1 (M)</v>
          </cell>
          <cell r="I729" t="str">
            <v>08WG113</v>
          </cell>
          <cell r="J729" t="str">
            <v>EQUIPMENT ROOM</v>
          </cell>
          <cell r="K729" t="str">
            <v>BMED</v>
          </cell>
          <cell r="L729" t="str">
            <v>Critical</v>
          </cell>
          <cell r="M729" t="str">
            <v>Germany</v>
          </cell>
          <cell r="N729" t="str">
            <v>Infusomat</v>
          </cell>
          <cell r="O729" t="str">
            <v>Infusomat Space</v>
          </cell>
          <cell r="P729" t="str">
            <v>211549</v>
          </cell>
          <cell r="Q729" t="str">
            <v>Not Applicable</v>
          </cell>
          <cell r="R729" t="str">
            <v>B Braun Melsungen AG</v>
          </cell>
          <cell r="S729" t="str">
            <v>B Braun Medical Supplies Sdn. Bhd.</v>
          </cell>
          <cell r="T729" t="str">
            <v>Functioning</v>
          </cell>
          <cell r="U729" t="str">
            <v>Asset</v>
          </cell>
          <cell r="V729">
            <v>10825</v>
          </cell>
          <cell r="W729" t="str">
            <v>KEW</v>
          </cell>
          <cell r="X729" t="str">
            <v>01/09/2010</v>
          </cell>
          <cell r="Y729" t="str">
            <v>KEW</v>
          </cell>
          <cell r="Z729" t="str">
            <v>16/08/2013</v>
          </cell>
          <cell r="AA729" t="str">
            <v>15/08/2015</v>
          </cell>
          <cell r="AB729" t="str">
            <v>No</v>
          </cell>
          <cell r="AC729" t="str">
            <v>31/08/2013</v>
          </cell>
          <cell r="AD729" t="str">
            <v>Good</v>
          </cell>
          <cell r="AE729" t="str">
            <v>V1 - Existing / No Claim</v>
          </cell>
          <cell r="AF729">
            <v>42789</v>
          </cell>
          <cell r="AG729">
            <v>9.17</v>
          </cell>
          <cell r="AH729" t="str">
            <v>PPM</v>
          </cell>
          <cell r="AI729" t="str">
            <v>Strands</v>
          </cell>
          <cell r="AJ729" t="str">
            <v>Strands PW</v>
          </cell>
        </row>
        <row r="730">
          <cell r="A730" t="str">
            <v>IKN400256</v>
          </cell>
          <cell r="B730">
            <v>256</v>
          </cell>
          <cell r="C730" t="str">
            <v>Institut Kanser Negara</v>
          </cell>
          <cell r="D730" t="str">
            <v>KKM/IKN/H/13/2541</v>
          </cell>
          <cell r="E730" t="str">
            <v>18-147</v>
          </cell>
          <cell r="F730" t="str">
            <v>Mattress Systems, Alternating-Pressure</v>
          </cell>
          <cell r="G730" t="str">
            <v>WG</v>
          </cell>
          <cell r="H730" t="str">
            <v>RT/ONCO WARD 1 (M)</v>
          </cell>
          <cell r="I730" t="str">
            <v>08WG113</v>
          </cell>
          <cell r="J730" t="str">
            <v>EQUIPMENT ROOM</v>
          </cell>
          <cell r="K730" t="str">
            <v>BMED</v>
          </cell>
          <cell r="L730" t="str">
            <v>Normal</v>
          </cell>
          <cell r="M730" t="str">
            <v>Poland</v>
          </cell>
          <cell r="N730" t="str">
            <v>Nimbus</v>
          </cell>
          <cell r="O730" t="str">
            <v>Nimbus 3</v>
          </cell>
          <cell r="P730" t="str">
            <v>1200006475</v>
          </cell>
          <cell r="Q730" t="str">
            <v>Not Applicable</v>
          </cell>
          <cell r="R730" t="str">
            <v>Arjohuntleigh</v>
          </cell>
          <cell r="S730" t="str">
            <v>Hexamine Sdn. Bhd.</v>
          </cell>
          <cell r="T730" t="str">
            <v>Functioning</v>
          </cell>
          <cell r="U730" t="str">
            <v>Asset</v>
          </cell>
          <cell r="V730">
            <v>28630</v>
          </cell>
          <cell r="W730" t="str">
            <v>KEW</v>
          </cell>
          <cell r="X730" t="str">
            <v>01/09/2010</v>
          </cell>
          <cell r="Y730" t="str">
            <v>KEW</v>
          </cell>
          <cell r="Z730" t="str">
            <v>16/08/2013</v>
          </cell>
          <cell r="AA730" t="str">
            <v>15/08/2015</v>
          </cell>
          <cell r="AB730" t="str">
            <v>No</v>
          </cell>
          <cell r="AC730" t="str">
            <v>31/08/2013</v>
          </cell>
          <cell r="AD730" t="str">
            <v>Good</v>
          </cell>
          <cell r="AE730" t="str">
            <v>V1 - Existing / No Claim</v>
          </cell>
          <cell r="AF730">
            <v>42789</v>
          </cell>
          <cell r="AG730">
            <v>9.17</v>
          </cell>
          <cell r="AH730" t="str">
            <v>PPM</v>
          </cell>
          <cell r="AI730" t="str">
            <v>Strands</v>
          </cell>
          <cell r="AJ730" t="str">
            <v>Strands PW</v>
          </cell>
        </row>
        <row r="731">
          <cell r="A731" t="str">
            <v>IKN400257</v>
          </cell>
          <cell r="B731">
            <v>257</v>
          </cell>
          <cell r="C731" t="str">
            <v>Institut Kanser Negara</v>
          </cell>
          <cell r="D731" t="str">
            <v>KKM/IKN/H/13/2542</v>
          </cell>
          <cell r="E731" t="str">
            <v>18-147</v>
          </cell>
          <cell r="F731" t="str">
            <v>Mattress Systems, Alternating-Pressure</v>
          </cell>
          <cell r="G731" t="str">
            <v>WG</v>
          </cell>
          <cell r="H731" t="str">
            <v>RT/ONCO WARD 1 (M)</v>
          </cell>
          <cell r="I731" t="str">
            <v>08WG113</v>
          </cell>
          <cell r="J731" t="str">
            <v>EQUIPMENT ROOM</v>
          </cell>
          <cell r="K731" t="str">
            <v>BMED</v>
          </cell>
          <cell r="L731" t="str">
            <v>Normal</v>
          </cell>
          <cell r="M731" t="str">
            <v>Poland</v>
          </cell>
          <cell r="N731" t="str">
            <v>Nimbus</v>
          </cell>
          <cell r="O731" t="str">
            <v>Nimbus 3</v>
          </cell>
          <cell r="P731" t="str">
            <v>1200005109</v>
          </cell>
          <cell r="Q731" t="str">
            <v>Not Applicable</v>
          </cell>
          <cell r="R731" t="str">
            <v>Arjohuntleigh</v>
          </cell>
          <cell r="S731" t="str">
            <v>Hexamine Sdn. Bhd.</v>
          </cell>
          <cell r="T731" t="str">
            <v>Functioning</v>
          </cell>
          <cell r="U731" t="str">
            <v>Asset</v>
          </cell>
          <cell r="V731">
            <v>28630</v>
          </cell>
          <cell r="W731" t="str">
            <v>KEW</v>
          </cell>
          <cell r="X731" t="str">
            <v>01/09/2010</v>
          </cell>
          <cell r="Y731" t="str">
            <v>KEW</v>
          </cell>
          <cell r="Z731" t="str">
            <v>16/08/2013</v>
          </cell>
          <cell r="AA731" t="str">
            <v>15/08/2015</v>
          </cell>
          <cell r="AB731" t="str">
            <v>No</v>
          </cell>
          <cell r="AC731" t="str">
            <v>31/08/2013</v>
          </cell>
          <cell r="AD731" t="str">
            <v>Good</v>
          </cell>
          <cell r="AE731" t="str">
            <v>V1 - Existing / No Claim</v>
          </cell>
          <cell r="AF731">
            <v>42789</v>
          </cell>
          <cell r="AG731">
            <v>9.17</v>
          </cell>
          <cell r="AH731" t="str">
            <v>PPM</v>
          </cell>
          <cell r="AI731" t="str">
            <v>Strands</v>
          </cell>
          <cell r="AJ731" t="str">
            <v>Strands PW</v>
          </cell>
        </row>
        <row r="732">
          <cell r="A732" t="str">
            <v>IKN400258</v>
          </cell>
          <cell r="B732">
            <v>258</v>
          </cell>
          <cell r="C732" t="str">
            <v>Institut Kanser Negara</v>
          </cell>
          <cell r="D732" t="str">
            <v>KKM/IKN/H/13/2544</v>
          </cell>
          <cell r="E732" t="str">
            <v>18-147</v>
          </cell>
          <cell r="F732" t="str">
            <v>Mattress Systems, Alternating-Pressure</v>
          </cell>
          <cell r="G732" t="str">
            <v>WG</v>
          </cell>
          <cell r="H732" t="str">
            <v>RT/ONCO WARD 1 (M)</v>
          </cell>
          <cell r="I732" t="str">
            <v>08WG113</v>
          </cell>
          <cell r="J732" t="str">
            <v>EQUIPMENT ROOM</v>
          </cell>
          <cell r="K732" t="str">
            <v>BMED</v>
          </cell>
          <cell r="L732" t="str">
            <v>Normal</v>
          </cell>
          <cell r="M732" t="str">
            <v>Poland</v>
          </cell>
          <cell r="N732" t="str">
            <v>Nimbus</v>
          </cell>
          <cell r="O732" t="str">
            <v>Nimbus 3</v>
          </cell>
          <cell r="P732" t="str">
            <v>1200006455</v>
          </cell>
          <cell r="Q732" t="str">
            <v>Not Applicable</v>
          </cell>
          <cell r="R732" t="str">
            <v>Arjohuntleigh</v>
          </cell>
          <cell r="S732" t="str">
            <v>Hexamine Sdn. Bhd.</v>
          </cell>
          <cell r="T732" t="str">
            <v>Functioning</v>
          </cell>
          <cell r="U732" t="str">
            <v>Asset</v>
          </cell>
          <cell r="V732">
            <v>28630</v>
          </cell>
          <cell r="W732" t="str">
            <v>KEW</v>
          </cell>
          <cell r="X732" t="str">
            <v>01/09/2010</v>
          </cell>
          <cell r="Y732" t="str">
            <v>KEW</v>
          </cell>
          <cell r="Z732" t="str">
            <v>16/08/2013</v>
          </cell>
          <cell r="AA732" t="str">
            <v>15/08/2015</v>
          </cell>
          <cell r="AB732" t="str">
            <v>No</v>
          </cell>
          <cell r="AC732" t="str">
            <v>31/08/2013</v>
          </cell>
          <cell r="AD732" t="str">
            <v>Good</v>
          </cell>
          <cell r="AE732" t="str">
            <v>V1 - Existing / No Claim</v>
          </cell>
          <cell r="AF732">
            <v>42789</v>
          </cell>
          <cell r="AG732">
            <v>9.17</v>
          </cell>
          <cell r="AH732" t="str">
            <v>PPM</v>
          </cell>
          <cell r="AI732" t="str">
            <v>Strands</v>
          </cell>
          <cell r="AJ732" t="str">
            <v>Strands PW</v>
          </cell>
        </row>
        <row r="733">
          <cell r="A733" t="str">
            <v>IKN400259</v>
          </cell>
          <cell r="B733">
            <v>259</v>
          </cell>
          <cell r="C733" t="str">
            <v>Institut Kanser Negara</v>
          </cell>
          <cell r="D733" t="str">
            <v>KKM/IKN/H/13/2545</v>
          </cell>
          <cell r="E733" t="str">
            <v>18-147</v>
          </cell>
          <cell r="F733" t="str">
            <v>Mattress Systems, Alternating-Pressure</v>
          </cell>
          <cell r="G733" t="str">
            <v>WG</v>
          </cell>
          <cell r="H733" t="str">
            <v>RT/ONCO WARD 1 (M)</v>
          </cell>
          <cell r="I733" t="str">
            <v>08WG113</v>
          </cell>
          <cell r="J733" t="str">
            <v>EQUIPMENT ROOM</v>
          </cell>
          <cell r="K733" t="str">
            <v>BMED</v>
          </cell>
          <cell r="L733" t="str">
            <v>Normal</v>
          </cell>
          <cell r="M733" t="str">
            <v>Poland</v>
          </cell>
          <cell r="N733" t="str">
            <v>Nimbus</v>
          </cell>
          <cell r="O733" t="str">
            <v>Nimbus 3</v>
          </cell>
          <cell r="P733" t="str">
            <v>1200006468</v>
          </cell>
          <cell r="Q733" t="str">
            <v>Not Applicable</v>
          </cell>
          <cell r="R733" t="str">
            <v>Arjohuntleigh</v>
          </cell>
          <cell r="S733" t="str">
            <v>Hexamine Sdn. Bhd.</v>
          </cell>
          <cell r="T733" t="str">
            <v>Functioning</v>
          </cell>
          <cell r="U733" t="str">
            <v>Asset</v>
          </cell>
          <cell r="V733">
            <v>28630</v>
          </cell>
          <cell r="W733" t="str">
            <v>KEW</v>
          </cell>
          <cell r="X733" t="str">
            <v>01/09/2010</v>
          </cell>
          <cell r="Y733" t="str">
            <v>KEW</v>
          </cell>
          <cell r="Z733" t="str">
            <v>16/08/2013</v>
          </cell>
          <cell r="AA733" t="str">
            <v>15/08/2015</v>
          </cell>
          <cell r="AB733" t="str">
            <v>No</v>
          </cell>
          <cell r="AC733" t="str">
            <v>31/08/2013</v>
          </cell>
          <cell r="AD733" t="str">
            <v>Good</v>
          </cell>
          <cell r="AE733" t="str">
            <v>V1 - Existing / No Claim</v>
          </cell>
          <cell r="AF733">
            <v>42789</v>
          </cell>
          <cell r="AG733">
            <v>9.17</v>
          </cell>
          <cell r="AH733" t="str">
            <v>PPM</v>
          </cell>
          <cell r="AI733" t="str">
            <v>Strands</v>
          </cell>
          <cell r="AJ733" t="str">
            <v>Strands PW</v>
          </cell>
        </row>
        <row r="734">
          <cell r="A734" t="str">
            <v>IKN400260</v>
          </cell>
          <cell r="B734">
            <v>260</v>
          </cell>
          <cell r="C734" t="str">
            <v>Institut Kanser Negara</v>
          </cell>
          <cell r="D734" t="str">
            <v>KKM/IKN/H/13/2546</v>
          </cell>
          <cell r="E734" t="str">
            <v>18-147</v>
          </cell>
          <cell r="F734" t="str">
            <v>Mattress Systems, Alternating-Pressure</v>
          </cell>
          <cell r="G734" t="str">
            <v>WG</v>
          </cell>
          <cell r="H734" t="str">
            <v>RT/ONCO WARD 1 (M)</v>
          </cell>
          <cell r="I734" t="str">
            <v>08WG113</v>
          </cell>
          <cell r="J734" t="str">
            <v>EQUIPMENT ROOM</v>
          </cell>
          <cell r="K734" t="str">
            <v>BMED</v>
          </cell>
          <cell r="L734" t="str">
            <v>Normal</v>
          </cell>
          <cell r="M734" t="str">
            <v>Poland</v>
          </cell>
          <cell r="N734" t="str">
            <v>Nimbus</v>
          </cell>
          <cell r="O734" t="str">
            <v>Nimbus 3</v>
          </cell>
          <cell r="P734" t="str">
            <v>1200006476</v>
          </cell>
          <cell r="Q734" t="str">
            <v>Not Applicable</v>
          </cell>
          <cell r="R734" t="str">
            <v>Arjohuntleigh</v>
          </cell>
          <cell r="S734" t="str">
            <v>Hexamine Sdn. Bhd.</v>
          </cell>
          <cell r="T734" t="str">
            <v>Functioning</v>
          </cell>
          <cell r="U734" t="str">
            <v>Asset</v>
          </cell>
          <cell r="V734">
            <v>28630</v>
          </cell>
          <cell r="W734" t="str">
            <v>KEW</v>
          </cell>
          <cell r="X734" t="str">
            <v>01/09/2010</v>
          </cell>
          <cell r="Y734" t="str">
            <v>KEW</v>
          </cell>
          <cell r="Z734" t="str">
            <v>16/08/2013</v>
          </cell>
          <cell r="AA734" t="str">
            <v>15/08/2015</v>
          </cell>
          <cell r="AB734" t="str">
            <v>No</v>
          </cell>
          <cell r="AC734" t="str">
            <v>31/08/2013</v>
          </cell>
          <cell r="AD734" t="str">
            <v>Good</v>
          </cell>
          <cell r="AE734" t="str">
            <v>V1 - Existing / No Claim</v>
          </cell>
          <cell r="AF734">
            <v>42789</v>
          </cell>
          <cell r="AG734">
            <v>9.17</v>
          </cell>
          <cell r="AH734" t="str">
            <v>PPM</v>
          </cell>
          <cell r="AI734" t="str">
            <v>Strands</v>
          </cell>
          <cell r="AJ734" t="str">
            <v>Strands PW</v>
          </cell>
        </row>
        <row r="735">
          <cell r="A735" t="str">
            <v>IKN400261</v>
          </cell>
          <cell r="B735">
            <v>261</v>
          </cell>
          <cell r="C735" t="str">
            <v>Institut Kanser Negara</v>
          </cell>
          <cell r="D735" t="str">
            <v>KKM/IKN/H/13/2547</v>
          </cell>
          <cell r="E735" t="str">
            <v>18-147</v>
          </cell>
          <cell r="F735" t="str">
            <v>Mattress Systems, Alternating-Pressure</v>
          </cell>
          <cell r="G735" t="str">
            <v>WG</v>
          </cell>
          <cell r="H735" t="str">
            <v>RT/ONCO WARD 1 (M)</v>
          </cell>
          <cell r="I735" t="str">
            <v>08WG113</v>
          </cell>
          <cell r="J735" t="str">
            <v>EQUIPMENT ROOM</v>
          </cell>
          <cell r="K735" t="str">
            <v>BMED</v>
          </cell>
          <cell r="L735" t="str">
            <v>Normal</v>
          </cell>
          <cell r="M735" t="str">
            <v>Poland</v>
          </cell>
          <cell r="N735" t="str">
            <v>Nimbus</v>
          </cell>
          <cell r="O735" t="str">
            <v>Nimbus 3</v>
          </cell>
          <cell r="P735" t="str">
            <v>1200010689</v>
          </cell>
          <cell r="Q735" t="str">
            <v>Not Applicable</v>
          </cell>
          <cell r="R735" t="str">
            <v>Arjohuntleigh</v>
          </cell>
          <cell r="S735" t="str">
            <v>Hexamine Sdn. Bhd.</v>
          </cell>
          <cell r="T735" t="str">
            <v>Functioning</v>
          </cell>
          <cell r="U735" t="str">
            <v>Asset</v>
          </cell>
          <cell r="V735">
            <v>28630</v>
          </cell>
          <cell r="W735" t="str">
            <v>KEW</v>
          </cell>
          <cell r="X735" t="str">
            <v>01/09/2010</v>
          </cell>
          <cell r="Y735" t="str">
            <v>KEW</v>
          </cell>
          <cell r="Z735" t="str">
            <v>16/08/2013</v>
          </cell>
          <cell r="AA735" t="str">
            <v>15/08/2015</v>
          </cell>
          <cell r="AB735" t="str">
            <v>No</v>
          </cell>
          <cell r="AC735" t="str">
            <v>31/08/2013</v>
          </cell>
          <cell r="AD735" t="str">
            <v>Good</v>
          </cell>
          <cell r="AE735" t="str">
            <v>V1 - Existing / No Claim</v>
          </cell>
          <cell r="AF735">
            <v>42789</v>
          </cell>
          <cell r="AG735">
            <v>9.17</v>
          </cell>
          <cell r="AH735" t="str">
            <v>PPM</v>
          </cell>
          <cell r="AI735" t="str">
            <v>Strands</v>
          </cell>
          <cell r="AJ735" t="str">
            <v>Strands PW</v>
          </cell>
        </row>
        <row r="736">
          <cell r="A736" t="str">
            <v>IKN400262</v>
          </cell>
          <cell r="B736">
            <v>262</v>
          </cell>
          <cell r="C736" t="str">
            <v>Institut Kanser Negara</v>
          </cell>
          <cell r="D736" t="str">
            <v>KKM/IKN/H/13/2550</v>
          </cell>
          <cell r="E736" t="str">
            <v>17-148</v>
          </cell>
          <cell r="F736" t="str">
            <v>Oximeters, Pulse</v>
          </cell>
          <cell r="G736" t="str">
            <v>WG</v>
          </cell>
          <cell r="H736" t="str">
            <v>RT/ONCO WARD 1 (M)</v>
          </cell>
          <cell r="I736" t="str">
            <v>08WG113</v>
          </cell>
          <cell r="J736" t="str">
            <v>EQUIPMENT ROOM</v>
          </cell>
          <cell r="K736" t="str">
            <v>BMED</v>
          </cell>
          <cell r="L736" t="str">
            <v>Critical</v>
          </cell>
          <cell r="M736" t="str">
            <v>USA</v>
          </cell>
          <cell r="N736" t="str">
            <v>PlamSAT</v>
          </cell>
          <cell r="O736" t="str">
            <v>PalmSAT 2500</v>
          </cell>
          <cell r="P736" t="str">
            <v>501438136</v>
          </cell>
          <cell r="Q736" t="str">
            <v>Not Applicable</v>
          </cell>
          <cell r="R736" t="str">
            <v>Nonin Medical Inc</v>
          </cell>
          <cell r="S736" t="str">
            <v>Acucare Systems (M) Sdn bhd</v>
          </cell>
          <cell r="T736" t="str">
            <v>Functioning</v>
          </cell>
          <cell r="U736" t="str">
            <v>Asset</v>
          </cell>
          <cell r="V736">
            <v>5410</v>
          </cell>
          <cell r="W736" t="str">
            <v>KEW</v>
          </cell>
          <cell r="X736" t="str">
            <v>01/09/2010</v>
          </cell>
          <cell r="Y736" t="str">
            <v>KEW</v>
          </cell>
          <cell r="Z736" t="str">
            <v>16/08/2013</v>
          </cell>
          <cell r="AA736" t="str">
            <v>15/08/2015</v>
          </cell>
          <cell r="AB736" t="str">
            <v>No</v>
          </cell>
          <cell r="AC736" t="str">
            <v>31/08/2013</v>
          </cell>
          <cell r="AD736" t="str">
            <v>Good</v>
          </cell>
          <cell r="AE736" t="str">
            <v>V1 - Existing / No Claim</v>
          </cell>
          <cell r="AF736">
            <v>42789</v>
          </cell>
          <cell r="AG736">
            <v>9.17</v>
          </cell>
          <cell r="AH736" t="str">
            <v>PPM</v>
          </cell>
          <cell r="AI736" t="str">
            <v>Strands</v>
          </cell>
          <cell r="AJ736" t="str">
            <v>Strands PW</v>
          </cell>
        </row>
        <row r="737">
          <cell r="A737" t="str">
            <v>IKN400263</v>
          </cell>
          <cell r="B737">
            <v>263</v>
          </cell>
          <cell r="C737" t="str">
            <v>Institut Kanser Negara</v>
          </cell>
          <cell r="D737" t="str">
            <v>KKM/IKN/H/13/2551</v>
          </cell>
          <cell r="E737" t="str">
            <v>17-148</v>
          </cell>
          <cell r="F737" t="str">
            <v>Oximeters, Pulse</v>
          </cell>
          <cell r="G737" t="str">
            <v>WG</v>
          </cell>
          <cell r="H737" t="str">
            <v>RT/ONCO WARD 1 (M)</v>
          </cell>
          <cell r="I737" t="str">
            <v>08WG113</v>
          </cell>
          <cell r="J737" t="str">
            <v>EQUIPMENT ROOM</v>
          </cell>
          <cell r="K737" t="str">
            <v>BMED</v>
          </cell>
          <cell r="L737" t="str">
            <v>Critical</v>
          </cell>
          <cell r="M737" t="str">
            <v>USA</v>
          </cell>
          <cell r="N737" t="str">
            <v>PlamSAT</v>
          </cell>
          <cell r="O737" t="str">
            <v>PalmSAT 2500</v>
          </cell>
          <cell r="P737" t="str">
            <v>501438133</v>
          </cell>
          <cell r="Q737" t="str">
            <v>Not Applicable</v>
          </cell>
          <cell r="R737" t="str">
            <v>Nonin Medical Inc</v>
          </cell>
          <cell r="S737" t="str">
            <v>Acucare Systems (M) Sdn bhd</v>
          </cell>
          <cell r="T737" t="str">
            <v>Functioning</v>
          </cell>
          <cell r="U737" t="str">
            <v>Asset</v>
          </cell>
          <cell r="V737">
            <v>5410</v>
          </cell>
          <cell r="W737" t="str">
            <v>KEW</v>
          </cell>
          <cell r="X737" t="str">
            <v>01/09/2010</v>
          </cell>
          <cell r="Y737" t="str">
            <v>KEW</v>
          </cell>
          <cell r="Z737" t="str">
            <v>16/08/2013</v>
          </cell>
          <cell r="AA737" t="str">
            <v>15/08/2015</v>
          </cell>
          <cell r="AB737" t="str">
            <v>No</v>
          </cell>
          <cell r="AC737" t="str">
            <v>31/08/2013</v>
          </cell>
          <cell r="AD737" t="str">
            <v>Good</v>
          </cell>
          <cell r="AE737" t="str">
            <v>V1 - Existing / No Claim</v>
          </cell>
          <cell r="AF737">
            <v>42789</v>
          </cell>
          <cell r="AG737">
            <v>9.17</v>
          </cell>
          <cell r="AH737" t="str">
            <v>PPM</v>
          </cell>
          <cell r="AI737" t="str">
            <v>Strands</v>
          </cell>
          <cell r="AJ737" t="str">
            <v>Strands PW</v>
          </cell>
        </row>
        <row r="738">
          <cell r="A738" t="str">
            <v>IKN400264</v>
          </cell>
          <cell r="B738">
            <v>264</v>
          </cell>
          <cell r="C738" t="str">
            <v>Institut Kanser Negara</v>
          </cell>
          <cell r="D738" t="str">
            <v>KKM/IKN/H/13/2538</v>
          </cell>
          <cell r="E738" t="str">
            <v>12-647</v>
          </cell>
          <cell r="F738" t="str">
            <v>Physiologic Monitoring Systems, Acute Care</v>
          </cell>
          <cell r="G738" t="str">
            <v>WG</v>
          </cell>
          <cell r="H738" t="str">
            <v>RT/ONCO WARD 1 (M)</v>
          </cell>
          <cell r="I738" t="str">
            <v>08WG113</v>
          </cell>
          <cell r="J738" t="str">
            <v>EQUIPMENT ROOM</v>
          </cell>
          <cell r="K738" t="str">
            <v>BMED</v>
          </cell>
          <cell r="L738" t="str">
            <v>Critical</v>
          </cell>
          <cell r="M738" t="str">
            <v>USA</v>
          </cell>
          <cell r="N738" t="str">
            <v>GE</v>
          </cell>
          <cell r="O738" t="str">
            <v>GE B30</v>
          </cell>
          <cell r="P738" t="str">
            <v>SF312335926WA</v>
          </cell>
          <cell r="Q738" t="str">
            <v>Not Applicable</v>
          </cell>
          <cell r="R738" t="str">
            <v>GE Healthcare Systems</v>
          </cell>
          <cell r="S738" t="str">
            <v>GE Healthcare Technologies</v>
          </cell>
          <cell r="T738" t="str">
            <v>Functioning</v>
          </cell>
          <cell r="U738" t="str">
            <v>Asset</v>
          </cell>
          <cell r="V738">
            <v>44510</v>
          </cell>
          <cell r="W738" t="str">
            <v>KEW</v>
          </cell>
          <cell r="X738" t="str">
            <v>01/09/2010</v>
          </cell>
          <cell r="Y738" t="str">
            <v>KEW</v>
          </cell>
          <cell r="Z738" t="str">
            <v>16/08/2013</v>
          </cell>
          <cell r="AA738" t="str">
            <v>15/08/2015</v>
          </cell>
          <cell r="AB738" t="str">
            <v>No</v>
          </cell>
          <cell r="AC738" t="str">
            <v>31/08/2013</v>
          </cell>
          <cell r="AD738" t="str">
            <v>Good</v>
          </cell>
          <cell r="AE738" t="str">
            <v>V1 - Existing / No Claim</v>
          </cell>
          <cell r="AF738">
            <v>42789</v>
          </cell>
          <cell r="AG738">
            <v>9.17</v>
          </cell>
          <cell r="AH738" t="str">
            <v>PPM</v>
          </cell>
          <cell r="AI738" t="str">
            <v>Strands</v>
          </cell>
          <cell r="AJ738" t="str">
            <v>Strands PW</v>
          </cell>
        </row>
        <row r="739">
          <cell r="A739" t="str">
            <v>IKN400265</v>
          </cell>
          <cell r="B739">
            <v>265</v>
          </cell>
          <cell r="C739" t="str">
            <v>Institut Kanser Negara</v>
          </cell>
          <cell r="D739" t="str">
            <v>KKM/IKN/H/13/2539</v>
          </cell>
          <cell r="E739" t="str">
            <v>12-647</v>
          </cell>
          <cell r="F739" t="str">
            <v>Physiologic Monitoring Systems, Acute Care</v>
          </cell>
          <cell r="G739" t="str">
            <v>WG</v>
          </cell>
          <cell r="H739" t="str">
            <v>RT/ONCO WARD 1 (M)</v>
          </cell>
          <cell r="I739" t="str">
            <v>08WG113</v>
          </cell>
          <cell r="J739" t="str">
            <v>EQUIPMENT ROOM</v>
          </cell>
          <cell r="K739" t="str">
            <v>BMED</v>
          </cell>
          <cell r="L739" t="str">
            <v>Critical</v>
          </cell>
          <cell r="M739" t="str">
            <v>USA</v>
          </cell>
          <cell r="N739" t="str">
            <v>GE</v>
          </cell>
          <cell r="O739" t="str">
            <v>GE B30</v>
          </cell>
          <cell r="P739" t="str">
            <v>SF312325917WA</v>
          </cell>
          <cell r="Q739" t="str">
            <v>Not Applicable</v>
          </cell>
          <cell r="R739" t="str">
            <v>GE Healthcare Systems</v>
          </cell>
          <cell r="S739" t="str">
            <v>GE Healthcare Technologies</v>
          </cell>
          <cell r="T739" t="str">
            <v>Functioning</v>
          </cell>
          <cell r="U739" t="str">
            <v>Asset</v>
          </cell>
          <cell r="V739">
            <v>44510</v>
          </cell>
          <cell r="W739" t="str">
            <v>KEW</v>
          </cell>
          <cell r="X739" t="str">
            <v>01/09/2010</v>
          </cell>
          <cell r="Y739" t="str">
            <v>KEW</v>
          </cell>
          <cell r="Z739" t="str">
            <v>16/08/2013</v>
          </cell>
          <cell r="AA739" t="str">
            <v>15/08/2015</v>
          </cell>
          <cell r="AB739" t="str">
            <v>No</v>
          </cell>
          <cell r="AC739" t="str">
            <v>31/08/2013</v>
          </cell>
          <cell r="AD739" t="str">
            <v>Good</v>
          </cell>
          <cell r="AE739" t="str">
            <v>V1 - Existing / No Claim</v>
          </cell>
          <cell r="AF739">
            <v>42789</v>
          </cell>
          <cell r="AG739">
            <v>9.17</v>
          </cell>
          <cell r="AH739" t="str">
            <v>PPM</v>
          </cell>
          <cell r="AI739" t="str">
            <v>Strands</v>
          </cell>
          <cell r="AJ739" t="str">
            <v>Strands PW</v>
          </cell>
        </row>
        <row r="740">
          <cell r="A740" t="str">
            <v>IKN400266</v>
          </cell>
          <cell r="B740">
            <v>266</v>
          </cell>
          <cell r="C740" t="str">
            <v>Institut Kanser Negara</v>
          </cell>
          <cell r="D740" t="str">
            <v>KKM/IKN/H/13/3925</v>
          </cell>
          <cell r="E740" t="str">
            <v>11-134</v>
          </cell>
          <cell r="F740" t="str">
            <v>Defibrillators, External, Manual</v>
          </cell>
          <cell r="G740" t="str">
            <v>WG</v>
          </cell>
          <cell r="H740" t="str">
            <v>RT/ONCO WARD 1 (M)</v>
          </cell>
          <cell r="I740" t="str">
            <v>08WG133</v>
          </cell>
          <cell r="J740" t="str">
            <v>RESUS EQ. BAY</v>
          </cell>
          <cell r="K740" t="str">
            <v>BMED</v>
          </cell>
          <cell r="L740" t="str">
            <v>Critical</v>
          </cell>
          <cell r="M740" t="str">
            <v>USA</v>
          </cell>
          <cell r="N740" t="str">
            <v>Responder</v>
          </cell>
          <cell r="O740" t="str">
            <v>Responder 2000</v>
          </cell>
          <cell r="P740" t="str">
            <v>3206732</v>
          </cell>
          <cell r="Q740" t="str">
            <v>Not Applicable</v>
          </cell>
          <cell r="R740" t="str">
            <v>GE Medical Systems</v>
          </cell>
          <cell r="S740" t="str">
            <v>Antah Sir Radin Sdn. Bhd.</v>
          </cell>
          <cell r="T740" t="str">
            <v>Functioning</v>
          </cell>
          <cell r="U740" t="str">
            <v>Asset</v>
          </cell>
          <cell r="V740">
            <v>45000</v>
          </cell>
          <cell r="W740" t="str">
            <v>KEW</v>
          </cell>
          <cell r="X740" t="str">
            <v>01/09/2010</v>
          </cell>
          <cell r="Y740" t="str">
            <v>KEW</v>
          </cell>
          <cell r="Z740" t="str">
            <v>16/08/2013</v>
          </cell>
          <cell r="AA740" t="str">
            <v>15/08/2015</v>
          </cell>
          <cell r="AB740" t="str">
            <v>No</v>
          </cell>
          <cell r="AC740" t="str">
            <v>31/08/2013</v>
          </cell>
          <cell r="AD740" t="str">
            <v>Good</v>
          </cell>
          <cell r="AE740" t="str">
            <v>V3 - Added Installed Facilities (New)</v>
          </cell>
          <cell r="AF740">
            <v>42601</v>
          </cell>
          <cell r="AG740">
            <v>9.17</v>
          </cell>
          <cell r="AH740" t="str">
            <v>PPM</v>
          </cell>
          <cell r="AI740" t="str">
            <v>Strands</v>
          </cell>
          <cell r="AJ740" t="str">
            <v>Strands PW</v>
          </cell>
          <cell r="AK740" t="str">
            <v>SNF received. 1st batch of V3 asset (December 2020)</v>
          </cell>
        </row>
        <row r="741">
          <cell r="A741" t="str">
            <v>IKN400267</v>
          </cell>
          <cell r="B741">
            <v>267</v>
          </cell>
          <cell r="C741" t="str">
            <v>Institut Kanser Negara</v>
          </cell>
          <cell r="D741" t="str">
            <v>KKM/IKN/H/13/2530</v>
          </cell>
          <cell r="E741" t="str">
            <v>16-173</v>
          </cell>
          <cell r="F741" t="str">
            <v>Sphygmomanometers, Electronic, Automatic</v>
          </cell>
          <cell r="G741" t="str">
            <v>WG</v>
          </cell>
          <cell r="H741" t="str">
            <v>RT/ONCO WARD 1 (M)</v>
          </cell>
          <cell r="I741" t="str">
            <v>08WG143</v>
          </cell>
          <cell r="J741" t="str">
            <v>NURSE STATION</v>
          </cell>
          <cell r="K741" t="str">
            <v>BMED</v>
          </cell>
          <cell r="L741" t="str">
            <v>Normal</v>
          </cell>
          <cell r="M741" t="str">
            <v>USA</v>
          </cell>
          <cell r="N741" t="str">
            <v>Connex</v>
          </cell>
          <cell r="O741" t="str">
            <v>Connex ProBP 3400</v>
          </cell>
          <cell r="P741" t="str">
            <v>100001560613</v>
          </cell>
          <cell r="Q741" t="str">
            <v>Not Applicable</v>
          </cell>
          <cell r="R741" t="str">
            <v>Welch Allyn Inc</v>
          </cell>
          <cell r="S741" t="str">
            <v>Welch Allyn Malaysia Sdn Bhd</v>
          </cell>
          <cell r="T741" t="str">
            <v>Functioning</v>
          </cell>
          <cell r="U741" t="str">
            <v>Asset</v>
          </cell>
          <cell r="V741">
            <v>4510</v>
          </cell>
          <cell r="W741" t="str">
            <v>KEW</v>
          </cell>
          <cell r="X741" t="str">
            <v>01/09/2010</v>
          </cell>
          <cell r="Y741" t="str">
            <v>KEW</v>
          </cell>
          <cell r="Z741" t="str">
            <v>16/08/2013</v>
          </cell>
          <cell r="AA741" t="str">
            <v>15/08/2015</v>
          </cell>
          <cell r="AB741" t="str">
            <v>No</v>
          </cell>
          <cell r="AC741" t="str">
            <v>31/08/2013</v>
          </cell>
          <cell r="AD741" t="str">
            <v>Good</v>
          </cell>
          <cell r="AE741" t="str">
            <v>V1 - Existing / No Claim</v>
          </cell>
          <cell r="AF741">
            <v>42235</v>
          </cell>
          <cell r="AG741">
            <v>9.17</v>
          </cell>
          <cell r="AH741" t="str">
            <v>PPM</v>
          </cell>
          <cell r="AI741" t="str">
            <v>Strands</v>
          </cell>
          <cell r="AJ741" t="str">
            <v>Strands PW</v>
          </cell>
        </row>
        <row r="742">
          <cell r="A742" t="str">
            <v>IKN400268</v>
          </cell>
          <cell r="B742">
            <v>268</v>
          </cell>
          <cell r="C742" t="str">
            <v>Institut Kanser Negara</v>
          </cell>
          <cell r="D742" t="str">
            <v>KKM/IKN/H/13/2533</v>
          </cell>
          <cell r="E742" t="str">
            <v>16-173</v>
          </cell>
          <cell r="F742" t="str">
            <v>Sphygmomanometers, Electronic, Automatic</v>
          </cell>
          <cell r="G742" t="str">
            <v>WG</v>
          </cell>
          <cell r="H742" t="str">
            <v>RT/ONCO WARD 1 (M)</v>
          </cell>
          <cell r="I742" t="str">
            <v>08WG143</v>
          </cell>
          <cell r="J742" t="str">
            <v>NURSE STATION</v>
          </cell>
          <cell r="K742" t="str">
            <v>BMED</v>
          </cell>
          <cell r="L742" t="str">
            <v>Normal</v>
          </cell>
          <cell r="M742" t="str">
            <v>USA</v>
          </cell>
          <cell r="N742" t="str">
            <v>Connex</v>
          </cell>
          <cell r="O742" t="str">
            <v>Connex ProBP 3400</v>
          </cell>
          <cell r="P742" t="str">
            <v>100001690613</v>
          </cell>
          <cell r="Q742" t="str">
            <v>Not Applicable</v>
          </cell>
          <cell r="R742" t="str">
            <v>Welch Allyn Inc</v>
          </cell>
          <cell r="S742" t="str">
            <v>Welch Allyn Malaysia Sdn Bhd</v>
          </cell>
          <cell r="T742" t="str">
            <v>Functioning</v>
          </cell>
          <cell r="U742" t="str">
            <v>Asset</v>
          </cell>
          <cell r="V742">
            <v>4510</v>
          </cell>
          <cell r="W742" t="str">
            <v>KEW</v>
          </cell>
          <cell r="X742" t="str">
            <v>01/09/2010</v>
          </cell>
          <cell r="Y742" t="str">
            <v>KEW</v>
          </cell>
          <cell r="Z742" t="str">
            <v>16/08/2013</v>
          </cell>
          <cell r="AA742" t="str">
            <v>15/08/2015</v>
          </cell>
          <cell r="AB742" t="str">
            <v>No</v>
          </cell>
          <cell r="AC742" t="str">
            <v>31/08/2013</v>
          </cell>
          <cell r="AD742" t="str">
            <v>Good</v>
          </cell>
          <cell r="AE742" t="str">
            <v>V1 - Existing / No Claim</v>
          </cell>
          <cell r="AF742">
            <v>42235</v>
          </cell>
          <cell r="AG742">
            <v>9.17</v>
          </cell>
          <cell r="AH742" t="str">
            <v>PPM</v>
          </cell>
          <cell r="AI742" t="str">
            <v>Strands</v>
          </cell>
          <cell r="AJ742" t="str">
            <v>Strands PW</v>
          </cell>
        </row>
        <row r="743">
          <cell r="A743" t="str">
            <v>IKN400269</v>
          </cell>
          <cell r="B743">
            <v>269</v>
          </cell>
          <cell r="C743" t="str">
            <v>Institut Kanser Negara</v>
          </cell>
          <cell r="D743" t="str">
            <v>KKM/IKN/H/13/2556</v>
          </cell>
          <cell r="E743" t="str">
            <v>16-173</v>
          </cell>
          <cell r="F743" t="str">
            <v>Sphygmomanometers, Electronic, Automatic</v>
          </cell>
          <cell r="G743" t="str">
            <v>WG</v>
          </cell>
          <cell r="H743" t="str">
            <v>RT/ONCO WARD 1 (M)</v>
          </cell>
          <cell r="I743" t="str">
            <v>08WG113</v>
          </cell>
          <cell r="J743" t="str">
            <v>EQUIPMENT ROOM</v>
          </cell>
          <cell r="K743" t="str">
            <v>BMED</v>
          </cell>
          <cell r="L743" t="str">
            <v>Critical</v>
          </cell>
          <cell r="M743" t="str">
            <v>Mexico</v>
          </cell>
          <cell r="N743" t="str">
            <v>Carespace</v>
          </cell>
          <cell r="O743" t="str">
            <v>Carescape V100</v>
          </cell>
          <cell r="P743" t="str">
            <v>SH613290575SA</v>
          </cell>
          <cell r="Q743" t="str">
            <v>Not Applicable</v>
          </cell>
          <cell r="R743" t="str">
            <v>GE Healthcare Systems</v>
          </cell>
          <cell r="S743" t="str">
            <v>GE Healthcare Technologies</v>
          </cell>
          <cell r="T743" t="str">
            <v>Functioning</v>
          </cell>
          <cell r="U743" t="str">
            <v>Asset</v>
          </cell>
          <cell r="V743">
            <v>7770</v>
          </cell>
          <cell r="W743" t="str">
            <v>KEW</v>
          </cell>
          <cell r="X743" t="str">
            <v>01/09/2010</v>
          </cell>
          <cell r="Y743" t="str">
            <v>KEW</v>
          </cell>
          <cell r="Z743" t="str">
            <v>16/08/2013</v>
          </cell>
          <cell r="AA743" t="str">
            <v>15/08/2015</v>
          </cell>
          <cell r="AB743" t="str">
            <v>No</v>
          </cell>
          <cell r="AC743" t="str">
            <v>31/08/2013</v>
          </cell>
          <cell r="AD743" t="str">
            <v>Good</v>
          </cell>
          <cell r="AE743" t="str">
            <v>V1 - Existing / No Claim</v>
          </cell>
          <cell r="AF743">
            <v>42789</v>
          </cell>
          <cell r="AG743">
            <v>9.17</v>
          </cell>
          <cell r="AH743" t="str">
            <v>PPM</v>
          </cell>
          <cell r="AI743" t="str">
            <v>Strands</v>
          </cell>
          <cell r="AJ743" t="str">
            <v>Strands PW</v>
          </cell>
        </row>
        <row r="744">
          <cell r="A744" t="str">
            <v>IKN400270</v>
          </cell>
          <cell r="B744">
            <v>270</v>
          </cell>
          <cell r="C744" t="str">
            <v>Institut Kanser Negara</v>
          </cell>
          <cell r="D744" t="str">
            <v>KKM/IKN/H/13/2557</v>
          </cell>
          <cell r="E744" t="str">
            <v>10-208</v>
          </cell>
          <cell r="F744" t="str">
            <v>Aspirators</v>
          </cell>
          <cell r="G744" t="str">
            <v>WG</v>
          </cell>
          <cell r="H744" t="str">
            <v>RT/ONCO WARD 1 (M)</v>
          </cell>
          <cell r="I744" t="str">
            <v>08WG113</v>
          </cell>
          <cell r="J744" t="str">
            <v>EQUIPMENT ROOM</v>
          </cell>
          <cell r="K744" t="str">
            <v>BMED</v>
          </cell>
          <cell r="L744" t="str">
            <v>Critical</v>
          </cell>
          <cell r="M744" t="str">
            <v>UK</v>
          </cell>
          <cell r="N744" t="str">
            <v>SAM</v>
          </cell>
          <cell r="O744" t="str">
            <v>SAM 427</v>
          </cell>
          <cell r="P744" t="str">
            <v>08131705</v>
          </cell>
          <cell r="Q744" t="str">
            <v>Not Applicable</v>
          </cell>
          <cell r="R744" t="str">
            <v>MG Electric Ltd</v>
          </cell>
          <cell r="S744" t="str">
            <v>Delta Medisains</v>
          </cell>
          <cell r="T744" t="str">
            <v>Functioning</v>
          </cell>
          <cell r="U744" t="str">
            <v>Asset</v>
          </cell>
          <cell r="V744">
            <v>10705</v>
          </cell>
          <cell r="W744" t="str">
            <v>KEW</v>
          </cell>
          <cell r="X744" t="str">
            <v>01/09/2010</v>
          </cell>
          <cell r="Y744" t="str">
            <v>KEW</v>
          </cell>
          <cell r="Z744" t="str">
            <v>16/08/2013</v>
          </cell>
          <cell r="AA744" t="str">
            <v>15/08/2015</v>
          </cell>
          <cell r="AB744" t="str">
            <v>No</v>
          </cell>
          <cell r="AC744" t="str">
            <v>31/08/2013</v>
          </cell>
          <cell r="AD744" t="str">
            <v>Good</v>
          </cell>
          <cell r="AE744" t="str">
            <v>V1 - Existing / No Claim</v>
          </cell>
          <cell r="AF744">
            <v>42789</v>
          </cell>
          <cell r="AG744">
            <v>9.17</v>
          </cell>
          <cell r="AH744" t="str">
            <v>PPM</v>
          </cell>
          <cell r="AI744" t="str">
            <v>Strands</v>
          </cell>
          <cell r="AJ744" t="str">
            <v>Strands PW</v>
          </cell>
        </row>
        <row r="745">
          <cell r="A745" t="str">
            <v>IKN400271</v>
          </cell>
          <cell r="B745">
            <v>271</v>
          </cell>
          <cell r="C745" t="str">
            <v>Institut Kanser Negara</v>
          </cell>
          <cell r="D745" t="str">
            <v>KKM/IKN/H/13/2548</v>
          </cell>
          <cell r="E745" t="str">
            <v>15-045</v>
          </cell>
          <cell r="F745" t="str">
            <v>Nebulizers, Nonheated</v>
          </cell>
          <cell r="G745" t="str">
            <v>WG</v>
          </cell>
          <cell r="H745" t="str">
            <v>RT/ONCO WARD 1 (M)</v>
          </cell>
          <cell r="I745" t="str">
            <v>08WG113</v>
          </cell>
          <cell r="J745" t="str">
            <v>EQUIPMENT ROOM</v>
          </cell>
          <cell r="K745" t="str">
            <v>BMED</v>
          </cell>
          <cell r="L745" t="str">
            <v>Normal</v>
          </cell>
          <cell r="M745" t="str">
            <v>Germany</v>
          </cell>
          <cell r="N745" t="str">
            <v>Pari Boy</v>
          </cell>
          <cell r="O745" t="str">
            <v>Pari Boy SX 085</v>
          </cell>
          <cell r="P745" t="str">
            <v>2W12J05974</v>
          </cell>
          <cell r="Q745" t="str">
            <v>Not Applicable</v>
          </cell>
          <cell r="R745" t="str">
            <v>Pari GmbH</v>
          </cell>
          <cell r="S745" t="str">
            <v>Welch Allyn Malaysia Sdn Bhd</v>
          </cell>
          <cell r="T745" t="str">
            <v>Functioning</v>
          </cell>
          <cell r="U745" t="str">
            <v>Asset</v>
          </cell>
          <cell r="V745">
            <v>1140</v>
          </cell>
          <cell r="W745" t="str">
            <v>KEW</v>
          </cell>
          <cell r="X745" t="str">
            <v>01/09/2010</v>
          </cell>
          <cell r="Y745" t="str">
            <v>KEW</v>
          </cell>
          <cell r="Z745" t="str">
            <v>16/08/2013</v>
          </cell>
          <cell r="AA745" t="str">
            <v>15/08/2015</v>
          </cell>
          <cell r="AB745" t="str">
            <v>No</v>
          </cell>
          <cell r="AC745" t="str">
            <v>31/08/2013</v>
          </cell>
          <cell r="AD745" t="str">
            <v>Good</v>
          </cell>
          <cell r="AE745" t="str">
            <v>V1 - Existing / No Claim</v>
          </cell>
          <cell r="AF745">
            <v>42789</v>
          </cell>
          <cell r="AG745">
            <v>9.17</v>
          </cell>
          <cell r="AH745" t="str">
            <v>PPM</v>
          </cell>
          <cell r="AI745" t="str">
            <v>Strands</v>
          </cell>
          <cell r="AJ745" t="str">
            <v>Strands PW</v>
          </cell>
        </row>
        <row r="746">
          <cell r="A746" t="str">
            <v>IKN400276</v>
          </cell>
          <cell r="B746">
            <v>276</v>
          </cell>
          <cell r="C746" t="str">
            <v>Institut Kanser Negara</v>
          </cell>
          <cell r="D746" t="str">
            <v>KKM/IKN/H/13/3192</v>
          </cell>
          <cell r="E746" t="str">
            <v>10-208</v>
          </cell>
          <cell r="F746" t="str">
            <v>Aspirators</v>
          </cell>
          <cell r="G746" t="str">
            <v>WH</v>
          </cell>
          <cell r="H746" t="str">
            <v>RT/ONCO WARD 2 (M)</v>
          </cell>
          <cell r="I746" t="str">
            <v>08WH107</v>
          </cell>
          <cell r="J746" t="str">
            <v>TREATMENT / PROCEDURE</v>
          </cell>
          <cell r="K746" t="str">
            <v>BMED</v>
          </cell>
          <cell r="L746" t="str">
            <v>Critical</v>
          </cell>
          <cell r="M746" t="str">
            <v>Switzerland</v>
          </cell>
          <cell r="N746" t="str">
            <v>Senator</v>
          </cell>
          <cell r="O746" t="str">
            <v>Senator</v>
          </cell>
          <cell r="P746" t="str">
            <v>1220750</v>
          </cell>
          <cell r="Q746" t="str">
            <v>Not Applicable</v>
          </cell>
          <cell r="R746" t="str">
            <v>Ardo Medical AG</v>
          </cell>
          <cell r="S746" t="str">
            <v>Histopoint</v>
          </cell>
          <cell r="T746" t="str">
            <v>Functioning</v>
          </cell>
          <cell r="U746" t="str">
            <v>Asset</v>
          </cell>
          <cell r="V746">
            <v>5052</v>
          </cell>
          <cell r="W746" t="str">
            <v>KEW</v>
          </cell>
          <cell r="X746" t="str">
            <v>01/09/2010</v>
          </cell>
          <cell r="Y746" t="str">
            <v>KEW</v>
          </cell>
          <cell r="Z746" t="str">
            <v>16/08/2013</v>
          </cell>
          <cell r="AA746" t="str">
            <v>15/08/2015</v>
          </cell>
          <cell r="AB746" t="str">
            <v>No</v>
          </cell>
          <cell r="AC746" t="str">
            <v>31/08/2013</v>
          </cell>
          <cell r="AD746" t="str">
            <v>Good</v>
          </cell>
          <cell r="AE746" t="str">
            <v>V1 - Existing / No Claim</v>
          </cell>
          <cell r="AF746">
            <v>42787</v>
          </cell>
          <cell r="AG746">
            <v>9.17</v>
          </cell>
          <cell r="AH746" t="str">
            <v>PPM</v>
          </cell>
          <cell r="AI746" t="str">
            <v>Strands</v>
          </cell>
          <cell r="AJ746" t="str">
            <v>Strands PW</v>
          </cell>
        </row>
        <row r="747">
          <cell r="A747" t="str">
            <v>IKN400277</v>
          </cell>
          <cell r="B747">
            <v>277</v>
          </cell>
          <cell r="C747" t="str">
            <v>Institut Kanser Negara</v>
          </cell>
          <cell r="D747" t="str">
            <v>KKM/IKN/H/13/2375</v>
          </cell>
          <cell r="E747" t="str">
            <v>16-231</v>
          </cell>
          <cell r="F747" t="str">
            <v>Electrocardiographs, Multichannel, Interpretative</v>
          </cell>
          <cell r="G747" t="str">
            <v>WH</v>
          </cell>
          <cell r="H747" t="str">
            <v>RT/ONCO WARD 2 (M)</v>
          </cell>
          <cell r="I747" t="str">
            <v>08WH107</v>
          </cell>
          <cell r="J747" t="str">
            <v>TREATMENT / PROCEDURE</v>
          </cell>
          <cell r="K747" t="str">
            <v>BMED</v>
          </cell>
          <cell r="L747" t="str">
            <v>Critical</v>
          </cell>
          <cell r="M747" t="str">
            <v>China</v>
          </cell>
          <cell r="N747" t="str">
            <v>Mac</v>
          </cell>
          <cell r="O747" t="str">
            <v>MAC 800</v>
          </cell>
          <cell r="P747" t="str">
            <v>SJ412450378 WA</v>
          </cell>
          <cell r="Q747" t="str">
            <v>Not Applicable</v>
          </cell>
          <cell r="R747" t="str">
            <v>GE Healthcare Systems</v>
          </cell>
          <cell r="S747" t="str">
            <v>GE Healthcare Technologies</v>
          </cell>
          <cell r="T747" t="str">
            <v>Functioning</v>
          </cell>
          <cell r="U747" t="str">
            <v>Asset</v>
          </cell>
          <cell r="V747">
            <v>25260</v>
          </cell>
          <cell r="W747" t="str">
            <v>KEW</v>
          </cell>
          <cell r="X747" t="str">
            <v>01/09/2010</v>
          </cell>
          <cell r="Y747" t="str">
            <v>KEW</v>
          </cell>
          <cell r="Z747" t="str">
            <v>16/08/2013</v>
          </cell>
          <cell r="AA747" t="str">
            <v>15/08/2015</v>
          </cell>
          <cell r="AB747" t="str">
            <v>No</v>
          </cell>
          <cell r="AC747" t="str">
            <v>31/08/2013</v>
          </cell>
          <cell r="AD747" t="str">
            <v>Good</v>
          </cell>
          <cell r="AE747" t="str">
            <v>V1 - Existing / No Claim</v>
          </cell>
          <cell r="AF747">
            <v>42787</v>
          </cell>
          <cell r="AG747">
            <v>9.17</v>
          </cell>
          <cell r="AH747" t="str">
            <v>PPM</v>
          </cell>
          <cell r="AI747" t="str">
            <v>Strands</v>
          </cell>
          <cell r="AJ747" t="str">
            <v>Strands PW</v>
          </cell>
        </row>
        <row r="748">
          <cell r="A748" t="str">
            <v>IKN400278</v>
          </cell>
          <cell r="B748">
            <v>278</v>
          </cell>
          <cell r="C748" t="str">
            <v>Institut Kanser Negara</v>
          </cell>
          <cell r="D748" t="str">
            <v>KKM/IKN/H/13/3378</v>
          </cell>
          <cell r="E748" t="str">
            <v>11-134</v>
          </cell>
          <cell r="F748" t="str">
            <v>Defibrillators, External, Manual</v>
          </cell>
          <cell r="G748" t="str">
            <v>RT</v>
          </cell>
          <cell r="H748" t="str">
            <v>RADIATION TREATMENT UNIT</v>
          </cell>
          <cell r="I748" t="str">
            <v>01RT243</v>
          </cell>
          <cell r="J748" t="str">
            <v>NURSE STATION</v>
          </cell>
          <cell r="K748" t="str">
            <v>BMED</v>
          </cell>
          <cell r="L748" t="str">
            <v>Critical</v>
          </cell>
          <cell r="M748" t="str">
            <v>USA</v>
          </cell>
          <cell r="N748" t="str">
            <v>Responder</v>
          </cell>
          <cell r="O748" t="str">
            <v>Responder 2000</v>
          </cell>
          <cell r="P748" t="str">
            <v>3206733</v>
          </cell>
          <cell r="Q748" t="str">
            <v>Not Applicable</v>
          </cell>
          <cell r="R748" t="str">
            <v>GE Medical Systems</v>
          </cell>
          <cell r="S748" t="str">
            <v>Antah Sir Radin Sdn. Bhd.</v>
          </cell>
          <cell r="T748" t="str">
            <v>Functioning</v>
          </cell>
          <cell r="U748" t="str">
            <v>Asset</v>
          </cell>
          <cell r="V748">
            <v>45000</v>
          </cell>
          <cell r="W748" t="str">
            <v>Estimate</v>
          </cell>
          <cell r="X748" t="str">
            <v>01/09/2010</v>
          </cell>
          <cell r="Y748" t="str">
            <v>KEW</v>
          </cell>
          <cell r="Z748" t="str">
            <v>16/08/2013</v>
          </cell>
          <cell r="AA748" t="str">
            <v>15/08/2015</v>
          </cell>
          <cell r="AB748" t="str">
            <v>No</v>
          </cell>
          <cell r="AC748" t="str">
            <v>31/08/2013</v>
          </cell>
          <cell r="AD748" t="str">
            <v>Good</v>
          </cell>
          <cell r="AE748" t="str">
            <v>V1 - Existing / No Claim</v>
          </cell>
          <cell r="AF748">
            <v>42601</v>
          </cell>
          <cell r="AG748">
            <v>9.17</v>
          </cell>
          <cell r="AH748" t="str">
            <v>PPM</v>
          </cell>
          <cell r="AI748" t="str">
            <v>Strands</v>
          </cell>
          <cell r="AJ748" t="str">
            <v>Strands PW</v>
          </cell>
          <cell r="AK748" t="str">
            <v>Crash Trolley (FEMS)</v>
          </cell>
        </row>
        <row r="749">
          <cell r="A749" t="str">
            <v>IKN400282</v>
          </cell>
          <cell r="B749">
            <v>282</v>
          </cell>
          <cell r="C749" t="str">
            <v>Institut Kanser Negara</v>
          </cell>
          <cell r="D749" t="str">
            <v>KKM/IKN/H/13/2374</v>
          </cell>
          <cell r="E749" t="str">
            <v>12-282</v>
          </cell>
          <cell r="F749" t="str">
            <v>Lights, Surgical</v>
          </cell>
          <cell r="G749" t="str">
            <v>WH</v>
          </cell>
          <cell r="H749" t="str">
            <v>RT/ONCO WARD 2 (M)</v>
          </cell>
          <cell r="I749" t="str">
            <v>08WH107</v>
          </cell>
          <cell r="J749" t="str">
            <v>TREATMENT / PROCEDURE</v>
          </cell>
          <cell r="K749" t="str">
            <v>BMED</v>
          </cell>
          <cell r="L749" t="str">
            <v>Critical</v>
          </cell>
          <cell r="M749" t="str">
            <v>USA</v>
          </cell>
          <cell r="N749" t="str">
            <v>Welch Allyn</v>
          </cell>
          <cell r="O749" t="str">
            <v>Welch Allyn GS600</v>
          </cell>
          <cell r="P749" t="str">
            <v>GS-600-41</v>
          </cell>
          <cell r="Q749" t="str">
            <v>Not Applicable</v>
          </cell>
          <cell r="R749" t="str">
            <v>Welch Allyn Inc</v>
          </cell>
          <cell r="S749" t="str">
            <v>Welch Allyn Malaysia Sdn Bhd</v>
          </cell>
          <cell r="T749" t="str">
            <v>Functioning</v>
          </cell>
          <cell r="U749" t="str">
            <v>Asset</v>
          </cell>
          <cell r="V749">
            <v>5050</v>
          </cell>
          <cell r="W749" t="str">
            <v>KEW</v>
          </cell>
          <cell r="X749" t="str">
            <v>01/09/2010</v>
          </cell>
          <cell r="Y749" t="str">
            <v>KEW</v>
          </cell>
          <cell r="Z749" t="str">
            <v>16/08/2013</v>
          </cell>
          <cell r="AA749" t="str">
            <v>15/08/2015</v>
          </cell>
          <cell r="AB749" t="str">
            <v>No</v>
          </cell>
          <cell r="AC749" t="str">
            <v>31/08/2013</v>
          </cell>
          <cell r="AD749" t="str">
            <v>Good</v>
          </cell>
          <cell r="AE749" t="str">
            <v>V1 - Existing / No Claim</v>
          </cell>
          <cell r="AF749">
            <v>42787</v>
          </cell>
          <cell r="AG749">
            <v>9.17</v>
          </cell>
          <cell r="AH749" t="str">
            <v>PPM</v>
          </cell>
          <cell r="AI749" t="str">
            <v>Strands</v>
          </cell>
          <cell r="AJ749" t="str">
            <v>Strands PW</v>
          </cell>
        </row>
        <row r="750">
          <cell r="A750" t="str">
            <v>IKN400283</v>
          </cell>
          <cell r="B750">
            <v>283</v>
          </cell>
          <cell r="C750" t="str">
            <v>Institut Kanser Negara</v>
          </cell>
          <cell r="D750" t="str">
            <v>KKM/IKN/H/13/2022</v>
          </cell>
          <cell r="E750" t="str">
            <v>15-045</v>
          </cell>
          <cell r="F750" t="str">
            <v>Nebulizers, Nonheated</v>
          </cell>
          <cell r="G750" t="str">
            <v>WH</v>
          </cell>
          <cell r="H750" t="str">
            <v>RT/ONCO WARD 2 (M)</v>
          </cell>
          <cell r="I750" t="str">
            <v>08WH121</v>
          </cell>
          <cell r="J750" t="str">
            <v>EQUIPMENT ROOM</v>
          </cell>
          <cell r="K750" t="str">
            <v>BMED</v>
          </cell>
          <cell r="L750" t="str">
            <v>Normal</v>
          </cell>
          <cell r="M750" t="str">
            <v>Germany</v>
          </cell>
          <cell r="N750" t="str">
            <v>Pari Boy</v>
          </cell>
          <cell r="O750" t="str">
            <v>Pari Boy SX 085</v>
          </cell>
          <cell r="P750" t="str">
            <v>2W12F13772</v>
          </cell>
          <cell r="Q750" t="str">
            <v>Not Applicable</v>
          </cell>
          <cell r="R750" t="str">
            <v>Pari GmbH</v>
          </cell>
          <cell r="S750" t="str">
            <v>Welch Allyn Malaysia Sdn Bhd</v>
          </cell>
          <cell r="T750" t="str">
            <v>Functioning</v>
          </cell>
          <cell r="U750" t="str">
            <v>Asset</v>
          </cell>
          <cell r="V750">
            <v>1140</v>
          </cell>
          <cell r="W750" t="str">
            <v>KEW</v>
          </cell>
          <cell r="X750" t="str">
            <v>01/09/2010</v>
          </cell>
          <cell r="Y750" t="str">
            <v>KEW</v>
          </cell>
          <cell r="Z750" t="str">
            <v>16/08/2013</v>
          </cell>
          <cell r="AA750" t="str">
            <v>15/08/2015</v>
          </cell>
          <cell r="AB750" t="str">
            <v>No</v>
          </cell>
          <cell r="AC750" t="str">
            <v>31/08/2013</v>
          </cell>
          <cell r="AD750" t="str">
            <v>Good</v>
          </cell>
          <cell r="AE750" t="str">
            <v>V1 - Existing / No Claim</v>
          </cell>
          <cell r="AF750">
            <v>42787</v>
          </cell>
          <cell r="AG750">
            <v>9.17</v>
          </cell>
          <cell r="AH750" t="str">
            <v>PPM</v>
          </cell>
          <cell r="AI750" t="str">
            <v>Strands</v>
          </cell>
          <cell r="AJ750" t="str">
            <v>Strands PW</v>
          </cell>
        </row>
        <row r="751">
          <cell r="A751" t="str">
            <v>IKN400284</v>
          </cell>
          <cell r="B751">
            <v>284</v>
          </cell>
          <cell r="C751" t="str">
            <v>Institut Kanser Negara</v>
          </cell>
          <cell r="D751" t="str">
            <v>KKM/IKN/H/13/2023</v>
          </cell>
          <cell r="E751" t="str">
            <v>15-045</v>
          </cell>
          <cell r="F751" t="str">
            <v>Nebulizers, Nonheated</v>
          </cell>
          <cell r="G751" t="str">
            <v>WH</v>
          </cell>
          <cell r="H751" t="str">
            <v>RT/ONCO WARD 2 (M)</v>
          </cell>
          <cell r="I751" t="str">
            <v>08WH121</v>
          </cell>
          <cell r="J751" t="str">
            <v>EQUIPMENT ROOM</v>
          </cell>
          <cell r="K751" t="str">
            <v>BMED</v>
          </cell>
          <cell r="L751" t="str">
            <v>Normal</v>
          </cell>
          <cell r="M751" t="str">
            <v>Germany</v>
          </cell>
          <cell r="N751" t="str">
            <v>Pari Boy</v>
          </cell>
          <cell r="O751" t="str">
            <v>Pari Boy SX 085</v>
          </cell>
          <cell r="P751" t="str">
            <v>2W12F13857</v>
          </cell>
          <cell r="Q751" t="str">
            <v>Not Applicable</v>
          </cell>
          <cell r="R751" t="str">
            <v>Pari GmbH</v>
          </cell>
          <cell r="S751" t="str">
            <v>Welch Allyn Malaysia Sdn Bhd</v>
          </cell>
          <cell r="T751" t="str">
            <v>Functioning</v>
          </cell>
          <cell r="U751" t="str">
            <v>Asset</v>
          </cell>
          <cell r="V751">
            <v>1140</v>
          </cell>
          <cell r="W751" t="str">
            <v>KEW</v>
          </cell>
          <cell r="X751" t="str">
            <v>01/09/2010</v>
          </cell>
          <cell r="Y751" t="str">
            <v>KEW</v>
          </cell>
          <cell r="Z751" t="str">
            <v>16/08/2013</v>
          </cell>
          <cell r="AA751" t="str">
            <v>15/08/2015</v>
          </cell>
          <cell r="AB751" t="str">
            <v>No</v>
          </cell>
          <cell r="AC751" t="str">
            <v>31/08/2013</v>
          </cell>
          <cell r="AD751" t="str">
            <v>Good</v>
          </cell>
          <cell r="AE751" t="str">
            <v>V1 - Existing / No Claim</v>
          </cell>
          <cell r="AF751">
            <v>42787</v>
          </cell>
          <cell r="AG751">
            <v>9.17</v>
          </cell>
          <cell r="AH751" t="str">
            <v>PPM</v>
          </cell>
          <cell r="AI751" t="str">
            <v>Strands</v>
          </cell>
          <cell r="AJ751" t="str">
            <v>Strands PW</v>
          </cell>
        </row>
        <row r="752">
          <cell r="A752" t="str">
            <v>IKN400285</v>
          </cell>
          <cell r="B752">
            <v>285</v>
          </cell>
          <cell r="C752" t="str">
            <v>Institut Kanser Negara</v>
          </cell>
          <cell r="D752" t="str">
            <v>KKM/IKN/H/13/2024</v>
          </cell>
          <cell r="E752" t="str">
            <v>15-045</v>
          </cell>
          <cell r="F752" t="str">
            <v>Nebulizers, Nonheated</v>
          </cell>
          <cell r="G752" t="str">
            <v>WH</v>
          </cell>
          <cell r="H752" t="str">
            <v>RT/ONCO WARD 2 (M)</v>
          </cell>
          <cell r="I752" t="str">
            <v>08WH121</v>
          </cell>
          <cell r="J752" t="str">
            <v>EQUIPMENT ROOM</v>
          </cell>
          <cell r="K752" t="str">
            <v>BMED</v>
          </cell>
          <cell r="L752" t="str">
            <v>Normal</v>
          </cell>
          <cell r="M752" t="str">
            <v>Germany</v>
          </cell>
          <cell r="N752" t="str">
            <v>Pari Boy</v>
          </cell>
          <cell r="O752" t="str">
            <v>Pari Boy SX 085</v>
          </cell>
          <cell r="P752" t="str">
            <v>2W12F13742</v>
          </cell>
          <cell r="Q752" t="str">
            <v>Not Applicable</v>
          </cell>
          <cell r="R752" t="str">
            <v>Pari GmbH</v>
          </cell>
          <cell r="S752" t="str">
            <v>Welch Allyn Malaysia Sdn Bhd</v>
          </cell>
          <cell r="T752" t="str">
            <v>Functioning</v>
          </cell>
          <cell r="U752" t="str">
            <v>Asset</v>
          </cell>
          <cell r="V752">
            <v>1140</v>
          </cell>
          <cell r="W752" t="str">
            <v>KEW</v>
          </cell>
          <cell r="X752" t="str">
            <v>01/09/2010</v>
          </cell>
          <cell r="Y752" t="str">
            <v>KEW</v>
          </cell>
          <cell r="Z752" t="str">
            <v>16/08/2013</v>
          </cell>
          <cell r="AA752" t="str">
            <v>15/08/2015</v>
          </cell>
          <cell r="AB752" t="str">
            <v>No</v>
          </cell>
          <cell r="AC752" t="str">
            <v>31/08/2013</v>
          </cell>
          <cell r="AD752" t="str">
            <v>Good</v>
          </cell>
          <cell r="AE752" t="str">
            <v>V1 - Existing / No Claim</v>
          </cell>
          <cell r="AF752">
            <v>42787</v>
          </cell>
          <cell r="AG752">
            <v>9.17</v>
          </cell>
          <cell r="AH752" t="str">
            <v>PPM</v>
          </cell>
          <cell r="AI752" t="str">
            <v>Strands</v>
          </cell>
          <cell r="AJ752" t="str">
            <v>Strands PW</v>
          </cell>
        </row>
        <row r="753">
          <cell r="A753" t="str">
            <v>IKN400286</v>
          </cell>
          <cell r="B753">
            <v>286</v>
          </cell>
          <cell r="C753" t="str">
            <v>Institut Kanser Negara</v>
          </cell>
          <cell r="D753" t="str">
            <v>KKM/IKN/H/13/2029</v>
          </cell>
          <cell r="E753" t="str">
            <v>13-217</v>
          </cell>
          <cell r="F753" t="str">
            <v>Infusion Pumps, Syringe</v>
          </cell>
          <cell r="G753" t="str">
            <v>WH</v>
          </cell>
          <cell r="H753" t="str">
            <v>RT/ONCO WARD 2 (M)</v>
          </cell>
          <cell r="I753" t="str">
            <v>08WH121</v>
          </cell>
          <cell r="J753" t="str">
            <v>EQUIPMENT ROOM</v>
          </cell>
          <cell r="K753" t="str">
            <v>BMED</v>
          </cell>
          <cell r="L753" t="str">
            <v>Critical</v>
          </cell>
          <cell r="M753" t="str">
            <v>Germany</v>
          </cell>
          <cell r="N753" t="str">
            <v>Perfusor</v>
          </cell>
          <cell r="O753" t="str">
            <v>Perfusor Space</v>
          </cell>
          <cell r="P753" t="str">
            <v>187017</v>
          </cell>
          <cell r="Q753" t="str">
            <v>Not Applicable</v>
          </cell>
          <cell r="R753" t="str">
            <v>B Braun Melsungen AG</v>
          </cell>
          <cell r="S753" t="str">
            <v>B Braun Medical Supplies Sdn. Bhd.</v>
          </cell>
          <cell r="T753" t="str">
            <v>Functioning</v>
          </cell>
          <cell r="U753" t="str">
            <v>Asset</v>
          </cell>
          <cell r="V753">
            <v>10225</v>
          </cell>
          <cell r="W753" t="str">
            <v>KEW</v>
          </cell>
          <cell r="X753" t="str">
            <v>01/09/2010</v>
          </cell>
          <cell r="Y753" t="str">
            <v>KEW</v>
          </cell>
          <cell r="Z753" t="str">
            <v>16/08/2013</v>
          </cell>
          <cell r="AA753" t="str">
            <v>15/08/2015</v>
          </cell>
          <cell r="AB753" t="str">
            <v>No</v>
          </cell>
          <cell r="AC753" t="str">
            <v>31/08/2013</v>
          </cell>
          <cell r="AD753" t="str">
            <v>Good</v>
          </cell>
          <cell r="AE753" t="str">
            <v>V1 - Existing / No Claim</v>
          </cell>
          <cell r="AF753">
            <v>42787</v>
          </cell>
          <cell r="AG753">
            <v>9.17</v>
          </cell>
          <cell r="AH753" t="str">
            <v>PPM</v>
          </cell>
          <cell r="AI753" t="str">
            <v>Strands</v>
          </cell>
          <cell r="AJ753" t="str">
            <v>Strands PW</v>
          </cell>
        </row>
        <row r="754">
          <cell r="A754" t="str">
            <v>IKN400287</v>
          </cell>
          <cell r="B754">
            <v>287</v>
          </cell>
          <cell r="C754" t="str">
            <v>Institut Kanser Negara</v>
          </cell>
          <cell r="D754" t="str">
            <v>KKM/IKN/H/13/2031</v>
          </cell>
          <cell r="E754" t="str">
            <v>13-217</v>
          </cell>
          <cell r="F754" t="str">
            <v>Infusion Pumps, Syringe</v>
          </cell>
          <cell r="G754" t="str">
            <v>WH</v>
          </cell>
          <cell r="H754" t="str">
            <v>RT/ONCO WARD 2 (M)</v>
          </cell>
          <cell r="I754" t="str">
            <v>08WH121</v>
          </cell>
          <cell r="J754" t="str">
            <v>EQUIPMENT ROOM</v>
          </cell>
          <cell r="K754" t="str">
            <v>BMED</v>
          </cell>
          <cell r="L754" t="str">
            <v>Critical</v>
          </cell>
          <cell r="M754" t="str">
            <v>Germany</v>
          </cell>
          <cell r="N754" t="str">
            <v>Perfusor</v>
          </cell>
          <cell r="O754" t="str">
            <v>Perfusor Space</v>
          </cell>
          <cell r="P754" t="str">
            <v>187002</v>
          </cell>
          <cell r="Q754" t="str">
            <v>Not Applicable</v>
          </cell>
          <cell r="R754" t="str">
            <v>B Braun Melsungen AG</v>
          </cell>
          <cell r="S754" t="str">
            <v>B Braun Medical Supplies Sdn. Bhd.</v>
          </cell>
          <cell r="T754" t="str">
            <v>Functioning</v>
          </cell>
          <cell r="U754" t="str">
            <v>Asset</v>
          </cell>
          <cell r="V754">
            <v>10225</v>
          </cell>
          <cell r="W754" t="str">
            <v>KEW</v>
          </cell>
          <cell r="X754" t="str">
            <v>01/09/2010</v>
          </cell>
          <cell r="Y754" t="str">
            <v>KEW</v>
          </cell>
          <cell r="Z754" t="str">
            <v>16/08/2013</v>
          </cell>
          <cell r="AA754" t="str">
            <v>15/08/2015</v>
          </cell>
          <cell r="AB754" t="str">
            <v>No</v>
          </cell>
          <cell r="AC754" t="str">
            <v>31/08/2013</v>
          </cell>
          <cell r="AD754" t="str">
            <v>Good</v>
          </cell>
          <cell r="AE754" t="str">
            <v>V1 - Existing / No Claim</v>
          </cell>
          <cell r="AF754">
            <v>42787</v>
          </cell>
          <cell r="AG754">
            <v>9.17</v>
          </cell>
          <cell r="AH754" t="str">
            <v>PPM</v>
          </cell>
          <cell r="AI754" t="str">
            <v>Strands</v>
          </cell>
          <cell r="AJ754" t="str">
            <v>Strands PW</v>
          </cell>
        </row>
        <row r="755">
          <cell r="A755" t="str">
            <v>IKN400288</v>
          </cell>
          <cell r="B755">
            <v>288</v>
          </cell>
          <cell r="C755" t="str">
            <v>Institut Kanser Negara</v>
          </cell>
          <cell r="D755" t="str">
            <v>KKM/IKN/H/13/2030</v>
          </cell>
          <cell r="E755" t="str">
            <v>13-215</v>
          </cell>
          <cell r="F755" t="str">
            <v>Infusion Pumps, General-Purpose</v>
          </cell>
          <cell r="G755" t="str">
            <v>WH</v>
          </cell>
          <cell r="H755" t="str">
            <v>RT/ONCO WARD 2 (M)</v>
          </cell>
          <cell r="I755" t="str">
            <v>08WH121</v>
          </cell>
          <cell r="J755" t="str">
            <v>EQUIPMENT ROOM</v>
          </cell>
          <cell r="K755" t="str">
            <v>BMED</v>
          </cell>
          <cell r="L755" t="str">
            <v>Normal</v>
          </cell>
          <cell r="M755" t="str">
            <v>Germany</v>
          </cell>
          <cell r="N755" t="str">
            <v>Infusomat</v>
          </cell>
          <cell r="O755" t="str">
            <v>Infusomat Space</v>
          </cell>
          <cell r="P755" t="str">
            <v>212006</v>
          </cell>
          <cell r="Q755" t="str">
            <v>Not Applicable</v>
          </cell>
          <cell r="R755" t="str">
            <v>B Braun Melsungen AG</v>
          </cell>
          <cell r="S755" t="str">
            <v>B Braun Medical Supplies Sdn. Bhd.</v>
          </cell>
          <cell r="T755" t="str">
            <v>Functioning</v>
          </cell>
          <cell r="U755" t="str">
            <v>Asset</v>
          </cell>
          <cell r="V755">
            <v>10825</v>
          </cell>
          <cell r="W755" t="str">
            <v>KEW</v>
          </cell>
          <cell r="X755" t="str">
            <v>01/09/2010</v>
          </cell>
          <cell r="Y755" t="str">
            <v>KEW</v>
          </cell>
          <cell r="Z755" t="str">
            <v>16/08/2013</v>
          </cell>
          <cell r="AA755" t="str">
            <v>15/08/2015</v>
          </cell>
          <cell r="AB755" t="str">
            <v>No</v>
          </cell>
          <cell r="AC755" t="str">
            <v>31/08/2013</v>
          </cell>
          <cell r="AD755" t="str">
            <v>Good</v>
          </cell>
          <cell r="AE755" t="str">
            <v>V1 - Existing / No Claim</v>
          </cell>
          <cell r="AF755">
            <v>42235</v>
          </cell>
          <cell r="AG755">
            <v>9.17</v>
          </cell>
          <cell r="AH755" t="str">
            <v>PPM</v>
          </cell>
          <cell r="AI755" t="str">
            <v>Strands</v>
          </cell>
          <cell r="AJ755" t="str">
            <v>Strands PW</v>
          </cell>
        </row>
        <row r="756">
          <cell r="A756" t="str">
            <v>IKN400289</v>
          </cell>
          <cell r="B756">
            <v>289</v>
          </cell>
          <cell r="C756" t="str">
            <v>Institut Kanser Negara</v>
          </cell>
          <cell r="D756" t="str">
            <v>KKM/IKN/H/13/2032</v>
          </cell>
          <cell r="E756" t="str">
            <v>13-215</v>
          </cell>
          <cell r="F756" t="str">
            <v>Infusion Pumps, General-Purpose</v>
          </cell>
          <cell r="G756" t="str">
            <v>WH</v>
          </cell>
          <cell r="H756" t="str">
            <v>RT/ONCO WARD 2 (M)</v>
          </cell>
          <cell r="I756" t="str">
            <v>08WH121</v>
          </cell>
          <cell r="J756" t="str">
            <v>EQUIPMENT ROOM</v>
          </cell>
          <cell r="K756" t="str">
            <v>BMED</v>
          </cell>
          <cell r="L756" t="str">
            <v>Critical</v>
          </cell>
          <cell r="M756" t="str">
            <v>Germany</v>
          </cell>
          <cell r="N756" t="str">
            <v>Infusomat</v>
          </cell>
          <cell r="O756" t="str">
            <v>Infusomat Space</v>
          </cell>
          <cell r="P756" t="str">
            <v>211978</v>
          </cell>
          <cell r="Q756" t="str">
            <v>Not Applicable</v>
          </cell>
          <cell r="R756" t="str">
            <v>B Braun Melsungen AG</v>
          </cell>
          <cell r="S756" t="str">
            <v>B Braun Medical Supplies Sdn. Bhd.</v>
          </cell>
          <cell r="T756" t="str">
            <v>Functioning</v>
          </cell>
          <cell r="U756" t="str">
            <v>Asset</v>
          </cell>
          <cell r="V756">
            <v>10825</v>
          </cell>
          <cell r="W756" t="str">
            <v>KEW</v>
          </cell>
          <cell r="X756" t="str">
            <v>01/09/2010</v>
          </cell>
          <cell r="Y756" t="str">
            <v>KEW</v>
          </cell>
          <cell r="Z756" t="str">
            <v>16/08/2013</v>
          </cell>
          <cell r="AA756" t="str">
            <v>15/08/2015</v>
          </cell>
          <cell r="AB756" t="str">
            <v>No</v>
          </cell>
          <cell r="AC756" t="str">
            <v>31/08/2013</v>
          </cell>
          <cell r="AD756" t="str">
            <v>Good</v>
          </cell>
          <cell r="AE756" t="str">
            <v>V1 - Existing / No Claim</v>
          </cell>
          <cell r="AF756">
            <v>42787</v>
          </cell>
          <cell r="AG756">
            <v>9.17</v>
          </cell>
          <cell r="AH756" t="str">
            <v>PPM</v>
          </cell>
          <cell r="AI756" t="str">
            <v>Strands</v>
          </cell>
          <cell r="AJ756" t="str">
            <v>Strands PW</v>
          </cell>
        </row>
        <row r="757">
          <cell r="A757" t="str">
            <v>IKN400290</v>
          </cell>
          <cell r="B757">
            <v>290</v>
          </cell>
          <cell r="C757" t="str">
            <v>Institut Kanser Negara</v>
          </cell>
          <cell r="D757" t="str">
            <v>KKM/IKN/H/13/2037</v>
          </cell>
          <cell r="E757" t="str">
            <v>13-215</v>
          </cell>
          <cell r="F757" t="str">
            <v>Infusion Pumps, General-Purpose</v>
          </cell>
          <cell r="G757" t="str">
            <v>WH</v>
          </cell>
          <cell r="H757" t="str">
            <v>RT/ONCO WARD 2 (M)</v>
          </cell>
          <cell r="I757" t="str">
            <v>08WH121</v>
          </cell>
          <cell r="J757" t="str">
            <v>EQUIPMENT ROOM</v>
          </cell>
          <cell r="K757" t="str">
            <v>BMED</v>
          </cell>
          <cell r="L757" t="str">
            <v>Critical</v>
          </cell>
          <cell r="M757" t="str">
            <v>Germany</v>
          </cell>
          <cell r="N757" t="str">
            <v>Infusomat</v>
          </cell>
          <cell r="O757" t="str">
            <v>Infusomat Space</v>
          </cell>
          <cell r="P757" t="str">
            <v>211584</v>
          </cell>
          <cell r="Q757" t="str">
            <v>Not Applicable</v>
          </cell>
          <cell r="R757" t="str">
            <v>B Braun Melsungen AG</v>
          </cell>
          <cell r="S757" t="str">
            <v>B Braun Medical Supplies Sdn. Bhd.</v>
          </cell>
          <cell r="T757" t="str">
            <v>Functioning</v>
          </cell>
          <cell r="U757" t="str">
            <v>Asset</v>
          </cell>
          <cell r="V757">
            <v>10825</v>
          </cell>
          <cell r="W757" t="str">
            <v>KEW</v>
          </cell>
          <cell r="X757" t="str">
            <v>01/09/2010</v>
          </cell>
          <cell r="Y757" t="str">
            <v>KEW</v>
          </cell>
          <cell r="Z757" t="str">
            <v>16/08/2013</v>
          </cell>
          <cell r="AA757" t="str">
            <v>15/08/2015</v>
          </cell>
          <cell r="AB757" t="str">
            <v>No</v>
          </cell>
          <cell r="AC757" t="str">
            <v>31/08/2013</v>
          </cell>
          <cell r="AD757" t="str">
            <v>Good</v>
          </cell>
          <cell r="AE757" t="str">
            <v>V1 - Existing / No Claim</v>
          </cell>
          <cell r="AF757">
            <v>42787</v>
          </cell>
          <cell r="AG757">
            <v>9.17</v>
          </cell>
          <cell r="AH757" t="str">
            <v>PPM</v>
          </cell>
          <cell r="AI757" t="str">
            <v>Strands</v>
          </cell>
          <cell r="AJ757" t="str">
            <v>Strands PW</v>
          </cell>
        </row>
        <row r="758">
          <cell r="A758" t="str">
            <v>IKN400291</v>
          </cell>
          <cell r="B758">
            <v>291</v>
          </cell>
          <cell r="C758" t="str">
            <v>Institut Kanser Negara</v>
          </cell>
          <cell r="D758" t="str">
            <v>KKM/IKN/H/13/2033</v>
          </cell>
          <cell r="E758" t="str">
            <v>13-215</v>
          </cell>
          <cell r="F758" t="str">
            <v>Infusion Pumps, General-Purpose</v>
          </cell>
          <cell r="G758" t="str">
            <v>WH</v>
          </cell>
          <cell r="H758" t="str">
            <v>RT/ONCO WARD 2 (M)</v>
          </cell>
          <cell r="I758" t="str">
            <v>08WH121</v>
          </cell>
          <cell r="J758" t="str">
            <v>EQUIPMENT ROOM</v>
          </cell>
          <cell r="K758" t="str">
            <v>BMED</v>
          </cell>
          <cell r="L758" t="str">
            <v>Critical</v>
          </cell>
          <cell r="M758" t="str">
            <v>Germany</v>
          </cell>
          <cell r="N758" t="str">
            <v>Infusomat</v>
          </cell>
          <cell r="O758" t="str">
            <v>Infusomat Space</v>
          </cell>
          <cell r="P758" t="str">
            <v>211977</v>
          </cell>
          <cell r="Q758" t="str">
            <v>Not Applicable</v>
          </cell>
          <cell r="R758" t="str">
            <v>B Braun Melsungen AG</v>
          </cell>
          <cell r="S758" t="str">
            <v>B Braun Medical Supplies Sdn. Bhd.</v>
          </cell>
          <cell r="T758" t="str">
            <v>Functioning</v>
          </cell>
          <cell r="U758" t="str">
            <v>Asset</v>
          </cell>
          <cell r="V758">
            <v>10825</v>
          </cell>
          <cell r="W758" t="str">
            <v>KEW</v>
          </cell>
          <cell r="X758" t="str">
            <v>01/09/2010</v>
          </cell>
          <cell r="Y758" t="str">
            <v>KEW</v>
          </cell>
          <cell r="Z758" t="str">
            <v>16/08/2013</v>
          </cell>
          <cell r="AA758" t="str">
            <v>15/08/2015</v>
          </cell>
          <cell r="AB758" t="str">
            <v>No</v>
          </cell>
          <cell r="AC758" t="str">
            <v>31/08/2013</v>
          </cell>
          <cell r="AD758" t="str">
            <v>Good</v>
          </cell>
          <cell r="AE758" t="str">
            <v>V1 - Existing / No Claim</v>
          </cell>
          <cell r="AF758">
            <v>42788</v>
          </cell>
          <cell r="AG758">
            <v>9.17</v>
          </cell>
          <cell r="AH758" t="str">
            <v>PPM</v>
          </cell>
          <cell r="AI758" t="str">
            <v>Strands</v>
          </cell>
          <cell r="AJ758" t="str">
            <v>Strands PW</v>
          </cell>
        </row>
        <row r="759">
          <cell r="A759" t="str">
            <v>IKN400292</v>
          </cell>
          <cell r="B759">
            <v>292</v>
          </cell>
          <cell r="C759" t="str">
            <v>Institut Kanser Negara</v>
          </cell>
          <cell r="D759" t="str">
            <v>KKM/IKN/H/13/288</v>
          </cell>
          <cell r="E759" t="str">
            <v>13-215</v>
          </cell>
          <cell r="F759" t="str">
            <v>Infusion Pumps, General-Purpose</v>
          </cell>
          <cell r="G759" t="str">
            <v>WH</v>
          </cell>
          <cell r="H759" t="str">
            <v>RT/ONCO WARD 2 (M)</v>
          </cell>
          <cell r="I759" t="str">
            <v>08WH121</v>
          </cell>
          <cell r="J759" t="str">
            <v>EQUIPMENT ROOM</v>
          </cell>
          <cell r="K759" t="str">
            <v>BMED</v>
          </cell>
          <cell r="L759" t="str">
            <v>Normal</v>
          </cell>
          <cell r="M759" t="str">
            <v>Germany</v>
          </cell>
          <cell r="N759" t="str">
            <v>Infusomat</v>
          </cell>
          <cell r="O759" t="str">
            <v>Infusomat Space</v>
          </cell>
          <cell r="P759" t="str">
            <v>212086</v>
          </cell>
          <cell r="Q759" t="str">
            <v>Not Applicable</v>
          </cell>
          <cell r="R759" t="str">
            <v>B Braun Melsungen AG</v>
          </cell>
          <cell r="S759" t="str">
            <v>B Braun Medical Supplies Sdn. Bhd.</v>
          </cell>
          <cell r="T759" t="str">
            <v>Functioning</v>
          </cell>
          <cell r="U759" t="str">
            <v>Asset</v>
          </cell>
          <cell r="V759">
            <v>10825</v>
          </cell>
          <cell r="W759" t="str">
            <v>KEW</v>
          </cell>
          <cell r="X759" t="str">
            <v>01/09/2010</v>
          </cell>
          <cell r="Y759" t="str">
            <v>KEW</v>
          </cell>
          <cell r="Z759" t="str">
            <v>16/08/2013</v>
          </cell>
          <cell r="AA759" t="str">
            <v>15/08/2015</v>
          </cell>
          <cell r="AB759" t="str">
            <v>No</v>
          </cell>
          <cell r="AC759" t="str">
            <v>31/08/2013</v>
          </cell>
          <cell r="AD759" t="str">
            <v>Good</v>
          </cell>
          <cell r="AE759" t="str">
            <v>V1 - Existing / No Claim</v>
          </cell>
          <cell r="AF759">
            <v>42235</v>
          </cell>
          <cell r="AG759">
            <v>9.17</v>
          </cell>
          <cell r="AH759" t="str">
            <v>PPM</v>
          </cell>
          <cell r="AI759" t="str">
            <v>Strands</v>
          </cell>
          <cell r="AJ759" t="str">
            <v>Strands PW</v>
          </cell>
        </row>
        <row r="760">
          <cell r="A760" t="str">
            <v>IKN400293</v>
          </cell>
          <cell r="B760">
            <v>293</v>
          </cell>
          <cell r="C760" t="str">
            <v>Institut Kanser Negara</v>
          </cell>
          <cell r="D760" t="str">
            <v>KKM/IKN/H/13/3708</v>
          </cell>
          <cell r="E760" t="str">
            <v>17-148</v>
          </cell>
          <cell r="F760" t="str">
            <v>Oximeters, Pulse</v>
          </cell>
          <cell r="G760" t="str">
            <v>WH</v>
          </cell>
          <cell r="H760" t="str">
            <v>RT/ONCO WARD 2 (M)</v>
          </cell>
          <cell r="I760" t="str">
            <v>08WH121</v>
          </cell>
          <cell r="J760" t="str">
            <v>EQUIPMENT ROOM</v>
          </cell>
          <cell r="K760" t="str">
            <v>BMED</v>
          </cell>
          <cell r="L760" t="str">
            <v>Critical</v>
          </cell>
          <cell r="M760" t="str">
            <v>USA</v>
          </cell>
          <cell r="N760" t="str">
            <v>PalmSat</v>
          </cell>
          <cell r="O760" t="str">
            <v>PalmSat 2500</v>
          </cell>
          <cell r="P760" t="str">
            <v>501442061</v>
          </cell>
          <cell r="Q760" t="str">
            <v>Not Applicable</v>
          </cell>
          <cell r="R760" t="str">
            <v>Nonin Medical Inc</v>
          </cell>
          <cell r="S760" t="str">
            <v>Acucare Systems (M) Sdn bhd</v>
          </cell>
          <cell r="T760" t="str">
            <v>Functioning</v>
          </cell>
          <cell r="U760" t="str">
            <v>Asset</v>
          </cell>
          <cell r="V760">
            <v>5410</v>
          </cell>
          <cell r="W760" t="str">
            <v>KEW</v>
          </cell>
          <cell r="X760" t="str">
            <v>01/09/2010</v>
          </cell>
          <cell r="Y760" t="str">
            <v>KEW</v>
          </cell>
          <cell r="Z760" t="str">
            <v>16/08/2013</v>
          </cell>
          <cell r="AA760" t="str">
            <v>15/08/2015</v>
          </cell>
          <cell r="AB760" t="str">
            <v>No</v>
          </cell>
          <cell r="AC760" t="str">
            <v>31/08/2013</v>
          </cell>
          <cell r="AD760" t="str">
            <v>Good</v>
          </cell>
          <cell r="AE760" t="str">
            <v>V1 - Existing / No Claim</v>
          </cell>
          <cell r="AF760">
            <v>42788</v>
          </cell>
          <cell r="AG760">
            <v>9.17</v>
          </cell>
          <cell r="AH760" t="str">
            <v>PPM</v>
          </cell>
          <cell r="AI760" t="str">
            <v>Strands</v>
          </cell>
          <cell r="AJ760" t="str">
            <v>Strands PW</v>
          </cell>
        </row>
        <row r="761">
          <cell r="A761" t="str">
            <v>IKN400294</v>
          </cell>
          <cell r="B761">
            <v>294</v>
          </cell>
          <cell r="C761" t="str">
            <v>Institut Kanser Negara</v>
          </cell>
          <cell r="D761" t="str">
            <v>KKM/IKN/H/13/2035</v>
          </cell>
          <cell r="E761" t="str">
            <v>13-215</v>
          </cell>
          <cell r="F761" t="str">
            <v>Infusion Pumps, General-Purpose</v>
          </cell>
          <cell r="G761" t="str">
            <v>WH</v>
          </cell>
          <cell r="H761" t="str">
            <v>RT/ONCO WARD 2 (M)</v>
          </cell>
          <cell r="I761" t="str">
            <v>08WH121</v>
          </cell>
          <cell r="J761" t="str">
            <v>EQUIPMENT ROOM</v>
          </cell>
          <cell r="K761" t="str">
            <v>BMED</v>
          </cell>
          <cell r="L761" t="str">
            <v>Normal</v>
          </cell>
          <cell r="M761" t="str">
            <v>Germany</v>
          </cell>
          <cell r="N761" t="str">
            <v>Infusomat</v>
          </cell>
          <cell r="O761" t="str">
            <v>Infusomat Space</v>
          </cell>
          <cell r="P761" t="str">
            <v>211860</v>
          </cell>
          <cell r="Q761" t="str">
            <v>Not Applicable</v>
          </cell>
          <cell r="R761" t="str">
            <v>B Braun Melsungen AG</v>
          </cell>
          <cell r="S761" t="str">
            <v>B Braun Medical Supplies Sdn. Bhd.</v>
          </cell>
          <cell r="T761" t="str">
            <v>Functioning</v>
          </cell>
          <cell r="U761" t="str">
            <v>Asset</v>
          </cell>
          <cell r="V761">
            <v>10825</v>
          </cell>
          <cell r="W761" t="str">
            <v>KEW</v>
          </cell>
          <cell r="X761" t="str">
            <v>01/09/2010</v>
          </cell>
          <cell r="Y761" t="str">
            <v>KEW</v>
          </cell>
          <cell r="Z761" t="str">
            <v>16/08/2013</v>
          </cell>
          <cell r="AA761" t="str">
            <v>15/08/2015</v>
          </cell>
          <cell r="AB761" t="str">
            <v>No</v>
          </cell>
          <cell r="AC761" t="str">
            <v>31/08/2013</v>
          </cell>
          <cell r="AD761" t="str">
            <v>Good</v>
          </cell>
          <cell r="AE761" t="str">
            <v>V1 - Existing / No Claim</v>
          </cell>
          <cell r="AF761">
            <v>42235</v>
          </cell>
          <cell r="AG761">
            <v>9.17</v>
          </cell>
          <cell r="AH761" t="str">
            <v>PPM</v>
          </cell>
          <cell r="AI761" t="str">
            <v>Strands</v>
          </cell>
          <cell r="AJ761" t="str">
            <v>Strands PW</v>
          </cell>
        </row>
        <row r="762">
          <cell r="A762" t="str">
            <v>IKN400295</v>
          </cell>
          <cell r="B762">
            <v>295</v>
          </cell>
          <cell r="C762" t="str">
            <v>Institut Kanser Negara</v>
          </cell>
          <cell r="D762" t="str">
            <v>KKM/IKN/H/13/2036</v>
          </cell>
          <cell r="E762" t="str">
            <v>13-215</v>
          </cell>
          <cell r="F762" t="str">
            <v>Infusion Pumps, General-Purpose</v>
          </cell>
          <cell r="G762" t="str">
            <v>WH</v>
          </cell>
          <cell r="H762" t="str">
            <v>RT/ONCO WARD 2 (M)</v>
          </cell>
          <cell r="I762" t="str">
            <v>08WH121</v>
          </cell>
          <cell r="J762" t="str">
            <v>EQUIPMENT ROOM</v>
          </cell>
          <cell r="K762" t="str">
            <v>BMED</v>
          </cell>
          <cell r="L762" t="str">
            <v>Critical</v>
          </cell>
          <cell r="M762" t="str">
            <v>Germany</v>
          </cell>
          <cell r="N762" t="str">
            <v>Infusomat</v>
          </cell>
          <cell r="O762" t="str">
            <v>Infusomat Space</v>
          </cell>
          <cell r="P762" t="str">
            <v>212011</v>
          </cell>
          <cell r="Q762" t="str">
            <v>Not Applicable</v>
          </cell>
          <cell r="R762" t="str">
            <v>B Braun Melsungen AG</v>
          </cell>
          <cell r="S762" t="str">
            <v>B Braun Medical Supplies Sdn. Bhd.</v>
          </cell>
          <cell r="T762" t="str">
            <v>Functioning</v>
          </cell>
          <cell r="U762" t="str">
            <v>Asset</v>
          </cell>
          <cell r="V762">
            <v>10825</v>
          </cell>
          <cell r="W762" t="str">
            <v>KEW</v>
          </cell>
          <cell r="X762" t="str">
            <v>01/09/2010</v>
          </cell>
          <cell r="Y762" t="str">
            <v>KEW</v>
          </cell>
          <cell r="Z762" t="str">
            <v>16/08/2013</v>
          </cell>
          <cell r="AA762" t="str">
            <v>15/08/2015</v>
          </cell>
          <cell r="AB762" t="str">
            <v>No</v>
          </cell>
          <cell r="AC762" t="str">
            <v>31/08/2013</v>
          </cell>
          <cell r="AD762" t="str">
            <v>Good</v>
          </cell>
          <cell r="AE762" t="str">
            <v>V1 - Existing / No Claim</v>
          </cell>
          <cell r="AF762">
            <v>42788</v>
          </cell>
          <cell r="AG762">
            <v>9.17</v>
          </cell>
          <cell r="AH762" t="str">
            <v>PPM</v>
          </cell>
          <cell r="AI762" t="str">
            <v>Strands</v>
          </cell>
          <cell r="AJ762" t="str">
            <v>Strands PW</v>
          </cell>
        </row>
        <row r="763">
          <cell r="A763" t="str">
            <v>IKN400296</v>
          </cell>
          <cell r="B763">
            <v>296</v>
          </cell>
          <cell r="C763" t="str">
            <v>Institut Kanser Negara</v>
          </cell>
          <cell r="D763" t="str">
            <v>KKM/IKN/H/13/2038</v>
          </cell>
          <cell r="E763" t="str">
            <v>13-215</v>
          </cell>
          <cell r="F763" t="str">
            <v>Infusion Pumps, General-Purpose</v>
          </cell>
          <cell r="G763" t="str">
            <v>WH</v>
          </cell>
          <cell r="H763" t="str">
            <v>RT/ONCO WARD 2 (M)</v>
          </cell>
          <cell r="I763" t="str">
            <v>08WH121</v>
          </cell>
          <cell r="J763" t="str">
            <v>EQUIPMENT ROOM</v>
          </cell>
          <cell r="K763" t="str">
            <v>BMED</v>
          </cell>
          <cell r="L763" t="str">
            <v>Critical</v>
          </cell>
          <cell r="M763" t="str">
            <v>Germany</v>
          </cell>
          <cell r="N763" t="str">
            <v>Infusomat</v>
          </cell>
          <cell r="O763" t="str">
            <v>Infusomat Space</v>
          </cell>
          <cell r="P763" t="str">
            <v>212091</v>
          </cell>
          <cell r="Q763" t="str">
            <v>Not Applicable</v>
          </cell>
          <cell r="R763" t="str">
            <v>B Braun Melsungen AG</v>
          </cell>
          <cell r="S763" t="str">
            <v>B Braun Medical Supplies Sdn. Bhd.</v>
          </cell>
          <cell r="T763" t="str">
            <v>Functioning</v>
          </cell>
          <cell r="U763" t="str">
            <v>Asset</v>
          </cell>
          <cell r="V763">
            <v>10825</v>
          </cell>
          <cell r="W763" t="str">
            <v>KEW</v>
          </cell>
          <cell r="X763" t="str">
            <v>01/09/2010</v>
          </cell>
          <cell r="Y763" t="str">
            <v>KEW</v>
          </cell>
          <cell r="Z763" t="str">
            <v>16/08/2013</v>
          </cell>
          <cell r="AA763" t="str">
            <v>15/08/2015</v>
          </cell>
          <cell r="AB763" t="str">
            <v>No</v>
          </cell>
          <cell r="AC763" t="str">
            <v>31/08/2013</v>
          </cell>
          <cell r="AD763" t="str">
            <v>Good</v>
          </cell>
          <cell r="AE763" t="str">
            <v>V1 - Existing / No Claim</v>
          </cell>
          <cell r="AF763">
            <v>42788</v>
          </cell>
          <cell r="AG763">
            <v>9.17</v>
          </cell>
          <cell r="AH763" t="str">
            <v>PPM</v>
          </cell>
          <cell r="AI763" t="str">
            <v>Strands</v>
          </cell>
          <cell r="AJ763" t="str">
            <v>Strands PW</v>
          </cell>
        </row>
        <row r="764">
          <cell r="A764" t="str">
            <v>IKN400297</v>
          </cell>
          <cell r="B764">
            <v>297</v>
          </cell>
          <cell r="C764" t="str">
            <v>Institut Kanser Negara</v>
          </cell>
          <cell r="D764" t="str">
            <v>KKM/IKN/H/13/2039</v>
          </cell>
          <cell r="E764" t="str">
            <v>13-215</v>
          </cell>
          <cell r="F764" t="str">
            <v>Infusion Pumps, General-Purpose</v>
          </cell>
          <cell r="G764" t="str">
            <v>WH</v>
          </cell>
          <cell r="H764" t="str">
            <v>RT/ONCO WARD 2 (M)</v>
          </cell>
          <cell r="I764" t="str">
            <v>08WH121</v>
          </cell>
          <cell r="J764" t="str">
            <v>EQUIPMENT ROOM</v>
          </cell>
          <cell r="K764" t="str">
            <v>BMED</v>
          </cell>
          <cell r="L764" t="str">
            <v>Critical</v>
          </cell>
          <cell r="M764" t="str">
            <v>Germany</v>
          </cell>
          <cell r="N764" t="str">
            <v>Infusomat</v>
          </cell>
          <cell r="O764" t="str">
            <v>Infusomat Space</v>
          </cell>
          <cell r="P764" t="str">
            <v>211871</v>
          </cell>
          <cell r="Q764" t="str">
            <v>Not Applicable</v>
          </cell>
          <cell r="R764" t="str">
            <v>B Braun Melsungen AG</v>
          </cell>
          <cell r="S764" t="str">
            <v>B Braun Medical Supplies Sdn. Bhd.</v>
          </cell>
          <cell r="T764" t="str">
            <v>Functioning</v>
          </cell>
          <cell r="U764" t="str">
            <v>Asset</v>
          </cell>
          <cell r="V764">
            <v>10825</v>
          </cell>
          <cell r="W764" t="str">
            <v>KEW</v>
          </cell>
          <cell r="X764" t="str">
            <v>01/09/2010</v>
          </cell>
          <cell r="Y764" t="str">
            <v>KEW</v>
          </cell>
          <cell r="Z764" t="str">
            <v>16/08/2013</v>
          </cell>
          <cell r="AA764" t="str">
            <v>15/08/2015</v>
          </cell>
          <cell r="AB764" t="str">
            <v>No</v>
          </cell>
          <cell r="AC764" t="str">
            <v>31/08/2013</v>
          </cell>
          <cell r="AD764" t="str">
            <v>Good</v>
          </cell>
          <cell r="AE764" t="str">
            <v>V1 - Existing / No Claim</v>
          </cell>
          <cell r="AF764">
            <v>42788</v>
          </cell>
          <cell r="AG764">
            <v>9.17</v>
          </cell>
          <cell r="AH764" t="str">
            <v>PPM</v>
          </cell>
          <cell r="AI764" t="str">
            <v>Strands</v>
          </cell>
          <cell r="AJ764" t="str">
            <v>Strands PW</v>
          </cell>
        </row>
        <row r="765">
          <cell r="A765" t="str">
            <v>IKN400298</v>
          </cell>
          <cell r="B765">
            <v>298</v>
          </cell>
          <cell r="C765" t="str">
            <v>Institut Kanser Negara</v>
          </cell>
          <cell r="D765" t="str">
            <v>KKM/IKN/H/13/2045</v>
          </cell>
          <cell r="E765" t="str">
            <v>18-147</v>
          </cell>
          <cell r="F765" t="str">
            <v>Mattress Systems, Alternating-Pressure</v>
          </cell>
          <cell r="G765" t="str">
            <v>WH</v>
          </cell>
          <cell r="H765" t="str">
            <v>RT/ONCO WARD 2 (M)</v>
          </cell>
          <cell r="I765" t="str">
            <v>08WH121</v>
          </cell>
          <cell r="J765" t="str">
            <v>EQUIPMENT ROOM</v>
          </cell>
          <cell r="K765" t="str">
            <v>BMED</v>
          </cell>
          <cell r="L765" t="str">
            <v>Normal</v>
          </cell>
          <cell r="M765" t="str">
            <v>Poland</v>
          </cell>
          <cell r="N765" t="str">
            <v>Nimbus</v>
          </cell>
          <cell r="O765" t="str">
            <v>Nimbus 3</v>
          </cell>
          <cell r="P765" t="str">
            <v>1200005112</v>
          </cell>
          <cell r="Q765" t="str">
            <v>Not Applicable</v>
          </cell>
          <cell r="R765" t="str">
            <v>Arjohuntleigh</v>
          </cell>
          <cell r="S765" t="str">
            <v>Hexamine Sdn. Bhd.</v>
          </cell>
          <cell r="T765" t="str">
            <v>Functioning</v>
          </cell>
          <cell r="U765" t="str">
            <v>Asset</v>
          </cell>
          <cell r="V765">
            <v>28630</v>
          </cell>
          <cell r="W765" t="str">
            <v>KEW</v>
          </cell>
          <cell r="X765" t="str">
            <v>01/09/2010</v>
          </cell>
          <cell r="Y765" t="str">
            <v>KEW</v>
          </cell>
          <cell r="Z765" t="str">
            <v>16/08/2013</v>
          </cell>
          <cell r="AA765" t="str">
            <v>15/08/2015</v>
          </cell>
          <cell r="AB765" t="str">
            <v>No</v>
          </cell>
          <cell r="AC765" t="str">
            <v>31/08/2013</v>
          </cell>
          <cell r="AD765" t="str">
            <v>Good</v>
          </cell>
          <cell r="AE765" t="str">
            <v>V1 - Existing / No Claim</v>
          </cell>
          <cell r="AF765">
            <v>42235</v>
          </cell>
          <cell r="AG765">
            <v>9.17</v>
          </cell>
          <cell r="AH765" t="str">
            <v>PPM</v>
          </cell>
          <cell r="AI765" t="str">
            <v>Strands</v>
          </cell>
          <cell r="AJ765" t="str">
            <v>Strands PW</v>
          </cell>
        </row>
        <row r="766">
          <cell r="A766" t="str">
            <v>IKN400299</v>
          </cell>
          <cell r="B766">
            <v>299</v>
          </cell>
          <cell r="C766" t="str">
            <v>Institut Kanser Negara</v>
          </cell>
          <cell r="D766" t="str">
            <v>KKM/IKN/H/13/2048</v>
          </cell>
          <cell r="E766" t="str">
            <v>18-147</v>
          </cell>
          <cell r="F766" t="str">
            <v>Mattress Systems, Alternating-Pressure</v>
          </cell>
          <cell r="G766" t="str">
            <v>WH</v>
          </cell>
          <cell r="H766" t="str">
            <v>RT/ONCO WARD 2 (M)</v>
          </cell>
          <cell r="I766" t="str">
            <v>08WH121</v>
          </cell>
          <cell r="J766" t="str">
            <v>EQUIPMENT ROOM</v>
          </cell>
          <cell r="K766" t="str">
            <v>BMED</v>
          </cell>
          <cell r="L766" t="str">
            <v>Normal</v>
          </cell>
          <cell r="M766" t="str">
            <v>Poland</v>
          </cell>
          <cell r="N766" t="str">
            <v>Nimbus</v>
          </cell>
          <cell r="O766" t="str">
            <v>Nimbus 3</v>
          </cell>
          <cell r="P766" t="str">
            <v>1200005123</v>
          </cell>
          <cell r="Q766" t="str">
            <v>Not Applicable</v>
          </cell>
          <cell r="R766" t="str">
            <v>Arjohuntleigh</v>
          </cell>
          <cell r="S766" t="str">
            <v>Hexamine Sdn. Bhd.</v>
          </cell>
          <cell r="T766" t="str">
            <v>Functioning</v>
          </cell>
          <cell r="U766" t="str">
            <v>Asset</v>
          </cell>
          <cell r="V766">
            <v>28630</v>
          </cell>
          <cell r="W766" t="str">
            <v>KEW</v>
          </cell>
          <cell r="X766" t="str">
            <v>01/09/2010</v>
          </cell>
          <cell r="Y766" t="str">
            <v>KEW</v>
          </cell>
          <cell r="Z766" t="str">
            <v>16/08/2013</v>
          </cell>
          <cell r="AA766" t="str">
            <v>15/08/2015</v>
          </cell>
          <cell r="AB766" t="str">
            <v>No</v>
          </cell>
          <cell r="AC766" t="str">
            <v>31/08/2013</v>
          </cell>
          <cell r="AD766" t="str">
            <v>Good</v>
          </cell>
          <cell r="AE766" t="str">
            <v>V1 - Existing / No Claim</v>
          </cell>
          <cell r="AF766">
            <v>42235</v>
          </cell>
          <cell r="AG766">
            <v>9.17</v>
          </cell>
          <cell r="AH766" t="str">
            <v>PPM</v>
          </cell>
          <cell r="AI766" t="str">
            <v>Strands</v>
          </cell>
          <cell r="AJ766" t="str">
            <v>Strands PW</v>
          </cell>
        </row>
        <row r="767">
          <cell r="A767" t="str">
            <v>IKN400300</v>
          </cell>
          <cell r="B767">
            <v>300</v>
          </cell>
          <cell r="C767" t="str">
            <v>Institut Kanser Negara</v>
          </cell>
          <cell r="D767" t="str">
            <v>KKM/IKN/H/13/2043</v>
          </cell>
          <cell r="E767" t="str">
            <v>18-147</v>
          </cell>
          <cell r="F767" t="str">
            <v>Mattress Systems, Alternating-Pressure</v>
          </cell>
          <cell r="G767" t="str">
            <v>WH</v>
          </cell>
          <cell r="H767" t="str">
            <v>RT/ONCO WARD 2 (M)</v>
          </cell>
          <cell r="I767" t="str">
            <v>08WH121</v>
          </cell>
          <cell r="J767" t="str">
            <v>EQUIPMENT ROOM</v>
          </cell>
          <cell r="K767" t="str">
            <v>BMED</v>
          </cell>
          <cell r="L767" t="str">
            <v>Normal</v>
          </cell>
          <cell r="M767" t="str">
            <v>Poland</v>
          </cell>
          <cell r="N767" t="str">
            <v>Nimbus</v>
          </cell>
          <cell r="O767" t="str">
            <v>Nimbus 3</v>
          </cell>
          <cell r="P767" t="str">
            <v>1200006469</v>
          </cell>
          <cell r="Q767" t="str">
            <v>Not Applicable</v>
          </cell>
          <cell r="R767" t="str">
            <v>Arjohuntleigh</v>
          </cell>
          <cell r="S767" t="str">
            <v>Hexamine Sdn. Bhd.</v>
          </cell>
          <cell r="T767" t="str">
            <v>Functioning</v>
          </cell>
          <cell r="U767" t="str">
            <v>Asset</v>
          </cell>
          <cell r="V767">
            <v>28630</v>
          </cell>
          <cell r="W767" t="str">
            <v>KEW</v>
          </cell>
          <cell r="X767" t="str">
            <v>01/09/2010</v>
          </cell>
          <cell r="Y767" t="str">
            <v>KEW</v>
          </cell>
          <cell r="Z767" t="str">
            <v>16/08/2013</v>
          </cell>
          <cell r="AA767" t="str">
            <v>15/08/2015</v>
          </cell>
          <cell r="AB767" t="str">
            <v>No</v>
          </cell>
          <cell r="AC767" t="str">
            <v>31/08/2013</v>
          </cell>
          <cell r="AD767" t="str">
            <v>Good</v>
          </cell>
          <cell r="AE767" t="str">
            <v>V1 - Existing / No Claim</v>
          </cell>
          <cell r="AF767">
            <v>42235</v>
          </cell>
          <cell r="AG767">
            <v>9.17</v>
          </cell>
          <cell r="AH767" t="str">
            <v>PPM</v>
          </cell>
          <cell r="AI767" t="str">
            <v>Strands</v>
          </cell>
          <cell r="AJ767" t="str">
            <v>Strands PW</v>
          </cell>
        </row>
        <row r="768">
          <cell r="A768" t="str">
            <v>IKN400301</v>
          </cell>
          <cell r="B768">
            <v>301</v>
          </cell>
          <cell r="C768" t="str">
            <v>Institut Kanser Negara</v>
          </cell>
          <cell r="D768" t="str">
            <v>KKM/IKN/H/13/2047</v>
          </cell>
          <cell r="E768" t="str">
            <v>18-147</v>
          </cell>
          <cell r="F768" t="str">
            <v>Mattress Systems, Alternating-Pressure</v>
          </cell>
          <cell r="G768" t="str">
            <v>WH</v>
          </cell>
          <cell r="H768" t="str">
            <v>RT/ONCO WARD 2 (M)</v>
          </cell>
          <cell r="I768" t="str">
            <v>08WH121</v>
          </cell>
          <cell r="J768" t="str">
            <v>EQUIPMENT ROOM</v>
          </cell>
          <cell r="K768" t="str">
            <v>BMED</v>
          </cell>
          <cell r="L768" t="str">
            <v>Normal</v>
          </cell>
          <cell r="M768" t="str">
            <v>Poland</v>
          </cell>
          <cell r="N768" t="str">
            <v>Nimbus</v>
          </cell>
          <cell r="O768" t="str">
            <v>Nimbus 3</v>
          </cell>
          <cell r="P768" t="str">
            <v>1200005124</v>
          </cell>
          <cell r="Q768" t="str">
            <v>Not Applicable</v>
          </cell>
          <cell r="R768" t="str">
            <v>Arjohuntleigh</v>
          </cell>
          <cell r="S768" t="str">
            <v>Hexamine Sdn. Bhd.</v>
          </cell>
          <cell r="T768" t="str">
            <v>Functioning</v>
          </cell>
          <cell r="U768" t="str">
            <v>Asset</v>
          </cell>
          <cell r="V768">
            <v>28630</v>
          </cell>
          <cell r="W768" t="str">
            <v>KEW</v>
          </cell>
          <cell r="X768" t="str">
            <v>01/09/2010</v>
          </cell>
          <cell r="Y768" t="str">
            <v>KEW</v>
          </cell>
          <cell r="Z768" t="str">
            <v>16/08/2013</v>
          </cell>
          <cell r="AA768" t="str">
            <v>15/08/2015</v>
          </cell>
          <cell r="AB768" t="str">
            <v>No</v>
          </cell>
          <cell r="AC768" t="str">
            <v>31/08/2013</v>
          </cell>
          <cell r="AD768" t="str">
            <v>Good</v>
          </cell>
          <cell r="AE768" t="str">
            <v>V1 - Existing / No Claim</v>
          </cell>
          <cell r="AF768">
            <v>42235</v>
          </cell>
          <cell r="AG768">
            <v>9.17</v>
          </cell>
          <cell r="AH768" t="str">
            <v>PPM</v>
          </cell>
          <cell r="AI768" t="str">
            <v>Strands</v>
          </cell>
          <cell r="AJ768" t="str">
            <v>Strands PW</v>
          </cell>
        </row>
        <row r="769">
          <cell r="A769" t="str">
            <v>IKN400302</v>
          </cell>
          <cell r="B769">
            <v>302</v>
          </cell>
          <cell r="C769" t="str">
            <v>Institut Kanser Negara</v>
          </cell>
          <cell r="D769" t="str">
            <v>KKM/IKN/H/13/2046</v>
          </cell>
          <cell r="E769" t="str">
            <v>18-147</v>
          </cell>
          <cell r="F769" t="str">
            <v>Mattress Systems, Alternating-Pressure</v>
          </cell>
          <cell r="G769" t="str">
            <v>WH</v>
          </cell>
          <cell r="H769" t="str">
            <v>RT/ONCO WARD 2 (M)</v>
          </cell>
          <cell r="I769" t="str">
            <v>08WH121</v>
          </cell>
          <cell r="J769" t="str">
            <v>EQUIPMENT ROOM</v>
          </cell>
          <cell r="K769" t="str">
            <v>BMED</v>
          </cell>
          <cell r="L769" t="str">
            <v>Normal</v>
          </cell>
          <cell r="M769" t="str">
            <v>Poland</v>
          </cell>
          <cell r="N769" t="str">
            <v>Nimbus</v>
          </cell>
          <cell r="O769" t="str">
            <v>Nimbus 3</v>
          </cell>
          <cell r="P769" t="str">
            <v>1200005117</v>
          </cell>
          <cell r="Q769" t="str">
            <v>Not Applicable</v>
          </cell>
          <cell r="R769" t="str">
            <v>Arjohuntleigh</v>
          </cell>
          <cell r="S769" t="str">
            <v>Hexamine Sdn. Bhd.</v>
          </cell>
          <cell r="T769" t="str">
            <v>Functioning</v>
          </cell>
          <cell r="U769" t="str">
            <v>Asset</v>
          </cell>
          <cell r="V769">
            <v>28630</v>
          </cell>
          <cell r="W769" t="str">
            <v>KEW</v>
          </cell>
          <cell r="X769" t="str">
            <v>01/09/2010</v>
          </cell>
          <cell r="Y769" t="str">
            <v>KEW</v>
          </cell>
          <cell r="Z769" t="str">
            <v>16/08/2013</v>
          </cell>
          <cell r="AA769" t="str">
            <v>15/08/2015</v>
          </cell>
          <cell r="AB769" t="str">
            <v>No</v>
          </cell>
          <cell r="AC769" t="str">
            <v>31/08/2013</v>
          </cell>
          <cell r="AD769" t="str">
            <v>Good</v>
          </cell>
          <cell r="AE769" t="str">
            <v>V1 - Existing / No Claim</v>
          </cell>
          <cell r="AF769">
            <v>42235</v>
          </cell>
          <cell r="AG769">
            <v>9.17</v>
          </cell>
          <cell r="AH769" t="str">
            <v>PPM</v>
          </cell>
          <cell r="AI769" t="str">
            <v>Strands</v>
          </cell>
          <cell r="AJ769" t="str">
            <v>Strands PW</v>
          </cell>
        </row>
        <row r="770">
          <cell r="A770" t="str">
            <v>IKN400303</v>
          </cell>
          <cell r="B770">
            <v>303</v>
          </cell>
          <cell r="C770" t="str">
            <v>Institut Kanser Negara</v>
          </cell>
          <cell r="D770" t="str">
            <v>KKM/IKN/H/13/2044</v>
          </cell>
          <cell r="E770" t="str">
            <v>18-147</v>
          </cell>
          <cell r="F770" t="str">
            <v>Mattress Systems, Alternating-Pressure</v>
          </cell>
          <cell r="G770" t="str">
            <v>WH</v>
          </cell>
          <cell r="H770" t="str">
            <v>RT/ONCO WARD 2 (M)</v>
          </cell>
          <cell r="I770" t="str">
            <v>08WH121</v>
          </cell>
          <cell r="J770" t="str">
            <v>EQUIPMENT ROOM</v>
          </cell>
          <cell r="K770" t="str">
            <v>BMED</v>
          </cell>
          <cell r="L770" t="str">
            <v>Normal</v>
          </cell>
          <cell r="M770" t="str">
            <v>Poland</v>
          </cell>
          <cell r="N770" t="str">
            <v>Nimbus</v>
          </cell>
          <cell r="O770" t="str">
            <v>Nimbus 3</v>
          </cell>
          <cell r="P770" t="str">
            <v>1200005119</v>
          </cell>
          <cell r="Q770" t="str">
            <v>Not Applicable</v>
          </cell>
          <cell r="R770" t="str">
            <v>Arjohuntleigh</v>
          </cell>
          <cell r="S770" t="str">
            <v>Hexamine Sdn. Bhd.</v>
          </cell>
          <cell r="T770" t="str">
            <v>Functioning</v>
          </cell>
          <cell r="U770" t="str">
            <v>Asset</v>
          </cell>
          <cell r="V770">
            <v>28630</v>
          </cell>
          <cell r="W770" t="str">
            <v>KEW</v>
          </cell>
          <cell r="X770" t="str">
            <v>01/09/2010</v>
          </cell>
          <cell r="Y770" t="str">
            <v>KEW</v>
          </cell>
          <cell r="Z770" t="str">
            <v>16/08/2013</v>
          </cell>
          <cell r="AA770" t="str">
            <v>15/08/2015</v>
          </cell>
          <cell r="AB770" t="str">
            <v>No</v>
          </cell>
          <cell r="AC770" t="str">
            <v>31/08/2013</v>
          </cell>
          <cell r="AD770" t="str">
            <v>Good</v>
          </cell>
          <cell r="AE770" t="str">
            <v>V1 - Existing / No Claim</v>
          </cell>
          <cell r="AF770">
            <v>42235</v>
          </cell>
          <cell r="AG770">
            <v>9.17</v>
          </cell>
          <cell r="AH770" t="str">
            <v>PPM</v>
          </cell>
          <cell r="AI770" t="str">
            <v>Strands</v>
          </cell>
          <cell r="AJ770" t="str">
            <v>Strands PW</v>
          </cell>
        </row>
        <row r="771">
          <cell r="A771" t="str">
            <v>IKN400304</v>
          </cell>
          <cell r="B771">
            <v>304</v>
          </cell>
          <cell r="C771" t="str">
            <v>Institut Kanser Negara</v>
          </cell>
          <cell r="D771" t="str">
            <v>KKM/IKN/H/13/5436</v>
          </cell>
          <cell r="E771" t="str">
            <v>18-013</v>
          </cell>
          <cell r="F771" t="str">
            <v>Incubators, Laboratory, Thermocycling</v>
          </cell>
          <cell r="G771" t="str">
            <v>NM</v>
          </cell>
          <cell r="H771" t="str">
            <v>NUCLEAR MED (DIAGNOSTIC)</v>
          </cell>
          <cell r="I771" t="str">
            <v>03NM112</v>
          </cell>
          <cell r="J771" t="str">
            <v>CLEAN UTILITY</v>
          </cell>
          <cell r="K771" t="str">
            <v>BMED</v>
          </cell>
          <cell r="L771" t="str">
            <v>Normal</v>
          </cell>
          <cell r="M771" t="str">
            <v>Germany</v>
          </cell>
          <cell r="N771" t="str">
            <v>Binder</v>
          </cell>
          <cell r="O771" t="str">
            <v>Binder BD 115</v>
          </cell>
          <cell r="P771" t="str">
            <v>13-08709</v>
          </cell>
          <cell r="Q771" t="str">
            <v>Not Applicable</v>
          </cell>
          <cell r="R771" t="str">
            <v>Binder GmbH &amp; Co</v>
          </cell>
          <cell r="S771" t="str">
            <v>Bumi Sains Sdn. Bhd.</v>
          </cell>
          <cell r="T771" t="str">
            <v>Functioning</v>
          </cell>
          <cell r="U771" t="str">
            <v>Asset</v>
          </cell>
          <cell r="V771">
            <v>16240</v>
          </cell>
          <cell r="W771" t="str">
            <v>KEW</v>
          </cell>
          <cell r="X771" t="str">
            <v>01/09/2010</v>
          </cell>
          <cell r="Y771" t="str">
            <v>KEW</v>
          </cell>
          <cell r="Z771" t="str">
            <v>16/08/2013</v>
          </cell>
          <cell r="AA771" t="str">
            <v>15/08/2015</v>
          </cell>
          <cell r="AB771" t="str">
            <v>No</v>
          </cell>
          <cell r="AC771" t="str">
            <v>31/08/2013</v>
          </cell>
          <cell r="AD771" t="str">
            <v>Good</v>
          </cell>
          <cell r="AE771" t="str">
            <v>V3 - Added Installed Facilities (New)</v>
          </cell>
          <cell r="AF771">
            <v>42235</v>
          </cell>
          <cell r="AG771">
            <v>9.17</v>
          </cell>
          <cell r="AH771" t="str">
            <v>PPM</v>
          </cell>
          <cell r="AI771" t="str">
            <v>Strands</v>
          </cell>
          <cell r="AJ771" t="str">
            <v>Strands PW</v>
          </cell>
          <cell r="AK771" t="str">
            <v>SNF received. 1st batch of V3 asset (December 2020)</v>
          </cell>
        </row>
        <row r="772">
          <cell r="A772" t="str">
            <v>IKN400305</v>
          </cell>
          <cell r="B772">
            <v>305</v>
          </cell>
          <cell r="C772" t="str">
            <v>Institut Kanser Negara</v>
          </cell>
          <cell r="D772" t="str">
            <v>KKM/IKN/H/13/4965</v>
          </cell>
          <cell r="E772" t="str">
            <v>16-173</v>
          </cell>
          <cell r="F772" t="str">
            <v>Sphygmomanometers, Electronic, Automatic</v>
          </cell>
          <cell r="G772" t="str">
            <v>WH</v>
          </cell>
          <cell r="H772" t="str">
            <v>RT/ONCO WARD 2 (M)</v>
          </cell>
          <cell r="I772" t="str">
            <v>08WH143</v>
          </cell>
          <cell r="J772" t="str">
            <v>NURSE STATION</v>
          </cell>
          <cell r="K772" t="str">
            <v>BMED</v>
          </cell>
          <cell r="L772" t="str">
            <v>Normal</v>
          </cell>
          <cell r="M772" t="str">
            <v>USA</v>
          </cell>
          <cell r="N772" t="str">
            <v>Connex</v>
          </cell>
          <cell r="O772" t="str">
            <v>Connex ProBP 3400</v>
          </cell>
          <cell r="P772" t="str">
            <v>100001490613</v>
          </cell>
          <cell r="Q772" t="str">
            <v>Not Applicable</v>
          </cell>
          <cell r="R772" t="str">
            <v>Welch Allyn Inc</v>
          </cell>
          <cell r="S772" t="str">
            <v>Welch Allyn Malaysia Sdn Bhd</v>
          </cell>
          <cell r="T772" t="str">
            <v>Functioning</v>
          </cell>
          <cell r="U772" t="str">
            <v>Asset</v>
          </cell>
          <cell r="V772">
            <v>4510</v>
          </cell>
          <cell r="W772" t="str">
            <v>KEW</v>
          </cell>
          <cell r="X772" t="str">
            <v>01/09/2010</v>
          </cell>
          <cell r="Y772" t="str">
            <v>KEW</v>
          </cell>
          <cell r="Z772" t="str">
            <v>16/08/2013</v>
          </cell>
          <cell r="AA772" t="str">
            <v>15/08/2015</v>
          </cell>
          <cell r="AB772" t="str">
            <v>No</v>
          </cell>
          <cell r="AC772" t="str">
            <v>31/08/2013</v>
          </cell>
          <cell r="AD772" t="str">
            <v>Good</v>
          </cell>
          <cell r="AE772" t="str">
            <v>V1 - Existing / No Claim</v>
          </cell>
          <cell r="AF772">
            <v>42235</v>
          </cell>
          <cell r="AG772">
            <v>9.17</v>
          </cell>
          <cell r="AH772" t="str">
            <v>PPM</v>
          </cell>
          <cell r="AI772" t="str">
            <v>Strands</v>
          </cell>
          <cell r="AJ772" t="str">
            <v>Strands PW</v>
          </cell>
        </row>
        <row r="773">
          <cell r="A773" t="str">
            <v>IKN400306</v>
          </cell>
          <cell r="B773">
            <v>306</v>
          </cell>
          <cell r="C773" t="str">
            <v>Institut Kanser Negara</v>
          </cell>
          <cell r="D773" t="str">
            <v>KKM/IKN/H/13/3164</v>
          </cell>
          <cell r="E773" t="str">
            <v>12-647</v>
          </cell>
          <cell r="F773" t="str">
            <v>Physiologic Monitoring Systems, Acute Care</v>
          </cell>
          <cell r="G773" t="str">
            <v>WH</v>
          </cell>
          <cell r="H773" t="str">
            <v>RT/ONCO WARD 2 (M)</v>
          </cell>
          <cell r="I773" t="str">
            <v>08WH121</v>
          </cell>
          <cell r="J773" t="str">
            <v>EQUIPMENT ROOM</v>
          </cell>
          <cell r="K773" t="str">
            <v>BMED</v>
          </cell>
          <cell r="L773" t="str">
            <v>Critical</v>
          </cell>
          <cell r="M773" t="str">
            <v>USA</v>
          </cell>
          <cell r="N773" t="str">
            <v>GE</v>
          </cell>
          <cell r="O773" t="str">
            <v>GE B30</v>
          </cell>
          <cell r="P773" t="str">
            <v>SF312325913WA</v>
          </cell>
          <cell r="Q773" t="str">
            <v>Not Applicable</v>
          </cell>
          <cell r="R773" t="str">
            <v>GE Healthcare Systems</v>
          </cell>
          <cell r="S773" t="str">
            <v>GE Healthcare Technologies</v>
          </cell>
          <cell r="T773" t="str">
            <v>Functioning</v>
          </cell>
          <cell r="U773" t="str">
            <v>Asset</v>
          </cell>
          <cell r="V773">
            <v>44510</v>
          </cell>
          <cell r="W773" t="str">
            <v>KEW</v>
          </cell>
          <cell r="X773" t="str">
            <v>01/09/2010</v>
          </cell>
          <cell r="Y773" t="str">
            <v>KEW</v>
          </cell>
          <cell r="Z773" t="str">
            <v>16/08/2013</v>
          </cell>
          <cell r="AA773" t="str">
            <v>15/08/2015</v>
          </cell>
          <cell r="AB773" t="str">
            <v>No</v>
          </cell>
          <cell r="AC773" t="str">
            <v>31/08/2013</v>
          </cell>
          <cell r="AD773" t="str">
            <v>Good</v>
          </cell>
          <cell r="AE773" t="str">
            <v>V1 - Existing / No Claim</v>
          </cell>
          <cell r="AF773">
            <v>42787</v>
          </cell>
          <cell r="AG773">
            <v>9.17</v>
          </cell>
          <cell r="AH773" t="str">
            <v>PPM</v>
          </cell>
          <cell r="AI773" t="str">
            <v>Strands</v>
          </cell>
          <cell r="AJ773" t="str">
            <v>Strands PW</v>
          </cell>
        </row>
        <row r="774">
          <cell r="A774" t="str">
            <v>IKN400307</v>
          </cell>
          <cell r="B774">
            <v>307</v>
          </cell>
          <cell r="C774" t="str">
            <v>Institut Kanser Negara</v>
          </cell>
          <cell r="D774" t="str">
            <v>KKM/IKN/H/13/3165</v>
          </cell>
          <cell r="E774" t="str">
            <v>12-647</v>
          </cell>
          <cell r="F774" t="str">
            <v>Physiologic Monitoring Systems, Acute Care</v>
          </cell>
          <cell r="G774" t="str">
            <v>WH</v>
          </cell>
          <cell r="H774" t="str">
            <v>RT/ONCO WARD 2 (M)</v>
          </cell>
          <cell r="I774" t="str">
            <v>08WH121</v>
          </cell>
          <cell r="J774" t="str">
            <v>EQUIPMENT ROOM</v>
          </cell>
          <cell r="K774" t="str">
            <v>BMED</v>
          </cell>
          <cell r="L774" t="str">
            <v>Critical</v>
          </cell>
          <cell r="M774" t="str">
            <v>USA</v>
          </cell>
          <cell r="N774" t="str">
            <v>GE</v>
          </cell>
          <cell r="O774" t="str">
            <v>GE B30</v>
          </cell>
          <cell r="P774" t="str">
            <v>SF312325903WA</v>
          </cell>
          <cell r="Q774" t="str">
            <v>Not Applicable</v>
          </cell>
          <cell r="R774" t="str">
            <v>GE Healthcare Systems</v>
          </cell>
          <cell r="S774" t="str">
            <v>GE Healthcare Technologies</v>
          </cell>
          <cell r="T774" t="str">
            <v>Functioning</v>
          </cell>
          <cell r="U774" t="str">
            <v>Asset</v>
          </cell>
          <cell r="V774">
            <v>44510</v>
          </cell>
          <cell r="W774" t="str">
            <v>KEW</v>
          </cell>
          <cell r="X774" t="str">
            <v>01/09/2010</v>
          </cell>
          <cell r="Y774" t="str">
            <v>KEW</v>
          </cell>
          <cell r="Z774" t="str">
            <v>16/08/2013</v>
          </cell>
          <cell r="AA774" t="str">
            <v>15/08/2015</v>
          </cell>
          <cell r="AB774" t="str">
            <v>No</v>
          </cell>
          <cell r="AC774" t="str">
            <v>31/08/2013</v>
          </cell>
          <cell r="AD774" t="str">
            <v>Good</v>
          </cell>
          <cell r="AE774" t="str">
            <v>V1 - Existing / No Claim</v>
          </cell>
          <cell r="AF774">
            <v>42788</v>
          </cell>
          <cell r="AG774">
            <v>9.17</v>
          </cell>
          <cell r="AH774" t="str">
            <v>PPM</v>
          </cell>
          <cell r="AI774" t="str">
            <v>Strands</v>
          </cell>
          <cell r="AJ774" t="str">
            <v>Strands PW</v>
          </cell>
        </row>
        <row r="775">
          <cell r="A775" t="str">
            <v>IKN400308</v>
          </cell>
          <cell r="B775">
            <v>308</v>
          </cell>
          <cell r="C775" t="str">
            <v>Institut Kanser Negara</v>
          </cell>
          <cell r="D775" t="str">
            <v>KKM/IKN/H/13/3193</v>
          </cell>
          <cell r="E775" t="str">
            <v>11-134</v>
          </cell>
          <cell r="F775" t="str">
            <v>Defibrillators, External, Manual</v>
          </cell>
          <cell r="G775" t="str">
            <v>WH</v>
          </cell>
          <cell r="H775" t="str">
            <v>RT/ONCO WARD 2 (M)</v>
          </cell>
          <cell r="I775" t="str">
            <v>08WH133</v>
          </cell>
          <cell r="J775" t="str">
            <v>RESUS EQ. BAY</v>
          </cell>
          <cell r="K775" t="str">
            <v>BMED</v>
          </cell>
          <cell r="L775" t="str">
            <v>Critical</v>
          </cell>
          <cell r="M775" t="str">
            <v>USA</v>
          </cell>
          <cell r="N775" t="str">
            <v>Responder</v>
          </cell>
          <cell r="O775" t="str">
            <v>Responder 2000</v>
          </cell>
          <cell r="P775" t="str">
            <v>3206647</v>
          </cell>
          <cell r="Q775" t="str">
            <v>Not Applicable</v>
          </cell>
          <cell r="R775" t="str">
            <v>GE Medical Systems</v>
          </cell>
          <cell r="S775" t="str">
            <v>Antah Sir Radin Sdn. Bhd.</v>
          </cell>
          <cell r="T775" t="str">
            <v>Functioning</v>
          </cell>
          <cell r="U775" t="str">
            <v>Asset</v>
          </cell>
          <cell r="V775">
            <v>45000</v>
          </cell>
          <cell r="W775" t="str">
            <v>Estimate</v>
          </cell>
          <cell r="X775" t="str">
            <v>01/09/2010</v>
          </cell>
          <cell r="Y775" t="str">
            <v>KEW</v>
          </cell>
          <cell r="Z775" t="str">
            <v>16/08/2013</v>
          </cell>
          <cell r="AA775" t="str">
            <v>15/08/2015</v>
          </cell>
          <cell r="AB775" t="str">
            <v>No</v>
          </cell>
          <cell r="AC775" t="str">
            <v>31/08/2013</v>
          </cell>
          <cell r="AD775" t="str">
            <v>Good</v>
          </cell>
          <cell r="AE775" t="str">
            <v>V1 - Existing / No Claim</v>
          </cell>
          <cell r="AF775">
            <v>42601</v>
          </cell>
          <cell r="AG775">
            <v>9.17</v>
          </cell>
          <cell r="AH775" t="str">
            <v>PPM</v>
          </cell>
          <cell r="AI775" t="str">
            <v>Strands</v>
          </cell>
          <cell r="AJ775" t="str">
            <v>Strands PW</v>
          </cell>
          <cell r="AK775" t="str">
            <v>Crash Trolley (FEMS)</v>
          </cell>
        </row>
        <row r="776">
          <cell r="A776" t="str">
            <v>IKN400309</v>
          </cell>
          <cell r="B776">
            <v>309</v>
          </cell>
          <cell r="C776" t="str">
            <v>Institut Kanser Negara</v>
          </cell>
          <cell r="D776" t="str">
            <v>KKM/IKN/H/14/85</v>
          </cell>
          <cell r="E776" t="str">
            <v>15-156</v>
          </cell>
          <cell r="F776" t="str">
            <v>Microscopes, Light, Laboratory</v>
          </cell>
          <cell r="G776" t="str">
            <v>LA</v>
          </cell>
          <cell r="H776" t="str">
            <v>PATHOLOGY</v>
          </cell>
          <cell r="I776" t="str">
            <v>04LA130</v>
          </cell>
          <cell r="J776" t="str">
            <v>SEROLOGY</v>
          </cell>
          <cell r="K776" t="str">
            <v>BMED</v>
          </cell>
          <cell r="L776" t="str">
            <v>Normal</v>
          </cell>
          <cell r="M776" t="str">
            <v>Philipines</v>
          </cell>
          <cell r="N776" t="str">
            <v>Olympus</v>
          </cell>
          <cell r="O776" t="str">
            <v>Olympus CX 31RBSF</v>
          </cell>
          <cell r="P776" t="str">
            <v>4E40694</v>
          </cell>
          <cell r="Q776" t="str">
            <v>Not Applicable</v>
          </cell>
          <cell r="R776" t="str">
            <v>Olympus Corp Ltd</v>
          </cell>
          <cell r="S776" t="str">
            <v>Matrix Optics (M) Sdn. Bhd</v>
          </cell>
          <cell r="T776" t="str">
            <v>Functioning</v>
          </cell>
          <cell r="U776" t="str">
            <v>Asset</v>
          </cell>
          <cell r="V776">
            <v>15550</v>
          </cell>
          <cell r="W776" t="str">
            <v>KEW</v>
          </cell>
          <cell r="X776" t="str">
            <v>25/09/2014</v>
          </cell>
          <cell r="Y776" t="str">
            <v>KEW</v>
          </cell>
          <cell r="Z776" t="str">
            <v>13/11/2014</v>
          </cell>
          <cell r="AA776" t="str">
            <v>12/11/2015</v>
          </cell>
          <cell r="AB776" t="str">
            <v>No</v>
          </cell>
          <cell r="AC776" t="str">
            <v>13/11/2014</v>
          </cell>
          <cell r="AD776" t="str">
            <v>Good</v>
          </cell>
          <cell r="AE776" t="str">
            <v>V3 - Added Installed Facilities (New)</v>
          </cell>
          <cell r="AF776">
            <v>42679</v>
          </cell>
          <cell r="AG776">
            <v>5.17</v>
          </cell>
          <cell r="AH776" t="str">
            <v>PPM</v>
          </cell>
          <cell r="AI776" t="str">
            <v>Strands</v>
          </cell>
          <cell r="AJ776" t="str">
            <v>Strands PW</v>
          </cell>
          <cell r="AK776" t="str">
            <v>SNF received. 1st batch of V3 asset (December 2020)</v>
          </cell>
        </row>
        <row r="777">
          <cell r="A777" t="str">
            <v>IKN400310</v>
          </cell>
          <cell r="B777">
            <v>310</v>
          </cell>
          <cell r="C777" t="str">
            <v>Institut Kanser Negara</v>
          </cell>
          <cell r="D777" t="str">
            <v>KKM/IKN/H/13/2021</v>
          </cell>
          <cell r="E777" t="str">
            <v>16-173</v>
          </cell>
          <cell r="F777" t="str">
            <v>Sphygmomanometers, Electronic, Automatic</v>
          </cell>
          <cell r="G777" t="str">
            <v>WH</v>
          </cell>
          <cell r="H777" t="str">
            <v>RT/ONCO WARD 2 (M)</v>
          </cell>
          <cell r="I777" t="str">
            <v>08WH143</v>
          </cell>
          <cell r="J777" t="str">
            <v>NURSE STATION</v>
          </cell>
          <cell r="K777" t="str">
            <v>BMED</v>
          </cell>
          <cell r="L777" t="str">
            <v>Critical</v>
          </cell>
          <cell r="M777" t="str">
            <v>USA</v>
          </cell>
          <cell r="N777" t="str">
            <v>Connex</v>
          </cell>
          <cell r="O777" t="str">
            <v>Connex ProBP 3400</v>
          </cell>
          <cell r="P777" t="str">
            <v>100001650613</v>
          </cell>
          <cell r="Q777" t="str">
            <v>Not Applicable</v>
          </cell>
          <cell r="R777" t="str">
            <v>Welch Allyn Inc</v>
          </cell>
          <cell r="S777" t="str">
            <v>Welch Allyn Malaysia Sdn Bhd</v>
          </cell>
          <cell r="T777" t="str">
            <v>Functioning</v>
          </cell>
          <cell r="U777" t="str">
            <v>Asset</v>
          </cell>
          <cell r="V777">
            <v>4510</v>
          </cell>
          <cell r="W777" t="str">
            <v>KEW</v>
          </cell>
          <cell r="X777" t="str">
            <v>01/09/2010</v>
          </cell>
          <cell r="Y777" t="str">
            <v>KEW</v>
          </cell>
          <cell r="Z777" t="str">
            <v>16/08/2013</v>
          </cell>
          <cell r="AA777" t="str">
            <v>15/08/2015</v>
          </cell>
          <cell r="AB777" t="str">
            <v>No</v>
          </cell>
          <cell r="AC777" t="str">
            <v>31/08/2013</v>
          </cell>
          <cell r="AD777" t="str">
            <v>Good</v>
          </cell>
          <cell r="AE777" t="str">
            <v>V1 - Existing / No Claim</v>
          </cell>
          <cell r="AF777">
            <v>42788</v>
          </cell>
          <cell r="AG777">
            <v>9.17</v>
          </cell>
          <cell r="AH777" t="str">
            <v>PPM</v>
          </cell>
          <cell r="AI777" t="str">
            <v>Strands</v>
          </cell>
          <cell r="AJ777" t="str">
            <v>Strands PW</v>
          </cell>
        </row>
        <row r="778">
          <cell r="A778" t="str">
            <v>IKN400311</v>
          </cell>
          <cell r="B778">
            <v>311</v>
          </cell>
          <cell r="C778" t="str">
            <v>Institut Kanser Negara</v>
          </cell>
          <cell r="D778" t="str">
            <v>KKM/IKN/H/13/2034</v>
          </cell>
          <cell r="E778" t="str">
            <v>13-215</v>
          </cell>
          <cell r="F778" t="str">
            <v>Infusion Pumps, General-Purpose</v>
          </cell>
          <cell r="G778" t="str">
            <v>WH</v>
          </cell>
          <cell r="H778" t="str">
            <v>RT/ONCO WARD 2 (M)</v>
          </cell>
          <cell r="I778" t="str">
            <v>08WH121</v>
          </cell>
          <cell r="J778" t="str">
            <v>EQUIPMENT ROOM</v>
          </cell>
          <cell r="K778" t="str">
            <v>BMED</v>
          </cell>
          <cell r="L778" t="str">
            <v>Normal</v>
          </cell>
          <cell r="M778" t="str">
            <v>Germany</v>
          </cell>
          <cell r="N778" t="str">
            <v>Infusomat</v>
          </cell>
          <cell r="O778" t="str">
            <v>Infusomat Space</v>
          </cell>
          <cell r="P778" t="str">
            <v>211976</v>
          </cell>
          <cell r="Q778" t="str">
            <v>Not Applicable</v>
          </cell>
          <cell r="R778" t="str">
            <v>B Braun Melsungen AG</v>
          </cell>
          <cell r="S778" t="str">
            <v>B Braun Medical Supplies Sdn. Bhd.</v>
          </cell>
          <cell r="T778" t="str">
            <v>Functioning</v>
          </cell>
          <cell r="U778" t="str">
            <v>Asset</v>
          </cell>
          <cell r="V778">
            <v>10825</v>
          </cell>
          <cell r="W778" t="str">
            <v>KEW</v>
          </cell>
          <cell r="X778" t="str">
            <v>01/09/2010</v>
          </cell>
          <cell r="Y778" t="str">
            <v>KEW</v>
          </cell>
          <cell r="Z778" t="str">
            <v>16/08/2013</v>
          </cell>
          <cell r="AA778" t="str">
            <v>15/08/2015</v>
          </cell>
          <cell r="AB778" t="str">
            <v>No</v>
          </cell>
          <cell r="AC778" t="str">
            <v>31/08/2013</v>
          </cell>
          <cell r="AD778" t="str">
            <v>Good</v>
          </cell>
          <cell r="AE778" t="str">
            <v>V1 - Existing / No Claim</v>
          </cell>
          <cell r="AF778">
            <v>42235</v>
          </cell>
          <cell r="AG778">
            <v>9.17</v>
          </cell>
          <cell r="AH778" t="str">
            <v>PPM</v>
          </cell>
          <cell r="AI778" t="str">
            <v>Strands</v>
          </cell>
          <cell r="AJ778" t="str">
            <v>Strands PW</v>
          </cell>
        </row>
        <row r="779">
          <cell r="A779" t="str">
            <v>IKN400312</v>
          </cell>
          <cell r="B779">
            <v>312</v>
          </cell>
          <cell r="C779" t="str">
            <v>Institut Kanser Negara</v>
          </cell>
          <cell r="D779" t="str">
            <v>KKM/IKN/H/13/2025</v>
          </cell>
          <cell r="E779" t="str">
            <v>25-209</v>
          </cell>
          <cell r="F779" t="str">
            <v>Monitors, Physiologic, Vital Signs</v>
          </cell>
          <cell r="G779" t="str">
            <v>WH</v>
          </cell>
          <cell r="H779" t="str">
            <v>RT/ONCO WARD 2 (M)</v>
          </cell>
          <cell r="I779" t="str">
            <v>08WH143</v>
          </cell>
          <cell r="J779" t="str">
            <v>NURSE STATION</v>
          </cell>
          <cell r="K779" t="str">
            <v>BMED</v>
          </cell>
          <cell r="L779" t="str">
            <v>Critical</v>
          </cell>
          <cell r="M779" t="str">
            <v>Mexico</v>
          </cell>
          <cell r="N779" t="str">
            <v>Carespace</v>
          </cell>
          <cell r="O779" t="str">
            <v>Carescape V100</v>
          </cell>
          <cell r="P779" t="str">
            <v>SH613310090SA</v>
          </cell>
          <cell r="Q779" t="str">
            <v>Not Applicable</v>
          </cell>
          <cell r="R779" t="str">
            <v>GE Healthcare Systems</v>
          </cell>
          <cell r="S779" t="str">
            <v>GE Healthcare Technologies</v>
          </cell>
          <cell r="T779" t="str">
            <v>Functioning</v>
          </cell>
          <cell r="U779" t="str">
            <v>Asset</v>
          </cell>
          <cell r="V779">
            <v>7770</v>
          </cell>
          <cell r="W779" t="str">
            <v>KEW</v>
          </cell>
          <cell r="X779" t="str">
            <v>01/09/2010</v>
          </cell>
          <cell r="Y779" t="str">
            <v>KEW</v>
          </cell>
          <cell r="Z779" t="str">
            <v>16/08/2013</v>
          </cell>
          <cell r="AA779" t="str">
            <v>15/08/2015</v>
          </cell>
          <cell r="AB779" t="str">
            <v>No</v>
          </cell>
          <cell r="AC779" t="str">
            <v>31/08/2013</v>
          </cell>
          <cell r="AD779" t="str">
            <v>Good</v>
          </cell>
          <cell r="AE779" t="str">
            <v>V1 - Existing / No Claim</v>
          </cell>
          <cell r="AF779">
            <v>42788</v>
          </cell>
          <cell r="AG779">
            <v>9.17</v>
          </cell>
          <cell r="AH779" t="str">
            <v>PPM</v>
          </cell>
          <cell r="AI779" t="str">
            <v>Strands</v>
          </cell>
          <cell r="AJ779" t="str">
            <v>Strands PW</v>
          </cell>
        </row>
        <row r="780">
          <cell r="A780" t="str">
            <v>IKN400313</v>
          </cell>
          <cell r="B780">
            <v>313</v>
          </cell>
          <cell r="C780" t="str">
            <v>Institut Kanser Negara</v>
          </cell>
          <cell r="D780" t="str">
            <v>KKM/IKN/H/13/4966</v>
          </cell>
          <cell r="E780" t="str">
            <v>10-208</v>
          </cell>
          <cell r="F780" t="str">
            <v>Aspirators</v>
          </cell>
          <cell r="G780" t="str">
            <v>WH</v>
          </cell>
          <cell r="H780" t="str">
            <v>RT/ONCO WARD 2 (M)</v>
          </cell>
          <cell r="I780" t="str">
            <v>08WH143</v>
          </cell>
          <cell r="J780" t="str">
            <v>NURSE STATION</v>
          </cell>
          <cell r="K780" t="str">
            <v>BMED</v>
          </cell>
          <cell r="L780" t="str">
            <v>Normal</v>
          </cell>
          <cell r="M780" t="str">
            <v>UK</v>
          </cell>
          <cell r="N780" t="str">
            <v>SAM</v>
          </cell>
          <cell r="O780" t="str">
            <v>SAM 427</v>
          </cell>
          <cell r="P780" t="str">
            <v>08131706</v>
          </cell>
          <cell r="Q780" t="str">
            <v>Not Applicable</v>
          </cell>
          <cell r="R780" t="str">
            <v>MG Electric Ltd</v>
          </cell>
          <cell r="S780" t="str">
            <v>Delta Medisains</v>
          </cell>
          <cell r="T780" t="str">
            <v>Functioning</v>
          </cell>
          <cell r="U780" t="str">
            <v>Asset</v>
          </cell>
          <cell r="V780">
            <v>10705</v>
          </cell>
          <cell r="W780" t="str">
            <v>KEW</v>
          </cell>
          <cell r="X780" t="str">
            <v>01/09/2010</v>
          </cell>
          <cell r="Y780" t="str">
            <v>KEW</v>
          </cell>
          <cell r="Z780" t="str">
            <v>16/08/2013</v>
          </cell>
          <cell r="AA780" t="str">
            <v>15/08/2015</v>
          </cell>
          <cell r="AB780" t="str">
            <v>No</v>
          </cell>
          <cell r="AC780" t="str">
            <v>31/08/2013</v>
          </cell>
          <cell r="AD780" t="str">
            <v>Good</v>
          </cell>
          <cell r="AE780" t="str">
            <v>V1 - Existing / No Claim</v>
          </cell>
          <cell r="AF780">
            <v>42235</v>
          </cell>
          <cell r="AG780">
            <v>9.17</v>
          </cell>
          <cell r="AH780" t="str">
            <v>PPM</v>
          </cell>
          <cell r="AI780" t="str">
            <v>Strands</v>
          </cell>
          <cell r="AJ780" t="str">
            <v>Strands PW</v>
          </cell>
        </row>
        <row r="781">
          <cell r="A781" t="str">
            <v>IKN400315</v>
          </cell>
          <cell r="B781">
            <v>315</v>
          </cell>
          <cell r="C781" t="str">
            <v>Institut Kanser Negara</v>
          </cell>
          <cell r="D781" t="str">
            <v>KKM/IKN/H/13/2457</v>
          </cell>
          <cell r="E781" t="str">
            <v>10-208</v>
          </cell>
          <cell r="F781" t="str">
            <v>Aspirators</v>
          </cell>
          <cell r="G781" t="str">
            <v>WF</v>
          </cell>
          <cell r="H781" t="str">
            <v>RT/ONCO WARD 2 (F)</v>
          </cell>
          <cell r="I781" t="str">
            <v>07WF107</v>
          </cell>
          <cell r="J781" t="str">
            <v>TREATMENT / PROCEDDURE</v>
          </cell>
          <cell r="K781" t="str">
            <v>BMED</v>
          </cell>
          <cell r="L781" t="str">
            <v>Normal</v>
          </cell>
          <cell r="M781" t="str">
            <v>Switzerland</v>
          </cell>
          <cell r="N781" t="str">
            <v>Senator</v>
          </cell>
          <cell r="O781" t="str">
            <v>Senator</v>
          </cell>
          <cell r="P781" t="str">
            <v>1220756</v>
          </cell>
          <cell r="Q781" t="str">
            <v>Not Applicable</v>
          </cell>
          <cell r="R781" t="str">
            <v>Ardo Medical AG</v>
          </cell>
          <cell r="S781" t="str">
            <v>Histopoint</v>
          </cell>
          <cell r="T781" t="str">
            <v>Functioning</v>
          </cell>
          <cell r="U781" t="str">
            <v>Asset</v>
          </cell>
          <cell r="V781">
            <v>5052</v>
          </cell>
          <cell r="W781" t="str">
            <v>KEW</v>
          </cell>
          <cell r="X781" t="str">
            <v>01/09/2010</v>
          </cell>
          <cell r="Y781" t="str">
            <v>KEW</v>
          </cell>
          <cell r="Z781" t="str">
            <v>16/08/2013</v>
          </cell>
          <cell r="AA781" t="str">
            <v>15/08/2015</v>
          </cell>
          <cell r="AB781" t="str">
            <v>No</v>
          </cell>
          <cell r="AC781" t="str">
            <v>31/08/2013</v>
          </cell>
          <cell r="AD781" t="str">
            <v>Good</v>
          </cell>
          <cell r="AE781" t="str">
            <v>V1 - Existing / No Claim</v>
          </cell>
          <cell r="AF781">
            <v>42235</v>
          </cell>
          <cell r="AG781">
            <v>9.17</v>
          </cell>
          <cell r="AH781" t="str">
            <v>PPM</v>
          </cell>
          <cell r="AI781" t="str">
            <v>Strands</v>
          </cell>
          <cell r="AJ781" t="str">
            <v>Strands PW</v>
          </cell>
        </row>
        <row r="782">
          <cell r="A782" t="str">
            <v>IKN400316</v>
          </cell>
          <cell r="B782">
            <v>316</v>
          </cell>
          <cell r="C782" t="str">
            <v>Institut Kanser Negara</v>
          </cell>
          <cell r="D782" t="str">
            <v>KKM/IKN/H/13/303</v>
          </cell>
          <cell r="E782" t="str">
            <v>16-231</v>
          </cell>
          <cell r="F782" t="str">
            <v>Electrocardiographs, Multichannel, Interpretative</v>
          </cell>
          <cell r="G782" t="str">
            <v>WF</v>
          </cell>
          <cell r="H782" t="str">
            <v>RT/ONCO WARD 2 (F)</v>
          </cell>
          <cell r="I782" t="str">
            <v>07WF107</v>
          </cell>
          <cell r="J782" t="str">
            <v>TREATMENT / PROCEDDURE</v>
          </cell>
          <cell r="K782" t="str">
            <v>BMED</v>
          </cell>
          <cell r="L782" t="str">
            <v>Critical</v>
          </cell>
          <cell r="M782" t="str">
            <v>China</v>
          </cell>
          <cell r="N782" t="str">
            <v>Mac</v>
          </cell>
          <cell r="O782" t="str">
            <v>MAC 800</v>
          </cell>
          <cell r="P782" t="str">
            <v>SJ412450369 WA</v>
          </cell>
          <cell r="Q782" t="str">
            <v>Not Applicable</v>
          </cell>
          <cell r="R782" t="str">
            <v>GE Healthcare Systems</v>
          </cell>
          <cell r="S782" t="str">
            <v>GE Healthcare Technologies</v>
          </cell>
          <cell r="T782" t="str">
            <v>Functioning</v>
          </cell>
          <cell r="U782" t="str">
            <v>Asset</v>
          </cell>
          <cell r="V782">
            <v>25260</v>
          </cell>
          <cell r="W782" t="str">
            <v>KEW</v>
          </cell>
          <cell r="X782" t="str">
            <v>01/09/2010</v>
          </cell>
          <cell r="Y782" t="str">
            <v>KEW</v>
          </cell>
          <cell r="Z782" t="str">
            <v>16/08/2013</v>
          </cell>
          <cell r="AA782" t="str">
            <v>15/08/2015</v>
          </cell>
          <cell r="AB782" t="str">
            <v>No</v>
          </cell>
          <cell r="AC782" t="str">
            <v>31/08/2013</v>
          </cell>
          <cell r="AD782" t="str">
            <v>Good</v>
          </cell>
          <cell r="AE782" t="str">
            <v>V1 - Existing / No Claim</v>
          </cell>
          <cell r="AF782">
            <v>42788</v>
          </cell>
          <cell r="AG782">
            <v>9.17</v>
          </cell>
          <cell r="AH782" t="str">
            <v>PPM</v>
          </cell>
          <cell r="AI782" t="str">
            <v>Strands</v>
          </cell>
          <cell r="AJ782" t="str">
            <v>Strands PW</v>
          </cell>
        </row>
        <row r="783">
          <cell r="A783" t="str">
            <v>IKN400319</v>
          </cell>
          <cell r="B783">
            <v>319</v>
          </cell>
          <cell r="C783" t="str">
            <v>Institut Kanser Negara</v>
          </cell>
          <cell r="D783" t="str">
            <v>KKM/IKN/H/13/2515</v>
          </cell>
          <cell r="E783" t="str">
            <v>10-447</v>
          </cell>
          <cell r="F783" t="str">
            <v>Warming Units, Blood/Solution</v>
          </cell>
          <cell r="G783" t="str">
            <v>WF</v>
          </cell>
          <cell r="H783" t="str">
            <v>RT/ONCO WARD 2 (F)</v>
          </cell>
          <cell r="I783" t="str">
            <v>07WF121</v>
          </cell>
          <cell r="J783" t="str">
            <v>EQUIPMENT ROOM</v>
          </cell>
          <cell r="K783" t="str">
            <v>BMED</v>
          </cell>
          <cell r="L783" t="str">
            <v>Normal</v>
          </cell>
          <cell r="M783" t="str">
            <v>Japan</v>
          </cell>
          <cell r="N783" t="str">
            <v>Animec</v>
          </cell>
          <cell r="O783" t="str">
            <v>Animec AM-301</v>
          </cell>
          <cell r="P783" t="str">
            <v>2013D0247</v>
          </cell>
          <cell r="Q783" t="str">
            <v>Not Applicable</v>
          </cell>
          <cell r="R783" t="str">
            <v>Elltec Co Ltd</v>
          </cell>
          <cell r="S783" t="str">
            <v>IDS Services (Malaysia) Sdn Bhd</v>
          </cell>
          <cell r="T783" t="str">
            <v>Functioning</v>
          </cell>
          <cell r="U783" t="str">
            <v>Asset</v>
          </cell>
          <cell r="V783">
            <v>4990</v>
          </cell>
          <cell r="W783" t="str">
            <v>KEW</v>
          </cell>
          <cell r="X783" t="str">
            <v>01/09/2010</v>
          </cell>
          <cell r="Y783" t="str">
            <v>KEW</v>
          </cell>
          <cell r="Z783" t="str">
            <v>16/08/2013</v>
          </cell>
          <cell r="AA783" t="str">
            <v>15/08/2015</v>
          </cell>
          <cell r="AB783" t="str">
            <v>No</v>
          </cell>
          <cell r="AC783" t="str">
            <v>31/08/2013</v>
          </cell>
          <cell r="AD783" t="str">
            <v>Good</v>
          </cell>
          <cell r="AE783" t="str">
            <v>V1 - Existing / No Claim</v>
          </cell>
          <cell r="AF783">
            <v>42235</v>
          </cell>
          <cell r="AG783">
            <v>9.17</v>
          </cell>
          <cell r="AH783" t="str">
            <v>PPM</v>
          </cell>
          <cell r="AI783" t="str">
            <v>Strands</v>
          </cell>
          <cell r="AJ783" t="str">
            <v>Strands PW</v>
          </cell>
        </row>
        <row r="784">
          <cell r="A784" t="str">
            <v>IKN400320</v>
          </cell>
          <cell r="B784">
            <v>320</v>
          </cell>
          <cell r="C784" t="str">
            <v>Institut Kanser Negara</v>
          </cell>
          <cell r="D784" t="str">
            <v>KKM/IKN/H/13/2504</v>
          </cell>
          <cell r="E784" t="str">
            <v>10-447</v>
          </cell>
          <cell r="F784" t="str">
            <v>Warming Units, Blood/Solution</v>
          </cell>
          <cell r="G784" t="str">
            <v>WF</v>
          </cell>
          <cell r="H784" t="str">
            <v>RT/ONCO WARD 2 (F)</v>
          </cell>
          <cell r="I784" t="str">
            <v>07WF121</v>
          </cell>
          <cell r="J784" t="str">
            <v>EQUIPMENT ROOM</v>
          </cell>
          <cell r="K784" t="str">
            <v>BMED</v>
          </cell>
          <cell r="L784" t="str">
            <v>Normal</v>
          </cell>
          <cell r="M784" t="str">
            <v>Japan</v>
          </cell>
          <cell r="N784" t="str">
            <v>Animec</v>
          </cell>
          <cell r="O784" t="str">
            <v>Animec AM-301</v>
          </cell>
          <cell r="P784" t="str">
            <v>2013D0248</v>
          </cell>
          <cell r="Q784" t="str">
            <v>Not Applicable</v>
          </cell>
          <cell r="R784" t="str">
            <v>Elltec Co Ltd</v>
          </cell>
          <cell r="S784" t="str">
            <v>IDS Services (Malaysia) Sdn Bhd</v>
          </cell>
          <cell r="T784" t="str">
            <v>Functioning</v>
          </cell>
          <cell r="U784" t="str">
            <v>Asset</v>
          </cell>
          <cell r="V784">
            <v>4990</v>
          </cell>
          <cell r="W784" t="str">
            <v>KEW</v>
          </cell>
          <cell r="X784" t="str">
            <v>01/09/2010</v>
          </cell>
          <cell r="Y784" t="str">
            <v>KEW</v>
          </cell>
          <cell r="Z784" t="str">
            <v>16/08/2013</v>
          </cell>
          <cell r="AA784" t="str">
            <v>15/08/2015</v>
          </cell>
          <cell r="AB784" t="str">
            <v>No</v>
          </cell>
          <cell r="AC784" t="str">
            <v>31/08/2013</v>
          </cell>
          <cell r="AD784" t="str">
            <v>Good</v>
          </cell>
          <cell r="AE784" t="str">
            <v>V1 - Existing / No Claim</v>
          </cell>
          <cell r="AF784">
            <v>42235</v>
          </cell>
          <cell r="AG784">
            <v>9.17</v>
          </cell>
          <cell r="AH784" t="str">
            <v>PPM</v>
          </cell>
          <cell r="AI784" t="str">
            <v>Strands</v>
          </cell>
          <cell r="AJ784" t="str">
            <v>Strands PW</v>
          </cell>
        </row>
        <row r="785">
          <cell r="A785" t="str">
            <v>IKN400321</v>
          </cell>
          <cell r="B785">
            <v>321</v>
          </cell>
          <cell r="C785" t="str">
            <v>Institut Kanser Negara</v>
          </cell>
          <cell r="D785" t="str">
            <v>KKM/IKN/H/13/2509</v>
          </cell>
          <cell r="E785" t="str">
            <v>10-447</v>
          </cell>
          <cell r="F785" t="str">
            <v>Warming Units, Blood/Solution</v>
          </cell>
          <cell r="G785" t="str">
            <v>WF</v>
          </cell>
          <cell r="H785" t="str">
            <v>RT/ONCO WARD 2 (F)</v>
          </cell>
          <cell r="I785" t="str">
            <v>07WF121</v>
          </cell>
          <cell r="J785" t="str">
            <v>EQUIPMENT ROOM</v>
          </cell>
          <cell r="K785" t="str">
            <v>BMED</v>
          </cell>
          <cell r="L785" t="str">
            <v>Normal</v>
          </cell>
          <cell r="M785" t="str">
            <v>Japan</v>
          </cell>
          <cell r="N785" t="str">
            <v>Animec</v>
          </cell>
          <cell r="O785" t="str">
            <v>Animec AM-301</v>
          </cell>
          <cell r="P785" t="str">
            <v>2012D0060</v>
          </cell>
          <cell r="Q785" t="str">
            <v>Not Applicable</v>
          </cell>
          <cell r="R785" t="str">
            <v>Elltec Co Ltd</v>
          </cell>
          <cell r="S785" t="str">
            <v>IDS Services (Malaysia) Sdn Bhd</v>
          </cell>
          <cell r="T785" t="str">
            <v>Functioning</v>
          </cell>
          <cell r="U785" t="str">
            <v>Asset</v>
          </cell>
          <cell r="V785">
            <v>4990</v>
          </cell>
          <cell r="W785" t="str">
            <v>KEW</v>
          </cell>
          <cell r="X785" t="str">
            <v>01/09/2010</v>
          </cell>
          <cell r="Y785" t="str">
            <v>KEW</v>
          </cell>
          <cell r="Z785" t="str">
            <v>16/08/2013</v>
          </cell>
          <cell r="AA785" t="str">
            <v>15/08/2015</v>
          </cell>
          <cell r="AB785" t="str">
            <v>No</v>
          </cell>
          <cell r="AC785" t="str">
            <v>31/08/2013</v>
          </cell>
          <cell r="AD785" t="str">
            <v>Good</v>
          </cell>
          <cell r="AE785" t="str">
            <v>V1 - Existing / No Claim</v>
          </cell>
          <cell r="AF785">
            <v>42235</v>
          </cell>
          <cell r="AG785">
            <v>9.17</v>
          </cell>
          <cell r="AH785" t="str">
            <v>PPM</v>
          </cell>
          <cell r="AI785" t="str">
            <v>Strands</v>
          </cell>
          <cell r="AJ785" t="str">
            <v>Strands PW</v>
          </cell>
        </row>
        <row r="786">
          <cell r="A786" t="str">
            <v>IKN400322</v>
          </cell>
          <cell r="B786">
            <v>322</v>
          </cell>
          <cell r="C786" t="str">
            <v>Institut Kanser Negara</v>
          </cell>
          <cell r="D786" t="str">
            <v>KKM/IKN/H/13/2525</v>
          </cell>
          <cell r="E786" t="str">
            <v>12-282</v>
          </cell>
          <cell r="F786" t="str">
            <v>Lights, Surgical</v>
          </cell>
          <cell r="G786" t="str">
            <v>WF</v>
          </cell>
          <cell r="H786" t="str">
            <v>RT/ONCO WARD 2 (F)</v>
          </cell>
          <cell r="I786" t="str">
            <v>07WF121</v>
          </cell>
          <cell r="J786" t="str">
            <v>EQUIPMENT ROOM</v>
          </cell>
          <cell r="K786" t="str">
            <v>BMED</v>
          </cell>
          <cell r="L786" t="str">
            <v>Critical</v>
          </cell>
          <cell r="M786" t="str">
            <v>USA</v>
          </cell>
          <cell r="N786" t="str">
            <v>Welch Allyn</v>
          </cell>
          <cell r="O786" t="str">
            <v>Welch Allyn GS600</v>
          </cell>
          <cell r="P786" t="str">
            <v>GS-600-39</v>
          </cell>
          <cell r="Q786" t="str">
            <v>Not Applicable</v>
          </cell>
          <cell r="R786" t="str">
            <v>Welch Allyn Inc</v>
          </cell>
          <cell r="S786" t="str">
            <v>Welch Allyn Malaysia Sdn Bhd</v>
          </cell>
          <cell r="T786" t="str">
            <v>Functioning</v>
          </cell>
          <cell r="U786" t="str">
            <v>Asset</v>
          </cell>
          <cell r="V786">
            <v>5050</v>
          </cell>
          <cell r="W786" t="str">
            <v>KEW</v>
          </cell>
          <cell r="X786" t="str">
            <v>01/09/2010</v>
          </cell>
          <cell r="Y786" t="str">
            <v>KEW</v>
          </cell>
          <cell r="Z786" t="str">
            <v>16/08/2013</v>
          </cell>
          <cell r="AA786" t="str">
            <v>15/08/2015</v>
          </cell>
          <cell r="AB786" t="str">
            <v>No</v>
          </cell>
          <cell r="AC786" t="str">
            <v>31/08/2013</v>
          </cell>
          <cell r="AD786" t="str">
            <v>Good</v>
          </cell>
          <cell r="AE786" t="str">
            <v>V1 - Existing / No Claim</v>
          </cell>
          <cell r="AF786">
            <v>42788</v>
          </cell>
          <cell r="AG786">
            <v>9.17</v>
          </cell>
          <cell r="AH786" t="str">
            <v>PPM</v>
          </cell>
          <cell r="AI786" t="str">
            <v>Strands</v>
          </cell>
          <cell r="AJ786" t="str">
            <v>Strands PW</v>
          </cell>
        </row>
        <row r="787">
          <cell r="A787" t="str">
            <v>IKN400323</v>
          </cell>
          <cell r="B787">
            <v>323</v>
          </cell>
          <cell r="C787" t="str">
            <v>Institut Kanser Negara</v>
          </cell>
          <cell r="D787" t="str">
            <v>KKM/IKN/H/13/3174</v>
          </cell>
          <cell r="E787" t="str">
            <v>15-045</v>
          </cell>
          <cell r="F787" t="str">
            <v>Nebulizers, Nonheated</v>
          </cell>
          <cell r="G787" t="str">
            <v>WF</v>
          </cell>
          <cell r="H787" t="str">
            <v>RT/ONCO WARD 2 (F)</v>
          </cell>
          <cell r="I787" t="str">
            <v>07WF121</v>
          </cell>
          <cell r="J787" t="str">
            <v>EQUIPMENT ROOM</v>
          </cell>
          <cell r="K787" t="str">
            <v>BMED</v>
          </cell>
          <cell r="L787" t="str">
            <v>Normal</v>
          </cell>
          <cell r="M787" t="str">
            <v>Germany</v>
          </cell>
          <cell r="N787" t="str">
            <v>Pari Boy</v>
          </cell>
          <cell r="O787" t="str">
            <v>Pari Boy SX 085</v>
          </cell>
          <cell r="P787" t="str">
            <v>2W12F13724</v>
          </cell>
          <cell r="Q787" t="str">
            <v>Not Applicable</v>
          </cell>
          <cell r="R787" t="str">
            <v>Pari GmbH</v>
          </cell>
          <cell r="S787" t="str">
            <v>Welch Allyn Malaysia Sdn Bhd</v>
          </cell>
          <cell r="T787" t="str">
            <v>Functioning</v>
          </cell>
          <cell r="U787" t="str">
            <v>Asset</v>
          </cell>
          <cell r="V787">
            <v>1140</v>
          </cell>
          <cell r="W787" t="str">
            <v>KEW</v>
          </cell>
          <cell r="X787" t="str">
            <v>01/09/2010</v>
          </cell>
          <cell r="Y787" t="str">
            <v>KEW</v>
          </cell>
          <cell r="Z787" t="str">
            <v>16/08/2013</v>
          </cell>
          <cell r="AA787" t="str">
            <v>15/08/2015</v>
          </cell>
          <cell r="AB787" t="str">
            <v>No</v>
          </cell>
          <cell r="AC787" t="str">
            <v>31/08/2013</v>
          </cell>
          <cell r="AD787" t="str">
            <v>Good</v>
          </cell>
          <cell r="AE787" t="str">
            <v>V1 - Existing / No Claim</v>
          </cell>
          <cell r="AF787">
            <v>42788</v>
          </cell>
          <cell r="AG787">
            <v>9.17</v>
          </cell>
          <cell r="AH787" t="str">
            <v>PPM</v>
          </cell>
          <cell r="AI787" t="str">
            <v>Strands</v>
          </cell>
          <cell r="AJ787" t="str">
            <v>Strands PW</v>
          </cell>
        </row>
        <row r="788">
          <cell r="A788" t="str">
            <v>IKN400324</v>
          </cell>
          <cell r="B788">
            <v>324</v>
          </cell>
          <cell r="C788" t="str">
            <v>Institut Kanser Negara</v>
          </cell>
          <cell r="D788" t="str">
            <v>KKM/IKN/H/13/3172</v>
          </cell>
          <cell r="E788" t="str">
            <v>15-045</v>
          </cell>
          <cell r="F788" t="str">
            <v>Nebulizers, Nonheated</v>
          </cell>
          <cell r="G788" t="str">
            <v>WF</v>
          </cell>
          <cell r="H788" t="str">
            <v>RT/ONCO WARD 2 (F)</v>
          </cell>
          <cell r="I788" t="str">
            <v>07WF121</v>
          </cell>
          <cell r="J788" t="str">
            <v>EQUIPMENT ROOM</v>
          </cell>
          <cell r="K788" t="str">
            <v>BMED</v>
          </cell>
          <cell r="L788" t="str">
            <v>Normal</v>
          </cell>
          <cell r="M788" t="str">
            <v>Germany</v>
          </cell>
          <cell r="N788" t="str">
            <v>Pari Boy</v>
          </cell>
          <cell r="O788" t="str">
            <v>Pari Boy SX 085</v>
          </cell>
          <cell r="P788" t="str">
            <v>2W12F13753</v>
          </cell>
          <cell r="Q788" t="str">
            <v>Not Applicable</v>
          </cell>
          <cell r="R788" t="str">
            <v>Pari GmbH</v>
          </cell>
          <cell r="S788" t="str">
            <v>Welch Allyn Malaysia Sdn Bhd</v>
          </cell>
          <cell r="T788" t="str">
            <v>Functioning</v>
          </cell>
          <cell r="U788" t="str">
            <v>Asset</v>
          </cell>
          <cell r="V788">
            <v>1140</v>
          </cell>
          <cell r="W788" t="str">
            <v>KEW</v>
          </cell>
          <cell r="X788" t="str">
            <v>01/09/2010</v>
          </cell>
          <cell r="Y788" t="str">
            <v>KEW</v>
          </cell>
          <cell r="Z788" t="str">
            <v>16/08/2013</v>
          </cell>
          <cell r="AA788" t="str">
            <v>15/08/2015</v>
          </cell>
          <cell r="AB788" t="str">
            <v>No</v>
          </cell>
          <cell r="AC788" t="str">
            <v>31/08/2013</v>
          </cell>
          <cell r="AD788" t="str">
            <v>Good</v>
          </cell>
          <cell r="AE788" t="str">
            <v>V1 - Existing / No Claim</v>
          </cell>
          <cell r="AF788">
            <v>42788</v>
          </cell>
          <cell r="AG788">
            <v>9.17</v>
          </cell>
          <cell r="AH788" t="str">
            <v>PPM</v>
          </cell>
          <cell r="AI788" t="str">
            <v>Strands</v>
          </cell>
          <cell r="AJ788" t="str">
            <v>Strands PW</v>
          </cell>
        </row>
        <row r="789">
          <cell r="A789" t="str">
            <v>IKN400325</v>
          </cell>
          <cell r="B789">
            <v>325</v>
          </cell>
          <cell r="C789" t="str">
            <v>Institut Kanser Negara</v>
          </cell>
          <cell r="D789" t="str">
            <v>KKM/IKN/H/13/3173</v>
          </cell>
          <cell r="E789" t="str">
            <v>15-045</v>
          </cell>
          <cell r="F789" t="str">
            <v>Nebulizers, Nonheated</v>
          </cell>
          <cell r="G789" t="str">
            <v>WF</v>
          </cell>
          <cell r="H789" t="str">
            <v>RT/ONCO WARD 2 (F)</v>
          </cell>
          <cell r="I789" t="str">
            <v>07WF121</v>
          </cell>
          <cell r="J789" t="str">
            <v>EQUIPMENT ROOM</v>
          </cell>
          <cell r="K789" t="str">
            <v>BMED</v>
          </cell>
          <cell r="L789" t="str">
            <v>Normal</v>
          </cell>
          <cell r="M789" t="str">
            <v>Germany</v>
          </cell>
          <cell r="N789" t="str">
            <v>Pari Boy</v>
          </cell>
          <cell r="O789" t="str">
            <v>Pari Boy SX 085</v>
          </cell>
          <cell r="P789" t="str">
            <v>2W12J05854</v>
          </cell>
          <cell r="Q789" t="str">
            <v>Not Applicable</v>
          </cell>
          <cell r="R789" t="str">
            <v>Pari GmbH</v>
          </cell>
          <cell r="S789" t="str">
            <v>Welch Allyn Malaysia Sdn Bhd</v>
          </cell>
          <cell r="T789" t="str">
            <v>Functioning</v>
          </cell>
          <cell r="U789" t="str">
            <v>Asset</v>
          </cell>
          <cell r="V789">
            <v>1140</v>
          </cell>
          <cell r="W789" t="str">
            <v>KEW</v>
          </cell>
          <cell r="X789" t="str">
            <v>01/09/2010</v>
          </cell>
          <cell r="Y789" t="str">
            <v>KEW</v>
          </cell>
          <cell r="Z789" t="str">
            <v>16/08/2013</v>
          </cell>
          <cell r="AA789" t="str">
            <v>15/08/2015</v>
          </cell>
          <cell r="AB789" t="str">
            <v>No</v>
          </cell>
          <cell r="AC789" t="str">
            <v>31/08/2013</v>
          </cell>
          <cell r="AD789" t="str">
            <v>Good</v>
          </cell>
          <cell r="AE789" t="str">
            <v>V1 - Existing / No Claim</v>
          </cell>
          <cell r="AF789">
            <v>42788</v>
          </cell>
          <cell r="AG789">
            <v>9.17</v>
          </cell>
          <cell r="AH789" t="str">
            <v>PPM</v>
          </cell>
          <cell r="AI789" t="str">
            <v>Strands</v>
          </cell>
          <cell r="AJ789" t="str">
            <v>Strands PW</v>
          </cell>
        </row>
        <row r="790">
          <cell r="A790" t="str">
            <v>IKN400326</v>
          </cell>
          <cell r="B790">
            <v>326</v>
          </cell>
          <cell r="C790" t="str">
            <v>Institut Kanser Negara</v>
          </cell>
          <cell r="D790" t="str">
            <v>KKM/IKN/H/13/2464</v>
          </cell>
          <cell r="E790" t="str">
            <v>13-217</v>
          </cell>
          <cell r="F790" t="str">
            <v>Infusion Pumps, Syringe</v>
          </cell>
          <cell r="G790" t="str">
            <v>WF</v>
          </cell>
          <cell r="H790" t="str">
            <v>RT/ONCO WARD 2 (F)</v>
          </cell>
          <cell r="I790" t="str">
            <v>07WF121</v>
          </cell>
          <cell r="J790" t="str">
            <v>EQUIPMENT ROOM</v>
          </cell>
          <cell r="K790" t="str">
            <v>BMED</v>
          </cell>
          <cell r="L790" t="str">
            <v>Critical</v>
          </cell>
          <cell r="M790" t="str">
            <v>Germany</v>
          </cell>
          <cell r="N790" t="str">
            <v>Perfusor</v>
          </cell>
          <cell r="O790" t="str">
            <v>Perfusor Space</v>
          </cell>
          <cell r="P790" t="str">
            <v>143320</v>
          </cell>
          <cell r="Q790" t="str">
            <v>Not Applicable</v>
          </cell>
          <cell r="R790" t="str">
            <v>B Braun Melsungen AG</v>
          </cell>
          <cell r="S790" t="str">
            <v>B Braun Medical Supplies Sdn. Bhd.</v>
          </cell>
          <cell r="T790" t="str">
            <v>Functioning</v>
          </cell>
          <cell r="U790" t="str">
            <v>Asset</v>
          </cell>
          <cell r="V790">
            <v>10225</v>
          </cell>
          <cell r="W790" t="str">
            <v>KEW</v>
          </cell>
          <cell r="X790" t="str">
            <v>01/09/2010</v>
          </cell>
          <cell r="Y790" t="str">
            <v>KEW</v>
          </cell>
          <cell r="Z790" t="str">
            <v>16/08/2013</v>
          </cell>
          <cell r="AA790" t="str">
            <v>15/08/2015</v>
          </cell>
          <cell r="AB790" t="str">
            <v>No</v>
          </cell>
          <cell r="AC790" t="str">
            <v>31/08/2013</v>
          </cell>
          <cell r="AD790" t="str">
            <v>Good</v>
          </cell>
          <cell r="AE790" t="str">
            <v>V1 - Existing / No Claim</v>
          </cell>
          <cell r="AF790">
            <v>42788</v>
          </cell>
          <cell r="AG790">
            <v>9.17</v>
          </cell>
          <cell r="AH790" t="str">
            <v>PPM</v>
          </cell>
          <cell r="AI790" t="str">
            <v>Strands</v>
          </cell>
          <cell r="AJ790" t="str">
            <v>Strands PW</v>
          </cell>
        </row>
        <row r="791">
          <cell r="A791" t="str">
            <v>IKN400327</v>
          </cell>
          <cell r="B791">
            <v>327</v>
          </cell>
          <cell r="C791" t="str">
            <v>Institut Kanser Negara</v>
          </cell>
          <cell r="D791" t="str">
            <v>KKM/IKN/H/13/2463</v>
          </cell>
          <cell r="E791" t="str">
            <v>13-217</v>
          </cell>
          <cell r="F791" t="str">
            <v>Infusion Pumps, Syringe</v>
          </cell>
          <cell r="G791" t="str">
            <v>WF</v>
          </cell>
          <cell r="H791" t="str">
            <v>RT/ONCO WARD 2 (F)</v>
          </cell>
          <cell r="I791" t="str">
            <v>07WF121</v>
          </cell>
          <cell r="J791" t="str">
            <v>EQUIPMENT ROOM</v>
          </cell>
          <cell r="K791" t="str">
            <v>BMED</v>
          </cell>
          <cell r="L791" t="str">
            <v>Normal</v>
          </cell>
          <cell r="M791" t="str">
            <v>Germany</v>
          </cell>
          <cell r="N791" t="str">
            <v>Perfusor</v>
          </cell>
          <cell r="O791" t="str">
            <v>Perfusor Space</v>
          </cell>
          <cell r="P791" t="str">
            <v>186616</v>
          </cell>
          <cell r="Q791" t="str">
            <v>Not Applicable</v>
          </cell>
          <cell r="R791" t="str">
            <v>B Braun Melsungen AG</v>
          </cell>
          <cell r="S791" t="str">
            <v>B Braun Medical Supplies Sdn. Bhd.</v>
          </cell>
          <cell r="T791" t="str">
            <v>Functioning</v>
          </cell>
          <cell r="U791" t="str">
            <v>Asset</v>
          </cell>
          <cell r="V791">
            <v>10225</v>
          </cell>
          <cell r="W791" t="str">
            <v>KEW</v>
          </cell>
          <cell r="X791" t="str">
            <v>01/09/2010</v>
          </cell>
          <cell r="Y791" t="str">
            <v>KEW</v>
          </cell>
          <cell r="Z791" t="str">
            <v>16/08/2013</v>
          </cell>
          <cell r="AA791" t="str">
            <v>15/08/2015</v>
          </cell>
          <cell r="AB791" t="str">
            <v>No</v>
          </cell>
          <cell r="AC791" t="str">
            <v>31/08/2013</v>
          </cell>
          <cell r="AD791" t="str">
            <v>Good</v>
          </cell>
          <cell r="AE791" t="str">
            <v>V1 - Existing / No Claim</v>
          </cell>
          <cell r="AF791">
            <v>42235</v>
          </cell>
          <cell r="AG791">
            <v>9.17</v>
          </cell>
          <cell r="AH791" t="str">
            <v>PPM</v>
          </cell>
          <cell r="AI791" t="str">
            <v>Strands</v>
          </cell>
          <cell r="AJ791" t="str">
            <v>Strands PW</v>
          </cell>
        </row>
        <row r="792">
          <cell r="A792" t="str">
            <v>IKN400328</v>
          </cell>
          <cell r="B792">
            <v>328</v>
          </cell>
          <cell r="C792" t="str">
            <v>Institut Kanser Negara</v>
          </cell>
          <cell r="D792" t="str">
            <v>KKM/IKN/H/13/2467</v>
          </cell>
          <cell r="E792" t="str">
            <v>13-215</v>
          </cell>
          <cell r="F792" t="str">
            <v>Infusion Pumps, General-Purpose</v>
          </cell>
          <cell r="G792" t="str">
            <v>WF</v>
          </cell>
          <cell r="H792" t="str">
            <v>RT/ONCO WARD 2 (F)</v>
          </cell>
          <cell r="I792" t="str">
            <v>07WF121</v>
          </cell>
          <cell r="J792" t="str">
            <v>EQUIPMENT ROOM</v>
          </cell>
          <cell r="K792" t="str">
            <v>BMED</v>
          </cell>
          <cell r="L792" t="str">
            <v>Normal</v>
          </cell>
          <cell r="M792" t="str">
            <v>Germany</v>
          </cell>
          <cell r="N792" t="str">
            <v>Infusomat</v>
          </cell>
          <cell r="O792" t="str">
            <v>Infusomat Space</v>
          </cell>
          <cell r="P792">
            <v>211846</v>
          </cell>
          <cell r="Q792" t="str">
            <v>Not Applicable</v>
          </cell>
          <cell r="R792" t="str">
            <v>B Braun Melsungen AG</v>
          </cell>
          <cell r="S792" t="str">
            <v>B Braun Medical Supplies Sdn. Bhd.</v>
          </cell>
          <cell r="T792" t="str">
            <v>Functioning</v>
          </cell>
          <cell r="U792" t="str">
            <v>Asset</v>
          </cell>
          <cell r="V792">
            <v>10825</v>
          </cell>
          <cell r="W792" t="str">
            <v>KEW</v>
          </cell>
          <cell r="X792" t="str">
            <v>01/09/2010</v>
          </cell>
          <cell r="Y792" t="str">
            <v>KEW</v>
          </cell>
          <cell r="Z792" t="str">
            <v>16/08/2013</v>
          </cell>
          <cell r="AA792" t="str">
            <v>15/08/2015</v>
          </cell>
          <cell r="AB792" t="str">
            <v>No</v>
          </cell>
          <cell r="AC792" t="str">
            <v>31/08/2013</v>
          </cell>
          <cell r="AD792" t="str">
            <v>Good</v>
          </cell>
          <cell r="AE792" t="str">
            <v>V1 - Existing / No Claim</v>
          </cell>
          <cell r="AF792">
            <v>42235</v>
          </cell>
          <cell r="AG792">
            <v>9.17</v>
          </cell>
          <cell r="AH792" t="str">
            <v>PPM</v>
          </cell>
          <cell r="AI792" t="str">
            <v>Strands</v>
          </cell>
          <cell r="AJ792" t="str">
            <v>Strands PW</v>
          </cell>
        </row>
        <row r="793">
          <cell r="A793" t="str">
            <v>IKN400329</v>
          </cell>
          <cell r="B793">
            <v>329</v>
          </cell>
          <cell r="C793" t="str">
            <v>Institut Kanser Negara</v>
          </cell>
          <cell r="D793" t="str">
            <v>KKM/IKN/H/13/2470</v>
          </cell>
          <cell r="E793" t="str">
            <v>13-215</v>
          </cell>
          <cell r="F793" t="str">
            <v>Infusion Pumps, General-Purpose</v>
          </cell>
          <cell r="G793" t="str">
            <v>WF</v>
          </cell>
          <cell r="H793" t="str">
            <v>RT/ONCO WARD 2 (F)</v>
          </cell>
          <cell r="I793" t="str">
            <v>07WF121</v>
          </cell>
          <cell r="J793" t="str">
            <v>EQUIPMENT ROOM</v>
          </cell>
          <cell r="K793" t="str">
            <v>BMED</v>
          </cell>
          <cell r="L793" t="str">
            <v>Normal</v>
          </cell>
          <cell r="M793" t="str">
            <v>Germany</v>
          </cell>
          <cell r="N793" t="str">
            <v>Infusomat</v>
          </cell>
          <cell r="O793" t="str">
            <v>Infusomat Space</v>
          </cell>
          <cell r="P793" t="str">
            <v>212373</v>
          </cell>
          <cell r="Q793" t="str">
            <v>Not Applicable</v>
          </cell>
          <cell r="R793" t="str">
            <v>B Braun Melsungen AG</v>
          </cell>
          <cell r="S793" t="str">
            <v>B Braun Medical Supplies Sdn. Bhd.</v>
          </cell>
          <cell r="T793" t="str">
            <v>Functioning</v>
          </cell>
          <cell r="U793" t="str">
            <v>Asset</v>
          </cell>
          <cell r="V793">
            <v>10825</v>
          </cell>
          <cell r="W793" t="str">
            <v>KEW</v>
          </cell>
          <cell r="X793" t="str">
            <v>01/09/2010</v>
          </cell>
          <cell r="Y793" t="str">
            <v>KEW</v>
          </cell>
          <cell r="Z793" t="str">
            <v>16/08/2013</v>
          </cell>
          <cell r="AA793" t="str">
            <v>15/08/2015</v>
          </cell>
          <cell r="AB793" t="str">
            <v>No</v>
          </cell>
          <cell r="AC793" t="str">
            <v>31/08/2013</v>
          </cell>
          <cell r="AD793" t="str">
            <v>Good</v>
          </cell>
          <cell r="AE793" t="str">
            <v>V1 - Existing / No Claim</v>
          </cell>
          <cell r="AF793">
            <v>42235</v>
          </cell>
          <cell r="AG793">
            <v>9.17</v>
          </cell>
          <cell r="AH793" t="str">
            <v>PPM</v>
          </cell>
          <cell r="AI793" t="str">
            <v>Strands</v>
          </cell>
          <cell r="AJ793" t="str">
            <v>Strands PW</v>
          </cell>
        </row>
        <row r="794">
          <cell r="A794" t="str">
            <v>IKN400330</v>
          </cell>
          <cell r="B794">
            <v>330</v>
          </cell>
          <cell r="C794" t="str">
            <v>Institut Kanser Negara</v>
          </cell>
          <cell r="D794" t="str">
            <v>KKM/IKN/H/13/2471</v>
          </cell>
          <cell r="E794" t="str">
            <v>13-215</v>
          </cell>
          <cell r="F794" t="str">
            <v>Infusion Pumps, General-Purpose</v>
          </cell>
          <cell r="G794" t="str">
            <v>WF</v>
          </cell>
          <cell r="H794" t="str">
            <v>RT/ONCO WARD 2 (F)</v>
          </cell>
          <cell r="I794" t="str">
            <v>07WF121</v>
          </cell>
          <cell r="J794" t="str">
            <v>EQUIPMENT ROOM</v>
          </cell>
          <cell r="K794" t="str">
            <v>BMED</v>
          </cell>
          <cell r="L794" t="str">
            <v>Normal</v>
          </cell>
          <cell r="M794" t="str">
            <v>Germany</v>
          </cell>
          <cell r="N794" t="str">
            <v>Infusomat</v>
          </cell>
          <cell r="O794" t="str">
            <v>Infusomat Space</v>
          </cell>
          <cell r="P794" t="str">
            <v>211805</v>
          </cell>
          <cell r="Q794" t="str">
            <v>Not Applicable</v>
          </cell>
          <cell r="R794" t="str">
            <v>B Braun Melsungen AG</v>
          </cell>
          <cell r="S794" t="str">
            <v>B Braun Medical Supplies Sdn. Bhd.</v>
          </cell>
          <cell r="T794" t="str">
            <v>Functioning</v>
          </cell>
          <cell r="U794" t="str">
            <v>Asset</v>
          </cell>
          <cell r="V794">
            <v>10825</v>
          </cell>
          <cell r="W794" t="str">
            <v>KEW</v>
          </cell>
          <cell r="X794" t="str">
            <v>01/09/2010</v>
          </cell>
          <cell r="Y794" t="str">
            <v>KEW</v>
          </cell>
          <cell r="Z794" t="str">
            <v>16/08/2013</v>
          </cell>
          <cell r="AA794" t="str">
            <v>15/08/2015</v>
          </cell>
          <cell r="AB794" t="str">
            <v>No</v>
          </cell>
          <cell r="AC794" t="str">
            <v>31/08/2013</v>
          </cell>
          <cell r="AD794" t="str">
            <v>Good</v>
          </cell>
          <cell r="AE794" t="str">
            <v>V1 - Existing / No Claim</v>
          </cell>
          <cell r="AF794">
            <v>42235</v>
          </cell>
          <cell r="AG794">
            <v>9.17</v>
          </cell>
          <cell r="AH794" t="str">
            <v>PPM</v>
          </cell>
          <cell r="AI794" t="str">
            <v>Strands</v>
          </cell>
          <cell r="AJ794" t="str">
            <v>Strands PW</v>
          </cell>
        </row>
        <row r="795">
          <cell r="A795" t="str">
            <v>IKN400331</v>
          </cell>
          <cell r="B795">
            <v>331</v>
          </cell>
          <cell r="C795" t="str">
            <v>Institut Kanser Negara</v>
          </cell>
          <cell r="D795" t="str">
            <v>KKM/IKN/H/13/2466</v>
          </cell>
          <cell r="E795" t="str">
            <v>13-215</v>
          </cell>
          <cell r="F795" t="str">
            <v>Infusion Pumps, General-Purpose</v>
          </cell>
          <cell r="G795" t="str">
            <v>WF</v>
          </cell>
          <cell r="H795" t="str">
            <v>RT/ONCO WARD 2 (F)</v>
          </cell>
          <cell r="I795" t="str">
            <v>07WF121</v>
          </cell>
          <cell r="J795" t="str">
            <v>EQUIPMENT ROOM</v>
          </cell>
          <cell r="K795" t="str">
            <v>BMED</v>
          </cell>
          <cell r="L795" t="str">
            <v>Critical</v>
          </cell>
          <cell r="M795" t="str">
            <v>Germany</v>
          </cell>
          <cell r="N795" t="str">
            <v>Infusomat</v>
          </cell>
          <cell r="O795" t="str">
            <v>Infusomat Space</v>
          </cell>
          <cell r="P795" t="str">
            <v>211837</v>
          </cell>
          <cell r="Q795" t="str">
            <v>Not Applicable</v>
          </cell>
          <cell r="R795" t="str">
            <v>B Braun Melsungen AG</v>
          </cell>
          <cell r="S795" t="str">
            <v>B Braun Medical Supplies Sdn. Bhd.</v>
          </cell>
          <cell r="T795" t="str">
            <v>Functioning</v>
          </cell>
          <cell r="U795" t="str">
            <v>Asset</v>
          </cell>
          <cell r="V795">
            <v>10825</v>
          </cell>
          <cell r="W795" t="str">
            <v>KEW</v>
          </cell>
          <cell r="X795" t="str">
            <v>01/09/2010</v>
          </cell>
          <cell r="Y795" t="str">
            <v>KEW</v>
          </cell>
          <cell r="Z795" t="str">
            <v>16/08/2013</v>
          </cell>
          <cell r="AA795" t="str">
            <v>15/08/2015</v>
          </cell>
          <cell r="AB795" t="str">
            <v>No</v>
          </cell>
          <cell r="AC795" t="str">
            <v>31/08/2013</v>
          </cell>
          <cell r="AD795" t="str">
            <v>Good</v>
          </cell>
          <cell r="AE795" t="str">
            <v>V1 - Existing / No Claim</v>
          </cell>
          <cell r="AF795">
            <v>42788</v>
          </cell>
          <cell r="AG795">
            <v>9.17</v>
          </cell>
          <cell r="AH795" t="str">
            <v>PPM</v>
          </cell>
          <cell r="AI795" t="str">
            <v>Strands</v>
          </cell>
          <cell r="AJ795" t="str">
            <v>Strands PW</v>
          </cell>
        </row>
        <row r="796">
          <cell r="A796" t="str">
            <v>IKN400332</v>
          </cell>
          <cell r="B796">
            <v>332</v>
          </cell>
          <cell r="C796" t="str">
            <v>Institut Kanser Negara</v>
          </cell>
          <cell r="D796" t="str">
            <v>KKM/IKN/H/13/2473</v>
          </cell>
          <cell r="E796" t="str">
            <v>13-215</v>
          </cell>
          <cell r="F796" t="str">
            <v>Infusion Pumps, General-Purpose</v>
          </cell>
          <cell r="G796" t="str">
            <v>WF</v>
          </cell>
          <cell r="H796" t="str">
            <v>RT/ONCO WARD 2 (F)</v>
          </cell>
          <cell r="I796" t="str">
            <v>07WF121</v>
          </cell>
          <cell r="J796" t="str">
            <v>EQUIPMENT ROOM</v>
          </cell>
          <cell r="K796" t="str">
            <v>BMED</v>
          </cell>
          <cell r="L796" t="str">
            <v>Critical</v>
          </cell>
          <cell r="M796" t="str">
            <v>Germany</v>
          </cell>
          <cell r="N796" t="str">
            <v>Infusomat</v>
          </cell>
          <cell r="O796" t="str">
            <v>Infusomat Space</v>
          </cell>
          <cell r="P796" t="str">
            <v>211865</v>
          </cell>
          <cell r="Q796" t="str">
            <v>Not Applicable</v>
          </cell>
          <cell r="R796" t="str">
            <v>B Braun Melsungen AG</v>
          </cell>
          <cell r="S796" t="str">
            <v>B Braun Medical Supplies Sdn. Bhd.</v>
          </cell>
          <cell r="T796" t="str">
            <v>Functioning</v>
          </cell>
          <cell r="U796" t="str">
            <v>Asset</v>
          </cell>
          <cell r="V796">
            <v>10825</v>
          </cell>
          <cell r="W796" t="str">
            <v>KEW</v>
          </cell>
          <cell r="X796" t="str">
            <v>01/09/2010</v>
          </cell>
          <cell r="Y796" t="str">
            <v>KEW</v>
          </cell>
          <cell r="Z796" t="str">
            <v>16/08/2013</v>
          </cell>
          <cell r="AA796" t="str">
            <v>15/08/2015</v>
          </cell>
          <cell r="AB796" t="str">
            <v>No</v>
          </cell>
          <cell r="AC796" t="str">
            <v>31/08/2013</v>
          </cell>
          <cell r="AD796" t="str">
            <v>Good</v>
          </cell>
          <cell r="AE796" t="str">
            <v>V1 - Existing / No Claim</v>
          </cell>
          <cell r="AF796">
            <v>42788</v>
          </cell>
          <cell r="AG796">
            <v>9.17</v>
          </cell>
          <cell r="AH796" t="str">
            <v>PPM</v>
          </cell>
          <cell r="AI796" t="str">
            <v>Strands</v>
          </cell>
          <cell r="AJ796" t="str">
            <v>Strands PW</v>
          </cell>
        </row>
        <row r="797">
          <cell r="A797" t="str">
            <v>IKN400333</v>
          </cell>
          <cell r="B797">
            <v>333</v>
          </cell>
          <cell r="C797" t="str">
            <v>Institut Kanser Negara</v>
          </cell>
          <cell r="D797" t="str">
            <v>KKM/IKN/H/13/2477</v>
          </cell>
          <cell r="E797" t="str">
            <v>13-215</v>
          </cell>
          <cell r="F797" t="str">
            <v>Infusion Pumps, General-Purpose</v>
          </cell>
          <cell r="G797" t="str">
            <v>WF</v>
          </cell>
          <cell r="H797" t="str">
            <v>RT/ONCO WARD 2 (F)</v>
          </cell>
          <cell r="I797" t="str">
            <v>07WF121</v>
          </cell>
          <cell r="J797" t="str">
            <v>EQUIPMENT ROOM</v>
          </cell>
          <cell r="K797" t="str">
            <v>BMED</v>
          </cell>
          <cell r="L797" t="str">
            <v>Critical</v>
          </cell>
          <cell r="M797" t="str">
            <v>Germany</v>
          </cell>
          <cell r="N797" t="str">
            <v>Infusomat</v>
          </cell>
          <cell r="O797" t="str">
            <v>Infusomat Space</v>
          </cell>
          <cell r="P797" t="str">
            <v>211868</v>
          </cell>
          <cell r="Q797" t="str">
            <v>Not Applicable</v>
          </cell>
          <cell r="R797" t="str">
            <v>B Braun Melsungen AG</v>
          </cell>
          <cell r="S797" t="str">
            <v>B Braun Medical Supplies Sdn. Bhd.</v>
          </cell>
          <cell r="T797" t="str">
            <v>Functioning</v>
          </cell>
          <cell r="U797" t="str">
            <v>Asset</v>
          </cell>
          <cell r="V797">
            <v>10825</v>
          </cell>
          <cell r="W797" t="str">
            <v>KEW</v>
          </cell>
          <cell r="X797" t="str">
            <v>01/09/2010</v>
          </cell>
          <cell r="Y797" t="str">
            <v>KEW</v>
          </cell>
          <cell r="Z797" t="str">
            <v>16/08/2013</v>
          </cell>
          <cell r="AA797" t="str">
            <v>15/08/2015</v>
          </cell>
          <cell r="AB797" t="str">
            <v>No</v>
          </cell>
          <cell r="AC797" t="str">
            <v>31/08/2013</v>
          </cell>
          <cell r="AD797" t="str">
            <v>Good</v>
          </cell>
          <cell r="AE797" t="str">
            <v>V1 - Existing / No Claim</v>
          </cell>
          <cell r="AF797">
            <v>42788</v>
          </cell>
          <cell r="AG797">
            <v>9.17</v>
          </cell>
          <cell r="AH797" t="str">
            <v>PPM</v>
          </cell>
          <cell r="AI797" t="str">
            <v>Strands</v>
          </cell>
          <cell r="AJ797" t="str">
            <v>Strands PW</v>
          </cell>
        </row>
        <row r="798">
          <cell r="A798" t="str">
            <v>IKN400334</v>
          </cell>
          <cell r="B798">
            <v>334</v>
          </cell>
          <cell r="C798" t="str">
            <v>Institut Kanser Negara</v>
          </cell>
          <cell r="D798" t="str">
            <v>KKM/IKN/H/13/2469</v>
          </cell>
          <cell r="E798" t="str">
            <v>13-215</v>
          </cell>
          <cell r="F798" t="str">
            <v>Infusion Pumps, General-Purpose</v>
          </cell>
          <cell r="G798" t="str">
            <v>WF</v>
          </cell>
          <cell r="H798" t="str">
            <v>RT/ONCO WARD 2 (F)</v>
          </cell>
          <cell r="I798" t="str">
            <v>07WF121</v>
          </cell>
          <cell r="J798" t="str">
            <v>EQUIPMENT ROOM</v>
          </cell>
          <cell r="K798" t="str">
            <v>BMED</v>
          </cell>
          <cell r="L798" t="str">
            <v>Critical</v>
          </cell>
          <cell r="M798" t="str">
            <v>Germany</v>
          </cell>
          <cell r="N798" t="str">
            <v>Infusomat</v>
          </cell>
          <cell r="O798" t="str">
            <v>Infusomat Space</v>
          </cell>
          <cell r="P798" t="str">
            <v>211883</v>
          </cell>
          <cell r="Q798" t="str">
            <v>Not Applicable</v>
          </cell>
          <cell r="R798" t="str">
            <v>B Braun Melsungen AG</v>
          </cell>
          <cell r="S798" t="str">
            <v>B Braun Medical Supplies Sdn. Bhd.</v>
          </cell>
          <cell r="T798" t="str">
            <v>Functioning</v>
          </cell>
          <cell r="U798" t="str">
            <v>Asset</v>
          </cell>
          <cell r="V798">
            <v>10825</v>
          </cell>
          <cell r="W798" t="str">
            <v>KEW</v>
          </cell>
          <cell r="X798" t="str">
            <v>01/09/2010</v>
          </cell>
          <cell r="Y798" t="str">
            <v>KEW</v>
          </cell>
          <cell r="Z798" t="str">
            <v>16/08/2013</v>
          </cell>
          <cell r="AA798" t="str">
            <v>15/08/2015</v>
          </cell>
          <cell r="AB798" t="str">
            <v>No</v>
          </cell>
          <cell r="AC798" t="str">
            <v>31/08/2013</v>
          </cell>
          <cell r="AD798" t="str">
            <v>Good</v>
          </cell>
          <cell r="AE798" t="str">
            <v>V1 - Existing / No Claim</v>
          </cell>
          <cell r="AF798">
            <v>42788</v>
          </cell>
          <cell r="AG798">
            <v>9.17</v>
          </cell>
          <cell r="AH798" t="str">
            <v>PPM</v>
          </cell>
          <cell r="AI798" t="str">
            <v>Strands</v>
          </cell>
          <cell r="AJ798" t="str">
            <v>Strands PW</v>
          </cell>
        </row>
        <row r="799">
          <cell r="A799" t="str">
            <v>IKN400335</v>
          </cell>
          <cell r="B799">
            <v>335</v>
          </cell>
          <cell r="C799" t="str">
            <v>Institut Kanser Negara</v>
          </cell>
          <cell r="D799" t="str">
            <v>KKM/IKN/H/13/2475</v>
          </cell>
          <cell r="E799" t="str">
            <v>13-215</v>
          </cell>
          <cell r="F799" t="str">
            <v>Infusion Pumps, General-Purpose</v>
          </cell>
          <cell r="G799" t="str">
            <v>WF</v>
          </cell>
          <cell r="H799" t="str">
            <v>RT/ONCO WARD 2 (F)</v>
          </cell>
          <cell r="I799" t="str">
            <v>07WF121</v>
          </cell>
          <cell r="J799" t="str">
            <v>EQUIPMENT ROOM</v>
          </cell>
          <cell r="K799" t="str">
            <v>BMED</v>
          </cell>
          <cell r="L799" t="str">
            <v>Critical</v>
          </cell>
          <cell r="M799" t="str">
            <v>Germany</v>
          </cell>
          <cell r="N799" t="str">
            <v>Infusomat</v>
          </cell>
          <cell r="O799" t="str">
            <v>Infusomat Space</v>
          </cell>
          <cell r="P799" t="str">
            <v>211939</v>
          </cell>
          <cell r="Q799" t="str">
            <v>Not Applicable</v>
          </cell>
          <cell r="R799" t="str">
            <v>B Braun Melsungen AG</v>
          </cell>
          <cell r="S799" t="str">
            <v>B Braun Medical Supplies Sdn. Bhd.</v>
          </cell>
          <cell r="T799" t="str">
            <v>Functioning</v>
          </cell>
          <cell r="U799" t="str">
            <v>Asset</v>
          </cell>
          <cell r="V799">
            <v>10825</v>
          </cell>
          <cell r="W799" t="str">
            <v>KEW</v>
          </cell>
          <cell r="X799" t="str">
            <v>01/09/2010</v>
          </cell>
          <cell r="Y799" t="str">
            <v>KEW</v>
          </cell>
          <cell r="Z799" t="str">
            <v>16/08/2013</v>
          </cell>
          <cell r="AA799" t="str">
            <v>15/08/2015</v>
          </cell>
          <cell r="AB799" t="str">
            <v>No</v>
          </cell>
          <cell r="AC799" t="str">
            <v>31/08/2013</v>
          </cell>
          <cell r="AD799" t="str">
            <v>Good</v>
          </cell>
          <cell r="AE799" t="str">
            <v>V1 - Existing / No Claim</v>
          </cell>
          <cell r="AF799">
            <v>42788</v>
          </cell>
          <cell r="AG799">
            <v>9.17</v>
          </cell>
          <cell r="AH799" t="str">
            <v>PPM</v>
          </cell>
          <cell r="AI799" t="str">
            <v>Strands</v>
          </cell>
          <cell r="AJ799" t="str">
            <v>Strands PW</v>
          </cell>
        </row>
        <row r="800">
          <cell r="A800" t="str">
            <v>IKN400336</v>
          </cell>
          <cell r="B800">
            <v>336</v>
          </cell>
          <cell r="C800" t="str">
            <v>Institut Kanser Negara</v>
          </cell>
          <cell r="D800" t="str">
            <v>KKM/IKN/H/13/2468</v>
          </cell>
          <cell r="E800" t="str">
            <v>13-215</v>
          </cell>
          <cell r="F800" t="str">
            <v>Infusion Pumps, General-Purpose</v>
          </cell>
          <cell r="G800" t="str">
            <v>WF</v>
          </cell>
          <cell r="H800" t="str">
            <v>RT/ONCO WARD 2 (F)</v>
          </cell>
          <cell r="I800" t="str">
            <v>07WF121</v>
          </cell>
          <cell r="J800" t="str">
            <v>EQUIPMENT ROOM</v>
          </cell>
          <cell r="K800" t="str">
            <v>BMED</v>
          </cell>
          <cell r="L800" t="str">
            <v>Critical</v>
          </cell>
          <cell r="M800" t="str">
            <v>Germany</v>
          </cell>
          <cell r="N800" t="str">
            <v>Infusomat</v>
          </cell>
          <cell r="O800" t="str">
            <v>Infusomat Space</v>
          </cell>
          <cell r="P800" t="str">
            <v>212001</v>
          </cell>
          <cell r="Q800" t="str">
            <v>Not Applicable</v>
          </cell>
          <cell r="R800" t="str">
            <v>B Braun Melsungen AG</v>
          </cell>
          <cell r="S800" t="str">
            <v>B Braun Medical Supplies Sdn. Bhd.</v>
          </cell>
          <cell r="T800" t="str">
            <v>Functioning</v>
          </cell>
          <cell r="U800" t="str">
            <v>Asset</v>
          </cell>
          <cell r="V800">
            <v>10825</v>
          </cell>
          <cell r="W800" t="str">
            <v>KEW</v>
          </cell>
          <cell r="X800" t="str">
            <v>01/09/2010</v>
          </cell>
          <cell r="Y800" t="str">
            <v>KEW</v>
          </cell>
          <cell r="Z800" t="str">
            <v>16/08/2013</v>
          </cell>
          <cell r="AA800" t="str">
            <v>15/08/2015</v>
          </cell>
          <cell r="AB800" t="str">
            <v>No</v>
          </cell>
          <cell r="AC800" t="str">
            <v>31/08/2013</v>
          </cell>
          <cell r="AD800" t="str">
            <v>Good</v>
          </cell>
          <cell r="AE800" t="str">
            <v>V1 - Existing / No Claim</v>
          </cell>
          <cell r="AF800">
            <v>42788</v>
          </cell>
          <cell r="AG800">
            <v>9.17</v>
          </cell>
          <cell r="AH800" t="str">
            <v>PPM</v>
          </cell>
          <cell r="AI800" t="str">
            <v>Strands</v>
          </cell>
          <cell r="AJ800" t="str">
            <v>Strands PW</v>
          </cell>
        </row>
        <row r="801">
          <cell r="A801" t="str">
            <v>IKN400337</v>
          </cell>
          <cell r="B801">
            <v>337</v>
          </cell>
          <cell r="C801" t="str">
            <v>Institut Kanser Negara</v>
          </cell>
          <cell r="D801" t="str">
            <v>KKM/IKN/H/13/2465</v>
          </cell>
          <cell r="E801" t="str">
            <v>13-215</v>
          </cell>
          <cell r="F801" t="str">
            <v>Infusion Pumps, General-Purpose</v>
          </cell>
          <cell r="G801" t="str">
            <v>WF</v>
          </cell>
          <cell r="H801" t="str">
            <v>RT/ONCO WARD 2 (F)</v>
          </cell>
          <cell r="I801" t="str">
            <v>07WF121</v>
          </cell>
          <cell r="J801" t="str">
            <v>EQUIPMENT ROOM</v>
          </cell>
          <cell r="K801" t="str">
            <v>BMED</v>
          </cell>
          <cell r="L801" t="str">
            <v>Critical</v>
          </cell>
          <cell r="M801" t="str">
            <v>Germany</v>
          </cell>
          <cell r="N801" t="str">
            <v>Infusomat</v>
          </cell>
          <cell r="O801" t="str">
            <v>Infusomat Space</v>
          </cell>
          <cell r="P801" t="str">
            <v>212093</v>
          </cell>
          <cell r="Q801" t="str">
            <v>Not Applicable</v>
          </cell>
          <cell r="R801" t="str">
            <v>B Braun Melsungen AG</v>
          </cell>
          <cell r="S801" t="str">
            <v>B Braun Medical Supplies Sdn. Bhd.</v>
          </cell>
          <cell r="T801" t="str">
            <v>Functioning</v>
          </cell>
          <cell r="U801" t="str">
            <v>Asset</v>
          </cell>
          <cell r="V801">
            <v>10825</v>
          </cell>
          <cell r="W801" t="str">
            <v>KEW</v>
          </cell>
          <cell r="X801" t="str">
            <v>01/09/2010</v>
          </cell>
          <cell r="Y801" t="str">
            <v>KEW</v>
          </cell>
          <cell r="Z801" t="str">
            <v>16/08/2013</v>
          </cell>
          <cell r="AA801" t="str">
            <v>15/08/2015</v>
          </cell>
          <cell r="AB801" t="str">
            <v>No</v>
          </cell>
          <cell r="AC801" t="str">
            <v>31/08/2013</v>
          </cell>
          <cell r="AD801" t="str">
            <v>Good</v>
          </cell>
          <cell r="AE801" t="str">
            <v>V1 - Existing / No Claim</v>
          </cell>
          <cell r="AF801">
            <v>42788</v>
          </cell>
          <cell r="AG801">
            <v>9.17</v>
          </cell>
          <cell r="AH801" t="str">
            <v>PPM</v>
          </cell>
          <cell r="AI801" t="str">
            <v>Strands</v>
          </cell>
          <cell r="AJ801" t="str">
            <v>Strands PW</v>
          </cell>
        </row>
        <row r="802">
          <cell r="A802" t="str">
            <v>IKN400338</v>
          </cell>
          <cell r="B802">
            <v>338</v>
          </cell>
          <cell r="C802" t="str">
            <v>Institut Kanser Negara</v>
          </cell>
          <cell r="D802" t="str">
            <v>KKM/IKN/H/13/2481</v>
          </cell>
          <cell r="E802" t="str">
            <v>18-147</v>
          </cell>
          <cell r="F802" t="str">
            <v>Mattress Systems, Alternating-Pressure</v>
          </cell>
          <cell r="G802" t="str">
            <v>WF</v>
          </cell>
          <cell r="H802" t="str">
            <v>RT/ONCO WARD 2 (F)</v>
          </cell>
          <cell r="I802" t="str">
            <v>07WF121</v>
          </cell>
          <cell r="J802" t="str">
            <v>EQUIPMENT ROOM</v>
          </cell>
          <cell r="K802" t="str">
            <v>BMED</v>
          </cell>
          <cell r="L802" t="str">
            <v>Normal</v>
          </cell>
          <cell r="M802" t="str">
            <v>Poland</v>
          </cell>
          <cell r="N802" t="str">
            <v>Nimbus</v>
          </cell>
          <cell r="O802" t="str">
            <v>Nimbus 3</v>
          </cell>
          <cell r="P802" t="str">
            <v>1200006454</v>
          </cell>
          <cell r="Q802" t="str">
            <v>Not Applicable</v>
          </cell>
          <cell r="R802" t="str">
            <v>Arjohuntleigh</v>
          </cell>
          <cell r="S802" t="str">
            <v>Hexamine Sdn. Bhd.</v>
          </cell>
          <cell r="T802" t="str">
            <v>Functioning</v>
          </cell>
          <cell r="U802" t="str">
            <v>Asset</v>
          </cell>
          <cell r="V802">
            <v>28630</v>
          </cell>
          <cell r="W802" t="str">
            <v>KEW</v>
          </cell>
          <cell r="X802" t="str">
            <v>01/09/2010</v>
          </cell>
          <cell r="Y802" t="str">
            <v>KEW</v>
          </cell>
          <cell r="Z802" t="str">
            <v>16/08/2013</v>
          </cell>
          <cell r="AA802" t="str">
            <v>15/08/2015</v>
          </cell>
          <cell r="AB802" t="str">
            <v>No</v>
          </cell>
          <cell r="AC802" t="str">
            <v>31/08/2013</v>
          </cell>
          <cell r="AD802" t="str">
            <v>Good</v>
          </cell>
          <cell r="AE802" t="str">
            <v>V3 - Added Installed Facilities (New)</v>
          </cell>
          <cell r="AF802">
            <v>42235</v>
          </cell>
          <cell r="AG802">
            <v>9.17</v>
          </cell>
          <cell r="AH802" t="str">
            <v>PPM</v>
          </cell>
          <cell r="AI802" t="str">
            <v>Strands</v>
          </cell>
          <cell r="AJ802" t="str">
            <v>Strands PW</v>
          </cell>
          <cell r="AK802" t="str">
            <v>SNF received. 1st batch of V3 asset (December 2020)</v>
          </cell>
        </row>
        <row r="803">
          <cell r="A803" t="str">
            <v>IKN400339</v>
          </cell>
          <cell r="B803">
            <v>339</v>
          </cell>
          <cell r="C803" t="str">
            <v>Institut Kanser Negara</v>
          </cell>
          <cell r="D803" t="str">
            <v>KKM/IKN/H/13/2494</v>
          </cell>
          <cell r="E803" t="str">
            <v>18-147</v>
          </cell>
          <cell r="F803" t="str">
            <v>Mattress Systems, Alternating-Pressure</v>
          </cell>
          <cell r="G803" t="str">
            <v>WF</v>
          </cell>
          <cell r="H803" t="str">
            <v>RT/ONCO WARD 2 (F)</v>
          </cell>
          <cell r="I803" t="str">
            <v>07WF121</v>
          </cell>
          <cell r="J803" t="str">
            <v>EQUIPMENT ROOM</v>
          </cell>
          <cell r="K803" t="str">
            <v>BMED</v>
          </cell>
          <cell r="L803" t="str">
            <v>Normal</v>
          </cell>
          <cell r="M803" t="str">
            <v>Poland</v>
          </cell>
          <cell r="N803" t="str">
            <v>Nimbus</v>
          </cell>
          <cell r="O803" t="str">
            <v>Nimbus 3</v>
          </cell>
          <cell r="P803" t="str">
            <v>1200018809</v>
          </cell>
          <cell r="Q803" t="str">
            <v>Not Applicable</v>
          </cell>
          <cell r="R803" t="str">
            <v>Arjohuntleigh</v>
          </cell>
          <cell r="S803" t="str">
            <v>Hexamine Sdn. Bhd.</v>
          </cell>
          <cell r="T803" t="str">
            <v>Functioning</v>
          </cell>
          <cell r="U803" t="str">
            <v>Asset</v>
          </cell>
          <cell r="V803">
            <v>28630</v>
          </cell>
          <cell r="W803" t="str">
            <v>KEW</v>
          </cell>
          <cell r="X803" t="str">
            <v>01/09/2010</v>
          </cell>
          <cell r="Y803" t="str">
            <v>KEW</v>
          </cell>
          <cell r="Z803" t="str">
            <v>16/08/2013</v>
          </cell>
          <cell r="AA803" t="str">
            <v>15/08/2015</v>
          </cell>
          <cell r="AB803" t="str">
            <v>No</v>
          </cell>
          <cell r="AC803" t="str">
            <v>31/08/2013</v>
          </cell>
          <cell r="AD803" t="str">
            <v>Good</v>
          </cell>
          <cell r="AE803" t="str">
            <v>V3 - Added Installed Facilities (New)</v>
          </cell>
          <cell r="AF803">
            <v>42235</v>
          </cell>
          <cell r="AG803">
            <v>9.17</v>
          </cell>
          <cell r="AH803" t="str">
            <v>PPM</v>
          </cell>
          <cell r="AI803" t="str">
            <v>Strands</v>
          </cell>
          <cell r="AJ803" t="str">
            <v>Strands PW</v>
          </cell>
          <cell r="AK803" t="str">
            <v>SNF received. 1st batch of V3 asset (December 2020)</v>
          </cell>
        </row>
        <row r="804">
          <cell r="A804" t="str">
            <v>IKN400340</v>
          </cell>
          <cell r="B804">
            <v>340</v>
          </cell>
          <cell r="C804" t="str">
            <v>Institut Kanser Negara</v>
          </cell>
          <cell r="D804" t="str">
            <v>KKM/IKN/H/13/2490</v>
          </cell>
          <cell r="E804" t="str">
            <v>18-147</v>
          </cell>
          <cell r="F804" t="str">
            <v>Mattress Systems, Alternating-Pressure</v>
          </cell>
          <cell r="G804" t="str">
            <v>WF</v>
          </cell>
          <cell r="H804" t="str">
            <v>RT/ONCO WARD 2 (F)</v>
          </cell>
          <cell r="I804" t="str">
            <v>07WF121</v>
          </cell>
          <cell r="J804" t="str">
            <v>EQUIPMENT ROOM</v>
          </cell>
          <cell r="K804" t="str">
            <v>BMED</v>
          </cell>
          <cell r="L804" t="str">
            <v>Normal</v>
          </cell>
          <cell r="M804" t="str">
            <v>Poland</v>
          </cell>
          <cell r="N804" t="str">
            <v>Nimbus</v>
          </cell>
          <cell r="O804" t="str">
            <v>Nimbus 3</v>
          </cell>
          <cell r="P804" t="str">
            <v>1200006458</v>
          </cell>
          <cell r="Q804" t="str">
            <v>Not Applicable</v>
          </cell>
          <cell r="R804" t="str">
            <v>Arjohuntleigh</v>
          </cell>
          <cell r="S804" t="str">
            <v>Hexamine Sdn. Bhd.</v>
          </cell>
          <cell r="T804" t="str">
            <v>Functioning</v>
          </cell>
          <cell r="U804" t="str">
            <v>Asset</v>
          </cell>
          <cell r="V804">
            <v>28630</v>
          </cell>
          <cell r="W804" t="str">
            <v>KEW</v>
          </cell>
          <cell r="X804" t="str">
            <v>01/09/2010</v>
          </cell>
          <cell r="Y804" t="str">
            <v>KEW</v>
          </cell>
          <cell r="Z804" t="str">
            <v>16/08/2013</v>
          </cell>
          <cell r="AA804" t="str">
            <v>15/08/2015</v>
          </cell>
          <cell r="AB804" t="str">
            <v>No</v>
          </cell>
          <cell r="AC804" t="str">
            <v>31/08/2013</v>
          </cell>
          <cell r="AD804" t="str">
            <v>Good</v>
          </cell>
          <cell r="AE804" t="str">
            <v>V3 - Added Installed Facilities (New)</v>
          </cell>
          <cell r="AF804">
            <v>42235</v>
          </cell>
          <cell r="AG804">
            <v>9.17</v>
          </cell>
          <cell r="AH804" t="str">
            <v>PPM</v>
          </cell>
          <cell r="AI804" t="str">
            <v>Strands</v>
          </cell>
          <cell r="AJ804" t="str">
            <v>Strands PW</v>
          </cell>
          <cell r="AK804" t="str">
            <v>SNF received. 1st batch of V3 asset (December 2020)</v>
          </cell>
        </row>
        <row r="805">
          <cell r="A805" t="str">
            <v>IKN400341</v>
          </cell>
          <cell r="B805">
            <v>341</v>
          </cell>
          <cell r="C805" t="str">
            <v>Institut Kanser Negara</v>
          </cell>
          <cell r="D805" t="str">
            <v>KKM/IKN/H/13/2482</v>
          </cell>
          <cell r="E805" t="str">
            <v>18-147</v>
          </cell>
          <cell r="F805" t="str">
            <v>Mattress Systems, Alternating-Pressure</v>
          </cell>
          <cell r="G805" t="str">
            <v>WF</v>
          </cell>
          <cell r="H805" t="str">
            <v>RT/ONCO WARD 2 (F)</v>
          </cell>
          <cell r="I805" t="str">
            <v>07WF121</v>
          </cell>
          <cell r="J805" t="str">
            <v>EQUIPMENT ROOM</v>
          </cell>
          <cell r="K805" t="str">
            <v>BMED</v>
          </cell>
          <cell r="L805" t="str">
            <v>Normal</v>
          </cell>
          <cell r="M805" t="str">
            <v>Poland</v>
          </cell>
          <cell r="N805" t="str">
            <v>Nimbus</v>
          </cell>
          <cell r="O805" t="str">
            <v>Nimbus 3</v>
          </cell>
          <cell r="P805" t="str">
            <v>1200035125</v>
          </cell>
          <cell r="Q805" t="str">
            <v>Not Applicable</v>
          </cell>
          <cell r="R805" t="str">
            <v>Arjohuntleigh</v>
          </cell>
          <cell r="S805" t="str">
            <v>Hexamine Sdn. Bhd.</v>
          </cell>
          <cell r="T805" t="str">
            <v>Functioning</v>
          </cell>
          <cell r="U805" t="str">
            <v>Asset</v>
          </cell>
          <cell r="V805">
            <v>28630</v>
          </cell>
          <cell r="W805" t="str">
            <v>KEW</v>
          </cell>
          <cell r="X805" t="str">
            <v>01/09/2010</v>
          </cell>
          <cell r="Y805" t="str">
            <v>KEW</v>
          </cell>
          <cell r="Z805" t="str">
            <v>16/08/2013</v>
          </cell>
          <cell r="AA805" t="str">
            <v>15/08/2015</v>
          </cell>
          <cell r="AB805" t="str">
            <v>No</v>
          </cell>
          <cell r="AC805" t="str">
            <v>31/08/2013</v>
          </cell>
          <cell r="AD805" t="str">
            <v>Good</v>
          </cell>
          <cell r="AE805" t="str">
            <v>V3 - Added Installed Facilities (New)</v>
          </cell>
          <cell r="AF805">
            <v>42235</v>
          </cell>
          <cell r="AG805">
            <v>9.17</v>
          </cell>
          <cell r="AH805" t="str">
            <v>PPM</v>
          </cell>
          <cell r="AI805" t="str">
            <v>Strands</v>
          </cell>
          <cell r="AJ805" t="str">
            <v>Strands PW</v>
          </cell>
          <cell r="AK805" t="str">
            <v>SNF received. 1st batch of V3 asset (December 2020)</v>
          </cell>
        </row>
        <row r="806">
          <cell r="A806" t="str">
            <v>IKN400342</v>
          </cell>
          <cell r="B806">
            <v>342</v>
          </cell>
          <cell r="C806" t="str">
            <v>Institut Kanser Negara</v>
          </cell>
          <cell r="D806" t="str">
            <v>KKM/IKN/H/13/2487</v>
          </cell>
          <cell r="E806" t="str">
            <v>18-147</v>
          </cell>
          <cell r="F806" t="str">
            <v>Mattress Systems, Alternating-Pressure</v>
          </cell>
          <cell r="G806" t="str">
            <v>WF</v>
          </cell>
          <cell r="H806" t="str">
            <v>RT/ONCO WARD 2 (F)</v>
          </cell>
          <cell r="I806" t="str">
            <v>07WF121</v>
          </cell>
          <cell r="J806" t="str">
            <v>EQUIPMENT ROOM</v>
          </cell>
          <cell r="K806" t="str">
            <v>BMED</v>
          </cell>
          <cell r="L806" t="str">
            <v>Normal</v>
          </cell>
          <cell r="M806" t="str">
            <v>Poland</v>
          </cell>
          <cell r="N806" t="str">
            <v>Nimbus</v>
          </cell>
          <cell r="O806" t="str">
            <v>Nimbus 3</v>
          </cell>
          <cell r="P806" t="str">
            <v>1200035190</v>
          </cell>
          <cell r="Q806" t="str">
            <v>Not Applicable</v>
          </cell>
          <cell r="R806" t="str">
            <v>Arjohuntleigh</v>
          </cell>
          <cell r="S806" t="str">
            <v>Hexamine Sdn. Bhd.</v>
          </cell>
          <cell r="T806" t="str">
            <v>Functioning</v>
          </cell>
          <cell r="U806" t="str">
            <v>Asset</v>
          </cell>
          <cell r="V806">
            <v>28630</v>
          </cell>
          <cell r="W806" t="str">
            <v>KEW</v>
          </cell>
          <cell r="X806" t="str">
            <v>01/09/2010</v>
          </cell>
          <cell r="Y806" t="str">
            <v>KEW</v>
          </cell>
          <cell r="Z806" t="str">
            <v>16/08/2013</v>
          </cell>
          <cell r="AA806" t="str">
            <v>15/08/2015</v>
          </cell>
          <cell r="AB806" t="str">
            <v>No</v>
          </cell>
          <cell r="AC806" t="str">
            <v>31/08/2013</v>
          </cell>
          <cell r="AD806" t="str">
            <v>Good</v>
          </cell>
          <cell r="AE806" t="str">
            <v>V3 - Added Installed Facilities (New)</v>
          </cell>
          <cell r="AF806">
            <v>42235</v>
          </cell>
          <cell r="AG806">
            <v>9.17</v>
          </cell>
          <cell r="AH806" t="str">
            <v>PPM</v>
          </cell>
          <cell r="AI806" t="str">
            <v>Strands</v>
          </cell>
          <cell r="AJ806" t="str">
            <v>Strands PW</v>
          </cell>
          <cell r="AK806" t="str">
            <v>SNF received. 1st batch of V3 asset (December 2020)</v>
          </cell>
        </row>
        <row r="807">
          <cell r="A807" t="str">
            <v>IKN400343</v>
          </cell>
          <cell r="B807">
            <v>343</v>
          </cell>
          <cell r="C807" t="str">
            <v>Institut Kanser Negara</v>
          </cell>
          <cell r="D807" t="str">
            <v>KKM/IKN/H/13/2492</v>
          </cell>
          <cell r="E807" t="str">
            <v>18-147</v>
          </cell>
          <cell r="F807" t="str">
            <v>Mattress Systems, Alternating-Pressure</v>
          </cell>
          <cell r="G807" t="str">
            <v>WF</v>
          </cell>
          <cell r="H807" t="str">
            <v>RT/ONCO WARD 2 (F)</v>
          </cell>
          <cell r="I807" t="str">
            <v>07WF121</v>
          </cell>
          <cell r="J807" t="str">
            <v>EQUIPMENT ROOM</v>
          </cell>
          <cell r="K807" t="str">
            <v>BMED</v>
          </cell>
          <cell r="L807" t="str">
            <v>Normal</v>
          </cell>
          <cell r="M807" t="str">
            <v>Poland</v>
          </cell>
          <cell r="N807" t="str">
            <v>Nimbus</v>
          </cell>
          <cell r="O807" t="str">
            <v>Nimbus 3</v>
          </cell>
          <cell r="P807" t="str">
            <v>1200035121</v>
          </cell>
          <cell r="Q807" t="str">
            <v>Not Applicable</v>
          </cell>
          <cell r="R807" t="str">
            <v>Arjohuntleigh</v>
          </cell>
          <cell r="S807" t="str">
            <v>Hexamine Sdn. Bhd.</v>
          </cell>
          <cell r="T807" t="str">
            <v>Functioning</v>
          </cell>
          <cell r="U807" t="str">
            <v>Asset</v>
          </cell>
          <cell r="V807">
            <v>28630</v>
          </cell>
          <cell r="W807" t="str">
            <v>KEW</v>
          </cell>
          <cell r="X807" t="str">
            <v>01/09/2010</v>
          </cell>
          <cell r="Y807" t="str">
            <v>KEW</v>
          </cell>
          <cell r="Z807" t="str">
            <v>16/08/2013</v>
          </cell>
          <cell r="AA807" t="str">
            <v>15/08/2015</v>
          </cell>
          <cell r="AB807" t="str">
            <v>No</v>
          </cell>
          <cell r="AC807" t="str">
            <v>31/08/2013</v>
          </cell>
          <cell r="AD807" t="str">
            <v>Good</v>
          </cell>
          <cell r="AE807" t="str">
            <v>V3 - Added Installed Facilities (New)</v>
          </cell>
          <cell r="AF807">
            <v>42235</v>
          </cell>
          <cell r="AG807">
            <v>9.17</v>
          </cell>
          <cell r="AH807" t="str">
            <v>PPM</v>
          </cell>
          <cell r="AI807" t="str">
            <v>Strands</v>
          </cell>
          <cell r="AJ807" t="str">
            <v>Strands PW</v>
          </cell>
          <cell r="AK807" t="str">
            <v>SNF received. 1st batch of V3 asset (December 2020)</v>
          </cell>
        </row>
        <row r="808">
          <cell r="A808" t="str">
            <v>IKN400344</v>
          </cell>
          <cell r="B808">
            <v>344</v>
          </cell>
          <cell r="C808" t="str">
            <v>Institut Kanser Negara</v>
          </cell>
          <cell r="D808" t="str">
            <v>KKM/IKN/H/13/2527</v>
          </cell>
          <cell r="E808" t="str">
            <v>10-208</v>
          </cell>
          <cell r="F808" t="str">
            <v>Aspirators</v>
          </cell>
          <cell r="G808" t="str">
            <v>WF</v>
          </cell>
          <cell r="H808" t="str">
            <v>RT/ONCO WARD 2 (F)</v>
          </cell>
          <cell r="I808" t="str">
            <v>07WF121</v>
          </cell>
          <cell r="J808" t="str">
            <v>EQUIPMENT ROOM</v>
          </cell>
          <cell r="K808" t="str">
            <v>BMED</v>
          </cell>
          <cell r="L808" t="str">
            <v>Normal</v>
          </cell>
          <cell r="M808" t="str">
            <v>UK</v>
          </cell>
          <cell r="N808" t="str">
            <v>SAM</v>
          </cell>
          <cell r="O808" t="str">
            <v>SAM 427</v>
          </cell>
          <cell r="P808" t="str">
            <v>0313-0530</v>
          </cell>
          <cell r="Q808" t="str">
            <v>Not Applicable</v>
          </cell>
          <cell r="R808" t="str">
            <v>MG Electric Ltd</v>
          </cell>
          <cell r="S808" t="str">
            <v>Delta Medisains</v>
          </cell>
          <cell r="T808" t="str">
            <v>Functioning</v>
          </cell>
          <cell r="U808" t="str">
            <v>Asset</v>
          </cell>
          <cell r="V808">
            <v>10705</v>
          </cell>
          <cell r="W808" t="str">
            <v>KEW</v>
          </cell>
          <cell r="X808" t="str">
            <v>01/09/2010</v>
          </cell>
          <cell r="Y808" t="str">
            <v>KEW</v>
          </cell>
          <cell r="Z808" t="str">
            <v>16/08/2013</v>
          </cell>
          <cell r="AA808" t="str">
            <v>15/08/2015</v>
          </cell>
          <cell r="AB808" t="str">
            <v>No</v>
          </cell>
          <cell r="AC808" t="str">
            <v>31/08/2013</v>
          </cell>
          <cell r="AD808" t="str">
            <v>Good</v>
          </cell>
          <cell r="AE808" t="str">
            <v>V1 - Existing / No Claim</v>
          </cell>
          <cell r="AF808">
            <v>42235</v>
          </cell>
          <cell r="AG808">
            <v>9.17</v>
          </cell>
          <cell r="AH808" t="str">
            <v>PPM</v>
          </cell>
          <cell r="AI808" t="str">
            <v>Strands</v>
          </cell>
          <cell r="AJ808" t="str">
            <v>Strands PW</v>
          </cell>
        </row>
        <row r="809">
          <cell r="A809" t="str">
            <v>IKN400345</v>
          </cell>
          <cell r="B809">
            <v>345</v>
          </cell>
          <cell r="C809" t="str">
            <v>Institut Kanser Negara</v>
          </cell>
          <cell r="D809" t="str">
            <v>KKM/IKN/H/13/2461</v>
          </cell>
          <cell r="E809" t="str">
            <v>17-148</v>
          </cell>
          <cell r="F809" t="str">
            <v>Oximeters, Pulse</v>
          </cell>
          <cell r="G809" t="str">
            <v>WF</v>
          </cell>
          <cell r="H809" t="str">
            <v>RT/ONCO WARD 2 (F)</v>
          </cell>
          <cell r="I809" t="str">
            <v>07WF121</v>
          </cell>
          <cell r="J809" t="str">
            <v>EQUIPMENT ROOM</v>
          </cell>
          <cell r="K809" t="str">
            <v>BMED</v>
          </cell>
          <cell r="L809" t="str">
            <v>Normal</v>
          </cell>
          <cell r="M809" t="str">
            <v>USA</v>
          </cell>
          <cell r="N809" t="str">
            <v>PalmSat</v>
          </cell>
          <cell r="O809" t="str">
            <v>PalmSat 2500</v>
          </cell>
          <cell r="P809" t="str">
            <v>501439255</v>
          </cell>
          <cell r="Q809" t="str">
            <v>Not Applicable</v>
          </cell>
          <cell r="R809" t="str">
            <v>Nonin Medical Inc</v>
          </cell>
          <cell r="S809" t="str">
            <v>Acucare Systems (M) Sdn bhd</v>
          </cell>
          <cell r="T809" t="str">
            <v>Functioning</v>
          </cell>
          <cell r="U809" t="str">
            <v>Asset</v>
          </cell>
          <cell r="V809">
            <v>5410</v>
          </cell>
          <cell r="W809" t="str">
            <v>KEW</v>
          </cell>
          <cell r="X809" t="str">
            <v>01/09/2010</v>
          </cell>
          <cell r="Y809" t="str">
            <v>KEW</v>
          </cell>
          <cell r="Z809" t="str">
            <v>16/08/2013</v>
          </cell>
          <cell r="AA809" t="str">
            <v>15/08/2015</v>
          </cell>
          <cell r="AB809" t="str">
            <v>No</v>
          </cell>
          <cell r="AC809" t="str">
            <v>31/08/2013</v>
          </cell>
          <cell r="AD809" t="str">
            <v>Good</v>
          </cell>
          <cell r="AE809" t="str">
            <v>V1 - Existing / No Claim</v>
          </cell>
          <cell r="AF809">
            <v>42235</v>
          </cell>
          <cell r="AG809">
            <v>9.17</v>
          </cell>
          <cell r="AH809" t="str">
            <v>PPM</v>
          </cell>
          <cell r="AI809" t="str">
            <v>Strands</v>
          </cell>
          <cell r="AJ809" t="str">
            <v>Strands PW</v>
          </cell>
        </row>
        <row r="810">
          <cell r="A810" t="str">
            <v>IKN400346</v>
          </cell>
          <cell r="B810">
            <v>346</v>
          </cell>
          <cell r="C810" t="str">
            <v>Institut Kanser Negara</v>
          </cell>
          <cell r="D810" t="str">
            <v>KKM/IKN/H/13/2462</v>
          </cell>
          <cell r="E810" t="str">
            <v>17-148</v>
          </cell>
          <cell r="F810" t="str">
            <v>Oximeters, Pulse</v>
          </cell>
          <cell r="G810" t="str">
            <v>WF</v>
          </cell>
          <cell r="H810" t="str">
            <v>RT/ONCO WARD 2 (F)</v>
          </cell>
          <cell r="I810" t="str">
            <v>07WF121</v>
          </cell>
          <cell r="J810" t="str">
            <v>EQUIPMENT ROOM</v>
          </cell>
          <cell r="K810" t="str">
            <v>BMED</v>
          </cell>
          <cell r="L810" t="str">
            <v>Normal</v>
          </cell>
          <cell r="M810" t="str">
            <v>USA</v>
          </cell>
          <cell r="N810" t="str">
            <v>PalmSat</v>
          </cell>
          <cell r="O810" t="str">
            <v>PalmSat 2500</v>
          </cell>
          <cell r="P810" t="str">
            <v>501438137</v>
          </cell>
          <cell r="Q810" t="str">
            <v>Not Applicable</v>
          </cell>
          <cell r="R810" t="str">
            <v>Nonin Medical Inc</v>
          </cell>
          <cell r="S810" t="str">
            <v>Acucare Systems (M) Sdn bhd</v>
          </cell>
          <cell r="T810" t="str">
            <v>Functioning</v>
          </cell>
          <cell r="U810" t="str">
            <v>Asset</v>
          </cell>
          <cell r="V810">
            <v>5410</v>
          </cell>
          <cell r="W810" t="str">
            <v>KEW</v>
          </cell>
          <cell r="X810" t="str">
            <v>01/09/2010</v>
          </cell>
          <cell r="Y810" t="str">
            <v>KEW</v>
          </cell>
          <cell r="Z810" t="str">
            <v>16/08/2013</v>
          </cell>
          <cell r="AA810" t="str">
            <v>15/08/2015</v>
          </cell>
          <cell r="AB810" t="str">
            <v>No</v>
          </cell>
          <cell r="AC810" t="str">
            <v>31/08/2013</v>
          </cell>
          <cell r="AD810" t="str">
            <v>Good</v>
          </cell>
          <cell r="AE810" t="str">
            <v>V1 - Existing / No Claim</v>
          </cell>
          <cell r="AF810">
            <v>42235</v>
          </cell>
          <cell r="AG810">
            <v>9.17</v>
          </cell>
          <cell r="AH810" t="str">
            <v>PPM</v>
          </cell>
          <cell r="AI810" t="str">
            <v>Strands</v>
          </cell>
          <cell r="AJ810" t="str">
            <v>Strands PW</v>
          </cell>
        </row>
        <row r="811">
          <cell r="A811" t="str">
            <v>IKN400347</v>
          </cell>
          <cell r="B811">
            <v>347</v>
          </cell>
          <cell r="C811" t="str">
            <v>Institut Kanser Negara</v>
          </cell>
          <cell r="D811" t="str">
            <v>KKM/IKN/H/13/2458</v>
          </cell>
          <cell r="E811" t="str">
            <v>12-647</v>
          </cell>
          <cell r="F811" t="str">
            <v>Physiologic Monitoring Systems, Acute Care</v>
          </cell>
          <cell r="G811" t="str">
            <v>WF</v>
          </cell>
          <cell r="H811" t="str">
            <v>RT/ONCO WARD 2 (F)</v>
          </cell>
          <cell r="I811" t="str">
            <v>07WF121</v>
          </cell>
          <cell r="J811" t="str">
            <v>EQUIPMENT ROOM</v>
          </cell>
          <cell r="K811" t="str">
            <v>BMED</v>
          </cell>
          <cell r="L811" t="str">
            <v>Normal</v>
          </cell>
          <cell r="M811" t="str">
            <v>USA</v>
          </cell>
          <cell r="N811" t="str">
            <v>GE</v>
          </cell>
          <cell r="O811" t="str">
            <v>GE B30</v>
          </cell>
          <cell r="P811" t="str">
            <v>SF312325915WA</v>
          </cell>
          <cell r="Q811" t="str">
            <v>Not Applicable</v>
          </cell>
          <cell r="R811" t="str">
            <v>GE Healthcare Systems</v>
          </cell>
          <cell r="S811" t="str">
            <v>GE Healthcare Technologies</v>
          </cell>
          <cell r="T811" t="str">
            <v>Functioning</v>
          </cell>
          <cell r="U811" t="str">
            <v>Asset</v>
          </cell>
          <cell r="V811">
            <v>44510</v>
          </cell>
          <cell r="W811" t="str">
            <v>KEW</v>
          </cell>
          <cell r="X811" t="str">
            <v>01/09/2010</v>
          </cell>
          <cell r="Y811" t="str">
            <v>KEW</v>
          </cell>
          <cell r="Z811" t="str">
            <v>16/08/2013</v>
          </cell>
          <cell r="AA811" t="str">
            <v>15/08/2015</v>
          </cell>
          <cell r="AB811" t="str">
            <v>No</v>
          </cell>
          <cell r="AC811" t="str">
            <v>31/08/2013</v>
          </cell>
          <cell r="AD811" t="str">
            <v>Good</v>
          </cell>
          <cell r="AE811" t="str">
            <v>V1 - Existing / No Claim</v>
          </cell>
          <cell r="AF811">
            <v>42235</v>
          </cell>
          <cell r="AG811">
            <v>9.17</v>
          </cell>
          <cell r="AH811" t="str">
            <v>PPM</v>
          </cell>
          <cell r="AI811" t="str">
            <v>Strands</v>
          </cell>
          <cell r="AJ811" t="str">
            <v>Strands PW</v>
          </cell>
        </row>
        <row r="812">
          <cell r="A812" t="str">
            <v>IKN400348</v>
          </cell>
          <cell r="B812">
            <v>348</v>
          </cell>
          <cell r="C812" t="str">
            <v>Institut Kanser Negara</v>
          </cell>
          <cell r="D812" t="str">
            <v>KKM/IKN/H/13/2459</v>
          </cell>
          <cell r="E812" t="str">
            <v>12-647</v>
          </cell>
          <cell r="F812" t="str">
            <v>Physiologic Monitoring Systems, Acute Care</v>
          </cell>
          <cell r="G812" t="str">
            <v>WF</v>
          </cell>
          <cell r="H812" t="str">
            <v>RT/ONCO WARD 2 (F)</v>
          </cell>
          <cell r="I812" t="str">
            <v>07WF121</v>
          </cell>
          <cell r="J812" t="str">
            <v>EQUIPMENT ROOM</v>
          </cell>
          <cell r="K812" t="str">
            <v>BMED</v>
          </cell>
          <cell r="L812" t="str">
            <v>Critical</v>
          </cell>
          <cell r="M812" t="str">
            <v>USA</v>
          </cell>
          <cell r="N812" t="str">
            <v>GE</v>
          </cell>
          <cell r="O812" t="str">
            <v>GE B30</v>
          </cell>
          <cell r="P812" t="str">
            <v>SF312325902WA</v>
          </cell>
          <cell r="Q812" t="str">
            <v>Not Applicable</v>
          </cell>
          <cell r="R812" t="str">
            <v>GE Healthcare Systems</v>
          </cell>
          <cell r="S812" t="str">
            <v>GE Healthcare Technologies</v>
          </cell>
          <cell r="T812" t="str">
            <v>Functioning</v>
          </cell>
          <cell r="U812" t="str">
            <v>Asset</v>
          </cell>
          <cell r="V812">
            <v>44510</v>
          </cell>
          <cell r="W812" t="str">
            <v>KEW</v>
          </cell>
          <cell r="X812" t="str">
            <v>01/09/2010</v>
          </cell>
          <cell r="Y812" t="str">
            <v>KEW</v>
          </cell>
          <cell r="Z812" t="str">
            <v>16/08/2013</v>
          </cell>
          <cell r="AA812" t="str">
            <v>15/08/2015</v>
          </cell>
          <cell r="AB812" t="str">
            <v>No</v>
          </cell>
          <cell r="AC812" t="str">
            <v>31/08/2013</v>
          </cell>
          <cell r="AD812" t="str">
            <v>Good</v>
          </cell>
          <cell r="AE812" t="str">
            <v>V1 - Existing / No Claim</v>
          </cell>
          <cell r="AF812">
            <v>42788</v>
          </cell>
          <cell r="AG812">
            <v>9.17</v>
          </cell>
          <cell r="AH812" t="str">
            <v>PPM</v>
          </cell>
          <cell r="AI812" t="str">
            <v>Strands</v>
          </cell>
          <cell r="AJ812" t="str">
            <v>Strands PW</v>
          </cell>
        </row>
        <row r="813">
          <cell r="A813" t="str">
            <v>IKN400349</v>
          </cell>
          <cell r="B813">
            <v>349</v>
          </cell>
          <cell r="C813" t="str">
            <v>Institut Kanser Negara</v>
          </cell>
          <cell r="D813" t="str">
            <v>KKM/IKN/H/13/2518</v>
          </cell>
          <cell r="E813" t="str">
            <v>16-173</v>
          </cell>
          <cell r="F813" t="str">
            <v>Sphygmomanometers, Electronic, Automatic</v>
          </cell>
          <cell r="G813" t="str">
            <v>WF</v>
          </cell>
          <cell r="H813" t="str">
            <v>RT/ONCO WARD 2 (F)</v>
          </cell>
          <cell r="I813" t="str">
            <v>07WF143</v>
          </cell>
          <cell r="J813" t="str">
            <v>NURSE STATION</v>
          </cell>
          <cell r="K813" t="str">
            <v>BMED</v>
          </cell>
          <cell r="L813" t="str">
            <v>Critical</v>
          </cell>
          <cell r="M813" t="str">
            <v>USA</v>
          </cell>
          <cell r="N813" t="str">
            <v>Connex</v>
          </cell>
          <cell r="O813" t="str">
            <v>Connex ProBP 3400</v>
          </cell>
          <cell r="P813" t="str">
            <v>100001590613</v>
          </cell>
          <cell r="Q813" t="str">
            <v>Not Applicable</v>
          </cell>
          <cell r="R813" t="str">
            <v>Welch Allyn Inc</v>
          </cell>
          <cell r="S813" t="str">
            <v>Welch Allyn Malaysia Sdn Bhd</v>
          </cell>
          <cell r="T813" t="str">
            <v>Functioning</v>
          </cell>
          <cell r="U813" t="str">
            <v>Asset</v>
          </cell>
          <cell r="V813">
            <v>4510</v>
          </cell>
          <cell r="W813" t="str">
            <v>KEW</v>
          </cell>
          <cell r="X813" t="str">
            <v>01/09/2010</v>
          </cell>
          <cell r="Y813" t="str">
            <v>KEW</v>
          </cell>
          <cell r="Z813" t="str">
            <v>16/08/2013</v>
          </cell>
          <cell r="AA813" t="str">
            <v>15/08/2015</v>
          </cell>
          <cell r="AB813" t="str">
            <v>No</v>
          </cell>
          <cell r="AC813" t="str">
            <v>31/08/2013</v>
          </cell>
          <cell r="AD813" t="str">
            <v>Good</v>
          </cell>
          <cell r="AE813" t="str">
            <v>V1 - Existing / No Claim</v>
          </cell>
          <cell r="AF813">
            <v>42788</v>
          </cell>
          <cell r="AG813">
            <v>9.17</v>
          </cell>
          <cell r="AH813" t="str">
            <v>PPM</v>
          </cell>
          <cell r="AI813" t="str">
            <v>Strands</v>
          </cell>
          <cell r="AJ813" t="str">
            <v>Strands PW</v>
          </cell>
        </row>
        <row r="814">
          <cell r="A814" t="str">
            <v>IKN400350</v>
          </cell>
          <cell r="B814">
            <v>350</v>
          </cell>
          <cell r="C814" t="str">
            <v>Institut Kanser Negara</v>
          </cell>
          <cell r="D814" t="str">
            <v>KKM/IKN/H/13/2512</v>
          </cell>
          <cell r="E814" t="str">
            <v>16-173</v>
          </cell>
          <cell r="F814" t="str">
            <v>Sphygmomanometers, Electronic, Automatic</v>
          </cell>
          <cell r="G814" t="str">
            <v>WF</v>
          </cell>
          <cell r="H814" t="str">
            <v>RT/ONCO WARD 2 (F)</v>
          </cell>
          <cell r="I814" t="str">
            <v>07WF143</v>
          </cell>
          <cell r="J814" t="str">
            <v>NURSE STATION</v>
          </cell>
          <cell r="K814" t="str">
            <v>BMED</v>
          </cell>
          <cell r="L814" t="str">
            <v>Critical</v>
          </cell>
          <cell r="M814" t="str">
            <v>USA</v>
          </cell>
          <cell r="N814" t="str">
            <v>Connex</v>
          </cell>
          <cell r="O814" t="str">
            <v>Connex ProBP 3400</v>
          </cell>
          <cell r="P814" t="str">
            <v>100001760613</v>
          </cell>
          <cell r="Q814" t="str">
            <v>Not Applicable</v>
          </cell>
          <cell r="R814" t="str">
            <v>Welch Allyn Inc</v>
          </cell>
          <cell r="S814" t="str">
            <v>Welch Allyn Malaysia Sdn Bhd</v>
          </cell>
          <cell r="T814" t="str">
            <v>Functioning</v>
          </cell>
          <cell r="U814" t="str">
            <v>Asset</v>
          </cell>
          <cell r="V814">
            <v>4510</v>
          </cell>
          <cell r="W814" t="str">
            <v>KEW</v>
          </cell>
          <cell r="X814" t="str">
            <v>01/09/2010</v>
          </cell>
          <cell r="Y814" t="str">
            <v>KEW</v>
          </cell>
          <cell r="Z814" t="str">
            <v>16/08/2013</v>
          </cell>
          <cell r="AA814" t="str">
            <v>15/08/2015</v>
          </cell>
          <cell r="AB814" t="str">
            <v>No</v>
          </cell>
          <cell r="AC814" t="str">
            <v>31/08/2013</v>
          </cell>
          <cell r="AD814" t="str">
            <v>Good</v>
          </cell>
          <cell r="AE814" t="str">
            <v>V1 - Existing / No Claim</v>
          </cell>
          <cell r="AF814">
            <v>42788</v>
          </cell>
          <cell r="AG814">
            <v>9.17</v>
          </cell>
          <cell r="AH814" t="str">
            <v>PPM</v>
          </cell>
          <cell r="AI814" t="str">
            <v>Strands</v>
          </cell>
          <cell r="AJ814" t="str">
            <v>Strands PW</v>
          </cell>
        </row>
        <row r="815">
          <cell r="A815" t="str">
            <v>IKN400352</v>
          </cell>
          <cell r="B815">
            <v>352</v>
          </cell>
          <cell r="C815" t="str">
            <v>Institut Kanser Negara</v>
          </cell>
          <cell r="D815" t="e">
            <v>#N/A</v>
          </cell>
          <cell r="E815" t="str">
            <v>11-134</v>
          </cell>
          <cell r="F815" t="str">
            <v>Defibrillators, External, Manual</v>
          </cell>
          <cell r="G815" t="str">
            <v>WF</v>
          </cell>
          <cell r="H815" t="str">
            <v>RT/ONCO WARD 2 (F)</v>
          </cell>
          <cell r="I815" t="str">
            <v>07WF133</v>
          </cell>
          <cell r="J815" t="str">
            <v>RESUS EQ. BAY</v>
          </cell>
          <cell r="K815" t="str">
            <v>BMED</v>
          </cell>
          <cell r="L815" t="str">
            <v>Critical</v>
          </cell>
          <cell r="M815" t="str">
            <v>USA</v>
          </cell>
          <cell r="N815" t="str">
            <v>Responder</v>
          </cell>
          <cell r="O815" t="str">
            <v>Responder 2000</v>
          </cell>
          <cell r="P815" t="str">
            <v>3206743</v>
          </cell>
          <cell r="Q815" t="str">
            <v>Not Applicable</v>
          </cell>
          <cell r="R815" t="str">
            <v>GE Medical Systems</v>
          </cell>
          <cell r="S815" t="str">
            <v>Antah Sir Radin Sdn. Bhd.</v>
          </cell>
          <cell r="T815" t="str">
            <v>Functioning</v>
          </cell>
          <cell r="U815" t="str">
            <v>Asset</v>
          </cell>
          <cell r="V815">
            <v>45000</v>
          </cell>
          <cell r="W815" t="str">
            <v>Estimate</v>
          </cell>
          <cell r="X815" t="str">
            <v>01/09/2010</v>
          </cell>
          <cell r="Y815" t="str">
            <v>KEW</v>
          </cell>
          <cell r="Z815" t="str">
            <v>16/08/2013</v>
          </cell>
          <cell r="AA815" t="str">
            <v>15/08/2015</v>
          </cell>
          <cell r="AB815" t="str">
            <v>No</v>
          </cell>
          <cell r="AC815" t="str">
            <v>31/08/2013</v>
          </cell>
          <cell r="AD815" t="str">
            <v>Good</v>
          </cell>
          <cell r="AE815" t="str">
            <v>V1 - Existing / No Claim</v>
          </cell>
          <cell r="AF815">
            <v>42601</v>
          </cell>
          <cell r="AG815">
            <v>9.17</v>
          </cell>
          <cell r="AH815" t="str">
            <v>PPM</v>
          </cell>
          <cell r="AI815" t="str">
            <v>Strands</v>
          </cell>
          <cell r="AJ815" t="str">
            <v>Strands PW</v>
          </cell>
          <cell r="AK815" t="str">
            <v>Crash Trolley (FEMS)</v>
          </cell>
        </row>
        <row r="816">
          <cell r="A816" t="str">
            <v>IKN400353</v>
          </cell>
          <cell r="B816">
            <v>353</v>
          </cell>
          <cell r="C816" t="str">
            <v>Institut Kanser Negara</v>
          </cell>
          <cell r="D816" t="str">
            <v>KKM/IKN/H/13/4740</v>
          </cell>
          <cell r="E816" t="str">
            <v>25-209</v>
          </cell>
          <cell r="F816" t="str">
            <v>Monitors, Physiologic, Vital Signs</v>
          </cell>
          <cell r="G816" t="str">
            <v>WF</v>
          </cell>
          <cell r="H816" t="str">
            <v>RT/ONCO WARD 2 (F)</v>
          </cell>
          <cell r="I816" t="str">
            <v>07WF133</v>
          </cell>
          <cell r="J816" t="str">
            <v>RESUS EQ. BAY</v>
          </cell>
          <cell r="K816" t="str">
            <v>BMED</v>
          </cell>
          <cell r="L816" t="str">
            <v>Normal</v>
          </cell>
          <cell r="M816" t="str">
            <v>Mexico</v>
          </cell>
          <cell r="N816" t="str">
            <v>Carespace</v>
          </cell>
          <cell r="O816" t="str">
            <v>Carescape V100</v>
          </cell>
          <cell r="P816" t="str">
            <v>SH613280318SA</v>
          </cell>
          <cell r="Q816" t="str">
            <v>Not Applicable</v>
          </cell>
          <cell r="R816" t="str">
            <v>GE Healthcare Systems</v>
          </cell>
          <cell r="S816" t="str">
            <v>GE Healthcare Technologies</v>
          </cell>
          <cell r="T816" t="str">
            <v>Functioning</v>
          </cell>
          <cell r="U816" t="str">
            <v>Asset</v>
          </cell>
          <cell r="V816">
            <v>18765</v>
          </cell>
          <cell r="W816" t="str">
            <v>KEW</v>
          </cell>
          <cell r="X816" t="str">
            <v>01/09/2010</v>
          </cell>
          <cell r="Y816" t="str">
            <v>KEW</v>
          </cell>
          <cell r="Z816" t="str">
            <v>16/08/2013</v>
          </cell>
          <cell r="AA816" t="str">
            <v>15/08/2015</v>
          </cell>
          <cell r="AB816" t="str">
            <v>No</v>
          </cell>
          <cell r="AC816" t="str">
            <v>31/08/2013</v>
          </cell>
          <cell r="AD816" t="str">
            <v>Good</v>
          </cell>
          <cell r="AE816" t="str">
            <v>V1 - Existing / No Claim</v>
          </cell>
          <cell r="AF816">
            <v>42235</v>
          </cell>
          <cell r="AG816">
            <v>9.17</v>
          </cell>
          <cell r="AH816" t="str">
            <v>PPM</v>
          </cell>
          <cell r="AI816" t="str">
            <v>Strands</v>
          </cell>
          <cell r="AJ816" t="str">
            <v>Strands PW</v>
          </cell>
        </row>
        <row r="817">
          <cell r="A817" t="str">
            <v>IKN400355</v>
          </cell>
          <cell r="B817">
            <v>355</v>
          </cell>
          <cell r="C817" t="str">
            <v>Institut Kanser Negara</v>
          </cell>
          <cell r="D817" t="str">
            <v>KKM/IKN/H/13/2363</v>
          </cell>
          <cell r="E817" t="str">
            <v>10-208</v>
          </cell>
          <cell r="F817" t="str">
            <v>Aspirators</v>
          </cell>
          <cell r="G817" t="str">
            <v>WE</v>
          </cell>
          <cell r="H817" t="str">
            <v>RT/ONCO WARD 1 (F)</v>
          </cell>
          <cell r="I817" t="str">
            <v>07WE107</v>
          </cell>
          <cell r="J817" t="str">
            <v>TREATMENT / PROCESURE</v>
          </cell>
          <cell r="K817" t="str">
            <v>BMED</v>
          </cell>
          <cell r="L817" t="str">
            <v>Critical</v>
          </cell>
          <cell r="M817" t="str">
            <v>Switzerland</v>
          </cell>
          <cell r="N817" t="str">
            <v>Senator</v>
          </cell>
          <cell r="O817" t="str">
            <v>Senator</v>
          </cell>
          <cell r="P817" t="str">
            <v>1220743</v>
          </cell>
          <cell r="Q817" t="str">
            <v>Not Applicable</v>
          </cell>
          <cell r="R817" t="str">
            <v>Ardo Medical AG</v>
          </cell>
          <cell r="S817" t="str">
            <v>Histopoint</v>
          </cell>
          <cell r="T817" t="str">
            <v>Functioning</v>
          </cell>
          <cell r="U817" t="str">
            <v>Asset</v>
          </cell>
          <cell r="V817">
            <v>5052</v>
          </cell>
          <cell r="W817" t="str">
            <v>KEW</v>
          </cell>
          <cell r="X817" t="str">
            <v>01/09/2010</v>
          </cell>
          <cell r="Y817" t="str">
            <v>KEW</v>
          </cell>
          <cell r="Z817" t="str">
            <v>16/08/2013</v>
          </cell>
          <cell r="AA817" t="str">
            <v>15/08/2015</v>
          </cell>
          <cell r="AB817" t="str">
            <v>No</v>
          </cell>
          <cell r="AC817" t="str">
            <v>31/08/2013</v>
          </cell>
          <cell r="AD817" t="str">
            <v>Good</v>
          </cell>
          <cell r="AE817" t="str">
            <v>V1 - Existing / No Claim</v>
          </cell>
          <cell r="AF817">
            <v>42789</v>
          </cell>
          <cell r="AG817">
            <v>9.17</v>
          </cell>
          <cell r="AH817" t="str">
            <v>PPM</v>
          </cell>
          <cell r="AI817" t="str">
            <v>Strands</v>
          </cell>
          <cell r="AJ817" t="str">
            <v>Strands PW</v>
          </cell>
        </row>
        <row r="818">
          <cell r="A818" t="str">
            <v>IKN400356</v>
          </cell>
          <cell r="B818">
            <v>356</v>
          </cell>
          <cell r="C818" t="str">
            <v>Institut Kanser Negara</v>
          </cell>
          <cell r="D818" t="str">
            <v>KKM/IKN/H/13/2355</v>
          </cell>
          <cell r="E818" t="str">
            <v>16-231</v>
          </cell>
          <cell r="F818" t="str">
            <v>Electrocardiographs, Multichannel, Interpretative</v>
          </cell>
          <cell r="G818" t="str">
            <v>WE</v>
          </cell>
          <cell r="H818" t="str">
            <v>RT/ONCO WARD 1 (F)</v>
          </cell>
          <cell r="I818" t="str">
            <v>07WE107</v>
          </cell>
          <cell r="J818" t="str">
            <v>TREATMENT / PROCESURE</v>
          </cell>
          <cell r="K818" t="str">
            <v>BMED</v>
          </cell>
          <cell r="L818" t="str">
            <v>Critical</v>
          </cell>
          <cell r="M818" t="str">
            <v>China</v>
          </cell>
          <cell r="N818" t="str">
            <v>Mac</v>
          </cell>
          <cell r="O818" t="str">
            <v>MAC 800</v>
          </cell>
          <cell r="P818" t="str">
            <v>SJ412450363 WA</v>
          </cell>
          <cell r="Q818" t="str">
            <v>Not Applicable</v>
          </cell>
          <cell r="R818" t="str">
            <v>GE Healthcare Systems</v>
          </cell>
          <cell r="S818" t="str">
            <v>GE Healthcare Technologies</v>
          </cell>
          <cell r="T818" t="str">
            <v>Functioning</v>
          </cell>
          <cell r="U818" t="str">
            <v>Asset</v>
          </cell>
          <cell r="V818">
            <v>25260</v>
          </cell>
          <cell r="W818" t="str">
            <v>KEW</v>
          </cell>
          <cell r="X818" t="str">
            <v>01/09/2010</v>
          </cell>
          <cell r="Y818" t="str">
            <v>KEW</v>
          </cell>
          <cell r="Z818" t="str">
            <v>16/08/2013</v>
          </cell>
          <cell r="AA818" t="str">
            <v>15/08/2015</v>
          </cell>
          <cell r="AB818" t="str">
            <v>No</v>
          </cell>
          <cell r="AC818" t="str">
            <v>31/08/2013</v>
          </cell>
          <cell r="AD818" t="str">
            <v>Good</v>
          </cell>
          <cell r="AE818" t="str">
            <v>V1 - Existing / No Claim</v>
          </cell>
          <cell r="AF818">
            <v>42789</v>
          </cell>
          <cell r="AG818">
            <v>9.17</v>
          </cell>
          <cell r="AH818" t="str">
            <v>PPM</v>
          </cell>
          <cell r="AI818" t="str">
            <v>Strands</v>
          </cell>
          <cell r="AJ818" t="str">
            <v>Strands PW</v>
          </cell>
        </row>
        <row r="819">
          <cell r="A819" t="str">
            <v>IKN400357</v>
          </cell>
          <cell r="B819">
            <v>357</v>
          </cell>
          <cell r="C819" t="str">
            <v>Institut Kanser Negara</v>
          </cell>
          <cell r="D819" t="str">
            <v>KKM/IKN/H/13/2075</v>
          </cell>
          <cell r="E819" t="str">
            <v>10-447</v>
          </cell>
          <cell r="F819" t="str">
            <v>Warming Units, Blood/Solution</v>
          </cell>
          <cell r="G819" t="str">
            <v>WE</v>
          </cell>
          <cell r="H819" t="str">
            <v>RT/ONCO WARD 1 (F)</v>
          </cell>
          <cell r="I819" t="str">
            <v>07WE113</v>
          </cell>
          <cell r="J819" t="str">
            <v>EQUIPMENT ROOM</v>
          </cell>
          <cell r="K819" t="str">
            <v>BMED</v>
          </cell>
          <cell r="L819" t="str">
            <v>Normal</v>
          </cell>
          <cell r="M819" t="str">
            <v>Japan</v>
          </cell>
          <cell r="N819" t="str">
            <v>Animec</v>
          </cell>
          <cell r="O819" t="str">
            <v>Animec AM-301</v>
          </cell>
          <cell r="P819" t="str">
            <v>2013D0241</v>
          </cell>
          <cell r="Q819" t="str">
            <v>Not Applicable</v>
          </cell>
          <cell r="R819" t="str">
            <v>Elltec Co Ltd</v>
          </cell>
          <cell r="S819" t="str">
            <v>IDS Services (Malaysia) Sdn Bhd</v>
          </cell>
          <cell r="T819" t="str">
            <v>Functioning</v>
          </cell>
          <cell r="U819" t="str">
            <v>Asset</v>
          </cell>
          <cell r="V819">
            <v>4990</v>
          </cell>
          <cell r="W819" t="str">
            <v>KEW</v>
          </cell>
          <cell r="X819" t="str">
            <v>01/09/2010</v>
          </cell>
          <cell r="Y819" t="str">
            <v>KEW</v>
          </cell>
          <cell r="Z819" t="str">
            <v>16/08/2013</v>
          </cell>
          <cell r="AA819" t="str">
            <v>15/08/2015</v>
          </cell>
          <cell r="AB819" t="str">
            <v>No</v>
          </cell>
          <cell r="AC819" t="str">
            <v>31/08/2013</v>
          </cell>
          <cell r="AD819" t="str">
            <v>Good</v>
          </cell>
          <cell r="AE819" t="str">
            <v>V1 - Existing / No Claim</v>
          </cell>
          <cell r="AF819">
            <v>42235</v>
          </cell>
          <cell r="AG819">
            <v>9.17</v>
          </cell>
          <cell r="AH819" t="str">
            <v>PPM</v>
          </cell>
          <cell r="AI819" t="str">
            <v>Strands</v>
          </cell>
          <cell r="AJ819" t="str">
            <v>Strands PW</v>
          </cell>
        </row>
        <row r="820">
          <cell r="A820" t="str">
            <v>IKN400358</v>
          </cell>
          <cell r="B820">
            <v>358</v>
          </cell>
          <cell r="C820" t="str">
            <v>Institut Kanser Negara</v>
          </cell>
          <cell r="D820" t="str">
            <v>KKM/IKN/H/13/2077</v>
          </cell>
          <cell r="E820" t="str">
            <v>10-447</v>
          </cell>
          <cell r="F820" t="str">
            <v>Warming Units, Blood/Solution</v>
          </cell>
          <cell r="G820" t="str">
            <v>WE</v>
          </cell>
          <cell r="H820" t="str">
            <v>RT/ONCO WARD 1 (F)</v>
          </cell>
          <cell r="I820" t="str">
            <v>07WE113</v>
          </cell>
          <cell r="J820" t="str">
            <v>EQUIPMENT ROOM</v>
          </cell>
          <cell r="K820" t="str">
            <v>BMED</v>
          </cell>
          <cell r="L820" t="str">
            <v>Normal</v>
          </cell>
          <cell r="M820" t="str">
            <v>Japan</v>
          </cell>
          <cell r="N820" t="str">
            <v>Animec</v>
          </cell>
          <cell r="O820" t="str">
            <v>Animec AM-301</v>
          </cell>
          <cell r="P820" t="str">
            <v>2013D0269</v>
          </cell>
          <cell r="Q820" t="str">
            <v>Not Applicable</v>
          </cell>
          <cell r="R820" t="str">
            <v>Elltec Co Ltd</v>
          </cell>
          <cell r="S820" t="str">
            <v>IDS Services (Malaysia) Sdn Bhd</v>
          </cell>
          <cell r="T820" t="str">
            <v>Functioning</v>
          </cell>
          <cell r="U820" t="str">
            <v>Asset</v>
          </cell>
          <cell r="V820">
            <v>4990</v>
          </cell>
          <cell r="W820" t="str">
            <v>KEW</v>
          </cell>
          <cell r="X820" t="str">
            <v>01/09/2010</v>
          </cell>
          <cell r="Y820" t="str">
            <v>KEW</v>
          </cell>
          <cell r="Z820" t="str">
            <v>16/08/2013</v>
          </cell>
          <cell r="AA820" t="str">
            <v>15/08/2015</v>
          </cell>
          <cell r="AB820" t="str">
            <v>No</v>
          </cell>
          <cell r="AC820" t="str">
            <v>31/08/2013</v>
          </cell>
          <cell r="AD820" t="str">
            <v>Good</v>
          </cell>
          <cell r="AE820" t="str">
            <v>V1 - Existing / No Claim</v>
          </cell>
          <cell r="AF820">
            <v>42235</v>
          </cell>
          <cell r="AG820">
            <v>9.17</v>
          </cell>
          <cell r="AH820" t="str">
            <v>PPM</v>
          </cell>
          <cell r="AI820" t="str">
            <v>Strands</v>
          </cell>
          <cell r="AJ820" t="str">
            <v>Strands PW</v>
          </cell>
        </row>
        <row r="821">
          <cell r="A821" t="str">
            <v>IKN400359</v>
          </cell>
          <cell r="B821">
            <v>359</v>
          </cell>
          <cell r="C821" t="str">
            <v>Institut Kanser Negara</v>
          </cell>
          <cell r="D821" t="str">
            <v>KKM/IKN/H/13/2076</v>
          </cell>
          <cell r="E821" t="str">
            <v>10-447</v>
          </cell>
          <cell r="F821" t="str">
            <v>Warming Units, Blood/Solution</v>
          </cell>
          <cell r="G821" t="str">
            <v>WE</v>
          </cell>
          <cell r="H821" t="str">
            <v>RT/ONCO WARD 1 (F)</v>
          </cell>
          <cell r="I821" t="str">
            <v>07WE113</v>
          </cell>
          <cell r="J821" t="str">
            <v>EQUIPMENT ROOM</v>
          </cell>
          <cell r="K821" t="str">
            <v>BMED</v>
          </cell>
          <cell r="L821" t="str">
            <v>Normal</v>
          </cell>
          <cell r="M821" t="str">
            <v>Japan</v>
          </cell>
          <cell r="N821" t="str">
            <v>Animec</v>
          </cell>
          <cell r="O821" t="str">
            <v>Animec AM-301</v>
          </cell>
          <cell r="P821" t="str">
            <v>2013D0242</v>
          </cell>
          <cell r="Q821" t="str">
            <v>Not Applicable</v>
          </cell>
          <cell r="R821" t="str">
            <v>Elltec Co Ltd</v>
          </cell>
          <cell r="S821" t="str">
            <v>IDS Services (Malaysia) Sdn Bhd</v>
          </cell>
          <cell r="T821" t="str">
            <v>Functioning</v>
          </cell>
          <cell r="U821" t="str">
            <v>Asset</v>
          </cell>
          <cell r="V821">
            <v>4990</v>
          </cell>
          <cell r="W821" t="str">
            <v>KEW</v>
          </cell>
          <cell r="X821" t="str">
            <v>01/09/2010</v>
          </cell>
          <cell r="Y821" t="str">
            <v>KEW</v>
          </cell>
          <cell r="Z821" t="str">
            <v>16/08/2013</v>
          </cell>
          <cell r="AA821" t="str">
            <v>15/08/2015</v>
          </cell>
          <cell r="AB821" t="str">
            <v>No</v>
          </cell>
          <cell r="AC821" t="str">
            <v>31/08/2013</v>
          </cell>
          <cell r="AD821" t="str">
            <v>Good</v>
          </cell>
          <cell r="AE821" t="str">
            <v>V1 - Existing / No Claim</v>
          </cell>
          <cell r="AF821">
            <v>42235</v>
          </cell>
          <cell r="AG821">
            <v>9.17</v>
          </cell>
          <cell r="AH821" t="str">
            <v>PPM</v>
          </cell>
          <cell r="AI821" t="str">
            <v>Strands</v>
          </cell>
          <cell r="AJ821" t="str">
            <v>Strands PW</v>
          </cell>
        </row>
        <row r="822">
          <cell r="A822" t="str">
            <v>IKN400360</v>
          </cell>
          <cell r="B822">
            <v>360</v>
          </cell>
          <cell r="C822" t="str">
            <v>Institut Kanser Negara</v>
          </cell>
          <cell r="D822" t="str">
            <v>KKM/IKN/H/13/2085</v>
          </cell>
          <cell r="E822" t="str">
            <v>12-282</v>
          </cell>
          <cell r="F822" t="str">
            <v>Lights, Surgical</v>
          </cell>
          <cell r="G822" t="str">
            <v>WE</v>
          </cell>
          <cell r="H822" t="str">
            <v>RT/ONCO WARD 1 (F)</v>
          </cell>
          <cell r="I822" t="str">
            <v>07WE113</v>
          </cell>
          <cell r="J822" t="str">
            <v>EQUIPMENT ROOM</v>
          </cell>
          <cell r="K822" t="str">
            <v>BMED</v>
          </cell>
          <cell r="L822" t="str">
            <v>Normal</v>
          </cell>
          <cell r="M822" t="str">
            <v>USA</v>
          </cell>
          <cell r="N822" t="str">
            <v>Welch Allyn</v>
          </cell>
          <cell r="O822" t="str">
            <v>Welch Allyn GS600</v>
          </cell>
          <cell r="P822" t="str">
            <v>GS-600-38</v>
          </cell>
          <cell r="Q822" t="str">
            <v>Not Applicable</v>
          </cell>
          <cell r="R822" t="str">
            <v>Welch Allyn Inc</v>
          </cell>
          <cell r="S822" t="str">
            <v>Welch Allyn Malaysia Sdn Bhd</v>
          </cell>
          <cell r="T822" t="str">
            <v>Functioning</v>
          </cell>
          <cell r="U822" t="str">
            <v>Asset</v>
          </cell>
          <cell r="V822">
            <v>5050</v>
          </cell>
          <cell r="W822" t="str">
            <v>KEW</v>
          </cell>
          <cell r="X822" t="str">
            <v>01/09/2010</v>
          </cell>
          <cell r="Y822" t="str">
            <v>KEW</v>
          </cell>
          <cell r="Z822" t="str">
            <v>16/08/2013</v>
          </cell>
          <cell r="AA822" t="str">
            <v>15/08/2015</v>
          </cell>
          <cell r="AB822" t="str">
            <v>No</v>
          </cell>
          <cell r="AC822" t="str">
            <v>31/08/2013</v>
          </cell>
          <cell r="AD822" t="str">
            <v>Good</v>
          </cell>
          <cell r="AE822" t="str">
            <v>V1 - Existing / No Claim</v>
          </cell>
          <cell r="AF822">
            <v>42235</v>
          </cell>
          <cell r="AG822">
            <v>9.17</v>
          </cell>
          <cell r="AH822" t="str">
            <v>PPM</v>
          </cell>
          <cell r="AI822" t="str">
            <v>Strands</v>
          </cell>
          <cell r="AJ822" t="str">
            <v>Strands PW</v>
          </cell>
        </row>
        <row r="823">
          <cell r="A823" t="str">
            <v>IKN400361</v>
          </cell>
          <cell r="B823">
            <v>361</v>
          </cell>
          <cell r="C823" t="str">
            <v>Institut Kanser Negara</v>
          </cell>
          <cell r="D823" t="str">
            <v>KKM/IKN/H/13/2091</v>
          </cell>
          <cell r="E823" t="str">
            <v>15-045</v>
          </cell>
          <cell r="F823" t="str">
            <v>Nebulizers, Nonheated</v>
          </cell>
          <cell r="G823" t="str">
            <v>WE</v>
          </cell>
          <cell r="H823" t="str">
            <v>RT/ONCO WARD 1 (F)</v>
          </cell>
          <cell r="I823" t="str">
            <v>07WE113</v>
          </cell>
          <cell r="J823" t="str">
            <v>EQUIPMENT ROOM</v>
          </cell>
          <cell r="K823" t="str">
            <v>BMED</v>
          </cell>
          <cell r="L823" t="str">
            <v>Normal</v>
          </cell>
          <cell r="M823" t="str">
            <v>Germany</v>
          </cell>
          <cell r="N823" t="str">
            <v>Pari Boy</v>
          </cell>
          <cell r="O823" t="str">
            <v>Pari Boy SX 085</v>
          </cell>
          <cell r="P823" t="str">
            <v>2W12J05814</v>
          </cell>
          <cell r="Q823" t="str">
            <v>Not Applicable</v>
          </cell>
          <cell r="R823" t="str">
            <v>Pari GmbH</v>
          </cell>
          <cell r="S823" t="str">
            <v>Welch Allyn Malaysia Sdn Bhd</v>
          </cell>
          <cell r="T823" t="str">
            <v>Functioning</v>
          </cell>
          <cell r="U823" t="str">
            <v>Asset</v>
          </cell>
          <cell r="V823">
            <v>1140</v>
          </cell>
          <cell r="W823" t="str">
            <v>KEW</v>
          </cell>
          <cell r="X823" t="str">
            <v>01/09/2010</v>
          </cell>
          <cell r="Y823" t="str">
            <v>KEW</v>
          </cell>
          <cell r="Z823" t="str">
            <v>16/08/2013</v>
          </cell>
          <cell r="AA823" t="str">
            <v>15/08/2015</v>
          </cell>
          <cell r="AB823" t="str">
            <v>No</v>
          </cell>
          <cell r="AC823" t="str">
            <v>31/08/2013</v>
          </cell>
          <cell r="AD823" t="str">
            <v>Good</v>
          </cell>
          <cell r="AE823" t="str">
            <v>V1 - Existing / No Claim</v>
          </cell>
          <cell r="AF823">
            <v>42235</v>
          </cell>
          <cell r="AG823">
            <v>9.17</v>
          </cell>
          <cell r="AH823" t="str">
            <v>PPM</v>
          </cell>
          <cell r="AI823" t="str">
            <v>Strands</v>
          </cell>
          <cell r="AJ823" t="str">
            <v>Strands PW</v>
          </cell>
        </row>
        <row r="824">
          <cell r="A824" t="str">
            <v>IKN400362</v>
          </cell>
          <cell r="B824">
            <v>362</v>
          </cell>
          <cell r="C824" t="str">
            <v>Institut Kanser Negara</v>
          </cell>
          <cell r="D824" t="str">
            <v>KKM/IKN/H/13/2090</v>
          </cell>
          <cell r="E824" t="str">
            <v>15-045</v>
          </cell>
          <cell r="F824" t="str">
            <v>Nebulizers, Nonheated</v>
          </cell>
          <cell r="G824" t="str">
            <v>WE</v>
          </cell>
          <cell r="H824" t="str">
            <v>RT/ONCO WARD 1 (F)</v>
          </cell>
          <cell r="I824" t="str">
            <v>07WE113</v>
          </cell>
          <cell r="J824" t="str">
            <v>EQUIPMENT ROOM</v>
          </cell>
          <cell r="K824" t="str">
            <v>BMED</v>
          </cell>
          <cell r="L824" t="str">
            <v>Normal</v>
          </cell>
          <cell r="M824" t="str">
            <v>Germany</v>
          </cell>
          <cell r="N824" t="str">
            <v>Pari Boy</v>
          </cell>
          <cell r="O824" t="str">
            <v>Pari Boy SX 085</v>
          </cell>
          <cell r="P824" t="str">
            <v>2W12F13749</v>
          </cell>
          <cell r="Q824" t="str">
            <v>Not Applicable</v>
          </cell>
          <cell r="R824" t="str">
            <v>Pari GmbH</v>
          </cell>
          <cell r="S824" t="str">
            <v>Welch Allyn Malaysia Sdn Bhd</v>
          </cell>
          <cell r="T824" t="str">
            <v>Functioning</v>
          </cell>
          <cell r="U824" t="str">
            <v>Asset</v>
          </cell>
          <cell r="V824">
            <v>1140</v>
          </cell>
          <cell r="W824" t="str">
            <v>KEW</v>
          </cell>
          <cell r="X824" t="str">
            <v>01/09/2010</v>
          </cell>
          <cell r="Y824" t="str">
            <v>KEW</v>
          </cell>
          <cell r="Z824" t="str">
            <v>16/08/2013</v>
          </cell>
          <cell r="AA824" t="str">
            <v>15/08/2015</v>
          </cell>
          <cell r="AB824" t="str">
            <v>No</v>
          </cell>
          <cell r="AC824" t="str">
            <v>31/08/2013</v>
          </cell>
          <cell r="AD824" t="str">
            <v>Good</v>
          </cell>
          <cell r="AE824" t="str">
            <v>V1 - Existing / No Claim</v>
          </cell>
          <cell r="AF824">
            <v>42235</v>
          </cell>
          <cell r="AG824">
            <v>9.17</v>
          </cell>
          <cell r="AH824" t="str">
            <v>PPM</v>
          </cell>
          <cell r="AI824" t="str">
            <v>Strands</v>
          </cell>
          <cell r="AJ824" t="str">
            <v>Strands PW</v>
          </cell>
        </row>
        <row r="825">
          <cell r="A825" t="str">
            <v>IKN400363</v>
          </cell>
          <cell r="B825">
            <v>363</v>
          </cell>
          <cell r="C825" t="str">
            <v>Institut Kanser Negara</v>
          </cell>
          <cell r="D825" t="str">
            <v>KKM/IKN/H/13/2089</v>
          </cell>
          <cell r="E825" t="str">
            <v>15-045</v>
          </cell>
          <cell r="F825" t="str">
            <v>Nebulizers, Nonheated</v>
          </cell>
          <cell r="G825" t="str">
            <v>WE</v>
          </cell>
          <cell r="H825" t="str">
            <v>RT/ONCO WARD 1 (F)</v>
          </cell>
          <cell r="I825" t="str">
            <v>07WE113</v>
          </cell>
          <cell r="J825" t="str">
            <v>EQUIPMENT ROOM</v>
          </cell>
          <cell r="K825" t="str">
            <v>BMED</v>
          </cell>
          <cell r="L825" t="str">
            <v>Normal</v>
          </cell>
          <cell r="M825" t="str">
            <v>Germany</v>
          </cell>
          <cell r="N825" t="str">
            <v>Pari Boy</v>
          </cell>
          <cell r="O825" t="str">
            <v>Pari Boy SX 085</v>
          </cell>
          <cell r="P825" t="str">
            <v>2W12F13817</v>
          </cell>
          <cell r="Q825" t="str">
            <v>Not Applicable</v>
          </cell>
          <cell r="R825" t="str">
            <v>Pari GmbH</v>
          </cell>
          <cell r="S825" t="str">
            <v>Welch Allyn Malaysia Sdn Bhd</v>
          </cell>
          <cell r="T825" t="str">
            <v>Functioning</v>
          </cell>
          <cell r="U825" t="str">
            <v>Asset</v>
          </cell>
          <cell r="V825">
            <v>1140</v>
          </cell>
          <cell r="W825" t="str">
            <v>KEW</v>
          </cell>
          <cell r="X825" t="str">
            <v>01/09/2010</v>
          </cell>
          <cell r="Y825" t="str">
            <v>KEW</v>
          </cell>
          <cell r="Z825" t="str">
            <v>16/08/2013</v>
          </cell>
          <cell r="AA825" t="str">
            <v>15/08/2015</v>
          </cell>
          <cell r="AB825" t="str">
            <v>No</v>
          </cell>
          <cell r="AC825" t="str">
            <v>31/08/2013</v>
          </cell>
          <cell r="AD825" t="str">
            <v>Good</v>
          </cell>
          <cell r="AE825" t="str">
            <v>V1 - Existing / No Claim</v>
          </cell>
          <cell r="AF825">
            <v>42235</v>
          </cell>
          <cell r="AG825">
            <v>9.17</v>
          </cell>
          <cell r="AH825" t="str">
            <v>PPM</v>
          </cell>
          <cell r="AI825" t="str">
            <v>Strands</v>
          </cell>
          <cell r="AJ825" t="str">
            <v>Strands PW</v>
          </cell>
        </row>
        <row r="826">
          <cell r="A826" t="str">
            <v>IKN400364</v>
          </cell>
          <cell r="B826">
            <v>364</v>
          </cell>
          <cell r="C826" t="str">
            <v>Institut Kanser Negara</v>
          </cell>
          <cell r="D826" t="str">
            <v>KKM/IKN/H/13/2058</v>
          </cell>
          <cell r="E826" t="str">
            <v>13-217</v>
          </cell>
          <cell r="F826" t="str">
            <v>Infusion Pumps, Syringe</v>
          </cell>
          <cell r="G826" t="str">
            <v>WE</v>
          </cell>
          <cell r="H826" t="str">
            <v>RT/ONCO WARD 1 (F)</v>
          </cell>
          <cell r="I826" t="str">
            <v>07WE113</v>
          </cell>
          <cell r="J826" t="str">
            <v>EQUIPMENT ROOM</v>
          </cell>
          <cell r="K826" t="str">
            <v>BMED</v>
          </cell>
          <cell r="L826" t="str">
            <v>Critical</v>
          </cell>
          <cell r="M826" t="str">
            <v>Germany</v>
          </cell>
          <cell r="N826" t="str">
            <v>Perfusor</v>
          </cell>
          <cell r="O826" t="str">
            <v>Perfusor Space</v>
          </cell>
          <cell r="P826">
            <v>186604</v>
          </cell>
          <cell r="Q826" t="str">
            <v>Not Applicable</v>
          </cell>
          <cell r="R826" t="str">
            <v>B Braun Melsungen AG</v>
          </cell>
          <cell r="S826" t="str">
            <v>B Braun Medical Supplies Sdn. Bhd.</v>
          </cell>
          <cell r="T826" t="str">
            <v>Functioning</v>
          </cell>
          <cell r="U826" t="str">
            <v>Asset</v>
          </cell>
          <cell r="V826">
            <v>10225</v>
          </cell>
          <cell r="W826" t="str">
            <v>KEW</v>
          </cell>
          <cell r="X826" t="str">
            <v>01/09/2010</v>
          </cell>
          <cell r="Y826" t="str">
            <v>KEW</v>
          </cell>
          <cell r="Z826" t="str">
            <v>16/08/2013</v>
          </cell>
          <cell r="AA826" t="str">
            <v>15/08/2015</v>
          </cell>
          <cell r="AB826" t="str">
            <v>No</v>
          </cell>
          <cell r="AC826" t="str">
            <v>31/08/2013</v>
          </cell>
          <cell r="AD826" t="str">
            <v>Good</v>
          </cell>
          <cell r="AE826" t="str">
            <v>V1 - Existing / No Claim</v>
          </cell>
          <cell r="AF826">
            <v>42789</v>
          </cell>
          <cell r="AG826">
            <v>9.17</v>
          </cell>
          <cell r="AH826" t="str">
            <v>PPM</v>
          </cell>
          <cell r="AI826" t="str">
            <v>Strands</v>
          </cell>
          <cell r="AJ826" t="str">
            <v>Strands PW</v>
          </cell>
        </row>
        <row r="827">
          <cell r="A827" t="str">
            <v>IKN400365</v>
          </cell>
          <cell r="B827">
            <v>365</v>
          </cell>
          <cell r="C827" t="str">
            <v>Institut Kanser Negara</v>
          </cell>
          <cell r="D827" t="str">
            <v>KKM/IKN/H/13/2059</v>
          </cell>
          <cell r="E827" t="str">
            <v>13-217</v>
          </cell>
          <cell r="F827" t="str">
            <v>Infusion Pumps, Syringe</v>
          </cell>
          <cell r="G827" t="str">
            <v>WE</v>
          </cell>
          <cell r="H827" t="str">
            <v>RT/ONCO WARD 1 (F)</v>
          </cell>
          <cell r="I827" t="str">
            <v>07WE113</v>
          </cell>
          <cell r="J827" t="str">
            <v>EQUIPMENT ROOM</v>
          </cell>
          <cell r="K827" t="str">
            <v>BMED</v>
          </cell>
          <cell r="L827" t="str">
            <v>Normal</v>
          </cell>
          <cell r="M827" t="str">
            <v>Germany</v>
          </cell>
          <cell r="N827" t="str">
            <v>Perfusor</v>
          </cell>
          <cell r="O827" t="str">
            <v>Perfusor Space</v>
          </cell>
          <cell r="P827" t="str">
            <v>186957</v>
          </cell>
          <cell r="Q827" t="str">
            <v>Not Applicable</v>
          </cell>
          <cell r="R827" t="str">
            <v>B Braun Melsungen AG</v>
          </cell>
          <cell r="S827" t="str">
            <v>B Braun Medical Supplies Sdn. Bhd.</v>
          </cell>
          <cell r="T827" t="str">
            <v>Functioning</v>
          </cell>
          <cell r="U827" t="str">
            <v>Asset</v>
          </cell>
          <cell r="V827">
            <v>10225</v>
          </cell>
          <cell r="W827" t="str">
            <v>KEW</v>
          </cell>
          <cell r="X827" t="str">
            <v>01/09/2010</v>
          </cell>
          <cell r="Y827" t="str">
            <v>KEW</v>
          </cell>
          <cell r="Z827" t="str">
            <v>16/08/2013</v>
          </cell>
          <cell r="AA827" t="str">
            <v>15/08/2015</v>
          </cell>
          <cell r="AB827" t="str">
            <v>No</v>
          </cell>
          <cell r="AC827" t="str">
            <v>31/08/2013</v>
          </cell>
          <cell r="AD827" t="str">
            <v>Good</v>
          </cell>
          <cell r="AE827" t="str">
            <v>V1 - Existing / No Claim</v>
          </cell>
          <cell r="AF827">
            <v>42235</v>
          </cell>
          <cell r="AG827">
            <v>9.17</v>
          </cell>
          <cell r="AH827" t="str">
            <v>PPM</v>
          </cell>
          <cell r="AI827" t="str">
            <v>Strands</v>
          </cell>
          <cell r="AJ827" t="str">
            <v>Strands PW</v>
          </cell>
        </row>
        <row r="828">
          <cell r="A828" t="str">
            <v>IKN400366</v>
          </cell>
          <cell r="B828">
            <v>366</v>
          </cell>
          <cell r="C828" t="str">
            <v>Institut Kanser Negara</v>
          </cell>
          <cell r="D828" t="str">
            <v>KKM/IKN/H/13/2060</v>
          </cell>
          <cell r="E828" t="str">
            <v>13-215</v>
          </cell>
          <cell r="F828" t="str">
            <v>Infusion Pumps, General-Purpose</v>
          </cell>
          <cell r="G828" t="str">
            <v>WE</v>
          </cell>
          <cell r="H828" t="str">
            <v>RT/ONCO WARD 1 (F)</v>
          </cell>
          <cell r="I828" t="str">
            <v>07WE113</v>
          </cell>
          <cell r="J828" t="str">
            <v>EQUIPMENT ROOM</v>
          </cell>
          <cell r="K828" t="str">
            <v>BMED</v>
          </cell>
          <cell r="L828" t="str">
            <v>Normal</v>
          </cell>
          <cell r="M828" t="str">
            <v>Germany</v>
          </cell>
          <cell r="N828" t="str">
            <v>Infusomat</v>
          </cell>
          <cell r="O828" t="str">
            <v>Infusomat Space</v>
          </cell>
          <cell r="P828" t="str">
            <v>211957</v>
          </cell>
          <cell r="Q828" t="str">
            <v>Not Applicable</v>
          </cell>
          <cell r="R828" t="str">
            <v>B Braun Melsungen AG</v>
          </cell>
          <cell r="S828" t="str">
            <v>B Braun Medical Supplies Sdn. Bhd.</v>
          </cell>
          <cell r="T828" t="str">
            <v>Functioning</v>
          </cell>
          <cell r="U828" t="str">
            <v>Asset</v>
          </cell>
          <cell r="V828">
            <v>10825</v>
          </cell>
          <cell r="W828" t="str">
            <v>KEW</v>
          </cell>
          <cell r="X828" t="str">
            <v>01/09/2010</v>
          </cell>
          <cell r="Y828" t="str">
            <v>KEW</v>
          </cell>
          <cell r="Z828" t="str">
            <v>16/08/2013</v>
          </cell>
          <cell r="AA828" t="str">
            <v>15/08/2015</v>
          </cell>
          <cell r="AB828" t="str">
            <v>No</v>
          </cell>
          <cell r="AC828" t="str">
            <v>31/08/2013</v>
          </cell>
          <cell r="AD828" t="str">
            <v>Good</v>
          </cell>
          <cell r="AE828" t="str">
            <v>V1 - Existing / No Claim</v>
          </cell>
          <cell r="AF828">
            <v>42235</v>
          </cell>
          <cell r="AG828">
            <v>9.17</v>
          </cell>
          <cell r="AH828" t="str">
            <v>PPM</v>
          </cell>
          <cell r="AI828" t="str">
            <v>Strands</v>
          </cell>
          <cell r="AJ828" t="str">
            <v>Strands PW</v>
          </cell>
        </row>
        <row r="829">
          <cell r="A829" t="str">
            <v>IKN400367</v>
          </cell>
          <cell r="B829">
            <v>367</v>
          </cell>
          <cell r="C829" t="str">
            <v>Institut Kanser Negara</v>
          </cell>
          <cell r="D829" t="str">
            <v>KKM/IKN/H/13/2061</v>
          </cell>
          <cell r="E829" t="str">
            <v>13-215</v>
          </cell>
          <cell r="F829" t="str">
            <v>Infusion Pumps, General-Purpose</v>
          </cell>
          <cell r="G829" t="str">
            <v>WE</v>
          </cell>
          <cell r="H829" t="str">
            <v>RT/ONCO WARD 1 (F)</v>
          </cell>
          <cell r="I829" t="str">
            <v>07WE113</v>
          </cell>
          <cell r="J829" t="str">
            <v>EQUIPMENT ROOM</v>
          </cell>
          <cell r="K829" t="str">
            <v>BMED</v>
          </cell>
          <cell r="L829" t="str">
            <v>Normal</v>
          </cell>
          <cell r="M829" t="str">
            <v>Germany</v>
          </cell>
          <cell r="N829" t="str">
            <v>Infusomat</v>
          </cell>
          <cell r="O829" t="str">
            <v>Infusomat Space</v>
          </cell>
          <cell r="P829" t="str">
            <v>212076</v>
          </cell>
          <cell r="Q829" t="str">
            <v>Not Applicable</v>
          </cell>
          <cell r="R829" t="str">
            <v>B Braun Melsungen AG</v>
          </cell>
          <cell r="S829" t="str">
            <v>B Braun Medical Supplies Sdn. Bhd.</v>
          </cell>
          <cell r="T829" t="str">
            <v>Functioning</v>
          </cell>
          <cell r="U829" t="str">
            <v>Asset</v>
          </cell>
          <cell r="V829">
            <v>10825</v>
          </cell>
          <cell r="W829" t="str">
            <v>KEW</v>
          </cell>
          <cell r="X829" t="str">
            <v>01/09/2010</v>
          </cell>
          <cell r="Y829" t="str">
            <v>KEW</v>
          </cell>
          <cell r="Z829" t="str">
            <v>16/08/2013</v>
          </cell>
          <cell r="AA829" t="str">
            <v>15/08/2015</v>
          </cell>
          <cell r="AB829" t="str">
            <v>No</v>
          </cell>
          <cell r="AC829" t="str">
            <v>31/08/2013</v>
          </cell>
          <cell r="AD829" t="str">
            <v>Good</v>
          </cell>
          <cell r="AE829" t="str">
            <v>V1 - Existing / No Claim</v>
          </cell>
          <cell r="AF829">
            <v>42235</v>
          </cell>
          <cell r="AG829">
            <v>9.17</v>
          </cell>
          <cell r="AH829" t="str">
            <v>PPM</v>
          </cell>
          <cell r="AI829" t="str">
            <v>Strands</v>
          </cell>
          <cell r="AJ829" t="str">
            <v>Strands PW</v>
          </cell>
        </row>
        <row r="830">
          <cell r="A830" t="str">
            <v>IKN400368</v>
          </cell>
          <cell r="B830">
            <v>368</v>
          </cell>
          <cell r="C830" t="str">
            <v>Institut Kanser Negara</v>
          </cell>
          <cell r="D830" t="str">
            <v>KKM/IKN/H/13/2064</v>
          </cell>
          <cell r="E830" t="str">
            <v>13-215</v>
          </cell>
          <cell r="F830" t="str">
            <v>Infusion Pumps, General-Purpose</v>
          </cell>
          <cell r="G830" t="str">
            <v>WE</v>
          </cell>
          <cell r="H830" t="str">
            <v>RT/ONCO WARD 1 (F)</v>
          </cell>
          <cell r="I830" t="str">
            <v>07WE113</v>
          </cell>
          <cell r="J830" t="str">
            <v>EQUIPMENT ROOM</v>
          </cell>
          <cell r="K830" t="str">
            <v>BMED</v>
          </cell>
          <cell r="L830" t="str">
            <v>Critical</v>
          </cell>
          <cell r="M830" t="str">
            <v>Germany</v>
          </cell>
          <cell r="N830" t="str">
            <v>Infusomat</v>
          </cell>
          <cell r="O830" t="str">
            <v>Infusomat Space</v>
          </cell>
          <cell r="P830" t="str">
            <v>211859</v>
          </cell>
          <cell r="Q830" t="str">
            <v>Not Applicable</v>
          </cell>
          <cell r="R830" t="str">
            <v>B Braun Melsungen AG</v>
          </cell>
          <cell r="S830" t="str">
            <v>B Braun Medical Supplies Sdn. Bhd.</v>
          </cell>
          <cell r="T830" t="str">
            <v>Functioning</v>
          </cell>
          <cell r="U830" t="str">
            <v>Asset</v>
          </cell>
          <cell r="V830">
            <v>10825</v>
          </cell>
          <cell r="W830" t="str">
            <v>KEW</v>
          </cell>
          <cell r="X830" t="str">
            <v>01/09/2010</v>
          </cell>
          <cell r="Y830" t="str">
            <v>KEW</v>
          </cell>
          <cell r="Z830" t="str">
            <v>16/08/2013</v>
          </cell>
          <cell r="AA830" t="str">
            <v>15/08/2015</v>
          </cell>
          <cell r="AB830" t="str">
            <v>No</v>
          </cell>
          <cell r="AC830" t="str">
            <v>31/08/2013</v>
          </cell>
          <cell r="AD830" t="str">
            <v>Good</v>
          </cell>
          <cell r="AE830" t="str">
            <v>V1 - Existing / No Claim</v>
          </cell>
          <cell r="AF830">
            <v>42789</v>
          </cell>
          <cell r="AG830">
            <v>9.17</v>
          </cell>
          <cell r="AH830" t="str">
            <v>PPM</v>
          </cell>
          <cell r="AI830" t="str">
            <v>Strands</v>
          </cell>
          <cell r="AJ830" t="str">
            <v>Strands PW</v>
          </cell>
        </row>
        <row r="831">
          <cell r="A831" t="str">
            <v>IKN400369</v>
          </cell>
          <cell r="B831">
            <v>369</v>
          </cell>
          <cell r="C831" t="str">
            <v>Institut Kanser Negara</v>
          </cell>
          <cell r="D831" t="str">
            <v>KKM/IKN/H/13/2066</v>
          </cell>
          <cell r="E831" t="str">
            <v>13-215</v>
          </cell>
          <cell r="F831" t="str">
            <v>Infusion Pumps, General-Purpose</v>
          </cell>
          <cell r="G831" t="str">
            <v>WE</v>
          </cell>
          <cell r="H831" t="str">
            <v>RT/ONCO WARD 1 (F)</v>
          </cell>
          <cell r="I831" t="str">
            <v>07WE113</v>
          </cell>
          <cell r="J831" t="str">
            <v>EQUIPMENT ROOM</v>
          </cell>
          <cell r="K831" t="str">
            <v>BMED</v>
          </cell>
          <cell r="L831" t="str">
            <v>Critical</v>
          </cell>
          <cell r="M831" t="str">
            <v>Germany</v>
          </cell>
          <cell r="N831" t="str">
            <v>Infusomat</v>
          </cell>
          <cell r="O831" t="str">
            <v>Infusomat Space</v>
          </cell>
          <cell r="P831" t="str">
            <v>212080</v>
          </cell>
          <cell r="Q831" t="str">
            <v>Not Applicable</v>
          </cell>
          <cell r="R831" t="str">
            <v>B Braun Melsungen AG</v>
          </cell>
          <cell r="S831" t="str">
            <v>B Braun Medical Supplies Sdn. Bhd.</v>
          </cell>
          <cell r="T831" t="str">
            <v>Functioning</v>
          </cell>
          <cell r="U831" t="str">
            <v>Asset</v>
          </cell>
          <cell r="V831">
            <v>10825</v>
          </cell>
          <cell r="W831" t="str">
            <v>KEW</v>
          </cell>
          <cell r="X831" t="str">
            <v>01/09/2010</v>
          </cell>
          <cell r="Y831" t="str">
            <v>KEW</v>
          </cell>
          <cell r="Z831" t="str">
            <v>16/08/2013</v>
          </cell>
          <cell r="AA831" t="str">
            <v>15/08/2015</v>
          </cell>
          <cell r="AB831" t="str">
            <v>No</v>
          </cell>
          <cell r="AC831" t="str">
            <v>31/08/2013</v>
          </cell>
          <cell r="AD831" t="str">
            <v>Good</v>
          </cell>
          <cell r="AE831" t="str">
            <v>V1 - Existing / No Claim</v>
          </cell>
          <cell r="AF831">
            <v>42789</v>
          </cell>
          <cell r="AG831">
            <v>9.17</v>
          </cell>
          <cell r="AH831" t="str">
            <v>PPM</v>
          </cell>
          <cell r="AI831" t="str">
            <v>Strands</v>
          </cell>
          <cell r="AJ831" t="str">
            <v>Strands PW</v>
          </cell>
        </row>
        <row r="832">
          <cell r="A832" t="str">
            <v>IKN400370</v>
          </cell>
          <cell r="B832">
            <v>370</v>
          </cell>
          <cell r="C832" t="str">
            <v>Institut Kanser Negara</v>
          </cell>
          <cell r="D832" t="str">
            <v>KKM/IKN/H/13/2068</v>
          </cell>
          <cell r="E832" t="str">
            <v>13-215</v>
          </cell>
          <cell r="F832" t="str">
            <v>Infusion Pumps, General-Purpose</v>
          </cell>
          <cell r="G832" t="str">
            <v>WE</v>
          </cell>
          <cell r="H832" t="str">
            <v>RT/ONCO WARD 1 (F)</v>
          </cell>
          <cell r="I832" t="str">
            <v>07WE113</v>
          </cell>
          <cell r="J832" t="str">
            <v>EQUIPMENT ROOM</v>
          </cell>
          <cell r="K832" t="str">
            <v>BMED</v>
          </cell>
          <cell r="L832" t="str">
            <v>Critical</v>
          </cell>
          <cell r="M832" t="str">
            <v>Germany</v>
          </cell>
          <cell r="N832" t="str">
            <v>Infusomat</v>
          </cell>
          <cell r="O832" t="str">
            <v>Infusomat Space</v>
          </cell>
          <cell r="P832" t="str">
            <v>211885</v>
          </cell>
          <cell r="Q832" t="str">
            <v>Not Applicable</v>
          </cell>
          <cell r="R832" t="str">
            <v>B Braun Melsungen AG</v>
          </cell>
          <cell r="S832" t="str">
            <v>B Braun Medical Supplies Sdn. Bhd.</v>
          </cell>
          <cell r="T832" t="str">
            <v>Functioning</v>
          </cell>
          <cell r="U832" t="str">
            <v>Asset</v>
          </cell>
          <cell r="V832">
            <v>10825</v>
          </cell>
          <cell r="W832" t="str">
            <v>KEW</v>
          </cell>
          <cell r="X832" t="str">
            <v>01/09/2010</v>
          </cell>
          <cell r="Y832" t="str">
            <v>KEW</v>
          </cell>
          <cell r="Z832" t="str">
            <v>16/08/2013</v>
          </cell>
          <cell r="AA832" t="str">
            <v>15/08/2015</v>
          </cell>
          <cell r="AB832" t="str">
            <v>No</v>
          </cell>
          <cell r="AC832" t="str">
            <v>31/08/2013</v>
          </cell>
          <cell r="AD832" t="str">
            <v>Good</v>
          </cell>
          <cell r="AE832" t="str">
            <v>V1 - Existing / No Claim</v>
          </cell>
          <cell r="AF832">
            <v>42789</v>
          </cell>
          <cell r="AG832">
            <v>9.17</v>
          </cell>
          <cell r="AH832" t="str">
            <v>PPM</v>
          </cell>
          <cell r="AI832" t="str">
            <v>Strands</v>
          </cell>
          <cell r="AJ832" t="str">
            <v>Strands PW</v>
          </cell>
        </row>
        <row r="833">
          <cell r="A833" t="str">
            <v>IKN400371</v>
          </cell>
          <cell r="B833">
            <v>371</v>
          </cell>
          <cell r="C833" t="str">
            <v>Institut Kanser Negara</v>
          </cell>
          <cell r="D833" t="str">
            <v>KKM/IKN/H/13/2069</v>
          </cell>
          <cell r="E833" t="str">
            <v>13-215</v>
          </cell>
          <cell r="F833" t="str">
            <v>Infusion Pumps, General-Purpose</v>
          </cell>
          <cell r="G833" t="str">
            <v>WE</v>
          </cell>
          <cell r="H833" t="str">
            <v>RT/ONCO WARD 1 (F)</v>
          </cell>
          <cell r="I833" t="str">
            <v>07WE113</v>
          </cell>
          <cell r="J833" t="str">
            <v>EQUIPMENT ROOM</v>
          </cell>
          <cell r="K833" t="str">
            <v>BMED</v>
          </cell>
          <cell r="L833" t="str">
            <v>Critical</v>
          </cell>
          <cell r="M833" t="str">
            <v>Germany</v>
          </cell>
          <cell r="N833" t="str">
            <v>Infusomat</v>
          </cell>
          <cell r="O833" t="str">
            <v>Infusomat Space</v>
          </cell>
          <cell r="P833" t="str">
            <v>212107</v>
          </cell>
          <cell r="Q833" t="str">
            <v>Not Applicable</v>
          </cell>
          <cell r="R833" t="str">
            <v>B Braun Melsungen AG</v>
          </cell>
          <cell r="S833" t="str">
            <v>B Braun Medical Supplies Sdn. Bhd.</v>
          </cell>
          <cell r="T833" t="str">
            <v>Functioning</v>
          </cell>
          <cell r="U833" t="str">
            <v>Asset</v>
          </cell>
          <cell r="V833">
            <v>10825</v>
          </cell>
          <cell r="W833" t="str">
            <v>KEW</v>
          </cell>
          <cell r="X833" t="str">
            <v>01/09/2010</v>
          </cell>
          <cell r="Y833" t="str">
            <v>KEW</v>
          </cell>
          <cell r="Z833" t="str">
            <v>16/08/2013</v>
          </cell>
          <cell r="AA833" t="str">
            <v>15/08/2015</v>
          </cell>
          <cell r="AB833" t="str">
            <v>No</v>
          </cell>
          <cell r="AC833" t="str">
            <v>31/08/2013</v>
          </cell>
          <cell r="AD833" t="str">
            <v>Good</v>
          </cell>
          <cell r="AE833" t="str">
            <v>V1 - Existing / No Claim</v>
          </cell>
          <cell r="AF833">
            <v>42789</v>
          </cell>
          <cell r="AG833">
            <v>9.17</v>
          </cell>
          <cell r="AH833" t="str">
            <v>PPM</v>
          </cell>
          <cell r="AI833" t="str">
            <v>Strands</v>
          </cell>
          <cell r="AJ833" t="str">
            <v>Strands PW</v>
          </cell>
        </row>
        <row r="834">
          <cell r="A834" t="str">
            <v>IKN400372</v>
          </cell>
          <cell r="B834">
            <v>372</v>
          </cell>
          <cell r="C834" t="str">
            <v>Institut Kanser Negara</v>
          </cell>
          <cell r="D834" t="str">
            <v>KKM/IKN/H/13/2070</v>
          </cell>
          <cell r="E834" t="str">
            <v>13-215</v>
          </cell>
          <cell r="F834" t="str">
            <v>Infusion Pumps, General-Purpose</v>
          </cell>
          <cell r="G834" t="str">
            <v>WE</v>
          </cell>
          <cell r="H834" t="str">
            <v>RT/ONCO WARD 1 (F)</v>
          </cell>
          <cell r="I834" t="str">
            <v>07WE113</v>
          </cell>
          <cell r="J834" t="str">
            <v>EQUIPMENT ROOM</v>
          </cell>
          <cell r="K834" t="str">
            <v>BMED</v>
          </cell>
          <cell r="L834" t="str">
            <v>Critical</v>
          </cell>
          <cell r="M834" t="str">
            <v>Germany</v>
          </cell>
          <cell r="N834" t="str">
            <v>Infusomat</v>
          </cell>
          <cell r="O834" t="str">
            <v>Infusomat Space</v>
          </cell>
          <cell r="P834" t="str">
            <v>212066</v>
          </cell>
          <cell r="Q834" t="str">
            <v>Not Applicable</v>
          </cell>
          <cell r="R834" t="str">
            <v>B Braun Melsungen AG</v>
          </cell>
          <cell r="S834" t="str">
            <v>B Braun Medical Supplies Sdn. Bhd.</v>
          </cell>
          <cell r="T834" t="str">
            <v>Functioning</v>
          </cell>
          <cell r="U834" t="str">
            <v>Asset</v>
          </cell>
          <cell r="V834">
            <v>10825</v>
          </cell>
          <cell r="W834" t="str">
            <v>KEW</v>
          </cell>
          <cell r="X834" t="str">
            <v>01/09/2010</v>
          </cell>
          <cell r="Y834" t="str">
            <v>KEW</v>
          </cell>
          <cell r="Z834" t="str">
            <v>16/08/2013</v>
          </cell>
          <cell r="AA834" t="str">
            <v>15/08/2015</v>
          </cell>
          <cell r="AB834" t="str">
            <v>No</v>
          </cell>
          <cell r="AC834" t="str">
            <v>31/08/2013</v>
          </cell>
          <cell r="AD834" t="str">
            <v>Good</v>
          </cell>
          <cell r="AE834" t="str">
            <v>V1 - Existing / No Claim</v>
          </cell>
          <cell r="AF834">
            <v>42789</v>
          </cell>
          <cell r="AG834">
            <v>9.17</v>
          </cell>
          <cell r="AH834" t="str">
            <v>PPM</v>
          </cell>
          <cell r="AI834" t="str">
            <v>Strands</v>
          </cell>
          <cell r="AJ834" t="str">
            <v>Strands PW</v>
          </cell>
        </row>
        <row r="835">
          <cell r="A835" t="str">
            <v>IKN400373</v>
          </cell>
          <cell r="B835">
            <v>373</v>
          </cell>
          <cell r="C835" t="str">
            <v>Institut Kanser Negara</v>
          </cell>
          <cell r="D835" t="str">
            <v>KKM/IKN/H/13/2072</v>
          </cell>
          <cell r="E835" t="str">
            <v>13-215</v>
          </cell>
          <cell r="F835" t="str">
            <v>Infusion Pumps, General-Purpose</v>
          </cell>
          <cell r="G835" t="str">
            <v>WE</v>
          </cell>
          <cell r="H835" t="str">
            <v>RT/ONCO WARD 1 (F)</v>
          </cell>
          <cell r="I835" t="str">
            <v>07WE113</v>
          </cell>
          <cell r="J835" t="str">
            <v>EQUIPMENT ROOM</v>
          </cell>
          <cell r="K835" t="str">
            <v>BMED</v>
          </cell>
          <cell r="L835" t="str">
            <v>Critical</v>
          </cell>
          <cell r="M835" t="str">
            <v>Germany</v>
          </cell>
          <cell r="N835" t="str">
            <v>Infusomat</v>
          </cell>
          <cell r="O835" t="str">
            <v>Infusomat Space</v>
          </cell>
          <cell r="P835" t="str">
            <v>211872</v>
          </cell>
          <cell r="Q835" t="str">
            <v>Not Applicable</v>
          </cell>
          <cell r="R835" t="str">
            <v>B Braun Melsungen AG</v>
          </cell>
          <cell r="S835" t="str">
            <v>B Braun Medical Supplies Sdn. Bhd.</v>
          </cell>
          <cell r="T835" t="str">
            <v>Functioning</v>
          </cell>
          <cell r="U835" t="str">
            <v>Asset</v>
          </cell>
          <cell r="V835">
            <v>10825</v>
          </cell>
          <cell r="W835" t="str">
            <v>KEW</v>
          </cell>
          <cell r="X835" t="str">
            <v>01/09/2010</v>
          </cell>
          <cell r="Y835" t="str">
            <v>KEW</v>
          </cell>
          <cell r="Z835" t="str">
            <v>16/08/2013</v>
          </cell>
          <cell r="AA835" t="str">
            <v>15/08/2015</v>
          </cell>
          <cell r="AB835" t="str">
            <v>No</v>
          </cell>
          <cell r="AC835" t="str">
            <v>31/08/2013</v>
          </cell>
          <cell r="AD835" t="str">
            <v>Good</v>
          </cell>
          <cell r="AE835" t="str">
            <v>V1 - Existing / No Claim</v>
          </cell>
          <cell r="AF835">
            <v>42789</v>
          </cell>
          <cell r="AG835">
            <v>9.17</v>
          </cell>
          <cell r="AH835" t="str">
            <v>PPM</v>
          </cell>
          <cell r="AI835" t="str">
            <v>Strands</v>
          </cell>
          <cell r="AJ835" t="str">
            <v>Strands PW</v>
          </cell>
        </row>
        <row r="836">
          <cell r="A836" t="str">
            <v>IKN400374</v>
          </cell>
          <cell r="B836">
            <v>374</v>
          </cell>
          <cell r="C836" t="str">
            <v>Institut Kanser Negara</v>
          </cell>
          <cell r="D836" t="str">
            <v>KKM/IKN/H/13/2073</v>
          </cell>
          <cell r="E836" t="str">
            <v>13-215</v>
          </cell>
          <cell r="F836" t="str">
            <v>Infusion Pumps, General-Purpose</v>
          </cell>
          <cell r="G836" t="str">
            <v>WE</v>
          </cell>
          <cell r="H836" t="str">
            <v>RT/ONCO WARD 1 (F)</v>
          </cell>
          <cell r="I836" t="str">
            <v>07WE113</v>
          </cell>
          <cell r="J836" t="str">
            <v>EQUIPMENT ROOM</v>
          </cell>
          <cell r="K836" t="str">
            <v>BMED</v>
          </cell>
          <cell r="L836" t="str">
            <v>Critical</v>
          </cell>
          <cell r="M836" t="str">
            <v>Germany</v>
          </cell>
          <cell r="N836" t="str">
            <v>Infusomat</v>
          </cell>
          <cell r="O836" t="str">
            <v>Infusomat Space</v>
          </cell>
          <cell r="P836" t="str">
            <v>211916</v>
          </cell>
          <cell r="Q836" t="str">
            <v>Not Applicable</v>
          </cell>
          <cell r="R836" t="str">
            <v>B Braun Melsungen AG</v>
          </cell>
          <cell r="S836" t="str">
            <v>B Braun Medical Supplies Sdn. Bhd.</v>
          </cell>
          <cell r="T836" t="str">
            <v>Functioning</v>
          </cell>
          <cell r="U836" t="str">
            <v>Asset</v>
          </cell>
          <cell r="V836">
            <v>10825</v>
          </cell>
          <cell r="W836" t="str">
            <v>KEW</v>
          </cell>
          <cell r="X836" t="str">
            <v>01/09/2010</v>
          </cell>
          <cell r="Y836" t="str">
            <v>KEW</v>
          </cell>
          <cell r="Z836" t="str">
            <v>16/08/2013</v>
          </cell>
          <cell r="AA836" t="str">
            <v>15/08/2015</v>
          </cell>
          <cell r="AB836" t="str">
            <v>No</v>
          </cell>
          <cell r="AC836" t="str">
            <v>31/08/2013</v>
          </cell>
          <cell r="AD836" t="str">
            <v>Good</v>
          </cell>
          <cell r="AE836" t="str">
            <v>V1 - Existing / No Claim</v>
          </cell>
          <cell r="AF836">
            <v>42789</v>
          </cell>
          <cell r="AG836">
            <v>9.17</v>
          </cell>
          <cell r="AH836" t="str">
            <v>PPM</v>
          </cell>
          <cell r="AI836" t="str">
            <v>Strands</v>
          </cell>
          <cell r="AJ836" t="str">
            <v>Strands PW</v>
          </cell>
        </row>
        <row r="837">
          <cell r="A837" t="str">
            <v>IKN400375</v>
          </cell>
          <cell r="B837">
            <v>375</v>
          </cell>
          <cell r="C837" t="str">
            <v>Institut Kanser Negara</v>
          </cell>
          <cell r="D837" t="str">
            <v>KKM/IKN/H/13/2074</v>
          </cell>
          <cell r="E837" t="str">
            <v>13-215</v>
          </cell>
          <cell r="F837" t="str">
            <v>Infusion Pumps, General-Purpose</v>
          </cell>
          <cell r="G837" t="str">
            <v>WE</v>
          </cell>
          <cell r="H837" t="str">
            <v>RT/ONCO WARD 1 (F)</v>
          </cell>
          <cell r="I837" t="str">
            <v>07WE113</v>
          </cell>
          <cell r="J837" t="str">
            <v>EQUIPMENT ROOM</v>
          </cell>
          <cell r="K837" t="str">
            <v>BMED</v>
          </cell>
          <cell r="L837" t="str">
            <v>Critical</v>
          </cell>
          <cell r="M837" t="str">
            <v>Germany</v>
          </cell>
          <cell r="N837" t="str">
            <v>Infusomat</v>
          </cell>
          <cell r="O837" t="str">
            <v>Infusomat Space</v>
          </cell>
          <cell r="P837" t="str">
            <v>211881</v>
          </cell>
          <cell r="Q837" t="str">
            <v>Not Applicable</v>
          </cell>
          <cell r="R837" t="str">
            <v>B Braun Melsungen AG</v>
          </cell>
          <cell r="S837" t="str">
            <v>B Braun Medical Supplies Sdn. Bhd.</v>
          </cell>
          <cell r="T837" t="str">
            <v>Functioning</v>
          </cell>
          <cell r="U837" t="str">
            <v>Asset</v>
          </cell>
          <cell r="V837">
            <v>10825</v>
          </cell>
          <cell r="W837" t="str">
            <v>KEW</v>
          </cell>
          <cell r="X837" t="str">
            <v>01/09/2010</v>
          </cell>
          <cell r="Y837" t="str">
            <v>KEW</v>
          </cell>
          <cell r="Z837" t="str">
            <v>16/08/2013</v>
          </cell>
          <cell r="AA837" t="str">
            <v>15/08/2015</v>
          </cell>
          <cell r="AB837" t="str">
            <v>No</v>
          </cell>
          <cell r="AC837" t="str">
            <v>31/08/2013</v>
          </cell>
          <cell r="AD837" t="str">
            <v>Good</v>
          </cell>
          <cell r="AE837" t="str">
            <v>V1 - Existing / No Claim</v>
          </cell>
          <cell r="AF837">
            <v>42789</v>
          </cell>
          <cell r="AG837">
            <v>9.17</v>
          </cell>
          <cell r="AH837" t="str">
            <v>PPM</v>
          </cell>
          <cell r="AI837" t="str">
            <v>Strands</v>
          </cell>
          <cell r="AJ837" t="str">
            <v>Strands PW</v>
          </cell>
        </row>
        <row r="838">
          <cell r="A838" t="str">
            <v>IKN400376</v>
          </cell>
          <cell r="B838">
            <v>376</v>
          </cell>
          <cell r="C838" t="str">
            <v>Institut Kanser Negara</v>
          </cell>
          <cell r="D838" t="str">
            <v>KKM/IKN/H/13/2081</v>
          </cell>
          <cell r="E838" t="str">
            <v>18-147</v>
          </cell>
          <cell r="F838" t="str">
            <v>Mattress Systems, Alternating-Pressure</v>
          </cell>
          <cell r="G838" t="str">
            <v>WE</v>
          </cell>
          <cell r="H838" t="str">
            <v>RT/ONCO WARD 1 (F)</v>
          </cell>
          <cell r="I838" t="str">
            <v>07WE113</v>
          </cell>
          <cell r="J838" t="str">
            <v>EQUIPMENT ROOM</v>
          </cell>
          <cell r="K838" t="str">
            <v>BMED</v>
          </cell>
          <cell r="L838" t="str">
            <v>Normal</v>
          </cell>
          <cell r="M838" t="str">
            <v>Poland</v>
          </cell>
          <cell r="N838" t="str">
            <v>Nimbus</v>
          </cell>
          <cell r="O838" t="str">
            <v>Nimbus 3</v>
          </cell>
          <cell r="P838" t="str">
            <v>1200006453</v>
          </cell>
          <cell r="Q838" t="str">
            <v>Not Applicable</v>
          </cell>
          <cell r="R838" t="str">
            <v>Arjohuntleigh</v>
          </cell>
          <cell r="S838" t="str">
            <v>Hexamine Sdn. Bhd.</v>
          </cell>
          <cell r="T838" t="str">
            <v>Functioning</v>
          </cell>
          <cell r="U838" t="str">
            <v>Asset</v>
          </cell>
          <cell r="V838">
            <v>28630</v>
          </cell>
          <cell r="W838" t="str">
            <v>KEW</v>
          </cell>
          <cell r="X838" t="str">
            <v>01/09/2010</v>
          </cell>
          <cell r="Y838" t="str">
            <v>KEW</v>
          </cell>
          <cell r="Z838" t="str">
            <v>16/08/2013</v>
          </cell>
          <cell r="AA838" t="str">
            <v>15/08/2015</v>
          </cell>
          <cell r="AB838" t="str">
            <v>No</v>
          </cell>
          <cell r="AC838" t="str">
            <v>31/08/2013</v>
          </cell>
          <cell r="AD838" t="str">
            <v>Good</v>
          </cell>
          <cell r="AE838" t="str">
            <v>V1 - Existing / No Claim</v>
          </cell>
          <cell r="AF838">
            <v>42235</v>
          </cell>
          <cell r="AG838">
            <v>9.17</v>
          </cell>
          <cell r="AH838" t="str">
            <v>PPM</v>
          </cell>
          <cell r="AI838" t="str">
            <v>Strands</v>
          </cell>
          <cell r="AJ838" t="str">
            <v>Strands PW</v>
          </cell>
        </row>
        <row r="839">
          <cell r="A839" t="str">
            <v>IKN400377</v>
          </cell>
          <cell r="B839">
            <v>377</v>
          </cell>
          <cell r="C839" t="str">
            <v>Institut Kanser Negara</v>
          </cell>
          <cell r="D839" t="str">
            <v>KKM/IKN/H/13/2354</v>
          </cell>
          <cell r="E839" t="str">
            <v>18-147</v>
          </cell>
          <cell r="F839" t="str">
            <v>Mattress Systems, Alternating-Pressure</v>
          </cell>
          <cell r="G839" t="str">
            <v>WE</v>
          </cell>
          <cell r="H839" t="str">
            <v>RT/ONCO WARD 1 (F)</v>
          </cell>
          <cell r="I839" t="str">
            <v>07WE113</v>
          </cell>
          <cell r="J839" t="str">
            <v>EQUIPMENT ROOM</v>
          </cell>
          <cell r="K839" t="str">
            <v>BMED</v>
          </cell>
          <cell r="L839" t="str">
            <v>Normal</v>
          </cell>
          <cell r="M839" t="str">
            <v>Poland</v>
          </cell>
          <cell r="N839" t="str">
            <v>Nimbus</v>
          </cell>
          <cell r="O839" t="str">
            <v>Nimbus 3</v>
          </cell>
          <cell r="P839" t="str">
            <v>1200006480</v>
          </cell>
          <cell r="Q839" t="str">
            <v>Not Applicable</v>
          </cell>
          <cell r="R839" t="str">
            <v>Arjohuntleigh</v>
          </cell>
          <cell r="S839" t="str">
            <v>Hexamine Sdn. Bhd.</v>
          </cell>
          <cell r="T839" t="str">
            <v>Functioning</v>
          </cell>
          <cell r="U839" t="str">
            <v>Asset</v>
          </cell>
          <cell r="V839">
            <v>28630</v>
          </cell>
          <cell r="W839" t="str">
            <v>KEW</v>
          </cell>
          <cell r="X839" t="str">
            <v>01/09/2010</v>
          </cell>
          <cell r="Y839" t="str">
            <v>KEW</v>
          </cell>
          <cell r="Z839" t="str">
            <v>16/08/2013</v>
          </cell>
          <cell r="AA839" t="str">
            <v>15/08/2015</v>
          </cell>
          <cell r="AB839" t="str">
            <v>No</v>
          </cell>
          <cell r="AC839" t="str">
            <v>31/08/2013</v>
          </cell>
          <cell r="AD839" t="str">
            <v>Good</v>
          </cell>
          <cell r="AE839" t="str">
            <v>V1 - Existing / No Claim</v>
          </cell>
          <cell r="AF839">
            <v>42235</v>
          </cell>
          <cell r="AG839">
            <v>9.17</v>
          </cell>
          <cell r="AH839" t="str">
            <v>PPM</v>
          </cell>
          <cell r="AI839" t="str">
            <v>Strands</v>
          </cell>
          <cell r="AJ839" t="str">
            <v>Strands PW</v>
          </cell>
        </row>
        <row r="840">
          <cell r="A840" t="str">
            <v>IKN400378</v>
          </cell>
          <cell r="B840">
            <v>378</v>
          </cell>
          <cell r="C840" t="str">
            <v>Institut Kanser Negara</v>
          </cell>
          <cell r="D840" t="str">
            <v>KKM/IKN/H/13/2080</v>
          </cell>
          <cell r="E840" t="str">
            <v>18-147</v>
          </cell>
          <cell r="F840" t="str">
            <v>Mattress Systems, Alternating-Pressure</v>
          </cell>
          <cell r="G840" t="str">
            <v>WE</v>
          </cell>
          <cell r="H840" t="str">
            <v>RT/ONCO WARD 1 (F)</v>
          </cell>
          <cell r="I840" t="str">
            <v>07WE113</v>
          </cell>
          <cell r="J840" t="str">
            <v>EQUIPMENT ROOM</v>
          </cell>
          <cell r="K840" t="str">
            <v>BMED</v>
          </cell>
          <cell r="L840" t="str">
            <v>Normal</v>
          </cell>
          <cell r="M840" t="str">
            <v>Poland</v>
          </cell>
          <cell r="N840" t="str">
            <v>Nimbus</v>
          </cell>
          <cell r="O840" t="str">
            <v>Nimbus 3</v>
          </cell>
          <cell r="P840" t="str">
            <v>1200006449</v>
          </cell>
          <cell r="Q840" t="str">
            <v>Not Applicable</v>
          </cell>
          <cell r="R840" t="str">
            <v>Arjohuntleigh</v>
          </cell>
          <cell r="S840" t="str">
            <v>Hexamine Sdn. Bhd.</v>
          </cell>
          <cell r="T840" t="str">
            <v>Functioning</v>
          </cell>
          <cell r="U840" t="str">
            <v>Asset</v>
          </cell>
          <cell r="V840">
            <v>28630</v>
          </cell>
          <cell r="W840" t="str">
            <v>KEW</v>
          </cell>
          <cell r="X840" t="str">
            <v>01/09/2010</v>
          </cell>
          <cell r="Y840" t="str">
            <v>KEW</v>
          </cell>
          <cell r="Z840" t="str">
            <v>16/08/2013</v>
          </cell>
          <cell r="AA840" t="str">
            <v>15/08/2015</v>
          </cell>
          <cell r="AB840" t="str">
            <v>No</v>
          </cell>
          <cell r="AC840" t="str">
            <v>31/08/2013</v>
          </cell>
          <cell r="AD840" t="str">
            <v>Good</v>
          </cell>
          <cell r="AE840" t="str">
            <v>V1 - Existing / No Claim</v>
          </cell>
          <cell r="AF840">
            <v>42235</v>
          </cell>
          <cell r="AG840">
            <v>9.17</v>
          </cell>
          <cell r="AH840" t="str">
            <v>PPM</v>
          </cell>
          <cell r="AI840" t="str">
            <v>Strands</v>
          </cell>
          <cell r="AJ840" t="str">
            <v>Strands PW</v>
          </cell>
        </row>
        <row r="841">
          <cell r="A841" t="str">
            <v>IKN400379</v>
          </cell>
          <cell r="B841">
            <v>379</v>
          </cell>
          <cell r="C841" t="str">
            <v>Institut Kanser Negara</v>
          </cell>
          <cell r="D841" t="str">
            <v>KKM/IKN/H/13/2079</v>
          </cell>
          <cell r="E841" t="str">
            <v>18-147</v>
          </cell>
          <cell r="F841" t="str">
            <v>Mattress Systems, Alternating-Pressure</v>
          </cell>
          <cell r="G841" t="str">
            <v>WE</v>
          </cell>
          <cell r="H841" t="str">
            <v>RT/ONCO WARD 1 (F)</v>
          </cell>
          <cell r="I841" t="str">
            <v>07WE113</v>
          </cell>
          <cell r="J841" t="str">
            <v>EQUIPMENT ROOM</v>
          </cell>
          <cell r="K841" t="str">
            <v>BMED</v>
          </cell>
          <cell r="L841" t="str">
            <v>Normal</v>
          </cell>
          <cell r="M841" t="str">
            <v>Poland</v>
          </cell>
          <cell r="N841" t="str">
            <v>Nimbus</v>
          </cell>
          <cell r="O841" t="str">
            <v>Nimbus 3</v>
          </cell>
          <cell r="P841" t="str">
            <v>1200006450</v>
          </cell>
          <cell r="Q841" t="str">
            <v>Not Applicable</v>
          </cell>
          <cell r="R841" t="str">
            <v>Arjohuntleigh</v>
          </cell>
          <cell r="S841" t="str">
            <v>Hexamine Sdn. Bhd.</v>
          </cell>
          <cell r="T841" t="str">
            <v>Functioning</v>
          </cell>
          <cell r="U841" t="str">
            <v>Asset</v>
          </cell>
          <cell r="V841">
            <v>28630</v>
          </cell>
          <cell r="W841" t="str">
            <v>KEW</v>
          </cell>
          <cell r="X841" t="str">
            <v>01/09/2010</v>
          </cell>
          <cell r="Y841" t="str">
            <v>KEW</v>
          </cell>
          <cell r="Z841" t="str">
            <v>16/08/2013</v>
          </cell>
          <cell r="AA841" t="str">
            <v>15/08/2015</v>
          </cell>
          <cell r="AB841" t="str">
            <v>No</v>
          </cell>
          <cell r="AC841" t="str">
            <v>31/08/2013</v>
          </cell>
          <cell r="AD841" t="str">
            <v>Good</v>
          </cell>
          <cell r="AE841" t="str">
            <v>V1 - Existing / No Claim</v>
          </cell>
          <cell r="AF841">
            <v>42235</v>
          </cell>
          <cell r="AG841">
            <v>9.17</v>
          </cell>
          <cell r="AH841" t="str">
            <v>PPM</v>
          </cell>
          <cell r="AI841" t="str">
            <v>Strands</v>
          </cell>
          <cell r="AJ841" t="str">
            <v>Strands PW</v>
          </cell>
        </row>
        <row r="842">
          <cell r="A842" t="str">
            <v>IKN400380</v>
          </cell>
          <cell r="B842">
            <v>380</v>
          </cell>
          <cell r="C842" t="str">
            <v>Institut Kanser Negara</v>
          </cell>
          <cell r="D842" t="str">
            <v>KKM/IKN/H/13/2356</v>
          </cell>
          <cell r="E842" t="str">
            <v>18-147</v>
          </cell>
          <cell r="F842" t="str">
            <v>Mattress Systems, Alternating-Pressure</v>
          </cell>
          <cell r="G842" t="str">
            <v>WE</v>
          </cell>
          <cell r="H842" t="str">
            <v>RT/ONCO WARD 1 (F)</v>
          </cell>
          <cell r="I842" t="str">
            <v>07WE113</v>
          </cell>
          <cell r="J842" t="str">
            <v>EQUIPMENT ROOM</v>
          </cell>
          <cell r="K842" t="str">
            <v>BMED</v>
          </cell>
          <cell r="L842" t="str">
            <v>Normal</v>
          </cell>
          <cell r="M842" t="str">
            <v>Poland</v>
          </cell>
          <cell r="N842" t="str">
            <v>Nimbus</v>
          </cell>
          <cell r="O842" t="str">
            <v>Nimbus 3</v>
          </cell>
          <cell r="P842" t="str">
            <v>1200005125</v>
          </cell>
          <cell r="Q842" t="str">
            <v>Not Applicable</v>
          </cell>
          <cell r="R842" t="str">
            <v>Arjohuntleigh</v>
          </cell>
          <cell r="S842" t="str">
            <v>Hexamine Sdn. Bhd.</v>
          </cell>
          <cell r="T842" t="str">
            <v>Functioning</v>
          </cell>
          <cell r="U842" t="str">
            <v>Asset</v>
          </cell>
          <cell r="V842">
            <v>28630</v>
          </cell>
          <cell r="W842" t="str">
            <v>KEW</v>
          </cell>
          <cell r="X842" t="str">
            <v>01/09/2010</v>
          </cell>
          <cell r="Y842" t="str">
            <v>KEW</v>
          </cell>
          <cell r="Z842" t="str">
            <v>16/08/2013</v>
          </cell>
          <cell r="AA842" t="str">
            <v>15/08/2015</v>
          </cell>
          <cell r="AB842" t="str">
            <v>No</v>
          </cell>
          <cell r="AC842" t="str">
            <v>31/08/2013</v>
          </cell>
          <cell r="AD842" t="str">
            <v>Good</v>
          </cell>
          <cell r="AE842" t="str">
            <v>V1 - Existing / No Claim</v>
          </cell>
          <cell r="AF842">
            <v>42235</v>
          </cell>
          <cell r="AG842">
            <v>9.17</v>
          </cell>
          <cell r="AH842" t="str">
            <v>PPM</v>
          </cell>
          <cell r="AI842" t="str">
            <v>Strands</v>
          </cell>
          <cell r="AJ842" t="str">
            <v>Strands PW</v>
          </cell>
        </row>
        <row r="843">
          <cell r="A843" t="str">
            <v>IKN400381</v>
          </cell>
          <cell r="B843">
            <v>381</v>
          </cell>
          <cell r="C843" t="str">
            <v>Institut Kanser Negara</v>
          </cell>
          <cell r="D843" t="str">
            <v>KKM/IKN/H/13/2078</v>
          </cell>
          <cell r="E843" t="str">
            <v>18-147</v>
          </cell>
          <cell r="F843" t="str">
            <v>Mattress Systems, Alternating-Pressure</v>
          </cell>
          <cell r="G843" t="str">
            <v>WE</v>
          </cell>
          <cell r="H843" t="str">
            <v>RT/ONCO WARD 1 (F)</v>
          </cell>
          <cell r="I843" t="str">
            <v>07WE113</v>
          </cell>
          <cell r="J843" t="str">
            <v>EQUIPMENT ROOM</v>
          </cell>
          <cell r="K843" t="str">
            <v>BMED</v>
          </cell>
          <cell r="L843" t="str">
            <v>Normal</v>
          </cell>
          <cell r="M843" t="str">
            <v>Poland</v>
          </cell>
          <cell r="N843" t="str">
            <v>Nimbus</v>
          </cell>
          <cell r="O843" t="str">
            <v>Nimbus 3</v>
          </cell>
          <cell r="P843" t="str">
            <v>1200035113</v>
          </cell>
          <cell r="Q843" t="str">
            <v>Not Applicable</v>
          </cell>
          <cell r="R843" t="str">
            <v>Arjohuntleigh</v>
          </cell>
          <cell r="S843" t="str">
            <v>Hexamine Sdn. Bhd.</v>
          </cell>
          <cell r="T843" t="str">
            <v>Functioning</v>
          </cell>
          <cell r="U843" t="str">
            <v>Asset</v>
          </cell>
          <cell r="V843">
            <v>28630</v>
          </cell>
          <cell r="W843" t="str">
            <v>KEW</v>
          </cell>
          <cell r="X843" t="str">
            <v>01/09/2010</v>
          </cell>
          <cell r="Y843" t="str">
            <v>KEW</v>
          </cell>
          <cell r="Z843" t="str">
            <v>16/08/2013</v>
          </cell>
          <cell r="AA843" t="str">
            <v>15/08/2015</v>
          </cell>
          <cell r="AB843" t="str">
            <v>No</v>
          </cell>
          <cell r="AC843" t="str">
            <v>31/08/2013</v>
          </cell>
          <cell r="AD843" t="str">
            <v>Good</v>
          </cell>
          <cell r="AE843" t="str">
            <v>V1 - Existing / No Claim</v>
          </cell>
          <cell r="AF843">
            <v>42235</v>
          </cell>
          <cell r="AG843">
            <v>9.17</v>
          </cell>
          <cell r="AH843" t="str">
            <v>PPM</v>
          </cell>
          <cell r="AI843" t="str">
            <v>Strands</v>
          </cell>
          <cell r="AJ843" t="str">
            <v>Strands PW</v>
          </cell>
        </row>
        <row r="844">
          <cell r="A844" t="str">
            <v>IKN400382</v>
          </cell>
          <cell r="B844">
            <v>382</v>
          </cell>
          <cell r="C844" t="str">
            <v>Institut Kanser Negara</v>
          </cell>
          <cell r="D844" t="str">
            <v>KKM/IKN/H/13/2357</v>
          </cell>
          <cell r="E844" t="str">
            <v>10-208</v>
          </cell>
          <cell r="F844" t="str">
            <v>Aspirators</v>
          </cell>
          <cell r="G844" t="str">
            <v>WE</v>
          </cell>
          <cell r="H844" t="str">
            <v>RT/ONCO WARD 1 (F)</v>
          </cell>
          <cell r="I844" t="str">
            <v>07WE113</v>
          </cell>
          <cell r="J844" t="str">
            <v>EQUIPMENT ROOM</v>
          </cell>
          <cell r="K844" t="str">
            <v>BMED</v>
          </cell>
          <cell r="L844" t="str">
            <v>Normal</v>
          </cell>
          <cell r="M844" t="str">
            <v>UK</v>
          </cell>
          <cell r="N844" t="str">
            <v>SAM</v>
          </cell>
          <cell r="O844" t="str">
            <v>SAM 427</v>
          </cell>
          <cell r="P844" t="str">
            <v>0313-0537</v>
          </cell>
          <cell r="Q844" t="str">
            <v>Not Applicable</v>
          </cell>
          <cell r="R844" t="str">
            <v>MG Electric Ltd</v>
          </cell>
          <cell r="S844" t="str">
            <v>Delta Medisains</v>
          </cell>
          <cell r="T844" t="str">
            <v>Functioning</v>
          </cell>
          <cell r="U844" t="str">
            <v>Asset</v>
          </cell>
          <cell r="V844">
            <v>10705</v>
          </cell>
          <cell r="W844" t="str">
            <v>KEW</v>
          </cell>
          <cell r="X844" t="str">
            <v>01/09/2010</v>
          </cell>
          <cell r="Y844" t="str">
            <v>KEW</v>
          </cell>
          <cell r="Z844" t="str">
            <v>16/08/2013</v>
          </cell>
          <cell r="AA844" t="str">
            <v>15/08/2015</v>
          </cell>
          <cell r="AB844" t="str">
            <v>No</v>
          </cell>
          <cell r="AC844" t="str">
            <v>31/08/2013</v>
          </cell>
          <cell r="AD844" t="str">
            <v>Good</v>
          </cell>
          <cell r="AE844" t="str">
            <v>V1 - Existing / No Claim</v>
          </cell>
          <cell r="AF844">
            <v>42235</v>
          </cell>
          <cell r="AG844">
            <v>9.17</v>
          </cell>
          <cell r="AH844" t="str">
            <v>PPM</v>
          </cell>
          <cell r="AI844" t="str">
            <v>Strands</v>
          </cell>
          <cell r="AJ844" t="str">
            <v>Strands PW</v>
          </cell>
        </row>
        <row r="845">
          <cell r="A845" t="str">
            <v>IKN400383</v>
          </cell>
          <cell r="B845">
            <v>383</v>
          </cell>
          <cell r="C845" t="str">
            <v>Institut Kanser Negara</v>
          </cell>
          <cell r="D845" t="str">
            <v>KKM/IKN/H/13/2083</v>
          </cell>
          <cell r="E845" t="str">
            <v>17-148</v>
          </cell>
          <cell r="F845" t="str">
            <v>Oximeters, Pulse</v>
          </cell>
          <cell r="G845" t="str">
            <v>WE</v>
          </cell>
          <cell r="H845" t="str">
            <v>RT/ONCO WARD 1 (F)</v>
          </cell>
          <cell r="I845" t="str">
            <v>07WE113</v>
          </cell>
          <cell r="J845" t="str">
            <v>EQUIPMENT ROOM</v>
          </cell>
          <cell r="K845" t="str">
            <v>BMED</v>
          </cell>
          <cell r="L845" t="str">
            <v>Normal</v>
          </cell>
          <cell r="M845" t="str">
            <v>USA</v>
          </cell>
          <cell r="N845" t="str">
            <v>PalmSat</v>
          </cell>
          <cell r="O845" t="str">
            <v>PalmSat 2500</v>
          </cell>
          <cell r="P845" t="str">
            <v>501439272</v>
          </cell>
          <cell r="Q845" t="str">
            <v>Not Applicable</v>
          </cell>
          <cell r="R845" t="str">
            <v>Nonin Medical Inc</v>
          </cell>
          <cell r="S845" t="str">
            <v>Acucare Systems (M) Sdn bhd</v>
          </cell>
          <cell r="T845" t="str">
            <v>Functioning</v>
          </cell>
          <cell r="U845" t="str">
            <v>Asset</v>
          </cell>
          <cell r="V845">
            <v>5410</v>
          </cell>
          <cell r="W845" t="str">
            <v>KEW</v>
          </cell>
          <cell r="X845" t="str">
            <v>01/09/2010</v>
          </cell>
          <cell r="Y845" t="str">
            <v>KEW</v>
          </cell>
          <cell r="Z845" t="str">
            <v>16/08/2013</v>
          </cell>
          <cell r="AA845" t="str">
            <v>15/08/2015</v>
          </cell>
          <cell r="AB845" t="str">
            <v>No</v>
          </cell>
          <cell r="AC845" t="str">
            <v>31/08/2013</v>
          </cell>
          <cell r="AD845" t="str">
            <v>Good</v>
          </cell>
          <cell r="AE845" t="str">
            <v>V1 - Existing / No Claim</v>
          </cell>
          <cell r="AF845">
            <v>42235</v>
          </cell>
          <cell r="AG845">
            <v>9.17</v>
          </cell>
          <cell r="AH845" t="str">
            <v>PPM</v>
          </cell>
          <cell r="AI845" t="str">
            <v>Strands</v>
          </cell>
          <cell r="AJ845" t="str">
            <v>Strands PW</v>
          </cell>
        </row>
        <row r="846">
          <cell r="A846" t="str">
            <v>IKN400384</v>
          </cell>
          <cell r="B846">
            <v>384</v>
          </cell>
          <cell r="C846" t="str">
            <v>Institut Kanser Negara</v>
          </cell>
          <cell r="D846" t="str">
            <v>KKM/IKN/H/13/2082</v>
          </cell>
          <cell r="E846" t="str">
            <v>17-148</v>
          </cell>
          <cell r="F846" t="str">
            <v>Oximeters, Pulse</v>
          </cell>
          <cell r="G846" t="str">
            <v>WE</v>
          </cell>
          <cell r="H846" t="str">
            <v>RT/ONCO WARD 1 (F)</v>
          </cell>
          <cell r="I846" t="str">
            <v>07WE113</v>
          </cell>
          <cell r="J846" t="str">
            <v>EQUIPMENT ROOM</v>
          </cell>
          <cell r="K846" t="str">
            <v>BMED</v>
          </cell>
          <cell r="L846" t="str">
            <v>Normal</v>
          </cell>
          <cell r="M846" t="str">
            <v>USA</v>
          </cell>
          <cell r="N846" t="str">
            <v>PalmSat</v>
          </cell>
          <cell r="O846" t="str">
            <v>PalmSat 2500</v>
          </cell>
          <cell r="P846" t="str">
            <v>501442062</v>
          </cell>
          <cell r="Q846" t="str">
            <v>Not Applicable</v>
          </cell>
          <cell r="R846" t="str">
            <v>Nonin Medical Inc</v>
          </cell>
          <cell r="S846" t="str">
            <v>Acucare Systems (M) Sdn bhd</v>
          </cell>
          <cell r="T846" t="str">
            <v>Functioning</v>
          </cell>
          <cell r="U846" t="str">
            <v>Asset</v>
          </cell>
          <cell r="V846">
            <v>5410</v>
          </cell>
          <cell r="W846" t="str">
            <v>KEW</v>
          </cell>
          <cell r="X846" t="str">
            <v>01/09/2010</v>
          </cell>
          <cell r="Y846" t="str">
            <v>KEW</v>
          </cell>
          <cell r="Z846" t="str">
            <v>16/08/2013</v>
          </cell>
          <cell r="AA846" t="str">
            <v>15/08/2015</v>
          </cell>
          <cell r="AB846" t="str">
            <v>No</v>
          </cell>
          <cell r="AC846" t="str">
            <v>31/08/2013</v>
          </cell>
          <cell r="AD846" t="str">
            <v>Good</v>
          </cell>
          <cell r="AE846" t="str">
            <v>V1 - Existing / No Claim</v>
          </cell>
          <cell r="AF846">
            <v>42235</v>
          </cell>
          <cell r="AG846">
            <v>9.17</v>
          </cell>
          <cell r="AH846" t="str">
            <v>PPM</v>
          </cell>
          <cell r="AI846" t="str">
            <v>Strands</v>
          </cell>
          <cell r="AJ846" t="str">
            <v>Strands PW</v>
          </cell>
        </row>
        <row r="847">
          <cell r="A847" t="str">
            <v>IKN400385</v>
          </cell>
          <cell r="B847">
            <v>385</v>
          </cell>
          <cell r="C847" t="str">
            <v>Institut Kanser Negara</v>
          </cell>
          <cell r="D847" t="str">
            <v>KKM/IKN/H/13/2084</v>
          </cell>
          <cell r="E847" t="str">
            <v>12-647</v>
          </cell>
          <cell r="F847" t="str">
            <v>Physiologic Monitoring Systems, Acute Care</v>
          </cell>
          <cell r="G847" t="str">
            <v>WE</v>
          </cell>
          <cell r="H847" t="str">
            <v>RT/ONCO WARD 1 (F)</v>
          </cell>
          <cell r="I847" t="str">
            <v>07WE113</v>
          </cell>
          <cell r="J847" t="str">
            <v>EQUIPMENT ROOM</v>
          </cell>
          <cell r="K847" t="str">
            <v>BMED</v>
          </cell>
          <cell r="L847" t="str">
            <v>Critical</v>
          </cell>
          <cell r="M847" t="str">
            <v>USA</v>
          </cell>
          <cell r="N847" t="str">
            <v>GE</v>
          </cell>
          <cell r="O847" t="str">
            <v>GE B30</v>
          </cell>
          <cell r="P847" t="str">
            <v>SF312325908WA</v>
          </cell>
          <cell r="Q847" t="str">
            <v>Not Applicable</v>
          </cell>
          <cell r="R847" t="str">
            <v>GE Healthcare Systems</v>
          </cell>
          <cell r="S847" t="str">
            <v>GE Healthcare Technologies</v>
          </cell>
          <cell r="T847" t="str">
            <v>Functioning</v>
          </cell>
          <cell r="U847" t="str">
            <v>Asset</v>
          </cell>
          <cell r="V847">
            <v>44510</v>
          </cell>
          <cell r="W847" t="str">
            <v>KEW</v>
          </cell>
          <cell r="X847" t="str">
            <v>01/09/2010</v>
          </cell>
          <cell r="Y847" t="str">
            <v>KEW</v>
          </cell>
          <cell r="Z847" t="str">
            <v>16/08/2013</v>
          </cell>
          <cell r="AA847" t="str">
            <v>15/08/2015</v>
          </cell>
          <cell r="AB847" t="str">
            <v>No</v>
          </cell>
          <cell r="AC847" t="str">
            <v>31/08/2013</v>
          </cell>
          <cell r="AD847" t="str">
            <v>Good</v>
          </cell>
          <cell r="AE847" t="str">
            <v>V1 - Existing / No Claim</v>
          </cell>
          <cell r="AF847">
            <v>42789</v>
          </cell>
          <cell r="AG847">
            <v>9.17</v>
          </cell>
          <cell r="AH847" t="str">
            <v>PPM</v>
          </cell>
          <cell r="AI847" t="str">
            <v>Strands</v>
          </cell>
          <cell r="AJ847" t="str">
            <v>Strands PW</v>
          </cell>
        </row>
        <row r="848">
          <cell r="A848" t="str">
            <v>IKN400386</v>
          </cell>
          <cell r="B848">
            <v>386</v>
          </cell>
          <cell r="C848" t="str">
            <v>Institut Kanser Negara</v>
          </cell>
          <cell r="D848" t="str">
            <v>KKM/IKN/H/13/2086</v>
          </cell>
          <cell r="E848" t="str">
            <v>12-647</v>
          </cell>
          <cell r="F848" t="str">
            <v>Physiologic Monitoring Systems, Acute Care</v>
          </cell>
          <cell r="G848" t="str">
            <v>WE</v>
          </cell>
          <cell r="H848" t="str">
            <v>RT/ONCO WARD 1 (F)</v>
          </cell>
          <cell r="I848" t="str">
            <v>07WE113</v>
          </cell>
          <cell r="J848" t="str">
            <v>EQUIPMENT ROOM</v>
          </cell>
          <cell r="K848" t="str">
            <v>BMED</v>
          </cell>
          <cell r="L848" t="str">
            <v>Critical</v>
          </cell>
          <cell r="M848" t="str">
            <v>USA</v>
          </cell>
          <cell r="N848" t="str">
            <v>GE</v>
          </cell>
          <cell r="O848" t="str">
            <v>GE B30</v>
          </cell>
          <cell r="P848" t="str">
            <v>SF312325900WA</v>
          </cell>
          <cell r="Q848" t="str">
            <v>Not Applicable</v>
          </cell>
          <cell r="R848" t="str">
            <v>GE Healthcare Systems</v>
          </cell>
          <cell r="S848" t="str">
            <v>GE Healthcare Technologies</v>
          </cell>
          <cell r="T848" t="str">
            <v>Functioning</v>
          </cell>
          <cell r="U848" t="str">
            <v>Asset</v>
          </cell>
          <cell r="V848">
            <v>44510</v>
          </cell>
          <cell r="W848" t="str">
            <v>KEW</v>
          </cell>
          <cell r="X848" t="str">
            <v>01/09/2010</v>
          </cell>
          <cell r="Y848" t="str">
            <v>KEW</v>
          </cell>
          <cell r="Z848" t="str">
            <v>16/08/2013</v>
          </cell>
          <cell r="AA848" t="str">
            <v>15/08/2015</v>
          </cell>
          <cell r="AB848" t="str">
            <v>No</v>
          </cell>
          <cell r="AC848" t="str">
            <v>31/08/2013</v>
          </cell>
          <cell r="AD848" t="str">
            <v>Good</v>
          </cell>
          <cell r="AE848" t="str">
            <v>V1 - Existing / No Claim</v>
          </cell>
          <cell r="AF848">
            <v>42789</v>
          </cell>
          <cell r="AG848">
            <v>9.17</v>
          </cell>
          <cell r="AH848" t="str">
            <v>PPM</v>
          </cell>
          <cell r="AI848" t="str">
            <v>Strands</v>
          </cell>
          <cell r="AJ848" t="str">
            <v>Strands PW</v>
          </cell>
        </row>
        <row r="849">
          <cell r="A849" t="str">
            <v>IKN400387</v>
          </cell>
          <cell r="B849">
            <v>387</v>
          </cell>
          <cell r="C849" t="str">
            <v>Institut Kanser Negara</v>
          </cell>
          <cell r="D849" t="str">
            <v>KKM/IKN/H/13/2114</v>
          </cell>
          <cell r="E849" t="str">
            <v>16-173</v>
          </cell>
          <cell r="F849" t="str">
            <v>Sphygmomanometers, Electronic, Automatic</v>
          </cell>
          <cell r="G849" t="str">
            <v>WE</v>
          </cell>
          <cell r="H849" t="str">
            <v>RT/ONCO WARD 1 (F)</v>
          </cell>
          <cell r="I849" t="str">
            <v>07WE143</v>
          </cell>
          <cell r="J849" t="str">
            <v>NURSE STATION</v>
          </cell>
          <cell r="K849" t="str">
            <v>BMED</v>
          </cell>
          <cell r="L849" t="str">
            <v>Critical</v>
          </cell>
          <cell r="M849" t="str">
            <v>USA</v>
          </cell>
          <cell r="N849" t="str">
            <v>Connex</v>
          </cell>
          <cell r="O849" t="str">
            <v>Connex ProBP 3400</v>
          </cell>
          <cell r="P849" t="str">
            <v>100001440613</v>
          </cell>
          <cell r="Q849" t="str">
            <v>Not Applicable</v>
          </cell>
          <cell r="R849" t="str">
            <v>Welch Allyn Inc</v>
          </cell>
          <cell r="S849" t="str">
            <v>Welch Allyn Malaysia Sdn Bhd</v>
          </cell>
          <cell r="T849" t="str">
            <v>Functioning</v>
          </cell>
          <cell r="U849" t="str">
            <v>Asset</v>
          </cell>
          <cell r="V849">
            <v>4510</v>
          </cell>
          <cell r="W849" t="str">
            <v>KEW</v>
          </cell>
          <cell r="X849" t="str">
            <v>01/09/2010</v>
          </cell>
          <cell r="Y849" t="str">
            <v>KEW</v>
          </cell>
          <cell r="Z849" t="str">
            <v>16/08/2013</v>
          </cell>
          <cell r="AA849" t="str">
            <v>15/08/2015</v>
          </cell>
          <cell r="AB849" t="str">
            <v>No</v>
          </cell>
          <cell r="AC849" t="str">
            <v>31/08/2013</v>
          </cell>
          <cell r="AD849" t="str">
            <v>Good</v>
          </cell>
          <cell r="AE849" t="str">
            <v>V1 - Existing / No Claim</v>
          </cell>
          <cell r="AF849">
            <v>42789</v>
          </cell>
          <cell r="AG849">
            <v>9.17</v>
          </cell>
          <cell r="AH849" t="str">
            <v>PPM</v>
          </cell>
          <cell r="AI849" t="str">
            <v>Strands</v>
          </cell>
          <cell r="AJ849" t="str">
            <v>Strands PW</v>
          </cell>
        </row>
        <row r="850">
          <cell r="A850" t="str">
            <v>IKN400389</v>
          </cell>
          <cell r="B850">
            <v>389</v>
          </cell>
          <cell r="C850" t="str">
            <v>Institut Kanser Negara</v>
          </cell>
          <cell r="D850" t="str">
            <v>KKM/IKN/H/13/2113</v>
          </cell>
          <cell r="E850" t="str">
            <v>16-173</v>
          </cell>
          <cell r="F850" t="str">
            <v>Sphygmomanometers, Electronic, Automatic</v>
          </cell>
          <cell r="G850" t="str">
            <v>WE</v>
          </cell>
          <cell r="H850" t="str">
            <v>RT/ONCO WARD 1 (F)</v>
          </cell>
          <cell r="I850" t="str">
            <v>07WE143</v>
          </cell>
          <cell r="J850" t="str">
            <v>NURSE STATION</v>
          </cell>
          <cell r="K850" t="str">
            <v>BMED</v>
          </cell>
          <cell r="L850" t="str">
            <v>Normal</v>
          </cell>
          <cell r="M850" t="str">
            <v>USA</v>
          </cell>
          <cell r="N850" t="str">
            <v>Connex</v>
          </cell>
          <cell r="O850" t="str">
            <v>Connex ProBP 3400</v>
          </cell>
          <cell r="P850" t="str">
            <v>100001720613</v>
          </cell>
          <cell r="Q850" t="str">
            <v>Not Applicable</v>
          </cell>
          <cell r="R850" t="str">
            <v>Welch Allyn Inc</v>
          </cell>
          <cell r="S850" t="str">
            <v>Welch Allyn Malaysia Sdn Bhd</v>
          </cell>
          <cell r="T850" t="str">
            <v>Functioning</v>
          </cell>
          <cell r="U850" t="str">
            <v>Asset</v>
          </cell>
          <cell r="V850">
            <v>4510</v>
          </cell>
          <cell r="W850" t="str">
            <v>KEW</v>
          </cell>
          <cell r="X850" t="str">
            <v>01/09/2010</v>
          </cell>
          <cell r="Y850" t="str">
            <v>KEW</v>
          </cell>
          <cell r="Z850" t="str">
            <v>16/08/2013</v>
          </cell>
          <cell r="AA850" t="str">
            <v>15/08/2015</v>
          </cell>
          <cell r="AB850" t="str">
            <v>No</v>
          </cell>
          <cell r="AC850" t="str">
            <v>31/08/2013</v>
          </cell>
          <cell r="AD850" t="str">
            <v>Good</v>
          </cell>
          <cell r="AE850" t="str">
            <v>V1 - Existing / No Claim</v>
          </cell>
          <cell r="AF850">
            <v>42235</v>
          </cell>
          <cell r="AG850">
            <v>9.17</v>
          </cell>
          <cell r="AH850" t="str">
            <v>PPM</v>
          </cell>
          <cell r="AI850" t="str">
            <v>Strands</v>
          </cell>
          <cell r="AJ850" t="str">
            <v>Strands PW</v>
          </cell>
        </row>
        <row r="851">
          <cell r="A851" t="str">
            <v>IKN400390</v>
          </cell>
          <cell r="B851">
            <v>390</v>
          </cell>
          <cell r="C851" t="str">
            <v>Institut Kanser Negara</v>
          </cell>
          <cell r="D851" t="str">
            <v>KKM/IKN/H/13/2095</v>
          </cell>
          <cell r="E851" t="str">
            <v>25-209</v>
          </cell>
          <cell r="F851" t="str">
            <v>Monitors, Physiologic, Vital Signs</v>
          </cell>
          <cell r="G851" t="str">
            <v>WE</v>
          </cell>
          <cell r="H851" t="str">
            <v>RT/ONCO WARD 1 (F)</v>
          </cell>
          <cell r="I851" t="str">
            <v>07WE143</v>
          </cell>
          <cell r="J851" t="str">
            <v>NURSE STATION</v>
          </cell>
          <cell r="K851" t="str">
            <v>BMED</v>
          </cell>
          <cell r="L851" t="str">
            <v>Critical</v>
          </cell>
          <cell r="M851" t="str">
            <v>Mexico</v>
          </cell>
          <cell r="N851" t="str">
            <v>Carespace</v>
          </cell>
          <cell r="O851" t="str">
            <v>Carescape V100</v>
          </cell>
          <cell r="P851" t="str">
            <v>SH613280315SA</v>
          </cell>
          <cell r="Q851" t="str">
            <v>Not Applicable</v>
          </cell>
          <cell r="R851" t="str">
            <v>GE Healthcare Systems</v>
          </cell>
          <cell r="S851" t="str">
            <v>GE Healthcare Technologies</v>
          </cell>
          <cell r="T851" t="str">
            <v>Functioning</v>
          </cell>
          <cell r="U851" t="str">
            <v>Asset</v>
          </cell>
          <cell r="V851">
            <v>18765</v>
          </cell>
          <cell r="W851" t="str">
            <v>KEW</v>
          </cell>
          <cell r="X851" t="str">
            <v>01/09/2010</v>
          </cell>
          <cell r="Y851" t="str">
            <v>KEW</v>
          </cell>
          <cell r="Z851" t="str">
            <v>16/08/2013</v>
          </cell>
          <cell r="AA851" t="str">
            <v>15/08/2015</v>
          </cell>
          <cell r="AB851" t="str">
            <v>No</v>
          </cell>
          <cell r="AC851" t="str">
            <v>31/08/2013</v>
          </cell>
          <cell r="AD851" t="str">
            <v>Good</v>
          </cell>
          <cell r="AE851" t="str">
            <v>V1 - Existing / No Claim</v>
          </cell>
          <cell r="AF851">
            <v>42790</v>
          </cell>
          <cell r="AG851">
            <v>9.17</v>
          </cell>
          <cell r="AH851" t="str">
            <v>PPM</v>
          </cell>
          <cell r="AI851" t="str">
            <v>Strands</v>
          </cell>
          <cell r="AJ851" t="str">
            <v>Strands PW</v>
          </cell>
        </row>
        <row r="852">
          <cell r="A852" t="str">
            <v>IKN400392</v>
          </cell>
          <cell r="B852">
            <v>392</v>
          </cell>
          <cell r="C852" t="str">
            <v>Institut Kanser Negara</v>
          </cell>
          <cell r="D852" t="str">
            <v>KKM/IKN/H/13/2092</v>
          </cell>
          <cell r="E852" t="str">
            <v>11-134</v>
          </cell>
          <cell r="F852" t="str">
            <v>Defibrillators, External, Manual</v>
          </cell>
          <cell r="G852" t="str">
            <v>WE</v>
          </cell>
          <cell r="H852" t="str">
            <v>RT/ONCO WARD 1 (F)</v>
          </cell>
          <cell r="I852" t="str">
            <v>07WE133</v>
          </cell>
          <cell r="J852" t="str">
            <v>RESUS EQ. BAY</v>
          </cell>
          <cell r="K852" t="str">
            <v>BMED</v>
          </cell>
          <cell r="L852" t="str">
            <v>Critical</v>
          </cell>
          <cell r="M852" t="str">
            <v>USA</v>
          </cell>
          <cell r="N852" t="str">
            <v>Responder</v>
          </cell>
          <cell r="O852" t="str">
            <v>Responder 2000</v>
          </cell>
          <cell r="P852" t="str">
            <v>3206735</v>
          </cell>
          <cell r="Q852" t="str">
            <v>Not Applicable</v>
          </cell>
          <cell r="R852" t="str">
            <v>GE Medical Systems</v>
          </cell>
          <cell r="S852" t="str">
            <v>Antah Sir Radin Sdn. Bhd.</v>
          </cell>
          <cell r="T852" t="str">
            <v>Functioning</v>
          </cell>
          <cell r="U852" t="str">
            <v>Asset</v>
          </cell>
          <cell r="V852">
            <v>45000</v>
          </cell>
          <cell r="W852" t="str">
            <v>Estimate</v>
          </cell>
          <cell r="X852" t="str">
            <v>01/09/2010</v>
          </cell>
          <cell r="Y852" t="str">
            <v>KEW</v>
          </cell>
          <cell r="Z852" t="str">
            <v>16/08/2013</v>
          </cell>
          <cell r="AA852" t="str">
            <v>15/08/2015</v>
          </cell>
          <cell r="AB852" t="str">
            <v>No</v>
          </cell>
          <cell r="AC852" t="str">
            <v>31/08/2013</v>
          </cell>
          <cell r="AD852" t="str">
            <v>Good</v>
          </cell>
          <cell r="AE852" t="str">
            <v>V1 - Existing / No Claim</v>
          </cell>
          <cell r="AF852">
            <v>42789</v>
          </cell>
          <cell r="AG852">
            <v>9.17</v>
          </cell>
          <cell r="AH852" t="str">
            <v>PPM</v>
          </cell>
          <cell r="AI852" t="str">
            <v>Strands</v>
          </cell>
          <cell r="AJ852" t="str">
            <v>Strands PW</v>
          </cell>
        </row>
        <row r="853">
          <cell r="A853" t="str">
            <v>IKN400397</v>
          </cell>
          <cell r="B853">
            <v>397</v>
          </cell>
          <cell r="C853" t="str">
            <v>Institut Kanser Negara</v>
          </cell>
          <cell r="D853" t="str">
            <v>KKM/IKN/H/13/3641</v>
          </cell>
          <cell r="E853" t="str">
            <v>11-134</v>
          </cell>
          <cell r="F853" t="str">
            <v>Defibrillators, External, Manual</v>
          </cell>
          <cell r="G853" t="str">
            <v>WD</v>
          </cell>
          <cell r="H853" t="str">
            <v>RT/ONCO PAED/ADOLESCENT WARD</v>
          </cell>
          <cell r="I853" t="str">
            <v>06WD145</v>
          </cell>
          <cell r="J853" t="str">
            <v>RESUS. EQUIP. BAY</v>
          </cell>
          <cell r="K853" t="str">
            <v>BMED</v>
          </cell>
          <cell r="L853" t="str">
            <v>Critical</v>
          </cell>
          <cell r="M853" t="str">
            <v>USA</v>
          </cell>
          <cell r="N853" t="str">
            <v>Responder</v>
          </cell>
          <cell r="O853" t="str">
            <v>Responder 2000</v>
          </cell>
          <cell r="P853" t="str">
            <v>3206726</v>
          </cell>
          <cell r="Q853" t="str">
            <v>Not Applicable</v>
          </cell>
          <cell r="R853" t="str">
            <v>GE Medical Systems</v>
          </cell>
          <cell r="S853" t="str">
            <v>Antah Sir Radin Sdn. Bhd.</v>
          </cell>
          <cell r="T853" t="str">
            <v>Functioning</v>
          </cell>
          <cell r="U853" t="str">
            <v>Asset</v>
          </cell>
          <cell r="V853">
            <v>45000</v>
          </cell>
          <cell r="W853" t="str">
            <v>Estimate</v>
          </cell>
          <cell r="X853" t="str">
            <v>01/09/2010</v>
          </cell>
          <cell r="Y853" t="str">
            <v>KEW</v>
          </cell>
          <cell r="Z853" t="str">
            <v>16/08/2013</v>
          </cell>
          <cell r="AA853" t="str">
            <v>15/08/2015</v>
          </cell>
          <cell r="AB853" t="str">
            <v>No</v>
          </cell>
          <cell r="AC853" t="str">
            <v>31/08/2013</v>
          </cell>
          <cell r="AD853" t="str">
            <v>Good</v>
          </cell>
          <cell r="AE853" t="str">
            <v>V1 - Existing / No Claim</v>
          </cell>
          <cell r="AF853">
            <v>42601</v>
          </cell>
          <cell r="AG853">
            <v>9.17</v>
          </cell>
          <cell r="AH853" t="str">
            <v>PPM</v>
          </cell>
          <cell r="AI853" t="str">
            <v>Strands</v>
          </cell>
          <cell r="AJ853" t="str">
            <v>Strands PW</v>
          </cell>
        </row>
        <row r="854">
          <cell r="A854" t="str">
            <v>IKN400398</v>
          </cell>
          <cell r="B854">
            <v>398</v>
          </cell>
          <cell r="C854" t="str">
            <v>Institut Kanser Negara</v>
          </cell>
          <cell r="D854" t="str">
            <v>KKM/IKN/H/13/4745</v>
          </cell>
          <cell r="E854" t="str">
            <v>12-282</v>
          </cell>
          <cell r="F854" t="str">
            <v>Lights, Surgical</v>
          </cell>
          <cell r="G854" t="str">
            <v>WD</v>
          </cell>
          <cell r="H854" t="str">
            <v>RT/ONCO PAED/ADOLESCENT WARD</v>
          </cell>
          <cell r="I854" t="str">
            <v>06WD153</v>
          </cell>
          <cell r="J854" t="str">
            <v>EQP.ROOM</v>
          </cell>
          <cell r="K854" t="str">
            <v>BMED</v>
          </cell>
          <cell r="L854" t="str">
            <v>Normal</v>
          </cell>
          <cell r="M854" t="str">
            <v>USA</v>
          </cell>
          <cell r="N854" t="str">
            <v>Welch Allyn</v>
          </cell>
          <cell r="O854" t="str">
            <v>Welch Allyn GS600</v>
          </cell>
          <cell r="P854" t="str">
            <v>GS-600-37</v>
          </cell>
          <cell r="Q854" t="str">
            <v>Not Applicable</v>
          </cell>
          <cell r="R854" t="str">
            <v>Welch Allyn Inc</v>
          </cell>
          <cell r="S854" t="str">
            <v>Welch Allyn Malaysia Sdn Bhd</v>
          </cell>
          <cell r="T854" t="str">
            <v>Functioning</v>
          </cell>
          <cell r="U854" t="str">
            <v>Asset</v>
          </cell>
          <cell r="V854">
            <v>5050</v>
          </cell>
          <cell r="W854" t="str">
            <v>KEW</v>
          </cell>
          <cell r="X854" t="str">
            <v>01/09/2010</v>
          </cell>
          <cell r="Y854" t="str">
            <v>KEW</v>
          </cell>
          <cell r="Z854" t="str">
            <v>16/08/2013</v>
          </cell>
          <cell r="AA854" t="str">
            <v>15/08/2015</v>
          </cell>
          <cell r="AB854" t="str">
            <v>No</v>
          </cell>
          <cell r="AC854" t="str">
            <v>31/08/2013</v>
          </cell>
          <cell r="AD854" t="str">
            <v>Good</v>
          </cell>
          <cell r="AE854" t="str">
            <v>V1 - Existing / No Claim</v>
          </cell>
          <cell r="AF854">
            <v>42235</v>
          </cell>
          <cell r="AG854">
            <v>9.17</v>
          </cell>
          <cell r="AH854" t="str">
            <v>PPM</v>
          </cell>
          <cell r="AI854" t="str">
            <v>Strands</v>
          </cell>
          <cell r="AJ854" t="str">
            <v>Strands PW</v>
          </cell>
        </row>
        <row r="855">
          <cell r="A855" t="str">
            <v>IKN400399</v>
          </cell>
          <cell r="B855">
            <v>399</v>
          </cell>
          <cell r="C855" t="str">
            <v>Institut Kanser Negara</v>
          </cell>
          <cell r="D855" t="str">
            <v>KKM/IKN/H/13/2165</v>
          </cell>
          <cell r="E855" t="str">
            <v>12-282</v>
          </cell>
          <cell r="F855" t="str">
            <v>Lights, Surgical</v>
          </cell>
          <cell r="G855" t="str">
            <v>WD</v>
          </cell>
          <cell r="H855" t="str">
            <v>RT/ONCO PAED/ADOLESCENT WARD</v>
          </cell>
          <cell r="I855" t="str">
            <v>06WD153</v>
          </cell>
          <cell r="J855" t="str">
            <v>EQP.ROOM</v>
          </cell>
          <cell r="K855" t="str">
            <v>BMED</v>
          </cell>
          <cell r="L855" t="str">
            <v>Normal</v>
          </cell>
          <cell r="M855" t="str">
            <v>USA</v>
          </cell>
          <cell r="N855" t="str">
            <v>Welch Allyn</v>
          </cell>
          <cell r="O855" t="str">
            <v>Welch Allyn GS600</v>
          </cell>
          <cell r="P855" t="str">
            <v>GS-600-46</v>
          </cell>
          <cell r="Q855" t="str">
            <v>Not Applicable</v>
          </cell>
          <cell r="R855" t="str">
            <v>Welch Allyn Inc</v>
          </cell>
          <cell r="S855" t="str">
            <v>Welch Allyn Malaysia Sdn Bhd</v>
          </cell>
          <cell r="T855" t="str">
            <v>Functioning</v>
          </cell>
          <cell r="U855" t="str">
            <v>Asset</v>
          </cell>
          <cell r="V855">
            <v>5050</v>
          </cell>
          <cell r="W855" t="str">
            <v>KEW</v>
          </cell>
          <cell r="X855" t="str">
            <v>01/09/2010</v>
          </cell>
          <cell r="Y855" t="str">
            <v>KEW</v>
          </cell>
          <cell r="Z855" t="str">
            <v>16/08/2013</v>
          </cell>
          <cell r="AA855" t="str">
            <v>15/08/2015</v>
          </cell>
          <cell r="AB855" t="str">
            <v>No</v>
          </cell>
          <cell r="AC855" t="str">
            <v>31/08/2013</v>
          </cell>
          <cell r="AD855" t="str">
            <v>Good</v>
          </cell>
          <cell r="AE855" t="str">
            <v>V1 - Existing / No Claim</v>
          </cell>
          <cell r="AF855">
            <v>42235</v>
          </cell>
          <cell r="AG855">
            <v>9.17</v>
          </cell>
          <cell r="AH855" t="str">
            <v>PPM</v>
          </cell>
          <cell r="AI855" t="str">
            <v>Strands</v>
          </cell>
          <cell r="AJ855" t="str">
            <v>Strands PW</v>
          </cell>
        </row>
        <row r="856">
          <cell r="A856" t="str">
            <v>IKN400400</v>
          </cell>
          <cell r="B856">
            <v>400</v>
          </cell>
          <cell r="C856" t="str">
            <v>Institut Kanser Negara</v>
          </cell>
          <cell r="D856" t="str">
            <v>KKM/IKN/H/13/2166</v>
          </cell>
          <cell r="E856" t="str">
            <v>15-045</v>
          </cell>
          <cell r="F856" t="str">
            <v>Nebulizers, Nonheated</v>
          </cell>
          <cell r="G856" t="str">
            <v>WD</v>
          </cell>
          <cell r="H856" t="str">
            <v>RT/ONCO PAED/ADOLESCENT WARD</v>
          </cell>
          <cell r="I856" t="str">
            <v>06WD153</v>
          </cell>
          <cell r="J856" t="str">
            <v>EQP.ROOM</v>
          </cell>
          <cell r="K856" t="str">
            <v>BMED</v>
          </cell>
          <cell r="L856" t="str">
            <v>Normal</v>
          </cell>
          <cell r="M856" t="str">
            <v>Germany</v>
          </cell>
          <cell r="N856" t="str">
            <v>Pari Boy</v>
          </cell>
          <cell r="O856" t="str">
            <v>Pari Boy SX 085</v>
          </cell>
          <cell r="P856" t="str">
            <v>2W12F13819</v>
          </cell>
          <cell r="Q856" t="str">
            <v>Not Applicable</v>
          </cell>
          <cell r="R856" t="str">
            <v>Pari GmbH</v>
          </cell>
          <cell r="S856" t="str">
            <v>Welch Allyn Malaysia Sdn Bhd</v>
          </cell>
          <cell r="T856" t="str">
            <v>Functioning</v>
          </cell>
          <cell r="U856" t="str">
            <v>Asset</v>
          </cell>
          <cell r="V856">
            <v>1140</v>
          </cell>
          <cell r="W856" t="str">
            <v>KEW</v>
          </cell>
          <cell r="X856" t="str">
            <v>01/09/2010</v>
          </cell>
          <cell r="Y856" t="str">
            <v>KEW</v>
          </cell>
          <cell r="Z856" t="str">
            <v>16/08/2013</v>
          </cell>
          <cell r="AA856" t="str">
            <v>15/08/2015</v>
          </cell>
          <cell r="AB856" t="str">
            <v>No</v>
          </cell>
          <cell r="AC856" t="str">
            <v>31/08/2013</v>
          </cell>
          <cell r="AD856" t="str">
            <v>Good</v>
          </cell>
          <cell r="AE856" t="str">
            <v>V1 - Existing / No Claim</v>
          </cell>
          <cell r="AF856">
            <v>42235</v>
          </cell>
          <cell r="AG856">
            <v>9.17</v>
          </cell>
          <cell r="AH856" t="str">
            <v>PPM</v>
          </cell>
          <cell r="AI856" t="str">
            <v>Strands</v>
          </cell>
          <cell r="AJ856" t="str">
            <v>Strands PW</v>
          </cell>
        </row>
        <row r="857">
          <cell r="A857" t="str">
            <v>IKN400401</v>
          </cell>
          <cell r="B857">
            <v>401</v>
          </cell>
          <cell r="C857" t="str">
            <v>Institut Kanser Negara</v>
          </cell>
          <cell r="D857" t="str">
            <v>KKM/IKN/H/13/2167</v>
          </cell>
          <cell r="E857" t="str">
            <v>15-045</v>
          </cell>
          <cell r="F857" t="str">
            <v>Nebulizers, Nonheated</v>
          </cell>
          <cell r="G857" t="str">
            <v>WD</v>
          </cell>
          <cell r="H857" t="str">
            <v>RT/ONCO PAED/ADOLESCENT WARD</v>
          </cell>
          <cell r="I857" t="str">
            <v>06WD153</v>
          </cell>
          <cell r="J857" t="str">
            <v>EQP.ROOM</v>
          </cell>
          <cell r="K857" t="str">
            <v>BMED</v>
          </cell>
          <cell r="L857" t="str">
            <v>Normal</v>
          </cell>
          <cell r="M857" t="str">
            <v>Germany</v>
          </cell>
          <cell r="N857" t="str">
            <v>Pari Boy</v>
          </cell>
          <cell r="O857" t="str">
            <v>Pari Boy SX 085</v>
          </cell>
          <cell r="P857" t="str">
            <v>2W12F13747</v>
          </cell>
          <cell r="Q857" t="str">
            <v>Not Applicable</v>
          </cell>
          <cell r="R857" t="str">
            <v>Pari GmbH</v>
          </cell>
          <cell r="S857" t="str">
            <v>Welch Allyn Malaysia Sdn Bhd</v>
          </cell>
          <cell r="T857" t="str">
            <v>Functioning</v>
          </cell>
          <cell r="U857" t="str">
            <v>Asset</v>
          </cell>
          <cell r="V857">
            <v>1140</v>
          </cell>
          <cell r="W857" t="str">
            <v>KEW</v>
          </cell>
          <cell r="X857" t="str">
            <v>01/09/2010</v>
          </cell>
          <cell r="Y857" t="str">
            <v>KEW</v>
          </cell>
          <cell r="Z857" t="str">
            <v>16/08/2013</v>
          </cell>
          <cell r="AA857" t="str">
            <v>15/08/2015</v>
          </cell>
          <cell r="AB857" t="str">
            <v>No</v>
          </cell>
          <cell r="AC857" t="str">
            <v>31/08/2013</v>
          </cell>
          <cell r="AD857" t="str">
            <v>Good</v>
          </cell>
          <cell r="AE857" t="str">
            <v>V1 - Existing / No Claim</v>
          </cell>
          <cell r="AF857">
            <v>42235</v>
          </cell>
          <cell r="AG857">
            <v>9.17</v>
          </cell>
          <cell r="AH857" t="str">
            <v>PPM</v>
          </cell>
          <cell r="AI857" t="str">
            <v>Strands</v>
          </cell>
          <cell r="AJ857" t="str">
            <v>Strands PW</v>
          </cell>
        </row>
        <row r="858">
          <cell r="A858" t="str">
            <v>IKN400402</v>
          </cell>
          <cell r="B858">
            <v>402</v>
          </cell>
          <cell r="C858" t="str">
            <v>Institut Kanser Negara</v>
          </cell>
          <cell r="D858" t="str">
            <v>KKM/IKN/H/13/2168</v>
          </cell>
          <cell r="E858" t="str">
            <v>15-045</v>
          </cell>
          <cell r="F858" t="str">
            <v>Nebulizers, Nonheated</v>
          </cell>
          <cell r="G858" t="str">
            <v>WD</v>
          </cell>
          <cell r="H858" t="str">
            <v>RT/ONCO PAED/ADOLESCENT WARD</v>
          </cell>
          <cell r="I858" t="str">
            <v>06WD153</v>
          </cell>
          <cell r="J858" t="str">
            <v>EQP.ROOM</v>
          </cell>
          <cell r="K858" t="str">
            <v>BMED</v>
          </cell>
          <cell r="L858" t="str">
            <v>Normal</v>
          </cell>
          <cell r="M858" t="str">
            <v>Germany</v>
          </cell>
          <cell r="N858" t="str">
            <v>Pari Boy</v>
          </cell>
          <cell r="O858" t="str">
            <v>Pari Boy SX 085</v>
          </cell>
          <cell r="P858" t="str">
            <v>2W12F13822</v>
          </cell>
          <cell r="Q858" t="str">
            <v>Not Applicable</v>
          </cell>
          <cell r="R858" t="str">
            <v>Pari GmbH</v>
          </cell>
          <cell r="S858" t="str">
            <v>Welch Allyn Malaysia Sdn Bhd</v>
          </cell>
          <cell r="T858" t="str">
            <v>Functioning</v>
          </cell>
          <cell r="U858" t="str">
            <v>Asset</v>
          </cell>
          <cell r="V858">
            <v>1140</v>
          </cell>
          <cell r="W858" t="str">
            <v>KEW</v>
          </cell>
          <cell r="X858" t="str">
            <v>01/09/2010</v>
          </cell>
          <cell r="Y858" t="str">
            <v>KEW</v>
          </cell>
          <cell r="Z858" t="str">
            <v>16/08/2013</v>
          </cell>
          <cell r="AA858" t="str">
            <v>15/08/2015</v>
          </cell>
          <cell r="AB858" t="str">
            <v>No</v>
          </cell>
          <cell r="AC858" t="str">
            <v>31/08/2013</v>
          </cell>
          <cell r="AD858" t="str">
            <v>Good</v>
          </cell>
          <cell r="AE858" t="str">
            <v>V1 - Existing / No Claim</v>
          </cell>
          <cell r="AF858">
            <v>42235</v>
          </cell>
          <cell r="AG858">
            <v>9.17</v>
          </cell>
          <cell r="AH858" t="str">
            <v>PPM</v>
          </cell>
          <cell r="AI858" t="str">
            <v>Strands</v>
          </cell>
          <cell r="AJ858" t="str">
            <v>Strands PW</v>
          </cell>
        </row>
        <row r="859">
          <cell r="A859" t="str">
            <v>IKN400403</v>
          </cell>
          <cell r="B859">
            <v>403</v>
          </cell>
          <cell r="C859" t="str">
            <v>Institut Kanser Negara</v>
          </cell>
          <cell r="D859" t="str">
            <v>KKM/IKN/H/13/2169</v>
          </cell>
          <cell r="E859" t="str">
            <v>16-173</v>
          </cell>
          <cell r="F859" t="str">
            <v>Sphygmomanometers, Electronic, Automatic</v>
          </cell>
          <cell r="G859" t="str">
            <v>WD</v>
          </cell>
          <cell r="H859" t="str">
            <v>RT/ONCO PAED/ADOLESCENT WARD</v>
          </cell>
          <cell r="I859" t="str">
            <v>06WD146</v>
          </cell>
          <cell r="J859" t="str">
            <v>NURSE STATION</v>
          </cell>
          <cell r="K859" t="str">
            <v>BMED</v>
          </cell>
          <cell r="L859" t="str">
            <v>Normal</v>
          </cell>
          <cell r="M859" t="str">
            <v>USA</v>
          </cell>
          <cell r="N859" t="str">
            <v>Connex</v>
          </cell>
          <cell r="O859" t="str">
            <v>Connex ProBP 3400</v>
          </cell>
          <cell r="P859" t="str">
            <v>100001420613</v>
          </cell>
          <cell r="Q859" t="str">
            <v>Not Applicable</v>
          </cell>
          <cell r="R859" t="str">
            <v>Welch Allyn Inc</v>
          </cell>
          <cell r="S859" t="str">
            <v>Welch Allyn Malaysia Sdn Bhd</v>
          </cell>
          <cell r="T859" t="str">
            <v>Functioning</v>
          </cell>
          <cell r="U859" t="str">
            <v>Asset</v>
          </cell>
          <cell r="V859">
            <v>4510</v>
          </cell>
          <cell r="W859" t="str">
            <v>KEW</v>
          </cell>
          <cell r="X859" t="str">
            <v>01/09/2010</v>
          </cell>
          <cell r="Y859" t="str">
            <v>KEW</v>
          </cell>
          <cell r="Z859" t="str">
            <v>16/08/2013</v>
          </cell>
          <cell r="AA859" t="str">
            <v>15/08/2015</v>
          </cell>
          <cell r="AB859" t="str">
            <v>No</v>
          </cell>
          <cell r="AC859" t="str">
            <v>31/08/2013</v>
          </cell>
          <cell r="AD859" t="str">
            <v>Good</v>
          </cell>
          <cell r="AE859" t="str">
            <v>V1 - Existing / No Claim</v>
          </cell>
          <cell r="AF859">
            <v>42235</v>
          </cell>
          <cell r="AG859">
            <v>9.17</v>
          </cell>
          <cell r="AH859" t="str">
            <v>PPM</v>
          </cell>
          <cell r="AI859" t="str">
            <v>Strands</v>
          </cell>
          <cell r="AJ859" t="str">
            <v>Strands PW</v>
          </cell>
        </row>
        <row r="860">
          <cell r="A860" t="str">
            <v>IKN400404</v>
          </cell>
          <cell r="B860">
            <v>404</v>
          </cell>
          <cell r="C860" t="str">
            <v>Institut Kanser Negara</v>
          </cell>
          <cell r="D860" t="str">
            <v>KKM/IKN/H/13/2170</v>
          </cell>
          <cell r="E860" t="str">
            <v>16-173</v>
          </cell>
          <cell r="F860" t="str">
            <v>Sphygmomanometers, Electronic, Automatic</v>
          </cell>
          <cell r="G860" t="str">
            <v>WD</v>
          </cell>
          <cell r="H860" t="str">
            <v>RT/ONCO PAED/ADOLESCENT WARD</v>
          </cell>
          <cell r="I860" t="str">
            <v>06WD146</v>
          </cell>
          <cell r="J860" t="str">
            <v>NURSE STATION</v>
          </cell>
          <cell r="K860" t="str">
            <v>BMED</v>
          </cell>
          <cell r="L860" t="str">
            <v>Critical</v>
          </cell>
          <cell r="M860" t="str">
            <v>USA</v>
          </cell>
          <cell r="N860" t="str">
            <v>Welch Allyn</v>
          </cell>
          <cell r="O860" t="str">
            <v>Connex ProBP 3400</v>
          </cell>
          <cell r="P860" t="str">
            <v>100001660613</v>
          </cell>
          <cell r="Q860" t="str">
            <v>Not Applicable</v>
          </cell>
          <cell r="R860" t="str">
            <v>Welch Allyn Inc</v>
          </cell>
          <cell r="S860" t="str">
            <v>Welch Allyn Malaysia Sdn Bhd</v>
          </cell>
          <cell r="T860" t="str">
            <v>Functioning</v>
          </cell>
          <cell r="U860" t="str">
            <v>Asset</v>
          </cell>
          <cell r="V860">
            <v>4510</v>
          </cell>
          <cell r="W860" t="str">
            <v>KEW</v>
          </cell>
          <cell r="X860" t="str">
            <v>01/09/2010</v>
          </cell>
          <cell r="Y860" t="str">
            <v>KEW</v>
          </cell>
          <cell r="Z860" t="str">
            <v>16/08/2013</v>
          </cell>
          <cell r="AA860" t="str">
            <v>15/08/2015</v>
          </cell>
          <cell r="AB860" t="str">
            <v>No</v>
          </cell>
          <cell r="AC860" t="str">
            <v>31/08/2013</v>
          </cell>
          <cell r="AD860" t="str">
            <v>Good</v>
          </cell>
          <cell r="AE860" t="str">
            <v>V1 - Existing / No Claim</v>
          </cell>
          <cell r="AF860">
            <v>42787</v>
          </cell>
          <cell r="AG860">
            <v>9.17</v>
          </cell>
          <cell r="AH860" t="str">
            <v>PPM</v>
          </cell>
          <cell r="AI860" t="str">
            <v>Strands</v>
          </cell>
          <cell r="AJ860" t="str">
            <v>Strands PW</v>
          </cell>
        </row>
        <row r="861">
          <cell r="A861" t="str">
            <v>IKN400405</v>
          </cell>
          <cell r="B861">
            <v>405</v>
          </cell>
          <cell r="C861" t="str">
            <v>Institut Kanser Negara</v>
          </cell>
          <cell r="D861" t="str">
            <v>KKM/IKN/H/13/2158</v>
          </cell>
          <cell r="E861" t="str">
            <v>18-147</v>
          </cell>
          <cell r="F861" t="str">
            <v>Mattress Systems, Alternating-Pressure</v>
          </cell>
          <cell r="G861" t="str">
            <v>WD</v>
          </cell>
          <cell r="H861" t="str">
            <v>RT/ONCO PAED/ADOLESCENT WARD</v>
          </cell>
          <cell r="I861" t="str">
            <v>06WD153</v>
          </cell>
          <cell r="J861" t="str">
            <v>EQP.ROOM</v>
          </cell>
          <cell r="K861" t="str">
            <v>BMED</v>
          </cell>
          <cell r="L861" t="str">
            <v>Normal</v>
          </cell>
          <cell r="M861" t="str">
            <v>Poland</v>
          </cell>
          <cell r="N861" t="str">
            <v>Nimbus</v>
          </cell>
          <cell r="O861" t="str">
            <v>Nimbus 3</v>
          </cell>
          <cell r="P861" t="str">
            <v>1200006457</v>
          </cell>
          <cell r="Q861" t="str">
            <v>Not Applicable</v>
          </cell>
          <cell r="R861" t="str">
            <v>Arjohuntleigh</v>
          </cell>
          <cell r="S861" t="str">
            <v>Hexamine Sdn. Bhd.</v>
          </cell>
          <cell r="T861" t="str">
            <v>Functioning</v>
          </cell>
          <cell r="U861" t="str">
            <v>Asset</v>
          </cell>
          <cell r="V861">
            <v>28630</v>
          </cell>
          <cell r="W861" t="str">
            <v>KEW</v>
          </cell>
          <cell r="X861" t="str">
            <v>01/09/2010</v>
          </cell>
          <cell r="Y861" t="str">
            <v>KEW</v>
          </cell>
          <cell r="Z861" t="str">
            <v>16/08/2013</v>
          </cell>
          <cell r="AA861" t="str">
            <v>15/08/2015</v>
          </cell>
          <cell r="AB861" t="str">
            <v>No</v>
          </cell>
          <cell r="AC861" t="str">
            <v>31/08/2013</v>
          </cell>
          <cell r="AD861" t="str">
            <v>Good</v>
          </cell>
          <cell r="AE861" t="str">
            <v>V3 - Added Installed Facilities (New)</v>
          </cell>
          <cell r="AF861">
            <v>42235</v>
          </cell>
          <cell r="AG861">
            <v>9.17</v>
          </cell>
          <cell r="AH861" t="str">
            <v>PPM</v>
          </cell>
          <cell r="AI861" t="str">
            <v>Strands</v>
          </cell>
          <cell r="AJ861" t="str">
            <v>Strands PW</v>
          </cell>
          <cell r="AK861" t="str">
            <v>SNF received. 1st batch of V3 asset (December 2020)</v>
          </cell>
        </row>
        <row r="862">
          <cell r="A862" t="str">
            <v>IKN400406</v>
          </cell>
          <cell r="B862">
            <v>406</v>
          </cell>
          <cell r="C862" t="str">
            <v>Institut Kanser Negara</v>
          </cell>
          <cell r="D862" t="str">
            <v>KKM/IKN/H/13/2159</v>
          </cell>
          <cell r="E862" t="str">
            <v>18-147</v>
          </cell>
          <cell r="F862" t="str">
            <v>Mattress Systems, Alternating-Pressure</v>
          </cell>
          <cell r="G862" t="str">
            <v>WD</v>
          </cell>
          <cell r="H862" t="str">
            <v>RT/ONCO PAED/ADOLESCENT WARD</v>
          </cell>
          <cell r="I862" t="str">
            <v>06WD153</v>
          </cell>
          <cell r="J862" t="str">
            <v>EQP.ROOM</v>
          </cell>
          <cell r="K862" t="str">
            <v>BMED</v>
          </cell>
          <cell r="L862" t="str">
            <v>Normal</v>
          </cell>
          <cell r="M862" t="str">
            <v>Poland</v>
          </cell>
          <cell r="N862" t="str">
            <v>Nimbus</v>
          </cell>
          <cell r="O862" t="str">
            <v>Nimbus 3</v>
          </cell>
          <cell r="P862" t="str">
            <v>1200005115</v>
          </cell>
          <cell r="Q862" t="str">
            <v>Not Applicable</v>
          </cell>
          <cell r="R862" t="str">
            <v>Arjohuntleigh</v>
          </cell>
          <cell r="S862" t="str">
            <v>Hexamine Sdn. Bhd.</v>
          </cell>
          <cell r="T862" t="str">
            <v>Functioning</v>
          </cell>
          <cell r="U862" t="str">
            <v>Asset</v>
          </cell>
          <cell r="V862">
            <v>28630</v>
          </cell>
          <cell r="W862" t="str">
            <v>KEW</v>
          </cell>
          <cell r="X862" t="str">
            <v>01/09/2010</v>
          </cell>
          <cell r="Y862" t="str">
            <v>KEW</v>
          </cell>
          <cell r="Z862" t="str">
            <v>16/08/2013</v>
          </cell>
          <cell r="AA862" t="str">
            <v>15/08/2015</v>
          </cell>
          <cell r="AB862" t="str">
            <v>No</v>
          </cell>
          <cell r="AC862" t="str">
            <v>31/08/2013</v>
          </cell>
          <cell r="AD862" t="str">
            <v>Good</v>
          </cell>
          <cell r="AE862" t="str">
            <v>V3 - Added Installed Facilities (New)</v>
          </cell>
          <cell r="AF862">
            <v>42235</v>
          </cell>
          <cell r="AG862">
            <v>9.17</v>
          </cell>
          <cell r="AH862" t="str">
            <v>PPM</v>
          </cell>
          <cell r="AI862" t="str">
            <v>Strands</v>
          </cell>
          <cell r="AJ862" t="str">
            <v>Strands PW</v>
          </cell>
          <cell r="AK862" t="str">
            <v>SNF received. 1st batch of V3 asset (December 2020)</v>
          </cell>
        </row>
        <row r="863">
          <cell r="A863" t="str">
            <v>IKN400407</v>
          </cell>
          <cell r="B863">
            <v>407</v>
          </cell>
          <cell r="C863" t="str">
            <v>Institut Kanser Negara</v>
          </cell>
          <cell r="D863" t="str">
            <v>KKM/IKN/H/13/2160</v>
          </cell>
          <cell r="E863" t="str">
            <v>18-147</v>
          </cell>
          <cell r="F863" t="str">
            <v>Mattress Systems, Alternating-Pressure</v>
          </cell>
          <cell r="G863" t="str">
            <v>WD</v>
          </cell>
          <cell r="H863" t="str">
            <v>RT/ONCO PAED/ADOLESCENT WARD</v>
          </cell>
          <cell r="I863" t="str">
            <v>06WD153</v>
          </cell>
          <cell r="J863" t="str">
            <v>EQP.ROOM</v>
          </cell>
          <cell r="K863" t="str">
            <v>BMED</v>
          </cell>
          <cell r="L863" t="str">
            <v>Normal</v>
          </cell>
          <cell r="M863" t="str">
            <v>Poland</v>
          </cell>
          <cell r="N863" t="str">
            <v>Nimbus</v>
          </cell>
          <cell r="O863" t="str">
            <v>Nimbus 3</v>
          </cell>
          <cell r="P863" t="str">
            <v>1200006459</v>
          </cell>
          <cell r="Q863" t="str">
            <v>Not Applicable</v>
          </cell>
          <cell r="R863" t="str">
            <v>Arjohuntleigh</v>
          </cell>
          <cell r="S863" t="str">
            <v>Hexamine Sdn. Bhd.</v>
          </cell>
          <cell r="T863" t="str">
            <v>Functioning</v>
          </cell>
          <cell r="U863" t="str">
            <v>Asset</v>
          </cell>
          <cell r="V863">
            <v>28630</v>
          </cell>
          <cell r="W863" t="str">
            <v>KEW</v>
          </cell>
          <cell r="X863" t="str">
            <v>01/09/2010</v>
          </cell>
          <cell r="Y863" t="str">
            <v>KEW</v>
          </cell>
          <cell r="Z863" t="str">
            <v>16/08/2013</v>
          </cell>
          <cell r="AA863" t="str">
            <v>15/08/2015</v>
          </cell>
          <cell r="AB863" t="str">
            <v>No</v>
          </cell>
          <cell r="AC863" t="str">
            <v>31/08/2013</v>
          </cell>
          <cell r="AD863" t="str">
            <v>Good</v>
          </cell>
          <cell r="AE863" t="str">
            <v>V3 - Added Installed Facilities (New)</v>
          </cell>
          <cell r="AF863">
            <v>42235</v>
          </cell>
          <cell r="AG863">
            <v>9.17</v>
          </cell>
          <cell r="AH863" t="str">
            <v>PPM</v>
          </cell>
          <cell r="AI863" t="str">
            <v>Strands</v>
          </cell>
          <cell r="AJ863" t="str">
            <v>Strands PW</v>
          </cell>
          <cell r="AK863" t="str">
            <v>SNF received. 1st batch of V3 asset (December 2020)</v>
          </cell>
        </row>
        <row r="864">
          <cell r="A864" t="str">
            <v>IKN400408</v>
          </cell>
          <cell r="B864">
            <v>408</v>
          </cell>
          <cell r="C864" t="str">
            <v>Institut Kanser Negara</v>
          </cell>
          <cell r="D864" t="str">
            <v>KKM/IKN/H/13/2161</v>
          </cell>
          <cell r="E864" t="str">
            <v>18-147</v>
          </cell>
          <cell r="F864" t="str">
            <v>Mattress Systems, Alternating-Pressure</v>
          </cell>
          <cell r="G864" t="str">
            <v>WD</v>
          </cell>
          <cell r="H864" t="str">
            <v>RT/ONCO PAED/ADOLESCENT WARD</v>
          </cell>
          <cell r="I864" t="str">
            <v>06WD153</v>
          </cell>
          <cell r="J864" t="str">
            <v>EQP.ROOM</v>
          </cell>
          <cell r="K864" t="str">
            <v>BMED</v>
          </cell>
          <cell r="L864" t="str">
            <v>Normal</v>
          </cell>
          <cell r="M864" t="str">
            <v>Poland</v>
          </cell>
          <cell r="N864" t="str">
            <v>Nimbus</v>
          </cell>
          <cell r="O864" t="str">
            <v>Nimbus 3</v>
          </cell>
          <cell r="P864" t="str">
            <v>1200006470</v>
          </cell>
          <cell r="Q864" t="str">
            <v>Not Applicable</v>
          </cell>
          <cell r="R864" t="str">
            <v>Arjohuntleigh</v>
          </cell>
          <cell r="S864" t="str">
            <v>Hexamine Sdn. Bhd.</v>
          </cell>
          <cell r="T864" t="str">
            <v>Functioning</v>
          </cell>
          <cell r="U864" t="str">
            <v>Asset</v>
          </cell>
          <cell r="V864">
            <v>28630</v>
          </cell>
          <cell r="W864" t="str">
            <v>KEW</v>
          </cell>
          <cell r="X864" t="str">
            <v>01/09/2010</v>
          </cell>
          <cell r="Y864" t="str">
            <v>KEW</v>
          </cell>
          <cell r="Z864" t="str">
            <v>16/08/2013</v>
          </cell>
          <cell r="AA864" t="str">
            <v>15/08/2015</v>
          </cell>
          <cell r="AB864" t="str">
            <v>No</v>
          </cell>
          <cell r="AC864" t="str">
            <v>31/08/2013</v>
          </cell>
          <cell r="AD864" t="str">
            <v>Good</v>
          </cell>
          <cell r="AE864" t="str">
            <v>V3 - Added Installed Facilities (New)</v>
          </cell>
          <cell r="AF864">
            <v>42235</v>
          </cell>
          <cell r="AG864">
            <v>9.17</v>
          </cell>
          <cell r="AH864" t="str">
            <v>PPM</v>
          </cell>
          <cell r="AI864" t="str">
            <v>Strands</v>
          </cell>
          <cell r="AJ864" t="str">
            <v>Strands PW</v>
          </cell>
          <cell r="AK864" t="str">
            <v>SNF received. 1st batch of V3 asset (December 2020)</v>
          </cell>
        </row>
        <row r="865">
          <cell r="A865" t="str">
            <v>IKN400409</v>
          </cell>
          <cell r="B865">
            <v>409</v>
          </cell>
          <cell r="C865" t="str">
            <v>Institut Kanser Negara</v>
          </cell>
          <cell r="D865" t="str">
            <v>KKM/IKN/H/13/2162</v>
          </cell>
          <cell r="E865" t="str">
            <v>18-147</v>
          </cell>
          <cell r="F865" t="str">
            <v>Mattress Systems, Alternating-Pressure</v>
          </cell>
          <cell r="G865" t="str">
            <v>WD</v>
          </cell>
          <cell r="H865" t="str">
            <v>RT/ONCO PAED/ADOLESCENT WARD</v>
          </cell>
          <cell r="I865" t="str">
            <v>06WD153</v>
          </cell>
          <cell r="J865" t="str">
            <v>EQP.ROOM</v>
          </cell>
          <cell r="K865" t="str">
            <v>BMED</v>
          </cell>
          <cell r="L865" t="str">
            <v>Normal</v>
          </cell>
          <cell r="M865" t="str">
            <v>Poland</v>
          </cell>
          <cell r="N865" t="str">
            <v>Nimbus</v>
          </cell>
          <cell r="O865" t="str">
            <v>Nimbus 3</v>
          </cell>
          <cell r="P865" t="str">
            <v>1200005116</v>
          </cell>
          <cell r="Q865" t="str">
            <v>Not Applicable</v>
          </cell>
          <cell r="R865" t="str">
            <v>Arjohuntleigh</v>
          </cell>
          <cell r="S865" t="str">
            <v>Hexamine Sdn. Bhd.</v>
          </cell>
          <cell r="T865" t="str">
            <v>Functioning</v>
          </cell>
          <cell r="U865" t="str">
            <v>Asset</v>
          </cell>
          <cell r="V865">
            <v>28630</v>
          </cell>
          <cell r="W865" t="str">
            <v>KEW</v>
          </cell>
          <cell r="X865" t="str">
            <v>01/09/2010</v>
          </cell>
          <cell r="Y865" t="str">
            <v>KEW</v>
          </cell>
          <cell r="Z865" t="str">
            <v>16/08/2013</v>
          </cell>
          <cell r="AA865" t="str">
            <v>15/08/2015</v>
          </cell>
          <cell r="AB865" t="str">
            <v>No</v>
          </cell>
          <cell r="AC865" t="str">
            <v>31/08/2013</v>
          </cell>
          <cell r="AD865" t="str">
            <v>Good</v>
          </cell>
          <cell r="AE865" t="str">
            <v>V3 - Added Installed Facilities (New)</v>
          </cell>
          <cell r="AF865">
            <v>42235</v>
          </cell>
          <cell r="AG865">
            <v>9.17</v>
          </cell>
          <cell r="AH865" t="str">
            <v>PPM</v>
          </cell>
          <cell r="AI865" t="str">
            <v>Strands</v>
          </cell>
          <cell r="AJ865" t="str">
            <v>Strands PW</v>
          </cell>
          <cell r="AK865" t="str">
            <v>SNF received. 1st batch of V3 asset (December 2020)</v>
          </cell>
        </row>
        <row r="866">
          <cell r="A866" t="str">
            <v>IKN400410</v>
          </cell>
          <cell r="B866">
            <v>410</v>
          </cell>
          <cell r="C866" t="str">
            <v>Institut Kanser Negara</v>
          </cell>
          <cell r="D866" t="str">
            <v>KKM/IKN/H/13/2163</v>
          </cell>
          <cell r="E866" t="str">
            <v>18-147</v>
          </cell>
          <cell r="F866" t="str">
            <v>Mattress Systems, Alternating-Pressure</v>
          </cell>
          <cell r="G866" t="str">
            <v>WD</v>
          </cell>
          <cell r="H866" t="str">
            <v>RT/ONCO PAED/ADOLESCENT WARD</v>
          </cell>
          <cell r="I866" t="str">
            <v>06WD153</v>
          </cell>
          <cell r="J866" t="str">
            <v>EQP.ROOM</v>
          </cell>
          <cell r="K866" t="str">
            <v>BMED</v>
          </cell>
          <cell r="L866" t="str">
            <v>Normal</v>
          </cell>
          <cell r="M866" t="str">
            <v>Poland</v>
          </cell>
          <cell r="N866" t="str">
            <v>Nimbus</v>
          </cell>
          <cell r="O866" t="str">
            <v>Nimbus 3</v>
          </cell>
          <cell r="P866" t="str">
            <v>1200006464</v>
          </cell>
          <cell r="Q866" t="str">
            <v>Not Applicable</v>
          </cell>
          <cell r="R866" t="str">
            <v>Arjohuntleigh</v>
          </cell>
          <cell r="S866" t="str">
            <v>Hexamine Sdn. Bhd.</v>
          </cell>
          <cell r="T866" t="str">
            <v>Functioning</v>
          </cell>
          <cell r="U866" t="str">
            <v>Asset</v>
          </cell>
          <cell r="V866">
            <v>28630</v>
          </cell>
          <cell r="W866" t="str">
            <v>KEW</v>
          </cell>
          <cell r="X866" t="str">
            <v>01/09/2010</v>
          </cell>
          <cell r="Y866" t="str">
            <v>KEW</v>
          </cell>
          <cell r="Z866" t="str">
            <v>16/08/2013</v>
          </cell>
          <cell r="AA866" t="str">
            <v>15/08/2015</v>
          </cell>
          <cell r="AB866" t="str">
            <v>No</v>
          </cell>
          <cell r="AC866" t="str">
            <v>31/08/2013</v>
          </cell>
          <cell r="AD866" t="str">
            <v>Good</v>
          </cell>
          <cell r="AE866" t="str">
            <v>V3 - Added Installed Facilities (New)</v>
          </cell>
          <cell r="AF866">
            <v>42235</v>
          </cell>
          <cell r="AG866">
            <v>9.17</v>
          </cell>
          <cell r="AH866" t="str">
            <v>PPM</v>
          </cell>
          <cell r="AI866" t="str">
            <v>Strands</v>
          </cell>
          <cell r="AJ866" t="str">
            <v>Strands PW</v>
          </cell>
          <cell r="AK866" t="str">
            <v>SNF received. 1st batch of V3 asset (December 2020)</v>
          </cell>
        </row>
        <row r="867">
          <cell r="A867" t="str">
            <v>IKN400411</v>
          </cell>
          <cell r="B867">
            <v>411</v>
          </cell>
          <cell r="C867" t="str">
            <v>Institut Kanser Negara</v>
          </cell>
          <cell r="D867" t="str">
            <v>KKM/IKN/H/13/2062</v>
          </cell>
          <cell r="E867" t="str">
            <v>10-208</v>
          </cell>
          <cell r="F867" t="str">
            <v>Aspirators</v>
          </cell>
          <cell r="G867" t="str">
            <v>WD</v>
          </cell>
          <cell r="H867" t="str">
            <v>RT/ONCO PAED/ADOLESCENT WARD</v>
          </cell>
          <cell r="I867" t="str">
            <v>06WD124</v>
          </cell>
          <cell r="J867" t="str">
            <v>TREATMENT / PROCEDURE</v>
          </cell>
          <cell r="K867" t="str">
            <v>BMED</v>
          </cell>
          <cell r="L867" t="str">
            <v>Normal</v>
          </cell>
          <cell r="M867" t="str">
            <v>Switzerland</v>
          </cell>
          <cell r="N867" t="str">
            <v>Senator</v>
          </cell>
          <cell r="O867" t="str">
            <v>Senator</v>
          </cell>
          <cell r="P867" t="str">
            <v>1320190</v>
          </cell>
          <cell r="Q867" t="str">
            <v>Not Applicable</v>
          </cell>
          <cell r="R867" t="str">
            <v>Ardo Medical AG</v>
          </cell>
          <cell r="S867" t="str">
            <v>Histopoint</v>
          </cell>
          <cell r="T867" t="str">
            <v>Functioning</v>
          </cell>
          <cell r="U867" t="str">
            <v>Asset</v>
          </cell>
          <cell r="V867">
            <v>5052</v>
          </cell>
          <cell r="W867" t="str">
            <v>KEW</v>
          </cell>
          <cell r="X867" t="str">
            <v>01/09/2010</v>
          </cell>
          <cell r="Y867" t="str">
            <v>KEW</v>
          </cell>
          <cell r="Z867" t="str">
            <v>16/08/2013</v>
          </cell>
          <cell r="AA867" t="str">
            <v>15/08/2015</v>
          </cell>
          <cell r="AB867" t="str">
            <v>No</v>
          </cell>
          <cell r="AC867" t="str">
            <v>31/08/2013</v>
          </cell>
          <cell r="AD867" t="str">
            <v>Good</v>
          </cell>
          <cell r="AE867" t="str">
            <v>V1 - Existing / No Claim</v>
          </cell>
          <cell r="AF867">
            <v>42235</v>
          </cell>
          <cell r="AG867">
            <v>9.17</v>
          </cell>
          <cell r="AH867" t="str">
            <v>PPM</v>
          </cell>
          <cell r="AI867" t="str">
            <v>Strands</v>
          </cell>
          <cell r="AJ867" t="str">
            <v>Strands PW</v>
          </cell>
        </row>
        <row r="868">
          <cell r="A868" t="str">
            <v>IKN400412</v>
          </cell>
          <cell r="B868">
            <v>412</v>
          </cell>
          <cell r="C868" t="str">
            <v>Institut Kanser Negara</v>
          </cell>
          <cell r="D868" t="str">
            <v>KKM/IKN/H/13/2171</v>
          </cell>
          <cell r="E868" t="str">
            <v>10-208</v>
          </cell>
          <cell r="F868" t="str">
            <v>Aspirators</v>
          </cell>
          <cell r="G868" t="str">
            <v>WD</v>
          </cell>
          <cell r="H868" t="str">
            <v>RT/ONCO PAED/ADOLESCENT WARD</v>
          </cell>
          <cell r="I868" t="str">
            <v>06WD153</v>
          </cell>
          <cell r="J868" t="str">
            <v>EQP.ROOM</v>
          </cell>
          <cell r="K868" t="str">
            <v>BMED</v>
          </cell>
          <cell r="L868" t="str">
            <v>Normal</v>
          </cell>
          <cell r="M868" t="str">
            <v>UK</v>
          </cell>
          <cell r="N868" t="str">
            <v>SAM</v>
          </cell>
          <cell r="O868" t="str">
            <v>SAM 427</v>
          </cell>
          <cell r="P868" t="str">
            <v>0313-0532</v>
          </cell>
          <cell r="Q868" t="str">
            <v>Not Applicable</v>
          </cell>
          <cell r="R868" t="str">
            <v>MG Electric Ltd</v>
          </cell>
          <cell r="S868" t="str">
            <v>Delta Medisains</v>
          </cell>
          <cell r="T868" t="str">
            <v>Functioning</v>
          </cell>
          <cell r="U868" t="str">
            <v>Asset</v>
          </cell>
          <cell r="V868">
            <v>10705</v>
          </cell>
          <cell r="W868" t="str">
            <v>KEW</v>
          </cell>
          <cell r="X868" t="str">
            <v>01/09/2010</v>
          </cell>
          <cell r="Y868" t="str">
            <v>KEW</v>
          </cell>
          <cell r="Z868" t="str">
            <v>16/08/2013</v>
          </cell>
          <cell r="AA868" t="str">
            <v>15/08/2015</v>
          </cell>
          <cell r="AB868" t="str">
            <v>No</v>
          </cell>
          <cell r="AC868" t="str">
            <v>31/08/2013</v>
          </cell>
          <cell r="AD868" t="str">
            <v>Good</v>
          </cell>
          <cell r="AE868" t="str">
            <v>V1 - Existing / No Claim</v>
          </cell>
          <cell r="AF868">
            <v>42235</v>
          </cell>
          <cell r="AG868">
            <v>9.17</v>
          </cell>
          <cell r="AH868" t="str">
            <v>PPM</v>
          </cell>
          <cell r="AI868" t="str">
            <v>Strands</v>
          </cell>
          <cell r="AJ868" t="str">
            <v>Strands PW</v>
          </cell>
        </row>
        <row r="869">
          <cell r="A869" t="str">
            <v>IKN400413</v>
          </cell>
          <cell r="B869">
            <v>413</v>
          </cell>
          <cell r="C869" t="str">
            <v>Institut Kanser Negara</v>
          </cell>
          <cell r="D869" t="str">
            <v>KKM/IKN/H/13/2067</v>
          </cell>
          <cell r="E869" t="str">
            <v>16-173</v>
          </cell>
          <cell r="F869" t="str">
            <v>Sphygmomanometers, Electronic, Automatic</v>
          </cell>
          <cell r="G869" t="str">
            <v>WD</v>
          </cell>
          <cell r="H869" t="str">
            <v>RT/ONCO PAED/ADOLESCENT WARD</v>
          </cell>
          <cell r="I869" t="str">
            <v>06WD124</v>
          </cell>
          <cell r="J869" t="str">
            <v>TREATMENT / PROCEDURE</v>
          </cell>
          <cell r="K869" t="str">
            <v>BMED</v>
          </cell>
          <cell r="L869" t="str">
            <v>Normal</v>
          </cell>
          <cell r="M869" t="str">
            <v>Mexico</v>
          </cell>
          <cell r="N869" t="str">
            <v>Carespace</v>
          </cell>
          <cell r="O869" t="str">
            <v>Carescape V100</v>
          </cell>
          <cell r="P869" t="str">
            <v>SH612430112SA</v>
          </cell>
          <cell r="Q869" t="str">
            <v>Not Applicable</v>
          </cell>
          <cell r="R869" t="str">
            <v>GE Healthcare Systems</v>
          </cell>
          <cell r="S869" t="str">
            <v>GE Healthcare Technologies</v>
          </cell>
          <cell r="T869" t="str">
            <v>Functioning</v>
          </cell>
          <cell r="U869" t="str">
            <v>Asset</v>
          </cell>
          <cell r="V869">
            <v>7770</v>
          </cell>
          <cell r="W869" t="str">
            <v>KEW</v>
          </cell>
          <cell r="X869" t="str">
            <v>01/09/2010</v>
          </cell>
          <cell r="Y869" t="str">
            <v>KEW</v>
          </cell>
          <cell r="Z869" t="str">
            <v>16/08/2013</v>
          </cell>
          <cell r="AA869" t="str">
            <v>15/08/2015</v>
          </cell>
          <cell r="AB869" t="str">
            <v>No</v>
          </cell>
          <cell r="AC869" t="str">
            <v>31/08/2013</v>
          </cell>
          <cell r="AD869" t="str">
            <v>Good</v>
          </cell>
          <cell r="AE869" t="str">
            <v>V3 - Added Installed Facilities (New)</v>
          </cell>
          <cell r="AF869">
            <v>42235</v>
          </cell>
          <cell r="AG869">
            <v>9.17</v>
          </cell>
          <cell r="AH869" t="str">
            <v>PPM</v>
          </cell>
          <cell r="AI869" t="str">
            <v>Strands</v>
          </cell>
          <cell r="AJ869" t="str">
            <v>Strands PW</v>
          </cell>
          <cell r="AK869" t="str">
            <v>SNF received. 1st batch of V3 asset (December 2020)</v>
          </cell>
        </row>
        <row r="870">
          <cell r="A870" t="str">
            <v>IKN400414</v>
          </cell>
          <cell r="B870">
            <v>414</v>
          </cell>
          <cell r="C870" t="str">
            <v>Institut Kanser Negara</v>
          </cell>
          <cell r="D870" t="str">
            <v>KKM/IKN/H/13/2065</v>
          </cell>
          <cell r="E870" t="str">
            <v>16-231</v>
          </cell>
          <cell r="F870" t="str">
            <v>Electrocardiographs, Multichannel, Interpretative</v>
          </cell>
          <cell r="G870" t="str">
            <v>WD</v>
          </cell>
          <cell r="H870" t="str">
            <v>RT/ONCO PAED/ADOLESCENT WARD</v>
          </cell>
          <cell r="I870" t="str">
            <v>06WD124</v>
          </cell>
          <cell r="J870" t="str">
            <v>TREATMENT / PROCEDURE</v>
          </cell>
          <cell r="K870" t="str">
            <v>BMED</v>
          </cell>
          <cell r="L870" t="str">
            <v>Critical</v>
          </cell>
          <cell r="M870" t="str">
            <v>China</v>
          </cell>
          <cell r="N870" t="str">
            <v>Mac</v>
          </cell>
          <cell r="O870" t="str">
            <v>MAC 800</v>
          </cell>
          <cell r="P870" t="str">
            <v>SJ412450371 WA</v>
          </cell>
          <cell r="Q870" t="str">
            <v>Not Applicable</v>
          </cell>
          <cell r="R870" t="str">
            <v>GE Healthcare Systems</v>
          </cell>
          <cell r="S870" t="str">
            <v>GE Healthcare Technologies</v>
          </cell>
          <cell r="T870" t="str">
            <v>Functioning</v>
          </cell>
          <cell r="U870" t="str">
            <v>Asset</v>
          </cell>
          <cell r="V870">
            <v>25260</v>
          </cell>
          <cell r="W870" t="str">
            <v>KEW</v>
          </cell>
          <cell r="X870" t="str">
            <v>01/09/2010</v>
          </cell>
          <cell r="Y870" t="str">
            <v>KEW</v>
          </cell>
          <cell r="Z870" t="str">
            <v>16/08/2013</v>
          </cell>
          <cell r="AA870" t="str">
            <v>15/08/2015</v>
          </cell>
          <cell r="AB870" t="str">
            <v>No</v>
          </cell>
          <cell r="AC870" t="str">
            <v>31/08/2013</v>
          </cell>
          <cell r="AD870" t="str">
            <v>Good</v>
          </cell>
          <cell r="AE870" t="str">
            <v>V1 - Existing / No Claim</v>
          </cell>
          <cell r="AF870">
            <v>43437</v>
          </cell>
          <cell r="AG870">
            <v>9.17</v>
          </cell>
          <cell r="AH870" t="str">
            <v>PPM</v>
          </cell>
          <cell r="AI870" t="str">
            <v>Strands</v>
          </cell>
          <cell r="AJ870" t="str">
            <v>Strands PW</v>
          </cell>
        </row>
        <row r="871">
          <cell r="A871" t="str">
            <v>IKN400415</v>
          </cell>
          <cell r="B871">
            <v>415</v>
          </cell>
          <cell r="C871" t="str">
            <v>Institut Kanser Negara</v>
          </cell>
          <cell r="D871" t="str">
            <v>KKM/IKN/H/13/2063</v>
          </cell>
          <cell r="E871" t="str">
            <v>25-209</v>
          </cell>
          <cell r="F871" t="str">
            <v>Monitors, Physiologic, Vital Signs</v>
          </cell>
          <cell r="G871" t="str">
            <v>WD</v>
          </cell>
          <cell r="H871" t="str">
            <v>RT/ONCO PAED/ADOLESCENT WARD</v>
          </cell>
          <cell r="I871" t="str">
            <v>06WD124</v>
          </cell>
          <cell r="J871" t="str">
            <v>TREATMENT / PROCEDURE</v>
          </cell>
          <cell r="K871" t="str">
            <v>BMED</v>
          </cell>
          <cell r="L871" t="str">
            <v>Normal</v>
          </cell>
          <cell r="M871" t="str">
            <v>Mexico</v>
          </cell>
          <cell r="N871" t="str">
            <v>Carespace</v>
          </cell>
          <cell r="O871" t="str">
            <v>Carescape V100</v>
          </cell>
          <cell r="P871" t="str">
            <v>SH612240066SA</v>
          </cell>
          <cell r="Q871" t="str">
            <v>Not Applicable</v>
          </cell>
          <cell r="R871" t="str">
            <v>GE Healthcare Systems</v>
          </cell>
          <cell r="S871" t="str">
            <v>GE Healthcare Technologies</v>
          </cell>
          <cell r="T871" t="str">
            <v>Functioning</v>
          </cell>
          <cell r="U871" t="str">
            <v>Asset</v>
          </cell>
          <cell r="V871">
            <v>18765</v>
          </cell>
          <cell r="W871" t="str">
            <v>KEW</v>
          </cell>
          <cell r="X871" t="str">
            <v>01/09/2010</v>
          </cell>
          <cell r="Y871" t="str">
            <v>KEW</v>
          </cell>
          <cell r="Z871" t="str">
            <v>16/08/2013</v>
          </cell>
          <cell r="AA871" t="str">
            <v>15/08/2015</v>
          </cell>
          <cell r="AB871" t="str">
            <v>No</v>
          </cell>
          <cell r="AC871" t="str">
            <v>31/08/2013</v>
          </cell>
          <cell r="AD871" t="str">
            <v>Good</v>
          </cell>
          <cell r="AE871" t="str">
            <v>V1 - Existing / No Claim</v>
          </cell>
          <cell r="AF871">
            <v>42235</v>
          </cell>
          <cell r="AG871">
            <v>9.17</v>
          </cell>
          <cell r="AH871" t="str">
            <v>PPM</v>
          </cell>
          <cell r="AI871" t="str">
            <v>Strands</v>
          </cell>
          <cell r="AJ871" t="str">
            <v>Strands PW</v>
          </cell>
        </row>
        <row r="872">
          <cell r="A872" t="str">
            <v>IKN400416</v>
          </cell>
          <cell r="B872">
            <v>416</v>
          </cell>
          <cell r="C872" t="str">
            <v>Institut Kanser Negara</v>
          </cell>
          <cell r="D872" t="str">
            <v>KKM/IKN/H/13/1471</v>
          </cell>
          <cell r="E872" t="str">
            <v>13-215</v>
          </cell>
          <cell r="F872" t="str">
            <v>Infusion Pumps, General-Purpose</v>
          </cell>
          <cell r="G872" t="str">
            <v>WD</v>
          </cell>
          <cell r="H872" t="str">
            <v>RT/ONCO PAED/ADOLESCENT WARD</v>
          </cell>
          <cell r="I872" t="str">
            <v>06WD153</v>
          </cell>
          <cell r="J872" t="str">
            <v>EQP.ROOM</v>
          </cell>
          <cell r="K872" t="str">
            <v>BMED</v>
          </cell>
          <cell r="L872" t="str">
            <v>Normal</v>
          </cell>
          <cell r="M872" t="str">
            <v>Germany</v>
          </cell>
          <cell r="N872" t="str">
            <v>Infusomat</v>
          </cell>
          <cell r="O872" t="str">
            <v>Infusomat Space</v>
          </cell>
          <cell r="P872" t="str">
            <v>246585</v>
          </cell>
          <cell r="Q872" t="str">
            <v>Not Applicable</v>
          </cell>
          <cell r="R872" t="str">
            <v>B Braun Melsungen AG</v>
          </cell>
          <cell r="S872" t="str">
            <v>B Braun Medical Supplies Sdn. Bhd.</v>
          </cell>
          <cell r="T872" t="str">
            <v>Functioning</v>
          </cell>
          <cell r="U872" t="str">
            <v>Asset</v>
          </cell>
          <cell r="V872">
            <v>10825</v>
          </cell>
          <cell r="W872" t="str">
            <v>KEW</v>
          </cell>
          <cell r="X872" t="str">
            <v>01/09/2010</v>
          </cell>
          <cell r="Y872" t="str">
            <v>KEW</v>
          </cell>
          <cell r="Z872" t="str">
            <v>16/08/2013</v>
          </cell>
          <cell r="AA872" t="str">
            <v>15/08/2015</v>
          </cell>
          <cell r="AB872" t="str">
            <v>No</v>
          </cell>
          <cell r="AC872" t="str">
            <v>31/08/2013</v>
          </cell>
          <cell r="AD872" t="str">
            <v>Good</v>
          </cell>
          <cell r="AE872" t="str">
            <v>V1 - Existing / No Claim</v>
          </cell>
          <cell r="AF872">
            <v>42235</v>
          </cell>
          <cell r="AG872">
            <v>9.17</v>
          </cell>
          <cell r="AH872" t="str">
            <v>PPM</v>
          </cell>
          <cell r="AI872" t="str">
            <v>Strands</v>
          </cell>
          <cell r="AJ872" t="str">
            <v>Strands PW</v>
          </cell>
        </row>
        <row r="873">
          <cell r="A873" t="str">
            <v>IKN400417</v>
          </cell>
          <cell r="B873">
            <v>417</v>
          </cell>
          <cell r="C873" t="str">
            <v>Institut Kanser Negara</v>
          </cell>
          <cell r="D873" t="str">
            <v>KKM/IKN/H/13/1475</v>
          </cell>
          <cell r="E873" t="str">
            <v>13-215</v>
          </cell>
          <cell r="F873" t="str">
            <v>Infusion Pumps, General-Purpose</v>
          </cell>
          <cell r="G873" t="str">
            <v>WD</v>
          </cell>
          <cell r="H873" t="str">
            <v>RT/ONCO PAED/ADOLESCENT WARD</v>
          </cell>
          <cell r="I873" t="str">
            <v>06WD153</v>
          </cell>
          <cell r="J873" t="str">
            <v>EQP.ROOM</v>
          </cell>
          <cell r="K873" t="str">
            <v>BMED</v>
          </cell>
          <cell r="L873" t="str">
            <v>Normal</v>
          </cell>
          <cell r="M873" t="str">
            <v>Germany</v>
          </cell>
          <cell r="N873" t="str">
            <v>Infusomat</v>
          </cell>
          <cell r="O873" t="str">
            <v>Infusomat Space</v>
          </cell>
          <cell r="P873" t="str">
            <v>246542</v>
          </cell>
          <cell r="Q873" t="str">
            <v>Not Applicable</v>
          </cell>
          <cell r="R873" t="str">
            <v>B Braun Melsungen AG</v>
          </cell>
          <cell r="S873" t="str">
            <v>B Braun Medical Supplies Sdn. Bhd.</v>
          </cell>
          <cell r="T873" t="str">
            <v>Functioning</v>
          </cell>
          <cell r="U873" t="str">
            <v>Asset</v>
          </cell>
          <cell r="V873">
            <v>10825</v>
          </cell>
          <cell r="W873" t="str">
            <v>KEW</v>
          </cell>
          <cell r="X873" t="str">
            <v>01/09/2010</v>
          </cell>
          <cell r="Y873" t="str">
            <v>KEW</v>
          </cell>
          <cell r="Z873" t="str">
            <v>16/08/2013</v>
          </cell>
          <cell r="AA873" t="str">
            <v>15/08/2015</v>
          </cell>
          <cell r="AB873" t="str">
            <v>No</v>
          </cell>
          <cell r="AC873" t="str">
            <v>31/08/2013</v>
          </cell>
          <cell r="AD873" t="str">
            <v>Good</v>
          </cell>
          <cell r="AE873" t="str">
            <v>V1 - Existing / No Claim</v>
          </cell>
          <cell r="AF873">
            <v>42235</v>
          </cell>
          <cell r="AG873">
            <v>9.17</v>
          </cell>
          <cell r="AH873" t="str">
            <v>PPM</v>
          </cell>
          <cell r="AI873" t="str">
            <v>Strands</v>
          </cell>
          <cell r="AJ873" t="str">
            <v>Strands PW</v>
          </cell>
        </row>
        <row r="874">
          <cell r="A874" t="str">
            <v>IKN400418</v>
          </cell>
          <cell r="B874">
            <v>418</v>
          </cell>
          <cell r="C874" t="str">
            <v>Institut Kanser Negara</v>
          </cell>
          <cell r="D874" t="str">
            <v>KKM/IKN/H/13/1474</v>
          </cell>
          <cell r="E874" t="str">
            <v>13-215</v>
          </cell>
          <cell r="F874" t="str">
            <v>Infusion Pumps, General-Purpose</v>
          </cell>
          <cell r="G874" t="str">
            <v>WD</v>
          </cell>
          <cell r="H874" t="str">
            <v>RT/ONCO PAED/ADOLESCENT WARD</v>
          </cell>
          <cell r="I874" t="str">
            <v>06WD153</v>
          </cell>
          <cell r="J874" t="str">
            <v>EQP.ROOM</v>
          </cell>
          <cell r="K874" t="str">
            <v>BMED</v>
          </cell>
          <cell r="L874" t="str">
            <v>Normal</v>
          </cell>
          <cell r="M874" t="str">
            <v>Germany</v>
          </cell>
          <cell r="N874" t="str">
            <v>Infusomat</v>
          </cell>
          <cell r="O874" t="str">
            <v>Infusomat Space</v>
          </cell>
          <cell r="P874" t="str">
            <v>246582</v>
          </cell>
          <cell r="Q874" t="str">
            <v>Not Applicable</v>
          </cell>
          <cell r="R874" t="str">
            <v>B Braun Melsungen AG</v>
          </cell>
          <cell r="S874" t="str">
            <v>B Braun Medical Supplies Sdn. Bhd.</v>
          </cell>
          <cell r="T874" t="str">
            <v>Functioning</v>
          </cell>
          <cell r="U874" t="str">
            <v>Asset</v>
          </cell>
          <cell r="V874">
            <v>10825</v>
          </cell>
          <cell r="W874" t="str">
            <v>KEW</v>
          </cell>
          <cell r="X874" t="str">
            <v>01/09/2010</v>
          </cell>
          <cell r="Y874" t="str">
            <v>KEW</v>
          </cell>
          <cell r="Z874" t="str">
            <v>16/08/2013</v>
          </cell>
          <cell r="AA874" t="str">
            <v>15/08/2015</v>
          </cell>
          <cell r="AB874" t="str">
            <v>No</v>
          </cell>
          <cell r="AC874" t="str">
            <v>31/08/2013</v>
          </cell>
          <cell r="AD874" t="str">
            <v>Good</v>
          </cell>
          <cell r="AE874" t="str">
            <v>V1 - Existing / No Claim</v>
          </cell>
          <cell r="AF874">
            <v>42235</v>
          </cell>
          <cell r="AG874">
            <v>9.17</v>
          </cell>
          <cell r="AH874" t="str">
            <v>PPM</v>
          </cell>
          <cell r="AI874" t="str">
            <v>Strands</v>
          </cell>
          <cell r="AJ874" t="str">
            <v>Strands PW</v>
          </cell>
        </row>
        <row r="875">
          <cell r="A875" t="str">
            <v>IKN400419</v>
          </cell>
          <cell r="B875">
            <v>419</v>
          </cell>
          <cell r="C875" t="str">
            <v>Institut Kanser Negara</v>
          </cell>
          <cell r="D875" t="str">
            <v>KKM/IKN/H/13/1479</v>
          </cell>
          <cell r="E875" t="str">
            <v>13-215</v>
          </cell>
          <cell r="F875" t="str">
            <v>Infusion Pumps, General-Purpose</v>
          </cell>
          <cell r="G875" t="str">
            <v>WD</v>
          </cell>
          <cell r="H875" t="str">
            <v>RT/ONCO PAED/ADOLESCENT WARD</v>
          </cell>
          <cell r="I875" t="str">
            <v>06WD153</v>
          </cell>
          <cell r="J875" t="str">
            <v>EQP.ROOM</v>
          </cell>
          <cell r="K875" t="str">
            <v>BMED</v>
          </cell>
          <cell r="L875" t="str">
            <v>Normal</v>
          </cell>
          <cell r="M875" t="str">
            <v>Germany</v>
          </cell>
          <cell r="N875" t="str">
            <v>Infusomat</v>
          </cell>
          <cell r="O875" t="str">
            <v>Infusomat Space</v>
          </cell>
          <cell r="P875" t="str">
            <v>246584</v>
          </cell>
          <cell r="Q875" t="str">
            <v>Not Applicable</v>
          </cell>
          <cell r="R875" t="str">
            <v>B Braun Melsungen AG</v>
          </cell>
          <cell r="S875" t="str">
            <v>B Braun Medical Supplies Sdn. Bhd.</v>
          </cell>
          <cell r="T875" t="str">
            <v>Functioning</v>
          </cell>
          <cell r="U875" t="str">
            <v>Asset</v>
          </cell>
          <cell r="V875">
            <v>10825</v>
          </cell>
          <cell r="W875" t="str">
            <v>KEW</v>
          </cell>
          <cell r="X875" t="str">
            <v>01/09/2010</v>
          </cell>
          <cell r="Y875" t="str">
            <v>KEW</v>
          </cell>
          <cell r="Z875" t="str">
            <v>16/08/2013</v>
          </cell>
          <cell r="AA875" t="str">
            <v>15/08/2015</v>
          </cell>
          <cell r="AB875" t="str">
            <v>No</v>
          </cell>
          <cell r="AC875" t="str">
            <v>31/08/2013</v>
          </cell>
          <cell r="AD875" t="str">
            <v>Good</v>
          </cell>
          <cell r="AE875" t="str">
            <v>V1 - Existing / No Claim</v>
          </cell>
          <cell r="AF875">
            <v>42235</v>
          </cell>
          <cell r="AG875">
            <v>9.17</v>
          </cell>
          <cell r="AH875" t="str">
            <v>PPM</v>
          </cell>
          <cell r="AI875" t="str">
            <v>Strands</v>
          </cell>
          <cell r="AJ875" t="str">
            <v>Strands PW</v>
          </cell>
        </row>
        <row r="876">
          <cell r="A876" t="str">
            <v>IKN400420</v>
          </cell>
          <cell r="B876">
            <v>420</v>
          </cell>
          <cell r="C876" t="str">
            <v>Institut Kanser Negara</v>
          </cell>
          <cell r="D876" t="str">
            <v>KKM/IKN/H/13/1476</v>
          </cell>
          <cell r="E876" t="str">
            <v>13-215</v>
          </cell>
          <cell r="F876" t="str">
            <v>Infusion Pumps, General-Purpose</v>
          </cell>
          <cell r="G876" t="str">
            <v>WD</v>
          </cell>
          <cell r="H876" t="str">
            <v>RT/ONCO PAED/ADOLESCENT WARD</v>
          </cell>
          <cell r="I876" t="str">
            <v>06WD153</v>
          </cell>
          <cell r="J876" t="str">
            <v>EQP.ROOM</v>
          </cell>
          <cell r="K876" t="str">
            <v>BMED</v>
          </cell>
          <cell r="L876" t="str">
            <v>Normal</v>
          </cell>
          <cell r="M876" t="str">
            <v>Germany</v>
          </cell>
          <cell r="N876" t="str">
            <v>Infusomat</v>
          </cell>
          <cell r="O876" t="str">
            <v>Infusomat Space</v>
          </cell>
          <cell r="P876" t="str">
            <v>246583</v>
          </cell>
          <cell r="Q876" t="str">
            <v>Not Applicable</v>
          </cell>
          <cell r="R876" t="str">
            <v>B Braun Melsungen AG</v>
          </cell>
          <cell r="S876" t="str">
            <v>B Braun Medical Supplies Sdn. Bhd.</v>
          </cell>
          <cell r="T876" t="str">
            <v>Functioning</v>
          </cell>
          <cell r="U876" t="str">
            <v>Asset</v>
          </cell>
          <cell r="V876">
            <v>10825</v>
          </cell>
          <cell r="W876" t="str">
            <v>KEW</v>
          </cell>
          <cell r="X876" t="str">
            <v>01/09/2010</v>
          </cell>
          <cell r="Y876" t="str">
            <v>KEW</v>
          </cell>
          <cell r="Z876" t="str">
            <v>16/08/2013</v>
          </cell>
          <cell r="AA876" t="str">
            <v>15/08/2015</v>
          </cell>
          <cell r="AB876" t="str">
            <v>No</v>
          </cell>
          <cell r="AC876" t="str">
            <v>31/08/2013</v>
          </cell>
          <cell r="AD876" t="str">
            <v>Good</v>
          </cell>
          <cell r="AE876" t="str">
            <v>V1 - Existing / No Claim</v>
          </cell>
          <cell r="AF876">
            <v>42235</v>
          </cell>
          <cell r="AG876">
            <v>9.17</v>
          </cell>
          <cell r="AH876" t="str">
            <v>PPM</v>
          </cell>
          <cell r="AI876" t="str">
            <v>Strands</v>
          </cell>
          <cell r="AJ876" t="str">
            <v>Strands PW</v>
          </cell>
        </row>
        <row r="877">
          <cell r="A877" t="str">
            <v>IKN400421</v>
          </cell>
          <cell r="B877">
            <v>421</v>
          </cell>
          <cell r="C877" t="str">
            <v>Institut Kanser Negara</v>
          </cell>
          <cell r="D877" t="str">
            <v>KKM/IKN/H/13/1473</v>
          </cell>
          <cell r="E877" t="str">
            <v>13-215</v>
          </cell>
          <cell r="F877" t="str">
            <v>Infusion Pumps, General-Purpose</v>
          </cell>
          <cell r="G877" t="str">
            <v>WD</v>
          </cell>
          <cell r="H877" t="str">
            <v>RT/ONCO PAED/ADOLESCENT WARD</v>
          </cell>
          <cell r="I877" t="str">
            <v>06WD153</v>
          </cell>
          <cell r="J877" t="str">
            <v>EQP.ROOM</v>
          </cell>
          <cell r="K877" t="str">
            <v>BMED</v>
          </cell>
          <cell r="L877" t="str">
            <v>Normal</v>
          </cell>
          <cell r="M877" t="str">
            <v>Germany</v>
          </cell>
          <cell r="N877" t="str">
            <v>Infusomat</v>
          </cell>
          <cell r="O877" t="str">
            <v>Infusomat Space</v>
          </cell>
          <cell r="P877" t="str">
            <v>246558</v>
          </cell>
          <cell r="Q877" t="str">
            <v>Not Applicable</v>
          </cell>
          <cell r="R877" t="str">
            <v>B Braun Melsungen AG</v>
          </cell>
          <cell r="S877" t="str">
            <v>B Braun Medical Supplies Sdn. Bhd.</v>
          </cell>
          <cell r="T877" t="str">
            <v>Functioning</v>
          </cell>
          <cell r="U877" t="str">
            <v>Asset</v>
          </cell>
          <cell r="V877">
            <v>10825</v>
          </cell>
          <cell r="W877" t="str">
            <v>KEW</v>
          </cell>
          <cell r="X877" t="str">
            <v>01/09/2010</v>
          </cell>
          <cell r="Y877" t="str">
            <v>KEW</v>
          </cell>
          <cell r="Z877" t="str">
            <v>16/08/2013</v>
          </cell>
          <cell r="AA877" t="str">
            <v>15/08/2015</v>
          </cell>
          <cell r="AB877" t="str">
            <v>No</v>
          </cell>
          <cell r="AC877" t="str">
            <v>31/08/2013</v>
          </cell>
          <cell r="AD877" t="str">
            <v>Good</v>
          </cell>
          <cell r="AE877" t="str">
            <v>V1 - Existing / No Claim</v>
          </cell>
          <cell r="AF877">
            <v>42235</v>
          </cell>
          <cell r="AG877">
            <v>9.17</v>
          </cell>
          <cell r="AH877" t="str">
            <v>PPM</v>
          </cell>
          <cell r="AI877" t="str">
            <v>Strands</v>
          </cell>
          <cell r="AJ877" t="str">
            <v>Strands PW</v>
          </cell>
        </row>
        <row r="878">
          <cell r="A878" t="str">
            <v>IKN400422</v>
          </cell>
          <cell r="B878">
            <v>422</v>
          </cell>
          <cell r="C878" t="str">
            <v>Institut Kanser Negara</v>
          </cell>
          <cell r="D878" t="str">
            <v>KKM/IKN/H/13/1472</v>
          </cell>
          <cell r="E878" t="str">
            <v>13-215</v>
          </cell>
          <cell r="F878" t="str">
            <v>Infusion Pumps, General-Purpose</v>
          </cell>
          <cell r="G878" t="str">
            <v>WD</v>
          </cell>
          <cell r="H878" t="str">
            <v>RT/ONCO PAED/ADOLESCENT WARD</v>
          </cell>
          <cell r="I878" t="str">
            <v>06WD153</v>
          </cell>
          <cell r="J878" t="str">
            <v>EQP.ROOM</v>
          </cell>
          <cell r="K878" t="str">
            <v>BMED</v>
          </cell>
          <cell r="L878" t="str">
            <v>Normal</v>
          </cell>
          <cell r="M878" t="str">
            <v>Germany</v>
          </cell>
          <cell r="N878" t="str">
            <v>Infusomat</v>
          </cell>
          <cell r="O878" t="str">
            <v>Infusomat Space</v>
          </cell>
          <cell r="P878" t="str">
            <v>246565</v>
          </cell>
          <cell r="Q878" t="str">
            <v>Not Applicable</v>
          </cell>
          <cell r="R878" t="str">
            <v>B Braun Melsungen AG</v>
          </cell>
          <cell r="S878" t="str">
            <v>B Braun Medical Supplies Sdn. Bhd.</v>
          </cell>
          <cell r="T878" t="str">
            <v>Functioning</v>
          </cell>
          <cell r="U878" t="str">
            <v>Asset</v>
          </cell>
          <cell r="V878">
            <v>10825</v>
          </cell>
          <cell r="W878" t="str">
            <v>KEW</v>
          </cell>
          <cell r="X878" t="str">
            <v>01/09/2010</v>
          </cell>
          <cell r="Y878" t="str">
            <v>KEW</v>
          </cell>
          <cell r="Z878" t="str">
            <v>16/08/2013</v>
          </cell>
          <cell r="AA878" t="str">
            <v>15/08/2015</v>
          </cell>
          <cell r="AB878" t="str">
            <v>No</v>
          </cell>
          <cell r="AC878" t="str">
            <v>31/08/2013</v>
          </cell>
          <cell r="AD878" t="str">
            <v>Good</v>
          </cell>
          <cell r="AE878" t="str">
            <v>V1 - Existing / No Claim</v>
          </cell>
          <cell r="AF878">
            <v>42235</v>
          </cell>
          <cell r="AG878">
            <v>9.17</v>
          </cell>
          <cell r="AH878" t="str">
            <v>PPM</v>
          </cell>
          <cell r="AI878" t="str">
            <v>Strands</v>
          </cell>
          <cell r="AJ878" t="str">
            <v>Strands PW</v>
          </cell>
        </row>
        <row r="879">
          <cell r="A879" t="str">
            <v>IKN400423</v>
          </cell>
          <cell r="B879">
            <v>423</v>
          </cell>
          <cell r="C879" t="str">
            <v>Institut Kanser Negara</v>
          </cell>
          <cell r="D879" t="str">
            <v>KKM/IKN/H/13/1478</v>
          </cell>
          <cell r="E879" t="str">
            <v>13-215</v>
          </cell>
          <cell r="F879" t="str">
            <v>Infusion Pumps, General-Purpose</v>
          </cell>
          <cell r="G879" t="str">
            <v>WD</v>
          </cell>
          <cell r="H879" t="str">
            <v>RT/ONCO PAED/ADOLESCENT WARD</v>
          </cell>
          <cell r="I879" t="str">
            <v>06WD153</v>
          </cell>
          <cell r="J879" t="str">
            <v>EQP.ROOM</v>
          </cell>
          <cell r="K879" t="str">
            <v>BMED</v>
          </cell>
          <cell r="L879" t="str">
            <v>Normal</v>
          </cell>
          <cell r="M879" t="str">
            <v>Germany</v>
          </cell>
          <cell r="N879" t="str">
            <v>Infusomat</v>
          </cell>
          <cell r="O879" t="str">
            <v>Infusomat Space</v>
          </cell>
          <cell r="P879" t="str">
            <v>246603</v>
          </cell>
          <cell r="Q879" t="str">
            <v>Not Applicable</v>
          </cell>
          <cell r="R879" t="str">
            <v>B Braun Melsungen AG</v>
          </cell>
          <cell r="S879" t="str">
            <v>B Braun Medical Supplies Sdn. Bhd.</v>
          </cell>
          <cell r="T879" t="str">
            <v>Functioning</v>
          </cell>
          <cell r="U879" t="str">
            <v>Asset</v>
          </cell>
          <cell r="V879">
            <v>10825</v>
          </cell>
          <cell r="W879" t="str">
            <v>KEW</v>
          </cell>
          <cell r="X879" t="str">
            <v>01/09/2010</v>
          </cell>
          <cell r="Y879" t="str">
            <v>KEW</v>
          </cell>
          <cell r="Z879" t="str">
            <v>16/08/2013</v>
          </cell>
          <cell r="AA879" t="str">
            <v>15/08/2015</v>
          </cell>
          <cell r="AB879" t="str">
            <v>No</v>
          </cell>
          <cell r="AC879" t="str">
            <v>31/08/2013</v>
          </cell>
          <cell r="AD879" t="str">
            <v>Good</v>
          </cell>
          <cell r="AE879" t="str">
            <v>V1 - Existing / No Claim</v>
          </cell>
          <cell r="AF879">
            <v>42235</v>
          </cell>
          <cell r="AG879">
            <v>9.17</v>
          </cell>
          <cell r="AH879" t="str">
            <v>PPM</v>
          </cell>
          <cell r="AI879" t="str">
            <v>Strands</v>
          </cell>
          <cell r="AJ879" t="str">
            <v>Strands PW</v>
          </cell>
        </row>
        <row r="880">
          <cell r="A880" t="str">
            <v>IKN400424</v>
          </cell>
          <cell r="B880">
            <v>424</v>
          </cell>
          <cell r="C880" t="str">
            <v>Institut Kanser Negara</v>
          </cell>
          <cell r="D880" t="str">
            <v>KKM/IKN/H/13/1477</v>
          </cell>
          <cell r="E880" t="str">
            <v>13-215</v>
          </cell>
          <cell r="F880" t="str">
            <v>Infusion Pumps, General-Purpose</v>
          </cell>
          <cell r="G880" t="str">
            <v>WD</v>
          </cell>
          <cell r="H880" t="str">
            <v>RT/ONCO PAED/ADOLESCENT WARD</v>
          </cell>
          <cell r="I880" t="str">
            <v>06WD153</v>
          </cell>
          <cell r="J880" t="str">
            <v>EQP.ROOM</v>
          </cell>
          <cell r="K880" t="str">
            <v>BMED</v>
          </cell>
          <cell r="L880" t="str">
            <v>Normal</v>
          </cell>
          <cell r="M880" t="str">
            <v>Germany</v>
          </cell>
          <cell r="N880" t="str">
            <v>Infusomat</v>
          </cell>
          <cell r="O880" t="str">
            <v>Infusomat Space</v>
          </cell>
          <cell r="P880" t="str">
            <v>246520</v>
          </cell>
          <cell r="Q880" t="str">
            <v>Not Applicable</v>
          </cell>
          <cell r="R880" t="str">
            <v>B Braun Melsungen AG</v>
          </cell>
          <cell r="S880" t="str">
            <v>B Braun Medical Supplies Sdn. Bhd.</v>
          </cell>
          <cell r="T880" t="str">
            <v>Functioning</v>
          </cell>
          <cell r="U880" t="str">
            <v>Asset</v>
          </cell>
          <cell r="V880">
            <v>10825</v>
          </cell>
          <cell r="W880" t="str">
            <v>KEW</v>
          </cell>
          <cell r="X880" t="str">
            <v>01/09/2010</v>
          </cell>
          <cell r="Y880" t="str">
            <v>KEW</v>
          </cell>
          <cell r="Z880" t="str">
            <v>16/08/2013</v>
          </cell>
          <cell r="AA880" t="str">
            <v>15/08/2015</v>
          </cell>
          <cell r="AB880" t="str">
            <v>No</v>
          </cell>
          <cell r="AC880" t="str">
            <v>31/08/2013</v>
          </cell>
          <cell r="AD880" t="str">
            <v>Good</v>
          </cell>
          <cell r="AE880" t="str">
            <v>V1 - Existing / No Claim</v>
          </cell>
          <cell r="AF880">
            <v>42235</v>
          </cell>
          <cell r="AG880">
            <v>9.17</v>
          </cell>
          <cell r="AH880" t="str">
            <v>PPM</v>
          </cell>
          <cell r="AI880" t="str">
            <v>Strands</v>
          </cell>
          <cell r="AJ880" t="str">
            <v>Strands PW</v>
          </cell>
        </row>
        <row r="881">
          <cell r="A881" t="str">
            <v>IKN400425</v>
          </cell>
          <cell r="B881">
            <v>425</v>
          </cell>
          <cell r="C881" t="str">
            <v>Institut Kanser Negara</v>
          </cell>
          <cell r="D881" t="str">
            <v>KKM/IKN/H/13/1481</v>
          </cell>
          <cell r="E881" t="str">
            <v>13-217</v>
          </cell>
          <cell r="F881" t="str">
            <v>Infusion Pumps, Syringe</v>
          </cell>
          <cell r="G881" t="str">
            <v>WD</v>
          </cell>
          <cell r="H881" t="str">
            <v>RT/ONCO PAED/ADOLESCENT WARD</v>
          </cell>
          <cell r="I881" t="str">
            <v>06WD153</v>
          </cell>
          <cell r="J881" t="str">
            <v>EQP.ROOM</v>
          </cell>
          <cell r="K881" t="str">
            <v>BMED</v>
          </cell>
          <cell r="L881" t="str">
            <v>Normal</v>
          </cell>
          <cell r="M881" t="str">
            <v>Germany</v>
          </cell>
          <cell r="N881" t="str">
            <v>Perfusor</v>
          </cell>
          <cell r="O881" t="str">
            <v>Perfusor Space</v>
          </cell>
          <cell r="P881" t="str">
            <v>211428</v>
          </cell>
          <cell r="Q881" t="str">
            <v>Not Applicable</v>
          </cell>
          <cell r="R881" t="str">
            <v>B Braun Melsungen AG</v>
          </cell>
          <cell r="S881" t="str">
            <v>B Braun Medical Supplies Sdn. Bhd.</v>
          </cell>
          <cell r="T881" t="str">
            <v>Functioning</v>
          </cell>
          <cell r="U881" t="str">
            <v>Asset</v>
          </cell>
          <cell r="V881">
            <v>10225</v>
          </cell>
          <cell r="W881" t="str">
            <v>KEW</v>
          </cell>
          <cell r="X881" t="str">
            <v>01/09/2010</v>
          </cell>
          <cell r="Y881" t="str">
            <v>KEW</v>
          </cell>
          <cell r="Z881" t="str">
            <v>16/08/2013</v>
          </cell>
          <cell r="AA881" t="str">
            <v>15/08/2015</v>
          </cell>
          <cell r="AB881" t="str">
            <v>No</v>
          </cell>
          <cell r="AC881" t="str">
            <v>31/08/2013</v>
          </cell>
          <cell r="AD881" t="str">
            <v>Good</v>
          </cell>
          <cell r="AE881" t="str">
            <v>V1 - Existing / No Claim</v>
          </cell>
          <cell r="AF881">
            <v>42235</v>
          </cell>
          <cell r="AG881">
            <v>9.17</v>
          </cell>
          <cell r="AH881" t="str">
            <v>PPM</v>
          </cell>
          <cell r="AI881" t="str">
            <v>Strands</v>
          </cell>
          <cell r="AJ881" t="str">
            <v>Strands PW</v>
          </cell>
        </row>
        <row r="882">
          <cell r="A882" t="str">
            <v>IKN400426</v>
          </cell>
          <cell r="B882">
            <v>426</v>
          </cell>
          <cell r="C882" t="str">
            <v>Institut Kanser Negara</v>
          </cell>
          <cell r="D882" t="str">
            <v>KKM/IKN/H/13/1482</v>
          </cell>
          <cell r="E882" t="str">
            <v>13-217</v>
          </cell>
          <cell r="F882" t="str">
            <v>Infusion Pumps, Syringe</v>
          </cell>
          <cell r="G882" t="str">
            <v>WD</v>
          </cell>
          <cell r="H882" t="str">
            <v>RT/ONCO PAED/ADOLESCENT WARD</v>
          </cell>
          <cell r="I882" t="str">
            <v>06WD153</v>
          </cell>
          <cell r="J882" t="str">
            <v>EQP.ROOM</v>
          </cell>
          <cell r="K882" t="str">
            <v>BMED</v>
          </cell>
          <cell r="L882" t="str">
            <v>Normal</v>
          </cell>
          <cell r="M882" t="str">
            <v>Germany</v>
          </cell>
          <cell r="N882" t="str">
            <v>Perfusor</v>
          </cell>
          <cell r="O882" t="str">
            <v>Perfusor Space</v>
          </cell>
          <cell r="P882" t="str">
            <v>211422</v>
          </cell>
          <cell r="Q882" t="str">
            <v>Not Applicable</v>
          </cell>
          <cell r="R882" t="str">
            <v>B Braun Melsungen AG</v>
          </cell>
          <cell r="S882" t="str">
            <v>B Braun Medical Supplies Sdn. Bhd.</v>
          </cell>
          <cell r="T882" t="str">
            <v>Functioning</v>
          </cell>
          <cell r="U882" t="str">
            <v>Asset</v>
          </cell>
          <cell r="V882">
            <v>10825</v>
          </cell>
          <cell r="W882" t="str">
            <v>KEW</v>
          </cell>
          <cell r="X882" t="str">
            <v>01/09/2010</v>
          </cell>
          <cell r="Y882" t="str">
            <v>KEW</v>
          </cell>
          <cell r="Z882" t="str">
            <v>16/08/2013</v>
          </cell>
          <cell r="AA882" t="str">
            <v>15/08/2015</v>
          </cell>
          <cell r="AB882" t="str">
            <v>No</v>
          </cell>
          <cell r="AC882" t="str">
            <v>31/08/2013</v>
          </cell>
          <cell r="AD882" t="str">
            <v>Good</v>
          </cell>
          <cell r="AE882" t="str">
            <v>V1 - Existing / No Claim</v>
          </cell>
          <cell r="AF882">
            <v>42235</v>
          </cell>
          <cell r="AG882">
            <v>9.17</v>
          </cell>
          <cell r="AH882" t="str">
            <v>PPM</v>
          </cell>
          <cell r="AI882" t="str">
            <v>Strands</v>
          </cell>
          <cell r="AJ882" t="str">
            <v>Strands PW</v>
          </cell>
        </row>
        <row r="883">
          <cell r="A883" t="str">
            <v>IKN400427</v>
          </cell>
          <cell r="B883">
            <v>427</v>
          </cell>
          <cell r="C883" t="str">
            <v>Institut Kanser Negara</v>
          </cell>
          <cell r="D883" t="str">
            <v>KKM/IKN/H/13/1480</v>
          </cell>
          <cell r="E883" t="str">
            <v>13-215</v>
          </cell>
          <cell r="F883" t="str">
            <v>Infusion Pumps, General-Purpose</v>
          </cell>
          <cell r="G883" t="str">
            <v>WD</v>
          </cell>
          <cell r="H883" t="str">
            <v>RT/ONCO PAED/ADOLESCENT WARD</v>
          </cell>
          <cell r="I883" t="str">
            <v>06WD153</v>
          </cell>
          <cell r="J883" t="str">
            <v>EQP.ROOM</v>
          </cell>
          <cell r="K883" t="str">
            <v>BMED</v>
          </cell>
          <cell r="L883" t="str">
            <v>Normal</v>
          </cell>
          <cell r="M883" t="str">
            <v>Germany</v>
          </cell>
          <cell r="N883" t="str">
            <v>Infusomat</v>
          </cell>
          <cell r="O883" t="str">
            <v>Infusomat Space</v>
          </cell>
          <cell r="P883" t="str">
            <v>246589</v>
          </cell>
          <cell r="Q883" t="str">
            <v>Not Applicable</v>
          </cell>
          <cell r="R883" t="str">
            <v>B Braun Melsungen AG</v>
          </cell>
          <cell r="S883" t="str">
            <v>B Braun Medical Supplies Sdn. Bhd.</v>
          </cell>
          <cell r="T883" t="str">
            <v>Functioning</v>
          </cell>
          <cell r="U883" t="str">
            <v>Asset</v>
          </cell>
          <cell r="V883">
            <v>10825</v>
          </cell>
          <cell r="W883" t="str">
            <v>KEW</v>
          </cell>
          <cell r="X883" t="str">
            <v>01/09/2010</v>
          </cell>
          <cell r="Y883" t="str">
            <v>KEW</v>
          </cell>
          <cell r="Z883" t="str">
            <v>16/08/2013</v>
          </cell>
          <cell r="AA883" t="str">
            <v>15/08/2015</v>
          </cell>
          <cell r="AB883" t="str">
            <v>No</v>
          </cell>
          <cell r="AC883" t="str">
            <v>31/08/2013</v>
          </cell>
          <cell r="AD883" t="str">
            <v>Good</v>
          </cell>
          <cell r="AE883" t="str">
            <v>V1 - Existing / No Claim</v>
          </cell>
          <cell r="AF883">
            <v>42235</v>
          </cell>
          <cell r="AG883">
            <v>9.17</v>
          </cell>
          <cell r="AH883" t="str">
            <v>PPM</v>
          </cell>
          <cell r="AI883" t="str">
            <v>Strands</v>
          </cell>
          <cell r="AJ883" t="str">
            <v>Strands PW</v>
          </cell>
        </row>
        <row r="884">
          <cell r="A884" t="str">
            <v>IKN400428</v>
          </cell>
          <cell r="B884">
            <v>428</v>
          </cell>
          <cell r="C884" t="str">
            <v>Institut Kanser Negara</v>
          </cell>
          <cell r="D884" t="str">
            <v>N/A</v>
          </cell>
          <cell r="E884" t="str">
            <v>12-660</v>
          </cell>
          <cell r="F884" t="str">
            <v>Radiation Monitors</v>
          </cell>
          <cell r="G884" t="str">
            <v>NM</v>
          </cell>
          <cell r="H884" t="str">
            <v>NUCLEAR MED (DIAGNOSTIC)</v>
          </cell>
          <cell r="I884" t="str">
            <v>03NM148</v>
          </cell>
          <cell r="J884" t="str">
            <v>RADIOACTIVE WASTE (VE)</v>
          </cell>
          <cell r="K884" t="str">
            <v>BMED</v>
          </cell>
          <cell r="L884" t="str">
            <v>Normal</v>
          </cell>
          <cell r="M884" t="str">
            <v>USA</v>
          </cell>
          <cell r="N884" t="str">
            <v>Ludlum</v>
          </cell>
          <cell r="O884" t="str">
            <v>Ludlum 375P</v>
          </cell>
          <cell r="P884" t="str">
            <v>295544</v>
          </cell>
          <cell r="Q884" t="str">
            <v>Not Applicable</v>
          </cell>
          <cell r="R884" t="str">
            <v>Ludlum Measurements Inc</v>
          </cell>
          <cell r="S884" t="str">
            <v>Ludlum Measurement</v>
          </cell>
          <cell r="T884" t="str">
            <v>Functioning</v>
          </cell>
          <cell r="U884" t="str">
            <v>Asset</v>
          </cell>
          <cell r="V884">
            <v>25000</v>
          </cell>
          <cell r="W884" t="str">
            <v>Estimate</v>
          </cell>
          <cell r="X884" t="str">
            <v>01/09/2010</v>
          </cell>
          <cell r="Y884" t="str">
            <v>KEW</v>
          </cell>
          <cell r="Z884" t="str">
            <v>16/08/2013</v>
          </cell>
          <cell r="AA884" t="str">
            <v>15/08/2015</v>
          </cell>
          <cell r="AB884" t="str">
            <v>No</v>
          </cell>
          <cell r="AC884" t="str">
            <v>31/08/2013</v>
          </cell>
          <cell r="AD884" t="str">
            <v>Good</v>
          </cell>
          <cell r="AE884" t="str">
            <v>V1 - Existing / No Claim</v>
          </cell>
          <cell r="AF884">
            <v>42601</v>
          </cell>
          <cell r="AG884">
            <v>9.17</v>
          </cell>
          <cell r="AH884" t="str">
            <v>PPM</v>
          </cell>
          <cell r="AI884" t="str">
            <v>Not in contract</v>
          </cell>
        </row>
        <row r="885">
          <cell r="A885" t="str">
            <v>IKN400429</v>
          </cell>
          <cell r="B885">
            <v>429</v>
          </cell>
          <cell r="C885" t="str">
            <v>Institut Kanser Negara</v>
          </cell>
          <cell r="D885" t="str">
            <v>KKM/IKN/H/13/318</v>
          </cell>
          <cell r="E885" t="str">
            <v>15-045</v>
          </cell>
          <cell r="F885" t="str">
            <v>Nebulizers, Nonheated</v>
          </cell>
          <cell r="G885" t="str">
            <v>WC</v>
          </cell>
          <cell r="H885" t="str">
            <v>SURGICAL ONCO FEMALE WARD</v>
          </cell>
          <cell r="I885" t="str">
            <v>06WC113</v>
          </cell>
          <cell r="J885" t="str">
            <v>EQUIPMENT ROOM</v>
          </cell>
          <cell r="K885" t="str">
            <v>BMED</v>
          </cell>
          <cell r="L885" t="str">
            <v>Normal</v>
          </cell>
          <cell r="M885" t="str">
            <v>Germany</v>
          </cell>
          <cell r="N885" t="str">
            <v>Pari Boy</v>
          </cell>
          <cell r="O885" t="str">
            <v>Pari Boy SX 085</v>
          </cell>
          <cell r="P885" t="str">
            <v>2W12F13828</v>
          </cell>
          <cell r="Q885" t="str">
            <v>Not Applicable</v>
          </cell>
          <cell r="R885" t="str">
            <v>Pari GmbH</v>
          </cell>
          <cell r="S885" t="str">
            <v>Welch Allyn Malaysia Sdn Bhd</v>
          </cell>
          <cell r="T885" t="str">
            <v>Functioning</v>
          </cell>
          <cell r="U885" t="str">
            <v>Asset</v>
          </cell>
          <cell r="V885">
            <v>1140</v>
          </cell>
          <cell r="W885" t="str">
            <v>KEW</v>
          </cell>
          <cell r="X885" t="str">
            <v>01/09/2010</v>
          </cell>
          <cell r="Y885" t="str">
            <v>KEW</v>
          </cell>
          <cell r="Z885" t="str">
            <v>16/08/2013</v>
          </cell>
          <cell r="AA885" t="str">
            <v>15/08/2015</v>
          </cell>
          <cell r="AB885" t="str">
            <v>No</v>
          </cell>
          <cell r="AC885" t="str">
            <v>31/08/2013</v>
          </cell>
          <cell r="AD885" t="str">
            <v>Good</v>
          </cell>
          <cell r="AE885" t="str">
            <v>V1 - Existing / No Claim</v>
          </cell>
          <cell r="AF885">
            <v>42235</v>
          </cell>
          <cell r="AG885">
            <v>9.17</v>
          </cell>
          <cell r="AH885" t="str">
            <v>PPM</v>
          </cell>
          <cell r="AI885" t="str">
            <v>Strands</v>
          </cell>
          <cell r="AJ885" t="str">
            <v>Strands PW</v>
          </cell>
        </row>
        <row r="886">
          <cell r="A886" t="str">
            <v>IKN400430</v>
          </cell>
          <cell r="B886">
            <v>430</v>
          </cell>
          <cell r="C886" t="str">
            <v>Institut Kanser Negara</v>
          </cell>
          <cell r="D886" t="str">
            <v>KKM/IKN/H/13/1270</v>
          </cell>
          <cell r="E886" t="str">
            <v>10-447</v>
          </cell>
          <cell r="F886" t="str">
            <v>Warming Units, Blood/Solution</v>
          </cell>
          <cell r="G886" t="str">
            <v>WC</v>
          </cell>
          <cell r="H886" t="str">
            <v>SURGICAL ONCO FEMALE WARD</v>
          </cell>
          <cell r="I886" t="str">
            <v>06WC113</v>
          </cell>
          <cell r="J886" t="str">
            <v>EQUIPMENT ROOM</v>
          </cell>
          <cell r="K886" t="str">
            <v>BMED</v>
          </cell>
          <cell r="L886" t="str">
            <v>Normal</v>
          </cell>
          <cell r="M886" t="str">
            <v>Japan</v>
          </cell>
          <cell r="N886" t="str">
            <v>Animec</v>
          </cell>
          <cell r="O886" t="str">
            <v>Animec AM-301</v>
          </cell>
          <cell r="P886" t="str">
            <v>2013D0261</v>
          </cell>
          <cell r="Q886" t="str">
            <v>Not Applicable</v>
          </cell>
          <cell r="R886" t="str">
            <v>Elltec Co Ltd</v>
          </cell>
          <cell r="S886" t="str">
            <v>IDS Services (Malaysia) Sdn Bhd</v>
          </cell>
          <cell r="T886" t="str">
            <v>Functioning</v>
          </cell>
          <cell r="U886" t="str">
            <v>Asset</v>
          </cell>
          <cell r="V886">
            <v>4990</v>
          </cell>
          <cell r="W886" t="str">
            <v>KEW</v>
          </cell>
          <cell r="X886" t="str">
            <v>01/09/2010</v>
          </cell>
          <cell r="Y886" t="str">
            <v>KEW</v>
          </cell>
          <cell r="Z886" t="str">
            <v>16/08/2013</v>
          </cell>
          <cell r="AA886" t="str">
            <v>15/08/2015</v>
          </cell>
          <cell r="AB886" t="str">
            <v>No</v>
          </cell>
          <cell r="AC886" t="str">
            <v>31/08/2013</v>
          </cell>
          <cell r="AD886" t="str">
            <v>Good</v>
          </cell>
          <cell r="AE886" t="str">
            <v>V1 - Existing / No Claim</v>
          </cell>
          <cell r="AF886">
            <v>42235</v>
          </cell>
          <cell r="AG886">
            <v>9.17</v>
          </cell>
          <cell r="AH886" t="str">
            <v>PPM</v>
          </cell>
          <cell r="AI886" t="str">
            <v>Strands</v>
          </cell>
          <cell r="AJ886" t="str">
            <v>Strands PW</v>
          </cell>
        </row>
        <row r="887">
          <cell r="A887" t="str">
            <v>IKN400434</v>
          </cell>
          <cell r="B887">
            <v>434</v>
          </cell>
          <cell r="C887" t="str">
            <v>Institut Kanser Negara</v>
          </cell>
          <cell r="D887" t="str">
            <v>KKM/IKN/H/13/1352</v>
          </cell>
          <cell r="E887" t="str">
            <v>12-282</v>
          </cell>
          <cell r="F887" t="str">
            <v>Lights, Surgical</v>
          </cell>
          <cell r="G887" t="str">
            <v>WC</v>
          </cell>
          <cell r="H887" t="str">
            <v>SURGICAL ONCO FEMALE WARD</v>
          </cell>
          <cell r="I887" t="str">
            <v>06WC113</v>
          </cell>
          <cell r="J887" t="str">
            <v>EQUIPMENT ROOM</v>
          </cell>
          <cell r="K887" t="str">
            <v>BMED</v>
          </cell>
          <cell r="L887" t="str">
            <v>Normal</v>
          </cell>
          <cell r="M887" t="str">
            <v>USA</v>
          </cell>
          <cell r="N887" t="str">
            <v>Welch Allyn</v>
          </cell>
          <cell r="O887" t="str">
            <v>Welch Allyn GS600</v>
          </cell>
          <cell r="P887" t="str">
            <v>GS-600-36</v>
          </cell>
          <cell r="Q887" t="str">
            <v>Not Applicable</v>
          </cell>
          <cell r="R887" t="str">
            <v>Welch Allyn Inc</v>
          </cell>
          <cell r="S887" t="str">
            <v>Welch Allyn Malaysia Sdn Bhd</v>
          </cell>
          <cell r="T887" t="str">
            <v>Functioning</v>
          </cell>
          <cell r="U887" t="str">
            <v>Asset</v>
          </cell>
          <cell r="V887">
            <v>5050</v>
          </cell>
          <cell r="W887" t="str">
            <v>KEW</v>
          </cell>
          <cell r="X887" t="str">
            <v>01/09/2010</v>
          </cell>
          <cell r="Y887" t="str">
            <v>KEW</v>
          </cell>
          <cell r="Z887" t="str">
            <v>16/08/2013</v>
          </cell>
          <cell r="AA887" t="str">
            <v>15/08/2015</v>
          </cell>
          <cell r="AB887" t="str">
            <v>No</v>
          </cell>
          <cell r="AC887" t="str">
            <v>31/08/2013</v>
          </cell>
          <cell r="AD887" t="str">
            <v>Good</v>
          </cell>
          <cell r="AE887" t="str">
            <v>V1 - Existing / No Claim</v>
          </cell>
          <cell r="AF887">
            <v>42235</v>
          </cell>
          <cell r="AG887">
            <v>9.17</v>
          </cell>
          <cell r="AH887" t="str">
            <v>PPM</v>
          </cell>
          <cell r="AI887" t="str">
            <v>Strands</v>
          </cell>
          <cell r="AJ887" t="str">
            <v>Strands PW</v>
          </cell>
        </row>
        <row r="888">
          <cell r="A888" t="str">
            <v>IKN400435</v>
          </cell>
          <cell r="B888">
            <v>435</v>
          </cell>
          <cell r="C888" t="str">
            <v>Institut Kanser Negara</v>
          </cell>
          <cell r="D888" t="str">
            <v>KKM/IKN/H/13/1353</v>
          </cell>
          <cell r="E888" t="str">
            <v>12-282</v>
          </cell>
          <cell r="F888" t="str">
            <v>Lights, Surgical</v>
          </cell>
          <cell r="G888" t="str">
            <v>WC</v>
          </cell>
          <cell r="H888" t="str">
            <v>SURGICAL ONCO FEMALE WARD</v>
          </cell>
          <cell r="I888" t="str">
            <v>06WC113</v>
          </cell>
          <cell r="J888" t="str">
            <v>EQUIPMENT ROOM</v>
          </cell>
          <cell r="K888" t="str">
            <v>BMED</v>
          </cell>
          <cell r="L888" t="str">
            <v>Normal</v>
          </cell>
          <cell r="M888" t="str">
            <v>USA</v>
          </cell>
          <cell r="N888" t="str">
            <v>Welch Allyn</v>
          </cell>
          <cell r="O888" t="str">
            <v>Welch Allyn GS600</v>
          </cell>
          <cell r="P888" t="str">
            <v>GS-600-47</v>
          </cell>
          <cell r="Q888" t="str">
            <v>Not Applicable</v>
          </cell>
          <cell r="R888" t="str">
            <v>Welch Allyn Inc</v>
          </cell>
          <cell r="S888" t="str">
            <v>Welch Allyn Malaysia Sdn Bhd</v>
          </cell>
          <cell r="T888" t="str">
            <v>Functioning</v>
          </cell>
          <cell r="U888" t="str">
            <v>Asset</v>
          </cell>
          <cell r="V888">
            <v>5050</v>
          </cell>
          <cell r="W888" t="str">
            <v>KEW</v>
          </cell>
          <cell r="X888" t="str">
            <v>01/09/2010</v>
          </cell>
          <cell r="Y888" t="str">
            <v>KEW</v>
          </cell>
          <cell r="Z888" t="str">
            <v>16/08/2013</v>
          </cell>
          <cell r="AA888" t="str">
            <v>15/08/2015</v>
          </cell>
          <cell r="AB888" t="str">
            <v>No</v>
          </cell>
          <cell r="AC888" t="str">
            <v>31/08/2013</v>
          </cell>
          <cell r="AD888" t="str">
            <v>Good</v>
          </cell>
          <cell r="AE888" t="str">
            <v>V1 - Existing / No Claim</v>
          </cell>
          <cell r="AF888">
            <v>42235</v>
          </cell>
          <cell r="AG888">
            <v>9.17</v>
          </cell>
          <cell r="AH888" t="str">
            <v>PPM</v>
          </cell>
          <cell r="AI888" t="str">
            <v>Strands</v>
          </cell>
          <cell r="AJ888" t="str">
            <v>Strands PW</v>
          </cell>
        </row>
        <row r="889">
          <cell r="A889" t="str">
            <v>IKN400437</v>
          </cell>
          <cell r="B889">
            <v>437</v>
          </cell>
          <cell r="C889" t="str">
            <v>Institut Kanser Negara</v>
          </cell>
          <cell r="D889" t="str">
            <v>KKM/IKN/H/13/2017</v>
          </cell>
          <cell r="E889" t="str">
            <v>15-045</v>
          </cell>
          <cell r="F889" t="str">
            <v>Nebulizers, Nonheated</v>
          </cell>
          <cell r="G889" t="str">
            <v>WC</v>
          </cell>
          <cell r="H889" t="str">
            <v>SURGICAL ONCO FEMALE WARD</v>
          </cell>
          <cell r="I889" t="str">
            <v>06WC113</v>
          </cell>
          <cell r="J889" t="str">
            <v>EQUIPMENT ROOM</v>
          </cell>
          <cell r="K889" t="str">
            <v>BMED</v>
          </cell>
          <cell r="L889" t="str">
            <v>Normal</v>
          </cell>
          <cell r="M889" t="str">
            <v>Germany</v>
          </cell>
          <cell r="N889" t="str">
            <v>Pari Boy</v>
          </cell>
          <cell r="O889" t="str">
            <v>Pari Boy SX 085</v>
          </cell>
          <cell r="P889" t="str">
            <v>2W12K14141</v>
          </cell>
          <cell r="Q889" t="str">
            <v>Not Applicable</v>
          </cell>
          <cell r="R889" t="str">
            <v>Pari GmbH</v>
          </cell>
          <cell r="S889" t="str">
            <v>Welch Allyn Malaysia Sdn Bhd</v>
          </cell>
          <cell r="T889" t="str">
            <v>Functioning</v>
          </cell>
          <cell r="U889" t="str">
            <v>Asset</v>
          </cell>
          <cell r="V889">
            <v>1140</v>
          </cell>
          <cell r="W889" t="str">
            <v>KEW</v>
          </cell>
          <cell r="X889" t="str">
            <v>01/09/2010</v>
          </cell>
          <cell r="Y889" t="str">
            <v>KEW</v>
          </cell>
          <cell r="Z889" t="str">
            <v>16/08/2013</v>
          </cell>
          <cell r="AA889" t="str">
            <v>15/08/2015</v>
          </cell>
          <cell r="AB889" t="str">
            <v>No</v>
          </cell>
          <cell r="AC889" t="str">
            <v>31/08/2013</v>
          </cell>
          <cell r="AD889" t="str">
            <v>Good</v>
          </cell>
          <cell r="AE889" t="str">
            <v>V1 - Existing / No Claim</v>
          </cell>
          <cell r="AF889">
            <v>42235</v>
          </cell>
          <cell r="AG889">
            <v>9.17</v>
          </cell>
          <cell r="AH889" t="str">
            <v>PPM</v>
          </cell>
          <cell r="AI889" t="str">
            <v>Strands</v>
          </cell>
          <cell r="AJ889" t="str">
            <v>Strands PW</v>
          </cell>
        </row>
        <row r="890">
          <cell r="A890" t="str">
            <v>IKN400438</v>
          </cell>
          <cell r="B890">
            <v>438</v>
          </cell>
          <cell r="C890" t="str">
            <v>Institut Kanser Negara</v>
          </cell>
          <cell r="D890" t="str">
            <v>KKM/IKN/H/13/319</v>
          </cell>
          <cell r="E890" t="str">
            <v>15-045</v>
          </cell>
          <cell r="F890" t="str">
            <v>Nebulizers, Nonheated</v>
          </cell>
          <cell r="G890" t="str">
            <v>WC</v>
          </cell>
          <cell r="H890" t="str">
            <v>SURGICAL ONCO FEMALE WARD</v>
          </cell>
          <cell r="I890" t="str">
            <v>06WC113</v>
          </cell>
          <cell r="J890" t="str">
            <v>EQUIPMENT ROOM</v>
          </cell>
          <cell r="K890" t="str">
            <v>BMED</v>
          </cell>
          <cell r="L890" t="str">
            <v>Normal</v>
          </cell>
          <cell r="M890" t="str">
            <v>Germany</v>
          </cell>
          <cell r="N890" t="str">
            <v>Pari Boy</v>
          </cell>
          <cell r="O890" t="str">
            <v>Pari Boy SX 085</v>
          </cell>
          <cell r="P890" t="str">
            <v>2W12J05853</v>
          </cell>
          <cell r="Q890" t="str">
            <v>Not Applicable</v>
          </cell>
          <cell r="R890" t="str">
            <v>Pari GmbH</v>
          </cell>
          <cell r="S890" t="str">
            <v>Welch Allyn Malaysia Sdn Bhd</v>
          </cell>
          <cell r="T890" t="str">
            <v>Functioning</v>
          </cell>
          <cell r="U890" t="str">
            <v>Asset</v>
          </cell>
          <cell r="V890">
            <v>1140</v>
          </cell>
          <cell r="W890" t="str">
            <v>KEW</v>
          </cell>
          <cell r="X890" t="str">
            <v>01/09/2010</v>
          </cell>
          <cell r="Y890" t="str">
            <v>KEW</v>
          </cell>
          <cell r="Z890" t="str">
            <v>16/08/2013</v>
          </cell>
          <cell r="AA890" t="str">
            <v>15/08/2015</v>
          </cell>
          <cell r="AB890" t="str">
            <v>No</v>
          </cell>
          <cell r="AC890" t="str">
            <v>31/08/2013</v>
          </cell>
          <cell r="AD890" t="str">
            <v>Good</v>
          </cell>
          <cell r="AE890" t="str">
            <v>V1 - Existing / No Claim</v>
          </cell>
          <cell r="AF890">
            <v>42235</v>
          </cell>
          <cell r="AG890">
            <v>9.17</v>
          </cell>
          <cell r="AH890" t="str">
            <v>PPM</v>
          </cell>
          <cell r="AI890" t="str">
            <v>Strands</v>
          </cell>
          <cell r="AJ890" t="str">
            <v>Strands PW</v>
          </cell>
        </row>
        <row r="891">
          <cell r="A891" t="str">
            <v>IKN400439</v>
          </cell>
          <cell r="B891">
            <v>439</v>
          </cell>
          <cell r="C891" t="str">
            <v>Institut Kanser Negara</v>
          </cell>
          <cell r="D891" t="str">
            <v>KKM/IKN/H/13/1328</v>
          </cell>
          <cell r="E891" t="str">
            <v>16-173</v>
          </cell>
          <cell r="F891" t="str">
            <v>Sphygmomanometers, Electronic, Automatic</v>
          </cell>
          <cell r="G891" t="str">
            <v>WC</v>
          </cell>
          <cell r="H891" t="str">
            <v>SURGICAL ONCO FEMALE WARD</v>
          </cell>
          <cell r="I891" t="str">
            <v>06WC143</v>
          </cell>
          <cell r="J891" t="str">
            <v>NURSE STATION</v>
          </cell>
          <cell r="K891" t="str">
            <v>BMED</v>
          </cell>
          <cell r="L891" t="str">
            <v>Normal</v>
          </cell>
          <cell r="M891" t="str">
            <v>USA</v>
          </cell>
          <cell r="N891" t="str">
            <v>Connex</v>
          </cell>
          <cell r="O891" t="str">
            <v>Connex ProBP 3400</v>
          </cell>
          <cell r="P891" t="str">
            <v>100001550613</v>
          </cell>
          <cell r="Q891" t="str">
            <v>Not Applicable</v>
          </cell>
          <cell r="R891" t="str">
            <v>Welch Allyn Inc</v>
          </cell>
          <cell r="S891" t="str">
            <v>Welch Allyn Malaysia Sdn Bhd</v>
          </cell>
          <cell r="T891" t="str">
            <v>Functioning</v>
          </cell>
          <cell r="U891" t="str">
            <v>Asset</v>
          </cell>
          <cell r="V891">
            <v>4510</v>
          </cell>
          <cell r="W891" t="str">
            <v>KEW</v>
          </cell>
          <cell r="X891" t="str">
            <v>01/09/2010</v>
          </cell>
          <cell r="Y891" t="str">
            <v>KEW</v>
          </cell>
          <cell r="Z891" t="str">
            <v>16/08/2013</v>
          </cell>
          <cell r="AA891" t="str">
            <v>15/08/2015</v>
          </cell>
          <cell r="AB891" t="str">
            <v>No</v>
          </cell>
          <cell r="AC891" t="str">
            <v>31/08/2013</v>
          </cell>
          <cell r="AD891" t="str">
            <v>Good</v>
          </cell>
          <cell r="AE891" t="str">
            <v>V1 - Existing / No Claim</v>
          </cell>
          <cell r="AF891">
            <v>42235</v>
          </cell>
          <cell r="AG891">
            <v>9.17</v>
          </cell>
          <cell r="AH891" t="str">
            <v>PPM</v>
          </cell>
          <cell r="AI891" t="str">
            <v>Strands</v>
          </cell>
          <cell r="AJ891" t="str">
            <v>Strands PW</v>
          </cell>
        </row>
        <row r="892">
          <cell r="A892" t="str">
            <v>IKN400440</v>
          </cell>
          <cell r="B892">
            <v>440</v>
          </cell>
          <cell r="C892" t="str">
            <v>Institut Kanser Negara</v>
          </cell>
          <cell r="D892" t="str">
            <v>KKM/IKN/H/13/1332</v>
          </cell>
          <cell r="E892" t="str">
            <v>16-173</v>
          </cell>
          <cell r="F892" t="str">
            <v>Sphygmomanometers, Electronic, Automatic</v>
          </cell>
          <cell r="G892" t="str">
            <v>WC</v>
          </cell>
          <cell r="H892" t="str">
            <v>SURGICAL ONCO FEMALE WARD</v>
          </cell>
          <cell r="I892" t="str">
            <v>06WC143</v>
          </cell>
          <cell r="J892" t="str">
            <v>NURSE STATION</v>
          </cell>
          <cell r="K892" t="str">
            <v>BMED</v>
          </cell>
          <cell r="L892" t="str">
            <v>Normal</v>
          </cell>
          <cell r="M892" t="str">
            <v>USA</v>
          </cell>
          <cell r="N892" t="str">
            <v>Connex</v>
          </cell>
          <cell r="O892" t="str">
            <v>Connex ProBP 3400</v>
          </cell>
          <cell r="P892" t="str">
            <v>100001570613</v>
          </cell>
          <cell r="Q892" t="str">
            <v>Not Applicable</v>
          </cell>
          <cell r="R892" t="str">
            <v>Welch Allyn Inc</v>
          </cell>
          <cell r="S892" t="str">
            <v>Welch Allyn Malaysia Sdn Bhd</v>
          </cell>
          <cell r="T892" t="str">
            <v>Functioning</v>
          </cell>
          <cell r="U892" t="str">
            <v>Asset</v>
          </cell>
          <cell r="V892">
            <v>4510</v>
          </cell>
          <cell r="W892" t="str">
            <v>KEW</v>
          </cell>
          <cell r="X892" t="str">
            <v>01/09/2010</v>
          </cell>
          <cell r="Y892" t="str">
            <v>KEW</v>
          </cell>
          <cell r="Z892" t="str">
            <v>16/08/2013</v>
          </cell>
          <cell r="AA892" t="str">
            <v>15/08/2015</v>
          </cell>
          <cell r="AB892" t="str">
            <v>No</v>
          </cell>
          <cell r="AC892" t="str">
            <v>31/08/2013</v>
          </cell>
          <cell r="AD892" t="str">
            <v>Good</v>
          </cell>
          <cell r="AE892" t="str">
            <v>V1 - Existing / No Claim</v>
          </cell>
          <cell r="AF892">
            <v>42235</v>
          </cell>
          <cell r="AG892">
            <v>9.17</v>
          </cell>
          <cell r="AH892" t="str">
            <v>PPM</v>
          </cell>
          <cell r="AI892" t="str">
            <v>Strands</v>
          </cell>
          <cell r="AJ892" t="str">
            <v>Strands PW</v>
          </cell>
        </row>
        <row r="893">
          <cell r="A893" t="str">
            <v>IKN400441</v>
          </cell>
          <cell r="B893">
            <v>441</v>
          </cell>
          <cell r="C893" t="str">
            <v>Institut Kanser Negara</v>
          </cell>
          <cell r="D893" t="str">
            <v>KKM/IKN/H/13/4290</v>
          </cell>
          <cell r="E893" t="str">
            <v>10-849</v>
          </cell>
          <cell r="F893" t="str">
            <v>Circulatory Assist Units, Venous Return</v>
          </cell>
          <cell r="G893" t="str">
            <v>WC</v>
          </cell>
          <cell r="H893" t="str">
            <v>SURGICAL ONCO FEMALE WARD</v>
          </cell>
          <cell r="I893" t="str">
            <v>06WC113</v>
          </cell>
          <cell r="J893" t="str">
            <v>EQUIPMENT ROOM</v>
          </cell>
          <cell r="K893" t="str">
            <v>BMED</v>
          </cell>
          <cell r="L893" t="str">
            <v>Normal</v>
          </cell>
          <cell r="M893" t="str">
            <v>Taiwan</v>
          </cell>
          <cell r="N893" t="str">
            <v>Vena Press</v>
          </cell>
          <cell r="O893" t="str">
            <v>Vena Press IPC</v>
          </cell>
          <cell r="P893" t="str">
            <v>C820016698</v>
          </cell>
          <cell r="Q893" t="str">
            <v>Not Applicable</v>
          </cell>
          <cell r="R893" t="str">
            <v>Prius Healthcare Solution</v>
          </cell>
          <cell r="S893" t="str">
            <v>Medika Supplies</v>
          </cell>
          <cell r="T893" t="str">
            <v>Functioning</v>
          </cell>
          <cell r="U893" t="str">
            <v>Asset</v>
          </cell>
          <cell r="V893">
            <v>13470</v>
          </cell>
          <cell r="W893" t="str">
            <v>KEW</v>
          </cell>
          <cell r="X893" t="str">
            <v>01/09/2010</v>
          </cell>
          <cell r="Y893" t="str">
            <v>KEW</v>
          </cell>
          <cell r="Z893" t="str">
            <v>16/08/2013</v>
          </cell>
          <cell r="AA893" t="str">
            <v>15/08/2015</v>
          </cell>
          <cell r="AB893" t="str">
            <v>No</v>
          </cell>
          <cell r="AC893" t="str">
            <v>31/08/2013</v>
          </cell>
          <cell r="AD893" t="str">
            <v>Good</v>
          </cell>
          <cell r="AE893" t="str">
            <v>V1 - Existing / No Claim</v>
          </cell>
          <cell r="AF893">
            <v>42235</v>
          </cell>
          <cell r="AG893">
            <v>9.17</v>
          </cell>
          <cell r="AH893" t="str">
            <v>PPM</v>
          </cell>
          <cell r="AI893" t="str">
            <v>Strands</v>
          </cell>
          <cell r="AJ893" t="str">
            <v>Strands PW SET B</v>
          </cell>
          <cell r="AK893" t="str">
            <v>CUBA CHECK IKN401123 PUNYA KEWPA</v>
          </cell>
        </row>
        <row r="894">
          <cell r="A894" t="str">
            <v>IKN400442</v>
          </cell>
          <cell r="B894">
            <v>442</v>
          </cell>
          <cell r="C894" t="str">
            <v>Institut Kanser Negara</v>
          </cell>
          <cell r="D894" t="str">
            <v>KKM/IKN/H/13/1268</v>
          </cell>
          <cell r="E894" t="str">
            <v>13-217</v>
          </cell>
          <cell r="F894" t="str">
            <v>Infusion Pumps, Syringe</v>
          </cell>
          <cell r="G894" t="str">
            <v>WC</v>
          </cell>
          <cell r="H894" t="str">
            <v>SURGICAL ONCO FEMALE WARD</v>
          </cell>
          <cell r="I894" t="str">
            <v>06WC113</v>
          </cell>
          <cell r="J894" t="str">
            <v>EQUIPMENT ROOM</v>
          </cell>
          <cell r="K894" t="str">
            <v>BMED</v>
          </cell>
          <cell r="L894" t="str">
            <v>Normal</v>
          </cell>
          <cell r="M894" t="str">
            <v>Germany</v>
          </cell>
          <cell r="N894" t="str">
            <v>Perfusor</v>
          </cell>
          <cell r="O894" t="str">
            <v>Perfusor Space</v>
          </cell>
          <cell r="P894" t="str">
            <v>186586</v>
          </cell>
          <cell r="Q894" t="str">
            <v>Not Applicable</v>
          </cell>
          <cell r="R894" t="str">
            <v>B Braun Melsungen AG</v>
          </cell>
          <cell r="S894" t="str">
            <v>B Braun Medical Supplies Sdn. Bhd.</v>
          </cell>
          <cell r="T894" t="str">
            <v>Functioning</v>
          </cell>
          <cell r="U894" t="str">
            <v>Asset</v>
          </cell>
          <cell r="V894">
            <v>10225</v>
          </cell>
          <cell r="W894" t="str">
            <v>KEW</v>
          </cell>
          <cell r="X894" t="str">
            <v>01/09/2010</v>
          </cell>
          <cell r="Y894" t="str">
            <v>KEW</v>
          </cell>
          <cell r="Z894" t="str">
            <v>16/08/2013</v>
          </cell>
          <cell r="AA894" t="str">
            <v>15/08/2015</v>
          </cell>
          <cell r="AB894" t="str">
            <v>No</v>
          </cell>
          <cell r="AC894" t="str">
            <v>31/08/2013</v>
          </cell>
          <cell r="AD894" t="str">
            <v>Good</v>
          </cell>
          <cell r="AE894" t="str">
            <v>V1 - Existing / No Claim</v>
          </cell>
          <cell r="AF894">
            <v>42235</v>
          </cell>
          <cell r="AG894">
            <v>9.17</v>
          </cell>
          <cell r="AH894" t="str">
            <v>PPM</v>
          </cell>
          <cell r="AI894" t="str">
            <v>Strands</v>
          </cell>
          <cell r="AJ894" t="str">
            <v>Strands PW</v>
          </cell>
        </row>
        <row r="895">
          <cell r="A895" t="str">
            <v>IKN400443</v>
          </cell>
          <cell r="B895">
            <v>443</v>
          </cell>
          <cell r="C895" t="str">
            <v>Institut Kanser Negara</v>
          </cell>
          <cell r="D895" t="str">
            <v>KKM/IKN/H/13/1269</v>
          </cell>
          <cell r="E895" t="str">
            <v>13-217</v>
          </cell>
          <cell r="F895" t="str">
            <v>Infusion Pumps, Syringe</v>
          </cell>
          <cell r="G895" t="str">
            <v>WC</v>
          </cell>
          <cell r="H895" t="str">
            <v>SURGICAL ONCO FEMALE WARD</v>
          </cell>
          <cell r="I895" t="str">
            <v>06WC113</v>
          </cell>
          <cell r="J895" t="str">
            <v>EQUIPMENT ROOM</v>
          </cell>
          <cell r="K895" t="str">
            <v>BMED</v>
          </cell>
          <cell r="L895" t="str">
            <v>Normal</v>
          </cell>
          <cell r="M895" t="str">
            <v>Germany</v>
          </cell>
          <cell r="N895" t="str">
            <v>Perfusor</v>
          </cell>
          <cell r="O895" t="str">
            <v>Perfusor Space</v>
          </cell>
          <cell r="P895" t="str">
            <v>186974</v>
          </cell>
          <cell r="Q895" t="str">
            <v>Not Applicable</v>
          </cell>
          <cell r="R895" t="str">
            <v>B Braun Melsungen AG</v>
          </cell>
          <cell r="S895" t="str">
            <v>B Braun Medical Supplies Sdn. Bhd.</v>
          </cell>
          <cell r="T895" t="str">
            <v>Functioning</v>
          </cell>
          <cell r="U895" t="str">
            <v>Asset</v>
          </cell>
          <cell r="V895">
            <v>10225</v>
          </cell>
          <cell r="W895" t="str">
            <v>KEW</v>
          </cell>
          <cell r="X895" t="str">
            <v>01/09/2010</v>
          </cell>
          <cell r="Y895" t="str">
            <v>KEW</v>
          </cell>
          <cell r="Z895" t="str">
            <v>16/08/2013</v>
          </cell>
          <cell r="AA895" t="str">
            <v>15/08/2015</v>
          </cell>
          <cell r="AB895" t="str">
            <v>No</v>
          </cell>
          <cell r="AC895" t="str">
            <v>31/08/2013</v>
          </cell>
          <cell r="AD895" t="str">
            <v>Good</v>
          </cell>
          <cell r="AE895" t="str">
            <v>V1 - Existing / No Claim</v>
          </cell>
          <cell r="AF895">
            <v>42235</v>
          </cell>
          <cell r="AG895">
            <v>9.17</v>
          </cell>
          <cell r="AH895" t="str">
            <v>PPM</v>
          </cell>
          <cell r="AI895" t="str">
            <v>Strands</v>
          </cell>
          <cell r="AJ895" t="str">
            <v>Strands PW</v>
          </cell>
        </row>
        <row r="896">
          <cell r="A896" t="str">
            <v>IKN400444</v>
          </cell>
          <cell r="B896">
            <v>444</v>
          </cell>
          <cell r="C896" t="str">
            <v>Institut Kanser Negara</v>
          </cell>
          <cell r="D896" t="str">
            <v>KKM/IKN/H/13/4287</v>
          </cell>
          <cell r="E896" t="str">
            <v>13-217</v>
          </cell>
          <cell r="F896" t="str">
            <v>Infusion Pumps, Syringe</v>
          </cell>
          <cell r="G896" t="str">
            <v>WC</v>
          </cell>
          <cell r="H896" t="str">
            <v>SURGICAL ONCO FEMALE WARD</v>
          </cell>
          <cell r="I896" t="str">
            <v>06WC113</v>
          </cell>
          <cell r="J896" t="str">
            <v>EQUIPMENT ROOM</v>
          </cell>
          <cell r="K896" t="str">
            <v>BMED</v>
          </cell>
          <cell r="L896" t="str">
            <v>Normal</v>
          </cell>
          <cell r="M896" t="str">
            <v>Germany</v>
          </cell>
          <cell r="N896" t="str">
            <v>Perfusor</v>
          </cell>
          <cell r="O896" t="str">
            <v>Perfusor Space</v>
          </cell>
          <cell r="P896" t="str">
            <v>187009</v>
          </cell>
          <cell r="Q896" t="str">
            <v>Not Applicable</v>
          </cell>
          <cell r="R896" t="str">
            <v>B Braun Melsungen AG</v>
          </cell>
          <cell r="S896" t="str">
            <v>B Braun Medical Supplies Sdn. Bhd.</v>
          </cell>
          <cell r="T896" t="str">
            <v>Functioning</v>
          </cell>
          <cell r="U896" t="str">
            <v>Asset</v>
          </cell>
          <cell r="V896">
            <v>10225</v>
          </cell>
          <cell r="W896" t="str">
            <v>KEW</v>
          </cell>
          <cell r="X896" t="str">
            <v>01/09/2010</v>
          </cell>
          <cell r="Y896" t="str">
            <v>KEW</v>
          </cell>
          <cell r="Z896" t="str">
            <v>16/08/2013</v>
          </cell>
          <cell r="AA896" t="str">
            <v>15/08/2015</v>
          </cell>
          <cell r="AB896" t="str">
            <v>No</v>
          </cell>
          <cell r="AC896" t="str">
            <v>31/08/2013</v>
          </cell>
          <cell r="AD896" t="str">
            <v>Good</v>
          </cell>
          <cell r="AE896" t="str">
            <v>V1 - Existing / No Claim</v>
          </cell>
          <cell r="AF896">
            <v>42235</v>
          </cell>
          <cell r="AG896">
            <v>9.17</v>
          </cell>
          <cell r="AH896" t="str">
            <v>PPM</v>
          </cell>
          <cell r="AI896" t="str">
            <v>Strands</v>
          </cell>
          <cell r="AJ896" t="str">
            <v>Strands PW</v>
          </cell>
        </row>
        <row r="897">
          <cell r="A897" t="str">
            <v>IKN400445</v>
          </cell>
          <cell r="B897">
            <v>445</v>
          </cell>
          <cell r="C897" t="str">
            <v>Institut Kanser Negara</v>
          </cell>
          <cell r="D897" t="str">
            <v>KKM/IKN/H/13/4289</v>
          </cell>
          <cell r="E897" t="str">
            <v>13-217</v>
          </cell>
          <cell r="F897" t="str">
            <v>Infusion Pumps, Syringe</v>
          </cell>
          <cell r="G897" t="str">
            <v>WC</v>
          </cell>
          <cell r="H897" t="str">
            <v>SURGICAL ONCO FEMALE WARD</v>
          </cell>
          <cell r="I897" t="str">
            <v>06WC113</v>
          </cell>
          <cell r="J897" t="str">
            <v>EQUIPMENT ROOM</v>
          </cell>
          <cell r="K897" t="str">
            <v>BMED</v>
          </cell>
          <cell r="L897" t="str">
            <v>Normal</v>
          </cell>
          <cell r="M897" t="str">
            <v>Germany</v>
          </cell>
          <cell r="N897" t="str">
            <v>Perfusor</v>
          </cell>
          <cell r="O897" t="str">
            <v>Perfusor Space</v>
          </cell>
          <cell r="P897" t="str">
            <v>187037</v>
          </cell>
          <cell r="Q897" t="str">
            <v>Not Applicable</v>
          </cell>
          <cell r="R897" t="str">
            <v>B Braun Melsungen AG</v>
          </cell>
          <cell r="S897" t="str">
            <v>B Braun Medical Supplies Sdn. Bhd.</v>
          </cell>
          <cell r="T897" t="str">
            <v>Functioning</v>
          </cell>
          <cell r="U897" t="str">
            <v>Asset</v>
          </cell>
          <cell r="V897">
            <v>10225</v>
          </cell>
          <cell r="W897" t="str">
            <v>KEW</v>
          </cell>
          <cell r="X897" t="str">
            <v>01/09/2010</v>
          </cell>
          <cell r="Y897" t="str">
            <v>KEW</v>
          </cell>
          <cell r="Z897" t="str">
            <v>16/08/2013</v>
          </cell>
          <cell r="AA897" t="str">
            <v>15/08/2015</v>
          </cell>
          <cell r="AB897" t="str">
            <v>No</v>
          </cell>
          <cell r="AC897" t="str">
            <v>31/08/2013</v>
          </cell>
          <cell r="AD897" t="str">
            <v>Good</v>
          </cell>
          <cell r="AE897" t="str">
            <v>V1 - Existing / No Claim</v>
          </cell>
          <cell r="AF897">
            <v>42235</v>
          </cell>
          <cell r="AG897">
            <v>9.17</v>
          </cell>
          <cell r="AH897" t="str">
            <v>PPM</v>
          </cell>
          <cell r="AI897" t="str">
            <v>Strands</v>
          </cell>
          <cell r="AJ897" t="str">
            <v>Strands PW</v>
          </cell>
        </row>
        <row r="898">
          <cell r="A898" t="str">
            <v>IKN400446</v>
          </cell>
          <cell r="B898">
            <v>446</v>
          </cell>
          <cell r="C898" t="str">
            <v>Institut Kanser Negara</v>
          </cell>
          <cell r="D898" t="str">
            <v>KKM/IKN/H/13/1287</v>
          </cell>
          <cell r="E898" t="str">
            <v>13-215</v>
          </cell>
          <cell r="F898" t="str">
            <v>Infusion Pumps, General-Purpose</v>
          </cell>
          <cell r="G898" t="str">
            <v>WC</v>
          </cell>
          <cell r="H898" t="str">
            <v>SURGICAL ONCO FEMALE WARD</v>
          </cell>
          <cell r="I898" t="str">
            <v>06WC113</v>
          </cell>
          <cell r="J898" t="str">
            <v>EQUIPMENT ROOM</v>
          </cell>
          <cell r="K898" t="str">
            <v>BMED</v>
          </cell>
          <cell r="L898" t="str">
            <v>Normal</v>
          </cell>
          <cell r="M898" t="str">
            <v>Germany</v>
          </cell>
          <cell r="N898" t="str">
            <v>Infusomat</v>
          </cell>
          <cell r="O898" t="str">
            <v>Infusomat Space</v>
          </cell>
          <cell r="P898" t="str">
            <v>212021</v>
          </cell>
          <cell r="Q898" t="str">
            <v>Not Applicable</v>
          </cell>
          <cell r="R898" t="str">
            <v>B Braun Melsungen AG</v>
          </cell>
          <cell r="S898" t="str">
            <v>B Braun Medical Supplies Sdn. Bhd.</v>
          </cell>
          <cell r="T898" t="str">
            <v>Functioning</v>
          </cell>
          <cell r="U898" t="str">
            <v>Asset</v>
          </cell>
          <cell r="V898">
            <v>10825</v>
          </cell>
          <cell r="W898" t="str">
            <v>KEW</v>
          </cell>
          <cell r="X898" t="str">
            <v>01/09/2010</v>
          </cell>
          <cell r="Y898" t="str">
            <v>KEW</v>
          </cell>
          <cell r="Z898" t="str">
            <v>16/08/2013</v>
          </cell>
          <cell r="AA898" t="str">
            <v>15/08/2015</v>
          </cell>
          <cell r="AB898" t="str">
            <v>No</v>
          </cell>
          <cell r="AC898" t="str">
            <v>31/08/2013</v>
          </cell>
          <cell r="AD898" t="str">
            <v>Good</v>
          </cell>
          <cell r="AE898" t="str">
            <v>V1 - Existing / No Claim</v>
          </cell>
          <cell r="AF898">
            <v>42235</v>
          </cell>
          <cell r="AG898">
            <v>9.17</v>
          </cell>
          <cell r="AH898" t="str">
            <v>PPM</v>
          </cell>
          <cell r="AI898" t="str">
            <v>Strands</v>
          </cell>
          <cell r="AJ898" t="str">
            <v>Strands PW</v>
          </cell>
        </row>
        <row r="899">
          <cell r="A899" t="str">
            <v>IKN400447</v>
          </cell>
          <cell r="B899">
            <v>447</v>
          </cell>
          <cell r="C899" t="str">
            <v>Institut Kanser Negara</v>
          </cell>
          <cell r="D899" t="str">
            <v>KKM/IKN/H/13/1290</v>
          </cell>
          <cell r="E899" t="str">
            <v>13-215</v>
          </cell>
          <cell r="F899" t="str">
            <v>Infusion Pumps, General-Purpose</v>
          </cell>
          <cell r="G899" t="str">
            <v>WC</v>
          </cell>
          <cell r="H899" t="str">
            <v>SURGICAL ONCO FEMALE WARD</v>
          </cell>
          <cell r="I899" t="str">
            <v>06WC113</v>
          </cell>
          <cell r="J899" t="str">
            <v>EQUIPMENT ROOM</v>
          </cell>
          <cell r="K899" t="str">
            <v>BMED</v>
          </cell>
          <cell r="L899" t="str">
            <v>Normal</v>
          </cell>
          <cell r="M899" t="str">
            <v>Germany</v>
          </cell>
          <cell r="N899" t="str">
            <v>Infusomat</v>
          </cell>
          <cell r="O899" t="str">
            <v>Infusomat Space</v>
          </cell>
          <cell r="P899" t="str">
            <v>211869</v>
          </cell>
          <cell r="Q899" t="str">
            <v>Not Applicable</v>
          </cell>
          <cell r="R899" t="str">
            <v>B Braun Melsungen AG</v>
          </cell>
          <cell r="S899" t="str">
            <v>B Braun Medical Supplies Sdn. Bhd.</v>
          </cell>
          <cell r="T899" t="str">
            <v>Functioning</v>
          </cell>
          <cell r="U899" t="str">
            <v>Asset</v>
          </cell>
          <cell r="V899">
            <v>10825</v>
          </cell>
          <cell r="W899" t="str">
            <v>KEW</v>
          </cell>
          <cell r="X899" t="str">
            <v>01/09/2010</v>
          </cell>
          <cell r="Y899" t="str">
            <v>KEW</v>
          </cell>
          <cell r="Z899" t="str">
            <v>16/08/2013</v>
          </cell>
          <cell r="AA899" t="str">
            <v>15/08/2015</v>
          </cell>
          <cell r="AB899" t="str">
            <v>No</v>
          </cell>
          <cell r="AC899" t="str">
            <v>31/08/2013</v>
          </cell>
          <cell r="AD899" t="str">
            <v>Good</v>
          </cell>
          <cell r="AE899" t="str">
            <v>V1 - Existing / No Claim</v>
          </cell>
          <cell r="AF899">
            <v>42235</v>
          </cell>
          <cell r="AG899">
            <v>9.17</v>
          </cell>
          <cell r="AH899" t="str">
            <v>PPM</v>
          </cell>
          <cell r="AI899" t="str">
            <v>Strands</v>
          </cell>
          <cell r="AJ899" t="str">
            <v>Strands PW</v>
          </cell>
        </row>
        <row r="900">
          <cell r="A900" t="str">
            <v>IKN400448</v>
          </cell>
          <cell r="B900">
            <v>448</v>
          </cell>
          <cell r="C900" t="str">
            <v>Institut Kanser Negara</v>
          </cell>
          <cell r="D900" t="str">
            <v>KKM/IKN/H/13/1292</v>
          </cell>
          <cell r="E900" t="str">
            <v>13-215</v>
          </cell>
          <cell r="F900" t="str">
            <v>Infusion Pumps, General-Purpose</v>
          </cell>
          <cell r="G900" t="str">
            <v>WC</v>
          </cell>
          <cell r="H900" t="str">
            <v>SURGICAL ONCO FEMALE WARD</v>
          </cell>
          <cell r="I900" t="str">
            <v>06WC113</v>
          </cell>
          <cell r="J900" t="str">
            <v>EQUIPMENT ROOM</v>
          </cell>
          <cell r="K900" t="str">
            <v>BMED</v>
          </cell>
          <cell r="L900" t="str">
            <v>Normal</v>
          </cell>
          <cell r="M900" t="str">
            <v>Germany</v>
          </cell>
          <cell r="N900" t="str">
            <v>Infusomat</v>
          </cell>
          <cell r="O900" t="str">
            <v>Infusomat Space</v>
          </cell>
          <cell r="P900" t="str">
            <v>211921</v>
          </cell>
          <cell r="Q900" t="str">
            <v>Not Applicable</v>
          </cell>
          <cell r="R900" t="str">
            <v>B Braun Melsungen AG</v>
          </cell>
          <cell r="S900" t="str">
            <v>B Braun Medical Supplies Sdn. Bhd.</v>
          </cell>
          <cell r="T900" t="str">
            <v>Functioning</v>
          </cell>
          <cell r="U900" t="str">
            <v>Asset</v>
          </cell>
          <cell r="V900">
            <v>10825</v>
          </cell>
          <cell r="W900" t="str">
            <v>KEW</v>
          </cell>
          <cell r="X900" t="str">
            <v>01/09/2010</v>
          </cell>
          <cell r="Y900" t="str">
            <v>KEW</v>
          </cell>
          <cell r="Z900" t="str">
            <v>16/08/2013</v>
          </cell>
          <cell r="AA900" t="str">
            <v>15/08/2015</v>
          </cell>
          <cell r="AB900" t="str">
            <v>No</v>
          </cell>
          <cell r="AC900" t="str">
            <v>31/08/2013</v>
          </cell>
          <cell r="AD900" t="str">
            <v>Good</v>
          </cell>
          <cell r="AE900" t="str">
            <v>V1 - Existing / No Claim</v>
          </cell>
          <cell r="AF900">
            <v>42235</v>
          </cell>
          <cell r="AG900">
            <v>9.17</v>
          </cell>
          <cell r="AH900" t="str">
            <v>PPM</v>
          </cell>
          <cell r="AI900" t="str">
            <v>Strands</v>
          </cell>
          <cell r="AJ900" t="str">
            <v>Strands PW</v>
          </cell>
        </row>
        <row r="901">
          <cell r="A901" t="str">
            <v>IKN400449</v>
          </cell>
          <cell r="B901">
            <v>449</v>
          </cell>
          <cell r="C901" t="str">
            <v>Institut Kanser Negara</v>
          </cell>
          <cell r="D901" t="str">
            <v>KKM/IKN/H/13/1294</v>
          </cell>
          <cell r="E901" t="str">
            <v>13-215</v>
          </cell>
          <cell r="F901" t="str">
            <v>Infusion Pumps, General-Purpose</v>
          </cell>
          <cell r="G901" t="str">
            <v>WC</v>
          </cell>
          <cell r="H901" t="str">
            <v>SURGICAL ONCO FEMALE WARD</v>
          </cell>
          <cell r="I901" t="str">
            <v>06WC113</v>
          </cell>
          <cell r="J901" t="str">
            <v>EQUIPMENT ROOM</v>
          </cell>
          <cell r="K901" t="str">
            <v>BMED</v>
          </cell>
          <cell r="L901" t="str">
            <v>Normal</v>
          </cell>
          <cell r="M901" t="str">
            <v>Germany</v>
          </cell>
          <cell r="N901" t="str">
            <v>Infusomat</v>
          </cell>
          <cell r="O901" t="str">
            <v>Infusomat Space</v>
          </cell>
          <cell r="P901" t="str">
            <v>212004</v>
          </cell>
          <cell r="Q901" t="str">
            <v>Not Applicable</v>
          </cell>
          <cell r="R901" t="str">
            <v>B Braun Melsungen AG</v>
          </cell>
          <cell r="S901" t="str">
            <v>B Braun Medical Supplies Sdn. Bhd.</v>
          </cell>
          <cell r="T901" t="str">
            <v>Functioning</v>
          </cell>
          <cell r="U901" t="str">
            <v>Asset</v>
          </cell>
          <cell r="V901">
            <v>10825</v>
          </cell>
          <cell r="W901" t="str">
            <v>KEW</v>
          </cell>
          <cell r="X901" t="str">
            <v>01/09/2010</v>
          </cell>
          <cell r="Y901" t="str">
            <v>KEW</v>
          </cell>
          <cell r="Z901" t="str">
            <v>16/08/2013</v>
          </cell>
          <cell r="AA901" t="str">
            <v>15/08/2015</v>
          </cell>
          <cell r="AB901" t="str">
            <v>No</v>
          </cell>
          <cell r="AC901" t="str">
            <v>31/08/2013</v>
          </cell>
          <cell r="AD901" t="str">
            <v>Good</v>
          </cell>
          <cell r="AE901" t="str">
            <v>V1 - Existing / No Claim</v>
          </cell>
          <cell r="AF901">
            <v>42235</v>
          </cell>
          <cell r="AG901">
            <v>9.17</v>
          </cell>
          <cell r="AH901" t="str">
            <v>PPM</v>
          </cell>
          <cell r="AI901" t="str">
            <v>Strands</v>
          </cell>
          <cell r="AJ901" t="str">
            <v>Strands PW</v>
          </cell>
        </row>
        <row r="902">
          <cell r="A902" t="str">
            <v>IKN400450</v>
          </cell>
          <cell r="B902">
            <v>450</v>
          </cell>
          <cell r="C902" t="str">
            <v>Institut Kanser Negara</v>
          </cell>
          <cell r="D902" t="str">
            <v>KKM/IKN/H/13/4558</v>
          </cell>
          <cell r="E902" t="str">
            <v>18-147</v>
          </cell>
          <cell r="F902" t="str">
            <v>Mattress Systems, Alternating-Pressure</v>
          </cell>
          <cell r="G902" t="str">
            <v>WC</v>
          </cell>
          <cell r="H902" t="str">
            <v>SURGICAL ONCO FEMALE WARD</v>
          </cell>
          <cell r="I902" t="str">
            <v>06WC113</v>
          </cell>
          <cell r="J902" t="str">
            <v>EQUIPMENT ROOM</v>
          </cell>
          <cell r="K902" t="str">
            <v>BMED</v>
          </cell>
          <cell r="L902" t="str">
            <v>Normal</v>
          </cell>
          <cell r="M902" t="str">
            <v>Poland</v>
          </cell>
          <cell r="N902" t="str">
            <v>Nimbus</v>
          </cell>
          <cell r="O902" t="str">
            <v>Nimbus 3</v>
          </cell>
          <cell r="P902" t="str">
            <v>1200006467</v>
          </cell>
          <cell r="Q902" t="str">
            <v>Not Applicable</v>
          </cell>
          <cell r="R902" t="str">
            <v>Arjohuntleigh</v>
          </cell>
          <cell r="S902" t="str">
            <v>Hexamine Sdn. Bhd.</v>
          </cell>
          <cell r="T902" t="str">
            <v>Functioning</v>
          </cell>
          <cell r="U902" t="str">
            <v>Asset</v>
          </cell>
          <cell r="V902">
            <v>28630</v>
          </cell>
          <cell r="W902" t="str">
            <v>KEW</v>
          </cell>
          <cell r="X902" t="str">
            <v>01/09/2010</v>
          </cell>
          <cell r="Y902" t="str">
            <v>KEW</v>
          </cell>
          <cell r="Z902" t="str">
            <v>16/08/2013</v>
          </cell>
          <cell r="AA902" t="str">
            <v>15/08/2015</v>
          </cell>
          <cell r="AB902" t="str">
            <v>No</v>
          </cell>
          <cell r="AC902" t="str">
            <v>31/08/2013</v>
          </cell>
          <cell r="AD902" t="str">
            <v>Good</v>
          </cell>
          <cell r="AE902" t="str">
            <v>V1 - Existing / No Claim</v>
          </cell>
          <cell r="AF902">
            <v>42235</v>
          </cell>
          <cell r="AG902">
            <v>9.17</v>
          </cell>
          <cell r="AH902" t="str">
            <v>PPM</v>
          </cell>
          <cell r="AI902" t="str">
            <v>Strands</v>
          </cell>
          <cell r="AJ902" t="str">
            <v>Strands PW</v>
          </cell>
        </row>
        <row r="903">
          <cell r="A903" t="str">
            <v>IKN400451</v>
          </cell>
          <cell r="B903">
            <v>451</v>
          </cell>
          <cell r="C903" t="str">
            <v>Institut Kanser Negara</v>
          </cell>
          <cell r="D903" t="str">
            <v>KKM/IKN/H/13/4559</v>
          </cell>
          <cell r="E903" t="str">
            <v>18-147</v>
          </cell>
          <cell r="F903" t="str">
            <v>Mattress Systems, Alternating-Pressure</v>
          </cell>
          <cell r="G903" t="str">
            <v>WC</v>
          </cell>
          <cell r="H903" t="str">
            <v>SURGICAL ONCO FEMALE WARD</v>
          </cell>
          <cell r="I903" t="str">
            <v>06WC113</v>
          </cell>
          <cell r="J903" t="str">
            <v>EQUIPMENT ROOM</v>
          </cell>
          <cell r="K903" t="str">
            <v>BMED</v>
          </cell>
          <cell r="L903" t="str">
            <v>Normal</v>
          </cell>
          <cell r="M903" t="str">
            <v>Poland</v>
          </cell>
          <cell r="N903" t="str">
            <v>Nimbus</v>
          </cell>
          <cell r="O903" t="str">
            <v>Nimbus 3</v>
          </cell>
          <cell r="P903" t="str">
            <v>1200005118</v>
          </cell>
          <cell r="Q903" t="str">
            <v>Not Applicable</v>
          </cell>
          <cell r="R903" t="str">
            <v>Arjohuntleigh</v>
          </cell>
          <cell r="S903" t="str">
            <v>Hexamine Sdn. Bhd.</v>
          </cell>
          <cell r="T903" t="str">
            <v>Functioning</v>
          </cell>
          <cell r="U903" t="str">
            <v>Asset</v>
          </cell>
          <cell r="V903">
            <v>28630</v>
          </cell>
          <cell r="W903" t="str">
            <v>KEW</v>
          </cell>
          <cell r="X903" t="str">
            <v>01/09/2010</v>
          </cell>
          <cell r="Y903" t="str">
            <v>KEW</v>
          </cell>
          <cell r="Z903" t="str">
            <v>16/08/2013</v>
          </cell>
          <cell r="AA903" t="str">
            <v>15/08/2015</v>
          </cell>
          <cell r="AB903" t="str">
            <v>No</v>
          </cell>
          <cell r="AC903" t="str">
            <v>31/08/2013</v>
          </cell>
          <cell r="AD903" t="str">
            <v>Good</v>
          </cell>
          <cell r="AE903" t="str">
            <v>V1 - Existing / No Claim</v>
          </cell>
          <cell r="AF903">
            <v>42235</v>
          </cell>
          <cell r="AG903">
            <v>9.17</v>
          </cell>
          <cell r="AH903" t="str">
            <v>PPM</v>
          </cell>
          <cell r="AI903" t="str">
            <v>Strands</v>
          </cell>
          <cell r="AJ903" t="str">
            <v>Strands PW</v>
          </cell>
        </row>
        <row r="904">
          <cell r="A904" t="str">
            <v>IKN400452</v>
          </cell>
          <cell r="B904">
            <v>452</v>
          </cell>
          <cell r="C904" t="str">
            <v>Institut Kanser Negara</v>
          </cell>
          <cell r="D904" t="str">
            <v>KKM/IKN/H/13/4560</v>
          </cell>
          <cell r="E904" t="str">
            <v>18-147</v>
          </cell>
          <cell r="F904" t="str">
            <v>Mattress Systems, Alternating-Pressure</v>
          </cell>
          <cell r="G904" t="str">
            <v>WC</v>
          </cell>
          <cell r="H904" t="str">
            <v>SURGICAL ONCO FEMALE WARD</v>
          </cell>
          <cell r="I904" t="str">
            <v>06WC113</v>
          </cell>
          <cell r="J904" t="str">
            <v>EQUIPMENT ROOM</v>
          </cell>
          <cell r="K904" t="str">
            <v>BMED</v>
          </cell>
          <cell r="L904" t="str">
            <v>Normal</v>
          </cell>
          <cell r="M904" t="str">
            <v>Poland</v>
          </cell>
          <cell r="N904" t="str">
            <v>Nimbus</v>
          </cell>
          <cell r="O904" t="str">
            <v>Nimbus 3</v>
          </cell>
          <cell r="P904" t="str">
            <v>1200005114</v>
          </cell>
          <cell r="Q904" t="str">
            <v>Not Applicable</v>
          </cell>
          <cell r="R904" t="str">
            <v>Arjohuntleigh</v>
          </cell>
          <cell r="S904" t="str">
            <v>Hexamine Sdn. Bhd.</v>
          </cell>
          <cell r="T904" t="str">
            <v>Functioning</v>
          </cell>
          <cell r="U904" t="str">
            <v>Asset</v>
          </cell>
          <cell r="V904">
            <v>28630</v>
          </cell>
          <cell r="W904" t="str">
            <v>KEW</v>
          </cell>
          <cell r="X904" t="str">
            <v>01/09/2010</v>
          </cell>
          <cell r="Y904" t="str">
            <v>KEW</v>
          </cell>
          <cell r="Z904" t="str">
            <v>16/08/2013</v>
          </cell>
          <cell r="AA904" t="str">
            <v>15/08/2015</v>
          </cell>
          <cell r="AB904" t="str">
            <v>No</v>
          </cell>
          <cell r="AC904" t="str">
            <v>31/08/2013</v>
          </cell>
          <cell r="AD904" t="str">
            <v>Good</v>
          </cell>
          <cell r="AE904" t="str">
            <v>V1 - Existing / No Claim</v>
          </cell>
          <cell r="AF904">
            <v>42235</v>
          </cell>
          <cell r="AG904">
            <v>9.17</v>
          </cell>
          <cell r="AH904" t="str">
            <v>PPM</v>
          </cell>
          <cell r="AI904" t="str">
            <v>Strands</v>
          </cell>
          <cell r="AJ904" t="str">
            <v>Strands PW</v>
          </cell>
        </row>
        <row r="905">
          <cell r="A905" t="str">
            <v>IKN400453</v>
          </cell>
          <cell r="B905">
            <v>453</v>
          </cell>
          <cell r="C905" t="str">
            <v>Institut Kanser Negara</v>
          </cell>
          <cell r="D905" t="str">
            <v>KKM/IKN/H/13/4561</v>
          </cell>
          <cell r="E905" t="str">
            <v>18-147</v>
          </cell>
          <cell r="F905" t="str">
            <v>Mattress Systems, Alternating-Pressure</v>
          </cell>
          <cell r="G905" t="str">
            <v>WC</v>
          </cell>
          <cell r="H905" t="str">
            <v>SURGICAL ONCO FEMALE WARD</v>
          </cell>
          <cell r="I905" t="str">
            <v>06WC113</v>
          </cell>
          <cell r="J905" t="str">
            <v>EQUIPMENT ROOM</v>
          </cell>
          <cell r="K905" t="str">
            <v>BMED</v>
          </cell>
          <cell r="L905" t="str">
            <v>Normal</v>
          </cell>
          <cell r="M905" t="str">
            <v>Poland</v>
          </cell>
          <cell r="N905" t="str">
            <v>Nimbus</v>
          </cell>
          <cell r="O905" t="str">
            <v>Nimbus 3</v>
          </cell>
          <cell r="P905" t="str">
            <v>1200005110</v>
          </cell>
          <cell r="Q905" t="str">
            <v>Not Applicable</v>
          </cell>
          <cell r="R905" t="str">
            <v>Arjohuntleigh</v>
          </cell>
          <cell r="S905" t="str">
            <v>Hexamine Sdn. Bhd.</v>
          </cell>
          <cell r="T905" t="str">
            <v>Functioning</v>
          </cell>
          <cell r="U905" t="str">
            <v>Asset</v>
          </cell>
          <cell r="V905">
            <v>28630</v>
          </cell>
          <cell r="W905" t="str">
            <v>KEW</v>
          </cell>
          <cell r="X905" t="str">
            <v>01/09/2010</v>
          </cell>
          <cell r="Y905" t="str">
            <v>KEW</v>
          </cell>
          <cell r="Z905" t="str">
            <v>16/08/2013</v>
          </cell>
          <cell r="AA905" t="str">
            <v>15/08/2015</v>
          </cell>
          <cell r="AB905" t="str">
            <v>No</v>
          </cell>
          <cell r="AC905" t="str">
            <v>31/08/2013</v>
          </cell>
          <cell r="AD905" t="str">
            <v>Good</v>
          </cell>
          <cell r="AE905" t="str">
            <v>V1 - Existing / No Claim</v>
          </cell>
          <cell r="AF905">
            <v>42235</v>
          </cell>
          <cell r="AG905">
            <v>9.17</v>
          </cell>
          <cell r="AH905" t="str">
            <v>PPM</v>
          </cell>
          <cell r="AI905" t="str">
            <v>Strands</v>
          </cell>
          <cell r="AJ905" t="str">
            <v>Strands PW</v>
          </cell>
        </row>
        <row r="906">
          <cell r="A906" t="str">
            <v>IKN400454</v>
          </cell>
          <cell r="B906">
            <v>454</v>
          </cell>
          <cell r="C906" t="str">
            <v>Institut Kanser Negara</v>
          </cell>
          <cell r="D906" t="str">
            <v>KKM/IKN/H/13/4562</v>
          </cell>
          <cell r="E906" t="str">
            <v>18-147</v>
          </cell>
          <cell r="F906" t="str">
            <v>Mattress Systems, Alternating-Pressure</v>
          </cell>
          <cell r="G906" t="str">
            <v>WC</v>
          </cell>
          <cell r="H906" t="str">
            <v>SURGICAL ONCO FEMALE WARD</v>
          </cell>
          <cell r="I906" t="str">
            <v>06WC113</v>
          </cell>
          <cell r="J906" t="str">
            <v>EQUIPMENT ROOM</v>
          </cell>
          <cell r="K906" t="str">
            <v>BMED</v>
          </cell>
          <cell r="L906" t="str">
            <v>Normal</v>
          </cell>
          <cell r="M906" t="str">
            <v>Poland</v>
          </cell>
          <cell r="N906" t="str">
            <v>Nimbus</v>
          </cell>
          <cell r="O906" t="str">
            <v>Nimbus 3</v>
          </cell>
          <cell r="P906" t="str">
            <v>1200006479</v>
          </cell>
          <cell r="Q906" t="str">
            <v>Not Applicable</v>
          </cell>
          <cell r="R906" t="str">
            <v>Arjohuntleigh</v>
          </cell>
          <cell r="S906" t="str">
            <v>Hexamine Sdn. Bhd.</v>
          </cell>
          <cell r="T906" t="str">
            <v>Functioning</v>
          </cell>
          <cell r="U906" t="str">
            <v>Asset</v>
          </cell>
          <cell r="V906">
            <v>28630</v>
          </cell>
          <cell r="W906" t="str">
            <v>KEW</v>
          </cell>
          <cell r="X906" t="str">
            <v>01/09/2010</v>
          </cell>
          <cell r="Y906" t="str">
            <v>KEW</v>
          </cell>
          <cell r="Z906" t="str">
            <v>16/08/2013</v>
          </cell>
          <cell r="AA906" t="str">
            <v>15/08/2015</v>
          </cell>
          <cell r="AB906" t="str">
            <v>No</v>
          </cell>
          <cell r="AC906" t="str">
            <v>31/08/2013</v>
          </cell>
          <cell r="AD906" t="str">
            <v>Good</v>
          </cell>
          <cell r="AE906" t="str">
            <v>V1 - Existing / No Claim</v>
          </cell>
          <cell r="AF906">
            <v>42235</v>
          </cell>
          <cell r="AG906">
            <v>9.17</v>
          </cell>
          <cell r="AH906" t="str">
            <v>PPM</v>
          </cell>
          <cell r="AI906" t="str">
            <v>Strands</v>
          </cell>
          <cell r="AJ906" t="str">
            <v>Strands PW</v>
          </cell>
        </row>
        <row r="907">
          <cell r="A907" t="str">
            <v>IKN400455</v>
          </cell>
          <cell r="B907">
            <v>455</v>
          </cell>
          <cell r="C907" t="str">
            <v>Institut Kanser Negara</v>
          </cell>
          <cell r="D907" t="str">
            <v>KKM/IKN/H/13/4563</v>
          </cell>
          <cell r="E907" t="str">
            <v>18-147</v>
          </cell>
          <cell r="F907" t="str">
            <v>Mattress Systems, Alternating-Pressure</v>
          </cell>
          <cell r="G907" t="str">
            <v>WC</v>
          </cell>
          <cell r="H907" t="str">
            <v>SURGICAL ONCO FEMALE WARD</v>
          </cell>
          <cell r="I907" t="str">
            <v>06WC113</v>
          </cell>
          <cell r="J907" t="str">
            <v>EQUIPMENT ROOM</v>
          </cell>
          <cell r="K907" t="str">
            <v>BMED</v>
          </cell>
          <cell r="L907" t="str">
            <v>Normal</v>
          </cell>
          <cell r="M907" t="str">
            <v>Poland</v>
          </cell>
          <cell r="N907" t="str">
            <v>Nimbus</v>
          </cell>
          <cell r="O907" t="str">
            <v>Nimbus 3</v>
          </cell>
          <cell r="P907" t="str">
            <v>1200006447</v>
          </cell>
          <cell r="Q907" t="str">
            <v>Not Applicable</v>
          </cell>
          <cell r="R907" t="str">
            <v>Arjohuntleigh</v>
          </cell>
          <cell r="S907" t="str">
            <v>Hexamine Sdn. Bhd.</v>
          </cell>
          <cell r="T907" t="str">
            <v>Functioning</v>
          </cell>
          <cell r="U907" t="str">
            <v>Asset</v>
          </cell>
          <cell r="V907">
            <v>28630</v>
          </cell>
          <cell r="W907" t="str">
            <v>KEW</v>
          </cell>
          <cell r="X907" t="str">
            <v>01/09/2010</v>
          </cell>
          <cell r="Y907" t="str">
            <v>KEW</v>
          </cell>
          <cell r="Z907" t="str">
            <v>16/08/2013</v>
          </cell>
          <cell r="AA907" t="str">
            <v>15/08/2015</v>
          </cell>
          <cell r="AB907" t="str">
            <v>No</v>
          </cell>
          <cell r="AC907" t="str">
            <v>31/08/2013</v>
          </cell>
          <cell r="AD907" t="str">
            <v>Good</v>
          </cell>
          <cell r="AE907" t="str">
            <v>V1 - Existing / No Claim</v>
          </cell>
          <cell r="AF907">
            <v>42235</v>
          </cell>
          <cell r="AG907">
            <v>9.17</v>
          </cell>
          <cell r="AH907" t="str">
            <v>PPM</v>
          </cell>
          <cell r="AI907" t="str">
            <v>Strands</v>
          </cell>
          <cell r="AJ907" t="str">
            <v>Strands PW</v>
          </cell>
        </row>
        <row r="908">
          <cell r="A908" t="str">
            <v>IKN400456</v>
          </cell>
          <cell r="B908">
            <v>456</v>
          </cell>
          <cell r="C908" t="str">
            <v>Institut Kanser Negara</v>
          </cell>
          <cell r="D908" t="str">
            <v>KKM/IKN/H/13/1335</v>
          </cell>
          <cell r="E908" t="str">
            <v>10-208</v>
          </cell>
          <cell r="F908" t="str">
            <v>Aspirators</v>
          </cell>
          <cell r="G908" t="str">
            <v>WC</v>
          </cell>
          <cell r="H908" t="str">
            <v>SURGICAL ONCO FEMALE WARD</v>
          </cell>
          <cell r="I908" t="str">
            <v>06WC107</v>
          </cell>
          <cell r="J908" t="str">
            <v>TREATMENT / PROCEDURE</v>
          </cell>
          <cell r="K908" t="str">
            <v>BMED</v>
          </cell>
          <cell r="L908" t="str">
            <v>Normal</v>
          </cell>
          <cell r="M908" t="str">
            <v>Switzerland</v>
          </cell>
          <cell r="N908" t="str">
            <v>Senator</v>
          </cell>
          <cell r="O908" t="str">
            <v>Senator</v>
          </cell>
          <cell r="P908" t="str">
            <v>1220742</v>
          </cell>
          <cell r="Q908" t="str">
            <v>Not Applicable</v>
          </cell>
          <cell r="R908" t="str">
            <v>Ardo Medical AG</v>
          </cell>
          <cell r="S908" t="str">
            <v>Histopoint</v>
          </cell>
          <cell r="T908" t="str">
            <v>Functioning</v>
          </cell>
          <cell r="U908" t="str">
            <v>Asset</v>
          </cell>
          <cell r="V908">
            <v>5052</v>
          </cell>
          <cell r="W908" t="str">
            <v>KEW</v>
          </cell>
          <cell r="X908" t="str">
            <v>01/09/2010</v>
          </cell>
          <cell r="Y908" t="str">
            <v>KEW</v>
          </cell>
          <cell r="Z908" t="str">
            <v>16/08/2013</v>
          </cell>
          <cell r="AA908" t="str">
            <v>15/08/2015</v>
          </cell>
          <cell r="AB908" t="str">
            <v>No</v>
          </cell>
          <cell r="AC908" t="str">
            <v>31/08/2013</v>
          </cell>
          <cell r="AD908" t="str">
            <v>Good</v>
          </cell>
          <cell r="AE908" t="str">
            <v>V1 - Existing / No Claim</v>
          </cell>
          <cell r="AF908">
            <v>42235</v>
          </cell>
          <cell r="AG908">
            <v>9.17</v>
          </cell>
          <cell r="AH908" t="str">
            <v>PPM</v>
          </cell>
          <cell r="AI908" t="str">
            <v>Strands</v>
          </cell>
          <cell r="AJ908" t="str">
            <v>Strands PW</v>
          </cell>
        </row>
        <row r="909">
          <cell r="A909" t="str">
            <v>IKN400457</v>
          </cell>
          <cell r="B909">
            <v>457</v>
          </cell>
          <cell r="C909" t="str">
            <v>Institut Kanser Negara</v>
          </cell>
          <cell r="D909" t="str">
            <v>KKM/IKN/H/13/1338</v>
          </cell>
          <cell r="E909" t="str">
            <v>10-208</v>
          </cell>
          <cell r="F909" t="str">
            <v>Aspirators</v>
          </cell>
          <cell r="G909" t="str">
            <v>WC</v>
          </cell>
          <cell r="H909" t="str">
            <v>SURGICAL ONCO FEMALE WARD</v>
          </cell>
          <cell r="I909" t="str">
            <v>06WC113</v>
          </cell>
          <cell r="J909" t="str">
            <v>EQUIPMENT ROOM</v>
          </cell>
          <cell r="K909" t="str">
            <v>BMED</v>
          </cell>
          <cell r="L909" t="str">
            <v>Normal</v>
          </cell>
          <cell r="M909" t="str">
            <v>UK</v>
          </cell>
          <cell r="N909" t="str">
            <v>SAM</v>
          </cell>
          <cell r="O909" t="str">
            <v>SAM 427</v>
          </cell>
          <cell r="P909" t="str">
            <v>0313-0529</v>
          </cell>
          <cell r="Q909" t="str">
            <v>Not Applicable</v>
          </cell>
          <cell r="R909" t="str">
            <v>MG Electric Ltd</v>
          </cell>
          <cell r="S909" t="str">
            <v>Delta Medisains</v>
          </cell>
          <cell r="T909" t="str">
            <v>Functioning</v>
          </cell>
          <cell r="U909" t="str">
            <v>Asset</v>
          </cell>
          <cell r="V909">
            <v>10705</v>
          </cell>
          <cell r="W909" t="str">
            <v>KEW</v>
          </cell>
          <cell r="X909" t="str">
            <v>01/09/2010</v>
          </cell>
          <cell r="Y909" t="str">
            <v>KEW</v>
          </cell>
          <cell r="Z909" t="str">
            <v>16/08/2013</v>
          </cell>
          <cell r="AA909" t="str">
            <v>15/08/2015</v>
          </cell>
          <cell r="AB909" t="str">
            <v>No</v>
          </cell>
          <cell r="AC909" t="str">
            <v>31/08/2013</v>
          </cell>
          <cell r="AD909" t="str">
            <v>Good</v>
          </cell>
          <cell r="AE909" t="str">
            <v>V1 - Existing / No Claim</v>
          </cell>
          <cell r="AF909">
            <v>42235</v>
          </cell>
          <cell r="AG909">
            <v>9.17</v>
          </cell>
          <cell r="AH909" t="str">
            <v>PPM</v>
          </cell>
          <cell r="AI909" t="str">
            <v>Strands</v>
          </cell>
          <cell r="AJ909" t="str">
            <v>Strands PW</v>
          </cell>
        </row>
        <row r="910">
          <cell r="A910" t="str">
            <v>IKN400458</v>
          </cell>
          <cell r="B910">
            <v>458</v>
          </cell>
          <cell r="C910" t="str">
            <v>Institut Kanser Negara</v>
          </cell>
          <cell r="D910" t="str">
            <v>KKM/IKN/H/13/1339</v>
          </cell>
          <cell r="E910" t="str">
            <v>16-173</v>
          </cell>
          <cell r="F910" t="str">
            <v>Sphygmomanometers, Electronic, Automatic</v>
          </cell>
          <cell r="G910" t="str">
            <v>WC</v>
          </cell>
          <cell r="H910" t="str">
            <v>SURGICAL ONCO FEMALE WARD</v>
          </cell>
          <cell r="I910" t="str">
            <v>06WC107</v>
          </cell>
          <cell r="J910" t="str">
            <v>TREATMENT / PROCEDURE</v>
          </cell>
          <cell r="K910" t="str">
            <v>BMED</v>
          </cell>
          <cell r="L910" t="str">
            <v>Normal</v>
          </cell>
          <cell r="M910" t="str">
            <v>Mexico</v>
          </cell>
          <cell r="N910" t="str">
            <v>Carespace</v>
          </cell>
          <cell r="O910" t="str">
            <v>Carescape V100</v>
          </cell>
          <cell r="P910" t="str">
            <v>SH612430122SA</v>
          </cell>
          <cell r="Q910" t="str">
            <v>Not Applicable</v>
          </cell>
          <cell r="R910" t="str">
            <v>GE Healthcare Systems</v>
          </cell>
          <cell r="S910" t="str">
            <v>GE Healthcare Technologies</v>
          </cell>
          <cell r="T910" t="str">
            <v>Functioning</v>
          </cell>
          <cell r="U910" t="str">
            <v>Asset</v>
          </cell>
          <cell r="V910">
            <v>7770</v>
          </cell>
          <cell r="W910" t="str">
            <v>KEW</v>
          </cell>
          <cell r="X910" t="str">
            <v>01/09/2010</v>
          </cell>
          <cell r="Y910" t="str">
            <v>KEW</v>
          </cell>
          <cell r="Z910" t="str">
            <v>16/08/2013</v>
          </cell>
          <cell r="AA910" t="str">
            <v>15/08/2015</v>
          </cell>
          <cell r="AB910" t="str">
            <v>No</v>
          </cell>
          <cell r="AC910" t="str">
            <v>31/08/2013</v>
          </cell>
          <cell r="AD910" t="str">
            <v>Good</v>
          </cell>
          <cell r="AE910" t="str">
            <v>V1 - Existing / No Claim</v>
          </cell>
          <cell r="AF910">
            <v>42235</v>
          </cell>
          <cell r="AG910">
            <v>9.17</v>
          </cell>
          <cell r="AH910" t="str">
            <v>PPM</v>
          </cell>
          <cell r="AI910" t="str">
            <v>Strands</v>
          </cell>
          <cell r="AJ910" t="str">
            <v>Strands PW</v>
          </cell>
        </row>
        <row r="911">
          <cell r="A911" t="str">
            <v>IKN400459</v>
          </cell>
          <cell r="B911">
            <v>459</v>
          </cell>
          <cell r="C911" t="str">
            <v>Institut Kanser Negara</v>
          </cell>
          <cell r="D911" t="str">
            <v>KKM/IKN/H/13/1344</v>
          </cell>
          <cell r="E911" t="str">
            <v>16-231</v>
          </cell>
          <cell r="F911" t="str">
            <v>Electrocardiographs, Multichannel, Interpretative</v>
          </cell>
          <cell r="G911" t="str">
            <v>WC</v>
          </cell>
          <cell r="H911" t="str">
            <v>SURGICAL ONCO FEMALE WARD</v>
          </cell>
          <cell r="I911" t="str">
            <v>06WC107</v>
          </cell>
          <cell r="J911" t="str">
            <v>TREATMENT / PROCEDURE</v>
          </cell>
          <cell r="K911" t="str">
            <v>BMED</v>
          </cell>
          <cell r="L911" t="str">
            <v>Normal</v>
          </cell>
          <cell r="M911" t="str">
            <v>China</v>
          </cell>
          <cell r="N911" t="str">
            <v>Mac</v>
          </cell>
          <cell r="O911" t="str">
            <v>MAC 800</v>
          </cell>
          <cell r="P911" t="str">
            <v>SJ412450372 WA</v>
          </cell>
          <cell r="Q911" t="str">
            <v>Not Applicable</v>
          </cell>
          <cell r="R911" t="str">
            <v>GE Healthcare Systems</v>
          </cell>
          <cell r="S911" t="str">
            <v>GE Healthcare Technologies</v>
          </cell>
          <cell r="T911" t="str">
            <v>Functioning</v>
          </cell>
          <cell r="U911" t="str">
            <v>Asset</v>
          </cell>
          <cell r="V911">
            <v>25260</v>
          </cell>
          <cell r="W911" t="str">
            <v>KEW</v>
          </cell>
          <cell r="X911" t="str">
            <v>01/09/2010</v>
          </cell>
          <cell r="Y911" t="str">
            <v>KEW</v>
          </cell>
          <cell r="Z911" t="str">
            <v>16/08/2013</v>
          </cell>
          <cell r="AA911" t="str">
            <v>15/08/2015</v>
          </cell>
          <cell r="AB911" t="str">
            <v>No</v>
          </cell>
          <cell r="AC911" t="str">
            <v>31/08/2013</v>
          </cell>
          <cell r="AD911" t="str">
            <v>Good</v>
          </cell>
          <cell r="AE911" t="str">
            <v>V1 - Existing / No Claim</v>
          </cell>
          <cell r="AF911">
            <v>42235</v>
          </cell>
          <cell r="AG911">
            <v>9.17</v>
          </cell>
          <cell r="AH911" t="str">
            <v>PPM</v>
          </cell>
          <cell r="AI911" t="str">
            <v>Strands</v>
          </cell>
          <cell r="AJ911" t="str">
            <v>Strands PW</v>
          </cell>
        </row>
        <row r="912">
          <cell r="A912" t="str">
            <v>IKN400460</v>
          </cell>
          <cell r="B912">
            <v>460</v>
          </cell>
          <cell r="C912" t="str">
            <v>Institut Kanser Negara</v>
          </cell>
          <cell r="D912" t="str">
            <v>KKM/IKN/H/13/1345</v>
          </cell>
          <cell r="E912" t="str">
            <v>12-647</v>
          </cell>
          <cell r="F912" t="str">
            <v>Physiologic Monitoring Systems, Acute Care</v>
          </cell>
          <cell r="G912" t="str">
            <v>WC</v>
          </cell>
          <cell r="H912" t="str">
            <v>SURGICAL ONCO FEMALE WARD</v>
          </cell>
          <cell r="I912" t="str">
            <v>06WC113</v>
          </cell>
          <cell r="J912" t="str">
            <v>EQUIPMENT ROOM</v>
          </cell>
          <cell r="K912" t="str">
            <v>BMED</v>
          </cell>
          <cell r="L912" t="str">
            <v>Normal</v>
          </cell>
          <cell r="M912" t="str">
            <v>USA</v>
          </cell>
          <cell r="N912" t="str">
            <v>GE</v>
          </cell>
          <cell r="O912" t="str">
            <v>GE B30</v>
          </cell>
          <cell r="P912" t="str">
            <v>SF312325925WA</v>
          </cell>
          <cell r="Q912" t="str">
            <v>Not Applicable</v>
          </cell>
          <cell r="R912" t="str">
            <v>GE Healthcare Systems</v>
          </cell>
          <cell r="S912" t="str">
            <v>GE Healthcare Technologies</v>
          </cell>
          <cell r="T912" t="str">
            <v>Functioning</v>
          </cell>
          <cell r="U912" t="str">
            <v>Asset</v>
          </cell>
          <cell r="V912">
            <v>44510</v>
          </cell>
          <cell r="W912" t="str">
            <v>KEW</v>
          </cell>
          <cell r="X912" t="str">
            <v>01/09/2010</v>
          </cell>
          <cell r="Y912" t="str">
            <v>KEW</v>
          </cell>
          <cell r="Z912" t="str">
            <v>16/08/2013</v>
          </cell>
          <cell r="AA912" t="str">
            <v>15/08/2015</v>
          </cell>
          <cell r="AB912" t="str">
            <v>No</v>
          </cell>
          <cell r="AC912" t="str">
            <v>31/08/2013</v>
          </cell>
          <cell r="AD912" t="str">
            <v>Good</v>
          </cell>
          <cell r="AE912" t="str">
            <v>V1 - Existing / No Claim</v>
          </cell>
          <cell r="AF912">
            <v>42235</v>
          </cell>
          <cell r="AG912">
            <v>9.17</v>
          </cell>
          <cell r="AH912" t="str">
            <v>PPM</v>
          </cell>
          <cell r="AI912" t="str">
            <v>Strands</v>
          </cell>
          <cell r="AJ912" t="str">
            <v>Strands PW</v>
          </cell>
        </row>
        <row r="913">
          <cell r="A913" t="str">
            <v>IKN400461</v>
          </cell>
          <cell r="B913">
            <v>461</v>
          </cell>
          <cell r="C913" t="str">
            <v>Institut Kanser Negara</v>
          </cell>
          <cell r="D913" t="str">
            <v>KKM/IKN/H/13/3344</v>
          </cell>
          <cell r="E913" t="str">
            <v>12-647</v>
          </cell>
          <cell r="F913" t="str">
            <v>Physiologic Monitoring Systems, Acute Care</v>
          </cell>
          <cell r="G913" t="str">
            <v>WC</v>
          </cell>
          <cell r="H913" t="str">
            <v>SURGICAL ONCO FEMALE WARD</v>
          </cell>
          <cell r="I913" t="str">
            <v>06WC113</v>
          </cell>
          <cell r="J913" t="str">
            <v>EQUIPMENT ROOM</v>
          </cell>
          <cell r="K913" t="str">
            <v>BMED</v>
          </cell>
          <cell r="L913" t="str">
            <v>Normal</v>
          </cell>
          <cell r="M913" t="str">
            <v>USA</v>
          </cell>
          <cell r="N913" t="str">
            <v>GE</v>
          </cell>
          <cell r="O913" t="str">
            <v>GE B30</v>
          </cell>
          <cell r="P913" t="str">
            <v>SF312315869WA</v>
          </cell>
          <cell r="Q913" t="str">
            <v>Not Applicable</v>
          </cell>
          <cell r="R913" t="str">
            <v>GE Healthcare Systems</v>
          </cell>
          <cell r="S913" t="str">
            <v>GE Healthcare Technologies</v>
          </cell>
          <cell r="T913" t="str">
            <v>Functioning</v>
          </cell>
          <cell r="U913" t="str">
            <v>Asset</v>
          </cell>
          <cell r="V913">
            <v>44510</v>
          </cell>
          <cell r="W913" t="str">
            <v>KEW</v>
          </cell>
          <cell r="X913" t="str">
            <v>01/09/2010</v>
          </cell>
          <cell r="Y913" t="str">
            <v>KEW</v>
          </cell>
          <cell r="Z913" t="str">
            <v>16/08/2013</v>
          </cell>
          <cell r="AA913" t="str">
            <v>15/08/2015</v>
          </cell>
          <cell r="AB913" t="str">
            <v>No</v>
          </cell>
          <cell r="AC913" t="str">
            <v>31/08/2013</v>
          </cell>
          <cell r="AD913" t="str">
            <v>Good</v>
          </cell>
          <cell r="AE913" t="str">
            <v>V1 - Existing / No Claim</v>
          </cell>
          <cell r="AF913">
            <v>42235</v>
          </cell>
          <cell r="AG913">
            <v>9.17</v>
          </cell>
          <cell r="AH913" t="str">
            <v>PPM</v>
          </cell>
          <cell r="AI913" t="str">
            <v>Strands</v>
          </cell>
          <cell r="AJ913" t="str">
            <v>Strands PW</v>
          </cell>
          <cell r="AK913" t="str">
            <v>4. Boscarol RIW Power Cord User tampung
PEP waiting IKN400461 BER1 received</v>
          </cell>
        </row>
        <row r="914">
          <cell r="A914" t="str">
            <v>IKN400462</v>
          </cell>
          <cell r="B914">
            <v>462</v>
          </cell>
          <cell r="C914" t="str">
            <v>Institut Kanser Negara</v>
          </cell>
          <cell r="D914" t="str">
            <v>KKM/IKN/H/13/2960</v>
          </cell>
          <cell r="E914" t="str">
            <v>12-282</v>
          </cell>
          <cell r="F914" t="str">
            <v>Lights, Surgical</v>
          </cell>
          <cell r="G914" t="str">
            <v>NM</v>
          </cell>
          <cell r="H914" t="str">
            <v>NUCLEAR MED (DIAGNOSTIC)</v>
          </cell>
          <cell r="I914" t="str">
            <v>03NM142</v>
          </cell>
          <cell r="J914" t="str">
            <v>INJECTION ROOM 2 (-VE)</v>
          </cell>
          <cell r="K914" t="str">
            <v>BMED</v>
          </cell>
          <cell r="L914" t="str">
            <v>Normal</v>
          </cell>
          <cell r="M914" t="str">
            <v>USA</v>
          </cell>
          <cell r="N914" t="str">
            <v>Welch Allyn</v>
          </cell>
          <cell r="O914" t="str">
            <v>Welch Allyn GS600</v>
          </cell>
          <cell r="P914" t="str">
            <v>GS600-12</v>
          </cell>
          <cell r="Q914" t="str">
            <v>Not Applicable</v>
          </cell>
          <cell r="R914" t="str">
            <v>Welch Allyn Inc</v>
          </cell>
          <cell r="S914" t="str">
            <v>Welch Allyn Malaysia Sdn Bhd</v>
          </cell>
          <cell r="T914" t="str">
            <v>Functioning</v>
          </cell>
          <cell r="U914" t="str">
            <v>Asset</v>
          </cell>
          <cell r="V914">
            <v>5050</v>
          </cell>
          <cell r="W914" t="str">
            <v>KEW</v>
          </cell>
          <cell r="X914" t="str">
            <v>01/09/2010</v>
          </cell>
          <cell r="Y914" t="str">
            <v>KEW</v>
          </cell>
          <cell r="Z914" t="str">
            <v>16/08/2013</v>
          </cell>
          <cell r="AA914" t="str">
            <v>15/08/2015</v>
          </cell>
          <cell r="AB914" t="str">
            <v>No</v>
          </cell>
          <cell r="AC914" t="str">
            <v>31/08/2013</v>
          </cell>
          <cell r="AD914" t="str">
            <v>Good</v>
          </cell>
          <cell r="AE914" t="str">
            <v>V1 - Existing / No Claim</v>
          </cell>
          <cell r="AF914">
            <v>42235</v>
          </cell>
          <cell r="AG914">
            <v>9.17</v>
          </cell>
          <cell r="AH914" t="str">
            <v>PPM</v>
          </cell>
          <cell r="AI914" t="str">
            <v>Strands</v>
          </cell>
          <cell r="AJ914" t="str">
            <v>Strands PW</v>
          </cell>
        </row>
        <row r="915">
          <cell r="A915" t="str">
            <v>IKN400463</v>
          </cell>
          <cell r="B915">
            <v>463</v>
          </cell>
          <cell r="C915" t="str">
            <v>Institut Kanser Negara</v>
          </cell>
          <cell r="D915" t="str">
            <v>KKM/IKN/H/13/442</v>
          </cell>
          <cell r="E915" t="str">
            <v>10-208</v>
          </cell>
          <cell r="F915" t="str">
            <v>Aspirators</v>
          </cell>
          <cell r="G915" t="str">
            <v>WB</v>
          </cell>
          <cell r="H915" t="str">
            <v>SURGICAL ONCO MALE WARD</v>
          </cell>
          <cell r="I915" t="str">
            <v>05WB107</v>
          </cell>
          <cell r="J915" t="str">
            <v>TREATMENT / PROCEDURE</v>
          </cell>
          <cell r="K915" t="str">
            <v>BMED</v>
          </cell>
          <cell r="L915" t="str">
            <v>Critical</v>
          </cell>
          <cell r="M915" t="str">
            <v>Switzerland</v>
          </cell>
          <cell r="N915" t="str">
            <v>Senator</v>
          </cell>
          <cell r="O915" t="str">
            <v>Senator</v>
          </cell>
          <cell r="P915" t="str">
            <v>1220746</v>
          </cell>
          <cell r="Q915" t="str">
            <v>Not Applicable</v>
          </cell>
          <cell r="R915" t="str">
            <v>Ardo Medical AG</v>
          </cell>
          <cell r="S915" t="str">
            <v>Histopoint</v>
          </cell>
          <cell r="T915" t="str">
            <v>Functioning</v>
          </cell>
          <cell r="U915" t="str">
            <v>Asset</v>
          </cell>
          <cell r="V915">
            <v>5052</v>
          </cell>
          <cell r="W915" t="str">
            <v>KEW</v>
          </cell>
          <cell r="X915" t="str">
            <v>01/09/2010</v>
          </cell>
          <cell r="Y915" t="str">
            <v>KEW</v>
          </cell>
          <cell r="Z915" t="str">
            <v>16/08/2013</v>
          </cell>
          <cell r="AA915" t="str">
            <v>15/08/2015</v>
          </cell>
          <cell r="AB915" t="str">
            <v>No</v>
          </cell>
          <cell r="AC915" t="str">
            <v>31/08/2013</v>
          </cell>
          <cell r="AD915" t="str">
            <v>Good</v>
          </cell>
          <cell r="AE915" t="str">
            <v>V1 - Existing / No Claim</v>
          </cell>
          <cell r="AF915">
            <v>42788</v>
          </cell>
          <cell r="AG915">
            <v>9.17</v>
          </cell>
          <cell r="AH915" t="str">
            <v>PPM</v>
          </cell>
          <cell r="AI915" t="str">
            <v>Strands</v>
          </cell>
          <cell r="AJ915" t="str">
            <v>Strands PW</v>
          </cell>
        </row>
        <row r="916">
          <cell r="A916" t="str">
            <v>IKN400464</v>
          </cell>
          <cell r="B916">
            <v>464</v>
          </cell>
          <cell r="C916" t="str">
            <v>Institut Kanser Negara</v>
          </cell>
          <cell r="D916" t="str">
            <v>KKM/IKN/H/13/2380</v>
          </cell>
          <cell r="E916" t="str">
            <v>16-173</v>
          </cell>
          <cell r="F916" t="str">
            <v>Sphygmomanometers, Electronic, Automatic</v>
          </cell>
          <cell r="G916" t="str">
            <v>AE</v>
          </cell>
          <cell r="H916" t="str">
            <v>EMERGENCY UNIT</v>
          </cell>
          <cell r="I916" t="str">
            <v>01AE112</v>
          </cell>
          <cell r="J916" t="str">
            <v>EMERGENCY TROLLEY BAY</v>
          </cell>
          <cell r="K916" t="str">
            <v>BMED</v>
          </cell>
          <cell r="L916" t="str">
            <v>Critical</v>
          </cell>
          <cell r="M916" t="str">
            <v>Mexico</v>
          </cell>
          <cell r="N916" t="str">
            <v>Carespace</v>
          </cell>
          <cell r="O916" t="str">
            <v>Carescape V100</v>
          </cell>
          <cell r="P916" t="str">
            <v>SH612430104SA</v>
          </cell>
          <cell r="Q916" t="str">
            <v>Not Applicable</v>
          </cell>
          <cell r="R916" t="str">
            <v>GE Healthcare Systems</v>
          </cell>
          <cell r="S916" t="str">
            <v>GE Healthcare Technologies</v>
          </cell>
          <cell r="T916" t="str">
            <v>Functioning</v>
          </cell>
          <cell r="U916" t="str">
            <v>Asset</v>
          </cell>
          <cell r="V916">
            <v>7770</v>
          </cell>
          <cell r="W916" t="str">
            <v>KEW</v>
          </cell>
          <cell r="X916" t="str">
            <v>01/09/2010</v>
          </cell>
          <cell r="Y916" t="str">
            <v>KEW</v>
          </cell>
          <cell r="Z916" t="str">
            <v>16/08/2013</v>
          </cell>
          <cell r="AA916" t="str">
            <v>15/08/2015</v>
          </cell>
          <cell r="AB916" t="str">
            <v>No</v>
          </cell>
          <cell r="AC916" t="str">
            <v>31/08/2013</v>
          </cell>
          <cell r="AD916" t="str">
            <v>Good</v>
          </cell>
          <cell r="AE916" t="str">
            <v>V1 - Existing / No Claim</v>
          </cell>
          <cell r="AF916">
            <v>43076</v>
          </cell>
          <cell r="AG916">
            <v>9.17</v>
          </cell>
          <cell r="AH916" t="str">
            <v>PPM</v>
          </cell>
          <cell r="AI916" t="str">
            <v>Strands</v>
          </cell>
          <cell r="AJ916" t="str">
            <v>Strands PW</v>
          </cell>
        </row>
        <row r="917">
          <cell r="A917" t="str">
            <v>IKN400465</v>
          </cell>
          <cell r="B917">
            <v>465</v>
          </cell>
          <cell r="C917" t="str">
            <v>Institut Kanser Negara</v>
          </cell>
          <cell r="D917" t="str">
            <v>KKM/IKN/H/13/444</v>
          </cell>
          <cell r="E917" t="str">
            <v>16-231</v>
          </cell>
          <cell r="F917" t="str">
            <v>Electrocardiographs, Multichannel, Interpretative</v>
          </cell>
          <cell r="G917" t="str">
            <v>WB</v>
          </cell>
          <cell r="H917" t="str">
            <v>SURGICAL ONCO MALE WARD</v>
          </cell>
          <cell r="I917" t="str">
            <v>05WB107</v>
          </cell>
          <cell r="J917" t="str">
            <v>TREATMENT / PROCEDURE</v>
          </cell>
          <cell r="K917" t="str">
            <v>BMED</v>
          </cell>
          <cell r="L917" t="str">
            <v>Normal</v>
          </cell>
          <cell r="M917" t="str">
            <v>China</v>
          </cell>
          <cell r="N917" t="str">
            <v>Mac</v>
          </cell>
          <cell r="O917" t="str">
            <v>MAC 800</v>
          </cell>
          <cell r="P917" t="str">
            <v>SJ412450373 WA</v>
          </cell>
          <cell r="Q917" t="str">
            <v>Not Applicable</v>
          </cell>
          <cell r="R917" t="str">
            <v>GE Healthcare Systems</v>
          </cell>
          <cell r="S917" t="str">
            <v>GE Healthcare Technologies</v>
          </cell>
          <cell r="T917" t="str">
            <v>Functioning</v>
          </cell>
          <cell r="U917" t="str">
            <v>Asset</v>
          </cell>
          <cell r="V917">
            <v>25260</v>
          </cell>
          <cell r="W917" t="str">
            <v>KEW</v>
          </cell>
          <cell r="X917" t="str">
            <v>01/09/2010</v>
          </cell>
          <cell r="Y917" t="str">
            <v>KEW</v>
          </cell>
          <cell r="Z917" t="str">
            <v>16/08/2013</v>
          </cell>
          <cell r="AA917" t="str">
            <v>15/08/2015</v>
          </cell>
          <cell r="AB917" t="str">
            <v>No</v>
          </cell>
          <cell r="AC917" t="str">
            <v>31/08/2013</v>
          </cell>
          <cell r="AD917" t="str">
            <v>Good</v>
          </cell>
          <cell r="AE917" t="str">
            <v>V1 - Existing / No Claim</v>
          </cell>
          <cell r="AF917">
            <v>42235</v>
          </cell>
          <cell r="AG917">
            <v>9.17</v>
          </cell>
          <cell r="AH917" t="str">
            <v>PPM</v>
          </cell>
          <cell r="AI917" t="str">
            <v>Strands</v>
          </cell>
          <cell r="AJ917" t="str">
            <v>Strands PW</v>
          </cell>
        </row>
        <row r="918">
          <cell r="A918" t="str">
            <v>IKN400466</v>
          </cell>
          <cell r="B918">
            <v>466</v>
          </cell>
          <cell r="C918" t="str">
            <v>Institut Kanser Negara</v>
          </cell>
          <cell r="D918" t="str">
            <v>KKM/IKN/H/13/299</v>
          </cell>
          <cell r="E918" t="str">
            <v>10-447</v>
          </cell>
          <cell r="F918" t="str">
            <v>Warming Units, Blood/Solution</v>
          </cell>
          <cell r="G918" t="str">
            <v>WB</v>
          </cell>
          <cell r="H918" t="str">
            <v>SURGICAL ONCO MALE WARD</v>
          </cell>
          <cell r="I918" t="str">
            <v>05WB113</v>
          </cell>
          <cell r="J918" t="str">
            <v>EQUIP. ROOM</v>
          </cell>
          <cell r="K918" t="str">
            <v>BMED</v>
          </cell>
          <cell r="L918" t="str">
            <v>Normal</v>
          </cell>
          <cell r="M918" t="str">
            <v>Japan</v>
          </cell>
          <cell r="N918" t="str">
            <v>Animec</v>
          </cell>
          <cell r="O918" t="str">
            <v>Animec AM-301</v>
          </cell>
          <cell r="P918" t="str">
            <v>2013D0260</v>
          </cell>
          <cell r="Q918" t="str">
            <v>Not Applicable</v>
          </cell>
          <cell r="R918" t="str">
            <v>Elltec Co Ltd</v>
          </cell>
          <cell r="S918" t="str">
            <v>IDS Services (Malaysia) Sdn Bhd</v>
          </cell>
          <cell r="T918" t="str">
            <v>Functioning</v>
          </cell>
          <cell r="U918" t="str">
            <v>Asset</v>
          </cell>
          <cell r="V918">
            <v>4990</v>
          </cell>
          <cell r="W918" t="str">
            <v>KEW</v>
          </cell>
          <cell r="X918" t="str">
            <v>01/09/2010</v>
          </cell>
          <cell r="Y918" t="str">
            <v>KEW</v>
          </cell>
          <cell r="Z918" t="str">
            <v>16/08/2013</v>
          </cell>
          <cell r="AA918" t="str">
            <v>15/08/2015</v>
          </cell>
          <cell r="AB918" t="str">
            <v>No</v>
          </cell>
          <cell r="AC918" t="str">
            <v>31/08/2013</v>
          </cell>
          <cell r="AD918" t="str">
            <v>Good</v>
          </cell>
          <cell r="AE918" t="str">
            <v>V1 - Existing / No Claim</v>
          </cell>
          <cell r="AF918">
            <v>42235</v>
          </cell>
          <cell r="AG918">
            <v>9.17</v>
          </cell>
          <cell r="AH918" t="str">
            <v>PPM</v>
          </cell>
          <cell r="AI918" t="str">
            <v>Strands</v>
          </cell>
          <cell r="AJ918" t="str">
            <v>Strands PW</v>
          </cell>
        </row>
        <row r="919">
          <cell r="A919" t="str">
            <v>IKN400469</v>
          </cell>
          <cell r="B919">
            <v>469</v>
          </cell>
          <cell r="C919" t="str">
            <v>Institut Kanser Negara</v>
          </cell>
          <cell r="D919" t="str">
            <v>KKM/IKN/H/13/2377</v>
          </cell>
          <cell r="E919" t="str">
            <v>12-282</v>
          </cell>
          <cell r="F919" t="str">
            <v>Lights, Surgical</v>
          </cell>
          <cell r="G919" t="str">
            <v>WB</v>
          </cell>
          <cell r="H919" t="str">
            <v>SURGICAL ONCO MALE WARD</v>
          </cell>
          <cell r="I919" t="str">
            <v>05WB113</v>
          </cell>
          <cell r="J919" t="str">
            <v>EQUIP. ROOM</v>
          </cell>
          <cell r="K919" t="str">
            <v>BMED</v>
          </cell>
          <cell r="L919" t="str">
            <v>Critical</v>
          </cell>
          <cell r="M919" t="str">
            <v>USA</v>
          </cell>
          <cell r="N919" t="str">
            <v>Welch Allyn</v>
          </cell>
          <cell r="O919" t="str">
            <v>Welch Allyn GS600</v>
          </cell>
          <cell r="P919" t="str">
            <v>GS-600-35</v>
          </cell>
          <cell r="Q919" t="str">
            <v>Not Applicable</v>
          </cell>
          <cell r="R919" t="str">
            <v>Welch Allyn Inc</v>
          </cell>
          <cell r="S919" t="str">
            <v>Welch Allyn Malaysia Sdn Bhd</v>
          </cell>
          <cell r="T919" t="str">
            <v>Functioning</v>
          </cell>
          <cell r="U919" t="str">
            <v>Asset</v>
          </cell>
          <cell r="V919">
            <v>5050</v>
          </cell>
          <cell r="W919" t="str">
            <v>KEW</v>
          </cell>
          <cell r="X919" t="str">
            <v>01/09/2010</v>
          </cell>
          <cell r="Y919" t="str">
            <v>KEW</v>
          </cell>
          <cell r="Z919" t="str">
            <v>16/08/2013</v>
          </cell>
          <cell r="AA919" t="str">
            <v>15/08/2015</v>
          </cell>
          <cell r="AB919" t="str">
            <v>No</v>
          </cell>
          <cell r="AC919" t="str">
            <v>31/08/2013</v>
          </cell>
          <cell r="AD919" t="str">
            <v>Good</v>
          </cell>
          <cell r="AE919" t="str">
            <v>V1 - Existing / No Claim</v>
          </cell>
          <cell r="AF919">
            <v>42788</v>
          </cell>
          <cell r="AG919">
            <v>9.17</v>
          </cell>
          <cell r="AH919" t="str">
            <v>PPM</v>
          </cell>
          <cell r="AI919" t="str">
            <v>Strands</v>
          </cell>
          <cell r="AJ919" t="str">
            <v>Strands PW</v>
          </cell>
        </row>
        <row r="920">
          <cell r="A920" t="str">
            <v>IKN400470</v>
          </cell>
          <cell r="B920">
            <v>470</v>
          </cell>
          <cell r="C920" t="str">
            <v>Institut Kanser Negara</v>
          </cell>
          <cell r="D920" t="str">
            <v>KKM/IKN/H/13/2381</v>
          </cell>
          <cell r="E920" t="str">
            <v>12-282</v>
          </cell>
          <cell r="F920" t="str">
            <v>Lights, Surgical</v>
          </cell>
          <cell r="G920" t="str">
            <v>WB</v>
          </cell>
          <cell r="H920" t="str">
            <v>SURGICAL ONCO MALE WARD</v>
          </cell>
          <cell r="I920" t="str">
            <v>05WB113</v>
          </cell>
          <cell r="J920" t="str">
            <v>EQUIP. ROOM</v>
          </cell>
          <cell r="K920" t="str">
            <v>BMED</v>
          </cell>
          <cell r="L920" t="str">
            <v>Critical</v>
          </cell>
          <cell r="M920" t="str">
            <v>USA</v>
          </cell>
          <cell r="N920" t="str">
            <v>Welch Allyn</v>
          </cell>
          <cell r="O920" t="str">
            <v>Welch Allyn GS600</v>
          </cell>
          <cell r="P920" t="str">
            <v>GS-600-48</v>
          </cell>
          <cell r="Q920" t="str">
            <v>Not Applicable</v>
          </cell>
          <cell r="R920" t="str">
            <v>Welch Allyn Inc</v>
          </cell>
          <cell r="S920" t="str">
            <v>Welch Allyn Malaysia Sdn Bhd</v>
          </cell>
          <cell r="T920" t="str">
            <v>Functioning</v>
          </cell>
          <cell r="U920" t="str">
            <v>Asset</v>
          </cell>
          <cell r="V920">
            <v>5050</v>
          </cell>
          <cell r="W920" t="str">
            <v>KEW</v>
          </cell>
          <cell r="X920" t="str">
            <v>01/09/2010</v>
          </cell>
          <cell r="Y920" t="str">
            <v>KEW</v>
          </cell>
          <cell r="Z920" t="str">
            <v>16/08/2013</v>
          </cell>
          <cell r="AA920" t="str">
            <v>15/08/2015</v>
          </cell>
          <cell r="AB920" t="str">
            <v>No</v>
          </cell>
          <cell r="AC920" t="str">
            <v>31/08/2013</v>
          </cell>
          <cell r="AD920" t="str">
            <v>Good</v>
          </cell>
          <cell r="AE920" t="str">
            <v>V1 - Existing / No Claim</v>
          </cell>
          <cell r="AF920">
            <v>42788</v>
          </cell>
          <cell r="AG920">
            <v>9.17</v>
          </cell>
          <cell r="AH920" t="str">
            <v>PPM</v>
          </cell>
          <cell r="AI920" t="str">
            <v>Strands</v>
          </cell>
          <cell r="AJ920" t="str">
            <v>Strands PW</v>
          </cell>
        </row>
        <row r="921">
          <cell r="A921" t="str">
            <v>IKN400471</v>
          </cell>
          <cell r="B921">
            <v>471</v>
          </cell>
          <cell r="C921" t="str">
            <v>Institut Kanser Negara</v>
          </cell>
          <cell r="D921" t="str">
            <v>KKM/IKN/H/13/434</v>
          </cell>
          <cell r="E921" t="str">
            <v>15-045</v>
          </cell>
          <cell r="F921" t="str">
            <v>Nebulizers, Nonheated</v>
          </cell>
          <cell r="G921" t="str">
            <v>WB</v>
          </cell>
          <cell r="H921" t="str">
            <v>SURGICAL ONCO MALE WARD</v>
          </cell>
          <cell r="I921" t="str">
            <v>05WB113</v>
          </cell>
          <cell r="J921" t="str">
            <v>EQUIP. ROOM</v>
          </cell>
          <cell r="K921" t="str">
            <v>BMED</v>
          </cell>
          <cell r="L921" t="str">
            <v>Normal</v>
          </cell>
          <cell r="M921" t="str">
            <v>Germany</v>
          </cell>
          <cell r="N921" t="str">
            <v>Pari Boy</v>
          </cell>
          <cell r="O921" t="str">
            <v>Pari Boy SX 085</v>
          </cell>
          <cell r="P921" t="str">
            <v>2W12F13891</v>
          </cell>
          <cell r="Q921" t="str">
            <v>Not Applicable</v>
          </cell>
          <cell r="R921" t="str">
            <v>Pari GmbH</v>
          </cell>
          <cell r="S921" t="str">
            <v>Welch Allyn Malaysia Sdn Bhd</v>
          </cell>
          <cell r="T921" t="str">
            <v>Functioning</v>
          </cell>
          <cell r="U921" t="str">
            <v>Asset</v>
          </cell>
          <cell r="V921">
            <v>1140</v>
          </cell>
          <cell r="W921" t="str">
            <v>KEW</v>
          </cell>
          <cell r="X921" t="str">
            <v>01/09/2010</v>
          </cell>
          <cell r="Y921" t="str">
            <v>KEW</v>
          </cell>
          <cell r="Z921" t="str">
            <v>16/08/2013</v>
          </cell>
          <cell r="AA921" t="str">
            <v>15/08/2015</v>
          </cell>
          <cell r="AB921" t="str">
            <v>No</v>
          </cell>
          <cell r="AC921" t="str">
            <v>31/08/2013</v>
          </cell>
          <cell r="AD921" t="str">
            <v>Good</v>
          </cell>
          <cell r="AE921" t="str">
            <v>V1 - Existing / No Claim</v>
          </cell>
          <cell r="AF921">
            <v>42788</v>
          </cell>
          <cell r="AG921">
            <v>9.17</v>
          </cell>
          <cell r="AH921" t="str">
            <v>PPM</v>
          </cell>
          <cell r="AI921" t="str">
            <v>Strands</v>
          </cell>
          <cell r="AJ921" t="str">
            <v>Strands PW</v>
          </cell>
        </row>
        <row r="922">
          <cell r="A922" t="str">
            <v>IKN400472</v>
          </cell>
          <cell r="B922">
            <v>472</v>
          </cell>
          <cell r="C922" t="str">
            <v>Institut Kanser Negara</v>
          </cell>
          <cell r="D922" t="str">
            <v>KKM/IKN/H/13/433</v>
          </cell>
          <cell r="E922" t="str">
            <v>15-045</v>
          </cell>
          <cell r="F922" t="str">
            <v>Nebulizers, Nonheated</v>
          </cell>
          <cell r="G922" t="str">
            <v>WB</v>
          </cell>
          <cell r="H922" t="str">
            <v>SURGICAL ONCO MALE WARD</v>
          </cell>
          <cell r="I922" t="str">
            <v>05WB113</v>
          </cell>
          <cell r="J922" t="str">
            <v>EQUIP. ROOM</v>
          </cell>
          <cell r="K922" t="str">
            <v>BMED</v>
          </cell>
          <cell r="L922" t="str">
            <v>Normal</v>
          </cell>
          <cell r="M922" t="str">
            <v>Germany</v>
          </cell>
          <cell r="N922" t="str">
            <v>Pari Boy</v>
          </cell>
          <cell r="O922" t="str">
            <v>Pari Boy SX 085</v>
          </cell>
          <cell r="P922" t="str">
            <v>2W12F13736</v>
          </cell>
          <cell r="Q922" t="str">
            <v>Not Applicable</v>
          </cell>
          <cell r="R922" t="str">
            <v>Pari GmbH</v>
          </cell>
          <cell r="S922" t="str">
            <v>Welch Allyn Malaysia Sdn Bhd</v>
          </cell>
          <cell r="T922" t="str">
            <v>Functioning</v>
          </cell>
          <cell r="U922" t="str">
            <v>Asset</v>
          </cell>
          <cell r="V922">
            <v>1140</v>
          </cell>
          <cell r="W922" t="str">
            <v>KEW</v>
          </cell>
          <cell r="X922" t="str">
            <v>01/09/2010</v>
          </cell>
          <cell r="Y922" t="str">
            <v>KEW</v>
          </cell>
          <cell r="Z922" t="str">
            <v>16/08/2013</v>
          </cell>
          <cell r="AA922" t="str">
            <v>15/08/2015</v>
          </cell>
          <cell r="AB922" t="str">
            <v>No</v>
          </cell>
          <cell r="AC922" t="str">
            <v>31/08/2013</v>
          </cell>
          <cell r="AD922" t="str">
            <v>Good</v>
          </cell>
          <cell r="AE922" t="str">
            <v>V1 - Existing / No Claim</v>
          </cell>
          <cell r="AF922">
            <v>42788</v>
          </cell>
          <cell r="AG922">
            <v>9.17</v>
          </cell>
          <cell r="AH922" t="str">
            <v>PPM</v>
          </cell>
          <cell r="AI922" t="str">
            <v>Strands</v>
          </cell>
          <cell r="AJ922" t="str">
            <v>Strands PW</v>
          </cell>
        </row>
        <row r="923">
          <cell r="A923" t="str">
            <v>IKN400473</v>
          </cell>
          <cell r="B923">
            <v>473</v>
          </cell>
          <cell r="C923" t="str">
            <v>Institut Kanser Negara</v>
          </cell>
          <cell r="D923" t="str">
            <v>KKM/IKN/H/13/435</v>
          </cell>
          <cell r="E923" t="str">
            <v>15-045</v>
          </cell>
          <cell r="F923" t="str">
            <v>Nebulizers, Nonheated</v>
          </cell>
          <cell r="G923" t="str">
            <v>WB</v>
          </cell>
          <cell r="H923" t="str">
            <v>SURGICAL ONCO MALE WARD</v>
          </cell>
          <cell r="I923" t="str">
            <v>05WB113</v>
          </cell>
          <cell r="J923" t="str">
            <v>EQUIP. ROOM</v>
          </cell>
          <cell r="K923" t="str">
            <v>BMED</v>
          </cell>
          <cell r="L923" t="str">
            <v>Normal</v>
          </cell>
          <cell r="M923" t="str">
            <v>Germany</v>
          </cell>
          <cell r="N923" t="str">
            <v>Pari Boy</v>
          </cell>
          <cell r="O923" t="str">
            <v>Pari Boy SX 085</v>
          </cell>
          <cell r="P923" t="str">
            <v>2W12F13814</v>
          </cell>
          <cell r="Q923" t="str">
            <v>Not Applicable</v>
          </cell>
          <cell r="R923" t="str">
            <v>Pari GmbH</v>
          </cell>
          <cell r="S923" t="str">
            <v>Welch Allyn Malaysia Sdn Bhd</v>
          </cell>
          <cell r="T923" t="str">
            <v>Functioning</v>
          </cell>
          <cell r="U923" t="str">
            <v>Asset</v>
          </cell>
          <cell r="V923">
            <v>1140</v>
          </cell>
          <cell r="W923" t="str">
            <v>KEW</v>
          </cell>
          <cell r="X923" t="str">
            <v>01/09/2010</v>
          </cell>
          <cell r="Y923" t="str">
            <v>KEW</v>
          </cell>
          <cell r="Z923" t="str">
            <v>16/08/2013</v>
          </cell>
          <cell r="AA923" t="str">
            <v>15/08/2015</v>
          </cell>
          <cell r="AB923" t="str">
            <v>No</v>
          </cell>
          <cell r="AC923" t="str">
            <v>31/08/2013</v>
          </cell>
          <cell r="AD923" t="str">
            <v>Good</v>
          </cell>
          <cell r="AE923" t="str">
            <v>V1 - Existing / No Claim</v>
          </cell>
          <cell r="AF923">
            <v>42788</v>
          </cell>
          <cell r="AG923">
            <v>9.17</v>
          </cell>
          <cell r="AH923" t="str">
            <v>PPM</v>
          </cell>
          <cell r="AI923" t="str">
            <v>Strands</v>
          </cell>
          <cell r="AJ923" t="str">
            <v>Strands PW</v>
          </cell>
        </row>
        <row r="924">
          <cell r="A924" t="str">
            <v>IKN400474</v>
          </cell>
          <cell r="B924">
            <v>474</v>
          </cell>
          <cell r="C924" t="str">
            <v>Institut Kanser Negara</v>
          </cell>
          <cell r="D924" t="str">
            <v>KKM/IKN/H/13/4535</v>
          </cell>
          <cell r="E924" t="str">
            <v>10-849</v>
          </cell>
          <cell r="F924" t="str">
            <v>Circulatory Assist Units, Venous Return</v>
          </cell>
          <cell r="G924" t="str">
            <v>WB</v>
          </cell>
          <cell r="H924" t="str">
            <v>SURGICAL ONCO MALE WARD</v>
          </cell>
          <cell r="I924" t="str">
            <v>05WB113</v>
          </cell>
          <cell r="J924" t="str">
            <v>EQUIP. ROOM</v>
          </cell>
          <cell r="K924" t="str">
            <v>BMED</v>
          </cell>
          <cell r="L924" t="str">
            <v>Critical</v>
          </cell>
          <cell r="M924" t="str">
            <v>Taiwan</v>
          </cell>
          <cell r="N924" t="str">
            <v>Vena Press</v>
          </cell>
          <cell r="O924" t="str">
            <v>Vena Press IPC</v>
          </cell>
          <cell r="P924" t="str">
            <v>C820016771</v>
          </cell>
          <cell r="Q924" t="str">
            <v>Not Applicable</v>
          </cell>
          <cell r="R924" t="str">
            <v>Prius Healthcare Solution</v>
          </cell>
          <cell r="S924" t="str">
            <v>Medika Supplies</v>
          </cell>
          <cell r="T924" t="str">
            <v>Functioning</v>
          </cell>
          <cell r="U924" t="str">
            <v>Asset</v>
          </cell>
          <cell r="V924">
            <v>13470</v>
          </cell>
          <cell r="W924" t="str">
            <v>KEW</v>
          </cell>
          <cell r="X924" t="str">
            <v>01/09/2010</v>
          </cell>
          <cell r="Y924" t="str">
            <v>KEW</v>
          </cell>
          <cell r="Z924" t="str">
            <v>16/08/2013</v>
          </cell>
          <cell r="AA924" t="str">
            <v>15/08/2015</v>
          </cell>
          <cell r="AB924" t="str">
            <v>No</v>
          </cell>
          <cell r="AC924" t="str">
            <v>31/08/2013</v>
          </cell>
          <cell r="AD924" t="str">
            <v>Good</v>
          </cell>
          <cell r="AE924" t="str">
            <v>V1 - Existing / No Claim</v>
          </cell>
          <cell r="AF924">
            <v>42788</v>
          </cell>
          <cell r="AG924">
            <v>9.17</v>
          </cell>
          <cell r="AH924" t="str">
            <v>PPM</v>
          </cell>
          <cell r="AI924" t="str">
            <v>Strands</v>
          </cell>
          <cell r="AJ924" t="str">
            <v>Strands PW</v>
          </cell>
        </row>
        <row r="925">
          <cell r="A925" t="str">
            <v>IKN400475</v>
          </cell>
          <cell r="B925">
            <v>475</v>
          </cell>
          <cell r="C925" t="str">
            <v>Institut Kanser Negara</v>
          </cell>
          <cell r="D925" t="str">
            <v>KKM/IKN/H/13/426</v>
          </cell>
          <cell r="E925" t="str">
            <v>13-217</v>
          </cell>
          <cell r="F925" t="str">
            <v>Infusion Pumps, Syringe</v>
          </cell>
          <cell r="G925" t="str">
            <v>WB</v>
          </cell>
          <cell r="H925" t="str">
            <v>SURGICAL ONCO MALE WARD</v>
          </cell>
          <cell r="I925" t="str">
            <v>05WB113</v>
          </cell>
          <cell r="J925" t="str">
            <v>EQUIP. ROOM</v>
          </cell>
          <cell r="K925" t="str">
            <v>BMED</v>
          </cell>
          <cell r="L925" t="str">
            <v>Normal</v>
          </cell>
          <cell r="M925" t="str">
            <v>Germany</v>
          </cell>
          <cell r="N925" t="str">
            <v>Perfusor</v>
          </cell>
          <cell r="O925" t="str">
            <v>Perfusor Space</v>
          </cell>
          <cell r="P925" t="str">
            <v>186963</v>
          </cell>
          <cell r="Q925" t="str">
            <v>Not Applicable</v>
          </cell>
          <cell r="R925" t="str">
            <v>B Braun Melsungen AG</v>
          </cell>
          <cell r="S925" t="str">
            <v>B Braun Medical Supplies Sdn. Bhd.</v>
          </cell>
          <cell r="T925" t="str">
            <v>Functioning</v>
          </cell>
          <cell r="U925" t="str">
            <v>Asset</v>
          </cell>
          <cell r="V925">
            <v>10225</v>
          </cell>
          <cell r="W925" t="str">
            <v>KEW</v>
          </cell>
          <cell r="X925" t="str">
            <v>01/09/2010</v>
          </cell>
          <cell r="Y925" t="str">
            <v>KEW</v>
          </cell>
          <cell r="Z925" t="str">
            <v>16/08/2013</v>
          </cell>
          <cell r="AA925" t="str">
            <v>15/08/2015</v>
          </cell>
          <cell r="AB925" t="str">
            <v>No</v>
          </cell>
          <cell r="AC925" t="str">
            <v>31/08/2013</v>
          </cell>
          <cell r="AD925" t="str">
            <v>Good</v>
          </cell>
          <cell r="AE925" t="str">
            <v>V1 - Existing / No Claim</v>
          </cell>
          <cell r="AF925">
            <v>42235</v>
          </cell>
          <cell r="AG925">
            <v>9.17</v>
          </cell>
          <cell r="AH925" t="str">
            <v>PPM</v>
          </cell>
          <cell r="AI925" t="str">
            <v>Strands</v>
          </cell>
          <cell r="AJ925" t="str">
            <v>Strands PW</v>
          </cell>
        </row>
        <row r="926">
          <cell r="A926" t="str">
            <v>IKN400476</v>
          </cell>
          <cell r="B926">
            <v>476</v>
          </cell>
          <cell r="C926" t="str">
            <v>Institut Kanser Negara</v>
          </cell>
          <cell r="D926" t="str">
            <v>KKM/IKN/H/13/390</v>
          </cell>
          <cell r="E926" t="str">
            <v>13-217</v>
          </cell>
          <cell r="F926" t="str">
            <v>Infusion Pumps, Syringe</v>
          </cell>
          <cell r="G926" t="str">
            <v>WB</v>
          </cell>
          <cell r="H926" t="str">
            <v>SURGICAL ONCO MALE WARD</v>
          </cell>
          <cell r="I926" t="str">
            <v>05WB113</v>
          </cell>
          <cell r="J926" t="str">
            <v>EQUIP. ROOM</v>
          </cell>
          <cell r="K926" t="str">
            <v>BMED</v>
          </cell>
          <cell r="L926" t="str">
            <v>Normal</v>
          </cell>
          <cell r="M926" t="str">
            <v>Germany</v>
          </cell>
          <cell r="N926" t="str">
            <v>Perfusor</v>
          </cell>
          <cell r="O926" t="str">
            <v>Perfusor Space</v>
          </cell>
          <cell r="P926" t="str">
            <v>187026</v>
          </cell>
          <cell r="Q926" t="str">
            <v>Not Applicable</v>
          </cell>
          <cell r="R926" t="str">
            <v>B Braun Melsungen AG</v>
          </cell>
          <cell r="S926" t="str">
            <v>B Braun Medical Supplies Sdn. Bhd.</v>
          </cell>
          <cell r="T926" t="str">
            <v>Functioning</v>
          </cell>
          <cell r="U926" t="str">
            <v>Asset</v>
          </cell>
          <cell r="V926">
            <v>10225</v>
          </cell>
          <cell r="W926" t="str">
            <v>KEW</v>
          </cell>
          <cell r="X926" t="str">
            <v>01/09/2010</v>
          </cell>
          <cell r="Y926" t="str">
            <v>KEW</v>
          </cell>
          <cell r="Z926" t="str">
            <v>16/08/2013</v>
          </cell>
          <cell r="AA926" t="str">
            <v>15/08/2015</v>
          </cell>
          <cell r="AB926" t="str">
            <v>No</v>
          </cell>
          <cell r="AC926" t="str">
            <v>31/08/2013</v>
          </cell>
          <cell r="AD926" t="str">
            <v>Good</v>
          </cell>
          <cell r="AE926" t="str">
            <v>V1 - Existing / No Claim</v>
          </cell>
          <cell r="AF926">
            <v>42235</v>
          </cell>
          <cell r="AG926">
            <v>9.17</v>
          </cell>
          <cell r="AH926" t="str">
            <v>PPM</v>
          </cell>
          <cell r="AI926" t="str">
            <v>Strands</v>
          </cell>
          <cell r="AJ926" t="str">
            <v>Strands PW</v>
          </cell>
        </row>
        <row r="927">
          <cell r="A927" t="str">
            <v>IKN400477</v>
          </cell>
          <cell r="B927">
            <v>477</v>
          </cell>
          <cell r="C927" t="str">
            <v>Institut Kanser Negara</v>
          </cell>
          <cell r="D927" t="str">
            <v>KKM/IKN/H/13/428</v>
          </cell>
          <cell r="E927" t="str">
            <v>13-217</v>
          </cell>
          <cell r="F927" t="str">
            <v>Infusion Pumps, Syringe</v>
          </cell>
          <cell r="G927" t="str">
            <v>WB</v>
          </cell>
          <cell r="H927" t="str">
            <v>SURGICAL ONCO MALE WARD</v>
          </cell>
          <cell r="I927" t="str">
            <v>05WB113</v>
          </cell>
          <cell r="J927" t="str">
            <v>EQUIP. ROOM</v>
          </cell>
          <cell r="K927" t="str">
            <v>BMED</v>
          </cell>
          <cell r="L927" t="str">
            <v>Critical</v>
          </cell>
          <cell r="M927" t="str">
            <v>Germany</v>
          </cell>
          <cell r="N927" t="str">
            <v>Perfusor</v>
          </cell>
          <cell r="O927" t="str">
            <v>Perfusor Space</v>
          </cell>
          <cell r="P927" t="str">
            <v>187043</v>
          </cell>
          <cell r="Q927" t="str">
            <v>Not Applicable</v>
          </cell>
          <cell r="R927" t="str">
            <v>B Braun Melsungen AG</v>
          </cell>
          <cell r="S927" t="str">
            <v>B Braun Medical Supplies Sdn. Bhd.</v>
          </cell>
          <cell r="T927" t="str">
            <v>Functioning</v>
          </cell>
          <cell r="U927" t="str">
            <v>Asset</v>
          </cell>
          <cell r="V927">
            <v>10225</v>
          </cell>
          <cell r="W927" t="str">
            <v>KEW</v>
          </cell>
          <cell r="X927" t="str">
            <v>01/09/2010</v>
          </cell>
          <cell r="Y927" t="str">
            <v>KEW</v>
          </cell>
          <cell r="Z927" t="str">
            <v>16/08/2013</v>
          </cell>
          <cell r="AA927" t="str">
            <v>15/08/2015</v>
          </cell>
          <cell r="AB927" t="str">
            <v>No</v>
          </cell>
          <cell r="AC927" t="str">
            <v>31/08/2013</v>
          </cell>
          <cell r="AD927" t="str">
            <v>Good</v>
          </cell>
          <cell r="AE927" t="str">
            <v>V1 - Existing / No Claim</v>
          </cell>
          <cell r="AF927">
            <v>42788</v>
          </cell>
          <cell r="AG927">
            <v>9.17</v>
          </cell>
          <cell r="AH927" t="str">
            <v>PPM</v>
          </cell>
          <cell r="AI927" t="str">
            <v>Strands</v>
          </cell>
          <cell r="AJ927" t="str">
            <v>Strands PW</v>
          </cell>
        </row>
        <row r="928">
          <cell r="A928" t="str">
            <v>IKN400478</v>
          </cell>
          <cell r="B928">
            <v>478</v>
          </cell>
          <cell r="C928" t="str">
            <v>Institut Kanser Negara</v>
          </cell>
          <cell r="D928" t="str">
            <v>KKM/IKN/H/13/427</v>
          </cell>
          <cell r="E928" t="str">
            <v>13-217</v>
          </cell>
          <cell r="F928" t="str">
            <v>Infusion Pumps, Syringe</v>
          </cell>
          <cell r="G928" t="str">
            <v>WB</v>
          </cell>
          <cell r="H928" t="str">
            <v>SURGICAL ONCO MALE WARD</v>
          </cell>
          <cell r="I928" t="str">
            <v>05WB113</v>
          </cell>
          <cell r="J928" t="str">
            <v>EQUIP. ROOM</v>
          </cell>
          <cell r="K928" t="str">
            <v>BMED</v>
          </cell>
          <cell r="L928" t="str">
            <v>Normal</v>
          </cell>
          <cell r="M928" t="str">
            <v>Germany</v>
          </cell>
          <cell r="N928" t="str">
            <v>Perfusor</v>
          </cell>
          <cell r="O928" t="str">
            <v>Perfusor Space</v>
          </cell>
          <cell r="P928" t="str">
            <v>187053</v>
          </cell>
          <cell r="Q928" t="str">
            <v>Not Applicable</v>
          </cell>
          <cell r="R928" t="str">
            <v>B Braun Melsungen AG</v>
          </cell>
          <cell r="S928" t="str">
            <v>B Braun Medical Supplies Sdn. Bhd.</v>
          </cell>
          <cell r="T928" t="str">
            <v>Functioning</v>
          </cell>
          <cell r="U928" t="str">
            <v>Asset</v>
          </cell>
          <cell r="V928">
            <v>10225</v>
          </cell>
          <cell r="W928" t="str">
            <v>KEW</v>
          </cell>
          <cell r="X928" t="str">
            <v>01/09/2010</v>
          </cell>
          <cell r="Y928" t="str">
            <v>KEW</v>
          </cell>
          <cell r="Z928" t="str">
            <v>16/08/2013</v>
          </cell>
          <cell r="AA928" t="str">
            <v>15/08/2015</v>
          </cell>
          <cell r="AB928" t="str">
            <v>No</v>
          </cell>
          <cell r="AC928" t="str">
            <v>31/08/2013</v>
          </cell>
          <cell r="AD928" t="str">
            <v>Good</v>
          </cell>
          <cell r="AE928" t="str">
            <v>V1 - Existing / No Claim</v>
          </cell>
          <cell r="AF928">
            <v>42235</v>
          </cell>
          <cell r="AG928">
            <v>9.17</v>
          </cell>
          <cell r="AH928" t="str">
            <v>PPM</v>
          </cell>
          <cell r="AI928" t="str">
            <v>Strands</v>
          </cell>
          <cell r="AJ928" t="str">
            <v>Strands PW</v>
          </cell>
        </row>
        <row r="929">
          <cell r="A929" t="str">
            <v>IKN400480</v>
          </cell>
          <cell r="B929">
            <v>480</v>
          </cell>
          <cell r="C929" t="str">
            <v>Institut Kanser Negara</v>
          </cell>
          <cell r="D929" t="e">
            <v>#N/A</v>
          </cell>
          <cell r="E929" t="str">
            <v>12-660</v>
          </cell>
          <cell r="F929" t="str">
            <v>Radiation Monitors</v>
          </cell>
          <cell r="G929" t="str">
            <v>NW</v>
          </cell>
          <cell r="H929" t="str">
            <v>NUCLEAR WASTE HOLDING</v>
          </cell>
          <cell r="I929" t="str">
            <v>01NW106</v>
          </cell>
          <cell r="J929" t="str">
            <v>WASTE MEASUREMENT</v>
          </cell>
          <cell r="K929" t="str">
            <v>BMED</v>
          </cell>
          <cell r="L929" t="str">
            <v>Normal</v>
          </cell>
          <cell r="M929" t="str">
            <v>Germany</v>
          </cell>
          <cell r="N929" t="str">
            <v>Almo</v>
          </cell>
          <cell r="O929" t="str">
            <v>Almo 3</v>
          </cell>
          <cell r="P929" t="str">
            <v>77</v>
          </cell>
          <cell r="Q929" t="str">
            <v>Not Applicable</v>
          </cell>
          <cell r="R929" t="str">
            <v>MED Nuklear-Medizintechnik Dresden GmbH</v>
          </cell>
          <cell r="S929" t="str">
            <v>Not Available</v>
          </cell>
          <cell r="T929" t="str">
            <v>Functioning</v>
          </cell>
          <cell r="U929" t="str">
            <v>Asset</v>
          </cell>
          <cell r="V929">
            <v>30000</v>
          </cell>
          <cell r="W929" t="str">
            <v>Estimate</v>
          </cell>
          <cell r="X929" t="str">
            <v>01/09/2010</v>
          </cell>
          <cell r="Y929" t="str">
            <v>KEW</v>
          </cell>
          <cell r="Z929" t="str">
            <v>16/08/2013</v>
          </cell>
          <cell r="AA929" t="str">
            <v>15/08/2015</v>
          </cell>
          <cell r="AB929" t="str">
            <v>No</v>
          </cell>
          <cell r="AC929" t="str">
            <v>31/08/2013</v>
          </cell>
          <cell r="AD929" t="str">
            <v>Good</v>
          </cell>
          <cell r="AE929" t="str">
            <v>V1 - Existing / No Claim</v>
          </cell>
          <cell r="AF929">
            <v>42601</v>
          </cell>
          <cell r="AG929">
            <v>9.17</v>
          </cell>
          <cell r="AH929" t="str">
            <v>PPM</v>
          </cell>
          <cell r="AI929" t="str">
            <v>package</v>
          </cell>
          <cell r="AK929" t="str">
            <v>[25/11/2024]: SN Detector: 76591, 76604, 76595</v>
          </cell>
        </row>
        <row r="930">
          <cell r="A930" t="str">
            <v>IKN400481</v>
          </cell>
          <cell r="B930">
            <v>481</v>
          </cell>
          <cell r="C930" t="str">
            <v>Institut Kanser Negara</v>
          </cell>
          <cell r="D930" t="str">
            <v>KKM/IKN/H/13/431</v>
          </cell>
          <cell r="E930" t="str">
            <v>13-215</v>
          </cell>
          <cell r="F930" t="str">
            <v>Infusion Pumps, General-Purpose</v>
          </cell>
          <cell r="G930" t="str">
            <v>WB</v>
          </cell>
          <cell r="H930" t="str">
            <v>SURGICAL ONCO MALE WARD</v>
          </cell>
          <cell r="I930" t="str">
            <v>05WB113</v>
          </cell>
          <cell r="J930" t="str">
            <v>EQUIP. ROOM</v>
          </cell>
          <cell r="K930" t="str">
            <v>BMED</v>
          </cell>
          <cell r="L930" t="str">
            <v>Normal</v>
          </cell>
          <cell r="M930" t="str">
            <v>Germany</v>
          </cell>
          <cell r="N930" t="str">
            <v>Infusomat</v>
          </cell>
          <cell r="O930" t="str">
            <v>Infusomat Space</v>
          </cell>
          <cell r="P930" t="str">
            <v>211446</v>
          </cell>
          <cell r="Q930" t="str">
            <v>Not Applicable</v>
          </cell>
          <cell r="R930" t="str">
            <v>B Braun Melsungen AG</v>
          </cell>
          <cell r="S930" t="str">
            <v>B Braun Medical Supplies Sdn. Bhd.</v>
          </cell>
          <cell r="T930" t="str">
            <v>Functioning</v>
          </cell>
          <cell r="U930" t="str">
            <v>Asset</v>
          </cell>
          <cell r="V930">
            <v>10825</v>
          </cell>
          <cell r="W930" t="str">
            <v>KEW</v>
          </cell>
          <cell r="X930" t="str">
            <v>01/09/2010</v>
          </cell>
          <cell r="Y930" t="str">
            <v>KEW</v>
          </cell>
          <cell r="Z930" t="str">
            <v>16/08/2013</v>
          </cell>
          <cell r="AA930" t="str">
            <v>15/08/2015</v>
          </cell>
          <cell r="AB930" t="str">
            <v>No</v>
          </cell>
          <cell r="AC930" t="str">
            <v>31/08/2013</v>
          </cell>
          <cell r="AD930" t="str">
            <v>Good</v>
          </cell>
          <cell r="AE930" t="str">
            <v>V1 - Existing / No Claim</v>
          </cell>
          <cell r="AF930">
            <v>42235</v>
          </cell>
          <cell r="AG930">
            <v>9.17</v>
          </cell>
          <cell r="AH930" t="str">
            <v>PPM</v>
          </cell>
          <cell r="AI930" t="str">
            <v>Strands</v>
          </cell>
          <cell r="AJ930" t="str">
            <v>Strands PW</v>
          </cell>
        </row>
        <row r="931">
          <cell r="A931" t="str">
            <v>IKN400482</v>
          </cell>
          <cell r="B931">
            <v>482</v>
          </cell>
          <cell r="C931" t="str">
            <v>Institut Kanser Negara</v>
          </cell>
          <cell r="D931" t="str">
            <v>KKM/IKN/H/13/432</v>
          </cell>
          <cell r="E931" t="str">
            <v>13-215</v>
          </cell>
          <cell r="F931" t="str">
            <v>Infusion Pumps, General-Purpose</v>
          </cell>
          <cell r="G931" t="str">
            <v>WB</v>
          </cell>
          <cell r="H931" t="str">
            <v>SURGICAL ONCO MALE WARD</v>
          </cell>
          <cell r="I931" t="str">
            <v>05WB113</v>
          </cell>
          <cell r="J931" t="str">
            <v>EQUIP. ROOM</v>
          </cell>
          <cell r="K931" t="str">
            <v>BMED</v>
          </cell>
          <cell r="L931" t="str">
            <v>Critical</v>
          </cell>
          <cell r="M931" t="str">
            <v>Germany</v>
          </cell>
          <cell r="N931" t="str">
            <v>Infusomat</v>
          </cell>
          <cell r="O931" t="str">
            <v>Infusomat Space</v>
          </cell>
          <cell r="P931" t="str">
            <v>212035</v>
          </cell>
          <cell r="Q931" t="str">
            <v>Not Applicable</v>
          </cell>
          <cell r="R931" t="str">
            <v>B Braun Melsungen AG</v>
          </cell>
          <cell r="S931" t="str">
            <v>B Braun Medical Supplies Sdn. Bhd.</v>
          </cell>
          <cell r="T931" t="str">
            <v>Functioning</v>
          </cell>
          <cell r="U931" t="str">
            <v>Asset</v>
          </cell>
          <cell r="V931">
            <v>10825</v>
          </cell>
          <cell r="W931" t="str">
            <v>KEW</v>
          </cell>
          <cell r="X931" t="str">
            <v>01/09/2010</v>
          </cell>
          <cell r="Y931" t="str">
            <v>KEW</v>
          </cell>
          <cell r="Z931" t="str">
            <v>16/08/2013</v>
          </cell>
          <cell r="AA931" t="str">
            <v>15/08/2015</v>
          </cell>
          <cell r="AB931" t="str">
            <v>No</v>
          </cell>
          <cell r="AC931" t="str">
            <v>31/08/2013</v>
          </cell>
          <cell r="AD931" t="str">
            <v>Good</v>
          </cell>
          <cell r="AE931" t="str">
            <v>V1 - Existing / No Claim</v>
          </cell>
          <cell r="AF931">
            <v>42788</v>
          </cell>
          <cell r="AG931">
            <v>9.17</v>
          </cell>
          <cell r="AH931" t="str">
            <v>PPM</v>
          </cell>
          <cell r="AI931" t="str">
            <v>Strands</v>
          </cell>
          <cell r="AJ931" t="str">
            <v>Strands PW</v>
          </cell>
        </row>
        <row r="932">
          <cell r="A932" t="str">
            <v>IKN400483</v>
          </cell>
          <cell r="B932">
            <v>483</v>
          </cell>
          <cell r="C932" t="str">
            <v>Institut Kanser Negara</v>
          </cell>
          <cell r="D932" t="str">
            <v>KKM/IKN/H/13/5379</v>
          </cell>
          <cell r="E932" t="str">
            <v>12-660</v>
          </cell>
          <cell r="F932" t="str">
            <v>Radiation Monitors</v>
          </cell>
          <cell r="G932" t="str">
            <v>NW</v>
          </cell>
          <cell r="H932" t="str">
            <v>NUCLEAR WASTE HOLDING</v>
          </cell>
          <cell r="I932" t="str">
            <v>01NW106</v>
          </cell>
          <cell r="J932" t="str">
            <v>WASTE MEASUREMENT</v>
          </cell>
          <cell r="K932" t="str">
            <v>BMED</v>
          </cell>
          <cell r="L932" t="str">
            <v>Normal</v>
          </cell>
          <cell r="M932" t="str">
            <v>Germany</v>
          </cell>
          <cell r="N932" t="str">
            <v>Almo</v>
          </cell>
          <cell r="O932" t="str">
            <v>Almo 6</v>
          </cell>
          <cell r="P932" t="str">
            <v>0071</v>
          </cell>
          <cell r="Q932" t="str">
            <v>Not Applicable</v>
          </cell>
          <cell r="R932" t="str">
            <v>MED Nuklear-Medizintechnik Dresden GmbH</v>
          </cell>
          <cell r="S932" t="str">
            <v/>
          </cell>
          <cell r="T932" t="str">
            <v>Functioning</v>
          </cell>
          <cell r="U932" t="str">
            <v>Asset</v>
          </cell>
          <cell r="V932">
            <v>54570</v>
          </cell>
          <cell r="W932" t="str">
            <v>KEW</v>
          </cell>
          <cell r="X932" t="str">
            <v>01/09/2010</v>
          </cell>
          <cell r="Y932" t="str">
            <v>KEW</v>
          </cell>
          <cell r="Z932" t="str">
            <v>16/08/2013</v>
          </cell>
          <cell r="AA932" t="str">
            <v>15/08/2015</v>
          </cell>
          <cell r="AB932" t="str">
            <v>No</v>
          </cell>
          <cell r="AC932" t="str">
            <v>31/08/2013</v>
          </cell>
          <cell r="AD932" t="str">
            <v>Good</v>
          </cell>
          <cell r="AE932" t="str">
            <v>V1 - Existing / No Claim</v>
          </cell>
          <cell r="AF932">
            <v>42235</v>
          </cell>
          <cell r="AG932">
            <v>9.17</v>
          </cell>
          <cell r="AH932" t="str">
            <v>PPM</v>
          </cell>
          <cell r="AI932" t="str">
            <v>Strands</v>
          </cell>
          <cell r="AJ932" t="str">
            <v>Strands PW</v>
          </cell>
          <cell r="AK932" t="str">
            <v>[25/11/2024]: SN Detector: 76594)</v>
          </cell>
        </row>
        <row r="933">
          <cell r="A933" t="str">
            <v>IKN400484</v>
          </cell>
          <cell r="B933">
            <v>484</v>
          </cell>
          <cell r="C933" t="str">
            <v>Institut Kanser Negara</v>
          </cell>
          <cell r="D933" t="str">
            <v>KKM/IKN/H/13/437</v>
          </cell>
          <cell r="E933" t="str">
            <v>18-147</v>
          </cell>
          <cell r="F933" t="str">
            <v>Mattress Systems, Alternating-Pressure</v>
          </cell>
          <cell r="G933" t="str">
            <v>WB</v>
          </cell>
          <cell r="H933" t="str">
            <v>SURGICAL ONCO MALE WARD</v>
          </cell>
          <cell r="I933" t="str">
            <v>05WB113</v>
          </cell>
          <cell r="J933" t="str">
            <v>EQUIP. ROOM</v>
          </cell>
          <cell r="K933" t="str">
            <v>BMED</v>
          </cell>
          <cell r="L933" t="str">
            <v>Normal</v>
          </cell>
          <cell r="M933" t="str">
            <v>Poland</v>
          </cell>
          <cell r="N933" t="str">
            <v>Nimbus</v>
          </cell>
          <cell r="O933" t="str">
            <v>Nimbus 3</v>
          </cell>
          <cell r="P933" t="str">
            <v>1200006463</v>
          </cell>
          <cell r="Q933" t="str">
            <v>Not Applicable</v>
          </cell>
          <cell r="R933" t="str">
            <v>Arjohuntleigh</v>
          </cell>
          <cell r="S933" t="str">
            <v>Hexamine Sdn. Bhd.</v>
          </cell>
          <cell r="T933" t="str">
            <v>Functioning</v>
          </cell>
          <cell r="U933" t="str">
            <v>Asset</v>
          </cell>
          <cell r="V933">
            <v>28630</v>
          </cell>
          <cell r="W933" t="str">
            <v>KEW</v>
          </cell>
          <cell r="X933" t="str">
            <v>01/09/2010</v>
          </cell>
          <cell r="Y933" t="str">
            <v>KEW</v>
          </cell>
          <cell r="Z933" t="str">
            <v>16/08/2013</v>
          </cell>
          <cell r="AA933" t="str">
            <v>15/08/2015</v>
          </cell>
          <cell r="AB933" t="str">
            <v>No</v>
          </cell>
          <cell r="AC933" t="str">
            <v>31/08/2013</v>
          </cell>
          <cell r="AD933" t="str">
            <v>Good</v>
          </cell>
          <cell r="AE933" t="str">
            <v>V1 - Existing / No Claim</v>
          </cell>
          <cell r="AF933">
            <v>42788</v>
          </cell>
          <cell r="AG933">
            <v>9.17</v>
          </cell>
          <cell r="AH933" t="str">
            <v>PPM</v>
          </cell>
          <cell r="AI933" t="str">
            <v>Strands</v>
          </cell>
          <cell r="AJ933" t="str">
            <v>Strands PW</v>
          </cell>
        </row>
        <row r="934">
          <cell r="A934" t="str">
            <v>IKN400485</v>
          </cell>
          <cell r="B934">
            <v>485</v>
          </cell>
          <cell r="C934" t="str">
            <v>Institut Kanser Negara</v>
          </cell>
          <cell r="D934" t="str">
            <v>KKM/IKN/H/13/2661</v>
          </cell>
          <cell r="E934" t="str">
            <v>10-134</v>
          </cell>
          <cell r="F934" t="str">
            <v>Anesthesia Units</v>
          </cell>
          <cell r="G934" t="str">
            <v>ID</v>
          </cell>
          <cell r="H934" t="str">
            <v>IMAGING DEPARTMENT</v>
          </cell>
          <cell r="I934" t="str">
            <v>03ID109</v>
          </cell>
          <cell r="J934" t="str">
            <v>INDUCTION</v>
          </cell>
          <cell r="K934" t="str">
            <v>BMED</v>
          </cell>
          <cell r="L934" t="str">
            <v>Normal</v>
          </cell>
          <cell r="M934" t="str">
            <v>Germany</v>
          </cell>
          <cell r="N934" t="str">
            <v>Fabius</v>
          </cell>
          <cell r="O934" t="str">
            <v>Fabius MRI</v>
          </cell>
          <cell r="P934" t="str">
            <v>ASDD-0149</v>
          </cell>
          <cell r="Q934" t="str">
            <v>Not Applicable</v>
          </cell>
          <cell r="R934" t="str">
            <v>Draegerwerk Ag</v>
          </cell>
          <cell r="S934" t="str">
            <v>Beau Consortium Sdn Bhd</v>
          </cell>
          <cell r="T934" t="str">
            <v>Functioning</v>
          </cell>
          <cell r="U934" t="str">
            <v>Asset</v>
          </cell>
          <cell r="V934">
            <v>312750</v>
          </cell>
          <cell r="W934" t="str">
            <v>KEW</v>
          </cell>
          <cell r="X934" t="str">
            <v>01/09/2010</v>
          </cell>
          <cell r="Y934" t="str">
            <v>KEW</v>
          </cell>
          <cell r="Z934" t="str">
            <v>16/08/2013</v>
          </cell>
          <cell r="AA934" t="str">
            <v>15/08/2015</v>
          </cell>
          <cell r="AB934" t="str">
            <v>No</v>
          </cell>
          <cell r="AC934" t="str">
            <v>31/08/2013</v>
          </cell>
          <cell r="AD934" t="str">
            <v>Good</v>
          </cell>
          <cell r="AE934" t="str">
            <v>V1 - Existing / No Claim</v>
          </cell>
          <cell r="AF934">
            <v>42235</v>
          </cell>
          <cell r="AG934">
            <v>9.17</v>
          </cell>
          <cell r="AH934" t="str">
            <v>PPM</v>
          </cell>
          <cell r="AI934" t="str">
            <v>Strands</v>
          </cell>
          <cell r="AJ934" t="str">
            <v>Strands PW</v>
          </cell>
        </row>
        <row r="935">
          <cell r="A935" t="str">
            <v>IKN400486</v>
          </cell>
          <cell r="B935">
            <v>486</v>
          </cell>
          <cell r="C935" t="str">
            <v>Institut Kanser Negara</v>
          </cell>
          <cell r="D935" t="str">
            <v>KKM/IKN/H/13/438</v>
          </cell>
          <cell r="E935" t="str">
            <v>18-147</v>
          </cell>
          <cell r="F935" t="str">
            <v>Mattress Systems, Alternating-Pressure</v>
          </cell>
          <cell r="G935" t="str">
            <v>WB</v>
          </cell>
          <cell r="H935" t="str">
            <v>SURGICAL ONCO MALE WARD</v>
          </cell>
          <cell r="I935" t="str">
            <v>05WB113</v>
          </cell>
          <cell r="J935" t="str">
            <v>EQUIP. ROOM</v>
          </cell>
          <cell r="K935" t="str">
            <v>BMED</v>
          </cell>
          <cell r="L935" t="str">
            <v>Normal</v>
          </cell>
          <cell r="M935" t="str">
            <v>Poland</v>
          </cell>
          <cell r="N935" t="str">
            <v>Nimbus</v>
          </cell>
          <cell r="O935" t="str">
            <v>Nimbus 3</v>
          </cell>
          <cell r="P935" t="str">
            <v>1200006477</v>
          </cell>
          <cell r="Q935" t="str">
            <v>Not Applicable</v>
          </cell>
          <cell r="R935" t="str">
            <v>Arjohuntleigh</v>
          </cell>
          <cell r="S935" t="str">
            <v>Hexamine Sdn. Bhd.</v>
          </cell>
          <cell r="T935" t="str">
            <v>Functioning</v>
          </cell>
          <cell r="U935" t="str">
            <v>Asset</v>
          </cell>
          <cell r="V935">
            <v>28630</v>
          </cell>
          <cell r="W935" t="str">
            <v>KEW</v>
          </cell>
          <cell r="X935" t="str">
            <v>01/09/2010</v>
          </cell>
          <cell r="Y935" t="str">
            <v>KEW</v>
          </cell>
          <cell r="Z935" t="str">
            <v>16/08/2013</v>
          </cell>
          <cell r="AA935" t="str">
            <v>15/08/2015</v>
          </cell>
          <cell r="AB935" t="str">
            <v>No</v>
          </cell>
          <cell r="AC935" t="str">
            <v>31/08/2013</v>
          </cell>
          <cell r="AD935" t="str">
            <v>Good</v>
          </cell>
          <cell r="AE935" t="str">
            <v>V1 - Existing / No Claim</v>
          </cell>
          <cell r="AF935">
            <v>42788</v>
          </cell>
          <cell r="AG935">
            <v>9.17</v>
          </cell>
          <cell r="AH935" t="str">
            <v>PPM</v>
          </cell>
          <cell r="AI935" t="str">
            <v>Strands</v>
          </cell>
          <cell r="AJ935" t="str">
            <v>Strands PW</v>
          </cell>
        </row>
        <row r="936">
          <cell r="A936" t="str">
            <v>IKN400487</v>
          </cell>
          <cell r="B936">
            <v>487</v>
          </cell>
          <cell r="C936" t="str">
            <v>Institut Kanser Negara</v>
          </cell>
          <cell r="D936" t="str">
            <v>KKM/IKN/H/13/441</v>
          </cell>
          <cell r="E936" t="str">
            <v>18-147</v>
          </cell>
          <cell r="F936" t="str">
            <v>Mattress Systems, Alternating-Pressure</v>
          </cell>
          <cell r="G936" t="str">
            <v>WB</v>
          </cell>
          <cell r="H936" t="str">
            <v>SURGICAL ONCO MALE WARD</v>
          </cell>
          <cell r="I936" t="str">
            <v>05WB113</v>
          </cell>
          <cell r="J936" t="str">
            <v>EQUIP. ROOM</v>
          </cell>
          <cell r="K936" t="str">
            <v>BMED</v>
          </cell>
          <cell r="L936" t="str">
            <v>Normal</v>
          </cell>
          <cell r="M936" t="str">
            <v>Poland</v>
          </cell>
          <cell r="N936" t="str">
            <v>Nimbus</v>
          </cell>
          <cell r="O936" t="str">
            <v>Nimbus 3</v>
          </cell>
          <cell r="P936" t="str">
            <v>1200006448</v>
          </cell>
          <cell r="Q936" t="str">
            <v>Not Applicable</v>
          </cell>
          <cell r="R936" t="str">
            <v>Arjohuntleigh</v>
          </cell>
          <cell r="S936" t="str">
            <v>Hexamine Sdn. Bhd.</v>
          </cell>
          <cell r="T936" t="str">
            <v>Functioning</v>
          </cell>
          <cell r="U936" t="str">
            <v>Asset</v>
          </cell>
          <cell r="V936">
            <v>28630</v>
          </cell>
          <cell r="W936" t="str">
            <v>KEW</v>
          </cell>
          <cell r="X936" t="str">
            <v>01/09/2010</v>
          </cell>
          <cell r="Y936" t="str">
            <v>KEW</v>
          </cell>
          <cell r="Z936" t="str">
            <v>16/08/2013</v>
          </cell>
          <cell r="AA936" t="str">
            <v>15/08/2015</v>
          </cell>
          <cell r="AB936" t="str">
            <v>No</v>
          </cell>
          <cell r="AC936" t="str">
            <v>31/08/2013</v>
          </cell>
          <cell r="AD936" t="str">
            <v>Good</v>
          </cell>
          <cell r="AE936" t="str">
            <v>V1 - Existing / No Claim</v>
          </cell>
          <cell r="AF936">
            <v>42788</v>
          </cell>
          <cell r="AG936">
            <v>9.17</v>
          </cell>
          <cell r="AH936" t="str">
            <v>PPM</v>
          </cell>
          <cell r="AI936" t="str">
            <v>Strands</v>
          </cell>
          <cell r="AJ936" t="str">
            <v>Strands PW</v>
          </cell>
        </row>
        <row r="937">
          <cell r="A937" t="str">
            <v>IKN400488</v>
          </cell>
          <cell r="B937">
            <v>488</v>
          </cell>
          <cell r="C937" t="str">
            <v>Institut Kanser Negara</v>
          </cell>
          <cell r="D937" t="str">
            <v>KKM/IKN/H/13/440</v>
          </cell>
          <cell r="E937" t="str">
            <v>18-147</v>
          </cell>
          <cell r="F937" t="str">
            <v>Mattress Systems, Alternating-Pressure</v>
          </cell>
          <cell r="G937" t="str">
            <v>WB</v>
          </cell>
          <cell r="H937" t="str">
            <v>SURGICAL ONCO MALE WARD</v>
          </cell>
          <cell r="I937" t="str">
            <v>05WB113</v>
          </cell>
          <cell r="J937" t="str">
            <v>EQUIP. ROOM</v>
          </cell>
          <cell r="K937" t="str">
            <v>BMED</v>
          </cell>
          <cell r="L937" t="str">
            <v>Normal</v>
          </cell>
          <cell r="M937" t="str">
            <v>Poland</v>
          </cell>
          <cell r="N937" t="str">
            <v>Nimbus</v>
          </cell>
          <cell r="O937" t="str">
            <v>Nimbus 3</v>
          </cell>
          <cell r="P937" t="str">
            <v>1100039129</v>
          </cell>
          <cell r="Q937" t="str">
            <v>Not Applicable</v>
          </cell>
          <cell r="R937" t="str">
            <v>Arjohuntleigh</v>
          </cell>
          <cell r="S937" t="str">
            <v>Hexamine Sdn. Bhd.</v>
          </cell>
          <cell r="T937" t="str">
            <v>Functioning</v>
          </cell>
          <cell r="U937" t="str">
            <v>Asset</v>
          </cell>
          <cell r="V937">
            <v>28630</v>
          </cell>
          <cell r="W937" t="str">
            <v>KEW</v>
          </cell>
          <cell r="X937" t="str">
            <v>01/09/2010</v>
          </cell>
          <cell r="Y937" t="str">
            <v>KEW</v>
          </cell>
          <cell r="Z937" t="str">
            <v>16/08/2013</v>
          </cell>
          <cell r="AA937" t="str">
            <v>15/08/2015</v>
          </cell>
          <cell r="AB937" t="str">
            <v>No</v>
          </cell>
          <cell r="AC937" t="str">
            <v>31/08/2013</v>
          </cell>
          <cell r="AD937" t="str">
            <v>Good</v>
          </cell>
          <cell r="AE937" t="str">
            <v>V1 - Existing / No Claim</v>
          </cell>
          <cell r="AF937">
            <v>42788</v>
          </cell>
          <cell r="AG937">
            <v>9.17</v>
          </cell>
          <cell r="AH937" t="str">
            <v>PPM</v>
          </cell>
          <cell r="AI937" t="str">
            <v>Strands</v>
          </cell>
          <cell r="AJ937" t="str">
            <v>Strands PW</v>
          </cell>
        </row>
        <row r="938">
          <cell r="A938" t="str">
            <v>IKN400489</v>
          </cell>
          <cell r="B938">
            <v>489</v>
          </cell>
          <cell r="C938" t="str">
            <v>Institut Kanser Negara</v>
          </cell>
          <cell r="D938" t="str">
            <v>KKM/IKN/H/13/443</v>
          </cell>
          <cell r="E938" t="str">
            <v>10-208</v>
          </cell>
          <cell r="F938" t="str">
            <v>Aspirators</v>
          </cell>
          <cell r="G938" t="str">
            <v>WB</v>
          </cell>
          <cell r="H938" t="str">
            <v>SURGICAL ONCO MALE WARD</v>
          </cell>
          <cell r="I938" t="str">
            <v>05WB113</v>
          </cell>
          <cell r="J938" t="str">
            <v>EQUIP. ROOM</v>
          </cell>
          <cell r="K938" t="str">
            <v>BMED</v>
          </cell>
          <cell r="L938" t="str">
            <v>Critical</v>
          </cell>
          <cell r="M938" t="str">
            <v>UK</v>
          </cell>
          <cell r="N938" t="str">
            <v>SAM</v>
          </cell>
          <cell r="O938" t="str">
            <v>SAM 427</v>
          </cell>
          <cell r="P938" t="str">
            <v>0313-0533</v>
          </cell>
          <cell r="Q938" t="str">
            <v>Not Applicable</v>
          </cell>
          <cell r="R938" t="str">
            <v>MG Electric Ltd</v>
          </cell>
          <cell r="S938" t="str">
            <v>Delta Medisains</v>
          </cell>
          <cell r="T938" t="str">
            <v>Functioning</v>
          </cell>
          <cell r="U938" t="str">
            <v>Asset</v>
          </cell>
          <cell r="V938">
            <v>10705</v>
          </cell>
          <cell r="W938" t="str">
            <v>KEW</v>
          </cell>
          <cell r="X938" t="str">
            <v>01/09/2010</v>
          </cell>
          <cell r="Y938" t="str">
            <v>KEW</v>
          </cell>
          <cell r="Z938" t="str">
            <v>16/08/2013</v>
          </cell>
          <cell r="AA938" t="str">
            <v>15/08/2015</v>
          </cell>
          <cell r="AB938" t="str">
            <v>No</v>
          </cell>
          <cell r="AC938" t="str">
            <v>31/08/2013</v>
          </cell>
          <cell r="AD938" t="str">
            <v>Good</v>
          </cell>
          <cell r="AE938" t="str">
            <v>V1 - Existing / No Claim</v>
          </cell>
          <cell r="AF938">
            <v>42788</v>
          </cell>
          <cell r="AG938">
            <v>9.17</v>
          </cell>
          <cell r="AH938" t="str">
            <v>PPM</v>
          </cell>
          <cell r="AI938" t="str">
            <v>Strands</v>
          </cell>
          <cell r="AJ938" t="str">
            <v>Strands PW</v>
          </cell>
        </row>
        <row r="939">
          <cell r="A939" t="str">
            <v>IKN400490</v>
          </cell>
          <cell r="B939">
            <v>490</v>
          </cell>
          <cell r="C939" t="str">
            <v>Institut Kanser Negara</v>
          </cell>
          <cell r="D939" t="str">
            <v>KKM/IKN/H/13/449</v>
          </cell>
          <cell r="E939" t="str">
            <v>12-647</v>
          </cell>
          <cell r="F939" t="str">
            <v>Physiologic Monitoring Systems, Acute Care</v>
          </cell>
          <cell r="G939" t="str">
            <v>WB</v>
          </cell>
          <cell r="H939" t="str">
            <v>SURGICAL ONCO MALE WARD</v>
          </cell>
          <cell r="I939" t="str">
            <v>05WB113</v>
          </cell>
          <cell r="J939" t="str">
            <v>EQUIP. ROOM</v>
          </cell>
          <cell r="K939" t="str">
            <v>BMED</v>
          </cell>
          <cell r="L939" t="str">
            <v>Critical</v>
          </cell>
          <cell r="M939" t="str">
            <v>USA</v>
          </cell>
          <cell r="N939" t="str">
            <v>GE</v>
          </cell>
          <cell r="O939" t="str">
            <v>GE B30</v>
          </cell>
          <cell r="P939" t="str">
            <v>SF312325914WA</v>
          </cell>
          <cell r="Q939" t="str">
            <v>Not Applicable</v>
          </cell>
          <cell r="R939" t="str">
            <v>GE Healthcare Systems</v>
          </cell>
          <cell r="S939" t="str">
            <v>GE Healthcare Technologies</v>
          </cell>
          <cell r="T939" t="str">
            <v>Functioning</v>
          </cell>
          <cell r="U939" t="str">
            <v>Asset</v>
          </cell>
          <cell r="V939">
            <v>44510</v>
          </cell>
          <cell r="W939" t="str">
            <v>KEW</v>
          </cell>
          <cell r="X939" t="str">
            <v>01/09/2010</v>
          </cell>
          <cell r="Y939" t="str">
            <v>KEW</v>
          </cell>
          <cell r="Z939" t="str">
            <v>16/08/2013</v>
          </cell>
          <cell r="AA939" t="str">
            <v>15/08/2015</v>
          </cell>
          <cell r="AB939" t="str">
            <v>No</v>
          </cell>
          <cell r="AC939" t="str">
            <v>31/08/2013</v>
          </cell>
          <cell r="AD939" t="str">
            <v>Good</v>
          </cell>
          <cell r="AE939" t="str">
            <v>V1 - Existing / No Claim</v>
          </cell>
          <cell r="AF939">
            <v>42788</v>
          </cell>
          <cell r="AG939">
            <v>9.17</v>
          </cell>
          <cell r="AH939" t="str">
            <v>PPM</v>
          </cell>
          <cell r="AI939" t="str">
            <v>Strands</v>
          </cell>
          <cell r="AJ939" t="str">
            <v>Strands PW</v>
          </cell>
        </row>
        <row r="940">
          <cell r="A940" t="str">
            <v>IKN400491</v>
          </cell>
          <cell r="B940">
            <v>491</v>
          </cell>
          <cell r="C940" t="str">
            <v>Institut Kanser Negara</v>
          </cell>
          <cell r="D940" t="str">
            <v>KKM/IKN/H/13/2378</v>
          </cell>
          <cell r="E940" t="str">
            <v>12-647</v>
          </cell>
          <cell r="F940" t="str">
            <v>Physiologic Monitoring Systems, Acute Care</v>
          </cell>
          <cell r="G940" t="str">
            <v>WB</v>
          </cell>
          <cell r="H940" t="str">
            <v>SURGICAL ONCO MALE WARD</v>
          </cell>
          <cell r="I940" t="str">
            <v>05WB113</v>
          </cell>
          <cell r="J940" t="str">
            <v>EQUIP. ROOM</v>
          </cell>
          <cell r="K940" t="str">
            <v>BMED</v>
          </cell>
          <cell r="L940" t="str">
            <v>Critical</v>
          </cell>
          <cell r="M940" t="str">
            <v>USA</v>
          </cell>
          <cell r="N940" t="str">
            <v>GE</v>
          </cell>
          <cell r="O940" t="str">
            <v>GE B30</v>
          </cell>
          <cell r="P940" t="str">
            <v>SF312325883WA</v>
          </cell>
          <cell r="Q940" t="str">
            <v>Not Applicable</v>
          </cell>
          <cell r="R940" t="str">
            <v>GE Healthcare Systems</v>
          </cell>
          <cell r="S940" t="str">
            <v>GE Healthcare Technologies</v>
          </cell>
          <cell r="T940" t="str">
            <v>Functioning</v>
          </cell>
          <cell r="U940" t="str">
            <v>Asset</v>
          </cell>
          <cell r="V940">
            <v>44510</v>
          </cell>
          <cell r="W940" t="str">
            <v>KEW</v>
          </cell>
          <cell r="X940" t="str">
            <v>01/09/2010</v>
          </cell>
          <cell r="Y940" t="str">
            <v>KEW</v>
          </cell>
          <cell r="Z940" t="str">
            <v>16/08/2013</v>
          </cell>
          <cell r="AA940" t="str">
            <v>15/08/2015</v>
          </cell>
          <cell r="AB940" t="str">
            <v>No</v>
          </cell>
          <cell r="AC940" t="str">
            <v>31/08/2013</v>
          </cell>
          <cell r="AD940" t="str">
            <v>Good</v>
          </cell>
          <cell r="AE940" t="str">
            <v>V1 - Existing / No Claim</v>
          </cell>
          <cell r="AF940">
            <v>42788</v>
          </cell>
          <cell r="AG940">
            <v>9.17</v>
          </cell>
          <cell r="AH940" t="str">
            <v>PPM</v>
          </cell>
          <cell r="AI940" t="str">
            <v>Strands</v>
          </cell>
          <cell r="AJ940" t="str">
            <v>Strands PW</v>
          </cell>
        </row>
        <row r="941">
          <cell r="A941" t="str">
            <v>IKN400492</v>
          </cell>
          <cell r="B941">
            <v>492</v>
          </cell>
          <cell r="C941" t="str">
            <v>Institut Kanser Negara</v>
          </cell>
          <cell r="D941" t="str">
            <v>KKM/IKN/H/13/3104</v>
          </cell>
          <cell r="E941" t="str">
            <v>18-449</v>
          </cell>
          <cell r="F941" t="str">
            <v>Balances, Electronic, Analytical</v>
          </cell>
          <cell r="G941" t="str">
            <v>NM</v>
          </cell>
          <cell r="H941" t="str">
            <v>NUCLEAR MED (DIAGNOSTIC)</v>
          </cell>
          <cell r="I941" t="str">
            <v>03NM142</v>
          </cell>
          <cell r="J941" t="str">
            <v>INJECTION ROOM 2 (-VE)</v>
          </cell>
          <cell r="K941" t="str">
            <v>BMED</v>
          </cell>
          <cell r="L941" t="str">
            <v>Normal</v>
          </cell>
          <cell r="M941" t="str">
            <v>Germany</v>
          </cell>
          <cell r="N941" t="str">
            <v>Sartorius</v>
          </cell>
          <cell r="O941" t="str">
            <v>Sartorius CPA225D</v>
          </cell>
          <cell r="P941" t="str">
            <v>28103547</v>
          </cell>
          <cell r="Q941" t="str">
            <v>Not Applicable</v>
          </cell>
          <cell r="R941" t="str">
            <v>Sartorius AG</v>
          </cell>
          <cell r="S941" t="str">
            <v>Chemopharm Sd. Bhd.</v>
          </cell>
          <cell r="T941" t="str">
            <v>Functioning</v>
          </cell>
          <cell r="U941" t="str">
            <v>Asset</v>
          </cell>
          <cell r="V941">
            <v>6250</v>
          </cell>
          <cell r="W941" t="str">
            <v>KEW</v>
          </cell>
          <cell r="X941" t="str">
            <v>01/09/2010</v>
          </cell>
          <cell r="Y941" t="str">
            <v>KEW</v>
          </cell>
          <cell r="Z941" t="str">
            <v>16/08/2013</v>
          </cell>
          <cell r="AA941" t="str">
            <v>15/08/2015</v>
          </cell>
          <cell r="AB941" t="str">
            <v>No</v>
          </cell>
          <cell r="AC941" t="str">
            <v>31/08/2013</v>
          </cell>
          <cell r="AD941" t="str">
            <v>Good</v>
          </cell>
          <cell r="AE941" t="str">
            <v>V1 - Existing / No Claim</v>
          </cell>
          <cell r="AF941">
            <v>42235</v>
          </cell>
          <cell r="AG941">
            <v>9.17</v>
          </cell>
          <cell r="AH941" t="str">
            <v>PPM</v>
          </cell>
          <cell r="AI941" t="str">
            <v>Strands</v>
          </cell>
          <cell r="AJ941" t="str">
            <v>Strands PW</v>
          </cell>
        </row>
        <row r="942">
          <cell r="A942" t="str">
            <v>IKN400493</v>
          </cell>
          <cell r="B942">
            <v>493</v>
          </cell>
          <cell r="C942" t="str">
            <v>Institut Kanser Negara</v>
          </cell>
          <cell r="D942" t="str">
            <v>KKM/IKN/H/13/446</v>
          </cell>
          <cell r="E942" t="str">
            <v>11-134</v>
          </cell>
          <cell r="F942" t="str">
            <v>Defibrillators, External, Manual</v>
          </cell>
          <cell r="G942" t="str">
            <v>WB</v>
          </cell>
          <cell r="H942" t="str">
            <v>SURGICAL ONCO MALE WARD</v>
          </cell>
          <cell r="I942" t="str">
            <v>05WB133</v>
          </cell>
          <cell r="J942" t="str">
            <v>RESUS EQ. BAY</v>
          </cell>
          <cell r="K942" t="str">
            <v>BMED</v>
          </cell>
          <cell r="L942" t="str">
            <v>Critical</v>
          </cell>
          <cell r="M942" t="str">
            <v>USA</v>
          </cell>
          <cell r="N942" t="str">
            <v>Responder</v>
          </cell>
          <cell r="O942" t="str">
            <v>Responder 2000</v>
          </cell>
          <cell r="P942" t="str">
            <v>3206702</v>
          </cell>
          <cell r="Q942" t="str">
            <v>Not Applicable</v>
          </cell>
          <cell r="R942" t="str">
            <v>GE Medical Systems</v>
          </cell>
          <cell r="S942" t="str">
            <v>Antah Sir Radin Sdn. Bhd.</v>
          </cell>
          <cell r="T942" t="str">
            <v>Functioning</v>
          </cell>
          <cell r="U942" t="str">
            <v>Asset</v>
          </cell>
          <cell r="V942">
            <v>45000</v>
          </cell>
          <cell r="W942" t="str">
            <v>Estimate</v>
          </cell>
          <cell r="X942" t="str">
            <v>01/09/2010</v>
          </cell>
          <cell r="Y942" t="str">
            <v>KEW</v>
          </cell>
          <cell r="Z942" t="str">
            <v>16/08/2013</v>
          </cell>
          <cell r="AA942" t="str">
            <v>15/08/2015</v>
          </cell>
          <cell r="AB942" t="str">
            <v>No</v>
          </cell>
          <cell r="AC942" t="str">
            <v>31/08/2013</v>
          </cell>
          <cell r="AD942" t="str">
            <v>Good</v>
          </cell>
          <cell r="AE942" t="str">
            <v>V1 - Existing / No Claim</v>
          </cell>
          <cell r="AF942">
            <v>42601</v>
          </cell>
          <cell r="AG942">
            <v>9.17</v>
          </cell>
          <cell r="AH942" t="str">
            <v>PPM</v>
          </cell>
          <cell r="AI942" t="str">
            <v>Strands</v>
          </cell>
          <cell r="AJ942" t="str">
            <v>Strands PW</v>
          </cell>
          <cell r="AK942" t="str">
            <v>Crash Trolley (FEMS)</v>
          </cell>
        </row>
        <row r="943">
          <cell r="A943" t="str">
            <v>IKN400494</v>
          </cell>
          <cell r="B943">
            <v>494</v>
          </cell>
          <cell r="C943" t="str">
            <v>Institut Kanser Negara</v>
          </cell>
          <cell r="D943" t="str">
            <v>KKM/IKN/H/13/3133</v>
          </cell>
          <cell r="E943" t="str">
            <v>16-173</v>
          </cell>
          <cell r="F943" t="str">
            <v>Sphygmomanometers, Electronic, Automatic</v>
          </cell>
          <cell r="G943" t="str">
            <v>WB</v>
          </cell>
          <cell r="H943" t="str">
            <v>SURGICAL ONCO MALE WARD</v>
          </cell>
          <cell r="I943" t="str">
            <v>05WB143</v>
          </cell>
          <cell r="J943" t="str">
            <v>NURSES STATION</v>
          </cell>
          <cell r="K943" t="str">
            <v>BMED</v>
          </cell>
          <cell r="L943" t="str">
            <v>Critical</v>
          </cell>
          <cell r="M943" t="str">
            <v>USA</v>
          </cell>
          <cell r="N943" t="str">
            <v>Connex</v>
          </cell>
          <cell r="O943" t="str">
            <v>Connex ProBP 3400</v>
          </cell>
          <cell r="P943" t="str">
            <v>100001500613</v>
          </cell>
          <cell r="Q943" t="str">
            <v>Not Applicable</v>
          </cell>
          <cell r="R943" t="str">
            <v>Welch Allyn Inc</v>
          </cell>
          <cell r="S943" t="str">
            <v>Welch Allyn Malaysia Sdn Bhd</v>
          </cell>
          <cell r="T943" t="str">
            <v>Functioning</v>
          </cell>
          <cell r="U943" t="str">
            <v>Asset</v>
          </cell>
          <cell r="V943">
            <v>4510</v>
          </cell>
          <cell r="W943" t="str">
            <v>KEW</v>
          </cell>
          <cell r="X943" t="str">
            <v>01/09/2010</v>
          </cell>
          <cell r="Y943" t="str">
            <v>KEW</v>
          </cell>
          <cell r="Z943" t="str">
            <v>16/08/2013</v>
          </cell>
          <cell r="AA943" t="str">
            <v>15/08/2015</v>
          </cell>
          <cell r="AB943" t="str">
            <v>No</v>
          </cell>
          <cell r="AC943" t="str">
            <v>31/08/2013</v>
          </cell>
          <cell r="AD943" t="str">
            <v>Good</v>
          </cell>
          <cell r="AE943" t="str">
            <v>V1 - Existing / No Claim</v>
          </cell>
          <cell r="AF943">
            <v>42788</v>
          </cell>
          <cell r="AG943">
            <v>9.17</v>
          </cell>
          <cell r="AH943" t="str">
            <v>PPM</v>
          </cell>
          <cell r="AI943" t="str">
            <v>Strands</v>
          </cell>
          <cell r="AJ943" t="str">
            <v>Strands PW</v>
          </cell>
        </row>
        <row r="944">
          <cell r="A944" t="str">
            <v>IKN400495</v>
          </cell>
          <cell r="B944">
            <v>495</v>
          </cell>
          <cell r="C944" t="str">
            <v>Institut Kanser Negara</v>
          </cell>
          <cell r="D944" t="str">
            <v>KKM/IKN/H/13/3134</v>
          </cell>
          <cell r="E944" t="str">
            <v>16-173</v>
          </cell>
          <cell r="F944" t="str">
            <v>Sphygmomanometers, Electronic, Automatic</v>
          </cell>
          <cell r="G944" t="str">
            <v>WB</v>
          </cell>
          <cell r="H944" t="str">
            <v>SURGICAL ONCO MALE WARD</v>
          </cell>
          <cell r="I944" t="str">
            <v>05WB143</v>
          </cell>
          <cell r="J944" t="str">
            <v>NURSES STATION</v>
          </cell>
          <cell r="K944" t="str">
            <v>BMED</v>
          </cell>
          <cell r="L944" t="str">
            <v>Normal</v>
          </cell>
          <cell r="M944" t="str">
            <v>USA</v>
          </cell>
          <cell r="N944" t="str">
            <v>Connex</v>
          </cell>
          <cell r="O944" t="str">
            <v>Connex ProBP 3400</v>
          </cell>
          <cell r="P944" t="str">
            <v>100001790613</v>
          </cell>
          <cell r="Q944" t="str">
            <v>Not Applicable</v>
          </cell>
          <cell r="R944" t="str">
            <v>Welch Allyn Inc</v>
          </cell>
          <cell r="S944" t="str">
            <v>Welch Allyn Malaysia Sdn Bhd</v>
          </cell>
          <cell r="T944" t="str">
            <v>Functioning</v>
          </cell>
          <cell r="U944" t="str">
            <v>Asset</v>
          </cell>
          <cell r="V944">
            <v>4510</v>
          </cell>
          <cell r="W944" t="str">
            <v>KEW</v>
          </cell>
          <cell r="X944" t="str">
            <v>01/09/2010</v>
          </cell>
          <cell r="Y944" t="str">
            <v>KEW</v>
          </cell>
          <cell r="Z944" t="str">
            <v>16/08/2013</v>
          </cell>
          <cell r="AA944" t="str">
            <v>15/08/2015</v>
          </cell>
          <cell r="AB944" t="str">
            <v>No</v>
          </cell>
          <cell r="AC944" t="str">
            <v>31/08/2013</v>
          </cell>
          <cell r="AD944" t="str">
            <v>Good</v>
          </cell>
          <cell r="AE944" t="str">
            <v>V1 - Existing / No Claim</v>
          </cell>
          <cell r="AF944">
            <v>42235</v>
          </cell>
          <cell r="AG944">
            <v>9.17</v>
          </cell>
          <cell r="AH944" t="str">
            <v>PPM</v>
          </cell>
          <cell r="AI944" t="str">
            <v>Strands</v>
          </cell>
          <cell r="AJ944" t="str">
            <v>Strands PW</v>
          </cell>
        </row>
        <row r="945">
          <cell r="A945" t="str">
            <v>IKN400496</v>
          </cell>
          <cell r="B945">
            <v>496</v>
          </cell>
          <cell r="C945" t="str">
            <v>Institut Kanser Negara</v>
          </cell>
          <cell r="D945" t="e">
            <v>#N/A</v>
          </cell>
          <cell r="E945" t="str">
            <v>12-660</v>
          </cell>
          <cell r="F945" t="str">
            <v>Radiation Monitors</v>
          </cell>
          <cell r="G945" t="str">
            <v>NM</v>
          </cell>
          <cell r="H945" t="str">
            <v>NUCLEAR MED (DIAGNOSTIC)</v>
          </cell>
          <cell r="I945" t="str">
            <v>03NM164</v>
          </cell>
          <cell r="J945" t="str">
            <v>GAMMA CAMERA 2 (-VE)</v>
          </cell>
          <cell r="K945" t="str">
            <v>BMED</v>
          </cell>
          <cell r="L945" t="str">
            <v>Normal</v>
          </cell>
          <cell r="M945" t="str">
            <v>USA</v>
          </cell>
          <cell r="N945" t="str">
            <v>Ludlum</v>
          </cell>
          <cell r="O945" t="str">
            <v>Ludlum 375</v>
          </cell>
          <cell r="P945">
            <v>294469</v>
          </cell>
          <cell r="Q945" t="str">
            <v>Not Applicable</v>
          </cell>
          <cell r="R945" t="str">
            <v>Ludlum Measurements Inc</v>
          </cell>
          <cell r="S945" t="str">
            <v>Advance Altimas Sdn Bhd</v>
          </cell>
          <cell r="T945" t="str">
            <v>Functioning</v>
          </cell>
          <cell r="U945" t="str">
            <v>Asset</v>
          </cell>
          <cell r="V945">
            <v>25000</v>
          </cell>
          <cell r="W945" t="str">
            <v>Estimate</v>
          </cell>
          <cell r="X945" t="str">
            <v>01/09/2010</v>
          </cell>
          <cell r="Y945" t="str">
            <v>KEW</v>
          </cell>
          <cell r="Z945" t="str">
            <v>16/08/2013</v>
          </cell>
          <cell r="AA945" t="str">
            <v>15/08/2015</v>
          </cell>
          <cell r="AB945" t="str">
            <v>No</v>
          </cell>
          <cell r="AC945" t="str">
            <v>31/08/2013</v>
          </cell>
          <cell r="AD945" t="str">
            <v>Good</v>
          </cell>
          <cell r="AE945" t="str">
            <v>V1 - Existing / No Claim</v>
          </cell>
          <cell r="AF945">
            <v>42601</v>
          </cell>
          <cell r="AG945">
            <v>9.17</v>
          </cell>
          <cell r="AH945" t="str">
            <v>PPM</v>
          </cell>
          <cell r="AI945" t="str">
            <v>package</v>
          </cell>
          <cell r="AJ945" t="str">
            <v>PACKAGE XK0001B</v>
          </cell>
        </row>
        <row r="946">
          <cell r="A946" t="str">
            <v>IKN400497</v>
          </cell>
          <cell r="B946">
            <v>497</v>
          </cell>
          <cell r="C946" t="str">
            <v>Institut Kanser Negara</v>
          </cell>
          <cell r="D946" t="str">
            <v>KKM/IKN/H/13/357</v>
          </cell>
          <cell r="E946" t="str">
            <v>12-873</v>
          </cell>
          <cell r="F946" t="str">
            <v>Concentrators, Oxygen</v>
          </cell>
          <cell r="G946" t="str">
            <v>PC</v>
          </cell>
          <cell r="H946" t="str">
            <v>PALLIATIVE CARE UNIT</v>
          </cell>
          <cell r="I946" t="str">
            <v>04PC109</v>
          </cell>
          <cell r="J946" t="str">
            <v>GEN. STORE</v>
          </cell>
          <cell r="K946" t="str">
            <v>BMED</v>
          </cell>
          <cell r="L946" t="str">
            <v>Critical</v>
          </cell>
          <cell r="M946" t="str">
            <v>USA</v>
          </cell>
          <cell r="N946" t="str">
            <v>EverFlo</v>
          </cell>
          <cell r="O946" t="str">
            <v>EverFlo</v>
          </cell>
          <cell r="P946" t="str">
            <v>14755</v>
          </cell>
          <cell r="Q946" t="str">
            <v>Not Applicable</v>
          </cell>
          <cell r="R946" t="str">
            <v>Respironics</v>
          </cell>
          <cell r="S946" t="str">
            <v>Goodlabs Medical (M) Sdn. Bhd.</v>
          </cell>
          <cell r="T946" t="str">
            <v>Functioning</v>
          </cell>
          <cell r="U946" t="str">
            <v>Asset</v>
          </cell>
          <cell r="V946">
            <v>5773</v>
          </cell>
          <cell r="W946" t="str">
            <v>KEW</v>
          </cell>
          <cell r="X946" t="str">
            <v>01/09/2010</v>
          </cell>
          <cell r="Y946" t="str">
            <v>KEW</v>
          </cell>
          <cell r="Z946" t="str">
            <v>16/08/2013</v>
          </cell>
          <cell r="AA946" t="str">
            <v>15/08/2015</v>
          </cell>
          <cell r="AB946" t="str">
            <v>No</v>
          </cell>
          <cell r="AC946" t="str">
            <v>31/08/2013</v>
          </cell>
          <cell r="AD946" t="str">
            <v>Good</v>
          </cell>
          <cell r="AE946" t="str">
            <v>V1 - Existing / No Claim</v>
          </cell>
          <cell r="AF946">
            <v>42797</v>
          </cell>
          <cell r="AG946">
            <v>9.17</v>
          </cell>
          <cell r="AH946" t="str">
            <v>PPM</v>
          </cell>
          <cell r="AI946" t="str">
            <v>Strands</v>
          </cell>
          <cell r="AJ946" t="str">
            <v>Strands PW</v>
          </cell>
        </row>
        <row r="947">
          <cell r="A947" t="str">
            <v>IKN400498</v>
          </cell>
          <cell r="B947">
            <v>498</v>
          </cell>
          <cell r="C947" t="str">
            <v>Institut Kanser Negara</v>
          </cell>
          <cell r="D947" t="str">
            <v>KKM/IKN/H/13/345</v>
          </cell>
          <cell r="E947" t="str">
            <v>12-873</v>
          </cell>
          <cell r="F947" t="str">
            <v>Concentrators, Oxygen</v>
          </cell>
          <cell r="G947" t="str">
            <v>PC</v>
          </cell>
          <cell r="H947" t="str">
            <v>PALLIATIVE CARE UNIT</v>
          </cell>
          <cell r="I947" t="str">
            <v>04PC109</v>
          </cell>
          <cell r="J947" t="str">
            <v>GEN. STORE</v>
          </cell>
          <cell r="K947" t="str">
            <v>BMED</v>
          </cell>
          <cell r="L947" t="str">
            <v>Normal</v>
          </cell>
          <cell r="M947" t="str">
            <v>USA</v>
          </cell>
          <cell r="N947" t="str">
            <v>EverFlo</v>
          </cell>
          <cell r="O947" t="str">
            <v>EverFlo</v>
          </cell>
          <cell r="P947" t="str">
            <v>15034</v>
          </cell>
          <cell r="Q947" t="str">
            <v>Not Applicable</v>
          </cell>
          <cell r="R947" t="str">
            <v>Respironics</v>
          </cell>
          <cell r="S947" t="str">
            <v>Goodlabs Medical (M) Sdn. Bhd.</v>
          </cell>
          <cell r="T947" t="str">
            <v>Functioning</v>
          </cell>
          <cell r="U947" t="str">
            <v>Asset</v>
          </cell>
          <cell r="V947">
            <v>5773</v>
          </cell>
          <cell r="W947" t="str">
            <v>KEW</v>
          </cell>
          <cell r="X947" t="str">
            <v>01/09/2010</v>
          </cell>
          <cell r="Y947" t="str">
            <v>KEW</v>
          </cell>
          <cell r="Z947" t="str">
            <v>16/08/2013</v>
          </cell>
          <cell r="AA947" t="str">
            <v>15/08/2015</v>
          </cell>
          <cell r="AB947" t="str">
            <v>No</v>
          </cell>
          <cell r="AC947" t="str">
            <v>31/08/2013</v>
          </cell>
          <cell r="AD947" t="str">
            <v>Good</v>
          </cell>
          <cell r="AE947" t="str">
            <v>V1 - Existing / No Claim</v>
          </cell>
          <cell r="AF947">
            <v>42235</v>
          </cell>
          <cell r="AG947">
            <v>9.17</v>
          </cell>
          <cell r="AH947" t="str">
            <v>PPM</v>
          </cell>
          <cell r="AI947" t="str">
            <v>Strands</v>
          </cell>
          <cell r="AJ947" t="str">
            <v>Strands PW</v>
          </cell>
        </row>
        <row r="948">
          <cell r="A948" t="str">
            <v>IKN400499</v>
          </cell>
          <cell r="B948">
            <v>499</v>
          </cell>
          <cell r="C948" t="str">
            <v>Institut Kanser Negara</v>
          </cell>
          <cell r="D948" t="str">
            <v>KKM/IKN/H/13/346</v>
          </cell>
          <cell r="E948" t="str">
            <v>12-873</v>
          </cell>
          <cell r="F948" t="str">
            <v>Concentrators, Oxygen</v>
          </cell>
          <cell r="G948" t="str">
            <v>PC</v>
          </cell>
          <cell r="H948" t="str">
            <v>PALLIATIVE CARE UNIT</v>
          </cell>
          <cell r="I948" t="str">
            <v>04PC109</v>
          </cell>
          <cell r="J948" t="str">
            <v>GEN. STORE</v>
          </cell>
          <cell r="K948" t="str">
            <v>BMED</v>
          </cell>
          <cell r="L948" t="str">
            <v>Critical</v>
          </cell>
          <cell r="M948" t="str">
            <v>USA</v>
          </cell>
          <cell r="N948" t="str">
            <v>EverFlo</v>
          </cell>
          <cell r="O948" t="str">
            <v>EverFlo</v>
          </cell>
          <cell r="P948" t="str">
            <v>0015036</v>
          </cell>
          <cell r="Q948" t="str">
            <v>Not Applicable</v>
          </cell>
          <cell r="R948" t="str">
            <v>Respironics</v>
          </cell>
          <cell r="S948" t="str">
            <v>Goodlabs Medical (M) Sdn. Bhd.</v>
          </cell>
          <cell r="T948" t="str">
            <v>Functioning</v>
          </cell>
          <cell r="U948" t="str">
            <v>Asset</v>
          </cell>
          <cell r="V948">
            <v>5773</v>
          </cell>
          <cell r="W948" t="str">
            <v>KEW</v>
          </cell>
          <cell r="X948" t="str">
            <v>01/09/2010</v>
          </cell>
          <cell r="Y948" t="str">
            <v>KEW</v>
          </cell>
          <cell r="Z948" t="str">
            <v>16/08/2013</v>
          </cell>
          <cell r="AA948" t="str">
            <v>15/08/2015</v>
          </cell>
          <cell r="AB948" t="str">
            <v>No</v>
          </cell>
          <cell r="AC948" t="str">
            <v>31/08/2013</v>
          </cell>
          <cell r="AD948" t="str">
            <v>Good</v>
          </cell>
          <cell r="AE948" t="str">
            <v>V1 - Existing / No Claim</v>
          </cell>
          <cell r="AF948">
            <v>43005</v>
          </cell>
          <cell r="AG948">
            <v>9.17</v>
          </cell>
          <cell r="AH948" t="str">
            <v>PPM</v>
          </cell>
          <cell r="AI948" t="str">
            <v>Strands</v>
          </cell>
          <cell r="AJ948" t="str">
            <v>Strands PW</v>
          </cell>
        </row>
        <row r="949">
          <cell r="A949" t="str">
            <v>IKN400500</v>
          </cell>
          <cell r="B949">
            <v>500</v>
          </cell>
          <cell r="C949" t="str">
            <v>Institut Kanser Negara</v>
          </cell>
          <cell r="D949" t="str">
            <v>KKM/IKN/H/13/344</v>
          </cell>
          <cell r="E949" t="str">
            <v>12-873</v>
          </cell>
          <cell r="F949" t="str">
            <v>Concentrators, Oxygen</v>
          </cell>
          <cell r="G949" t="str">
            <v>PC</v>
          </cell>
          <cell r="H949" t="str">
            <v>PALLIATIVE CARE UNIT</v>
          </cell>
          <cell r="I949" t="str">
            <v>04PC109</v>
          </cell>
          <cell r="J949" t="str">
            <v>GEN. STORE</v>
          </cell>
          <cell r="K949" t="str">
            <v>BMED</v>
          </cell>
          <cell r="L949" t="str">
            <v>Normal</v>
          </cell>
          <cell r="M949" t="str">
            <v>USA</v>
          </cell>
          <cell r="N949" t="str">
            <v>EverFlo</v>
          </cell>
          <cell r="O949" t="str">
            <v>EverFlo</v>
          </cell>
          <cell r="P949" t="str">
            <v>15032</v>
          </cell>
          <cell r="Q949" t="str">
            <v>Not Applicable</v>
          </cell>
          <cell r="R949" t="str">
            <v>Respironics</v>
          </cell>
          <cell r="S949" t="str">
            <v>Goodlabs Medical (M) Sdn. Bhd.</v>
          </cell>
          <cell r="T949" t="str">
            <v>Functioning</v>
          </cell>
          <cell r="U949" t="str">
            <v>Asset</v>
          </cell>
          <cell r="V949">
            <v>5773</v>
          </cell>
          <cell r="W949" t="str">
            <v>KEW</v>
          </cell>
          <cell r="X949" t="str">
            <v>01/09/2010</v>
          </cell>
          <cell r="Y949" t="str">
            <v>KEW</v>
          </cell>
          <cell r="Z949" t="str">
            <v>16/08/2013</v>
          </cell>
          <cell r="AA949" t="str">
            <v>15/08/2015</v>
          </cell>
          <cell r="AB949" t="str">
            <v>No</v>
          </cell>
          <cell r="AC949" t="str">
            <v>31/08/2013</v>
          </cell>
          <cell r="AD949" t="str">
            <v>Good</v>
          </cell>
          <cell r="AE949" t="str">
            <v>V1 - Existing / No Claim</v>
          </cell>
          <cell r="AF949">
            <v>42235</v>
          </cell>
          <cell r="AG949">
            <v>9.17</v>
          </cell>
          <cell r="AH949" t="str">
            <v>PPM</v>
          </cell>
          <cell r="AI949" t="str">
            <v>Strands</v>
          </cell>
          <cell r="AJ949" t="str">
            <v>Strands PW</v>
          </cell>
        </row>
        <row r="950">
          <cell r="A950" t="str">
            <v>IKN400501</v>
          </cell>
          <cell r="B950">
            <v>501</v>
          </cell>
          <cell r="C950" t="str">
            <v>Institut Kanser Negara</v>
          </cell>
          <cell r="D950" t="str">
            <v>KKM/IKN/H/13/343</v>
          </cell>
          <cell r="E950" t="str">
            <v>12-873</v>
          </cell>
          <cell r="F950" t="str">
            <v>Concentrators, Oxygen</v>
          </cell>
          <cell r="G950" t="str">
            <v>PC</v>
          </cell>
          <cell r="H950" t="str">
            <v>PALLIATIVE CARE UNIT</v>
          </cell>
          <cell r="I950" t="str">
            <v>04PC109</v>
          </cell>
          <cell r="J950" t="str">
            <v>GEN. STORE</v>
          </cell>
          <cell r="K950" t="str">
            <v>BMED</v>
          </cell>
          <cell r="L950" t="str">
            <v>Critical</v>
          </cell>
          <cell r="M950" t="str">
            <v>USA</v>
          </cell>
          <cell r="N950" t="str">
            <v>EverFlo</v>
          </cell>
          <cell r="O950" t="str">
            <v>EverFlo</v>
          </cell>
          <cell r="P950" t="str">
            <v>15058</v>
          </cell>
          <cell r="Q950" t="str">
            <v>Not Applicable</v>
          </cell>
          <cell r="R950" t="str">
            <v>Respironics</v>
          </cell>
          <cell r="S950" t="str">
            <v>Goodlabs Medical (M) Sdn. Bhd.</v>
          </cell>
          <cell r="T950" t="str">
            <v>Functioning</v>
          </cell>
          <cell r="U950" t="str">
            <v>Asset</v>
          </cell>
          <cell r="V950">
            <v>5773</v>
          </cell>
          <cell r="W950" t="str">
            <v>KEW</v>
          </cell>
          <cell r="X950" t="str">
            <v>01/09/2010</v>
          </cell>
          <cell r="Y950" t="str">
            <v>KEW</v>
          </cell>
          <cell r="Z950" t="str">
            <v>16/08/2013</v>
          </cell>
          <cell r="AA950" t="str">
            <v>15/08/2015</v>
          </cell>
          <cell r="AB950" t="str">
            <v>No</v>
          </cell>
          <cell r="AC950" t="str">
            <v>31/08/2013</v>
          </cell>
          <cell r="AD950" t="str">
            <v>Good</v>
          </cell>
          <cell r="AE950" t="str">
            <v>V1 - Existing / No Claim</v>
          </cell>
          <cell r="AF950">
            <v>42797</v>
          </cell>
          <cell r="AG950">
            <v>9.17</v>
          </cell>
          <cell r="AH950" t="str">
            <v>PPM</v>
          </cell>
          <cell r="AI950" t="str">
            <v>Strands</v>
          </cell>
          <cell r="AJ950" t="str">
            <v>Strands PW</v>
          </cell>
        </row>
        <row r="951">
          <cell r="A951" t="str">
            <v>IKN400502</v>
          </cell>
          <cell r="B951">
            <v>502</v>
          </cell>
          <cell r="C951" t="str">
            <v>Institut Kanser Negara</v>
          </cell>
          <cell r="D951" t="str">
            <v>KKM/IKN/H/13/1122</v>
          </cell>
          <cell r="E951" t="str">
            <v>17-429</v>
          </cell>
          <cell r="F951" t="str">
            <v>Ventilators, Intensive Care</v>
          </cell>
          <cell r="G951" t="str">
            <v>IC</v>
          </cell>
          <cell r="H951" t="str">
            <v>INTENSIVE CARE UNIT</v>
          </cell>
          <cell r="I951" t="str">
            <v>05IC113</v>
          </cell>
          <cell r="J951" t="str">
            <v>ICU RM 2</v>
          </cell>
          <cell r="K951" t="str">
            <v>BMED</v>
          </cell>
          <cell r="L951" t="str">
            <v>Normal</v>
          </cell>
          <cell r="M951" t="str">
            <v>Germany</v>
          </cell>
          <cell r="N951" t="str">
            <v>Evita</v>
          </cell>
          <cell r="O951" t="str">
            <v>Evita XL</v>
          </cell>
          <cell r="P951" t="str">
            <v>ASDD-0073</v>
          </cell>
          <cell r="Q951" t="str">
            <v>Not Applicable</v>
          </cell>
          <cell r="R951" t="str">
            <v>Drager Medical GmbH</v>
          </cell>
          <cell r="S951" t="str">
            <v>Beau Consortium Sdn Bhd</v>
          </cell>
          <cell r="T951" t="str">
            <v>Functioning</v>
          </cell>
          <cell r="U951" t="str">
            <v>Asset</v>
          </cell>
          <cell r="V951">
            <v>151560</v>
          </cell>
          <cell r="W951" t="str">
            <v>KEW</v>
          </cell>
          <cell r="X951" t="str">
            <v>01/09/2010</v>
          </cell>
          <cell r="Y951" t="str">
            <v>KEW</v>
          </cell>
          <cell r="Z951" t="str">
            <v>16/08/2013</v>
          </cell>
          <cell r="AA951" t="str">
            <v>15/08/2015</v>
          </cell>
          <cell r="AB951" t="str">
            <v>No</v>
          </cell>
          <cell r="AC951" t="str">
            <v>31/08/2013</v>
          </cell>
          <cell r="AD951" t="str">
            <v>Good</v>
          </cell>
          <cell r="AE951" t="str">
            <v>V1 - Existing / No Claim</v>
          </cell>
          <cell r="AF951">
            <v>42235</v>
          </cell>
          <cell r="AG951">
            <v>9.17</v>
          </cell>
          <cell r="AH951" t="str">
            <v>PPM</v>
          </cell>
          <cell r="AI951" t="str">
            <v>Strands</v>
          </cell>
          <cell r="AJ951" t="str">
            <v>Strands PW</v>
          </cell>
        </row>
        <row r="952">
          <cell r="A952" t="str">
            <v>IKN400503</v>
          </cell>
          <cell r="B952">
            <v>503</v>
          </cell>
          <cell r="C952" t="str">
            <v>Institut Kanser Negara</v>
          </cell>
          <cell r="D952" t="str">
            <v>KKM/IKN/H/13/336</v>
          </cell>
          <cell r="E952" t="str">
            <v>15-045</v>
          </cell>
          <cell r="F952" t="str">
            <v>Nebulizers, Nonheated</v>
          </cell>
          <cell r="G952" t="str">
            <v>PC</v>
          </cell>
          <cell r="H952" t="str">
            <v>PALLIATIVE CARE UNIT</v>
          </cell>
          <cell r="I952" t="str">
            <v>04PC109</v>
          </cell>
          <cell r="J952" t="str">
            <v>GEN. STORE</v>
          </cell>
          <cell r="K952" t="str">
            <v>BMED</v>
          </cell>
          <cell r="L952" t="str">
            <v>Normal</v>
          </cell>
          <cell r="M952" t="str">
            <v>Germany</v>
          </cell>
          <cell r="N952" t="str">
            <v>Pari Boy</v>
          </cell>
          <cell r="O952" t="str">
            <v>Pari Boy SX 085</v>
          </cell>
          <cell r="P952" t="str">
            <v>2W12J05946</v>
          </cell>
          <cell r="Q952" t="str">
            <v>Not Applicable</v>
          </cell>
          <cell r="R952" t="str">
            <v>Pari GmbH</v>
          </cell>
          <cell r="S952" t="str">
            <v>Welch Allyn Malaysia Sdn Bhd</v>
          </cell>
          <cell r="T952" t="str">
            <v>Functioning</v>
          </cell>
          <cell r="U952" t="str">
            <v>Asset</v>
          </cell>
          <cell r="V952">
            <v>1140</v>
          </cell>
          <cell r="W952" t="str">
            <v>KEW</v>
          </cell>
          <cell r="X952" t="str">
            <v>01/09/2010</v>
          </cell>
          <cell r="Y952" t="str">
            <v>KEW</v>
          </cell>
          <cell r="Z952" t="str">
            <v>16/08/2013</v>
          </cell>
          <cell r="AA952" t="str">
            <v>15/08/2015</v>
          </cell>
          <cell r="AB952" t="str">
            <v>No</v>
          </cell>
          <cell r="AC952" t="str">
            <v>31/08/2013</v>
          </cell>
          <cell r="AD952" t="str">
            <v>Good</v>
          </cell>
          <cell r="AE952" t="str">
            <v>V1 - Existing / No Claim</v>
          </cell>
          <cell r="AF952">
            <v>42797</v>
          </cell>
          <cell r="AG952">
            <v>9.17</v>
          </cell>
          <cell r="AH952" t="str">
            <v>PPM</v>
          </cell>
          <cell r="AI952" t="str">
            <v>Strands</v>
          </cell>
          <cell r="AJ952" t="str">
            <v>Strands PW</v>
          </cell>
        </row>
        <row r="953">
          <cell r="A953" t="str">
            <v>IKN400504</v>
          </cell>
          <cell r="B953">
            <v>504</v>
          </cell>
          <cell r="C953" t="str">
            <v>Institut Kanser Negara</v>
          </cell>
          <cell r="D953" t="str">
            <v>KKM/IKN/H/13/337</v>
          </cell>
          <cell r="E953" t="str">
            <v>15-045</v>
          </cell>
          <cell r="F953" t="str">
            <v>Nebulizers, Nonheated</v>
          </cell>
          <cell r="G953" t="str">
            <v>PC</v>
          </cell>
          <cell r="H953" t="str">
            <v>PALLIATIVE CARE UNIT</v>
          </cell>
          <cell r="I953" t="str">
            <v>04PC109</v>
          </cell>
          <cell r="J953" t="str">
            <v>GEN. STORE</v>
          </cell>
          <cell r="K953" t="str">
            <v>BMED</v>
          </cell>
          <cell r="L953" t="str">
            <v>Normal</v>
          </cell>
          <cell r="M953" t="str">
            <v>Germany</v>
          </cell>
          <cell r="N953" t="str">
            <v>Pari Boy</v>
          </cell>
          <cell r="O953" t="str">
            <v>Pari Boy SX 085</v>
          </cell>
          <cell r="P953" t="str">
            <v>2W12J05973</v>
          </cell>
          <cell r="Q953" t="str">
            <v>Not Applicable</v>
          </cell>
          <cell r="R953" t="str">
            <v>Pari GmbH</v>
          </cell>
          <cell r="S953" t="str">
            <v>Welch Allyn Malaysia Sdn Bhd</v>
          </cell>
          <cell r="T953" t="str">
            <v>Functioning</v>
          </cell>
          <cell r="U953" t="str">
            <v>Asset</v>
          </cell>
          <cell r="V953">
            <v>1140</v>
          </cell>
          <cell r="W953" t="str">
            <v>KEW</v>
          </cell>
          <cell r="X953" t="str">
            <v>01/09/2010</v>
          </cell>
          <cell r="Y953" t="str">
            <v>KEW</v>
          </cell>
          <cell r="Z953" t="str">
            <v>16/08/2013</v>
          </cell>
          <cell r="AA953" t="str">
            <v>15/08/2015</v>
          </cell>
          <cell r="AB953" t="str">
            <v>No</v>
          </cell>
          <cell r="AC953" t="str">
            <v>31/08/2013</v>
          </cell>
          <cell r="AD953" t="str">
            <v>Good</v>
          </cell>
          <cell r="AE953" t="str">
            <v>V1 - Existing / No Claim</v>
          </cell>
          <cell r="AF953">
            <v>42797</v>
          </cell>
          <cell r="AG953">
            <v>9.17</v>
          </cell>
          <cell r="AH953" t="str">
            <v>PPM</v>
          </cell>
          <cell r="AI953" t="str">
            <v>Strands</v>
          </cell>
          <cell r="AJ953" t="str">
            <v>Strands PW</v>
          </cell>
        </row>
        <row r="954">
          <cell r="A954" t="str">
            <v>IKN400506</v>
          </cell>
          <cell r="B954">
            <v>506</v>
          </cell>
          <cell r="C954" t="str">
            <v>Institut Kanser Negara</v>
          </cell>
          <cell r="D954" t="str">
            <v>KKM/IKN/H/13/335</v>
          </cell>
          <cell r="E954" t="str">
            <v>15-045</v>
          </cell>
          <cell r="F954" t="str">
            <v>Nebulizers, Nonheated</v>
          </cell>
          <cell r="G954" t="str">
            <v>PC</v>
          </cell>
          <cell r="H954" t="str">
            <v>PALLIATIVE CARE UNIT</v>
          </cell>
          <cell r="I954" t="str">
            <v>04PC109</v>
          </cell>
          <cell r="J954" t="str">
            <v>GEN. STORE</v>
          </cell>
          <cell r="K954" t="str">
            <v>BMED</v>
          </cell>
          <cell r="L954" t="str">
            <v>Normal</v>
          </cell>
          <cell r="M954" t="str">
            <v>Germany</v>
          </cell>
          <cell r="N954" t="str">
            <v>Pari Boy</v>
          </cell>
          <cell r="O954" t="str">
            <v>Pari Boy SX 085</v>
          </cell>
          <cell r="P954" t="str">
            <v>2W12K14120</v>
          </cell>
          <cell r="Q954" t="str">
            <v>Not Applicable</v>
          </cell>
          <cell r="R954" t="str">
            <v>Pari GmbH</v>
          </cell>
          <cell r="S954" t="str">
            <v>Welch Allyn Malaysia Sdn Bhd</v>
          </cell>
          <cell r="T954" t="str">
            <v>Functioning</v>
          </cell>
          <cell r="U954" t="str">
            <v>Asset</v>
          </cell>
          <cell r="V954">
            <v>1140</v>
          </cell>
          <cell r="W954" t="str">
            <v>KEW</v>
          </cell>
          <cell r="X954" t="str">
            <v>01/09/2010</v>
          </cell>
          <cell r="Y954" t="str">
            <v>KEW</v>
          </cell>
          <cell r="Z954" t="str">
            <v>16/08/2013</v>
          </cell>
          <cell r="AA954" t="str">
            <v>15/08/2015</v>
          </cell>
          <cell r="AB954" t="str">
            <v>No</v>
          </cell>
          <cell r="AC954" t="str">
            <v>31/08/2013</v>
          </cell>
          <cell r="AD954" t="str">
            <v>Good</v>
          </cell>
          <cell r="AE954" t="str">
            <v>V1 - Existing / No Claim</v>
          </cell>
          <cell r="AF954">
            <v>42797</v>
          </cell>
          <cell r="AG954">
            <v>9.17</v>
          </cell>
          <cell r="AH954" t="str">
            <v>PPM</v>
          </cell>
          <cell r="AI954" t="str">
            <v>Strands</v>
          </cell>
          <cell r="AJ954" t="str">
            <v>Strands PW</v>
          </cell>
        </row>
        <row r="955">
          <cell r="A955" t="str">
            <v>IKN400509</v>
          </cell>
          <cell r="B955">
            <v>509</v>
          </cell>
          <cell r="C955" t="str">
            <v>Institut Kanser Negara</v>
          </cell>
          <cell r="D955" t="str">
            <v>KKM/IKN/H/13/371</v>
          </cell>
          <cell r="E955" t="str">
            <v>18-092</v>
          </cell>
          <cell r="F955" t="str">
            <v>Drivers, syringe</v>
          </cell>
          <cell r="G955" t="str">
            <v>PC</v>
          </cell>
          <cell r="H955" t="str">
            <v>PALLIATIVE CARE UNIT</v>
          </cell>
          <cell r="I955" t="str">
            <v>04PC109</v>
          </cell>
          <cell r="J955" t="str">
            <v>GEN. STORE</v>
          </cell>
          <cell r="K955" t="str">
            <v>BMED</v>
          </cell>
          <cell r="L955" t="str">
            <v>Normal</v>
          </cell>
          <cell r="M955" t="str">
            <v>UK</v>
          </cell>
          <cell r="N955" t="str">
            <v>Graseby</v>
          </cell>
          <cell r="O955" t="str">
            <v>Graseby MS-26</v>
          </cell>
          <cell r="P955" t="str">
            <v>14014787</v>
          </cell>
          <cell r="Q955" t="str">
            <v>Not Applicable</v>
          </cell>
          <cell r="R955" t="str">
            <v>Graseby Medical Ltd</v>
          </cell>
          <cell r="S955" t="str">
            <v>Primed Medical Services Sdn Bhd</v>
          </cell>
          <cell r="T955" t="str">
            <v>Functioning</v>
          </cell>
          <cell r="U955" t="str">
            <v>Asset</v>
          </cell>
          <cell r="V955">
            <v>3848</v>
          </cell>
          <cell r="W955" t="str">
            <v>KEW</v>
          </cell>
          <cell r="X955" t="str">
            <v>01/09/2010</v>
          </cell>
          <cell r="Y955" t="str">
            <v>KEW</v>
          </cell>
          <cell r="Z955" t="str">
            <v>16/08/2013</v>
          </cell>
          <cell r="AA955" t="str">
            <v>15/08/2015</v>
          </cell>
          <cell r="AB955" t="str">
            <v>No</v>
          </cell>
          <cell r="AC955" t="str">
            <v>31/08/2013</v>
          </cell>
          <cell r="AD955" t="str">
            <v>Good</v>
          </cell>
          <cell r="AE955" t="str">
            <v>V1 - Existing / No Claim</v>
          </cell>
          <cell r="AF955">
            <v>42797</v>
          </cell>
          <cell r="AG955">
            <v>9.17</v>
          </cell>
          <cell r="AH955" t="str">
            <v>PPM</v>
          </cell>
          <cell r="AI955" t="str">
            <v>Strands</v>
          </cell>
          <cell r="AJ955" t="str">
            <v>Strands PW</v>
          </cell>
        </row>
        <row r="956">
          <cell r="A956" t="str">
            <v>IKN400514</v>
          </cell>
          <cell r="B956">
            <v>514</v>
          </cell>
          <cell r="C956" t="str">
            <v>Institut Kanser Negara</v>
          </cell>
          <cell r="D956" t="str">
            <v>KKM/IKN/H/13/372</v>
          </cell>
          <cell r="E956" t="str">
            <v>18-092</v>
          </cell>
          <cell r="F956" t="str">
            <v>Drivers, syringe</v>
          </cell>
          <cell r="G956" t="str">
            <v>PC</v>
          </cell>
          <cell r="H956" t="str">
            <v>PALLIATIVE CARE UNIT</v>
          </cell>
          <cell r="I956" t="str">
            <v>04PC109</v>
          </cell>
          <cell r="J956" t="str">
            <v>GEN. STORE</v>
          </cell>
          <cell r="K956" t="str">
            <v>BMED</v>
          </cell>
          <cell r="L956" t="str">
            <v>Normal</v>
          </cell>
          <cell r="M956" t="str">
            <v>UK</v>
          </cell>
          <cell r="N956" t="str">
            <v>Graseby</v>
          </cell>
          <cell r="O956" t="str">
            <v>Graseby MS-26</v>
          </cell>
          <cell r="P956" t="str">
            <v>14014788</v>
          </cell>
          <cell r="Q956" t="str">
            <v>Not Applicable</v>
          </cell>
          <cell r="R956" t="str">
            <v>Graseby Medical Ltd</v>
          </cell>
          <cell r="S956" t="str">
            <v>Primed Medical Services Sdn Bhd</v>
          </cell>
          <cell r="T956" t="str">
            <v>Functioning</v>
          </cell>
          <cell r="U956" t="str">
            <v>Asset</v>
          </cell>
          <cell r="V956">
            <v>3848</v>
          </cell>
          <cell r="W956" t="str">
            <v>KEW</v>
          </cell>
          <cell r="X956" t="str">
            <v>01/09/2010</v>
          </cell>
          <cell r="Y956" t="str">
            <v>KEW</v>
          </cell>
          <cell r="Z956" t="str">
            <v>16/08/2013</v>
          </cell>
          <cell r="AA956" t="str">
            <v>15/08/2015</v>
          </cell>
          <cell r="AB956" t="str">
            <v>No</v>
          </cell>
          <cell r="AC956" t="str">
            <v>31/08/2013</v>
          </cell>
          <cell r="AD956" t="str">
            <v>Good</v>
          </cell>
          <cell r="AE956" t="str">
            <v>V1 - Existing / No Claim</v>
          </cell>
          <cell r="AF956">
            <v>42797</v>
          </cell>
          <cell r="AG956">
            <v>9.17</v>
          </cell>
          <cell r="AH956" t="str">
            <v>PPM</v>
          </cell>
          <cell r="AI956" t="str">
            <v>Strands</v>
          </cell>
          <cell r="AJ956" t="str">
            <v>Strands PW</v>
          </cell>
        </row>
        <row r="957">
          <cell r="A957" t="str">
            <v>IKN400516</v>
          </cell>
          <cell r="B957">
            <v>516</v>
          </cell>
          <cell r="C957" t="str">
            <v>Institut Kanser Negara</v>
          </cell>
          <cell r="D957" t="str">
            <v>KKM/IKN/H/13/368</v>
          </cell>
          <cell r="E957" t="str">
            <v>18-092</v>
          </cell>
          <cell r="F957" t="str">
            <v>Drivers, syringe</v>
          </cell>
          <cell r="G957" t="str">
            <v>PC</v>
          </cell>
          <cell r="H957" t="str">
            <v>PALLIATIVE CARE UNIT</v>
          </cell>
          <cell r="I957" t="str">
            <v>04PC109</v>
          </cell>
          <cell r="J957" t="str">
            <v>GEN. STORE</v>
          </cell>
          <cell r="K957" t="str">
            <v>BMED</v>
          </cell>
          <cell r="L957" t="str">
            <v>Normal</v>
          </cell>
          <cell r="M957" t="str">
            <v>UK</v>
          </cell>
          <cell r="N957" t="str">
            <v>Graseby</v>
          </cell>
          <cell r="O957" t="str">
            <v>Graseby MS-26</v>
          </cell>
          <cell r="P957" t="str">
            <v>14014783</v>
          </cell>
          <cell r="Q957" t="str">
            <v>Not Applicable</v>
          </cell>
          <cell r="R957" t="str">
            <v>Graseby Medical Ltd</v>
          </cell>
          <cell r="S957" t="str">
            <v>Primed Medical Services Sdn Bhd</v>
          </cell>
          <cell r="T957" t="str">
            <v>Functioning</v>
          </cell>
          <cell r="U957" t="str">
            <v>Asset</v>
          </cell>
          <cell r="V957">
            <v>3848</v>
          </cell>
          <cell r="W957" t="str">
            <v>KEW</v>
          </cell>
          <cell r="X957" t="str">
            <v>01/09/2010</v>
          </cell>
          <cell r="Y957" t="str">
            <v>KEW</v>
          </cell>
          <cell r="Z957" t="str">
            <v>16/08/2013</v>
          </cell>
          <cell r="AA957" t="str">
            <v>15/08/2015</v>
          </cell>
          <cell r="AB957" t="str">
            <v>No</v>
          </cell>
          <cell r="AC957" t="str">
            <v>31/08/2013</v>
          </cell>
          <cell r="AD957" t="str">
            <v>Good</v>
          </cell>
          <cell r="AE957" t="str">
            <v>V1 - Existing / No Claim</v>
          </cell>
          <cell r="AF957">
            <v>42797</v>
          </cell>
          <cell r="AG957">
            <v>9.17</v>
          </cell>
          <cell r="AH957" t="str">
            <v>PPM</v>
          </cell>
          <cell r="AI957" t="str">
            <v>Strands</v>
          </cell>
          <cell r="AJ957" t="str">
            <v>Strands PW</v>
          </cell>
        </row>
        <row r="958">
          <cell r="A958" t="str">
            <v>IKN400517</v>
          </cell>
          <cell r="B958">
            <v>517</v>
          </cell>
          <cell r="C958" t="str">
            <v>Institut Kanser Negara</v>
          </cell>
          <cell r="D958" t="str">
            <v>KKM/IKN/H/13/359</v>
          </cell>
          <cell r="E958" t="str">
            <v>18-092</v>
          </cell>
          <cell r="F958" t="str">
            <v>Drivers, syringe</v>
          </cell>
          <cell r="G958" t="str">
            <v>PC</v>
          </cell>
          <cell r="H958" t="str">
            <v>PALLIATIVE CARE UNIT</v>
          </cell>
          <cell r="I958" t="str">
            <v>04PC109</v>
          </cell>
          <cell r="J958" t="str">
            <v>GEN. STORE</v>
          </cell>
          <cell r="K958" t="str">
            <v>BMED</v>
          </cell>
          <cell r="L958" t="str">
            <v>Normal</v>
          </cell>
          <cell r="M958" t="str">
            <v>UK</v>
          </cell>
          <cell r="N958" t="str">
            <v>Graseby</v>
          </cell>
          <cell r="O958" t="str">
            <v>Graseby MS-26</v>
          </cell>
          <cell r="P958" t="str">
            <v>14014765</v>
          </cell>
          <cell r="Q958" t="str">
            <v>Not Applicable</v>
          </cell>
          <cell r="R958" t="str">
            <v>Graseby Medical Ltd</v>
          </cell>
          <cell r="S958" t="str">
            <v>Primed Medical Services Sdn Bhd</v>
          </cell>
          <cell r="T958" t="str">
            <v>Functioning</v>
          </cell>
          <cell r="U958" t="str">
            <v>Asset</v>
          </cell>
          <cell r="V958">
            <v>3848</v>
          </cell>
          <cell r="W958" t="str">
            <v>KEW</v>
          </cell>
          <cell r="X958" t="str">
            <v>01/09/2010</v>
          </cell>
          <cell r="Y958" t="str">
            <v>KEW</v>
          </cell>
          <cell r="Z958" t="str">
            <v>16/08/2013</v>
          </cell>
          <cell r="AA958" t="str">
            <v>15/08/2015</v>
          </cell>
          <cell r="AB958" t="str">
            <v>No</v>
          </cell>
          <cell r="AC958" t="str">
            <v>31/08/2013</v>
          </cell>
          <cell r="AD958" t="str">
            <v>Good</v>
          </cell>
          <cell r="AE958" t="str">
            <v>V1 - Existing / No Claim</v>
          </cell>
          <cell r="AF958">
            <v>42797</v>
          </cell>
          <cell r="AG958">
            <v>9.17</v>
          </cell>
          <cell r="AH958" t="str">
            <v>PPM</v>
          </cell>
          <cell r="AI958" t="str">
            <v>Strands</v>
          </cell>
          <cell r="AJ958" t="str">
            <v>Strands PW</v>
          </cell>
        </row>
        <row r="959">
          <cell r="A959" t="str">
            <v>IKN400518</v>
          </cell>
          <cell r="B959">
            <v>518</v>
          </cell>
          <cell r="C959" t="str">
            <v>Institut Kanser Negara</v>
          </cell>
          <cell r="D959" t="str">
            <v>KKM/IKN/H/13/367</v>
          </cell>
          <cell r="E959" t="str">
            <v>18-092</v>
          </cell>
          <cell r="F959" t="str">
            <v>Drivers, syringe</v>
          </cell>
          <cell r="G959" t="str">
            <v>PC</v>
          </cell>
          <cell r="H959" t="str">
            <v>PALLIATIVE CARE UNIT</v>
          </cell>
          <cell r="I959" t="str">
            <v>04PC109</v>
          </cell>
          <cell r="J959" t="str">
            <v>GEN. STORE</v>
          </cell>
          <cell r="K959" t="str">
            <v>BMED</v>
          </cell>
          <cell r="L959" t="str">
            <v>Normal</v>
          </cell>
          <cell r="M959" t="str">
            <v>UK</v>
          </cell>
          <cell r="N959" t="str">
            <v>Graseby</v>
          </cell>
          <cell r="O959" t="str">
            <v>Graseby MS-26</v>
          </cell>
          <cell r="P959" t="str">
            <v>14014773</v>
          </cell>
          <cell r="Q959" t="str">
            <v>Not Applicable</v>
          </cell>
          <cell r="R959" t="str">
            <v>Graseby Medical Ltd</v>
          </cell>
          <cell r="S959" t="str">
            <v>Primed Medical Services Sdn Bhd</v>
          </cell>
          <cell r="T959" t="str">
            <v>Functioning</v>
          </cell>
          <cell r="U959" t="str">
            <v>Asset</v>
          </cell>
          <cell r="V959">
            <v>3848</v>
          </cell>
          <cell r="W959" t="str">
            <v>KEW</v>
          </cell>
          <cell r="X959" t="str">
            <v>01/09/2010</v>
          </cell>
          <cell r="Y959" t="str">
            <v>KEW</v>
          </cell>
          <cell r="Z959" t="str">
            <v>16/08/2013</v>
          </cell>
          <cell r="AA959" t="str">
            <v>15/08/2015</v>
          </cell>
          <cell r="AB959" t="str">
            <v>No</v>
          </cell>
          <cell r="AC959" t="str">
            <v>31/08/2013</v>
          </cell>
          <cell r="AD959" t="str">
            <v>Good</v>
          </cell>
          <cell r="AE959" t="str">
            <v>V1 - Existing / No Claim</v>
          </cell>
          <cell r="AF959">
            <v>42797</v>
          </cell>
          <cell r="AG959">
            <v>9.17</v>
          </cell>
          <cell r="AH959" t="str">
            <v>PPM</v>
          </cell>
          <cell r="AI959" t="str">
            <v>Strands</v>
          </cell>
          <cell r="AJ959" t="str">
            <v>Strands PW</v>
          </cell>
        </row>
        <row r="960">
          <cell r="A960" t="str">
            <v>IKN400519</v>
          </cell>
          <cell r="B960">
            <v>519</v>
          </cell>
          <cell r="C960" t="str">
            <v>Institut Kanser Negara</v>
          </cell>
          <cell r="D960" t="str">
            <v>KKM/IKN/H/13/370</v>
          </cell>
          <cell r="E960" t="str">
            <v>18-092</v>
          </cell>
          <cell r="F960" t="str">
            <v>Drivers, syringe</v>
          </cell>
          <cell r="G960" t="str">
            <v>PC</v>
          </cell>
          <cell r="H960" t="str">
            <v>PALLIATIVE CARE UNIT</v>
          </cell>
          <cell r="I960" t="str">
            <v>04PC109</v>
          </cell>
          <cell r="J960" t="str">
            <v>GEN. STORE</v>
          </cell>
          <cell r="K960" t="str">
            <v>BMED</v>
          </cell>
          <cell r="L960" t="str">
            <v>Normal</v>
          </cell>
          <cell r="M960" t="str">
            <v>UK</v>
          </cell>
          <cell r="N960" t="str">
            <v>Graseby</v>
          </cell>
          <cell r="O960" t="str">
            <v>Graseby MS-26</v>
          </cell>
          <cell r="P960" t="str">
            <v>14014772</v>
          </cell>
          <cell r="Q960" t="str">
            <v>Not Applicable</v>
          </cell>
          <cell r="R960" t="str">
            <v>Graseby Medical Ltd</v>
          </cell>
          <cell r="S960" t="str">
            <v>Primed Medical Services Sdn Bhd</v>
          </cell>
          <cell r="T960" t="str">
            <v>Functioning</v>
          </cell>
          <cell r="U960" t="str">
            <v>Asset</v>
          </cell>
          <cell r="V960">
            <v>3848</v>
          </cell>
          <cell r="W960" t="str">
            <v>KEW</v>
          </cell>
          <cell r="X960" t="str">
            <v>01/09/2010</v>
          </cell>
          <cell r="Y960" t="str">
            <v>KEW</v>
          </cell>
          <cell r="Z960" t="str">
            <v>16/08/2013</v>
          </cell>
          <cell r="AA960" t="str">
            <v>15/08/2015</v>
          </cell>
          <cell r="AB960" t="str">
            <v>No</v>
          </cell>
          <cell r="AC960" t="str">
            <v>31/08/2013</v>
          </cell>
          <cell r="AD960" t="str">
            <v>Good</v>
          </cell>
          <cell r="AE960" t="str">
            <v>V1 - Existing / No Claim</v>
          </cell>
          <cell r="AF960">
            <v>43430</v>
          </cell>
          <cell r="AG960">
            <v>9.17</v>
          </cell>
          <cell r="AH960" t="str">
            <v>PPM</v>
          </cell>
          <cell r="AI960" t="str">
            <v>Strands</v>
          </cell>
          <cell r="AJ960" t="str">
            <v>Strands PW</v>
          </cell>
        </row>
        <row r="961">
          <cell r="A961" t="str">
            <v>IKN400520</v>
          </cell>
          <cell r="B961">
            <v>520</v>
          </cell>
          <cell r="C961" t="str">
            <v>Institut Kanser Negara</v>
          </cell>
          <cell r="D961" t="str">
            <v>KKM/IKN/H/13/369</v>
          </cell>
          <cell r="E961" t="str">
            <v>18-092</v>
          </cell>
          <cell r="F961" t="str">
            <v>Drivers, syringe</v>
          </cell>
          <cell r="G961" t="str">
            <v>PC</v>
          </cell>
          <cell r="H961" t="str">
            <v>PALLIATIVE CARE UNIT</v>
          </cell>
          <cell r="I961" t="str">
            <v>04PC109</v>
          </cell>
          <cell r="J961" t="str">
            <v>GEN. STORE</v>
          </cell>
          <cell r="K961" t="str">
            <v>BMED</v>
          </cell>
          <cell r="L961" t="str">
            <v>Normal</v>
          </cell>
          <cell r="M961" t="str">
            <v>UK</v>
          </cell>
          <cell r="N961" t="str">
            <v>Graseby</v>
          </cell>
          <cell r="O961" t="str">
            <v>Graseby MS-26</v>
          </cell>
          <cell r="P961" t="str">
            <v>14014784</v>
          </cell>
          <cell r="Q961" t="str">
            <v>Not Applicable</v>
          </cell>
          <cell r="R961" t="str">
            <v>Graseby Medical Ltd</v>
          </cell>
          <cell r="S961" t="str">
            <v>Primed Medical Services Sdn Bhd</v>
          </cell>
          <cell r="T961" t="str">
            <v>Functioning</v>
          </cell>
          <cell r="U961" t="str">
            <v>Asset</v>
          </cell>
          <cell r="V961">
            <v>3848</v>
          </cell>
          <cell r="W961" t="str">
            <v>KEW</v>
          </cell>
          <cell r="X961" t="str">
            <v>01/09/2010</v>
          </cell>
          <cell r="Y961" t="str">
            <v>KEW</v>
          </cell>
          <cell r="Z961" t="str">
            <v>16/08/2013</v>
          </cell>
          <cell r="AA961" t="str">
            <v>15/08/2015</v>
          </cell>
          <cell r="AB961" t="str">
            <v>No</v>
          </cell>
          <cell r="AC961" t="str">
            <v>31/08/2013</v>
          </cell>
          <cell r="AD961" t="str">
            <v>Good</v>
          </cell>
          <cell r="AE961" t="str">
            <v>V1 - Existing / No Claim</v>
          </cell>
          <cell r="AF961">
            <v>42797</v>
          </cell>
          <cell r="AG961">
            <v>9.17</v>
          </cell>
          <cell r="AH961" t="str">
            <v>PPM</v>
          </cell>
          <cell r="AI961" t="str">
            <v>Strands</v>
          </cell>
          <cell r="AJ961" t="str">
            <v>Strands PW</v>
          </cell>
        </row>
        <row r="962">
          <cell r="A962" t="str">
            <v>IKN400521</v>
          </cell>
          <cell r="B962">
            <v>521</v>
          </cell>
          <cell r="C962" t="str">
            <v>Institut Kanser Negara</v>
          </cell>
          <cell r="D962" t="str">
            <v>KKM/IKN/H/13/361</v>
          </cell>
          <cell r="E962" t="str">
            <v>18-092</v>
          </cell>
          <cell r="F962" t="str">
            <v>Drivers, syringe</v>
          </cell>
          <cell r="G962" t="str">
            <v>PC</v>
          </cell>
          <cell r="H962" t="str">
            <v>PALLIATIVE CARE UNIT</v>
          </cell>
          <cell r="I962" t="str">
            <v>04PC109</v>
          </cell>
          <cell r="J962" t="str">
            <v>GEN. STORE</v>
          </cell>
          <cell r="K962" t="str">
            <v>BMED</v>
          </cell>
          <cell r="L962" t="str">
            <v>Normal</v>
          </cell>
          <cell r="M962" t="str">
            <v>UK</v>
          </cell>
          <cell r="N962" t="str">
            <v>Graseby</v>
          </cell>
          <cell r="O962" t="str">
            <v>Graseby MS-26</v>
          </cell>
          <cell r="P962" t="str">
            <v>14014767</v>
          </cell>
          <cell r="Q962" t="str">
            <v>Not Applicable</v>
          </cell>
          <cell r="R962" t="str">
            <v>Graseby Medical Ltd</v>
          </cell>
          <cell r="S962" t="str">
            <v>Primed Medical Services Sdn Bhd</v>
          </cell>
          <cell r="T962" t="str">
            <v>Functioning</v>
          </cell>
          <cell r="U962" t="str">
            <v>Asset</v>
          </cell>
          <cell r="V962">
            <v>3848</v>
          </cell>
          <cell r="W962" t="str">
            <v>KEW</v>
          </cell>
          <cell r="X962" t="str">
            <v>01/09/2010</v>
          </cell>
          <cell r="Y962" t="str">
            <v>KEW</v>
          </cell>
          <cell r="Z962" t="str">
            <v>16/08/2013</v>
          </cell>
          <cell r="AA962" t="str">
            <v>15/08/2015</v>
          </cell>
          <cell r="AB962" t="str">
            <v>No</v>
          </cell>
          <cell r="AC962" t="str">
            <v>31/08/2013</v>
          </cell>
          <cell r="AD962" t="str">
            <v>Good</v>
          </cell>
          <cell r="AE962" t="str">
            <v>V1 - Existing / No Claim</v>
          </cell>
          <cell r="AF962">
            <v>42797</v>
          </cell>
          <cell r="AG962">
            <v>9.17</v>
          </cell>
          <cell r="AH962" t="str">
            <v>PPM</v>
          </cell>
          <cell r="AI962" t="str">
            <v>Strands</v>
          </cell>
          <cell r="AJ962" t="str">
            <v>Strands PW</v>
          </cell>
        </row>
        <row r="963">
          <cell r="A963" t="str">
            <v>IKN400522</v>
          </cell>
          <cell r="B963">
            <v>522</v>
          </cell>
          <cell r="C963" t="str">
            <v>Institut Kanser Negara</v>
          </cell>
          <cell r="D963" t="str">
            <v>KKM/IKN/H/13/373</v>
          </cell>
          <cell r="E963" t="str">
            <v>18-092</v>
          </cell>
          <cell r="F963" t="str">
            <v>Drivers, syringe</v>
          </cell>
          <cell r="G963" t="str">
            <v>PC</v>
          </cell>
          <cell r="H963" t="str">
            <v>PALLIATIVE CARE UNIT</v>
          </cell>
          <cell r="I963" t="str">
            <v>04PC109</v>
          </cell>
          <cell r="J963" t="str">
            <v>GEN. STORE</v>
          </cell>
          <cell r="K963" t="str">
            <v>BMED</v>
          </cell>
          <cell r="L963" t="str">
            <v>Normal</v>
          </cell>
          <cell r="M963" t="str">
            <v>UK</v>
          </cell>
          <cell r="N963" t="str">
            <v>Graseby</v>
          </cell>
          <cell r="O963" t="str">
            <v>Graseby MS-26</v>
          </cell>
          <cell r="P963" t="str">
            <v>14014789</v>
          </cell>
          <cell r="Q963" t="str">
            <v>Not Applicable</v>
          </cell>
          <cell r="R963" t="str">
            <v>Graseby Medical Ltd</v>
          </cell>
          <cell r="S963" t="str">
            <v>Primed Medical Services Sdn Bhd</v>
          </cell>
          <cell r="T963" t="str">
            <v>Functioning</v>
          </cell>
          <cell r="U963" t="str">
            <v>Asset</v>
          </cell>
          <cell r="V963">
            <v>3848</v>
          </cell>
          <cell r="W963" t="str">
            <v>KEW</v>
          </cell>
          <cell r="X963" t="str">
            <v>01/09/2010</v>
          </cell>
          <cell r="Y963" t="str">
            <v>KEW</v>
          </cell>
          <cell r="Z963" t="str">
            <v>16/08/2013</v>
          </cell>
          <cell r="AA963" t="str">
            <v>15/08/2015</v>
          </cell>
          <cell r="AB963" t="str">
            <v>No</v>
          </cell>
          <cell r="AC963" t="str">
            <v>31/08/2013</v>
          </cell>
          <cell r="AD963" t="str">
            <v>Good</v>
          </cell>
          <cell r="AE963" t="str">
            <v>V1 - Existing / No Claim</v>
          </cell>
          <cell r="AF963">
            <v>42797</v>
          </cell>
          <cell r="AG963">
            <v>9.17</v>
          </cell>
          <cell r="AH963" t="str">
            <v>PPM</v>
          </cell>
          <cell r="AI963" t="str">
            <v>Strands</v>
          </cell>
          <cell r="AJ963" t="str">
            <v>Strands PW</v>
          </cell>
        </row>
        <row r="964">
          <cell r="A964" t="str">
            <v>IKN400523</v>
          </cell>
          <cell r="B964">
            <v>523</v>
          </cell>
          <cell r="C964" t="str">
            <v>Institut Kanser Negara</v>
          </cell>
          <cell r="D964" t="str">
            <v>KKM/IKN/H/13/365</v>
          </cell>
          <cell r="E964" t="str">
            <v>18-092</v>
          </cell>
          <cell r="F964" t="str">
            <v>Drivers, syringe</v>
          </cell>
          <cell r="G964" t="str">
            <v>PC</v>
          </cell>
          <cell r="H964" t="str">
            <v>PALLIATIVE CARE UNIT</v>
          </cell>
          <cell r="I964" t="str">
            <v>04PC109</v>
          </cell>
          <cell r="J964" t="str">
            <v>GEN. STORE</v>
          </cell>
          <cell r="K964" t="str">
            <v>BMED</v>
          </cell>
          <cell r="L964" t="str">
            <v>Normal</v>
          </cell>
          <cell r="M964" t="str">
            <v>UK</v>
          </cell>
          <cell r="N964" t="str">
            <v>Graseby</v>
          </cell>
          <cell r="O964" t="str">
            <v>Graseby MS-26</v>
          </cell>
          <cell r="P964" t="str">
            <v>14014771</v>
          </cell>
          <cell r="Q964" t="str">
            <v>Not Applicable</v>
          </cell>
          <cell r="R964" t="str">
            <v>Graseby Medical Ltd</v>
          </cell>
          <cell r="S964" t="str">
            <v>Primed Medical Services Sdn Bhd</v>
          </cell>
          <cell r="T964" t="str">
            <v>Functioning</v>
          </cell>
          <cell r="U964" t="str">
            <v>Asset</v>
          </cell>
          <cell r="V964">
            <v>3848</v>
          </cell>
          <cell r="W964" t="str">
            <v>KEW</v>
          </cell>
          <cell r="X964" t="str">
            <v>01/09/2010</v>
          </cell>
          <cell r="Y964" t="str">
            <v>KEW</v>
          </cell>
          <cell r="Z964" t="str">
            <v>16/08/2013</v>
          </cell>
          <cell r="AA964" t="str">
            <v>15/08/2015</v>
          </cell>
          <cell r="AB964" t="str">
            <v>No</v>
          </cell>
          <cell r="AC964" t="str">
            <v>31/08/2013</v>
          </cell>
          <cell r="AD964" t="str">
            <v>Good</v>
          </cell>
          <cell r="AE964" t="str">
            <v>V1 - Existing / No Claim</v>
          </cell>
          <cell r="AF964">
            <v>42797</v>
          </cell>
          <cell r="AG964">
            <v>9.17</v>
          </cell>
          <cell r="AH964" t="str">
            <v>PPM</v>
          </cell>
          <cell r="AI964" t="str">
            <v>Strands</v>
          </cell>
          <cell r="AJ964" t="str">
            <v>Strands PW</v>
          </cell>
        </row>
        <row r="965">
          <cell r="A965" t="str">
            <v>IKN400525</v>
          </cell>
          <cell r="B965">
            <v>525</v>
          </cell>
          <cell r="C965" t="str">
            <v>Institut Kanser Negara</v>
          </cell>
          <cell r="D965" t="str">
            <v>KKM/IKN/H/13/375</v>
          </cell>
          <cell r="E965" t="str">
            <v>16-924</v>
          </cell>
          <cell r="F965" t="str">
            <v>Infusion Pumps, Patient-Controlled Analgesic</v>
          </cell>
          <cell r="G965" t="str">
            <v>IC</v>
          </cell>
          <cell r="H965" t="str">
            <v>INTENSIVE CARE UNIT</v>
          </cell>
          <cell r="I965" t="str">
            <v>05IC108</v>
          </cell>
          <cell r="J965" t="str">
            <v>PCA</v>
          </cell>
          <cell r="K965" t="str">
            <v>BMED</v>
          </cell>
          <cell r="L965" t="str">
            <v>Critical</v>
          </cell>
          <cell r="M965" t="str">
            <v>Germany</v>
          </cell>
          <cell r="N965" t="str">
            <v>Perfusor</v>
          </cell>
          <cell r="O965" t="str">
            <v>Perfusor Space PCA</v>
          </cell>
          <cell r="P965" t="str">
            <v>187052</v>
          </cell>
          <cell r="Q965" t="str">
            <v>Not Applicable</v>
          </cell>
          <cell r="R965" t="str">
            <v>B Braun Melsungen AG</v>
          </cell>
          <cell r="S965" t="str">
            <v>B Braun Medical Supplies Sdn. Bhd.</v>
          </cell>
          <cell r="T965" t="str">
            <v>Functioning</v>
          </cell>
          <cell r="U965" t="str">
            <v>Asset</v>
          </cell>
          <cell r="V965">
            <v>16840</v>
          </cell>
          <cell r="W965" t="str">
            <v>KEW</v>
          </cell>
          <cell r="X965" t="str">
            <v>01/09/2010</v>
          </cell>
          <cell r="Y965" t="str">
            <v>KEW</v>
          </cell>
          <cell r="Z965" t="str">
            <v>16/08/2013</v>
          </cell>
          <cell r="AA965" t="str">
            <v>15/08/2015</v>
          </cell>
          <cell r="AB965" t="str">
            <v>No</v>
          </cell>
          <cell r="AC965" t="str">
            <v>31/08/2013</v>
          </cell>
          <cell r="AD965" t="str">
            <v>Good</v>
          </cell>
          <cell r="AE965" t="str">
            <v>V1 - Existing / No Claim</v>
          </cell>
          <cell r="AF965">
            <v>43143</v>
          </cell>
          <cell r="AG965">
            <v>9.17</v>
          </cell>
          <cell r="AH965" t="str">
            <v>PPM</v>
          </cell>
          <cell r="AI965" t="str">
            <v>Strands</v>
          </cell>
          <cell r="AJ965" t="str">
            <v>Strands PW</v>
          </cell>
        </row>
        <row r="966">
          <cell r="A966" t="str">
            <v>IKN400527</v>
          </cell>
          <cell r="B966">
            <v>527</v>
          </cell>
          <cell r="C966" t="str">
            <v>Institut Kanser Negara</v>
          </cell>
          <cell r="D966" t="str">
            <v>KKM/IKN/H/13/327</v>
          </cell>
          <cell r="E966" t="str">
            <v>10-208</v>
          </cell>
          <cell r="F966" t="str">
            <v>Aspirators</v>
          </cell>
          <cell r="G966" t="str">
            <v>PC</v>
          </cell>
          <cell r="H966" t="str">
            <v>PALLIATIVE CARE UNIT</v>
          </cell>
          <cell r="I966" t="str">
            <v>04PC109</v>
          </cell>
          <cell r="J966" t="str">
            <v>GEN. STORE</v>
          </cell>
          <cell r="K966" t="str">
            <v>BMED</v>
          </cell>
          <cell r="L966" t="str">
            <v>Critical</v>
          </cell>
          <cell r="M966" t="str">
            <v>Italy</v>
          </cell>
          <cell r="N966" t="str">
            <v>Askir</v>
          </cell>
          <cell r="O966" t="str">
            <v>Askir 36-BR</v>
          </cell>
          <cell r="P966" t="str">
            <v>1391</v>
          </cell>
          <cell r="Q966" t="str">
            <v>Not Applicable</v>
          </cell>
          <cell r="R966" t="str">
            <v>Ca-Mi Snc</v>
          </cell>
          <cell r="S966" t="str">
            <v>Antah Sir Radin Sdn. Bhd.</v>
          </cell>
          <cell r="T966" t="str">
            <v>Functioning</v>
          </cell>
          <cell r="U966" t="str">
            <v>Asset</v>
          </cell>
          <cell r="V966">
            <v>2165</v>
          </cell>
          <cell r="W966" t="str">
            <v>KEW</v>
          </cell>
          <cell r="X966" t="str">
            <v>01/09/2010</v>
          </cell>
          <cell r="Y966" t="str">
            <v>KEW</v>
          </cell>
          <cell r="Z966" t="str">
            <v>16/08/2013</v>
          </cell>
          <cell r="AA966" t="str">
            <v>15/08/2015</v>
          </cell>
          <cell r="AB966" t="str">
            <v>No</v>
          </cell>
          <cell r="AC966" t="str">
            <v>31/08/2013</v>
          </cell>
          <cell r="AD966" t="str">
            <v>Good</v>
          </cell>
          <cell r="AE966" t="str">
            <v>V1 - Existing / No Claim</v>
          </cell>
          <cell r="AF966">
            <v>42797</v>
          </cell>
          <cell r="AG966">
            <v>9.17</v>
          </cell>
          <cell r="AH966" t="str">
            <v>PPM</v>
          </cell>
          <cell r="AI966" t="str">
            <v>Strands</v>
          </cell>
          <cell r="AJ966" t="str">
            <v>Strands PW</v>
          </cell>
        </row>
        <row r="967">
          <cell r="A967" t="str">
            <v>IKN400528</v>
          </cell>
          <cell r="B967">
            <v>528</v>
          </cell>
          <cell r="C967" t="str">
            <v>Institut Kanser Negara</v>
          </cell>
          <cell r="D967" t="str">
            <v>KKM/IKN/H/13/330</v>
          </cell>
          <cell r="E967" t="str">
            <v>10-208</v>
          </cell>
          <cell r="F967" t="str">
            <v>Aspirators</v>
          </cell>
          <cell r="G967" t="str">
            <v>PC</v>
          </cell>
          <cell r="H967" t="str">
            <v>PALLIATIVE CARE UNIT</v>
          </cell>
          <cell r="I967" t="str">
            <v>04PC109</v>
          </cell>
          <cell r="J967" t="str">
            <v>GEN. STORE</v>
          </cell>
          <cell r="K967" t="str">
            <v>BMED</v>
          </cell>
          <cell r="L967" t="str">
            <v>Critical</v>
          </cell>
          <cell r="M967" t="str">
            <v>Italy</v>
          </cell>
          <cell r="N967" t="str">
            <v>Askir</v>
          </cell>
          <cell r="O967" t="str">
            <v>Askir 36-BR</v>
          </cell>
          <cell r="P967" t="str">
            <v>1395</v>
          </cell>
          <cell r="Q967" t="str">
            <v>Not Applicable</v>
          </cell>
          <cell r="R967" t="str">
            <v>Ca-Mi Snc</v>
          </cell>
          <cell r="S967" t="str">
            <v>Antah Sir Radin Sdn. Bhd.</v>
          </cell>
          <cell r="T967" t="str">
            <v>Functioning</v>
          </cell>
          <cell r="U967" t="str">
            <v>Asset</v>
          </cell>
          <cell r="V967">
            <v>2165</v>
          </cell>
          <cell r="W967" t="str">
            <v>KEW</v>
          </cell>
          <cell r="X967" t="str">
            <v>01/09/2010</v>
          </cell>
          <cell r="Y967" t="str">
            <v>KEW</v>
          </cell>
          <cell r="Z967" t="str">
            <v>16/08/2013</v>
          </cell>
          <cell r="AA967" t="str">
            <v>15/08/2015</v>
          </cell>
          <cell r="AB967" t="str">
            <v>No</v>
          </cell>
          <cell r="AC967" t="str">
            <v>31/08/2013</v>
          </cell>
          <cell r="AD967" t="str">
            <v>Good</v>
          </cell>
          <cell r="AE967" t="str">
            <v>V1 - Existing / No Claim</v>
          </cell>
          <cell r="AF967">
            <v>42797</v>
          </cell>
          <cell r="AG967">
            <v>9.17</v>
          </cell>
          <cell r="AH967" t="str">
            <v>PPM</v>
          </cell>
          <cell r="AI967" t="str">
            <v>Strands</v>
          </cell>
          <cell r="AJ967" t="str">
            <v>Strands PW</v>
          </cell>
        </row>
        <row r="968">
          <cell r="A968" t="str">
            <v>IKN400529</v>
          </cell>
          <cell r="B968">
            <v>529</v>
          </cell>
          <cell r="C968" t="str">
            <v>Institut Kanser Negara</v>
          </cell>
          <cell r="D968" t="str">
            <v>KKM/IKN/H/13/329</v>
          </cell>
          <cell r="E968" t="str">
            <v>10-208</v>
          </cell>
          <cell r="F968" t="str">
            <v>Aspirators</v>
          </cell>
          <cell r="G968" t="str">
            <v>PC</v>
          </cell>
          <cell r="H968" t="str">
            <v>PALLIATIVE CARE UNIT</v>
          </cell>
          <cell r="I968" t="str">
            <v>04PC109</v>
          </cell>
          <cell r="J968" t="str">
            <v>GEN. STORE</v>
          </cell>
          <cell r="K968" t="str">
            <v>BMED</v>
          </cell>
          <cell r="L968" t="str">
            <v>Critical</v>
          </cell>
          <cell r="M968" t="str">
            <v>Italy</v>
          </cell>
          <cell r="N968" t="str">
            <v>Askir</v>
          </cell>
          <cell r="O968" t="str">
            <v>Askir 36-BR</v>
          </cell>
          <cell r="P968" t="str">
            <v>1393</v>
          </cell>
          <cell r="Q968" t="str">
            <v>Not Applicable</v>
          </cell>
          <cell r="R968" t="str">
            <v>Ca-Mi Snc</v>
          </cell>
          <cell r="S968" t="str">
            <v>Antah Sir Radin Sdn. Bhd.</v>
          </cell>
          <cell r="T968" t="str">
            <v>Functioning</v>
          </cell>
          <cell r="U968" t="str">
            <v>Asset</v>
          </cell>
          <cell r="V968">
            <v>2165</v>
          </cell>
          <cell r="W968" t="str">
            <v>KEW</v>
          </cell>
          <cell r="X968" t="str">
            <v>01/09/2010</v>
          </cell>
          <cell r="Y968" t="str">
            <v>KEW</v>
          </cell>
          <cell r="Z968" t="str">
            <v>16/08/2013</v>
          </cell>
          <cell r="AA968" t="str">
            <v>15/08/2015</v>
          </cell>
          <cell r="AB968" t="str">
            <v>No</v>
          </cell>
          <cell r="AC968" t="str">
            <v>31/08/2013</v>
          </cell>
          <cell r="AD968" t="str">
            <v>Good</v>
          </cell>
          <cell r="AE968" t="str">
            <v>V1 - Existing / No Claim</v>
          </cell>
          <cell r="AF968">
            <v>42797</v>
          </cell>
          <cell r="AG968">
            <v>9.17</v>
          </cell>
          <cell r="AH968" t="str">
            <v>PPM</v>
          </cell>
          <cell r="AI968" t="str">
            <v>Strands</v>
          </cell>
          <cell r="AJ968" t="str">
            <v>Strands PW</v>
          </cell>
        </row>
        <row r="969">
          <cell r="A969" t="str">
            <v>IKN400530</v>
          </cell>
          <cell r="B969">
            <v>530</v>
          </cell>
          <cell r="C969" t="str">
            <v>Institut Kanser Negara</v>
          </cell>
          <cell r="D969" t="str">
            <v>KKM/IKN/H/13/328</v>
          </cell>
          <cell r="E969" t="str">
            <v>10-208</v>
          </cell>
          <cell r="F969" t="str">
            <v>Aspirators</v>
          </cell>
          <cell r="G969" t="str">
            <v>PC</v>
          </cell>
          <cell r="H969" t="str">
            <v>PALLIATIVE CARE UNIT</v>
          </cell>
          <cell r="I969" t="str">
            <v>04PC109</v>
          </cell>
          <cell r="J969" t="str">
            <v>GEN. STORE</v>
          </cell>
          <cell r="K969" t="str">
            <v>BMED</v>
          </cell>
          <cell r="L969" t="str">
            <v>Critical</v>
          </cell>
          <cell r="M969" t="str">
            <v>Italy</v>
          </cell>
          <cell r="N969" t="str">
            <v>Askir</v>
          </cell>
          <cell r="O969" t="str">
            <v>Askir 36-BR</v>
          </cell>
          <cell r="P969" t="str">
            <v>1392</v>
          </cell>
          <cell r="Q969" t="str">
            <v>Not Applicable</v>
          </cell>
          <cell r="R969" t="str">
            <v>Ca-Mi Snc</v>
          </cell>
          <cell r="S969" t="str">
            <v>Antah Sir Radin Sdn. Bhd.</v>
          </cell>
          <cell r="T969" t="str">
            <v>Functioning</v>
          </cell>
          <cell r="U969" t="str">
            <v>Asset</v>
          </cell>
          <cell r="V969">
            <v>2165</v>
          </cell>
          <cell r="W969" t="str">
            <v>KEW</v>
          </cell>
          <cell r="X969" t="str">
            <v>01/09/2010</v>
          </cell>
          <cell r="Y969" t="str">
            <v>KEW</v>
          </cell>
          <cell r="Z969" t="str">
            <v>16/08/2013</v>
          </cell>
          <cell r="AA969" t="str">
            <v>15/08/2015</v>
          </cell>
          <cell r="AB969" t="str">
            <v>No</v>
          </cell>
          <cell r="AC969" t="str">
            <v>31/08/2013</v>
          </cell>
          <cell r="AD969" t="str">
            <v>Good</v>
          </cell>
          <cell r="AE969" t="str">
            <v>V1 - Existing / No Claim</v>
          </cell>
          <cell r="AF969">
            <v>42797</v>
          </cell>
          <cell r="AG969">
            <v>9.17</v>
          </cell>
          <cell r="AH969" t="str">
            <v>PPM</v>
          </cell>
          <cell r="AI969" t="str">
            <v>Strands</v>
          </cell>
          <cell r="AJ969" t="str">
            <v>Strands PW</v>
          </cell>
        </row>
        <row r="970">
          <cell r="A970" t="str">
            <v>IKN400533</v>
          </cell>
          <cell r="B970">
            <v>533</v>
          </cell>
          <cell r="C970" t="str">
            <v>Institut Kanser Negara</v>
          </cell>
          <cell r="D970" t="str">
            <v>KKM/IKN/H/13/2472</v>
          </cell>
          <cell r="E970" t="str">
            <v>12-660</v>
          </cell>
          <cell r="F970" t="str">
            <v>Radiation Monitors</v>
          </cell>
          <cell r="G970" t="str">
            <v>WA</v>
          </cell>
          <cell r="H970" t="str">
            <v>NUCLEAR MED WARD (THERAPY)</v>
          </cell>
          <cell r="I970" t="str">
            <v>03WA114</v>
          </cell>
          <cell r="J970" t="str">
            <v>RADIOACTIVE WASTE</v>
          </cell>
          <cell r="K970" t="str">
            <v>BMED</v>
          </cell>
          <cell r="L970" t="str">
            <v>Normal</v>
          </cell>
          <cell r="M970" t="str">
            <v>Germany</v>
          </cell>
          <cell r="N970" t="str">
            <v>CoMo</v>
          </cell>
          <cell r="O970" t="str">
            <v>CoMo 170</v>
          </cell>
          <cell r="P970" t="str">
            <v>5067DL</v>
          </cell>
          <cell r="Q970" t="str">
            <v>Not Applicable</v>
          </cell>
          <cell r="R970" t="str">
            <v>MED Nuklear-Medizintechnik Dresden GmbH</v>
          </cell>
          <cell r="S970" t="str">
            <v>Kwint International BN</v>
          </cell>
          <cell r="T970" t="str">
            <v>Functioning</v>
          </cell>
          <cell r="U970" t="str">
            <v>Asset</v>
          </cell>
          <cell r="V970">
            <v>23270</v>
          </cell>
          <cell r="W970" t="str">
            <v>KEW</v>
          </cell>
          <cell r="X970" t="str">
            <v>01/09/2010</v>
          </cell>
          <cell r="Y970" t="str">
            <v>KEW</v>
          </cell>
          <cell r="Z970" t="str">
            <v>16/08/2013</v>
          </cell>
          <cell r="AA970" t="str">
            <v>15/08/2015</v>
          </cell>
          <cell r="AB970" t="str">
            <v>No</v>
          </cell>
          <cell r="AC970" t="str">
            <v>31/08/2013</v>
          </cell>
          <cell r="AD970" t="str">
            <v>Good</v>
          </cell>
          <cell r="AE970" t="str">
            <v>V1 - Existing / No Claim</v>
          </cell>
          <cell r="AF970">
            <v>42235</v>
          </cell>
          <cell r="AG970">
            <v>9.17</v>
          </cell>
          <cell r="AH970" t="str">
            <v>PPM</v>
          </cell>
          <cell r="AI970" t="str">
            <v>Strands</v>
          </cell>
          <cell r="AJ970" t="str">
            <v>Strands PW</v>
          </cell>
        </row>
        <row r="971">
          <cell r="A971" t="str">
            <v>IKN400534</v>
          </cell>
          <cell r="B971">
            <v>534</v>
          </cell>
          <cell r="C971" t="str">
            <v>Institut Kanser Negara</v>
          </cell>
          <cell r="D971" t="str">
            <v>KKM/IKN/H/13/2367</v>
          </cell>
          <cell r="E971" t="str">
            <v>10-208</v>
          </cell>
          <cell r="F971" t="str">
            <v>Aspirators</v>
          </cell>
          <cell r="G971" t="str">
            <v>WA</v>
          </cell>
          <cell r="H971" t="str">
            <v>NUCLEAR MED WARD (THERAPY)</v>
          </cell>
          <cell r="I971" t="str">
            <v>03WA116</v>
          </cell>
          <cell r="J971" t="str">
            <v>TREATMENT</v>
          </cell>
          <cell r="K971" t="str">
            <v>BMED</v>
          </cell>
          <cell r="L971" t="str">
            <v>Critical</v>
          </cell>
          <cell r="M971" t="str">
            <v>Switzerland</v>
          </cell>
          <cell r="N971" t="str">
            <v>Senator</v>
          </cell>
          <cell r="O971" t="str">
            <v>Senator</v>
          </cell>
          <cell r="P971" t="str">
            <v>1220747</v>
          </cell>
          <cell r="Q971" t="str">
            <v>Not Applicable</v>
          </cell>
          <cell r="R971" t="str">
            <v>Ardo Medical AG</v>
          </cell>
          <cell r="S971" t="str">
            <v>Histopoint</v>
          </cell>
          <cell r="T971" t="str">
            <v>Functioning</v>
          </cell>
          <cell r="U971" t="str">
            <v>Asset</v>
          </cell>
          <cell r="V971">
            <v>5052</v>
          </cell>
          <cell r="W971" t="str">
            <v>KEW</v>
          </cell>
          <cell r="X971" t="str">
            <v>01/09/2010</v>
          </cell>
          <cell r="Y971" t="str">
            <v>KEW</v>
          </cell>
          <cell r="Z971" t="str">
            <v>16/08/2013</v>
          </cell>
          <cell r="AA971" t="str">
            <v>15/08/2015</v>
          </cell>
          <cell r="AB971" t="str">
            <v>No</v>
          </cell>
          <cell r="AC971" t="str">
            <v>31/08/2013</v>
          </cell>
          <cell r="AD971" t="str">
            <v>Good</v>
          </cell>
          <cell r="AE971" t="str">
            <v>V1 - Existing / No Claim</v>
          </cell>
          <cell r="AF971">
            <v>42794</v>
          </cell>
          <cell r="AG971">
            <v>9.17</v>
          </cell>
          <cell r="AH971" t="str">
            <v>PPM</v>
          </cell>
          <cell r="AI971" t="str">
            <v>Strands</v>
          </cell>
          <cell r="AJ971" t="str">
            <v>Strands PW</v>
          </cell>
        </row>
        <row r="972">
          <cell r="A972" t="str">
            <v>IKN400535</v>
          </cell>
          <cell r="B972">
            <v>535</v>
          </cell>
          <cell r="C972" t="str">
            <v>Institut Kanser Negara</v>
          </cell>
          <cell r="D972" t="str">
            <v>KKM/IKN/H/13/2366</v>
          </cell>
          <cell r="E972" t="str">
            <v>16-173</v>
          </cell>
          <cell r="F972" t="str">
            <v>Sphygmomanometers, Electronic, Automatic</v>
          </cell>
          <cell r="G972" t="str">
            <v>WA</v>
          </cell>
          <cell r="H972" t="str">
            <v>NUCLEAR MED WARD (THERAPY)</v>
          </cell>
          <cell r="I972" t="str">
            <v>03WA116</v>
          </cell>
          <cell r="J972" t="str">
            <v>TREATMENT</v>
          </cell>
          <cell r="K972" t="str">
            <v>BMED</v>
          </cell>
          <cell r="L972" t="str">
            <v>Normal</v>
          </cell>
          <cell r="M972" t="str">
            <v>Mexico</v>
          </cell>
          <cell r="N972" t="str">
            <v>Carespace</v>
          </cell>
          <cell r="O972" t="str">
            <v>Carescape V100</v>
          </cell>
          <cell r="P972" t="str">
            <v>SH612430108SA</v>
          </cell>
          <cell r="Q972" t="str">
            <v>Not Applicable</v>
          </cell>
          <cell r="R972" t="str">
            <v>GE Healthcare Systems</v>
          </cell>
          <cell r="S972" t="str">
            <v>GE Healthcare Technologies</v>
          </cell>
          <cell r="T972" t="str">
            <v>Functioning</v>
          </cell>
          <cell r="U972" t="str">
            <v>Asset</v>
          </cell>
          <cell r="V972">
            <v>7770</v>
          </cell>
          <cell r="W972" t="str">
            <v>KEW</v>
          </cell>
          <cell r="X972" t="str">
            <v>01/09/2010</v>
          </cell>
          <cell r="Y972" t="str">
            <v>KEW</v>
          </cell>
          <cell r="Z972" t="str">
            <v>16/08/2013</v>
          </cell>
          <cell r="AA972" t="str">
            <v>15/08/2015</v>
          </cell>
          <cell r="AB972" t="str">
            <v>No</v>
          </cell>
          <cell r="AC972" t="str">
            <v>31/08/2013</v>
          </cell>
          <cell r="AD972" t="str">
            <v>Good</v>
          </cell>
          <cell r="AE972" t="str">
            <v>V1 - Existing / No Claim</v>
          </cell>
          <cell r="AF972">
            <v>42235</v>
          </cell>
          <cell r="AG972">
            <v>9.17</v>
          </cell>
          <cell r="AH972" t="str">
            <v>PPM</v>
          </cell>
          <cell r="AI972" t="str">
            <v>Strands</v>
          </cell>
          <cell r="AJ972" t="str">
            <v>Strands PW</v>
          </cell>
        </row>
        <row r="973">
          <cell r="A973" t="str">
            <v>IKN400536</v>
          </cell>
          <cell r="B973">
            <v>536</v>
          </cell>
          <cell r="C973" t="str">
            <v>Institut Kanser Negara</v>
          </cell>
          <cell r="D973" t="str">
            <v>KKM/IKN/H/13/1343</v>
          </cell>
          <cell r="E973" t="str">
            <v>16-231</v>
          </cell>
          <cell r="F973" t="str">
            <v>Electrocardiographs, Multichannel, Interpretative</v>
          </cell>
          <cell r="G973" t="str">
            <v>WA</v>
          </cell>
          <cell r="H973" t="str">
            <v>NUCLEAR MED WARD (THERAPY)</v>
          </cell>
          <cell r="I973" t="str">
            <v>03WA116</v>
          </cell>
          <cell r="J973" t="str">
            <v>TREATMENT</v>
          </cell>
          <cell r="K973" t="str">
            <v>BMED</v>
          </cell>
          <cell r="L973" t="str">
            <v>Critical</v>
          </cell>
          <cell r="M973" t="str">
            <v>China</v>
          </cell>
          <cell r="N973" t="str">
            <v>Mac</v>
          </cell>
          <cell r="O973" t="str">
            <v>MAC 800</v>
          </cell>
          <cell r="P973" t="str">
            <v>SJ412450376 WA</v>
          </cell>
          <cell r="Q973" t="str">
            <v>Not Applicable</v>
          </cell>
          <cell r="R973" t="str">
            <v>GE Healthcare Systems</v>
          </cell>
          <cell r="S973" t="str">
            <v>GE Healthcare Technologies</v>
          </cell>
          <cell r="T973" t="str">
            <v>Functioning</v>
          </cell>
          <cell r="U973" t="str">
            <v>Asset</v>
          </cell>
          <cell r="V973">
            <v>25260</v>
          </cell>
          <cell r="W973" t="str">
            <v>KEW</v>
          </cell>
          <cell r="X973" t="str">
            <v>01/09/2010</v>
          </cell>
          <cell r="Y973" t="str">
            <v>KEW</v>
          </cell>
          <cell r="Z973" t="str">
            <v>16/08/2013</v>
          </cell>
          <cell r="AA973" t="str">
            <v>15/08/2015</v>
          </cell>
          <cell r="AB973" t="str">
            <v>No</v>
          </cell>
          <cell r="AC973" t="str">
            <v>31/08/2013</v>
          </cell>
          <cell r="AD973" t="str">
            <v>Good</v>
          </cell>
          <cell r="AE973" t="str">
            <v>V1 - Existing / No Claim</v>
          </cell>
          <cell r="AF973">
            <v>42794</v>
          </cell>
          <cell r="AG973">
            <v>9.17</v>
          </cell>
          <cell r="AH973" t="str">
            <v>PPM</v>
          </cell>
          <cell r="AI973" t="str">
            <v>Strands</v>
          </cell>
          <cell r="AJ973" t="str">
            <v>Strands PW</v>
          </cell>
        </row>
        <row r="974">
          <cell r="A974" t="str">
            <v>IKN400537</v>
          </cell>
          <cell r="B974">
            <v>537</v>
          </cell>
          <cell r="C974" t="str">
            <v>Institut Kanser Negara</v>
          </cell>
          <cell r="D974" t="e">
            <v>#N/A</v>
          </cell>
          <cell r="E974" t="str">
            <v>11-134</v>
          </cell>
          <cell r="F974" t="str">
            <v>Defibrillators, External, Manual</v>
          </cell>
          <cell r="G974" t="str">
            <v>WA</v>
          </cell>
          <cell r="H974" t="str">
            <v>NUCLEAR MED WARD (THERAPY)</v>
          </cell>
          <cell r="I974" t="str">
            <v>03WA117</v>
          </cell>
          <cell r="J974" t="str">
            <v>N/S 1</v>
          </cell>
          <cell r="K974" t="str">
            <v>BMED</v>
          </cell>
          <cell r="L974" t="str">
            <v>Critical</v>
          </cell>
          <cell r="M974" t="str">
            <v>USA</v>
          </cell>
          <cell r="N974" t="str">
            <v>Responder</v>
          </cell>
          <cell r="O974" t="str">
            <v>Responder 2000</v>
          </cell>
          <cell r="P974" t="str">
            <v>3206739</v>
          </cell>
          <cell r="Q974" t="str">
            <v>Not Applicable</v>
          </cell>
          <cell r="R974" t="str">
            <v>GE Medical Systems</v>
          </cell>
          <cell r="S974" t="str">
            <v>Antah Sir Radin Sdn. Bhd.</v>
          </cell>
          <cell r="T974" t="str">
            <v>Functioning</v>
          </cell>
          <cell r="U974" t="str">
            <v>Asset</v>
          </cell>
          <cell r="V974">
            <v>45000</v>
          </cell>
          <cell r="W974" t="str">
            <v>Estimate</v>
          </cell>
          <cell r="X974" t="str">
            <v>01/09/2010</v>
          </cell>
          <cell r="Y974" t="str">
            <v>KEW</v>
          </cell>
          <cell r="Z974" t="str">
            <v>16/08/2013</v>
          </cell>
          <cell r="AA974" t="str">
            <v>15/08/2015</v>
          </cell>
          <cell r="AB974" t="str">
            <v>No</v>
          </cell>
          <cell r="AC974" t="str">
            <v>31/08/2013</v>
          </cell>
          <cell r="AD974" t="str">
            <v>Good</v>
          </cell>
          <cell r="AE974" t="str">
            <v>V1 - Existing / No Claim</v>
          </cell>
          <cell r="AF974">
            <v>42601</v>
          </cell>
          <cell r="AG974">
            <v>9.17</v>
          </cell>
          <cell r="AH974" t="str">
            <v>PPM</v>
          </cell>
          <cell r="AI974" t="str">
            <v>Strands</v>
          </cell>
          <cell r="AJ974" t="str">
            <v>Strands PW</v>
          </cell>
          <cell r="AK974" t="str">
            <v>Crash Trolley (FEMS)</v>
          </cell>
        </row>
        <row r="975">
          <cell r="A975" t="str">
            <v>IKN400538</v>
          </cell>
          <cell r="B975">
            <v>538</v>
          </cell>
          <cell r="C975" t="str">
            <v>Institut Kanser Negara</v>
          </cell>
          <cell r="D975" t="str">
            <v>KKM/IKN/H/13/2204</v>
          </cell>
          <cell r="E975" t="str">
            <v>16-173</v>
          </cell>
          <cell r="F975" t="str">
            <v>Sphygmomanometers, Electronic, Automatic</v>
          </cell>
          <cell r="G975" t="str">
            <v>WA</v>
          </cell>
          <cell r="H975" t="str">
            <v>NUCLEAR MED WARD (THERAPY)</v>
          </cell>
          <cell r="I975" t="str">
            <v>03WA117</v>
          </cell>
          <cell r="J975" t="str">
            <v>N/S 1</v>
          </cell>
          <cell r="K975" t="str">
            <v>BMED</v>
          </cell>
          <cell r="L975" t="str">
            <v>Normal</v>
          </cell>
          <cell r="M975" t="str">
            <v>USA</v>
          </cell>
          <cell r="N975" t="str">
            <v>Connex</v>
          </cell>
          <cell r="O975" t="str">
            <v>Connex ProBP 3400</v>
          </cell>
          <cell r="P975" t="str">
            <v>100001770613</v>
          </cell>
          <cell r="Q975" t="str">
            <v>Not Applicable</v>
          </cell>
          <cell r="R975" t="str">
            <v>Welch Allyn Inc</v>
          </cell>
          <cell r="S975" t="str">
            <v>Welch Allyn Malaysia Sdn Bhd</v>
          </cell>
          <cell r="T975" t="str">
            <v>Functioning</v>
          </cell>
          <cell r="U975" t="str">
            <v>Asset</v>
          </cell>
          <cell r="V975">
            <v>4510</v>
          </cell>
          <cell r="W975" t="str">
            <v>KEW</v>
          </cell>
          <cell r="X975" t="str">
            <v>01/09/2010</v>
          </cell>
          <cell r="Y975" t="str">
            <v>KEW</v>
          </cell>
          <cell r="Z975" t="str">
            <v>16/08/2013</v>
          </cell>
          <cell r="AA975" t="str">
            <v>15/08/2015</v>
          </cell>
          <cell r="AB975" t="str">
            <v>No</v>
          </cell>
          <cell r="AC975" t="str">
            <v>31/08/2013</v>
          </cell>
          <cell r="AD975" t="str">
            <v>Good</v>
          </cell>
          <cell r="AE975" t="str">
            <v>V1 - Existing / No Claim</v>
          </cell>
          <cell r="AF975">
            <v>42235</v>
          </cell>
          <cell r="AG975">
            <v>9.17</v>
          </cell>
          <cell r="AH975" t="str">
            <v>PPM</v>
          </cell>
          <cell r="AI975" t="str">
            <v>Strands</v>
          </cell>
          <cell r="AJ975" t="str">
            <v>Strands PW</v>
          </cell>
        </row>
        <row r="976">
          <cell r="A976" t="str">
            <v>IKN400539</v>
          </cell>
          <cell r="B976">
            <v>539</v>
          </cell>
          <cell r="C976" t="str">
            <v>Institut Kanser Negara</v>
          </cell>
          <cell r="D976" t="str">
            <v>KKM/IKN/H/13/2205</v>
          </cell>
          <cell r="E976" t="str">
            <v>16-173</v>
          </cell>
          <cell r="F976" t="str">
            <v>Sphygmomanometers, Electronic, Automatic</v>
          </cell>
          <cell r="G976" t="str">
            <v>WA</v>
          </cell>
          <cell r="H976" t="str">
            <v>NUCLEAR MED WARD (THERAPY)</v>
          </cell>
          <cell r="I976" t="str">
            <v>03WA117</v>
          </cell>
          <cell r="J976" t="str">
            <v>N/S 1</v>
          </cell>
          <cell r="K976" t="str">
            <v>BMED</v>
          </cell>
          <cell r="L976" t="str">
            <v>Normal</v>
          </cell>
          <cell r="M976" t="str">
            <v>USA</v>
          </cell>
          <cell r="N976" t="str">
            <v>Connex</v>
          </cell>
          <cell r="O976" t="str">
            <v>Connex ProBP 3400</v>
          </cell>
          <cell r="P976" t="str">
            <v>100001470613</v>
          </cell>
          <cell r="Q976" t="str">
            <v>Not Applicable</v>
          </cell>
          <cell r="R976" t="str">
            <v>Welch Allyn Inc</v>
          </cell>
          <cell r="S976" t="str">
            <v>Welch Allyn Malaysia Sdn Bhd</v>
          </cell>
          <cell r="T976" t="str">
            <v>Functioning</v>
          </cell>
          <cell r="U976" t="str">
            <v>Asset</v>
          </cell>
          <cell r="V976">
            <v>4510</v>
          </cell>
          <cell r="W976" t="str">
            <v>KEW</v>
          </cell>
          <cell r="X976" t="str">
            <v>01/09/2010</v>
          </cell>
          <cell r="Y976" t="str">
            <v>KEW</v>
          </cell>
          <cell r="Z976" t="str">
            <v>16/08/2013</v>
          </cell>
          <cell r="AA976" t="str">
            <v>15/08/2015</v>
          </cell>
          <cell r="AB976" t="str">
            <v>No</v>
          </cell>
          <cell r="AC976" t="str">
            <v>31/08/2013</v>
          </cell>
          <cell r="AD976" t="str">
            <v>Good</v>
          </cell>
          <cell r="AE976" t="str">
            <v>V1 - Existing / No Claim</v>
          </cell>
          <cell r="AF976">
            <v>42235</v>
          </cell>
          <cell r="AG976">
            <v>9.17</v>
          </cell>
          <cell r="AH976" t="str">
            <v>PPM</v>
          </cell>
          <cell r="AI976" t="str">
            <v>Strands</v>
          </cell>
          <cell r="AJ976" t="str">
            <v>Strands PW</v>
          </cell>
        </row>
        <row r="977">
          <cell r="A977" t="str">
            <v>IKN400541</v>
          </cell>
          <cell r="B977">
            <v>541</v>
          </cell>
          <cell r="C977" t="str">
            <v>Institut Kanser Negara</v>
          </cell>
          <cell r="D977" t="str">
            <v>KKM/IKN/H/13/2478</v>
          </cell>
          <cell r="E977" t="str">
            <v>11-134</v>
          </cell>
          <cell r="F977" t="str">
            <v>Defibrillators, External, Manual</v>
          </cell>
          <cell r="G977" t="str">
            <v>WA</v>
          </cell>
          <cell r="H977" t="str">
            <v>NUCLEAR MED WARD (THERAPY)</v>
          </cell>
          <cell r="I977" t="str">
            <v>03WA121</v>
          </cell>
          <cell r="J977" t="str">
            <v>N/S 2</v>
          </cell>
          <cell r="K977" t="str">
            <v>BMED</v>
          </cell>
          <cell r="L977" t="str">
            <v>Critical</v>
          </cell>
          <cell r="M977" t="str">
            <v>USA</v>
          </cell>
          <cell r="N977" t="str">
            <v>Responder</v>
          </cell>
          <cell r="O977" t="str">
            <v>Responder 2000</v>
          </cell>
          <cell r="P977" t="str">
            <v>3206688</v>
          </cell>
          <cell r="Q977" t="str">
            <v>Not Applicable</v>
          </cell>
          <cell r="R977" t="str">
            <v>GE Medical Systems</v>
          </cell>
          <cell r="S977" t="str">
            <v>Antah Sir Radin Sdn. Bhd.</v>
          </cell>
          <cell r="T977" t="str">
            <v>Functioning</v>
          </cell>
          <cell r="U977" t="str">
            <v>Asset</v>
          </cell>
          <cell r="V977">
            <v>45000</v>
          </cell>
          <cell r="W977" t="str">
            <v>Estimate</v>
          </cell>
          <cell r="X977" t="str">
            <v>01/09/2010</v>
          </cell>
          <cell r="Y977" t="str">
            <v>KEW</v>
          </cell>
          <cell r="Z977" t="str">
            <v>16/08/2013</v>
          </cell>
          <cell r="AA977" t="str">
            <v>15/08/2015</v>
          </cell>
          <cell r="AB977" t="str">
            <v>No</v>
          </cell>
          <cell r="AC977" t="str">
            <v>31/08/2013</v>
          </cell>
          <cell r="AD977" t="str">
            <v>Good</v>
          </cell>
          <cell r="AE977" t="str">
            <v>V1 - Existing / No Claim</v>
          </cell>
          <cell r="AF977">
            <v>42601</v>
          </cell>
          <cell r="AG977">
            <v>9.17</v>
          </cell>
          <cell r="AH977" t="str">
            <v>PPM</v>
          </cell>
          <cell r="AI977" t="str">
            <v>Strands</v>
          </cell>
          <cell r="AJ977" t="str">
            <v>Strands PW</v>
          </cell>
          <cell r="AK977" t="str">
            <v>Crash Trolley (FEMS)</v>
          </cell>
        </row>
        <row r="978">
          <cell r="A978" t="str">
            <v>IKN400542</v>
          </cell>
          <cell r="B978">
            <v>542</v>
          </cell>
          <cell r="C978" t="str">
            <v>Institut Kanser Negara</v>
          </cell>
          <cell r="D978" t="str">
            <v>KKM/IKN/H/13/315</v>
          </cell>
          <cell r="E978" t="str">
            <v>12-660</v>
          </cell>
          <cell r="F978" t="str">
            <v>Radiation Monitors</v>
          </cell>
          <cell r="G978" t="str">
            <v>WA</v>
          </cell>
          <cell r="H978" t="str">
            <v>NUCLEAR MED WARD (THERAPY)</v>
          </cell>
          <cell r="I978" t="str">
            <v>03WA121</v>
          </cell>
          <cell r="J978" t="str">
            <v>N/S 2</v>
          </cell>
          <cell r="K978" t="str">
            <v>BMED</v>
          </cell>
          <cell r="L978" t="str">
            <v>Normal</v>
          </cell>
          <cell r="M978" t="str">
            <v>Germany</v>
          </cell>
          <cell r="N978" t="str">
            <v>CoMo</v>
          </cell>
          <cell r="O978" t="str">
            <v>CoMo 170</v>
          </cell>
          <cell r="P978" t="str">
            <v>5069DL</v>
          </cell>
          <cell r="Q978" t="str">
            <v>Not Applicable</v>
          </cell>
          <cell r="R978" t="str">
            <v>MED Nuklear-Medizintechnik Dresden GmbH</v>
          </cell>
          <cell r="S978" t="str">
            <v>Kwint International BN</v>
          </cell>
          <cell r="T978" t="str">
            <v>Functioning</v>
          </cell>
          <cell r="U978" t="str">
            <v>Asset</v>
          </cell>
          <cell r="V978">
            <v>23270</v>
          </cell>
          <cell r="W978" t="str">
            <v>KEW</v>
          </cell>
          <cell r="X978" t="str">
            <v>01/09/2010</v>
          </cell>
          <cell r="Y978" t="str">
            <v>KEW</v>
          </cell>
          <cell r="Z978" t="str">
            <v>16/08/2013</v>
          </cell>
          <cell r="AA978" t="str">
            <v>15/08/2015</v>
          </cell>
          <cell r="AB978" t="str">
            <v>No</v>
          </cell>
          <cell r="AC978" t="str">
            <v>31/08/2013</v>
          </cell>
          <cell r="AD978" t="str">
            <v>Good</v>
          </cell>
          <cell r="AE978" t="str">
            <v>V1 - Existing / No Claim</v>
          </cell>
          <cell r="AF978">
            <v>42235</v>
          </cell>
          <cell r="AG978">
            <v>9.17</v>
          </cell>
          <cell r="AH978" t="str">
            <v>PPM</v>
          </cell>
          <cell r="AI978" t="str">
            <v>Strands</v>
          </cell>
          <cell r="AJ978" t="str">
            <v>Strands PW</v>
          </cell>
          <cell r="AK978" t="str">
            <v>TA: Alpha detector problem.</v>
          </cell>
        </row>
        <row r="979">
          <cell r="A979" t="str">
            <v>IKN400543</v>
          </cell>
          <cell r="B979">
            <v>543</v>
          </cell>
          <cell r="C979" t="str">
            <v>Institut Kanser Negara</v>
          </cell>
          <cell r="D979" t="str">
            <v>KKM/IKN/H/13/2616</v>
          </cell>
          <cell r="E979" t="str">
            <v>12-660</v>
          </cell>
          <cell r="F979" t="str">
            <v>Radiation Monitors</v>
          </cell>
          <cell r="G979" t="str">
            <v>WA</v>
          </cell>
          <cell r="H979" t="str">
            <v>NUCLEAR MED WARD (THERAPY)</v>
          </cell>
          <cell r="I979" t="str">
            <v>03WA125</v>
          </cell>
          <cell r="J979" t="str">
            <v>RADIOIODIN PREP (100% F.A.)</v>
          </cell>
          <cell r="K979" t="str">
            <v>BMED</v>
          </cell>
          <cell r="L979" t="str">
            <v>Normal</v>
          </cell>
          <cell r="M979" t="str">
            <v>Germany</v>
          </cell>
          <cell r="N979" t="str">
            <v>CoMo</v>
          </cell>
          <cell r="O979" t="str">
            <v>CoMo 170</v>
          </cell>
          <cell r="P979" t="str">
            <v>5389</v>
          </cell>
          <cell r="Q979" t="str">
            <v>Not Applicable</v>
          </cell>
          <cell r="R979" t="str">
            <v>MED Nuklear-Medizintechnik Dresden GmbH</v>
          </cell>
          <cell r="S979" t="str">
            <v>Kwint International BN</v>
          </cell>
          <cell r="T979" t="str">
            <v>Functioning</v>
          </cell>
          <cell r="U979" t="str">
            <v>Asset</v>
          </cell>
          <cell r="V979">
            <v>6810</v>
          </cell>
          <cell r="W979" t="str">
            <v>KEW</v>
          </cell>
          <cell r="X979" t="str">
            <v>01/09/2010</v>
          </cell>
          <cell r="Y979" t="str">
            <v>KEW</v>
          </cell>
          <cell r="Z979" t="str">
            <v>16/08/2013</v>
          </cell>
          <cell r="AA979" t="str">
            <v>15/08/2015</v>
          </cell>
          <cell r="AB979" t="str">
            <v>No</v>
          </cell>
          <cell r="AC979" t="str">
            <v>31/08/2013</v>
          </cell>
          <cell r="AD979" t="str">
            <v>Good</v>
          </cell>
          <cell r="AE979" t="str">
            <v>V1 - Existing / No Claim</v>
          </cell>
          <cell r="AF979">
            <v>42796</v>
          </cell>
          <cell r="AG979">
            <v>9.17</v>
          </cell>
          <cell r="AH979" t="str">
            <v>PPM</v>
          </cell>
          <cell r="AI979" t="str">
            <v>Strands</v>
          </cell>
          <cell r="AJ979" t="str">
            <v>Strands PW</v>
          </cell>
        </row>
        <row r="980">
          <cell r="A980" t="str">
            <v>IKN400545</v>
          </cell>
          <cell r="B980">
            <v>545</v>
          </cell>
          <cell r="C980" t="str">
            <v>Institut Kanser Negara</v>
          </cell>
          <cell r="D980" t="str">
            <v>KKM/IKN/H/13/2135</v>
          </cell>
          <cell r="E980" t="str">
            <v>15-045</v>
          </cell>
          <cell r="F980" t="str">
            <v>Nebulizers, Nonheated</v>
          </cell>
          <cell r="G980" t="str">
            <v>WA</v>
          </cell>
          <cell r="H980" t="str">
            <v>NUCLEAR MED WARD (THERAPY)</v>
          </cell>
          <cell r="I980" t="str">
            <v>03WA177</v>
          </cell>
          <cell r="J980" t="str">
            <v>EQ. ROOM</v>
          </cell>
          <cell r="K980" t="str">
            <v>BMED</v>
          </cell>
          <cell r="L980" t="str">
            <v>Normal</v>
          </cell>
          <cell r="M980" t="str">
            <v>Germany</v>
          </cell>
          <cell r="N980" t="str">
            <v>Pari Boy</v>
          </cell>
          <cell r="O980" t="str">
            <v>Pari Boy SX 085</v>
          </cell>
          <cell r="P980" t="str">
            <v>2W12F13725</v>
          </cell>
          <cell r="Q980" t="str">
            <v>Not Applicable</v>
          </cell>
          <cell r="R980" t="str">
            <v>Pari GmbH</v>
          </cell>
          <cell r="S980" t="str">
            <v>Welch Allyn Malaysia Sdn Bhd</v>
          </cell>
          <cell r="T980" t="str">
            <v>Functioning</v>
          </cell>
          <cell r="U980" t="str">
            <v>Asset</v>
          </cell>
          <cell r="V980">
            <v>1140</v>
          </cell>
          <cell r="W980" t="str">
            <v>KEW</v>
          </cell>
          <cell r="X980" t="str">
            <v>01/09/2010</v>
          </cell>
          <cell r="Y980" t="str">
            <v>KEW</v>
          </cell>
          <cell r="Z980" t="str">
            <v>16/08/2013</v>
          </cell>
          <cell r="AA980" t="str">
            <v>15/08/2015</v>
          </cell>
          <cell r="AB980" t="str">
            <v>No</v>
          </cell>
          <cell r="AC980" t="str">
            <v>31/08/2013</v>
          </cell>
          <cell r="AD980" t="str">
            <v>Good</v>
          </cell>
          <cell r="AE980" t="str">
            <v>V3 - Added Installed Facilities (New)</v>
          </cell>
          <cell r="AF980">
            <v>42235</v>
          </cell>
          <cell r="AG980">
            <v>9.17</v>
          </cell>
          <cell r="AH980" t="str">
            <v>PPM</v>
          </cell>
          <cell r="AI980" t="str">
            <v>Strands</v>
          </cell>
          <cell r="AJ980" t="str">
            <v>Strands PW</v>
          </cell>
          <cell r="AK980" t="str">
            <v>SNF received. 1st batch of V3 asset (December 2020)</v>
          </cell>
        </row>
        <row r="981">
          <cell r="A981" t="str">
            <v>IKN400546</v>
          </cell>
          <cell r="B981">
            <v>546</v>
          </cell>
          <cell r="C981" t="str">
            <v>Institut Kanser Negara</v>
          </cell>
          <cell r="D981" t="str">
            <v>KKM/IKN/H/13/3318</v>
          </cell>
          <cell r="E981" t="str">
            <v>12-647</v>
          </cell>
          <cell r="F981" t="str">
            <v>Physiologic Monitoring Systems, Acute Care</v>
          </cell>
          <cell r="G981" t="str">
            <v>WA</v>
          </cell>
          <cell r="H981" t="str">
            <v>NUCLEAR MED WARD (THERAPY)</v>
          </cell>
          <cell r="I981" t="str">
            <v>03WA177</v>
          </cell>
          <cell r="J981" t="str">
            <v>EQ. ROOM</v>
          </cell>
          <cell r="K981" t="str">
            <v>BMED</v>
          </cell>
          <cell r="L981" t="str">
            <v>Normal</v>
          </cell>
          <cell r="M981" t="str">
            <v>USA</v>
          </cell>
          <cell r="N981" t="str">
            <v>GE</v>
          </cell>
          <cell r="O981" t="str">
            <v>GE B30</v>
          </cell>
          <cell r="P981" t="str">
            <v>SF312325923WA</v>
          </cell>
          <cell r="Q981" t="str">
            <v>Not Applicable</v>
          </cell>
          <cell r="R981" t="str">
            <v>GE Healthcare Systems</v>
          </cell>
          <cell r="S981" t="str">
            <v>GE Healthcare Technologies</v>
          </cell>
          <cell r="T981" t="str">
            <v>Functioning</v>
          </cell>
          <cell r="U981" t="str">
            <v>Asset</v>
          </cell>
          <cell r="V981">
            <v>44510</v>
          </cell>
          <cell r="W981" t="str">
            <v>KEW</v>
          </cell>
          <cell r="X981" t="str">
            <v>01/09/2010</v>
          </cell>
          <cell r="Y981" t="str">
            <v>KEW</v>
          </cell>
          <cell r="Z981" t="str">
            <v>16/08/2013</v>
          </cell>
          <cell r="AA981" t="str">
            <v>15/08/2015</v>
          </cell>
          <cell r="AB981" t="str">
            <v>No</v>
          </cell>
          <cell r="AC981" t="str">
            <v>31/08/2013</v>
          </cell>
          <cell r="AD981" t="str">
            <v>Good</v>
          </cell>
          <cell r="AE981" t="str">
            <v>V1 - Existing / No Claim</v>
          </cell>
          <cell r="AF981">
            <v>42235</v>
          </cell>
          <cell r="AG981">
            <v>9.17</v>
          </cell>
          <cell r="AH981" t="str">
            <v>PPM</v>
          </cell>
          <cell r="AI981" t="str">
            <v>Strands</v>
          </cell>
          <cell r="AJ981" t="str">
            <v>Strands PW</v>
          </cell>
        </row>
        <row r="982">
          <cell r="A982" t="str">
            <v>IKN400547</v>
          </cell>
          <cell r="B982">
            <v>547</v>
          </cell>
          <cell r="C982" t="str">
            <v>Institut Kanser Negara</v>
          </cell>
          <cell r="D982" t="str">
            <v>KKM/IKN/H/13/3119</v>
          </cell>
          <cell r="E982" t="str">
            <v>12-647</v>
          </cell>
          <cell r="F982" t="str">
            <v>Physiologic Monitoring Systems, Acute Care</v>
          </cell>
          <cell r="G982" t="str">
            <v>WA</v>
          </cell>
          <cell r="H982" t="str">
            <v>NUCLEAR MED WARD (THERAPY)</v>
          </cell>
          <cell r="I982" t="str">
            <v>03WA177</v>
          </cell>
          <cell r="J982" t="str">
            <v>EQ. ROOM</v>
          </cell>
          <cell r="K982" t="str">
            <v>BMED</v>
          </cell>
          <cell r="L982" t="str">
            <v>Normal</v>
          </cell>
          <cell r="M982" t="str">
            <v>USA</v>
          </cell>
          <cell r="N982" t="str">
            <v>GE</v>
          </cell>
          <cell r="O982" t="str">
            <v>GE B30</v>
          </cell>
          <cell r="P982" t="str">
            <v>SF312325916WA</v>
          </cell>
          <cell r="Q982" t="str">
            <v>Not Applicable</v>
          </cell>
          <cell r="R982" t="str">
            <v>GE Healthcare Systems</v>
          </cell>
          <cell r="S982" t="str">
            <v>GE Healthcare Technologies</v>
          </cell>
          <cell r="T982" t="str">
            <v>Functioning</v>
          </cell>
          <cell r="U982" t="str">
            <v>Asset</v>
          </cell>
          <cell r="V982">
            <v>44510</v>
          </cell>
          <cell r="W982" t="str">
            <v>KEW</v>
          </cell>
          <cell r="X982" t="str">
            <v>01/09/2010</v>
          </cell>
          <cell r="Y982" t="str">
            <v>KEW</v>
          </cell>
          <cell r="Z982" t="str">
            <v>16/08/2013</v>
          </cell>
          <cell r="AA982" t="str">
            <v>15/08/2015</v>
          </cell>
          <cell r="AB982" t="str">
            <v>No</v>
          </cell>
          <cell r="AC982" t="str">
            <v>31/08/2013</v>
          </cell>
          <cell r="AD982" t="str">
            <v>Good</v>
          </cell>
          <cell r="AE982" t="str">
            <v>V1 - Existing / No Claim</v>
          </cell>
          <cell r="AF982">
            <v>42235</v>
          </cell>
          <cell r="AG982">
            <v>9.17</v>
          </cell>
          <cell r="AH982" t="str">
            <v>PPM</v>
          </cell>
          <cell r="AI982" t="str">
            <v>Strands</v>
          </cell>
          <cell r="AJ982" t="str">
            <v>Strands PW</v>
          </cell>
        </row>
        <row r="983">
          <cell r="A983" t="str">
            <v>IKN400548</v>
          </cell>
          <cell r="B983">
            <v>548</v>
          </cell>
          <cell r="C983" t="str">
            <v>Institut Kanser Negara</v>
          </cell>
          <cell r="D983" t="str">
            <v>KKM/IKN/H/13/2391</v>
          </cell>
          <cell r="E983" t="str">
            <v>12-282</v>
          </cell>
          <cell r="F983" t="str">
            <v>Lights, Surgical</v>
          </cell>
          <cell r="G983" t="str">
            <v>WA</v>
          </cell>
          <cell r="H983" t="str">
            <v>NUCLEAR MED WARD (THERAPY)</v>
          </cell>
          <cell r="I983" t="str">
            <v>03WA177</v>
          </cell>
          <cell r="J983" t="str">
            <v>EQ. ROOM</v>
          </cell>
          <cell r="K983" t="str">
            <v>BMED</v>
          </cell>
          <cell r="L983" t="str">
            <v>Critical</v>
          </cell>
          <cell r="M983" t="str">
            <v>USA</v>
          </cell>
          <cell r="N983" t="str">
            <v>Welch Allyn</v>
          </cell>
          <cell r="O983" t="str">
            <v>Welch Allyn GS600</v>
          </cell>
          <cell r="P983" t="str">
            <v>GS-600-30</v>
          </cell>
          <cell r="Q983" t="str">
            <v>Not Applicable</v>
          </cell>
          <cell r="R983" t="str">
            <v>Welch Allyn Inc</v>
          </cell>
          <cell r="S983" t="str">
            <v>Welch Allyn Malaysia Sdn Bhd</v>
          </cell>
          <cell r="T983" t="str">
            <v>Functioning</v>
          </cell>
          <cell r="U983" t="str">
            <v>Asset</v>
          </cell>
          <cell r="V983">
            <v>5050</v>
          </cell>
          <cell r="W983" t="str">
            <v>KEW</v>
          </cell>
          <cell r="X983" t="str">
            <v>01/09/2010</v>
          </cell>
          <cell r="Y983" t="str">
            <v>KEW</v>
          </cell>
          <cell r="Z983" t="str">
            <v>16/08/2013</v>
          </cell>
          <cell r="AA983" t="str">
            <v>15/08/2015</v>
          </cell>
          <cell r="AB983" t="str">
            <v>No</v>
          </cell>
          <cell r="AC983" t="str">
            <v>31/08/2013</v>
          </cell>
          <cell r="AD983" t="str">
            <v>Good</v>
          </cell>
          <cell r="AE983" t="str">
            <v>V1 - Existing / No Claim</v>
          </cell>
          <cell r="AF983">
            <v>42796</v>
          </cell>
          <cell r="AG983">
            <v>9.17</v>
          </cell>
          <cell r="AH983" t="str">
            <v>PPM</v>
          </cell>
          <cell r="AI983" t="str">
            <v>Strands</v>
          </cell>
          <cell r="AJ983" t="str">
            <v>Strands PW</v>
          </cell>
        </row>
        <row r="984">
          <cell r="A984" t="str">
            <v>IKN400549</v>
          </cell>
          <cell r="B984">
            <v>549</v>
          </cell>
          <cell r="C984" t="str">
            <v>Institut Kanser Negara</v>
          </cell>
          <cell r="D984" t="str">
            <v>KKM/IKN/H/13/2393</v>
          </cell>
          <cell r="E984" t="str">
            <v>12-282</v>
          </cell>
          <cell r="F984" t="str">
            <v>Lights, Surgical</v>
          </cell>
          <cell r="G984" t="str">
            <v>WA</v>
          </cell>
          <cell r="H984" t="str">
            <v>NUCLEAR MED WARD (THERAPY)</v>
          </cell>
          <cell r="I984" t="str">
            <v>03WA177</v>
          </cell>
          <cell r="J984" t="str">
            <v>EQ. ROOM</v>
          </cell>
          <cell r="K984" t="str">
            <v>BMED</v>
          </cell>
          <cell r="L984" t="str">
            <v>Critical</v>
          </cell>
          <cell r="M984" t="str">
            <v>USA</v>
          </cell>
          <cell r="N984" t="str">
            <v>Welch Allyn</v>
          </cell>
          <cell r="O984" t="str">
            <v>Welch Allyn GS600</v>
          </cell>
          <cell r="P984" t="str">
            <v>GS-600-43</v>
          </cell>
          <cell r="Q984" t="str">
            <v>Not Applicable</v>
          </cell>
          <cell r="R984" t="str">
            <v>Welch Allyn Inc</v>
          </cell>
          <cell r="S984" t="str">
            <v>Welch Allyn Malaysia Sdn Bhd</v>
          </cell>
          <cell r="T984" t="str">
            <v>Functioning</v>
          </cell>
          <cell r="U984" t="str">
            <v>Asset</v>
          </cell>
          <cell r="V984">
            <v>5050</v>
          </cell>
          <cell r="W984" t="str">
            <v>KEW</v>
          </cell>
          <cell r="X984" t="str">
            <v>01/09/2010</v>
          </cell>
          <cell r="Y984" t="str">
            <v>KEW</v>
          </cell>
          <cell r="Z984" t="str">
            <v>16/08/2013</v>
          </cell>
          <cell r="AA984" t="str">
            <v>15/08/2015</v>
          </cell>
          <cell r="AB984" t="str">
            <v>No</v>
          </cell>
          <cell r="AC984" t="str">
            <v>31/08/2013</v>
          </cell>
          <cell r="AD984" t="str">
            <v>Good</v>
          </cell>
          <cell r="AE984" t="str">
            <v>V1 - Existing / No Claim</v>
          </cell>
          <cell r="AF984">
            <v>42796</v>
          </cell>
          <cell r="AG984">
            <v>9.17</v>
          </cell>
          <cell r="AH984" t="str">
            <v>PPM</v>
          </cell>
          <cell r="AI984" t="str">
            <v>Strands</v>
          </cell>
          <cell r="AJ984" t="str">
            <v>Strands PW</v>
          </cell>
        </row>
        <row r="985">
          <cell r="A985" t="str">
            <v>IKN400550</v>
          </cell>
          <cell r="B985">
            <v>550</v>
          </cell>
          <cell r="C985" t="str">
            <v>Institut Kanser Negara</v>
          </cell>
          <cell r="D985" t="str">
            <v>KKM/IKN/H/13/2987</v>
          </cell>
          <cell r="E985" t="str">
            <v>17-148</v>
          </cell>
          <cell r="F985" t="str">
            <v>Oximeters, Pulse</v>
          </cell>
          <cell r="G985" t="str">
            <v>NM</v>
          </cell>
          <cell r="H985" t="str">
            <v>NUCLEAR MED (DIAGNOSTIC)</v>
          </cell>
          <cell r="I985" t="str">
            <v>03NM109</v>
          </cell>
          <cell r="J985" t="str">
            <v>TREATMENT 2 (RAS) (-VE)</v>
          </cell>
          <cell r="K985" t="str">
            <v>BMED</v>
          </cell>
          <cell r="L985" t="str">
            <v>Normal</v>
          </cell>
          <cell r="M985" t="str">
            <v>Finland</v>
          </cell>
          <cell r="N985" t="str">
            <v>Trusat</v>
          </cell>
          <cell r="O985" t="str">
            <v>Trusat</v>
          </cell>
          <cell r="P985" t="str">
            <v>FCC12430016SA</v>
          </cell>
          <cell r="Q985" t="str">
            <v>Not Applicable</v>
          </cell>
          <cell r="R985" t="str">
            <v>GE Healthcare Systems</v>
          </cell>
          <cell r="S985" t="str">
            <v>GE Healthcare Technologies</v>
          </cell>
          <cell r="T985" t="str">
            <v>Functioning</v>
          </cell>
          <cell r="U985" t="str">
            <v>Asset</v>
          </cell>
          <cell r="V985">
            <v>11120</v>
          </cell>
          <cell r="W985" t="str">
            <v>KEW</v>
          </cell>
          <cell r="X985" t="str">
            <v>01/09/2010</v>
          </cell>
          <cell r="Y985" t="str">
            <v>KEW</v>
          </cell>
          <cell r="Z985" t="str">
            <v>16/08/2013</v>
          </cell>
          <cell r="AA985" t="str">
            <v>15/08/2015</v>
          </cell>
          <cell r="AB985" t="str">
            <v>No</v>
          </cell>
          <cell r="AC985" t="str">
            <v>31/08/2013</v>
          </cell>
          <cell r="AD985" t="str">
            <v>Good</v>
          </cell>
          <cell r="AE985" t="str">
            <v>V1 - Existing / No Claim</v>
          </cell>
          <cell r="AF985">
            <v>42235</v>
          </cell>
          <cell r="AG985">
            <v>9.17</v>
          </cell>
          <cell r="AH985" t="str">
            <v>PPM</v>
          </cell>
          <cell r="AI985" t="str">
            <v>Strands</v>
          </cell>
          <cell r="AJ985" t="str">
            <v>Strands PW</v>
          </cell>
        </row>
        <row r="986">
          <cell r="A986" t="str">
            <v>IKN400552</v>
          </cell>
          <cell r="B986">
            <v>552</v>
          </cell>
          <cell r="C986" t="str">
            <v>Institut Kanser Negara</v>
          </cell>
          <cell r="D986" t="str">
            <v>KKM/IKN/H/13/2988</v>
          </cell>
          <cell r="E986" t="str">
            <v>17-148</v>
          </cell>
          <cell r="F986" t="str">
            <v>Oximeters, Pulse</v>
          </cell>
          <cell r="G986" t="str">
            <v>NM</v>
          </cell>
          <cell r="H986" t="str">
            <v>NUCLEAR MED (DIAGNOSTIC)</v>
          </cell>
          <cell r="I986" t="str">
            <v>03NM155</v>
          </cell>
          <cell r="J986" t="str">
            <v>STRESS LAB</v>
          </cell>
          <cell r="K986" t="str">
            <v>BMED</v>
          </cell>
          <cell r="L986" t="str">
            <v>Critical</v>
          </cell>
          <cell r="M986" t="str">
            <v>Finland</v>
          </cell>
          <cell r="N986" t="str">
            <v>Trusat</v>
          </cell>
          <cell r="O986" t="str">
            <v>Trusat</v>
          </cell>
          <cell r="P986" t="str">
            <v>FCC12430072SA</v>
          </cell>
          <cell r="Q986" t="str">
            <v>Not Applicable</v>
          </cell>
          <cell r="R986" t="str">
            <v>GE Healthcare Systems</v>
          </cell>
          <cell r="S986" t="str">
            <v>GE Healthcare Technologies</v>
          </cell>
          <cell r="T986" t="str">
            <v>Functioning</v>
          </cell>
          <cell r="U986" t="str">
            <v>Asset</v>
          </cell>
          <cell r="V986">
            <v>11120</v>
          </cell>
          <cell r="W986" t="str">
            <v>KEW</v>
          </cell>
          <cell r="X986" t="str">
            <v>01/09/2010</v>
          </cell>
          <cell r="Y986" t="str">
            <v>KEW</v>
          </cell>
          <cell r="Z986" t="str">
            <v>16/08/2013</v>
          </cell>
          <cell r="AA986" t="str">
            <v>15/08/2015</v>
          </cell>
          <cell r="AB986" t="str">
            <v>No</v>
          </cell>
          <cell r="AC986" t="str">
            <v>31/08/2013</v>
          </cell>
          <cell r="AD986" t="str">
            <v>Good</v>
          </cell>
          <cell r="AE986" t="str">
            <v>V1 - Existing / No Claim</v>
          </cell>
          <cell r="AF986">
            <v>42706</v>
          </cell>
          <cell r="AG986">
            <v>9.17</v>
          </cell>
          <cell r="AH986" t="str">
            <v>PPM</v>
          </cell>
          <cell r="AI986" t="str">
            <v>Strands</v>
          </cell>
          <cell r="AJ986" t="str">
            <v>Strands PW</v>
          </cell>
        </row>
        <row r="987">
          <cell r="A987" t="str">
            <v>IKN400553</v>
          </cell>
          <cell r="B987">
            <v>553</v>
          </cell>
          <cell r="C987" t="str">
            <v>Institut Kanser Negara</v>
          </cell>
          <cell r="D987" t="str">
            <v>KKM/IKN/H/13/2989</v>
          </cell>
          <cell r="E987" t="str">
            <v>17-148</v>
          </cell>
          <cell r="F987" t="str">
            <v>Oximeters, Pulse</v>
          </cell>
          <cell r="G987" t="str">
            <v>NM</v>
          </cell>
          <cell r="H987" t="str">
            <v>NUCLEAR MED (DIAGNOSTIC)</v>
          </cell>
          <cell r="I987" t="str">
            <v>03NM124</v>
          </cell>
          <cell r="J987" t="str">
            <v>EQUIPMENT ROOM</v>
          </cell>
          <cell r="K987" t="str">
            <v>BMED</v>
          </cell>
          <cell r="L987" t="str">
            <v>Normal</v>
          </cell>
          <cell r="M987" t="str">
            <v>Finland</v>
          </cell>
          <cell r="N987" t="str">
            <v>Trusat</v>
          </cell>
          <cell r="O987" t="str">
            <v>Trusat</v>
          </cell>
          <cell r="P987" t="str">
            <v>FCC12430059SA</v>
          </cell>
          <cell r="Q987" t="str">
            <v>Not Applicable</v>
          </cell>
          <cell r="R987" t="str">
            <v>GE Healthcare Systems</v>
          </cell>
          <cell r="S987" t="str">
            <v>GE Healthcare Technologies</v>
          </cell>
          <cell r="T987" t="str">
            <v>Functioning</v>
          </cell>
          <cell r="U987" t="str">
            <v>Asset</v>
          </cell>
          <cell r="V987">
            <v>11120</v>
          </cell>
          <cell r="W987" t="str">
            <v>KEW</v>
          </cell>
          <cell r="X987" t="str">
            <v>01/09/2010</v>
          </cell>
          <cell r="Y987" t="str">
            <v>KEW</v>
          </cell>
          <cell r="Z987" t="str">
            <v>16/08/2013</v>
          </cell>
          <cell r="AA987" t="str">
            <v>15/08/2015</v>
          </cell>
          <cell r="AB987" t="str">
            <v>No</v>
          </cell>
          <cell r="AC987" t="str">
            <v>31/08/2013</v>
          </cell>
          <cell r="AD987" t="str">
            <v>Good</v>
          </cell>
          <cell r="AE987" t="str">
            <v>V1 - Existing / No Claim</v>
          </cell>
          <cell r="AF987">
            <v>42235</v>
          </cell>
          <cell r="AG987">
            <v>9.17</v>
          </cell>
          <cell r="AH987" t="str">
            <v>PPM</v>
          </cell>
          <cell r="AI987" t="str">
            <v>Strands</v>
          </cell>
          <cell r="AJ987" t="str">
            <v>Strands PW</v>
          </cell>
        </row>
        <row r="988">
          <cell r="A988" t="str">
            <v>IKN400560</v>
          </cell>
          <cell r="B988">
            <v>560</v>
          </cell>
          <cell r="C988" t="str">
            <v>Institut Kanser Negara</v>
          </cell>
          <cell r="D988" t="str">
            <v>KKM/IKN/H/13/2982</v>
          </cell>
          <cell r="E988" t="str">
            <v>16-173</v>
          </cell>
          <cell r="F988" t="str">
            <v>Sphygmomanometers, Electronic, Automatic</v>
          </cell>
          <cell r="G988" t="str">
            <v>NM</v>
          </cell>
          <cell r="H988" t="str">
            <v>NUCLEAR MED (DIAGNOSTIC)</v>
          </cell>
          <cell r="I988" t="str">
            <v>03NM152</v>
          </cell>
          <cell r="J988" t="str">
            <v>NURSE STATION</v>
          </cell>
          <cell r="K988" t="str">
            <v>BMED</v>
          </cell>
          <cell r="L988" t="str">
            <v>Critical</v>
          </cell>
          <cell r="M988" t="str">
            <v>USA</v>
          </cell>
          <cell r="N988" t="str">
            <v>Connex</v>
          </cell>
          <cell r="O988" t="str">
            <v>Connex ProBP 3400</v>
          </cell>
          <cell r="P988" t="str">
            <v>100001580613</v>
          </cell>
          <cell r="Q988" t="str">
            <v>Not Applicable</v>
          </cell>
          <cell r="R988" t="str">
            <v>Welch Allyn Inc</v>
          </cell>
          <cell r="S988" t="str">
            <v>Welch Allyn Malaysia Sdn Bhd</v>
          </cell>
          <cell r="T988" t="str">
            <v>Functioning</v>
          </cell>
          <cell r="U988" t="str">
            <v>Asset</v>
          </cell>
          <cell r="V988">
            <v>4510</v>
          </cell>
          <cell r="W988" t="str">
            <v>KEW</v>
          </cell>
          <cell r="X988" t="str">
            <v>01/09/2010</v>
          </cell>
          <cell r="Y988" t="str">
            <v>KEW</v>
          </cell>
          <cell r="Z988" t="str">
            <v>16/08/2013</v>
          </cell>
          <cell r="AA988" t="str">
            <v>15/08/2015</v>
          </cell>
          <cell r="AB988" t="str">
            <v>No</v>
          </cell>
          <cell r="AC988" t="str">
            <v>31/08/2013</v>
          </cell>
          <cell r="AD988" t="str">
            <v>Good</v>
          </cell>
          <cell r="AE988" t="str">
            <v>V1 - Existing / No Claim</v>
          </cell>
          <cell r="AF988">
            <v>42796</v>
          </cell>
          <cell r="AG988">
            <v>9.17</v>
          </cell>
          <cell r="AH988" t="str">
            <v>PPM</v>
          </cell>
          <cell r="AI988" t="str">
            <v>Strands</v>
          </cell>
          <cell r="AJ988" t="str">
            <v>Strands PW</v>
          </cell>
        </row>
        <row r="989">
          <cell r="A989" t="str">
            <v>IKN400561</v>
          </cell>
          <cell r="B989">
            <v>561</v>
          </cell>
          <cell r="C989" t="str">
            <v>Institut Kanser Negara</v>
          </cell>
          <cell r="D989" t="str">
            <v>KKM/IKN/H/13/3022</v>
          </cell>
          <cell r="E989" t="str">
            <v>10-780</v>
          </cell>
          <cell r="F989" t="str">
            <v>Centrifuges, Tabletop</v>
          </cell>
          <cell r="G989" t="str">
            <v>NM</v>
          </cell>
          <cell r="H989" t="str">
            <v>NUCLEAR MED (DIAGNOSTIC)</v>
          </cell>
          <cell r="I989" t="str">
            <v>03NM154</v>
          </cell>
          <cell r="J989" t="str">
            <v>RIA LAB</v>
          </cell>
          <cell r="K989" t="str">
            <v>BMED</v>
          </cell>
          <cell r="L989" t="str">
            <v>Normal</v>
          </cell>
          <cell r="M989" t="str">
            <v>Germany</v>
          </cell>
          <cell r="N989" t="str">
            <v>Rotofix</v>
          </cell>
          <cell r="O989" t="str">
            <v>Rotofix 32A</v>
          </cell>
          <cell r="P989" t="str">
            <v>18401</v>
          </cell>
          <cell r="Q989" t="str">
            <v>Not Applicable</v>
          </cell>
          <cell r="R989" t="str">
            <v>Hettich-Zentrifugen GmbH</v>
          </cell>
          <cell r="S989" t="str">
            <v>Biomarketing Services (M) Sdn Bhd</v>
          </cell>
          <cell r="T989" t="str">
            <v>Functioning</v>
          </cell>
          <cell r="U989" t="str">
            <v>Asset</v>
          </cell>
          <cell r="V989">
            <v>24060</v>
          </cell>
          <cell r="W989" t="str">
            <v>KEW</v>
          </cell>
          <cell r="X989" t="str">
            <v>01/09/2010</v>
          </cell>
          <cell r="Y989" t="str">
            <v>KEW</v>
          </cell>
          <cell r="Z989" t="str">
            <v>16/08/2013</v>
          </cell>
          <cell r="AA989" t="str">
            <v>15/08/2015</v>
          </cell>
          <cell r="AB989" t="str">
            <v>No</v>
          </cell>
          <cell r="AC989" t="str">
            <v>31/08/2013</v>
          </cell>
          <cell r="AD989" t="str">
            <v>Good</v>
          </cell>
          <cell r="AE989" t="str">
            <v>V1 - Existing / No Claim</v>
          </cell>
          <cell r="AF989">
            <v>42235</v>
          </cell>
          <cell r="AG989">
            <v>9.17</v>
          </cell>
          <cell r="AH989" t="str">
            <v>PPM</v>
          </cell>
          <cell r="AI989" t="str">
            <v>Strands</v>
          </cell>
          <cell r="AJ989" t="str">
            <v>Strands PW</v>
          </cell>
        </row>
        <row r="990">
          <cell r="A990" t="str">
            <v>IKN400562</v>
          </cell>
          <cell r="B990">
            <v>562</v>
          </cell>
          <cell r="C990" t="str">
            <v>Institut Kanser Negara</v>
          </cell>
          <cell r="D990" t="e">
            <v>#N/A</v>
          </cell>
          <cell r="E990" t="str">
            <v>11-134</v>
          </cell>
          <cell r="F990" t="str">
            <v>Defibrillators, External, Manual</v>
          </cell>
          <cell r="G990" t="str">
            <v>NM</v>
          </cell>
          <cell r="H990" t="str">
            <v>NUCLEAR MED (DIAGNOSTIC)</v>
          </cell>
          <cell r="I990" t="str">
            <v>03NM155</v>
          </cell>
          <cell r="J990" t="str">
            <v>STRESS LAB</v>
          </cell>
          <cell r="K990" t="str">
            <v>BMED</v>
          </cell>
          <cell r="L990" t="str">
            <v>Critical</v>
          </cell>
          <cell r="M990" t="str">
            <v>USA</v>
          </cell>
          <cell r="N990" t="str">
            <v>Responder</v>
          </cell>
          <cell r="O990" t="str">
            <v>Responder 2000</v>
          </cell>
          <cell r="P990" t="str">
            <v>3206690</v>
          </cell>
          <cell r="Q990" t="str">
            <v>Not Applicable</v>
          </cell>
          <cell r="R990" t="str">
            <v>GE Medical Systems</v>
          </cell>
          <cell r="S990" t="str">
            <v>Antah Sir Radin Sdn. Bhd.</v>
          </cell>
          <cell r="T990" t="str">
            <v>Functioning</v>
          </cell>
          <cell r="U990" t="str">
            <v>Asset</v>
          </cell>
          <cell r="V990">
            <v>45000</v>
          </cell>
          <cell r="W990" t="str">
            <v>Estimate</v>
          </cell>
          <cell r="X990" t="str">
            <v>01/09/2010</v>
          </cell>
          <cell r="Y990" t="str">
            <v>KEW</v>
          </cell>
          <cell r="Z990" t="str">
            <v>16/08/2013</v>
          </cell>
          <cell r="AA990" t="str">
            <v>15/08/2015</v>
          </cell>
          <cell r="AB990" t="str">
            <v>No</v>
          </cell>
          <cell r="AC990" t="str">
            <v>31/08/2013</v>
          </cell>
          <cell r="AD990" t="str">
            <v>Good</v>
          </cell>
          <cell r="AE990" t="str">
            <v>V1 - Existing / No Claim</v>
          </cell>
          <cell r="AF990">
            <v>42601</v>
          </cell>
          <cell r="AG990">
            <v>9.17</v>
          </cell>
          <cell r="AH990" t="str">
            <v>PPM</v>
          </cell>
          <cell r="AI990" t="str">
            <v>Strands</v>
          </cell>
          <cell r="AJ990" t="str">
            <v>Strands PW</v>
          </cell>
          <cell r="AK990" t="str">
            <v>Crash Trolley (FEMS)</v>
          </cell>
        </row>
        <row r="991">
          <cell r="A991" t="str">
            <v>IKN400563</v>
          </cell>
          <cell r="B991">
            <v>563</v>
          </cell>
          <cell r="C991" t="str">
            <v>Institut Kanser Negara</v>
          </cell>
          <cell r="D991" t="str">
            <v>KKM/IKN/H/13/2993</v>
          </cell>
          <cell r="E991" t="str">
            <v>12-660</v>
          </cell>
          <cell r="F991" t="str">
            <v>Radiation Monitors</v>
          </cell>
          <cell r="G991" t="str">
            <v>NW</v>
          </cell>
          <cell r="H991" t="str">
            <v>NUCLEAR WASTE HOLDING</v>
          </cell>
          <cell r="I991" t="str">
            <v>01NW106</v>
          </cell>
          <cell r="J991" t="str">
            <v>WASTE MEASUREMENT</v>
          </cell>
          <cell r="K991" t="str">
            <v>BMED</v>
          </cell>
          <cell r="L991" t="str">
            <v>Normal</v>
          </cell>
          <cell r="M991" t="str">
            <v>Germany</v>
          </cell>
          <cell r="N991" t="str">
            <v>MED HFC</v>
          </cell>
          <cell r="O991" t="str">
            <v>MED HFC</v>
          </cell>
          <cell r="P991" t="str">
            <v>738</v>
          </cell>
          <cell r="Q991" t="str">
            <v>Not Applicable</v>
          </cell>
          <cell r="R991" t="str">
            <v>MED Nuklear-Medizintechnik Dresden GmbH</v>
          </cell>
          <cell r="S991" t="str">
            <v/>
          </cell>
          <cell r="T991" t="str">
            <v>Functioning</v>
          </cell>
          <cell r="U991" t="str">
            <v>Asset</v>
          </cell>
          <cell r="V991">
            <v>112855</v>
          </cell>
          <cell r="W991" t="str">
            <v>KEW</v>
          </cell>
          <cell r="X991" t="str">
            <v>01/09/2010</v>
          </cell>
          <cell r="Y991" t="str">
            <v>KEW</v>
          </cell>
          <cell r="Z991" t="str">
            <v>16/08/2013</v>
          </cell>
          <cell r="AA991" t="str">
            <v>15/08/2015</v>
          </cell>
          <cell r="AB991" t="str">
            <v>No</v>
          </cell>
          <cell r="AC991" t="str">
            <v>31/08/2013</v>
          </cell>
          <cell r="AD991" t="str">
            <v>Good</v>
          </cell>
          <cell r="AE991" t="str">
            <v>V1 - Existing / No Claim</v>
          </cell>
          <cell r="AF991">
            <v>42235</v>
          </cell>
          <cell r="AG991">
            <v>9.17</v>
          </cell>
          <cell r="AH991" t="str">
            <v>PPM</v>
          </cell>
          <cell r="AI991" t="str">
            <v>package</v>
          </cell>
          <cell r="AJ991" t="str">
            <v>Proposed for V3 P1.24</v>
          </cell>
          <cell r="AK991" t="str">
            <v>Detector SN: 0753L, 0738R, 0738R, 0738L</v>
          </cell>
        </row>
        <row r="992">
          <cell r="A992" t="str">
            <v>IKN400564</v>
          </cell>
          <cell r="B992">
            <v>564</v>
          </cell>
          <cell r="C992" t="str">
            <v>Institut Kanser Negara</v>
          </cell>
          <cell r="D992" t="str">
            <v>KKM/IKN/H/13/2991</v>
          </cell>
          <cell r="E992" t="str">
            <v>12-647</v>
          </cell>
          <cell r="F992" t="str">
            <v>Physiologic Monitoring Systems, Acute Care</v>
          </cell>
          <cell r="G992" t="str">
            <v>NM</v>
          </cell>
          <cell r="H992" t="str">
            <v>NUCLEAR MED (DIAGNOSTIC)</v>
          </cell>
          <cell r="I992" t="str">
            <v>03NM155</v>
          </cell>
          <cell r="J992" t="str">
            <v>STRESS LAB</v>
          </cell>
          <cell r="K992" t="str">
            <v>BMED</v>
          </cell>
          <cell r="L992" t="str">
            <v>Normal</v>
          </cell>
          <cell r="M992" t="str">
            <v>USA</v>
          </cell>
          <cell r="N992" t="str">
            <v>Tram</v>
          </cell>
          <cell r="O992" t="str">
            <v>Transport Pro</v>
          </cell>
          <cell r="P992" t="str">
            <v>SCS12367503GA</v>
          </cell>
          <cell r="Q992" t="str">
            <v>Not Applicable</v>
          </cell>
          <cell r="R992" t="str">
            <v>GE Medical Systems</v>
          </cell>
          <cell r="S992" t="str">
            <v>GE Healthcare Technologies</v>
          </cell>
          <cell r="T992" t="str">
            <v>Functioning</v>
          </cell>
          <cell r="U992" t="str">
            <v>Asset</v>
          </cell>
          <cell r="V992">
            <v>54100</v>
          </cell>
          <cell r="W992" t="str">
            <v>KEW</v>
          </cell>
          <cell r="X992" t="str">
            <v>01/09/2010</v>
          </cell>
          <cell r="Y992" t="str">
            <v>KEW</v>
          </cell>
          <cell r="Z992" t="str">
            <v>16/08/2013</v>
          </cell>
          <cell r="AA992" t="str">
            <v>15/08/2015</v>
          </cell>
          <cell r="AB992" t="str">
            <v>No</v>
          </cell>
          <cell r="AC992" t="str">
            <v>31/08/2013</v>
          </cell>
          <cell r="AD992" t="str">
            <v>Good</v>
          </cell>
          <cell r="AE992" t="str">
            <v>V1 - Existing / No Claim</v>
          </cell>
          <cell r="AF992">
            <v>42235</v>
          </cell>
          <cell r="AG992">
            <v>9.17</v>
          </cell>
          <cell r="AH992" t="str">
            <v>PPM</v>
          </cell>
          <cell r="AI992" t="str">
            <v>Strands</v>
          </cell>
          <cell r="AJ992" t="str">
            <v>Strands PW</v>
          </cell>
        </row>
        <row r="993">
          <cell r="A993" t="str">
            <v>IKN400565</v>
          </cell>
          <cell r="B993">
            <v>565</v>
          </cell>
          <cell r="C993" t="str">
            <v>Institut Kanser Negara</v>
          </cell>
          <cell r="D993" t="str">
            <v>KKM/IKN/H/13/2990</v>
          </cell>
          <cell r="E993" t="str">
            <v>12-649</v>
          </cell>
          <cell r="F993" t="str">
            <v>Physiologic Monitoring Systems, Stress Exercise</v>
          </cell>
          <cell r="G993" t="str">
            <v>NM</v>
          </cell>
          <cell r="H993" t="str">
            <v>NUCLEAR MED (DIAGNOSTIC)</v>
          </cell>
          <cell r="I993" t="str">
            <v>03NM155</v>
          </cell>
          <cell r="J993" t="str">
            <v>STRESS LAB</v>
          </cell>
          <cell r="K993" t="str">
            <v>BMED</v>
          </cell>
          <cell r="L993" t="str">
            <v>Critical</v>
          </cell>
          <cell r="M993" t="str">
            <v>Mexico</v>
          </cell>
          <cell r="N993" t="str">
            <v>GE</v>
          </cell>
          <cell r="O993" t="str">
            <v>Case Stress Test System</v>
          </cell>
          <cell r="P993" t="str">
            <v>SHS 12331143 SA</v>
          </cell>
          <cell r="Q993" t="str">
            <v>Not Applicable</v>
          </cell>
          <cell r="R993" t="str">
            <v>GE Healthcare Systems</v>
          </cell>
          <cell r="S993" t="str">
            <v>GE Healthcare Technologies</v>
          </cell>
          <cell r="T993" t="str">
            <v>Functioning</v>
          </cell>
          <cell r="U993" t="str">
            <v>Asset</v>
          </cell>
          <cell r="V993">
            <v>138350</v>
          </cell>
          <cell r="W993" t="str">
            <v>KEW</v>
          </cell>
          <cell r="X993" t="str">
            <v>01/09/2010</v>
          </cell>
          <cell r="Y993" t="str">
            <v>KEW</v>
          </cell>
          <cell r="Z993" t="str">
            <v>16/08/2013</v>
          </cell>
          <cell r="AA993" t="str">
            <v>15/08/2015</v>
          </cell>
          <cell r="AB993" t="str">
            <v>No</v>
          </cell>
          <cell r="AC993" t="str">
            <v>31/08/2013</v>
          </cell>
          <cell r="AD993" t="str">
            <v>Good</v>
          </cell>
          <cell r="AE993" t="str">
            <v>V1 - Existing / No Claim</v>
          </cell>
          <cell r="AF993">
            <v>42796</v>
          </cell>
          <cell r="AG993">
            <v>9.17</v>
          </cell>
          <cell r="AH993" t="str">
            <v>PPM</v>
          </cell>
          <cell r="AI993" t="str">
            <v>Strands</v>
          </cell>
          <cell r="AJ993" t="str">
            <v>Strands Package</v>
          </cell>
          <cell r="AK993" t="str">
            <v>Package Code MN0013</v>
          </cell>
        </row>
        <row r="994">
          <cell r="A994" t="str">
            <v>IKN400567</v>
          </cell>
          <cell r="B994">
            <v>567</v>
          </cell>
          <cell r="C994" t="str">
            <v>Institut Kanser Negara</v>
          </cell>
          <cell r="D994" t="str">
            <v>KKM/IKN/H/13/3796</v>
          </cell>
          <cell r="E994" t="str">
            <v>15-944</v>
          </cell>
          <cell r="F994" t="str">
            <v>Cameras, Gamma</v>
          </cell>
          <cell r="G994" t="str">
            <v>NM</v>
          </cell>
          <cell r="H994" t="str">
            <v>NUCLEAR MED (DIAGNOSTIC)</v>
          </cell>
          <cell r="I994" t="str">
            <v>03NM164</v>
          </cell>
          <cell r="J994" t="str">
            <v>GAMMA CAMERA 2 (-VE)</v>
          </cell>
          <cell r="K994" t="str">
            <v>BMED</v>
          </cell>
          <cell r="L994" t="str">
            <v>Normal</v>
          </cell>
          <cell r="M994" t="str">
            <v>The Netherlands</v>
          </cell>
          <cell r="N994" t="str">
            <v>Brightview</v>
          </cell>
          <cell r="O994" t="str">
            <v>Brightview</v>
          </cell>
          <cell r="P994" t="str">
            <v>11340004</v>
          </cell>
          <cell r="Q994" t="str">
            <v>Not Applicable</v>
          </cell>
          <cell r="R994" t="str">
            <v>Philips Medical Systems</v>
          </cell>
          <cell r="S994" t="str">
            <v>Advance Altimas Sdn Bhd</v>
          </cell>
          <cell r="T994" t="str">
            <v>Functioning</v>
          </cell>
          <cell r="U994" t="str">
            <v>Asset</v>
          </cell>
          <cell r="V994">
            <v>3191750</v>
          </cell>
          <cell r="W994" t="str">
            <v>KEW</v>
          </cell>
          <cell r="X994" t="str">
            <v>01/09/2010</v>
          </cell>
          <cell r="Y994" t="str">
            <v>KEW</v>
          </cell>
          <cell r="Z994" t="str">
            <v>16/08/2013</v>
          </cell>
          <cell r="AA994" t="str">
            <v>15/08/2015</v>
          </cell>
          <cell r="AB994" t="str">
            <v>No</v>
          </cell>
          <cell r="AC994" t="str">
            <v>31/08/2013</v>
          </cell>
          <cell r="AD994" t="str">
            <v>Good</v>
          </cell>
          <cell r="AE994" t="str">
            <v>V1 - Existing / No Claim</v>
          </cell>
          <cell r="AF994">
            <v>42235</v>
          </cell>
          <cell r="AG994">
            <v>9.17</v>
          </cell>
          <cell r="AH994" t="str">
            <v>PPM</v>
          </cell>
          <cell r="AI994" t="str">
            <v>Strands</v>
          </cell>
          <cell r="AJ994" t="str">
            <v>Strands Package</v>
          </cell>
          <cell r="AK994" t="str">
            <v>Package Code XK0001B</v>
          </cell>
        </row>
        <row r="995">
          <cell r="A995" t="str">
            <v>IKN400568</v>
          </cell>
          <cell r="B995">
            <v>568</v>
          </cell>
          <cell r="C995" t="str">
            <v>Institut Kanser Negara</v>
          </cell>
          <cell r="D995" t="str">
            <v>KKM/IKN/H/13/2962</v>
          </cell>
          <cell r="E995" t="str">
            <v>12-282</v>
          </cell>
          <cell r="F995" t="str">
            <v>Lights, Surgical</v>
          </cell>
          <cell r="G995" t="str">
            <v>NM</v>
          </cell>
          <cell r="H995" t="str">
            <v>NUCLEAR MED (DIAGNOSTIC)</v>
          </cell>
          <cell r="I995" t="str">
            <v>03NM182</v>
          </cell>
          <cell r="J995" t="str">
            <v>C/E 5 (VE)</v>
          </cell>
          <cell r="K995" t="str">
            <v>BMED</v>
          </cell>
          <cell r="L995" t="str">
            <v>Normal</v>
          </cell>
          <cell r="M995" t="str">
            <v>USA</v>
          </cell>
          <cell r="N995" t="str">
            <v>Welch Allyn</v>
          </cell>
          <cell r="O995" t="str">
            <v>Welch Allyn GS600</v>
          </cell>
          <cell r="P995" t="str">
            <v>GS-600-14</v>
          </cell>
          <cell r="Q995" t="str">
            <v>Not Applicable</v>
          </cell>
          <cell r="R995" t="str">
            <v>Welch Allyn Inc</v>
          </cell>
          <cell r="S995" t="str">
            <v>Welch Allyn Malaysia Sdn Bhd</v>
          </cell>
          <cell r="T995" t="str">
            <v>Functioning</v>
          </cell>
          <cell r="U995" t="str">
            <v>Asset</v>
          </cell>
          <cell r="V995">
            <v>5050</v>
          </cell>
          <cell r="W995" t="str">
            <v>KEW</v>
          </cell>
          <cell r="X995" t="str">
            <v>01/09/2010</v>
          </cell>
          <cell r="Y995" t="str">
            <v>KEW</v>
          </cell>
          <cell r="Z995" t="str">
            <v>16/08/2013</v>
          </cell>
          <cell r="AA995" t="str">
            <v>15/08/2015</v>
          </cell>
          <cell r="AB995" t="str">
            <v>No</v>
          </cell>
          <cell r="AC995" t="str">
            <v>31/08/2013</v>
          </cell>
          <cell r="AD995" t="str">
            <v>Good</v>
          </cell>
          <cell r="AE995" t="str">
            <v>V1 - Existing / No Claim</v>
          </cell>
          <cell r="AF995">
            <v>42235</v>
          </cell>
          <cell r="AG995">
            <v>9.17</v>
          </cell>
          <cell r="AH995" t="str">
            <v>PPM</v>
          </cell>
          <cell r="AI995" t="str">
            <v>Strands</v>
          </cell>
          <cell r="AJ995" t="str">
            <v>Strands PW</v>
          </cell>
        </row>
        <row r="996">
          <cell r="A996" t="str">
            <v>IKN400570</v>
          </cell>
          <cell r="B996">
            <v>570</v>
          </cell>
          <cell r="C996" t="str">
            <v>Institut Kanser Negara</v>
          </cell>
          <cell r="D996" t="str">
            <v>KKM/IKN/H/13/2963</v>
          </cell>
          <cell r="E996" t="str">
            <v>12-282</v>
          </cell>
          <cell r="F996" t="str">
            <v>Lights, Surgical</v>
          </cell>
          <cell r="G996" t="str">
            <v>NM</v>
          </cell>
          <cell r="H996" t="str">
            <v>NUCLEAR MED (DIAGNOSTIC)</v>
          </cell>
          <cell r="I996" t="str">
            <v>03NM183</v>
          </cell>
          <cell r="J996" t="str">
            <v>C/E 4 (VE)</v>
          </cell>
          <cell r="K996" t="str">
            <v>BMED</v>
          </cell>
          <cell r="L996" t="str">
            <v>Normal</v>
          </cell>
          <cell r="M996" t="str">
            <v>USA</v>
          </cell>
          <cell r="N996" t="str">
            <v>Welch Allyn</v>
          </cell>
          <cell r="O996" t="str">
            <v>Welch Allyn GS600</v>
          </cell>
          <cell r="P996" t="str">
            <v>GS-600-15</v>
          </cell>
          <cell r="Q996" t="str">
            <v>Not Applicable</v>
          </cell>
          <cell r="R996" t="str">
            <v>Welch Allyn Inc</v>
          </cell>
          <cell r="S996" t="str">
            <v>Welch Allyn Malaysia Sdn Bhd</v>
          </cell>
          <cell r="T996" t="str">
            <v>Functioning</v>
          </cell>
          <cell r="U996" t="str">
            <v>Asset</v>
          </cell>
          <cell r="V996">
            <v>5050</v>
          </cell>
          <cell r="W996" t="str">
            <v>KEW</v>
          </cell>
          <cell r="X996" t="str">
            <v>01/09/2010</v>
          </cell>
          <cell r="Y996" t="str">
            <v>KEW</v>
          </cell>
          <cell r="Z996" t="str">
            <v>16/08/2013</v>
          </cell>
          <cell r="AA996" t="str">
            <v>15/08/2015</v>
          </cell>
          <cell r="AB996" t="str">
            <v>No</v>
          </cell>
          <cell r="AC996" t="str">
            <v>31/08/2013</v>
          </cell>
          <cell r="AD996" t="str">
            <v>Good</v>
          </cell>
          <cell r="AE996" t="str">
            <v>V1 - Existing / No Claim</v>
          </cell>
          <cell r="AF996">
            <v>42235</v>
          </cell>
          <cell r="AG996">
            <v>9.17</v>
          </cell>
          <cell r="AH996" t="str">
            <v>PPM</v>
          </cell>
          <cell r="AI996" t="str">
            <v>Strands</v>
          </cell>
          <cell r="AJ996" t="str">
            <v>Strands PW</v>
          </cell>
        </row>
        <row r="997">
          <cell r="A997" t="str">
            <v>IKN400571</v>
          </cell>
          <cell r="B997">
            <v>571</v>
          </cell>
          <cell r="C997" t="str">
            <v>Institut Kanser Negara</v>
          </cell>
          <cell r="D997" t="str">
            <v>KKM/IKN/H/13/3013</v>
          </cell>
          <cell r="E997" t="str">
            <v>16-173</v>
          </cell>
          <cell r="F997" t="str">
            <v>Sphygmomanometers, Electronic, Automatic</v>
          </cell>
          <cell r="G997" t="str">
            <v>NM</v>
          </cell>
          <cell r="H997" t="str">
            <v>NUCLEAR MED (DIAGNOSTIC)</v>
          </cell>
          <cell r="I997" t="str">
            <v>03NM183</v>
          </cell>
          <cell r="J997" t="str">
            <v>C/E 4 (VE)</v>
          </cell>
          <cell r="K997" t="str">
            <v>BMED</v>
          </cell>
          <cell r="L997" t="str">
            <v>Normal</v>
          </cell>
          <cell r="M997" t="str">
            <v>USA</v>
          </cell>
          <cell r="N997" t="str">
            <v>Connex</v>
          </cell>
          <cell r="O997" t="str">
            <v>Connex ProBP 3400</v>
          </cell>
          <cell r="P997" t="str">
            <v>100001920213</v>
          </cell>
          <cell r="Q997" t="str">
            <v>Not Applicable</v>
          </cell>
          <cell r="R997" t="str">
            <v>Welch Allyn Inc</v>
          </cell>
          <cell r="S997" t="str">
            <v>Welch Allyn Malaysia Sdn Bhd</v>
          </cell>
          <cell r="T997" t="str">
            <v>Functioning</v>
          </cell>
          <cell r="U997" t="str">
            <v>Asset</v>
          </cell>
          <cell r="V997">
            <v>336</v>
          </cell>
          <cell r="W997" t="str">
            <v>KEW</v>
          </cell>
          <cell r="X997" t="str">
            <v>01/09/2010</v>
          </cell>
          <cell r="Y997" t="str">
            <v>KEW</v>
          </cell>
          <cell r="Z997" t="str">
            <v>16/08/2013</v>
          </cell>
          <cell r="AA997" t="str">
            <v>15/08/2015</v>
          </cell>
          <cell r="AB997" t="str">
            <v>No</v>
          </cell>
          <cell r="AC997" t="str">
            <v>31/08/2013</v>
          </cell>
          <cell r="AD997" t="str">
            <v>Good</v>
          </cell>
          <cell r="AE997" t="str">
            <v>V1 - Existing / No Claim</v>
          </cell>
          <cell r="AF997">
            <v>42235</v>
          </cell>
          <cell r="AG997">
            <v>9.17</v>
          </cell>
          <cell r="AH997" t="str">
            <v>PPM</v>
          </cell>
          <cell r="AI997" t="str">
            <v>Strands</v>
          </cell>
          <cell r="AJ997" t="str">
            <v>Strands PW</v>
          </cell>
        </row>
        <row r="998">
          <cell r="A998" t="str">
            <v>IKN400573</v>
          </cell>
          <cell r="B998">
            <v>573</v>
          </cell>
          <cell r="C998" t="str">
            <v>Institut Kanser Negara</v>
          </cell>
          <cell r="D998" t="str">
            <v>KKM/IKN/H/13/3014</v>
          </cell>
          <cell r="E998" t="str">
            <v>16-173</v>
          </cell>
          <cell r="F998" t="str">
            <v>Sphygmomanometers, Electronic, Automatic</v>
          </cell>
          <cell r="G998" t="str">
            <v>NM</v>
          </cell>
          <cell r="H998" t="str">
            <v>NUCLEAR MED (DIAGNOSTIC)</v>
          </cell>
          <cell r="I998" t="str">
            <v>03NM184</v>
          </cell>
          <cell r="J998" t="str">
            <v>C/E 3 (VE)</v>
          </cell>
          <cell r="K998" t="str">
            <v>BMED</v>
          </cell>
          <cell r="L998" t="str">
            <v>Normal</v>
          </cell>
          <cell r="M998" t="str">
            <v>USA</v>
          </cell>
          <cell r="N998" t="str">
            <v>Connex</v>
          </cell>
          <cell r="O998" t="str">
            <v>Connex ProBP 3400</v>
          </cell>
          <cell r="P998" t="str">
            <v>100003410213</v>
          </cell>
          <cell r="Q998" t="str">
            <v>Not Applicable</v>
          </cell>
          <cell r="R998" t="str">
            <v>Welch Allyn Inc</v>
          </cell>
          <cell r="S998" t="str">
            <v>Welch Allyn Malaysia Sdn Bhd</v>
          </cell>
          <cell r="T998" t="str">
            <v>Functioning</v>
          </cell>
          <cell r="U998" t="str">
            <v>Asset</v>
          </cell>
          <cell r="V998">
            <v>336</v>
          </cell>
          <cell r="W998" t="str">
            <v>KEW</v>
          </cell>
          <cell r="X998" t="str">
            <v>01/09/2010</v>
          </cell>
          <cell r="Y998" t="str">
            <v>KEW</v>
          </cell>
          <cell r="Z998" t="str">
            <v>16/08/2013</v>
          </cell>
          <cell r="AA998" t="str">
            <v>15/08/2015</v>
          </cell>
          <cell r="AB998" t="str">
            <v>No</v>
          </cell>
          <cell r="AC998" t="str">
            <v>31/08/2013</v>
          </cell>
          <cell r="AD998" t="str">
            <v>Good</v>
          </cell>
          <cell r="AE998" t="str">
            <v>V1 - Existing / No Claim</v>
          </cell>
          <cell r="AF998">
            <v>42235</v>
          </cell>
          <cell r="AG998">
            <v>9.17</v>
          </cell>
          <cell r="AH998" t="str">
            <v>PPM</v>
          </cell>
          <cell r="AI998" t="str">
            <v>Strands</v>
          </cell>
          <cell r="AJ998" t="str">
            <v>Strands PW</v>
          </cell>
        </row>
        <row r="999">
          <cell r="A999" t="str">
            <v>IKN400575</v>
          </cell>
          <cell r="B999">
            <v>575</v>
          </cell>
          <cell r="C999" t="str">
            <v>Institut Kanser Negara</v>
          </cell>
          <cell r="D999" t="str">
            <v>KKM/IKN/H/13/3856</v>
          </cell>
          <cell r="E999" t="str">
            <v>16-173</v>
          </cell>
          <cell r="F999" t="str">
            <v>Sphygmomanometers, Electronic, Automatic</v>
          </cell>
          <cell r="G999" t="str">
            <v>NM</v>
          </cell>
          <cell r="H999" t="str">
            <v>NUCLEAR MED (DIAGNOSTIC)</v>
          </cell>
          <cell r="I999" t="str">
            <v>03NM185</v>
          </cell>
          <cell r="J999" t="str">
            <v>C/E 2 (VE)</v>
          </cell>
          <cell r="K999" t="str">
            <v>BMED</v>
          </cell>
          <cell r="L999" t="str">
            <v>Normal</v>
          </cell>
          <cell r="M999" t="str">
            <v>USA</v>
          </cell>
          <cell r="N999" t="str">
            <v>Connex</v>
          </cell>
          <cell r="O999" t="str">
            <v>Connex ProBP 3400</v>
          </cell>
          <cell r="P999" t="str">
            <v>100043722314</v>
          </cell>
          <cell r="Q999" t="str">
            <v>Not Applicable</v>
          </cell>
          <cell r="R999" t="str">
            <v>Welch Allyn Inc</v>
          </cell>
          <cell r="S999" t="str">
            <v>Welch Allyn Malaysia Sdn Bhd</v>
          </cell>
          <cell r="T999" t="str">
            <v>Functioning</v>
          </cell>
          <cell r="U999" t="str">
            <v>Asset</v>
          </cell>
          <cell r="V999">
            <v>336</v>
          </cell>
          <cell r="W999" t="str">
            <v>KEW</v>
          </cell>
          <cell r="X999" t="str">
            <v>01/09/2010</v>
          </cell>
          <cell r="Y999" t="str">
            <v>KEW</v>
          </cell>
          <cell r="Z999" t="str">
            <v>16/08/2013</v>
          </cell>
          <cell r="AA999" t="str">
            <v>15/08/2015</v>
          </cell>
          <cell r="AB999" t="str">
            <v>No</v>
          </cell>
          <cell r="AC999" t="str">
            <v>31/08/2013</v>
          </cell>
          <cell r="AD999" t="str">
            <v>Good</v>
          </cell>
          <cell r="AE999" t="str">
            <v>V1 - Existing / No Claim</v>
          </cell>
          <cell r="AF999">
            <v>42235</v>
          </cell>
          <cell r="AG999">
            <v>9.17</v>
          </cell>
          <cell r="AH999" t="str">
            <v>PPM</v>
          </cell>
          <cell r="AI999" t="str">
            <v>Strands</v>
          </cell>
          <cell r="AJ999" t="str">
            <v>Strands PW</v>
          </cell>
        </row>
        <row r="1000">
          <cell r="A1000" t="str">
            <v>IKN400577</v>
          </cell>
          <cell r="B1000">
            <v>577</v>
          </cell>
          <cell r="C1000" t="str">
            <v>Institut Kanser Negara</v>
          </cell>
          <cell r="D1000" t="str">
            <v>KKM/IKN/H/13/3015</v>
          </cell>
          <cell r="E1000" t="str">
            <v>16-173</v>
          </cell>
          <cell r="F1000" t="str">
            <v>Sphygmomanometers, Electronic, Automatic</v>
          </cell>
          <cell r="G1000" t="str">
            <v>NM</v>
          </cell>
          <cell r="H1000" t="str">
            <v>NUCLEAR MED (DIAGNOSTIC)</v>
          </cell>
          <cell r="I1000" t="str">
            <v>03NM186</v>
          </cell>
          <cell r="J1000" t="str">
            <v>C/E 1 (VE)</v>
          </cell>
          <cell r="K1000" t="str">
            <v>BMED</v>
          </cell>
          <cell r="L1000" t="str">
            <v>Normal</v>
          </cell>
          <cell r="M1000" t="str">
            <v>USA</v>
          </cell>
          <cell r="N1000" t="str">
            <v>Connex</v>
          </cell>
          <cell r="O1000" t="str">
            <v>Connex ProBP 3400</v>
          </cell>
          <cell r="P1000" t="str">
            <v>100001880413</v>
          </cell>
          <cell r="Q1000" t="str">
            <v>Not Applicable</v>
          </cell>
          <cell r="R1000" t="str">
            <v>Welch Allyn Inc</v>
          </cell>
          <cell r="S1000" t="str">
            <v>Welch Allyn Malaysia Sdn Bhd</v>
          </cell>
          <cell r="T1000" t="str">
            <v>Functioning</v>
          </cell>
          <cell r="U1000" t="str">
            <v>Asset</v>
          </cell>
          <cell r="V1000">
            <v>336</v>
          </cell>
          <cell r="W1000" t="str">
            <v>KEW</v>
          </cell>
          <cell r="X1000" t="str">
            <v>01/09/2010</v>
          </cell>
          <cell r="Y1000" t="str">
            <v>KEW</v>
          </cell>
          <cell r="Z1000" t="str">
            <v>16/08/2013</v>
          </cell>
          <cell r="AA1000" t="str">
            <v>15/08/2015</v>
          </cell>
          <cell r="AB1000" t="str">
            <v>No</v>
          </cell>
          <cell r="AC1000" t="str">
            <v>31/08/2013</v>
          </cell>
          <cell r="AD1000" t="str">
            <v>Good</v>
          </cell>
          <cell r="AE1000" t="str">
            <v>V1 - Existing / No Claim</v>
          </cell>
          <cell r="AF1000">
            <v>42235</v>
          </cell>
          <cell r="AG1000">
            <v>9.17</v>
          </cell>
          <cell r="AH1000" t="str">
            <v>PPM</v>
          </cell>
          <cell r="AI1000" t="str">
            <v>Strands</v>
          </cell>
          <cell r="AJ1000" t="str">
            <v>Strands PW</v>
          </cell>
        </row>
        <row r="1001">
          <cell r="A1001" t="str">
            <v>IKN400579</v>
          </cell>
          <cell r="B1001">
            <v>579</v>
          </cell>
          <cell r="C1001" t="str">
            <v>Institut Kanser Negara</v>
          </cell>
          <cell r="D1001" t="str">
            <v>KKM/IKN/H/13/2768</v>
          </cell>
          <cell r="E1001" t="str">
            <v>12-660</v>
          </cell>
          <cell r="F1001" t="str">
            <v>Radiation Monitors</v>
          </cell>
          <cell r="G1001" t="str">
            <v>NW</v>
          </cell>
          <cell r="H1001" t="str">
            <v>NUCLEAR WASTE HOLDING</v>
          </cell>
          <cell r="I1001" t="str">
            <v>01NW105</v>
          </cell>
          <cell r="J1001" t="str">
            <v>SHORT LIFE WASTE STORAGE</v>
          </cell>
          <cell r="K1001" t="str">
            <v>BMED</v>
          </cell>
          <cell r="L1001" t="str">
            <v>Normal</v>
          </cell>
          <cell r="M1001" t="str">
            <v>Germany</v>
          </cell>
          <cell r="N1001" t="str">
            <v>CoMo</v>
          </cell>
          <cell r="O1001" t="str">
            <v>CoMo 170</v>
          </cell>
          <cell r="P1001" t="str">
            <v>5062DL</v>
          </cell>
          <cell r="Q1001" t="str">
            <v>Not Applicable</v>
          </cell>
          <cell r="R1001" t="str">
            <v>MED Nuklear-Medizintechnik Dresden GmbH</v>
          </cell>
          <cell r="S1001" t="str">
            <v>Bell Comm Technologies Sdn Bhd</v>
          </cell>
          <cell r="T1001" t="str">
            <v>Functioning</v>
          </cell>
          <cell r="U1001" t="str">
            <v>Asset</v>
          </cell>
          <cell r="V1001">
            <v>23270</v>
          </cell>
          <cell r="W1001" t="str">
            <v>KEW</v>
          </cell>
          <cell r="X1001" t="str">
            <v>01/09/2010</v>
          </cell>
          <cell r="Y1001" t="str">
            <v>KEW</v>
          </cell>
          <cell r="Z1001" t="str">
            <v>16/08/2013</v>
          </cell>
          <cell r="AA1001" t="str">
            <v>15/08/2015</v>
          </cell>
          <cell r="AB1001" t="str">
            <v>No</v>
          </cell>
          <cell r="AC1001" t="str">
            <v>31/08/2013</v>
          </cell>
          <cell r="AD1001" t="str">
            <v>Good</v>
          </cell>
          <cell r="AE1001" t="str">
            <v>V1 - Existing / No Claim</v>
          </cell>
          <cell r="AF1001">
            <v>43496</v>
          </cell>
          <cell r="AG1001">
            <v>9.17</v>
          </cell>
          <cell r="AH1001" t="str">
            <v>PPM</v>
          </cell>
          <cell r="AI1001" t="str">
            <v>Strands</v>
          </cell>
          <cell r="AJ1001" t="str">
            <v>Strands PW</v>
          </cell>
        </row>
        <row r="1002">
          <cell r="A1002" t="str">
            <v>IKN400580</v>
          </cell>
          <cell r="B1002">
            <v>580</v>
          </cell>
          <cell r="C1002" t="str">
            <v>Institut Kanser Negara</v>
          </cell>
          <cell r="D1002" t="str">
            <v>KKM/IKN/H/13/2966</v>
          </cell>
          <cell r="E1002" t="str">
            <v>12-282</v>
          </cell>
          <cell r="F1002" t="str">
            <v>Lights, Surgical</v>
          </cell>
          <cell r="G1002" t="str">
            <v>NM</v>
          </cell>
          <cell r="H1002" t="str">
            <v>NUCLEAR MED (DIAGNOSTIC)</v>
          </cell>
          <cell r="I1002" t="str">
            <v>03NM186</v>
          </cell>
          <cell r="J1002" t="str">
            <v>C/E 1 (VE)</v>
          </cell>
          <cell r="K1002" t="str">
            <v>BMED</v>
          </cell>
          <cell r="L1002" t="str">
            <v>Normal</v>
          </cell>
          <cell r="M1002" t="str">
            <v>USA</v>
          </cell>
          <cell r="N1002" t="str">
            <v>Welch Allyn</v>
          </cell>
          <cell r="O1002" t="str">
            <v>Welch Allyn GS600</v>
          </cell>
          <cell r="P1002" t="str">
            <v>GS-600-18</v>
          </cell>
          <cell r="Q1002" t="str">
            <v>Not Applicable</v>
          </cell>
          <cell r="R1002" t="str">
            <v>Welch Allyn Inc</v>
          </cell>
          <cell r="S1002" t="str">
            <v>Welch Allyn Malaysia Sdn Bhd</v>
          </cell>
          <cell r="T1002" t="str">
            <v>Functioning</v>
          </cell>
          <cell r="U1002" t="str">
            <v>Asset</v>
          </cell>
          <cell r="V1002">
            <v>5050</v>
          </cell>
          <cell r="W1002" t="str">
            <v>KEW</v>
          </cell>
          <cell r="X1002" t="str">
            <v>01/09/2010</v>
          </cell>
          <cell r="Y1002" t="str">
            <v>KEW</v>
          </cell>
          <cell r="Z1002" t="str">
            <v>16/08/2013</v>
          </cell>
          <cell r="AA1002" t="str">
            <v>15/08/2015</v>
          </cell>
          <cell r="AB1002" t="str">
            <v>No</v>
          </cell>
          <cell r="AC1002" t="str">
            <v>31/08/2013</v>
          </cell>
          <cell r="AD1002" t="str">
            <v>Good</v>
          </cell>
          <cell r="AE1002" t="str">
            <v>V1 - Existing / No Claim</v>
          </cell>
          <cell r="AF1002">
            <v>42235</v>
          </cell>
          <cell r="AG1002">
            <v>9.17</v>
          </cell>
          <cell r="AH1002" t="str">
            <v>PPM</v>
          </cell>
          <cell r="AI1002" t="str">
            <v>Strands</v>
          </cell>
          <cell r="AJ1002" t="str">
            <v>Strands PW</v>
          </cell>
        </row>
        <row r="1003">
          <cell r="A1003" t="str">
            <v>IKN400581</v>
          </cell>
          <cell r="B1003">
            <v>581</v>
          </cell>
          <cell r="C1003" t="str">
            <v>Institut Kanser Negara</v>
          </cell>
          <cell r="D1003" t="str">
            <v>KKM/IKN/H/13/2965</v>
          </cell>
          <cell r="E1003" t="str">
            <v>12-282</v>
          </cell>
          <cell r="F1003" t="str">
            <v>Lights, Surgical</v>
          </cell>
          <cell r="G1003" t="str">
            <v>NM</v>
          </cell>
          <cell r="H1003" t="str">
            <v>NUCLEAR MED (DIAGNOSTIC)</v>
          </cell>
          <cell r="I1003" t="str">
            <v>03NM185</v>
          </cell>
          <cell r="J1003" t="str">
            <v>C/E 2 (VE)</v>
          </cell>
          <cell r="K1003" t="str">
            <v>BMED</v>
          </cell>
          <cell r="L1003" t="str">
            <v>Normal</v>
          </cell>
          <cell r="M1003" t="str">
            <v>USA</v>
          </cell>
          <cell r="N1003" t="str">
            <v>Welch Allyn</v>
          </cell>
          <cell r="O1003" t="str">
            <v>Welch Allyn GS600</v>
          </cell>
          <cell r="P1003" t="str">
            <v>GS-600-17</v>
          </cell>
          <cell r="Q1003" t="str">
            <v>Not Applicable</v>
          </cell>
          <cell r="R1003" t="str">
            <v>Welch Allyn Inc</v>
          </cell>
          <cell r="S1003" t="str">
            <v>Welch Allyn Malaysia Sdn Bhd</v>
          </cell>
          <cell r="T1003" t="str">
            <v>Functioning</v>
          </cell>
          <cell r="U1003" t="str">
            <v>Asset</v>
          </cell>
          <cell r="V1003">
            <v>5050</v>
          </cell>
          <cell r="W1003" t="str">
            <v>KEW</v>
          </cell>
          <cell r="X1003" t="str">
            <v>01/09/2010</v>
          </cell>
          <cell r="Y1003" t="str">
            <v>KEW</v>
          </cell>
          <cell r="Z1003" t="str">
            <v>16/08/2013</v>
          </cell>
          <cell r="AA1003" t="str">
            <v>15/08/2015</v>
          </cell>
          <cell r="AB1003" t="str">
            <v>No</v>
          </cell>
          <cell r="AC1003" t="str">
            <v>31/08/2013</v>
          </cell>
          <cell r="AD1003" t="str">
            <v>Good</v>
          </cell>
          <cell r="AE1003" t="str">
            <v>V1 - Existing / No Claim</v>
          </cell>
          <cell r="AF1003">
            <v>42235</v>
          </cell>
          <cell r="AG1003">
            <v>9.17</v>
          </cell>
          <cell r="AH1003" t="str">
            <v>PPM</v>
          </cell>
          <cell r="AI1003" t="str">
            <v>Strands</v>
          </cell>
          <cell r="AJ1003" t="str">
            <v>Strands PW</v>
          </cell>
        </row>
        <row r="1004">
          <cell r="A1004" t="str">
            <v>IKN400582</v>
          </cell>
          <cell r="B1004">
            <v>582</v>
          </cell>
          <cell r="C1004" t="str">
            <v>Institut Kanser Negara</v>
          </cell>
          <cell r="D1004" t="str">
            <v>KKM/IKN/H/13/2964</v>
          </cell>
          <cell r="E1004" t="str">
            <v>12-282</v>
          </cell>
          <cell r="F1004" t="str">
            <v>Lights, Surgical</v>
          </cell>
          <cell r="G1004" t="str">
            <v>NM</v>
          </cell>
          <cell r="H1004" t="str">
            <v>NUCLEAR MED (DIAGNOSTIC)</v>
          </cell>
          <cell r="I1004" t="str">
            <v>03NM184</v>
          </cell>
          <cell r="J1004" t="str">
            <v>C/E 3 (VE)</v>
          </cell>
          <cell r="K1004" t="str">
            <v>BMED</v>
          </cell>
          <cell r="L1004" t="str">
            <v>Normal</v>
          </cell>
          <cell r="M1004" t="str">
            <v>USA</v>
          </cell>
          <cell r="N1004" t="str">
            <v>Welch Allyn</v>
          </cell>
          <cell r="O1004" t="str">
            <v>Welch Allyn GS600</v>
          </cell>
          <cell r="P1004" t="str">
            <v>GS-600-16</v>
          </cell>
          <cell r="Q1004" t="str">
            <v>Not Applicable</v>
          </cell>
          <cell r="R1004" t="str">
            <v>Welch Allyn Inc</v>
          </cell>
          <cell r="S1004" t="str">
            <v>Welch Allyn Malaysia Sdn Bhd</v>
          </cell>
          <cell r="T1004" t="str">
            <v>Functioning</v>
          </cell>
          <cell r="U1004" t="str">
            <v>Asset</v>
          </cell>
          <cell r="V1004">
            <v>5050</v>
          </cell>
          <cell r="W1004" t="str">
            <v>KEW</v>
          </cell>
          <cell r="X1004" t="str">
            <v>01/09/2010</v>
          </cell>
          <cell r="Y1004" t="str">
            <v>KEW</v>
          </cell>
          <cell r="Z1004" t="str">
            <v>16/08/2013</v>
          </cell>
          <cell r="AA1004" t="str">
            <v>15/08/2015</v>
          </cell>
          <cell r="AB1004" t="str">
            <v>No</v>
          </cell>
          <cell r="AC1004" t="str">
            <v>31/08/2013</v>
          </cell>
          <cell r="AD1004" t="str">
            <v>Good</v>
          </cell>
          <cell r="AE1004" t="str">
            <v>V1 - Existing / No Claim</v>
          </cell>
          <cell r="AF1004">
            <v>42235</v>
          </cell>
          <cell r="AG1004">
            <v>9.17</v>
          </cell>
          <cell r="AH1004" t="str">
            <v>PPM</v>
          </cell>
          <cell r="AI1004" t="str">
            <v>Strands</v>
          </cell>
          <cell r="AJ1004" t="str">
            <v>Strands PW</v>
          </cell>
        </row>
        <row r="1005">
          <cell r="A1005" t="str">
            <v>IKN400583</v>
          </cell>
          <cell r="B1005">
            <v>583</v>
          </cell>
          <cell r="C1005" t="str">
            <v>Institut Kanser Negara</v>
          </cell>
          <cell r="D1005" t="str">
            <v>KKM/IKN/H/13/2959</v>
          </cell>
          <cell r="E1005" t="str">
            <v>12-282</v>
          </cell>
          <cell r="F1005" t="str">
            <v>Lights, Surgical</v>
          </cell>
          <cell r="G1005" t="str">
            <v>NM</v>
          </cell>
          <cell r="H1005" t="str">
            <v>NUCLEAR MED (DIAGNOSTIC)</v>
          </cell>
          <cell r="I1005" t="str">
            <v>03NM110</v>
          </cell>
          <cell r="J1005" t="str">
            <v>VENEPUNCTURE</v>
          </cell>
          <cell r="K1005" t="str">
            <v>BMED</v>
          </cell>
          <cell r="L1005" t="str">
            <v>Normal</v>
          </cell>
          <cell r="M1005" t="str">
            <v>USA</v>
          </cell>
          <cell r="N1005" t="str">
            <v>Welch Allyn</v>
          </cell>
          <cell r="O1005" t="str">
            <v>Welch Allyn GS600</v>
          </cell>
          <cell r="P1005" t="str">
            <v>GS-600-11</v>
          </cell>
          <cell r="Q1005" t="str">
            <v>Not Applicable</v>
          </cell>
          <cell r="R1005" t="str">
            <v>Welch Allyn Inc</v>
          </cell>
          <cell r="S1005" t="str">
            <v>Welch Allyn Malaysia Sdn Bhd</v>
          </cell>
          <cell r="T1005" t="str">
            <v>Functioning</v>
          </cell>
          <cell r="U1005" t="str">
            <v>Asset</v>
          </cell>
          <cell r="V1005">
            <v>5050</v>
          </cell>
          <cell r="W1005" t="str">
            <v>KEW</v>
          </cell>
          <cell r="X1005" t="str">
            <v>01/09/2010</v>
          </cell>
          <cell r="Y1005" t="str">
            <v>KEW</v>
          </cell>
          <cell r="Z1005" t="str">
            <v>16/08/2013</v>
          </cell>
          <cell r="AA1005" t="str">
            <v>15/08/2015</v>
          </cell>
          <cell r="AB1005" t="str">
            <v>No</v>
          </cell>
          <cell r="AC1005" t="str">
            <v>31/08/2013</v>
          </cell>
          <cell r="AD1005" t="str">
            <v>Good</v>
          </cell>
          <cell r="AE1005" t="str">
            <v>V1 - Existing / No Claim</v>
          </cell>
          <cell r="AF1005">
            <v>42235</v>
          </cell>
          <cell r="AG1005">
            <v>9.17</v>
          </cell>
          <cell r="AH1005" t="str">
            <v>PPM</v>
          </cell>
          <cell r="AI1005" t="str">
            <v>Strands</v>
          </cell>
          <cell r="AJ1005" t="str">
            <v>Strands PW</v>
          </cell>
        </row>
        <row r="1006">
          <cell r="A1006" t="str">
            <v>IKN400585</v>
          </cell>
          <cell r="B1006">
            <v>585</v>
          </cell>
          <cell r="C1006" t="str">
            <v>Institut Kanser Negara</v>
          </cell>
          <cell r="D1006" t="str">
            <v>KKM/IKN/H/13/2985</v>
          </cell>
          <cell r="E1006" t="str">
            <v>25-209</v>
          </cell>
          <cell r="F1006" t="str">
            <v>Monitors, Physiologic, Vital Signs</v>
          </cell>
          <cell r="G1006" t="str">
            <v>NM</v>
          </cell>
          <cell r="H1006" t="str">
            <v>NUCLEAR MED (DIAGNOSTIC)</v>
          </cell>
          <cell r="I1006" t="str">
            <v>03NM189</v>
          </cell>
          <cell r="J1006" t="str">
            <v>GEN.STORE</v>
          </cell>
          <cell r="K1006" t="str">
            <v>BMED</v>
          </cell>
          <cell r="L1006" t="str">
            <v>Critical</v>
          </cell>
          <cell r="M1006" t="str">
            <v>Mexico</v>
          </cell>
          <cell r="N1006" t="str">
            <v>Carespace</v>
          </cell>
          <cell r="O1006" t="str">
            <v>Carescape V100</v>
          </cell>
          <cell r="P1006" t="str">
            <v>SH612450580SA</v>
          </cell>
          <cell r="Q1006" t="str">
            <v>Not Applicable</v>
          </cell>
          <cell r="R1006" t="str">
            <v>GE Healthcare Systems</v>
          </cell>
          <cell r="S1006" t="str">
            <v>GE Healthcare Technologies</v>
          </cell>
          <cell r="T1006" t="str">
            <v>Functioning</v>
          </cell>
          <cell r="U1006" t="str">
            <v>Asset</v>
          </cell>
          <cell r="V1006">
            <v>18765</v>
          </cell>
          <cell r="W1006" t="str">
            <v>KEW</v>
          </cell>
          <cell r="X1006" t="str">
            <v>01/09/2010</v>
          </cell>
          <cell r="Y1006" t="str">
            <v>KEW</v>
          </cell>
          <cell r="Z1006" t="str">
            <v>16/08/2013</v>
          </cell>
          <cell r="AA1006" t="str">
            <v>15/08/2015</v>
          </cell>
          <cell r="AB1006" t="str">
            <v>No</v>
          </cell>
          <cell r="AC1006" t="str">
            <v>31/08/2013</v>
          </cell>
          <cell r="AD1006" t="str">
            <v>Good</v>
          </cell>
          <cell r="AE1006" t="str">
            <v>V1 - Existing / No Claim</v>
          </cell>
          <cell r="AF1006">
            <v>42706</v>
          </cell>
          <cell r="AG1006">
            <v>9.17</v>
          </cell>
          <cell r="AH1006" t="str">
            <v>PPM</v>
          </cell>
          <cell r="AI1006" t="str">
            <v>Strands</v>
          </cell>
          <cell r="AJ1006" t="str">
            <v>Strands PW</v>
          </cell>
        </row>
        <row r="1007">
          <cell r="A1007" t="str">
            <v>IKN400586</v>
          </cell>
          <cell r="B1007">
            <v>586</v>
          </cell>
          <cell r="C1007" t="str">
            <v>Institut Kanser Negara</v>
          </cell>
          <cell r="D1007" t="str">
            <v>KKM/IKN/H/13/2986</v>
          </cell>
          <cell r="E1007" t="str">
            <v>17-148</v>
          </cell>
          <cell r="F1007" t="str">
            <v>Oximeters, Pulse</v>
          </cell>
          <cell r="G1007" t="str">
            <v>NM</v>
          </cell>
          <cell r="H1007" t="str">
            <v>NUCLEAR MED (DIAGNOSTIC)</v>
          </cell>
          <cell r="I1007" t="str">
            <v>03NM108</v>
          </cell>
          <cell r="J1007" t="str">
            <v>TREATMENT 1 (RAI)(VE)</v>
          </cell>
          <cell r="K1007" t="str">
            <v>BMED</v>
          </cell>
          <cell r="L1007" t="str">
            <v>Normal</v>
          </cell>
          <cell r="M1007" t="str">
            <v>Finland</v>
          </cell>
          <cell r="N1007" t="str">
            <v>Trusat</v>
          </cell>
          <cell r="O1007" t="str">
            <v>Trusat</v>
          </cell>
          <cell r="P1007" t="str">
            <v>FCC12430023Sa</v>
          </cell>
          <cell r="Q1007" t="str">
            <v>Not Applicable</v>
          </cell>
          <cell r="R1007" t="str">
            <v>GE Healthcare Systems</v>
          </cell>
          <cell r="S1007" t="str">
            <v>GE Healthcare Technologies</v>
          </cell>
          <cell r="T1007" t="str">
            <v>Functioning</v>
          </cell>
          <cell r="U1007" t="str">
            <v>Asset</v>
          </cell>
          <cell r="V1007">
            <v>11120</v>
          </cell>
          <cell r="W1007" t="str">
            <v>KEW</v>
          </cell>
          <cell r="X1007" t="str">
            <v>01/09/2010</v>
          </cell>
          <cell r="Y1007" t="str">
            <v>KEW</v>
          </cell>
          <cell r="Z1007" t="str">
            <v>16/08/2013</v>
          </cell>
          <cell r="AA1007" t="str">
            <v>15/08/2015</v>
          </cell>
          <cell r="AB1007" t="str">
            <v>No</v>
          </cell>
          <cell r="AC1007" t="str">
            <v>31/08/2013</v>
          </cell>
          <cell r="AD1007" t="str">
            <v>Good</v>
          </cell>
          <cell r="AE1007" t="str">
            <v>V1 - Existing / No Claim</v>
          </cell>
          <cell r="AF1007">
            <v>42235</v>
          </cell>
          <cell r="AG1007">
            <v>9.17</v>
          </cell>
          <cell r="AH1007" t="str">
            <v>PPM</v>
          </cell>
          <cell r="AI1007" t="str">
            <v>Strands</v>
          </cell>
          <cell r="AJ1007" t="str">
            <v>Strands PW</v>
          </cell>
        </row>
        <row r="1008">
          <cell r="A1008" t="str">
            <v>IKN400587</v>
          </cell>
          <cell r="B1008">
            <v>587</v>
          </cell>
          <cell r="C1008" t="str">
            <v>Institut Kanser Negara</v>
          </cell>
          <cell r="D1008" t="str">
            <v>KKM/IKN/H/13/3105</v>
          </cell>
          <cell r="E1008" t="str">
            <v>17-882</v>
          </cell>
          <cell r="F1008" t="str">
            <v>Defibrillator/Pacemakers, External</v>
          </cell>
          <cell r="G1008" t="str">
            <v>NM</v>
          </cell>
          <cell r="H1008" t="str">
            <v>NUCLEAR MED (DIAGNOSTIC)</v>
          </cell>
          <cell r="I1008" t="str">
            <v>03NM164</v>
          </cell>
          <cell r="J1008" t="str">
            <v>GAMMA CAMERA 2 (-VE)</v>
          </cell>
          <cell r="K1008" t="str">
            <v>BMED</v>
          </cell>
          <cell r="L1008" t="str">
            <v>Critical</v>
          </cell>
          <cell r="M1008" t="str">
            <v>Germany</v>
          </cell>
          <cell r="N1008" t="str">
            <v>HeartStart</v>
          </cell>
          <cell r="O1008" t="str">
            <v>HeartStart XL+</v>
          </cell>
          <cell r="P1008" t="str">
            <v>US91202397</v>
          </cell>
          <cell r="Q1008" t="str">
            <v>Not Applicable</v>
          </cell>
          <cell r="R1008" t="str">
            <v>Philips Medical System</v>
          </cell>
          <cell r="S1008" t="str">
            <v>Advance Altimas Sdn Bhd</v>
          </cell>
          <cell r="T1008" t="str">
            <v>Functioning</v>
          </cell>
          <cell r="U1008" t="str">
            <v>Asset</v>
          </cell>
          <cell r="V1008">
            <v>45000</v>
          </cell>
          <cell r="W1008" t="str">
            <v>Estimate</v>
          </cell>
          <cell r="X1008" t="str">
            <v>01/09/2010</v>
          </cell>
          <cell r="Y1008" t="str">
            <v>KEW</v>
          </cell>
          <cell r="Z1008" t="str">
            <v>16/08/2013</v>
          </cell>
          <cell r="AA1008" t="str">
            <v>15/08/2015</v>
          </cell>
          <cell r="AB1008" t="str">
            <v>No</v>
          </cell>
          <cell r="AC1008" t="str">
            <v>31/08/2013</v>
          </cell>
          <cell r="AD1008" t="str">
            <v>Good</v>
          </cell>
          <cell r="AE1008" t="str">
            <v>V1 - Existing / No Claim</v>
          </cell>
          <cell r="AF1008">
            <v>42601</v>
          </cell>
          <cell r="AG1008">
            <v>9.17</v>
          </cell>
          <cell r="AH1008" t="str">
            <v>PPM</v>
          </cell>
          <cell r="AI1008" t="str">
            <v>Strands</v>
          </cell>
          <cell r="AJ1008" t="str">
            <v>Strands Package</v>
          </cell>
          <cell r="AK1008" t="str">
            <v>Package Code XK0001B</v>
          </cell>
        </row>
        <row r="1009">
          <cell r="A1009" t="str">
            <v>IKN400588</v>
          </cell>
          <cell r="B1009">
            <v>588</v>
          </cell>
          <cell r="C1009" t="str">
            <v>Institut Kanser Negara</v>
          </cell>
          <cell r="D1009" t="str">
            <v>KKM/IKN/H/13/5434</v>
          </cell>
          <cell r="E1009" t="str">
            <v>12-647</v>
          </cell>
          <cell r="F1009" t="str">
            <v>Physiologic Monitoring Systems, Acute Care</v>
          </cell>
          <cell r="G1009" t="str">
            <v>NM</v>
          </cell>
          <cell r="H1009" t="str">
            <v>NUCLEAR MED (DIAGNOSTIC)</v>
          </cell>
          <cell r="I1009" t="str">
            <v>03NM164</v>
          </cell>
          <cell r="J1009" t="str">
            <v>GAMMA CAMERA 2 (-VE)</v>
          </cell>
          <cell r="K1009" t="str">
            <v>BMED</v>
          </cell>
          <cell r="L1009" t="str">
            <v>Critical</v>
          </cell>
          <cell r="M1009" t="str">
            <v>USA</v>
          </cell>
          <cell r="N1009" t="str">
            <v>Cardiac Trigger</v>
          </cell>
          <cell r="O1009" t="str">
            <v>Cardiac Trigger Monitor 3000</v>
          </cell>
          <cell r="P1009" t="str">
            <v>1109251</v>
          </cell>
          <cell r="Q1009" t="str">
            <v>Not Applicable</v>
          </cell>
          <cell r="R1009" t="str">
            <v>Ivy Biomedical Systems Inc</v>
          </cell>
          <cell r="S1009" t="str">
            <v>Advance Altimas Sdn Bhd</v>
          </cell>
          <cell r="T1009" t="str">
            <v>Functioning</v>
          </cell>
          <cell r="U1009" t="str">
            <v>Asset</v>
          </cell>
          <cell r="V1009">
            <v>20000</v>
          </cell>
          <cell r="W1009" t="str">
            <v>Estimate</v>
          </cell>
          <cell r="X1009" t="str">
            <v>01/09/2010</v>
          </cell>
          <cell r="Y1009" t="str">
            <v>KEW</v>
          </cell>
          <cell r="Z1009" t="str">
            <v>16/08/2013</v>
          </cell>
          <cell r="AA1009" t="str">
            <v>15/08/2015</v>
          </cell>
          <cell r="AB1009" t="str">
            <v>No</v>
          </cell>
          <cell r="AC1009" t="str">
            <v>31/08/2013</v>
          </cell>
          <cell r="AD1009" t="str">
            <v>Good</v>
          </cell>
          <cell r="AE1009" t="str">
            <v>V4 - Decommissioned Installed Facility</v>
          </cell>
          <cell r="AF1009">
            <v>42601</v>
          </cell>
          <cell r="AG1009">
            <v>9.17</v>
          </cell>
          <cell r="AH1009" t="str">
            <v>PPM</v>
          </cell>
          <cell r="AI1009" t="str">
            <v>Strands</v>
          </cell>
          <cell r="AJ1009" t="str">
            <v>Strands Package</v>
          </cell>
          <cell r="AK1009" t="str">
            <v>23/10/2024:tapi boleh digunakan lagiPackage Code XK0001B [22/9/2023, SHARIFAH]: PEP ON NOV 2020, BER/BEMS/AWSB/20/007 - Asset masih boleh digunakan namun asset tidak ekonomik diperbaiki lagi sekiranya rosak.</v>
          </cell>
        </row>
        <row r="1010">
          <cell r="A1010" t="str">
            <v>IKN400589</v>
          </cell>
          <cell r="B1010">
            <v>589</v>
          </cell>
          <cell r="C1010" t="str">
            <v>Institut Kanser Negara</v>
          </cell>
          <cell r="D1010" t="str">
            <v>KKM/IKN/H/13/3148</v>
          </cell>
          <cell r="E1010" t="str">
            <v>16-381</v>
          </cell>
          <cell r="F1010" t="str">
            <v>Counters, Gamma</v>
          </cell>
          <cell r="G1010" t="str">
            <v>NM</v>
          </cell>
          <cell r="H1010" t="str">
            <v>NUCLEAR MED (DIAGNOSTIC)</v>
          </cell>
          <cell r="I1010" t="str">
            <v>03NM154</v>
          </cell>
          <cell r="J1010" t="str">
            <v>RIA LAB</v>
          </cell>
          <cell r="K1010" t="str">
            <v>BMED</v>
          </cell>
          <cell r="L1010" t="str">
            <v>Normal</v>
          </cell>
          <cell r="M1010" t="str">
            <v>USA</v>
          </cell>
          <cell r="N1010" t="str">
            <v>Wizard 2</v>
          </cell>
          <cell r="O1010" t="str">
            <v>Wizard 2, 2470</v>
          </cell>
          <cell r="P1010" t="str">
            <v>DG08129516</v>
          </cell>
          <cell r="Q1010" t="str">
            <v>Not Applicable</v>
          </cell>
          <cell r="R1010" t="str">
            <v>Perkin Elmer Inc</v>
          </cell>
          <cell r="S1010" t="str">
            <v>Perkin Elmer Sdn Bhd</v>
          </cell>
          <cell r="T1010" t="str">
            <v>Functioning</v>
          </cell>
          <cell r="U1010" t="str">
            <v>Asset</v>
          </cell>
          <cell r="V1010">
            <v>144820</v>
          </cell>
          <cell r="W1010" t="str">
            <v>KEW</v>
          </cell>
          <cell r="X1010" t="str">
            <v>01/09/2010</v>
          </cell>
          <cell r="Y1010" t="str">
            <v>KEW</v>
          </cell>
          <cell r="Z1010" t="str">
            <v>16/08/2013</v>
          </cell>
          <cell r="AA1010" t="str">
            <v>15/08/2015</v>
          </cell>
          <cell r="AB1010" t="str">
            <v>No</v>
          </cell>
          <cell r="AC1010" t="str">
            <v>31/08/2013</v>
          </cell>
          <cell r="AD1010" t="str">
            <v>Good</v>
          </cell>
          <cell r="AE1010" t="str">
            <v>V1 - Existing / No Claim</v>
          </cell>
          <cell r="AF1010">
            <v>42235</v>
          </cell>
          <cell r="AG1010">
            <v>9.17</v>
          </cell>
          <cell r="AH1010" t="str">
            <v>PPM</v>
          </cell>
          <cell r="AI1010" t="str">
            <v>Strands</v>
          </cell>
          <cell r="AJ1010" t="str">
            <v>Strands PW</v>
          </cell>
        </row>
        <row r="1011">
          <cell r="A1011" t="str">
            <v>IKN400590</v>
          </cell>
          <cell r="B1011">
            <v>590</v>
          </cell>
          <cell r="C1011" t="str">
            <v>Institut Kanser Negara</v>
          </cell>
          <cell r="D1011" t="str">
            <v>KKM/IKN/H/13/3136</v>
          </cell>
          <cell r="E1011" t="str">
            <v>15-651</v>
          </cell>
          <cell r="F1011" t="str">
            <v>Stirrers</v>
          </cell>
          <cell r="G1011" t="str">
            <v>NM</v>
          </cell>
          <cell r="H1011" t="str">
            <v>NUCLEAR MED (DIAGNOSTIC)</v>
          </cell>
          <cell r="I1011" t="str">
            <v>03NM154</v>
          </cell>
          <cell r="J1011" t="str">
            <v>RIA LAB</v>
          </cell>
          <cell r="K1011" t="str">
            <v>BMED</v>
          </cell>
          <cell r="L1011" t="str">
            <v>Normal</v>
          </cell>
          <cell r="M1011" t="str">
            <v>UK</v>
          </cell>
          <cell r="N1011" t="str">
            <v>Stuart</v>
          </cell>
          <cell r="O1011" t="str">
            <v>Stuart UC152</v>
          </cell>
          <cell r="P1011" t="str">
            <v>R630000566</v>
          </cell>
          <cell r="Q1011" t="str">
            <v>Not Applicable</v>
          </cell>
          <cell r="R1011" t="str">
            <v>Stuart Scientific Co Ltd</v>
          </cell>
          <cell r="S1011" t="str">
            <v>Bumi Sains Sdn. Bhd.</v>
          </cell>
          <cell r="T1011" t="str">
            <v>Functioning</v>
          </cell>
          <cell r="U1011" t="str">
            <v>Asset</v>
          </cell>
          <cell r="V1011">
            <v>2170</v>
          </cell>
          <cell r="W1011" t="str">
            <v>KEW</v>
          </cell>
          <cell r="X1011" t="str">
            <v>01/09/2010</v>
          </cell>
          <cell r="Y1011" t="str">
            <v>KEW</v>
          </cell>
          <cell r="Z1011" t="str">
            <v>16/08/2013</v>
          </cell>
          <cell r="AA1011" t="str">
            <v>15/08/2015</v>
          </cell>
          <cell r="AB1011" t="str">
            <v>No</v>
          </cell>
          <cell r="AC1011" t="str">
            <v>31/08/2013</v>
          </cell>
          <cell r="AD1011" t="str">
            <v>Good</v>
          </cell>
          <cell r="AE1011" t="str">
            <v>V1 - Existing / No Claim</v>
          </cell>
          <cell r="AF1011">
            <v>42235</v>
          </cell>
          <cell r="AG1011">
            <v>9.17</v>
          </cell>
          <cell r="AH1011" t="str">
            <v>PPM</v>
          </cell>
          <cell r="AI1011" t="str">
            <v>Strands</v>
          </cell>
          <cell r="AJ1011" t="str">
            <v>Strands PW</v>
          </cell>
        </row>
        <row r="1012">
          <cell r="A1012" t="str">
            <v>IKN400591</v>
          </cell>
          <cell r="B1012">
            <v>591</v>
          </cell>
          <cell r="C1012" t="str">
            <v>Institut Kanser Negara</v>
          </cell>
          <cell r="D1012" t="str">
            <v>KKM/IKN/H/13/3149</v>
          </cell>
          <cell r="E1012" t="str">
            <v>16-772</v>
          </cell>
          <cell r="F1012" t="str">
            <v>Baths, Water, Shaker</v>
          </cell>
          <cell r="G1012" t="str">
            <v>NM</v>
          </cell>
          <cell r="H1012" t="str">
            <v>NUCLEAR MED (DIAGNOSTIC)</v>
          </cell>
          <cell r="I1012" t="str">
            <v>03NM154</v>
          </cell>
          <cell r="J1012" t="str">
            <v>RIA LAB</v>
          </cell>
          <cell r="K1012" t="str">
            <v>BMED</v>
          </cell>
          <cell r="L1012" t="str">
            <v>Normal</v>
          </cell>
          <cell r="M1012" t="str">
            <v>UK</v>
          </cell>
          <cell r="N1012" t="str">
            <v>Grant</v>
          </cell>
          <cell r="O1012" t="str">
            <v>Grant OLS-200</v>
          </cell>
          <cell r="P1012" t="str">
            <v>8Q1245001</v>
          </cell>
          <cell r="Q1012" t="str">
            <v>Not Applicable</v>
          </cell>
          <cell r="R1012" t="str">
            <v>Grant Instruments Ltd</v>
          </cell>
          <cell r="S1012" t="str">
            <v>Bumi Sains Sdn. Bhd.</v>
          </cell>
          <cell r="T1012" t="str">
            <v>Functioning</v>
          </cell>
          <cell r="U1012" t="str">
            <v>Asset</v>
          </cell>
          <cell r="V1012">
            <v>5900</v>
          </cell>
          <cell r="W1012" t="str">
            <v>KEW</v>
          </cell>
          <cell r="X1012" t="str">
            <v>01/09/2010</v>
          </cell>
          <cell r="Y1012" t="str">
            <v>KEW</v>
          </cell>
          <cell r="Z1012" t="str">
            <v>16/08/2013</v>
          </cell>
          <cell r="AA1012" t="str">
            <v>15/08/2015</v>
          </cell>
          <cell r="AB1012" t="str">
            <v>No</v>
          </cell>
          <cell r="AC1012" t="str">
            <v>31/08/2013</v>
          </cell>
          <cell r="AD1012" t="str">
            <v>Good</v>
          </cell>
          <cell r="AE1012" t="str">
            <v>V1 - Existing / No Claim</v>
          </cell>
          <cell r="AF1012">
            <v>42235</v>
          </cell>
          <cell r="AG1012">
            <v>9.17</v>
          </cell>
          <cell r="AH1012" t="str">
            <v>PPM</v>
          </cell>
          <cell r="AI1012" t="str">
            <v>Strands</v>
          </cell>
          <cell r="AJ1012" t="str">
            <v>Strands PW</v>
          </cell>
        </row>
        <row r="1013">
          <cell r="A1013" t="str">
            <v>IKN400592</v>
          </cell>
          <cell r="B1013">
            <v>592</v>
          </cell>
          <cell r="C1013" t="str">
            <v>Institut Kanser Negara</v>
          </cell>
          <cell r="D1013" t="str">
            <v>N/A</v>
          </cell>
          <cell r="E1013" t="str">
            <v>12-660</v>
          </cell>
          <cell r="F1013" t="str">
            <v>Radiation Monitors</v>
          </cell>
          <cell r="G1013" t="str">
            <v>NM</v>
          </cell>
          <cell r="H1013" t="str">
            <v>NUCLEAR MED (DIAGNOSTIC)</v>
          </cell>
          <cell r="I1013" t="str">
            <v>03NM166</v>
          </cell>
          <cell r="J1013" t="str">
            <v>REPORTING</v>
          </cell>
          <cell r="K1013" t="str">
            <v>BMED</v>
          </cell>
          <cell r="L1013" t="str">
            <v>Normal</v>
          </cell>
          <cell r="M1013" t="str">
            <v>USA</v>
          </cell>
          <cell r="N1013" t="str">
            <v>Ludlum</v>
          </cell>
          <cell r="O1013" t="str">
            <v>Ludlum 375P</v>
          </cell>
          <cell r="P1013" t="str">
            <v>297069</v>
          </cell>
          <cell r="Q1013" t="str">
            <v>Not Applicable</v>
          </cell>
          <cell r="R1013" t="str">
            <v>Ludlum Measurements Inc</v>
          </cell>
          <cell r="S1013" t="str">
            <v>Not Available</v>
          </cell>
          <cell r="T1013" t="str">
            <v>Functioning</v>
          </cell>
          <cell r="U1013" t="str">
            <v>Asset</v>
          </cell>
          <cell r="V1013">
            <v>25000</v>
          </cell>
          <cell r="W1013" t="str">
            <v>Estimate</v>
          </cell>
          <cell r="X1013" t="str">
            <v>01/09/2010</v>
          </cell>
          <cell r="Y1013" t="str">
            <v>KEW</v>
          </cell>
          <cell r="Z1013" t="str">
            <v>16/08/2013</v>
          </cell>
          <cell r="AA1013" t="str">
            <v>15/08/2015</v>
          </cell>
          <cell r="AB1013" t="str">
            <v>No</v>
          </cell>
          <cell r="AC1013" t="str">
            <v>31/08/2013</v>
          </cell>
          <cell r="AD1013" t="str">
            <v>Good</v>
          </cell>
          <cell r="AE1013" t="str">
            <v>V1 - Existing / No Claim</v>
          </cell>
          <cell r="AF1013">
            <v>42601</v>
          </cell>
          <cell r="AG1013">
            <v>9.17</v>
          </cell>
          <cell r="AH1013" t="str">
            <v>PPM</v>
          </cell>
          <cell r="AI1013" t="str">
            <v>Not in contract</v>
          </cell>
          <cell r="AJ1013" t="str">
            <v>CA 26/8/2024</v>
          </cell>
        </row>
        <row r="1014">
          <cell r="A1014" t="str">
            <v>IKN400593</v>
          </cell>
          <cell r="B1014">
            <v>593</v>
          </cell>
          <cell r="C1014" t="str">
            <v>Institut Kanser Negara</v>
          </cell>
          <cell r="D1014" t="str">
            <v>KKM/IKN/H/13/78</v>
          </cell>
          <cell r="E1014" t="str">
            <v>12-282</v>
          </cell>
          <cell r="F1014" t="str">
            <v>Lights, Surgical</v>
          </cell>
          <cell r="G1014" t="str">
            <v>DO</v>
          </cell>
          <cell r="H1014" t="str">
            <v>DAY ONCOLOGY UNIT</v>
          </cell>
          <cell r="I1014" t="str">
            <v>04DO105</v>
          </cell>
          <cell r="J1014" t="str">
            <v>C/E</v>
          </cell>
          <cell r="K1014" t="str">
            <v>BMED</v>
          </cell>
          <cell r="L1014" t="str">
            <v>Critical</v>
          </cell>
          <cell r="M1014" t="str">
            <v>USA</v>
          </cell>
          <cell r="N1014" t="str">
            <v>Welch Allyn</v>
          </cell>
          <cell r="O1014" t="str">
            <v>Welch Allyn GS600</v>
          </cell>
          <cell r="P1014" t="str">
            <v>GS-600-31</v>
          </cell>
          <cell r="Q1014" t="str">
            <v>Not Applicable</v>
          </cell>
          <cell r="R1014" t="str">
            <v>Welch Allyn Inc</v>
          </cell>
          <cell r="S1014" t="str">
            <v>Welch Allyn Malaysia Sdn Bhd</v>
          </cell>
          <cell r="T1014" t="str">
            <v>Functioning</v>
          </cell>
          <cell r="U1014" t="str">
            <v>Asset</v>
          </cell>
          <cell r="V1014">
            <v>5050</v>
          </cell>
          <cell r="W1014" t="str">
            <v>KEW</v>
          </cell>
          <cell r="X1014" t="str">
            <v>01/09/2010</v>
          </cell>
          <cell r="Y1014" t="str">
            <v>KEW</v>
          </cell>
          <cell r="Z1014" t="str">
            <v>16/08/2013</v>
          </cell>
          <cell r="AA1014" t="str">
            <v>15/08/2015</v>
          </cell>
          <cell r="AB1014" t="str">
            <v>No</v>
          </cell>
          <cell r="AC1014" t="str">
            <v>31/08/2013</v>
          </cell>
          <cell r="AD1014" t="str">
            <v>Good</v>
          </cell>
          <cell r="AE1014" t="str">
            <v>V1 - Existing / No Claim</v>
          </cell>
          <cell r="AF1014">
            <v>42793</v>
          </cell>
          <cell r="AG1014">
            <v>9.17</v>
          </cell>
          <cell r="AH1014" t="str">
            <v>PPM</v>
          </cell>
          <cell r="AI1014" t="str">
            <v>Strands</v>
          </cell>
          <cell r="AJ1014" t="str">
            <v>Strands PW</v>
          </cell>
        </row>
        <row r="1015">
          <cell r="A1015" t="str">
            <v>IKN400594</v>
          </cell>
          <cell r="B1015">
            <v>594</v>
          </cell>
          <cell r="C1015" t="str">
            <v>Institut Kanser Negara</v>
          </cell>
          <cell r="D1015" t="str">
            <v>KKM/IKN/H/13/1374</v>
          </cell>
          <cell r="E1015" t="str">
            <v>10-447</v>
          </cell>
          <cell r="F1015" t="str">
            <v>Warming Units, Blood/Solution</v>
          </cell>
          <cell r="G1015" t="str">
            <v>DO</v>
          </cell>
          <cell r="H1015" t="str">
            <v>DAY ONCOLOGY UNIT</v>
          </cell>
          <cell r="I1015" t="str">
            <v>04DO111</v>
          </cell>
          <cell r="J1015" t="str">
            <v>EQUIP. ROOM</v>
          </cell>
          <cell r="K1015" t="str">
            <v>BMED</v>
          </cell>
          <cell r="L1015" t="str">
            <v>Normal</v>
          </cell>
          <cell r="M1015" t="str">
            <v>Japan</v>
          </cell>
          <cell r="N1015" t="str">
            <v>Animec</v>
          </cell>
          <cell r="O1015" t="str">
            <v>Animec AM-301</v>
          </cell>
          <cell r="P1015" t="str">
            <v>2012D0056</v>
          </cell>
          <cell r="Q1015" t="str">
            <v>Not Applicable</v>
          </cell>
          <cell r="R1015" t="str">
            <v>Elltec Co Ltd</v>
          </cell>
          <cell r="S1015" t="str">
            <v>IDS Services (Malaysia) Sdn Bhd</v>
          </cell>
          <cell r="T1015" t="str">
            <v>Functioning</v>
          </cell>
          <cell r="U1015" t="str">
            <v>Asset</v>
          </cell>
          <cell r="V1015">
            <v>4990</v>
          </cell>
          <cell r="W1015" t="str">
            <v>KEW</v>
          </cell>
          <cell r="X1015" t="str">
            <v>01/09/2010</v>
          </cell>
          <cell r="Y1015" t="str">
            <v>KEW</v>
          </cell>
          <cell r="Z1015" t="str">
            <v>16/08/2013</v>
          </cell>
          <cell r="AA1015" t="str">
            <v>15/08/2015</v>
          </cell>
          <cell r="AB1015" t="str">
            <v>No</v>
          </cell>
          <cell r="AC1015" t="str">
            <v>31/08/2013</v>
          </cell>
          <cell r="AD1015" t="str">
            <v>Good</v>
          </cell>
          <cell r="AE1015" t="str">
            <v>V1 - Existing / No Claim</v>
          </cell>
          <cell r="AF1015">
            <v>42793</v>
          </cell>
          <cell r="AG1015">
            <v>9.17</v>
          </cell>
          <cell r="AH1015" t="str">
            <v>PPM</v>
          </cell>
          <cell r="AI1015" t="str">
            <v>Strands</v>
          </cell>
          <cell r="AJ1015" t="str">
            <v>Strands PW</v>
          </cell>
        </row>
        <row r="1016">
          <cell r="A1016" t="str">
            <v>IKN400595</v>
          </cell>
          <cell r="B1016">
            <v>595</v>
          </cell>
          <cell r="C1016" t="str">
            <v>Institut Kanser Negara</v>
          </cell>
          <cell r="D1016" t="str">
            <v>KKM/IKN/H/13/1372</v>
          </cell>
          <cell r="E1016" t="str">
            <v>10-447</v>
          </cell>
          <cell r="F1016" t="str">
            <v>Warming Units, Blood/Solution</v>
          </cell>
          <cell r="G1016" t="str">
            <v>DO</v>
          </cell>
          <cell r="H1016" t="str">
            <v>DAY ONCOLOGY UNIT</v>
          </cell>
          <cell r="I1016" t="str">
            <v>04DO111</v>
          </cell>
          <cell r="J1016" t="str">
            <v>EQUIP. ROOM</v>
          </cell>
          <cell r="K1016" t="str">
            <v>BMED</v>
          </cell>
          <cell r="L1016" t="str">
            <v>Normal</v>
          </cell>
          <cell r="M1016" t="str">
            <v>Japan</v>
          </cell>
          <cell r="N1016" t="str">
            <v>Animec</v>
          </cell>
          <cell r="O1016" t="str">
            <v>Animec AM-301</v>
          </cell>
          <cell r="P1016" t="str">
            <v>2013D0243</v>
          </cell>
          <cell r="Q1016" t="str">
            <v>Not Applicable</v>
          </cell>
          <cell r="R1016" t="str">
            <v>Elltec Co Ltd</v>
          </cell>
          <cell r="S1016" t="str">
            <v>IDS Services (Malaysia) Sdn Bhd</v>
          </cell>
          <cell r="T1016" t="str">
            <v>Functioning</v>
          </cell>
          <cell r="U1016" t="str">
            <v>Asset</v>
          </cell>
          <cell r="V1016">
            <v>4990</v>
          </cell>
          <cell r="W1016" t="str">
            <v>KEW</v>
          </cell>
          <cell r="X1016" t="str">
            <v>01/09/2010</v>
          </cell>
          <cell r="Y1016" t="str">
            <v>KEW</v>
          </cell>
          <cell r="Z1016" t="str">
            <v>16/08/2013</v>
          </cell>
          <cell r="AA1016" t="str">
            <v>15/08/2015</v>
          </cell>
          <cell r="AB1016" t="str">
            <v>No</v>
          </cell>
          <cell r="AC1016" t="str">
            <v>31/08/2013</v>
          </cell>
          <cell r="AD1016" t="str">
            <v>Good</v>
          </cell>
          <cell r="AE1016" t="str">
            <v>V1 - Existing / No Claim</v>
          </cell>
          <cell r="AF1016">
            <v>42793</v>
          </cell>
          <cell r="AG1016">
            <v>9.17</v>
          </cell>
          <cell r="AH1016" t="str">
            <v>PPM</v>
          </cell>
          <cell r="AI1016" t="str">
            <v>Strands</v>
          </cell>
          <cell r="AJ1016" t="str">
            <v>Strands PW</v>
          </cell>
        </row>
        <row r="1017">
          <cell r="A1017" t="str">
            <v>IKN400596</v>
          </cell>
          <cell r="B1017">
            <v>596</v>
          </cell>
          <cell r="C1017" t="str">
            <v>Institut Kanser Negara</v>
          </cell>
          <cell r="D1017" t="str">
            <v>KKM/IKN/H/13/1376</v>
          </cell>
          <cell r="E1017" t="str">
            <v>10-447</v>
          </cell>
          <cell r="F1017" t="str">
            <v>Warming Units, Blood/Solution</v>
          </cell>
          <cell r="G1017" t="str">
            <v>DO</v>
          </cell>
          <cell r="H1017" t="str">
            <v>DAY ONCOLOGY UNIT</v>
          </cell>
          <cell r="I1017" t="str">
            <v>04DO111</v>
          </cell>
          <cell r="J1017" t="str">
            <v>EQUIP. ROOM</v>
          </cell>
          <cell r="K1017" t="str">
            <v>BMED</v>
          </cell>
          <cell r="L1017" t="str">
            <v>Normal</v>
          </cell>
          <cell r="M1017" t="str">
            <v>Japan</v>
          </cell>
          <cell r="N1017" t="str">
            <v>Animec</v>
          </cell>
          <cell r="O1017" t="str">
            <v>Animec AM-301</v>
          </cell>
          <cell r="P1017" t="str">
            <v>2012D0055</v>
          </cell>
          <cell r="Q1017" t="str">
            <v>Not Applicable</v>
          </cell>
          <cell r="R1017" t="str">
            <v>Elltec Co Ltd</v>
          </cell>
          <cell r="S1017" t="str">
            <v>IDS Services (Malaysia) Sdn Bhd</v>
          </cell>
          <cell r="T1017" t="str">
            <v>Functioning</v>
          </cell>
          <cell r="U1017" t="str">
            <v>Asset</v>
          </cell>
          <cell r="V1017">
            <v>4990</v>
          </cell>
          <cell r="W1017" t="str">
            <v>KEW</v>
          </cell>
          <cell r="X1017" t="str">
            <v>01/09/2010</v>
          </cell>
          <cell r="Y1017" t="str">
            <v>KEW</v>
          </cell>
          <cell r="Z1017" t="str">
            <v>16/08/2013</v>
          </cell>
          <cell r="AA1017" t="str">
            <v>15/08/2015</v>
          </cell>
          <cell r="AB1017" t="str">
            <v>No</v>
          </cell>
          <cell r="AC1017" t="str">
            <v>31/08/2013</v>
          </cell>
          <cell r="AD1017" t="str">
            <v>Good</v>
          </cell>
          <cell r="AE1017" t="str">
            <v>V1 - Existing / No Claim</v>
          </cell>
          <cell r="AF1017">
            <v>42793</v>
          </cell>
          <cell r="AG1017">
            <v>9.17</v>
          </cell>
          <cell r="AH1017" t="str">
            <v>PPM</v>
          </cell>
          <cell r="AI1017" t="str">
            <v>Strands</v>
          </cell>
          <cell r="AJ1017" t="str">
            <v>Strands PW</v>
          </cell>
        </row>
        <row r="1018">
          <cell r="A1018" t="str">
            <v>IKN400598</v>
          </cell>
          <cell r="B1018">
            <v>598</v>
          </cell>
          <cell r="C1018" t="str">
            <v>Institut Kanser Negara</v>
          </cell>
          <cell r="D1018" t="str">
            <v>KKM/IKN/H/13/79</v>
          </cell>
          <cell r="E1018" t="str">
            <v>12-282</v>
          </cell>
          <cell r="F1018" t="str">
            <v>Lights, Surgical</v>
          </cell>
          <cell r="G1018" t="str">
            <v>DO</v>
          </cell>
          <cell r="H1018" t="str">
            <v>DAY ONCOLOGY UNIT</v>
          </cell>
          <cell r="I1018" t="str">
            <v>04DO111</v>
          </cell>
          <cell r="J1018" t="str">
            <v>EQUIP. ROOM</v>
          </cell>
          <cell r="K1018" t="str">
            <v>BMED</v>
          </cell>
          <cell r="L1018" t="str">
            <v>Critical</v>
          </cell>
          <cell r="M1018" t="str">
            <v>USA</v>
          </cell>
          <cell r="N1018" t="str">
            <v>Welch Allyn</v>
          </cell>
          <cell r="O1018" t="str">
            <v>Welch Allyn GS600</v>
          </cell>
          <cell r="P1018" t="str">
            <v>GS-600-32</v>
          </cell>
          <cell r="Q1018" t="str">
            <v>Not Applicable</v>
          </cell>
          <cell r="R1018" t="str">
            <v>Welch Allyn Inc</v>
          </cell>
          <cell r="S1018" t="str">
            <v>Welch Allyn Malaysia Sdn Bhd</v>
          </cell>
          <cell r="T1018" t="str">
            <v>Functioning</v>
          </cell>
          <cell r="U1018" t="str">
            <v>Asset</v>
          </cell>
          <cell r="V1018">
            <v>5050</v>
          </cell>
          <cell r="W1018" t="str">
            <v>KEW</v>
          </cell>
          <cell r="X1018" t="str">
            <v>01/09/2010</v>
          </cell>
          <cell r="Y1018" t="str">
            <v>KEW</v>
          </cell>
          <cell r="Z1018" t="str">
            <v>16/08/2013</v>
          </cell>
          <cell r="AA1018" t="str">
            <v>15/08/2015</v>
          </cell>
          <cell r="AB1018" t="str">
            <v>No</v>
          </cell>
          <cell r="AC1018" t="str">
            <v>31/08/2013</v>
          </cell>
          <cell r="AD1018" t="str">
            <v>Good</v>
          </cell>
          <cell r="AE1018" t="str">
            <v>V1 - Existing / No Claim</v>
          </cell>
          <cell r="AF1018">
            <v>42793</v>
          </cell>
          <cell r="AG1018">
            <v>9.17</v>
          </cell>
          <cell r="AH1018" t="str">
            <v>PPM</v>
          </cell>
          <cell r="AI1018" t="str">
            <v>Strands</v>
          </cell>
          <cell r="AJ1018" t="str">
            <v>Strands PW</v>
          </cell>
        </row>
        <row r="1019">
          <cell r="A1019" t="str">
            <v>IKN400599</v>
          </cell>
          <cell r="B1019">
            <v>599</v>
          </cell>
          <cell r="C1019" t="str">
            <v>Institut Kanser Negara</v>
          </cell>
          <cell r="D1019" t="str">
            <v>KKM/IKN/H/13/80</v>
          </cell>
          <cell r="E1019" t="str">
            <v>12-282</v>
          </cell>
          <cell r="F1019" t="str">
            <v>Lights, Surgical</v>
          </cell>
          <cell r="G1019" t="str">
            <v>DO</v>
          </cell>
          <cell r="H1019" t="str">
            <v>DAY ONCOLOGY UNIT</v>
          </cell>
          <cell r="I1019" t="str">
            <v>04DO111</v>
          </cell>
          <cell r="J1019" t="str">
            <v>EQUIP. ROOM</v>
          </cell>
          <cell r="K1019" t="str">
            <v>BMED</v>
          </cell>
          <cell r="L1019" t="str">
            <v>Critical</v>
          </cell>
          <cell r="M1019" t="str">
            <v>USA</v>
          </cell>
          <cell r="N1019" t="str">
            <v>Welch Allyn</v>
          </cell>
          <cell r="O1019" t="str">
            <v>Welch Allyn GS600</v>
          </cell>
          <cell r="P1019" t="str">
            <v>GS-600-49</v>
          </cell>
          <cell r="Q1019" t="str">
            <v>Not Applicable</v>
          </cell>
          <cell r="R1019" t="str">
            <v>Welch Allyn Inc</v>
          </cell>
          <cell r="S1019" t="str">
            <v>Welch Allyn Malaysia Sdn Bhd</v>
          </cell>
          <cell r="T1019" t="str">
            <v>Functioning</v>
          </cell>
          <cell r="U1019" t="str">
            <v>Asset</v>
          </cell>
          <cell r="V1019">
            <v>5050</v>
          </cell>
          <cell r="W1019" t="str">
            <v>KEW</v>
          </cell>
          <cell r="X1019" t="str">
            <v>01/09/2010</v>
          </cell>
          <cell r="Y1019" t="str">
            <v>KEW</v>
          </cell>
          <cell r="Z1019" t="str">
            <v>16/08/2013</v>
          </cell>
          <cell r="AA1019" t="str">
            <v>15/08/2015</v>
          </cell>
          <cell r="AB1019" t="str">
            <v>No</v>
          </cell>
          <cell r="AC1019" t="str">
            <v>31/08/2013</v>
          </cell>
          <cell r="AD1019" t="str">
            <v>Good</v>
          </cell>
          <cell r="AE1019" t="str">
            <v>V1 - Existing / No Claim</v>
          </cell>
          <cell r="AF1019">
            <v>42793</v>
          </cell>
          <cell r="AG1019">
            <v>9.17</v>
          </cell>
          <cell r="AH1019" t="str">
            <v>PPM</v>
          </cell>
          <cell r="AI1019" t="str">
            <v>Strands</v>
          </cell>
          <cell r="AJ1019" t="str">
            <v>Strands PW</v>
          </cell>
        </row>
        <row r="1020">
          <cell r="A1020" t="str">
            <v>IKN400600</v>
          </cell>
          <cell r="B1020">
            <v>600</v>
          </cell>
          <cell r="C1020" t="str">
            <v>Institut Kanser Negara</v>
          </cell>
          <cell r="D1020" t="str">
            <v>KKM/IKN/H/13/1683</v>
          </cell>
          <cell r="E1020" t="str">
            <v>15-045</v>
          </cell>
          <cell r="F1020" t="str">
            <v>Nebulizers, Nonheated</v>
          </cell>
          <cell r="G1020" t="str">
            <v>DO</v>
          </cell>
          <cell r="H1020" t="str">
            <v>DAY ONCOLOGY UNIT</v>
          </cell>
          <cell r="I1020" t="str">
            <v>04DO111</v>
          </cell>
          <cell r="J1020" t="str">
            <v>EQUIP. ROOM</v>
          </cell>
          <cell r="K1020" t="str">
            <v>BMED</v>
          </cell>
          <cell r="L1020" t="str">
            <v>Normal</v>
          </cell>
          <cell r="M1020" t="str">
            <v>Germany</v>
          </cell>
          <cell r="N1020" t="str">
            <v>Pari Boy</v>
          </cell>
          <cell r="O1020" t="str">
            <v>Pari Boy SX 085</v>
          </cell>
          <cell r="P1020" t="str">
            <v>2W12F13726</v>
          </cell>
          <cell r="Q1020" t="str">
            <v>Not Applicable</v>
          </cell>
          <cell r="R1020" t="str">
            <v>Pari GmbH</v>
          </cell>
          <cell r="S1020" t="str">
            <v>Welch Allyn Malaysia Sdn Bhd</v>
          </cell>
          <cell r="T1020" t="str">
            <v>Functioning</v>
          </cell>
          <cell r="U1020" t="str">
            <v>Asset</v>
          </cell>
          <cell r="V1020">
            <v>1140</v>
          </cell>
          <cell r="W1020" t="str">
            <v>KEW</v>
          </cell>
          <cell r="X1020" t="str">
            <v>01/09/2010</v>
          </cell>
          <cell r="Y1020" t="str">
            <v>KEW</v>
          </cell>
          <cell r="Z1020" t="str">
            <v>16/08/2013</v>
          </cell>
          <cell r="AA1020" t="str">
            <v>15/08/2015</v>
          </cell>
          <cell r="AB1020" t="str">
            <v>No</v>
          </cell>
          <cell r="AC1020" t="str">
            <v>31/08/2013</v>
          </cell>
          <cell r="AD1020" t="str">
            <v>Good</v>
          </cell>
          <cell r="AE1020" t="str">
            <v>V1 - Existing / No Claim</v>
          </cell>
          <cell r="AF1020">
            <v>42235</v>
          </cell>
          <cell r="AG1020">
            <v>9.17</v>
          </cell>
          <cell r="AH1020" t="str">
            <v>PPM</v>
          </cell>
          <cell r="AI1020" t="str">
            <v>Strands</v>
          </cell>
          <cell r="AJ1020" t="str">
            <v>Strands PW</v>
          </cell>
        </row>
        <row r="1021">
          <cell r="A1021" t="str">
            <v>IKN400601</v>
          </cell>
          <cell r="B1021">
            <v>601</v>
          </cell>
          <cell r="C1021" t="str">
            <v>Institut Kanser Negara</v>
          </cell>
          <cell r="D1021" t="str">
            <v>KKM/IKN/H/13/2619</v>
          </cell>
          <cell r="E1021" t="str">
            <v>16-173</v>
          </cell>
          <cell r="F1021" t="str">
            <v>Sphygmomanometers, Electronic, Automatic</v>
          </cell>
          <cell r="G1021" t="str">
            <v>DO</v>
          </cell>
          <cell r="H1021" t="str">
            <v>DAY ONCOLOGY UNIT</v>
          </cell>
          <cell r="I1021" t="str">
            <v>04DO111</v>
          </cell>
          <cell r="J1021" t="str">
            <v>EQUIP. ROOM</v>
          </cell>
          <cell r="K1021" t="str">
            <v>BMED</v>
          </cell>
          <cell r="L1021" t="str">
            <v>Normal</v>
          </cell>
          <cell r="M1021" t="str">
            <v>USA</v>
          </cell>
          <cell r="N1021" t="str">
            <v>Connex</v>
          </cell>
          <cell r="O1021" t="str">
            <v>Connex ProBP 3400</v>
          </cell>
          <cell r="P1021" t="str">
            <v>100001430613</v>
          </cell>
          <cell r="Q1021" t="str">
            <v>Not Applicable</v>
          </cell>
          <cell r="R1021" t="str">
            <v>Welch Allyn Inc</v>
          </cell>
          <cell r="S1021" t="str">
            <v>Welch Allyn Malaysia Sdn Bhd</v>
          </cell>
          <cell r="T1021" t="str">
            <v>Functioning</v>
          </cell>
          <cell r="U1021" t="str">
            <v>Asset</v>
          </cell>
          <cell r="V1021">
            <v>4510</v>
          </cell>
          <cell r="W1021" t="str">
            <v>KEW</v>
          </cell>
          <cell r="X1021" t="str">
            <v>01/09/2010</v>
          </cell>
          <cell r="Y1021" t="str">
            <v>KEW</v>
          </cell>
          <cell r="Z1021" t="str">
            <v>16/08/2013</v>
          </cell>
          <cell r="AA1021" t="str">
            <v>15/08/2015</v>
          </cell>
          <cell r="AB1021" t="str">
            <v>No</v>
          </cell>
          <cell r="AC1021" t="str">
            <v>31/08/2013</v>
          </cell>
          <cell r="AD1021" t="str">
            <v>Good</v>
          </cell>
          <cell r="AE1021" t="str">
            <v>V1 - Existing / No Claim</v>
          </cell>
          <cell r="AF1021">
            <v>42235</v>
          </cell>
          <cell r="AG1021">
            <v>9.17</v>
          </cell>
          <cell r="AH1021" t="str">
            <v>PPM</v>
          </cell>
          <cell r="AI1021" t="str">
            <v>Strands</v>
          </cell>
          <cell r="AJ1021" t="str">
            <v>Strands PW</v>
          </cell>
        </row>
        <row r="1022">
          <cell r="A1022" t="str">
            <v>IKN400602</v>
          </cell>
          <cell r="B1022">
            <v>602</v>
          </cell>
          <cell r="C1022" t="str">
            <v>Institut Kanser Negara</v>
          </cell>
          <cell r="D1022" t="str">
            <v>KKM/IKN/H/13/2429</v>
          </cell>
          <cell r="E1022" t="str">
            <v>16-173</v>
          </cell>
          <cell r="F1022" t="str">
            <v>Sphygmomanometers, Electronic, Automatic</v>
          </cell>
          <cell r="G1022" t="str">
            <v>DO</v>
          </cell>
          <cell r="H1022" t="str">
            <v>DAY ONCOLOGY UNIT</v>
          </cell>
          <cell r="I1022" t="str">
            <v>04DO111</v>
          </cell>
          <cell r="J1022" t="str">
            <v>EQUIP. ROOM</v>
          </cell>
          <cell r="K1022" t="str">
            <v>BMED</v>
          </cell>
          <cell r="L1022" t="str">
            <v>Critical</v>
          </cell>
          <cell r="M1022" t="str">
            <v>USA</v>
          </cell>
          <cell r="N1022" t="str">
            <v>Connex</v>
          </cell>
          <cell r="O1022" t="str">
            <v>Connex ProBP 3400</v>
          </cell>
          <cell r="P1022" t="str">
            <v>100001630613</v>
          </cell>
          <cell r="Q1022" t="str">
            <v>Not Applicable</v>
          </cell>
          <cell r="R1022" t="str">
            <v>Welch Allyn Inc</v>
          </cell>
          <cell r="S1022" t="str">
            <v>Welch Allyn Malaysia Sdn Bhd</v>
          </cell>
          <cell r="T1022" t="str">
            <v>Functioning</v>
          </cell>
          <cell r="U1022" t="str">
            <v>Asset</v>
          </cell>
          <cell r="V1022">
            <v>4510</v>
          </cell>
          <cell r="W1022" t="str">
            <v>KEW</v>
          </cell>
          <cell r="X1022" t="str">
            <v>01/09/2010</v>
          </cell>
          <cell r="Y1022" t="str">
            <v>KEW</v>
          </cell>
          <cell r="Z1022" t="str">
            <v>16/08/2013</v>
          </cell>
          <cell r="AA1022" t="str">
            <v>15/08/2015</v>
          </cell>
          <cell r="AB1022" t="str">
            <v>No</v>
          </cell>
          <cell r="AC1022" t="str">
            <v>31/08/2013</v>
          </cell>
          <cell r="AD1022" t="str">
            <v>Good</v>
          </cell>
          <cell r="AE1022" t="str">
            <v>V1 - Existing / No Claim</v>
          </cell>
          <cell r="AF1022">
            <v>42793</v>
          </cell>
          <cell r="AG1022">
            <v>9.17</v>
          </cell>
          <cell r="AH1022" t="str">
            <v>PPM</v>
          </cell>
          <cell r="AI1022" t="str">
            <v>Strands</v>
          </cell>
          <cell r="AJ1022" t="str">
            <v>Strands PW</v>
          </cell>
        </row>
        <row r="1023">
          <cell r="A1023" t="str">
            <v>IKN400603</v>
          </cell>
          <cell r="B1023">
            <v>603</v>
          </cell>
          <cell r="C1023" t="str">
            <v>Institut Kanser Negara</v>
          </cell>
          <cell r="D1023" t="str">
            <v>KKM/IKN/H/13/1388</v>
          </cell>
          <cell r="E1023" t="str">
            <v>13-215</v>
          </cell>
          <cell r="F1023" t="str">
            <v>Infusion Pumps, General-Purpose</v>
          </cell>
          <cell r="G1023" t="str">
            <v>DO</v>
          </cell>
          <cell r="H1023" t="str">
            <v>DAY ONCOLOGY UNIT</v>
          </cell>
          <cell r="I1023" t="str">
            <v>04DO111</v>
          </cell>
          <cell r="J1023" t="str">
            <v>EQUIP. ROOM</v>
          </cell>
          <cell r="K1023" t="str">
            <v>BMED</v>
          </cell>
          <cell r="L1023" t="str">
            <v>Critical</v>
          </cell>
          <cell r="M1023" t="str">
            <v>Germany</v>
          </cell>
          <cell r="N1023" t="str">
            <v>Infusomat</v>
          </cell>
          <cell r="O1023" t="str">
            <v>Infusomat Space</v>
          </cell>
          <cell r="P1023" t="str">
            <v>200187</v>
          </cell>
          <cell r="Q1023" t="str">
            <v>Not Applicable</v>
          </cell>
          <cell r="R1023" t="str">
            <v>B Braun Melsungen AG</v>
          </cell>
          <cell r="S1023" t="str">
            <v>B Braun Medical Supplies Sdn. Bhd.</v>
          </cell>
          <cell r="T1023" t="str">
            <v>Functioning</v>
          </cell>
          <cell r="U1023" t="str">
            <v>Asset</v>
          </cell>
          <cell r="V1023">
            <v>10825</v>
          </cell>
          <cell r="W1023" t="str">
            <v>KEW</v>
          </cell>
          <cell r="X1023" t="str">
            <v>01/09/2010</v>
          </cell>
          <cell r="Y1023" t="str">
            <v>KEW</v>
          </cell>
          <cell r="Z1023" t="str">
            <v>16/08/2013</v>
          </cell>
          <cell r="AA1023" t="str">
            <v>15/08/2015</v>
          </cell>
          <cell r="AB1023" t="str">
            <v>No</v>
          </cell>
          <cell r="AC1023" t="str">
            <v>31/08/2013</v>
          </cell>
          <cell r="AD1023" t="str">
            <v>Good</v>
          </cell>
          <cell r="AE1023" t="str">
            <v>V1 - Existing / No Claim</v>
          </cell>
          <cell r="AF1023">
            <v>42793</v>
          </cell>
          <cell r="AG1023">
            <v>9.17</v>
          </cell>
          <cell r="AH1023" t="str">
            <v>PPM</v>
          </cell>
          <cell r="AI1023" t="str">
            <v>Strands</v>
          </cell>
          <cell r="AJ1023" t="str">
            <v>Strands PW</v>
          </cell>
        </row>
        <row r="1024">
          <cell r="A1024" t="str">
            <v>IKN400604</v>
          </cell>
          <cell r="B1024">
            <v>604</v>
          </cell>
          <cell r="C1024" t="str">
            <v>Institut Kanser Negara</v>
          </cell>
          <cell r="D1024" t="str">
            <v>KKM/IKN/H/13/1391</v>
          </cell>
          <cell r="E1024" t="str">
            <v>13-215</v>
          </cell>
          <cell r="F1024" t="str">
            <v>Infusion Pumps, General-Purpose</v>
          </cell>
          <cell r="G1024" t="str">
            <v>DO</v>
          </cell>
          <cell r="H1024" t="str">
            <v>DAY ONCOLOGY UNIT</v>
          </cell>
          <cell r="I1024" t="str">
            <v>04DO111</v>
          </cell>
          <cell r="J1024" t="str">
            <v>EQUIP. ROOM</v>
          </cell>
          <cell r="K1024" t="str">
            <v>BMED</v>
          </cell>
          <cell r="L1024" t="str">
            <v>Critical</v>
          </cell>
          <cell r="M1024" t="str">
            <v>Germany</v>
          </cell>
          <cell r="N1024" t="str">
            <v>Infusomat</v>
          </cell>
          <cell r="O1024" t="str">
            <v>Infusomat Space</v>
          </cell>
          <cell r="P1024" t="str">
            <v>200127</v>
          </cell>
          <cell r="Q1024" t="str">
            <v>Not Applicable</v>
          </cell>
          <cell r="R1024" t="str">
            <v>B Braun Melsungen AG</v>
          </cell>
          <cell r="S1024" t="str">
            <v>B Braun Medical Supplies Sdn. Bhd.</v>
          </cell>
          <cell r="T1024" t="str">
            <v>Functioning</v>
          </cell>
          <cell r="U1024" t="str">
            <v>Asset</v>
          </cell>
          <cell r="V1024">
            <v>10825</v>
          </cell>
          <cell r="W1024" t="str">
            <v>KEW</v>
          </cell>
          <cell r="X1024" t="str">
            <v>01/09/2010</v>
          </cell>
          <cell r="Y1024" t="str">
            <v>KEW</v>
          </cell>
          <cell r="Z1024" t="str">
            <v>16/08/2013</v>
          </cell>
          <cell r="AA1024" t="str">
            <v>15/08/2015</v>
          </cell>
          <cell r="AB1024" t="str">
            <v>No</v>
          </cell>
          <cell r="AC1024" t="str">
            <v>31/08/2013</v>
          </cell>
          <cell r="AD1024" t="str">
            <v>Good</v>
          </cell>
          <cell r="AE1024" t="str">
            <v>V1 - Existing / No Claim</v>
          </cell>
          <cell r="AF1024">
            <v>42793</v>
          </cell>
          <cell r="AG1024">
            <v>9.17</v>
          </cell>
          <cell r="AH1024" t="str">
            <v>PPM</v>
          </cell>
          <cell r="AI1024" t="str">
            <v>Strands</v>
          </cell>
          <cell r="AJ1024" t="str">
            <v>Strands PW</v>
          </cell>
        </row>
        <row r="1025">
          <cell r="A1025" t="str">
            <v>IKN400605</v>
          </cell>
          <cell r="B1025">
            <v>605</v>
          </cell>
          <cell r="C1025" t="str">
            <v>Institut Kanser Negara</v>
          </cell>
          <cell r="D1025" t="str">
            <v>KKM/IKN/H/13/1392</v>
          </cell>
          <cell r="E1025" t="str">
            <v>13-215</v>
          </cell>
          <cell r="F1025" t="str">
            <v>Infusion Pumps, General-Purpose</v>
          </cell>
          <cell r="G1025" t="str">
            <v>DO</v>
          </cell>
          <cell r="H1025" t="str">
            <v>DAY ONCOLOGY UNIT</v>
          </cell>
          <cell r="I1025" t="str">
            <v>04DO111</v>
          </cell>
          <cell r="J1025" t="str">
            <v>EQUIP. ROOM</v>
          </cell>
          <cell r="K1025" t="str">
            <v>BMED</v>
          </cell>
          <cell r="L1025" t="str">
            <v>Critical</v>
          </cell>
          <cell r="M1025" t="str">
            <v>Germany</v>
          </cell>
          <cell r="N1025" t="str">
            <v>Infusomat</v>
          </cell>
          <cell r="O1025" t="str">
            <v>Infusomat Space</v>
          </cell>
          <cell r="P1025" t="str">
            <v>211747</v>
          </cell>
          <cell r="Q1025" t="str">
            <v>Not Applicable</v>
          </cell>
          <cell r="R1025" t="str">
            <v>B Braun Melsungen AG</v>
          </cell>
          <cell r="S1025" t="str">
            <v>B Braun Medical Supplies Sdn. Bhd.</v>
          </cell>
          <cell r="T1025" t="str">
            <v>Functioning</v>
          </cell>
          <cell r="U1025" t="str">
            <v>Asset</v>
          </cell>
          <cell r="V1025">
            <v>10825</v>
          </cell>
          <cell r="W1025" t="str">
            <v>KEW</v>
          </cell>
          <cell r="X1025" t="str">
            <v>01/09/2010</v>
          </cell>
          <cell r="Y1025" t="str">
            <v>KEW</v>
          </cell>
          <cell r="Z1025" t="str">
            <v>16/08/2013</v>
          </cell>
          <cell r="AA1025" t="str">
            <v>15/08/2015</v>
          </cell>
          <cell r="AB1025" t="str">
            <v>No</v>
          </cell>
          <cell r="AC1025" t="str">
            <v>31/08/2013</v>
          </cell>
          <cell r="AD1025" t="str">
            <v>Good</v>
          </cell>
          <cell r="AE1025" t="str">
            <v>V1 - Existing / No Claim</v>
          </cell>
          <cell r="AF1025">
            <v>42793</v>
          </cell>
          <cell r="AG1025">
            <v>9.17</v>
          </cell>
          <cell r="AH1025" t="str">
            <v>PPM</v>
          </cell>
          <cell r="AI1025" t="str">
            <v>Strands</v>
          </cell>
          <cell r="AJ1025" t="str">
            <v>Strands PW</v>
          </cell>
        </row>
        <row r="1026">
          <cell r="A1026" t="str">
            <v>IKN400606</v>
          </cell>
          <cell r="B1026">
            <v>606</v>
          </cell>
          <cell r="C1026" t="str">
            <v>Institut Kanser Negara</v>
          </cell>
          <cell r="D1026" t="str">
            <v>KKM/IKN/H/13/1393</v>
          </cell>
          <cell r="E1026" t="str">
            <v>13-215</v>
          </cell>
          <cell r="F1026" t="str">
            <v>Infusion Pumps, General-Purpose</v>
          </cell>
          <cell r="G1026" t="str">
            <v>DO</v>
          </cell>
          <cell r="H1026" t="str">
            <v>DAY ONCOLOGY UNIT</v>
          </cell>
          <cell r="I1026" t="str">
            <v>04DO111</v>
          </cell>
          <cell r="J1026" t="str">
            <v>EQUIP. ROOM</v>
          </cell>
          <cell r="K1026" t="str">
            <v>BMED</v>
          </cell>
          <cell r="L1026" t="str">
            <v>Critical</v>
          </cell>
          <cell r="M1026" t="str">
            <v>Germany</v>
          </cell>
          <cell r="N1026" t="str">
            <v>Infusomat</v>
          </cell>
          <cell r="O1026" t="str">
            <v>Infusomat Space</v>
          </cell>
          <cell r="P1026" t="str">
            <v>211745</v>
          </cell>
          <cell r="Q1026" t="str">
            <v>Not Applicable</v>
          </cell>
          <cell r="R1026" t="str">
            <v>B Braun Melsungen AG</v>
          </cell>
          <cell r="S1026" t="str">
            <v>B Braun Medical Supplies Sdn. Bhd.</v>
          </cell>
          <cell r="T1026" t="str">
            <v>Functioning</v>
          </cell>
          <cell r="U1026" t="str">
            <v>Asset</v>
          </cell>
          <cell r="V1026">
            <v>10825</v>
          </cell>
          <cell r="W1026" t="str">
            <v>KEW</v>
          </cell>
          <cell r="X1026" t="str">
            <v>01/09/2010</v>
          </cell>
          <cell r="Y1026" t="str">
            <v>KEW</v>
          </cell>
          <cell r="Z1026" t="str">
            <v>16/08/2013</v>
          </cell>
          <cell r="AA1026" t="str">
            <v>15/08/2015</v>
          </cell>
          <cell r="AB1026" t="str">
            <v>No</v>
          </cell>
          <cell r="AC1026" t="str">
            <v>31/08/2013</v>
          </cell>
          <cell r="AD1026" t="str">
            <v>Good</v>
          </cell>
          <cell r="AE1026" t="str">
            <v>V1 - Existing / No Claim</v>
          </cell>
          <cell r="AF1026">
            <v>42793</v>
          </cell>
          <cell r="AG1026">
            <v>9.17</v>
          </cell>
          <cell r="AH1026" t="str">
            <v>PPM</v>
          </cell>
          <cell r="AI1026" t="str">
            <v>Strands</v>
          </cell>
          <cell r="AJ1026" t="str">
            <v>Strands PW</v>
          </cell>
        </row>
        <row r="1027">
          <cell r="A1027" t="str">
            <v>IKN400607</v>
          </cell>
          <cell r="B1027">
            <v>607</v>
          </cell>
          <cell r="C1027" t="str">
            <v>Institut Kanser Negara</v>
          </cell>
          <cell r="D1027" t="str">
            <v>KKM/IKN/H/13/1394</v>
          </cell>
          <cell r="E1027" t="str">
            <v>13-215</v>
          </cell>
          <cell r="F1027" t="str">
            <v>Infusion Pumps, General-Purpose</v>
          </cell>
          <cell r="G1027" t="str">
            <v>DO</v>
          </cell>
          <cell r="H1027" t="str">
            <v>DAY ONCOLOGY UNIT</v>
          </cell>
          <cell r="I1027" t="str">
            <v>04DO111</v>
          </cell>
          <cell r="J1027" t="str">
            <v>EQUIP. ROOM</v>
          </cell>
          <cell r="K1027" t="str">
            <v>BMED</v>
          </cell>
          <cell r="L1027" t="str">
            <v>Critical</v>
          </cell>
          <cell r="M1027" t="str">
            <v>Germany</v>
          </cell>
          <cell r="N1027" t="str">
            <v>Infusomat</v>
          </cell>
          <cell r="O1027" t="str">
            <v>Infusomat Space</v>
          </cell>
          <cell r="P1027" t="str">
            <v>212215</v>
          </cell>
          <cell r="Q1027" t="str">
            <v>Not Applicable</v>
          </cell>
          <cell r="R1027" t="str">
            <v>B Braun Melsungen AG</v>
          </cell>
          <cell r="S1027" t="str">
            <v>B Braun Medical Supplies Sdn. Bhd.</v>
          </cell>
          <cell r="T1027" t="str">
            <v>Functioning</v>
          </cell>
          <cell r="U1027" t="str">
            <v>Asset</v>
          </cell>
          <cell r="V1027">
            <v>10825</v>
          </cell>
          <cell r="W1027" t="str">
            <v>KEW</v>
          </cell>
          <cell r="X1027" t="str">
            <v>01/09/2010</v>
          </cell>
          <cell r="Y1027" t="str">
            <v>KEW</v>
          </cell>
          <cell r="Z1027" t="str">
            <v>16/08/2013</v>
          </cell>
          <cell r="AA1027" t="str">
            <v>15/08/2015</v>
          </cell>
          <cell r="AB1027" t="str">
            <v>No</v>
          </cell>
          <cell r="AC1027" t="str">
            <v>31/08/2013</v>
          </cell>
          <cell r="AD1027" t="str">
            <v>Good</v>
          </cell>
          <cell r="AE1027" t="str">
            <v>V1 - Existing / No Claim</v>
          </cell>
          <cell r="AF1027">
            <v>42793</v>
          </cell>
          <cell r="AG1027">
            <v>9.17</v>
          </cell>
          <cell r="AH1027" t="str">
            <v>PPM</v>
          </cell>
          <cell r="AI1027" t="str">
            <v>Strands</v>
          </cell>
          <cell r="AJ1027" t="str">
            <v>Strands PW</v>
          </cell>
        </row>
        <row r="1028">
          <cell r="A1028" t="str">
            <v>IKN400608</v>
          </cell>
          <cell r="B1028">
            <v>608</v>
          </cell>
          <cell r="C1028" t="str">
            <v>Institut Kanser Negara</v>
          </cell>
          <cell r="D1028" t="str">
            <v>KKM/IKN/H/14/101</v>
          </cell>
          <cell r="E1028" t="str">
            <v>21-897</v>
          </cell>
          <cell r="F1028" t="str">
            <v>Seal Crimpers, Bottle/Vial/Tube</v>
          </cell>
          <cell r="G1028" t="str">
            <v>LA</v>
          </cell>
          <cell r="H1028" t="str">
            <v>PATHOLOGY</v>
          </cell>
          <cell r="I1028" t="str">
            <v>04LA114</v>
          </cell>
          <cell r="J1028" t="str">
            <v>DARK MICROSCOPY</v>
          </cell>
          <cell r="K1028" t="str">
            <v>BMED</v>
          </cell>
          <cell r="L1028" t="str">
            <v>Normal</v>
          </cell>
          <cell r="M1028" t="str">
            <v>South Korea</v>
          </cell>
          <cell r="N1028" t="str">
            <v>Sure Seal</v>
          </cell>
          <cell r="O1028" t="str">
            <v>Sure Seal SE260</v>
          </cell>
          <cell r="P1028" t="str">
            <v>2620091</v>
          </cell>
          <cell r="Q1028" t="str">
            <v>Not Applicable</v>
          </cell>
          <cell r="R1028" t="str">
            <v>Centron Technologies Corp</v>
          </cell>
          <cell r="S1028" t="str">
            <v>Biomarketing Services(M) Sdn. Bhd</v>
          </cell>
          <cell r="T1028" t="str">
            <v>Functioning</v>
          </cell>
          <cell r="U1028" t="str">
            <v>Asset</v>
          </cell>
          <cell r="V1028">
            <v>7000</v>
          </cell>
          <cell r="W1028" t="str">
            <v>KEW</v>
          </cell>
          <cell r="X1028" t="str">
            <v>25/09/2014</v>
          </cell>
          <cell r="Y1028" t="str">
            <v>KEW</v>
          </cell>
          <cell r="Z1028" t="str">
            <v>08/12/2014</v>
          </cell>
          <cell r="AA1028" t="str">
            <v>07/12/2015</v>
          </cell>
          <cell r="AB1028" t="str">
            <v>No</v>
          </cell>
          <cell r="AC1028" t="str">
            <v>08/12/2014</v>
          </cell>
          <cell r="AD1028" t="str">
            <v>Good</v>
          </cell>
          <cell r="AE1028" t="str">
            <v>V3 - Added Installed Facilities (New)</v>
          </cell>
          <cell r="AF1028">
            <v>42677</v>
          </cell>
          <cell r="AG1028">
            <v>5.17</v>
          </cell>
          <cell r="AH1028" t="str">
            <v>PPM</v>
          </cell>
          <cell r="AI1028" t="str">
            <v>Strands</v>
          </cell>
          <cell r="AJ1028" t="str">
            <v>Strands PW</v>
          </cell>
          <cell r="AK1028" t="str">
            <v>SNF received. 1st batch of V3 asset (December 2020)</v>
          </cell>
        </row>
        <row r="1029">
          <cell r="A1029" t="str">
            <v>IKN400609</v>
          </cell>
          <cell r="B1029">
            <v>609</v>
          </cell>
          <cell r="C1029" t="str">
            <v>Institut Kanser Negara</v>
          </cell>
          <cell r="D1029" t="str">
            <v>KKM/IKN/H/14/99</v>
          </cell>
          <cell r="E1029" t="str">
            <v>18-449</v>
          </cell>
          <cell r="F1029" t="str">
            <v>Balances, Electronic, Analytical</v>
          </cell>
          <cell r="G1029" t="str">
            <v>DO</v>
          </cell>
          <cell r="H1029" t="str">
            <v>DAY ONCOLOGY UNIT</v>
          </cell>
          <cell r="I1029" t="str">
            <v>04DO114</v>
          </cell>
          <cell r="J1029" t="str">
            <v>RESEARCH</v>
          </cell>
          <cell r="K1029" t="str">
            <v>BMED</v>
          </cell>
          <cell r="L1029" t="str">
            <v>Normal</v>
          </cell>
          <cell r="M1029" t="str">
            <v>Japan</v>
          </cell>
          <cell r="N1029" t="str">
            <v>A&amp;D</v>
          </cell>
          <cell r="O1029" t="str">
            <v>A&amp;D HR-250AZ</v>
          </cell>
          <cell r="P1029" t="str">
            <v>6A7702353</v>
          </cell>
          <cell r="Q1029" t="str">
            <v>Not Applicable</v>
          </cell>
          <cell r="R1029" t="str">
            <v>A&amp;D Co Ltd</v>
          </cell>
          <cell r="S1029" t="str">
            <v>Bumi Jiwa Sdn. Bhd.</v>
          </cell>
          <cell r="T1029" t="str">
            <v>Functioning</v>
          </cell>
          <cell r="U1029" t="str">
            <v>Asset</v>
          </cell>
          <cell r="V1029">
            <v>4000</v>
          </cell>
          <cell r="W1029" t="str">
            <v>KEW</v>
          </cell>
          <cell r="X1029" t="str">
            <v>03/10/2014</v>
          </cell>
          <cell r="Y1029" t="str">
            <v>KEW</v>
          </cell>
          <cell r="Z1029" t="str">
            <v>27/11/2014</v>
          </cell>
          <cell r="AA1029" t="str">
            <v>26/11/2015</v>
          </cell>
          <cell r="AB1029" t="str">
            <v>No</v>
          </cell>
          <cell r="AC1029" t="str">
            <v>27/11/2014</v>
          </cell>
          <cell r="AD1029" t="str">
            <v>Good</v>
          </cell>
          <cell r="AE1029" t="str">
            <v>V3 - Added Installed Facilities (New)</v>
          </cell>
          <cell r="AF1029">
            <v>42908</v>
          </cell>
          <cell r="AG1029">
            <v>5.08</v>
          </cell>
          <cell r="AH1029" t="str">
            <v>PPM</v>
          </cell>
          <cell r="AI1029" t="str">
            <v>Strands</v>
          </cell>
          <cell r="AJ1029" t="str">
            <v>Strands PW</v>
          </cell>
          <cell r="AK1029" t="str">
            <v>SNF received. 1st batch of V3 asset (December 2020)</v>
          </cell>
        </row>
        <row r="1030">
          <cell r="A1030" t="str">
            <v>IKN400610</v>
          </cell>
          <cell r="B1030">
            <v>610</v>
          </cell>
          <cell r="C1030" t="str">
            <v>Institut Kanser Negara</v>
          </cell>
          <cell r="D1030" t="str">
            <v>KKM/IKN/H/13/1395</v>
          </cell>
          <cell r="E1030" t="str">
            <v>13-215</v>
          </cell>
          <cell r="F1030" t="str">
            <v>Infusion Pumps, General-Purpose</v>
          </cell>
          <cell r="G1030" t="str">
            <v>DO</v>
          </cell>
          <cell r="H1030" t="str">
            <v>DAY ONCOLOGY UNIT</v>
          </cell>
          <cell r="I1030" t="str">
            <v>04DO118</v>
          </cell>
          <cell r="J1030" t="str">
            <v>TREATMENT BAY 1</v>
          </cell>
          <cell r="K1030" t="str">
            <v>BMED</v>
          </cell>
          <cell r="L1030" t="str">
            <v>Critical</v>
          </cell>
          <cell r="M1030" t="str">
            <v>Germany</v>
          </cell>
          <cell r="N1030" t="str">
            <v>Infusomat</v>
          </cell>
          <cell r="O1030" t="str">
            <v>Infusomat Space</v>
          </cell>
          <cell r="P1030" t="str">
            <v>211746</v>
          </cell>
          <cell r="Q1030" t="str">
            <v>Not Applicable</v>
          </cell>
          <cell r="R1030" t="str">
            <v>B Braun Melsungen AG</v>
          </cell>
          <cell r="S1030" t="str">
            <v>B Braun Medical Supplies Sdn. Bhd.</v>
          </cell>
          <cell r="T1030" t="str">
            <v>Functioning</v>
          </cell>
          <cell r="U1030" t="str">
            <v>Asset</v>
          </cell>
          <cell r="V1030">
            <v>10825</v>
          </cell>
          <cell r="W1030" t="str">
            <v>KEW</v>
          </cell>
          <cell r="X1030" t="str">
            <v>01/09/2010</v>
          </cell>
          <cell r="Y1030" t="str">
            <v>KEW</v>
          </cell>
          <cell r="Z1030" t="str">
            <v>16/08/2013</v>
          </cell>
          <cell r="AA1030" t="str">
            <v>15/08/2015</v>
          </cell>
          <cell r="AB1030" t="str">
            <v>No</v>
          </cell>
          <cell r="AC1030" t="str">
            <v>31/08/2013</v>
          </cell>
          <cell r="AD1030" t="str">
            <v>Good</v>
          </cell>
          <cell r="AE1030" t="str">
            <v>V1 - Existing / No Claim</v>
          </cell>
          <cell r="AF1030">
            <v>42793</v>
          </cell>
          <cell r="AG1030">
            <v>9.17</v>
          </cell>
          <cell r="AH1030" t="str">
            <v>PPM</v>
          </cell>
          <cell r="AI1030" t="str">
            <v>Strands</v>
          </cell>
          <cell r="AJ1030" t="str">
            <v>Strands PW</v>
          </cell>
        </row>
        <row r="1031">
          <cell r="A1031" t="str">
            <v>IKN400611</v>
          </cell>
          <cell r="B1031">
            <v>611</v>
          </cell>
          <cell r="C1031" t="str">
            <v>Institut Kanser Negara</v>
          </cell>
          <cell r="D1031" t="str">
            <v>KKM/IKN/H/13/1396</v>
          </cell>
          <cell r="E1031" t="str">
            <v>13-215</v>
          </cell>
          <cell r="F1031" t="str">
            <v>Infusion Pumps, General-Purpose</v>
          </cell>
          <cell r="G1031" t="str">
            <v>DO</v>
          </cell>
          <cell r="H1031" t="str">
            <v>DAY ONCOLOGY UNIT</v>
          </cell>
          <cell r="I1031" t="str">
            <v>04DO118</v>
          </cell>
          <cell r="J1031" t="str">
            <v>TREATMENT BAY 1</v>
          </cell>
          <cell r="K1031" t="str">
            <v>BMED</v>
          </cell>
          <cell r="L1031" t="str">
            <v>Critical</v>
          </cell>
          <cell r="M1031" t="str">
            <v>Germany</v>
          </cell>
          <cell r="N1031" t="str">
            <v>Infusomat</v>
          </cell>
          <cell r="O1031" t="str">
            <v>Infusomat Space</v>
          </cell>
          <cell r="P1031" t="str">
            <v>200175</v>
          </cell>
          <cell r="Q1031" t="str">
            <v>Not Applicable</v>
          </cell>
          <cell r="R1031" t="str">
            <v>B Braun Melsungen AG</v>
          </cell>
          <cell r="S1031" t="str">
            <v>B Braun Medical Supplies Sdn. Bhd.</v>
          </cell>
          <cell r="T1031" t="str">
            <v>Functioning</v>
          </cell>
          <cell r="U1031" t="str">
            <v>Asset</v>
          </cell>
          <cell r="V1031">
            <v>10825</v>
          </cell>
          <cell r="W1031" t="str">
            <v>KEW</v>
          </cell>
          <cell r="X1031" t="str">
            <v>01/09/2010</v>
          </cell>
          <cell r="Y1031" t="str">
            <v>KEW</v>
          </cell>
          <cell r="Z1031" t="str">
            <v>16/08/2013</v>
          </cell>
          <cell r="AA1031" t="str">
            <v>15/08/2015</v>
          </cell>
          <cell r="AB1031" t="str">
            <v>No</v>
          </cell>
          <cell r="AC1031" t="str">
            <v>31/08/2013</v>
          </cell>
          <cell r="AD1031" t="str">
            <v>Good</v>
          </cell>
          <cell r="AE1031" t="str">
            <v>V1 - Existing / No Claim</v>
          </cell>
          <cell r="AF1031">
            <v>42793</v>
          </cell>
          <cell r="AG1031">
            <v>9.17</v>
          </cell>
          <cell r="AH1031" t="str">
            <v>PPM</v>
          </cell>
          <cell r="AI1031" t="str">
            <v>Strands</v>
          </cell>
          <cell r="AJ1031" t="str">
            <v>Strands PW</v>
          </cell>
        </row>
        <row r="1032">
          <cell r="A1032" t="str">
            <v>IKN400612</v>
          </cell>
          <cell r="B1032">
            <v>612</v>
          </cell>
          <cell r="C1032" t="str">
            <v>Institut Kanser Negara</v>
          </cell>
          <cell r="D1032" t="str">
            <v>KKM/IKN/H/13/1397</v>
          </cell>
          <cell r="E1032" t="str">
            <v>13-215</v>
          </cell>
          <cell r="F1032" t="str">
            <v>Infusion Pumps, General-Purpose</v>
          </cell>
          <cell r="G1032" t="str">
            <v>DO</v>
          </cell>
          <cell r="H1032" t="str">
            <v>DAY ONCOLOGY UNIT</v>
          </cell>
          <cell r="I1032" t="str">
            <v>04DO118</v>
          </cell>
          <cell r="J1032" t="str">
            <v>TREATMENT BAY 1</v>
          </cell>
          <cell r="K1032" t="str">
            <v>BMED</v>
          </cell>
          <cell r="L1032" t="str">
            <v>Critical</v>
          </cell>
          <cell r="M1032" t="str">
            <v>Germany</v>
          </cell>
          <cell r="N1032" t="str">
            <v>Infusomat</v>
          </cell>
          <cell r="O1032" t="str">
            <v>Infusomat Space</v>
          </cell>
          <cell r="P1032" t="str">
            <v>212055</v>
          </cell>
          <cell r="Q1032" t="str">
            <v>Not Applicable</v>
          </cell>
          <cell r="R1032" t="str">
            <v>B Braun Melsungen AG</v>
          </cell>
          <cell r="S1032" t="str">
            <v>B Braun Medical Supplies Sdn. Bhd.</v>
          </cell>
          <cell r="T1032" t="str">
            <v>Functioning</v>
          </cell>
          <cell r="U1032" t="str">
            <v>Asset</v>
          </cell>
          <cell r="V1032">
            <v>10825</v>
          </cell>
          <cell r="W1032" t="str">
            <v>KEW</v>
          </cell>
          <cell r="X1032" t="str">
            <v>01/09/2010</v>
          </cell>
          <cell r="Y1032" t="str">
            <v>KEW</v>
          </cell>
          <cell r="Z1032" t="str">
            <v>16/08/2013</v>
          </cell>
          <cell r="AA1032" t="str">
            <v>15/08/2015</v>
          </cell>
          <cell r="AB1032" t="str">
            <v>No</v>
          </cell>
          <cell r="AC1032" t="str">
            <v>31/08/2013</v>
          </cell>
          <cell r="AD1032" t="str">
            <v>Good</v>
          </cell>
          <cell r="AE1032" t="str">
            <v>V1 - Existing / No Claim</v>
          </cell>
          <cell r="AF1032">
            <v>42793</v>
          </cell>
          <cell r="AG1032">
            <v>9.17</v>
          </cell>
          <cell r="AH1032" t="str">
            <v>PPM</v>
          </cell>
          <cell r="AI1032" t="str">
            <v>Strands</v>
          </cell>
          <cell r="AJ1032" t="str">
            <v>Strands PW</v>
          </cell>
        </row>
        <row r="1033">
          <cell r="A1033" t="str">
            <v>IKN400613</v>
          </cell>
          <cell r="B1033">
            <v>613</v>
          </cell>
          <cell r="C1033" t="str">
            <v>Institut Kanser Negara</v>
          </cell>
          <cell r="D1033" t="str">
            <v>KKM/IKN/H/13/1398</v>
          </cell>
          <cell r="E1033" t="str">
            <v>13-215</v>
          </cell>
          <cell r="F1033" t="str">
            <v>Infusion Pumps, General-Purpose</v>
          </cell>
          <cell r="G1033" t="str">
            <v>DO</v>
          </cell>
          <cell r="H1033" t="str">
            <v>DAY ONCOLOGY UNIT</v>
          </cell>
          <cell r="I1033" t="str">
            <v>04DO118</v>
          </cell>
          <cell r="J1033" t="str">
            <v>TREATMENT BAY 1</v>
          </cell>
          <cell r="K1033" t="str">
            <v>BMED</v>
          </cell>
          <cell r="L1033" t="str">
            <v>Critical</v>
          </cell>
          <cell r="M1033" t="str">
            <v>Germany</v>
          </cell>
          <cell r="N1033" t="str">
            <v>Infusomat</v>
          </cell>
          <cell r="O1033" t="str">
            <v>Infusomat Space</v>
          </cell>
          <cell r="P1033" t="str">
            <v>200163</v>
          </cell>
          <cell r="Q1033" t="str">
            <v>Not Applicable</v>
          </cell>
          <cell r="R1033" t="str">
            <v>B Braun Melsungen AG</v>
          </cell>
          <cell r="S1033" t="str">
            <v>B Braun Medical Supplies Sdn. Bhd.</v>
          </cell>
          <cell r="T1033" t="str">
            <v>Functioning</v>
          </cell>
          <cell r="U1033" t="str">
            <v>Asset</v>
          </cell>
          <cell r="V1033">
            <v>10825</v>
          </cell>
          <cell r="W1033" t="str">
            <v>KEW</v>
          </cell>
          <cell r="X1033" t="str">
            <v>01/09/2010</v>
          </cell>
          <cell r="Y1033" t="str">
            <v>KEW</v>
          </cell>
          <cell r="Z1033" t="str">
            <v>16/08/2013</v>
          </cell>
          <cell r="AA1033" t="str">
            <v>15/08/2015</v>
          </cell>
          <cell r="AB1033" t="str">
            <v>No</v>
          </cell>
          <cell r="AC1033" t="str">
            <v>31/08/2013</v>
          </cell>
          <cell r="AD1033" t="str">
            <v>Good</v>
          </cell>
          <cell r="AE1033" t="str">
            <v>V1 - Existing / No Claim</v>
          </cell>
          <cell r="AF1033">
            <v>42793</v>
          </cell>
          <cell r="AG1033">
            <v>9.17</v>
          </cell>
          <cell r="AH1033" t="str">
            <v>PPM</v>
          </cell>
          <cell r="AI1033" t="str">
            <v>Strands</v>
          </cell>
          <cell r="AJ1033" t="str">
            <v>Strands PW</v>
          </cell>
        </row>
        <row r="1034">
          <cell r="A1034" t="str">
            <v>IKN400614</v>
          </cell>
          <cell r="B1034">
            <v>614</v>
          </cell>
          <cell r="C1034" t="str">
            <v>Institut Kanser Negara</v>
          </cell>
          <cell r="D1034" t="str">
            <v>KKM/IKN/H/13/1399</v>
          </cell>
          <cell r="E1034" t="str">
            <v>13-215</v>
          </cell>
          <cell r="F1034" t="str">
            <v>Infusion Pumps, General-Purpose</v>
          </cell>
          <cell r="G1034" t="str">
            <v>DO</v>
          </cell>
          <cell r="H1034" t="str">
            <v>DAY ONCOLOGY UNIT</v>
          </cell>
          <cell r="I1034" t="str">
            <v>04DO118</v>
          </cell>
          <cell r="J1034" t="str">
            <v>TREATMENT BAY 1</v>
          </cell>
          <cell r="K1034" t="str">
            <v>BMED</v>
          </cell>
          <cell r="L1034" t="str">
            <v>Critical</v>
          </cell>
          <cell r="M1034" t="str">
            <v>Germany</v>
          </cell>
          <cell r="N1034" t="str">
            <v>Infusomat</v>
          </cell>
          <cell r="O1034" t="str">
            <v>Infusomat Space</v>
          </cell>
          <cell r="P1034" t="str">
            <v>200155</v>
          </cell>
          <cell r="Q1034" t="str">
            <v>Not Applicable</v>
          </cell>
          <cell r="R1034" t="str">
            <v>B Braun Melsungen AG</v>
          </cell>
          <cell r="S1034" t="str">
            <v>B Braun Medical Supplies Sdn. Bhd.</v>
          </cell>
          <cell r="T1034" t="str">
            <v>Functioning</v>
          </cell>
          <cell r="U1034" t="str">
            <v>Asset</v>
          </cell>
          <cell r="V1034">
            <v>10825</v>
          </cell>
          <cell r="W1034" t="str">
            <v>KEW</v>
          </cell>
          <cell r="X1034" t="str">
            <v>01/09/2010</v>
          </cell>
          <cell r="Y1034" t="str">
            <v>KEW</v>
          </cell>
          <cell r="Z1034" t="str">
            <v>16/08/2013</v>
          </cell>
          <cell r="AA1034" t="str">
            <v>15/08/2015</v>
          </cell>
          <cell r="AB1034" t="str">
            <v>No</v>
          </cell>
          <cell r="AC1034" t="str">
            <v>31/08/2013</v>
          </cell>
          <cell r="AD1034" t="str">
            <v>Good</v>
          </cell>
          <cell r="AE1034" t="str">
            <v>V1 - Existing / No Claim</v>
          </cell>
          <cell r="AF1034">
            <v>42793</v>
          </cell>
          <cell r="AG1034">
            <v>9.17</v>
          </cell>
          <cell r="AH1034" t="str">
            <v>PPM</v>
          </cell>
          <cell r="AI1034" t="str">
            <v>Strands</v>
          </cell>
          <cell r="AJ1034" t="str">
            <v>Strands PW</v>
          </cell>
        </row>
        <row r="1035">
          <cell r="A1035" t="str">
            <v>IKN400615</v>
          </cell>
          <cell r="B1035">
            <v>615</v>
          </cell>
          <cell r="C1035" t="str">
            <v>Institut Kanser Negara</v>
          </cell>
          <cell r="D1035" t="str">
            <v>KKM/IKN/H/13/1578</v>
          </cell>
          <cell r="E1035" t="str">
            <v>13-215</v>
          </cell>
          <cell r="F1035" t="str">
            <v>Infusion Pumps, General-Purpose</v>
          </cell>
          <cell r="G1035" t="str">
            <v>DO</v>
          </cell>
          <cell r="H1035" t="str">
            <v>DAY ONCOLOGY UNIT</v>
          </cell>
          <cell r="I1035" t="str">
            <v>04DO118</v>
          </cell>
          <cell r="J1035" t="str">
            <v>TREATMENT BAY 1</v>
          </cell>
          <cell r="K1035" t="str">
            <v>BMED</v>
          </cell>
          <cell r="L1035" t="str">
            <v>Critical</v>
          </cell>
          <cell r="M1035" t="str">
            <v>Germany</v>
          </cell>
          <cell r="N1035" t="str">
            <v>Infusomat</v>
          </cell>
          <cell r="O1035" t="str">
            <v>Infusomat Space</v>
          </cell>
          <cell r="P1035" t="str">
            <v>212157</v>
          </cell>
          <cell r="Q1035" t="str">
            <v>Not Applicable</v>
          </cell>
          <cell r="R1035" t="str">
            <v>B Braun Melsungen AG</v>
          </cell>
          <cell r="S1035" t="str">
            <v>B Braun Medical Supplies Sdn. Bhd.</v>
          </cell>
          <cell r="T1035" t="str">
            <v>Functioning</v>
          </cell>
          <cell r="U1035" t="str">
            <v>Asset</v>
          </cell>
          <cell r="V1035">
            <v>10825</v>
          </cell>
          <cell r="W1035" t="str">
            <v>KEW</v>
          </cell>
          <cell r="X1035" t="str">
            <v>01/09/2010</v>
          </cell>
          <cell r="Y1035" t="str">
            <v>KEW</v>
          </cell>
          <cell r="Z1035" t="str">
            <v>16/08/2013</v>
          </cell>
          <cell r="AA1035" t="str">
            <v>15/08/2015</v>
          </cell>
          <cell r="AB1035" t="str">
            <v>No</v>
          </cell>
          <cell r="AC1035" t="str">
            <v>31/08/2013</v>
          </cell>
          <cell r="AD1035" t="str">
            <v>Good</v>
          </cell>
          <cell r="AE1035" t="str">
            <v>V1 - Existing / No Claim</v>
          </cell>
          <cell r="AF1035">
            <v>42793</v>
          </cell>
          <cell r="AG1035">
            <v>9.17</v>
          </cell>
          <cell r="AH1035" t="str">
            <v>PPM</v>
          </cell>
          <cell r="AI1035" t="str">
            <v>Strands</v>
          </cell>
          <cell r="AJ1035" t="str">
            <v>Strands PW</v>
          </cell>
        </row>
        <row r="1036">
          <cell r="A1036" t="str">
            <v>IKN400616</v>
          </cell>
          <cell r="B1036">
            <v>616</v>
          </cell>
          <cell r="C1036" t="str">
            <v>Institut Kanser Negara</v>
          </cell>
          <cell r="D1036" t="str">
            <v>KKM/IKN/H/13/2416</v>
          </cell>
          <cell r="E1036" t="str">
            <v>12-647</v>
          </cell>
          <cell r="F1036" t="str">
            <v>Physiologic Monitoring Systems, Acute Care</v>
          </cell>
          <cell r="G1036" t="str">
            <v>DO</v>
          </cell>
          <cell r="H1036" t="str">
            <v>DAY ONCOLOGY UNIT</v>
          </cell>
          <cell r="I1036" t="str">
            <v>04DO118</v>
          </cell>
          <cell r="J1036" t="str">
            <v>TREATMENT BAY 1</v>
          </cell>
          <cell r="K1036" t="str">
            <v>BMED</v>
          </cell>
          <cell r="L1036" t="str">
            <v>Critical</v>
          </cell>
          <cell r="M1036" t="str">
            <v>USA</v>
          </cell>
          <cell r="N1036" t="str">
            <v>GE</v>
          </cell>
          <cell r="O1036" t="str">
            <v>GE B30</v>
          </cell>
          <cell r="P1036" t="str">
            <v>SF312315864WA</v>
          </cell>
          <cell r="Q1036" t="str">
            <v>Not Applicable</v>
          </cell>
          <cell r="R1036" t="str">
            <v>GE Healthcare Systems</v>
          </cell>
          <cell r="S1036" t="str">
            <v>GE Healthcare Technologies</v>
          </cell>
          <cell r="T1036" t="str">
            <v>Functioning</v>
          </cell>
          <cell r="U1036" t="str">
            <v>Asset</v>
          </cell>
          <cell r="V1036">
            <v>44510</v>
          </cell>
          <cell r="W1036" t="str">
            <v>KEW</v>
          </cell>
          <cell r="X1036" t="str">
            <v>01/09/2010</v>
          </cell>
          <cell r="Y1036" t="str">
            <v>KEW</v>
          </cell>
          <cell r="Z1036" t="str">
            <v>16/08/2013</v>
          </cell>
          <cell r="AA1036" t="str">
            <v>15/08/2015</v>
          </cell>
          <cell r="AB1036" t="str">
            <v>No</v>
          </cell>
          <cell r="AC1036" t="str">
            <v>31/08/2013</v>
          </cell>
          <cell r="AD1036" t="str">
            <v>Good</v>
          </cell>
          <cell r="AE1036" t="str">
            <v>V1 - Existing / No Claim</v>
          </cell>
          <cell r="AF1036">
            <v>42793</v>
          </cell>
          <cell r="AG1036">
            <v>9.17</v>
          </cell>
          <cell r="AH1036" t="str">
            <v>PPM</v>
          </cell>
          <cell r="AI1036" t="str">
            <v>Strands</v>
          </cell>
          <cell r="AJ1036" t="str">
            <v>Strands PW</v>
          </cell>
        </row>
        <row r="1037">
          <cell r="A1037" t="str">
            <v>IKN400617</v>
          </cell>
          <cell r="B1037">
            <v>617</v>
          </cell>
          <cell r="C1037" t="str">
            <v>Institut Kanser Negara</v>
          </cell>
          <cell r="D1037" t="str">
            <v>KKM/IKN/H/13/1601</v>
          </cell>
          <cell r="E1037" t="str">
            <v>17-950</v>
          </cell>
          <cell r="F1037" t="str">
            <v>Warming Units, Patient, Forced-Air</v>
          </cell>
          <cell r="G1037" t="str">
            <v>DO</v>
          </cell>
          <cell r="H1037" t="str">
            <v>DAY ONCOLOGY UNIT</v>
          </cell>
          <cell r="I1037" t="str">
            <v>04DO118</v>
          </cell>
          <cell r="J1037" t="str">
            <v>TREATMENT BAY 1</v>
          </cell>
          <cell r="K1037" t="str">
            <v>BMED</v>
          </cell>
          <cell r="L1037" t="str">
            <v>Normal</v>
          </cell>
          <cell r="M1037" t="str">
            <v>USA</v>
          </cell>
          <cell r="N1037" t="str">
            <v>Bair Hugger</v>
          </cell>
          <cell r="O1037" t="str">
            <v>Bair Hugger 775</v>
          </cell>
          <cell r="P1037" t="str">
            <v>35935</v>
          </cell>
          <cell r="Q1037" t="str">
            <v>Not Applicable</v>
          </cell>
          <cell r="R1037" t="str">
            <v>Arizant Healthcare Inc</v>
          </cell>
          <cell r="S1037" t="str">
            <v>Calmed Healthcare Sdn Bhd</v>
          </cell>
          <cell r="T1037" t="str">
            <v>Functioning</v>
          </cell>
          <cell r="U1037" t="str">
            <v>Asset</v>
          </cell>
          <cell r="V1037">
            <v>15515</v>
          </cell>
          <cell r="W1037" t="str">
            <v>KEW</v>
          </cell>
          <cell r="X1037" t="str">
            <v>01/09/2010</v>
          </cell>
          <cell r="Y1037" t="str">
            <v>KEW</v>
          </cell>
          <cell r="Z1037" t="str">
            <v>16/08/2013</v>
          </cell>
          <cell r="AA1037" t="str">
            <v>15/08/2015</v>
          </cell>
          <cell r="AB1037" t="str">
            <v>No</v>
          </cell>
          <cell r="AC1037" t="str">
            <v>31/08/2013</v>
          </cell>
          <cell r="AD1037" t="str">
            <v>Good</v>
          </cell>
          <cell r="AE1037" t="str">
            <v>V1 - Existing / No Claim</v>
          </cell>
          <cell r="AF1037">
            <v>42793</v>
          </cell>
          <cell r="AG1037">
            <v>9.17</v>
          </cell>
          <cell r="AH1037" t="str">
            <v>PPM</v>
          </cell>
          <cell r="AI1037" t="str">
            <v>Strands</v>
          </cell>
          <cell r="AJ1037" t="str">
            <v>Strands PW</v>
          </cell>
        </row>
        <row r="1038">
          <cell r="A1038" t="str">
            <v>IKN400618</v>
          </cell>
          <cell r="B1038">
            <v>618</v>
          </cell>
          <cell r="C1038" t="str">
            <v>Institut Kanser Negara</v>
          </cell>
          <cell r="D1038" t="str">
            <v>KKM/IKN/H/13/1602</v>
          </cell>
          <cell r="E1038" t="str">
            <v>17-950</v>
          </cell>
          <cell r="F1038" t="str">
            <v>Warming Units, Patient, Forced-Air</v>
          </cell>
          <cell r="G1038" t="str">
            <v>DO</v>
          </cell>
          <cell r="H1038" t="str">
            <v>DAY ONCOLOGY UNIT</v>
          </cell>
          <cell r="I1038" t="str">
            <v>04DO118</v>
          </cell>
          <cell r="J1038" t="str">
            <v>TREATMENT BAY 1</v>
          </cell>
          <cell r="K1038" t="str">
            <v>BMED</v>
          </cell>
          <cell r="L1038" t="str">
            <v>Normal</v>
          </cell>
          <cell r="M1038" t="str">
            <v>USA</v>
          </cell>
          <cell r="N1038" t="str">
            <v>Bair Hugger</v>
          </cell>
          <cell r="O1038" t="str">
            <v>Bair Hugger 775</v>
          </cell>
          <cell r="P1038" t="str">
            <v>35936</v>
          </cell>
          <cell r="Q1038" t="str">
            <v>Not Applicable</v>
          </cell>
          <cell r="R1038" t="str">
            <v>Arizant Healthcare Inc</v>
          </cell>
          <cell r="S1038" t="str">
            <v>Calmed Healthcare Sdn Bhd</v>
          </cell>
          <cell r="T1038" t="str">
            <v>Functioning</v>
          </cell>
          <cell r="U1038" t="str">
            <v>Asset</v>
          </cell>
          <cell r="V1038">
            <v>15515</v>
          </cell>
          <cell r="W1038" t="str">
            <v>KEW</v>
          </cell>
          <cell r="X1038" t="str">
            <v>01/09/2010</v>
          </cell>
          <cell r="Y1038" t="str">
            <v>KEW</v>
          </cell>
          <cell r="Z1038" t="str">
            <v>16/08/2013</v>
          </cell>
          <cell r="AA1038" t="str">
            <v>15/08/2015</v>
          </cell>
          <cell r="AB1038" t="str">
            <v>No</v>
          </cell>
          <cell r="AC1038" t="str">
            <v>31/08/2013</v>
          </cell>
          <cell r="AD1038" t="str">
            <v>Good</v>
          </cell>
          <cell r="AE1038" t="str">
            <v>V1 - Existing / No Claim</v>
          </cell>
          <cell r="AF1038">
            <v>42793</v>
          </cell>
          <cell r="AG1038">
            <v>9.17</v>
          </cell>
          <cell r="AH1038" t="str">
            <v>PPM</v>
          </cell>
          <cell r="AI1038" t="str">
            <v>Strands</v>
          </cell>
          <cell r="AJ1038" t="str">
            <v>Strands PW</v>
          </cell>
        </row>
        <row r="1039">
          <cell r="A1039" t="str">
            <v>IKN400619</v>
          </cell>
          <cell r="B1039">
            <v>619</v>
          </cell>
          <cell r="C1039" t="str">
            <v>Institut Kanser Negara</v>
          </cell>
          <cell r="D1039" t="e">
            <v>#N/A</v>
          </cell>
          <cell r="E1039" t="str">
            <v>13-215</v>
          </cell>
          <cell r="F1039" t="str">
            <v>Infusion Pumps, General-Purpose</v>
          </cell>
          <cell r="G1039" t="str">
            <v>DO</v>
          </cell>
          <cell r="H1039" t="str">
            <v>DAY ONCOLOGY UNIT</v>
          </cell>
          <cell r="I1039" t="str">
            <v>04DO119</v>
          </cell>
          <cell r="J1039" t="str">
            <v>TREATMENT BAY 2</v>
          </cell>
          <cell r="K1039" t="str">
            <v>BMED</v>
          </cell>
          <cell r="L1039" t="str">
            <v>Critical</v>
          </cell>
          <cell r="M1039" t="str">
            <v>Germany</v>
          </cell>
          <cell r="N1039" t="str">
            <v>Infusomat</v>
          </cell>
          <cell r="O1039" t="str">
            <v>Infusomat Space</v>
          </cell>
          <cell r="P1039" t="str">
            <v>200157</v>
          </cell>
          <cell r="Q1039" t="str">
            <v>Not Applicable</v>
          </cell>
          <cell r="R1039" t="str">
            <v>B Braun Melsungen AG</v>
          </cell>
          <cell r="S1039" t="str">
            <v>B Braun Medical Supplies Sdn. Bhd.</v>
          </cell>
          <cell r="T1039" t="str">
            <v>Functioning</v>
          </cell>
          <cell r="U1039" t="str">
            <v>Asset</v>
          </cell>
          <cell r="V1039">
            <v>10825</v>
          </cell>
          <cell r="W1039" t="str">
            <v>KEW</v>
          </cell>
          <cell r="X1039" t="str">
            <v>01/09/2010</v>
          </cell>
          <cell r="Y1039" t="str">
            <v>KEW</v>
          </cell>
          <cell r="Z1039" t="str">
            <v>16/08/2013</v>
          </cell>
          <cell r="AA1039" t="str">
            <v>15/08/2015</v>
          </cell>
          <cell r="AB1039" t="str">
            <v>No</v>
          </cell>
          <cell r="AC1039" t="str">
            <v>31/08/2013</v>
          </cell>
          <cell r="AD1039" t="str">
            <v>Good</v>
          </cell>
          <cell r="AE1039" t="str">
            <v>V1 - Existing / No Claim</v>
          </cell>
          <cell r="AF1039">
            <v>42793</v>
          </cell>
          <cell r="AG1039">
            <v>9.17</v>
          </cell>
          <cell r="AH1039" t="str">
            <v>PPM</v>
          </cell>
          <cell r="AI1039" t="str">
            <v>Propose P1.24</v>
          </cell>
        </row>
        <row r="1040">
          <cell r="A1040" t="str">
            <v>IKN400620</v>
          </cell>
          <cell r="B1040">
            <v>620</v>
          </cell>
          <cell r="C1040" t="str">
            <v>Institut Kanser Negara</v>
          </cell>
          <cell r="D1040" t="str">
            <v>KKM/IKN/H/13/1580</v>
          </cell>
          <cell r="E1040" t="str">
            <v>13-215</v>
          </cell>
          <cell r="F1040" t="str">
            <v>Infusion Pumps, General-Purpose</v>
          </cell>
          <cell r="G1040" t="str">
            <v>DO</v>
          </cell>
          <cell r="H1040" t="str">
            <v>DAY ONCOLOGY UNIT</v>
          </cell>
          <cell r="I1040" t="str">
            <v>04DO119</v>
          </cell>
          <cell r="J1040" t="str">
            <v>TREATMENT BAY 2</v>
          </cell>
          <cell r="K1040" t="str">
            <v>BMED</v>
          </cell>
          <cell r="L1040" t="str">
            <v>Critical</v>
          </cell>
          <cell r="M1040" t="str">
            <v>Germany</v>
          </cell>
          <cell r="N1040" t="str">
            <v>Infusomat</v>
          </cell>
          <cell r="O1040" t="str">
            <v>Infusomat Space</v>
          </cell>
          <cell r="P1040" t="str">
            <v>212077</v>
          </cell>
          <cell r="Q1040" t="str">
            <v>Not Applicable</v>
          </cell>
          <cell r="R1040" t="str">
            <v>B Braun Melsungen AG</v>
          </cell>
          <cell r="S1040" t="str">
            <v>B Braun Medical Supplies Sdn. Bhd.</v>
          </cell>
          <cell r="T1040" t="str">
            <v>Functioning</v>
          </cell>
          <cell r="U1040" t="str">
            <v>Asset</v>
          </cell>
          <cell r="V1040">
            <v>10825</v>
          </cell>
          <cell r="W1040" t="str">
            <v>KEW</v>
          </cell>
          <cell r="X1040" t="str">
            <v>01/09/2010</v>
          </cell>
          <cell r="Y1040" t="str">
            <v>KEW</v>
          </cell>
          <cell r="Z1040" t="str">
            <v>16/08/2013</v>
          </cell>
          <cell r="AA1040" t="str">
            <v>15/08/2015</v>
          </cell>
          <cell r="AB1040" t="str">
            <v>No</v>
          </cell>
          <cell r="AC1040" t="str">
            <v>31/08/2013</v>
          </cell>
          <cell r="AD1040" t="str">
            <v>Good</v>
          </cell>
          <cell r="AE1040" t="str">
            <v>V1 - Existing / No Claim</v>
          </cell>
          <cell r="AF1040">
            <v>42793</v>
          </cell>
          <cell r="AG1040">
            <v>9.17</v>
          </cell>
          <cell r="AH1040" t="str">
            <v>PPM</v>
          </cell>
          <cell r="AI1040" t="str">
            <v>Strands</v>
          </cell>
          <cell r="AJ1040" t="str">
            <v>Strands PW</v>
          </cell>
        </row>
        <row r="1041">
          <cell r="A1041" t="str">
            <v>IKN400621</v>
          </cell>
          <cell r="B1041">
            <v>621</v>
          </cell>
          <cell r="C1041" t="str">
            <v>Institut Kanser Negara</v>
          </cell>
          <cell r="D1041" t="str">
            <v>KKM/IKN/H/13/1581</v>
          </cell>
          <cell r="E1041" t="str">
            <v>13-215</v>
          </cell>
          <cell r="F1041" t="str">
            <v>Infusion Pumps, General-Purpose</v>
          </cell>
          <cell r="G1041" t="str">
            <v>DO</v>
          </cell>
          <cell r="H1041" t="str">
            <v>DAY ONCOLOGY UNIT</v>
          </cell>
          <cell r="I1041" t="str">
            <v>04DO119</v>
          </cell>
          <cell r="J1041" t="str">
            <v>TREATMENT BAY 2</v>
          </cell>
          <cell r="K1041" t="str">
            <v>BMED</v>
          </cell>
          <cell r="L1041" t="str">
            <v>Critical</v>
          </cell>
          <cell r="M1041" t="str">
            <v>Germany</v>
          </cell>
          <cell r="N1041" t="str">
            <v>Infusomat</v>
          </cell>
          <cell r="O1041" t="str">
            <v>Infusomat Space</v>
          </cell>
          <cell r="P1041" t="str">
            <v>212092</v>
          </cell>
          <cell r="Q1041" t="str">
            <v>Not Applicable</v>
          </cell>
          <cell r="R1041" t="str">
            <v>B Braun Melsungen AG</v>
          </cell>
          <cell r="S1041" t="str">
            <v>B Braun Medical Supplies Sdn. Bhd.</v>
          </cell>
          <cell r="T1041" t="str">
            <v>Functioning</v>
          </cell>
          <cell r="U1041" t="str">
            <v>Asset</v>
          </cell>
          <cell r="V1041">
            <v>10825</v>
          </cell>
          <cell r="W1041" t="str">
            <v>KEW</v>
          </cell>
          <cell r="X1041" t="str">
            <v>01/09/2010</v>
          </cell>
          <cell r="Y1041" t="str">
            <v>KEW</v>
          </cell>
          <cell r="Z1041" t="str">
            <v>16/08/2013</v>
          </cell>
          <cell r="AA1041" t="str">
            <v>15/08/2015</v>
          </cell>
          <cell r="AB1041" t="str">
            <v>No</v>
          </cell>
          <cell r="AC1041" t="str">
            <v>31/08/2013</v>
          </cell>
          <cell r="AD1041" t="str">
            <v>Good</v>
          </cell>
          <cell r="AE1041" t="str">
            <v>V1 - Existing / No Claim</v>
          </cell>
          <cell r="AF1041">
            <v>42793</v>
          </cell>
          <cell r="AG1041">
            <v>9.17</v>
          </cell>
          <cell r="AH1041" t="str">
            <v>PPM</v>
          </cell>
          <cell r="AI1041" t="str">
            <v>Strands</v>
          </cell>
          <cell r="AJ1041" t="str">
            <v>Strands PW</v>
          </cell>
        </row>
        <row r="1042">
          <cell r="A1042" t="str">
            <v>IKN400622</v>
          </cell>
          <cell r="B1042">
            <v>622</v>
          </cell>
          <cell r="C1042" t="str">
            <v>Institut Kanser Negara</v>
          </cell>
          <cell r="D1042" t="str">
            <v>KKM/IKN/H/13/1582</v>
          </cell>
          <cell r="E1042" t="str">
            <v>13-215</v>
          </cell>
          <cell r="F1042" t="str">
            <v>Infusion Pumps, General-Purpose</v>
          </cell>
          <cell r="G1042" t="str">
            <v>DO</v>
          </cell>
          <cell r="H1042" t="str">
            <v>DAY ONCOLOGY UNIT</v>
          </cell>
          <cell r="I1042" t="str">
            <v>04DO119</v>
          </cell>
          <cell r="J1042" t="str">
            <v>TREATMENT BAY 2</v>
          </cell>
          <cell r="K1042" t="str">
            <v>BMED</v>
          </cell>
          <cell r="L1042" t="str">
            <v>Critical</v>
          </cell>
          <cell r="M1042" t="str">
            <v>Germany</v>
          </cell>
          <cell r="N1042" t="str">
            <v>Infusomat</v>
          </cell>
          <cell r="O1042" t="str">
            <v>Infusomat Space</v>
          </cell>
          <cell r="P1042" t="str">
            <v>212110</v>
          </cell>
          <cell r="Q1042" t="str">
            <v>Not Applicable</v>
          </cell>
          <cell r="R1042" t="str">
            <v>B Braun Melsungen AG</v>
          </cell>
          <cell r="S1042" t="str">
            <v>B Braun Medical Supplies Sdn. Bhd.</v>
          </cell>
          <cell r="T1042" t="str">
            <v>Functioning</v>
          </cell>
          <cell r="U1042" t="str">
            <v>Asset</v>
          </cell>
          <cell r="V1042">
            <v>10825</v>
          </cell>
          <cell r="W1042" t="str">
            <v>KEW</v>
          </cell>
          <cell r="X1042" t="str">
            <v>01/09/2010</v>
          </cell>
          <cell r="Y1042" t="str">
            <v>KEW</v>
          </cell>
          <cell r="Z1042" t="str">
            <v>16/08/2013</v>
          </cell>
          <cell r="AA1042" t="str">
            <v>15/08/2015</v>
          </cell>
          <cell r="AB1042" t="str">
            <v>No</v>
          </cell>
          <cell r="AC1042" t="str">
            <v>31/08/2013</v>
          </cell>
          <cell r="AD1042" t="str">
            <v>Good</v>
          </cell>
          <cell r="AE1042" t="str">
            <v>V1 - Existing / No Claim</v>
          </cell>
          <cell r="AF1042">
            <v>42793</v>
          </cell>
          <cell r="AG1042">
            <v>9.17</v>
          </cell>
          <cell r="AH1042" t="str">
            <v>PPM</v>
          </cell>
          <cell r="AI1042" t="str">
            <v>Strands</v>
          </cell>
          <cell r="AJ1042" t="str">
            <v>Strands PW</v>
          </cell>
        </row>
        <row r="1043">
          <cell r="A1043" t="str">
            <v>IKN400623</v>
          </cell>
          <cell r="B1043">
            <v>623</v>
          </cell>
          <cell r="C1043" t="str">
            <v>Institut Kanser Negara</v>
          </cell>
          <cell r="D1043" t="str">
            <v>KKM/IKN/H/13/1583</v>
          </cell>
          <cell r="E1043" t="str">
            <v>13-215</v>
          </cell>
          <cell r="F1043" t="str">
            <v>Infusion Pumps, General-Purpose</v>
          </cell>
          <cell r="G1043" t="str">
            <v>DO</v>
          </cell>
          <cell r="H1043" t="str">
            <v>DAY ONCOLOGY UNIT</v>
          </cell>
          <cell r="I1043" t="str">
            <v>04DO119</v>
          </cell>
          <cell r="J1043" t="str">
            <v>TREATMENT BAY 2</v>
          </cell>
          <cell r="K1043" t="str">
            <v>BMED</v>
          </cell>
          <cell r="L1043" t="str">
            <v>Critical</v>
          </cell>
          <cell r="M1043" t="str">
            <v>Germany</v>
          </cell>
          <cell r="N1043" t="str">
            <v>Infusomat</v>
          </cell>
          <cell r="O1043" t="str">
            <v>Infusomat Space</v>
          </cell>
          <cell r="P1043" t="str">
            <v>212255</v>
          </cell>
          <cell r="Q1043" t="str">
            <v>Not Applicable</v>
          </cell>
          <cell r="R1043" t="str">
            <v>B Braun Melsungen AG</v>
          </cell>
          <cell r="S1043" t="str">
            <v>B Braun Medical Supplies Sdn. Bhd.</v>
          </cell>
          <cell r="T1043" t="str">
            <v>Functioning</v>
          </cell>
          <cell r="U1043" t="str">
            <v>Asset</v>
          </cell>
          <cell r="V1043">
            <v>10825</v>
          </cell>
          <cell r="W1043" t="str">
            <v>KEW</v>
          </cell>
          <cell r="X1043" t="str">
            <v>01/09/2010</v>
          </cell>
          <cell r="Y1043" t="str">
            <v>KEW</v>
          </cell>
          <cell r="Z1043" t="str">
            <v>16/08/2013</v>
          </cell>
          <cell r="AA1043" t="str">
            <v>15/08/2015</v>
          </cell>
          <cell r="AB1043" t="str">
            <v>No</v>
          </cell>
          <cell r="AC1043" t="str">
            <v>31/08/2013</v>
          </cell>
          <cell r="AD1043" t="str">
            <v>Good</v>
          </cell>
          <cell r="AE1043" t="str">
            <v>V1 - Existing / No Claim</v>
          </cell>
          <cell r="AF1043">
            <v>42793</v>
          </cell>
          <cell r="AG1043">
            <v>9.17</v>
          </cell>
          <cell r="AH1043" t="str">
            <v>PPM</v>
          </cell>
          <cell r="AI1043" t="str">
            <v>Strands</v>
          </cell>
          <cell r="AJ1043" t="str">
            <v>Strands PW</v>
          </cell>
        </row>
        <row r="1044">
          <cell r="A1044" t="str">
            <v>IKN400624</v>
          </cell>
          <cell r="B1044">
            <v>624</v>
          </cell>
          <cell r="C1044" t="str">
            <v>Institut Kanser Negara</v>
          </cell>
          <cell r="D1044" t="str">
            <v>KKM/IKN/H/13/1584</v>
          </cell>
          <cell r="E1044" t="str">
            <v>13-215</v>
          </cell>
          <cell r="F1044" t="str">
            <v>Infusion Pumps, General-Purpose</v>
          </cell>
          <cell r="G1044" t="str">
            <v>DO</v>
          </cell>
          <cell r="H1044" t="str">
            <v>DAY ONCOLOGY UNIT</v>
          </cell>
          <cell r="I1044" t="str">
            <v>04DO119</v>
          </cell>
          <cell r="J1044" t="str">
            <v>TREATMENT BAY 2</v>
          </cell>
          <cell r="K1044" t="str">
            <v>BMED</v>
          </cell>
          <cell r="L1044" t="str">
            <v>Critical</v>
          </cell>
          <cell r="M1044" t="str">
            <v>Germany</v>
          </cell>
          <cell r="N1044" t="str">
            <v>Infusomat</v>
          </cell>
          <cell r="O1044" t="str">
            <v>Infusomat Space</v>
          </cell>
          <cell r="P1044" t="str">
            <v>212005</v>
          </cell>
          <cell r="Q1044" t="str">
            <v>Not Applicable</v>
          </cell>
          <cell r="R1044" t="str">
            <v>B Braun Melsungen AG</v>
          </cell>
          <cell r="S1044" t="str">
            <v>B Braun Medical Supplies Sdn. Bhd.</v>
          </cell>
          <cell r="T1044" t="str">
            <v>Functioning</v>
          </cell>
          <cell r="U1044" t="str">
            <v>Asset</v>
          </cell>
          <cell r="V1044">
            <v>10825</v>
          </cell>
          <cell r="W1044" t="str">
            <v>KEW</v>
          </cell>
          <cell r="X1044" t="str">
            <v>01/09/2010</v>
          </cell>
          <cell r="Y1044" t="str">
            <v>KEW</v>
          </cell>
          <cell r="Z1044" t="str">
            <v>16/08/2013</v>
          </cell>
          <cell r="AA1044" t="str">
            <v>15/08/2015</v>
          </cell>
          <cell r="AB1044" t="str">
            <v>No</v>
          </cell>
          <cell r="AC1044" t="str">
            <v>31/08/2013</v>
          </cell>
          <cell r="AD1044" t="str">
            <v>Good</v>
          </cell>
          <cell r="AE1044" t="str">
            <v>V1 - Existing / No Claim</v>
          </cell>
          <cell r="AF1044">
            <v>42793</v>
          </cell>
          <cell r="AG1044">
            <v>9.17</v>
          </cell>
          <cell r="AH1044" t="str">
            <v>PPM</v>
          </cell>
          <cell r="AI1044" t="str">
            <v>Strands</v>
          </cell>
          <cell r="AJ1044" t="str">
            <v>Strands PW</v>
          </cell>
        </row>
        <row r="1045">
          <cell r="A1045" t="str">
            <v>IKN400625</v>
          </cell>
          <cell r="B1045">
            <v>625</v>
          </cell>
          <cell r="C1045" t="str">
            <v>Institut Kanser Negara</v>
          </cell>
          <cell r="D1045" t="str">
            <v>KKM/IKN/H/13/5132</v>
          </cell>
          <cell r="E1045" t="str">
            <v>12-647</v>
          </cell>
          <cell r="F1045" t="str">
            <v>Physiologic Monitoring Systems, Acute Care</v>
          </cell>
          <cell r="G1045" t="str">
            <v>DO</v>
          </cell>
          <cell r="H1045" t="str">
            <v>DAY ONCOLOGY UNIT</v>
          </cell>
          <cell r="I1045" t="str">
            <v>04DO119</v>
          </cell>
          <cell r="J1045" t="str">
            <v>TREATMENT BAY 2</v>
          </cell>
          <cell r="K1045" t="str">
            <v>BMED</v>
          </cell>
          <cell r="L1045" t="str">
            <v>Normal</v>
          </cell>
          <cell r="M1045" t="str">
            <v>USA</v>
          </cell>
          <cell r="N1045" t="str">
            <v>GE</v>
          </cell>
          <cell r="O1045" t="str">
            <v>GE B30</v>
          </cell>
          <cell r="P1045" t="str">
            <v>SF312325901WA</v>
          </cell>
          <cell r="Q1045" t="str">
            <v>Not Applicable</v>
          </cell>
          <cell r="R1045" t="str">
            <v>GE Healthcare Systems</v>
          </cell>
          <cell r="S1045" t="str">
            <v>GE Healthcare Technologies</v>
          </cell>
          <cell r="T1045" t="str">
            <v>Functioning</v>
          </cell>
          <cell r="U1045" t="str">
            <v>Asset</v>
          </cell>
          <cell r="V1045">
            <v>44510</v>
          </cell>
          <cell r="W1045" t="str">
            <v>KEW</v>
          </cell>
          <cell r="X1045" t="str">
            <v>01/09/2010</v>
          </cell>
          <cell r="Y1045" t="str">
            <v>KEW</v>
          </cell>
          <cell r="Z1045" t="str">
            <v>16/08/2013</v>
          </cell>
          <cell r="AA1045" t="str">
            <v>15/08/2015</v>
          </cell>
          <cell r="AB1045" t="str">
            <v>No</v>
          </cell>
          <cell r="AC1045" t="str">
            <v>31/08/2013</v>
          </cell>
          <cell r="AD1045" t="str">
            <v>Good</v>
          </cell>
          <cell r="AE1045" t="str">
            <v>V1 - Existing / No Claim</v>
          </cell>
          <cell r="AF1045">
            <v>42235</v>
          </cell>
          <cell r="AG1045">
            <v>9.17</v>
          </cell>
          <cell r="AH1045" t="str">
            <v>PPM</v>
          </cell>
          <cell r="AI1045" t="str">
            <v>Strands</v>
          </cell>
          <cell r="AJ1045" t="str">
            <v>Strands PW</v>
          </cell>
        </row>
        <row r="1046">
          <cell r="A1046" t="str">
            <v>IKN400626</v>
          </cell>
          <cell r="B1046">
            <v>626</v>
          </cell>
          <cell r="C1046" t="str">
            <v>Institut Kanser Negara</v>
          </cell>
          <cell r="D1046" t="str">
            <v>KKM/IKN/H/13/1603</v>
          </cell>
          <cell r="E1046" t="str">
            <v>17-950</v>
          </cell>
          <cell r="F1046" t="str">
            <v>Warming Units, Patient, Forced-Air</v>
          </cell>
          <cell r="G1046" t="str">
            <v>RT</v>
          </cell>
          <cell r="H1046" t="str">
            <v>RADIATION TREATMENT UNIT</v>
          </cell>
          <cell r="I1046" t="str">
            <v>01RT243</v>
          </cell>
          <cell r="J1046" t="str">
            <v>NURSE STATION</v>
          </cell>
          <cell r="K1046" t="str">
            <v>BMED</v>
          </cell>
          <cell r="L1046" t="str">
            <v>Normal</v>
          </cell>
          <cell r="M1046" t="str">
            <v>USA</v>
          </cell>
          <cell r="N1046" t="str">
            <v>Bair Hugger</v>
          </cell>
          <cell r="O1046" t="str">
            <v>Bair Hugger 775</v>
          </cell>
          <cell r="P1046" t="str">
            <v>35938</v>
          </cell>
          <cell r="Q1046" t="str">
            <v>Not Applicable</v>
          </cell>
          <cell r="R1046" t="str">
            <v>Arizant Healthcare Inc</v>
          </cell>
          <cell r="S1046" t="str">
            <v>Calmed Healthcare Sdn Bhd</v>
          </cell>
          <cell r="T1046" t="str">
            <v>Functioning</v>
          </cell>
          <cell r="U1046" t="str">
            <v>Asset</v>
          </cell>
          <cell r="V1046">
            <v>15515</v>
          </cell>
          <cell r="W1046" t="str">
            <v>KEW</v>
          </cell>
          <cell r="X1046" t="str">
            <v>01/09/2010</v>
          </cell>
          <cell r="Y1046" t="str">
            <v>KEW</v>
          </cell>
          <cell r="Z1046" t="str">
            <v>16/08/2013</v>
          </cell>
          <cell r="AA1046" t="str">
            <v>15/08/2015</v>
          </cell>
          <cell r="AB1046" t="str">
            <v>No</v>
          </cell>
          <cell r="AC1046" t="str">
            <v>31/08/2013</v>
          </cell>
          <cell r="AD1046" t="str">
            <v>Good</v>
          </cell>
          <cell r="AE1046" t="str">
            <v>V1 - Existing / No Claim</v>
          </cell>
          <cell r="AF1046">
            <v>42871</v>
          </cell>
          <cell r="AG1046">
            <v>9.17</v>
          </cell>
          <cell r="AH1046" t="str">
            <v>PPM</v>
          </cell>
          <cell r="AI1046" t="str">
            <v>Strands</v>
          </cell>
          <cell r="AJ1046" t="str">
            <v>Strands PW</v>
          </cell>
        </row>
        <row r="1047">
          <cell r="A1047" t="str">
            <v>IKN400627</v>
          </cell>
          <cell r="B1047">
            <v>627</v>
          </cell>
          <cell r="C1047" t="str">
            <v>Institut Kanser Negara</v>
          </cell>
          <cell r="D1047" t="str">
            <v>KKM/IKN/H/13/1604</v>
          </cell>
          <cell r="E1047" t="str">
            <v>17-950</v>
          </cell>
          <cell r="F1047" t="str">
            <v>Warming Units, Patient, Forced-Air</v>
          </cell>
          <cell r="G1047" t="str">
            <v>DO</v>
          </cell>
          <cell r="H1047" t="str">
            <v>DAY ONCOLOGY UNIT</v>
          </cell>
          <cell r="I1047" t="str">
            <v>04DO119</v>
          </cell>
          <cell r="J1047" t="str">
            <v>TREATMENT BAY 2</v>
          </cell>
          <cell r="K1047" t="str">
            <v>BMED</v>
          </cell>
          <cell r="L1047" t="str">
            <v>Normal</v>
          </cell>
          <cell r="M1047" t="str">
            <v>USA</v>
          </cell>
          <cell r="N1047" t="str">
            <v>Bair Hugger</v>
          </cell>
          <cell r="O1047" t="str">
            <v>Bair Hugger 775</v>
          </cell>
          <cell r="P1047" t="str">
            <v>35937</v>
          </cell>
          <cell r="Q1047" t="str">
            <v>Not Applicable</v>
          </cell>
          <cell r="R1047" t="str">
            <v>Arizant Healthcare Inc</v>
          </cell>
          <cell r="S1047" t="str">
            <v>Calmed Healthcare Sdn Bhd</v>
          </cell>
          <cell r="T1047" t="str">
            <v>Functioning</v>
          </cell>
          <cell r="U1047" t="str">
            <v>Asset</v>
          </cell>
          <cell r="V1047">
            <v>15515</v>
          </cell>
          <cell r="W1047" t="str">
            <v>KEW</v>
          </cell>
          <cell r="X1047" t="str">
            <v>01/09/2010</v>
          </cell>
          <cell r="Y1047" t="str">
            <v>KEW</v>
          </cell>
          <cell r="Z1047" t="str">
            <v>16/08/2013</v>
          </cell>
          <cell r="AA1047" t="str">
            <v>15/08/2015</v>
          </cell>
          <cell r="AB1047" t="str">
            <v>No</v>
          </cell>
          <cell r="AC1047" t="str">
            <v>31/08/2013</v>
          </cell>
          <cell r="AD1047" t="str">
            <v>Good</v>
          </cell>
          <cell r="AE1047" t="str">
            <v>V1 - Existing / No Claim</v>
          </cell>
          <cell r="AF1047">
            <v>42793</v>
          </cell>
          <cell r="AG1047">
            <v>9.17</v>
          </cell>
          <cell r="AH1047" t="str">
            <v>PPM</v>
          </cell>
          <cell r="AI1047" t="str">
            <v>Strands</v>
          </cell>
          <cell r="AJ1047" t="str">
            <v>Strands PW</v>
          </cell>
        </row>
        <row r="1048">
          <cell r="A1048" t="str">
            <v>IKN400628</v>
          </cell>
          <cell r="B1048">
            <v>628</v>
          </cell>
          <cell r="C1048" t="str">
            <v>Institut Kanser Negara</v>
          </cell>
          <cell r="D1048" t="str">
            <v>KKM/IKN/H/13/1585</v>
          </cell>
          <cell r="E1048" t="str">
            <v>13-215</v>
          </cell>
          <cell r="F1048" t="str">
            <v>Infusion Pumps, General-Purpose</v>
          </cell>
          <cell r="G1048" t="str">
            <v>DO</v>
          </cell>
          <cell r="H1048" t="str">
            <v>DAY ONCOLOGY UNIT</v>
          </cell>
          <cell r="I1048" t="str">
            <v>04DO120</v>
          </cell>
          <cell r="J1048" t="str">
            <v>TREATMENT BAY 3</v>
          </cell>
          <cell r="K1048" t="str">
            <v>BMED</v>
          </cell>
          <cell r="L1048" t="str">
            <v>Critical</v>
          </cell>
          <cell r="M1048" t="str">
            <v>Germany</v>
          </cell>
          <cell r="N1048" t="str">
            <v>Infusomat</v>
          </cell>
          <cell r="O1048" t="str">
            <v>Infusomat Space</v>
          </cell>
          <cell r="P1048" t="str">
            <v>212037</v>
          </cell>
          <cell r="Q1048" t="str">
            <v>Not Applicable</v>
          </cell>
          <cell r="R1048" t="str">
            <v>B Braun Melsungen AG</v>
          </cell>
          <cell r="S1048" t="str">
            <v>B Braun Medical Supplies Sdn. Bhd.</v>
          </cell>
          <cell r="T1048" t="str">
            <v>Functioning</v>
          </cell>
          <cell r="U1048" t="str">
            <v>Asset</v>
          </cell>
          <cell r="V1048">
            <v>10825</v>
          </cell>
          <cell r="W1048" t="str">
            <v>KEW</v>
          </cell>
          <cell r="X1048" t="str">
            <v>01/09/2010</v>
          </cell>
          <cell r="Y1048" t="str">
            <v>KEW</v>
          </cell>
          <cell r="Z1048" t="str">
            <v>16/08/2013</v>
          </cell>
          <cell r="AA1048" t="str">
            <v>15/08/2015</v>
          </cell>
          <cell r="AB1048" t="str">
            <v>No</v>
          </cell>
          <cell r="AC1048" t="str">
            <v>31/08/2013</v>
          </cell>
          <cell r="AD1048" t="str">
            <v>Good</v>
          </cell>
          <cell r="AE1048" t="str">
            <v>V1 - Existing / No Claim</v>
          </cell>
          <cell r="AF1048">
            <v>42793</v>
          </cell>
          <cell r="AG1048">
            <v>9.17</v>
          </cell>
          <cell r="AH1048" t="str">
            <v>PPM</v>
          </cell>
          <cell r="AI1048" t="str">
            <v>Strands</v>
          </cell>
          <cell r="AJ1048" t="str">
            <v>Strands PW</v>
          </cell>
        </row>
        <row r="1049">
          <cell r="A1049" t="str">
            <v>IKN400629</v>
          </cell>
          <cell r="B1049">
            <v>629</v>
          </cell>
          <cell r="C1049" t="str">
            <v>Institut Kanser Negara</v>
          </cell>
          <cell r="D1049" t="str">
            <v>KKM/IKN/H/13/1586</v>
          </cell>
          <cell r="E1049" t="str">
            <v>13-215</v>
          </cell>
          <cell r="F1049" t="str">
            <v>Infusion Pumps, General-Purpose</v>
          </cell>
          <cell r="G1049" t="str">
            <v>DO</v>
          </cell>
          <cell r="H1049" t="str">
            <v>DAY ONCOLOGY UNIT</v>
          </cell>
          <cell r="I1049" t="str">
            <v>04DO120</v>
          </cell>
          <cell r="J1049" t="str">
            <v>TREATMENT BAY 3</v>
          </cell>
          <cell r="K1049" t="str">
            <v>BMED</v>
          </cell>
          <cell r="L1049" t="str">
            <v>Critical</v>
          </cell>
          <cell r="M1049" t="str">
            <v>Germany</v>
          </cell>
          <cell r="N1049" t="str">
            <v>Infusomat</v>
          </cell>
          <cell r="O1049" t="str">
            <v>Infusomat Space</v>
          </cell>
          <cell r="P1049" t="str">
            <v>212104</v>
          </cell>
          <cell r="Q1049" t="str">
            <v>Not Applicable</v>
          </cell>
          <cell r="R1049" t="str">
            <v>B Braun Melsungen AG</v>
          </cell>
          <cell r="S1049" t="str">
            <v>B Braun Medical Supplies Sdn. Bhd.</v>
          </cell>
          <cell r="T1049" t="str">
            <v>Functioning</v>
          </cell>
          <cell r="U1049" t="str">
            <v>Asset</v>
          </cell>
          <cell r="V1049">
            <v>10825</v>
          </cell>
          <cell r="W1049" t="str">
            <v>KEW</v>
          </cell>
          <cell r="X1049" t="str">
            <v>01/09/2010</v>
          </cell>
          <cell r="Y1049" t="str">
            <v>KEW</v>
          </cell>
          <cell r="Z1049" t="str">
            <v>16/08/2013</v>
          </cell>
          <cell r="AA1049" t="str">
            <v>15/08/2015</v>
          </cell>
          <cell r="AB1049" t="str">
            <v>No</v>
          </cell>
          <cell r="AC1049" t="str">
            <v>31/08/2013</v>
          </cell>
          <cell r="AD1049" t="str">
            <v>Good</v>
          </cell>
          <cell r="AE1049" t="str">
            <v>V1 - Existing / No Claim</v>
          </cell>
          <cell r="AF1049">
            <v>42793</v>
          </cell>
          <cell r="AG1049">
            <v>9.17</v>
          </cell>
          <cell r="AH1049" t="str">
            <v>PPM</v>
          </cell>
          <cell r="AI1049" t="str">
            <v>Strands</v>
          </cell>
          <cell r="AJ1049" t="str">
            <v>Strands PW</v>
          </cell>
        </row>
        <row r="1050">
          <cell r="A1050" t="str">
            <v>IKN400630</v>
          </cell>
          <cell r="B1050">
            <v>630</v>
          </cell>
          <cell r="C1050" t="str">
            <v>Institut Kanser Negara</v>
          </cell>
          <cell r="D1050" t="str">
            <v>KKM/IKN/H/13/1587</v>
          </cell>
          <cell r="E1050" t="str">
            <v>13-215</v>
          </cell>
          <cell r="F1050" t="str">
            <v>Infusion Pumps, General-Purpose</v>
          </cell>
          <cell r="G1050" t="str">
            <v>DO</v>
          </cell>
          <cell r="H1050" t="str">
            <v>DAY ONCOLOGY UNIT</v>
          </cell>
          <cell r="I1050" t="str">
            <v>04DO120</v>
          </cell>
          <cell r="J1050" t="str">
            <v>TREATMENT BAY 3</v>
          </cell>
          <cell r="K1050" t="str">
            <v>BMED</v>
          </cell>
          <cell r="L1050" t="str">
            <v>Critical</v>
          </cell>
          <cell r="M1050" t="str">
            <v>Germany</v>
          </cell>
          <cell r="N1050" t="str">
            <v>Infusomat</v>
          </cell>
          <cell r="O1050" t="str">
            <v>Infusomat Space</v>
          </cell>
          <cell r="P1050" t="str">
            <v>212062</v>
          </cell>
          <cell r="Q1050" t="str">
            <v>Not Applicable</v>
          </cell>
          <cell r="R1050" t="str">
            <v>B Braun Melsungen AG</v>
          </cell>
          <cell r="S1050" t="str">
            <v>B Braun Medical Supplies Sdn. Bhd.</v>
          </cell>
          <cell r="T1050" t="str">
            <v>Functioning</v>
          </cell>
          <cell r="U1050" t="str">
            <v>Asset</v>
          </cell>
          <cell r="V1050">
            <v>10825</v>
          </cell>
          <cell r="W1050" t="str">
            <v>KEW</v>
          </cell>
          <cell r="X1050" t="str">
            <v>01/09/2010</v>
          </cell>
          <cell r="Y1050" t="str">
            <v>KEW</v>
          </cell>
          <cell r="Z1050" t="str">
            <v>16/08/2013</v>
          </cell>
          <cell r="AA1050" t="str">
            <v>15/08/2015</v>
          </cell>
          <cell r="AB1050" t="str">
            <v>No</v>
          </cell>
          <cell r="AC1050" t="str">
            <v>31/08/2013</v>
          </cell>
          <cell r="AD1050" t="str">
            <v>Good</v>
          </cell>
          <cell r="AE1050" t="str">
            <v>V1 - Existing / No Claim</v>
          </cell>
          <cell r="AF1050">
            <v>42793</v>
          </cell>
          <cell r="AG1050">
            <v>9.17</v>
          </cell>
          <cell r="AH1050" t="str">
            <v>PPM</v>
          </cell>
          <cell r="AI1050" t="str">
            <v>Strands</v>
          </cell>
          <cell r="AJ1050" t="str">
            <v>Strands PW</v>
          </cell>
        </row>
        <row r="1051">
          <cell r="A1051" t="str">
            <v>IKN400631</v>
          </cell>
          <cell r="B1051">
            <v>631</v>
          </cell>
          <cell r="C1051" t="str">
            <v>Institut Kanser Negara</v>
          </cell>
          <cell r="D1051" t="str">
            <v>KKM/IKN/H/13/1588</v>
          </cell>
          <cell r="E1051" t="str">
            <v>13-215</v>
          </cell>
          <cell r="F1051" t="str">
            <v>Infusion Pumps, General-Purpose</v>
          </cell>
          <cell r="G1051" t="str">
            <v>DO</v>
          </cell>
          <cell r="H1051" t="str">
            <v>DAY ONCOLOGY UNIT</v>
          </cell>
          <cell r="I1051" t="str">
            <v>04DO120</v>
          </cell>
          <cell r="J1051" t="str">
            <v>TREATMENT BAY 3</v>
          </cell>
          <cell r="K1051" t="str">
            <v>BMED</v>
          </cell>
          <cell r="L1051" t="str">
            <v>Critical</v>
          </cell>
          <cell r="M1051" t="str">
            <v>Germany</v>
          </cell>
          <cell r="N1051" t="str">
            <v>Infusomat</v>
          </cell>
          <cell r="O1051" t="str">
            <v>Infusomat Space</v>
          </cell>
          <cell r="P1051" t="str">
            <v>212106</v>
          </cell>
          <cell r="Q1051" t="str">
            <v>Not Applicable</v>
          </cell>
          <cell r="R1051" t="str">
            <v>B Braun Melsungen AG</v>
          </cell>
          <cell r="S1051" t="str">
            <v>B Braun Medical Supplies Sdn. Bhd.</v>
          </cell>
          <cell r="T1051" t="str">
            <v>Functioning</v>
          </cell>
          <cell r="U1051" t="str">
            <v>Asset</v>
          </cell>
          <cell r="V1051">
            <v>10825</v>
          </cell>
          <cell r="W1051" t="str">
            <v>KEW</v>
          </cell>
          <cell r="X1051" t="str">
            <v>01/09/2010</v>
          </cell>
          <cell r="Y1051" t="str">
            <v>KEW</v>
          </cell>
          <cell r="Z1051" t="str">
            <v>16/08/2013</v>
          </cell>
          <cell r="AA1051" t="str">
            <v>15/08/2015</v>
          </cell>
          <cell r="AB1051" t="str">
            <v>No</v>
          </cell>
          <cell r="AC1051" t="str">
            <v>31/08/2013</v>
          </cell>
          <cell r="AD1051" t="str">
            <v>Good</v>
          </cell>
          <cell r="AE1051" t="str">
            <v>V1 - Existing / No Claim</v>
          </cell>
          <cell r="AF1051">
            <v>42793</v>
          </cell>
          <cell r="AG1051">
            <v>9.17</v>
          </cell>
          <cell r="AH1051" t="str">
            <v>PPM</v>
          </cell>
          <cell r="AI1051" t="str">
            <v>Strands</v>
          </cell>
          <cell r="AJ1051" t="str">
            <v>Strands PW</v>
          </cell>
        </row>
        <row r="1052">
          <cell r="A1052" t="str">
            <v>IKN400632</v>
          </cell>
          <cell r="B1052">
            <v>632</v>
          </cell>
          <cell r="C1052" t="str">
            <v>Institut Kanser Negara</v>
          </cell>
          <cell r="D1052" t="str">
            <v>KKM/IKN/H/13/1589</v>
          </cell>
          <cell r="E1052" t="str">
            <v>13-215</v>
          </cell>
          <cell r="F1052" t="str">
            <v>Infusion Pumps, General-Purpose</v>
          </cell>
          <cell r="G1052" t="str">
            <v>DO</v>
          </cell>
          <cell r="H1052" t="str">
            <v>DAY ONCOLOGY UNIT</v>
          </cell>
          <cell r="I1052" t="str">
            <v>04DO120</v>
          </cell>
          <cell r="J1052" t="str">
            <v>TREATMENT BAY 3</v>
          </cell>
          <cell r="K1052" t="str">
            <v>BMED</v>
          </cell>
          <cell r="L1052" t="str">
            <v>Critical</v>
          </cell>
          <cell r="M1052" t="str">
            <v>Germany</v>
          </cell>
          <cell r="N1052" t="str">
            <v>Infusomat</v>
          </cell>
          <cell r="O1052" t="str">
            <v>Infusomat Space</v>
          </cell>
          <cell r="P1052" t="str">
            <v>211634</v>
          </cell>
          <cell r="Q1052" t="str">
            <v>Not Applicable</v>
          </cell>
          <cell r="R1052" t="str">
            <v>B Braun Melsungen AG</v>
          </cell>
          <cell r="S1052" t="str">
            <v>B Braun Medical Supplies Sdn. Bhd.</v>
          </cell>
          <cell r="T1052" t="str">
            <v>Functioning</v>
          </cell>
          <cell r="U1052" t="str">
            <v>Asset</v>
          </cell>
          <cell r="V1052">
            <v>10825</v>
          </cell>
          <cell r="W1052" t="str">
            <v>KEW</v>
          </cell>
          <cell r="X1052" t="str">
            <v>01/09/2010</v>
          </cell>
          <cell r="Y1052" t="str">
            <v>KEW</v>
          </cell>
          <cell r="Z1052" t="str">
            <v>16/08/2013</v>
          </cell>
          <cell r="AA1052" t="str">
            <v>15/08/2015</v>
          </cell>
          <cell r="AB1052" t="str">
            <v>No</v>
          </cell>
          <cell r="AC1052" t="str">
            <v>31/08/2013</v>
          </cell>
          <cell r="AD1052" t="str">
            <v>Good</v>
          </cell>
          <cell r="AE1052" t="str">
            <v>V1 - Existing / No Claim</v>
          </cell>
          <cell r="AF1052">
            <v>42793</v>
          </cell>
          <cell r="AG1052">
            <v>9.17</v>
          </cell>
          <cell r="AH1052" t="str">
            <v>PPM</v>
          </cell>
          <cell r="AI1052" t="str">
            <v>Strands</v>
          </cell>
          <cell r="AJ1052" t="str">
            <v>Strands PW</v>
          </cell>
        </row>
        <row r="1053">
          <cell r="A1053" t="str">
            <v>IKN400633</v>
          </cell>
          <cell r="B1053">
            <v>633</v>
          </cell>
          <cell r="C1053" t="str">
            <v>Institut Kanser Negara</v>
          </cell>
          <cell r="D1053" t="str">
            <v>KKM/IKN/H/13/1590</v>
          </cell>
          <cell r="E1053" t="str">
            <v>13-215</v>
          </cell>
          <cell r="F1053" t="str">
            <v>Infusion Pumps, General-Purpose</v>
          </cell>
          <cell r="G1053" t="str">
            <v>DO</v>
          </cell>
          <cell r="H1053" t="str">
            <v>DAY ONCOLOGY UNIT</v>
          </cell>
          <cell r="I1053" t="str">
            <v>04DO120</v>
          </cell>
          <cell r="J1053" t="str">
            <v>TREATMENT BAY 3</v>
          </cell>
          <cell r="K1053" t="str">
            <v>BMED</v>
          </cell>
          <cell r="L1053" t="str">
            <v>Critical</v>
          </cell>
          <cell r="M1053" t="str">
            <v>Germany</v>
          </cell>
          <cell r="N1053" t="str">
            <v>Infusomat</v>
          </cell>
          <cell r="O1053" t="str">
            <v>Infusomat Space</v>
          </cell>
          <cell r="P1053" t="str">
            <v>212061</v>
          </cell>
          <cell r="Q1053" t="str">
            <v>Not Applicable</v>
          </cell>
          <cell r="R1053" t="str">
            <v>B Braun Melsungen AG</v>
          </cell>
          <cell r="S1053" t="str">
            <v>B Braun Medical Supplies Sdn. Bhd.</v>
          </cell>
          <cell r="T1053" t="str">
            <v>Functioning</v>
          </cell>
          <cell r="U1053" t="str">
            <v>Asset</v>
          </cell>
          <cell r="V1053">
            <v>10825</v>
          </cell>
          <cell r="W1053" t="str">
            <v>KEW</v>
          </cell>
          <cell r="X1053" t="str">
            <v>01/09/2010</v>
          </cell>
          <cell r="Y1053" t="str">
            <v>KEW</v>
          </cell>
          <cell r="Z1053" t="str">
            <v>16/08/2013</v>
          </cell>
          <cell r="AA1053" t="str">
            <v>15/08/2015</v>
          </cell>
          <cell r="AB1053" t="str">
            <v>No</v>
          </cell>
          <cell r="AC1053" t="str">
            <v>31/08/2013</v>
          </cell>
          <cell r="AD1053" t="str">
            <v>Good</v>
          </cell>
          <cell r="AE1053" t="str">
            <v>V1 - Existing / No Claim</v>
          </cell>
          <cell r="AF1053">
            <v>42793</v>
          </cell>
          <cell r="AG1053">
            <v>9.17</v>
          </cell>
          <cell r="AH1053" t="str">
            <v>PPM</v>
          </cell>
          <cell r="AI1053" t="str">
            <v>Strands</v>
          </cell>
          <cell r="AJ1053" t="str">
            <v>Strands PW</v>
          </cell>
        </row>
        <row r="1054">
          <cell r="A1054" t="str">
            <v>IKN400634</v>
          </cell>
          <cell r="B1054">
            <v>634</v>
          </cell>
          <cell r="C1054" t="str">
            <v>Institut Kanser Negara</v>
          </cell>
          <cell r="D1054" t="str">
            <v>KKM/IKN/H/13/1605</v>
          </cell>
          <cell r="E1054" t="str">
            <v>17-950</v>
          </cell>
          <cell r="F1054" t="str">
            <v>Warming Units, Patient, Forced-Air</v>
          </cell>
          <cell r="G1054" t="str">
            <v>DO</v>
          </cell>
          <cell r="H1054" t="str">
            <v>DAY ONCOLOGY UNIT</v>
          </cell>
          <cell r="I1054" t="str">
            <v>04DO120</v>
          </cell>
          <cell r="J1054" t="str">
            <v>TREATMENT BAY 3</v>
          </cell>
          <cell r="K1054" t="str">
            <v>BMED</v>
          </cell>
          <cell r="L1054" t="str">
            <v>Normal</v>
          </cell>
          <cell r="M1054" t="str">
            <v>USA</v>
          </cell>
          <cell r="N1054" t="str">
            <v>Bair Hugger</v>
          </cell>
          <cell r="O1054" t="str">
            <v>Bair Hugger 775</v>
          </cell>
          <cell r="P1054" t="str">
            <v>35939</v>
          </cell>
          <cell r="Q1054" t="str">
            <v>Not Applicable</v>
          </cell>
          <cell r="R1054" t="str">
            <v>Arizant Healthcare Inc</v>
          </cell>
          <cell r="S1054" t="str">
            <v>Calmed Healthcare Sdn Bhd</v>
          </cell>
          <cell r="T1054" t="str">
            <v>Functioning</v>
          </cell>
          <cell r="U1054" t="str">
            <v>Asset</v>
          </cell>
          <cell r="V1054">
            <v>15515</v>
          </cell>
          <cell r="W1054" t="str">
            <v>KEW</v>
          </cell>
          <cell r="X1054" t="str">
            <v>01/09/2010</v>
          </cell>
          <cell r="Y1054" t="str">
            <v>KEW</v>
          </cell>
          <cell r="Z1054" t="str">
            <v>16/08/2013</v>
          </cell>
          <cell r="AA1054" t="str">
            <v>15/08/2015</v>
          </cell>
          <cell r="AB1054" t="str">
            <v>No</v>
          </cell>
          <cell r="AC1054" t="str">
            <v>31/08/2013</v>
          </cell>
          <cell r="AD1054" t="str">
            <v>Good</v>
          </cell>
          <cell r="AE1054" t="str">
            <v>V1 - Existing / No Claim</v>
          </cell>
          <cell r="AF1054">
            <v>42235</v>
          </cell>
          <cell r="AG1054">
            <v>9.17</v>
          </cell>
          <cell r="AH1054" t="str">
            <v>PPM</v>
          </cell>
          <cell r="AI1054" t="str">
            <v>Strands</v>
          </cell>
          <cell r="AJ1054" t="str">
            <v>Strands PW</v>
          </cell>
        </row>
        <row r="1055">
          <cell r="A1055" t="str">
            <v>IKN400635</v>
          </cell>
          <cell r="B1055">
            <v>635</v>
          </cell>
          <cell r="C1055" t="str">
            <v>Institut Kanser Negara</v>
          </cell>
          <cell r="D1055" t="str">
            <v>KKM/IKN/H/13/1606</v>
          </cell>
          <cell r="E1055" t="str">
            <v>17-950</v>
          </cell>
          <cell r="F1055" t="str">
            <v>Warming Units, Patient, Forced-Air</v>
          </cell>
          <cell r="G1055" t="str">
            <v>DO</v>
          </cell>
          <cell r="H1055" t="str">
            <v>DAY ONCOLOGY UNIT</v>
          </cell>
          <cell r="I1055" t="str">
            <v>04DO120</v>
          </cell>
          <cell r="J1055" t="str">
            <v>TREATMENT BAY 3</v>
          </cell>
          <cell r="K1055" t="str">
            <v>BMED</v>
          </cell>
          <cell r="L1055" t="str">
            <v>Normal</v>
          </cell>
          <cell r="M1055" t="str">
            <v>USA</v>
          </cell>
          <cell r="N1055" t="str">
            <v>Bair Hugger</v>
          </cell>
          <cell r="O1055" t="str">
            <v>Bair Hugger 775</v>
          </cell>
          <cell r="P1055" t="str">
            <v>35940</v>
          </cell>
          <cell r="Q1055" t="str">
            <v>Not Applicable</v>
          </cell>
          <cell r="R1055" t="str">
            <v>Arizant Healthcare Inc</v>
          </cell>
          <cell r="S1055" t="str">
            <v>Calmed Healthcare Sdn Bhd</v>
          </cell>
          <cell r="T1055" t="str">
            <v>Functioning</v>
          </cell>
          <cell r="U1055" t="str">
            <v>Asset</v>
          </cell>
          <cell r="V1055">
            <v>15515</v>
          </cell>
          <cell r="W1055" t="str">
            <v>KEW</v>
          </cell>
          <cell r="X1055" t="str">
            <v>01/09/2010</v>
          </cell>
          <cell r="Y1055" t="str">
            <v>KEW</v>
          </cell>
          <cell r="Z1055" t="str">
            <v>16/08/2013</v>
          </cell>
          <cell r="AA1055" t="str">
            <v>15/08/2015</v>
          </cell>
          <cell r="AB1055" t="str">
            <v>No</v>
          </cell>
          <cell r="AC1055" t="str">
            <v>31/08/2013</v>
          </cell>
          <cell r="AD1055" t="str">
            <v>Good</v>
          </cell>
          <cell r="AE1055" t="str">
            <v>V1 - Existing / No Claim</v>
          </cell>
          <cell r="AF1055">
            <v>42871</v>
          </cell>
          <cell r="AG1055">
            <v>9.17</v>
          </cell>
          <cell r="AH1055" t="str">
            <v>PPM</v>
          </cell>
          <cell r="AI1055" t="str">
            <v>Strands</v>
          </cell>
          <cell r="AJ1055" t="str">
            <v>Strands PW</v>
          </cell>
        </row>
        <row r="1056">
          <cell r="A1056" t="str">
            <v>IKN400636</v>
          </cell>
          <cell r="B1056">
            <v>636</v>
          </cell>
          <cell r="C1056" t="str">
            <v>Institut Kanser Negara</v>
          </cell>
          <cell r="D1056" t="str">
            <v>KKM/IKN/H/13/1381</v>
          </cell>
          <cell r="E1056" t="str">
            <v>13-217</v>
          </cell>
          <cell r="F1056" t="str">
            <v>Infusion Pumps, Syringe</v>
          </cell>
          <cell r="G1056" t="str">
            <v>DO</v>
          </cell>
          <cell r="H1056" t="str">
            <v>DAY ONCOLOGY UNIT</v>
          </cell>
          <cell r="I1056" t="str">
            <v>04DO121</v>
          </cell>
          <cell r="J1056" t="str">
            <v>TREATMENT BAY 4</v>
          </cell>
          <cell r="K1056" t="str">
            <v>BMED</v>
          </cell>
          <cell r="L1056" t="str">
            <v>Critical</v>
          </cell>
          <cell r="M1056" t="str">
            <v>Germany</v>
          </cell>
          <cell r="N1056" t="str">
            <v>Perfusor</v>
          </cell>
          <cell r="O1056" t="str">
            <v>Perfusor Space</v>
          </cell>
          <cell r="P1056" t="str">
            <v>187011</v>
          </cell>
          <cell r="Q1056" t="str">
            <v>Not Applicable</v>
          </cell>
          <cell r="R1056" t="str">
            <v>B Braun Melsungen AG</v>
          </cell>
          <cell r="S1056" t="str">
            <v>B Braun Medical Supplies Sdn. Bhd.</v>
          </cell>
          <cell r="T1056" t="str">
            <v>Functioning</v>
          </cell>
          <cell r="U1056" t="str">
            <v>Asset</v>
          </cell>
          <cell r="V1056">
            <v>10225</v>
          </cell>
          <cell r="W1056" t="str">
            <v>KEW</v>
          </cell>
          <cell r="X1056" t="str">
            <v>01/09/2010</v>
          </cell>
          <cell r="Y1056" t="str">
            <v>KEW</v>
          </cell>
          <cell r="Z1056" t="str">
            <v>16/08/2013</v>
          </cell>
          <cell r="AA1056" t="str">
            <v>15/08/2015</v>
          </cell>
          <cell r="AB1056" t="str">
            <v>No</v>
          </cell>
          <cell r="AC1056" t="str">
            <v>31/08/2013</v>
          </cell>
          <cell r="AD1056" t="str">
            <v>Good</v>
          </cell>
          <cell r="AE1056" t="str">
            <v>V1 - Existing / No Claim</v>
          </cell>
          <cell r="AF1056">
            <v>42793</v>
          </cell>
          <cell r="AG1056">
            <v>9.17</v>
          </cell>
          <cell r="AH1056" t="str">
            <v>PPM</v>
          </cell>
          <cell r="AI1056" t="str">
            <v>Strands</v>
          </cell>
          <cell r="AJ1056" t="str">
            <v>Strands PW</v>
          </cell>
        </row>
        <row r="1057">
          <cell r="A1057" t="str">
            <v>IKN400637</v>
          </cell>
          <cell r="B1057">
            <v>637</v>
          </cell>
          <cell r="C1057" t="str">
            <v>Institut Kanser Negara</v>
          </cell>
          <cell r="D1057" t="str">
            <v>KKM/IKN/H/13/1382</v>
          </cell>
          <cell r="E1057" t="str">
            <v>13-217</v>
          </cell>
          <cell r="F1057" t="str">
            <v>Infusion Pumps, Syringe</v>
          </cell>
          <cell r="G1057" t="str">
            <v>DO</v>
          </cell>
          <cell r="H1057" t="str">
            <v>DAY ONCOLOGY UNIT</v>
          </cell>
          <cell r="I1057" t="str">
            <v>04DO121</v>
          </cell>
          <cell r="J1057" t="str">
            <v>TREATMENT BAY 4</v>
          </cell>
          <cell r="K1057" t="str">
            <v>BMED</v>
          </cell>
          <cell r="L1057" t="str">
            <v>Critical</v>
          </cell>
          <cell r="M1057" t="str">
            <v>Germany</v>
          </cell>
          <cell r="N1057" t="str">
            <v>Perfusor</v>
          </cell>
          <cell r="O1057" t="str">
            <v>Perfusor Space</v>
          </cell>
          <cell r="P1057" t="str">
            <v>187030</v>
          </cell>
          <cell r="Q1057" t="str">
            <v>Not Applicable</v>
          </cell>
          <cell r="R1057" t="str">
            <v>B Braun Melsungen AG</v>
          </cell>
          <cell r="S1057" t="str">
            <v>B Braun Medical Supplies Sdn. Bhd.</v>
          </cell>
          <cell r="T1057" t="str">
            <v>Functioning</v>
          </cell>
          <cell r="U1057" t="str">
            <v>Asset</v>
          </cell>
          <cell r="V1057">
            <v>10225</v>
          </cell>
          <cell r="W1057" t="str">
            <v>KEW</v>
          </cell>
          <cell r="X1057" t="str">
            <v>01/09/2010</v>
          </cell>
          <cell r="Y1057" t="str">
            <v>KEW</v>
          </cell>
          <cell r="Z1057" t="str">
            <v>16/08/2013</v>
          </cell>
          <cell r="AA1057" t="str">
            <v>15/08/2015</v>
          </cell>
          <cell r="AB1057" t="str">
            <v>No</v>
          </cell>
          <cell r="AC1057" t="str">
            <v>31/08/2013</v>
          </cell>
          <cell r="AD1057" t="str">
            <v>Good</v>
          </cell>
          <cell r="AE1057" t="str">
            <v>V1 - Existing / No Claim</v>
          </cell>
          <cell r="AF1057">
            <v>42793</v>
          </cell>
          <cell r="AG1057">
            <v>9.17</v>
          </cell>
          <cell r="AH1057" t="str">
            <v>PPM</v>
          </cell>
          <cell r="AI1057" t="str">
            <v>Strands</v>
          </cell>
          <cell r="AJ1057" t="str">
            <v>Strands PW</v>
          </cell>
        </row>
        <row r="1058">
          <cell r="A1058" t="str">
            <v>IKN400638</v>
          </cell>
          <cell r="B1058">
            <v>638</v>
          </cell>
          <cell r="C1058" t="str">
            <v>Institut Kanser Negara</v>
          </cell>
          <cell r="D1058" t="str">
            <v>KKM/IKN/H/13/1383</v>
          </cell>
          <cell r="E1058" t="str">
            <v>13-217</v>
          </cell>
          <cell r="F1058" t="str">
            <v>Infusion Pumps, Syringe</v>
          </cell>
          <cell r="G1058" t="str">
            <v>DO</v>
          </cell>
          <cell r="H1058" t="str">
            <v>DAY ONCOLOGY UNIT</v>
          </cell>
          <cell r="I1058" t="str">
            <v>04DO121</v>
          </cell>
          <cell r="J1058" t="str">
            <v>TREATMENT BAY 4</v>
          </cell>
          <cell r="K1058" t="str">
            <v>BMED</v>
          </cell>
          <cell r="L1058" t="str">
            <v>Critical</v>
          </cell>
          <cell r="M1058" t="str">
            <v>Germany</v>
          </cell>
          <cell r="N1058" t="str">
            <v>Perfusor</v>
          </cell>
          <cell r="O1058" t="str">
            <v>Perfusor Space</v>
          </cell>
          <cell r="P1058" t="str">
            <v>187042</v>
          </cell>
          <cell r="Q1058" t="str">
            <v>Not Applicable</v>
          </cell>
          <cell r="R1058" t="str">
            <v>B Braun Melsungen AG</v>
          </cell>
          <cell r="S1058" t="str">
            <v>B Braun Medical Supplies Sdn. Bhd.</v>
          </cell>
          <cell r="T1058" t="str">
            <v>Functioning</v>
          </cell>
          <cell r="U1058" t="str">
            <v>Asset</v>
          </cell>
          <cell r="V1058">
            <v>10225</v>
          </cell>
          <cell r="W1058" t="str">
            <v>KEW</v>
          </cell>
          <cell r="X1058" t="str">
            <v>01/09/2010</v>
          </cell>
          <cell r="Y1058" t="str">
            <v>KEW</v>
          </cell>
          <cell r="Z1058" t="str">
            <v>16/08/2013</v>
          </cell>
          <cell r="AA1058" t="str">
            <v>15/08/2015</v>
          </cell>
          <cell r="AB1058" t="str">
            <v>No</v>
          </cell>
          <cell r="AC1058" t="str">
            <v>31/08/2013</v>
          </cell>
          <cell r="AD1058" t="str">
            <v>Good</v>
          </cell>
          <cell r="AE1058" t="str">
            <v>V1 - Existing / No Claim</v>
          </cell>
          <cell r="AF1058">
            <v>42793</v>
          </cell>
          <cell r="AG1058">
            <v>9.17</v>
          </cell>
          <cell r="AH1058" t="str">
            <v>PPM</v>
          </cell>
          <cell r="AI1058" t="str">
            <v>Strands</v>
          </cell>
          <cell r="AJ1058" t="str">
            <v>Strands PW</v>
          </cell>
        </row>
        <row r="1059">
          <cell r="A1059" t="str">
            <v>IKN400639</v>
          </cell>
          <cell r="B1059">
            <v>639</v>
          </cell>
          <cell r="C1059" t="str">
            <v>Institut Kanser Negara</v>
          </cell>
          <cell r="D1059" t="str">
            <v>KKM/IKN/H/13/1384</v>
          </cell>
          <cell r="E1059" t="str">
            <v>13-217</v>
          </cell>
          <cell r="F1059" t="str">
            <v>Infusion Pumps, Syringe</v>
          </cell>
          <cell r="G1059" t="str">
            <v>DO</v>
          </cell>
          <cell r="H1059" t="str">
            <v>DAY ONCOLOGY UNIT</v>
          </cell>
          <cell r="I1059" t="str">
            <v>04DO121</v>
          </cell>
          <cell r="J1059" t="str">
            <v>TREATMENT BAY 4</v>
          </cell>
          <cell r="K1059" t="str">
            <v>BMED</v>
          </cell>
          <cell r="L1059" t="str">
            <v>Critical</v>
          </cell>
          <cell r="M1059" t="str">
            <v>Germany</v>
          </cell>
          <cell r="N1059" t="str">
            <v>Perfusor</v>
          </cell>
          <cell r="O1059" t="str">
            <v>Perfusor Space</v>
          </cell>
          <cell r="P1059" t="str">
            <v>187045</v>
          </cell>
          <cell r="Q1059" t="str">
            <v>Not Applicable</v>
          </cell>
          <cell r="R1059" t="str">
            <v>B Braun Melsungen AG</v>
          </cell>
          <cell r="S1059" t="str">
            <v>B Braun Medical Supplies Sdn. Bhd.</v>
          </cell>
          <cell r="T1059" t="str">
            <v>Functioning</v>
          </cell>
          <cell r="U1059" t="str">
            <v>Asset</v>
          </cell>
          <cell r="V1059">
            <v>10225</v>
          </cell>
          <cell r="W1059" t="str">
            <v>KEW</v>
          </cell>
          <cell r="X1059" t="str">
            <v>01/09/2010</v>
          </cell>
          <cell r="Y1059" t="str">
            <v>KEW</v>
          </cell>
          <cell r="Z1059" t="str">
            <v>16/08/2013</v>
          </cell>
          <cell r="AA1059" t="str">
            <v>15/08/2015</v>
          </cell>
          <cell r="AB1059" t="str">
            <v>No</v>
          </cell>
          <cell r="AC1059" t="str">
            <v>31/08/2013</v>
          </cell>
          <cell r="AD1059" t="str">
            <v>Good</v>
          </cell>
          <cell r="AE1059" t="str">
            <v>V1 - Existing / No Claim</v>
          </cell>
          <cell r="AF1059">
            <v>42793</v>
          </cell>
          <cell r="AG1059">
            <v>9.17</v>
          </cell>
          <cell r="AH1059" t="str">
            <v>PPM</v>
          </cell>
          <cell r="AI1059" t="str">
            <v>Strands</v>
          </cell>
          <cell r="AJ1059" t="str">
            <v>Strands PW</v>
          </cell>
        </row>
        <row r="1060">
          <cell r="A1060" t="str">
            <v>IKN400640</v>
          </cell>
          <cell r="B1060">
            <v>640</v>
          </cell>
          <cell r="C1060" t="str">
            <v>Institut Kanser Negara</v>
          </cell>
          <cell r="D1060" t="str">
            <v>KKM/IKN/H/13/1385</v>
          </cell>
          <cell r="E1060" t="str">
            <v>13-217</v>
          </cell>
          <cell r="F1060" t="str">
            <v>Infusion Pumps, Syringe</v>
          </cell>
          <cell r="G1060" t="str">
            <v>DO</v>
          </cell>
          <cell r="H1060" t="str">
            <v>DAY ONCOLOGY UNIT</v>
          </cell>
          <cell r="I1060" t="str">
            <v>04DO121</v>
          </cell>
          <cell r="J1060" t="str">
            <v>TREATMENT BAY 4</v>
          </cell>
          <cell r="K1060" t="str">
            <v>BMED</v>
          </cell>
          <cell r="L1060" t="str">
            <v>Critical</v>
          </cell>
          <cell r="M1060" t="str">
            <v>Germany</v>
          </cell>
          <cell r="N1060" t="str">
            <v>Perfusor</v>
          </cell>
          <cell r="O1060" t="str">
            <v>Perfusor Space</v>
          </cell>
          <cell r="P1060" t="str">
            <v>178269</v>
          </cell>
          <cell r="Q1060" t="str">
            <v>Not Applicable</v>
          </cell>
          <cell r="R1060" t="str">
            <v>B Braun Melsungen AG</v>
          </cell>
          <cell r="S1060" t="str">
            <v>B Braun Medical Supplies Sdn. Bhd.</v>
          </cell>
          <cell r="T1060" t="str">
            <v>Functioning</v>
          </cell>
          <cell r="U1060" t="str">
            <v>Asset</v>
          </cell>
          <cell r="V1060">
            <v>10225</v>
          </cell>
          <cell r="W1060" t="str">
            <v>KEW</v>
          </cell>
          <cell r="X1060" t="str">
            <v>01/09/2010</v>
          </cell>
          <cell r="Y1060" t="str">
            <v>KEW</v>
          </cell>
          <cell r="Z1060" t="str">
            <v>16/08/2013</v>
          </cell>
          <cell r="AA1060" t="str">
            <v>15/08/2015</v>
          </cell>
          <cell r="AB1060" t="str">
            <v>No</v>
          </cell>
          <cell r="AC1060" t="str">
            <v>31/08/2013</v>
          </cell>
          <cell r="AD1060" t="str">
            <v>Good</v>
          </cell>
          <cell r="AE1060" t="str">
            <v>V1 - Existing / No Claim</v>
          </cell>
          <cell r="AF1060">
            <v>42793</v>
          </cell>
          <cell r="AG1060">
            <v>9.17</v>
          </cell>
          <cell r="AH1060" t="str">
            <v>PPM</v>
          </cell>
          <cell r="AI1060" t="str">
            <v>Strands</v>
          </cell>
          <cell r="AJ1060" t="str">
            <v>Strands PW</v>
          </cell>
        </row>
        <row r="1061">
          <cell r="A1061" t="str">
            <v>IKN400641</v>
          </cell>
          <cell r="B1061">
            <v>641</v>
          </cell>
          <cell r="C1061" t="str">
            <v>Institut Kanser Negara</v>
          </cell>
          <cell r="D1061" t="str">
            <v>KKM/IKN/H/13/1386</v>
          </cell>
          <cell r="E1061" t="str">
            <v>13-217</v>
          </cell>
          <cell r="F1061" t="str">
            <v>Infusion Pumps, Syringe</v>
          </cell>
          <cell r="G1061" t="str">
            <v>DO</v>
          </cell>
          <cell r="H1061" t="str">
            <v>DAY ONCOLOGY UNIT</v>
          </cell>
          <cell r="I1061" t="str">
            <v>04DO121</v>
          </cell>
          <cell r="J1061" t="str">
            <v>TREATMENT BAY 4</v>
          </cell>
          <cell r="K1061" t="str">
            <v>BMED</v>
          </cell>
          <cell r="L1061" t="str">
            <v>Critical</v>
          </cell>
          <cell r="M1061" t="str">
            <v>Germany</v>
          </cell>
          <cell r="N1061" t="str">
            <v>Perfusor</v>
          </cell>
          <cell r="O1061" t="str">
            <v>Perfusor Space</v>
          </cell>
          <cell r="P1061" t="str">
            <v>181597</v>
          </cell>
          <cell r="Q1061" t="str">
            <v>Not Applicable</v>
          </cell>
          <cell r="R1061" t="str">
            <v>B Braun Melsungen AG</v>
          </cell>
          <cell r="S1061" t="str">
            <v>B Braun Medical Supplies Sdn. Bhd.</v>
          </cell>
          <cell r="T1061" t="str">
            <v>Functioning</v>
          </cell>
          <cell r="U1061" t="str">
            <v>Asset</v>
          </cell>
          <cell r="V1061">
            <v>10225</v>
          </cell>
          <cell r="W1061" t="str">
            <v>KEW</v>
          </cell>
          <cell r="X1061" t="str">
            <v>01/09/2010</v>
          </cell>
          <cell r="Y1061" t="str">
            <v>KEW</v>
          </cell>
          <cell r="Z1061" t="str">
            <v>16/08/2013</v>
          </cell>
          <cell r="AA1061" t="str">
            <v>15/08/2015</v>
          </cell>
          <cell r="AB1061" t="str">
            <v>No</v>
          </cell>
          <cell r="AC1061" t="str">
            <v>31/08/2013</v>
          </cell>
          <cell r="AD1061" t="str">
            <v>Good</v>
          </cell>
          <cell r="AE1061" t="str">
            <v>V1 - Existing / No Claim</v>
          </cell>
          <cell r="AF1061">
            <v>42793</v>
          </cell>
          <cell r="AG1061">
            <v>9.17</v>
          </cell>
          <cell r="AH1061" t="str">
            <v>PPM</v>
          </cell>
          <cell r="AI1061" t="str">
            <v>Strands</v>
          </cell>
          <cell r="AJ1061" t="str">
            <v>Strands PW</v>
          </cell>
        </row>
        <row r="1062">
          <cell r="A1062" t="str">
            <v>IKN400642</v>
          </cell>
          <cell r="B1062">
            <v>642</v>
          </cell>
          <cell r="C1062" t="str">
            <v>Institut Kanser Negara</v>
          </cell>
          <cell r="D1062" t="str">
            <v>KKM/IKN/H/13/1591</v>
          </cell>
          <cell r="E1062" t="str">
            <v>13-215</v>
          </cell>
          <cell r="F1062" t="str">
            <v>Infusion Pumps, General-Purpose</v>
          </cell>
          <cell r="G1062" t="str">
            <v>DO</v>
          </cell>
          <cell r="H1062" t="str">
            <v>DAY ONCOLOGY UNIT</v>
          </cell>
          <cell r="I1062" t="str">
            <v>04DO121</v>
          </cell>
          <cell r="J1062" t="str">
            <v>TREATMENT BAY 4</v>
          </cell>
          <cell r="K1062" t="str">
            <v>BMED</v>
          </cell>
          <cell r="L1062" t="str">
            <v>Critical</v>
          </cell>
          <cell r="M1062" t="str">
            <v>Germany</v>
          </cell>
          <cell r="N1062" t="str">
            <v>Infusomat</v>
          </cell>
          <cell r="O1062" t="str">
            <v>Infusomat Space</v>
          </cell>
          <cell r="P1062" t="str">
            <v>211645</v>
          </cell>
          <cell r="Q1062" t="str">
            <v>Not Applicable</v>
          </cell>
          <cell r="R1062" t="str">
            <v>B Braun Melsungen AG</v>
          </cell>
          <cell r="S1062" t="str">
            <v>B Braun Medical Supplies Sdn. Bhd.</v>
          </cell>
          <cell r="T1062" t="str">
            <v>Functioning</v>
          </cell>
          <cell r="U1062" t="str">
            <v>Asset</v>
          </cell>
          <cell r="V1062">
            <v>10825</v>
          </cell>
          <cell r="W1062" t="str">
            <v>KEW</v>
          </cell>
          <cell r="X1062" t="str">
            <v>01/09/2010</v>
          </cell>
          <cell r="Y1062" t="str">
            <v>KEW</v>
          </cell>
          <cell r="Z1062" t="str">
            <v>16/08/2013</v>
          </cell>
          <cell r="AA1062" t="str">
            <v>15/08/2015</v>
          </cell>
          <cell r="AB1062" t="str">
            <v>No</v>
          </cell>
          <cell r="AC1062" t="str">
            <v>31/08/2013</v>
          </cell>
          <cell r="AD1062" t="str">
            <v>Good</v>
          </cell>
          <cell r="AE1062" t="str">
            <v>V1 - Existing / No Claim</v>
          </cell>
          <cell r="AF1062">
            <v>42793</v>
          </cell>
          <cell r="AG1062">
            <v>9.17</v>
          </cell>
          <cell r="AH1062" t="str">
            <v>PPM</v>
          </cell>
          <cell r="AI1062" t="str">
            <v>Strands</v>
          </cell>
          <cell r="AJ1062" t="str">
            <v>Strands PW</v>
          </cell>
        </row>
        <row r="1063">
          <cell r="A1063" t="str">
            <v>IKN400643</v>
          </cell>
          <cell r="B1063">
            <v>643</v>
          </cell>
          <cell r="C1063" t="str">
            <v>Institut Kanser Negara</v>
          </cell>
          <cell r="D1063" t="str">
            <v>KKM/IKN/H/13/1593</v>
          </cell>
          <cell r="E1063" t="str">
            <v>13-215</v>
          </cell>
          <cell r="F1063" t="str">
            <v>Infusion Pumps, General-Purpose</v>
          </cell>
          <cell r="G1063" t="str">
            <v>DO</v>
          </cell>
          <cell r="H1063" t="str">
            <v>DAY ONCOLOGY UNIT</v>
          </cell>
          <cell r="I1063" t="str">
            <v>04DO121</v>
          </cell>
          <cell r="J1063" t="str">
            <v>TREATMENT BAY 4</v>
          </cell>
          <cell r="K1063" t="str">
            <v>BMED</v>
          </cell>
          <cell r="L1063" t="str">
            <v>Critical</v>
          </cell>
          <cell r="M1063" t="str">
            <v>Germany</v>
          </cell>
          <cell r="N1063" t="str">
            <v>Infusomat</v>
          </cell>
          <cell r="O1063" t="str">
            <v>Infusomat Space</v>
          </cell>
          <cell r="P1063" t="str">
            <v>211785</v>
          </cell>
          <cell r="Q1063" t="str">
            <v>Not Applicable</v>
          </cell>
          <cell r="R1063" t="str">
            <v>B Braun Melsungen AG</v>
          </cell>
          <cell r="S1063" t="str">
            <v>B Braun Medical Supplies Sdn. Bhd.</v>
          </cell>
          <cell r="T1063" t="str">
            <v>Functioning</v>
          </cell>
          <cell r="U1063" t="str">
            <v>Asset</v>
          </cell>
          <cell r="V1063">
            <v>10825</v>
          </cell>
          <cell r="W1063" t="str">
            <v>KEW</v>
          </cell>
          <cell r="X1063" t="str">
            <v>01/09/2010</v>
          </cell>
          <cell r="Y1063" t="str">
            <v>KEW</v>
          </cell>
          <cell r="Z1063" t="str">
            <v>16/08/2013</v>
          </cell>
          <cell r="AA1063" t="str">
            <v>15/08/2015</v>
          </cell>
          <cell r="AB1063" t="str">
            <v>No</v>
          </cell>
          <cell r="AC1063" t="str">
            <v>31/08/2013</v>
          </cell>
          <cell r="AD1063" t="str">
            <v>Good</v>
          </cell>
          <cell r="AE1063" t="str">
            <v>V1 - Existing / No Claim</v>
          </cell>
          <cell r="AF1063">
            <v>42793</v>
          </cell>
          <cell r="AG1063">
            <v>9.17</v>
          </cell>
          <cell r="AH1063" t="str">
            <v>PPM</v>
          </cell>
          <cell r="AI1063" t="str">
            <v>Strands</v>
          </cell>
          <cell r="AJ1063" t="str">
            <v>Strands PW</v>
          </cell>
        </row>
        <row r="1064">
          <cell r="A1064" t="str">
            <v>IKN400644</v>
          </cell>
          <cell r="B1064">
            <v>644</v>
          </cell>
          <cell r="C1064" t="str">
            <v>Institut Kanser Negara</v>
          </cell>
          <cell r="D1064" t="str">
            <v>KKM/IKN/H/13/1594</v>
          </cell>
          <cell r="E1064" t="str">
            <v>13-215</v>
          </cell>
          <cell r="F1064" t="str">
            <v>Infusion Pumps, General-Purpose</v>
          </cell>
          <cell r="G1064" t="str">
            <v>DO</v>
          </cell>
          <cell r="H1064" t="str">
            <v>DAY ONCOLOGY UNIT</v>
          </cell>
          <cell r="I1064" t="str">
            <v>04DO121</v>
          </cell>
          <cell r="J1064" t="str">
            <v>TREATMENT BAY 4</v>
          </cell>
          <cell r="K1064" t="str">
            <v>BMED</v>
          </cell>
          <cell r="L1064" t="str">
            <v>Critical</v>
          </cell>
          <cell r="M1064" t="str">
            <v>Germany</v>
          </cell>
          <cell r="N1064" t="str">
            <v>Infusomat</v>
          </cell>
          <cell r="O1064" t="str">
            <v>Infusomat Space</v>
          </cell>
          <cell r="P1064" t="str">
            <v>212067</v>
          </cell>
          <cell r="Q1064" t="str">
            <v>Not Applicable</v>
          </cell>
          <cell r="R1064" t="str">
            <v>B Braun Melsungen AG</v>
          </cell>
          <cell r="S1064" t="str">
            <v>B Braun Medical Supplies Sdn. Bhd.</v>
          </cell>
          <cell r="T1064" t="str">
            <v>Functioning</v>
          </cell>
          <cell r="U1064" t="str">
            <v>Asset</v>
          </cell>
          <cell r="V1064">
            <v>10825</v>
          </cell>
          <cell r="W1064" t="str">
            <v>KEW</v>
          </cell>
          <cell r="X1064" t="str">
            <v>01/09/2010</v>
          </cell>
          <cell r="Y1064" t="str">
            <v>KEW</v>
          </cell>
          <cell r="Z1064" t="str">
            <v>16/08/2013</v>
          </cell>
          <cell r="AA1064" t="str">
            <v>15/08/2015</v>
          </cell>
          <cell r="AB1064" t="str">
            <v>No</v>
          </cell>
          <cell r="AC1064" t="str">
            <v>31/08/2013</v>
          </cell>
          <cell r="AD1064" t="str">
            <v>Good</v>
          </cell>
          <cell r="AE1064" t="str">
            <v>V1 - Existing / No Claim</v>
          </cell>
          <cell r="AF1064">
            <v>42793</v>
          </cell>
          <cell r="AG1064">
            <v>9.17</v>
          </cell>
          <cell r="AH1064" t="str">
            <v>PPM</v>
          </cell>
          <cell r="AI1064" t="str">
            <v>Strands</v>
          </cell>
          <cell r="AJ1064" t="str">
            <v>Strands PW</v>
          </cell>
        </row>
        <row r="1065">
          <cell r="A1065" t="str">
            <v>IKN400645</v>
          </cell>
          <cell r="B1065">
            <v>645</v>
          </cell>
          <cell r="C1065" t="str">
            <v>Institut Kanser Negara</v>
          </cell>
          <cell r="D1065" t="str">
            <v>KKM/IKN/H/13/1595</v>
          </cell>
          <cell r="E1065" t="str">
            <v>13-215</v>
          </cell>
          <cell r="F1065" t="str">
            <v>Infusion Pumps, General-Purpose</v>
          </cell>
          <cell r="G1065" t="str">
            <v>DO</v>
          </cell>
          <cell r="H1065" t="str">
            <v>DAY ONCOLOGY UNIT</v>
          </cell>
          <cell r="I1065" t="str">
            <v>04DO121</v>
          </cell>
          <cell r="J1065" t="str">
            <v>TREATMENT BAY 4</v>
          </cell>
          <cell r="K1065" t="str">
            <v>BMED</v>
          </cell>
          <cell r="L1065" t="str">
            <v>Critical</v>
          </cell>
          <cell r="M1065" t="str">
            <v>Germany</v>
          </cell>
          <cell r="N1065" t="str">
            <v>Infusomat</v>
          </cell>
          <cell r="O1065" t="str">
            <v>Infusomat Space</v>
          </cell>
          <cell r="P1065" t="str">
            <v>212003</v>
          </cell>
          <cell r="Q1065" t="str">
            <v>Not Applicable</v>
          </cell>
          <cell r="R1065" t="str">
            <v>B Braun Melsungen AG</v>
          </cell>
          <cell r="S1065" t="str">
            <v>B Braun Medical Supplies Sdn. Bhd.</v>
          </cell>
          <cell r="T1065" t="str">
            <v>Functioning</v>
          </cell>
          <cell r="U1065" t="str">
            <v>Asset</v>
          </cell>
          <cell r="V1065">
            <v>10825</v>
          </cell>
          <cell r="W1065" t="str">
            <v>KEW</v>
          </cell>
          <cell r="X1065" t="str">
            <v>01/09/2010</v>
          </cell>
          <cell r="Y1065" t="str">
            <v>KEW</v>
          </cell>
          <cell r="Z1065" t="str">
            <v>16/08/2013</v>
          </cell>
          <cell r="AA1065" t="str">
            <v>15/08/2015</v>
          </cell>
          <cell r="AB1065" t="str">
            <v>No</v>
          </cell>
          <cell r="AC1065" t="str">
            <v>31/08/2013</v>
          </cell>
          <cell r="AD1065" t="str">
            <v>Good</v>
          </cell>
          <cell r="AE1065" t="str">
            <v>V1 - Existing / No Claim</v>
          </cell>
          <cell r="AF1065">
            <v>42793</v>
          </cell>
          <cell r="AG1065">
            <v>9.17</v>
          </cell>
          <cell r="AH1065" t="str">
            <v>PPM</v>
          </cell>
          <cell r="AI1065" t="str">
            <v>Strands</v>
          </cell>
          <cell r="AJ1065" t="str">
            <v>Strands PW</v>
          </cell>
        </row>
        <row r="1066">
          <cell r="A1066" t="str">
            <v>IKN400646</v>
          </cell>
          <cell r="B1066">
            <v>646</v>
          </cell>
          <cell r="C1066" t="str">
            <v>Institut Kanser Negara</v>
          </cell>
          <cell r="D1066" t="str">
            <v>KKM/IKN/H/13/1596</v>
          </cell>
          <cell r="E1066" t="str">
            <v>13-215</v>
          </cell>
          <cell r="F1066" t="str">
            <v>Infusion Pumps, General-Purpose</v>
          </cell>
          <cell r="G1066" t="str">
            <v>DO</v>
          </cell>
          <cell r="H1066" t="str">
            <v>DAY ONCOLOGY UNIT</v>
          </cell>
          <cell r="I1066" t="str">
            <v>04DO121</v>
          </cell>
          <cell r="J1066" t="str">
            <v>TREATMENT BAY 4</v>
          </cell>
          <cell r="K1066" t="str">
            <v>BMED</v>
          </cell>
          <cell r="L1066" t="str">
            <v>Critical</v>
          </cell>
          <cell r="M1066" t="str">
            <v>Germany</v>
          </cell>
          <cell r="N1066" t="str">
            <v>Infusomat</v>
          </cell>
          <cell r="O1066" t="str">
            <v>Infusomat Space</v>
          </cell>
          <cell r="P1066" t="str">
            <v>211993</v>
          </cell>
          <cell r="Q1066" t="str">
            <v>Not Applicable</v>
          </cell>
          <cell r="R1066" t="str">
            <v>B Braun Melsungen AG</v>
          </cell>
          <cell r="S1066" t="str">
            <v>B Braun Medical Supplies Sdn. Bhd.</v>
          </cell>
          <cell r="T1066" t="str">
            <v>Functioning</v>
          </cell>
          <cell r="U1066" t="str">
            <v>Asset</v>
          </cell>
          <cell r="V1066">
            <v>10825</v>
          </cell>
          <cell r="W1066" t="str">
            <v>KEW</v>
          </cell>
          <cell r="X1066" t="str">
            <v>01/09/2010</v>
          </cell>
          <cell r="Y1066" t="str">
            <v>KEW</v>
          </cell>
          <cell r="Z1066" t="str">
            <v>16/08/2013</v>
          </cell>
          <cell r="AA1066" t="str">
            <v>15/08/2015</v>
          </cell>
          <cell r="AB1066" t="str">
            <v>No</v>
          </cell>
          <cell r="AC1066" t="str">
            <v>31/08/2013</v>
          </cell>
          <cell r="AD1066" t="str">
            <v>Good</v>
          </cell>
          <cell r="AE1066" t="str">
            <v>V1 - Existing / No Claim</v>
          </cell>
          <cell r="AF1066">
            <v>42793</v>
          </cell>
          <cell r="AG1066">
            <v>9.17</v>
          </cell>
          <cell r="AH1066" t="str">
            <v>PPM</v>
          </cell>
          <cell r="AI1066" t="str">
            <v>Strands</v>
          </cell>
          <cell r="AJ1066" t="str">
            <v>Strands PW</v>
          </cell>
        </row>
        <row r="1067">
          <cell r="A1067" t="str">
            <v>IKN400647</v>
          </cell>
          <cell r="B1067">
            <v>647</v>
          </cell>
          <cell r="C1067" t="str">
            <v>Institut Kanser Negara</v>
          </cell>
          <cell r="D1067" t="str">
            <v>KKM/IKN/H/13/1597</v>
          </cell>
          <cell r="E1067" t="str">
            <v>13-215</v>
          </cell>
          <cell r="F1067" t="str">
            <v>Infusion Pumps, General-Purpose</v>
          </cell>
          <cell r="G1067" t="str">
            <v>DO</v>
          </cell>
          <cell r="H1067" t="str">
            <v>DAY ONCOLOGY UNIT</v>
          </cell>
          <cell r="I1067" t="str">
            <v>04DO121</v>
          </cell>
          <cell r="J1067" t="str">
            <v>TREATMENT BAY 4</v>
          </cell>
          <cell r="K1067" t="str">
            <v>BMED</v>
          </cell>
          <cell r="L1067" t="str">
            <v>Critical</v>
          </cell>
          <cell r="M1067" t="str">
            <v>Germany</v>
          </cell>
          <cell r="N1067" t="str">
            <v>Infusomat</v>
          </cell>
          <cell r="O1067" t="str">
            <v>Infusomat Space</v>
          </cell>
          <cell r="P1067" t="str">
            <v>212090</v>
          </cell>
          <cell r="Q1067" t="str">
            <v>Not Applicable</v>
          </cell>
          <cell r="R1067" t="str">
            <v>B Braun Melsungen AG</v>
          </cell>
          <cell r="S1067" t="str">
            <v>B Braun Medical Supplies Sdn. Bhd.</v>
          </cell>
          <cell r="T1067" t="str">
            <v>Functioning</v>
          </cell>
          <cell r="U1067" t="str">
            <v>Asset</v>
          </cell>
          <cell r="V1067">
            <v>10825</v>
          </cell>
          <cell r="W1067" t="str">
            <v>KEW</v>
          </cell>
          <cell r="X1067" t="str">
            <v>01/09/2010</v>
          </cell>
          <cell r="Y1067" t="str">
            <v>KEW</v>
          </cell>
          <cell r="Z1067" t="str">
            <v>16/08/2013</v>
          </cell>
          <cell r="AA1067" t="str">
            <v>15/08/2015</v>
          </cell>
          <cell r="AB1067" t="str">
            <v>No</v>
          </cell>
          <cell r="AC1067" t="str">
            <v>31/08/2013</v>
          </cell>
          <cell r="AD1067" t="str">
            <v>Good</v>
          </cell>
          <cell r="AE1067" t="str">
            <v>V1 - Existing / No Claim</v>
          </cell>
          <cell r="AF1067">
            <v>42793</v>
          </cell>
          <cell r="AG1067">
            <v>9.17</v>
          </cell>
          <cell r="AH1067" t="str">
            <v>PPM</v>
          </cell>
          <cell r="AI1067" t="str">
            <v>Strands</v>
          </cell>
          <cell r="AJ1067" t="str">
            <v>Strands PW</v>
          </cell>
        </row>
        <row r="1068">
          <cell r="A1068" t="str">
            <v>IKN400648</v>
          </cell>
          <cell r="B1068">
            <v>648</v>
          </cell>
          <cell r="C1068" t="str">
            <v>Institut Kanser Negara</v>
          </cell>
          <cell r="D1068" t="str">
            <v>KKM/IKN/H/13/1607</v>
          </cell>
          <cell r="E1068" t="str">
            <v>17-950</v>
          </cell>
          <cell r="F1068" t="str">
            <v>Warming Units, Patient, Forced-Air</v>
          </cell>
          <cell r="G1068" t="str">
            <v>RT</v>
          </cell>
          <cell r="H1068" t="str">
            <v>RADIATION TREATMENT UNIT</v>
          </cell>
          <cell r="I1068" t="str">
            <v>01RT243</v>
          </cell>
          <cell r="J1068" t="str">
            <v>NURSE STATION</v>
          </cell>
          <cell r="K1068" t="str">
            <v>BMED</v>
          </cell>
          <cell r="L1068" t="str">
            <v>Normal</v>
          </cell>
          <cell r="M1068" t="str">
            <v>USA</v>
          </cell>
          <cell r="N1068" t="str">
            <v>Bair Hugger</v>
          </cell>
          <cell r="O1068" t="str">
            <v>Bair Hugger 775</v>
          </cell>
          <cell r="P1068" t="str">
            <v>35941</v>
          </cell>
          <cell r="Q1068" t="str">
            <v>Not Applicable</v>
          </cell>
          <cell r="R1068" t="str">
            <v>Arizant Healthcare Inc</v>
          </cell>
          <cell r="S1068" t="str">
            <v>Calmed Healthcare Sdn Bhd</v>
          </cell>
          <cell r="T1068" t="str">
            <v>Functioning</v>
          </cell>
          <cell r="U1068" t="str">
            <v>Asset</v>
          </cell>
          <cell r="V1068">
            <v>15515</v>
          </cell>
          <cell r="W1068" t="str">
            <v>KEW</v>
          </cell>
          <cell r="X1068" t="str">
            <v>01/09/2010</v>
          </cell>
          <cell r="Y1068" t="str">
            <v>KEW</v>
          </cell>
          <cell r="Z1068" t="str">
            <v>16/08/2013</v>
          </cell>
          <cell r="AA1068" t="str">
            <v>15/08/2015</v>
          </cell>
          <cell r="AB1068" t="str">
            <v>No</v>
          </cell>
          <cell r="AC1068" t="str">
            <v>31/08/2013</v>
          </cell>
          <cell r="AD1068" t="str">
            <v>Good</v>
          </cell>
          <cell r="AE1068" t="str">
            <v>V1 - Existing / No Claim</v>
          </cell>
          <cell r="AF1068">
            <v>42871</v>
          </cell>
          <cell r="AG1068">
            <v>9.17</v>
          </cell>
          <cell r="AH1068" t="str">
            <v>PPM</v>
          </cell>
          <cell r="AI1068" t="str">
            <v>Strands</v>
          </cell>
          <cell r="AJ1068" t="str">
            <v>Strands PW</v>
          </cell>
        </row>
        <row r="1069">
          <cell r="A1069" t="str">
            <v>IKN400649</v>
          </cell>
          <cell r="B1069">
            <v>649</v>
          </cell>
          <cell r="C1069" t="str">
            <v>Institut Kanser Negara</v>
          </cell>
          <cell r="D1069" t="str">
            <v>KKM/IKN/H/13/1608</v>
          </cell>
          <cell r="E1069" t="str">
            <v>17-950</v>
          </cell>
          <cell r="F1069" t="str">
            <v>Warming Units, Patient, Forced-Air</v>
          </cell>
          <cell r="G1069" t="str">
            <v>DO</v>
          </cell>
          <cell r="H1069" t="str">
            <v>DAY ONCOLOGY UNIT</v>
          </cell>
          <cell r="I1069" t="str">
            <v>04DO121</v>
          </cell>
          <cell r="J1069" t="str">
            <v>TREATMENT BAY 4</v>
          </cell>
          <cell r="K1069" t="str">
            <v>BMED</v>
          </cell>
          <cell r="L1069" t="str">
            <v>Normal</v>
          </cell>
          <cell r="M1069" t="str">
            <v>USA</v>
          </cell>
          <cell r="N1069" t="str">
            <v>Bair Hugger</v>
          </cell>
          <cell r="O1069" t="str">
            <v>Bair Hugger 775</v>
          </cell>
          <cell r="P1069" t="str">
            <v>35942</v>
          </cell>
          <cell r="Q1069" t="str">
            <v>Not Applicable</v>
          </cell>
          <cell r="R1069" t="str">
            <v>Arizant Healthcare Inc</v>
          </cell>
          <cell r="S1069" t="str">
            <v>Calmed Healthcare Sdn Bhd</v>
          </cell>
          <cell r="T1069" t="str">
            <v>Functioning</v>
          </cell>
          <cell r="U1069" t="str">
            <v>Asset</v>
          </cell>
          <cell r="V1069">
            <v>15515</v>
          </cell>
          <cell r="W1069" t="str">
            <v>KEW</v>
          </cell>
          <cell r="X1069" t="str">
            <v>01/09/2010</v>
          </cell>
          <cell r="Y1069" t="str">
            <v>KEW</v>
          </cell>
          <cell r="Z1069" t="str">
            <v>16/08/2013</v>
          </cell>
          <cell r="AA1069" t="str">
            <v>15/08/2015</v>
          </cell>
          <cell r="AB1069" t="str">
            <v>No</v>
          </cell>
          <cell r="AC1069" t="str">
            <v>31/08/2013</v>
          </cell>
          <cell r="AD1069" t="str">
            <v>Good</v>
          </cell>
          <cell r="AE1069" t="str">
            <v>V1 - Existing / No Claim</v>
          </cell>
          <cell r="AF1069">
            <v>42235</v>
          </cell>
          <cell r="AG1069">
            <v>9.17</v>
          </cell>
          <cell r="AH1069" t="str">
            <v>PPM</v>
          </cell>
          <cell r="AI1069" t="str">
            <v>Strands</v>
          </cell>
          <cell r="AJ1069" t="str">
            <v>Strands PW</v>
          </cell>
        </row>
        <row r="1070">
          <cell r="A1070" t="str">
            <v>IKN400650</v>
          </cell>
          <cell r="B1070">
            <v>650</v>
          </cell>
          <cell r="C1070" t="str">
            <v>Institut Kanser Negara</v>
          </cell>
          <cell r="D1070" t="str">
            <v>KKM/IKN/H/13/1598</v>
          </cell>
          <cell r="E1070" t="str">
            <v>13-215</v>
          </cell>
          <cell r="F1070" t="str">
            <v>Infusion Pumps, General-Purpose</v>
          </cell>
          <cell r="G1070" t="str">
            <v>DO</v>
          </cell>
          <cell r="H1070" t="str">
            <v>DAY ONCOLOGY UNIT</v>
          </cell>
          <cell r="I1070" t="str">
            <v>04DO124</v>
          </cell>
          <cell r="J1070" t="str">
            <v>TREATMENT ROOM</v>
          </cell>
          <cell r="K1070" t="str">
            <v>BMED</v>
          </cell>
          <cell r="L1070" t="str">
            <v>Critical</v>
          </cell>
          <cell r="M1070" t="str">
            <v>Germany</v>
          </cell>
          <cell r="N1070" t="str">
            <v>Infusomat</v>
          </cell>
          <cell r="O1070" t="str">
            <v>Infusomat Space</v>
          </cell>
          <cell r="P1070" t="str">
            <v>212098</v>
          </cell>
          <cell r="Q1070" t="str">
            <v>Not Applicable</v>
          </cell>
          <cell r="R1070" t="str">
            <v>B Braun Melsungen AG</v>
          </cell>
          <cell r="S1070" t="str">
            <v>B Braun Medical Supplies Sdn. Bhd.</v>
          </cell>
          <cell r="T1070" t="str">
            <v>Functioning</v>
          </cell>
          <cell r="U1070" t="str">
            <v>Asset</v>
          </cell>
          <cell r="V1070">
            <v>10825</v>
          </cell>
          <cell r="W1070" t="str">
            <v>KEW</v>
          </cell>
          <cell r="X1070" t="str">
            <v>01/09/2010</v>
          </cell>
          <cell r="Y1070" t="str">
            <v>KEW</v>
          </cell>
          <cell r="Z1070" t="str">
            <v>16/08/2013</v>
          </cell>
          <cell r="AA1070" t="str">
            <v>15/08/2015</v>
          </cell>
          <cell r="AB1070" t="str">
            <v>No</v>
          </cell>
          <cell r="AC1070" t="str">
            <v>31/08/2013</v>
          </cell>
          <cell r="AD1070" t="str">
            <v>Good</v>
          </cell>
          <cell r="AE1070" t="str">
            <v>V1 - Existing / No Claim</v>
          </cell>
          <cell r="AF1070">
            <v>42793</v>
          </cell>
          <cell r="AG1070">
            <v>9.17</v>
          </cell>
          <cell r="AH1070" t="str">
            <v>PPM</v>
          </cell>
          <cell r="AI1070" t="str">
            <v>Strands</v>
          </cell>
          <cell r="AJ1070" t="str">
            <v>Strands PW</v>
          </cell>
        </row>
        <row r="1071">
          <cell r="A1071" t="str">
            <v>IKN400651</v>
          </cell>
          <cell r="B1071">
            <v>651</v>
          </cell>
          <cell r="C1071" t="str">
            <v>Institut Kanser Negara</v>
          </cell>
          <cell r="D1071" t="str">
            <v>KKM/IKN/H/13/1599</v>
          </cell>
          <cell r="E1071" t="str">
            <v>16-231</v>
          </cell>
          <cell r="F1071" t="str">
            <v>Electrocardiographs, Multichannel, Interpretative</v>
          </cell>
          <cell r="G1071" t="str">
            <v>DO</v>
          </cell>
          <cell r="H1071" t="str">
            <v>DAY ONCOLOGY UNIT</v>
          </cell>
          <cell r="I1071" t="str">
            <v>04DO124</v>
          </cell>
          <cell r="J1071" t="str">
            <v>TREATMENT ROOM</v>
          </cell>
          <cell r="K1071" t="str">
            <v>BMED</v>
          </cell>
          <cell r="L1071" t="str">
            <v>Critical</v>
          </cell>
          <cell r="M1071" t="str">
            <v>China</v>
          </cell>
          <cell r="N1071" t="str">
            <v>Mac</v>
          </cell>
          <cell r="O1071" t="str">
            <v>MAC 800</v>
          </cell>
          <cell r="P1071" t="str">
            <v>SJ412450377 WA</v>
          </cell>
          <cell r="Q1071" t="str">
            <v>Not Applicable</v>
          </cell>
          <cell r="R1071" t="str">
            <v>GE Healthcare Systems</v>
          </cell>
          <cell r="S1071" t="str">
            <v>GE Healthcare Technologies</v>
          </cell>
          <cell r="T1071" t="str">
            <v>Functioning</v>
          </cell>
          <cell r="U1071" t="str">
            <v>Asset</v>
          </cell>
          <cell r="V1071">
            <v>25260</v>
          </cell>
          <cell r="W1071" t="str">
            <v>KEW</v>
          </cell>
          <cell r="X1071" t="str">
            <v>01/09/2010</v>
          </cell>
          <cell r="Y1071" t="str">
            <v>KEW</v>
          </cell>
          <cell r="Z1071" t="str">
            <v>16/08/2013</v>
          </cell>
          <cell r="AA1071" t="str">
            <v>15/08/2015</v>
          </cell>
          <cell r="AB1071" t="str">
            <v>No</v>
          </cell>
          <cell r="AC1071" t="str">
            <v>31/08/2013</v>
          </cell>
          <cell r="AD1071" t="str">
            <v>Good</v>
          </cell>
          <cell r="AE1071" t="str">
            <v>V1 - Existing / No Claim</v>
          </cell>
          <cell r="AF1071">
            <v>42793</v>
          </cell>
          <cell r="AG1071">
            <v>9.17</v>
          </cell>
          <cell r="AH1071" t="str">
            <v>PPM</v>
          </cell>
          <cell r="AI1071" t="str">
            <v>Strands</v>
          </cell>
          <cell r="AJ1071" t="str">
            <v>Strands PW</v>
          </cell>
        </row>
        <row r="1072">
          <cell r="A1072" t="str">
            <v>IKN400652</v>
          </cell>
          <cell r="B1072">
            <v>652</v>
          </cell>
          <cell r="C1072" t="str">
            <v>Institut Kanser Negara</v>
          </cell>
          <cell r="D1072" t="str">
            <v>KKM/IKN/H/13/2620</v>
          </cell>
          <cell r="E1072" t="str">
            <v>16-173</v>
          </cell>
          <cell r="F1072" t="str">
            <v>Sphygmomanometers, Electronic, Automatic</v>
          </cell>
          <cell r="G1072" t="str">
            <v>DO</v>
          </cell>
          <cell r="H1072" t="str">
            <v>DAY ONCOLOGY UNIT</v>
          </cell>
          <cell r="I1072" t="str">
            <v>04DO131</v>
          </cell>
          <cell r="J1072" t="str">
            <v>NURSE STATION</v>
          </cell>
          <cell r="K1072" t="str">
            <v>BMED</v>
          </cell>
          <cell r="L1072" t="str">
            <v>Critical</v>
          </cell>
          <cell r="M1072" t="str">
            <v>USA</v>
          </cell>
          <cell r="N1072" t="str">
            <v>Connex</v>
          </cell>
          <cell r="O1072" t="str">
            <v>Connex ProBP 3400</v>
          </cell>
          <cell r="P1072" t="str">
            <v>100001520613</v>
          </cell>
          <cell r="Q1072" t="str">
            <v>Not Applicable</v>
          </cell>
          <cell r="R1072" t="str">
            <v>Welch Allyn Inc</v>
          </cell>
          <cell r="S1072" t="str">
            <v>Welch Allyn Malaysia Sdn Bhd</v>
          </cell>
          <cell r="T1072" t="str">
            <v>Functioning</v>
          </cell>
          <cell r="U1072" t="str">
            <v>Asset</v>
          </cell>
          <cell r="V1072">
            <v>4510</v>
          </cell>
          <cell r="W1072" t="str">
            <v>KEW</v>
          </cell>
          <cell r="X1072" t="str">
            <v>01/09/2010</v>
          </cell>
          <cell r="Y1072" t="str">
            <v>KEW</v>
          </cell>
          <cell r="Z1072" t="str">
            <v>16/08/2013</v>
          </cell>
          <cell r="AA1072" t="str">
            <v>15/08/2015</v>
          </cell>
          <cell r="AB1072" t="str">
            <v>No</v>
          </cell>
          <cell r="AC1072" t="str">
            <v>31/08/2013</v>
          </cell>
          <cell r="AD1072" t="str">
            <v>Good</v>
          </cell>
          <cell r="AE1072" t="str">
            <v>V1 - Existing / No Claim</v>
          </cell>
          <cell r="AF1072">
            <v>42793</v>
          </cell>
          <cell r="AG1072">
            <v>9.17</v>
          </cell>
          <cell r="AH1072" t="str">
            <v>PPM</v>
          </cell>
          <cell r="AI1072" t="str">
            <v>Strands</v>
          </cell>
          <cell r="AJ1072" t="str">
            <v>Strands PW</v>
          </cell>
        </row>
        <row r="1073">
          <cell r="A1073" t="str">
            <v>IKN400653</v>
          </cell>
          <cell r="B1073">
            <v>653</v>
          </cell>
          <cell r="C1073" t="str">
            <v>Institut Kanser Negara</v>
          </cell>
          <cell r="D1073" t="str">
            <v>KKM/IKN/H/13/2618</v>
          </cell>
          <cell r="E1073" t="str">
            <v>16-173</v>
          </cell>
          <cell r="F1073" t="str">
            <v>Sphygmomanometers, Electronic, Automatic</v>
          </cell>
          <cell r="G1073" t="str">
            <v>DO</v>
          </cell>
          <cell r="H1073" t="str">
            <v>DAY ONCOLOGY UNIT</v>
          </cell>
          <cell r="I1073" t="str">
            <v>04DO131</v>
          </cell>
          <cell r="J1073" t="str">
            <v>NURSE STATION</v>
          </cell>
          <cell r="K1073" t="str">
            <v>BMED</v>
          </cell>
          <cell r="L1073" t="str">
            <v>Critical</v>
          </cell>
          <cell r="M1073" t="str">
            <v>USA</v>
          </cell>
          <cell r="N1073" t="str">
            <v>Connex</v>
          </cell>
          <cell r="O1073" t="str">
            <v>Connex ProBP 3400</v>
          </cell>
          <cell r="P1073" t="str">
            <v>100001730613</v>
          </cell>
          <cell r="Q1073" t="str">
            <v>Not Applicable</v>
          </cell>
          <cell r="R1073" t="str">
            <v>Welch Allyn Inc</v>
          </cell>
          <cell r="S1073" t="str">
            <v>Welch Allyn Malaysia Sdn Bhd</v>
          </cell>
          <cell r="T1073" t="str">
            <v>Functioning</v>
          </cell>
          <cell r="U1073" t="str">
            <v>Asset</v>
          </cell>
          <cell r="V1073">
            <v>4510</v>
          </cell>
          <cell r="W1073" t="str">
            <v>KEW</v>
          </cell>
          <cell r="X1073" t="str">
            <v>01/09/2010</v>
          </cell>
          <cell r="Y1073" t="str">
            <v>KEW</v>
          </cell>
          <cell r="Z1073" t="str">
            <v>16/08/2013</v>
          </cell>
          <cell r="AA1073" t="str">
            <v>15/08/2015</v>
          </cell>
          <cell r="AB1073" t="str">
            <v>No</v>
          </cell>
          <cell r="AC1073" t="str">
            <v>31/08/2013</v>
          </cell>
          <cell r="AD1073" t="str">
            <v>Good</v>
          </cell>
          <cell r="AE1073" t="str">
            <v>V1 - Existing / No Claim</v>
          </cell>
          <cell r="AF1073">
            <v>42793</v>
          </cell>
          <cell r="AG1073">
            <v>9.17</v>
          </cell>
          <cell r="AH1073" t="str">
            <v>PPM</v>
          </cell>
          <cell r="AI1073" t="str">
            <v>Strands</v>
          </cell>
          <cell r="AJ1073" t="str">
            <v>Strands PW</v>
          </cell>
        </row>
        <row r="1074">
          <cell r="A1074" t="str">
            <v>IKN400654</v>
          </cell>
          <cell r="B1074">
            <v>654</v>
          </cell>
          <cell r="C1074" t="str">
            <v>Institut Kanser Negara</v>
          </cell>
          <cell r="D1074" t="str">
            <v>KKM/IKN/H/13/1592</v>
          </cell>
          <cell r="E1074" t="str">
            <v>10-208</v>
          </cell>
          <cell r="F1074" t="str">
            <v>Aspirators</v>
          </cell>
          <cell r="G1074" t="str">
            <v>DO</v>
          </cell>
          <cell r="H1074" t="str">
            <v>DAY ONCOLOGY UNIT</v>
          </cell>
          <cell r="I1074" t="str">
            <v>04DO125</v>
          </cell>
          <cell r="J1074" t="str">
            <v>PROCEDURE ROOM</v>
          </cell>
          <cell r="K1074" t="str">
            <v>BMED</v>
          </cell>
          <cell r="L1074" t="str">
            <v>Critical</v>
          </cell>
          <cell r="M1074" t="str">
            <v>Switzerland</v>
          </cell>
          <cell r="N1074" t="str">
            <v>Senator</v>
          </cell>
          <cell r="O1074" t="str">
            <v>Senator</v>
          </cell>
          <cell r="P1074" t="str">
            <v>1220759</v>
          </cell>
          <cell r="Q1074" t="str">
            <v>Not Applicable</v>
          </cell>
          <cell r="R1074" t="str">
            <v>Ardo Medical AG</v>
          </cell>
          <cell r="S1074" t="str">
            <v>Histopoint</v>
          </cell>
          <cell r="T1074" t="str">
            <v>Functioning</v>
          </cell>
          <cell r="U1074" t="str">
            <v>Asset</v>
          </cell>
          <cell r="V1074">
            <v>7580</v>
          </cell>
          <cell r="W1074" t="str">
            <v>KEW</v>
          </cell>
          <cell r="X1074" t="str">
            <v>01/09/2010</v>
          </cell>
          <cell r="Y1074" t="str">
            <v>KEW</v>
          </cell>
          <cell r="Z1074" t="str">
            <v>16/08/2013</v>
          </cell>
          <cell r="AA1074" t="str">
            <v>15/08/2015</v>
          </cell>
          <cell r="AB1074" t="str">
            <v>No</v>
          </cell>
          <cell r="AC1074" t="str">
            <v>31/08/2013</v>
          </cell>
          <cell r="AD1074" t="str">
            <v>Good</v>
          </cell>
          <cell r="AE1074" t="str">
            <v>V1 - Existing / No Claim</v>
          </cell>
          <cell r="AF1074">
            <v>42793</v>
          </cell>
          <cell r="AG1074">
            <v>9.17</v>
          </cell>
          <cell r="AH1074" t="str">
            <v>PPM</v>
          </cell>
          <cell r="AI1074" t="str">
            <v>Strands</v>
          </cell>
          <cell r="AJ1074" t="str">
            <v>Strands PW</v>
          </cell>
        </row>
        <row r="1075">
          <cell r="A1075" t="str">
            <v>IKN400656</v>
          </cell>
          <cell r="B1075">
            <v>656</v>
          </cell>
          <cell r="C1075" t="str">
            <v>Institut Kanser Negara</v>
          </cell>
          <cell r="D1075" t="str">
            <v>KKM/IKN/H/13/1387</v>
          </cell>
          <cell r="E1075" t="str">
            <v>13-217</v>
          </cell>
          <cell r="F1075" t="str">
            <v>Infusion Pumps, Syringe</v>
          </cell>
          <cell r="G1075" t="str">
            <v>DO</v>
          </cell>
          <cell r="H1075" t="str">
            <v>DAY ONCOLOGY UNIT</v>
          </cell>
          <cell r="I1075" t="str">
            <v>04DO138</v>
          </cell>
          <cell r="J1075" t="str">
            <v>CHEMOTHERAPY BAY (4 BEDS)</v>
          </cell>
          <cell r="K1075" t="str">
            <v>BMED</v>
          </cell>
          <cell r="L1075" t="str">
            <v>Critical</v>
          </cell>
          <cell r="M1075" t="str">
            <v>Germany</v>
          </cell>
          <cell r="N1075" t="str">
            <v>Perfusor</v>
          </cell>
          <cell r="O1075" t="str">
            <v>Perfusor Space</v>
          </cell>
          <cell r="P1075" t="str">
            <v>143313</v>
          </cell>
          <cell r="Q1075" t="str">
            <v>Not Applicable</v>
          </cell>
          <cell r="R1075" t="str">
            <v>B Braun Melsungen AG</v>
          </cell>
          <cell r="S1075" t="str">
            <v>B Braun Medical Supplies Sdn. Bhd.</v>
          </cell>
          <cell r="T1075" t="str">
            <v>Functioning</v>
          </cell>
          <cell r="U1075" t="str">
            <v>Asset</v>
          </cell>
          <cell r="V1075">
            <v>10225</v>
          </cell>
          <cell r="W1075" t="str">
            <v>KEW</v>
          </cell>
          <cell r="X1075" t="str">
            <v>01/09/2010</v>
          </cell>
          <cell r="Y1075" t="str">
            <v>KEW</v>
          </cell>
          <cell r="Z1075" t="str">
            <v>16/08/2013</v>
          </cell>
          <cell r="AA1075" t="str">
            <v>15/08/2015</v>
          </cell>
          <cell r="AB1075" t="str">
            <v>No</v>
          </cell>
          <cell r="AC1075" t="str">
            <v>31/08/2013</v>
          </cell>
          <cell r="AD1075" t="str">
            <v>Good</v>
          </cell>
          <cell r="AE1075" t="str">
            <v>V1 - Existing / No Claim</v>
          </cell>
          <cell r="AF1075">
            <v>42793</v>
          </cell>
          <cell r="AG1075">
            <v>9.17</v>
          </cell>
          <cell r="AH1075" t="str">
            <v>PPM</v>
          </cell>
          <cell r="AI1075" t="str">
            <v>Strands</v>
          </cell>
          <cell r="AJ1075" t="str">
            <v>Strands PW</v>
          </cell>
        </row>
        <row r="1076">
          <cell r="A1076" t="str">
            <v>IKN400657</v>
          </cell>
          <cell r="B1076">
            <v>657</v>
          </cell>
          <cell r="C1076" t="str">
            <v>Institut Kanser Negara</v>
          </cell>
          <cell r="D1076" t="str">
            <v>KKM/IKN/H/13/1600</v>
          </cell>
          <cell r="E1076" t="str">
            <v>13-215</v>
          </cell>
          <cell r="F1076" t="str">
            <v>Infusion Pumps, General-Purpose</v>
          </cell>
          <cell r="G1076" t="str">
            <v>DO</v>
          </cell>
          <cell r="H1076" t="str">
            <v>DAY ONCOLOGY UNIT</v>
          </cell>
          <cell r="I1076" t="str">
            <v>04DO138</v>
          </cell>
          <cell r="J1076" t="str">
            <v>CHEMOTHERAPY BAY (4 BEDS)</v>
          </cell>
          <cell r="K1076" t="str">
            <v>BMED</v>
          </cell>
          <cell r="L1076" t="str">
            <v>Critical</v>
          </cell>
          <cell r="M1076" t="str">
            <v>Germany</v>
          </cell>
          <cell r="N1076" t="str">
            <v>Infusomat</v>
          </cell>
          <cell r="O1076" t="str">
            <v>Infusomat Space</v>
          </cell>
          <cell r="P1076" t="str">
            <v>212068</v>
          </cell>
          <cell r="Q1076" t="str">
            <v>Not Applicable</v>
          </cell>
          <cell r="R1076" t="str">
            <v>B Braun Melsungen AG</v>
          </cell>
          <cell r="S1076" t="str">
            <v>B Braun Medical Supplies Sdn. Bhd.</v>
          </cell>
          <cell r="T1076" t="str">
            <v>Functioning</v>
          </cell>
          <cell r="U1076" t="str">
            <v>Asset</v>
          </cell>
          <cell r="V1076">
            <v>10825</v>
          </cell>
          <cell r="W1076" t="str">
            <v>KEW</v>
          </cell>
          <cell r="X1076" t="str">
            <v>01/09/2010</v>
          </cell>
          <cell r="Y1076" t="str">
            <v>KEW</v>
          </cell>
          <cell r="Z1076" t="str">
            <v>16/08/2013</v>
          </cell>
          <cell r="AA1076" t="str">
            <v>15/08/2015</v>
          </cell>
          <cell r="AB1076" t="str">
            <v>No</v>
          </cell>
          <cell r="AC1076" t="str">
            <v>31/08/2013</v>
          </cell>
          <cell r="AD1076" t="str">
            <v>Good</v>
          </cell>
          <cell r="AE1076" t="str">
            <v>V1 - Existing / No Claim</v>
          </cell>
          <cell r="AF1076">
            <v>42793</v>
          </cell>
          <cell r="AG1076">
            <v>9.17</v>
          </cell>
          <cell r="AH1076" t="str">
            <v>PPM</v>
          </cell>
          <cell r="AI1076" t="str">
            <v>Strands</v>
          </cell>
          <cell r="AJ1076" t="str">
            <v>Strands PW</v>
          </cell>
        </row>
        <row r="1077">
          <cell r="A1077" t="str">
            <v>IKN400658</v>
          </cell>
          <cell r="B1077">
            <v>658</v>
          </cell>
          <cell r="C1077" t="str">
            <v>Institut Kanser Negara</v>
          </cell>
          <cell r="D1077" t="str">
            <v>KKM/IKN/H/13/765</v>
          </cell>
          <cell r="E1077" t="str">
            <v>13-215</v>
          </cell>
          <cell r="F1077" t="str">
            <v>Infusion Pumps, General-Purpose</v>
          </cell>
          <cell r="G1077" t="str">
            <v>DO</v>
          </cell>
          <cell r="H1077" t="str">
            <v>DAY ONCOLOGY UNIT</v>
          </cell>
          <cell r="I1077" t="str">
            <v>04DO138</v>
          </cell>
          <cell r="J1077" t="str">
            <v>CHEMOTHERAPY BAY (4 BEDS)</v>
          </cell>
          <cell r="K1077" t="str">
            <v>BMED</v>
          </cell>
          <cell r="L1077" t="str">
            <v>Critical</v>
          </cell>
          <cell r="M1077" t="str">
            <v>Germany</v>
          </cell>
          <cell r="N1077" t="str">
            <v>Infusomat</v>
          </cell>
          <cell r="O1077" t="str">
            <v>Infusomat Space</v>
          </cell>
          <cell r="P1077" t="str">
            <v>211641</v>
          </cell>
          <cell r="Q1077" t="str">
            <v>Not Applicable</v>
          </cell>
          <cell r="R1077" t="str">
            <v>B Braun Melsungen AG</v>
          </cell>
          <cell r="S1077" t="str">
            <v>B Braun Medical Supplies Sdn. Bhd.</v>
          </cell>
          <cell r="T1077" t="str">
            <v>Functioning</v>
          </cell>
          <cell r="U1077" t="str">
            <v>Asset</v>
          </cell>
          <cell r="V1077">
            <v>10825</v>
          </cell>
          <cell r="W1077" t="str">
            <v>KEW</v>
          </cell>
          <cell r="X1077" t="str">
            <v>01/09/2010</v>
          </cell>
          <cell r="Y1077" t="str">
            <v>KEW</v>
          </cell>
          <cell r="Z1077" t="str">
            <v>16/08/2013</v>
          </cell>
          <cell r="AA1077" t="str">
            <v>15/08/2015</v>
          </cell>
          <cell r="AB1077" t="str">
            <v>No</v>
          </cell>
          <cell r="AC1077" t="str">
            <v>31/08/2013</v>
          </cell>
          <cell r="AD1077" t="str">
            <v>Good</v>
          </cell>
          <cell r="AE1077" t="str">
            <v>V1 - Existing / No Claim</v>
          </cell>
          <cell r="AF1077">
            <v>42793</v>
          </cell>
          <cell r="AG1077">
            <v>9.17</v>
          </cell>
          <cell r="AH1077" t="str">
            <v>PPM</v>
          </cell>
          <cell r="AI1077" t="str">
            <v>Strands</v>
          </cell>
          <cell r="AJ1077" t="str">
            <v>Strands PW</v>
          </cell>
        </row>
        <row r="1078">
          <cell r="A1078" t="str">
            <v>IKN400659</v>
          </cell>
          <cell r="B1078">
            <v>659</v>
          </cell>
          <cell r="C1078" t="str">
            <v>Institut Kanser Negara</v>
          </cell>
          <cell r="D1078" t="str">
            <v>KKM/IKN/H/13/1389</v>
          </cell>
          <cell r="E1078" t="str">
            <v>13-215</v>
          </cell>
          <cell r="F1078" t="str">
            <v>Infusion Pumps, General-Purpose</v>
          </cell>
          <cell r="G1078" t="str">
            <v>DO</v>
          </cell>
          <cell r="H1078" t="str">
            <v>DAY ONCOLOGY UNIT</v>
          </cell>
          <cell r="I1078" t="str">
            <v>04DO138</v>
          </cell>
          <cell r="J1078" t="str">
            <v>CHEMOTHERAPY BAY (4 BEDS)</v>
          </cell>
          <cell r="K1078" t="str">
            <v>BMED</v>
          </cell>
          <cell r="L1078" t="str">
            <v>Critical</v>
          </cell>
          <cell r="M1078" t="str">
            <v>Germany</v>
          </cell>
          <cell r="N1078" t="str">
            <v>Infusomat</v>
          </cell>
          <cell r="O1078" t="str">
            <v>Infusomat Space</v>
          </cell>
          <cell r="P1078" t="str">
            <v>212024</v>
          </cell>
          <cell r="Q1078" t="str">
            <v>Not Applicable</v>
          </cell>
          <cell r="R1078" t="str">
            <v>B Braun Melsungen AG</v>
          </cell>
          <cell r="S1078" t="str">
            <v>B Braun Medical Supplies Sdn. Bhd.</v>
          </cell>
          <cell r="T1078" t="str">
            <v>Functioning</v>
          </cell>
          <cell r="U1078" t="str">
            <v>Asset</v>
          </cell>
          <cell r="V1078">
            <v>10825</v>
          </cell>
          <cell r="W1078" t="str">
            <v>KEW</v>
          </cell>
          <cell r="X1078" t="str">
            <v>01/09/2010</v>
          </cell>
          <cell r="Y1078" t="str">
            <v>KEW</v>
          </cell>
          <cell r="Z1078" t="str">
            <v>16/08/2013</v>
          </cell>
          <cell r="AA1078" t="str">
            <v>15/08/2015</v>
          </cell>
          <cell r="AB1078" t="str">
            <v>No</v>
          </cell>
          <cell r="AC1078" t="str">
            <v>31/08/2013</v>
          </cell>
          <cell r="AD1078" t="str">
            <v>Good</v>
          </cell>
          <cell r="AE1078" t="str">
            <v>V1 - Existing / No Claim</v>
          </cell>
          <cell r="AF1078">
            <v>42793</v>
          </cell>
          <cell r="AG1078">
            <v>9.17</v>
          </cell>
          <cell r="AH1078" t="str">
            <v>PPM</v>
          </cell>
          <cell r="AI1078" t="str">
            <v>Strands</v>
          </cell>
          <cell r="AJ1078" t="str">
            <v>Strands PW</v>
          </cell>
        </row>
        <row r="1079">
          <cell r="A1079" t="str">
            <v>IKN400660</v>
          </cell>
          <cell r="B1079">
            <v>660</v>
          </cell>
          <cell r="C1079" t="str">
            <v>Institut Kanser Negara</v>
          </cell>
          <cell r="D1079" t="str">
            <v>KKM/IKN/H/13/1390</v>
          </cell>
          <cell r="E1079" t="str">
            <v>13-215</v>
          </cell>
          <cell r="F1079" t="str">
            <v>Infusion Pumps, General-Purpose</v>
          </cell>
          <cell r="G1079" t="str">
            <v>DO</v>
          </cell>
          <cell r="H1079" t="str">
            <v>DAY ONCOLOGY UNIT</v>
          </cell>
          <cell r="I1079" t="str">
            <v>04DO138</v>
          </cell>
          <cell r="J1079" t="str">
            <v>CHEMOTHERAPY BAY (4 BEDS)</v>
          </cell>
          <cell r="K1079" t="str">
            <v>BMED</v>
          </cell>
          <cell r="L1079" t="str">
            <v>Critical</v>
          </cell>
          <cell r="M1079" t="str">
            <v>Germany</v>
          </cell>
          <cell r="N1079" t="str">
            <v>Infusomat</v>
          </cell>
          <cell r="O1079" t="str">
            <v>Infusomat Space</v>
          </cell>
          <cell r="P1079" t="str">
            <v>211995</v>
          </cell>
          <cell r="Q1079" t="str">
            <v>Not Applicable</v>
          </cell>
          <cell r="R1079" t="str">
            <v>B Braun Melsungen AG</v>
          </cell>
          <cell r="S1079" t="str">
            <v>B Braun Medical Supplies Sdn. Bhd.</v>
          </cell>
          <cell r="T1079" t="str">
            <v>Functioning</v>
          </cell>
          <cell r="U1079" t="str">
            <v>Asset</v>
          </cell>
          <cell r="V1079">
            <v>10825</v>
          </cell>
          <cell r="W1079" t="str">
            <v>KEW</v>
          </cell>
          <cell r="X1079" t="str">
            <v>01/09/2010</v>
          </cell>
          <cell r="Y1079" t="str">
            <v>KEW</v>
          </cell>
          <cell r="Z1079" t="str">
            <v>16/08/2013</v>
          </cell>
          <cell r="AA1079" t="str">
            <v>15/08/2015</v>
          </cell>
          <cell r="AB1079" t="str">
            <v>No</v>
          </cell>
          <cell r="AC1079" t="str">
            <v>31/08/2013</v>
          </cell>
          <cell r="AD1079" t="str">
            <v>Good</v>
          </cell>
          <cell r="AE1079" t="str">
            <v>V1 - Existing / No Claim</v>
          </cell>
          <cell r="AF1079">
            <v>42793</v>
          </cell>
          <cell r="AG1079">
            <v>9.17</v>
          </cell>
          <cell r="AH1079" t="str">
            <v>PPM</v>
          </cell>
          <cell r="AI1079" t="str">
            <v>Strands</v>
          </cell>
          <cell r="AJ1079" t="str">
            <v>Strands PW</v>
          </cell>
        </row>
        <row r="1080">
          <cell r="A1080" t="str">
            <v>IKN400661</v>
          </cell>
          <cell r="B1080">
            <v>661</v>
          </cell>
          <cell r="C1080" t="str">
            <v>Institut Kanser Negara</v>
          </cell>
          <cell r="D1080" t="str">
            <v>KKM/IKN/H/13/1609</v>
          </cell>
          <cell r="E1080" t="str">
            <v>17-950</v>
          </cell>
          <cell r="F1080" t="str">
            <v>Warming Units, Patient, Forced-Air</v>
          </cell>
          <cell r="G1080" t="str">
            <v>DO</v>
          </cell>
          <cell r="H1080" t="str">
            <v>DAY ONCOLOGY UNIT</v>
          </cell>
          <cell r="I1080" t="str">
            <v>04DO138</v>
          </cell>
          <cell r="J1080" t="str">
            <v>CHEMOTHERAPY BAY (4 BEDS)</v>
          </cell>
          <cell r="K1080" t="str">
            <v>BMED</v>
          </cell>
          <cell r="L1080" t="str">
            <v>Normal</v>
          </cell>
          <cell r="M1080" t="str">
            <v>USA</v>
          </cell>
          <cell r="N1080" t="str">
            <v>Bair Hugger</v>
          </cell>
          <cell r="O1080" t="str">
            <v>Bair Hugger 775</v>
          </cell>
          <cell r="P1080" t="str">
            <v>35943</v>
          </cell>
          <cell r="Q1080" t="str">
            <v>Not Applicable</v>
          </cell>
          <cell r="R1080" t="str">
            <v>Arizant Healthcare Inc</v>
          </cell>
          <cell r="S1080" t="str">
            <v>Calmed Healthcare Sdn Bhd</v>
          </cell>
          <cell r="T1080" t="str">
            <v>Functioning</v>
          </cell>
          <cell r="U1080" t="str">
            <v>Asset</v>
          </cell>
          <cell r="V1080">
            <v>15515</v>
          </cell>
          <cell r="W1080" t="str">
            <v>KEW</v>
          </cell>
          <cell r="X1080" t="str">
            <v>01/09/2010</v>
          </cell>
          <cell r="Y1080" t="str">
            <v>KEW</v>
          </cell>
          <cell r="Z1080" t="str">
            <v>16/08/2013</v>
          </cell>
          <cell r="AA1080" t="str">
            <v>15/08/2015</v>
          </cell>
          <cell r="AB1080" t="str">
            <v>No</v>
          </cell>
          <cell r="AC1080" t="str">
            <v>31/08/2013</v>
          </cell>
          <cell r="AD1080" t="str">
            <v>Good</v>
          </cell>
          <cell r="AE1080" t="str">
            <v>V1 - Existing / No Claim</v>
          </cell>
          <cell r="AF1080">
            <v>42793</v>
          </cell>
          <cell r="AG1080">
            <v>9.17</v>
          </cell>
          <cell r="AH1080" t="str">
            <v>PPM</v>
          </cell>
          <cell r="AI1080" t="str">
            <v>Strands</v>
          </cell>
          <cell r="AJ1080" t="str">
            <v>Strands PW</v>
          </cell>
        </row>
        <row r="1081">
          <cell r="A1081" t="str">
            <v>IKN400663</v>
          </cell>
          <cell r="B1081">
            <v>663</v>
          </cell>
          <cell r="C1081" t="str">
            <v>Institut Kanser Negara</v>
          </cell>
          <cell r="D1081" t="str">
            <v>KKM/IKN/H/13/378</v>
          </cell>
          <cell r="E1081" t="str">
            <v>16-173</v>
          </cell>
          <cell r="F1081" t="str">
            <v>Sphygmomanometers, Electronic, Automatic</v>
          </cell>
          <cell r="G1081" t="str">
            <v>DO</v>
          </cell>
          <cell r="H1081" t="str">
            <v>DAY ONCOLOGY UNIT</v>
          </cell>
          <cell r="I1081" t="str">
            <v>04DO138</v>
          </cell>
          <cell r="J1081" t="str">
            <v>CHEMOTHERAPY BAY (4 BEDS)</v>
          </cell>
          <cell r="K1081" t="str">
            <v>BMED</v>
          </cell>
          <cell r="L1081" t="str">
            <v>Critical</v>
          </cell>
          <cell r="M1081" t="str">
            <v>Mexico</v>
          </cell>
          <cell r="N1081" t="str">
            <v>Carespace</v>
          </cell>
          <cell r="O1081" t="str">
            <v>Carescape V100</v>
          </cell>
          <cell r="P1081" t="str">
            <v>SH612430154SA</v>
          </cell>
          <cell r="Q1081" t="str">
            <v>Not Applicable</v>
          </cell>
          <cell r="R1081" t="str">
            <v>GE Healthcare Systems</v>
          </cell>
          <cell r="S1081" t="str">
            <v>GE Healthcare Technologies</v>
          </cell>
          <cell r="T1081" t="str">
            <v>Functioning</v>
          </cell>
          <cell r="U1081" t="str">
            <v>Asset</v>
          </cell>
          <cell r="V1081">
            <v>7770</v>
          </cell>
          <cell r="W1081" t="str">
            <v>KEW</v>
          </cell>
          <cell r="X1081" t="str">
            <v>01/09/2010</v>
          </cell>
          <cell r="Y1081" t="str">
            <v>KEW</v>
          </cell>
          <cell r="Z1081" t="str">
            <v>16/08/2013</v>
          </cell>
          <cell r="AA1081" t="str">
            <v>15/08/2015</v>
          </cell>
          <cell r="AB1081" t="str">
            <v>No</v>
          </cell>
          <cell r="AC1081" t="str">
            <v>31/08/2013</v>
          </cell>
          <cell r="AD1081" t="str">
            <v>Good</v>
          </cell>
          <cell r="AE1081" t="str">
            <v>V1 - Existing / No Claim</v>
          </cell>
          <cell r="AF1081">
            <v>42793</v>
          </cell>
          <cell r="AG1081">
            <v>9.17</v>
          </cell>
          <cell r="AH1081" t="str">
            <v>PPM</v>
          </cell>
          <cell r="AI1081" t="str">
            <v>Strands</v>
          </cell>
          <cell r="AJ1081" t="str">
            <v>Strands PW</v>
          </cell>
        </row>
        <row r="1082">
          <cell r="A1082" t="str">
            <v>IKN400664</v>
          </cell>
          <cell r="B1082">
            <v>664</v>
          </cell>
          <cell r="C1082" t="str">
            <v>Institut Kanser Negara</v>
          </cell>
          <cell r="D1082" t="str">
            <v>KKM/IKN/H/14/119</v>
          </cell>
          <cell r="E1082" t="str">
            <v>13-217</v>
          </cell>
          <cell r="F1082" t="str">
            <v>Infusion Pumps, Syringe</v>
          </cell>
          <cell r="G1082" t="str">
            <v>NM</v>
          </cell>
          <cell r="H1082" t="str">
            <v>NUCLEAR MED (DIAGNOSTIC)</v>
          </cell>
          <cell r="I1082" t="str">
            <v>03NM155</v>
          </cell>
          <cell r="J1082" t="str">
            <v>STRESS LAB</v>
          </cell>
          <cell r="K1082" t="str">
            <v>BMED</v>
          </cell>
          <cell r="L1082" t="str">
            <v>Critical</v>
          </cell>
          <cell r="M1082" t="str">
            <v>Germany</v>
          </cell>
          <cell r="N1082" t="str">
            <v>Perfusor</v>
          </cell>
          <cell r="O1082" t="str">
            <v>Perfusor Space</v>
          </cell>
          <cell r="P1082" t="str">
            <v>268312</v>
          </cell>
          <cell r="Q1082" t="str">
            <v>Not Applicable</v>
          </cell>
          <cell r="R1082" t="str">
            <v>B Braun Melsungen AG</v>
          </cell>
          <cell r="S1082" t="str">
            <v>Pharmaserv Alliances Sdn. Bhd.</v>
          </cell>
          <cell r="T1082" t="str">
            <v>Functioning</v>
          </cell>
          <cell r="U1082" t="str">
            <v>Asset</v>
          </cell>
          <cell r="V1082">
            <v>5800</v>
          </cell>
          <cell r="W1082" t="str">
            <v>KEW</v>
          </cell>
          <cell r="X1082" t="str">
            <v>07/11/2014</v>
          </cell>
          <cell r="Y1082" t="str">
            <v>KEW</v>
          </cell>
          <cell r="Z1082" t="str">
            <v>16/12/2014</v>
          </cell>
          <cell r="AA1082" t="str">
            <v>15/12/2016</v>
          </cell>
          <cell r="AB1082" t="str">
            <v>No</v>
          </cell>
          <cell r="AC1082" t="str">
            <v>16/12/2014</v>
          </cell>
          <cell r="AD1082" t="str">
            <v>Good</v>
          </cell>
          <cell r="AE1082" t="str">
            <v>V3 - Added Installed Facilities (New)</v>
          </cell>
          <cell r="AF1082">
            <v>43078</v>
          </cell>
          <cell r="AG1082">
            <v>5</v>
          </cell>
          <cell r="AH1082" t="str">
            <v>PPM</v>
          </cell>
          <cell r="AI1082" t="str">
            <v>Strands</v>
          </cell>
          <cell r="AJ1082" t="str">
            <v>Strands PW</v>
          </cell>
          <cell r="AK1082" t="str">
            <v>SNF received. 1st batch of V3 asset (December 2020)</v>
          </cell>
        </row>
        <row r="1083">
          <cell r="A1083" t="str">
            <v>IKN400665</v>
          </cell>
          <cell r="B1083">
            <v>665</v>
          </cell>
          <cell r="C1083" t="str">
            <v>Institut Kanser Negara</v>
          </cell>
          <cell r="D1083" t="str">
            <v>KKM/IKN/H/14/94</v>
          </cell>
          <cell r="E1083" t="str">
            <v>15-178</v>
          </cell>
          <cell r="F1083" t="str">
            <v>Shakers, Laboratory</v>
          </cell>
          <cell r="G1083" t="str">
            <v>LA</v>
          </cell>
          <cell r="H1083" t="str">
            <v>PATHOLOGY</v>
          </cell>
          <cell r="I1083" t="str">
            <v>04LA130</v>
          </cell>
          <cell r="J1083" t="str">
            <v>SEROLOGY</v>
          </cell>
          <cell r="K1083" t="str">
            <v>BMED</v>
          </cell>
          <cell r="L1083" t="str">
            <v>Normal</v>
          </cell>
          <cell r="M1083" t="str">
            <v>USA</v>
          </cell>
          <cell r="N1083" t="str">
            <v>Latvia</v>
          </cell>
          <cell r="O1083" t="str">
            <v>Latvia OS-20</v>
          </cell>
          <cell r="P1083" t="str">
            <v>01010814090248</v>
          </cell>
          <cell r="Q1083" t="str">
            <v>Not Applicable</v>
          </cell>
          <cell r="R1083" t="str">
            <v>Biosan</v>
          </cell>
          <cell r="S1083" t="str">
            <v>Bumi Sains Sdn. Bhd.</v>
          </cell>
          <cell r="T1083" t="str">
            <v>Functioning</v>
          </cell>
          <cell r="U1083" t="str">
            <v>Asset</v>
          </cell>
          <cell r="V1083">
            <v>2700</v>
          </cell>
          <cell r="W1083" t="str">
            <v>KEW</v>
          </cell>
          <cell r="X1083" t="str">
            <v>25/09/2014</v>
          </cell>
          <cell r="Y1083" t="str">
            <v>KEW</v>
          </cell>
          <cell r="Z1083" t="str">
            <v>20/11/2014</v>
          </cell>
          <cell r="AA1083" t="str">
            <v>19/11/2015</v>
          </cell>
          <cell r="AB1083" t="str">
            <v>No</v>
          </cell>
          <cell r="AC1083" t="str">
            <v>20/11/2014</v>
          </cell>
          <cell r="AD1083" t="str">
            <v>Good</v>
          </cell>
          <cell r="AE1083" t="str">
            <v>V3 - Added Installed Facilities (New)</v>
          </cell>
          <cell r="AF1083">
            <v>42677</v>
          </cell>
          <cell r="AG1083">
            <v>5.17</v>
          </cell>
          <cell r="AH1083" t="str">
            <v>PPM</v>
          </cell>
          <cell r="AI1083" t="str">
            <v>Strands</v>
          </cell>
          <cell r="AJ1083" t="str">
            <v>Strands PW</v>
          </cell>
          <cell r="AK1083" t="str">
            <v>SNF received. 1st batch of V3 asset (December 2020)</v>
          </cell>
        </row>
        <row r="1084">
          <cell r="A1084" t="str">
            <v>IKN400666</v>
          </cell>
          <cell r="B1084">
            <v>666</v>
          </cell>
          <cell r="C1084" t="str">
            <v>Institut Kanser Negara</v>
          </cell>
          <cell r="D1084" t="str">
            <v>KKM/IKN/H/13/3747</v>
          </cell>
          <cell r="E1084" t="str">
            <v>25-209</v>
          </cell>
          <cell r="F1084" t="str">
            <v>Monitors, Physiologic, Vital Signs</v>
          </cell>
          <cell r="G1084" t="str">
            <v>DO</v>
          </cell>
          <cell r="H1084" t="str">
            <v>DAY ONCOLOGY UNIT</v>
          </cell>
          <cell r="I1084" t="str">
            <v>04DO138</v>
          </cell>
          <cell r="J1084" t="str">
            <v>CHEMOTHERAPY BAY (4 BEDS)</v>
          </cell>
          <cell r="K1084" t="str">
            <v>BMED</v>
          </cell>
          <cell r="L1084" t="str">
            <v>Critical</v>
          </cell>
          <cell r="M1084" t="str">
            <v>Mexico</v>
          </cell>
          <cell r="N1084" t="str">
            <v>Carespace</v>
          </cell>
          <cell r="O1084" t="str">
            <v>Carescape V100</v>
          </cell>
          <cell r="P1084" t="str">
            <v>SH613280312SA</v>
          </cell>
          <cell r="Q1084" t="str">
            <v>Not Applicable</v>
          </cell>
          <cell r="R1084" t="str">
            <v>GE Healthcare Systems</v>
          </cell>
          <cell r="S1084" t="str">
            <v>GE Healthcare Technologies</v>
          </cell>
          <cell r="T1084" t="str">
            <v>Functioning</v>
          </cell>
          <cell r="U1084" t="str">
            <v>Asset</v>
          </cell>
          <cell r="V1084">
            <v>18765</v>
          </cell>
          <cell r="W1084" t="str">
            <v>KEW</v>
          </cell>
          <cell r="X1084" t="str">
            <v>01/09/2010</v>
          </cell>
          <cell r="Y1084" t="str">
            <v>KEW</v>
          </cell>
          <cell r="Z1084" t="str">
            <v>16/08/2013</v>
          </cell>
          <cell r="AA1084" t="str">
            <v>15/08/2015</v>
          </cell>
          <cell r="AB1084" t="str">
            <v>No</v>
          </cell>
          <cell r="AC1084" t="str">
            <v>31/08/2013</v>
          </cell>
          <cell r="AD1084" t="str">
            <v>Good</v>
          </cell>
          <cell r="AE1084" t="str">
            <v>V1 - Existing / No Claim</v>
          </cell>
          <cell r="AF1084">
            <v>42793</v>
          </cell>
          <cell r="AG1084">
            <v>9.17</v>
          </cell>
          <cell r="AH1084" t="str">
            <v>PPM</v>
          </cell>
          <cell r="AI1084" t="str">
            <v>Strands</v>
          </cell>
          <cell r="AJ1084" t="str">
            <v>Strands PW</v>
          </cell>
        </row>
        <row r="1085">
          <cell r="A1085" t="str">
            <v>IKN400667</v>
          </cell>
          <cell r="B1085">
            <v>667</v>
          </cell>
          <cell r="C1085" t="str">
            <v>Institut Kanser Negara</v>
          </cell>
          <cell r="D1085" t="str">
            <v>KKM/IKN/H/13/3452</v>
          </cell>
          <cell r="E1085" t="str">
            <v>13-763</v>
          </cell>
          <cell r="F1085" t="str">
            <v>Stimulators, Electrical, Peripheral Nerve, Acupuncture</v>
          </cell>
          <cell r="G1085" t="str">
            <v>TC</v>
          </cell>
          <cell r="H1085" t="str">
            <v>TRADITIONAL COMPLEMENTARY MEDICINE</v>
          </cell>
          <cell r="I1085" t="str">
            <v>04TC108</v>
          </cell>
          <cell r="J1085" t="str">
            <v>TREATMENT 3 (MOXISBUSTION</v>
          </cell>
          <cell r="K1085" t="str">
            <v>BMED</v>
          </cell>
          <cell r="L1085" t="str">
            <v>Normal</v>
          </cell>
          <cell r="M1085" t="str">
            <v>China</v>
          </cell>
          <cell r="N1085" t="str">
            <v>Shantou</v>
          </cell>
          <cell r="O1085" t="str">
            <v>Shantou Itpg-6805-D</v>
          </cell>
          <cell r="P1085" t="str">
            <v>AD1007071</v>
          </cell>
          <cell r="Q1085" t="str">
            <v>Not Applicable</v>
          </cell>
          <cell r="R1085" t="str">
            <v>Shantou Medical</v>
          </cell>
          <cell r="S1085" t="str">
            <v>ITP Academy Malaysia</v>
          </cell>
          <cell r="T1085" t="str">
            <v>Functioning</v>
          </cell>
          <cell r="U1085" t="str">
            <v>Asset</v>
          </cell>
          <cell r="V1085">
            <v>10725</v>
          </cell>
          <cell r="W1085" t="str">
            <v>KEW</v>
          </cell>
          <cell r="X1085" t="str">
            <v>01/09/2010</v>
          </cell>
          <cell r="Y1085" t="str">
            <v>KEW</v>
          </cell>
          <cell r="Z1085" t="str">
            <v>16/08/2013</v>
          </cell>
          <cell r="AA1085" t="str">
            <v>15/08/2015</v>
          </cell>
          <cell r="AB1085" t="str">
            <v>No</v>
          </cell>
          <cell r="AC1085" t="str">
            <v>31/08/2013</v>
          </cell>
          <cell r="AD1085" t="str">
            <v>Good</v>
          </cell>
          <cell r="AE1085" t="str">
            <v>V1 - Existing / No Claim</v>
          </cell>
          <cell r="AF1085">
            <v>42794</v>
          </cell>
          <cell r="AG1085">
            <v>9.17</v>
          </cell>
          <cell r="AH1085" t="str">
            <v>PPM</v>
          </cell>
          <cell r="AI1085" t="str">
            <v>Strands</v>
          </cell>
          <cell r="AJ1085" t="str">
            <v>Strands PW</v>
          </cell>
        </row>
        <row r="1086">
          <cell r="A1086" t="str">
            <v>IKN400670</v>
          </cell>
          <cell r="B1086">
            <v>670</v>
          </cell>
          <cell r="C1086" t="str">
            <v>Institut Kanser Negara</v>
          </cell>
          <cell r="D1086" t="str">
            <v>KKM/IKN/H/13/3455</v>
          </cell>
          <cell r="E1086" t="str">
            <v>13-763</v>
          </cell>
          <cell r="F1086" t="str">
            <v>Stimulators, Electrical, Peripheral Nerve, Acupuncture</v>
          </cell>
          <cell r="G1086" t="str">
            <v>TC</v>
          </cell>
          <cell r="H1086" t="str">
            <v>TRADITIONAL COMPLEMENTARY MEDICINE</v>
          </cell>
          <cell r="I1086" t="str">
            <v>04TC129</v>
          </cell>
          <cell r="J1086" t="str">
            <v>TREATMENT 2 (ACCUPUNCTURE)</v>
          </cell>
          <cell r="K1086" t="str">
            <v>BMED</v>
          </cell>
          <cell r="L1086" t="str">
            <v>Normal</v>
          </cell>
          <cell r="M1086" t="str">
            <v>China</v>
          </cell>
          <cell r="N1086" t="str">
            <v>Shantou</v>
          </cell>
          <cell r="O1086" t="str">
            <v>Shantou Itpg-6805-D</v>
          </cell>
          <cell r="P1086" t="str">
            <v>AD1206095</v>
          </cell>
          <cell r="Q1086" t="str">
            <v>Not Applicable</v>
          </cell>
          <cell r="R1086" t="str">
            <v>Shantou Medical</v>
          </cell>
          <cell r="S1086" t="str">
            <v>ITP Academy Malaysia</v>
          </cell>
          <cell r="T1086" t="str">
            <v>Functioning</v>
          </cell>
          <cell r="U1086" t="str">
            <v>Asset</v>
          </cell>
          <cell r="V1086">
            <v>10725</v>
          </cell>
          <cell r="W1086" t="str">
            <v>KEW</v>
          </cell>
          <cell r="X1086" t="str">
            <v>01/09/2010</v>
          </cell>
          <cell r="Y1086" t="str">
            <v>KEW</v>
          </cell>
          <cell r="Z1086" t="str">
            <v>16/08/2013</v>
          </cell>
          <cell r="AA1086" t="str">
            <v>15/08/2015</v>
          </cell>
          <cell r="AB1086" t="str">
            <v>No</v>
          </cell>
          <cell r="AC1086" t="str">
            <v>31/08/2013</v>
          </cell>
          <cell r="AD1086" t="str">
            <v>Good</v>
          </cell>
          <cell r="AE1086" t="str">
            <v>V1 - Existing / No Claim</v>
          </cell>
          <cell r="AF1086">
            <v>42235</v>
          </cell>
          <cell r="AG1086">
            <v>9.17</v>
          </cell>
          <cell r="AH1086" t="str">
            <v>PPM</v>
          </cell>
          <cell r="AI1086" t="str">
            <v>Strands</v>
          </cell>
          <cell r="AJ1086" t="str">
            <v>Strands PW</v>
          </cell>
        </row>
        <row r="1087">
          <cell r="A1087" t="str">
            <v>IKN400671</v>
          </cell>
          <cell r="B1087">
            <v>671</v>
          </cell>
          <cell r="C1087" t="str">
            <v>Institut Kanser Negara</v>
          </cell>
          <cell r="D1087" t="str">
            <v>KKM/IKN/H/13/3456</v>
          </cell>
          <cell r="E1087" t="str">
            <v>13-763</v>
          </cell>
          <cell r="F1087" t="str">
            <v>Stimulators, Electrical, Peripheral Nerve, Acupuncture</v>
          </cell>
          <cell r="G1087" t="str">
            <v>TC</v>
          </cell>
          <cell r="H1087" t="str">
            <v>TRADITIONAL COMPLEMENTARY MEDICINE</v>
          </cell>
          <cell r="I1087" t="str">
            <v>04TC129</v>
          </cell>
          <cell r="J1087" t="str">
            <v>TREATMENT 2 (ACCUPUNCTURE)</v>
          </cell>
          <cell r="K1087" t="str">
            <v>BMED</v>
          </cell>
          <cell r="L1087" t="str">
            <v>Normal</v>
          </cell>
          <cell r="M1087" t="str">
            <v>China</v>
          </cell>
          <cell r="N1087" t="str">
            <v>Shantou</v>
          </cell>
          <cell r="O1087" t="str">
            <v>Shantou Itpg-6805-D</v>
          </cell>
          <cell r="P1087" t="str">
            <v>AD1206112</v>
          </cell>
          <cell r="Q1087" t="str">
            <v>Not Applicable</v>
          </cell>
          <cell r="R1087" t="str">
            <v>Shantou Medical</v>
          </cell>
          <cell r="S1087" t="str">
            <v>ITP Academy Malaysia</v>
          </cell>
          <cell r="T1087" t="str">
            <v>Functioning</v>
          </cell>
          <cell r="U1087" t="str">
            <v>Asset</v>
          </cell>
          <cell r="V1087">
            <v>10725</v>
          </cell>
          <cell r="W1087" t="str">
            <v>KEW</v>
          </cell>
          <cell r="X1087" t="str">
            <v>01/09/2010</v>
          </cell>
          <cell r="Y1087" t="str">
            <v>KEW</v>
          </cell>
          <cell r="Z1087" t="str">
            <v>16/08/2013</v>
          </cell>
          <cell r="AA1087" t="str">
            <v>15/08/2015</v>
          </cell>
          <cell r="AB1087" t="str">
            <v>No</v>
          </cell>
          <cell r="AC1087" t="str">
            <v>31/08/2013</v>
          </cell>
          <cell r="AD1087" t="str">
            <v>Good</v>
          </cell>
          <cell r="AE1087" t="str">
            <v>V1 - Existing / No Claim</v>
          </cell>
          <cell r="AF1087">
            <v>42794</v>
          </cell>
          <cell r="AG1087">
            <v>9.17</v>
          </cell>
          <cell r="AH1087" t="str">
            <v>PPM</v>
          </cell>
          <cell r="AI1087" t="str">
            <v>Strands</v>
          </cell>
          <cell r="AJ1087" t="str">
            <v>Strands PW</v>
          </cell>
        </row>
        <row r="1088">
          <cell r="A1088" t="str">
            <v>IKN400674</v>
          </cell>
          <cell r="B1088">
            <v>674</v>
          </cell>
          <cell r="C1088" t="str">
            <v>Institut Kanser Negara</v>
          </cell>
          <cell r="D1088" t="str">
            <v>KKM/IKN/H/13/1203</v>
          </cell>
          <cell r="E1088" t="str">
            <v>12-278</v>
          </cell>
          <cell r="F1088" t="str">
            <v>Lights, Infrared</v>
          </cell>
          <cell r="G1088" t="str">
            <v>TC</v>
          </cell>
          <cell r="H1088" t="str">
            <v>TRADITIONAL COMPLEMENTARY MEDICINE</v>
          </cell>
          <cell r="I1088" t="str">
            <v>04TC127</v>
          </cell>
          <cell r="J1088" t="str">
            <v>C/E</v>
          </cell>
          <cell r="K1088" t="str">
            <v>BMED</v>
          </cell>
          <cell r="L1088" t="str">
            <v>Normal</v>
          </cell>
          <cell r="M1088" t="str">
            <v>China</v>
          </cell>
          <cell r="N1088" t="str">
            <v>Chongqing</v>
          </cell>
          <cell r="O1088" t="str">
            <v>Chongqing Itp-Xf29-Tdp</v>
          </cell>
          <cell r="P1088" t="str">
            <v>12110067</v>
          </cell>
          <cell r="Q1088" t="str">
            <v>Not Applicable</v>
          </cell>
          <cell r="R1088" t="str">
            <v>Chongqing Xinfeng Me</v>
          </cell>
          <cell r="S1088" t="str">
            <v>ITP Academy Malaysia</v>
          </cell>
          <cell r="T1088" t="str">
            <v>Functioning</v>
          </cell>
          <cell r="U1088" t="str">
            <v>Asset</v>
          </cell>
          <cell r="V1088">
            <v>7050</v>
          </cell>
          <cell r="W1088" t="str">
            <v>KEW</v>
          </cell>
          <cell r="X1088" t="str">
            <v>01/09/2010</v>
          </cell>
          <cell r="Y1088" t="str">
            <v>KEW</v>
          </cell>
          <cell r="Z1088" t="str">
            <v>16/08/2013</v>
          </cell>
          <cell r="AA1088" t="str">
            <v>15/08/2015</v>
          </cell>
          <cell r="AB1088" t="str">
            <v>No</v>
          </cell>
          <cell r="AC1088" t="str">
            <v>31/08/2013</v>
          </cell>
          <cell r="AD1088" t="str">
            <v>Good</v>
          </cell>
          <cell r="AE1088" t="str">
            <v>V1 - Existing / No Claim</v>
          </cell>
          <cell r="AF1088">
            <v>42235</v>
          </cell>
          <cell r="AG1088">
            <v>9.17</v>
          </cell>
          <cell r="AH1088" t="str">
            <v>PPM</v>
          </cell>
          <cell r="AI1088" t="str">
            <v>Strands</v>
          </cell>
          <cell r="AJ1088" t="str">
            <v>Strands PW</v>
          </cell>
          <cell r="AK1088" t="str">
            <v>[INDIRA, 17/10/2023]: Update KKM No. [27/12/2023, SHARIFAH]: PEP ON 22/12/2023, BER/BEMS/IKN/23/025 - Komponen aset telah longgar, mineral plat berkarat, namun masih boleh digunakan dan hendaklah diselenggarakan sehingga dilupuskan.</v>
          </cell>
        </row>
        <row r="1089">
          <cell r="A1089" t="str">
            <v>IKN400677</v>
          </cell>
          <cell r="B1089">
            <v>677</v>
          </cell>
          <cell r="C1089" t="str">
            <v>Institut Kanser Negara</v>
          </cell>
          <cell r="D1089" t="str">
            <v>KKM/IKN/H/13/1206</v>
          </cell>
          <cell r="E1089" t="str">
            <v>12-278</v>
          </cell>
          <cell r="F1089" t="str">
            <v>Lights, Infrared</v>
          </cell>
          <cell r="G1089" t="str">
            <v>TC</v>
          </cell>
          <cell r="H1089" t="str">
            <v>TRADITIONAL COMPLEMENTARY MEDICINE</v>
          </cell>
          <cell r="I1089" t="str">
            <v>04TC129</v>
          </cell>
          <cell r="J1089" t="str">
            <v>TREATMENT 2 (ACCUPUNCTURE)</v>
          </cell>
          <cell r="K1089" t="str">
            <v>BMED</v>
          </cell>
          <cell r="L1089" t="str">
            <v>Normal</v>
          </cell>
          <cell r="M1089" t="str">
            <v>China</v>
          </cell>
          <cell r="N1089" t="str">
            <v>Chongqing</v>
          </cell>
          <cell r="O1089" t="str">
            <v>Chongqing Itp-Xf29-Tdp</v>
          </cell>
          <cell r="P1089" t="str">
            <v>12050603</v>
          </cell>
          <cell r="Q1089" t="str">
            <v>Not Applicable</v>
          </cell>
          <cell r="R1089" t="str">
            <v>Chongqing Xinfeng Me</v>
          </cell>
          <cell r="S1089" t="str">
            <v>ITP Academy Malaysia</v>
          </cell>
          <cell r="T1089" t="str">
            <v>Functioning</v>
          </cell>
          <cell r="U1089" t="str">
            <v>Asset</v>
          </cell>
          <cell r="V1089">
            <v>7050</v>
          </cell>
          <cell r="W1089" t="str">
            <v>KEW</v>
          </cell>
          <cell r="X1089" t="str">
            <v>01/09/2010</v>
          </cell>
          <cell r="Y1089" t="str">
            <v>KEW</v>
          </cell>
          <cell r="Z1089" t="str">
            <v>16/08/2013</v>
          </cell>
          <cell r="AA1089" t="str">
            <v>15/08/2015</v>
          </cell>
          <cell r="AB1089" t="str">
            <v>No</v>
          </cell>
          <cell r="AC1089" t="str">
            <v>31/08/2013</v>
          </cell>
          <cell r="AD1089" t="str">
            <v>Good</v>
          </cell>
          <cell r="AE1089" t="str">
            <v>V1 - Existing / No Claim</v>
          </cell>
          <cell r="AF1089">
            <v>42235</v>
          </cell>
          <cell r="AG1089">
            <v>9.17</v>
          </cell>
          <cell r="AH1089" t="str">
            <v>PPM</v>
          </cell>
          <cell r="AI1089" t="str">
            <v>Strands</v>
          </cell>
          <cell r="AJ1089" t="str">
            <v>Strands PW</v>
          </cell>
          <cell r="AK1089" t="str">
            <v>[INDIRA, 17/10/2023]: Update KKM No. [27/12/2023, SHARIFAH]: PEP ON 22/12/2023, BER/BEMS/IKN/23/027 - Komponen aset telah longgar, mineral plat berkarat, namun masih boleh digunakan dan hendaklah diselenggarakan sehingga dilupuskan.</v>
          </cell>
        </row>
        <row r="1090">
          <cell r="A1090" t="str">
            <v>IKN400678</v>
          </cell>
          <cell r="B1090">
            <v>678</v>
          </cell>
          <cell r="C1090" t="str">
            <v>Institut Kanser Negara</v>
          </cell>
          <cell r="D1090" t="str">
            <v>KKM/IKN/H/13/1251</v>
          </cell>
          <cell r="E1090" t="str">
            <v>10-208</v>
          </cell>
          <cell r="F1090" t="str">
            <v>Aspirators</v>
          </cell>
          <cell r="G1090" t="str">
            <v>TC</v>
          </cell>
          <cell r="H1090" t="str">
            <v>TRADITIONAL COMPLEMENTARY MEDICINE</v>
          </cell>
          <cell r="I1090" t="str">
            <v>04TC119</v>
          </cell>
          <cell r="J1090" t="str">
            <v>GEN.STORE</v>
          </cell>
          <cell r="K1090" t="str">
            <v>BMED</v>
          </cell>
          <cell r="L1090" t="str">
            <v>Normal</v>
          </cell>
          <cell r="M1090" t="str">
            <v>Switzerland</v>
          </cell>
          <cell r="N1090" t="str">
            <v>Senator</v>
          </cell>
          <cell r="O1090" t="str">
            <v>Senator</v>
          </cell>
          <cell r="P1090" t="str">
            <v>1220745</v>
          </cell>
          <cell r="Q1090" t="str">
            <v>Not Applicable</v>
          </cell>
          <cell r="R1090" t="str">
            <v>Ardo Medical AG</v>
          </cell>
          <cell r="S1090" t="str">
            <v>Histopoint</v>
          </cell>
          <cell r="T1090" t="str">
            <v>Functioning</v>
          </cell>
          <cell r="U1090" t="str">
            <v>Asset</v>
          </cell>
          <cell r="V1090">
            <v>5052</v>
          </cell>
          <cell r="W1090" t="str">
            <v>KEW</v>
          </cell>
          <cell r="X1090" t="str">
            <v>01/09/2010</v>
          </cell>
          <cell r="Y1090" t="str">
            <v>KEW</v>
          </cell>
          <cell r="Z1090" t="str">
            <v>16/08/2013</v>
          </cell>
          <cell r="AA1090" t="str">
            <v>15/08/2015</v>
          </cell>
          <cell r="AB1090" t="str">
            <v>No</v>
          </cell>
          <cell r="AC1090" t="str">
            <v>31/08/2013</v>
          </cell>
          <cell r="AD1090" t="str">
            <v>Good</v>
          </cell>
          <cell r="AE1090" t="str">
            <v>V1 - Existing / No Claim</v>
          </cell>
          <cell r="AF1090">
            <v>42235</v>
          </cell>
          <cell r="AG1090">
            <v>9.17</v>
          </cell>
          <cell r="AH1090" t="str">
            <v>PPM</v>
          </cell>
          <cell r="AI1090" t="str">
            <v>Strands</v>
          </cell>
          <cell r="AJ1090" t="str">
            <v>Strands PW</v>
          </cell>
        </row>
        <row r="1091">
          <cell r="A1091" t="str">
            <v>IKN400679</v>
          </cell>
          <cell r="B1091">
            <v>679</v>
          </cell>
          <cell r="C1091" t="str">
            <v>Institut Kanser Negara</v>
          </cell>
          <cell r="D1091" t="str">
            <v>KKM/IKN/H/13/1247</v>
          </cell>
          <cell r="E1091" t="str">
            <v>16-173</v>
          </cell>
          <cell r="F1091" t="str">
            <v>Sphygmomanometers, Electronic, Automatic</v>
          </cell>
          <cell r="G1091" t="str">
            <v>TC</v>
          </cell>
          <cell r="H1091" t="str">
            <v>TRADITIONAL COMPLEMENTARY MEDICINE</v>
          </cell>
          <cell r="I1091" t="str">
            <v>04TC125</v>
          </cell>
          <cell r="J1091" t="str">
            <v>ASSESSMENT</v>
          </cell>
          <cell r="K1091" t="str">
            <v>BMED</v>
          </cell>
          <cell r="L1091" t="str">
            <v>Critical</v>
          </cell>
          <cell r="M1091" t="str">
            <v>Mexico</v>
          </cell>
          <cell r="N1091" t="str">
            <v>Carespace</v>
          </cell>
          <cell r="O1091" t="str">
            <v>Carescape V100</v>
          </cell>
          <cell r="P1091" t="str">
            <v>SH612430119SA</v>
          </cell>
          <cell r="Q1091" t="str">
            <v>Not Applicable</v>
          </cell>
          <cell r="R1091" t="str">
            <v>GE Healthcare Systems</v>
          </cell>
          <cell r="S1091" t="str">
            <v>GE Healthcare Technologies</v>
          </cell>
          <cell r="T1091" t="str">
            <v>Functioning</v>
          </cell>
          <cell r="U1091" t="str">
            <v>Asset</v>
          </cell>
          <cell r="V1091">
            <v>7770</v>
          </cell>
          <cell r="W1091" t="str">
            <v>KEW</v>
          </cell>
          <cell r="X1091" t="str">
            <v>01/09/2010</v>
          </cell>
          <cell r="Y1091" t="str">
            <v>KEW</v>
          </cell>
          <cell r="Z1091" t="str">
            <v>16/08/2013</v>
          </cell>
          <cell r="AA1091" t="str">
            <v>15/08/2015</v>
          </cell>
          <cell r="AB1091" t="str">
            <v>No</v>
          </cell>
          <cell r="AC1091" t="str">
            <v>31/08/2013</v>
          </cell>
          <cell r="AD1091" t="str">
            <v>Good</v>
          </cell>
          <cell r="AE1091" t="str">
            <v>V1 - Existing / No Claim</v>
          </cell>
          <cell r="AF1091">
            <v>42794</v>
          </cell>
          <cell r="AG1091">
            <v>9.17</v>
          </cell>
          <cell r="AH1091" t="str">
            <v>PPM</v>
          </cell>
          <cell r="AI1091" t="str">
            <v>Strands</v>
          </cell>
          <cell r="AJ1091" t="str">
            <v>Strands PW</v>
          </cell>
        </row>
        <row r="1092">
          <cell r="A1092" t="str">
            <v>IKN400680</v>
          </cell>
          <cell r="B1092">
            <v>680</v>
          </cell>
          <cell r="C1092" t="str">
            <v>Institut Kanser Negara</v>
          </cell>
          <cell r="D1092" t="str">
            <v>KKM/IKN/I/13/867</v>
          </cell>
          <cell r="E1092" t="str">
            <v>16-173</v>
          </cell>
          <cell r="F1092" t="str">
            <v>Sphygmomanometers, Electronic, Automatic</v>
          </cell>
          <cell r="G1092" t="str">
            <v>TC</v>
          </cell>
          <cell r="H1092" t="str">
            <v>TRADITIONAL COMPLEMENTARY MEDICINE</v>
          </cell>
          <cell r="I1092" t="str">
            <v>04TC109</v>
          </cell>
          <cell r="J1092" t="str">
            <v>C/E 1 (HERBAL ONCOLOGY</v>
          </cell>
          <cell r="K1092" t="str">
            <v>BMED</v>
          </cell>
          <cell r="L1092" t="str">
            <v>Critical</v>
          </cell>
          <cell r="M1092" t="str">
            <v>USA</v>
          </cell>
          <cell r="N1092" t="str">
            <v>Connex</v>
          </cell>
          <cell r="O1092" t="str">
            <v>Connex ProBP 3400</v>
          </cell>
          <cell r="P1092" t="str">
            <v>100001470413</v>
          </cell>
          <cell r="Q1092" t="str">
            <v>Not Applicable</v>
          </cell>
          <cell r="R1092" t="str">
            <v>Welch Allyn Inc</v>
          </cell>
          <cell r="S1092" t="str">
            <v>Welch Allyn Malaysia Sdn Bhd</v>
          </cell>
          <cell r="T1092" t="str">
            <v>Functioning</v>
          </cell>
          <cell r="U1092" t="str">
            <v>Asset</v>
          </cell>
          <cell r="V1092">
            <v>336</v>
          </cell>
          <cell r="W1092" t="str">
            <v>KEW</v>
          </cell>
          <cell r="X1092" t="str">
            <v>01/09/2010</v>
          </cell>
          <cell r="Y1092" t="str">
            <v>KEW</v>
          </cell>
          <cell r="Z1092" t="str">
            <v>16/08/2013</v>
          </cell>
          <cell r="AA1092" t="str">
            <v>15/08/2015</v>
          </cell>
          <cell r="AB1092" t="str">
            <v>No</v>
          </cell>
          <cell r="AC1092" t="str">
            <v>31/08/2013</v>
          </cell>
          <cell r="AD1092" t="str">
            <v>Good</v>
          </cell>
          <cell r="AE1092" t="str">
            <v>V1 - Existing / No Claim</v>
          </cell>
          <cell r="AF1092">
            <v>42794</v>
          </cell>
          <cell r="AG1092">
            <v>9.17</v>
          </cell>
          <cell r="AH1092" t="str">
            <v>PPM</v>
          </cell>
          <cell r="AI1092" t="str">
            <v>Strands</v>
          </cell>
          <cell r="AJ1092" t="str">
            <v>Strands PW</v>
          </cell>
        </row>
        <row r="1093">
          <cell r="A1093" t="str">
            <v>IKN400681</v>
          </cell>
          <cell r="B1093">
            <v>681</v>
          </cell>
          <cell r="C1093" t="str">
            <v>Institut Kanser Negara</v>
          </cell>
          <cell r="D1093" t="str">
            <v>KKM/IKN/I/13/868</v>
          </cell>
          <cell r="E1093" t="str">
            <v>16-173</v>
          </cell>
          <cell r="F1093" t="str">
            <v>Sphygmomanometers, Electronic, Automatic</v>
          </cell>
          <cell r="G1093" t="str">
            <v>TC</v>
          </cell>
          <cell r="H1093" t="str">
            <v>TRADITIONAL COMPLEMENTARY MEDICINE</v>
          </cell>
          <cell r="I1093" t="str">
            <v>04TC127</v>
          </cell>
          <cell r="J1093" t="str">
            <v>C/E</v>
          </cell>
          <cell r="K1093" t="str">
            <v>BMED</v>
          </cell>
          <cell r="L1093" t="str">
            <v>Critical</v>
          </cell>
          <cell r="M1093" t="str">
            <v>USA</v>
          </cell>
          <cell r="N1093" t="str">
            <v>Connex</v>
          </cell>
          <cell r="O1093" t="str">
            <v>Connex ProBP 3400</v>
          </cell>
          <cell r="P1093" t="str">
            <v>100004891213</v>
          </cell>
          <cell r="Q1093" t="str">
            <v>Not Applicable</v>
          </cell>
          <cell r="R1093" t="str">
            <v>Welch Allyn Inc</v>
          </cell>
          <cell r="S1093" t="str">
            <v>Welch Allyn Malaysia Sdn Bhd</v>
          </cell>
          <cell r="T1093" t="str">
            <v>Functioning</v>
          </cell>
          <cell r="U1093" t="str">
            <v>Asset</v>
          </cell>
          <cell r="V1093">
            <v>336</v>
          </cell>
          <cell r="W1093" t="str">
            <v>KEW</v>
          </cell>
          <cell r="X1093" t="str">
            <v>01/09/2010</v>
          </cell>
          <cell r="Y1093" t="str">
            <v>KEW</v>
          </cell>
          <cell r="Z1093" t="str">
            <v>16/08/2013</v>
          </cell>
          <cell r="AA1093" t="str">
            <v>15/08/2015</v>
          </cell>
          <cell r="AB1093" t="str">
            <v>No</v>
          </cell>
          <cell r="AC1093" t="str">
            <v>31/08/2013</v>
          </cell>
          <cell r="AD1093" t="str">
            <v>Good</v>
          </cell>
          <cell r="AE1093" t="str">
            <v>V1 - Existing / No Claim</v>
          </cell>
          <cell r="AF1093">
            <v>42794</v>
          </cell>
          <cell r="AG1093">
            <v>9.17</v>
          </cell>
          <cell r="AH1093" t="str">
            <v>PPM</v>
          </cell>
          <cell r="AI1093" t="str">
            <v>Strands</v>
          </cell>
          <cell r="AJ1093" t="str">
            <v>Strands PW</v>
          </cell>
        </row>
        <row r="1094">
          <cell r="A1094" t="str">
            <v>IKN400684</v>
          </cell>
          <cell r="B1094">
            <v>684</v>
          </cell>
          <cell r="C1094" t="str">
            <v>Institut Kanser Negara</v>
          </cell>
          <cell r="D1094" t="str">
            <v>KKM/IKN/H/13/3448</v>
          </cell>
          <cell r="E1094" t="str">
            <v>13-763</v>
          </cell>
          <cell r="F1094" t="str">
            <v>Stimulators, Electrical, Peripheral Nerve, Acupuncture</v>
          </cell>
          <cell r="G1094" t="str">
            <v>TC</v>
          </cell>
          <cell r="H1094" t="str">
            <v>TRADITIONAL COMPLEMENTARY MEDICINE</v>
          </cell>
          <cell r="I1094" t="str">
            <v>04TC119</v>
          </cell>
          <cell r="J1094" t="str">
            <v>GEN.STORE</v>
          </cell>
          <cell r="K1094" t="str">
            <v>BMED</v>
          </cell>
          <cell r="L1094" t="str">
            <v>Normal</v>
          </cell>
          <cell r="M1094" t="str">
            <v>China</v>
          </cell>
          <cell r="N1094" t="str">
            <v>Shantou</v>
          </cell>
          <cell r="O1094" t="str">
            <v>Shantou Itpg-6805-D</v>
          </cell>
          <cell r="P1094" t="str">
            <v>AD1206103</v>
          </cell>
          <cell r="Q1094" t="str">
            <v>Not Applicable</v>
          </cell>
          <cell r="R1094" t="str">
            <v>Shantou Medical</v>
          </cell>
          <cell r="S1094" t="str">
            <v>ITP Academy Malaysia</v>
          </cell>
          <cell r="T1094" t="str">
            <v>Functioning</v>
          </cell>
          <cell r="U1094" t="str">
            <v>Asset</v>
          </cell>
          <cell r="V1094">
            <v>10725</v>
          </cell>
          <cell r="W1094" t="str">
            <v>KEW</v>
          </cell>
          <cell r="X1094" t="str">
            <v>01/09/2010</v>
          </cell>
          <cell r="Y1094" t="str">
            <v>KEW</v>
          </cell>
          <cell r="Z1094" t="str">
            <v>16/08/2013</v>
          </cell>
          <cell r="AA1094" t="str">
            <v>15/08/2015</v>
          </cell>
          <cell r="AB1094" t="str">
            <v>No</v>
          </cell>
          <cell r="AC1094" t="str">
            <v>31/08/2013</v>
          </cell>
          <cell r="AD1094" t="str">
            <v>Good</v>
          </cell>
          <cell r="AE1094" t="str">
            <v>V1 - Existing / No Claim</v>
          </cell>
          <cell r="AF1094">
            <v>42794</v>
          </cell>
          <cell r="AG1094">
            <v>9.17</v>
          </cell>
          <cell r="AH1094" t="str">
            <v>PPM</v>
          </cell>
          <cell r="AI1094" t="str">
            <v>Strands</v>
          </cell>
          <cell r="AJ1094" t="str">
            <v>Strands PW</v>
          </cell>
        </row>
        <row r="1095">
          <cell r="A1095" t="str">
            <v>IKN400685</v>
          </cell>
          <cell r="B1095">
            <v>685</v>
          </cell>
          <cell r="C1095" t="str">
            <v>Institut Kanser Negara</v>
          </cell>
          <cell r="D1095" t="str">
            <v>KKM/IKN/H/13/3457</v>
          </cell>
          <cell r="E1095" t="str">
            <v>13-763</v>
          </cell>
          <cell r="F1095" t="str">
            <v>Stimulators, Electrical, Peripheral Nerve, Acupuncture</v>
          </cell>
          <cell r="G1095" t="str">
            <v>TC</v>
          </cell>
          <cell r="H1095" t="str">
            <v>TRADITIONAL COMPLEMENTARY MEDICINE</v>
          </cell>
          <cell r="I1095" t="str">
            <v>04TC119</v>
          </cell>
          <cell r="J1095" t="str">
            <v>GEN.STORE</v>
          </cell>
          <cell r="K1095" t="str">
            <v>BMED</v>
          </cell>
          <cell r="L1095" t="str">
            <v>Normal</v>
          </cell>
          <cell r="M1095" t="str">
            <v>China</v>
          </cell>
          <cell r="N1095" t="str">
            <v>Shantou</v>
          </cell>
          <cell r="O1095" t="str">
            <v>Shantou Itpg-6805-D</v>
          </cell>
          <cell r="P1095" t="str">
            <v>AD1206093</v>
          </cell>
          <cell r="Q1095" t="str">
            <v>Not Applicable</v>
          </cell>
          <cell r="R1095" t="str">
            <v>Shantou Medical</v>
          </cell>
          <cell r="S1095" t="str">
            <v>ITP Academy Malaysia</v>
          </cell>
          <cell r="T1095" t="str">
            <v>Functioning</v>
          </cell>
          <cell r="U1095" t="str">
            <v>Asset</v>
          </cell>
          <cell r="V1095">
            <v>10725</v>
          </cell>
          <cell r="W1095" t="str">
            <v>KEW</v>
          </cell>
          <cell r="X1095" t="str">
            <v>01/09/2010</v>
          </cell>
          <cell r="Y1095" t="str">
            <v>KEW</v>
          </cell>
          <cell r="Z1095" t="str">
            <v>16/08/2013</v>
          </cell>
          <cell r="AA1095" t="str">
            <v>15/08/2015</v>
          </cell>
          <cell r="AB1095" t="str">
            <v>No</v>
          </cell>
          <cell r="AC1095" t="str">
            <v>31/08/2013</v>
          </cell>
          <cell r="AD1095" t="str">
            <v>Good</v>
          </cell>
          <cell r="AE1095" t="str">
            <v>V1 - Existing / No Claim</v>
          </cell>
          <cell r="AF1095">
            <v>42794</v>
          </cell>
          <cell r="AG1095">
            <v>9.17</v>
          </cell>
          <cell r="AH1095" t="str">
            <v>PPM</v>
          </cell>
          <cell r="AI1095" t="str">
            <v>Strands</v>
          </cell>
          <cell r="AJ1095" t="str">
            <v>Strands PW</v>
          </cell>
        </row>
        <row r="1096">
          <cell r="A1096" t="str">
            <v>IKN400686</v>
          </cell>
          <cell r="B1096">
            <v>686</v>
          </cell>
          <cell r="C1096" t="str">
            <v>Institut Kanser Negara</v>
          </cell>
          <cell r="D1096" t="str">
            <v>KKM/IKN/H/13/3449</v>
          </cell>
          <cell r="E1096" t="str">
            <v>13-763</v>
          </cell>
          <cell r="F1096" t="str">
            <v>Stimulators, Electrical, Peripheral Nerve, Acupuncture</v>
          </cell>
          <cell r="G1096" t="str">
            <v>TC</v>
          </cell>
          <cell r="H1096" t="str">
            <v>TRADITIONAL COMPLEMENTARY MEDICINE</v>
          </cell>
          <cell r="I1096" t="str">
            <v>04TC119</v>
          </cell>
          <cell r="J1096" t="str">
            <v>GEN.STORE</v>
          </cell>
          <cell r="K1096" t="str">
            <v>BMED</v>
          </cell>
          <cell r="L1096" t="str">
            <v>Normal</v>
          </cell>
          <cell r="M1096" t="str">
            <v>China</v>
          </cell>
          <cell r="N1096" t="str">
            <v>Shantou</v>
          </cell>
          <cell r="O1096" t="str">
            <v>Shantou Itpg-6805-D</v>
          </cell>
          <cell r="P1096" t="str">
            <v>AD1206110</v>
          </cell>
          <cell r="Q1096" t="str">
            <v>Not Applicable</v>
          </cell>
          <cell r="R1096" t="str">
            <v>Shantou Medical</v>
          </cell>
          <cell r="S1096" t="str">
            <v>ITP Academy Malaysia</v>
          </cell>
          <cell r="T1096" t="str">
            <v>Functioning</v>
          </cell>
          <cell r="U1096" t="str">
            <v>Asset</v>
          </cell>
          <cell r="V1096">
            <v>10725</v>
          </cell>
          <cell r="W1096" t="str">
            <v>KEW</v>
          </cell>
          <cell r="X1096" t="str">
            <v>01/09/2010</v>
          </cell>
          <cell r="Y1096" t="str">
            <v>KEW</v>
          </cell>
          <cell r="Z1096" t="str">
            <v>16/08/2013</v>
          </cell>
          <cell r="AA1096" t="str">
            <v>15/08/2015</v>
          </cell>
          <cell r="AB1096" t="str">
            <v>No</v>
          </cell>
          <cell r="AC1096" t="str">
            <v>31/08/2013</v>
          </cell>
          <cell r="AD1096" t="str">
            <v>Good</v>
          </cell>
          <cell r="AE1096" t="str">
            <v>V1 - Existing / No Claim</v>
          </cell>
          <cell r="AF1096">
            <v>42794</v>
          </cell>
          <cell r="AG1096">
            <v>9.17</v>
          </cell>
          <cell r="AH1096" t="str">
            <v>PPM</v>
          </cell>
          <cell r="AI1096" t="str">
            <v>Strands</v>
          </cell>
          <cell r="AJ1096" t="str">
            <v>Strands PW</v>
          </cell>
        </row>
        <row r="1097">
          <cell r="A1097" t="str">
            <v>IKN400687</v>
          </cell>
          <cell r="B1097">
            <v>687</v>
          </cell>
          <cell r="C1097" t="str">
            <v>Institut Kanser Negara</v>
          </cell>
          <cell r="D1097" t="str">
            <v>KKM/IKN/H/13/3451</v>
          </cell>
          <cell r="E1097" t="str">
            <v>13-763</v>
          </cell>
          <cell r="F1097" t="str">
            <v>Stimulators, Electrical, Peripheral Nerve, Acupuncture</v>
          </cell>
          <cell r="G1097" t="str">
            <v>TC</v>
          </cell>
          <cell r="H1097" t="str">
            <v>TRADITIONAL COMPLEMENTARY MEDICINE</v>
          </cell>
          <cell r="I1097" t="str">
            <v>04TC119</v>
          </cell>
          <cell r="J1097" t="str">
            <v>GEN.STORE</v>
          </cell>
          <cell r="K1097" t="str">
            <v>BMED</v>
          </cell>
          <cell r="L1097" t="str">
            <v>Normal</v>
          </cell>
          <cell r="M1097" t="str">
            <v>China</v>
          </cell>
          <cell r="N1097" t="str">
            <v>Shantou</v>
          </cell>
          <cell r="O1097" t="str">
            <v>Shantou Itpg-6805-D</v>
          </cell>
          <cell r="P1097" t="str">
            <v>AD1206111</v>
          </cell>
          <cell r="Q1097" t="str">
            <v>Not Applicable</v>
          </cell>
          <cell r="R1097" t="str">
            <v>Shantou Medical</v>
          </cell>
          <cell r="S1097" t="str">
            <v>ITP Academy Malaysia</v>
          </cell>
          <cell r="T1097" t="str">
            <v>Functioning</v>
          </cell>
          <cell r="U1097" t="str">
            <v>Asset</v>
          </cell>
          <cell r="V1097">
            <v>10725</v>
          </cell>
          <cell r="W1097" t="str">
            <v>KEW</v>
          </cell>
          <cell r="X1097" t="str">
            <v>01/09/2010</v>
          </cell>
          <cell r="Y1097" t="str">
            <v>KEW</v>
          </cell>
          <cell r="Z1097" t="str">
            <v>16/08/2013</v>
          </cell>
          <cell r="AA1097" t="str">
            <v>15/08/2015</v>
          </cell>
          <cell r="AB1097" t="str">
            <v>No</v>
          </cell>
          <cell r="AC1097" t="str">
            <v>31/08/2013</v>
          </cell>
          <cell r="AD1097" t="str">
            <v>Good</v>
          </cell>
          <cell r="AE1097" t="str">
            <v>V1 - Existing / No Claim</v>
          </cell>
          <cell r="AF1097">
            <v>42794</v>
          </cell>
          <cell r="AG1097">
            <v>9.17</v>
          </cell>
          <cell r="AH1097" t="str">
            <v>PPM</v>
          </cell>
          <cell r="AI1097" t="str">
            <v>Strands</v>
          </cell>
          <cell r="AJ1097" t="str">
            <v>Strands PW</v>
          </cell>
        </row>
        <row r="1098">
          <cell r="A1098" t="str">
            <v>IKN400688</v>
          </cell>
          <cell r="B1098">
            <v>688</v>
          </cell>
          <cell r="C1098" t="str">
            <v>Institut Kanser Negara</v>
          </cell>
          <cell r="D1098" t="str">
            <v>KKM/IKN/H/13/1201</v>
          </cell>
          <cell r="E1098" t="str">
            <v>12-282</v>
          </cell>
          <cell r="F1098" t="str">
            <v>Lights, Surgical</v>
          </cell>
          <cell r="G1098" t="str">
            <v>TC</v>
          </cell>
          <cell r="H1098" t="str">
            <v>TRADITIONAL COMPLEMENTARY MEDICINE</v>
          </cell>
          <cell r="I1098" t="str">
            <v>04TC109</v>
          </cell>
          <cell r="J1098" t="str">
            <v>C/E 1 (HERBAL ONCOLOGY</v>
          </cell>
          <cell r="K1098" t="str">
            <v>BMED</v>
          </cell>
          <cell r="L1098" t="str">
            <v>Critical</v>
          </cell>
          <cell r="M1098" t="str">
            <v>USA</v>
          </cell>
          <cell r="N1098" t="str">
            <v>Welch Allyn</v>
          </cell>
          <cell r="O1098" t="str">
            <v>Welch Allyn GS600</v>
          </cell>
          <cell r="P1098" t="str">
            <v>GS-600-34</v>
          </cell>
          <cell r="Q1098" t="str">
            <v>Not Applicable</v>
          </cell>
          <cell r="R1098" t="str">
            <v>Welch Allyn Inc</v>
          </cell>
          <cell r="S1098" t="str">
            <v>Welch Allyn Malaysia Sdn Bhd</v>
          </cell>
          <cell r="T1098" t="str">
            <v>Functioning</v>
          </cell>
          <cell r="U1098" t="str">
            <v>Asset</v>
          </cell>
          <cell r="V1098">
            <v>5050</v>
          </cell>
          <cell r="W1098" t="str">
            <v>KEW</v>
          </cell>
          <cell r="X1098" t="str">
            <v>01/09/2010</v>
          </cell>
          <cell r="Y1098" t="str">
            <v>KEW</v>
          </cell>
          <cell r="Z1098" t="str">
            <v>16/08/2013</v>
          </cell>
          <cell r="AA1098" t="str">
            <v>15/08/2015</v>
          </cell>
          <cell r="AB1098" t="str">
            <v>No</v>
          </cell>
          <cell r="AC1098" t="str">
            <v>31/08/2013</v>
          </cell>
          <cell r="AD1098" t="str">
            <v>Good</v>
          </cell>
          <cell r="AE1098" t="str">
            <v>V1 - Existing / No Claim</v>
          </cell>
          <cell r="AF1098">
            <v>42794</v>
          </cell>
          <cell r="AG1098">
            <v>9.17</v>
          </cell>
          <cell r="AH1098" t="str">
            <v>PPM</v>
          </cell>
          <cell r="AI1098" t="str">
            <v>Strands</v>
          </cell>
          <cell r="AJ1098" t="str">
            <v>Strands PW</v>
          </cell>
        </row>
        <row r="1099">
          <cell r="A1099" t="str">
            <v>IKN400689</v>
          </cell>
          <cell r="B1099">
            <v>689</v>
          </cell>
          <cell r="C1099" t="str">
            <v>Institut Kanser Negara</v>
          </cell>
          <cell r="D1099" t="str">
            <v>KKM/IKN/H/14/123</v>
          </cell>
          <cell r="E1099" t="str">
            <v>11-067</v>
          </cell>
          <cell r="F1099" t="str">
            <v>Cryosurgical Units, General-Purpose</v>
          </cell>
          <cell r="G1099" t="str">
            <v>ID</v>
          </cell>
          <cell r="H1099" t="str">
            <v>IMAGING DEPARTMENT</v>
          </cell>
          <cell r="I1099" t="str">
            <v>03ID164</v>
          </cell>
          <cell r="J1099" t="str">
            <v>ANGIO(VE)</v>
          </cell>
          <cell r="K1099" t="str">
            <v>BMED</v>
          </cell>
          <cell r="L1099" t="str">
            <v>Normal</v>
          </cell>
          <cell r="M1099" t="str">
            <v>USA</v>
          </cell>
          <cell r="N1099" t="str">
            <v>Cryo</v>
          </cell>
          <cell r="O1099" t="str">
            <v>Cryo-SL</v>
          </cell>
          <cell r="P1099" t="str">
            <v>1109</v>
          </cell>
          <cell r="Q1099" t="str">
            <v>Not Applicable</v>
          </cell>
          <cell r="R1099" t="str">
            <v>Endocare Healthtronics</v>
          </cell>
          <cell r="S1099" t="str">
            <v>Ilham Medicare Sdn. Bhd.</v>
          </cell>
          <cell r="T1099" t="str">
            <v>Functioning</v>
          </cell>
          <cell r="U1099" t="str">
            <v>Asset</v>
          </cell>
          <cell r="V1099">
            <v>968448</v>
          </cell>
          <cell r="W1099" t="str">
            <v>KEW</v>
          </cell>
          <cell r="X1099" t="str">
            <v>04/12/2014</v>
          </cell>
          <cell r="Y1099" t="str">
            <v>KEW</v>
          </cell>
          <cell r="Z1099" t="str">
            <v>17/12/2014</v>
          </cell>
          <cell r="AA1099" t="str">
            <v>16/12/2016</v>
          </cell>
          <cell r="AB1099" t="str">
            <v>No</v>
          </cell>
          <cell r="AC1099" t="str">
            <v>17/12/2014</v>
          </cell>
          <cell r="AD1099" t="str">
            <v>Good</v>
          </cell>
          <cell r="AE1099" t="str">
            <v>V3 - Added Installed Facilities (New)</v>
          </cell>
          <cell r="AF1099">
            <v>42791</v>
          </cell>
          <cell r="AG1099">
            <v>4.92</v>
          </cell>
          <cell r="AH1099" t="str">
            <v>PPM</v>
          </cell>
          <cell r="AI1099" t="str">
            <v>Strands</v>
          </cell>
          <cell r="AJ1099" t="str">
            <v>Strands PW</v>
          </cell>
          <cell r="AK1099" t="str">
            <v>SNF received. 1st batch of V3 asset (December 2020). SN PRESSURE GAUGE C4778G, C4779G, C4780G.</v>
          </cell>
        </row>
        <row r="1100">
          <cell r="A1100" t="str">
            <v>IKN400690</v>
          </cell>
          <cell r="B1100">
            <v>690</v>
          </cell>
          <cell r="C1100" t="str">
            <v>Institut Kanser Negara</v>
          </cell>
          <cell r="D1100" t="str">
            <v>KKM/IKN/H/13/956</v>
          </cell>
          <cell r="E1100" t="str">
            <v>13-209</v>
          </cell>
          <cell r="F1100" t="str">
            <v>Pumps, Enteral Feeding</v>
          </cell>
          <cell r="G1100" t="str">
            <v>IC</v>
          </cell>
          <cell r="H1100" t="str">
            <v>INTENSIVE CARE UNIT</v>
          </cell>
          <cell r="I1100" t="str">
            <v>05IC113</v>
          </cell>
          <cell r="J1100" t="str">
            <v>ICU RM 2</v>
          </cell>
          <cell r="K1100" t="str">
            <v>BMED</v>
          </cell>
          <cell r="L1100" t="str">
            <v>Normal</v>
          </cell>
          <cell r="M1100" t="str">
            <v>USA</v>
          </cell>
          <cell r="N1100" t="str">
            <v>Kangaroo</v>
          </cell>
          <cell r="O1100" t="str">
            <v>Kangaroo ePump</v>
          </cell>
          <cell r="P1100" t="str">
            <v>C1166056</v>
          </cell>
          <cell r="Q1100" t="str">
            <v>Not Applicable</v>
          </cell>
          <cell r="R1100" t="str">
            <v>Covidien</v>
          </cell>
          <cell r="S1100" t="str">
            <v>Schmidt Biomedtech Sdn. Bhd.</v>
          </cell>
          <cell r="T1100" t="str">
            <v>Functioning</v>
          </cell>
          <cell r="U1100" t="str">
            <v>Asset</v>
          </cell>
          <cell r="V1100">
            <v>6615</v>
          </cell>
          <cell r="W1100" t="str">
            <v>KEW</v>
          </cell>
          <cell r="X1100" t="str">
            <v>01/09/2010</v>
          </cell>
          <cell r="Y1100" t="str">
            <v>KEW</v>
          </cell>
          <cell r="Z1100" t="str">
            <v>16/08/2013</v>
          </cell>
          <cell r="AA1100" t="str">
            <v>15/08/2015</v>
          </cell>
          <cell r="AB1100" t="str">
            <v>No</v>
          </cell>
          <cell r="AC1100" t="str">
            <v>31/08/2013</v>
          </cell>
          <cell r="AD1100" t="str">
            <v>Good</v>
          </cell>
          <cell r="AE1100" t="str">
            <v>V1 - Existing / No Claim</v>
          </cell>
          <cell r="AF1100">
            <v>42633</v>
          </cell>
          <cell r="AG1100">
            <v>9.17</v>
          </cell>
          <cell r="AH1100" t="str">
            <v>PPM</v>
          </cell>
          <cell r="AI1100" t="str">
            <v>Strands</v>
          </cell>
          <cell r="AJ1100" t="str">
            <v>Strands PW</v>
          </cell>
        </row>
        <row r="1101">
          <cell r="A1101" t="str">
            <v>IKN400691</v>
          </cell>
          <cell r="B1101">
            <v>691</v>
          </cell>
          <cell r="C1101" t="str">
            <v>Institut Kanser Negara</v>
          </cell>
          <cell r="D1101" t="str">
            <v>KKM/IKN/H/13/1541</v>
          </cell>
          <cell r="E1101" t="str">
            <v>11-134</v>
          </cell>
          <cell r="F1101" t="str">
            <v>Defibrillators, External, Manual</v>
          </cell>
          <cell r="G1101" t="str">
            <v>QA</v>
          </cell>
          <cell r="H1101" t="str">
            <v>INFECTION , RESEARCH AND QA UNIT</v>
          </cell>
          <cell r="I1101" t="str">
            <v>04QA118</v>
          </cell>
          <cell r="J1101" t="str">
            <v>MEETING (12 PAX)</v>
          </cell>
          <cell r="K1101" t="str">
            <v>BMED</v>
          </cell>
          <cell r="L1101" t="str">
            <v>Critical</v>
          </cell>
          <cell r="M1101" t="str">
            <v>USA</v>
          </cell>
          <cell r="N1101" t="str">
            <v>Responder</v>
          </cell>
          <cell r="O1101" t="str">
            <v>Responder 2000</v>
          </cell>
          <cell r="P1101" t="str">
            <v>3206685</v>
          </cell>
          <cell r="Q1101" t="str">
            <v>Not Applicable</v>
          </cell>
          <cell r="R1101" t="str">
            <v>GE Medical Systems</v>
          </cell>
          <cell r="S1101" t="str">
            <v>Antah Sir Radin Sdn. Bhd.</v>
          </cell>
          <cell r="T1101" t="str">
            <v>Functioning</v>
          </cell>
          <cell r="U1101" t="str">
            <v>Asset</v>
          </cell>
          <cell r="V1101">
            <v>45000</v>
          </cell>
          <cell r="W1101" t="str">
            <v>Estimate</v>
          </cell>
          <cell r="X1101" t="str">
            <v>01/09/2010</v>
          </cell>
          <cell r="Y1101" t="str">
            <v>KEW</v>
          </cell>
          <cell r="Z1101" t="str">
            <v>16/08/2013</v>
          </cell>
          <cell r="AA1101" t="str">
            <v>15/08/2015</v>
          </cell>
          <cell r="AB1101" t="str">
            <v>No</v>
          </cell>
          <cell r="AC1101" t="str">
            <v>31/08/2013</v>
          </cell>
          <cell r="AD1101" t="str">
            <v>Good</v>
          </cell>
          <cell r="AE1101" t="str">
            <v>V1 - Existing / No Claim</v>
          </cell>
          <cell r="AF1101">
            <v>43068</v>
          </cell>
          <cell r="AG1101">
            <v>9.17</v>
          </cell>
          <cell r="AH1101" t="str">
            <v>PPM</v>
          </cell>
          <cell r="AI1101" t="str">
            <v>Strands</v>
          </cell>
          <cell r="AJ1101" t="str">
            <v>Strands PW</v>
          </cell>
          <cell r="AK1101" t="str">
            <v>Crash Trolley (FEMS). [15/4/2024]: TUKAR DEPARTMENT PY TO UNIT KUALITI.</v>
          </cell>
        </row>
        <row r="1102">
          <cell r="A1102" t="str">
            <v>IKN400692</v>
          </cell>
          <cell r="B1102">
            <v>692</v>
          </cell>
          <cell r="C1102" t="str">
            <v>Institut Kanser Negara</v>
          </cell>
          <cell r="D1102" t="str">
            <v>KKM/IKN/H/13/1556</v>
          </cell>
          <cell r="E1102" t="str">
            <v>12-282</v>
          </cell>
          <cell r="F1102" t="str">
            <v>Lights, Surgical</v>
          </cell>
          <cell r="G1102" t="str">
            <v>PY</v>
          </cell>
          <cell r="H1102" t="str">
            <v>PHYSIOTHERAPY</v>
          </cell>
          <cell r="I1102" t="str">
            <v>04PY109</v>
          </cell>
          <cell r="J1102" t="str">
            <v>ASSESSMENT / TREATMENT</v>
          </cell>
          <cell r="K1102" t="str">
            <v>BMED</v>
          </cell>
          <cell r="L1102" t="str">
            <v>Critical</v>
          </cell>
          <cell r="M1102" t="str">
            <v>USA</v>
          </cell>
          <cell r="N1102" t="str">
            <v>Welch Allyn</v>
          </cell>
          <cell r="O1102" t="str">
            <v>Welch Allyn GS600</v>
          </cell>
          <cell r="P1102" t="str">
            <v>GS-600-33</v>
          </cell>
          <cell r="Q1102" t="str">
            <v>Not Applicable</v>
          </cell>
          <cell r="R1102" t="str">
            <v>Welch Allyn Inc</v>
          </cell>
          <cell r="S1102" t="str">
            <v>Welch Allyn Malaysia Sdn Bhd</v>
          </cell>
          <cell r="T1102" t="str">
            <v>Functioning</v>
          </cell>
          <cell r="U1102" t="str">
            <v>Asset</v>
          </cell>
          <cell r="V1102">
            <v>5050</v>
          </cell>
          <cell r="W1102" t="str">
            <v>KEW</v>
          </cell>
          <cell r="X1102" t="str">
            <v>01/09/2010</v>
          </cell>
          <cell r="Y1102" t="str">
            <v>KEW</v>
          </cell>
          <cell r="Z1102" t="str">
            <v>16/08/2013</v>
          </cell>
          <cell r="AA1102" t="str">
            <v>15/08/2015</v>
          </cell>
          <cell r="AB1102" t="str">
            <v>No</v>
          </cell>
          <cell r="AC1102" t="str">
            <v>31/08/2013</v>
          </cell>
          <cell r="AD1102" t="str">
            <v>Good</v>
          </cell>
          <cell r="AE1102" t="str">
            <v>V1 - Existing / No Claim</v>
          </cell>
          <cell r="AF1102">
            <v>42801</v>
          </cell>
          <cell r="AG1102">
            <v>9.17</v>
          </cell>
          <cell r="AH1102" t="str">
            <v>PPM</v>
          </cell>
          <cell r="AI1102" t="str">
            <v>Strands</v>
          </cell>
          <cell r="AJ1102" t="str">
            <v>Strands PW</v>
          </cell>
        </row>
        <row r="1103">
          <cell r="A1103" t="str">
            <v>IKN400693</v>
          </cell>
          <cell r="B1103">
            <v>693</v>
          </cell>
          <cell r="C1103" t="str">
            <v>Institut Kanser Negara</v>
          </cell>
          <cell r="D1103" t="str">
            <v>KKM/IKN/H/13/1414</v>
          </cell>
          <cell r="E1103" t="str">
            <v>14-141</v>
          </cell>
          <cell r="F1103" t="str">
            <v>Treadmills</v>
          </cell>
          <cell r="G1103" t="str">
            <v>PY</v>
          </cell>
          <cell r="H1103" t="str">
            <v>PHYSIOTHERAPY</v>
          </cell>
          <cell r="I1103" t="str">
            <v>04PY115</v>
          </cell>
          <cell r="J1103" t="str">
            <v>GYMNASIUM</v>
          </cell>
          <cell r="K1103" t="str">
            <v>BMED</v>
          </cell>
          <cell r="L1103" t="str">
            <v>Normal</v>
          </cell>
          <cell r="M1103" t="str">
            <v>USA</v>
          </cell>
          <cell r="N1103" t="str">
            <v>Horizonfitness</v>
          </cell>
          <cell r="O1103" t="str">
            <v>Horizonfitness Ti52</v>
          </cell>
          <cell r="P1103" t="str">
            <v>TM2231202BC00012</v>
          </cell>
          <cell r="Q1103" t="str">
            <v>Not Applicable</v>
          </cell>
          <cell r="R1103" t="str">
            <v>Horizon Fitness</v>
          </cell>
          <cell r="S1103" t="str">
            <v>Maycare (M) Sdn. Bhd.</v>
          </cell>
          <cell r="T1103" t="str">
            <v>Functioning</v>
          </cell>
          <cell r="U1103" t="str">
            <v>Asset</v>
          </cell>
          <cell r="V1103">
            <v>10220</v>
          </cell>
          <cell r="W1103" t="str">
            <v>KEW</v>
          </cell>
          <cell r="X1103" t="str">
            <v>01/09/2010</v>
          </cell>
          <cell r="Y1103" t="str">
            <v>KEW</v>
          </cell>
          <cell r="Z1103" t="str">
            <v>16/08/2013</v>
          </cell>
          <cell r="AA1103" t="str">
            <v>15/08/2015</v>
          </cell>
          <cell r="AB1103" t="str">
            <v>No</v>
          </cell>
          <cell r="AC1103" t="str">
            <v>31/08/2013</v>
          </cell>
          <cell r="AD1103" t="str">
            <v>Good</v>
          </cell>
          <cell r="AE1103" t="str">
            <v>V1 - Existing / No Claim</v>
          </cell>
          <cell r="AF1103">
            <v>42802</v>
          </cell>
          <cell r="AG1103">
            <v>9.17</v>
          </cell>
          <cell r="AH1103" t="str">
            <v>RI</v>
          </cell>
          <cell r="AI1103" t="str">
            <v>Strands</v>
          </cell>
          <cell r="AJ1103" t="str">
            <v>Strands PW</v>
          </cell>
        </row>
        <row r="1104">
          <cell r="A1104" t="str">
            <v>IKN400694</v>
          </cell>
          <cell r="B1104">
            <v>694</v>
          </cell>
          <cell r="C1104" t="str">
            <v>Institut Kanser Negara</v>
          </cell>
          <cell r="D1104" t="str">
            <v>KKM/IKN/H/13/2050</v>
          </cell>
          <cell r="E1104" t="str">
            <v>13-775</v>
          </cell>
          <cell r="F1104" t="str">
            <v>Stimulators, Electrical, Neuromuscular</v>
          </cell>
          <cell r="G1104" t="str">
            <v>PY</v>
          </cell>
          <cell r="H1104" t="str">
            <v>PHYSIOTHERAPY</v>
          </cell>
          <cell r="I1104" t="str">
            <v>04PY109</v>
          </cell>
          <cell r="J1104" t="str">
            <v>ASSESSMENT / TREATMENT</v>
          </cell>
          <cell r="K1104" t="str">
            <v>BMED</v>
          </cell>
          <cell r="L1104" t="str">
            <v>Normal</v>
          </cell>
          <cell r="M1104" t="str">
            <v>Denmark</v>
          </cell>
          <cell r="N1104" t="str">
            <v>Danmeter</v>
          </cell>
          <cell r="O1104" t="str">
            <v>Elpha II 3000</v>
          </cell>
          <cell r="P1104" t="str">
            <v>2013080053</v>
          </cell>
          <cell r="Q1104" t="str">
            <v>Not Applicable</v>
          </cell>
          <cell r="R1104" t="str">
            <v>Danmeter AS</v>
          </cell>
          <cell r="S1104" t="str">
            <v>Maycare (M) Sdn. Bhd.</v>
          </cell>
          <cell r="T1104" t="str">
            <v>Functioning</v>
          </cell>
          <cell r="U1104" t="str">
            <v>Asset</v>
          </cell>
          <cell r="V1104">
            <v>420</v>
          </cell>
          <cell r="W1104" t="str">
            <v>KEW</v>
          </cell>
          <cell r="X1104" t="str">
            <v>01/09/2010</v>
          </cell>
          <cell r="Y1104" t="str">
            <v>KEW</v>
          </cell>
          <cell r="Z1104" t="str">
            <v>16/08/2013</v>
          </cell>
          <cell r="AA1104" t="str">
            <v>15/08/2015</v>
          </cell>
          <cell r="AB1104" t="str">
            <v>No</v>
          </cell>
          <cell r="AC1104" t="str">
            <v>31/08/2013</v>
          </cell>
          <cell r="AD1104" t="str">
            <v>Good</v>
          </cell>
          <cell r="AE1104" t="str">
            <v>V1 - Existing / No Claim</v>
          </cell>
          <cell r="AF1104">
            <v>43068</v>
          </cell>
          <cell r="AG1104">
            <v>9.17</v>
          </cell>
          <cell r="AH1104" t="str">
            <v>PPM</v>
          </cell>
          <cell r="AI1104" t="str">
            <v>Strands</v>
          </cell>
          <cell r="AJ1104" t="str">
            <v>Strands PW</v>
          </cell>
        </row>
        <row r="1105">
          <cell r="A1105" t="str">
            <v>IKN400695</v>
          </cell>
          <cell r="B1105">
            <v>695</v>
          </cell>
          <cell r="C1105" t="str">
            <v>Institut Kanser Negara</v>
          </cell>
          <cell r="D1105" t="str">
            <v>KKM/IKN/H/13/2051</v>
          </cell>
          <cell r="E1105" t="str">
            <v>13-775</v>
          </cell>
          <cell r="F1105" t="str">
            <v>Stimulators, Electrical, Neuromuscular</v>
          </cell>
          <cell r="G1105" t="str">
            <v>PY</v>
          </cell>
          <cell r="H1105" t="str">
            <v>PHYSIOTHERAPY</v>
          </cell>
          <cell r="I1105" t="str">
            <v>04PY119</v>
          </cell>
          <cell r="J1105" t="str">
            <v>EQ.ROOM</v>
          </cell>
          <cell r="K1105" t="str">
            <v>BMED</v>
          </cell>
          <cell r="L1105" t="str">
            <v>Normal</v>
          </cell>
          <cell r="M1105" t="str">
            <v>Denmark</v>
          </cell>
          <cell r="N1105" t="str">
            <v>Danmeter</v>
          </cell>
          <cell r="O1105" t="str">
            <v>Elpha II 3000</v>
          </cell>
          <cell r="P1105" t="str">
            <v>2013080055</v>
          </cell>
          <cell r="Q1105" t="str">
            <v>Not Applicable</v>
          </cell>
          <cell r="R1105" t="str">
            <v>Danmeter AS</v>
          </cell>
          <cell r="S1105" t="str">
            <v>Maycare (M) Sdn. Bhd.</v>
          </cell>
          <cell r="T1105" t="str">
            <v>Functioning</v>
          </cell>
          <cell r="U1105" t="str">
            <v>Asset</v>
          </cell>
          <cell r="V1105">
            <v>420</v>
          </cell>
          <cell r="W1105" t="str">
            <v>KEW</v>
          </cell>
          <cell r="X1105" t="str">
            <v>01/09/2010</v>
          </cell>
          <cell r="Y1105" t="str">
            <v>KEW</v>
          </cell>
          <cell r="Z1105" t="str">
            <v>16/08/2013</v>
          </cell>
          <cell r="AA1105" t="str">
            <v>15/08/2015</v>
          </cell>
          <cell r="AB1105" t="str">
            <v>No</v>
          </cell>
          <cell r="AC1105" t="str">
            <v>31/08/2013</v>
          </cell>
          <cell r="AD1105" t="str">
            <v>Good</v>
          </cell>
          <cell r="AE1105" t="str">
            <v>V1 - Existing / No Claim</v>
          </cell>
          <cell r="AF1105">
            <v>42235</v>
          </cell>
          <cell r="AG1105">
            <v>9.17</v>
          </cell>
          <cell r="AH1105" t="str">
            <v>PPM</v>
          </cell>
          <cell r="AI1105" t="str">
            <v>Strands</v>
          </cell>
          <cell r="AJ1105" t="str">
            <v>Strands PW</v>
          </cell>
        </row>
        <row r="1106">
          <cell r="A1106" t="str">
            <v>IKN400696</v>
          </cell>
          <cell r="B1106">
            <v>696</v>
          </cell>
          <cell r="C1106" t="str">
            <v>Institut Kanser Negara</v>
          </cell>
          <cell r="D1106" t="str">
            <v>KKM/IKN/H/13/2052</v>
          </cell>
          <cell r="E1106" t="str">
            <v>13-775</v>
          </cell>
          <cell r="F1106" t="str">
            <v>Stimulators, Electrical, Neuromuscular</v>
          </cell>
          <cell r="G1106" t="str">
            <v>PY</v>
          </cell>
          <cell r="H1106" t="str">
            <v>PHYSIOTHERAPY</v>
          </cell>
          <cell r="I1106" t="str">
            <v>04PY119</v>
          </cell>
          <cell r="J1106" t="str">
            <v>EQ.ROOM</v>
          </cell>
          <cell r="K1106" t="str">
            <v>BMED</v>
          </cell>
          <cell r="L1106" t="str">
            <v>Normal</v>
          </cell>
          <cell r="M1106" t="str">
            <v>Denmark</v>
          </cell>
          <cell r="N1106" t="str">
            <v>Danmeter</v>
          </cell>
          <cell r="O1106" t="str">
            <v>Elpha II 3000</v>
          </cell>
          <cell r="P1106" t="str">
            <v>2013080058</v>
          </cell>
          <cell r="Q1106" t="str">
            <v>Not Applicable</v>
          </cell>
          <cell r="R1106" t="str">
            <v>Danmeter AS</v>
          </cell>
          <cell r="S1106" t="str">
            <v>Maycare (M) Sdn. Bhd.</v>
          </cell>
          <cell r="T1106" t="str">
            <v>Functioning</v>
          </cell>
          <cell r="U1106" t="str">
            <v>Asset</v>
          </cell>
          <cell r="V1106">
            <v>420</v>
          </cell>
          <cell r="W1106" t="str">
            <v>KEW</v>
          </cell>
          <cell r="X1106" t="str">
            <v>01/09/2010</v>
          </cell>
          <cell r="Y1106" t="str">
            <v>KEW</v>
          </cell>
          <cell r="Z1106" t="str">
            <v>16/08/2013</v>
          </cell>
          <cell r="AA1106" t="str">
            <v>15/08/2015</v>
          </cell>
          <cell r="AB1106" t="str">
            <v>No</v>
          </cell>
          <cell r="AC1106" t="str">
            <v>31/08/2013</v>
          </cell>
          <cell r="AD1106" t="str">
            <v>Good</v>
          </cell>
          <cell r="AE1106" t="str">
            <v>V1 - Existing / No Claim</v>
          </cell>
          <cell r="AF1106">
            <v>42235</v>
          </cell>
          <cell r="AG1106">
            <v>9.17</v>
          </cell>
          <cell r="AH1106" t="str">
            <v>PPM</v>
          </cell>
          <cell r="AI1106" t="str">
            <v>Strands</v>
          </cell>
          <cell r="AJ1106" t="str">
            <v>Strands PW</v>
          </cell>
        </row>
        <row r="1107">
          <cell r="A1107" t="str">
            <v>IKN400697</v>
          </cell>
          <cell r="B1107">
            <v>697</v>
          </cell>
          <cell r="C1107" t="str">
            <v>Institut Kanser Negara</v>
          </cell>
          <cell r="D1107" t="str">
            <v>KKM/IKN/I/13/9508</v>
          </cell>
          <cell r="E1107" t="str">
            <v>13-775</v>
          </cell>
          <cell r="F1107" t="str">
            <v>Stimulators, Electrical, Neuromuscular</v>
          </cell>
          <cell r="G1107" t="str">
            <v>PY</v>
          </cell>
          <cell r="H1107" t="str">
            <v>PHYSIOTHERAPY</v>
          </cell>
          <cell r="I1107" t="str">
            <v>04PY119</v>
          </cell>
          <cell r="J1107" t="str">
            <v>EQ.ROOM</v>
          </cell>
          <cell r="K1107" t="str">
            <v>BMED</v>
          </cell>
          <cell r="L1107" t="str">
            <v>Normal</v>
          </cell>
          <cell r="M1107" t="str">
            <v>Denmark</v>
          </cell>
          <cell r="N1107" t="str">
            <v>Danmeter</v>
          </cell>
          <cell r="O1107" t="str">
            <v>Elpha II 3000</v>
          </cell>
          <cell r="P1107" t="str">
            <v>2011080571</v>
          </cell>
          <cell r="Q1107" t="str">
            <v>Not Applicable</v>
          </cell>
          <cell r="R1107" t="str">
            <v>Danmeter AS</v>
          </cell>
          <cell r="S1107" t="str">
            <v>Maycare (M) Sdn. Bhd.</v>
          </cell>
          <cell r="T1107" t="str">
            <v>Functioning</v>
          </cell>
          <cell r="U1107" t="str">
            <v>Asset</v>
          </cell>
          <cell r="V1107">
            <v>420</v>
          </cell>
          <cell r="W1107" t="str">
            <v>KEW</v>
          </cell>
          <cell r="X1107" t="str">
            <v>01/09/2010</v>
          </cell>
          <cell r="Y1107" t="str">
            <v>KEW</v>
          </cell>
          <cell r="Z1107" t="str">
            <v>16/08/2013</v>
          </cell>
          <cell r="AA1107" t="str">
            <v>15/08/2015</v>
          </cell>
          <cell r="AB1107" t="str">
            <v>No</v>
          </cell>
          <cell r="AC1107" t="str">
            <v>31/08/2013</v>
          </cell>
          <cell r="AD1107" t="str">
            <v>Good</v>
          </cell>
          <cell r="AE1107" t="str">
            <v>V3 - Added Installed Facilities (New)</v>
          </cell>
          <cell r="AF1107">
            <v>42235</v>
          </cell>
          <cell r="AG1107">
            <v>9.17</v>
          </cell>
          <cell r="AH1107" t="str">
            <v>PPM</v>
          </cell>
          <cell r="AI1107" t="str">
            <v>Strands</v>
          </cell>
          <cell r="AJ1107" t="str">
            <v>Strands PW</v>
          </cell>
          <cell r="AK1107" t="str">
            <v>SNF received. 1st batch of V3 asset (December 2020)</v>
          </cell>
        </row>
        <row r="1108">
          <cell r="A1108" t="str">
            <v>IKN400698</v>
          </cell>
          <cell r="B1108">
            <v>698</v>
          </cell>
          <cell r="C1108" t="str">
            <v>Institut Kanser Negara</v>
          </cell>
          <cell r="D1108" t="str">
            <v>KKM/IKN/H/13/1810</v>
          </cell>
          <cell r="E1108" t="str">
            <v>17-908</v>
          </cell>
          <cell r="F1108" t="str">
            <v>Ultrasound Therapy/Neuromuscular Stimulation Systems, Physic</v>
          </cell>
          <cell r="G1108" t="str">
            <v>PY</v>
          </cell>
          <cell r="H1108" t="str">
            <v>PHYSIOTHERAPY</v>
          </cell>
          <cell r="I1108" t="str">
            <v>04PY119</v>
          </cell>
          <cell r="J1108" t="str">
            <v>EQ.ROOM</v>
          </cell>
          <cell r="K1108" t="str">
            <v>BMED</v>
          </cell>
          <cell r="L1108" t="str">
            <v>Normal</v>
          </cell>
          <cell r="M1108" t="str">
            <v>Belgium</v>
          </cell>
          <cell r="N1108" t="str">
            <v>Gymna</v>
          </cell>
          <cell r="O1108" t="str">
            <v>Gymna Combi 200</v>
          </cell>
          <cell r="P1108" t="str">
            <v>65973</v>
          </cell>
          <cell r="Q1108" t="str">
            <v>Not Applicable</v>
          </cell>
          <cell r="R1108" t="str">
            <v>GymnaUniphy NV</v>
          </cell>
          <cell r="S1108" t="str">
            <v>Maycare (M) Sdn. Bhd.</v>
          </cell>
          <cell r="T1108" t="str">
            <v>Functioning</v>
          </cell>
          <cell r="U1108" t="str">
            <v>Asset</v>
          </cell>
          <cell r="V1108">
            <v>18640</v>
          </cell>
          <cell r="W1108" t="str">
            <v>KEW</v>
          </cell>
          <cell r="X1108" t="str">
            <v>01/09/2010</v>
          </cell>
          <cell r="Y1108" t="str">
            <v>KEW</v>
          </cell>
          <cell r="Z1108" t="str">
            <v>16/08/2013</v>
          </cell>
          <cell r="AA1108" t="str">
            <v>15/08/2015</v>
          </cell>
          <cell r="AB1108" t="str">
            <v>No</v>
          </cell>
          <cell r="AC1108" t="str">
            <v>31/08/2013</v>
          </cell>
          <cell r="AD1108" t="str">
            <v>Good</v>
          </cell>
          <cell r="AE1108" t="str">
            <v>V1 - Existing / No Claim</v>
          </cell>
          <cell r="AF1108">
            <v>42802</v>
          </cell>
          <cell r="AG1108">
            <v>9.17</v>
          </cell>
          <cell r="AH1108" t="str">
            <v>PPM</v>
          </cell>
          <cell r="AI1108" t="str">
            <v>Strands</v>
          </cell>
          <cell r="AJ1108" t="str">
            <v>Strands PW</v>
          </cell>
          <cell r="AK1108" t="str">
            <v>[27/12/2023, SHARIFAH]: PEP ON 22/12/2023, BER/BEMS/IKN/23/023 - Aset mengalami kerosakan pada US probe, namun masih boleh digunakan dan hendaklah diselenggarakan sehingga dilupuskan.</v>
          </cell>
        </row>
        <row r="1109">
          <cell r="A1109" t="str">
            <v>IKN400700</v>
          </cell>
          <cell r="B1109">
            <v>700</v>
          </cell>
          <cell r="C1109" t="str">
            <v>Institut Kanser Negara</v>
          </cell>
          <cell r="D1109" t="str">
            <v>KKM/IKN/H/13/5103</v>
          </cell>
          <cell r="E1109" t="str">
            <v>15-045</v>
          </cell>
          <cell r="F1109" t="str">
            <v>Nebulizers, Nonheated</v>
          </cell>
          <cell r="G1109" t="str">
            <v>PY</v>
          </cell>
          <cell r="H1109" t="str">
            <v>PHYSIOTHERAPY</v>
          </cell>
          <cell r="I1109" t="str">
            <v>04PY130</v>
          </cell>
          <cell r="J1109" t="str">
            <v>RESPIRATORY</v>
          </cell>
          <cell r="K1109" t="str">
            <v>BMED</v>
          </cell>
          <cell r="L1109" t="str">
            <v>Normal</v>
          </cell>
          <cell r="M1109" t="str">
            <v>Germany</v>
          </cell>
          <cell r="N1109" t="str">
            <v>Pari Boy</v>
          </cell>
          <cell r="O1109" t="str">
            <v>Pari Boy SX 085</v>
          </cell>
          <cell r="P1109" t="str">
            <v>2W12F13732</v>
          </cell>
          <cell r="Q1109" t="str">
            <v>Not Applicable</v>
          </cell>
          <cell r="R1109" t="str">
            <v>Pari GmbH</v>
          </cell>
          <cell r="S1109" t="str">
            <v>Welch Allyn Malaysia Sdn Bhd</v>
          </cell>
          <cell r="T1109" t="str">
            <v>Functioning</v>
          </cell>
          <cell r="U1109" t="str">
            <v>Asset</v>
          </cell>
          <cell r="V1109">
            <v>1140</v>
          </cell>
          <cell r="W1109" t="str">
            <v>KEW</v>
          </cell>
          <cell r="X1109" t="str">
            <v>01/09/2010</v>
          </cell>
          <cell r="Y1109" t="str">
            <v>KEW</v>
          </cell>
          <cell r="Z1109" t="str">
            <v>16/08/2013</v>
          </cell>
          <cell r="AA1109" t="str">
            <v>15/08/2015</v>
          </cell>
          <cell r="AB1109" t="str">
            <v>No</v>
          </cell>
          <cell r="AC1109" t="str">
            <v>31/08/2013</v>
          </cell>
          <cell r="AD1109" t="str">
            <v>Good</v>
          </cell>
          <cell r="AE1109" t="str">
            <v>V3 - Added Installed Facilities (New)</v>
          </cell>
          <cell r="AF1109">
            <v>42802</v>
          </cell>
          <cell r="AG1109">
            <v>9.17</v>
          </cell>
          <cell r="AH1109" t="str">
            <v>PPM</v>
          </cell>
          <cell r="AI1109" t="str">
            <v>Strands</v>
          </cell>
          <cell r="AJ1109" t="str">
            <v>Strands PW</v>
          </cell>
          <cell r="AK1109" t="str">
            <v>SNF received. 1st batch of V3 asset (December 2020)</v>
          </cell>
        </row>
        <row r="1110">
          <cell r="A1110" t="str">
            <v>IKN400701</v>
          </cell>
          <cell r="B1110">
            <v>701</v>
          </cell>
          <cell r="C1110" t="str">
            <v>Institut Kanser Negara</v>
          </cell>
          <cell r="D1110" t="str">
            <v>KKM/IKN/H/13/1421</v>
          </cell>
          <cell r="E1110" t="str">
            <v>10-208</v>
          </cell>
          <cell r="F1110" t="str">
            <v>Aspirators</v>
          </cell>
          <cell r="G1110" t="str">
            <v>PY</v>
          </cell>
          <cell r="H1110" t="str">
            <v>PHYSIOTHERAPY</v>
          </cell>
          <cell r="I1110" t="str">
            <v>04PY130</v>
          </cell>
          <cell r="J1110" t="str">
            <v>RESPIRATORY</v>
          </cell>
          <cell r="K1110" t="str">
            <v>BMED</v>
          </cell>
          <cell r="L1110" t="str">
            <v>Critical</v>
          </cell>
          <cell r="M1110" t="str">
            <v>Italy</v>
          </cell>
          <cell r="N1110" t="str">
            <v>Askir</v>
          </cell>
          <cell r="O1110" t="str">
            <v>Askir 36-BR</v>
          </cell>
          <cell r="P1110" t="str">
            <v>1394</v>
          </cell>
          <cell r="Q1110" t="str">
            <v>Not Applicable</v>
          </cell>
          <cell r="R1110" t="str">
            <v>Ca-Mi Snc</v>
          </cell>
          <cell r="S1110" t="str">
            <v>Antah Sir Radin Sdn. Bhd.</v>
          </cell>
          <cell r="T1110" t="str">
            <v>Functioning</v>
          </cell>
          <cell r="U1110" t="str">
            <v>Asset</v>
          </cell>
          <cell r="V1110">
            <v>2165</v>
          </cell>
          <cell r="W1110" t="str">
            <v>KEW</v>
          </cell>
          <cell r="X1110" t="str">
            <v>01/09/2010</v>
          </cell>
          <cell r="Y1110" t="str">
            <v>KEW</v>
          </cell>
          <cell r="Z1110" t="str">
            <v>16/08/2013</v>
          </cell>
          <cell r="AA1110" t="str">
            <v>15/08/2015</v>
          </cell>
          <cell r="AB1110" t="str">
            <v>No</v>
          </cell>
          <cell r="AC1110" t="str">
            <v>31/08/2013</v>
          </cell>
          <cell r="AD1110" t="str">
            <v>Good</v>
          </cell>
          <cell r="AE1110" t="str">
            <v>V1 - Existing / No Claim</v>
          </cell>
          <cell r="AF1110">
            <v>42802</v>
          </cell>
          <cell r="AG1110">
            <v>9.17</v>
          </cell>
          <cell r="AH1110" t="str">
            <v>PPM</v>
          </cell>
          <cell r="AI1110" t="str">
            <v>Strands</v>
          </cell>
          <cell r="AJ1110" t="str">
            <v>Strands PW</v>
          </cell>
        </row>
        <row r="1111">
          <cell r="A1111" t="str">
            <v>IKN400702</v>
          </cell>
          <cell r="B1111">
            <v>702</v>
          </cell>
          <cell r="C1111" t="str">
            <v>Institut Kanser Negara</v>
          </cell>
          <cell r="D1111" t="str">
            <v>KKM/IKN/H/13/1420</v>
          </cell>
          <cell r="E1111" t="str">
            <v>13-680</v>
          </cell>
          <cell r="F1111" t="str">
            <v>Spirometers, Diagnostic</v>
          </cell>
          <cell r="G1111" t="str">
            <v>PY</v>
          </cell>
          <cell r="H1111" t="str">
            <v>PHYSIOTHERAPY</v>
          </cell>
          <cell r="I1111" t="str">
            <v>04PY130</v>
          </cell>
          <cell r="J1111" t="str">
            <v>RESPIRATORY</v>
          </cell>
          <cell r="K1111" t="str">
            <v>BMED</v>
          </cell>
          <cell r="L1111" t="str">
            <v>Normal</v>
          </cell>
          <cell r="M1111" t="str">
            <v>USA</v>
          </cell>
          <cell r="N1111" t="str">
            <v>SpiroPerfect</v>
          </cell>
          <cell r="O1111" t="str">
            <v>SpiroPerfect</v>
          </cell>
          <cell r="P1111" t="str">
            <v>M946800121331</v>
          </cell>
          <cell r="Q1111" t="str">
            <v>Not Applicable</v>
          </cell>
          <cell r="R1111" t="str">
            <v>Welch Allyn Inc</v>
          </cell>
          <cell r="S1111" t="str">
            <v>Welch Allyn Malaysia Sdn Bhd</v>
          </cell>
          <cell r="T1111" t="str">
            <v>Functioning</v>
          </cell>
          <cell r="U1111" t="str">
            <v>Asset</v>
          </cell>
          <cell r="V1111">
            <v>10230</v>
          </cell>
          <cell r="W1111" t="str">
            <v>KEW</v>
          </cell>
          <cell r="X1111" t="str">
            <v>01/09/2010</v>
          </cell>
          <cell r="Y1111" t="str">
            <v>KEW</v>
          </cell>
          <cell r="Z1111" t="str">
            <v>16/08/2013</v>
          </cell>
          <cell r="AA1111" t="str">
            <v>15/08/2015</v>
          </cell>
          <cell r="AB1111" t="str">
            <v>No</v>
          </cell>
          <cell r="AC1111" t="str">
            <v>31/08/2013</v>
          </cell>
          <cell r="AD1111" t="str">
            <v>Good</v>
          </cell>
          <cell r="AE1111" t="str">
            <v>V1 - Existing / No Claim</v>
          </cell>
          <cell r="AF1111">
            <v>42802</v>
          </cell>
          <cell r="AG1111">
            <v>9.17</v>
          </cell>
          <cell r="AH1111" t="str">
            <v>PPM</v>
          </cell>
          <cell r="AI1111" t="str">
            <v>Strands</v>
          </cell>
          <cell r="AJ1111" t="str">
            <v>Strands Package</v>
          </cell>
          <cell r="AK1111" t="str">
            <v>Package Code MS0002</v>
          </cell>
        </row>
        <row r="1112">
          <cell r="A1112" t="str">
            <v>IKN400703</v>
          </cell>
          <cell r="B1112">
            <v>703</v>
          </cell>
          <cell r="C1112" t="str">
            <v>Institut Kanser Negara</v>
          </cell>
          <cell r="D1112" t="str">
            <v>KKM/IKN/H/13/1415</v>
          </cell>
          <cell r="E1112" t="str">
            <v>10-383</v>
          </cell>
          <cell r="F1112" t="str">
            <v>Ergometers, Bicycle</v>
          </cell>
          <cell r="G1112" t="str">
            <v>PY</v>
          </cell>
          <cell r="H1112" t="str">
            <v>PHYSIOTHERAPY</v>
          </cell>
          <cell r="I1112" t="str">
            <v>04PY115</v>
          </cell>
          <cell r="J1112" t="str">
            <v>GYMNASIUM</v>
          </cell>
          <cell r="K1112" t="str">
            <v>BMED</v>
          </cell>
          <cell r="L1112" t="str">
            <v>Normal</v>
          </cell>
          <cell r="M1112" t="str">
            <v>Germany</v>
          </cell>
          <cell r="N1112" t="str">
            <v>Ergometer</v>
          </cell>
          <cell r="O1112" t="str">
            <v>Ergometer E5</v>
          </cell>
          <cell r="P1112" t="str">
            <v>E5-W00620</v>
          </cell>
          <cell r="Q1112" t="str">
            <v>Not Applicable</v>
          </cell>
          <cell r="R1112" t="str">
            <v>Heinz Kettler GmbH &amp; Co KG</v>
          </cell>
          <cell r="S1112" t="str">
            <v>Rehamed (Malaysia) Sdn Bhd</v>
          </cell>
          <cell r="T1112" t="str">
            <v>Functioning</v>
          </cell>
          <cell r="U1112" t="str">
            <v>Asset</v>
          </cell>
          <cell r="V1112">
            <v>6610</v>
          </cell>
          <cell r="W1112" t="str">
            <v>KEW</v>
          </cell>
          <cell r="X1112" t="str">
            <v>01/09/2010</v>
          </cell>
          <cell r="Y1112" t="str">
            <v>KEW</v>
          </cell>
          <cell r="Z1112" t="str">
            <v>16/08/2013</v>
          </cell>
          <cell r="AA1112" t="str">
            <v>15/08/2015</v>
          </cell>
          <cell r="AB1112" t="str">
            <v>No</v>
          </cell>
          <cell r="AC1112" t="str">
            <v>31/08/2013</v>
          </cell>
          <cell r="AD1112" t="str">
            <v>Good</v>
          </cell>
          <cell r="AE1112" t="str">
            <v>V1 - Existing / No Claim</v>
          </cell>
          <cell r="AF1112">
            <v>42802</v>
          </cell>
          <cell r="AG1112">
            <v>9.17</v>
          </cell>
          <cell r="AH1112" t="str">
            <v>PPM</v>
          </cell>
          <cell r="AI1112" t="str">
            <v>Strands</v>
          </cell>
          <cell r="AJ1112" t="str">
            <v>Strands PW F</v>
          </cell>
        </row>
        <row r="1113">
          <cell r="A1113" t="str">
            <v>IKN400704</v>
          </cell>
          <cell r="B1113">
            <v>704</v>
          </cell>
          <cell r="C1113" t="str">
            <v>Institut Kanser Negara</v>
          </cell>
          <cell r="D1113" t="str">
            <v>KKM/IKN/H/13/1858</v>
          </cell>
          <cell r="E1113" t="str">
            <v>10-780</v>
          </cell>
          <cell r="F1113" t="str">
            <v>Centrifuges, Tabletop</v>
          </cell>
          <cell r="G1113" t="str">
            <v>LA</v>
          </cell>
          <cell r="H1113" t="str">
            <v>PATHOLOGY</v>
          </cell>
          <cell r="I1113" t="str">
            <v>04LA137</v>
          </cell>
          <cell r="J1113" t="str">
            <v>PRE-ANALYTICAL 1</v>
          </cell>
          <cell r="K1113" t="str">
            <v>BMED</v>
          </cell>
          <cell r="L1113" t="str">
            <v>Normal</v>
          </cell>
          <cell r="M1113" t="str">
            <v>Germany</v>
          </cell>
          <cell r="N1113" t="str">
            <v>Rotofix</v>
          </cell>
          <cell r="O1113" t="str">
            <v>Rotofix 32A</v>
          </cell>
          <cell r="P1113" t="str">
            <v>20367</v>
          </cell>
          <cell r="Q1113" t="str">
            <v>Not Applicable</v>
          </cell>
          <cell r="R1113" t="str">
            <v>Hettich-Zentrifugen GmbH</v>
          </cell>
          <cell r="S1113" t="str">
            <v>Biomarketing Services (M) Sdn Bhd</v>
          </cell>
          <cell r="T1113" t="str">
            <v>Functioning</v>
          </cell>
          <cell r="U1113" t="str">
            <v>Asset</v>
          </cell>
          <cell r="V1113">
            <v>24060</v>
          </cell>
          <cell r="W1113" t="str">
            <v>KEW</v>
          </cell>
          <cell r="X1113" t="str">
            <v>01/09/2010</v>
          </cell>
          <cell r="Y1113" t="str">
            <v>KEW</v>
          </cell>
          <cell r="Z1113" t="str">
            <v>16/08/2013</v>
          </cell>
          <cell r="AA1113" t="str">
            <v>15/08/2015</v>
          </cell>
          <cell r="AB1113" t="str">
            <v>No</v>
          </cell>
          <cell r="AC1113" t="str">
            <v>31/08/2013</v>
          </cell>
          <cell r="AD1113" t="str">
            <v>Good</v>
          </cell>
          <cell r="AE1113" t="str">
            <v>V1 - Existing / No Claim</v>
          </cell>
          <cell r="AF1113">
            <v>42790</v>
          </cell>
          <cell r="AG1113">
            <v>9.17</v>
          </cell>
          <cell r="AH1113" t="str">
            <v>PPM</v>
          </cell>
          <cell r="AI1113" t="str">
            <v>Strands</v>
          </cell>
          <cell r="AJ1113" t="str">
            <v>Strands PW</v>
          </cell>
        </row>
        <row r="1114">
          <cell r="A1114" t="str">
            <v>IKN400705</v>
          </cell>
          <cell r="B1114">
            <v>705</v>
          </cell>
          <cell r="C1114" t="str">
            <v>Institut Kanser Negara</v>
          </cell>
          <cell r="D1114" t="str">
            <v>KKM/IKN/H/13/1861</v>
          </cell>
          <cell r="E1114" t="str">
            <v>10-780</v>
          </cell>
          <cell r="F1114" t="str">
            <v>Centrifuges, Tabletop</v>
          </cell>
          <cell r="G1114" t="str">
            <v>LA</v>
          </cell>
          <cell r="H1114" t="str">
            <v>PATHOLOGY</v>
          </cell>
          <cell r="I1114" t="str">
            <v>04LA138</v>
          </cell>
          <cell r="J1114" t="str">
            <v>PRE-ANALYTICAL 2</v>
          </cell>
          <cell r="K1114" t="str">
            <v>BMED</v>
          </cell>
          <cell r="L1114" t="str">
            <v>Normal</v>
          </cell>
          <cell r="M1114" t="str">
            <v>Germany</v>
          </cell>
          <cell r="N1114" t="str">
            <v>Rotofix</v>
          </cell>
          <cell r="O1114" t="str">
            <v>Rotofix 32A</v>
          </cell>
          <cell r="P1114" t="str">
            <v>18608</v>
          </cell>
          <cell r="Q1114" t="str">
            <v>Not Applicable</v>
          </cell>
          <cell r="R1114" t="str">
            <v>Hettich-Zentrifugen GmbH</v>
          </cell>
          <cell r="S1114" t="str">
            <v>Biomarketing Services (M) Sdn Bhd</v>
          </cell>
          <cell r="T1114" t="str">
            <v>Functioning</v>
          </cell>
          <cell r="U1114" t="str">
            <v>Asset</v>
          </cell>
          <cell r="V1114">
            <v>24060</v>
          </cell>
          <cell r="W1114" t="str">
            <v>KEW</v>
          </cell>
          <cell r="X1114" t="str">
            <v>01/09/2010</v>
          </cell>
          <cell r="Y1114" t="str">
            <v>KEW</v>
          </cell>
          <cell r="Z1114" t="str">
            <v>16/08/2013</v>
          </cell>
          <cell r="AA1114" t="str">
            <v>15/08/2015</v>
          </cell>
          <cell r="AB1114" t="str">
            <v>No</v>
          </cell>
          <cell r="AC1114" t="str">
            <v>31/08/2013</v>
          </cell>
          <cell r="AD1114" t="str">
            <v>Good</v>
          </cell>
          <cell r="AE1114" t="str">
            <v>V1 - Existing / No Claim</v>
          </cell>
          <cell r="AF1114">
            <v>42790</v>
          </cell>
          <cell r="AG1114">
            <v>9.17</v>
          </cell>
          <cell r="AH1114" t="str">
            <v>PPM</v>
          </cell>
          <cell r="AI1114" t="str">
            <v>Strands</v>
          </cell>
          <cell r="AJ1114" t="str">
            <v>Strands PW</v>
          </cell>
        </row>
        <row r="1115">
          <cell r="A1115" t="str">
            <v>IKN400706</v>
          </cell>
          <cell r="B1115">
            <v>706</v>
          </cell>
          <cell r="C1115" t="str">
            <v>Institut Kanser Negara</v>
          </cell>
          <cell r="D1115" t="str">
            <v>KKM/IKN/H/13/1857</v>
          </cell>
          <cell r="E1115" t="str">
            <v>10-780</v>
          </cell>
          <cell r="F1115" t="str">
            <v>Centrifuges, Tabletop</v>
          </cell>
          <cell r="G1115" t="str">
            <v>LA</v>
          </cell>
          <cell r="H1115" t="str">
            <v>PATHOLOGY</v>
          </cell>
          <cell r="I1115" t="str">
            <v>04LA137</v>
          </cell>
          <cell r="J1115" t="str">
            <v>PRE-ANALYTICAL 1</v>
          </cell>
          <cell r="K1115" t="str">
            <v>BMED</v>
          </cell>
          <cell r="L1115" t="str">
            <v>Normal</v>
          </cell>
          <cell r="M1115" t="str">
            <v>Germany</v>
          </cell>
          <cell r="N1115" t="str">
            <v>Rotofix</v>
          </cell>
          <cell r="O1115" t="str">
            <v>Rotofix 32A</v>
          </cell>
          <cell r="P1115" t="str">
            <v>18398</v>
          </cell>
          <cell r="Q1115" t="str">
            <v>Not Applicable</v>
          </cell>
          <cell r="R1115" t="str">
            <v>Hettich-Zentrifugen GmbH</v>
          </cell>
          <cell r="S1115" t="str">
            <v>Biomarketing Services (M) Sdn Bhd</v>
          </cell>
          <cell r="T1115" t="str">
            <v>Functioning</v>
          </cell>
          <cell r="U1115" t="str">
            <v>Asset</v>
          </cell>
          <cell r="V1115">
            <v>24060</v>
          </cell>
          <cell r="W1115" t="str">
            <v>KEW</v>
          </cell>
          <cell r="X1115" t="str">
            <v>01/09/2010</v>
          </cell>
          <cell r="Y1115" t="str">
            <v>KEW</v>
          </cell>
          <cell r="Z1115" t="str">
            <v>16/08/2013</v>
          </cell>
          <cell r="AA1115" t="str">
            <v>15/08/2015</v>
          </cell>
          <cell r="AB1115" t="str">
            <v>No</v>
          </cell>
          <cell r="AC1115" t="str">
            <v>31/08/2013</v>
          </cell>
          <cell r="AD1115" t="str">
            <v>Good</v>
          </cell>
          <cell r="AE1115" t="str">
            <v>V1 - Existing / No Claim</v>
          </cell>
          <cell r="AF1115">
            <v>42790</v>
          </cell>
          <cell r="AG1115">
            <v>9.17</v>
          </cell>
          <cell r="AH1115" t="str">
            <v>PPM</v>
          </cell>
          <cell r="AI1115" t="str">
            <v>Strands</v>
          </cell>
          <cell r="AJ1115" t="str">
            <v>Strands PW</v>
          </cell>
        </row>
        <row r="1116">
          <cell r="A1116" t="str">
            <v>IKN400707</v>
          </cell>
          <cell r="B1116">
            <v>707</v>
          </cell>
          <cell r="C1116" t="str">
            <v>Institut Kanser Negara</v>
          </cell>
          <cell r="D1116" t="str">
            <v>KKM/IKN/H/13/4683</v>
          </cell>
          <cell r="E1116" t="str">
            <v>10-780</v>
          </cell>
          <cell r="F1116" t="str">
            <v>Centrifuges, Tabletop</v>
          </cell>
          <cell r="G1116" t="str">
            <v>LA</v>
          </cell>
          <cell r="H1116" t="str">
            <v>PATHOLOGY</v>
          </cell>
          <cell r="I1116" t="str">
            <v>04LA137</v>
          </cell>
          <cell r="J1116" t="str">
            <v>PRE-ANALYTICAL 1</v>
          </cell>
          <cell r="K1116" t="str">
            <v>BMED</v>
          </cell>
          <cell r="L1116" t="str">
            <v>Normal</v>
          </cell>
          <cell r="M1116" t="str">
            <v>Germany</v>
          </cell>
          <cell r="N1116" t="str">
            <v>Rotofix</v>
          </cell>
          <cell r="O1116" t="str">
            <v>Rotofix 32A</v>
          </cell>
          <cell r="P1116" t="str">
            <v>20089</v>
          </cell>
          <cell r="Q1116" t="str">
            <v>Not Applicable</v>
          </cell>
          <cell r="R1116" t="str">
            <v>Hettich-Zentrifugen GmbH</v>
          </cell>
          <cell r="S1116" t="str">
            <v>Biomarketing Services (M) Sdn Bhd</v>
          </cell>
          <cell r="T1116" t="str">
            <v>Functioning</v>
          </cell>
          <cell r="U1116" t="str">
            <v>Asset</v>
          </cell>
          <cell r="V1116">
            <v>24060</v>
          </cell>
          <cell r="W1116" t="str">
            <v>KEW</v>
          </cell>
          <cell r="X1116" t="str">
            <v>01/09/2010</v>
          </cell>
          <cell r="Y1116" t="str">
            <v>KEW</v>
          </cell>
          <cell r="Z1116" t="str">
            <v>16/08/2013</v>
          </cell>
          <cell r="AA1116" t="str">
            <v>15/08/2015</v>
          </cell>
          <cell r="AB1116" t="str">
            <v>No</v>
          </cell>
          <cell r="AC1116" t="str">
            <v>31/08/2013</v>
          </cell>
          <cell r="AD1116" t="str">
            <v>Good</v>
          </cell>
          <cell r="AE1116" t="str">
            <v>V1 - Existing / No Claim</v>
          </cell>
          <cell r="AF1116">
            <v>42235</v>
          </cell>
          <cell r="AG1116">
            <v>9.17</v>
          </cell>
          <cell r="AH1116" t="str">
            <v>PPM</v>
          </cell>
          <cell r="AI1116" t="str">
            <v>Strands</v>
          </cell>
          <cell r="AJ1116" t="str">
            <v>Strands PW</v>
          </cell>
        </row>
        <row r="1117">
          <cell r="A1117" t="str">
            <v>IKN400708</v>
          </cell>
          <cell r="B1117">
            <v>708</v>
          </cell>
          <cell r="C1117" t="str">
            <v>Institut Kanser Negara</v>
          </cell>
          <cell r="D1117" t="str">
            <v>KKM/IKN/H/13/1859</v>
          </cell>
          <cell r="E1117" t="str">
            <v>10-780</v>
          </cell>
          <cell r="F1117" t="str">
            <v>Centrifuges, Tabletop</v>
          </cell>
          <cell r="G1117" t="str">
            <v>LA</v>
          </cell>
          <cell r="H1117" t="str">
            <v>PATHOLOGY</v>
          </cell>
          <cell r="I1117" t="str">
            <v>04LA138</v>
          </cell>
          <cell r="J1117" t="str">
            <v>PRE-ANALYTICAL 2</v>
          </cell>
          <cell r="K1117" t="str">
            <v>BMED</v>
          </cell>
          <cell r="L1117" t="str">
            <v>Normal</v>
          </cell>
          <cell r="M1117" t="str">
            <v>Germany</v>
          </cell>
          <cell r="N1117" t="str">
            <v>Rotofix</v>
          </cell>
          <cell r="O1117" t="str">
            <v>Rotofix 32A</v>
          </cell>
          <cell r="P1117" t="str">
            <v>18609</v>
          </cell>
          <cell r="Q1117" t="str">
            <v>Not Applicable</v>
          </cell>
          <cell r="R1117" t="str">
            <v>Hettich-Zentrifugen GmbH</v>
          </cell>
          <cell r="S1117" t="str">
            <v>Biomarketing Services (M) Sdn Bhd</v>
          </cell>
          <cell r="T1117" t="str">
            <v>Functioning</v>
          </cell>
          <cell r="U1117" t="str">
            <v>Asset</v>
          </cell>
          <cell r="V1117">
            <v>24060</v>
          </cell>
          <cell r="W1117" t="str">
            <v>KEW</v>
          </cell>
          <cell r="X1117" t="str">
            <v>01/09/2010</v>
          </cell>
          <cell r="Y1117" t="str">
            <v>KEW</v>
          </cell>
          <cell r="Z1117" t="str">
            <v>16/08/2013</v>
          </cell>
          <cell r="AA1117" t="str">
            <v>15/08/2015</v>
          </cell>
          <cell r="AB1117" t="str">
            <v>No</v>
          </cell>
          <cell r="AC1117" t="str">
            <v>31/08/2013</v>
          </cell>
          <cell r="AD1117" t="str">
            <v>Good</v>
          </cell>
          <cell r="AE1117" t="str">
            <v>V1 - Existing / No Claim</v>
          </cell>
          <cell r="AF1117">
            <v>42790</v>
          </cell>
          <cell r="AG1117">
            <v>9.17</v>
          </cell>
          <cell r="AH1117" t="str">
            <v>PPM</v>
          </cell>
          <cell r="AI1117" t="str">
            <v>Strands</v>
          </cell>
          <cell r="AJ1117" t="str">
            <v>Strands PW</v>
          </cell>
        </row>
        <row r="1118">
          <cell r="A1118" t="str">
            <v>IKN400709</v>
          </cell>
          <cell r="B1118">
            <v>709</v>
          </cell>
          <cell r="C1118" t="str">
            <v>Institut Kanser Negara</v>
          </cell>
          <cell r="D1118" t="str">
            <v>KKM/IKN/H/13/1862</v>
          </cell>
          <cell r="E1118" t="str">
            <v>10-780</v>
          </cell>
          <cell r="F1118" t="str">
            <v>Centrifuges, Tabletop</v>
          </cell>
          <cell r="G1118" t="str">
            <v>LA</v>
          </cell>
          <cell r="H1118" t="str">
            <v>PATHOLOGY</v>
          </cell>
          <cell r="I1118" t="str">
            <v>04LA138</v>
          </cell>
          <cell r="J1118" t="str">
            <v>PRE-ANALYTICAL 2</v>
          </cell>
          <cell r="K1118" t="str">
            <v>BMED</v>
          </cell>
          <cell r="L1118" t="str">
            <v>Normal</v>
          </cell>
          <cell r="M1118" t="str">
            <v>Germany</v>
          </cell>
          <cell r="N1118" t="str">
            <v>Rotofix</v>
          </cell>
          <cell r="O1118" t="str">
            <v>Rotofix 32A</v>
          </cell>
          <cell r="P1118" t="str">
            <v>19342</v>
          </cell>
          <cell r="Q1118" t="str">
            <v>Not Applicable</v>
          </cell>
          <cell r="R1118" t="str">
            <v>Hettich-Zentrifugen GmbH</v>
          </cell>
          <cell r="S1118" t="str">
            <v>Biomarketing Services (M) Sdn Bhd</v>
          </cell>
          <cell r="T1118" t="str">
            <v>Functioning</v>
          </cell>
          <cell r="U1118" t="str">
            <v>Asset</v>
          </cell>
          <cell r="V1118">
            <v>24060</v>
          </cell>
          <cell r="W1118" t="str">
            <v>KEW</v>
          </cell>
          <cell r="X1118" t="str">
            <v>01/09/2010</v>
          </cell>
          <cell r="Y1118" t="str">
            <v>KEW</v>
          </cell>
          <cell r="Z1118" t="str">
            <v>16/08/2013</v>
          </cell>
          <cell r="AA1118" t="str">
            <v>15/08/2015</v>
          </cell>
          <cell r="AB1118" t="str">
            <v>No</v>
          </cell>
          <cell r="AC1118" t="str">
            <v>31/08/2013</v>
          </cell>
          <cell r="AD1118" t="str">
            <v>Good</v>
          </cell>
          <cell r="AE1118" t="str">
            <v>V1 - Existing / No Claim</v>
          </cell>
          <cell r="AF1118">
            <v>42790</v>
          </cell>
          <cell r="AG1118">
            <v>9.17</v>
          </cell>
          <cell r="AH1118" t="str">
            <v>PPM</v>
          </cell>
          <cell r="AI1118" t="str">
            <v>Strands</v>
          </cell>
          <cell r="AJ1118" t="str">
            <v>Strands PW</v>
          </cell>
        </row>
        <row r="1119">
          <cell r="A1119" t="str">
            <v>IKN400710</v>
          </cell>
          <cell r="B1119">
            <v>710</v>
          </cell>
          <cell r="C1119" t="str">
            <v>Institut Kanser Negara</v>
          </cell>
          <cell r="D1119" t="str">
            <v>KKM/IKN/H/13/1853</v>
          </cell>
          <cell r="E1119" t="str">
            <v>18-267</v>
          </cell>
          <cell r="F1119" t="str">
            <v>Centrifuges, Tabletop, Low-Speed, Nonrefrigerated, Blood Bank</v>
          </cell>
          <cell r="G1119" t="str">
            <v>LA</v>
          </cell>
          <cell r="H1119" t="str">
            <v>PATHOLOGY</v>
          </cell>
          <cell r="I1119" t="str">
            <v>04LA140</v>
          </cell>
          <cell r="J1119" t="str">
            <v>BLOOD BANK</v>
          </cell>
          <cell r="K1119" t="str">
            <v>BMED</v>
          </cell>
          <cell r="L1119" t="str">
            <v>Normal</v>
          </cell>
          <cell r="M1119" t="str">
            <v>Switzerland</v>
          </cell>
          <cell r="N1119" t="str">
            <v>Diacent</v>
          </cell>
          <cell r="O1119" t="str">
            <v>Diacent-12</v>
          </cell>
          <cell r="P1119" t="str">
            <v>2001197</v>
          </cell>
          <cell r="Q1119" t="str">
            <v>Not Applicable</v>
          </cell>
          <cell r="R1119" t="str">
            <v>Diamed AG</v>
          </cell>
          <cell r="S1119" t="str">
            <v>Biomarketing Services (M) Sdn Bhd</v>
          </cell>
          <cell r="T1119" t="str">
            <v>Functioning</v>
          </cell>
          <cell r="U1119" t="str">
            <v>Asset</v>
          </cell>
          <cell r="V1119">
            <v>5170</v>
          </cell>
          <cell r="W1119" t="str">
            <v>Estimate</v>
          </cell>
          <cell r="X1119" t="str">
            <v>01/09/2010</v>
          </cell>
          <cell r="Y1119" t="str">
            <v>KEW</v>
          </cell>
          <cell r="Z1119" t="str">
            <v>16/08/2013</v>
          </cell>
          <cell r="AA1119" t="str">
            <v>15/08/2015</v>
          </cell>
          <cell r="AB1119" t="str">
            <v>No</v>
          </cell>
          <cell r="AC1119" t="str">
            <v>31/08/2013</v>
          </cell>
          <cell r="AD1119" t="str">
            <v>Good</v>
          </cell>
          <cell r="AE1119" t="str">
            <v>V1 - Existing / No Claim</v>
          </cell>
          <cell r="AF1119">
            <v>42790</v>
          </cell>
          <cell r="AG1119">
            <v>9.17</v>
          </cell>
          <cell r="AH1119" t="str">
            <v>PPM</v>
          </cell>
          <cell r="AI1119" t="str">
            <v>Strands</v>
          </cell>
          <cell r="AJ1119" t="str">
            <v>Strands PW</v>
          </cell>
        </row>
        <row r="1120">
          <cell r="A1120" t="str">
            <v>IKN400711</v>
          </cell>
          <cell r="B1120">
            <v>711</v>
          </cell>
          <cell r="C1120" t="str">
            <v>Institut Kanser Negara</v>
          </cell>
          <cell r="D1120" t="str">
            <v>KKM/IKN/H/13/1850</v>
          </cell>
          <cell r="E1120" t="str">
            <v>18-267</v>
          </cell>
          <cell r="F1120" t="str">
            <v>Centrifuges, Tabletop, Low-Speed, Nonrefrigerated, Blood Bank</v>
          </cell>
          <cell r="G1120" t="str">
            <v>LA</v>
          </cell>
          <cell r="H1120" t="str">
            <v>PATHOLOGY</v>
          </cell>
          <cell r="I1120" t="str">
            <v>04LA140</v>
          </cell>
          <cell r="J1120" t="str">
            <v>BLOOD BANK</v>
          </cell>
          <cell r="K1120" t="str">
            <v>BMED</v>
          </cell>
          <cell r="L1120" t="str">
            <v>Normal</v>
          </cell>
          <cell r="M1120" t="str">
            <v>Switzerland</v>
          </cell>
          <cell r="N1120" t="str">
            <v>Diacent</v>
          </cell>
          <cell r="O1120" t="str">
            <v>Diacent-12</v>
          </cell>
          <cell r="P1120" t="str">
            <v>2001246</v>
          </cell>
          <cell r="Q1120" t="str">
            <v>Not Applicable</v>
          </cell>
          <cell r="R1120" t="str">
            <v>Diamed AG</v>
          </cell>
          <cell r="S1120" t="str">
            <v>Biomarketing Services (M) Sdn Bhd</v>
          </cell>
          <cell r="T1120" t="str">
            <v>Functioning</v>
          </cell>
          <cell r="U1120" t="str">
            <v>Asset</v>
          </cell>
          <cell r="V1120">
            <v>5170</v>
          </cell>
          <cell r="W1120" t="str">
            <v>Estimate</v>
          </cell>
          <cell r="X1120" t="str">
            <v>01/09/2010</v>
          </cell>
          <cell r="Y1120" t="str">
            <v>KEW</v>
          </cell>
          <cell r="Z1120" t="str">
            <v>16/08/2013</v>
          </cell>
          <cell r="AA1120" t="str">
            <v>15/08/2015</v>
          </cell>
          <cell r="AB1120" t="str">
            <v>No</v>
          </cell>
          <cell r="AC1120" t="str">
            <v>31/08/2013</v>
          </cell>
          <cell r="AD1120" t="str">
            <v>Good</v>
          </cell>
          <cell r="AE1120" t="str">
            <v>V1 - Existing / No Claim</v>
          </cell>
          <cell r="AF1120">
            <v>42790</v>
          </cell>
          <cell r="AG1120">
            <v>9.17</v>
          </cell>
          <cell r="AH1120" t="str">
            <v>PPM</v>
          </cell>
          <cell r="AI1120" t="str">
            <v>Strands</v>
          </cell>
          <cell r="AJ1120" t="str">
            <v>Strands PW</v>
          </cell>
        </row>
        <row r="1121">
          <cell r="A1121" t="str">
            <v>IKN400712</v>
          </cell>
          <cell r="B1121">
            <v>712</v>
          </cell>
          <cell r="C1121" t="str">
            <v>Institut Kanser Negara</v>
          </cell>
          <cell r="D1121" t="str">
            <v>KKM/IKN/H/13/1852</v>
          </cell>
          <cell r="E1121" t="str">
            <v>18-267</v>
          </cell>
          <cell r="F1121" t="str">
            <v>Centrifuges, Tabletop, Low-Speed, Nonrefrigerated, Blood Bank</v>
          </cell>
          <cell r="G1121" t="str">
            <v>LA</v>
          </cell>
          <cell r="H1121" t="str">
            <v>PATHOLOGY</v>
          </cell>
          <cell r="I1121" t="str">
            <v>04LA140</v>
          </cell>
          <cell r="J1121" t="str">
            <v>BLOOD BANK</v>
          </cell>
          <cell r="K1121" t="str">
            <v>BMED</v>
          </cell>
          <cell r="L1121" t="str">
            <v>Normal</v>
          </cell>
          <cell r="M1121" t="str">
            <v>Switzerland</v>
          </cell>
          <cell r="N1121" t="str">
            <v>Diacent</v>
          </cell>
          <cell r="O1121" t="str">
            <v>Diacent-12</v>
          </cell>
          <cell r="P1121" t="str">
            <v>2001196</v>
          </cell>
          <cell r="Q1121" t="str">
            <v>Not Applicable</v>
          </cell>
          <cell r="R1121" t="str">
            <v>Diamed AG</v>
          </cell>
          <cell r="S1121" t="str">
            <v>Biomarketing Services (M) Sdn Bhd</v>
          </cell>
          <cell r="T1121" t="str">
            <v>Functioning</v>
          </cell>
          <cell r="U1121" t="str">
            <v>Asset</v>
          </cell>
          <cell r="V1121">
            <v>5170</v>
          </cell>
          <cell r="W1121" t="str">
            <v>Estimate</v>
          </cell>
          <cell r="X1121" t="str">
            <v>01/09/2010</v>
          </cell>
          <cell r="Y1121" t="str">
            <v>KEW</v>
          </cell>
          <cell r="Z1121" t="str">
            <v>16/08/2013</v>
          </cell>
          <cell r="AA1121" t="str">
            <v>15/08/2015</v>
          </cell>
          <cell r="AB1121" t="str">
            <v>No</v>
          </cell>
          <cell r="AC1121" t="str">
            <v>31/08/2013</v>
          </cell>
          <cell r="AD1121" t="str">
            <v>Good</v>
          </cell>
          <cell r="AE1121" t="str">
            <v>V1 - Existing / No Claim</v>
          </cell>
          <cell r="AF1121">
            <v>42790</v>
          </cell>
          <cell r="AG1121">
            <v>9.17</v>
          </cell>
          <cell r="AH1121" t="str">
            <v>PPM</v>
          </cell>
          <cell r="AI1121" t="str">
            <v>Strands</v>
          </cell>
          <cell r="AJ1121" t="str">
            <v>Strands PW</v>
          </cell>
        </row>
        <row r="1122">
          <cell r="A1122" t="str">
            <v>IKN400713</v>
          </cell>
          <cell r="B1122">
            <v>713</v>
          </cell>
          <cell r="C1122" t="str">
            <v>Institut Kanser Negara</v>
          </cell>
          <cell r="D1122" t="str">
            <v>KKM/IKN/H/13/2145</v>
          </cell>
          <cell r="E1122" t="str">
            <v>10-780</v>
          </cell>
          <cell r="F1122" t="str">
            <v>Centrifuges, Tabletop</v>
          </cell>
          <cell r="G1122" t="str">
            <v>LA</v>
          </cell>
          <cell r="H1122" t="str">
            <v>PATHOLOGY</v>
          </cell>
          <cell r="I1122" t="str">
            <v>04LA140</v>
          </cell>
          <cell r="J1122" t="str">
            <v>BLOOD BANK</v>
          </cell>
          <cell r="K1122" t="str">
            <v>BMED</v>
          </cell>
          <cell r="L1122" t="str">
            <v>Normal</v>
          </cell>
          <cell r="M1122" t="str">
            <v>Switzerland</v>
          </cell>
          <cell r="N1122" t="str">
            <v>DiaMed-ID</v>
          </cell>
          <cell r="O1122" t="str">
            <v>ID-Centrifuge 12 SII</v>
          </cell>
          <cell r="P1122" t="str">
            <v>1003644</v>
          </cell>
          <cell r="Q1122" t="str">
            <v>Not Applicable</v>
          </cell>
          <cell r="R1122" t="str">
            <v>Diamed AG</v>
          </cell>
          <cell r="S1122" t="str">
            <v>Biomarketing Services (M) Sdn Bhd</v>
          </cell>
          <cell r="T1122" t="str">
            <v>Functioning</v>
          </cell>
          <cell r="U1122" t="str">
            <v>Asset</v>
          </cell>
          <cell r="V1122">
            <v>14435</v>
          </cell>
          <cell r="W1122" t="str">
            <v>Estimate</v>
          </cell>
          <cell r="X1122" t="str">
            <v>01/09/2010</v>
          </cell>
          <cell r="Y1122" t="str">
            <v>KEW</v>
          </cell>
          <cell r="Z1122" t="str">
            <v>16/08/2013</v>
          </cell>
          <cell r="AA1122" t="str">
            <v>15/08/2015</v>
          </cell>
          <cell r="AB1122" t="str">
            <v>No</v>
          </cell>
          <cell r="AC1122" t="str">
            <v>31/08/2013</v>
          </cell>
          <cell r="AD1122" t="str">
            <v>Good</v>
          </cell>
          <cell r="AE1122" t="str">
            <v>V1 - Existing / No Claim</v>
          </cell>
          <cell r="AF1122">
            <v>43592</v>
          </cell>
          <cell r="AG1122">
            <v>9.17</v>
          </cell>
          <cell r="AH1122" t="str">
            <v>PPM</v>
          </cell>
          <cell r="AI1122" t="str">
            <v>Strands</v>
          </cell>
          <cell r="AJ1122" t="str">
            <v>Strands PW</v>
          </cell>
          <cell r="AK1122" t="str">
            <v>KEWPA WITH IKN400714. [2/4/2024]: TUKAR ASSET DESCRIPTION (Centrifuges, Tabletop, Low-Speed, Nonrefrigerated, Blood Bank), TYPE CODE.</v>
          </cell>
        </row>
        <row r="1123">
          <cell r="A1123" t="str">
            <v>IKN400714</v>
          </cell>
          <cell r="B1123">
            <v>714</v>
          </cell>
          <cell r="C1123" t="str">
            <v>Institut Kanser Negara</v>
          </cell>
          <cell r="D1123" t="str">
            <v>KKM/IKN/H/13/2145</v>
          </cell>
          <cell r="E1123" t="str">
            <v>15-272</v>
          </cell>
          <cell r="F1123" t="str">
            <v>Incubators, Test Tube, Portable</v>
          </cell>
          <cell r="G1123" t="str">
            <v>LA</v>
          </cell>
          <cell r="H1123" t="str">
            <v>PATHOLOGY</v>
          </cell>
          <cell r="I1123" t="str">
            <v>04LA140</v>
          </cell>
          <cell r="J1123" t="str">
            <v>BLOOD BANK</v>
          </cell>
          <cell r="K1123" t="str">
            <v>BMED</v>
          </cell>
          <cell r="L1123" t="str">
            <v>Normal</v>
          </cell>
          <cell r="M1123" t="str">
            <v>Germany</v>
          </cell>
          <cell r="N1123" t="str">
            <v>Diamed</v>
          </cell>
          <cell r="O1123" t="str">
            <v>Diamed ID-Incubator 37 SI</v>
          </cell>
          <cell r="P1123" t="str">
            <v>2001776</v>
          </cell>
          <cell r="Q1123" t="str">
            <v>Not Applicable</v>
          </cell>
          <cell r="R1123" t="str">
            <v>Diamed AG</v>
          </cell>
          <cell r="S1123" t="str">
            <v>Biomarketing Services (M) Sdn Bhd</v>
          </cell>
          <cell r="T1123" t="str">
            <v>Functioning</v>
          </cell>
          <cell r="U1123" t="str">
            <v>Asset</v>
          </cell>
          <cell r="V1123">
            <v>14435</v>
          </cell>
          <cell r="W1123" t="str">
            <v>Estimate</v>
          </cell>
          <cell r="X1123" t="str">
            <v>01/09/2010</v>
          </cell>
          <cell r="Y1123" t="str">
            <v>KEW</v>
          </cell>
          <cell r="Z1123" t="str">
            <v>16/08/2013</v>
          </cell>
          <cell r="AA1123" t="str">
            <v>15/08/2015</v>
          </cell>
          <cell r="AB1123" t="str">
            <v>No</v>
          </cell>
          <cell r="AC1123" t="str">
            <v>31/08/2013</v>
          </cell>
          <cell r="AD1123" t="str">
            <v>Good</v>
          </cell>
          <cell r="AE1123" t="str">
            <v>V1 - Existing / No Claim</v>
          </cell>
          <cell r="AF1123">
            <v>42857</v>
          </cell>
          <cell r="AG1123">
            <v>9.17</v>
          </cell>
          <cell r="AH1123" t="str">
            <v>PPM</v>
          </cell>
          <cell r="AI1123" t="str">
            <v>Strands-accessories</v>
          </cell>
          <cell r="AJ1123" t="str">
            <v>Strands PW</v>
          </cell>
          <cell r="AK1123" t="str">
            <v>KEWPA WITH IKN400713</v>
          </cell>
        </row>
        <row r="1124">
          <cell r="A1124" t="str">
            <v>IKN400715</v>
          </cell>
          <cell r="B1124">
            <v>715</v>
          </cell>
          <cell r="C1124" t="str">
            <v>Institut Kanser Negara</v>
          </cell>
          <cell r="D1124" t="str">
            <v>KKM/IKN/H/13/1851</v>
          </cell>
          <cell r="E1124" t="str">
            <v>18-267</v>
          </cell>
          <cell r="F1124" t="str">
            <v>Centrifuges, Tabletop, Low-Speed, Nonrefrigerated, Blood Bank</v>
          </cell>
          <cell r="G1124" t="str">
            <v>LA</v>
          </cell>
          <cell r="H1124" t="str">
            <v>PATHOLOGY</v>
          </cell>
          <cell r="I1124" t="str">
            <v>04LA140</v>
          </cell>
          <cell r="J1124" t="str">
            <v>BLOOD BANK</v>
          </cell>
          <cell r="K1124" t="str">
            <v>BMED</v>
          </cell>
          <cell r="L1124" t="str">
            <v>Normal</v>
          </cell>
          <cell r="M1124" t="str">
            <v>Switzerland</v>
          </cell>
          <cell r="N1124" t="str">
            <v>Diacent</v>
          </cell>
          <cell r="O1124" t="str">
            <v>Diacent-12</v>
          </cell>
          <cell r="P1124" t="str">
            <v>2001245</v>
          </cell>
          <cell r="Q1124" t="str">
            <v>Not Applicable</v>
          </cell>
          <cell r="R1124" t="str">
            <v>Diamed AG</v>
          </cell>
          <cell r="S1124" t="str">
            <v>Biomarketing Services (M) Sdn Bhd</v>
          </cell>
          <cell r="T1124" t="str">
            <v>Functioning</v>
          </cell>
          <cell r="U1124" t="str">
            <v>Asset</v>
          </cell>
          <cell r="V1124">
            <v>5170</v>
          </cell>
          <cell r="W1124" t="str">
            <v>Estimate</v>
          </cell>
          <cell r="X1124" t="str">
            <v>01/09/2010</v>
          </cell>
          <cell r="Y1124" t="str">
            <v>KEW</v>
          </cell>
          <cell r="Z1124" t="str">
            <v>16/08/2013</v>
          </cell>
          <cell r="AA1124" t="str">
            <v>15/08/2015</v>
          </cell>
          <cell r="AB1124" t="str">
            <v>No</v>
          </cell>
          <cell r="AC1124" t="str">
            <v>31/08/2013</v>
          </cell>
          <cell r="AD1124" t="str">
            <v>Good</v>
          </cell>
          <cell r="AE1124" t="str">
            <v>V1 - Existing / No Claim</v>
          </cell>
          <cell r="AF1124">
            <v>42790</v>
          </cell>
          <cell r="AG1124">
            <v>9.17</v>
          </cell>
          <cell r="AH1124" t="str">
            <v>PPM</v>
          </cell>
          <cell r="AI1124" t="str">
            <v>Strands</v>
          </cell>
          <cell r="AJ1124" t="str">
            <v>Strands PW</v>
          </cell>
        </row>
        <row r="1125">
          <cell r="A1125" t="str">
            <v>IKN400716</v>
          </cell>
          <cell r="B1125">
            <v>716</v>
          </cell>
          <cell r="C1125" t="str">
            <v>Institut Kanser Negara</v>
          </cell>
          <cell r="D1125" t="str">
            <v>KKM/IKN/H/13/2146</v>
          </cell>
          <cell r="E1125" t="str">
            <v>10-780</v>
          </cell>
          <cell r="F1125" t="str">
            <v>Centrifuges, Tabletop</v>
          </cell>
          <cell r="G1125" t="str">
            <v>LA</v>
          </cell>
          <cell r="H1125" t="str">
            <v>PATHOLOGY</v>
          </cell>
          <cell r="I1125" t="str">
            <v>04LA140</v>
          </cell>
          <cell r="J1125" t="str">
            <v>BLOOD BANK</v>
          </cell>
          <cell r="K1125" t="str">
            <v>BMED</v>
          </cell>
          <cell r="L1125" t="str">
            <v>Normal</v>
          </cell>
          <cell r="M1125" t="str">
            <v>Switzerland</v>
          </cell>
          <cell r="N1125" t="str">
            <v>DiaMed-ID</v>
          </cell>
          <cell r="O1125" t="str">
            <v>ID-Centrifuge 12 SII</v>
          </cell>
          <cell r="P1125" t="str">
            <v>1003645</v>
          </cell>
          <cell r="Q1125" t="str">
            <v>Not Applicable</v>
          </cell>
          <cell r="R1125" t="str">
            <v>Diamed AG</v>
          </cell>
          <cell r="S1125" t="str">
            <v>Biomarketing Services (M) Sdn Bhd</v>
          </cell>
          <cell r="T1125" t="str">
            <v>Functioning</v>
          </cell>
          <cell r="U1125" t="str">
            <v>Asset</v>
          </cell>
          <cell r="V1125">
            <v>14435</v>
          </cell>
          <cell r="W1125" t="str">
            <v>Estimate</v>
          </cell>
          <cell r="X1125" t="str">
            <v>01/09/2010</v>
          </cell>
          <cell r="Y1125" t="str">
            <v>KEW</v>
          </cell>
          <cell r="Z1125" t="str">
            <v>16/08/2013</v>
          </cell>
          <cell r="AA1125" t="str">
            <v>15/08/2015</v>
          </cell>
          <cell r="AB1125" t="str">
            <v>No</v>
          </cell>
          <cell r="AC1125" t="str">
            <v>31/08/2013</v>
          </cell>
          <cell r="AD1125" t="str">
            <v>Good</v>
          </cell>
          <cell r="AE1125" t="str">
            <v>V1 - Existing / No Claim</v>
          </cell>
          <cell r="AF1125">
            <v>42790</v>
          </cell>
          <cell r="AG1125">
            <v>9.17</v>
          </cell>
          <cell r="AH1125" t="str">
            <v>PPM</v>
          </cell>
          <cell r="AI1125" t="str">
            <v>Strands</v>
          </cell>
          <cell r="AJ1125" t="str">
            <v>Strands PW</v>
          </cell>
          <cell r="AK1125" t="str">
            <v>KEWPA WITH IKN400717. TUKAR ASSET DESCRIPTION (Centrifuges, Tabletop, Low-Speed, Nonrefrigerated, Blood Bank), TYPE CODE.</v>
          </cell>
        </row>
        <row r="1126">
          <cell r="A1126" t="str">
            <v>IKN400717</v>
          </cell>
          <cell r="B1126">
            <v>717</v>
          </cell>
          <cell r="C1126" t="str">
            <v>Institut Kanser Negara</v>
          </cell>
          <cell r="D1126" t="str">
            <v>KKM/IKN/H/13/2146</v>
          </cell>
          <cell r="E1126" t="str">
            <v>15-272</v>
          </cell>
          <cell r="F1126" t="str">
            <v>Incubators, Test Tube, Portable</v>
          </cell>
          <cell r="G1126" t="str">
            <v>LA</v>
          </cell>
          <cell r="H1126" t="str">
            <v>PATHOLOGY</v>
          </cell>
          <cell r="I1126" t="str">
            <v>04LA140</v>
          </cell>
          <cell r="J1126" t="str">
            <v>BLOOD BANK</v>
          </cell>
          <cell r="K1126" t="str">
            <v>BMED</v>
          </cell>
          <cell r="L1126" t="str">
            <v>Normal</v>
          </cell>
          <cell r="M1126" t="str">
            <v>Germany</v>
          </cell>
          <cell r="N1126" t="str">
            <v>Diamed</v>
          </cell>
          <cell r="O1126" t="str">
            <v>Diamed ID-Incubator 37 SI</v>
          </cell>
          <cell r="P1126" t="str">
            <v>2001840</v>
          </cell>
          <cell r="Q1126" t="str">
            <v>Not Applicable</v>
          </cell>
          <cell r="R1126" t="str">
            <v>Diamed AG</v>
          </cell>
          <cell r="S1126" t="str">
            <v>Biomarketing Services (M) Sdn Bhd</v>
          </cell>
          <cell r="T1126" t="str">
            <v>Functioning</v>
          </cell>
          <cell r="U1126" t="str">
            <v>Asset</v>
          </cell>
          <cell r="V1126">
            <v>14435</v>
          </cell>
          <cell r="W1126" t="str">
            <v>Estimate</v>
          </cell>
          <cell r="X1126" t="str">
            <v>01/09/2010</v>
          </cell>
          <cell r="Y1126" t="str">
            <v>KEW</v>
          </cell>
          <cell r="Z1126" t="str">
            <v>16/08/2013</v>
          </cell>
          <cell r="AA1126" t="str">
            <v>15/08/2015</v>
          </cell>
          <cell r="AB1126" t="str">
            <v>No</v>
          </cell>
          <cell r="AC1126" t="str">
            <v>31/08/2013</v>
          </cell>
          <cell r="AD1126" t="str">
            <v>Good</v>
          </cell>
          <cell r="AE1126" t="str">
            <v>V1 - Existing / No Claim</v>
          </cell>
          <cell r="AF1126">
            <v>42857</v>
          </cell>
          <cell r="AG1126">
            <v>9.17</v>
          </cell>
          <cell r="AH1126" t="str">
            <v>PPM</v>
          </cell>
          <cell r="AI1126" t="str">
            <v>Strands-accessories</v>
          </cell>
          <cell r="AJ1126" t="str">
            <v>Strands PW</v>
          </cell>
          <cell r="AK1126" t="str">
            <v>KEWPA WITH IKN400716</v>
          </cell>
        </row>
        <row r="1127">
          <cell r="A1127" t="str">
            <v>IKN400718</v>
          </cell>
          <cell r="B1127">
            <v>718</v>
          </cell>
          <cell r="C1127" t="str">
            <v>Institut Kanser Negara</v>
          </cell>
          <cell r="D1127" t="str">
            <v>KKM/IKN/H/13/1800</v>
          </cell>
          <cell r="E1127" t="str">
            <v>16-861</v>
          </cell>
          <cell r="F1127" t="str">
            <v>Baths, Water, Laboratory</v>
          </cell>
          <cell r="G1127" t="str">
            <v>LA</v>
          </cell>
          <cell r="H1127" t="str">
            <v>PATHOLOGY</v>
          </cell>
          <cell r="I1127" t="str">
            <v>04LA140</v>
          </cell>
          <cell r="J1127" t="str">
            <v>BLOOD BANK</v>
          </cell>
          <cell r="K1127" t="str">
            <v>BMED</v>
          </cell>
          <cell r="L1127" t="str">
            <v>Normal</v>
          </cell>
          <cell r="M1127" t="str">
            <v>Germany</v>
          </cell>
          <cell r="N1127" t="str">
            <v>Memmert</v>
          </cell>
          <cell r="O1127" t="str">
            <v>Memmert WNB14</v>
          </cell>
          <cell r="P1127" t="str">
            <v>L412.0327</v>
          </cell>
          <cell r="Q1127" t="str">
            <v>Not Applicable</v>
          </cell>
          <cell r="R1127" t="str">
            <v>Memmert GmbH</v>
          </cell>
          <cell r="S1127" t="str">
            <v>Saujana Saintifik Sdn Bhd</v>
          </cell>
          <cell r="T1127" t="str">
            <v>Functioning</v>
          </cell>
          <cell r="U1127" t="str">
            <v>Asset</v>
          </cell>
          <cell r="V1127">
            <v>4210</v>
          </cell>
          <cell r="W1127" t="str">
            <v>KEW</v>
          </cell>
          <cell r="X1127" t="str">
            <v>01/09/2010</v>
          </cell>
          <cell r="Y1127" t="str">
            <v>KEW</v>
          </cell>
          <cell r="Z1127" t="str">
            <v>16/08/2013</v>
          </cell>
          <cell r="AA1127" t="str">
            <v>15/08/2015</v>
          </cell>
          <cell r="AB1127" t="str">
            <v>No</v>
          </cell>
          <cell r="AC1127" t="str">
            <v>31/08/2013</v>
          </cell>
          <cell r="AD1127" t="str">
            <v>Good</v>
          </cell>
          <cell r="AE1127" t="str">
            <v>V1 - Existing / No Claim</v>
          </cell>
          <cell r="AF1127">
            <v>42790</v>
          </cell>
          <cell r="AG1127">
            <v>9.17</v>
          </cell>
          <cell r="AH1127" t="str">
            <v>PPM</v>
          </cell>
          <cell r="AI1127" t="str">
            <v>Strands</v>
          </cell>
          <cell r="AJ1127" t="str">
            <v>Strands PW</v>
          </cell>
        </row>
        <row r="1128">
          <cell r="A1128" t="str">
            <v>IKN400719</v>
          </cell>
          <cell r="B1128">
            <v>719</v>
          </cell>
          <cell r="C1128" t="str">
            <v>Institut Kanser Negara</v>
          </cell>
          <cell r="D1128" t="str">
            <v>KKM/IKN/H/13/2133</v>
          </cell>
          <cell r="E1128" t="str">
            <v>16-795</v>
          </cell>
          <cell r="F1128" t="str">
            <v>Bath, Water, Plasma-Thawing</v>
          </cell>
          <cell r="G1128" t="str">
            <v>LA</v>
          </cell>
          <cell r="H1128" t="str">
            <v>PATHOLOGY</v>
          </cell>
          <cell r="I1128" t="str">
            <v>04LA140</v>
          </cell>
          <cell r="J1128" t="str">
            <v>BLOOD BANK</v>
          </cell>
          <cell r="K1128" t="str">
            <v>BMED</v>
          </cell>
          <cell r="L1128" t="str">
            <v>Normal</v>
          </cell>
          <cell r="M1128" t="str">
            <v>USA</v>
          </cell>
          <cell r="N1128" t="str">
            <v>QuickThaw</v>
          </cell>
          <cell r="O1128" t="str">
            <v>QuickThaw DH4</v>
          </cell>
          <cell r="P1128" t="str">
            <v>1008349</v>
          </cell>
          <cell r="Q1128" t="str">
            <v>Not Applicable</v>
          </cell>
          <cell r="R1128" t="str">
            <v>Helmer Labs Inc</v>
          </cell>
          <cell r="S1128" t="str">
            <v>Biomarketing Services (M) Sdn Bhd</v>
          </cell>
          <cell r="T1128" t="str">
            <v>Functioning</v>
          </cell>
          <cell r="U1128" t="str">
            <v>Asset</v>
          </cell>
          <cell r="V1128">
            <v>26460</v>
          </cell>
          <cell r="W1128" t="str">
            <v>KEW</v>
          </cell>
          <cell r="X1128" t="str">
            <v>01/09/2010</v>
          </cell>
          <cell r="Y1128" t="str">
            <v>KEW</v>
          </cell>
          <cell r="Z1128" t="str">
            <v>16/08/2013</v>
          </cell>
          <cell r="AA1128" t="str">
            <v>15/08/2015</v>
          </cell>
          <cell r="AB1128" t="str">
            <v>No</v>
          </cell>
          <cell r="AC1128" t="str">
            <v>31/08/2013</v>
          </cell>
          <cell r="AD1128" t="str">
            <v>Good</v>
          </cell>
          <cell r="AE1128" t="str">
            <v>V1 - Existing / No Claim</v>
          </cell>
          <cell r="AF1128">
            <v>42790</v>
          </cell>
          <cell r="AG1128">
            <v>9.17</v>
          </cell>
          <cell r="AH1128" t="str">
            <v>PPM</v>
          </cell>
          <cell r="AI1128" t="str">
            <v>Strands</v>
          </cell>
          <cell r="AJ1128" t="str">
            <v>Strands PW</v>
          </cell>
        </row>
        <row r="1129">
          <cell r="A1129" t="str">
            <v>IKN400720</v>
          </cell>
          <cell r="B1129">
            <v>720</v>
          </cell>
          <cell r="C1129" t="str">
            <v>Institut Kanser Negara</v>
          </cell>
          <cell r="D1129" t="str">
            <v>KKM/IKN/H/13/4725</v>
          </cell>
          <cell r="E1129" t="str">
            <v>16-795</v>
          </cell>
          <cell r="F1129" t="str">
            <v>Bath, Water, Plasma-Thawing</v>
          </cell>
          <cell r="G1129" t="str">
            <v>LA</v>
          </cell>
          <cell r="H1129" t="str">
            <v>PATHOLOGY</v>
          </cell>
          <cell r="I1129" t="str">
            <v>04LA140</v>
          </cell>
          <cell r="J1129" t="str">
            <v>BLOOD BANK</v>
          </cell>
          <cell r="K1129" t="str">
            <v>BMED</v>
          </cell>
          <cell r="L1129" t="str">
            <v>Normal</v>
          </cell>
          <cell r="M1129" t="str">
            <v>USA</v>
          </cell>
          <cell r="N1129" t="str">
            <v>QuickThaw</v>
          </cell>
          <cell r="O1129" t="str">
            <v>QuickThaw DH4</v>
          </cell>
          <cell r="P1129" t="str">
            <v>1009481</v>
          </cell>
          <cell r="Q1129" t="str">
            <v>Not Applicable</v>
          </cell>
          <cell r="R1129" t="str">
            <v>Helmer Labs Inc</v>
          </cell>
          <cell r="S1129" t="str">
            <v>Biomarketing Services (M) Sdn Bhd</v>
          </cell>
          <cell r="T1129" t="str">
            <v>Functioning</v>
          </cell>
          <cell r="U1129" t="str">
            <v>Asset</v>
          </cell>
          <cell r="V1129">
            <v>26240</v>
          </cell>
          <cell r="W1129" t="str">
            <v>KEW</v>
          </cell>
          <cell r="X1129" t="str">
            <v>01/09/2010</v>
          </cell>
          <cell r="Y1129" t="str">
            <v>KEW</v>
          </cell>
          <cell r="Z1129" t="str">
            <v>16/08/2013</v>
          </cell>
          <cell r="AA1129" t="str">
            <v>15/08/2015</v>
          </cell>
          <cell r="AB1129" t="str">
            <v>No</v>
          </cell>
          <cell r="AC1129" t="str">
            <v>31/08/2013</v>
          </cell>
          <cell r="AD1129" t="str">
            <v>Good</v>
          </cell>
          <cell r="AE1129" t="str">
            <v>V1 - Existing / No Claim</v>
          </cell>
          <cell r="AF1129">
            <v>42790</v>
          </cell>
          <cell r="AG1129">
            <v>9.17</v>
          </cell>
          <cell r="AH1129" t="str">
            <v>PPM</v>
          </cell>
          <cell r="AI1129" t="str">
            <v>Strands</v>
          </cell>
          <cell r="AJ1129" t="str">
            <v>Strands PW</v>
          </cell>
        </row>
        <row r="1130">
          <cell r="A1130" t="str">
            <v>IKN400721</v>
          </cell>
          <cell r="B1130">
            <v>721</v>
          </cell>
          <cell r="C1130" t="str">
            <v>Institut Kanser Negara</v>
          </cell>
          <cell r="D1130" t="str">
            <v>KKM/IKN/H/13/2124</v>
          </cell>
          <cell r="E1130" t="str">
            <v>15-104</v>
          </cell>
          <cell r="F1130" t="str">
            <v>Analyzers, Laboratory, Hematology, Platelet Aggregation</v>
          </cell>
          <cell r="G1130" t="str">
            <v>LA</v>
          </cell>
          <cell r="H1130" t="str">
            <v>PATHOLOGY</v>
          </cell>
          <cell r="I1130" t="str">
            <v>04LA140</v>
          </cell>
          <cell r="J1130" t="str">
            <v>BLOOD BANK</v>
          </cell>
          <cell r="K1130" t="str">
            <v>BMED</v>
          </cell>
          <cell r="L1130" t="str">
            <v>Normal</v>
          </cell>
          <cell r="M1130" t="str">
            <v>USA</v>
          </cell>
          <cell r="N1130" t="str">
            <v>Helmer</v>
          </cell>
          <cell r="O1130" t="str">
            <v>Pf48i</v>
          </cell>
          <cell r="P1130" t="str">
            <v>1008381</v>
          </cell>
          <cell r="Q1130" t="str">
            <v>Not Applicable</v>
          </cell>
          <cell r="R1130" t="str">
            <v>Helmer</v>
          </cell>
          <cell r="S1130" t="str">
            <v>Biomarketing Services (M) Sdn Bhd</v>
          </cell>
          <cell r="T1130" t="str">
            <v>Functioning</v>
          </cell>
          <cell r="U1130" t="str">
            <v>Asset</v>
          </cell>
          <cell r="V1130">
            <v>42100</v>
          </cell>
          <cell r="W1130" t="str">
            <v>KEW</v>
          </cell>
          <cell r="X1130" t="str">
            <v>01/09/2010</v>
          </cell>
          <cell r="Y1130" t="str">
            <v>KEW</v>
          </cell>
          <cell r="Z1130" t="str">
            <v>16/08/2013</v>
          </cell>
          <cell r="AA1130" t="str">
            <v>15/08/2015</v>
          </cell>
          <cell r="AB1130" t="str">
            <v>No</v>
          </cell>
          <cell r="AC1130" t="str">
            <v>31/08/2013</v>
          </cell>
          <cell r="AD1130" t="str">
            <v>Good</v>
          </cell>
          <cell r="AE1130" t="str">
            <v>V1 - Existing / No Claim</v>
          </cell>
          <cell r="AF1130">
            <v>42790</v>
          </cell>
          <cell r="AG1130">
            <v>9.17</v>
          </cell>
          <cell r="AH1130" t="str">
            <v>PPM</v>
          </cell>
          <cell r="AI1130" t="str">
            <v>Strands</v>
          </cell>
          <cell r="AJ1130" t="str">
            <v>Strands PW</v>
          </cell>
          <cell r="AK1130" t="str">
            <v>KEWPA WIYH IKN400722</v>
          </cell>
        </row>
        <row r="1131">
          <cell r="A1131" t="str">
            <v>IKN400722</v>
          </cell>
          <cell r="B1131">
            <v>722</v>
          </cell>
          <cell r="C1131" t="str">
            <v>Institut Kanser Negara</v>
          </cell>
          <cell r="D1131" t="str">
            <v>KKM/IKN/H/13/2124</v>
          </cell>
          <cell r="E1131" t="str">
            <v>15-104</v>
          </cell>
          <cell r="F1131" t="str">
            <v>Analyzers, Laboratory, Hematology, Platelet Aggregation</v>
          </cell>
          <cell r="G1131" t="str">
            <v>LA</v>
          </cell>
          <cell r="H1131" t="str">
            <v>PATHOLOGY</v>
          </cell>
          <cell r="I1131" t="str">
            <v>04LA141</v>
          </cell>
          <cell r="J1131" t="str">
            <v>REPORTING (8PAX)</v>
          </cell>
          <cell r="K1131" t="str">
            <v>BMED</v>
          </cell>
          <cell r="L1131" t="str">
            <v>Normal</v>
          </cell>
          <cell r="M1131" t="str">
            <v>USA</v>
          </cell>
          <cell r="N1131" t="str">
            <v>Helmer</v>
          </cell>
          <cell r="O1131" t="str">
            <v>Pc900i</v>
          </cell>
          <cell r="P1131" t="str">
            <v>1008449</v>
          </cell>
          <cell r="Q1131" t="str">
            <v>Not Applicable</v>
          </cell>
          <cell r="R1131" t="str">
            <v>Helmer</v>
          </cell>
          <cell r="S1131" t="str">
            <v>Biomarketing Services (M) Sdn Bhd</v>
          </cell>
          <cell r="T1131" t="str">
            <v>Functioning</v>
          </cell>
          <cell r="U1131" t="str">
            <v>Asset</v>
          </cell>
          <cell r="V1131">
            <v>42100</v>
          </cell>
          <cell r="W1131" t="str">
            <v>KEW</v>
          </cell>
          <cell r="X1131" t="str">
            <v>01/09/2010</v>
          </cell>
          <cell r="Y1131" t="str">
            <v>KEW</v>
          </cell>
          <cell r="Z1131" t="str">
            <v>16/08/2013</v>
          </cell>
          <cell r="AA1131" t="str">
            <v>15/08/2015</v>
          </cell>
          <cell r="AB1131" t="str">
            <v>No</v>
          </cell>
          <cell r="AC1131" t="str">
            <v>31/08/2013</v>
          </cell>
          <cell r="AD1131" t="str">
            <v>Good</v>
          </cell>
          <cell r="AE1131" t="str">
            <v>V1 - Existing / No Claim</v>
          </cell>
          <cell r="AF1131">
            <v>42235</v>
          </cell>
          <cell r="AG1131">
            <v>9.17</v>
          </cell>
          <cell r="AH1131" t="str">
            <v>PPM</v>
          </cell>
          <cell r="AI1131" t="str">
            <v>Strands-accessories</v>
          </cell>
          <cell r="AJ1131" t="str">
            <v>Strands PW</v>
          </cell>
          <cell r="AK1131" t="str">
            <v>KEWPA WITH IKN400721</v>
          </cell>
        </row>
        <row r="1132">
          <cell r="A1132" t="str">
            <v>IKN400723</v>
          </cell>
          <cell r="B1132">
            <v>723</v>
          </cell>
          <cell r="C1132" t="str">
            <v>Institut Kanser Negara</v>
          </cell>
          <cell r="D1132" t="str">
            <v>KKM/IKN/H/13/1909</v>
          </cell>
          <cell r="E1132" t="str">
            <v>16-439</v>
          </cell>
          <cell r="F1132" t="str">
            <v>Microscopes, Light, Laboratory, Fluorescence</v>
          </cell>
          <cell r="G1132" t="str">
            <v>LA</v>
          </cell>
          <cell r="H1132" t="str">
            <v>PATHOLOGY</v>
          </cell>
          <cell r="I1132" t="str">
            <v>04LA114</v>
          </cell>
          <cell r="J1132" t="str">
            <v>DARK MICROSCOPY</v>
          </cell>
          <cell r="K1132" t="str">
            <v>BMED</v>
          </cell>
          <cell r="L1132" t="str">
            <v>Normal</v>
          </cell>
          <cell r="M1132" t="str">
            <v>Japan</v>
          </cell>
          <cell r="N1132" t="str">
            <v>Olympus</v>
          </cell>
          <cell r="O1132" t="str">
            <v>Olympus BX 43F</v>
          </cell>
          <cell r="P1132" t="str">
            <v>2J49091</v>
          </cell>
          <cell r="Q1132" t="str">
            <v>Not Applicable</v>
          </cell>
          <cell r="R1132" t="str">
            <v>Olympus Optical Co Ltd</v>
          </cell>
          <cell r="S1132" t="str">
            <v>Matrix Optics (M) Sdn Bhd</v>
          </cell>
          <cell r="T1132" t="str">
            <v>Functioning</v>
          </cell>
          <cell r="U1132" t="str">
            <v>Asset</v>
          </cell>
          <cell r="V1132">
            <v>169530</v>
          </cell>
          <cell r="W1132" t="str">
            <v>KEW</v>
          </cell>
          <cell r="X1132" t="str">
            <v>01/09/2010</v>
          </cell>
          <cell r="Y1132" t="str">
            <v>KEW</v>
          </cell>
          <cell r="Z1132" t="str">
            <v>16/08/2013</v>
          </cell>
          <cell r="AA1132" t="str">
            <v>15/08/2015</v>
          </cell>
          <cell r="AB1132" t="str">
            <v>No</v>
          </cell>
          <cell r="AC1132" t="str">
            <v>31/08/2013</v>
          </cell>
          <cell r="AD1132" t="str">
            <v>Good</v>
          </cell>
          <cell r="AE1132" t="str">
            <v>V1 - Existing / No Claim</v>
          </cell>
          <cell r="AF1132">
            <v>42235</v>
          </cell>
          <cell r="AG1132">
            <v>9.17</v>
          </cell>
          <cell r="AH1132" t="str">
            <v>PPM</v>
          </cell>
          <cell r="AI1132" t="str">
            <v>Strands</v>
          </cell>
          <cell r="AJ1132" t="str">
            <v>Strands PW</v>
          </cell>
          <cell r="AK1132" t="str">
            <v>KEWPA WITH IKN400721</v>
          </cell>
        </row>
        <row r="1133">
          <cell r="A1133" t="str">
            <v>IKN400724</v>
          </cell>
          <cell r="B1133">
            <v>724</v>
          </cell>
          <cell r="C1133" t="str">
            <v>Institut Kanser Negara</v>
          </cell>
          <cell r="D1133" t="str">
            <v>KKM/IKN/H/13/1893</v>
          </cell>
          <cell r="E1133" t="str">
            <v>15-156</v>
          </cell>
          <cell r="F1133" t="str">
            <v>Microscopes, Light, Laboratory</v>
          </cell>
          <cell r="G1133" t="str">
            <v>LA</v>
          </cell>
          <cell r="H1133" t="str">
            <v>PATHOLOGY</v>
          </cell>
          <cell r="I1133" t="str">
            <v>04LA131</v>
          </cell>
          <cell r="J1133" t="str">
            <v>HAEMATOLOGY LAB 1</v>
          </cell>
          <cell r="K1133" t="str">
            <v>BMED</v>
          </cell>
          <cell r="L1133" t="str">
            <v>Normal</v>
          </cell>
          <cell r="M1133" t="str">
            <v>Japan</v>
          </cell>
          <cell r="N1133" t="str">
            <v>Olympus</v>
          </cell>
          <cell r="O1133" t="str">
            <v>Olympus CX31</v>
          </cell>
          <cell r="P1133" t="str">
            <v>2H11266</v>
          </cell>
          <cell r="Q1133" t="str">
            <v>Not Applicable</v>
          </cell>
          <cell r="R1133" t="str">
            <v>Olympus Corp Ltd</v>
          </cell>
          <cell r="S1133" t="str">
            <v>Matrix Optics (M) Sdn Bhd</v>
          </cell>
          <cell r="T1133" t="str">
            <v>Functioning</v>
          </cell>
          <cell r="U1133" t="str">
            <v>Asset</v>
          </cell>
          <cell r="V1133">
            <v>14740</v>
          </cell>
          <cell r="W1133" t="str">
            <v>KEW</v>
          </cell>
          <cell r="X1133" t="str">
            <v>01/09/2010</v>
          </cell>
          <cell r="Y1133" t="str">
            <v>KEW</v>
          </cell>
          <cell r="Z1133" t="str">
            <v>16/08/2013</v>
          </cell>
          <cell r="AA1133" t="str">
            <v>15/08/2015</v>
          </cell>
          <cell r="AB1133" t="str">
            <v>No</v>
          </cell>
          <cell r="AC1133" t="str">
            <v>31/08/2013</v>
          </cell>
          <cell r="AD1133" t="str">
            <v>Good</v>
          </cell>
          <cell r="AE1133" t="str">
            <v>V1 - Existing / No Claim</v>
          </cell>
          <cell r="AF1133">
            <v>42790</v>
          </cell>
          <cell r="AG1133">
            <v>9.17</v>
          </cell>
          <cell r="AH1133" t="str">
            <v>PPM</v>
          </cell>
          <cell r="AI1133" t="str">
            <v>Strands</v>
          </cell>
          <cell r="AJ1133" t="str">
            <v>Strands PW</v>
          </cell>
        </row>
        <row r="1134">
          <cell r="A1134" t="str">
            <v>IKN400725</v>
          </cell>
          <cell r="B1134">
            <v>725</v>
          </cell>
          <cell r="C1134" t="str">
            <v>Institut Kanser Negara</v>
          </cell>
          <cell r="D1134" t="str">
            <v>KKM/IKN/H/13/1896</v>
          </cell>
          <cell r="E1134" t="str">
            <v>15-156</v>
          </cell>
          <cell r="F1134" t="str">
            <v>Microscopes, Light, Laboratory</v>
          </cell>
          <cell r="G1134" t="str">
            <v>LA</v>
          </cell>
          <cell r="H1134" t="str">
            <v>PATHOLOGY</v>
          </cell>
          <cell r="I1134" t="str">
            <v>04LA131</v>
          </cell>
          <cell r="J1134" t="str">
            <v>HAEMATOLOGY LAB 1</v>
          </cell>
          <cell r="K1134" t="str">
            <v>BMED</v>
          </cell>
          <cell r="L1134" t="str">
            <v>Normal</v>
          </cell>
          <cell r="M1134" t="str">
            <v>Japan</v>
          </cell>
          <cell r="N1134" t="str">
            <v>Olympus</v>
          </cell>
          <cell r="O1134" t="str">
            <v>Olympus CX31</v>
          </cell>
          <cell r="P1134" t="str">
            <v>2H11113</v>
          </cell>
          <cell r="Q1134" t="str">
            <v>Not Applicable</v>
          </cell>
          <cell r="R1134" t="str">
            <v>Olympus Corp Ltd</v>
          </cell>
          <cell r="S1134" t="str">
            <v>Matrix Optics (M) Sdn Bhd</v>
          </cell>
          <cell r="T1134" t="str">
            <v>Functioning</v>
          </cell>
          <cell r="U1134" t="str">
            <v>Asset</v>
          </cell>
          <cell r="V1134">
            <v>14740</v>
          </cell>
          <cell r="W1134" t="str">
            <v>KEW</v>
          </cell>
          <cell r="X1134" t="str">
            <v>01/09/2010</v>
          </cell>
          <cell r="Y1134" t="str">
            <v>KEW</v>
          </cell>
          <cell r="Z1134" t="str">
            <v>16/08/2013</v>
          </cell>
          <cell r="AA1134" t="str">
            <v>15/08/2015</v>
          </cell>
          <cell r="AB1134" t="str">
            <v>No</v>
          </cell>
          <cell r="AC1134" t="str">
            <v>31/08/2013</v>
          </cell>
          <cell r="AD1134" t="str">
            <v>Good</v>
          </cell>
          <cell r="AE1134" t="str">
            <v>V1 - Existing / No Claim</v>
          </cell>
          <cell r="AF1134">
            <v>42790</v>
          </cell>
          <cell r="AG1134">
            <v>9.17</v>
          </cell>
          <cell r="AH1134" t="str">
            <v>PPM</v>
          </cell>
          <cell r="AI1134" t="str">
            <v>Strands</v>
          </cell>
          <cell r="AJ1134" t="str">
            <v>Strands PW</v>
          </cell>
        </row>
        <row r="1135">
          <cell r="A1135" t="str">
            <v>IKN400726</v>
          </cell>
          <cell r="B1135">
            <v>726</v>
          </cell>
          <cell r="C1135" t="str">
            <v>Institut Kanser Negara</v>
          </cell>
          <cell r="D1135" t="str">
            <v>KKM/IKN/H/13/1889</v>
          </cell>
          <cell r="E1135" t="str">
            <v>15-156</v>
          </cell>
          <cell r="F1135" t="str">
            <v>Microscopes, Light, Laboratory</v>
          </cell>
          <cell r="G1135" t="str">
            <v>LA</v>
          </cell>
          <cell r="H1135" t="str">
            <v>PATHOLOGY</v>
          </cell>
          <cell r="I1135" t="str">
            <v>04LA130</v>
          </cell>
          <cell r="J1135" t="str">
            <v>SEROLOGY</v>
          </cell>
          <cell r="K1135" t="str">
            <v>BMED</v>
          </cell>
          <cell r="L1135" t="str">
            <v>Normal</v>
          </cell>
          <cell r="M1135" t="str">
            <v>Japan</v>
          </cell>
          <cell r="N1135" t="str">
            <v>Olympus</v>
          </cell>
          <cell r="O1135" t="str">
            <v>Olympus CX31</v>
          </cell>
          <cell r="P1135" t="str">
            <v>2H10697</v>
          </cell>
          <cell r="Q1135" t="str">
            <v>Not Applicable</v>
          </cell>
          <cell r="R1135" t="str">
            <v>Olympus Corp Ltd</v>
          </cell>
          <cell r="S1135" t="str">
            <v>Matrix Optics (M) Sdn Bhd</v>
          </cell>
          <cell r="T1135" t="str">
            <v>Functioning</v>
          </cell>
          <cell r="U1135" t="str">
            <v>Asset</v>
          </cell>
          <cell r="V1135">
            <v>14740</v>
          </cell>
          <cell r="W1135" t="str">
            <v>KEW</v>
          </cell>
          <cell r="X1135" t="str">
            <v>01/09/2010</v>
          </cell>
          <cell r="Y1135" t="str">
            <v>KEW</v>
          </cell>
          <cell r="Z1135" t="str">
            <v>16/08/2013</v>
          </cell>
          <cell r="AA1135" t="str">
            <v>15/08/2015</v>
          </cell>
          <cell r="AB1135" t="str">
            <v>No</v>
          </cell>
          <cell r="AC1135" t="str">
            <v>31/08/2013</v>
          </cell>
          <cell r="AD1135" t="str">
            <v>Good</v>
          </cell>
          <cell r="AE1135" t="str">
            <v>V1 - Existing / No Claim</v>
          </cell>
          <cell r="AF1135">
            <v>42790</v>
          </cell>
          <cell r="AG1135">
            <v>9.17</v>
          </cell>
          <cell r="AH1135" t="str">
            <v>PPM</v>
          </cell>
          <cell r="AI1135" t="str">
            <v>Strands</v>
          </cell>
          <cell r="AJ1135" t="str">
            <v>Strands PW</v>
          </cell>
        </row>
        <row r="1136">
          <cell r="A1136" t="str">
            <v>IKN400727</v>
          </cell>
          <cell r="B1136">
            <v>727</v>
          </cell>
          <cell r="C1136" t="str">
            <v>Institut Kanser Negara</v>
          </cell>
          <cell r="D1136" t="str">
            <v>KKM/IKN/H/13/1884</v>
          </cell>
          <cell r="E1136" t="str">
            <v>15-156</v>
          </cell>
          <cell r="F1136" t="str">
            <v>Microscopes, Light, Laboratory</v>
          </cell>
          <cell r="G1136" t="str">
            <v>LA</v>
          </cell>
          <cell r="H1136" t="str">
            <v>PATHOLOGY</v>
          </cell>
          <cell r="I1136" t="str">
            <v>04LA126</v>
          </cell>
          <cell r="J1136" t="str">
            <v>MICROBIOLOGY UNIT</v>
          </cell>
          <cell r="K1136" t="str">
            <v>BMED</v>
          </cell>
          <cell r="L1136" t="str">
            <v>Normal</v>
          </cell>
          <cell r="M1136" t="str">
            <v>Japan</v>
          </cell>
          <cell r="N1136" t="str">
            <v>Olympus</v>
          </cell>
          <cell r="O1136" t="str">
            <v>Olympus CX31</v>
          </cell>
          <cell r="P1136" t="str">
            <v>2H11174</v>
          </cell>
          <cell r="Q1136" t="str">
            <v>Not Applicable</v>
          </cell>
          <cell r="R1136" t="str">
            <v>Olympus Corp Ltd</v>
          </cell>
          <cell r="S1136" t="str">
            <v>Matrix Optics (M) Sdn Bhd</v>
          </cell>
          <cell r="T1136" t="str">
            <v>Functioning</v>
          </cell>
          <cell r="U1136" t="str">
            <v>Asset</v>
          </cell>
          <cell r="V1136">
            <v>14740</v>
          </cell>
          <cell r="W1136" t="str">
            <v>KEW</v>
          </cell>
          <cell r="X1136" t="str">
            <v>01/09/2010</v>
          </cell>
          <cell r="Y1136" t="str">
            <v>KEW</v>
          </cell>
          <cell r="Z1136" t="str">
            <v>16/08/2013</v>
          </cell>
          <cell r="AA1136" t="str">
            <v>15/08/2015</v>
          </cell>
          <cell r="AB1136" t="str">
            <v>No</v>
          </cell>
          <cell r="AC1136" t="str">
            <v>31/08/2013</v>
          </cell>
          <cell r="AD1136" t="str">
            <v>Good</v>
          </cell>
          <cell r="AE1136" t="str">
            <v>V1 - Existing / No Claim</v>
          </cell>
          <cell r="AF1136">
            <v>42790</v>
          </cell>
          <cell r="AG1136">
            <v>9.17</v>
          </cell>
          <cell r="AH1136" t="str">
            <v>PPM</v>
          </cell>
          <cell r="AI1136" t="str">
            <v>Strands</v>
          </cell>
          <cell r="AJ1136" t="str">
            <v>Strands PW</v>
          </cell>
        </row>
        <row r="1137">
          <cell r="A1137" t="str">
            <v>IKN400732</v>
          </cell>
          <cell r="B1137">
            <v>732</v>
          </cell>
          <cell r="C1137" t="str">
            <v>Institut Kanser Negara</v>
          </cell>
          <cell r="D1137" t="str">
            <v>KKM/IKN/H/13/5283</v>
          </cell>
          <cell r="E1137" t="str">
            <v>15-164</v>
          </cell>
          <cell r="F1137" t="str">
            <v>pH Meters</v>
          </cell>
          <cell r="G1137" t="str">
            <v>LA</v>
          </cell>
          <cell r="H1137" t="str">
            <v>PATHOLOGY</v>
          </cell>
          <cell r="I1137" t="str">
            <v>04LA127</v>
          </cell>
          <cell r="J1137" t="str">
            <v>INNOCULATION/STAINING</v>
          </cell>
          <cell r="K1137" t="str">
            <v>BMED</v>
          </cell>
          <cell r="L1137" t="str">
            <v>Normal</v>
          </cell>
          <cell r="M1137" t="str">
            <v>USA</v>
          </cell>
          <cell r="N1137" t="str">
            <v>Fisher Scientific</v>
          </cell>
          <cell r="O1137" t="str">
            <v>Fisher Scientific AB150</v>
          </cell>
          <cell r="P1137" t="str">
            <v>AB92341945</v>
          </cell>
          <cell r="Q1137" t="str">
            <v>Not Applicable</v>
          </cell>
          <cell r="R1137" t="str">
            <v>Fisher Scientific Co</v>
          </cell>
          <cell r="S1137" t="str">
            <v>Advance Altimas Sdn Bhd</v>
          </cell>
          <cell r="T1137" t="str">
            <v>Functioning</v>
          </cell>
          <cell r="U1137" t="str">
            <v>Asset</v>
          </cell>
          <cell r="V1137">
            <v>8000</v>
          </cell>
          <cell r="W1137" t="str">
            <v>Estimate</v>
          </cell>
          <cell r="X1137" t="str">
            <v>01/09/2010</v>
          </cell>
          <cell r="Y1137" t="str">
            <v>KEW</v>
          </cell>
          <cell r="Z1137" t="str">
            <v>16/08/2013</v>
          </cell>
          <cell r="AA1137" t="str">
            <v>15/08/2015</v>
          </cell>
          <cell r="AB1137" t="str">
            <v>No</v>
          </cell>
          <cell r="AC1137" t="str">
            <v>31/08/2013</v>
          </cell>
          <cell r="AD1137" t="str">
            <v>Good</v>
          </cell>
          <cell r="AE1137" t="str">
            <v>V1 - Existing / No Claim</v>
          </cell>
          <cell r="AF1137">
            <v>42601</v>
          </cell>
          <cell r="AG1137">
            <v>9.17</v>
          </cell>
          <cell r="AH1137" t="str">
            <v>PPM</v>
          </cell>
          <cell r="AI1137" t="str">
            <v>Strands</v>
          </cell>
          <cell r="AJ1137" t="str">
            <v>Strands PW</v>
          </cell>
        </row>
        <row r="1138">
          <cell r="A1138" t="str">
            <v>IKN400733</v>
          </cell>
          <cell r="B1138">
            <v>733</v>
          </cell>
          <cell r="C1138" t="str">
            <v>Institut Kanser Negara</v>
          </cell>
          <cell r="D1138" t="str">
            <v>KKM/IKN/H/13/5253</v>
          </cell>
          <cell r="E1138" t="str">
            <v>16-287</v>
          </cell>
          <cell r="F1138" t="str">
            <v>Hot Plates</v>
          </cell>
          <cell r="G1138" t="str">
            <v>LA</v>
          </cell>
          <cell r="H1138" t="str">
            <v>PATHOLOGY</v>
          </cell>
          <cell r="I1138" t="str">
            <v>04LA127</v>
          </cell>
          <cell r="J1138" t="str">
            <v>INNOCULATION/STAINING</v>
          </cell>
          <cell r="K1138" t="str">
            <v>BMED</v>
          </cell>
          <cell r="L1138" t="str">
            <v>Normal</v>
          </cell>
          <cell r="M1138" t="str">
            <v>UK</v>
          </cell>
          <cell r="N1138" t="str">
            <v>Stuart</v>
          </cell>
          <cell r="O1138" t="str">
            <v>Stuart US150</v>
          </cell>
          <cell r="P1138" t="str">
            <v>R610000243</v>
          </cell>
          <cell r="Q1138" t="str">
            <v>Not Applicable</v>
          </cell>
          <cell r="R1138" t="str">
            <v>Stuart Scientific Co Ltd</v>
          </cell>
          <cell r="S1138" t="str">
            <v>Bumi Sains Sdn. Bhd.</v>
          </cell>
          <cell r="T1138" t="str">
            <v>Functioning</v>
          </cell>
          <cell r="U1138" t="str">
            <v>Asset</v>
          </cell>
          <cell r="V1138">
            <v>2170</v>
          </cell>
          <cell r="W1138" t="str">
            <v>KEW</v>
          </cell>
          <cell r="X1138" t="str">
            <v>01/09/2010</v>
          </cell>
          <cell r="Y1138" t="str">
            <v>KEW</v>
          </cell>
          <cell r="Z1138" t="str">
            <v>16/08/2013</v>
          </cell>
          <cell r="AA1138" t="str">
            <v>15/08/2015</v>
          </cell>
          <cell r="AB1138" t="str">
            <v>No</v>
          </cell>
          <cell r="AC1138" t="str">
            <v>31/08/2013</v>
          </cell>
          <cell r="AD1138" t="str">
            <v>Good</v>
          </cell>
          <cell r="AE1138" t="str">
            <v>V1 - Existing / No Claim</v>
          </cell>
          <cell r="AF1138">
            <v>42235</v>
          </cell>
          <cell r="AG1138">
            <v>9.17</v>
          </cell>
          <cell r="AH1138" t="str">
            <v>RI</v>
          </cell>
          <cell r="AI1138" t="str">
            <v>Strands</v>
          </cell>
          <cell r="AJ1138" t="str">
            <v>Strands PW</v>
          </cell>
          <cell r="AK1138" t="str">
            <v>IKNB04LA127</v>
          </cell>
        </row>
        <row r="1139">
          <cell r="A1139" t="str">
            <v>IKN400734</v>
          </cell>
          <cell r="B1139">
            <v>734</v>
          </cell>
          <cell r="C1139" t="str">
            <v>Institut Kanser Negara</v>
          </cell>
          <cell r="D1139" t="str">
            <v>KKM/IKN/I/13/2911</v>
          </cell>
          <cell r="E1139" t="str">
            <v>15-161</v>
          </cell>
          <cell r="F1139" t="str">
            <v>Mixers, Clinical Laboratory</v>
          </cell>
          <cell r="G1139" t="str">
            <v>LA</v>
          </cell>
          <cell r="H1139" t="str">
            <v>PATHOLOGY</v>
          </cell>
          <cell r="I1139" t="str">
            <v>04LA126</v>
          </cell>
          <cell r="J1139" t="str">
            <v>MICROBIOLOGY UNIT</v>
          </cell>
          <cell r="K1139" t="str">
            <v>BMED</v>
          </cell>
          <cell r="L1139" t="str">
            <v>Normal</v>
          </cell>
          <cell r="M1139" t="str">
            <v>UK</v>
          </cell>
          <cell r="N1139" t="str">
            <v>Stuart</v>
          </cell>
          <cell r="O1139" t="str">
            <v>Stuart SA8</v>
          </cell>
          <cell r="P1139" t="str">
            <v>R800004730</v>
          </cell>
          <cell r="Q1139" t="str">
            <v>Not Applicable</v>
          </cell>
          <cell r="R1139" t="str">
            <v>Stuart Scientific Co Ltd</v>
          </cell>
          <cell r="S1139" t="str">
            <v>Bumi Sains Sdn. Bhd.</v>
          </cell>
          <cell r="T1139" t="str">
            <v>Functioning</v>
          </cell>
          <cell r="U1139" t="str">
            <v>Asset</v>
          </cell>
          <cell r="V1139">
            <v>1200</v>
          </cell>
          <cell r="W1139" t="str">
            <v>KEW</v>
          </cell>
          <cell r="X1139" t="str">
            <v>01/09/2010</v>
          </cell>
          <cell r="Y1139" t="str">
            <v>KEW</v>
          </cell>
          <cell r="Z1139" t="str">
            <v>16/08/2013</v>
          </cell>
          <cell r="AA1139" t="str">
            <v>15/08/2015</v>
          </cell>
          <cell r="AB1139" t="str">
            <v>No</v>
          </cell>
          <cell r="AC1139" t="str">
            <v>31/08/2013</v>
          </cell>
          <cell r="AD1139" t="str">
            <v>Good</v>
          </cell>
          <cell r="AE1139" t="str">
            <v>V1 - Existing / No Claim</v>
          </cell>
          <cell r="AF1139">
            <v>42235</v>
          </cell>
          <cell r="AG1139">
            <v>9.17</v>
          </cell>
          <cell r="AH1139" t="str">
            <v>PPM</v>
          </cell>
          <cell r="AI1139" t="str">
            <v>Strands</v>
          </cell>
          <cell r="AJ1139" t="str">
            <v>Strands PW</v>
          </cell>
        </row>
        <row r="1140">
          <cell r="A1140" t="str">
            <v>IKN400735</v>
          </cell>
          <cell r="B1140" t="str">
            <v>Institut Kanser Negara</v>
          </cell>
          <cell r="C1140" t="str">
            <v>Institut Kanser Negara</v>
          </cell>
          <cell r="D1140" t="str">
            <v>KKM/IKN/H/13/5252</v>
          </cell>
          <cell r="E1140" t="str">
            <v>16-287</v>
          </cell>
          <cell r="F1140" t="str">
            <v>Hot Plates</v>
          </cell>
          <cell r="G1140" t="str">
            <v>LA</v>
          </cell>
          <cell r="H1140" t="str">
            <v>PATHOLOGY</v>
          </cell>
          <cell r="I1140" t="str">
            <v>04LA127</v>
          </cell>
          <cell r="J1140" t="str">
            <v>INNOCULATION/STAINING</v>
          </cell>
          <cell r="K1140" t="str">
            <v>BMED</v>
          </cell>
          <cell r="L1140" t="str">
            <v>Normal</v>
          </cell>
          <cell r="M1140" t="str">
            <v>UK</v>
          </cell>
          <cell r="N1140" t="str">
            <v>Stuart</v>
          </cell>
          <cell r="O1140" t="str">
            <v>Stuart US150</v>
          </cell>
          <cell r="P1140" t="str">
            <v>R610000238</v>
          </cell>
          <cell r="Q1140" t="str">
            <v>Bumi Sains Sdn. Bhd.</v>
          </cell>
          <cell r="R1140" t="str">
            <v>Stuart Scientific Co Ltd</v>
          </cell>
          <cell r="S1140" t="str">
            <v>Bumi Sains Sdn. Bhd.</v>
          </cell>
          <cell r="T1140" t="str">
            <v>Functioning</v>
          </cell>
          <cell r="U1140" t="str">
            <v>01/09/2010</v>
          </cell>
          <cell r="V1140">
            <v>2170</v>
          </cell>
          <cell r="W1140" t="str">
            <v>KEW</v>
          </cell>
          <cell r="X1140" t="str">
            <v>01/09/2010</v>
          </cell>
          <cell r="Y1140" t="str">
            <v>KEW</v>
          </cell>
          <cell r="Z1140" t="str">
            <v>31/08/2013</v>
          </cell>
          <cell r="AA1140" t="str">
            <v>15/08/2015</v>
          </cell>
          <cell r="AB1140" t="str">
            <v>No</v>
          </cell>
          <cell r="AC1140" t="str">
            <v>31/08/2013</v>
          </cell>
          <cell r="AD1140" t="str">
            <v>Good</v>
          </cell>
          <cell r="AE1140" t="str">
            <v>V1 - Existing / No Claim</v>
          </cell>
          <cell r="AF1140">
            <v>42235</v>
          </cell>
          <cell r="AG1140">
            <v>9.17</v>
          </cell>
          <cell r="AH1140" t="str">
            <v>RI</v>
          </cell>
          <cell r="AI1140" t="str">
            <v>Strands</v>
          </cell>
          <cell r="AJ1140" t="str">
            <v>Strands PW</v>
          </cell>
          <cell r="AK1140" t="str">
            <v>IKNB04LA127</v>
          </cell>
        </row>
        <row r="1141">
          <cell r="A1141" t="str">
            <v>IKN400736</v>
          </cell>
          <cell r="B1141">
            <v>736</v>
          </cell>
          <cell r="C1141" t="str">
            <v>Institut Kanser Negara</v>
          </cell>
          <cell r="D1141" t="str">
            <v>KKM/IKN/H/13/4681</v>
          </cell>
          <cell r="E1141" t="str">
            <v>18-013</v>
          </cell>
          <cell r="F1141" t="str">
            <v>Incubators, Laboratory, Thermocycling</v>
          </cell>
          <cell r="G1141" t="str">
            <v>LA</v>
          </cell>
          <cell r="H1141" t="str">
            <v>PATHOLOGY</v>
          </cell>
          <cell r="I1141" t="str">
            <v>04LA126</v>
          </cell>
          <cell r="J1141" t="str">
            <v>MICROBIOLOGY UNIT</v>
          </cell>
          <cell r="K1141" t="str">
            <v>BMED</v>
          </cell>
          <cell r="L1141" t="str">
            <v>Normal</v>
          </cell>
          <cell r="M1141" t="str">
            <v>Germany</v>
          </cell>
          <cell r="N1141" t="str">
            <v>Binder</v>
          </cell>
          <cell r="O1141" t="str">
            <v>Binder BD 115</v>
          </cell>
          <cell r="P1141" t="str">
            <v>1308717</v>
          </cell>
          <cell r="Q1141" t="str">
            <v>Not Applicable</v>
          </cell>
          <cell r="R1141" t="str">
            <v>Binder GmbH &amp; Co</v>
          </cell>
          <cell r="S1141" t="str">
            <v>Bumi Sains Sdn. Bhd.</v>
          </cell>
          <cell r="T1141" t="str">
            <v>Functioning</v>
          </cell>
          <cell r="U1141" t="str">
            <v>Asset</v>
          </cell>
          <cell r="V1141">
            <v>16240</v>
          </cell>
          <cell r="W1141" t="str">
            <v>KEW</v>
          </cell>
          <cell r="X1141" t="str">
            <v>01/09/2010</v>
          </cell>
          <cell r="Y1141" t="str">
            <v>KEW</v>
          </cell>
          <cell r="Z1141" t="str">
            <v>16/08/2013</v>
          </cell>
          <cell r="AA1141" t="str">
            <v>15/08/2015</v>
          </cell>
          <cell r="AB1141" t="str">
            <v>No</v>
          </cell>
          <cell r="AC1141" t="str">
            <v>31/08/2013</v>
          </cell>
          <cell r="AD1141" t="str">
            <v>Good</v>
          </cell>
          <cell r="AE1141" t="str">
            <v>V1 - Existing / No Claim</v>
          </cell>
          <cell r="AF1141">
            <v>42235</v>
          </cell>
          <cell r="AG1141">
            <v>9.17</v>
          </cell>
          <cell r="AH1141" t="str">
            <v>PPM</v>
          </cell>
          <cell r="AI1141" t="str">
            <v>Strands</v>
          </cell>
          <cell r="AJ1141" t="str">
            <v>Strands PW</v>
          </cell>
        </row>
        <row r="1142">
          <cell r="A1142" t="str">
            <v>IKN400737</v>
          </cell>
          <cell r="B1142">
            <v>737</v>
          </cell>
          <cell r="C1142" t="str">
            <v>Institut Kanser Negara</v>
          </cell>
          <cell r="D1142" t="str">
            <v>KKM/IKN/H/13/4682</v>
          </cell>
          <cell r="E1142" t="str">
            <v>18-013</v>
          </cell>
          <cell r="F1142" t="str">
            <v>Incubators, Laboratory, Thermocycling</v>
          </cell>
          <cell r="G1142" t="str">
            <v>LA</v>
          </cell>
          <cell r="H1142" t="str">
            <v>PATHOLOGY</v>
          </cell>
          <cell r="I1142" t="str">
            <v>04LA126</v>
          </cell>
          <cell r="J1142" t="str">
            <v>MICROBIOLOGY UNIT</v>
          </cell>
          <cell r="K1142" t="str">
            <v>BMED</v>
          </cell>
          <cell r="L1142" t="str">
            <v>Normal</v>
          </cell>
          <cell r="M1142" t="str">
            <v>Germany</v>
          </cell>
          <cell r="N1142" t="str">
            <v>Binder</v>
          </cell>
          <cell r="O1142" t="str">
            <v>Binder BD 115</v>
          </cell>
          <cell r="P1142" t="str">
            <v>1308710</v>
          </cell>
          <cell r="Q1142" t="str">
            <v>Not Applicable</v>
          </cell>
          <cell r="R1142" t="str">
            <v>Binder GmbH &amp; Co</v>
          </cell>
          <cell r="S1142" t="str">
            <v>Bumi Sains Sdn. Bhd.</v>
          </cell>
          <cell r="T1142" t="str">
            <v>Functioning</v>
          </cell>
          <cell r="U1142" t="str">
            <v>Asset</v>
          </cell>
          <cell r="V1142">
            <v>16240</v>
          </cell>
          <cell r="W1142" t="str">
            <v>KEW</v>
          </cell>
          <cell r="X1142" t="str">
            <v>01/09/2010</v>
          </cell>
          <cell r="Y1142" t="str">
            <v>KEW</v>
          </cell>
          <cell r="Z1142" t="str">
            <v>16/08/2013</v>
          </cell>
          <cell r="AA1142" t="str">
            <v>15/08/2015</v>
          </cell>
          <cell r="AB1142" t="str">
            <v>No</v>
          </cell>
          <cell r="AC1142" t="str">
            <v>31/08/2013</v>
          </cell>
          <cell r="AD1142" t="str">
            <v>Good</v>
          </cell>
          <cell r="AE1142" t="str">
            <v>V1 - Existing / No Claim</v>
          </cell>
          <cell r="AF1142">
            <v>42235</v>
          </cell>
          <cell r="AG1142">
            <v>9.17</v>
          </cell>
          <cell r="AH1142" t="str">
            <v>PPM</v>
          </cell>
          <cell r="AI1142" t="str">
            <v>Strands</v>
          </cell>
          <cell r="AJ1142" t="str">
            <v>Strands PW</v>
          </cell>
        </row>
        <row r="1143">
          <cell r="A1143" t="str">
            <v>IKN400739</v>
          </cell>
          <cell r="B1143">
            <v>739</v>
          </cell>
          <cell r="C1143" t="str">
            <v>Institut Kanser Negara</v>
          </cell>
          <cell r="D1143" t="str">
            <v>KKM/IKN/H/13/1856</v>
          </cell>
          <cell r="E1143" t="str">
            <v>10-780</v>
          </cell>
          <cell r="F1143" t="str">
            <v>Centrifuges, Tabletop</v>
          </cell>
          <cell r="G1143" t="str">
            <v>LA</v>
          </cell>
          <cell r="H1143" t="str">
            <v>PATHOLOGY</v>
          </cell>
          <cell r="I1143" t="str">
            <v>04LA127</v>
          </cell>
          <cell r="J1143" t="str">
            <v>INNOCULATION/STAINING</v>
          </cell>
          <cell r="K1143" t="str">
            <v>BMED</v>
          </cell>
          <cell r="L1143" t="str">
            <v>Normal</v>
          </cell>
          <cell r="M1143" t="str">
            <v>Germany</v>
          </cell>
          <cell r="N1143" t="str">
            <v>Rotofix</v>
          </cell>
          <cell r="O1143" t="str">
            <v>Rotofix 32A</v>
          </cell>
          <cell r="P1143" t="str">
            <v>18604</v>
          </cell>
          <cell r="Q1143" t="str">
            <v>Not Applicable</v>
          </cell>
          <cell r="R1143" t="str">
            <v>Hettich-Zentrifugen GmbH</v>
          </cell>
          <cell r="S1143" t="str">
            <v>Biomarketing Services (M) Sdn Bhd</v>
          </cell>
          <cell r="T1143" t="str">
            <v>Functioning</v>
          </cell>
          <cell r="U1143" t="str">
            <v>Asset</v>
          </cell>
          <cell r="V1143">
            <v>24060</v>
          </cell>
          <cell r="W1143" t="str">
            <v>KEW</v>
          </cell>
          <cell r="X1143" t="str">
            <v>01/09/2010</v>
          </cell>
          <cell r="Y1143" t="str">
            <v>KEW</v>
          </cell>
          <cell r="Z1143" t="str">
            <v>16/08/2013</v>
          </cell>
          <cell r="AA1143" t="str">
            <v>15/08/2015</v>
          </cell>
          <cell r="AB1143" t="str">
            <v>No</v>
          </cell>
          <cell r="AC1143" t="str">
            <v>31/08/2013</v>
          </cell>
          <cell r="AD1143" t="str">
            <v>Good</v>
          </cell>
          <cell r="AE1143" t="str">
            <v>V1 - Existing / No Claim</v>
          </cell>
          <cell r="AF1143">
            <v>42790</v>
          </cell>
          <cell r="AG1143">
            <v>9.17</v>
          </cell>
          <cell r="AH1143" t="str">
            <v>PPM</v>
          </cell>
          <cell r="AI1143" t="str">
            <v>Strands</v>
          </cell>
          <cell r="AJ1143" t="str">
            <v>Strands PW</v>
          </cell>
        </row>
        <row r="1144">
          <cell r="A1144" t="str">
            <v>IKN400741</v>
          </cell>
          <cell r="B1144">
            <v>741</v>
          </cell>
          <cell r="C1144" t="str">
            <v>Institut Kanser Negara</v>
          </cell>
          <cell r="D1144" t="str">
            <v>KKM/IKN/H/13/2125</v>
          </cell>
          <cell r="E1144" t="str">
            <v>15-973</v>
          </cell>
          <cell r="F1144" t="str">
            <v>Analyzers, Laboratory, Microbiology, Blood Culture, Automate</v>
          </cell>
          <cell r="G1144" t="str">
            <v>LA</v>
          </cell>
          <cell r="H1144" t="str">
            <v>PATHOLOGY</v>
          </cell>
          <cell r="I1144" t="str">
            <v>04LA126</v>
          </cell>
          <cell r="J1144" t="str">
            <v>MICROBIOLOGY UNIT</v>
          </cell>
          <cell r="K1144" t="str">
            <v>BMED</v>
          </cell>
          <cell r="L1144" t="str">
            <v>Normal</v>
          </cell>
          <cell r="M1144" t="str">
            <v>USA</v>
          </cell>
          <cell r="N1144" t="str">
            <v>Bactec</v>
          </cell>
          <cell r="O1144" t="str">
            <v>Bactec FX</v>
          </cell>
          <cell r="P1144" t="str">
            <v>FT2159</v>
          </cell>
          <cell r="Q1144" t="str">
            <v>Not Applicable</v>
          </cell>
          <cell r="R1144" t="str">
            <v>Becton Dickinson &amp; Co</v>
          </cell>
          <cell r="S1144" t="str">
            <v>Biomarketing Services (M) Sdn Bhd</v>
          </cell>
          <cell r="T1144" t="str">
            <v>Functioning</v>
          </cell>
          <cell r="U1144" t="str">
            <v>Asset</v>
          </cell>
          <cell r="V1144">
            <v>342820</v>
          </cell>
          <cell r="W1144" t="str">
            <v>KEW</v>
          </cell>
          <cell r="X1144" t="str">
            <v>01/09/2010</v>
          </cell>
          <cell r="Y1144" t="str">
            <v>KEW</v>
          </cell>
          <cell r="Z1144" t="str">
            <v>16/08/2013</v>
          </cell>
          <cell r="AA1144" t="str">
            <v>15/08/2015</v>
          </cell>
          <cell r="AB1144" t="str">
            <v>No</v>
          </cell>
          <cell r="AC1144" t="str">
            <v>31/08/2013</v>
          </cell>
          <cell r="AD1144" t="str">
            <v>Good</v>
          </cell>
          <cell r="AE1144" t="str">
            <v>V1 - Existing / No Claim</v>
          </cell>
          <cell r="AF1144">
            <v>42790</v>
          </cell>
          <cell r="AG1144">
            <v>9.17</v>
          </cell>
          <cell r="AH1144" t="str">
            <v>PPM</v>
          </cell>
          <cell r="AI1144" t="str">
            <v>Strands</v>
          </cell>
          <cell r="AJ1144" t="str">
            <v>Strands Package</v>
          </cell>
          <cell r="AK1144" t="str">
            <v>Package Code LR0015</v>
          </cell>
        </row>
        <row r="1145">
          <cell r="A1145" t="str">
            <v>IKN400742</v>
          </cell>
          <cell r="B1145">
            <v>742</v>
          </cell>
          <cell r="C1145" t="str">
            <v>Institut Kanser Negara</v>
          </cell>
          <cell r="D1145" t="str">
            <v>KKM/IKN/H/13/1880</v>
          </cell>
          <cell r="E1145" t="str">
            <v>14-410</v>
          </cell>
          <cell r="F1145" t="str">
            <v>Ovens, Drying</v>
          </cell>
          <cell r="G1145" t="str">
            <v>LA</v>
          </cell>
          <cell r="H1145" t="str">
            <v>PATHOLOGY</v>
          </cell>
          <cell r="I1145" t="str">
            <v>04LA132</v>
          </cell>
          <cell r="J1145" t="str">
            <v>HAEMATOLOGY LAB 2</v>
          </cell>
          <cell r="K1145" t="str">
            <v>BMED</v>
          </cell>
          <cell r="L1145" t="str">
            <v>Normal</v>
          </cell>
          <cell r="M1145" t="str">
            <v>Germany</v>
          </cell>
          <cell r="N1145" t="str">
            <v>Heratherm</v>
          </cell>
          <cell r="O1145" t="str">
            <v>Heratherm OGS 100</v>
          </cell>
          <cell r="P1145" t="str">
            <v>41419440</v>
          </cell>
          <cell r="Q1145" t="str">
            <v>Not Applicable</v>
          </cell>
          <cell r="R1145" t="str">
            <v>Thermo Scientific Inc</v>
          </cell>
          <cell r="S1145" t="str">
            <v>Bumi Sains Sdn. Bhd.</v>
          </cell>
          <cell r="T1145" t="str">
            <v>Functioning</v>
          </cell>
          <cell r="U1145" t="str">
            <v>Asset</v>
          </cell>
          <cell r="V1145">
            <v>6620</v>
          </cell>
          <cell r="W1145" t="str">
            <v>KEW</v>
          </cell>
          <cell r="X1145" t="str">
            <v>01/09/2010</v>
          </cell>
          <cell r="Y1145" t="str">
            <v>KEW</v>
          </cell>
          <cell r="Z1145" t="str">
            <v>16/08/2013</v>
          </cell>
          <cell r="AA1145" t="str">
            <v>15/08/2015</v>
          </cell>
          <cell r="AB1145" t="str">
            <v>No</v>
          </cell>
          <cell r="AC1145" t="str">
            <v>31/08/2013</v>
          </cell>
          <cell r="AD1145" t="str">
            <v>Good</v>
          </cell>
          <cell r="AE1145" t="str">
            <v>V1 - Existing / No Claim</v>
          </cell>
          <cell r="AF1145">
            <v>42235</v>
          </cell>
          <cell r="AG1145">
            <v>9.17</v>
          </cell>
          <cell r="AH1145" t="str">
            <v>PPM</v>
          </cell>
          <cell r="AI1145" t="str">
            <v>Strands</v>
          </cell>
          <cell r="AJ1145" t="str">
            <v>Strands PW</v>
          </cell>
        </row>
        <row r="1146">
          <cell r="A1146" t="str">
            <v>IKN400743</v>
          </cell>
          <cell r="B1146">
            <v>743</v>
          </cell>
          <cell r="C1146" t="str">
            <v>Institut Kanser Negara</v>
          </cell>
          <cell r="D1146" t="str">
            <v>KKM/IKN/H/13/1882</v>
          </cell>
          <cell r="E1146" t="str">
            <v>16-855</v>
          </cell>
          <cell r="F1146" t="str">
            <v>Carbon Dioxide Monitors, Laboratory Incubator</v>
          </cell>
          <cell r="G1146" t="str">
            <v>LA</v>
          </cell>
          <cell r="H1146" t="str">
            <v>PATHOLOGY</v>
          </cell>
          <cell r="I1146" t="str">
            <v>04LA126</v>
          </cell>
          <cell r="J1146" t="str">
            <v>MICROBIOLOGY UNIT</v>
          </cell>
          <cell r="K1146" t="str">
            <v>BMED</v>
          </cell>
          <cell r="L1146" t="str">
            <v>Normal</v>
          </cell>
          <cell r="M1146" t="str">
            <v>Germany</v>
          </cell>
          <cell r="N1146" t="str">
            <v>Heracell</v>
          </cell>
          <cell r="O1146" t="str">
            <v>Heracell 150i</v>
          </cell>
          <cell r="P1146" t="str">
            <v>41423244</v>
          </cell>
          <cell r="Q1146" t="str">
            <v>Not Applicable</v>
          </cell>
          <cell r="R1146" t="str">
            <v>Thermo electron LED GmbH</v>
          </cell>
          <cell r="S1146" t="str">
            <v>Bumi Sains Sdn. Bhd.</v>
          </cell>
          <cell r="T1146" t="str">
            <v>Functioning</v>
          </cell>
          <cell r="U1146" t="str">
            <v>Asset</v>
          </cell>
          <cell r="V1146">
            <v>56180</v>
          </cell>
          <cell r="W1146" t="str">
            <v>KEW</v>
          </cell>
          <cell r="X1146" t="str">
            <v>01/09/2010</v>
          </cell>
          <cell r="Y1146" t="str">
            <v>KEW</v>
          </cell>
          <cell r="Z1146" t="str">
            <v>16/08/2013</v>
          </cell>
          <cell r="AA1146" t="str">
            <v>15/08/2015</v>
          </cell>
          <cell r="AB1146" t="str">
            <v>No</v>
          </cell>
          <cell r="AC1146" t="str">
            <v>31/08/2013</v>
          </cell>
          <cell r="AD1146" t="str">
            <v>Good</v>
          </cell>
          <cell r="AE1146" t="str">
            <v>V1 - Existing / No Claim</v>
          </cell>
          <cell r="AF1146">
            <v>42790</v>
          </cell>
          <cell r="AG1146">
            <v>9.17</v>
          </cell>
          <cell r="AH1146" t="str">
            <v>PPM</v>
          </cell>
          <cell r="AI1146" t="str">
            <v>Strands</v>
          </cell>
          <cell r="AJ1146" t="str">
            <v>Strands PW</v>
          </cell>
        </row>
        <row r="1147">
          <cell r="A1147" t="str">
            <v>IKN400744</v>
          </cell>
          <cell r="B1147">
            <v>744</v>
          </cell>
          <cell r="C1147" t="str">
            <v>Institut Kanser Negara</v>
          </cell>
          <cell r="D1147" t="str">
            <v>KKM/IKN/H/13/1883</v>
          </cell>
          <cell r="E1147" t="str">
            <v>15-156</v>
          </cell>
          <cell r="F1147" t="str">
            <v>Microscopes, Light, Laboratory</v>
          </cell>
          <cell r="G1147" t="str">
            <v>LA</v>
          </cell>
          <cell r="H1147" t="str">
            <v>PATHOLOGY</v>
          </cell>
          <cell r="I1147" t="str">
            <v>04LA126</v>
          </cell>
          <cell r="J1147" t="str">
            <v>MICROBIOLOGY UNIT</v>
          </cell>
          <cell r="K1147" t="str">
            <v>BMED</v>
          </cell>
          <cell r="L1147" t="str">
            <v>Normal</v>
          </cell>
          <cell r="M1147" t="str">
            <v>Japan</v>
          </cell>
          <cell r="N1147" t="str">
            <v>Olympus</v>
          </cell>
          <cell r="O1147" t="str">
            <v>Olympus CX31</v>
          </cell>
          <cell r="P1147" t="str">
            <v>2H08971</v>
          </cell>
          <cell r="Q1147" t="str">
            <v>Not Applicable</v>
          </cell>
          <cell r="R1147" t="str">
            <v>Olympus Corp Ltd</v>
          </cell>
          <cell r="S1147" t="str">
            <v>Matrix Optics (M) Sdn Bhd</v>
          </cell>
          <cell r="T1147" t="str">
            <v>Functioning</v>
          </cell>
          <cell r="U1147" t="str">
            <v>Asset</v>
          </cell>
          <cell r="V1147">
            <v>14740</v>
          </cell>
          <cell r="W1147" t="str">
            <v>KEW</v>
          </cell>
          <cell r="X1147" t="str">
            <v>01/09/2010</v>
          </cell>
          <cell r="Y1147" t="str">
            <v>KEW</v>
          </cell>
          <cell r="Z1147" t="str">
            <v>16/08/2013</v>
          </cell>
          <cell r="AA1147" t="str">
            <v>15/08/2015</v>
          </cell>
          <cell r="AB1147" t="str">
            <v>No</v>
          </cell>
          <cell r="AC1147" t="str">
            <v>31/08/2013</v>
          </cell>
          <cell r="AD1147" t="str">
            <v>Good</v>
          </cell>
          <cell r="AE1147" t="str">
            <v>V1 - Existing / No Claim</v>
          </cell>
          <cell r="AF1147">
            <v>42235</v>
          </cell>
          <cell r="AG1147">
            <v>9.17</v>
          </cell>
          <cell r="AH1147" t="str">
            <v>PPM</v>
          </cell>
          <cell r="AI1147" t="str">
            <v>Strands</v>
          </cell>
          <cell r="AJ1147" t="str">
            <v>Strands PW</v>
          </cell>
        </row>
        <row r="1148">
          <cell r="A1148" t="str">
            <v>IKN400745</v>
          </cell>
          <cell r="B1148">
            <v>745</v>
          </cell>
          <cell r="C1148" t="str">
            <v>Institut Kanser Negara</v>
          </cell>
          <cell r="D1148" t="str">
            <v>KKM/IKN/H/13/2148</v>
          </cell>
          <cell r="E1148" t="str">
            <v>15-161</v>
          </cell>
          <cell r="F1148" t="str">
            <v>Mixers, Clinical Laboratory</v>
          </cell>
          <cell r="G1148" t="str">
            <v>LA</v>
          </cell>
          <cell r="H1148" t="str">
            <v>PATHOLOGY</v>
          </cell>
          <cell r="I1148" t="str">
            <v>04LA132</v>
          </cell>
          <cell r="J1148" t="str">
            <v>HAEMATOLOGY LAB 2</v>
          </cell>
          <cell r="K1148" t="str">
            <v>BMED</v>
          </cell>
          <cell r="L1148" t="str">
            <v>Normal</v>
          </cell>
          <cell r="M1148" t="str">
            <v>UK</v>
          </cell>
          <cell r="N1148" t="str">
            <v>Stuart</v>
          </cell>
          <cell r="O1148" t="str">
            <v>Stuart SRT 6D</v>
          </cell>
          <cell r="P1148" t="str">
            <v>RO00101627</v>
          </cell>
          <cell r="Q1148" t="str">
            <v>Not Applicable</v>
          </cell>
          <cell r="R1148" t="str">
            <v>Stuart Scientific Co Ltd</v>
          </cell>
          <cell r="S1148" t="str">
            <v>Bumi Sains Sdn. Bhd.</v>
          </cell>
          <cell r="T1148" t="str">
            <v>Functioning</v>
          </cell>
          <cell r="U1148" t="str">
            <v>Asset</v>
          </cell>
          <cell r="V1148">
            <v>4570</v>
          </cell>
          <cell r="W1148" t="str">
            <v>KEW</v>
          </cell>
          <cell r="X1148" t="str">
            <v>01/09/2010</v>
          </cell>
          <cell r="Y1148" t="str">
            <v>KEW</v>
          </cell>
          <cell r="Z1148" t="str">
            <v>16/08/2013</v>
          </cell>
          <cell r="AA1148" t="str">
            <v>15/08/2015</v>
          </cell>
          <cell r="AB1148" t="str">
            <v>No</v>
          </cell>
          <cell r="AC1148" t="str">
            <v>31/08/2013</v>
          </cell>
          <cell r="AD1148" t="str">
            <v>Good</v>
          </cell>
          <cell r="AE1148" t="str">
            <v>V1 - Existing / No Claim</v>
          </cell>
          <cell r="AF1148">
            <v>42790</v>
          </cell>
          <cell r="AG1148">
            <v>9.17</v>
          </cell>
          <cell r="AH1148" t="str">
            <v>PPM</v>
          </cell>
          <cell r="AI1148" t="str">
            <v>Strands</v>
          </cell>
          <cell r="AJ1148" t="str">
            <v>Strands PW</v>
          </cell>
        </row>
        <row r="1149">
          <cell r="A1149" t="str">
            <v>IKN400746</v>
          </cell>
          <cell r="B1149">
            <v>746</v>
          </cell>
          <cell r="C1149" t="str">
            <v>Institut Kanser Negara</v>
          </cell>
          <cell r="D1149" t="str">
            <v>KKM/IKN/H/13/4677</v>
          </cell>
          <cell r="E1149" t="str">
            <v>17-741</v>
          </cell>
          <cell r="F1149" t="str">
            <v>Analyzers, Laboratory, Hematology, Cell Counting, Automated</v>
          </cell>
          <cell r="G1149" t="str">
            <v>LA</v>
          </cell>
          <cell r="H1149" t="str">
            <v>PATHOLOGY</v>
          </cell>
          <cell r="I1149" t="str">
            <v>04LA131</v>
          </cell>
          <cell r="J1149" t="str">
            <v>HAEMATOLOGY LAB 1</v>
          </cell>
          <cell r="K1149" t="str">
            <v>BMED</v>
          </cell>
          <cell r="L1149" t="str">
            <v>Normal</v>
          </cell>
          <cell r="M1149" t="str">
            <v>USA</v>
          </cell>
          <cell r="N1149" t="str">
            <v>Beckman</v>
          </cell>
          <cell r="O1149" t="str">
            <v>Beckman DXH800</v>
          </cell>
          <cell r="P1149" t="str">
            <v>AT23285</v>
          </cell>
          <cell r="Q1149" t="str">
            <v>Not Applicable</v>
          </cell>
          <cell r="R1149" t="str">
            <v>Beckman Coulter Inc</v>
          </cell>
          <cell r="S1149" t="str">
            <v>Straits Scientific (M) Sdn Bhd</v>
          </cell>
          <cell r="T1149" t="str">
            <v>Functioning</v>
          </cell>
          <cell r="U1149" t="str">
            <v>Asset</v>
          </cell>
          <cell r="V1149">
            <v>416200</v>
          </cell>
          <cell r="W1149" t="str">
            <v>KEW</v>
          </cell>
          <cell r="X1149" t="str">
            <v>01/09/2010</v>
          </cell>
          <cell r="Y1149" t="str">
            <v>KEW</v>
          </cell>
          <cell r="Z1149" t="str">
            <v>16/08/2013</v>
          </cell>
          <cell r="AA1149" t="str">
            <v>15/08/2015</v>
          </cell>
          <cell r="AB1149" t="str">
            <v>No</v>
          </cell>
          <cell r="AC1149" t="str">
            <v>31/08/2013</v>
          </cell>
          <cell r="AD1149" t="str">
            <v>Good</v>
          </cell>
          <cell r="AE1149" t="str">
            <v>V1 - Existing / No Claim</v>
          </cell>
          <cell r="AF1149">
            <v>42235</v>
          </cell>
          <cell r="AG1149">
            <v>9.17</v>
          </cell>
          <cell r="AH1149" t="str">
            <v>PPM</v>
          </cell>
          <cell r="AI1149" t="str">
            <v>Strands</v>
          </cell>
          <cell r="AJ1149" t="str">
            <v>Strands Package</v>
          </cell>
          <cell r="AK1149" t="str">
            <v>Package Code LH0007</v>
          </cell>
        </row>
        <row r="1150">
          <cell r="A1150" t="str">
            <v>IKN400747</v>
          </cell>
          <cell r="B1150">
            <v>747</v>
          </cell>
          <cell r="C1150" t="str">
            <v>Institut Kanser Negara</v>
          </cell>
          <cell r="D1150" t="str">
            <v>KKM/IKN/H/13/4684</v>
          </cell>
          <cell r="E1150" t="str">
            <v>15-161</v>
          </cell>
          <cell r="F1150" t="str">
            <v>Mixers, Clinical Laboratory</v>
          </cell>
          <cell r="G1150" t="str">
            <v>LA</v>
          </cell>
          <cell r="H1150" t="str">
            <v>PATHOLOGY</v>
          </cell>
          <cell r="I1150" t="str">
            <v>04LA132</v>
          </cell>
          <cell r="J1150" t="str">
            <v>HAEMATOLOGY LAB 2</v>
          </cell>
          <cell r="K1150" t="str">
            <v>BMED</v>
          </cell>
          <cell r="L1150" t="str">
            <v>Normal</v>
          </cell>
          <cell r="M1150" t="str">
            <v>UK</v>
          </cell>
          <cell r="N1150" t="str">
            <v>Stuart</v>
          </cell>
          <cell r="O1150" t="str">
            <v>Stuart SRT 6D</v>
          </cell>
          <cell r="P1150" t="str">
            <v>R87000006</v>
          </cell>
          <cell r="Q1150" t="str">
            <v>Not Applicable</v>
          </cell>
          <cell r="R1150" t="str">
            <v>Stuart Scientific Co Ltd</v>
          </cell>
          <cell r="S1150" t="str">
            <v>Bumi Sains Sdn. Bhd.</v>
          </cell>
          <cell r="T1150" t="str">
            <v>Functioning</v>
          </cell>
          <cell r="U1150" t="str">
            <v>Asset</v>
          </cell>
          <cell r="V1150">
            <v>4570</v>
          </cell>
          <cell r="W1150" t="str">
            <v>KEW</v>
          </cell>
          <cell r="X1150" t="str">
            <v>01/09/2010</v>
          </cell>
          <cell r="Y1150" t="str">
            <v>KEW</v>
          </cell>
          <cell r="Z1150" t="str">
            <v>16/08/2013</v>
          </cell>
          <cell r="AA1150" t="str">
            <v>15/08/2015</v>
          </cell>
          <cell r="AB1150" t="str">
            <v>No</v>
          </cell>
          <cell r="AC1150" t="str">
            <v>31/08/2013</v>
          </cell>
          <cell r="AD1150" t="str">
            <v>Good</v>
          </cell>
          <cell r="AE1150" t="str">
            <v>V1 - Existing / No Claim</v>
          </cell>
          <cell r="AF1150">
            <v>42235</v>
          </cell>
          <cell r="AG1150">
            <v>9.17</v>
          </cell>
          <cell r="AH1150" t="str">
            <v>PPM</v>
          </cell>
          <cell r="AI1150" t="str">
            <v>Strands</v>
          </cell>
          <cell r="AJ1150" t="str">
            <v>Strands PW</v>
          </cell>
        </row>
        <row r="1151">
          <cell r="A1151" t="str">
            <v>IKN400748</v>
          </cell>
          <cell r="B1151">
            <v>748</v>
          </cell>
          <cell r="C1151" t="str">
            <v>Institut Kanser Negara</v>
          </cell>
          <cell r="D1151" t="str">
            <v>KKM/IKN/H/13/1866</v>
          </cell>
          <cell r="E1151" t="str">
            <v>10-263</v>
          </cell>
          <cell r="F1151" t="str">
            <v>Balances, Electronic</v>
          </cell>
          <cell r="G1151" t="str">
            <v>LA</v>
          </cell>
          <cell r="H1151" t="str">
            <v>PATHOLOGY</v>
          </cell>
          <cell r="I1151" t="str">
            <v>04LA134</v>
          </cell>
          <cell r="J1151" t="str">
            <v>CHEMICAL PATHOLOGY 2</v>
          </cell>
          <cell r="K1151" t="str">
            <v>BMED</v>
          </cell>
          <cell r="L1151" t="str">
            <v>Normal</v>
          </cell>
          <cell r="M1151" t="str">
            <v>Germany</v>
          </cell>
          <cell r="N1151" t="str">
            <v>Sartorius</v>
          </cell>
          <cell r="O1151" t="str">
            <v>Sartorius TE412</v>
          </cell>
          <cell r="P1151" t="str">
            <v>28103585</v>
          </cell>
          <cell r="Q1151" t="str">
            <v>Not Applicable</v>
          </cell>
          <cell r="R1151" t="str">
            <v>Sartorius AG</v>
          </cell>
          <cell r="S1151" t="str">
            <v>Chemopharm Sd. Bhd.</v>
          </cell>
          <cell r="T1151" t="str">
            <v>Functioning</v>
          </cell>
          <cell r="U1151" t="str">
            <v>Asset</v>
          </cell>
          <cell r="V1151">
            <v>5490</v>
          </cell>
          <cell r="W1151" t="str">
            <v>KEW</v>
          </cell>
          <cell r="X1151" t="str">
            <v>01/09/2010</v>
          </cell>
          <cell r="Y1151" t="str">
            <v>KEW</v>
          </cell>
          <cell r="Z1151" t="str">
            <v>16/08/2013</v>
          </cell>
          <cell r="AA1151" t="str">
            <v>15/08/2015</v>
          </cell>
          <cell r="AB1151" t="str">
            <v>No</v>
          </cell>
          <cell r="AC1151" t="str">
            <v>31/08/2013</v>
          </cell>
          <cell r="AD1151" t="str">
            <v>Good</v>
          </cell>
          <cell r="AE1151" t="str">
            <v>V1 - Existing / No Claim</v>
          </cell>
          <cell r="AF1151">
            <v>42235</v>
          </cell>
          <cell r="AG1151">
            <v>9.17</v>
          </cell>
          <cell r="AH1151" t="str">
            <v>PPM</v>
          </cell>
          <cell r="AI1151" t="str">
            <v>Strands</v>
          </cell>
          <cell r="AJ1151" t="str">
            <v>Strands PW</v>
          </cell>
        </row>
        <row r="1152">
          <cell r="A1152" t="str">
            <v>IKN400749</v>
          </cell>
          <cell r="B1152">
            <v>749</v>
          </cell>
          <cell r="C1152" t="str">
            <v>Institut Kanser Negara</v>
          </cell>
          <cell r="D1152" t="str">
            <v>KKM/IKN/H/13/3942 (NEW KKM/IKN/R/13/1121)</v>
          </cell>
          <cell r="E1152" t="str">
            <v>10-263</v>
          </cell>
          <cell r="F1152" t="str">
            <v>Balances, Electronic</v>
          </cell>
          <cell r="G1152" t="str">
            <v>LA</v>
          </cell>
          <cell r="H1152" t="str">
            <v>PATHOLOGY</v>
          </cell>
          <cell r="I1152" t="str">
            <v>04LA134</v>
          </cell>
          <cell r="J1152" t="str">
            <v>CHEMICAL PATHOLOGY 2</v>
          </cell>
          <cell r="K1152" t="str">
            <v>BMED</v>
          </cell>
          <cell r="L1152" t="str">
            <v>Normal</v>
          </cell>
          <cell r="M1152" t="str">
            <v>Germany</v>
          </cell>
          <cell r="N1152" t="str">
            <v>Sartorius</v>
          </cell>
          <cell r="O1152" t="str">
            <v>Sartorius TE612</v>
          </cell>
          <cell r="P1152" t="str">
            <v>28103586</v>
          </cell>
          <cell r="Q1152" t="str">
            <v>Not Applicable</v>
          </cell>
          <cell r="R1152" t="str">
            <v>Sartorius AG</v>
          </cell>
          <cell r="S1152" t="str">
            <v>Chemopharm Sd. Bhd.</v>
          </cell>
          <cell r="T1152" t="str">
            <v>Functioning</v>
          </cell>
          <cell r="U1152" t="str">
            <v>Asset</v>
          </cell>
          <cell r="V1152">
            <v>1560</v>
          </cell>
          <cell r="W1152" t="str">
            <v>KEW</v>
          </cell>
          <cell r="X1152" t="str">
            <v>01/09/2010</v>
          </cell>
          <cell r="Y1152" t="str">
            <v>KEW</v>
          </cell>
          <cell r="Z1152" t="str">
            <v>16/08/2013</v>
          </cell>
          <cell r="AA1152" t="str">
            <v>15/08/2015</v>
          </cell>
          <cell r="AB1152" t="str">
            <v>No</v>
          </cell>
          <cell r="AC1152" t="str">
            <v>31/08/2013</v>
          </cell>
          <cell r="AD1152" t="str">
            <v>Good</v>
          </cell>
          <cell r="AE1152" t="str">
            <v>V1 - Existing / No Claim</v>
          </cell>
          <cell r="AF1152">
            <v>42235</v>
          </cell>
          <cell r="AG1152">
            <v>9.17</v>
          </cell>
          <cell r="AH1152" t="str">
            <v>PPM</v>
          </cell>
          <cell r="AI1152" t="str">
            <v>Strands</v>
          </cell>
          <cell r="AJ1152" t="str">
            <v>Strands PW</v>
          </cell>
          <cell r="AK1152" t="str">
            <v>kkm no dah tukar pada10/9/2024</v>
          </cell>
        </row>
        <row r="1153">
          <cell r="A1153" t="str">
            <v>IKN400750</v>
          </cell>
          <cell r="B1153">
            <v>750</v>
          </cell>
          <cell r="C1153" t="str">
            <v>Institut Kanser Negara</v>
          </cell>
          <cell r="D1153" t="str">
            <v>KKM/IKN/H/13/3943 (NEW KKM/IKN/R/13/1122)</v>
          </cell>
          <cell r="E1153" t="str">
            <v>10-263</v>
          </cell>
          <cell r="F1153" t="str">
            <v>Balances, Electronic</v>
          </cell>
          <cell r="G1153" t="str">
            <v>LA</v>
          </cell>
          <cell r="H1153" t="str">
            <v>PATHOLOGY</v>
          </cell>
          <cell r="I1153" t="str">
            <v>04LA133</v>
          </cell>
          <cell r="J1153" t="str">
            <v>CHEMICAL PATHOLOGY 1</v>
          </cell>
          <cell r="K1153" t="str">
            <v>BMED</v>
          </cell>
          <cell r="L1153" t="str">
            <v>Normal</v>
          </cell>
          <cell r="M1153" t="str">
            <v>Germany</v>
          </cell>
          <cell r="N1153" t="str">
            <v>Sartorius</v>
          </cell>
          <cell r="O1153" t="str">
            <v>Sartorius TE612</v>
          </cell>
          <cell r="P1153" t="str">
            <v>28103587</v>
          </cell>
          <cell r="Q1153" t="str">
            <v>Not Applicable</v>
          </cell>
          <cell r="R1153" t="str">
            <v>Sartorius AG</v>
          </cell>
          <cell r="S1153" t="str">
            <v>Chemopharm Sd. Bhd.</v>
          </cell>
          <cell r="T1153" t="str">
            <v>Functioning</v>
          </cell>
          <cell r="U1153" t="str">
            <v>Asset</v>
          </cell>
          <cell r="V1153">
            <v>1560</v>
          </cell>
          <cell r="W1153" t="str">
            <v>KEW</v>
          </cell>
          <cell r="X1153" t="str">
            <v>01/09/2010</v>
          </cell>
          <cell r="Y1153" t="str">
            <v>KEW</v>
          </cell>
          <cell r="Z1153" t="str">
            <v>16/08/2013</v>
          </cell>
          <cell r="AA1153" t="str">
            <v>15/08/2015</v>
          </cell>
          <cell r="AB1153" t="str">
            <v>No</v>
          </cell>
          <cell r="AC1153" t="str">
            <v>31/08/2013</v>
          </cell>
          <cell r="AD1153" t="str">
            <v>Good</v>
          </cell>
          <cell r="AE1153" t="str">
            <v>V1 - Existing / No Claim</v>
          </cell>
          <cell r="AF1153">
            <v>42235</v>
          </cell>
          <cell r="AG1153">
            <v>9.17</v>
          </cell>
          <cell r="AH1153" t="str">
            <v>PPM</v>
          </cell>
          <cell r="AI1153" t="str">
            <v>Strands</v>
          </cell>
          <cell r="AJ1153" t="str">
            <v>Strands PW</v>
          </cell>
          <cell r="AK1153" t="str">
            <v>CUBA CHECK IKN400749 PUNYA KEWPA 
KKM/IKN/H/13/3943 (NEW KKM/IKN/R/13/1122)</v>
          </cell>
        </row>
        <row r="1154">
          <cell r="A1154" t="str">
            <v>IKN400753</v>
          </cell>
          <cell r="B1154">
            <v>753</v>
          </cell>
          <cell r="C1154" t="str">
            <v>Institut Kanser Negara</v>
          </cell>
          <cell r="D1154" t="str">
            <v>KKM/IKN/I/13/2912</v>
          </cell>
          <cell r="E1154" t="str">
            <v>15-161</v>
          </cell>
          <cell r="F1154" t="str">
            <v>Mixers, Clinical Laboratory</v>
          </cell>
          <cell r="G1154" t="str">
            <v>LA</v>
          </cell>
          <cell r="H1154" t="str">
            <v>PATHOLOGY</v>
          </cell>
          <cell r="I1154" t="str">
            <v>04LA126</v>
          </cell>
          <cell r="J1154" t="str">
            <v>MICROBIOLOGY UNIT</v>
          </cell>
          <cell r="K1154" t="str">
            <v>BMED</v>
          </cell>
          <cell r="L1154" t="str">
            <v>Normal</v>
          </cell>
          <cell r="M1154" t="str">
            <v>UK</v>
          </cell>
          <cell r="N1154" t="str">
            <v>Stuart</v>
          </cell>
          <cell r="O1154" t="str">
            <v>Stuart SA8</v>
          </cell>
          <cell r="P1154" t="str">
            <v>R800004645</v>
          </cell>
          <cell r="Q1154" t="str">
            <v>Not Applicable</v>
          </cell>
          <cell r="R1154" t="str">
            <v>Stuart Scientific Co Ltd</v>
          </cell>
          <cell r="S1154" t="str">
            <v>Bumi Sains Sdn. Bhd.</v>
          </cell>
          <cell r="T1154" t="str">
            <v>Functioning</v>
          </cell>
          <cell r="U1154" t="str">
            <v>Asset</v>
          </cell>
          <cell r="V1154">
            <v>1200</v>
          </cell>
          <cell r="W1154" t="str">
            <v>KEW</v>
          </cell>
          <cell r="X1154" t="str">
            <v>01/09/2010</v>
          </cell>
          <cell r="Y1154" t="str">
            <v>KEW</v>
          </cell>
          <cell r="Z1154" t="str">
            <v>16/08/2013</v>
          </cell>
          <cell r="AA1154" t="str">
            <v>15/08/2015</v>
          </cell>
          <cell r="AB1154" t="str">
            <v>No</v>
          </cell>
          <cell r="AC1154" t="str">
            <v>31/08/2013</v>
          </cell>
          <cell r="AD1154" t="str">
            <v>Good</v>
          </cell>
          <cell r="AE1154" t="str">
            <v>V1 - Existing / No Claim</v>
          </cell>
          <cell r="AF1154">
            <v>42235</v>
          </cell>
          <cell r="AG1154">
            <v>9.17</v>
          </cell>
          <cell r="AH1154" t="str">
            <v>PPM</v>
          </cell>
          <cell r="AI1154" t="str">
            <v>Strands</v>
          </cell>
          <cell r="AJ1154" t="str">
            <v>Strands PW</v>
          </cell>
        </row>
        <row r="1155">
          <cell r="A1155" t="str">
            <v>IKN400754</v>
          </cell>
          <cell r="B1155">
            <v>754</v>
          </cell>
          <cell r="C1155" t="str">
            <v>Institut Kanser Negara</v>
          </cell>
          <cell r="D1155" t="str">
            <v>KKM/IKN/H/13/1869</v>
          </cell>
          <cell r="E1155" t="str">
            <v>18-449</v>
          </cell>
          <cell r="F1155" t="str">
            <v>Balances, Electronic, Analytical</v>
          </cell>
          <cell r="G1155" t="str">
            <v>LA</v>
          </cell>
          <cell r="H1155" t="str">
            <v>PATHOLOGY</v>
          </cell>
          <cell r="I1155" t="str">
            <v>04LA133</v>
          </cell>
          <cell r="J1155" t="str">
            <v>CHEMICAL PATHOLOGY 1</v>
          </cell>
          <cell r="K1155" t="str">
            <v>BMED</v>
          </cell>
          <cell r="L1155" t="str">
            <v>Normal</v>
          </cell>
          <cell r="M1155" t="str">
            <v>Germany</v>
          </cell>
          <cell r="N1155" t="str">
            <v>Sartorius</v>
          </cell>
          <cell r="O1155" t="str">
            <v>Sartorius AZ1502</v>
          </cell>
          <cell r="P1155" t="str">
            <v>28891663</v>
          </cell>
          <cell r="Q1155" t="str">
            <v>Not Applicable</v>
          </cell>
          <cell r="R1155" t="str">
            <v>Sartorius AG</v>
          </cell>
          <cell r="S1155" t="str">
            <v>Chemopharm Sd. Bhd.</v>
          </cell>
          <cell r="T1155" t="str">
            <v>Functioning</v>
          </cell>
          <cell r="U1155" t="str">
            <v>Asset</v>
          </cell>
          <cell r="V1155">
            <v>1560</v>
          </cell>
          <cell r="W1155" t="str">
            <v>KEW</v>
          </cell>
          <cell r="X1155" t="str">
            <v>01/09/2010</v>
          </cell>
          <cell r="Y1155" t="str">
            <v>KEW</v>
          </cell>
          <cell r="Z1155" t="str">
            <v>16/08/2013</v>
          </cell>
          <cell r="AA1155" t="str">
            <v>15/08/2015</v>
          </cell>
          <cell r="AB1155" t="str">
            <v>No</v>
          </cell>
          <cell r="AC1155" t="str">
            <v>31/08/2013</v>
          </cell>
          <cell r="AD1155" t="str">
            <v>Good</v>
          </cell>
          <cell r="AE1155" t="str">
            <v>V1 - Existing / No Claim</v>
          </cell>
          <cell r="AF1155">
            <v>42235</v>
          </cell>
          <cell r="AG1155">
            <v>9.17</v>
          </cell>
          <cell r="AH1155" t="str">
            <v>PPM</v>
          </cell>
          <cell r="AI1155" t="str">
            <v>Strands</v>
          </cell>
          <cell r="AJ1155" t="str">
            <v>Strands PW</v>
          </cell>
          <cell r="AK1155" t="str">
            <v>5/5/23: UPDATE MODEL (INDIRA). [2/4/2024]: TUKAR ASSET DESCRIPTION (Balances, Electronic, Analytical) DAN TASK CODE.</v>
          </cell>
        </row>
        <row r="1156">
          <cell r="A1156" t="str">
            <v>IKN400755</v>
          </cell>
          <cell r="B1156">
            <v>755</v>
          </cell>
          <cell r="C1156" t="str">
            <v>Institut Kanser Negara</v>
          </cell>
          <cell r="D1156" t="str">
            <v>KKM/IKN/H/13/4672</v>
          </cell>
          <cell r="E1156" t="str">
            <v>15-098</v>
          </cell>
          <cell r="F1156" t="str">
            <v>Analyzers, Laboratory, Hematology, Coagulation, Automated</v>
          </cell>
          <cell r="G1156" t="str">
            <v>LA</v>
          </cell>
          <cell r="H1156" t="str">
            <v>PATHOLOGY</v>
          </cell>
          <cell r="I1156" t="str">
            <v>04LA132</v>
          </cell>
          <cell r="J1156" t="str">
            <v>HAEMATOLOGY LAB 2</v>
          </cell>
          <cell r="K1156" t="str">
            <v>BMED</v>
          </cell>
          <cell r="L1156" t="str">
            <v>Normal</v>
          </cell>
          <cell r="M1156" t="str">
            <v>Italy</v>
          </cell>
          <cell r="N1156" t="str">
            <v>ACL Elite</v>
          </cell>
          <cell r="O1156" t="str">
            <v>ACL Elite Pro</v>
          </cell>
          <cell r="P1156" t="str">
            <v>12072358</v>
          </cell>
          <cell r="Q1156" t="str">
            <v>Not Applicable</v>
          </cell>
          <cell r="R1156" t="str">
            <v>Insturmentation laboratory inc</v>
          </cell>
          <cell r="S1156" t="str">
            <v>Straits Scientific (M) Sdn Bhd</v>
          </cell>
          <cell r="T1156" t="str">
            <v>Functioning</v>
          </cell>
          <cell r="U1156" t="str">
            <v>Asset</v>
          </cell>
          <cell r="V1156">
            <v>105860</v>
          </cell>
          <cell r="W1156" t="str">
            <v>KEW</v>
          </cell>
          <cell r="X1156" t="str">
            <v>01/09/2010</v>
          </cell>
          <cell r="Y1156" t="str">
            <v>KEW</v>
          </cell>
          <cell r="Z1156" t="str">
            <v>16/08/2013</v>
          </cell>
          <cell r="AA1156" t="str">
            <v>15/08/2015</v>
          </cell>
          <cell r="AB1156" t="str">
            <v>No</v>
          </cell>
          <cell r="AC1156" t="str">
            <v>31/08/2013</v>
          </cell>
          <cell r="AD1156" t="str">
            <v>Good</v>
          </cell>
          <cell r="AE1156" t="str">
            <v>V1 - Existing / No Claim</v>
          </cell>
          <cell r="AF1156">
            <v>42790</v>
          </cell>
          <cell r="AG1156">
            <v>9.17</v>
          </cell>
          <cell r="AH1156" t="str">
            <v>PPM</v>
          </cell>
          <cell r="AI1156" t="str">
            <v>Strands</v>
          </cell>
          <cell r="AJ1156" t="str">
            <v>Strands Package</v>
          </cell>
          <cell r="AK1156" t="str">
            <v>Package Code LH0009-S</v>
          </cell>
        </row>
        <row r="1157">
          <cell r="A1157" t="str">
            <v>IKN400756</v>
          </cell>
          <cell r="B1157">
            <v>756</v>
          </cell>
          <cell r="C1157" t="str">
            <v>Institut Kanser Negara</v>
          </cell>
          <cell r="D1157" t="str">
            <v>KKM/IKN/H/13/4673</v>
          </cell>
          <cell r="E1157" t="str">
            <v>15-098</v>
          </cell>
          <cell r="F1157" t="str">
            <v>Analyzers, Laboratory, Hematology, Coagulation, Automated</v>
          </cell>
          <cell r="G1157" t="str">
            <v>LA</v>
          </cell>
          <cell r="H1157" t="str">
            <v>PATHOLOGY</v>
          </cell>
          <cell r="I1157" t="str">
            <v>04LA132</v>
          </cell>
          <cell r="J1157" t="str">
            <v>HAEMATOLOGY LAB 2</v>
          </cell>
          <cell r="K1157" t="str">
            <v>BMED</v>
          </cell>
          <cell r="L1157" t="str">
            <v>Normal</v>
          </cell>
          <cell r="M1157" t="str">
            <v>Italy</v>
          </cell>
          <cell r="N1157" t="str">
            <v>ACL TOP 300</v>
          </cell>
          <cell r="O1157" t="str">
            <v>ACL TOP 300</v>
          </cell>
          <cell r="P1157" t="str">
            <v>12090346</v>
          </cell>
          <cell r="Q1157" t="str">
            <v>Not Applicable</v>
          </cell>
          <cell r="R1157" t="str">
            <v>Insturmentation laboratory inc</v>
          </cell>
          <cell r="S1157" t="str">
            <v>Straits Scientific (M) Sdn Bhd</v>
          </cell>
          <cell r="T1157" t="str">
            <v>Functioning</v>
          </cell>
          <cell r="U1157" t="str">
            <v>Asset</v>
          </cell>
          <cell r="V1157">
            <v>105860</v>
          </cell>
          <cell r="W1157" t="str">
            <v>KEW</v>
          </cell>
          <cell r="X1157" t="str">
            <v>01/09/2010</v>
          </cell>
          <cell r="Y1157" t="str">
            <v>KEW</v>
          </cell>
          <cell r="Z1157" t="str">
            <v>16/08/2013</v>
          </cell>
          <cell r="AA1157" t="str">
            <v>15/08/2015</v>
          </cell>
          <cell r="AB1157" t="str">
            <v>No</v>
          </cell>
          <cell r="AC1157" t="str">
            <v>31/08/2013</v>
          </cell>
          <cell r="AD1157" t="str">
            <v>Good</v>
          </cell>
          <cell r="AE1157" t="str">
            <v>V1 - Existing / No Claim</v>
          </cell>
          <cell r="AF1157">
            <v>42790</v>
          </cell>
          <cell r="AG1157">
            <v>9.17</v>
          </cell>
          <cell r="AH1157" t="str">
            <v>PPM</v>
          </cell>
          <cell r="AI1157" t="str">
            <v>Strands</v>
          </cell>
          <cell r="AJ1157" t="str">
            <v>Strands Package</v>
          </cell>
          <cell r="AK1157" t="str">
            <v>Package Code LH0009-S</v>
          </cell>
        </row>
        <row r="1158">
          <cell r="A1158" t="str">
            <v>IKN400757</v>
          </cell>
          <cell r="B1158">
            <v>757</v>
          </cell>
          <cell r="C1158" t="str">
            <v>Institut Kanser Negara</v>
          </cell>
          <cell r="D1158" t="str">
            <v>KKM/IKN/H/13/1863</v>
          </cell>
          <cell r="E1158" t="str">
            <v>17-741</v>
          </cell>
          <cell r="F1158" t="str">
            <v>Analyzers, Laboratory, Hematology, Cell Counting, Automated</v>
          </cell>
          <cell r="G1158" t="str">
            <v>LA</v>
          </cell>
          <cell r="H1158" t="str">
            <v>PATHOLOGY</v>
          </cell>
          <cell r="I1158" t="str">
            <v>04LA131</v>
          </cell>
          <cell r="J1158" t="str">
            <v>HAEMATOLOGY LAB 1</v>
          </cell>
          <cell r="K1158" t="str">
            <v>BMED</v>
          </cell>
          <cell r="L1158" t="str">
            <v>Normal</v>
          </cell>
          <cell r="M1158" t="str">
            <v>Japan</v>
          </cell>
          <cell r="N1158" t="str">
            <v>Sysmex</v>
          </cell>
          <cell r="O1158" t="str">
            <v>Sysmex XN-3111</v>
          </cell>
          <cell r="P1158" t="str">
            <v>11465</v>
          </cell>
          <cell r="Q1158" t="str">
            <v>Not Applicable</v>
          </cell>
          <cell r="R1158" t="str">
            <v>Sysmex Corp</v>
          </cell>
          <cell r="S1158" t="str">
            <v>Metrojendela</v>
          </cell>
          <cell r="T1158" t="str">
            <v>Functioning</v>
          </cell>
          <cell r="U1158" t="str">
            <v>Asset</v>
          </cell>
          <cell r="V1158">
            <v>565350</v>
          </cell>
          <cell r="W1158" t="str">
            <v>KEW</v>
          </cell>
          <cell r="X1158" t="str">
            <v>01/09/2010</v>
          </cell>
          <cell r="Y1158" t="str">
            <v>KEW</v>
          </cell>
          <cell r="Z1158" t="str">
            <v>16/08/2013</v>
          </cell>
          <cell r="AA1158" t="str">
            <v>15/08/2015</v>
          </cell>
          <cell r="AB1158" t="str">
            <v>No</v>
          </cell>
          <cell r="AC1158" t="str">
            <v>31/08/2013</v>
          </cell>
          <cell r="AD1158" t="str">
            <v>Good</v>
          </cell>
          <cell r="AE1158" t="str">
            <v>V1 - Existing / No Claim</v>
          </cell>
          <cell r="AF1158">
            <v>42235</v>
          </cell>
          <cell r="AG1158">
            <v>9.17</v>
          </cell>
          <cell r="AH1158" t="str">
            <v>PPM</v>
          </cell>
          <cell r="AI1158" t="str">
            <v>Strands</v>
          </cell>
          <cell r="AJ1158" t="str">
            <v>Strands Package</v>
          </cell>
          <cell r="AK1158" t="str">
            <v>Package Code LH0006</v>
          </cell>
        </row>
        <row r="1159">
          <cell r="A1159" t="str">
            <v>IKN400758</v>
          </cell>
          <cell r="B1159">
            <v>758</v>
          </cell>
          <cell r="C1159" t="str">
            <v>Institut Kanser Negara</v>
          </cell>
          <cell r="D1159" t="str">
            <v>KKM/IKN/H/13/4685</v>
          </cell>
          <cell r="E1159" t="str">
            <v>16-378</v>
          </cell>
          <cell r="F1159" t="str">
            <v>Analyzers, Laboratory, Urine, Automated</v>
          </cell>
          <cell r="G1159" t="str">
            <v>LA</v>
          </cell>
          <cell r="H1159" t="str">
            <v>PATHOLOGY</v>
          </cell>
          <cell r="I1159" t="str">
            <v>04LA132</v>
          </cell>
          <cell r="J1159" t="str">
            <v>HAEMATOLOGY LAB 2</v>
          </cell>
          <cell r="K1159" t="str">
            <v>BMED</v>
          </cell>
          <cell r="L1159" t="str">
            <v>Critical</v>
          </cell>
          <cell r="M1159" t="str">
            <v>USA</v>
          </cell>
          <cell r="N1159" t="str">
            <v>Ichem</v>
          </cell>
          <cell r="O1159" t="str">
            <v>Ichem Velocity</v>
          </cell>
          <cell r="P1159" t="str">
            <v>V01473</v>
          </cell>
          <cell r="Q1159" t="str">
            <v>Not Applicable</v>
          </cell>
          <cell r="R1159" t="str">
            <v>Iris Medical Instruments Inc</v>
          </cell>
          <cell r="S1159" t="str">
            <v>Diagnostic Systems (M) Sdn Bhd</v>
          </cell>
          <cell r="T1159" t="str">
            <v>Functioning</v>
          </cell>
          <cell r="U1159" t="str">
            <v>Asset</v>
          </cell>
          <cell r="V1159">
            <v>36080</v>
          </cell>
          <cell r="W1159" t="str">
            <v>KEW</v>
          </cell>
          <cell r="X1159" t="str">
            <v>01/09/2010</v>
          </cell>
          <cell r="Y1159" t="str">
            <v>KEW</v>
          </cell>
          <cell r="Z1159" t="str">
            <v>16/08/2013</v>
          </cell>
          <cell r="AA1159" t="str">
            <v>15/08/2015</v>
          </cell>
          <cell r="AB1159" t="str">
            <v>No</v>
          </cell>
          <cell r="AC1159" t="str">
            <v>31/08/2013</v>
          </cell>
          <cell r="AD1159" t="str">
            <v>Good</v>
          </cell>
          <cell r="AE1159" t="str">
            <v>V1 - Existing / No Claim</v>
          </cell>
          <cell r="AF1159">
            <v>42790</v>
          </cell>
          <cell r="AG1159">
            <v>9.17</v>
          </cell>
          <cell r="AH1159" t="str">
            <v>PPM</v>
          </cell>
          <cell r="AI1159" t="str">
            <v>Strands</v>
          </cell>
          <cell r="AJ1159" t="str">
            <v>Strands Package</v>
          </cell>
          <cell r="AK1159" t="str">
            <v>Package Code LC0054</v>
          </cell>
        </row>
        <row r="1160">
          <cell r="A1160" t="str">
            <v>IKN400760</v>
          </cell>
          <cell r="B1160">
            <v>760</v>
          </cell>
          <cell r="C1160" t="str">
            <v>Institut Kanser Negara</v>
          </cell>
          <cell r="D1160" t="str">
            <v>KKM/IKN/H/13/1847</v>
          </cell>
          <cell r="E1160" t="str">
            <v>17-916</v>
          </cell>
          <cell r="F1160" t="str">
            <v>Analyzers, Laboratory, Immunoassay, Chemiluminescent</v>
          </cell>
          <cell r="G1160" t="str">
            <v>LA</v>
          </cell>
          <cell r="H1160" t="str">
            <v>PATHOLOGY</v>
          </cell>
          <cell r="I1160" t="str">
            <v>04LA133</v>
          </cell>
          <cell r="J1160" t="str">
            <v>CHEMICAL PATHOLOGY 1</v>
          </cell>
          <cell r="K1160" t="str">
            <v>BMED</v>
          </cell>
          <cell r="L1160" t="str">
            <v>Normal</v>
          </cell>
          <cell r="M1160" t="str">
            <v>USA</v>
          </cell>
          <cell r="N1160" t="str">
            <v>Advia Centaur</v>
          </cell>
          <cell r="O1160" t="str">
            <v>Advia Centaur CP</v>
          </cell>
          <cell r="P1160" t="str">
            <v>ROB300000252</v>
          </cell>
          <cell r="Q1160" t="str">
            <v>Not Applicable</v>
          </cell>
          <cell r="R1160" t="str">
            <v>Siemens Healthcare Diagnostics Inc</v>
          </cell>
          <cell r="S1160" t="str">
            <v>Siemens Malaysia Sdn. Bhd.</v>
          </cell>
          <cell r="T1160" t="str">
            <v>Functioning</v>
          </cell>
          <cell r="U1160" t="str">
            <v>Asset</v>
          </cell>
          <cell r="V1160">
            <v>505200</v>
          </cell>
          <cell r="W1160" t="str">
            <v>KEW</v>
          </cell>
          <cell r="X1160" t="str">
            <v>01/09/2010</v>
          </cell>
          <cell r="Y1160" t="str">
            <v>KEW</v>
          </cell>
          <cell r="Z1160" t="str">
            <v>16/08/2013</v>
          </cell>
          <cell r="AA1160" t="str">
            <v>15/08/2015</v>
          </cell>
          <cell r="AB1160" t="str">
            <v>No</v>
          </cell>
          <cell r="AC1160" t="str">
            <v>31/08/2013</v>
          </cell>
          <cell r="AD1160" t="str">
            <v>Good</v>
          </cell>
          <cell r="AE1160" t="str">
            <v>V1 - Existing / No Claim</v>
          </cell>
          <cell r="AF1160">
            <v>42235</v>
          </cell>
          <cell r="AG1160">
            <v>9.17</v>
          </cell>
          <cell r="AH1160" t="str">
            <v>PPM</v>
          </cell>
          <cell r="AI1160" t="str">
            <v>Strands</v>
          </cell>
          <cell r="AJ1160" t="str">
            <v>Strands Package</v>
          </cell>
          <cell r="AK1160" t="str">
            <v>Package Code LA0001</v>
          </cell>
        </row>
        <row r="1161">
          <cell r="A1161" t="str">
            <v>IKN400761</v>
          </cell>
          <cell r="B1161">
            <v>761</v>
          </cell>
          <cell r="C1161" t="str">
            <v>Institut Kanser Negara</v>
          </cell>
          <cell r="D1161" t="str">
            <v>KKM/IKN/H/13/1855</v>
          </cell>
          <cell r="E1161" t="str">
            <v>16-298</v>
          </cell>
          <cell r="F1161" t="str">
            <v>Analyzers, Laboratory, Clinical Chemistry, Automated</v>
          </cell>
          <cell r="G1161" t="str">
            <v>LA</v>
          </cell>
          <cell r="H1161" t="str">
            <v>PATHOLOGY</v>
          </cell>
          <cell r="I1161" t="str">
            <v>04LA133</v>
          </cell>
          <cell r="J1161" t="str">
            <v>CHEMICAL PATHOLOGY 1</v>
          </cell>
          <cell r="K1161" t="str">
            <v>BMED</v>
          </cell>
          <cell r="L1161" t="str">
            <v>Normal</v>
          </cell>
          <cell r="M1161" t="str">
            <v>Switzerland</v>
          </cell>
          <cell r="N1161" t="str">
            <v>Cobas</v>
          </cell>
          <cell r="O1161" t="str">
            <v>Cobas 6000</v>
          </cell>
          <cell r="P1161" t="str">
            <v>1296-14 &amp; 1206-09</v>
          </cell>
          <cell r="Q1161" t="str">
            <v>Not Applicable</v>
          </cell>
          <cell r="R1161" t="str">
            <v>Roche Diagnostics Corp</v>
          </cell>
          <cell r="S1161" t="str">
            <v>KL Scientific</v>
          </cell>
          <cell r="T1161" t="str">
            <v>Functioning</v>
          </cell>
          <cell r="U1161" t="str">
            <v>Asset</v>
          </cell>
          <cell r="V1161">
            <v>421005</v>
          </cell>
          <cell r="W1161" t="str">
            <v>KEW</v>
          </cell>
          <cell r="X1161" t="str">
            <v>01/09/2010</v>
          </cell>
          <cell r="Y1161" t="str">
            <v>KEW</v>
          </cell>
          <cell r="Z1161" t="str">
            <v>16/08/2013</v>
          </cell>
          <cell r="AA1161" t="str">
            <v>15/08/2015</v>
          </cell>
          <cell r="AB1161" t="str">
            <v>No</v>
          </cell>
          <cell r="AC1161" t="str">
            <v>31/08/2013</v>
          </cell>
          <cell r="AD1161" t="str">
            <v>Good</v>
          </cell>
          <cell r="AE1161" t="str">
            <v>V1 - Existing / No Claim</v>
          </cell>
          <cell r="AF1161">
            <v>42235</v>
          </cell>
          <cell r="AG1161">
            <v>9.17</v>
          </cell>
          <cell r="AH1161" t="str">
            <v>PPM</v>
          </cell>
          <cell r="AI1161" t="str">
            <v>Strands</v>
          </cell>
          <cell r="AJ1161" t="str">
            <v>Strands Package</v>
          </cell>
          <cell r="AK1161" t="str">
            <v>Package Code LC0035</v>
          </cell>
        </row>
        <row r="1162">
          <cell r="A1162" t="str">
            <v>IKN400762</v>
          </cell>
          <cell r="B1162">
            <v>762</v>
          </cell>
          <cell r="C1162" t="str">
            <v>Institut Kanser Negara</v>
          </cell>
          <cell r="D1162" t="str">
            <v>KKM/IKN/H/13/1854</v>
          </cell>
          <cell r="E1162" t="str">
            <v>17-916</v>
          </cell>
          <cell r="F1162" t="str">
            <v>Analyzers, Laboratory, Immunoassay, Chemiluminescent</v>
          </cell>
          <cell r="G1162" t="str">
            <v>LA</v>
          </cell>
          <cell r="H1162" t="str">
            <v>PATHOLOGY</v>
          </cell>
          <cell r="I1162" t="str">
            <v>04LA133</v>
          </cell>
          <cell r="J1162" t="str">
            <v>CHEMICAL PATHOLOGY 1</v>
          </cell>
          <cell r="K1162" t="str">
            <v>BMED</v>
          </cell>
          <cell r="L1162" t="str">
            <v>Normal</v>
          </cell>
          <cell r="M1162" t="str">
            <v>Germany</v>
          </cell>
          <cell r="N1162" t="str">
            <v>Abbott</v>
          </cell>
          <cell r="O1162" t="str">
            <v>Abbott Ci 4100</v>
          </cell>
          <cell r="P1162" t="str">
            <v>C400959/ I1SR52613</v>
          </cell>
          <cell r="Q1162" t="str">
            <v>Not Applicable</v>
          </cell>
          <cell r="R1162" t="str">
            <v>Abbott Laboratories</v>
          </cell>
          <cell r="S1162" t="str">
            <v>Abbott Laboratories (M) Sdn Bhd</v>
          </cell>
          <cell r="T1162" t="str">
            <v>Functioning</v>
          </cell>
          <cell r="U1162" t="str">
            <v>Asset</v>
          </cell>
          <cell r="V1162">
            <v>1443450</v>
          </cell>
          <cell r="W1162" t="str">
            <v>KEW</v>
          </cell>
          <cell r="X1162" t="str">
            <v>01/09/2010</v>
          </cell>
          <cell r="Y1162" t="str">
            <v>KEW</v>
          </cell>
          <cell r="Z1162" t="str">
            <v>16/08/2013</v>
          </cell>
          <cell r="AA1162" t="str">
            <v>15/08/2015</v>
          </cell>
          <cell r="AB1162" t="str">
            <v>No</v>
          </cell>
          <cell r="AC1162" t="str">
            <v>31/08/2013</v>
          </cell>
          <cell r="AD1162" t="str">
            <v>Good</v>
          </cell>
          <cell r="AE1162" t="str">
            <v>V1 - Existing / No Claim</v>
          </cell>
          <cell r="AF1162">
            <v>42235</v>
          </cell>
          <cell r="AG1162">
            <v>9.17</v>
          </cell>
          <cell r="AH1162" t="str">
            <v>PPM</v>
          </cell>
          <cell r="AI1162" t="str">
            <v>Strands</v>
          </cell>
          <cell r="AJ1162" t="str">
            <v>Strands Package</v>
          </cell>
          <cell r="AK1162" t="str">
            <v>Package Code LC0040</v>
          </cell>
        </row>
        <row r="1163">
          <cell r="A1163" t="str">
            <v>IKN400763</v>
          </cell>
          <cell r="B1163">
            <v>763</v>
          </cell>
          <cell r="C1163" t="str">
            <v>Institut Kanser Negara</v>
          </cell>
          <cell r="D1163" t="str">
            <v>KKM/IKN/I/13/2910</v>
          </cell>
          <cell r="E1163" t="str">
            <v>15-161</v>
          </cell>
          <cell r="F1163" t="str">
            <v>Mixers, Clinical Laboratory</v>
          </cell>
          <cell r="G1163" t="str">
            <v>LA</v>
          </cell>
          <cell r="H1163" t="str">
            <v>PATHOLOGY</v>
          </cell>
          <cell r="I1163" t="str">
            <v>04LA126</v>
          </cell>
          <cell r="J1163" t="str">
            <v>MICROBIOLOGY UNIT</v>
          </cell>
          <cell r="K1163" t="str">
            <v>BMED</v>
          </cell>
          <cell r="L1163" t="str">
            <v>Normal</v>
          </cell>
          <cell r="M1163" t="str">
            <v>UK</v>
          </cell>
          <cell r="N1163" t="str">
            <v>Stuart</v>
          </cell>
          <cell r="O1163" t="str">
            <v>Stuart SA8</v>
          </cell>
          <cell r="P1163" t="str">
            <v>R800004725</v>
          </cell>
          <cell r="Q1163" t="str">
            <v>Not Applicable</v>
          </cell>
          <cell r="R1163" t="str">
            <v>Stuart Scientific Co Ltd</v>
          </cell>
          <cell r="S1163" t="str">
            <v>Bumi Sains Sdn. Bhd.</v>
          </cell>
          <cell r="T1163" t="str">
            <v>Functioning</v>
          </cell>
          <cell r="U1163" t="str">
            <v>Asset</v>
          </cell>
          <cell r="V1163">
            <v>1200</v>
          </cell>
          <cell r="W1163" t="str">
            <v>KEW</v>
          </cell>
          <cell r="X1163" t="str">
            <v>01/09/2010</v>
          </cell>
          <cell r="Y1163" t="str">
            <v>KEW</v>
          </cell>
          <cell r="Z1163" t="str">
            <v>16/08/2013</v>
          </cell>
          <cell r="AA1163" t="str">
            <v>15/08/2015</v>
          </cell>
          <cell r="AB1163" t="str">
            <v>No</v>
          </cell>
          <cell r="AC1163" t="str">
            <v>31/08/2013</v>
          </cell>
          <cell r="AD1163" t="str">
            <v>Good</v>
          </cell>
          <cell r="AE1163" t="str">
            <v>V1 - Existing / No Claim</v>
          </cell>
          <cell r="AF1163">
            <v>42790</v>
          </cell>
          <cell r="AG1163">
            <v>9.17</v>
          </cell>
          <cell r="AH1163" t="str">
            <v>PPM</v>
          </cell>
          <cell r="AI1163" t="str">
            <v>Strands</v>
          </cell>
          <cell r="AJ1163" t="str">
            <v>Strands PW</v>
          </cell>
        </row>
        <row r="1164">
          <cell r="A1164" t="str">
            <v>IKN400764</v>
          </cell>
          <cell r="B1164">
            <v>764</v>
          </cell>
          <cell r="C1164" t="str">
            <v>Institut Kanser Negara</v>
          </cell>
          <cell r="D1164" t="str">
            <v>KKM/IKN/H/13/1868</v>
          </cell>
          <cell r="E1164" t="str">
            <v>10-263</v>
          </cell>
          <cell r="F1164" t="str">
            <v>Balances, Electronic</v>
          </cell>
          <cell r="G1164" t="str">
            <v>LA</v>
          </cell>
          <cell r="H1164" t="str">
            <v>PATHOLOGY</v>
          </cell>
          <cell r="I1164" t="str">
            <v>04LA126</v>
          </cell>
          <cell r="J1164" t="str">
            <v>MICROBIOLOGY UNIT</v>
          </cell>
          <cell r="K1164" t="str">
            <v>BMED</v>
          </cell>
          <cell r="L1164" t="str">
            <v>Normal</v>
          </cell>
          <cell r="M1164" t="str">
            <v>Germany</v>
          </cell>
          <cell r="N1164" t="str">
            <v>Sartorius</v>
          </cell>
          <cell r="O1164" t="str">
            <v>Sartorius TE12000</v>
          </cell>
          <cell r="P1164" t="str">
            <v>28103394</v>
          </cell>
          <cell r="Q1164" t="str">
            <v>Not Applicable</v>
          </cell>
          <cell r="R1164" t="str">
            <v>Sartorius AG</v>
          </cell>
          <cell r="S1164" t="str">
            <v>Chemopharm Sd. Bhd.</v>
          </cell>
          <cell r="T1164" t="str">
            <v>Functioning</v>
          </cell>
          <cell r="U1164" t="str">
            <v>Asset</v>
          </cell>
          <cell r="V1164">
            <v>6260</v>
          </cell>
          <cell r="W1164" t="str">
            <v>KEW</v>
          </cell>
          <cell r="X1164" t="str">
            <v>01/09/2010</v>
          </cell>
          <cell r="Y1164" t="str">
            <v>KEW</v>
          </cell>
          <cell r="Z1164" t="str">
            <v>16/08/2013</v>
          </cell>
          <cell r="AA1164" t="str">
            <v>15/08/2015</v>
          </cell>
          <cell r="AB1164" t="str">
            <v>No</v>
          </cell>
          <cell r="AC1164" t="str">
            <v>31/08/2013</v>
          </cell>
          <cell r="AD1164" t="str">
            <v>Good</v>
          </cell>
          <cell r="AE1164" t="str">
            <v>V1 - Existing / No Claim</v>
          </cell>
          <cell r="AF1164">
            <v>42790</v>
          </cell>
          <cell r="AG1164">
            <v>9.17</v>
          </cell>
          <cell r="AH1164" t="str">
            <v>PPM</v>
          </cell>
          <cell r="AI1164" t="str">
            <v>Strands</v>
          </cell>
          <cell r="AJ1164" t="str">
            <v>Strands PW</v>
          </cell>
        </row>
        <row r="1165">
          <cell r="A1165" t="str">
            <v>IKN400766</v>
          </cell>
          <cell r="B1165">
            <v>766</v>
          </cell>
          <cell r="C1165" t="str">
            <v>Institut Kanser Negara</v>
          </cell>
          <cell r="D1165" t="str">
            <v>KKM/IKN/H/13/2742</v>
          </cell>
          <cell r="E1165" t="str">
            <v>13-272</v>
          </cell>
          <cell r="F1165" t="str">
            <v>Radiographic Units, Mobile</v>
          </cell>
          <cell r="G1165" t="str">
            <v>ID</v>
          </cell>
          <cell r="H1165" t="str">
            <v>IMAGING DEPARTMENT</v>
          </cell>
          <cell r="I1165" t="str">
            <v>03ID106</v>
          </cell>
          <cell r="J1165" t="str">
            <v>MOBILE X-RAY</v>
          </cell>
          <cell r="K1165" t="str">
            <v>BMED</v>
          </cell>
          <cell r="L1165" t="str">
            <v>Normal</v>
          </cell>
          <cell r="M1165" t="str">
            <v>USA</v>
          </cell>
          <cell r="N1165" t="str">
            <v>Carestream</v>
          </cell>
          <cell r="O1165" t="str">
            <v>Carestream DRX-Revolution</v>
          </cell>
          <cell r="P1165" t="str">
            <v>0252</v>
          </cell>
          <cell r="Q1165" t="str">
            <v>Not Applicable</v>
          </cell>
          <cell r="R1165" t="str">
            <v>Carestream Health Inc</v>
          </cell>
          <cell r="S1165" t="str">
            <v>Best Contact (M) Sdn Bhd</v>
          </cell>
          <cell r="T1165" t="str">
            <v>Functioning</v>
          </cell>
          <cell r="U1165" t="str">
            <v>Asset</v>
          </cell>
          <cell r="V1165">
            <v>1149550</v>
          </cell>
          <cell r="W1165" t="str">
            <v>KEW</v>
          </cell>
          <cell r="X1165" t="str">
            <v>01/09/2010</v>
          </cell>
          <cell r="Y1165" t="str">
            <v>KEW</v>
          </cell>
          <cell r="Z1165" t="str">
            <v>16/08/2013</v>
          </cell>
          <cell r="AA1165" t="str">
            <v>15/08/2015</v>
          </cell>
          <cell r="AB1165" t="str">
            <v>No</v>
          </cell>
          <cell r="AC1165" t="str">
            <v>31/08/2013</v>
          </cell>
          <cell r="AD1165" t="str">
            <v>Good</v>
          </cell>
          <cell r="AE1165" t="str">
            <v>V1 - Existing / No Claim</v>
          </cell>
          <cell r="AF1165">
            <v>42235</v>
          </cell>
          <cell r="AG1165">
            <v>9.17</v>
          </cell>
          <cell r="AH1165" t="str">
            <v>PPM</v>
          </cell>
          <cell r="AI1165" t="str">
            <v>Strands</v>
          </cell>
          <cell r="AJ1165" t="str">
            <v>Strands PW</v>
          </cell>
        </row>
        <row r="1166">
          <cell r="A1166" t="str">
            <v>IKN400767</v>
          </cell>
          <cell r="B1166">
            <v>767</v>
          </cell>
          <cell r="C1166" t="str">
            <v>Institut Kanser Negara</v>
          </cell>
          <cell r="D1166" t="e">
            <v>#N/A</v>
          </cell>
          <cell r="E1166" t="str">
            <v>11-134</v>
          </cell>
          <cell r="F1166" t="str">
            <v>Defibrillators, External, Manual</v>
          </cell>
          <cell r="G1166" t="str">
            <v>ID</v>
          </cell>
          <cell r="H1166" t="str">
            <v>IMAGING DEPARTMENT</v>
          </cell>
          <cell r="I1166" t="str">
            <v>03ID107</v>
          </cell>
          <cell r="J1166" t="str">
            <v>RESUS EQ.BAY</v>
          </cell>
          <cell r="K1166" t="str">
            <v>BMED</v>
          </cell>
          <cell r="L1166" t="str">
            <v>Critical</v>
          </cell>
          <cell r="M1166" t="str">
            <v>USA</v>
          </cell>
          <cell r="N1166" t="str">
            <v>Responder</v>
          </cell>
          <cell r="O1166" t="str">
            <v>Responder 2000</v>
          </cell>
          <cell r="P1166" t="str">
            <v>3206649</v>
          </cell>
          <cell r="Q1166" t="str">
            <v>Not Applicable</v>
          </cell>
          <cell r="R1166" t="str">
            <v>GE Medical Systems</v>
          </cell>
          <cell r="S1166" t="str">
            <v>Antah Sir Radin Sdn. Bhd.</v>
          </cell>
          <cell r="T1166" t="str">
            <v>Functioning</v>
          </cell>
          <cell r="U1166" t="str">
            <v>Asset</v>
          </cell>
          <cell r="V1166">
            <v>45000</v>
          </cell>
          <cell r="W1166" t="str">
            <v>Estimate</v>
          </cell>
          <cell r="X1166" t="str">
            <v>01/09/2010</v>
          </cell>
          <cell r="Y1166" t="str">
            <v>KEW</v>
          </cell>
          <cell r="Z1166" t="str">
            <v>16/08/2013</v>
          </cell>
          <cell r="AA1166" t="str">
            <v>15/08/2015</v>
          </cell>
          <cell r="AB1166" t="str">
            <v>No</v>
          </cell>
          <cell r="AC1166" t="str">
            <v>31/08/2013</v>
          </cell>
          <cell r="AD1166" t="str">
            <v>Good</v>
          </cell>
          <cell r="AE1166" t="str">
            <v>V1 - Existing / No Claim</v>
          </cell>
          <cell r="AF1166">
            <v>42601</v>
          </cell>
          <cell r="AG1166">
            <v>9.17</v>
          </cell>
          <cell r="AH1166" t="str">
            <v>PPM</v>
          </cell>
          <cell r="AI1166" t="str">
            <v>Strands</v>
          </cell>
          <cell r="AJ1166" t="str">
            <v>Strands PW</v>
          </cell>
          <cell r="AK1166" t="str">
            <v>Crash Trolley (FEMS)</v>
          </cell>
        </row>
        <row r="1167">
          <cell r="A1167" t="str">
            <v>IKN400768</v>
          </cell>
          <cell r="B1167">
            <v>768</v>
          </cell>
          <cell r="C1167" t="str">
            <v>Institut Kanser Negara</v>
          </cell>
          <cell r="D1167" t="str">
            <v>KKM/IKN/H/13/2748</v>
          </cell>
          <cell r="E1167" t="str">
            <v>12-647</v>
          </cell>
          <cell r="F1167" t="str">
            <v>Physiologic Monitoring Systems, Acute Care</v>
          </cell>
          <cell r="G1167" t="str">
            <v>ID</v>
          </cell>
          <cell r="H1167" t="str">
            <v>IMAGING DEPARTMENT</v>
          </cell>
          <cell r="I1167" t="str">
            <v>03ID108</v>
          </cell>
          <cell r="J1167" t="str">
            <v>RECOVERY/ BED WAIT</v>
          </cell>
          <cell r="K1167" t="str">
            <v>BMED</v>
          </cell>
          <cell r="L1167" t="str">
            <v>Critical</v>
          </cell>
          <cell r="M1167" t="str">
            <v>Finland</v>
          </cell>
          <cell r="N1167" t="str">
            <v>Carespace</v>
          </cell>
          <cell r="O1167" t="str">
            <v>Carespace B850</v>
          </cell>
          <cell r="P1167" t="str">
            <v>SED12370784GA</v>
          </cell>
          <cell r="Q1167" t="str">
            <v>Not Applicable</v>
          </cell>
          <cell r="R1167" t="str">
            <v>GE Healthcare Systems</v>
          </cell>
          <cell r="S1167" t="str">
            <v>GE Healthcare Technologies</v>
          </cell>
          <cell r="T1167" t="str">
            <v>Functioning</v>
          </cell>
          <cell r="U1167" t="str">
            <v>Asset</v>
          </cell>
          <cell r="V1167">
            <v>87400</v>
          </cell>
          <cell r="W1167" t="str">
            <v>KEW</v>
          </cell>
          <cell r="X1167" t="str">
            <v>01/09/2010</v>
          </cell>
          <cell r="Y1167" t="str">
            <v>KEW</v>
          </cell>
          <cell r="Z1167" t="str">
            <v>16/08/2013</v>
          </cell>
          <cell r="AA1167" t="str">
            <v>15/08/2015</v>
          </cell>
          <cell r="AB1167" t="str">
            <v>No</v>
          </cell>
          <cell r="AC1167" t="str">
            <v>31/08/2013</v>
          </cell>
          <cell r="AD1167" t="str">
            <v>Good</v>
          </cell>
          <cell r="AE1167" t="str">
            <v>V1 - Existing / No Claim</v>
          </cell>
          <cell r="AF1167">
            <v>42791</v>
          </cell>
          <cell r="AG1167">
            <v>9.17</v>
          </cell>
          <cell r="AH1167" t="str">
            <v>PPM</v>
          </cell>
          <cell r="AI1167" t="str">
            <v>Strands</v>
          </cell>
          <cell r="AJ1167" t="str">
            <v>Strands PW</v>
          </cell>
        </row>
        <row r="1168">
          <cell r="A1168" t="str">
            <v>IKN400769</v>
          </cell>
          <cell r="B1168">
            <v>769</v>
          </cell>
          <cell r="C1168" t="str">
            <v>Institut Kanser Negara</v>
          </cell>
          <cell r="D1168" t="str">
            <v>KKM/IKN/H/13/2749</v>
          </cell>
          <cell r="E1168" t="str">
            <v>12-647</v>
          </cell>
          <cell r="F1168" t="str">
            <v>Physiologic Monitoring Systems, Acute Care</v>
          </cell>
          <cell r="G1168" t="str">
            <v>ID</v>
          </cell>
          <cell r="H1168" t="str">
            <v>IMAGING DEPARTMENT</v>
          </cell>
          <cell r="I1168" t="str">
            <v>03ID108</v>
          </cell>
          <cell r="J1168" t="str">
            <v>RECOVERY/ BED WAIT</v>
          </cell>
          <cell r="K1168" t="str">
            <v>BMED</v>
          </cell>
          <cell r="L1168" t="str">
            <v>Normal</v>
          </cell>
          <cell r="M1168" t="str">
            <v>Finland</v>
          </cell>
          <cell r="N1168" t="str">
            <v>CareScape</v>
          </cell>
          <cell r="O1168" t="str">
            <v>CareScape B650</v>
          </cell>
          <cell r="P1168" t="str">
            <v>SEW12357356HA</v>
          </cell>
          <cell r="Q1168" t="str">
            <v>Not Applicable</v>
          </cell>
          <cell r="R1168" t="str">
            <v>GE Medical Systems</v>
          </cell>
          <cell r="S1168" t="str">
            <v>GE Healthcare Technologies</v>
          </cell>
          <cell r="T1168" t="str">
            <v>Functioning</v>
          </cell>
          <cell r="U1168" t="str">
            <v>Asset</v>
          </cell>
          <cell r="V1168">
            <v>87400</v>
          </cell>
          <cell r="W1168" t="str">
            <v>KEW</v>
          </cell>
          <cell r="X1168" t="str">
            <v>01/09/2010</v>
          </cell>
          <cell r="Y1168" t="str">
            <v>KEW</v>
          </cell>
          <cell r="Z1168" t="str">
            <v>16/08/2013</v>
          </cell>
          <cell r="AA1168" t="str">
            <v>15/08/2015</v>
          </cell>
          <cell r="AB1168" t="str">
            <v>No</v>
          </cell>
          <cell r="AC1168" t="str">
            <v>31/08/2013</v>
          </cell>
          <cell r="AD1168" t="str">
            <v>Good</v>
          </cell>
          <cell r="AE1168" t="str">
            <v>V1 - Existing / No Claim</v>
          </cell>
          <cell r="AF1168">
            <v>42235</v>
          </cell>
          <cell r="AG1168">
            <v>9.17</v>
          </cell>
          <cell r="AH1168" t="str">
            <v>PPM</v>
          </cell>
          <cell r="AI1168" t="str">
            <v>Strands</v>
          </cell>
          <cell r="AJ1168" t="str">
            <v>Strands PW</v>
          </cell>
        </row>
        <row r="1169">
          <cell r="A1169" t="str">
            <v>IKN400770</v>
          </cell>
          <cell r="B1169">
            <v>770</v>
          </cell>
          <cell r="C1169" t="str">
            <v>Institut Kanser Negara</v>
          </cell>
          <cell r="D1169" t="str">
            <v>KKM/IKN/H/13/4773</v>
          </cell>
          <cell r="E1169" t="str">
            <v>17-968</v>
          </cell>
          <cell r="F1169" t="str">
            <v>Injectors, Contrast Media</v>
          </cell>
          <cell r="G1169" t="str">
            <v>ID</v>
          </cell>
          <cell r="H1169" t="str">
            <v>IMAGING DEPARTMENT</v>
          </cell>
          <cell r="I1169" t="str">
            <v>03ID164</v>
          </cell>
          <cell r="J1169" t="str">
            <v>ANGIO(VE)</v>
          </cell>
          <cell r="K1169" t="str">
            <v>BMED</v>
          </cell>
          <cell r="L1169" t="str">
            <v>Critical</v>
          </cell>
          <cell r="M1169" t="str">
            <v>USA</v>
          </cell>
          <cell r="N1169" t="str">
            <v>Mark</v>
          </cell>
          <cell r="O1169" t="str">
            <v>Mark V Provis</v>
          </cell>
          <cell r="P1169" t="str">
            <v>200014</v>
          </cell>
          <cell r="Q1169" t="str">
            <v>Not Applicable</v>
          </cell>
          <cell r="R1169" t="str">
            <v>Medrad</v>
          </cell>
          <cell r="S1169" t="str">
            <v>Advance Altimas Sdn Bhd</v>
          </cell>
          <cell r="T1169" t="str">
            <v>Functioning</v>
          </cell>
          <cell r="U1169" t="str">
            <v>Asset</v>
          </cell>
          <cell r="V1169">
            <v>100000</v>
          </cell>
          <cell r="W1169" t="str">
            <v>Estimate</v>
          </cell>
          <cell r="X1169" t="str">
            <v>01/09/2010</v>
          </cell>
          <cell r="Y1169" t="str">
            <v>KEW</v>
          </cell>
          <cell r="Z1169" t="str">
            <v>16/08/2013</v>
          </cell>
          <cell r="AA1169" t="str">
            <v>15/08/2015</v>
          </cell>
          <cell r="AB1169" t="str">
            <v>No</v>
          </cell>
          <cell r="AC1169" t="str">
            <v>31/08/2013</v>
          </cell>
          <cell r="AD1169" t="str">
            <v>Good</v>
          </cell>
          <cell r="AE1169" t="str">
            <v>V1 - Existing / No Claim</v>
          </cell>
          <cell r="AF1169">
            <v>42601</v>
          </cell>
          <cell r="AG1169">
            <v>9.17</v>
          </cell>
          <cell r="AH1169" t="str">
            <v>PPM</v>
          </cell>
          <cell r="AI1169" t="str">
            <v>Strands</v>
          </cell>
          <cell r="AJ1169" t="str">
            <v>Strands Package</v>
          </cell>
          <cell r="AK1169" t="str">
            <v>Package Code XE0004. [4/6/2024, ANIS]: UPDATE NO. KKM</v>
          </cell>
        </row>
        <row r="1170">
          <cell r="A1170" t="str">
            <v>IKN400771</v>
          </cell>
          <cell r="B1170">
            <v>771</v>
          </cell>
          <cell r="C1170" t="str">
            <v>Institut Kanser Negara</v>
          </cell>
          <cell r="D1170" t="str">
            <v>KKM/IKN/H/14/57</v>
          </cell>
          <cell r="E1170" t="str">
            <v>15-976</v>
          </cell>
          <cell r="F1170" t="str">
            <v>Scanning Systems, Ultrasonic, General-Purpose</v>
          </cell>
          <cell r="G1170" t="str">
            <v>IC</v>
          </cell>
          <cell r="H1170" t="str">
            <v>INTENSIVE CARE UNIT</v>
          </cell>
          <cell r="I1170" t="str">
            <v>05IC106</v>
          </cell>
          <cell r="J1170" t="str">
            <v>ANGIO(VE)</v>
          </cell>
          <cell r="K1170" t="str">
            <v>BMED</v>
          </cell>
          <cell r="L1170" t="str">
            <v>Normal</v>
          </cell>
          <cell r="M1170" t="str">
            <v>China</v>
          </cell>
          <cell r="N1170" t="str">
            <v>Mindray</v>
          </cell>
          <cell r="O1170" t="str">
            <v>Mindray M7</v>
          </cell>
          <cell r="P1170" t="str">
            <v>NW-49004328</v>
          </cell>
          <cell r="Q1170" t="str">
            <v>Not Applicable</v>
          </cell>
          <cell r="R1170" t="str">
            <v>Shenzhen Mindray Bio-Medical Electronics Co Ltd</v>
          </cell>
          <cell r="S1170" t="str">
            <v>Mediliance (M) Sdn. Bhd.</v>
          </cell>
          <cell r="T1170" t="str">
            <v>Functioning</v>
          </cell>
          <cell r="U1170" t="str">
            <v>Asset</v>
          </cell>
          <cell r="V1170">
            <v>155000</v>
          </cell>
          <cell r="W1170" t="str">
            <v>KEW</v>
          </cell>
          <cell r="X1170" t="str">
            <v>05/09/2014</v>
          </cell>
          <cell r="Y1170" t="str">
            <v>KEW</v>
          </cell>
          <cell r="Z1170" t="str">
            <v>23/10/2014</v>
          </cell>
          <cell r="AA1170" t="str">
            <v>22/10/2018</v>
          </cell>
          <cell r="AB1170" t="str">
            <v>No</v>
          </cell>
          <cell r="AC1170" t="str">
            <v>23/10/2014</v>
          </cell>
          <cell r="AD1170" t="str">
            <v>Good</v>
          </cell>
          <cell r="AE1170" t="str">
            <v>V3 - Added Installed Facilities (New)</v>
          </cell>
          <cell r="AF1170">
            <v>42678</v>
          </cell>
          <cell r="AG1170">
            <v>5.17</v>
          </cell>
          <cell r="AH1170" t="str">
            <v>PPM</v>
          </cell>
          <cell r="AI1170" t="str">
            <v>Strands</v>
          </cell>
          <cell r="AJ1170" t="str">
            <v>Strands PW</v>
          </cell>
          <cell r="AK1170" t="str">
            <v>SNF received on 22.6.2020. [8/2/2024]: CHANGE LOC ID TO ICU.</v>
          </cell>
        </row>
        <row r="1171">
          <cell r="A1171" t="str">
            <v>IKN400772</v>
          </cell>
          <cell r="B1171">
            <v>772</v>
          </cell>
          <cell r="C1171" t="str">
            <v>Institut Kanser Negara</v>
          </cell>
          <cell r="D1171" t="str">
            <v>KKM/IKN/H/13/4288</v>
          </cell>
          <cell r="E1171" t="str">
            <v>13-249</v>
          </cell>
          <cell r="F1171" t="str">
            <v>Warming Units, Patient, Radiant, Adult</v>
          </cell>
          <cell r="G1171" t="str">
            <v>ID</v>
          </cell>
          <cell r="H1171" t="str">
            <v>IMAGING DEPARTMENT</v>
          </cell>
          <cell r="I1171" t="str">
            <v>03ID109</v>
          </cell>
          <cell r="J1171" t="str">
            <v>INDUCTION</v>
          </cell>
          <cell r="K1171" t="str">
            <v>BMED</v>
          </cell>
          <cell r="L1171" t="str">
            <v>Normal</v>
          </cell>
          <cell r="M1171" t="str">
            <v>Sweden</v>
          </cell>
          <cell r="N1171" t="str">
            <v>Aragona</v>
          </cell>
          <cell r="O1171" t="str">
            <v>Aragona MTC-410</v>
          </cell>
          <cell r="P1171" t="str">
            <v>1201</v>
          </cell>
          <cell r="Q1171" t="str">
            <v>Not Applicable</v>
          </cell>
          <cell r="R1171" t="str">
            <v>Aspira Medical AB</v>
          </cell>
          <cell r="S1171" t="str">
            <v>Perniagaan Med Tech</v>
          </cell>
          <cell r="T1171" t="str">
            <v>Functioning</v>
          </cell>
          <cell r="U1171" t="str">
            <v>Asset</v>
          </cell>
          <cell r="V1171">
            <v>12630</v>
          </cell>
          <cell r="W1171" t="str">
            <v>KEW</v>
          </cell>
          <cell r="X1171" t="str">
            <v>01/09/2010</v>
          </cell>
          <cell r="Y1171" t="str">
            <v>KEW</v>
          </cell>
          <cell r="Z1171" t="str">
            <v>16/08/2013</v>
          </cell>
          <cell r="AA1171" t="str">
            <v>15/08/2015</v>
          </cell>
          <cell r="AB1171" t="str">
            <v>No</v>
          </cell>
          <cell r="AC1171" t="str">
            <v>31/08/2013</v>
          </cell>
          <cell r="AD1171" t="str">
            <v>Good</v>
          </cell>
          <cell r="AE1171" t="str">
            <v>V1 - Existing / No Claim</v>
          </cell>
          <cell r="AF1171">
            <v>42235</v>
          </cell>
          <cell r="AG1171">
            <v>9.17</v>
          </cell>
          <cell r="AH1171" t="str">
            <v>PPM</v>
          </cell>
          <cell r="AI1171" t="str">
            <v>Strands</v>
          </cell>
          <cell r="AJ1171" t="str">
            <v>Strands PW</v>
          </cell>
        </row>
        <row r="1172">
          <cell r="A1172" t="str">
            <v>IKN400773</v>
          </cell>
          <cell r="B1172">
            <v>773</v>
          </cell>
          <cell r="C1172" t="str">
            <v>Institut Kanser Negara</v>
          </cell>
          <cell r="D1172" t="str">
            <v>KKM/IKN/H/14/52</v>
          </cell>
          <cell r="E1172" t="str">
            <v>15-976</v>
          </cell>
          <cell r="F1172" t="str">
            <v>Scanning Systems, Ultrasonic, General-Purpose</v>
          </cell>
          <cell r="G1172" t="str">
            <v>ID</v>
          </cell>
          <cell r="H1172" t="str">
            <v>IMAGING DEPARTMENT</v>
          </cell>
          <cell r="I1172" t="str">
            <v>03ID164</v>
          </cell>
          <cell r="J1172" t="str">
            <v>ANGIO(VE)</v>
          </cell>
          <cell r="K1172" t="str">
            <v>BMED</v>
          </cell>
          <cell r="L1172" t="str">
            <v>Normal</v>
          </cell>
          <cell r="M1172" t="str">
            <v>USA</v>
          </cell>
          <cell r="N1172" t="str">
            <v>Accuson</v>
          </cell>
          <cell r="O1172" t="str">
            <v>Accuson Freestyle</v>
          </cell>
          <cell r="P1172" t="str">
            <v>1275</v>
          </cell>
          <cell r="Q1172" t="str">
            <v>Not Applicable</v>
          </cell>
          <cell r="R1172" t="str">
            <v>Siemens Medical Systems</v>
          </cell>
          <cell r="S1172" t="str">
            <v>Ayzek Venture Ent</v>
          </cell>
          <cell r="T1172" t="str">
            <v>Functioning</v>
          </cell>
          <cell r="U1172" t="str">
            <v>Asset</v>
          </cell>
          <cell r="V1172">
            <v>335000</v>
          </cell>
          <cell r="W1172" t="str">
            <v>KEW</v>
          </cell>
          <cell r="X1172" t="str">
            <v>15/09/2014</v>
          </cell>
          <cell r="Y1172" t="str">
            <v>KEW</v>
          </cell>
          <cell r="Z1172" t="str">
            <v>16/10/2014</v>
          </cell>
          <cell r="AA1172" t="str">
            <v>15/10/2016</v>
          </cell>
          <cell r="AB1172" t="str">
            <v>No</v>
          </cell>
          <cell r="AC1172" t="str">
            <v>16/10/2014</v>
          </cell>
          <cell r="AD1172" t="str">
            <v>Good</v>
          </cell>
          <cell r="AE1172" t="str">
            <v>V3 - Added Installed Facilities (New)</v>
          </cell>
          <cell r="AF1172">
            <v>42678</v>
          </cell>
          <cell r="AG1172">
            <v>5.17</v>
          </cell>
          <cell r="AH1172" t="str">
            <v>PPM</v>
          </cell>
          <cell r="AI1172" t="str">
            <v>Strands</v>
          </cell>
          <cell r="AJ1172" t="str">
            <v>Strands PW</v>
          </cell>
          <cell r="AK1172" t="str">
            <v>SNF received on 22.6.2020</v>
          </cell>
        </row>
        <row r="1173">
          <cell r="A1173" t="str">
            <v>IKN400774</v>
          </cell>
          <cell r="B1173">
            <v>774</v>
          </cell>
          <cell r="C1173" t="str">
            <v>Institut Kanser Negara</v>
          </cell>
          <cell r="D1173" t="str">
            <v>KKM/IKN/H/13/5433</v>
          </cell>
          <cell r="E1173" t="str">
            <v>13-469</v>
          </cell>
          <cell r="F1173" t="str">
            <v>Scanning Systems, Computed Tomography</v>
          </cell>
          <cell r="G1173" t="str">
            <v>ID</v>
          </cell>
          <cell r="H1173" t="str">
            <v>IMAGING DEPARTMENT</v>
          </cell>
          <cell r="I1173" t="str">
            <v>03ID156</v>
          </cell>
          <cell r="J1173" t="str">
            <v>C.T. SCAN 1 (+VE)</v>
          </cell>
          <cell r="K1173" t="str">
            <v>BMED</v>
          </cell>
          <cell r="L1173" t="str">
            <v>Normal</v>
          </cell>
          <cell r="M1173" t="str">
            <v>Japan</v>
          </cell>
          <cell r="N1173" t="str">
            <v>Aquilion</v>
          </cell>
          <cell r="O1173" t="str">
            <v>Aquilion CXL</v>
          </cell>
          <cell r="P1173" t="str">
            <v>TCA1282022</v>
          </cell>
          <cell r="Q1173" t="str">
            <v>Not Applicable</v>
          </cell>
          <cell r="R1173" t="str">
            <v>Toshiba Corp</v>
          </cell>
          <cell r="S1173" t="str">
            <v>Meditek Equipment</v>
          </cell>
          <cell r="T1173" t="str">
            <v>Functioning</v>
          </cell>
          <cell r="U1173" t="str">
            <v>Asset</v>
          </cell>
          <cell r="V1173">
            <v>4605710</v>
          </cell>
          <cell r="W1173" t="str">
            <v>KEW</v>
          </cell>
          <cell r="X1173" t="str">
            <v>01/09/2010</v>
          </cell>
          <cell r="Y1173" t="str">
            <v>KEW</v>
          </cell>
          <cell r="Z1173" t="str">
            <v>16/08/2013</v>
          </cell>
          <cell r="AA1173" t="str">
            <v>15/08/2015</v>
          </cell>
          <cell r="AB1173" t="str">
            <v>No</v>
          </cell>
          <cell r="AC1173" t="str">
            <v>31/08/2013</v>
          </cell>
          <cell r="AD1173" t="str">
            <v>Good</v>
          </cell>
          <cell r="AE1173" t="str">
            <v>V1 - Existing / No Claim</v>
          </cell>
          <cell r="AF1173">
            <v>42235</v>
          </cell>
          <cell r="AG1173">
            <v>9.17</v>
          </cell>
          <cell r="AH1173" t="str">
            <v>PPM</v>
          </cell>
          <cell r="AI1173" t="str">
            <v>Strands</v>
          </cell>
          <cell r="AJ1173" t="str">
            <v>Strands Package</v>
          </cell>
          <cell r="AK1173" t="str">
            <v>Package Code XC0004-N [20/9/2023, ANIS]: UPDATED NO. KEWPA</v>
          </cell>
        </row>
        <row r="1174">
          <cell r="A1174" t="str">
            <v>IKN400775</v>
          </cell>
          <cell r="B1174">
            <v>775</v>
          </cell>
          <cell r="C1174" t="str">
            <v>Institut Kanser Negara</v>
          </cell>
          <cell r="D1174" t="str">
            <v>KKM/IKN/H/13/1657</v>
          </cell>
          <cell r="E1174" t="str">
            <v>15-976</v>
          </cell>
          <cell r="F1174" t="str">
            <v>Scanning Systems, Ultrasonic, General-Purpose</v>
          </cell>
          <cell r="G1174" t="str">
            <v>ID</v>
          </cell>
          <cell r="H1174" t="str">
            <v>IMAGING DEPARTMENT</v>
          </cell>
          <cell r="I1174" t="str">
            <v>03ID162</v>
          </cell>
          <cell r="J1174" t="str">
            <v>ULTRA SOUND</v>
          </cell>
          <cell r="K1174" t="str">
            <v>BMED</v>
          </cell>
          <cell r="L1174" t="str">
            <v>Normal</v>
          </cell>
          <cell r="M1174" t="str">
            <v>USA</v>
          </cell>
          <cell r="N1174" t="str">
            <v>Logiq</v>
          </cell>
          <cell r="O1174" t="str">
            <v>Logiq E9</v>
          </cell>
          <cell r="P1174" t="str">
            <v>112460US1</v>
          </cell>
          <cell r="Q1174" t="str">
            <v>Not Applicable</v>
          </cell>
          <cell r="R1174" t="str">
            <v>GE Healthcare Systems</v>
          </cell>
          <cell r="S1174" t="str">
            <v>GE Healthcare Technologies</v>
          </cell>
          <cell r="T1174" t="str">
            <v>Functioning</v>
          </cell>
          <cell r="U1174" t="str">
            <v>Asset</v>
          </cell>
          <cell r="V1174">
            <v>1044560</v>
          </cell>
          <cell r="W1174" t="str">
            <v>KEW</v>
          </cell>
          <cell r="X1174" t="str">
            <v>01/09/2010</v>
          </cell>
          <cell r="Y1174" t="str">
            <v>KEW</v>
          </cell>
          <cell r="Z1174" t="str">
            <v>16/08/2013</v>
          </cell>
          <cell r="AA1174" t="str">
            <v>15/08/2015</v>
          </cell>
          <cell r="AB1174" t="str">
            <v>No</v>
          </cell>
          <cell r="AC1174" t="str">
            <v>31/08/2013</v>
          </cell>
          <cell r="AD1174" t="str">
            <v>Good</v>
          </cell>
          <cell r="AE1174" t="str">
            <v>V1 - Existing / No Claim</v>
          </cell>
          <cell r="AF1174">
            <v>42791</v>
          </cell>
          <cell r="AG1174">
            <v>9.17</v>
          </cell>
          <cell r="AH1174" t="str">
            <v>PPM</v>
          </cell>
          <cell r="AI1174" t="str">
            <v>Strands</v>
          </cell>
          <cell r="AJ1174" t="str">
            <v>Strands Package</v>
          </cell>
          <cell r="AK1174" t="str">
            <v>Package Code XU0019-S</v>
          </cell>
        </row>
        <row r="1175">
          <cell r="A1175" t="str">
            <v>IKN400776</v>
          </cell>
          <cell r="B1175">
            <v>776</v>
          </cell>
          <cell r="C1175" t="str">
            <v>Institut Kanser Negara</v>
          </cell>
          <cell r="D1175" t="str">
            <v>KKM/IKN/H/13/1656</v>
          </cell>
          <cell r="E1175" t="str">
            <v>15-976</v>
          </cell>
          <cell r="F1175" t="str">
            <v>Scanning Systems, Ultrasonic, General-Purpose</v>
          </cell>
          <cell r="G1175" t="str">
            <v>ID</v>
          </cell>
          <cell r="H1175" t="str">
            <v>IMAGING DEPARTMENT</v>
          </cell>
          <cell r="I1175" t="str">
            <v>03ID162</v>
          </cell>
          <cell r="J1175" t="str">
            <v>ULTRA SOUND</v>
          </cell>
          <cell r="K1175" t="str">
            <v>BMED</v>
          </cell>
          <cell r="L1175" t="str">
            <v>Normal</v>
          </cell>
          <cell r="M1175" t="str">
            <v>USA</v>
          </cell>
          <cell r="N1175" t="str">
            <v>Logiq</v>
          </cell>
          <cell r="O1175" t="str">
            <v>Logiq E9</v>
          </cell>
          <cell r="P1175" t="str">
            <v>112456US9</v>
          </cell>
          <cell r="Q1175" t="str">
            <v>Not Applicable</v>
          </cell>
          <cell r="R1175" t="str">
            <v>GE Healthcare Systems</v>
          </cell>
          <cell r="S1175" t="str">
            <v>GE Healthcare Technologies</v>
          </cell>
          <cell r="T1175" t="str">
            <v>Functioning</v>
          </cell>
          <cell r="U1175" t="str">
            <v>Asset</v>
          </cell>
          <cell r="V1175">
            <v>1044560</v>
          </cell>
          <cell r="W1175" t="str">
            <v>KEW</v>
          </cell>
          <cell r="X1175" t="str">
            <v>01/09/2010</v>
          </cell>
          <cell r="Y1175" t="str">
            <v>KEW</v>
          </cell>
          <cell r="Z1175" t="str">
            <v>16/08/2013</v>
          </cell>
          <cell r="AA1175" t="str">
            <v>15/08/2015</v>
          </cell>
          <cell r="AB1175" t="str">
            <v>No</v>
          </cell>
          <cell r="AC1175" t="str">
            <v>31/08/2013</v>
          </cell>
          <cell r="AD1175" t="str">
            <v>Good</v>
          </cell>
          <cell r="AE1175" t="str">
            <v>V1 - Existing / No Claim</v>
          </cell>
          <cell r="AF1175">
            <v>42791</v>
          </cell>
          <cell r="AG1175">
            <v>9.17</v>
          </cell>
          <cell r="AH1175" t="str">
            <v>PPM</v>
          </cell>
          <cell r="AI1175" t="str">
            <v>Strands</v>
          </cell>
          <cell r="AJ1175" t="str">
            <v>Strands Package</v>
          </cell>
          <cell r="AK1175" t="str">
            <v>Package Code XU0019-S</v>
          </cell>
        </row>
        <row r="1176">
          <cell r="A1176" t="str">
            <v>IKN400777</v>
          </cell>
          <cell r="B1176">
            <v>777</v>
          </cell>
          <cell r="C1176" t="str">
            <v>Institut Kanser Negara</v>
          </cell>
          <cell r="D1176" t="str">
            <v>KKM/IKN/H/13/2655</v>
          </cell>
          <cell r="E1176" t="str">
            <v>10-134</v>
          </cell>
          <cell r="F1176" t="str">
            <v>Anesthesia Units</v>
          </cell>
          <cell r="G1176" t="str">
            <v>IC</v>
          </cell>
          <cell r="H1176" t="str">
            <v>INTENSIVE CARE UNIT</v>
          </cell>
          <cell r="I1176" t="str">
            <v>03ID167</v>
          </cell>
          <cell r="J1176" t="str">
            <v>EQ.STORE</v>
          </cell>
          <cell r="K1176" t="str">
            <v>BMED</v>
          </cell>
          <cell r="L1176" t="str">
            <v>Critical</v>
          </cell>
          <cell r="M1176" t="str">
            <v>Germany</v>
          </cell>
          <cell r="N1176" t="str">
            <v>Primus</v>
          </cell>
          <cell r="O1176" t="str">
            <v>Primus</v>
          </cell>
          <cell r="P1176" t="str">
            <v>ASDJ-0237</v>
          </cell>
          <cell r="Q1176" t="str">
            <v>Not Applicable</v>
          </cell>
          <cell r="R1176" t="str">
            <v>Drager medical GmbH</v>
          </cell>
          <cell r="S1176" t="str">
            <v>Beau Consortium Sdn Bhd</v>
          </cell>
          <cell r="T1176" t="str">
            <v>Functioning</v>
          </cell>
          <cell r="U1176" t="str">
            <v>Asset</v>
          </cell>
          <cell r="V1176">
            <v>144345</v>
          </cell>
          <cell r="W1176" t="str">
            <v>KEW</v>
          </cell>
          <cell r="X1176" t="str">
            <v>01/09/2010</v>
          </cell>
          <cell r="Y1176" t="str">
            <v>KEW</v>
          </cell>
          <cell r="Z1176" t="str">
            <v>16/08/2013</v>
          </cell>
          <cell r="AA1176" t="str">
            <v>15/08/2015</v>
          </cell>
          <cell r="AB1176" t="str">
            <v>No</v>
          </cell>
          <cell r="AC1176" t="str">
            <v>31/08/2013</v>
          </cell>
          <cell r="AD1176" t="str">
            <v>Good</v>
          </cell>
          <cell r="AE1176" t="str">
            <v>V1 - Existing / No Claim</v>
          </cell>
          <cell r="AF1176">
            <v>42791</v>
          </cell>
          <cell r="AG1176">
            <v>9.17</v>
          </cell>
          <cell r="AH1176" t="str">
            <v>PPM</v>
          </cell>
          <cell r="AI1176" t="str">
            <v>Strands</v>
          </cell>
          <cell r="AJ1176" t="str">
            <v>Strands PW</v>
          </cell>
          <cell r="AK1176" t="str">
            <v>[5/3/2024, ANIS]: UNDER ICU, BARANG DI RADIOLOGY.</v>
          </cell>
        </row>
        <row r="1177">
          <cell r="A1177" t="str">
            <v>IKN400778</v>
          </cell>
          <cell r="B1177">
            <v>778</v>
          </cell>
          <cell r="C1177" t="str">
            <v>Institut Kanser Negara</v>
          </cell>
          <cell r="D1177" t="str">
            <v>KKM/IKN/H/13/2750</v>
          </cell>
          <cell r="E1177" t="str">
            <v>12-647</v>
          </cell>
          <cell r="F1177" t="str">
            <v>Physiologic Monitoring Systems, Acute Care</v>
          </cell>
          <cell r="G1177" t="str">
            <v>ID</v>
          </cell>
          <cell r="H1177" t="str">
            <v>IMAGING DEPARTMENT</v>
          </cell>
          <cell r="I1177" t="str">
            <v>03ID167</v>
          </cell>
          <cell r="J1177" t="str">
            <v>EQ.STORE</v>
          </cell>
          <cell r="K1177" t="str">
            <v>BMED</v>
          </cell>
          <cell r="L1177" t="str">
            <v>Critical</v>
          </cell>
          <cell r="M1177" t="str">
            <v>USA</v>
          </cell>
          <cell r="N1177" t="str">
            <v>GE</v>
          </cell>
          <cell r="O1177" t="str">
            <v>GE B30</v>
          </cell>
          <cell r="P1177" t="str">
            <v>SF312325922WA</v>
          </cell>
          <cell r="Q1177" t="str">
            <v>Not Applicable</v>
          </cell>
          <cell r="R1177" t="str">
            <v>GE Healthcare Systems</v>
          </cell>
          <cell r="S1177" t="str">
            <v>GE Healthcare Technologies</v>
          </cell>
          <cell r="T1177" t="str">
            <v>Functioning</v>
          </cell>
          <cell r="U1177" t="str">
            <v>Asset</v>
          </cell>
          <cell r="V1177">
            <v>44510</v>
          </cell>
          <cell r="W1177" t="str">
            <v>KEW</v>
          </cell>
          <cell r="X1177" t="str">
            <v>01/09/2010</v>
          </cell>
          <cell r="Y1177" t="str">
            <v>KEW</v>
          </cell>
          <cell r="Z1177" t="str">
            <v>16/08/2013</v>
          </cell>
          <cell r="AA1177" t="str">
            <v>15/08/2015</v>
          </cell>
          <cell r="AB1177" t="str">
            <v>No</v>
          </cell>
          <cell r="AC1177" t="str">
            <v>31/08/2013</v>
          </cell>
          <cell r="AD1177" t="str">
            <v>Good</v>
          </cell>
          <cell r="AE1177" t="str">
            <v>V1 - Existing / No Claim</v>
          </cell>
          <cell r="AF1177">
            <v>42791</v>
          </cell>
          <cell r="AG1177">
            <v>9.17</v>
          </cell>
          <cell r="AH1177" t="str">
            <v>PPM</v>
          </cell>
          <cell r="AI1177" t="str">
            <v>Strands</v>
          </cell>
          <cell r="AJ1177" t="str">
            <v>Strands PW</v>
          </cell>
        </row>
        <row r="1178">
          <cell r="A1178" t="str">
            <v>IKN400779</v>
          </cell>
          <cell r="B1178">
            <v>779</v>
          </cell>
          <cell r="C1178" t="str">
            <v>Institut Kanser Negara</v>
          </cell>
          <cell r="D1178" t="str">
            <v>KKM/IKN/H/13/4774</v>
          </cell>
          <cell r="E1178" t="str">
            <v>12-647</v>
          </cell>
          <cell r="F1178" t="str">
            <v>Physiologic Monitoring Systems, Acute Care</v>
          </cell>
          <cell r="G1178" t="str">
            <v>ID</v>
          </cell>
          <cell r="H1178" t="str">
            <v>IMAGING DEPARTMENT</v>
          </cell>
          <cell r="I1178" t="str">
            <v>03ID164</v>
          </cell>
          <cell r="J1178" t="str">
            <v>ANGIO(VE)</v>
          </cell>
          <cell r="K1178" t="str">
            <v>BMED</v>
          </cell>
          <cell r="L1178" t="str">
            <v>Critical</v>
          </cell>
          <cell r="M1178" t="str">
            <v>Germany</v>
          </cell>
          <cell r="N1178" t="str">
            <v>IntelliVue</v>
          </cell>
          <cell r="O1178" t="str">
            <v>IntelliVue MP5</v>
          </cell>
          <cell r="P1178" t="str">
            <v>DE70404757</v>
          </cell>
          <cell r="Q1178" t="str">
            <v>Not Applicable</v>
          </cell>
          <cell r="R1178" t="str">
            <v>Philips Medical Systems</v>
          </cell>
          <cell r="S1178" t="str">
            <v>Advance Altimas Sdn Bhd</v>
          </cell>
          <cell r="T1178" t="str">
            <v>Functioning</v>
          </cell>
          <cell r="U1178" t="str">
            <v>Asset</v>
          </cell>
          <cell r="V1178">
            <v>20000</v>
          </cell>
          <cell r="W1178" t="str">
            <v>Estimate</v>
          </cell>
          <cell r="X1178" t="str">
            <v>01/09/2010</v>
          </cell>
          <cell r="Y1178" t="str">
            <v>KEW</v>
          </cell>
          <cell r="Z1178" t="str">
            <v>16/08/2013</v>
          </cell>
          <cell r="AA1178" t="str">
            <v>15/08/2015</v>
          </cell>
          <cell r="AB1178" t="str">
            <v>No</v>
          </cell>
          <cell r="AC1178" t="str">
            <v>31/08/2013</v>
          </cell>
          <cell r="AD1178" t="str">
            <v>Good</v>
          </cell>
          <cell r="AE1178" t="str">
            <v>V1 - Existing / No Claim</v>
          </cell>
          <cell r="AF1178">
            <v>42601</v>
          </cell>
          <cell r="AG1178">
            <v>9.17</v>
          </cell>
          <cell r="AH1178" t="str">
            <v>PPM</v>
          </cell>
          <cell r="AI1178" t="str">
            <v>Strands</v>
          </cell>
          <cell r="AJ1178" t="str">
            <v>Strands PW</v>
          </cell>
        </row>
        <row r="1179">
          <cell r="A1179" t="str">
            <v>IKN400780</v>
          </cell>
          <cell r="B1179">
            <v>780</v>
          </cell>
          <cell r="C1179" t="str">
            <v>Institut Kanser Negara</v>
          </cell>
          <cell r="D1179" t="str">
            <v>KKM/IKN/H/13/2662</v>
          </cell>
          <cell r="E1179" t="str">
            <v>17-950</v>
          </cell>
          <cell r="F1179" t="str">
            <v>Warming Units, Patient, Forced-Air</v>
          </cell>
          <cell r="G1179" t="str">
            <v>ID</v>
          </cell>
          <cell r="H1179" t="str">
            <v>IMAGING DEPARTMENT</v>
          </cell>
          <cell r="I1179" t="str">
            <v>03ID167</v>
          </cell>
          <cell r="J1179" t="str">
            <v>EQ.STORE</v>
          </cell>
          <cell r="K1179" t="str">
            <v>BMED</v>
          </cell>
          <cell r="L1179" t="str">
            <v>Normal</v>
          </cell>
          <cell r="M1179" t="str">
            <v>USA</v>
          </cell>
          <cell r="N1179" t="str">
            <v>Bair Hugger</v>
          </cell>
          <cell r="O1179" t="str">
            <v>Bair Hugger 775</v>
          </cell>
          <cell r="P1179" t="str">
            <v>35934</v>
          </cell>
          <cell r="Q1179" t="str">
            <v>Not Applicable</v>
          </cell>
          <cell r="R1179" t="str">
            <v>Arizant Healthcare Inc</v>
          </cell>
          <cell r="S1179" t="str">
            <v>Calmed Healthcare Sdn Bhd</v>
          </cell>
          <cell r="T1179" t="str">
            <v>Functioning</v>
          </cell>
          <cell r="U1179" t="str">
            <v>Asset</v>
          </cell>
          <cell r="V1179">
            <v>15515</v>
          </cell>
          <cell r="W1179" t="str">
            <v>KEW</v>
          </cell>
          <cell r="X1179" t="str">
            <v>01/09/2010</v>
          </cell>
          <cell r="Y1179" t="str">
            <v>KEW</v>
          </cell>
          <cell r="Z1179" t="str">
            <v>16/08/2013</v>
          </cell>
          <cell r="AA1179" t="str">
            <v>15/08/2015</v>
          </cell>
          <cell r="AB1179" t="str">
            <v>No</v>
          </cell>
          <cell r="AC1179" t="str">
            <v>31/08/2013</v>
          </cell>
          <cell r="AD1179" t="str">
            <v>Good</v>
          </cell>
          <cell r="AE1179" t="str">
            <v>V1 - Existing / No Claim</v>
          </cell>
          <cell r="AF1179">
            <v>42235</v>
          </cell>
          <cell r="AG1179">
            <v>9.17</v>
          </cell>
          <cell r="AH1179" t="str">
            <v>PPM</v>
          </cell>
          <cell r="AI1179" t="str">
            <v>Strands</v>
          </cell>
          <cell r="AJ1179" t="str">
            <v>Strands PW</v>
          </cell>
        </row>
        <row r="1180">
          <cell r="A1180" t="str">
            <v>IKN400781</v>
          </cell>
          <cell r="B1180">
            <v>781</v>
          </cell>
          <cell r="C1180" t="str">
            <v>Institut Kanser Negara</v>
          </cell>
          <cell r="D1180" t="str">
            <v>KKM/IKN/H/13/2682</v>
          </cell>
          <cell r="E1180" t="str">
            <v>17-950</v>
          </cell>
          <cell r="F1180" t="str">
            <v>Warming Units, Patient, Forced-Air</v>
          </cell>
          <cell r="G1180" t="str">
            <v>ID</v>
          </cell>
          <cell r="H1180" t="str">
            <v>IMAGING DEPARTMENT</v>
          </cell>
          <cell r="I1180" t="str">
            <v>03ID167</v>
          </cell>
          <cell r="J1180" t="str">
            <v>EQ.STORE</v>
          </cell>
          <cell r="K1180" t="str">
            <v>BMED</v>
          </cell>
          <cell r="L1180" t="str">
            <v>Normal</v>
          </cell>
          <cell r="M1180" t="str">
            <v>USA</v>
          </cell>
          <cell r="N1180" t="str">
            <v>Bair Hugger</v>
          </cell>
          <cell r="O1180" t="str">
            <v>Bair Hugger 775</v>
          </cell>
          <cell r="P1180" t="str">
            <v>35933</v>
          </cell>
          <cell r="Q1180" t="str">
            <v>Not Applicable</v>
          </cell>
          <cell r="R1180" t="str">
            <v>Arizant Healthcare Inc</v>
          </cell>
          <cell r="S1180" t="str">
            <v>Calmed Healthcare Sdn Bhd</v>
          </cell>
          <cell r="T1180" t="str">
            <v>Functioning</v>
          </cell>
          <cell r="U1180" t="str">
            <v>Asset</v>
          </cell>
          <cell r="V1180">
            <v>15515</v>
          </cell>
          <cell r="W1180" t="str">
            <v>KEW</v>
          </cell>
          <cell r="X1180" t="str">
            <v>01/09/2010</v>
          </cell>
          <cell r="Y1180" t="str">
            <v>KEW</v>
          </cell>
          <cell r="Z1180" t="str">
            <v>16/08/2013</v>
          </cell>
          <cell r="AA1180" t="str">
            <v>15/08/2015</v>
          </cell>
          <cell r="AB1180" t="str">
            <v>No</v>
          </cell>
          <cell r="AC1180" t="str">
            <v>31/08/2013</v>
          </cell>
          <cell r="AD1180" t="str">
            <v>Good</v>
          </cell>
          <cell r="AE1180" t="str">
            <v>V1 - Existing / No Claim</v>
          </cell>
          <cell r="AF1180">
            <v>42235</v>
          </cell>
          <cell r="AG1180">
            <v>9.17</v>
          </cell>
          <cell r="AH1180" t="str">
            <v>PPM</v>
          </cell>
          <cell r="AI1180" t="str">
            <v>Strands</v>
          </cell>
          <cell r="AJ1180" t="str">
            <v>Strands PW</v>
          </cell>
        </row>
        <row r="1181">
          <cell r="A1181" t="str">
            <v>IKN400782</v>
          </cell>
          <cell r="B1181">
            <v>782</v>
          </cell>
          <cell r="C1181" t="str">
            <v>Institut Kanser Negara</v>
          </cell>
          <cell r="D1181" t="str">
            <v>KKM/IKN/H/13/5433 - 17</v>
          </cell>
          <cell r="E1181" t="str">
            <v>17-679</v>
          </cell>
          <cell r="F1181" t="str">
            <v>Laser Imagers</v>
          </cell>
          <cell r="G1181" t="str">
            <v>ID</v>
          </cell>
          <cell r="H1181" t="str">
            <v>IMAGING DEPARTMENT</v>
          </cell>
          <cell r="I1181" t="str">
            <v>03ID178</v>
          </cell>
          <cell r="J1181" t="str">
            <v>PACS BAY</v>
          </cell>
          <cell r="K1181" t="str">
            <v>BMED</v>
          </cell>
          <cell r="L1181" t="str">
            <v>Normal</v>
          </cell>
          <cell r="M1181" t="str">
            <v>USA</v>
          </cell>
          <cell r="N1181" t="str">
            <v>DryView</v>
          </cell>
          <cell r="O1181" t="str">
            <v>DryView 6850</v>
          </cell>
          <cell r="P1181" t="str">
            <v>68503673</v>
          </cell>
          <cell r="Q1181" t="str">
            <v>Not Applicable</v>
          </cell>
          <cell r="R1181" t="str">
            <v>Carestream Health Inc</v>
          </cell>
          <cell r="S1181" t="str">
            <v>Best Contact (M) Sdn Bhd</v>
          </cell>
          <cell r="T1181" t="str">
            <v>Functioning</v>
          </cell>
          <cell r="U1181" t="str">
            <v>Asset</v>
          </cell>
          <cell r="V1181">
            <v>83100</v>
          </cell>
          <cell r="W1181" t="str">
            <v>KEW</v>
          </cell>
          <cell r="X1181" t="str">
            <v>01/09/2010</v>
          </cell>
          <cell r="Y1181" t="str">
            <v>KEW</v>
          </cell>
          <cell r="Z1181" t="str">
            <v>16/08/2013</v>
          </cell>
          <cell r="AA1181" t="str">
            <v>15/08/2015</v>
          </cell>
          <cell r="AB1181" t="str">
            <v>No</v>
          </cell>
          <cell r="AC1181" t="str">
            <v>31/08/2013</v>
          </cell>
          <cell r="AD1181" t="str">
            <v>Good</v>
          </cell>
          <cell r="AE1181" t="str">
            <v>V1 - Existing / No Claim</v>
          </cell>
          <cell r="AF1181">
            <v>42235</v>
          </cell>
          <cell r="AG1181">
            <v>9.17</v>
          </cell>
          <cell r="AH1181" t="str">
            <v>PPM</v>
          </cell>
          <cell r="AI1181" t="str">
            <v>Strands</v>
          </cell>
          <cell r="AJ1181" t="str">
            <v>Strands Package</v>
          </cell>
          <cell r="AK1181" t="str">
            <v>[21/9/2023, Anis]: Package CT Scan. Package Code XC0004-N</v>
          </cell>
        </row>
        <row r="1182">
          <cell r="A1182" t="str">
            <v>IKN400784</v>
          </cell>
          <cell r="B1182">
            <v>784</v>
          </cell>
          <cell r="C1182" t="str">
            <v>Institut Kanser Negara</v>
          </cell>
          <cell r="D1182" t="str">
            <v>KKM/IKN/H/13/3947</v>
          </cell>
          <cell r="E1182" t="str">
            <v>12-282</v>
          </cell>
          <cell r="F1182" t="str">
            <v>Lights, Surgical</v>
          </cell>
          <cell r="G1182" t="str">
            <v>AE</v>
          </cell>
          <cell r="H1182" t="str">
            <v>EMERGENCY UNIT</v>
          </cell>
          <cell r="I1182" t="str">
            <v>01AE118</v>
          </cell>
          <cell r="J1182" t="str">
            <v>RESUSCITATION TREATMENT 1</v>
          </cell>
          <cell r="K1182" t="str">
            <v>BMED</v>
          </cell>
          <cell r="L1182" t="str">
            <v>Critical</v>
          </cell>
          <cell r="M1182" t="str">
            <v>USA</v>
          </cell>
          <cell r="N1182" t="str">
            <v>Welch Allyn</v>
          </cell>
          <cell r="O1182" t="str">
            <v>Welch Allyn GS900</v>
          </cell>
          <cell r="P1182" t="str">
            <v>10043011102376</v>
          </cell>
          <cell r="Q1182" t="str">
            <v>Not Applicable</v>
          </cell>
          <cell r="R1182" t="str">
            <v>Welch Allyn Inc</v>
          </cell>
          <cell r="S1182" t="str">
            <v>Welch Allyn Malaysia Sdn Bhd</v>
          </cell>
          <cell r="T1182" t="str">
            <v>Functioning</v>
          </cell>
          <cell r="U1182" t="str">
            <v>Asset</v>
          </cell>
          <cell r="V1182">
            <v>10585</v>
          </cell>
          <cell r="W1182" t="str">
            <v>KEW</v>
          </cell>
          <cell r="X1182" t="str">
            <v>01/09/2010</v>
          </cell>
          <cell r="Y1182" t="str">
            <v>KEW</v>
          </cell>
          <cell r="Z1182" t="str">
            <v>16/08/2013</v>
          </cell>
          <cell r="AA1182" t="str">
            <v>15/08/2015</v>
          </cell>
          <cell r="AB1182" t="str">
            <v>No</v>
          </cell>
          <cell r="AC1182" t="str">
            <v>31/08/2013</v>
          </cell>
          <cell r="AD1182" t="str">
            <v>Good</v>
          </cell>
          <cell r="AE1182" t="str">
            <v>V1 - Existing / No Claim</v>
          </cell>
          <cell r="AF1182">
            <v>42800</v>
          </cell>
          <cell r="AG1182">
            <v>9.17</v>
          </cell>
          <cell r="AH1182" t="str">
            <v>PPM</v>
          </cell>
          <cell r="AI1182" t="str">
            <v>Strands</v>
          </cell>
          <cell r="AJ1182" t="str">
            <v>Strands PW</v>
          </cell>
        </row>
        <row r="1183">
          <cell r="A1183" t="str">
            <v>IKN400785</v>
          </cell>
          <cell r="B1183">
            <v>785</v>
          </cell>
          <cell r="C1183" t="str">
            <v>Institut Kanser Negara</v>
          </cell>
          <cell r="D1183" t="str">
            <v>KKM/IKN/H/13/3946</v>
          </cell>
          <cell r="E1183" t="str">
            <v>12-282</v>
          </cell>
          <cell r="F1183" t="str">
            <v>Lights, Surgical</v>
          </cell>
          <cell r="G1183" t="str">
            <v>AE</v>
          </cell>
          <cell r="H1183" t="str">
            <v>EMERGENCY UNIT</v>
          </cell>
          <cell r="I1183" t="str">
            <v>01AE119</v>
          </cell>
          <cell r="J1183" t="str">
            <v>RESUSCITATION/TREATMENT</v>
          </cell>
          <cell r="K1183" t="str">
            <v>BMED</v>
          </cell>
          <cell r="L1183" t="str">
            <v>Critical</v>
          </cell>
          <cell r="M1183" t="str">
            <v>USA</v>
          </cell>
          <cell r="N1183" t="str">
            <v>Welch Allyn</v>
          </cell>
          <cell r="O1183" t="str">
            <v>Welch Allyn GS900</v>
          </cell>
          <cell r="P1183" t="str">
            <v>10033711107113</v>
          </cell>
          <cell r="Q1183" t="str">
            <v>Not Applicable</v>
          </cell>
          <cell r="R1183" t="str">
            <v>Welch Allyn Inc</v>
          </cell>
          <cell r="S1183" t="str">
            <v>Welch Allyn Malaysia Sdn Bhd</v>
          </cell>
          <cell r="T1183" t="str">
            <v>Functioning</v>
          </cell>
          <cell r="U1183" t="str">
            <v>Asset</v>
          </cell>
          <cell r="V1183">
            <v>10585</v>
          </cell>
          <cell r="W1183" t="str">
            <v>KEW</v>
          </cell>
          <cell r="X1183" t="str">
            <v>01/09/2010</v>
          </cell>
          <cell r="Y1183" t="str">
            <v>KEW</v>
          </cell>
          <cell r="Z1183" t="str">
            <v>16/08/2013</v>
          </cell>
          <cell r="AA1183" t="str">
            <v>15/08/2015</v>
          </cell>
          <cell r="AB1183" t="str">
            <v>No</v>
          </cell>
          <cell r="AC1183" t="str">
            <v>31/08/2013</v>
          </cell>
          <cell r="AD1183" t="str">
            <v>Good</v>
          </cell>
          <cell r="AE1183" t="str">
            <v>V1 - Existing / No Claim</v>
          </cell>
          <cell r="AF1183">
            <v>42800</v>
          </cell>
          <cell r="AG1183">
            <v>9.17</v>
          </cell>
          <cell r="AH1183" t="str">
            <v>PPM</v>
          </cell>
          <cell r="AI1183" t="str">
            <v>Strands</v>
          </cell>
          <cell r="AJ1183" t="str">
            <v>Strands PW</v>
          </cell>
        </row>
        <row r="1184">
          <cell r="A1184" t="str">
            <v>IKN400786</v>
          </cell>
          <cell r="B1184">
            <v>786</v>
          </cell>
          <cell r="C1184" t="str">
            <v>Institut Kanser Negara</v>
          </cell>
          <cell r="D1184" t="str">
            <v>KKM/IKN/H/13/3163</v>
          </cell>
          <cell r="E1184" t="str">
            <v>16-597</v>
          </cell>
          <cell r="F1184" t="str">
            <v>Radiographic/Fluoroscopic Systems, Angiographic/Intervention</v>
          </cell>
          <cell r="G1184" t="str">
            <v>ID</v>
          </cell>
          <cell r="H1184" t="str">
            <v>IMAGING DEPARTMENT</v>
          </cell>
          <cell r="I1184" t="str">
            <v>03ID164</v>
          </cell>
          <cell r="J1184" t="str">
            <v>ANGIO(VE)</v>
          </cell>
          <cell r="K1184" t="str">
            <v>BMED</v>
          </cell>
          <cell r="L1184" t="str">
            <v>Normal</v>
          </cell>
          <cell r="M1184" t="str">
            <v>The Netherlands</v>
          </cell>
          <cell r="N1184" t="str">
            <v>Allura</v>
          </cell>
          <cell r="O1184" t="str">
            <v>Allura Xper Fd 20/20</v>
          </cell>
          <cell r="P1184" t="str">
            <v>325</v>
          </cell>
          <cell r="Q1184" t="str">
            <v>Not Applicable</v>
          </cell>
          <cell r="R1184" t="str">
            <v>Philips Medical Systems</v>
          </cell>
          <cell r="S1184" t="str">
            <v>Advance Altimas Sdn Bhd</v>
          </cell>
          <cell r="T1184" t="str">
            <v>Functioning</v>
          </cell>
          <cell r="U1184" t="str">
            <v>Asset</v>
          </cell>
          <cell r="V1184">
            <v>0</v>
          </cell>
          <cell r="W1184" t="str">
            <v>KEW</v>
          </cell>
          <cell r="X1184" t="str">
            <v>01/09/2010</v>
          </cell>
          <cell r="Y1184" t="str">
            <v>KEW</v>
          </cell>
          <cell r="Z1184" t="str">
            <v>16/08/2013</v>
          </cell>
          <cell r="AA1184" t="str">
            <v>15/08/2015</v>
          </cell>
          <cell r="AB1184" t="str">
            <v>No</v>
          </cell>
          <cell r="AC1184" t="str">
            <v>31/08/2013</v>
          </cell>
          <cell r="AD1184" t="str">
            <v>Good</v>
          </cell>
          <cell r="AE1184" t="str">
            <v>V1 - Existing / No Claim</v>
          </cell>
          <cell r="AF1184">
            <v>42235</v>
          </cell>
          <cell r="AG1184">
            <v>9.17</v>
          </cell>
          <cell r="AH1184" t="str">
            <v>PPM</v>
          </cell>
          <cell r="AI1184" t="str">
            <v>Strands</v>
          </cell>
          <cell r="AJ1184" t="str">
            <v>Strands Package</v>
          </cell>
          <cell r="AK1184" t="str">
            <v>Package Code XE0004</v>
          </cell>
        </row>
        <row r="1185">
          <cell r="A1185" t="str">
            <v>IKN400787</v>
          </cell>
          <cell r="B1185">
            <v>787</v>
          </cell>
          <cell r="C1185" t="str">
            <v>Institut Kanser Negara</v>
          </cell>
          <cell r="D1185" t="str">
            <v>KKM/IKN/H/13/2743</v>
          </cell>
          <cell r="E1185" t="str">
            <v>13-272</v>
          </cell>
          <cell r="F1185" t="str">
            <v>Radiographic Units, Mobile</v>
          </cell>
          <cell r="G1185" t="str">
            <v>ID</v>
          </cell>
          <cell r="H1185" t="str">
            <v>IMAGING DEPARTMENT</v>
          </cell>
          <cell r="I1185" t="str">
            <v>03ID106</v>
          </cell>
          <cell r="J1185" t="str">
            <v>MOBILE X-RAY</v>
          </cell>
          <cell r="K1185" t="str">
            <v>BMED</v>
          </cell>
          <cell r="L1185" t="str">
            <v>Normal</v>
          </cell>
          <cell r="M1185" t="str">
            <v>USA</v>
          </cell>
          <cell r="N1185" t="str">
            <v>Carestream</v>
          </cell>
          <cell r="O1185" t="str">
            <v>Carestream DRX-Revolution</v>
          </cell>
          <cell r="P1185" t="str">
            <v>0253</v>
          </cell>
          <cell r="Q1185" t="str">
            <v>Not Applicable</v>
          </cell>
          <cell r="R1185" t="str">
            <v>Carestream Health Inc</v>
          </cell>
          <cell r="S1185" t="str">
            <v>Best Contact (M) Sdn Bhd</v>
          </cell>
          <cell r="T1185" t="str">
            <v>Functioning</v>
          </cell>
          <cell r="U1185" t="str">
            <v>Asset</v>
          </cell>
          <cell r="V1185">
            <v>1149550</v>
          </cell>
          <cell r="W1185" t="str">
            <v>KEW</v>
          </cell>
          <cell r="X1185" t="str">
            <v>01/09/2010</v>
          </cell>
          <cell r="Y1185" t="str">
            <v>KEW</v>
          </cell>
          <cell r="Z1185" t="str">
            <v>16/08/2013</v>
          </cell>
          <cell r="AA1185" t="str">
            <v>15/08/2015</v>
          </cell>
          <cell r="AB1185" t="str">
            <v>No</v>
          </cell>
          <cell r="AC1185" t="str">
            <v>31/08/2013</v>
          </cell>
          <cell r="AD1185" t="str">
            <v>Good</v>
          </cell>
          <cell r="AE1185" t="str">
            <v>V1 - Existing / No Claim</v>
          </cell>
          <cell r="AF1185">
            <v>42235</v>
          </cell>
          <cell r="AG1185">
            <v>9.17</v>
          </cell>
          <cell r="AH1185" t="str">
            <v>PPM</v>
          </cell>
          <cell r="AI1185" t="str">
            <v>Strands</v>
          </cell>
          <cell r="AJ1185" t="str">
            <v>Strands PW</v>
          </cell>
        </row>
        <row r="1186">
          <cell r="A1186" t="str">
            <v>IKN400788</v>
          </cell>
          <cell r="B1186">
            <v>788</v>
          </cell>
          <cell r="C1186" t="str">
            <v>Institut Kanser Negara</v>
          </cell>
          <cell r="D1186" t="str">
            <v>KKM/IKN/H/13/4332</v>
          </cell>
          <cell r="E1186" t="str">
            <v>17-968</v>
          </cell>
          <cell r="F1186" t="str">
            <v>Injectors, Contrast Media</v>
          </cell>
          <cell r="G1186" t="str">
            <v>ID</v>
          </cell>
          <cell r="H1186" t="str">
            <v>IMAGING DEPARTMENT</v>
          </cell>
          <cell r="I1186" t="str">
            <v>03ID156</v>
          </cell>
          <cell r="J1186" t="str">
            <v>C.T. SCAN 1 (+VE)</v>
          </cell>
          <cell r="K1186" t="str">
            <v>BMED</v>
          </cell>
          <cell r="L1186" t="str">
            <v>Critical</v>
          </cell>
          <cell r="M1186" t="str">
            <v>USA</v>
          </cell>
          <cell r="N1186" t="str">
            <v>Medrad</v>
          </cell>
          <cell r="O1186" t="str">
            <v>Medrad Stellant</v>
          </cell>
          <cell r="P1186" t="str">
            <v>301422660551</v>
          </cell>
          <cell r="Q1186" t="str">
            <v>Not Applicable</v>
          </cell>
          <cell r="R1186" t="str">
            <v>Medrad Inc</v>
          </cell>
          <cell r="S1186" t="str">
            <v>Advance Altimas Sdn Bhd</v>
          </cell>
          <cell r="T1186" t="str">
            <v>Functioning</v>
          </cell>
          <cell r="U1186" t="str">
            <v>Asset</v>
          </cell>
          <cell r="V1186">
            <v>100000</v>
          </cell>
          <cell r="W1186" t="str">
            <v>Estimate</v>
          </cell>
          <cell r="X1186" t="str">
            <v>01/09/2010</v>
          </cell>
          <cell r="Y1186" t="str">
            <v>KEW</v>
          </cell>
          <cell r="Z1186" t="str">
            <v>16/08/2013</v>
          </cell>
          <cell r="AA1186" t="str">
            <v>15/08/2015</v>
          </cell>
          <cell r="AB1186" t="str">
            <v>No</v>
          </cell>
          <cell r="AC1186" t="str">
            <v>31/08/2013</v>
          </cell>
          <cell r="AD1186" t="str">
            <v>Good</v>
          </cell>
          <cell r="AE1186" t="str">
            <v>V1 - Existing / No Claim</v>
          </cell>
          <cell r="AF1186">
            <v>42605</v>
          </cell>
          <cell r="AG1186">
            <v>9.17</v>
          </cell>
          <cell r="AH1186" t="str">
            <v>PPM</v>
          </cell>
          <cell r="AI1186" t="str">
            <v>Strands</v>
          </cell>
          <cell r="AJ1186" t="str">
            <v>Strands Package</v>
          </cell>
          <cell r="AK1186" t="str">
            <v>Package Code XC0004-N</v>
          </cell>
        </row>
        <row r="1187">
          <cell r="A1187" t="str">
            <v>IKN400789</v>
          </cell>
          <cell r="B1187">
            <v>789</v>
          </cell>
          <cell r="C1187" t="str">
            <v>Institut Kanser Negara</v>
          </cell>
          <cell r="D1187" t="str">
            <v>KKM/IKN/H/13/2741-9</v>
          </cell>
          <cell r="E1187" t="str">
            <v>12-647</v>
          </cell>
          <cell r="F1187" t="str">
            <v>Physiologic Monitoring Systems, Acute Care</v>
          </cell>
          <cell r="G1187" t="str">
            <v>ID</v>
          </cell>
          <cell r="H1187" t="str">
            <v>IMAGING DEPARTMENT</v>
          </cell>
          <cell r="I1187" t="str">
            <v>03ID156</v>
          </cell>
          <cell r="J1187" t="str">
            <v>C.T. SCAN 1 (+VE)</v>
          </cell>
          <cell r="K1187" t="str">
            <v>BMED</v>
          </cell>
          <cell r="L1187" t="str">
            <v>Critical</v>
          </cell>
          <cell r="M1187" t="str">
            <v>USA</v>
          </cell>
          <cell r="N1187" t="str">
            <v>Cardiac Trigger</v>
          </cell>
          <cell r="O1187" t="str">
            <v>Cardiac Trigger Monitor 3000</v>
          </cell>
          <cell r="P1187" t="str">
            <v>12070029</v>
          </cell>
          <cell r="Q1187" t="str">
            <v>Not Applicable</v>
          </cell>
          <cell r="R1187" t="str">
            <v>Ivy Biomedical Systems Inc</v>
          </cell>
          <cell r="S1187" t="str">
            <v>Advance Altimas Sdn Bhd</v>
          </cell>
          <cell r="T1187" t="str">
            <v>Functioning</v>
          </cell>
          <cell r="U1187" t="str">
            <v>Asset</v>
          </cell>
          <cell r="V1187">
            <v>20000</v>
          </cell>
          <cell r="W1187" t="str">
            <v>Estimate</v>
          </cell>
          <cell r="X1187" t="str">
            <v>01/09/2010</v>
          </cell>
          <cell r="Y1187" t="str">
            <v>KEW</v>
          </cell>
          <cell r="Z1187" t="str">
            <v>16/08/2013</v>
          </cell>
          <cell r="AA1187" t="str">
            <v>15/08/2015</v>
          </cell>
          <cell r="AB1187" t="str">
            <v>No</v>
          </cell>
          <cell r="AC1187" t="str">
            <v>31/08/2013</v>
          </cell>
          <cell r="AD1187" t="str">
            <v>Good</v>
          </cell>
          <cell r="AE1187" t="str">
            <v>V4 - Decommissioned Installed Facility</v>
          </cell>
          <cell r="AF1187">
            <v>42605</v>
          </cell>
          <cell r="AG1187">
            <v>9.17</v>
          </cell>
          <cell r="AH1187" t="str">
            <v>PPM</v>
          </cell>
          <cell r="AI1187" t="str">
            <v>Strands</v>
          </cell>
          <cell r="AJ1187" t="str">
            <v>Strands Package</v>
          </cell>
          <cell r="AK1187" t="str">
            <v>[22/9/2023, SHARIFAH]: Update KKM No. ikut Asset Tiger. PEP ON NOV 2020, BER/BEMS/AWSB/20/008 - Asset masih boleh digunakan namun asset tidak ekonomik diperbaiki lagi sekiranya rosak. Package Code XC0004-N</v>
          </cell>
        </row>
        <row r="1188">
          <cell r="A1188" t="str">
            <v>IKN400790</v>
          </cell>
          <cell r="B1188">
            <v>790</v>
          </cell>
          <cell r="C1188" t="str">
            <v>Institut Kanser Negara</v>
          </cell>
          <cell r="D1188" t="str">
            <v>KKM/IKN/H/14/47</v>
          </cell>
          <cell r="E1188" t="str">
            <v>11-246</v>
          </cell>
          <cell r="F1188" t="str">
            <v>Radiofrequency Therapy Systems, Diathermy</v>
          </cell>
          <cell r="G1188" t="str">
            <v>ID</v>
          </cell>
          <cell r="H1188" t="str">
            <v>IMAGING DEPARTMENT</v>
          </cell>
          <cell r="I1188" t="str">
            <v>03ID164</v>
          </cell>
          <cell r="J1188" t="str">
            <v>ANGIO(VE)</v>
          </cell>
          <cell r="K1188" t="str">
            <v>BMED</v>
          </cell>
          <cell r="L1188" t="str">
            <v>Critical</v>
          </cell>
          <cell r="M1188" t="str">
            <v>USA</v>
          </cell>
          <cell r="N1188" t="str">
            <v>Covedien</v>
          </cell>
          <cell r="O1188" t="str">
            <v>Covedien E-Series</v>
          </cell>
          <cell r="P1188" t="str">
            <v>P4D05877X</v>
          </cell>
          <cell r="Q1188" t="str">
            <v>Not Applicable</v>
          </cell>
          <cell r="R1188" t="str">
            <v>Covidien Co</v>
          </cell>
          <cell r="S1188" t="str">
            <v>Mediliance (M) Sdn. Bhd.</v>
          </cell>
          <cell r="T1188" t="str">
            <v>Functioning</v>
          </cell>
          <cell r="U1188" t="str">
            <v>Asset</v>
          </cell>
          <cell r="V1188">
            <v>304684</v>
          </cell>
          <cell r="W1188" t="str">
            <v>KEW</v>
          </cell>
          <cell r="X1188" t="str">
            <v>05/09/2014</v>
          </cell>
          <cell r="Y1188" t="str">
            <v>KEW</v>
          </cell>
          <cell r="Z1188" t="str">
            <v>24/09/2014</v>
          </cell>
          <cell r="AA1188" t="str">
            <v>23/09/2016</v>
          </cell>
          <cell r="AB1188" t="str">
            <v>No</v>
          </cell>
          <cell r="AC1188" t="str">
            <v>24/09/2014</v>
          </cell>
          <cell r="AD1188" t="str">
            <v>Good</v>
          </cell>
          <cell r="AE1188" t="str">
            <v>V3 - Added Installed Facilities (New)</v>
          </cell>
          <cell r="AF1188">
            <v>42791</v>
          </cell>
          <cell r="AG1188">
            <v>5.17</v>
          </cell>
          <cell r="AH1188" t="str">
            <v>PPM</v>
          </cell>
          <cell r="AI1188" t="str">
            <v>Strands</v>
          </cell>
          <cell r="AJ1188" t="str">
            <v>Strands PW</v>
          </cell>
          <cell r="AK1188" t="str">
            <v>SNF received on 25.2.2020</v>
          </cell>
        </row>
        <row r="1189">
          <cell r="A1189" t="str">
            <v>IKN400791</v>
          </cell>
          <cell r="B1189">
            <v>791</v>
          </cell>
          <cell r="C1189" t="str">
            <v>Institut Kanser Negara</v>
          </cell>
          <cell r="D1189" t="str">
            <v>KKM/IKN/H/13/4293</v>
          </cell>
          <cell r="E1189" t="str">
            <v>11-134</v>
          </cell>
          <cell r="F1189" t="str">
            <v>Defibrillators, External, Manual</v>
          </cell>
          <cell r="G1189" t="str">
            <v>ID</v>
          </cell>
          <cell r="H1189" t="str">
            <v>IMAGING DEPARTMENT</v>
          </cell>
          <cell r="I1189" t="str">
            <v>03ID111</v>
          </cell>
          <cell r="J1189" t="str">
            <v>M.R.I (VE)</v>
          </cell>
          <cell r="K1189" t="str">
            <v>BMED</v>
          </cell>
          <cell r="L1189" t="str">
            <v>Critical</v>
          </cell>
          <cell r="M1189" t="str">
            <v>JAPAN</v>
          </cell>
          <cell r="N1189" t="str">
            <v>CardioLife</v>
          </cell>
          <cell r="O1189" t="str">
            <v>CardioLife TEC-5521K</v>
          </cell>
          <cell r="P1189" t="str">
            <v>12576</v>
          </cell>
          <cell r="Q1189" t="str">
            <v>Not Applicable</v>
          </cell>
          <cell r="R1189" t="str">
            <v>Nihon Kohden Corp</v>
          </cell>
          <cell r="S1189" t="str">
            <v>Metro Jendela Sdn Bhd</v>
          </cell>
          <cell r="T1189" t="str">
            <v>Functioning</v>
          </cell>
          <cell r="U1189" t="str">
            <v>Asset</v>
          </cell>
          <cell r="V1189">
            <v>30000</v>
          </cell>
          <cell r="W1189" t="str">
            <v>Estimate</v>
          </cell>
          <cell r="X1189" t="str">
            <v>01/09/2010</v>
          </cell>
          <cell r="Y1189" t="str">
            <v>KEW</v>
          </cell>
          <cell r="Z1189" t="str">
            <v>16/08/2013</v>
          </cell>
          <cell r="AA1189" t="str">
            <v>15/08/2015</v>
          </cell>
          <cell r="AB1189" t="str">
            <v>No</v>
          </cell>
          <cell r="AC1189" t="str">
            <v>31/08/2013</v>
          </cell>
          <cell r="AD1189" t="str">
            <v>Good</v>
          </cell>
          <cell r="AE1189" t="str">
            <v>V1 - Existing / No Claim</v>
          </cell>
          <cell r="AF1189">
            <v>42605</v>
          </cell>
          <cell r="AG1189">
            <v>9.17</v>
          </cell>
          <cell r="AH1189" t="str">
            <v>PPM</v>
          </cell>
          <cell r="AI1189" t="str">
            <v>Strands</v>
          </cell>
          <cell r="AJ1189" t="str">
            <v>Strands Package</v>
          </cell>
          <cell r="AK1189" t="str">
            <v>Package Code XJ0007</v>
          </cell>
        </row>
        <row r="1190">
          <cell r="A1190" t="str">
            <v>IKN400795</v>
          </cell>
          <cell r="B1190">
            <v>795</v>
          </cell>
          <cell r="C1190" t="str">
            <v>Institut Kanser Negara</v>
          </cell>
          <cell r="D1190" t="str">
            <v>KKM/IKN/H/13/4576</v>
          </cell>
          <cell r="E1190" t="str">
            <v>18-158</v>
          </cell>
          <cell r="F1190" t="str">
            <v>Injectors, Contrast Media, Magnetic Resonance Imaging</v>
          </cell>
          <cell r="G1190" t="str">
            <v>ID</v>
          </cell>
          <cell r="H1190" t="str">
            <v>IMAGING DEPARTMENT</v>
          </cell>
          <cell r="I1190" t="str">
            <v>03ID111</v>
          </cell>
          <cell r="J1190" t="str">
            <v>M.R.I (VE)</v>
          </cell>
          <cell r="K1190" t="str">
            <v>BMED</v>
          </cell>
          <cell r="L1190" t="str">
            <v>Normal</v>
          </cell>
          <cell r="M1190" t="str">
            <v>USA</v>
          </cell>
          <cell r="N1190" t="str">
            <v>Spectris</v>
          </cell>
          <cell r="O1190" t="str">
            <v>Spectris Solaris EP</v>
          </cell>
          <cell r="P1190" t="str">
            <v>301201248212</v>
          </cell>
          <cell r="Q1190" t="str">
            <v>Not Applicable</v>
          </cell>
          <cell r="R1190" t="str">
            <v>Medrad Inc</v>
          </cell>
          <cell r="S1190" t="str">
            <v>Advance Altimas Sdn Bhd</v>
          </cell>
          <cell r="T1190" t="str">
            <v>Functioning</v>
          </cell>
          <cell r="U1190" t="str">
            <v>Asset</v>
          </cell>
          <cell r="V1190">
            <v>172500</v>
          </cell>
          <cell r="W1190" t="str">
            <v>KEW</v>
          </cell>
          <cell r="X1190" t="str">
            <v>01/09/2010</v>
          </cell>
          <cell r="Y1190" t="str">
            <v>KEW</v>
          </cell>
          <cell r="Z1190" t="str">
            <v>16/08/2013</v>
          </cell>
          <cell r="AA1190" t="str">
            <v>15/08/2015</v>
          </cell>
          <cell r="AB1190" t="str">
            <v>No</v>
          </cell>
          <cell r="AC1190" t="str">
            <v>31/08/2013</v>
          </cell>
          <cell r="AD1190" t="str">
            <v>Good</v>
          </cell>
          <cell r="AE1190" t="str">
            <v>V1 - Existing / No Claim</v>
          </cell>
          <cell r="AF1190">
            <v>42605</v>
          </cell>
          <cell r="AG1190">
            <v>9.17</v>
          </cell>
          <cell r="AH1190" t="str">
            <v>PPM</v>
          </cell>
          <cell r="AI1190" t="str">
            <v>package</v>
          </cell>
          <cell r="AJ1190" t="e">
            <v>#REF!</v>
          </cell>
          <cell r="AK1190" t="str">
            <v>27/10/2023: KEWPA, SN: 48212.</v>
          </cell>
        </row>
        <row r="1191">
          <cell r="A1191" t="str">
            <v>IKN400796</v>
          </cell>
          <cell r="B1191">
            <v>796</v>
          </cell>
          <cell r="C1191" t="str">
            <v>Institut Kanser Negara</v>
          </cell>
          <cell r="D1191" t="str">
            <v>KKM/IKN/H/13/4292</v>
          </cell>
          <cell r="E1191" t="str">
            <v>13-215</v>
          </cell>
          <cell r="F1191" t="str">
            <v>Infusion Pumps, General-Purpose</v>
          </cell>
          <cell r="G1191" t="str">
            <v>ID</v>
          </cell>
          <cell r="H1191" t="str">
            <v>IMAGING DEPARTMENT</v>
          </cell>
          <cell r="I1191" t="str">
            <v>03ID111</v>
          </cell>
          <cell r="J1191" t="str">
            <v>M.R.I (VE)</v>
          </cell>
          <cell r="K1191" t="str">
            <v>BMED</v>
          </cell>
          <cell r="L1191" t="str">
            <v>Critical</v>
          </cell>
          <cell r="M1191" t="str">
            <v>USA</v>
          </cell>
          <cell r="N1191" t="str">
            <v>Mridium</v>
          </cell>
          <cell r="O1191" t="str">
            <v>MRidium 3851</v>
          </cell>
          <cell r="P1191" t="str">
            <v>IR5110595/IR5011214</v>
          </cell>
          <cell r="Q1191" t="str">
            <v>Not Applicable</v>
          </cell>
          <cell r="R1191" t="str">
            <v>Iradimed Corp</v>
          </cell>
          <cell r="S1191" t="str">
            <v>APPLIED MEDICAL SYSTEMS SDN BHD</v>
          </cell>
          <cell r="T1191" t="str">
            <v>Functioning</v>
          </cell>
          <cell r="U1191" t="str">
            <v>Asset</v>
          </cell>
          <cell r="V1191">
            <v>1400</v>
          </cell>
          <cell r="W1191" t="str">
            <v>Estimate</v>
          </cell>
          <cell r="X1191" t="str">
            <v>01/09/2010</v>
          </cell>
          <cell r="Y1191" t="str">
            <v>KEW</v>
          </cell>
          <cell r="Z1191" t="str">
            <v>16/08/2013</v>
          </cell>
          <cell r="AA1191" t="str">
            <v>15/08/2015</v>
          </cell>
          <cell r="AB1191" t="str">
            <v>No</v>
          </cell>
          <cell r="AC1191" t="str">
            <v>31/08/2013</v>
          </cell>
          <cell r="AD1191" t="str">
            <v>Good</v>
          </cell>
          <cell r="AE1191" t="str">
            <v>V1 - Existing / No Claim</v>
          </cell>
          <cell r="AF1191">
            <v>42791</v>
          </cell>
          <cell r="AG1191">
            <v>9.17</v>
          </cell>
          <cell r="AH1191" t="str">
            <v>PPM</v>
          </cell>
          <cell r="AI1191" t="str">
            <v>Strands</v>
          </cell>
          <cell r="AJ1191" t="str">
            <v>Strands PW</v>
          </cell>
        </row>
        <row r="1192">
          <cell r="A1192" t="str">
            <v>IKN400797</v>
          </cell>
          <cell r="B1192">
            <v>797</v>
          </cell>
          <cell r="C1192" t="str">
            <v>Institut Kanser Negara</v>
          </cell>
          <cell r="D1192" t="str">
            <v>KKM/IKN/H/13/2663</v>
          </cell>
          <cell r="E1192" t="str">
            <v>17-950</v>
          </cell>
          <cell r="F1192" t="str">
            <v>Warming Units, Patient, Forced-Air</v>
          </cell>
          <cell r="G1192" t="str">
            <v>ID</v>
          </cell>
          <cell r="H1192" t="str">
            <v>IMAGING DEPARTMENT</v>
          </cell>
          <cell r="I1192" t="str">
            <v>03ID109</v>
          </cell>
          <cell r="J1192" t="str">
            <v>INDUCTION</v>
          </cell>
          <cell r="K1192" t="str">
            <v>BMED</v>
          </cell>
          <cell r="L1192" t="str">
            <v>Normal</v>
          </cell>
          <cell r="M1192" t="str">
            <v>USA</v>
          </cell>
          <cell r="N1192" t="str">
            <v>Bair Hugger</v>
          </cell>
          <cell r="O1192" t="str">
            <v>Bair Hugger 775</v>
          </cell>
          <cell r="P1192" t="str">
            <v>36865</v>
          </cell>
          <cell r="Q1192" t="str">
            <v>Not Applicable</v>
          </cell>
          <cell r="R1192" t="str">
            <v>Arizant Healthcare Inc</v>
          </cell>
          <cell r="S1192" t="str">
            <v>Calmed Healthcare Sdn Bhd</v>
          </cell>
          <cell r="T1192" t="str">
            <v>Functioning</v>
          </cell>
          <cell r="U1192" t="str">
            <v>Asset</v>
          </cell>
          <cell r="V1192">
            <v>15515</v>
          </cell>
          <cell r="W1192" t="str">
            <v>KEW</v>
          </cell>
          <cell r="X1192" t="str">
            <v>01/09/2010</v>
          </cell>
          <cell r="Y1192" t="str">
            <v>KEW</v>
          </cell>
          <cell r="Z1192" t="str">
            <v>16/08/2013</v>
          </cell>
          <cell r="AA1192" t="str">
            <v>15/08/2015</v>
          </cell>
          <cell r="AB1192" t="str">
            <v>No</v>
          </cell>
          <cell r="AC1192" t="str">
            <v>31/08/2013</v>
          </cell>
          <cell r="AD1192" t="str">
            <v>Good</v>
          </cell>
          <cell r="AE1192" t="str">
            <v>V1 - Existing / No Claim</v>
          </cell>
          <cell r="AF1192">
            <v>42235</v>
          </cell>
          <cell r="AG1192">
            <v>9.17</v>
          </cell>
          <cell r="AH1192" t="str">
            <v>PPM</v>
          </cell>
          <cell r="AI1192" t="str">
            <v>Strands</v>
          </cell>
          <cell r="AJ1192" t="str">
            <v>Strands PW</v>
          </cell>
        </row>
        <row r="1193">
          <cell r="A1193" t="str">
            <v>IKN400798</v>
          </cell>
          <cell r="B1193">
            <v>798</v>
          </cell>
          <cell r="C1193" t="str">
            <v>Institut Kanser Negara</v>
          </cell>
          <cell r="D1193" t="str">
            <v>KKM/IKN/H/13/1351</v>
          </cell>
          <cell r="E1193" t="str">
            <v>18-430</v>
          </cell>
          <cell r="F1193" t="str">
            <v>Radiographic Systems, Digital</v>
          </cell>
          <cell r="G1193" t="str">
            <v>ID</v>
          </cell>
          <cell r="H1193" t="str">
            <v>IMAGING DEPARTMENT</v>
          </cell>
          <cell r="I1193" t="str">
            <v>03ID181</v>
          </cell>
          <cell r="J1193" t="str">
            <v>X-RAY 2(GENERAL)</v>
          </cell>
          <cell r="K1193" t="str">
            <v>BMED</v>
          </cell>
          <cell r="L1193" t="str">
            <v>Normal</v>
          </cell>
          <cell r="M1193" t="str">
            <v>USA</v>
          </cell>
          <cell r="N1193" t="str">
            <v>Discovery</v>
          </cell>
          <cell r="O1193" t="str">
            <v>Discovery XR656</v>
          </cell>
          <cell r="P1193" t="str">
            <v>87634HL2</v>
          </cell>
          <cell r="Q1193" t="str">
            <v>Not Applicable</v>
          </cell>
          <cell r="R1193" t="str">
            <v>GE Healthcare</v>
          </cell>
          <cell r="S1193" t="str">
            <v>GE Healthcare Technologies</v>
          </cell>
          <cell r="T1193" t="str">
            <v>Functioning</v>
          </cell>
          <cell r="U1193" t="str">
            <v>Asset</v>
          </cell>
          <cell r="V1193">
            <v>1958605</v>
          </cell>
          <cell r="W1193" t="str">
            <v>KEW</v>
          </cell>
          <cell r="X1193" t="str">
            <v>01/09/2010</v>
          </cell>
          <cell r="Y1193" t="str">
            <v>KEW</v>
          </cell>
          <cell r="Z1193" t="str">
            <v>16/08/2013</v>
          </cell>
          <cell r="AA1193" t="str">
            <v>15/08/2015</v>
          </cell>
          <cell r="AB1193" t="str">
            <v>No</v>
          </cell>
          <cell r="AC1193" t="str">
            <v>31/08/2013</v>
          </cell>
          <cell r="AD1193" t="str">
            <v>Good</v>
          </cell>
          <cell r="AE1193" t="str">
            <v>V1 - Existing / No Claim</v>
          </cell>
          <cell r="AF1193">
            <v>42791</v>
          </cell>
          <cell r="AG1193">
            <v>9.17</v>
          </cell>
          <cell r="AH1193" t="str">
            <v>PPM</v>
          </cell>
          <cell r="AI1193" t="str">
            <v>Strands</v>
          </cell>
          <cell r="AJ1193" t="str">
            <v>Strands Package</v>
          </cell>
          <cell r="AK1193" t="str">
            <v>Package Code XR0007-D</v>
          </cell>
        </row>
        <row r="1194">
          <cell r="A1194" t="str">
            <v>IKN400799</v>
          </cell>
          <cell r="B1194">
            <v>799</v>
          </cell>
          <cell r="C1194" t="str">
            <v>Institut Kanser Negara</v>
          </cell>
          <cell r="D1194" t="str">
            <v>KKM/IKN/H/13/1241</v>
          </cell>
          <cell r="E1194" t="str">
            <v>18-430</v>
          </cell>
          <cell r="F1194" t="str">
            <v>Radiographic Systems, Digital</v>
          </cell>
          <cell r="G1194" t="str">
            <v>ID</v>
          </cell>
          <cell r="H1194" t="str">
            <v>IMAGING DEPARTMENT</v>
          </cell>
          <cell r="I1194" t="str">
            <v>03ID186</v>
          </cell>
          <cell r="J1194" t="str">
            <v>X-RAY 1 (GENERAL)</v>
          </cell>
          <cell r="K1194" t="str">
            <v>BMED</v>
          </cell>
          <cell r="L1194" t="str">
            <v>Normal</v>
          </cell>
          <cell r="M1194" t="str">
            <v>USA</v>
          </cell>
          <cell r="N1194" t="str">
            <v>Discovery</v>
          </cell>
          <cell r="O1194" t="str">
            <v>Discovery XR656</v>
          </cell>
          <cell r="P1194" t="str">
            <v>87996HL5</v>
          </cell>
          <cell r="Q1194" t="str">
            <v>Not Applicable</v>
          </cell>
          <cell r="R1194" t="str">
            <v>GE Healthcare</v>
          </cell>
          <cell r="S1194" t="str">
            <v>GE Healthcare Technologies</v>
          </cell>
          <cell r="T1194" t="str">
            <v>Functioning</v>
          </cell>
          <cell r="U1194" t="str">
            <v>Asset</v>
          </cell>
          <cell r="V1194">
            <v>1958605</v>
          </cell>
          <cell r="W1194" t="str">
            <v>KEW</v>
          </cell>
          <cell r="X1194" t="str">
            <v>01/09/2010</v>
          </cell>
          <cell r="Y1194" t="str">
            <v>KEW</v>
          </cell>
          <cell r="Z1194" t="str">
            <v>16/08/2013</v>
          </cell>
          <cell r="AA1194" t="str">
            <v>15/08/2015</v>
          </cell>
          <cell r="AB1194" t="str">
            <v>No</v>
          </cell>
          <cell r="AC1194" t="str">
            <v>31/08/2013</v>
          </cell>
          <cell r="AD1194" t="str">
            <v>Good</v>
          </cell>
          <cell r="AE1194" t="str">
            <v>V1 - Existing / No Claim</v>
          </cell>
          <cell r="AF1194">
            <v>42791</v>
          </cell>
          <cell r="AG1194">
            <v>9.17</v>
          </cell>
          <cell r="AH1194" t="str">
            <v>PPM</v>
          </cell>
          <cell r="AI1194" t="str">
            <v>Strands</v>
          </cell>
          <cell r="AJ1194" t="str">
            <v>Strands Package</v>
          </cell>
          <cell r="AK1194" t="str">
            <v>Package Code XR0007-D</v>
          </cell>
        </row>
        <row r="1195">
          <cell r="A1195" t="str">
            <v>IKN400800</v>
          </cell>
          <cell r="B1195">
            <v>800</v>
          </cell>
          <cell r="C1195" t="str">
            <v>Institut Kanser Negara</v>
          </cell>
          <cell r="D1195" t="str">
            <v>KKM/IKN/H/13/2751</v>
          </cell>
          <cell r="E1195" t="str">
            <v>12-647</v>
          </cell>
          <cell r="F1195" t="str">
            <v>Physiologic Monitoring Systems, Acute Care</v>
          </cell>
          <cell r="G1195" t="str">
            <v>ID</v>
          </cell>
          <cell r="H1195" t="str">
            <v>IMAGING DEPARTMENT</v>
          </cell>
          <cell r="I1195" t="str">
            <v>03ID167</v>
          </cell>
          <cell r="J1195" t="str">
            <v>EQ.STORE</v>
          </cell>
          <cell r="K1195" t="str">
            <v>BMED</v>
          </cell>
          <cell r="L1195" t="str">
            <v>Critical</v>
          </cell>
          <cell r="M1195" t="str">
            <v>USA</v>
          </cell>
          <cell r="N1195" t="str">
            <v>GE</v>
          </cell>
          <cell r="O1195" t="str">
            <v>GE B30</v>
          </cell>
          <cell r="P1195" t="str">
            <v>SF312325904WA</v>
          </cell>
          <cell r="Q1195" t="str">
            <v>Not Applicable</v>
          </cell>
          <cell r="R1195" t="str">
            <v>GE Healthcare Systems</v>
          </cell>
          <cell r="S1195" t="str">
            <v>GE Healthcare Technologies</v>
          </cell>
          <cell r="T1195" t="str">
            <v>Functioning</v>
          </cell>
          <cell r="U1195" t="str">
            <v>Asset</v>
          </cell>
          <cell r="V1195">
            <v>44510</v>
          </cell>
          <cell r="W1195" t="str">
            <v>KEW</v>
          </cell>
          <cell r="X1195" t="str">
            <v>01/09/2010</v>
          </cell>
          <cell r="Y1195" t="str">
            <v>KEW</v>
          </cell>
          <cell r="Z1195" t="str">
            <v>16/08/2013</v>
          </cell>
          <cell r="AA1195" t="str">
            <v>15/08/2015</v>
          </cell>
          <cell r="AB1195" t="str">
            <v>No</v>
          </cell>
          <cell r="AC1195" t="str">
            <v>31/08/2013</v>
          </cell>
          <cell r="AD1195" t="str">
            <v>Good</v>
          </cell>
          <cell r="AE1195" t="str">
            <v>V1 - Existing / No Claim</v>
          </cell>
          <cell r="AF1195">
            <v>42791</v>
          </cell>
          <cell r="AG1195">
            <v>9.17</v>
          </cell>
          <cell r="AH1195" t="str">
            <v>PPM</v>
          </cell>
          <cell r="AI1195" t="str">
            <v>Strands</v>
          </cell>
          <cell r="AJ1195" t="str">
            <v>Strands PW</v>
          </cell>
        </row>
        <row r="1196">
          <cell r="A1196" t="str">
            <v>IKN400801</v>
          </cell>
          <cell r="B1196">
            <v>801</v>
          </cell>
          <cell r="C1196" t="str">
            <v>Institut Kanser Negara</v>
          </cell>
          <cell r="D1196" t="str">
            <v>KKM/IKN/H/13/2560</v>
          </cell>
          <cell r="E1196" t="str">
            <v>10-447</v>
          </cell>
          <cell r="F1196" t="str">
            <v>Warming Units, Blood/Solution</v>
          </cell>
          <cell r="G1196" t="str">
            <v>RT</v>
          </cell>
          <cell r="H1196" t="str">
            <v>RADIATION TREATMENT UNIT</v>
          </cell>
          <cell r="I1196" t="str">
            <v>01RT233</v>
          </cell>
          <cell r="J1196" t="str">
            <v>EQ ROOM</v>
          </cell>
          <cell r="K1196" t="str">
            <v>BMED</v>
          </cell>
          <cell r="L1196" t="str">
            <v>Normal</v>
          </cell>
          <cell r="M1196" t="str">
            <v>Japan</v>
          </cell>
          <cell r="N1196" t="str">
            <v>Animec</v>
          </cell>
          <cell r="O1196" t="str">
            <v>Animec AM-301</v>
          </cell>
          <cell r="P1196" t="str">
            <v>2013D0254</v>
          </cell>
          <cell r="Q1196" t="str">
            <v>Not Applicable</v>
          </cell>
          <cell r="R1196" t="str">
            <v>Elltec Co Ltd</v>
          </cell>
          <cell r="S1196" t="str">
            <v>IDS Services (Malaysia) Sdn Bhd</v>
          </cell>
          <cell r="T1196" t="str">
            <v>Functioning</v>
          </cell>
          <cell r="U1196" t="str">
            <v>Asset</v>
          </cell>
          <cell r="V1196">
            <v>4990</v>
          </cell>
          <cell r="W1196" t="str">
            <v>KEW</v>
          </cell>
          <cell r="X1196" t="str">
            <v>01/09/2010</v>
          </cell>
          <cell r="Y1196" t="str">
            <v>KEW</v>
          </cell>
          <cell r="Z1196" t="str">
            <v>16/08/2013</v>
          </cell>
          <cell r="AA1196" t="str">
            <v>15/08/2015</v>
          </cell>
          <cell r="AB1196" t="str">
            <v>No</v>
          </cell>
          <cell r="AC1196" t="str">
            <v>31/08/2013</v>
          </cell>
          <cell r="AD1196" t="str">
            <v>Good</v>
          </cell>
          <cell r="AE1196" t="str">
            <v>V1 - Existing / No Claim</v>
          </cell>
          <cell r="AF1196">
            <v>42235</v>
          </cell>
          <cell r="AG1196">
            <v>9.17</v>
          </cell>
          <cell r="AH1196" t="str">
            <v>PPM</v>
          </cell>
          <cell r="AI1196" t="str">
            <v>Strands</v>
          </cell>
          <cell r="AJ1196" t="str">
            <v>Strands PW</v>
          </cell>
        </row>
        <row r="1197">
          <cell r="A1197" t="str">
            <v>IKN400802</v>
          </cell>
          <cell r="B1197">
            <v>802</v>
          </cell>
          <cell r="C1197" t="str">
            <v>Institut Kanser Negara</v>
          </cell>
          <cell r="D1197" t="str">
            <v>KKM/IKN/H/13/2563</v>
          </cell>
          <cell r="E1197" t="str">
            <v>10-447</v>
          </cell>
          <cell r="F1197" t="str">
            <v>Warming Units, Blood/Solution</v>
          </cell>
          <cell r="G1197" t="str">
            <v>RT</v>
          </cell>
          <cell r="H1197" t="str">
            <v>RADIATION TREATMENT UNIT</v>
          </cell>
          <cell r="I1197" t="str">
            <v>01RT233</v>
          </cell>
          <cell r="J1197" t="str">
            <v>EQ ROOM</v>
          </cell>
          <cell r="K1197" t="str">
            <v>BMED</v>
          </cell>
          <cell r="L1197" t="str">
            <v>Normal</v>
          </cell>
          <cell r="M1197" t="str">
            <v>Japan</v>
          </cell>
          <cell r="N1197" t="str">
            <v>Animec</v>
          </cell>
          <cell r="O1197" t="str">
            <v>Animec AM-301</v>
          </cell>
          <cell r="P1197" t="str">
            <v>2013D0253</v>
          </cell>
          <cell r="Q1197" t="str">
            <v>Not Applicable</v>
          </cell>
          <cell r="R1197" t="str">
            <v>Elltec Co Ltd</v>
          </cell>
          <cell r="S1197" t="str">
            <v>IDS Services (Malaysia) Sdn Bhd</v>
          </cell>
          <cell r="T1197" t="str">
            <v>Functioning</v>
          </cell>
          <cell r="U1197" t="str">
            <v>Asset</v>
          </cell>
          <cell r="V1197">
            <v>4990</v>
          </cell>
          <cell r="W1197" t="str">
            <v>KEW</v>
          </cell>
          <cell r="X1197" t="str">
            <v>01/09/2010</v>
          </cell>
          <cell r="Y1197" t="str">
            <v>KEW</v>
          </cell>
          <cell r="Z1197" t="str">
            <v>16/08/2013</v>
          </cell>
          <cell r="AA1197" t="str">
            <v>15/08/2015</v>
          </cell>
          <cell r="AB1197" t="str">
            <v>No</v>
          </cell>
          <cell r="AC1197" t="str">
            <v>31/08/2013</v>
          </cell>
          <cell r="AD1197" t="str">
            <v>Good</v>
          </cell>
          <cell r="AE1197" t="str">
            <v>V1 - Existing / No Claim</v>
          </cell>
          <cell r="AF1197">
            <v>42235</v>
          </cell>
          <cell r="AG1197">
            <v>9.17</v>
          </cell>
          <cell r="AH1197" t="str">
            <v>PPM</v>
          </cell>
          <cell r="AI1197" t="str">
            <v>Strands</v>
          </cell>
          <cell r="AJ1197" t="str">
            <v>Strands PW</v>
          </cell>
        </row>
        <row r="1198">
          <cell r="A1198" t="str">
            <v>IKN400803</v>
          </cell>
          <cell r="B1198">
            <v>803</v>
          </cell>
          <cell r="C1198" t="str">
            <v>Institut Kanser Negara</v>
          </cell>
          <cell r="D1198" t="str">
            <v>KKM/IKN/H/13/3844</v>
          </cell>
          <cell r="E1198" t="str">
            <v>18-098</v>
          </cell>
          <cell r="F1198" t="str">
            <v>Ventilators, Transport</v>
          </cell>
          <cell r="G1198" t="str">
            <v>OT</v>
          </cell>
          <cell r="H1198" t="str">
            <v>OPERATING THEATRE</v>
          </cell>
          <cell r="I1198" t="str">
            <v>05OT169</v>
          </cell>
          <cell r="J1198" t="str">
            <v>EQ. ROOM</v>
          </cell>
          <cell r="K1198" t="str">
            <v>BMED</v>
          </cell>
          <cell r="L1198" t="str">
            <v>Normal</v>
          </cell>
          <cell r="M1198" t="str">
            <v>Germany</v>
          </cell>
          <cell r="N1198" t="str">
            <v>Oxylog</v>
          </cell>
          <cell r="O1198" t="str">
            <v>Oxylog 3000 Plus</v>
          </cell>
          <cell r="P1198" t="str">
            <v>ASDJ-0136</v>
          </cell>
          <cell r="Q1198" t="str">
            <v>Not Applicable</v>
          </cell>
          <cell r="R1198" t="str">
            <v>Draegerwerk Ag</v>
          </cell>
          <cell r="S1198" t="str">
            <v>Beau Consortium Sdn Bhd</v>
          </cell>
          <cell r="T1198" t="str">
            <v>Functioning</v>
          </cell>
          <cell r="U1198" t="str">
            <v>Asset</v>
          </cell>
          <cell r="V1198">
            <v>60150</v>
          </cell>
          <cell r="W1198" t="str">
            <v>KEW</v>
          </cell>
          <cell r="X1198" t="str">
            <v>01/09/2010</v>
          </cell>
          <cell r="Y1198" t="str">
            <v>KEW</v>
          </cell>
          <cell r="Z1198" t="str">
            <v>16/08/2013</v>
          </cell>
          <cell r="AA1198" t="str">
            <v>15/08/2015</v>
          </cell>
          <cell r="AB1198" t="str">
            <v>No</v>
          </cell>
          <cell r="AC1198" t="str">
            <v>31/08/2013</v>
          </cell>
          <cell r="AD1198" t="str">
            <v>Good</v>
          </cell>
          <cell r="AE1198" t="str">
            <v>V1 - Existing / No Claim</v>
          </cell>
          <cell r="AF1198">
            <v>42235</v>
          </cell>
          <cell r="AG1198">
            <v>9.17</v>
          </cell>
          <cell r="AH1198" t="str">
            <v>PPM</v>
          </cell>
          <cell r="AI1198" t="str">
            <v>Strands</v>
          </cell>
          <cell r="AJ1198" t="str">
            <v>Strands PW</v>
          </cell>
        </row>
        <row r="1199">
          <cell r="A1199" t="str">
            <v>IKN400804</v>
          </cell>
          <cell r="B1199">
            <v>804</v>
          </cell>
          <cell r="C1199" t="str">
            <v>Institut Kanser Negara</v>
          </cell>
          <cell r="D1199" t="str">
            <v>KKM/IKN/H/13/2505</v>
          </cell>
          <cell r="E1199" t="str">
            <v>16-331</v>
          </cell>
          <cell r="F1199" t="str">
            <v>Intubation Scopes, Flexible Fiberoptic</v>
          </cell>
          <cell r="G1199" t="str">
            <v>OT</v>
          </cell>
          <cell r="H1199" t="str">
            <v>OPERATING THEATRE</v>
          </cell>
          <cell r="I1199" t="str">
            <v>05OT169</v>
          </cell>
          <cell r="J1199" t="str">
            <v>EQ. ROOM</v>
          </cell>
          <cell r="K1199" t="str">
            <v>BMED</v>
          </cell>
          <cell r="L1199" t="str">
            <v>Normal</v>
          </cell>
          <cell r="M1199" t="str">
            <v>Japan</v>
          </cell>
          <cell r="N1199" t="str">
            <v>Olympus</v>
          </cell>
          <cell r="O1199" t="str">
            <v>Olympus LF-GP</v>
          </cell>
          <cell r="P1199" t="str">
            <v>2219460/7233400</v>
          </cell>
          <cell r="Q1199" t="str">
            <v>Not Applicable</v>
          </cell>
          <cell r="R1199" t="str">
            <v>Olympus Optical Co Ltd</v>
          </cell>
          <cell r="S1199" t="str">
            <v>Endodynamics</v>
          </cell>
          <cell r="T1199" t="str">
            <v>Functioning</v>
          </cell>
          <cell r="U1199" t="str">
            <v>Asset</v>
          </cell>
          <cell r="V1199">
            <v>38360</v>
          </cell>
          <cell r="W1199" t="str">
            <v>KEW</v>
          </cell>
          <cell r="X1199" t="str">
            <v>01/09/2010</v>
          </cell>
          <cell r="Y1199" t="str">
            <v>KEW</v>
          </cell>
          <cell r="Z1199" t="str">
            <v>16/08/2013</v>
          </cell>
          <cell r="AA1199" t="str">
            <v>15/08/2015</v>
          </cell>
          <cell r="AB1199" t="str">
            <v>No</v>
          </cell>
          <cell r="AC1199" t="str">
            <v>31/08/2013</v>
          </cell>
          <cell r="AD1199" t="str">
            <v>Good</v>
          </cell>
          <cell r="AE1199" t="str">
            <v>V1 - Existing / No Claim</v>
          </cell>
          <cell r="AF1199">
            <v>42803</v>
          </cell>
          <cell r="AG1199">
            <v>9.17</v>
          </cell>
          <cell r="AH1199" t="str">
            <v>PPM</v>
          </cell>
          <cell r="AI1199" t="str">
            <v>Strands</v>
          </cell>
          <cell r="AJ1199" t="str">
            <v>Strands PW</v>
          </cell>
        </row>
        <row r="1200">
          <cell r="A1200" t="str">
            <v>IKN400805</v>
          </cell>
          <cell r="B1200">
            <v>805</v>
          </cell>
          <cell r="C1200" t="str">
            <v>Institut Kanser Negara</v>
          </cell>
          <cell r="D1200" t="str">
            <v>KKM/IKN/H/13/2500</v>
          </cell>
          <cell r="E1200" t="str">
            <v>16-331</v>
          </cell>
          <cell r="F1200" t="str">
            <v>Intubation Scopes, Flexible Fiberoptic</v>
          </cell>
          <cell r="G1200" t="str">
            <v>OT</v>
          </cell>
          <cell r="H1200" t="str">
            <v>OPERATING THEATRE</v>
          </cell>
          <cell r="I1200" t="str">
            <v>05OT169</v>
          </cell>
          <cell r="J1200" t="str">
            <v>EQ. ROOM</v>
          </cell>
          <cell r="K1200" t="str">
            <v>BMED</v>
          </cell>
          <cell r="L1200" t="str">
            <v>Normal</v>
          </cell>
          <cell r="M1200" t="str">
            <v>Japan</v>
          </cell>
          <cell r="N1200" t="str">
            <v>Olympus Jap</v>
          </cell>
          <cell r="O1200" t="str">
            <v>Lf-P/Clh-Sc</v>
          </cell>
          <cell r="P1200" t="str">
            <v>2221815/7233402</v>
          </cell>
          <cell r="Q1200" t="str">
            <v>Not Applicable</v>
          </cell>
          <cell r="R1200" t="str">
            <v>Olympus Jap</v>
          </cell>
          <cell r="S1200" t="str">
            <v>Endodynamics</v>
          </cell>
          <cell r="T1200" t="str">
            <v>Functioning</v>
          </cell>
          <cell r="U1200" t="str">
            <v>Asset</v>
          </cell>
          <cell r="V1200">
            <v>38575</v>
          </cell>
          <cell r="W1200" t="str">
            <v>KEW</v>
          </cell>
          <cell r="X1200" t="str">
            <v>01/09/2010</v>
          </cell>
          <cell r="Y1200" t="str">
            <v>KEW</v>
          </cell>
          <cell r="Z1200" t="str">
            <v>16/08/2013</v>
          </cell>
          <cell r="AA1200" t="str">
            <v>15/08/2015</v>
          </cell>
          <cell r="AB1200" t="str">
            <v>No</v>
          </cell>
          <cell r="AC1200" t="str">
            <v>31/08/2013</v>
          </cell>
          <cell r="AD1200" t="str">
            <v>Good</v>
          </cell>
          <cell r="AE1200" t="str">
            <v>V1 - Existing / No Claim</v>
          </cell>
          <cell r="AF1200">
            <v>42422</v>
          </cell>
          <cell r="AG1200">
            <v>9.17</v>
          </cell>
          <cell r="AH1200" t="str">
            <v>PPM</v>
          </cell>
          <cell r="AI1200" t="str">
            <v>Strands</v>
          </cell>
          <cell r="AJ1200" t="str">
            <v>Strands PW</v>
          </cell>
        </row>
        <row r="1201">
          <cell r="A1201" t="str">
            <v>IKN400806</v>
          </cell>
          <cell r="B1201">
            <v>806</v>
          </cell>
          <cell r="C1201" t="str">
            <v>Institut Kanser Negara</v>
          </cell>
          <cell r="D1201" t="str">
            <v>KKM/IKN/H/13/2489</v>
          </cell>
          <cell r="E1201" t="str">
            <v>17-144</v>
          </cell>
          <cell r="F1201" t="str">
            <v>Cystoscopes, Flexible</v>
          </cell>
          <cell r="G1201" t="str">
            <v>RT</v>
          </cell>
          <cell r="H1201" t="str">
            <v>RADIATION TREATMENT UNIT</v>
          </cell>
          <cell r="I1201" t="str">
            <v>01RT233</v>
          </cell>
          <cell r="J1201" t="str">
            <v>EQ ROOM</v>
          </cell>
          <cell r="K1201" t="str">
            <v>BMED</v>
          </cell>
          <cell r="L1201" t="str">
            <v>Critical</v>
          </cell>
          <cell r="M1201" t="str">
            <v>Germany</v>
          </cell>
          <cell r="N1201" t="str">
            <v>Karl Storz</v>
          </cell>
          <cell r="O1201" t="str">
            <v>Karl Storz 11272C1</v>
          </cell>
          <cell r="P1201" t="str">
            <v>12085</v>
          </cell>
          <cell r="Q1201" t="str">
            <v>Not Applicable</v>
          </cell>
          <cell r="R1201" t="str">
            <v>Karl Storz GmbH</v>
          </cell>
          <cell r="S1201" t="str">
            <v>UMMI Surgical Sdn Bhd</v>
          </cell>
          <cell r="T1201" t="str">
            <v>Functioning</v>
          </cell>
          <cell r="U1201" t="str">
            <v>Asset</v>
          </cell>
          <cell r="V1201">
            <v>37408</v>
          </cell>
          <cell r="W1201" t="str">
            <v>KEW</v>
          </cell>
          <cell r="X1201" t="str">
            <v>01/09/2010</v>
          </cell>
          <cell r="Y1201" t="str">
            <v>KEW</v>
          </cell>
          <cell r="Z1201" t="str">
            <v>16/08/2013</v>
          </cell>
          <cell r="AA1201" t="str">
            <v>15/08/2015</v>
          </cell>
          <cell r="AB1201" t="str">
            <v>No</v>
          </cell>
          <cell r="AC1201" t="str">
            <v>31/08/2013</v>
          </cell>
          <cell r="AD1201" t="str">
            <v>Good</v>
          </cell>
          <cell r="AE1201" t="str">
            <v>V1 - Existing / No Claim</v>
          </cell>
          <cell r="AF1201">
            <v>42697</v>
          </cell>
          <cell r="AG1201">
            <v>9.17</v>
          </cell>
          <cell r="AH1201" t="str">
            <v>PPM</v>
          </cell>
          <cell r="AI1201" t="str">
            <v>Strands</v>
          </cell>
          <cell r="AJ1201" t="str">
            <v>Strands PW</v>
          </cell>
        </row>
        <row r="1202">
          <cell r="A1202" t="str">
            <v>IKN400807</v>
          </cell>
          <cell r="B1202">
            <v>807</v>
          </cell>
          <cell r="C1202" t="str">
            <v>Institut Kanser Negara</v>
          </cell>
          <cell r="D1202" t="str">
            <v>KKM/IKN/H/13/5294</v>
          </cell>
          <cell r="E1202" t="str">
            <v>12-282</v>
          </cell>
          <cell r="F1202" t="str">
            <v>Lights, Surgical</v>
          </cell>
          <cell r="G1202" t="str">
            <v>RT</v>
          </cell>
          <cell r="H1202" t="str">
            <v>RADIATION TREATMENT UNIT</v>
          </cell>
          <cell r="I1202" t="str">
            <v>01RT275</v>
          </cell>
          <cell r="J1202" t="str">
            <v>BRACHY OT 1</v>
          </cell>
          <cell r="K1202" t="str">
            <v>BMED</v>
          </cell>
          <cell r="L1202" t="str">
            <v>Normal</v>
          </cell>
          <cell r="M1202" t="str">
            <v>Germany</v>
          </cell>
          <cell r="N1202" t="str">
            <v>Trumpf</v>
          </cell>
          <cell r="O1202" t="str">
            <v>Trumpf iLED</v>
          </cell>
          <cell r="P1202" t="str">
            <v>101600553/101608461</v>
          </cell>
          <cell r="Q1202" t="str">
            <v>Not Applicable</v>
          </cell>
          <cell r="R1202" t="str">
            <v>Trumpf</v>
          </cell>
          <cell r="S1202" t="str">
            <v>MALAYSIAN HEALTHCARE SDN BHD</v>
          </cell>
          <cell r="T1202" t="str">
            <v>Functioning</v>
          </cell>
          <cell r="U1202" t="str">
            <v>Asset</v>
          </cell>
          <cell r="V1202">
            <v>165550</v>
          </cell>
          <cell r="W1202" t="str">
            <v>KEW</v>
          </cell>
          <cell r="X1202" t="str">
            <v>01/09/2010</v>
          </cell>
          <cell r="Y1202" t="str">
            <v>KEW</v>
          </cell>
          <cell r="Z1202" t="str">
            <v>16/08/2013</v>
          </cell>
          <cell r="AA1202" t="str">
            <v>15/08/2015</v>
          </cell>
          <cell r="AB1202" t="str">
            <v>No</v>
          </cell>
          <cell r="AC1202" t="str">
            <v>31/08/2013</v>
          </cell>
          <cell r="AD1202" t="str">
            <v>Good</v>
          </cell>
          <cell r="AE1202" t="str">
            <v>V1 - Existing / No Claim</v>
          </cell>
          <cell r="AF1202">
            <v>42235</v>
          </cell>
          <cell r="AG1202">
            <v>9.17</v>
          </cell>
          <cell r="AH1202" t="str">
            <v>PPM</v>
          </cell>
          <cell r="AI1202" t="str">
            <v>Strands</v>
          </cell>
          <cell r="AJ1202" t="str">
            <v>Strands PW</v>
          </cell>
        </row>
        <row r="1203">
          <cell r="A1203" t="str">
            <v>IKN400808</v>
          </cell>
          <cell r="B1203">
            <v>808</v>
          </cell>
          <cell r="C1203" t="str">
            <v>Institut Kanser Negara</v>
          </cell>
          <cell r="D1203" t="str">
            <v>KKM/IKN/H/13/5293</v>
          </cell>
          <cell r="E1203" t="str">
            <v>12-282</v>
          </cell>
          <cell r="F1203" t="str">
            <v>Lights, Surgical</v>
          </cell>
          <cell r="G1203" t="str">
            <v>RT</v>
          </cell>
          <cell r="H1203" t="str">
            <v>RADIATION TREATMENT UNIT</v>
          </cell>
          <cell r="I1203" t="str">
            <v>01RT278</v>
          </cell>
          <cell r="J1203" t="str">
            <v>BRACHY OT 2</v>
          </cell>
          <cell r="K1203" t="str">
            <v>BMED</v>
          </cell>
          <cell r="L1203" t="str">
            <v>Normal</v>
          </cell>
          <cell r="M1203" t="str">
            <v>Germany</v>
          </cell>
          <cell r="N1203" t="str">
            <v>Trumpf</v>
          </cell>
          <cell r="O1203" t="str">
            <v>Trumpf iLED</v>
          </cell>
          <cell r="P1203" t="str">
            <v>101608463/101608460</v>
          </cell>
          <cell r="Q1203" t="str">
            <v>Not Applicable</v>
          </cell>
          <cell r="R1203" t="str">
            <v>Trumpf</v>
          </cell>
          <cell r="S1203" t="str">
            <v>MALAYSIAN HEALTHCARE SDN BHD</v>
          </cell>
          <cell r="T1203" t="str">
            <v>Functioning</v>
          </cell>
          <cell r="U1203" t="str">
            <v>Asset</v>
          </cell>
          <cell r="V1203">
            <v>165550</v>
          </cell>
          <cell r="W1203" t="str">
            <v>KEW</v>
          </cell>
          <cell r="X1203" t="str">
            <v>01/09/2010</v>
          </cell>
          <cell r="Y1203" t="str">
            <v>KEW</v>
          </cell>
          <cell r="Z1203" t="str">
            <v>16/08/2013</v>
          </cell>
          <cell r="AA1203" t="str">
            <v>15/08/2015</v>
          </cell>
          <cell r="AB1203" t="str">
            <v>No</v>
          </cell>
          <cell r="AC1203" t="str">
            <v>31/08/2013</v>
          </cell>
          <cell r="AD1203" t="str">
            <v>Good</v>
          </cell>
          <cell r="AE1203" t="str">
            <v>V1 - Existing / No Claim</v>
          </cell>
          <cell r="AF1203">
            <v>42235</v>
          </cell>
          <cell r="AG1203">
            <v>9.17</v>
          </cell>
          <cell r="AH1203" t="str">
            <v>PPM</v>
          </cell>
          <cell r="AI1203" t="str">
            <v>Strands</v>
          </cell>
          <cell r="AJ1203" t="str">
            <v>Strands PW</v>
          </cell>
        </row>
        <row r="1204">
          <cell r="A1204" t="str">
            <v>IKN400809</v>
          </cell>
          <cell r="B1204">
            <v>809</v>
          </cell>
          <cell r="C1204" t="str">
            <v>Institut Kanser Negara</v>
          </cell>
          <cell r="D1204" t="str">
            <v>KKM/IKN/H/13/2636</v>
          </cell>
          <cell r="E1204" t="str">
            <v>12-282</v>
          </cell>
          <cell r="F1204" t="str">
            <v>Lights, Surgical</v>
          </cell>
          <cell r="G1204" t="str">
            <v>RT</v>
          </cell>
          <cell r="H1204" t="str">
            <v>RADIATION TREATMENT UNIT</v>
          </cell>
          <cell r="I1204" t="str">
            <v>01RT233</v>
          </cell>
          <cell r="J1204" t="str">
            <v>EQ ROOM</v>
          </cell>
          <cell r="K1204" t="str">
            <v>BMED</v>
          </cell>
          <cell r="L1204" t="str">
            <v>Normal</v>
          </cell>
          <cell r="M1204" t="str">
            <v>USA</v>
          </cell>
          <cell r="N1204" t="str">
            <v>Welch Allyn</v>
          </cell>
          <cell r="O1204" t="str">
            <v>Welch Allyn GS600</v>
          </cell>
          <cell r="P1204" t="str">
            <v>GS-600-05</v>
          </cell>
          <cell r="Q1204" t="str">
            <v>Not Applicable</v>
          </cell>
          <cell r="R1204" t="str">
            <v>Welch Allyn Inc</v>
          </cell>
          <cell r="S1204" t="str">
            <v>Welch Allyn Malaysia Sdn Bhd</v>
          </cell>
          <cell r="T1204" t="str">
            <v>Functioning</v>
          </cell>
          <cell r="U1204" t="str">
            <v>Asset</v>
          </cell>
          <cell r="V1204">
            <v>5050</v>
          </cell>
          <cell r="W1204" t="str">
            <v>KEW</v>
          </cell>
          <cell r="X1204" t="str">
            <v>01/09/2010</v>
          </cell>
          <cell r="Y1204" t="str">
            <v>KEW</v>
          </cell>
          <cell r="Z1204" t="str">
            <v>16/08/2013</v>
          </cell>
          <cell r="AA1204" t="str">
            <v>15/08/2015</v>
          </cell>
          <cell r="AB1204" t="str">
            <v>No</v>
          </cell>
          <cell r="AC1204" t="str">
            <v>31/08/2013</v>
          </cell>
          <cell r="AD1204" t="str">
            <v>Good</v>
          </cell>
          <cell r="AE1204" t="str">
            <v>V1 - Existing / No Claim</v>
          </cell>
          <cell r="AF1204">
            <v>42235</v>
          </cell>
          <cell r="AG1204">
            <v>9.17</v>
          </cell>
          <cell r="AH1204" t="str">
            <v>PPM</v>
          </cell>
          <cell r="AI1204" t="str">
            <v>Strands</v>
          </cell>
          <cell r="AJ1204" t="str">
            <v>Strands PW</v>
          </cell>
        </row>
        <row r="1205">
          <cell r="A1205" t="str">
            <v>IKN400810</v>
          </cell>
          <cell r="B1205">
            <v>810</v>
          </cell>
          <cell r="C1205" t="str">
            <v>Institut Kanser Negara</v>
          </cell>
          <cell r="D1205" t="str">
            <v>KKM/IKN/H/13/2635</v>
          </cell>
          <cell r="E1205" t="str">
            <v>10-208</v>
          </cell>
          <cell r="F1205" t="str">
            <v>Aspirators</v>
          </cell>
          <cell r="G1205" t="str">
            <v>RT</v>
          </cell>
          <cell r="H1205" t="str">
            <v>RADIATION TREATMENT UNIT</v>
          </cell>
          <cell r="I1205" t="str">
            <v>01RT233</v>
          </cell>
          <cell r="J1205" t="str">
            <v>EQ ROOM</v>
          </cell>
          <cell r="K1205" t="str">
            <v>BMED</v>
          </cell>
          <cell r="L1205" t="str">
            <v>Normal</v>
          </cell>
          <cell r="M1205" t="str">
            <v>Switzerland</v>
          </cell>
          <cell r="N1205" t="str">
            <v>Senator</v>
          </cell>
          <cell r="O1205" t="str">
            <v>Senator</v>
          </cell>
          <cell r="P1205" t="str">
            <v>1220748</v>
          </cell>
          <cell r="Q1205" t="str">
            <v>Not Applicable</v>
          </cell>
          <cell r="R1205" t="str">
            <v>Ardo Medical AG</v>
          </cell>
          <cell r="S1205" t="str">
            <v>Histopoint</v>
          </cell>
          <cell r="T1205" t="str">
            <v>Functioning</v>
          </cell>
          <cell r="U1205" t="str">
            <v>Asset</v>
          </cell>
          <cell r="V1205">
            <v>7580</v>
          </cell>
          <cell r="W1205" t="str">
            <v>KEW</v>
          </cell>
          <cell r="X1205" t="str">
            <v>01/09/2010</v>
          </cell>
          <cell r="Y1205" t="str">
            <v>KEW</v>
          </cell>
          <cell r="Z1205" t="str">
            <v>16/08/2013</v>
          </cell>
          <cell r="AA1205" t="str">
            <v>15/08/2015</v>
          </cell>
          <cell r="AB1205" t="str">
            <v>No</v>
          </cell>
          <cell r="AC1205" t="str">
            <v>31/08/2013</v>
          </cell>
          <cell r="AD1205" t="str">
            <v>Good</v>
          </cell>
          <cell r="AE1205" t="str">
            <v>V1 - Existing / No Claim</v>
          </cell>
          <cell r="AF1205">
            <v>42235</v>
          </cell>
          <cell r="AG1205">
            <v>9.17</v>
          </cell>
          <cell r="AH1205" t="str">
            <v>PPM</v>
          </cell>
          <cell r="AI1205" t="str">
            <v>Strands</v>
          </cell>
          <cell r="AJ1205" t="str">
            <v>Strands PW</v>
          </cell>
        </row>
        <row r="1206">
          <cell r="A1206" t="str">
            <v>IKN400813</v>
          </cell>
          <cell r="B1206">
            <v>813</v>
          </cell>
          <cell r="C1206" t="str">
            <v>Institut Kanser Negara</v>
          </cell>
          <cell r="D1206" t="str">
            <v>KKM/IKN/H/13/2201</v>
          </cell>
          <cell r="E1206" t="str">
            <v>12-647</v>
          </cell>
          <cell r="F1206" t="str">
            <v>Physiologic Monitoring Systems, Acute Care</v>
          </cell>
          <cell r="G1206" t="str">
            <v>RT</v>
          </cell>
          <cell r="H1206" t="str">
            <v>RADIATION TREATMENT UNIT</v>
          </cell>
          <cell r="I1206" t="str">
            <v>01RT238</v>
          </cell>
          <cell r="J1206" t="str">
            <v>PRE-OP</v>
          </cell>
          <cell r="K1206" t="str">
            <v>BMED</v>
          </cell>
          <cell r="L1206" t="str">
            <v>Normal</v>
          </cell>
          <cell r="M1206" t="str">
            <v>USA</v>
          </cell>
          <cell r="N1206" t="str">
            <v>GE</v>
          </cell>
          <cell r="O1206" t="str">
            <v>GE B30</v>
          </cell>
          <cell r="P1206" t="str">
            <v>SF312325912WA</v>
          </cell>
          <cell r="Q1206" t="str">
            <v>Not Applicable</v>
          </cell>
          <cell r="R1206" t="str">
            <v>GE Healthcare Systems</v>
          </cell>
          <cell r="S1206" t="str">
            <v>GE Healthcare Technologies</v>
          </cell>
          <cell r="T1206" t="str">
            <v>Functioning</v>
          </cell>
          <cell r="U1206" t="str">
            <v>Asset</v>
          </cell>
          <cell r="V1206">
            <v>44510</v>
          </cell>
          <cell r="W1206" t="str">
            <v>KEW</v>
          </cell>
          <cell r="X1206" t="str">
            <v>01/09/2010</v>
          </cell>
          <cell r="Y1206" t="str">
            <v>KEW</v>
          </cell>
          <cell r="Z1206" t="str">
            <v>16/08/2013</v>
          </cell>
          <cell r="AA1206" t="str">
            <v>15/08/2015</v>
          </cell>
          <cell r="AB1206" t="str">
            <v>No</v>
          </cell>
          <cell r="AC1206" t="str">
            <v>31/08/2013</v>
          </cell>
          <cell r="AD1206" t="str">
            <v>Good</v>
          </cell>
          <cell r="AE1206" t="str">
            <v>V1 - Existing / No Claim</v>
          </cell>
          <cell r="AF1206">
            <v>42235</v>
          </cell>
          <cell r="AG1206">
            <v>9.17</v>
          </cell>
          <cell r="AH1206" t="str">
            <v>PPM</v>
          </cell>
          <cell r="AI1206" t="str">
            <v>Strands</v>
          </cell>
          <cell r="AJ1206" t="str">
            <v>Strands PW</v>
          </cell>
        </row>
        <row r="1207">
          <cell r="A1207" t="str">
            <v>IKN400814</v>
          </cell>
          <cell r="B1207">
            <v>814</v>
          </cell>
          <cell r="C1207" t="str">
            <v>Institut Kanser Negara</v>
          </cell>
          <cell r="D1207" t="str">
            <v>KKM/IKN/H/13/2202</v>
          </cell>
          <cell r="E1207" t="str">
            <v>12-647</v>
          </cell>
          <cell r="F1207" t="str">
            <v>Physiologic Monitoring Systems, Acute Care</v>
          </cell>
          <cell r="G1207" t="str">
            <v>RT</v>
          </cell>
          <cell r="H1207" t="str">
            <v>RADIATION TREATMENT UNIT</v>
          </cell>
          <cell r="I1207" t="str">
            <v>01RT238</v>
          </cell>
          <cell r="J1207" t="str">
            <v>PRE-OP</v>
          </cell>
          <cell r="K1207" t="str">
            <v>BMED</v>
          </cell>
          <cell r="L1207" t="str">
            <v>Normal</v>
          </cell>
          <cell r="M1207" t="str">
            <v>USA</v>
          </cell>
          <cell r="N1207" t="str">
            <v>GE</v>
          </cell>
          <cell r="O1207" t="str">
            <v>GE B30</v>
          </cell>
          <cell r="P1207" t="str">
            <v>SF312325906WA</v>
          </cell>
          <cell r="Q1207" t="str">
            <v>Not Applicable</v>
          </cell>
          <cell r="R1207" t="str">
            <v>GE Healthcare Systems</v>
          </cell>
          <cell r="S1207" t="str">
            <v>GE Healthcare Technologies</v>
          </cell>
          <cell r="T1207" t="str">
            <v>Functioning</v>
          </cell>
          <cell r="U1207" t="str">
            <v>Asset</v>
          </cell>
          <cell r="V1207">
            <v>44510</v>
          </cell>
          <cell r="W1207" t="str">
            <v>KEW</v>
          </cell>
          <cell r="X1207" t="str">
            <v>01/09/2010</v>
          </cell>
          <cell r="Y1207" t="str">
            <v>KEW</v>
          </cell>
          <cell r="Z1207" t="str">
            <v>16/08/2013</v>
          </cell>
          <cell r="AA1207" t="str">
            <v>15/08/2015</v>
          </cell>
          <cell r="AB1207" t="str">
            <v>No</v>
          </cell>
          <cell r="AC1207" t="str">
            <v>31/08/2013</v>
          </cell>
          <cell r="AD1207" t="str">
            <v>Good</v>
          </cell>
          <cell r="AE1207" t="str">
            <v>V1 - Existing / No Claim</v>
          </cell>
          <cell r="AF1207">
            <v>42235</v>
          </cell>
          <cell r="AG1207">
            <v>9.17</v>
          </cell>
          <cell r="AH1207" t="str">
            <v>PPM</v>
          </cell>
          <cell r="AI1207" t="str">
            <v>Strands</v>
          </cell>
          <cell r="AJ1207" t="str">
            <v>Strands PW</v>
          </cell>
        </row>
        <row r="1208">
          <cell r="A1208" t="str">
            <v>IKN400815</v>
          </cell>
          <cell r="B1208">
            <v>815</v>
          </cell>
          <cell r="C1208" t="str">
            <v>Institut Kanser Negara</v>
          </cell>
          <cell r="D1208" t="str">
            <v>KKM/IKN/H/13/2474</v>
          </cell>
          <cell r="E1208" t="str">
            <v>12-647</v>
          </cell>
          <cell r="F1208" t="str">
            <v>Physiologic Monitoring Systems, Acute Care</v>
          </cell>
          <cell r="G1208" t="str">
            <v>RT</v>
          </cell>
          <cell r="H1208" t="str">
            <v>RADIATION TREATMENT UNIT</v>
          </cell>
          <cell r="I1208" t="str">
            <v>01RT238</v>
          </cell>
          <cell r="J1208" t="str">
            <v>PRE-OP</v>
          </cell>
          <cell r="K1208" t="str">
            <v>BMED</v>
          </cell>
          <cell r="L1208" t="str">
            <v>Normal</v>
          </cell>
          <cell r="M1208" t="str">
            <v>USA</v>
          </cell>
          <cell r="N1208" t="str">
            <v>GE</v>
          </cell>
          <cell r="O1208" t="str">
            <v>GE B30</v>
          </cell>
          <cell r="P1208" t="str">
            <v>SF312325897WA</v>
          </cell>
          <cell r="Q1208" t="str">
            <v>Not Applicable</v>
          </cell>
          <cell r="R1208" t="str">
            <v>GE Healthcare Systems</v>
          </cell>
          <cell r="S1208" t="str">
            <v>GE Healthcare Technologies</v>
          </cell>
          <cell r="T1208" t="str">
            <v>Functioning</v>
          </cell>
          <cell r="U1208" t="str">
            <v>Asset</v>
          </cell>
          <cell r="V1208">
            <v>44510</v>
          </cell>
          <cell r="W1208" t="str">
            <v>KEW</v>
          </cell>
          <cell r="X1208" t="str">
            <v>01/09/2010</v>
          </cell>
          <cell r="Y1208" t="str">
            <v>KEW</v>
          </cell>
          <cell r="Z1208" t="str">
            <v>16/08/2013</v>
          </cell>
          <cell r="AA1208" t="str">
            <v>15/08/2015</v>
          </cell>
          <cell r="AB1208" t="str">
            <v>No</v>
          </cell>
          <cell r="AC1208" t="str">
            <v>31/08/2013</v>
          </cell>
          <cell r="AD1208" t="str">
            <v>Good</v>
          </cell>
          <cell r="AE1208" t="str">
            <v>V1 - Existing / No Claim</v>
          </cell>
          <cell r="AF1208">
            <v>42235</v>
          </cell>
          <cell r="AG1208">
            <v>9.17</v>
          </cell>
          <cell r="AH1208" t="str">
            <v>PPM</v>
          </cell>
          <cell r="AI1208" t="str">
            <v>Strands</v>
          </cell>
          <cell r="AJ1208" t="str">
            <v>Strands PW</v>
          </cell>
        </row>
        <row r="1209">
          <cell r="A1209" t="str">
            <v>IKN400816</v>
          </cell>
          <cell r="B1209">
            <v>816</v>
          </cell>
          <cell r="C1209" t="str">
            <v>Institut Kanser Negara</v>
          </cell>
          <cell r="D1209" t="str">
            <v>KKM/IKN/H/13/2597</v>
          </cell>
          <cell r="E1209" t="str">
            <v>12-647</v>
          </cell>
          <cell r="F1209" t="str">
            <v>Physiologic Monitoring Systems, Acute Care</v>
          </cell>
          <cell r="G1209" t="str">
            <v>RT</v>
          </cell>
          <cell r="H1209" t="str">
            <v>RADIATION TREATMENT UNIT</v>
          </cell>
          <cell r="I1209" t="str">
            <v>01RT238</v>
          </cell>
          <cell r="J1209" t="str">
            <v>PRE-OP</v>
          </cell>
          <cell r="K1209" t="str">
            <v>BMED</v>
          </cell>
          <cell r="L1209" t="str">
            <v>Normal</v>
          </cell>
          <cell r="M1209" t="str">
            <v>USA</v>
          </cell>
          <cell r="N1209" t="str">
            <v>GE</v>
          </cell>
          <cell r="O1209" t="str">
            <v>GE B30</v>
          </cell>
          <cell r="P1209" t="str">
            <v>SF312325899WA</v>
          </cell>
          <cell r="Q1209" t="str">
            <v>Not Applicable</v>
          </cell>
          <cell r="R1209" t="str">
            <v>GE Healthcare Systems</v>
          </cell>
          <cell r="S1209" t="str">
            <v>GE Healthcare Technologies</v>
          </cell>
          <cell r="T1209" t="str">
            <v>Functioning</v>
          </cell>
          <cell r="U1209" t="str">
            <v>Asset</v>
          </cell>
          <cell r="V1209">
            <v>44510</v>
          </cell>
          <cell r="W1209" t="str">
            <v>KEW</v>
          </cell>
          <cell r="X1209" t="str">
            <v>01/09/2010</v>
          </cell>
          <cell r="Y1209" t="str">
            <v>KEW</v>
          </cell>
          <cell r="Z1209" t="str">
            <v>16/08/2013</v>
          </cell>
          <cell r="AA1209" t="str">
            <v>15/08/2015</v>
          </cell>
          <cell r="AB1209" t="str">
            <v>No</v>
          </cell>
          <cell r="AC1209" t="str">
            <v>31/08/2013</v>
          </cell>
          <cell r="AD1209" t="str">
            <v>Good</v>
          </cell>
          <cell r="AE1209" t="str">
            <v>V1 - Existing / No Claim</v>
          </cell>
          <cell r="AF1209">
            <v>42235</v>
          </cell>
          <cell r="AG1209">
            <v>9.17</v>
          </cell>
          <cell r="AH1209" t="str">
            <v>PPM</v>
          </cell>
          <cell r="AI1209" t="str">
            <v>Strands</v>
          </cell>
          <cell r="AJ1209" t="str">
            <v>Strands PW</v>
          </cell>
        </row>
        <row r="1210">
          <cell r="A1210" t="str">
            <v>IKN400817</v>
          </cell>
          <cell r="B1210">
            <v>817</v>
          </cell>
          <cell r="C1210" t="str">
            <v>Institut Kanser Negara</v>
          </cell>
          <cell r="D1210" t="str">
            <v>KKM/IKN/H/13/2534</v>
          </cell>
          <cell r="E1210" t="str">
            <v>17-950</v>
          </cell>
          <cell r="F1210" t="str">
            <v>Warming Units, Patient, Forced-Air</v>
          </cell>
          <cell r="G1210" t="str">
            <v>RT</v>
          </cell>
          <cell r="H1210" t="str">
            <v>RADIATION TREATMENT UNIT</v>
          </cell>
          <cell r="I1210" t="str">
            <v>01RT238</v>
          </cell>
          <cell r="J1210" t="str">
            <v>PRE-OP</v>
          </cell>
          <cell r="K1210" t="str">
            <v>BMED</v>
          </cell>
          <cell r="L1210" t="str">
            <v>Normal</v>
          </cell>
          <cell r="M1210" t="str">
            <v>USA</v>
          </cell>
          <cell r="N1210" t="str">
            <v>Bair Hugger</v>
          </cell>
          <cell r="O1210" t="str">
            <v>Bair Hugger 775</v>
          </cell>
          <cell r="P1210" t="str">
            <v>35927</v>
          </cell>
          <cell r="Q1210" t="str">
            <v>Not Applicable</v>
          </cell>
          <cell r="R1210" t="str">
            <v>Arizant Healthcare Inc</v>
          </cell>
          <cell r="S1210" t="str">
            <v>Calmed Healthcare Sdn Bhd</v>
          </cell>
          <cell r="T1210" t="str">
            <v>Functioning</v>
          </cell>
          <cell r="U1210" t="str">
            <v>Asset</v>
          </cell>
          <cell r="V1210">
            <v>15515</v>
          </cell>
          <cell r="W1210" t="str">
            <v>KEW</v>
          </cell>
          <cell r="X1210" t="str">
            <v>01/09/2010</v>
          </cell>
          <cell r="Y1210" t="str">
            <v>KEW</v>
          </cell>
          <cell r="Z1210" t="str">
            <v>16/08/2013</v>
          </cell>
          <cell r="AA1210" t="str">
            <v>15/08/2015</v>
          </cell>
          <cell r="AB1210" t="str">
            <v>No</v>
          </cell>
          <cell r="AC1210" t="str">
            <v>31/08/2013</v>
          </cell>
          <cell r="AD1210" t="str">
            <v>Good</v>
          </cell>
          <cell r="AE1210" t="str">
            <v>V1 - Existing / No Claim</v>
          </cell>
          <cell r="AF1210">
            <v>42235</v>
          </cell>
          <cell r="AG1210">
            <v>9.17</v>
          </cell>
          <cell r="AH1210" t="str">
            <v>PPM</v>
          </cell>
          <cell r="AI1210" t="str">
            <v>Strands</v>
          </cell>
          <cell r="AJ1210" t="str">
            <v>Strands PW</v>
          </cell>
        </row>
        <row r="1211">
          <cell r="A1211" t="str">
            <v>IKN400818</v>
          </cell>
          <cell r="B1211">
            <v>818</v>
          </cell>
          <cell r="C1211" t="str">
            <v>Institut Kanser Negara</v>
          </cell>
          <cell r="D1211" t="str">
            <v>KKM/IKN/H/13/2535</v>
          </cell>
          <cell r="E1211" t="str">
            <v>17-950</v>
          </cell>
          <cell r="F1211" t="str">
            <v>Warming Units, Patient, Forced-Air</v>
          </cell>
          <cell r="G1211" t="str">
            <v>RT</v>
          </cell>
          <cell r="H1211" t="str">
            <v>RADIATION TREATMENT UNIT</v>
          </cell>
          <cell r="I1211" t="str">
            <v>01RT238</v>
          </cell>
          <cell r="J1211" t="str">
            <v>PRE-OP</v>
          </cell>
          <cell r="K1211" t="str">
            <v>BMED</v>
          </cell>
          <cell r="L1211" t="str">
            <v>Normal</v>
          </cell>
          <cell r="M1211" t="str">
            <v>USA</v>
          </cell>
          <cell r="N1211" t="str">
            <v>Bair Hugger</v>
          </cell>
          <cell r="O1211" t="str">
            <v>Bair Hugger 775</v>
          </cell>
          <cell r="P1211" t="str">
            <v>35928</v>
          </cell>
          <cell r="Q1211" t="str">
            <v>Not Applicable</v>
          </cell>
          <cell r="R1211" t="str">
            <v>Arizant Healthcare Inc</v>
          </cell>
          <cell r="S1211" t="str">
            <v>Calmed Healthcare Sdn Bhd</v>
          </cell>
          <cell r="T1211" t="str">
            <v>Functioning</v>
          </cell>
          <cell r="U1211" t="str">
            <v>Asset</v>
          </cell>
          <cell r="V1211">
            <v>15515</v>
          </cell>
          <cell r="W1211" t="str">
            <v>KEW</v>
          </cell>
          <cell r="X1211" t="str">
            <v>01/09/2010</v>
          </cell>
          <cell r="Y1211" t="str">
            <v>KEW</v>
          </cell>
          <cell r="Z1211" t="str">
            <v>16/08/2013</v>
          </cell>
          <cell r="AA1211" t="str">
            <v>15/08/2015</v>
          </cell>
          <cell r="AB1211" t="str">
            <v>No</v>
          </cell>
          <cell r="AC1211" t="str">
            <v>31/08/2013</v>
          </cell>
          <cell r="AD1211" t="str">
            <v>Good</v>
          </cell>
          <cell r="AE1211" t="str">
            <v>V1 - Existing / No Claim</v>
          </cell>
          <cell r="AF1211">
            <v>42235</v>
          </cell>
          <cell r="AG1211">
            <v>9.17</v>
          </cell>
          <cell r="AH1211" t="str">
            <v>PPM</v>
          </cell>
          <cell r="AI1211" t="str">
            <v>Strands</v>
          </cell>
          <cell r="AJ1211" t="str">
            <v>Strands PW</v>
          </cell>
        </row>
        <row r="1212">
          <cell r="A1212" t="str">
            <v>IKN400819</v>
          </cell>
          <cell r="B1212">
            <v>819</v>
          </cell>
          <cell r="C1212" t="str">
            <v>Institut Kanser Negara</v>
          </cell>
          <cell r="D1212" t="str">
            <v>KKM/IKN/H/13/2598</v>
          </cell>
          <cell r="E1212" t="str">
            <v>12-647</v>
          </cell>
          <cell r="F1212" t="str">
            <v>Physiologic Monitoring Systems, Acute Care</v>
          </cell>
          <cell r="G1212" t="str">
            <v>RT</v>
          </cell>
          <cell r="H1212" t="str">
            <v>RADIATION TREATMENT UNIT</v>
          </cell>
          <cell r="I1212" t="str">
            <v>01RT239</v>
          </cell>
          <cell r="J1212" t="str">
            <v>POST-OP</v>
          </cell>
          <cell r="K1212" t="str">
            <v>BMED</v>
          </cell>
          <cell r="L1212" t="str">
            <v>Normal</v>
          </cell>
          <cell r="M1212" t="str">
            <v>Finland</v>
          </cell>
          <cell r="N1212" t="str">
            <v>CareScape</v>
          </cell>
          <cell r="O1212" t="str">
            <v>CareScape B650</v>
          </cell>
          <cell r="P1212" t="str">
            <v>SEW12357513HA</v>
          </cell>
          <cell r="Q1212" t="str">
            <v>Not Applicable</v>
          </cell>
          <cell r="R1212" t="str">
            <v>GE Medical Systems</v>
          </cell>
          <cell r="S1212" t="str">
            <v>GE Healthcare Technologies</v>
          </cell>
          <cell r="T1212" t="str">
            <v>Functioning</v>
          </cell>
          <cell r="U1212" t="str">
            <v>Asset</v>
          </cell>
          <cell r="V1212">
            <v>87400</v>
          </cell>
          <cell r="W1212" t="str">
            <v>KEW</v>
          </cell>
          <cell r="X1212" t="str">
            <v>01/09/2010</v>
          </cell>
          <cell r="Y1212" t="str">
            <v>KEW</v>
          </cell>
          <cell r="Z1212" t="str">
            <v>16/08/2013</v>
          </cell>
          <cell r="AA1212" t="str">
            <v>15/08/2015</v>
          </cell>
          <cell r="AB1212" t="str">
            <v>No</v>
          </cell>
          <cell r="AC1212" t="str">
            <v>31/08/2013</v>
          </cell>
          <cell r="AD1212" t="str">
            <v>Good</v>
          </cell>
          <cell r="AE1212" t="str">
            <v>V1 - Existing / No Claim</v>
          </cell>
          <cell r="AF1212">
            <v>42235</v>
          </cell>
          <cell r="AG1212">
            <v>9.17</v>
          </cell>
          <cell r="AH1212" t="str">
            <v>PPM</v>
          </cell>
          <cell r="AI1212" t="str">
            <v>Strands</v>
          </cell>
          <cell r="AJ1212" t="str">
            <v>Strands PW</v>
          </cell>
        </row>
        <row r="1213">
          <cell r="A1213" t="str">
            <v>IKN400820</v>
          </cell>
          <cell r="B1213">
            <v>820</v>
          </cell>
          <cell r="C1213" t="str">
            <v>Institut Kanser Negara</v>
          </cell>
          <cell r="D1213" t="str">
            <v>KKM/IKN/H/13/2599</v>
          </cell>
          <cell r="E1213" t="str">
            <v>12-647</v>
          </cell>
          <cell r="F1213" t="str">
            <v>Physiologic Monitoring Systems, Acute Care</v>
          </cell>
          <cell r="G1213" t="str">
            <v>RT</v>
          </cell>
          <cell r="H1213" t="str">
            <v>RADIATION TREATMENT UNIT</v>
          </cell>
          <cell r="I1213" t="str">
            <v>01RT239</v>
          </cell>
          <cell r="J1213" t="str">
            <v>POST-OP</v>
          </cell>
          <cell r="K1213" t="str">
            <v>BMED</v>
          </cell>
          <cell r="L1213" t="str">
            <v>Normal</v>
          </cell>
          <cell r="M1213" t="str">
            <v>Finland</v>
          </cell>
          <cell r="N1213" t="str">
            <v>CareScape</v>
          </cell>
          <cell r="O1213" t="str">
            <v>CareScape B650</v>
          </cell>
          <cell r="P1213" t="str">
            <v>SEW12357503HA</v>
          </cell>
          <cell r="Q1213" t="str">
            <v>Not Applicable</v>
          </cell>
          <cell r="R1213" t="str">
            <v>GE Medical Systems</v>
          </cell>
          <cell r="S1213" t="str">
            <v>GE Healthcare Technologies</v>
          </cell>
          <cell r="T1213" t="str">
            <v>Functioning</v>
          </cell>
          <cell r="U1213" t="str">
            <v>Asset</v>
          </cell>
          <cell r="V1213">
            <v>87400</v>
          </cell>
          <cell r="W1213" t="str">
            <v>KEW</v>
          </cell>
          <cell r="X1213" t="str">
            <v>01/09/2010</v>
          </cell>
          <cell r="Y1213" t="str">
            <v>KEW</v>
          </cell>
          <cell r="Z1213" t="str">
            <v>16/08/2013</v>
          </cell>
          <cell r="AA1213" t="str">
            <v>15/08/2015</v>
          </cell>
          <cell r="AB1213" t="str">
            <v>No</v>
          </cell>
          <cell r="AC1213" t="str">
            <v>31/08/2013</v>
          </cell>
          <cell r="AD1213" t="str">
            <v>Good</v>
          </cell>
          <cell r="AE1213" t="str">
            <v>V1 - Existing / No Claim</v>
          </cell>
          <cell r="AF1213">
            <v>42235</v>
          </cell>
          <cell r="AG1213">
            <v>9.17</v>
          </cell>
          <cell r="AH1213" t="str">
            <v>PPM</v>
          </cell>
          <cell r="AI1213" t="str">
            <v>Strands</v>
          </cell>
          <cell r="AJ1213" t="str">
            <v>Strands PW</v>
          </cell>
        </row>
        <row r="1214">
          <cell r="A1214" t="str">
            <v>IKN400821</v>
          </cell>
          <cell r="B1214">
            <v>821</v>
          </cell>
          <cell r="C1214" t="str">
            <v>Institut Kanser Negara</v>
          </cell>
          <cell r="D1214" t="str">
            <v>KKM/IKN/H/13/2600</v>
          </cell>
          <cell r="E1214" t="str">
            <v>12-647</v>
          </cell>
          <cell r="F1214" t="str">
            <v>Physiologic Monitoring Systems, Acute Care</v>
          </cell>
          <cell r="G1214" t="str">
            <v>RT</v>
          </cell>
          <cell r="H1214" t="str">
            <v>RADIATION TREATMENT UNIT</v>
          </cell>
          <cell r="I1214" t="str">
            <v>01RT239</v>
          </cell>
          <cell r="J1214" t="str">
            <v>POST-OP</v>
          </cell>
          <cell r="K1214" t="str">
            <v>BMED</v>
          </cell>
          <cell r="L1214" t="str">
            <v>Normal</v>
          </cell>
          <cell r="M1214" t="str">
            <v>Finland</v>
          </cell>
          <cell r="N1214" t="str">
            <v>CareScape</v>
          </cell>
          <cell r="O1214" t="str">
            <v>CareScape B650</v>
          </cell>
          <cell r="P1214" t="str">
            <v>SEW12357502HA</v>
          </cell>
          <cell r="Q1214" t="str">
            <v>Not Applicable</v>
          </cell>
          <cell r="R1214" t="str">
            <v>GE Medical Systems</v>
          </cell>
          <cell r="S1214" t="str">
            <v>GE Healthcare Technologies</v>
          </cell>
          <cell r="T1214" t="str">
            <v>Functioning</v>
          </cell>
          <cell r="U1214" t="str">
            <v>Asset</v>
          </cell>
          <cell r="V1214">
            <v>87400</v>
          </cell>
          <cell r="W1214" t="str">
            <v>KEW</v>
          </cell>
          <cell r="X1214" t="str">
            <v>01/09/2010</v>
          </cell>
          <cell r="Y1214" t="str">
            <v>KEW</v>
          </cell>
          <cell r="Z1214" t="str">
            <v>16/08/2013</v>
          </cell>
          <cell r="AA1214" t="str">
            <v>15/08/2015</v>
          </cell>
          <cell r="AB1214" t="str">
            <v>No</v>
          </cell>
          <cell r="AC1214" t="str">
            <v>31/08/2013</v>
          </cell>
          <cell r="AD1214" t="str">
            <v>Good</v>
          </cell>
          <cell r="AE1214" t="str">
            <v>V1 - Existing / No Claim</v>
          </cell>
          <cell r="AF1214">
            <v>42235</v>
          </cell>
          <cell r="AG1214">
            <v>9.17</v>
          </cell>
          <cell r="AH1214" t="str">
            <v>PPM</v>
          </cell>
          <cell r="AI1214" t="str">
            <v>Strands</v>
          </cell>
          <cell r="AJ1214" t="str">
            <v>Strands PW</v>
          </cell>
        </row>
        <row r="1215">
          <cell r="A1215" t="str">
            <v>IKN400822</v>
          </cell>
          <cell r="B1215">
            <v>822</v>
          </cell>
          <cell r="C1215" t="str">
            <v>Institut Kanser Negara</v>
          </cell>
          <cell r="D1215" t="str">
            <v>KKM/IKN/H/13/2601</v>
          </cell>
          <cell r="E1215" t="str">
            <v>12-647</v>
          </cell>
          <cell r="F1215" t="str">
            <v>Physiologic Monitoring Systems, Acute Care</v>
          </cell>
          <cell r="G1215" t="str">
            <v>RT</v>
          </cell>
          <cell r="H1215" t="str">
            <v>RADIATION TREATMENT UNIT</v>
          </cell>
          <cell r="I1215" t="str">
            <v>01RT239</v>
          </cell>
          <cell r="J1215" t="str">
            <v>POST-OP</v>
          </cell>
          <cell r="K1215" t="str">
            <v>BMED</v>
          </cell>
          <cell r="L1215" t="str">
            <v>Normal</v>
          </cell>
          <cell r="M1215" t="str">
            <v>Finland</v>
          </cell>
          <cell r="N1215" t="str">
            <v>CareScape</v>
          </cell>
          <cell r="O1215" t="str">
            <v>CareScape B650</v>
          </cell>
          <cell r="P1215" t="str">
            <v>SEW12357512HA</v>
          </cell>
          <cell r="Q1215" t="str">
            <v>Not Applicable</v>
          </cell>
          <cell r="R1215" t="str">
            <v>GE Medical Systems</v>
          </cell>
          <cell r="S1215" t="str">
            <v>GE Healthcare Technologies</v>
          </cell>
          <cell r="T1215" t="str">
            <v>Functioning</v>
          </cell>
          <cell r="U1215" t="str">
            <v>Asset</v>
          </cell>
          <cell r="V1215">
            <v>87400</v>
          </cell>
          <cell r="W1215" t="str">
            <v>KEW</v>
          </cell>
          <cell r="X1215" t="str">
            <v>01/09/2010</v>
          </cell>
          <cell r="Y1215" t="str">
            <v>KEW</v>
          </cell>
          <cell r="Z1215" t="str">
            <v>16/08/2013</v>
          </cell>
          <cell r="AA1215" t="str">
            <v>15/08/2015</v>
          </cell>
          <cell r="AB1215" t="str">
            <v>No</v>
          </cell>
          <cell r="AC1215" t="str">
            <v>31/08/2013</v>
          </cell>
          <cell r="AD1215" t="str">
            <v>Good</v>
          </cell>
          <cell r="AE1215" t="str">
            <v>V1 - Existing / No Claim</v>
          </cell>
          <cell r="AF1215">
            <v>42235</v>
          </cell>
          <cell r="AG1215">
            <v>9.17</v>
          </cell>
          <cell r="AH1215" t="str">
            <v>PPM</v>
          </cell>
          <cell r="AI1215" t="str">
            <v>Strands</v>
          </cell>
          <cell r="AJ1215" t="str">
            <v>Strands PW</v>
          </cell>
        </row>
        <row r="1216">
          <cell r="A1216" t="str">
            <v>IKN400823</v>
          </cell>
          <cell r="B1216">
            <v>823</v>
          </cell>
          <cell r="C1216" t="str">
            <v>Institut Kanser Negara</v>
          </cell>
          <cell r="D1216" t="str">
            <v>KKM/IKN/H/13/2625</v>
          </cell>
          <cell r="E1216" t="str">
            <v>13-249</v>
          </cell>
          <cell r="F1216" t="str">
            <v>Warming Units, Patient, Radiant, Adult</v>
          </cell>
          <cell r="G1216" t="str">
            <v>RT</v>
          </cell>
          <cell r="H1216" t="str">
            <v>RADIATION TREATMENT UNIT</v>
          </cell>
          <cell r="I1216" t="str">
            <v>01RT239</v>
          </cell>
          <cell r="J1216" t="str">
            <v>POST-OP</v>
          </cell>
          <cell r="K1216" t="str">
            <v>BMED</v>
          </cell>
          <cell r="L1216" t="str">
            <v>Normal</v>
          </cell>
          <cell r="M1216" t="str">
            <v>Sweden</v>
          </cell>
          <cell r="N1216" t="str">
            <v>Aragona</v>
          </cell>
          <cell r="O1216" t="str">
            <v>Aragona MTC-410</v>
          </cell>
          <cell r="P1216" t="str">
            <v>1202</v>
          </cell>
          <cell r="Q1216" t="str">
            <v>Not Applicable</v>
          </cell>
          <cell r="R1216" t="str">
            <v>Aspira Medical AB</v>
          </cell>
          <cell r="S1216" t="str">
            <v>Perniagaan Med Tech</v>
          </cell>
          <cell r="T1216" t="str">
            <v>Functioning</v>
          </cell>
          <cell r="U1216" t="str">
            <v>Asset</v>
          </cell>
          <cell r="V1216">
            <v>12630</v>
          </cell>
          <cell r="W1216" t="str">
            <v>KEW</v>
          </cell>
          <cell r="X1216" t="str">
            <v>01/09/2010</v>
          </cell>
          <cell r="Y1216" t="str">
            <v>KEW</v>
          </cell>
          <cell r="Z1216" t="str">
            <v>16/08/2013</v>
          </cell>
          <cell r="AA1216" t="str">
            <v>15/08/2015</v>
          </cell>
          <cell r="AB1216" t="str">
            <v>No</v>
          </cell>
          <cell r="AC1216" t="str">
            <v>31/08/2013</v>
          </cell>
          <cell r="AD1216" t="str">
            <v>Good</v>
          </cell>
          <cell r="AE1216" t="str">
            <v>V1 - Existing / No Claim</v>
          </cell>
          <cell r="AF1216">
            <v>42235</v>
          </cell>
          <cell r="AG1216">
            <v>9.17</v>
          </cell>
          <cell r="AH1216" t="str">
            <v>PPM</v>
          </cell>
          <cell r="AI1216" t="str">
            <v>Strands</v>
          </cell>
          <cell r="AJ1216" t="str">
            <v>Strands PW</v>
          </cell>
        </row>
        <row r="1217">
          <cell r="A1217" t="str">
            <v>IKN400824</v>
          </cell>
          <cell r="B1217">
            <v>824</v>
          </cell>
          <cell r="C1217" t="str">
            <v>Institut Kanser Negara</v>
          </cell>
          <cell r="D1217" t="str">
            <v>KKM/IKN/H/13/3376</v>
          </cell>
          <cell r="E1217" t="str">
            <v>16-173</v>
          </cell>
          <cell r="F1217" t="str">
            <v>Sphygmomanometers, Electronic, Automatic</v>
          </cell>
          <cell r="G1217" t="str">
            <v>RT</v>
          </cell>
          <cell r="H1217" t="str">
            <v>RADIATION TREATMENT UNIT</v>
          </cell>
          <cell r="I1217" t="str">
            <v>01RT243</v>
          </cell>
          <cell r="J1217" t="str">
            <v>NURSE STATION</v>
          </cell>
          <cell r="K1217" t="str">
            <v>BMED</v>
          </cell>
          <cell r="L1217" t="str">
            <v>Normal</v>
          </cell>
          <cell r="M1217" t="str">
            <v>USA</v>
          </cell>
          <cell r="N1217" t="str">
            <v>Connex</v>
          </cell>
          <cell r="O1217" t="str">
            <v>Connex ProBP 3400</v>
          </cell>
          <cell r="P1217" t="str">
            <v>100001450613</v>
          </cell>
          <cell r="Q1217" t="str">
            <v>Not Applicable</v>
          </cell>
          <cell r="R1217" t="str">
            <v>Welch Allyn Inc</v>
          </cell>
          <cell r="S1217" t="str">
            <v>Welch Allyn Malaysia Sdn Bhd</v>
          </cell>
          <cell r="T1217" t="str">
            <v>Functioning</v>
          </cell>
          <cell r="U1217" t="str">
            <v>Asset</v>
          </cell>
          <cell r="V1217">
            <v>4510</v>
          </cell>
          <cell r="W1217" t="str">
            <v>KEW</v>
          </cell>
          <cell r="X1217" t="str">
            <v>01/09/2010</v>
          </cell>
          <cell r="Y1217" t="str">
            <v>KEW</v>
          </cell>
          <cell r="Z1217" t="str">
            <v>16/08/2013</v>
          </cell>
          <cell r="AA1217" t="str">
            <v>15/08/2015</v>
          </cell>
          <cell r="AB1217" t="str">
            <v>No</v>
          </cell>
          <cell r="AC1217" t="str">
            <v>31/08/2013</v>
          </cell>
          <cell r="AD1217" t="str">
            <v>Good</v>
          </cell>
          <cell r="AE1217" t="str">
            <v>V1 - Existing / No Claim</v>
          </cell>
          <cell r="AF1217">
            <v>42235</v>
          </cell>
          <cell r="AG1217">
            <v>9.17</v>
          </cell>
          <cell r="AH1217" t="str">
            <v>PPM</v>
          </cell>
          <cell r="AI1217" t="str">
            <v>Strands</v>
          </cell>
          <cell r="AJ1217" t="str">
            <v>Strands PW</v>
          </cell>
        </row>
        <row r="1218">
          <cell r="A1218" t="str">
            <v>IKN400825</v>
          </cell>
          <cell r="B1218">
            <v>825</v>
          </cell>
          <cell r="C1218" t="str">
            <v>Institut Kanser Negara</v>
          </cell>
          <cell r="D1218" t="str">
            <v>KKM/IKN/H/13/3377</v>
          </cell>
          <cell r="E1218" t="str">
            <v>16-173</v>
          </cell>
          <cell r="F1218" t="str">
            <v>Sphygmomanometers, Electronic, Automatic</v>
          </cell>
          <cell r="G1218" t="str">
            <v>RT</v>
          </cell>
          <cell r="H1218" t="str">
            <v>RADIATION TREATMENT UNIT</v>
          </cell>
          <cell r="I1218" t="str">
            <v>01RT243</v>
          </cell>
          <cell r="J1218" t="str">
            <v>NURSE STATION</v>
          </cell>
          <cell r="K1218" t="str">
            <v>BMED</v>
          </cell>
          <cell r="L1218" t="str">
            <v>Normal</v>
          </cell>
          <cell r="M1218" t="str">
            <v>USA</v>
          </cell>
          <cell r="N1218" t="str">
            <v>Connex</v>
          </cell>
          <cell r="O1218" t="str">
            <v>Connex ProBP 3400</v>
          </cell>
          <cell r="P1218" t="str">
            <v>100002153912</v>
          </cell>
          <cell r="Q1218" t="str">
            <v>Not Applicable</v>
          </cell>
          <cell r="R1218" t="str">
            <v>Welch Allyn Inc</v>
          </cell>
          <cell r="S1218" t="str">
            <v>Welch Allyn Malaysia Sdn Bhd</v>
          </cell>
          <cell r="T1218" t="str">
            <v>Functioning</v>
          </cell>
          <cell r="U1218" t="str">
            <v>Asset</v>
          </cell>
          <cell r="V1218">
            <v>4510</v>
          </cell>
          <cell r="W1218" t="str">
            <v>KEW</v>
          </cell>
          <cell r="X1218" t="str">
            <v>01/09/2010</v>
          </cell>
          <cell r="Y1218" t="str">
            <v>KEW</v>
          </cell>
          <cell r="Z1218" t="str">
            <v>16/08/2013</v>
          </cell>
          <cell r="AA1218" t="str">
            <v>15/08/2015</v>
          </cell>
          <cell r="AB1218" t="str">
            <v>No</v>
          </cell>
          <cell r="AC1218" t="str">
            <v>31/08/2013</v>
          </cell>
          <cell r="AD1218" t="str">
            <v>Good</v>
          </cell>
          <cell r="AE1218" t="str">
            <v>V1 - Existing / No Claim</v>
          </cell>
          <cell r="AF1218">
            <v>42235</v>
          </cell>
          <cell r="AG1218">
            <v>9.17</v>
          </cell>
          <cell r="AH1218" t="str">
            <v>PPM</v>
          </cell>
          <cell r="AI1218" t="str">
            <v>Strands</v>
          </cell>
          <cell r="AJ1218" t="str">
            <v>Strands PW</v>
          </cell>
        </row>
        <row r="1219">
          <cell r="A1219" t="str">
            <v>IKN400826</v>
          </cell>
          <cell r="B1219">
            <v>826</v>
          </cell>
          <cell r="C1219" t="str">
            <v>Institut Kanser Negara</v>
          </cell>
          <cell r="D1219" t="str">
            <v>KKM/IKN/H/13/2543</v>
          </cell>
          <cell r="E1219" t="str">
            <v>17-950</v>
          </cell>
          <cell r="F1219" t="str">
            <v>Warming Units, Patient, Forced-Air</v>
          </cell>
          <cell r="G1219" t="str">
            <v>RT</v>
          </cell>
          <cell r="H1219" t="str">
            <v>RADIATION TREATMENT UNIT</v>
          </cell>
          <cell r="I1219" t="str">
            <v>01RT239</v>
          </cell>
          <cell r="J1219" t="str">
            <v>POST-OP</v>
          </cell>
          <cell r="K1219" t="str">
            <v>BMED</v>
          </cell>
          <cell r="L1219" t="str">
            <v>Normal</v>
          </cell>
          <cell r="M1219" t="str">
            <v>USA</v>
          </cell>
          <cell r="N1219" t="str">
            <v>Bair Hugger</v>
          </cell>
          <cell r="O1219" t="str">
            <v>Bair Hugger 775</v>
          </cell>
          <cell r="P1219" t="str">
            <v>36863</v>
          </cell>
          <cell r="Q1219" t="str">
            <v>Not Applicable</v>
          </cell>
          <cell r="R1219" t="str">
            <v>Arizant Healthcare Inc</v>
          </cell>
          <cell r="S1219" t="str">
            <v>Calmed Healthcare Sdn Bhd</v>
          </cell>
          <cell r="T1219" t="str">
            <v>Functioning</v>
          </cell>
          <cell r="U1219" t="str">
            <v>Asset</v>
          </cell>
          <cell r="V1219">
            <v>15515</v>
          </cell>
          <cell r="W1219" t="str">
            <v>KEW</v>
          </cell>
          <cell r="X1219" t="str">
            <v>01/09/2010</v>
          </cell>
          <cell r="Y1219" t="str">
            <v>KEW</v>
          </cell>
          <cell r="Z1219" t="str">
            <v>16/08/2013</v>
          </cell>
          <cell r="AA1219" t="str">
            <v>15/08/2015</v>
          </cell>
          <cell r="AB1219" t="str">
            <v>No</v>
          </cell>
          <cell r="AC1219" t="str">
            <v>31/08/2013</v>
          </cell>
          <cell r="AD1219" t="str">
            <v>Good</v>
          </cell>
          <cell r="AE1219" t="str">
            <v>V1 - Existing / No Claim</v>
          </cell>
          <cell r="AF1219">
            <v>42235</v>
          </cell>
          <cell r="AG1219">
            <v>9.17</v>
          </cell>
          <cell r="AH1219" t="str">
            <v>PPM</v>
          </cell>
          <cell r="AI1219" t="str">
            <v>Strands</v>
          </cell>
          <cell r="AJ1219" t="str">
            <v>Strands PW</v>
          </cell>
        </row>
        <row r="1220">
          <cell r="A1220" t="str">
            <v>IKN400827</v>
          </cell>
          <cell r="B1220">
            <v>827</v>
          </cell>
          <cell r="C1220" t="str">
            <v>Institut Kanser Negara</v>
          </cell>
          <cell r="D1220" t="str">
            <v>KKM/IKN/H/13/3249</v>
          </cell>
          <cell r="E1220" t="str">
            <v>10-447</v>
          </cell>
          <cell r="F1220" t="str">
            <v>Warming Units, Blood/Solution</v>
          </cell>
          <cell r="G1220" t="str">
            <v>RT</v>
          </cell>
          <cell r="H1220" t="str">
            <v>RADIATION TREATMENT UNIT</v>
          </cell>
          <cell r="I1220" t="str">
            <v>01RT275</v>
          </cell>
          <cell r="J1220" t="str">
            <v>BRACHY OT 1</v>
          </cell>
          <cell r="K1220" t="str">
            <v>BMED</v>
          </cell>
          <cell r="L1220" t="str">
            <v>Normal</v>
          </cell>
          <cell r="M1220" t="str">
            <v>USA</v>
          </cell>
          <cell r="N1220" t="str">
            <v>Hotline</v>
          </cell>
          <cell r="O1220" t="str">
            <v>Hotline HL-90</v>
          </cell>
          <cell r="P1220" t="str">
            <v>S101B00813</v>
          </cell>
          <cell r="Q1220" t="str">
            <v>Not Applicable</v>
          </cell>
          <cell r="R1220" t="str">
            <v>Level 1 Technologies Inc</v>
          </cell>
          <cell r="S1220" t="str">
            <v>Primed Medical Services Sdn Bhd</v>
          </cell>
          <cell r="T1220" t="str">
            <v>Functioning</v>
          </cell>
          <cell r="U1220" t="str">
            <v>Asset</v>
          </cell>
          <cell r="V1220">
            <v>15395</v>
          </cell>
          <cell r="W1220" t="str">
            <v>KEW</v>
          </cell>
          <cell r="X1220" t="str">
            <v>01/09/2010</v>
          </cell>
          <cell r="Y1220" t="str">
            <v>KEW</v>
          </cell>
          <cell r="Z1220" t="str">
            <v>16/08/2013</v>
          </cell>
          <cell r="AA1220" t="str">
            <v>15/08/2015</v>
          </cell>
          <cell r="AB1220" t="str">
            <v>No</v>
          </cell>
          <cell r="AC1220" t="str">
            <v>31/08/2013</v>
          </cell>
          <cell r="AD1220" t="str">
            <v>Good</v>
          </cell>
          <cell r="AE1220" t="str">
            <v>V1 - Existing / No Claim</v>
          </cell>
          <cell r="AF1220">
            <v>42235</v>
          </cell>
          <cell r="AG1220">
            <v>9.17</v>
          </cell>
          <cell r="AH1220" t="str">
            <v>PPM</v>
          </cell>
          <cell r="AI1220" t="str">
            <v>Strands</v>
          </cell>
          <cell r="AJ1220" t="str">
            <v>Strands PW</v>
          </cell>
        </row>
        <row r="1221">
          <cell r="A1221" t="str">
            <v>IKN400828</v>
          </cell>
          <cell r="B1221">
            <v>828</v>
          </cell>
          <cell r="C1221" t="str">
            <v>Institut Kanser Negara</v>
          </cell>
          <cell r="D1221" t="str">
            <v>KKM/IKN/H/13/2643</v>
          </cell>
          <cell r="E1221" t="str">
            <v>10-134</v>
          </cell>
          <cell r="F1221" t="str">
            <v>Anesthesia Units</v>
          </cell>
          <cell r="G1221" t="str">
            <v>RT</v>
          </cell>
          <cell r="H1221" t="str">
            <v>RADIATION TREATMENT UNIT</v>
          </cell>
          <cell r="I1221" t="str">
            <v>01RT275</v>
          </cell>
          <cell r="J1221" t="str">
            <v>BRACHY OT 1</v>
          </cell>
          <cell r="K1221" t="str">
            <v>BMED</v>
          </cell>
          <cell r="L1221" t="str">
            <v>Normal</v>
          </cell>
          <cell r="M1221" t="str">
            <v>Germany</v>
          </cell>
          <cell r="N1221" t="str">
            <v>Primus</v>
          </cell>
          <cell r="O1221" t="str">
            <v>Primus</v>
          </cell>
          <cell r="P1221" t="str">
            <v>ASDJ-0239</v>
          </cell>
          <cell r="Q1221" t="str">
            <v>Not Applicable</v>
          </cell>
          <cell r="R1221" t="str">
            <v>Drager medical GmbH</v>
          </cell>
          <cell r="S1221" t="str">
            <v>Beau Consortium Sdn Bhd</v>
          </cell>
          <cell r="T1221" t="str">
            <v>Functioning</v>
          </cell>
          <cell r="U1221" t="str">
            <v>Asset</v>
          </cell>
          <cell r="V1221">
            <v>144345</v>
          </cell>
          <cell r="W1221" t="str">
            <v>KEW</v>
          </cell>
          <cell r="X1221" t="str">
            <v>01/09/2010</v>
          </cell>
          <cell r="Y1221" t="str">
            <v>KEW</v>
          </cell>
          <cell r="Z1221" t="str">
            <v>16/08/2013</v>
          </cell>
          <cell r="AA1221" t="str">
            <v>15/08/2015</v>
          </cell>
          <cell r="AB1221" t="str">
            <v>No</v>
          </cell>
          <cell r="AC1221" t="str">
            <v>31/08/2013</v>
          </cell>
          <cell r="AD1221" t="str">
            <v>Good</v>
          </cell>
          <cell r="AE1221" t="str">
            <v>V1 - Existing / No Claim</v>
          </cell>
          <cell r="AF1221">
            <v>42235</v>
          </cell>
          <cell r="AG1221">
            <v>9.17</v>
          </cell>
          <cell r="AH1221" t="str">
            <v>PPM</v>
          </cell>
          <cell r="AI1221" t="str">
            <v>Strands</v>
          </cell>
          <cell r="AJ1221" t="str">
            <v>Strands PW</v>
          </cell>
        </row>
        <row r="1222">
          <cell r="A1222" t="str">
            <v>IKN400829</v>
          </cell>
          <cell r="B1222">
            <v>829</v>
          </cell>
          <cell r="C1222" t="str">
            <v>Institut Kanser Negara</v>
          </cell>
          <cell r="D1222" t="str">
            <v>KKM/IKN/H/13/2606</v>
          </cell>
          <cell r="E1222" t="str">
            <v>13-217</v>
          </cell>
          <cell r="F1222" t="str">
            <v>Infusion Pumps, Syringe</v>
          </cell>
          <cell r="G1222" t="str">
            <v>RT</v>
          </cell>
          <cell r="H1222" t="str">
            <v>RADIATION TREATMENT UNIT</v>
          </cell>
          <cell r="I1222" t="str">
            <v>01RT275</v>
          </cell>
          <cell r="J1222" t="str">
            <v>BRACHY OT 1</v>
          </cell>
          <cell r="K1222" t="str">
            <v>BMED</v>
          </cell>
          <cell r="L1222" t="str">
            <v>Normal</v>
          </cell>
          <cell r="M1222" t="str">
            <v>Germany</v>
          </cell>
          <cell r="N1222" t="str">
            <v>Perfusor</v>
          </cell>
          <cell r="O1222" t="str">
            <v>Perfusor Space</v>
          </cell>
          <cell r="P1222" t="str">
            <v>143308</v>
          </cell>
          <cell r="Q1222" t="str">
            <v>Not Applicable</v>
          </cell>
          <cell r="R1222" t="str">
            <v>B Braun Melsungen AG</v>
          </cell>
          <cell r="S1222" t="str">
            <v>B Braun Medical Supplies Sdn. Bhd.</v>
          </cell>
          <cell r="T1222" t="str">
            <v>Functioning</v>
          </cell>
          <cell r="U1222" t="str">
            <v>Asset</v>
          </cell>
          <cell r="V1222">
            <v>10225</v>
          </cell>
          <cell r="W1222" t="str">
            <v>KEW</v>
          </cell>
          <cell r="X1222" t="str">
            <v>01/09/2010</v>
          </cell>
          <cell r="Y1222" t="str">
            <v>KEW</v>
          </cell>
          <cell r="Z1222" t="str">
            <v>16/08/2013</v>
          </cell>
          <cell r="AA1222" t="str">
            <v>15/08/2015</v>
          </cell>
          <cell r="AB1222" t="str">
            <v>No</v>
          </cell>
          <cell r="AC1222" t="str">
            <v>31/08/2013</v>
          </cell>
          <cell r="AD1222" t="str">
            <v>Good</v>
          </cell>
          <cell r="AE1222" t="str">
            <v>V1 - Existing / No Claim</v>
          </cell>
          <cell r="AF1222">
            <v>42235</v>
          </cell>
          <cell r="AG1222">
            <v>9.17</v>
          </cell>
          <cell r="AH1222" t="str">
            <v>PPM</v>
          </cell>
          <cell r="AI1222" t="str">
            <v>Strands</v>
          </cell>
          <cell r="AJ1222" t="str">
            <v>Strands PW</v>
          </cell>
        </row>
        <row r="1223">
          <cell r="A1223" t="str">
            <v>IKN400830</v>
          </cell>
          <cell r="B1223">
            <v>830</v>
          </cell>
          <cell r="C1223" t="str">
            <v>Institut Kanser Negara</v>
          </cell>
          <cell r="D1223" t="str">
            <v>KKM/IKN/H/13/2607</v>
          </cell>
          <cell r="E1223" t="str">
            <v>13-217</v>
          </cell>
          <cell r="F1223" t="str">
            <v>Infusion Pumps, Syringe</v>
          </cell>
          <cell r="G1223" t="str">
            <v>RT</v>
          </cell>
          <cell r="H1223" t="str">
            <v>RADIATION TREATMENT UNIT</v>
          </cell>
          <cell r="I1223" t="str">
            <v>01RT275</v>
          </cell>
          <cell r="J1223" t="str">
            <v>BRACHY OT 1</v>
          </cell>
          <cell r="K1223" t="str">
            <v>BMED</v>
          </cell>
          <cell r="L1223" t="str">
            <v>Normal</v>
          </cell>
          <cell r="M1223" t="str">
            <v>Germany</v>
          </cell>
          <cell r="N1223" t="str">
            <v>Perfusor</v>
          </cell>
          <cell r="O1223" t="str">
            <v>Perfusor Space</v>
          </cell>
          <cell r="P1223" t="str">
            <v>187001</v>
          </cell>
          <cell r="Q1223" t="str">
            <v>Not Applicable</v>
          </cell>
          <cell r="R1223" t="str">
            <v>B Braun Melsungen AG</v>
          </cell>
          <cell r="S1223" t="str">
            <v>B Braun Medical Supplies Sdn. Bhd.</v>
          </cell>
          <cell r="T1223" t="str">
            <v>Functioning</v>
          </cell>
          <cell r="U1223" t="str">
            <v>Asset</v>
          </cell>
          <cell r="V1223">
            <v>10225</v>
          </cell>
          <cell r="W1223" t="str">
            <v>KEW</v>
          </cell>
          <cell r="X1223" t="str">
            <v>01/09/2010</v>
          </cell>
          <cell r="Y1223" t="str">
            <v>KEW</v>
          </cell>
          <cell r="Z1223" t="str">
            <v>16/08/2013</v>
          </cell>
          <cell r="AA1223" t="str">
            <v>15/08/2015</v>
          </cell>
          <cell r="AB1223" t="str">
            <v>No</v>
          </cell>
          <cell r="AC1223" t="str">
            <v>31/08/2013</v>
          </cell>
          <cell r="AD1223" t="str">
            <v>Good</v>
          </cell>
          <cell r="AE1223" t="str">
            <v>V1 - Existing / No Claim</v>
          </cell>
          <cell r="AF1223">
            <v>42235</v>
          </cell>
          <cell r="AG1223">
            <v>9.17</v>
          </cell>
          <cell r="AH1223" t="str">
            <v>PPM</v>
          </cell>
          <cell r="AI1223" t="str">
            <v>Strands</v>
          </cell>
          <cell r="AJ1223" t="str">
            <v>Strands PW</v>
          </cell>
        </row>
        <row r="1224">
          <cell r="A1224" t="str">
            <v>IKN400831</v>
          </cell>
          <cell r="B1224">
            <v>831</v>
          </cell>
          <cell r="C1224" t="str">
            <v>Institut Kanser Negara</v>
          </cell>
          <cell r="D1224" t="str">
            <v>KKM/IKN/H/13/2611</v>
          </cell>
          <cell r="E1224" t="str">
            <v>16-924</v>
          </cell>
          <cell r="F1224" t="str">
            <v>Infusion Pumps, Patient-Controlled Analgesic</v>
          </cell>
          <cell r="G1224" t="str">
            <v>RT</v>
          </cell>
          <cell r="H1224" t="str">
            <v>RADIATION TREATMENT UNIT</v>
          </cell>
          <cell r="I1224" t="str">
            <v>01RT275</v>
          </cell>
          <cell r="J1224" t="str">
            <v>BRACHY OT 1</v>
          </cell>
          <cell r="K1224" t="str">
            <v>BMED</v>
          </cell>
          <cell r="L1224" t="str">
            <v>Normal</v>
          </cell>
          <cell r="M1224" t="str">
            <v>Germany</v>
          </cell>
          <cell r="N1224" t="str">
            <v>Perfusor</v>
          </cell>
          <cell r="O1224" t="str">
            <v>Perfusor Space PCA</v>
          </cell>
          <cell r="P1224" t="str">
            <v>186980</v>
          </cell>
          <cell r="Q1224" t="str">
            <v>Not Applicable</v>
          </cell>
          <cell r="R1224" t="str">
            <v>B Braun Melsungen AG</v>
          </cell>
          <cell r="S1224" t="str">
            <v>B Braun Medical Supplies Sdn. Bhd.</v>
          </cell>
          <cell r="T1224" t="str">
            <v>Functioning</v>
          </cell>
          <cell r="U1224" t="str">
            <v>Asset</v>
          </cell>
          <cell r="V1224">
            <v>9622</v>
          </cell>
          <cell r="W1224" t="str">
            <v>KEW</v>
          </cell>
          <cell r="X1224" t="str">
            <v>01/09/2010</v>
          </cell>
          <cell r="Y1224" t="str">
            <v>KEW</v>
          </cell>
          <cell r="Z1224" t="str">
            <v>16/08/2013</v>
          </cell>
          <cell r="AA1224" t="str">
            <v>15/08/2015</v>
          </cell>
          <cell r="AB1224" t="str">
            <v>No</v>
          </cell>
          <cell r="AC1224" t="str">
            <v>31/08/2013</v>
          </cell>
          <cell r="AD1224" t="str">
            <v>Good</v>
          </cell>
          <cell r="AE1224" t="str">
            <v>V1 - Existing / No Claim</v>
          </cell>
          <cell r="AF1224">
            <v>42235</v>
          </cell>
          <cell r="AG1224">
            <v>9.17</v>
          </cell>
          <cell r="AH1224" t="str">
            <v>PPM</v>
          </cell>
          <cell r="AI1224" t="str">
            <v>Strands</v>
          </cell>
          <cell r="AJ1224" t="str">
            <v>Strands PW</v>
          </cell>
        </row>
        <row r="1225">
          <cell r="A1225" t="str">
            <v>IKN400832</v>
          </cell>
          <cell r="B1225">
            <v>832</v>
          </cell>
          <cell r="C1225" t="str">
            <v>Institut Kanser Negara</v>
          </cell>
          <cell r="D1225" t="str">
            <v>KKM/IKN/H/13/2612</v>
          </cell>
          <cell r="E1225" t="str">
            <v>13-215</v>
          </cell>
          <cell r="F1225" t="str">
            <v>Infusion Pumps, General-Purpose</v>
          </cell>
          <cell r="G1225" t="str">
            <v>RT</v>
          </cell>
          <cell r="H1225" t="str">
            <v>RADIATION TREATMENT UNIT</v>
          </cell>
          <cell r="I1225" t="str">
            <v>01RT275</v>
          </cell>
          <cell r="J1225" t="str">
            <v>BRACHY OT 1</v>
          </cell>
          <cell r="K1225" t="str">
            <v>BMED</v>
          </cell>
          <cell r="L1225" t="str">
            <v>Normal</v>
          </cell>
          <cell r="M1225" t="str">
            <v>Germany</v>
          </cell>
          <cell r="N1225" t="str">
            <v>Infusomat</v>
          </cell>
          <cell r="O1225" t="str">
            <v>Infusomat Space</v>
          </cell>
          <cell r="P1225" t="str">
            <v>212040</v>
          </cell>
          <cell r="Q1225" t="str">
            <v>Not Applicable</v>
          </cell>
          <cell r="R1225" t="str">
            <v>B Braun Melsungen AG</v>
          </cell>
          <cell r="S1225" t="str">
            <v>B Braun Medical Supplies Sdn. Bhd.</v>
          </cell>
          <cell r="T1225" t="str">
            <v>Functioning</v>
          </cell>
          <cell r="U1225" t="str">
            <v>Asset</v>
          </cell>
          <cell r="V1225">
            <v>10825</v>
          </cell>
          <cell r="W1225" t="str">
            <v>KEW</v>
          </cell>
          <cell r="X1225" t="str">
            <v>01/09/2010</v>
          </cell>
          <cell r="Y1225" t="str">
            <v>KEW</v>
          </cell>
          <cell r="Z1225" t="str">
            <v>16/08/2013</v>
          </cell>
          <cell r="AA1225" t="str">
            <v>15/08/2015</v>
          </cell>
          <cell r="AB1225" t="str">
            <v>No</v>
          </cell>
          <cell r="AC1225" t="str">
            <v>31/08/2013</v>
          </cell>
          <cell r="AD1225" t="str">
            <v>Good</v>
          </cell>
          <cell r="AE1225" t="str">
            <v>V1 - Existing / No Claim</v>
          </cell>
          <cell r="AF1225">
            <v>42235</v>
          </cell>
          <cell r="AG1225">
            <v>9.17</v>
          </cell>
          <cell r="AH1225" t="str">
            <v>PPM</v>
          </cell>
          <cell r="AI1225" t="str">
            <v>Strands</v>
          </cell>
          <cell r="AJ1225" t="str">
            <v>Strands PW</v>
          </cell>
        </row>
        <row r="1226">
          <cell r="A1226" t="str">
            <v>IKN400833</v>
          </cell>
          <cell r="B1226">
            <v>833</v>
          </cell>
          <cell r="C1226" t="str">
            <v>Institut Kanser Negara</v>
          </cell>
          <cell r="D1226" t="str">
            <v>KKM/IKN/H/13/4476</v>
          </cell>
          <cell r="E1226" t="str">
            <v>11-758</v>
          </cell>
          <cell r="F1226" t="str">
            <v>Radiographic/Fluoroscopic Units, Mobile</v>
          </cell>
          <cell r="G1226" t="str">
            <v>RT</v>
          </cell>
          <cell r="H1226" t="str">
            <v>RADIATION TREATMENT UNIT</v>
          </cell>
          <cell r="I1226" t="str">
            <v>01RT233</v>
          </cell>
          <cell r="J1226" t="str">
            <v>EQ ROOM</v>
          </cell>
          <cell r="K1226" t="str">
            <v>BMED</v>
          </cell>
          <cell r="L1226" t="str">
            <v>Normal</v>
          </cell>
          <cell r="M1226" t="str">
            <v>The Netherlands</v>
          </cell>
          <cell r="N1226" t="str">
            <v>Veradius</v>
          </cell>
          <cell r="O1226" t="str">
            <v>Veradius</v>
          </cell>
          <cell r="P1226" t="str">
            <v>01J0FT518(578)</v>
          </cell>
          <cell r="Q1226" t="str">
            <v>Not Applicable</v>
          </cell>
          <cell r="R1226" t="str">
            <v>Philips Medical Systems</v>
          </cell>
          <cell r="S1226" t="str">
            <v>Advance Altimas Sdn Bhd</v>
          </cell>
          <cell r="T1226" t="str">
            <v>Functioning</v>
          </cell>
          <cell r="U1226" t="str">
            <v>Asset</v>
          </cell>
          <cell r="V1226">
            <v>1163300</v>
          </cell>
          <cell r="W1226" t="str">
            <v>KEW</v>
          </cell>
          <cell r="X1226" t="str">
            <v>01/09/2010</v>
          </cell>
          <cell r="Y1226" t="str">
            <v>KEW</v>
          </cell>
          <cell r="Z1226" t="str">
            <v>16/08/2013</v>
          </cell>
          <cell r="AA1226" t="str">
            <v>15/08/2015</v>
          </cell>
          <cell r="AB1226" t="str">
            <v>No</v>
          </cell>
          <cell r="AC1226" t="str">
            <v>31/08/2013</v>
          </cell>
          <cell r="AD1226" t="str">
            <v>Good</v>
          </cell>
          <cell r="AE1226" t="str">
            <v>V1 - Existing / No Claim</v>
          </cell>
          <cell r="AF1226">
            <v>42235</v>
          </cell>
          <cell r="AG1226">
            <v>9.17</v>
          </cell>
          <cell r="AH1226" t="str">
            <v>PPM</v>
          </cell>
          <cell r="AI1226" t="str">
            <v>Strands</v>
          </cell>
          <cell r="AJ1226" t="str">
            <v>Strands PW</v>
          </cell>
        </row>
        <row r="1227">
          <cell r="A1227" t="str">
            <v>IKN400834</v>
          </cell>
          <cell r="B1227">
            <v>834</v>
          </cell>
          <cell r="C1227" t="str">
            <v>Institut Kanser Negara</v>
          </cell>
          <cell r="D1227" t="str">
            <v>KKM/IKN/H/13/3845</v>
          </cell>
          <cell r="E1227" t="str">
            <v>12-647</v>
          </cell>
          <cell r="F1227" t="str">
            <v>Physiologic Monitoring Systems, Acute Care</v>
          </cell>
          <cell r="G1227" t="str">
            <v>RT</v>
          </cell>
          <cell r="H1227" t="str">
            <v>RADIATION TREATMENT UNIT</v>
          </cell>
          <cell r="I1227" t="str">
            <v>01RT275</v>
          </cell>
          <cell r="J1227" t="str">
            <v>BRACHY OT 1</v>
          </cell>
          <cell r="K1227" t="str">
            <v>BMED</v>
          </cell>
          <cell r="L1227" t="str">
            <v>Normal</v>
          </cell>
          <cell r="M1227" t="str">
            <v>Finland</v>
          </cell>
          <cell r="N1227" t="str">
            <v>Carespace</v>
          </cell>
          <cell r="O1227" t="str">
            <v>Carespace B850</v>
          </cell>
          <cell r="P1227" t="str">
            <v>SED12370821GA</v>
          </cell>
          <cell r="Q1227" t="str">
            <v>Not Applicable</v>
          </cell>
          <cell r="R1227" t="str">
            <v>GE Healthcare Systems</v>
          </cell>
          <cell r="S1227" t="str">
            <v>GE Healthcare Technologies</v>
          </cell>
          <cell r="T1227" t="str">
            <v>Functioning</v>
          </cell>
          <cell r="U1227" t="str">
            <v>Asset</v>
          </cell>
          <cell r="V1227">
            <v>119690</v>
          </cell>
          <cell r="W1227" t="str">
            <v>KEW</v>
          </cell>
          <cell r="X1227" t="str">
            <v>01/09/2010</v>
          </cell>
          <cell r="Y1227" t="str">
            <v>KEW</v>
          </cell>
          <cell r="Z1227" t="str">
            <v>16/08/2013</v>
          </cell>
          <cell r="AA1227" t="str">
            <v>15/08/2015</v>
          </cell>
          <cell r="AB1227" t="str">
            <v>No</v>
          </cell>
          <cell r="AC1227" t="str">
            <v>31/08/2013</v>
          </cell>
          <cell r="AD1227" t="str">
            <v>Good</v>
          </cell>
          <cell r="AE1227" t="str">
            <v>V1 - Existing / No Claim</v>
          </cell>
          <cell r="AF1227">
            <v>42235</v>
          </cell>
          <cell r="AG1227">
            <v>9.17</v>
          </cell>
          <cell r="AH1227" t="str">
            <v>PPM</v>
          </cell>
          <cell r="AI1227" t="str">
            <v>Strands</v>
          </cell>
          <cell r="AJ1227" t="str">
            <v>Strands PW</v>
          </cell>
        </row>
        <row r="1228">
          <cell r="A1228" t="str">
            <v>IKN400835</v>
          </cell>
          <cell r="B1228">
            <v>835</v>
          </cell>
          <cell r="C1228" t="str">
            <v>Institut Kanser Negara</v>
          </cell>
          <cell r="D1228" t="str">
            <v>KKM/IKN/H/13/2581</v>
          </cell>
          <cell r="E1228" t="str">
            <v>18-231</v>
          </cell>
          <cell r="F1228" t="str">
            <v>Electrosurgical Units, Monopolar/Bipolar</v>
          </cell>
          <cell r="G1228" t="str">
            <v>RT</v>
          </cell>
          <cell r="H1228" t="str">
            <v>RADIATION TREATMENT UNIT</v>
          </cell>
          <cell r="I1228" t="str">
            <v>01RT275</v>
          </cell>
          <cell r="J1228" t="str">
            <v>BRACHY OT 1</v>
          </cell>
          <cell r="K1228" t="str">
            <v>BMED</v>
          </cell>
          <cell r="L1228" t="str">
            <v>Normal</v>
          </cell>
          <cell r="M1228" t="str">
            <v>USA</v>
          </cell>
          <cell r="N1228" t="str">
            <v>Force</v>
          </cell>
          <cell r="O1228" t="str">
            <v>Force FX-8C</v>
          </cell>
          <cell r="P1228" t="str">
            <v>F2H70450AX</v>
          </cell>
          <cell r="Q1228" t="str">
            <v>Not Applicable</v>
          </cell>
          <cell r="R1228" t="str">
            <v>Valleylab</v>
          </cell>
          <cell r="S1228" t="str">
            <v>United States of America</v>
          </cell>
          <cell r="T1228" t="str">
            <v>Functioning</v>
          </cell>
          <cell r="U1228" t="str">
            <v>Asset</v>
          </cell>
          <cell r="V1228">
            <v>97190</v>
          </cell>
          <cell r="W1228" t="str">
            <v>KEW</v>
          </cell>
          <cell r="X1228" t="str">
            <v>01/09/2010</v>
          </cell>
          <cell r="Y1228" t="str">
            <v>KEW</v>
          </cell>
          <cell r="Z1228" t="str">
            <v>16/08/2013</v>
          </cell>
          <cell r="AA1228" t="str">
            <v>15/08/2015</v>
          </cell>
          <cell r="AB1228" t="str">
            <v>No</v>
          </cell>
          <cell r="AC1228" t="str">
            <v>31/08/2013</v>
          </cell>
          <cell r="AD1228" t="str">
            <v>Good</v>
          </cell>
          <cell r="AE1228" t="str">
            <v>V1 - Existing / No Claim</v>
          </cell>
          <cell r="AF1228">
            <v>42235</v>
          </cell>
          <cell r="AG1228">
            <v>9.17</v>
          </cell>
          <cell r="AH1228" t="str">
            <v>PPM</v>
          </cell>
          <cell r="AI1228" t="str">
            <v>Strands</v>
          </cell>
          <cell r="AJ1228" t="str">
            <v>Strands PW</v>
          </cell>
        </row>
        <row r="1229">
          <cell r="A1229" t="str">
            <v>IKN400836</v>
          </cell>
          <cell r="B1229">
            <v>836</v>
          </cell>
          <cell r="C1229" t="str">
            <v>Institut Kanser Negara</v>
          </cell>
          <cell r="D1229" t="str">
            <v>KKM/IKN/H/13/2626</v>
          </cell>
          <cell r="E1229" t="str">
            <v>10-414</v>
          </cell>
          <cell r="F1229" t="str">
            <v>Warming Units, Blanket</v>
          </cell>
          <cell r="G1229" t="str">
            <v>RT</v>
          </cell>
          <cell r="H1229" t="str">
            <v>RADIATION TREATMENT UNIT</v>
          </cell>
          <cell r="I1229" t="str">
            <v>01RT275</v>
          </cell>
          <cell r="J1229" t="str">
            <v>BRACHY OT 1</v>
          </cell>
          <cell r="K1229" t="str">
            <v>BMED</v>
          </cell>
          <cell r="L1229" t="str">
            <v>Normal</v>
          </cell>
          <cell r="M1229" t="str">
            <v>Sweden</v>
          </cell>
          <cell r="N1229" t="str">
            <v>Operatherm</v>
          </cell>
          <cell r="O1229" t="str">
            <v>Operatherm 303</v>
          </cell>
          <cell r="P1229" t="str">
            <v>00679-11</v>
          </cell>
          <cell r="Q1229" t="str">
            <v>Not Applicable</v>
          </cell>
          <cell r="R1229" t="str">
            <v>Kanmed</v>
          </cell>
          <cell r="S1229" t="str">
            <v>Perniagaan Med Tech</v>
          </cell>
          <cell r="T1229" t="str">
            <v>Functioning</v>
          </cell>
          <cell r="U1229" t="str">
            <v>Asset</v>
          </cell>
          <cell r="V1229">
            <v>15515</v>
          </cell>
          <cell r="W1229" t="str">
            <v>KEW</v>
          </cell>
          <cell r="X1229" t="str">
            <v>01/09/2010</v>
          </cell>
          <cell r="Y1229" t="str">
            <v>KEW</v>
          </cell>
          <cell r="Z1229" t="str">
            <v>16/08/2013</v>
          </cell>
          <cell r="AA1229" t="str">
            <v>15/08/2015</v>
          </cell>
          <cell r="AB1229" t="str">
            <v>No</v>
          </cell>
          <cell r="AC1229" t="str">
            <v>31/08/2013</v>
          </cell>
          <cell r="AD1229" t="str">
            <v>Good</v>
          </cell>
          <cell r="AE1229" t="str">
            <v>V1 - Existing / No Claim</v>
          </cell>
          <cell r="AF1229">
            <v>42235</v>
          </cell>
          <cell r="AG1229">
            <v>9.17</v>
          </cell>
          <cell r="AH1229" t="str">
            <v>PPM</v>
          </cell>
          <cell r="AI1229" t="str">
            <v>Strands</v>
          </cell>
          <cell r="AJ1229" t="str">
            <v>Strands PW</v>
          </cell>
        </row>
        <row r="1230">
          <cell r="A1230" t="str">
            <v>IKN400838</v>
          </cell>
          <cell r="B1230">
            <v>838</v>
          </cell>
          <cell r="C1230" t="str">
            <v>Institut Kanser Negara</v>
          </cell>
          <cell r="D1230" t="str">
            <v>KKM/IKN/H/13/2558</v>
          </cell>
          <cell r="E1230" t="str">
            <v>13-961</v>
          </cell>
          <cell r="F1230" t="str">
            <v>Tables, Operating</v>
          </cell>
          <cell r="G1230" t="str">
            <v>RT</v>
          </cell>
          <cell r="H1230" t="str">
            <v>RADIATION TREATMENT UNIT</v>
          </cell>
          <cell r="I1230" t="str">
            <v>01RT275</v>
          </cell>
          <cell r="J1230" t="str">
            <v>BRACHY OT 1</v>
          </cell>
          <cell r="K1230" t="str">
            <v>BMED</v>
          </cell>
          <cell r="L1230" t="str">
            <v>Normal</v>
          </cell>
          <cell r="M1230" t="str">
            <v>UK</v>
          </cell>
          <cell r="N1230" t="str">
            <v>Eschmann</v>
          </cell>
          <cell r="O1230" t="str">
            <v>Eschmann T20-a+</v>
          </cell>
          <cell r="P1230" t="str">
            <v>T2AD-2A-3366</v>
          </cell>
          <cell r="Q1230" t="str">
            <v>Not Applicable</v>
          </cell>
          <cell r="R1230" t="str">
            <v>Eschmann Holding Limited</v>
          </cell>
          <cell r="S1230" t="str">
            <v>Antah Sir Radin Sdn. Bhd.</v>
          </cell>
          <cell r="T1230" t="str">
            <v>Functioning</v>
          </cell>
          <cell r="U1230" t="str">
            <v>Asset</v>
          </cell>
          <cell r="V1230">
            <v>240330</v>
          </cell>
          <cell r="W1230" t="str">
            <v>KEW</v>
          </cell>
          <cell r="X1230" t="str">
            <v>01/09/2010</v>
          </cell>
          <cell r="Y1230" t="str">
            <v>KEW</v>
          </cell>
          <cell r="Z1230" t="str">
            <v>16/08/2013</v>
          </cell>
          <cell r="AA1230" t="str">
            <v>15/08/2015</v>
          </cell>
          <cell r="AB1230" t="str">
            <v>No</v>
          </cell>
          <cell r="AC1230" t="str">
            <v>31/08/2013</v>
          </cell>
          <cell r="AD1230" t="str">
            <v>Good</v>
          </cell>
          <cell r="AE1230" t="str">
            <v>V1 - Existing / No Claim</v>
          </cell>
          <cell r="AF1230">
            <v>42235</v>
          </cell>
          <cell r="AG1230">
            <v>9.17</v>
          </cell>
          <cell r="AH1230" t="str">
            <v>PPM</v>
          </cell>
          <cell r="AI1230" t="str">
            <v>Strands</v>
          </cell>
          <cell r="AJ1230" t="str">
            <v>Strands PW</v>
          </cell>
        </row>
        <row r="1231">
          <cell r="A1231" t="str">
            <v>IKN400839</v>
          </cell>
          <cell r="B1231">
            <v>839</v>
          </cell>
          <cell r="C1231" t="str">
            <v>Institut Kanser Negara</v>
          </cell>
          <cell r="D1231" t="str">
            <v>KKM/IKN/H/13/2983</v>
          </cell>
          <cell r="E1231" t="str">
            <v>16-173</v>
          </cell>
          <cell r="F1231" t="str">
            <v>Sphygmomanometers, Electronic, Automatic</v>
          </cell>
          <cell r="G1231" t="str">
            <v>NM</v>
          </cell>
          <cell r="H1231" t="str">
            <v>NUCLEAR MED (DIAGNOSTIC)</v>
          </cell>
          <cell r="I1231" t="str">
            <v>03NM152</v>
          </cell>
          <cell r="J1231" t="str">
            <v>NURSE STATION</v>
          </cell>
          <cell r="K1231" t="str">
            <v>BMED</v>
          </cell>
          <cell r="L1231" t="str">
            <v>Normal</v>
          </cell>
          <cell r="M1231" t="str">
            <v>Mexico</v>
          </cell>
          <cell r="N1231" t="str">
            <v>Carespace</v>
          </cell>
          <cell r="O1231" t="str">
            <v>Carescape V100</v>
          </cell>
          <cell r="P1231" t="str">
            <v>SH613280422SA</v>
          </cell>
          <cell r="Q1231" t="str">
            <v>Not Applicable</v>
          </cell>
          <cell r="R1231" t="str">
            <v>GE Healthcare Systems</v>
          </cell>
          <cell r="S1231" t="str">
            <v>GE Healthcare Technologies</v>
          </cell>
          <cell r="T1231" t="str">
            <v>Functioning</v>
          </cell>
          <cell r="U1231" t="str">
            <v>Asset</v>
          </cell>
          <cell r="V1231">
            <v>7770</v>
          </cell>
          <cell r="W1231" t="str">
            <v>KEW</v>
          </cell>
          <cell r="X1231" t="str">
            <v>01/09/2010</v>
          </cell>
          <cell r="Y1231" t="str">
            <v>KEW</v>
          </cell>
          <cell r="Z1231" t="str">
            <v>16/08/2013</v>
          </cell>
          <cell r="AA1231" t="str">
            <v>15/08/2015</v>
          </cell>
          <cell r="AB1231" t="str">
            <v>No</v>
          </cell>
          <cell r="AC1231" t="str">
            <v>31/08/2013</v>
          </cell>
          <cell r="AD1231" t="str">
            <v>Good</v>
          </cell>
          <cell r="AE1231" t="str">
            <v>V1 - Existing / No Claim</v>
          </cell>
          <cell r="AF1231">
            <v>42235</v>
          </cell>
          <cell r="AG1231">
            <v>9.17</v>
          </cell>
          <cell r="AH1231" t="str">
            <v>PPM</v>
          </cell>
          <cell r="AI1231" t="str">
            <v>Strands</v>
          </cell>
          <cell r="AJ1231" t="str">
            <v>Strands PW</v>
          </cell>
        </row>
        <row r="1232">
          <cell r="A1232" t="str">
            <v>IKN400840</v>
          </cell>
          <cell r="B1232">
            <v>840</v>
          </cell>
          <cell r="C1232" t="str">
            <v>Institut Kanser Negara</v>
          </cell>
          <cell r="D1232" t="str">
            <v>KKM/IKN/H/13/4956 - 01</v>
          </cell>
          <cell r="E1232" t="str">
            <v>15-976</v>
          </cell>
          <cell r="F1232" t="str">
            <v>Scanning Systems, Ultrasonic, General-Purpose</v>
          </cell>
          <cell r="G1232" t="str">
            <v>RT</v>
          </cell>
          <cell r="H1232" t="str">
            <v>RADIATION TREATMENT UNIT</v>
          </cell>
          <cell r="I1232" t="str">
            <v>01RT275</v>
          </cell>
          <cell r="J1232" t="str">
            <v>BRACHY OT 1</v>
          </cell>
          <cell r="K1232" t="str">
            <v>BMED</v>
          </cell>
          <cell r="L1232" t="str">
            <v>Normal</v>
          </cell>
          <cell r="M1232" t="str">
            <v>USA</v>
          </cell>
          <cell r="N1232" t="str">
            <v>Variseed</v>
          </cell>
          <cell r="O1232" t="str">
            <v>Variseed 8.0</v>
          </cell>
          <cell r="P1232" t="str">
            <v>5001255</v>
          </cell>
          <cell r="Q1232" t="str">
            <v>Not Applicable</v>
          </cell>
          <cell r="R1232" t="str">
            <v>Varian Medical System</v>
          </cell>
          <cell r="S1232" t="str">
            <v>V Medical Services</v>
          </cell>
          <cell r="T1232" t="str">
            <v>Functioning</v>
          </cell>
          <cell r="U1232" t="str">
            <v>Asset</v>
          </cell>
          <cell r="V1232">
            <v>1644170</v>
          </cell>
          <cell r="W1232" t="str">
            <v>KEW</v>
          </cell>
          <cell r="X1232" t="str">
            <v>01/09/2010</v>
          </cell>
          <cell r="Y1232" t="str">
            <v>KEW</v>
          </cell>
          <cell r="Z1232" t="str">
            <v>16/08/2013</v>
          </cell>
          <cell r="AA1232" t="str">
            <v>15/08/2015</v>
          </cell>
          <cell r="AB1232" t="str">
            <v>No</v>
          </cell>
          <cell r="AC1232" t="str">
            <v>31/08/2013</v>
          </cell>
          <cell r="AD1232" t="str">
            <v>Good</v>
          </cell>
          <cell r="AE1232" t="str">
            <v>V1 - Existing / No Claim</v>
          </cell>
          <cell r="AF1232">
            <v>42235</v>
          </cell>
          <cell r="AG1232">
            <v>9.17</v>
          </cell>
          <cell r="AH1232" t="str">
            <v>PPM</v>
          </cell>
          <cell r="AI1232" t="str">
            <v>Strands</v>
          </cell>
          <cell r="AJ1232" t="str">
            <v>Strands Package</v>
          </cell>
          <cell r="AK1232" t="str">
            <v>Package Code XM0012</v>
          </cell>
        </row>
        <row r="1233">
          <cell r="A1233" t="str">
            <v>IKN400841</v>
          </cell>
          <cell r="B1233">
            <v>841</v>
          </cell>
          <cell r="C1233" t="str">
            <v>Institut Kanser Negara</v>
          </cell>
          <cell r="D1233" t="str">
            <v>KKM/IKN/H/13/2642</v>
          </cell>
          <cell r="E1233" t="str">
            <v>10-134</v>
          </cell>
          <cell r="F1233" t="str">
            <v>Anesthesia Units</v>
          </cell>
          <cell r="G1233" t="str">
            <v>RT</v>
          </cell>
          <cell r="H1233" t="str">
            <v>RADIATION TREATMENT UNIT</v>
          </cell>
          <cell r="I1233" t="str">
            <v>01RT278</v>
          </cell>
          <cell r="J1233" t="str">
            <v>BRACHY OT 2</v>
          </cell>
          <cell r="K1233" t="str">
            <v>BMED</v>
          </cell>
          <cell r="L1233" t="str">
            <v>Normal</v>
          </cell>
          <cell r="M1233" t="str">
            <v>Germany</v>
          </cell>
          <cell r="N1233" t="str">
            <v>Primus</v>
          </cell>
          <cell r="O1233" t="str">
            <v>Primus</v>
          </cell>
          <cell r="P1233" t="str">
            <v>ASDJ-0232</v>
          </cell>
          <cell r="Q1233" t="str">
            <v>Not Applicable</v>
          </cell>
          <cell r="R1233" t="str">
            <v>Drager medical GmbH</v>
          </cell>
          <cell r="S1233" t="str">
            <v>Beau Consortium Sdn Bhd</v>
          </cell>
          <cell r="T1233" t="str">
            <v>Functioning</v>
          </cell>
          <cell r="U1233" t="str">
            <v>Asset</v>
          </cell>
          <cell r="V1233">
            <v>144345</v>
          </cell>
          <cell r="W1233" t="str">
            <v>KEW</v>
          </cell>
          <cell r="X1233" t="str">
            <v>01/09/2010</v>
          </cell>
          <cell r="Y1233" t="str">
            <v>KEW</v>
          </cell>
          <cell r="Z1233" t="str">
            <v>16/08/2013</v>
          </cell>
          <cell r="AA1233" t="str">
            <v>15/08/2015</v>
          </cell>
          <cell r="AB1233" t="str">
            <v>No</v>
          </cell>
          <cell r="AC1233" t="str">
            <v>31/08/2013</v>
          </cell>
          <cell r="AD1233" t="str">
            <v>Good</v>
          </cell>
          <cell r="AE1233" t="str">
            <v>V1 - Existing / No Claim</v>
          </cell>
          <cell r="AF1233">
            <v>42235</v>
          </cell>
          <cell r="AG1233">
            <v>9.17</v>
          </cell>
          <cell r="AH1233" t="str">
            <v>PPM</v>
          </cell>
          <cell r="AI1233" t="str">
            <v>Strands</v>
          </cell>
          <cell r="AJ1233" t="str">
            <v>Strands PW</v>
          </cell>
        </row>
        <row r="1234">
          <cell r="A1234" t="str">
            <v>IKN400842</v>
          </cell>
          <cell r="B1234">
            <v>842</v>
          </cell>
          <cell r="C1234" t="str">
            <v>Institut Kanser Negara</v>
          </cell>
          <cell r="D1234" t="str">
            <v>KKM/IKN/H/13/2984</v>
          </cell>
          <cell r="E1234" t="str">
            <v>16-173</v>
          </cell>
          <cell r="F1234" t="str">
            <v>Sphygmomanometers, Electronic, Automatic</v>
          </cell>
          <cell r="G1234" t="str">
            <v>NM</v>
          </cell>
          <cell r="H1234" t="str">
            <v>NUCLEAR MED (DIAGNOSTIC)</v>
          </cell>
          <cell r="I1234" t="str">
            <v>03NM155</v>
          </cell>
          <cell r="J1234" t="str">
            <v>STRESS LAB</v>
          </cell>
          <cell r="K1234" t="str">
            <v>BMED</v>
          </cell>
          <cell r="L1234" t="str">
            <v>Critical</v>
          </cell>
          <cell r="M1234" t="str">
            <v>Mexico</v>
          </cell>
          <cell r="N1234" t="str">
            <v>Carespace</v>
          </cell>
          <cell r="O1234" t="str">
            <v>Carescape V100</v>
          </cell>
          <cell r="P1234" t="str">
            <v>SH612430109SA</v>
          </cell>
          <cell r="Q1234" t="str">
            <v>Not Applicable</v>
          </cell>
          <cell r="R1234" t="str">
            <v>GE Healthcare Systems</v>
          </cell>
          <cell r="S1234" t="str">
            <v>GE Healthcare Technologies</v>
          </cell>
          <cell r="T1234" t="str">
            <v>Functioning</v>
          </cell>
          <cell r="U1234" t="str">
            <v>Asset</v>
          </cell>
          <cell r="V1234">
            <v>7770</v>
          </cell>
          <cell r="W1234" t="str">
            <v>KEW</v>
          </cell>
          <cell r="X1234" t="str">
            <v>01/09/2010</v>
          </cell>
          <cell r="Y1234" t="str">
            <v>KEW</v>
          </cell>
          <cell r="Z1234" t="str">
            <v>16/08/2013</v>
          </cell>
          <cell r="AA1234" t="str">
            <v>15/08/2015</v>
          </cell>
          <cell r="AB1234" t="str">
            <v>No</v>
          </cell>
          <cell r="AC1234" t="str">
            <v>31/08/2013</v>
          </cell>
          <cell r="AD1234" t="str">
            <v>Good</v>
          </cell>
          <cell r="AE1234" t="str">
            <v>V1 - Existing / No Claim</v>
          </cell>
          <cell r="AF1234">
            <v>42796</v>
          </cell>
          <cell r="AG1234">
            <v>9.17</v>
          </cell>
          <cell r="AH1234" t="str">
            <v>PPM</v>
          </cell>
          <cell r="AI1234" t="str">
            <v>Strands</v>
          </cell>
          <cell r="AJ1234" t="str">
            <v>Strands PW</v>
          </cell>
        </row>
        <row r="1235">
          <cell r="A1235" t="str">
            <v>IKN400843</v>
          </cell>
          <cell r="B1235">
            <v>843</v>
          </cell>
          <cell r="C1235" t="str">
            <v>Institut Kanser Negara</v>
          </cell>
          <cell r="D1235" t="str">
            <v>KKM/IKN/H/13/2961</v>
          </cell>
          <cell r="E1235" t="str">
            <v>12-282</v>
          </cell>
          <cell r="F1235" t="str">
            <v>Lights, Surgical</v>
          </cell>
          <cell r="G1235" t="str">
            <v>NM</v>
          </cell>
          <cell r="H1235" t="str">
            <v>NUCLEAR MED (DIAGNOSTIC)</v>
          </cell>
          <cell r="I1235" t="str">
            <v>03NM143</v>
          </cell>
          <cell r="J1235" t="str">
            <v>INJECTION ROOM 1 (-VE)</v>
          </cell>
          <cell r="K1235" t="str">
            <v>BMED</v>
          </cell>
          <cell r="L1235" t="str">
            <v>Normal</v>
          </cell>
          <cell r="M1235" t="str">
            <v>USA</v>
          </cell>
          <cell r="N1235" t="str">
            <v>Welch Allyn</v>
          </cell>
          <cell r="O1235" t="str">
            <v>Welch Allyn GS600</v>
          </cell>
          <cell r="P1235" t="str">
            <v>GS600-13</v>
          </cell>
          <cell r="Q1235" t="str">
            <v>Not Applicable</v>
          </cell>
          <cell r="R1235" t="str">
            <v>Welch Allyn Inc</v>
          </cell>
          <cell r="S1235" t="str">
            <v>Welch Allyn Malaysia Sdn Bhd</v>
          </cell>
          <cell r="T1235" t="str">
            <v>Functioning</v>
          </cell>
          <cell r="U1235" t="str">
            <v>Asset</v>
          </cell>
          <cell r="V1235">
            <v>5050</v>
          </cell>
          <cell r="W1235" t="str">
            <v>KEW</v>
          </cell>
          <cell r="X1235" t="str">
            <v>01/09/2010</v>
          </cell>
          <cell r="Y1235" t="str">
            <v>KEW</v>
          </cell>
          <cell r="Z1235" t="str">
            <v>16/08/2013</v>
          </cell>
          <cell r="AA1235" t="str">
            <v>15/08/2015</v>
          </cell>
          <cell r="AB1235" t="str">
            <v>No</v>
          </cell>
          <cell r="AC1235" t="str">
            <v>31/08/2013</v>
          </cell>
          <cell r="AD1235" t="str">
            <v>Good</v>
          </cell>
          <cell r="AE1235" t="str">
            <v>V1 - Existing / No Claim</v>
          </cell>
          <cell r="AF1235">
            <v>42235</v>
          </cell>
          <cell r="AG1235">
            <v>9.17</v>
          </cell>
          <cell r="AH1235" t="str">
            <v>PPM</v>
          </cell>
          <cell r="AI1235" t="str">
            <v>Strands</v>
          </cell>
          <cell r="AJ1235" t="str">
            <v>Strands PW</v>
          </cell>
        </row>
        <row r="1236">
          <cell r="A1236" t="str">
            <v>IKN400844</v>
          </cell>
          <cell r="B1236">
            <v>844</v>
          </cell>
          <cell r="C1236" t="str">
            <v>Institut Kanser Negara</v>
          </cell>
          <cell r="D1236" t="str">
            <v>KKM/IKN/H/13/2996</v>
          </cell>
          <cell r="E1236" t="str">
            <v>12-660</v>
          </cell>
          <cell r="F1236" t="str">
            <v>Radiation Monitors</v>
          </cell>
          <cell r="G1236" t="str">
            <v>NM</v>
          </cell>
          <cell r="H1236" t="str">
            <v>NUCLEAR MED (DIAGNOSTIC)</v>
          </cell>
          <cell r="I1236" t="str">
            <v>03NM166</v>
          </cell>
          <cell r="J1236" t="str">
            <v>REPORTING</v>
          </cell>
          <cell r="K1236" t="str">
            <v>BMED</v>
          </cell>
          <cell r="L1236" t="str">
            <v>Normal</v>
          </cell>
          <cell r="M1236" t="str">
            <v>Germany</v>
          </cell>
          <cell r="N1236" t="str">
            <v>CoMo</v>
          </cell>
          <cell r="O1236" t="str">
            <v>CoMo 170</v>
          </cell>
          <cell r="P1236" t="str">
            <v>5063DL</v>
          </cell>
          <cell r="Q1236" t="str">
            <v>Not Applicable</v>
          </cell>
          <cell r="R1236" t="str">
            <v>MED Nuklear-Medizintechnik Dresden GmbH</v>
          </cell>
          <cell r="S1236" t="str">
            <v/>
          </cell>
          <cell r="T1236" t="str">
            <v>Functioning</v>
          </cell>
          <cell r="U1236" t="str">
            <v>Asset</v>
          </cell>
          <cell r="V1236">
            <v>23270</v>
          </cell>
          <cell r="W1236" t="str">
            <v>KEW</v>
          </cell>
          <cell r="X1236" t="str">
            <v>01/09/2010</v>
          </cell>
          <cell r="Y1236" t="str">
            <v>KEW</v>
          </cell>
          <cell r="Z1236" t="str">
            <v>16/08/2013</v>
          </cell>
          <cell r="AA1236" t="str">
            <v>15/08/2015</v>
          </cell>
          <cell r="AB1236" t="str">
            <v>No</v>
          </cell>
          <cell r="AC1236" t="str">
            <v>31/08/2013</v>
          </cell>
          <cell r="AD1236" t="str">
            <v>Good</v>
          </cell>
          <cell r="AE1236" t="str">
            <v>V1 - Existing / No Claim</v>
          </cell>
          <cell r="AF1236">
            <v>42235</v>
          </cell>
          <cell r="AG1236">
            <v>9.17</v>
          </cell>
          <cell r="AH1236" t="str">
            <v>PPM</v>
          </cell>
          <cell r="AI1236" t="str">
            <v>Strands</v>
          </cell>
          <cell r="AJ1236" t="str">
            <v>Strands PW</v>
          </cell>
        </row>
        <row r="1237">
          <cell r="A1237" t="str">
            <v>IKN400845</v>
          </cell>
          <cell r="B1237">
            <v>845</v>
          </cell>
          <cell r="C1237" t="str">
            <v>Institut Kanser Negara</v>
          </cell>
          <cell r="D1237" t="str">
            <v>KKM/IKN/H/13/2609</v>
          </cell>
          <cell r="E1237" t="str">
            <v>13-217</v>
          </cell>
          <cell r="F1237" t="str">
            <v>Infusion Pumps, Syringe</v>
          </cell>
          <cell r="G1237" t="str">
            <v>RT</v>
          </cell>
          <cell r="H1237" t="str">
            <v>RADIATION TREATMENT UNIT</v>
          </cell>
          <cell r="I1237" t="str">
            <v>01RT278</v>
          </cell>
          <cell r="J1237" t="str">
            <v>BRACHY OT 2</v>
          </cell>
          <cell r="K1237" t="str">
            <v>BMED</v>
          </cell>
          <cell r="L1237" t="str">
            <v>Normal</v>
          </cell>
          <cell r="M1237" t="str">
            <v>Germany</v>
          </cell>
          <cell r="N1237" t="str">
            <v>Perfusor</v>
          </cell>
          <cell r="O1237" t="str">
            <v>Perfusor Space</v>
          </cell>
          <cell r="P1237" t="str">
            <v>143335</v>
          </cell>
          <cell r="Q1237" t="str">
            <v>Not Applicable</v>
          </cell>
          <cell r="R1237" t="str">
            <v>B Braun Melsungen AG</v>
          </cell>
          <cell r="S1237" t="str">
            <v>B Braun Medical Supplies Sdn. Bhd.</v>
          </cell>
          <cell r="T1237" t="str">
            <v>Functioning</v>
          </cell>
          <cell r="U1237" t="str">
            <v>Asset</v>
          </cell>
          <cell r="V1237">
            <v>10225</v>
          </cell>
          <cell r="W1237" t="str">
            <v>KEW</v>
          </cell>
          <cell r="X1237" t="str">
            <v>01/09/2010</v>
          </cell>
          <cell r="Y1237" t="str">
            <v>KEW</v>
          </cell>
          <cell r="Z1237" t="str">
            <v>16/08/2013</v>
          </cell>
          <cell r="AA1237" t="str">
            <v>15/08/2015</v>
          </cell>
          <cell r="AB1237" t="str">
            <v>No</v>
          </cell>
          <cell r="AC1237" t="str">
            <v>31/08/2013</v>
          </cell>
          <cell r="AD1237" t="str">
            <v>Good</v>
          </cell>
          <cell r="AE1237" t="str">
            <v>V1 - Existing / No Claim</v>
          </cell>
          <cell r="AF1237">
            <v>42235</v>
          </cell>
          <cell r="AG1237">
            <v>9.17</v>
          </cell>
          <cell r="AH1237" t="str">
            <v>PPM</v>
          </cell>
          <cell r="AI1237" t="str">
            <v>Strands</v>
          </cell>
          <cell r="AJ1237" t="str">
            <v>Strands PW</v>
          </cell>
        </row>
        <row r="1238">
          <cell r="A1238" t="str">
            <v>IKN400846</v>
          </cell>
          <cell r="B1238">
            <v>846</v>
          </cell>
          <cell r="C1238" t="str">
            <v>Institut Kanser Negara</v>
          </cell>
          <cell r="D1238" t="str">
            <v>KKM/IKN/H/13/2608</v>
          </cell>
          <cell r="E1238" t="str">
            <v>13-217</v>
          </cell>
          <cell r="F1238" t="str">
            <v>Infusion Pumps, Syringe</v>
          </cell>
          <cell r="G1238" t="str">
            <v>RT</v>
          </cell>
          <cell r="H1238" t="str">
            <v>RADIATION TREATMENT UNIT</v>
          </cell>
          <cell r="I1238" t="str">
            <v>01RT278</v>
          </cell>
          <cell r="J1238" t="str">
            <v>BRACHY OT 2</v>
          </cell>
          <cell r="K1238" t="str">
            <v>BMED</v>
          </cell>
          <cell r="L1238" t="str">
            <v>Normal</v>
          </cell>
          <cell r="M1238" t="str">
            <v>Germany</v>
          </cell>
          <cell r="N1238" t="str">
            <v>Perfusor</v>
          </cell>
          <cell r="O1238" t="str">
            <v>Perfusor Space</v>
          </cell>
          <cell r="P1238" t="str">
            <v>186631</v>
          </cell>
          <cell r="Q1238" t="str">
            <v>Not Applicable</v>
          </cell>
          <cell r="R1238" t="str">
            <v>B Braun Melsungen AG</v>
          </cell>
          <cell r="S1238" t="str">
            <v>B Braun Medical Supplies Sdn. Bhd.</v>
          </cell>
          <cell r="T1238" t="str">
            <v>Functioning</v>
          </cell>
          <cell r="U1238" t="str">
            <v>Asset</v>
          </cell>
          <cell r="V1238">
            <v>10225</v>
          </cell>
          <cell r="W1238" t="str">
            <v>KEW</v>
          </cell>
          <cell r="X1238" t="str">
            <v>01/09/2010</v>
          </cell>
          <cell r="Y1238" t="str">
            <v>KEW</v>
          </cell>
          <cell r="Z1238" t="str">
            <v>16/08/2013</v>
          </cell>
          <cell r="AA1238" t="str">
            <v>15/08/2015</v>
          </cell>
          <cell r="AB1238" t="str">
            <v>No</v>
          </cell>
          <cell r="AC1238" t="str">
            <v>31/08/2013</v>
          </cell>
          <cell r="AD1238" t="str">
            <v>Good</v>
          </cell>
          <cell r="AE1238" t="str">
            <v>V1 - Existing / No Claim</v>
          </cell>
          <cell r="AF1238">
            <v>42235</v>
          </cell>
          <cell r="AG1238">
            <v>9.17</v>
          </cell>
          <cell r="AH1238" t="str">
            <v>PPM</v>
          </cell>
          <cell r="AI1238" t="str">
            <v>Strands</v>
          </cell>
          <cell r="AJ1238" t="str">
            <v>Strands PW</v>
          </cell>
        </row>
        <row r="1239">
          <cell r="A1239" t="str">
            <v>IKN400847</v>
          </cell>
          <cell r="B1239">
            <v>847</v>
          </cell>
          <cell r="C1239" t="str">
            <v>Institut Kanser Negara</v>
          </cell>
          <cell r="D1239" t="str">
            <v>KKM/IKN/H/13/2610</v>
          </cell>
          <cell r="E1239" t="str">
            <v>16-924</v>
          </cell>
          <cell r="F1239" t="str">
            <v>Infusion Pumps, Patient-Controlled Analgesic</v>
          </cell>
          <cell r="G1239" t="str">
            <v>RT</v>
          </cell>
          <cell r="H1239" t="str">
            <v>RADIATION TREATMENT UNIT</v>
          </cell>
          <cell r="I1239" t="str">
            <v>01RT278</v>
          </cell>
          <cell r="J1239" t="str">
            <v>BRACHY OT 2</v>
          </cell>
          <cell r="K1239" t="str">
            <v>BMED</v>
          </cell>
          <cell r="L1239" t="str">
            <v>Normal</v>
          </cell>
          <cell r="M1239" t="str">
            <v>Germany</v>
          </cell>
          <cell r="N1239" t="str">
            <v>Perfusor</v>
          </cell>
          <cell r="O1239" t="str">
            <v>Perfusor Space PCA</v>
          </cell>
          <cell r="P1239" t="str">
            <v>187006</v>
          </cell>
          <cell r="Q1239" t="str">
            <v>Not Applicable</v>
          </cell>
          <cell r="R1239" t="str">
            <v>B Braun Melsungen AG</v>
          </cell>
          <cell r="S1239" t="str">
            <v>B Braun Medical Supplies Sdn. Bhd.</v>
          </cell>
          <cell r="T1239" t="str">
            <v>Functioning</v>
          </cell>
          <cell r="U1239" t="str">
            <v>Asset</v>
          </cell>
          <cell r="V1239">
            <v>9622</v>
          </cell>
          <cell r="W1239" t="str">
            <v>KEW</v>
          </cell>
          <cell r="X1239" t="str">
            <v>01/09/2010</v>
          </cell>
          <cell r="Y1239" t="str">
            <v>KEW</v>
          </cell>
          <cell r="Z1239" t="str">
            <v>16/08/2013</v>
          </cell>
          <cell r="AA1239" t="str">
            <v>15/08/2015</v>
          </cell>
          <cell r="AB1239" t="str">
            <v>No</v>
          </cell>
          <cell r="AC1239" t="str">
            <v>31/08/2013</v>
          </cell>
          <cell r="AD1239" t="str">
            <v>Good</v>
          </cell>
          <cell r="AE1239" t="str">
            <v>V1 - Existing / No Claim</v>
          </cell>
          <cell r="AF1239">
            <v>42235</v>
          </cell>
          <cell r="AG1239">
            <v>9.17</v>
          </cell>
          <cell r="AH1239" t="str">
            <v>PPM</v>
          </cell>
          <cell r="AI1239" t="str">
            <v>Strands</v>
          </cell>
          <cell r="AJ1239" t="str">
            <v>Strands PW</v>
          </cell>
        </row>
        <row r="1240">
          <cell r="A1240" t="str">
            <v>IKN400848</v>
          </cell>
          <cell r="B1240">
            <v>848</v>
          </cell>
          <cell r="C1240" t="str">
            <v>Institut Kanser Negara</v>
          </cell>
          <cell r="D1240" t="str">
            <v>KKM/IKN/H/13/2613</v>
          </cell>
          <cell r="E1240" t="str">
            <v>13-215</v>
          </cell>
          <cell r="F1240" t="str">
            <v>Infusion Pumps, General-Purpose</v>
          </cell>
          <cell r="G1240" t="str">
            <v>RT</v>
          </cell>
          <cell r="H1240" t="str">
            <v>RADIATION TREATMENT UNIT</v>
          </cell>
          <cell r="I1240" t="str">
            <v>01RT278</v>
          </cell>
          <cell r="J1240" t="str">
            <v>BRACHY OT 2</v>
          </cell>
          <cell r="K1240" t="str">
            <v>BMED</v>
          </cell>
          <cell r="L1240" t="str">
            <v>Normal</v>
          </cell>
          <cell r="M1240" t="str">
            <v>Germany</v>
          </cell>
          <cell r="N1240" t="str">
            <v>Infusomat</v>
          </cell>
          <cell r="O1240" t="str">
            <v>Infusomat Space</v>
          </cell>
          <cell r="P1240" t="str">
            <v>211908</v>
          </cell>
          <cell r="Q1240" t="str">
            <v>Not Applicable</v>
          </cell>
          <cell r="R1240" t="str">
            <v>B Braun Melsungen AG</v>
          </cell>
          <cell r="S1240" t="str">
            <v>B Braun Medical Supplies Sdn. Bhd.</v>
          </cell>
          <cell r="T1240" t="str">
            <v>Functioning</v>
          </cell>
          <cell r="U1240" t="str">
            <v>Asset</v>
          </cell>
          <cell r="V1240">
            <v>10825</v>
          </cell>
          <cell r="W1240" t="str">
            <v>KEW</v>
          </cell>
          <cell r="X1240" t="str">
            <v>01/09/2010</v>
          </cell>
          <cell r="Y1240" t="str">
            <v>KEW</v>
          </cell>
          <cell r="Z1240" t="str">
            <v>16/08/2013</v>
          </cell>
          <cell r="AA1240" t="str">
            <v>15/08/2015</v>
          </cell>
          <cell r="AB1240" t="str">
            <v>No</v>
          </cell>
          <cell r="AC1240" t="str">
            <v>31/08/2013</v>
          </cell>
          <cell r="AD1240" t="str">
            <v>Good</v>
          </cell>
          <cell r="AE1240" t="str">
            <v>V1 - Existing / No Claim</v>
          </cell>
          <cell r="AF1240">
            <v>42235</v>
          </cell>
          <cell r="AG1240">
            <v>9.17</v>
          </cell>
          <cell r="AH1240" t="str">
            <v>PPM</v>
          </cell>
          <cell r="AI1240" t="str">
            <v>Strands</v>
          </cell>
          <cell r="AJ1240" t="str">
            <v>Strands PW</v>
          </cell>
        </row>
        <row r="1241">
          <cell r="A1241" t="str">
            <v>IKN400849</v>
          </cell>
          <cell r="B1241">
            <v>849</v>
          </cell>
          <cell r="C1241" t="str">
            <v>Institut Kanser Negara</v>
          </cell>
          <cell r="D1241" t="str">
            <v>KKM/IKN/H/13/2196</v>
          </cell>
          <cell r="E1241" t="str">
            <v>12-647</v>
          </cell>
          <cell r="F1241" t="str">
            <v>Physiologic Monitoring Systems, Acute Care</v>
          </cell>
          <cell r="G1241" t="str">
            <v>RT</v>
          </cell>
          <cell r="H1241" t="str">
            <v>RADIATION TREATMENT UNIT</v>
          </cell>
          <cell r="I1241" t="str">
            <v>01RT278</v>
          </cell>
          <cell r="J1241" t="str">
            <v>BRACHY OT 2</v>
          </cell>
          <cell r="K1241" t="str">
            <v>BMED</v>
          </cell>
          <cell r="L1241" t="str">
            <v>Normal</v>
          </cell>
          <cell r="M1241" t="str">
            <v>Finland</v>
          </cell>
          <cell r="N1241" t="str">
            <v>Carespace</v>
          </cell>
          <cell r="O1241" t="str">
            <v>Carespace B850</v>
          </cell>
          <cell r="P1241" t="str">
            <v>SED12370679GA</v>
          </cell>
          <cell r="Q1241" t="str">
            <v>Not Applicable</v>
          </cell>
          <cell r="R1241" t="str">
            <v>GE Healthcare Systems</v>
          </cell>
          <cell r="S1241" t="str">
            <v>GE Healthcare Technologies</v>
          </cell>
          <cell r="T1241" t="str">
            <v>Functioning</v>
          </cell>
          <cell r="U1241" t="str">
            <v>Asset</v>
          </cell>
          <cell r="V1241">
            <v>119690</v>
          </cell>
          <cell r="W1241" t="str">
            <v>KEW</v>
          </cell>
          <cell r="X1241" t="str">
            <v>01/09/2010</v>
          </cell>
          <cell r="Y1241" t="str">
            <v>KEW</v>
          </cell>
          <cell r="Z1241" t="str">
            <v>16/08/2013</v>
          </cell>
          <cell r="AA1241" t="str">
            <v>15/08/2015</v>
          </cell>
          <cell r="AB1241" t="str">
            <v>No</v>
          </cell>
          <cell r="AC1241" t="str">
            <v>31/08/2013</v>
          </cell>
          <cell r="AD1241" t="str">
            <v>Good</v>
          </cell>
          <cell r="AE1241" t="str">
            <v>V1 - Existing / No Claim</v>
          </cell>
          <cell r="AF1241">
            <v>42235</v>
          </cell>
          <cell r="AG1241">
            <v>9.17</v>
          </cell>
          <cell r="AH1241" t="str">
            <v>PPM</v>
          </cell>
          <cell r="AI1241" t="str">
            <v>Strands</v>
          </cell>
          <cell r="AJ1241" t="str">
            <v>Strands PW</v>
          </cell>
        </row>
        <row r="1242">
          <cell r="A1242" t="str">
            <v>IKN400850</v>
          </cell>
          <cell r="B1242">
            <v>850</v>
          </cell>
          <cell r="C1242" t="str">
            <v>Institut Kanser Negara</v>
          </cell>
          <cell r="D1242" t="str">
            <v>N/A</v>
          </cell>
          <cell r="E1242" t="str">
            <v>17-732</v>
          </cell>
          <cell r="F1242" t="str">
            <v>Brachytherapy Applicators, Afterloading</v>
          </cell>
          <cell r="G1242" t="str">
            <v>RT</v>
          </cell>
          <cell r="H1242" t="str">
            <v>RADIATION TREATMENT UNIT</v>
          </cell>
          <cell r="I1242" t="str">
            <v>01RT243</v>
          </cell>
          <cell r="J1242" t="str">
            <v>NURSE STATION</v>
          </cell>
          <cell r="K1242" t="str">
            <v>BMED</v>
          </cell>
          <cell r="L1242" t="str">
            <v>Normal</v>
          </cell>
          <cell r="M1242" t="str">
            <v>Germany</v>
          </cell>
          <cell r="N1242" t="str">
            <v>MultiSource</v>
          </cell>
          <cell r="O1242" t="str">
            <v>MultiSource HDR Afterloader</v>
          </cell>
          <cell r="P1242" t="str">
            <v>445</v>
          </cell>
          <cell r="Q1242" t="str">
            <v>Not Applicable</v>
          </cell>
          <cell r="R1242" t="str">
            <v>IBt Bebig Group</v>
          </cell>
          <cell r="S1242" t="str">
            <v>Oncoray Sdn Bhd</v>
          </cell>
          <cell r="T1242" t="str">
            <v>Functioning</v>
          </cell>
          <cell r="U1242" t="str">
            <v>Asset</v>
          </cell>
          <cell r="V1242">
            <v>3420120</v>
          </cell>
          <cell r="W1242" t="str">
            <v>KEW</v>
          </cell>
          <cell r="X1242" t="str">
            <v>01/09/2010</v>
          </cell>
          <cell r="Y1242" t="str">
            <v>KEW</v>
          </cell>
          <cell r="Z1242" t="str">
            <v>16/08/2013</v>
          </cell>
          <cell r="AA1242" t="str">
            <v>15/08/2015</v>
          </cell>
          <cell r="AB1242" t="str">
            <v>No</v>
          </cell>
          <cell r="AC1242" t="str">
            <v>31/08/2013</v>
          </cell>
          <cell r="AD1242" t="str">
            <v>Good</v>
          </cell>
          <cell r="AE1242" t="str">
            <v>V1 - Existing / No Claim</v>
          </cell>
          <cell r="AF1242">
            <v>42801</v>
          </cell>
          <cell r="AG1242">
            <v>9.17</v>
          </cell>
          <cell r="AH1242" t="str">
            <v>PPM</v>
          </cell>
          <cell r="AI1242" t="str">
            <v>Strands</v>
          </cell>
          <cell r="AJ1242" t="str">
            <v>Strands Package</v>
          </cell>
          <cell r="AK1242" t="str">
            <v>Package Code XM0011</v>
          </cell>
        </row>
        <row r="1243">
          <cell r="A1243" t="str">
            <v>IKN400851</v>
          </cell>
          <cell r="B1243">
            <v>851</v>
          </cell>
          <cell r="C1243" t="str">
            <v>Institut Kanser Negara</v>
          </cell>
          <cell r="D1243" t="str">
            <v>KKM/IKN/H/13/5299</v>
          </cell>
          <cell r="E1243" t="str">
            <v>17-848</v>
          </cell>
          <cell r="F1243" t="str">
            <v>Biopsy Guns</v>
          </cell>
          <cell r="G1243" t="str">
            <v>RT</v>
          </cell>
          <cell r="H1243" t="str">
            <v>RADIATION TREATMENT UNIT</v>
          </cell>
          <cell r="I1243" t="str">
            <v>01RT278</v>
          </cell>
          <cell r="J1243" t="str">
            <v>BRACHY OT 2</v>
          </cell>
          <cell r="K1243" t="str">
            <v>BMED</v>
          </cell>
          <cell r="L1243" t="str">
            <v>Normal</v>
          </cell>
          <cell r="M1243" t="str">
            <v>USA</v>
          </cell>
          <cell r="N1243" t="str">
            <v>Magnum</v>
          </cell>
          <cell r="O1243" t="str">
            <v>Magnum MG1522</v>
          </cell>
          <cell r="P1243" t="str">
            <v>51JV254</v>
          </cell>
          <cell r="Q1243" t="str">
            <v>Not Applicable</v>
          </cell>
          <cell r="R1243" t="str">
            <v>Bard Peripheral Vascular Inc</v>
          </cell>
          <cell r="S1243" t="str">
            <v>Healthcare Solution</v>
          </cell>
          <cell r="T1243" t="str">
            <v>Functioning</v>
          </cell>
          <cell r="U1243" t="str">
            <v>Asset</v>
          </cell>
          <cell r="V1243">
            <v>8510</v>
          </cell>
          <cell r="W1243" t="str">
            <v>KEW</v>
          </cell>
          <cell r="X1243" t="str">
            <v>01/09/2010</v>
          </cell>
          <cell r="Y1243" t="str">
            <v>KEW</v>
          </cell>
          <cell r="Z1243" t="str">
            <v>16/08/2013</v>
          </cell>
          <cell r="AA1243" t="str">
            <v>15/08/2015</v>
          </cell>
          <cell r="AB1243" t="str">
            <v>No</v>
          </cell>
          <cell r="AC1243" t="str">
            <v>31/08/2013</v>
          </cell>
          <cell r="AD1243" t="str">
            <v>Good</v>
          </cell>
          <cell r="AE1243" t="str">
            <v>V1 - Existing / No Claim</v>
          </cell>
          <cell r="AF1243">
            <v>42235</v>
          </cell>
          <cell r="AG1243">
            <v>9.17</v>
          </cell>
          <cell r="AH1243" t="str">
            <v>PPM</v>
          </cell>
          <cell r="AI1243" t="str">
            <v>Strands</v>
          </cell>
          <cell r="AJ1243" t="str">
            <v>Strands PW</v>
          </cell>
        </row>
        <row r="1244">
          <cell r="A1244" t="str">
            <v>IKN400853</v>
          </cell>
          <cell r="B1244">
            <v>853</v>
          </cell>
          <cell r="C1244" t="str">
            <v>Institut Kanser Negara</v>
          </cell>
          <cell r="D1244" t="str">
            <v>KKM/IKN/H/13/2627</v>
          </cell>
          <cell r="E1244" t="str">
            <v>10-414</v>
          </cell>
          <cell r="F1244" t="str">
            <v>Warming Units, Blanket</v>
          </cell>
          <cell r="G1244" t="str">
            <v>RT</v>
          </cell>
          <cell r="H1244" t="str">
            <v>RADIATION TREATMENT UNIT</v>
          </cell>
          <cell r="I1244" t="str">
            <v>01RT278</v>
          </cell>
          <cell r="J1244" t="str">
            <v>BRACHY OT 2</v>
          </cell>
          <cell r="K1244" t="str">
            <v>BMED</v>
          </cell>
          <cell r="L1244" t="str">
            <v>Normal</v>
          </cell>
          <cell r="M1244" t="str">
            <v>Sweden</v>
          </cell>
          <cell r="N1244" t="str">
            <v>Operatherm</v>
          </cell>
          <cell r="O1244" t="str">
            <v>Operatherm 303</v>
          </cell>
          <cell r="P1244" t="str">
            <v>00792-12</v>
          </cell>
          <cell r="Q1244" t="str">
            <v>Not Applicable</v>
          </cell>
          <cell r="R1244" t="str">
            <v>Kanmed</v>
          </cell>
          <cell r="S1244" t="str">
            <v>Perniagaan Med Tech</v>
          </cell>
          <cell r="T1244" t="str">
            <v>Functioning</v>
          </cell>
          <cell r="U1244" t="str">
            <v>Asset</v>
          </cell>
          <cell r="V1244">
            <v>15515</v>
          </cell>
          <cell r="W1244" t="str">
            <v>KEW</v>
          </cell>
          <cell r="X1244" t="str">
            <v>01/09/2010</v>
          </cell>
          <cell r="Y1244" t="str">
            <v>KEW</v>
          </cell>
          <cell r="Z1244" t="str">
            <v>16/08/2013</v>
          </cell>
          <cell r="AA1244" t="str">
            <v>15/08/2015</v>
          </cell>
          <cell r="AB1244" t="str">
            <v>No</v>
          </cell>
          <cell r="AC1244" t="str">
            <v>31/08/2013</v>
          </cell>
          <cell r="AD1244" t="str">
            <v>Good</v>
          </cell>
          <cell r="AE1244" t="str">
            <v>V1 - Existing / No Claim</v>
          </cell>
          <cell r="AF1244">
            <v>42235</v>
          </cell>
          <cell r="AG1244">
            <v>9.17</v>
          </cell>
          <cell r="AH1244" t="str">
            <v>PPM</v>
          </cell>
          <cell r="AI1244" t="str">
            <v>Strands</v>
          </cell>
          <cell r="AJ1244" t="str">
            <v>Strands PW</v>
          </cell>
        </row>
        <row r="1245">
          <cell r="A1245" t="str">
            <v>IKN400863</v>
          </cell>
          <cell r="B1245">
            <v>862</v>
          </cell>
          <cell r="C1245" t="str">
            <v>Institut Kanser Negara</v>
          </cell>
          <cell r="D1245" t="str">
            <v>KKM/IKN/H/13/2483-13</v>
          </cell>
          <cell r="E1245" t="str">
            <v>15-967</v>
          </cell>
          <cell r="F1245" t="str">
            <v>Television Systems, Endoscope</v>
          </cell>
          <cell r="G1245" t="str">
            <v>OT</v>
          </cell>
          <cell r="H1245" t="str">
            <v>OPERATING THEATRE</v>
          </cell>
          <cell r="I1245" t="str">
            <v>05OT167</v>
          </cell>
          <cell r="J1245" t="str">
            <v>SCOPE WASH</v>
          </cell>
          <cell r="K1245" t="str">
            <v>BMED</v>
          </cell>
          <cell r="L1245" t="str">
            <v>Normal</v>
          </cell>
          <cell r="M1245" t="str">
            <v>GERMANY</v>
          </cell>
          <cell r="N1245" t="str">
            <v>Karl Storz Gmbh &amp; Co</v>
          </cell>
          <cell r="O1245" t="str">
            <v>9626.NB/KS-26</v>
          </cell>
          <cell r="P1245" t="str">
            <v>51303180PW009</v>
          </cell>
          <cell r="Q1245" t="str">
            <v>Not Applicable</v>
          </cell>
          <cell r="R1245" t="str">
            <v>Karl Storz Gmbh &amp; Co</v>
          </cell>
          <cell r="S1245" t="str">
            <v>UMMI Surgical Sdn Bhd</v>
          </cell>
          <cell r="T1245" t="str">
            <v>Functioning</v>
          </cell>
          <cell r="U1245" t="str">
            <v>Asset</v>
          </cell>
          <cell r="V1245">
            <v>10000</v>
          </cell>
          <cell r="W1245" t="str">
            <v>Replacement</v>
          </cell>
          <cell r="X1245" t="str">
            <v>01/09/2010</v>
          </cell>
          <cell r="Y1245" t="str">
            <v>KEW</v>
          </cell>
          <cell r="Z1245" t="str">
            <v>16/08/2013</v>
          </cell>
          <cell r="AA1245" t="str">
            <v>15/08/2015</v>
          </cell>
          <cell r="AB1245" t="str">
            <v>No</v>
          </cell>
          <cell r="AC1245" t="str">
            <v>31/08/2013</v>
          </cell>
          <cell r="AD1245" t="str">
            <v>Good</v>
          </cell>
          <cell r="AE1245" t="str">
            <v>V1 - Existing / No Claim</v>
          </cell>
          <cell r="AF1245">
            <v>42958</v>
          </cell>
          <cell r="AG1245">
            <v>9.17</v>
          </cell>
          <cell r="AH1245" t="str">
            <v>RI</v>
          </cell>
          <cell r="AI1245" t="str">
            <v>Strands</v>
          </cell>
          <cell r="AJ1245" t="str">
            <v>Strands Package</v>
          </cell>
          <cell r="AK1245" t="str">
            <v>Package Code EP0127A</v>
          </cell>
        </row>
        <row r="1246">
          <cell r="A1246" t="str">
            <v>IKN400864</v>
          </cell>
          <cell r="B1246">
            <v>863</v>
          </cell>
          <cell r="C1246" t="str">
            <v>Institut Kanser Negara</v>
          </cell>
          <cell r="D1246" t="str">
            <v>KKM/IKN/H/13/2483-20</v>
          </cell>
          <cell r="E1246" t="str">
            <v>12-345</v>
          </cell>
          <cell r="F1246" t="str">
            <v>Light Sources, Fiberoptic</v>
          </cell>
          <cell r="G1246" t="str">
            <v>OT</v>
          </cell>
          <cell r="H1246" t="str">
            <v>OPERATING THEATRE</v>
          </cell>
          <cell r="I1246" t="str">
            <v>05OT167</v>
          </cell>
          <cell r="J1246" t="str">
            <v>SCOPE WASH</v>
          </cell>
          <cell r="K1246" t="str">
            <v>BMED</v>
          </cell>
          <cell r="L1246" t="str">
            <v>Normal</v>
          </cell>
          <cell r="M1246" t="str">
            <v>Germany</v>
          </cell>
          <cell r="N1246" t="str">
            <v>Xenon Nova</v>
          </cell>
          <cell r="O1246" t="str">
            <v>Xenon Nova 300, 201340 20</v>
          </cell>
          <cell r="P1246" t="str">
            <v>PW0687519</v>
          </cell>
          <cell r="Q1246" t="str">
            <v>Not Applicable</v>
          </cell>
          <cell r="R1246" t="str">
            <v>Karl Storz GmbH</v>
          </cell>
          <cell r="S1246" t="str">
            <v>UMMI Surgical Sdn Bhd</v>
          </cell>
          <cell r="T1246" t="str">
            <v>Functioning</v>
          </cell>
          <cell r="U1246" t="str">
            <v>Asset</v>
          </cell>
          <cell r="V1246">
            <v>100000</v>
          </cell>
          <cell r="W1246" t="str">
            <v>Estimate</v>
          </cell>
          <cell r="X1246" t="str">
            <v>01/09/2010</v>
          </cell>
          <cell r="Y1246" t="str">
            <v>KEW</v>
          </cell>
          <cell r="Z1246" t="str">
            <v>16/08/2013</v>
          </cell>
          <cell r="AA1246" t="str">
            <v>15/08/2015</v>
          </cell>
          <cell r="AB1246" t="str">
            <v>No</v>
          </cell>
          <cell r="AC1246" t="str">
            <v>31/08/2013</v>
          </cell>
          <cell r="AD1246" t="str">
            <v>Good</v>
          </cell>
          <cell r="AE1246" t="str">
            <v>V1 - Existing / No Claim</v>
          </cell>
          <cell r="AF1246">
            <v>42616</v>
          </cell>
          <cell r="AG1246">
            <v>9.17</v>
          </cell>
          <cell r="AH1246" t="str">
            <v>PPM</v>
          </cell>
          <cell r="AI1246" t="str">
            <v>Strands</v>
          </cell>
          <cell r="AJ1246" t="str">
            <v>Strands Package</v>
          </cell>
          <cell r="AK1246" t="str">
            <v>Package Code EP0127A</v>
          </cell>
        </row>
        <row r="1247">
          <cell r="A1247" t="str">
            <v>IKN400865</v>
          </cell>
          <cell r="B1247">
            <v>864</v>
          </cell>
          <cell r="C1247" t="str">
            <v>Institut Kanser Negara</v>
          </cell>
          <cell r="D1247" t="str">
            <v>KKM/IKN/H/13/2483-01</v>
          </cell>
          <cell r="E1247" t="str">
            <v>17-002</v>
          </cell>
          <cell r="F1247" t="str">
            <v>Cameras, Video, Endoscope</v>
          </cell>
          <cell r="G1247" t="str">
            <v>OT</v>
          </cell>
          <cell r="H1247" t="str">
            <v>OPERATING THEATRE</v>
          </cell>
          <cell r="I1247" t="str">
            <v>05OT167</v>
          </cell>
          <cell r="J1247" t="str">
            <v>SCOPE WASH</v>
          </cell>
          <cell r="K1247" t="str">
            <v>BMED</v>
          </cell>
          <cell r="L1247" t="str">
            <v>Normal</v>
          </cell>
          <cell r="M1247" t="str">
            <v>Germany</v>
          </cell>
          <cell r="N1247" t="str">
            <v>Image 1</v>
          </cell>
          <cell r="O1247" t="str">
            <v>Image 1 HUB 22201020</v>
          </cell>
          <cell r="P1247" t="str">
            <v>NW701882-P</v>
          </cell>
          <cell r="Q1247" t="str">
            <v>Not Applicable</v>
          </cell>
          <cell r="R1247" t="str">
            <v>Karl Storz-Endoskope</v>
          </cell>
          <cell r="S1247" t="str">
            <v>UMMI Surgical Sdn Bhd</v>
          </cell>
          <cell r="T1247" t="str">
            <v>Functioning</v>
          </cell>
          <cell r="U1247" t="str">
            <v>Asset</v>
          </cell>
          <cell r="V1247">
            <v>100000</v>
          </cell>
          <cell r="W1247" t="str">
            <v>Estimate</v>
          </cell>
          <cell r="X1247" t="str">
            <v>01/09/2010</v>
          </cell>
          <cell r="Y1247" t="str">
            <v>KEW</v>
          </cell>
          <cell r="Z1247" t="str">
            <v>16/08/2013</v>
          </cell>
          <cell r="AA1247" t="str">
            <v>15/08/2015</v>
          </cell>
          <cell r="AB1247" t="str">
            <v>No</v>
          </cell>
          <cell r="AC1247" t="str">
            <v>31/08/2013</v>
          </cell>
          <cell r="AD1247" t="str">
            <v>Good</v>
          </cell>
          <cell r="AE1247" t="str">
            <v>V1 - Existing / No Claim</v>
          </cell>
          <cell r="AF1247">
            <v>42958</v>
          </cell>
          <cell r="AG1247">
            <v>9.17</v>
          </cell>
          <cell r="AH1247" t="str">
            <v>PPM</v>
          </cell>
          <cell r="AI1247" t="str">
            <v>Strands</v>
          </cell>
          <cell r="AJ1247" t="str">
            <v>Strands Package</v>
          </cell>
          <cell r="AK1247" t="str">
            <v>[Indira] Camera Head (Serial No: YX805370-H), CAT No: 22220055 (Cable: ). [18/9/2023, SHARIFAH]: PEP ON 27/7/2023, BER/BEMS/IKN/23/014 - Asset masih berfungsi namun tidak dapat dibaiki sekiranya berlaku kerosakan pada komponen utama. Package Code EP0127A</v>
          </cell>
        </row>
        <row r="1248">
          <cell r="A1248" t="str">
            <v>IKN400866</v>
          </cell>
          <cell r="B1248">
            <v>865</v>
          </cell>
          <cell r="C1248" t="str">
            <v>Institut Kanser Negara</v>
          </cell>
          <cell r="D1248" t="str">
            <v>KKM/IKN/H/13/2483-36</v>
          </cell>
          <cell r="E1248" t="str">
            <v>16-849</v>
          </cell>
          <cell r="F1248" t="str">
            <v>Insufflators, Laparoscopic</v>
          </cell>
          <cell r="G1248" t="str">
            <v>OT</v>
          </cell>
          <cell r="H1248" t="str">
            <v>OPERATING THEATRE</v>
          </cell>
          <cell r="I1248" t="str">
            <v>05OT167</v>
          </cell>
          <cell r="J1248" t="str">
            <v>SCOPE WASH</v>
          </cell>
          <cell r="K1248" t="str">
            <v>BMED</v>
          </cell>
          <cell r="L1248" t="str">
            <v>Critical</v>
          </cell>
          <cell r="M1248" t="str">
            <v>Germany</v>
          </cell>
          <cell r="N1248" t="str">
            <v>Thermoflator</v>
          </cell>
          <cell r="O1248" t="str">
            <v>Thermoflator</v>
          </cell>
          <cell r="P1248" t="str">
            <v>RW15883-B</v>
          </cell>
          <cell r="Q1248" t="str">
            <v>Not Applicable</v>
          </cell>
          <cell r="R1248" t="str">
            <v>Karl Storz GmbH &amp; Co KG</v>
          </cell>
          <cell r="S1248" t="str">
            <v>UMMI Surgical Sdn Bhd</v>
          </cell>
          <cell r="T1248" t="str">
            <v>Functioning</v>
          </cell>
          <cell r="U1248" t="str">
            <v>Asset</v>
          </cell>
          <cell r="V1248">
            <v>120000</v>
          </cell>
          <cell r="W1248" t="str">
            <v>KEW</v>
          </cell>
          <cell r="X1248" t="str">
            <v>01/09/2010</v>
          </cell>
          <cell r="Y1248" t="str">
            <v>KEW</v>
          </cell>
          <cell r="Z1248" t="str">
            <v>16/08/2013</v>
          </cell>
          <cell r="AA1248" t="str">
            <v>15/08/2015</v>
          </cell>
          <cell r="AB1248" t="str">
            <v>No</v>
          </cell>
          <cell r="AC1248" t="str">
            <v>31/08/2013</v>
          </cell>
          <cell r="AD1248" t="str">
            <v>Good</v>
          </cell>
          <cell r="AE1248" t="str">
            <v>V1 - Existing / No Claim</v>
          </cell>
          <cell r="AF1248">
            <v>42958</v>
          </cell>
          <cell r="AG1248">
            <v>9.17</v>
          </cell>
          <cell r="AH1248" t="str">
            <v>PPM</v>
          </cell>
          <cell r="AI1248" t="str">
            <v>Strands</v>
          </cell>
          <cell r="AJ1248" t="str">
            <v>Strands Package</v>
          </cell>
          <cell r="AK1248" t="str">
            <v>Package Code EP0127A</v>
          </cell>
        </row>
        <row r="1249">
          <cell r="A1249" t="str">
            <v>IKN400867</v>
          </cell>
          <cell r="B1249">
            <v>866</v>
          </cell>
          <cell r="C1249" t="str">
            <v>Institut Kanser Negara</v>
          </cell>
          <cell r="D1249" t="str">
            <v>KKM/IKN/H/13/2483-24</v>
          </cell>
          <cell r="E1249" t="str">
            <v>13-274</v>
          </cell>
          <cell r="F1249" t="str">
            <v>Recorders, Tape, Video</v>
          </cell>
          <cell r="G1249" t="str">
            <v>OT</v>
          </cell>
          <cell r="H1249" t="str">
            <v>OPERATING THEATRE</v>
          </cell>
          <cell r="I1249" t="str">
            <v>05OT167</v>
          </cell>
          <cell r="J1249" t="str">
            <v>SCOPE WASH</v>
          </cell>
          <cell r="K1249" t="str">
            <v>BMED</v>
          </cell>
          <cell r="L1249" t="str">
            <v>Normal</v>
          </cell>
          <cell r="M1249" t="str">
            <v>Germany</v>
          </cell>
          <cell r="N1249" t="str">
            <v>Aoda</v>
          </cell>
          <cell r="O1249" t="str">
            <v>Aoda Control Neo</v>
          </cell>
          <cell r="P1249" t="str">
            <v>KSB13263</v>
          </cell>
          <cell r="Q1249" t="str">
            <v>Not Applicable</v>
          </cell>
          <cell r="R1249" t="str">
            <v>Karl Storz GmbH &amp; Co KG</v>
          </cell>
          <cell r="S1249" t="str">
            <v>UMMI Surgical Sdn Bhd</v>
          </cell>
          <cell r="T1249" t="str">
            <v>Functioning</v>
          </cell>
          <cell r="U1249" t="str">
            <v>Asset</v>
          </cell>
          <cell r="V1249">
            <v>50000</v>
          </cell>
          <cell r="W1249" t="str">
            <v>KEW</v>
          </cell>
          <cell r="X1249" t="str">
            <v>01/09/2010</v>
          </cell>
          <cell r="Y1249" t="str">
            <v>KEW</v>
          </cell>
          <cell r="Z1249" t="str">
            <v>16/08/2013</v>
          </cell>
          <cell r="AA1249" t="str">
            <v>15/08/2015</v>
          </cell>
          <cell r="AB1249" t="str">
            <v>No</v>
          </cell>
          <cell r="AC1249" t="str">
            <v>31/08/2013</v>
          </cell>
          <cell r="AD1249" t="str">
            <v>Good</v>
          </cell>
          <cell r="AE1249" t="str">
            <v>V1 - Existing / No Claim</v>
          </cell>
          <cell r="AF1249">
            <v>42958</v>
          </cell>
          <cell r="AG1249">
            <v>9.17</v>
          </cell>
          <cell r="AH1249" t="str">
            <v>RI</v>
          </cell>
          <cell r="AI1249" t="str">
            <v>Strands</v>
          </cell>
          <cell r="AJ1249" t="str">
            <v>Strands Package</v>
          </cell>
          <cell r="AK1249" t="str">
            <v>Package Code EP0127A</v>
          </cell>
        </row>
        <row r="1250">
          <cell r="A1250" t="str">
            <v>IKN400868</v>
          </cell>
          <cell r="B1250">
            <v>867</v>
          </cell>
          <cell r="C1250" t="str">
            <v>Institut Kanser Negara</v>
          </cell>
          <cell r="D1250" t="e">
            <v>#N/A</v>
          </cell>
          <cell r="E1250" t="str">
            <v>16-603</v>
          </cell>
          <cell r="F1250" t="str">
            <v>Television Monitors</v>
          </cell>
          <cell r="G1250" t="str">
            <v>OT</v>
          </cell>
          <cell r="H1250" t="str">
            <v>OPERATING THEATRE</v>
          </cell>
          <cell r="I1250" t="str">
            <v>05OT167</v>
          </cell>
          <cell r="J1250" t="str">
            <v>SCOPE WASH</v>
          </cell>
          <cell r="K1250" t="str">
            <v>BMED</v>
          </cell>
          <cell r="L1250" t="str">
            <v>Normal</v>
          </cell>
          <cell r="M1250" t="str">
            <v>China</v>
          </cell>
          <cell r="N1250" t="str">
            <v>BenQ</v>
          </cell>
          <cell r="O1250" t="str">
            <v>BenQ GL2050</v>
          </cell>
          <cell r="P1250" t="str">
            <v>ETMBC8626SLO</v>
          </cell>
          <cell r="Q1250" t="str">
            <v>Not Applicable</v>
          </cell>
          <cell r="R1250" t="str">
            <v>BenQ Corp</v>
          </cell>
          <cell r="S1250" t="str">
            <v>UMMI Surgical Sdn Bhd</v>
          </cell>
          <cell r="T1250" t="str">
            <v>Functioning</v>
          </cell>
          <cell r="U1250" t="str">
            <v>Asset</v>
          </cell>
          <cell r="V1250">
            <v>7000</v>
          </cell>
          <cell r="W1250" t="str">
            <v>Estimate</v>
          </cell>
          <cell r="X1250" t="str">
            <v>01/09/2010</v>
          </cell>
          <cell r="Y1250" t="str">
            <v>KEW</v>
          </cell>
          <cell r="Z1250" t="str">
            <v>16/08/2013</v>
          </cell>
          <cell r="AA1250" t="str">
            <v>15/08/2015</v>
          </cell>
          <cell r="AB1250" t="str">
            <v>No</v>
          </cell>
          <cell r="AC1250" t="str">
            <v>31/08/2013</v>
          </cell>
          <cell r="AD1250" t="str">
            <v>Good</v>
          </cell>
          <cell r="AE1250" t="str">
            <v>V1 - Existing / No Claim</v>
          </cell>
          <cell r="AF1250">
            <v>42958</v>
          </cell>
          <cell r="AG1250">
            <v>9.17</v>
          </cell>
          <cell r="AH1250" t="str">
            <v>RI</v>
          </cell>
          <cell r="AI1250" t="str">
            <v>Strands-accessories</v>
          </cell>
          <cell r="AJ1250" t="e">
            <v>#REF!</v>
          </cell>
          <cell r="AK1250" t="e">
            <v>#N/A</v>
          </cell>
        </row>
        <row r="1251">
          <cell r="A1251" t="str">
            <v>IKN400869</v>
          </cell>
          <cell r="B1251">
            <v>868</v>
          </cell>
          <cell r="C1251" t="str">
            <v>Institut Kanser Negara</v>
          </cell>
          <cell r="D1251" t="str">
            <v>KKM/IKN/H/14/86</v>
          </cell>
          <cell r="E1251" t="str">
            <v>17-950</v>
          </cell>
          <cell r="F1251" t="str">
            <v>Warming Units, Patient, Forced-Air</v>
          </cell>
          <cell r="G1251" t="str">
            <v>RT</v>
          </cell>
          <cell r="H1251" t="str">
            <v>RADIATION TREATMENT UNIT</v>
          </cell>
          <cell r="I1251" t="str">
            <v>01RT116</v>
          </cell>
          <cell r="J1251" t="str">
            <v>CT SIMULATOR 1</v>
          </cell>
          <cell r="K1251" t="str">
            <v>BMED</v>
          </cell>
          <cell r="L1251" t="str">
            <v>Normal</v>
          </cell>
          <cell r="M1251" t="str">
            <v>USA</v>
          </cell>
          <cell r="N1251" t="str">
            <v>Bair Hugger</v>
          </cell>
          <cell r="O1251" t="str">
            <v>Bair Hugger 775</v>
          </cell>
          <cell r="P1251" t="str">
            <v>46693</v>
          </cell>
          <cell r="Q1251" t="str">
            <v>Not Applicable</v>
          </cell>
          <cell r="R1251" t="str">
            <v>Arizant Healthcare Inc</v>
          </cell>
          <cell r="S1251" t="str">
            <v>Alam Medik Sdn. Bhd</v>
          </cell>
          <cell r="T1251" t="str">
            <v>Functioning</v>
          </cell>
          <cell r="U1251" t="str">
            <v>Asset</v>
          </cell>
          <cell r="V1251">
            <v>4950</v>
          </cell>
          <cell r="W1251" t="str">
            <v>KEW</v>
          </cell>
          <cell r="X1251" t="str">
            <v>26/09/2014</v>
          </cell>
          <cell r="Y1251" t="str">
            <v>KEW</v>
          </cell>
          <cell r="Z1251" t="str">
            <v>12/11/2014</v>
          </cell>
          <cell r="AA1251" t="str">
            <v>11/11/2015</v>
          </cell>
          <cell r="AB1251" t="str">
            <v>No</v>
          </cell>
          <cell r="AC1251" t="str">
            <v>12/11/2014</v>
          </cell>
          <cell r="AD1251" t="str">
            <v>Good</v>
          </cell>
          <cell r="AE1251" t="str">
            <v>V3 - Added Installed Facilities (New)</v>
          </cell>
          <cell r="AF1251">
            <v>42801</v>
          </cell>
          <cell r="AG1251">
            <v>5.17</v>
          </cell>
          <cell r="AH1251" t="str">
            <v>PPM</v>
          </cell>
          <cell r="AI1251" t="str">
            <v>Strands</v>
          </cell>
          <cell r="AJ1251" t="str">
            <v>Strands PW</v>
          </cell>
          <cell r="AK1251" t="str">
            <v>SNF received. 1st batch of V3 asset (December 2020)</v>
          </cell>
        </row>
        <row r="1252">
          <cell r="A1252" t="str">
            <v>IKN400870</v>
          </cell>
          <cell r="B1252">
            <v>869</v>
          </cell>
          <cell r="C1252" t="str">
            <v>Institut Kanser Negara</v>
          </cell>
          <cell r="D1252" t="str">
            <v>KKM/IKN/H/14/87</v>
          </cell>
          <cell r="E1252" t="str">
            <v>17-950</v>
          </cell>
          <cell r="F1252" t="str">
            <v>Warming Units, Patient, Forced-Air</v>
          </cell>
          <cell r="G1252" t="str">
            <v>RT</v>
          </cell>
          <cell r="H1252" t="str">
            <v>RADIATION TREATMENT UNIT</v>
          </cell>
          <cell r="I1252" t="str">
            <v>01RT118</v>
          </cell>
          <cell r="J1252" t="str">
            <v>CT SIMULATOR 2</v>
          </cell>
          <cell r="K1252" t="str">
            <v>BMED</v>
          </cell>
          <cell r="L1252" t="str">
            <v>Normal</v>
          </cell>
          <cell r="M1252" t="str">
            <v>USA</v>
          </cell>
          <cell r="N1252" t="str">
            <v>Bair Hugger</v>
          </cell>
          <cell r="O1252" t="str">
            <v>Bair Hugger 775</v>
          </cell>
          <cell r="P1252" t="str">
            <v>46697</v>
          </cell>
          <cell r="Q1252" t="str">
            <v>Not Applicable</v>
          </cell>
          <cell r="R1252" t="str">
            <v>Arizant Healthcare Inc</v>
          </cell>
          <cell r="S1252" t="str">
            <v>Alam Medik Sdn. Bhd</v>
          </cell>
          <cell r="T1252" t="str">
            <v>Functioning</v>
          </cell>
          <cell r="U1252" t="str">
            <v>Asset</v>
          </cell>
          <cell r="V1252">
            <v>4950</v>
          </cell>
          <cell r="W1252" t="str">
            <v>KEW</v>
          </cell>
          <cell r="X1252" t="str">
            <v>26/09/2014</v>
          </cell>
          <cell r="Y1252" t="str">
            <v>KEW</v>
          </cell>
          <cell r="Z1252" t="str">
            <v>12/11/2014</v>
          </cell>
          <cell r="AA1252" t="str">
            <v>11/11/2015</v>
          </cell>
          <cell r="AB1252" t="str">
            <v>No</v>
          </cell>
          <cell r="AC1252" t="str">
            <v>12/11/2014</v>
          </cell>
          <cell r="AD1252" t="str">
            <v>Good</v>
          </cell>
          <cell r="AE1252" t="str">
            <v>V3 - Added Installed Facilities (New)</v>
          </cell>
          <cell r="AF1252">
            <v>42801</v>
          </cell>
          <cell r="AG1252">
            <v>5.17</v>
          </cell>
          <cell r="AH1252" t="str">
            <v>PPM</v>
          </cell>
          <cell r="AI1252" t="str">
            <v>Strands</v>
          </cell>
          <cell r="AJ1252" t="str">
            <v>Strands PW</v>
          </cell>
          <cell r="AK1252" t="str">
            <v>SNF received. 1st batch of V3 asset (December 2020)</v>
          </cell>
        </row>
        <row r="1253">
          <cell r="A1253" t="str">
            <v>IKN400871</v>
          </cell>
          <cell r="B1253">
            <v>870</v>
          </cell>
          <cell r="C1253" t="str">
            <v>Institut Kanser Negara</v>
          </cell>
          <cell r="D1253" t="str">
            <v>KKM/IKN/H/14/88</v>
          </cell>
          <cell r="E1253" t="str">
            <v>17-950</v>
          </cell>
          <cell r="F1253" t="str">
            <v>Warming Units, Patient, Forced-Air</v>
          </cell>
          <cell r="G1253" t="str">
            <v>RT</v>
          </cell>
          <cell r="H1253" t="str">
            <v>RADIATION TREATMENT UNIT</v>
          </cell>
          <cell r="I1253" t="str">
            <v>01RT159</v>
          </cell>
          <cell r="J1253" t="str">
            <v>LINAC ROOM 1 (TBI)</v>
          </cell>
          <cell r="K1253" t="str">
            <v>BMED</v>
          </cell>
          <cell r="L1253" t="str">
            <v>Normal</v>
          </cell>
          <cell r="M1253" t="str">
            <v>USA</v>
          </cell>
          <cell r="N1253" t="str">
            <v>Bair Hugger</v>
          </cell>
          <cell r="O1253" t="str">
            <v>Bair Hugger 775</v>
          </cell>
          <cell r="P1253" t="str">
            <v>57896</v>
          </cell>
          <cell r="Q1253" t="str">
            <v>Not Applicable</v>
          </cell>
          <cell r="R1253" t="str">
            <v>Arizant Healthcare Inc</v>
          </cell>
          <cell r="S1253" t="str">
            <v>Alam Medik Sdn. Bhd</v>
          </cell>
          <cell r="T1253" t="str">
            <v>Functioning</v>
          </cell>
          <cell r="U1253" t="str">
            <v>Asset</v>
          </cell>
          <cell r="V1253">
            <v>4950</v>
          </cell>
          <cell r="W1253" t="str">
            <v>KEW</v>
          </cell>
          <cell r="X1253" t="str">
            <v>26/09/2014</v>
          </cell>
          <cell r="Y1253" t="str">
            <v>KEW</v>
          </cell>
          <cell r="Z1253" t="str">
            <v>12/11/2014</v>
          </cell>
          <cell r="AA1253" t="str">
            <v>11/11/2015</v>
          </cell>
          <cell r="AB1253" t="str">
            <v>No</v>
          </cell>
          <cell r="AC1253" t="str">
            <v>12/11/2014</v>
          </cell>
          <cell r="AD1253" t="str">
            <v>Good</v>
          </cell>
          <cell r="AE1253" t="str">
            <v>V3 - Added Installed Facilities (New)</v>
          </cell>
          <cell r="AF1253">
            <v>42678</v>
          </cell>
          <cell r="AG1253">
            <v>5.17</v>
          </cell>
          <cell r="AH1253" t="str">
            <v>PPM</v>
          </cell>
          <cell r="AI1253" t="str">
            <v>Strands</v>
          </cell>
          <cell r="AJ1253" t="str">
            <v>Strands PW</v>
          </cell>
          <cell r="AK1253" t="str">
            <v>SNF received. 1st batch of V3 asset (December 2020)</v>
          </cell>
        </row>
        <row r="1254">
          <cell r="A1254" t="str">
            <v>IKN400872</v>
          </cell>
          <cell r="B1254">
            <v>871</v>
          </cell>
          <cell r="C1254" t="str">
            <v>Institut Kanser Negara</v>
          </cell>
          <cell r="D1254" t="str">
            <v>KKM/IKN/H/14/89</v>
          </cell>
          <cell r="E1254" t="str">
            <v>17-950</v>
          </cell>
          <cell r="F1254" t="str">
            <v>Warming Units, Patient, Forced-Air</v>
          </cell>
          <cell r="G1254" t="str">
            <v>RT</v>
          </cell>
          <cell r="H1254" t="str">
            <v>RADIATION TREATMENT UNIT</v>
          </cell>
          <cell r="I1254" t="str">
            <v>01RT165</v>
          </cell>
          <cell r="J1254" t="str">
            <v>LINAC ROOM 2 (TBI)</v>
          </cell>
          <cell r="K1254" t="str">
            <v>BMED</v>
          </cell>
          <cell r="L1254" t="str">
            <v>Normal</v>
          </cell>
          <cell r="M1254" t="str">
            <v>USA</v>
          </cell>
          <cell r="N1254" t="str">
            <v>Bair Hugger</v>
          </cell>
          <cell r="O1254" t="str">
            <v>Bair Hugger 775</v>
          </cell>
          <cell r="P1254" t="str">
            <v>57897</v>
          </cell>
          <cell r="Q1254" t="str">
            <v>Not Applicable</v>
          </cell>
          <cell r="R1254" t="str">
            <v>Arizant Healthcare Inc</v>
          </cell>
          <cell r="S1254" t="str">
            <v>Alam Medik Sdn. Bhd</v>
          </cell>
          <cell r="T1254" t="str">
            <v>Functioning</v>
          </cell>
          <cell r="U1254" t="str">
            <v>Asset</v>
          </cell>
          <cell r="V1254">
            <v>4950</v>
          </cell>
          <cell r="W1254" t="str">
            <v>KEW</v>
          </cell>
          <cell r="X1254" t="str">
            <v>26/09/2014</v>
          </cell>
          <cell r="Y1254" t="str">
            <v>KEW</v>
          </cell>
          <cell r="Z1254" t="str">
            <v>12/11/2014</v>
          </cell>
          <cell r="AA1254" t="str">
            <v>11/11/2015</v>
          </cell>
          <cell r="AB1254" t="str">
            <v>No</v>
          </cell>
          <cell r="AC1254" t="str">
            <v>12/11/2014</v>
          </cell>
          <cell r="AD1254" t="str">
            <v>Good</v>
          </cell>
          <cell r="AE1254" t="str">
            <v>V3 - Added Installed Facilities (New)</v>
          </cell>
          <cell r="AF1254">
            <v>42678</v>
          </cell>
          <cell r="AG1254">
            <v>5.17</v>
          </cell>
          <cell r="AH1254" t="str">
            <v>PPM</v>
          </cell>
          <cell r="AI1254" t="str">
            <v>Strands</v>
          </cell>
          <cell r="AJ1254" t="str">
            <v>Strands PW</v>
          </cell>
          <cell r="AK1254" t="str">
            <v>SNF received. 1st batch of V3 asset (December 2020)</v>
          </cell>
        </row>
        <row r="1255">
          <cell r="A1255" t="str">
            <v>IKN400873</v>
          </cell>
          <cell r="B1255">
            <v>872</v>
          </cell>
          <cell r="C1255" t="str">
            <v>Institut Kanser Negara</v>
          </cell>
          <cell r="D1255" t="str">
            <v>KKM/IKN/H/14/90</v>
          </cell>
          <cell r="E1255" t="str">
            <v>17-950</v>
          </cell>
          <cell r="F1255" t="str">
            <v>Warming Units, Patient, Forced-Air</v>
          </cell>
          <cell r="G1255" t="str">
            <v>RT</v>
          </cell>
          <cell r="H1255" t="str">
            <v>RADIATION TREATMENT UNIT</v>
          </cell>
          <cell r="I1255" t="str">
            <v>01RT172</v>
          </cell>
          <cell r="J1255" t="str">
            <v>LINAC ROOM 3</v>
          </cell>
          <cell r="K1255" t="str">
            <v>BMED</v>
          </cell>
          <cell r="L1255" t="str">
            <v>Normal</v>
          </cell>
          <cell r="M1255" t="str">
            <v>USA</v>
          </cell>
          <cell r="N1255" t="str">
            <v>Bair Hugger</v>
          </cell>
          <cell r="O1255" t="str">
            <v>Bair Hugger 775</v>
          </cell>
          <cell r="P1255" t="str">
            <v>57899</v>
          </cell>
          <cell r="Q1255" t="str">
            <v>Not Applicable</v>
          </cell>
          <cell r="R1255" t="str">
            <v>Arizant Healthcare Inc</v>
          </cell>
          <cell r="S1255" t="str">
            <v>Alam Medik Sdn. Bhd</v>
          </cell>
          <cell r="T1255" t="str">
            <v>Functioning</v>
          </cell>
          <cell r="U1255" t="str">
            <v>Asset</v>
          </cell>
          <cell r="V1255">
            <v>4950</v>
          </cell>
          <cell r="W1255" t="str">
            <v>KEW</v>
          </cell>
          <cell r="X1255" t="str">
            <v>26/09/2014</v>
          </cell>
          <cell r="Y1255" t="str">
            <v>KEW</v>
          </cell>
          <cell r="Z1255" t="str">
            <v>12/11/2014</v>
          </cell>
          <cell r="AA1255" t="str">
            <v>11/11/2015</v>
          </cell>
          <cell r="AB1255" t="str">
            <v>No</v>
          </cell>
          <cell r="AC1255" t="str">
            <v>12/11/2014</v>
          </cell>
          <cell r="AD1255" t="str">
            <v>Good</v>
          </cell>
          <cell r="AE1255" t="str">
            <v>V3 - Added Installed Facilities (New)</v>
          </cell>
          <cell r="AF1255">
            <v>42801</v>
          </cell>
          <cell r="AG1255">
            <v>5.17</v>
          </cell>
          <cell r="AH1255" t="str">
            <v>PPM</v>
          </cell>
          <cell r="AI1255" t="str">
            <v>Strands</v>
          </cell>
          <cell r="AJ1255" t="str">
            <v>Strands PW</v>
          </cell>
          <cell r="AK1255" t="str">
            <v>SNF received. 1st batch of V3 asset (December 2020)</v>
          </cell>
        </row>
        <row r="1256">
          <cell r="A1256" t="str">
            <v>IKN400874</v>
          </cell>
          <cell r="B1256">
            <v>873</v>
          </cell>
          <cell r="C1256" t="str">
            <v>Institut Kanser Negara</v>
          </cell>
          <cell r="D1256" t="str">
            <v>KKM/IKN/H/14/91</v>
          </cell>
          <cell r="E1256" t="str">
            <v>17-950</v>
          </cell>
          <cell r="F1256" t="str">
            <v>Warming Units, Patient, Forced-Air</v>
          </cell>
          <cell r="G1256" t="str">
            <v>RT</v>
          </cell>
          <cell r="H1256" t="str">
            <v>RADIATION TREATMENT UNIT</v>
          </cell>
          <cell r="I1256" t="str">
            <v>01RT177</v>
          </cell>
          <cell r="J1256" t="str">
            <v>LINAC ROOM 4 (TOMO)</v>
          </cell>
          <cell r="K1256" t="str">
            <v>BMED</v>
          </cell>
          <cell r="L1256" t="str">
            <v>Normal</v>
          </cell>
          <cell r="M1256" t="str">
            <v>USA</v>
          </cell>
          <cell r="N1256" t="str">
            <v>Bair Hugger</v>
          </cell>
          <cell r="O1256" t="str">
            <v>Bair Hugger 775</v>
          </cell>
          <cell r="P1256" t="str">
            <v>57900</v>
          </cell>
          <cell r="Q1256" t="str">
            <v>Not Applicable</v>
          </cell>
          <cell r="R1256" t="str">
            <v>Arizant Healthcare Inc</v>
          </cell>
          <cell r="S1256" t="str">
            <v>Alam Medik Sdn. Bhd</v>
          </cell>
          <cell r="T1256" t="str">
            <v>Functioning</v>
          </cell>
          <cell r="U1256" t="str">
            <v>Asset</v>
          </cell>
          <cell r="V1256">
            <v>4950</v>
          </cell>
          <cell r="W1256" t="str">
            <v>KEW</v>
          </cell>
          <cell r="X1256" t="str">
            <v>26/09/2014</v>
          </cell>
          <cell r="Y1256" t="str">
            <v>KEW</v>
          </cell>
          <cell r="Z1256" t="str">
            <v>12/11/2014</v>
          </cell>
          <cell r="AA1256" t="str">
            <v>11/11/2015</v>
          </cell>
          <cell r="AB1256" t="str">
            <v>No</v>
          </cell>
          <cell r="AC1256" t="str">
            <v>12/11/2014</v>
          </cell>
          <cell r="AD1256" t="str">
            <v>Good</v>
          </cell>
          <cell r="AE1256" t="str">
            <v>V3 - Added Installed Facilities (New)</v>
          </cell>
          <cell r="AF1256">
            <v>42801</v>
          </cell>
          <cell r="AG1256">
            <v>5.17</v>
          </cell>
          <cell r="AH1256" t="str">
            <v>PPM</v>
          </cell>
          <cell r="AI1256" t="str">
            <v>Strands</v>
          </cell>
          <cell r="AJ1256" t="str">
            <v>Strands PW</v>
          </cell>
          <cell r="AK1256" t="str">
            <v>SNF received. 1st batch of V3 asset (December 2020)</v>
          </cell>
        </row>
        <row r="1257">
          <cell r="A1257" t="str">
            <v>IKN400875</v>
          </cell>
          <cell r="B1257">
            <v>874</v>
          </cell>
          <cell r="C1257" t="str">
            <v>Institut Kanser Negara</v>
          </cell>
          <cell r="D1257" t="str">
            <v>KKM/IKN/H/13/341</v>
          </cell>
          <cell r="E1257" t="str">
            <v>12-873</v>
          </cell>
          <cell r="F1257" t="str">
            <v>Concentrators, Oxygen</v>
          </cell>
          <cell r="G1257" t="str">
            <v>PC</v>
          </cell>
          <cell r="H1257" t="str">
            <v>PALLIATIVE CARE UNIT</v>
          </cell>
          <cell r="I1257" t="str">
            <v>04PC109</v>
          </cell>
          <cell r="J1257" t="str">
            <v>GEN. STORE</v>
          </cell>
          <cell r="K1257" t="str">
            <v>BMED</v>
          </cell>
          <cell r="L1257" t="str">
            <v>Critical</v>
          </cell>
          <cell r="M1257" t="str">
            <v>USA</v>
          </cell>
          <cell r="N1257" t="str">
            <v>EverFlo</v>
          </cell>
          <cell r="O1257" t="str">
            <v>EverFlo</v>
          </cell>
          <cell r="P1257" t="str">
            <v>0015557</v>
          </cell>
          <cell r="Q1257" t="str">
            <v>Not Applicable</v>
          </cell>
          <cell r="R1257" t="str">
            <v>Respironics</v>
          </cell>
          <cell r="S1257" t="str">
            <v>TDC Ent</v>
          </cell>
          <cell r="T1257" t="str">
            <v>Functioning</v>
          </cell>
          <cell r="U1257" t="str">
            <v>Asset</v>
          </cell>
          <cell r="V1257">
            <v>5000</v>
          </cell>
          <cell r="W1257" t="str">
            <v>KEW</v>
          </cell>
          <cell r="X1257" t="str">
            <v>11/12/2013</v>
          </cell>
          <cell r="Y1257" t="str">
            <v>KEW</v>
          </cell>
          <cell r="Z1257" t="str">
            <v>19/12/2013</v>
          </cell>
          <cell r="AA1257" t="str">
            <v>18/12/2015</v>
          </cell>
          <cell r="AB1257" t="str">
            <v>No</v>
          </cell>
          <cell r="AC1257" t="str">
            <v>19/12/2013</v>
          </cell>
          <cell r="AD1257" t="str">
            <v>Good</v>
          </cell>
          <cell r="AE1257" t="str">
            <v>V3 - Added Installed Facilities (New)</v>
          </cell>
          <cell r="AF1257">
            <v>42797</v>
          </cell>
          <cell r="AG1257">
            <v>5.92</v>
          </cell>
          <cell r="AH1257" t="str">
            <v>PPM</v>
          </cell>
          <cell r="AI1257" t="str">
            <v>Strands</v>
          </cell>
          <cell r="AJ1257" t="str">
            <v>Strands PW</v>
          </cell>
        </row>
        <row r="1258">
          <cell r="A1258" t="str">
            <v>IKN400876</v>
          </cell>
          <cell r="B1258">
            <v>875</v>
          </cell>
          <cell r="C1258" t="str">
            <v>Institut Kanser Negara</v>
          </cell>
          <cell r="D1258" t="str">
            <v>KKM/IKN/H/13/339</v>
          </cell>
          <cell r="E1258" t="str">
            <v>12-873</v>
          </cell>
          <cell r="F1258" t="str">
            <v>Concentrators, Oxygen</v>
          </cell>
          <cell r="G1258" t="str">
            <v>PC</v>
          </cell>
          <cell r="H1258" t="str">
            <v>PALLIATIVE CARE UNIT</v>
          </cell>
          <cell r="I1258" t="str">
            <v>04PC109</v>
          </cell>
          <cell r="J1258" t="str">
            <v>GEN. STORE</v>
          </cell>
          <cell r="K1258" t="str">
            <v>BMED</v>
          </cell>
          <cell r="L1258" t="str">
            <v>Critical</v>
          </cell>
          <cell r="M1258" t="str">
            <v>USA</v>
          </cell>
          <cell r="N1258" t="str">
            <v>EverFlo</v>
          </cell>
          <cell r="O1258" t="str">
            <v>EverFlo</v>
          </cell>
          <cell r="P1258" t="str">
            <v>0015517</v>
          </cell>
          <cell r="Q1258" t="str">
            <v>Not Applicable</v>
          </cell>
          <cell r="R1258" t="str">
            <v>Respironics</v>
          </cell>
          <cell r="S1258" t="str">
            <v>TDC Ent</v>
          </cell>
          <cell r="T1258" t="str">
            <v>Functioning</v>
          </cell>
          <cell r="U1258" t="str">
            <v>Asset</v>
          </cell>
          <cell r="V1258">
            <v>5000</v>
          </cell>
          <cell r="W1258" t="str">
            <v>KEW</v>
          </cell>
          <cell r="X1258" t="str">
            <v>11/12/2013</v>
          </cell>
          <cell r="Y1258" t="str">
            <v>KEW</v>
          </cell>
          <cell r="Z1258" t="str">
            <v>19/12/2013</v>
          </cell>
          <cell r="AA1258" t="str">
            <v>18/12/2015</v>
          </cell>
          <cell r="AB1258" t="str">
            <v>No</v>
          </cell>
          <cell r="AC1258" t="str">
            <v>19/12/2013</v>
          </cell>
          <cell r="AD1258" t="str">
            <v>Good</v>
          </cell>
          <cell r="AE1258" t="str">
            <v>V3 - Added Installed Facilities (New)</v>
          </cell>
          <cell r="AF1258">
            <v>42797</v>
          </cell>
          <cell r="AG1258">
            <v>5.92</v>
          </cell>
          <cell r="AH1258" t="str">
            <v>PPM</v>
          </cell>
          <cell r="AI1258" t="str">
            <v>Strands</v>
          </cell>
          <cell r="AJ1258" t="str">
            <v>Strands PW</v>
          </cell>
        </row>
        <row r="1259">
          <cell r="A1259" t="str">
            <v>IKN400877</v>
          </cell>
          <cell r="B1259">
            <v>876</v>
          </cell>
          <cell r="C1259" t="str">
            <v>Institut Kanser Negara</v>
          </cell>
          <cell r="D1259" t="str">
            <v>KKM/IKN/H/13/338</v>
          </cell>
          <cell r="E1259" t="str">
            <v>12-873</v>
          </cell>
          <cell r="F1259" t="str">
            <v>Concentrators, Oxygen</v>
          </cell>
          <cell r="G1259" t="str">
            <v>PC</v>
          </cell>
          <cell r="H1259" t="str">
            <v>PALLIATIVE CARE UNIT</v>
          </cell>
          <cell r="I1259" t="str">
            <v>04PC109</v>
          </cell>
          <cell r="J1259" t="str">
            <v>GEN. STORE</v>
          </cell>
          <cell r="K1259" t="str">
            <v>BMED</v>
          </cell>
          <cell r="L1259" t="str">
            <v>Critical</v>
          </cell>
          <cell r="M1259" t="str">
            <v>USA</v>
          </cell>
          <cell r="N1259" t="str">
            <v>EverFlo</v>
          </cell>
          <cell r="O1259" t="str">
            <v>EverFlo</v>
          </cell>
          <cell r="P1259" t="str">
            <v>0015511</v>
          </cell>
          <cell r="Q1259" t="str">
            <v>Not Applicable</v>
          </cell>
          <cell r="R1259" t="str">
            <v>Respironics</v>
          </cell>
          <cell r="S1259" t="str">
            <v>TDC Ent</v>
          </cell>
          <cell r="T1259" t="str">
            <v>Functioning</v>
          </cell>
          <cell r="U1259" t="str">
            <v>Asset</v>
          </cell>
          <cell r="V1259">
            <v>5000</v>
          </cell>
          <cell r="W1259" t="str">
            <v>KEW</v>
          </cell>
          <cell r="X1259" t="str">
            <v>11/12/2013</v>
          </cell>
          <cell r="Y1259" t="str">
            <v>KEW</v>
          </cell>
          <cell r="Z1259" t="str">
            <v>19/12/2013</v>
          </cell>
          <cell r="AA1259" t="str">
            <v>18/12/2015</v>
          </cell>
          <cell r="AB1259" t="str">
            <v>No</v>
          </cell>
          <cell r="AC1259" t="str">
            <v>19/12/2013</v>
          </cell>
          <cell r="AD1259" t="str">
            <v>Good</v>
          </cell>
          <cell r="AE1259" t="str">
            <v>V3 - Added Installed Facilities (New)</v>
          </cell>
          <cell r="AF1259">
            <v>42797</v>
          </cell>
          <cell r="AG1259">
            <v>5.92</v>
          </cell>
          <cell r="AH1259" t="str">
            <v>PPM</v>
          </cell>
          <cell r="AI1259" t="str">
            <v>Strands</v>
          </cell>
          <cell r="AJ1259" t="str">
            <v>Strands PW</v>
          </cell>
        </row>
        <row r="1260">
          <cell r="A1260" t="str">
            <v>IKN400878</v>
          </cell>
          <cell r="B1260">
            <v>877</v>
          </cell>
          <cell r="C1260" t="str">
            <v>Institut Kanser Negara</v>
          </cell>
          <cell r="D1260" t="str">
            <v>KKM/IKN/H/13/340</v>
          </cell>
          <cell r="E1260" t="str">
            <v>12-873</v>
          </cell>
          <cell r="F1260" t="str">
            <v>Concentrators, Oxygen</v>
          </cell>
          <cell r="G1260" t="str">
            <v>PC</v>
          </cell>
          <cell r="H1260" t="str">
            <v>PALLIATIVE CARE UNIT</v>
          </cell>
          <cell r="I1260" t="str">
            <v>04PC109</v>
          </cell>
          <cell r="J1260" t="str">
            <v>GEN. STORE</v>
          </cell>
          <cell r="K1260" t="str">
            <v>BMED</v>
          </cell>
          <cell r="L1260" t="str">
            <v>Critical</v>
          </cell>
          <cell r="M1260" t="str">
            <v>USA</v>
          </cell>
          <cell r="N1260" t="str">
            <v>EverFlo</v>
          </cell>
          <cell r="O1260" t="str">
            <v>EverFlo</v>
          </cell>
          <cell r="P1260" t="str">
            <v>0015553</v>
          </cell>
          <cell r="Q1260" t="str">
            <v>Not Applicable</v>
          </cell>
          <cell r="R1260" t="str">
            <v>Respironics</v>
          </cell>
          <cell r="S1260" t="str">
            <v>TDC Ent</v>
          </cell>
          <cell r="T1260" t="str">
            <v>Functioning</v>
          </cell>
          <cell r="U1260" t="str">
            <v>Asset</v>
          </cell>
          <cell r="V1260">
            <v>5000</v>
          </cell>
          <cell r="W1260" t="str">
            <v>KEW</v>
          </cell>
          <cell r="X1260" t="str">
            <v>11/12/2013</v>
          </cell>
          <cell r="Y1260" t="str">
            <v>KEW</v>
          </cell>
          <cell r="Z1260" t="str">
            <v>19/12/2013</v>
          </cell>
          <cell r="AA1260" t="str">
            <v>18/12/2015</v>
          </cell>
          <cell r="AB1260" t="str">
            <v>No</v>
          </cell>
          <cell r="AC1260" t="str">
            <v>19/12/2014</v>
          </cell>
          <cell r="AD1260" t="str">
            <v>Good</v>
          </cell>
          <cell r="AE1260" t="str">
            <v>V3 - Added Installed Facilities (New)</v>
          </cell>
          <cell r="AF1260">
            <v>42797</v>
          </cell>
          <cell r="AG1260">
            <v>5.92</v>
          </cell>
          <cell r="AH1260" t="str">
            <v>PPM</v>
          </cell>
          <cell r="AI1260" t="str">
            <v>Strands</v>
          </cell>
          <cell r="AJ1260" t="str">
            <v>Strands PW</v>
          </cell>
        </row>
        <row r="1261">
          <cell r="A1261" t="str">
            <v>IKN400879</v>
          </cell>
          <cell r="B1261">
            <v>878</v>
          </cell>
          <cell r="C1261" t="str">
            <v>Institut Kanser Negara</v>
          </cell>
          <cell r="D1261" t="str">
            <v>KKM/IKN/H/13/342</v>
          </cell>
          <cell r="E1261" t="str">
            <v>12-873</v>
          </cell>
          <cell r="F1261" t="str">
            <v>Concentrators, Oxygen</v>
          </cell>
          <cell r="G1261" t="str">
            <v>PC</v>
          </cell>
          <cell r="H1261" t="str">
            <v>PALLIATIVE CARE UNIT</v>
          </cell>
          <cell r="I1261" t="str">
            <v>04PC109</v>
          </cell>
          <cell r="J1261" t="str">
            <v>GEN. STORE</v>
          </cell>
          <cell r="K1261" t="str">
            <v>BMED</v>
          </cell>
          <cell r="L1261" t="str">
            <v>Critical</v>
          </cell>
          <cell r="M1261" t="str">
            <v>USA</v>
          </cell>
          <cell r="N1261" t="str">
            <v>EverFlo</v>
          </cell>
          <cell r="O1261" t="str">
            <v>EverFlo</v>
          </cell>
          <cell r="P1261" t="str">
            <v>0018690</v>
          </cell>
          <cell r="Q1261" t="str">
            <v>Not Applicable</v>
          </cell>
          <cell r="R1261" t="str">
            <v>Respironics</v>
          </cell>
          <cell r="S1261" t="str">
            <v>TDC Ent</v>
          </cell>
          <cell r="T1261" t="str">
            <v>Functioning</v>
          </cell>
          <cell r="U1261" t="str">
            <v>Asset</v>
          </cell>
          <cell r="V1261">
            <v>5000</v>
          </cell>
          <cell r="W1261" t="str">
            <v>KEW</v>
          </cell>
          <cell r="X1261" t="str">
            <v>11/12/2013</v>
          </cell>
          <cell r="Y1261" t="str">
            <v>KEW</v>
          </cell>
          <cell r="Z1261" t="str">
            <v>19/12/2013</v>
          </cell>
          <cell r="AA1261" t="str">
            <v>18/12/2015</v>
          </cell>
          <cell r="AB1261" t="str">
            <v>No</v>
          </cell>
          <cell r="AC1261" t="str">
            <v>19/12/2013</v>
          </cell>
          <cell r="AD1261" t="str">
            <v>Good</v>
          </cell>
          <cell r="AE1261" t="str">
            <v>V3 - Added Installed Facilities (New)</v>
          </cell>
          <cell r="AF1261">
            <v>42678</v>
          </cell>
          <cell r="AG1261">
            <v>5.92</v>
          </cell>
          <cell r="AH1261" t="str">
            <v>PPM</v>
          </cell>
          <cell r="AI1261" t="str">
            <v>Strands</v>
          </cell>
          <cell r="AJ1261" t="str">
            <v>Strands PW</v>
          </cell>
        </row>
        <row r="1262">
          <cell r="A1262" t="str">
            <v>IKN400880</v>
          </cell>
          <cell r="B1262">
            <v>879</v>
          </cell>
          <cell r="C1262" t="str">
            <v>Institut Kanser Negara</v>
          </cell>
          <cell r="D1262" t="str">
            <v>KKM/IKN/H/14/98</v>
          </cell>
          <cell r="E1262" t="str">
            <v>18-265</v>
          </cell>
          <cell r="F1262" t="str">
            <v>Centrifuges, Tabletop, Low-Speed, Refrigerated</v>
          </cell>
          <cell r="G1262" t="str">
            <v>DO</v>
          </cell>
          <cell r="H1262" t="str">
            <v>DAY ONCOLOGY UNIT</v>
          </cell>
          <cell r="I1262" t="str">
            <v>04DO114</v>
          </cell>
          <cell r="J1262" t="str">
            <v>RESEARCH</v>
          </cell>
          <cell r="K1262" t="str">
            <v>BMED</v>
          </cell>
          <cell r="L1262" t="str">
            <v>Critical</v>
          </cell>
          <cell r="M1262" t="str">
            <v>Japan</v>
          </cell>
          <cell r="N1262" t="str">
            <v>Kubota</v>
          </cell>
          <cell r="O1262" t="str">
            <v>Kubota 5500</v>
          </cell>
          <cell r="P1262" t="str">
            <v>Q60325</v>
          </cell>
          <cell r="Q1262" t="str">
            <v>Not Applicable</v>
          </cell>
          <cell r="R1262" t="str">
            <v>Kubota Corp</v>
          </cell>
          <cell r="S1262" t="str">
            <v>Bumi Jiwa Sdn. Bhd.</v>
          </cell>
          <cell r="T1262" t="str">
            <v>Functioning</v>
          </cell>
          <cell r="U1262" t="str">
            <v>Asset</v>
          </cell>
          <cell r="V1262">
            <v>35000</v>
          </cell>
          <cell r="W1262" t="str">
            <v>KEW</v>
          </cell>
          <cell r="X1262" t="str">
            <v>03/10/2014</v>
          </cell>
          <cell r="Y1262" t="str">
            <v>KEW</v>
          </cell>
          <cell r="Z1262" t="str">
            <v>27/11/2014</v>
          </cell>
          <cell r="AA1262" t="str">
            <v>26/11/2015</v>
          </cell>
          <cell r="AB1262" t="str">
            <v>No</v>
          </cell>
          <cell r="AC1262" t="str">
            <v>27/11/2014</v>
          </cell>
          <cell r="AD1262" t="str">
            <v>Good</v>
          </cell>
          <cell r="AE1262" t="str">
            <v>V3 - Added Installed Facilities (New)</v>
          </cell>
          <cell r="AF1262">
            <v>43060</v>
          </cell>
          <cell r="AG1262">
            <v>5.08</v>
          </cell>
          <cell r="AH1262" t="str">
            <v>PPM</v>
          </cell>
          <cell r="AI1262" t="str">
            <v>Strands</v>
          </cell>
          <cell r="AJ1262" t="str">
            <v>Strands PW</v>
          </cell>
          <cell r="AK1262" t="str">
            <v>SNF received. 1st batch of V3 asset (December 2020)</v>
          </cell>
        </row>
        <row r="1263">
          <cell r="A1263" t="str">
            <v>IKN400881</v>
          </cell>
          <cell r="B1263">
            <v>880</v>
          </cell>
          <cell r="C1263" t="str">
            <v>Institut Kanser Negara</v>
          </cell>
          <cell r="D1263" t="str">
            <v>KKM/IKN/H/13/1611</v>
          </cell>
          <cell r="E1263" t="str">
            <v>16-173</v>
          </cell>
          <cell r="F1263" t="str">
            <v>Sphygmomanometers, Electronic, Automatic</v>
          </cell>
          <cell r="G1263" t="str">
            <v>OC</v>
          </cell>
          <cell r="H1263" t="str">
            <v>ONCOLOGY CLINIC</v>
          </cell>
          <cell r="I1263" t="str">
            <v>03OC133</v>
          </cell>
          <cell r="J1263" t="str">
            <v>ASSESSMENT</v>
          </cell>
          <cell r="K1263" t="str">
            <v>BMED</v>
          </cell>
          <cell r="L1263" t="str">
            <v>Normal</v>
          </cell>
          <cell r="M1263" t="str">
            <v>USA</v>
          </cell>
          <cell r="N1263" t="str">
            <v>Connex</v>
          </cell>
          <cell r="O1263" t="str">
            <v>Connex ProBP 3400</v>
          </cell>
          <cell r="P1263" t="str">
            <v>100001700613</v>
          </cell>
          <cell r="Q1263" t="str">
            <v>Not Applicable</v>
          </cell>
          <cell r="R1263" t="str">
            <v>Welch Allyn Inc</v>
          </cell>
          <cell r="S1263" t="str">
            <v>Welch Allyn Malaysia Sdn Bhd</v>
          </cell>
          <cell r="T1263" t="str">
            <v>Functioning</v>
          </cell>
          <cell r="U1263" t="str">
            <v>Asset</v>
          </cell>
          <cell r="V1263">
            <v>4510</v>
          </cell>
          <cell r="W1263" t="str">
            <v>KEW</v>
          </cell>
          <cell r="X1263" t="str">
            <v>01/09/2010</v>
          </cell>
          <cell r="Y1263" t="str">
            <v>KEW</v>
          </cell>
          <cell r="Z1263" t="str">
            <v>16/08/2013</v>
          </cell>
          <cell r="AA1263" t="str">
            <v>15/08/2015</v>
          </cell>
          <cell r="AB1263" t="str">
            <v>No</v>
          </cell>
          <cell r="AC1263" t="str">
            <v>31/08/2013</v>
          </cell>
          <cell r="AD1263" t="str">
            <v>Good</v>
          </cell>
          <cell r="AE1263" t="str">
            <v>V1 - Existing / No Claim</v>
          </cell>
          <cell r="AF1263">
            <v>42235</v>
          </cell>
          <cell r="AG1263">
            <v>9.17</v>
          </cell>
          <cell r="AH1263" t="str">
            <v>PPM</v>
          </cell>
          <cell r="AI1263" t="str">
            <v>Strands</v>
          </cell>
          <cell r="AJ1263" t="str">
            <v>Strands PW</v>
          </cell>
        </row>
        <row r="1264">
          <cell r="A1264" t="str">
            <v>IKN400882</v>
          </cell>
          <cell r="B1264">
            <v>881</v>
          </cell>
          <cell r="C1264" t="str">
            <v>Institut Kanser Negara</v>
          </cell>
          <cell r="D1264" t="str">
            <v>KKM/IKN/H/13/558</v>
          </cell>
          <cell r="E1264" t="str">
            <v>16-173</v>
          </cell>
          <cell r="F1264" t="str">
            <v>Sphygmomanometers, Electronic, Automatic</v>
          </cell>
          <cell r="G1264" t="str">
            <v>OC</v>
          </cell>
          <cell r="H1264" t="str">
            <v>ONCOLOGY CLINIC</v>
          </cell>
          <cell r="I1264" t="str">
            <v>03OC133</v>
          </cell>
          <cell r="J1264" t="str">
            <v>ASSESSMENT</v>
          </cell>
          <cell r="K1264" t="str">
            <v>BMED</v>
          </cell>
          <cell r="L1264" t="str">
            <v>Critical</v>
          </cell>
          <cell r="M1264" t="str">
            <v>Mexico</v>
          </cell>
          <cell r="N1264" t="str">
            <v>Carespace</v>
          </cell>
          <cell r="O1264" t="str">
            <v>Carescape V100</v>
          </cell>
          <cell r="P1264" t="str">
            <v>SH612390055SA</v>
          </cell>
          <cell r="Q1264" t="str">
            <v>Not Applicable</v>
          </cell>
          <cell r="R1264" t="str">
            <v>GE Healthcare Systems</v>
          </cell>
          <cell r="S1264" t="str">
            <v>GE Healthcare Technologies</v>
          </cell>
          <cell r="T1264" t="str">
            <v>Functioning</v>
          </cell>
          <cell r="U1264" t="str">
            <v>Asset</v>
          </cell>
          <cell r="V1264">
            <v>7770</v>
          </cell>
          <cell r="W1264" t="str">
            <v>KEW</v>
          </cell>
          <cell r="X1264" t="str">
            <v>01/09/2010</v>
          </cell>
          <cell r="Y1264" t="str">
            <v>KEW</v>
          </cell>
          <cell r="Z1264" t="str">
            <v>16/08/2013</v>
          </cell>
          <cell r="AA1264" t="str">
            <v>15/08/2015</v>
          </cell>
          <cell r="AB1264" t="str">
            <v>No</v>
          </cell>
          <cell r="AC1264" t="str">
            <v>31/08/2013</v>
          </cell>
          <cell r="AD1264" t="str">
            <v>Good</v>
          </cell>
          <cell r="AE1264" t="str">
            <v>V1 - Existing / No Claim</v>
          </cell>
          <cell r="AF1264">
            <v>42802</v>
          </cell>
          <cell r="AG1264">
            <v>9.17</v>
          </cell>
          <cell r="AH1264" t="str">
            <v>PPM</v>
          </cell>
          <cell r="AI1264" t="str">
            <v>Strands</v>
          </cell>
          <cell r="AJ1264" t="str">
            <v>Strands PW</v>
          </cell>
        </row>
        <row r="1265">
          <cell r="A1265" t="str">
            <v>IKN400883</v>
          </cell>
          <cell r="B1265">
            <v>882</v>
          </cell>
          <cell r="C1265" t="str">
            <v>Institut Kanser Negara</v>
          </cell>
          <cell r="D1265" t="e">
            <v>#N/A</v>
          </cell>
          <cell r="E1265" t="str">
            <v>11-134</v>
          </cell>
          <cell r="F1265" t="str">
            <v>Defibrillators, External, Manual</v>
          </cell>
          <cell r="G1265" t="str">
            <v>OC</v>
          </cell>
          <cell r="H1265" t="str">
            <v>ONCOLOGY CLINIC</v>
          </cell>
          <cell r="I1265" t="str">
            <v>03OC133</v>
          </cell>
          <cell r="J1265" t="str">
            <v>ASSESSMENT</v>
          </cell>
          <cell r="K1265" t="str">
            <v>BMED</v>
          </cell>
          <cell r="L1265" t="str">
            <v>Critical</v>
          </cell>
          <cell r="M1265" t="str">
            <v>USA</v>
          </cell>
          <cell r="N1265" t="str">
            <v>Responder</v>
          </cell>
          <cell r="O1265" t="str">
            <v>Responder 2000</v>
          </cell>
          <cell r="P1265" t="str">
            <v>3206727</v>
          </cell>
          <cell r="Q1265" t="str">
            <v>Not Applicable</v>
          </cell>
          <cell r="R1265" t="str">
            <v>GE Medical Systems</v>
          </cell>
          <cell r="S1265" t="str">
            <v>Antah Sir Radin Sdn. Bhd.</v>
          </cell>
          <cell r="T1265" t="str">
            <v>Functioning</v>
          </cell>
          <cell r="U1265" t="str">
            <v>Asset</v>
          </cell>
          <cell r="V1265">
            <v>45000</v>
          </cell>
          <cell r="W1265" t="str">
            <v>Estimate</v>
          </cell>
          <cell r="X1265" t="str">
            <v>01/09/2010</v>
          </cell>
          <cell r="Y1265" t="str">
            <v>KEW</v>
          </cell>
          <cell r="Z1265" t="str">
            <v>16/08/2013</v>
          </cell>
          <cell r="AA1265" t="str">
            <v>15/08/2015</v>
          </cell>
          <cell r="AB1265" t="str">
            <v>No</v>
          </cell>
          <cell r="AC1265" t="str">
            <v>31/08/2013</v>
          </cell>
          <cell r="AD1265" t="str">
            <v>Good</v>
          </cell>
          <cell r="AE1265" t="str">
            <v>V1 - Existing / No Claim</v>
          </cell>
          <cell r="AF1265">
            <v>42605</v>
          </cell>
          <cell r="AG1265">
            <v>9.17</v>
          </cell>
          <cell r="AH1265" t="str">
            <v>PPM</v>
          </cell>
          <cell r="AI1265" t="str">
            <v>Strands</v>
          </cell>
          <cell r="AJ1265" t="str">
            <v>Strands PW</v>
          </cell>
          <cell r="AK1265" t="str">
            <v>Crash Trolley (FEMS)</v>
          </cell>
        </row>
        <row r="1266">
          <cell r="A1266" t="str">
            <v>IKN400890</v>
          </cell>
          <cell r="B1266">
            <v>889</v>
          </cell>
          <cell r="C1266" t="str">
            <v>Institut Kanser Negara</v>
          </cell>
          <cell r="D1266" t="str">
            <v>KKM/IKN/H/13/1576</v>
          </cell>
          <cell r="E1266" t="str">
            <v>12-282</v>
          </cell>
          <cell r="F1266" t="str">
            <v>Lights, Surgical</v>
          </cell>
          <cell r="G1266" t="str">
            <v>OC</v>
          </cell>
          <cell r="H1266" t="str">
            <v>ONCOLOGY CLINIC</v>
          </cell>
          <cell r="I1266" t="str">
            <v>03OC104</v>
          </cell>
          <cell r="J1266" t="str">
            <v>C/E 7</v>
          </cell>
          <cell r="K1266" t="str">
            <v>BMED</v>
          </cell>
          <cell r="L1266" t="str">
            <v>Critical</v>
          </cell>
          <cell r="M1266" t="str">
            <v>USA</v>
          </cell>
          <cell r="N1266" t="str">
            <v>Welch Allyn</v>
          </cell>
          <cell r="O1266" t="str">
            <v>Welch Allyn GS600</v>
          </cell>
          <cell r="P1266" t="str">
            <v>GS-600-19</v>
          </cell>
          <cell r="Q1266" t="str">
            <v>Not Applicable</v>
          </cell>
          <cell r="R1266" t="str">
            <v>Welch Allyn Inc</v>
          </cell>
          <cell r="S1266" t="str">
            <v>Welch Allyn Malaysia Sdn Bhd</v>
          </cell>
          <cell r="T1266" t="str">
            <v>Functioning</v>
          </cell>
          <cell r="U1266" t="str">
            <v>Asset</v>
          </cell>
          <cell r="V1266">
            <v>5050</v>
          </cell>
          <cell r="W1266" t="str">
            <v>KEW</v>
          </cell>
          <cell r="X1266" t="str">
            <v>01/09/2010</v>
          </cell>
          <cell r="Y1266" t="str">
            <v>KEW</v>
          </cell>
          <cell r="Z1266" t="str">
            <v>16/08/2013</v>
          </cell>
          <cell r="AA1266" t="str">
            <v>15/08/2015</v>
          </cell>
          <cell r="AB1266" t="str">
            <v>No</v>
          </cell>
          <cell r="AC1266" t="str">
            <v>31/08/2013</v>
          </cell>
          <cell r="AD1266" t="str">
            <v>Good</v>
          </cell>
          <cell r="AE1266" t="str">
            <v>V1 - Existing / No Claim</v>
          </cell>
          <cell r="AF1266">
            <v>42797</v>
          </cell>
          <cell r="AG1266">
            <v>9.17</v>
          </cell>
          <cell r="AH1266" t="str">
            <v>PPM</v>
          </cell>
          <cell r="AI1266" t="str">
            <v>Strands</v>
          </cell>
          <cell r="AJ1266" t="str">
            <v>Strands PW</v>
          </cell>
        </row>
        <row r="1267">
          <cell r="A1267" t="str">
            <v>IKN400891</v>
          </cell>
          <cell r="B1267">
            <v>890</v>
          </cell>
          <cell r="C1267" t="str">
            <v>Institut Kanser Negara</v>
          </cell>
          <cell r="D1267" t="str">
            <v>KKM/IKN/H/13/1359</v>
          </cell>
          <cell r="E1267" t="str">
            <v>12-282</v>
          </cell>
          <cell r="F1267" t="str">
            <v>Lights, Surgical</v>
          </cell>
          <cell r="G1267" t="str">
            <v>OC</v>
          </cell>
          <cell r="H1267" t="str">
            <v>ONCOLOGY CLINIC</v>
          </cell>
          <cell r="I1267" t="str">
            <v>03OC105</v>
          </cell>
          <cell r="J1267" t="str">
            <v>C/E 8</v>
          </cell>
          <cell r="K1267" t="str">
            <v>BMED</v>
          </cell>
          <cell r="L1267" t="str">
            <v>Critical</v>
          </cell>
          <cell r="M1267" t="str">
            <v>USA</v>
          </cell>
          <cell r="N1267" t="str">
            <v>Welch Allyn</v>
          </cell>
          <cell r="O1267" t="str">
            <v>Welch Allyn GS600</v>
          </cell>
          <cell r="P1267" t="str">
            <v>GS-600-20</v>
          </cell>
          <cell r="Q1267" t="str">
            <v>Not Applicable</v>
          </cell>
          <cell r="R1267" t="str">
            <v>Welch Allyn Inc</v>
          </cell>
          <cell r="S1267" t="str">
            <v>Welch Allyn Malaysia Sdn Bhd</v>
          </cell>
          <cell r="T1267" t="str">
            <v>Functioning</v>
          </cell>
          <cell r="U1267" t="str">
            <v>Asset</v>
          </cell>
          <cell r="V1267">
            <v>5050</v>
          </cell>
          <cell r="W1267" t="str">
            <v>KEW</v>
          </cell>
          <cell r="X1267" t="str">
            <v>01/09/2010</v>
          </cell>
          <cell r="Y1267" t="str">
            <v>KEW</v>
          </cell>
          <cell r="Z1267" t="str">
            <v>16/08/2013</v>
          </cell>
          <cell r="AA1267" t="str">
            <v>15/08/2015</v>
          </cell>
          <cell r="AB1267" t="str">
            <v>No</v>
          </cell>
          <cell r="AC1267" t="str">
            <v>31/08/2013</v>
          </cell>
          <cell r="AD1267" t="str">
            <v>Good</v>
          </cell>
          <cell r="AE1267" t="str">
            <v>V1 - Existing / No Claim</v>
          </cell>
          <cell r="AF1267">
            <v>42802</v>
          </cell>
          <cell r="AG1267">
            <v>9.17</v>
          </cell>
          <cell r="AH1267" t="str">
            <v>PPM</v>
          </cell>
          <cell r="AI1267" t="str">
            <v>Strands</v>
          </cell>
          <cell r="AJ1267" t="str">
            <v>Strands PW</v>
          </cell>
        </row>
        <row r="1268">
          <cell r="A1268" t="str">
            <v>IKN400892</v>
          </cell>
          <cell r="B1268">
            <v>891</v>
          </cell>
          <cell r="C1268" t="str">
            <v>Institut Kanser Negara</v>
          </cell>
          <cell r="D1268" t="str">
            <v>KKM/IKN/H/13/754</v>
          </cell>
          <cell r="E1268" t="str">
            <v>12-282</v>
          </cell>
          <cell r="F1268" t="str">
            <v>Lights, Surgical</v>
          </cell>
          <cell r="G1268" t="str">
            <v>OC</v>
          </cell>
          <cell r="H1268" t="str">
            <v>ONCOLOGY CLINIC</v>
          </cell>
          <cell r="I1268" t="str">
            <v>03OC106</v>
          </cell>
          <cell r="J1268" t="str">
            <v>C/E 9</v>
          </cell>
          <cell r="K1268" t="str">
            <v>BMED</v>
          </cell>
          <cell r="L1268" t="str">
            <v>Critical</v>
          </cell>
          <cell r="M1268" t="str">
            <v>USA</v>
          </cell>
          <cell r="N1268" t="str">
            <v>Welch Allyn</v>
          </cell>
          <cell r="O1268" t="str">
            <v>Welch Allyn GS600</v>
          </cell>
          <cell r="P1268" t="str">
            <v>GS-600-21</v>
          </cell>
          <cell r="Q1268" t="str">
            <v>Not Applicable</v>
          </cell>
          <cell r="R1268" t="str">
            <v>Welch Allyn Inc</v>
          </cell>
          <cell r="S1268" t="str">
            <v>Welch Allyn Malaysia Sdn Bhd</v>
          </cell>
          <cell r="T1268" t="str">
            <v>Functioning</v>
          </cell>
          <cell r="U1268" t="str">
            <v>Asset</v>
          </cell>
          <cell r="V1268">
            <v>5050</v>
          </cell>
          <cell r="W1268" t="str">
            <v>KEW</v>
          </cell>
          <cell r="X1268" t="str">
            <v>01/09/2010</v>
          </cell>
          <cell r="Y1268" t="str">
            <v>KEW</v>
          </cell>
          <cell r="Z1268" t="str">
            <v>16/08/2013</v>
          </cell>
          <cell r="AA1268" t="str">
            <v>15/08/2015</v>
          </cell>
          <cell r="AB1268" t="str">
            <v>No</v>
          </cell>
          <cell r="AC1268" t="str">
            <v>31/08/2013</v>
          </cell>
          <cell r="AD1268" t="str">
            <v>Good</v>
          </cell>
          <cell r="AE1268" t="str">
            <v>V1 - Existing / No Claim</v>
          </cell>
          <cell r="AF1268">
            <v>42802</v>
          </cell>
          <cell r="AG1268">
            <v>9.17</v>
          </cell>
          <cell r="AH1268" t="str">
            <v>PPM</v>
          </cell>
          <cell r="AI1268" t="str">
            <v>Strands</v>
          </cell>
          <cell r="AJ1268" t="str">
            <v>Strands PW</v>
          </cell>
        </row>
        <row r="1269">
          <cell r="A1269" t="str">
            <v>IKN400893</v>
          </cell>
          <cell r="B1269">
            <v>892</v>
          </cell>
          <cell r="C1269" t="str">
            <v>Institut Kanser Negara</v>
          </cell>
          <cell r="D1269" t="str">
            <v>KKM/IKN/H/13/755</v>
          </cell>
          <cell r="E1269" t="str">
            <v>12-282</v>
          </cell>
          <cell r="F1269" t="str">
            <v>Lights, Surgical</v>
          </cell>
          <cell r="G1269" t="str">
            <v>OC</v>
          </cell>
          <cell r="H1269" t="str">
            <v>ONCOLOGY CLINIC</v>
          </cell>
          <cell r="I1269" t="str">
            <v>03OC107</v>
          </cell>
          <cell r="J1269" t="str">
            <v>C/E 10</v>
          </cell>
          <cell r="K1269" t="str">
            <v>BMED</v>
          </cell>
          <cell r="L1269" t="str">
            <v>Critical</v>
          </cell>
          <cell r="M1269" t="str">
            <v>USA</v>
          </cell>
          <cell r="N1269" t="str">
            <v>Welch Allyn</v>
          </cell>
          <cell r="O1269" t="str">
            <v>Welch Allyn GS600</v>
          </cell>
          <cell r="P1269" t="str">
            <v>GS-600-22</v>
          </cell>
          <cell r="Q1269" t="str">
            <v>Not Applicable</v>
          </cell>
          <cell r="R1269" t="str">
            <v>Welch Allyn Inc</v>
          </cell>
          <cell r="S1269" t="str">
            <v>Welch Allyn Malaysia Sdn Bhd</v>
          </cell>
          <cell r="T1269" t="str">
            <v>Functioning</v>
          </cell>
          <cell r="U1269" t="str">
            <v>Asset</v>
          </cell>
          <cell r="V1269">
            <v>5050</v>
          </cell>
          <cell r="W1269" t="str">
            <v>KEW</v>
          </cell>
          <cell r="X1269" t="str">
            <v>01/09/2010</v>
          </cell>
          <cell r="Y1269" t="str">
            <v>KEW</v>
          </cell>
          <cell r="Z1269" t="str">
            <v>16/08/2013</v>
          </cell>
          <cell r="AA1269" t="str">
            <v>15/08/2015</v>
          </cell>
          <cell r="AB1269" t="str">
            <v>No</v>
          </cell>
          <cell r="AC1269" t="str">
            <v>31/08/2013</v>
          </cell>
          <cell r="AD1269" t="str">
            <v>Good</v>
          </cell>
          <cell r="AE1269" t="str">
            <v>V1 - Existing / No Claim</v>
          </cell>
          <cell r="AF1269">
            <v>42802</v>
          </cell>
          <cell r="AG1269">
            <v>9.17</v>
          </cell>
          <cell r="AH1269" t="str">
            <v>PPM</v>
          </cell>
          <cell r="AI1269" t="str">
            <v>Strands</v>
          </cell>
          <cell r="AJ1269" t="str">
            <v>Strands PW</v>
          </cell>
        </row>
        <row r="1270">
          <cell r="A1270" t="str">
            <v>IKN400894</v>
          </cell>
          <cell r="B1270">
            <v>893</v>
          </cell>
          <cell r="C1270" t="str">
            <v>Institut Kanser Negara</v>
          </cell>
          <cell r="D1270" t="str">
            <v>KKM/IKN/H/13/791</v>
          </cell>
          <cell r="E1270" t="str">
            <v>12-282</v>
          </cell>
          <cell r="F1270" t="str">
            <v>Lights, Surgical</v>
          </cell>
          <cell r="G1270" t="str">
            <v>OC</v>
          </cell>
          <cell r="H1270" t="str">
            <v>ONCOLOGY CLINIC</v>
          </cell>
          <cell r="I1270" t="str">
            <v>03OC108</v>
          </cell>
          <cell r="J1270" t="str">
            <v>C/E 11</v>
          </cell>
          <cell r="K1270" t="str">
            <v>BMED</v>
          </cell>
          <cell r="L1270" t="str">
            <v>Normal</v>
          </cell>
          <cell r="M1270" t="str">
            <v>USA</v>
          </cell>
          <cell r="N1270" t="str">
            <v>Welch Allyn</v>
          </cell>
          <cell r="O1270" t="str">
            <v>Welch Allyn GS600</v>
          </cell>
          <cell r="P1270" t="str">
            <v>GS-600-23</v>
          </cell>
          <cell r="Q1270" t="str">
            <v>Not Applicable</v>
          </cell>
          <cell r="R1270" t="str">
            <v>Welch Allyn Inc</v>
          </cell>
          <cell r="S1270" t="str">
            <v>Welch Allyn Malaysia Sdn Bhd</v>
          </cell>
          <cell r="T1270" t="str">
            <v>Functioning</v>
          </cell>
          <cell r="U1270" t="str">
            <v>Asset</v>
          </cell>
          <cell r="V1270">
            <v>5050</v>
          </cell>
          <cell r="W1270" t="str">
            <v>KEW</v>
          </cell>
          <cell r="X1270" t="str">
            <v>01/09/2010</v>
          </cell>
          <cell r="Y1270" t="str">
            <v>KEW</v>
          </cell>
          <cell r="Z1270" t="str">
            <v>16/08/2013</v>
          </cell>
          <cell r="AA1270" t="str">
            <v>15/08/2015</v>
          </cell>
          <cell r="AB1270" t="str">
            <v>No</v>
          </cell>
          <cell r="AC1270" t="str">
            <v>31/08/2013</v>
          </cell>
          <cell r="AD1270" t="str">
            <v>Good</v>
          </cell>
          <cell r="AE1270" t="str">
            <v>V1 - Existing / No Claim</v>
          </cell>
          <cell r="AF1270">
            <v>42235</v>
          </cell>
          <cell r="AG1270">
            <v>9.17</v>
          </cell>
          <cell r="AH1270" t="str">
            <v>PPM</v>
          </cell>
          <cell r="AI1270" t="str">
            <v>Strands</v>
          </cell>
          <cell r="AJ1270" t="str">
            <v>Strands PW</v>
          </cell>
        </row>
        <row r="1271">
          <cell r="A1271" t="str">
            <v>IKN400895</v>
          </cell>
          <cell r="B1271">
            <v>894</v>
          </cell>
          <cell r="C1271" t="str">
            <v>Institut Kanser Negara</v>
          </cell>
          <cell r="D1271" t="str">
            <v>KKM/IKN/H/13/756</v>
          </cell>
          <cell r="E1271" t="str">
            <v>12-282</v>
          </cell>
          <cell r="F1271" t="str">
            <v>Lights, Surgical</v>
          </cell>
          <cell r="G1271" t="str">
            <v>OC</v>
          </cell>
          <cell r="H1271" t="str">
            <v>ONCOLOGY CLINIC</v>
          </cell>
          <cell r="I1271" t="str">
            <v>03OC109</v>
          </cell>
          <cell r="J1271" t="str">
            <v>C/E 1 (VIP)</v>
          </cell>
          <cell r="K1271" t="str">
            <v>BMED</v>
          </cell>
          <cell r="L1271" t="str">
            <v>Normal</v>
          </cell>
          <cell r="M1271" t="str">
            <v>USA</v>
          </cell>
          <cell r="N1271" t="str">
            <v>Welch Allyn</v>
          </cell>
          <cell r="O1271" t="str">
            <v>Welch Allyn GS600</v>
          </cell>
          <cell r="P1271" t="str">
            <v>GS-600-24</v>
          </cell>
          <cell r="Q1271" t="str">
            <v>Not Applicable</v>
          </cell>
          <cell r="R1271" t="str">
            <v>Welch Allyn Inc</v>
          </cell>
          <cell r="S1271" t="str">
            <v>Welch Allyn Malaysia Sdn Bhd</v>
          </cell>
          <cell r="T1271" t="str">
            <v>Functioning</v>
          </cell>
          <cell r="U1271" t="str">
            <v>Asset</v>
          </cell>
          <cell r="V1271">
            <v>5050</v>
          </cell>
          <cell r="W1271" t="str">
            <v>KEW</v>
          </cell>
          <cell r="X1271" t="str">
            <v>01/09/2010</v>
          </cell>
          <cell r="Y1271" t="str">
            <v>KEW</v>
          </cell>
          <cell r="Z1271" t="str">
            <v>16/08/2013</v>
          </cell>
          <cell r="AA1271" t="str">
            <v>15/08/2015</v>
          </cell>
          <cell r="AB1271" t="str">
            <v>No</v>
          </cell>
          <cell r="AC1271" t="str">
            <v>31/08/2013</v>
          </cell>
          <cell r="AD1271" t="str">
            <v>Good</v>
          </cell>
          <cell r="AE1271" t="str">
            <v>V1 - Existing / No Claim</v>
          </cell>
          <cell r="AF1271">
            <v>42235</v>
          </cell>
          <cell r="AG1271">
            <v>9.17</v>
          </cell>
          <cell r="AH1271" t="str">
            <v>PPM</v>
          </cell>
          <cell r="AI1271" t="str">
            <v>Strands</v>
          </cell>
          <cell r="AJ1271" t="str">
            <v>Strands PW</v>
          </cell>
        </row>
        <row r="1272">
          <cell r="A1272" t="str">
            <v>IKN400896</v>
          </cell>
          <cell r="B1272">
            <v>895</v>
          </cell>
          <cell r="C1272" t="str">
            <v>Institut Kanser Negara</v>
          </cell>
          <cell r="D1272" t="str">
            <v>KKM/IKN/H/13/1361</v>
          </cell>
          <cell r="E1272" t="str">
            <v>12-282</v>
          </cell>
          <cell r="F1272" t="str">
            <v>Lights, Surgical</v>
          </cell>
          <cell r="G1272" t="str">
            <v>OC</v>
          </cell>
          <cell r="H1272" t="str">
            <v>ONCOLOGY CLINIC</v>
          </cell>
          <cell r="I1272" t="str">
            <v>03OC117</v>
          </cell>
          <cell r="J1272" t="str">
            <v>C/E 6</v>
          </cell>
          <cell r="K1272" t="str">
            <v>BMED</v>
          </cell>
          <cell r="L1272" t="str">
            <v>Critical</v>
          </cell>
          <cell r="M1272" t="str">
            <v>USA</v>
          </cell>
          <cell r="N1272" t="str">
            <v>Welch Allyn</v>
          </cell>
          <cell r="O1272" t="str">
            <v>Welch Allyn GS600</v>
          </cell>
          <cell r="P1272" t="str">
            <v>GS-600-25</v>
          </cell>
          <cell r="Q1272" t="str">
            <v>Not Applicable</v>
          </cell>
          <cell r="R1272" t="str">
            <v>Welch Allyn Inc</v>
          </cell>
          <cell r="S1272" t="str">
            <v>Welch Allyn Malaysia Sdn Bhd</v>
          </cell>
          <cell r="T1272" t="str">
            <v>Functioning</v>
          </cell>
          <cell r="U1272" t="str">
            <v>Asset</v>
          </cell>
          <cell r="V1272">
            <v>5050</v>
          </cell>
          <cell r="W1272" t="str">
            <v>KEW</v>
          </cell>
          <cell r="X1272" t="str">
            <v>01/09/2010</v>
          </cell>
          <cell r="Y1272" t="str">
            <v>KEW</v>
          </cell>
          <cell r="Z1272" t="str">
            <v>16/08/2013</v>
          </cell>
          <cell r="AA1272" t="str">
            <v>15/08/2015</v>
          </cell>
          <cell r="AB1272" t="str">
            <v>No</v>
          </cell>
          <cell r="AC1272" t="str">
            <v>31/08/2013</v>
          </cell>
          <cell r="AD1272" t="str">
            <v>Good</v>
          </cell>
          <cell r="AE1272" t="str">
            <v>V1 - Existing / No Claim</v>
          </cell>
          <cell r="AF1272">
            <v>42802</v>
          </cell>
          <cell r="AG1272">
            <v>9.17</v>
          </cell>
          <cell r="AH1272" t="str">
            <v>PPM</v>
          </cell>
          <cell r="AI1272" t="str">
            <v>Strands</v>
          </cell>
          <cell r="AJ1272" t="str">
            <v>Strands PW</v>
          </cell>
        </row>
        <row r="1273">
          <cell r="A1273" t="str">
            <v>IKN400897</v>
          </cell>
          <cell r="B1273">
            <v>896</v>
          </cell>
          <cell r="C1273" t="str">
            <v>Institut Kanser Negara</v>
          </cell>
          <cell r="D1273" t="str">
            <v>KKM/IKN/H/13/757</v>
          </cell>
          <cell r="E1273" t="str">
            <v>12-282</v>
          </cell>
          <cell r="F1273" t="str">
            <v>Lights, Surgical</v>
          </cell>
          <cell r="G1273" t="str">
            <v>OC</v>
          </cell>
          <cell r="H1273" t="str">
            <v>ONCOLOGY CLINIC</v>
          </cell>
          <cell r="I1273" t="str">
            <v>03OC118</v>
          </cell>
          <cell r="J1273" t="str">
            <v>C/E 5</v>
          </cell>
          <cell r="K1273" t="str">
            <v>BMED</v>
          </cell>
          <cell r="L1273" t="str">
            <v>Critical</v>
          </cell>
          <cell r="M1273" t="str">
            <v>USA</v>
          </cell>
          <cell r="N1273" t="str">
            <v>Welch Allyn</v>
          </cell>
          <cell r="O1273" t="str">
            <v>Welch Allyn GS600</v>
          </cell>
          <cell r="P1273" t="str">
            <v>GS-600-26</v>
          </cell>
          <cell r="Q1273" t="str">
            <v>Not Applicable</v>
          </cell>
          <cell r="R1273" t="str">
            <v>Welch Allyn Inc</v>
          </cell>
          <cell r="S1273" t="str">
            <v>Welch Allyn Malaysia Sdn Bhd</v>
          </cell>
          <cell r="T1273" t="str">
            <v>Functioning</v>
          </cell>
          <cell r="U1273" t="str">
            <v>Asset</v>
          </cell>
          <cell r="V1273">
            <v>5050</v>
          </cell>
          <cell r="W1273" t="str">
            <v>KEW</v>
          </cell>
          <cell r="X1273" t="str">
            <v>01/09/2010</v>
          </cell>
          <cell r="Y1273" t="str">
            <v>KEW</v>
          </cell>
          <cell r="Z1273" t="str">
            <v>16/08/2013</v>
          </cell>
          <cell r="AA1273" t="str">
            <v>15/08/2015</v>
          </cell>
          <cell r="AB1273" t="str">
            <v>No</v>
          </cell>
          <cell r="AC1273" t="str">
            <v>31/08/2013</v>
          </cell>
          <cell r="AD1273" t="str">
            <v>Good</v>
          </cell>
          <cell r="AE1273" t="str">
            <v>V1 - Existing / No Claim</v>
          </cell>
          <cell r="AF1273">
            <v>42802</v>
          </cell>
          <cell r="AG1273">
            <v>9.17</v>
          </cell>
          <cell r="AH1273" t="str">
            <v>PPM</v>
          </cell>
          <cell r="AI1273" t="str">
            <v>Strands</v>
          </cell>
          <cell r="AJ1273" t="str">
            <v>Strands PW</v>
          </cell>
        </row>
        <row r="1274">
          <cell r="A1274" t="str">
            <v>IKN400898</v>
          </cell>
          <cell r="B1274">
            <v>897</v>
          </cell>
          <cell r="C1274" t="str">
            <v>Institut Kanser Negara</v>
          </cell>
          <cell r="D1274" t="str">
            <v>KKM/IKN/H/13/1362</v>
          </cell>
          <cell r="E1274" t="str">
            <v>12-282</v>
          </cell>
          <cell r="F1274" t="str">
            <v>Lights, Surgical</v>
          </cell>
          <cell r="G1274" t="str">
            <v>OC</v>
          </cell>
          <cell r="H1274" t="str">
            <v>ONCOLOGY CLINIC</v>
          </cell>
          <cell r="I1274" t="str">
            <v>03OC119</v>
          </cell>
          <cell r="J1274" t="str">
            <v>C/E 4</v>
          </cell>
          <cell r="K1274" t="str">
            <v>BMED</v>
          </cell>
          <cell r="L1274" t="str">
            <v>Critical</v>
          </cell>
          <cell r="M1274" t="str">
            <v>USA</v>
          </cell>
          <cell r="N1274" t="str">
            <v>Welch Allyn</v>
          </cell>
          <cell r="O1274" t="str">
            <v>Welch Allyn GS600</v>
          </cell>
          <cell r="P1274" t="str">
            <v>GS-600-27</v>
          </cell>
          <cell r="Q1274" t="str">
            <v>Not Applicable</v>
          </cell>
          <cell r="R1274" t="str">
            <v>Welch Allyn Inc</v>
          </cell>
          <cell r="S1274" t="str">
            <v>Welch Allyn Malaysia Sdn Bhd</v>
          </cell>
          <cell r="T1274" t="str">
            <v>Functioning</v>
          </cell>
          <cell r="U1274" t="str">
            <v>Asset</v>
          </cell>
          <cell r="V1274">
            <v>5050</v>
          </cell>
          <cell r="W1274" t="str">
            <v>KEW</v>
          </cell>
          <cell r="X1274" t="str">
            <v>01/09/2010</v>
          </cell>
          <cell r="Y1274" t="str">
            <v>KEW</v>
          </cell>
          <cell r="Z1274" t="str">
            <v>16/08/2013</v>
          </cell>
          <cell r="AA1274" t="str">
            <v>15/08/2015</v>
          </cell>
          <cell r="AB1274" t="str">
            <v>No</v>
          </cell>
          <cell r="AC1274" t="str">
            <v>31/08/2013</v>
          </cell>
          <cell r="AD1274" t="str">
            <v>Good</v>
          </cell>
          <cell r="AE1274" t="str">
            <v>V1 - Existing / No Claim</v>
          </cell>
          <cell r="AF1274">
            <v>42802</v>
          </cell>
          <cell r="AG1274">
            <v>9.17</v>
          </cell>
          <cell r="AH1274" t="str">
            <v>PPM</v>
          </cell>
          <cell r="AI1274" t="str">
            <v>Strands</v>
          </cell>
          <cell r="AJ1274" t="str">
            <v>Strands PW</v>
          </cell>
        </row>
        <row r="1275">
          <cell r="A1275" t="str">
            <v>IKN400899</v>
          </cell>
          <cell r="B1275">
            <v>898</v>
          </cell>
          <cell r="C1275" t="str">
            <v>Institut Kanser Negara</v>
          </cell>
          <cell r="D1275" t="str">
            <v>KKM/IKN/H/13/758</v>
          </cell>
          <cell r="E1275" t="str">
            <v>12-282</v>
          </cell>
          <cell r="F1275" t="str">
            <v>Lights, Surgical</v>
          </cell>
          <cell r="G1275" t="str">
            <v>OC</v>
          </cell>
          <cell r="H1275" t="str">
            <v>ONCOLOGY CLINIC</v>
          </cell>
          <cell r="I1275" t="str">
            <v>03OC120</v>
          </cell>
          <cell r="J1275" t="str">
            <v>C/E 3</v>
          </cell>
          <cell r="K1275" t="str">
            <v>BMED</v>
          </cell>
          <cell r="L1275" t="str">
            <v>Critical</v>
          </cell>
          <cell r="M1275" t="str">
            <v>USA</v>
          </cell>
          <cell r="N1275" t="str">
            <v>Welch Allyn</v>
          </cell>
          <cell r="O1275" t="str">
            <v>Welch Allyn GS600</v>
          </cell>
          <cell r="P1275" t="str">
            <v>GS-600-28</v>
          </cell>
          <cell r="Q1275" t="str">
            <v>Not Applicable</v>
          </cell>
          <cell r="R1275" t="str">
            <v>Welch Allyn Inc</v>
          </cell>
          <cell r="S1275" t="str">
            <v>Welch Allyn Malaysia Sdn Bhd</v>
          </cell>
          <cell r="T1275" t="str">
            <v>Functioning</v>
          </cell>
          <cell r="U1275" t="str">
            <v>Asset</v>
          </cell>
          <cell r="V1275">
            <v>5050</v>
          </cell>
          <cell r="W1275" t="str">
            <v>KEW</v>
          </cell>
          <cell r="X1275" t="str">
            <v>01/09/2010</v>
          </cell>
          <cell r="Y1275" t="str">
            <v>KEW</v>
          </cell>
          <cell r="Z1275" t="str">
            <v>16/08/2013</v>
          </cell>
          <cell r="AA1275" t="str">
            <v>15/08/2015</v>
          </cell>
          <cell r="AB1275" t="str">
            <v>No</v>
          </cell>
          <cell r="AC1275" t="str">
            <v>31/08/2013</v>
          </cell>
          <cell r="AD1275" t="str">
            <v>Good</v>
          </cell>
          <cell r="AE1275" t="str">
            <v>V1 - Existing / No Claim</v>
          </cell>
          <cell r="AF1275">
            <v>42802</v>
          </cell>
          <cell r="AG1275">
            <v>9.17</v>
          </cell>
          <cell r="AH1275" t="str">
            <v>PPM</v>
          </cell>
          <cell r="AI1275" t="str">
            <v>Strands</v>
          </cell>
          <cell r="AJ1275" t="str">
            <v>Strands PW</v>
          </cell>
        </row>
        <row r="1276">
          <cell r="A1276" t="str">
            <v>IKN400900</v>
          </cell>
          <cell r="B1276">
            <v>899</v>
          </cell>
          <cell r="C1276" t="str">
            <v>Institut Kanser Negara</v>
          </cell>
          <cell r="D1276" t="str">
            <v>KKM/IKN/H/13/759</v>
          </cell>
          <cell r="E1276" t="str">
            <v>12-282</v>
          </cell>
          <cell r="F1276" t="str">
            <v>Lights, Surgical</v>
          </cell>
          <cell r="G1276" t="str">
            <v>OC</v>
          </cell>
          <cell r="H1276" t="str">
            <v>ONCOLOGY CLINIC</v>
          </cell>
          <cell r="I1276" t="str">
            <v>03OC121</v>
          </cell>
          <cell r="J1276" t="str">
            <v>C/E2</v>
          </cell>
          <cell r="K1276" t="str">
            <v>BMED</v>
          </cell>
          <cell r="L1276" t="str">
            <v>Critical</v>
          </cell>
          <cell r="M1276" t="str">
            <v>USA</v>
          </cell>
          <cell r="N1276" t="str">
            <v>Welch Allyn</v>
          </cell>
          <cell r="O1276" t="str">
            <v>Welch Allyn GS600</v>
          </cell>
          <cell r="P1276" t="str">
            <v>GS-600-29</v>
          </cell>
          <cell r="Q1276" t="str">
            <v>Not Applicable</v>
          </cell>
          <cell r="R1276" t="str">
            <v>Welch Allyn Inc</v>
          </cell>
          <cell r="S1276" t="str">
            <v>Welch Allyn Malaysia Sdn Bhd</v>
          </cell>
          <cell r="T1276" t="str">
            <v>Functioning</v>
          </cell>
          <cell r="U1276" t="str">
            <v>Asset</v>
          </cell>
          <cell r="V1276">
            <v>5050</v>
          </cell>
          <cell r="W1276" t="str">
            <v>KEW</v>
          </cell>
          <cell r="X1276" t="str">
            <v>01/09/2010</v>
          </cell>
          <cell r="Y1276" t="str">
            <v>KEW</v>
          </cell>
          <cell r="Z1276" t="str">
            <v>16/08/2013</v>
          </cell>
          <cell r="AA1276" t="str">
            <v>15/08/2015</v>
          </cell>
          <cell r="AB1276" t="str">
            <v>No</v>
          </cell>
          <cell r="AC1276" t="str">
            <v>31/08/2013</v>
          </cell>
          <cell r="AD1276" t="str">
            <v>Good</v>
          </cell>
          <cell r="AE1276" t="str">
            <v>V1 - Existing / No Claim</v>
          </cell>
          <cell r="AF1276">
            <v>42802</v>
          </cell>
          <cell r="AG1276">
            <v>9.17</v>
          </cell>
          <cell r="AH1276" t="str">
            <v>PPM</v>
          </cell>
          <cell r="AI1276" t="str">
            <v>Strands</v>
          </cell>
          <cell r="AJ1276" t="str">
            <v>Strands PW</v>
          </cell>
        </row>
        <row r="1277">
          <cell r="A1277" t="str">
            <v>IKN400901</v>
          </cell>
          <cell r="B1277">
            <v>900</v>
          </cell>
          <cell r="C1277" t="str">
            <v>Institut Kanser Negara</v>
          </cell>
          <cell r="D1277" t="str">
            <v>KKM/IKN/H/13/1610</v>
          </cell>
          <cell r="E1277" t="str">
            <v>15-045</v>
          </cell>
          <cell r="F1277" t="str">
            <v>Nebulizers, Nonheated</v>
          </cell>
          <cell r="G1277" t="str">
            <v>OC</v>
          </cell>
          <cell r="H1277" t="str">
            <v>ONCOLOGY CLINIC</v>
          </cell>
          <cell r="I1277" t="str">
            <v>03OC143</v>
          </cell>
          <cell r="J1277" t="str">
            <v>EQ. STORE</v>
          </cell>
          <cell r="K1277" t="str">
            <v>BMED</v>
          </cell>
          <cell r="L1277" t="str">
            <v>Normal</v>
          </cell>
          <cell r="M1277" t="str">
            <v>Germany</v>
          </cell>
          <cell r="N1277" t="str">
            <v>Pari Boy</v>
          </cell>
          <cell r="O1277" t="str">
            <v>Pari Boy SX 085</v>
          </cell>
          <cell r="P1277" t="str">
            <v>2W12F13722</v>
          </cell>
          <cell r="Q1277" t="str">
            <v>Not Applicable</v>
          </cell>
          <cell r="R1277" t="str">
            <v>Pari GmbH</v>
          </cell>
          <cell r="S1277" t="str">
            <v>Welch Allyn Malaysia Sdn Bhd</v>
          </cell>
          <cell r="T1277" t="str">
            <v>Functioning</v>
          </cell>
          <cell r="U1277" t="str">
            <v>Asset</v>
          </cell>
          <cell r="V1277">
            <v>1140</v>
          </cell>
          <cell r="W1277" t="str">
            <v>KEW</v>
          </cell>
          <cell r="X1277" t="str">
            <v>01/09/2010</v>
          </cell>
          <cell r="Y1277" t="str">
            <v>KEW</v>
          </cell>
          <cell r="Z1277" t="str">
            <v>16/08/2013</v>
          </cell>
          <cell r="AA1277" t="str">
            <v>15/08/2015</v>
          </cell>
          <cell r="AB1277" t="str">
            <v>No</v>
          </cell>
          <cell r="AC1277" t="str">
            <v>31/08/2013</v>
          </cell>
          <cell r="AD1277" t="str">
            <v>Good</v>
          </cell>
          <cell r="AE1277" t="str">
            <v>V3 - Added Installed Facilities (New)</v>
          </cell>
          <cell r="AF1277">
            <v>42802</v>
          </cell>
          <cell r="AG1277">
            <v>9.17</v>
          </cell>
          <cell r="AH1277" t="str">
            <v>PPM</v>
          </cell>
          <cell r="AI1277" t="str">
            <v>Strands</v>
          </cell>
          <cell r="AJ1277" t="str">
            <v>Strands PW</v>
          </cell>
          <cell r="AK1277" t="str">
            <v>SNF received. 1st batch of V3 asset (December 2020)</v>
          </cell>
        </row>
        <row r="1278">
          <cell r="A1278" t="str">
            <v>IKN400902</v>
          </cell>
          <cell r="B1278">
            <v>901</v>
          </cell>
          <cell r="C1278" t="str">
            <v>Institut Kanser Negara</v>
          </cell>
          <cell r="D1278" t="str">
            <v>KKM/IKN/R/13/1784</v>
          </cell>
          <cell r="E1278" t="str">
            <v>16-173</v>
          </cell>
          <cell r="F1278" t="str">
            <v>Sphygmomanometers, Electronic, Automatic</v>
          </cell>
          <cell r="G1278" t="str">
            <v>OC</v>
          </cell>
          <cell r="H1278" t="str">
            <v>ONCOLOGY CLINIC</v>
          </cell>
          <cell r="I1278" t="str">
            <v>03OC106</v>
          </cell>
          <cell r="J1278" t="str">
            <v>C/E 9</v>
          </cell>
          <cell r="K1278" t="str">
            <v>BMED</v>
          </cell>
          <cell r="L1278" t="str">
            <v>Normal</v>
          </cell>
          <cell r="M1278" t="str">
            <v>USA</v>
          </cell>
          <cell r="N1278" t="str">
            <v>Connex</v>
          </cell>
          <cell r="O1278" t="str">
            <v>Connex ProBP 3400</v>
          </cell>
          <cell r="P1278" t="str">
            <v>100003390213</v>
          </cell>
          <cell r="Q1278" t="str">
            <v>Not Applicable</v>
          </cell>
          <cell r="R1278" t="str">
            <v>Welch Allyn Inc</v>
          </cell>
          <cell r="S1278" t="str">
            <v>Welch Allyn Malaysia Sdn Bhd</v>
          </cell>
          <cell r="T1278" t="str">
            <v>Functioning</v>
          </cell>
          <cell r="U1278" t="str">
            <v>Asset</v>
          </cell>
          <cell r="V1278">
            <v>336</v>
          </cell>
          <cell r="W1278" t="str">
            <v>KEW</v>
          </cell>
          <cell r="X1278" t="str">
            <v>01/09/2010</v>
          </cell>
          <cell r="Y1278" t="str">
            <v>KEW</v>
          </cell>
          <cell r="Z1278" t="str">
            <v>16/08/2013</v>
          </cell>
          <cell r="AA1278" t="str">
            <v>15/08/2015</v>
          </cell>
          <cell r="AB1278" t="str">
            <v>No</v>
          </cell>
          <cell r="AC1278" t="str">
            <v>31/08/2013</v>
          </cell>
          <cell r="AD1278" t="str">
            <v>Good</v>
          </cell>
          <cell r="AE1278" t="str">
            <v>V3 - Added Installed Facilities (New)</v>
          </cell>
          <cell r="AF1278">
            <v>42235</v>
          </cell>
          <cell r="AG1278">
            <v>9.17</v>
          </cell>
          <cell r="AH1278" t="str">
            <v>PPM</v>
          </cell>
          <cell r="AI1278" t="str">
            <v>Not in contract</v>
          </cell>
          <cell r="AJ1278" t="str">
            <v>Proposed for V3 P2.23</v>
          </cell>
          <cell r="AK1278" t="e">
            <v>#N/A</v>
          </cell>
        </row>
        <row r="1279">
          <cell r="A1279" t="str">
            <v>IKN400903</v>
          </cell>
          <cell r="B1279">
            <v>902</v>
          </cell>
          <cell r="C1279" t="str">
            <v>Institut Kanser Negara</v>
          </cell>
          <cell r="D1279" t="str">
            <v>KKM/IKN/R/13/1783</v>
          </cell>
          <cell r="E1279" t="str">
            <v>16-173</v>
          </cell>
          <cell r="F1279" t="str">
            <v>Sphygmomanometers, Electronic, Automatic</v>
          </cell>
          <cell r="G1279" t="str">
            <v>OC</v>
          </cell>
          <cell r="H1279" t="str">
            <v>ONCOLOGY CLINIC</v>
          </cell>
          <cell r="I1279" t="str">
            <v>03OC107</v>
          </cell>
          <cell r="J1279" t="str">
            <v>C/E 10</v>
          </cell>
          <cell r="K1279" t="str">
            <v>BMED</v>
          </cell>
          <cell r="L1279" t="str">
            <v>Normal</v>
          </cell>
          <cell r="M1279" t="str">
            <v>USA</v>
          </cell>
          <cell r="N1279" t="str">
            <v>Connex</v>
          </cell>
          <cell r="O1279" t="str">
            <v>Connex ProBP 3400</v>
          </cell>
          <cell r="P1279" t="str">
            <v>100001230413</v>
          </cell>
          <cell r="Q1279" t="str">
            <v>Not Applicable</v>
          </cell>
          <cell r="R1279" t="str">
            <v>Welch Allyn Inc</v>
          </cell>
          <cell r="S1279" t="str">
            <v>Welch Allyn Malaysia Sdn Bhd</v>
          </cell>
          <cell r="T1279" t="str">
            <v>Functioning</v>
          </cell>
          <cell r="U1279" t="str">
            <v>Asset</v>
          </cell>
          <cell r="V1279">
            <v>336</v>
          </cell>
          <cell r="W1279" t="str">
            <v>KEW</v>
          </cell>
          <cell r="X1279" t="str">
            <v>01/09/2010</v>
          </cell>
          <cell r="Y1279" t="str">
            <v>KEW</v>
          </cell>
          <cell r="Z1279" t="str">
            <v>16/08/2013</v>
          </cell>
          <cell r="AA1279" t="str">
            <v>15/08/2015</v>
          </cell>
          <cell r="AB1279" t="str">
            <v>No</v>
          </cell>
          <cell r="AC1279" t="str">
            <v>31/08/2013</v>
          </cell>
          <cell r="AD1279" t="str">
            <v>Good</v>
          </cell>
          <cell r="AE1279" t="str">
            <v>V3 - Added Installed Facilities (New)</v>
          </cell>
          <cell r="AF1279">
            <v>42235</v>
          </cell>
          <cell r="AG1279">
            <v>9.17</v>
          </cell>
          <cell r="AH1279" t="str">
            <v>PPM</v>
          </cell>
          <cell r="AI1279" t="str">
            <v>Not in contract</v>
          </cell>
          <cell r="AJ1279" t="str">
            <v>Proposed for V3 P2.23</v>
          </cell>
          <cell r="AK1279" t="e">
            <v>#N/A</v>
          </cell>
        </row>
        <row r="1280">
          <cell r="A1280" t="str">
            <v>IKN400904</v>
          </cell>
          <cell r="B1280">
            <v>903</v>
          </cell>
          <cell r="C1280" t="str">
            <v>Institut Kanser Negara</v>
          </cell>
          <cell r="D1280" t="str">
            <v>KKM/IKN/R/13/1782</v>
          </cell>
          <cell r="E1280" t="str">
            <v>16-173</v>
          </cell>
          <cell r="F1280" t="str">
            <v>Sphygmomanometers, Electronic, Automatic</v>
          </cell>
          <cell r="G1280" t="str">
            <v>OC</v>
          </cell>
          <cell r="H1280" t="str">
            <v>ONCOLOGY CLINIC</v>
          </cell>
          <cell r="I1280" t="str">
            <v>03OC108</v>
          </cell>
          <cell r="J1280" t="str">
            <v>C/E 11</v>
          </cell>
          <cell r="K1280" t="str">
            <v>BMED</v>
          </cell>
          <cell r="L1280" t="str">
            <v>Normal</v>
          </cell>
          <cell r="M1280" t="str">
            <v>USA</v>
          </cell>
          <cell r="N1280" t="str">
            <v>Connex</v>
          </cell>
          <cell r="O1280" t="str">
            <v>Connex ProBP 3400</v>
          </cell>
          <cell r="P1280" t="str">
            <v>100003240213</v>
          </cell>
          <cell r="Q1280" t="str">
            <v>Not Applicable</v>
          </cell>
          <cell r="R1280" t="str">
            <v>Welch Allyn Inc</v>
          </cell>
          <cell r="S1280" t="str">
            <v>Welch Allyn Malaysia Sdn Bhd</v>
          </cell>
          <cell r="T1280" t="str">
            <v>Functioning</v>
          </cell>
          <cell r="U1280" t="str">
            <v>Asset</v>
          </cell>
          <cell r="V1280">
            <v>336</v>
          </cell>
          <cell r="W1280" t="str">
            <v>KEW</v>
          </cell>
          <cell r="X1280" t="str">
            <v>01/09/2010</v>
          </cell>
          <cell r="Y1280" t="str">
            <v>KEW</v>
          </cell>
          <cell r="Z1280" t="str">
            <v>16/08/2013</v>
          </cell>
          <cell r="AA1280" t="str">
            <v>15/08/2015</v>
          </cell>
          <cell r="AB1280" t="str">
            <v>No</v>
          </cell>
          <cell r="AC1280" t="str">
            <v>31/08/2013</v>
          </cell>
          <cell r="AD1280" t="str">
            <v>Good</v>
          </cell>
          <cell r="AE1280" t="str">
            <v>V3 - Added Installed Facilities (New)</v>
          </cell>
          <cell r="AF1280">
            <v>42235</v>
          </cell>
          <cell r="AG1280">
            <v>9.17</v>
          </cell>
          <cell r="AH1280" t="str">
            <v>PPM</v>
          </cell>
          <cell r="AI1280" t="str">
            <v>Not in contract</v>
          </cell>
          <cell r="AJ1280" t="str">
            <v>Proposed for V3 P2.23</v>
          </cell>
          <cell r="AK1280" t="e">
            <v>#N/A</v>
          </cell>
        </row>
        <row r="1281">
          <cell r="A1281" t="str">
            <v>IKN400905</v>
          </cell>
          <cell r="B1281">
            <v>904</v>
          </cell>
          <cell r="C1281" t="str">
            <v>Institut Kanser Negara</v>
          </cell>
          <cell r="D1281" t="str">
            <v>KKM/IKN/R/13/1781</v>
          </cell>
          <cell r="E1281" t="str">
            <v>16-173</v>
          </cell>
          <cell r="F1281" t="str">
            <v>Sphygmomanometers, Electronic, Automatic</v>
          </cell>
          <cell r="G1281" t="str">
            <v>OC</v>
          </cell>
          <cell r="H1281" t="str">
            <v>ONCOLOGY CLINIC</v>
          </cell>
          <cell r="I1281" t="str">
            <v>03OC109</v>
          </cell>
          <cell r="J1281" t="str">
            <v>C/E 1 (VIP)</v>
          </cell>
          <cell r="K1281" t="str">
            <v>BMED</v>
          </cell>
          <cell r="L1281" t="str">
            <v>Normal</v>
          </cell>
          <cell r="M1281" t="str">
            <v>USA</v>
          </cell>
          <cell r="N1281" t="str">
            <v>Connex</v>
          </cell>
          <cell r="O1281" t="str">
            <v>Connex ProBP 3400</v>
          </cell>
          <cell r="P1281" t="str">
            <v>100003400213</v>
          </cell>
          <cell r="Q1281" t="str">
            <v>Not Applicable</v>
          </cell>
          <cell r="R1281" t="str">
            <v>Welch Allyn Inc</v>
          </cell>
          <cell r="S1281" t="str">
            <v>Welch Allyn Malaysia Sdn Bhd</v>
          </cell>
          <cell r="T1281" t="str">
            <v>Functioning</v>
          </cell>
          <cell r="U1281" t="str">
            <v>Asset</v>
          </cell>
          <cell r="V1281">
            <v>336</v>
          </cell>
          <cell r="W1281" t="str">
            <v>KEW</v>
          </cell>
          <cell r="X1281" t="str">
            <v>01/09/2010</v>
          </cell>
          <cell r="Y1281" t="str">
            <v>KEW</v>
          </cell>
          <cell r="Z1281" t="str">
            <v>16/08/2013</v>
          </cell>
          <cell r="AA1281" t="str">
            <v>15/08/2015</v>
          </cell>
          <cell r="AB1281" t="str">
            <v>No</v>
          </cell>
          <cell r="AC1281" t="str">
            <v>31/08/2013</v>
          </cell>
          <cell r="AD1281" t="str">
            <v>Good</v>
          </cell>
          <cell r="AE1281" t="str">
            <v>V3 - Added Installed Facilities (New)</v>
          </cell>
          <cell r="AF1281">
            <v>42235</v>
          </cell>
          <cell r="AG1281">
            <v>9.17</v>
          </cell>
          <cell r="AH1281" t="str">
            <v>PPM</v>
          </cell>
          <cell r="AI1281" t="str">
            <v>Not in contract</v>
          </cell>
          <cell r="AJ1281" t="str">
            <v>Proposed for V3 P2.23</v>
          </cell>
          <cell r="AK1281" t="e">
            <v>#N/A</v>
          </cell>
        </row>
        <row r="1282">
          <cell r="A1282" t="str">
            <v>IKN400906</v>
          </cell>
          <cell r="B1282">
            <v>905</v>
          </cell>
          <cell r="C1282" t="str">
            <v>Institut Kanser Negara</v>
          </cell>
          <cell r="D1282" t="str">
            <v>KKM/IKN/R/13/1780</v>
          </cell>
          <cell r="E1282" t="str">
            <v>16-173</v>
          </cell>
          <cell r="F1282" t="str">
            <v>Sphygmomanometers, Electronic, Automatic</v>
          </cell>
          <cell r="G1282" t="str">
            <v>OC</v>
          </cell>
          <cell r="H1282" t="str">
            <v>ONCOLOGY CLINIC</v>
          </cell>
          <cell r="I1282" t="str">
            <v>03OC117</v>
          </cell>
          <cell r="J1282" t="str">
            <v>C/E 6</v>
          </cell>
          <cell r="K1282" t="str">
            <v>BMED</v>
          </cell>
          <cell r="L1282" t="str">
            <v>Normal</v>
          </cell>
          <cell r="M1282" t="str">
            <v>USA</v>
          </cell>
          <cell r="N1282" t="str">
            <v>Connex</v>
          </cell>
          <cell r="O1282" t="str">
            <v>Connex ProBP 3400</v>
          </cell>
          <cell r="P1282" t="str">
            <v>100004621213</v>
          </cell>
          <cell r="Q1282" t="str">
            <v>Not Applicable</v>
          </cell>
          <cell r="R1282" t="str">
            <v>Welch Allyn Inc</v>
          </cell>
          <cell r="S1282" t="str">
            <v>Welch Allyn Malaysia Sdn Bhd</v>
          </cell>
          <cell r="T1282" t="str">
            <v>Functioning</v>
          </cell>
          <cell r="U1282" t="str">
            <v>Asset</v>
          </cell>
          <cell r="V1282">
            <v>336</v>
          </cell>
          <cell r="W1282" t="str">
            <v>KEW</v>
          </cell>
          <cell r="X1282" t="str">
            <v>01/09/2010</v>
          </cell>
          <cell r="Y1282" t="str">
            <v>KEW</v>
          </cell>
          <cell r="Z1282" t="str">
            <v>16/08/2013</v>
          </cell>
          <cell r="AA1282" t="str">
            <v>15/08/2015</v>
          </cell>
          <cell r="AB1282" t="str">
            <v>No</v>
          </cell>
          <cell r="AC1282" t="str">
            <v>31/08/2013</v>
          </cell>
          <cell r="AD1282" t="str">
            <v>Good</v>
          </cell>
          <cell r="AE1282" t="str">
            <v>V3 - Added Installed Facilities (New)</v>
          </cell>
          <cell r="AF1282">
            <v>42235</v>
          </cell>
          <cell r="AG1282">
            <v>9.17</v>
          </cell>
          <cell r="AH1282" t="str">
            <v>PPM</v>
          </cell>
          <cell r="AI1282" t="str">
            <v>Not in contract</v>
          </cell>
          <cell r="AJ1282" t="str">
            <v>Proposed for V3 P2.23</v>
          </cell>
          <cell r="AK1282" t="e">
            <v>#N/A</v>
          </cell>
        </row>
        <row r="1283">
          <cell r="A1283" t="str">
            <v>IKN400907</v>
          </cell>
          <cell r="B1283">
            <v>906</v>
          </cell>
          <cell r="C1283" t="str">
            <v>Institut Kanser Negara</v>
          </cell>
          <cell r="D1283" t="str">
            <v>KKM/IKN/R/13/1779</v>
          </cell>
          <cell r="E1283" t="str">
            <v>16-173</v>
          </cell>
          <cell r="F1283" t="str">
            <v>Sphygmomanometers, Electronic, Automatic</v>
          </cell>
          <cell r="G1283" t="str">
            <v>OC</v>
          </cell>
          <cell r="H1283" t="str">
            <v>ONCOLOGY CLINIC</v>
          </cell>
          <cell r="I1283" t="str">
            <v>03OC118</v>
          </cell>
          <cell r="J1283" t="str">
            <v>C/E 5</v>
          </cell>
          <cell r="K1283" t="str">
            <v>BMED</v>
          </cell>
          <cell r="L1283" t="str">
            <v>Normal</v>
          </cell>
          <cell r="M1283" t="str">
            <v>USA</v>
          </cell>
          <cell r="N1283" t="str">
            <v>Connex</v>
          </cell>
          <cell r="O1283" t="str">
            <v>Connex ProBP 3400</v>
          </cell>
          <cell r="P1283" t="str">
            <v>100003030213</v>
          </cell>
          <cell r="Q1283" t="str">
            <v>Not Applicable</v>
          </cell>
          <cell r="R1283" t="str">
            <v>Welch Allyn Inc</v>
          </cell>
          <cell r="S1283" t="str">
            <v>Welch Allyn Malaysia Sdn Bhd</v>
          </cell>
          <cell r="T1283" t="str">
            <v>Functioning</v>
          </cell>
          <cell r="U1283" t="str">
            <v>Asset</v>
          </cell>
          <cell r="V1283">
            <v>336</v>
          </cell>
          <cell r="W1283" t="str">
            <v>KEW</v>
          </cell>
          <cell r="X1283" t="str">
            <v>01/09/2010</v>
          </cell>
          <cell r="Y1283" t="str">
            <v>KEW</v>
          </cell>
          <cell r="Z1283" t="str">
            <v>16/08/2013</v>
          </cell>
          <cell r="AA1283" t="str">
            <v>15/08/2015</v>
          </cell>
          <cell r="AB1283" t="str">
            <v>No</v>
          </cell>
          <cell r="AC1283" t="str">
            <v>31/08/2013</v>
          </cell>
          <cell r="AD1283" t="str">
            <v>Good</v>
          </cell>
          <cell r="AE1283" t="str">
            <v>V3 - Added Installed Facilities (New)</v>
          </cell>
          <cell r="AF1283">
            <v>42235</v>
          </cell>
          <cell r="AG1283">
            <v>9.17</v>
          </cell>
          <cell r="AH1283" t="str">
            <v>PPM</v>
          </cell>
          <cell r="AI1283" t="str">
            <v>Not in contract</v>
          </cell>
          <cell r="AJ1283" t="str">
            <v>Proposed for V3 P2.23</v>
          </cell>
          <cell r="AK1283" t="e">
            <v>#N/A</v>
          </cell>
        </row>
        <row r="1284">
          <cell r="A1284" t="str">
            <v>IKN400908</v>
          </cell>
          <cell r="B1284">
            <v>907</v>
          </cell>
          <cell r="C1284" t="str">
            <v>Institut Kanser Negara</v>
          </cell>
          <cell r="D1284" t="str">
            <v>KKM/IKN/R/13/1778</v>
          </cell>
          <cell r="E1284" t="str">
            <v>16-173</v>
          </cell>
          <cell r="F1284" t="str">
            <v>Sphygmomanometers, Electronic, Automatic</v>
          </cell>
          <cell r="G1284" t="str">
            <v>OC</v>
          </cell>
          <cell r="H1284" t="str">
            <v>ONCOLOGY CLINIC</v>
          </cell>
          <cell r="I1284" t="str">
            <v>03OC119</v>
          </cell>
          <cell r="J1284" t="str">
            <v>C/E 4</v>
          </cell>
          <cell r="K1284" t="str">
            <v>BMED</v>
          </cell>
          <cell r="L1284" t="str">
            <v>Normal</v>
          </cell>
          <cell r="M1284" t="str">
            <v>USA</v>
          </cell>
          <cell r="N1284" t="str">
            <v>Connex</v>
          </cell>
          <cell r="O1284" t="str">
            <v>Connex ProBP 3400</v>
          </cell>
          <cell r="P1284" t="str">
            <v>100000120413</v>
          </cell>
          <cell r="Q1284" t="str">
            <v>Not Applicable</v>
          </cell>
          <cell r="R1284" t="str">
            <v>Welch Allyn Inc</v>
          </cell>
          <cell r="S1284" t="str">
            <v>Welch Allyn Malaysia Sdn Bhd</v>
          </cell>
          <cell r="T1284" t="str">
            <v>Functioning</v>
          </cell>
          <cell r="U1284" t="str">
            <v>Asset</v>
          </cell>
          <cell r="V1284">
            <v>336</v>
          </cell>
          <cell r="W1284" t="str">
            <v>KEW</v>
          </cell>
          <cell r="X1284" t="str">
            <v>01/09/2010</v>
          </cell>
          <cell r="Y1284" t="str">
            <v>KEW</v>
          </cell>
          <cell r="Z1284" t="str">
            <v>16/08/2013</v>
          </cell>
          <cell r="AA1284" t="str">
            <v>15/08/2015</v>
          </cell>
          <cell r="AB1284" t="str">
            <v>No</v>
          </cell>
          <cell r="AC1284" t="str">
            <v>31/08/2013</v>
          </cell>
          <cell r="AD1284" t="str">
            <v>Good</v>
          </cell>
          <cell r="AE1284" t="str">
            <v>V3 - Added Installed Facilities (New)</v>
          </cell>
          <cell r="AF1284">
            <v>42235</v>
          </cell>
          <cell r="AG1284">
            <v>9.17</v>
          </cell>
          <cell r="AH1284" t="str">
            <v>PPM</v>
          </cell>
          <cell r="AI1284" t="str">
            <v>Not in contract</v>
          </cell>
          <cell r="AJ1284" t="str">
            <v>Proposed for V3 P2.23</v>
          </cell>
          <cell r="AK1284" t="e">
            <v>#N/A</v>
          </cell>
        </row>
        <row r="1285">
          <cell r="A1285" t="str">
            <v>IKN400909</v>
          </cell>
          <cell r="B1285">
            <v>908</v>
          </cell>
          <cell r="C1285" t="str">
            <v>Institut Kanser Negara</v>
          </cell>
          <cell r="D1285" t="str">
            <v>KKM/IKN/R/13/1777</v>
          </cell>
          <cell r="E1285" t="str">
            <v>16-173</v>
          </cell>
          <cell r="F1285" t="str">
            <v>Sphygmomanometers, Electronic, Automatic</v>
          </cell>
          <cell r="G1285" t="str">
            <v>OC</v>
          </cell>
          <cell r="H1285" t="str">
            <v>ONCOLOGY CLINIC</v>
          </cell>
          <cell r="I1285" t="str">
            <v>03OC120</v>
          </cell>
          <cell r="J1285" t="str">
            <v>C/E 3</v>
          </cell>
          <cell r="K1285" t="str">
            <v>BMED</v>
          </cell>
          <cell r="L1285" t="str">
            <v>Normal</v>
          </cell>
          <cell r="M1285" t="str">
            <v>USA</v>
          </cell>
          <cell r="N1285" t="str">
            <v>Connex</v>
          </cell>
          <cell r="O1285" t="str">
            <v>Connex ProBP 3400</v>
          </cell>
          <cell r="P1285" t="str">
            <v>100001530413</v>
          </cell>
          <cell r="Q1285" t="str">
            <v>Not Applicable</v>
          </cell>
          <cell r="R1285" t="str">
            <v>Welch Allyn Inc</v>
          </cell>
          <cell r="S1285" t="str">
            <v>Welch Allyn Malaysia Sdn Bhd</v>
          </cell>
          <cell r="T1285" t="str">
            <v>Functioning</v>
          </cell>
          <cell r="U1285" t="str">
            <v>Asset</v>
          </cell>
          <cell r="V1285">
            <v>336</v>
          </cell>
          <cell r="W1285" t="str">
            <v>KEW</v>
          </cell>
          <cell r="X1285" t="str">
            <v>01/09/2010</v>
          </cell>
          <cell r="Y1285" t="str">
            <v>KEW</v>
          </cell>
          <cell r="Z1285" t="str">
            <v>16/08/2013</v>
          </cell>
          <cell r="AA1285" t="str">
            <v>15/08/2015</v>
          </cell>
          <cell r="AB1285" t="str">
            <v>No</v>
          </cell>
          <cell r="AC1285" t="str">
            <v>31/08/2013</v>
          </cell>
          <cell r="AD1285" t="str">
            <v>Good</v>
          </cell>
          <cell r="AE1285" t="str">
            <v>V3 - Added Installed Facilities (New)</v>
          </cell>
          <cell r="AF1285">
            <v>42235</v>
          </cell>
          <cell r="AG1285">
            <v>9.17</v>
          </cell>
          <cell r="AH1285" t="str">
            <v>PPM</v>
          </cell>
          <cell r="AI1285" t="str">
            <v>Not in contract</v>
          </cell>
          <cell r="AJ1285" t="str">
            <v>Proposed for V3 P2.23</v>
          </cell>
          <cell r="AK1285" t="e">
            <v>#N/A</v>
          </cell>
        </row>
        <row r="1286">
          <cell r="A1286" t="str">
            <v>IKN400910</v>
          </cell>
          <cell r="B1286">
            <v>909</v>
          </cell>
          <cell r="C1286" t="str">
            <v>Institut Kanser Negara</v>
          </cell>
          <cell r="D1286" t="str">
            <v>KKM/IKN/R/13/1776</v>
          </cell>
          <cell r="E1286" t="str">
            <v>16-173</v>
          </cell>
          <cell r="F1286" t="str">
            <v>Sphygmomanometers, Electronic, Automatic</v>
          </cell>
          <cell r="G1286" t="str">
            <v>OC</v>
          </cell>
          <cell r="H1286" t="str">
            <v>ONCOLOGY CLINIC</v>
          </cell>
          <cell r="I1286" t="str">
            <v>03OC121</v>
          </cell>
          <cell r="J1286" t="str">
            <v>C/E2</v>
          </cell>
          <cell r="K1286" t="str">
            <v>BMED</v>
          </cell>
          <cell r="L1286" t="str">
            <v>Normal</v>
          </cell>
          <cell r="M1286" t="str">
            <v>USA</v>
          </cell>
          <cell r="N1286" t="str">
            <v>Connex</v>
          </cell>
          <cell r="O1286" t="str">
            <v>Connex ProBP 3400</v>
          </cell>
          <cell r="P1286" t="str">
            <v>100002940213</v>
          </cell>
          <cell r="Q1286" t="str">
            <v>Not Applicable</v>
          </cell>
          <cell r="R1286" t="str">
            <v>Welch Allyn Inc</v>
          </cell>
          <cell r="S1286" t="str">
            <v>Welch Allyn Malaysia Sdn Bhd</v>
          </cell>
          <cell r="T1286" t="str">
            <v>Functioning</v>
          </cell>
          <cell r="U1286" t="str">
            <v>Asset</v>
          </cell>
          <cell r="V1286">
            <v>336</v>
          </cell>
          <cell r="W1286" t="str">
            <v>KEW</v>
          </cell>
          <cell r="X1286" t="str">
            <v>01/09/2010</v>
          </cell>
          <cell r="Y1286" t="str">
            <v>KEW</v>
          </cell>
          <cell r="Z1286" t="str">
            <v>16/08/2013</v>
          </cell>
          <cell r="AA1286" t="str">
            <v>15/08/2015</v>
          </cell>
          <cell r="AB1286" t="str">
            <v>No</v>
          </cell>
          <cell r="AC1286" t="str">
            <v>31/08/2013</v>
          </cell>
          <cell r="AD1286" t="str">
            <v>Good</v>
          </cell>
          <cell r="AE1286" t="str">
            <v>V3 - Added Installed Facilities (New)</v>
          </cell>
          <cell r="AF1286">
            <v>42235</v>
          </cell>
          <cell r="AG1286">
            <v>9.17</v>
          </cell>
          <cell r="AH1286" t="str">
            <v>PPM</v>
          </cell>
          <cell r="AI1286" t="str">
            <v>Not in contract</v>
          </cell>
          <cell r="AJ1286" t="str">
            <v>Proposed for V3 P2.23</v>
          </cell>
          <cell r="AK1286" t="e">
            <v>#N/A</v>
          </cell>
        </row>
        <row r="1287">
          <cell r="A1287" t="str">
            <v>IKN400914</v>
          </cell>
          <cell r="B1287">
            <v>913</v>
          </cell>
          <cell r="C1287" t="str">
            <v>Institut Kanser Negara</v>
          </cell>
          <cell r="D1287" t="str">
            <v>KKM/IKN/H/13/560</v>
          </cell>
          <cell r="E1287" t="str">
            <v>10-208</v>
          </cell>
          <cell r="F1287" t="str">
            <v>Aspirators</v>
          </cell>
          <cell r="G1287" t="str">
            <v>OC</v>
          </cell>
          <cell r="H1287" t="str">
            <v>ONCOLOGY CLINIC</v>
          </cell>
          <cell r="I1287" t="str">
            <v>03OC135</v>
          </cell>
          <cell r="J1287" t="str">
            <v>TREATMENT 1</v>
          </cell>
          <cell r="K1287" t="str">
            <v>BMED</v>
          </cell>
          <cell r="L1287" t="str">
            <v>Critical</v>
          </cell>
          <cell r="M1287" t="str">
            <v>Switzerland</v>
          </cell>
          <cell r="N1287" t="str">
            <v>Senator</v>
          </cell>
          <cell r="O1287" t="str">
            <v>Senator</v>
          </cell>
          <cell r="P1287" t="str">
            <v>1220744</v>
          </cell>
          <cell r="Q1287" t="str">
            <v>Not Applicable</v>
          </cell>
          <cell r="R1287" t="str">
            <v>Ardo Medical AG</v>
          </cell>
          <cell r="S1287" t="str">
            <v>Histopoint</v>
          </cell>
          <cell r="T1287" t="str">
            <v>Functioning</v>
          </cell>
          <cell r="U1287" t="str">
            <v>Asset</v>
          </cell>
          <cell r="V1287">
            <v>5052</v>
          </cell>
          <cell r="W1287" t="str">
            <v>KEW</v>
          </cell>
          <cell r="X1287" t="str">
            <v>01/09/2010</v>
          </cell>
          <cell r="Y1287" t="str">
            <v>KEW</v>
          </cell>
          <cell r="Z1287" t="str">
            <v>16/08/2013</v>
          </cell>
          <cell r="AA1287" t="str">
            <v>15/08/2015</v>
          </cell>
          <cell r="AB1287" t="str">
            <v>No</v>
          </cell>
          <cell r="AC1287" t="str">
            <v>31/08/2013</v>
          </cell>
          <cell r="AD1287" t="str">
            <v>Good</v>
          </cell>
          <cell r="AE1287" t="str">
            <v>V1 - Existing / No Claim</v>
          </cell>
          <cell r="AF1287">
            <v>42802</v>
          </cell>
          <cell r="AG1287">
            <v>9.17</v>
          </cell>
          <cell r="AH1287" t="str">
            <v>PPM</v>
          </cell>
          <cell r="AI1287" t="str">
            <v>Strands</v>
          </cell>
          <cell r="AJ1287" t="str">
            <v>Strands PW</v>
          </cell>
        </row>
        <row r="1288">
          <cell r="A1288" t="str">
            <v>IKN400915</v>
          </cell>
          <cell r="B1288">
            <v>914</v>
          </cell>
          <cell r="C1288" t="str">
            <v>Institut Kanser Negara</v>
          </cell>
          <cell r="D1288" t="str">
            <v>KKM/IKN/H/13/798</v>
          </cell>
          <cell r="E1288" t="str">
            <v>10-208</v>
          </cell>
          <cell r="F1288" t="str">
            <v>Aspirators</v>
          </cell>
          <cell r="G1288" t="str">
            <v>OC</v>
          </cell>
          <cell r="H1288" t="str">
            <v>ONCOLOGY CLINIC</v>
          </cell>
          <cell r="I1288" t="str">
            <v>03OC136</v>
          </cell>
          <cell r="J1288" t="str">
            <v>TREATMENT 2</v>
          </cell>
          <cell r="K1288" t="str">
            <v>BMED</v>
          </cell>
          <cell r="L1288" t="str">
            <v>Critical</v>
          </cell>
          <cell r="M1288" t="str">
            <v>Switzerland</v>
          </cell>
          <cell r="N1288" t="str">
            <v>Senator</v>
          </cell>
          <cell r="O1288" t="str">
            <v>Senator</v>
          </cell>
          <cell r="P1288" t="str">
            <v>1320188</v>
          </cell>
          <cell r="Q1288" t="str">
            <v>Not Applicable</v>
          </cell>
          <cell r="R1288" t="str">
            <v>Ardo Medical AG</v>
          </cell>
          <cell r="S1288" t="str">
            <v>Histopoint</v>
          </cell>
          <cell r="T1288" t="str">
            <v>Functioning</v>
          </cell>
          <cell r="U1288" t="str">
            <v>Asset</v>
          </cell>
          <cell r="V1288">
            <v>5052</v>
          </cell>
          <cell r="W1288" t="str">
            <v>KEW</v>
          </cell>
          <cell r="X1288" t="str">
            <v>01/09/2010</v>
          </cell>
          <cell r="Y1288" t="str">
            <v>KEW</v>
          </cell>
          <cell r="Z1288" t="str">
            <v>16/08/2013</v>
          </cell>
          <cell r="AA1288" t="str">
            <v>15/08/2015</v>
          </cell>
          <cell r="AB1288" t="str">
            <v>No</v>
          </cell>
          <cell r="AC1288" t="str">
            <v>31/08/2013</v>
          </cell>
          <cell r="AD1288" t="str">
            <v>Good</v>
          </cell>
          <cell r="AE1288" t="str">
            <v>V1 - Existing / No Claim</v>
          </cell>
          <cell r="AF1288">
            <v>42802</v>
          </cell>
          <cell r="AG1288">
            <v>9.17</v>
          </cell>
          <cell r="AH1288" t="str">
            <v>PPM</v>
          </cell>
          <cell r="AI1288" t="str">
            <v>Strands</v>
          </cell>
          <cell r="AJ1288" t="str">
            <v>Strands PW</v>
          </cell>
        </row>
        <row r="1289">
          <cell r="A1289" t="str">
            <v>IKN400916</v>
          </cell>
          <cell r="B1289">
            <v>915</v>
          </cell>
          <cell r="C1289" t="str">
            <v>Institut Kanser Negara</v>
          </cell>
          <cell r="D1289" t="str">
            <v>KKM/IKN/I/13/7267</v>
          </cell>
          <cell r="E1289" t="str">
            <v>17-148</v>
          </cell>
          <cell r="F1289" t="str">
            <v>Oximeters, Pulse</v>
          </cell>
          <cell r="G1289" t="str">
            <v>OC</v>
          </cell>
          <cell r="H1289" t="str">
            <v>ONCOLOGY CLINIC</v>
          </cell>
          <cell r="I1289" t="str">
            <v>03OC133</v>
          </cell>
          <cell r="J1289" t="str">
            <v>ASSESSMENT</v>
          </cell>
          <cell r="K1289" t="str">
            <v>BMED</v>
          </cell>
          <cell r="L1289" t="str">
            <v>Critical</v>
          </cell>
          <cell r="M1289" t="str">
            <v>Finland</v>
          </cell>
          <cell r="N1289" t="str">
            <v>Trusat</v>
          </cell>
          <cell r="O1289" t="str">
            <v>Trusat</v>
          </cell>
          <cell r="P1289" t="str">
            <v>FCC12430004SA</v>
          </cell>
          <cell r="Q1289" t="str">
            <v>Not Applicable</v>
          </cell>
          <cell r="R1289" t="str">
            <v>GE Healthcare Systems</v>
          </cell>
          <cell r="S1289" t="str">
            <v>GE Healthcare Technologies</v>
          </cell>
          <cell r="T1289" t="str">
            <v>Functioning</v>
          </cell>
          <cell r="U1289" t="str">
            <v>Asset</v>
          </cell>
          <cell r="V1289">
            <v>280</v>
          </cell>
          <cell r="W1289" t="str">
            <v>KEW</v>
          </cell>
          <cell r="X1289" t="str">
            <v>01/09/2010</v>
          </cell>
          <cell r="Y1289" t="str">
            <v>KEW</v>
          </cell>
          <cell r="Z1289" t="str">
            <v>16/08/2013</v>
          </cell>
          <cell r="AA1289" t="str">
            <v>15/08/2015</v>
          </cell>
          <cell r="AB1289" t="str">
            <v>No</v>
          </cell>
          <cell r="AC1289" t="str">
            <v>31/08/2013</v>
          </cell>
          <cell r="AD1289" t="str">
            <v>Good</v>
          </cell>
          <cell r="AE1289" t="str">
            <v>V1 - Existing / No Claim</v>
          </cell>
          <cell r="AF1289">
            <v>42633</v>
          </cell>
          <cell r="AG1289">
            <v>9.17</v>
          </cell>
          <cell r="AH1289" t="str">
            <v>PPM</v>
          </cell>
          <cell r="AI1289" t="str">
            <v>Not in contract</v>
          </cell>
          <cell r="AJ1289" t="e">
            <v>#REF!</v>
          </cell>
          <cell r="AK1289" t="e">
            <v>#N/A</v>
          </cell>
        </row>
        <row r="1290">
          <cell r="A1290" t="str">
            <v>IKN400917</v>
          </cell>
          <cell r="B1290">
            <v>916</v>
          </cell>
          <cell r="C1290" t="str">
            <v>Institut Kanser Negara</v>
          </cell>
          <cell r="D1290" t="str">
            <v>KKM/IKN/H/13/481</v>
          </cell>
          <cell r="E1290" t="str">
            <v>16-231</v>
          </cell>
          <cell r="F1290" t="str">
            <v>Electrocardiographs, Multichannel, Interpretative</v>
          </cell>
          <cell r="G1290" t="str">
            <v>OC</v>
          </cell>
          <cell r="H1290" t="str">
            <v>ONCOLOGY CLINIC</v>
          </cell>
          <cell r="I1290" t="str">
            <v>03OC135</v>
          </cell>
          <cell r="J1290" t="str">
            <v>TREATMENT 1</v>
          </cell>
          <cell r="K1290" t="str">
            <v>BMED</v>
          </cell>
          <cell r="L1290" t="str">
            <v>Critical</v>
          </cell>
          <cell r="M1290" t="str">
            <v>China</v>
          </cell>
          <cell r="N1290" t="str">
            <v>Mac</v>
          </cell>
          <cell r="O1290" t="str">
            <v>MAC 800</v>
          </cell>
          <cell r="P1290" t="str">
            <v>SJ412450362 WA</v>
          </cell>
          <cell r="Q1290" t="str">
            <v>Not Applicable</v>
          </cell>
          <cell r="R1290" t="str">
            <v>GE Healthcare Systems</v>
          </cell>
          <cell r="S1290" t="str">
            <v>GE Healthcare Technologies</v>
          </cell>
          <cell r="T1290" t="str">
            <v>Functioning</v>
          </cell>
          <cell r="U1290" t="str">
            <v>Asset</v>
          </cell>
          <cell r="V1290">
            <v>25260</v>
          </cell>
          <cell r="W1290" t="str">
            <v>KEW</v>
          </cell>
          <cell r="X1290" t="str">
            <v>01/09/2010</v>
          </cell>
          <cell r="Y1290" t="str">
            <v>KEW</v>
          </cell>
          <cell r="Z1290" t="str">
            <v>16/08/2013</v>
          </cell>
          <cell r="AA1290" t="str">
            <v>15/08/2015</v>
          </cell>
          <cell r="AB1290" t="str">
            <v>No</v>
          </cell>
          <cell r="AC1290" t="str">
            <v>31/08/2013</v>
          </cell>
          <cell r="AD1290" t="str">
            <v>Good</v>
          </cell>
          <cell r="AE1290" t="str">
            <v>V1 - Existing / No Claim</v>
          </cell>
          <cell r="AF1290">
            <v>42802</v>
          </cell>
          <cell r="AG1290">
            <v>9.17</v>
          </cell>
          <cell r="AH1290" t="str">
            <v>PPM</v>
          </cell>
          <cell r="AI1290" t="str">
            <v>Strands</v>
          </cell>
          <cell r="AJ1290" t="str">
            <v>Strands PW</v>
          </cell>
        </row>
        <row r="1291">
          <cell r="A1291" t="str">
            <v>IKN400951</v>
          </cell>
          <cell r="B1291">
            <v>950</v>
          </cell>
          <cell r="C1291" t="str">
            <v>Institut Kanser Negara</v>
          </cell>
          <cell r="D1291" t="str">
            <v>KKM/IKN/H/13/3382</v>
          </cell>
          <cell r="E1291" t="str">
            <v>12-282</v>
          </cell>
          <cell r="F1291" t="str">
            <v>Lights, Surgical</v>
          </cell>
          <cell r="G1291" t="str">
            <v>RT</v>
          </cell>
          <cell r="H1291" t="str">
            <v>RADIATION TREATMENT UNIT</v>
          </cell>
          <cell r="I1291" t="str">
            <v>01RT109</v>
          </cell>
          <cell r="J1291" t="str">
            <v>C/L 1</v>
          </cell>
          <cell r="K1291" t="str">
            <v>BMED</v>
          </cell>
          <cell r="L1291" t="str">
            <v>Normal</v>
          </cell>
          <cell r="M1291" t="str">
            <v>USA</v>
          </cell>
          <cell r="N1291" t="str">
            <v>Welch Allyn</v>
          </cell>
          <cell r="O1291" t="str">
            <v>Welch Allyn GS600</v>
          </cell>
          <cell r="P1291" t="str">
            <v>GS-600-02</v>
          </cell>
          <cell r="Q1291" t="str">
            <v>Not Applicable</v>
          </cell>
          <cell r="R1291" t="str">
            <v>Welch Allyn Inc</v>
          </cell>
          <cell r="S1291" t="str">
            <v>Welch Allyn Malaysia Sdn Bhd</v>
          </cell>
          <cell r="T1291" t="str">
            <v>Functioning</v>
          </cell>
          <cell r="U1291" t="str">
            <v>Asset</v>
          </cell>
          <cell r="V1291">
            <v>5050</v>
          </cell>
          <cell r="W1291" t="str">
            <v>KEW</v>
          </cell>
          <cell r="X1291" t="str">
            <v>01/09/2010</v>
          </cell>
          <cell r="Y1291" t="str">
            <v>KEW</v>
          </cell>
          <cell r="Z1291" t="str">
            <v>16/08/2013</v>
          </cell>
          <cell r="AA1291" t="str">
            <v>15/08/2015</v>
          </cell>
          <cell r="AB1291" t="str">
            <v>No</v>
          </cell>
          <cell r="AC1291" t="str">
            <v>31/08/2013</v>
          </cell>
          <cell r="AD1291" t="str">
            <v>Good</v>
          </cell>
          <cell r="AE1291" t="str">
            <v>V1 - Existing / No Claim</v>
          </cell>
          <cell r="AF1291">
            <v>42235</v>
          </cell>
          <cell r="AG1291">
            <v>9.17</v>
          </cell>
          <cell r="AH1291" t="str">
            <v>PPM</v>
          </cell>
          <cell r="AI1291" t="str">
            <v>Strands</v>
          </cell>
          <cell r="AJ1291" t="str">
            <v>Strands PW</v>
          </cell>
        </row>
        <row r="1292">
          <cell r="A1292" t="str">
            <v>IKN400952</v>
          </cell>
          <cell r="B1292">
            <v>951</v>
          </cell>
          <cell r="C1292" t="str">
            <v>Institut Kanser Negara</v>
          </cell>
          <cell r="D1292" t="str">
            <v>KKM/IKN/H/13/5376</v>
          </cell>
          <cell r="E1292" t="str">
            <v>12-282</v>
          </cell>
          <cell r="F1292" t="str">
            <v>Lights, Surgical</v>
          </cell>
          <cell r="G1292" t="str">
            <v>RT</v>
          </cell>
          <cell r="H1292" t="str">
            <v>RADIATION TREATMENT UNIT</v>
          </cell>
          <cell r="I1292" t="str">
            <v>01RT109</v>
          </cell>
          <cell r="J1292" t="str">
            <v>C/L 1</v>
          </cell>
          <cell r="K1292" t="str">
            <v>BMED</v>
          </cell>
          <cell r="L1292" t="str">
            <v>Normal</v>
          </cell>
          <cell r="M1292" t="str">
            <v>USA</v>
          </cell>
          <cell r="N1292" t="str">
            <v>Welch Allyn</v>
          </cell>
          <cell r="O1292" t="str">
            <v>Welch Allyn GS600</v>
          </cell>
          <cell r="P1292" t="str">
            <v>GS-600-03</v>
          </cell>
          <cell r="Q1292" t="str">
            <v>Not Applicable</v>
          </cell>
          <cell r="R1292" t="str">
            <v>Welch Allyn Inc</v>
          </cell>
          <cell r="S1292" t="str">
            <v>Welch Allyn Malaysia Sdn Bhd</v>
          </cell>
          <cell r="T1292" t="str">
            <v>Functioning</v>
          </cell>
          <cell r="U1292" t="str">
            <v>Asset</v>
          </cell>
          <cell r="V1292">
            <v>5050</v>
          </cell>
          <cell r="W1292" t="str">
            <v>KEW</v>
          </cell>
          <cell r="X1292" t="str">
            <v>01/09/2010</v>
          </cell>
          <cell r="Y1292" t="str">
            <v>KEW</v>
          </cell>
          <cell r="Z1292" t="str">
            <v>16/08/2013</v>
          </cell>
          <cell r="AA1292" t="str">
            <v>15/08/2015</v>
          </cell>
          <cell r="AB1292" t="str">
            <v>No</v>
          </cell>
          <cell r="AC1292" t="str">
            <v>31/08/2013</v>
          </cell>
          <cell r="AD1292" t="str">
            <v>Good</v>
          </cell>
          <cell r="AE1292" t="str">
            <v>V1 - Existing / No Claim</v>
          </cell>
          <cell r="AF1292">
            <v>42235</v>
          </cell>
          <cell r="AG1292">
            <v>9.17</v>
          </cell>
          <cell r="AH1292" t="str">
            <v>PPM</v>
          </cell>
          <cell r="AI1292" t="str">
            <v>Strands</v>
          </cell>
          <cell r="AJ1292" t="str">
            <v>Strands PW</v>
          </cell>
        </row>
        <row r="1293">
          <cell r="A1293" t="str">
            <v>IKN400954</v>
          </cell>
          <cell r="B1293">
            <v>953</v>
          </cell>
          <cell r="C1293" t="str">
            <v>Institut Kanser Negara</v>
          </cell>
          <cell r="D1293" t="str">
            <v>KKM/IKN/H/13/5377</v>
          </cell>
          <cell r="E1293" t="str">
            <v>12-282</v>
          </cell>
          <cell r="F1293" t="str">
            <v>Lights, Surgical</v>
          </cell>
          <cell r="G1293" t="str">
            <v>RT</v>
          </cell>
          <cell r="H1293" t="str">
            <v>RADIATION TREATMENT UNIT</v>
          </cell>
          <cell r="I1293" t="str">
            <v>01RT111</v>
          </cell>
          <cell r="J1293" t="str">
            <v>C/E 3</v>
          </cell>
          <cell r="K1293" t="str">
            <v>BMED</v>
          </cell>
          <cell r="L1293" t="str">
            <v>Normal</v>
          </cell>
          <cell r="M1293" t="str">
            <v>USA</v>
          </cell>
          <cell r="N1293" t="str">
            <v>Welch Allyn</v>
          </cell>
          <cell r="O1293" t="str">
            <v>Welch Allyn GS600</v>
          </cell>
          <cell r="P1293" t="str">
            <v>GS-600-04</v>
          </cell>
          <cell r="Q1293" t="str">
            <v>Not Applicable</v>
          </cell>
          <cell r="R1293" t="str">
            <v>Welch Allyn Inc</v>
          </cell>
          <cell r="S1293" t="str">
            <v>Welch Allyn Malaysia Sdn Bhd</v>
          </cell>
          <cell r="T1293" t="str">
            <v>Functioning</v>
          </cell>
          <cell r="U1293" t="str">
            <v>Asset</v>
          </cell>
          <cell r="V1293">
            <v>5050</v>
          </cell>
          <cell r="W1293" t="str">
            <v>KEW</v>
          </cell>
          <cell r="X1293" t="str">
            <v>01/09/2010</v>
          </cell>
          <cell r="Y1293" t="str">
            <v>KEW</v>
          </cell>
          <cell r="Z1293" t="str">
            <v>16/08/2013</v>
          </cell>
          <cell r="AA1293" t="str">
            <v>15/08/2015</v>
          </cell>
          <cell r="AB1293" t="str">
            <v>No</v>
          </cell>
          <cell r="AC1293" t="str">
            <v>31/08/2013</v>
          </cell>
          <cell r="AD1293" t="str">
            <v>Good</v>
          </cell>
          <cell r="AE1293" t="str">
            <v>V1 - Existing / No Claim</v>
          </cell>
          <cell r="AF1293">
            <v>42235</v>
          </cell>
          <cell r="AG1293">
            <v>9.17</v>
          </cell>
          <cell r="AH1293" t="str">
            <v>PPM</v>
          </cell>
          <cell r="AI1293" t="str">
            <v>Strands</v>
          </cell>
          <cell r="AJ1293" t="str">
            <v>Strands PW</v>
          </cell>
        </row>
        <row r="1294">
          <cell r="A1294" t="str">
            <v>IKN400955</v>
          </cell>
          <cell r="B1294">
            <v>954</v>
          </cell>
          <cell r="C1294" t="str">
            <v>Institut Kanser Negara</v>
          </cell>
          <cell r="E1294" t="str">
            <v>16-173</v>
          </cell>
          <cell r="F1294" t="str">
            <v>Sphygmomanometers, Electronic, Automatic</v>
          </cell>
          <cell r="G1294" t="str">
            <v>RT</v>
          </cell>
          <cell r="H1294" t="str">
            <v>RADIATION TREATMENT UNIT</v>
          </cell>
          <cell r="I1294" t="str">
            <v>01RT111</v>
          </cell>
          <cell r="J1294" t="str">
            <v>C/E 3</v>
          </cell>
          <cell r="K1294" t="str">
            <v>BMED</v>
          </cell>
          <cell r="L1294" t="str">
            <v>Normal</v>
          </cell>
          <cell r="M1294" t="str">
            <v>USA</v>
          </cell>
          <cell r="N1294" t="str">
            <v>Connex</v>
          </cell>
          <cell r="O1294" t="str">
            <v>Connex ProBP 3400</v>
          </cell>
          <cell r="P1294" t="str">
            <v>100001450413</v>
          </cell>
          <cell r="Q1294" t="str">
            <v>Not Applicable</v>
          </cell>
          <cell r="R1294" t="str">
            <v>Welch Allyn Inc</v>
          </cell>
          <cell r="S1294" t="str">
            <v>Welch Allyn Malaysia Sdn Bhd</v>
          </cell>
          <cell r="T1294" t="str">
            <v>Functioning</v>
          </cell>
          <cell r="U1294" t="str">
            <v>Asset</v>
          </cell>
          <cell r="V1294">
            <v>336</v>
          </cell>
          <cell r="W1294" t="str">
            <v>KEW</v>
          </cell>
          <cell r="X1294" t="str">
            <v>01/09/2010</v>
          </cell>
          <cell r="Y1294" t="str">
            <v>KEW</v>
          </cell>
          <cell r="Z1294" t="str">
            <v>16/08/2013</v>
          </cell>
          <cell r="AA1294" t="str">
            <v>15/08/2015</v>
          </cell>
          <cell r="AB1294" t="str">
            <v>No</v>
          </cell>
          <cell r="AC1294" t="str">
            <v>31/08/2013</v>
          </cell>
          <cell r="AD1294" t="str">
            <v>Good</v>
          </cell>
          <cell r="AE1294" t="str">
            <v>V3 - Added Installed Facilities (New)</v>
          </cell>
          <cell r="AF1294">
            <v>42235</v>
          </cell>
          <cell r="AG1294">
            <v>9.17</v>
          </cell>
          <cell r="AH1294" t="str">
            <v>PPM</v>
          </cell>
          <cell r="AI1294" t="str">
            <v>strands</v>
          </cell>
        </row>
        <row r="1295">
          <cell r="A1295" t="str">
            <v>IKN400956</v>
          </cell>
          <cell r="B1295">
            <v>955</v>
          </cell>
          <cell r="C1295" t="str">
            <v>Institut Kanser Negara</v>
          </cell>
          <cell r="D1295" t="str">
            <v>KKM/IKN/H/13/4472</v>
          </cell>
          <cell r="E1295" t="str">
            <v>12-364</v>
          </cell>
          <cell r="F1295" t="str">
            <v>Linear Accelerators</v>
          </cell>
          <cell r="G1295" t="str">
            <v>RT</v>
          </cell>
          <cell r="H1295" t="str">
            <v>RADIATION TREATMENT UNIT</v>
          </cell>
          <cell r="I1295" t="str">
            <v>01RT172</v>
          </cell>
          <cell r="J1295" t="str">
            <v>LINAC ROOM 3</v>
          </cell>
          <cell r="K1295" t="str">
            <v>BMED</v>
          </cell>
          <cell r="L1295" t="str">
            <v>Normal</v>
          </cell>
          <cell r="M1295" t="str">
            <v>USA</v>
          </cell>
          <cell r="N1295" t="str">
            <v>Novalis</v>
          </cell>
          <cell r="O1295" t="str">
            <v>Novalis Tx</v>
          </cell>
          <cell r="P1295" t="str">
            <v>5426</v>
          </cell>
          <cell r="Q1295" t="str">
            <v>Not Applicable</v>
          </cell>
          <cell r="R1295" t="str">
            <v>Varian Medical System</v>
          </cell>
          <cell r="S1295" t="str">
            <v>V Medical Services</v>
          </cell>
          <cell r="T1295" t="str">
            <v>Functioning</v>
          </cell>
          <cell r="U1295" t="str">
            <v>Asset</v>
          </cell>
          <cell r="V1295">
            <v>21961900</v>
          </cell>
          <cell r="W1295" t="str">
            <v>KEW</v>
          </cell>
          <cell r="X1295" t="str">
            <v>01/09/2010</v>
          </cell>
          <cell r="Y1295" t="str">
            <v>KEW</v>
          </cell>
          <cell r="Z1295" t="str">
            <v>16/08/2013</v>
          </cell>
          <cell r="AA1295" t="str">
            <v>15/08/2015</v>
          </cell>
          <cell r="AB1295" t="str">
            <v>No</v>
          </cell>
          <cell r="AC1295" t="str">
            <v>31/08/2013</v>
          </cell>
          <cell r="AD1295" t="str">
            <v>Good</v>
          </cell>
          <cell r="AE1295" t="str">
            <v>V1 - Existing / No Claim</v>
          </cell>
          <cell r="AF1295">
            <v>42235</v>
          </cell>
          <cell r="AG1295">
            <v>9.17</v>
          </cell>
          <cell r="AH1295" t="str">
            <v>PPM</v>
          </cell>
          <cell r="AI1295" t="str">
            <v>Strands</v>
          </cell>
          <cell r="AJ1295" t="str">
            <v>Strands Package</v>
          </cell>
          <cell r="AK1295" t="str">
            <v>Package Code XM0003(A)</v>
          </cell>
        </row>
        <row r="1296">
          <cell r="A1296" t="str">
            <v>IKN400957</v>
          </cell>
          <cell r="B1296">
            <v>956</v>
          </cell>
          <cell r="C1296" t="str">
            <v>Institut Kanser Negara</v>
          </cell>
          <cell r="D1296" t="str">
            <v>KKM/IKN/H/13/5022</v>
          </cell>
          <cell r="E1296" t="str">
            <v>12-647</v>
          </cell>
          <cell r="F1296" t="str">
            <v>Physiologic Monitoring Systems, Acute Care</v>
          </cell>
          <cell r="G1296" t="str">
            <v>RT</v>
          </cell>
          <cell r="H1296" t="str">
            <v>RADIATION TREATMENT UNIT</v>
          </cell>
          <cell r="I1296" t="str">
            <v>01RT165</v>
          </cell>
          <cell r="J1296" t="str">
            <v>LINAC ROOM 2 (TBI)</v>
          </cell>
          <cell r="K1296" t="str">
            <v>BMED</v>
          </cell>
          <cell r="L1296" t="str">
            <v>Normal</v>
          </cell>
          <cell r="M1296" t="str">
            <v>Finland</v>
          </cell>
          <cell r="N1296" t="str">
            <v>Carespace</v>
          </cell>
          <cell r="O1296" t="str">
            <v>Carespace B850</v>
          </cell>
          <cell r="P1296" t="str">
            <v>SED12370672GA</v>
          </cell>
          <cell r="Q1296" t="str">
            <v>Not Applicable</v>
          </cell>
          <cell r="R1296" t="str">
            <v>GE Healthcare Systems</v>
          </cell>
          <cell r="S1296" t="str">
            <v>GE Healthcare Technologies</v>
          </cell>
          <cell r="T1296" t="str">
            <v>Functioning</v>
          </cell>
          <cell r="U1296" t="str">
            <v>Asset</v>
          </cell>
          <cell r="V1296">
            <v>119690</v>
          </cell>
          <cell r="W1296" t="str">
            <v>KEW</v>
          </cell>
          <cell r="X1296" t="str">
            <v>01/09/2010</v>
          </cell>
          <cell r="Y1296" t="str">
            <v>KEW</v>
          </cell>
          <cell r="Z1296" t="str">
            <v>16/08/2013</v>
          </cell>
          <cell r="AA1296" t="str">
            <v>15/08/2015</v>
          </cell>
          <cell r="AB1296" t="str">
            <v>No</v>
          </cell>
          <cell r="AC1296" t="str">
            <v>31/08/2013</v>
          </cell>
          <cell r="AD1296" t="str">
            <v>Good</v>
          </cell>
          <cell r="AE1296" t="str">
            <v>V1 - Existing / No Claim</v>
          </cell>
          <cell r="AF1296">
            <v>42235</v>
          </cell>
          <cell r="AG1296">
            <v>9.17</v>
          </cell>
          <cell r="AH1296" t="str">
            <v>PPM</v>
          </cell>
          <cell r="AI1296" t="str">
            <v>Strands</v>
          </cell>
          <cell r="AJ1296" t="str">
            <v>Strands PW</v>
          </cell>
        </row>
        <row r="1297">
          <cell r="A1297" t="str">
            <v>IKN400958</v>
          </cell>
          <cell r="B1297">
            <v>957</v>
          </cell>
          <cell r="C1297" t="str">
            <v>Institut Kanser Negara</v>
          </cell>
          <cell r="E1297" t="str">
            <v>11-134</v>
          </cell>
          <cell r="F1297" t="str">
            <v>Defibrillators, External, Manual</v>
          </cell>
          <cell r="G1297" t="str">
            <v>RT</v>
          </cell>
          <cell r="H1297" t="str">
            <v>RADIATION TREATMENT UNIT</v>
          </cell>
          <cell r="I1297" t="str">
            <v>01RT116</v>
          </cell>
          <cell r="J1297" t="str">
            <v>CT SIMULATOR 1</v>
          </cell>
          <cell r="K1297" t="str">
            <v>BMED</v>
          </cell>
          <cell r="L1297" t="str">
            <v>Critical</v>
          </cell>
          <cell r="M1297" t="str">
            <v>USA</v>
          </cell>
          <cell r="N1297" t="str">
            <v>Responder</v>
          </cell>
          <cell r="O1297" t="str">
            <v>Responder 2000</v>
          </cell>
          <cell r="P1297" t="str">
            <v>3206736</v>
          </cell>
          <cell r="Q1297" t="str">
            <v>Not Applicable</v>
          </cell>
          <cell r="R1297" t="str">
            <v>GE Medical Systems</v>
          </cell>
          <cell r="S1297" t="str">
            <v>Antah Sir Radin Sdn. Bhd.</v>
          </cell>
          <cell r="T1297" t="str">
            <v>Functioning</v>
          </cell>
          <cell r="U1297" t="str">
            <v>Asset</v>
          </cell>
          <cell r="V1297">
            <v>45000</v>
          </cell>
          <cell r="W1297" t="str">
            <v>Estimate</v>
          </cell>
          <cell r="X1297" t="str">
            <v>01/09/2010</v>
          </cell>
          <cell r="Y1297" t="str">
            <v>KEW</v>
          </cell>
          <cell r="Z1297" t="str">
            <v>16/08/2013</v>
          </cell>
          <cell r="AA1297" t="str">
            <v>15/08/2015</v>
          </cell>
          <cell r="AB1297" t="str">
            <v>No</v>
          </cell>
          <cell r="AC1297" t="str">
            <v>31/08/2013</v>
          </cell>
          <cell r="AD1297" t="str">
            <v>Good</v>
          </cell>
          <cell r="AE1297" t="str">
            <v>V1 - Existing / No Claim</v>
          </cell>
          <cell r="AF1297">
            <v>42605</v>
          </cell>
          <cell r="AG1297">
            <v>9.17</v>
          </cell>
          <cell r="AH1297" t="str">
            <v>PPM</v>
          </cell>
          <cell r="AI1297" t="str">
            <v>Strands</v>
          </cell>
          <cell r="AJ1297" t="str">
            <v>Strands PW</v>
          </cell>
          <cell r="AK1297" t="str">
            <v>Crash Trolley (FEMS)</v>
          </cell>
        </row>
        <row r="1298">
          <cell r="A1298" t="str">
            <v>IKN400959</v>
          </cell>
          <cell r="B1298">
            <v>958</v>
          </cell>
          <cell r="C1298" t="str">
            <v>Institut Kanser Negara</v>
          </cell>
          <cell r="D1298" t="str">
            <v>KKM/IKN/H/13/5034</v>
          </cell>
          <cell r="E1298" t="str">
            <v>10-134</v>
          </cell>
          <cell r="F1298" t="str">
            <v>Anesthesia Units</v>
          </cell>
          <cell r="G1298" t="str">
            <v>RT</v>
          </cell>
          <cell r="H1298" t="str">
            <v>RADIATION TREATMENT UNIT</v>
          </cell>
          <cell r="I1298" t="str">
            <v>01RT212</v>
          </cell>
          <cell r="J1298" t="str">
            <v>RECOVERY</v>
          </cell>
          <cell r="K1298" t="str">
            <v>BMED</v>
          </cell>
          <cell r="L1298" t="str">
            <v>Normal</v>
          </cell>
          <cell r="M1298" t="str">
            <v>Germany</v>
          </cell>
          <cell r="N1298" t="str">
            <v>Primus</v>
          </cell>
          <cell r="O1298" t="str">
            <v>Primus</v>
          </cell>
          <cell r="P1298" t="str">
            <v>ASDJ-0234</v>
          </cell>
          <cell r="Q1298" t="str">
            <v>Not Applicable</v>
          </cell>
          <cell r="R1298" t="str">
            <v>Drager medical GmbH</v>
          </cell>
          <cell r="S1298" t="str">
            <v>Beau Consortium Sdn Bhd</v>
          </cell>
          <cell r="T1298" t="str">
            <v>Functioning</v>
          </cell>
          <cell r="U1298" t="str">
            <v>Asset</v>
          </cell>
          <cell r="V1298">
            <v>144345</v>
          </cell>
          <cell r="W1298" t="str">
            <v>KEW</v>
          </cell>
          <cell r="X1298" t="str">
            <v>01/09/2010</v>
          </cell>
          <cell r="Y1298" t="str">
            <v>KEW</v>
          </cell>
          <cell r="Z1298" t="str">
            <v>16/08/2013</v>
          </cell>
          <cell r="AA1298" t="str">
            <v>15/08/2015</v>
          </cell>
          <cell r="AB1298" t="str">
            <v>No</v>
          </cell>
          <cell r="AC1298" t="str">
            <v>31/08/2013</v>
          </cell>
          <cell r="AD1298" t="str">
            <v>Good</v>
          </cell>
          <cell r="AE1298" t="str">
            <v>V1 - Existing / No Claim</v>
          </cell>
          <cell r="AF1298">
            <v>42235</v>
          </cell>
          <cell r="AG1298">
            <v>9.17</v>
          </cell>
          <cell r="AH1298" t="str">
            <v>PPM</v>
          </cell>
          <cell r="AI1298" t="str">
            <v>Strands</v>
          </cell>
          <cell r="AJ1298" t="str">
            <v>Strands PW</v>
          </cell>
        </row>
        <row r="1299">
          <cell r="A1299" t="str">
            <v>IKN400961</v>
          </cell>
          <cell r="B1299">
            <v>960</v>
          </cell>
          <cell r="C1299" t="str">
            <v>Institut Kanser Negara</v>
          </cell>
          <cell r="D1299" t="str">
            <v>KKM/IKN/H/13/4944</v>
          </cell>
          <cell r="E1299" t="str">
            <v>12-647</v>
          </cell>
          <cell r="F1299" t="str">
            <v>Physiologic Monitoring Systems, Acute Care</v>
          </cell>
          <cell r="G1299" t="str">
            <v>RT</v>
          </cell>
          <cell r="H1299" t="str">
            <v>RADIATION TREATMENT UNIT</v>
          </cell>
          <cell r="I1299" t="str">
            <v>01RT212</v>
          </cell>
          <cell r="J1299" t="str">
            <v>RECOVERY</v>
          </cell>
          <cell r="K1299" t="str">
            <v>BMED</v>
          </cell>
          <cell r="L1299" t="str">
            <v>Critical</v>
          </cell>
          <cell r="M1299" t="str">
            <v>Finland</v>
          </cell>
          <cell r="N1299" t="str">
            <v>CareScape</v>
          </cell>
          <cell r="O1299" t="str">
            <v>CareScape B650</v>
          </cell>
          <cell r="P1299" t="str">
            <v>SEW12357511HA</v>
          </cell>
          <cell r="Q1299" t="str">
            <v>Not Applicable</v>
          </cell>
          <cell r="R1299" t="str">
            <v>GE Medical Systems</v>
          </cell>
          <cell r="S1299" t="str">
            <v>GE Healthcare Technologies</v>
          </cell>
          <cell r="T1299" t="str">
            <v>Functioning</v>
          </cell>
          <cell r="U1299" t="str">
            <v>Asset</v>
          </cell>
          <cell r="V1299">
            <v>87400</v>
          </cell>
          <cell r="W1299" t="str">
            <v>KEW</v>
          </cell>
          <cell r="X1299" t="str">
            <v>01/09/2010</v>
          </cell>
          <cell r="Y1299" t="str">
            <v>KEW</v>
          </cell>
          <cell r="Z1299" t="str">
            <v>16/08/2013</v>
          </cell>
          <cell r="AA1299" t="str">
            <v>15/08/2015</v>
          </cell>
          <cell r="AB1299" t="str">
            <v>No</v>
          </cell>
          <cell r="AC1299" t="str">
            <v>31/08/2013</v>
          </cell>
          <cell r="AD1299" t="str">
            <v>Good</v>
          </cell>
          <cell r="AE1299" t="str">
            <v>V1 - Existing / No Claim</v>
          </cell>
          <cell r="AF1299">
            <v>42801</v>
          </cell>
          <cell r="AG1299">
            <v>9.17</v>
          </cell>
          <cell r="AH1299" t="str">
            <v>PPM</v>
          </cell>
          <cell r="AI1299" t="str">
            <v>Strands</v>
          </cell>
          <cell r="AJ1299" t="str">
            <v>Strands PW</v>
          </cell>
        </row>
        <row r="1300">
          <cell r="A1300" t="str">
            <v>IKN400962</v>
          </cell>
          <cell r="B1300">
            <v>961</v>
          </cell>
          <cell r="C1300" t="str">
            <v>Institut Kanser Negara</v>
          </cell>
          <cell r="D1300" t="str">
            <v>KKM/IKN/H/13/4945</v>
          </cell>
          <cell r="E1300" t="str">
            <v>12-647</v>
          </cell>
          <cell r="F1300" t="str">
            <v>Physiologic Monitoring Systems, Acute Care</v>
          </cell>
          <cell r="G1300" t="str">
            <v>RT</v>
          </cell>
          <cell r="H1300" t="str">
            <v>RADIATION TREATMENT UNIT</v>
          </cell>
          <cell r="I1300" t="str">
            <v>01RT212</v>
          </cell>
          <cell r="J1300" t="str">
            <v>RECOVERY</v>
          </cell>
          <cell r="K1300" t="str">
            <v>BMED</v>
          </cell>
          <cell r="L1300" t="str">
            <v>Critical</v>
          </cell>
          <cell r="M1300" t="str">
            <v>Finland</v>
          </cell>
          <cell r="N1300" t="str">
            <v>CareScape</v>
          </cell>
          <cell r="O1300" t="str">
            <v>CareScape B650</v>
          </cell>
          <cell r="P1300" t="str">
            <v>SEW12357353HA</v>
          </cell>
          <cell r="Q1300" t="str">
            <v>Not Applicable</v>
          </cell>
          <cell r="R1300" t="str">
            <v>GE Medical Systems</v>
          </cell>
          <cell r="S1300" t="str">
            <v>GE Healthcare Technologies</v>
          </cell>
          <cell r="T1300" t="str">
            <v>Functioning</v>
          </cell>
          <cell r="U1300" t="str">
            <v>Asset</v>
          </cell>
          <cell r="V1300">
            <v>87400</v>
          </cell>
          <cell r="W1300" t="str">
            <v>KEW</v>
          </cell>
          <cell r="X1300" t="str">
            <v>01/09/2010</v>
          </cell>
          <cell r="Y1300" t="str">
            <v>KEW</v>
          </cell>
          <cell r="Z1300" t="str">
            <v>16/08/2013</v>
          </cell>
          <cell r="AA1300" t="str">
            <v>15/08/2015</v>
          </cell>
          <cell r="AB1300" t="str">
            <v>No</v>
          </cell>
          <cell r="AC1300" t="str">
            <v>31/08/2013</v>
          </cell>
          <cell r="AD1300" t="str">
            <v>Good</v>
          </cell>
          <cell r="AE1300" t="str">
            <v>V1 - Existing / No Claim</v>
          </cell>
          <cell r="AF1300">
            <v>42801</v>
          </cell>
          <cell r="AG1300">
            <v>9.17</v>
          </cell>
          <cell r="AH1300" t="str">
            <v>PPM</v>
          </cell>
          <cell r="AI1300" t="str">
            <v>Strands</v>
          </cell>
          <cell r="AJ1300" t="str">
            <v>Strands PW</v>
          </cell>
        </row>
        <row r="1301">
          <cell r="A1301" t="str">
            <v>IKN400963</v>
          </cell>
          <cell r="B1301">
            <v>962</v>
          </cell>
          <cell r="C1301" t="str">
            <v>Institut Kanser Negara</v>
          </cell>
          <cell r="D1301" t="str">
            <v>KKM/IKN/H/13/4972</v>
          </cell>
          <cell r="E1301" t="str">
            <v>13-249</v>
          </cell>
          <cell r="F1301" t="str">
            <v>Warming Units, Patient, Radiant, Adult</v>
          </cell>
          <cell r="G1301" t="str">
            <v>RT</v>
          </cell>
          <cell r="H1301" t="str">
            <v>RADIATION TREATMENT UNIT</v>
          </cell>
          <cell r="I1301" t="str">
            <v>01RT212</v>
          </cell>
          <cell r="J1301" t="str">
            <v>RECOVERY</v>
          </cell>
          <cell r="K1301" t="str">
            <v>BMED</v>
          </cell>
          <cell r="L1301" t="str">
            <v>Normal</v>
          </cell>
          <cell r="M1301" t="str">
            <v>Sweden</v>
          </cell>
          <cell r="N1301" t="str">
            <v>Aragona</v>
          </cell>
          <cell r="O1301" t="str">
            <v>Aragona MTC-410</v>
          </cell>
          <cell r="P1301" t="str">
            <v>1204</v>
          </cell>
          <cell r="Q1301" t="str">
            <v>Not Applicable</v>
          </cell>
          <cell r="R1301" t="str">
            <v>Aspira Medical AB</v>
          </cell>
          <cell r="S1301" t="str">
            <v>Perniagaan Med Tech</v>
          </cell>
          <cell r="T1301" t="str">
            <v>Functioning</v>
          </cell>
          <cell r="U1301" t="str">
            <v>Asset</v>
          </cell>
          <cell r="V1301">
            <v>12630</v>
          </cell>
          <cell r="W1301" t="str">
            <v>KEW</v>
          </cell>
          <cell r="X1301" t="str">
            <v>01/09/2010</v>
          </cell>
          <cell r="Y1301" t="str">
            <v>KEW</v>
          </cell>
          <cell r="Z1301" t="str">
            <v>16/08/2013</v>
          </cell>
          <cell r="AA1301" t="str">
            <v>15/08/2015</v>
          </cell>
          <cell r="AB1301" t="str">
            <v>No</v>
          </cell>
          <cell r="AC1301" t="str">
            <v>31/08/2013</v>
          </cell>
          <cell r="AD1301" t="str">
            <v>Good</v>
          </cell>
          <cell r="AE1301" t="str">
            <v>V3 - Added Installed Facilities (New)</v>
          </cell>
          <cell r="AF1301">
            <v>42801</v>
          </cell>
          <cell r="AG1301">
            <v>9.17</v>
          </cell>
          <cell r="AH1301" t="str">
            <v>PPM</v>
          </cell>
          <cell r="AI1301" t="str">
            <v>Not in contract</v>
          </cell>
          <cell r="AJ1301" t="str">
            <v>Proposed for V3 P2.23</v>
          </cell>
          <cell r="AK1301" t="str">
            <v>KKM follow P2.23 list.</v>
          </cell>
        </row>
        <row r="1302">
          <cell r="A1302" t="str">
            <v>IKN400965</v>
          </cell>
          <cell r="B1302">
            <v>963</v>
          </cell>
          <cell r="C1302" t="str">
            <v>Institut Kanser Negara</v>
          </cell>
          <cell r="D1302" t="str">
            <v>KKM/IKN/H/13/4473</v>
          </cell>
          <cell r="E1302" t="str">
            <v>12-364</v>
          </cell>
          <cell r="F1302" t="str">
            <v>Linear Accelerators</v>
          </cell>
          <cell r="G1302" t="str">
            <v>RT</v>
          </cell>
          <cell r="H1302" t="str">
            <v>RADIATION TREATMENT UNIT</v>
          </cell>
          <cell r="I1302" t="str">
            <v>01RT177</v>
          </cell>
          <cell r="J1302" t="str">
            <v>LINAC ROOM 4 (TOMO)</v>
          </cell>
          <cell r="K1302" t="str">
            <v>BMED</v>
          </cell>
          <cell r="L1302" t="str">
            <v>Normal</v>
          </cell>
          <cell r="M1302" t="str">
            <v>USA</v>
          </cell>
          <cell r="N1302" t="str">
            <v>TomoHD</v>
          </cell>
          <cell r="O1302" t="str">
            <v>TomoHD</v>
          </cell>
          <cell r="P1302" t="str">
            <v>0110436</v>
          </cell>
          <cell r="Q1302" t="str">
            <v>Not Applicable</v>
          </cell>
          <cell r="R1302" t="str">
            <v>TomoTherapy</v>
          </cell>
          <cell r="S1302" t="str">
            <v>Transmedic Healthcare Sdn Bhd</v>
          </cell>
          <cell r="T1302" t="str">
            <v>Functioning</v>
          </cell>
          <cell r="U1302" t="str">
            <v>Asset</v>
          </cell>
          <cell r="V1302">
            <v>19351760</v>
          </cell>
          <cell r="W1302" t="str">
            <v>KEW</v>
          </cell>
          <cell r="X1302" t="str">
            <v>01/09/2010</v>
          </cell>
          <cell r="Y1302" t="str">
            <v>KEW</v>
          </cell>
          <cell r="Z1302" t="str">
            <v>16/08/2013</v>
          </cell>
          <cell r="AA1302" t="str">
            <v>15/08/2015</v>
          </cell>
          <cell r="AB1302" t="str">
            <v>No</v>
          </cell>
          <cell r="AC1302" t="str">
            <v>31/08/2013</v>
          </cell>
          <cell r="AD1302" t="str">
            <v>Good</v>
          </cell>
          <cell r="AE1302" t="str">
            <v>V1 - Existing / No Claim</v>
          </cell>
          <cell r="AF1302">
            <v>42235</v>
          </cell>
          <cell r="AG1302">
            <v>9.17</v>
          </cell>
          <cell r="AH1302" t="str">
            <v>PPM</v>
          </cell>
          <cell r="AI1302" t="str">
            <v>Strands</v>
          </cell>
          <cell r="AJ1302" t="str">
            <v>Strands Package</v>
          </cell>
          <cell r="AK1302" t="str">
            <v>Package Code XM0003(B)</v>
          </cell>
        </row>
        <row r="1303">
          <cell r="A1303" t="str">
            <v>IKN400966</v>
          </cell>
          <cell r="B1303">
            <v>964</v>
          </cell>
          <cell r="C1303" t="str">
            <v>Institut Kanser Negara</v>
          </cell>
          <cell r="D1303" t="str">
            <v>KKM/IKN/H/13/4470</v>
          </cell>
          <cell r="E1303" t="str">
            <v>12-364</v>
          </cell>
          <cell r="F1303" t="str">
            <v>Linear Accelerators</v>
          </cell>
          <cell r="G1303" t="str">
            <v>RT</v>
          </cell>
          <cell r="H1303" t="str">
            <v>RADIATION TREATMENT UNIT</v>
          </cell>
          <cell r="I1303" t="str">
            <v>01RT159</v>
          </cell>
          <cell r="J1303" t="str">
            <v>LINAC ROOM 1 (TBI)</v>
          </cell>
          <cell r="K1303" t="str">
            <v>BMED</v>
          </cell>
          <cell r="L1303" t="str">
            <v>Normal</v>
          </cell>
          <cell r="M1303" t="str">
            <v>Sweden</v>
          </cell>
          <cell r="N1303" t="str">
            <v>Synergy</v>
          </cell>
          <cell r="O1303" t="str">
            <v>Synergy</v>
          </cell>
          <cell r="P1303" t="str">
            <v>152710</v>
          </cell>
          <cell r="Q1303" t="str">
            <v>Not Applicable</v>
          </cell>
          <cell r="R1303" t="str">
            <v>Elekta</v>
          </cell>
          <cell r="S1303" t="str">
            <v>Meditek Equipment</v>
          </cell>
          <cell r="T1303" t="str">
            <v>Functioning</v>
          </cell>
          <cell r="U1303" t="str">
            <v>Asset</v>
          </cell>
          <cell r="V1303">
            <v>12049370</v>
          </cell>
          <cell r="W1303" t="str">
            <v>KEW</v>
          </cell>
          <cell r="X1303" t="str">
            <v>01/09/2010</v>
          </cell>
          <cell r="Y1303" t="str">
            <v>KEW</v>
          </cell>
          <cell r="Z1303" t="str">
            <v>16/08/2013</v>
          </cell>
          <cell r="AA1303" t="str">
            <v>15/08/2015</v>
          </cell>
          <cell r="AB1303" t="str">
            <v>No</v>
          </cell>
          <cell r="AC1303" t="str">
            <v>31/08/2013</v>
          </cell>
          <cell r="AD1303" t="str">
            <v>Good</v>
          </cell>
          <cell r="AE1303" t="str">
            <v>V1 - Existing / No Claim</v>
          </cell>
          <cell r="AF1303">
            <v>42235</v>
          </cell>
          <cell r="AG1303">
            <v>9.17</v>
          </cell>
          <cell r="AH1303" t="str">
            <v>PPM</v>
          </cell>
          <cell r="AI1303" t="str">
            <v>Strands</v>
          </cell>
          <cell r="AJ1303" t="str">
            <v>Strands Package</v>
          </cell>
          <cell r="AK1303" t="str">
            <v>Package Code XM0002</v>
          </cell>
        </row>
        <row r="1304">
          <cell r="A1304" t="str">
            <v>IKN400967</v>
          </cell>
          <cell r="B1304">
            <v>965</v>
          </cell>
          <cell r="C1304" t="str">
            <v>Institut Kanser Negara</v>
          </cell>
          <cell r="D1304" t="str">
            <v>KKM/IKN/H/13/4471</v>
          </cell>
          <cell r="E1304" t="str">
            <v>12-364</v>
          </cell>
          <cell r="F1304" t="str">
            <v>Linear Accelerators</v>
          </cell>
          <cell r="G1304" t="str">
            <v>RT</v>
          </cell>
          <cell r="H1304" t="str">
            <v>RADIATION TREATMENT UNIT</v>
          </cell>
          <cell r="I1304" t="str">
            <v>01RT165</v>
          </cell>
          <cell r="J1304" t="str">
            <v>LINAC ROOM 2 (TBI)</v>
          </cell>
          <cell r="K1304" t="str">
            <v>BMED</v>
          </cell>
          <cell r="L1304" t="str">
            <v>Normal</v>
          </cell>
          <cell r="M1304" t="str">
            <v>Sweden</v>
          </cell>
          <cell r="N1304" t="str">
            <v>Synergy</v>
          </cell>
          <cell r="O1304" t="str">
            <v>Synergy</v>
          </cell>
          <cell r="P1304" t="str">
            <v>152711</v>
          </cell>
          <cell r="Q1304" t="str">
            <v>Not Applicable</v>
          </cell>
          <cell r="R1304" t="str">
            <v>Elekta</v>
          </cell>
          <cell r="S1304" t="str">
            <v>Meditek Equipment</v>
          </cell>
          <cell r="T1304" t="str">
            <v>Functioning</v>
          </cell>
          <cell r="U1304" t="str">
            <v>Asset</v>
          </cell>
          <cell r="V1304">
            <v>12049370</v>
          </cell>
          <cell r="W1304" t="str">
            <v>KEW</v>
          </cell>
          <cell r="X1304" t="str">
            <v>01/09/2010</v>
          </cell>
          <cell r="Y1304" t="str">
            <v>KEW</v>
          </cell>
          <cell r="Z1304" t="str">
            <v>16/08/2013</v>
          </cell>
          <cell r="AA1304" t="str">
            <v>15/08/2015</v>
          </cell>
          <cell r="AB1304" t="str">
            <v>No</v>
          </cell>
          <cell r="AC1304" t="str">
            <v>31/08/2013</v>
          </cell>
          <cell r="AD1304" t="str">
            <v>Good</v>
          </cell>
          <cell r="AE1304" t="str">
            <v>V1 - Existing / No Claim</v>
          </cell>
          <cell r="AF1304">
            <v>42235</v>
          </cell>
          <cell r="AG1304">
            <v>9.17</v>
          </cell>
          <cell r="AH1304" t="str">
            <v>PPM</v>
          </cell>
          <cell r="AI1304" t="str">
            <v>Strands</v>
          </cell>
          <cell r="AJ1304" t="str">
            <v>Strands Package</v>
          </cell>
          <cell r="AK1304" t="str">
            <v>Package Code XM0002</v>
          </cell>
        </row>
        <row r="1305">
          <cell r="A1305" t="str">
            <v>IKN400968</v>
          </cell>
          <cell r="B1305">
            <v>966</v>
          </cell>
          <cell r="C1305" t="str">
            <v>Institut Kanser Negara</v>
          </cell>
          <cell r="D1305" t="str">
            <v>KKM/IKN/H/13/2540</v>
          </cell>
          <cell r="E1305" t="str">
            <v>17-950</v>
          </cell>
          <cell r="F1305" t="str">
            <v>Warming Units, Patient, Forced-Air</v>
          </cell>
          <cell r="G1305" t="str">
            <v>RT</v>
          </cell>
          <cell r="H1305" t="str">
            <v>RADIATION TREATMENT UNIT</v>
          </cell>
          <cell r="I1305" t="str">
            <v>01RT238</v>
          </cell>
          <cell r="J1305" t="str">
            <v>PRE-OP</v>
          </cell>
          <cell r="K1305" t="str">
            <v>BMED</v>
          </cell>
          <cell r="L1305" t="str">
            <v>Normal</v>
          </cell>
          <cell r="M1305" t="str">
            <v>USA</v>
          </cell>
          <cell r="N1305" t="str">
            <v>Bair Hugger</v>
          </cell>
          <cell r="O1305" t="str">
            <v>Bair Hugger 775</v>
          </cell>
          <cell r="P1305" t="str">
            <v>36862</v>
          </cell>
          <cell r="Q1305" t="str">
            <v>Not Applicable</v>
          </cell>
          <cell r="R1305" t="str">
            <v>Arizant Healthcare Inc</v>
          </cell>
          <cell r="S1305" t="str">
            <v>Calmed Healthcare Sdn Bhd</v>
          </cell>
          <cell r="T1305" t="str">
            <v>Functioning</v>
          </cell>
          <cell r="U1305" t="str">
            <v>Asset</v>
          </cell>
          <cell r="V1305">
            <v>15515</v>
          </cell>
          <cell r="W1305" t="str">
            <v>KEW</v>
          </cell>
          <cell r="X1305" t="str">
            <v>01/09/2010</v>
          </cell>
          <cell r="Y1305" t="str">
            <v>KEW</v>
          </cell>
          <cell r="Z1305" t="str">
            <v>16/08/2013</v>
          </cell>
          <cell r="AA1305" t="str">
            <v>15/08/2015</v>
          </cell>
          <cell r="AB1305" t="str">
            <v>No</v>
          </cell>
          <cell r="AC1305" t="str">
            <v>31/08/2013</v>
          </cell>
          <cell r="AD1305" t="str">
            <v>Good</v>
          </cell>
          <cell r="AE1305" t="str">
            <v>V1 - Existing / No Claim</v>
          </cell>
          <cell r="AF1305">
            <v>42235</v>
          </cell>
          <cell r="AG1305">
            <v>9.17</v>
          </cell>
          <cell r="AH1305" t="str">
            <v>PPM</v>
          </cell>
          <cell r="AI1305" t="str">
            <v>Strands</v>
          </cell>
          <cell r="AJ1305" t="str">
            <v>Strands PW</v>
          </cell>
        </row>
        <row r="1306">
          <cell r="A1306" t="str">
            <v>IKN400969</v>
          </cell>
          <cell r="B1306">
            <v>967</v>
          </cell>
          <cell r="C1306" t="str">
            <v>Institut Kanser Negara</v>
          </cell>
          <cell r="D1306" t="str">
            <v>KKM/IKN/H/13/5054</v>
          </cell>
          <cell r="E1306" t="str">
            <v>17-950</v>
          </cell>
          <cell r="F1306" t="str">
            <v>Warming Units, Patient, Forced-Air</v>
          </cell>
          <cell r="G1306" t="str">
            <v>RT</v>
          </cell>
          <cell r="H1306" t="str">
            <v>RADIATION TREATMENT UNIT</v>
          </cell>
          <cell r="I1306" t="str">
            <v>01RT116</v>
          </cell>
          <cell r="J1306" t="str">
            <v>CT SIMULATOR 1</v>
          </cell>
          <cell r="K1306" t="str">
            <v>BMED</v>
          </cell>
          <cell r="L1306" t="str">
            <v>Normal</v>
          </cell>
          <cell r="M1306" t="str">
            <v>USA</v>
          </cell>
          <cell r="N1306" t="str">
            <v>Bair Hugger</v>
          </cell>
          <cell r="O1306" t="str">
            <v>Bair Hugger 775</v>
          </cell>
          <cell r="P1306" t="str">
            <v>36861</v>
          </cell>
          <cell r="Q1306" t="str">
            <v>Not Applicable</v>
          </cell>
          <cell r="R1306" t="str">
            <v>Arizant Healthcare Inc</v>
          </cell>
          <cell r="S1306" t="str">
            <v>Calmed Healthcare Sdn Bhd</v>
          </cell>
          <cell r="T1306" t="str">
            <v>Functioning</v>
          </cell>
          <cell r="U1306" t="str">
            <v>Asset</v>
          </cell>
          <cell r="V1306">
            <v>15515</v>
          </cell>
          <cell r="W1306" t="str">
            <v>KEW</v>
          </cell>
          <cell r="X1306" t="str">
            <v>01/09/2010</v>
          </cell>
          <cell r="Y1306" t="str">
            <v>KEW</v>
          </cell>
          <cell r="Z1306" t="str">
            <v>16/08/2013</v>
          </cell>
          <cell r="AA1306" t="str">
            <v>15/08/2015</v>
          </cell>
          <cell r="AB1306" t="str">
            <v>No</v>
          </cell>
          <cell r="AC1306" t="str">
            <v>31/08/2013</v>
          </cell>
          <cell r="AD1306" t="str">
            <v>Good</v>
          </cell>
          <cell r="AE1306" t="str">
            <v>V1 - Existing / No Claim</v>
          </cell>
          <cell r="AF1306">
            <v>42235</v>
          </cell>
          <cell r="AG1306">
            <v>9.17</v>
          </cell>
          <cell r="AH1306" t="str">
            <v>PPM</v>
          </cell>
          <cell r="AI1306" t="str">
            <v>Strands</v>
          </cell>
          <cell r="AJ1306" t="str">
            <v>Strands PW</v>
          </cell>
        </row>
        <row r="1307">
          <cell r="A1307" t="str">
            <v>IKN400973</v>
          </cell>
          <cell r="B1307">
            <v>971</v>
          </cell>
          <cell r="C1307" t="str">
            <v>Institut Kanser Negara</v>
          </cell>
          <cell r="D1307" t="str">
            <v>KKM/IKN/H/13/4475</v>
          </cell>
          <cell r="E1307" t="str">
            <v>13-469</v>
          </cell>
          <cell r="F1307" t="str">
            <v>Scanning Systems, Computed Tomography</v>
          </cell>
          <cell r="G1307" t="str">
            <v>RT</v>
          </cell>
          <cell r="H1307" t="str">
            <v>RADIATION TREATMENT UNIT</v>
          </cell>
          <cell r="I1307" t="str">
            <v>01RT118</v>
          </cell>
          <cell r="J1307" t="str">
            <v>CT SIMULATOR 2</v>
          </cell>
          <cell r="K1307" t="str">
            <v>BMED</v>
          </cell>
          <cell r="L1307" t="str">
            <v>Normal</v>
          </cell>
          <cell r="M1307" t="str">
            <v>Germany</v>
          </cell>
          <cell r="N1307" t="str">
            <v>Somatom</v>
          </cell>
          <cell r="O1307" t="str">
            <v>Somatom Definition</v>
          </cell>
          <cell r="P1307" t="str">
            <v>65979</v>
          </cell>
          <cell r="Q1307" t="str">
            <v>Not Applicable</v>
          </cell>
          <cell r="R1307" t="str">
            <v>Siemens Medical System</v>
          </cell>
          <cell r="S1307" t="str">
            <v>Metrojendela</v>
          </cell>
          <cell r="T1307" t="str">
            <v>Functioning</v>
          </cell>
          <cell r="U1307" t="str">
            <v>Asset</v>
          </cell>
          <cell r="V1307">
            <v>3557530</v>
          </cell>
          <cell r="W1307" t="str">
            <v>KEW</v>
          </cell>
          <cell r="X1307" t="str">
            <v>01/09/2010</v>
          </cell>
          <cell r="Y1307" t="str">
            <v>KEW</v>
          </cell>
          <cell r="Z1307" t="str">
            <v>16/08/2013</v>
          </cell>
          <cell r="AA1307" t="str">
            <v>15/08/2015</v>
          </cell>
          <cell r="AB1307" t="str">
            <v>No</v>
          </cell>
          <cell r="AC1307" t="str">
            <v>31/08/2013</v>
          </cell>
          <cell r="AD1307" t="str">
            <v>Good</v>
          </cell>
          <cell r="AE1307" t="str">
            <v>V1 - Existing / No Claim</v>
          </cell>
          <cell r="AF1307">
            <v>42235</v>
          </cell>
          <cell r="AG1307">
            <v>9.17</v>
          </cell>
          <cell r="AH1307" t="str">
            <v>PPM</v>
          </cell>
          <cell r="AI1307" t="str">
            <v>Strands</v>
          </cell>
          <cell r="AJ1307" t="str">
            <v>Strands Package</v>
          </cell>
          <cell r="AK1307" t="str">
            <v>Package Code XM0004</v>
          </cell>
        </row>
        <row r="1308">
          <cell r="A1308" t="str">
            <v>IKN400974</v>
          </cell>
          <cell r="B1308">
            <v>972</v>
          </cell>
          <cell r="C1308" t="str">
            <v>Institut Kanser Negara</v>
          </cell>
          <cell r="D1308" t="str">
            <v>N/A</v>
          </cell>
          <cell r="E1308" t="str">
            <v>16-223</v>
          </cell>
          <cell r="F1308" t="str">
            <v>Positioning Aids</v>
          </cell>
          <cell r="G1308" t="str">
            <v>RT</v>
          </cell>
          <cell r="H1308" t="str">
            <v>RADIATION TREATMENT UNIT</v>
          </cell>
          <cell r="I1308" t="str">
            <v>01RT118</v>
          </cell>
          <cell r="J1308" t="str">
            <v>CT SIMULATOR 2</v>
          </cell>
          <cell r="K1308" t="str">
            <v>BMED</v>
          </cell>
          <cell r="L1308" t="str">
            <v>Normal</v>
          </cell>
          <cell r="M1308" t="str">
            <v>Germany</v>
          </cell>
          <cell r="N1308" t="str">
            <v>Dorado</v>
          </cell>
          <cell r="O1308" t="str">
            <v>Dorado</v>
          </cell>
          <cell r="P1308" t="str">
            <v>YEHT118686</v>
          </cell>
          <cell r="Q1308" t="str">
            <v>Not Applicable</v>
          </cell>
          <cell r="R1308" t="str">
            <v>LAP GmbH</v>
          </cell>
          <cell r="S1308" t="str">
            <v>BRAINLAB</v>
          </cell>
          <cell r="T1308" t="str">
            <v>Functioning</v>
          </cell>
          <cell r="U1308" t="str">
            <v>Asset</v>
          </cell>
          <cell r="V1308">
            <v>100000</v>
          </cell>
          <cell r="W1308" t="str">
            <v>Estimate</v>
          </cell>
          <cell r="X1308" t="str">
            <v>01/09/2010</v>
          </cell>
          <cell r="Y1308" t="str">
            <v>KEW</v>
          </cell>
          <cell r="Z1308" t="str">
            <v>16/08/2013</v>
          </cell>
          <cell r="AA1308" t="str">
            <v>15/08/2015</v>
          </cell>
          <cell r="AB1308" t="str">
            <v>No</v>
          </cell>
          <cell r="AC1308" t="str">
            <v>31/08/2013</v>
          </cell>
          <cell r="AD1308" t="str">
            <v>Good</v>
          </cell>
          <cell r="AE1308" t="str">
            <v>V1 - Existing / No Claim</v>
          </cell>
          <cell r="AF1308">
            <v>42643</v>
          </cell>
          <cell r="AG1308">
            <v>9.17</v>
          </cell>
          <cell r="AH1308" t="str">
            <v>RI</v>
          </cell>
          <cell r="AI1308" t="str">
            <v>Strands</v>
          </cell>
          <cell r="AJ1308" t="str">
            <v>Strands Package</v>
          </cell>
          <cell r="AK1308" t="str">
            <v>Package Code XM0004</v>
          </cell>
        </row>
        <row r="1309">
          <cell r="A1309" t="str">
            <v>IKN400975</v>
          </cell>
          <cell r="B1309">
            <v>973</v>
          </cell>
          <cell r="C1309" t="str">
            <v>Institut Kanser Negara</v>
          </cell>
          <cell r="D1309" t="str">
            <v>N/A</v>
          </cell>
          <cell r="E1309" t="str">
            <v>17-968</v>
          </cell>
          <cell r="F1309" t="str">
            <v>Injectors, Contrast Media</v>
          </cell>
          <cell r="G1309" t="str">
            <v>RT</v>
          </cell>
          <cell r="H1309" t="str">
            <v>RADIATION TREATMENT UNIT</v>
          </cell>
          <cell r="I1309" t="str">
            <v>01RT116</v>
          </cell>
          <cell r="J1309" t="str">
            <v>CT SIMULATOR 1</v>
          </cell>
          <cell r="K1309" t="str">
            <v>BMED</v>
          </cell>
          <cell r="L1309" t="str">
            <v>Critical</v>
          </cell>
          <cell r="M1309" t="str">
            <v>USA</v>
          </cell>
          <cell r="N1309" t="str">
            <v>Optivantage</v>
          </cell>
          <cell r="O1309" t="str">
            <v>Optivantage Dual-Head CT</v>
          </cell>
          <cell r="P1309" t="str">
            <v>C1114B514R</v>
          </cell>
          <cell r="Q1309" t="str">
            <v>Not Applicable</v>
          </cell>
          <cell r="R1309" t="str">
            <v>Mallinckrodt</v>
          </cell>
          <cell r="S1309" t="str">
            <v>Schmidt Biomedtech Sdn. Bhd.</v>
          </cell>
          <cell r="T1309" t="str">
            <v>Functioning</v>
          </cell>
          <cell r="U1309" t="str">
            <v>Asset</v>
          </cell>
          <cell r="V1309">
            <v>100000</v>
          </cell>
          <cell r="W1309" t="str">
            <v>Estimate</v>
          </cell>
          <cell r="X1309" t="str">
            <v>01/09/2010</v>
          </cell>
          <cell r="Y1309" t="str">
            <v>KEW</v>
          </cell>
          <cell r="Z1309" t="str">
            <v>16/08/2013</v>
          </cell>
          <cell r="AA1309" t="str">
            <v>15/08/2015</v>
          </cell>
          <cell r="AB1309" t="str">
            <v>No</v>
          </cell>
          <cell r="AC1309" t="str">
            <v>31/08/2013</v>
          </cell>
          <cell r="AD1309" t="str">
            <v>Good</v>
          </cell>
          <cell r="AE1309" t="str">
            <v>V1 - Existing / No Claim</v>
          </cell>
          <cell r="AF1309">
            <v>43370</v>
          </cell>
          <cell r="AG1309">
            <v>9.17</v>
          </cell>
          <cell r="AH1309" t="str">
            <v>PPM</v>
          </cell>
          <cell r="AI1309" t="str">
            <v>Strands</v>
          </cell>
          <cell r="AJ1309" t="str">
            <v>Strands Package</v>
          </cell>
          <cell r="AK1309" t="str">
            <v>Package Code XM0004</v>
          </cell>
        </row>
        <row r="1310">
          <cell r="A1310" t="str">
            <v>IKN400976</v>
          </cell>
          <cell r="B1310">
            <v>974</v>
          </cell>
          <cell r="C1310" t="str">
            <v>Institut Kanser Negara</v>
          </cell>
          <cell r="D1310" t="str">
            <v>KKM/IKN/H/13/4840</v>
          </cell>
          <cell r="E1310" t="str">
            <v>17-679</v>
          </cell>
          <cell r="F1310" t="str">
            <v>Laser Imagers</v>
          </cell>
          <cell r="G1310" t="str">
            <v>RT</v>
          </cell>
          <cell r="H1310" t="str">
            <v>RADIATION TREATMENT UNIT</v>
          </cell>
          <cell r="I1310" t="str">
            <v>01RT117</v>
          </cell>
          <cell r="J1310" t="str">
            <v>CONTROL ROOM</v>
          </cell>
          <cell r="K1310" t="str">
            <v>BMED</v>
          </cell>
          <cell r="L1310" t="str">
            <v>Normal</v>
          </cell>
          <cell r="M1310" t="str">
            <v>USA</v>
          </cell>
          <cell r="N1310" t="str">
            <v>DryView</v>
          </cell>
          <cell r="O1310" t="str">
            <v>DryView 6850</v>
          </cell>
          <cell r="P1310" t="str">
            <v>68504062</v>
          </cell>
          <cell r="Q1310" t="str">
            <v>Not Applicable</v>
          </cell>
          <cell r="R1310" t="str">
            <v>Carestream Health Inc</v>
          </cell>
          <cell r="S1310" t="str">
            <v>Best Contact (M) Sdn Bhd</v>
          </cell>
          <cell r="T1310" t="str">
            <v>Functioning</v>
          </cell>
          <cell r="U1310" t="str">
            <v>Asset</v>
          </cell>
          <cell r="V1310">
            <v>83100</v>
          </cell>
          <cell r="W1310" t="str">
            <v>KEW</v>
          </cell>
          <cell r="X1310" t="str">
            <v>01/09/2010</v>
          </cell>
          <cell r="Y1310" t="str">
            <v>KEW</v>
          </cell>
          <cell r="Z1310" t="str">
            <v>16/08/2013</v>
          </cell>
          <cell r="AA1310" t="str">
            <v>15/08/2015</v>
          </cell>
          <cell r="AB1310" t="str">
            <v>No</v>
          </cell>
          <cell r="AC1310" t="str">
            <v>31/08/2013</v>
          </cell>
          <cell r="AD1310" t="str">
            <v>Good</v>
          </cell>
          <cell r="AE1310" t="str">
            <v>V1 - Existing / No Claim</v>
          </cell>
          <cell r="AF1310">
            <v>42235</v>
          </cell>
          <cell r="AG1310">
            <v>9.17</v>
          </cell>
          <cell r="AH1310" t="str">
            <v>PPM</v>
          </cell>
          <cell r="AI1310" t="str">
            <v>Strands</v>
          </cell>
          <cell r="AJ1310" t="str">
            <v>Strands PW</v>
          </cell>
        </row>
        <row r="1311">
          <cell r="A1311" t="str">
            <v>IKN400977</v>
          </cell>
          <cell r="B1311">
            <v>975</v>
          </cell>
          <cell r="C1311" t="str">
            <v>Institut Kanser Negara</v>
          </cell>
          <cell r="D1311" t="str">
            <v>KKM/IKN/H/13/2537</v>
          </cell>
          <cell r="E1311" t="str">
            <v>17-950</v>
          </cell>
          <cell r="F1311" t="str">
            <v>Warming Units, Patient, Forced-Air</v>
          </cell>
          <cell r="G1311" t="str">
            <v>RT</v>
          </cell>
          <cell r="H1311" t="str">
            <v>RADIATION TREATMENT UNIT</v>
          </cell>
          <cell r="I1311" t="str">
            <v>01RT238</v>
          </cell>
          <cell r="J1311" t="str">
            <v>PRE-OP</v>
          </cell>
          <cell r="K1311" t="str">
            <v>BMED</v>
          </cell>
          <cell r="L1311" t="str">
            <v>Normal</v>
          </cell>
          <cell r="M1311" t="str">
            <v>USA</v>
          </cell>
          <cell r="N1311" t="str">
            <v>Bair Hugger</v>
          </cell>
          <cell r="O1311" t="str">
            <v>Bair Hugger 775</v>
          </cell>
          <cell r="P1311" t="str">
            <v>36864</v>
          </cell>
          <cell r="Q1311" t="str">
            <v>Not Applicable</v>
          </cell>
          <cell r="R1311" t="str">
            <v>Arizant Healthcare Inc</v>
          </cell>
          <cell r="S1311" t="str">
            <v>Calmed Healthcare Sdn Bhd</v>
          </cell>
          <cell r="T1311" t="str">
            <v>Functioning</v>
          </cell>
          <cell r="U1311" t="str">
            <v>Asset</v>
          </cell>
          <cell r="V1311">
            <v>15515</v>
          </cell>
          <cell r="W1311" t="str">
            <v>KEW</v>
          </cell>
          <cell r="X1311" t="str">
            <v>01/09/2010</v>
          </cell>
          <cell r="Y1311" t="str">
            <v>KEW</v>
          </cell>
          <cell r="Z1311" t="str">
            <v>16/08/2013</v>
          </cell>
          <cell r="AA1311" t="str">
            <v>15/08/2015</v>
          </cell>
          <cell r="AB1311" t="str">
            <v>No</v>
          </cell>
          <cell r="AC1311" t="str">
            <v>31/08/2013</v>
          </cell>
          <cell r="AD1311" t="str">
            <v>Good</v>
          </cell>
          <cell r="AE1311" t="str">
            <v>V1 - Existing / No Claim</v>
          </cell>
          <cell r="AF1311">
            <v>42235</v>
          </cell>
          <cell r="AG1311">
            <v>9.17</v>
          </cell>
          <cell r="AH1311" t="str">
            <v>PPM</v>
          </cell>
          <cell r="AI1311" t="str">
            <v>Strands</v>
          </cell>
          <cell r="AJ1311" t="str">
            <v>Strands PW</v>
          </cell>
        </row>
        <row r="1312">
          <cell r="A1312" t="str">
            <v>IKN400978</v>
          </cell>
          <cell r="B1312">
            <v>976</v>
          </cell>
          <cell r="C1312" t="str">
            <v>Institut Kanser Negara</v>
          </cell>
          <cell r="D1312" t="str">
            <v>KKM/IKN/H/13/4474</v>
          </cell>
          <cell r="E1312" t="str">
            <v>13-469</v>
          </cell>
          <cell r="F1312" t="str">
            <v>Scanning Systems, Computed Tomography</v>
          </cell>
          <cell r="G1312" t="str">
            <v>RT</v>
          </cell>
          <cell r="H1312" t="str">
            <v>RADIATION TREATMENT UNIT</v>
          </cell>
          <cell r="I1312" t="str">
            <v>01RT116</v>
          </cell>
          <cell r="J1312" t="str">
            <v>CT SIMULATOR 1</v>
          </cell>
          <cell r="K1312" t="str">
            <v>BMED</v>
          </cell>
          <cell r="L1312" t="str">
            <v>Normal</v>
          </cell>
          <cell r="M1312" t="str">
            <v>Germany</v>
          </cell>
          <cell r="N1312" t="str">
            <v>Somatom</v>
          </cell>
          <cell r="O1312" t="str">
            <v>Somatom Definition</v>
          </cell>
          <cell r="P1312" t="str">
            <v>65981</v>
          </cell>
          <cell r="Q1312" t="str">
            <v>Not Applicable</v>
          </cell>
          <cell r="R1312" t="str">
            <v>Siemens Medical System</v>
          </cell>
          <cell r="S1312" t="str">
            <v>Metrojendela</v>
          </cell>
          <cell r="T1312" t="str">
            <v>Functioning</v>
          </cell>
          <cell r="U1312" t="str">
            <v>Asset</v>
          </cell>
          <cell r="V1312">
            <v>3557530</v>
          </cell>
          <cell r="W1312" t="str">
            <v>KEW</v>
          </cell>
          <cell r="X1312" t="str">
            <v>01/09/2010</v>
          </cell>
          <cell r="Y1312" t="str">
            <v>KEW</v>
          </cell>
          <cell r="Z1312" t="str">
            <v>16/08/2013</v>
          </cell>
          <cell r="AA1312" t="str">
            <v>15/08/2015</v>
          </cell>
          <cell r="AB1312" t="str">
            <v>No</v>
          </cell>
          <cell r="AC1312" t="str">
            <v>31/08/2013</v>
          </cell>
          <cell r="AD1312" t="str">
            <v>Good</v>
          </cell>
          <cell r="AE1312" t="str">
            <v>V1 - Existing / No Claim</v>
          </cell>
          <cell r="AF1312">
            <v>42235</v>
          </cell>
          <cell r="AG1312">
            <v>9.17</v>
          </cell>
          <cell r="AH1312" t="str">
            <v>PPM</v>
          </cell>
          <cell r="AI1312" t="str">
            <v>Strands</v>
          </cell>
          <cell r="AJ1312" t="str">
            <v>Strands Package</v>
          </cell>
          <cell r="AK1312" t="str">
            <v>Package Code XM0004</v>
          </cell>
        </row>
        <row r="1313">
          <cell r="A1313" t="str">
            <v>IKN400979</v>
          </cell>
          <cell r="B1313">
            <v>977</v>
          </cell>
          <cell r="C1313" t="str">
            <v>Institut Kanser Negara</v>
          </cell>
          <cell r="D1313" t="str">
            <v>N/A</v>
          </cell>
          <cell r="E1313" t="str">
            <v>16-223</v>
          </cell>
          <cell r="F1313" t="str">
            <v>Positioning Aids</v>
          </cell>
          <cell r="G1313" t="str">
            <v>RT</v>
          </cell>
          <cell r="H1313" t="str">
            <v>RADIATION TREATMENT UNIT</v>
          </cell>
          <cell r="I1313" t="str">
            <v>01RT116</v>
          </cell>
          <cell r="J1313" t="str">
            <v>CT SIMULATOR 1</v>
          </cell>
          <cell r="K1313" t="str">
            <v>BMED</v>
          </cell>
          <cell r="L1313" t="str">
            <v>Normal</v>
          </cell>
          <cell r="M1313" t="str">
            <v>Germany</v>
          </cell>
          <cell r="N1313" t="str">
            <v>Dorado</v>
          </cell>
          <cell r="O1313" t="str">
            <v>Dorado</v>
          </cell>
          <cell r="P1313" t="str">
            <v>YEHT236952</v>
          </cell>
          <cell r="Q1313" t="str">
            <v>Not Applicable</v>
          </cell>
          <cell r="R1313" t="str">
            <v>LAP GmbH</v>
          </cell>
          <cell r="S1313" t="str">
            <v>BRAINLAB</v>
          </cell>
          <cell r="T1313" t="str">
            <v>Functioning</v>
          </cell>
          <cell r="U1313" t="str">
            <v>Asset</v>
          </cell>
          <cell r="V1313">
            <v>100000</v>
          </cell>
          <cell r="W1313" t="str">
            <v>Estimate</v>
          </cell>
          <cell r="X1313" t="str">
            <v>01/09/2010</v>
          </cell>
          <cell r="Y1313" t="str">
            <v>KEW</v>
          </cell>
          <cell r="Z1313" t="str">
            <v>16/08/2013</v>
          </cell>
          <cell r="AA1313" t="str">
            <v>15/08/2015</v>
          </cell>
          <cell r="AB1313" t="str">
            <v>No</v>
          </cell>
          <cell r="AC1313" t="str">
            <v>31/08/2013</v>
          </cell>
          <cell r="AD1313" t="str">
            <v>Good</v>
          </cell>
          <cell r="AE1313" t="str">
            <v>V1 - Existing / No Claim</v>
          </cell>
          <cell r="AF1313">
            <v>42605</v>
          </cell>
          <cell r="AG1313">
            <v>9.17</v>
          </cell>
          <cell r="AH1313" t="str">
            <v>RI</v>
          </cell>
          <cell r="AI1313" t="str">
            <v>Strands</v>
          </cell>
          <cell r="AJ1313" t="str">
            <v>Strands Package</v>
          </cell>
          <cell r="AK1313" t="str">
            <v>Package Code XM0004</v>
          </cell>
        </row>
        <row r="1314">
          <cell r="A1314" t="str">
            <v>IKN400980</v>
          </cell>
          <cell r="B1314">
            <v>978</v>
          </cell>
          <cell r="C1314" t="str">
            <v>Institut Kanser Negara</v>
          </cell>
          <cell r="D1314" t="str">
            <v>N/A</v>
          </cell>
          <cell r="E1314" t="str">
            <v>17-968</v>
          </cell>
          <cell r="F1314" t="str">
            <v>Injectors, Contrast Media</v>
          </cell>
          <cell r="G1314" t="str">
            <v>RT</v>
          </cell>
          <cell r="H1314" t="str">
            <v>RADIATION TREATMENT UNIT</v>
          </cell>
          <cell r="I1314" t="str">
            <v>01RT118</v>
          </cell>
          <cell r="J1314" t="str">
            <v>CT SIMULATOR 2</v>
          </cell>
          <cell r="K1314" t="str">
            <v>BMED</v>
          </cell>
          <cell r="L1314" t="str">
            <v>Critical</v>
          </cell>
          <cell r="M1314" t="str">
            <v>USA</v>
          </cell>
          <cell r="N1314" t="str">
            <v>Optivantage</v>
          </cell>
          <cell r="O1314" t="str">
            <v>Optivantage Dual-Head CT</v>
          </cell>
          <cell r="P1314" t="str">
            <v>C1213B515X</v>
          </cell>
          <cell r="Q1314" t="str">
            <v>Not Applicable</v>
          </cell>
          <cell r="R1314" t="str">
            <v>Mallinckrodt</v>
          </cell>
          <cell r="S1314" t="str">
            <v>Schmidt Biomedtech Sdn. Bhd.</v>
          </cell>
          <cell r="T1314" t="str">
            <v>Functioning</v>
          </cell>
          <cell r="U1314" t="str">
            <v>Asset</v>
          </cell>
          <cell r="V1314">
            <v>100000</v>
          </cell>
          <cell r="W1314" t="str">
            <v>Estimate</v>
          </cell>
          <cell r="X1314" t="str">
            <v>01/09/2010</v>
          </cell>
          <cell r="Y1314" t="str">
            <v>KEW</v>
          </cell>
          <cell r="Z1314" t="str">
            <v>16/08/2013</v>
          </cell>
          <cell r="AA1314" t="str">
            <v>15/08/2015</v>
          </cell>
          <cell r="AB1314" t="str">
            <v>No</v>
          </cell>
          <cell r="AC1314" t="str">
            <v>31/08/2013</v>
          </cell>
          <cell r="AD1314" t="str">
            <v>Good</v>
          </cell>
          <cell r="AE1314" t="str">
            <v>V1 - Existing / No Claim</v>
          </cell>
          <cell r="AF1314">
            <v>43370</v>
          </cell>
          <cell r="AG1314">
            <v>9.17</v>
          </cell>
          <cell r="AH1314" t="str">
            <v>PPM</v>
          </cell>
          <cell r="AI1314" t="str">
            <v>Strands</v>
          </cell>
          <cell r="AJ1314" t="str">
            <v>Strands Package</v>
          </cell>
          <cell r="AK1314" t="str">
            <v>Package Code XM0004</v>
          </cell>
        </row>
        <row r="1315">
          <cell r="A1315" t="str">
            <v>IKN400981</v>
          </cell>
          <cell r="B1315">
            <v>979</v>
          </cell>
          <cell r="C1315" t="str">
            <v>Institut Kanser Negara</v>
          </cell>
          <cell r="D1315" t="str">
            <v>KKM/IKN/H/14/83</v>
          </cell>
          <cell r="E1315" t="str">
            <v>18-449</v>
          </cell>
          <cell r="F1315" t="str">
            <v>Balances, Electronic, Analytical</v>
          </cell>
          <cell r="G1315" t="str">
            <v>LA</v>
          </cell>
          <cell r="H1315" t="str">
            <v>PATHOLOGY</v>
          </cell>
          <cell r="I1315" t="str">
            <v>04LA114</v>
          </cell>
          <cell r="J1315" t="str">
            <v>DARK MICROSCOPY</v>
          </cell>
          <cell r="K1315" t="str">
            <v>BMED</v>
          </cell>
          <cell r="L1315" t="str">
            <v>Normal</v>
          </cell>
          <cell r="M1315" t="str">
            <v>Switzerland</v>
          </cell>
          <cell r="N1315" t="str">
            <v>Mettler Toledo</v>
          </cell>
          <cell r="O1315" t="str">
            <v>Mettler Toledo ML204/02</v>
          </cell>
          <cell r="P1315" t="str">
            <v>B434952155</v>
          </cell>
          <cell r="Q1315" t="str">
            <v>Not Applicable</v>
          </cell>
          <cell r="R1315" t="str">
            <v>Mettler-Toledo AG</v>
          </cell>
          <cell r="S1315" t="str">
            <v>Chemopharm S/B</v>
          </cell>
          <cell r="T1315" t="str">
            <v>Functioning</v>
          </cell>
          <cell r="U1315" t="str">
            <v>Asset</v>
          </cell>
          <cell r="V1315">
            <v>5500</v>
          </cell>
          <cell r="W1315" t="str">
            <v>KEW</v>
          </cell>
          <cell r="X1315" t="str">
            <v>26/09/2014</v>
          </cell>
          <cell r="Y1315" t="str">
            <v>KEW</v>
          </cell>
          <cell r="Z1315" t="str">
            <v>10/11/2014</v>
          </cell>
          <cell r="AA1315" t="str">
            <v>09/11/2015</v>
          </cell>
          <cell r="AB1315" t="str">
            <v>No</v>
          </cell>
          <cell r="AC1315" t="str">
            <v>10/11/2014</v>
          </cell>
          <cell r="AD1315" t="str">
            <v>Good</v>
          </cell>
          <cell r="AE1315" t="str">
            <v>V3 - Added Installed Facilities (New)</v>
          </cell>
          <cell r="AF1315">
            <v>42678</v>
          </cell>
          <cell r="AG1315">
            <v>5.17</v>
          </cell>
          <cell r="AH1315" t="str">
            <v>PPM</v>
          </cell>
          <cell r="AI1315" t="str">
            <v>Strands</v>
          </cell>
          <cell r="AJ1315" t="str">
            <v>Strands PW</v>
          </cell>
          <cell r="AK1315" t="str">
            <v>SNF received. 1st batch of V3 asset (December 2020)</v>
          </cell>
        </row>
        <row r="1316">
          <cell r="A1316" t="str">
            <v>IKN400982</v>
          </cell>
          <cell r="B1316">
            <v>980</v>
          </cell>
          <cell r="C1316" t="str">
            <v>Institut Kanser Negara</v>
          </cell>
          <cell r="D1316" t="str">
            <v>KKM/IKN/H/13/2999</v>
          </cell>
          <cell r="E1316" t="str">
            <v>12-660</v>
          </cell>
          <cell r="F1316" t="str">
            <v>Radiation Monitors</v>
          </cell>
          <cell r="G1316" t="str">
            <v>WA</v>
          </cell>
          <cell r="H1316" t="str">
            <v>NUCLEAR MED WARD (THERAPY)</v>
          </cell>
          <cell r="I1316" t="str">
            <v>03WA125</v>
          </cell>
          <cell r="J1316" t="str">
            <v>RADIOIODIN PREP (100% F.A.)</v>
          </cell>
          <cell r="K1316" t="str">
            <v>BMED</v>
          </cell>
          <cell r="L1316" t="str">
            <v>Normal</v>
          </cell>
          <cell r="M1316" t="str">
            <v>Germany</v>
          </cell>
          <cell r="N1316" t="str">
            <v>CoMo</v>
          </cell>
          <cell r="O1316" t="str">
            <v>CoMo 170</v>
          </cell>
          <cell r="P1316" t="str">
            <v>5390</v>
          </cell>
          <cell r="Q1316" t="str">
            <v>Not Applicable</v>
          </cell>
          <cell r="R1316" t="str">
            <v>MED Nuklear-Medizintechnik Dresden GmbH</v>
          </cell>
          <cell r="S1316" t="str">
            <v/>
          </cell>
          <cell r="T1316" t="str">
            <v>Functioning</v>
          </cell>
          <cell r="U1316" t="str">
            <v>Asset</v>
          </cell>
          <cell r="V1316">
            <v>6810</v>
          </cell>
          <cell r="W1316" t="str">
            <v>KEW</v>
          </cell>
          <cell r="X1316" t="str">
            <v>01/09/2010</v>
          </cell>
          <cell r="Y1316" t="str">
            <v>KEW</v>
          </cell>
          <cell r="Z1316" t="str">
            <v>16/08/2013</v>
          </cell>
          <cell r="AA1316" t="str">
            <v>15/08/2015</v>
          </cell>
          <cell r="AB1316" t="str">
            <v>No</v>
          </cell>
          <cell r="AC1316" t="str">
            <v>31/08/2013</v>
          </cell>
          <cell r="AD1316" t="str">
            <v>Good</v>
          </cell>
          <cell r="AE1316" t="str">
            <v>V1 - Existing / No Claim</v>
          </cell>
          <cell r="AF1316">
            <v>42235</v>
          </cell>
          <cell r="AG1316">
            <v>9.17</v>
          </cell>
          <cell r="AH1316" t="str">
            <v>PPM</v>
          </cell>
          <cell r="AI1316" t="str">
            <v>Strands</v>
          </cell>
          <cell r="AJ1316" t="str">
            <v>Strands PW</v>
          </cell>
          <cell r="AK1316" t="str">
            <v>SNF received. 1st batch of V3 asset (December 2020)</v>
          </cell>
        </row>
        <row r="1317">
          <cell r="A1317" t="str">
            <v>IKN400983</v>
          </cell>
          <cell r="B1317">
            <v>981</v>
          </cell>
          <cell r="C1317" t="str">
            <v>Institut Kanser Negara</v>
          </cell>
          <cell r="D1317" t="str">
            <v>KKM/IKN/H/13/2767</v>
          </cell>
          <cell r="E1317" t="str">
            <v>12-660</v>
          </cell>
          <cell r="F1317" t="str">
            <v>Radiation Monitors</v>
          </cell>
          <cell r="G1317" t="str">
            <v>NM</v>
          </cell>
          <cell r="H1317" t="str">
            <v>NUCLEAR MED (DIAGNOSTIC)</v>
          </cell>
          <cell r="I1317" t="str">
            <v>03NM138</v>
          </cell>
          <cell r="J1317" t="str">
            <v>RADIOIODINE PREP. (100% F.A)</v>
          </cell>
          <cell r="K1317" t="str">
            <v>BMED</v>
          </cell>
          <cell r="L1317" t="str">
            <v>Normal</v>
          </cell>
          <cell r="M1317" t="str">
            <v>Germany</v>
          </cell>
          <cell r="N1317" t="str">
            <v>CoMo</v>
          </cell>
          <cell r="O1317" t="str">
            <v>CoMo 170</v>
          </cell>
          <cell r="P1317" t="str">
            <v>5064DL</v>
          </cell>
          <cell r="Q1317" t="str">
            <v>Not Applicable</v>
          </cell>
          <cell r="R1317" t="str">
            <v>MED Nuklear-Medizintechnik Dresden GmbH</v>
          </cell>
          <cell r="S1317" t="str">
            <v/>
          </cell>
          <cell r="T1317" t="str">
            <v>Functioning</v>
          </cell>
          <cell r="U1317" t="str">
            <v>Asset</v>
          </cell>
          <cell r="V1317">
            <v>23270</v>
          </cell>
          <cell r="W1317" t="str">
            <v>KEW</v>
          </cell>
          <cell r="X1317" t="str">
            <v>01/09/2010</v>
          </cell>
          <cell r="Y1317" t="str">
            <v>KEW</v>
          </cell>
          <cell r="Z1317" t="str">
            <v>16/08/2013</v>
          </cell>
          <cell r="AA1317" t="str">
            <v>15/08/2015</v>
          </cell>
          <cell r="AB1317" t="str">
            <v>No</v>
          </cell>
          <cell r="AC1317" t="str">
            <v>31/08/2013</v>
          </cell>
          <cell r="AD1317" t="str">
            <v>Good</v>
          </cell>
          <cell r="AE1317" t="str">
            <v>V1 - Existing / No Claim</v>
          </cell>
          <cell r="AF1317">
            <v>42235</v>
          </cell>
          <cell r="AG1317">
            <v>9.17</v>
          </cell>
          <cell r="AH1317" t="str">
            <v>PPM</v>
          </cell>
          <cell r="AI1317" t="str">
            <v>Strands</v>
          </cell>
          <cell r="AJ1317" t="str">
            <v>Strands PW</v>
          </cell>
        </row>
        <row r="1318">
          <cell r="A1318" t="str">
            <v>IKN400984</v>
          </cell>
          <cell r="B1318">
            <v>982</v>
          </cell>
          <cell r="C1318" t="str">
            <v>Institut Kanser Negara</v>
          </cell>
          <cell r="D1318" t="e">
            <v>#N/A</v>
          </cell>
          <cell r="E1318" t="str">
            <v>17-211</v>
          </cell>
          <cell r="F1318" t="str">
            <v>Radiation Survey Meters, Geiger-Muller</v>
          </cell>
          <cell r="G1318" t="str">
            <v>NM</v>
          </cell>
          <cell r="H1318" t="str">
            <v>NUCLEAR MED (DIAGNOSTIC)</v>
          </cell>
          <cell r="I1318" t="str">
            <v>03NM133</v>
          </cell>
          <cell r="J1318" t="str">
            <v>RADIODINE DISPENSING (-VE)</v>
          </cell>
          <cell r="K1318" t="str">
            <v>BMED</v>
          </cell>
          <cell r="L1318" t="str">
            <v>Normal</v>
          </cell>
          <cell r="M1318" t="str">
            <v>USA</v>
          </cell>
          <cell r="N1318" t="str">
            <v>Ludlum</v>
          </cell>
          <cell r="O1318" t="str">
            <v>Ludlum 14C</v>
          </cell>
          <cell r="P1318" t="str">
            <v>295080</v>
          </cell>
          <cell r="Q1318" t="str">
            <v>Not Applicable</v>
          </cell>
          <cell r="R1318" t="str">
            <v>Ludlum Measurements Inc</v>
          </cell>
          <cell r="S1318" t="str">
            <v>Not Available</v>
          </cell>
          <cell r="T1318" t="str">
            <v>Functioning</v>
          </cell>
          <cell r="U1318" t="str">
            <v>Asset</v>
          </cell>
          <cell r="V1318">
            <v>10000</v>
          </cell>
          <cell r="W1318" t="str">
            <v>Estimate</v>
          </cell>
          <cell r="X1318" t="str">
            <v>01/09/2010</v>
          </cell>
          <cell r="Y1318" t="str">
            <v>KEW</v>
          </cell>
          <cell r="Z1318" t="str">
            <v>16/08/2013</v>
          </cell>
          <cell r="AA1318" t="str">
            <v>15/08/2015</v>
          </cell>
          <cell r="AB1318" t="str">
            <v>No</v>
          </cell>
          <cell r="AC1318" t="str">
            <v>31/08/2013</v>
          </cell>
          <cell r="AD1318" t="str">
            <v>Good</v>
          </cell>
          <cell r="AE1318" t="str">
            <v>V1 - Existing / No Claim</v>
          </cell>
          <cell r="AF1318">
            <v>42605</v>
          </cell>
          <cell r="AG1318">
            <v>9.17</v>
          </cell>
          <cell r="AH1318" t="str">
            <v>PPM</v>
          </cell>
          <cell r="AI1318" t="str">
            <v>Not in contract</v>
          </cell>
        </row>
        <row r="1319">
          <cell r="A1319" t="str">
            <v>IKN400985</v>
          </cell>
          <cell r="B1319">
            <v>983</v>
          </cell>
          <cell r="C1319" t="str">
            <v>Institut Kanser Negara</v>
          </cell>
          <cell r="D1319" t="e">
            <v>#N/A</v>
          </cell>
          <cell r="E1319" t="str">
            <v>13-275</v>
          </cell>
          <cell r="F1319" t="str">
            <v>Calibrators, Radioisotope</v>
          </cell>
          <cell r="G1319" t="str">
            <v>NM</v>
          </cell>
          <cell r="H1319" t="str">
            <v>NUCLEAR MED (DIAGNOSTIC)</v>
          </cell>
          <cell r="I1319" t="str">
            <v>03NM138</v>
          </cell>
          <cell r="J1319" t="str">
            <v>RADIOIODINE PREP. (100% F.A)</v>
          </cell>
          <cell r="K1319" t="str">
            <v>BMED</v>
          </cell>
          <cell r="L1319" t="str">
            <v>Normal</v>
          </cell>
          <cell r="M1319" t="str">
            <v>USA</v>
          </cell>
          <cell r="N1319" t="str">
            <v>Atomlab</v>
          </cell>
          <cell r="O1319" t="str">
            <v>Atomlab 500</v>
          </cell>
          <cell r="P1319" t="str">
            <v>13040806</v>
          </cell>
          <cell r="Q1319" t="str">
            <v>Not Applicable</v>
          </cell>
          <cell r="R1319" t="str">
            <v>Biodex Medical Systems Inc</v>
          </cell>
          <cell r="S1319" t="str">
            <v>Not Available</v>
          </cell>
          <cell r="T1319" t="str">
            <v>Functioning</v>
          </cell>
          <cell r="U1319" t="str">
            <v>Asset</v>
          </cell>
          <cell r="V1319">
            <v>20000</v>
          </cell>
          <cell r="W1319" t="str">
            <v>Estimate</v>
          </cell>
          <cell r="X1319" t="str">
            <v>01/09/2010</v>
          </cell>
          <cell r="Y1319" t="str">
            <v>KEW</v>
          </cell>
          <cell r="Z1319" t="str">
            <v>16/08/2013</v>
          </cell>
          <cell r="AA1319" t="str">
            <v>15/08/2015</v>
          </cell>
          <cell r="AB1319" t="str">
            <v>No</v>
          </cell>
          <cell r="AC1319" t="str">
            <v>31/08/2013</v>
          </cell>
          <cell r="AD1319" t="str">
            <v>Good</v>
          </cell>
          <cell r="AE1319" t="str">
            <v>V1 - Existing / No Claim</v>
          </cell>
          <cell r="AF1319">
            <v>42605</v>
          </cell>
          <cell r="AG1319">
            <v>9.17</v>
          </cell>
          <cell r="AH1319" t="str">
            <v>PPM</v>
          </cell>
          <cell r="AI1319" t="str">
            <v>package</v>
          </cell>
          <cell r="AJ1319" t="e">
            <v>#REF!</v>
          </cell>
          <cell r="AK1319" t="e">
            <v>#N/A</v>
          </cell>
        </row>
        <row r="1320">
          <cell r="A1320" t="str">
            <v>IKN400986</v>
          </cell>
          <cell r="B1320">
            <v>984</v>
          </cell>
          <cell r="C1320" t="str">
            <v>Institut Kanser Negara</v>
          </cell>
          <cell r="D1320" t="str">
            <v>KKM/IKN/H/13/3000</v>
          </cell>
          <cell r="E1320" t="str">
            <v>13-275</v>
          </cell>
          <cell r="F1320" t="str">
            <v>Calibrators, Radioisotope</v>
          </cell>
          <cell r="G1320" t="str">
            <v>NM</v>
          </cell>
          <cell r="H1320" t="str">
            <v>NUCLEAR MED (DIAGNOSTIC)</v>
          </cell>
          <cell r="I1320" t="str">
            <v>03NM139</v>
          </cell>
          <cell r="J1320" t="str">
            <v>QC</v>
          </cell>
          <cell r="K1320" t="str">
            <v>BMED</v>
          </cell>
          <cell r="L1320" t="str">
            <v>Normal</v>
          </cell>
          <cell r="M1320" t="str">
            <v>USA</v>
          </cell>
          <cell r="N1320" t="str">
            <v>Atomlab</v>
          </cell>
          <cell r="O1320" t="str">
            <v>Atomlab 500 Plus</v>
          </cell>
          <cell r="P1320" t="str">
            <v>12100248</v>
          </cell>
          <cell r="Q1320" t="str">
            <v>Not Applicable</v>
          </cell>
          <cell r="R1320" t="str">
            <v>Biodex Medical Systems Inc</v>
          </cell>
          <cell r="S1320" t="str">
            <v>Not Available</v>
          </cell>
          <cell r="T1320" t="str">
            <v>Functioning</v>
          </cell>
          <cell r="U1320" t="str">
            <v>Asset</v>
          </cell>
          <cell r="V1320">
            <v>60390</v>
          </cell>
          <cell r="W1320" t="str">
            <v>Estimate</v>
          </cell>
          <cell r="X1320" t="str">
            <v>01/09/2010</v>
          </cell>
          <cell r="Y1320" t="str">
            <v>KEW</v>
          </cell>
          <cell r="Z1320" t="str">
            <v>16/08/2013</v>
          </cell>
          <cell r="AA1320" t="str">
            <v>15/08/2015</v>
          </cell>
          <cell r="AB1320" t="str">
            <v>No</v>
          </cell>
          <cell r="AC1320" t="str">
            <v>31/08/2013</v>
          </cell>
          <cell r="AD1320" t="str">
            <v>Good</v>
          </cell>
          <cell r="AE1320" t="str">
            <v>V1 - Existing / No Claim</v>
          </cell>
          <cell r="AF1320">
            <v>43375</v>
          </cell>
          <cell r="AG1320">
            <v>9.17</v>
          </cell>
          <cell r="AH1320" t="str">
            <v>PPM</v>
          </cell>
          <cell r="AI1320" t="str">
            <v>Strands</v>
          </cell>
          <cell r="AJ1320" t="str">
            <v>Strands PW</v>
          </cell>
        </row>
        <row r="1321">
          <cell r="A1321" t="str">
            <v>IKN400987</v>
          </cell>
          <cell r="B1321">
            <v>985</v>
          </cell>
          <cell r="C1321" t="str">
            <v>Institut Kanser Negara</v>
          </cell>
          <cell r="D1321" t="str">
            <v>KKM/IKN/H/13/2997</v>
          </cell>
          <cell r="E1321" t="str">
            <v>12-660</v>
          </cell>
          <cell r="F1321" t="str">
            <v>Radiation Monitors</v>
          </cell>
          <cell r="G1321" t="str">
            <v>NM</v>
          </cell>
          <cell r="H1321" t="str">
            <v>NUCLEAR MED (DIAGNOSTIC)</v>
          </cell>
          <cell r="I1321" t="str">
            <v>03NM141</v>
          </cell>
          <cell r="J1321" t="str">
            <v>STERILE RADIO PHARMACEUTICAL PREPARATION</v>
          </cell>
          <cell r="K1321" t="str">
            <v>BMED</v>
          </cell>
          <cell r="L1321" t="str">
            <v>Normal</v>
          </cell>
          <cell r="M1321" t="str">
            <v>Germany</v>
          </cell>
          <cell r="N1321" t="str">
            <v>CoMo</v>
          </cell>
          <cell r="O1321" t="str">
            <v>CoMo 170</v>
          </cell>
          <cell r="P1321" t="str">
            <v>5065DL</v>
          </cell>
          <cell r="Q1321" t="str">
            <v>Not Applicable</v>
          </cell>
          <cell r="R1321" t="str">
            <v>MED Nuklear-Medizintechnik Dresden GmbH</v>
          </cell>
          <cell r="S1321" t="str">
            <v/>
          </cell>
          <cell r="T1321" t="str">
            <v>Functioning</v>
          </cell>
          <cell r="U1321" t="str">
            <v>Asset</v>
          </cell>
          <cell r="V1321">
            <v>23270</v>
          </cell>
          <cell r="W1321" t="str">
            <v>KEW</v>
          </cell>
          <cell r="X1321" t="str">
            <v>01/09/2010</v>
          </cell>
          <cell r="Y1321" t="str">
            <v>KEW</v>
          </cell>
          <cell r="Z1321" t="str">
            <v>16/08/2013</v>
          </cell>
          <cell r="AA1321" t="str">
            <v>15/08/2015</v>
          </cell>
          <cell r="AB1321" t="str">
            <v>No</v>
          </cell>
          <cell r="AC1321" t="str">
            <v>31/08/2013</v>
          </cell>
          <cell r="AD1321" t="str">
            <v>Good</v>
          </cell>
          <cell r="AE1321" t="str">
            <v>V1 - Existing / No Claim</v>
          </cell>
          <cell r="AF1321">
            <v>42235</v>
          </cell>
          <cell r="AG1321">
            <v>9.17</v>
          </cell>
          <cell r="AH1321" t="str">
            <v>PPM</v>
          </cell>
          <cell r="AI1321" t="str">
            <v>Strands</v>
          </cell>
          <cell r="AJ1321" t="str">
            <v>Strands PW</v>
          </cell>
        </row>
        <row r="1322">
          <cell r="A1322" t="str">
            <v>IKN400988</v>
          </cell>
          <cell r="B1322">
            <v>986</v>
          </cell>
          <cell r="C1322" t="str">
            <v>Institut Kanser Negara</v>
          </cell>
          <cell r="D1322" t="str">
            <v>KKM/IKN/H/13/5152</v>
          </cell>
          <cell r="E1322" t="str">
            <v>13-275</v>
          </cell>
          <cell r="F1322" t="str">
            <v>Calibrators, Radioisotope</v>
          </cell>
          <cell r="G1322" t="str">
            <v>NM</v>
          </cell>
          <cell r="H1322" t="str">
            <v>NUCLEAR MED (DIAGNOSTIC)</v>
          </cell>
          <cell r="I1322" t="str">
            <v>03NM141</v>
          </cell>
          <cell r="J1322" t="str">
            <v>STERILE RADIO PHARMACEUTICAL PREPARATION</v>
          </cell>
          <cell r="K1322" t="str">
            <v>BMED</v>
          </cell>
          <cell r="L1322" t="str">
            <v>Normal</v>
          </cell>
          <cell r="M1322" t="str">
            <v>USA</v>
          </cell>
          <cell r="N1322" t="str">
            <v>Atomlab</v>
          </cell>
          <cell r="O1322" t="str">
            <v>Atomlab 500</v>
          </cell>
          <cell r="P1322" t="str">
            <v>12100728</v>
          </cell>
          <cell r="Q1322" t="str">
            <v>Not Applicable</v>
          </cell>
          <cell r="R1322" t="str">
            <v>Biodex Medical Systems Inc</v>
          </cell>
          <cell r="S1322" t="str">
            <v>Not Available</v>
          </cell>
          <cell r="T1322" t="str">
            <v>Functioning</v>
          </cell>
          <cell r="U1322" t="str">
            <v>Asset</v>
          </cell>
          <cell r="V1322">
            <v>60390</v>
          </cell>
          <cell r="W1322" t="str">
            <v>Estimate</v>
          </cell>
          <cell r="X1322" t="str">
            <v>01/09/2010</v>
          </cell>
          <cell r="Y1322" t="str">
            <v>KEW</v>
          </cell>
          <cell r="Z1322" t="str">
            <v>16/08/2013</v>
          </cell>
          <cell r="AA1322" t="str">
            <v>15/08/2015</v>
          </cell>
          <cell r="AB1322" t="str">
            <v>No</v>
          </cell>
          <cell r="AC1322" t="str">
            <v>16/08/2013</v>
          </cell>
          <cell r="AD1322" t="str">
            <v>Good</v>
          </cell>
          <cell r="AE1322" t="str">
            <v>V1 - Existing / No Claim</v>
          </cell>
          <cell r="AF1322">
            <v>42605</v>
          </cell>
          <cell r="AG1322">
            <v>9.17</v>
          </cell>
          <cell r="AH1322" t="str">
            <v>PPM</v>
          </cell>
          <cell r="AI1322" t="str">
            <v>Strands</v>
          </cell>
          <cell r="AJ1322" t="str">
            <v>Strands PW</v>
          </cell>
        </row>
        <row r="1323">
          <cell r="A1323" t="str">
            <v>IKN400989</v>
          </cell>
          <cell r="B1323">
            <v>987</v>
          </cell>
          <cell r="C1323" t="str">
            <v>Institut Kanser Negara</v>
          </cell>
          <cell r="D1323" t="str">
            <v>KKM/IKN/H/13/5150</v>
          </cell>
          <cell r="E1323" t="str">
            <v>13-275</v>
          </cell>
          <cell r="F1323" t="str">
            <v>Calibrators, Radioisotope</v>
          </cell>
          <cell r="G1323" t="str">
            <v>NM</v>
          </cell>
          <cell r="H1323" t="str">
            <v>NUCLEAR MED (DIAGNOSTIC)</v>
          </cell>
          <cell r="I1323" t="str">
            <v>03NM141</v>
          </cell>
          <cell r="J1323" t="str">
            <v>STERILE RADIO PHARMACEUTICAL PREPARATION</v>
          </cell>
          <cell r="K1323" t="str">
            <v>BMED</v>
          </cell>
          <cell r="L1323" t="str">
            <v>Normal</v>
          </cell>
          <cell r="M1323" t="str">
            <v>Germany</v>
          </cell>
          <cell r="N1323" t="str">
            <v>Isomed</v>
          </cell>
          <cell r="O1323" t="str">
            <v>Isomed</v>
          </cell>
          <cell r="P1323" t="str">
            <v>NA</v>
          </cell>
          <cell r="Q1323" t="str">
            <v>Not Applicable</v>
          </cell>
          <cell r="R1323" t="str">
            <v>MED Nuklear-Medizintechnik Dresden GmbH</v>
          </cell>
          <cell r="S1323" t="str">
            <v>Not Available</v>
          </cell>
          <cell r="T1323" t="str">
            <v>Functioning</v>
          </cell>
          <cell r="U1323" t="str">
            <v>Asset</v>
          </cell>
          <cell r="V1323">
            <v>50000</v>
          </cell>
          <cell r="W1323" t="str">
            <v>Estimate</v>
          </cell>
          <cell r="X1323" t="str">
            <v>01/09/2010</v>
          </cell>
          <cell r="Y1323" t="str">
            <v>KEW</v>
          </cell>
          <cell r="Z1323" t="str">
            <v>16/08/2013</v>
          </cell>
          <cell r="AA1323" t="str">
            <v>15/08/2015</v>
          </cell>
          <cell r="AB1323" t="str">
            <v>No</v>
          </cell>
          <cell r="AC1323" t="str">
            <v>31/08/2013</v>
          </cell>
          <cell r="AD1323" t="str">
            <v>Good</v>
          </cell>
          <cell r="AE1323" t="str">
            <v>V1 - Existing / No Claim</v>
          </cell>
          <cell r="AF1323">
            <v>42605</v>
          </cell>
          <cell r="AG1323">
            <v>9.17</v>
          </cell>
          <cell r="AH1323" t="str">
            <v>PPM</v>
          </cell>
          <cell r="AI1323" t="str">
            <v>Strands</v>
          </cell>
          <cell r="AJ1323" t="str">
            <v>Strands PW</v>
          </cell>
          <cell r="AK1323" t="str">
            <v>Replace new unit during UEM. (Capintec Inc. Model:CRC-55tR _S/N:552341H)</v>
          </cell>
        </row>
        <row r="1324">
          <cell r="A1324" t="str">
            <v>IKN400990</v>
          </cell>
          <cell r="B1324">
            <v>988</v>
          </cell>
          <cell r="C1324" t="str">
            <v>Institut Kanser Negara</v>
          </cell>
          <cell r="D1324" t="str">
            <v>KKM/IKN/H/13/2998</v>
          </cell>
          <cell r="E1324" t="str">
            <v>12-660</v>
          </cell>
          <cell r="F1324" t="str">
            <v>Radiation Monitors</v>
          </cell>
          <cell r="G1324" t="str">
            <v>NM</v>
          </cell>
          <cell r="H1324" t="str">
            <v>NUCLEAR MED (DIAGNOSTIC)</v>
          </cell>
          <cell r="I1324" t="str">
            <v>03NM143</v>
          </cell>
          <cell r="J1324" t="str">
            <v>INJECTION ROOM 1 (-VE)</v>
          </cell>
          <cell r="K1324" t="str">
            <v>BMED</v>
          </cell>
          <cell r="L1324" t="str">
            <v>Normal</v>
          </cell>
          <cell r="M1324" t="str">
            <v>Germany</v>
          </cell>
          <cell r="N1324" t="str">
            <v>CoMo</v>
          </cell>
          <cell r="O1324" t="str">
            <v>CoMo 170</v>
          </cell>
          <cell r="P1324" t="str">
            <v>5066DL</v>
          </cell>
          <cell r="Q1324" t="str">
            <v>Not Applicable</v>
          </cell>
          <cell r="R1324" t="str">
            <v>MED Nuklear-Medizintechnik Dresden GmbH</v>
          </cell>
          <cell r="S1324" t="str">
            <v/>
          </cell>
          <cell r="T1324" t="str">
            <v>Functioning</v>
          </cell>
          <cell r="U1324" t="str">
            <v>Asset</v>
          </cell>
          <cell r="V1324">
            <v>23270</v>
          </cell>
          <cell r="W1324" t="str">
            <v>KEW</v>
          </cell>
          <cell r="X1324" t="str">
            <v>01/09/2010</v>
          </cell>
          <cell r="Y1324" t="str">
            <v>KEW</v>
          </cell>
          <cell r="Z1324" t="str">
            <v>16/08/2013</v>
          </cell>
          <cell r="AA1324" t="str">
            <v>15/08/2015</v>
          </cell>
          <cell r="AB1324" t="str">
            <v>No</v>
          </cell>
          <cell r="AC1324" t="str">
            <v>31/08/2013</v>
          </cell>
          <cell r="AD1324" t="str">
            <v>Good</v>
          </cell>
          <cell r="AE1324" t="str">
            <v>V1 - Existing / No Claim</v>
          </cell>
          <cell r="AF1324">
            <v>42235</v>
          </cell>
          <cell r="AG1324">
            <v>9.17</v>
          </cell>
          <cell r="AH1324" t="str">
            <v>PPM</v>
          </cell>
          <cell r="AI1324" t="str">
            <v>Strands</v>
          </cell>
          <cell r="AJ1324" t="str">
            <v>Strands PW</v>
          </cell>
        </row>
        <row r="1325">
          <cell r="A1325" t="str">
            <v>IKN400993</v>
          </cell>
          <cell r="B1325">
            <v>991</v>
          </cell>
          <cell r="C1325" t="str">
            <v>Institut Kanser Negara</v>
          </cell>
          <cell r="D1325" t="str">
            <v>TAKDE KEWPA</v>
          </cell>
          <cell r="E1325" t="str">
            <v>17-211</v>
          </cell>
          <cell r="F1325" t="str">
            <v>Radiation Survey Meters, Geiger-Muller</v>
          </cell>
          <cell r="G1325" t="str">
            <v>WA</v>
          </cell>
          <cell r="H1325" t="str">
            <v>NUCLEAR MED WARD (THERAPY)</v>
          </cell>
          <cell r="I1325" t="str">
            <v>03WA125</v>
          </cell>
          <cell r="J1325" t="str">
            <v>RADIOIODIN PREP (100% F.A.)</v>
          </cell>
          <cell r="K1325" t="str">
            <v>BMED</v>
          </cell>
          <cell r="L1325" t="str">
            <v>Normal</v>
          </cell>
          <cell r="M1325" t="str">
            <v>USA</v>
          </cell>
          <cell r="N1325" t="str">
            <v>Ludlum</v>
          </cell>
          <cell r="O1325" t="str">
            <v>Ludlum 14C</v>
          </cell>
          <cell r="P1325" t="str">
            <v>295020</v>
          </cell>
          <cell r="Q1325" t="str">
            <v>Not Applicable</v>
          </cell>
          <cell r="R1325" t="str">
            <v>Ludlum Measurements Inc</v>
          </cell>
          <cell r="S1325" t="str">
            <v>Not Available</v>
          </cell>
          <cell r="T1325" t="str">
            <v>Functioning</v>
          </cell>
          <cell r="U1325" t="str">
            <v>Asset</v>
          </cell>
          <cell r="V1325">
            <v>10000</v>
          </cell>
          <cell r="W1325" t="str">
            <v>Estimate</v>
          </cell>
          <cell r="X1325" t="str">
            <v>01/09/2010</v>
          </cell>
          <cell r="Y1325" t="str">
            <v>KEW</v>
          </cell>
          <cell r="Z1325" t="str">
            <v>16/08/2013</v>
          </cell>
          <cell r="AA1325" t="str">
            <v>15/08/2015</v>
          </cell>
          <cell r="AB1325" t="str">
            <v>No</v>
          </cell>
          <cell r="AC1325" t="str">
            <v>31/08/2013</v>
          </cell>
          <cell r="AD1325" t="str">
            <v>Good</v>
          </cell>
          <cell r="AE1325" t="str">
            <v>V1 - Existing / No Claim</v>
          </cell>
          <cell r="AF1325">
            <v>42605</v>
          </cell>
          <cell r="AG1325">
            <v>9.17</v>
          </cell>
          <cell r="AH1325" t="str">
            <v>PPM</v>
          </cell>
          <cell r="AI1325" t="str">
            <v>Not in contract</v>
          </cell>
        </row>
        <row r="1326">
          <cell r="A1326" t="str">
            <v>IKN400994</v>
          </cell>
          <cell r="B1326">
            <v>992</v>
          </cell>
          <cell r="C1326" t="str">
            <v>Institut Kanser Negara</v>
          </cell>
          <cell r="D1326" t="e">
            <v>#N/A</v>
          </cell>
          <cell r="E1326" t="str">
            <v>12-660</v>
          </cell>
          <cell r="F1326" t="str">
            <v>Radiation Monitors</v>
          </cell>
          <cell r="G1326" t="str">
            <v>WA</v>
          </cell>
          <cell r="H1326" t="str">
            <v>NUCLEAR MED WARD (THERAPY)</v>
          </cell>
          <cell r="I1326" t="str">
            <v>03WA125</v>
          </cell>
          <cell r="J1326" t="str">
            <v>RADIOIODIN PREP (100% F.A.)</v>
          </cell>
          <cell r="K1326" t="str">
            <v>BMED</v>
          </cell>
          <cell r="L1326" t="str">
            <v>Normal</v>
          </cell>
          <cell r="M1326" t="str">
            <v>Germany</v>
          </cell>
          <cell r="N1326" t="str">
            <v>Almo</v>
          </cell>
          <cell r="O1326" t="str">
            <v>Almo 1</v>
          </cell>
          <cell r="P1326" t="str">
            <v>559</v>
          </cell>
          <cell r="Q1326" t="str">
            <v>Not Applicable</v>
          </cell>
          <cell r="R1326" t="str">
            <v>MED Nuklear-Medizintechnik Dresden GmbH</v>
          </cell>
          <cell r="S1326" t="str">
            <v>.</v>
          </cell>
          <cell r="T1326" t="str">
            <v>Functioning</v>
          </cell>
          <cell r="U1326" t="str">
            <v>Asset</v>
          </cell>
          <cell r="V1326">
            <v>54570</v>
          </cell>
          <cell r="W1326" t="str">
            <v>KEW</v>
          </cell>
          <cell r="X1326" t="str">
            <v>01/09/2010</v>
          </cell>
          <cell r="Y1326" t="str">
            <v>KEW</v>
          </cell>
          <cell r="Z1326" t="str">
            <v>16/08/2013</v>
          </cell>
          <cell r="AA1326" t="str">
            <v>15/08/2015</v>
          </cell>
          <cell r="AB1326" t="str">
            <v>No</v>
          </cell>
          <cell r="AC1326" t="str">
            <v>31/08/2013</v>
          </cell>
          <cell r="AD1326" t="str">
            <v>Good</v>
          </cell>
          <cell r="AE1326" t="str">
            <v>V1 - Existing / No Claim</v>
          </cell>
          <cell r="AF1326">
            <v>42369</v>
          </cell>
          <cell r="AG1326">
            <v>9.17</v>
          </cell>
          <cell r="AH1326" t="str">
            <v>PPM</v>
          </cell>
          <cell r="AI1326" t="str">
            <v>package</v>
          </cell>
          <cell r="AK1326" t="str">
            <v>[25/11/2024]: SN Detector: 311197</v>
          </cell>
        </row>
        <row r="1327">
          <cell r="A1327" t="str">
            <v>IKN400995</v>
          </cell>
          <cell r="B1327">
            <v>993</v>
          </cell>
          <cell r="C1327" t="str">
            <v>Institut Kanser Negara</v>
          </cell>
          <cell r="D1327" t="str">
            <v>KKM/IKN/H/13/3098</v>
          </cell>
          <cell r="E1327" t="str">
            <v>16-567</v>
          </cell>
          <cell r="F1327" t="str">
            <v>Thyroid Uptake Systems</v>
          </cell>
          <cell r="G1327" t="str">
            <v>NM</v>
          </cell>
          <cell r="H1327" t="str">
            <v>NUCLEAR MED (DIAGNOSTIC)</v>
          </cell>
          <cell r="I1327" t="str">
            <v>03NM123</v>
          </cell>
          <cell r="J1327" t="str">
            <v>NON-IMAGING EQ.ROOM</v>
          </cell>
          <cell r="K1327" t="str">
            <v>BMED</v>
          </cell>
          <cell r="L1327" t="str">
            <v>Normal</v>
          </cell>
          <cell r="M1327" t="str">
            <v>USA</v>
          </cell>
          <cell r="N1327" t="str">
            <v>Atomlab</v>
          </cell>
          <cell r="O1327" t="str">
            <v>Atomlab 950C</v>
          </cell>
          <cell r="P1327" t="str">
            <v>766101401660001</v>
          </cell>
          <cell r="Q1327" t="str">
            <v>NA</v>
          </cell>
          <cell r="R1327" t="str">
            <v>Biodex Medical Systems Inc</v>
          </cell>
          <cell r="S1327" t="str">
            <v>Kwint International BN</v>
          </cell>
          <cell r="T1327" t="str">
            <v>Functioning</v>
          </cell>
          <cell r="U1327" t="str">
            <v>Asset</v>
          </cell>
          <cell r="V1327">
            <v>85120</v>
          </cell>
          <cell r="W1327" t="str">
            <v>Estimate</v>
          </cell>
          <cell r="X1327" t="str">
            <v>16/08/2013</v>
          </cell>
          <cell r="Y1327" t="str">
            <v>Estimate</v>
          </cell>
          <cell r="Z1327" t="str">
            <v>16/08/2013</v>
          </cell>
          <cell r="AA1327" t="str">
            <v>15/08/2015</v>
          </cell>
          <cell r="AB1327" t="str">
            <v>No</v>
          </cell>
          <cell r="AC1327" t="str">
            <v>16/08/2013</v>
          </cell>
          <cell r="AD1327" t="str">
            <v>Good</v>
          </cell>
          <cell r="AE1327" t="str">
            <v>V1 - Existing / No Claim</v>
          </cell>
          <cell r="AF1327">
            <v>42605</v>
          </cell>
          <cell r="AG1327">
            <v>6.25</v>
          </cell>
          <cell r="AH1327" t="str">
            <v>PPM</v>
          </cell>
          <cell r="AI1327" t="str">
            <v>Strands</v>
          </cell>
          <cell r="AJ1327" t="str">
            <v>Strands PW</v>
          </cell>
        </row>
        <row r="1328">
          <cell r="A1328" t="str">
            <v>IKN400996</v>
          </cell>
          <cell r="B1328">
            <v>994</v>
          </cell>
          <cell r="C1328" t="str">
            <v>Institut Kanser Negara</v>
          </cell>
          <cell r="D1328" t="str">
            <v>KKM/IKN/H/13/3009</v>
          </cell>
          <cell r="E1328" t="str">
            <v>12-660</v>
          </cell>
          <cell r="F1328" t="str">
            <v>Radiation Monitors</v>
          </cell>
          <cell r="G1328" t="str">
            <v>NM</v>
          </cell>
          <cell r="H1328" t="str">
            <v>NUCLEAR MED (DIAGNOSTIC)</v>
          </cell>
          <cell r="I1328" t="str">
            <v>03NM138</v>
          </cell>
          <cell r="J1328" t="str">
            <v>RADIOIODINE PREP. (100% F.A)</v>
          </cell>
          <cell r="K1328" t="str">
            <v>BMED</v>
          </cell>
          <cell r="L1328" t="str">
            <v>Normal</v>
          </cell>
          <cell r="M1328" t="str">
            <v>Germany</v>
          </cell>
          <cell r="N1328" t="str">
            <v>Almo</v>
          </cell>
          <cell r="O1328" t="str">
            <v>Almo 6</v>
          </cell>
          <cell r="P1328" t="str">
            <v>0072</v>
          </cell>
          <cell r="Q1328" t="str">
            <v>Not Applicable</v>
          </cell>
          <cell r="R1328" t="str">
            <v>MED Nuklear-Medizintechnik Dresden GmbH</v>
          </cell>
          <cell r="S1328" t="str">
            <v/>
          </cell>
          <cell r="T1328" t="str">
            <v>Functioning</v>
          </cell>
          <cell r="U1328" t="str">
            <v>Asset</v>
          </cell>
          <cell r="V1328">
            <v>54570</v>
          </cell>
          <cell r="W1328" t="str">
            <v>KEW</v>
          </cell>
          <cell r="X1328" t="str">
            <v>01/09/2010</v>
          </cell>
          <cell r="Y1328" t="str">
            <v>KEW</v>
          </cell>
          <cell r="Z1328" t="str">
            <v>16/08/2013</v>
          </cell>
          <cell r="AA1328" t="str">
            <v>15/08/2015</v>
          </cell>
          <cell r="AB1328" t="str">
            <v>No</v>
          </cell>
          <cell r="AC1328" t="str">
            <v>31/08/2013</v>
          </cell>
          <cell r="AD1328" t="str">
            <v>Good</v>
          </cell>
          <cell r="AE1328" t="str">
            <v>V1 - Existing / No Claim</v>
          </cell>
          <cell r="AF1328">
            <v>45449</v>
          </cell>
          <cell r="AG1328">
            <v>9.17</v>
          </cell>
          <cell r="AH1328" t="str">
            <v>PPM</v>
          </cell>
          <cell r="AI1328" t="str">
            <v>package</v>
          </cell>
          <cell r="AJ1328" t="str">
            <v>Proposed for V3 P1.24</v>
          </cell>
          <cell r="AK1328" t="str">
            <v>DETECTOR SN: 311197,311316,311275</v>
          </cell>
        </row>
        <row r="1329">
          <cell r="A1329" t="str">
            <v>IKN400997</v>
          </cell>
          <cell r="B1329">
            <v>995</v>
          </cell>
          <cell r="C1329" t="str">
            <v>Institut Kanser Negara</v>
          </cell>
          <cell r="D1329" t="str">
            <v>KKM/IKN/H/13/2992</v>
          </cell>
          <cell r="E1329" t="str">
            <v>12-660</v>
          </cell>
          <cell r="F1329" t="str">
            <v>Radiation Monitors</v>
          </cell>
          <cell r="G1329" t="str">
            <v>NM</v>
          </cell>
          <cell r="H1329" t="str">
            <v>NUCLEAR MED (DIAGNOSTIC)</v>
          </cell>
          <cell r="I1329" t="str">
            <v>03NM132</v>
          </cell>
          <cell r="J1329" t="str">
            <v>CORRIDOR 5</v>
          </cell>
          <cell r="K1329" t="str">
            <v>BMED</v>
          </cell>
          <cell r="L1329" t="str">
            <v>Normal</v>
          </cell>
          <cell r="M1329" t="str">
            <v>Germany</v>
          </cell>
          <cell r="N1329" t="str">
            <v>MED HFC</v>
          </cell>
          <cell r="O1329" t="str">
            <v>MED HFC</v>
          </cell>
          <cell r="P1329" t="str">
            <v>753</v>
          </cell>
          <cell r="Q1329" t="str">
            <v>Not Applicable</v>
          </cell>
          <cell r="R1329" t="str">
            <v>MED Nuklear-Medizintechnik Dresden GmbH</v>
          </cell>
          <cell r="S1329" t="str">
            <v/>
          </cell>
          <cell r="T1329" t="str">
            <v>Functioning</v>
          </cell>
          <cell r="U1329" t="str">
            <v>Asset</v>
          </cell>
          <cell r="V1329">
            <v>112855</v>
          </cell>
          <cell r="W1329" t="str">
            <v>KEW</v>
          </cell>
          <cell r="X1329" t="str">
            <v>01/09/2010</v>
          </cell>
          <cell r="Y1329" t="str">
            <v>KEW</v>
          </cell>
          <cell r="Z1329" t="str">
            <v>16/08/2013</v>
          </cell>
          <cell r="AA1329" t="str">
            <v>15/08/2015</v>
          </cell>
          <cell r="AB1329" t="str">
            <v>No</v>
          </cell>
          <cell r="AC1329" t="str">
            <v>31/08/2013</v>
          </cell>
          <cell r="AD1329" t="str">
            <v>Good</v>
          </cell>
          <cell r="AE1329" t="str">
            <v>V1 - Existing / No Claim</v>
          </cell>
          <cell r="AF1329">
            <v>42235</v>
          </cell>
          <cell r="AG1329">
            <v>9.17</v>
          </cell>
          <cell r="AH1329" t="str">
            <v>PPM</v>
          </cell>
          <cell r="AI1329" t="str">
            <v>Strands</v>
          </cell>
          <cell r="AJ1329" t="str">
            <v>Strands PW</v>
          </cell>
        </row>
        <row r="1330">
          <cell r="A1330" t="str">
            <v>IKN400998</v>
          </cell>
          <cell r="B1330">
            <v>996</v>
          </cell>
          <cell r="C1330" t="str">
            <v>Institut Kanser Negara</v>
          </cell>
          <cell r="D1330" t="str">
            <v>KKM/IKN/H/13/5380</v>
          </cell>
          <cell r="E1330" t="str">
            <v>12-660</v>
          </cell>
          <cell r="F1330" t="str">
            <v>Radiation Monitors</v>
          </cell>
          <cell r="G1330" t="str">
            <v>NW</v>
          </cell>
          <cell r="H1330" t="str">
            <v>NUCLEAR WASTE HOLDING</v>
          </cell>
          <cell r="I1330" t="str">
            <v>01NW106</v>
          </cell>
          <cell r="J1330" t="str">
            <v>WASTE MEASUREMENT</v>
          </cell>
          <cell r="K1330" t="str">
            <v>BMED</v>
          </cell>
          <cell r="L1330" t="str">
            <v>Normal</v>
          </cell>
          <cell r="M1330" t="str">
            <v>Germany</v>
          </cell>
          <cell r="N1330" t="str">
            <v>CoMo</v>
          </cell>
          <cell r="O1330" t="str">
            <v>CoMo 170</v>
          </cell>
          <cell r="P1330">
            <v>4937</v>
          </cell>
          <cell r="Q1330" t="str">
            <v>Not Applicable</v>
          </cell>
          <cell r="R1330" t="str">
            <v>MED Nuklear-Medizintechnik Dresden GmbH</v>
          </cell>
          <cell r="S1330" t="str">
            <v>Delta Advantech (M) Sdn. Bhd.</v>
          </cell>
          <cell r="T1330" t="str">
            <v>Functioning</v>
          </cell>
          <cell r="U1330" t="str">
            <v>Asset</v>
          </cell>
          <cell r="V1330">
            <v>6810</v>
          </cell>
          <cell r="W1330" t="str">
            <v>KEW</v>
          </cell>
          <cell r="X1330" t="str">
            <v>01/09/2010</v>
          </cell>
          <cell r="Y1330" t="str">
            <v>KEW</v>
          </cell>
          <cell r="Z1330" t="str">
            <v>16/08/2013</v>
          </cell>
          <cell r="AA1330" t="str">
            <v>15/08/2015</v>
          </cell>
          <cell r="AB1330" t="str">
            <v>No</v>
          </cell>
          <cell r="AC1330" t="str">
            <v>31/08/2013</v>
          </cell>
          <cell r="AD1330" t="str">
            <v>Good</v>
          </cell>
          <cell r="AE1330" t="str">
            <v>V1 - Existing / No Claim</v>
          </cell>
          <cell r="AF1330">
            <v>42545</v>
          </cell>
          <cell r="AG1330">
            <v>9.17</v>
          </cell>
          <cell r="AH1330" t="str">
            <v>PPM</v>
          </cell>
          <cell r="AI1330" t="str">
            <v>Strands</v>
          </cell>
          <cell r="AJ1330" t="str">
            <v>Strands PW</v>
          </cell>
        </row>
        <row r="1331">
          <cell r="A1331" t="str">
            <v>IKN401001</v>
          </cell>
          <cell r="B1331">
            <v>999</v>
          </cell>
          <cell r="C1331" t="str">
            <v>Institut Kanser Negara</v>
          </cell>
          <cell r="D1331" t="str">
            <v>KKM/IKN/H/13/192</v>
          </cell>
          <cell r="E1331" t="str">
            <v>10-208</v>
          </cell>
          <cell r="F1331" t="str">
            <v>Aspirators</v>
          </cell>
          <cell r="G1331" t="str">
            <v>OT</v>
          </cell>
          <cell r="H1331" t="str">
            <v>OPERATING THEATRE</v>
          </cell>
          <cell r="I1331" t="str">
            <v>05OT169</v>
          </cell>
          <cell r="J1331" t="str">
            <v>EQ. ROOM</v>
          </cell>
          <cell r="K1331" t="str">
            <v>BMED</v>
          </cell>
          <cell r="L1331" t="str">
            <v>Normal</v>
          </cell>
          <cell r="M1331" t="str">
            <v>Switzerland</v>
          </cell>
          <cell r="N1331" t="str">
            <v>Senator</v>
          </cell>
          <cell r="O1331" t="str">
            <v>Senator</v>
          </cell>
          <cell r="P1331" t="str">
            <v>1220760</v>
          </cell>
          <cell r="Q1331" t="str">
            <v>Not Applicable</v>
          </cell>
          <cell r="R1331" t="str">
            <v>Ardo Medical AG</v>
          </cell>
          <cell r="S1331" t="str">
            <v>Histopoint</v>
          </cell>
          <cell r="T1331" t="str">
            <v>Functioning</v>
          </cell>
          <cell r="U1331" t="str">
            <v>Asset</v>
          </cell>
          <cell r="V1331">
            <v>7580</v>
          </cell>
          <cell r="W1331" t="str">
            <v>KEW</v>
          </cell>
          <cell r="X1331" t="str">
            <v>01/09/2010</v>
          </cell>
          <cell r="Y1331" t="str">
            <v>KEW</v>
          </cell>
          <cell r="Z1331" t="str">
            <v>16/08/2013</v>
          </cell>
          <cell r="AA1331" t="str">
            <v>15/08/2015</v>
          </cell>
          <cell r="AB1331" t="str">
            <v>No</v>
          </cell>
          <cell r="AC1331" t="str">
            <v>31/08/2013</v>
          </cell>
          <cell r="AD1331" t="str">
            <v>Good</v>
          </cell>
          <cell r="AE1331" t="str">
            <v>V1 - Existing / No Claim</v>
          </cell>
          <cell r="AF1331">
            <v>42235</v>
          </cell>
          <cell r="AG1331">
            <v>9.17</v>
          </cell>
          <cell r="AH1331" t="str">
            <v>PPM</v>
          </cell>
          <cell r="AI1331" t="str">
            <v>Strands</v>
          </cell>
          <cell r="AJ1331" t="str">
            <v>Strands PW</v>
          </cell>
        </row>
        <row r="1332">
          <cell r="A1332" t="str">
            <v>IKN401003</v>
          </cell>
          <cell r="B1332">
            <v>1001</v>
          </cell>
          <cell r="C1332" t="str">
            <v>Institut Kanser Negara</v>
          </cell>
          <cell r="D1332" t="str">
            <v>KKM/IKN/H/13/3938</v>
          </cell>
          <cell r="E1332" t="str">
            <v>16-763</v>
          </cell>
          <cell r="F1332" t="str">
            <v>Monitors, Bedside, Intracranial Pressure</v>
          </cell>
          <cell r="G1332" t="str">
            <v>OT</v>
          </cell>
          <cell r="H1332" t="str">
            <v>OPERATING THEATRE</v>
          </cell>
          <cell r="I1332" t="str">
            <v>05OT169</v>
          </cell>
          <cell r="J1332" t="str">
            <v>EQ. ROOM</v>
          </cell>
          <cell r="K1332" t="str">
            <v>BMED</v>
          </cell>
          <cell r="L1332" t="str">
            <v>Normal</v>
          </cell>
          <cell r="M1332" t="str">
            <v>Germany</v>
          </cell>
          <cell r="N1332" t="str">
            <v>Spiegelberg</v>
          </cell>
          <cell r="O1332" t="str">
            <v>Spiegelberg</v>
          </cell>
          <cell r="P1332" t="str">
            <v>214/12</v>
          </cell>
          <cell r="Q1332" t="str">
            <v>Not Applicable</v>
          </cell>
          <cell r="R1332" t="str">
            <v>Aesculap AG</v>
          </cell>
          <cell r="S1332" t="str">
            <v>B Braun Medical Supplies Sdn. Bhd.</v>
          </cell>
          <cell r="T1332" t="str">
            <v>Functioning</v>
          </cell>
          <cell r="U1332" t="str">
            <v>Asset</v>
          </cell>
          <cell r="V1332">
            <v>62550</v>
          </cell>
          <cell r="W1332" t="str">
            <v>KEW</v>
          </cell>
          <cell r="X1332" t="str">
            <v>01/09/2010</v>
          </cell>
          <cell r="Y1332" t="str">
            <v>KEW</v>
          </cell>
          <cell r="Z1332" t="str">
            <v>16/08/2013</v>
          </cell>
          <cell r="AA1332" t="str">
            <v>15/08/2015</v>
          </cell>
          <cell r="AB1332" t="str">
            <v>No</v>
          </cell>
          <cell r="AC1332" t="str">
            <v>31/08/2013</v>
          </cell>
          <cell r="AD1332" t="str">
            <v>Good</v>
          </cell>
          <cell r="AE1332" t="str">
            <v>V1 - Existing / No Claim</v>
          </cell>
          <cell r="AF1332">
            <v>42235</v>
          </cell>
          <cell r="AG1332">
            <v>9.17</v>
          </cell>
          <cell r="AH1332" t="str">
            <v>PPM</v>
          </cell>
          <cell r="AI1332" t="str">
            <v>Strands</v>
          </cell>
          <cell r="AJ1332" t="str">
            <v>Strands PW SET C</v>
          </cell>
          <cell r="AK1332" t="str">
            <v>CUBA CHECK IKN401030 PUNYA KEWPA</v>
          </cell>
        </row>
        <row r="1333">
          <cell r="A1333" t="str">
            <v>IKN401004</v>
          </cell>
          <cell r="B1333">
            <v>1002</v>
          </cell>
          <cell r="C1333" t="str">
            <v>Institut Kanser Negara</v>
          </cell>
          <cell r="D1333" t="str">
            <v>KKM/IKN/H/13/3939</v>
          </cell>
          <cell r="E1333" t="str">
            <v>17-954</v>
          </cell>
          <cell r="F1333" t="str">
            <v>Hand Drills, Surgical</v>
          </cell>
          <cell r="G1333" t="str">
            <v>OT</v>
          </cell>
          <cell r="H1333" t="str">
            <v>OPERATING THEATRE</v>
          </cell>
          <cell r="I1333" t="str">
            <v>05OT169</v>
          </cell>
          <cell r="J1333" t="str">
            <v>EQ. ROOM</v>
          </cell>
          <cell r="K1333" t="str">
            <v>BMED</v>
          </cell>
          <cell r="L1333" t="str">
            <v>Normal</v>
          </cell>
          <cell r="M1333" t="str">
            <v>USA</v>
          </cell>
          <cell r="N1333" t="str">
            <v>Midas</v>
          </cell>
          <cell r="O1333" t="str">
            <v>Midas Rex</v>
          </cell>
          <cell r="P1333" t="str">
            <v>57218</v>
          </cell>
          <cell r="Q1333" t="str">
            <v>Not Applicable</v>
          </cell>
          <cell r="R1333" t="str">
            <v>Medtronic Inc</v>
          </cell>
          <cell r="S1333" t="str">
            <v>H&amp;A</v>
          </cell>
          <cell r="T1333" t="str">
            <v>Functioning</v>
          </cell>
          <cell r="U1333" t="str">
            <v>Asset</v>
          </cell>
          <cell r="V1333">
            <v>227540</v>
          </cell>
          <cell r="W1333" t="str">
            <v>KEW</v>
          </cell>
          <cell r="X1333" t="str">
            <v>01/09/2010</v>
          </cell>
          <cell r="Y1333" t="str">
            <v>KEW</v>
          </cell>
          <cell r="Z1333" t="str">
            <v>16/08/2013</v>
          </cell>
          <cell r="AA1333" t="str">
            <v>15/08/2015</v>
          </cell>
          <cell r="AB1333" t="str">
            <v>No</v>
          </cell>
          <cell r="AC1333" t="str">
            <v>31/08/2013</v>
          </cell>
          <cell r="AD1333" t="str">
            <v>Good</v>
          </cell>
          <cell r="AE1333" t="str">
            <v>V1 - Existing / No Claim</v>
          </cell>
          <cell r="AF1333">
            <v>42235</v>
          </cell>
          <cell r="AG1333">
            <v>9.17</v>
          </cell>
          <cell r="AH1333" t="str">
            <v>PPM</v>
          </cell>
          <cell r="AI1333" t="str">
            <v>Strands</v>
          </cell>
          <cell r="AJ1333" t="str">
            <v>Strands PW</v>
          </cell>
        </row>
        <row r="1334">
          <cell r="A1334" t="str">
            <v>IKN401005</v>
          </cell>
          <cell r="B1334">
            <v>1003</v>
          </cell>
          <cell r="C1334" t="str">
            <v>Institut Kanser Negara</v>
          </cell>
          <cell r="D1334" t="str">
            <v>KKM/IKN/H/13/174</v>
          </cell>
          <cell r="E1334" t="str">
            <v>12-863</v>
          </cell>
          <cell r="F1334" t="str">
            <v>Oxygen Monitors</v>
          </cell>
          <cell r="G1334" t="str">
            <v>OT</v>
          </cell>
          <cell r="H1334" t="str">
            <v>OPERATING THEATRE</v>
          </cell>
          <cell r="I1334" t="str">
            <v>05OT165</v>
          </cell>
          <cell r="J1334" t="str">
            <v>RHU</v>
          </cell>
          <cell r="K1334" t="str">
            <v>BMED</v>
          </cell>
          <cell r="L1334" t="str">
            <v>Critical</v>
          </cell>
          <cell r="M1334" t="str">
            <v>Germany</v>
          </cell>
          <cell r="N1334" t="str">
            <v>Mysign</v>
          </cell>
          <cell r="O1334" t="str">
            <v>Mysign O</v>
          </cell>
          <cell r="P1334" t="str">
            <v>100397</v>
          </cell>
          <cell r="Q1334" t="str">
            <v>Not Applicable</v>
          </cell>
          <cell r="R1334" t="str">
            <v>EnviteC-Wismar GmbH</v>
          </cell>
          <cell r="S1334" t="str">
            <v>Respimedic</v>
          </cell>
          <cell r="T1334" t="str">
            <v>Functioning</v>
          </cell>
          <cell r="U1334" t="str">
            <v>Asset</v>
          </cell>
          <cell r="V1334">
            <v>3079</v>
          </cell>
          <cell r="W1334" t="str">
            <v>KEW</v>
          </cell>
          <cell r="X1334" t="str">
            <v>01/09/2010</v>
          </cell>
          <cell r="Y1334" t="str">
            <v>KEW</v>
          </cell>
          <cell r="Z1334" t="str">
            <v>16/08/2013</v>
          </cell>
          <cell r="AA1334" t="str">
            <v>15/08/2015</v>
          </cell>
          <cell r="AB1334" t="str">
            <v>No</v>
          </cell>
          <cell r="AC1334" t="str">
            <v>31/08/2013</v>
          </cell>
          <cell r="AD1334" t="str">
            <v>Good</v>
          </cell>
          <cell r="AE1334" t="str">
            <v>V1 - Existing / No Claim</v>
          </cell>
          <cell r="AF1334">
            <v>42803</v>
          </cell>
          <cell r="AG1334">
            <v>9.17</v>
          </cell>
          <cell r="AH1334" t="str">
            <v>PPM</v>
          </cell>
          <cell r="AI1334" t="str">
            <v>Strands</v>
          </cell>
          <cell r="AJ1334" t="str">
            <v>Strands PW</v>
          </cell>
        </row>
        <row r="1335">
          <cell r="A1335" t="str">
            <v>IKN401011</v>
          </cell>
          <cell r="B1335">
            <v>1009</v>
          </cell>
          <cell r="C1335" t="str">
            <v>Institut Kanser Negara</v>
          </cell>
          <cell r="D1335" t="str">
            <v>KKM/IKN/H/13/3936</v>
          </cell>
          <cell r="E1335" t="str">
            <v>12-709</v>
          </cell>
          <cell r="F1335" t="str">
            <v>Nasopharyngoscopes</v>
          </cell>
          <cell r="G1335" t="str">
            <v>OT</v>
          </cell>
          <cell r="H1335" t="str">
            <v>OPERATING THEATRE</v>
          </cell>
          <cell r="I1335" t="str">
            <v>05OT167</v>
          </cell>
          <cell r="J1335" t="str">
            <v>SCOPE WASH</v>
          </cell>
          <cell r="K1335" t="str">
            <v>BMED</v>
          </cell>
          <cell r="L1335" t="str">
            <v>Normal</v>
          </cell>
          <cell r="M1335" t="str">
            <v>Japan</v>
          </cell>
          <cell r="N1335" t="str">
            <v>Olympus</v>
          </cell>
          <cell r="O1335" t="str">
            <v>Olympus ENF-T3</v>
          </cell>
          <cell r="P1335" t="str">
            <v>2224945/7211418</v>
          </cell>
          <cell r="Q1335" t="str">
            <v>Not Applicable</v>
          </cell>
          <cell r="R1335" t="str">
            <v>Olympus Optical Co Ltd</v>
          </cell>
          <cell r="S1335" t="str">
            <v>Endodynamics</v>
          </cell>
          <cell r="T1335" t="str">
            <v>Functioning</v>
          </cell>
          <cell r="U1335" t="str">
            <v>Asset</v>
          </cell>
          <cell r="V1335">
            <v>59362</v>
          </cell>
          <cell r="W1335" t="str">
            <v>KEW</v>
          </cell>
          <cell r="X1335" t="str">
            <v>01/09/2010</v>
          </cell>
          <cell r="Y1335" t="str">
            <v>KEW</v>
          </cell>
          <cell r="Z1335" t="str">
            <v>16/08/2013</v>
          </cell>
          <cell r="AA1335" t="str">
            <v>15/08/2015</v>
          </cell>
          <cell r="AB1335" t="str">
            <v>No</v>
          </cell>
          <cell r="AC1335" t="str">
            <v>31/08/2013</v>
          </cell>
          <cell r="AD1335" t="str">
            <v>Good</v>
          </cell>
          <cell r="AE1335" t="str">
            <v>V1 - Existing / No Claim</v>
          </cell>
          <cell r="AF1335">
            <v>42235</v>
          </cell>
          <cell r="AG1335">
            <v>9.17</v>
          </cell>
          <cell r="AH1335" t="str">
            <v>PPM</v>
          </cell>
          <cell r="AI1335" t="str">
            <v>Strands</v>
          </cell>
          <cell r="AJ1335" t="str">
            <v>Strands PW</v>
          </cell>
        </row>
        <row r="1336">
          <cell r="A1336" t="str">
            <v>IKN401013</v>
          </cell>
          <cell r="B1336">
            <v>1011</v>
          </cell>
          <cell r="C1336" t="str">
            <v>Institut Kanser Negara</v>
          </cell>
          <cell r="D1336" t="str">
            <v>KKM/IKN/H/13/3934-03</v>
          </cell>
          <cell r="E1336" t="str">
            <v>15-967</v>
          </cell>
          <cell r="F1336" t="str">
            <v>Television Systems, Endoscope</v>
          </cell>
          <cell r="G1336" t="str">
            <v>OT</v>
          </cell>
          <cell r="H1336" t="str">
            <v>OPERATING THEATRE</v>
          </cell>
          <cell r="I1336" t="str">
            <v>05OT167</v>
          </cell>
          <cell r="J1336" t="str">
            <v>SCOPE WASH</v>
          </cell>
          <cell r="K1336" t="str">
            <v>BMED</v>
          </cell>
          <cell r="L1336" t="str">
            <v>Normal</v>
          </cell>
          <cell r="M1336" t="str">
            <v>GERMANY</v>
          </cell>
          <cell r="N1336" t="str">
            <v>Karl Storz Gmbh &amp; Co</v>
          </cell>
          <cell r="O1336" t="str">
            <v>9626.NB/KS-26</v>
          </cell>
          <cell r="P1336" t="str">
            <v>51210038XX008</v>
          </cell>
          <cell r="Q1336" t="str">
            <v>Not Applicable</v>
          </cell>
          <cell r="R1336" t="str">
            <v>Karl Storz Gmbh &amp; Co</v>
          </cell>
          <cell r="S1336" t="str">
            <v>UMMI Surgical Sdn Bhd</v>
          </cell>
          <cell r="T1336" t="str">
            <v>Functioning</v>
          </cell>
          <cell r="U1336" t="str">
            <v>Asset</v>
          </cell>
          <cell r="V1336">
            <v>10000</v>
          </cell>
          <cell r="W1336" t="str">
            <v>Estimate</v>
          </cell>
          <cell r="X1336" t="str">
            <v>01/09/2010</v>
          </cell>
          <cell r="Y1336" t="str">
            <v>KEW</v>
          </cell>
          <cell r="Z1336" t="str">
            <v>16/08/2013</v>
          </cell>
          <cell r="AA1336" t="str">
            <v>15/08/2015</v>
          </cell>
          <cell r="AB1336" t="str">
            <v>No</v>
          </cell>
          <cell r="AC1336" t="str">
            <v>31/08/2013</v>
          </cell>
          <cell r="AD1336" t="str">
            <v>Good</v>
          </cell>
          <cell r="AE1336" t="str">
            <v>V1 - Existing / No Claim</v>
          </cell>
          <cell r="AF1336">
            <v>42803</v>
          </cell>
          <cell r="AG1336">
            <v>9.17</v>
          </cell>
          <cell r="AH1336" t="str">
            <v>RI</v>
          </cell>
          <cell r="AI1336" t="str">
            <v>Strands</v>
          </cell>
          <cell r="AJ1336" t="str">
            <v>Strands Package</v>
          </cell>
          <cell r="AK1336" t="str">
            <v>Package Code EP0127</v>
          </cell>
        </row>
        <row r="1337">
          <cell r="A1337" t="str">
            <v>IKN401014</v>
          </cell>
          <cell r="B1337">
            <v>1012</v>
          </cell>
          <cell r="C1337" t="str">
            <v>Institut Kanser Negara</v>
          </cell>
          <cell r="D1337" t="str">
            <v>KKM/IKN/H/13/3934-04</v>
          </cell>
          <cell r="E1337" t="str">
            <v>12-345</v>
          </cell>
          <cell r="F1337" t="str">
            <v>Light Sources, Fiberoptic</v>
          </cell>
          <cell r="G1337" t="str">
            <v>OT</v>
          </cell>
          <cell r="H1337" t="str">
            <v>OPERATING THEATRE</v>
          </cell>
          <cell r="I1337" t="str">
            <v>05OT167</v>
          </cell>
          <cell r="J1337" t="str">
            <v>SCOPE WASH</v>
          </cell>
          <cell r="K1337" t="str">
            <v>BMED</v>
          </cell>
          <cell r="L1337" t="str">
            <v>Normal</v>
          </cell>
          <cell r="M1337" t="str">
            <v>Germany</v>
          </cell>
          <cell r="N1337" t="str">
            <v>Xenon Nova</v>
          </cell>
          <cell r="O1337" t="str">
            <v>Xenon Nova 300, 201340 20</v>
          </cell>
          <cell r="P1337" t="str">
            <v>VX0682962</v>
          </cell>
          <cell r="Q1337" t="str">
            <v>Not Applicable</v>
          </cell>
          <cell r="R1337" t="str">
            <v>Karl Storz GmbH</v>
          </cell>
          <cell r="S1337" t="str">
            <v>UMMI Surgical Sdn Bhd</v>
          </cell>
          <cell r="T1337" t="str">
            <v>Functioning</v>
          </cell>
          <cell r="U1337" t="str">
            <v>Asset</v>
          </cell>
          <cell r="V1337">
            <v>50000</v>
          </cell>
          <cell r="W1337" t="str">
            <v>Estimate</v>
          </cell>
          <cell r="X1337" t="str">
            <v>01/09/2010</v>
          </cell>
          <cell r="Y1337" t="str">
            <v>KEW</v>
          </cell>
          <cell r="Z1337" t="str">
            <v>16/08/2013</v>
          </cell>
          <cell r="AA1337" t="str">
            <v>15/08/2015</v>
          </cell>
          <cell r="AB1337" t="str">
            <v>No</v>
          </cell>
          <cell r="AC1337" t="str">
            <v>31/08/2013</v>
          </cell>
          <cell r="AD1337" t="str">
            <v>Good</v>
          </cell>
          <cell r="AE1337" t="str">
            <v>V1 - Existing / No Claim</v>
          </cell>
          <cell r="AF1337">
            <v>42605</v>
          </cell>
          <cell r="AG1337">
            <v>9.17</v>
          </cell>
          <cell r="AH1337" t="str">
            <v>PPM</v>
          </cell>
          <cell r="AI1337" t="str">
            <v>Strands</v>
          </cell>
          <cell r="AJ1337" t="str">
            <v>Strands Package</v>
          </cell>
          <cell r="AK1337" t="str">
            <v>Package Code EP0127</v>
          </cell>
        </row>
        <row r="1338">
          <cell r="A1338" t="str">
            <v>IKN401016</v>
          </cell>
          <cell r="B1338">
            <v>1014</v>
          </cell>
          <cell r="C1338" t="str">
            <v>Institut Kanser Negara</v>
          </cell>
          <cell r="D1338" t="str">
            <v>KKM/IKN/H/13/3934-05</v>
          </cell>
          <cell r="E1338" t="str">
            <v>13-274</v>
          </cell>
          <cell r="F1338" t="str">
            <v>Recorders, Tape, Video</v>
          </cell>
          <cell r="G1338" t="str">
            <v>OT</v>
          </cell>
          <cell r="H1338" t="str">
            <v>OPERATING THEATRE</v>
          </cell>
          <cell r="I1338" t="str">
            <v>05OT167</v>
          </cell>
          <cell r="J1338" t="str">
            <v>SCOPE WASH</v>
          </cell>
          <cell r="K1338" t="str">
            <v>BMED</v>
          </cell>
          <cell r="L1338" t="str">
            <v>Normal</v>
          </cell>
          <cell r="M1338" t="str">
            <v>Germany</v>
          </cell>
          <cell r="N1338" t="str">
            <v>Aoda</v>
          </cell>
          <cell r="O1338" t="str">
            <v>Aoda Control Neo</v>
          </cell>
          <cell r="P1338" t="str">
            <v>KSB12558</v>
          </cell>
          <cell r="Q1338" t="str">
            <v>Not Applicable</v>
          </cell>
          <cell r="R1338" t="str">
            <v>Karl Storz GmbH &amp; Co KG</v>
          </cell>
          <cell r="S1338" t="str">
            <v>UMMI Surgical Sdn Bhd</v>
          </cell>
          <cell r="T1338" t="str">
            <v>Functioning</v>
          </cell>
          <cell r="U1338" t="str">
            <v>Asset</v>
          </cell>
          <cell r="V1338">
            <v>20000</v>
          </cell>
          <cell r="W1338" t="str">
            <v>Estimate</v>
          </cell>
          <cell r="X1338" t="str">
            <v>01/09/2010</v>
          </cell>
          <cell r="Y1338" t="str">
            <v>KEW</v>
          </cell>
          <cell r="Z1338" t="str">
            <v>16/08/2013</v>
          </cell>
          <cell r="AA1338" t="str">
            <v>15/08/2015</v>
          </cell>
          <cell r="AB1338" t="str">
            <v>No</v>
          </cell>
          <cell r="AC1338" t="str">
            <v>31/08/2013</v>
          </cell>
          <cell r="AD1338" t="str">
            <v>Good</v>
          </cell>
          <cell r="AE1338" t="str">
            <v>V1 - Existing / No Claim</v>
          </cell>
          <cell r="AF1338">
            <v>42605</v>
          </cell>
          <cell r="AG1338">
            <v>9.17</v>
          </cell>
          <cell r="AH1338" t="str">
            <v>RI</v>
          </cell>
          <cell r="AI1338" t="str">
            <v>Strands</v>
          </cell>
          <cell r="AJ1338" t="str">
            <v>Strands Package</v>
          </cell>
          <cell r="AK1338" t="str">
            <v>Package Code EP0127</v>
          </cell>
        </row>
        <row r="1339">
          <cell r="A1339" t="str">
            <v>IKN401017</v>
          </cell>
          <cell r="B1339">
            <v>1015</v>
          </cell>
          <cell r="C1339" t="str">
            <v>Institut Kanser Negara</v>
          </cell>
          <cell r="D1339" t="str">
            <v>KKM/IKN/H/13/203</v>
          </cell>
          <cell r="E1339" t="str">
            <v>10-134</v>
          </cell>
          <cell r="F1339" t="str">
            <v>Anesthesia Units</v>
          </cell>
          <cell r="G1339" t="str">
            <v>OT</v>
          </cell>
          <cell r="H1339" t="str">
            <v>OPERATING THEATRE</v>
          </cell>
          <cell r="I1339" t="str">
            <v>05OT120</v>
          </cell>
          <cell r="J1339" t="str">
            <v>OT 2</v>
          </cell>
          <cell r="K1339" t="str">
            <v>BMED</v>
          </cell>
          <cell r="L1339" t="str">
            <v>Critical</v>
          </cell>
          <cell r="M1339" t="str">
            <v>Germany</v>
          </cell>
          <cell r="N1339" t="str">
            <v>Primus</v>
          </cell>
          <cell r="O1339" t="str">
            <v>Primus</v>
          </cell>
          <cell r="P1339" t="str">
            <v>ASDJ-0236</v>
          </cell>
          <cell r="Q1339" t="str">
            <v>Not Applicable</v>
          </cell>
          <cell r="R1339" t="str">
            <v>Drager medical GmbH</v>
          </cell>
          <cell r="S1339" t="str">
            <v>Beau Consortium Sdn Bhd</v>
          </cell>
          <cell r="T1339" t="str">
            <v>Functioning</v>
          </cell>
          <cell r="U1339" t="str">
            <v>Asset</v>
          </cell>
          <cell r="V1339">
            <v>144345</v>
          </cell>
          <cell r="W1339" t="str">
            <v>KEW</v>
          </cell>
          <cell r="X1339" t="str">
            <v>01/09/2010</v>
          </cell>
          <cell r="Y1339" t="str">
            <v>KEW</v>
          </cell>
          <cell r="Z1339" t="str">
            <v>16/08/2013</v>
          </cell>
          <cell r="AA1339" t="str">
            <v>15/08/2015</v>
          </cell>
          <cell r="AB1339" t="str">
            <v>No</v>
          </cell>
          <cell r="AC1339" t="str">
            <v>31/08/2013</v>
          </cell>
          <cell r="AD1339" t="str">
            <v>Good</v>
          </cell>
          <cell r="AE1339" t="str">
            <v>V1 - Existing / No Claim</v>
          </cell>
          <cell r="AF1339">
            <v>42802</v>
          </cell>
          <cell r="AG1339">
            <v>9.17</v>
          </cell>
          <cell r="AH1339" t="str">
            <v>PPM</v>
          </cell>
          <cell r="AI1339" t="str">
            <v>Strands</v>
          </cell>
          <cell r="AJ1339" t="str">
            <v>Strands PW</v>
          </cell>
        </row>
        <row r="1340">
          <cell r="A1340" t="str">
            <v>IKN401018</v>
          </cell>
          <cell r="B1340">
            <v>1016</v>
          </cell>
          <cell r="C1340" t="str">
            <v>Institut Kanser Negara</v>
          </cell>
          <cell r="D1340" t="str">
            <v>KKM/IKN/H/13/160</v>
          </cell>
          <cell r="E1340" t="str">
            <v>12-647</v>
          </cell>
          <cell r="F1340" t="str">
            <v>Physiologic Monitoring Systems, Acute Care</v>
          </cell>
          <cell r="G1340" t="str">
            <v>OT</v>
          </cell>
          <cell r="H1340" t="str">
            <v>OPERATING THEATRE</v>
          </cell>
          <cell r="I1340" t="str">
            <v>05OT120</v>
          </cell>
          <cell r="J1340" t="str">
            <v>OT 2</v>
          </cell>
          <cell r="K1340" t="str">
            <v>BMED</v>
          </cell>
          <cell r="L1340" t="str">
            <v>Normal</v>
          </cell>
          <cell r="M1340" t="str">
            <v>Finland</v>
          </cell>
          <cell r="N1340" t="str">
            <v>Carespace</v>
          </cell>
          <cell r="O1340" t="str">
            <v>Carespace B850</v>
          </cell>
          <cell r="P1340" t="str">
            <v>SED12162940GA</v>
          </cell>
          <cell r="Q1340" t="str">
            <v>Not Applicable</v>
          </cell>
          <cell r="R1340" t="str">
            <v>GE Healthcare Systems</v>
          </cell>
          <cell r="S1340" t="str">
            <v>GE Healthcare Technologies</v>
          </cell>
          <cell r="T1340" t="str">
            <v>Functioning</v>
          </cell>
          <cell r="U1340" t="str">
            <v>Asset</v>
          </cell>
          <cell r="V1340">
            <v>119690</v>
          </cell>
          <cell r="W1340" t="str">
            <v>KEW</v>
          </cell>
          <cell r="X1340" t="str">
            <v>01/09/2010</v>
          </cell>
          <cell r="Y1340" t="str">
            <v>KEW</v>
          </cell>
          <cell r="Z1340" t="str">
            <v>16/08/2013</v>
          </cell>
          <cell r="AA1340" t="str">
            <v>15/08/2015</v>
          </cell>
          <cell r="AB1340" t="str">
            <v>No</v>
          </cell>
          <cell r="AC1340" t="str">
            <v>31/08/2013</v>
          </cell>
          <cell r="AD1340" t="str">
            <v>Good</v>
          </cell>
          <cell r="AE1340" t="str">
            <v>V3 - Added Installed Facilities (New)</v>
          </cell>
          <cell r="AF1340">
            <v>42235</v>
          </cell>
          <cell r="AG1340">
            <v>9.17</v>
          </cell>
          <cell r="AH1340" t="str">
            <v>PPM</v>
          </cell>
          <cell r="AI1340" t="str">
            <v>Strands</v>
          </cell>
          <cell r="AJ1340" t="str">
            <v>Strands PW</v>
          </cell>
          <cell r="AK1340" t="str">
            <v>SNF received. 1st batch of V3 asset (December 2020)</v>
          </cell>
        </row>
        <row r="1341">
          <cell r="A1341" t="str">
            <v>IKN401019</v>
          </cell>
          <cell r="B1341">
            <v>1017</v>
          </cell>
          <cell r="C1341" t="str">
            <v>Institut Kanser Negara</v>
          </cell>
          <cell r="D1341" t="str">
            <v>KKM/IKN/H/13/3597</v>
          </cell>
          <cell r="E1341" t="str">
            <v>10-414</v>
          </cell>
          <cell r="F1341" t="str">
            <v>Warming Units, Blanket</v>
          </cell>
          <cell r="G1341" t="str">
            <v>OT</v>
          </cell>
          <cell r="H1341" t="str">
            <v>OPERATING THEATRE</v>
          </cell>
          <cell r="I1341" t="str">
            <v>05OT120</v>
          </cell>
          <cell r="J1341" t="str">
            <v>OT 2</v>
          </cell>
          <cell r="K1341" t="str">
            <v>BMED</v>
          </cell>
          <cell r="L1341" t="str">
            <v>Normal</v>
          </cell>
          <cell r="M1341" t="str">
            <v>Sweden</v>
          </cell>
          <cell r="N1341" t="str">
            <v>Operatherm</v>
          </cell>
          <cell r="O1341" t="str">
            <v>Operatherm 303</v>
          </cell>
          <cell r="P1341" t="str">
            <v>00791-12</v>
          </cell>
          <cell r="Q1341" t="str">
            <v>Not Applicable</v>
          </cell>
          <cell r="R1341" t="str">
            <v>Kanmed</v>
          </cell>
          <cell r="S1341" t="str">
            <v>Perniagaan Med Tech</v>
          </cell>
          <cell r="T1341" t="str">
            <v>Functioning</v>
          </cell>
          <cell r="U1341" t="str">
            <v>Asset</v>
          </cell>
          <cell r="V1341">
            <v>15515</v>
          </cell>
          <cell r="W1341" t="str">
            <v>KEW</v>
          </cell>
          <cell r="X1341" t="str">
            <v>01/09/2010</v>
          </cell>
          <cell r="Y1341" t="str">
            <v>KEW</v>
          </cell>
          <cell r="Z1341" t="str">
            <v>16/08/2013</v>
          </cell>
          <cell r="AA1341" t="str">
            <v>15/08/2015</v>
          </cell>
          <cell r="AB1341" t="str">
            <v>No</v>
          </cell>
          <cell r="AC1341" t="str">
            <v>31/08/2013</v>
          </cell>
          <cell r="AD1341" t="str">
            <v>Good</v>
          </cell>
          <cell r="AE1341" t="str">
            <v>V1 - Existing / No Claim</v>
          </cell>
          <cell r="AF1341">
            <v>42802</v>
          </cell>
          <cell r="AG1341">
            <v>9.17</v>
          </cell>
          <cell r="AH1341" t="str">
            <v>PPM</v>
          </cell>
          <cell r="AI1341" t="str">
            <v>Strands</v>
          </cell>
          <cell r="AJ1341" t="str">
            <v>Strands PW</v>
          </cell>
        </row>
        <row r="1342">
          <cell r="A1342" t="str">
            <v>IKN401020</v>
          </cell>
          <cell r="B1342">
            <v>1018</v>
          </cell>
          <cell r="C1342" t="str">
            <v>Institut Kanser Negara</v>
          </cell>
          <cell r="D1342" t="str">
            <v>KKM/IKN/H/13/736</v>
          </cell>
          <cell r="E1342" t="str">
            <v>18-231</v>
          </cell>
          <cell r="F1342" t="str">
            <v>Electrosurgical Units, Monopolar/Bipolar</v>
          </cell>
          <cell r="G1342" t="str">
            <v>OT</v>
          </cell>
          <cell r="H1342" t="str">
            <v>OPERATING THEATRE</v>
          </cell>
          <cell r="I1342" t="str">
            <v>05OT120</v>
          </cell>
          <cell r="J1342" t="str">
            <v>OT 2</v>
          </cell>
          <cell r="K1342" t="str">
            <v>BMED</v>
          </cell>
          <cell r="L1342" t="str">
            <v>Normal</v>
          </cell>
          <cell r="M1342" t="str">
            <v>USA</v>
          </cell>
          <cell r="N1342" t="str">
            <v>Force</v>
          </cell>
          <cell r="O1342" t="str">
            <v>Force FX-8C</v>
          </cell>
          <cell r="P1342" t="str">
            <v>F2H71438AX</v>
          </cell>
          <cell r="Q1342" t="str">
            <v>Not Applicable</v>
          </cell>
          <cell r="R1342" t="str">
            <v>Valleylab</v>
          </cell>
          <cell r="S1342" t="str">
            <v>United States of America</v>
          </cell>
          <cell r="T1342" t="str">
            <v>Functioning</v>
          </cell>
          <cell r="U1342" t="str">
            <v>Asset</v>
          </cell>
          <cell r="V1342">
            <v>132310</v>
          </cell>
          <cell r="W1342" t="str">
            <v>KEW</v>
          </cell>
          <cell r="X1342" t="str">
            <v>01/09/2010</v>
          </cell>
          <cell r="Y1342" t="str">
            <v>KEW</v>
          </cell>
          <cell r="Z1342" t="str">
            <v>16/08/2013</v>
          </cell>
          <cell r="AA1342" t="str">
            <v>15/08/2015</v>
          </cell>
          <cell r="AB1342" t="str">
            <v>No</v>
          </cell>
          <cell r="AC1342" t="str">
            <v>31/08/2013</v>
          </cell>
          <cell r="AD1342" t="str">
            <v>Good</v>
          </cell>
          <cell r="AE1342" t="str">
            <v>V1 - Existing / No Claim</v>
          </cell>
          <cell r="AF1342">
            <v>42235</v>
          </cell>
          <cell r="AG1342">
            <v>9.17</v>
          </cell>
          <cell r="AH1342" t="str">
            <v>PPM</v>
          </cell>
          <cell r="AI1342" t="str">
            <v>Strands</v>
          </cell>
          <cell r="AJ1342" t="str">
            <v>Strands PW SET D</v>
          </cell>
          <cell r="AK1342" t="str">
            <v>CUBA CHECK IKN401021 PUNYA KEWPA</v>
          </cell>
        </row>
        <row r="1343">
          <cell r="A1343" t="str">
            <v>IKN401021</v>
          </cell>
          <cell r="B1343">
            <v>1019</v>
          </cell>
          <cell r="C1343" t="str">
            <v>Institut Kanser Negara</v>
          </cell>
          <cell r="D1343" t="str">
            <v>KKM/IKN/H/13/736</v>
          </cell>
          <cell r="E1343" t="str">
            <v>18-232</v>
          </cell>
          <cell r="F1343" t="str">
            <v>Electrosurgical Units, Monopolar/Bipolar, Argon-Enhanced Coagulation</v>
          </cell>
          <cell r="G1343" t="str">
            <v>OT</v>
          </cell>
          <cell r="H1343" t="str">
            <v>OPERATING THEATRE</v>
          </cell>
          <cell r="I1343" t="str">
            <v>05OT120</v>
          </cell>
          <cell r="J1343" t="str">
            <v>OT 2</v>
          </cell>
          <cell r="K1343" t="str">
            <v>BMED</v>
          </cell>
          <cell r="L1343" t="str">
            <v>Critical</v>
          </cell>
          <cell r="M1343" t="str">
            <v>USA</v>
          </cell>
          <cell r="N1343" t="str">
            <v>Force</v>
          </cell>
          <cell r="O1343" t="str">
            <v>Force Argon II</v>
          </cell>
          <cell r="P1343" t="str">
            <v>G212724UX</v>
          </cell>
          <cell r="Q1343" t="str">
            <v>Not Applicable</v>
          </cell>
          <cell r="R1343" t="str">
            <v>Valleylab</v>
          </cell>
          <cell r="S1343" t="str">
            <v>United States of America</v>
          </cell>
          <cell r="T1343" t="str">
            <v>Functioning</v>
          </cell>
          <cell r="U1343" t="str">
            <v>Asset</v>
          </cell>
          <cell r="V1343">
            <v>132310</v>
          </cell>
          <cell r="W1343" t="str">
            <v>Estimate</v>
          </cell>
          <cell r="X1343" t="str">
            <v>01/09/2010</v>
          </cell>
          <cell r="Y1343" t="str">
            <v>KEW</v>
          </cell>
          <cell r="Z1343" t="str">
            <v>16/08/2013</v>
          </cell>
          <cell r="AA1343" t="str">
            <v>15/08/2015</v>
          </cell>
          <cell r="AB1343" t="str">
            <v>No</v>
          </cell>
          <cell r="AC1343" t="str">
            <v>31/08/2013</v>
          </cell>
          <cell r="AD1343" t="str">
            <v>Good</v>
          </cell>
          <cell r="AE1343" t="str">
            <v>V1 - Existing / No Claim</v>
          </cell>
          <cell r="AF1343">
            <v>42802</v>
          </cell>
          <cell r="AG1343">
            <v>9.17</v>
          </cell>
          <cell r="AH1343" t="str">
            <v>PPM</v>
          </cell>
          <cell r="AI1343" t="str">
            <v>Strands</v>
          </cell>
          <cell r="AJ1343" t="str">
            <v>Strands PW SET D</v>
          </cell>
          <cell r="AK1343" t="str">
            <v>CUBA CHECK IKN401020 PUNYA KEWPA</v>
          </cell>
        </row>
        <row r="1344">
          <cell r="A1344" t="str">
            <v>IKN401022</v>
          </cell>
          <cell r="B1344">
            <v>1020</v>
          </cell>
          <cell r="C1344" t="str">
            <v>Institut Kanser Negara</v>
          </cell>
          <cell r="D1344" t="str">
            <v>KKM/IKN/H/13/4487</v>
          </cell>
          <cell r="E1344" t="str">
            <v>16-924</v>
          </cell>
          <cell r="F1344" t="str">
            <v>Infusion Pumps, Patient-Controlled Analgesic</v>
          </cell>
          <cell r="G1344" t="str">
            <v>OT</v>
          </cell>
          <cell r="H1344" t="str">
            <v>OPERATING THEATRE</v>
          </cell>
          <cell r="I1344" t="str">
            <v>05OT120</v>
          </cell>
          <cell r="J1344" t="str">
            <v>OT 2</v>
          </cell>
          <cell r="K1344" t="str">
            <v>BMED</v>
          </cell>
          <cell r="L1344" t="str">
            <v>Normal</v>
          </cell>
          <cell r="M1344" t="str">
            <v>Germany</v>
          </cell>
          <cell r="N1344" t="str">
            <v>Perfusor</v>
          </cell>
          <cell r="O1344" t="str">
            <v>Perfusor Space PCA</v>
          </cell>
          <cell r="P1344" t="str">
            <v>186640</v>
          </cell>
          <cell r="Q1344" t="str">
            <v>Not Applicable</v>
          </cell>
          <cell r="R1344" t="str">
            <v>B Braun Melsungen AG</v>
          </cell>
          <cell r="S1344" t="str">
            <v>B Braun Medical Supplies Sdn. Bhd.</v>
          </cell>
          <cell r="T1344" t="str">
            <v>Functioning</v>
          </cell>
          <cell r="U1344" t="str">
            <v>Asset</v>
          </cell>
          <cell r="V1344">
            <v>9622</v>
          </cell>
          <cell r="W1344" t="str">
            <v>KEW</v>
          </cell>
          <cell r="X1344" t="str">
            <v>01/09/2010</v>
          </cell>
          <cell r="Y1344" t="str">
            <v>KEW</v>
          </cell>
          <cell r="Z1344" t="str">
            <v>16/08/2013</v>
          </cell>
          <cell r="AA1344" t="str">
            <v>15/08/2015</v>
          </cell>
          <cell r="AB1344" t="str">
            <v>No</v>
          </cell>
          <cell r="AC1344" t="str">
            <v>31/08/2013</v>
          </cell>
          <cell r="AD1344" t="str">
            <v>Good</v>
          </cell>
          <cell r="AE1344" t="str">
            <v>V1 - Existing / No Claim</v>
          </cell>
          <cell r="AF1344">
            <v>42235</v>
          </cell>
          <cell r="AG1344">
            <v>9.17</v>
          </cell>
          <cell r="AH1344" t="str">
            <v>PPM</v>
          </cell>
          <cell r="AI1344" t="str">
            <v>Strands</v>
          </cell>
          <cell r="AJ1344" t="str">
            <v>Strands PW</v>
          </cell>
        </row>
        <row r="1345">
          <cell r="A1345" t="str">
            <v>IKN401023</v>
          </cell>
          <cell r="B1345">
            <v>1021</v>
          </cell>
          <cell r="C1345" t="str">
            <v>Institut Kanser Negara</v>
          </cell>
          <cell r="D1345" t="str">
            <v>KKM/IKN/H/13/4393</v>
          </cell>
          <cell r="E1345" t="str">
            <v>13-217</v>
          </cell>
          <cell r="F1345" t="str">
            <v>Infusion Pumps, Syringe</v>
          </cell>
          <cell r="G1345" t="str">
            <v>OT</v>
          </cell>
          <cell r="H1345" t="str">
            <v>OPERATING THEATRE</v>
          </cell>
          <cell r="I1345" t="str">
            <v>05OT120</v>
          </cell>
          <cell r="J1345" t="str">
            <v>OT 2</v>
          </cell>
          <cell r="K1345" t="str">
            <v>BMED</v>
          </cell>
          <cell r="L1345" t="str">
            <v>Critical</v>
          </cell>
          <cell r="M1345" t="str">
            <v>Germany</v>
          </cell>
          <cell r="N1345" t="str">
            <v>Perfusor</v>
          </cell>
          <cell r="O1345" t="str">
            <v>Perfusor Space</v>
          </cell>
          <cell r="P1345" t="str">
            <v>143192</v>
          </cell>
          <cell r="Q1345" t="str">
            <v>Not Applicable</v>
          </cell>
          <cell r="R1345" t="str">
            <v>B Braun Melsungen AG</v>
          </cell>
          <cell r="S1345" t="str">
            <v>B Braun Medical Supplies Sdn. Bhd.</v>
          </cell>
          <cell r="T1345" t="str">
            <v>Functioning</v>
          </cell>
          <cell r="U1345" t="str">
            <v>Asset</v>
          </cell>
          <cell r="V1345">
            <v>10225</v>
          </cell>
          <cell r="W1345" t="str">
            <v>KEW</v>
          </cell>
          <cell r="X1345" t="str">
            <v>01/09/2010</v>
          </cell>
          <cell r="Y1345" t="str">
            <v>KEW</v>
          </cell>
          <cell r="Z1345" t="str">
            <v>16/08/2013</v>
          </cell>
          <cell r="AA1345" t="str">
            <v>15/08/2015</v>
          </cell>
          <cell r="AB1345" t="str">
            <v>No</v>
          </cell>
          <cell r="AC1345" t="str">
            <v>31/08/2013</v>
          </cell>
          <cell r="AD1345" t="str">
            <v>Good</v>
          </cell>
          <cell r="AE1345" t="str">
            <v>V1 - Existing / No Claim</v>
          </cell>
          <cell r="AF1345">
            <v>42802</v>
          </cell>
          <cell r="AG1345">
            <v>9.17</v>
          </cell>
          <cell r="AH1345" t="str">
            <v>PPM</v>
          </cell>
          <cell r="AI1345" t="str">
            <v>Strands</v>
          </cell>
          <cell r="AJ1345" t="str">
            <v>Strands PW</v>
          </cell>
        </row>
        <row r="1346">
          <cell r="A1346" t="str">
            <v>IKN401024</v>
          </cell>
          <cell r="B1346">
            <v>1022</v>
          </cell>
          <cell r="C1346" t="str">
            <v>Institut Kanser Negara</v>
          </cell>
          <cell r="D1346" t="str">
            <v>KKM/IKN/H/13/4394</v>
          </cell>
          <cell r="E1346" t="str">
            <v>13-217</v>
          </cell>
          <cell r="F1346" t="str">
            <v>Infusion Pumps, Syringe</v>
          </cell>
          <cell r="G1346" t="str">
            <v>OT</v>
          </cell>
          <cell r="H1346" t="str">
            <v>OPERATING THEATRE</v>
          </cell>
          <cell r="I1346" t="str">
            <v>05OT120</v>
          </cell>
          <cell r="J1346" t="str">
            <v>OT 2</v>
          </cell>
          <cell r="K1346" t="str">
            <v>BMED</v>
          </cell>
          <cell r="L1346" t="str">
            <v>Critical</v>
          </cell>
          <cell r="M1346" t="str">
            <v>Germany</v>
          </cell>
          <cell r="N1346" t="str">
            <v>Perfusor</v>
          </cell>
          <cell r="O1346" t="str">
            <v>Perfusor Space</v>
          </cell>
          <cell r="P1346" t="str">
            <v>143333</v>
          </cell>
          <cell r="Q1346" t="str">
            <v>Not Applicable</v>
          </cell>
          <cell r="R1346" t="str">
            <v>B Braun Melsungen AG</v>
          </cell>
          <cell r="S1346" t="str">
            <v>B Braun Medical Supplies Sdn. Bhd.</v>
          </cell>
          <cell r="T1346" t="str">
            <v>Functioning</v>
          </cell>
          <cell r="U1346" t="str">
            <v>Asset</v>
          </cell>
          <cell r="V1346">
            <v>10225</v>
          </cell>
          <cell r="W1346" t="str">
            <v>KEW</v>
          </cell>
          <cell r="X1346" t="str">
            <v>01/09/2010</v>
          </cell>
          <cell r="Y1346" t="str">
            <v>KEW</v>
          </cell>
          <cell r="Z1346" t="str">
            <v>16/08/2013</v>
          </cell>
          <cell r="AA1346" t="str">
            <v>15/08/2015</v>
          </cell>
          <cell r="AB1346" t="str">
            <v>No</v>
          </cell>
          <cell r="AC1346" t="str">
            <v>31/08/2013</v>
          </cell>
          <cell r="AD1346" t="str">
            <v>Good</v>
          </cell>
          <cell r="AE1346" t="str">
            <v>V1 - Existing / No Claim</v>
          </cell>
          <cell r="AF1346">
            <v>42802</v>
          </cell>
          <cell r="AG1346">
            <v>9.17</v>
          </cell>
          <cell r="AH1346" t="str">
            <v>PPM</v>
          </cell>
          <cell r="AI1346" t="str">
            <v>Strands</v>
          </cell>
          <cell r="AJ1346" t="str">
            <v>Strands PW</v>
          </cell>
        </row>
        <row r="1347">
          <cell r="A1347" t="str">
            <v>IKN401025</v>
          </cell>
          <cell r="B1347">
            <v>1023</v>
          </cell>
          <cell r="C1347" t="str">
            <v>Institut Kanser Negara</v>
          </cell>
          <cell r="D1347" t="str">
            <v>KKM/IKN/H/13/4482</v>
          </cell>
          <cell r="E1347" t="str">
            <v>13-215</v>
          </cell>
          <cell r="F1347" t="str">
            <v>Infusion Pumps, General-Purpose</v>
          </cell>
          <cell r="G1347" t="str">
            <v>OT</v>
          </cell>
          <cell r="H1347" t="str">
            <v>OPERATING THEATRE</v>
          </cell>
          <cell r="I1347" t="str">
            <v>05OT120</v>
          </cell>
          <cell r="J1347" t="str">
            <v>OT 2</v>
          </cell>
          <cell r="K1347" t="str">
            <v>BMED</v>
          </cell>
          <cell r="L1347" t="str">
            <v>Critical</v>
          </cell>
          <cell r="M1347" t="str">
            <v>Germany</v>
          </cell>
          <cell r="N1347" t="str">
            <v>Infusomat</v>
          </cell>
          <cell r="O1347" t="str">
            <v>Infusomat Space</v>
          </cell>
          <cell r="P1347" t="str">
            <v>211447</v>
          </cell>
          <cell r="Q1347" t="str">
            <v>Not Applicable</v>
          </cell>
          <cell r="R1347" t="str">
            <v>B Braun Melsungen AG</v>
          </cell>
          <cell r="S1347" t="str">
            <v>B Braun Medical Supplies Sdn. Bhd.</v>
          </cell>
          <cell r="T1347" t="str">
            <v>Functioning</v>
          </cell>
          <cell r="U1347" t="str">
            <v>Asset</v>
          </cell>
          <cell r="V1347">
            <v>10825</v>
          </cell>
          <cell r="W1347" t="str">
            <v>KEW</v>
          </cell>
          <cell r="X1347" t="str">
            <v>01/09/2010</v>
          </cell>
          <cell r="Y1347" t="str">
            <v>KEW</v>
          </cell>
          <cell r="Z1347" t="str">
            <v>16/08/2013</v>
          </cell>
          <cell r="AA1347" t="str">
            <v>15/08/2015</v>
          </cell>
          <cell r="AB1347" t="str">
            <v>No</v>
          </cell>
          <cell r="AC1347" t="str">
            <v>31/08/2013</v>
          </cell>
          <cell r="AD1347" t="str">
            <v>Good</v>
          </cell>
          <cell r="AE1347" t="str">
            <v>V1 - Existing / No Claim</v>
          </cell>
          <cell r="AF1347">
            <v>42802</v>
          </cell>
          <cell r="AG1347">
            <v>9.17</v>
          </cell>
          <cell r="AH1347" t="str">
            <v>PPM</v>
          </cell>
          <cell r="AI1347" t="str">
            <v>Strands</v>
          </cell>
          <cell r="AJ1347" t="str">
            <v>Strands PW</v>
          </cell>
        </row>
        <row r="1348">
          <cell r="A1348" t="str">
            <v>IKN401026</v>
          </cell>
          <cell r="B1348">
            <v>1024</v>
          </cell>
          <cell r="C1348" t="str">
            <v>Institut Kanser Negara</v>
          </cell>
          <cell r="D1348" t="str">
            <v>KKM/IKN/H/13/4843</v>
          </cell>
          <cell r="E1348" t="str">
            <v>17-793</v>
          </cell>
          <cell r="F1348" t="str">
            <v>Infusion/ Monitoring Line Organizer System</v>
          </cell>
          <cell r="G1348" t="str">
            <v>OT</v>
          </cell>
          <cell r="H1348" t="str">
            <v>OPERATING THEATRE</v>
          </cell>
          <cell r="I1348" t="str">
            <v>05OT120</v>
          </cell>
          <cell r="J1348" t="str">
            <v>OT 2</v>
          </cell>
          <cell r="K1348" t="str">
            <v>BMED</v>
          </cell>
          <cell r="L1348" t="str">
            <v>Normal</v>
          </cell>
          <cell r="M1348" t="str">
            <v>Germany</v>
          </cell>
          <cell r="N1348" t="str">
            <v>Space Station</v>
          </cell>
          <cell r="O1348" t="str">
            <v>Space Station</v>
          </cell>
          <cell r="P1348" t="str">
            <v>13975</v>
          </cell>
          <cell r="Q1348" t="str">
            <v>Not Applicable</v>
          </cell>
          <cell r="R1348" t="str">
            <v>B Braun Melsungen AG</v>
          </cell>
          <cell r="S1348" t="str">
            <v>B Braun Medical Supplies Sdn. Bhd.</v>
          </cell>
          <cell r="T1348" t="str">
            <v>Functioning</v>
          </cell>
          <cell r="U1348" t="str">
            <v>Asset</v>
          </cell>
          <cell r="V1348">
            <v>84200</v>
          </cell>
          <cell r="W1348" t="str">
            <v>KEW</v>
          </cell>
          <cell r="X1348" t="str">
            <v>01/09/2010</v>
          </cell>
          <cell r="Y1348" t="str">
            <v>KEW</v>
          </cell>
          <cell r="Z1348" t="str">
            <v>16/08/2013</v>
          </cell>
          <cell r="AA1348" t="str">
            <v>15/08/2015</v>
          </cell>
          <cell r="AB1348" t="str">
            <v>No</v>
          </cell>
          <cell r="AC1348" t="str">
            <v>31/08/2013</v>
          </cell>
          <cell r="AD1348" t="str">
            <v>Good</v>
          </cell>
          <cell r="AE1348" t="str">
            <v>V1 - Existing / No Claim</v>
          </cell>
          <cell r="AF1348">
            <v>42802</v>
          </cell>
          <cell r="AG1348">
            <v>9.17</v>
          </cell>
          <cell r="AH1348" t="str">
            <v>PPM</v>
          </cell>
          <cell r="AI1348" t="str">
            <v>Strands</v>
          </cell>
          <cell r="AJ1348" t="str">
            <v>Strands PW</v>
          </cell>
        </row>
        <row r="1349">
          <cell r="A1349" t="str">
            <v>IKN401027</v>
          </cell>
          <cell r="B1349">
            <v>1025</v>
          </cell>
          <cell r="C1349" t="str">
            <v>Institut Kanser Negara</v>
          </cell>
          <cell r="D1349" t="str">
            <v>KKM/IKN/H/13/734</v>
          </cell>
          <cell r="E1349" t="str">
            <v>13-961</v>
          </cell>
          <cell r="F1349" t="str">
            <v>Tables, Operating</v>
          </cell>
          <cell r="G1349" t="str">
            <v>OT</v>
          </cell>
          <cell r="H1349" t="str">
            <v>OPERATING THEATRE</v>
          </cell>
          <cell r="I1349" t="str">
            <v>05OT120</v>
          </cell>
          <cell r="J1349" t="str">
            <v>OT 2</v>
          </cell>
          <cell r="K1349" t="str">
            <v>BMED</v>
          </cell>
          <cell r="L1349" t="str">
            <v>Normal</v>
          </cell>
          <cell r="M1349" t="str">
            <v>UK</v>
          </cell>
          <cell r="N1349" t="str">
            <v>Eschmann</v>
          </cell>
          <cell r="O1349" t="str">
            <v>Eschmann T20+</v>
          </cell>
          <cell r="P1349" t="str">
            <v>T2AD-2A-3367</v>
          </cell>
          <cell r="Q1349" t="str">
            <v>Not Applicable</v>
          </cell>
          <cell r="R1349" t="str">
            <v>Eschmann Bros &amp; Walsh Ltd</v>
          </cell>
          <cell r="S1349" t="str">
            <v>Antah Sir Radin Sdn. Bhd.</v>
          </cell>
          <cell r="T1349" t="str">
            <v>Functioning</v>
          </cell>
          <cell r="U1349" t="str">
            <v>Asset</v>
          </cell>
          <cell r="V1349">
            <v>239350</v>
          </cell>
          <cell r="W1349" t="str">
            <v>KEW</v>
          </cell>
          <cell r="X1349" t="str">
            <v>01/09/2010</v>
          </cell>
          <cell r="Y1349" t="str">
            <v>KEW</v>
          </cell>
          <cell r="Z1349" t="str">
            <v>16/08/2013</v>
          </cell>
          <cell r="AA1349" t="str">
            <v>15/08/2015</v>
          </cell>
          <cell r="AB1349" t="str">
            <v>No</v>
          </cell>
          <cell r="AC1349" t="str">
            <v>31/08/2013</v>
          </cell>
          <cell r="AD1349" t="str">
            <v>Good</v>
          </cell>
          <cell r="AE1349" t="str">
            <v>V1 - Existing / No Claim</v>
          </cell>
          <cell r="AF1349">
            <v>42235</v>
          </cell>
          <cell r="AG1349">
            <v>9.17</v>
          </cell>
          <cell r="AH1349" t="str">
            <v>PPM</v>
          </cell>
          <cell r="AI1349" t="str">
            <v>Strands</v>
          </cell>
          <cell r="AJ1349" t="str">
            <v>Strands PW</v>
          </cell>
        </row>
        <row r="1350">
          <cell r="A1350" t="str">
            <v>IKN401028</v>
          </cell>
          <cell r="B1350">
            <v>1026</v>
          </cell>
          <cell r="C1350" t="str">
            <v>Institut Kanser Negara</v>
          </cell>
          <cell r="D1350" t="str">
            <v>KKM/IKN/H/13/4483</v>
          </cell>
          <cell r="E1350" t="str">
            <v>13-215</v>
          </cell>
          <cell r="F1350" t="str">
            <v>Infusion Pumps, General-Purpose</v>
          </cell>
          <cell r="G1350" t="str">
            <v>OT</v>
          </cell>
          <cell r="H1350" t="str">
            <v>OPERATING THEATRE</v>
          </cell>
          <cell r="I1350" t="str">
            <v>05OT123</v>
          </cell>
          <cell r="J1350" t="str">
            <v>0T 1</v>
          </cell>
          <cell r="K1350" t="str">
            <v>BMED</v>
          </cell>
          <cell r="L1350" t="str">
            <v>Normal</v>
          </cell>
          <cell r="M1350" t="str">
            <v>Germany</v>
          </cell>
          <cell r="N1350" t="str">
            <v>Infusomat</v>
          </cell>
          <cell r="O1350" t="str">
            <v>Infusomat Space</v>
          </cell>
          <cell r="P1350" t="str">
            <v>212023</v>
          </cell>
          <cell r="Q1350" t="str">
            <v>Not Applicable</v>
          </cell>
          <cell r="R1350" t="str">
            <v>B Braun Melsungen AG</v>
          </cell>
          <cell r="S1350" t="str">
            <v>B Braun Medical Supplies Sdn. Bhd.</v>
          </cell>
          <cell r="T1350" t="str">
            <v>Functioning</v>
          </cell>
          <cell r="U1350" t="str">
            <v>Asset</v>
          </cell>
          <cell r="V1350">
            <v>10825</v>
          </cell>
          <cell r="W1350" t="str">
            <v>KEW</v>
          </cell>
          <cell r="X1350" t="str">
            <v>01/09/2010</v>
          </cell>
          <cell r="Y1350" t="str">
            <v>KEW</v>
          </cell>
          <cell r="Z1350" t="str">
            <v>16/08/2013</v>
          </cell>
          <cell r="AA1350" t="str">
            <v>15/08/2015</v>
          </cell>
          <cell r="AB1350" t="str">
            <v>No</v>
          </cell>
          <cell r="AC1350" t="str">
            <v>31/08/2013</v>
          </cell>
          <cell r="AD1350" t="str">
            <v>Good</v>
          </cell>
          <cell r="AE1350" t="str">
            <v>V1 - Existing / No Claim</v>
          </cell>
          <cell r="AF1350">
            <v>42235</v>
          </cell>
          <cell r="AG1350">
            <v>9.17</v>
          </cell>
          <cell r="AH1350" t="str">
            <v>PPM</v>
          </cell>
          <cell r="AI1350" t="str">
            <v>Strands</v>
          </cell>
          <cell r="AJ1350" t="str">
            <v>Strands PW</v>
          </cell>
        </row>
        <row r="1351">
          <cell r="A1351" t="str">
            <v>IKN401029</v>
          </cell>
          <cell r="B1351">
            <v>1027</v>
          </cell>
          <cell r="C1351" t="str">
            <v>Institut Kanser Negara</v>
          </cell>
          <cell r="D1351" t="str">
            <v>KKM/IKN/H/13/4396</v>
          </cell>
          <cell r="E1351" t="str">
            <v>13-217</v>
          </cell>
          <cell r="F1351" t="str">
            <v>Infusion Pumps, Syringe</v>
          </cell>
          <cell r="G1351" t="str">
            <v>OT</v>
          </cell>
          <cell r="H1351" t="str">
            <v>OPERATING THEATRE</v>
          </cell>
          <cell r="I1351" t="str">
            <v>05OT123</v>
          </cell>
          <cell r="J1351" t="str">
            <v>0T 1</v>
          </cell>
          <cell r="K1351" t="str">
            <v>BMED</v>
          </cell>
          <cell r="L1351" t="str">
            <v>Normal</v>
          </cell>
          <cell r="M1351" t="str">
            <v>Germany</v>
          </cell>
          <cell r="N1351" t="str">
            <v>Perfusor</v>
          </cell>
          <cell r="O1351" t="str">
            <v>Perfusor Space</v>
          </cell>
          <cell r="P1351" t="str">
            <v>187024</v>
          </cell>
          <cell r="Q1351" t="str">
            <v>Not Applicable</v>
          </cell>
          <cell r="R1351" t="str">
            <v>B Braun Melsungen AG</v>
          </cell>
          <cell r="S1351" t="str">
            <v>B Braun Medical Supplies Sdn. Bhd.</v>
          </cell>
          <cell r="T1351" t="str">
            <v>Functioning</v>
          </cell>
          <cell r="U1351" t="str">
            <v>Asset</v>
          </cell>
          <cell r="V1351">
            <v>10225</v>
          </cell>
          <cell r="W1351" t="str">
            <v>KEW</v>
          </cell>
          <cell r="X1351" t="str">
            <v>01/09/2010</v>
          </cell>
          <cell r="Y1351" t="str">
            <v>KEW</v>
          </cell>
          <cell r="Z1351" t="str">
            <v>16/08/2013</v>
          </cell>
          <cell r="AA1351" t="str">
            <v>15/08/2015</v>
          </cell>
          <cell r="AB1351" t="str">
            <v>No</v>
          </cell>
          <cell r="AC1351" t="str">
            <v>31/08/2013</v>
          </cell>
          <cell r="AD1351" t="str">
            <v>Good</v>
          </cell>
          <cell r="AE1351" t="str">
            <v>V1 - Existing / No Claim</v>
          </cell>
          <cell r="AF1351">
            <v>42235</v>
          </cell>
          <cell r="AG1351">
            <v>9.17</v>
          </cell>
          <cell r="AH1351" t="str">
            <v>PPM</v>
          </cell>
          <cell r="AI1351" t="str">
            <v>Strands</v>
          </cell>
          <cell r="AJ1351" t="str">
            <v>Strands PW</v>
          </cell>
        </row>
        <row r="1352">
          <cell r="A1352" t="str">
            <v>IKN401030</v>
          </cell>
          <cell r="B1352">
            <v>1028</v>
          </cell>
          <cell r="C1352" t="str">
            <v>Institut Kanser Negara</v>
          </cell>
          <cell r="D1352" t="str">
            <v>KKM/IKN/H/13/3938</v>
          </cell>
          <cell r="E1352" t="str">
            <v>13-217</v>
          </cell>
          <cell r="F1352" t="str">
            <v>Infusion Pumps, Syringe</v>
          </cell>
          <cell r="G1352" t="str">
            <v>OT</v>
          </cell>
          <cell r="H1352" t="str">
            <v>OPERATING THEATRE</v>
          </cell>
          <cell r="I1352" t="str">
            <v>05OT123</v>
          </cell>
          <cell r="J1352" t="str">
            <v>0T 1</v>
          </cell>
          <cell r="K1352" t="str">
            <v>BMED</v>
          </cell>
          <cell r="L1352" t="str">
            <v>Normal</v>
          </cell>
          <cell r="M1352" t="str">
            <v>Germany</v>
          </cell>
          <cell r="N1352" t="str">
            <v>Perfusor</v>
          </cell>
          <cell r="O1352" t="str">
            <v>Perfusor Space</v>
          </cell>
          <cell r="P1352" t="str">
            <v>187039</v>
          </cell>
          <cell r="Q1352" t="str">
            <v>Not Applicable</v>
          </cell>
          <cell r="R1352" t="str">
            <v>B Braun Melsungen AG</v>
          </cell>
          <cell r="S1352" t="str">
            <v>B Braun Medical Supplies Sdn. Bhd.</v>
          </cell>
          <cell r="T1352" t="str">
            <v>Functioning</v>
          </cell>
          <cell r="U1352" t="str">
            <v>Asset</v>
          </cell>
          <cell r="V1352">
            <v>10225</v>
          </cell>
          <cell r="W1352" t="str">
            <v>KEW</v>
          </cell>
          <cell r="X1352" t="str">
            <v>01/09/2010</v>
          </cell>
          <cell r="Y1352" t="str">
            <v>KEW</v>
          </cell>
          <cell r="Z1352" t="str">
            <v>16/08/2013</v>
          </cell>
          <cell r="AA1352" t="str">
            <v>15/08/2015</v>
          </cell>
          <cell r="AB1352" t="str">
            <v>No</v>
          </cell>
          <cell r="AC1352" t="str">
            <v>31/08/2013</v>
          </cell>
          <cell r="AD1352" t="str">
            <v>Good</v>
          </cell>
          <cell r="AE1352" t="str">
            <v>V1 - Existing / No Claim</v>
          </cell>
          <cell r="AF1352">
            <v>42235</v>
          </cell>
          <cell r="AG1352">
            <v>9.17</v>
          </cell>
          <cell r="AH1352" t="str">
            <v>PPM</v>
          </cell>
          <cell r="AI1352" t="str">
            <v>Strands</v>
          </cell>
          <cell r="AJ1352" t="str">
            <v>Strands PW SET C</v>
          </cell>
          <cell r="AK1352" t="str">
            <v>CUBA CHECK IKN401003 PUNYA KEWPA</v>
          </cell>
        </row>
        <row r="1353">
          <cell r="A1353" t="str">
            <v>IKN401031</v>
          </cell>
          <cell r="B1353">
            <v>1029</v>
          </cell>
          <cell r="C1353" t="str">
            <v>Institut Kanser Negara</v>
          </cell>
          <cell r="D1353" t="str">
            <v>KKM/IKN/H/13/3599</v>
          </cell>
          <cell r="E1353" t="str">
            <v>10-414</v>
          </cell>
          <cell r="F1353" t="str">
            <v>Warming Units, Blanket</v>
          </cell>
          <cell r="G1353" t="str">
            <v>OT</v>
          </cell>
          <cell r="H1353" t="str">
            <v>OPERATING THEATRE</v>
          </cell>
          <cell r="I1353" t="str">
            <v>05OT123</v>
          </cell>
          <cell r="J1353" t="str">
            <v>0T 1</v>
          </cell>
          <cell r="K1353" t="str">
            <v>BMED</v>
          </cell>
          <cell r="L1353" t="str">
            <v>Normal</v>
          </cell>
          <cell r="M1353" t="str">
            <v>Sweden</v>
          </cell>
          <cell r="N1353" t="str">
            <v>Operatherm</v>
          </cell>
          <cell r="O1353" t="str">
            <v>Operatherm 303</v>
          </cell>
          <cell r="P1353" t="str">
            <v>00739-11</v>
          </cell>
          <cell r="Q1353" t="str">
            <v>Not Applicable</v>
          </cell>
          <cell r="R1353" t="str">
            <v>Kanmed</v>
          </cell>
          <cell r="S1353" t="str">
            <v>Perniagaan Med Tech</v>
          </cell>
          <cell r="T1353" t="str">
            <v>Functioning</v>
          </cell>
          <cell r="U1353" t="str">
            <v>Asset</v>
          </cell>
          <cell r="V1353">
            <v>15515</v>
          </cell>
          <cell r="W1353" t="str">
            <v>KEW</v>
          </cell>
          <cell r="X1353" t="str">
            <v>01/09/2010</v>
          </cell>
          <cell r="Y1353" t="str">
            <v>KEW</v>
          </cell>
          <cell r="Z1353" t="str">
            <v>16/08/2013</v>
          </cell>
          <cell r="AA1353" t="str">
            <v>15/08/2015</v>
          </cell>
          <cell r="AB1353" t="str">
            <v>No</v>
          </cell>
          <cell r="AC1353" t="str">
            <v>31/08/2013</v>
          </cell>
          <cell r="AD1353" t="str">
            <v>Good</v>
          </cell>
          <cell r="AE1353" t="str">
            <v>V1 - Existing / No Claim</v>
          </cell>
          <cell r="AF1353">
            <v>42802</v>
          </cell>
          <cell r="AG1353">
            <v>9.17</v>
          </cell>
          <cell r="AH1353" t="str">
            <v>PPM</v>
          </cell>
          <cell r="AI1353" t="str">
            <v>Strands</v>
          </cell>
          <cell r="AJ1353" t="str">
            <v>Strands PW</v>
          </cell>
        </row>
        <row r="1354">
          <cell r="A1354" t="str">
            <v>IKN401032</v>
          </cell>
          <cell r="B1354">
            <v>1030</v>
          </cell>
          <cell r="C1354" t="str">
            <v>Institut Kanser Negara</v>
          </cell>
          <cell r="D1354" t="str">
            <v>KKM/IKN/H/13/202</v>
          </cell>
          <cell r="E1354" t="str">
            <v>10-134</v>
          </cell>
          <cell r="F1354" t="str">
            <v>Anesthesia Units</v>
          </cell>
          <cell r="G1354" t="str">
            <v>OT</v>
          </cell>
          <cell r="H1354" t="str">
            <v>OPERATING THEATRE</v>
          </cell>
          <cell r="I1354" t="str">
            <v>05OT123</v>
          </cell>
          <cell r="J1354" t="str">
            <v>0T 1</v>
          </cell>
          <cell r="K1354" t="str">
            <v>BMED</v>
          </cell>
          <cell r="L1354" t="str">
            <v>Critical</v>
          </cell>
          <cell r="M1354" t="str">
            <v>Germany</v>
          </cell>
          <cell r="N1354" t="str">
            <v>Primus</v>
          </cell>
          <cell r="O1354" t="str">
            <v>Primus</v>
          </cell>
          <cell r="P1354" t="str">
            <v>ASDJ-0233</v>
          </cell>
          <cell r="Q1354" t="str">
            <v>Not Applicable</v>
          </cell>
          <cell r="R1354" t="str">
            <v>Drager medical GmbH</v>
          </cell>
          <cell r="S1354" t="str">
            <v>Beau Consortium Sdn Bhd</v>
          </cell>
          <cell r="T1354" t="str">
            <v>Functioning</v>
          </cell>
          <cell r="U1354" t="str">
            <v>Asset</v>
          </cell>
          <cell r="V1354">
            <v>144345</v>
          </cell>
          <cell r="W1354" t="str">
            <v>KEW</v>
          </cell>
          <cell r="X1354" t="str">
            <v>01/09/2010</v>
          </cell>
          <cell r="Y1354" t="str">
            <v>KEW</v>
          </cell>
          <cell r="Z1354" t="str">
            <v>16/08/2013</v>
          </cell>
          <cell r="AA1354" t="str">
            <v>15/08/2015</v>
          </cell>
          <cell r="AB1354" t="str">
            <v>No</v>
          </cell>
          <cell r="AC1354" t="str">
            <v>31/08/2013</v>
          </cell>
          <cell r="AD1354" t="str">
            <v>Good</v>
          </cell>
          <cell r="AE1354" t="str">
            <v>V1 - Existing / No Claim</v>
          </cell>
          <cell r="AF1354">
            <v>42802</v>
          </cell>
          <cell r="AG1354">
            <v>9.17</v>
          </cell>
          <cell r="AH1354" t="str">
            <v>PPM</v>
          </cell>
          <cell r="AI1354" t="str">
            <v>Strands</v>
          </cell>
          <cell r="AJ1354" t="str">
            <v>Strands PW</v>
          </cell>
        </row>
        <row r="1355">
          <cell r="A1355" t="str">
            <v>IKN401033</v>
          </cell>
          <cell r="B1355">
            <v>1031</v>
          </cell>
          <cell r="C1355" t="str">
            <v>Institut Kanser Negara</v>
          </cell>
          <cell r="D1355" t="str">
            <v>KKM/IKN/H/13/3733</v>
          </cell>
          <cell r="E1355" t="str">
            <v>10-447</v>
          </cell>
          <cell r="F1355" t="str">
            <v>Warming Units, Blood/Solution</v>
          </cell>
          <cell r="G1355" t="str">
            <v>OT</v>
          </cell>
          <cell r="H1355" t="str">
            <v>OPERATING THEATRE</v>
          </cell>
          <cell r="I1355" t="str">
            <v>05OT123</v>
          </cell>
          <cell r="J1355" t="str">
            <v>0T 1</v>
          </cell>
          <cell r="K1355" t="str">
            <v>BMED</v>
          </cell>
          <cell r="L1355" t="str">
            <v>Normal</v>
          </cell>
          <cell r="M1355" t="str">
            <v>USA</v>
          </cell>
          <cell r="N1355" t="str">
            <v>Hotline</v>
          </cell>
          <cell r="O1355" t="str">
            <v>Hotline HL-90</v>
          </cell>
          <cell r="P1355" t="str">
            <v>S101B00818</v>
          </cell>
          <cell r="Q1355" t="str">
            <v>Not Applicable</v>
          </cell>
          <cell r="R1355" t="str">
            <v>Level 1 Technologies Inc</v>
          </cell>
          <cell r="S1355" t="str">
            <v>Primed Medical Services Sdn Bhd</v>
          </cell>
          <cell r="T1355" t="str">
            <v>Functioning</v>
          </cell>
          <cell r="U1355" t="str">
            <v>Asset</v>
          </cell>
          <cell r="V1355">
            <v>15395</v>
          </cell>
          <cell r="W1355" t="str">
            <v>KEW</v>
          </cell>
          <cell r="X1355" t="str">
            <v>01/09/2010</v>
          </cell>
          <cell r="Y1355" t="str">
            <v>KEW</v>
          </cell>
          <cell r="Z1355" t="str">
            <v>16/08/2013</v>
          </cell>
          <cell r="AA1355" t="str">
            <v>15/08/2015</v>
          </cell>
          <cell r="AB1355" t="str">
            <v>No</v>
          </cell>
          <cell r="AC1355" t="str">
            <v>31/08/2013</v>
          </cell>
          <cell r="AD1355" t="str">
            <v>Good</v>
          </cell>
          <cell r="AE1355" t="str">
            <v>V1 - Existing / No Claim</v>
          </cell>
          <cell r="AF1355">
            <v>42235</v>
          </cell>
          <cell r="AG1355">
            <v>9.17</v>
          </cell>
          <cell r="AH1355" t="str">
            <v>PPM</v>
          </cell>
          <cell r="AI1355" t="str">
            <v>Strands</v>
          </cell>
          <cell r="AJ1355" t="str">
            <v>Strands PW</v>
          </cell>
        </row>
        <row r="1356">
          <cell r="A1356" t="str">
            <v>IKN401034</v>
          </cell>
          <cell r="B1356">
            <v>1032</v>
          </cell>
          <cell r="C1356" t="str">
            <v>Institut Kanser Negara</v>
          </cell>
          <cell r="D1356" t="str">
            <v>KKM/IKN/H/13/1039</v>
          </cell>
          <cell r="E1356" t="str">
            <v>12-647</v>
          </cell>
          <cell r="F1356" t="str">
            <v>Physiologic Monitoring Systems, Acute Care</v>
          </cell>
          <cell r="G1356" t="str">
            <v>OT</v>
          </cell>
          <cell r="H1356" t="str">
            <v>OPERATING THEATRE</v>
          </cell>
          <cell r="I1356" t="str">
            <v>05OT123</v>
          </cell>
          <cell r="J1356" t="str">
            <v>0T 1</v>
          </cell>
          <cell r="K1356" t="str">
            <v>BMED</v>
          </cell>
          <cell r="L1356" t="str">
            <v>Normal</v>
          </cell>
          <cell r="M1356" t="str">
            <v>Finland</v>
          </cell>
          <cell r="N1356" t="str">
            <v>Carespace</v>
          </cell>
          <cell r="O1356" t="str">
            <v>Carespace B850</v>
          </cell>
          <cell r="P1356" t="str">
            <v>SED12370675GA</v>
          </cell>
          <cell r="Q1356" t="str">
            <v>Not Applicable</v>
          </cell>
          <cell r="R1356" t="str">
            <v>GE Healthcare Systems</v>
          </cell>
          <cell r="S1356" t="str">
            <v>GE Healthcare Technologies</v>
          </cell>
          <cell r="T1356" t="str">
            <v>Functioning</v>
          </cell>
          <cell r="U1356" t="str">
            <v>Asset</v>
          </cell>
          <cell r="V1356">
            <v>119690</v>
          </cell>
          <cell r="W1356" t="str">
            <v>KEW</v>
          </cell>
          <cell r="X1356" t="str">
            <v>01/09/2010</v>
          </cell>
          <cell r="Y1356" t="str">
            <v>KEW</v>
          </cell>
          <cell r="Z1356" t="str">
            <v>16/08/2013</v>
          </cell>
          <cell r="AA1356" t="str">
            <v>15/08/2015</v>
          </cell>
          <cell r="AB1356" t="str">
            <v>No</v>
          </cell>
          <cell r="AC1356" t="str">
            <v>31/08/2013</v>
          </cell>
          <cell r="AD1356" t="str">
            <v>Good</v>
          </cell>
          <cell r="AE1356" t="str">
            <v>V1 - Existing / No Claim</v>
          </cell>
          <cell r="AF1356">
            <v>42235</v>
          </cell>
          <cell r="AG1356">
            <v>9.17</v>
          </cell>
          <cell r="AH1356" t="str">
            <v>PPM</v>
          </cell>
          <cell r="AI1356" t="str">
            <v>Strands</v>
          </cell>
          <cell r="AJ1356" t="str">
            <v>Strands PW</v>
          </cell>
        </row>
        <row r="1357">
          <cell r="A1357" t="str">
            <v>IKN401035</v>
          </cell>
          <cell r="B1357">
            <v>1033</v>
          </cell>
          <cell r="C1357" t="str">
            <v>Institut Kanser Negara</v>
          </cell>
          <cell r="D1357" t="str">
            <v>KKM/IKN/H/13/737</v>
          </cell>
          <cell r="E1357" t="str">
            <v>18-231</v>
          </cell>
          <cell r="F1357" t="str">
            <v>Electrosurgical Units, Monopolar/Bipolar</v>
          </cell>
          <cell r="G1357" t="str">
            <v>OT</v>
          </cell>
          <cell r="H1357" t="str">
            <v>OPERATING THEATRE</v>
          </cell>
          <cell r="I1357" t="str">
            <v>05OT123</v>
          </cell>
          <cell r="J1357" t="str">
            <v>0T 1</v>
          </cell>
          <cell r="K1357" t="str">
            <v>BMED</v>
          </cell>
          <cell r="L1357" t="str">
            <v>Normal</v>
          </cell>
          <cell r="M1357" t="str">
            <v>USA</v>
          </cell>
          <cell r="N1357" t="str">
            <v>Force</v>
          </cell>
          <cell r="O1357" t="str">
            <v>Force FX-8C</v>
          </cell>
          <cell r="P1357" t="str">
            <v>F2H71444AX</v>
          </cell>
          <cell r="Q1357" t="str">
            <v>Not Applicable</v>
          </cell>
          <cell r="R1357" t="str">
            <v>Valleylab</v>
          </cell>
          <cell r="S1357" t="str">
            <v>United States of America</v>
          </cell>
          <cell r="T1357" t="str">
            <v>Functioning</v>
          </cell>
          <cell r="U1357" t="str">
            <v>Asset</v>
          </cell>
          <cell r="V1357">
            <v>132310</v>
          </cell>
          <cell r="W1357" t="str">
            <v>KEW</v>
          </cell>
          <cell r="X1357" t="str">
            <v>01/09/2010</v>
          </cell>
          <cell r="Y1357" t="str">
            <v>KEW</v>
          </cell>
          <cell r="Z1357" t="str">
            <v>16/08/2013</v>
          </cell>
          <cell r="AA1357" t="str">
            <v>15/08/2015</v>
          </cell>
          <cell r="AB1357" t="str">
            <v>No</v>
          </cell>
          <cell r="AC1357" t="str">
            <v>31/08/2013</v>
          </cell>
          <cell r="AD1357" t="str">
            <v>Good</v>
          </cell>
          <cell r="AE1357" t="str">
            <v>V1 - Existing / No Claim</v>
          </cell>
          <cell r="AF1357">
            <v>42235</v>
          </cell>
          <cell r="AG1357">
            <v>9.17</v>
          </cell>
          <cell r="AH1357" t="str">
            <v>PPM</v>
          </cell>
          <cell r="AI1357" t="str">
            <v>Strands</v>
          </cell>
          <cell r="AJ1357" t="str">
            <v>Strands PW SET E</v>
          </cell>
          <cell r="AK1357" t="str">
            <v>CUBA CHECK IKN401036 PUNYA KEWPA</v>
          </cell>
        </row>
        <row r="1358">
          <cell r="A1358" t="str">
            <v>IKN401036</v>
          </cell>
          <cell r="B1358">
            <v>1034</v>
          </cell>
          <cell r="C1358" t="str">
            <v>Institut Kanser Negara</v>
          </cell>
          <cell r="D1358" t="str">
            <v>KKM/IKN/H/13/737</v>
          </cell>
          <cell r="E1358" t="str">
            <v>18-232</v>
          </cell>
          <cell r="F1358" t="str">
            <v>Electrosurgical Units, Monopolar/Bipolar, Argon-Enhanced Coagulation</v>
          </cell>
          <cell r="G1358" t="str">
            <v>OT</v>
          </cell>
          <cell r="H1358" t="str">
            <v>OPERATING THEATRE</v>
          </cell>
          <cell r="I1358" t="str">
            <v>05OT123</v>
          </cell>
          <cell r="J1358" t="str">
            <v>0T 1</v>
          </cell>
          <cell r="K1358" t="str">
            <v>BMED</v>
          </cell>
          <cell r="L1358" t="str">
            <v>Normal</v>
          </cell>
          <cell r="M1358" t="str">
            <v>USA</v>
          </cell>
          <cell r="N1358" t="str">
            <v>Force</v>
          </cell>
          <cell r="O1358" t="str">
            <v>Force Argon II</v>
          </cell>
          <cell r="P1358" t="str">
            <v>G212725UX</v>
          </cell>
          <cell r="Q1358" t="str">
            <v>Not Applicable</v>
          </cell>
          <cell r="R1358" t="str">
            <v>Valleylab</v>
          </cell>
          <cell r="S1358" t="str">
            <v>United States of America</v>
          </cell>
          <cell r="T1358" t="str">
            <v>Functioning</v>
          </cell>
          <cell r="U1358" t="str">
            <v>Asset</v>
          </cell>
          <cell r="V1358">
            <v>132310</v>
          </cell>
          <cell r="W1358" t="str">
            <v>KEW</v>
          </cell>
          <cell r="X1358" t="str">
            <v>01/09/2010</v>
          </cell>
          <cell r="Y1358" t="str">
            <v>KEW</v>
          </cell>
          <cell r="Z1358" t="str">
            <v>16/08/2013</v>
          </cell>
          <cell r="AA1358" t="str">
            <v>15/08/2015</v>
          </cell>
          <cell r="AB1358" t="str">
            <v>No</v>
          </cell>
          <cell r="AC1358" t="str">
            <v>31/08/2013</v>
          </cell>
          <cell r="AD1358" t="str">
            <v>Good</v>
          </cell>
          <cell r="AE1358" t="str">
            <v>V1 - Existing / No Claim</v>
          </cell>
          <cell r="AF1358">
            <v>42235</v>
          </cell>
          <cell r="AG1358">
            <v>9.17</v>
          </cell>
          <cell r="AH1358" t="str">
            <v>PPM</v>
          </cell>
          <cell r="AI1358" t="str">
            <v>Strands</v>
          </cell>
          <cell r="AJ1358" t="str">
            <v>Strands PW SET E</v>
          </cell>
          <cell r="AK1358" t="str">
            <v>CUBA CHECK IKN401035 PUNYA KEWPA</v>
          </cell>
        </row>
        <row r="1359">
          <cell r="A1359" t="str">
            <v>IKN401037</v>
          </cell>
          <cell r="B1359">
            <v>1035</v>
          </cell>
          <cell r="C1359" t="str">
            <v>Institut Kanser Negara</v>
          </cell>
          <cell r="D1359" t="str">
            <v>KKM/IKN/H/13/735</v>
          </cell>
          <cell r="E1359" t="str">
            <v>13-961</v>
          </cell>
          <cell r="F1359" t="str">
            <v>Tables, Operating</v>
          </cell>
          <cell r="G1359" t="str">
            <v>OT</v>
          </cell>
          <cell r="H1359" t="str">
            <v>OPERATING THEATRE</v>
          </cell>
          <cell r="I1359" t="str">
            <v>05OT123</v>
          </cell>
          <cell r="J1359" t="str">
            <v>0T 1</v>
          </cell>
          <cell r="K1359" t="str">
            <v>BMED</v>
          </cell>
          <cell r="L1359" t="str">
            <v>Critical</v>
          </cell>
          <cell r="M1359" t="str">
            <v>UK</v>
          </cell>
          <cell r="N1359" t="str">
            <v>Eschmann</v>
          </cell>
          <cell r="O1359" t="str">
            <v>Eschmann T20+</v>
          </cell>
          <cell r="P1359" t="str">
            <v>T2AD-2A-3368</v>
          </cell>
          <cell r="Q1359" t="str">
            <v>Not Applicable</v>
          </cell>
          <cell r="R1359" t="str">
            <v>Eschmann Bros &amp; Walsh Ltd</v>
          </cell>
          <cell r="S1359" t="str">
            <v>Antah Sir Radin Sdn. Bhd.</v>
          </cell>
          <cell r="T1359" t="str">
            <v>Functioning</v>
          </cell>
          <cell r="U1359" t="str">
            <v>Asset</v>
          </cell>
          <cell r="V1359">
            <v>239350</v>
          </cell>
          <cell r="W1359" t="str">
            <v>KEW</v>
          </cell>
          <cell r="X1359" t="str">
            <v>01/09/2010</v>
          </cell>
          <cell r="Y1359" t="str">
            <v>KEW</v>
          </cell>
          <cell r="Z1359" t="str">
            <v>16/08/2013</v>
          </cell>
          <cell r="AA1359" t="str">
            <v>15/08/2015</v>
          </cell>
          <cell r="AB1359" t="str">
            <v>No</v>
          </cell>
          <cell r="AC1359" t="str">
            <v>31/08/2013</v>
          </cell>
          <cell r="AD1359" t="str">
            <v>Good</v>
          </cell>
          <cell r="AE1359" t="str">
            <v>V1 - Existing / No Claim</v>
          </cell>
          <cell r="AF1359">
            <v>42802</v>
          </cell>
          <cell r="AG1359">
            <v>9.17</v>
          </cell>
          <cell r="AH1359" t="str">
            <v>PPM</v>
          </cell>
          <cell r="AI1359" t="str">
            <v>Strands</v>
          </cell>
          <cell r="AJ1359" t="str">
            <v>Strands PW</v>
          </cell>
        </row>
        <row r="1360">
          <cell r="A1360" t="str">
            <v>IKN401038</v>
          </cell>
          <cell r="B1360">
            <v>1036</v>
          </cell>
          <cell r="C1360" t="str">
            <v>Institut Kanser Negara</v>
          </cell>
          <cell r="D1360" t="str">
            <v>KKM/IKN/H/13/152</v>
          </cell>
          <cell r="E1360" t="str">
            <v>16-173</v>
          </cell>
          <cell r="F1360" t="str">
            <v>Sphygmomanometers, Electronic, Automatic</v>
          </cell>
          <cell r="G1360" t="str">
            <v>OT</v>
          </cell>
          <cell r="H1360" t="str">
            <v>OPERATING THEATRE</v>
          </cell>
          <cell r="I1360" t="str">
            <v>05OT158</v>
          </cell>
          <cell r="J1360" t="str">
            <v>NURSE STATION</v>
          </cell>
          <cell r="K1360" t="str">
            <v>BMED</v>
          </cell>
          <cell r="L1360" t="str">
            <v>Critical</v>
          </cell>
          <cell r="M1360" t="str">
            <v>USA</v>
          </cell>
          <cell r="N1360" t="str">
            <v>Connex</v>
          </cell>
          <cell r="O1360" t="str">
            <v>Connex ProBP 3400</v>
          </cell>
          <cell r="P1360" t="str">
            <v>100001540613</v>
          </cell>
          <cell r="Q1360" t="str">
            <v>Not Applicable</v>
          </cell>
          <cell r="R1360" t="str">
            <v>Welch Allyn Inc</v>
          </cell>
          <cell r="S1360" t="str">
            <v>Welch Allyn Malaysia Sdn Bhd</v>
          </cell>
          <cell r="T1360" t="str">
            <v>Functioning</v>
          </cell>
          <cell r="U1360" t="str">
            <v>Asset</v>
          </cell>
          <cell r="V1360">
            <v>4510</v>
          </cell>
          <cell r="W1360" t="str">
            <v>KEW</v>
          </cell>
          <cell r="X1360" t="str">
            <v>01/09/2010</v>
          </cell>
          <cell r="Y1360" t="str">
            <v>KEW</v>
          </cell>
          <cell r="Z1360" t="str">
            <v>16/08/2013</v>
          </cell>
          <cell r="AA1360" t="str">
            <v>15/08/2015</v>
          </cell>
          <cell r="AB1360" t="str">
            <v>No</v>
          </cell>
          <cell r="AC1360" t="str">
            <v>31/08/2013</v>
          </cell>
          <cell r="AD1360" t="str">
            <v>Good</v>
          </cell>
          <cell r="AE1360" t="str">
            <v>V1 - Existing / No Claim</v>
          </cell>
          <cell r="AF1360">
            <v>42803</v>
          </cell>
          <cell r="AG1360">
            <v>9.17</v>
          </cell>
          <cell r="AH1360" t="str">
            <v>PPM</v>
          </cell>
          <cell r="AI1360" t="str">
            <v>Strands</v>
          </cell>
          <cell r="AJ1360" t="str">
            <v>Strands PW</v>
          </cell>
        </row>
        <row r="1361">
          <cell r="A1361" t="str">
            <v>IKN401039</v>
          </cell>
          <cell r="B1361">
            <v>1037</v>
          </cell>
          <cell r="C1361" t="str">
            <v>Institut Kanser Negara</v>
          </cell>
          <cell r="D1361" t="str">
            <v>KKM/IKN/H/13/151</v>
          </cell>
          <cell r="E1361" t="str">
            <v>16-173</v>
          </cell>
          <cell r="F1361" t="str">
            <v>Sphygmomanometers, Electronic, Automatic</v>
          </cell>
          <cell r="G1361" t="str">
            <v>OT</v>
          </cell>
          <cell r="H1361" t="str">
            <v>OPERATING THEATRE</v>
          </cell>
          <cell r="I1361" t="str">
            <v>05OT158</v>
          </cell>
          <cell r="J1361" t="str">
            <v>NURSE STATION</v>
          </cell>
          <cell r="K1361" t="str">
            <v>BMED</v>
          </cell>
          <cell r="L1361" t="str">
            <v>Critical</v>
          </cell>
          <cell r="M1361" t="str">
            <v>USA</v>
          </cell>
          <cell r="N1361" t="str">
            <v>Connex</v>
          </cell>
          <cell r="O1361" t="str">
            <v>Connex ProBP 3400</v>
          </cell>
          <cell r="P1361" t="str">
            <v>100001670613</v>
          </cell>
          <cell r="Q1361" t="str">
            <v>Not Applicable</v>
          </cell>
          <cell r="R1361" t="str">
            <v>Welch Allyn Inc</v>
          </cell>
          <cell r="S1361" t="str">
            <v>Welch Allyn Malaysia Sdn Bhd</v>
          </cell>
          <cell r="T1361" t="str">
            <v>Functioning</v>
          </cell>
          <cell r="U1361" t="str">
            <v>Asset</v>
          </cell>
          <cell r="V1361">
            <v>4510</v>
          </cell>
          <cell r="W1361" t="str">
            <v>KEW</v>
          </cell>
          <cell r="X1361" t="str">
            <v>01/09/2010</v>
          </cell>
          <cell r="Y1361" t="str">
            <v>KEW</v>
          </cell>
          <cell r="Z1361" t="str">
            <v>16/08/2013</v>
          </cell>
          <cell r="AA1361" t="str">
            <v>15/08/2015</v>
          </cell>
          <cell r="AB1361" t="str">
            <v>No</v>
          </cell>
          <cell r="AC1361" t="str">
            <v>31/08/2013</v>
          </cell>
          <cell r="AD1361" t="str">
            <v>Good</v>
          </cell>
          <cell r="AE1361" t="str">
            <v>V1 - Existing / No Claim</v>
          </cell>
          <cell r="AF1361">
            <v>42803</v>
          </cell>
          <cell r="AG1361">
            <v>9.17</v>
          </cell>
          <cell r="AH1361" t="str">
            <v>PPM</v>
          </cell>
          <cell r="AI1361" t="str">
            <v>Strands</v>
          </cell>
          <cell r="AJ1361" t="str">
            <v>Strands PW</v>
          </cell>
        </row>
        <row r="1362">
          <cell r="A1362" t="str">
            <v>IKN401040</v>
          </cell>
          <cell r="B1362">
            <v>1038</v>
          </cell>
          <cell r="C1362" t="str">
            <v>Institut Kanser Negara</v>
          </cell>
          <cell r="D1362" t="e">
            <v>#N/A</v>
          </cell>
          <cell r="E1362" t="str">
            <v>11-134</v>
          </cell>
          <cell r="F1362" t="str">
            <v>Defibrillators, External, Manual</v>
          </cell>
          <cell r="G1362" t="str">
            <v>OT</v>
          </cell>
          <cell r="H1362" t="str">
            <v>OPERATING THEATRE</v>
          </cell>
          <cell r="I1362" t="str">
            <v>05OT158</v>
          </cell>
          <cell r="J1362" t="str">
            <v>NURSE STATION</v>
          </cell>
          <cell r="K1362" t="str">
            <v>BMED</v>
          </cell>
          <cell r="L1362" t="str">
            <v>Critical</v>
          </cell>
          <cell r="M1362" t="str">
            <v>USA</v>
          </cell>
          <cell r="N1362" t="str">
            <v>Responder</v>
          </cell>
          <cell r="O1362" t="str">
            <v>Responder 2000</v>
          </cell>
          <cell r="P1362" t="str">
            <v>3206694</v>
          </cell>
          <cell r="Q1362" t="str">
            <v>Not Applicable</v>
          </cell>
          <cell r="R1362" t="str">
            <v>GE Medical Systems</v>
          </cell>
          <cell r="S1362" t="str">
            <v>Antah Sir Radin Sdn. Bhd.</v>
          </cell>
          <cell r="T1362" t="str">
            <v>Functioning</v>
          </cell>
          <cell r="U1362" t="str">
            <v>Asset</v>
          </cell>
          <cell r="V1362">
            <v>45000</v>
          </cell>
          <cell r="W1362" t="str">
            <v>Estimate</v>
          </cell>
          <cell r="X1362" t="str">
            <v>01/09/2010</v>
          </cell>
          <cell r="Y1362" t="str">
            <v>KEW</v>
          </cell>
          <cell r="Z1362" t="str">
            <v>16/08/2013</v>
          </cell>
          <cell r="AA1362" t="str">
            <v>15/08/2015</v>
          </cell>
          <cell r="AB1362" t="str">
            <v>No</v>
          </cell>
          <cell r="AC1362" t="str">
            <v>31/08/2013</v>
          </cell>
          <cell r="AD1362" t="str">
            <v>Good</v>
          </cell>
          <cell r="AE1362" t="str">
            <v>V1 - Existing / No Claim</v>
          </cell>
          <cell r="AF1362">
            <v>42605</v>
          </cell>
          <cell r="AG1362">
            <v>9.17</v>
          </cell>
          <cell r="AH1362" t="str">
            <v>PPM</v>
          </cell>
          <cell r="AI1362" t="str">
            <v>Strands</v>
          </cell>
          <cell r="AJ1362" t="str">
            <v>Strands PW</v>
          </cell>
          <cell r="AK1362" t="str">
            <v>Crash Trolley (FEMS)</v>
          </cell>
        </row>
        <row r="1363">
          <cell r="A1363" t="str">
            <v>IKN401041</v>
          </cell>
          <cell r="B1363">
            <v>1039</v>
          </cell>
          <cell r="C1363" t="str">
            <v>Institut Kanser Negara</v>
          </cell>
          <cell r="D1363" t="str">
            <v>KKM/IKN/H/13/3734</v>
          </cell>
          <cell r="E1363" t="str">
            <v>13-249</v>
          </cell>
          <cell r="F1363" t="str">
            <v>Warming Units, Patient, Radiant, Adult</v>
          </cell>
          <cell r="G1363" t="str">
            <v>OT</v>
          </cell>
          <cell r="H1363" t="str">
            <v>OPERATING THEATRE</v>
          </cell>
          <cell r="I1363" t="str">
            <v>05OT159</v>
          </cell>
          <cell r="J1363" t="str">
            <v>POST-OP/RECOVERY (FUTURE)</v>
          </cell>
          <cell r="K1363" t="str">
            <v>BMED</v>
          </cell>
          <cell r="L1363" t="str">
            <v>Normal</v>
          </cell>
          <cell r="M1363" t="str">
            <v>Sweden</v>
          </cell>
          <cell r="N1363" t="str">
            <v>Aragona</v>
          </cell>
          <cell r="O1363" t="str">
            <v>Aragona MTC-410</v>
          </cell>
          <cell r="P1363" t="str">
            <v>1206</v>
          </cell>
          <cell r="Q1363" t="str">
            <v>Not Applicable</v>
          </cell>
          <cell r="R1363" t="str">
            <v>Aspira Medical AB</v>
          </cell>
          <cell r="S1363" t="str">
            <v>Perniagaan Med Tech</v>
          </cell>
          <cell r="T1363" t="str">
            <v>Functioning</v>
          </cell>
          <cell r="U1363" t="str">
            <v>Asset</v>
          </cell>
          <cell r="V1363">
            <v>12630</v>
          </cell>
          <cell r="W1363" t="str">
            <v>KEW</v>
          </cell>
          <cell r="X1363" t="str">
            <v>01/09/2010</v>
          </cell>
          <cell r="Y1363" t="str">
            <v>KEW</v>
          </cell>
          <cell r="Z1363" t="str">
            <v>16/08/2013</v>
          </cell>
          <cell r="AA1363" t="str">
            <v>15/08/2015</v>
          </cell>
          <cell r="AB1363" t="str">
            <v>No</v>
          </cell>
          <cell r="AC1363" t="str">
            <v>31/08/2013</v>
          </cell>
          <cell r="AD1363" t="str">
            <v>Good</v>
          </cell>
          <cell r="AE1363" t="str">
            <v>V1 - Existing / No Claim</v>
          </cell>
          <cell r="AF1363">
            <v>42803</v>
          </cell>
          <cell r="AG1363">
            <v>9.17</v>
          </cell>
          <cell r="AH1363" t="str">
            <v>PPM</v>
          </cell>
          <cell r="AI1363" t="str">
            <v>Strands</v>
          </cell>
          <cell r="AJ1363" t="str">
            <v>Strands PW</v>
          </cell>
        </row>
        <row r="1364">
          <cell r="A1364" t="str">
            <v>IKN401042</v>
          </cell>
          <cell r="B1364">
            <v>1040</v>
          </cell>
          <cell r="C1364" t="str">
            <v>Institut Kanser Negara</v>
          </cell>
          <cell r="D1364" t="str">
            <v>KKM/IKN/H/13/3735</v>
          </cell>
          <cell r="E1364" t="str">
            <v>13-249</v>
          </cell>
          <cell r="F1364" t="str">
            <v>Warming Units, Patient, Radiant, Adult</v>
          </cell>
          <cell r="G1364" t="str">
            <v>OT</v>
          </cell>
          <cell r="H1364" t="str">
            <v>OPERATING THEATRE</v>
          </cell>
          <cell r="I1364" t="str">
            <v>05OT159</v>
          </cell>
          <cell r="J1364" t="str">
            <v>POST-OP/RECOVERY (FUTURE)</v>
          </cell>
          <cell r="K1364" t="str">
            <v>BMED</v>
          </cell>
          <cell r="L1364" t="str">
            <v>Normal</v>
          </cell>
          <cell r="M1364" t="str">
            <v>Sweden</v>
          </cell>
          <cell r="N1364" t="str">
            <v>Aragona</v>
          </cell>
          <cell r="O1364" t="str">
            <v>Aragona MTC-410</v>
          </cell>
          <cell r="P1364" t="str">
            <v>1208</v>
          </cell>
          <cell r="Q1364" t="str">
            <v>Not Applicable</v>
          </cell>
          <cell r="R1364" t="str">
            <v>Aspira Medical AB</v>
          </cell>
          <cell r="S1364" t="str">
            <v>Perniagaan Med Tech</v>
          </cell>
          <cell r="T1364" t="str">
            <v>Functioning</v>
          </cell>
          <cell r="U1364" t="str">
            <v>Asset</v>
          </cell>
          <cell r="V1364">
            <v>12630</v>
          </cell>
          <cell r="W1364" t="str">
            <v>KEW</v>
          </cell>
          <cell r="X1364" t="str">
            <v>01/09/2010</v>
          </cell>
          <cell r="Y1364" t="str">
            <v>KEW</v>
          </cell>
          <cell r="Z1364" t="str">
            <v>16/08/2013</v>
          </cell>
          <cell r="AA1364" t="str">
            <v>15/08/2015</v>
          </cell>
          <cell r="AB1364" t="str">
            <v>No</v>
          </cell>
          <cell r="AC1364" t="str">
            <v>31/08/2013</v>
          </cell>
          <cell r="AD1364" t="str">
            <v>Good</v>
          </cell>
          <cell r="AE1364" t="str">
            <v>V1 - Existing / No Claim</v>
          </cell>
          <cell r="AF1364">
            <v>42803</v>
          </cell>
          <cell r="AG1364">
            <v>9.17</v>
          </cell>
          <cell r="AH1364" t="str">
            <v>PPM</v>
          </cell>
          <cell r="AI1364" t="str">
            <v>Strands</v>
          </cell>
          <cell r="AJ1364" t="str">
            <v>Strands PW</v>
          </cell>
        </row>
        <row r="1365">
          <cell r="A1365" t="str">
            <v>IKN401043</v>
          </cell>
          <cell r="B1365">
            <v>1041</v>
          </cell>
          <cell r="C1365" t="str">
            <v>Institut Kanser Negara</v>
          </cell>
          <cell r="D1365" t="str">
            <v>KKM/IKN/H/13/157</v>
          </cell>
          <cell r="E1365" t="str">
            <v>12-647</v>
          </cell>
          <cell r="F1365" t="str">
            <v>Physiologic Monitoring Systems, Acute Care</v>
          </cell>
          <cell r="G1365" t="str">
            <v>OT</v>
          </cell>
          <cell r="H1365" t="str">
            <v>OPERATING THEATRE</v>
          </cell>
          <cell r="I1365" t="str">
            <v>05OT159</v>
          </cell>
          <cell r="J1365" t="str">
            <v>POST-OP/RECOVERY (FUTURE)</v>
          </cell>
          <cell r="K1365" t="str">
            <v>BMED</v>
          </cell>
          <cell r="L1365" t="str">
            <v>Critical</v>
          </cell>
          <cell r="M1365" t="str">
            <v>Finland</v>
          </cell>
          <cell r="N1365" t="str">
            <v>CareScape</v>
          </cell>
          <cell r="O1365" t="str">
            <v>CareScape B650</v>
          </cell>
          <cell r="P1365" t="str">
            <v>SEW12357514HA</v>
          </cell>
          <cell r="Q1365" t="str">
            <v>Not Applicable</v>
          </cell>
          <cell r="R1365" t="str">
            <v>GE Medical Systems</v>
          </cell>
          <cell r="S1365" t="str">
            <v>GE Healthcare Technologies</v>
          </cell>
          <cell r="T1365" t="str">
            <v>Functioning</v>
          </cell>
          <cell r="U1365" t="str">
            <v>Asset</v>
          </cell>
          <cell r="V1365">
            <v>87400</v>
          </cell>
          <cell r="W1365" t="str">
            <v>KEW</v>
          </cell>
          <cell r="X1365" t="str">
            <v>01/09/2010</v>
          </cell>
          <cell r="Y1365" t="str">
            <v>KEW</v>
          </cell>
          <cell r="Z1365" t="str">
            <v>16/08/2013</v>
          </cell>
          <cell r="AA1365" t="str">
            <v>15/08/2015</v>
          </cell>
          <cell r="AB1365" t="str">
            <v>No</v>
          </cell>
          <cell r="AC1365" t="str">
            <v>31/08/2013</v>
          </cell>
          <cell r="AD1365" t="str">
            <v>Good</v>
          </cell>
          <cell r="AE1365" t="str">
            <v>V1 - Existing / No Claim</v>
          </cell>
          <cell r="AF1365">
            <v>42803</v>
          </cell>
          <cell r="AG1365">
            <v>9.17</v>
          </cell>
          <cell r="AH1365" t="str">
            <v>PPM</v>
          </cell>
          <cell r="AI1365" t="str">
            <v>Strands</v>
          </cell>
          <cell r="AJ1365" t="str">
            <v>Strands PW</v>
          </cell>
        </row>
        <row r="1366">
          <cell r="A1366" t="str">
            <v>IKN401044</v>
          </cell>
          <cell r="B1366">
            <v>1042</v>
          </cell>
          <cell r="C1366" t="str">
            <v>Institut Kanser Negara</v>
          </cell>
          <cell r="D1366" t="str">
            <v>KKM/IKN/H/13/204</v>
          </cell>
          <cell r="E1366" t="str">
            <v>12-647</v>
          </cell>
          <cell r="F1366" t="str">
            <v>Physiologic Monitoring Systems, Acute Care</v>
          </cell>
          <cell r="G1366" t="str">
            <v>OT</v>
          </cell>
          <cell r="H1366" t="str">
            <v>OPERATING THEATRE</v>
          </cell>
          <cell r="I1366" t="str">
            <v>05OT169</v>
          </cell>
          <cell r="J1366" t="str">
            <v>EQ. ROOM</v>
          </cell>
          <cell r="K1366" t="str">
            <v>BMED</v>
          </cell>
          <cell r="L1366" t="str">
            <v>Critical</v>
          </cell>
          <cell r="M1366" t="str">
            <v>USA</v>
          </cell>
          <cell r="N1366" t="str">
            <v>Tram</v>
          </cell>
          <cell r="O1366" t="str">
            <v>Transport Pro</v>
          </cell>
          <cell r="P1366" t="str">
            <v>SCS12367505GA</v>
          </cell>
          <cell r="Q1366" t="str">
            <v>Not Applicable</v>
          </cell>
          <cell r="R1366" t="str">
            <v>GE Medical Systems</v>
          </cell>
          <cell r="S1366" t="str">
            <v>GE Healthcare Technologies</v>
          </cell>
          <cell r="T1366" t="str">
            <v>Functioning</v>
          </cell>
          <cell r="U1366" t="str">
            <v>Asset</v>
          </cell>
          <cell r="V1366">
            <v>54100</v>
          </cell>
          <cell r="W1366" t="str">
            <v>KEW</v>
          </cell>
          <cell r="X1366" t="str">
            <v>01/09/2010</v>
          </cell>
          <cell r="Y1366" t="str">
            <v>KEW</v>
          </cell>
          <cell r="Z1366" t="str">
            <v>16/08/2013</v>
          </cell>
          <cell r="AA1366" t="str">
            <v>15/08/2015</v>
          </cell>
          <cell r="AB1366" t="str">
            <v>No</v>
          </cell>
          <cell r="AC1366" t="str">
            <v>31/08/2013</v>
          </cell>
          <cell r="AD1366" t="str">
            <v>Good</v>
          </cell>
          <cell r="AE1366" t="str">
            <v>V1 - Existing / No Claim</v>
          </cell>
          <cell r="AF1366">
            <v>42803</v>
          </cell>
          <cell r="AG1366">
            <v>9.17</v>
          </cell>
          <cell r="AH1366" t="str">
            <v>PPM</v>
          </cell>
          <cell r="AI1366" t="str">
            <v>Strands</v>
          </cell>
          <cell r="AJ1366" t="str">
            <v>Strands PW</v>
          </cell>
        </row>
        <row r="1367">
          <cell r="A1367" t="str">
            <v>IKN401045</v>
          </cell>
          <cell r="B1367">
            <v>1043</v>
          </cell>
          <cell r="C1367" t="str">
            <v>Institut Kanser Negara</v>
          </cell>
          <cell r="D1367" t="str">
            <v>KKM/IKN/H/13/158</v>
          </cell>
          <cell r="E1367" t="str">
            <v>12-647</v>
          </cell>
          <cell r="F1367" t="str">
            <v>Physiologic Monitoring Systems, Acute Care</v>
          </cell>
          <cell r="G1367" t="str">
            <v>OT</v>
          </cell>
          <cell r="H1367" t="str">
            <v>OPERATING THEATRE</v>
          </cell>
          <cell r="I1367" t="str">
            <v>05OT159</v>
          </cell>
          <cell r="J1367" t="str">
            <v>POST-OP/RECOVERY (FUTURE)</v>
          </cell>
          <cell r="K1367" t="str">
            <v>BMED</v>
          </cell>
          <cell r="L1367" t="str">
            <v>Critical</v>
          </cell>
          <cell r="M1367" t="str">
            <v>Finland</v>
          </cell>
          <cell r="N1367" t="str">
            <v>CareScape</v>
          </cell>
          <cell r="O1367" t="str">
            <v>CareScape B650</v>
          </cell>
          <cell r="P1367" t="str">
            <v>SEW12357501HA</v>
          </cell>
          <cell r="Q1367" t="str">
            <v>Not Applicable</v>
          </cell>
          <cell r="R1367" t="str">
            <v>GE Medical Systems</v>
          </cell>
          <cell r="S1367" t="str">
            <v>GE Healthcare Technologies</v>
          </cell>
          <cell r="T1367" t="str">
            <v>Functioning</v>
          </cell>
          <cell r="U1367" t="str">
            <v>Asset</v>
          </cell>
          <cell r="V1367">
            <v>87400</v>
          </cell>
          <cell r="W1367" t="str">
            <v>KEW</v>
          </cell>
          <cell r="X1367" t="str">
            <v>01/09/2010</v>
          </cell>
          <cell r="Y1367" t="str">
            <v>KEW</v>
          </cell>
          <cell r="Z1367" t="str">
            <v>16/08/2013</v>
          </cell>
          <cell r="AA1367" t="str">
            <v>15/08/2015</v>
          </cell>
          <cell r="AB1367" t="str">
            <v>No</v>
          </cell>
          <cell r="AC1367" t="str">
            <v>31/08/2013</v>
          </cell>
          <cell r="AD1367" t="str">
            <v>Good</v>
          </cell>
          <cell r="AE1367" t="str">
            <v>V1 - Existing / No Claim</v>
          </cell>
          <cell r="AF1367">
            <v>42803</v>
          </cell>
          <cell r="AG1367">
            <v>9.17</v>
          </cell>
          <cell r="AH1367" t="str">
            <v>PPM</v>
          </cell>
          <cell r="AI1367" t="str">
            <v>Strands</v>
          </cell>
          <cell r="AJ1367" t="str">
            <v>Strands PW</v>
          </cell>
        </row>
        <row r="1368">
          <cell r="A1368" t="str">
            <v>IKN401046</v>
          </cell>
          <cell r="B1368">
            <v>1044</v>
          </cell>
          <cell r="C1368" t="str">
            <v>Institut Kanser Negara</v>
          </cell>
          <cell r="D1368" t="e">
            <v>#N/A</v>
          </cell>
          <cell r="E1368" t="str">
            <v>11-134</v>
          </cell>
          <cell r="F1368" t="str">
            <v>Defibrillators, External, Manual</v>
          </cell>
          <cell r="G1368" t="str">
            <v>OT</v>
          </cell>
          <cell r="H1368" t="str">
            <v>OPERATING THEATRE</v>
          </cell>
          <cell r="I1368" t="str">
            <v>05OT150</v>
          </cell>
          <cell r="J1368" t="str">
            <v>RECEPTION STAFF BASE</v>
          </cell>
          <cell r="K1368" t="str">
            <v>BMED</v>
          </cell>
          <cell r="L1368" t="str">
            <v>Critical</v>
          </cell>
          <cell r="M1368" t="str">
            <v>USA</v>
          </cell>
          <cell r="N1368" t="str">
            <v>Responder</v>
          </cell>
          <cell r="O1368" t="str">
            <v>Responder 2000</v>
          </cell>
          <cell r="P1368" t="str">
            <v>3206700</v>
          </cell>
          <cell r="Q1368" t="str">
            <v>Not Applicable</v>
          </cell>
          <cell r="R1368" t="str">
            <v>GE Medical Systems</v>
          </cell>
          <cell r="S1368" t="str">
            <v>Antah Sir Radin Sdn. Bhd.</v>
          </cell>
          <cell r="T1368" t="str">
            <v>Functioning</v>
          </cell>
          <cell r="U1368" t="str">
            <v>Asset</v>
          </cell>
          <cell r="V1368">
            <v>45000</v>
          </cell>
          <cell r="W1368" t="str">
            <v>Estimate</v>
          </cell>
          <cell r="X1368" t="str">
            <v>01/09/2010</v>
          </cell>
          <cell r="Y1368" t="str">
            <v>KEW</v>
          </cell>
          <cell r="Z1368" t="str">
            <v>16/08/2013</v>
          </cell>
          <cell r="AA1368" t="str">
            <v>15/08/2015</v>
          </cell>
          <cell r="AB1368" t="str">
            <v>No</v>
          </cell>
          <cell r="AC1368" t="str">
            <v>31/08/2013</v>
          </cell>
          <cell r="AD1368" t="str">
            <v>Good</v>
          </cell>
          <cell r="AE1368" t="str">
            <v>V1 - Existing / No Claim</v>
          </cell>
          <cell r="AF1368">
            <v>42605</v>
          </cell>
          <cell r="AG1368">
            <v>9.17</v>
          </cell>
          <cell r="AH1368" t="str">
            <v>PPM</v>
          </cell>
          <cell r="AI1368" t="str">
            <v>Strands</v>
          </cell>
          <cell r="AJ1368" t="str">
            <v>Strands PW</v>
          </cell>
          <cell r="AK1368" t="str">
            <v>Crash Trolley (FEMS)</v>
          </cell>
        </row>
        <row r="1369">
          <cell r="A1369" t="str">
            <v>IKN401047</v>
          </cell>
          <cell r="B1369">
            <v>1045</v>
          </cell>
          <cell r="C1369" t="str">
            <v>Institut Kanser Negara</v>
          </cell>
          <cell r="D1369" t="str">
            <v>KKM/IKN/H/13/3737</v>
          </cell>
          <cell r="E1369" t="str">
            <v>13-249</v>
          </cell>
          <cell r="F1369" t="str">
            <v>Warming Units, Patient, Radiant, Adult</v>
          </cell>
          <cell r="G1369" t="str">
            <v>OT</v>
          </cell>
          <cell r="H1369" t="str">
            <v>OPERATING THEATRE</v>
          </cell>
          <cell r="I1369" t="str">
            <v>05OT159</v>
          </cell>
          <cell r="J1369" t="str">
            <v>POST-OP/RECOVERY (FUTURE)</v>
          </cell>
          <cell r="K1369" t="str">
            <v>BMED</v>
          </cell>
          <cell r="L1369" t="str">
            <v>Normal</v>
          </cell>
          <cell r="M1369" t="str">
            <v>Sweden</v>
          </cell>
          <cell r="N1369" t="str">
            <v>Aragona</v>
          </cell>
          <cell r="O1369" t="str">
            <v>Aragona MTC-410</v>
          </cell>
          <cell r="P1369" t="str">
            <v>1203</v>
          </cell>
          <cell r="Q1369" t="str">
            <v>Not Applicable</v>
          </cell>
          <cell r="R1369" t="str">
            <v>Aspira Medical AB</v>
          </cell>
          <cell r="S1369" t="str">
            <v>Perniagaan Med Tech</v>
          </cell>
          <cell r="T1369" t="str">
            <v>Functioning</v>
          </cell>
          <cell r="U1369" t="str">
            <v>Asset</v>
          </cell>
          <cell r="V1369">
            <v>12630</v>
          </cell>
          <cell r="W1369" t="str">
            <v>KEW</v>
          </cell>
          <cell r="X1369" t="str">
            <v>01/09/2010</v>
          </cell>
          <cell r="Y1369" t="str">
            <v>KEW</v>
          </cell>
          <cell r="Z1369" t="str">
            <v>16/08/2013</v>
          </cell>
          <cell r="AA1369" t="str">
            <v>15/08/2015</v>
          </cell>
          <cell r="AB1369" t="str">
            <v>No</v>
          </cell>
          <cell r="AC1369" t="str">
            <v>31/08/2013</v>
          </cell>
          <cell r="AD1369" t="str">
            <v>Good</v>
          </cell>
          <cell r="AE1369" t="str">
            <v>V1 - Existing / No Claim</v>
          </cell>
          <cell r="AF1369">
            <v>42803</v>
          </cell>
          <cell r="AG1369">
            <v>9.17</v>
          </cell>
          <cell r="AH1369" t="str">
            <v>PPM</v>
          </cell>
          <cell r="AI1369" t="str">
            <v>Strands</v>
          </cell>
          <cell r="AJ1369" t="str">
            <v>Strands PW</v>
          </cell>
        </row>
        <row r="1370">
          <cell r="A1370" t="str">
            <v>IKN401048</v>
          </cell>
          <cell r="B1370">
            <v>1046</v>
          </cell>
          <cell r="C1370" t="str">
            <v>Institut Kanser Negara</v>
          </cell>
          <cell r="D1370" t="str">
            <v>KKM/IKN/H/13/3736</v>
          </cell>
          <cell r="E1370" t="str">
            <v>13-249</v>
          </cell>
          <cell r="F1370" t="str">
            <v>Warming Units, Patient, Radiant, Adult</v>
          </cell>
          <cell r="G1370" t="str">
            <v>OT</v>
          </cell>
          <cell r="H1370" t="str">
            <v>OPERATING THEATRE</v>
          </cell>
          <cell r="I1370" t="str">
            <v>05OT159</v>
          </cell>
          <cell r="J1370" t="str">
            <v>POST-OP/RECOVERY (FUTURE)</v>
          </cell>
          <cell r="K1370" t="str">
            <v>BMED</v>
          </cell>
          <cell r="L1370" t="str">
            <v>Normal</v>
          </cell>
          <cell r="M1370" t="str">
            <v>Sweden</v>
          </cell>
          <cell r="N1370" t="str">
            <v>Aragona</v>
          </cell>
          <cell r="O1370" t="str">
            <v>Aragona MTC-410</v>
          </cell>
          <cell r="P1370" t="str">
            <v>1210</v>
          </cell>
          <cell r="Q1370" t="str">
            <v>Not Applicable</v>
          </cell>
          <cell r="R1370" t="str">
            <v>Aspira Medical AB</v>
          </cell>
          <cell r="S1370" t="str">
            <v>Perniagaan Med Tech</v>
          </cell>
          <cell r="T1370" t="str">
            <v>Functioning</v>
          </cell>
          <cell r="U1370" t="str">
            <v>Asset</v>
          </cell>
          <cell r="V1370">
            <v>12630</v>
          </cell>
          <cell r="W1370" t="str">
            <v>KEW</v>
          </cell>
          <cell r="X1370" t="str">
            <v>01/09/2010</v>
          </cell>
          <cell r="Y1370" t="str">
            <v>KEW</v>
          </cell>
          <cell r="Z1370" t="str">
            <v>16/08/2013</v>
          </cell>
          <cell r="AA1370" t="str">
            <v>15/08/2015</v>
          </cell>
          <cell r="AB1370" t="str">
            <v>No</v>
          </cell>
          <cell r="AC1370" t="str">
            <v>31/08/2013</v>
          </cell>
          <cell r="AD1370" t="str">
            <v>Good</v>
          </cell>
          <cell r="AE1370" t="str">
            <v>V1 - Existing / No Claim</v>
          </cell>
          <cell r="AF1370">
            <v>42803</v>
          </cell>
          <cell r="AG1370">
            <v>9.17</v>
          </cell>
          <cell r="AH1370" t="str">
            <v>PPM</v>
          </cell>
          <cell r="AI1370" t="str">
            <v>Strands</v>
          </cell>
          <cell r="AJ1370" t="str">
            <v>Strands PW</v>
          </cell>
        </row>
        <row r="1371">
          <cell r="A1371" t="str">
            <v>IKN401049</v>
          </cell>
          <cell r="B1371">
            <v>1047</v>
          </cell>
          <cell r="C1371" t="str">
            <v>Institut Kanser Negara</v>
          </cell>
          <cell r="D1371" t="str">
            <v>KKM/IKN/H/13/156</v>
          </cell>
          <cell r="E1371" t="str">
            <v>12-647</v>
          </cell>
          <cell r="F1371" t="str">
            <v>Physiologic Monitoring Systems, Acute Care</v>
          </cell>
          <cell r="G1371" t="str">
            <v>OT</v>
          </cell>
          <cell r="H1371" t="str">
            <v>OPERATING THEATRE</v>
          </cell>
          <cell r="I1371" t="str">
            <v>05OT159</v>
          </cell>
          <cell r="J1371" t="str">
            <v>POST-OP/RECOVERY (FUTURE)</v>
          </cell>
          <cell r="K1371" t="str">
            <v>BMED</v>
          </cell>
          <cell r="L1371" t="str">
            <v>Critical</v>
          </cell>
          <cell r="M1371" t="str">
            <v>Finland</v>
          </cell>
          <cell r="N1371" t="str">
            <v>CareScape</v>
          </cell>
          <cell r="O1371" t="str">
            <v>CareScape B650</v>
          </cell>
          <cell r="P1371" t="str">
            <v>SEW12357515HA</v>
          </cell>
          <cell r="Q1371" t="str">
            <v>Not Applicable</v>
          </cell>
          <cell r="R1371" t="str">
            <v>GE Medical Systems</v>
          </cell>
          <cell r="S1371" t="str">
            <v>GE Healthcare Technologies</v>
          </cell>
          <cell r="T1371" t="str">
            <v>Functioning</v>
          </cell>
          <cell r="U1371" t="str">
            <v>Asset</v>
          </cell>
          <cell r="V1371">
            <v>87400</v>
          </cell>
          <cell r="W1371" t="str">
            <v>KEW</v>
          </cell>
          <cell r="X1371" t="str">
            <v>01/09/2010</v>
          </cell>
          <cell r="Y1371" t="str">
            <v>KEW</v>
          </cell>
          <cell r="Z1371" t="str">
            <v>16/08/2013</v>
          </cell>
          <cell r="AA1371" t="str">
            <v>15/08/2015</v>
          </cell>
          <cell r="AB1371" t="str">
            <v>No</v>
          </cell>
          <cell r="AC1371" t="str">
            <v>31/08/2013</v>
          </cell>
          <cell r="AD1371" t="str">
            <v>Good</v>
          </cell>
          <cell r="AE1371" t="str">
            <v>V1 - Existing / No Claim</v>
          </cell>
          <cell r="AF1371">
            <v>42803</v>
          </cell>
          <cell r="AG1371">
            <v>9.17</v>
          </cell>
          <cell r="AH1371" t="str">
            <v>PPM</v>
          </cell>
          <cell r="AI1371" t="str">
            <v>Strands</v>
          </cell>
          <cell r="AJ1371" t="str">
            <v>Strands PW</v>
          </cell>
        </row>
        <row r="1372">
          <cell r="A1372" t="str">
            <v>IKN401050</v>
          </cell>
          <cell r="B1372">
            <v>1048</v>
          </cell>
          <cell r="C1372" t="str">
            <v>Institut Kanser Negara</v>
          </cell>
          <cell r="D1372" t="str">
            <v>KKM/IKN/H/13/159</v>
          </cell>
          <cell r="E1372" t="str">
            <v>12-647</v>
          </cell>
          <cell r="F1372" t="str">
            <v>Physiologic Monitoring Systems, Acute Care</v>
          </cell>
          <cell r="G1372" t="str">
            <v>OT</v>
          </cell>
          <cell r="H1372" t="str">
            <v>OPERATING THEATRE</v>
          </cell>
          <cell r="I1372" t="str">
            <v>05OT159</v>
          </cell>
          <cell r="J1372" t="str">
            <v>POST-OP/RECOVERY (FUTURE)</v>
          </cell>
          <cell r="K1372" t="str">
            <v>BMED</v>
          </cell>
          <cell r="L1372" t="str">
            <v>Critical</v>
          </cell>
          <cell r="M1372" t="str">
            <v>Finland</v>
          </cell>
          <cell r="N1372" t="str">
            <v>CareScape</v>
          </cell>
          <cell r="O1372" t="str">
            <v>CareScape B650</v>
          </cell>
          <cell r="P1372" t="str">
            <v>SEW12357357HA</v>
          </cell>
          <cell r="Q1372" t="str">
            <v>Not Applicable</v>
          </cell>
          <cell r="R1372" t="str">
            <v>GE Medical Systems</v>
          </cell>
          <cell r="S1372" t="str">
            <v>GE Healthcare Technologies</v>
          </cell>
          <cell r="T1372" t="str">
            <v>Functioning</v>
          </cell>
          <cell r="U1372" t="str">
            <v>Asset</v>
          </cell>
          <cell r="V1372">
            <v>87400</v>
          </cell>
          <cell r="W1372" t="str">
            <v>KEW</v>
          </cell>
          <cell r="X1372" t="str">
            <v>01/09/2010</v>
          </cell>
          <cell r="Y1372" t="str">
            <v>KEW</v>
          </cell>
          <cell r="Z1372" t="str">
            <v>16/08/2013</v>
          </cell>
          <cell r="AA1372" t="str">
            <v>15/08/2015</v>
          </cell>
          <cell r="AB1372" t="str">
            <v>No</v>
          </cell>
          <cell r="AC1372" t="str">
            <v>31/08/2013</v>
          </cell>
          <cell r="AD1372" t="str">
            <v>Good</v>
          </cell>
          <cell r="AE1372" t="str">
            <v>V1 - Existing / No Claim</v>
          </cell>
          <cell r="AF1372">
            <v>42803</v>
          </cell>
          <cell r="AG1372">
            <v>9.17</v>
          </cell>
          <cell r="AH1372" t="str">
            <v>PPM</v>
          </cell>
          <cell r="AI1372" t="str">
            <v>Strands</v>
          </cell>
          <cell r="AJ1372" t="str">
            <v>Strands PW</v>
          </cell>
        </row>
        <row r="1373">
          <cell r="A1373" t="str">
            <v>IKN401051</v>
          </cell>
          <cell r="B1373">
            <v>1049</v>
          </cell>
          <cell r="C1373" t="str">
            <v>Institut Kanser Negara</v>
          </cell>
          <cell r="D1373" t="str">
            <v>KKM/IKN/H/13/4844</v>
          </cell>
          <cell r="E1373" t="str">
            <v>17-793</v>
          </cell>
          <cell r="F1373" t="str">
            <v>Infusion/ Monitoring Line Organizer System</v>
          </cell>
          <cell r="G1373" t="str">
            <v>OT</v>
          </cell>
          <cell r="H1373" t="str">
            <v>OPERATING THEATRE</v>
          </cell>
          <cell r="I1373" t="str">
            <v>05OT123</v>
          </cell>
          <cell r="J1373" t="str">
            <v>0T 1</v>
          </cell>
          <cell r="K1373" t="str">
            <v>BMED</v>
          </cell>
          <cell r="L1373" t="str">
            <v>Normal</v>
          </cell>
          <cell r="M1373" t="str">
            <v>Germany</v>
          </cell>
          <cell r="N1373" t="str">
            <v>Space Station</v>
          </cell>
          <cell r="O1373" t="str">
            <v>Space Station</v>
          </cell>
          <cell r="P1373" t="str">
            <v>13981</v>
          </cell>
          <cell r="Q1373" t="str">
            <v>Not Applicable</v>
          </cell>
          <cell r="R1373" t="str">
            <v>B Braun Melsungen AG</v>
          </cell>
          <cell r="S1373" t="str">
            <v>B Braun Medical Supplies Sdn. Bhd.</v>
          </cell>
          <cell r="T1373" t="str">
            <v>Functioning</v>
          </cell>
          <cell r="U1373" t="str">
            <v>Asset</v>
          </cell>
          <cell r="V1373">
            <v>84200</v>
          </cell>
          <cell r="W1373" t="str">
            <v>KEW</v>
          </cell>
          <cell r="X1373" t="str">
            <v>01/09/2010</v>
          </cell>
          <cell r="Y1373" t="str">
            <v>KEW</v>
          </cell>
          <cell r="Z1373" t="str">
            <v>16/08/2013</v>
          </cell>
          <cell r="AA1373" t="str">
            <v>15/08/2015</v>
          </cell>
          <cell r="AB1373" t="str">
            <v>No</v>
          </cell>
          <cell r="AC1373" t="str">
            <v>31/08/2013</v>
          </cell>
          <cell r="AD1373" t="str">
            <v>Good</v>
          </cell>
          <cell r="AE1373" t="str">
            <v>V1 - Existing / No Claim</v>
          </cell>
          <cell r="AF1373">
            <v>42235</v>
          </cell>
          <cell r="AG1373">
            <v>9.17</v>
          </cell>
          <cell r="AH1373" t="str">
            <v>PPM</v>
          </cell>
          <cell r="AI1373" t="str">
            <v>Strands</v>
          </cell>
          <cell r="AJ1373" t="str">
            <v>Strands PW</v>
          </cell>
        </row>
        <row r="1374">
          <cell r="A1374" t="str">
            <v>IKN401052</v>
          </cell>
          <cell r="B1374">
            <v>1050</v>
          </cell>
          <cell r="C1374" t="str">
            <v>Institut Kanser Negara</v>
          </cell>
          <cell r="D1374" t="str">
            <v>KKM/IKN/H/13/4481</v>
          </cell>
          <cell r="E1374" t="str">
            <v>16-924</v>
          </cell>
          <cell r="F1374" t="str">
            <v>Infusion Pumps, Patient-Controlled Analgesic</v>
          </cell>
          <cell r="G1374" t="str">
            <v>OT</v>
          </cell>
          <cell r="H1374" t="str">
            <v>OPERATING THEATRE</v>
          </cell>
          <cell r="I1374" t="str">
            <v>05OT123</v>
          </cell>
          <cell r="J1374" t="str">
            <v>0T 1</v>
          </cell>
          <cell r="K1374" t="str">
            <v>BMED</v>
          </cell>
          <cell r="L1374" t="str">
            <v>Normal</v>
          </cell>
          <cell r="M1374" t="str">
            <v>Germany</v>
          </cell>
          <cell r="N1374" t="str">
            <v>Perfusor</v>
          </cell>
          <cell r="O1374" t="str">
            <v>Perfusor Space PCA</v>
          </cell>
          <cell r="P1374" t="str">
            <v>187054</v>
          </cell>
          <cell r="Q1374" t="str">
            <v>Not Applicable</v>
          </cell>
          <cell r="R1374" t="str">
            <v>B Braun Melsungen AG</v>
          </cell>
          <cell r="S1374" t="str">
            <v>B Braun Medical Supplies Sdn. Bhd.</v>
          </cell>
          <cell r="T1374" t="str">
            <v>Functioning</v>
          </cell>
          <cell r="U1374" t="str">
            <v>Asset</v>
          </cell>
          <cell r="V1374">
            <v>9622</v>
          </cell>
          <cell r="W1374" t="str">
            <v>KEW</v>
          </cell>
          <cell r="X1374" t="str">
            <v>01/09/2010</v>
          </cell>
          <cell r="Y1374" t="str">
            <v>KEW</v>
          </cell>
          <cell r="Z1374" t="str">
            <v>16/08/2013</v>
          </cell>
          <cell r="AA1374" t="str">
            <v>15/08/2015</v>
          </cell>
          <cell r="AB1374" t="str">
            <v>No</v>
          </cell>
          <cell r="AC1374" t="str">
            <v>31/08/2013</v>
          </cell>
          <cell r="AD1374" t="str">
            <v>Good</v>
          </cell>
          <cell r="AE1374" t="str">
            <v>V1 - Existing / No Claim</v>
          </cell>
          <cell r="AF1374">
            <v>42235</v>
          </cell>
          <cell r="AG1374">
            <v>9.17</v>
          </cell>
          <cell r="AH1374" t="str">
            <v>PPM</v>
          </cell>
          <cell r="AI1374" t="str">
            <v>Strands</v>
          </cell>
          <cell r="AJ1374" t="str">
            <v>Strands PW</v>
          </cell>
        </row>
        <row r="1375">
          <cell r="A1375" t="str">
            <v>IKN401053</v>
          </cell>
          <cell r="B1375">
            <v>1051</v>
          </cell>
          <cell r="C1375" t="str">
            <v>Institut Kanser Negara</v>
          </cell>
          <cell r="D1375" t="str">
            <v>KKM/IKN/H/13/3883</v>
          </cell>
          <cell r="E1375" t="str">
            <v>10-447</v>
          </cell>
          <cell r="F1375" t="str">
            <v>Warming Units, Blood/Solution</v>
          </cell>
          <cell r="G1375" t="str">
            <v>OT</v>
          </cell>
          <cell r="H1375" t="str">
            <v>OPERATING THEATRE</v>
          </cell>
          <cell r="I1375" t="str">
            <v>05OT169</v>
          </cell>
          <cell r="J1375" t="str">
            <v>EQ. ROOM</v>
          </cell>
          <cell r="K1375" t="str">
            <v>BMED</v>
          </cell>
          <cell r="L1375" t="str">
            <v>Normal</v>
          </cell>
          <cell r="M1375" t="str">
            <v>Japan</v>
          </cell>
          <cell r="N1375" t="str">
            <v>Animec</v>
          </cell>
          <cell r="O1375" t="str">
            <v>Animec AM-301</v>
          </cell>
          <cell r="P1375" t="str">
            <v>2012D0057</v>
          </cell>
          <cell r="Q1375" t="str">
            <v>Not Applicable</v>
          </cell>
          <cell r="R1375" t="str">
            <v>Elltec Co Ltd</v>
          </cell>
          <cell r="S1375" t="str">
            <v>IDS Services (Malaysia) Sdn Bhd</v>
          </cell>
          <cell r="T1375" t="str">
            <v>Functioning</v>
          </cell>
          <cell r="U1375" t="str">
            <v>Asset</v>
          </cell>
          <cell r="V1375">
            <v>4990</v>
          </cell>
          <cell r="W1375" t="str">
            <v>KEW</v>
          </cell>
          <cell r="X1375" t="str">
            <v>01/09/2010</v>
          </cell>
          <cell r="Y1375" t="str">
            <v>KEW</v>
          </cell>
          <cell r="Z1375" t="str">
            <v>16/08/2013</v>
          </cell>
          <cell r="AA1375" t="str">
            <v>15/08/2015</v>
          </cell>
          <cell r="AB1375" t="str">
            <v>No</v>
          </cell>
          <cell r="AC1375" t="str">
            <v>31/08/2013</v>
          </cell>
          <cell r="AD1375" t="str">
            <v>Good</v>
          </cell>
          <cell r="AE1375" t="str">
            <v>V1 - Existing / No Claim</v>
          </cell>
          <cell r="AF1375">
            <v>42803</v>
          </cell>
          <cell r="AG1375">
            <v>9.17</v>
          </cell>
          <cell r="AH1375" t="str">
            <v>PPM</v>
          </cell>
          <cell r="AI1375" t="str">
            <v>Strands</v>
          </cell>
          <cell r="AJ1375" t="str">
            <v>Strands PW</v>
          </cell>
        </row>
        <row r="1376">
          <cell r="A1376" t="str">
            <v>IKN401054</v>
          </cell>
          <cell r="B1376">
            <v>1052</v>
          </cell>
          <cell r="C1376" t="str">
            <v>Institut Kanser Negara</v>
          </cell>
          <cell r="D1376" t="str">
            <v>KKM/IKN/H/13/3885</v>
          </cell>
          <cell r="E1376" t="str">
            <v>10-447</v>
          </cell>
          <cell r="F1376" t="str">
            <v>Warming Units, Blood/Solution</v>
          </cell>
          <cell r="G1376" t="str">
            <v>OT</v>
          </cell>
          <cell r="H1376" t="str">
            <v>OPERATING THEATRE</v>
          </cell>
          <cell r="I1376" t="str">
            <v>05OT169</v>
          </cell>
          <cell r="J1376" t="str">
            <v>EQ. ROOM</v>
          </cell>
          <cell r="K1376" t="str">
            <v>BMED</v>
          </cell>
          <cell r="L1376" t="str">
            <v>Normal</v>
          </cell>
          <cell r="M1376" t="str">
            <v>Japan</v>
          </cell>
          <cell r="N1376" t="str">
            <v>Animec</v>
          </cell>
          <cell r="O1376" t="str">
            <v>Animec AM-301</v>
          </cell>
          <cell r="P1376" t="str">
            <v>2013D0251</v>
          </cell>
          <cell r="Q1376" t="str">
            <v>Not Applicable</v>
          </cell>
          <cell r="R1376" t="str">
            <v>Elltec Co Ltd</v>
          </cell>
          <cell r="S1376" t="str">
            <v>IDS Services (Malaysia) Sdn Bhd</v>
          </cell>
          <cell r="T1376" t="str">
            <v>Functioning</v>
          </cell>
          <cell r="U1376" t="str">
            <v>Asset</v>
          </cell>
          <cell r="V1376">
            <v>4990</v>
          </cell>
          <cell r="W1376" t="str">
            <v>KEW</v>
          </cell>
          <cell r="X1376" t="str">
            <v>01/09/2010</v>
          </cell>
          <cell r="Y1376" t="str">
            <v>KEW</v>
          </cell>
          <cell r="Z1376" t="str">
            <v>16/08/2013</v>
          </cell>
          <cell r="AA1376" t="str">
            <v>15/08/2015</v>
          </cell>
          <cell r="AB1376" t="str">
            <v>No</v>
          </cell>
          <cell r="AC1376" t="str">
            <v>31/08/2013</v>
          </cell>
          <cell r="AD1376" t="str">
            <v>Good</v>
          </cell>
          <cell r="AE1376" t="str">
            <v>V1 - Existing / No Claim</v>
          </cell>
          <cell r="AF1376">
            <v>42803</v>
          </cell>
          <cell r="AG1376">
            <v>9.17</v>
          </cell>
          <cell r="AH1376" t="str">
            <v>PPM</v>
          </cell>
          <cell r="AI1376" t="str">
            <v>Strands</v>
          </cell>
          <cell r="AJ1376" t="str">
            <v>Strands PW</v>
          </cell>
        </row>
        <row r="1377">
          <cell r="A1377" t="str">
            <v>IKN401055</v>
          </cell>
          <cell r="B1377">
            <v>1053</v>
          </cell>
          <cell r="C1377" t="str">
            <v>Institut Kanser Negara</v>
          </cell>
          <cell r="D1377" t="str">
            <v>KKM/IKN/H/13/3884</v>
          </cell>
          <cell r="E1377" t="str">
            <v>10-447</v>
          </cell>
          <cell r="F1377" t="str">
            <v>Warming Units, Blood/Solution</v>
          </cell>
          <cell r="G1377" t="str">
            <v>OT</v>
          </cell>
          <cell r="H1377" t="str">
            <v>OPERATING THEATRE</v>
          </cell>
          <cell r="I1377" t="str">
            <v>05OT169</v>
          </cell>
          <cell r="J1377" t="str">
            <v>EQ. ROOM</v>
          </cell>
          <cell r="K1377" t="str">
            <v>BMED</v>
          </cell>
          <cell r="L1377" t="str">
            <v>Normal</v>
          </cell>
          <cell r="M1377" t="str">
            <v>Japan</v>
          </cell>
          <cell r="N1377" t="str">
            <v>Animec</v>
          </cell>
          <cell r="O1377" t="str">
            <v>Animec AM-301</v>
          </cell>
          <cell r="P1377" t="str">
            <v>2012D0058</v>
          </cell>
          <cell r="Q1377" t="str">
            <v>Not Applicable</v>
          </cell>
          <cell r="R1377" t="str">
            <v>Elltec Co Ltd</v>
          </cell>
          <cell r="S1377" t="str">
            <v>IDS Services (Malaysia) Sdn Bhd</v>
          </cell>
          <cell r="T1377" t="str">
            <v>Functioning</v>
          </cell>
          <cell r="U1377" t="str">
            <v>Asset</v>
          </cell>
          <cell r="V1377">
            <v>4990</v>
          </cell>
          <cell r="W1377" t="str">
            <v>KEW</v>
          </cell>
          <cell r="X1377" t="str">
            <v>01/09/2010</v>
          </cell>
          <cell r="Y1377" t="str">
            <v>KEW</v>
          </cell>
          <cell r="Z1377" t="str">
            <v>16/08/2013</v>
          </cell>
          <cell r="AA1377" t="str">
            <v>15/08/2015</v>
          </cell>
          <cell r="AB1377" t="str">
            <v>No</v>
          </cell>
          <cell r="AC1377" t="str">
            <v>31/08/2013</v>
          </cell>
          <cell r="AD1377" t="str">
            <v>Good</v>
          </cell>
          <cell r="AE1377" t="str">
            <v>V1 - Existing / No Claim</v>
          </cell>
          <cell r="AF1377">
            <v>42803</v>
          </cell>
          <cell r="AG1377">
            <v>9.17</v>
          </cell>
          <cell r="AH1377" t="str">
            <v>PPM</v>
          </cell>
          <cell r="AI1377" t="str">
            <v>Strands</v>
          </cell>
          <cell r="AJ1377" t="str">
            <v>Strands PW</v>
          </cell>
        </row>
        <row r="1378">
          <cell r="A1378" t="str">
            <v>IKN401056</v>
          </cell>
          <cell r="B1378">
            <v>1054</v>
          </cell>
          <cell r="C1378" t="str">
            <v>Institut Kanser Negara</v>
          </cell>
          <cell r="D1378" t="str">
            <v>KKM/IKN/H/13/3886</v>
          </cell>
          <cell r="E1378" t="str">
            <v>10-447</v>
          </cell>
          <cell r="F1378" t="str">
            <v>Warming Units, Blood/Solution</v>
          </cell>
          <cell r="G1378" t="str">
            <v>OT</v>
          </cell>
          <cell r="H1378" t="str">
            <v>OPERATING THEATRE</v>
          </cell>
          <cell r="I1378" t="str">
            <v>05OT169</v>
          </cell>
          <cell r="J1378" t="str">
            <v>EQ. ROOM</v>
          </cell>
          <cell r="K1378" t="str">
            <v>BMED</v>
          </cell>
          <cell r="L1378" t="str">
            <v>Normal</v>
          </cell>
          <cell r="M1378" t="str">
            <v>Japan</v>
          </cell>
          <cell r="N1378" t="str">
            <v>Animec</v>
          </cell>
          <cell r="O1378" t="str">
            <v>Animec AM-301</v>
          </cell>
          <cell r="P1378" t="str">
            <v>2013D0252</v>
          </cell>
          <cell r="Q1378" t="str">
            <v>Not Applicable</v>
          </cell>
          <cell r="R1378" t="str">
            <v>Elltec Co Ltd</v>
          </cell>
          <cell r="S1378" t="str">
            <v>IDS Services (Malaysia) Sdn Bhd</v>
          </cell>
          <cell r="T1378" t="str">
            <v>Functioning</v>
          </cell>
          <cell r="U1378" t="str">
            <v>Asset</v>
          </cell>
          <cell r="V1378">
            <v>4990</v>
          </cell>
          <cell r="W1378" t="str">
            <v>KEW</v>
          </cell>
          <cell r="X1378" t="str">
            <v>01/09/2010</v>
          </cell>
          <cell r="Y1378" t="str">
            <v>KEW</v>
          </cell>
          <cell r="Z1378" t="str">
            <v>16/08/2013</v>
          </cell>
          <cell r="AA1378" t="str">
            <v>15/08/2015</v>
          </cell>
          <cell r="AB1378" t="str">
            <v>No</v>
          </cell>
          <cell r="AC1378" t="str">
            <v>31/08/2013</v>
          </cell>
          <cell r="AD1378" t="str">
            <v>Good</v>
          </cell>
          <cell r="AE1378" t="str">
            <v>V1 - Existing / No Claim</v>
          </cell>
          <cell r="AF1378">
            <v>42803</v>
          </cell>
          <cell r="AG1378">
            <v>9.17</v>
          </cell>
          <cell r="AH1378" t="str">
            <v>PPM</v>
          </cell>
          <cell r="AI1378" t="str">
            <v>Strands</v>
          </cell>
          <cell r="AJ1378" t="str">
            <v>Strands PW</v>
          </cell>
        </row>
        <row r="1379">
          <cell r="A1379" t="str">
            <v>IKN401057</v>
          </cell>
          <cell r="B1379">
            <v>1055</v>
          </cell>
          <cell r="C1379" t="str">
            <v>Institut Kanser Negara</v>
          </cell>
          <cell r="D1379" t="str">
            <v>KKM/IKN/H/13/3601</v>
          </cell>
          <cell r="E1379" t="str">
            <v>17-950</v>
          </cell>
          <cell r="F1379" t="str">
            <v>Warming Units, Patient, Forced-Air</v>
          </cell>
          <cell r="G1379" t="str">
            <v>OT</v>
          </cell>
          <cell r="H1379" t="str">
            <v>OPERATING THEATRE</v>
          </cell>
          <cell r="I1379" t="str">
            <v>05OT128</v>
          </cell>
          <cell r="J1379" t="str">
            <v>PRE-OP / PATIENT HOLDING</v>
          </cell>
          <cell r="K1379" t="str">
            <v>BMED</v>
          </cell>
          <cell r="L1379" t="str">
            <v>Normal</v>
          </cell>
          <cell r="M1379" t="str">
            <v>USA</v>
          </cell>
          <cell r="N1379" t="str">
            <v>Bair Hugger</v>
          </cell>
          <cell r="O1379" t="str">
            <v>Bair Hugger 775</v>
          </cell>
          <cell r="P1379" t="str">
            <v>35926</v>
          </cell>
          <cell r="Q1379" t="str">
            <v>Not Applicable</v>
          </cell>
          <cell r="R1379" t="str">
            <v>Arizant Healthcare Inc</v>
          </cell>
          <cell r="S1379" t="str">
            <v>Calmed Healthcare Sdn Bhd</v>
          </cell>
          <cell r="T1379" t="str">
            <v>Functioning</v>
          </cell>
          <cell r="U1379" t="str">
            <v>Asset</v>
          </cell>
          <cell r="V1379">
            <v>15515</v>
          </cell>
          <cell r="W1379" t="str">
            <v>KEW</v>
          </cell>
          <cell r="X1379" t="str">
            <v>01/09/2010</v>
          </cell>
          <cell r="Y1379" t="str">
            <v>KEW</v>
          </cell>
          <cell r="Z1379" t="str">
            <v>16/08/2013</v>
          </cell>
          <cell r="AA1379" t="str">
            <v>15/08/2015</v>
          </cell>
          <cell r="AB1379" t="str">
            <v>No</v>
          </cell>
          <cell r="AC1379" t="str">
            <v>31/08/2013</v>
          </cell>
          <cell r="AD1379" t="str">
            <v>Good</v>
          </cell>
          <cell r="AE1379" t="str">
            <v>V1 - Existing / No Claim</v>
          </cell>
          <cell r="AF1379">
            <v>42235</v>
          </cell>
          <cell r="AG1379">
            <v>9.17</v>
          </cell>
          <cell r="AH1379" t="str">
            <v>PPM</v>
          </cell>
          <cell r="AI1379" t="str">
            <v>Strands</v>
          </cell>
          <cell r="AJ1379" t="str">
            <v>Strands PW</v>
          </cell>
        </row>
        <row r="1380">
          <cell r="A1380" t="str">
            <v>IKN401058</v>
          </cell>
          <cell r="B1380">
            <v>1056</v>
          </cell>
          <cell r="C1380" t="str">
            <v>Institut Kanser Negara</v>
          </cell>
          <cell r="D1380" t="str">
            <v>KKM/IKN/H/13/3600</v>
          </cell>
          <cell r="E1380" t="str">
            <v>17-950</v>
          </cell>
          <cell r="F1380" t="str">
            <v>Warming Units, Patient, Forced-Air</v>
          </cell>
          <cell r="G1380" t="str">
            <v>OT</v>
          </cell>
          <cell r="H1380" t="str">
            <v>OPERATING THEATRE</v>
          </cell>
          <cell r="I1380" t="str">
            <v>05OT128</v>
          </cell>
          <cell r="J1380" t="str">
            <v>PRE-OP / PATIENT HOLDING</v>
          </cell>
          <cell r="K1380" t="str">
            <v>BMED</v>
          </cell>
          <cell r="L1380" t="str">
            <v>Normal</v>
          </cell>
          <cell r="M1380" t="str">
            <v>USA</v>
          </cell>
          <cell r="N1380" t="str">
            <v>Bair Hugger</v>
          </cell>
          <cell r="O1380" t="str">
            <v>Bair Hugger 775</v>
          </cell>
          <cell r="P1380" t="str">
            <v>35929</v>
          </cell>
          <cell r="Q1380" t="str">
            <v>Not Applicable</v>
          </cell>
          <cell r="R1380" t="str">
            <v>Arizant Healthcare Inc</v>
          </cell>
          <cell r="S1380" t="str">
            <v>Calmed Healthcare Sdn Bhd</v>
          </cell>
          <cell r="T1380" t="str">
            <v>Functioning</v>
          </cell>
          <cell r="U1380" t="str">
            <v>Asset</v>
          </cell>
          <cell r="V1380">
            <v>15515</v>
          </cell>
          <cell r="W1380" t="str">
            <v>KEW</v>
          </cell>
          <cell r="X1380" t="str">
            <v>01/09/2010</v>
          </cell>
          <cell r="Y1380" t="str">
            <v>KEW</v>
          </cell>
          <cell r="Z1380" t="str">
            <v>16/08/2013</v>
          </cell>
          <cell r="AA1380" t="str">
            <v>15/08/2015</v>
          </cell>
          <cell r="AB1380" t="str">
            <v>No</v>
          </cell>
          <cell r="AC1380" t="str">
            <v>31/08/2013</v>
          </cell>
          <cell r="AD1380" t="str">
            <v>Good</v>
          </cell>
          <cell r="AE1380" t="str">
            <v>V1 - Existing / No Claim</v>
          </cell>
          <cell r="AF1380">
            <v>42802</v>
          </cell>
          <cell r="AG1380">
            <v>9.17</v>
          </cell>
          <cell r="AH1380" t="str">
            <v>PPM</v>
          </cell>
          <cell r="AI1380" t="str">
            <v>Strands</v>
          </cell>
          <cell r="AJ1380" t="str">
            <v>Strands PW</v>
          </cell>
        </row>
        <row r="1381">
          <cell r="A1381" t="str">
            <v>IKN401059</v>
          </cell>
          <cell r="B1381">
            <v>1057</v>
          </cell>
          <cell r="C1381" t="str">
            <v>Institut Kanser Negara</v>
          </cell>
          <cell r="D1381" t="str">
            <v>KKM/IKN/H/13/162</v>
          </cell>
          <cell r="E1381" t="str">
            <v>12-647</v>
          </cell>
          <cell r="F1381" t="str">
            <v>Physiologic Monitoring Systems, Acute Care</v>
          </cell>
          <cell r="G1381" t="str">
            <v>OT</v>
          </cell>
          <cell r="H1381" t="str">
            <v>OPERATING THEATRE</v>
          </cell>
          <cell r="I1381" t="str">
            <v>05OT128</v>
          </cell>
          <cell r="J1381" t="str">
            <v>PRE-OP / PATIENT HOLDING</v>
          </cell>
          <cell r="K1381" t="str">
            <v>BMED</v>
          </cell>
          <cell r="L1381" t="str">
            <v>Critical</v>
          </cell>
          <cell r="M1381" t="str">
            <v>USA</v>
          </cell>
          <cell r="N1381" t="str">
            <v>GE</v>
          </cell>
          <cell r="O1381" t="str">
            <v>GE B30</v>
          </cell>
          <cell r="P1381" t="str">
            <v>SF312325905WA</v>
          </cell>
          <cell r="Q1381" t="str">
            <v>Not Applicable</v>
          </cell>
          <cell r="R1381" t="str">
            <v>GE Healthcare Systems</v>
          </cell>
          <cell r="S1381" t="str">
            <v>GE Healthcare Technologies</v>
          </cell>
          <cell r="T1381" t="str">
            <v>Functioning</v>
          </cell>
          <cell r="U1381" t="str">
            <v>Asset</v>
          </cell>
          <cell r="V1381">
            <v>44510</v>
          </cell>
          <cell r="W1381" t="str">
            <v>KEW</v>
          </cell>
          <cell r="X1381" t="str">
            <v>01/09/2010</v>
          </cell>
          <cell r="Y1381" t="str">
            <v>KEW</v>
          </cell>
          <cell r="Z1381" t="str">
            <v>16/08/2013</v>
          </cell>
          <cell r="AA1381" t="str">
            <v>15/08/2015</v>
          </cell>
          <cell r="AB1381" t="str">
            <v>No</v>
          </cell>
          <cell r="AC1381" t="str">
            <v>31/08/2013</v>
          </cell>
          <cell r="AD1381" t="str">
            <v>Good</v>
          </cell>
          <cell r="AE1381" t="str">
            <v>V1 - Existing / No Claim</v>
          </cell>
          <cell r="AF1381">
            <v>42802</v>
          </cell>
          <cell r="AG1381">
            <v>9.17</v>
          </cell>
          <cell r="AH1381" t="str">
            <v>PPM</v>
          </cell>
          <cell r="AI1381" t="str">
            <v>Strands</v>
          </cell>
          <cell r="AJ1381" t="str">
            <v>Strands PW</v>
          </cell>
        </row>
        <row r="1382">
          <cell r="A1382" t="str">
            <v>IKN401060</v>
          </cell>
          <cell r="B1382">
            <v>1058</v>
          </cell>
          <cell r="C1382" t="str">
            <v>Institut Kanser Negara</v>
          </cell>
          <cell r="D1382" t="str">
            <v>KKM/IKN/H/13/4324</v>
          </cell>
          <cell r="E1382" t="str">
            <v>12-647</v>
          </cell>
          <cell r="F1382" t="str">
            <v>Physiologic Monitoring Systems, Acute Care</v>
          </cell>
          <cell r="G1382" t="str">
            <v>OT</v>
          </cell>
          <cell r="H1382" t="str">
            <v>OPERATING THEATRE</v>
          </cell>
          <cell r="I1382" t="str">
            <v>05OT128</v>
          </cell>
          <cell r="J1382" t="str">
            <v>PRE-OP / PATIENT HOLDING</v>
          </cell>
          <cell r="K1382" t="str">
            <v>BMED</v>
          </cell>
          <cell r="L1382" t="str">
            <v>Critical</v>
          </cell>
          <cell r="M1382" t="str">
            <v>USA</v>
          </cell>
          <cell r="N1382" t="str">
            <v>GE</v>
          </cell>
          <cell r="O1382" t="str">
            <v>GE B30</v>
          </cell>
          <cell r="P1382" t="str">
            <v>SF312325910WA</v>
          </cell>
          <cell r="Q1382" t="str">
            <v>Not Applicable</v>
          </cell>
          <cell r="R1382" t="str">
            <v>GE Healthcare Systems</v>
          </cell>
          <cell r="S1382" t="str">
            <v>GE Healthcare Technologies</v>
          </cell>
          <cell r="T1382" t="str">
            <v>Functioning</v>
          </cell>
          <cell r="U1382" t="str">
            <v>Asset</v>
          </cell>
          <cell r="V1382">
            <v>44510</v>
          </cell>
          <cell r="W1382" t="str">
            <v>KEW</v>
          </cell>
          <cell r="X1382" t="str">
            <v>01/09/2010</v>
          </cell>
          <cell r="Y1382" t="str">
            <v>KEW</v>
          </cell>
          <cell r="Z1382" t="str">
            <v>16/08/2013</v>
          </cell>
          <cell r="AA1382" t="str">
            <v>15/08/2015</v>
          </cell>
          <cell r="AB1382" t="str">
            <v>No</v>
          </cell>
          <cell r="AC1382" t="str">
            <v>31/08/2013</v>
          </cell>
          <cell r="AD1382" t="str">
            <v>Good</v>
          </cell>
          <cell r="AE1382" t="str">
            <v>V1 - Existing / No Claim</v>
          </cell>
          <cell r="AF1382">
            <v>42802</v>
          </cell>
          <cell r="AG1382">
            <v>9.17</v>
          </cell>
          <cell r="AH1382" t="str">
            <v>PPM</v>
          </cell>
          <cell r="AI1382" t="str">
            <v>Strands</v>
          </cell>
          <cell r="AJ1382" t="str">
            <v>Strands PW</v>
          </cell>
        </row>
        <row r="1383">
          <cell r="A1383" t="str">
            <v>IKN401061</v>
          </cell>
          <cell r="B1383">
            <v>1059</v>
          </cell>
          <cell r="C1383" t="str">
            <v>Institut Kanser Negara</v>
          </cell>
          <cell r="D1383" t="str">
            <v>KKM/IKN/H/13/3772</v>
          </cell>
          <cell r="E1383" t="str">
            <v>13-782</v>
          </cell>
          <cell r="F1383" t="str">
            <v>Stimulators, Electrical, Peripheral Nerve, Analgesic, Transc</v>
          </cell>
          <cell r="G1383" t="str">
            <v>OT</v>
          </cell>
          <cell r="H1383" t="str">
            <v>OPERATING THEATRE</v>
          </cell>
          <cell r="I1383" t="str">
            <v>05OT123</v>
          </cell>
          <cell r="J1383" t="str">
            <v>0T 1</v>
          </cell>
          <cell r="K1383" t="str">
            <v>BMED</v>
          </cell>
          <cell r="L1383" t="str">
            <v>Normal</v>
          </cell>
          <cell r="M1383" t="str">
            <v>Germany</v>
          </cell>
          <cell r="N1383" t="str">
            <v>Stimuplex</v>
          </cell>
          <cell r="O1383" t="str">
            <v>Stimuplex HNS 12</v>
          </cell>
          <cell r="P1383" t="str">
            <v>16/0745</v>
          </cell>
          <cell r="Q1383" t="str">
            <v>Not Applicable</v>
          </cell>
          <cell r="R1383" t="str">
            <v>B Braun Melsungen AG</v>
          </cell>
          <cell r="S1383" t="str">
            <v>B Braun Medical Supplies Sdn. Bhd.</v>
          </cell>
          <cell r="T1383" t="str">
            <v>Functioning</v>
          </cell>
          <cell r="U1383" t="str">
            <v>Asset</v>
          </cell>
          <cell r="V1383">
            <v>6570</v>
          </cell>
          <cell r="W1383" t="str">
            <v>KEW</v>
          </cell>
          <cell r="X1383" t="str">
            <v>01/09/2010</v>
          </cell>
          <cell r="Y1383" t="str">
            <v>KEW</v>
          </cell>
          <cell r="Z1383" t="str">
            <v>16/08/2013</v>
          </cell>
          <cell r="AA1383" t="str">
            <v>15/08/2015</v>
          </cell>
          <cell r="AB1383" t="str">
            <v>No</v>
          </cell>
          <cell r="AC1383" t="str">
            <v>31/08/2013</v>
          </cell>
          <cell r="AD1383" t="str">
            <v>Good</v>
          </cell>
          <cell r="AE1383" t="str">
            <v>V1 - Existing / No Claim</v>
          </cell>
          <cell r="AF1383">
            <v>42235</v>
          </cell>
          <cell r="AG1383">
            <v>9.17</v>
          </cell>
          <cell r="AH1383" t="str">
            <v>PPM</v>
          </cell>
          <cell r="AI1383" t="str">
            <v>Strands</v>
          </cell>
          <cell r="AJ1383" t="str">
            <v>Strands PW</v>
          </cell>
        </row>
        <row r="1384">
          <cell r="A1384" t="str">
            <v>IKN401068</v>
          </cell>
          <cell r="B1384">
            <v>1066</v>
          </cell>
          <cell r="C1384" t="str">
            <v>Institut Kanser Negara</v>
          </cell>
          <cell r="D1384" t="str">
            <v>KKM/IKN/H/13/3790</v>
          </cell>
          <cell r="E1384" t="str">
            <v>10-208</v>
          </cell>
          <cell r="F1384" t="str">
            <v>Aspirators</v>
          </cell>
          <cell r="G1384" t="str">
            <v>OT</v>
          </cell>
          <cell r="H1384" t="str">
            <v>OPERATING THEATRE</v>
          </cell>
          <cell r="I1384" t="str">
            <v>05OT169</v>
          </cell>
          <cell r="J1384" t="str">
            <v>EQ. ROOM</v>
          </cell>
          <cell r="K1384" t="str">
            <v>BMED</v>
          </cell>
          <cell r="L1384" t="str">
            <v>Normal</v>
          </cell>
          <cell r="M1384" t="str">
            <v>UK</v>
          </cell>
          <cell r="N1384" t="str">
            <v>SAM</v>
          </cell>
          <cell r="O1384" t="str">
            <v>SAM 427</v>
          </cell>
          <cell r="P1384" t="str">
            <v>0313-0534</v>
          </cell>
          <cell r="Q1384" t="str">
            <v>Not Applicable</v>
          </cell>
          <cell r="R1384" t="str">
            <v>MG Electric Ltd</v>
          </cell>
          <cell r="S1384" t="str">
            <v>Delta Medisains</v>
          </cell>
          <cell r="T1384" t="str">
            <v>Functioning</v>
          </cell>
          <cell r="U1384" t="str">
            <v>Asset</v>
          </cell>
          <cell r="V1384">
            <v>10705</v>
          </cell>
          <cell r="W1384" t="str">
            <v>KEW</v>
          </cell>
          <cell r="X1384" t="str">
            <v>01/09/2010</v>
          </cell>
          <cell r="Y1384" t="str">
            <v>KEW</v>
          </cell>
          <cell r="Z1384" t="str">
            <v>16/08/2013</v>
          </cell>
          <cell r="AA1384" t="str">
            <v>15/08/2015</v>
          </cell>
          <cell r="AB1384" t="str">
            <v>No</v>
          </cell>
          <cell r="AC1384" t="str">
            <v>31/08/2013</v>
          </cell>
          <cell r="AD1384" t="str">
            <v>Good</v>
          </cell>
          <cell r="AE1384" t="str">
            <v>V1 - Existing / No Claim</v>
          </cell>
          <cell r="AF1384">
            <v>42235</v>
          </cell>
          <cell r="AG1384">
            <v>9.17</v>
          </cell>
          <cell r="AH1384" t="str">
            <v>PPM</v>
          </cell>
          <cell r="AI1384" t="str">
            <v>Strands</v>
          </cell>
          <cell r="AJ1384" t="str">
            <v>Strands PW</v>
          </cell>
        </row>
        <row r="1385">
          <cell r="A1385" t="str">
            <v>IKN401069</v>
          </cell>
          <cell r="B1385">
            <v>1067</v>
          </cell>
          <cell r="C1385" t="str">
            <v>Institut Kanser Negara</v>
          </cell>
          <cell r="D1385" t="str">
            <v>KKM/IKN/H/13/5019</v>
          </cell>
          <cell r="E1385" t="str">
            <v>16-173</v>
          </cell>
          <cell r="F1385" t="str">
            <v>Sphygmomanometers, Electronic, Automatic</v>
          </cell>
          <cell r="G1385" t="str">
            <v>OT</v>
          </cell>
          <cell r="H1385" t="str">
            <v>OPERATING THEATRE</v>
          </cell>
          <cell r="I1385" t="str">
            <v>05OT150</v>
          </cell>
          <cell r="J1385" t="str">
            <v>RECEPTION STAFF BASE</v>
          </cell>
          <cell r="K1385" t="str">
            <v>BMED</v>
          </cell>
          <cell r="L1385" t="str">
            <v>Normal</v>
          </cell>
          <cell r="M1385" t="str">
            <v>USA</v>
          </cell>
          <cell r="N1385" t="str">
            <v>Connex</v>
          </cell>
          <cell r="O1385" t="str">
            <v>Connex ProBP 3400</v>
          </cell>
          <cell r="P1385" t="str">
            <v>100002010413</v>
          </cell>
          <cell r="Q1385" t="str">
            <v>Not Applicable</v>
          </cell>
          <cell r="R1385" t="str">
            <v>Welch Allyn Inc</v>
          </cell>
          <cell r="S1385" t="str">
            <v>Welch Allyn Malaysia Sdn Bhd</v>
          </cell>
          <cell r="T1385" t="str">
            <v>Functioning</v>
          </cell>
          <cell r="U1385" t="str">
            <v>Asset</v>
          </cell>
          <cell r="V1385">
            <v>336</v>
          </cell>
          <cell r="W1385" t="str">
            <v>KEW</v>
          </cell>
          <cell r="X1385" t="str">
            <v>01/09/2010</v>
          </cell>
          <cell r="Y1385" t="str">
            <v>KEW</v>
          </cell>
          <cell r="Z1385" t="str">
            <v>16/08/2013</v>
          </cell>
          <cell r="AA1385" t="str">
            <v>15/08/2015</v>
          </cell>
          <cell r="AB1385" t="str">
            <v>No</v>
          </cell>
          <cell r="AC1385" t="str">
            <v>31/08/2013</v>
          </cell>
          <cell r="AD1385" t="str">
            <v>Good</v>
          </cell>
          <cell r="AE1385" t="str">
            <v>V1 - Existing / No Claim</v>
          </cell>
          <cell r="AF1385">
            <v>42235</v>
          </cell>
          <cell r="AG1385">
            <v>9.17</v>
          </cell>
          <cell r="AH1385" t="str">
            <v>PPM</v>
          </cell>
          <cell r="AI1385" t="str">
            <v>Strands</v>
          </cell>
          <cell r="AJ1385" t="str">
            <v>Strands PW</v>
          </cell>
        </row>
        <row r="1386">
          <cell r="A1386" t="str">
            <v>IKN401078</v>
          </cell>
          <cell r="B1386">
            <v>1076</v>
          </cell>
          <cell r="C1386" t="str">
            <v>Institut Kanser Negara</v>
          </cell>
          <cell r="D1386" t="str">
            <v>KKM/IKN/H/13/5129</v>
          </cell>
          <cell r="E1386" t="str">
            <v>12-282</v>
          </cell>
          <cell r="F1386" t="str">
            <v>Lights, Surgical</v>
          </cell>
          <cell r="G1386" t="str">
            <v>OT</v>
          </cell>
          <cell r="H1386" t="str">
            <v>OPERATING THEATRE</v>
          </cell>
          <cell r="I1386" t="str">
            <v>05OT123</v>
          </cell>
          <cell r="J1386" t="str">
            <v>0T 1</v>
          </cell>
          <cell r="K1386" t="str">
            <v>BMED</v>
          </cell>
          <cell r="L1386" t="str">
            <v>Critical</v>
          </cell>
          <cell r="M1386" t="str">
            <v>Germany</v>
          </cell>
          <cell r="N1386" t="str">
            <v>Trumpf</v>
          </cell>
          <cell r="O1386" t="str">
            <v>Trumpf iLED</v>
          </cell>
          <cell r="P1386" t="str">
            <v>101613546</v>
          </cell>
          <cell r="Q1386" t="str">
            <v>Not Applicable</v>
          </cell>
          <cell r="R1386" t="str">
            <v>Trumpf</v>
          </cell>
          <cell r="S1386" t="str">
            <v>MALAYSIAN HEALTHCARE SDN BHD</v>
          </cell>
          <cell r="T1386" t="str">
            <v>Functioning</v>
          </cell>
          <cell r="U1386" t="str">
            <v>Asset</v>
          </cell>
          <cell r="V1386">
            <v>153575</v>
          </cell>
          <cell r="W1386" t="str">
            <v>Estimate</v>
          </cell>
          <cell r="X1386" t="str">
            <v>01/09/2010</v>
          </cell>
          <cell r="Y1386" t="str">
            <v>KEW</v>
          </cell>
          <cell r="Z1386" t="str">
            <v>16/08/2013</v>
          </cell>
          <cell r="AA1386" t="str">
            <v>15/08/2015</v>
          </cell>
          <cell r="AB1386" t="str">
            <v>No</v>
          </cell>
          <cell r="AC1386" t="str">
            <v>31/08/2013</v>
          </cell>
          <cell r="AD1386" t="str">
            <v>Good</v>
          </cell>
          <cell r="AE1386" t="str">
            <v>V1 - Existing / No Claim</v>
          </cell>
          <cell r="AF1386">
            <v>42795</v>
          </cell>
          <cell r="AG1386">
            <v>9.17</v>
          </cell>
          <cell r="AH1386" t="str">
            <v>PPM</v>
          </cell>
          <cell r="AI1386" t="str">
            <v>Strands</v>
          </cell>
          <cell r="AJ1386" t="str">
            <v>Strands PW F</v>
          </cell>
          <cell r="AK1386" t="str">
            <v>[1/3/2024, SHARIFAH]: Fees sekali dengan KKM/IKN/H/13/5129 (RM240,575) - IKN401079, IKN401080</v>
          </cell>
        </row>
        <row r="1387">
          <cell r="A1387" t="str">
            <v>IKN401079</v>
          </cell>
          <cell r="B1387">
            <v>1077</v>
          </cell>
          <cell r="C1387" t="str">
            <v>Institut Kanser Negara</v>
          </cell>
          <cell r="D1387" t="e">
            <v>#N/A</v>
          </cell>
          <cell r="E1387" t="str">
            <v>12-282</v>
          </cell>
          <cell r="F1387" t="str">
            <v>Lights, Surgical</v>
          </cell>
          <cell r="G1387" t="str">
            <v>OT</v>
          </cell>
          <cell r="H1387" t="str">
            <v>OPERATING THEATRE</v>
          </cell>
          <cell r="I1387" t="str">
            <v>05OT123</v>
          </cell>
          <cell r="J1387" t="str">
            <v>0T 1</v>
          </cell>
          <cell r="K1387" t="str">
            <v>BMED</v>
          </cell>
          <cell r="L1387" t="str">
            <v>Critical</v>
          </cell>
          <cell r="M1387" t="str">
            <v>Germany</v>
          </cell>
          <cell r="N1387" t="str">
            <v>Trumpf</v>
          </cell>
          <cell r="O1387" t="str">
            <v>Trumpf iLED</v>
          </cell>
          <cell r="P1387" t="str">
            <v>101608451</v>
          </cell>
          <cell r="Q1387" t="str">
            <v>Not Applicable</v>
          </cell>
          <cell r="R1387" t="str">
            <v>Trumpf</v>
          </cell>
          <cell r="S1387" t="str">
            <v>MALAYSIAN HEALTHCARE SDN BHD</v>
          </cell>
          <cell r="T1387" t="str">
            <v>Functioning</v>
          </cell>
          <cell r="U1387" t="str">
            <v>Asset</v>
          </cell>
          <cell r="V1387">
            <v>80000</v>
          </cell>
          <cell r="W1387" t="str">
            <v>Estimate</v>
          </cell>
          <cell r="X1387" t="str">
            <v>01/09/2010</v>
          </cell>
          <cell r="Y1387" t="str">
            <v>KEW</v>
          </cell>
          <cell r="Z1387" t="str">
            <v>16/08/2013</v>
          </cell>
          <cell r="AA1387" t="str">
            <v>15/08/2015</v>
          </cell>
          <cell r="AB1387" t="str">
            <v>No</v>
          </cell>
          <cell r="AC1387" t="str">
            <v>31/08/2013</v>
          </cell>
          <cell r="AD1387" t="str">
            <v>Good</v>
          </cell>
          <cell r="AE1387" t="str">
            <v>V1 - Existing / No Claim</v>
          </cell>
          <cell r="AF1387">
            <v>42795</v>
          </cell>
          <cell r="AG1387">
            <v>9.17</v>
          </cell>
          <cell r="AH1387" t="str">
            <v>PPM</v>
          </cell>
          <cell r="AI1387" t="str">
            <v>Strands-accessories</v>
          </cell>
          <cell r="AJ1387" t="str">
            <v>Strands PW F</v>
          </cell>
          <cell r="AK1387" t="str">
            <v>CUBA CHECK KEWPA. [1/3/2024, SHARIFAH]: Fees sekali dengan KKM/IKN/H/13/5129 (RM240,575) - IKN401078, IKN401080</v>
          </cell>
        </row>
        <row r="1388">
          <cell r="A1388" t="str">
            <v>IKN401080</v>
          </cell>
          <cell r="B1388">
            <v>1078</v>
          </cell>
          <cell r="C1388" t="str">
            <v>Institut Kanser Negara</v>
          </cell>
          <cell r="D1388" t="str">
            <v>KKM/IKN/H/13/5129</v>
          </cell>
          <cell r="E1388" t="str">
            <v>16-603</v>
          </cell>
          <cell r="F1388" t="str">
            <v>Television Monitors</v>
          </cell>
          <cell r="G1388" t="str">
            <v>OT</v>
          </cell>
          <cell r="H1388" t="str">
            <v>OPERATING THEATRE</v>
          </cell>
          <cell r="I1388" t="str">
            <v>05OT120</v>
          </cell>
          <cell r="J1388" t="str">
            <v>OT 2</v>
          </cell>
          <cell r="K1388" t="str">
            <v>BMED</v>
          </cell>
          <cell r="L1388" t="str">
            <v>Normal</v>
          </cell>
          <cell r="M1388" t="str">
            <v>Japan</v>
          </cell>
          <cell r="N1388" t="str">
            <v>Sony</v>
          </cell>
          <cell r="O1388" t="str">
            <v>Sony LMD-2110MD</v>
          </cell>
          <cell r="P1388" t="str">
            <v>3100846</v>
          </cell>
          <cell r="Q1388" t="str">
            <v>Not Applicable</v>
          </cell>
          <cell r="R1388" t="str">
            <v>Sony Corp</v>
          </cell>
          <cell r="S1388" t="str">
            <v>MALAYSIAN HEALTHCARE SDN BHD</v>
          </cell>
          <cell r="T1388" t="str">
            <v>Functioning</v>
          </cell>
          <cell r="U1388" t="str">
            <v>Asset</v>
          </cell>
          <cell r="V1388">
            <v>7000</v>
          </cell>
          <cell r="W1388" t="str">
            <v>KEW</v>
          </cell>
          <cell r="X1388" t="str">
            <v>01/09/2010</v>
          </cell>
          <cell r="Y1388" t="str">
            <v>KEW</v>
          </cell>
          <cell r="Z1388" t="str">
            <v>16/08/2013</v>
          </cell>
          <cell r="AA1388" t="str">
            <v>15/08/2015</v>
          </cell>
          <cell r="AB1388" t="str">
            <v>No</v>
          </cell>
          <cell r="AC1388" t="str">
            <v>31/08/2013</v>
          </cell>
          <cell r="AD1388" t="str">
            <v>Good</v>
          </cell>
          <cell r="AE1388" t="str">
            <v>V1 - Existing / No Claim</v>
          </cell>
          <cell r="AF1388">
            <v>42622</v>
          </cell>
          <cell r="AG1388">
            <v>9.17</v>
          </cell>
          <cell r="AH1388" t="str">
            <v>RI</v>
          </cell>
          <cell r="AI1388" t="str">
            <v>package</v>
          </cell>
          <cell r="AJ1388" t="str">
            <v>Strands PW F</v>
          </cell>
          <cell r="AK1388" t="str">
            <v>[1/3/2024, SHARIFAH]: Fees sekali dengan KKM/IKN/H/13/5129 (RM240,575) - IKN401079, IKN401078</v>
          </cell>
        </row>
        <row r="1389">
          <cell r="A1389" t="str">
            <v>IKN401081</v>
          </cell>
          <cell r="B1389">
            <v>1079</v>
          </cell>
          <cell r="C1389" t="str">
            <v>Institut Kanser Negara</v>
          </cell>
          <cell r="D1389" t="str">
            <v>KKM/IKN/H/13/5130</v>
          </cell>
          <cell r="E1389" t="str">
            <v>12-282</v>
          </cell>
          <cell r="F1389" t="str">
            <v>Lights, Surgical</v>
          </cell>
          <cell r="G1389" t="str">
            <v>OT</v>
          </cell>
          <cell r="H1389" t="str">
            <v>OPERATING THEATRE</v>
          </cell>
          <cell r="I1389" t="str">
            <v>05OT120</v>
          </cell>
          <cell r="J1389" t="str">
            <v>OT 2</v>
          </cell>
          <cell r="K1389" t="str">
            <v>BMED</v>
          </cell>
          <cell r="L1389" t="str">
            <v>Critical</v>
          </cell>
          <cell r="M1389" t="str">
            <v>Germany</v>
          </cell>
          <cell r="N1389" t="str">
            <v>Trumpf</v>
          </cell>
          <cell r="O1389" t="str">
            <v>Trumpf iLED</v>
          </cell>
          <cell r="P1389" t="str">
            <v>101612594</v>
          </cell>
          <cell r="Q1389" t="str">
            <v>Not Applicable</v>
          </cell>
          <cell r="R1389" t="str">
            <v>Trumpf</v>
          </cell>
          <cell r="S1389" t="str">
            <v>MALAYSIAN HEALTHCARE SDN BHD</v>
          </cell>
          <cell r="T1389" t="str">
            <v>Functioning</v>
          </cell>
          <cell r="U1389" t="str">
            <v>Asset</v>
          </cell>
          <cell r="V1389">
            <v>153575</v>
          </cell>
          <cell r="W1389" t="str">
            <v>Estimate</v>
          </cell>
          <cell r="X1389" t="str">
            <v>01/09/2010</v>
          </cell>
          <cell r="Y1389" t="str">
            <v>KEW</v>
          </cell>
          <cell r="Z1389" t="str">
            <v>16/08/2013</v>
          </cell>
          <cell r="AA1389" t="str">
            <v>15/08/2015</v>
          </cell>
          <cell r="AB1389" t="str">
            <v>No</v>
          </cell>
          <cell r="AC1389" t="str">
            <v>31/08/2013</v>
          </cell>
          <cell r="AD1389" t="str">
            <v>Good</v>
          </cell>
          <cell r="AE1389" t="str">
            <v>V1 - Existing / No Claim</v>
          </cell>
          <cell r="AF1389">
            <v>42795</v>
          </cell>
          <cell r="AG1389">
            <v>9.17</v>
          </cell>
          <cell r="AH1389" t="str">
            <v>PPM</v>
          </cell>
          <cell r="AI1389" t="str">
            <v>Strands</v>
          </cell>
          <cell r="AJ1389" t="str">
            <v>Strands PW F</v>
          </cell>
          <cell r="AK1389" t="str">
            <v>[1/3/2024, SHARIFAH]: Fees sekali dengan KKM/IKN/H/13/5130 (RM240,575) - IKN401082, IKN401083</v>
          </cell>
        </row>
        <row r="1390">
          <cell r="A1390" t="str">
            <v>IKN401082</v>
          </cell>
          <cell r="B1390">
            <v>1080</v>
          </cell>
          <cell r="C1390" t="str">
            <v>Institut Kanser Negara</v>
          </cell>
          <cell r="D1390" t="e">
            <v>#N/A</v>
          </cell>
          <cell r="E1390" t="str">
            <v>12-282</v>
          </cell>
          <cell r="F1390" t="str">
            <v>Lights, Surgical</v>
          </cell>
          <cell r="G1390" t="str">
            <v>OT</v>
          </cell>
          <cell r="H1390" t="str">
            <v>OPERATING THEATRE</v>
          </cell>
          <cell r="I1390" t="str">
            <v>05OT120</v>
          </cell>
          <cell r="J1390" t="str">
            <v>OT 2</v>
          </cell>
          <cell r="K1390" t="str">
            <v>BMED</v>
          </cell>
          <cell r="L1390" t="str">
            <v>Critical</v>
          </cell>
          <cell r="M1390" t="str">
            <v>Germany</v>
          </cell>
          <cell r="N1390" t="str">
            <v>Trumpf</v>
          </cell>
          <cell r="O1390" t="str">
            <v>Trumpf iLED</v>
          </cell>
          <cell r="P1390" t="str">
            <v>101611222</v>
          </cell>
          <cell r="Q1390" t="str">
            <v>Not Applicable</v>
          </cell>
          <cell r="R1390" t="str">
            <v>Trumpf</v>
          </cell>
          <cell r="S1390" t="str">
            <v>MALAYSIAN HEALTHCARE SDN BHD</v>
          </cell>
          <cell r="T1390" t="str">
            <v>Functioning</v>
          </cell>
          <cell r="U1390" t="str">
            <v>Asset</v>
          </cell>
          <cell r="V1390">
            <v>80000</v>
          </cell>
          <cell r="W1390" t="str">
            <v>KEW</v>
          </cell>
          <cell r="X1390" t="str">
            <v>01/09/2010</v>
          </cell>
          <cell r="Y1390" t="str">
            <v>KEW</v>
          </cell>
          <cell r="Z1390" t="str">
            <v>16/08/2013</v>
          </cell>
          <cell r="AA1390" t="str">
            <v>15/08/2015</v>
          </cell>
          <cell r="AB1390" t="str">
            <v>No</v>
          </cell>
          <cell r="AC1390" t="str">
            <v>31/08/2013</v>
          </cell>
          <cell r="AD1390" t="str">
            <v>Good</v>
          </cell>
          <cell r="AE1390" t="str">
            <v>V1 - Existing / No Claim</v>
          </cell>
          <cell r="AF1390">
            <v>42795</v>
          </cell>
          <cell r="AG1390">
            <v>9.17</v>
          </cell>
          <cell r="AH1390" t="str">
            <v>PPM</v>
          </cell>
          <cell r="AI1390" t="str">
            <v>Strands-accessories</v>
          </cell>
          <cell r="AJ1390" t="str">
            <v>Strands PW F</v>
          </cell>
          <cell r="AK1390" t="str">
            <v>CUBA CHECK KEWPA [1/3/2024, SHARIFAH]: Fees sekali dengan KKM/IKN/H/13/5130 (RM240,575) - IKN401081, IKN401083</v>
          </cell>
        </row>
        <row r="1391">
          <cell r="A1391" t="str">
            <v>IKN401083</v>
          </cell>
          <cell r="B1391">
            <v>1081</v>
          </cell>
          <cell r="C1391" t="str">
            <v>Institut Kanser Negara</v>
          </cell>
          <cell r="D1391" t="str">
            <v>KKM/IKN/H/13/5130</v>
          </cell>
          <cell r="E1391" t="str">
            <v>16-603</v>
          </cell>
          <cell r="F1391" t="str">
            <v>Television Monitors</v>
          </cell>
          <cell r="G1391" t="str">
            <v>OT</v>
          </cell>
          <cell r="H1391" t="str">
            <v>OPERATING THEATRE</v>
          </cell>
          <cell r="I1391" t="str">
            <v>05OT123</v>
          </cell>
          <cell r="J1391" t="str">
            <v>0T 1</v>
          </cell>
          <cell r="K1391" t="str">
            <v>BMED</v>
          </cell>
          <cell r="L1391" t="str">
            <v>Normal</v>
          </cell>
          <cell r="M1391" t="str">
            <v>Japan</v>
          </cell>
          <cell r="N1391" t="str">
            <v>Sony</v>
          </cell>
          <cell r="O1391" t="str">
            <v>Sony LMD-2110MD</v>
          </cell>
          <cell r="P1391" t="str">
            <v>3100832</v>
          </cell>
          <cell r="Q1391" t="str">
            <v>Not Applicable</v>
          </cell>
          <cell r="R1391" t="str">
            <v>Sony Corp</v>
          </cell>
          <cell r="S1391" t="str">
            <v>MALAYSIAN HEALTHCARE SDN BHD</v>
          </cell>
          <cell r="T1391" t="str">
            <v>Functioning</v>
          </cell>
          <cell r="U1391" t="str">
            <v>Asset</v>
          </cell>
          <cell r="V1391">
            <v>7000</v>
          </cell>
          <cell r="W1391" t="str">
            <v>Estimate</v>
          </cell>
          <cell r="X1391" t="str">
            <v>01/09/2010</v>
          </cell>
          <cell r="Y1391" t="str">
            <v>KEW</v>
          </cell>
          <cell r="Z1391" t="str">
            <v>16/08/2013</v>
          </cell>
          <cell r="AA1391" t="str">
            <v>15/08/2015</v>
          </cell>
          <cell r="AB1391" t="str">
            <v>No</v>
          </cell>
          <cell r="AC1391" t="str">
            <v>31/08/2013</v>
          </cell>
          <cell r="AD1391" t="str">
            <v>Good</v>
          </cell>
          <cell r="AE1391" t="str">
            <v>V1 - Existing / No Claim</v>
          </cell>
          <cell r="AF1391">
            <v>42622</v>
          </cell>
          <cell r="AG1391">
            <v>9.17</v>
          </cell>
          <cell r="AH1391" t="str">
            <v>RI</v>
          </cell>
          <cell r="AI1391" t="str">
            <v>Strands-accessories</v>
          </cell>
          <cell r="AJ1391" t="str">
            <v>Strands PW F</v>
          </cell>
          <cell r="AK1391" t="str">
            <v>[1/3/2024, SHARIFAH]: Fees sekali dengan KKM/IKN/H/13/5130 (RM240,575) - IKN401082, IKN401081</v>
          </cell>
        </row>
        <row r="1392">
          <cell r="A1392" t="str">
            <v>IKN401084</v>
          </cell>
          <cell r="B1392">
            <v>1082</v>
          </cell>
          <cell r="C1392" t="str">
            <v>Institut Kanser Negara</v>
          </cell>
          <cell r="D1392" t="str">
            <v>KKM/IKN/H/13/4548</v>
          </cell>
          <cell r="E1392" t="str">
            <v>10-208</v>
          </cell>
          <cell r="F1392" t="str">
            <v>Aspirators</v>
          </cell>
          <cell r="G1392" t="str">
            <v>AE</v>
          </cell>
          <cell r="H1392" t="str">
            <v>EMERGENCY UNIT</v>
          </cell>
          <cell r="I1392" t="str">
            <v>01AE108</v>
          </cell>
          <cell r="J1392" t="str">
            <v>TRIAGE</v>
          </cell>
          <cell r="K1392" t="str">
            <v>BMED</v>
          </cell>
          <cell r="L1392" t="str">
            <v>Critical</v>
          </cell>
          <cell r="M1392" t="str">
            <v>Italy</v>
          </cell>
          <cell r="N1392" t="str">
            <v>Boscarol</v>
          </cell>
          <cell r="O1392" t="str">
            <v>Boscarol OB2012</v>
          </cell>
          <cell r="P1392" t="str">
            <v>1101311488</v>
          </cell>
          <cell r="Q1392" t="str">
            <v>Not Applicable</v>
          </cell>
          <cell r="R1392" t="str">
            <v>Bascarol</v>
          </cell>
          <cell r="S1392" t="str">
            <v>Continental Top Products &amp; Engineering S</v>
          </cell>
          <cell r="T1392" t="str">
            <v>Functioning</v>
          </cell>
          <cell r="U1392" t="str">
            <v>Asset</v>
          </cell>
          <cell r="V1392">
            <v>3000</v>
          </cell>
          <cell r="W1392" t="str">
            <v>KEW</v>
          </cell>
          <cell r="X1392" t="str">
            <v>23/12/2013</v>
          </cell>
          <cell r="Y1392" t="str">
            <v>KEW</v>
          </cell>
          <cell r="Z1392" t="str">
            <v>23/12/2013</v>
          </cell>
          <cell r="AA1392" t="str">
            <v>22/12/2015</v>
          </cell>
          <cell r="AB1392" t="str">
            <v>No</v>
          </cell>
          <cell r="AC1392" t="str">
            <v>23/12/2013</v>
          </cell>
          <cell r="AD1392" t="str">
            <v>Good</v>
          </cell>
          <cell r="AE1392" t="str">
            <v>V3 - Added Installed Facilities (New)</v>
          </cell>
          <cell r="AF1392">
            <v>42800</v>
          </cell>
          <cell r="AG1392">
            <v>5.92</v>
          </cell>
          <cell r="AH1392" t="str">
            <v>PPM</v>
          </cell>
          <cell r="AI1392" t="str">
            <v>Strands</v>
          </cell>
          <cell r="AJ1392" t="str">
            <v>Strands PW</v>
          </cell>
          <cell r="AK1392" t="str">
            <v>SNF received. 1st batch of V3 asset (December 2020)</v>
          </cell>
        </row>
        <row r="1393">
          <cell r="A1393" t="str">
            <v>IKN401085</v>
          </cell>
          <cell r="B1393">
            <v>1083</v>
          </cell>
          <cell r="C1393" t="str">
            <v>Institut Kanser Negara</v>
          </cell>
          <cell r="D1393" t="str">
            <v>KKM/IKN/H/13/4546</v>
          </cell>
          <cell r="E1393" t="str">
            <v>12-647</v>
          </cell>
          <cell r="F1393" t="str">
            <v>Physiologic Monitoring Systems, Acute Care</v>
          </cell>
          <cell r="G1393" t="str">
            <v>AE</v>
          </cell>
          <cell r="H1393" t="str">
            <v>EMERGENCY UNIT</v>
          </cell>
          <cell r="I1393" t="str">
            <v>01AE108</v>
          </cell>
          <cell r="J1393" t="str">
            <v>TRIAGE</v>
          </cell>
          <cell r="K1393" t="str">
            <v>BMED</v>
          </cell>
          <cell r="L1393" t="str">
            <v>Critical</v>
          </cell>
          <cell r="M1393" t="str">
            <v>USA</v>
          </cell>
          <cell r="N1393" t="str">
            <v>Propaq</v>
          </cell>
          <cell r="O1393" t="str">
            <v>Propaq CS 242</v>
          </cell>
          <cell r="P1393" t="str">
            <v>GA117266</v>
          </cell>
          <cell r="Q1393" t="str">
            <v>Not Applicable</v>
          </cell>
          <cell r="R1393" t="str">
            <v>Welch Allyn Inc</v>
          </cell>
          <cell r="S1393" t="str">
            <v>Continental Top Products &amp; Engineering S</v>
          </cell>
          <cell r="T1393" t="str">
            <v>Functioning</v>
          </cell>
          <cell r="U1393" t="str">
            <v>Asset</v>
          </cell>
          <cell r="V1393">
            <v>22000</v>
          </cell>
          <cell r="W1393" t="str">
            <v>KEW</v>
          </cell>
          <cell r="X1393" t="str">
            <v>23/12/2013</v>
          </cell>
          <cell r="Y1393" t="str">
            <v>KEW</v>
          </cell>
          <cell r="Z1393" t="str">
            <v>23/12/2013</v>
          </cell>
          <cell r="AA1393" t="str">
            <v>22/12/2015</v>
          </cell>
          <cell r="AB1393" t="str">
            <v>No</v>
          </cell>
          <cell r="AC1393" t="str">
            <v>23/12/2013</v>
          </cell>
          <cell r="AD1393" t="str">
            <v>Good</v>
          </cell>
          <cell r="AE1393" t="str">
            <v>V3 - Added Installed Facilities (New)</v>
          </cell>
          <cell r="AF1393">
            <v>42800</v>
          </cell>
          <cell r="AG1393">
            <v>5.92</v>
          </cell>
          <cell r="AH1393" t="str">
            <v>PPM</v>
          </cell>
          <cell r="AI1393" t="str">
            <v>Strands</v>
          </cell>
          <cell r="AJ1393" t="str">
            <v>Strands PW</v>
          </cell>
          <cell r="AK1393" t="str">
            <v>SNF received. 1st batch of V3 asset (December 2020). [18/9/2023, SHARIFAH]: PEP ON 17/4/2023, BER/BEMS/IKN/23/009 - Asset masih berfungsi namun tidak dapat dibaiki sekiranya berlaku kerosakan pada komponen utama.</v>
          </cell>
        </row>
        <row r="1394">
          <cell r="A1394" t="str">
            <v>IKN401086</v>
          </cell>
          <cell r="B1394">
            <v>1084</v>
          </cell>
          <cell r="C1394" t="str">
            <v>Institut Kanser Negara</v>
          </cell>
          <cell r="D1394" t="str">
            <v>KKM/IKN/H/13/4549</v>
          </cell>
          <cell r="E1394" t="str">
            <v>10-208</v>
          </cell>
          <cell r="F1394" t="str">
            <v>Aspirators</v>
          </cell>
          <cell r="G1394" t="str">
            <v>AE</v>
          </cell>
          <cell r="H1394" t="str">
            <v>EMERGENCY UNIT</v>
          </cell>
          <cell r="I1394" t="str">
            <v>01AE108</v>
          </cell>
          <cell r="J1394" t="str">
            <v>TRIAGE</v>
          </cell>
          <cell r="K1394" t="str">
            <v>BMED</v>
          </cell>
          <cell r="L1394" t="str">
            <v>Critical</v>
          </cell>
          <cell r="M1394" t="str">
            <v>Italy</v>
          </cell>
          <cell r="N1394" t="str">
            <v>Boscarol</v>
          </cell>
          <cell r="O1394" t="str">
            <v>Boscarol OB2012</v>
          </cell>
          <cell r="P1394" t="str">
            <v>1101311473</v>
          </cell>
          <cell r="Q1394" t="str">
            <v>Not Applicable</v>
          </cell>
          <cell r="R1394" t="str">
            <v>Bascarol</v>
          </cell>
          <cell r="S1394" t="str">
            <v>Continental Top Products &amp; Engineering S</v>
          </cell>
          <cell r="T1394" t="str">
            <v>Functioning</v>
          </cell>
          <cell r="U1394" t="str">
            <v>Asset</v>
          </cell>
          <cell r="V1394">
            <v>3000</v>
          </cell>
          <cell r="W1394" t="str">
            <v>KEW</v>
          </cell>
          <cell r="X1394" t="str">
            <v>23/12/2013</v>
          </cell>
          <cell r="Y1394" t="str">
            <v>KEW</v>
          </cell>
          <cell r="Z1394" t="str">
            <v>23/12/2013</v>
          </cell>
          <cell r="AA1394" t="str">
            <v>22/12/2015</v>
          </cell>
          <cell r="AB1394" t="str">
            <v>No</v>
          </cell>
          <cell r="AC1394" t="str">
            <v>23/12/2013</v>
          </cell>
          <cell r="AD1394" t="str">
            <v>Good</v>
          </cell>
          <cell r="AE1394" t="str">
            <v>V3 - Added Installed Facilities (New)</v>
          </cell>
          <cell r="AF1394">
            <v>42800</v>
          </cell>
          <cell r="AG1394">
            <v>5.92</v>
          </cell>
          <cell r="AH1394" t="str">
            <v>PPM</v>
          </cell>
          <cell r="AI1394" t="str">
            <v>Strands</v>
          </cell>
          <cell r="AJ1394" t="str">
            <v>Strands PW</v>
          </cell>
          <cell r="AK1394" t="str">
            <v>SNF received. 1st batch of V3 asset (December 2020)</v>
          </cell>
        </row>
        <row r="1395">
          <cell r="A1395" t="str">
            <v>IKN401088</v>
          </cell>
          <cell r="B1395">
            <v>1086</v>
          </cell>
          <cell r="C1395" t="str">
            <v>Institut Kanser Negara</v>
          </cell>
          <cell r="D1395" t="str">
            <v>KKM/IKN/H/13/4547</v>
          </cell>
          <cell r="E1395" t="str">
            <v>10-208</v>
          </cell>
          <cell r="F1395" t="str">
            <v>Aspirators</v>
          </cell>
          <cell r="G1395" t="str">
            <v>AE</v>
          </cell>
          <cell r="H1395" t="str">
            <v>EMERGENCY UNIT</v>
          </cell>
          <cell r="I1395" t="str">
            <v>01AE108</v>
          </cell>
          <cell r="J1395" t="str">
            <v>TRIAGE</v>
          </cell>
          <cell r="K1395" t="str">
            <v>BMED</v>
          </cell>
          <cell r="L1395" t="str">
            <v>Critical</v>
          </cell>
          <cell r="M1395" t="str">
            <v>Italy</v>
          </cell>
          <cell r="N1395" t="str">
            <v>Boscarol</v>
          </cell>
          <cell r="O1395" t="str">
            <v>Boscarol OB2012</v>
          </cell>
          <cell r="P1395" t="str">
            <v>1101311498</v>
          </cell>
          <cell r="Q1395" t="str">
            <v>Not Applicable</v>
          </cell>
          <cell r="R1395" t="str">
            <v>Bascarol</v>
          </cell>
          <cell r="S1395" t="str">
            <v>Continental Top Products &amp; Engineering S</v>
          </cell>
          <cell r="T1395" t="str">
            <v>Functioning</v>
          </cell>
          <cell r="U1395" t="str">
            <v>Asset</v>
          </cell>
          <cell r="V1395">
            <v>3000</v>
          </cell>
          <cell r="W1395" t="str">
            <v>KEW</v>
          </cell>
          <cell r="X1395" t="str">
            <v>23/12/2013</v>
          </cell>
          <cell r="Y1395" t="str">
            <v>KEW</v>
          </cell>
          <cell r="Z1395" t="str">
            <v>23/12/2013</v>
          </cell>
          <cell r="AA1395" t="str">
            <v>22/12/2015</v>
          </cell>
          <cell r="AB1395" t="str">
            <v>No</v>
          </cell>
          <cell r="AC1395" t="str">
            <v>23/12/2013</v>
          </cell>
          <cell r="AD1395" t="str">
            <v>Good</v>
          </cell>
          <cell r="AE1395" t="str">
            <v>V3 - Added Installed Facilities (New)</v>
          </cell>
          <cell r="AF1395">
            <v>42800</v>
          </cell>
          <cell r="AG1395">
            <v>5.92</v>
          </cell>
          <cell r="AH1395" t="str">
            <v>PPM</v>
          </cell>
          <cell r="AI1395" t="str">
            <v>Strands</v>
          </cell>
          <cell r="AJ1395" t="str">
            <v>Strands PW</v>
          </cell>
          <cell r="AK1395" t="str">
            <v>SNF received. 1st batch of V3 asset (December 2020)</v>
          </cell>
        </row>
        <row r="1396">
          <cell r="A1396" t="str">
            <v>IKN401089</v>
          </cell>
          <cell r="B1396">
            <v>1087</v>
          </cell>
          <cell r="C1396" t="str">
            <v>Institut Kanser Negara</v>
          </cell>
          <cell r="D1396" t="str">
            <v>KKM/IKN/H/13/4544</v>
          </cell>
          <cell r="E1396" t="str">
            <v>12-647</v>
          </cell>
          <cell r="F1396" t="str">
            <v>Physiologic Monitoring Systems, Acute Care</v>
          </cell>
          <cell r="G1396" t="str">
            <v>AE</v>
          </cell>
          <cell r="H1396" t="str">
            <v>EMERGENCY UNIT</v>
          </cell>
          <cell r="I1396" t="str">
            <v>01AE108</v>
          </cell>
          <cell r="J1396" t="str">
            <v>TRIAGE</v>
          </cell>
          <cell r="K1396" t="str">
            <v>BMED</v>
          </cell>
          <cell r="L1396" t="str">
            <v>Critical</v>
          </cell>
          <cell r="M1396" t="str">
            <v>USA</v>
          </cell>
          <cell r="N1396" t="str">
            <v>Propaq</v>
          </cell>
          <cell r="O1396" t="str">
            <v>Propaq CS 242</v>
          </cell>
          <cell r="P1396" t="str">
            <v>GA117262</v>
          </cell>
          <cell r="Q1396" t="str">
            <v>Not Applicable</v>
          </cell>
          <cell r="R1396" t="str">
            <v>Welch Allyn Inc</v>
          </cell>
          <cell r="S1396" t="str">
            <v>Continental Top Products &amp; Engineering S</v>
          </cell>
          <cell r="T1396" t="str">
            <v>Functioning</v>
          </cell>
          <cell r="U1396" t="str">
            <v>Asset</v>
          </cell>
          <cell r="V1396">
            <v>22000</v>
          </cell>
          <cell r="W1396" t="str">
            <v>KEW</v>
          </cell>
          <cell r="X1396" t="str">
            <v>23/12/2013</v>
          </cell>
          <cell r="Y1396" t="str">
            <v>KEW</v>
          </cell>
          <cell r="Z1396" t="str">
            <v>23/12/2013</v>
          </cell>
          <cell r="AA1396" t="str">
            <v>22/12/2015</v>
          </cell>
          <cell r="AB1396" t="str">
            <v>No</v>
          </cell>
          <cell r="AC1396" t="str">
            <v>23/12/2013</v>
          </cell>
          <cell r="AD1396" t="str">
            <v>Good</v>
          </cell>
          <cell r="AE1396" t="str">
            <v>V3 - Added Installed Facilities (New)</v>
          </cell>
          <cell r="AF1396">
            <v>42800</v>
          </cell>
          <cell r="AG1396">
            <v>5.92</v>
          </cell>
          <cell r="AH1396" t="str">
            <v>PPM</v>
          </cell>
          <cell r="AI1396" t="str">
            <v>Strands</v>
          </cell>
          <cell r="AJ1396" t="str">
            <v>Strands PW</v>
          </cell>
          <cell r="AK1396" t="str">
            <v>SNF received. 1st batch of V3 asset (December 2020). [18/9/2023, SHARIFAH]: PEP ON 17/4/2023, BER/BEMS/IKN/23/011 - Asset mengalami kerosakan pada SPO2 Module, tetapi masih boleh digunakan namun tidak dapat dibaiki sekiranya berlaku kerosakan pada komponen utama.</v>
          </cell>
        </row>
        <row r="1397">
          <cell r="A1397" t="str">
            <v>IKN401091</v>
          </cell>
          <cell r="B1397">
            <v>1089</v>
          </cell>
          <cell r="C1397" t="str">
            <v>Institut Kanser Negara</v>
          </cell>
          <cell r="D1397" t="str">
            <v>KKM/IKN/H/13/3927</v>
          </cell>
          <cell r="E1397" t="str">
            <v>12-282</v>
          </cell>
          <cell r="F1397" t="str">
            <v>Lights, Surgical</v>
          </cell>
          <cell r="G1397" t="str">
            <v>NM</v>
          </cell>
          <cell r="H1397" t="str">
            <v>NUCLEAR MED (DIAGNOSTIC)</v>
          </cell>
          <cell r="I1397" t="str">
            <v>03NM108</v>
          </cell>
          <cell r="J1397" t="str">
            <v>TREATMENT 1 (RAI)(VE)</v>
          </cell>
          <cell r="K1397" t="str">
            <v>BMED</v>
          </cell>
          <cell r="L1397" t="str">
            <v>Normal</v>
          </cell>
          <cell r="M1397" t="str">
            <v>USA</v>
          </cell>
          <cell r="N1397" t="str">
            <v>Welch Allyn</v>
          </cell>
          <cell r="O1397" t="str">
            <v>Welch Allyn GS900</v>
          </cell>
          <cell r="P1397" t="str">
            <v>10043011102370</v>
          </cell>
          <cell r="Q1397" t="str">
            <v>Not Applicable</v>
          </cell>
          <cell r="R1397" t="str">
            <v>Welch Allyn Inc</v>
          </cell>
          <cell r="S1397" t="str">
            <v>Welch Allyn Malaysia Sdn Bhd</v>
          </cell>
          <cell r="T1397" t="str">
            <v>Functioning</v>
          </cell>
          <cell r="U1397" t="str">
            <v>Asset</v>
          </cell>
          <cell r="V1397">
            <v>10585</v>
          </cell>
          <cell r="W1397" t="str">
            <v>KEW</v>
          </cell>
          <cell r="X1397" t="str">
            <v>01/09/2010</v>
          </cell>
          <cell r="Y1397" t="str">
            <v>KEW</v>
          </cell>
          <cell r="Z1397" t="str">
            <v>16/08/2013</v>
          </cell>
          <cell r="AA1397" t="str">
            <v>15/08/2015</v>
          </cell>
          <cell r="AB1397" t="str">
            <v>No</v>
          </cell>
          <cell r="AC1397" t="str">
            <v>31/08/2013</v>
          </cell>
          <cell r="AD1397" t="str">
            <v>Good</v>
          </cell>
          <cell r="AE1397" t="str">
            <v>V1 - Existing / No Claim</v>
          </cell>
          <cell r="AF1397">
            <v>42235</v>
          </cell>
          <cell r="AG1397">
            <v>9.17</v>
          </cell>
          <cell r="AH1397" t="str">
            <v>PPM</v>
          </cell>
          <cell r="AI1397" t="str">
            <v>Strands</v>
          </cell>
          <cell r="AJ1397" t="str">
            <v>Strands PW</v>
          </cell>
        </row>
        <row r="1398">
          <cell r="A1398" t="str">
            <v>IKN401092</v>
          </cell>
          <cell r="B1398">
            <v>1090</v>
          </cell>
          <cell r="C1398" t="str">
            <v>Institut Kanser Negara</v>
          </cell>
          <cell r="D1398" t="str">
            <v>KKM/IKN/H/13/3928</v>
          </cell>
          <cell r="E1398" t="str">
            <v>12-282</v>
          </cell>
          <cell r="F1398" t="str">
            <v>Lights, Surgical</v>
          </cell>
          <cell r="G1398" t="str">
            <v>NM</v>
          </cell>
          <cell r="H1398" t="str">
            <v>NUCLEAR MED (DIAGNOSTIC)</v>
          </cell>
          <cell r="I1398" t="str">
            <v>03NM109</v>
          </cell>
          <cell r="J1398" t="str">
            <v>TREATMENT 2 (RAS) (-VE)</v>
          </cell>
          <cell r="K1398" t="str">
            <v>BMED</v>
          </cell>
          <cell r="L1398" t="str">
            <v>Normal</v>
          </cell>
          <cell r="M1398" t="str">
            <v>USA</v>
          </cell>
          <cell r="N1398" t="str">
            <v>Welch Allyn</v>
          </cell>
          <cell r="O1398" t="str">
            <v>Welch Allyn GS900</v>
          </cell>
          <cell r="P1398" t="str">
            <v>10032911105645</v>
          </cell>
          <cell r="Q1398" t="str">
            <v>Not Applicable</v>
          </cell>
          <cell r="R1398" t="str">
            <v>Welch Allyn Inc</v>
          </cell>
          <cell r="S1398" t="str">
            <v>Welch Allyn Malaysia Sdn Bhd</v>
          </cell>
          <cell r="T1398" t="str">
            <v>Functioning</v>
          </cell>
          <cell r="U1398" t="str">
            <v>Asset</v>
          </cell>
          <cell r="V1398">
            <v>10585</v>
          </cell>
          <cell r="W1398" t="str">
            <v>KEW</v>
          </cell>
          <cell r="X1398" t="str">
            <v>01/09/2010</v>
          </cell>
          <cell r="Y1398" t="str">
            <v>KEW</v>
          </cell>
          <cell r="Z1398" t="str">
            <v>16/08/2013</v>
          </cell>
          <cell r="AA1398" t="str">
            <v>15/08/2015</v>
          </cell>
          <cell r="AB1398" t="str">
            <v>No</v>
          </cell>
          <cell r="AC1398" t="str">
            <v>31/08/2013</v>
          </cell>
          <cell r="AD1398" t="str">
            <v>Good</v>
          </cell>
          <cell r="AE1398" t="str">
            <v>V1 - Existing / No Claim</v>
          </cell>
          <cell r="AF1398">
            <v>42235</v>
          </cell>
          <cell r="AG1398">
            <v>9.17</v>
          </cell>
          <cell r="AH1398" t="str">
            <v>PPM</v>
          </cell>
          <cell r="AI1398" t="str">
            <v>Strands</v>
          </cell>
          <cell r="AJ1398" t="str">
            <v>Strands PW</v>
          </cell>
        </row>
        <row r="1399">
          <cell r="A1399" t="str">
            <v>IKN401093</v>
          </cell>
          <cell r="B1399">
            <v>1091</v>
          </cell>
          <cell r="C1399" t="str">
            <v>Institut Kanser Negara</v>
          </cell>
          <cell r="D1399" t="str">
            <v>KKM/IKN/H/13/2854</v>
          </cell>
          <cell r="E1399" t="str">
            <v>12-282</v>
          </cell>
          <cell r="F1399" t="str">
            <v>Lights, Surgical</v>
          </cell>
          <cell r="G1399" t="str">
            <v>WA</v>
          </cell>
          <cell r="H1399" t="str">
            <v>NUCLEAR MED WARD (THERAPY)</v>
          </cell>
          <cell r="I1399" t="str">
            <v>03WA116</v>
          </cell>
          <cell r="J1399" t="str">
            <v>TREATMENT</v>
          </cell>
          <cell r="K1399" t="str">
            <v>BMED</v>
          </cell>
          <cell r="L1399" t="str">
            <v>Critical</v>
          </cell>
          <cell r="M1399" t="str">
            <v>USA</v>
          </cell>
          <cell r="N1399" t="str">
            <v>Welch Allyn</v>
          </cell>
          <cell r="O1399" t="str">
            <v>Welch Allyn GS900</v>
          </cell>
          <cell r="P1399" t="str">
            <v>10043811102570</v>
          </cell>
          <cell r="Q1399" t="str">
            <v>Not Applicable</v>
          </cell>
          <cell r="R1399" t="str">
            <v>Welch Allyn Inc</v>
          </cell>
          <cell r="S1399" t="str">
            <v>Welch Allyn Malaysia Sdn Bhd</v>
          </cell>
          <cell r="T1399" t="str">
            <v>Functioning</v>
          </cell>
          <cell r="U1399" t="str">
            <v>Asset</v>
          </cell>
          <cell r="V1399">
            <v>10585</v>
          </cell>
          <cell r="W1399" t="str">
            <v>KEW</v>
          </cell>
          <cell r="X1399" t="str">
            <v>01/09/2010</v>
          </cell>
          <cell r="Y1399" t="str">
            <v>KEW</v>
          </cell>
          <cell r="Z1399" t="str">
            <v>16/08/2013</v>
          </cell>
          <cell r="AA1399" t="str">
            <v>15/08/2015</v>
          </cell>
          <cell r="AB1399" t="str">
            <v>No</v>
          </cell>
          <cell r="AC1399" t="str">
            <v>31/08/2013</v>
          </cell>
          <cell r="AD1399" t="str">
            <v>Good</v>
          </cell>
          <cell r="AE1399" t="str">
            <v>V1 - Existing / No Claim</v>
          </cell>
          <cell r="AF1399">
            <v>42794</v>
          </cell>
          <cell r="AG1399">
            <v>9.17</v>
          </cell>
          <cell r="AH1399" t="str">
            <v>PPM</v>
          </cell>
          <cell r="AI1399" t="str">
            <v>Strands</v>
          </cell>
          <cell r="AJ1399" t="str">
            <v>Strands PW</v>
          </cell>
        </row>
        <row r="1400">
          <cell r="A1400" t="str">
            <v>IKN401094</v>
          </cell>
          <cell r="B1400">
            <v>1092</v>
          </cell>
          <cell r="C1400" t="str">
            <v>Institut Kanser Negara</v>
          </cell>
          <cell r="D1400" t="e">
            <v>#N/A</v>
          </cell>
          <cell r="E1400" t="str">
            <v>12-282</v>
          </cell>
          <cell r="F1400" t="str">
            <v>Lights, Surgical</v>
          </cell>
          <cell r="G1400" t="str">
            <v>OC</v>
          </cell>
          <cell r="H1400" t="str">
            <v>ONCOLOGY CLINIC</v>
          </cell>
          <cell r="I1400" t="str">
            <v>03OC135</v>
          </cell>
          <cell r="J1400" t="str">
            <v>TREATMENT 1</v>
          </cell>
          <cell r="K1400" t="str">
            <v>BMED</v>
          </cell>
          <cell r="L1400" t="str">
            <v>Normal</v>
          </cell>
          <cell r="M1400" t="str">
            <v>USA</v>
          </cell>
          <cell r="N1400" t="str">
            <v>Welch Allyn</v>
          </cell>
          <cell r="O1400" t="str">
            <v>Welch Allyn GS900</v>
          </cell>
          <cell r="P1400" t="str">
            <v>10032911105644</v>
          </cell>
          <cell r="Q1400" t="str">
            <v>Not Applicable</v>
          </cell>
          <cell r="R1400" t="str">
            <v>Welch Allyn Inc</v>
          </cell>
          <cell r="S1400" t="str">
            <v>Welch Allyn Malaysia Sdn Bhd</v>
          </cell>
          <cell r="T1400" t="str">
            <v>Functioning</v>
          </cell>
          <cell r="U1400" t="str">
            <v>Asset</v>
          </cell>
          <cell r="V1400">
            <v>10585</v>
          </cell>
          <cell r="W1400" t="str">
            <v>KEW</v>
          </cell>
          <cell r="X1400" t="str">
            <v>01/09/2010</v>
          </cell>
          <cell r="Y1400" t="str">
            <v>KEW</v>
          </cell>
          <cell r="Z1400" t="str">
            <v>16/08/2013</v>
          </cell>
          <cell r="AA1400" t="str">
            <v>15/08/2015</v>
          </cell>
          <cell r="AB1400" t="str">
            <v>No</v>
          </cell>
          <cell r="AC1400" t="str">
            <v>31/08/2013</v>
          </cell>
          <cell r="AD1400" t="str">
            <v>Good</v>
          </cell>
          <cell r="AE1400" t="str">
            <v>V1 - Existing / No Claim</v>
          </cell>
          <cell r="AF1400">
            <v>42235</v>
          </cell>
          <cell r="AG1400">
            <v>9.17</v>
          </cell>
          <cell r="AH1400" t="str">
            <v>PPM</v>
          </cell>
          <cell r="AI1400" t="str">
            <v>Not in contract</v>
          </cell>
          <cell r="AJ1400" t="e">
            <v>#REF!</v>
          </cell>
        </row>
        <row r="1401">
          <cell r="A1401" t="str">
            <v>IKN401095</v>
          </cell>
          <cell r="B1401">
            <v>1093</v>
          </cell>
          <cell r="C1401" t="str">
            <v>Institut Kanser Negara</v>
          </cell>
          <cell r="D1401" t="e">
            <v>#N/A</v>
          </cell>
          <cell r="E1401" t="str">
            <v>12-282</v>
          </cell>
          <cell r="F1401" t="str">
            <v>Lights, Surgical</v>
          </cell>
          <cell r="G1401" t="str">
            <v>OC</v>
          </cell>
          <cell r="H1401" t="str">
            <v>ONCOLOGY CLINIC</v>
          </cell>
          <cell r="I1401" t="str">
            <v>03OC136</v>
          </cell>
          <cell r="J1401" t="str">
            <v>TREATMENT 2</v>
          </cell>
          <cell r="K1401" t="str">
            <v>BMED</v>
          </cell>
          <cell r="L1401" t="str">
            <v>Normal</v>
          </cell>
          <cell r="M1401" t="str">
            <v>USA</v>
          </cell>
          <cell r="N1401" t="str">
            <v>Welch Allyn</v>
          </cell>
          <cell r="O1401" t="str">
            <v>Welch Allyn GS900</v>
          </cell>
          <cell r="P1401" t="str">
            <v>10033711107140</v>
          </cell>
          <cell r="Q1401" t="str">
            <v>Not Applicable</v>
          </cell>
          <cell r="R1401" t="str">
            <v>Welch Allyn Inc</v>
          </cell>
          <cell r="S1401" t="str">
            <v>Welch Allyn Malaysia Sdn Bhd</v>
          </cell>
          <cell r="T1401" t="str">
            <v>Functioning</v>
          </cell>
          <cell r="U1401" t="str">
            <v>Asset</v>
          </cell>
          <cell r="V1401">
            <v>10585</v>
          </cell>
          <cell r="W1401" t="str">
            <v>KEW</v>
          </cell>
          <cell r="X1401" t="str">
            <v>01/09/2010</v>
          </cell>
          <cell r="Y1401" t="str">
            <v>KEW</v>
          </cell>
          <cell r="Z1401" t="str">
            <v>16/08/2013</v>
          </cell>
          <cell r="AA1401" t="str">
            <v>15/08/2015</v>
          </cell>
          <cell r="AB1401" t="str">
            <v>No</v>
          </cell>
          <cell r="AC1401" t="str">
            <v>31/08/2013</v>
          </cell>
          <cell r="AD1401" t="str">
            <v>Good</v>
          </cell>
          <cell r="AE1401" t="str">
            <v>V1 - Existing / No Claim</v>
          </cell>
          <cell r="AF1401">
            <v>42235</v>
          </cell>
          <cell r="AG1401">
            <v>9.17</v>
          </cell>
          <cell r="AH1401" t="str">
            <v>PPM</v>
          </cell>
          <cell r="AI1401" t="str">
            <v>Not in contract</v>
          </cell>
          <cell r="AJ1401" t="e">
            <v>#REF!</v>
          </cell>
        </row>
        <row r="1402">
          <cell r="A1402" t="str">
            <v>IKN401096</v>
          </cell>
          <cell r="B1402">
            <v>1094</v>
          </cell>
          <cell r="C1402" t="str">
            <v>Institut Kanser Negara</v>
          </cell>
          <cell r="D1402" t="str">
            <v>KKM/IKN/H/13/4377</v>
          </cell>
          <cell r="E1402" t="str">
            <v>12-282</v>
          </cell>
          <cell r="F1402" t="str">
            <v>Lights, Surgical</v>
          </cell>
          <cell r="G1402" t="str">
            <v>IC</v>
          </cell>
          <cell r="H1402" t="str">
            <v>INTENSIVE CARE UNIT</v>
          </cell>
          <cell r="I1402" t="str">
            <v>05IC112</v>
          </cell>
          <cell r="J1402" t="str">
            <v>ICU RM 1</v>
          </cell>
          <cell r="K1402" t="str">
            <v>BMED</v>
          </cell>
          <cell r="L1402" t="str">
            <v>Normal</v>
          </cell>
          <cell r="M1402" t="str">
            <v>USA</v>
          </cell>
          <cell r="N1402" t="str">
            <v>Welch Allyn</v>
          </cell>
          <cell r="O1402" t="str">
            <v>Welch Allyn GS900</v>
          </cell>
          <cell r="P1402" t="str">
            <v>10043011102397</v>
          </cell>
          <cell r="Q1402" t="str">
            <v>Not Applicable</v>
          </cell>
          <cell r="R1402" t="str">
            <v>Welch Allyn Inc</v>
          </cell>
          <cell r="S1402" t="str">
            <v>Welch Allyn Malaysia Sdn Bhd</v>
          </cell>
          <cell r="T1402" t="str">
            <v>Functioning</v>
          </cell>
          <cell r="U1402" t="str">
            <v>Asset</v>
          </cell>
          <cell r="V1402">
            <v>10585</v>
          </cell>
          <cell r="W1402" t="str">
            <v>KEW</v>
          </cell>
          <cell r="X1402" t="str">
            <v>01/09/2010</v>
          </cell>
          <cell r="Y1402" t="str">
            <v>KEW</v>
          </cell>
          <cell r="Z1402" t="str">
            <v>16/08/2013</v>
          </cell>
          <cell r="AA1402" t="str">
            <v>15/08/2015</v>
          </cell>
          <cell r="AB1402" t="str">
            <v>No</v>
          </cell>
          <cell r="AC1402" t="str">
            <v>31/08/2013</v>
          </cell>
          <cell r="AD1402" t="str">
            <v>Good</v>
          </cell>
          <cell r="AE1402" t="str">
            <v>V1 - Existing / No Claim</v>
          </cell>
          <cell r="AF1402">
            <v>42235</v>
          </cell>
          <cell r="AG1402">
            <v>9.17</v>
          </cell>
          <cell r="AH1402" t="str">
            <v>PPM</v>
          </cell>
          <cell r="AI1402" t="str">
            <v>Strands</v>
          </cell>
          <cell r="AJ1402" t="str">
            <v>Strands PW</v>
          </cell>
        </row>
        <row r="1403">
          <cell r="A1403" t="str">
            <v>IKN401097</v>
          </cell>
          <cell r="B1403">
            <v>1095</v>
          </cell>
          <cell r="C1403" t="str">
            <v>Institut Kanser Negara</v>
          </cell>
          <cell r="D1403" t="str">
            <v>KKM/IKN/H/13/4370</v>
          </cell>
          <cell r="E1403" t="str">
            <v>12-282</v>
          </cell>
          <cell r="F1403" t="str">
            <v>Lights, Surgical</v>
          </cell>
          <cell r="G1403" t="str">
            <v>IC</v>
          </cell>
          <cell r="H1403" t="str">
            <v>INTENSIVE CARE UNIT</v>
          </cell>
          <cell r="I1403" t="str">
            <v>05IC114</v>
          </cell>
          <cell r="J1403" t="str">
            <v>ICU RM 3</v>
          </cell>
          <cell r="K1403" t="str">
            <v>BMED</v>
          </cell>
          <cell r="L1403" t="str">
            <v>Critical</v>
          </cell>
          <cell r="M1403" t="str">
            <v>USA</v>
          </cell>
          <cell r="N1403" t="str">
            <v>Welch Allyn</v>
          </cell>
          <cell r="O1403" t="str">
            <v>Welch Allyn GS900</v>
          </cell>
          <cell r="P1403" t="str">
            <v>10043811102563</v>
          </cell>
          <cell r="Q1403" t="str">
            <v>Not Applicable</v>
          </cell>
          <cell r="R1403" t="str">
            <v>Welch Allyn Inc</v>
          </cell>
          <cell r="S1403" t="str">
            <v>Welch Allyn Malaysia Sdn Bhd</v>
          </cell>
          <cell r="T1403" t="str">
            <v>Functioning</v>
          </cell>
          <cell r="U1403" t="str">
            <v>Asset</v>
          </cell>
          <cell r="V1403">
            <v>10585</v>
          </cell>
          <cell r="W1403" t="str">
            <v>KEW</v>
          </cell>
          <cell r="X1403" t="str">
            <v>01/09/2010</v>
          </cell>
          <cell r="Y1403" t="str">
            <v>KEW</v>
          </cell>
          <cell r="Z1403" t="str">
            <v>16/08/2013</v>
          </cell>
          <cell r="AA1403" t="str">
            <v>15/08/2015</v>
          </cell>
          <cell r="AB1403" t="str">
            <v>No</v>
          </cell>
          <cell r="AC1403" t="str">
            <v>31/08/2013</v>
          </cell>
          <cell r="AD1403" t="str">
            <v>Good</v>
          </cell>
          <cell r="AE1403" t="str">
            <v>V1 - Existing / No Claim</v>
          </cell>
          <cell r="AF1403">
            <v>42797</v>
          </cell>
          <cell r="AG1403">
            <v>9.17</v>
          </cell>
          <cell r="AH1403" t="str">
            <v>PPM</v>
          </cell>
          <cell r="AI1403" t="str">
            <v>Strands</v>
          </cell>
          <cell r="AJ1403" t="str">
            <v>Strands PW</v>
          </cell>
        </row>
        <row r="1404">
          <cell r="A1404" t="str">
            <v>IKN401098</v>
          </cell>
          <cell r="B1404">
            <v>1096</v>
          </cell>
          <cell r="C1404" t="str">
            <v>Institut Kanser Negara</v>
          </cell>
          <cell r="D1404" t="str">
            <v>KKM/IKN/H/13/4409</v>
          </cell>
          <cell r="E1404" t="str">
            <v>12-282</v>
          </cell>
          <cell r="F1404" t="str">
            <v>Lights, Surgical</v>
          </cell>
          <cell r="G1404" t="str">
            <v>IC</v>
          </cell>
          <cell r="H1404" t="str">
            <v>INTENSIVE CARE UNIT</v>
          </cell>
          <cell r="I1404" t="str">
            <v>05IC116</v>
          </cell>
          <cell r="J1404" t="str">
            <v>ISOL 2 (+VE)</v>
          </cell>
          <cell r="K1404" t="str">
            <v>BMED</v>
          </cell>
          <cell r="L1404" t="str">
            <v>Critical</v>
          </cell>
          <cell r="M1404" t="str">
            <v>USA</v>
          </cell>
          <cell r="N1404" t="str">
            <v>Welch Allyn</v>
          </cell>
          <cell r="O1404" t="str">
            <v>Welch Allyn GS900</v>
          </cell>
          <cell r="P1404" t="str">
            <v>10043011102396</v>
          </cell>
          <cell r="Q1404" t="str">
            <v>Not Applicable</v>
          </cell>
          <cell r="R1404" t="str">
            <v>Welch Allyn Inc</v>
          </cell>
          <cell r="S1404" t="str">
            <v>Welch Allyn Malaysia Sdn Bhd</v>
          </cell>
          <cell r="T1404" t="str">
            <v>Functioning</v>
          </cell>
          <cell r="U1404" t="str">
            <v>Asset</v>
          </cell>
          <cell r="V1404">
            <v>10585</v>
          </cell>
          <cell r="W1404" t="str">
            <v>KEW</v>
          </cell>
          <cell r="X1404" t="str">
            <v>01/09/2010</v>
          </cell>
          <cell r="Y1404" t="str">
            <v>KEW</v>
          </cell>
          <cell r="Z1404" t="str">
            <v>16/08/2013</v>
          </cell>
          <cell r="AA1404" t="str">
            <v>15/08/2015</v>
          </cell>
          <cell r="AB1404" t="str">
            <v>No</v>
          </cell>
          <cell r="AC1404" t="str">
            <v>31/08/2013</v>
          </cell>
          <cell r="AD1404" t="str">
            <v>Good</v>
          </cell>
          <cell r="AE1404" t="str">
            <v>V1 - Existing / No Claim</v>
          </cell>
          <cell r="AF1404">
            <v>42797</v>
          </cell>
          <cell r="AG1404">
            <v>9.17</v>
          </cell>
          <cell r="AH1404" t="str">
            <v>PPM</v>
          </cell>
          <cell r="AI1404" t="str">
            <v>Strands</v>
          </cell>
          <cell r="AJ1404" t="str">
            <v>Strands PW</v>
          </cell>
        </row>
        <row r="1405">
          <cell r="A1405" t="str">
            <v>IKN401099</v>
          </cell>
          <cell r="B1405">
            <v>1097</v>
          </cell>
          <cell r="C1405" t="str">
            <v>Institut Kanser Negara</v>
          </cell>
          <cell r="D1405" t="str">
            <v>KKM/IKN/H/13/4408</v>
          </cell>
          <cell r="E1405" t="str">
            <v>12-282</v>
          </cell>
          <cell r="F1405" t="str">
            <v>Lights, Surgical</v>
          </cell>
          <cell r="G1405" t="str">
            <v>IC</v>
          </cell>
          <cell r="H1405" t="str">
            <v>INTENSIVE CARE UNIT</v>
          </cell>
          <cell r="I1405" t="str">
            <v>05IC129</v>
          </cell>
          <cell r="J1405" t="str">
            <v>ISOL 4 (+VE)</v>
          </cell>
          <cell r="K1405" t="str">
            <v>BMED</v>
          </cell>
          <cell r="L1405" t="str">
            <v>Normal</v>
          </cell>
          <cell r="M1405" t="str">
            <v>USA</v>
          </cell>
          <cell r="N1405" t="str">
            <v>Welch Allyn</v>
          </cell>
          <cell r="O1405" t="str">
            <v>Welch Allyn GS900</v>
          </cell>
          <cell r="P1405" t="str">
            <v>10042511102167</v>
          </cell>
          <cell r="Q1405" t="str">
            <v>Not Applicable</v>
          </cell>
          <cell r="R1405" t="str">
            <v>Welch Allyn Inc</v>
          </cell>
          <cell r="S1405" t="str">
            <v>Welch Allyn Malaysia Sdn Bhd</v>
          </cell>
          <cell r="T1405" t="str">
            <v>Functioning</v>
          </cell>
          <cell r="U1405" t="str">
            <v>Asset</v>
          </cell>
          <cell r="V1405">
            <v>10585</v>
          </cell>
          <cell r="W1405" t="str">
            <v>KEW</v>
          </cell>
          <cell r="X1405" t="str">
            <v>01/09/2010</v>
          </cell>
          <cell r="Y1405" t="str">
            <v>KEW</v>
          </cell>
          <cell r="Z1405" t="str">
            <v>16/08/2013</v>
          </cell>
          <cell r="AA1405" t="str">
            <v>15/08/2015</v>
          </cell>
          <cell r="AB1405" t="str">
            <v>No</v>
          </cell>
          <cell r="AC1405" t="str">
            <v>31/08/2013</v>
          </cell>
          <cell r="AD1405" t="str">
            <v>Good</v>
          </cell>
          <cell r="AE1405" t="str">
            <v>V1 - Existing / No Claim</v>
          </cell>
          <cell r="AF1405">
            <v>42235</v>
          </cell>
          <cell r="AG1405">
            <v>9.17</v>
          </cell>
          <cell r="AH1405" t="str">
            <v>PPM</v>
          </cell>
          <cell r="AI1405" t="str">
            <v>Strands</v>
          </cell>
          <cell r="AJ1405" t="str">
            <v>Strands PW</v>
          </cell>
        </row>
        <row r="1406">
          <cell r="A1406" t="str">
            <v>IKN401100</v>
          </cell>
          <cell r="B1406">
            <v>1098</v>
          </cell>
          <cell r="C1406" t="str">
            <v>Institut Kanser Negara</v>
          </cell>
          <cell r="D1406" t="str">
            <v>KKM/IKN/H/13/4410</v>
          </cell>
          <cell r="E1406" t="str">
            <v>12-282</v>
          </cell>
          <cell r="F1406" t="str">
            <v>Lights, Surgical</v>
          </cell>
          <cell r="G1406" t="str">
            <v>IC</v>
          </cell>
          <cell r="H1406" t="str">
            <v>INTENSIVE CARE UNIT</v>
          </cell>
          <cell r="I1406" t="str">
            <v>05IC131</v>
          </cell>
          <cell r="J1406" t="str">
            <v>ISOL 3 (+VE)</v>
          </cell>
          <cell r="K1406" t="str">
            <v>BMED</v>
          </cell>
          <cell r="L1406" t="str">
            <v>Critical</v>
          </cell>
          <cell r="M1406" t="str">
            <v>USA</v>
          </cell>
          <cell r="N1406" t="str">
            <v>Welch Allyn</v>
          </cell>
          <cell r="O1406" t="str">
            <v>Welch Allyn GS900</v>
          </cell>
          <cell r="P1406" t="str">
            <v>10043811102567</v>
          </cell>
          <cell r="Q1406" t="str">
            <v>Not Applicable</v>
          </cell>
          <cell r="R1406" t="str">
            <v>Welch Allyn Inc</v>
          </cell>
          <cell r="S1406" t="str">
            <v>Welch Allyn Malaysia Sdn Bhd</v>
          </cell>
          <cell r="T1406" t="str">
            <v>Functioning</v>
          </cell>
          <cell r="U1406" t="str">
            <v>Asset</v>
          </cell>
          <cell r="V1406">
            <v>10585</v>
          </cell>
          <cell r="W1406" t="str">
            <v>KEW</v>
          </cell>
          <cell r="X1406" t="str">
            <v>01/09/2010</v>
          </cell>
          <cell r="Y1406" t="str">
            <v>KEW</v>
          </cell>
          <cell r="Z1406" t="str">
            <v>16/08/2013</v>
          </cell>
          <cell r="AA1406" t="str">
            <v>15/08/2015</v>
          </cell>
          <cell r="AB1406" t="str">
            <v>No</v>
          </cell>
          <cell r="AC1406" t="str">
            <v>31/08/2013</v>
          </cell>
          <cell r="AD1406" t="str">
            <v>Good</v>
          </cell>
          <cell r="AE1406" t="str">
            <v>V1 - Existing / No Claim</v>
          </cell>
          <cell r="AF1406">
            <v>42797</v>
          </cell>
          <cell r="AG1406">
            <v>9.17</v>
          </cell>
          <cell r="AH1406" t="str">
            <v>PPM</v>
          </cell>
          <cell r="AI1406" t="str">
            <v>Strands</v>
          </cell>
          <cell r="AJ1406" t="str">
            <v>Strands PW</v>
          </cell>
        </row>
        <row r="1407">
          <cell r="A1407" t="str">
            <v>IKN401101</v>
          </cell>
          <cell r="B1407">
            <v>1099</v>
          </cell>
          <cell r="C1407" t="str">
            <v>Institut Kanser Negara</v>
          </cell>
          <cell r="D1407" t="str">
            <v>KKM/IKN/H/13/4779</v>
          </cell>
          <cell r="E1407" t="str">
            <v>12-282</v>
          </cell>
          <cell r="F1407" t="str">
            <v>Lights, Surgical</v>
          </cell>
          <cell r="G1407" t="str">
            <v>WB</v>
          </cell>
          <cell r="H1407" t="str">
            <v>SURGICAL ONCO MALE WARD</v>
          </cell>
          <cell r="I1407" t="str">
            <v>05WB107</v>
          </cell>
          <cell r="J1407" t="str">
            <v>TREATMENT / PROCEDURE</v>
          </cell>
          <cell r="K1407" t="str">
            <v>BMED</v>
          </cell>
          <cell r="L1407" t="str">
            <v>Normal</v>
          </cell>
          <cell r="M1407" t="str">
            <v>USA</v>
          </cell>
          <cell r="N1407" t="str">
            <v>Welch Allyn</v>
          </cell>
          <cell r="O1407" t="str">
            <v>Welch Allyn GS900</v>
          </cell>
          <cell r="P1407" t="str">
            <v>10043011102369</v>
          </cell>
          <cell r="Q1407" t="str">
            <v>Not Applicable</v>
          </cell>
          <cell r="R1407" t="str">
            <v>Welch Allyn Inc</v>
          </cell>
          <cell r="S1407" t="str">
            <v>Welch Allyn Malaysia Sdn Bhd</v>
          </cell>
          <cell r="T1407" t="str">
            <v>Functioning</v>
          </cell>
          <cell r="U1407" t="str">
            <v>Asset</v>
          </cell>
          <cell r="V1407">
            <v>10585</v>
          </cell>
          <cell r="W1407" t="str">
            <v>KEW</v>
          </cell>
          <cell r="X1407" t="str">
            <v>01/09/2010</v>
          </cell>
          <cell r="Y1407" t="str">
            <v>KEW</v>
          </cell>
          <cell r="Z1407" t="str">
            <v>16/08/2013</v>
          </cell>
          <cell r="AA1407" t="str">
            <v>15/08/2015</v>
          </cell>
          <cell r="AB1407" t="str">
            <v>No</v>
          </cell>
          <cell r="AC1407" t="str">
            <v>31/08/2013</v>
          </cell>
          <cell r="AD1407" t="str">
            <v>Good</v>
          </cell>
          <cell r="AE1407" t="str">
            <v>V1 - Existing / No Claim</v>
          </cell>
          <cell r="AF1407">
            <v>42235</v>
          </cell>
          <cell r="AG1407">
            <v>9.17</v>
          </cell>
          <cell r="AH1407" t="str">
            <v>PPM</v>
          </cell>
          <cell r="AI1407" t="str">
            <v>Strands</v>
          </cell>
          <cell r="AJ1407" t="str">
            <v>Strands PW</v>
          </cell>
        </row>
        <row r="1408">
          <cell r="A1408" t="str">
            <v>IKN401102</v>
          </cell>
          <cell r="B1408">
            <v>1100</v>
          </cell>
          <cell r="C1408" t="str">
            <v>Institut Kanser Negara</v>
          </cell>
          <cell r="D1408" t="str">
            <v>KKM/IKN/H/13/5478</v>
          </cell>
          <cell r="E1408" t="str">
            <v>12-282</v>
          </cell>
          <cell r="F1408" t="str">
            <v>Lights, Surgical</v>
          </cell>
          <cell r="G1408" t="str">
            <v>WC</v>
          </cell>
          <cell r="H1408" t="str">
            <v>SURGICAL ONCO FEMALE WARD</v>
          </cell>
          <cell r="I1408" t="str">
            <v>06WC107</v>
          </cell>
          <cell r="J1408" t="str">
            <v>TREATMENT / PROCEDURE</v>
          </cell>
          <cell r="K1408" t="str">
            <v>BMED</v>
          </cell>
          <cell r="L1408" t="str">
            <v>Normal</v>
          </cell>
          <cell r="M1408" t="str">
            <v>USA</v>
          </cell>
          <cell r="N1408" t="str">
            <v>Welch Allyn</v>
          </cell>
          <cell r="O1408" t="str">
            <v>Welch Allyn GS900</v>
          </cell>
          <cell r="P1408" t="str">
            <v>10033711107106</v>
          </cell>
          <cell r="Q1408" t="str">
            <v>Not Applicable</v>
          </cell>
          <cell r="R1408" t="str">
            <v>Welch Allyn Inc</v>
          </cell>
          <cell r="S1408" t="str">
            <v>Welch Allyn Malaysia Sdn Bhd</v>
          </cell>
          <cell r="T1408" t="str">
            <v>Functioning</v>
          </cell>
          <cell r="U1408" t="str">
            <v>Asset</v>
          </cell>
          <cell r="V1408">
            <v>10585</v>
          </cell>
          <cell r="W1408" t="str">
            <v>KEW</v>
          </cell>
          <cell r="X1408" t="str">
            <v>01/09/2010</v>
          </cell>
          <cell r="Y1408" t="str">
            <v>KEW</v>
          </cell>
          <cell r="Z1408" t="str">
            <v>16/08/2013</v>
          </cell>
          <cell r="AA1408" t="str">
            <v>15/08/2015</v>
          </cell>
          <cell r="AB1408" t="str">
            <v>No</v>
          </cell>
          <cell r="AC1408" t="str">
            <v>31/08/2013</v>
          </cell>
          <cell r="AD1408" t="str">
            <v>Good</v>
          </cell>
          <cell r="AE1408" t="str">
            <v>V1 - Existing / No Claim</v>
          </cell>
          <cell r="AF1408">
            <v>42235</v>
          </cell>
          <cell r="AG1408">
            <v>9.17</v>
          </cell>
          <cell r="AH1408" t="str">
            <v>PPM</v>
          </cell>
          <cell r="AI1408" t="str">
            <v>Not in contract</v>
          </cell>
          <cell r="AJ1408" t="e">
            <v>#REF!</v>
          </cell>
        </row>
        <row r="1409">
          <cell r="A1409" t="str">
            <v>IKN401103</v>
          </cell>
          <cell r="B1409">
            <v>1101</v>
          </cell>
          <cell r="C1409" t="str">
            <v>Institut Kanser Negara</v>
          </cell>
          <cell r="E1409" t="str">
            <v>12-282</v>
          </cell>
          <cell r="F1409" t="str">
            <v>Lights, Surgical</v>
          </cell>
          <cell r="G1409" t="str">
            <v>WD</v>
          </cell>
          <cell r="H1409" t="str">
            <v>RT/ONCO PAED/ADOLESCENT WARD</v>
          </cell>
          <cell r="I1409" t="str">
            <v>06WD124</v>
          </cell>
          <cell r="J1409" t="str">
            <v>TREATMENT / PROCEDURE</v>
          </cell>
          <cell r="K1409" t="str">
            <v>BMED</v>
          </cell>
          <cell r="L1409" t="str">
            <v>Normal</v>
          </cell>
          <cell r="M1409" t="str">
            <v>USA</v>
          </cell>
          <cell r="N1409" t="str">
            <v>Welch Allyn</v>
          </cell>
          <cell r="O1409" t="str">
            <v>Welch Allyn GS900</v>
          </cell>
          <cell r="P1409" t="str">
            <v>10032911105638</v>
          </cell>
          <cell r="Q1409" t="str">
            <v>Not Applicable</v>
          </cell>
          <cell r="R1409" t="str">
            <v>Welch Allyn Inc</v>
          </cell>
          <cell r="S1409" t="str">
            <v>Welch Allyn Malaysia Sdn Bhd</v>
          </cell>
          <cell r="T1409" t="str">
            <v>Functioning</v>
          </cell>
          <cell r="U1409" t="str">
            <v>Asset</v>
          </cell>
          <cell r="V1409">
            <v>10585</v>
          </cell>
          <cell r="W1409" t="str">
            <v>KEW</v>
          </cell>
          <cell r="X1409" t="str">
            <v>01/09/2010</v>
          </cell>
          <cell r="Y1409" t="str">
            <v>KEW</v>
          </cell>
          <cell r="Z1409" t="str">
            <v>16/08/2013</v>
          </cell>
          <cell r="AA1409" t="str">
            <v>15/08/2015</v>
          </cell>
          <cell r="AB1409" t="str">
            <v>No</v>
          </cell>
          <cell r="AC1409" t="str">
            <v>31/08/2013</v>
          </cell>
          <cell r="AD1409" t="str">
            <v>Good</v>
          </cell>
          <cell r="AE1409" t="str">
            <v>V1 - Existing / No Claim</v>
          </cell>
          <cell r="AF1409">
            <v>42235</v>
          </cell>
          <cell r="AG1409">
            <v>9.17</v>
          </cell>
          <cell r="AH1409" t="str">
            <v>PPM</v>
          </cell>
          <cell r="AI1409" t="str">
            <v>Not in contract</v>
          </cell>
          <cell r="AJ1409" t="e">
            <v>#REF!</v>
          </cell>
        </row>
        <row r="1410">
          <cell r="A1410" t="str">
            <v>IKN401105</v>
          </cell>
          <cell r="B1410">
            <v>1103</v>
          </cell>
          <cell r="C1410" t="str">
            <v>Institut Kanser Negara</v>
          </cell>
          <cell r="D1410" t="str">
            <v>KKM/IKN/H/13/3978</v>
          </cell>
          <cell r="E1410" t="str">
            <v>12-282</v>
          </cell>
          <cell r="F1410" t="str">
            <v>Lights, Surgical</v>
          </cell>
          <cell r="G1410" t="str">
            <v>WF</v>
          </cell>
          <cell r="H1410" t="str">
            <v>RT/ONCO WARD 2 (F)</v>
          </cell>
          <cell r="I1410" t="str">
            <v>07WF107</v>
          </cell>
          <cell r="J1410" t="str">
            <v>TREATMENT / PROCEDDURE</v>
          </cell>
          <cell r="K1410" t="str">
            <v>BMED</v>
          </cell>
          <cell r="L1410" t="str">
            <v>Normal</v>
          </cell>
          <cell r="M1410" t="str">
            <v>USA</v>
          </cell>
          <cell r="N1410" t="str">
            <v>Welch Allyn</v>
          </cell>
          <cell r="O1410" t="str">
            <v>Welch Allyn GS900</v>
          </cell>
          <cell r="P1410" t="str">
            <v>10033011105774</v>
          </cell>
          <cell r="Q1410" t="str">
            <v>Not Applicable</v>
          </cell>
          <cell r="R1410" t="str">
            <v>Welch Allyn Inc</v>
          </cell>
          <cell r="S1410" t="str">
            <v>Welch Allyn Malaysia Sdn Bhd</v>
          </cell>
          <cell r="T1410" t="str">
            <v>Functioning</v>
          </cell>
          <cell r="U1410" t="str">
            <v>Asset</v>
          </cell>
          <cell r="V1410">
            <v>10585</v>
          </cell>
          <cell r="W1410" t="str">
            <v>KEW</v>
          </cell>
          <cell r="X1410" t="str">
            <v>01/09/2010</v>
          </cell>
          <cell r="Y1410" t="str">
            <v>KEW</v>
          </cell>
          <cell r="Z1410" t="str">
            <v>16/08/2013</v>
          </cell>
          <cell r="AA1410" t="str">
            <v>15/08/2015</v>
          </cell>
          <cell r="AB1410" t="str">
            <v>No</v>
          </cell>
          <cell r="AC1410" t="str">
            <v>31/08/2013</v>
          </cell>
          <cell r="AD1410" t="str">
            <v>Good</v>
          </cell>
          <cell r="AE1410" t="str">
            <v>V1 - Existing / No Claim</v>
          </cell>
          <cell r="AF1410">
            <v>42235</v>
          </cell>
          <cell r="AG1410">
            <v>9.17</v>
          </cell>
          <cell r="AH1410" t="str">
            <v>PPM</v>
          </cell>
          <cell r="AI1410" t="str">
            <v>Strands</v>
          </cell>
          <cell r="AJ1410" t="str">
            <v>Strands PW</v>
          </cell>
        </row>
        <row r="1411">
          <cell r="A1411" t="str">
            <v>IKN401106</v>
          </cell>
          <cell r="B1411">
            <v>1104</v>
          </cell>
          <cell r="C1411" t="str">
            <v>Institut Kanser Negara</v>
          </cell>
          <cell r="D1411" t="e">
            <v>#N/A</v>
          </cell>
          <cell r="E1411" t="str">
            <v>12-282</v>
          </cell>
          <cell r="F1411" t="str">
            <v>Lights, Surgical</v>
          </cell>
          <cell r="G1411" t="str">
            <v>WG</v>
          </cell>
          <cell r="H1411" t="str">
            <v>RT/ONCO WARD 1 (M)</v>
          </cell>
          <cell r="I1411" t="str">
            <v>08WG107</v>
          </cell>
          <cell r="J1411" t="str">
            <v>TREATMENT / PROCEDURE</v>
          </cell>
          <cell r="K1411" t="str">
            <v>BMED</v>
          </cell>
          <cell r="L1411" t="str">
            <v>Normal</v>
          </cell>
          <cell r="M1411" t="str">
            <v>USA</v>
          </cell>
          <cell r="N1411" t="str">
            <v>Welch Allyn</v>
          </cell>
          <cell r="O1411" t="str">
            <v>Welch Allyn GS900</v>
          </cell>
          <cell r="P1411" t="str">
            <v>10032911105655</v>
          </cell>
          <cell r="Q1411" t="str">
            <v>Not Applicable</v>
          </cell>
          <cell r="R1411" t="str">
            <v>Welch Allyn Inc</v>
          </cell>
          <cell r="S1411" t="str">
            <v>Welch Allyn Malaysia Sdn Bhd</v>
          </cell>
          <cell r="T1411" t="str">
            <v>Functioning</v>
          </cell>
          <cell r="U1411" t="str">
            <v>Asset</v>
          </cell>
          <cell r="V1411">
            <v>10585</v>
          </cell>
          <cell r="W1411" t="str">
            <v>KEW</v>
          </cell>
          <cell r="X1411" t="str">
            <v>01/09/2010</v>
          </cell>
          <cell r="Y1411" t="str">
            <v>KEW</v>
          </cell>
          <cell r="Z1411" t="str">
            <v>16/08/2013</v>
          </cell>
          <cell r="AA1411" t="str">
            <v>15/08/2015</v>
          </cell>
          <cell r="AB1411" t="str">
            <v>No</v>
          </cell>
          <cell r="AC1411" t="str">
            <v>31/08/2013</v>
          </cell>
          <cell r="AD1411" t="str">
            <v>Good</v>
          </cell>
          <cell r="AE1411" t="str">
            <v>V1 - Existing / No Claim</v>
          </cell>
          <cell r="AF1411">
            <v>42235</v>
          </cell>
          <cell r="AG1411">
            <v>9.17</v>
          </cell>
          <cell r="AH1411" t="str">
            <v>PPM</v>
          </cell>
          <cell r="AI1411" t="str">
            <v>Not in contract</v>
          </cell>
          <cell r="AJ1411" t="e">
            <v>#REF!</v>
          </cell>
        </row>
        <row r="1412">
          <cell r="A1412" t="str">
            <v>IKN401107</v>
          </cell>
          <cell r="B1412">
            <v>1105</v>
          </cell>
          <cell r="C1412" t="str">
            <v>Institut Kanser Negara</v>
          </cell>
          <cell r="D1412" t="str">
            <v>KKM/IKN/H/13/4964</v>
          </cell>
          <cell r="E1412" t="str">
            <v>12-282</v>
          </cell>
          <cell r="F1412" t="str">
            <v>Lights, Surgical</v>
          </cell>
          <cell r="G1412" t="str">
            <v>WH</v>
          </cell>
          <cell r="H1412" t="str">
            <v>RT/ONCO WARD 2 (M)</v>
          </cell>
          <cell r="I1412" t="str">
            <v>08WH107</v>
          </cell>
          <cell r="J1412" t="str">
            <v>TREATMENT / PROCEDURE</v>
          </cell>
          <cell r="K1412" t="str">
            <v>BMED</v>
          </cell>
          <cell r="L1412" t="str">
            <v>Critical</v>
          </cell>
          <cell r="M1412" t="str">
            <v>USA</v>
          </cell>
          <cell r="N1412" t="str">
            <v>Welch Allyn</v>
          </cell>
          <cell r="O1412" t="str">
            <v>Welch Allyn GS900</v>
          </cell>
          <cell r="P1412" t="str">
            <v>10033711107103</v>
          </cell>
          <cell r="Q1412" t="str">
            <v>Not Applicable</v>
          </cell>
          <cell r="R1412" t="str">
            <v>Welch Allyn Inc</v>
          </cell>
          <cell r="S1412" t="str">
            <v>Welch Allyn Malaysia Sdn Bhd</v>
          </cell>
          <cell r="T1412" t="str">
            <v>Functioning</v>
          </cell>
          <cell r="U1412" t="str">
            <v>Asset</v>
          </cell>
          <cell r="V1412">
            <v>10585</v>
          </cell>
          <cell r="W1412" t="str">
            <v>KEW</v>
          </cell>
          <cell r="X1412" t="str">
            <v>01/09/2010</v>
          </cell>
          <cell r="Y1412" t="str">
            <v>KEW</v>
          </cell>
          <cell r="Z1412" t="str">
            <v>16/08/2013</v>
          </cell>
          <cell r="AA1412" t="str">
            <v>15/08/2015</v>
          </cell>
          <cell r="AB1412" t="str">
            <v>No</v>
          </cell>
          <cell r="AC1412" t="str">
            <v>31/08/2013</v>
          </cell>
          <cell r="AD1412" t="str">
            <v>Good</v>
          </cell>
          <cell r="AE1412" t="str">
            <v>V1 - Existing / No Claim</v>
          </cell>
          <cell r="AF1412">
            <v>42787</v>
          </cell>
          <cell r="AG1412">
            <v>9.17</v>
          </cell>
          <cell r="AH1412" t="str">
            <v>PPM</v>
          </cell>
          <cell r="AI1412" t="str">
            <v>Strands</v>
          </cell>
          <cell r="AJ1412" t="str">
            <v>Strands PW</v>
          </cell>
        </row>
        <row r="1413">
          <cell r="A1413" t="str">
            <v>IKN401108</v>
          </cell>
          <cell r="B1413">
            <v>1106</v>
          </cell>
          <cell r="C1413" t="str">
            <v>Institut Kanser Negara</v>
          </cell>
          <cell r="D1413" t="e">
            <v>#N/A</v>
          </cell>
          <cell r="E1413" t="str">
            <v>12-282</v>
          </cell>
          <cell r="F1413" t="str">
            <v>Lights, Surgical</v>
          </cell>
          <cell r="G1413" t="str">
            <v>WJ</v>
          </cell>
          <cell r="H1413" t="str">
            <v>MULTIDISCIPLINE WARD 1</v>
          </cell>
          <cell r="I1413" t="str">
            <v>09WJ126</v>
          </cell>
          <cell r="J1413" t="str">
            <v>EQUIPT. ROOM</v>
          </cell>
          <cell r="K1413" t="str">
            <v>BMED</v>
          </cell>
          <cell r="L1413" t="str">
            <v>Critical</v>
          </cell>
          <cell r="M1413" t="str">
            <v>USA</v>
          </cell>
          <cell r="N1413" t="str">
            <v>Welch Allyn</v>
          </cell>
          <cell r="O1413" t="str">
            <v>Welch Allyn GS900</v>
          </cell>
          <cell r="P1413" t="str">
            <v>10034711108182</v>
          </cell>
          <cell r="Q1413" t="str">
            <v>Not Applicable</v>
          </cell>
          <cell r="R1413" t="str">
            <v>Welch Allyn Inc</v>
          </cell>
          <cell r="S1413" t="str">
            <v>Welch Allyn Malaysia Sdn Bhd</v>
          </cell>
          <cell r="T1413" t="str">
            <v>Functioning</v>
          </cell>
          <cell r="U1413" t="str">
            <v>Asset</v>
          </cell>
          <cell r="V1413">
            <v>10585</v>
          </cell>
          <cell r="W1413" t="str">
            <v>KEW</v>
          </cell>
          <cell r="X1413" t="str">
            <v>01/09/2010</v>
          </cell>
          <cell r="Y1413" t="str">
            <v>KEW</v>
          </cell>
          <cell r="Z1413" t="str">
            <v>16/08/2013</v>
          </cell>
          <cell r="AA1413" t="str">
            <v>15/08/2015</v>
          </cell>
          <cell r="AB1413" t="str">
            <v>No</v>
          </cell>
          <cell r="AC1413" t="str">
            <v>31/08/2013</v>
          </cell>
          <cell r="AD1413" t="str">
            <v>Good</v>
          </cell>
          <cell r="AE1413" t="str">
            <v>V1 - Existing / No Claim</v>
          </cell>
          <cell r="AF1413">
            <v>43063</v>
          </cell>
          <cell r="AG1413">
            <v>9.17</v>
          </cell>
          <cell r="AH1413" t="str">
            <v>PPM</v>
          </cell>
          <cell r="AI1413" t="str">
            <v>Propose P1.24</v>
          </cell>
        </row>
        <row r="1414">
          <cell r="A1414" t="str">
            <v>IKN401109</v>
          </cell>
          <cell r="B1414">
            <v>1107</v>
          </cell>
          <cell r="C1414" t="str">
            <v>Institut Kanser Negara</v>
          </cell>
          <cell r="D1414" t="e">
            <v>#N/A</v>
          </cell>
          <cell r="E1414" t="str">
            <v>12-282</v>
          </cell>
          <cell r="F1414" t="str">
            <v>Lights, Surgical</v>
          </cell>
          <cell r="G1414" t="str">
            <v>WJ</v>
          </cell>
          <cell r="H1414" t="str">
            <v>MULTIDISCIPLINE WARD 1</v>
          </cell>
          <cell r="I1414" t="str">
            <v>09WJ130</v>
          </cell>
          <cell r="J1414" t="str">
            <v>TREATMENT/ PROCEDURE</v>
          </cell>
          <cell r="K1414" t="str">
            <v>BMED</v>
          </cell>
          <cell r="L1414" t="str">
            <v>Normal</v>
          </cell>
          <cell r="M1414" t="str">
            <v>USA</v>
          </cell>
          <cell r="N1414" t="str">
            <v>Welch Allyn</v>
          </cell>
          <cell r="O1414" t="str">
            <v>Welch Allyn GS900</v>
          </cell>
          <cell r="P1414" t="str">
            <v>10033011105770</v>
          </cell>
          <cell r="Q1414" t="str">
            <v>Not Applicable</v>
          </cell>
          <cell r="R1414" t="str">
            <v>Welch Allyn Inc</v>
          </cell>
          <cell r="S1414" t="str">
            <v>Welch Allyn Malaysia Sdn Bhd</v>
          </cell>
          <cell r="T1414" t="str">
            <v>Functioning</v>
          </cell>
          <cell r="U1414" t="str">
            <v>Asset</v>
          </cell>
          <cell r="V1414">
            <v>10585</v>
          </cell>
          <cell r="W1414" t="str">
            <v>KEW</v>
          </cell>
          <cell r="X1414" t="str">
            <v>01/09/2010</v>
          </cell>
          <cell r="Y1414" t="str">
            <v>KEW</v>
          </cell>
          <cell r="Z1414" t="str">
            <v>16/08/2013</v>
          </cell>
          <cell r="AA1414" t="str">
            <v>15/08/2015</v>
          </cell>
          <cell r="AB1414" t="str">
            <v>No</v>
          </cell>
          <cell r="AC1414" t="str">
            <v>31/08/2013</v>
          </cell>
          <cell r="AD1414" t="str">
            <v>Good</v>
          </cell>
          <cell r="AE1414" t="str">
            <v>V1 - Existing / No Claim</v>
          </cell>
          <cell r="AF1414">
            <v>42235</v>
          </cell>
          <cell r="AG1414">
            <v>9.17</v>
          </cell>
          <cell r="AH1414" t="str">
            <v>PPM</v>
          </cell>
          <cell r="AI1414" t="str">
            <v>Propose P1.24</v>
          </cell>
        </row>
        <row r="1415">
          <cell r="A1415" t="str">
            <v>IKN401110</v>
          </cell>
          <cell r="B1415">
            <v>1108</v>
          </cell>
          <cell r="C1415" t="str">
            <v>Institut Kanser Negara</v>
          </cell>
          <cell r="E1415" t="str">
            <v>12-282</v>
          </cell>
          <cell r="F1415" t="str">
            <v>Lights, Surgical</v>
          </cell>
          <cell r="G1415" t="str">
            <v>MT</v>
          </cell>
          <cell r="H1415" t="str">
            <v>MORTUARY</v>
          </cell>
          <cell r="I1415" t="str">
            <v>01MT132</v>
          </cell>
          <cell r="J1415" t="str">
            <v>POST-MORTEM</v>
          </cell>
          <cell r="K1415" t="str">
            <v>BMED</v>
          </cell>
          <cell r="L1415" t="str">
            <v>Normal</v>
          </cell>
          <cell r="M1415" t="str">
            <v>USA</v>
          </cell>
          <cell r="N1415" t="str">
            <v>Welch Allyn</v>
          </cell>
          <cell r="O1415" t="str">
            <v>Welch Allyn GS900</v>
          </cell>
          <cell r="P1415" t="str">
            <v>10033711107134</v>
          </cell>
          <cell r="Q1415" t="str">
            <v>Not Applicable</v>
          </cell>
          <cell r="R1415" t="str">
            <v>Welch Allyn Inc</v>
          </cell>
          <cell r="S1415" t="str">
            <v>Welch Allyn Malaysia Sdn Bhd</v>
          </cell>
          <cell r="T1415" t="str">
            <v>Functioning</v>
          </cell>
          <cell r="U1415" t="str">
            <v>Asset</v>
          </cell>
          <cell r="V1415">
            <v>10585</v>
          </cell>
          <cell r="W1415" t="str">
            <v>KEW</v>
          </cell>
          <cell r="X1415" t="str">
            <v>01/09/2010</v>
          </cell>
          <cell r="Y1415" t="str">
            <v>KEW</v>
          </cell>
          <cell r="Z1415" t="str">
            <v>16/08/2013</v>
          </cell>
          <cell r="AA1415" t="str">
            <v>15/08/2015</v>
          </cell>
          <cell r="AB1415" t="str">
            <v>No</v>
          </cell>
          <cell r="AC1415" t="str">
            <v>31/08/2013</v>
          </cell>
          <cell r="AD1415" t="str">
            <v>Good</v>
          </cell>
          <cell r="AE1415" t="str">
            <v>V1 - Existing / No Claim</v>
          </cell>
          <cell r="AF1415">
            <v>42235</v>
          </cell>
          <cell r="AG1415">
            <v>9.17</v>
          </cell>
          <cell r="AH1415" t="str">
            <v>PPM</v>
          </cell>
          <cell r="AI1415" t="str">
            <v>Not in contract</v>
          </cell>
        </row>
        <row r="1416">
          <cell r="A1416" t="str">
            <v>IKN401111</v>
          </cell>
          <cell r="B1416">
            <v>1109</v>
          </cell>
          <cell r="C1416" t="str">
            <v>Institut Kanser Negara</v>
          </cell>
          <cell r="D1416" t="str">
            <v>KKM/IKN/H/13/4406</v>
          </cell>
          <cell r="E1416" t="str">
            <v>12-282</v>
          </cell>
          <cell r="F1416" t="str">
            <v>Lights, Surgical</v>
          </cell>
          <cell r="G1416" t="str">
            <v>IC</v>
          </cell>
          <cell r="H1416" t="str">
            <v>INTENSIVE CARE UNIT</v>
          </cell>
          <cell r="I1416" t="str">
            <v>05IC113</v>
          </cell>
          <cell r="J1416" t="str">
            <v>ICU RM 2</v>
          </cell>
          <cell r="K1416" t="str">
            <v>BMED</v>
          </cell>
          <cell r="L1416" t="str">
            <v>Critical</v>
          </cell>
          <cell r="M1416" t="str">
            <v>USA</v>
          </cell>
          <cell r="N1416" t="str">
            <v>Welch Allyn</v>
          </cell>
          <cell r="O1416" t="str">
            <v>Welch Allyn GS900</v>
          </cell>
          <cell r="P1416" t="str">
            <v>10043011102356</v>
          </cell>
          <cell r="Q1416" t="str">
            <v>Not Applicable</v>
          </cell>
          <cell r="R1416" t="str">
            <v>Welch Allyn Inc</v>
          </cell>
          <cell r="S1416" t="str">
            <v>Welch Allyn Malaysia Sdn Bhd</v>
          </cell>
          <cell r="T1416" t="str">
            <v>Functioning</v>
          </cell>
          <cell r="U1416" t="str">
            <v>Asset</v>
          </cell>
          <cell r="V1416">
            <v>10585</v>
          </cell>
          <cell r="W1416" t="str">
            <v>KEW</v>
          </cell>
          <cell r="X1416" t="str">
            <v>01/09/2010</v>
          </cell>
          <cell r="Y1416" t="str">
            <v>KEW</v>
          </cell>
          <cell r="Z1416" t="str">
            <v>16/08/2013</v>
          </cell>
          <cell r="AA1416" t="str">
            <v>15/08/2015</v>
          </cell>
          <cell r="AB1416" t="str">
            <v>No</v>
          </cell>
          <cell r="AC1416" t="str">
            <v>31/08/2013</v>
          </cell>
          <cell r="AD1416" t="str">
            <v>Good</v>
          </cell>
          <cell r="AE1416" t="str">
            <v>V1 - Existing / No Claim</v>
          </cell>
          <cell r="AF1416">
            <v>42797</v>
          </cell>
          <cell r="AG1416">
            <v>9.17</v>
          </cell>
          <cell r="AH1416" t="str">
            <v>PPM</v>
          </cell>
          <cell r="AI1416" t="str">
            <v>Strands</v>
          </cell>
          <cell r="AJ1416" t="str">
            <v>Strands PW</v>
          </cell>
        </row>
        <row r="1417">
          <cell r="A1417" t="str">
            <v>IKN401112</v>
          </cell>
          <cell r="B1417">
            <v>1110</v>
          </cell>
          <cell r="C1417" t="str">
            <v>Institut Kanser Negara</v>
          </cell>
          <cell r="D1417" t="str">
            <v>KKM/IKN/H/13/4364</v>
          </cell>
          <cell r="E1417" t="str">
            <v>12-282</v>
          </cell>
          <cell r="F1417" t="str">
            <v>Lights, Surgical</v>
          </cell>
          <cell r="G1417" t="str">
            <v>IC</v>
          </cell>
          <cell r="H1417" t="str">
            <v>INTENSIVE CARE UNIT</v>
          </cell>
          <cell r="I1417" t="str">
            <v>05IC111</v>
          </cell>
          <cell r="J1417" t="str">
            <v>ISOL 1(-VE)</v>
          </cell>
          <cell r="K1417" t="str">
            <v>BMED</v>
          </cell>
          <cell r="L1417" t="str">
            <v>Normal</v>
          </cell>
          <cell r="M1417" t="str">
            <v>USA</v>
          </cell>
          <cell r="N1417" t="str">
            <v>Welch Allyn</v>
          </cell>
          <cell r="O1417" t="str">
            <v>Welch Allyn GS900</v>
          </cell>
          <cell r="P1417" t="str">
            <v>10033711107114</v>
          </cell>
          <cell r="Q1417" t="str">
            <v>Not Applicable</v>
          </cell>
          <cell r="R1417" t="str">
            <v>Welch Allyn Inc</v>
          </cell>
          <cell r="S1417" t="str">
            <v>Welch Allyn Malaysia Sdn Bhd</v>
          </cell>
          <cell r="T1417" t="str">
            <v>Functioning</v>
          </cell>
          <cell r="U1417" t="str">
            <v>Asset</v>
          </cell>
          <cell r="V1417">
            <v>10585</v>
          </cell>
          <cell r="W1417" t="str">
            <v>KEW</v>
          </cell>
          <cell r="X1417" t="str">
            <v>01/09/2010</v>
          </cell>
          <cell r="Y1417" t="str">
            <v>KEW</v>
          </cell>
          <cell r="Z1417" t="str">
            <v>16/08/2013</v>
          </cell>
          <cell r="AA1417" t="str">
            <v>15/08/2015</v>
          </cell>
          <cell r="AB1417" t="str">
            <v>No</v>
          </cell>
          <cell r="AC1417" t="str">
            <v>31/08/2013</v>
          </cell>
          <cell r="AD1417" t="str">
            <v>Good</v>
          </cell>
          <cell r="AE1417" t="str">
            <v>V1 - Existing / No Claim</v>
          </cell>
          <cell r="AF1417">
            <v>42235</v>
          </cell>
          <cell r="AG1417">
            <v>9.17</v>
          </cell>
          <cell r="AH1417" t="str">
            <v>PPM</v>
          </cell>
          <cell r="AI1417" t="str">
            <v>Strands</v>
          </cell>
          <cell r="AJ1417" t="str">
            <v>Strands PW</v>
          </cell>
        </row>
        <row r="1418">
          <cell r="A1418" t="str">
            <v>IKN401113</v>
          </cell>
          <cell r="B1418">
            <v>1111</v>
          </cell>
          <cell r="C1418" t="str">
            <v>Institut Kanser Negara</v>
          </cell>
          <cell r="D1418" t="str">
            <v>KKM/IKN/H/13/4407</v>
          </cell>
          <cell r="E1418" t="str">
            <v>12-282</v>
          </cell>
          <cell r="F1418" t="str">
            <v>Lights, Surgical</v>
          </cell>
          <cell r="G1418" t="str">
            <v>IC</v>
          </cell>
          <cell r="H1418" t="str">
            <v>INTENSIVE CARE UNIT</v>
          </cell>
          <cell r="I1418" t="str">
            <v>05IC115</v>
          </cell>
          <cell r="J1418" t="str">
            <v>ICU RM 4</v>
          </cell>
          <cell r="K1418" t="str">
            <v>BMED</v>
          </cell>
          <cell r="L1418" t="str">
            <v>Critical</v>
          </cell>
          <cell r="M1418" t="str">
            <v>USA</v>
          </cell>
          <cell r="N1418" t="str">
            <v>Welch Allyn</v>
          </cell>
          <cell r="O1418" t="str">
            <v>Welch Allyn GS900</v>
          </cell>
          <cell r="P1418" t="str">
            <v>10043011102388</v>
          </cell>
          <cell r="Q1418" t="str">
            <v>Not Applicable</v>
          </cell>
          <cell r="R1418" t="str">
            <v>Welch Allyn Inc</v>
          </cell>
          <cell r="S1418" t="str">
            <v>Welch Allyn Malaysia Sdn Bhd</v>
          </cell>
          <cell r="T1418" t="str">
            <v>Functioning</v>
          </cell>
          <cell r="U1418" t="str">
            <v>Asset</v>
          </cell>
          <cell r="V1418">
            <v>10585</v>
          </cell>
          <cell r="W1418" t="str">
            <v>KEW</v>
          </cell>
          <cell r="X1418" t="str">
            <v>01/09/2010</v>
          </cell>
          <cell r="Y1418" t="str">
            <v>KEW</v>
          </cell>
          <cell r="Z1418" t="str">
            <v>16/08/2013</v>
          </cell>
          <cell r="AA1418" t="str">
            <v>15/08/2015</v>
          </cell>
          <cell r="AB1418" t="str">
            <v>No</v>
          </cell>
          <cell r="AC1418" t="str">
            <v>31/08/2013</v>
          </cell>
          <cell r="AD1418" t="str">
            <v>Good</v>
          </cell>
          <cell r="AE1418" t="str">
            <v>V1 - Existing / No Claim</v>
          </cell>
          <cell r="AF1418">
            <v>42797</v>
          </cell>
          <cell r="AG1418">
            <v>9.17</v>
          </cell>
          <cell r="AH1418" t="str">
            <v>PPM</v>
          </cell>
          <cell r="AI1418" t="str">
            <v>Strands</v>
          </cell>
          <cell r="AJ1418" t="str">
            <v>Strands PW</v>
          </cell>
        </row>
        <row r="1419">
          <cell r="A1419" t="str">
            <v>IKN401122</v>
          </cell>
          <cell r="B1419">
            <v>1120</v>
          </cell>
          <cell r="C1419" t="str">
            <v>Institut Kanser Negara</v>
          </cell>
          <cell r="D1419" t="str">
            <v>KKM/IKN/H/13/358</v>
          </cell>
          <cell r="E1419" t="str">
            <v>12-873</v>
          </cell>
          <cell r="F1419" t="str">
            <v>Concentrators, Oxygen</v>
          </cell>
          <cell r="G1419" t="str">
            <v>PC</v>
          </cell>
          <cell r="H1419" t="str">
            <v>PALLIATIVE CARE UNIT</v>
          </cell>
          <cell r="I1419" t="str">
            <v>04PC109</v>
          </cell>
          <cell r="J1419" t="str">
            <v>GEN. STORE</v>
          </cell>
          <cell r="K1419" t="str">
            <v>BMED</v>
          </cell>
          <cell r="L1419" t="str">
            <v>Normal</v>
          </cell>
          <cell r="M1419" t="str">
            <v>USA</v>
          </cell>
          <cell r="N1419" t="str">
            <v>EverFlo</v>
          </cell>
          <cell r="O1419" t="str">
            <v>EverFlo</v>
          </cell>
          <cell r="P1419" t="str">
            <v>14758</v>
          </cell>
          <cell r="Q1419" t="str">
            <v>Not Applicable</v>
          </cell>
          <cell r="R1419" t="str">
            <v>Respironics</v>
          </cell>
          <cell r="S1419" t="str">
            <v>Goodlabs Medical (M) Sdn. Bhd.</v>
          </cell>
          <cell r="T1419" t="str">
            <v>Functioning</v>
          </cell>
          <cell r="U1419" t="str">
            <v>Asset</v>
          </cell>
          <cell r="V1419">
            <v>5773</v>
          </cell>
          <cell r="W1419" t="str">
            <v>KEW</v>
          </cell>
          <cell r="X1419">
            <v>40422</v>
          </cell>
          <cell r="Y1419" t="str">
            <v>KEW</v>
          </cell>
          <cell r="Z1419" t="str">
            <v>16/08/2013</v>
          </cell>
          <cell r="AA1419" t="str">
            <v>15/08/2015</v>
          </cell>
          <cell r="AB1419" t="str">
            <v>No</v>
          </cell>
          <cell r="AC1419" t="str">
            <v>31/08/2013</v>
          </cell>
          <cell r="AD1419" t="str">
            <v>Good</v>
          </cell>
          <cell r="AE1419" t="str">
            <v>V1 - Existing / No Claim</v>
          </cell>
          <cell r="AF1419">
            <v>42235</v>
          </cell>
          <cell r="AG1419">
            <v>9.17</v>
          </cell>
          <cell r="AH1419" t="str">
            <v>PPM</v>
          </cell>
          <cell r="AI1419" t="str">
            <v>Strands</v>
          </cell>
          <cell r="AJ1419" t="str">
            <v>Strands PW</v>
          </cell>
        </row>
        <row r="1420">
          <cell r="A1420" t="str">
            <v>IKN401123</v>
          </cell>
          <cell r="B1420">
            <v>1121</v>
          </cell>
          <cell r="C1420" t="str">
            <v>Institut Kanser Negara</v>
          </cell>
          <cell r="D1420" t="str">
            <v>KKM/IKN/H/13/4290</v>
          </cell>
          <cell r="E1420" t="str">
            <v>13-215</v>
          </cell>
          <cell r="F1420" t="str">
            <v>Infusion Pumps, General-Purpose</v>
          </cell>
          <cell r="G1420" t="str">
            <v>WB</v>
          </cell>
          <cell r="H1420" t="str">
            <v>SURGICAL ONCO MALE WARD</v>
          </cell>
          <cell r="I1420" t="str">
            <v>05WB113</v>
          </cell>
          <cell r="J1420" t="str">
            <v>EQUIP. ROOM</v>
          </cell>
          <cell r="K1420" t="str">
            <v>BMED</v>
          </cell>
          <cell r="L1420" t="str">
            <v>Critical</v>
          </cell>
          <cell r="M1420" t="str">
            <v>Germany</v>
          </cell>
          <cell r="N1420" t="str">
            <v>Infusomat</v>
          </cell>
          <cell r="O1420" t="str">
            <v>Infusomat Space</v>
          </cell>
          <cell r="P1420" t="str">
            <v>211911</v>
          </cell>
          <cell r="Q1420" t="str">
            <v>Not Applicable</v>
          </cell>
          <cell r="R1420" t="str">
            <v>B Braun Melsungen AG</v>
          </cell>
          <cell r="S1420" t="str">
            <v>B Braun Medical Supplies Sdn. Bhd.</v>
          </cell>
          <cell r="T1420" t="str">
            <v>Functioning</v>
          </cell>
          <cell r="U1420" t="str">
            <v>Asset</v>
          </cell>
          <cell r="V1420">
            <v>10825</v>
          </cell>
          <cell r="W1420" t="str">
            <v>KEW</v>
          </cell>
          <cell r="X1420" t="str">
            <v>01/09/2010</v>
          </cell>
          <cell r="Y1420" t="str">
            <v>KEW</v>
          </cell>
          <cell r="Z1420" t="str">
            <v>16/08/2013</v>
          </cell>
          <cell r="AA1420" t="str">
            <v>15/08/2015</v>
          </cell>
          <cell r="AB1420" t="str">
            <v>No</v>
          </cell>
          <cell r="AC1420" t="str">
            <v>31/08/2013</v>
          </cell>
          <cell r="AD1420" t="str">
            <v>Good</v>
          </cell>
          <cell r="AE1420" t="str">
            <v>V1 - Existing / No Claim</v>
          </cell>
          <cell r="AF1420">
            <v>42788</v>
          </cell>
          <cell r="AG1420">
            <v>9.17</v>
          </cell>
          <cell r="AH1420" t="str">
            <v>PPM</v>
          </cell>
          <cell r="AI1420" t="str">
            <v>Strands</v>
          </cell>
          <cell r="AJ1420" t="str">
            <v>Strands PW SET B</v>
          </cell>
          <cell r="AK1420" t="str">
            <v>CUBA CHECK IKN400441 PUNYA KEWPA</v>
          </cell>
        </row>
        <row r="1421">
          <cell r="A1421" t="str">
            <v>IKN401124</v>
          </cell>
          <cell r="B1421">
            <v>1122</v>
          </cell>
          <cell r="C1421" t="str">
            <v>Institut Kanser Negara</v>
          </cell>
          <cell r="D1421" t="str">
            <v>KKM/IKN/R/15/15</v>
          </cell>
          <cell r="E1421" t="str">
            <v>15-663</v>
          </cell>
          <cell r="F1421" t="str">
            <v>Pipetters</v>
          </cell>
          <cell r="G1421" t="str">
            <v>NM</v>
          </cell>
          <cell r="H1421" t="str">
            <v>NUCLEAR MED (DIAGNOSTIC)</v>
          </cell>
          <cell r="I1421" t="str">
            <v>03NM154</v>
          </cell>
          <cell r="J1421" t="str">
            <v>RIA LAB</v>
          </cell>
          <cell r="K1421" t="str">
            <v>BMED</v>
          </cell>
          <cell r="L1421" t="str">
            <v>Normal</v>
          </cell>
          <cell r="M1421" t="str">
            <v>Germany</v>
          </cell>
          <cell r="N1421" t="str">
            <v>Eppendorf</v>
          </cell>
          <cell r="O1421" t="str">
            <v>Research Plus</v>
          </cell>
          <cell r="P1421" t="str">
            <v>J275491D</v>
          </cell>
          <cell r="Q1421" t="str">
            <v>Not Applicable</v>
          </cell>
          <cell r="R1421" t="str">
            <v>Eppendorf</v>
          </cell>
          <cell r="S1421" t="str">
            <v>Medigene sdn bhd</v>
          </cell>
          <cell r="T1421" t="str">
            <v>Functioning</v>
          </cell>
          <cell r="U1421" t="str">
            <v>Asset</v>
          </cell>
          <cell r="V1421">
            <v>596</v>
          </cell>
          <cell r="W1421" t="str">
            <v>KEW</v>
          </cell>
          <cell r="X1421" t="str">
            <v>08/05/2015</v>
          </cell>
          <cell r="Y1421" t="str">
            <v>KEW</v>
          </cell>
          <cell r="Z1421" t="str">
            <v>08/06/2015</v>
          </cell>
          <cell r="AA1421" t="str">
            <v>07/06/2018</v>
          </cell>
          <cell r="AB1421" t="str">
            <v>No</v>
          </cell>
          <cell r="AC1421" t="str">
            <v>08/06/2015</v>
          </cell>
          <cell r="AD1421" t="str">
            <v>Good</v>
          </cell>
          <cell r="AE1421" t="str">
            <v>V3 - Added Installed Facilities (New)</v>
          </cell>
          <cell r="AF1421">
            <v>42235</v>
          </cell>
          <cell r="AG1421">
            <v>4.5</v>
          </cell>
          <cell r="AH1421" t="str">
            <v>PPM</v>
          </cell>
          <cell r="AI1421" t="str">
            <v>Not in contract</v>
          </cell>
          <cell r="AJ1421" t="str">
            <v>Proposed for V3 P2.23</v>
          </cell>
          <cell r="AK1421" t="str">
            <v>KKM follow P2.23 list.</v>
          </cell>
        </row>
        <row r="1422">
          <cell r="A1422" t="str">
            <v>IKN401125</v>
          </cell>
          <cell r="B1422">
            <v>1123</v>
          </cell>
          <cell r="C1422" t="str">
            <v>Institut Kanser Negara</v>
          </cell>
          <cell r="D1422" t="str">
            <v>KKM/IKN/R/15/16</v>
          </cell>
          <cell r="E1422" t="str">
            <v>15-663</v>
          </cell>
          <cell r="F1422" t="str">
            <v>Pipetters</v>
          </cell>
          <cell r="G1422" t="str">
            <v>NM</v>
          </cell>
          <cell r="H1422" t="str">
            <v>NUCLEAR MED (DIAGNOSTIC)</v>
          </cell>
          <cell r="I1422" t="str">
            <v>03NM154</v>
          </cell>
          <cell r="J1422" t="str">
            <v>RIA LAB</v>
          </cell>
          <cell r="K1422" t="str">
            <v>BMED</v>
          </cell>
          <cell r="L1422" t="str">
            <v>Normal</v>
          </cell>
          <cell r="M1422" t="str">
            <v>Germany</v>
          </cell>
          <cell r="N1422" t="str">
            <v>Eppendorf</v>
          </cell>
          <cell r="O1422" t="str">
            <v>Research Plus</v>
          </cell>
          <cell r="P1422" t="str">
            <v>358798Z</v>
          </cell>
          <cell r="Q1422" t="str">
            <v>Not Applicable</v>
          </cell>
          <cell r="R1422" t="str">
            <v>Eppendorf</v>
          </cell>
          <cell r="S1422" t="str">
            <v>Medigene sdn bhd</v>
          </cell>
          <cell r="T1422" t="str">
            <v>Functioning</v>
          </cell>
          <cell r="U1422" t="str">
            <v>Asset</v>
          </cell>
          <cell r="V1422">
            <v>762</v>
          </cell>
          <cell r="W1422" t="str">
            <v>KEW</v>
          </cell>
          <cell r="X1422" t="str">
            <v>08/05/2015</v>
          </cell>
          <cell r="Y1422" t="str">
            <v>KEW</v>
          </cell>
          <cell r="Z1422" t="str">
            <v>08/06/2015</v>
          </cell>
          <cell r="AA1422" t="str">
            <v>07/06/2018</v>
          </cell>
          <cell r="AB1422" t="str">
            <v>No</v>
          </cell>
          <cell r="AC1422" t="str">
            <v>08/06/2015</v>
          </cell>
          <cell r="AD1422" t="str">
            <v>Good</v>
          </cell>
          <cell r="AE1422" t="str">
            <v>V3 - Added Installed Facilities (New)</v>
          </cell>
          <cell r="AF1422">
            <v>42235</v>
          </cell>
          <cell r="AG1422">
            <v>4.5</v>
          </cell>
          <cell r="AH1422" t="str">
            <v>PPM</v>
          </cell>
          <cell r="AI1422" t="str">
            <v>Not in contract</v>
          </cell>
          <cell r="AJ1422" t="str">
            <v>Proposed for V3 P2.23</v>
          </cell>
          <cell r="AK1422" t="str">
            <v>KKM follow P2.23 list.</v>
          </cell>
        </row>
        <row r="1423">
          <cell r="A1423" t="str">
            <v>IKN401126</v>
          </cell>
          <cell r="B1423">
            <v>1124</v>
          </cell>
          <cell r="C1423" t="str">
            <v>Institut Kanser Negara</v>
          </cell>
          <cell r="D1423" t="e">
            <v>#N/A</v>
          </cell>
          <cell r="E1423" t="str">
            <v>15-605</v>
          </cell>
          <cell r="F1423" t="str">
            <v>Testers</v>
          </cell>
          <cell r="G1423" t="str">
            <v>PS</v>
          </cell>
          <cell r="H1423" t="str">
            <v>SUPPORT SERVICE/PLANT</v>
          </cell>
          <cell r="I1423" t="str">
            <v>01PS105</v>
          </cell>
          <cell r="J1423" t="str">
            <v>CHIEF ENGINEER</v>
          </cell>
          <cell r="K1423" t="str">
            <v>BMED</v>
          </cell>
          <cell r="L1423" t="str">
            <v>Normal</v>
          </cell>
          <cell r="M1423" t="str">
            <v>USA</v>
          </cell>
          <cell r="N1423" t="str">
            <v>Fluke</v>
          </cell>
          <cell r="O1423" t="str">
            <v>Impulse 7000 DP</v>
          </cell>
          <cell r="P1423" t="str">
            <v>2298012</v>
          </cell>
          <cell r="Q1423" t="str">
            <v>Not Applicable</v>
          </cell>
          <cell r="R1423" t="str">
            <v>Fluke Biomedical RMS</v>
          </cell>
          <cell r="S1423" t="str">
            <v>Bell Comm Technologies Sdn Bhd</v>
          </cell>
          <cell r="T1423" t="str">
            <v>Functioning</v>
          </cell>
          <cell r="U1423" t="str">
            <v>Asset</v>
          </cell>
          <cell r="V1423">
            <v>22130</v>
          </cell>
          <cell r="W1423" t="str">
            <v>KEW</v>
          </cell>
          <cell r="X1423" t="str">
            <v>01/09/2010</v>
          </cell>
          <cell r="Y1423" t="str">
            <v>KEW</v>
          </cell>
          <cell r="Z1423" t="str">
            <v>16/08/2013</v>
          </cell>
          <cell r="AA1423" t="str">
            <v>15/08/2015</v>
          </cell>
          <cell r="AB1423" t="str">
            <v>No</v>
          </cell>
          <cell r="AC1423" t="str">
            <v>31/08/2013</v>
          </cell>
          <cell r="AD1423" t="str">
            <v>Good</v>
          </cell>
          <cell r="AE1423" t="str">
            <v>V1 - Existing / No Claim</v>
          </cell>
          <cell r="AF1423">
            <v>42235</v>
          </cell>
          <cell r="AG1423">
            <v>9.17</v>
          </cell>
          <cell r="AH1423" t="str">
            <v>PPM</v>
          </cell>
          <cell r="AI1423" t="str">
            <v>Not in contract</v>
          </cell>
          <cell r="AJ1423" t="str">
            <v>ANALYZER</v>
          </cell>
          <cell r="AK1423" t="str">
            <v>IKN agreed unit to be used by BEMS but have to calibrate.</v>
          </cell>
        </row>
        <row r="1424">
          <cell r="A1424" t="str">
            <v>IKN401127</v>
          </cell>
          <cell r="B1424">
            <v>1125</v>
          </cell>
          <cell r="C1424" t="str">
            <v>Institut Kanser Negara</v>
          </cell>
          <cell r="D1424" t="e">
            <v>#N/A</v>
          </cell>
          <cell r="E1424" t="str">
            <v>15-605</v>
          </cell>
          <cell r="F1424" t="str">
            <v>Testers</v>
          </cell>
          <cell r="G1424" t="str">
            <v>PS</v>
          </cell>
          <cell r="H1424" t="str">
            <v>SUPPORT SERVICE/PLANT</v>
          </cell>
          <cell r="I1424" t="str">
            <v>01PS105</v>
          </cell>
          <cell r="J1424" t="str">
            <v>CHIEF ENGINEER</v>
          </cell>
          <cell r="K1424" t="str">
            <v>BMED</v>
          </cell>
          <cell r="L1424" t="str">
            <v>Normal</v>
          </cell>
          <cell r="M1424" t="str">
            <v>USA</v>
          </cell>
          <cell r="N1424" t="str">
            <v>Fluke</v>
          </cell>
          <cell r="O1424" t="str">
            <v>Index 2XLFE</v>
          </cell>
          <cell r="P1424" t="str">
            <v>2324002</v>
          </cell>
          <cell r="Q1424" t="str">
            <v>Not Applicable</v>
          </cell>
          <cell r="R1424" t="str">
            <v>Fluke Biomedical RMS</v>
          </cell>
          <cell r="S1424" t="str">
            <v>Bell Comm Technologies Sdn Bhd</v>
          </cell>
          <cell r="T1424" t="str">
            <v>Functioning</v>
          </cell>
          <cell r="U1424" t="str">
            <v>Asset</v>
          </cell>
          <cell r="V1424">
            <v>30070</v>
          </cell>
          <cell r="W1424" t="str">
            <v>KEW</v>
          </cell>
          <cell r="X1424" t="str">
            <v>01/09/2010</v>
          </cell>
          <cell r="Y1424" t="str">
            <v>KEW</v>
          </cell>
          <cell r="Z1424" t="str">
            <v>16/08/2013</v>
          </cell>
          <cell r="AA1424" t="str">
            <v>15/08/2015</v>
          </cell>
          <cell r="AB1424" t="str">
            <v>No</v>
          </cell>
          <cell r="AC1424" t="str">
            <v>31/08/2013</v>
          </cell>
          <cell r="AD1424" t="str">
            <v>Good</v>
          </cell>
          <cell r="AE1424" t="str">
            <v>V1 - Existing / No Claim</v>
          </cell>
          <cell r="AF1424">
            <v>42235</v>
          </cell>
          <cell r="AG1424">
            <v>9.17</v>
          </cell>
          <cell r="AH1424" t="str">
            <v>PPM</v>
          </cell>
          <cell r="AI1424" t="str">
            <v>Not in contract</v>
          </cell>
          <cell r="AJ1424" t="str">
            <v>ANALYZER</v>
          </cell>
          <cell r="AK1424" t="str">
            <v>IKN agreed unit to be used by BEMS but have to calibrate.</v>
          </cell>
        </row>
        <row r="1425">
          <cell r="A1425" t="str">
            <v>IKN401128</v>
          </cell>
          <cell r="B1425">
            <v>1126</v>
          </cell>
          <cell r="C1425" t="str">
            <v>Institut Kanser Negara</v>
          </cell>
          <cell r="D1425" t="e">
            <v>#N/A</v>
          </cell>
          <cell r="E1425" t="str">
            <v>15-605</v>
          </cell>
          <cell r="F1425" t="str">
            <v>Testers</v>
          </cell>
          <cell r="G1425" t="str">
            <v>PS</v>
          </cell>
          <cell r="H1425" t="str">
            <v>SUPPORT SERVICE/PLANT</v>
          </cell>
          <cell r="I1425" t="str">
            <v>01PS105</v>
          </cell>
          <cell r="J1425" t="str">
            <v>CHIEF ENGINEER</v>
          </cell>
          <cell r="K1425" t="str">
            <v>BMED</v>
          </cell>
          <cell r="L1425" t="str">
            <v>Normal</v>
          </cell>
          <cell r="M1425" t="str">
            <v>USA</v>
          </cell>
          <cell r="N1425" t="str">
            <v>Fluke</v>
          </cell>
          <cell r="O1425" t="str">
            <v>BP PUMP 2L</v>
          </cell>
          <cell r="P1425" t="str">
            <v>2318007</v>
          </cell>
          <cell r="Q1425" t="str">
            <v>Not Applicable</v>
          </cell>
          <cell r="R1425" t="str">
            <v>Fluke Biomedical RMS</v>
          </cell>
          <cell r="S1425" t="str">
            <v>Bell Comm Technologies Sdn Bhd</v>
          </cell>
          <cell r="T1425" t="str">
            <v>Functioning</v>
          </cell>
          <cell r="U1425" t="str">
            <v>Asset</v>
          </cell>
          <cell r="V1425">
            <v>31034</v>
          </cell>
          <cell r="W1425" t="str">
            <v>KEW</v>
          </cell>
          <cell r="X1425" t="str">
            <v>01/09/2010</v>
          </cell>
          <cell r="Y1425" t="str">
            <v>KEW</v>
          </cell>
          <cell r="Z1425" t="str">
            <v>16/08/2013</v>
          </cell>
          <cell r="AA1425" t="str">
            <v>15/08/2015</v>
          </cell>
          <cell r="AB1425" t="str">
            <v>No</v>
          </cell>
          <cell r="AC1425" t="str">
            <v>31/08/2013</v>
          </cell>
          <cell r="AD1425" t="str">
            <v>Good</v>
          </cell>
          <cell r="AE1425" t="str">
            <v>V1 - Existing / No Claim</v>
          </cell>
          <cell r="AF1425">
            <v>42235</v>
          </cell>
          <cell r="AG1425">
            <v>9.17</v>
          </cell>
          <cell r="AH1425" t="str">
            <v>PPM</v>
          </cell>
          <cell r="AI1425" t="str">
            <v>Not in contract</v>
          </cell>
          <cell r="AJ1425" t="str">
            <v>ANALYZER</v>
          </cell>
          <cell r="AK1425" t="str">
            <v>IKN agreed unit to be used by BEMS but have to calibrate.</v>
          </cell>
        </row>
        <row r="1426">
          <cell r="A1426" t="str">
            <v>IKN401129</v>
          </cell>
          <cell r="B1426">
            <v>1127</v>
          </cell>
          <cell r="C1426" t="str">
            <v>Institut Kanser Negara</v>
          </cell>
          <cell r="D1426" t="e">
            <v>#N/A</v>
          </cell>
          <cell r="E1426" t="str">
            <v>15-605</v>
          </cell>
          <cell r="F1426" t="str">
            <v>Testers</v>
          </cell>
          <cell r="G1426" t="str">
            <v>PS</v>
          </cell>
          <cell r="H1426" t="str">
            <v>SUPPORT SERVICE/PLANT</v>
          </cell>
          <cell r="I1426" t="str">
            <v>01PS105</v>
          </cell>
          <cell r="J1426" t="str">
            <v>CHIEF ENGINEER</v>
          </cell>
          <cell r="K1426" t="str">
            <v>BMED</v>
          </cell>
          <cell r="L1426" t="str">
            <v>Normal</v>
          </cell>
          <cell r="M1426" t="str">
            <v>USA</v>
          </cell>
          <cell r="N1426" t="str">
            <v>Fluke</v>
          </cell>
          <cell r="O1426" t="str">
            <v>VT MOBILE</v>
          </cell>
          <cell r="P1426" t="str">
            <v>2322028</v>
          </cell>
          <cell r="Q1426" t="str">
            <v>Not Applicable</v>
          </cell>
          <cell r="R1426" t="str">
            <v>Fluke Biomedical RMS</v>
          </cell>
          <cell r="S1426" t="str">
            <v>Bell Comm Technologies Sdn Bhd</v>
          </cell>
          <cell r="T1426" t="str">
            <v>Functioning</v>
          </cell>
          <cell r="U1426" t="str">
            <v>Asset</v>
          </cell>
          <cell r="V1426">
            <v>56956</v>
          </cell>
          <cell r="W1426" t="str">
            <v>KEW</v>
          </cell>
          <cell r="X1426" t="str">
            <v>01/09/2010</v>
          </cell>
          <cell r="Y1426" t="str">
            <v>KEW</v>
          </cell>
          <cell r="Z1426" t="str">
            <v>16/08/2013</v>
          </cell>
          <cell r="AA1426" t="str">
            <v>15/08/2015</v>
          </cell>
          <cell r="AB1426" t="str">
            <v>No</v>
          </cell>
          <cell r="AC1426" t="str">
            <v>31/08/2013</v>
          </cell>
          <cell r="AD1426" t="str">
            <v>Good</v>
          </cell>
          <cell r="AE1426" t="str">
            <v>V1 - Existing / No Claim</v>
          </cell>
          <cell r="AF1426">
            <v>42235</v>
          </cell>
          <cell r="AG1426">
            <v>9.17</v>
          </cell>
          <cell r="AH1426" t="str">
            <v>PPM</v>
          </cell>
          <cell r="AI1426" t="str">
            <v>Not in contract</v>
          </cell>
          <cell r="AJ1426" t="str">
            <v>ANALYZER</v>
          </cell>
          <cell r="AK1426" t="str">
            <v>IKN agreed unit to be used by BEMS but have to calibrate.</v>
          </cell>
        </row>
        <row r="1427">
          <cell r="A1427" t="str">
            <v>IKN401130</v>
          </cell>
          <cell r="B1427">
            <v>1128</v>
          </cell>
          <cell r="C1427" t="str">
            <v>Institut Kanser Negara</v>
          </cell>
          <cell r="D1427" t="e">
            <v>#N/A</v>
          </cell>
          <cell r="E1427" t="str">
            <v>15-605</v>
          </cell>
          <cell r="F1427" t="str">
            <v>Testers</v>
          </cell>
          <cell r="G1427" t="str">
            <v>PS</v>
          </cell>
          <cell r="H1427" t="str">
            <v>SUPPORT SERVICE/PLANT</v>
          </cell>
          <cell r="I1427" t="str">
            <v>01PS105</v>
          </cell>
          <cell r="J1427" t="str">
            <v>CHIEF ENGINEER</v>
          </cell>
          <cell r="K1427" t="str">
            <v>BMED</v>
          </cell>
          <cell r="L1427" t="str">
            <v>Normal</v>
          </cell>
          <cell r="M1427" t="str">
            <v>USA</v>
          </cell>
          <cell r="N1427" t="str">
            <v>Fluke</v>
          </cell>
          <cell r="O1427" t="str">
            <v>VT MOBILE</v>
          </cell>
          <cell r="P1427" t="str">
            <v>2322030</v>
          </cell>
          <cell r="Q1427" t="str">
            <v>Not Applicable</v>
          </cell>
          <cell r="R1427" t="str">
            <v>Fluke Biomedical RMS</v>
          </cell>
          <cell r="S1427" t="str">
            <v>Bell Comm Technologies Sdn Bhd</v>
          </cell>
          <cell r="T1427" t="str">
            <v>Functioning</v>
          </cell>
          <cell r="U1427" t="str">
            <v>Asset</v>
          </cell>
          <cell r="V1427">
            <v>56956</v>
          </cell>
          <cell r="W1427" t="str">
            <v>KEW</v>
          </cell>
          <cell r="X1427" t="str">
            <v>01/09/2010</v>
          </cell>
          <cell r="Y1427" t="str">
            <v>KEW</v>
          </cell>
          <cell r="Z1427" t="str">
            <v>16/08/2013</v>
          </cell>
          <cell r="AA1427" t="str">
            <v>15/08/2015</v>
          </cell>
          <cell r="AB1427" t="str">
            <v>No</v>
          </cell>
          <cell r="AC1427" t="str">
            <v>31/08/2013</v>
          </cell>
          <cell r="AD1427" t="str">
            <v>Good</v>
          </cell>
          <cell r="AE1427" t="str">
            <v>V1 - Existing / No Claim</v>
          </cell>
          <cell r="AF1427">
            <v>42235</v>
          </cell>
          <cell r="AG1427">
            <v>9.17</v>
          </cell>
          <cell r="AH1427" t="str">
            <v>PPM</v>
          </cell>
          <cell r="AI1427" t="str">
            <v>Not in contract</v>
          </cell>
          <cell r="AJ1427" t="str">
            <v>ANALYZER</v>
          </cell>
          <cell r="AK1427" t="str">
            <v>IKN agreed unit to be used by BEMS but have to calibrate.</v>
          </cell>
        </row>
        <row r="1428">
          <cell r="A1428" t="str">
            <v>IKN401131</v>
          </cell>
          <cell r="B1428">
            <v>1129</v>
          </cell>
          <cell r="C1428" t="str">
            <v>Institut Kanser Negara</v>
          </cell>
          <cell r="D1428" t="str">
            <v>KKM/IKN/H/13/1188</v>
          </cell>
          <cell r="E1428" t="str">
            <v>11-295</v>
          </cell>
          <cell r="F1428" t="str">
            <v>Dosimeters, Radiation</v>
          </cell>
          <cell r="G1428" t="str">
            <v>RT</v>
          </cell>
          <cell r="H1428" t="str">
            <v>RADIATION TREATMENT UNIT</v>
          </cell>
          <cell r="I1428" t="str">
            <v>01RT213</v>
          </cell>
          <cell r="J1428" t="str">
            <v>EQUIPMENT ROOM1</v>
          </cell>
          <cell r="K1428" t="str">
            <v>BMED</v>
          </cell>
          <cell r="L1428" t="str">
            <v>Normal</v>
          </cell>
          <cell r="M1428" t="str">
            <v>Germany</v>
          </cell>
          <cell r="N1428" t="str">
            <v>Thermo Fisher</v>
          </cell>
          <cell r="O1428" t="str">
            <v>EPD MK2.5</v>
          </cell>
          <cell r="P1428" t="str">
            <v>00289454</v>
          </cell>
          <cell r="Q1428" t="str">
            <v>Not Applicable</v>
          </cell>
          <cell r="R1428" t="str">
            <v>Thermo Fisher Scientific</v>
          </cell>
          <cell r="S1428" t="str">
            <v>Delta Advantech (M) Sdn Bhd</v>
          </cell>
          <cell r="T1428" t="str">
            <v>Functioning</v>
          </cell>
          <cell r="U1428" t="str">
            <v>Asset</v>
          </cell>
          <cell r="V1428">
            <v>4370</v>
          </cell>
          <cell r="W1428" t="str">
            <v>KEW</v>
          </cell>
          <cell r="X1428" t="str">
            <v>01/09/2010</v>
          </cell>
          <cell r="Y1428" t="str">
            <v>KEW</v>
          </cell>
          <cell r="Z1428" t="str">
            <v>16/08/2013</v>
          </cell>
          <cell r="AA1428" t="str">
            <v>15/08/2015</v>
          </cell>
          <cell r="AB1428" t="str">
            <v>No</v>
          </cell>
          <cell r="AC1428" t="str">
            <v>31/08/2013</v>
          </cell>
          <cell r="AD1428" t="str">
            <v>Good</v>
          </cell>
          <cell r="AE1428" t="str">
            <v>V1 - Existing / No Claim</v>
          </cell>
          <cell r="AF1428">
            <v>42235</v>
          </cell>
          <cell r="AG1428">
            <v>9.17</v>
          </cell>
          <cell r="AH1428" t="str">
            <v>PPM</v>
          </cell>
          <cell r="AI1428" t="str">
            <v>package</v>
          </cell>
          <cell r="AJ1428" t="str">
            <v>Strands PW</v>
          </cell>
        </row>
        <row r="1429">
          <cell r="A1429" t="str">
            <v>IKN401133</v>
          </cell>
          <cell r="B1429">
            <v>1131</v>
          </cell>
          <cell r="C1429" t="str">
            <v>Institut Kanser Negara</v>
          </cell>
          <cell r="D1429" t="str">
            <v>KKM/IKN/H/13/2144</v>
          </cell>
          <cell r="E1429" t="str">
            <v>15-663</v>
          </cell>
          <cell r="F1429" t="str">
            <v>Pipetters</v>
          </cell>
          <cell r="G1429" t="str">
            <v>LA</v>
          </cell>
          <cell r="H1429" t="str">
            <v>PATHOLOGY</v>
          </cell>
          <cell r="I1429" t="str">
            <v>04LA126</v>
          </cell>
          <cell r="J1429" t="str">
            <v>MICROBIOLOGY UNIT</v>
          </cell>
          <cell r="K1429" t="str">
            <v>BMED</v>
          </cell>
          <cell r="L1429" t="str">
            <v>Normal</v>
          </cell>
          <cell r="M1429" t="str">
            <v>Germany</v>
          </cell>
          <cell r="N1429" t="str">
            <v>Eppendorf</v>
          </cell>
          <cell r="O1429" t="str">
            <v>Research Plus Multi</v>
          </cell>
          <cell r="P1429" t="str">
            <v>O22701B</v>
          </cell>
          <cell r="Q1429" t="str">
            <v>Not Applicable</v>
          </cell>
          <cell r="R1429" t="str">
            <v>Eppendorf</v>
          </cell>
          <cell r="S1429" t="str">
            <v>Medigene sdn bhd</v>
          </cell>
          <cell r="T1429" t="str">
            <v>Functioning</v>
          </cell>
          <cell r="U1429" t="str">
            <v>Asset</v>
          </cell>
          <cell r="V1429">
            <v>3250</v>
          </cell>
          <cell r="W1429" t="str">
            <v>KEW</v>
          </cell>
          <cell r="X1429" t="str">
            <v>01/09/2010</v>
          </cell>
          <cell r="Y1429" t="str">
            <v>KEW</v>
          </cell>
          <cell r="Z1429" t="str">
            <v>16/08/2013</v>
          </cell>
          <cell r="AA1429" t="str">
            <v>15/08/2015</v>
          </cell>
          <cell r="AB1429" t="str">
            <v>No</v>
          </cell>
          <cell r="AC1429" t="str">
            <v>31/08/2013</v>
          </cell>
          <cell r="AD1429" t="str">
            <v>Good</v>
          </cell>
          <cell r="AE1429" t="str">
            <v>V1 - Existing / No Claim</v>
          </cell>
          <cell r="AF1429">
            <v>42790</v>
          </cell>
          <cell r="AG1429">
            <v>9.17</v>
          </cell>
          <cell r="AH1429" t="str">
            <v>PPM</v>
          </cell>
          <cell r="AI1429" t="str">
            <v>Strands</v>
          </cell>
          <cell r="AJ1429" t="str">
            <v>Strands PW</v>
          </cell>
        </row>
        <row r="1430">
          <cell r="A1430" t="str">
            <v>IKN401134</v>
          </cell>
          <cell r="B1430">
            <v>1132</v>
          </cell>
          <cell r="C1430" t="str">
            <v>Institut Kanser Negara</v>
          </cell>
          <cell r="D1430" t="str">
            <v>KKM/IKN/H/13/2142</v>
          </cell>
          <cell r="E1430" t="str">
            <v>15-663</v>
          </cell>
          <cell r="F1430" t="str">
            <v>Pipetters</v>
          </cell>
          <cell r="G1430" t="str">
            <v>LA</v>
          </cell>
          <cell r="H1430" t="str">
            <v>PATHOLOGY</v>
          </cell>
          <cell r="I1430" t="str">
            <v>04LA126</v>
          </cell>
          <cell r="J1430" t="str">
            <v>MICROBIOLOGY UNIT</v>
          </cell>
          <cell r="K1430" t="str">
            <v>BMED</v>
          </cell>
          <cell r="L1430" t="str">
            <v>Normal</v>
          </cell>
          <cell r="M1430" t="str">
            <v>Germany</v>
          </cell>
          <cell r="N1430" t="str">
            <v>Eppendorf</v>
          </cell>
          <cell r="O1430" t="str">
            <v>Research Plus Multi</v>
          </cell>
          <cell r="P1430" t="str">
            <v>O22623B</v>
          </cell>
          <cell r="Q1430" t="str">
            <v>Not Applicable</v>
          </cell>
          <cell r="R1430" t="str">
            <v>Eppendorf</v>
          </cell>
          <cell r="S1430" t="str">
            <v>Medigene sdn bhd</v>
          </cell>
          <cell r="T1430" t="str">
            <v>Functioning</v>
          </cell>
          <cell r="U1430" t="str">
            <v>Asset</v>
          </cell>
          <cell r="V1430">
            <v>3250</v>
          </cell>
          <cell r="W1430" t="str">
            <v>KEW</v>
          </cell>
          <cell r="X1430" t="str">
            <v>01/09/2010</v>
          </cell>
          <cell r="Y1430" t="str">
            <v>KEW</v>
          </cell>
          <cell r="Z1430" t="str">
            <v>16/08/2013</v>
          </cell>
          <cell r="AA1430" t="str">
            <v>15/08/2015</v>
          </cell>
          <cell r="AB1430" t="str">
            <v>No</v>
          </cell>
          <cell r="AC1430" t="str">
            <v>31/08/2013</v>
          </cell>
          <cell r="AD1430" t="str">
            <v>Good</v>
          </cell>
          <cell r="AE1430" t="str">
            <v>V1 - Existing / No Claim</v>
          </cell>
          <cell r="AF1430">
            <v>42790</v>
          </cell>
          <cell r="AG1430">
            <v>9.17</v>
          </cell>
          <cell r="AH1430" t="str">
            <v>PPM</v>
          </cell>
          <cell r="AI1430" t="str">
            <v>Strands</v>
          </cell>
          <cell r="AJ1430" t="str">
            <v>Strands PW</v>
          </cell>
        </row>
        <row r="1431">
          <cell r="A1431" t="str">
            <v>IKN401135</v>
          </cell>
          <cell r="B1431">
            <v>1133</v>
          </cell>
          <cell r="C1431" t="str">
            <v>Institut Kanser Negara</v>
          </cell>
          <cell r="D1431" t="str">
            <v>KKM/IKN/H/13/2136</v>
          </cell>
          <cell r="E1431" t="str">
            <v>15-663</v>
          </cell>
          <cell r="F1431" t="str">
            <v>Pipetters</v>
          </cell>
          <cell r="G1431" t="str">
            <v>LA</v>
          </cell>
          <cell r="H1431" t="str">
            <v>PATHOLOGY</v>
          </cell>
          <cell r="I1431" t="str">
            <v>04LA126</v>
          </cell>
          <cell r="J1431" t="str">
            <v>MICROBIOLOGY UNIT</v>
          </cell>
          <cell r="K1431" t="str">
            <v>BMED</v>
          </cell>
          <cell r="L1431" t="str">
            <v>Normal</v>
          </cell>
          <cell r="M1431" t="str">
            <v>Germany</v>
          </cell>
          <cell r="N1431" t="str">
            <v>Eppendorf</v>
          </cell>
          <cell r="O1431" t="str">
            <v>Research Plus</v>
          </cell>
          <cell r="P1431" t="str">
            <v>O11928B</v>
          </cell>
          <cell r="Q1431" t="str">
            <v>Not Applicable</v>
          </cell>
          <cell r="R1431" t="str">
            <v>Eppendorf</v>
          </cell>
          <cell r="S1431" t="str">
            <v>Medigene sdn bhd</v>
          </cell>
          <cell r="T1431" t="str">
            <v>Functioning</v>
          </cell>
          <cell r="U1431" t="str">
            <v>Asset</v>
          </cell>
          <cell r="V1431">
            <v>1250</v>
          </cell>
          <cell r="W1431" t="str">
            <v>KEW</v>
          </cell>
          <cell r="X1431" t="str">
            <v>01/09/2010</v>
          </cell>
          <cell r="Y1431" t="str">
            <v>KEW</v>
          </cell>
          <cell r="Z1431" t="str">
            <v>16/08/2013</v>
          </cell>
          <cell r="AA1431" t="str">
            <v>15/08/2015</v>
          </cell>
          <cell r="AB1431" t="str">
            <v>No</v>
          </cell>
          <cell r="AC1431" t="str">
            <v>31/08/2013</v>
          </cell>
          <cell r="AD1431" t="str">
            <v>Good</v>
          </cell>
          <cell r="AE1431" t="str">
            <v>V3 - Added Installed Facilities (New)</v>
          </cell>
          <cell r="AF1431">
            <v>42790</v>
          </cell>
          <cell r="AG1431">
            <v>9.17</v>
          </cell>
          <cell r="AH1431" t="str">
            <v>PPM</v>
          </cell>
          <cell r="AI1431" t="str">
            <v>Strands</v>
          </cell>
          <cell r="AJ1431" t="str">
            <v>Strands PW</v>
          </cell>
          <cell r="AK1431" t="str">
            <v>SNF received. 1st batch of V3 asset (December 2020)</v>
          </cell>
        </row>
        <row r="1432">
          <cell r="A1432" t="str">
            <v>IKN401136</v>
          </cell>
          <cell r="B1432">
            <v>1134</v>
          </cell>
          <cell r="C1432" t="str">
            <v>Institut Kanser Negara</v>
          </cell>
          <cell r="D1432" t="str">
            <v>KKM/IKN/H/13/2136</v>
          </cell>
          <cell r="E1432" t="str">
            <v>15-663</v>
          </cell>
          <cell r="F1432" t="str">
            <v>Pipetters</v>
          </cell>
          <cell r="G1432" t="str">
            <v>LA</v>
          </cell>
          <cell r="H1432" t="str">
            <v>PATHOLOGY</v>
          </cell>
          <cell r="I1432" t="str">
            <v>04LA126</v>
          </cell>
          <cell r="J1432" t="str">
            <v>MICROBIOLOGY UNIT</v>
          </cell>
          <cell r="K1432" t="str">
            <v>BMED</v>
          </cell>
          <cell r="L1432" t="str">
            <v>Normal</v>
          </cell>
          <cell r="M1432" t="str">
            <v>Germany</v>
          </cell>
          <cell r="N1432" t="str">
            <v>Eppendorf</v>
          </cell>
          <cell r="O1432" t="str">
            <v>Research Plus</v>
          </cell>
          <cell r="P1432" t="str">
            <v>O17010B</v>
          </cell>
          <cell r="Q1432" t="str">
            <v>Not Applicable</v>
          </cell>
          <cell r="R1432" t="str">
            <v>Eppendorf</v>
          </cell>
          <cell r="S1432" t="str">
            <v>Medigene sdn bhd</v>
          </cell>
          <cell r="T1432" t="str">
            <v>Functioning</v>
          </cell>
          <cell r="U1432" t="str">
            <v>Asset</v>
          </cell>
          <cell r="V1432">
            <v>1250</v>
          </cell>
          <cell r="W1432" t="str">
            <v>KEW</v>
          </cell>
          <cell r="X1432" t="str">
            <v>01/09/2010</v>
          </cell>
          <cell r="Y1432" t="str">
            <v>KEW</v>
          </cell>
          <cell r="Z1432" t="str">
            <v>16/08/2013</v>
          </cell>
          <cell r="AA1432" t="str">
            <v>15/08/2015</v>
          </cell>
          <cell r="AB1432" t="str">
            <v>No</v>
          </cell>
          <cell r="AC1432" t="str">
            <v>31/08/2013</v>
          </cell>
          <cell r="AD1432" t="str">
            <v>Good</v>
          </cell>
          <cell r="AE1432" t="str">
            <v>V3 - Added Installed Facilities (New)</v>
          </cell>
          <cell r="AF1432">
            <v>42790</v>
          </cell>
          <cell r="AG1432">
            <v>9.17</v>
          </cell>
          <cell r="AH1432" t="str">
            <v>PPM</v>
          </cell>
          <cell r="AI1432" t="str">
            <v>Strands</v>
          </cell>
          <cell r="AJ1432" t="str">
            <v>Strands PW</v>
          </cell>
          <cell r="AK1432" t="str">
            <v>SNF received. 1st batch of V3 asset (December 2020)</v>
          </cell>
        </row>
        <row r="1433">
          <cell r="A1433" t="str">
            <v>IKN401137</v>
          </cell>
          <cell r="B1433">
            <v>1135</v>
          </cell>
          <cell r="C1433" t="str">
            <v>Institut Kanser Negara</v>
          </cell>
          <cell r="D1433" t="str">
            <v>KKM/IKN/H/13/2137</v>
          </cell>
          <cell r="E1433" t="str">
            <v>15-663</v>
          </cell>
          <cell r="F1433" t="str">
            <v>Pipetters</v>
          </cell>
          <cell r="G1433" t="str">
            <v>LA</v>
          </cell>
          <cell r="H1433" t="str">
            <v>PATHOLOGY</v>
          </cell>
          <cell r="I1433" t="str">
            <v>04LA126</v>
          </cell>
          <cell r="J1433" t="str">
            <v>MICROBIOLOGY UNIT</v>
          </cell>
          <cell r="K1433" t="str">
            <v>BMED</v>
          </cell>
          <cell r="L1433" t="str">
            <v>Normal</v>
          </cell>
          <cell r="M1433" t="str">
            <v>Germany</v>
          </cell>
          <cell r="N1433" t="str">
            <v>Eppendorf</v>
          </cell>
          <cell r="O1433" t="str">
            <v>Research Plus</v>
          </cell>
          <cell r="P1433" t="str">
            <v>O11876B</v>
          </cell>
          <cell r="Q1433" t="str">
            <v>Not Applicable</v>
          </cell>
          <cell r="R1433" t="str">
            <v>Eppendorf</v>
          </cell>
          <cell r="S1433" t="str">
            <v>Medigene sdn bhd</v>
          </cell>
          <cell r="T1433" t="str">
            <v>Functioning</v>
          </cell>
          <cell r="U1433" t="str">
            <v>Asset</v>
          </cell>
          <cell r="V1433">
            <v>1250</v>
          </cell>
          <cell r="W1433" t="str">
            <v>KEW</v>
          </cell>
          <cell r="X1433" t="str">
            <v>01/09/2010</v>
          </cell>
          <cell r="Y1433" t="str">
            <v>KEW</v>
          </cell>
          <cell r="Z1433" t="str">
            <v>16/08/2013</v>
          </cell>
          <cell r="AA1433" t="str">
            <v>15/08/2015</v>
          </cell>
          <cell r="AB1433" t="str">
            <v>No</v>
          </cell>
          <cell r="AC1433" t="str">
            <v>31/08/2013</v>
          </cell>
          <cell r="AD1433" t="str">
            <v>Good</v>
          </cell>
          <cell r="AE1433" t="str">
            <v>V3 - Added Installed Facilities (New)</v>
          </cell>
          <cell r="AF1433">
            <v>42790</v>
          </cell>
          <cell r="AG1433">
            <v>9.17</v>
          </cell>
          <cell r="AH1433" t="str">
            <v>PPM</v>
          </cell>
          <cell r="AI1433" t="str">
            <v>Strands</v>
          </cell>
          <cell r="AJ1433" t="str">
            <v>Strands PW</v>
          </cell>
          <cell r="AK1433" t="str">
            <v>SNF received. 1st batch of V3 asset (December 2020)</v>
          </cell>
        </row>
        <row r="1434">
          <cell r="A1434" t="str">
            <v>IKN401138</v>
          </cell>
          <cell r="B1434">
            <v>1136</v>
          </cell>
          <cell r="C1434" t="str">
            <v>Institut Kanser Negara</v>
          </cell>
          <cell r="D1434" t="str">
            <v>KKM/IKN/H/13/2137</v>
          </cell>
          <cell r="E1434" t="str">
            <v>15-663</v>
          </cell>
          <cell r="F1434" t="str">
            <v>Pipetters</v>
          </cell>
          <cell r="G1434" t="str">
            <v>LA</v>
          </cell>
          <cell r="H1434" t="str">
            <v>PATHOLOGY</v>
          </cell>
          <cell r="I1434" t="str">
            <v>04LA126</v>
          </cell>
          <cell r="J1434" t="str">
            <v>MICROBIOLOGY UNIT</v>
          </cell>
          <cell r="K1434" t="str">
            <v>BMED</v>
          </cell>
          <cell r="L1434" t="str">
            <v>Normal</v>
          </cell>
          <cell r="M1434" t="str">
            <v>Germany</v>
          </cell>
          <cell r="N1434" t="str">
            <v>Eppendorf</v>
          </cell>
          <cell r="O1434" t="str">
            <v>Research Plus</v>
          </cell>
          <cell r="P1434" t="str">
            <v>O37551B</v>
          </cell>
          <cell r="Q1434" t="str">
            <v>Not Applicable</v>
          </cell>
          <cell r="R1434" t="str">
            <v>Eppendorf</v>
          </cell>
          <cell r="S1434" t="str">
            <v>Medigene sdn bhd</v>
          </cell>
          <cell r="T1434" t="str">
            <v>Functioning</v>
          </cell>
          <cell r="U1434" t="str">
            <v>Asset</v>
          </cell>
          <cell r="V1434">
            <v>1250</v>
          </cell>
          <cell r="W1434" t="str">
            <v>KEW</v>
          </cell>
          <cell r="X1434" t="str">
            <v>01/09/2010</v>
          </cell>
          <cell r="Y1434" t="str">
            <v>KEW</v>
          </cell>
          <cell r="Z1434" t="str">
            <v>16/08/2013</v>
          </cell>
          <cell r="AA1434" t="str">
            <v>15/08/2015</v>
          </cell>
          <cell r="AB1434" t="str">
            <v>No</v>
          </cell>
          <cell r="AC1434" t="str">
            <v>31/08/2013</v>
          </cell>
          <cell r="AD1434" t="str">
            <v>Good</v>
          </cell>
          <cell r="AE1434" t="str">
            <v>V3 - Added Installed Facilities (New)</v>
          </cell>
          <cell r="AF1434">
            <v>42790</v>
          </cell>
          <cell r="AG1434">
            <v>9.17</v>
          </cell>
          <cell r="AH1434" t="str">
            <v>PPM</v>
          </cell>
          <cell r="AI1434" t="str">
            <v>Strands</v>
          </cell>
          <cell r="AJ1434" t="str">
            <v>Strands PW</v>
          </cell>
          <cell r="AK1434" t="str">
            <v>SNF received. 1st batch of V3 asset (December 2020)</v>
          </cell>
        </row>
        <row r="1435">
          <cell r="A1435" t="str">
            <v>IKN401139</v>
          </cell>
          <cell r="B1435">
            <v>1137</v>
          </cell>
          <cell r="C1435" t="str">
            <v>Institut Kanser Negara</v>
          </cell>
          <cell r="D1435" t="str">
            <v>KKM/IKN/H/13/2136</v>
          </cell>
          <cell r="E1435" t="str">
            <v>15-663</v>
          </cell>
          <cell r="F1435" t="str">
            <v>Pipetters</v>
          </cell>
          <cell r="G1435" t="str">
            <v>LA</v>
          </cell>
          <cell r="H1435" t="str">
            <v>PATHOLOGY</v>
          </cell>
          <cell r="I1435" t="str">
            <v>04LA130</v>
          </cell>
          <cell r="J1435" t="str">
            <v>SEROLOGY</v>
          </cell>
          <cell r="K1435" t="str">
            <v>BMED</v>
          </cell>
          <cell r="L1435" t="str">
            <v>Normal</v>
          </cell>
          <cell r="M1435" t="str">
            <v>Germany</v>
          </cell>
          <cell r="N1435" t="str">
            <v>Eppendorf</v>
          </cell>
          <cell r="O1435" t="str">
            <v>Research Plus</v>
          </cell>
          <cell r="P1435" t="str">
            <v>O37540B</v>
          </cell>
          <cell r="Q1435" t="str">
            <v>Not Applicable</v>
          </cell>
          <cell r="R1435" t="str">
            <v>Eppendorf</v>
          </cell>
          <cell r="S1435" t="str">
            <v>Medigene sdn bhd</v>
          </cell>
          <cell r="T1435" t="str">
            <v>Functioning</v>
          </cell>
          <cell r="U1435" t="str">
            <v>Asset</v>
          </cell>
          <cell r="V1435">
            <v>1250</v>
          </cell>
          <cell r="W1435" t="str">
            <v>KEW</v>
          </cell>
          <cell r="X1435" t="str">
            <v>01/09/2010</v>
          </cell>
          <cell r="Y1435" t="str">
            <v>KEW</v>
          </cell>
          <cell r="Z1435" t="str">
            <v>16/08/2013</v>
          </cell>
          <cell r="AA1435" t="str">
            <v>15/08/2015</v>
          </cell>
          <cell r="AB1435" t="str">
            <v>No</v>
          </cell>
          <cell r="AC1435" t="str">
            <v>31/08/2013</v>
          </cell>
          <cell r="AD1435" t="str">
            <v>Good</v>
          </cell>
          <cell r="AE1435" t="str">
            <v>V3 - Added Installed Facilities (New)</v>
          </cell>
          <cell r="AF1435">
            <v>42235</v>
          </cell>
          <cell r="AG1435">
            <v>9.17</v>
          </cell>
          <cell r="AH1435" t="str">
            <v>PPM</v>
          </cell>
          <cell r="AI1435" t="str">
            <v>Strands</v>
          </cell>
          <cell r="AJ1435" t="str">
            <v>Strands PW</v>
          </cell>
          <cell r="AK1435" t="str">
            <v>SNF received. 1st batch of V3 asset (December 2020)</v>
          </cell>
        </row>
        <row r="1436">
          <cell r="A1436" t="str">
            <v>IKN401140</v>
          </cell>
          <cell r="B1436">
            <v>1138</v>
          </cell>
          <cell r="C1436" t="str">
            <v>Institut Kanser Negara</v>
          </cell>
          <cell r="D1436" t="str">
            <v>KKM/IKN/H/13/2137</v>
          </cell>
          <cell r="E1436" t="str">
            <v>15-663</v>
          </cell>
          <cell r="F1436" t="str">
            <v>Pipetters</v>
          </cell>
          <cell r="G1436" t="str">
            <v>LA</v>
          </cell>
          <cell r="H1436" t="str">
            <v>PATHOLOGY</v>
          </cell>
          <cell r="I1436" t="str">
            <v>04LA130</v>
          </cell>
          <cell r="J1436" t="str">
            <v>SEROLOGY</v>
          </cell>
          <cell r="K1436" t="str">
            <v>BMED</v>
          </cell>
          <cell r="L1436" t="str">
            <v>Normal</v>
          </cell>
          <cell r="M1436" t="str">
            <v>Germany</v>
          </cell>
          <cell r="N1436" t="str">
            <v>Eppendorf</v>
          </cell>
          <cell r="O1436" t="str">
            <v>Research Plus</v>
          </cell>
          <cell r="P1436" t="str">
            <v>O17131B</v>
          </cell>
          <cell r="Q1436" t="str">
            <v>Not Applicable</v>
          </cell>
          <cell r="R1436" t="str">
            <v>Eppendorf</v>
          </cell>
          <cell r="S1436" t="str">
            <v>Medigene sdn bhd</v>
          </cell>
          <cell r="T1436" t="str">
            <v>Functioning</v>
          </cell>
          <cell r="U1436" t="str">
            <v>Asset</v>
          </cell>
          <cell r="V1436">
            <v>1250</v>
          </cell>
          <cell r="W1436" t="str">
            <v>KEW</v>
          </cell>
          <cell r="X1436" t="str">
            <v>01/09/2010</v>
          </cell>
          <cell r="Y1436" t="str">
            <v>KEW</v>
          </cell>
          <cell r="Z1436" t="str">
            <v>16/08/2013</v>
          </cell>
          <cell r="AA1436" t="str">
            <v>15/08/2015</v>
          </cell>
          <cell r="AB1436" t="str">
            <v>No</v>
          </cell>
          <cell r="AC1436" t="str">
            <v>31/08/2013</v>
          </cell>
          <cell r="AD1436" t="str">
            <v>Good</v>
          </cell>
          <cell r="AE1436" t="str">
            <v>V3 - Added Installed Facilities (New)</v>
          </cell>
          <cell r="AF1436">
            <v>42790</v>
          </cell>
          <cell r="AG1436">
            <v>9.17</v>
          </cell>
          <cell r="AH1436" t="str">
            <v>PPM</v>
          </cell>
          <cell r="AI1436" t="str">
            <v>Strands</v>
          </cell>
          <cell r="AJ1436" t="str">
            <v>Strands PW</v>
          </cell>
          <cell r="AK1436" t="str">
            <v>SNF received. 1st batch of V3 asset (December 2020)</v>
          </cell>
        </row>
        <row r="1437">
          <cell r="A1437" t="str">
            <v>IKN401141</v>
          </cell>
          <cell r="B1437">
            <v>1139</v>
          </cell>
          <cell r="C1437" t="str">
            <v>Institut Kanser Negara</v>
          </cell>
          <cell r="D1437" t="str">
            <v>KKM/IKN/H/14/59</v>
          </cell>
          <cell r="E1437" t="str">
            <v>15-663</v>
          </cell>
          <cell r="F1437" t="str">
            <v>Pipetters</v>
          </cell>
          <cell r="G1437" t="str">
            <v>LA</v>
          </cell>
          <cell r="H1437" t="str">
            <v>PATHOLOGY</v>
          </cell>
          <cell r="I1437" t="str">
            <v>04LA140</v>
          </cell>
          <cell r="J1437" t="str">
            <v>BLOOD BANK</v>
          </cell>
          <cell r="K1437" t="str">
            <v>BMED</v>
          </cell>
          <cell r="L1437" t="str">
            <v>Normal</v>
          </cell>
          <cell r="M1437" t="str">
            <v>Germany</v>
          </cell>
          <cell r="N1437" t="str">
            <v>Eppendorf</v>
          </cell>
          <cell r="O1437" t="str">
            <v>Eppendorf Research Plus</v>
          </cell>
          <cell r="P1437" t="str">
            <v>L26830D</v>
          </cell>
          <cell r="Q1437" t="str">
            <v>Not Applicable</v>
          </cell>
          <cell r="R1437" t="str">
            <v>Eppendorf AG</v>
          </cell>
          <cell r="S1437" t="str">
            <v>Medigene sdn bhd</v>
          </cell>
          <cell r="T1437" t="str">
            <v>Functioning</v>
          </cell>
          <cell r="U1437" t="str">
            <v>Asset</v>
          </cell>
          <cell r="V1437">
            <v>750</v>
          </cell>
          <cell r="W1437" t="str">
            <v>KEW</v>
          </cell>
          <cell r="X1437" t="str">
            <v>10/10/2014</v>
          </cell>
          <cell r="Y1437" t="str">
            <v>KEW</v>
          </cell>
          <cell r="Z1437" t="str">
            <v>31/10/2014</v>
          </cell>
          <cell r="AA1437" t="str">
            <v>30/10/2017</v>
          </cell>
          <cell r="AB1437" t="str">
            <v>No</v>
          </cell>
          <cell r="AC1437" t="str">
            <v>31/10/2014</v>
          </cell>
          <cell r="AD1437" t="str">
            <v>Good</v>
          </cell>
          <cell r="AE1437" t="str">
            <v>V3 - Added Installed Facilities (New)</v>
          </cell>
          <cell r="AF1437">
            <v>42790</v>
          </cell>
          <cell r="AG1437">
            <v>5.08</v>
          </cell>
          <cell r="AH1437" t="str">
            <v>PPM</v>
          </cell>
          <cell r="AI1437" t="str">
            <v>Strands</v>
          </cell>
          <cell r="AJ1437" t="str">
            <v>Strands PW</v>
          </cell>
          <cell r="AK1437" t="str">
            <v>SNF received. 1st batch of V3 asset (December 2020)</v>
          </cell>
        </row>
        <row r="1438">
          <cell r="A1438" t="str">
            <v>IKN401142</v>
          </cell>
          <cell r="B1438">
            <v>1140</v>
          </cell>
          <cell r="C1438" t="str">
            <v>Institut Kanser Negara</v>
          </cell>
          <cell r="D1438" t="str">
            <v>KKM/IKN/H/14/60</v>
          </cell>
          <cell r="E1438" t="str">
            <v>15-663</v>
          </cell>
          <cell r="F1438" t="str">
            <v>Pipetters</v>
          </cell>
          <cell r="G1438" t="str">
            <v>LA</v>
          </cell>
          <cell r="H1438" t="str">
            <v>PATHOLOGY</v>
          </cell>
          <cell r="I1438" t="str">
            <v>04LA140</v>
          </cell>
          <cell r="J1438" t="str">
            <v>BLOOD BANK</v>
          </cell>
          <cell r="K1438" t="str">
            <v>BMED</v>
          </cell>
          <cell r="L1438" t="str">
            <v>Normal</v>
          </cell>
          <cell r="M1438" t="str">
            <v>Germany</v>
          </cell>
          <cell r="N1438" t="str">
            <v>Eppendorf</v>
          </cell>
          <cell r="O1438" t="str">
            <v>Eppendorf Research Plus</v>
          </cell>
          <cell r="P1438" t="str">
            <v>L27081D</v>
          </cell>
          <cell r="Q1438" t="str">
            <v>Not Applicable</v>
          </cell>
          <cell r="R1438" t="str">
            <v>Eppendorf AG</v>
          </cell>
          <cell r="S1438" t="str">
            <v>Medigene sdn bhd</v>
          </cell>
          <cell r="T1438" t="str">
            <v>Functioning</v>
          </cell>
          <cell r="U1438" t="str">
            <v>Asset</v>
          </cell>
          <cell r="V1438">
            <v>750</v>
          </cell>
          <cell r="W1438" t="str">
            <v>KEW</v>
          </cell>
          <cell r="X1438" t="str">
            <v>10/10/2014</v>
          </cell>
          <cell r="Y1438" t="str">
            <v>KEW</v>
          </cell>
          <cell r="Z1438" t="str">
            <v>31/10/2014</v>
          </cell>
          <cell r="AA1438" t="str">
            <v>30/10/2017</v>
          </cell>
          <cell r="AB1438" t="str">
            <v>No</v>
          </cell>
          <cell r="AC1438" t="str">
            <v>31/10/2014</v>
          </cell>
          <cell r="AD1438" t="str">
            <v>Good</v>
          </cell>
          <cell r="AE1438" t="str">
            <v>V3 - Added Installed Facilities (New)</v>
          </cell>
          <cell r="AF1438">
            <v>42677</v>
          </cell>
          <cell r="AG1438">
            <v>5.08</v>
          </cell>
          <cell r="AH1438" t="str">
            <v>PPM</v>
          </cell>
          <cell r="AI1438" t="str">
            <v>Strands</v>
          </cell>
          <cell r="AJ1438" t="str">
            <v>Strands PW</v>
          </cell>
          <cell r="AK1438" t="str">
            <v>SNF received. 1st batch of V3 asset (December 2020)</v>
          </cell>
        </row>
        <row r="1439">
          <cell r="A1439" t="str">
            <v>IKN401143</v>
          </cell>
          <cell r="B1439">
            <v>1141</v>
          </cell>
          <cell r="C1439" t="str">
            <v>Institut Kanser Negara</v>
          </cell>
          <cell r="D1439" t="str">
            <v>KKM/IKN/H/13/2138</v>
          </cell>
          <cell r="E1439" t="str">
            <v>15-663</v>
          </cell>
          <cell r="F1439" t="str">
            <v>Pipetters</v>
          </cell>
          <cell r="G1439" t="str">
            <v>LA</v>
          </cell>
          <cell r="H1439" t="str">
            <v>PATHOLOGY</v>
          </cell>
          <cell r="I1439" t="str">
            <v>04LA132</v>
          </cell>
          <cell r="J1439" t="str">
            <v>HAEMATOLOGY LAB 2</v>
          </cell>
          <cell r="K1439" t="str">
            <v>BMED</v>
          </cell>
          <cell r="L1439" t="str">
            <v>Normal</v>
          </cell>
          <cell r="M1439" t="str">
            <v>Germany</v>
          </cell>
          <cell r="N1439" t="str">
            <v>Eppendorf</v>
          </cell>
          <cell r="O1439" t="str">
            <v>Research Plus</v>
          </cell>
          <cell r="P1439" t="str">
            <v>O17006B</v>
          </cell>
          <cell r="Q1439" t="str">
            <v>Not Applicable</v>
          </cell>
          <cell r="R1439" t="str">
            <v>Eppendorf</v>
          </cell>
          <cell r="S1439" t="str">
            <v>Medigene sdn bhd</v>
          </cell>
          <cell r="T1439" t="str">
            <v>Functioning</v>
          </cell>
          <cell r="U1439" t="str">
            <v>Asset</v>
          </cell>
          <cell r="V1439">
            <v>1250</v>
          </cell>
          <cell r="W1439" t="str">
            <v>KEW</v>
          </cell>
          <cell r="X1439" t="str">
            <v>01/09/2010</v>
          </cell>
          <cell r="Y1439" t="str">
            <v>KEW</v>
          </cell>
          <cell r="Z1439" t="str">
            <v>16/08/2013</v>
          </cell>
          <cell r="AA1439" t="str">
            <v>15/08/2015</v>
          </cell>
          <cell r="AB1439" t="str">
            <v>No</v>
          </cell>
          <cell r="AC1439" t="str">
            <v>31/08/2013</v>
          </cell>
          <cell r="AD1439" t="str">
            <v>Good</v>
          </cell>
          <cell r="AE1439" t="str">
            <v>V3 - Added Installed Facilities (New)</v>
          </cell>
          <cell r="AF1439">
            <v>42790</v>
          </cell>
          <cell r="AG1439">
            <v>9.17</v>
          </cell>
          <cell r="AH1439" t="str">
            <v>PPM</v>
          </cell>
          <cell r="AI1439" t="str">
            <v>Strands</v>
          </cell>
          <cell r="AJ1439" t="str">
            <v>Strands PW</v>
          </cell>
          <cell r="AK1439" t="str">
            <v>SNF received. 1st batch of V3 asset (December 2020)</v>
          </cell>
        </row>
        <row r="1440">
          <cell r="A1440" t="str">
            <v>IKN401144</v>
          </cell>
          <cell r="B1440">
            <v>1142</v>
          </cell>
          <cell r="C1440" t="str">
            <v>Institut Kanser Negara</v>
          </cell>
          <cell r="D1440" t="str">
            <v>KKM/IKN/H/13/2138</v>
          </cell>
          <cell r="E1440" t="str">
            <v>15-663</v>
          </cell>
          <cell r="F1440" t="str">
            <v>Pipetters</v>
          </cell>
          <cell r="G1440" t="str">
            <v>LA</v>
          </cell>
          <cell r="H1440" t="str">
            <v>PATHOLOGY</v>
          </cell>
          <cell r="I1440" t="str">
            <v>04LA132</v>
          </cell>
          <cell r="J1440" t="str">
            <v>HAEMATOLOGY LAB 2</v>
          </cell>
          <cell r="K1440" t="str">
            <v>BMED</v>
          </cell>
          <cell r="L1440" t="str">
            <v>Normal</v>
          </cell>
          <cell r="M1440" t="str">
            <v>Germany</v>
          </cell>
          <cell r="N1440" t="str">
            <v>Eppendorf</v>
          </cell>
          <cell r="O1440" t="str">
            <v>Research Plus</v>
          </cell>
          <cell r="P1440" t="str">
            <v>O11935B</v>
          </cell>
          <cell r="Q1440" t="str">
            <v>Not Applicable</v>
          </cell>
          <cell r="R1440" t="str">
            <v>Eppendorf</v>
          </cell>
          <cell r="S1440" t="str">
            <v>Medigene sdn bhd</v>
          </cell>
          <cell r="T1440" t="str">
            <v>Functioning</v>
          </cell>
          <cell r="U1440" t="str">
            <v>Asset</v>
          </cell>
          <cell r="V1440">
            <v>1250</v>
          </cell>
          <cell r="W1440" t="str">
            <v>KEW</v>
          </cell>
          <cell r="X1440" t="str">
            <v>01/09/2010</v>
          </cell>
          <cell r="Y1440" t="str">
            <v>KEW</v>
          </cell>
          <cell r="Z1440" t="str">
            <v>16/08/2013</v>
          </cell>
          <cell r="AA1440" t="str">
            <v>15/08/2015</v>
          </cell>
          <cell r="AB1440" t="str">
            <v>No</v>
          </cell>
          <cell r="AC1440" t="str">
            <v>31/08/2013</v>
          </cell>
          <cell r="AD1440" t="str">
            <v>Good</v>
          </cell>
          <cell r="AE1440" t="str">
            <v>V3 - Added Installed Facilities (New)</v>
          </cell>
          <cell r="AF1440">
            <v>42235</v>
          </cell>
          <cell r="AG1440">
            <v>9.17</v>
          </cell>
          <cell r="AH1440" t="str">
            <v>PPM</v>
          </cell>
          <cell r="AI1440" t="str">
            <v>Strands</v>
          </cell>
          <cell r="AJ1440" t="str">
            <v>Strands PW</v>
          </cell>
          <cell r="AK1440" t="str">
            <v>SNF received. 1st batch of V3 asset (December 2020)</v>
          </cell>
        </row>
        <row r="1441">
          <cell r="A1441" t="str">
            <v>IKN401145</v>
          </cell>
          <cell r="B1441">
            <v>1143</v>
          </cell>
          <cell r="C1441" t="str">
            <v>Institut Kanser Negara</v>
          </cell>
          <cell r="D1441" t="str">
            <v>KKM/IKN/H/13/2138</v>
          </cell>
          <cell r="E1441" t="str">
            <v>15-663</v>
          </cell>
          <cell r="F1441" t="str">
            <v>Pipetters</v>
          </cell>
          <cell r="G1441" t="str">
            <v>LA</v>
          </cell>
          <cell r="H1441" t="str">
            <v>PATHOLOGY</v>
          </cell>
          <cell r="I1441" t="str">
            <v>04LA132</v>
          </cell>
          <cell r="J1441" t="str">
            <v>HAEMATOLOGY LAB 2</v>
          </cell>
          <cell r="K1441" t="str">
            <v>BMED</v>
          </cell>
          <cell r="L1441" t="str">
            <v>Normal</v>
          </cell>
          <cell r="M1441" t="str">
            <v>Germany</v>
          </cell>
          <cell r="N1441" t="str">
            <v>Eppendorf</v>
          </cell>
          <cell r="O1441" t="str">
            <v>Research Plus</v>
          </cell>
          <cell r="P1441" t="str">
            <v>O37539B</v>
          </cell>
          <cell r="Q1441" t="str">
            <v>Not Applicable</v>
          </cell>
          <cell r="R1441" t="str">
            <v>Eppendorf</v>
          </cell>
          <cell r="S1441" t="str">
            <v>Medigene sdn bhd</v>
          </cell>
          <cell r="T1441" t="str">
            <v>Functioning</v>
          </cell>
          <cell r="U1441" t="str">
            <v>Asset</v>
          </cell>
          <cell r="V1441">
            <v>1250</v>
          </cell>
          <cell r="W1441" t="str">
            <v>KEW</v>
          </cell>
          <cell r="X1441" t="str">
            <v>01/09/2010</v>
          </cell>
          <cell r="Y1441" t="str">
            <v>KEW</v>
          </cell>
          <cell r="Z1441" t="str">
            <v>16/08/2013</v>
          </cell>
          <cell r="AA1441" t="str">
            <v>15/08/2015</v>
          </cell>
          <cell r="AB1441" t="str">
            <v>No</v>
          </cell>
          <cell r="AC1441" t="str">
            <v>31/08/2013</v>
          </cell>
          <cell r="AD1441" t="str">
            <v>Good</v>
          </cell>
          <cell r="AE1441" t="str">
            <v>V3 - Added Installed Facilities (New)</v>
          </cell>
          <cell r="AF1441">
            <v>42235</v>
          </cell>
          <cell r="AG1441">
            <v>9.17</v>
          </cell>
          <cell r="AH1441" t="str">
            <v>PPM</v>
          </cell>
          <cell r="AI1441" t="str">
            <v>Strands</v>
          </cell>
          <cell r="AJ1441" t="str">
            <v>Strands PW</v>
          </cell>
          <cell r="AK1441" t="str">
            <v>SNF received. 1st batch of V3 asset (December 2020)</v>
          </cell>
        </row>
        <row r="1442">
          <cell r="A1442" t="str">
            <v>IKN401146</v>
          </cell>
          <cell r="B1442">
            <v>1144</v>
          </cell>
          <cell r="C1442" t="str">
            <v>Institut Kanser Negara</v>
          </cell>
          <cell r="D1442" t="str">
            <v>KKM/IKN/H/13/2140</v>
          </cell>
          <cell r="E1442" t="str">
            <v>15-663</v>
          </cell>
          <cell r="F1442" t="str">
            <v>Pipetters</v>
          </cell>
          <cell r="G1442" t="str">
            <v>LA</v>
          </cell>
          <cell r="H1442" t="str">
            <v>PATHOLOGY</v>
          </cell>
          <cell r="I1442" t="str">
            <v>04LA133</v>
          </cell>
          <cell r="J1442" t="str">
            <v>CHEMICAL PATHOLOGY 1</v>
          </cell>
          <cell r="K1442" t="str">
            <v>BMED</v>
          </cell>
          <cell r="L1442" t="str">
            <v>Normal</v>
          </cell>
          <cell r="M1442" t="str">
            <v>Germany</v>
          </cell>
          <cell r="N1442" t="str">
            <v>Eppendorf</v>
          </cell>
          <cell r="O1442" t="str">
            <v>Research Plus</v>
          </cell>
          <cell r="P1442" t="str">
            <v>O17248B</v>
          </cell>
          <cell r="Q1442" t="str">
            <v>Not Applicable</v>
          </cell>
          <cell r="R1442" t="str">
            <v>Eppendorf</v>
          </cell>
          <cell r="S1442" t="str">
            <v>Medigene sdn bhd</v>
          </cell>
          <cell r="T1442" t="str">
            <v>Functioning</v>
          </cell>
          <cell r="U1442" t="str">
            <v>Asset</v>
          </cell>
          <cell r="V1442">
            <v>1250</v>
          </cell>
          <cell r="W1442" t="str">
            <v>KEW</v>
          </cell>
          <cell r="X1442" t="str">
            <v>01/09/2010</v>
          </cell>
          <cell r="Y1442" t="str">
            <v>KEW</v>
          </cell>
          <cell r="Z1442" t="str">
            <v>16/08/2013</v>
          </cell>
          <cell r="AA1442" t="str">
            <v>15/08/2015</v>
          </cell>
          <cell r="AB1442" t="str">
            <v>No</v>
          </cell>
          <cell r="AC1442" t="str">
            <v>31/08/2013</v>
          </cell>
          <cell r="AD1442" t="str">
            <v>Good</v>
          </cell>
          <cell r="AE1442" t="str">
            <v>V3 - Added Installed Facilities (New)</v>
          </cell>
          <cell r="AF1442">
            <v>42235</v>
          </cell>
          <cell r="AG1442">
            <v>9.17</v>
          </cell>
          <cell r="AH1442" t="str">
            <v>PPM</v>
          </cell>
          <cell r="AI1442" t="str">
            <v>Strands</v>
          </cell>
          <cell r="AJ1442" t="str">
            <v>Strands PW</v>
          </cell>
          <cell r="AK1442" t="str">
            <v>SNF received. 1st batch of V3 asset (December 2020)</v>
          </cell>
        </row>
        <row r="1443">
          <cell r="A1443" t="str">
            <v>IKN401147</v>
          </cell>
          <cell r="B1443">
            <v>1145</v>
          </cell>
          <cell r="C1443" t="str">
            <v>Institut Kanser Negara</v>
          </cell>
          <cell r="D1443" t="str">
            <v>KKM/IKN/H/13/2140</v>
          </cell>
          <cell r="E1443" t="str">
            <v>15-663</v>
          </cell>
          <cell r="F1443" t="str">
            <v>Pipetters</v>
          </cell>
          <cell r="G1443" t="str">
            <v>LA</v>
          </cell>
          <cell r="H1443" t="str">
            <v>PATHOLOGY</v>
          </cell>
          <cell r="I1443" t="str">
            <v>04LA133</v>
          </cell>
          <cell r="J1443" t="str">
            <v>CHEMICAL PATHOLOGY 1</v>
          </cell>
          <cell r="K1443" t="str">
            <v>BMED</v>
          </cell>
          <cell r="L1443" t="str">
            <v>Normal</v>
          </cell>
          <cell r="M1443" t="str">
            <v>Germany</v>
          </cell>
          <cell r="N1443" t="str">
            <v>Eppendorf</v>
          </cell>
          <cell r="O1443" t="str">
            <v>Research Plus</v>
          </cell>
          <cell r="P1443" t="str">
            <v>O37479B</v>
          </cell>
          <cell r="Q1443" t="str">
            <v>Not Applicable</v>
          </cell>
          <cell r="R1443" t="str">
            <v>Eppendorf</v>
          </cell>
          <cell r="S1443" t="str">
            <v>Medigene sdn bhd</v>
          </cell>
          <cell r="T1443" t="str">
            <v>Functioning</v>
          </cell>
          <cell r="U1443" t="str">
            <v>Asset</v>
          </cell>
          <cell r="V1443">
            <v>1250</v>
          </cell>
          <cell r="W1443" t="str">
            <v>KEW</v>
          </cell>
          <cell r="X1443" t="str">
            <v>01/09/2010</v>
          </cell>
          <cell r="Y1443" t="str">
            <v>KEW</v>
          </cell>
          <cell r="Z1443" t="str">
            <v>16/08/2013</v>
          </cell>
          <cell r="AA1443" t="str">
            <v>15/08/2015</v>
          </cell>
          <cell r="AB1443" t="str">
            <v>No</v>
          </cell>
          <cell r="AC1443" t="str">
            <v>31/08/2013</v>
          </cell>
          <cell r="AD1443" t="str">
            <v>Good</v>
          </cell>
          <cell r="AE1443" t="str">
            <v>V3 - Added Installed Facilities (New)</v>
          </cell>
          <cell r="AF1443">
            <v>42235</v>
          </cell>
          <cell r="AG1443">
            <v>9.17</v>
          </cell>
          <cell r="AH1443" t="str">
            <v>PPM</v>
          </cell>
          <cell r="AI1443" t="str">
            <v>Strands</v>
          </cell>
          <cell r="AJ1443" t="str">
            <v>Strands PW</v>
          </cell>
          <cell r="AK1443" t="str">
            <v>SNF received. 1st batch of V3 asset (December 2020)</v>
          </cell>
        </row>
        <row r="1444">
          <cell r="A1444" t="str">
            <v>IKN401148</v>
          </cell>
          <cell r="B1444">
            <v>1146</v>
          </cell>
          <cell r="C1444" t="str">
            <v>Institut Kanser Negara</v>
          </cell>
          <cell r="D1444" t="str">
            <v>KKM/IKN/H/13/2139</v>
          </cell>
          <cell r="E1444" t="str">
            <v>15-663</v>
          </cell>
          <cell r="F1444" t="str">
            <v>Pipetters</v>
          </cell>
          <cell r="G1444" t="str">
            <v>LA</v>
          </cell>
          <cell r="H1444" t="str">
            <v>PATHOLOGY</v>
          </cell>
          <cell r="I1444" t="str">
            <v>04LA133</v>
          </cell>
          <cell r="J1444" t="str">
            <v>CHEMICAL PATHOLOGY 1</v>
          </cell>
          <cell r="K1444" t="str">
            <v>BMED</v>
          </cell>
          <cell r="L1444" t="str">
            <v>Normal</v>
          </cell>
          <cell r="M1444" t="str">
            <v>Germany</v>
          </cell>
          <cell r="N1444" t="str">
            <v>Eppendorf</v>
          </cell>
          <cell r="O1444" t="str">
            <v>Research Plus</v>
          </cell>
          <cell r="P1444" t="str">
            <v>O16923B</v>
          </cell>
          <cell r="Q1444" t="str">
            <v>Not Applicable</v>
          </cell>
          <cell r="R1444" t="str">
            <v>Eppendorf</v>
          </cell>
          <cell r="S1444" t="str">
            <v>Medigene sdn bhd</v>
          </cell>
          <cell r="T1444" t="str">
            <v>Functioning</v>
          </cell>
          <cell r="U1444" t="str">
            <v>Asset</v>
          </cell>
          <cell r="V1444">
            <v>1250</v>
          </cell>
          <cell r="W1444" t="str">
            <v>KEW</v>
          </cell>
          <cell r="X1444" t="str">
            <v>01/09/2010</v>
          </cell>
          <cell r="Y1444" t="str">
            <v>KEW</v>
          </cell>
          <cell r="Z1444" t="str">
            <v>16/08/2013</v>
          </cell>
          <cell r="AA1444" t="str">
            <v>15/08/2015</v>
          </cell>
          <cell r="AB1444" t="str">
            <v>No</v>
          </cell>
          <cell r="AC1444" t="str">
            <v>31/08/2013</v>
          </cell>
          <cell r="AD1444" t="str">
            <v>Good</v>
          </cell>
          <cell r="AE1444" t="str">
            <v>V3 - Added Installed Facilities (New)</v>
          </cell>
          <cell r="AF1444">
            <v>42790</v>
          </cell>
          <cell r="AG1444">
            <v>9.17</v>
          </cell>
          <cell r="AH1444" t="str">
            <v>PPM</v>
          </cell>
          <cell r="AI1444" t="str">
            <v>Strands</v>
          </cell>
          <cell r="AJ1444" t="str">
            <v>Strands PW</v>
          </cell>
          <cell r="AK1444" t="str">
            <v>SNF received. 1st batch of V3 asset (December 2020)</v>
          </cell>
        </row>
        <row r="1445">
          <cell r="A1445" t="str">
            <v>IKN401149</v>
          </cell>
          <cell r="B1445">
            <v>1147</v>
          </cell>
          <cell r="C1445" t="str">
            <v>Institut Kanser Negara</v>
          </cell>
          <cell r="D1445" t="str">
            <v>KKM/IKN/H/13/2140</v>
          </cell>
          <cell r="E1445" t="str">
            <v>15-663</v>
          </cell>
          <cell r="F1445" t="str">
            <v>Pipetters</v>
          </cell>
          <cell r="G1445" t="str">
            <v>LA</v>
          </cell>
          <cell r="H1445" t="str">
            <v>PATHOLOGY</v>
          </cell>
          <cell r="I1445" t="str">
            <v>04LA133</v>
          </cell>
          <cell r="J1445" t="str">
            <v>CHEMICAL PATHOLOGY 1</v>
          </cell>
          <cell r="K1445" t="str">
            <v>BMED</v>
          </cell>
          <cell r="L1445" t="str">
            <v>Normal</v>
          </cell>
          <cell r="M1445" t="str">
            <v>Germany</v>
          </cell>
          <cell r="N1445" t="str">
            <v>Eppendorf</v>
          </cell>
          <cell r="O1445" t="str">
            <v>Research Plus</v>
          </cell>
          <cell r="P1445" t="str">
            <v>O11931B</v>
          </cell>
          <cell r="Q1445" t="str">
            <v>Not Applicable</v>
          </cell>
          <cell r="R1445" t="str">
            <v>Eppendorf</v>
          </cell>
          <cell r="S1445" t="str">
            <v>Medigene sdn bhd</v>
          </cell>
          <cell r="T1445" t="str">
            <v>Functioning</v>
          </cell>
          <cell r="U1445" t="str">
            <v>Asset</v>
          </cell>
          <cell r="V1445">
            <v>1250</v>
          </cell>
          <cell r="W1445" t="str">
            <v>KEW</v>
          </cell>
          <cell r="X1445" t="str">
            <v>01/09/2010</v>
          </cell>
          <cell r="Y1445" t="str">
            <v>KEW</v>
          </cell>
          <cell r="Z1445" t="str">
            <v>16/08/2013</v>
          </cell>
          <cell r="AA1445" t="str">
            <v>15/08/2015</v>
          </cell>
          <cell r="AB1445" t="str">
            <v>No</v>
          </cell>
          <cell r="AC1445" t="str">
            <v>31/08/2013</v>
          </cell>
          <cell r="AD1445" t="str">
            <v>Good</v>
          </cell>
          <cell r="AE1445" t="str">
            <v>V3 - Added Installed Facilities (New)</v>
          </cell>
          <cell r="AF1445">
            <v>42235</v>
          </cell>
          <cell r="AG1445">
            <v>9.17</v>
          </cell>
          <cell r="AH1445" t="str">
            <v>PPM</v>
          </cell>
          <cell r="AI1445" t="str">
            <v>Strands</v>
          </cell>
          <cell r="AJ1445" t="str">
            <v>Strands PW</v>
          </cell>
          <cell r="AK1445" t="str">
            <v>SNF received. 1st batch of V3 asset (December 2020)</v>
          </cell>
        </row>
        <row r="1446">
          <cell r="A1446" t="str">
            <v>IKN401150</v>
          </cell>
          <cell r="B1446">
            <v>1148</v>
          </cell>
          <cell r="C1446" t="str">
            <v>Institut Kanser Negara</v>
          </cell>
          <cell r="D1446" t="str">
            <v>KKM/IKN/H/14/49</v>
          </cell>
          <cell r="E1446" t="str">
            <v>15-663</v>
          </cell>
          <cell r="F1446" t="str">
            <v>Pipetters</v>
          </cell>
          <cell r="G1446" t="str">
            <v>LA</v>
          </cell>
          <cell r="H1446" t="str">
            <v>PATHOLOGY</v>
          </cell>
          <cell r="I1446" t="str">
            <v>04LA133</v>
          </cell>
          <cell r="J1446" t="str">
            <v>CHEMICAL PATHOLOGY 1</v>
          </cell>
          <cell r="K1446" t="str">
            <v>BMED</v>
          </cell>
          <cell r="L1446" t="str">
            <v>Normal</v>
          </cell>
          <cell r="M1446" t="str">
            <v>Germany</v>
          </cell>
          <cell r="N1446" t="str">
            <v>Eppendorf</v>
          </cell>
          <cell r="O1446" t="str">
            <v>Eppendorf Research Plus</v>
          </cell>
          <cell r="P1446" t="str">
            <v>J39319D</v>
          </cell>
          <cell r="Q1446" t="str">
            <v>Not Applicable</v>
          </cell>
          <cell r="R1446" t="str">
            <v>Eppendorf AG</v>
          </cell>
          <cell r="S1446" t="str">
            <v>Medigene sdn bhd</v>
          </cell>
          <cell r="T1446" t="str">
            <v>Functioning</v>
          </cell>
          <cell r="U1446" t="str">
            <v>Asset</v>
          </cell>
          <cell r="V1446">
            <v>750</v>
          </cell>
          <cell r="W1446" t="str">
            <v>KEW</v>
          </cell>
          <cell r="X1446" t="str">
            <v>24/09/2014</v>
          </cell>
          <cell r="Y1446" t="str">
            <v>KEW</v>
          </cell>
          <cell r="Z1446" t="str">
            <v>20/11/2014</v>
          </cell>
          <cell r="AA1446" t="str">
            <v>19/11/2017</v>
          </cell>
          <cell r="AB1446" t="str">
            <v>No</v>
          </cell>
          <cell r="AC1446" t="str">
            <v>20/11/2014</v>
          </cell>
          <cell r="AD1446" t="str">
            <v>Good</v>
          </cell>
          <cell r="AE1446" t="str">
            <v>V3 - Added Installed Facilities (New)</v>
          </cell>
          <cell r="AF1446">
            <v>42382</v>
          </cell>
          <cell r="AG1446">
            <v>5.17</v>
          </cell>
          <cell r="AH1446" t="str">
            <v>PPM</v>
          </cell>
          <cell r="AI1446" t="str">
            <v>Strands</v>
          </cell>
          <cell r="AJ1446" t="str">
            <v>Strands PW</v>
          </cell>
          <cell r="AK1446" t="str">
            <v>SNF received. 1st batch of V3 asset (December 2020)</v>
          </cell>
        </row>
        <row r="1447">
          <cell r="A1447" t="str">
            <v>IKN401151</v>
          </cell>
          <cell r="B1447">
            <v>1149</v>
          </cell>
          <cell r="C1447" t="str">
            <v>Institut Kanser Negara</v>
          </cell>
          <cell r="D1447" t="str">
            <v>KKM/IKN/H/13/2139</v>
          </cell>
          <cell r="E1447" t="str">
            <v>15-663</v>
          </cell>
          <cell r="F1447" t="str">
            <v>Pipetters</v>
          </cell>
          <cell r="G1447" t="str">
            <v>LA</v>
          </cell>
          <cell r="H1447" t="str">
            <v>PATHOLOGY</v>
          </cell>
          <cell r="I1447" t="str">
            <v>04LA133</v>
          </cell>
          <cell r="J1447" t="str">
            <v>CHEMICAL PATHOLOGY 1</v>
          </cell>
          <cell r="K1447" t="str">
            <v>BMED</v>
          </cell>
          <cell r="L1447" t="str">
            <v>Normal</v>
          </cell>
          <cell r="M1447" t="str">
            <v>Germany</v>
          </cell>
          <cell r="N1447" t="str">
            <v>Eppendorf</v>
          </cell>
          <cell r="O1447" t="str">
            <v>Research Plus</v>
          </cell>
          <cell r="P1447" t="str">
            <v>O11807B</v>
          </cell>
          <cell r="Q1447" t="str">
            <v>Not Applicable</v>
          </cell>
          <cell r="R1447" t="str">
            <v>Eppendorf</v>
          </cell>
          <cell r="S1447" t="str">
            <v>Medigene sdn bhd</v>
          </cell>
          <cell r="T1447" t="str">
            <v>Functioning</v>
          </cell>
          <cell r="U1447" t="str">
            <v>Asset</v>
          </cell>
          <cell r="V1447">
            <v>1250</v>
          </cell>
          <cell r="W1447" t="str">
            <v>KEW</v>
          </cell>
          <cell r="X1447" t="str">
            <v>01/09/2010</v>
          </cell>
          <cell r="Y1447" t="str">
            <v>KEW</v>
          </cell>
          <cell r="Z1447" t="str">
            <v>16/08/2013</v>
          </cell>
          <cell r="AA1447" t="str">
            <v>15/08/2015</v>
          </cell>
          <cell r="AB1447" t="str">
            <v>No</v>
          </cell>
          <cell r="AC1447" t="str">
            <v>31/08/2013</v>
          </cell>
          <cell r="AD1447" t="str">
            <v>Good</v>
          </cell>
          <cell r="AE1447" t="str">
            <v>V3 - Added Installed Facilities (New)</v>
          </cell>
          <cell r="AF1447">
            <v>42790</v>
          </cell>
          <cell r="AG1447">
            <v>9.17</v>
          </cell>
          <cell r="AH1447" t="str">
            <v>PPM</v>
          </cell>
          <cell r="AI1447" t="str">
            <v>Strands</v>
          </cell>
          <cell r="AJ1447" t="str">
            <v>Strands PW</v>
          </cell>
          <cell r="AK1447" t="str">
            <v>SNF received. 1st batch of V3 asset (December 2020)</v>
          </cell>
        </row>
        <row r="1448">
          <cell r="A1448" t="str">
            <v>IKN401152</v>
          </cell>
          <cell r="B1448">
            <v>1150</v>
          </cell>
          <cell r="C1448" t="str">
            <v>Institut Kanser Negara</v>
          </cell>
          <cell r="D1448" t="str">
            <v>KKM/IKN/H/13/2139</v>
          </cell>
          <cell r="E1448" t="str">
            <v>15-663</v>
          </cell>
          <cell r="F1448" t="str">
            <v>Pipetters</v>
          </cell>
          <cell r="G1448" t="str">
            <v>LA</v>
          </cell>
          <cell r="H1448" t="str">
            <v>PATHOLOGY</v>
          </cell>
          <cell r="I1448" t="str">
            <v>04LA133</v>
          </cell>
          <cell r="J1448" t="str">
            <v>CHEMICAL PATHOLOGY 1</v>
          </cell>
          <cell r="K1448" t="str">
            <v>BMED</v>
          </cell>
          <cell r="L1448" t="str">
            <v>Normal</v>
          </cell>
          <cell r="M1448" t="str">
            <v>Germany</v>
          </cell>
          <cell r="N1448" t="str">
            <v>Eppendorf</v>
          </cell>
          <cell r="O1448" t="str">
            <v>Research Plus</v>
          </cell>
          <cell r="P1448" t="str">
            <v>O37559B</v>
          </cell>
          <cell r="Q1448" t="str">
            <v>Not Applicable</v>
          </cell>
          <cell r="R1448" t="str">
            <v>Eppendorf</v>
          </cell>
          <cell r="S1448" t="str">
            <v>Medigene sdn bhd</v>
          </cell>
          <cell r="T1448" t="str">
            <v>Functioning</v>
          </cell>
          <cell r="U1448" t="str">
            <v>Asset</v>
          </cell>
          <cell r="V1448">
            <v>1250</v>
          </cell>
          <cell r="W1448" t="str">
            <v>KEW</v>
          </cell>
          <cell r="X1448" t="str">
            <v>01/09/2010</v>
          </cell>
          <cell r="Y1448" t="str">
            <v>KEW</v>
          </cell>
          <cell r="Z1448" t="str">
            <v>16/08/2013</v>
          </cell>
          <cell r="AA1448" t="str">
            <v>15/08/2015</v>
          </cell>
          <cell r="AB1448" t="str">
            <v>No</v>
          </cell>
          <cell r="AC1448" t="str">
            <v>31/08/2013</v>
          </cell>
          <cell r="AD1448" t="str">
            <v>Good</v>
          </cell>
          <cell r="AE1448" t="str">
            <v>V3 - Added Installed Facilities (New)</v>
          </cell>
          <cell r="AF1448">
            <v>42790</v>
          </cell>
          <cell r="AG1448">
            <v>9.17</v>
          </cell>
          <cell r="AH1448" t="str">
            <v>PPM</v>
          </cell>
          <cell r="AI1448" t="str">
            <v>Strands</v>
          </cell>
          <cell r="AJ1448" t="str">
            <v>Strands PW</v>
          </cell>
          <cell r="AK1448" t="str">
            <v>SNF received. 1st batch of V3 asset (December 2020)</v>
          </cell>
        </row>
        <row r="1449">
          <cell r="A1449" t="str">
            <v>IKN401159</v>
          </cell>
          <cell r="B1449">
            <v>1157</v>
          </cell>
          <cell r="C1449" t="str">
            <v>Institut Kanser Negara</v>
          </cell>
          <cell r="D1449" t="str">
            <v>KKM/IKN/H/13/2309</v>
          </cell>
          <cell r="E1449" t="str">
            <v>11-295</v>
          </cell>
          <cell r="F1449" t="str">
            <v>Dosimeters, Radiation</v>
          </cell>
          <cell r="G1449" t="str">
            <v>ID</v>
          </cell>
          <cell r="H1449" t="str">
            <v>IMAGING DEPARTMENT</v>
          </cell>
          <cell r="I1449" t="str">
            <v>03ID169</v>
          </cell>
          <cell r="J1449" t="str">
            <v>RADIOGRAPHER</v>
          </cell>
          <cell r="K1449" t="str">
            <v>BMED</v>
          </cell>
          <cell r="L1449" t="str">
            <v>Normal</v>
          </cell>
          <cell r="M1449" t="str">
            <v>Germany</v>
          </cell>
          <cell r="N1449" t="str">
            <v>Thermo Fisher</v>
          </cell>
          <cell r="O1449" t="str">
            <v>EPD MK2.5</v>
          </cell>
          <cell r="P1449" t="str">
            <v>00289475</v>
          </cell>
          <cell r="Q1449" t="str">
            <v>Not Applicable</v>
          </cell>
          <cell r="R1449" t="str">
            <v>Thermo Fisher Scientific</v>
          </cell>
          <cell r="S1449" t="str">
            <v>Delta Advantech (M) Sdn Bhd</v>
          </cell>
          <cell r="T1449" t="str">
            <v>Functioning</v>
          </cell>
          <cell r="U1449" t="str">
            <v>Asset</v>
          </cell>
          <cell r="V1449">
            <v>4370</v>
          </cell>
          <cell r="W1449" t="str">
            <v>KEW</v>
          </cell>
          <cell r="X1449" t="str">
            <v>01/09/2010</v>
          </cell>
          <cell r="Y1449" t="str">
            <v>KEW</v>
          </cell>
          <cell r="Z1449" t="str">
            <v>16/08/2013</v>
          </cell>
          <cell r="AA1449" t="str">
            <v>15/08/2015</v>
          </cell>
          <cell r="AB1449" t="str">
            <v>No</v>
          </cell>
          <cell r="AC1449" t="str">
            <v>31/08/2013</v>
          </cell>
          <cell r="AD1449" t="str">
            <v>Good</v>
          </cell>
          <cell r="AE1449" t="str">
            <v>V1 - Existing / No Claim</v>
          </cell>
          <cell r="AF1449">
            <v>42235</v>
          </cell>
          <cell r="AG1449">
            <v>9.17</v>
          </cell>
          <cell r="AH1449" t="str">
            <v>PPM</v>
          </cell>
          <cell r="AI1449" t="str">
            <v>Strands</v>
          </cell>
          <cell r="AJ1449" t="str">
            <v>Strands PW</v>
          </cell>
        </row>
        <row r="1450">
          <cell r="A1450" t="str">
            <v>IKN401160</v>
          </cell>
          <cell r="B1450">
            <v>1158</v>
          </cell>
          <cell r="C1450" t="str">
            <v>Institut Kanser Negara</v>
          </cell>
          <cell r="D1450" t="str">
            <v>KKM/IKN/H/13/2312</v>
          </cell>
          <cell r="E1450" t="str">
            <v>11-295</v>
          </cell>
          <cell r="F1450" t="str">
            <v>Dosimeters, Radiation</v>
          </cell>
          <cell r="G1450" t="str">
            <v>ID</v>
          </cell>
          <cell r="H1450" t="str">
            <v>IMAGING DEPARTMENT</v>
          </cell>
          <cell r="I1450" t="str">
            <v>03ID169</v>
          </cell>
          <cell r="J1450" t="str">
            <v>RADIOGRAPHER</v>
          </cell>
          <cell r="K1450" t="str">
            <v>BMED</v>
          </cell>
          <cell r="L1450" t="str">
            <v>Normal</v>
          </cell>
          <cell r="M1450" t="str">
            <v>Germany</v>
          </cell>
          <cell r="N1450" t="str">
            <v>Thermo Fisher</v>
          </cell>
          <cell r="O1450" t="str">
            <v>EPD MK2.5</v>
          </cell>
          <cell r="P1450" t="str">
            <v>00289463</v>
          </cell>
          <cell r="Q1450" t="str">
            <v>Not Applicable</v>
          </cell>
          <cell r="R1450" t="str">
            <v>Thermo Fisher Scientific</v>
          </cell>
          <cell r="S1450" t="str">
            <v>Delta Advantech (M) Sdn Bhd</v>
          </cell>
          <cell r="T1450" t="str">
            <v>Functioning</v>
          </cell>
          <cell r="U1450" t="str">
            <v>Asset</v>
          </cell>
          <cell r="V1450">
            <v>4370</v>
          </cell>
          <cell r="W1450" t="str">
            <v>KEW</v>
          </cell>
          <cell r="X1450" t="str">
            <v>01/09/2010</v>
          </cell>
          <cell r="Y1450" t="str">
            <v>KEW</v>
          </cell>
          <cell r="Z1450" t="str">
            <v>16/08/2013</v>
          </cell>
          <cell r="AA1450" t="str">
            <v>15/08/2015</v>
          </cell>
          <cell r="AB1450" t="str">
            <v>No</v>
          </cell>
          <cell r="AC1450" t="str">
            <v>31/08/2013</v>
          </cell>
          <cell r="AD1450" t="str">
            <v>Good</v>
          </cell>
          <cell r="AE1450" t="str">
            <v>V1 - Existing / No Claim</v>
          </cell>
          <cell r="AF1450">
            <v>42235</v>
          </cell>
          <cell r="AG1450">
            <v>9.17</v>
          </cell>
          <cell r="AH1450" t="str">
            <v>PPM</v>
          </cell>
          <cell r="AI1450" t="str">
            <v>Strands</v>
          </cell>
          <cell r="AJ1450" t="str">
            <v>Strands PW</v>
          </cell>
        </row>
        <row r="1451">
          <cell r="A1451" t="str">
            <v>IKN401161</v>
          </cell>
          <cell r="B1451">
            <v>1159</v>
          </cell>
          <cell r="C1451" t="str">
            <v>Institut Kanser Negara</v>
          </cell>
          <cell r="D1451" t="str">
            <v>KKM/IKN/H/13/2313</v>
          </cell>
          <cell r="E1451" t="str">
            <v>11-295</v>
          </cell>
          <cell r="F1451" t="str">
            <v>Dosimeters, Radiation</v>
          </cell>
          <cell r="G1451" t="str">
            <v>ID</v>
          </cell>
          <cell r="H1451" t="str">
            <v>IMAGING DEPARTMENT</v>
          </cell>
          <cell r="I1451" t="str">
            <v>03ID169</v>
          </cell>
          <cell r="J1451" t="str">
            <v>RADIOGRAPHER</v>
          </cell>
          <cell r="K1451" t="str">
            <v>BMED</v>
          </cell>
          <cell r="L1451" t="str">
            <v>Normal</v>
          </cell>
          <cell r="M1451" t="str">
            <v>Germany</v>
          </cell>
          <cell r="N1451" t="str">
            <v>Thermo Fisher</v>
          </cell>
          <cell r="O1451" t="str">
            <v>EPD MK2.5</v>
          </cell>
          <cell r="P1451" t="str">
            <v>00289465</v>
          </cell>
          <cell r="Q1451" t="str">
            <v>Not Applicable</v>
          </cell>
          <cell r="R1451" t="str">
            <v>Thermo Fisher Scientific</v>
          </cell>
          <cell r="S1451" t="str">
            <v>Delta Advantech (M) Sdn Bhd</v>
          </cell>
          <cell r="T1451" t="str">
            <v>Functioning</v>
          </cell>
          <cell r="U1451" t="str">
            <v>Asset</v>
          </cell>
          <cell r="V1451">
            <v>4370</v>
          </cell>
          <cell r="W1451" t="str">
            <v>KEW</v>
          </cell>
          <cell r="X1451" t="str">
            <v>01/09/2010</v>
          </cell>
          <cell r="Y1451" t="str">
            <v>KEW</v>
          </cell>
          <cell r="Z1451" t="str">
            <v>16/08/2013</v>
          </cell>
          <cell r="AA1451" t="str">
            <v>15/08/2015</v>
          </cell>
          <cell r="AB1451" t="str">
            <v>No</v>
          </cell>
          <cell r="AC1451" t="str">
            <v>31/08/2013</v>
          </cell>
          <cell r="AD1451" t="str">
            <v>Good</v>
          </cell>
          <cell r="AE1451" t="str">
            <v>V1 - Existing / No Claim</v>
          </cell>
          <cell r="AF1451">
            <v>42235</v>
          </cell>
          <cell r="AG1451">
            <v>9.17</v>
          </cell>
          <cell r="AH1451" t="str">
            <v>PPM</v>
          </cell>
          <cell r="AI1451" t="str">
            <v>Strands</v>
          </cell>
          <cell r="AJ1451" t="str">
            <v>Strands PW</v>
          </cell>
        </row>
        <row r="1452">
          <cell r="A1452" t="str">
            <v>IKN401162</v>
          </cell>
          <cell r="B1452">
            <v>1160</v>
          </cell>
          <cell r="C1452" t="str">
            <v>Institut Kanser Negara</v>
          </cell>
          <cell r="D1452" t="str">
            <v>KKM/IKN/H/13/2311</v>
          </cell>
          <cell r="E1452" t="str">
            <v>11-295</v>
          </cell>
          <cell r="F1452" t="str">
            <v>Dosimeters, Radiation</v>
          </cell>
          <cell r="G1452" t="str">
            <v>ID</v>
          </cell>
          <cell r="H1452" t="str">
            <v>IMAGING DEPARTMENT</v>
          </cell>
          <cell r="I1452" t="str">
            <v>03ID169</v>
          </cell>
          <cell r="J1452" t="str">
            <v>RADIOGRAPHER</v>
          </cell>
          <cell r="K1452" t="str">
            <v>BMED</v>
          </cell>
          <cell r="L1452" t="str">
            <v>Normal</v>
          </cell>
          <cell r="M1452" t="str">
            <v>Germany</v>
          </cell>
          <cell r="N1452" t="str">
            <v>Thermo Fisher</v>
          </cell>
          <cell r="O1452" t="str">
            <v>EPD MK2.5</v>
          </cell>
          <cell r="P1452" t="str">
            <v>00289466</v>
          </cell>
          <cell r="Q1452" t="str">
            <v>Not Applicable</v>
          </cell>
          <cell r="R1452" t="str">
            <v>Thermo Fisher Scientific</v>
          </cell>
          <cell r="S1452" t="str">
            <v>Delta Advantech (M) Sdn Bhd</v>
          </cell>
          <cell r="T1452" t="str">
            <v>Functioning</v>
          </cell>
          <cell r="U1452" t="str">
            <v>Asset</v>
          </cell>
          <cell r="V1452">
            <v>4370</v>
          </cell>
          <cell r="W1452" t="str">
            <v>KEW</v>
          </cell>
          <cell r="X1452" t="str">
            <v>01/09/2010</v>
          </cell>
          <cell r="Y1452" t="str">
            <v>KEW</v>
          </cell>
          <cell r="Z1452" t="str">
            <v>16/08/2013</v>
          </cell>
          <cell r="AA1452" t="str">
            <v>15/08/2015</v>
          </cell>
          <cell r="AB1452" t="str">
            <v>No</v>
          </cell>
          <cell r="AC1452" t="str">
            <v>31/08/2013</v>
          </cell>
          <cell r="AD1452" t="str">
            <v>Good</v>
          </cell>
          <cell r="AE1452" t="str">
            <v>V1 - Existing / No Claim</v>
          </cell>
          <cell r="AF1452">
            <v>42235</v>
          </cell>
          <cell r="AG1452">
            <v>9.17</v>
          </cell>
          <cell r="AH1452" t="str">
            <v>PPM</v>
          </cell>
          <cell r="AI1452" t="str">
            <v>Strands</v>
          </cell>
          <cell r="AJ1452" t="str">
            <v>Strands PW</v>
          </cell>
        </row>
        <row r="1453">
          <cell r="A1453" t="str">
            <v>IKN401164</v>
          </cell>
          <cell r="B1453">
            <v>1162</v>
          </cell>
          <cell r="C1453" t="str">
            <v>Institut Kanser Negara</v>
          </cell>
          <cell r="D1453" t="str">
            <v>KKM/IKN/H/13/2310</v>
          </cell>
          <cell r="E1453" t="str">
            <v>11-295</v>
          </cell>
          <cell r="F1453" t="str">
            <v>Dosimeters, Radiation</v>
          </cell>
          <cell r="G1453" t="str">
            <v>ID</v>
          </cell>
          <cell r="H1453" t="str">
            <v>IMAGING DEPARTMENT</v>
          </cell>
          <cell r="I1453" t="str">
            <v>03ID169</v>
          </cell>
          <cell r="J1453" t="str">
            <v>RADIOGRAPHER</v>
          </cell>
          <cell r="K1453" t="str">
            <v>BMED</v>
          </cell>
          <cell r="L1453" t="str">
            <v>Normal</v>
          </cell>
          <cell r="M1453" t="str">
            <v>Germany</v>
          </cell>
          <cell r="N1453" t="str">
            <v>Thermo Fisher</v>
          </cell>
          <cell r="O1453" t="str">
            <v>EPD MK2.5</v>
          </cell>
          <cell r="P1453" t="str">
            <v>00289474</v>
          </cell>
          <cell r="Q1453" t="str">
            <v>Not Applicable</v>
          </cell>
          <cell r="R1453" t="str">
            <v>Thermo Fisher Scientific</v>
          </cell>
          <cell r="S1453" t="str">
            <v>Delta Advantech (M) Sdn Bhd</v>
          </cell>
          <cell r="T1453" t="str">
            <v>Functioning</v>
          </cell>
          <cell r="U1453" t="str">
            <v>Asset</v>
          </cell>
          <cell r="V1453">
            <v>4370</v>
          </cell>
          <cell r="W1453" t="str">
            <v>KEW</v>
          </cell>
          <cell r="X1453" t="str">
            <v>01/09/2010</v>
          </cell>
          <cell r="Y1453" t="str">
            <v>KEW</v>
          </cell>
          <cell r="Z1453" t="str">
            <v>16/08/2013</v>
          </cell>
          <cell r="AA1453" t="str">
            <v>15/08/2015</v>
          </cell>
          <cell r="AB1453" t="str">
            <v>No</v>
          </cell>
          <cell r="AC1453" t="str">
            <v>31/08/2013</v>
          </cell>
          <cell r="AD1453" t="str">
            <v>Good</v>
          </cell>
          <cell r="AE1453" t="str">
            <v>V1 - Existing / No Claim</v>
          </cell>
          <cell r="AF1453">
            <v>42235</v>
          </cell>
          <cell r="AG1453">
            <v>9.17</v>
          </cell>
          <cell r="AH1453" t="str">
            <v>PPM</v>
          </cell>
          <cell r="AI1453" t="str">
            <v>Strands</v>
          </cell>
          <cell r="AJ1453" t="str">
            <v>Strands PW</v>
          </cell>
        </row>
        <row r="1454">
          <cell r="A1454" t="str">
            <v>IKN401165</v>
          </cell>
          <cell r="B1454">
            <v>1163</v>
          </cell>
          <cell r="C1454" t="str">
            <v>Institut Kanser Negara</v>
          </cell>
          <cell r="D1454" t="str">
            <v>KKM/IKN/H/13/2308</v>
          </cell>
          <cell r="E1454" t="str">
            <v>11-295</v>
          </cell>
          <cell r="F1454" t="str">
            <v>Dosimeters, Radiation</v>
          </cell>
          <cell r="G1454" t="str">
            <v>ID</v>
          </cell>
          <cell r="H1454" t="str">
            <v>IMAGING DEPARTMENT</v>
          </cell>
          <cell r="I1454" t="str">
            <v>03ID169</v>
          </cell>
          <cell r="J1454" t="str">
            <v>RADIOGRAPHER</v>
          </cell>
          <cell r="K1454" t="str">
            <v>BMED</v>
          </cell>
          <cell r="L1454" t="str">
            <v>Normal</v>
          </cell>
          <cell r="M1454" t="str">
            <v>Germany</v>
          </cell>
          <cell r="N1454" t="str">
            <v>Thermo Fisher</v>
          </cell>
          <cell r="O1454" t="str">
            <v>EPD MK2.5</v>
          </cell>
          <cell r="P1454" t="str">
            <v>00289476</v>
          </cell>
          <cell r="Q1454" t="str">
            <v>Not Applicable</v>
          </cell>
          <cell r="R1454" t="str">
            <v>Thermo Fisher Scientific</v>
          </cell>
          <cell r="S1454" t="str">
            <v>Delta Advantech (M) Sdn Bhd</v>
          </cell>
          <cell r="T1454" t="str">
            <v>Functioning</v>
          </cell>
          <cell r="U1454" t="str">
            <v>Asset</v>
          </cell>
          <cell r="V1454">
            <v>4370</v>
          </cell>
          <cell r="W1454" t="str">
            <v>KEW</v>
          </cell>
          <cell r="X1454" t="str">
            <v>01/09/2010</v>
          </cell>
          <cell r="Y1454" t="str">
            <v>KEW</v>
          </cell>
          <cell r="Z1454" t="str">
            <v>16/08/2013</v>
          </cell>
          <cell r="AA1454" t="str">
            <v>15/08/2015</v>
          </cell>
          <cell r="AB1454" t="str">
            <v>No</v>
          </cell>
          <cell r="AC1454" t="str">
            <v>31/08/2013</v>
          </cell>
          <cell r="AD1454" t="str">
            <v>Good</v>
          </cell>
          <cell r="AE1454" t="str">
            <v>V1 - Existing / No Claim</v>
          </cell>
          <cell r="AF1454">
            <v>42235</v>
          </cell>
          <cell r="AG1454">
            <v>9.17</v>
          </cell>
          <cell r="AH1454" t="str">
            <v>PPM</v>
          </cell>
          <cell r="AI1454" t="str">
            <v>Strands</v>
          </cell>
          <cell r="AJ1454" t="str">
            <v>Strands PW SET A</v>
          </cell>
          <cell r="AK1454" t="str">
            <v>CUBA CHECK IKN400094 PUNYA KEWPA. [21/3/2024, ANIS]: UPDATE KKM NO.</v>
          </cell>
        </row>
        <row r="1455">
          <cell r="A1455" t="str">
            <v>IKN401166</v>
          </cell>
          <cell r="B1455">
            <v>1164</v>
          </cell>
          <cell r="C1455" t="str">
            <v>Institut Kanser Negara</v>
          </cell>
          <cell r="D1455" t="str">
            <v>KKM/IKN/H/13/4862-10</v>
          </cell>
          <cell r="E1455" t="str">
            <v>11-295</v>
          </cell>
          <cell r="F1455" t="str">
            <v>Dosimeters, Radiation</v>
          </cell>
          <cell r="G1455" t="str">
            <v>ID</v>
          </cell>
          <cell r="H1455" t="str">
            <v>IMAGING DEPARTMENT</v>
          </cell>
          <cell r="I1455" t="str">
            <v>03ID169</v>
          </cell>
          <cell r="J1455" t="str">
            <v>RADIOGRAPHER</v>
          </cell>
          <cell r="K1455" t="str">
            <v>BMED</v>
          </cell>
          <cell r="L1455" t="str">
            <v>Normal</v>
          </cell>
          <cell r="M1455" t="str">
            <v>Germany</v>
          </cell>
          <cell r="N1455" t="str">
            <v>Thermo Fisher</v>
          </cell>
          <cell r="O1455" t="str">
            <v>EPD MK2.5</v>
          </cell>
          <cell r="P1455" t="str">
            <v>00293139</v>
          </cell>
          <cell r="Q1455" t="str">
            <v>Not Applicable</v>
          </cell>
          <cell r="R1455" t="str">
            <v>Thermo Fisher Scientific</v>
          </cell>
          <cell r="S1455" t="str">
            <v>Delta Advantech (M) Sdn Bhd</v>
          </cell>
          <cell r="T1455" t="str">
            <v>Functioning</v>
          </cell>
          <cell r="U1455" t="str">
            <v>Asset</v>
          </cell>
          <cell r="V1455">
            <v>4370</v>
          </cell>
          <cell r="W1455" t="str">
            <v>KEW</v>
          </cell>
          <cell r="X1455" t="str">
            <v>01/09/2010</v>
          </cell>
          <cell r="Y1455" t="str">
            <v>KEW</v>
          </cell>
          <cell r="Z1455" t="str">
            <v>16/08/2013</v>
          </cell>
          <cell r="AA1455" t="str">
            <v>15/08/2015</v>
          </cell>
          <cell r="AB1455" t="str">
            <v>No</v>
          </cell>
          <cell r="AC1455" t="str">
            <v>31/08/2013</v>
          </cell>
          <cell r="AD1455" t="str">
            <v>Good</v>
          </cell>
          <cell r="AE1455" t="str">
            <v>V1 - Existing / No Claim</v>
          </cell>
          <cell r="AF1455">
            <v>42235</v>
          </cell>
          <cell r="AG1455">
            <v>9.17</v>
          </cell>
          <cell r="AH1455" t="str">
            <v>PPM</v>
          </cell>
          <cell r="AI1455" t="str">
            <v>package</v>
          </cell>
          <cell r="AJ1455" t="e">
            <v>#REF!</v>
          </cell>
          <cell r="AK1455" t="str">
            <v>PACKAGE WITH IKN401200</v>
          </cell>
        </row>
        <row r="1456">
          <cell r="A1456" t="str">
            <v>IKN401167</v>
          </cell>
          <cell r="B1456">
            <v>1165</v>
          </cell>
          <cell r="C1456" t="str">
            <v>Institut Kanser Negara</v>
          </cell>
          <cell r="D1456" t="str">
            <v>KKM/IKN/H/13/1187</v>
          </cell>
          <cell r="E1456" t="str">
            <v>11-295</v>
          </cell>
          <cell r="F1456" t="str">
            <v>Dosimeters, Radiation</v>
          </cell>
          <cell r="G1456" t="str">
            <v>RT</v>
          </cell>
          <cell r="H1456" t="str">
            <v>RADIATION TREATMENT UNIT</v>
          </cell>
          <cell r="I1456" t="str">
            <v>01RT213</v>
          </cell>
          <cell r="J1456" t="str">
            <v>EQUIPMENT ROOM1</v>
          </cell>
          <cell r="K1456" t="str">
            <v>BMED</v>
          </cell>
          <cell r="L1456" t="str">
            <v>Normal</v>
          </cell>
          <cell r="M1456" t="str">
            <v>Germany</v>
          </cell>
          <cell r="N1456" t="str">
            <v>Thermo Fisher</v>
          </cell>
          <cell r="O1456" t="str">
            <v>EPD MK2.5</v>
          </cell>
          <cell r="P1456" t="str">
            <v>00289455</v>
          </cell>
          <cell r="Q1456" t="str">
            <v>Not Applicable</v>
          </cell>
          <cell r="R1456" t="str">
            <v>Thermo Fisher Scientific</v>
          </cell>
          <cell r="S1456" t="str">
            <v>Delta Advantech (M) Sdn Bhd</v>
          </cell>
          <cell r="T1456" t="str">
            <v>Functioning</v>
          </cell>
          <cell r="U1456" t="str">
            <v>Asset</v>
          </cell>
          <cell r="V1456">
            <v>4370</v>
          </cell>
          <cell r="W1456" t="str">
            <v>KEW</v>
          </cell>
          <cell r="X1456" t="str">
            <v>01/09/2010</v>
          </cell>
          <cell r="Y1456" t="str">
            <v>KEW</v>
          </cell>
          <cell r="Z1456" t="str">
            <v>16/08/2013</v>
          </cell>
          <cell r="AA1456" t="str">
            <v>15/08/2015</v>
          </cell>
          <cell r="AB1456" t="str">
            <v>No</v>
          </cell>
          <cell r="AC1456" t="str">
            <v>31/08/2013</v>
          </cell>
          <cell r="AD1456" t="str">
            <v>Good</v>
          </cell>
          <cell r="AE1456" t="str">
            <v>V1 - Existing / No Claim</v>
          </cell>
          <cell r="AF1456">
            <v>42235</v>
          </cell>
          <cell r="AG1456">
            <v>9.17</v>
          </cell>
          <cell r="AH1456" t="str">
            <v>PPM</v>
          </cell>
          <cell r="AI1456" t="str">
            <v>Strands</v>
          </cell>
          <cell r="AJ1456" t="str">
            <v>Strands PW</v>
          </cell>
        </row>
        <row r="1457">
          <cell r="A1457" t="str">
            <v>IKN401168</v>
          </cell>
          <cell r="B1457">
            <v>1166</v>
          </cell>
          <cell r="C1457" t="str">
            <v>Institut Kanser Negara</v>
          </cell>
          <cell r="D1457" t="str">
            <v>KKM/IKN/H/13/1179</v>
          </cell>
          <cell r="E1457" t="str">
            <v>11-295</v>
          </cell>
          <cell r="F1457" t="str">
            <v>Dosimeters, Radiation</v>
          </cell>
          <cell r="G1457" t="str">
            <v>RT</v>
          </cell>
          <cell r="H1457" t="str">
            <v>RADIATION TREATMENT UNIT</v>
          </cell>
          <cell r="I1457" t="str">
            <v>01RT213</v>
          </cell>
          <cell r="J1457" t="str">
            <v>EQUIPMENT ROOM1</v>
          </cell>
          <cell r="K1457" t="str">
            <v>BMED</v>
          </cell>
          <cell r="L1457" t="str">
            <v>Normal</v>
          </cell>
          <cell r="M1457" t="str">
            <v>Germany</v>
          </cell>
          <cell r="N1457" t="str">
            <v>Thermo Fisher</v>
          </cell>
          <cell r="O1457" t="str">
            <v>EPD MK2.5</v>
          </cell>
          <cell r="P1457" t="str">
            <v>00289456</v>
          </cell>
          <cell r="Q1457" t="str">
            <v>Not Applicable</v>
          </cell>
          <cell r="R1457" t="str">
            <v>Thermo Fisher Scientific</v>
          </cell>
          <cell r="S1457" t="str">
            <v>Delta Advantech (M) Sdn Bhd</v>
          </cell>
          <cell r="T1457" t="str">
            <v>Functioning</v>
          </cell>
          <cell r="U1457" t="str">
            <v>Asset</v>
          </cell>
          <cell r="V1457">
            <v>4370</v>
          </cell>
          <cell r="W1457" t="str">
            <v>KEW</v>
          </cell>
          <cell r="X1457" t="str">
            <v>01/09/2010</v>
          </cell>
          <cell r="Y1457" t="str">
            <v>KEW</v>
          </cell>
          <cell r="Z1457" t="str">
            <v>16/08/2013</v>
          </cell>
          <cell r="AA1457" t="str">
            <v>15/08/2015</v>
          </cell>
          <cell r="AB1457" t="str">
            <v>No</v>
          </cell>
          <cell r="AC1457" t="str">
            <v>31/08/2013</v>
          </cell>
          <cell r="AD1457" t="str">
            <v>Good</v>
          </cell>
          <cell r="AE1457" t="str">
            <v>V1 - Existing / No Claim</v>
          </cell>
          <cell r="AF1457">
            <v>42235</v>
          </cell>
          <cell r="AG1457">
            <v>9.17</v>
          </cell>
          <cell r="AH1457" t="str">
            <v>PPM</v>
          </cell>
          <cell r="AI1457" t="str">
            <v>Strands</v>
          </cell>
          <cell r="AJ1457" t="str">
            <v>Strands PW</v>
          </cell>
        </row>
        <row r="1458">
          <cell r="A1458" t="str">
            <v>IKN401169</v>
          </cell>
          <cell r="B1458">
            <v>1167</v>
          </cell>
          <cell r="C1458" t="str">
            <v>Institut Kanser Negara</v>
          </cell>
          <cell r="D1458" t="str">
            <v>KKM/IKN/H/13/1136</v>
          </cell>
          <cell r="E1458" t="str">
            <v>11-295</v>
          </cell>
          <cell r="F1458" t="str">
            <v>Dosimeters, Radiation</v>
          </cell>
          <cell r="G1458" t="str">
            <v>RT</v>
          </cell>
          <cell r="H1458" t="str">
            <v>RADIATION TREATMENT UNIT</v>
          </cell>
          <cell r="I1458" t="str">
            <v>01RT213</v>
          </cell>
          <cell r="J1458" t="str">
            <v>EQUIPMENT ROOM1</v>
          </cell>
          <cell r="K1458" t="str">
            <v>BMED</v>
          </cell>
          <cell r="L1458" t="str">
            <v>Normal</v>
          </cell>
          <cell r="M1458" t="str">
            <v>Germany</v>
          </cell>
          <cell r="N1458" t="str">
            <v>Thermo Fisher</v>
          </cell>
          <cell r="O1458" t="str">
            <v>EPD MK2.5</v>
          </cell>
          <cell r="P1458" t="str">
            <v>00289473</v>
          </cell>
          <cell r="Q1458" t="str">
            <v>Not Applicable</v>
          </cell>
          <cell r="R1458" t="str">
            <v>Thermo Fisher Scientific</v>
          </cell>
          <cell r="S1458" t="str">
            <v>Delta Advantech (M) Sdn Bhd</v>
          </cell>
          <cell r="T1458" t="str">
            <v>Functioning</v>
          </cell>
          <cell r="U1458" t="str">
            <v>Asset</v>
          </cell>
          <cell r="V1458">
            <v>4370</v>
          </cell>
          <cell r="W1458" t="str">
            <v>KEW</v>
          </cell>
          <cell r="X1458" t="str">
            <v>01/09/2010</v>
          </cell>
          <cell r="Y1458" t="str">
            <v>KEW</v>
          </cell>
          <cell r="Z1458" t="str">
            <v>16/08/2013</v>
          </cell>
          <cell r="AA1458" t="str">
            <v>15/08/2015</v>
          </cell>
          <cell r="AB1458" t="str">
            <v>No</v>
          </cell>
          <cell r="AC1458" t="str">
            <v>31/08/2013</v>
          </cell>
          <cell r="AD1458" t="str">
            <v>Good</v>
          </cell>
          <cell r="AE1458" t="str">
            <v>V1 - Existing / No Claim</v>
          </cell>
          <cell r="AF1458">
            <v>42235</v>
          </cell>
          <cell r="AG1458">
            <v>9.17</v>
          </cell>
          <cell r="AH1458" t="str">
            <v>PPM</v>
          </cell>
          <cell r="AI1458" t="str">
            <v>Strands</v>
          </cell>
          <cell r="AJ1458" t="str">
            <v>Strands PW</v>
          </cell>
        </row>
        <row r="1459">
          <cell r="A1459" t="str">
            <v>IKN401170</v>
          </cell>
          <cell r="B1459">
            <v>1168</v>
          </cell>
          <cell r="C1459" t="str">
            <v>Institut Kanser Negara</v>
          </cell>
          <cell r="D1459" t="str">
            <v>KKM/IKN/H/13/1182</v>
          </cell>
          <cell r="E1459" t="str">
            <v>11-295</v>
          </cell>
          <cell r="F1459" t="str">
            <v>Dosimeters, Radiation</v>
          </cell>
          <cell r="G1459" t="str">
            <v>RT</v>
          </cell>
          <cell r="H1459" t="str">
            <v>RADIATION TREATMENT UNIT</v>
          </cell>
          <cell r="I1459" t="str">
            <v>01RT213</v>
          </cell>
          <cell r="J1459" t="str">
            <v>EQUIPMENT ROOM1</v>
          </cell>
          <cell r="K1459" t="str">
            <v>BMED</v>
          </cell>
          <cell r="L1459" t="str">
            <v>Normal</v>
          </cell>
          <cell r="M1459" t="str">
            <v>Germany</v>
          </cell>
          <cell r="N1459" t="str">
            <v>Thermo Fisher</v>
          </cell>
          <cell r="O1459" t="str">
            <v>EPD MK2.5</v>
          </cell>
          <cell r="P1459" t="str">
            <v>00288076</v>
          </cell>
          <cell r="Q1459" t="str">
            <v>Not Applicable</v>
          </cell>
          <cell r="R1459" t="str">
            <v>Thermo Fisher Scientific</v>
          </cell>
          <cell r="S1459" t="str">
            <v>Delta Advantech (M) Sdn Bhd</v>
          </cell>
          <cell r="T1459" t="str">
            <v>Functioning</v>
          </cell>
          <cell r="U1459" t="str">
            <v>Asset</v>
          </cell>
          <cell r="V1459">
            <v>4370</v>
          </cell>
          <cell r="W1459" t="str">
            <v>KEW</v>
          </cell>
          <cell r="X1459" t="str">
            <v>01/09/2010</v>
          </cell>
          <cell r="Y1459" t="str">
            <v>KEW</v>
          </cell>
          <cell r="Z1459" t="str">
            <v>16/08/2013</v>
          </cell>
          <cell r="AA1459" t="str">
            <v>15/08/2015</v>
          </cell>
          <cell r="AB1459" t="str">
            <v>No</v>
          </cell>
          <cell r="AC1459" t="str">
            <v>31/08/2013</v>
          </cell>
          <cell r="AD1459" t="str">
            <v>Good</v>
          </cell>
          <cell r="AE1459" t="str">
            <v>V1 - Existing / No Claim</v>
          </cell>
          <cell r="AF1459">
            <v>42235</v>
          </cell>
          <cell r="AG1459">
            <v>9.17</v>
          </cell>
          <cell r="AH1459" t="str">
            <v>PPM</v>
          </cell>
          <cell r="AI1459" t="str">
            <v>Strands</v>
          </cell>
          <cell r="AJ1459" t="str">
            <v>Strands PW</v>
          </cell>
        </row>
        <row r="1460">
          <cell r="A1460" t="str">
            <v>IKN401171</v>
          </cell>
          <cell r="B1460">
            <v>1169</v>
          </cell>
          <cell r="C1460" t="str">
            <v>Institut Kanser Negara</v>
          </cell>
          <cell r="D1460" t="str">
            <v>KKM/IKN/H/13/1180</v>
          </cell>
          <cell r="E1460" t="str">
            <v>11-295</v>
          </cell>
          <cell r="F1460" t="str">
            <v>Dosimeters, Radiation</v>
          </cell>
          <cell r="G1460" t="str">
            <v>RT</v>
          </cell>
          <cell r="H1460" t="str">
            <v>RADIATION TREATMENT UNIT</v>
          </cell>
          <cell r="I1460" t="str">
            <v>01RT213</v>
          </cell>
          <cell r="J1460" t="str">
            <v>EQUIPMENT ROOM1</v>
          </cell>
          <cell r="K1460" t="str">
            <v>BMED</v>
          </cell>
          <cell r="L1460" t="str">
            <v>Normal</v>
          </cell>
          <cell r="M1460" t="str">
            <v>Germany</v>
          </cell>
          <cell r="N1460" t="str">
            <v>Thermo Fisher</v>
          </cell>
          <cell r="O1460" t="str">
            <v>EPD MK2.5</v>
          </cell>
          <cell r="P1460" t="str">
            <v>00288078</v>
          </cell>
          <cell r="Q1460" t="str">
            <v>Not Applicable</v>
          </cell>
          <cell r="R1460" t="str">
            <v>Thermo Fisher Scientific</v>
          </cell>
          <cell r="S1460" t="str">
            <v>Delta Advantech (M) Sdn Bhd</v>
          </cell>
          <cell r="T1460" t="str">
            <v>Functioning</v>
          </cell>
          <cell r="U1460" t="str">
            <v>Asset</v>
          </cell>
          <cell r="V1460">
            <v>4370</v>
          </cell>
          <cell r="W1460" t="str">
            <v>KEW</v>
          </cell>
          <cell r="X1460" t="str">
            <v>01/09/2010</v>
          </cell>
          <cell r="Y1460" t="str">
            <v>KEW</v>
          </cell>
          <cell r="Z1460" t="str">
            <v>16/08/2013</v>
          </cell>
          <cell r="AA1460" t="str">
            <v>15/08/2015</v>
          </cell>
          <cell r="AB1460" t="str">
            <v>No</v>
          </cell>
          <cell r="AC1460" t="str">
            <v>31/08/2013</v>
          </cell>
          <cell r="AD1460" t="str">
            <v>Good</v>
          </cell>
          <cell r="AE1460" t="str">
            <v>V1 - Existing / No Claim</v>
          </cell>
          <cell r="AF1460">
            <v>42235</v>
          </cell>
          <cell r="AG1460">
            <v>9.17</v>
          </cell>
          <cell r="AH1460" t="str">
            <v>PPM</v>
          </cell>
          <cell r="AI1460" t="str">
            <v>Strands</v>
          </cell>
          <cell r="AJ1460" t="str">
            <v>Strands PW</v>
          </cell>
        </row>
        <row r="1461">
          <cell r="A1461" t="str">
            <v>IKN401172</v>
          </cell>
          <cell r="B1461">
            <v>1170</v>
          </cell>
          <cell r="C1461" t="str">
            <v>Institut Kanser Negara</v>
          </cell>
          <cell r="D1461" t="e">
            <v>#N/A</v>
          </cell>
          <cell r="E1461" t="str">
            <v>11-295</v>
          </cell>
          <cell r="F1461" t="str">
            <v>Dosimeters, Radiation</v>
          </cell>
          <cell r="G1461" t="str">
            <v>RT</v>
          </cell>
          <cell r="H1461" t="str">
            <v>RADIATION TREATMENT UNIT</v>
          </cell>
          <cell r="I1461" t="str">
            <v>01RT213</v>
          </cell>
          <cell r="J1461" t="str">
            <v>EQUIPMENT ROOM1</v>
          </cell>
          <cell r="K1461" t="str">
            <v>BMED</v>
          </cell>
          <cell r="L1461" t="str">
            <v>Normal</v>
          </cell>
          <cell r="M1461" t="str">
            <v>Germany</v>
          </cell>
          <cell r="N1461" t="str">
            <v>Thermo Fisher</v>
          </cell>
          <cell r="O1461" t="str">
            <v>EPD MK2.5</v>
          </cell>
          <cell r="P1461" t="str">
            <v>00288079</v>
          </cell>
          <cell r="Q1461" t="str">
            <v>Not Applicable</v>
          </cell>
          <cell r="R1461" t="str">
            <v>Thermo Fisher Scientific</v>
          </cell>
          <cell r="S1461" t="str">
            <v>Delta Advantech (M) Sdn Bhd</v>
          </cell>
          <cell r="T1461" t="str">
            <v>Functioning</v>
          </cell>
          <cell r="U1461" t="str">
            <v>Asset</v>
          </cell>
          <cell r="V1461">
            <v>4370</v>
          </cell>
          <cell r="W1461" t="str">
            <v>KEW</v>
          </cell>
          <cell r="X1461" t="str">
            <v>01/09/2010</v>
          </cell>
          <cell r="Y1461" t="str">
            <v>KEW</v>
          </cell>
          <cell r="Z1461" t="str">
            <v>16/08/2013</v>
          </cell>
          <cell r="AA1461" t="str">
            <v>15/08/2015</v>
          </cell>
          <cell r="AB1461" t="str">
            <v>No</v>
          </cell>
          <cell r="AC1461" t="str">
            <v>31/08/2013</v>
          </cell>
          <cell r="AD1461" t="str">
            <v>Good</v>
          </cell>
          <cell r="AE1461" t="str">
            <v>V1 - Existing / No Claim</v>
          </cell>
          <cell r="AF1461">
            <v>42235</v>
          </cell>
          <cell r="AG1461">
            <v>9.17</v>
          </cell>
          <cell r="AH1461" t="str">
            <v>PPM</v>
          </cell>
          <cell r="AI1461" t="str">
            <v>package</v>
          </cell>
        </row>
        <row r="1462">
          <cell r="A1462" t="str">
            <v>IKN401173</v>
          </cell>
          <cell r="B1462">
            <v>1171</v>
          </cell>
          <cell r="C1462" t="str">
            <v>Institut Kanser Negara</v>
          </cell>
          <cell r="D1462" t="str">
            <v>KKM/IKN/H/13/4565</v>
          </cell>
          <cell r="E1462" t="str">
            <v>13-961</v>
          </cell>
          <cell r="F1462" t="str">
            <v>Tables, Operating</v>
          </cell>
          <cell r="G1462" t="str">
            <v>RT</v>
          </cell>
          <cell r="H1462" t="str">
            <v>RADIATION TREATMENT UNIT</v>
          </cell>
          <cell r="I1462" t="str">
            <v>01RT278</v>
          </cell>
          <cell r="J1462" t="str">
            <v>BRACHY OT 2</v>
          </cell>
          <cell r="K1462" t="str">
            <v>BMED</v>
          </cell>
          <cell r="L1462" t="str">
            <v>Normal</v>
          </cell>
          <cell r="M1462" t="str">
            <v>UK</v>
          </cell>
          <cell r="N1462" t="str">
            <v>Eschmann</v>
          </cell>
          <cell r="O1462" t="str">
            <v>Eschmann T20-a+</v>
          </cell>
          <cell r="P1462" t="str">
            <v>T2AD-2A-3365</v>
          </cell>
          <cell r="Q1462" t="str">
            <v>Not Applicable</v>
          </cell>
          <cell r="R1462" t="str">
            <v>Eschmann Holding Limited</v>
          </cell>
          <cell r="S1462" t="str">
            <v>Antah Sir Radin Sdn. Bhd.</v>
          </cell>
          <cell r="T1462" t="str">
            <v>Functioning</v>
          </cell>
          <cell r="U1462" t="str">
            <v>Asset</v>
          </cell>
          <cell r="V1462">
            <v>240330</v>
          </cell>
          <cell r="W1462" t="str">
            <v>KEW</v>
          </cell>
          <cell r="X1462" t="str">
            <v>01/09/2010</v>
          </cell>
          <cell r="Y1462" t="str">
            <v>KEW</v>
          </cell>
          <cell r="Z1462" t="str">
            <v>16/08/2013</v>
          </cell>
          <cell r="AA1462" t="str">
            <v>15/08/2015</v>
          </cell>
          <cell r="AB1462" t="str">
            <v>No</v>
          </cell>
          <cell r="AC1462" t="str">
            <v>31/08/2013</v>
          </cell>
          <cell r="AD1462" t="str">
            <v>Good</v>
          </cell>
          <cell r="AE1462" t="str">
            <v>V1 - Existing / No Claim</v>
          </cell>
          <cell r="AF1462">
            <v>42235</v>
          </cell>
          <cell r="AG1462">
            <v>9.17</v>
          </cell>
          <cell r="AH1462" t="str">
            <v>PPM</v>
          </cell>
          <cell r="AI1462" t="str">
            <v>Strands</v>
          </cell>
          <cell r="AJ1462" t="str">
            <v>Strands PW</v>
          </cell>
        </row>
        <row r="1463">
          <cell r="A1463" t="str">
            <v>IKN401174</v>
          </cell>
          <cell r="B1463">
            <v>1172</v>
          </cell>
          <cell r="C1463" t="str">
            <v>Institut Kanser Negara</v>
          </cell>
          <cell r="D1463" t="str">
            <v>KKM/IKN/H/13/1185</v>
          </cell>
          <cell r="E1463" t="str">
            <v>11-295</v>
          </cell>
          <cell r="F1463" t="str">
            <v>Dosimeters, Radiation</v>
          </cell>
          <cell r="G1463" t="str">
            <v>RT</v>
          </cell>
          <cell r="H1463" t="str">
            <v>RADIATION TREATMENT UNIT</v>
          </cell>
          <cell r="I1463" t="str">
            <v>01RT213</v>
          </cell>
          <cell r="J1463" t="str">
            <v>EQUIPMENT ROOM1</v>
          </cell>
          <cell r="K1463" t="str">
            <v>BMED</v>
          </cell>
          <cell r="L1463" t="str">
            <v>Normal</v>
          </cell>
          <cell r="M1463" t="str">
            <v>Germany</v>
          </cell>
          <cell r="N1463" t="str">
            <v>Thermo Fisher</v>
          </cell>
          <cell r="O1463" t="str">
            <v>EPD MK2.5</v>
          </cell>
          <cell r="P1463" t="str">
            <v>00288081</v>
          </cell>
          <cell r="Q1463" t="str">
            <v>Not Applicable</v>
          </cell>
          <cell r="R1463" t="str">
            <v>Thermo Fisher Scientific</v>
          </cell>
          <cell r="S1463" t="str">
            <v>Delta Advantech (M) Sdn Bhd</v>
          </cell>
          <cell r="T1463" t="str">
            <v>Functioning</v>
          </cell>
          <cell r="U1463" t="str">
            <v>Asset</v>
          </cell>
          <cell r="V1463">
            <v>4370</v>
          </cell>
          <cell r="W1463" t="str">
            <v>KEW</v>
          </cell>
          <cell r="X1463" t="str">
            <v>01/09/2010</v>
          </cell>
          <cell r="Y1463" t="str">
            <v>KEW</v>
          </cell>
          <cell r="Z1463" t="str">
            <v>16/08/2013</v>
          </cell>
          <cell r="AA1463" t="str">
            <v>15/08/2015</v>
          </cell>
          <cell r="AB1463" t="str">
            <v>No</v>
          </cell>
          <cell r="AC1463" t="str">
            <v>31/08/2013</v>
          </cell>
          <cell r="AD1463" t="str">
            <v>Good</v>
          </cell>
          <cell r="AE1463" t="str">
            <v>V1 - Existing / No Claim</v>
          </cell>
          <cell r="AF1463">
            <v>42235</v>
          </cell>
          <cell r="AG1463">
            <v>9.17</v>
          </cell>
          <cell r="AH1463" t="str">
            <v>PPM</v>
          </cell>
          <cell r="AI1463" t="str">
            <v>Strands</v>
          </cell>
          <cell r="AJ1463" t="str">
            <v>Strands PW</v>
          </cell>
        </row>
        <row r="1464">
          <cell r="A1464" t="str">
            <v>IKN401175</v>
          </cell>
          <cell r="B1464">
            <v>1173</v>
          </cell>
          <cell r="C1464" t="str">
            <v>Institut Kanser Negara</v>
          </cell>
          <cell r="D1464" t="str">
            <v>KKM/IKN/H/13/1178</v>
          </cell>
          <cell r="E1464" t="str">
            <v>11-295</v>
          </cell>
          <cell r="F1464" t="str">
            <v>Dosimeters, Radiation</v>
          </cell>
          <cell r="G1464" t="str">
            <v>RT</v>
          </cell>
          <cell r="H1464" t="str">
            <v>RADIATION TREATMENT UNIT</v>
          </cell>
          <cell r="I1464" t="str">
            <v>01RT213</v>
          </cell>
          <cell r="J1464" t="str">
            <v>EQUIPMENT ROOM1</v>
          </cell>
          <cell r="K1464" t="str">
            <v>BMED</v>
          </cell>
          <cell r="L1464" t="str">
            <v>Normal</v>
          </cell>
          <cell r="M1464" t="str">
            <v>Germany</v>
          </cell>
          <cell r="N1464" t="str">
            <v>Thermo Fisher</v>
          </cell>
          <cell r="O1464" t="str">
            <v>EPD MK2.5</v>
          </cell>
          <cell r="P1464" t="str">
            <v>00288064</v>
          </cell>
          <cell r="Q1464" t="str">
            <v>Not Applicable</v>
          </cell>
          <cell r="R1464" t="str">
            <v>Thermo Fisher Scientific</v>
          </cell>
          <cell r="S1464" t="str">
            <v>Delta Advantech (M) Sdn Bhd</v>
          </cell>
          <cell r="T1464" t="str">
            <v>Functioning</v>
          </cell>
          <cell r="U1464" t="str">
            <v>Asset</v>
          </cell>
          <cell r="V1464">
            <v>4370</v>
          </cell>
          <cell r="W1464" t="str">
            <v>KEW</v>
          </cell>
          <cell r="X1464" t="str">
            <v>01/09/2010</v>
          </cell>
          <cell r="Y1464" t="str">
            <v>KEW</v>
          </cell>
          <cell r="Z1464" t="str">
            <v>16/08/2013</v>
          </cell>
          <cell r="AA1464" t="str">
            <v>15/08/2015</v>
          </cell>
          <cell r="AB1464" t="str">
            <v>No</v>
          </cell>
          <cell r="AC1464" t="str">
            <v>31/08/2013</v>
          </cell>
          <cell r="AD1464" t="str">
            <v>Good</v>
          </cell>
          <cell r="AE1464" t="str">
            <v>V1 - Existing / No Claim</v>
          </cell>
          <cell r="AF1464">
            <v>42235</v>
          </cell>
          <cell r="AG1464">
            <v>9.17</v>
          </cell>
          <cell r="AH1464" t="str">
            <v>PPM</v>
          </cell>
          <cell r="AI1464" t="str">
            <v>Strands</v>
          </cell>
          <cell r="AJ1464" t="str">
            <v>Strands PW</v>
          </cell>
        </row>
        <row r="1465">
          <cell r="A1465" t="str">
            <v>IKN401176</v>
          </cell>
          <cell r="B1465">
            <v>1174</v>
          </cell>
          <cell r="C1465" t="str">
            <v>Institut Kanser Negara</v>
          </cell>
          <cell r="D1465" t="str">
            <v>KKM/IKN/H/13/1181</v>
          </cell>
          <cell r="E1465" t="str">
            <v>11-295</v>
          </cell>
          <cell r="F1465" t="str">
            <v>Dosimeters, Radiation</v>
          </cell>
          <cell r="G1465" t="str">
            <v>RT</v>
          </cell>
          <cell r="H1465" t="str">
            <v>RADIATION TREATMENT UNIT</v>
          </cell>
          <cell r="I1465" t="str">
            <v>01RT213</v>
          </cell>
          <cell r="J1465" t="str">
            <v>EQUIPMENT ROOM1</v>
          </cell>
          <cell r="K1465" t="str">
            <v>BMED</v>
          </cell>
          <cell r="L1465" t="str">
            <v>Normal</v>
          </cell>
          <cell r="M1465" t="str">
            <v>Germany</v>
          </cell>
          <cell r="N1465" t="str">
            <v>Thermo Fisher</v>
          </cell>
          <cell r="O1465" t="str">
            <v>EPD MK2.5</v>
          </cell>
          <cell r="P1465" t="str">
            <v>00288068</v>
          </cell>
          <cell r="Q1465" t="str">
            <v>Not Applicable</v>
          </cell>
          <cell r="R1465" t="str">
            <v>Thermo Fisher Scientific</v>
          </cell>
          <cell r="S1465" t="str">
            <v>Delta Advantech (M) Sdn Bhd</v>
          </cell>
          <cell r="T1465" t="str">
            <v>Functioning</v>
          </cell>
          <cell r="U1465" t="str">
            <v>Asset</v>
          </cell>
          <cell r="V1465">
            <v>4370</v>
          </cell>
          <cell r="W1465" t="str">
            <v>KEW</v>
          </cell>
          <cell r="X1465" t="str">
            <v>01/09/2010</v>
          </cell>
          <cell r="Y1465" t="str">
            <v>KEW</v>
          </cell>
          <cell r="Z1465" t="str">
            <v>16/08/2013</v>
          </cell>
          <cell r="AA1465" t="str">
            <v>15/08/2015</v>
          </cell>
          <cell r="AB1465" t="str">
            <v>No</v>
          </cell>
          <cell r="AC1465" t="str">
            <v>31/08/2013</v>
          </cell>
          <cell r="AD1465" t="str">
            <v>Good</v>
          </cell>
          <cell r="AE1465" t="str">
            <v>V1 - Existing / No Claim</v>
          </cell>
          <cell r="AF1465">
            <v>42235</v>
          </cell>
          <cell r="AG1465">
            <v>9.17</v>
          </cell>
          <cell r="AH1465" t="str">
            <v>PPM</v>
          </cell>
          <cell r="AI1465" t="str">
            <v>Strands</v>
          </cell>
          <cell r="AJ1465" t="str">
            <v>Strands PW</v>
          </cell>
        </row>
        <row r="1466">
          <cell r="A1466" t="str">
            <v>IKN401177</v>
          </cell>
          <cell r="B1466">
            <v>1175</v>
          </cell>
          <cell r="C1466" t="str">
            <v>Institut Kanser Negara</v>
          </cell>
          <cell r="D1466" t="str">
            <v>KKM/IKN/H/13/1184</v>
          </cell>
          <cell r="E1466" t="str">
            <v>11-295</v>
          </cell>
          <cell r="F1466" t="str">
            <v>Dosimeters, Radiation</v>
          </cell>
          <cell r="G1466" t="str">
            <v>RT</v>
          </cell>
          <cell r="H1466" t="str">
            <v>RADIATION TREATMENT UNIT</v>
          </cell>
          <cell r="I1466" t="str">
            <v>01RT213</v>
          </cell>
          <cell r="J1466" t="str">
            <v>EQUIPMENT ROOM1</v>
          </cell>
          <cell r="K1466" t="str">
            <v>BMED</v>
          </cell>
          <cell r="L1466" t="str">
            <v>Normal</v>
          </cell>
          <cell r="M1466" t="str">
            <v>Germany</v>
          </cell>
          <cell r="N1466" t="str">
            <v>Thermo Fisher</v>
          </cell>
          <cell r="O1466" t="str">
            <v>EPD MK2.5</v>
          </cell>
          <cell r="P1466" t="str">
            <v>00288077</v>
          </cell>
          <cell r="Q1466" t="str">
            <v>Not Applicable</v>
          </cell>
          <cell r="R1466" t="str">
            <v>Thermo Fisher Scientific</v>
          </cell>
          <cell r="S1466" t="str">
            <v>Delta Advantech (M) Sdn Bhd</v>
          </cell>
          <cell r="T1466" t="str">
            <v>Functioning</v>
          </cell>
          <cell r="U1466" t="str">
            <v>Asset</v>
          </cell>
          <cell r="V1466">
            <v>4370</v>
          </cell>
          <cell r="W1466" t="str">
            <v>KEW</v>
          </cell>
          <cell r="X1466" t="str">
            <v>01/09/2010</v>
          </cell>
          <cell r="Y1466" t="str">
            <v>KEW</v>
          </cell>
          <cell r="Z1466" t="str">
            <v>16/08/2013</v>
          </cell>
          <cell r="AA1466" t="str">
            <v>15/08/2015</v>
          </cell>
          <cell r="AB1466" t="str">
            <v>No</v>
          </cell>
          <cell r="AC1466" t="str">
            <v>31/08/2013</v>
          </cell>
          <cell r="AD1466" t="str">
            <v>Good</v>
          </cell>
          <cell r="AE1466" t="str">
            <v>V1 - Existing / No Claim</v>
          </cell>
          <cell r="AF1466">
            <v>42235</v>
          </cell>
          <cell r="AG1466">
            <v>9.17</v>
          </cell>
          <cell r="AH1466" t="str">
            <v>PPM</v>
          </cell>
          <cell r="AI1466" t="str">
            <v>Strands</v>
          </cell>
          <cell r="AJ1466" t="str">
            <v>Strands PW</v>
          </cell>
        </row>
        <row r="1467">
          <cell r="A1467" t="str">
            <v>IKN401178</v>
          </cell>
          <cell r="B1467">
            <v>1176</v>
          </cell>
          <cell r="C1467" t="str">
            <v>Institut Kanser Negara</v>
          </cell>
          <cell r="E1467" t="str">
            <v>11-295</v>
          </cell>
          <cell r="F1467" t="str">
            <v>Dosimeters, Radiation</v>
          </cell>
          <cell r="G1467" t="str">
            <v>RT</v>
          </cell>
          <cell r="H1467" t="str">
            <v>RADIATION TREATMENT UNIT</v>
          </cell>
          <cell r="I1467" t="str">
            <v>01RT213</v>
          </cell>
          <cell r="J1467" t="str">
            <v>EQUIPMENT ROOM1</v>
          </cell>
          <cell r="K1467" t="str">
            <v>BMED</v>
          </cell>
          <cell r="L1467" t="str">
            <v>Normal</v>
          </cell>
          <cell r="M1467" t="str">
            <v>Germany</v>
          </cell>
          <cell r="N1467" t="str">
            <v>Thermo Fisher</v>
          </cell>
          <cell r="O1467" t="str">
            <v>EPD MK2.5</v>
          </cell>
          <cell r="P1467" t="str">
            <v>00288083</v>
          </cell>
          <cell r="Q1467" t="str">
            <v>Not Applicable</v>
          </cell>
          <cell r="R1467" t="str">
            <v>Thermo Fisher Scientific</v>
          </cell>
          <cell r="S1467" t="str">
            <v>Delta Advantech (M) Sdn Bhd</v>
          </cell>
          <cell r="T1467" t="str">
            <v>Functioning</v>
          </cell>
          <cell r="U1467" t="str">
            <v>Asset</v>
          </cell>
          <cell r="V1467">
            <v>4370</v>
          </cell>
          <cell r="W1467" t="str">
            <v>KEW</v>
          </cell>
          <cell r="X1467" t="str">
            <v>01/09/2010</v>
          </cell>
          <cell r="Y1467" t="str">
            <v>KEW</v>
          </cell>
          <cell r="Z1467" t="str">
            <v>16/08/2013</v>
          </cell>
          <cell r="AA1467" t="str">
            <v>15/08/2015</v>
          </cell>
          <cell r="AB1467" t="str">
            <v>No</v>
          </cell>
          <cell r="AC1467" t="str">
            <v>31/08/2013</v>
          </cell>
          <cell r="AD1467" t="str">
            <v>Good</v>
          </cell>
          <cell r="AE1467" t="str">
            <v>V1 - Existing / No Claim</v>
          </cell>
          <cell r="AF1467">
            <v>42235</v>
          </cell>
          <cell r="AG1467">
            <v>9.17</v>
          </cell>
          <cell r="AH1467" t="str">
            <v>PPM</v>
          </cell>
          <cell r="AI1467" t="str">
            <v>package</v>
          </cell>
          <cell r="AJ1467" t="str">
            <v>Not in contract</v>
          </cell>
        </row>
        <row r="1468">
          <cell r="A1468" t="str">
            <v>IKN401179</v>
          </cell>
          <cell r="B1468">
            <v>1177</v>
          </cell>
          <cell r="C1468" t="str">
            <v>Institut Kanser Negara</v>
          </cell>
          <cell r="E1468" t="str">
            <v>11-295</v>
          </cell>
          <cell r="F1468" t="str">
            <v>Dosimeters, Radiation</v>
          </cell>
          <cell r="G1468" t="str">
            <v>RT</v>
          </cell>
          <cell r="H1468" t="str">
            <v>RADIATION TREATMENT UNIT</v>
          </cell>
          <cell r="I1468" t="str">
            <v>01RT213</v>
          </cell>
          <cell r="J1468" t="str">
            <v>EQUIPMENT ROOM1</v>
          </cell>
          <cell r="K1468" t="str">
            <v>BMED</v>
          </cell>
          <cell r="L1468" t="str">
            <v>Normal</v>
          </cell>
          <cell r="M1468" t="str">
            <v>Germany</v>
          </cell>
          <cell r="N1468" t="str">
            <v>Thermo Fisher</v>
          </cell>
          <cell r="O1468" t="str">
            <v>EPD MK2.5</v>
          </cell>
          <cell r="P1468" t="str">
            <v>00289453</v>
          </cell>
          <cell r="Q1468" t="str">
            <v>Not Applicable</v>
          </cell>
          <cell r="R1468" t="str">
            <v>Thermo Fisher Scientific</v>
          </cell>
          <cell r="S1468" t="str">
            <v>Delta Advantech (M) Sdn Bhd</v>
          </cell>
          <cell r="T1468" t="str">
            <v>Functioning</v>
          </cell>
          <cell r="U1468" t="str">
            <v>Asset</v>
          </cell>
          <cell r="V1468">
            <v>4370</v>
          </cell>
          <cell r="W1468" t="str">
            <v>KEW</v>
          </cell>
          <cell r="X1468" t="str">
            <v>01/09/2010</v>
          </cell>
          <cell r="Y1468" t="str">
            <v>KEW</v>
          </cell>
          <cell r="Z1468" t="str">
            <v>16/08/2013</v>
          </cell>
          <cell r="AA1468" t="str">
            <v>15/08/2015</v>
          </cell>
          <cell r="AB1468" t="str">
            <v>No</v>
          </cell>
          <cell r="AC1468" t="str">
            <v>31/08/2013</v>
          </cell>
          <cell r="AD1468" t="str">
            <v>Good</v>
          </cell>
          <cell r="AE1468" t="str">
            <v>V1 - Existing / No Claim</v>
          </cell>
          <cell r="AF1468">
            <v>42235</v>
          </cell>
          <cell r="AG1468">
            <v>9.17</v>
          </cell>
          <cell r="AH1468" t="str">
            <v>PPM</v>
          </cell>
          <cell r="AI1468" t="str">
            <v>package</v>
          </cell>
          <cell r="AJ1468" t="str">
            <v>Not in contract</v>
          </cell>
          <cell r="AK1468" t="str">
            <v>Asset not found since 2019. Asset found 2023.</v>
          </cell>
        </row>
        <row r="1469">
          <cell r="A1469" t="str">
            <v>IKN401180</v>
          </cell>
          <cell r="B1469">
            <v>1178</v>
          </cell>
          <cell r="C1469" t="str">
            <v>Institut Kanser Negara</v>
          </cell>
          <cell r="D1469" t="str">
            <v>KKM/IKN/H/13/1183</v>
          </cell>
          <cell r="E1469" t="str">
            <v>11-295</v>
          </cell>
          <cell r="F1469" t="str">
            <v>Dosimeters, Radiation</v>
          </cell>
          <cell r="G1469" t="str">
            <v>RT</v>
          </cell>
          <cell r="H1469" t="str">
            <v>RADIATION TREATMENT UNIT</v>
          </cell>
          <cell r="I1469" t="str">
            <v>01RT213</v>
          </cell>
          <cell r="J1469" t="str">
            <v>EQUIPMENT ROOM1</v>
          </cell>
          <cell r="K1469" t="str">
            <v>BMED</v>
          </cell>
          <cell r="L1469" t="str">
            <v>Normal</v>
          </cell>
          <cell r="M1469" t="str">
            <v>Germany</v>
          </cell>
          <cell r="N1469" t="str">
            <v>Thermo Fisher</v>
          </cell>
          <cell r="O1469" t="str">
            <v>EPD MK2.5</v>
          </cell>
          <cell r="P1469" t="str">
            <v>00289457</v>
          </cell>
          <cell r="Q1469" t="str">
            <v>Not Applicable</v>
          </cell>
          <cell r="R1469" t="str">
            <v>Thermo Fisher Scientific</v>
          </cell>
          <cell r="S1469" t="str">
            <v>Delta Advantech (M) Sdn Bhd</v>
          </cell>
          <cell r="T1469" t="str">
            <v>Functioning</v>
          </cell>
          <cell r="U1469" t="str">
            <v>Asset</v>
          </cell>
          <cell r="V1469">
            <v>4370</v>
          </cell>
          <cell r="W1469" t="str">
            <v>KEW</v>
          </cell>
          <cell r="X1469" t="str">
            <v>01/09/2010</v>
          </cell>
          <cell r="Y1469" t="str">
            <v>KEW</v>
          </cell>
          <cell r="Z1469" t="str">
            <v>16/08/2013</v>
          </cell>
          <cell r="AA1469" t="str">
            <v>15/08/2015</v>
          </cell>
          <cell r="AB1469" t="str">
            <v>No</v>
          </cell>
          <cell r="AC1469" t="str">
            <v>31/08/2013</v>
          </cell>
          <cell r="AD1469" t="str">
            <v>Good</v>
          </cell>
          <cell r="AE1469" t="str">
            <v>V1 - Existing / No Claim</v>
          </cell>
          <cell r="AF1469">
            <v>42235</v>
          </cell>
          <cell r="AG1469">
            <v>9.17</v>
          </cell>
          <cell r="AH1469" t="str">
            <v>PPM</v>
          </cell>
          <cell r="AI1469" t="str">
            <v>Strands</v>
          </cell>
          <cell r="AJ1469" t="str">
            <v>Strands PW</v>
          </cell>
        </row>
        <row r="1470">
          <cell r="A1470" t="str">
            <v>IKN401181</v>
          </cell>
          <cell r="B1470">
            <v>1179</v>
          </cell>
          <cell r="C1470" t="str">
            <v>Institut Kanser Negara</v>
          </cell>
          <cell r="E1470" t="str">
            <v>11-295</v>
          </cell>
          <cell r="F1470" t="str">
            <v>Dosimeters, Radiation</v>
          </cell>
          <cell r="G1470" t="str">
            <v>RT</v>
          </cell>
          <cell r="H1470" t="str">
            <v>RADIATION TREATMENT UNIT</v>
          </cell>
          <cell r="I1470" t="str">
            <v>01RT213</v>
          </cell>
          <cell r="J1470" t="str">
            <v>EQUIPMENT ROOM1</v>
          </cell>
          <cell r="K1470" t="str">
            <v>BMED</v>
          </cell>
          <cell r="L1470" t="str">
            <v>Normal</v>
          </cell>
          <cell r="M1470" t="str">
            <v>Germany</v>
          </cell>
          <cell r="N1470" t="str">
            <v>Thermo Fisher</v>
          </cell>
          <cell r="O1470" t="str">
            <v>EPD MK2.5</v>
          </cell>
          <cell r="P1470" t="str">
            <v>00288084</v>
          </cell>
          <cell r="Q1470" t="str">
            <v>Not Applicable</v>
          </cell>
          <cell r="R1470" t="str">
            <v>Thermo Fisher Scientific</v>
          </cell>
          <cell r="S1470" t="str">
            <v>Delta Advantech (M) Sdn Bhd</v>
          </cell>
          <cell r="T1470" t="str">
            <v>Functioning</v>
          </cell>
          <cell r="U1470" t="str">
            <v>Asset</v>
          </cell>
          <cell r="V1470">
            <v>4370</v>
          </cell>
          <cell r="W1470" t="str">
            <v>KEW</v>
          </cell>
          <cell r="X1470" t="str">
            <v>01/09/2010</v>
          </cell>
          <cell r="Y1470" t="str">
            <v>KEW</v>
          </cell>
          <cell r="Z1470" t="str">
            <v>16/08/2013</v>
          </cell>
          <cell r="AA1470" t="str">
            <v>15/08/2015</v>
          </cell>
          <cell r="AB1470" t="str">
            <v>No</v>
          </cell>
          <cell r="AC1470" t="str">
            <v>31/08/2013</v>
          </cell>
          <cell r="AD1470" t="str">
            <v>Good</v>
          </cell>
          <cell r="AE1470" t="str">
            <v>V1 - Existing / No Claim</v>
          </cell>
          <cell r="AF1470">
            <v>42235</v>
          </cell>
          <cell r="AG1470">
            <v>9.17</v>
          </cell>
          <cell r="AH1470" t="str">
            <v>PPM</v>
          </cell>
          <cell r="AI1470" t="str">
            <v>package</v>
          </cell>
          <cell r="AJ1470" t="str">
            <v>Not in contract</v>
          </cell>
        </row>
        <row r="1471">
          <cell r="A1471" t="str">
            <v>IKN401182</v>
          </cell>
          <cell r="B1471">
            <v>1180</v>
          </cell>
          <cell r="C1471" t="str">
            <v>Institut Kanser Negara</v>
          </cell>
          <cell r="E1471" t="str">
            <v>11-295</v>
          </cell>
          <cell r="F1471" t="str">
            <v>Dosimeters, Radiation</v>
          </cell>
          <cell r="G1471" t="str">
            <v>RT</v>
          </cell>
          <cell r="H1471" t="str">
            <v>RADIATION TREATMENT UNIT</v>
          </cell>
          <cell r="I1471" t="str">
            <v>01RT213</v>
          </cell>
          <cell r="J1471" t="str">
            <v>EQUIPMENT ROOM1</v>
          </cell>
          <cell r="K1471" t="str">
            <v>BMED</v>
          </cell>
          <cell r="L1471" t="str">
            <v>Normal</v>
          </cell>
          <cell r="M1471" t="str">
            <v>Germany</v>
          </cell>
          <cell r="N1471" t="str">
            <v>Thermo Fisher</v>
          </cell>
          <cell r="O1471" t="str">
            <v>EPD MK2.5</v>
          </cell>
          <cell r="P1471" t="str">
            <v>00288086</v>
          </cell>
          <cell r="Q1471" t="str">
            <v>Not Applicable</v>
          </cell>
          <cell r="R1471" t="str">
            <v>Thermo Fisher Scientific</v>
          </cell>
          <cell r="S1471" t="str">
            <v>Delta Advantech (M) Sdn Bhd</v>
          </cell>
          <cell r="T1471" t="str">
            <v>Functioning</v>
          </cell>
          <cell r="U1471" t="str">
            <v>Asset</v>
          </cell>
          <cell r="V1471">
            <v>4370</v>
          </cell>
          <cell r="W1471" t="str">
            <v>KEW</v>
          </cell>
          <cell r="X1471" t="str">
            <v>01/09/2010</v>
          </cell>
          <cell r="Y1471" t="str">
            <v>KEW</v>
          </cell>
          <cell r="Z1471" t="str">
            <v>16/08/2013</v>
          </cell>
          <cell r="AA1471" t="str">
            <v>15/08/2015</v>
          </cell>
          <cell r="AB1471" t="str">
            <v>No</v>
          </cell>
          <cell r="AC1471" t="str">
            <v>31/08/2013</v>
          </cell>
          <cell r="AD1471" t="str">
            <v>Good</v>
          </cell>
          <cell r="AE1471" t="str">
            <v>V1 - Existing / No Claim</v>
          </cell>
          <cell r="AF1471">
            <v>42235</v>
          </cell>
          <cell r="AG1471">
            <v>9.17</v>
          </cell>
          <cell r="AH1471" t="str">
            <v>PPM</v>
          </cell>
          <cell r="AI1471" t="str">
            <v>package</v>
          </cell>
          <cell r="AJ1471" t="str">
            <v>Not in contract</v>
          </cell>
        </row>
        <row r="1472">
          <cell r="A1472" t="str">
            <v>IKN401183</v>
          </cell>
          <cell r="B1472">
            <v>1181</v>
          </cell>
          <cell r="C1472" t="str">
            <v>Institut Kanser Negara</v>
          </cell>
          <cell r="D1472" t="str">
            <v>KKM/IKN/H/13/1177</v>
          </cell>
          <cell r="E1472" t="str">
            <v>11-295</v>
          </cell>
          <cell r="F1472" t="str">
            <v>Dosimeters, Radiation</v>
          </cell>
          <cell r="G1472" t="str">
            <v>RT</v>
          </cell>
          <cell r="H1472" t="str">
            <v>RADIATION TREATMENT UNIT</v>
          </cell>
          <cell r="I1472" t="str">
            <v>01RT213</v>
          </cell>
          <cell r="J1472" t="str">
            <v>EQUIPMENT ROOM1</v>
          </cell>
          <cell r="K1472" t="str">
            <v>BMED</v>
          </cell>
          <cell r="L1472" t="str">
            <v>Normal</v>
          </cell>
          <cell r="M1472" t="str">
            <v>Germany</v>
          </cell>
          <cell r="N1472" t="str">
            <v>Thermo Fisher</v>
          </cell>
          <cell r="O1472" t="str">
            <v>EPD MK2.5</v>
          </cell>
          <cell r="P1472" t="str">
            <v>00289459</v>
          </cell>
          <cell r="Q1472" t="str">
            <v>Not Applicable</v>
          </cell>
          <cell r="R1472" t="str">
            <v>Thermo Fisher Scientific</v>
          </cell>
          <cell r="S1472" t="str">
            <v>Delta Advantech (M) Sdn Bhd</v>
          </cell>
          <cell r="T1472" t="str">
            <v>Functioning</v>
          </cell>
          <cell r="U1472" t="str">
            <v>Asset</v>
          </cell>
          <cell r="V1472">
            <v>4370</v>
          </cell>
          <cell r="W1472" t="str">
            <v>KEW</v>
          </cell>
          <cell r="X1472" t="str">
            <v>01/09/2010</v>
          </cell>
          <cell r="Y1472" t="str">
            <v>KEW</v>
          </cell>
          <cell r="Z1472" t="str">
            <v>16/08/2013</v>
          </cell>
          <cell r="AA1472" t="str">
            <v>15/08/2015</v>
          </cell>
          <cell r="AB1472" t="str">
            <v>No</v>
          </cell>
          <cell r="AC1472" t="str">
            <v>31/08/2013</v>
          </cell>
          <cell r="AD1472" t="str">
            <v>Good</v>
          </cell>
          <cell r="AE1472" t="str">
            <v>V1 - Existing / No Claim</v>
          </cell>
          <cell r="AF1472">
            <v>42235</v>
          </cell>
          <cell r="AG1472">
            <v>9.17</v>
          </cell>
          <cell r="AH1472" t="str">
            <v>PPM</v>
          </cell>
          <cell r="AI1472" t="str">
            <v>Strands</v>
          </cell>
          <cell r="AJ1472" t="str">
            <v>Strands PW</v>
          </cell>
        </row>
        <row r="1473">
          <cell r="A1473" t="str">
            <v>IKN401184</v>
          </cell>
          <cell r="B1473">
            <v>1182</v>
          </cell>
          <cell r="C1473" t="str">
            <v>Institut Kanser Negara</v>
          </cell>
          <cell r="D1473" t="str">
            <v>KKM/IKN/H/13/1186</v>
          </cell>
          <cell r="E1473" t="str">
            <v>11-295</v>
          </cell>
          <cell r="F1473" t="str">
            <v>Dosimeters, Radiation</v>
          </cell>
          <cell r="G1473" t="str">
            <v>NM</v>
          </cell>
          <cell r="H1473" t="str">
            <v>NUCLEAR MED (DIAGNOSTIC)</v>
          </cell>
          <cell r="I1473" t="str">
            <v>03NM170</v>
          </cell>
          <cell r="J1473" t="str">
            <v>CHIEF PHYSICIST</v>
          </cell>
          <cell r="K1473" t="str">
            <v>BMED</v>
          </cell>
          <cell r="L1473" t="str">
            <v>Normal</v>
          </cell>
          <cell r="M1473" t="str">
            <v>Germany</v>
          </cell>
          <cell r="N1473" t="str">
            <v>Thermo Fisher</v>
          </cell>
          <cell r="O1473" t="str">
            <v>EPD MK2.5</v>
          </cell>
          <cell r="P1473" t="str">
            <v>00288070</v>
          </cell>
          <cell r="Q1473" t="str">
            <v>Not Applicable</v>
          </cell>
          <cell r="R1473" t="str">
            <v>Thermo Fisher Scientific</v>
          </cell>
          <cell r="S1473" t="str">
            <v>Delta Advantech (M) Sdn Bhd</v>
          </cell>
          <cell r="T1473" t="str">
            <v>Functioning</v>
          </cell>
          <cell r="U1473" t="str">
            <v>Asset</v>
          </cell>
          <cell r="V1473">
            <v>4370</v>
          </cell>
          <cell r="W1473" t="str">
            <v>KEW</v>
          </cell>
          <cell r="X1473" t="str">
            <v>01/09/2010</v>
          </cell>
          <cell r="Y1473" t="str">
            <v>KEW</v>
          </cell>
          <cell r="Z1473" t="str">
            <v>16/08/2013</v>
          </cell>
          <cell r="AA1473" t="str">
            <v>15/08/2015</v>
          </cell>
          <cell r="AB1473" t="str">
            <v>No</v>
          </cell>
          <cell r="AC1473" t="str">
            <v>31/08/2013</v>
          </cell>
          <cell r="AD1473" t="str">
            <v>Good</v>
          </cell>
          <cell r="AE1473" t="str">
            <v>V1 - Existing / No Claim</v>
          </cell>
          <cell r="AF1473">
            <v>42235</v>
          </cell>
          <cell r="AG1473">
            <v>9.17</v>
          </cell>
          <cell r="AH1473" t="str">
            <v>PPM</v>
          </cell>
          <cell r="AI1473" t="str">
            <v>Strands</v>
          </cell>
          <cell r="AJ1473" t="str">
            <v>Strands PW</v>
          </cell>
        </row>
        <row r="1474">
          <cell r="A1474" t="str">
            <v>IKN401185</v>
          </cell>
          <cell r="B1474">
            <v>1183</v>
          </cell>
          <cell r="C1474" t="str">
            <v>Institut Kanser Negara</v>
          </cell>
          <cell r="D1474" t="str">
            <v>KKM/IKN/H/13/3210</v>
          </cell>
          <cell r="E1474" t="str">
            <v>11-295</v>
          </cell>
          <cell r="F1474" t="str">
            <v>Dosimeters, Radiation</v>
          </cell>
          <cell r="G1474" t="str">
            <v>NM</v>
          </cell>
          <cell r="H1474" t="str">
            <v>NUCLEAR MED (DIAGNOSTIC)</v>
          </cell>
          <cell r="I1474" t="str">
            <v>03NM170</v>
          </cell>
          <cell r="J1474" t="str">
            <v>CHIEF PHYSICIST</v>
          </cell>
          <cell r="K1474" t="str">
            <v>BMED</v>
          </cell>
          <cell r="L1474" t="str">
            <v>Normal</v>
          </cell>
          <cell r="M1474" t="str">
            <v>Germany</v>
          </cell>
          <cell r="N1474" t="str">
            <v>Thermo Fisher</v>
          </cell>
          <cell r="O1474" t="str">
            <v>EPD MK2.5</v>
          </cell>
          <cell r="P1474" t="str">
            <v>00288071</v>
          </cell>
          <cell r="Q1474" t="str">
            <v>Not Applicable</v>
          </cell>
          <cell r="R1474" t="str">
            <v>Thermo Fisher Scientific</v>
          </cell>
          <cell r="S1474" t="str">
            <v>Delta Advantech (M) Sdn Bhd</v>
          </cell>
          <cell r="T1474" t="str">
            <v>Functioning</v>
          </cell>
          <cell r="U1474" t="str">
            <v>Asset</v>
          </cell>
          <cell r="V1474">
            <v>4370</v>
          </cell>
          <cell r="W1474" t="str">
            <v>KEW</v>
          </cell>
          <cell r="X1474" t="str">
            <v>01/09/2010</v>
          </cell>
          <cell r="Y1474" t="str">
            <v>KEW</v>
          </cell>
          <cell r="Z1474" t="str">
            <v>16/08/2013</v>
          </cell>
          <cell r="AA1474" t="str">
            <v>15/08/2015</v>
          </cell>
          <cell r="AB1474" t="str">
            <v>No</v>
          </cell>
          <cell r="AC1474" t="str">
            <v>31/08/2013</v>
          </cell>
          <cell r="AD1474" t="str">
            <v>Good</v>
          </cell>
          <cell r="AE1474" t="str">
            <v>V1 - Existing / No Claim</v>
          </cell>
          <cell r="AF1474">
            <v>42235</v>
          </cell>
          <cell r="AG1474">
            <v>9.17</v>
          </cell>
          <cell r="AH1474" t="str">
            <v>PPM</v>
          </cell>
          <cell r="AI1474" t="str">
            <v>Strands</v>
          </cell>
          <cell r="AJ1474" t="str">
            <v>Strands PW</v>
          </cell>
        </row>
        <row r="1475">
          <cell r="A1475" t="str">
            <v>IKN401186</v>
          </cell>
          <cell r="B1475">
            <v>1184</v>
          </cell>
          <cell r="C1475" t="str">
            <v>Institut Kanser Negara</v>
          </cell>
          <cell r="D1475" t="str">
            <v>KKM/IKN/H/13/3211</v>
          </cell>
          <cell r="E1475" t="str">
            <v>11-295</v>
          </cell>
          <cell r="F1475" t="str">
            <v>Dosimeters, Radiation</v>
          </cell>
          <cell r="G1475" t="str">
            <v>NM</v>
          </cell>
          <cell r="H1475" t="str">
            <v>NUCLEAR MED (DIAGNOSTIC)</v>
          </cell>
          <cell r="I1475" t="str">
            <v>03NM170</v>
          </cell>
          <cell r="J1475" t="str">
            <v>CHIEF PHYSICIST</v>
          </cell>
          <cell r="K1475" t="str">
            <v>BMED</v>
          </cell>
          <cell r="L1475" t="str">
            <v>Normal</v>
          </cell>
          <cell r="M1475" t="str">
            <v>Germany</v>
          </cell>
          <cell r="N1475" t="str">
            <v>Thermo Fisher</v>
          </cell>
          <cell r="O1475" t="str">
            <v>EPD MK2.5</v>
          </cell>
          <cell r="P1475" t="str">
            <v>00288072</v>
          </cell>
          <cell r="Q1475" t="str">
            <v>Not Applicable</v>
          </cell>
          <cell r="R1475" t="str">
            <v>Thermo Fisher Scientific</v>
          </cell>
          <cell r="S1475" t="str">
            <v>Delta Advantech (M) Sdn Bhd</v>
          </cell>
          <cell r="T1475" t="str">
            <v>Functioning</v>
          </cell>
          <cell r="U1475" t="str">
            <v>Asset</v>
          </cell>
          <cell r="V1475">
            <v>4370</v>
          </cell>
          <cell r="W1475" t="str">
            <v>KEW</v>
          </cell>
          <cell r="X1475" t="str">
            <v>01/09/2010</v>
          </cell>
          <cell r="Y1475" t="str">
            <v>KEW</v>
          </cell>
          <cell r="Z1475" t="str">
            <v>16/08/2013</v>
          </cell>
          <cell r="AA1475" t="str">
            <v>15/08/2015</v>
          </cell>
          <cell r="AB1475" t="str">
            <v>No</v>
          </cell>
          <cell r="AC1475" t="str">
            <v>31/08/2013</v>
          </cell>
          <cell r="AD1475" t="str">
            <v>Good</v>
          </cell>
          <cell r="AE1475" t="str">
            <v>V1 - Existing / No Claim</v>
          </cell>
          <cell r="AF1475">
            <v>42235</v>
          </cell>
          <cell r="AG1475">
            <v>9.17</v>
          </cell>
          <cell r="AH1475" t="str">
            <v>PPM</v>
          </cell>
          <cell r="AI1475" t="str">
            <v>Strands</v>
          </cell>
          <cell r="AJ1475" t="str">
            <v>Strands PW</v>
          </cell>
        </row>
        <row r="1476">
          <cell r="A1476" t="str">
            <v>IKN401187</v>
          </cell>
          <cell r="B1476">
            <v>1185</v>
          </cell>
          <cell r="C1476" t="str">
            <v>Institut Kanser Negara</v>
          </cell>
          <cell r="D1476" t="str">
            <v>KKM/IKN/H/13/3214</v>
          </cell>
          <cell r="E1476" t="str">
            <v>11-295</v>
          </cell>
          <cell r="F1476" t="str">
            <v>Dosimeters, Radiation</v>
          </cell>
          <cell r="G1476" t="str">
            <v>NM</v>
          </cell>
          <cell r="H1476" t="str">
            <v>NUCLEAR MED (DIAGNOSTIC)</v>
          </cell>
          <cell r="I1476" t="str">
            <v>03NM170</v>
          </cell>
          <cell r="J1476" t="str">
            <v>CHIEF PHYSICIST</v>
          </cell>
          <cell r="K1476" t="str">
            <v>BMED</v>
          </cell>
          <cell r="L1476" t="str">
            <v>Normal</v>
          </cell>
          <cell r="M1476" t="str">
            <v>Germany</v>
          </cell>
          <cell r="N1476" t="str">
            <v>Thermo Fisher</v>
          </cell>
          <cell r="O1476" t="str">
            <v>EPD MK2.5</v>
          </cell>
          <cell r="P1476" t="str">
            <v>00288073</v>
          </cell>
          <cell r="Q1476" t="str">
            <v>Not Applicable</v>
          </cell>
          <cell r="R1476" t="str">
            <v>Thermo Fisher Scientific</v>
          </cell>
          <cell r="S1476" t="str">
            <v>Delta Advantech (M) Sdn Bhd</v>
          </cell>
          <cell r="T1476" t="str">
            <v>Functioning</v>
          </cell>
          <cell r="U1476" t="str">
            <v>Asset</v>
          </cell>
          <cell r="V1476">
            <v>4370</v>
          </cell>
          <cell r="W1476" t="str">
            <v>KEW</v>
          </cell>
          <cell r="X1476" t="str">
            <v>01/09/2010</v>
          </cell>
          <cell r="Y1476" t="str">
            <v>KEW</v>
          </cell>
          <cell r="Z1476" t="str">
            <v>16/08/2013</v>
          </cell>
          <cell r="AA1476" t="str">
            <v>15/08/2015</v>
          </cell>
          <cell r="AB1476" t="str">
            <v>No</v>
          </cell>
          <cell r="AC1476" t="str">
            <v>31/08/2013</v>
          </cell>
          <cell r="AD1476" t="str">
            <v>Good</v>
          </cell>
          <cell r="AE1476" t="str">
            <v>V1 - Existing / No Claim</v>
          </cell>
          <cell r="AF1476">
            <v>42235</v>
          </cell>
          <cell r="AG1476">
            <v>9.17</v>
          </cell>
          <cell r="AH1476" t="str">
            <v>PPM</v>
          </cell>
          <cell r="AI1476" t="str">
            <v>Strands</v>
          </cell>
          <cell r="AJ1476" t="str">
            <v>Strands PW</v>
          </cell>
        </row>
        <row r="1477">
          <cell r="A1477" t="str">
            <v>IKN401188</v>
          </cell>
          <cell r="B1477">
            <v>1186</v>
          </cell>
          <cell r="C1477" t="str">
            <v>Institut Kanser Negara</v>
          </cell>
          <cell r="D1477" t="str">
            <v>KKM/IKN/H/13/3129</v>
          </cell>
          <cell r="E1477" t="str">
            <v>11-295</v>
          </cell>
          <cell r="F1477" t="str">
            <v>Dosimeters, Radiation</v>
          </cell>
          <cell r="G1477" t="str">
            <v>NM</v>
          </cell>
          <cell r="H1477" t="str">
            <v>NUCLEAR MED (DIAGNOSTIC)</v>
          </cell>
          <cell r="I1477" t="str">
            <v>03NM170</v>
          </cell>
          <cell r="J1477" t="str">
            <v>CHIEF PHYSICIST</v>
          </cell>
          <cell r="K1477" t="str">
            <v>BMED</v>
          </cell>
          <cell r="L1477" t="str">
            <v>Normal</v>
          </cell>
          <cell r="M1477" t="str">
            <v>Germany</v>
          </cell>
          <cell r="N1477" t="str">
            <v>Thermo Fisher</v>
          </cell>
          <cell r="O1477" t="str">
            <v>EPD MK2.5</v>
          </cell>
          <cell r="P1477" t="str">
            <v>00288074</v>
          </cell>
          <cell r="Q1477" t="str">
            <v>Not Applicable</v>
          </cell>
          <cell r="R1477" t="str">
            <v>Thermo Fisher Scientific</v>
          </cell>
          <cell r="S1477" t="str">
            <v>Delta Advantech (M) Sdn Bhd</v>
          </cell>
          <cell r="T1477" t="str">
            <v>Functioning</v>
          </cell>
          <cell r="U1477" t="str">
            <v>Asset</v>
          </cell>
          <cell r="V1477">
            <v>4370</v>
          </cell>
          <cell r="W1477" t="str">
            <v>KEW</v>
          </cell>
          <cell r="X1477" t="str">
            <v>01/09/2010</v>
          </cell>
          <cell r="Y1477" t="str">
            <v>KEW</v>
          </cell>
          <cell r="Z1477" t="str">
            <v>16/08/2013</v>
          </cell>
          <cell r="AA1477" t="str">
            <v>15/08/2015</v>
          </cell>
          <cell r="AB1477" t="str">
            <v>No</v>
          </cell>
          <cell r="AC1477" t="str">
            <v>31/08/2013</v>
          </cell>
          <cell r="AD1477" t="str">
            <v>Good</v>
          </cell>
          <cell r="AE1477" t="str">
            <v>V1 - Existing / No Claim</v>
          </cell>
          <cell r="AF1477">
            <v>42235</v>
          </cell>
          <cell r="AG1477">
            <v>9.17</v>
          </cell>
          <cell r="AH1477" t="str">
            <v>PPM</v>
          </cell>
          <cell r="AI1477" t="str">
            <v>Strands</v>
          </cell>
          <cell r="AJ1477" t="str">
            <v>Strands PW</v>
          </cell>
        </row>
        <row r="1478">
          <cell r="A1478" t="str">
            <v>IKN401189</v>
          </cell>
          <cell r="B1478">
            <v>1187</v>
          </cell>
          <cell r="C1478" t="str">
            <v>Institut Kanser Negara</v>
          </cell>
          <cell r="D1478" t="str">
            <v>KKM/IKN/H/13/3213</v>
          </cell>
          <cell r="E1478" t="str">
            <v>11-295</v>
          </cell>
          <cell r="F1478" t="str">
            <v>Dosimeters, Radiation</v>
          </cell>
          <cell r="G1478" t="str">
            <v>NM</v>
          </cell>
          <cell r="H1478" t="str">
            <v>NUCLEAR MED (DIAGNOSTIC)</v>
          </cell>
          <cell r="I1478" t="str">
            <v>03NM170</v>
          </cell>
          <cell r="J1478" t="str">
            <v>CHIEF PHYSICIST</v>
          </cell>
          <cell r="K1478" t="str">
            <v>BMED</v>
          </cell>
          <cell r="L1478" t="str">
            <v>Normal</v>
          </cell>
          <cell r="M1478" t="str">
            <v>Germany</v>
          </cell>
          <cell r="N1478" t="str">
            <v>Thermo Fisher</v>
          </cell>
          <cell r="O1478" t="str">
            <v>EPD MK2.5</v>
          </cell>
          <cell r="P1478" t="str">
            <v>00288075</v>
          </cell>
          <cell r="Q1478" t="str">
            <v>Not Applicable</v>
          </cell>
          <cell r="R1478" t="str">
            <v>Thermo Fisher Scientific</v>
          </cell>
          <cell r="S1478" t="str">
            <v>Delta Advantech (M) Sdn Bhd</v>
          </cell>
          <cell r="T1478" t="str">
            <v>Functioning</v>
          </cell>
          <cell r="U1478" t="str">
            <v>Asset</v>
          </cell>
          <cell r="V1478">
            <v>4370</v>
          </cell>
          <cell r="W1478" t="str">
            <v>KEW</v>
          </cell>
          <cell r="X1478" t="str">
            <v>01/09/2010</v>
          </cell>
          <cell r="Y1478" t="str">
            <v>KEW</v>
          </cell>
          <cell r="Z1478" t="str">
            <v>16/08/2013</v>
          </cell>
          <cell r="AA1478" t="str">
            <v>15/08/2015</v>
          </cell>
          <cell r="AB1478" t="str">
            <v>No</v>
          </cell>
          <cell r="AC1478" t="str">
            <v>31/08/2013</v>
          </cell>
          <cell r="AD1478" t="str">
            <v>Good</v>
          </cell>
          <cell r="AE1478" t="str">
            <v>V1 - Existing / No Claim</v>
          </cell>
          <cell r="AF1478">
            <v>42235</v>
          </cell>
          <cell r="AG1478">
            <v>9.17</v>
          </cell>
          <cell r="AH1478" t="str">
            <v>PPM</v>
          </cell>
          <cell r="AI1478" t="str">
            <v>Strands</v>
          </cell>
          <cell r="AJ1478" t="str">
            <v>Strands PW</v>
          </cell>
        </row>
        <row r="1479">
          <cell r="A1479" t="str">
            <v>IKN401190</v>
          </cell>
          <cell r="B1479">
            <v>1188</v>
          </cell>
          <cell r="C1479" t="str">
            <v>Institut Kanser Negara</v>
          </cell>
          <cell r="D1479" t="str">
            <v>KKM/IKN/H/13/3130</v>
          </cell>
          <cell r="E1479" t="str">
            <v>11-295</v>
          </cell>
          <cell r="F1479" t="str">
            <v>Dosimeters, Radiation</v>
          </cell>
          <cell r="G1479" t="str">
            <v>NM</v>
          </cell>
          <cell r="H1479" t="str">
            <v>NUCLEAR MED (DIAGNOSTIC)</v>
          </cell>
          <cell r="I1479" t="str">
            <v>03NM170</v>
          </cell>
          <cell r="J1479" t="str">
            <v>CHIEF PHYSICIST</v>
          </cell>
          <cell r="K1479" t="str">
            <v>BMED</v>
          </cell>
          <cell r="L1479" t="str">
            <v>Normal</v>
          </cell>
          <cell r="M1479" t="str">
            <v>Germany</v>
          </cell>
          <cell r="N1479" t="str">
            <v>Thermo Fisher</v>
          </cell>
          <cell r="O1479" t="str">
            <v>EPD MK2.5</v>
          </cell>
          <cell r="P1479" t="str">
            <v>00289477</v>
          </cell>
          <cell r="Q1479" t="str">
            <v>Not Applicable</v>
          </cell>
          <cell r="R1479" t="str">
            <v>Thermo Fisher Scientific</v>
          </cell>
          <cell r="S1479" t="str">
            <v>Delta Advantech (M) Sdn Bhd</v>
          </cell>
          <cell r="T1479" t="str">
            <v>Functioning</v>
          </cell>
          <cell r="U1479" t="str">
            <v>Asset</v>
          </cell>
          <cell r="V1479">
            <v>4370</v>
          </cell>
          <cell r="W1479" t="str">
            <v>KEW</v>
          </cell>
          <cell r="X1479" t="str">
            <v>01/09/2010</v>
          </cell>
          <cell r="Y1479" t="str">
            <v>KEW</v>
          </cell>
          <cell r="Z1479" t="str">
            <v>16/08/2013</v>
          </cell>
          <cell r="AA1479" t="str">
            <v>15/08/2015</v>
          </cell>
          <cell r="AB1479" t="str">
            <v>No</v>
          </cell>
          <cell r="AC1479" t="str">
            <v>31/08/2013</v>
          </cell>
          <cell r="AD1479" t="str">
            <v>Good</v>
          </cell>
          <cell r="AE1479" t="str">
            <v>V1 - Existing / No Claim</v>
          </cell>
          <cell r="AF1479">
            <v>42235</v>
          </cell>
          <cell r="AG1479">
            <v>9.17</v>
          </cell>
          <cell r="AH1479" t="str">
            <v>PPM</v>
          </cell>
          <cell r="AI1479" t="str">
            <v>Strands</v>
          </cell>
          <cell r="AJ1479" t="str">
            <v>Strands PW</v>
          </cell>
        </row>
        <row r="1480">
          <cell r="A1480" t="str">
            <v>IKN401191</v>
          </cell>
          <cell r="B1480">
            <v>1189</v>
          </cell>
          <cell r="C1480" t="str">
            <v>Institut Kanser Negara</v>
          </cell>
          <cell r="D1480" t="str">
            <v>KKM/IKN/H/13/3131</v>
          </cell>
          <cell r="E1480" t="str">
            <v>11-295</v>
          </cell>
          <cell r="F1480" t="str">
            <v>Dosimeters, Radiation</v>
          </cell>
          <cell r="G1480" t="str">
            <v>NM</v>
          </cell>
          <cell r="H1480" t="str">
            <v>NUCLEAR MED (DIAGNOSTIC)</v>
          </cell>
          <cell r="I1480" t="str">
            <v>03NM170</v>
          </cell>
          <cell r="J1480" t="str">
            <v>CHIEF PHYSICIST</v>
          </cell>
          <cell r="K1480" t="str">
            <v>BMED</v>
          </cell>
          <cell r="L1480" t="str">
            <v>Normal</v>
          </cell>
          <cell r="M1480" t="str">
            <v>Germany</v>
          </cell>
          <cell r="N1480" t="str">
            <v>Thermo Fisher</v>
          </cell>
          <cell r="O1480" t="str">
            <v>EPD MK2.5</v>
          </cell>
          <cell r="P1480" t="str">
            <v>00289464</v>
          </cell>
          <cell r="Q1480" t="str">
            <v>Not Applicable</v>
          </cell>
          <cell r="R1480" t="str">
            <v>Thermo Fisher Scientific</v>
          </cell>
          <cell r="S1480" t="str">
            <v>Delta Advantech (M) Sdn Bhd</v>
          </cell>
          <cell r="T1480" t="str">
            <v>Functioning</v>
          </cell>
          <cell r="U1480" t="str">
            <v>Asset</v>
          </cell>
          <cell r="V1480">
            <v>4370</v>
          </cell>
          <cell r="W1480" t="str">
            <v>KEW</v>
          </cell>
          <cell r="X1480" t="str">
            <v>01/09/2010</v>
          </cell>
          <cell r="Y1480" t="str">
            <v>KEW</v>
          </cell>
          <cell r="Z1480" t="str">
            <v>16/08/2013</v>
          </cell>
          <cell r="AA1480" t="str">
            <v>15/08/2015</v>
          </cell>
          <cell r="AB1480" t="str">
            <v>No</v>
          </cell>
          <cell r="AC1480" t="str">
            <v>31/08/2013</v>
          </cell>
          <cell r="AD1480" t="str">
            <v>Good</v>
          </cell>
          <cell r="AE1480" t="str">
            <v>V1 - Existing / No Claim</v>
          </cell>
          <cell r="AF1480">
            <v>42235</v>
          </cell>
          <cell r="AG1480">
            <v>9.17</v>
          </cell>
          <cell r="AH1480" t="str">
            <v>PPM</v>
          </cell>
          <cell r="AI1480" t="str">
            <v>Strands</v>
          </cell>
          <cell r="AJ1480" t="str">
            <v>Strands PW</v>
          </cell>
        </row>
        <row r="1481">
          <cell r="A1481" t="str">
            <v>IKN401192</v>
          </cell>
          <cell r="B1481">
            <v>1190</v>
          </cell>
          <cell r="C1481" t="str">
            <v>Institut Kanser Negara</v>
          </cell>
          <cell r="D1481" t="str">
            <v>KKM/IKN/H/13/4004</v>
          </cell>
          <cell r="E1481" t="str">
            <v>11-295</v>
          </cell>
          <cell r="F1481" t="str">
            <v>Dosimeters, Radiation</v>
          </cell>
          <cell r="G1481" t="str">
            <v>NM</v>
          </cell>
          <cell r="H1481" t="str">
            <v>NUCLEAR MED (DIAGNOSTIC)</v>
          </cell>
          <cell r="I1481" t="str">
            <v>03NM170</v>
          </cell>
          <cell r="J1481" t="str">
            <v>CHIEF PHYSICIST</v>
          </cell>
          <cell r="K1481" t="str">
            <v>BMED</v>
          </cell>
          <cell r="L1481" t="str">
            <v>Normal</v>
          </cell>
          <cell r="M1481" t="str">
            <v>Germany</v>
          </cell>
          <cell r="N1481" t="str">
            <v>Thermo Fisher</v>
          </cell>
          <cell r="O1481" t="str">
            <v>EPD MK2.5</v>
          </cell>
          <cell r="P1481" t="str">
            <v>00289469</v>
          </cell>
          <cell r="Q1481" t="str">
            <v>Not Applicable</v>
          </cell>
          <cell r="R1481" t="str">
            <v>Thermo Fisher Scientific</v>
          </cell>
          <cell r="S1481" t="str">
            <v>Delta Advantech (M) Sdn Bhd</v>
          </cell>
          <cell r="T1481" t="str">
            <v>Functioning</v>
          </cell>
          <cell r="U1481" t="str">
            <v>Asset</v>
          </cell>
          <cell r="V1481">
            <v>4370</v>
          </cell>
          <cell r="W1481" t="str">
            <v>KEW</v>
          </cell>
          <cell r="X1481" t="str">
            <v>01/09/2010</v>
          </cell>
          <cell r="Y1481" t="str">
            <v>KEW</v>
          </cell>
          <cell r="Z1481" t="str">
            <v>16/08/2013</v>
          </cell>
          <cell r="AA1481" t="str">
            <v>15/08/2015</v>
          </cell>
          <cell r="AB1481" t="str">
            <v>No</v>
          </cell>
          <cell r="AC1481" t="str">
            <v>31/08/2013</v>
          </cell>
          <cell r="AD1481" t="str">
            <v>Good</v>
          </cell>
          <cell r="AE1481" t="str">
            <v>V1 - Existing / No Claim</v>
          </cell>
          <cell r="AF1481">
            <v>42235</v>
          </cell>
          <cell r="AG1481">
            <v>9.17</v>
          </cell>
          <cell r="AH1481" t="str">
            <v>PPM</v>
          </cell>
          <cell r="AI1481" t="str">
            <v>Strands</v>
          </cell>
          <cell r="AJ1481" t="str">
            <v>Strands PW</v>
          </cell>
        </row>
        <row r="1482">
          <cell r="A1482" t="str">
            <v>IKN401194</v>
          </cell>
          <cell r="B1482">
            <v>1192</v>
          </cell>
          <cell r="C1482" t="str">
            <v>Institut Kanser Negara</v>
          </cell>
          <cell r="D1482" t="str">
            <v>KKM/IKN/H/14/50</v>
          </cell>
          <cell r="E1482" t="str">
            <v>15-663</v>
          </cell>
          <cell r="F1482" t="str">
            <v>Pipetters</v>
          </cell>
          <cell r="G1482" t="str">
            <v>LA</v>
          </cell>
          <cell r="H1482" t="str">
            <v>PATHOLOGY</v>
          </cell>
          <cell r="I1482" t="str">
            <v>04LA133</v>
          </cell>
          <cell r="J1482" t="str">
            <v>CHEMICAL PATHOLOGY 1</v>
          </cell>
          <cell r="K1482" t="str">
            <v>BMED</v>
          </cell>
          <cell r="L1482" t="str">
            <v>Normal</v>
          </cell>
          <cell r="M1482" t="str">
            <v>Germany</v>
          </cell>
          <cell r="N1482" t="str">
            <v>Eppendorf</v>
          </cell>
          <cell r="O1482" t="str">
            <v>Research Plus</v>
          </cell>
          <cell r="P1482" t="str">
            <v>J39383D</v>
          </cell>
          <cell r="Q1482" t="str">
            <v>Not Applicable</v>
          </cell>
          <cell r="R1482" t="str">
            <v>Eppendorf</v>
          </cell>
          <cell r="S1482" t="str">
            <v>Medigene sdn bhd</v>
          </cell>
          <cell r="T1482" t="str">
            <v>Functioning</v>
          </cell>
          <cell r="U1482" t="str">
            <v>Asset</v>
          </cell>
          <cell r="V1482">
            <v>750</v>
          </cell>
          <cell r="W1482" t="str">
            <v>KEW</v>
          </cell>
          <cell r="X1482" t="str">
            <v>01/09/2010</v>
          </cell>
          <cell r="Y1482" t="str">
            <v>KEW</v>
          </cell>
          <cell r="Z1482" t="str">
            <v>16/08/2013</v>
          </cell>
          <cell r="AA1482" t="str">
            <v>15/08/2015</v>
          </cell>
          <cell r="AB1482" t="str">
            <v>No</v>
          </cell>
          <cell r="AC1482" t="str">
            <v>31/08/2013</v>
          </cell>
          <cell r="AD1482" t="str">
            <v>Good</v>
          </cell>
          <cell r="AE1482" t="str">
            <v>V3 - Added Installed Facilities (New)</v>
          </cell>
          <cell r="AF1482">
            <v>42235</v>
          </cell>
          <cell r="AG1482">
            <v>9.17</v>
          </cell>
          <cell r="AH1482" t="str">
            <v>PPM</v>
          </cell>
          <cell r="AI1482" t="str">
            <v>Strands</v>
          </cell>
          <cell r="AJ1482" t="str">
            <v>Strands PW</v>
          </cell>
          <cell r="AK1482" t="str">
            <v>SNF received. 1st batch of V3 asset (December 2020).</v>
          </cell>
        </row>
        <row r="1483">
          <cell r="A1483" t="str">
            <v>IKN401195</v>
          </cell>
          <cell r="B1483">
            <v>1193</v>
          </cell>
          <cell r="C1483" t="str">
            <v>Institut Kanser Negara</v>
          </cell>
          <cell r="D1483" t="str">
            <v>KKM/IKN/H/13/4858</v>
          </cell>
          <cell r="E1483" t="str">
            <v>17-212</v>
          </cell>
          <cell r="F1483" t="str">
            <v>Radiation Survey Meters, Ionization Chamber</v>
          </cell>
          <cell r="G1483" t="str">
            <v>RT</v>
          </cell>
          <cell r="H1483" t="str">
            <v>RADIATION TREATMENT UNIT</v>
          </cell>
          <cell r="I1483" t="str">
            <v>01RT213</v>
          </cell>
          <cell r="J1483" t="str">
            <v>EQUIPMENT ROOM1</v>
          </cell>
          <cell r="K1483" t="str">
            <v>BMED</v>
          </cell>
          <cell r="L1483" t="str">
            <v>Normal</v>
          </cell>
          <cell r="M1483" t="str">
            <v>USA</v>
          </cell>
          <cell r="N1483" t="str">
            <v>Fluke</v>
          </cell>
          <cell r="O1483" t="str">
            <v>Fluke 451P- DE SI</v>
          </cell>
          <cell r="P1483" t="str">
            <v>4425</v>
          </cell>
          <cell r="Q1483" t="str">
            <v>Not Applicable</v>
          </cell>
          <cell r="R1483" t="str">
            <v>Fluke Biomedical RMS</v>
          </cell>
          <cell r="S1483" t="str">
            <v>Bell Comm Technologies Sdn Bhd</v>
          </cell>
          <cell r="T1483" t="str">
            <v>Functioning</v>
          </cell>
          <cell r="U1483" t="str">
            <v>Asset</v>
          </cell>
          <cell r="V1483">
            <v>6810</v>
          </cell>
          <cell r="W1483" t="str">
            <v>KEW</v>
          </cell>
          <cell r="X1483" t="str">
            <v>01/09/2010</v>
          </cell>
          <cell r="Y1483" t="str">
            <v>KEW</v>
          </cell>
          <cell r="Z1483" t="str">
            <v>16/08/2013</v>
          </cell>
          <cell r="AA1483" t="str">
            <v>15/08/2015</v>
          </cell>
          <cell r="AB1483" t="str">
            <v>No</v>
          </cell>
          <cell r="AC1483" t="str">
            <v>31/08/2013</v>
          </cell>
          <cell r="AD1483" t="str">
            <v>Good</v>
          </cell>
          <cell r="AE1483" t="str">
            <v>V1 - Existing / No Claim</v>
          </cell>
          <cell r="AF1483">
            <v>42235</v>
          </cell>
          <cell r="AG1483">
            <v>9.17</v>
          </cell>
          <cell r="AH1483" t="str">
            <v>PPM</v>
          </cell>
          <cell r="AI1483" t="str">
            <v>Strands</v>
          </cell>
          <cell r="AJ1483" t="str">
            <v>Strands PW</v>
          </cell>
        </row>
        <row r="1484">
          <cell r="A1484" t="str">
            <v>IKN401196</v>
          </cell>
          <cell r="B1484">
            <v>1194</v>
          </cell>
          <cell r="C1484" t="str">
            <v>Institut Kanser Negara</v>
          </cell>
          <cell r="D1484" t="str">
            <v>KKM/IKN/H/13/4857</v>
          </cell>
          <cell r="E1484" t="str">
            <v>17-212</v>
          </cell>
          <cell r="F1484" t="str">
            <v>Radiation Survey Meters, Ionization Chamber</v>
          </cell>
          <cell r="G1484" t="str">
            <v>RT</v>
          </cell>
          <cell r="H1484" t="str">
            <v>RADIATION TREATMENT UNIT</v>
          </cell>
          <cell r="I1484" t="str">
            <v>01RT213</v>
          </cell>
          <cell r="J1484" t="str">
            <v>EQUIPMENT ROOM1</v>
          </cell>
          <cell r="K1484" t="str">
            <v>BMED</v>
          </cell>
          <cell r="L1484" t="str">
            <v>Normal</v>
          </cell>
          <cell r="M1484" t="str">
            <v>USA</v>
          </cell>
          <cell r="N1484" t="str">
            <v>Fluke</v>
          </cell>
          <cell r="O1484" t="str">
            <v>Fluke 451P- DE SI</v>
          </cell>
          <cell r="P1484" t="str">
            <v>4424</v>
          </cell>
          <cell r="Q1484" t="str">
            <v>Not Applicable</v>
          </cell>
          <cell r="R1484" t="str">
            <v>Fluke Biomedical RMS</v>
          </cell>
          <cell r="S1484" t="str">
            <v>Bell Comm Technologies Sdn Bhd</v>
          </cell>
          <cell r="T1484" t="str">
            <v>Functioning</v>
          </cell>
          <cell r="U1484" t="str">
            <v>Asset</v>
          </cell>
          <cell r="V1484">
            <v>6810</v>
          </cell>
          <cell r="W1484" t="str">
            <v>KEW</v>
          </cell>
          <cell r="X1484" t="str">
            <v>01/09/2010</v>
          </cell>
          <cell r="Y1484" t="str">
            <v>KEW</v>
          </cell>
          <cell r="Z1484" t="str">
            <v>16/08/2013</v>
          </cell>
          <cell r="AA1484" t="str">
            <v>15/08/2015</v>
          </cell>
          <cell r="AB1484" t="str">
            <v>No</v>
          </cell>
          <cell r="AC1484" t="str">
            <v>31/08/2013</v>
          </cell>
          <cell r="AD1484" t="str">
            <v>Good</v>
          </cell>
          <cell r="AE1484" t="str">
            <v>V1 - Existing / No Claim</v>
          </cell>
          <cell r="AF1484">
            <v>42235</v>
          </cell>
          <cell r="AG1484">
            <v>9.17</v>
          </cell>
          <cell r="AH1484" t="str">
            <v>PPM</v>
          </cell>
          <cell r="AI1484" t="str">
            <v>Strands</v>
          </cell>
          <cell r="AJ1484" t="str">
            <v>Strands PW</v>
          </cell>
        </row>
        <row r="1485">
          <cell r="A1485" t="str">
            <v>IKN401197</v>
          </cell>
          <cell r="B1485">
            <v>1195</v>
          </cell>
          <cell r="C1485" t="str">
            <v>Institut Kanser Negara</v>
          </cell>
          <cell r="D1485" t="str">
            <v>KKM/IKN/H/13/4955</v>
          </cell>
          <cell r="E1485" t="str">
            <v>17-211</v>
          </cell>
          <cell r="F1485" t="str">
            <v>Radiation Survey Meters, Geiger-Muller</v>
          </cell>
          <cell r="G1485" t="str">
            <v>RT</v>
          </cell>
          <cell r="H1485" t="str">
            <v>RADIATION TREATMENT UNIT</v>
          </cell>
          <cell r="I1485" t="str">
            <v>01RT213</v>
          </cell>
          <cell r="J1485" t="str">
            <v>EQUIPMENT ROOM1</v>
          </cell>
          <cell r="K1485" t="str">
            <v>BMED</v>
          </cell>
          <cell r="L1485" t="str">
            <v>Normal</v>
          </cell>
          <cell r="M1485" t="str">
            <v>Germany</v>
          </cell>
          <cell r="N1485" t="str">
            <v>Ludlum</v>
          </cell>
          <cell r="O1485" t="str">
            <v>M98</v>
          </cell>
          <cell r="P1485">
            <v>273034</v>
          </cell>
          <cell r="Q1485" t="str">
            <v>Not Applicable</v>
          </cell>
          <cell r="R1485" t="str">
            <v>Ludlum Measurements Inc</v>
          </cell>
          <cell r="S1485" t="str">
            <v>H&amp;A Medical Supply Sdn Bhd</v>
          </cell>
          <cell r="T1485" t="str">
            <v>Functioning</v>
          </cell>
          <cell r="U1485" t="str">
            <v>Asset</v>
          </cell>
          <cell r="V1485">
            <v>3000</v>
          </cell>
          <cell r="W1485" t="str">
            <v>KEW</v>
          </cell>
          <cell r="X1485" t="str">
            <v>01/09/2010</v>
          </cell>
          <cell r="Y1485" t="str">
            <v>KEW</v>
          </cell>
          <cell r="Z1485" t="str">
            <v>16/08/2013</v>
          </cell>
          <cell r="AA1485" t="str">
            <v>15/08/2015</v>
          </cell>
          <cell r="AB1485" t="str">
            <v>No</v>
          </cell>
          <cell r="AC1485" t="str">
            <v>31/08/2013</v>
          </cell>
          <cell r="AD1485" t="str">
            <v>Good</v>
          </cell>
          <cell r="AE1485" t="str">
            <v>V1 - Existing / No Claim</v>
          </cell>
          <cell r="AF1485">
            <v>42235</v>
          </cell>
          <cell r="AG1485">
            <v>9.17</v>
          </cell>
          <cell r="AH1485" t="str">
            <v>PPM</v>
          </cell>
          <cell r="AI1485" t="str">
            <v>package</v>
          </cell>
        </row>
        <row r="1486">
          <cell r="A1486" t="str">
            <v>IKN401198</v>
          </cell>
          <cell r="B1486">
            <v>1196</v>
          </cell>
          <cell r="C1486" t="str">
            <v>Institut Kanser Negara</v>
          </cell>
          <cell r="D1486" t="str">
            <v>KKM/IKN/H/13/4956 - 02</v>
          </cell>
          <cell r="E1486" t="str">
            <v>17-211</v>
          </cell>
          <cell r="F1486" t="str">
            <v>Radiation Survey Meters, Geiger-Muller</v>
          </cell>
          <cell r="G1486" t="str">
            <v>RT</v>
          </cell>
          <cell r="H1486" t="str">
            <v>RADIATION TREATMENT UNIT</v>
          </cell>
          <cell r="I1486" t="str">
            <v>01RT213</v>
          </cell>
          <cell r="J1486" t="str">
            <v>EQUIPMENT ROOM1</v>
          </cell>
          <cell r="K1486" t="str">
            <v>BMED</v>
          </cell>
          <cell r="L1486" t="str">
            <v>Normal</v>
          </cell>
          <cell r="M1486" t="str">
            <v>USA</v>
          </cell>
          <cell r="N1486" t="str">
            <v>Fluke</v>
          </cell>
          <cell r="O1486" t="str">
            <v>ASM 990S</v>
          </cell>
          <cell r="P1486" t="str">
            <v>199606</v>
          </cell>
          <cell r="Q1486" t="str">
            <v>Not Applicable</v>
          </cell>
          <cell r="R1486" t="str">
            <v>Fluke Biomedical RMS</v>
          </cell>
          <cell r="S1486" t="str">
            <v>Bell Comm Technologies Sdn Bhd</v>
          </cell>
          <cell r="T1486" t="str">
            <v>Functioning</v>
          </cell>
          <cell r="U1486" t="str">
            <v>Asset</v>
          </cell>
          <cell r="V1486">
            <v>13500</v>
          </cell>
          <cell r="W1486" t="str">
            <v>KEW</v>
          </cell>
          <cell r="X1486" t="str">
            <v>01/09/2010</v>
          </cell>
          <cell r="Y1486" t="str">
            <v>KEW</v>
          </cell>
          <cell r="Z1486" t="str">
            <v>16/08/2013</v>
          </cell>
          <cell r="AA1486" t="str">
            <v>15/08/2015</v>
          </cell>
          <cell r="AB1486" t="str">
            <v>No</v>
          </cell>
          <cell r="AC1486" t="str">
            <v>31/08/2013</v>
          </cell>
          <cell r="AD1486" t="str">
            <v>Good</v>
          </cell>
          <cell r="AE1486" t="str">
            <v>V1 - Existing / No Claim</v>
          </cell>
          <cell r="AF1486">
            <v>42235</v>
          </cell>
          <cell r="AG1486">
            <v>9.17</v>
          </cell>
          <cell r="AH1486" t="str">
            <v>PPM</v>
          </cell>
          <cell r="AI1486" t="str">
            <v>Strands</v>
          </cell>
          <cell r="AJ1486" t="str">
            <v>Strands Package</v>
          </cell>
          <cell r="AK1486" t="str">
            <v>Package Brachytherapy / Prostate, XM0012</v>
          </cell>
        </row>
        <row r="1487">
          <cell r="A1487" t="str">
            <v>IKN401199</v>
          </cell>
          <cell r="B1487">
            <v>1197</v>
          </cell>
          <cell r="C1487" t="str">
            <v>Institut Kanser Negara</v>
          </cell>
          <cell r="D1487" t="str">
            <v>KKM/IKN/H/13/5014</v>
          </cell>
          <cell r="E1487" t="str">
            <v>15-129</v>
          </cell>
          <cell r="F1487" t="str">
            <v>Densitometers</v>
          </cell>
          <cell r="G1487" t="str">
            <v>ID</v>
          </cell>
          <cell r="H1487" t="str">
            <v>IMAGING DEPARTMENT</v>
          </cell>
          <cell r="I1487" t="str">
            <v>03ID169</v>
          </cell>
          <cell r="J1487" t="str">
            <v>RADIOGRAPHER</v>
          </cell>
          <cell r="K1487" t="str">
            <v>BMED</v>
          </cell>
          <cell r="L1487" t="str">
            <v>Normal</v>
          </cell>
          <cell r="M1487" t="str">
            <v>Germany</v>
          </cell>
          <cell r="N1487" t="str">
            <v>IBA</v>
          </cell>
          <cell r="O1487" t="str">
            <v>Unilight D</v>
          </cell>
          <cell r="P1487" t="str">
            <v>N6767</v>
          </cell>
          <cell r="Q1487" t="str">
            <v>Not Applicable</v>
          </cell>
          <cell r="R1487" t="str">
            <v>IBA</v>
          </cell>
          <cell r="S1487" t="str">
            <v>Delta Advantech (M) Sdn Bhd</v>
          </cell>
          <cell r="T1487" t="str">
            <v>Functioning</v>
          </cell>
          <cell r="U1487" t="str">
            <v>Asset</v>
          </cell>
          <cell r="V1487">
            <v>5000</v>
          </cell>
          <cell r="W1487" t="str">
            <v>KEW</v>
          </cell>
          <cell r="X1487" t="str">
            <v>01/09/2010</v>
          </cell>
          <cell r="Y1487" t="str">
            <v>KEW</v>
          </cell>
          <cell r="Z1487" t="str">
            <v>16/08/2013</v>
          </cell>
          <cell r="AA1487" t="str">
            <v>15/08/2015</v>
          </cell>
          <cell r="AB1487" t="str">
            <v>No</v>
          </cell>
          <cell r="AC1487" t="str">
            <v>31/08/2013</v>
          </cell>
          <cell r="AD1487" t="str">
            <v>Good</v>
          </cell>
          <cell r="AE1487" t="str">
            <v>V1 - Existing / No Claim</v>
          </cell>
          <cell r="AF1487">
            <v>42791</v>
          </cell>
          <cell r="AG1487">
            <v>9.17</v>
          </cell>
          <cell r="AH1487" t="str">
            <v>PPM</v>
          </cell>
          <cell r="AI1487" t="str">
            <v>Strands</v>
          </cell>
          <cell r="AJ1487" t="str">
            <v>Strands PW</v>
          </cell>
        </row>
        <row r="1488">
          <cell r="A1488" t="str">
            <v>IKN401200</v>
          </cell>
          <cell r="B1488">
            <v>1198</v>
          </cell>
          <cell r="C1488" t="str">
            <v>Institut Kanser Negara</v>
          </cell>
          <cell r="D1488" t="str">
            <v>KKM/IKN/H/13/4862</v>
          </cell>
          <cell r="E1488" t="str">
            <v>15-605</v>
          </cell>
          <cell r="F1488" t="str">
            <v>Testers</v>
          </cell>
          <cell r="G1488" t="str">
            <v>ID</v>
          </cell>
          <cell r="H1488" t="str">
            <v>IMAGING DEPARTMENT</v>
          </cell>
          <cell r="I1488" t="str">
            <v>03ID169</v>
          </cell>
          <cell r="J1488" t="str">
            <v>RADIOGRAPHER</v>
          </cell>
          <cell r="K1488" t="str">
            <v>BMED</v>
          </cell>
          <cell r="L1488" t="str">
            <v>Normal</v>
          </cell>
          <cell r="M1488" t="str">
            <v>Germany</v>
          </cell>
          <cell r="N1488" t="str">
            <v>IBA</v>
          </cell>
          <cell r="O1488" t="str">
            <v>MagicMAX</v>
          </cell>
          <cell r="P1488" t="str">
            <v>G13-0138</v>
          </cell>
          <cell r="Q1488" t="str">
            <v>Not Applicable</v>
          </cell>
          <cell r="R1488" t="str">
            <v>IBA</v>
          </cell>
          <cell r="S1488" t="str">
            <v>Delta Advantech (M) Sdn Bhd</v>
          </cell>
          <cell r="T1488" t="str">
            <v>Functioning</v>
          </cell>
          <cell r="U1488" t="str">
            <v>Asset</v>
          </cell>
          <cell r="V1488">
            <v>117000</v>
          </cell>
          <cell r="W1488" t="str">
            <v>KEW</v>
          </cell>
          <cell r="X1488" t="str">
            <v>01/09/2010</v>
          </cell>
          <cell r="Y1488" t="str">
            <v>KEW</v>
          </cell>
          <cell r="Z1488" t="str">
            <v>16/08/2013</v>
          </cell>
          <cell r="AA1488" t="str">
            <v>15/08/2015</v>
          </cell>
          <cell r="AB1488" t="str">
            <v>No</v>
          </cell>
          <cell r="AC1488" t="str">
            <v>31/08/2013</v>
          </cell>
          <cell r="AD1488" t="str">
            <v>Good</v>
          </cell>
          <cell r="AE1488" t="str">
            <v>V1 - Existing / No Claim</v>
          </cell>
          <cell r="AF1488">
            <v>42791</v>
          </cell>
          <cell r="AG1488">
            <v>9.17</v>
          </cell>
          <cell r="AH1488" t="str">
            <v>PPM</v>
          </cell>
          <cell r="AI1488" t="str">
            <v>package</v>
          </cell>
        </row>
        <row r="1489">
          <cell r="A1489" t="str">
            <v>IKN401213</v>
          </cell>
          <cell r="B1489">
            <v>1211</v>
          </cell>
          <cell r="C1489" t="str">
            <v>Institut Kanser Negara</v>
          </cell>
          <cell r="D1489" t="str">
            <v>KKM/IKN/H/13/4473 - 13</v>
          </cell>
          <cell r="E1489" t="str">
            <v>15-605</v>
          </cell>
          <cell r="F1489" t="str">
            <v>Testers</v>
          </cell>
          <cell r="G1489" t="str">
            <v>RT</v>
          </cell>
          <cell r="H1489" t="str">
            <v>RADIATION TREATMENT UNIT</v>
          </cell>
          <cell r="I1489" t="str">
            <v>01RT213</v>
          </cell>
          <cell r="J1489" t="str">
            <v>EQUIPMENT ROOM1</v>
          </cell>
          <cell r="K1489" t="str">
            <v>BMED</v>
          </cell>
          <cell r="L1489" t="str">
            <v>Normal</v>
          </cell>
          <cell r="M1489" t="str">
            <v>USA</v>
          </cell>
          <cell r="N1489" t="str">
            <v>Various</v>
          </cell>
          <cell r="O1489" t="str">
            <v>Tomo Electrometer 90016 &amp; Various</v>
          </cell>
          <cell r="P1489" t="str">
            <v>L122003</v>
          </cell>
          <cell r="Q1489" t="str">
            <v>Not Applicable</v>
          </cell>
          <cell r="R1489" t="str">
            <v>Standard Imaging</v>
          </cell>
          <cell r="S1489" t="str">
            <v>Transmedic Healthcare Sdn Bhd</v>
          </cell>
          <cell r="T1489" t="str">
            <v>Functioning</v>
          </cell>
          <cell r="U1489" t="str">
            <v>Asset</v>
          </cell>
          <cell r="V1489">
            <v>500000</v>
          </cell>
          <cell r="W1489" t="str">
            <v>KEW</v>
          </cell>
          <cell r="X1489" t="str">
            <v>01/09/2010</v>
          </cell>
          <cell r="Y1489" t="str">
            <v>KEW</v>
          </cell>
          <cell r="Z1489" t="str">
            <v>16/08/2013</v>
          </cell>
          <cell r="AA1489" t="str">
            <v>15/08/2015</v>
          </cell>
          <cell r="AB1489" t="str">
            <v>No</v>
          </cell>
          <cell r="AC1489" t="str">
            <v>31/08/2013</v>
          </cell>
          <cell r="AD1489" t="str">
            <v>Good</v>
          </cell>
          <cell r="AE1489" t="str">
            <v>V1 - Existing / No Claim</v>
          </cell>
          <cell r="AF1489">
            <v>42235</v>
          </cell>
          <cell r="AG1489">
            <v>9.17</v>
          </cell>
          <cell r="AH1489" t="str">
            <v>PPM</v>
          </cell>
          <cell r="AI1489" t="str">
            <v>package</v>
          </cell>
          <cell r="AJ1489" t="str">
            <v>Strands Package</v>
          </cell>
          <cell r="AK1489" t="str">
            <v>Package XM003(B)</v>
          </cell>
        </row>
        <row r="1490">
          <cell r="A1490" t="str">
            <v>IKN401214</v>
          </cell>
          <cell r="B1490">
            <v>1212</v>
          </cell>
          <cell r="C1490" t="str">
            <v>Institut Kanser Negara</v>
          </cell>
          <cell r="D1490" t="str">
            <v>KKM/IKN/H/13/4952</v>
          </cell>
          <cell r="E1490" t="str">
            <v>15-605</v>
          </cell>
          <cell r="F1490" t="str">
            <v>Testers</v>
          </cell>
          <cell r="G1490" t="str">
            <v>RT</v>
          </cell>
          <cell r="H1490" t="str">
            <v>RADIATION TREATMENT UNIT</v>
          </cell>
          <cell r="I1490" t="str">
            <v>01RT213</v>
          </cell>
          <cell r="J1490" t="str">
            <v>EQUIPMENT ROOM1</v>
          </cell>
          <cell r="K1490" t="str">
            <v>BMED</v>
          </cell>
          <cell r="L1490" t="str">
            <v>Normal</v>
          </cell>
          <cell r="M1490" t="str">
            <v>Germany</v>
          </cell>
          <cell r="N1490" t="str">
            <v>Various</v>
          </cell>
          <cell r="O1490" t="str">
            <v>IBA Dosimetry GMBH</v>
          </cell>
          <cell r="P1490" t="str">
            <v>11528</v>
          </cell>
          <cell r="Q1490" t="str">
            <v>Not Applicable</v>
          </cell>
          <cell r="R1490" t="str">
            <v>IBA</v>
          </cell>
          <cell r="S1490" t="str">
            <v>Delta Advantech (M) Sdn Bhd</v>
          </cell>
          <cell r="T1490" t="str">
            <v>Functioning</v>
          </cell>
          <cell r="U1490" t="str">
            <v>Asset</v>
          </cell>
          <cell r="V1490">
            <v>1932770</v>
          </cell>
          <cell r="W1490" t="str">
            <v>KEW</v>
          </cell>
          <cell r="X1490" t="str">
            <v>01/09/2010</v>
          </cell>
          <cell r="Y1490" t="str">
            <v>KEW</v>
          </cell>
          <cell r="Z1490" t="str">
            <v>16/08/2013</v>
          </cell>
          <cell r="AA1490" t="str">
            <v>15/08/2015</v>
          </cell>
          <cell r="AB1490" t="str">
            <v>No</v>
          </cell>
          <cell r="AC1490" t="str">
            <v>31/08/2013</v>
          </cell>
          <cell r="AD1490" t="str">
            <v>Good</v>
          </cell>
          <cell r="AE1490" t="str">
            <v>V1 - Existing / No Claim</v>
          </cell>
          <cell r="AF1490">
            <v>42235</v>
          </cell>
          <cell r="AG1490">
            <v>9.17</v>
          </cell>
          <cell r="AH1490" t="str">
            <v>PPM</v>
          </cell>
          <cell r="AI1490" t="str">
            <v>package</v>
          </cell>
          <cell r="AJ1490" t="str">
            <v>Not in contract</v>
          </cell>
          <cell r="AK1490" t="str">
            <v>Unit complement with water phantom.  [31/7/2023 (Sharifah): Tak cover dalam contract.]</v>
          </cell>
        </row>
        <row r="1491">
          <cell r="A1491" t="str">
            <v>IKN401215</v>
          </cell>
          <cell r="B1491">
            <v>1213</v>
          </cell>
          <cell r="C1491" t="str">
            <v>Institut Kanser Negara</v>
          </cell>
          <cell r="D1491" t="str">
            <v>KKM/IKN/H/13/3212</v>
          </cell>
          <cell r="E1491" t="str">
            <v>18-971</v>
          </cell>
          <cell r="F1491" t="str">
            <v>Testers</v>
          </cell>
          <cell r="G1491" t="str">
            <v>RT</v>
          </cell>
          <cell r="H1491" t="str">
            <v>RADIATION TREATMENT UNIT</v>
          </cell>
          <cell r="I1491" t="str">
            <v>01RT213</v>
          </cell>
          <cell r="J1491" t="str">
            <v>EQUIPMENT ROOM1</v>
          </cell>
          <cell r="K1491" t="str">
            <v>BMED</v>
          </cell>
          <cell r="L1491" t="str">
            <v>Normal</v>
          </cell>
          <cell r="M1491" t="str">
            <v>USA</v>
          </cell>
          <cell r="N1491" t="str">
            <v>Various</v>
          </cell>
          <cell r="O1491" t="str">
            <v>HDR100Plus &amp; SuperMAX</v>
          </cell>
          <cell r="P1491" t="str">
            <v>A122971 / p12302</v>
          </cell>
          <cell r="Q1491" t="str">
            <v>Not Applicable</v>
          </cell>
          <cell r="R1491" t="str">
            <v>Standard Imaging</v>
          </cell>
          <cell r="S1491" t="str">
            <v>Delta Advantech (M) Sdn Bhd</v>
          </cell>
          <cell r="T1491" t="str">
            <v>Functioning</v>
          </cell>
          <cell r="U1491" t="str">
            <v>Asset</v>
          </cell>
          <cell r="V1491">
            <v>77670</v>
          </cell>
          <cell r="W1491" t="str">
            <v>KEW</v>
          </cell>
          <cell r="X1491" t="str">
            <v>01/09/2010</v>
          </cell>
          <cell r="Y1491" t="str">
            <v>KEW</v>
          </cell>
          <cell r="Z1491" t="str">
            <v>16/08/2013</v>
          </cell>
          <cell r="AA1491" t="str">
            <v>15/08/2015</v>
          </cell>
          <cell r="AB1491" t="str">
            <v>No</v>
          </cell>
          <cell r="AC1491" t="str">
            <v>31/08/2013</v>
          </cell>
          <cell r="AD1491" t="str">
            <v>Good</v>
          </cell>
          <cell r="AE1491" t="str">
            <v>V1 - Existing / No Claim</v>
          </cell>
          <cell r="AF1491">
            <v>42235</v>
          </cell>
          <cell r="AG1491">
            <v>9.17</v>
          </cell>
          <cell r="AH1491" t="str">
            <v>PPM</v>
          </cell>
          <cell r="AI1491" t="str">
            <v>Strands</v>
          </cell>
          <cell r="AJ1491" t="str">
            <v>Strands Package</v>
          </cell>
          <cell r="AK1491" t="str">
            <v>Package Code XL0110. [30/1/2024, SHARIFAH]: CHANGE TYPE CODE.</v>
          </cell>
        </row>
        <row r="1492">
          <cell r="A1492" t="str">
            <v>IKN401217</v>
          </cell>
          <cell r="B1492">
            <v>1215</v>
          </cell>
          <cell r="C1492" t="str">
            <v>Institut Kanser Negara</v>
          </cell>
          <cell r="D1492" t="str">
            <v>KKM/IKN/H/13/4954</v>
          </cell>
          <cell r="E1492" t="str">
            <v>14-032</v>
          </cell>
          <cell r="F1492" t="str">
            <v>Thermometers, Electronic</v>
          </cell>
          <cell r="G1492" t="str">
            <v>RT</v>
          </cell>
          <cell r="H1492" t="str">
            <v>RADIATION TREATMENT UNIT</v>
          </cell>
          <cell r="I1492" t="str">
            <v>01RT213</v>
          </cell>
          <cell r="J1492" t="str">
            <v>EQUIPMENT ROOM1</v>
          </cell>
          <cell r="K1492" t="str">
            <v>BMED</v>
          </cell>
          <cell r="L1492" t="str">
            <v>Normal</v>
          </cell>
          <cell r="M1492" t="str">
            <v>Germany</v>
          </cell>
          <cell r="N1492" t="str">
            <v>LUJJT</v>
          </cell>
          <cell r="O1492" t="str">
            <v>C100</v>
          </cell>
          <cell r="P1492" t="str">
            <v>14769</v>
          </cell>
          <cell r="Q1492" t="str">
            <v>Not Applicable</v>
          </cell>
          <cell r="R1492" t="str">
            <v>LUJJT</v>
          </cell>
          <cell r="S1492" t="str">
            <v>Delta Advantech (M) Sdn Bhd</v>
          </cell>
          <cell r="T1492" t="str">
            <v>Functioning</v>
          </cell>
          <cell r="U1492" t="str">
            <v>Asset</v>
          </cell>
          <cell r="V1492">
            <v>6920</v>
          </cell>
          <cell r="W1492" t="str">
            <v>KEW</v>
          </cell>
          <cell r="X1492" t="str">
            <v>01/09/2010</v>
          </cell>
          <cell r="Y1492" t="str">
            <v>KEW</v>
          </cell>
          <cell r="Z1492" t="str">
            <v>16/08/2013</v>
          </cell>
          <cell r="AA1492" t="str">
            <v>15/08/2015</v>
          </cell>
          <cell r="AB1492" t="str">
            <v>No</v>
          </cell>
          <cell r="AC1492" t="str">
            <v>31/08/2013</v>
          </cell>
          <cell r="AD1492" t="str">
            <v>Good</v>
          </cell>
          <cell r="AE1492" t="str">
            <v>V3 - Added Installed Facilities (New)</v>
          </cell>
          <cell r="AF1492">
            <v>43117</v>
          </cell>
          <cell r="AG1492">
            <v>9.17</v>
          </cell>
          <cell r="AH1492" t="str">
            <v>PPM</v>
          </cell>
          <cell r="AI1492" t="str">
            <v>Strands</v>
          </cell>
          <cell r="AJ1492" t="str">
            <v>Strands PW</v>
          </cell>
          <cell r="AK1492" t="str">
            <v>SNF received. 1st batch of V3 asset (December 2020).</v>
          </cell>
        </row>
        <row r="1493">
          <cell r="A1493" t="str">
            <v>IKN401220</v>
          </cell>
          <cell r="B1493">
            <v>1218</v>
          </cell>
          <cell r="C1493" t="str">
            <v>Institut Kanser Negara</v>
          </cell>
          <cell r="E1493" t="str">
            <v>11-295</v>
          </cell>
          <cell r="F1493" t="str">
            <v>Dosimeters, Radiation</v>
          </cell>
          <cell r="G1493" t="str">
            <v>WA</v>
          </cell>
          <cell r="H1493" t="str">
            <v>NUCLEAR MED WARD (THERAPY)</v>
          </cell>
          <cell r="I1493" t="str">
            <v>03WA117</v>
          </cell>
          <cell r="J1493" t="str">
            <v>N/S 1</v>
          </cell>
          <cell r="K1493" t="str">
            <v>BMED</v>
          </cell>
          <cell r="L1493" t="str">
            <v>Normal</v>
          </cell>
          <cell r="M1493" t="str">
            <v>Germany</v>
          </cell>
          <cell r="N1493" t="str">
            <v>Thermo Fisher</v>
          </cell>
          <cell r="O1493" t="str">
            <v>EPD MK2.5</v>
          </cell>
          <cell r="P1493" t="str">
            <v>00289462</v>
          </cell>
          <cell r="Q1493" t="str">
            <v>Not Applicable</v>
          </cell>
          <cell r="R1493" t="str">
            <v>Thermo Fisher Scientific</v>
          </cell>
          <cell r="S1493" t="str">
            <v>Delta Advantech (M) Sdn Bhd</v>
          </cell>
          <cell r="T1493" t="str">
            <v>Functioning</v>
          </cell>
          <cell r="U1493" t="str">
            <v>Asset</v>
          </cell>
          <cell r="V1493">
            <v>4370</v>
          </cell>
          <cell r="W1493" t="str">
            <v>KEW</v>
          </cell>
          <cell r="X1493" t="str">
            <v>01/09/2010</v>
          </cell>
          <cell r="Y1493" t="str">
            <v>KEW</v>
          </cell>
          <cell r="Z1493" t="str">
            <v>16/08/2013</v>
          </cell>
          <cell r="AA1493" t="str">
            <v>15/08/2015</v>
          </cell>
          <cell r="AB1493" t="str">
            <v>No</v>
          </cell>
          <cell r="AC1493" t="str">
            <v>31/08/2013</v>
          </cell>
          <cell r="AD1493" t="str">
            <v>Good</v>
          </cell>
          <cell r="AE1493" t="str">
            <v>V1 - Existing / No Claim</v>
          </cell>
          <cell r="AF1493">
            <v>42235</v>
          </cell>
          <cell r="AG1493">
            <v>9.17</v>
          </cell>
          <cell r="AH1493" t="str">
            <v>PPM</v>
          </cell>
          <cell r="AI1493" t="str">
            <v>package</v>
          </cell>
        </row>
        <row r="1494">
          <cell r="A1494" t="str">
            <v>IKN401221</v>
          </cell>
          <cell r="B1494">
            <v>1219</v>
          </cell>
          <cell r="C1494" t="str">
            <v>Institut Kanser Negara</v>
          </cell>
          <cell r="D1494" t="e">
            <v>#N/A</v>
          </cell>
          <cell r="E1494" t="str">
            <v>15-605</v>
          </cell>
          <cell r="F1494" t="str">
            <v>Testers</v>
          </cell>
          <cell r="G1494" t="str">
            <v>PS</v>
          </cell>
          <cell r="H1494" t="str">
            <v>SUPPORT SERVICE/PLANT</v>
          </cell>
          <cell r="I1494" t="str">
            <v>01PS105</v>
          </cell>
          <cell r="J1494" t="str">
            <v>CHIEF ENGINEER</v>
          </cell>
          <cell r="K1494" t="str">
            <v>BMED</v>
          </cell>
          <cell r="L1494" t="str">
            <v>Normal</v>
          </cell>
          <cell r="M1494" t="str">
            <v>USA</v>
          </cell>
          <cell r="N1494" t="str">
            <v>Fluke</v>
          </cell>
          <cell r="O1494" t="str">
            <v>Fluke IDA 4 Plus</v>
          </cell>
          <cell r="P1494" t="str">
            <v>15355</v>
          </cell>
          <cell r="Q1494" t="str">
            <v>Not Applicable</v>
          </cell>
          <cell r="R1494" t="str">
            <v>Fluke Biomedical RMS</v>
          </cell>
          <cell r="S1494" t="str">
            <v>Bell Comm Technologies Sdn Bhd</v>
          </cell>
          <cell r="T1494" t="str">
            <v>Functioning</v>
          </cell>
          <cell r="U1494" t="str">
            <v>Asset</v>
          </cell>
          <cell r="V1494">
            <v>45110</v>
          </cell>
          <cell r="W1494" t="str">
            <v>KEW</v>
          </cell>
          <cell r="X1494" t="str">
            <v>01/09/2010</v>
          </cell>
          <cell r="Y1494" t="str">
            <v>KEW</v>
          </cell>
          <cell r="Z1494" t="str">
            <v>16/08/2013</v>
          </cell>
          <cell r="AA1494" t="str">
            <v>15/08/2015</v>
          </cell>
          <cell r="AB1494" t="str">
            <v>No</v>
          </cell>
          <cell r="AC1494" t="str">
            <v>31/08/2013</v>
          </cell>
          <cell r="AD1494" t="str">
            <v>Good</v>
          </cell>
          <cell r="AE1494" t="str">
            <v>V1 - Existing / No Claim</v>
          </cell>
          <cell r="AF1494">
            <v>42235</v>
          </cell>
          <cell r="AG1494">
            <v>9.17</v>
          </cell>
          <cell r="AH1494" t="str">
            <v>PPM</v>
          </cell>
          <cell r="AI1494" t="str">
            <v>Not in contract</v>
          </cell>
          <cell r="AJ1494" t="str">
            <v>ANALYZER</v>
          </cell>
          <cell r="AK1494" t="str">
            <v>IKN agreed unit to be used by BEMS but have to calibrate.</v>
          </cell>
        </row>
        <row r="1495">
          <cell r="A1495" t="str">
            <v>IKN401222</v>
          </cell>
          <cell r="B1495">
            <v>1220</v>
          </cell>
          <cell r="C1495" t="str">
            <v>Institut Kanser Negara</v>
          </cell>
          <cell r="D1495" t="str">
            <v>KKM/IKN/H/13/4852</v>
          </cell>
          <cell r="E1495" t="str">
            <v>15-663</v>
          </cell>
          <cell r="F1495" t="str">
            <v>Pipetters</v>
          </cell>
          <cell r="G1495" t="str">
            <v>NM</v>
          </cell>
          <cell r="H1495" t="str">
            <v>NUCLEAR MED (DIAGNOSTIC)</v>
          </cell>
          <cell r="I1495" t="str">
            <v>03NM139</v>
          </cell>
          <cell r="J1495" t="str">
            <v>QC</v>
          </cell>
          <cell r="K1495" t="str">
            <v>BMED</v>
          </cell>
          <cell r="L1495" t="str">
            <v>Normal</v>
          </cell>
          <cell r="M1495" t="str">
            <v>Germany</v>
          </cell>
          <cell r="N1495" t="str">
            <v>Eppendorf</v>
          </cell>
          <cell r="O1495" t="str">
            <v>Research Plus</v>
          </cell>
          <cell r="P1495" t="str">
            <v>480186A</v>
          </cell>
          <cell r="Q1495" t="str">
            <v>Not Applicable</v>
          </cell>
          <cell r="R1495" t="str">
            <v>Eppendorf</v>
          </cell>
          <cell r="S1495" t="str">
            <v>Medigene sdn bhd</v>
          </cell>
          <cell r="T1495" t="str">
            <v>Functioning</v>
          </cell>
          <cell r="U1495" t="str">
            <v>Asset</v>
          </cell>
          <cell r="V1495">
            <v>1323</v>
          </cell>
          <cell r="W1495" t="str">
            <v>KEW</v>
          </cell>
          <cell r="X1495" t="str">
            <v>01/09/2010</v>
          </cell>
          <cell r="Y1495" t="str">
            <v>KEW</v>
          </cell>
          <cell r="Z1495" t="str">
            <v>16/08/2013</v>
          </cell>
          <cell r="AA1495" t="str">
            <v>15/08/2015</v>
          </cell>
          <cell r="AB1495" t="str">
            <v>No</v>
          </cell>
          <cell r="AC1495" t="str">
            <v>31/08/2013</v>
          </cell>
          <cell r="AD1495" t="str">
            <v>Good</v>
          </cell>
          <cell r="AE1495" t="str">
            <v>V3 - Added Installed Facilities (New)</v>
          </cell>
          <cell r="AF1495">
            <v>42235</v>
          </cell>
          <cell r="AG1495">
            <v>9.17</v>
          </cell>
          <cell r="AH1495" t="str">
            <v>PPM</v>
          </cell>
          <cell r="AI1495" t="str">
            <v>Strands</v>
          </cell>
          <cell r="AJ1495" t="str">
            <v>Strands PW</v>
          </cell>
          <cell r="AK1495" t="str">
            <v>SNF received. 1st batch of V3 asset (December 2020)</v>
          </cell>
        </row>
        <row r="1496">
          <cell r="A1496" t="str">
            <v>IKN401223</v>
          </cell>
          <cell r="B1496">
            <v>1221</v>
          </cell>
          <cell r="C1496" t="str">
            <v>Institut Kanser Negara</v>
          </cell>
          <cell r="D1496" t="str">
            <v>KKM/IKN/H/13/4851</v>
          </cell>
          <cell r="E1496" t="str">
            <v>15-663</v>
          </cell>
          <cell r="F1496" t="str">
            <v>Pipetters</v>
          </cell>
          <cell r="G1496" t="str">
            <v>NM</v>
          </cell>
          <cell r="H1496" t="str">
            <v>NUCLEAR MED (DIAGNOSTIC)</v>
          </cell>
          <cell r="I1496" t="str">
            <v>03NM139</v>
          </cell>
          <cell r="J1496" t="str">
            <v>QC</v>
          </cell>
          <cell r="K1496" t="str">
            <v>BMED</v>
          </cell>
          <cell r="L1496" t="str">
            <v>Normal</v>
          </cell>
          <cell r="M1496" t="str">
            <v>Germany</v>
          </cell>
          <cell r="N1496" t="str">
            <v>Eppendorf</v>
          </cell>
          <cell r="O1496" t="str">
            <v>Research Plus</v>
          </cell>
          <cell r="P1496" t="str">
            <v>341881A</v>
          </cell>
          <cell r="Q1496" t="str">
            <v>Not Applicable</v>
          </cell>
          <cell r="R1496" t="str">
            <v>Eppendorf</v>
          </cell>
          <cell r="S1496" t="str">
            <v>Medigene sdn bhd</v>
          </cell>
          <cell r="T1496" t="str">
            <v>Functioning</v>
          </cell>
          <cell r="U1496" t="str">
            <v>Asset</v>
          </cell>
          <cell r="V1496">
            <v>1323</v>
          </cell>
          <cell r="W1496" t="str">
            <v>KEW</v>
          </cell>
          <cell r="X1496" t="str">
            <v>01/09/2010</v>
          </cell>
          <cell r="Y1496" t="str">
            <v>KEW</v>
          </cell>
          <cell r="Z1496" t="str">
            <v>16/08/2013</v>
          </cell>
          <cell r="AA1496" t="str">
            <v>15/08/2015</v>
          </cell>
          <cell r="AB1496" t="str">
            <v>No</v>
          </cell>
          <cell r="AC1496" t="str">
            <v>31/08/2013</v>
          </cell>
          <cell r="AD1496" t="str">
            <v>Good</v>
          </cell>
          <cell r="AE1496" t="str">
            <v>V3 - Added Installed Facilities (New)</v>
          </cell>
          <cell r="AF1496">
            <v>42235</v>
          </cell>
          <cell r="AG1496">
            <v>9.17</v>
          </cell>
          <cell r="AH1496" t="str">
            <v>PPM</v>
          </cell>
          <cell r="AI1496" t="str">
            <v>Strands</v>
          </cell>
          <cell r="AJ1496" t="str">
            <v>Strands PW</v>
          </cell>
          <cell r="AK1496" t="str">
            <v>SNF received. 1st batch of V3 asset (December 2020)</v>
          </cell>
        </row>
        <row r="1497">
          <cell r="A1497" t="str">
            <v>IKN401224</v>
          </cell>
          <cell r="B1497">
            <v>1222</v>
          </cell>
          <cell r="C1497" t="str">
            <v>Institut Kanser Negara</v>
          </cell>
          <cell r="D1497" t="str">
            <v>KKM/IKN/H/13/4850</v>
          </cell>
          <cell r="E1497" t="str">
            <v>15-663</v>
          </cell>
          <cell r="F1497" t="str">
            <v>Pipetters</v>
          </cell>
          <cell r="G1497" t="str">
            <v>NM</v>
          </cell>
          <cell r="H1497" t="str">
            <v>NUCLEAR MED (DIAGNOSTIC)</v>
          </cell>
          <cell r="I1497" t="str">
            <v>03NM139</v>
          </cell>
          <cell r="J1497" t="str">
            <v>QC</v>
          </cell>
          <cell r="K1497" t="str">
            <v>BMED</v>
          </cell>
          <cell r="L1497" t="str">
            <v>Normal</v>
          </cell>
          <cell r="M1497" t="str">
            <v>Germany</v>
          </cell>
          <cell r="N1497" t="str">
            <v>Eppendorf</v>
          </cell>
          <cell r="O1497" t="str">
            <v>Research Plus</v>
          </cell>
          <cell r="P1497" t="str">
            <v>L238478</v>
          </cell>
          <cell r="Q1497" t="str">
            <v>Not Applicable</v>
          </cell>
          <cell r="R1497" t="str">
            <v>Eppendorf</v>
          </cell>
          <cell r="S1497" t="str">
            <v>Medigene sdn bhd</v>
          </cell>
          <cell r="T1497" t="str">
            <v>Functioning</v>
          </cell>
          <cell r="U1497" t="str">
            <v>Asset</v>
          </cell>
          <cell r="V1497">
            <v>1323</v>
          </cell>
          <cell r="W1497" t="str">
            <v>KEW</v>
          </cell>
          <cell r="X1497" t="str">
            <v>01/09/2010</v>
          </cell>
          <cell r="Y1497" t="str">
            <v>KEW</v>
          </cell>
          <cell r="Z1497" t="str">
            <v>16/08/2013</v>
          </cell>
          <cell r="AA1497" t="str">
            <v>15/08/2015</v>
          </cell>
          <cell r="AB1497" t="str">
            <v>No</v>
          </cell>
          <cell r="AC1497" t="str">
            <v>31/08/2013</v>
          </cell>
          <cell r="AD1497" t="str">
            <v>Good</v>
          </cell>
          <cell r="AE1497" t="str">
            <v>V3 - Added Installed Facilities (New)</v>
          </cell>
          <cell r="AF1497">
            <v>42235</v>
          </cell>
          <cell r="AG1497">
            <v>9.17</v>
          </cell>
          <cell r="AH1497" t="str">
            <v>PPM</v>
          </cell>
          <cell r="AI1497" t="str">
            <v>Strands</v>
          </cell>
          <cell r="AJ1497" t="str">
            <v>Strands PW</v>
          </cell>
          <cell r="AK1497" t="str">
            <v>SNF received. 1st batch of V3 asset (December 2020)</v>
          </cell>
        </row>
        <row r="1498">
          <cell r="A1498" t="str">
            <v>IKN401225</v>
          </cell>
          <cell r="B1498">
            <v>1223</v>
          </cell>
          <cell r="C1498" t="str">
            <v>Institut Kanser Negara</v>
          </cell>
          <cell r="D1498" t="str">
            <v>KKM/IKN/H/13/4849</v>
          </cell>
          <cell r="E1498" t="str">
            <v>15-663</v>
          </cell>
          <cell r="F1498" t="str">
            <v>Pipetters</v>
          </cell>
          <cell r="G1498" t="str">
            <v>NM</v>
          </cell>
          <cell r="H1498" t="str">
            <v>NUCLEAR MED (DIAGNOSTIC)</v>
          </cell>
          <cell r="I1498" t="str">
            <v>03NM139</v>
          </cell>
          <cell r="J1498" t="str">
            <v>QC</v>
          </cell>
          <cell r="K1498" t="str">
            <v>BMED</v>
          </cell>
          <cell r="L1498" t="str">
            <v>Normal</v>
          </cell>
          <cell r="M1498" t="str">
            <v>Germany</v>
          </cell>
          <cell r="N1498" t="str">
            <v>Eppendorf</v>
          </cell>
          <cell r="O1498" t="str">
            <v>Research Plus</v>
          </cell>
          <cell r="P1498" t="str">
            <v>480233A</v>
          </cell>
          <cell r="Q1498" t="str">
            <v>Not Applicable</v>
          </cell>
          <cell r="R1498" t="str">
            <v>Eppendorf</v>
          </cell>
          <cell r="S1498" t="str">
            <v>Medigene sdn bhd</v>
          </cell>
          <cell r="T1498" t="str">
            <v>Functioning</v>
          </cell>
          <cell r="U1498" t="str">
            <v>Asset</v>
          </cell>
          <cell r="V1498">
            <v>1323</v>
          </cell>
          <cell r="W1498" t="str">
            <v>KEW</v>
          </cell>
          <cell r="X1498" t="str">
            <v>01/09/2010</v>
          </cell>
          <cell r="Y1498" t="str">
            <v>KEW</v>
          </cell>
          <cell r="Z1498" t="str">
            <v>16/08/2013</v>
          </cell>
          <cell r="AA1498" t="str">
            <v>15/08/2015</v>
          </cell>
          <cell r="AB1498" t="str">
            <v>No</v>
          </cell>
          <cell r="AC1498" t="str">
            <v>31/08/2013</v>
          </cell>
          <cell r="AD1498" t="str">
            <v>Good</v>
          </cell>
          <cell r="AE1498" t="str">
            <v>V3 - Added Installed Facilities (New)</v>
          </cell>
          <cell r="AF1498">
            <v>42235</v>
          </cell>
          <cell r="AG1498">
            <v>9.17</v>
          </cell>
          <cell r="AH1498" t="str">
            <v>PPM</v>
          </cell>
          <cell r="AI1498" t="str">
            <v>Strands</v>
          </cell>
          <cell r="AJ1498" t="str">
            <v>Strands PW</v>
          </cell>
          <cell r="AK1498" t="str">
            <v>SNF received. 1st batch of V3 asset (December 2020)</v>
          </cell>
        </row>
        <row r="1499">
          <cell r="A1499" t="str">
            <v>IKN401226</v>
          </cell>
          <cell r="B1499">
            <v>1224</v>
          </cell>
          <cell r="C1499" t="str">
            <v>Institut Kanser Negara</v>
          </cell>
          <cell r="D1499" t="str">
            <v>KKM/IKN/H/13/4848</v>
          </cell>
          <cell r="E1499" t="str">
            <v>15-663</v>
          </cell>
          <cell r="F1499" t="str">
            <v>Pipetters</v>
          </cell>
          <cell r="G1499" t="str">
            <v>NM</v>
          </cell>
          <cell r="H1499" t="str">
            <v>NUCLEAR MED (DIAGNOSTIC)</v>
          </cell>
          <cell r="I1499" t="str">
            <v>03NM139</v>
          </cell>
          <cell r="J1499" t="str">
            <v>QC</v>
          </cell>
          <cell r="K1499" t="str">
            <v>BMED</v>
          </cell>
          <cell r="L1499" t="str">
            <v>Normal</v>
          </cell>
          <cell r="M1499" t="str">
            <v>Germany</v>
          </cell>
          <cell r="N1499" t="str">
            <v>Eppendorf</v>
          </cell>
          <cell r="O1499" t="str">
            <v>Research Plus</v>
          </cell>
          <cell r="P1499" t="str">
            <v>341650A</v>
          </cell>
          <cell r="Q1499" t="str">
            <v>Not Applicable</v>
          </cell>
          <cell r="R1499" t="str">
            <v>Eppendorf</v>
          </cell>
          <cell r="S1499" t="str">
            <v>Medigene sdn bhd</v>
          </cell>
          <cell r="T1499" t="str">
            <v>Functioning</v>
          </cell>
          <cell r="U1499" t="str">
            <v>Asset</v>
          </cell>
          <cell r="V1499">
            <v>1323</v>
          </cell>
          <cell r="W1499" t="str">
            <v>KEW</v>
          </cell>
          <cell r="X1499" t="str">
            <v>01/09/2010</v>
          </cell>
          <cell r="Y1499" t="str">
            <v>KEW</v>
          </cell>
          <cell r="Z1499" t="str">
            <v>16/08/2013</v>
          </cell>
          <cell r="AA1499" t="str">
            <v>15/08/2015</v>
          </cell>
          <cell r="AB1499" t="str">
            <v>No</v>
          </cell>
          <cell r="AC1499" t="str">
            <v>31/08/2013</v>
          </cell>
          <cell r="AD1499" t="str">
            <v>Good</v>
          </cell>
          <cell r="AE1499" t="str">
            <v>V3 - Added Installed Facilities (New)</v>
          </cell>
          <cell r="AF1499">
            <v>42235</v>
          </cell>
          <cell r="AG1499">
            <v>9.17</v>
          </cell>
          <cell r="AH1499" t="str">
            <v>PPM</v>
          </cell>
          <cell r="AI1499" t="str">
            <v>Strands</v>
          </cell>
          <cell r="AJ1499" t="str">
            <v>Strands PW</v>
          </cell>
          <cell r="AK1499" t="str">
            <v>SNF received. 1st batch of V3 asset (December 2020).</v>
          </cell>
        </row>
        <row r="1500">
          <cell r="A1500" t="str">
            <v>IKN401227</v>
          </cell>
          <cell r="B1500">
            <v>1225</v>
          </cell>
          <cell r="C1500" t="str">
            <v>Institut Kanser Negara</v>
          </cell>
          <cell r="D1500" t="str">
            <v>KKM/IKN/H/13/4847</v>
          </cell>
          <cell r="E1500" t="str">
            <v>15-663</v>
          </cell>
          <cell r="F1500" t="str">
            <v>Pipetters</v>
          </cell>
          <cell r="G1500" t="str">
            <v>NM</v>
          </cell>
          <cell r="H1500" t="str">
            <v>NUCLEAR MED (DIAGNOSTIC)</v>
          </cell>
          <cell r="I1500" t="str">
            <v>03NM139</v>
          </cell>
          <cell r="J1500" t="str">
            <v>QC</v>
          </cell>
          <cell r="K1500" t="str">
            <v>BMED</v>
          </cell>
          <cell r="L1500" t="str">
            <v>Normal</v>
          </cell>
          <cell r="M1500" t="str">
            <v>Germany</v>
          </cell>
          <cell r="N1500" t="str">
            <v>Eppendorf</v>
          </cell>
          <cell r="O1500" t="str">
            <v>Research Plus</v>
          </cell>
          <cell r="P1500" t="str">
            <v>L23688B</v>
          </cell>
          <cell r="Q1500" t="str">
            <v>Not Applicable</v>
          </cell>
          <cell r="R1500" t="str">
            <v>Eppendorf</v>
          </cell>
          <cell r="S1500" t="str">
            <v>Medigene sdn bhd</v>
          </cell>
          <cell r="T1500" t="str">
            <v>Functioning</v>
          </cell>
          <cell r="U1500" t="str">
            <v>Asset</v>
          </cell>
          <cell r="V1500">
            <v>1323</v>
          </cell>
          <cell r="W1500" t="str">
            <v>KEW</v>
          </cell>
          <cell r="X1500" t="str">
            <v>01/09/2010</v>
          </cell>
          <cell r="Y1500" t="str">
            <v>KEW</v>
          </cell>
          <cell r="Z1500" t="str">
            <v>16/08/2013</v>
          </cell>
          <cell r="AA1500" t="str">
            <v>15/08/2015</v>
          </cell>
          <cell r="AB1500" t="str">
            <v>No</v>
          </cell>
          <cell r="AC1500" t="str">
            <v>31/08/2013</v>
          </cell>
          <cell r="AD1500" t="str">
            <v>Good</v>
          </cell>
          <cell r="AE1500" t="str">
            <v>V3 - Added Installed Facilities (New)</v>
          </cell>
          <cell r="AF1500">
            <v>42796</v>
          </cell>
          <cell r="AG1500">
            <v>9.17</v>
          </cell>
          <cell r="AH1500" t="str">
            <v>PPM</v>
          </cell>
          <cell r="AI1500" t="str">
            <v>Strands</v>
          </cell>
          <cell r="AJ1500" t="str">
            <v>Strands PW</v>
          </cell>
          <cell r="AK1500" t="str">
            <v>SNF received. 1st batch of V3 asset (December 2020)</v>
          </cell>
        </row>
        <row r="1501">
          <cell r="A1501" t="str">
            <v>IKN401228</v>
          </cell>
          <cell r="B1501">
            <v>1226</v>
          </cell>
          <cell r="C1501" t="str">
            <v>Institut Kanser Negara</v>
          </cell>
          <cell r="D1501" t="str">
            <v>KKM/IKN/H/13/4853</v>
          </cell>
          <cell r="E1501" t="str">
            <v>15-663</v>
          </cell>
          <cell r="F1501" t="str">
            <v>Pipetters</v>
          </cell>
          <cell r="G1501" t="str">
            <v>WA</v>
          </cell>
          <cell r="H1501" t="str">
            <v>NUCLEAR MED WARD (THERAPY)</v>
          </cell>
          <cell r="I1501" t="str">
            <v>03WA125</v>
          </cell>
          <cell r="J1501" t="str">
            <v>RADIOIODIN PREP (100% F.A.)</v>
          </cell>
          <cell r="K1501" t="str">
            <v>BMED</v>
          </cell>
          <cell r="L1501" t="str">
            <v>Normal</v>
          </cell>
          <cell r="M1501" t="str">
            <v>Germany</v>
          </cell>
          <cell r="N1501" t="str">
            <v>Eppendorf</v>
          </cell>
          <cell r="O1501" t="str">
            <v>Research Plus</v>
          </cell>
          <cell r="P1501" t="str">
            <v>4914939</v>
          </cell>
          <cell r="Q1501" t="str">
            <v>Not Applicable</v>
          </cell>
          <cell r="R1501" t="str">
            <v>Eppendorf</v>
          </cell>
          <cell r="S1501" t="str">
            <v>Medigene sdn bhd</v>
          </cell>
          <cell r="T1501" t="str">
            <v>Functioning</v>
          </cell>
          <cell r="U1501" t="str">
            <v>Asset</v>
          </cell>
          <cell r="V1501">
            <v>1323</v>
          </cell>
          <cell r="W1501" t="str">
            <v>KEW</v>
          </cell>
          <cell r="X1501" t="str">
            <v>01/09/2010</v>
          </cell>
          <cell r="Y1501" t="str">
            <v>KEW</v>
          </cell>
          <cell r="Z1501" t="str">
            <v>16/08/2013</v>
          </cell>
          <cell r="AA1501" t="str">
            <v>15/08/2015</v>
          </cell>
          <cell r="AB1501" t="str">
            <v>No</v>
          </cell>
          <cell r="AC1501" t="str">
            <v>31/08/2013</v>
          </cell>
          <cell r="AD1501" t="str">
            <v>Good</v>
          </cell>
          <cell r="AE1501" t="str">
            <v>V3 - Added Installed Facilities (New)</v>
          </cell>
          <cell r="AF1501">
            <v>42235</v>
          </cell>
          <cell r="AG1501">
            <v>9.17</v>
          </cell>
          <cell r="AH1501" t="str">
            <v>PPM</v>
          </cell>
          <cell r="AI1501" t="str">
            <v>Strands</v>
          </cell>
          <cell r="AJ1501" t="str">
            <v>Strands PW</v>
          </cell>
          <cell r="AK1501" t="str">
            <v>SNF received. 1st batch of V3 asset (December 2020)</v>
          </cell>
        </row>
        <row r="1502">
          <cell r="A1502" t="str">
            <v>IKN401229</v>
          </cell>
          <cell r="B1502">
            <v>1227</v>
          </cell>
          <cell r="C1502" t="str">
            <v>Institut Kanser Negara</v>
          </cell>
          <cell r="D1502" t="str">
            <v>KKM/IKN/H/13/4854</v>
          </cell>
          <cell r="E1502" t="str">
            <v>15-663</v>
          </cell>
          <cell r="F1502" t="str">
            <v>Pipetters</v>
          </cell>
          <cell r="G1502" t="str">
            <v>WA</v>
          </cell>
          <cell r="H1502" t="str">
            <v>NUCLEAR MED WARD (THERAPY)</v>
          </cell>
          <cell r="I1502" t="str">
            <v>03WA125</v>
          </cell>
          <cell r="J1502" t="str">
            <v>RADIOIODIN PREP (100% F.A.)</v>
          </cell>
          <cell r="K1502" t="str">
            <v>BMED</v>
          </cell>
          <cell r="L1502" t="str">
            <v>Normal</v>
          </cell>
          <cell r="M1502" t="str">
            <v>Germany</v>
          </cell>
          <cell r="N1502" t="str">
            <v>Eppendorf</v>
          </cell>
          <cell r="O1502" t="str">
            <v>Research Plus</v>
          </cell>
          <cell r="P1502" t="str">
            <v>2534859</v>
          </cell>
          <cell r="Q1502" t="str">
            <v>Not Applicable</v>
          </cell>
          <cell r="R1502" t="str">
            <v>Eppendorf</v>
          </cell>
          <cell r="S1502" t="str">
            <v>Medigene sdn bhd</v>
          </cell>
          <cell r="T1502" t="str">
            <v>Functioning</v>
          </cell>
          <cell r="U1502" t="str">
            <v>Asset</v>
          </cell>
          <cell r="V1502">
            <v>1323</v>
          </cell>
          <cell r="W1502" t="str">
            <v>KEW</v>
          </cell>
          <cell r="X1502" t="str">
            <v>01/09/2010</v>
          </cell>
          <cell r="Y1502" t="str">
            <v>KEW</v>
          </cell>
          <cell r="Z1502" t="str">
            <v>16/08/2013</v>
          </cell>
          <cell r="AA1502" t="str">
            <v>15/08/2015</v>
          </cell>
          <cell r="AB1502" t="str">
            <v>No</v>
          </cell>
          <cell r="AC1502" t="str">
            <v>31/08/2013</v>
          </cell>
          <cell r="AD1502" t="str">
            <v>Good</v>
          </cell>
          <cell r="AE1502" t="str">
            <v>V3 - Added Installed Facilities (New)</v>
          </cell>
          <cell r="AF1502">
            <v>42235</v>
          </cell>
          <cell r="AG1502">
            <v>9.17</v>
          </cell>
          <cell r="AH1502" t="str">
            <v>PPM</v>
          </cell>
          <cell r="AI1502" t="str">
            <v>Strands</v>
          </cell>
          <cell r="AJ1502" t="str">
            <v>Strands PW</v>
          </cell>
          <cell r="AK1502" t="str">
            <v>SNF received. 1st batch of V3 asset (December 2020)</v>
          </cell>
        </row>
        <row r="1503">
          <cell r="A1503" t="str">
            <v>IKN401230</v>
          </cell>
          <cell r="B1503">
            <v>1228</v>
          </cell>
          <cell r="C1503" t="str">
            <v>Institut Kanser Negara</v>
          </cell>
          <cell r="D1503" t="str">
            <v>KKM/IKN/H/13/4846</v>
          </cell>
          <cell r="E1503" t="str">
            <v>15-663</v>
          </cell>
          <cell r="F1503" t="str">
            <v>Pipetters</v>
          </cell>
          <cell r="G1503" t="str">
            <v>WA</v>
          </cell>
          <cell r="H1503" t="str">
            <v>NUCLEAR MED WARD (THERAPY)</v>
          </cell>
          <cell r="I1503" t="str">
            <v>03WA125</v>
          </cell>
          <cell r="J1503" t="str">
            <v>RADIOIODIN PREP (100% F.A.)</v>
          </cell>
          <cell r="K1503" t="str">
            <v>BMED</v>
          </cell>
          <cell r="L1503" t="str">
            <v>Normal</v>
          </cell>
          <cell r="M1503" t="str">
            <v>Germany</v>
          </cell>
          <cell r="N1503" t="str">
            <v>Eppendorf</v>
          </cell>
          <cell r="O1503" t="str">
            <v>Research Plus</v>
          </cell>
          <cell r="P1503" t="str">
            <v>L23690B</v>
          </cell>
          <cell r="Q1503" t="str">
            <v>Not Applicable</v>
          </cell>
          <cell r="R1503" t="str">
            <v>Eppendorf</v>
          </cell>
          <cell r="S1503" t="str">
            <v>Medigene sdn bhd</v>
          </cell>
          <cell r="T1503" t="str">
            <v>Functioning</v>
          </cell>
          <cell r="U1503" t="str">
            <v>Asset</v>
          </cell>
          <cell r="V1503">
            <v>1323</v>
          </cell>
          <cell r="W1503" t="str">
            <v>KEW</v>
          </cell>
          <cell r="X1503" t="str">
            <v>01/09/2010</v>
          </cell>
          <cell r="Y1503" t="str">
            <v>KEW</v>
          </cell>
          <cell r="Z1503" t="str">
            <v>16/08/2013</v>
          </cell>
          <cell r="AA1503" t="str">
            <v>15/08/2015</v>
          </cell>
          <cell r="AB1503" t="str">
            <v>No</v>
          </cell>
          <cell r="AC1503" t="str">
            <v>31/08/2013</v>
          </cell>
          <cell r="AD1503" t="str">
            <v>Good</v>
          </cell>
          <cell r="AE1503" t="str">
            <v>V3 - Added Installed Facilities (New)</v>
          </cell>
          <cell r="AF1503">
            <v>42235</v>
          </cell>
          <cell r="AG1503">
            <v>9.17</v>
          </cell>
          <cell r="AH1503" t="str">
            <v>PPM</v>
          </cell>
          <cell r="AI1503" t="str">
            <v>Strands</v>
          </cell>
          <cell r="AJ1503" t="str">
            <v>Strands PW</v>
          </cell>
          <cell r="AK1503" t="str">
            <v>SNF received. 1st batch of V3 asset (December 2020)</v>
          </cell>
        </row>
        <row r="1504">
          <cell r="A1504" t="str">
            <v>IKN401231</v>
          </cell>
          <cell r="B1504">
            <v>1229</v>
          </cell>
          <cell r="C1504" t="str">
            <v>Institut Kanser Negara</v>
          </cell>
          <cell r="D1504" t="str">
            <v>KKM/IKN/H/13/4845</v>
          </cell>
          <cell r="E1504" t="str">
            <v>15-663</v>
          </cell>
          <cell r="F1504" t="str">
            <v>Pipetters</v>
          </cell>
          <cell r="G1504" t="str">
            <v>NM</v>
          </cell>
          <cell r="H1504" t="str">
            <v>NUCLEAR MED (DIAGNOSTIC)</v>
          </cell>
          <cell r="I1504" t="str">
            <v>03NM154</v>
          </cell>
          <cell r="J1504" t="str">
            <v>RIA LAB</v>
          </cell>
          <cell r="K1504" t="str">
            <v>BMED</v>
          </cell>
          <cell r="L1504" t="str">
            <v>Normal</v>
          </cell>
          <cell r="M1504" t="str">
            <v>Germany</v>
          </cell>
          <cell r="N1504" t="str">
            <v>Eppendorf</v>
          </cell>
          <cell r="O1504" t="str">
            <v>Research Plus</v>
          </cell>
          <cell r="P1504" t="str">
            <v>022812B</v>
          </cell>
          <cell r="Q1504" t="str">
            <v>Not Applicable</v>
          </cell>
          <cell r="R1504" t="str">
            <v>Eppendorf</v>
          </cell>
          <cell r="S1504" t="str">
            <v>Medigene sdn bhd</v>
          </cell>
          <cell r="T1504" t="str">
            <v>Functioning</v>
          </cell>
          <cell r="U1504" t="str">
            <v>Asset</v>
          </cell>
          <cell r="V1504">
            <v>3250</v>
          </cell>
          <cell r="W1504" t="str">
            <v>KEW</v>
          </cell>
          <cell r="X1504" t="str">
            <v>01/09/2010</v>
          </cell>
          <cell r="Y1504" t="str">
            <v>KEW</v>
          </cell>
          <cell r="Z1504" t="str">
            <v>16/08/2013</v>
          </cell>
          <cell r="AA1504" t="str">
            <v>15/08/2015</v>
          </cell>
          <cell r="AB1504" t="str">
            <v>No</v>
          </cell>
          <cell r="AC1504" t="str">
            <v>31/08/2013</v>
          </cell>
          <cell r="AD1504" t="str">
            <v>Good</v>
          </cell>
          <cell r="AE1504" t="str">
            <v>V1 - Existing / No Claim</v>
          </cell>
          <cell r="AF1504">
            <v>42235</v>
          </cell>
          <cell r="AG1504">
            <v>9.17</v>
          </cell>
          <cell r="AH1504" t="str">
            <v>PPM</v>
          </cell>
          <cell r="AI1504" t="str">
            <v>Strands</v>
          </cell>
          <cell r="AJ1504" t="str">
            <v>Strands PW</v>
          </cell>
        </row>
        <row r="1505">
          <cell r="A1505" t="str">
            <v>IKN401232</v>
          </cell>
          <cell r="B1505">
            <v>1230</v>
          </cell>
          <cell r="C1505" t="str">
            <v>Institut Kanser Negara</v>
          </cell>
          <cell r="D1505" t="str">
            <v>KKM/IKN/H/13/3102</v>
          </cell>
          <cell r="E1505" t="str">
            <v>15-105</v>
          </cell>
          <cell r="F1505" t="str">
            <v>Heating Blocks</v>
          </cell>
          <cell r="G1505" t="str">
            <v>NM</v>
          </cell>
          <cell r="H1505" t="str">
            <v>NUCLEAR MED (DIAGNOSTIC)</v>
          </cell>
          <cell r="I1505" t="str">
            <v>03NM138</v>
          </cell>
          <cell r="J1505" t="str">
            <v>RADIOIODINE PREP. (100% F.A)</v>
          </cell>
          <cell r="K1505" t="str">
            <v>BMED</v>
          </cell>
          <cell r="L1505" t="str">
            <v>Normal</v>
          </cell>
          <cell r="M1505" t="str">
            <v>France</v>
          </cell>
          <cell r="N1505" t="str">
            <v>LemerPax</v>
          </cell>
          <cell r="O1505" t="str">
            <v>BSH1001-E</v>
          </cell>
          <cell r="P1505" t="str">
            <v>AD-BSH1-1216</v>
          </cell>
          <cell r="Q1505" t="str">
            <v>Not Applicable</v>
          </cell>
          <cell r="R1505" t="str">
            <v>LemerPax Innovative</v>
          </cell>
          <cell r="S1505" t="str">
            <v>Quantarad Technologies Sdn Bhd</v>
          </cell>
          <cell r="T1505" t="str">
            <v>Functioning</v>
          </cell>
          <cell r="U1505" t="str">
            <v>Asset</v>
          </cell>
          <cell r="V1505">
            <v>34320</v>
          </cell>
          <cell r="W1505" t="str">
            <v>KEW</v>
          </cell>
          <cell r="X1505" t="str">
            <v>01/09/2010</v>
          </cell>
          <cell r="Y1505" t="str">
            <v>KEW</v>
          </cell>
          <cell r="Z1505" t="str">
            <v>16/08/2013</v>
          </cell>
          <cell r="AA1505" t="str">
            <v>15/08/2015</v>
          </cell>
          <cell r="AB1505" t="str">
            <v>No</v>
          </cell>
          <cell r="AC1505" t="str">
            <v>31/08/2013</v>
          </cell>
          <cell r="AD1505" t="str">
            <v>Good</v>
          </cell>
          <cell r="AE1505" t="str">
            <v>V1 - Existing / No Claim</v>
          </cell>
          <cell r="AF1505">
            <v>42235</v>
          </cell>
          <cell r="AG1505">
            <v>9.17</v>
          </cell>
          <cell r="AH1505" t="str">
            <v>PPM</v>
          </cell>
          <cell r="AI1505" t="str">
            <v>Strands</v>
          </cell>
          <cell r="AJ1505" t="str">
            <v>Strands PW</v>
          </cell>
        </row>
        <row r="1506">
          <cell r="A1506" t="str">
            <v>IKN401233</v>
          </cell>
          <cell r="B1506">
            <v>1231</v>
          </cell>
          <cell r="C1506" t="str">
            <v>Institut Kanser Negara</v>
          </cell>
          <cell r="D1506" t="e">
            <v>#N/A</v>
          </cell>
          <cell r="E1506" t="str">
            <v>15-178</v>
          </cell>
          <cell r="F1506" t="str">
            <v>Shakers, Laboratory</v>
          </cell>
          <cell r="G1506" t="str">
            <v>NM</v>
          </cell>
          <cell r="H1506" t="str">
            <v>NUCLEAR MED (DIAGNOSTIC)</v>
          </cell>
          <cell r="I1506" t="str">
            <v>03NM138</v>
          </cell>
          <cell r="J1506" t="str">
            <v>RADIOIODINE PREP. (100% F.A)</v>
          </cell>
          <cell r="K1506" t="str">
            <v>BMED</v>
          </cell>
          <cell r="L1506" t="str">
            <v>Normal</v>
          </cell>
          <cell r="M1506" t="str">
            <v>France</v>
          </cell>
          <cell r="N1506" t="str">
            <v>LemerPax</v>
          </cell>
          <cell r="O1506" t="str">
            <v>Reax Top</v>
          </cell>
          <cell r="P1506" t="str">
            <v>021230051</v>
          </cell>
          <cell r="Q1506" t="str">
            <v>Not Applicable</v>
          </cell>
          <cell r="R1506" t="str">
            <v>LemerPax Innovative</v>
          </cell>
          <cell r="S1506" t="str">
            <v>Quantarad Technologies Sdn Bhd</v>
          </cell>
          <cell r="T1506" t="str">
            <v>Functioning</v>
          </cell>
          <cell r="U1506" t="str">
            <v>Asset</v>
          </cell>
          <cell r="V1506">
            <v>10000</v>
          </cell>
          <cell r="W1506" t="str">
            <v>KEW</v>
          </cell>
          <cell r="X1506" t="str">
            <v>01/09/2010</v>
          </cell>
          <cell r="Y1506" t="str">
            <v>KEW</v>
          </cell>
          <cell r="Z1506" t="str">
            <v>16/08/2013</v>
          </cell>
          <cell r="AA1506" t="str">
            <v>15/08/2015</v>
          </cell>
          <cell r="AB1506" t="str">
            <v>No</v>
          </cell>
          <cell r="AC1506" t="str">
            <v>31/08/2013</v>
          </cell>
          <cell r="AD1506" t="str">
            <v>Good</v>
          </cell>
          <cell r="AE1506" t="str">
            <v>V1 - Existing / No Claim</v>
          </cell>
          <cell r="AF1506">
            <v>42235</v>
          </cell>
          <cell r="AG1506">
            <v>9.17</v>
          </cell>
          <cell r="AH1506" t="str">
            <v>PPM</v>
          </cell>
          <cell r="AI1506" t="str">
            <v>Not in contract</v>
          </cell>
          <cell r="AJ1506" t="e">
            <v>#REF!</v>
          </cell>
        </row>
        <row r="1507">
          <cell r="A1507" t="str">
            <v>IKN401234</v>
          </cell>
          <cell r="B1507">
            <v>1232</v>
          </cell>
          <cell r="C1507" t="str">
            <v>Institut Kanser Negara</v>
          </cell>
          <cell r="D1507" t="str">
            <v>KKM/IKN/H/13/3103</v>
          </cell>
          <cell r="E1507" t="str">
            <v>18-449</v>
          </cell>
          <cell r="F1507" t="str">
            <v>Balances, Electronic, Analytical</v>
          </cell>
          <cell r="G1507" t="str">
            <v>NM</v>
          </cell>
          <cell r="H1507" t="str">
            <v>NUCLEAR MED (DIAGNOSTIC)</v>
          </cell>
          <cell r="I1507" t="str">
            <v>03NM138</v>
          </cell>
          <cell r="J1507" t="str">
            <v>RADIOIODINE PREP. (100% F.A)</v>
          </cell>
          <cell r="K1507" t="str">
            <v>BMED</v>
          </cell>
          <cell r="L1507" t="str">
            <v>Normal</v>
          </cell>
          <cell r="M1507" t="str">
            <v>Germany</v>
          </cell>
          <cell r="N1507" t="str">
            <v>Sartorius</v>
          </cell>
          <cell r="O1507" t="str">
            <v>CPA225D</v>
          </cell>
          <cell r="P1507" t="str">
            <v>28103546</v>
          </cell>
          <cell r="Q1507" t="str">
            <v>Not Applicable</v>
          </cell>
          <cell r="R1507" t="str">
            <v>Sartorius AG</v>
          </cell>
          <cell r="S1507" t="str">
            <v>Chemopharm S/B</v>
          </cell>
          <cell r="T1507" t="str">
            <v>Functioning</v>
          </cell>
          <cell r="U1507" t="str">
            <v>Asset</v>
          </cell>
          <cell r="V1507">
            <v>6250</v>
          </cell>
          <cell r="W1507" t="str">
            <v>KEW</v>
          </cell>
          <cell r="X1507" t="str">
            <v>01/09/2010</v>
          </cell>
          <cell r="Y1507" t="str">
            <v>KEW</v>
          </cell>
          <cell r="Z1507" t="str">
            <v>16/08/2013</v>
          </cell>
          <cell r="AA1507" t="str">
            <v>15/08/2015</v>
          </cell>
          <cell r="AB1507" t="str">
            <v>No</v>
          </cell>
          <cell r="AC1507" t="str">
            <v>31/08/2013</v>
          </cell>
          <cell r="AD1507" t="str">
            <v>Good</v>
          </cell>
          <cell r="AE1507" t="str">
            <v>V1 - Existing / No Claim</v>
          </cell>
          <cell r="AF1507">
            <v>42235</v>
          </cell>
          <cell r="AG1507">
            <v>9.17</v>
          </cell>
          <cell r="AH1507" t="str">
            <v>PPM</v>
          </cell>
          <cell r="AI1507" t="str">
            <v>Strands</v>
          </cell>
          <cell r="AJ1507" t="str">
            <v>Strands PW</v>
          </cell>
        </row>
        <row r="1508">
          <cell r="A1508" t="str">
            <v>IKN401235</v>
          </cell>
          <cell r="B1508">
            <v>1233</v>
          </cell>
          <cell r="C1508" t="str">
            <v>Institut Kanser Negara</v>
          </cell>
          <cell r="D1508" t="str">
            <v>KKM/IKN/H/13/4506</v>
          </cell>
          <cell r="E1508" t="str">
            <v>15-161</v>
          </cell>
          <cell r="F1508" t="str">
            <v>Mixers, Clinical Laboratory</v>
          </cell>
          <cell r="G1508" t="str">
            <v>NM</v>
          </cell>
          <cell r="H1508" t="str">
            <v>NUCLEAR MED (DIAGNOSTIC)</v>
          </cell>
          <cell r="I1508" t="str">
            <v>03NM154</v>
          </cell>
          <cell r="J1508" t="str">
            <v>RIA LAB</v>
          </cell>
          <cell r="K1508" t="str">
            <v>BMED</v>
          </cell>
          <cell r="L1508" t="str">
            <v>Normal</v>
          </cell>
          <cell r="M1508" t="str">
            <v>UK</v>
          </cell>
          <cell r="N1508" t="str">
            <v>Stuart</v>
          </cell>
          <cell r="O1508" t="str">
            <v>SA8</v>
          </cell>
          <cell r="P1508" t="str">
            <v>R800004737</v>
          </cell>
          <cell r="Q1508" t="str">
            <v>Not Applicable</v>
          </cell>
          <cell r="R1508" t="str">
            <v>Stuart Scientific Co Ltd</v>
          </cell>
          <cell r="S1508" t="str">
            <v>Bumi Sains Sdn. Bhd.</v>
          </cell>
          <cell r="T1508" t="str">
            <v>Functioning</v>
          </cell>
          <cell r="U1508" t="str">
            <v>Asset</v>
          </cell>
          <cell r="V1508">
            <v>1200</v>
          </cell>
          <cell r="W1508" t="str">
            <v>KEW</v>
          </cell>
          <cell r="X1508" t="str">
            <v>01/09/2010</v>
          </cell>
          <cell r="Y1508" t="str">
            <v>KEW</v>
          </cell>
          <cell r="Z1508" t="str">
            <v>16/08/2013</v>
          </cell>
          <cell r="AA1508" t="str">
            <v>15/08/2015</v>
          </cell>
          <cell r="AB1508" t="str">
            <v>No</v>
          </cell>
          <cell r="AC1508" t="str">
            <v>31/08/2013</v>
          </cell>
          <cell r="AD1508" t="str">
            <v>Good</v>
          </cell>
          <cell r="AE1508" t="str">
            <v>V1 - Existing / No Claim</v>
          </cell>
          <cell r="AF1508">
            <v>42235</v>
          </cell>
          <cell r="AG1508">
            <v>9.17</v>
          </cell>
          <cell r="AH1508" t="str">
            <v>PPM</v>
          </cell>
          <cell r="AI1508" t="str">
            <v>Strands</v>
          </cell>
          <cell r="AJ1508" t="str">
            <v>Strands PW</v>
          </cell>
        </row>
        <row r="1509">
          <cell r="A1509" t="str">
            <v>IKN401236</v>
          </cell>
          <cell r="B1509">
            <v>1234</v>
          </cell>
          <cell r="C1509" t="str">
            <v>Institut Kanser Negara</v>
          </cell>
          <cell r="D1509" t="str">
            <v>KKM/IKN/H/15/2</v>
          </cell>
          <cell r="E1509" t="str">
            <v>16-231</v>
          </cell>
          <cell r="F1509" t="str">
            <v>Electrocardiographs, Multichannel, Interpretative</v>
          </cell>
          <cell r="G1509" t="str">
            <v>NM</v>
          </cell>
          <cell r="H1509" t="str">
            <v>NUCLEAR MED (DIAGNOSTIC)</v>
          </cell>
          <cell r="I1509" t="str">
            <v>03NM108</v>
          </cell>
          <cell r="J1509" t="str">
            <v>TREATMENT 1 (RAI)(VE)</v>
          </cell>
          <cell r="K1509" t="str">
            <v>BMED</v>
          </cell>
          <cell r="L1509" t="str">
            <v>Normal</v>
          </cell>
          <cell r="M1509" t="str">
            <v>India</v>
          </cell>
          <cell r="N1509" t="str">
            <v>GE Healthcare</v>
          </cell>
          <cell r="O1509" t="str">
            <v>MAC 600</v>
          </cell>
          <cell r="P1509" t="str">
            <v>SF715203481PA</v>
          </cell>
          <cell r="Q1509" t="str">
            <v>Not Applicable</v>
          </cell>
          <cell r="R1509" t="str">
            <v>GE Healthcare</v>
          </cell>
          <cell r="S1509" t="str">
            <v>Baco Medicare Sdn Bhd</v>
          </cell>
          <cell r="T1509" t="str">
            <v>Functioning</v>
          </cell>
          <cell r="U1509" t="str">
            <v>Asset</v>
          </cell>
          <cell r="V1509">
            <v>5590.2</v>
          </cell>
          <cell r="W1509" t="str">
            <v>KEW</v>
          </cell>
          <cell r="X1509" t="str">
            <v>15/06/2015</v>
          </cell>
          <cell r="Y1509" t="str">
            <v>KEW</v>
          </cell>
          <cell r="Z1509" t="str">
            <v>03/07/2015</v>
          </cell>
          <cell r="AA1509" t="str">
            <v>02/07/2016</v>
          </cell>
          <cell r="AB1509" t="str">
            <v>No</v>
          </cell>
          <cell r="AC1509" t="str">
            <v>03/07/2015</v>
          </cell>
          <cell r="AD1509" t="str">
            <v>Good</v>
          </cell>
          <cell r="AE1509" t="str">
            <v>V3 - Added Installed Facilities (New)</v>
          </cell>
          <cell r="AF1509">
            <v>42235</v>
          </cell>
          <cell r="AG1509">
            <v>4.42</v>
          </cell>
          <cell r="AH1509" t="str">
            <v>PPM</v>
          </cell>
          <cell r="AI1509" t="str">
            <v>Strands</v>
          </cell>
          <cell r="AJ1509" t="str">
            <v>Strands PW</v>
          </cell>
          <cell r="AK1509" t="str">
            <v>SNF received. 1st batch of V3 asset (December 2020)</v>
          </cell>
        </row>
        <row r="1510">
          <cell r="A1510" t="str">
            <v>IKN401237</v>
          </cell>
          <cell r="B1510">
            <v>1235</v>
          </cell>
          <cell r="C1510" t="str">
            <v>Institut Kanser Negara</v>
          </cell>
          <cell r="D1510" t="str">
            <v>KKM/IKN/H/15/1</v>
          </cell>
          <cell r="E1510" t="str">
            <v>16-231</v>
          </cell>
          <cell r="F1510" t="str">
            <v>Electrocardiographs, Multichannel, Interpretative</v>
          </cell>
          <cell r="G1510" t="str">
            <v>NM</v>
          </cell>
          <cell r="H1510" t="str">
            <v>NUCLEAR MED (DIAGNOSTIC)</v>
          </cell>
          <cell r="I1510" t="str">
            <v>03NM108</v>
          </cell>
          <cell r="J1510" t="str">
            <v>TREATMENT 1 (RAI)(VE)</v>
          </cell>
          <cell r="K1510" t="str">
            <v>BMED</v>
          </cell>
          <cell r="L1510" t="str">
            <v>Normal</v>
          </cell>
          <cell r="M1510" t="str">
            <v>India</v>
          </cell>
          <cell r="N1510" t="str">
            <v>GE Healthcare</v>
          </cell>
          <cell r="O1510" t="str">
            <v>MAC 600</v>
          </cell>
          <cell r="P1510" t="str">
            <v>SF713085165PA</v>
          </cell>
          <cell r="Q1510" t="str">
            <v>Not Applicable</v>
          </cell>
          <cell r="R1510" t="str">
            <v>GE Healthcare</v>
          </cell>
          <cell r="S1510" t="str">
            <v>Baco Medicare Sdn Bhd</v>
          </cell>
          <cell r="T1510" t="str">
            <v>Functioning</v>
          </cell>
          <cell r="U1510" t="str">
            <v>Asset</v>
          </cell>
          <cell r="V1510">
            <v>5590.2</v>
          </cell>
          <cell r="W1510" t="str">
            <v>KEW</v>
          </cell>
          <cell r="X1510" t="str">
            <v>15/06/2015</v>
          </cell>
          <cell r="Y1510" t="str">
            <v>KEW</v>
          </cell>
          <cell r="Z1510" t="str">
            <v>03/07/2015</v>
          </cell>
          <cell r="AA1510" t="str">
            <v>02/07/2016</v>
          </cell>
          <cell r="AB1510" t="str">
            <v>No</v>
          </cell>
          <cell r="AC1510" t="str">
            <v>03/07/2015</v>
          </cell>
          <cell r="AD1510" t="str">
            <v>Good</v>
          </cell>
          <cell r="AE1510" t="str">
            <v>V3 - Added Installed Facilities (New)</v>
          </cell>
          <cell r="AF1510">
            <v>42235</v>
          </cell>
          <cell r="AG1510">
            <v>4.42</v>
          </cell>
          <cell r="AH1510" t="str">
            <v>PPM</v>
          </cell>
          <cell r="AI1510" t="str">
            <v>Not in contract</v>
          </cell>
          <cell r="AJ1510" t="str">
            <v>Proposed for V3 P2.23</v>
          </cell>
          <cell r="AK1510" t="str">
            <v>KKM follow P2.23 list.</v>
          </cell>
        </row>
        <row r="1511">
          <cell r="A1511" t="str">
            <v>IKN401238</v>
          </cell>
          <cell r="B1511">
            <v>1236</v>
          </cell>
          <cell r="C1511" t="str">
            <v>Institut Kanser Negara</v>
          </cell>
          <cell r="D1511" t="str">
            <v>KKM/IKN/H/13/4863</v>
          </cell>
          <cell r="E1511" t="str">
            <v>17-211</v>
          </cell>
          <cell r="F1511" t="str">
            <v>Radiation Survey Meters, Geiger-Muller</v>
          </cell>
          <cell r="G1511" t="str">
            <v>ID</v>
          </cell>
          <cell r="H1511" t="str">
            <v>IMAGING DEPARTMENT</v>
          </cell>
          <cell r="I1511" t="str">
            <v>03ID169</v>
          </cell>
          <cell r="J1511" t="str">
            <v>RADIOGRAPHER</v>
          </cell>
          <cell r="K1511" t="str">
            <v>BMED</v>
          </cell>
          <cell r="L1511" t="str">
            <v>Normal</v>
          </cell>
          <cell r="M1511" t="str">
            <v>Germany</v>
          </cell>
          <cell r="N1511" t="str">
            <v>Thermo Fisher</v>
          </cell>
          <cell r="O1511" t="str">
            <v>RadEye B20</v>
          </cell>
          <cell r="P1511">
            <v>30445</v>
          </cell>
          <cell r="Q1511" t="str">
            <v>Not Applicable</v>
          </cell>
          <cell r="R1511" t="str">
            <v>Thermo Fisher Scientific</v>
          </cell>
          <cell r="S1511" t="str">
            <v>Delta Advantech (M) Sdn Bhd</v>
          </cell>
          <cell r="T1511" t="str">
            <v>Functioning</v>
          </cell>
          <cell r="U1511" t="str">
            <v>Asset</v>
          </cell>
          <cell r="V1511">
            <v>20000</v>
          </cell>
          <cell r="W1511" t="str">
            <v>KEW</v>
          </cell>
          <cell r="X1511" t="str">
            <v>01/09/2010</v>
          </cell>
          <cell r="Y1511" t="str">
            <v>KEW</v>
          </cell>
          <cell r="Z1511" t="str">
            <v>16/08/2013</v>
          </cell>
          <cell r="AA1511" t="str">
            <v>15/08/2015</v>
          </cell>
          <cell r="AB1511" t="str">
            <v>No</v>
          </cell>
          <cell r="AC1511" t="str">
            <v>31/08/2013</v>
          </cell>
          <cell r="AD1511" t="str">
            <v>Good</v>
          </cell>
          <cell r="AE1511" t="str">
            <v>V1 - Existing / No Claim</v>
          </cell>
          <cell r="AF1511">
            <v>42235</v>
          </cell>
          <cell r="AG1511">
            <v>9.17</v>
          </cell>
          <cell r="AH1511" t="str">
            <v>PPM</v>
          </cell>
          <cell r="AI1511" t="str">
            <v>Strands</v>
          </cell>
          <cell r="AJ1511" t="str">
            <v>Strands PW</v>
          </cell>
        </row>
        <row r="1512">
          <cell r="A1512" t="str">
            <v>IKN401239</v>
          </cell>
          <cell r="B1512">
            <v>1237</v>
          </cell>
          <cell r="C1512" t="str">
            <v>Institut Kanser Negara</v>
          </cell>
          <cell r="D1512" t="e">
            <v>#N/A</v>
          </cell>
          <cell r="E1512" t="str">
            <v>15-605</v>
          </cell>
          <cell r="F1512" t="str">
            <v>Testers</v>
          </cell>
          <cell r="G1512" t="str">
            <v>PS</v>
          </cell>
          <cell r="H1512" t="str">
            <v>SUPPORT SERVICE/PLANT</v>
          </cell>
          <cell r="I1512" t="str">
            <v>01PS105</v>
          </cell>
          <cell r="J1512" t="str">
            <v>CHIEF ENGINEER</v>
          </cell>
          <cell r="K1512" t="str">
            <v>BMED</v>
          </cell>
          <cell r="L1512" t="str">
            <v>Normal</v>
          </cell>
          <cell r="M1512" t="str">
            <v>USA</v>
          </cell>
          <cell r="N1512" t="str">
            <v>Fluke</v>
          </cell>
          <cell r="O1512" t="str">
            <v>Fluke 115</v>
          </cell>
          <cell r="P1512" t="str">
            <v>22462872</v>
          </cell>
          <cell r="Q1512" t="str">
            <v>Not Applicable</v>
          </cell>
          <cell r="R1512" t="str">
            <v>Fluke Biomedical RMS</v>
          </cell>
          <cell r="S1512" t="str">
            <v>Bell Comm Technologies Sdn Bhd</v>
          </cell>
          <cell r="T1512" t="str">
            <v>Functioning</v>
          </cell>
          <cell r="U1512" t="str">
            <v>Asset</v>
          </cell>
          <cell r="V1512">
            <v>700</v>
          </cell>
          <cell r="W1512" t="str">
            <v>KEW</v>
          </cell>
          <cell r="X1512" t="str">
            <v>01/09/2010</v>
          </cell>
          <cell r="Y1512" t="str">
            <v>KEW</v>
          </cell>
          <cell r="Z1512" t="str">
            <v>16/08/2013</v>
          </cell>
          <cell r="AA1512" t="str">
            <v>15/08/2015</v>
          </cell>
          <cell r="AB1512" t="str">
            <v>No</v>
          </cell>
          <cell r="AC1512" t="str">
            <v>31/08/2013</v>
          </cell>
          <cell r="AD1512" t="str">
            <v>Good</v>
          </cell>
          <cell r="AE1512" t="str">
            <v>V1 - Existing / No Claim</v>
          </cell>
          <cell r="AF1512">
            <v>42235</v>
          </cell>
          <cell r="AG1512">
            <v>9.17</v>
          </cell>
          <cell r="AH1512" t="str">
            <v>PPM</v>
          </cell>
          <cell r="AI1512" t="str">
            <v>Not in contract</v>
          </cell>
          <cell r="AJ1512" t="str">
            <v>ANALYZER</v>
          </cell>
          <cell r="AK1512" t="str">
            <v>IKN agreed unit to be used by BEMS but have to calibrate.</v>
          </cell>
        </row>
        <row r="1513">
          <cell r="A1513" t="str">
            <v>IKN401240</v>
          </cell>
          <cell r="B1513">
            <v>1238</v>
          </cell>
          <cell r="C1513" t="str">
            <v>Institut Kanser Negara</v>
          </cell>
          <cell r="D1513" t="e">
            <v>#N/A</v>
          </cell>
          <cell r="E1513" t="str">
            <v>15-605</v>
          </cell>
          <cell r="F1513" t="str">
            <v>Testers</v>
          </cell>
          <cell r="G1513" t="str">
            <v>PS</v>
          </cell>
          <cell r="H1513" t="str">
            <v>SUPPORT SERVICE/PLANT</v>
          </cell>
          <cell r="I1513" t="str">
            <v>01PS105</v>
          </cell>
          <cell r="J1513" t="str">
            <v>CHIEF ENGINEER</v>
          </cell>
          <cell r="K1513" t="str">
            <v>BMED</v>
          </cell>
          <cell r="L1513" t="str">
            <v>Normal</v>
          </cell>
          <cell r="M1513" t="str">
            <v>USA</v>
          </cell>
          <cell r="N1513" t="str">
            <v>Fluke</v>
          </cell>
          <cell r="O1513" t="str">
            <v>Fluke 115</v>
          </cell>
          <cell r="P1513" t="str">
            <v>22462790</v>
          </cell>
          <cell r="Q1513" t="str">
            <v>Not Applicable</v>
          </cell>
          <cell r="R1513" t="str">
            <v>Fluke Biomedical RMS</v>
          </cell>
          <cell r="S1513" t="str">
            <v>Bell Comm Technologies Sdn Bhd</v>
          </cell>
          <cell r="T1513" t="str">
            <v>Functioning</v>
          </cell>
          <cell r="U1513" t="str">
            <v>Asset</v>
          </cell>
          <cell r="V1513">
            <v>700</v>
          </cell>
          <cell r="W1513" t="str">
            <v>KEW</v>
          </cell>
          <cell r="X1513" t="str">
            <v>01/09/2010</v>
          </cell>
          <cell r="Y1513" t="str">
            <v>KEW</v>
          </cell>
          <cell r="Z1513" t="str">
            <v>16/08/2013</v>
          </cell>
          <cell r="AA1513" t="str">
            <v>15/08/2015</v>
          </cell>
          <cell r="AB1513" t="str">
            <v>No</v>
          </cell>
          <cell r="AC1513" t="str">
            <v>31/08/2013</v>
          </cell>
          <cell r="AD1513" t="str">
            <v>Good</v>
          </cell>
          <cell r="AE1513" t="str">
            <v>V1 - Existing / No Claim</v>
          </cell>
          <cell r="AF1513">
            <v>42235</v>
          </cell>
          <cell r="AG1513">
            <v>9.17</v>
          </cell>
          <cell r="AH1513" t="str">
            <v>PPM</v>
          </cell>
          <cell r="AI1513" t="str">
            <v>Not in contract</v>
          </cell>
          <cell r="AJ1513" t="str">
            <v>ANALYZER</v>
          </cell>
          <cell r="AK1513" t="str">
            <v>IKN agreed unit to be used by BEMS but have to calibrate.</v>
          </cell>
        </row>
        <row r="1514">
          <cell r="A1514" t="str">
            <v>IKN401246</v>
          </cell>
          <cell r="B1514">
            <v>1244</v>
          </cell>
          <cell r="C1514" t="str">
            <v>Institut Kanser Negara</v>
          </cell>
          <cell r="D1514" t="str">
            <v>N/A</v>
          </cell>
          <cell r="E1514" t="str">
            <v>13-281</v>
          </cell>
          <cell r="F1514" t="str">
            <v>Computers, Radiotherapy Planning System</v>
          </cell>
          <cell r="G1514" t="str">
            <v>RT</v>
          </cell>
          <cell r="H1514" t="str">
            <v>RADIATION TREATMENT UNIT</v>
          </cell>
          <cell r="I1514" t="str">
            <v>01RT156</v>
          </cell>
          <cell r="J1514" t="str">
            <v>CHILDREN'S PLAY AREA</v>
          </cell>
          <cell r="K1514" t="str">
            <v>BMED</v>
          </cell>
          <cell r="L1514" t="str">
            <v>Normal</v>
          </cell>
          <cell r="M1514" t="str">
            <v>USA</v>
          </cell>
          <cell r="N1514" t="str">
            <v>Elekta</v>
          </cell>
          <cell r="O1514" t="str">
            <v>Monaco</v>
          </cell>
          <cell r="P1514" t="str">
            <v>various</v>
          </cell>
          <cell r="Q1514" t="str">
            <v>Not Applicable</v>
          </cell>
          <cell r="R1514" t="str">
            <v>Elekta</v>
          </cell>
          <cell r="S1514" t="str">
            <v>Meditek Equipment</v>
          </cell>
          <cell r="T1514" t="str">
            <v>Functioning</v>
          </cell>
          <cell r="U1514" t="str">
            <v>Asset</v>
          </cell>
          <cell r="V1514">
            <v>2403940</v>
          </cell>
          <cell r="W1514" t="str">
            <v>KEW</v>
          </cell>
          <cell r="X1514" t="str">
            <v>01/09/2010</v>
          </cell>
          <cell r="Y1514" t="str">
            <v>KEW</v>
          </cell>
          <cell r="Z1514" t="str">
            <v>16/08/2013</v>
          </cell>
          <cell r="AA1514" t="str">
            <v>15/08/2015</v>
          </cell>
          <cell r="AB1514" t="str">
            <v>No</v>
          </cell>
          <cell r="AC1514" t="str">
            <v>31/08/2013</v>
          </cell>
          <cell r="AD1514" t="str">
            <v>Good</v>
          </cell>
          <cell r="AE1514" t="str">
            <v>V1 - Existing / No Claim</v>
          </cell>
          <cell r="AF1514">
            <v>42235</v>
          </cell>
          <cell r="AG1514">
            <v>9.17</v>
          </cell>
          <cell r="AH1514" t="str">
            <v>PPM</v>
          </cell>
          <cell r="AI1514" t="str">
            <v>Strands</v>
          </cell>
          <cell r="AJ1514" t="str">
            <v>Strands Package</v>
          </cell>
          <cell r="AK1514" t="str">
            <v>Package Code XM0005A, XM0005B</v>
          </cell>
        </row>
        <row r="1515">
          <cell r="A1515" t="str">
            <v>IKN401247</v>
          </cell>
          <cell r="B1515">
            <v>1245</v>
          </cell>
          <cell r="C1515" t="str">
            <v>Institut Kanser Negara</v>
          </cell>
          <cell r="D1515" t="str">
            <v>KKM/IKN/H/13/4667</v>
          </cell>
          <cell r="E1515" t="str">
            <v>10-485</v>
          </cell>
          <cell r="F1515" t="str">
            <v>Pumps, Breast</v>
          </cell>
          <cell r="G1515" t="str">
            <v>X4</v>
          </cell>
          <cell r="H1515" t="str">
            <v>COMMON FACILITIES LEVEL 4</v>
          </cell>
          <cell r="I1515" t="str">
            <v>04X4408</v>
          </cell>
          <cell r="J1515" t="str">
            <v>BREAST FEED &amp; NAPPY CHGE</v>
          </cell>
          <cell r="K1515" t="str">
            <v>BMED</v>
          </cell>
          <cell r="L1515" t="str">
            <v>Normal</v>
          </cell>
          <cell r="M1515" t="str">
            <v>Switzerland</v>
          </cell>
          <cell r="N1515" t="str">
            <v>Lactina</v>
          </cell>
          <cell r="O1515" t="str">
            <v>Lactina Electric Plus</v>
          </cell>
          <cell r="P1515" t="str">
            <v>667110</v>
          </cell>
          <cell r="Q1515" t="str">
            <v>N/A</v>
          </cell>
          <cell r="R1515" t="str">
            <v>Medela AG</v>
          </cell>
          <cell r="S1515" t="str">
            <v>Equip Medical (M) Sdn Bhd</v>
          </cell>
          <cell r="T1515" t="str">
            <v>Functioning</v>
          </cell>
          <cell r="U1515" t="str">
            <v>Asset</v>
          </cell>
          <cell r="V1515">
            <v>1178</v>
          </cell>
          <cell r="W1515" t="str">
            <v>KEW</v>
          </cell>
          <cell r="X1515" t="str">
            <v>01/09/2010</v>
          </cell>
          <cell r="Y1515" t="str">
            <v>Estimate</v>
          </cell>
          <cell r="Z1515" t="str">
            <v>16/08/2013</v>
          </cell>
          <cell r="AA1515" t="str">
            <v>15/08/2015</v>
          </cell>
          <cell r="AB1515" t="str">
            <v>No</v>
          </cell>
          <cell r="AC1515" t="str">
            <v>31/08/2013</v>
          </cell>
          <cell r="AD1515" t="str">
            <v>Good</v>
          </cell>
          <cell r="AE1515" t="str">
            <v>V1 - Existing / No Claim</v>
          </cell>
          <cell r="AF1515">
            <v>42388</v>
          </cell>
          <cell r="AG1515">
            <v>9.17</v>
          </cell>
          <cell r="AH1515" t="str">
            <v>PPM</v>
          </cell>
          <cell r="AI1515" t="str">
            <v>Strands</v>
          </cell>
          <cell r="AJ1515" t="str">
            <v>Strands PW</v>
          </cell>
        </row>
        <row r="1516">
          <cell r="A1516" t="str">
            <v>IKN401248</v>
          </cell>
          <cell r="B1516">
            <v>1246</v>
          </cell>
          <cell r="C1516" t="str">
            <v>Institut Kanser Negara</v>
          </cell>
          <cell r="D1516" t="str">
            <v>KKM/IKN/H/13/4668</v>
          </cell>
          <cell r="E1516" t="str">
            <v>10-485</v>
          </cell>
          <cell r="F1516" t="str">
            <v>Pumps, Breast</v>
          </cell>
          <cell r="G1516" t="str">
            <v>X4</v>
          </cell>
          <cell r="H1516" t="str">
            <v>COMMON FACILITIES LEVEL 4</v>
          </cell>
          <cell r="I1516" t="str">
            <v>04X4408</v>
          </cell>
          <cell r="J1516" t="str">
            <v>BREAST FEED &amp; NAPPY CHGE</v>
          </cell>
          <cell r="K1516" t="str">
            <v>BMED</v>
          </cell>
          <cell r="L1516" t="str">
            <v>Normal</v>
          </cell>
          <cell r="M1516" t="str">
            <v>Switzerland</v>
          </cell>
          <cell r="N1516" t="str">
            <v>Lactina</v>
          </cell>
          <cell r="O1516" t="str">
            <v>Lactina Electric Plus</v>
          </cell>
          <cell r="P1516" t="str">
            <v>667112</v>
          </cell>
          <cell r="Q1516" t="str">
            <v>NOT APPLICABLE</v>
          </cell>
          <cell r="R1516" t="str">
            <v>Medela AG</v>
          </cell>
          <cell r="S1516" t="str">
            <v>Equip Medical (M) Sdn Bhd</v>
          </cell>
          <cell r="T1516" t="str">
            <v>Functioning</v>
          </cell>
          <cell r="U1516" t="str">
            <v>Asset</v>
          </cell>
          <cell r="V1516">
            <v>1178</v>
          </cell>
          <cell r="W1516" t="str">
            <v>KEW</v>
          </cell>
          <cell r="X1516" t="str">
            <v>01/09/2010</v>
          </cell>
          <cell r="Y1516" t="str">
            <v>KEW</v>
          </cell>
          <cell r="Z1516" t="str">
            <v>16/08/2013</v>
          </cell>
          <cell r="AA1516" t="str">
            <v>15/08/2015</v>
          </cell>
          <cell r="AB1516" t="str">
            <v>No</v>
          </cell>
          <cell r="AC1516" t="str">
            <v>31/08/2013</v>
          </cell>
          <cell r="AD1516" t="str">
            <v>Good</v>
          </cell>
          <cell r="AE1516" t="str">
            <v>V1 - Existing / No Claim</v>
          </cell>
          <cell r="AF1516">
            <v>42397</v>
          </cell>
          <cell r="AG1516">
            <v>9.17</v>
          </cell>
          <cell r="AH1516" t="str">
            <v>PPM</v>
          </cell>
          <cell r="AI1516" t="str">
            <v>Strands</v>
          </cell>
          <cell r="AJ1516" t="str">
            <v>Strands PW</v>
          </cell>
        </row>
        <row r="1517">
          <cell r="A1517" t="str">
            <v>IKN401249</v>
          </cell>
          <cell r="B1517">
            <v>1247</v>
          </cell>
          <cell r="C1517" t="str">
            <v>Institut Kanser Negara</v>
          </cell>
          <cell r="D1517" t="e">
            <v>#N/A</v>
          </cell>
          <cell r="E1517" t="str">
            <v>15-605</v>
          </cell>
          <cell r="F1517" t="str">
            <v>Testers</v>
          </cell>
          <cell r="G1517" t="str">
            <v>PS</v>
          </cell>
          <cell r="H1517" t="str">
            <v>SUPPORT SERVICE/PLANT</v>
          </cell>
          <cell r="I1517" t="str">
            <v>01PS105</v>
          </cell>
          <cell r="J1517" t="str">
            <v>CHIEF ENGINEER</v>
          </cell>
          <cell r="K1517" t="str">
            <v>BMED</v>
          </cell>
          <cell r="L1517" t="str">
            <v>Normal</v>
          </cell>
          <cell r="M1517" t="str">
            <v>USA</v>
          </cell>
          <cell r="N1517" t="str">
            <v>Fluke</v>
          </cell>
          <cell r="O1517" t="str">
            <v>Fluke 28 II</v>
          </cell>
          <cell r="P1517" t="str">
            <v>20200058</v>
          </cell>
          <cell r="Q1517" t="str">
            <v>Not Applicable</v>
          </cell>
          <cell r="R1517" t="str">
            <v>Fluke Biomedical RMS</v>
          </cell>
          <cell r="S1517" t="str">
            <v>Bell Comm Technologies Sdn Bhd</v>
          </cell>
          <cell r="T1517" t="str">
            <v>Functioning</v>
          </cell>
          <cell r="U1517" t="str">
            <v>Asset</v>
          </cell>
          <cell r="V1517">
            <v>4700</v>
          </cell>
          <cell r="W1517" t="str">
            <v>KEW</v>
          </cell>
          <cell r="X1517" t="str">
            <v>01/09/2010</v>
          </cell>
          <cell r="Y1517" t="str">
            <v>KEW</v>
          </cell>
          <cell r="Z1517" t="str">
            <v>16/08/2013</v>
          </cell>
          <cell r="AA1517" t="str">
            <v>15/08/2015</v>
          </cell>
          <cell r="AB1517" t="str">
            <v>No</v>
          </cell>
          <cell r="AC1517" t="str">
            <v>31/08/2013</v>
          </cell>
          <cell r="AD1517" t="str">
            <v>Good</v>
          </cell>
          <cell r="AE1517" t="str">
            <v>V1 - Existing / No Claim</v>
          </cell>
          <cell r="AF1517">
            <v>42235</v>
          </cell>
          <cell r="AG1517">
            <v>9.17</v>
          </cell>
          <cell r="AH1517" t="str">
            <v>PPM</v>
          </cell>
          <cell r="AI1517" t="str">
            <v>Not in contract</v>
          </cell>
          <cell r="AJ1517" t="str">
            <v>ANALYZER</v>
          </cell>
          <cell r="AK1517" t="str">
            <v>IKN agreed unit to be used by BEMS but have to calibrate.</v>
          </cell>
        </row>
        <row r="1518">
          <cell r="A1518" t="str">
            <v>IKN401250</v>
          </cell>
          <cell r="B1518">
            <v>1248</v>
          </cell>
          <cell r="C1518" t="str">
            <v>Institut Kanser Negara</v>
          </cell>
          <cell r="D1518" t="str">
            <v>KKM/IKN/H/13/4508</v>
          </cell>
          <cell r="E1518" t="str">
            <v>15-164</v>
          </cell>
          <cell r="F1518" t="str">
            <v>pH Meters</v>
          </cell>
          <cell r="G1518" t="str">
            <v>NM</v>
          </cell>
          <cell r="H1518" t="str">
            <v>NUCLEAR MED (DIAGNOSTIC)</v>
          </cell>
          <cell r="I1518" t="str">
            <v>03NM138</v>
          </cell>
          <cell r="J1518" t="str">
            <v>RADIOIODINE PREP. (100% F.A)</v>
          </cell>
          <cell r="K1518" t="str">
            <v>BMED</v>
          </cell>
          <cell r="L1518" t="str">
            <v>Normal</v>
          </cell>
          <cell r="M1518" t="str">
            <v>Singapore</v>
          </cell>
          <cell r="N1518" t="str">
            <v>Accumet</v>
          </cell>
          <cell r="O1518" t="str">
            <v>Accumet AB150</v>
          </cell>
          <cell r="P1518" t="str">
            <v>AB92341936</v>
          </cell>
          <cell r="Q1518" t="str">
            <v>NOT APPLICABLE</v>
          </cell>
          <cell r="R1518" t="str">
            <v>Fisher Scientific Co</v>
          </cell>
          <cell r="S1518" t="str">
            <v>Bumi Sains Sdn. Bhd.</v>
          </cell>
          <cell r="T1518" t="str">
            <v>Functioning</v>
          </cell>
          <cell r="U1518" t="str">
            <v>Asset</v>
          </cell>
          <cell r="V1518">
            <v>8000</v>
          </cell>
          <cell r="W1518" t="str">
            <v>Estimate</v>
          </cell>
          <cell r="X1518" t="str">
            <v>01/09/2010</v>
          </cell>
          <cell r="Y1518" t="str">
            <v>KEW</v>
          </cell>
          <cell r="Z1518" t="str">
            <v>16/08/2013</v>
          </cell>
          <cell r="AA1518" t="str">
            <v>15/08/2015</v>
          </cell>
          <cell r="AB1518" t="str">
            <v>No</v>
          </cell>
          <cell r="AC1518" t="str">
            <v>31/08/2013</v>
          </cell>
          <cell r="AD1518" t="str">
            <v>Good</v>
          </cell>
          <cell r="AE1518" t="str">
            <v>V1 - Existing / No Claim</v>
          </cell>
          <cell r="AF1518">
            <v>42622</v>
          </cell>
          <cell r="AG1518">
            <v>9.17</v>
          </cell>
          <cell r="AH1518" t="str">
            <v>PPM</v>
          </cell>
          <cell r="AI1518" t="str">
            <v>Strands</v>
          </cell>
          <cell r="AJ1518" t="str">
            <v>Strands PW</v>
          </cell>
          <cell r="AK1518" t="str">
            <v>[14/3/2024]: UPDATE MODEL</v>
          </cell>
        </row>
        <row r="1519">
          <cell r="A1519" t="str">
            <v>IKN401251</v>
          </cell>
          <cell r="B1519">
            <v>1249</v>
          </cell>
          <cell r="C1519" t="str">
            <v>Institut Kanser Negara</v>
          </cell>
          <cell r="D1519" t="str">
            <v>KKM/IKN/H/13/4507</v>
          </cell>
          <cell r="E1519" t="str">
            <v>15-164</v>
          </cell>
          <cell r="F1519" t="str">
            <v>pH Meters</v>
          </cell>
          <cell r="G1519" t="str">
            <v>NM</v>
          </cell>
          <cell r="H1519" t="str">
            <v>NUCLEAR MED (DIAGNOSTIC)</v>
          </cell>
          <cell r="I1519" t="str">
            <v>03NM138</v>
          </cell>
          <cell r="J1519" t="str">
            <v>RADIOIODINE PREP. (100% F.A)</v>
          </cell>
          <cell r="K1519" t="str">
            <v>BMED</v>
          </cell>
          <cell r="L1519" t="str">
            <v>Normal</v>
          </cell>
          <cell r="M1519" t="str">
            <v>Singapore</v>
          </cell>
          <cell r="N1519" t="str">
            <v>Accumet</v>
          </cell>
          <cell r="O1519" t="str">
            <v>Accumet AB150</v>
          </cell>
          <cell r="P1519" t="str">
            <v>AB92341926</v>
          </cell>
          <cell r="Q1519" t="str">
            <v>NOT APPLICABLE</v>
          </cell>
          <cell r="R1519" t="str">
            <v>Fisher Scientific Co</v>
          </cell>
          <cell r="S1519" t="str">
            <v>Bumi Sains Sdn. Bhd.</v>
          </cell>
          <cell r="T1519" t="str">
            <v>Functioning</v>
          </cell>
          <cell r="U1519" t="str">
            <v>Asset</v>
          </cell>
          <cell r="V1519">
            <v>8000</v>
          </cell>
          <cell r="W1519" t="str">
            <v>Estimate</v>
          </cell>
          <cell r="X1519" t="str">
            <v>01/09/2010</v>
          </cell>
          <cell r="Y1519" t="str">
            <v>Estimate</v>
          </cell>
          <cell r="Z1519" t="str">
            <v>16/08/2013</v>
          </cell>
          <cell r="AA1519" t="str">
            <v>15/08/2015</v>
          </cell>
          <cell r="AB1519" t="str">
            <v>No</v>
          </cell>
          <cell r="AC1519" t="str">
            <v>31/08/2013</v>
          </cell>
          <cell r="AD1519" t="str">
            <v>Good</v>
          </cell>
          <cell r="AE1519" t="str">
            <v>V1 - Existing / No Claim</v>
          </cell>
          <cell r="AF1519">
            <v>42622</v>
          </cell>
          <cell r="AG1519">
            <v>9.17</v>
          </cell>
          <cell r="AH1519" t="str">
            <v>PPM</v>
          </cell>
          <cell r="AI1519" t="str">
            <v>Strands</v>
          </cell>
          <cell r="AJ1519" t="str">
            <v>Strands PW</v>
          </cell>
          <cell r="AK1519" t="str">
            <v>[14/3/2024]: UPDATE MODEL. [25/3/2024, ANIS]: UPDATE SN</v>
          </cell>
        </row>
        <row r="1520">
          <cell r="A1520" t="str">
            <v>IKN401252</v>
          </cell>
          <cell r="B1520">
            <v>1250</v>
          </cell>
          <cell r="C1520" t="str">
            <v>Institut Kanser Negara</v>
          </cell>
          <cell r="D1520" t="str">
            <v>KKM/IKN/H/15/17</v>
          </cell>
          <cell r="E1520" t="str">
            <v>17-116</v>
          </cell>
          <cell r="F1520" t="str">
            <v>Defibrillators, External, Automated</v>
          </cell>
          <cell r="G1520" t="str">
            <v>AE</v>
          </cell>
          <cell r="H1520" t="str">
            <v>EMERGENCY UNIT</v>
          </cell>
          <cell r="I1520" t="str">
            <v>01AE111</v>
          </cell>
          <cell r="J1520" t="str">
            <v>GANERAL STORE</v>
          </cell>
          <cell r="K1520" t="str">
            <v>BMED</v>
          </cell>
          <cell r="L1520" t="str">
            <v>Normal</v>
          </cell>
          <cell r="M1520" t="str">
            <v>USA</v>
          </cell>
          <cell r="N1520" t="str">
            <v>Heartstart</v>
          </cell>
          <cell r="O1520" t="str">
            <v>Heartstart FR3</v>
          </cell>
          <cell r="P1520" t="str">
            <v>C15E-00544</v>
          </cell>
          <cell r="Q1520" t="str">
            <v>NA</v>
          </cell>
          <cell r="R1520" t="str">
            <v>Philips Medical Systems</v>
          </cell>
          <cell r="S1520" t="str">
            <v>PHILIPS (M) SDN BHD</v>
          </cell>
          <cell r="T1520" t="str">
            <v>Functioning</v>
          </cell>
          <cell r="U1520" t="str">
            <v>Asset</v>
          </cell>
          <cell r="V1520">
            <v>14900</v>
          </cell>
          <cell r="W1520" t="str">
            <v>KEW</v>
          </cell>
          <cell r="X1520" t="str">
            <v>13/07/2015</v>
          </cell>
          <cell r="Y1520" t="str">
            <v>KEW</v>
          </cell>
          <cell r="Z1520" t="str">
            <v>21/08/2015</v>
          </cell>
          <cell r="AA1520" t="str">
            <v>20/08/2019</v>
          </cell>
          <cell r="AB1520" t="str">
            <v>No</v>
          </cell>
          <cell r="AC1520" t="str">
            <v>21/08/2015</v>
          </cell>
          <cell r="AD1520" t="str">
            <v>Good</v>
          </cell>
          <cell r="AE1520" t="str">
            <v>V3 - Added Installed Facilities (New)</v>
          </cell>
          <cell r="AF1520">
            <v>42389</v>
          </cell>
          <cell r="AG1520">
            <v>4.33</v>
          </cell>
          <cell r="AH1520" t="str">
            <v>PPM</v>
          </cell>
          <cell r="AI1520" t="str">
            <v>Strands</v>
          </cell>
          <cell r="AJ1520" t="str">
            <v>Strands PW</v>
          </cell>
          <cell r="AK1520" t="str">
            <v>SNF received. 1st batch of V3 asset (December 2020)</v>
          </cell>
        </row>
        <row r="1521">
          <cell r="A1521" t="str">
            <v>IKN401253</v>
          </cell>
          <cell r="B1521">
            <v>1251</v>
          </cell>
          <cell r="C1521" t="str">
            <v>Institut Kanser Negara</v>
          </cell>
          <cell r="D1521" t="str">
            <v>KKM/IKN/H/14/58</v>
          </cell>
          <cell r="E1521" t="str">
            <v>15-663</v>
          </cell>
          <cell r="F1521" t="str">
            <v>Pipetters</v>
          </cell>
          <cell r="G1521" t="str">
            <v>LA</v>
          </cell>
          <cell r="H1521" t="str">
            <v>PATHOLOGY</v>
          </cell>
          <cell r="I1521" t="str">
            <v>04LA140</v>
          </cell>
          <cell r="J1521" t="str">
            <v>BLOOD BANK</v>
          </cell>
          <cell r="K1521" t="str">
            <v>BMED</v>
          </cell>
          <cell r="L1521" t="str">
            <v>Normal</v>
          </cell>
          <cell r="M1521" t="str">
            <v>Germany</v>
          </cell>
          <cell r="N1521" t="str">
            <v>Eppendorf</v>
          </cell>
          <cell r="O1521" t="str">
            <v>Eppendorf Research Plus</v>
          </cell>
          <cell r="P1521" t="str">
            <v>L26942D</v>
          </cell>
          <cell r="Q1521" t="str">
            <v>Not Applicable</v>
          </cell>
          <cell r="R1521" t="str">
            <v>Eppendorf AG</v>
          </cell>
          <cell r="S1521" t="str">
            <v>MEDIGENE SDN BHD</v>
          </cell>
          <cell r="T1521" t="str">
            <v>Functioning</v>
          </cell>
          <cell r="U1521" t="str">
            <v>Asset</v>
          </cell>
          <cell r="V1521">
            <v>750</v>
          </cell>
          <cell r="W1521" t="str">
            <v>KEW</v>
          </cell>
          <cell r="X1521" t="str">
            <v>10/10/2014</v>
          </cell>
          <cell r="Y1521" t="str">
            <v>KEW</v>
          </cell>
          <cell r="Z1521" t="str">
            <v>31/10/2014</v>
          </cell>
          <cell r="AA1521" t="str">
            <v>30/10/2017</v>
          </cell>
          <cell r="AB1521" t="str">
            <v>No</v>
          </cell>
          <cell r="AC1521" t="str">
            <v>31/10/2014</v>
          </cell>
          <cell r="AD1521" t="str">
            <v>Good</v>
          </cell>
          <cell r="AE1521" t="str">
            <v>V3 - Added Installed Facilities (New)</v>
          </cell>
          <cell r="AF1521">
            <v>42790</v>
          </cell>
          <cell r="AG1521">
            <v>5.08</v>
          </cell>
          <cell r="AH1521" t="str">
            <v>PPM</v>
          </cell>
          <cell r="AI1521" t="str">
            <v>Strands</v>
          </cell>
          <cell r="AJ1521" t="str">
            <v>Strands PW</v>
          </cell>
          <cell r="AK1521" t="str">
            <v>SNF received. 1st batch of V3 asset (December 2020)</v>
          </cell>
        </row>
        <row r="1522">
          <cell r="A1522" t="str">
            <v>IKN401254</v>
          </cell>
          <cell r="B1522">
            <v>1252</v>
          </cell>
          <cell r="C1522" t="str">
            <v>Institut Kanser Negara</v>
          </cell>
          <cell r="D1522" t="str">
            <v>KKM/IKN/R/15/96</v>
          </cell>
          <cell r="E1522" t="str">
            <v>15-663</v>
          </cell>
          <cell r="F1522" t="str">
            <v>Pipetters</v>
          </cell>
          <cell r="G1522" t="str">
            <v>LA</v>
          </cell>
          <cell r="H1522" t="str">
            <v>PATHOLOGY</v>
          </cell>
          <cell r="I1522" t="str">
            <v>04LA140</v>
          </cell>
          <cell r="J1522" t="str">
            <v>BLOOD BANK</v>
          </cell>
          <cell r="K1522" t="str">
            <v>BMED</v>
          </cell>
          <cell r="L1522" t="str">
            <v>Normal</v>
          </cell>
          <cell r="M1522" t="str">
            <v>Germany</v>
          </cell>
          <cell r="N1522" t="str">
            <v>Eppendorf</v>
          </cell>
          <cell r="O1522" t="str">
            <v>Eppendorf Research Pro</v>
          </cell>
          <cell r="P1522" t="str">
            <v>K29814E</v>
          </cell>
          <cell r="Q1522" t="str">
            <v>Not Applicable</v>
          </cell>
          <cell r="R1522" t="str">
            <v>Eppendorf AG</v>
          </cell>
          <cell r="S1522" t="str">
            <v>MEDIGENE SDN BHD</v>
          </cell>
          <cell r="T1522" t="str">
            <v>Functioning</v>
          </cell>
          <cell r="U1522" t="str">
            <v>Asset</v>
          </cell>
          <cell r="V1522">
            <v>825</v>
          </cell>
          <cell r="W1522" t="str">
            <v>KEW</v>
          </cell>
          <cell r="X1522" t="str">
            <v>06/10/2015</v>
          </cell>
          <cell r="Y1522" t="str">
            <v>KEW</v>
          </cell>
          <cell r="Z1522" t="str">
            <v>16/10/2015</v>
          </cell>
          <cell r="AA1522" t="str">
            <v>15/10/2018</v>
          </cell>
          <cell r="AB1522" t="str">
            <v>No</v>
          </cell>
          <cell r="AC1522" t="str">
            <v>16/10/2015</v>
          </cell>
          <cell r="AD1522" t="str">
            <v>Good</v>
          </cell>
          <cell r="AE1522" t="str">
            <v>V3 - Added Installed Facilities (New)</v>
          </cell>
          <cell r="AF1522">
            <v>42677</v>
          </cell>
          <cell r="AG1522">
            <v>4.08</v>
          </cell>
          <cell r="AH1522" t="str">
            <v>PPM</v>
          </cell>
          <cell r="AI1522" t="str">
            <v>Strands</v>
          </cell>
          <cell r="AJ1522" t="str">
            <v>Strands PW</v>
          </cell>
          <cell r="AK1522" t="str">
            <v>SNF received. 1st batch of V3 asset (December 2020)</v>
          </cell>
        </row>
        <row r="1523">
          <cell r="A1523" t="str">
            <v>IKN401255</v>
          </cell>
          <cell r="B1523">
            <v>1253</v>
          </cell>
          <cell r="C1523" t="str">
            <v>Institut Kanser Negara</v>
          </cell>
          <cell r="D1523" t="str">
            <v>KKM/IKN/R/15/97</v>
          </cell>
          <cell r="E1523" t="str">
            <v>15-663</v>
          </cell>
          <cell r="F1523" t="str">
            <v>Pipetters</v>
          </cell>
          <cell r="G1523" t="str">
            <v>LA</v>
          </cell>
          <cell r="H1523" t="str">
            <v>PATHOLOGY</v>
          </cell>
          <cell r="I1523" t="str">
            <v>04LA140</v>
          </cell>
          <cell r="J1523" t="str">
            <v>BLOOD BANK</v>
          </cell>
          <cell r="K1523" t="str">
            <v>BMED</v>
          </cell>
          <cell r="L1523" t="str">
            <v>Normal</v>
          </cell>
          <cell r="M1523" t="str">
            <v>Germany</v>
          </cell>
          <cell r="N1523" t="str">
            <v>Eppendorf</v>
          </cell>
          <cell r="O1523" t="str">
            <v>Eppendorf Research Pro</v>
          </cell>
          <cell r="P1523" t="str">
            <v>K29968E</v>
          </cell>
          <cell r="Q1523" t="str">
            <v>Not Applicable</v>
          </cell>
          <cell r="R1523" t="str">
            <v>Eppendorf AG</v>
          </cell>
          <cell r="S1523" t="str">
            <v>MEDIGENE SDN BHD</v>
          </cell>
          <cell r="T1523" t="str">
            <v>Functioning</v>
          </cell>
          <cell r="U1523" t="str">
            <v>Asset</v>
          </cell>
          <cell r="V1523">
            <v>825</v>
          </cell>
          <cell r="W1523" t="str">
            <v>KEW</v>
          </cell>
          <cell r="X1523" t="str">
            <v>06/10/2015</v>
          </cell>
          <cell r="Y1523" t="str">
            <v>KEW</v>
          </cell>
          <cell r="Z1523" t="str">
            <v>16/10/2015</v>
          </cell>
          <cell r="AA1523" t="str">
            <v>15/10/2018</v>
          </cell>
          <cell r="AB1523" t="str">
            <v>No</v>
          </cell>
          <cell r="AC1523" t="str">
            <v>16/10/2015</v>
          </cell>
          <cell r="AD1523" t="str">
            <v>Good</v>
          </cell>
          <cell r="AE1523" t="str">
            <v>V3 - Added Installed Facilities (New)</v>
          </cell>
          <cell r="AF1523">
            <v>42677</v>
          </cell>
          <cell r="AG1523">
            <v>4.08</v>
          </cell>
          <cell r="AH1523" t="str">
            <v>PPM</v>
          </cell>
          <cell r="AI1523" t="str">
            <v>Strands</v>
          </cell>
          <cell r="AJ1523" t="str">
            <v>Strands PW</v>
          </cell>
          <cell r="AK1523" t="str">
            <v>SNF received. 1st batch of V3 asset (December 2020)</v>
          </cell>
        </row>
        <row r="1524">
          <cell r="A1524" t="str">
            <v>IKN401256</v>
          </cell>
          <cell r="B1524">
            <v>1254</v>
          </cell>
          <cell r="C1524" t="str">
            <v>Institut Kanser Negara</v>
          </cell>
          <cell r="D1524" t="str">
            <v>KKM/IKN/H/15/90</v>
          </cell>
          <cell r="E1524" t="str">
            <v>16-173</v>
          </cell>
          <cell r="F1524" t="str">
            <v>Sphygmomanometers, Electronic, Automatic</v>
          </cell>
          <cell r="G1524" t="str">
            <v>NM</v>
          </cell>
          <cell r="H1524" t="str">
            <v>NUCLEAR MED (DIAGNOSTIC)</v>
          </cell>
          <cell r="I1524" t="str">
            <v>03NM108</v>
          </cell>
          <cell r="J1524" t="str">
            <v>TREATMENT 1 (RAI)(VE)</v>
          </cell>
          <cell r="K1524" t="str">
            <v>BMED</v>
          </cell>
          <cell r="L1524" t="str">
            <v>Critical</v>
          </cell>
          <cell r="M1524" t="str">
            <v>USA</v>
          </cell>
          <cell r="N1524" t="str">
            <v>Welch Allyn</v>
          </cell>
          <cell r="O1524" t="str">
            <v>Connex ProBP 3400</v>
          </cell>
          <cell r="P1524" t="str">
            <v>100052552315</v>
          </cell>
          <cell r="Q1524" t="str">
            <v>N/A</v>
          </cell>
          <cell r="R1524" t="str">
            <v>Welch Allyn Inc</v>
          </cell>
          <cell r="S1524" t="str">
            <v>BACO MEDICARE SDN BHD</v>
          </cell>
          <cell r="T1524" t="str">
            <v>Functioning</v>
          </cell>
          <cell r="U1524" t="str">
            <v>Asset</v>
          </cell>
          <cell r="V1524">
            <v>1876.15</v>
          </cell>
          <cell r="W1524" t="str">
            <v>KEW</v>
          </cell>
          <cell r="X1524" t="str">
            <v>15/06/2015</v>
          </cell>
          <cell r="Y1524" t="str">
            <v>KEW</v>
          </cell>
          <cell r="Z1524" t="str">
            <v>04/09/2015</v>
          </cell>
          <cell r="AA1524" t="str">
            <v>03/09/2016</v>
          </cell>
          <cell r="AB1524" t="str">
            <v>No</v>
          </cell>
          <cell r="AC1524" t="str">
            <v>04/09/2015</v>
          </cell>
          <cell r="AD1524" t="str">
            <v>Good</v>
          </cell>
          <cell r="AE1524" t="str">
            <v>V3 - Added Installed Facilities (New)</v>
          </cell>
          <cell r="AF1524">
            <v>42706</v>
          </cell>
          <cell r="AG1524">
            <v>4.42</v>
          </cell>
          <cell r="AH1524" t="str">
            <v>PPM</v>
          </cell>
          <cell r="AI1524" t="str">
            <v>Not in contract</v>
          </cell>
          <cell r="AJ1524" t="str">
            <v>Proposed for V3 P2.23</v>
          </cell>
          <cell r="AK1524" t="str">
            <v>KKM follow P2.23 list.</v>
          </cell>
        </row>
        <row r="1525">
          <cell r="A1525" t="str">
            <v>IKN401257</v>
          </cell>
          <cell r="B1525">
            <v>1255</v>
          </cell>
          <cell r="C1525" t="str">
            <v>Institut Kanser Negara</v>
          </cell>
          <cell r="D1525" t="str">
            <v>KKM/IKN/H/15/89</v>
          </cell>
          <cell r="E1525" t="str">
            <v>16-173</v>
          </cell>
          <cell r="F1525" t="str">
            <v>Sphygmomanometers, Electronic, Automatic</v>
          </cell>
          <cell r="G1525" t="str">
            <v>NM</v>
          </cell>
          <cell r="H1525" t="str">
            <v>NUCLEAR MED (DIAGNOSTIC)</v>
          </cell>
          <cell r="I1525" t="str">
            <v>03NM109</v>
          </cell>
          <cell r="J1525" t="str">
            <v>TREATMENT 2 (RAS) (-VE)</v>
          </cell>
          <cell r="K1525" t="str">
            <v>BMED</v>
          </cell>
          <cell r="L1525" t="str">
            <v>Critical</v>
          </cell>
          <cell r="M1525" t="str">
            <v>USA</v>
          </cell>
          <cell r="N1525" t="str">
            <v>Welch Allyn</v>
          </cell>
          <cell r="O1525" t="str">
            <v>Connex ProBP 3400</v>
          </cell>
          <cell r="P1525" t="str">
            <v>100048492215</v>
          </cell>
          <cell r="Q1525" t="str">
            <v>N/A</v>
          </cell>
          <cell r="R1525" t="str">
            <v>Welch Allyn Inc</v>
          </cell>
          <cell r="S1525" t="str">
            <v>BACO MEDICARE SDN BHD</v>
          </cell>
          <cell r="T1525" t="str">
            <v>Functioning</v>
          </cell>
          <cell r="U1525" t="str">
            <v>Asset</v>
          </cell>
          <cell r="V1525">
            <v>1876.15</v>
          </cell>
          <cell r="W1525" t="str">
            <v>KEW</v>
          </cell>
          <cell r="X1525" t="str">
            <v>15/06/2015</v>
          </cell>
          <cell r="Y1525" t="str">
            <v>KEW</v>
          </cell>
          <cell r="Z1525" t="str">
            <v>04/09/2015</v>
          </cell>
          <cell r="AA1525" t="str">
            <v>03/09/2016</v>
          </cell>
          <cell r="AB1525" t="str">
            <v>No</v>
          </cell>
          <cell r="AC1525" t="str">
            <v>04/09/2015</v>
          </cell>
          <cell r="AD1525" t="str">
            <v>Good</v>
          </cell>
          <cell r="AE1525" t="str">
            <v>V3 - Added Installed Facilities (New)</v>
          </cell>
          <cell r="AF1525">
            <v>42706</v>
          </cell>
          <cell r="AG1525">
            <v>4.42</v>
          </cell>
          <cell r="AH1525" t="str">
            <v>PPM</v>
          </cell>
          <cell r="AI1525" t="str">
            <v>Not in contract</v>
          </cell>
          <cell r="AJ1525" t="str">
            <v>Proposed for V3 P2.23</v>
          </cell>
          <cell r="AK1525" t="str">
            <v>KKM follow P2.23 list.</v>
          </cell>
        </row>
        <row r="1526">
          <cell r="A1526" t="str">
            <v>IKN401258</v>
          </cell>
          <cell r="B1526">
            <v>1256</v>
          </cell>
          <cell r="C1526" t="str">
            <v>Institut Kanser Negara</v>
          </cell>
          <cell r="D1526" t="str">
            <v>KKM/IKN/H/15/91</v>
          </cell>
          <cell r="E1526" t="str">
            <v>16-173</v>
          </cell>
          <cell r="F1526" t="str">
            <v>Sphygmomanometers, Electronic, Automatic</v>
          </cell>
          <cell r="G1526" t="str">
            <v>NM</v>
          </cell>
          <cell r="H1526" t="str">
            <v>NUCLEAR MED (DIAGNOSTIC)</v>
          </cell>
          <cell r="I1526" t="str">
            <v>03NM182</v>
          </cell>
          <cell r="J1526" t="str">
            <v>C/E 5 (VE)</v>
          </cell>
          <cell r="K1526" t="str">
            <v>BMED</v>
          </cell>
          <cell r="L1526" t="str">
            <v>Critical</v>
          </cell>
          <cell r="M1526" t="str">
            <v>USA</v>
          </cell>
          <cell r="N1526" t="str">
            <v>Welch Allyn</v>
          </cell>
          <cell r="O1526" t="str">
            <v>Connex ProBP 3400</v>
          </cell>
          <cell r="P1526" t="str">
            <v>100028231215</v>
          </cell>
          <cell r="Q1526" t="str">
            <v>N/A</v>
          </cell>
          <cell r="R1526" t="str">
            <v>Welch Allyn Inc</v>
          </cell>
          <cell r="S1526" t="str">
            <v>BACO MEDICARS SDN BHD</v>
          </cell>
          <cell r="T1526" t="str">
            <v>Functioning</v>
          </cell>
          <cell r="U1526" t="str">
            <v>Asset</v>
          </cell>
          <cell r="V1526">
            <v>1876.15</v>
          </cell>
          <cell r="W1526" t="str">
            <v>KEW</v>
          </cell>
          <cell r="X1526" t="str">
            <v>15/06/2015</v>
          </cell>
          <cell r="Y1526" t="str">
            <v>KEW</v>
          </cell>
          <cell r="Z1526" t="str">
            <v>04/09/2015</v>
          </cell>
          <cell r="AA1526" t="str">
            <v>03/09/2016</v>
          </cell>
          <cell r="AB1526" t="str">
            <v>No</v>
          </cell>
          <cell r="AC1526" t="str">
            <v>04/09/2015</v>
          </cell>
          <cell r="AD1526" t="str">
            <v>Good</v>
          </cell>
          <cell r="AE1526" t="str">
            <v>V3 - Added Installed Facilities (New)</v>
          </cell>
          <cell r="AF1526">
            <v>42327</v>
          </cell>
          <cell r="AG1526">
            <v>4.42</v>
          </cell>
          <cell r="AH1526" t="str">
            <v>PPM</v>
          </cell>
          <cell r="AI1526" t="str">
            <v>Not in contract</v>
          </cell>
          <cell r="AJ1526" t="str">
            <v>Proposed for V3 P2.23</v>
          </cell>
          <cell r="AK1526" t="str">
            <v>KKM follow P2.23 list.</v>
          </cell>
        </row>
        <row r="1527">
          <cell r="A1527" t="str">
            <v>IKN401259</v>
          </cell>
          <cell r="B1527">
            <v>1257</v>
          </cell>
          <cell r="C1527" t="str">
            <v>Institut Kanser Negara</v>
          </cell>
          <cell r="D1527" t="str">
            <v>KKM/IKN/H/15/18</v>
          </cell>
          <cell r="E1527" t="str">
            <v>15-045</v>
          </cell>
          <cell r="F1527" t="str">
            <v>Nebulizers, Nonheated</v>
          </cell>
          <cell r="G1527" t="str">
            <v>NM</v>
          </cell>
          <cell r="H1527" t="str">
            <v>NUCLEAR MED (DIAGNOSTIC)</v>
          </cell>
          <cell r="I1527" t="str">
            <v>03NM108</v>
          </cell>
          <cell r="J1527" t="str">
            <v>TREATMENT 1 (RAI)(VE)</v>
          </cell>
          <cell r="K1527" t="str">
            <v>BMED</v>
          </cell>
          <cell r="L1527" t="str">
            <v>Normal</v>
          </cell>
          <cell r="M1527" t="str">
            <v>Germany</v>
          </cell>
          <cell r="N1527" t="str">
            <v>Pari Boy</v>
          </cell>
          <cell r="O1527" t="str">
            <v>Pari Boy SX 085</v>
          </cell>
          <cell r="P1527" t="str">
            <v>2W15F02845</v>
          </cell>
          <cell r="Q1527" t="str">
            <v>.</v>
          </cell>
          <cell r="R1527" t="str">
            <v>Pari GmbH</v>
          </cell>
          <cell r="S1527" t="str">
            <v>WELCH ALLYN (M) SDN BHD</v>
          </cell>
          <cell r="T1527" t="str">
            <v>Functioning</v>
          </cell>
          <cell r="U1527" t="str">
            <v>Asset</v>
          </cell>
          <cell r="V1527">
            <v>2347.1999999999998</v>
          </cell>
          <cell r="W1527" t="str">
            <v>KEW</v>
          </cell>
          <cell r="X1527" t="str">
            <v>15/06/2015</v>
          </cell>
          <cell r="Y1527" t="str">
            <v>KEW</v>
          </cell>
          <cell r="Z1527" t="str">
            <v>04/09/2015</v>
          </cell>
          <cell r="AA1527" t="str">
            <v>03/09/2016</v>
          </cell>
          <cell r="AB1527" t="str">
            <v>No</v>
          </cell>
          <cell r="AC1527" t="str">
            <v>04/09/2015</v>
          </cell>
          <cell r="AD1527" t="str">
            <v>Good</v>
          </cell>
          <cell r="AE1527" t="str">
            <v>V3 - Added Installed Facilities (New)</v>
          </cell>
          <cell r="AF1527">
            <v>42397</v>
          </cell>
          <cell r="AG1527">
            <v>4.42</v>
          </cell>
          <cell r="AH1527" t="str">
            <v>PPM</v>
          </cell>
          <cell r="AI1527" t="str">
            <v>Strands</v>
          </cell>
          <cell r="AJ1527" t="str">
            <v>Strands PW</v>
          </cell>
          <cell r="AK1527" t="str">
            <v>SNF received. 1st batch of V3 asset (December 2020)</v>
          </cell>
        </row>
        <row r="1528">
          <cell r="A1528" t="str">
            <v>IKN401260</v>
          </cell>
          <cell r="B1528">
            <v>1258</v>
          </cell>
          <cell r="C1528" t="str">
            <v>Institut Kanser Negara</v>
          </cell>
          <cell r="D1528" t="str">
            <v>KKM/IKN/H/13/439</v>
          </cell>
          <cell r="E1528" t="str">
            <v>18-147</v>
          </cell>
          <cell r="F1528" t="str">
            <v>Mattress Systems, Alternating-Pressure</v>
          </cell>
          <cell r="G1528" t="str">
            <v>WB</v>
          </cell>
          <cell r="H1528" t="str">
            <v>SURGICAL ONCO MALE WARD</v>
          </cell>
          <cell r="I1528" t="str">
            <v>05WB113</v>
          </cell>
          <cell r="J1528" t="str">
            <v>EQUIP. ROOM</v>
          </cell>
          <cell r="K1528" t="str">
            <v>BMED</v>
          </cell>
          <cell r="L1528" t="str">
            <v>Normal</v>
          </cell>
          <cell r="M1528" t="str">
            <v>Poland</v>
          </cell>
          <cell r="N1528" t="str">
            <v>Nimbus</v>
          </cell>
          <cell r="O1528" t="str">
            <v>Nimbus 3</v>
          </cell>
          <cell r="P1528" t="str">
            <v>1200005122</v>
          </cell>
          <cell r="Q1528" t="str">
            <v>NA</v>
          </cell>
          <cell r="R1528" t="str">
            <v>Arjohuntleigh</v>
          </cell>
          <cell r="S1528" t="str">
            <v>HEXAMINE SDN BHD</v>
          </cell>
          <cell r="T1528" t="str">
            <v>Functioning</v>
          </cell>
          <cell r="U1528" t="str">
            <v>Asset</v>
          </cell>
          <cell r="V1528">
            <v>28630</v>
          </cell>
          <cell r="W1528" t="str">
            <v>KEW</v>
          </cell>
          <cell r="X1528" t="str">
            <v>01/09/2010</v>
          </cell>
          <cell r="Y1528" t="str">
            <v>KEW</v>
          </cell>
          <cell r="Z1528" t="str">
            <v>16/08/2013</v>
          </cell>
          <cell r="AA1528" t="str">
            <v>15/08/2015</v>
          </cell>
          <cell r="AB1528" t="str">
            <v>No</v>
          </cell>
          <cell r="AC1528" t="str">
            <v>31/08/2013</v>
          </cell>
          <cell r="AD1528" t="str">
            <v>Good</v>
          </cell>
          <cell r="AE1528" t="str">
            <v>V1 - Existing / No Claim</v>
          </cell>
          <cell r="AF1528">
            <v>42398</v>
          </cell>
          <cell r="AG1528">
            <v>9.17</v>
          </cell>
          <cell r="AH1528" t="str">
            <v>PPM</v>
          </cell>
          <cell r="AI1528" t="str">
            <v>Strands</v>
          </cell>
          <cell r="AJ1528" t="str">
            <v>Strands PW</v>
          </cell>
          <cell r="AK1528" t="str">
            <v>SNF received. 1st batch of V3 asset (December 2020)</v>
          </cell>
        </row>
        <row r="1529">
          <cell r="A1529" t="str">
            <v>IKN401261</v>
          </cell>
          <cell r="B1529">
            <v>1259</v>
          </cell>
          <cell r="C1529" t="str">
            <v>Institut Kanser Negara</v>
          </cell>
          <cell r="D1529" t="str">
            <v>KKM/IKN/H/13/436</v>
          </cell>
          <cell r="E1529" t="str">
            <v>18-147</v>
          </cell>
          <cell r="F1529" t="str">
            <v>Mattress Systems, Alternating-Pressure</v>
          </cell>
          <cell r="G1529" t="str">
            <v>WB</v>
          </cell>
          <cell r="H1529" t="str">
            <v>SURGICAL ONCO MALE WARD</v>
          </cell>
          <cell r="I1529" t="str">
            <v>05WB113</v>
          </cell>
          <cell r="J1529" t="str">
            <v>EQUIP. ROOM</v>
          </cell>
          <cell r="K1529" t="str">
            <v>BMED</v>
          </cell>
          <cell r="L1529" t="str">
            <v>Normal</v>
          </cell>
          <cell r="M1529" t="str">
            <v>Poland</v>
          </cell>
          <cell r="N1529" t="str">
            <v>Nimbus</v>
          </cell>
          <cell r="O1529" t="str">
            <v>Nimbus 3</v>
          </cell>
          <cell r="P1529" t="str">
            <v>1200005121</v>
          </cell>
          <cell r="Q1529" t="str">
            <v>Arjohuntleigh</v>
          </cell>
          <cell r="R1529" t="str">
            <v>HEXAMINE SDN BHD</v>
          </cell>
          <cell r="S1529" t="str">
            <v>Functioning</v>
          </cell>
          <cell r="T1529" t="str">
            <v>Functioning</v>
          </cell>
          <cell r="U1529" t="str">
            <v>KEW</v>
          </cell>
          <cell r="V1529">
            <v>28630</v>
          </cell>
          <cell r="W1529" t="str">
            <v>01/09/2010</v>
          </cell>
          <cell r="X1529" t="str">
            <v>KEW</v>
          </cell>
          <cell r="Y1529">
            <v>41502</v>
          </cell>
          <cell r="Z1529" t="str">
            <v>15/08/2015</v>
          </cell>
          <cell r="AA1529" t="str">
            <v>No</v>
          </cell>
          <cell r="AB1529" t="str">
            <v>31/08/2013</v>
          </cell>
          <cell r="AC1529" t="str">
            <v>Good</v>
          </cell>
          <cell r="AD1529" t="str">
            <v>V1 - Existing / No Claim</v>
          </cell>
          <cell r="AE1529">
            <v>42788</v>
          </cell>
          <cell r="AF1529" t="str">
            <v>NA</v>
          </cell>
          <cell r="AG1529">
            <v>9.17</v>
          </cell>
          <cell r="AH1529" t="str">
            <v>PPM</v>
          </cell>
          <cell r="AI1529" t="str">
            <v>Strands</v>
          </cell>
          <cell r="AJ1529" t="str">
            <v>Strands PW</v>
          </cell>
        </row>
        <row r="1530">
          <cell r="A1530" t="str">
            <v>IKN401265</v>
          </cell>
          <cell r="B1530">
            <v>1261</v>
          </cell>
          <cell r="C1530" t="str">
            <v>Institut Kanser Negara</v>
          </cell>
          <cell r="D1530" t="str">
            <v>KKM/IKN/H/15/19</v>
          </cell>
          <cell r="E1530" t="str">
            <v>16-231</v>
          </cell>
          <cell r="F1530" t="str">
            <v>Electrocardiographs, Multichannel, Interpretative</v>
          </cell>
          <cell r="G1530" t="str">
            <v>RT</v>
          </cell>
          <cell r="H1530" t="str">
            <v>RADIATION TREATMENT UNIT</v>
          </cell>
          <cell r="I1530" t="str">
            <v>01RT202</v>
          </cell>
          <cell r="J1530" t="str">
            <v>CLEAN UTILITY</v>
          </cell>
          <cell r="K1530" t="str">
            <v>BMED</v>
          </cell>
          <cell r="L1530" t="str">
            <v>Critical</v>
          </cell>
          <cell r="M1530" t="str">
            <v>Japan</v>
          </cell>
          <cell r="N1530" t="str">
            <v>Cardimax</v>
          </cell>
          <cell r="O1530" t="str">
            <v>Cardimax FX-7202</v>
          </cell>
          <cell r="P1530" t="str">
            <v>22028866</v>
          </cell>
          <cell r="Q1530" t="str">
            <v>N/A</v>
          </cell>
          <cell r="R1530" t="str">
            <v>Fukuda Denshi Co Ltd</v>
          </cell>
          <cell r="S1530" t="str">
            <v>SURIA MEDIK SDN BHD</v>
          </cell>
          <cell r="T1530" t="str">
            <v>Functioning</v>
          </cell>
          <cell r="U1530" t="str">
            <v>Asset</v>
          </cell>
          <cell r="V1530">
            <v>6000</v>
          </cell>
          <cell r="W1530" t="str">
            <v>KEW</v>
          </cell>
          <cell r="X1530" t="str">
            <v>04/06/2015</v>
          </cell>
          <cell r="Y1530" t="str">
            <v>KEW</v>
          </cell>
          <cell r="Z1530" t="str">
            <v>21/09/2015</v>
          </cell>
          <cell r="AA1530" t="str">
            <v>20/09/2016</v>
          </cell>
          <cell r="AB1530" t="str">
            <v>No</v>
          </cell>
          <cell r="AC1530" t="str">
            <v>21/09/2015</v>
          </cell>
          <cell r="AD1530" t="str">
            <v>Good</v>
          </cell>
          <cell r="AE1530" t="str">
            <v>V3 - Added Installed Facilities (New)</v>
          </cell>
          <cell r="AF1530">
            <v>42677</v>
          </cell>
          <cell r="AG1530">
            <v>4.42</v>
          </cell>
          <cell r="AH1530" t="str">
            <v>PPM</v>
          </cell>
          <cell r="AI1530" t="str">
            <v>Strands</v>
          </cell>
          <cell r="AJ1530" t="str">
            <v>Strands PW</v>
          </cell>
          <cell r="AK1530" t="str">
            <v>SNF received. 1st batch of V3 asset (December 2020)</v>
          </cell>
        </row>
        <row r="1531">
          <cell r="A1531" t="str">
            <v>IKN401266</v>
          </cell>
          <cell r="B1531">
            <v>1262</v>
          </cell>
          <cell r="C1531" t="str">
            <v>Institut Kanser Negara</v>
          </cell>
          <cell r="D1531" t="str">
            <v>KKM/IKN/R/15/98</v>
          </cell>
          <cell r="E1531" t="str">
            <v>15-663</v>
          </cell>
          <cell r="F1531" t="str">
            <v>Pipetters</v>
          </cell>
          <cell r="G1531" t="str">
            <v>LA</v>
          </cell>
          <cell r="H1531" t="str">
            <v>PATHOLOGY</v>
          </cell>
          <cell r="I1531" t="str">
            <v>04LA140</v>
          </cell>
          <cell r="J1531" t="str">
            <v>BLOOD BANK</v>
          </cell>
          <cell r="K1531" t="str">
            <v>BMED</v>
          </cell>
          <cell r="L1531" t="str">
            <v>Normal</v>
          </cell>
          <cell r="M1531" t="str">
            <v>Germany</v>
          </cell>
          <cell r="N1531" t="str">
            <v>Eppendorf</v>
          </cell>
          <cell r="O1531" t="str">
            <v>Eppendorf Research Pro</v>
          </cell>
          <cell r="P1531" t="str">
            <v>K29921E</v>
          </cell>
          <cell r="Q1531" t="str">
            <v>Not Applicable</v>
          </cell>
          <cell r="R1531" t="str">
            <v>Eppendorf AG</v>
          </cell>
          <cell r="S1531" t="str">
            <v>MEDIGENE SDN BHD</v>
          </cell>
          <cell r="T1531" t="str">
            <v>Functioning</v>
          </cell>
          <cell r="U1531" t="str">
            <v>Asset</v>
          </cell>
          <cell r="V1531">
            <v>825</v>
          </cell>
          <cell r="W1531" t="str">
            <v>KEW</v>
          </cell>
          <cell r="X1531" t="str">
            <v>06/10/2015</v>
          </cell>
          <cell r="Y1531" t="str">
            <v>KEW</v>
          </cell>
          <cell r="Z1531" t="str">
            <v>16/10/2015</v>
          </cell>
          <cell r="AA1531" t="str">
            <v>16/10/2018</v>
          </cell>
          <cell r="AB1531" t="str">
            <v>No</v>
          </cell>
          <cell r="AC1531" t="str">
            <v>16/10/2015</v>
          </cell>
          <cell r="AD1531" t="str">
            <v>Good</v>
          </cell>
          <cell r="AE1531" t="str">
            <v>V3 - Added Installed Facilities (New)</v>
          </cell>
          <cell r="AF1531">
            <v>42327</v>
          </cell>
          <cell r="AG1531">
            <v>4.08</v>
          </cell>
          <cell r="AH1531" t="str">
            <v>PPM</v>
          </cell>
          <cell r="AI1531" t="str">
            <v>Strands</v>
          </cell>
          <cell r="AJ1531" t="str">
            <v>Strands PW</v>
          </cell>
          <cell r="AK1531" t="str">
            <v>SNF received. 1st batch of V3 asset (December 2020)</v>
          </cell>
        </row>
        <row r="1532">
          <cell r="A1532" t="str">
            <v>IKN401273</v>
          </cell>
          <cell r="B1532">
            <v>1269</v>
          </cell>
          <cell r="C1532" t="str">
            <v>Institut Kanser Negara</v>
          </cell>
          <cell r="D1532" t="str">
            <v>KKM/IKN/H/13/4952 - 04</v>
          </cell>
          <cell r="E1532" t="str">
            <v>15-605</v>
          </cell>
          <cell r="F1532" t="str">
            <v>Testers</v>
          </cell>
          <cell r="G1532" t="str">
            <v>RT</v>
          </cell>
          <cell r="H1532" t="str">
            <v>RADIATION TREATMENT UNIT</v>
          </cell>
          <cell r="I1532" t="str">
            <v>01RT213</v>
          </cell>
          <cell r="J1532" t="str">
            <v>EQUIPMENT ROOM1</v>
          </cell>
          <cell r="K1532" t="str">
            <v>BMED</v>
          </cell>
          <cell r="L1532" t="str">
            <v>Normal</v>
          </cell>
          <cell r="M1532" t="str">
            <v>Germany</v>
          </cell>
          <cell r="N1532" t="str">
            <v>Various</v>
          </cell>
          <cell r="O1532" t="str">
            <v>IBA Dosimetry GMBH</v>
          </cell>
          <cell r="P1532" t="str">
            <v>11708</v>
          </cell>
          <cell r="Q1532" t="str">
            <v>Not Available</v>
          </cell>
          <cell r="R1532" t="str">
            <v>IBA</v>
          </cell>
          <cell r="S1532" t="str">
            <v>Delta Advantech (M) Sdn. Bhd</v>
          </cell>
          <cell r="T1532" t="str">
            <v>Functioning</v>
          </cell>
          <cell r="U1532" t="str">
            <v>Asset</v>
          </cell>
          <cell r="V1532">
            <v>40000</v>
          </cell>
          <cell r="W1532" t="str">
            <v>KEW</v>
          </cell>
          <cell r="X1532" t="str">
            <v>01/09/2010</v>
          </cell>
          <cell r="Y1532" t="str">
            <v>KEW</v>
          </cell>
          <cell r="Z1532" t="str">
            <v>16/08/2013</v>
          </cell>
          <cell r="AA1532" t="str">
            <v>15/08/2015</v>
          </cell>
          <cell r="AB1532" t="str">
            <v>No</v>
          </cell>
          <cell r="AC1532" t="str">
            <v>16/08/2013</v>
          </cell>
          <cell r="AD1532" t="str">
            <v>Good</v>
          </cell>
          <cell r="AE1532" t="str">
            <v>V3 - Added Installed Facilities (New)</v>
          </cell>
          <cell r="AF1532">
            <v>42668</v>
          </cell>
          <cell r="AG1532">
            <v>9.17</v>
          </cell>
          <cell r="AH1532" t="str">
            <v>PPM</v>
          </cell>
          <cell r="AI1532" t="str">
            <v>Strands</v>
          </cell>
          <cell r="AJ1532" t="str">
            <v>Strands PW</v>
          </cell>
          <cell r="AK1532" t="str">
            <v>SNF received. 1st batch of V3 asset (December 2020)</v>
          </cell>
        </row>
        <row r="1533">
          <cell r="A1533" t="str">
            <v>IKN401274</v>
          </cell>
          <cell r="B1533">
            <v>1270</v>
          </cell>
          <cell r="C1533" t="str">
            <v>Institut Kanser Negara</v>
          </cell>
          <cell r="D1533" t="str">
            <v>KKM/IKN/H/13/4952</v>
          </cell>
          <cell r="E1533" t="str">
            <v>15-605</v>
          </cell>
          <cell r="F1533" t="str">
            <v>Testers</v>
          </cell>
          <cell r="G1533" t="str">
            <v>RT</v>
          </cell>
          <cell r="H1533" t="str">
            <v>RADIATION TREATMENT UNIT</v>
          </cell>
          <cell r="I1533" t="str">
            <v>01RT213</v>
          </cell>
          <cell r="J1533" t="str">
            <v>EQUIPMENT ROOM1</v>
          </cell>
          <cell r="K1533" t="str">
            <v>BMED</v>
          </cell>
          <cell r="L1533" t="str">
            <v>Normal</v>
          </cell>
          <cell r="M1533" t="str">
            <v>Germany</v>
          </cell>
          <cell r="N1533" t="str">
            <v>IBA</v>
          </cell>
          <cell r="O1533" t="str">
            <v>MagicMAX</v>
          </cell>
          <cell r="P1533" t="str">
            <v>11755</v>
          </cell>
          <cell r="Q1533" t="str">
            <v>Not Available</v>
          </cell>
          <cell r="R1533" t="str">
            <v>IBA</v>
          </cell>
          <cell r="S1533" t="str">
            <v>Delta Advantech (M) Sdn. Bhd</v>
          </cell>
          <cell r="T1533" t="str">
            <v>Functioning</v>
          </cell>
          <cell r="U1533" t="str">
            <v>Asset</v>
          </cell>
          <cell r="V1533">
            <v>40000</v>
          </cell>
          <cell r="W1533" t="str">
            <v>KEW</v>
          </cell>
          <cell r="X1533" t="str">
            <v>01/09/2010</v>
          </cell>
          <cell r="Y1533" t="str">
            <v>KEW</v>
          </cell>
          <cell r="Z1533" t="str">
            <v>16/08/2013</v>
          </cell>
          <cell r="AA1533" t="str">
            <v>15/08/2015</v>
          </cell>
          <cell r="AB1533" t="str">
            <v>No</v>
          </cell>
          <cell r="AC1533" t="str">
            <v>16/08/2013</v>
          </cell>
          <cell r="AD1533" t="str">
            <v>Good</v>
          </cell>
          <cell r="AE1533" t="str">
            <v>V3 - Added Installed Facilities (New)</v>
          </cell>
          <cell r="AF1533">
            <v>42668</v>
          </cell>
          <cell r="AG1533">
            <v>9.17</v>
          </cell>
          <cell r="AH1533" t="str">
            <v>PPM</v>
          </cell>
          <cell r="AI1533" t="str">
            <v>Strands</v>
          </cell>
          <cell r="AJ1533" t="str">
            <v>Strands PW</v>
          </cell>
          <cell r="AK1533" t="str">
            <v>SNF received. 1st batch of V3 asset (December 2020)</v>
          </cell>
        </row>
        <row r="1534">
          <cell r="A1534" t="str">
            <v>IKN401275</v>
          </cell>
          <cell r="B1534">
            <v>1271</v>
          </cell>
          <cell r="C1534" t="str">
            <v>Institut Kanser Negara</v>
          </cell>
          <cell r="D1534" t="str">
            <v>KKM/IKN/H/13/4952 - 9</v>
          </cell>
          <cell r="E1534" t="str">
            <v>15-605</v>
          </cell>
          <cell r="F1534" t="str">
            <v>Testers</v>
          </cell>
          <cell r="G1534" t="str">
            <v>RT</v>
          </cell>
          <cell r="H1534" t="str">
            <v>RADIATION TREATMENT UNIT</v>
          </cell>
          <cell r="I1534" t="str">
            <v>01RT213</v>
          </cell>
          <cell r="J1534" t="str">
            <v>EQUIPMENT ROOM1</v>
          </cell>
          <cell r="K1534" t="str">
            <v>BMED</v>
          </cell>
          <cell r="L1534" t="str">
            <v>Normal</v>
          </cell>
          <cell r="M1534" t="str">
            <v>Germany</v>
          </cell>
          <cell r="N1534" t="str">
            <v>Various</v>
          </cell>
          <cell r="O1534" t="str">
            <v>IBA Dosimetry GMBH</v>
          </cell>
          <cell r="P1534" t="str">
            <v>11758</v>
          </cell>
          <cell r="Q1534" t="str">
            <v>Not Available</v>
          </cell>
          <cell r="R1534" t="str">
            <v>IBA</v>
          </cell>
          <cell r="S1534" t="str">
            <v>Delta Advantech (M) Sdn. Bhd</v>
          </cell>
          <cell r="T1534" t="str">
            <v>Functioning</v>
          </cell>
          <cell r="U1534" t="str">
            <v>Asset</v>
          </cell>
          <cell r="V1534">
            <v>40000</v>
          </cell>
          <cell r="W1534" t="str">
            <v>KEW</v>
          </cell>
          <cell r="X1534" t="str">
            <v>01/09/2010</v>
          </cell>
          <cell r="Y1534" t="str">
            <v>KEW</v>
          </cell>
          <cell r="Z1534" t="str">
            <v>16/08/2013</v>
          </cell>
          <cell r="AA1534" t="str">
            <v>15/08/2015</v>
          </cell>
          <cell r="AB1534" t="str">
            <v>No</v>
          </cell>
          <cell r="AC1534" t="str">
            <v>16/08/2013</v>
          </cell>
          <cell r="AD1534" t="str">
            <v>Good</v>
          </cell>
          <cell r="AE1534" t="str">
            <v>V3 - Added Installed Facilities (New)</v>
          </cell>
          <cell r="AF1534">
            <v>42668</v>
          </cell>
          <cell r="AG1534">
            <v>9.17</v>
          </cell>
          <cell r="AH1534" t="str">
            <v>PPM</v>
          </cell>
          <cell r="AI1534" t="str">
            <v>Strands</v>
          </cell>
          <cell r="AJ1534" t="str">
            <v>Strands PW</v>
          </cell>
          <cell r="AK1534" t="str">
            <v>SNF received. 1st batch of V3 asset (December 2020)</v>
          </cell>
        </row>
        <row r="1535">
          <cell r="A1535" t="str">
            <v>IKN401276</v>
          </cell>
          <cell r="B1535">
            <v>1272</v>
          </cell>
          <cell r="C1535" t="str">
            <v>Institut Kanser Negara</v>
          </cell>
          <cell r="D1535" t="str">
            <v>KKM/IKN/H/13/4952 - 07</v>
          </cell>
          <cell r="E1535" t="str">
            <v>15-605</v>
          </cell>
          <cell r="F1535" t="str">
            <v>Testers</v>
          </cell>
          <cell r="G1535" t="str">
            <v>RT</v>
          </cell>
          <cell r="H1535" t="str">
            <v>RADIATION TREATMENT UNIT</v>
          </cell>
          <cell r="I1535" t="str">
            <v>01RT213</v>
          </cell>
          <cell r="J1535" t="str">
            <v>EQUIPMENT ROOM1</v>
          </cell>
          <cell r="K1535" t="str">
            <v>BMED</v>
          </cell>
          <cell r="L1535" t="str">
            <v>Normal</v>
          </cell>
          <cell r="M1535" t="str">
            <v>Germany</v>
          </cell>
          <cell r="N1535" t="str">
            <v>Various</v>
          </cell>
          <cell r="O1535" t="str">
            <v>IBA Dosimetry GMBH</v>
          </cell>
          <cell r="P1535" t="str">
            <v>2626</v>
          </cell>
          <cell r="Q1535" t="str">
            <v>Not Available</v>
          </cell>
          <cell r="R1535" t="str">
            <v>IBA</v>
          </cell>
          <cell r="S1535" t="str">
            <v>Delta Advantech (M) Sdn. Bhd</v>
          </cell>
          <cell r="T1535" t="str">
            <v>Functioning</v>
          </cell>
          <cell r="U1535" t="str">
            <v>Asset</v>
          </cell>
          <cell r="V1535">
            <v>40000</v>
          </cell>
          <cell r="W1535" t="str">
            <v>KEW</v>
          </cell>
          <cell r="X1535" t="str">
            <v>01/09/2010</v>
          </cell>
          <cell r="Y1535" t="str">
            <v>KEW</v>
          </cell>
          <cell r="Z1535" t="str">
            <v>16/08/2013</v>
          </cell>
          <cell r="AA1535" t="str">
            <v>15/08/2015</v>
          </cell>
          <cell r="AB1535" t="str">
            <v>No</v>
          </cell>
          <cell r="AC1535" t="str">
            <v>16/08/2013</v>
          </cell>
          <cell r="AD1535" t="str">
            <v>Good</v>
          </cell>
          <cell r="AE1535" t="str">
            <v>V3 - Added Installed Facilities (New)</v>
          </cell>
          <cell r="AF1535">
            <v>42668</v>
          </cell>
          <cell r="AG1535">
            <v>9.17</v>
          </cell>
          <cell r="AH1535" t="str">
            <v>PPM</v>
          </cell>
          <cell r="AI1535" t="str">
            <v>Strands</v>
          </cell>
          <cell r="AJ1535" t="str">
            <v>Strands PW</v>
          </cell>
          <cell r="AK1535" t="str">
            <v>SNF received. 1st batch of V3 asset (December 2020)</v>
          </cell>
        </row>
        <row r="1536">
          <cell r="A1536" t="str">
            <v>IKN401277</v>
          </cell>
          <cell r="B1536">
            <v>1273</v>
          </cell>
          <cell r="C1536" t="str">
            <v>Institut Kanser Negara</v>
          </cell>
          <cell r="D1536" t="str">
            <v>KKM/IKN/H/13/4952 - 11</v>
          </cell>
          <cell r="E1536" t="str">
            <v>15-605</v>
          </cell>
          <cell r="F1536" t="str">
            <v>Testers</v>
          </cell>
          <cell r="G1536" t="str">
            <v>RT</v>
          </cell>
          <cell r="H1536" t="str">
            <v>RADIATION TREATMENT UNIT</v>
          </cell>
          <cell r="I1536" t="str">
            <v>01RT213</v>
          </cell>
          <cell r="J1536" t="str">
            <v>EQUIPMENT ROOM1</v>
          </cell>
          <cell r="K1536" t="str">
            <v>BMED</v>
          </cell>
          <cell r="L1536" t="str">
            <v>Normal</v>
          </cell>
          <cell r="M1536" t="str">
            <v>Germany</v>
          </cell>
          <cell r="N1536" t="str">
            <v>Various</v>
          </cell>
          <cell r="O1536" t="str">
            <v>IBA Dosimetry GMBH</v>
          </cell>
          <cell r="P1536" t="str">
            <v>11713</v>
          </cell>
          <cell r="Q1536" t="str">
            <v>Not Available</v>
          </cell>
          <cell r="R1536" t="str">
            <v>IBA</v>
          </cell>
          <cell r="S1536" t="str">
            <v>Delta Advantech (M) Sdn. Bhd</v>
          </cell>
          <cell r="T1536" t="str">
            <v>Functioning</v>
          </cell>
          <cell r="U1536" t="str">
            <v>Asset</v>
          </cell>
          <cell r="V1536">
            <v>40000</v>
          </cell>
          <cell r="W1536" t="str">
            <v>KEW</v>
          </cell>
          <cell r="X1536" t="str">
            <v>01/09/2010</v>
          </cell>
          <cell r="Y1536" t="str">
            <v>KEW</v>
          </cell>
          <cell r="Z1536" t="str">
            <v>16/08/2013</v>
          </cell>
          <cell r="AA1536" t="str">
            <v>15/08/2015</v>
          </cell>
          <cell r="AB1536" t="str">
            <v>No</v>
          </cell>
          <cell r="AC1536" t="str">
            <v>16/08/2013</v>
          </cell>
          <cell r="AD1536" t="str">
            <v>Good</v>
          </cell>
          <cell r="AE1536" t="str">
            <v>V3 - Added Installed Facilities (New)</v>
          </cell>
          <cell r="AF1536">
            <v>42668</v>
          </cell>
          <cell r="AG1536">
            <v>9.17</v>
          </cell>
          <cell r="AH1536" t="str">
            <v>PPM</v>
          </cell>
          <cell r="AI1536" t="str">
            <v>Strands</v>
          </cell>
          <cell r="AJ1536" t="str">
            <v>Strands PW</v>
          </cell>
          <cell r="AK1536" t="str">
            <v>SNF received. 1st batch of V3 asset (December 2020)</v>
          </cell>
        </row>
        <row r="1537">
          <cell r="A1537" t="str">
            <v>IKN401278</v>
          </cell>
          <cell r="B1537">
            <v>1274</v>
          </cell>
          <cell r="C1537" t="str">
            <v>Institut Kanser Negara</v>
          </cell>
          <cell r="D1537" t="str">
            <v>KKM/IKN/H/13/4952 - 05</v>
          </cell>
          <cell r="E1537" t="str">
            <v>15-605</v>
          </cell>
          <cell r="F1537" t="str">
            <v>Testers</v>
          </cell>
          <cell r="G1537" t="str">
            <v>RT</v>
          </cell>
          <cell r="H1537" t="str">
            <v>RADIATION TREATMENT UNIT</v>
          </cell>
          <cell r="I1537" t="str">
            <v>01RT213</v>
          </cell>
          <cell r="J1537" t="str">
            <v>EQUIPMENT ROOM1</v>
          </cell>
          <cell r="K1537" t="str">
            <v>BMED</v>
          </cell>
          <cell r="L1537" t="str">
            <v>Normal</v>
          </cell>
          <cell r="M1537" t="str">
            <v>Germany</v>
          </cell>
          <cell r="N1537" t="str">
            <v>Various</v>
          </cell>
          <cell r="O1537" t="str">
            <v>IBA Dosimetry GMBH</v>
          </cell>
          <cell r="P1537" t="str">
            <v>11712</v>
          </cell>
          <cell r="Q1537" t="str">
            <v>Not Available</v>
          </cell>
          <cell r="R1537" t="str">
            <v>IBA</v>
          </cell>
          <cell r="S1537" t="str">
            <v>Delta Advantech (M) Sdn. Bhd</v>
          </cell>
          <cell r="T1537" t="str">
            <v>Functioning</v>
          </cell>
          <cell r="U1537" t="str">
            <v>Asset</v>
          </cell>
          <cell r="V1537">
            <v>40000</v>
          </cell>
          <cell r="W1537" t="str">
            <v>KEW</v>
          </cell>
          <cell r="X1537" t="str">
            <v>01/09/2010</v>
          </cell>
          <cell r="Y1537" t="str">
            <v>KEW</v>
          </cell>
          <cell r="Z1537" t="str">
            <v>16/08/2013</v>
          </cell>
          <cell r="AA1537" t="str">
            <v>15/08/2015</v>
          </cell>
          <cell r="AB1537" t="str">
            <v>No</v>
          </cell>
          <cell r="AC1537" t="str">
            <v>16/08/2013</v>
          </cell>
          <cell r="AD1537" t="str">
            <v>Good</v>
          </cell>
          <cell r="AE1537" t="str">
            <v>V3 - Added Installed Facilities (New)</v>
          </cell>
          <cell r="AF1537">
            <v>42668</v>
          </cell>
          <cell r="AG1537">
            <v>9.17</v>
          </cell>
          <cell r="AH1537" t="str">
            <v>PPM</v>
          </cell>
          <cell r="AI1537" t="str">
            <v>Strands</v>
          </cell>
          <cell r="AJ1537" t="str">
            <v>Strands PW</v>
          </cell>
          <cell r="AK1537" t="str">
            <v>SNF received. 1st batch of V3 asset (December 2020)</v>
          </cell>
        </row>
        <row r="1538">
          <cell r="A1538" t="str">
            <v>IKN401279</v>
          </cell>
          <cell r="B1538">
            <v>1275</v>
          </cell>
          <cell r="C1538" t="str">
            <v>Institut Kanser Negara</v>
          </cell>
          <cell r="D1538" t="str">
            <v>KKM/IKN/H/13/4952</v>
          </cell>
          <cell r="E1538" t="str">
            <v>15-605</v>
          </cell>
          <cell r="F1538" t="str">
            <v>Testers</v>
          </cell>
          <cell r="G1538" t="str">
            <v>RT</v>
          </cell>
          <cell r="H1538" t="str">
            <v>RADIATION TREATMENT UNIT</v>
          </cell>
          <cell r="I1538" t="str">
            <v>01RT213</v>
          </cell>
          <cell r="J1538" t="str">
            <v>EQUIPMENT ROOM1</v>
          </cell>
          <cell r="K1538" t="str">
            <v>BMED</v>
          </cell>
          <cell r="L1538" t="str">
            <v>Normal</v>
          </cell>
          <cell r="M1538" t="str">
            <v>Germany</v>
          </cell>
          <cell r="N1538" t="str">
            <v>Various</v>
          </cell>
          <cell r="O1538" t="str">
            <v>IBA Dosimetry GMBH</v>
          </cell>
          <cell r="P1538" t="str">
            <v>1226</v>
          </cell>
          <cell r="Q1538" t="str">
            <v>Not Available</v>
          </cell>
          <cell r="R1538" t="str">
            <v>IBA</v>
          </cell>
          <cell r="S1538" t="str">
            <v>Delta Advantech (M) Sdn. Bhd</v>
          </cell>
          <cell r="T1538" t="str">
            <v>Functioning</v>
          </cell>
          <cell r="U1538" t="str">
            <v>Asset</v>
          </cell>
          <cell r="V1538">
            <v>40000</v>
          </cell>
          <cell r="W1538" t="str">
            <v>KEW</v>
          </cell>
          <cell r="X1538" t="str">
            <v>01/09/2010</v>
          </cell>
          <cell r="Y1538" t="str">
            <v>KEW</v>
          </cell>
          <cell r="Z1538" t="str">
            <v>16/08/2013</v>
          </cell>
          <cell r="AA1538" t="str">
            <v>15/08/2015</v>
          </cell>
          <cell r="AB1538" t="str">
            <v>No</v>
          </cell>
          <cell r="AC1538" t="str">
            <v>16/08/2013</v>
          </cell>
          <cell r="AD1538" t="str">
            <v>Good</v>
          </cell>
          <cell r="AE1538" t="str">
            <v>V3 - Added Installed Facilities (New)</v>
          </cell>
          <cell r="AF1538">
            <v>42668</v>
          </cell>
          <cell r="AG1538">
            <v>9.17</v>
          </cell>
          <cell r="AH1538" t="str">
            <v>PPM</v>
          </cell>
          <cell r="AI1538" t="str">
            <v>Strands</v>
          </cell>
          <cell r="AJ1538" t="str">
            <v>Strands PW</v>
          </cell>
          <cell r="AK1538" t="str">
            <v>SNF received. 1st batch of V3 asset (December 2020)</v>
          </cell>
        </row>
        <row r="1539">
          <cell r="A1539" t="str">
            <v>IKN401280</v>
          </cell>
          <cell r="B1539">
            <v>1276</v>
          </cell>
          <cell r="C1539" t="str">
            <v>Institut Kanser Negara</v>
          </cell>
          <cell r="D1539" t="str">
            <v>KKM/IKN/H/13/4952</v>
          </cell>
          <cell r="E1539" t="str">
            <v>15-605</v>
          </cell>
          <cell r="F1539" t="str">
            <v>Testers</v>
          </cell>
          <cell r="G1539" t="str">
            <v>RT</v>
          </cell>
          <cell r="H1539" t="str">
            <v>RADIATION TREATMENT UNIT</v>
          </cell>
          <cell r="I1539" t="str">
            <v>01RT213</v>
          </cell>
          <cell r="J1539" t="str">
            <v>EQUIPMENT ROOM1</v>
          </cell>
          <cell r="K1539" t="str">
            <v>BMED</v>
          </cell>
          <cell r="L1539" t="str">
            <v>Normal</v>
          </cell>
          <cell r="M1539" t="str">
            <v>Germany</v>
          </cell>
          <cell r="N1539" t="str">
            <v>Various</v>
          </cell>
          <cell r="O1539" t="str">
            <v>IBA Dosimetry GMBH</v>
          </cell>
          <cell r="P1539" t="str">
            <v>2627</v>
          </cell>
          <cell r="Q1539" t="str">
            <v>Not Available</v>
          </cell>
          <cell r="R1539" t="str">
            <v>IBA</v>
          </cell>
          <cell r="S1539" t="str">
            <v>Delta Advantech (M) Sdn. Bhd</v>
          </cell>
          <cell r="T1539" t="str">
            <v>Functioning</v>
          </cell>
          <cell r="U1539" t="str">
            <v>Asset</v>
          </cell>
          <cell r="V1539">
            <v>40000</v>
          </cell>
          <cell r="W1539" t="str">
            <v>KEW</v>
          </cell>
          <cell r="X1539" t="str">
            <v>01/09/2010</v>
          </cell>
          <cell r="Y1539" t="str">
            <v>KEW</v>
          </cell>
          <cell r="Z1539" t="str">
            <v>16/08/2013</v>
          </cell>
          <cell r="AA1539" t="str">
            <v>15/08/2015</v>
          </cell>
          <cell r="AB1539" t="str">
            <v>No</v>
          </cell>
          <cell r="AC1539" t="str">
            <v>16/08/2013</v>
          </cell>
          <cell r="AD1539" t="str">
            <v>Good</v>
          </cell>
          <cell r="AE1539" t="str">
            <v>V3 - Added Installed Facilities (New)</v>
          </cell>
          <cell r="AF1539">
            <v>42668</v>
          </cell>
          <cell r="AG1539">
            <v>9.17</v>
          </cell>
          <cell r="AH1539" t="str">
            <v>PPM</v>
          </cell>
          <cell r="AI1539" t="str">
            <v>Strands</v>
          </cell>
          <cell r="AJ1539" t="str">
            <v>Strands PW</v>
          </cell>
          <cell r="AK1539" t="str">
            <v>SNF received. 1st batch of V3 asset (December 2020)</v>
          </cell>
        </row>
        <row r="1540">
          <cell r="A1540" t="str">
            <v>IKN401281</v>
          </cell>
          <cell r="B1540">
            <v>1277</v>
          </cell>
          <cell r="C1540" t="str">
            <v>Institut Kanser Negara</v>
          </cell>
          <cell r="D1540" t="str">
            <v>KKM/IKN/H/13/4952 - 02</v>
          </cell>
          <cell r="E1540" t="str">
            <v>15-605</v>
          </cell>
          <cell r="F1540" t="str">
            <v>Testers</v>
          </cell>
          <cell r="G1540" t="str">
            <v>RT</v>
          </cell>
          <cell r="H1540" t="str">
            <v>RADIATION TREATMENT UNIT</v>
          </cell>
          <cell r="I1540" t="str">
            <v>01RT213</v>
          </cell>
          <cell r="J1540" t="str">
            <v>EQUIPMENT ROOM1</v>
          </cell>
          <cell r="K1540" t="str">
            <v>BMED</v>
          </cell>
          <cell r="L1540" t="str">
            <v>Normal</v>
          </cell>
          <cell r="M1540" t="str">
            <v>Germany</v>
          </cell>
          <cell r="N1540" t="str">
            <v>Various</v>
          </cell>
          <cell r="O1540" t="str">
            <v>IBA Dosimetry GMBH</v>
          </cell>
          <cell r="P1540" t="str">
            <v>2625</v>
          </cell>
          <cell r="Q1540" t="str">
            <v>Not Available</v>
          </cell>
          <cell r="R1540" t="str">
            <v>IBA</v>
          </cell>
          <cell r="S1540" t="str">
            <v>Delta Advantech (M) Sdn. Bhd</v>
          </cell>
          <cell r="T1540" t="str">
            <v>Functioning</v>
          </cell>
          <cell r="U1540" t="str">
            <v>Asset</v>
          </cell>
          <cell r="V1540">
            <v>40000</v>
          </cell>
          <cell r="W1540" t="str">
            <v>KEW</v>
          </cell>
          <cell r="X1540" t="str">
            <v>01/09/2010</v>
          </cell>
          <cell r="Y1540" t="str">
            <v>KEW</v>
          </cell>
          <cell r="Z1540" t="str">
            <v>16/08/2013</v>
          </cell>
          <cell r="AA1540" t="str">
            <v>15/08/2015</v>
          </cell>
          <cell r="AB1540" t="str">
            <v>No</v>
          </cell>
          <cell r="AC1540" t="str">
            <v>16/08/2013</v>
          </cell>
          <cell r="AD1540" t="str">
            <v>Good</v>
          </cell>
          <cell r="AE1540" t="str">
            <v>V3 - Added Installed Facilities (New)</v>
          </cell>
          <cell r="AF1540">
            <v>42668</v>
          </cell>
          <cell r="AG1540">
            <v>9.17</v>
          </cell>
          <cell r="AH1540" t="str">
            <v>PPM</v>
          </cell>
          <cell r="AI1540" t="str">
            <v>Strands</v>
          </cell>
          <cell r="AJ1540" t="str">
            <v>Strands PW</v>
          </cell>
          <cell r="AK1540" t="str">
            <v>SNF received. 1st batch of V3 asset (December 2020)</v>
          </cell>
        </row>
        <row r="1541">
          <cell r="A1541" t="str">
            <v>IKN401282</v>
          </cell>
          <cell r="B1541">
            <v>1278</v>
          </cell>
          <cell r="C1541" t="str">
            <v>Institut Kanser Negara</v>
          </cell>
          <cell r="D1541" t="str">
            <v>KKM/IKN/H/13/4952</v>
          </cell>
          <cell r="E1541" t="str">
            <v>15-605</v>
          </cell>
          <cell r="F1541" t="str">
            <v>Testers</v>
          </cell>
          <cell r="G1541" t="str">
            <v>RT</v>
          </cell>
          <cell r="H1541" t="str">
            <v>RADIATION TREATMENT UNIT</v>
          </cell>
          <cell r="I1541" t="str">
            <v>01RT213</v>
          </cell>
          <cell r="J1541" t="str">
            <v>EQUIPMENT ROOM1</v>
          </cell>
          <cell r="K1541" t="str">
            <v>BMED</v>
          </cell>
          <cell r="L1541" t="str">
            <v>Normal</v>
          </cell>
          <cell r="M1541" t="str">
            <v>Germany</v>
          </cell>
          <cell r="N1541" t="str">
            <v>Various</v>
          </cell>
          <cell r="O1541" t="str">
            <v>IBA Dosimetry GMBH</v>
          </cell>
          <cell r="P1541" t="str">
            <v>11709</v>
          </cell>
          <cell r="Q1541" t="str">
            <v>Not Available</v>
          </cell>
          <cell r="R1541" t="str">
            <v>IBA</v>
          </cell>
          <cell r="S1541" t="str">
            <v>Delta Advantech (M) Sdn. Bhd</v>
          </cell>
          <cell r="T1541" t="str">
            <v>Functioning</v>
          </cell>
          <cell r="U1541" t="str">
            <v>Asset</v>
          </cell>
          <cell r="V1541">
            <v>40000</v>
          </cell>
          <cell r="W1541" t="str">
            <v>KEW</v>
          </cell>
          <cell r="X1541" t="str">
            <v>01/09/2010</v>
          </cell>
          <cell r="Y1541" t="str">
            <v>KEW</v>
          </cell>
          <cell r="Z1541" t="str">
            <v>16/08/2013</v>
          </cell>
          <cell r="AA1541" t="str">
            <v>15/08/2015</v>
          </cell>
          <cell r="AB1541" t="str">
            <v>No</v>
          </cell>
          <cell r="AC1541" t="str">
            <v>16/08/2013</v>
          </cell>
          <cell r="AD1541" t="str">
            <v>Good</v>
          </cell>
          <cell r="AE1541" t="str">
            <v>V3 - Added Installed Facilities (New)</v>
          </cell>
          <cell r="AF1541">
            <v>42668</v>
          </cell>
          <cell r="AG1541">
            <v>9.17</v>
          </cell>
          <cell r="AH1541" t="str">
            <v>PPM</v>
          </cell>
          <cell r="AI1541" t="str">
            <v>Strands</v>
          </cell>
          <cell r="AJ1541" t="str">
            <v>Strands PW</v>
          </cell>
          <cell r="AK1541" t="str">
            <v>SNF received. 1st batch of V3 asset (December 2020)</v>
          </cell>
        </row>
        <row r="1542">
          <cell r="A1542" t="str">
            <v>IKN401287</v>
          </cell>
          <cell r="B1542">
            <v>1283</v>
          </cell>
          <cell r="C1542" t="str">
            <v>Institut Kanser Negara</v>
          </cell>
          <cell r="D1542" t="str">
            <v>KKM/IKN/H/15/25</v>
          </cell>
          <cell r="E1542" t="str">
            <v>15-944</v>
          </cell>
          <cell r="F1542" t="str">
            <v>Cameras, Gamma</v>
          </cell>
          <cell r="G1542" t="str">
            <v>NM</v>
          </cell>
          <cell r="H1542" t="str">
            <v>NUCLEAR MED (DIAGNOSTIC)</v>
          </cell>
          <cell r="I1542" t="str">
            <v>03NM153</v>
          </cell>
          <cell r="J1542" t="str">
            <v>PHYSICS LAB</v>
          </cell>
          <cell r="K1542" t="str">
            <v>BMED</v>
          </cell>
          <cell r="L1542" t="str">
            <v>Normal</v>
          </cell>
          <cell r="M1542" t="str">
            <v>USA</v>
          </cell>
          <cell r="N1542" t="str">
            <v>C-TRAK</v>
          </cell>
          <cell r="O1542" t="str">
            <v>CW-3000</v>
          </cell>
          <cell r="P1542" t="str">
            <v>CW3-11200</v>
          </cell>
          <cell r="Q1542" t="str">
            <v>NA</v>
          </cell>
          <cell r="R1542" t="str">
            <v>CARE WISE MEDICAL</v>
          </cell>
          <cell r="S1542" t="str">
            <v>ALAM MEDIK SDN BHD</v>
          </cell>
          <cell r="T1542" t="str">
            <v>Functioning</v>
          </cell>
          <cell r="U1542" t="str">
            <v>Asset</v>
          </cell>
          <cell r="V1542">
            <v>133788</v>
          </cell>
          <cell r="W1542" t="str">
            <v>KEW</v>
          </cell>
          <cell r="X1542" t="str">
            <v>09/10/2015</v>
          </cell>
          <cell r="Y1542" t="str">
            <v>KEW</v>
          </cell>
          <cell r="Z1542" t="str">
            <v>26/11/2015</v>
          </cell>
          <cell r="AA1542" t="str">
            <v>25/11/2016</v>
          </cell>
          <cell r="AB1542" t="str">
            <v>No</v>
          </cell>
          <cell r="AC1542" t="str">
            <v>26/11/2015</v>
          </cell>
          <cell r="AD1542" t="str">
            <v>Good</v>
          </cell>
          <cell r="AE1542" t="str">
            <v>V3 - Added Installed Facilities (New)</v>
          </cell>
          <cell r="AF1542">
            <v>42528</v>
          </cell>
          <cell r="AG1542">
            <v>4.08</v>
          </cell>
          <cell r="AH1542" t="str">
            <v>PPM</v>
          </cell>
          <cell r="AI1542" t="str">
            <v>package</v>
          </cell>
          <cell r="AJ1542" t="str">
            <v>Proposed for V3 P2.23</v>
          </cell>
          <cell r="AK1542" t="str">
            <v>KKM follow P2.23 list.</v>
          </cell>
        </row>
        <row r="1543">
          <cell r="A1543" t="str">
            <v>IKN401288</v>
          </cell>
          <cell r="B1543">
            <v>1284</v>
          </cell>
          <cell r="C1543" t="str">
            <v>Institut Kanser Negara</v>
          </cell>
          <cell r="D1543" t="str">
            <v>KKM/IKN/H/13/4596</v>
          </cell>
          <cell r="E1543" t="str">
            <v>10-849</v>
          </cell>
          <cell r="F1543" t="str">
            <v>Circulatory Assist Units, Venous Return</v>
          </cell>
          <cell r="G1543" t="str">
            <v>PY</v>
          </cell>
          <cell r="H1543" t="str">
            <v>PHYSIOTHERAPY</v>
          </cell>
          <cell r="I1543" t="str">
            <v>04PY119</v>
          </cell>
          <cell r="J1543" t="str">
            <v>EQ.ROOM</v>
          </cell>
          <cell r="K1543" t="str">
            <v>BMED</v>
          </cell>
          <cell r="L1543" t="str">
            <v>Critical</v>
          </cell>
          <cell r="M1543" t="str">
            <v>USA</v>
          </cell>
          <cell r="N1543" t="str">
            <v>MediPress</v>
          </cell>
          <cell r="O1543" t="str">
            <v>MediPress 6101</v>
          </cell>
          <cell r="P1543" t="str">
            <v>P131203680</v>
          </cell>
          <cell r="Q1543" t="str">
            <v>Not Applicable</v>
          </cell>
          <cell r="R1543" t="str">
            <v>Meridian Medical</v>
          </cell>
          <cell r="S1543" t="str">
            <v>MEDIKA SUPPLIES SDN BHD</v>
          </cell>
          <cell r="T1543" t="str">
            <v>Functioning</v>
          </cell>
          <cell r="U1543" t="str">
            <v>Asset</v>
          </cell>
          <cell r="V1543">
            <v>3300</v>
          </cell>
          <cell r="W1543" t="str">
            <v>KEW</v>
          </cell>
          <cell r="X1543" t="str">
            <v>03/12/2013</v>
          </cell>
          <cell r="Y1543" t="str">
            <v>KEW</v>
          </cell>
          <cell r="Z1543" t="str">
            <v>03/12/2013</v>
          </cell>
          <cell r="AA1543" t="str">
            <v>02/12/2015</v>
          </cell>
          <cell r="AB1543" t="str">
            <v>No</v>
          </cell>
          <cell r="AC1543" t="str">
            <v>03/12/2013</v>
          </cell>
          <cell r="AD1543" t="str">
            <v>Good</v>
          </cell>
          <cell r="AE1543" t="str">
            <v>V3 - Added Installed Facilities (New)</v>
          </cell>
          <cell r="AF1543">
            <v>43068</v>
          </cell>
          <cell r="AG1543">
            <v>5.92</v>
          </cell>
          <cell r="AH1543" t="str">
            <v>PPM</v>
          </cell>
          <cell r="AI1543" t="str">
            <v>Strands</v>
          </cell>
          <cell r="AJ1543" t="str">
            <v>Strands PW</v>
          </cell>
          <cell r="AK1543" t="str">
            <v>SNF received. 1st batch of V3 asset (December 2020)</v>
          </cell>
        </row>
        <row r="1544">
          <cell r="A1544" t="str">
            <v>IKN401289</v>
          </cell>
          <cell r="B1544">
            <v>1285</v>
          </cell>
          <cell r="C1544" t="str">
            <v>Institut Kanser Negara</v>
          </cell>
          <cell r="D1544" t="str">
            <v>KKM/IKN/H/13/4595</v>
          </cell>
          <cell r="E1544" t="str">
            <v>10-849</v>
          </cell>
          <cell r="F1544" t="str">
            <v>Circulatory Assist Units, Venous Return</v>
          </cell>
          <cell r="G1544" t="str">
            <v>PY</v>
          </cell>
          <cell r="H1544" t="str">
            <v>PHYSIOTHERAPY</v>
          </cell>
          <cell r="I1544" t="str">
            <v>04PY128</v>
          </cell>
          <cell r="J1544" t="str">
            <v>MLD</v>
          </cell>
          <cell r="K1544" t="str">
            <v>BMED</v>
          </cell>
          <cell r="L1544" t="str">
            <v>Critical</v>
          </cell>
          <cell r="M1544" t="str">
            <v>USA</v>
          </cell>
          <cell r="N1544" t="str">
            <v>MediPress</v>
          </cell>
          <cell r="O1544" t="str">
            <v>MediPress 6101</v>
          </cell>
          <cell r="P1544" t="str">
            <v>P140200526</v>
          </cell>
          <cell r="Q1544" t="str">
            <v>Not Applicable</v>
          </cell>
          <cell r="R1544" t="str">
            <v>Meridian Medical</v>
          </cell>
          <cell r="S1544" t="str">
            <v>MEDIKA SUPPLIES SDN BHD</v>
          </cell>
          <cell r="T1544" t="str">
            <v>Functioning</v>
          </cell>
          <cell r="U1544" t="str">
            <v>Asset</v>
          </cell>
          <cell r="V1544">
            <v>3300</v>
          </cell>
          <cell r="W1544" t="str">
            <v>KEW</v>
          </cell>
          <cell r="X1544" t="str">
            <v>03/12/2013</v>
          </cell>
          <cell r="Y1544" t="str">
            <v>KEW</v>
          </cell>
          <cell r="Z1544" t="str">
            <v>03/12/2013</v>
          </cell>
          <cell r="AA1544" t="str">
            <v>02/12/2015</v>
          </cell>
          <cell r="AB1544" t="str">
            <v>No</v>
          </cell>
          <cell r="AC1544" t="str">
            <v>03/12/2013</v>
          </cell>
          <cell r="AD1544" t="str">
            <v>Good</v>
          </cell>
          <cell r="AE1544" t="str">
            <v>V3 - Added Installed Facilities (New)</v>
          </cell>
          <cell r="AF1544">
            <v>43068</v>
          </cell>
          <cell r="AG1544">
            <v>5.92</v>
          </cell>
          <cell r="AH1544" t="str">
            <v>PPM</v>
          </cell>
          <cell r="AI1544" t="str">
            <v>Strands</v>
          </cell>
          <cell r="AJ1544" t="str">
            <v>Strands PW</v>
          </cell>
          <cell r="AK1544" t="str">
            <v>SNF received. 1st batch of V3 asset (December 2020)</v>
          </cell>
        </row>
        <row r="1545">
          <cell r="A1545" t="str">
            <v>IKN401291</v>
          </cell>
          <cell r="B1545">
            <v>1287</v>
          </cell>
          <cell r="C1545" t="str">
            <v>Institut Kanser Negara</v>
          </cell>
          <cell r="D1545" t="str">
            <v>N/A</v>
          </cell>
          <cell r="E1545" t="str">
            <v>13-281</v>
          </cell>
          <cell r="F1545" t="str">
            <v>Computers, Radiotherapy Planning System</v>
          </cell>
          <cell r="G1545" t="str">
            <v>RT</v>
          </cell>
          <cell r="H1545" t="str">
            <v>RADIATION TREATMENT UNIT</v>
          </cell>
          <cell r="I1545" t="str">
            <v>01RT214</v>
          </cell>
          <cell r="J1545" t="str">
            <v>TPS 1</v>
          </cell>
          <cell r="K1545" t="str">
            <v>BMED</v>
          </cell>
          <cell r="L1545" t="str">
            <v>Normal</v>
          </cell>
          <cell r="M1545" t="str">
            <v>GERMANY</v>
          </cell>
          <cell r="N1545" t="str">
            <v>BRAINLAB</v>
          </cell>
          <cell r="O1545" t="str">
            <v>IPLAN WORKSTATION</v>
          </cell>
          <cell r="P1545" t="str">
            <v>3668615001</v>
          </cell>
          <cell r="Q1545" t="str">
            <v>NA</v>
          </cell>
          <cell r="R1545" t="str">
            <v>BRAINLAB</v>
          </cell>
          <cell r="S1545" t="str">
            <v>AYZEL VENTURE ENTERPISE</v>
          </cell>
          <cell r="T1545" t="str">
            <v>Functioning</v>
          </cell>
          <cell r="U1545" t="str">
            <v>Asset</v>
          </cell>
          <cell r="V1545">
            <v>499900</v>
          </cell>
          <cell r="W1545" t="str">
            <v>KEW</v>
          </cell>
          <cell r="X1545" t="str">
            <v>27/10/2015</v>
          </cell>
          <cell r="Y1545" t="str">
            <v>KEW</v>
          </cell>
          <cell r="Z1545" t="str">
            <v>09/12/2015</v>
          </cell>
          <cell r="AA1545" t="str">
            <v>08/12/2017</v>
          </cell>
          <cell r="AB1545" t="str">
            <v>No</v>
          </cell>
          <cell r="AC1545" t="str">
            <v>09/12/2015</v>
          </cell>
          <cell r="AD1545" t="str">
            <v>Good</v>
          </cell>
          <cell r="AE1545" t="str">
            <v>V1 - Existing / No Claim</v>
          </cell>
          <cell r="AF1545">
            <v>42473</v>
          </cell>
          <cell r="AG1545">
            <v>4.08</v>
          </cell>
          <cell r="AH1545" t="str">
            <v>PPM</v>
          </cell>
          <cell r="AI1545" t="str">
            <v>Strands</v>
          </cell>
          <cell r="AJ1545" t="str">
            <v>Strands Package</v>
          </cell>
          <cell r="AK1545" t="str">
            <v>Package Code XM0003(A)</v>
          </cell>
        </row>
        <row r="1546">
          <cell r="A1546" t="str">
            <v>IKN401292</v>
          </cell>
          <cell r="B1546">
            <v>1288</v>
          </cell>
          <cell r="C1546" t="str">
            <v>Institut Kanser Negara</v>
          </cell>
          <cell r="D1546" t="str">
            <v>KKM/IKN/H/13/4597</v>
          </cell>
          <cell r="E1546" t="str">
            <v>10-849</v>
          </cell>
          <cell r="F1546" t="str">
            <v>Circulatory Assist Units, Venous Return</v>
          </cell>
          <cell r="G1546" t="str">
            <v>PY</v>
          </cell>
          <cell r="H1546" t="str">
            <v>PHYSIOTHERAPY</v>
          </cell>
          <cell r="I1546" t="str">
            <v>04PY119</v>
          </cell>
          <cell r="J1546" t="str">
            <v>EQ.ROOM</v>
          </cell>
          <cell r="K1546" t="str">
            <v>BMED</v>
          </cell>
          <cell r="L1546" t="str">
            <v>Critical</v>
          </cell>
          <cell r="M1546" t="str">
            <v>USA</v>
          </cell>
          <cell r="N1546" t="str">
            <v>MediPress</v>
          </cell>
          <cell r="O1546" t="str">
            <v>MediPress 6101</v>
          </cell>
          <cell r="P1546" t="str">
            <v>P131203681</v>
          </cell>
          <cell r="Q1546" t="str">
            <v>Not Applicable</v>
          </cell>
          <cell r="R1546" t="str">
            <v>Meridian Medical</v>
          </cell>
          <cell r="S1546" t="str">
            <v>MEDIKA SUPPLIES SDN BHD</v>
          </cell>
          <cell r="T1546" t="str">
            <v>Functioning</v>
          </cell>
          <cell r="U1546" t="str">
            <v>Asset</v>
          </cell>
          <cell r="V1546">
            <v>3300</v>
          </cell>
          <cell r="W1546" t="str">
            <v>KEW</v>
          </cell>
          <cell r="X1546" t="str">
            <v>03/12/2013</v>
          </cell>
          <cell r="Y1546" t="str">
            <v>KEW</v>
          </cell>
          <cell r="Z1546" t="str">
            <v>03/12/2013</v>
          </cell>
          <cell r="AA1546" t="str">
            <v>02/12/2015</v>
          </cell>
          <cell r="AB1546" t="str">
            <v>No</v>
          </cell>
          <cell r="AC1546" t="str">
            <v>03/12/2013</v>
          </cell>
          <cell r="AD1546" t="str">
            <v>Good</v>
          </cell>
          <cell r="AE1546" t="str">
            <v>V3 - Added Installed Facilities (New)</v>
          </cell>
          <cell r="AF1546">
            <v>42933</v>
          </cell>
          <cell r="AG1546">
            <v>5.92</v>
          </cell>
          <cell r="AH1546" t="str">
            <v>PPM</v>
          </cell>
          <cell r="AI1546" t="str">
            <v>Strands</v>
          </cell>
          <cell r="AJ1546" t="str">
            <v>Strands PW</v>
          </cell>
          <cell r="AK1546" t="str">
            <v>SNF received. 1st batch of V3 asset (December 2020)</v>
          </cell>
        </row>
        <row r="1547">
          <cell r="A1547" t="str">
            <v>IKN401313</v>
          </cell>
          <cell r="B1547">
            <v>1308</v>
          </cell>
          <cell r="C1547" t="str">
            <v>Institut Kanser Negara</v>
          </cell>
          <cell r="D1547" t="e">
            <v>#N/A</v>
          </cell>
          <cell r="E1547" t="str">
            <v>10-447</v>
          </cell>
          <cell r="F1547" t="str">
            <v>Warming Units, Blood/Solution</v>
          </cell>
          <cell r="G1547" t="str">
            <v>RT</v>
          </cell>
          <cell r="H1547" t="str">
            <v>RADIATION TREATMENT UNIT</v>
          </cell>
          <cell r="I1547" t="str">
            <v>01RT116</v>
          </cell>
          <cell r="J1547" t="str">
            <v>CT SIMULATOR 1</v>
          </cell>
          <cell r="K1547" t="str">
            <v>BMED</v>
          </cell>
          <cell r="L1547" t="str">
            <v>Normal</v>
          </cell>
          <cell r="M1547" t="str">
            <v>USA</v>
          </cell>
          <cell r="N1547" t="str">
            <v>Warmflo</v>
          </cell>
          <cell r="O1547" t="str">
            <v>Warmflo FW558</v>
          </cell>
          <cell r="P1547" t="str">
            <v>CO716R405R</v>
          </cell>
          <cell r="Q1547" t="str">
            <v>Not Available</v>
          </cell>
          <cell r="R1547" t="str">
            <v>Mallinckrodt</v>
          </cell>
          <cell r="S1547" t="str">
            <v>Schmidt Biomedtech Sdn. Bhd.</v>
          </cell>
          <cell r="T1547" t="str">
            <v>Functioning</v>
          </cell>
          <cell r="U1547" t="str">
            <v>Asset</v>
          </cell>
          <cell r="V1547">
            <v>8500</v>
          </cell>
          <cell r="W1547" t="str">
            <v>KEW</v>
          </cell>
          <cell r="X1547" t="str">
            <v>12/08/2016</v>
          </cell>
          <cell r="Y1547" t="str">
            <v>KEW</v>
          </cell>
          <cell r="Z1547" t="str">
            <v>26/08/2016</v>
          </cell>
          <cell r="AA1547" t="str">
            <v>25/08/2017</v>
          </cell>
          <cell r="AB1547" t="str">
            <v>No</v>
          </cell>
          <cell r="AC1547" t="str">
            <v>26/08/2016</v>
          </cell>
          <cell r="AD1547" t="str">
            <v>Good</v>
          </cell>
          <cell r="AE1547" t="str">
            <v>V3 - Added Installed Facilities (New)</v>
          </cell>
          <cell r="AF1547">
            <v>42661</v>
          </cell>
          <cell r="AG1547">
            <v>3.25</v>
          </cell>
          <cell r="AH1547" t="str">
            <v>PPM</v>
          </cell>
          <cell r="AI1547" t="str">
            <v>package</v>
          </cell>
          <cell r="AK1547" t="str">
            <v>Under Injector Ct Sim</v>
          </cell>
        </row>
        <row r="1548">
          <cell r="A1548" t="str">
            <v>IKN401315</v>
          </cell>
          <cell r="B1548">
            <v>1309</v>
          </cell>
          <cell r="C1548" t="str">
            <v>Institut Kanser Negara</v>
          </cell>
          <cell r="D1548" t="str">
            <v>KKM/IKN/H/16/10</v>
          </cell>
          <cell r="E1548" t="str">
            <v>10-208</v>
          </cell>
          <cell r="F1548" t="str">
            <v>Aspirators</v>
          </cell>
          <cell r="G1548" t="str">
            <v>OT</v>
          </cell>
          <cell r="H1548" t="str">
            <v>OPERATING THEATRE</v>
          </cell>
          <cell r="I1548" t="str">
            <v>05OT127</v>
          </cell>
          <cell r="J1548" t="str">
            <v>SCRUB 1</v>
          </cell>
          <cell r="K1548" t="str">
            <v>BMED</v>
          </cell>
          <cell r="L1548" t="str">
            <v>Critical</v>
          </cell>
          <cell r="M1548" t="str">
            <v>ITALI</v>
          </cell>
          <cell r="N1548" t="str">
            <v>GIMA</v>
          </cell>
          <cell r="O1548" t="str">
            <v>HOSPI PLUS.</v>
          </cell>
          <cell r="P1548" t="str">
            <v>1194</v>
          </cell>
          <cell r="Q1548" t="str">
            <v>Not Applicable</v>
          </cell>
          <cell r="R1548" t="str">
            <v>GIMA</v>
          </cell>
          <cell r="S1548" t="str">
            <v>Teraju Delima Niaga Resources</v>
          </cell>
          <cell r="T1548" t="str">
            <v>Functioning</v>
          </cell>
          <cell r="U1548" t="str">
            <v>Asset</v>
          </cell>
          <cell r="V1548">
            <v>4800</v>
          </cell>
          <cell r="W1548" t="str">
            <v>KEW</v>
          </cell>
          <cell r="X1548" t="str">
            <v>21/09/2016</v>
          </cell>
          <cell r="Y1548" t="str">
            <v>KEW</v>
          </cell>
          <cell r="Z1548" t="str">
            <v>21/09/2016</v>
          </cell>
          <cell r="AA1548" t="str">
            <v>20/09/2017</v>
          </cell>
          <cell r="AB1548" t="str">
            <v>No</v>
          </cell>
          <cell r="AC1548" t="str">
            <v>21/09/2016</v>
          </cell>
          <cell r="AD1548" t="str">
            <v>Good</v>
          </cell>
          <cell r="AE1548" t="str">
            <v>V3 - Added Installed Facilities (New)</v>
          </cell>
          <cell r="AF1548">
            <v>42802</v>
          </cell>
          <cell r="AG1548">
            <v>3.17</v>
          </cell>
          <cell r="AH1548" t="str">
            <v>PPM</v>
          </cell>
          <cell r="AI1548" t="str">
            <v>Strands</v>
          </cell>
          <cell r="AJ1548" t="str">
            <v>Strands PW</v>
          </cell>
          <cell r="AK1548" t="str">
            <v>SNF received on 25.2.2020</v>
          </cell>
        </row>
        <row r="1549">
          <cell r="A1549" t="str">
            <v>IKN401316</v>
          </cell>
          <cell r="B1549">
            <v>1310</v>
          </cell>
          <cell r="C1549" t="str">
            <v>Institut Kanser Negara</v>
          </cell>
          <cell r="D1549" t="str">
            <v>KKM/IKN/H/13/4952</v>
          </cell>
          <cell r="E1549" t="str">
            <v>15-605</v>
          </cell>
          <cell r="F1549" t="str">
            <v>Testers</v>
          </cell>
          <cell r="G1549" t="str">
            <v>RT</v>
          </cell>
          <cell r="H1549" t="str">
            <v>RADIATION TREATMENT UNIT</v>
          </cell>
          <cell r="I1549" t="str">
            <v>01RT213</v>
          </cell>
          <cell r="J1549" t="str">
            <v>EQUIPMENT ROOM1</v>
          </cell>
          <cell r="K1549" t="str">
            <v>BMED</v>
          </cell>
          <cell r="L1549" t="str">
            <v>Normal</v>
          </cell>
          <cell r="M1549" t="str">
            <v>Germany</v>
          </cell>
          <cell r="N1549" t="str">
            <v>Various</v>
          </cell>
          <cell r="O1549" t="str">
            <v>IBA Dosimetry GMBH</v>
          </cell>
          <cell r="P1549" t="str">
            <v>1227</v>
          </cell>
          <cell r="Q1549" t="str">
            <v>Not Available</v>
          </cell>
          <cell r="R1549" t="str">
            <v>IBA</v>
          </cell>
          <cell r="S1549" t="str">
            <v>Delta Advantech (M) Sdn. Bhd</v>
          </cell>
          <cell r="T1549" t="str">
            <v>Functioning</v>
          </cell>
          <cell r="U1549" t="str">
            <v>Asset</v>
          </cell>
          <cell r="V1549">
            <v>40000</v>
          </cell>
          <cell r="W1549" t="str">
            <v>KEW</v>
          </cell>
          <cell r="X1549" t="str">
            <v>01/09/2010</v>
          </cell>
          <cell r="Y1549" t="str">
            <v>KEW</v>
          </cell>
          <cell r="Z1549" t="str">
            <v>16/08/2013</v>
          </cell>
          <cell r="AA1549" t="str">
            <v>15/08/2015</v>
          </cell>
          <cell r="AB1549" t="str">
            <v>No</v>
          </cell>
          <cell r="AC1549" t="str">
            <v>16/08/2013</v>
          </cell>
          <cell r="AD1549" t="str">
            <v>Good</v>
          </cell>
          <cell r="AE1549" t="str">
            <v>V3 - Added Installed Facilities (New)</v>
          </cell>
          <cell r="AF1549">
            <v>42668</v>
          </cell>
          <cell r="AG1549">
            <v>9.17</v>
          </cell>
          <cell r="AH1549" t="str">
            <v>PPM</v>
          </cell>
          <cell r="AI1549" t="str">
            <v>Strands</v>
          </cell>
          <cell r="AJ1549" t="str">
            <v>Strands PW</v>
          </cell>
          <cell r="AK1549" t="str">
            <v>SNF received on 25.2.2020</v>
          </cell>
        </row>
        <row r="1550">
          <cell r="A1550" t="str">
            <v>IKN401317</v>
          </cell>
          <cell r="B1550">
            <v>1311</v>
          </cell>
          <cell r="C1550" t="str">
            <v>Institut Kanser Negara</v>
          </cell>
          <cell r="D1550" t="str">
            <v>KKM/IKN/H/13/4952</v>
          </cell>
          <cell r="E1550" t="str">
            <v>15-605</v>
          </cell>
          <cell r="F1550" t="str">
            <v>Testers</v>
          </cell>
          <cell r="G1550" t="str">
            <v>RT</v>
          </cell>
          <cell r="H1550" t="str">
            <v>RADIATION TREATMENT UNIT</v>
          </cell>
          <cell r="I1550" t="str">
            <v>01RT213</v>
          </cell>
          <cell r="J1550" t="str">
            <v>EQUIPMENT ROOM1</v>
          </cell>
          <cell r="K1550" t="str">
            <v>BMED</v>
          </cell>
          <cell r="L1550" t="str">
            <v>Normal</v>
          </cell>
          <cell r="M1550" t="str">
            <v>Germany</v>
          </cell>
          <cell r="N1550" t="str">
            <v>Various</v>
          </cell>
          <cell r="O1550" t="str">
            <v>IBA Dosimetry GMBH</v>
          </cell>
          <cell r="P1550" t="str">
            <v>1233</v>
          </cell>
          <cell r="Q1550" t="str">
            <v>Not Available</v>
          </cell>
          <cell r="R1550" t="str">
            <v>IBA</v>
          </cell>
          <cell r="S1550" t="str">
            <v>Delta Advantech (M) Sdn. Bhd</v>
          </cell>
          <cell r="T1550" t="str">
            <v>Functioning</v>
          </cell>
          <cell r="U1550" t="str">
            <v>Asset</v>
          </cell>
          <cell r="V1550">
            <v>40000</v>
          </cell>
          <cell r="W1550" t="str">
            <v>KEW</v>
          </cell>
          <cell r="X1550" t="str">
            <v>01/09/2010</v>
          </cell>
          <cell r="Y1550" t="str">
            <v>KEW</v>
          </cell>
          <cell r="Z1550" t="str">
            <v>16/08/2013</v>
          </cell>
          <cell r="AA1550" t="str">
            <v>15/08/2015</v>
          </cell>
          <cell r="AB1550" t="str">
            <v>No</v>
          </cell>
          <cell r="AC1550" t="str">
            <v>16/08/2013</v>
          </cell>
          <cell r="AD1550" t="str">
            <v>Good</v>
          </cell>
          <cell r="AE1550" t="str">
            <v>V3 - Added Installed Facilities (New)</v>
          </cell>
          <cell r="AF1550">
            <v>42668</v>
          </cell>
          <cell r="AG1550">
            <v>9.17</v>
          </cell>
          <cell r="AH1550" t="str">
            <v>PPM</v>
          </cell>
          <cell r="AI1550" t="str">
            <v>Strands</v>
          </cell>
          <cell r="AJ1550" t="str">
            <v>Strands PW</v>
          </cell>
          <cell r="AK1550" t="str">
            <v>SNF received on 25.2.2020</v>
          </cell>
        </row>
        <row r="1551">
          <cell r="A1551" t="str">
            <v>IKN401318</v>
          </cell>
          <cell r="B1551">
            <v>1312</v>
          </cell>
          <cell r="C1551" t="str">
            <v>Institut Kanser Negara</v>
          </cell>
          <cell r="D1551" t="str">
            <v>KKM/IKN/H/13/4473 - 07</v>
          </cell>
          <cell r="E1551" t="str">
            <v>15-605</v>
          </cell>
          <cell r="F1551" t="str">
            <v>Testers</v>
          </cell>
          <cell r="G1551" t="str">
            <v>RT</v>
          </cell>
          <cell r="H1551" t="str">
            <v>RADIATION TREATMENT UNIT</v>
          </cell>
          <cell r="I1551" t="str">
            <v>01RT213</v>
          </cell>
          <cell r="J1551" t="str">
            <v>EQUIPMENT ROOM1</v>
          </cell>
          <cell r="K1551" t="str">
            <v>BMED</v>
          </cell>
          <cell r="L1551" t="str">
            <v>Normal</v>
          </cell>
          <cell r="M1551" t="str">
            <v>USA</v>
          </cell>
          <cell r="N1551" t="str">
            <v>Various</v>
          </cell>
          <cell r="O1551" t="str">
            <v>Tomo Electrometer 90016 &amp; Various</v>
          </cell>
          <cell r="P1551" t="str">
            <v>XAE 121449</v>
          </cell>
          <cell r="Q1551" t="str">
            <v>Not Available</v>
          </cell>
          <cell r="R1551" t="str">
            <v>Standard Imaging</v>
          </cell>
          <cell r="S1551" t="str">
            <v>Transmedic Healthcare Sdn. Bhd</v>
          </cell>
          <cell r="T1551" t="str">
            <v>Functioning</v>
          </cell>
          <cell r="U1551" t="str">
            <v>Asset</v>
          </cell>
          <cell r="V1551">
            <v>100000</v>
          </cell>
          <cell r="W1551" t="str">
            <v>KEW</v>
          </cell>
          <cell r="X1551" t="str">
            <v>01/09/2010</v>
          </cell>
          <cell r="Y1551" t="str">
            <v>KEW</v>
          </cell>
          <cell r="Z1551" t="str">
            <v>16/08/2013</v>
          </cell>
          <cell r="AA1551" t="str">
            <v>15/08/2015</v>
          </cell>
          <cell r="AB1551" t="str">
            <v>No</v>
          </cell>
          <cell r="AC1551" t="str">
            <v>16/08/2013</v>
          </cell>
          <cell r="AD1551" t="str">
            <v>Good</v>
          </cell>
          <cell r="AE1551" t="str">
            <v>V1 - Existing / No Claim</v>
          </cell>
          <cell r="AF1551">
            <v>42667</v>
          </cell>
          <cell r="AG1551">
            <v>9.17</v>
          </cell>
          <cell r="AH1551" t="str">
            <v>PPM</v>
          </cell>
          <cell r="AI1551" t="str">
            <v>package</v>
          </cell>
          <cell r="AJ1551" t="str">
            <v>Strands Package</v>
          </cell>
          <cell r="AK1551" t="str">
            <v>Package XM003(B)</v>
          </cell>
        </row>
        <row r="1552">
          <cell r="A1552" t="str">
            <v>IKN401335</v>
          </cell>
          <cell r="B1552">
            <v>1329</v>
          </cell>
          <cell r="C1552" t="str">
            <v>Institut Kanser Negara</v>
          </cell>
          <cell r="D1552" t="str">
            <v>KKM/IKN/H/13/3190</v>
          </cell>
          <cell r="E1552" t="str">
            <v>10-051</v>
          </cell>
          <cell r="F1552" t="str">
            <v>Air Samplers</v>
          </cell>
          <cell r="G1552" t="str">
            <v>QA</v>
          </cell>
          <cell r="H1552" t="str">
            <v>INFECTION , RESEARCH AND QA UNIT</v>
          </cell>
          <cell r="I1552" t="str">
            <v>04QA118</v>
          </cell>
          <cell r="J1552" t="str">
            <v>MEETING (12 PAX)</v>
          </cell>
          <cell r="K1552" t="str">
            <v>BMED</v>
          </cell>
          <cell r="L1552" t="str">
            <v>Normal</v>
          </cell>
          <cell r="M1552" t="str">
            <v>Germany</v>
          </cell>
          <cell r="N1552" t="str">
            <v>MAS</v>
          </cell>
          <cell r="O1552" t="str">
            <v>MAS-100NT</v>
          </cell>
          <cell r="P1552" t="str">
            <v>104998</v>
          </cell>
          <cell r="Q1552" t="str">
            <v>Not Available</v>
          </cell>
          <cell r="R1552" t="str">
            <v>Merck KGaA</v>
          </cell>
          <cell r="S1552" t="str">
            <v>Merck Sdn Bhd</v>
          </cell>
          <cell r="T1552" t="str">
            <v>Functioning</v>
          </cell>
          <cell r="U1552" t="str">
            <v>Asset</v>
          </cell>
          <cell r="V1552">
            <v>31410</v>
          </cell>
          <cell r="W1552" t="str">
            <v>KEW</v>
          </cell>
          <cell r="X1552" t="str">
            <v>01/09/2010</v>
          </cell>
          <cell r="Y1552" t="str">
            <v>KEW</v>
          </cell>
          <cell r="Z1552" t="str">
            <v>16/08/2013</v>
          </cell>
          <cell r="AA1552" t="str">
            <v>15/08/2015</v>
          </cell>
          <cell r="AB1552" t="str">
            <v>No</v>
          </cell>
          <cell r="AC1552" t="str">
            <v>31/08/2013</v>
          </cell>
          <cell r="AD1552" t="str">
            <v>Good</v>
          </cell>
          <cell r="AE1552" t="str">
            <v>V3 - Added Installed Facilities (New)</v>
          </cell>
          <cell r="AF1552">
            <v>43115</v>
          </cell>
          <cell r="AG1552">
            <v>9.17</v>
          </cell>
          <cell r="AH1552" t="str">
            <v>PPM</v>
          </cell>
          <cell r="AI1552" t="str">
            <v>Strands</v>
          </cell>
          <cell r="AJ1552" t="str">
            <v>Strands PW</v>
          </cell>
          <cell r="AK1552" t="str">
            <v>SNF received. 1st batch of V3 asset (December 2020)</v>
          </cell>
        </row>
        <row r="1553">
          <cell r="A1553" t="str">
            <v>IKN401336</v>
          </cell>
          <cell r="B1553">
            <v>1330</v>
          </cell>
          <cell r="C1553" t="str">
            <v>Institut Kanser Negara</v>
          </cell>
          <cell r="D1553" t="str">
            <v>KKM/IKN/H/16/27</v>
          </cell>
          <cell r="E1553" t="str">
            <v>23-532</v>
          </cell>
          <cell r="F1553" t="str">
            <v>Laryngoscopes, Rigid, Video</v>
          </cell>
          <cell r="G1553" t="str">
            <v>IC</v>
          </cell>
          <cell r="H1553" t="str">
            <v>INTENSIVE CARE UNIT</v>
          </cell>
          <cell r="I1553" t="str">
            <v>05IC106</v>
          </cell>
          <cell r="J1553" t="str">
            <v>EQ. ROOM</v>
          </cell>
          <cell r="K1553" t="str">
            <v>BMED</v>
          </cell>
          <cell r="L1553" t="str">
            <v>Critical</v>
          </cell>
          <cell r="M1553" t="str">
            <v>Germany</v>
          </cell>
          <cell r="N1553" t="str">
            <v>Storz</v>
          </cell>
          <cell r="O1553" t="str">
            <v>C-Mac 8403 ZX</v>
          </cell>
          <cell r="P1553" t="str">
            <v>UT9580</v>
          </cell>
          <cell r="Q1553" t="str">
            <v>Not Applicable</v>
          </cell>
          <cell r="R1553" t="str">
            <v>Karl Storz GmbH &amp; Co KG</v>
          </cell>
          <cell r="S1553" t="str">
            <v>MS Synergy (M) Sdn. Bhd</v>
          </cell>
          <cell r="T1553" t="str">
            <v>Functioning</v>
          </cell>
          <cell r="U1553" t="str">
            <v>Asset</v>
          </cell>
          <cell r="V1553">
            <v>49998</v>
          </cell>
          <cell r="W1553" t="str">
            <v>KEW</v>
          </cell>
          <cell r="X1553" t="str">
            <v>10/10/2016</v>
          </cell>
          <cell r="Y1553" t="str">
            <v>KEW</v>
          </cell>
          <cell r="Z1553" t="str">
            <v>01/12/2016</v>
          </cell>
          <cell r="AA1553" t="str">
            <v>30/11/2017</v>
          </cell>
          <cell r="AB1553" t="str">
            <v>No</v>
          </cell>
          <cell r="AC1553" t="str">
            <v>01/12/2016</v>
          </cell>
          <cell r="AD1553" t="str">
            <v>Good</v>
          </cell>
          <cell r="AE1553" t="str">
            <v>V3 - Added Installed Facilities (New)</v>
          </cell>
          <cell r="AF1553">
            <v>43050</v>
          </cell>
          <cell r="AG1553">
            <v>3.08</v>
          </cell>
          <cell r="AH1553" t="str">
            <v>PPM</v>
          </cell>
          <cell r="AI1553" t="str">
            <v>package</v>
          </cell>
          <cell r="AJ1553" t="str">
            <v>Proposed for V3 P2.23</v>
          </cell>
          <cell r="AK1553" t="str">
            <v>KKM follow P2.23 list.</v>
          </cell>
        </row>
        <row r="1554">
          <cell r="A1554" t="str">
            <v>IKN401337</v>
          </cell>
          <cell r="B1554">
            <v>1331</v>
          </cell>
          <cell r="C1554" t="str">
            <v>Institut Kanser Negara</v>
          </cell>
          <cell r="D1554" t="str">
            <v>KKM/IKN/H/13/3781</v>
          </cell>
          <cell r="E1554" t="str">
            <v>13-325</v>
          </cell>
          <cell r="F1554" t="str">
            <v>Regulators, Suction</v>
          </cell>
          <cell r="G1554" t="str">
            <v>OT</v>
          </cell>
          <cell r="H1554" t="str">
            <v>OPERATING THEATRE</v>
          </cell>
          <cell r="I1554" t="str">
            <v>05OT123</v>
          </cell>
          <cell r="J1554" t="str">
            <v>0T 1</v>
          </cell>
          <cell r="K1554" t="str">
            <v>BMED</v>
          </cell>
          <cell r="L1554" t="str">
            <v>Normal</v>
          </cell>
          <cell r="M1554" t="str">
            <v>United Kingdom</v>
          </cell>
          <cell r="N1554" t="str">
            <v>MGE</v>
          </cell>
          <cell r="O1554" t="str">
            <v>SAM 54</v>
          </cell>
          <cell r="P1554" t="str">
            <v>MG 013649</v>
          </cell>
          <cell r="Q1554" t="str">
            <v>Not Applicable</v>
          </cell>
          <cell r="R1554" t="str">
            <v>MGE</v>
          </cell>
          <cell r="S1554" t="str">
            <v>Delta Medisains</v>
          </cell>
          <cell r="T1554" t="str">
            <v>Functioning</v>
          </cell>
          <cell r="U1554" t="str">
            <v>Asset</v>
          </cell>
          <cell r="V1554">
            <v>4330</v>
          </cell>
          <cell r="W1554" t="str">
            <v>KEW</v>
          </cell>
          <cell r="X1554" t="str">
            <v>01/09/2010</v>
          </cell>
          <cell r="Y1554" t="str">
            <v>KEW</v>
          </cell>
          <cell r="Z1554" t="str">
            <v>16/08/2013</v>
          </cell>
          <cell r="AA1554" t="str">
            <v>15/08/2015</v>
          </cell>
          <cell r="AB1554" t="str">
            <v>No</v>
          </cell>
          <cell r="AC1554" t="str">
            <v>31/08/2013</v>
          </cell>
          <cell r="AD1554" t="str">
            <v>Good</v>
          </cell>
          <cell r="AE1554" t="str">
            <v>V1 - Existing / No Claim</v>
          </cell>
          <cell r="AF1554">
            <v>42920</v>
          </cell>
          <cell r="AG1554">
            <v>9.17</v>
          </cell>
          <cell r="AH1554" t="str">
            <v>RI</v>
          </cell>
          <cell r="AI1554" t="str">
            <v>Strands</v>
          </cell>
          <cell r="AJ1554" t="str">
            <v>Strands PW</v>
          </cell>
        </row>
        <row r="1555">
          <cell r="A1555" t="str">
            <v>IKN401339</v>
          </cell>
          <cell r="B1555">
            <v>1333</v>
          </cell>
          <cell r="C1555" t="str">
            <v>Institut Kanser Negara</v>
          </cell>
          <cell r="D1555" t="str">
            <v>KKM/IKN/H/14/113</v>
          </cell>
          <cell r="E1555" t="str">
            <v>11-295</v>
          </cell>
          <cell r="F1555" t="str">
            <v>Dosimeters, Radiation</v>
          </cell>
          <cell r="G1555" t="str">
            <v>NM</v>
          </cell>
          <cell r="H1555" t="str">
            <v>NUCLEAR MED (DIAGNOSTIC)</v>
          </cell>
          <cell r="I1555" t="str">
            <v>03NM180</v>
          </cell>
          <cell r="J1555" t="str">
            <v>GEN.OFFICE</v>
          </cell>
          <cell r="K1555" t="str">
            <v>BMED</v>
          </cell>
          <cell r="L1555" t="str">
            <v>Normal</v>
          </cell>
          <cell r="M1555" t="str">
            <v>Japan</v>
          </cell>
          <cell r="N1555" t="str">
            <v>Aloka</v>
          </cell>
          <cell r="O1555" t="str">
            <v>PDM-222C-SH</v>
          </cell>
          <cell r="P1555" t="str">
            <v>203V1528</v>
          </cell>
          <cell r="Q1555" t="str">
            <v>Not Applicable</v>
          </cell>
          <cell r="R1555" t="str">
            <v>Hitachi Aloka Medical Co Ltd</v>
          </cell>
          <cell r="S1555" t="str">
            <v>Elite</v>
          </cell>
          <cell r="T1555" t="str">
            <v>Functioning</v>
          </cell>
          <cell r="U1555" t="str">
            <v>Asset</v>
          </cell>
          <cell r="V1555">
            <v>1883</v>
          </cell>
          <cell r="W1555" t="str">
            <v>KEW</v>
          </cell>
          <cell r="X1555" t="str">
            <v>06/11/2014</v>
          </cell>
          <cell r="Y1555" t="str">
            <v>KEW</v>
          </cell>
          <cell r="Z1555" t="str">
            <v>05/12/2014</v>
          </cell>
          <cell r="AA1555" t="str">
            <v>04/12/2016</v>
          </cell>
          <cell r="AB1555" t="str">
            <v>No</v>
          </cell>
          <cell r="AC1555" t="str">
            <v>05/12/2014</v>
          </cell>
          <cell r="AD1555" t="str">
            <v>Good</v>
          </cell>
          <cell r="AE1555" t="str">
            <v>V3 - Added Installed Facilities (New)</v>
          </cell>
          <cell r="AF1555">
            <v>43404</v>
          </cell>
          <cell r="AG1555">
            <v>5</v>
          </cell>
          <cell r="AH1555" t="str">
            <v>PPM</v>
          </cell>
          <cell r="AI1555" t="str">
            <v>Strands</v>
          </cell>
          <cell r="AJ1555" t="str">
            <v>Strands PW</v>
          </cell>
          <cell r="AK1555" t="str">
            <v>SNF received. 1st batch of V3 asset (December 2020)</v>
          </cell>
        </row>
        <row r="1556">
          <cell r="A1556" t="str">
            <v>IKN401340</v>
          </cell>
          <cell r="B1556">
            <v>1334</v>
          </cell>
          <cell r="C1556" t="str">
            <v>Institut Kanser Negara</v>
          </cell>
          <cell r="D1556" t="str">
            <v>KKM/IKN/H/14/103</v>
          </cell>
          <cell r="E1556" t="str">
            <v>11-295</v>
          </cell>
          <cell r="F1556" t="str">
            <v>Dosimeters, Radiation</v>
          </cell>
          <cell r="G1556" t="str">
            <v>NM</v>
          </cell>
          <cell r="H1556" t="str">
            <v>NUCLEAR MED (DIAGNOSTIC)</v>
          </cell>
          <cell r="I1556" t="str">
            <v>03NM180</v>
          </cell>
          <cell r="J1556" t="str">
            <v>GEN.OFFICE</v>
          </cell>
          <cell r="K1556" t="str">
            <v>BMED</v>
          </cell>
          <cell r="L1556" t="str">
            <v>Normal</v>
          </cell>
          <cell r="M1556" t="str">
            <v>Japan</v>
          </cell>
          <cell r="N1556" t="str">
            <v>Aloka</v>
          </cell>
          <cell r="O1556" t="str">
            <v>PDM-222C-SH</v>
          </cell>
          <cell r="P1556" t="str">
            <v>203V1518</v>
          </cell>
          <cell r="Q1556" t="str">
            <v>Not Applicable</v>
          </cell>
          <cell r="R1556" t="str">
            <v>Hitachi Aloka Medical Co Ltd</v>
          </cell>
          <cell r="S1556" t="str">
            <v>Elite</v>
          </cell>
          <cell r="T1556" t="str">
            <v>Functioning</v>
          </cell>
          <cell r="U1556" t="str">
            <v>Asset</v>
          </cell>
          <cell r="V1556">
            <v>1883</v>
          </cell>
          <cell r="W1556" t="str">
            <v>KEW</v>
          </cell>
          <cell r="X1556" t="str">
            <v>06/11/2014</v>
          </cell>
          <cell r="Y1556" t="str">
            <v>KEW</v>
          </cell>
          <cell r="Z1556" t="str">
            <v>05/12/2014</v>
          </cell>
          <cell r="AA1556" t="str">
            <v>04/12/2016</v>
          </cell>
          <cell r="AB1556" t="str">
            <v>No</v>
          </cell>
          <cell r="AC1556" t="str">
            <v>05/12/2014</v>
          </cell>
          <cell r="AD1556" t="str">
            <v>Good</v>
          </cell>
          <cell r="AE1556" t="str">
            <v>V3 - Added Installed Facilities (New)</v>
          </cell>
          <cell r="AF1556">
            <v>43404</v>
          </cell>
          <cell r="AG1556">
            <v>5</v>
          </cell>
          <cell r="AH1556" t="str">
            <v>PPM</v>
          </cell>
          <cell r="AI1556" t="str">
            <v>Strands</v>
          </cell>
          <cell r="AJ1556" t="str">
            <v>Strands PW</v>
          </cell>
          <cell r="AK1556" t="str">
            <v>SNF received. 1st batch of V3 asset (December 2020)</v>
          </cell>
        </row>
        <row r="1557">
          <cell r="A1557" t="str">
            <v>IKN401341</v>
          </cell>
          <cell r="B1557">
            <v>1335</v>
          </cell>
          <cell r="C1557" t="str">
            <v>Institut Kanser Negara</v>
          </cell>
          <cell r="D1557" t="str">
            <v>KKM/IKN/H/14/104</v>
          </cell>
          <cell r="E1557" t="str">
            <v>11-295</v>
          </cell>
          <cell r="F1557" t="str">
            <v>Dosimeters, Radiation</v>
          </cell>
          <cell r="G1557" t="str">
            <v>NM</v>
          </cell>
          <cell r="H1557" t="str">
            <v>NUCLEAR MED (DIAGNOSTIC)</v>
          </cell>
          <cell r="I1557" t="str">
            <v>03NM180</v>
          </cell>
          <cell r="J1557" t="str">
            <v>GEN.OFFICE</v>
          </cell>
          <cell r="K1557" t="str">
            <v>BMED</v>
          </cell>
          <cell r="L1557" t="str">
            <v>Normal</v>
          </cell>
          <cell r="M1557" t="str">
            <v>Japan</v>
          </cell>
          <cell r="N1557" t="str">
            <v>Aloka</v>
          </cell>
          <cell r="O1557" t="str">
            <v>PDM-222C-SH</v>
          </cell>
          <cell r="P1557" t="str">
            <v>203V1519</v>
          </cell>
          <cell r="Q1557" t="str">
            <v>Not Applicable</v>
          </cell>
          <cell r="R1557" t="str">
            <v>Hitachi Aloka Medical Co Ltd</v>
          </cell>
          <cell r="S1557" t="str">
            <v>Elite</v>
          </cell>
          <cell r="T1557" t="str">
            <v>Functioning</v>
          </cell>
          <cell r="U1557" t="str">
            <v>Asset</v>
          </cell>
          <cell r="V1557">
            <v>1883</v>
          </cell>
          <cell r="W1557" t="str">
            <v>KEW</v>
          </cell>
          <cell r="X1557" t="str">
            <v>06/11/2014</v>
          </cell>
          <cell r="Y1557" t="str">
            <v>KEW</v>
          </cell>
          <cell r="Z1557" t="str">
            <v>05/12/2014</v>
          </cell>
          <cell r="AA1557" t="str">
            <v>04/12/2016</v>
          </cell>
          <cell r="AB1557" t="str">
            <v>No</v>
          </cell>
          <cell r="AC1557" t="str">
            <v>05/12/2014</v>
          </cell>
          <cell r="AD1557" t="str">
            <v>Good</v>
          </cell>
          <cell r="AE1557" t="str">
            <v>V3 - Added Installed Facilities (New)</v>
          </cell>
          <cell r="AF1557">
            <v>43404</v>
          </cell>
          <cell r="AG1557">
            <v>5</v>
          </cell>
          <cell r="AH1557" t="str">
            <v>PPM</v>
          </cell>
          <cell r="AI1557" t="str">
            <v>Strands</v>
          </cell>
          <cell r="AJ1557" t="str">
            <v>Strands PW</v>
          </cell>
          <cell r="AK1557" t="str">
            <v>SNF received. 1st batch of V3 asset (December 2020)</v>
          </cell>
        </row>
        <row r="1558">
          <cell r="A1558" t="str">
            <v>IKN401342</v>
          </cell>
          <cell r="B1558">
            <v>1336</v>
          </cell>
          <cell r="C1558" t="str">
            <v>Institut Kanser Negara</v>
          </cell>
          <cell r="D1558" t="str">
            <v>KKM/IKN/H/14/105</v>
          </cell>
          <cell r="E1558" t="str">
            <v>11-295</v>
          </cell>
          <cell r="F1558" t="str">
            <v>Dosimeters, Radiation</v>
          </cell>
          <cell r="G1558" t="str">
            <v>NM</v>
          </cell>
          <cell r="H1558" t="str">
            <v>NUCLEAR MED (DIAGNOSTIC)</v>
          </cell>
          <cell r="I1558" t="str">
            <v>03NM180</v>
          </cell>
          <cell r="J1558" t="str">
            <v>GEN.OFFICE</v>
          </cell>
          <cell r="K1558" t="str">
            <v>BMED</v>
          </cell>
          <cell r="L1558" t="str">
            <v>Normal</v>
          </cell>
          <cell r="M1558" t="str">
            <v>Japan</v>
          </cell>
          <cell r="N1558" t="str">
            <v>Aloka</v>
          </cell>
          <cell r="O1558" t="str">
            <v>PDM-222C-SH</v>
          </cell>
          <cell r="P1558" t="str">
            <v>203V1520</v>
          </cell>
          <cell r="Q1558" t="str">
            <v>Not Applicable</v>
          </cell>
          <cell r="R1558" t="str">
            <v>Hitachi Aloka Medical Co Ltd</v>
          </cell>
          <cell r="S1558" t="str">
            <v>Elite</v>
          </cell>
          <cell r="T1558" t="str">
            <v>Functioning</v>
          </cell>
          <cell r="U1558" t="str">
            <v>Asset</v>
          </cell>
          <cell r="V1558">
            <v>1883</v>
          </cell>
          <cell r="W1558" t="str">
            <v>KEW</v>
          </cell>
          <cell r="X1558" t="str">
            <v>06/11/2014</v>
          </cell>
          <cell r="Y1558" t="str">
            <v>KEW</v>
          </cell>
          <cell r="Z1558" t="str">
            <v>05/12/2014</v>
          </cell>
          <cell r="AA1558" t="str">
            <v>04/12/2016</v>
          </cell>
          <cell r="AB1558" t="str">
            <v>No</v>
          </cell>
          <cell r="AC1558" t="str">
            <v>05/12/2014</v>
          </cell>
          <cell r="AD1558" t="str">
            <v>Good</v>
          </cell>
          <cell r="AE1558" t="str">
            <v>V3 - Added Installed Facilities (New)</v>
          </cell>
          <cell r="AF1558">
            <v>43404</v>
          </cell>
          <cell r="AG1558">
            <v>5</v>
          </cell>
          <cell r="AH1558" t="str">
            <v>PPM</v>
          </cell>
          <cell r="AI1558" t="str">
            <v>Strands</v>
          </cell>
          <cell r="AJ1558" t="str">
            <v>Strands PW</v>
          </cell>
          <cell r="AK1558" t="str">
            <v>SNF received. 1st batch of V3 asset (December 2020). [22/4/2024, ANIS]: ASSET HILANG.</v>
          </cell>
        </row>
        <row r="1559">
          <cell r="A1559" t="str">
            <v>IKN401343</v>
          </cell>
          <cell r="B1559">
            <v>1337</v>
          </cell>
          <cell r="C1559" t="str">
            <v>Institut Kanser Negara</v>
          </cell>
          <cell r="D1559" t="str">
            <v>KKM/IKN/H/14/106</v>
          </cell>
          <cell r="E1559" t="str">
            <v>11-295</v>
          </cell>
          <cell r="F1559" t="str">
            <v>Dosimeters, Radiation</v>
          </cell>
          <cell r="G1559" t="str">
            <v>NM</v>
          </cell>
          <cell r="H1559" t="str">
            <v>NUCLEAR MED (DIAGNOSTIC)</v>
          </cell>
          <cell r="I1559" t="str">
            <v>03NM180</v>
          </cell>
          <cell r="J1559" t="str">
            <v>GEN.OFFICE</v>
          </cell>
          <cell r="K1559" t="str">
            <v>BMED</v>
          </cell>
          <cell r="L1559" t="str">
            <v>Normal</v>
          </cell>
          <cell r="M1559" t="str">
            <v>Japan</v>
          </cell>
          <cell r="N1559" t="str">
            <v>Aloka</v>
          </cell>
          <cell r="O1559" t="str">
            <v>PDM-222C-SH</v>
          </cell>
          <cell r="P1559" t="str">
            <v>203V1521</v>
          </cell>
          <cell r="Q1559" t="str">
            <v>Not Applicable</v>
          </cell>
          <cell r="R1559" t="str">
            <v>Hitachi Aloka Medical Co Ltd</v>
          </cell>
          <cell r="S1559" t="str">
            <v>Elite</v>
          </cell>
          <cell r="T1559" t="str">
            <v>Functioning</v>
          </cell>
          <cell r="U1559" t="str">
            <v>Asset</v>
          </cell>
          <cell r="V1559">
            <v>1883</v>
          </cell>
          <cell r="W1559" t="str">
            <v>KEW</v>
          </cell>
          <cell r="X1559" t="str">
            <v>06/11/2014</v>
          </cell>
          <cell r="Y1559" t="str">
            <v>KEW</v>
          </cell>
          <cell r="Z1559" t="str">
            <v>05/12/2014</v>
          </cell>
          <cell r="AA1559" t="str">
            <v>04/12/2016</v>
          </cell>
          <cell r="AB1559" t="str">
            <v>No</v>
          </cell>
          <cell r="AC1559" t="str">
            <v>05/12/2014</v>
          </cell>
          <cell r="AD1559" t="str">
            <v>Good</v>
          </cell>
          <cell r="AE1559" t="str">
            <v>V3 - Added Installed Facilities (New)</v>
          </cell>
          <cell r="AF1559">
            <v>43404</v>
          </cell>
          <cell r="AG1559">
            <v>5</v>
          </cell>
          <cell r="AH1559" t="str">
            <v>PPM</v>
          </cell>
          <cell r="AI1559" t="str">
            <v>Strands</v>
          </cell>
          <cell r="AJ1559" t="str">
            <v>Strands PW</v>
          </cell>
          <cell r="AK1559" t="str">
            <v>SNF received. 1st batch of V3 asset (December 2020)</v>
          </cell>
        </row>
        <row r="1560">
          <cell r="A1560" t="str">
            <v>IKN401344</v>
          </cell>
          <cell r="B1560">
            <v>1338</v>
          </cell>
          <cell r="C1560" t="str">
            <v>Institut Kanser Negara</v>
          </cell>
          <cell r="D1560" t="str">
            <v>KKM/IKN/H/14/108</v>
          </cell>
          <cell r="E1560" t="str">
            <v>11-295</v>
          </cell>
          <cell r="F1560" t="str">
            <v>Dosimeters, Radiation</v>
          </cell>
          <cell r="G1560" t="str">
            <v>NM</v>
          </cell>
          <cell r="H1560" t="str">
            <v>NUCLEAR MED (DIAGNOSTIC)</v>
          </cell>
          <cell r="I1560" t="str">
            <v>03NM180</v>
          </cell>
          <cell r="J1560" t="str">
            <v>GEN.OFFICE</v>
          </cell>
          <cell r="K1560" t="str">
            <v>BMED</v>
          </cell>
          <cell r="L1560" t="str">
            <v>Normal</v>
          </cell>
          <cell r="M1560" t="str">
            <v>Japan</v>
          </cell>
          <cell r="N1560" t="str">
            <v>Aloka</v>
          </cell>
          <cell r="O1560" t="str">
            <v>PDM-222C-SH</v>
          </cell>
          <cell r="P1560" t="str">
            <v>203V1523</v>
          </cell>
          <cell r="Q1560" t="str">
            <v>Not Applicable</v>
          </cell>
          <cell r="R1560" t="str">
            <v>Hitachi Aloka Medical Co Ltd</v>
          </cell>
          <cell r="S1560" t="str">
            <v>Elite</v>
          </cell>
          <cell r="T1560" t="str">
            <v>Functioning</v>
          </cell>
          <cell r="U1560" t="str">
            <v>Asset</v>
          </cell>
          <cell r="V1560">
            <v>1883</v>
          </cell>
          <cell r="W1560" t="str">
            <v>KEW</v>
          </cell>
          <cell r="X1560" t="str">
            <v>06/11/2014</v>
          </cell>
          <cell r="Y1560" t="str">
            <v>KEW</v>
          </cell>
          <cell r="Z1560" t="str">
            <v>05/12/2014</v>
          </cell>
          <cell r="AA1560" t="str">
            <v>04/12/2016</v>
          </cell>
          <cell r="AB1560" t="str">
            <v>No</v>
          </cell>
          <cell r="AC1560" t="str">
            <v>05/12/2014</v>
          </cell>
          <cell r="AD1560" t="str">
            <v>Good</v>
          </cell>
          <cell r="AE1560" t="str">
            <v>V3 - Added Installed Facilities (New)</v>
          </cell>
          <cell r="AF1560">
            <v>43404</v>
          </cell>
          <cell r="AG1560">
            <v>5</v>
          </cell>
          <cell r="AH1560" t="str">
            <v>PPM</v>
          </cell>
          <cell r="AI1560" t="str">
            <v>Strands</v>
          </cell>
          <cell r="AJ1560" t="str">
            <v>Strands PW</v>
          </cell>
          <cell r="AK1560" t="str">
            <v>SNF received. 1st batch of V3 asset (December 2020)</v>
          </cell>
        </row>
        <row r="1561">
          <cell r="A1561" t="str">
            <v>IKN401346</v>
          </cell>
          <cell r="B1561">
            <v>1340</v>
          </cell>
          <cell r="C1561" t="str">
            <v>Institut Kanser Negara</v>
          </cell>
          <cell r="D1561" t="str">
            <v>KKM/IKN/H/14/114</v>
          </cell>
          <cell r="E1561" t="str">
            <v>11-295</v>
          </cell>
          <cell r="F1561" t="str">
            <v>Dosimeters, Radiation</v>
          </cell>
          <cell r="G1561" t="str">
            <v>NM</v>
          </cell>
          <cell r="H1561" t="str">
            <v>NUCLEAR MED (DIAGNOSTIC)</v>
          </cell>
          <cell r="I1561" t="str">
            <v>03NM180</v>
          </cell>
          <cell r="J1561" t="str">
            <v>GEN.OFFICE</v>
          </cell>
          <cell r="K1561" t="str">
            <v>BMED</v>
          </cell>
          <cell r="L1561" t="str">
            <v>Normal</v>
          </cell>
          <cell r="M1561" t="str">
            <v>Japan</v>
          </cell>
          <cell r="N1561" t="str">
            <v>Aloka</v>
          </cell>
          <cell r="O1561" t="str">
            <v>PDM-222C-SH</v>
          </cell>
          <cell r="P1561" t="str">
            <v>203V1529</v>
          </cell>
          <cell r="Q1561" t="str">
            <v>Not Applicable</v>
          </cell>
          <cell r="R1561" t="str">
            <v>Hitachi Aloka Medical Co Ltd</v>
          </cell>
          <cell r="S1561" t="str">
            <v>Elite</v>
          </cell>
          <cell r="T1561" t="str">
            <v>Functioning</v>
          </cell>
          <cell r="U1561" t="str">
            <v>Asset</v>
          </cell>
          <cell r="V1561">
            <v>1883</v>
          </cell>
          <cell r="W1561" t="str">
            <v>KEW</v>
          </cell>
          <cell r="X1561" t="str">
            <v>06/11/2014</v>
          </cell>
          <cell r="Y1561" t="str">
            <v>KEW</v>
          </cell>
          <cell r="Z1561" t="str">
            <v>05/12/2014</v>
          </cell>
          <cell r="AA1561" t="str">
            <v>04/12/2016</v>
          </cell>
          <cell r="AB1561" t="str">
            <v>No</v>
          </cell>
          <cell r="AC1561" t="str">
            <v>05/12/2014</v>
          </cell>
          <cell r="AD1561" t="str">
            <v>Good</v>
          </cell>
          <cell r="AE1561" t="str">
            <v>V3 - Added Installed Facilities (New)</v>
          </cell>
          <cell r="AF1561">
            <v>43404</v>
          </cell>
          <cell r="AG1561">
            <v>5</v>
          </cell>
          <cell r="AH1561" t="str">
            <v>PPM</v>
          </cell>
          <cell r="AI1561" t="str">
            <v>Strands</v>
          </cell>
          <cell r="AJ1561" t="str">
            <v>Strands PW</v>
          </cell>
          <cell r="AK1561" t="str">
            <v>SNF received. 1st batch of V3 asset (December 2020)</v>
          </cell>
        </row>
        <row r="1562">
          <cell r="A1562" t="str">
            <v>IKN401347</v>
          </cell>
          <cell r="B1562">
            <v>1341</v>
          </cell>
          <cell r="C1562" t="str">
            <v>Institut Kanser Negara</v>
          </cell>
          <cell r="D1562" t="str">
            <v>KKM/IKN/H/14/112</v>
          </cell>
          <cell r="E1562" t="str">
            <v>11-295</v>
          </cell>
          <cell r="F1562" t="str">
            <v>Dosimeters, Radiation</v>
          </cell>
          <cell r="G1562" t="str">
            <v>NM</v>
          </cell>
          <cell r="H1562" t="str">
            <v>NUCLEAR MED (DIAGNOSTIC)</v>
          </cell>
          <cell r="I1562" t="str">
            <v>03NM180</v>
          </cell>
          <cell r="J1562" t="str">
            <v>GEN.OFFICE</v>
          </cell>
          <cell r="K1562" t="str">
            <v>BMED</v>
          </cell>
          <cell r="L1562" t="str">
            <v>Normal</v>
          </cell>
          <cell r="M1562" t="str">
            <v>Japan</v>
          </cell>
          <cell r="N1562" t="str">
            <v>Aloka</v>
          </cell>
          <cell r="O1562" t="str">
            <v>PDM-222C-SH</v>
          </cell>
          <cell r="P1562" t="str">
            <v>203V1527</v>
          </cell>
          <cell r="Q1562" t="str">
            <v>Not Applicable</v>
          </cell>
          <cell r="R1562" t="str">
            <v>Hitachi Aloka Medical Co Ltd</v>
          </cell>
          <cell r="S1562" t="str">
            <v>Elite</v>
          </cell>
          <cell r="T1562" t="str">
            <v>Functioning</v>
          </cell>
          <cell r="U1562" t="str">
            <v>Asset</v>
          </cell>
          <cell r="V1562">
            <v>1883</v>
          </cell>
          <cell r="W1562" t="str">
            <v>KEW</v>
          </cell>
          <cell r="X1562" t="str">
            <v>06/11/2014</v>
          </cell>
          <cell r="Y1562" t="str">
            <v>KEW</v>
          </cell>
          <cell r="Z1562" t="str">
            <v>05/12/2014</v>
          </cell>
          <cell r="AA1562" t="str">
            <v>04/12/2016</v>
          </cell>
          <cell r="AB1562" t="str">
            <v>No</v>
          </cell>
          <cell r="AC1562" t="str">
            <v>05/12/2014</v>
          </cell>
          <cell r="AD1562" t="str">
            <v>Good</v>
          </cell>
          <cell r="AE1562" t="str">
            <v>V3 - Added Installed Facilities (New)</v>
          </cell>
          <cell r="AF1562">
            <v>43404</v>
          </cell>
          <cell r="AG1562">
            <v>5</v>
          </cell>
          <cell r="AH1562" t="str">
            <v>PPM</v>
          </cell>
          <cell r="AI1562" t="str">
            <v>Strands</v>
          </cell>
          <cell r="AJ1562" t="str">
            <v>Strands PW</v>
          </cell>
          <cell r="AK1562" t="str">
            <v>SNF received. 1st batch of V3 asset (December 2020)</v>
          </cell>
        </row>
        <row r="1563">
          <cell r="A1563" t="str">
            <v>IKN401348</v>
          </cell>
          <cell r="B1563">
            <v>1342</v>
          </cell>
          <cell r="C1563" t="str">
            <v>Institut Kanser Negara</v>
          </cell>
          <cell r="D1563" t="str">
            <v>KKM/IKN/H/14/111</v>
          </cell>
          <cell r="E1563" t="str">
            <v>11-295</v>
          </cell>
          <cell r="F1563" t="str">
            <v>Dosimeters, Radiation</v>
          </cell>
          <cell r="G1563" t="str">
            <v>NM</v>
          </cell>
          <cell r="H1563" t="str">
            <v>NUCLEAR MED (DIAGNOSTIC)</v>
          </cell>
          <cell r="I1563" t="str">
            <v>03NM180</v>
          </cell>
          <cell r="J1563" t="str">
            <v>GEN.OFFICE</v>
          </cell>
          <cell r="K1563" t="str">
            <v>BMED</v>
          </cell>
          <cell r="L1563" t="str">
            <v>Normal</v>
          </cell>
          <cell r="M1563" t="str">
            <v>Japan</v>
          </cell>
          <cell r="N1563" t="str">
            <v>Aloka</v>
          </cell>
          <cell r="O1563" t="str">
            <v>PDM-222C-SH</v>
          </cell>
          <cell r="P1563" t="str">
            <v>203V1526</v>
          </cell>
          <cell r="Q1563" t="str">
            <v>Not Applicable</v>
          </cell>
          <cell r="R1563" t="str">
            <v>Hitachi Aloka Medical Co Ltd</v>
          </cell>
          <cell r="S1563" t="str">
            <v>Elite</v>
          </cell>
          <cell r="T1563" t="str">
            <v>Functioning</v>
          </cell>
          <cell r="U1563" t="str">
            <v>Asset</v>
          </cell>
          <cell r="V1563">
            <v>1883</v>
          </cell>
          <cell r="W1563" t="str">
            <v>KEW</v>
          </cell>
          <cell r="X1563" t="str">
            <v>06/11/2014</v>
          </cell>
          <cell r="Y1563" t="str">
            <v>KEW</v>
          </cell>
          <cell r="Z1563" t="str">
            <v>05/12/2014</v>
          </cell>
          <cell r="AA1563" t="str">
            <v>04/12/2016</v>
          </cell>
          <cell r="AB1563" t="str">
            <v>No</v>
          </cell>
          <cell r="AC1563" t="str">
            <v>05/12/2014</v>
          </cell>
          <cell r="AD1563" t="str">
            <v>Good</v>
          </cell>
          <cell r="AE1563" t="str">
            <v>V3 - Added Installed Facilities (New)</v>
          </cell>
          <cell r="AF1563">
            <v>43404</v>
          </cell>
          <cell r="AG1563">
            <v>5</v>
          </cell>
          <cell r="AH1563" t="str">
            <v>PPM</v>
          </cell>
          <cell r="AI1563" t="str">
            <v>Strands</v>
          </cell>
          <cell r="AJ1563" t="str">
            <v>Strands PW</v>
          </cell>
          <cell r="AK1563" t="str">
            <v>SNF received. 1st batch of V3 asset (December 2020)</v>
          </cell>
        </row>
        <row r="1564">
          <cell r="A1564" t="str">
            <v>IKN401349</v>
          </cell>
          <cell r="B1564">
            <v>1343</v>
          </cell>
          <cell r="C1564" t="str">
            <v>Institut Kanser Negara</v>
          </cell>
          <cell r="D1564" t="str">
            <v>KKM/IKN/H/14/110</v>
          </cell>
          <cell r="E1564" t="str">
            <v>11-295</v>
          </cell>
          <cell r="F1564" t="str">
            <v>Dosimeters, Radiation</v>
          </cell>
          <cell r="G1564" t="str">
            <v>NM</v>
          </cell>
          <cell r="H1564" t="str">
            <v>NUCLEAR MED (DIAGNOSTIC)</v>
          </cell>
          <cell r="I1564" t="str">
            <v>03NM180</v>
          </cell>
          <cell r="J1564" t="str">
            <v>GEN.OFFICE</v>
          </cell>
          <cell r="K1564" t="str">
            <v>BMED</v>
          </cell>
          <cell r="L1564" t="str">
            <v>Normal</v>
          </cell>
          <cell r="M1564" t="str">
            <v>Japan</v>
          </cell>
          <cell r="N1564" t="str">
            <v>Aloka</v>
          </cell>
          <cell r="O1564" t="str">
            <v>PDM-222C-SH</v>
          </cell>
          <cell r="P1564" t="str">
            <v>203V1525</v>
          </cell>
          <cell r="Q1564" t="str">
            <v>Not Applicable</v>
          </cell>
          <cell r="R1564" t="str">
            <v>Hitachi Aloka Medical Co Ltd</v>
          </cell>
          <cell r="S1564" t="str">
            <v>Elite</v>
          </cell>
          <cell r="T1564" t="str">
            <v>Functioning</v>
          </cell>
          <cell r="U1564" t="str">
            <v>Asset</v>
          </cell>
          <cell r="V1564">
            <v>1883</v>
          </cell>
          <cell r="W1564" t="str">
            <v>KEW</v>
          </cell>
          <cell r="X1564" t="str">
            <v>06/11/2014</v>
          </cell>
          <cell r="Y1564" t="str">
            <v>KEW</v>
          </cell>
          <cell r="Z1564" t="str">
            <v>05/12/2014</v>
          </cell>
          <cell r="AA1564" t="str">
            <v>04/12/2016</v>
          </cell>
          <cell r="AB1564" t="str">
            <v>No</v>
          </cell>
          <cell r="AC1564" t="str">
            <v>05/12/2014</v>
          </cell>
          <cell r="AD1564" t="str">
            <v>Good</v>
          </cell>
          <cell r="AE1564" t="str">
            <v>V3 - Added Installed Facilities (New)</v>
          </cell>
          <cell r="AF1564">
            <v>43404</v>
          </cell>
          <cell r="AG1564">
            <v>5</v>
          </cell>
          <cell r="AH1564" t="str">
            <v>PPM</v>
          </cell>
          <cell r="AI1564" t="str">
            <v>Strands</v>
          </cell>
          <cell r="AJ1564" t="str">
            <v>Strands PW</v>
          </cell>
          <cell r="AK1564" t="str">
            <v>SNF received. 1st batch of V3 asset (December 2020)</v>
          </cell>
        </row>
        <row r="1565">
          <cell r="A1565" t="str">
            <v>IKN401350</v>
          </cell>
          <cell r="B1565">
            <v>1344</v>
          </cell>
          <cell r="C1565" t="str">
            <v>Institut Kanser Negara</v>
          </cell>
          <cell r="D1565" t="str">
            <v>KKM/IKN/H/14/102</v>
          </cell>
          <cell r="E1565" t="str">
            <v>11-295</v>
          </cell>
          <cell r="F1565" t="str">
            <v>Dosimeters, Radiation</v>
          </cell>
          <cell r="G1565" t="str">
            <v>NM</v>
          </cell>
          <cell r="H1565" t="str">
            <v>NUCLEAR MED (DIAGNOSTIC)</v>
          </cell>
          <cell r="I1565" t="str">
            <v>03NM180</v>
          </cell>
          <cell r="J1565" t="str">
            <v>GEN.OFFICE</v>
          </cell>
          <cell r="K1565" t="str">
            <v>BMED</v>
          </cell>
          <cell r="L1565" t="str">
            <v>Normal</v>
          </cell>
          <cell r="M1565" t="str">
            <v>Japan</v>
          </cell>
          <cell r="N1565" t="str">
            <v>Aloka</v>
          </cell>
          <cell r="O1565" t="str">
            <v>PDM-222C-SH</v>
          </cell>
          <cell r="P1565" t="str">
            <v>203V1531</v>
          </cell>
          <cell r="Q1565" t="str">
            <v>Not Applicable</v>
          </cell>
          <cell r="R1565" t="str">
            <v>Hitachi Aloka Medical Co Ltd</v>
          </cell>
          <cell r="S1565" t="str">
            <v>Elite</v>
          </cell>
          <cell r="T1565" t="str">
            <v>Functioning</v>
          </cell>
          <cell r="U1565" t="str">
            <v>Asset</v>
          </cell>
          <cell r="V1565">
            <v>1883</v>
          </cell>
          <cell r="W1565" t="str">
            <v>KEW</v>
          </cell>
          <cell r="X1565" t="str">
            <v>06/11/2014</v>
          </cell>
          <cell r="Y1565" t="str">
            <v>KEW</v>
          </cell>
          <cell r="Z1565" t="str">
            <v>05/12/2014</v>
          </cell>
          <cell r="AA1565" t="str">
            <v>04/12/2016</v>
          </cell>
          <cell r="AB1565" t="str">
            <v>No</v>
          </cell>
          <cell r="AC1565" t="str">
            <v>05/12/2014</v>
          </cell>
          <cell r="AD1565" t="str">
            <v>Good</v>
          </cell>
          <cell r="AE1565" t="str">
            <v>V3 - Added Installed Facilities (New)</v>
          </cell>
          <cell r="AF1565">
            <v>43404</v>
          </cell>
          <cell r="AG1565">
            <v>5</v>
          </cell>
          <cell r="AH1565" t="str">
            <v>PPM</v>
          </cell>
          <cell r="AI1565" t="str">
            <v>Strands</v>
          </cell>
          <cell r="AJ1565" t="str">
            <v>Strands PW</v>
          </cell>
          <cell r="AK1565" t="str">
            <v>SNF received. 1st batch of V3 asset (December 2020)</v>
          </cell>
        </row>
        <row r="1566">
          <cell r="A1566" t="str">
            <v>IKN401351</v>
          </cell>
          <cell r="B1566">
            <v>1345</v>
          </cell>
          <cell r="C1566" t="str">
            <v>Institut Kanser Negara</v>
          </cell>
          <cell r="D1566" t="str">
            <v>KKM/IKN/H/14/115</v>
          </cell>
          <cell r="E1566" t="str">
            <v>11-295</v>
          </cell>
          <cell r="F1566" t="str">
            <v>Dosimeters, Radiation</v>
          </cell>
          <cell r="G1566" t="str">
            <v>NM</v>
          </cell>
          <cell r="H1566" t="str">
            <v>NUCLEAR MED (DIAGNOSTIC)</v>
          </cell>
          <cell r="I1566" t="str">
            <v>03NM180</v>
          </cell>
          <cell r="J1566" t="str">
            <v>GEN.OFFICE</v>
          </cell>
          <cell r="K1566" t="str">
            <v>BMED</v>
          </cell>
          <cell r="L1566" t="str">
            <v>Normal</v>
          </cell>
          <cell r="M1566" t="str">
            <v>Japan</v>
          </cell>
          <cell r="N1566" t="str">
            <v>Aloka</v>
          </cell>
          <cell r="O1566" t="str">
            <v>PDM-222C-SH</v>
          </cell>
          <cell r="P1566" t="str">
            <v>203V1530</v>
          </cell>
          <cell r="Q1566" t="str">
            <v>Not Applicable</v>
          </cell>
          <cell r="R1566" t="str">
            <v>Hitachi Aloka Medical Co Ltd</v>
          </cell>
          <cell r="S1566" t="str">
            <v>Elite</v>
          </cell>
          <cell r="T1566" t="str">
            <v>Functioning</v>
          </cell>
          <cell r="U1566" t="str">
            <v>Asset</v>
          </cell>
          <cell r="V1566">
            <v>1883</v>
          </cell>
          <cell r="W1566" t="str">
            <v>KEW</v>
          </cell>
          <cell r="X1566" t="str">
            <v>06/11/2014</v>
          </cell>
          <cell r="Y1566" t="str">
            <v>KEW</v>
          </cell>
          <cell r="Z1566" t="str">
            <v>05/12/2014</v>
          </cell>
          <cell r="AA1566" t="str">
            <v>04/12/2016</v>
          </cell>
          <cell r="AB1566" t="str">
            <v>No</v>
          </cell>
          <cell r="AC1566" t="str">
            <v>05/12/2014</v>
          </cell>
          <cell r="AD1566" t="str">
            <v>Good</v>
          </cell>
          <cell r="AE1566" t="str">
            <v>V3 - Added Installed Facilities (New)</v>
          </cell>
          <cell r="AF1566">
            <v>43404</v>
          </cell>
          <cell r="AG1566">
            <v>5</v>
          </cell>
          <cell r="AH1566" t="str">
            <v>PPM</v>
          </cell>
          <cell r="AI1566" t="str">
            <v>Strands</v>
          </cell>
          <cell r="AJ1566" t="str">
            <v>Strands PW</v>
          </cell>
          <cell r="AK1566" t="str">
            <v>SNF received. 1st batch of V3 asset (December 2020).</v>
          </cell>
        </row>
        <row r="1567">
          <cell r="A1567" t="str">
            <v>IKN401352</v>
          </cell>
          <cell r="B1567">
            <v>1346</v>
          </cell>
          <cell r="C1567" t="str">
            <v>Institut Kanser Negara</v>
          </cell>
          <cell r="D1567" t="str">
            <v>KKM/IKN/H/14/107</v>
          </cell>
          <cell r="E1567" t="str">
            <v>11-295</v>
          </cell>
          <cell r="F1567" t="str">
            <v>Dosimeters, Radiation</v>
          </cell>
          <cell r="G1567" t="str">
            <v>NM</v>
          </cell>
          <cell r="H1567" t="str">
            <v>NUCLEAR MED (DIAGNOSTIC)</v>
          </cell>
          <cell r="I1567" t="str">
            <v>03NM180</v>
          </cell>
          <cell r="J1567" t="str">
            <v>GEN.OFFICE</v>
          </cell>
          <cell r="K1567" t="str">
            <v>BMED</v>
          </cell>
          <cell r="L1567" t="str">
            <v>Normal</v>
          </cell>
          <cell r="M1567" t="str">
            <v>Japan</v>
          </cell>
          <cell r="N1567" t="str">
            <v>Aloka</v>
          </cell>
          <cell r="O1567" t="str">
            <v>PDM-222C-SH</v>
          </cell>
          <cell r="P1567" t="str">
            <v>203V1522</v>
          </cell>
          <cell r="Q1567" t="str">
            <v>Not Applicable</v>
          </cell>
          <cell r="R1567" t="str">
            <v>Hitachi Aloka Medical Co Ltd</v>
          </cell>
          <cell r="S1567" t="str">
            <v>Elite</v>
          </cell>
          <cell r="T1567" t="str">
            <v>Functioning</v>
          </cell>
          <cell r="U1567" t="str">
            <v>Asset</v>
          </cell>
          <cell r="V1567">
            <v>1883</v>
          </cell>
          <cell r="W1567" t="str">
            <v>KEW</v>
          </cell>
          <cell r="X1567" t="str">
            <v>06/11/2014</v>
          </cell>
          <cell r="Y1567" t="str">
            <v>KEW</v>
          </cell>
          <cell r="Z1567" t="str">
            <v>05/12/2014</v>
          </cell>
          <cell r="AA1567" t="str">
            <v>04/12/2016</v>
          </cell>
          <cell r="AB1567" t="str">
            <v>No</v>
          </cell>
          <cell r="AC1567" t="str">
            <v>05/12/2014</v>
          </cell>
          <cell r="AD1567" t="str">
            <v>Good</v>
          </cell>
          <cell r="AE1567" t="str">
            <v>V3 - Added Installed Facilities (New)</v>
          </cell>
          <cell r="AF1567">
            <v>43404</v>
          </cell>
          <cell r="AG1567">
            <v>5</v>
          </cell>
          <cell r="AH1567" t="str">
            <v>PPM</v>
          </cell>
          <cell r="AI1567" t="str">
            <v>Strands</v>
          </cell>
          <cell r="AJ1567" t="str">
            <v>Strands PW</v>
          </cell>
          <cell r="AK1567" t="str">
            <v>SNF received. 1st batch of V3 asset (December 2020) [Masukkan dalam schedule PPM Feb 2024]</v>
          </cell>
        </row>
        <row r="1568">
          <cell r="A1568" t="str">
            <v>IKN401353</v>
          </cell>
          <cell r="B1568">
            <v>1347</v>
          </cell>
          <cell r="C1568" t="str">
            <v>Institut Kanser Negara</v>
          </cell>
          <cell r="D1568" t="str">
            <v>KKM/IKN/H/16/28</v>
          </cell>
          <cell r="E1568" t="str">
            <v>11-758</v>
          </cell>
          <cell r="F1568" t="str">
            <v>Radiographic/Fluoroscopic Units, Mobile</v>
          </cell>
          <cell r="G1568" t="str">
            <v>ID</v>
          </cell>
          <cell r="H1568" t="str">
            <v>IMAGING DEPARTMENT</v>
          </cell>
          <cell r="I1568" t="str">
            <v>05OT159</v>
          </cell>
          <cell r="J1568" t="str">
            <v>POST-OP/RECOVERY (FUTURE)</v>
          </cell>
          <cell r="K1568" t="str">
            <v>BMED</v>
          </cell>
          <cell r="L1568" t="str">
            <v>Critical</v>
          </cell>
          <cell r="M1568" t="str">
            <v>Italy</v>
          </cell>
          <cell r="N1568" t="str">
            <v>Eurocolumbus</v>
          </cell>
          <cell r="O1568" t="str">
            <v>Alien 9</v>
          </cell>
          <cell r="P1568" t="str">
            <v>1717</v>
          </cell>
          <cell r="Q1568" t="str">
            <v>Not Applicable</v>
          </cell>
          <cell r="R1568" t="str">
            <v>Eurocolumbus</v>
          </cell>
          <cell r="S1568" t="str">
            <v>Alam Medik Sdn. Bhd</v>
          </cell>
          <cell r="T1568" t="str">
            <v>Functioning</v>
          </cell>
          <cell r="U1568" t="str">
            <v>Asset</v>
          </cell>
          <cell r="V1568">
            <v>399000</v>
          </cell>
          <cell r="W1568" t="str">
            <v>KEW</v>
          </cell>
          <cell r="X1568" t="str">
            <v>25/10/2016</v>
          </cell>
          <cell r="Y1568" t="str">
            <v>KEW</v>
          </cell>
          <cell r="Z1568" t="str">
            <v>19/12/2016</v>
          </cell>
          <cell r="AA1568" t="str">
            <v>18/12/2017</v>
          </cell>
          <cell r="AB1568" t="str">
            <v>No</v>
          </cell>
          <cell r="AC1568" t="str">
            <v>19/12/2016</v>
          </cell>
          <cell r="AD1568" t="str">
            <v>Good</v>
          </cell>
          <cell r="AE1568" t="str">
            <v>V3 - Added Installed Facilities (New)</v>
          </cell>
          <cell r="AF1568">
            <v>42843</v>
          </cell>
          <cell r="AG1568">
            <v>3.08</v>
          </cell>
          <cell r="AH1568" t="str">
            <v>PPM</v>
          </cell>
          <cell r="AI1568" t="str">
            <v>Strands</v>
          </cell>
          <cell r="AJ1568" t="str">
            <v>Strands PW</v>
          </cell>
          <cell r="AK1568" t="str">
            <v>SNF received on 25.2.2020. [5/3/2024, ANIS]: Under ID tapi barang dekat GOT.</v>
          </cell>
        </row>
        <row r="1569">
          <cell r="A1569" t="str">
            <v>IKN401354</v>
          </cell>
          <cell r="B1569">
            <v>1348</v>
          </cell>
          <cell r="C1569" t="str">
            <v>Institut Kanser Negara</v>
          </cell>
          <cell r="D1569" t="str">
            <v>KKM/IKN/H/13/4634</v>
          </cell>
          <cell r="E1569" t="str">
            <v>13-209</v>
          </cell>
          <cell r="F1569" t="str">
            <v>Pumps, Enteral Feeding</v>
          </cell>
          <cell r="G1569" t="str">
            <v>DU</v>
          </cell>
          <cell r="H1569" t="str">
            <v>DIETICIAN UNIT</v>
          </cell>
          <cell r="I1569" t="str">
            <v>03DU103</v>
          </cell>
          <cell r="J1569" t="str">
            <v>COUNSELLING 1</v>
          </cell>
          <cell r="K1569" t="str">
            <v>BMED</v>
          </cell>
          <cell r="L1569" t="str">
            <v>Normal</v>
          </cell>
          <cell r="M1569" t="str">
            <v>USA</v>
          </cell>
          <cell r="N1569" t="str">
            <v>Sentinel</v>
          </cell>
          <cell r="O1569" t="str">
            <v>Sentinel S-2000</v>
          </cell>
          <cell r="P1569" t="str">
            <v>18072</v>
          </cell>
          <cell r="Q1569" t="str">
            <v>KKM/IKN/H/13/4634</v>
          </cell>
          <cell r="R1569" t="str">
            <v>Alcor Scientific Inc</v>
          </cell>
          <cell r="S1569" t="str">
            <v>Insani Damai</v>
          </cell>
          <cell r="T1569" t="str">
            <v>Functioning</v>
          </cell>
          <cell r="U1569" t="str">
            <v>Asset</v>
          </cell>
          <cell r="V1569">
            <v>2500</v>
          </cell>
          <cell r="W1569" t="str">
            <v>KEW</v>
          </cell>
          <cell r="X1569" t="str">
            <v>09/12/2013</v>
          </cell>
          <cell r="Y1569" t="str">
            <v>KEW</v>
          </cell>
          <cell r="Z1569" t="str">
            <v>10/12/2013</v>
          </cell>
          <cell r="AA1569" t="str">
            <v>09/12/2014</v>
          </cell>
          <cell r="AB1569" t="str">
            <v>No</v>
          </cell>
          <cell r="AC1569" t="str">
            <v>10/12/2013</v>
          </cell>
          <cell r="AD1569" t="str">
            <v>Good</v>
          </cell>
          <cell r="AE1569" t="str">
            <v>V3 - Added Installed Facilities (New)</v>
          </cell>
          <cell r="AF1569">
            <v>42796</v>
          </cell>
          <cell r="AG1569">
            <v>5.92</v>
          </cell>
          <cell r="AH1569" t="str">
            <v>PPM</v>
          </cell>
          <cell r="AI1569" t="str">
            <v>Strands</v>
          </cell>
          <cell r="AJ1569" t="str">
            <v>Strands PW</v>
          </cell>
          <cell r="AK1569" t="str">
            <v>SNF received. 1st batch of V3 asset (December 2020)</v>
          </cell>
        </row>
        <row r="1570">
          <cell r="A1570" t="str">
            <v>IKN401355</v>
          </cell>
          <cell r="B1570">
            <v>1349</v>
          </cell>
          <cell r="C1570" t="str">
            <v>Institut Kanser Negara</v>
          </cell>
          <cell r="D1570" t="str">
            <v>KKM/IKN/H/13/4633</v>
          </cell>
          <cell r="E1570" t="str">
            <v>13-209</v>
          </cell>
          <cell r="F1570" t="str">
            <v>Pumps, Enteral Feeding</v>
          </cell>
          <cell r="G1570" t="str">
            <v>DU</v>
          </cell>
          <cell r="H1570" t="str">
            <v>DIETICIAN UNIT</v>
          </cell>
          <cell r="I1570" t="str">
            <v>03DU103</v>
          </cell>
          <cell r="J1570" t="str">
            <v>COUNSELLING 1</v>
          </cell>
          <cell r="K1570" t="str">
            <v>BMED</v>
          </cell>
          <cell r="L1570" t="str">
            <v>Normal</v>
          </cell>
          <cell r="M1570" t="str">
            <v>USA</v>
          </cell>
          <cell r="N1570" t="str">
            <v>Sentinel</v>
          </cell>
          <cell r="O1570" t="str">
            <v>Sentinel S-2000</v>
          </cell>
          <cell r="P1570" t="str">
            <v>18024</v>
          </cell>
          <cell r="Q1570" t="str">
            <v>KKM/IKN/H/13/4633</v>
          </cell>
          <cell r="R1570" t="str">
            <v>Alcor Scientific Inc</v>
          </cell>
          <cell r="S1570" t="str">
            <v>Insani Damai</v>
          </cell>
          <cell r="T1570" t="str">
            <v>Functioning</v>
          </cell>
          <cell r="U1570" t="str">
            <v>Asset</v>
          </cell>
          <cell r="V1570">
            <v>2500</v>
          </cell>
          <cell r="W1570" t="str">
            <v>KEW</v>
          </cell>
          <cell r="X1570" t="str">
            <v>09/12/2013</v>
          </cell>
          <cell r="Y1570" t="str">
            <v>KEW</v>
          </cell>
          <cell r="Z1570" t="str">
            <v>10/12/2013</v>
          </cell>
          <cell r="AA1570" t="str">
            <v>09/12/2014</v>
          </cell>
          <cell r="AB1570" t="str">
            <v>No</v>
          </cell>
          <cell r="AC1570" t="str">
            <v>10/12/2013</v>
          </cell>
          <cell r="AD1570" t="str">
            <v>Good</v>
          </cell>
          <cell r="AE1570" t="str">
            <v>V3 - Added Installed Facilities (New)</v>
          </cell>
          <cell r="AF1570">
            <v>42796</v>
          </cell>
          <cell r="AG1570">
            <v>5.92</v>
          </cell>
          <cell r="AH1570" t="str">
            <v>PPM</v>
          </cell>
          <cell r="AI1570" t="str">
            <v>Strands</v>
          </cell>
          <cell r="AJ1570" t="str">
            <v>Strands PW</v>
          </cell>
          <cell r="AK1570" t="str">
            <v>SNF received. 1st batch of V3 asset (December 2020)</v>
          </cell>
        </row>
        <row r="1571">
          <cell r="A1571" t="str">
            <v>IKN401356</v>
          </cell>
          <cell r="B1571">
            <v>1350</v>
          </cell>
          <cell r="C1571" t="str">
            <v>Institut Kanser Negara</v>
          </cell>
          <cell r="D1571" t="str">
            <v>KKM/IKN/H/13/4490</v>
          </cell>
          <cell r="E1571" t="str">
            <v>13-209</v>
          </cell>
          <cell r="F1571" t="str">
            <v>Pumps, Enteral Feeding</v>
          </cell>
          <cell r="G1571" t="str">
            <v>DU</v>
          </cell>
          <cell r="H1571" t="str">
            <v>DIETICIAN UNIT</v>
          </cell>
          <cell r="I1571" t="str">
            <v>03DU103</v>
          </cell>
          <cell r="J1571" t="str">
            <v>COUNSELLING 1</v>
          </cell>
          <cell r="K1571" t="str">
            <v>BMED</v>
          </cell>
          <cell r="L1571" t="str">
            <v>Normal</v>
          </cell>
          <cell r="M1571" t="str">
            <v>USA</v>
          </cell>
          <cell r="N1571" t="str">
            <v>Sentinel</v>
          </cell>
          <cell r="O1571" t="str">
            <v>Sentinel S-2000</v>
          </cell>
          <cell r="P1571" t="str">
            <v>18020</v>
          </cell>
          <cell r="Q1571" t="str">
            <v>KKM/IKN/H/13/4490</v>
          </cell>
          <cell r="R1571" t="str">
            <v>Alcor Scientific Inc</v>
          </cell>
          <cell r="S1571" t="str">
            <v>Insani Damai</v>
          </cell>
          <cell r="T1571" t="str">
            <v>Functioning</v>
          </cell>
          <cell r="U1571" t="str">
            <v>Asset</v>
          </cell>
          <cell r="V1571">
            <v>2500</v>
          </cell>
          <cell r="W1571" t="str">
            <v>KEW</v>
          </cell>
          <cell r="X1571" t="str">
            <v>09/12/2013</v>
          </cell>
          <cell r="Y1571" t="str">
            <v>KEW</v>
          </cell>
          <cell r="Z1571" t="str">
            <v>10/12/2013</v>
          </cell>
          <cell r="AA1571" t="str">
            <v>09/12/2014</v>
          </cell>
          <cell r="AB1571" t="str">
            <v>No</v>
          </cell>
          <cell r="AC1571" t="str">
            <v>10/12/2013</v>
          </cell>
          <cell r="AD1571" t="str">
            <v>Good</v>
          </cell>
          <cell r="AE1571" t="str">
            <v>V3 - Added Installed Facilities (New)</v>
          </cell>
          <cell r="AF1571">
            <v>42796</v>
          </cell>
          <cell r="AG1571">
            <v>5.92</v>
          </cell>
          <cell r="AH1571" t="str">
            <v>PPM</v>
          </cell>
          <cell r="AI1571" t="str">
            <v>Strands</v>
          </cell>
          <cell r="AJ1571" t="str">
            <v>Strands PW</v>
          </cell>
          <cell r="AK1571" t="str">
            <v>SNF received. 1st batch of V3 asset (December 2020)</v>
          </cell>
        </row>
        <row r="1572">
          <cell r="A1572" t="str">
            <v>IKN401357</v>
          </cell>
          <cell r="B1572">
            <v>1351</v>
          </cell>
          <cell r="C1572" t="str">
            <v>Institut Kanser Negara</v>
          </cell>
          <cell r="D1572" t="str">
            <v>KKM/IKN/H/13/4491</v>
          </cell>
          <cell r="E1572" t="str">
            <v>13-209</v>
          </cell>
          <cell r="F1572" t="str">
            <v>Pumps, Enteral Feeding</v>
          </cell>
          <cell r="G1572" t="str">
            <v>DU</v>
          </cell>
          <cell r="H1572" t="str">
            <v>DIETICIAN UNIT</v>
          </cell>
          <cell r="I1572" t="str">
            <v>03DU103</v>
          </cell>
          <cell r="J1572" t="str">
            <v>COUNSELLING 1</v>
          </cell>
          <cell r="K1572" t="str">
            <v>BMED</v>
          </cell>
          <cell r="L1572" t="str">
            <v>Normal</v>
          </cell>
          <cell r="M1572" t="str">
            <v>USA</v>
          </cell>
          <cell r="N1572" t="str">
            <v>Sentinel</v>
          </cell>
          <cell r="O1572" t="str">
            <v>Sentinel S-2000</v>
          </cell>
          <cell r="P1572" t="str">
            <v>18074</v>
          </cell>
          <cell r="Q1572" t="str">
            <v>KKM/IKN/H/13/4491</v>
          </cell>
          <cell r="R1572" t="str">
            <v>Alcor Scientific Inc</v>
          </cell>
          <cell r="S1572" t="str">
            <v>Insani Damai</v>
          </cell>
          <cell r="T1572" t="str">
            <v>Functioning</v>
          </cell>
          <cell r="U1572" t="str">
            <v>Asset</v>
          </cell>
          <cell r="V1572">
            <v>2500</v>
          </cell>
          <cell r="W1572" t="str">
            <v>KEW</v>
          </cell>
          <cell r="X1572" t="str">
            <v>09/12/2013</v>
          </cell>
          <cell r="Y1572" t="str">
            <v>KEW</v>
          </cell>
          <cell r="Z1572" t="str">
            <v>10/12/2013</v>
          </cell>
          <cell r="AA1572" t="str">
            <v>09/12/2014</v>
          </cell>
          <cell r="AB1572" t="str">
            <v>No</v>
          </cell>
          <cell r="AC1572" t="str">
            <v>10/12/2013</v>
          </cell>
          <cell r="AD1572" t="str">
            <v>Good</v>
          </cell>
          <cell r="AE1572" t="str">
            <v>V3 - Added Installed Facilities (New)</v>
          </cell>
          <cell r="AF1572">
            <v>42796</v>
          </cell>
          <cell r="AG1572">
            <v>5.92</v>
          </cell>
          <cell r="AH1572" t="str">
            <v>PPM</v>
          </cell>
          <cell r="AI1572" t="str">
            <v>Strands</v>
          </cell>
          <cell r="AJ1572" t="str">
            <v>Strands PW</v>
          </cell>
          <cell r="AK1572" t="str">
            <v>SNF received. 1st batch of V3 asset (December 2020)</v>
          </cell>
        </row>
        <row r="1573">
          <cell r="A1573" t="str">
            <v>IKN401358</v>
          </cell>
          <cell r="B1573">
            <v>1352</v>
          </cell>
          <cell r="C1573" t="str">
            <v>Institut Kanser Negara</v>
          </cell>
          <cell r="D1573" t="str">
            <v>KKM/IKN/H/13/4516</v>
          </cell>
          <cell r="E1573" t="str">
            <v>13-209</v>
          </cell>
          <cell r="F1573" t="str">
            <v>Pumps, Enteral Feeding</v>
          </cell>
          <cell r="G1573" t="str">
            <v>DU</v>
          </cell>
          <cell r="H1573" t="str">
            <v>DIETICIAN UNIT</v>
          </cell>
          <cell r="I1573" t="str">
            <v>03DU103</v>
          </cell>
          <cell r="J1573" t="str">
            <v>COUNSELLING 1</v>
          </cell>
          <cell r="K1573" t="str">
            <v>BMED</v>
          </cell>
          <cell r="L1573" t="str">
            <v>Normal</v>
          </cell>
          <cell r="M1573" t="str">
            <v>USA</v>
          </cell>
          <cell r="N1573" t="str">
            <v>Sentinel</v>
          </cell>
          <cell r="O1573" t="str">
            <v>Sentinel S-2000</v>
          </cell>
          <cell r="P1573" t="str">
            <v>18022</v>
          </cell>
          <cell r="Q1573" t="str">
            <v>KKM/IKN/H/13/4516</v>
          </cell>
          <cell r="R1573" t="str">
            <v>Alcor Scientific Inc</v>
          </cell>
          <cell r="S1573" t="str">
            <v>Insani Damai</v>
          </cell>
          <cell r="T1573" t="str">
            <v>Functioning</v>
          </cell>
          <cell r="U1573" t="str">
            <v>Asset</v>
          </cell>
          <cell r="V1573">
            <v>2500</v>
          </cell>
          <cell r="W1573" t="str">
            <v>KEW</v>
          </cell>
          <cell r="X1573" t="str">
            <v>09/12/2013</v>
          </cell>
          <cell r="Y1573" t="str">
            <v>KEW</v>
          </cell>
          <cell r="Z1573" t="str">
            <v>10/12/2013</v>
          </cell>
          <cell r="AA1573" t="str">
            <v>09/12/2014</v>
          </cell>
          <cell r="AB1573" t="str">
            <v>No</v>
          </cell>
          <cell r="AC1573" t="str">
            <v>10/12/2013</v>
          </cell>
          <cell r="AD1573" t="str">
            <v>Good</v>
          </cell>
          <cell r="AE1573" t="str">
            <v>V3 - Added Installed Facilities (New)</v>
          </cell>
          <cell r="AF1573">
            <v>42796</v>
          </cell>
          <cell r="AG1573">
            <v>5.92</v>
          </cell>
          <cell r="AH1573" t="str">
            <v>PPM</v>
          </cell>
          <cell r="AI1573" t="str">
            <v>Strands</v>
          </cell>
          <cell r="AJ1573" t="str">
            <v>Strands PW</v>
          </cell>
          <cell r="AK1573" t="str">
            <v>SNF received. 1st batch of V3 asset (December 2020)</v>
          </cell>
        </row>
        <row r="1574">
          <cell r="A1574" t="str">
            <v>IKN401359</v>
          </cell>
          <cell r="B1574">
            <v>1353</v>
          </cell>
          <cell r="C1574" t="str">
            <v>Institut Kanser Negara</v>
          </cell>
          <cell r="D1574" t="str">
            <v>KKM/IKN/H/13/4517</v>
          </cell>
          <cell r="E1574" t="str">
            <v>13-209</v>
          </cell>
          <cell r="F1574" t="str">
            <v>Pumps, Enteral Feeding</v>
          </cell>
          <cell r="G1574" t="str">
            <v>DU</v>
          </cell>
          <cell r="H1574" t="str">
            <v>DIETICIAN UNIT</v>
          </cell>
          <cell r="I1574" t="str">
            <v>03DU103</v>
          </cell>
          <cell r="J1574" t="str">
            <v>COUNSELLING 1</v>
          </cell>
          <cell r="K1574" t="str">
            <v>BMED</v>
          </cell>
          <cell r="L1574" t="str">
            <v>Normal</v>
          </cell>
          <cell r="M1574" t="str">
            <v>USA</v>
          </cell>
          <cell r="N1574" t="str">
            <v>Sentinel</v>
          </cell>
          <cell r="O1574" t="str">
            <v>Sentinel S-2000</v>
          </cell>
          <cell r="P1574" t="str">
            <v>18073</v>
          </cell>
          <cell r="Q1574" t="str">
            <v>KKM/IKN/H/13/4517</v>
          </cell>
          <cell r="R1574" t="str">
            <v>Alcor Scientific Inc</v>
          </cell>
          <cell r="S1574" t="str">
            <v>Insani Damai</v>
          </cell>
          <cell r="T1574" t="str">
            <v>Functioning</v>
          </cell>
          <cell r="U1574" t="str">
            <v>Asset</v>
          </cell>
          <cell r="V1574">
            <v>2500</v>
          </cell>
          <cell r="W1574" t="str">
            <v>Estimate</v>
          </cell>
          <cell r="X1574" t="str">
            <v>09/12/2013</v>
          </cell>
          <cell r="Y1574" t="str">
            <v>KEW</v>
          </cell>
          <cell r="Z1574" t="str">
            <v>10/12/2013</v>
          </cell>
          <cell r="AA1574" t="str">
            <v>09/12/2014</v>
          </cell>
          <cell r="AB1574" t="str">
            <v>No</v>
          </cell>
          <cell r="AC1574" t="str">
            <v>10/12/2013</v>
          </cell>
          <cell r="AD1574" t="str">
            <v>Good</v>
          </cell>
          <cell r="AE1574" t="str">
            <v>V3 - Added Installed Facilities (New)</v>
          </cell>
          <cell r="AF1574">
            <v>42796</v>
          </cell>
          <cell r="AG1574">
            <v>5.92</v>
          </cell>
          <cell r="AH1574" t="str">
            <v>PPM</v>
          </cell>
          <cell r="AI1574" t="str">
            <v>Strands</v>
          </cell>
          <cell r="AJ1574" t="str">
            <v>Strands PW</v>
          </cell>
          <cell r="AK1574" t="str">
            <v>SNF received. 1st batch of V3 asset (December 2020)</v>
          </cell>
        </row>
        <row r="1575">
          <cell r="A1575" t="str">
            <v>IKN401360</v>
          </cell>
          <cell r="B1575">
            <v>1354</v>
          </cell>
          <cell r="C1575" t="str">
            <v>Institut Kanser Negara</v>
          </cell>
          <cell r="D1575" t="str">
            <v>KKM/IKN/H/13/4631</v>
          </cell>
          <cell r="E1575" t="str">
            <v>13-209</v>
          </cell>
          <cell r="F1575" t="str">
            <v>Pumps, Enteral Feeding</v>
          </cell>
          <cell r="G1575" t="str">
            <v>DU</v>
          </cell>
          <cell r="H1575" t="str">
            <v>DIETICIAN UNIT</v>
          </cell>
          <cell r="I1575" t="str">
            <v>03DU103</v>
          </cell>
          <cell r="J1575" t="str">
            <v>COUNSELLING 1</v>
          </cell>
          <cell r="K1575" t="str">
            <v>BMED</v>
          </cell>
          <cell r="L1575" t="str">
            <v>Normal</v>
          </cell>
          <cell r="M1575" t="str">
            <v>USA</v>
          </cell>
          <cell r="N1575" t="str">
            <v>Sentinel</v>
          </cell>
          <cell r="O1575" t="str">
            <v>Sentinel S-2000</v>
          </cell>
          <cell r="P1575" t="str">
            <v>18023</v>
          </cell>
          <cell r="Q1575" t="str">
            <v>KKM/IKN/H/13/4631</v>
          </cell>
          <cell r="R1575" t="str">
            <v>Alcor Scientific Inc</v>
          </cell>
          <cell r="S1575" t="str">
            <v>Insani Damai</v>
          </cell>
          <cell r="T1575" t="str">
            <v>Functioning</v>
          </cell>
          <cell r="U1575" t="str">
            <v>Asset</v>
          </cell>
          <cell r="V1575">
            <v>2500</v>
          </cell>
          <cell r="W1575" t="str">
            <v>KEW</v>
          </cell>
          <cell r="X1575" t="str">
            <v>09/12/2013</v>
          </cell>
          <cell r="Y1575" t="str">
            <v>KEW</v>
          </cell>
          <cell r="Z1575" t="str">
            <v>10/12/2013</v>
          </cell>
          <cell r="AA1575" t="str">
            <v>09/12/2014</v>
          </cell>
          <cell r="AB1575" t="str">
            <v>No</v>
          </cell>
          <cell r="AC1575" t="str">
            <v>10/12/2013</v>
          </cell>
          <cell r="AD1575" t="str">
            <v>Good</v>
          </cell>
          <cell r="AE1575" t="str">
            <v>V3 - Added Installed Facilities (New)</v>
          </cell>
          <cell r="AF1575">
            <v>42796</v>
          </cell>
          <cell r="AG1575">
            <v>5.92</v>
          </cell>
          <cell r="AH1575" t="str">
            <v>PPM</v>
          </cell>
          <cell r="AI1575" t="str">
            <v>Strands</v>
          </cell>
          <cell r="AJ1575" t="str">
            <v>Strands PW</v>
          </cell>
          <cell r="AK1575" t="str">
            <v>SNF received. 1st batch of V3 asset (December 2020)</v>
          </cell>
        </row>
        <row r="1576">
          <cell r="A1576" t="str">
            <v>IKN401361</v>
          </cell>
          <cell r="B1576">
            <v>1355</v>
          </cell>
          <cell r="C1576" t="str">
            <v>Institut Kanser Negara</v>
          </cell>
          <cell r="D1576" t="str">
            <v>KKM/IKN/H/13/4632</v>
          </cell>
          <cell r="E1576" t="str">
            <v>13-209</v>
          </cell>
          <cell r="F1576" t="str">
            <v>Pumps, Enteral Feeding</v>
          </cell>
          <cell r="G1576" t="str">
            <v>DU</v>
          </cell>
          <cell r="H1576" t="str">
            <v>DIETICIAN UNIT</v>
          </cell>
          <cell r="I1576" t="str">
            <v>03DU103</v>
          </cell>
          <cell r="J1576" t="str">
            <v>COUNSELLING 1</v>
          </cell>
          <cell r="K1576" t="str">
            <v>BMED</v>
          </cell>
          <cell r="L1576" t="str">
            <v>Normal</v>
          </cell>
          <cell r="M1576" t="str">
            <v>USA</v>
          </cell>
          <cell r="N1576" t="str">
            <v>Sentinel</v>
          </cell>
          <cell r="O1576" t="str">
            <v>Sentinel S-2000</v>
          </cell>
          <cell r="P1576" t="str">
            <v>18071</v>
          </cell>
          <cell r="Q1576" t="str">
            <v>KKM/IKN/H/13/4632</v>
          </cell>
          <cell r="R1576" t="str">
            <v>Alcor Scientific Inc</v>
          </cell>
          <cell r="S1576" t="str">
            <v>Insani Damai</v>
          </cell>
          <cell r="T1576" t="str">
            <v>Functioning</v>
          </cell>
          <cell r="U1576" t="str">
            <v>Asset</v>
          </cell>
          <cell r="V1576">
            <v>2500</v>
          </cell>
          <cell r="W1576" t="str">
            <v>KEW</v>
          </cell>
          <cell r="X1576" t="str">
            <v>09/12/2013</v>
          </cell>
          <cell r="Y1576" t="str">
            <v>KEW</v>
          </cell>
          <cell r="Z1576" t="str">
            <v>10/12/2013</v>
          </cell>
          <cell r="AA1576" t="str">
            <v>09/12/2014</v>
          </cell>
          <cell r="AB1576" t="str">
            <v>No</v>
          </cell>
          <cell r="AC1576" t="str">
            <v>10/12/2013</v>
          </cell>
          <cell r="AD1576" t="str">
            <v>Good</v>
          </cell>
          <cell r="AE1576" t="str">
            <v>V3 - Added Installed Facilities (New)</v>
          </cell>
          <cell r="AF1576">
            <v>42796</v>
          </cell>
          <cell r="AG1576">
            <v>5.92</v>
          </cell>
          <cell r="AH1576" t="str">
            <v>PPM</v>
          </cell>
          <cell r="AI1576" t="str">
            <v>Strands</v>
          </cell>
          <cell r="AJ1576" t="str">
            <v>Strands PW</v>
          </cell>
          <cell r="AK1576" t="str">
            <v>SNF received. 1st batch of V3 asset (December 2020)</v>
          </cell>
        </row>
        <row r="1577">
          <cell r="A1577" t="str">
            <v>IKN401362</v>
          </cell>
          <cell r="B1577">
            <v>1356</v>
          </cell>
          <cell r="C1577" t="str">
            <v>Institut Kanser Negara</v>
          </cell>
          <cell r="D1577" t="str">
            <v>KKM/IKN/H/13/4629</v>
          </cell>
          <cell r="E1577" t="str">
            <v>13-209</v>
          </cell>
          <cell r="F1577" t="str">
            <v>Pumps, Enteral Feeding</v>
          </cell>
          <cell r="G1577" t="str">
            <v>DU</v>
          </cell>
          <cell r="H1577" t="str">
            <v>DIETICIAN UNIT</v>
          </cell>
          <cell r="I1577" t="str">
            <v>03DU103</v>
          </cell>
          <cell r="J1577" t="str">
            <v>COUNSELLING 1</v>
          </cell>
          <cell r="K1577" t="str">
            <v>BMED</v>
          </cell>
          <cell r="L1577" t="str">
            <v>Normal</v>
          </cell>
          <cell r="M1577" t="str">
            <v>USA</v>
          </cell>
          <cell r="N1577" t="str">
            <v>Sentinel</v>
          </cell>
          <cell r="O1577" t="str">
            <v>Sentinel S-2000</v>
          </cell>
          <cell r="P1577" t="str">
            <v>18021</v>
          </cell>
          <cell r="Q1577" t="str">
            <v>KKM/IKN/H/13/4629</v>
          </cell>
          <cell r="R1577" t="str">
            <v>Alcor Scientific Inc</v>
          </cell>
          <cell r="S1577" t="str">
            <v>Insani Damai</v>
          </cell>
          <cell r="T1577" t="str">
            <v>Functioning</v>
          </cell>
          <cell r="U1577" t="str">
            <v>Asset</v>
          </cell>
          <cell r="V1577">
            <v>2500</v>
          </cell>
          <cell r="W1577" t="str">
            <v>KEW</v>
          </cell>
          <cell r="X1577" t="str">
            <v>09/12/2013</v>
          </cell>
          <cell r="Y1577" t="str">
            <v>KEW</v>
          </cell>
          <cell r="Z1577" t="str">
            <v>10/12/2013</v>
          </cell>
          <cell r="AA1577" t="str">
            <v>09/12/2014</v>
          </cell>
          <cell r="AB1577" t="str">
            <v>No</v>
          </cell>
          <cell r="AC1577" t="str">
            <v>10/12/2013</v>
          </cell>
          <cell r="AD1577" t="str">
            <v>Good</v>
          </cell>
          <cell r="AE1577" t="str">
            <v>V3 - Added Installed Facilities (New)</v>
          </cell>
          <cell r="AF1577">
            <v>42796</v>
          </cell>
          <cell r="AG1577">
            <v>5.92</v>
          </cell>
          <cell r="AH1577" t="str">
            <v>PPM</v>
          </cell>
          <cell r="AI1577" t="str">
            <v>Strands</v>
          </cell>
          <cell r="AJ1577" t="str">
            <v>Strands PW</v>
          </cell>
          <cell r="AK1577" t="str">
            <v>SNF received. 1st batch of V3 asset (December 2020)</v>
          </cell>
        </row>
        <row r="1578">
          <cell r="A1578" t="str">
            <v>IKN401363</v>
          </cell>
          <cell r="B1578">
            <v>1357</v>
          </cell>
          <cell r="C1578" t="str">
            <v>Institut Kanser Negara</v>
          </cell>
          <cell r="D1578" t="str">
            <v>KKM/IKN/H/13/4630</v>
          </cell>
          <cell r="E1578" t="str">
            <v>13-209</v>
          </cell>
          <cell r="F1578" t="str">
            <v>Pumps, Enteral Feeding</v>
          </cell>
          <cell r="G1578" t="str">
            <v>DU</v>
          </cell>
          <cell r="H1578" t="str">
            <v>DIETICIAN UNIT</v>
          </cell>
          <cell r="I1578" t="str">
            <v>03DU103</v>
          </cell>
          <cell r="J1578" t="str">
            <v>COUNSELLING 1</v>
          </cell>
          <cell r="K1578" t="str">
            <v>BMED</v>
          </cell>
          <cell r="L1578" t="str">
            <v>Normal</v>
          </cell>
          <cell r="M1578" t="str">
            <v>USA</v>
          </cell>
          <cell r="N1578" t="str">
            <v>Sentinel</v>
          </cell>
          <cell r="O1578" t="str">
            <v>Sentinel S-2000</v>
          </cell>
          <cell r="P1578" t="str">
            <v>18018</v>
          </cell>
          <cell r="Q1578" t="str">
            <v>KKM/IKN/H/13/4630</v>
          </cell>
          <cell r="R1578" t="str">
            <v>Alcor Scientific Inc</v>
          </cell>
          <cell r="S1578" t="str">
            <v>Insani Damai</v>
          </cell>
          <cell r="T1578" t="str">
            <v>Functioning</v>
          </cell>
          <cell r="U1578" t="str">
            <v>Asset</v>
          </cell>
          <cell r="V1578">
            <v>2500</v>
          </cell>
          <cell r="W1578" t="str">
            <v>KEW</v>
          </cell>
          <cell r="X1578" t="str">
            <v>09/12/2013</v>
          </cell>
          <cell r="Y1578" t="str">
            <v>KEW</v>
          </cell>
          <cell r="Z1578" t="str">
            <v>10/12/2013</v>
          </cell>
          <cell r="AA1578" t="str">
            <v>09/12/2014</v>
          </cell>
          <cell r="AB1578" t="str">
            <v>No</v>
          </cell>
          <cell r="AC1578" t="str">
            <v>10/12/2013</v>
          </cell>
          <cell r="AD1578" t="str">
            <v>Good</v>
          </cell>
          <cell r="AE1578" t="str">
            <v>V3 - Added Installed Facilities (New)</v>
          </cell>
          <cell r="AF1578">
            <v>42796</v>
          </cell>
          <cell r="AG1578">
            <v>5.92</v>
          </cell>
          <cell r="AH1578" t="str">
            <v>PPM</v>
          </cell>
          <cell r="AI1578" t="str">
            <v>Strands</v>
          </cell>
          <cell r="AJ1578" t="str">
            <v>Strands PW</v>
          </cell>
          <cell r="AK1578" t="str">
            <v>SNF received. 1st batch of V3 asset (December 2020)</v>
          </cell>
        </row>
        <row r="1579">
          <cell r="A1579" t="str">
            <v>IKN401364</v>
          </cell>
          <cell r="B1579">
            <v>1358</v>
          </cell>
          <cell r="C1579" t="str">
            <v>Institut Kanser Negara</v>
          </cell>
          <cell r="D1579" t="str">
            <v>KKM/IKN/H/13/4473 - 9</v>
          </cell>
          <cell r="E1579" t="str">
            <v>15-605</v>
          </cell>
          <cell r="F1579" t="str">
            <v>Testers</v>
          </cell>
          <cell r="G1579" t="str">
            <v>RT</v>
          </cell>
          <cell r="H1579" t="str">
            <v>RADIATION TREATMENT UNIT</v>
          </cell>
          <cell r="I1579" t="str">
            <v>01RT213</v>
          </cell>
          <cell r="J1579" t="str">
            <v>EQUIPMENT ROOM1</v>
          </cell>
          <cell r="K1579" t="str">
            <v>BMED</v>
          </cell>
          <cell r="L1579" t="str">
            <v>Normal</v>
          </cell>
          <cell r="M1579" t="str">
            <v>USA</v>
          </cell>
          <cell r="N1579" t="str">
            <v>Various</v>
          </cell>
          <cell r="O1579" t="str">
            <v>Tomo Electrometer 90016 &amp; Various</v>
          </cell>
          <cell r="P1579" t="str">
            <v>XW 121295</v>
          </cell>
          <cell r="Q1579" t="str">
            <v>Not Available</v>
          </cell>
          <cell r="R1579" t="str">
            <v>Standard Imaging</v>
          </cell>
          <cell r="S1579" t="str">
            <v>Transmedic Healthcare Sdn. Bhd</v>
          </cell>
          <cell r="T1579" t="str">
            <v>Functioning</v>
          </cell>
          <cell r="U1579" t="str">
            <v>Asset</v>
          </cell>
          <cell r="V1579">
            <v>100000</v>
          </cell>
          <cell r="W1579" t="str">
            <v>KEW</v>
          </cell>
          <cell r="X1579" t="str">
            <v>01/09/2010</v>
          </cell>
          <cell r="Y1579" t="str">
            <v>KEW</v>
          </cell>
          <cell r="Z1579" t="str">
            <v>16/08/2013</v>
          </cell>
          <cell r="AA1579" t="str">
            <v>15/08/2015</v>
          </cell>
          <cell r="AB1579" t="str">
            <v>No</v>
          </cell>
          <cell r="AC1579" t="str">
            <v>16/08/2013</v>
          </cell>
          <cell r="AD1579" t="str">
            <v>Good</v>
          </cell>
          <cell r="AE1579" t="str">
            <v>V1 - Existing / No Claim</v>
          </cell>
          <cell r="AF1579">
            <v>42667</v>
          </cell>
          <cell r="AG1579">
            <v>9.17</v>
          </cell>
          <cell r="AH1579" t="str">
            <v>PPM</v>
          </cell>
          <cell r="AI1579" t="str">
            <v>package</v>
          </cell>
          <cell r="AJ1579" t="str">
            <v>Strands Package</v>
          </cell>
          <cell r="AK1579" t="str">
            <v>Package XM003(B)</v>
          </cell>
        </row>
        <row r="1580">
          <cell r="A1580" t="str">
            <v>IKN401365</v>
          </cell>
          <cell r="B1580">
            <v>1359</v>
          </cell>
          <cell r="C1580" t="str">
            <v>Institut Kanser Negara</v>
          </cell>
          <cell r="D1580" t="str">
            <v>KKM/IKN/H/13/4689-02 &amp; 03</v>
          </cell>
          <cell r="E1580" t="str">
            <v>15-605</v>
          </cell>
          <cell r="F1580" t="str">
            <v>Testers</v>
          </cell>
          <cell r="G1580" t="str">
            <v>RT</v>
          </cell>
          <cell r="H1580" t="str">
            <v>RADIATION TREATMENT UNIT</v>
          </cell>
          <cell r="I1580" t="str">
            <v>01RT213</v>
          </cell>
          <cell r="J1580" t="str">
            <v>EQUIPMENT ROOM1</v>
          </cell>
          <cell r="K1580" t="str">
            <v>BMED</v>
          </cell>
          <cell r="L1580" t="str">
            <v>Normal</v>
          </cell>
          <cell r="M1580" t="str">
            <v>Germany</v>
          </cell>
          <cell r="N1580" t="str">
            <v>TM3304</v>
          </cell>
          <cell r="O1580" t="str">
            <v>TM33004</v>
          </cell>
          <cell r="P1580" t="str">
            <v>TM33004</v>
          </cell>
          <cell r="Q1580" t="str">
            <v>Not Available</v>
          </cell>
          <cell r="R1580" t="str">
            <v>PTW</v>
          </cell>
          <cell r="S1580" t="str">
            <v>Eckert &amp; Ziegler BEBIG</v>
          </cell>
          <cell r="T1580" t="str">
            <v>Functioning</v>
          </cell>
          <cell r="U1580" t="str">
            <v>Asset</v>
          </cell>
          <cell r="V1580">
            <v>400000</v>
          </cell>
          <cell r="W1580" t="str">
            <v>KEW</v>
          </cell>
          <cell r="X1580" t="str">
            <v>01/09/2010</v>
          </cell>
          <cell r="Y1580" t="str">
            <v>KEW</v>
          </cell>
          <cell r="Z1580" t="str">
            <v>16/08/2013</v>
          </cell>
          <cell r="AA1580" t="str">
            <v>15/08/2015</v>
          </cell>
          <cell r="AB1580" t="str">
            <v>No</v>
          </cell>
          <cell r="AC1580" t="str">
            <v>16/08/2013</v>
          </cell>
          <cell r="AD1580" t="str">
            <v>Good</v>
          </cell>
          <cell r="AE1580" t="str">
            <v>V1 - Existing / No Claim</v>
          </cell>
          <cell r="AF1580">
            <v>42663</v>
          </cell>
          <cell r="AG1580">
            <v>9.17</v>
          </cell>
          <cell r="AH1580" t="str">
            <v>PPM</v>
          </cell>
          <cell r="AI1580" t="str">
            <v>Strands</v>
          </cell>
          <cell r="AJ1580" t="str">
            <v>Strands Package</v>
          </cell>
          <cell r="AK1580" t="str">
            <v>Package Afterloading System, XM0011</v>
          </cell>
        </row>
        <row r="1581">
          <cell r="A1581" t="str">
            <v>IKN401366</v>
          </cell>
          <cell r="B1581">
            <v>1360</v>
          </cell>
          <cell r="C1581" t="str">
            <v>Institut Kanser Negara</v>
          </cell>
          <cell r="D1581" t="str">
            <v>KKM/IKN/H/13/4473 - 08</v>
          </cell>
          <cell r="E1581" t="str">
            <v>15-605</v>
          </cell>
          <cell r="F1581" t="str">
            <v>Testers</v>
          </cell>
          <cell r="G1581" t="str">
            <v>RT</v>
          </cell>
          <cell r="H1581" t="str">
            <v>RADIATION TREATMENT UNIT</v>
          </cell>
          <cell r="I1581" t="str">
            <v>01RT213</v>
          </cell>
          <cell r="J1581" t="str">
            <v>EQUIPMENT ROOM1</v>
          </cell>
          <cell r="K1581" t="str">
            <v>BMED</v>
          </cell>
          <cell r="L1581" t="str">
            <v>Normal</v>
          </cell>
          <cell r="M1581" t="str">
            <v>USA</v>
          </cell>
          <cell r="N1581" t="str">
            <v>Various</v>
          </cell>
          <cell r="O1581" t="str">
            <v>Tomo Electrometer 90016 &amp; Various</v>
          </cell>
          <cell r="P1581" t="str">
            <v>XW 121285</v>
          </cell>
          <cell r="Q1581" t="str">
            <v>Not Available</v>
          </cell>
          <cell r="R1581" t="str">
            <v>Standard Imaging</v>
          </cell>
          <cell r="S1581" t="str">
            <v>Transmedic Healthcare Sdn. Bhd</v>
          </cell>
          <cell r="T1581" t="str">
            <v>Functioning</v>
          </cell>
          <cell r="U1581" t="str">
            <v>Asset</v>
          </cell>
          <cell r="V1581">
            <v>100000</v>
          </cell>
          <cell r="W1581" t="str">
            <v>KEW</v>
          </cell>
          <cell r="X1581" t="str">
            <v>01/09/2010</v>
          </cell>
          <cell r="Y1581" t="str">
            <v>KEW</v>
          </cell>
          <cell r="Z1581" t="str">
            <v>16/08/2013</v>
          </cell>
          <cell r="AA1581" t="str">
            <v>15/08/2015</v>
          </cell>
          <cell r="AB1581" t="str">
            <v>No</v>
          </cell>
          <cell r="AC1581" t="str">
            <v>16/08/2013</v>
          </cell>
          <cell r="AD1581" t="str">
            <v>Good</v>
          </cell>
          <cell r="AE1581" t="str">
            <v>V1 - Existing / No Claim</v>
          </cell>
          <cell r="AF1581">
            <v>42667</v>
          </cell>
          <cell r="AG1581">
            <v>9.17</v>
          </cell>
          <cell r="AH1581" t="str">
            <v>PPM</v>
          </cell>
          <cell r="AI1581" t="str">
            <v>package</v>
          </cell>
          <cell r="AJ1581" t="str">
            <v>Strands Package</v>
          </cell>
          <cell r="AK1581" t="str">
            <v>Package XM003(B)</v>
          </cell>
        </row>
        <row r="1582">
          <cell r="A1582" t="str">
            <v>IKN401367</v>
          </cell>
          <cell r="B1582">
            <v>1361</v>
          </cell>
          <cell r="C1582" t="str">
            <v>Institut Kanser Negara</v>
          </cell>
          <cell r="D1582" t="str">
            <v>KKM/IKN/H/13/4473 - 06</v>
          </cell>
          <cell r="E1582" t="str">
            <v>15-605</v>
          </cell>
          <cell r="F1582" t="str">
            <v>Testers</v>
          </cell>
          <cell r="G1582" t="str">
            <v>RT</v>
          </cell>
          <cell r="H1582" t="str">
            <v>RADIATION TREATMENT UNIT</v>
          </cell>
          <cell r="I1582" t="str">
            <v>01RT213</v>
          </cell>
          <cell r="J1582" t="str">
            <v>EQUIPMENT ROOM1</v>
          </cell>
          <cell r="K1582" t="str">
            <v>BMED</v>
          </cell>
          <cell r="L1582" t="str">
            <v>Normal</v>
          </cell>
          <cell r="M1582" t="str">
            <v>USA</v>
          </cell>
          <cell r="N1582" t="str">
            <v>Various</v>
          </cell>
          <cell r="O1582" t="str">
            <v>Tomo Electrometer 90016 &amp; Various</v>
          </cell>
          <cell r="P1582" t="str">
            <v>XAE 121448</v>
          </cell>
          <cell r="Q1582" t="str">
            <v>Not Available</v>
          </cell>
          <cell r="R1582" t="str">
            <v>Standard Imaging</v>
          </cell>
          <cell r="S1582" t="str">
            <v>Transmedic Healthcare Sdn. Bhd</v>
          </cell>
          <cell r="T1582" t="str">
            <v>Functioning</v>
          </cell>
          <cell r="U1582" t="str">
            <v>Asset</v>
          </cell>
          <cell r="V1582">
            <v>100000</v>
          </cell>
          <cell r="W1582" t="str">
            <v>KEW</v>
          </cell>
          <cell r="X1582" t="str">
            <v>01/09/2010</v>
          </cell>
          <cell r="Y1582" t="str">
            <v>KEW</v>
          </cell>
          <cell r="Z1582" t="str">
            <v>16/08/2013</v>
          </cell>
          <cell r="AA1582" t="str">
            <v>15/08/2015</v>
          </cell>
          <cell r="AB1582" t="str">
            <v>No</v>
          </cell>
          <cell r="AC1582" t="str">
            <v>16/08/2013</v>
          </cell>
          <cell r="AD1582" t="str">
            <v>Good</v>
          </cell>
          <cell r="AE1582" t="str">
            <v>V1 - Existing / No Claim</v>
          </cell>
          <cell r="AF1582">
            <v>42667</v>
          </cell>
          <cell r="AG1582">
            <v>9.17</v>
          </cell>
          <cell r="AH1582" t="str">
            <v>PPM</v>
          </cell>
          <cell r="AI1582" t="str">
            <v>package</v>
          </cell>
          <cell r="AJ1582" t="str">
            <v>Strands Package</v>
          </cell>
          <cell r="AK1582" t="str">
            <v>Package XM003(B)</v>
          </cell>
        </row>
        <row r="1583">
          <cell r="A1583" t="str">
            <v>IKN401368</v>
          </cell>
          <cell r="B1583">
            <v>1362</v>
          </cell>
          <cell r="C1583" t="str">
            <v>Institut Kanser Negara</v>
          </cell>
          <cell r="D1583" t="str">
            <v>KKM/IKN/H/16/23</v>
          </cell>
          <cell r="E1583" t="str">
            <v>12-345</v>
          </cell>
          <cell r="F1583" t="str">
            <v>Light Sources, Fiberoptic</v>
          </cell>
          <cell r="G1583" t="str">
            <v>OT</v>
          </cell>
          <cell r="H1583" t="str">
            <v>OPERATING THEATRE</v>
          </cell>
          <cell r="I1583" t="str">
            <v>05OT129</v>
          </cell>
          <cell r="J1583" t="str">
            <v>SEMINAR</v>
          </cell>
          <cell r="K1583" t="str">
            <v>BMED</v>
          </cell>
          <cell r="L1583" t="str">
            <v>Normal</v>
          </cell>
          <cell r="M1583" t="str">
            <v>Germany</v>
          </cell>
          <cell r="N1583" t="str">
            <v>Storz</v>
          </cell>
          <cell r="O1583" t="str">
            <v>Storz Power LED 175, 201614 20</v>
          </cell>
          <cell r="P1583" t="str">
            <v>TT10181</v>
          </cell>
          <cell r="Q1583" t="str">
            <v>Not Applicable</v>
          </cell>
          <cell r="R1583" t="str">
            <v>Karl Storz-Endoskope</v>
          </cell>
          <cell r="S1583" t="str">
            <v>Medi-Life (M) Sdn. Bhd.</v>
          </cell>
          <cell r="T1583" t="str">
            <v>Functioning</v>
          </cell>
          <cell r="U1583" t="str">
            <v>Asset</v>
          </cell>
          <cell r="V1583">
            <v>28000</v>
          </cell>
          <cell r="W1583" t="str">
            <v>KEW</v>
          </cell>
          <cell r="X1583" t="str">
            <v>12/08/2016</v>
          </cell>
          <cell r="Y1583" t="str">
            <v>KEW</v>
          </cell>
          <cell r="Z1583" t="str">
            <v>24/10/2016</v>
          </cell>
          <cell r="AA1583" t="str">
            <v>23/10/2018</v>
          </cell>
          <cell r="AB1583" t="str">
            <v>No</v>
          </cell>
          <cell r="AC1583" t="str">
            <v>24/10/2016</v>
          </cell>
          <cell r="AD1583" t="str">
            <v>Good</v>
          </cell>
          <cell r="AE1583" t="str">
            <v>V3 - Added Installed Facilities (New)</v>
          </cell>
          <cell r="AF1583">
            <v>42815</v>
          </cell>
          <cell r="AG1583">
            <v>3.25</v>
          </cell>
          <cell r="AH1583" t="str">
            <v>PPM</v>
          </cell>
          <cell r="AI1583" t="str">
            <v>package</v>
          </cell>
          <cell r="AJ1583" t="str">
            <v>Proposed for V3 P2.23</v>
          </cell>
          <cell r="AK1583" t="str">
            <v>KKM follow P2.23 list.</v>
          </cell>
        </row>
        <row r="1584">
          <cell r="A1584" t="str">
            <v>IKN401369</v>
          </cell>
          <cell r="B1584">
            <v>1363</v>
          </cell>
          <cell r="C1584" t="str">
            <v>Institut Kanser Negara</v>
          </cell>
          <cell r="D1584" t="str">
            <v>KKM/IKN/H/16/22</v>
          </cell>
          <cell r="E1584" t="str">
            <v>11-963</v>
          </cell>
          <cell r="F1584" t="str">
            <v>Headlights</v>
          </cell>
          <cell r="G1584" t="str">
            <v>OT</v>
          </cell>
          <cell r="H1584" t="str">
            <v>OPERATING THEATRE</v>
          </cell>
          <cell r="I1584" t="str">
            <v>05OT129</v>
          </cell>
          <cell r="J1584" t="str">
            <v>SEMINAR</v>
          </cell>
          <cell r="K1584" t="str">
            <v>BMED</v>
          </cell>
          <cell r="L1584" t="str">
            <v>Normal</v>
          </cell>
          <cell r="M1584" t="str">
            <v>Germany</v>
          </cell>
          <cell r="N1584" t="str">
            <v>Heine</v>
          </cell>
          <cell r="O1584" t="str">
            <v>C-008.32.441</v>
          </cell>
          <cell r="P1584" t="str">
            <v>1100461061</v>
          </cell>
          <cell r="Q1584" t="str">
            <v>Not Applicable</v>
          </cell>
          <cell r="R1584" t="str">
            <v>HEINE</v>
          </cell>
          <cell r="S1584" t="str">
            <v>Medi-Life (M) Sdn. Bhd.</v>
          </cell>
          <cell r="T1584" t="str">
            <v>Functioning</v>
          </cell>
          <cell r="U1584" t="str">
            <v>Asset</v>
          </cell>
          <cell r="V1584">
            <v>11868</v>
          </cell>
          <cell r="W1584" t="str">
            <v>KEW</v>
          </cell>
          <cell r="X1584" t="str">
            <v>12/08/2016</v>
          </cell>
          <cell r="Y1584" t="str">
            <v>KEW</v>
          </cell>
          <cell r="Z1584" t="str">
            <v>24/10/2016</v>
          </cell>
          <cell r="AA1584" t="str">
            <v>23/10/2021</v>
          </cell>
          <cell r="AB1584" t="str">
            <v>No</v>
          </cell>
          <cell r="AC1584" t="str">
            <v>24/10/2016</v>
          </cell>
          <cell r="AD1584" t="str">
            <v>Good</v>
          </cell>
          <cell r="AE1584" t="str">
            <v>V3 - Added Installed Facilities (New)</v>
          </cell>
          <cell r="AF1584">
            <v>42815</v>
          </cell>
          <cell r="AG1584">
            <v>3.25</v>
          </cell>
          <cell r="AH1584" t="str">
            <v>RI</v>
          </cell>
          <cell r="AI1584" t="str">
            <v>Strands</v>
          </cell>
          <cell r="AJ1584" t="str">
            <v>Strands PW</v>
          </cell>
          <cell r="AK1584" t="str">
            <v>SNF received. 1st batch of V3 asset (December 2020)</v>
          </cell>
        </row>
        <row r="1585">
          <cell r="A1585" t="str">
            <v>IKN401370</v>
          </cell>
          <cell r="B1585">
            <v>1364</v>
          </cell>
          <cell r="C1585" t="str">
            <v>Institut Kanser Negara</v>
          </cell>
          <cell r="D1585" t="str">
            <v>KKM/IKN/H/16/18</v>
          </cell>
          <cell r="E1585" t="str">
            <v>15-178</v>
          </cell>
          <cell r="F1585" t="str">
            <v>Shakers, Laboratory</v>
          </cell>
          <cell r="G1585" t="str">
            <v>NM</v>
          </cell>
          <cell r="H1585" t="str">
            <v>NUCLEAR MED (DIAGNOSTIC)</v>
          </cell>
          <cell r="I1585" t="str">
            <v>03NM154</v>
          </cell>
          <cell r="J1585" t="str">
            <v>RIA LAB</v>
          </cell>
          <cell r="K1585" t="str">
            <v>BMED</v>
          </cell>
          <cell r="L1585" t="str">
            <v>Normal</v>
          </cell>
          <cell r="M1585" t="str">
            <v>Germany</v>
          </cell>
          <cell r="N1585" t="str">
            <v>IKA-Werke</v>
          </cell>
          <cell r="O1585" t="str">
            <v>HS/KS 260 Basic</v>
          </cell>
          <cell r="P1585" t="str">
            <v>08.077679</v>
          </cell>
          <cell r="Q1585" t="str">
            <v>Not Available</v>
          </cell>
          <cell r="R1585" t="str">
            <v>IKA-Werke GmbH &amp; Co KG</v>
          </cell>
          <cell r="S1585" t="str">
            <v>IT Tech Research (M) Sdn. Bhd</v>
          </cell>
          <cell r="T1585" t="str">
            <v>Functioning</v>
          </cell>
          <cell r="U1585" t="str">
            <v>Asset</v>
          </cell>
          <cell r="V1585">
            <v>6500</v>
          </cell>
          <cell r="W1585" t="str">
            <v>KEW</v>
          </cell>
          <cell r="X1585" t="str">
            <v>12/08/2016</v>
          </cell>
          <cell r="Y1585" t="str">
            <v>KEW</v>
          </cell>
          <cell r="Z1585" t="str">
            <v>25/10/2016</v>
          </cell>
          <cell r="AA1585" t="str">
            <v>24/10/2018</v>
          </cell>
          <cell r="AB1585" t="str">
            <v>No</v>
          </cell>
          <cell r="AC1585" t="str">
            <v>25/10/2016</v>
          </cell>
          <cell r="AD1585" t="str">
            <v>Good</v>
          </cell>
          <cell r="AE1585" t="str">
            <v>V3 - Added Installed Facilities (New)</v>
          </cell>
          <cell r="AF1585">
            <v>42699</v>
          </cell>
          <cell r="AG1585">
            <v>3.25</v>
          </cell>
          <cell r="AH1585" t="str">
            <v>PPM</v>
          </cell>
          <cell r="AI1585" t="str">
            <v>Strands</v>
          </cell>
          <cell r="AJ1585" t="str">
            <v>Strands PW</v>
          </cell>
          <cell r="AK1585" t="str">
            <v>SNF received on 25.2.2020</v>
          </cell>
        </row>
        <row r="1586">
          <cell r="A1586" t="str">
            <v>IKN401371</v>
          </cell>
          <cell r="B1586">
            <v>1365</v>
          </cell>
          <cell r="C1586" t="str">
            <v>Institut Kanser Negara</v>
          </cell>
          <cell r="D1586" t="str">
            <v>KKM/IKN/H/16/19</v>
          </cell>
          <cell r="E1586" t="str">
            <v>15-173</v>
          </cell>
          <cell r="F1586" t="str">
            <v>Rotators</v>
          </cell>
          <cell r="G1586" t="str">
            <v>NM</v>
          </cell>
          <cell r="H1586" t="str">
            <v>NUCLEAR MED (DIAGNOSTIC)</v>
          </cell>
          <cell r="I1586" t="str">
            <v>03NM154</v>
          </cell>
          <cell r="J1586" t="str">
            <v>RIA LAB</v>
          </cell>
          <cell r="K1586" t="str">
            <v>BMED</v>
          </cell>
          <cell r="L1586" t="str">
            <v>Normal</v>
          </cell>
          <cell r="M1586" t="str">
            <v>Germany</v>
          </cell>
          <cell r="N1586" t="str">
            <v>IKA</v>
          </cell>
          <cell r="O1586" t="str">
            <v>HA 260 BS2</v>
          </cell>
          <cell r="P1586" t="str">
            <v>08.077679</v>
          </cell>
          <cell r="Q1586" t="str">
            <v>Not Available</v>
          </cell>
          <cell r="R1586" t="str">
            <v>IKA</v>
          </cell>
          <cell r="S1586" t="str">
            <v>IT Tech Research (M) Sdn. Bhd</v>
          </cell>
          <cell r="T1586" t="str">
            <v>Functioning</v>
          </cell>
          <cell r="U1586" t="str">
            <v>Asset</v>
          </cell>
          <cell r="V1586">
            <v>2675</v>
          </cell>
          <cell r="W1586" t="str">
            <v>KEW</v>
          </cell>
          <cell r="X1586" t="str">
            <v>12/08/2016</v>
          </cell>
          <cell r="Y1586" t="str">
            <v>KEW</v>
          </cell>
          <cell r="Z1586" t="str">
            <v>25/10/2016</v>
          </cell>
          <cell r="AA1586" t="str">
            <v>24/10/2018</v>
          </cell>
          <cell r="AB1586" t="str">
            <v>No</v>
          </cell>
          <cell r="AC1586" t="str">
            <v>25/10/2016</v>
          </cell>
          <cell r="AD1586" t="str">
            <v>Good</v>
          </cell>
          <cell r="AE1586" t="str">
            <v>V3 - Added Installed Facilities (New)</v>
          </cell>
          <cell r="AF1586">
            <v>42699</v>
          </cell>
          <cell r="AG1586">
            <v>3.25</v>
          </cell>
          <cell r="AH1586" t="str">
            <v>PPM</v>
          </cell>
          <cell r="AI1586" t="str">
            <v>Strands</v>
          </cell>
          <cell r="AJ1586" t="str">
            <v>Strands PW</v>
          </cell>
          <cell r="AK1586" t="str">
            <v>SNF received on 25.2.2020</v>
          </cell>
        </row>
        <row r="1587">
          <cell r="A1587" t="str">
            <v>IKN401387</v>
          </cell>
          <cell r="B1587">
            <v>1377</v>
          </cell>
          <cell r="C1587" t="str">
            <v>Institut Kanser Negara</v>
          </cell>
          <cell r="D1587" t="str">
            <v>KKM/IKN/H/13/1418</v>
          </cell>
          <cell r="E1587" t="str">
            <v>11-631</v>
          </cell>
          <cell r="F1587" t="str">
            <v>Exercisers, Continuous Passive Motion</v>
          </cell>
          <cell r="G1587" t="str">
            <v>PY</v>
          </cell>
          <cell r="H1587" t="str">
            <v>PHYSIOTHERAPY</v>
          </cell>
          <cell r="I1587" t="str">
            <v>04PY115</v>
          </cell>
          <cell r="J1587" t="str">
            <v>GYMNASIUM</v>
          </cell>
          <cell r="K1587" t="str">
            <v>BMED</v>
          </cell>
          <cell r="L1587" t="str">
            <v>Normal</v>
          </cell>
          <cell r="M1587" t="str">
            <v>USA</v>
          </cell>
          <cell r="N1587" t="str">
            <v>Biometrics</v>
          </cell>
          <cell r="O1587" t="str">
            <v>Biometrics E3000</v>
          </cell>
          <cell r="P1587" t="str">
            <v>Not Available</v>
          </cell>
          <cell r="Q1587" t="str">
            <v>Not Available</v>
          </cell>
          <cell r="R1587" t="str">
            <v>Biometrics Ltd</v>
          </cell>
          <cell r="S1587" t="str">
            <v>Maycare (M) Sdn Bhd</v>
          </cell>
          <cell r="T1587" t="str">
            <v>Functioning</v>
          </cell>
          <cell r="U1587" t="str">
            <v>Asset</v>
          </cell>
          <cell r="V1587">
            <v>30700</v>
          </cell>
          <cell r="W1587" t="str">
            <v>KEW</v>
          </cell>
          <cell r="X1587" t="str">
            <v>01/09/2010</v>
          </cell>
          <cell r="Y1587" t="str">
            <v>KEW</v>
          </cell>
          <cell r="Z1587" t="str">
            <v>16/08/2013</v>
          </cell>
          <cell r="AA1587" t="str">
            <v>15/08/2015</v>
          </cell>
          <cell r="AB1587" t="str">
            <v>No</v>
          </cell>
          <cell r="AC1587" t="str">
            <v>31/08/2013</v>
          </cell>
          <cell r="AD1587" t="str">
            <v>Good</v>
          </cell>
          <cell r="AE1587" t="str">
            <v>V1 - Existing / No Claim</v>
          </cell>
          <cell r="AF1587">
            <v>42776</v>
          </cell>
          <cell r="AG1587">
            <v>9.17</v>
          </cell>
          <cell r="AH1587" t="str">
            <v>PPM</v>
          </cell>
          <cell r="AI1587" t="str">
            <v>Strands</v>
          </cell>
          <cell r="AJ1587" t="str">
            <v>Strands Package F</v>
          </cell>
          <cell r="AK1587" t="str">
            <v>Package Code PE0040-N</v>
          </cell>
        </row>
        <row r="1588">
          <cell r="A1588" t="str">
            <v>IKN401388</v>
          </cell>
          <cell r="B1588">
            <v>1378</v>
          </cell>
          <cell r="C1588" t="str">
            <v>Institut Kanser Negara</v>
          </cell>
          <cell r="D1588" t="str">
            <v>KKM/IKN/H/13/1420</v>
          </cell>
          <cell r="E1588" t="str">
            <v>15-605</v>
          </cell>
          <cell r="F1588" t="str">
            <v>Testers</v>
          </cell>
          <cell r="G1588" t="str">
            <v>PY</v>
          </cell>
          <cell r="H1588" t="str">
            <v>PHYSIOTHERAPY</v>
          </cell>
          <cell r="I1588" t="str">
            <v>04PY130</v>
          </cell>
          <cell r="J1588" t="str">
            <v>RESPIRATORY</v>
          </cell>
          <cell r="K1588" t="str">
            <v>BMED</v>
          </cell>
          <cell r="L1588" t="str">
            <v>Normal</v>
          </cell>
          <cell r="M1588" t="str">
            <v>USA</v>
          </cell>
          <cell r="N1588" t="str">
            <v>Welch Allyn</v>
          </cell>
          <cell r="O1588" t="str">
            <v>Welch Allyn</v>
          </cell>
          <cell r="P1588" t="str">
            <v>101935</v>
          </cell>
          <cell r="Q1588" t="str">
            <v>Not Applicable</v>
          </cell>
          <cell r="R1588" t="str">
            <v>WELCH ALLYN</v>
          </cell>
          <cell r="S1588" t="str">
            <v>Welch Allyn Malaysia Sdn Bhd</v>
          </cell>
          <cell r="T1588" t="str">
            <v>Functioning</v>
          </cell>
          <cell r="U1588" t="str">
            <v>Asset</v>
          </cell>
          <cell r="V1588">
            <v>1</v>
          </cell>
          <cell r="W1588" t="str">
            <v>KEW</v>
          </cell>
          <cell r="X1588" t="str">
            <v>01/09/2010</v>
          </cell>
          <cell r="Y1588" t="str">
            <v>KEW</v>
          </cell>
          <cell r="Z1588" t="str">
            <v>16/08/2013</v>
          </cell>
          <cell r="AA1588" t="str">
            <v>15/08/2015</v>
          </cell>
          <cell r="AB1588" t="str">
            <v>No</v>
          </cell>
          <cell r="AC1588" t="str">
            <v>31/08/2013</v>
          </cell>
          <cell r="AD1588" t="str">
            <v>Good</v>
          </cell>
          <cell r="AE1588" t="str">
            <v>V1 - Existing / No Claim</v>
          </cell>
          <cell r="AF1588">
            <v>42935</v>
          </cell>
          <cell r="AG1588">
            <v>9.17</v>
          </cell>
          <cell r="AH1588" t="str">
            <v>PPM</v>
          </cell>
          <cell r="AI1588" t="str">
            <v>Strands</v>
          </cell>
          <cell r="AJ1588" t="str">
            <v>Strands Package</v>
          </cell>
          <cell r="AK1588" t="str">
            <v>Package Code MS0002</v>
          </cell>
        </row>
        <row r="1589">
          <cell r="A1589" t="str">
            <v>IKN401389</v>
          </cell>
          <cell r="B1589">
            <v>1379</v>
          </cell>
          <cell r="C1589" t="str">
            <v>Institut Kanser Negara</v>
          </cell>
          <cell r="D1589" t="str">
            <v>KKM/IKN/H/14/92</v>
          </cell>
          <cell r="E1589" t="str">
            <v>16-274</v>
          </cell>
          <cell r="F1589" t="str">
            <v>Dispensers, Liquid, Laboratory</v>
          </cell>
          <cell r="G1589" t="str">
            <v>LA</v>
          </cell>
          <cell r="H1589" t="str">
            <v>PATHOLOGY</v>
          </cell>
          <cell r="I1589" t="str">
            <v>04LA132</v>
          </cell>
          <cell r="J1589" t="str">
            <v>HAEMATOLOGY LAB 2</v>
          </cell>
          <cell r="K1589" t="str">
            <v>BMED</v>
          </cell>
          <cell r="L1589" t="str">
            <v>Normal</v>
          </cell>
          <cell r="M1589" t="str">
            <v>Germany</v>
          </cell>
          <cell r="N1589" t="str">
            <v>Eppendorf</v>
          </cell>
          <cell r="O1589" t="str">
            <v>Varispenser Plus</v>
          </cell>
          <cell r="P1589" t="str">
            <v>03M63204</v>
          </cell>
          <cell r="Q1589" t="str">
            <v>Not Available</v>
          </cell>
          <cell r="R1589" t="str">
            <v>Eppendorf AG</v>
          </cell>
          <cell r="S1589" t="str">
            <v>Medigene Sdn Bhd</v>
          </cell>
          <cell r="T1589" t="str">
            <v>Functioning</v>
          </cell>
          <cell r="U1589" t="str">
            <v>Asset</v>
          </cell>
          <cell r="V1589">
            <v>1612</v>
          </cell>
          <cell r="W1589" t="str">
            <v>KEW</v>
          </cell>
          <cell r="X1589" t="str">
            <v>12/11/2014</v>
          </cell>
          <cell r="Y1589" t="str">
            <v>KEW</v>
          </cell>
          <cell r="Z1589" t="str">
            <v>12/11/2014</v>
          </cell>
          <cell r="AA1589" t="str">
            <v>11/11/2015</v>
          </cell>
          <cell r="AB1589" t="str">
            <v>No</v>
          </cell>
          <cell r="AC1589" t="str">
            <v>12/11/2014</v>
          </cell>
          <cell r="AD1589" t="str">
            <v>Good</v>
          </cell>
          <cell r="AE1589" t="str">
            <v>V3 - Added Installed Facilities (New)</v>
          </cell>
          <cell r="AF1589">
            <v>42776</v>
          </cell>
          <cell r="AG1589">
            <v>5</v>
          </cell>
          <cell r="AH1589" t="str">
            <v>PPM</v>
          </cell>
          <cell r="AI1589" t="str">
            <v>Strands</v>
          </cell>
          <cell r="AJ1589" t="str">
            <v>Strands PW</v>
          </cell>
          <cell r="AK1589" t="str">
            <v>SNF received. 1st batch of V3 asset (December 2020)</v>
          </cell>
        </row>
        <row r="1590">
          <cell r="A1590" t="str">
            <v>IKN401390</v>
          </cell>
          <cell r="B1590">
            <v>1380</v>
          </cell>
          <cell r="C1590" t="str">
            <v>Institut Kanser Negara</v>
          </cell>
          <cell r="D1590" t="str">
            <v>KKM/IKN/H/14/93</v>
          </cell>
          <cell r="E1590" t="str">
            <v>16-274</v>
          </cell>
          <cell r="F1590" t="str">
            <v>Dispensers, Liquid, Laboratory</v>
          </cell>
          <cell r="G1590" t="str">
            <v>LA</v>
          </cell>
          <cell r="H1590" t="str">
            <v>PATHOLOGY</v>
          </cell>
          <cell r="I1590" t="str">
            <v>04LA132</v>
          </cell>
          <cell r="J1590" t="str">
            <v>HAEMATOLOGY LAB 2</v>
          </cell>
          <cell r="K1590" t="str">
            <v>BMED</v>
          </cell>
          <cell r="L1590" t="str">
            <v>Normal</v>
          </cell>
          <cell r="M1590" t="str">
            <v>Germany</v>
          </cell>
          <cell r="N1590" t="str">
            <v>Eppendorf</v>
          </cell>
          <cell r="O1590" t="str">
            <v>Varispenser Plus</v>
          </cell>
          <cell r="P1590" t="str">
            <v>03M63192</v>
          </cell>
          <cell r="Q1590" t="str">
            <v>Not Available</v>
          </cell>
          <cell r="R1590" t="str">
            <v>Eppendorf AG</v>
          </cell>
          <cell r="S1590" t="str">
            <v>Medigene Sdn Bhd</v>
          </cell>
          <cell r="T1590" t="str">
            <v>Functioning</v>
          </cell>
          <cell r="U1590" t="str">
            <v>Asset</v>
          </cell>
          <cell r="V1590">
            <v>1612</v>
          </cell>
          <cell r="W1590" t="str">
            <v>KEW</v>
          </cell>
          <cell r="X1590" t="str">
            <v>12/11/2014</v>
          </cell>
          <cell r="Y1590" t="str">
            <v>KEW</v>
          </cell>
          <cell r="Z1590" t="str">
            <v>12/11/2014</v>
          </cell>
          <cell r="AA1590" t="str">
            <v>11/11/2015</v>
          </cell>
          <cell r="AB1590" t="str">
            <v>No</v>
          </cell>
          <cell r="AC1590" t="str">
            <v>12/11/2014</v>
          </cell>
          <cell r="AD1590" t="str">
            <v>Good</v>
          </cell>
          <cell r="AE1590" t="str">
            <v>V3 - Added Installed Facilities (New)</v>
          </cell>
          <cell r="AF1590">
            <v>42776</v>
          </cell>
          <cell r="AG1590">
            <v>5</v>
          </cell>
          <cell r="AH1590" t="str">
            <v>PPM</v>
          </cell>
          <cell r="AI1590" t="str">
            <v>Strands</v>
          </cell>
          <cell r="AJ1590" t="str">
            <v>Strands PW</v>
          </cell>
          <cell r="AK1590" t="str">
            <v>SNF received. 1st batch of V3 asset (December 2020)</v>
          </cell>
        </row>
        <row r="1591">
          <cell r="A1591" t="str">
            <v>IKN401394</v>
          </cell>
          <cell r="B1591">
            <v>1381</v>
          </cell>
          <cell r="C1591" t="str">
            <v>Institut Kanser Negara</v>
          </cell>
          <cell r="E1591" t="str">
            <v>99-999</v>
          </cell>
          <cell r="F1591" t="str">
            <v>Inventory Asset</v>
          </cell>
          <cell r="G1591" t="str">
            <v>OT</v>
          </cell>
          <cell r="H1591" t="str">
            <v>OPERATING THEATRE</v>
          </cell>
          <cell r="I1591" t="str">
            <v>05OT129</v>
          </cell>
          <cell r="J1591" t="str">
            <v>SEMINAR</v>
          </cell>
          <cell r="K1591" t="str">
            <v>BMED</v>
          </cell>
          <cell r="L1591" t="str">
            <v>Normal</v>
          </cell>
          <cell r="M1591" t="str">
            <v>Not Available</v>
          </cell>
          <cell r="N1591" t="str">
            <v>Not Available</v>
          </cell>
          <cell r="O1591" t="str">
            <v>Not Available</v>
          </cell>
          <cell r="P1591" t="str">
            <v>Not Available</v>
          </cell>
          <cell r="Q1591" t="str">
            <v>Not Applicable</v>
          </cell>
          <cell r="R1591" t="str">
            <v>Not Available</v>
          </cell>
          <cell r="S1591" t="str">
            <v>Not Available</v>
          </cell>
          <cell r="T1591" t="str">
            <v>Functioning</v>
          </cell>
          <cell r="U1591" t="str">
            <v>Asset</v>
          </cell>
          <cell r="V1591">
            <v>4000</v>
          </cell>
          <cell r="W1591" t="str">
            <v>Estimate</v>
          </cell>
          <cell r="X1591" t="str">
            <v>31/08/2013</v>
          </cell>
          <cell r="Y1591" t="str">
            <v>Estimate</v>
          </cell>
          <cell r="Z1591" t="str">
            <v>31/08/2013</v>
          </cell>
          <cell r="AA1591" t="str">
            <v>30/08/2015</v>
          </cell>
          <cell r="AB1591" t="str">
            <v>No</v>
          </cell>
          <cell r="AC1591" t="str">
            <v>31/08/2013</v>
          </cell>
          <cell r="AD1591" t="str">
            <v>Good</v>
          </cell>
          <cell r="AE1591" t="str">
            <v>V10 - Asset in initial fee submission(new/replacement hosp)</v>
          </cell>
          <cell r="AF1591">
            <v>43193</v>
          </cell>
          <cell r="AG1591">
            <v>6.25</v>
          </cell>
          <cell r="AH1591" t="str">
            <v>RI</v>
          </cell>
          <cell r="AI1591" t="str">
            <v>Not in contract</v>
          </cell>
        </row>
        <row r="1592">
          <cell r="A1592" t="str">
            <v>IKN401395</v>
          </cell>
          <cell r="B1592">
            <v>1382</v>
          </cell>
          <cell r="C1592" t="str">
            <v>Institut Kanser Negara</v>
          </cell>
          <cell r="E1592" t="str">
            <v>99-999</v>
          </cell>
          <cell r="F1592" t="str">
            <v>Inventory Asset</v>
          </cell>
          <cell r="G1592" t="str">
            <v>OT</v>
          </cell>
          <cell r="H1592" t="str">
            <v>OPERATING THEATRE</v>
          </cell>
          <cell r="I1592" t="str">
            <v>05OT129</v>
          </cell>
          <cell r="J1592" t="str">
            <v>SEMINAR</v>
          </cell>
          <cell r="K1592" t="str">
            <v>BMED</v>
          </cell>
          <cell r="L1592" t="str">
            <v>Normal</v>
          </cell>
          <cell r="M1592" t="str">
            <v>Not Available</v>
          </cell>
          <cell r="N1592" t="str">
            <v>Not Available</v>
          </cell>
          <cell r="O1592" t="str">
            <v>Not Available</v>
          </cell>
          <cell r="P1592" t="str">
            <v>Not Available</v>
          </cell>
          <cell r="Q1592" t="str">
            <v>Not Applicable</v>
          </cell>
          <cell r="R1592" t="str">
            <v>Not Available</v>
          </cell>
          <cell r="S1592" t="str">
            <v>Not Available</v>
          </cell>
          <cell r="T1592" t="str">
            <v>Functioning</v>
          </cell>
          <cell r="U1592" t="str">
            <v>Asset</v>
          </cell>
          <cell r="V1592">
            <v>4000</v>
          </cell>
          <cell r="W1592" t="str">
            <v>Estimate</v>
          </cell>
          <cell r="X1592" t="str">
            <v>31/08/2013</v>
          </cell>
          <cell r="Y1592" t="str">
            <v>Estimate</v>
          </cell>
          <cell r="Z1592" t="str">
            <v>31/08/2013</v>
          </cell>
          <cell r="AA1592" t="str">
            <v>30/08/2015</v>
          </cell>
          <cell r="AB1592" t="str">
            <v>No</v>
          </cell>
          <cell r="AC1592" t="str">
            <v>31/08/2013</v>
          </cell>
          <cell r="AD1592" t="str">
            <v>Good</v>
          </cell>
          <cell r="AE1592" t="str">
            <v>V10 - Asset in initial fee submission(new/replacement hosp)</v>
          </cell>
          <cell r="AF1592">
            <v>43193</v>
          </cell>
          <cell r="AG1592">
            <v>6.25</v>
          </cell>
          <cell r="AH1592" t="str">
            <v>RI</v>
          </cell>
          <cell r="AI1592" t="str">
            <v>Not in contract</v>
          </cell>
        </row>
        <row r="1593">
          <cell r="A1593" t="str">
            <v>IKN401398</v>
          </cell>
          <cell r="B1593">
            <v>1383</v>
          </cell>
          <cell r="C1593" t="str">
            <v>Institut Kanser Negara</v>
          </cell>
          <cell r="D1593" t="str">
            <v>KKM/IKN/H/16/32</v>
          </cell>
          <cell r="E1593" t="str">
            <v>13-215</v>
          </cell>
          <cell r="F1593" t="str">
            <v>Infusion Pumps, General-Purpose</v>
          </cell>
          <cell r="G1593" t="str">
            <v>WA</v>
          </cell>
          <cell r="H1593" t="str">
            <v>NUCLEAR MED WARD (THERAPY)</v>
          </cell>
          <cell r="I1593" t="str">
            <v>03WA177</v>
          </cell>
          <cell r="J1593" t="str">
            <v>EQ. ROOM</v>
          </cell>
          <cell r="K1593" t="str">
            <v>BMED</v>
          </cell>
          <cell r="L1593" t="str">
            <v>Critical</v>
          </cell>
          <cell r="M1593" t="str">
            <v>Japan</v>
          </cell>
          <cell r="N1593" t="str">
            <v>TOP</v>
          </cell>
          <cell r="O1593" t="str">
            <v>TOP-2300</v>
          </cell>
          <cell r="P1593" t="str">
            <v>16 A0495</v>
          </cell>
          <cell r="Q1593" t="str">
            <v>Not Available</v>
          </cell>
          <cell r="R1593" t="str">
            <v>TOP Corp</v>
          </cell>
          <cell r="S1593" t="str">
            <v>SHRIRO (M) Sdn. Bhd</v>
          </cell>
          <cell r="T1593" t="str">
            <v>Functioning</v>
          </cell>
          <cell r="U1593" t="str">
            <v>Asset</v>
          </cell>
          <cell r="V1593">
            <v>3800</v>
          </cell>
          <cell r="W1593" t="str">
            <v>KEW</v>
          </cell>
          <cell r="X1593" t="str">
            <v>02/11/2016</v>
          </cell>
          <cell r="Y1593" t="str">
            <v>KEW</v>
          </cell>
          <cell r="Z1593" t="str">
            <v>30/12/2016</v>
          </cell>
          <cell r="AA1593" t="str">
            <v>31/12/2017</v>
          </cell>
          <cell r="AB1593" t="str">
            <v>No</v>
          </cell>
          <cell r="AC1593" t="str">
            <v>22/11/2016</v>
          </cell>
          <cell r="AD1593" t="str">
            <v>Good</v>
          </cell>
          <cell r="AE1593" t="str">
            <v>V3 - Added Installed Facilities (New)</v>
          </cell>
          <cell r="AF1593">
            <v>42759</v>
          </cell>
          <cell r="AG1593">
            <v>3</v>
          </cell>
          <cell r="AH1593" t="str">
            <v>PPM</v>
          </cell>
          <cell r="AI1593" t="str">
            <v>Strands</v>
          </cell>
          <cell r="AJ1593" t="str">
            <v>Strands PW</v>
          </cell>
          <cell r="AK1593" t="str">
            <v>SNF received. 1st batch of V3 asset (December 2020)</v>
          </cell>
        </row>
        <row r="1594">
          <cell r="A1594" t="str">
            <v>IKN401399</v>
          </cell>
          <cell r="B1594">
            <v>1384</v>
          </cell>
          <cell r="C1594" t="str">
            <v>Institut Kanser Negara</v>
          </cell>
          <cell r="D1594" t="str">
            <v>KKM/IKN/H/16/31</v>
          </cell>
          <cell r="E1594" t="str">
            <v>13-215</v>
          </cell>
          <cell r="F1594" t="str">
            <v>Infusion Pumps, General-Purpose</v>
          </cell>
          <cell r="G1594" t="str">
            <v>WA</v>
          </cell>
          <cell r="H1594" t="str">
            <v>NUCLEAR MED WARD (THERAPY)</v>
          </cell>
          <cell r="I1594" t="str">
            <v>03WA177</v>
          </cell>
          <cell r="J1594" t="str">
            <v>EQ. ROOM</v>
          </cell>
          <cell r="K1594" t="str">
            <v>BMED</v>
          </cell>
          <cell r="L1594" t="str">
            <v>Critical</v>
          </cell>
          <cell r="M1594" t="str">
            <v>Japan</v>
          </cell>
          <cell r="N1594" t="str">
            <v>TOP</v>
          </cell>
          <cell r="O1594" t="str">
            <v>TOP-2300</v>
          </cell>
          <cell r="P1594" t="str">
            <v>16A 0494</v>
          </cell>
          <cell r="Q1594" t="str">
            <v>Not Available</v>
          </cell>
          <cell r="R1594" t="str">
            <v>TOP Corp</v>
          </cell>
          <cell r="S1594" t="str">
            <v>SHRIRO (M) Sdn. Bhd</v>
          </cell>
          <cell r="T1594" t="str">
            <v>Functioning</v>
          </cell>
          <cell r="U1594" t="str">
            <v>Asset</v>
          </cell>
          <cell r="V1594">
            <v>3800</v>
          </cell>
          <cell r="W1594" t="str">
            <v>KEW</v>
          </cell>
          <cell r="X1594" t="str">
            <v>02/11/2016</v>
          </cell>
          <cell r="Y1594" t="str">
            <v>KEW</v>
          </cell>
          <cell r="Z1594" t="str">
            <v>30/12/2016</v>
          </cell>
          <cell r="AA1594" t="str">
            <v>31/12/2017</v>
          </cell>
          <cell r="AB1594" t="str">
            <v>No</v>
          </cell>
          <cell r="AC1594" t="str">
            <v>22/11/2016</v>
          </cell>
          <cell r="AD1594" t="str">
            <v>Good</v>
          </cell>
          <cell r="AE1594" t="str">
            <v>V3 - Added Installed Facilities (New)</v>
          </cell>
          <cell r="AF1594">
            <v>42759</v>
          </cell>
          <cell r="AG1594">
            <v>3</v>
          </cell>
          <cell r="AH1594" t="str">
            <v>PPM</v>
          </cell>
          <cell r="AI1594" t="str">
            <v>Strands</v>
          </cell>
          <cell r="AJ1594" t="str">
            <v>Strands PW</v>
          </cell>
          <cell r="AK1594" t="str">
            <v>SNF received. 1st batch of V3 asset (December 2020)</v>
          </cell>
        </row>
        <row r="1595">
          <cell r="A1595" t="str">
            <v>IKN401400</v>
          </cell>
          <cell r="B1595">
            <v>1385</v>
          </cell>
          <cell r="C1595" t="str">
            <v>Institut Kanser Negara</v>
          </cell>
          <cell r="D1595" t="str">
            <v>KKM/IKN/H/16/33</v>
          </cell>
          <cell r="E1595" t="str">
            <v>13-215</v>
          </cell>
          <cell r="F1595" t="str">
            <v>Infusion Pumps, General-Purpose</v>
          </cell>
          <cell r="G1595" t="str">
            <v>WA</v>
          </cell>
          <cell r="H1595" t="str">
            <v>NUCLEAR MED WARD (THERAPY)</v>
          </cell>
          <cell r="I1595" t="str">
            <v>03WA177</v>
          </cell>
          <cell r="J1595" t="str">
            <v>EQ. ROOM</v>
          </cell>
          <cell r="K1595" t="str">
            <v>BMED</v>
          </cell>
          <cell r="L1595" t="str">
            <v>Critical</v>
          </cell>
          <cell r="M1595" t="str">
            <v>Japan</v>
          </cell>
          <cell r="N1595" t="str">
            <v>TOP</v>
          </cell>
          <cell r="O1595" t="str">
            <v>TOP-2300</v>
          </cell>
          <cell r="P1595" t="str">
            <v>16A 0496</v>
          </cell>
          <cell r="Q1595" t="str">
            <v>Not Available</v>
          </cell>
          <cell r="R1595" t="str">
            <v>TOP Corp</v>
          </cell>
          <cell r="S1595" t="str">
            <v>SHRIRO (M) Sdn. Bhd</v>
          </cell>
          <cell r="T1595" t="str">
            <v>Functioning</v>
          </cell>
          <cell r="U1595" t="str">
            <v>Asset</v>
          </cell>
          <cell r="V1595">
            <v>3800</v>
          </cell>
          <cell r="W1595" t="str">
            <v>KEW</v>
          </cell>
          <cell r="X1595" t="str">
            <v>02/11/2016</v>
          </cell>
          <cell r="Y1595" t="str">
            <v>KEW</v>
          </cell>
          <cell r="Z1595" t="str">
            <v>30/12/2016</v>
          </cell>
          <cell r="AA1595" t="str">
            <v>31/12/2017</v>
          </cell>
          <cell r="AB1595" t="str">
            <v>No</v>
          </cell>
          <cell r="AC1595" t="str">
            <v>22/11/2016</v>
          </cell>
          <cell r="AD1595" t="str">
            <v>Good</v>
          </cell>
          <cell r="AE1595" t="str">
            <v>V3 - Added Installed Facilities (New)</v>
          </cell>
          <cell r="AF1595">
            <v>42759</v>
          </cell>
          <cell r="AG1595">
            <v>3</v>
          </cell>
          <cell r="AH1595" t="str">
            <v>PPM</v>
          </cell>
          <cell r="AI1595" t="str">
            <v>Strands</v>
          </cell>
          <cell r="AJ1595" t="str">
            <v>Strands PW</v>
          </cell>
          <cell r="AK1595" t="str">
            <v>SNF received. 1st batch of V3 asset (December 2020)</v>
          </cell>
        </row>
        <row r="1596">
          <cell r="A1596" t="str">
            <v>IKN401401</v>
          </cell>
          <cell r="B1596">
            <v>1386</v>
          </cell>
          <cell r="C1596" t="str">
            <v>Institut Kanser Negara</v>
          </cell>
          <cell r="D1596" t="str">
            <v>KKM/IKN/H/16/30</v>
          </cell>
          <cell r="E1596" t="str">
            <v>13-215</v>
          </cell>
          <cell r="F1596" t="str">
            <v>Infusion Pumps, General-Purpose</v>
          </cell>
          <cell r="G1596" t="str">
            <v>WA</v>
          </cell>
          <cell r="H1596" t="str">
            <v>NUCLEAR MED WARD (THERAPY)</v>
          </cell>
          <cell r="I1596" t="str">
            <v>03WA177</v>
          </cell>
          <cell r="J1596" t="str">
            <v>EQ. ROOM</v>
          </cell>
          <cell r="K1596" t="str">
            <v>BMED</v>
          </cell>
          <cell r="L1596" t="str">
            <v>Critical</v>
          </cell>
          <cell r="M1596" t="str">
            <v>Japan</v>
          </cell>
          <cell r="N1596" t="str">
            <v>TOP</v>
          </cell>
          <cell r="O1596" t="str">
            <v>TOP-2300</v>
          </cell>
          <cell r="P1596" t="str">
            <v>16A 0493</v>
          </cell>
          <cell r="Q1596" t="str">
            <v>Not Available</v>
          </cell>
          <cell r="R1596" t="str">
            <v>TOP Corp</v>
          </cell>
          <cell r="S1596" t="str">
            <v>SHRIRO (M) Sdn. Bhd</v>
          </cell>
          <cell r="T1596" t="str">
            <v>Functioning</v>
          </cell>
          <cell r="U1596" t="str">
            <v>Asset</v>
          </cell>
          <cell r="V1596">
            <v>3800</v>
          </cell>
          <cell r="W1596" t="str">
            <v>KEW</v>
          </cell>
          <cell r="X1596" t="str">
            <v>02/11/2016</v>
          </cell>
          <cell r="Y1596" t="str">
            <v>KEW</v>
          </cell>
          <cell r="Z1596" t="str">
            <v>30/12/2016</v>
          </cell>
          <cell r="AA1596" t="str">
            <v>31/12/2017</v>
          </cell>
          <cell r="AB1596" t="str">
            <v>No</v>
          </cell>
          <cell r="AC1596" t="str">
            <v>22/11/2016</v>
          </cell>
          <cell r="AD1596" t="str">
            <v>Good</v>
          </cell>
          <cell r="AE1596" t="str">
            <v>V3 - Added Installed Facilities (New)</v>
          </cell>
          <cell r="AF1596">
            <v>42759</v>
          </cell>
          <cell r="AG1596">
            <v>3</v>
          </cell>
          <cell r="AH1596" t="str">
            <v>PPM</v>
          </cell>
          <cell r="AI1596" t="str">
            <v>Strands</v>
          </cell>
          <cell r="AJ1596" t="str">
            <v>Strands PW</v>
          </cell>
          <cell r="AK1596" t="str">
            <v>SNF received. 1st batch of V3 asset (December 2020)</v>
          </cell>
        </row>
        <row r="1597">
          <cell r="A1597" t="str">
            <v>IKN401402</v>
          </cell>
          <cell r="B1597">
            <v>1387</v>
          </cell>
          <cell r="C1597" t="str">
            <v>Institut Kanser Negara</v>
          </cell>
          <cell r="D1597" t="str">
            <v>KKM/IKN/H/13/4689-04</v>
          </cell>
          <cell r="E1597" t="str">
            <v>15-605</v>
          </cell>
          <cell r="F1597" t="str">
            <v>Testers</v>
          </cell>
          <cell r="G1597" t="str">
            <v>RT</v>
          </cell>
          <cell r="H1597" t="str">
            <v>RADIATION TREATMENT UNIT</v>
          </cell>
          <cell r="I1597" t="str">
            <v>01RT213</v>
          </cell>
          <cell r="J1597" t="str">
            <v>EQUIPMENT ROOM1</v>
          </cell>
          <cell r="K1597" t="str">
            <v>BMED</v>
          </cell>
          <cell r="L1597" t="str">
            <v>Normal</v>
          </cell>
          <cell r="M1597" t="str">
            <v>Germany</v>
          </cell>
          <cell r="N1597" t="str">
            <v>GTD1100</v>
          </cell>
          <cell r="O1597" t="str">
            <v>GTD 1100</v>
          </cell>
          <cell r="P1597" t="str">
            <v>1379-0310</v>
          </cell>
          <cell r="Q1597" t="str">
            <v>Not Applicable</v>
          </cell>
          <cell r="R1597" t="str">
            <v>GREISINGER</v>
          </cell>
          <cell r="S1597" t="str">
            <v>Oncoray Sdn. Bhd</v>
          </cell>
          <cell r="T1597" t="str">
            <v>Functioning</v>
          </cell>
          <cell r="U1597" t="str">
            <v>Asset</v>
          </cell>
          <cell r="V1597">
            <v>700</v>
          </cell>
          <cell r="W1597" t="str">
            <v>KEW</v>
          </cell>
          <cell r="X1597" t="str">
            <v>01/09/2010</v>
          </cell>
          <cell r="Y1597" t="str">
            <v>KEW</v>
          </cell>
          <cell r="Z1597" t="str">
            <v>16/08/2013</v>
          </cell>
          <cell r="AA1597" t="str">
            <v>15/08/2015</v>
          </cell>
          <cell r="AB1597" t="str">
            <v>No</v>
          </cell>
          <cell r="AC1597" t="str">
            <v>16/08/2013</v>
          </cell>
          <cell r="AD1597" t="str">
            <v>Good</v>
          </cell>
          <cell r="AE1597" t="str">
            <v>V10 - Asset in initial fee submission(new/replacement hosp)</v>
          </cell>
          <cell r="AF1597">
            <v>43063</v>
          </cell>
          <cell r="AG1597">
            <v>9.17</v>
          </cell>
          <cell r="AH1597" t="str">
            <v>PPM</v>
          </cell>
          <cell r="AI1597" t="str">
            <v>strands</v>
          </cell>
          <cell r="AJ1597" t="str">
            <v>Strands Package</v>
          </cell>
          <cell r="AK1597" t="str">
            <v>Package Afterloading System, XM0011</v>
          </cell>
        </row>
        <row r="1598">
          <cell r="A1598" t="str">
            <v>IKN401403</v>
          </cell>
          <cell r="B1598">
            <v>1388</v>
          </cell>
          <cell r="C1598" t="str">
            <v>Institut Kanser Negara</v>
          </cell>
          <cell r="D1598" t="str">
            <v>KKM/IKN/H/13/</v>
          </cell>
          <cell r="E1598" t="str">
            <v>15-605</v>
          </cell>
          <cell r="F1598" t="str">
            <v>Testers</v>
          </cell>
          <cell r="G1598" t="str">
            <v>RT</v>
          </cell>
          <cell r="H1598" t="str">
            <v>RADIATION TREATMENT UNIT</v>
          </cell>
          <cell r="I1598" t="str">
            <v>01RT213</v>
          </cell>
          <cell r="J1598" t="str">
            <v>EQUIPMENT ROOM1</v>
          </cell>
          <cell r="K1598" t="str">
            <v>BMED</v>
          </cell>
          <cell r="L1598" t="str">
            <v>Normal</v>
          </cell>
          <cell r="M1598" t="str">
            <v>Germany</v>
          </cell>
          <cell r="N1598" t="str">
            <v>C300</v>
          </cell>
          <cell r="O1598" t="str">
            <v>C300</v>
          </cell>
          <cell r="P1598" t="str">
            <v>008.0812.0202.2.1.1.25</v>
          </cell>
          <cell r="Q1598" t="str">
            <v>Not Available</v>
          </cell>
          <cell r="R1598" t="str">
            <v>LUFFT</v>
          </cell>
          <cell r="S1598" t="str">
            <v>Delta Advantech (M) Sdn. Bhd</v>
          </cell>
          <cell r="T1598" t="str">
            <v>Functioning</v>
          </cell>
          <cell r="U1598" t="str">
            <v>Asset</v>
          </cell>
          <cell r="V1598">
            <v>8000</v>
          </cell>
          <cell r="W1598" t="str">
            <v>KEW</v>
          </cell>
          <cell r="X1598" t="str">
            <v>01/09/2010</v>
          </cell>
          <cell r="Y1598" t="str">
            <v>KEW</v>
          </cell>
          <cell r="Z1598" t="str">
            <v>16/08/2013</v>
          </cell>
          <cell r="AA1598" t="str">
            <v>15/08/2015</v>
          </cell>
          <cell r="AB1598" t="str">
            <v>No</v>
          </cell>
          <cell r="AC1598" t="str">
            <v>31/08/2013</v>
          </cell>
          <cell r="AD1598" t="str">
            <v>Good</v>
          </cell>
          <cell r="AE1598" t="str">
            <v>V1 - Existing / No Claim</v>
          </cell>
          <cell r="AF1598">
            <v>42755</v>
          </cell>
          <cell r="AG1598">
            <v>9.17</v>
          </cell>
          <cell r="AH1598" t="str">
            <v>PPM</v>
          </cell>
          <cell r="AI1598" t="str">
            <v>Strands</v>
          </cell>
          <cell r="AJ1598" t="str">
            <v>Strands PW</v>
          </cell>
        </row>
        <row r="1599">
          <cell r="A1599" t="str">
            <v>IKN401412</v>
          </cell>
          <cell r="B1599">
            <v>1395</v>
          </cell>
          <cell r="C1599" t="str">
            <v>Institut Kanser Negara</v>
          </cell>
          <cell r="D1599" t="str">
            <v>KKM/IKN/H/13/2554</v>
          </cell>
          <cell r="E1599" t="str">
            <v>13-461</v>
          </cell>
          <cell r="F1599" t="str">
            <v>Scales, Patient, Floor</v>
          </cell>
          <cell r="G1599" t="str">
            <v>WG</v>
          </cell>
          <cell r="H1599" t="str">
            <v>RT/ONCO WARD 1 (M)</v>
          </cell>
          <cell r="I1599" t="str">
            <v>08WG143</v>
          </cell>
          <cell r="J1599" t="str">
            <v>NURSE STATION</v>
          </cell>
          <cell r="K1599" t="str">
            <v>BMED</v>
          </cell>
          <cell r="L1599" t="str">
            <v>Normal</v>
          </cell>
          <cell r="M1599" t="str">
            <v>USA</v>
          </cell>
          <cell r="N1599" t="str">
            <v>Detecto</v>
          </cell>
          <cell r="O1599" t="str">
            <v>758 C</v>
          </cell>
          <cell r="P1599" t="str">
            <v>E34812-0041</v>
          </cell>
          <cell r="Q1599" t="str">
            <v>Not Applicable</v>
          </cell>
          <cell r="R1599" t="str">
            <v>DETECTO</v>
          </cell>
          <cell r="S1599" t="str">
            <v>Acucare System (M) Sdn. Bhd</v>
          </cell>
          <cell r="T1599" t="str">
            <v>Functioning</v>
          </cell>
          <cell r="U1599" t="str">
            <v>Asset</v>
          </cell>
          <cell r="V1599">
            <v>9380</v>
          </cell>
          <cell r="W1599" t="str">
            <v>KEW</v>
          </cell>
          <cell r="X1599" t="str">
            <v>01/09/2010</v>
          </cell>
          <cell r="Y1599" t="str">
            <v>KEW</v>
          </cell>
          <cell r="Z1599" t="str">
            <v>16/08/2013</v>
          </cell>
          <cell r="AA1599" t="str">
            <v>15/08/2015</v>
          </cell>
          <cell r="AB1599" t="str">
            <v>No</v>
          </cell>
          <cell r="AC1599" t="str">
            <v>31/08/2013</v>
          </cell>
          <cell r="AD1599" t="str">
            <v>Good</v>
          </cell>
          <cell r="AE1599" t="str">
            <v>V1 - Existing / No Claim</v>
          </cell>
          <cell r="AF1599">
            <v>42789</v>
          </cell>
          <cell r="AG1599">
            <v>9.17</v>
          </cell>
          <cell r="AH1599" t="str">
            <v>PPM</v>
          </cell>
          <cell r="AI1599" t="str">
            <v>Strands</v>
          </cell>
          <cell r="AJ1599" t="str">
            <v>Strands PW</v>
          </cell>
        </row>
        <row r="1600">
          <cell r="A1600" t="str">
            <v>IKN401415</v>
          </cell>
          <cell r="B1600">
            <v>1397</v>
          </cell>
          <cell r="C1600" t="str">
            <v>Institut Kanser Negara</v>
          </cell>
          <cell r="D1600" t="str">
            <v>KKM/IKN/H/13/2028</v>
          </cell>
          <cell r="E1600" t="str">
            <v>13-461</v>
          </cell>
          <cell r="F1600" t="str">
            <v>Scales, Patient, Floor</v>
          </cell>
          <cell r="G1600" t="str">
            <v>WH</v>
          </cell>
          <cell r="H1600" t="str">
            <v>RT/ONCO WARD 2 (M)</v>
          </cell>
          <cell r="I1600" t="str">
            <v>08WH143</v>
          </cell>
          <cell r="J1600" t="str">
            <v>NURSE STATION</v>
          </cell>
          <cell r="K1600" t="str">
            <v>BMED</v>
          </cell>
          <cell r="L1600" t="str">
            <v>Normal</v>
          </cell>
          <cell r="M1600" t="str">
            <v>USA</v>
          </cell>
          <cell r="N1600" t="str">
            <v>Detecto</v>
          </cell>
          <cell r="O1600" t="str">
            <v>758 C</v>
          </cell>
          <cell r="P1600" t="str">
            <v>E 34812-0043</v>
          </cell>
          <cell r="Q1600" t="str">
            <v>Not Available</v>
          </cell>
          <cell r="R1600" t="str">
            <v>DETECTO</v>
          </cell>
          <cell r="S1600" t="str">
            <v>Acucare System (M) Sdn. Bhd</v>
          </cell>
          <cell r="T1600" t="str">
            <v>Functioning</v>
          </cell>
          <cell r="U1600" t="str">
            <v>Asset</v>
          </cell>
          <cell r="V1600">
            <v>9380</v>
          </cell>
          <cell r="W1600" t="str">
            <v>KEW</v>
          </cell>
          <cell r="X1600" t="str">
            <v>01/09/2010</v>
          </cell>
          <cell r="Y1600" t="str">
            <v>KEW</v>
          </cell>
          <cell r="Z1600" t="str">
            <v>16/08/2013</v>
          </cell>
          <cell r="AA1600" t="str">
            <v>15/08/2015</v>
          </cell>
          <cell r="AB1600" t="str">
            <v>No</v>
          </cell>
          <cell r="AC1600" t="str">
            <v>31/08/2013</v>
          </cell>
          <cell r="AD1600" t="str">
            <v>Good</v>
          </cell>
          <cell r="AE1600" t="str">
            <v>V1 - Existing / No Claim</v>
          </cell>
          <cell r="AF1600">
            <v>42781</v>
          </cell>
          <cell r="AG1600">
            <v>9.17</v>
          </cell>
          <cell r="AH1600" t="str">
            <v>PPM</v>
          </cell>
          <cell r="AI1600" t="str">
            <v>Strands</v>
          </cell>
          <cell r="AJ1600" t="str">
            <v>Strands PW</v>
          </cell>
        </row>
        <row r="1601">
          <cell r="A1601" t="str">
            <v>IKN401419</v>
          </cell>
          <cell r="B1601">
            <v>1400</v>
          </cell>
          <cell r="C1601" t="str">
            <v>Institut Kanser Negara</v>
          </cell>
          <cell r="D1601" t="str">
            <v>KKM/IKN/H/13/2093</v>
          </cell>
          <cell r="E1601" t="str">
            <v>13-461</v>
          </cell>
          <cell r="F1601" t="str">
            <v>Scales, Patient, Floor</v>
          </cell>
          <cell r="G1601" t="str">
            <v>WE</v>
          </cell>
          <cell r="H1601" t="str">
            <v>RT/ONCO WARD 1 (F)</v>
          </cell>
          <cell r="I1601" t="str">
            <v>07WE143</v>
          </cell>
          <cell r="J1601" t="str">
            <v>NURSE STATION</v>
          </cell>
          <cell r="K1601" t="str">
            <v>BMED</v>
          </cell>
          <cell r="L1601" t="str">
            <v>Normal</v>
          </cell>
          <cell r="M1601" t="str">
            <v>USA</v>
          </cell>
          <cell r="N1601" t="str">
            <v>Detecto</v>
          </cell>
          <cell r="O1601" t="str">
            <v>758 C</v>
          </cell>
          <cell r="P1601" t="str">
            <v>E 32112-0199</v>
          </cell>
          <cell r="Q1601" t="str">
            <v>Not Applicable</v>
          </cell>
          <cell r="R1601" t="str">
            <v>DETECTO</v>
          </cell>
          <cell r="S1601" t="str">
            <v>Acucare System (M) Sdn. Bhd</v>
          </cell>
          <cell r="T1601" t="str">
            <v>Functioning</v>
          </cell>
          <cell r="U1601" t="str">
            <v>Asset</v>
          </cell>
          <cell r="V1601">
            <v>9380</v>
          </cell>
          <cell r="W1601" t="str">
            <v>KEW</v>
          </cell>
          <cell r="X1601" t="str">
            <v>01/09/2010</v>
          </cell>
          <cell r="Y1601" t="str">
            <v>KEW</v>
          </cell>
          <cell r="Z1601" t="str">
            <v>16/08/2013</v>
          </cell>
          <cell r="AA1601" t="str">
            <v>15/08/2015</v>
          </cell>
          <cell r="AB1601" t="str">
            <v>No</v>
          </cell>
          <cell r="AC1601" t="str">
            <v>31/08/2013</v>
          </cell>
          <cell r="AD1601" t="str">
            <v>Good</v>
          </cell>
          <cell r="AE1601" t="str">
            <v>V1 - Existing / No Claim</v>
          </cell>
          <cell r="AF1601">
            <v>42790</v>
          </cell>
          <cell r="AG1601">
            <v>9.17</v>
          </cell>
          <cell r="AH1601" t="str">
            <v>PPM</v>
          </cell>
          <cell r="AI1601" t="str">
            <v>Strands</v>
          </cell>
          <cell r="AJ1601" t="str">
            <v>Strands PW</v>
          </cell>
        </row>
        <row r="1602">
          <cell r="A1602" t="str">
            <v>IKN401432</v>
          </cell>
          <cell r="B1602">
            <v>1410</v>
          </cell>
          <cell r="C1602" t="str">
            <v>Institut Kanser Negara</v>
          </cell>
          <cell r="D1602" t="str">
            <v>KKM/IKN/H/13/3372</v>
          </cell>
          <cell r="E1602" t="str">
            <v>13-461</v>
          </cell>
          <cell r="F1602" t="str">
            <v>Scales, Patient, Floor</v>
          </cell>
          <cell r="G1602" t="str">
            <v>WC</v>
          </cell>
          <cell r="H1602" t="str">
            <v>SURGICAL ONCO FEMALE WARD</v>
          </cell>
          <cell r="I1602" t="str">
            <v>06WC143</v>
          </cell>
          <cell r="J1602" t="str">
            <v>NURSE STATION</v>
          </cell>
          <cell r="K1602" t="str">
            <v>BMED</v>
          </cell>
          <cell r="L1602" t="str">
            <v>Normal</v>
          </cell>
          <cell r="M1602" t="str">
            <v>USA</v>
          </cell>
          <cell r="N1602" t="str">
            <v>Detecto</v>
          </cell>
          <cell r="O1602" t="str">
            <v>758 C</v>
          </cell>
          <cell r="P1602" t="str">
            <v>E 34912-0175</v>
          </cell>
          <cell r="Q1602" t="str">
            <v>Not Available</v>
          </cell>
          <cell r="R1602" t="str">
            <v>DETECTO</v>
          </cell>
          <cell r="S1602" t="str">
            <v>Acucare System (M) Sdn. Bhd</v>
          </cell>
          <cell r="T1602" t="str">
            <v>Functioning</v>
          </cell>
          <cell r="U1602" t="str">
            <v>Asset</v>
          </cell>
          <cell r="V1602">
            <v>9380</v>
          </cell>
          <cell r="W1602" t="str">
            <v>KEW</v>
          </cell>
          <cell r="X1602" t="str">
            <v>01/09/2010</v>
          </cell>
          <cell r="Y1602" t="str">
            <v>KEW</v>
          </cell>
          <cell r="Z1602" t="str">
            <v>16/08/2013</v>
          </cell>
          <cell r="AA1602" t="str">
            <v>15/08/2015</v>
          </cell>
          <cell r="AB1602" t="str">
            <v>No</v>
          </cell>
          <cell r="AC1602" t="str">
            <v>31/08/2013</v>
          </cell>
          <cell r="AD1602" t="str">
            <v>Good</v>
          </cell>
          <cell r="AE1602" t="str">
            <v>V1 - Existing / No Claim</v>
          </cell>
          <cell r="AF1602">
            <v>42781</v>
          </cell>
          <cell r="AG1602">
            <v>9.17</v>
          </cell>
          <cell r="AH1602" t="str">
            <v>PPM</v>
          </cell>
          <cell r="AI1602" t="str">
            <v>Strands</v>
          </cell>
          <cell r="AJ1602" t="str">
            <v>Strands PW</v>
          </cell>
        </row>
        <row r="1603">
          <cell r="A1603" t="str">
            <v>IKN401436</v>
          </cell>
          <cell r="B1603">
            <v>1412</v>
          </cell>
          <cell r="C1603" t="str">
            <v>Institut Kanser Negara</v>
          </cell>
          <cell r="D1603" t="str">
            <v>KKM/IKN/I/13/1703</v>
          </cell>
          <cell r="E1603" t="str">
            <v>13-461</v>
          </cell>
          <cell r="F1603" t="str">
            <v>Scales, Patient, Floor</v>
          </cell>
          <cell r="G1603" t="str">
            <v>MC</v>
          </cell>
          <cell r="H1603" t="str">
            <v>MULTI-DISCIPLINE CLINIC</v>
          </cell>
          <cell r="I1603" t="str">
            <v>03MC106</v>
          </cell>
          <cell r="J1603" t="str">
            <v>COUNSELLING</v>
          </cell>
          <cell r="K1603" t="str">
            <v>BMED</v>
          </cell>
          <cell r="L1603" t="str">
            <v>Normal</v>
          </cell>
          <cell r="M1603" t="str">
            <v>USA</v>
          </cell>
          <cell r="N1603" t="str">
            <v>Detecto</v>
          </cell>
          <cell r="O1603" t="str">
            <v>758 C</v>
          </cell>
          <cell r="P1603" t="str">
            <v>E32112-0184</v>
          </cell>
          <cell r="Q1603" t="str">
            <v>NA</v>
          </cell>
          <cell r="R1603" t="str">
            <v>DETECTO</v>
          </cell>
          <cell r="S1603" t="str">
            <v>ACURE SYSTEM SDN BHD</v>
          </cell>
          <cell r="T1603" t="str">
            <v>Functioning</v>
          </cell>
          <cell r="U1603" t="str">
            <v>Asset</v>
          </cell>
          <cell r="V1603">
            <v>9380</v>
          </cell>
          <cell r="W1603" t="str">
            <v>KEW</v>
          </cell>
          <cell r="X1603" t="str">
            <v>01/09/2010</v>
          </cell>
          <cell r="Y1603" t="str">
            <v>Estimate</v>
          </cell>
          <cell r="Z1603" t="str">
            <v>16/08/2013</v>
          </cell>
          <cell r="AA1603" t="str">
            <v>15/08/2015</v>
          </cell>
          <cell r="AB1603" t="str">
            <v>No</v>
          </cell>
          <cell r="AC1603" t="str">
            <v>31/08/2013</v>
          </cell>
          <cell r="AD1603" t="str">
            <v>Good</v>
          </cell>
          <cell r="AE1603" t="str">
            <v>V1 - Existing / No Claim</v>
          </cell>
          <cell r="AF1603">
            <v>42781</v>
          </cell>
          <cell r="AG1603">
            <v>9.17</v>
          </cell>
          <cell r="AH1603" t="str">
            <v>PPM</v>
          </cell>
          <cell r="AI1603" t="str">
            <v>Strands</v>
          </cell>
          <cell r="AK1603" t="str">
            <v>Wrong kewpa previously by user KKM/IKN/I/13/379. [22/9/2023, SHARIFAH]: PEP ON FEB 2021, BER/BEMS/AWSB/21/002 - Asset mengalami kerosakan pada komponen Digital Height Rod, tetapi masih boleh digunakan namun asset tidak ekonomik diperbaiki lagi sekiranya rosak.</v>
          </cell>
        </row>
        <row r="1604">
          <cell r="A1604" t="str">
            <v>IKN401439</v>
          </cell>
          <cell r="B1604">
            <v>1415</v>
          </cell>
          <cell r="C1604" t="str">
            <v>Institut Kanser Negara</v>
          </cell>
          <cell r="D1604" t="str">
            <v>KKM/IKN/H/13/2232</v>
          </cell>
          <cell r="E1604" t="str">
            <v>13-461</v>
          </cell>
          <cell r="F1604" t="str">
            <v>Scales, Patient, Floor</v>
          </cell>
          <cell r="G1604" t="str">
            <v>WA</v>
          </cell>
          <cell r="H1604" t="str">
            <v>NUCLEAR MED WARD (THERAPY)</v>
          </cell>
          <cell r="I1604" t="str">
            <v>03WA117</v>
          </cell>
          <cell r="J1604" t="str">
            <v>N/S 1</v>
          </cell>
          <cell r="K1604" t="str">
            <v>BMED</v>
          </cell>
          <cell r="L1604" t="str">
            <v>Normal</v>
          </cell>
          <cell r="M1604" t="str">
            <v>USA</v>
          </cell>
          <cell r="N1604" t="str">
            <v>Detecto</v>
          </cell>
          <cell r="O1604" t="str">
            <v>758 C</v>
          </cell>
          <cell r="P1604" t="str">
            <v>E 34812-0035</v>
          </cell>
          <cell r="Q1604" t="str">
            <v>Not Applicable</v>
          </cell>
          <cell r="R1604" t="str">
            <v>DETECTO</v>
          </cell>
          <cell r="S1604" t="str">
            <v>Acucare System (M) Sdn. Bhd</v>
          </cell>
          <cell r="T1604" t="str">
            <v>Functioning</v>
          </cell>
          <cell r="U1604" t="str">
            <v>Asset</v>
          </cell>
          <cell r="V1604">
            <v>9380</v>
          </cell>
          <cell r="W1604" t="str">
            <v>KEW</v>
          </cell>
          <cell r="X1604" t="str">
            <v>01/09/2010</v>
          </cell>
          <cell r="Y1604" t="str">
            <v>KEW</v>
          </cell>
          <cell r="Z1604" t="str">
            <v>16/08/2013</v>
          </cell>
          <cell r="AA1604" t="str">
            <v>15/08/2015</v>
          </cell>
          <cell r="AB1604" t="str">
            <v>No</v>
          </cell>
          <cell r="AC1604" t="str">
            <v>31/08/2013</v>
          </cell>
          <cell r="AD1604" t="str">
            <v>Good</v>
          </cell>
          <cell r="AE1604" t="str">
            <v>V1 - Existing / No Claim</v>
          </cell>
          <cell r="AF1604">
            <v>42794</v>
          </cell>
          <cell r="AG1604">
            <v>9.17</v>
          </cell>
          <cell r="AH1604" t="str">
            <v>PPM</v>
          </cell>
          <cell r="AI1604" t="str">
            <v>Strands</v>
          </cell>
          <cell r="AJ1604" t="str">
            <v>Strands PW</v>
          </cell>
        </row>
        <row r="1605">
          <cell r="A1605" t="str">
            <v>IKN401447</v>
          </cell>
          <cell r="B1605">
            <v>1420</v>
          </cell>
          <cell r="C1605" t="str">
            <v>Institut Kanser Negara</v>
          </cell>
          <cell r="D1605" t="str">
            <v>KKM/IKN/H/13/1246</v>
          </cell>
          <cell r="E1605" t="str">
            <v>13-461</v>
          </cell>
          <cell r="F1605" t="str">
            <v>Scales, Patient, Floor</v>
          </cell>
          <cell r="G1605" t="str">
            <v>TC</v>
          </cell>
          <cell r="H1605" t="str">
            <v>TRADITIONAL COMPLEMENTARY MEDICINE</v>
          </cell>
          <cell r="I1605" t="str">
            <v>04TC125</v>
          </cell>
          <cell r="J1605" t="str">
            <v>ASSESSMENT</v>
          </cell>
          <cell r="K1605" t="str">
            <v>BMED</v>
          </cell>
          <cell r="L1605" t="str">
            <v>Normal</v>
          </cell>
          <cell r="M1605" t="str">
            <v>USA</v>
          </cell>
          <cell r="N1605" t="str">
            <v>Detecto</v>
          </cell>
          <cell r="O1605" t="str">
            <v>758 C</v>
          </cell>
          <cell r="P1605" t="str">
            <v>E 32112-0179</v>
          </cell>
          <cell r="Q1605" t="str">
            <v>Not Applicable</v>
          </cell>
          <cell r="R1605" t="str">
            <v>DETECTO</v>
          </cell>
          <cell r="S1605" t="str">
            <v>Acucare System (M) Sdn. Bhd</v>
          </cell>
          <cell r="T1605" t="str">
            <v>Functioning</v>
          </cell>
          <cell r="U1605" t="str">
            <v>Asset</v>
          </cell>
          <cell r="V1605">
            <v>9380</v>
          </cell>
          <cell r="W1605" t="str">
            <v>KEW</v>
          </cell>
          <cell r="X1605" t="str">
            <v>01/09/2010</v>
          </cell>
          <cell r="Y1605" t="str">
            <v>KEW</v>
          </cell>
          <cell r="Z1605" t="str">
            <v>16/08/2013</v>
          </cell>
          <cell r="AA1605" t="str">
            <v>15/08/2015</v>
          </cell>
          <cell r="AB1605" t="str">
            <v>No</v>
          </cell>
          <cell r="AC1605" t="str">
            <v>31/08/2013</v>
          </cell>
          <cell r="AD1605" t="str">
            <v>Good</v>
          </cell>
          <cell r="AE1605" t="str">
            <v>V1 - Existing / No Claim</v>
          </cell>
          <cell r="AF1605">
            <v>42794</v>
          </cell>
          <cell r="AG1605">
            <v>9.17</v>
          </cell>
          <cell r="AH1605" t="str">
            <v>PPM</v>
          </cell>
          <cell r="AI1605" t="str">
            <v>Strands</v>
          </cell>
          <cell r="AJ1605" t="str">
            <v>Strands PW</v>
          </cell>
        </row>
        <row r="1606">
          <cell r="A1606" t="str">
            <v>IKN401450</v>
          </cell>
          <cell r="B1606">
            <v>1422</v>
          </cell>
          <cell r="C1606" t="str">
            <v>Institut Kanser Negara</v>
          </cell>
          <cell r="D1606" t="str">
            <v>KKM/IKN/H/13/2972</v>
          </cell>
          <cell r="E1606" t="str">
            <v>13-461</v>
          </cell>
          <cell r="F1606" t="str">
            <v>Scales, Patient, Floor</v>
          </cell>
          <cell r="G1606" t="str">
            <v>NM</v>
          </cell>
          <cell r="H1606" t="str">
            <v>NUCLEAR MED (DIAGNOSTIC)</v>
          </cell>
          <cell r="I1606" t="str">
            <v>03NM108</v>
          </cell>
          <cell r="J1606" t="str">
            <v>TREATMENT 1 (RAI)(VE)</v>
          </cell>
          <cell r="K1606" t="str">
            <v>BMED</v>
          </cell>
          <cell r="L1606" t="str">
            <v>Normal</v>
          </cell>
          <cell r="M1606" t="str">
            <v>USA</v>
          </cell>
          <cell r="N1606" t="str">
            <v>Detecto</v>
          </cell>
          <cell r="O1606" t="str">
            <v>758 C</v>
          </cell>
          <cell r="P1606" t="str">
            <v>E32112-0185</v>
          </cell>
          <cell r="Q1606" t="str">
            <v>NA</v>
          </cell>
          <cell r="R1606" t="str">
            <v>DETECTO</v>
          </cell>
          <cell r="S1606" t="str">
            <v>ACUCARE SYSTEMS M SDN BHD</v>
          </cell>
          <cell r="T1606" t="str">
            <v>Functioning</v>
          </cell>
          <cell r="U1606" t="str">
            <v>Asset</v>
          </cell>
          <cell r="V1606">
            <v>9380</v>
          </cell>
          <cell r="W1606" t="str">
            <v>KEW</v>
          </cell>
          <cell r="X1606" t="str">
            <v>01/09/2010</v>
          </cell>
          <cell r="Y1606" t="str">
            <v>Estimate</v>
          </cell>
          <cell r="Z1606" t="str">
            <v>16/08/2013</v>
          </cell>
          <cell r="AA1606" t="str">
            <v>15/08/2015</v>
          </cell>
          <cell r="AB1606" t="str">
            <v>No</v>
          </cell>
          <cell r="AC1606" t="str">
            <v>31/08/2013</v>
          </cell>
          <cell r="AD1606" t="str">
            <v>Good</v>
          </cell>
          <cell r="AE1606" t="str">
            <v>V1 - Existing / No Claim</v>
          </cell>
          <cell r="AF1606">
            <v>43430</v>
          </cell>
          <cell r="AG1606">
            <v>9.17</v>
          </cell>
          <cell r="AH1606" t="str">
            <v>PPM</v>
          </cell>
          <cell r="AI1606" t="str">
            <v>Strands</v>
          </cell>
          <cell r="AJ1606" t="str">
            <v>Strands PW</v>
          </cell>
        </row>
        <row r="1607">
          <cell r="A1607" t="str">
            <v>IKN401453</v>
          </cell>
          <cell r="B1607">
            <v>1424</v>
          </cell>
          <cell r="C1607" t="str">
            <v>Institut Kanser Negara</v>
          </cell>
          <cell r="D1607" t="str">
            <v>KKM/IKN/H/13/2379</v>
          </cell>
          <cell r="E1607" t="str">
            <v>13-461</v>
          </cell>
          <cell r="F1607" t="str">
            <v>Scales, Patient, Floor</v>
          </cell>
          <cell r="G1607" t="str">
            <v>WB</v>
          </cell>
          <cell r="H1607" t="str">
            <v>SURGICAL ONCO MALE WARD</v>
          </cell>
          <cell r="I1607" t="str">
            <v>05WB143</v>
          </cell>
          <cell r="J1607" t="str">
            <v>NURSES STATION</v>
          </cell>
          <cell r="K1607" t="str">
            <v>BMED</v>
          </cell>
          <cell r="L1607" t="str">
            <v>Normal</v>
          </cell>
          <cell r="M1607" t="str">
            <v>USA</v>
          </cell>
          <cell r="N1607" t="str">
            <v>Detecto</v>
          </cell>
          <cell r="O1607" t="str">
            <v>758 C</v>
          </cell>
          <cell r="P1607" t="str">
            <v>E 32112-0200</v>
          </cell>
          <cell r="Q1607" t="str">
            <v>Not Available</v>
          </cell>
          <cell r="R1607" t="str">
            <v>DETECTO</v>
          </cell>
          <cell r="S1607" t="str">
            <v>Acucare System (M) Sdn. Bhd</v>
          </cell>
          <cell r="T1607" t="str">
            <v>Functioning</v>
          </cell>
          <cell r="U1607" t="str">
            <v>Asset</v>
          </cell>
          <cell r="V1607">
            <v>9380</v>
          </cell>
          <cell r="W1607" t="str">
            <v>KEW</v>
          </cell>
          <cell r="X1607" t="str">
            <v>01/09/2010</v>
          </cell>
          <cell r="Y1607" t="str">
            <v>KEW</v>
          </cell>
          <cell r="Z1607" t="str">
            <v>16/08/2013</v>
          </cell>
          <cell r="AA1607" t="str">
            <v>15/08/2015</v>
          </cell>
          <cell r="AB1607" t="str">
            <v>No</v>
          </cell>
          <cell r="AC1607" t="str">
            <v>31/08/2013</v>
          </cell>
          <cell r="AD1607" t="str">
            <v>Good</v>
          </cell>
          <cell r="AE1607" t="str">
            <v>V1 - Existing / No Claim</v>
          </cell>
          <cell r="AF1607">
            <v>42781</v>
          </cell>
          <cell r="AG1607">
            <v>9.17</v>
          </cell>
          <cell r="AH1607" t="str">
            <v>PPM</v>
          </cell>
          <cell r="AI1607" t="str">
            <v>Strands</v>
          </cell>
          <cell r="AJ1607" t="str">
            <v>Strands PW</v>
          </cell>
        </row>
        <row r="1608">
          <cell r="A1608" t="str">
            <v>IKN401461</v>
          </cell>
          <cell r="B1608">
            <v>1430</v>
          </cell>
          <cell r="C1608" t="str">
            <v>Institut Kanser Negara</v>
          </cell>
          <cell r="D1608" t="str">
            <v>KKM/IKN/H/13/797</v>
          </cell>
          <cell r="E1608" t="str">
            <v>13-461</v>
          </cell>
          <cell r="F1608" t="str">
            <v>Scales, Patient, Floor</v>
          </cell>
          <cell r="G1608" t="str">
            <v>OC</v>
          </cell>
          <cell r="H1608" t="str">
            <v>ONCOLOGY CLINIC</v>
          </cell>
          <cell r="I1608" t="str">
            <v>03OC133</v>
          </cell>
          <cell r="J1608" t="str">
            <v>ASSESSMENT</v>
          </cell>
          <cell r="K1608" t="str">
            <v>BMED</v>
          </cell>
          <cell r="L1608" t="str">
            <v>Normal</v>
          </cell>
          <cell r="M1608" t="str">
            <v>USA</v>
          </cell>
          <cell r="N1608" t="str">
            <v>Detecto</v>
          </cell>
          <cell r="O1608" t="str">
            <v>758 C</v>
          </cell>
          <cell r="P1608" t="str">
            <v>E 34912-0248</v>
          </cell>
          <cell r="Q1608" t="str">
            <v>Not Available</v>
          </cell>
          <cell r="R1608" t="str">
            <v>DETECTO</v>
          </cell>
          <cell r="S1608" t="str">
            <v>Acucare System (M) Sdn. Bhd</v>
          </cell>
          <cell r="T1608" t="str">
            <v>Functioning</v>
          </cell>
          <cell r="U1608" t="str">
            <v>Asset</v>
          </cell>
          <cell r="V1608">
            <v>9380</v>
          </cell>
          <cell r="W1608" t="str">
            <v>KEW</v>
          </cell>
          <cell r="X1608" t="str">
            <v>01/09/2010</v>
          </cell>
          <cell r="Y1608" t="str">
            <v>KEW</v>
          </cell>
          <cell r="Z1608" t="str">
            <v>16/08/2013</v>
          </cell>
          <cell r="AA1608" t="str">
            <v>15/08/2015</v>
          </cell>
          <cell r="AB1608" t="str">
            <v>No</v>
          </cell>
          <cell r="AC1608" t="str">
            <v>31/08/2013</v>
          </cell>
          <cell r="AD1608" t="str">
            <v>Good</v>
          </cell>
          <cell r="AE1608" t="str">
            <v>V1 - Existing / No Claim</v>
          </cell>
          <cell r="AF1608">
            <v>43430</v>
          </cell>
          <cell r="AG1608">
            <v>9.17</v>
          </cell>
          <cell r="AH1608" t="str">
            <v>PPM</v>
          </cell>
          <cell r="AI1608" t="str">
            <v>Strands</v>
          </cell>
          <cell r="AJ1608" t="str">
            <v>Strands PW</v>
          </cell>
          <cell r="AK1608" t="str">
            <v>Wrong kewpa no. previously KKM/IKN/H/13/1629</v>
          </cell>
        </row>
        <row r="1609">
          <cell r="A1609" t="str">
            <v>IKN401470</v>
          </cell>
          <cell r="B1609">
            <v>1437</v>
          </cell>
          <cell r="C1609" t="str">
            <v>Institut Kanser Negara</v>
          </cell>
          <cell r="D1609" t="str">
            <v>KKM/IKN/H/13/1786</v>
          </cell>
          <cell r="E1609" t="str">
            <v>13-461</v>
          </cell>
          <cell r="F1609" t="str">
            <v>Scales, Patient, Floor</v>
          </cell>
          <cell r="G1609" t="str">
            <v>AE</v>
          </cell>
          <cell r="H1609" t="str">
            <v>EMERGENCY UNIT</v>
          </cell>
          <cell r="I1609" t="str">
            <v>01AE111</v>
          </cell>
          <cell r="J1609" t="str">
            <v>C/E ROOM</v>
          </cell>
          <cell r="K1609" t="str">
            <v>BMED</v>
          </cell>
          <cell r="L1609" t="str">
            <v>Normal</v>
          </cell>
          <cell r="M1609" t="str">
            <v>USA</v>
          </cell>
          <cell r="N1609" t="str">
            <v>Detecto</v>
          </cell>
          <cell r="O1609" t="str">
            <v>758 C</v>
          </cell>
          <cell r="P1609" t="str">
            <v>E32112-0181</v>
          </cell>
          <cell r="Q1609" t="str">
            <v>NA</v>
          </cell>
          <cell r="R1609" t="str">
            <v>DETECTO</v>
          </cell>
          <cell r="S1609" t="str">
            <v>ACUCARE SYSTEMS SDN BHD</v>
          </cell>
          <cell r="T1609" t="str">
            <v>Functioning</v>
          </cell>
          <cell r="U1609" t="str">
            <v>Asset</v>
          </cell>
          <cell r="V1609">
            <v>9380</v>
          </cell>
          <cell r="W1609" t="str">
            <v>KEW</v>
          </cell>
          <cell r="X1609" t="str">
            <v>01/09/2010</v>
          </cell>
          <cell r="Y1609" t="str">
            <v>Estimate</v>
          </cell>
          <cell r="Z1609" t="str">
            <v>16/08/2013</v>
          </cell>
          <cell r="AA1609" t="str">
            <v>15/08/2015</v>
          </cell>
          <cell r="AB1609" t="str">
            <v>No</v>
          </cell>
          <cell r="AC1609" t="str">
            <v>31/08/2013</v>
          </cell>
          <cell r="AD1609" t="str">
            <v>Good</v>
          </cell>
          <cell r="AE1609" t="str">
            <v>V3 - Added Installed Facilities (New)</v>
          </cell>
          <cell r="AF1609">
            <v>43447</v>
          </cell>
          <cell r="AG1609">
            <v>9.17</v>
          </cell>
          <cell r="AH1609" t="str">
            <v>PPM</v>
          </cell>
          <cell r="AI1609" t="str">
            <v>Strands</v>
          </cell>
          <cell r="AJ1609" t="str">
            <v>Strands PW</v>
          </cell>
          <cell r="AK1609" t="str">
            <v>SNF received. 1st batch of V3 asset (December 2020), [18/9/2023, Indira] Tukar location.</v>
          </cell>
        </row>
        <row r="1610">
          <cell r="A1610" t="str">
            <v>IKN401472</v>
          </cell>
          <cell r="B1610">
            <v>1438</v>
          </cell>
          <cell r="C1610" t="str">
            <v>Institut Kanser Negara</v>
          </cell>
          <cell r="D1610" t="str">
            <v>KKM/IKN/H/13/1877</v>
          </cell>
          <cell r="E1610" t="str">
            <v>13-461</v>
          </cell>
          <cell r="F1610" t="str">
            <v>Scales, Patient, Floor</v>
          </cell>
          <cell r="G1610" t="str">
            <v>WJ</v>
          </cell>
          <cell r="H1610" t="str">
            <v>MULTIDISCIPLINE WARD 1</v>
          </cell>
          <cell r="I1610" t="str">
            <v>09WJ136</v>
          </cell>
          <cell r="J1610" t="str">
            <v>NURSE STATION</v>
          </cell>
          <cell r="K1610" t="str">
            <v>BMED</v>
          </cell>
          <cell r="L1610" t="str">
            <v>Normal</v>
          </cell>
          <cell r="M1610" t="str">
            <v>USA</v>
          </cell>
          <cell r="N1610" t="str">
            <v>Detecto</v>
          </cell>
          <cell r="O1610" t="str">
            <v>758 C</v>
          </cell>
          <cell r="P1610" t="str">
            <v>E-32112-0182</v>
          </cell>
          <cell r="Q1610" t="str">
            <v>Not Applicable</v>
          </cell>
          <cell r="R1610" t="str">
            <v>DETECTO</v>
          </cell>
          <cell r="S1610" t="str">
            <v>ACUCARE SYSTEM SDN BHD</v>
          </cell>
          <cell r="T1610" t="str">
            <v>Functioning</v>
          </cell>
          <cell r="U1610" t="str">
            <v>Asset</v>
          </cell>
          <cell r="V1610">
            <v>9380</v>
          </cell>
          <cell r="W1610" t="str">
            <v>KEW</v>
          </cell>
          <cell r="X1610" t="str">
            <v>01/09/2010</v>
          </cell>
          <cell r="Y1610" t="str">
            <v>Estimate</v>
          </cell>
          <cell r="Z1610" t="str">
            <v>16/08/2013</v>
          </cell>
          <cell r="AA1610" t="str">
            <v>15/08/2015</v>
          </cell>
          <cell r="AB1610" t="str">
            <v>No</v>
          </cell>
          <cell r="AC1610" t="str">
            <v>31/08/2013</v>
          </cell>
          <cell r="AD1610" t="str">
            <v>Good</v>
          </cell>
          <cell r="AE1610" t="str">
            <v>V1 - Existing / No Claim</v>
          </cell>
          <cell r="AF1610">
            <v>42809</v>
          </cell>
          <cell r="AG1610">
            <v>9.17</v>
          </cell>
          <cell r="AH1610" t="str">
            <v>PPM</v>
          </cell>
          <cell r="AI1610" t="str">
            <v>Strands</v>
          </cell>
          <cell r="AJ1610" t="str">
            <v>Strands PW</v>
          </cell>
        </row>
        <row r="1611">
          <cell r="A1611" t="str">
            <v>IKN401476</v>
          </cell>
          <cell r="B1611">
            <v>1442</v>
          </cell>
          <cell r="C1611" t="str">
            <v>Institut Kanser Negara</v>
          </cell>
          <cell r="D1611" t="str">
            <v>KKM/IKN/H/13/3381</v>
          </cell>
          <cell r="E1611" t="str">
            <v>13-461</v>
          </cell>
          <cell r="F1611" t="str">
            <v>Scales, Patient, Floor</v>
          </cell>
          <cell r="G1611" t="str">
            <v>RT</v>
          </cell>
          <cell r="H1611" t="str">
            <v>RADIATION TREATMENT UNIT</v>
          </cell>
          <cell r="I1611" t="str">
            <v>01RT109</v>
          </cell>
          <cell r="J1611" t="str">
            <v>C/L 1</v>
          </cell>
          <cell r="K1611" t="str">
            <v>BMED</v>
          </cell>
          <cell r="L1611" t="str">
            <v>Normal</v>
          </cell>
          <cell r="M1611" t="str">
            <v>USA</v>
          </cell>
          <cell r="N1611" t="str">
            <v>Detecto</v>
          </cell>
          <cell r="O1611" t="str">
            <v>758 C</v>
          </cell>
          <cell r="P1611" t="str">
            <v>E32112-0202</v>
          </cell>
          <cell r="Q1611" t="str">
            <v>Not Applicable</v>
          </cell>
          <cell r="R1611" t="str">
            <v>DETECTO</v>
          </cell>
          <cell r="S1611" t="str">
            <v>Acucare Systems (M) Sdn bhd</v>
          </cell>
          <cell r="T1611" t="str">
            <v>Functioning</v>
          </cell>
          <cell r="U1611" t="str">
            <v>Asset</v>
          </cell>
          <cell r="V1611">
            <v>9380</v>
          </cell>
          <cell r="W1611" t="str">
            <v>KEW</v>
          </cell>
          <cell r="X1611" t="str">
            <v>01/09/2010</v>
          </cell>
          <cell r="Y1611" t="str">
            <v>KEW</v>
          </cell>
          <cell r="Z1611" t="str">
            <v>16/08/2013</v>
          </cell>
          <cell r="AA1611" t="str">
            <v>15/08/2015</v>
          </cell>
          <cell r="AB1611" t="str">
            <v>No</v>
          </cell>
          <cell r="AC1611" t="str">
            <v>31/08/2013</v>
          </cell>
          <cell r="AD1611" t="str">
            <v>Good</v>
          </cell>
          <cell r="AE1611" t="str">
            <v>V1 - Existing / No Claim</v>
          </cell>
          <cell r="AF1611">
            <v>42816</v>
          </cell>
          <cell r="AG1611">
            <v>9.17</v>
          </cell>
          <cell r="AH1611" t="str">
            <v>PPM</v>
          </cell>
          <cell r="AI1611" t="str">
            <v>Strands</v>
          </cell>
        </row>
        <row r="1612">
          <cell r="A1612" t="str">
            <v>IKN401479</v>
          </cell>
          <cell r="B1612">
            <v>1444</v>
          </cell>
          <cell r="C1612" t="str">
            <v>Institut Kanser Negara</v>
          </cell>
          <cell r="D1612" t="e">
            <v>#N/A</v>
          </cell>
          <cell r="E1612" t="str">
            <v>11-631</v>
          </cell>
          <cell r="F1612" t="str">
            <v>Exercisers, Continuous Passive Motion</v>
          </cell>
          <cell r="G1612" t="str">
            <v>CX</v>
          </cell>
          <cell r="I1612" t="str">
            <v>05</v>
          </cell>
          <cell r="J1612" t="str">
            <v>FUTURE EXPANSION</v>
          </cell>
          <cell r="K1612" t="str">
            <v>BMED</v>
          </cell>
          <cell r="L1612" t="str">
            <v>Normal</v>
          </cell>
          <cell r="M1612" t="str">
            <v>China</v>
          </cell>
          <cell r="N1612" t="str">
            <v>Vision</v>
          </cell>
          <cell r="O1612" t="str">
            <v>Vision X20</v>
          </cell>
          <cell r="P1612" t="str">
            <v>EP26813121BA00005</v>
          </cell>
          <cell r="Q1612" t="str">
            <v>Not Applicable</v>
          </cell>
          <cell r="R1612" t="str">
            <v>Vision Fitnees</v>
          </cell>
          <cell r="S1612" t="str">
            <v>Vision Fitnees</v>
          </cell>
          <cell r="T1612" t="str">
            <v>Functioning</v>
          </cell>
          <cell r="U1612" t="str">
            <v>Asset</v>
          </cell>
          <cell r="V1612">
            <v>1</v>
          </cell>
          <cell r="W1612" t="str">
            <v>Estimate</v>
          </cell>
          <cell r="X1612" t="str">
            <v>01/09/2010</v>
          </cell>
          <cell r="Y1612" t="str">
            <v>Estimate</v>
          </cell>
          <cell r="Z1612" t="str">
            <v>16/08/2013</v>
          </cell>
          <cell r="AA1612" t="str">
            <v>15/08/2015</v>
          </cell>
          <cell r="AB1612" t="str">
            <v>No</v>
          </cell>
          <cell r="AC1612" t="str">
            <v>31/08/2013</v>
          </cell>
          <cell r="AD1612" t="str">
            <v>Good</v>
          </cell>
          <cell r="AE1612" t="str">
            <v>V1 - Existing / No Claim</v>
          </cell>
          <cell r="AF1612">
            <v>42868</v>
          </cell>
          <cell r="AG1612">
            <v>9.17</v>
          </cell>
          <cell r="AH1612" t="str">
            <v>PPM</v>
          </cell>
          <cell r="AI1612" t="str">
            <v>Strands</v>
          </cell>
          <cell r="AJ1612" t="str">
            <v>Strands Package F</v>
          </cell>
          <cell r="AK1612" t="str">
            <v>Unit under contract share fees with other same exact same unit. -IKN401387</v>
          </cell>
        </row>
        <row r="1613">
          <cell r="A1613" t="str">
            <v>IKN401480</v>
          </cell>
          <cell r="B1613">
            <v>1445</v>
          </cell>
          <cell r="C1613" t="str">
            <v>Institut Kanser Negara</v>
          </cell>
          <cell r="D1613" t="e">
            <v>#N/A</v>
          </cell>
          <cell r="E1613" t="str">
            <v>10-383</v>
          </cell>
          <cell r="F1613" t="str">
            <v>Ergometers, Bicycle</v>
          </cell>
          <cell r="G1613" t="str">
            <v>CX</v>
          </cell>
          <cell r="I1613" t="str">
            <v>05</v>
          </cell>
          <cell r="J1613" t="str">
            <v>FUTURE EXPANSION</v>
          </cell>
          <cell r="K1613" t="str">
            <v>BMED</v>
          </cell>
          <cell r="L1613" t="str">
            <v>Normal</v>
          </cell>
          <cell r="M1613" t="str">
            <v>Germany</v>
          </cell>
          <cell r="N1613" t="str">
            <v>Ergometer</v>
          </cell>
          <cell r="O1613" t="str">
            <v>Ergometer E5</v>
          </cell>
          <cell r="P1613" t="str">
            <v>E5-W10579</v>
          </cell>
          <cell r="Q1613" t="str">
            <v>Not Applicable</v>
          </cell>
          <cell r="R1613" t="str">
            <v>Heinz Kettler GmbH &amp; Co KG</v>
          </cell>
          <cell r="S1613" t="str">
            <v>Rehamed (M) Sdn. Bhd</v>
          </cell>
          <cell r="T1613" t="str">
            <v>Functioning</v>
          </cell>
          <cell r="U1613" t="str">
            <v>Asset</v>
          </cell>
          <cell r="V1613">
            <v>1</v>
          </cell>
          <cell r="W1613" t="str">
            <v>Estimate</v>
          </cell>
          <cell r="X1613" t="str">
            <v>01/09/2010</v>
          </cell>
          <cell r="Y1613" t="str">
            <v>Estimate</v>
          </cell>
          <cell r="Z1613" t="str">
            <v>16/08/2013</v>
          </cell>
          <cell r="AA1613" t="str">
            <v>15/08/2015</v>
          </cell>
          <cell r="AB1613" t="str">
            <v>No</v>
          </cell>
          <cell r="AC1613" t="str">
            <v>31/08/2013</v>
          </cell>
          <cell r="AD1613" t="str">
            <v>Good</v>
          </cell>
          <cell r="AE1613" t="str">
            <v>V1 - Existing / No Claim</v>
          </cell>
          <cell r="AF1613">
            <v>43675</v>
          </cell>
          <cell r="AG1613">
            <v>9.17</v>
          </cell>
          <cell r="AH1613" t="str">
            <v>PPM</v>
          </cell>
          <cell r="AI1613" t="str">
            <v>Strands</v>
          </cell>
          <cell r="AJ1613" t="str">
            <v>Strands PW F</v>
          </cell>
          <cell r="AK1613" t="str">
            <v>Unit under contract share fees with other same exact same unit. -IKN400703</v>
          </cell>
        </row>
        <row r="1614">
          <cell r="A1614" t="str">
            <v>IKN401481</v>
          </cell>
          <cell r="B1614">
            <v>1446</v>
          </cell>
          <cell r="C1614" t="str">
            <v>Institut Kanser Negara</v>
          </cell>
          <cell r="D1614" t="str">
            <v>KKM/IKN/H/13/3267</v>
          </cell>
          <cell r="E1614" t="str">
            <v>13-325</v>
          </cell>
          <cell r="F1614" t="str">
            <v>Regulators, Suction</v>
          </cell>
          <cell r="G1614" t="str">
            <v>RT</v>
          </cell>
          <cell r="H1614" t="str">
            <v>RADIATION TREATMENT UNIT</v>
          </cell>
          <cell r="I1614" t="str">
            <v>01RT275</v>
          </cell>
          <cell r="J1614" t="str">
            <v>BRACHY OT 1</v>
          </cell>
          <cell r="K1614" t="str">
            <v>BMED</v>
          </cell>
          <cell r="L1614" t="str">
            <v>Normal</v>
          </cell>
          <cell r="M1614" t="str">
            <v>United Kingdom</v>
          </cell>
          <cell r="N1614" t="str">
            <v>MGE</v>
          </cell>
          <cell r="O1614" t="str">
            <v>SAM 54</v>
          </cell>
          <cell r="P1614" t="str">
            <v>MG013557</v>
          </cell>
          <cell r="Q1614" t="str">
            <v>Not Applicable</v>
          </cell>
          <cell r="R1614" t="str">
            <v>MGE</v>
          </cell>
          <cell r="S1614" t="str">
            <v>Delta Medisains</v>
          </cell>
          <cell r="T1614" t="str">
            <v>Functioning</v>
          </cell>
          <cell r="U1614" t="str">
            <v>Asset</v>
          </cell>
          <cell r="V1614">
            <v>4330</v>
          </cell>
          <cell r="W1614" t="str">
            <v>KEW</v>
          </cell>
          <cell r="X1614" t="str">
            <v>01/09/2010</v>
          </cell>
          <cell r="Y1614" t="str">
            <v>KEW</v>
          </cell>
          <cell r="Z1614" t="str">
            <v>16/08/2013</v>
          </cell>
          <cell r="AA1614" t="str">
            <v>15/08/2015</v>
          </cell>
          <cell r="AB1614" t="str">
            <v>No</v>
          </cell>
          <cell r="AC1614" t="str">
            <v>31/08/2013</v>
          </cell>
          <cell r="AD1614" t="str">
            <v>Good</v>
          </cell>
          <cell r="AE1614" t="str">
            <v>V1 - Existing / No Claim</v>
          </cell>
          <cell r="AF1614">
            <v>42920</v>
          </cell>
          <cell r="AG1614">
            <v>9.17</v>
          </cell>
          <cell r="AH1614" t="str">
            <v>RI</v>
          </cell>
          <cell r="AI1614" t="str">
            <v>Strands</v>
          </cell>
          <cell r="AJ1614" t="str">
            <v>Strands PW</v>
          </cell>
        </row>
        <row r="1615">
          <cell r="A1615" t="str">
            <v>IKN401482</v>
          </cell>
          <cell r="B1615">
            <v>1447</v>
          </cell>
          <cell r="C1615" t="str">
            <v>Institut Kanser Negara</v>
          </cell>
          <cell r="D1615" t="str">
            <v>KKM/IKN/H/13/2623</v>
          </cell>
          <cell r="E1615" t="str">
            <v>13-325</v>
          </cell>
          <cell r="F1615" t="str">
            <v>Regulators, Suction</v>
          </cell>
          <cell r="G1615" t="str">
            <v>RT</v>
          </cell>
          <cell r="H1615" t="str">
            <v>RADIATION TREATMENT UNIT</v>
          </cell>
          <cell r="I1615" t="str">
            <v>01RT275</v>
          </cell>
          <cell r="J1615" t="str">
            <v>BRACHY OT 1</v>
          </cell>
          <cell r="K1615" t="str">
            <v>BMED</v>
          </cell>
          <cell r="L1615" t="str">
            <v>Normal</v>
          </cell>
          <cell r="M1615" t="str">
            <v>United Kingdom</v>
          </cell>
          <cell r="N1615" t="str">
            <v>MGE</v>
          </cell>
          <cell r="O1615" t="str">
            <v>SAM 54</v>
          </cell>
          <cell r="P1615" t="str">
            <v>MG013530</v>
          </cell>
          <cell r="Q1615" t="str">
            <v>Not Applicable</v>
          </cell>
          <cell r="R1615" t="str">
            <v>MGE</v>
          </cell>
          <cell r="S1615" t="str">
            <v>Delta Medisains</v>
          </cell>
          <cell r="T1615" t="str">
            <v>Functioning</v>
          </cell>
          <cell r="U1615" t="str">
            <v>Asset</v>
          </cell>
          <cell r="V1615">
            <v>4330</v>
          </cell>
          <cell r="W1615" t="str">
            <v>KEW</v>
          </cell>
          <cell r="X1615" t="str">
            <v>01/09/2010</v>
          </cell>
          <cell r="Y1615" t="str">
            <v>KEW</v>
          </cell>
          <cell r="Z1615" t="str">
            <v>16/08/2013</v>
          </cell>
          <cell r="AA1615" t="str">
            <v>15/08/2015</v>
          </cell>
          <cell r="AB1615" t="str">
            <v>No</v>
          </cell>
          <cell r="AC1615" t="str">
            <v>31/08/2013</v>
          </cell>
          <cell r="AD1615" t="str">
            <v>Good</v>
          </cell>
          <cell r="AE1615" t="str">
            <v>V1 - Existing / No Claim</v>
          </cell>
          <cell r="AF1615">
            <v>42920</v>
          </cell>
          <cell r="AG1615">
            <v>9.17</v>
          </cell>
          <cell r="AH1615" t="str">
            <v>RI</v>
          </cell>
          <cell r="AI1615" t="str">
            <v>Strands</v>
          </cell>
          <cell r="AJ1615" t="str">
            <v>Strands PW</v>
          </cell>
        </row>
        <row r="1616">
          <cell r="A1616" t="str">
            <v>IKN401483</v>
          </cell>
          <cell r="B1616">
            <v>1448</v>
          </cell>
          <cell r="C1616" t="str">
            <v>Institut Kanser Negara</v>
          </cell>
          <cell r="D1616" t="str">
            <v>KKM/IKN/H/13/2622</v>
          </cell>
          <cell r="E1616" t="str">
            <v>13-325</v>
          </cell>
          <cell r="F1616" t="str">
            <v>Regulators, Suction</v>
          </cell>
          <cell r="G1616" t="str">
            <v>RT</v>
          </cell>
          <cell r="H1616" t="str">
            <v>RADIATION TREATMENT UNIT</v>
          </cell>
          <cell r="I1616" t="str">
            <v>01RT275</v>
          </cell>
          <cell r="J1616" t="str">
            <v>BRACHY OT 1</v>
          </cell>
          <cell r="K1616" t="str">
            <v>BMED</v>
          </cell>
          <cell r="L1616" t="str">
            <v>Normal</v>
          </cell>
          <cell r="M1616" t="str">
            <v>United Kingdom</v>
          </cell>
          <cell r="N1616" t="str">
            <v>MGE</v>
          </cell>
          <cell r="O1616" t="str">
            <v>SAM 54</v>
          </cell>
          <cell r="P1616" t="str">
            <v>MG013528</v>
          </cell>
          <cell r="Q1616" t="str">
            <v>Not Applicable</v>
          </cell>
          <cell r="R1616" t="str">
            <v>MGE</v>
          </cell>
          <cell r="S1616" t="str">
            <v>Delta Medisains</v>
          </cell>
          <cell r="T1616" t="str">
            <v>Functioning</v>
          </cell>
          <cell r="U1616" t="str">
            <v>Asset</v>
          </cell>
          <cell r="V1616">
            <v>4330</v>
          </cell>
          <cell r="W1616" t="str">
            <v>KEW</v>
          </cell>
          <cell r="X1616" t="str">
            <v>01/09/2010</v>
          </cell>
          <cell r="Y1616" t="str">
            <v>KEW</v>
          </cell>
          <cell r="Z1616" t="str">
            <v>16/08/2013</v>
          </cell>
          <cell r="AA1616" t="str">
            <v>15/08/2015</v>
          </cell>
          <cell r="AB1616" t="str">
            <v>No</v>
          </cell>
          <cell r="AC1616" t="str">
            <v>31/08/2013</v>
          </cell>
          <cell r="AD1616" t="str">
            <v>Good</v>
          </cell>
          <cell r="AE1616" t="str">
            <v>V1 - Existing / No Claim</v>
          </cell>
          <cell r="AF1616">
            <v>42920</v>
          </cell>
          <cell r="AG1616">
            <v>9.17</v>
          </cell>
          <cell r="AH1616" t="str">
            <v>RI</v>
          </cell>
          <cell r="AI1616" t="str">
            <v>Strands</v>
          </cell>
          <cell r="AJ1616" t="str">
            <v>Strands PW</v>
          </cell>
        </row>
        <row r="1617">
          <cell r="A1617" t="str">
            <v>IKN401484</v>
          </cell>
          <cell r="B1617">
            <v>1449</v>
          </cell>
          <cell r="C1617" t="str">
            <v>Institut Kanser Negara</v>
          </cell>
          <cell r="D1617" t="str">
            <v>KKM/IKN/H/13/2621</v>
          </cell>
          <cell r="E1617" t="str">
            <v>13-325</v>
          </cell>
          <cell r="F1617" t="str">
            <v>Regulators, Suction</v>
          </cell>
          <cell r="G1617" t="str">
            <v>RT</v>
          </cell>
          <cell r="H1617" t="str">
            <v>RADIATION TREATMENT UNIT</v>
          </cell>
          <cell r="I1617" t="str">
            <v>01RT275</v>
          </cell>
          <cell r="J1617" t="str">
            <v>BRACHY OT 1</v>
          </cell>
          <cell r="K1617" t="str">
            <v>BMED</v>
          </cell>
          <cell r="L1617" t="str">
            <v>Normal</v>
          </cell>
          <cell r="M1617" t="str">
            <v>United Kingdom</v>
          </cell>
          <cell r="N1617" t="str">
            <v>MGE</v>
          </cell>
          <cell r="O1617" t="str">
            <v>SAM 54</v>
          </cell>
          <cell r="P1617" t="str">
            <v>MG013529</v>
          </cell>
          <cell r="Q1617" t="str">
            <v>Not Applicable</v>
          </cell>
          <cell r="R1617" t="str">
            <v>MGE</v>
          </cell>
          <cell r="S1617" t="str">
            <v>Delta Medisains</v>
          </cell>
          <cell r="T1617" t="str">
            <v>Functioning</v>
          </cell>
          <cell r="U1617" t="str">
            <v>Asset</v>
          </cell>
          <cell r="V1617">
            <v>4330</v>
          </cell>
          <cell r="W1617" t="str">
            <v>KEW</v>
          </cell>
          <cell r="X1617" t="str">
            <v>01/09/2010</v>
          </cell>
          <cell r="Y1617" t="str">
            <v>KEW</v>
          </cell>
          <cell r="Z1617" t="str">
            <v>16/08/2013</v>
          </cell>
          <cell r="AA1617" t="str">
            <v>15/08/2015</v>
          </cell>
          <cell r="AB1617" t="str">
            <v>No</v>
          </cell>
          <cell r="AC1617" t="str">
            <v>31/08/2013</v>
          </cell>
          <cell r="AD1617" t="str">
            <v>Good</v>
          </cell>
          <cell r="AE1617" t="str">
            <v>V1 - Existing / No Claim</v>
          </cell>
          <cell r="AF1617">
            <v>42920</v>
          </cell>
          <cell r="AG1617">
            <v>9.17</v>
          </cell>
          <cell r="AH1617" t="str">
            <v>RI</v>
          </cell>
          <cell r="AI1617" t="str">
            <v>Strands</v>
          </cell>
          <cell r="AJ1617" t="str">
            <v>Strands PW</v>
          </cell>
        </row>
        <row r="1618">
          <cell r="A1618" t="str">
            <v>IKN401485</v>
          </cell>
          <cell r="B1618">
            <v>1450</v>
          </cell>
          <cell r="C1618" t="str">
            <v>Institut Kanser Negara</v>
          </cell>
          <cell r="D1618" t="str">
            <v>KKM/IKN/H/13/4873</v>
          </cell>
          <cell r="E1618" t="str">
            <v>15-651</v>
          </cell>
          <cell r="F1618" t="str">
            <v>Stirrers</v>
          </cell>
          <cell r="G1618" t="str">
            <v>PF</v>
          </cell>
          <cell r="H1618" t="str">
            <v>IN-PATIENT PHARMACY</v>
          </cell>
          <cell r="I1618" t="str">
            <v>05PF110</v>
          </cell>
          <cell r="J1618" t="str">
            <v>EXTERNAL PREP</v>
          </cell>
          <cell r="K1618" t="str">
            <v>BMED</v>
          </cell>
          <cell r="L1618" t="str">
            <v>Normal</v>
          </cell>
          <cell r="M1618" t="str">
            <v>United States</v>
          </cell>
          <cell r="N1618" t="str">
            <v>SILVERSON</v>
          </cell>
          <cell r="O1618" t="str">
            <v>AX5</v>
          </cell>
          <cell r="P1618" t="str">
            <v>10055</v>
          </cell>
          <cell r="Q1618" t="str">
            <v>Not Applicable</v>
          </cell>
          <cell r="R1618" t="str">
            <v>FISHER SCIENTIFIC</v>
          </cell>
          <cell r="S1618" t="str">
            <v>FISHER SCIENTIFIC</v>
          </cell>
          <cell r="T1618" t="str">
            <v>Functioning</v>
          </cell>
          <cell r="U1618" t="str">
            <v>Asset</v>
          </cell>
          <cell r="V1618">
            <v>5520</v>
          </cell>
          <cell r="W1618" t="str">
            <v>KEW</v>
          </cell>
          <cell r="X1618" t="str">
            <v>01/09/2010</v>
          </cell>
          <cell r="Y1618" t="str">
            <v>Estimate</v>
          </cell>
          <cell r="Z1618" t="str">
            <v>16/08/2013</v>
          </cell>
          <cell r="AA1618" t="str">
            <v>15/08/2015</v>
          </cell>
          <cell r="AB1618" t="str">
            <v>No</v>
          </cell>
          <cell r="AC1618" t="str">
            <v>31/08/2013</v>
          </cell>
          <cell r="AD1618" t="str">
            <v>Good</v>
          </cell>
          <cell r="AE1618" t="str">
            <v>V1 - Existing / No Claim</v>
          </cell>
          <cell r="AF1618">
            <v>42867</v>
          </cell>
          <cell r="AG1618">
            <v>9.17</v>
          </cell>
          <cell r="AH1618" t="str">
            <v>PPM</v>
          </cell>
          <cell r="AI1618" t="str">
            <v>Strands</v>
          </cell>
          <cell r="AJ1618" t="str">
            <v>Strands PW</v>
          </cell>
        </row>
        <row r="1619">
          <cell r="A1619" t="str">
            <v>IKN401486</v>
          </cell>
          <cell r="B1619">
            <v>1451</v>
          </cell>
          <cell r="C1619" t="str">
            <v>Institut Kanser Negara</v>
          </cell>
          <cell r="D1619" t="str">
            <v>KKM/IKN/H/13/4862-11</v>
          </cell>
          <cell r="E1619" t="str">
            <v>15-605</v>
          </cell>
          <cell r="F1619" t="str">
            <v>Testers (LX Can Luminance Meter) (package IBA)</v>
          </cell>
          <cell r="G1619" t="str">
            <v>ID</v>
          </cell>
          <cell r="H1619" t="str">
            <v>IMAGING DEPARTMENT</v>
          </cell>
          <cell r="I1619" t="str">
            <v>03ID169</v>
          </cell>
          <cell r="J1619" t="str">
            <v>RADIOGRAPHER</v>
          </cell>
          <cell r="K1619" t="str">
            <v>BMED</v>
          </cell>
          <cell r="L1619" t="str">
            <v>Normal</v>
          </cell>
          <cell r="M1619" t="str">
            <v>Germany</v>
          </cell>
          <cell r="N1619" t="str">
            <v>IBA</v>
          </cell>
          <cell r="O1619" t="str">
            <v>IBA Dosimetry GMBH</v>
          </cell>
          <cell r="P1619" t="str">
            <v>13F-13520M</v>
          </cell>
          <cell r="Q1619" t="str">
            <v>Not Applicable</v>
          </cell>
          <cell r="R1619" t="str">
            <v>IBA</v>
          </cell>
          <cell r="S1619" t="str">
            <v>NA</v>
          </cell>
          <cell r="T1619" t="str">
            <v>Functioning</v>
          </cell>
          <cell r="U1619" t="str">
            <v>Asset</v>
          </cell>
          <cell r="AI1619" t="str">
            <v>2 YEARS CALIBRATION (PACKAGE)</v>
          </cell>
          <cell r="AJ1619" t="e">
            <v>#REF!</v>
          </cell>
          <cell r="AK1619" t="str">
            <v>PACKAGE WITH IKN401200</v>
          </cell>
        </row>
        <row r="1620">
          <cell r="A1620" t="str">
            <v>IKN401497</v>
          </cell>
          <cell r="B1620">
            <v>1452</v>
          </cell>
          <cell r="C1620" t="str">
            <v>Institut Kanser Negara</v>
          </cell>
          <cell r="D1620" t="str">
            <v>KKM/IKN/H/16/29</v>
          </cell>
          <cell r="E1620" t="str">
            <v>12-647</v>
          </cell>
          <cell r="F1620" t="str">
            <v>Physiologic Monitoring Systems, Acute Care</v>
          </cell>
          <cell r="G1620" t="str">
            <v>AE</v>
          </cell>
          <cell r="H1620" t="str">
            <v>EMERGENCY UNIT</v>
          </cell>
          <cell r="I1620" t="str">
            <v>01AE118</v>
          </cell>
          <cell r="J1620" t="str">
            <v>C/E ROOM</v>
          </cell>
          <cell r="K1620" t="str">
            <v>BMED</v>
          </cell>
          <cell r="L1620" t="str">
            <v>Critical</v>
          </cell>
          <cell r="M1620" t="str">
            <v>China</v>
          </cell>
          <cell r="N1620" t="str">
            <v>Imec</v>
          </cell>
          <cell r="O1620" t="str">
            <v>Imec 8</v>
          </cell>
          <cell r="P1620" t="str">
            <v>EW-6A30362</v>
          </cell>
          <cell r="Q1620" t="str">
            <v>Not Applicable</v>
          </cell>
          <cell r="R1620" t="str">
            <v>MINDRAY</v>
          </cell>
          <cell r="S1620" t="str">
            <v>Pelangi Progresif Sdn. Bhd.</v>
          </cell>
          <cell r="T1620" t="str">
            <v>Functioning</v>
          </cell>
          <cell r="U1620" t="str">
            <v>Asset</v>
          </cell>
          <cell r="V1620">
            <v>4900</v>
          </cell>
          <cell r="W1620" t="str">
            <v>KEW</v>
          </cell>
          <cell r="X1620" t="str">
            <v>20/10/2016</v>
          </cell>
          <cell r="Y1620" t="str">
            <v>KEW</v>
          </cell>
          <cell r="Z1620" t="str">
            <v>01/01/2017</v>
          </cell>
          <cell r="AA1620" t="str">
            <v>31/12/2017</v>
          </cell>
          <cell r="AB1620" t="str">
            <v>No</v>
          </cell>
          <cell r="AC1620" t="str">
            <v>08/12/2016</v>
          </cell>
          <cell r="AD1620" t="str">
            <v>Good</v>
          </cell>
          <cell r="AE1620" t="str">
            <v>V3 - Added Installed Facilities (New)</v>
          </cell>
          <cell r="AF1620">
            <v>42815</v>
          </cell>
          <cell r="AG1620">
            <v>3.08</v>
          </cell>
          <cell r="AH1620" t="str">
            <v>PPM</v>
          </cell>
          <cell r="AI1620" t="str">
            <v>Strands</v>
          </cell>
          <cell r="AJ1620" t="str">
            <v>Strands PW</v>
          </cell>
          <cell r="AK1620" t="str">
            <v>SNF received. 1st batch of V3 asset (December 2020)</v>
          </cell>
        </row>
        <row r="1621">
          <cell r="A1621" t="str">
            <v>IKN401509</v>
          </cell>
          <cell r="B1621">
            <v>1453</v>
          </cell>
          <cell r="C1621" t="str">
            <v>Institut Kanser Negara</v>
          </cell>
          <cell r="D1621" t="str">
            <v>KKM/IKN/I/13/7307</v>
          </cell>
          <cell r="E1621" t="str">
            <v>10-263</v>
          </cell>
          <cell r="F1621" t="str">
            <v>Balances, Electronic</v>
          </cell>
          <cell r="G1621" t="str">
            <v>KT</v>
          </cell>
          <cell r="H1621" t="str">
            <v>CATERING</v>
          </cell>
          <cell r="I1621" t="str">
            <v>01KT106</v>
          </cell>
          <cell r="J1621" t="str">
            <v>DIETICIAN</v>
          </cell>
          <cell r="K1621" t="str">
            <v>BMED</v>
          </cell>
          <cell r="L1621" t="str">
            <v>Normal</v>
          </cell>
          <cell r="M1621" t="str">
            <v>Spain</v>
          </cell>
          <cell r="N1621" t="str">
            <v>KD-400</v>
          </cell>
          <cell r="O1621" t="str">
            <v>KD-400</v>
          </cell>
          <cell r="P1621" t="str">
            <v>Not Available</v>
          </cell>
          <cell r="Q1621" t="str">
            <v>Not Applicable</v>
          </cell>
          <cell r="R1621" t="str">
            <v>TANITA CORPORATION</v>
          </cell>
          <cell r="S1621" t="str">
            <v>SF BUMI RESOURCES</v>
          </cell>
          <cell r="T1621" t="str">
            <v>Functioning</v>
          </cell>
          <cell r="U1621" t="str">
            <v>Asset</v>
          </cell>
          <cell r="V1621">
            <v>660</v>
          </cell>
          <cell r="W1621" t="str">
            <v>KEW</v>
          </cell>
          <cell r="X1621" t="str">
            <v>30/08/2013</v>
          </cell>
          <cell r="Y1621" t="str">
            <v>KEW</v>
          </cell>
          <cell r="Z1621" t="str">
            <v>30/08/2013</v>
          </cell>
          <cell r="AA1621" t="str">
            <v>30/08/2015</v>
          </cell>
          <cell r="AB1621" t="str">
            <v>No</v>
          </cell>
          <cell r="AC1621" t="str">
            <v>30/08/2013</v>
          </cell>
          <cell r="AD1621" t="str">
            <v>Good</v>
          </cell>
          <cell r="AE1621" t="str">
            <v>V1 - Existing / No Claim</v>
          </cell>
          <cell r="AF1621">
            <v>42951</v>
          </cell>
          <cell r="AG1621">
            <v>6.25</v>
          </cell>
          <cell r="AH1621" t="str">
            <v>PPM</v>
          </cell>
          <cell r="AI1621" t="str">
            <v>Not in contract</v>
          </cell>
          <cell r="AJ1621" t="e">
            <v>#REF!</v>
          </cell>
          <cell r="AK1621" t="str">
            <v>KEWPA WITH IKN401510</v>
          </cell>
        </row>
        <row r="1622">
          <cell r="A1622" t="str">
            <v>IKN401510</v>
          </cell>
          <cell r="B1622">
            <v>1454</v>
          </cell>
          <cell r="C1622" t="str">
            <v>Institut Kanser Negara</v>
          </cell>
          <cell r="D1622" t="str">
            <v>KKM/IKN/H/13/306</v>
          </cell>
          <cell r="E1622" t="str">
            <v>10-263</v>
          </cell>
          <cell r="F1622" t="str">
            <v>Balances, Electronic</v>
          </cell>
          <cell r="G1622" t="str">
            <v>KT</v>
          </cell>
          <cell r="H1622" t="str">
            <v>CATERING</v>
          </cell>
          <cell r="I1622" t="str">
            <v>01KT106</v>
          </cell>
          <cell r="J1622" t="str">
            <v>DIETICIAN</v>
          </cell>
          <cell r="K1622" t="str">
            <v>BMED</v>
          </cell>
          <cell r="L1622" t="str">
            <v>Normal</v>
          </cell>
          <cell r="M1622" t="str">
            <v>Spain</v>
          </cell>
          <cell r="N1622" t="str">
            <v>KD-400</v>
          </cell>
          <cell r="O1622" t="str">
            <v>KD-400</v>
          </cell>
          <cell r="P1622" t="str">
            <v>Not Available</v>
          </cell>
          <cell r="Q1622" t="str">
            <v>Not Applicable</v>
          </cell>
          <cell r="R1622" t="str">
            <v>TANITA CORPORATION</v>
          </cell>
          <cell r="S1622" t="str">
            <v>SF BUMI RESOURCES</v>
          </cell>
          <cell r="T1622" t="str">
            <v>Functioning</v>
          </cell>
          <cell r="U1622" t="str">
            <v>Asset</v>
          </cell>
          <cell r="V1622">
            <v>660</v>
          </cell>
          <cell r="W1622" t="str">
            <v>KEW</v>
          </cell>
          <cell r="X1622" t="str">
            <v>30/08/2013</v>
          </cell>
          <cell r="Y1622" t="str">
            <v>KEW</v>
          </cell>
          <cell r="Z1622" t="str">
            <v>30/08/2013</v>
          </cell>
          <cell r="AA1622" t="str">
            <v>30/08/2015</v>
          </cell>
          <cell r="AB1622" t="str">
            <v>No</v>
          </cell>
          <cell r="AC1622" t="str">
            <v>30/08/2013</v>
          </cell>
          <cell r="AD1622" t="str">
            <v>Good</v>
          </cell>
          <cell r="AE1622" t="str">
            <v>V1 - Existing / No Claim</v>
          </cell>
          <cell r="AF1622">
            <v>42951</v>
          </cell>
          <cell r="AG1622">
            <v>6.25</v>
          </cell>
          <cell r="AH1622" t="str">
            <v>PPM</v>
          </cell>
          <cell r="AI1622" t="str">
            <v>Strands</v>
          </cell>
          <cell r="AJ1622" t="str">
            <v>Strands PW</v>
          </cell>
        </row>
        <row r="1623">
          <cell r="A1623" t="str">
            <v>IKN401512</v>
          </cell>
          <cell r="B1623">
            <v>1456</v>
          </cell>
          <cell r="C1623" t="str">
            <v>Institut Kanser Negara</v>
          </cell>
          <cell r="D1623" t="str">
            <v>KKM/IKN/H/13/4859</v>
          </cell>
          <cell r="E1623" t="str">
            <v>10-051</v>
          </cell>
          <cell r="F1623" t="str">
            <v>Air Samplers</v>
          </cell>
          <cell r="G1623" t="str">
            <v>NM</v>
          </cell>
          <cell r="H1623" t="str">
            <v>NUCLEAR MED (DIAGNOSTIC)</v>
          </cell>
          <cell r="I1623" t="str">
            <v>03NM133</v>
          </cell>
          <cell r="J1623" t="str">
            <v>RADIODINE DISPENSING (-VE)</v>
          </cell>
          <cell r="K1623" t="str">
            <v>BMED</v>
          </cell>
          <cell r="L1623" t="str">
            <v>Normal</v>
          </cell>
          <cell r="M1623" t="str">
            <v>Germany</v>
          </cell>
          <cell r="N1623" t="str">
            <v>PARTICLE COUNTER-EX-STOCK</v>
          </cell>
          <cell r="O1623" t="str">
            <v>APC ErgoTouch Pro 2</v>
          </cell>
          <cell r="P1623">
            <v>93061333004</v>
          </cell>
          <cell r="Q1623" t="str">
            <v>Not Applicable</v>
          </cell>
          <cell r="R1623" t="str">
            <v>MERCK</v>
          </cell>
          <cell r="S1623" t="str">
            <v>Merck Sdn. Bhd</v>
          </cell>
          <cell r="T1623" t="str">
            <v>Functioning</v>
          </cell>
          <cell r="U1623" t="str">
            <v>Asset</v>
          </cell>
          <cell r="V1623">
            <v>34543</v>
          </cell>
          <cell r="W1623" t="str">
            <v>KEW</v>
          </cell>
          <cell r="X1623" t="str">
            <v>19/12/2013</v>
          </cell>
          <cell r="Y1623" t="str">
            <v>KEW</v>
          </cell>
          <cell r="Z1623" t="str">
            <v>19/12/2013</v>
          </cell>
          <cell r="AA1623" t="str">
            <v>19/12/2014</v>
          </cell>
          <cell r="AB1623" t="str">
            <v>No</v>
          </cell>
          <cell r="AC1623" t="str">
            <v>19/12/2013</v>
          </cell>
          <cell r="AD1623" t="str">
            <v>Good</v>
          </cell>
          <cell r="AE1623" t="str">
            <v>V3 - Added Installed Facilities (New)</v>
          </cell>
          <cell r="AF1623">
            <v>43255</v>
          </cell>
          <cell r="AG1623">
            <v>5.92</v>
          </cell>
          <cell r="AH1623" t="str">
            <v>PPM</v>
          </cell>
          <cell r="AI1623" t="str">
            <v>Strands</v>
          </cell>
          <cell r="AJ1623" t="str">
            <v>Strands PW</v>
          </cell>
          <cell r="AK1623" t="str">
            <v>SNF received. 1st batch of V3 asset (December 2020). Previously wrong S/N: 1443020001</v>
          </cell>
        </row>
        <row r="1624">
          <cell r="A1624" t="str">
            <v>IKN401518</v>
          </cell>
          <cell r="B1624">
            <v>1458</v>
          </cell>
          <cell r="C1624" t="str">
            <v>Institut Kanser Negara</v>
          </cell>
          <cell r="D1624" t="str">
            <v>KKM/IKN/H/13/4635</v>
          </cell>
          <cell r="E1624" t="str">
            <v>13-461</v>
          </cell>
          <cell r="F1624" t="str">
            <v>Scales, Patient, Floor</v>
          </cell>
          <cell r="G1624" t="str">
            <v>DU</v>
          </cell>
          <cell r="H1624" t="str">
            <v>DIETICIAN UNIT</v>
          </cell>
          <cell r="I1624" t="str">
            <v>03DU103</v>
          </cell>
          <cell r="J1624" t="str">
            <v>COUNSELLING 1</v>
          </cell>
          <cell r="K1624" t="str">
            <v>BMED</v>
          </cell>
          <cell r="L1624" t="str">
            <v>Normal</v>
          </cell>
          <cell r="M1624" t="str">
            <v>Japan</v>
          </cell>
          <cell r="N1624" t="str">
            <v>Seca</v>
          </cell>
          <cell r="O1624" t="str">
            <v>Seca 769/220</v>
          </cell>
          <cell r="P1624" t="str">
            <v>5769177136666</v>
          </cell>
          <cell r="Q1624" t="str">
            <v>Not Applicable</v>
          </cell>
          <cell r="R1624" t="str">
            <v>TANITA</v>
          </cell>
          <cell r="S1624" t="str">
            <v>Lazcorp Holding (M) Sdn Bhd</v>
          </cell>
          <cell r="T1624" t="str">
            <v>Functioning</v>
          </cell>
          <cell r="U1624" t="str">
            <v>Asset</v>
          </cell>
          <cell r="V1624">
            <v>3515</v>
          </cell>
          <cell r="W1624" t="str">
            <v>KEW</v>
          </cell>
          <cell r="X1624" t="str">
            <v>03/12/2013</v>
          </cell>
          <cell r="Y1624" t="str">
            <v>KEW</v>
          </cell>
          <cell r="Z1624" t="str">
            <v>18/12/2013</v>
          </cell>
          <cell r="AA1624" t="str">
            <v>17/12/2014</v>
          </cell>
          <cell r="AB1624" t="str">
            <v>No</v>
          </cell>
          <cell r="AC1624" t="str">
            <v>18/12/2013</v>
          </cell>
          <cell r="AD1624" t="str">
            <v>Good</v>
          </cell>
          <cell r="AE1624" t="str">
            <v>V3 - Added Installed Facilities (New)</v>
          </cell>
          <cell r="AF1624">
            <v>43033</v>
          </cell>
          <cell r="AG1624">
            <v>5.92</v>
          </cell>
          <cell r="AH1624" t="str">
            <v>PPM</v>
          </cell>
          <cell r="AI1624" t="str">
            <v>Strands</v>
          </cell>
          <cell r="AJ1624" t="str">
            <v>Strands PW</v>
          </cell>
          <cell r="AK1624" t="str">
            <v>SNF received. 1st batch of V3 asset (December 2020)</v>
          </cell>
        </row>
        <row r="1625">
          <cell r="A1625" t="str">
            <v>IKN401519</v>
          </cell>
          <cell r="B1625">
            <v>1459</v>
          </cell>
          <cell r="C1625" t="str">
            <v>Institut Kanser Negara</v>
          </cell>
          <cell r="D1625" t="str">
            <v>KKM/IKN/H/13/4636</v>
          </cell>
          <cell r="E1625" t="str">
            <v>17-417</v>
          </cell>
          <cell r="F1625" t="str">
            <v>Analyzers, Physiologic, Body Composition</v>
          </cell>
          <cell r="G1625" t="str">
            <v>DU</v>
          </cell>
          <cell r="H1625" t="str">
            <v>DIETICIAN UNIT</v>
          </cell>
          <cell r="I1625" t="str">
            <v>03DU103</v>
          </cell>
          <cell r="J1625" t="str">
            <v>COUNSELLING 1</v>
          </cell>
          <cell r="K1625" t="str">
            <v>BMED</v>
          </cell>
          <cell r="L1625" t="str">
            <v>Normal</v>
          </cell>
          <cell r="M1625" t="str">
            <v>Japan</v>
          </cell>
          <cell r="N1625" t="str">
            <v>TANITA</v>
          </cell>
          <cell r="O1625" t="str">
            <v>Tanita SC-330-S</v>
          </cell>
          <cell r="P1625" t="str">
            <v>13110023</v>
          </cell>
          <cell r="Q1625" t="str">
            <v>Not Applicable</v>
          </cell>
          <cell r="R1625" t="str">
            <v>TANITA</v>
          </cell>
          <cell r="S1625" t="str">
            <v>Lazcorp Holding (M) Sdn Bhd</v>
          </cell>
          <cell r="T1625" t="str">
            <v>Functioning</v>
          </cell>
          <cell r="U1625" t="str">
            <v>Asset</v>
          </cell>
          <cell r="V1625">
            <v>9500</v>
          </cell>
          <cell r="W1625" t="str">
            <v>KEW</v>
          </cell>
          <cell r="X1625" t="str">
            <v>03/12/2013</v>
          </cell>
          <cell r="Y1625" t="str">
            <v>KEW</v>
          </cell>
          <cell r="Z1625" t="str">
            <v>18/12/2013</v>
          </cell>
          <cell r="AA1625" t="str">
            <v>17/12/2014</v>
          </cell>
          <cell r="AB1625" t="str">
            <v>No</v>
          </cell>
          <cell r="AC1625" t="str">
            <v>18/12/2013</v>
          </cell>
          <cell r="AD1625" t="str">
            <v>Good</v>
          </cell>
          <cell r="AE1625" t="str">
            <v>V3 - Added Installed Facilities (New)</v>
          </cell>
          <cell r="AF1625">
            <v>42879</v>
          </cell>
          <cell r="AG1625">
            <v>5.92</v>
          </cell>
          <cell r="AH1625" t="str">
            <v>PPM</v>
          </cell>
          <cell r="AI1625" t="str">
            <v>Strands</v>
          </cell>
          <cell r="AJ1625" t="str">
            <v>Strands PW</v>
          </cell>
          <cell r="AK1625" t="str">
            <v>SNF received. 1st batch of V3 asset (December 2020)</v>
          </cell>
        </row>
        <row r="1626">
          <cell r="A1626" t="str">
            <v>IKN401520</v>
          </cell>
          <cell r="B1626">
            <v>1460</v>
          </cell>
          <cell r="C1626" t="str">
            <v>Institut Kanser Negara</v>
          </cell>
          <cell r="D1626" t="str">
            <v>KKM/IKN/H/13/6667</v>
          </cell>
          <cell r="E1626" t="str">
            <v>10-208</v>
          </cell>
          <cell r="F1626" t="str">
            <v>Aspirators</v>
          </cell>
          <cell r="G1626" t="str">
            <v>SS</v>
          </cell>
          <cell r="H1626" t="str">
            <v>MEDICAL SOCIAL SERVICE</v>
          </cell>
          <cell r="I1626" t="str">
            <v>03SS112</v>
          </cell>
          <cell r="J1626" t="str">
            <v>GENERAL STORE</v>
          </cell>
          <cell r="K1626" t="str">
            <v>BMED</v>
          </cell>
          <cell r="L1626" t="str">
            <v>Critical</v>
          </cell>
          <cell r="M1626" t="str">
            <v>Taiwan</v>
          </cell>
          <cell r="N1626" t="str">
            <v>Dolphin</v>
          </cell>
          <cell r="O1626" t="str">
            <v>Dolphin</v>
          </cell>
          <cell r="P1626" t="str">
            <v>12110043</v>
          </cell>
          <cell r="Q1626" t="str">
            <v>Not Applicable</v>
          </cell>
          <cell r="R1626" t="str">
            <v>Dolphin Medical</v>
          </cell>
          <cell r="S1626" t="str">
            <v>Ikatan Megah Medik</v>
          </cell>
          <cell r="T1626" t="str">
            <v>Functioning</v>
          </cell>
          <cell r="U1626" t="str">
            <v>Asset</v>
          </cell>
          <cell r="V1626">
            <v>500</v>
          </cell>
          <cell r="W1626" t="str">
            <v>KEW</v>
          </cell>
          <cell r="X1626" t="str">
            <v>26/11/2013</v>
          </cell>
          <cell r="Y1626" t="str">
            <v>Estimate</v>
          </cell>
          <cell r="Z1626" t="str">
            <v>05/12/2013</v>
          </cell>
          <cell r="AA1626" t="str">
            <v>04/12/2014</v>
          </cell>
          <cell r="AB1626" t="str">
            <v>No</v>
          </cell>
          <cell r="AC1626" t="str">
            <v>05/12/2013</v>
          </cell>
          <cell r="AD1626" t="str">
            <v>Good</v>
          </cell>
          <cell r="AE1626" t="str">
            <v>V3 - Added Installed Facilities (New)</v>
          </cell>
          <cell r="AF1626">
            <v>43124</v>
          </cell>
          <cell r="AG1626">
            <v>6</v>
          </cell>
          <cell r="AH1626" t="str">
            <v>PPM</v>
          </cell>
          <cell r="AI1626" t="str">
            <v>Strands</v>
          </cell>
          <cell r="AJ1626" t="str">
            <v>Strands PW</v>
          </cell>
          <cell r="AK1626" t="str">
            <v>SNF received. 1st batch of V3 asset (December 2020)</v>
          </cell>
        </row>
        <row r="1627">
          <cell r="A1627" t="str">
            <v>IKN401521</v>
          </cell>
          <cell r="B1627">
            <v>1461</v>
          </cell>
          <cell r="C1627" t="str">
            <v>Institut Kanser Negara</v>
          </cell>
          <cell r="D1627" t="str">
            <v>KKM/IKN/H/13/6668</v>
          </cell>
          <cell r="E1627" t="str">
            <v>10-208</v>
          </cell>
          <cell r="F1627" t="str">
            <v>Aspirators</v>
          </cell>
          <cell r="G1627" t="str">
            <v>SS</v>
          </cell>
          <cell r="H1627" t="str">
            <v>MEDICAL SOCIAL SERVICE</v>
          </cell>
          <cell r="I1627" t="str">
            <v>03SS112</v>
          </cell>
          <cell r="J1627" t="str">
            <v>GENERAL STORE</v>
          </cell>
          <cell r="K1627" t="str">
            <v>BMED</v>
          </cell>
          <cell r="L1627" t="str">
            <v>Critical</v>
          </cell>
          <cell r="M1627" t="str">
            <v>Taiwan</v>
          </cell>
          <cell r="N1627" t="str">
            <v>Dolphin</v>
          </cell>
          <cell r="O1627" t="str">
            <v>Dolphin</v>
          </cell>
          <cell r="P1627" t="str">
            <v>12110044</v>
          </cell>
          <cell r="Q1627" t="str">
            <v>Not Applicable</v>
          </cell>
          <cell r="R1627" t="str">
            <v>Dolphin Medical</v>
          </cell>
          <cell r="S1627" t="str">
            <v>Ikatan Megah Medik</v>
          </cell>
          <cell r="T1627" t="str">
            <v>Functioning</v>
          </cell>
          <cell r="U1627" t="str">
            <v>Asset</v>
          </cell>
          <cell r="V1627">
            <v>500</v>
          </cell>
          <cell r="W1627" t="str">
            <v>KEW</v>
          </cell>
          <cell r="X1627" t="str">
            <v>26/11/2013</v>
          </cell>
          <cell r="Y1627" t="str">
            <v>KEW</v>
          </cell>
          <cell r="Z1627" t="str">
            <v>05/12/2013</v>
          </cell>
          <cell r="AA1627" t="str">
            <v>04/12/2014</v>
          </cell>
          <cell r="AB1627" t="str">
            <v>No</v>
          </cell>
          <cell r="AC1627" t="str">
            <v>05/12/2013</v>
          </cell>
          <cell r="AD1627" t="str">
            <v>Good</v>
          </cell>
          <cell r="AE1627" t="str">
            <v>V3 - Added Installed Facilities (New)</v>
          </cell>
          <cell r="AF1627">
            <v>43124</v>
          </cell>
          <cell r="AG1627">
            <v>6</v>
          </cell>
          <cell r="AH1627" t="str">
            <v>PPM</v>
          </cell>
          <cell r="AI1627" t="str">
            <v>Strands</v>
          </cell>
          <cell r="AJ1627" t="str">
            <v>Strands PW</v>
          </cell>
          <cell r="AK1627" t="str">
            <v>SNF received. 1st batch of V3 asset (December 2020)</v>
          </cell>
        </row>
        <row r="1628">
          <cell r="A1628" t="str">
            <v>IKN401522</v>
          </cell>
          <cell r="B1628">
            <v>1462</v>
          </cell>
          <cell r="C1628" t="str">
            <v>Institut Kanser Negara</v>
          </cell>
          <cell r="D1628" t="str">
            <v>KKM/IKN/H/13/6669</v>
          </cell>
          <cell r="E1628" t="str">
            <v>10-208</v>
          </cell>
          <cell r="F1628" t="str">
            <v>Aspirators</v>
          </cell>
          <cell r="G1628" t="str">
            <v>SS</v>
          </cell>
          <cell r="H1628" t="str">
            <v>MEDICAL SOCIAL SERVICE</v>
          </cell>
          <cell r="I1628" t="str">
            <v>03SS112</v>
          </cell>
          <cell r="J1628" t="str">
            <v>GENERAL STORE</v>
          </cell>
          <cell r="K1628" t="str">
            <v>BMED</v>
          </cell>
          <cell r="L1628" t="str">
            <v>Critical</v>
          </cell>
          <cell r="M1628" t="str">
            <v>Taiwan</v>
          </cell>
          <cell r="N1628" t="str">
            <v>Dolphin</v>
          </cell>
          <cell r="O1628" t="str">
            <v>Dolphin</v>
          </cell>
          <cell r="P1628" t="str">
            <v>12110089</v>
          </cell>
          <cell r="Q1628" t="str">
            <v>Not Applicable</v>
          </cell>
          <cell r="R1628" t="str">
            <v>Dolphin Medical</v>
          </cell>
          <cell r="S1628" t="str">
            <v>Ikatan Megah Medik</v>
          </cell>
          <cell r="T1628" t="str">
            <v>Functioning</v>
          </cell>
          <cell r="U1628" t="str">
            <v>Asset</v>
          </cell>
          <cell r="V1628">
            <v>500</v>
          </cell>
          <cell r="W1628" t="str">
            <v>KEW</v>
          </cell>
          <cell r="X1628" t="str">
            <v>26/11/2013</v>
          </cell>
          <cell r="Y1628" t="str">
            <v>KEW</v>
          </cell>
          <cell r="Z1628" t="str">
            <v>05/12/2013</v>
          </cell>
          <cell r="AA1628" t="str">
            <v>04/12/2014</v>
          </cell>
          <cell r="AB1628" t="str">
            <v>No</v>
          </cell>
          <cell r="AC1628" t="str">
            <v>05/12/2013</v>
          </cell>
          <cell r="AD1628" t="str">
            <v>Good</v>
          </cell>
          <cell r="AE1628" t="str">
            <v>V3 - Added Installed Facilities (New)</v>
          </cell>
          <cell r="AF1628">
            <v>43124</v>
          </cell>
          <cell r="AG1628">
            <v>6</v>
          </cell>
          <cell r="AH1628" t="str">
            <v>PPM</v>
          </cell>
          <cell r="AI1628" t="str">
            <v>Strands</v>
          </cell>
          <cell r="AJ1628" t="str">
            <v>Strands PW</v>
          </cell>
          <cell r="AK1628" t="str">
            <v>SNF received. 1st batch of V3 asset (December 2020)</v>
          </cell>
        </row>
        <row r="1629">
          <cell r="A1629" t="str">
            <v>IKN401523</v>
          </cell>
          <cell r="B1629">
            <v>1463</v>
          </cell>
          <cell r="C1629" t="str">
            <v>Institut Kanser Negara</v>
          </cell>
          <cell r="D1629" t="str">
            <v>KKM/IKN/H/13/6670</v>
          </cell>
          <cell r="E1629" t="str">
            <v>10-208</v>
          </cell>
          <cell r="F1629" t="str">
            <v>Aspirators</v>
          </cell>
          <cell r="G1629" t="str">
            <v>SS</v>
          </cell>
          <cell r="H1629" t="str">
            <v>MEDICAL SOCIAL SERVICE</v>
          </cell>
          <cell r="I1629" t="str">
            <v>03SS112</v>
          </cell>
          <cell r="J1629" t="str">
            <v>GENERAL STORE</v>
          </cell>
          <cell r="K1629" t="str">
            <v>BMED</v>
          </cell>
          <cell r="L1629" t="str">
            <v>Critical</v>
          </cell>
          <cell r="M1629" t="str">
            <v>Taiwan</v>
          </cell>
          <cell r="N1629" t="str">
            <v>Dolphin</v>
          </cell>
          <cell r="O1629" t="str">
            <v>Dolphin</v>
          </cell>
          <cell r="P1629" t="str">
            <v>12110092</v>
          </cell>
          <cell r="Q1629" t="str">
            <v>Not Applicable</v>
          </cell>
          <cell r="R1629" t="str">
            <v>Dolphin Medical</v>
          </cell>
          <cell r="S1629" t="str">
            <v>Ikatan Megah Medik</v>
          </cell>
          <cell r="T1629" t="str">
            <v>Functioning</v>
          </cell>
          <cell r="U1629" t="str">
            <v>Asset</v>
          </cell>
          <cell r="V1629">
            <v>500</v>
          </cell>
          <cell r="W1629" t="str">
            <v>KEW</v>
          </cell>
          <cell r="X1629" t="str">
            <v>26/11/2013</v>
          </cell>
          <cell r="Y1629" t="str">
            <v>KEW</v>
          </cell>
          <cell r="Z1629" t="str">
            <v>05/12/2013</v>
          </cell>
          <cell r="AA1629" t="str">
            <v>04/12/2014</v>
          </cell>
          <cell r="AB1629" t="str">
            <v>No</v>
          </cell>
          <cell r="AC1629" t="str">
            <v>05/12/2013</v>
          </cell>
          <cell r="AD1629" t="str">
            <v>Good</v>
          </cell>
          <cell r="AE1629" t="str">
            <v>V3 - Added Installed Facilities (New)</v>
          </cell>
          <cell r="AF1629">
            <v>43124</v>
          </cell>
          <cell r="AG1629">
            <v>6</v>
          </cell>
          <cell r="AH1629" t="str">
            <v>PPM</v>
          </cell>
          <cell r="AI1629" t="str">
            <v>Strands</v>
          </cell>
          <cell r="AJ1629" t="str">
            <v>Strands PW</v>
          </cell>
          <cell r="AK1629" t="str">
            <v>SNF received. 1st batch of V3 asset (December 2020)</v>
          </cell>
        </row>
        <row r="1630">
          <cell r="A1630" t="str">
            <v>IKN401524</v>
          </cell>
          <cell r="B1630">
            <v>1464</v>
          </cell>
          <cell r="C1630" t="str">
            <v>Institut Kanser Negara</v>
          </cell>
          <cell r="D1630" t="str">
            <v>KKM/IKN/H/13/6671</v>
          </cell>
          <cell r="E1630" t="str">
            <v>10-208</v>
          </cell>
          <cell r="F1630" t="str">
            <v>Aspirators</v>
          </cell>
          <cell r="G1630" t="str">
            <v>SS</v>
          </cell>
          <cell r="H1630" t="str">
            <v>MEDICAL SOCIAL SERVICE</v>
          </cell>
          <cell r="I1630" t="str">
            <v>03SS112</v>
          </cell>
          <cell r="J1630" t="str">
            <v>GENERAL STORE</v>
          </cell>
          <cell r="K1630" t="str">
            <v>BMED</v>
          </cell>
          <cell r="L1630" t="str">
            <v>Critical</v>
          </cell>
          <cell r="M1630" t="str">
            <v>Taiwan</v>
          </cell>
          <cell r="N1630" t="str">
            <v>Dolphin</v>
          </cell>
          <cell r="O1630" t="str">
            <v>Dolphin</v>
          </cell>
          <cell r="P1630" t="str">
            <v>12110100</v>
          </cell>
          <cell r="Q1630" t="str">
            <v>Not Applicable</v>
          </cell>
          <cell r="R1630" t="str">
            <v>Dolphin Medical</v>
          </cell>
          <cell r="S1630" t="str">
            <v>Ikatan Megah Medik</v>
          </cell>
          <cell r="T1630" t="str">
            <v>Functioning</v>
          </cell>
          <cell r="U1630" t="str">
            <v>Asset</v>
          </cell>
          <cell r="V1630">
            <v>500</v>
          </cell>
          <cell r="W1630" t="str">
            <v>KEW</v>
          </cell>
          <cell r="X1630" t="str">
            <v>26/11/2013</v>
          </cell>
          <cell r="Y1630" t="str">
            <v>KEW</v>
          </cell>
          <cell r="Z1630" t="str">
            <v>05/12/2013</v>
          </cell>
          <cell r="AA1630" t="str">
            <v>04/12/2014</v>
          </cell>
          <cell r="AB1630" t="str">
            <v>No</v>
          </cell>
          <cell r="AC1630" t="str">
            <v>05/12/2013</v>
          </cell>
          <cell r="AD1630" t="str">
            <v>Good</v>
          </cell>
          <cell r="AE1630" t="str">
            <v>V3 - Added Installed Facilities (New)</v>
          </cell>
          <cell r="AF1630">
            <v>43124</v>
          </cell>
          <cell r="AG1630">
            <v>6</v>
          </cell>
          <cell r="AH1630" t="str">
            <v>PPM</v>
          </cell>
          <cell r="AI1630" t="str">
            <v>Strands</v>
          </cell>
          <cell r="AJ1630" t="str">
            <v>Strands PW</v>
          </cell>
          <cell r="AK1630" t="str">
            <v>SNF received. 1st batch of V3 asset (December 2020)</v>
          </cell>
        </row>
        <row r="1631">
          <cell r="A1631" t="str">
            <v>IKN401526</v>
          </cell>
          <cell r="B1631">
            <v>1466</v>
          </cell>
          <cell r="C1631" t="str">
            <v>Institut Kanser Negara</v>
          </cell>
          <cell r="D1631" t="str">
            <v>KKM/IKN/H/13/3783</v>
          </cell>
          <cell r="E1631" t="str">
            <v>13-325</v>
          </cell>
          <cell r="F1631" t="str">
            <v>Regulators, Suction</v>
          </cell>
          <cell r="G1631" t="str">
            <v>OT</v>
          </cell>
          <cell r="H1631" t="str">
            <v>OPERATING THEATRE</v>
          </cell>
          <cell r="I1631" t="str">
            <v>05OT123</v>
          </cell>
          <cell r="J1631" t="str">
            <v>0T 1</v>
          </cell>
          <cell r="K1631" t="str">
            <v>BMED</v>
          </cell>
          <cell r="L1631" t="str">
            <v>Normal</v>
          </cell>
          <cell r="M1631" t="str">
            <v>United Kingdom</v>
          </cell>
          <cell r="N1631" t="str">
            <v>MGE</v>
          </cell>
          <cell r="O1631" t="str">
            <v>SAM 54</v>
          </cell>
          <cell r="P1631" t="str">
            <v>mg 013555</v>
          </cell>
          <cell r="Q1631" t="str">
            <v>Not Applicable</v>
          </cell>
          <cell r="R1631" t="str">
            <v>MGE</v>
          </cell>
          <cell r="S1631" t="str">
            <v>Delta Medisains</v>
          </cell>
          <cell r="T1631" t="str">
            <v>Functioning</v>
          </cell>
          <cell r="U1631" t="str">
            <v>Asset</v>
          </cell>
          <cell r="V1631">
            <v>4330</v>
          </cell>
          <cell r="W1631" t="str">
            <v>KEW</v>
          </cell>
          <cell r="X1631" t="str">
            <v>01/09/2010</v>
          </cell>
          <cell r="Y1631" t="str">
            <v>KEW</v>
          </cell>
          <cell r="Z1631" t="str">
            <v>16/08/2013</v>
          </cell>
          <cell r="AA1631" t="str">
            <v>15/08/2015</v>
          </cell>
          <cell r="AB1631" t="str">
            <v>No</v>
          </cell>
          <cell r="AC1631" t="str">
            <v>31/08/2013</v>
          </cell>
          <cell r="AD1631" t="str">
            <v>Good</v>
          </cell>
          <cell r="AE1631" t="str">
            <v>V1 - Existing / No Claim</v>
          </cell>
          <cell r="AF1631">
            <v>42920</v>
          </cell>
          <cell r="AG1631">
            <v>9.17</v>
          </cell>
          <cell r="AH1631" t="str">
            <v>RI</v>
          </cell>
          <cell r="AI1631" t="str">
            <v>Strands</v>
          </cell>
          <cell r="AJ1631" t="str">
            <v>Strands PW</v>
          </cell>
        </row>
        <row r="1632">
          <cell r="A1632" t="str">
            <v>IKN401527</v>
          </cell>
          <cell r="B1632">
            <v>1467</v>
          </cell>
          <cell r="C1632" t="str">
            <v>Institut Kanser Negara</v>
          </cell>
          <cell r="D1632" t="str">
            <v>KKM/IKN/H/13/3787</v>
          </cell>
          <cell r="E1632" t="str">
            <v>13-325</v>
          </cell>
          <cell r="F1632" t="str">
            <v>Regulators, Suction</v>
          </cell>
          <cell r="G1632" t="str">
            <v>OT</v>
          </cell>
          <cell r="H1632" t="str">
            <v>OPERATING THEATRE</v>
          </cell>
          <cell r="I1632" t="str">
            <v>05OT120</v>
          </cell>
          <cell r="J1632" t="str">
            <v>OT 2</v>
          </cell>
          <cell r="K1632" t="str">
            <v>BMED</v>
          </cell>
          <cell r="L1632" t="str">
            <v>Normal</v>
          </cell>
          <cell r="M1632" t="str">
            <v>United Kingdom</v>
          </cell>
          <cell r="N1632" t="str">
            <v>MGE</v>
          </cell>
          <cell r="O1632" t="str">
            <v>SAM 54</v>
          </cell>
          <cell r="P1632" t="str">
            <v>MG 013650</v>
          </cell>
          <cell r="Q1632" t="str">
            <v>Not Applicable</v>
          </cell>
          <cell r="R1632" t="str">
            <v>MGE</v>
          </cell>
          <cell r="S1632" t="str">
            <v>Delta Medisains</v>
          </cell>
          <cell r="T1632" t="str">
            <v>Functioning</v>
          </cell>
          <cell r="U1632" t="str">
            <v>Asset</v>
          </cell>
          <cell r="V1632">
            <v>4330</v>
          </cell>
          <cell r="W1632" t="str">
            <v>KEW</v>
          </cell>
          <cell r="X1632" t="str">
            <v>01/09/2010</v>
          </cell>
          <cell r="Y1632" t="str">
            <v>KEW</v>
          </cell>
          <cell r="Z1632" t="str">
            <v>16/08/2013</v>
          </cell>
          <cell r="AA1632" t="str">
            <v>15/08/2015</v>
          </cell>
          <cell r="AB1632" t="str">
            <v>No</v>
          </cell>
          <cell r="AC1632" t="str">
            <v>31/08/2013</v>
          </cell>
          <cell r="AD1632" t="str">
            <v>Good</v>
          </cell>
          <cell r="AE1632" t="str">
            <v>V1 - Existing / No Claim</v>
          </cell>
          <cell r="AF1632">
            <v>42920</v>
          </cell>
          <cell r="AG1632">
            <v>9.17</v>
          </cell>
          <cell r="AH1632" t="str">
            <v>RI</v>
          </cell>
          <cell r="AI1632" t="str">
            <v>Strands</v>
          </cell>
          <cell r="AJ1632" t="str">
            <v>Strands PW</v>
          </cell>
        </row>
        <row r="1633">
          <cell r="A1633" t="str">
            <v>IKN401528</v>
          </cell>
          <cell r="B1633">
            <v>1468</v>
          </cell>
          <cell r="C1633" t="str">
            <v>Institut Kanser Negara</v>
          </cell>
          <cell r="D1633" t="str">
            <v>KKM/IKN/H/13/3785</v>
          </cell>
          <cell r="E1633" t="str">
            <v>13-325</v>
          </cell>
          <cell r="F1633" t="str">
            <v>Regulators, Suction</v>
          </cell>
          <cell r="G1633" t="str">
            <v>OT</v>
          </cell>
          <cell r="H1633" t="str">
            <v>OPERATING THEATRE</v>
          </cell>
          <cell r="I1633" t="str">
            <v>05OT120</v>
          </cell>
          <cell r="J1633" t="str">
            <v>OT 2</v>
          </cell>
          <cell r="K1633" t="str">
            <v>BMED</v>
          </cell>
          <cell r="L1633" t="str">
            <v>Normal</v>
          </cell>
          <cell r="M1633" t="str">
            <v>United Kingdom</v>
          </cell>
          <cell r="N1633" t="str">
            <v>MGE</v>
          </cell>
          <cell r="O1633" t="str">
            <v>SAM 54</v>
          </cell>
          <cell r="P1633" t="str">
            <v>MG013556</v>
          </cell>
          <cell r="Q1633" t="str">
            <v>Not Applicable</v>
          </cell>
          <cell r="R1633" t="str">
            <v>MGE</v>
          </cell>
          <cell r="S1633" t="str">
            <v>Delta Medisains</v>
          </cell>
          <cell r="T1633" t="str">
            <v>Functioning</v>
          </cell>
          <cell r="U1633" t="str">
            <v>Asset</v>
          </cell>
          <cell r="V1633">
            <v>4330</v>
          </cell>
          <cell r="W1633" t="str">
            <v>KEW</v>
          </cell>
          <cell r="X1633" t="str">
            <v>01/09/2010</v>
          </cell>
          <cell r="Y1633" t="str">
            <v>KEW</v>
          </cell>
          <cell r="Z1633" t="str">
            <v>16/08/2013</v>
          </cell>
          <cell r="AA1633" t="str">
            <v>15/08/2015</v>
          </cell>
          <cell r="AB1633" t="str">
            <v>No</v>
          </cell>
          <cell r="AC1633" t="str">
            <v>31/08/2013</v>
          </cell>
          <cell r="AD1633" t="str">
            <v>Good</v>
          </cell>
          <cell r="AE1633" t="str">
            <v>V1 - Existing / No Claim</v>
          </cell>
          <cell r="AF1633">
            <v>42920</v>
          </cell>
          <cell r="AG1633">
            <v>9.17</v>
          </cell>
          <cell r="AH1633" t="str">
            <v>RI</v>
          </cell>
          <cell r="AI1633" t="str">
            <v>Strands</v>
          </cell>
          <cell r="AJ1633" t="str">
            <v>Strands PW</v>
          </cell>
        </row>
        <row r="1634">
          <cell r="A1634" t="str">
            <v>IKN401529</v>
          </cell>
          <cell r="B1634">
            <v>1469</v>
          </cell>
          <cell r="C1634" t="str">
            <v>Institut Kanser Negara</v>
          </cell>
          <cell r="D1634" t="str">
            <v>KKM/IKN/H/13/5439 (new), KKM/IKN/H/13/2602 (old)</v>
          </cell>
          <cell r="E1634" t="str">
            <v>17-145</v>
          </cell>
          <cell r="F1634" t="str">
            <v>Cystoscope, Rigid</v>
          </cell>
          <cell r="G1634" t="str">
            <v>RT</v>
          </cell>
          <cell r="H1634" t="str">
            <v>RADIATION TREATMENT UNIT</v>
          </cell>
          <cell r="I1634" t="str">
            <v>01RT233</v>
          </cell>
          <cell r="J1634" t="str">
            <v>EQ ROOM</v>
          </cell>
          <cell r="K1634" t="str">
            <v>BMED</v>
          </cell>
          <cell r="L1634" t="str">
            <v>Normal</v>
          </cell>
          <cell r="M1634" t="str">
            <v>Germany</v>
          </cell>
          <cell r="N1634" t="str">
            <v>Karl Storz</v>
          </cell>
          <cell r="O1634" t="str">
            <v>27005BA</v>
          </cell>
          <cell r="P1634">
            <v>1747722</v>
          </cell>
          <cell r="Q1634" t="str">
            <v>Not Applicable</v>
          </cell>
          <cell r="R1634" t="str">
            <v>Karl Storz GmbH</v>
          </cell>
          <cell r="S1634" t="str">
            <v>UMMI Surgical Sdn Bhd</v>
          </cell>
          <cell r="T1634" t="str">
            <v>Functioning</v>
          </cell>
          <cell r="U1634" t="str">
            <v>Asset</v>
          </cell>
          <cell r="V1634">
            <v>30836</v>
          </cell>
          <cell r="W1634" t="str">
            <v>KEW</v>
          </cell>
          <cell r="X1634">
            <v>41516</v>
          </cell>
          <cell r="Y1634" t="str">
            <v>KEW</v>
          </cell>
          <cell r="Z1634">
            <v>41516</v>
          </cell>
          <cell r="AA1634">
            <v>42246</v>
          </cell>
          <cell r="AB1634" t="str">
            <v>No</v>
          </cell>
          <cell r="AC1634">
            <v>41516</v>
          </cell>
          <cell r="AD1634" t="str">
            <v>Good</v>
          </cell>
          <cell r="AE1634" t="str">
            <v>V1 - Existing / No Claim</v>
          </cell>
          <cell r="AF1634">
            <v>42246</v>
          </cell>
          <cell r="AG1634">
            <v>9.17</v>
          </cell>
          <cell r="AH1634" t="str">
            <v>PPM</v>
          </cell>
          <cell r="AI1634" t="str">
            <v>Strands</v>
          </cell>
          <cell r="AJ1634" t="str">
            <v>Strands PW F</v>
          </cell>
          <cell r="AK1634" t="str">
            <v>Pecah Kewpa original H/13/2602. 30 Degree/4mm. [1/3/2024, SHARIFAH]: Fees sekali dengan KKM/IKN/H/13/2602(RM63,366) - IKN401530. [22/8/2024, Imran]: Unit V4 since 2021. Update new KEWPA.</v>
          </cell>
        </row>
        <row r="1635">
          <cell r="A1635" t="str">
            <v>IKN401530</v>
          </cell>
          <cell r="B1635">
            <v>1470</v>
          </cell>
          <cell r="C1635" t="str">
            <v>Institut Kanser Negara</v>
          </cell>
          <cell r="D1635" t="str">
            <v>KKM/IKN/H/13/5438 (new), KKM/IKN/H/13/2602 (old)</v>
          </cell>
          <cell r="E1635" t="str">
            <v>17-145</v>
          </cell>
          <cell r="F1635" t="str">
            <v>Cystoscope, Rigid</v>
          </cell>
          <cell r="G1635" t="str">
            <v>RT</v>
          </cell>
          <cell r="H1635" t="str">
            <v>RADIATION TREATMENT UNIT</v>
          </cell>
          <cell r="I1635" t="str">
            <v>01RT233</v>
          </cell>
          <cell r="J1635" t="str">
            <v>EQ ROOM</v>
          </cell>
          <cell r="K1635" t="str">
            <v>BMED</v>
          </cell>
          <cell r="L1635" t="str">
            <v>Normal</v>
          </cell>
          <cell r="M1635" t="str">
            <v>Germany</v>
          </cell>
          <cell r="N1635" t="str">
            <v>Karl Storz</v>
          </cell>
          <cell r="O1635" t="str">
            <v>27005AA®</v>
          </cell>
          <cell r="P1635" t="str">
            <v>120MKR</v>
          </cell>
          <cell r="Q1635" t="str">
            <v>Not Applicable</v>
          </cell>
          <cell r="R1635" t="str">
            <v>Karl Storz GmbH</v>
          </cell>
          <cell r="S1635" t="str">
            <v>UMMI Surgical Sdn Bhd</v>
          </cell>
          <cell r="T1635" t="str">
            <v>Functioning</v>
          </cell>
          <cell r="U1635" t="str">
            <v>Asset</v>
          </cell>
          <cell r="V1635">
            <v>33366</v>
          </cell>
          <cell r="W1635" t="str">
            <v>KEW</v>
          </cell>
          <cell r="X1635">
            <v>41516</v>
          </cell>
          <cell r="Y1635" t="str">
            <v>KEW</v>
          </cell>
          <cell r="Z1635">
            <v>41516</v>
          </cell>
          <cell r="AA1635">
            <v>42246</v>
          </cell>
          <cell r="AB1635" t="str">
            <v>No</v>
          </cell>
          <cell r="AC1635">
            <v>41516</v>
          </cell>
          <cell r="AD1635" t="str">
            <v>Good</v>
          </cell>
          <cell r="AE1635" t="str">
            <v>V10 - Asset in initial fee submission(new/replacement hosp)</v>
          </cell>
          <cell r="AF1635">
            <v>42246</v>
          </cell>
          <cell r="AG1635">
            <v>9.17</v>
          </cell>
          <cell r="AH1635" t="str">
            <v>PPM</v>
          </cell>
          <cell r="AI1635" t="str">
            <v>Strands</v>
          </cell>
          <cell r="AJ1635" t="str">
            <v>Strands PW F</v>
          </cell>
          <cell r="AK1635" t="str">
            <v>Pecah Kewpa original H/13/2602. Replace new unit. 0 Degree/4mm. [1/3/2024, SHARIFAH]: Fees sekali dengan KKM/IKN/H/13/2602(RM63,366) - IKN401529. [22/8/2024, Imran]: Update new KEWPA.</v>
          </cell>
        </row>
        <row r="1636">
          <cell r="A1636" t="str">
            <v>IKN401533</v>
          </cell>
          <cell r="B1636">
            <v>1473</v>
          </cell>
          <cell r="C1636" t="str">
            <v>Institut Kanser Negara</v>
          </cell>
          <cell r="D1636" t="str">
            <v>KKM/IKN/H/13/2150</v>
          </cell>
          <cell r="E1636" t="str">
            <v>13-461</v>
          </cell>
          <cell r="F1636" t="str">
            <v>Scales, Patient, Floor</v>
          </cell>
          <cell r="G1636" t="str">
            <v>WD</v>
          </cell>
          <cell r="H1636" t="str">
            <v>RT/ONCO PAED/ADOLESCENT WARD</v>
          </cell>
          <cell r="I1636" t="str">
            <v>06WD146</v>
          </cell>
          <cell r="J1636" t="str">
            <v>NURSE STATION</v>
          </cell>
          <cell r="K1636" t="str">
            <v>BMED</v>
          </cell>
          <cell r="L1636" t="str">
            <v>Normal</v>
          </cell>
          <cell r="M1636" t="str">
            <v>USA</v>
          </cell>
          <cell r="N1636" t="str">
            <v>Detecto</v>
          </cell>
          <cell r="O1636" t="str">
            <v>758 C</v>
          </cell>
          <cell r="P1636" t="str">
            <v>E32112-0183</v>
          </cell>
          <cell r="Q1636" t="str">
            <v>Not Applicable</v>
          </cell>
          <cell r="R1636" t="str">
            <v>DETECTO</v>
          </cell>
          <cell r="S1636" t="str">
            <v>Acucare System (M) Sdn. Bhd</v>
          </cell>
          <cell r="T1636" t="str">
            <v>Functioning</v>
          </cell>
          <cell r="U1636" t="str">
            <v>Asset</v>
          </cell>
          <cell r="V1636">
            <v>9380</v>
          </cell>
          <cell r="W1636" t="str">
            <v>KEW</v>
          </cell>
          <cell r="X1636" t="str">
            <v>01/09/2010</v>
          </cell>
          <cell r="Y1636" t="str">
            <v>Estimate</v>
          </cell>
          <cell r="Z1636" t="str">
            <v>16/08/2013</v>
          </cell>
          <cell r="AA1636" t="str">
            <v>15/08/2015</v>
          </cell>
          <cell r="AB1636" t="str">
            <v>No</v>
          </cell>
          <cell r="AC1636" t="str">
            <v>31/08/2013</v>
          </cell>
          <cell r="AD1636" t="str">
            <v>Good</v>
          </cell>
          <cell r="AE1636" t="str">
            <v>V1 - Existing / No Claim</v>
          </cell>
          <cell r="AF1636">
            <v>42839</v>
          </cell>
          <cell r="AG1636">
            <v>9.17</v>
          </cell>
          <cell r="AH1636" t="str">
            <v>PPM</v>
          </cell>
          <cell r="AI1636" t="str">
            <v>Strands</v>
          </cell>
          <cell r="AJ1636" t="str">
            <v>Strands PW</v>
          </cell>
        </row>
        <row r="1637">
          <cell r="A1637" t="str">
            <v>IKN401534</v>
          </cell>
          <cell r="B1637">
            <v>1474</v>
          </cell>
          <cell r="C1637" t="str">
            <v>Institut Kanser Negara</v>
          </cell>
          <cell r="D1637" t="str">
            <v>N/A</v>
          </cell>
          <cell r="E1637" t="str">
            <v>13-281</v>
          </cell>
          <cell r="F1637" t="str">
            <v>Computers, Radiotherapy Planning System</v>
          </cell>
          <cell r="G1637" t="str">
            <v>RT</v>
          </cell>
          <cell r="H1637" t="str">
            <v>RADIATION TREATMENT UNIT</v>
          </cell>
          <cell r="I1637" t="str">
            <v>01RT118A</v>
          </cell>
          <cell r="J1637" t="str">
            <v>TECH ROOM</v>
          </cell>
          <cell r="K1637" t="str">
            <v>BMED</v>
          </cell>
          <cell r="L1637" t="str">
            <v>Normal</v>
          </cell>
          <cell r="M1637" t="str">
            <v>USA</v>
          </cell>
          <cell r="N1637" t="str">
            <v>HP</v>
          </cell>
          <cell r="O1637" t="str">
            <v>HP 380 G6 SERVER</v>
          </cell>
          <cell r="P1637" t="str">
            <v>Not Available</v>
          </cell>
          <cell r="Q1637" t="str">
            <v>Not Applicable</v>
          </cell>
          <cell r="R1637" t="str">
            <v>HP</v>
          </cell>
          <cell r="S1637" t="str">
            <v>VIAMED SDN. BHD.</v>
          </cell>
          <cell r="T1637" t="str">
            <v>Functioning</v>
          </cell>
          <cell r="U1637" t="str">
            <v>Asset</v>
          </cell>
          <cell r="V1637">
            <v>52500</v>
          </cell>
          <cell r="W1637" t="str">
            <v>KEW</v>
          </cell>
          <cell r="X1637" t="str">
            <v>01/09/2010</v>
          </cell>
          <cell r="Y1637" t="str">
            <v>KEW</v>
          </cell>
          <cell r="Z1637" t="str">
            <v>16/08/2013</v>
          </cell>
          <cell r="AA1637" t="str">
            <v>15/08/2015</v>
          </cell>
          <cell r="AB1637" t="str">
            <v>No</v>
          </cell>
          <cell r="AC1637" t="str">
            <v>16/08/2013</v>
          </cell>
          <cell r="AD1637" t="str">
            <v>Good</v>
          </cell>
          <cell r="AE1637" t="str">
            <v>V1 - Existing / No Claim</v>
          </cell>
          <cell r="AF1637">
            <v>42859</v>
          </cell>
          <cell r="AG1637">
            <v>9.17</v>
          </cell>
          <cell r="AH1637" t="str">
            <v>PPM</v>
          </cell>
          <cell r="AI1637" t="str">
            <v>Strands</v>
          </cell>
          <cell r="AJ1637" t="str">
            <v>Strands Package</v>
          </cell>
          <cell r="AK1637" t="str">
            <v>Package Code XM0004</v>
          </cell>
        </row>
        <row r="1638">
          <cell r="A1638" t="str">
            <v>IKN401536</v>
          </cell>
          <cell r="B1638">
            <v>1475</v>
          </cell>
          <cell r="C1638" t="str">
            <v>Institut Kanser Negara</v>
          </cell>
          <cell r="D1638" t="str">
            <v>KKM/IKN/H/13/5160</v>
          </cell>
          <cell r="E1638" t="str">
            <v>11-295</v>
          </cell>
          <cell r="F1638" t="str">
            <v>Dosimeters, Radiation</v>
          </cell>
          <cell r="G1638" t="str">
            <v>NM</v>
          </cell>
          <cell r="H1638" t="str">
            <v>NUCLEAR MED (DIAGNOSTIC)</v>
          </cell>
          <cell r="I1638" t="str">
            <v>03NM180</v>
          </cell>
          <cell r="J1638" t="str">
            <v>GEN.OFFICE</v>
          </cell>
          <cell r="K1638" t="str">
            <v>BMED</v>
          </cell>
          <cell r="L1638" t="str">
            <v>Normal</v>
          </cell>
          <cell r="M1638" t="str">
            <v>Japan</v>
          </cell>
          <cell r="N1638" t="str">
            <v>Aloka</v>
          </cell>
          <cell r="O1638" t="str">
            <v>PDM-122-SH</v>
          </cell>
          <cell r="P1638" t="str">
            <v>P1277</v>
          </cell>
          <cell r="Q1638" t="str">
            <v>Not Applicable</v>
          </cell>
          <cell r="R1638" t="str">
            <v>Hitachi Aloka Medical Ltd</v>
          </cell>
          <cell r="S1638" t="str">
            <v>Delta Advantech (M) Sdn. Bhd.</v>
          </cell>
          <cell r="T1638" t="str">
            <v>Functioning</v>
          </cell>
          <cell r="U1638" t="str">
            <v>Asset</v>
          </cell>
          <cell r="V1638">
            <v>4370</v>
          </cell>
          <cell r="W1638" t="str">
            <v>KEW</v>
          </cell>
          <cell r="X1638" t="str">
            <v>01/09/2010</v>
          </cell>
          <cell r="Y1638" t="str">
            <v>KEW</v>
          </cell>
          <cell r="Z1638" t="str">
            <v>16/08/2013</v>
          </cell>
          <cell r="AA1638" t="str">
            <v>15/08/2015</v>
          </cell>
          <cell r="AB1638" t="str">
            <v>No</v>
          </cell>
          <cell r="AC1638" t="str">
            <v>31/08/2013</v>
          </cell>
          <cell r="AD1638" t="str">
            <v>Good</v>
          </cell>
          <cell r="AE1638" t="str">
            <v>V1 - Existing / No Claim</v>
          </cell>
          <cell r="AF1638">
            <v>42923</v>
          </cell>
          <cell r="AG1638">
            <v>9.17</v>
          </cell>
          <cell r="AH1638" t="str">
            <v>PPM</v>
          </cell>
          <cell r="AI1638" t="str">
            <v>Strands</v>
          </cell>
          <cell r="AJ1638" t="str">
            <v>Strands PW</v>
          </cell>
          <cell r="AK1638" t="str">
            <v>[24/4/2024, ANIS]: TUKAR MODEL &amp; BRAND.</v>
          </cell>
        </row>
        <row r="1639">
          <cell r="A1639" t="str">
            <v>IKN401537</v>
          </cell>
          <cell r="B1639">
            <v>1476</v>
          </cell>
          <cell r="C1639" t="str">
            <v>Institut Kanser Negara</v>
          </cell>
          <cell r="D1639" t="str">
            <v>KKM/IKN/H/13/5159</v>
          </cell>
          <cell r="E1639" t="str">
            <v>11-295</v>
          </cell>
          <cell r="F1639" t="str">
            <v>Dosimeters, Radiation</v>
          </cell>
          <cell r="G1639" t="str">
            <v>NM</v>
          </cell>
          <cell r="H1639" t="str">
            <v>NUCLEAR MED (DIAGNOSTIC)</v>
          </cell>
          <cell r="I1639" t="str">
            <v>03NM180</v>
          </cell>
          <cell r="J1639" t="str">
            <v>GEN.OFFICE</v>
          </cell>
          <cell r="K1639" t="str">
            <v>BMED</v>
          </cell>
          <cell r="L1639" t="str">
            <v>Normal</v>
          </cell>
          <cell r="M1639" t="str">
            <v>Japan</v>
          </cell>
          <cell r="N1639" t="str">
            <v>Aloka</v>
          </cell>
          <cell r="O1639" t="str">
            <v>PDM-122-SH</v>
          </cell>
          <cell r="P1639" t="str">
            <v>P1278</v>
          </cell>
          <cell r="Q1639" t="str">
            <v>Not Applicable</v>
          </cell>
          <cell r="R1639" t="str">
            <v>Hitachi Aloka Medical Ltd</v>
          </cell>
          <cell r="S1639" t="str">
            <v>Delta Advantech (M) Sdn. Bhd.</v>
          </cell>
          <cell r="T1639" t="str">
            <v>Functioning</v>
          </cell>
          <cell r="U1639" t="str">
            <v>Asset</v>
          </cell>
          <cell r="V1639">
            <v>4370</v>
          </cell>
          <cell r="W1639" t="str">
            <v>KEW</v>
          </cell>
          <cell r="X1639" t="str">
            <v>01/09/2010</v>
          </cell>
          <cell r="Y1639" t="str">
            <v>KEW</v>
          </cell>
          <cell r="Z1639" t="str">
            <v>16/08/2013</v>
          </cell>
          <cell r="AA1639" t="str">
            <v>15/08/2015</v>
          </cell>
          <cell r="AB1639" t="str">
            <v>No</v>
          </cell>
          <cell r="AC1639" t="str">
            <v>31/08/2013</v>
          </cell>
          <cell r="AD1639" t="str">
            <v>Good</v>
          </cell>
          <cell r="AE1639" t="str">
            <v>V1 - Existing / No Claim</v>
          </cell>
          <cell r="AF1639">
            <v>42923</v>
          </cell>
          <cell r="AG1639">
            <v>9.17</v>
          </cell>
          <cell r="AH1639" t="str">
            <v>PPM</v>
          </cell>
          <cell r="AI1639" t="str">
            <v>Strands</v>
          </cell>
          <cell r="AJ1639" t="str">
            <v>Strands PW</v>
          </cell>
          <cell r="AK1639" t="str">
            <v>[24/4/2024, ANIS]: TUKAR MODEL &amp; BRAND.</v>
          </cell>
        </row>
        <row r="1640">
          <cell r="A1640" t="str">
            <v>IKN401538</v>
          </cell>
          <cell r="B1640">
            <v>1477</v>
          </cell>
          <cell r="C1640" t="str">
            <v>Institut Kanser Negara</v>
          </cell>
          <cell r="D1640" t="str">
            <v>KKM/IKN/H/13/5158</v>
          </cell>
          <cell r="E1640" t="str">
            <v>11-295</v>
          </cell>
          <cell r="F1640" t="str">
            <v>Dosimeters, Radiation</v>
          </cell>
          <cell r="G1640" t="str">
            <v>NM</v>
          </cell>
          <cell r="H1640" t="str">
            <v>NUCLEAR MED (DIAGNOSTIC)</v>
          </cell>
          <cell r="I1640" t="str">
            <v>03NM180</v>
          </cell>
          <cell r="J1640" t="str">
            <v>GEN.OFFICE</v>
          </cell>
          <cell r="K1640" t="str">
            <v>BMED</v>
          </cell>
          <cell r="L1640" t="str">
            <v>Normal</v>
          </cell>
          <cell r="M1640" t="str">
            <v>Japan</v>
          </cell>
          <cell r="N1640" t="str">
            <v>Aloka</v>
          </cell>
          <cell r="O1640" t="str">
            <v>PDM-122-SH</v>
          </cell>
          <cell r="P1640" t="str">
            <v>P1279</v>
          </cell>
          <cell r="Q1640" t="str">
            <v>Not Applicable</v>
          </cell>
          <cell r="R1640" t="str">
            <v>Hitachi Aloka Medical Ltd</v>
          </cell>
          <cell r="S1640" t="str">
            <v>Delta Advantech (M) Sdn. Bhd.</v>
          </cell>
          <cell r="T1640" t="str">
            <v>Functioning</v>
          </cell>
          <cell r="U1640" t="str">
            <v>Asset</v>
          </cell>
          <cell r="V1640">
            <v>4370</v>
          </cell>
          <cell r="W1640" t="str">
            <v>KEW</v>
          </cell>
          <cell r="X1640" t="str">
            <v>01/09/2010</v>
          </cell>
          <cell r="Y1640" t="str">
            <v>KEW</v>
          </cell>
          <cell r="Z1640" t="str">
            <v>16/08/2013</v>
          </cell>
          <cell r="AA1640" t="str">
            <v>15/08/2015</v>
          </cell>
          <cell r="AB1640" t="str">
            <v>No</v>
          </cell>
          <cell r="AC1640" t="str">
            <v>31/08/2013</v>
          </cell>
          <cell r="AD1640" t="str">
            <v>Good</v>
          </cell>
          <cell r="AE1640" t="str">
            <v>V1 - Existing / No Claim</v>
          </cell>
          <cell r="AF1640">
            <v>42923</v>
          </cell>
          <cell r="AG1640">
            <v>9.17</v>
          </cell>
          <cell r="AH1640" t="str">
            <v>PPM</v>
          </cell>
          <cell r="AI1640" t="str">
            <v>Strands</v>
          </cell>
          <cell r="AJ1640" t="str">
            <v>Strands PW</v>
          </cell>
          <cell r="AK1640" t="str">
            <v>[24/4/2024, ANIS]: TUKAR MODEL &amp; BRAND.</v>
          </cell>
        </row>
        <row r="1641">
          <cell r="A1641" t="str">
            <v>IKN401539</v>
          </cell>
          <cell r="B1641">
            <v>1478</v>
          </cell>
          <cell r="C1641" t="str">
            <v>Institut Kanser Negara</v>
          </cell>
          <cell r="D1641" t="str">
            <v>KKM/IKN/H/13/5157</v>
          </cell>
          <cell r="E1641" t="str">
            <v>11-295</v>
          </cell>
          <cell r="F1641" t="str">
            <v>Dosimeters, Radiation</v>
          </cell>
          <cell r="G1641" t="str">
            <v>NM</v>
          </cell>
          <cell r="H1641" t="str">
            <v>NUCLEAR MED (DIAGNOSTIC)</v>
          </cell>
          <cell r="I1641" t="str">
            <v>03NM180</v>
          </cell>
          <cell r="J1641" t="str">
            <v>GEN.OFFICE</v>
          </cell>
          <cell r="K1641" t="str">
            <v>BMED</v>
          </cell>
          <cell r="L1641" t="str">
            <v>Normal</v>
          </cell>
          <cell r="M1641" t="str">
            <v>Japan</v>
          </cell>
          <cell r="N1641" t="str">
            <v>Aloka</v>
          </cell>
          <cell r="O1641" t="str">
            <v>PDM-122-SH</v>
          </cell>
          <cell r="P1641" t="str">
            <v>P1280</v>
          </cell>
          <cell r="Q1641" t="str">
            <v>Not Applicable</v>
          </cell>
          <cell r="R1641" t="str">
            <v>Hitachi Aloka Medical Ltd</v>
          </cell>
          <cell r="S1641" t="str">
            <v>Delta Advantech (M) Sdn. Bhd.</v>
          </cell>
          <cell r="T1641" t="str">
            <v>Functioning</v>
          </cell>
          <cell r="U1641" t="str">
            <v>Asset</v>
          </cell>
          <cell r="V1641">
            <v>4370</v>
          </cell>
          <cell r="W1641" t="str">
            <v>KEW</v>
          </cell>
          <cell r="X1641" t="str">
            <v>01/09/2010</v>
          </cell>
          <cell r="Y1641" t="str">
            <v>KEW</v>
          </cell>
          <cell r="Z1641" t="str">
            <v>16/08/2013</v>
          </cell>
          <cell r="AA1641" t="str">
            <v>15/08/2015</v>
          </cell>
          <cell r="AB1641" t="str">
            <v>No</v>
          </cell>
          <cell r="AC1641" t="str">
            <v>31/08/2013</v>
          </cell>
          <cell r="AD1641" t="str">
            <v>Good</v>
          </cell>
          <cell r="AE1641" t="str">
            <v>V1 - Existing / No Claim</v>
          </cell>
          <cell r="AF1641">
            <v>42923</v>
          </cell>
          <cell r="AG1641">
            <v>9.17</v>
          </cell>
          <cell r="AH1641" t="str">
            <v>PPM</v>
          </cell>
          <cell r="AI1641" t="str">
            <v>Strands</v>
          </cell>
          <cell r="AJ1641" t="str">
            <v>Strands PW</v>
          </cell>
          <cell r="AK1641" t="str">
            <v>[24/4/2024, ANIS]: TUKAR MODEL &amp; BRAND.</v>
          </cell>
        </row>
        <row r="1642">
          <cell r="A1642" t="str">
            <v>IKN401540</v>
          </cell>
          <cell r="B1642">
            <v>1479</v>
          </cell>
          <cell r="C1642" t="str">
            <v>Institut Kanser Negara</v>
          </cell>
          <cell r="D1642" t="str">
            <v>KKM/IKN/H/13/5156</v>
          </cell>
          <cell r="E1642" t="str">
            <v>11-295</v>
          </cell>
          <cell r="F1642" t="str">
            <v>Dosimeters, Radiation</v>
          </cell>
          <cell r="G1642" t="str">
            <v>NM</v>
          </cell>
          <cell r="H1642" t="str">
            <v>NUCLEAR MED (DIAGNOSTIC)</v>
          </cell>
          <cell r="I1642" t="str">
            <v>03NM180</v>
          </cell>
          <cell r="J1642" t="str">
            <v>GEN.OFFICE</v>
          </cell>
          <cell r="K1642" t="str">
            <v>BMED</v>
          </cell>
          <cell r="L1642" t="str">
            <v>Normal</v>
          </cell>
          <cell r="M1642" t="str">
            <v>Japan</v>
          </cell>
          <cell r="N1642" t="str">
            <v>Aloka</v>
          </cell>
          <cell r="O1642" t="str">
            <v>PDM-122-SH</v>
          </cell>
          <cell r="P1642" t="str">
            <v>P1281</v>
          </cell>
          <cell r="Q1642" t="str">
            <v>Not Applicable</v>
          </cell>
          <cell r="R1642" t="str">
            <v>Hitachi Aloka Medical Ltd</v>
          </cell>
          <cell r="S1642" t="str">
            <v>Delta Advantech (M) Sdn. Bhd.</v>
          </cell>
          <cell r="T1642" t="str">
            <v>Functioning</v>
          </cell>
          <cell r="U1642" t="str">
            <v>Asset</v>
          </cell>
          <cell r="V1642">
            <v>4370</v>
          </cell>
          <cell r="W1642" t="str">
            <v>KEW</v>
          </cell>
          <cell r="X1642" t="str">
            <v>01/09/2010</v>
          </cell>
          <cell r="Y1642" t="str">
            <v>KEW</v>
          </cell>
          <cell r="Z1642" t="str">
            <v>16/08/2013</v>
          </cell>
          <cell r="AA1642" t="str">
            <v>15/08/2015</v>
          </cell>
          <cell r="AB1642" t="str">
            <v>No</v>
          </cell>
          <cell r="AC1642" t="str">
            <v>31/08/2013</v>
          </cell>
          <cell r="AD1642" t="str">
            <v>Good</v>
          </cell>
          <cell r="AE1642" t="str">
            <v>V1 - Existing / No Claim</v>
          </cell>
          <cell r="AF1642">
            <v>42923</v>
          </cell>
          <cell r="AG1642">
            <v>9.17</v>
          </cell>
          <cell r="AH1642" t="str">
            <v>PPM</v>
          </cell>
          <cell r="AI1642" t="str">
            <v>Strands</v>
          </cell>
          <cell r="AJ1642" t="str">
            <v>Strands PW</v>
          </cell>
          <cell r="AK1642" t="str">
            <v>[24/4/2024, ANIS]: TUKAR MODEL &amp; BRAND.</v>
          </cell>
        </row>
        <row r="1643">
          <cell r="A1643" t="str">
            <v>IKN401541</v>
          </cell>
          <cell r="B1643">
            <v>1480</v>
          </cell>
          <cell r="C1643" t="str">
            <v>Institut Kanser Negara</v>
          </cell>
          <cell r="D1643" t="str">
            <v>KKM/IKN/H/13/5155</v>
          </cell>
          <cell r="E1643" t="str">
            <v>11-295</v>
          </cell>
          <cell r="F1643" t="str">
            <v>Dosimeters, Radiation</v>
          </cell>
          <cell r="G1643" t="str">
            <v>NM</v>
          </cell>
          <cell r="H1643" t="str">
            <v>NUCLEAR MED (DIAGNOSTIC)</v>
          </cell>
          <cell r="I1643" t="str">
            <v>03NM180</v>
          </cell>
          <cell r="J1643" t="str">
            <v>GEN.OFFICE</v>
          </cell>
          <cell r="K1643" t="str">
            <v>BMED</v>
          </cell>
          <cell r="L1643" t="str">
            <v>Normal</v>
          </cell>
          <cell r="M1643" t="str">
            <v>Japan</v>
          </cell>
          <cell r="N1643" t="str">
            <v>Aloka</v>
          </cell>
          <cell r="O1643" t="str">
            <v>PDM-122-SH</v>
          </cell>
          <cell r="P1643" t="str">
            <v>P1282</v>
          </cell>
          <cell r="Q1643" t="str">
            <v>Not Applicable</v>
          </cell>
          <cell r="R1643" t="str">
            <v>Hitachi Aloka Medical Ltd</v>
          </cell>
          <cell r="S1643" t="str">
            <v>Delta Advantech (M) Sdn. Bhd.</v>
          </cell>
          <cell r="T1643" t="str">
            <v>Functioning</v>
          </cell>
          <cell r="U1643" t="str">
            <v>Asset</v>
          </cell>
          <cell r="V1643">
            <v>4370</v>
          </cell>
          <cell r="W1643" t="str">
            <v>KEW</v>
          </cell>
          <cell r="X1643" t="str">
            <v>01/09/2010</v>
          </cell>
          <cell r="Y1643" t="str">
            <v>KEW</v>
          </cell>
          <cell r="Z1643" t="str">
            <v>16/08/2013</v>
          </cell>
          <cell r="AA1643" t="str">
            <v>15/08/2015</v>
          </cell>
          <cell r="AB1643" t="str">
            <v>No</v>
          </cell>
          <cell r="AC1643" t="str">
            <v>31/08/2013</v>
          </cell>
          <cell r="AD1643" t="str">
            <v>Good</v>
          </cell>
          <cell r="AE1643" t="str">
            <v>V1 - Existing / No Claim</v>
          </cell>
          <cell r="AF1643">
            <v>42923</v>
          </cell>
          <cell r="AG1643">
            <v>9.17</v>
          </cell>
          <cell r="AH1643" t="str">
            <v>PPM</v>
          </cell>
          <cell r="AI1643" t="str">
            <v>Strands</v>
          </cell>
          <cell r="AJ1643" t="str">
            <v>Strands PW</v>
          </cell>
          <cell r="AK1643" t="str">
            <v>[24/4/2024, ANIS]: TUKAR MODEL &amp; BRAND.</v>
          </cell>
        </row>
        <row r="1644">
          <cell r="A1644" t="str">
            <v>IKN401542</v>
          </cell>
          <cell r="B1644">
            <v>1481</v>
          </cell>
          <cell r="C1644" t="str">
            <v>Institut Kanser Negara</v>
          </cell>
          <cell r="D1644" t="str">
            <v>KKM/IKN/H/13/5154</v>
          </cell>
          <cell r="E1644" t="str">
            <v>11-295</v>
          </cell>
          <cell r="F1644" t="str">
            <v>Dosimeters, Radiation</v>
          </cell>
          <cell r="G1644" t="str">
            <v>NM</v>
          </cell>
          <cell r="H1644" t="str">
            <v>NUCLEAR MED (DIAGNOSTIC)</v>
          </cell>
          <cell r="I1644" t="str">
            <v>03NM180</v>
          </cell>
          <cell r="J1644" t="str">
            <v>GEN.OFFICE</v>
          </cell>
          <cell r="K1644" t="str">
            <v>BMED</v>
          </cell>
          <cell r="L1644" t="str">
            <v>Normal</v>
          </cell>
          <cell r="M1644" t="str">
            <v>Japan</v>
          </cell>
          <cell r="N1644" t="str">
            <v>Aloka</v>
          </cell>
          <cell r="O1644" t="str">
            <v>PDM-122-SH</v>
          </cell>
          <cell r="P1644" t="str">
            <v>O8426</v>
          </cell>
          <cell r="Q1644" t="str">
            <v>Not Applicable</v>
          </cell>
          <cell r="R1644" t="str">
            <v>Hitachi Aloka Medical Ltd</v>
          </cell>
          <cell r="S1644" t="str">
            <v>Delta Advantech (M) Sdn. Bhd.</v>
          </cell>
          <cell r="T1644" t="str">
            <v>Functioning</v>
          </cell>
          <cell r="U1644" t="str">
            <v>Asset</v>
          </cell>
          <cell r="V1644">
            <v>4370</v>
          </cell>
          <cell r="W1644" t="str">
            <v>KEW</v>
          </cell>
          <cell r="X1644" t="str">
            <v>01/09/2010</v>
          </cell>
          <cell r="Y1644" t="str">
            <v>Estimate</v>
          </cell>
          <cell r="Z1644" t="str">
            <v>16/08/2013</v>
          </cell>
          <cell r="AA1644" t="str">
            <v>15/08/2015</v>
          </cell>
          <cell r="AB1644" t="str">
            <v>No</v>
          </cell>
          <cell r="AC1644" t="str">
            <v>31/08/2013</v>
          </cell>
          <cell r="AD1644" t="str">
            <v>Good</v>
          </cell>
          <cell r="AE1644" t="str">
            <v>V1 - Existing / No Claim</v>
          </cell>
          <cell r="AF1644">
            <v>42923</v>
          </cell>
          <cell r="AG1644">
            <v>9.17</v>
          </cell>
          <cell r="AH1644" t="str">
            <v>PPM</v>
          </cell>
          <cell r="AI1644" t="str">
            <v>Strands</v>
          </cell>
          <cell r="AJ1644" t="str">
            <v>Strands PW</v>
          </cell>
          <cell r="AK1644" t="str">
            <v>[24/4/2024, ANIS]: TUKAR MODEL &amp; BRAND.</v>
          </cell>
        </row>
        <row r="1645">
          <cell r="A1645" t="str">
            <v>IKN401543</v>
          </cell>
          <cell r="B1645">
            <v>1482</v>
          </cell>
          <cell r="C1645" t="str">
            <v>Institut Kanser Negara</v>
          </cell>
          <cell r="D1645" t="str">
            <v>KKM/IKN/H/13/5153</v>
          </cell>
          <cell r="E1645" t="str">
            <v>11-295</v>
          </cell>
          <cell r="F1645" t="str">
            <v>Dosimeters, Radiation</v>
          </cell>
          <cell r="G1645" t="str">
            <v>NM</v>
          </cell>
          <cell r="H1645" t="str">
            <v>NUCLEAR MED (DIAGNOSTIC)</v>
          </cell>
          <cell r="I1645" t="str">
            <v>03NM180</v>
          </cell>
          <cell r="J1645" t="str">
            <v>GEN.OFFICE</v>
          </cell>
          <cell r="K1645" t="str">
            <v>BMED</v>
          </cell>
          <cell r="L1645" t="str">
            <v>Normal</v>
          </cell>
          <cell r="M1645" t="str">
            <v>Japan</v>
          </cell>
          <cell r="N1645" t="str">
            <v>Aloka</v>
          </cell>
          <cell r="O1645" t="str">
            <v>PDM-122-SH</v>
          </cell>
          <cell r="P1645" t="str">
            <v>O8428</v>
          </cell>
          <cell r="Q1645" t="str">
            <v>Not Applicable</v>
          </cell>
          <cell r="R1645" t="str">
            <v>Hitachi Aloka Medical Ltd</v>
          </cell>
          <cell r="S1645" t="str">
            <v>Delta Advantech (M) Sdn. Bhd.</v>
          </cell>
          <cell r="T1645" t="str">
            <v>Functioning</v>
          </cell>
          <cell r="U1645" t="str">
            <v>Asset</v>
          </cell>
          <cell r="V1645">
            <v>4370</v>
          </cell>
          <cell r="W1645" t="str">
            <v>KEW</v>
          </cell>
          <cell r="X1645" t="str">
            <v>01/09/2010</v>
          </cell>
          <cell r="Y1645" t="str">
            <v>KEW</v>
          </cell>
          <cell r="Z1645" t="str">
            <v>16/08/2013</v>
          </cell>
          <cell r="AA1645" t="str">
            <v>15/08/2015</v>
          </cell>
          <cell r="AB1645" t="str">
            <v>No</v>
          </cell>
          <cell r="AC1645" t="str">
            <v>31/08/2013</v>
          </cell>
          <cell r="AD1645" t="str">
            <v>Good</v>
          </cell>
          <cell r="AE1645" t="str">
            <v>V1 - Existing / No Claim</v>
          </cell>
          <cell r="AF1645">
            <v>42923</v>
          </cell>
          <cell r="AG1645">
            <v>9.17</v>
          </cell>
          <cell r="AH1645" t="str">
            <v>PPM</v>
          </cell>
          <cell r="AI1645" t="str">
            <v>Strands</v>
          </cell>
          <cell r="AJ1645" t="str">
            <v>Strands PW</v>
          </cell>
          <cell r="AK1645" t="str">
            <v>[24/4/2024, ANIS]: TUKAR MODEL &amp; BRAND.</v>
          </cell>
        </row>
        <row r="1646">
          <cell r="A1646" t="str">
            <v>IKN401544</v>
          </cell>
          <cell r="B1646">
            <v>1483</v>
          </cell>
          <cell r="C1646" t="str">
            <v>Institut Kanser Negara</v>
          </cell>
          <cell r="D1646" t="str">
            <v>KKM/IKN/H/13/5177</v>
          </cell>
          <cell r="E1646" t="str">
            <v>15-175</v>
          </cell>
          <cell r="F1646" t="str">
            <v>Scales, Clinical, Laboratory</v>
          </cell>
          <cell r="G1646" t="str">
            <v>PF</v>
          </cell>
          <cell r="H1646" t="str">
            <v>IN-PATIENT PHARMACY</v>
          </cell>
          <cell r="I1646" t="str">
            <v>05PF146</v>
          </cell>
          <cell r="J1646" t="str">
            <v>RAW MATERIAL STORE</v>
          </cell>
          <cell r="K1646" t="str">
            <v>BMED</v>
          </cell>
          <cell r="L1646" t="str">
            <v>Normal</v>
          </cell>
          <cell r="M1646" t="str">
            <v>Switzerland</v>
          </cell>
          <cell r="N1646" t="str">
            <v>METTLER TOLEDO</v>
          </cell>
          <cell r="O1646" t="str">
            <v>JP32001G</v>
          </cell>
          <cell r="P1646" t="str">
            <v>B327522435</v>
          </cell>
          <cell r="Q1646" t="str">
            <v>Not Applicable</v>
          </cell>
          <cell r="R1646" t="str">
            <v>METTLER TOLEDO</v>
          </cell>
          <cell r="S1646" t="str">
            <v>Chemopharm Sdn. Bhd.</v>
          </cell>
          <cell r="T1646" t="str">
            <v>Functioning</v>
          </cell>
          <cell r="U1646" t="str">
            <v>Asset</v>
          </cell>
          <cell r="V1646">
            <v>3500</v>
          </cell>
          <cell r="W1646" t="str">
            <v>KEW</v>
          </cell>
          <cell r="X1646" t="str">
            <v>01/09/2010</v>
          </cell>
          <cell r="Y1646" t="str">
            <v>KEW</v>
          </cell>
          <cell r="Z1646" t="str">
            <v>16/08/2013</v>
          </cell>
          <cell r="AA1646" t="str">
            <v>15/08/2015</v>
          </cell>
          <cell r="AB1646" t="str">
            <v>No</v>
          </cell>
          <cell r="AC1646" t="str">
            <v>31/08/2013</v>
          </cell>
          <cell r="AD1646" t="str">
            <v>Good</v>
          </cell>
          <cell r="AE1646" t="str">
            <v>V3 - Added Installed Facilities (New)</v>
          </cell>
          <cell r="AF1646">
            <v>42873</v>
          </cell>
          <cell r="AG1646">
            <v>9.17</v>
          </cell>
          <cell r="AH1646" t="str">
            <v>PPM</v>
          </cell>
          <cell r="AI1646" t="str">
            <v>Strands</v>
          </cell>
          <cell r="AJ1646" t="str">
            <v>Strands PW</v>
          </cell>
          <cell r="AK1646" t="str">
            <v>SNF received. 1st batch of V3 asset (December 2020)</v>
          </cell>
        </row>
        <row r="1647">
          <cell r="A1647" t="str">
            <v>IKN401545</v>
          </cell>
          <cell r="B1647">
            <v>1484</v>
          </cell>
          <cell r="C1647" t="str">
            <v>Institut Kanser Negara</v>
          </cell>
          <cell r="D1647" t="str">
            <v>KKM/IKN/H/13/5302</v>
          </cell>
          <cell r="E1647" t="str">
            <v>10-263</v>
          </cell>
          <cell r="F1647" t="str">
            <v>Balances, Electronic</v>
          </cell>
          <cell r="G1647" t="str">
            <v>PF</v>
          </cell>
          <cell r="H1647" t="str">
            <v>IN-PATIENT PHARMACY</v>
          </cell>
          <cell r="I1647" t="str">
            <v>05PF112</v>
          </cell>
          <cell r="J1647" t="str">
            <v>INTERNAL PREP</v>
          </cell>
          <cell r="K1647" t="str">
            <v>BMED</v>
          </cell>
          <cell r="L1647" t="str">
            <v>Normal</v>
          </cell>
          <cell r="M1647" t="str">
            <v>Germany</v>
          </cell>
          <cell r="N1647" t="str">
            <v>Sartorius</v>
          </cell>
          <cell r="O1647" t="str">
            <v>Sartorius TE412</v>
          </cell>
          <cell r="P1647" t="str">
            <v>28103584</v>
          </cell>
          <cell r="Q1647" t="str">
            <v>Not Applicable</v>
          </cell>
          <cell r="R1647" t="str">
            <v>Sartorius AG</v>
          </cell>
          <cell r="S1647" t="str">
            <v>Chemopharm Sdn. Bhd.</v>
          </cell>
          <cell r="T1647" t="str">
            <v>Functioning</v>
          </cell>
          <cell r="U1647" t="str">
            <v>Asset</v>
          </cell>
          <cell r="V1647">
            <v>5490</v>
          </cell>
          <cell r="W1647" t="str">
            <v>KEW</v>
          </cell>
          <cell r="X1647" t="str">
            <v>01/09/2010</v>
          </cell>
          <cell r="Y1647" t="str">
            <v>KEW</v>
          </cell>
          <cell r="Z1647" t="str">
            <v>16/08/2013</v>
          </cell>
          <cell r="AA1647" t="str">
            <v>15/08/2015</v>
          </cell>
          <cell r="AB1647" t="str">
            <v>No</v>
          </cell>
          <cell r="AC1647" t="str">
            <v>31/08/2013</v>
          </cell>
          <cell r="AD1647" t="str">
            <v>Good</v>
          </cell>
          <cell r="AE1647" t="str">
            <v>V1 - Existing / No Claim</v>
          </cell>
          <cell r="AF1647">
            <v>42873</v>
          </cell>
          <cell r="AG1647">
            <v>9.17</v>
          </cell>
          <cell r="AH1647" t="str">
            <v>PPM</v>
          </cell>
          <cell r="AI1647" t="str">
            <v>Strands</v>
          </cell>
          <cell r="AJ1647" t="str">
            <v>Strands PW</v>
          </cell>
        </row>
        <row r="1648">
          <cell r="A1648" t="str">
            <v>IKN401546</v>
          </cell>
          <cell r="B1648">
            <v>1485</v>
          </cell>
          <cell r="C1648" t="str">
            <v>Institut Kanser Negara</v>
          </cell>
          <cell r="D1648" t="str">
            <v>KKM/IKN/H/13/4878</v>
          </cell>
          <cell r="E1648" t="str">
            <v>15-161</v>
          </cell>
          <cell r="F1648" t="str">
            <v>Mixers, Clinical Laboratory</v>
          </cell>
          <cell r="G1648" t="str">
            <v>PF</v>
          </cell>
          <cell r="H1648" t="str">
            <v>IN-PATIENT PHARMACY</v>
          </cell>
          <cell r="I1648" t="str">
            <v>05PF114</v>
          </cell>
          <cell r="J1648" t="str">
            <v>CDR ROOM 1</v>
          </cell>
          <cell r="K1648" t="str">
            <v>BMED</v>
          </cell>
          <cell r="L1648" t="str">
            <v>Normal</v>
          </cell>
          <cell r="M1648" t="str">
            <v>Malaysia</v>
          </cell>
          <cell r="N1648" t="str">
            <v>ASASI</v>
          </cell>
          <cell r="O1648" t="str">
            <v>LRM-30</v>
          </cell>
          <cell r="P1648" t="str">
            <v>LRM3020117/1212</v>
          </cell>
          <cell r="Q1648" t="str">
            <v>Not Applicable</v>
          </cell>
          <cell r="R1648" t="str">
            <v>ASASI</v>
          </cell>
          <cell r="S1648" t="str">
            <v>Tech-Lab Scientific Sdn Bhd</v>
          </cell>
          <cell r="T1648" t="str">
            <v>Functioning</v>
          </cell>
          <cell r="U1648" t="str">
            <v>Asset</v>
          </cell>
          <cell r="V1648">
            <v>9500</v>
          </cell>
          <cell r="W1648" t="str">
            <v>KEW</v>
          </cell>
          <cell r="X1648" t="str">
            <v>01/09/2010</v>
          </cell>
          <cell r="Y1648" t="str">
            <v>KEW</v>
          </cell>
          <cell r="Z1648" t="str">
            <v>16/08/2013</v>
          </cell>
          <cell r="AA1648" t="str">
            <v>15/08/2015</v>
          </cell>
          <cell r="AB1648" t="str">
            <v>No</v>
          </cell>
          <cell r="AC1648" t="str">
            <v>31/08/2013</v>
          </cell>
          <cell r="AD1648" t="str">
            <v>Good</v>
          </cell>
          <cell r="AE1648" t="str">
            <v>V1 - Existing / No Claim</v>
          </cell>
          <cell r="AF1648">
            <v>42873</v>
          </cell>
          <cell r="AG1648">
            <v>9.17</v>
          </cell>
          <cell r="AH1648" t="str">
            <v>PPM</v>
          </cell>
          <cell r="AI1648" t="str">
            <v>Strands</v>
          </cell>
          <cell r="AJ1648" t="str">
            <v>Strands PW</v>
          </cell>
        </row>
        <row r="1649">
          <cell r="A1649" t="str">
            <v>IKN401547</v>
          </cell>
          <cell r="B1649">
            <v>1486</v>
          </cell>
          <cell r="C1649" t="str">
            <v>Institut Kanser Negara</v>
          </cell>
          <cell r="D1649" t="str">
            <v>KKM/IKN/H/13/4879</v>
          </cell>
          <cell r="E1649" t="str">
            <v>15-161</v>
          </cell>
          <cell r="F1649" t="str">
            <v>Mixers, Clinical Laboratory</v>
          </cell>
          <cell r="G1649" t="str">
            <v>PF</v>
          </cell>
          <cell r="H1649" t="str">
            <v>IN-PATIENT PHARMACY</v>
          </cell>
          <cell r="I1649" t="str">
            <v>05PF119</v>
          </cell>
          <cell r="J1649" t="str">
            <v>CDR ROOM 2</v>
          </cell>
          <cell r="K1649" t="str">
            <v>BMED</v>
          </cell>
          <cell r="L1649" t="str">
            <v>Normal</v>
          </cell>
          <cell r="M1649" t="str">
            <v>Malaysia</v>
          </cell>
          <cell r="N1649" t="str">
            <v>ASASI</v>
          </cell>
          <cell r="O1649" t="str">
            <v>LRM-30</v>
          </cell>
          <cell r="P1649" t="str">
            <v>LRM3020116/1212</v>
          </cell>
          <cell r="Q1649" t="str">
            <v>Not Applicable</v>
          </cell>
          <cell r="R1649" t="str">
            <v>ASASI</v>
          </cell>
          <cell r="S1649" t="str">
            <v>Tech-Lab Scientific Sdn Bhd</v>
          </cell>
          <cell r="T1649" t="str">
            <v>Functioning</v>
          </cell>
          <cell r="U1649" t="str">
            <v>Asset</v>
          </cell>
          <cell r="V1649">
            <v>9500</v>
          </cell>
          <cell r="W1649" t="str">
            <v>KEW</v>
          </cell>
          <cell r="X1649" t="str">
            <v>01/09/2010</v>
          </cell>
          <cell r="Y1649" t="str">
            <v>KEW</v>
          </cell>
          <cell r="Z1649" t="str">
            <v>16/08/2013</v>
          </cell>
          <cell r="AA1649" t="str">
            <v>15/08/2015</v>
          </cell>
          <cell r="AB1649" t="str">
            <v>No</v>
          </cell>
          <cell r="AC1649" t="str">
            <v>31/08/2013</v>
          </cell>
          <cell r="AD1649" t="str">
            <v>Good</v>
          </cell>
          <cell r="AE1649" t="str">
            <v>V1 - Existing / No Claim</v>
          </cell>
          <cell r="AF1649">
            <v>42873</v>
          </cell>
          <cell r="AG1649">
            <v>9.17</v>
          </cell>
          <cell r="AH1649" t="str">
            <v>PPM</v>
          </cell>
          <cell r="AI1649" t="str">
            <v>Strands</v>
          </cell>
          <cell r="AJ1649" t="str">
            <v>Strands PW</v>
          </cell>
        </row>
        <row r="1650">
          <cell r="A1650" t="str">
            <v>IKN401581</v>
          </cell>
          <cell r="B1650">
            <v>1520</v>
          </cell>
          <cell r="C1650" t="str">
            <v>Institut Kanser Negara</v>
          </cell>
          <cell r="D1650" t="str">
            <v>KKM/IKN/H/13/714</v>
          </cell>
          <cell r="E1650" t="str">
            <v>10-263</v>
          </cell>
          <cell r="F1650" t="str">
            <v>Balances, Electronic</v>
          </cell>
          <cell r="G1650" t="str">
            <v>KT</v>
          </cell>
          <cell r="H1650" t="str">
            <v>CATERING</v>
          </cell>
          <cell r="I1650" t="str">
            <v>01KT101</v>
          </cell>
          <cell r="J1650" t="str">
            <v>RECEIVING</v>
          </cell>
          <cell r="K1650" t="str">
            <v>BMED</v>
          </cell>
          <cell r="L1650" t="str">
            <v>Normal</v>
          </cell>
          <cell r="M1650" t="str">
            <v>Malaysia</v>
          </cell>
          <cell r="N1650" t="str">
            <v>Avery</v>
          </cell>
          <cell r="O1650" t="str">
            <v>Avery E-302</v>
          </cell>
          <cell r="P1650" t="str">
            <v>A11315275</v>
          </cell>
          <cell r="Q1650" t="str">
            <v>Not Applicable</v>
          </cell>
          <cell r="R1650" t="str">
            <v>Avery Weight-Tronix</v>
          </cell>
          <cell r="S1650" t="str">
            <v>SOMERCO JAYA SDN BHD</v>
          </cell>
          <cell r="T1650" t="str">
            <v>Functioning</v>
          </cell>
          <cell r="U1650" t="str">
            <v>Asset</v>
          </cell>
          <cell r="V1650">
            <v>3380</v>
          </cell>
          <cell r="W1650" t="str">
            <v>KEW</v>
          </cell>
          <cell r="X1650" t="str">
            <v>30/08/2013</v>
          </cell>
          <cell r="Y1650" t="str">
            <v>KEW</v>
          </cell>
          <cell r="Z1650" t="str">
            <v>30/08/2013</v>
          </cell>
          <cell r="AA1650" t="str">
            <v>30/08/2015</v>
          </cell>
          <cell r="AB1650" t="str">
            <v>No</v>
          </cell>
          <cell r="AC1650" t="str">
            <v>30/08/2013</v>
          </cell>
          <cell r="AD1650" t="str">
            <v>Good</v>
          </cell>
          <cell r="AE1650" t="str">
            <v>V1 - Existing / No Claim</v>
          </cell>
          <cell r="AF1650">
            <v>42935</v>
          </cell>
          <cell r="AG1650">
            <v>6.25</v>
          </cell>
          <cell r="AH1650" t="str">
            <v>PPM</v>
          </cell>
          <cell r="AI1650" t="str">
            <v>Strands</v>
          </cell>
          <cell r="AJ1650" t="str">
            <v>Strands PW</v>
          </cell>
        </row>
        <row r="1651">
          <cell r="A1651" t="str">
            <v>IKN401630</v>
          </cell>
          <cell r="B1651">
            <v>1564</v>
          </cell>
          <cell r="C1651" t="str">
            <v>Institut Kanser Negara</v>
          </cell>
          <cell r="D1651" t="str">
            <v>KKM/IKN/H/13/4875</v>
          </cell>
          <cell r="E1651" t="str">
            <v>15-161</v>
          </cell>
          <cell r="F1651" t="str">
            <v>Mixers, Clinical Laboratory</v>
          </cell>
          <cell r="G1651" t="str">
            <v>PF</v>
          </cell>
          <cell r="H1651" t="str">
            <v>IN-PATIENT PHARMACY</v>
          </cell>
          <cell r="I1651" t="str">
            <v>05PF110</v>
          </cell>
          <cell r="J1651" t="str">
            <v>EXTERNAL PREP</v>
          </cell>
          <cell r="K1651" t="str">
            <v>BMED</v>
          </cell>
          <cell r="L1651" t="str">
            <v>Normal</v>
          </cell>
          <cell r="M1651" t="str">
            <v>Taiwan</v>
          </cell>
          <cell r="N1651" t="str">
            <v>Spar Mixer</v>
          </cell>
          <cell r="O1651" t="str">
            <v>800-C</v>
          </cell>
          <cell r="P1651" t="str">
            <v>121225N-8</v>
          </cell>
          <cell r="Q1651" t="str">
            <v>Not Applicable</v>
          </cell>
          <cell r="R1651" t="str">
            <v>SPARFOOD MACHINERY MFG. CO. LTD</v>
          </cell>
          <cell r="S1651" t="str">
            <v>Bumi Sains Sdn. Bhd</v>
          </cell>
          <cell r="T1651" t="str">
            <v>Functioning</v>
          </cell>
          <cell r="U1651" t="str">
            <v>Asset</v>
          </cell>
          <cell r="V1651">
            <v>5520</v>
          </cell>
          <cell r="W1651" t="str">
            <v>KEW</v>
          </cell>
          <cell r="X1651" t="str">
            <v>30/08/2013</v>
          </cell>
          <cell r="Y1651" t="str">
            <v>KEW</v>
          </cell>
          <cell r="Z1651" t="str">
            <v>30/08/2013</v>
          </cell>
          <cell r="AA1651" t="str">
            <v>30/08/2015</v>
          </cell>
          <cell r="AB1651" t="str">
            <v>No</v>
          </cell>
          <cell r="AC1651" t="str">
            <v>30/08/2013</v>
          </cell>
          <cell r="AD1651" t="str">
            <v>Good</v>
          </cell>
          <cell r="AE1651" t="str">
            <v>V10 - Asset in initial fee submission(new/replacement hosp)</v>
          </cell>
          <cell r="AF1651">
            <v>43013</v>
          </cell>
          <cell r="AG1651">
            <v>6.25</v>
          </cell>
          <cell r="AH1651" t="str">
            <v>PPM</v>
          </cell>
          <cell r="AI1651" t="str">
            <v>Strands</v>
          </cell>
          <cell r="AJ1651" t="str">
            <v>Strands PW</v>
          </cell>
        </row>
        <row r="1652">
          <cell r="A1652" t="str">
            <v>IKN401631</v>
          </cell>
          <cell r="B1652">
            <v>1565</v>
          </cell>
          <cell r="C1652" t="str">
            <v>Institut Kanser Negara</v>
          </cell>
          <cell r="D1652" t="str">
            <v>KKM/IKN/H/13/5300</v>
          </cell>
          <cell r="E1652" t="str">
            <v>16-262</v>
          </cell>
          <cell r="F1652" t="str">
            <v>Smoke evacuation systems, surgical</v>
          </cell>
          <cell r="G1652" t="str">
            <v>PF</v>
          </cell>
          <cell r="H1652" t="str">
            <v>IN-PATIENT PHARMACY</v>
          </cell>
          <cell r="I1652" t="str">
            <v>05PF110</v>
          </cell>
          <cell r="J1652" t="str">
            <v>EXTERNAL PREP</v>
          </cell>
          <cell r="K1652" t="str">
            <v>BMED</v>
          </cell>
          <cell r="L1652" t="str">
            <v>Normal</v>
          </cell>
          <cell r="M1652" t="str">
            <v>Canada</v>
          </cell>
          <cell r="N1652" t="str">
            <v>Enviroflex</v>
          </cell>
          <cell r="O1652" t="str">
            <v>ESE 202A-220</v>
          </cell>
          <cell r="P1652" t="str">
            <v>030613-97</v>
          </cell>
          <cell r="Q1652" t="str">
            <v>Not Applicable</v>
          </cell>
          <cell r="R1652" t="str">
            <v>ENVIROFLEX INTERNATIONAL INC</v>
          </cell>
          <cell r="S1652" t="str">
            <v>FISHER SCIENTIFIC (M) SDN. BHD.</v>
          </cell>
          <cell r="T1652" t="str">
            <v>Functioning</v>
          </cell>
          <cell r="U1652" t="str">
            <v>Asset</v>
          </cell>
          <cell r="V1652">
            <v>1450</v>
          </cell>
          <cell r="W1652" t="str">
            <v>KEW</v>
          </cell>
          <cell r="X1652" t="str">
            <v>30/08/2013</v>
          </cell>
          <cell r="Y1652" t="str">
            <v>KEW</v>
          </cell>
          <cell r="Z1652" t="str">
            <v>30/08/2013</v>
          </cell>
          <cell r="AA1652" t="str">
            <v>30/08/2015</v>
          </cell>
          <cell r="AB1652" t="str">
            <v>No</v>
          </cell>
          <cell r="AC1652" t="str">
            <v>30/08/2013</v>
          </cell>
          <cell r="AD1652" t="str">
            <v>Good</v>
          </cell>
          <cell r="AE1652" t="str">
            <v>V3 - Added Installed Facilities (New)</v>
          </cell>
          <cell r="AF1652">
            <v>43013</v>
          </cell>
          <cell r="AG1652">
            <v>6.25</v>
          </cell>
          <cell r="AH1652" t="str">
            <v>PPM</v>
          </cell>
          <cell r="AI1652" t="str">
            <v>Strands</v>
          </cell>
          <cell r="AJ1652" t="str">
            <v>Strands PW</v>
          </cell>
          <cell r="AK1652" t="str">
            <v>SNF received. 1st batch of V3 asset (December 2020)</v>
          </cell>
        </row>
        <row r="1653">
          <cell r="A1653" t="str">
            <v>IKN401632</v>
          </cell>
          <cell r="B1653">
            <v>1566</v>
          </cell>
          <cell r="C1653" t="str">
            <v>Institut Kanser Negara</v>
          </cell>
          <cell r="D1653" t="str">
            <v>KKM/IKN/H/13/5301</v>
          </cell>
          <cell r="E1653" t="str">
            <v>16-262</v>
          </cell>
          <cell r="F1653" t="str">
            <v>Smoke evacuation systems, surgical</v>
          </cell>
          <cell r="G1653" t="str">
            <v>PF</v>
          </cell>
          <cell r="H1653" t="str">
            <v>IN-PATIENT PHARMACY</v>
          </cell>
          <cell r="I1653" t="str">
            <v>05PF112</v>
          </cell>
          <cell r="J1653" t="str">
            <v>INTERNAL PREP</v>
          </cell>
          <cell r="K1653" t="str">
            <v>BMED</v>
          </cell>
          <cell r="L1653" t="str">
            <v>Normal</v>
          </cell>
          <cell r="M1653" t="str">
            <v>Canada</v>
          </cell>
          <cell r="N1653" t="str">
            <v>Enviroflex</v>
          </cell>
          <cell r="O1653" t="str">
            <v>ESE 202A-220</v>
          </cell>
          <cell r="P1653" t="str">
            <v>030613-98</v>
          </cell>
          <cell r="Q1653" t="str">
            <v>Not Applicable</v>
          </cell>
          <cell r="R1653" t="str">
            <v>ENVIROFLEX INTERNATIONAL INC</v>
          </cell>
          <cell r="S1653" t="str">
            <v>FISHER SCIENTIFIC (M) SDN. BHD.</v>
          </cell>
          <cell r="T1653" t="str">
            <v>Functioning</v>
          </cell>
          <cell r="U1653" t="str">
            <v>Asset</v>
          </cell>
          <cell r="V1653">
            <v>1450</v>
          </cell>
          <cell r="W1653" t="str">
            <v>KEW</v>
          </cell>
          <cell r="X1653" t="str">
            <v>30/08/2013</v>
          </cell>
          <cell r="Y1653" t="str">
            <v>KEW</v>
          </cell>
          <cell r="Z1653" t="str">
            <v>30/08/2013</v>
          </cell>
          <cell r="AA1653" t="str">
            <v>30/08/2015</v>
          </cell>
          <cell r="AB1653" t="str">
            <v>No</v>
          </cell>
          <cell r="AC1653" t="str">
            <v>30/08/2013</v>
          </cell>
          <cell r="AD1653" t="str">
            <v>Good</v>
          </cell>
          <cell r="AE1653" t="str">
            <v>V3 - Added Installed Facilities (New)</v>
          </cell>
          <cell r="AF1653">
            <v>43013</v>
          </cell>
          <cell r="AG1653">
            <v>6.25</v>
          </cell>
          <cell r="AH1653" t="str">
            <v>PPM</v>
          </cell>
          <cell r="AI1653" t="str">
            <v>Strands</v>
          </cell>
          <cell r="AJ1653" t="str">
            <v>Strands PW</v>
          </cell>
          <cell r="AK1653" t="str">
            <v>SNF received. 1st batch of V3 asset (December 2020)</v>
          </cell>
        </row>
        <row r="1654">
          <cell r="A1654" t="str">
            <v>IKN401656</v>
          </cell>
          <cell r="B1654">
            <v>1586</v>
          </cell>
          <cell r="C1654" t="str">
            <v>Institut Kanser Negara</v>
          </cell>
          <cell r="D1654" t="str">
            <v>KKM/IKN/H/14/82</v>
          </cell>
          <cell r="E1654" t="str">
            <v>10-263</v>
          </cell>
          <cell r="F1654" t="str">
            <v>Balances, Electronic</v>
          </cell>
          <cell r="G1654" t="str">
            <v>OT</v>
          </cell>
          <cell r="H1654" t="str">
            <v>OPERATING THEATRE</v>
          </cell>
          <cell r="I1654" t="str">
            <v>05OT120</v>
          </cell>
          <cell r="J1654" t="str">
            <v>OT 2</v>
          </cell>
          <cell r="K1654" t="str">
            <v>BMED</v>
          </cell>
          <cell r="L1654" t="str">
            <v>Normal</v>
          </cell>
          <cell r="M1654" t="str">
            <v>China</v>
          </cell>
          <cell r="N1654" t="str">
            <v>Avanue</v>
          </cell>
          <cell r="O1654" t="str">
            <v>GF-24-1200A</v>
          </cell>
          <cell r="P1654" t="str">
            <v>GR14050010</v>
          </cell>
          <cell r="Q1654" t="str">
            <v>Not Applicable</v>
          </cell>
          <cell r="R1654" t="str">
            <v>KAYING POWER SUPPLY &amp; ELECTRICAL</v>
          </cell>
          <cell r="S1654" t="str">
            <v>MNB RESOURCES</v>
          </cell>
          <cell r="T1654" t="str">
            <v>Functioning</v>
          </cell>
          <cell r="U1654" t="str">
            <v>Asset</v>
          </cell>
          <cell r="V1654">
            <v>1500</v>
          </cell>
          <cell r="W1654" t="str">
            <v>KEW</v>
          </cell>
          <cell r="X1654" t="str">
            <v>25/09/2014</v>
          </cell>
          <cell r="Y1654" t="str">
            <v>KEW</v>
          </cell>
          <cell r="Z1654" t="str">
            <v>25/09/2014</v>
          </cell>
          <cell r="AA1654" t="str">
            <v>25/09/2015</v>
          </cell>
          <cell r="AB1654" t="str">
            <v>No</v>
          </cell>
          <cell r="AC1654" t="str">
            <v>25/09/2014</v>
          </cell>
          <cell r="AD1654" t="str">
            <v>Good</v>
          </cell>
          <cell r="AE1654" t="str">
            <v>V3 - Added Installed Facilities (New)</v>
          </cell>
          <cell r="AF1654">
            <v>43405</v>
          </cell>
          <cell r="AG1654">
            <v>5.17</v>
          </cell>
          <cell r="AH1654" t="str">
            <v>PPM</v>
          </cell>
          <cell r="AI1654" t="str">
            <v>Strands</v>
          </cell>
          <cell r="AJ1654" t="str">
            <v>Strands PW</v>
          </cell>
          <cell r="AK1654" t="str">
            <v>SNF received. 1st batch of V3 asset (December 2020)</v>
          </cell>
        </row>
        <row r="1655">
          <cell r="A1655" t="str">
            <v>IKN401687</v>
          </cell>
          <cell r="B1655">
            <v>1611</v>
          </cell>
          <cell r="C1655" t="str">
            <v>Institut Kanser Negara</v>
          </cell>
          <cell r="D1655" t="e">
            <v>#N/A</v>
          </cell>
          <cell r="E1655" t="str">
            <v>15-605</v>
          </cell>
          <cell r="F1655" t="str">
            <v>Testers</v>
          </cell>
          <cell r="G1655" t="str">
            <v>RT</v>
          </cell>
          <cell r="H1655" t="str">
            <v>RADIATION TREATMENT UNIT</v>
          </cell>
          <cell r="I1655" t="str">
            <v>01RT213</v>
          </cell>
          <cell r="J1655" t="str">
            <v>EQUIPMENT ROOM1</v>
          </cell>
          <cell r="K1655" t="str">
            <v>BMED</v>
          </cell>
          <cell r="L1655" t="str">
            <v>Normal</v>
          </cell>
          <cell r="M1655" t="str">
            <v>Germany</v>
          </cell>
          <cell r="N1655" t="str">
            <v>TR300</v>
          </cell>
          <cell r="O1655" t="str">
            <v>TR300</v>
          </cell>
          <cell r="P1655" t="str">
            <v>12060008</v>
          </cell>
          <cell r="Q1655" t="str">
            <v>Not Applicable</v>
          </cell>
          <cell r="R1655" t="str">
            <v>AMPROBE</v>
          </cell>
          <cell r="S1655" t="str">
            <v>DELTA SCIENTIFIC</v>
          </cell>
          <cell r="T1655" t="str">
            <v>Functioning</v>
          </cell>
          <cell r="U1655" t="str">
            <v>Asset</v>
          </cell>
          <cell r="V1655">
            <v>1000</v>
          </cell>
          <cell r="W1655" t="str">
            <v>KEW</v>
          </cell>
          <cell r="X1655" t="str">
            <v>01/09/2010</v>
          </cell>
          <cell r="Y1655" t="str">
            <v>KEW</v>
          </cell>
          <cell r="Z1655" t="str">
            <v>16/08/2013</v>
          </cell>
          <cell r="AA1655" t="str">
            <v>15/08/2015</v>
          </cell>
          <cell r="AB1655" t="str">
            <v>No</v>
          </cell>
          <cell r="AC1655" t="str">
            <v>16/08/2013</v>
          </cell>
          <cell r="AD1655" t="str">
            <v>Good</v>
          </cell>
          <cell r="AE1655" t="str">
            <v>V10 - Asset in initial fee submission(new/replacement hosp)</v>
          </cell>
          <cell r="AF1655">
            <v>43063</v>
          </cell>
          <cell r="AG1655">
            <v>9.17</v>
          </cell>
          <cell r="AH1655" t="str">
            <v>PPM</v>
          </cell>
          <cell r="AI1655" t="str">
            <v>package</v>
          </cell>
        </row>
        <row r="1656">
          <cell r="A1656" t="str">
            <v>IKN401689</v>
          </cell>
          <cell r="B1656">
            <v>1612</v>
          </cell>
          <cell r="C1656" t="str">
            <v>Institut Kanser Negara</v>
          </cell>
          <cell r="D1656" t="str">
            <v>KKM/IKN/H/13/3212</v>
          </cell>
          <cell r="E1656" t="str">
            <v>15-605</v>
          </cell>
          <cell r="F1656" t="str">
            <v>Testers</v>
          </cell>
          <cell r="G1656" t="str">
            <v>RT</v>
          </cell>
          <cell r="H1656" t="str">
            <v>RADIATION TREATMENT UNIT</v>
          </cell>
          <cell r="I1656" t="str">
            <v>01RT213</v>
          </cell>
          <cell r="J1656" t="str">
            <v>EQUIPMENT ROOM1</v>
          </cell>
          <cell r="K1656" t="str">
            <v>BMED</v>
          </cell>
          <cell r="L1656" t="str">
            <v>Normal</v>
          </cell>
          <cell r="M1656" t="str">
            <v>USA</v>
          </cell>
          <cell r="N1656" t="str">
            <v>SUPERMAX</v>
          </cell>
          <cell r="O1656" t="str">
            <v>SUPERMAX</v>
          </cell>
          <cell r="P1656" t="str">
            <v>P123102</v>
          </cell>
          <cell r="Q1656" t="str">
            <v>Not Applicable</v>
          </cell>
          <cell r="R1656" t="str">
            <v>STANDARD IMAGING</v>
          </cell>
          <cell r="S1656" t="str">
            <v>DELTA ADVANTECH (M) SDN. BHD.</v>
          </cell>
          <cell r="T1656" t="str">
            <v>Functioning</v>
          </cell>
          <cell r="U1656" t="str">
            <v>Asset</v>
          </cell>
          <cell r="V1656">
            <v>48000</v>
          </cell>
          <cell r="W1656" t="str">
            <v>KEW</v>
          </cell>
          <cell r="X1656" t="str">
            <v>01/09/2010</v>
          </cell>
          <cell r="Y1656" t="str">
            <v>KEW</v>
          </cell>
          <cell r="Z1656" t="str">
            <v>16/08/2013</v>
          </cell>
          <cell r="AA1656" t="str">
            <v>15/08/2015</v>
          </cell>
          <cell r="AB1656" t="str">
            <v>No</v>
          </cell>
          <cell r="AC1656" t="str">
            <v>16/08/2013</v>
          </cell>
          <cell r="AD1656" t="str">
            <v>Good</v>
          </cell>
          <cell r="AE1656" t="str">
            <v>V10 - Asset in initial fee submission(new/replacement hosp)</v>
          </cell>
          <cell r="AF1656">
            <v>43109</v>
          </cell>
          <cell r="AG1656">
            <v>9.17</v>
          </cell>
          <cell r="AH1656" t="str">
            <v>PPM</v>
          </cell>
          <cell r="AI1656" t="str">
            <v>package</v>
          </cell>
          <cell r="AJ1656" t="str">
            <v>Strands Package</v>
          </cell>
          <cell r="AK1656" t="str">
            <v>KEWPA WITH IKN401215. Package Code XL0110.</v>
          </cell>
        </row>
        <row r="1657">
          <cell r="A1657" t="str">
            <v>IKN401690</v>
          </cell>
          <cell r="B1657">
            <v>1613</v>
          </cell>
          <cell r="C1657" t="str">
            <v>Institut Kanser Negara</v>
          </cell>
          <cell r="D1657" t="str">
            <v>KKM/IKN/H/13/4952</v>
          </cell>
          <cell r="E1657" t="str">
            <v>15-605</v>
          </cell>
          <cell r="F1657" t="str">
            <v>Testers</v>
          </cell>
          <cell r="G1657" t="str">
            <v>RT</v>
          </cell>
          <cell r="H1657" t="str">
            <v>RADIATION TREATMENT UNIT</v>
          </cell>
          <cell r="I1657" t="str">
            <v>01RT213</v>
          </cell>
          <cell r="J1657" t="str">
            <v>EQUIPMENT ROOM1</v>
          </cell>
          <cell r="K1657" t="str">
            <v>BMED</v>
          </cell>
          <cell r="L1657" t="str">
            <v>Normal</v>
          </cell>
          <cell r="M1657" t="str">
            <v>USA</v>
          </cell>
          <cell r="N1657" t="str">
            <v>SUPERMAX</v>
          </cell>
          <cell r="O1657" t="str">
            <v>SUPERMAX</v>
          </cell>
          <cell r="P1657" t="str">
            <v>P123101</v>
          </cell>
          <cell r="Q1657" t="str">
            <v>Not Applicable</v>
          </cell>
          <cell r="R1657" t="str">
            <v>STANDARD IMAGING</v>
          </cell>
          <cell r="S1657" t="str">
            <v>DELTA ADVANTECH (M) SDN. BHD.</v>
          </cell>
          <cell r="T1657" t="str">
            <v>Functioning</v>
          </cell>
          <cell r="U1657" t="str">
            <v>Asset</v>
          </cell>
          <cell r="V1657">
            <v>48000</v>
          </cell>
          <cell r="W1657" t="str">
            <v>KEW</v>
          </cell>
          <cell r="X1657" t="str">
            <v>01/09/2010</v>
          </cell>
          <cell r="Y1657" t="str">
            <v>KEW</v>
          </cell>
          <cell r="Z1657" t="str">
            <v>16/08/2013</v>
          </cell>
          <cell r="AA1657" t="str">
            <v>15/08/2015</v>
          </cell>
          <cell r="AB1657" t="str">
            <v>No</v>
          </cell>
          <cell r="AC1657" t="str">
            <v>16/08/2013</v>
          </cell>
          <cell r="AD1657" t="str">
            <v>Good</v>
          </cell>
          <cell r="AE1657" t="str">
            <v>V3 - Added Installed Facilities (New)</v>
          </cell>
          <cell r="AF1657">
            <v>43109</v>
          </cell>
          <cell r="AG1657">
            <v>9.17</v>
          </cell>
          <cell r="AH1657" t="str">
            <v>PPM</v>
          </cell>
          <cell r="AI1657" t="str">
            <v>Strands</v>
          </cell>
          <cell r="AJ1657" t="str">
            <v>Strands PW</v>
          </cell>
          <cell r="AK1657" t="str">
            <v>SNF received. 1st batch of V3 asset (December 2020)</v>
          </cell>
        </row>
        <row r="1658">
          <cell r="A1658" t="str">
            <v>IKN401691</v>
          </cell>
          <cell r="B1658">
            <v>1614</v>
          </cell>
          <cell r="C1658" t="str">
            <v>Institut Kanser Negara</v>
          </cell>
          <cell r="D1658" t="str">
            <v>KKM/IKN/H/13/2865</v>
          </cell>
          <cell r="E1658" t="str">
            <v>13-461</v>
          </cell>
          <cell r="F1658" t="str">
            <v>Scales, Patient, Floor</v>
          </cell>
          <cell r="G1658" t="str">
            <v>HP</v>
          </cell>
          <cell r="H1658" t="str">
            <v>HEALTH PROMO &amp; CANCER UNIT</v>
          </cell>
          <cell r="I1658" t="str">
            <v>04HP103</v>
          </cell>
          <cell r="J1658" t="str">
            <v>COUNSELLING</v>
          </cell>
          <cell r="K1658" t="str">
            <v>BMED</v>
          </cell>
          <cell r="L1658" t="str">
            <v>Normal</v>
          </cell>
          <cell r="M1658" t="str">
            <v>Japan</v>
          </cell>
          <cell r="N1658" t="str">
            <v>Seca</v>
          </cell>
          <cell r="O1658" t="str">
            <v>Seca 769/220</v>
          </cell>
          <cell r="P1658" t="str">
            <v>5769177136669</v>
          </cell>
          <cell r="Q1658" t="str">
            <v>Not Applicable</v>
          </cell>
          <cell r="R1658" t="str">
            <v>Seca Ag</v>
          </cell>
          <cell r="S1658" t="str">
            <v>JOAT RESOURCES SDN BHD</v>
          </cell>
          <cell r="T1658" t="str">
            <v>Functioning</v>
          </cell>
          <cell r="U1658" t="str">
            <v>Asset</v>
          </cell>
          <cell r="V1658">
            <v>3300</v>
          </cell>
          <cell r="W1658" t="str">
            <v>KEW</v>
          </cell>
          <cell r="X1658" t="str">
            <v>05/12/2013</v>
          </cell>
          <cell r="Y1658" t="str">
            <v>KEW</v>
          </cell>
          <cell r="Z1658" t="str">
            <v>09/06/2014</v>
          </cell>
          <cell r="AA1658" t="str">
            <v>09/06/2015</v>
          </cell>
          <cell r="AB1658" t="str">
            <v>No</v>
          </cell>
          <cell r="AC1658" t="str">
            <v>09/06/2014</v>
          </cell>
          <cell r="AD1658" t="str">
            <v>Good</v>
          </cell>
          <cell r="AE1658" t="str">
            <v>V3 - Added Installed Facilities (New)</v>
          </cell>
          <cell r="AF1658">
            <v>43447</v>
          </cell>
          <cell r="AG1658">
            <v>5.92</v>
          </cell>
          <cell r="AH1658" t="str">
            <v>PPM</v>
          </cell>
          <cell r="AI1658" t="str">
            <v>Strands</v>
          </cell>
          <cell r="AJ1658" t="str">
            <v>Strands PW</v>
          </cell>
          <cell r="AK1658" t="str">
            <v>SNF received. 1st batch of V3 asset (December 2020). In contract, IKN401470, Location: HP.</v>
          </cell>
        </row>
        <row r="1659">
          <cell r="A1659" t="str">
            <v>IKN401692</v>
          </cell>
          <cell r="B1659">
            <v>1615</v>
          </cell>
          <cell r="C1659" t="str">
            <v>Institut Kanser Negara</v>
          </cell>
          <cell r="D1659" t="str">
            <v>KKM/IKN/H/13/4470 - 07</v>
          </cell>
          <cell r="E1659" t="str">
            <v>15-605</v>
          </cell>
          <cell r="F1659" t="str">
            <v>Testers</v>
          </cell>
          <cell r="G1659" t="str">
            <v>RT</v>
          </cell>
          <cell r="H1659" t="str">
            <v>RADIATION TREATMENT UNIT</v>
          </cell>
          <cell r="I1659" t="str">
            <v>01RT213</v>
          </cell>
          <cell r="J1659" t="str">
            <v>EQUIPMENT ROOM1</v>
          </cell>
          <cell r="K1659" t="str">
            <v>BMED</v>
          </cell>
          <cell r="L1659" t="str">
            <v>Normal</v>
          </cell>
          <cell r="M1659" t="str">
            <v>Germany</v>
          </cell>
          <cell r="N1659" t="str">
            <v>PTW</v>
          </cell>
          <cell r="O1659" t="str">
            <v>OCTAVIUS DETECTOR 729</v>
          </cell>
          <cell r="P1659" t="str">
            <v>000453</v>
          </cell>
          <cell r="Q1659" t="str">
            <v>Not Applicable</v>
          </cell>
          <cell r="R1659" t="str">
            <v>PTW</v>
          </cell>
          <cell r="S1659" t="str">
            <v>ABEX MEDICAL SYSTEM SDN BHD</v>
          </cell>
          <cell r="T1659" t="str">
            <v>Functioning</v>
          </cell>
          <cell r="U1659" t="str">
            <v>Asset</v>
          </cell>
          <cell r="V1659">
            <v>30000</v>
          </cell>
          <cell r="W1659" t="str">
            <v>KEW</v>
          </cell>
          <cell r="X1659" t="str">
            <v>01/09/2010</v>
          </cell>
          <cell r="Y1659" t="str">
            <v>KEW</v>
          </cell>
          <cell r="Z1659" t="str">
            <v>16/08/2013</v>
          </cell>
          <cell r="AA1659" t="str">
            <v>15/08/2015</v>
          </cell>
          <cell r="AB1659" t="str">
            <v>No</v>
          </cell>
          <cell r="AC1659" t="str">
            <v>16/08/2013</v>
          </cell>
          <cell r="AD1659" t="str">
            <v>Good</v>
          </cell>
          <cell r="AE1659" t="str">
            <v>V10 - Asset in initial fee submission(new/replacement hosp)</v>
          </cell>
          <cell r="AF1659">
            <v>43195</v>
          </cell>
          <cell r="AG1659">
            <v>9.17</v>
          </cell>
          <cell r="AH1659" t="str">
            <v>PPM</v>
          </cell>
          <cell r="AI1659" t="str">
            <v>package</v>
          </cell>
          <cell r="AJ1659" t="str">
            <v>Strands Package</v>
          </cell>
          <cell r="AK1659" t="str">
            <v>Package XM0002. [31/5/2024, SHARIFAH]: UPDATE BRAND &amp; MODEL</v>
          </cell>
        </row>
        <row r="1660">
          <cell r="A1660" t="str">
            <v>IKN401693</v>
          </cell>
          <cell r="B1660">
            <v>1616</v>
          </cell>
          <cell r="C1660" t="str">
            <v>Institut Kanser Negara</v>
          </cell>
          <cell r="D1660" t="str">
            <v>KKM/IKN/H/13/4471 - 05</v>
          </cell>
          <cell r="E1660" t="str">
            <v>15-605</v>
          </cell>
          <cell r="F1660" t="str">
            <v>Testers</v>
          </cell>
          <cell r="G1660" t="str">
            <v>RT</v>
          </cell>
          <cell r="H1660" t="str">
            <v>RADIATION TREATMENT UNIT</v>
          </cell>
          <cell r="I1660" t="str">
            <v>01RT213</v>
          </cell>
          <cell r="J1660" t="str">
            <v>EQUIPMENT ROOM1</v>
          </cell>
          <cell r="K1660" t="str">
            <v>BMED</v>
          </cell>
          <cell r="L1660" t="str">
            <v>Normal</v>
          </cell>
          <cell r="M1660" t="str">
            <v>Germany</v>
          </cell>
          <cell r="N1660" t="str">
            <v>PTW</v>
          </cell>
          <cell r="O1660" t="str">
            <v>OCTAVIUS DETECTOR 729</v>
          </cell>
          <cell r="P1660" t="str">
            <v>000454</v>
          </cell>
          <cell r="Q1660" t="str">
            <v>Not Applicable</v>
          </cell>
          <cell r="R1660" t="str">
            <v>PTW</v>
          </cell>
          <cell r="S1660" t="str">
            <v>ABEX MEDICAL SYSTEM SDN BHD</v>
          </cell>
          <cell r="T1660" t="str">
            <v>Functioning</v>
          </cell>
          <cell r="U1660" t="str">
            <v>Asset</v>
          </cell>
          <cell r="V1660">
            <v>30000</v>
          </cell>
          <cell r="W1660" t="str">
            <v>KEW</v>
          </cell>
          <cell r="X1660" t="str">
            <v>01/09/2010</v>
          </cell>
          <cell r="Y1660" t="str">
            <v>KEW</v>
          </cell>
          <cell r="Z1660" t="str">
            <v>16/08/2013</v>
          </cell>
          <cell r="AA1660" t="str">
            <v>15/08/2015</v>
          </cell>
          <cell r="AB1660" t="str">
            <v>No</v>
          </cell>
          <cell r="AC1660" t="str">
            <v>31/08/2013</v>
          </cell>
          <cell r="AD1660" t="str">
            <v>Good</v>
          </cell>
          <cell r="AE1660" t="str">
            <v>V10 - Asset in initial fee submission(new/replacement hosp)</v>
          </cell>
          <cell r="AF1660">
            <v>43195</v>
          </cell>
          <cell r="AG1660">
            <v>9.17</v>
          </cell>
          <cell r="AH1660" t="str">
            <v>PPM</v>
          </cell>
          <cell r="AI1660" t="str">
            <v>package</v>
          </cell>
          <cell r="AJ1660" t="str">
            <v>Strands Package</v>
          </cell>
          <cell r="AK1660" t="str">
            <v>Package XM0002. [31/5/2024, SHARIFAH]: UPDATE BRAND &amp; MODEL</v>
          </cell>
        </row>
        <row r="1661">
          <cell r="A1661" t="str">
            <v>IKN401694</v>
          </cell>
          <cell r="B1661">
            <v>1617</v>
          </cell>
          <cell r="C1661" t="str">
            <v>Institut Kanser Negara</v>
          </cell>
          <cell r="D1661" t="str">
            <v>KKM/IKN/H/13/5296</v>
          </cell>
          <cell r="E1661" t="str">
            <v>16-340</v>
          </cell>
          <cell r="F1661" t="str">
            <v>Cast Cutters, Electric</v>
          </cell>
          <cell r="G1661" t="str">
            <v>RT</v>
          </cell>
          <cell r="H1661" t="str">
            <v>RADIATION TREATMENT UNIT</v>
          </cell>
          <cell r="I1661" t="str">
            <v>01RT193</v>
          </cell>
          <cell r="J1661" t="str">
            <v>MOULD ROOM 1</v>
          </cell>
          <cell r="K1661" t="str">
            <v>BMED</v>
          </cell>
          <cell r="L1661" t="str">
            <v>Normal</v>
          </cell>
          <cell r="M1661" t="str">
            <v>GERMANY</v>
          </cell>
          <cell r="N1661" t="str">
            <v>HEK-A2D</v>
          </cell>
          <cell r="O1661" t="str">
            <v>HEKA2D</v>
          </cell>
          <cell r="P1661" t="str">
            <v>200027</v>
          </cell>
          <cell r="Q1661" t="str">
            <v>Not Applicable</v>
          </cell>
          <cell r="R1661" t="str">
            <v>HEKMEDIKAL</v>
          </cell>
          <cell r="S1661" t="str">
            <v>DELTA ADVANTECH (M) SDN. BHD.</v>
          </cell>
          <cell r="T1661" t="str">
            <v>Functioning</v>
          </cell>
          <cell r="U1661" t="str">
            <v>Asset</v>
          </cell>
          <cell r="V1661">
            <v>435480</v>
          </cell>
          <cell r="W1661" t="str">
            <v>KEW</v>
          </cell>
          <cell r="X1661" t="str">
            <v>01/09/2010</v>
          </cell>
          <cell r="Y1661" t="str">
            <v>KEW</v>
          </cell>
          <cell r="Z1661" t="str">
            <v>16/08/2013</v>
          </cell>
          <cell r="AA1661" t="str">
            <v>15/08/2015</v>
          </cell>
          <cell r="AB1661" t="str">
            <v>No</v>
          </cell>
          <cell r="AC1661" t="str">
            <v>16/08/2013</v>
          </cell>
          <cell r="AD1661" t="str">
            <v>Good</v>
          </cell>
          <cell r="AE1661" t="str">
            <v>V10 - Asset in initial fee submission(new/replacement hosp)</v>
          </cell>
          <cell r="AF1661">
            <v>43284</v>
          </cell>
          <cell r="AG1661">
            <v>9.17</v>
          </cell>
          <cell r="AH1661" t="str">
            <v>PPM</v>
          </cell>
          <cell r="AI1661" t="str">
            <v>Strands</v>
          </cell>
          <cell r="AJ1661" t="str">
            <v>Strands PW</v>
          </cell>
        </row>
        <row r="1662">
          <cell r="A1662" t="str">
            <v>IKN401695</v>
          </cell>
          <cell r="B1662">
            <v>1618</v>
          </cell>
          <cell r="C1662" t="str">
            <v>Institut Kanser Negara</v>
          </cell>
          <cell r="D1662" t="str">
            <v>N/A</v>
          </cell>
          <cell r="E1662" t="str">
            <v>88-021</v>
          </cell>
          <cell r="F1662" t="str">
            <v>Radiochemistry, Dispenser, Radiopharmaceuticals</v>
          </cell>
          <cell r="G1662" t="str">
            <v>NM</v>
          </cell>
          <cell r="H1662" t="str">
            <v>NUCLEAR MED (DIAGNOSTIC)</v>
          </cell>
          <cell r="I1662" t="str">
            <v>03NM133</v>
          </cell>
          <cell r="J1662" t="str">
            <v>RADIODINE DISPENSING (-VE)</v>
          </cell>
          <cell r="K1662" t="str">
            <v>BMED</v>
          </cell>
          <cell r="L1662" t="str">
            <v>Normal</v>
          </cell>
          <cell r="M1662" t="str">
            <v>UK</v>
          </cell>
          <cell r="N1662" t="str">
            <v>Amercare</v>
          </cell>
          <cell r="O1662" t="str">
            <v>Amercare ADD Mk 3</v>
          </cell>
          <cell r="P1662" t="str">
            <v>A1038</v>
          </cell>
          <cell r="Q1662" t="str">
            <v>Not Applicable</v>
          </cell>
          <cell r="R1662" t="str">
            <v>Amercare Ltd</v>
          </cell>
          <cell r="S1662" t="str">
            <v>CLEANZONES (M) SDN BHD</v>
          </cell>
          <cell r="T1662" t="str">
            <v>Functioning</v>
          </cell>
          <cell r="U1662" t="str">
            <v>Asset</v>
          </cell>
          <cell r="V1662">
            <v>368850</v>
          </cell>
          <cell r="W1662" t="str">
            <v>KEW</v>
          </cell>
          <cell r="X1662" t="str">
            <v>01/09/2010</v>
          </cell>
          <cell r="Y1662" t="str">
            <v>KEW</v>
          </cell>
          <cell r="Z1662" t="str">
            <v>16/08/2013</v>
          </cell>
          <cell r="AA1662" t="str">
            <v>15/08/2015</v>
          </cell>
          <cell r="AB1662" t="str">
            <v>No</v>
          </cell>
          <cell r="AC1662" t="str">
            <v>16/08/2013</v>
          </cell>
          <cell r="AD1662" t="str">
            <v>Good</v>
          </cell>
          <cell r="AE1662" t="str">
            <v>V10 - Asset in initial fee submission(new/replacement hosp)</v>
          </cell>
          <cell r="AF1662">
            <v>43214</v>
          </cell>
          <cell r="AG1662">
            <v>9.17</v>
          </cell>
          <cell r="AH1662" t="str">
            <v>PPM</v>
          </cell>
          <cell r="AI1662" t="str">
            <v>Strands</v>
          </cell>
          <cell r="AJ1662" t="str">
            <v>Strands Package</v>
          </cell>
          <cell r="AK1662" t="str">
            <v>Package Code XL0008A</v>
          </cell>
        </row>
        <row r="1663">
          <cell r="A1663" t="str">
            <v>IKN401698</v>
          </cell>
          <cell r="B1663">
            <v>1620</v>
          </cell>
          <cell r="C1663" t="str">
            <v>Institut Kanser Negara</v>
          </cell>
          <cell r="D1663" t="str">
            <v>KKM/IKN/H/18/21</v>
          </cell>
          <cell r="E1663" t="str">
            <v>15-577</v>
          </cell>
          <cell r="F1663" t="str">
            <v>Dynamometers</v>
          </cell>
          <cell r="G1663" t="str">
            <v>DU</v>
          </cell>
          <cell r="H1663" t="str">
            <v>DIETICIAN UNIT</v>
          </cell>
          <cell r="I1663" t="str">
            <v>03DU102</v>
          </cell>
          <cell r="J1663" t="str">
            <v>RECEPTION</v>
          </cell>
          <cell r="K1663" t="str">
            <v>BMED</v>
          </cell>
          <cell r="L1663" t="str">
            <v>Normal</v>
          </cell>
          <cell r="M1663" t="str">
            <v>CHINA</v>
          </cell>
          <cell r="N1663" t="str">
            <v>JAMAR PLUS</v>
          </cell>
          <cell r="O1663">
            <v>563213</v>
          </cell>
          <cell r="P1663">
            <v>2016010972</v>
          </cell>
          <cell r="Q1663" t="str">
            <v>Not Applicable</v>
          </cell>
          <cell r="R1663" t="str">
            <v>PATERSON MEDICAL</v>
          </cell>
          <cell r="S1663" t="str">
            <v>SCIENFIELD EXPERTISE PLT</v>
          </cell>
          <cell r="T1663" t="str">
            <v>Functioning</v>
          </cell>
          <cell r="U1663" t="str">
            <v>Asset</v>
          </cell>
          <cell r="V1663">
            <v>2298</v>
          </cell>
          <cell r="W1663" t="str">
            <v>KEW</v>
          </cell>
          <cell r="X1663" t="str">
            <v>23/10/2018</v>
          </cell>
          <cell r="Y1663" t="str">
            <v>KEW</v>
          </cell>
          <cell r="Z1663" t="str">
            <v>28/02/2019</v>
          </cell>
          <cell r="AA1663" t="str">
            <v>27/02/2020</v>
          </cell>
          <cell r="AB1663" t="str">
            <v>No</v>
          </cell>
          <cell r="AC1663" t="str">
            <v>28/02/2019</v>
          </cell>
          <cell r="AD1663" t="str">
            <v>Good</v>
          </cell>
          <cell r="AE1663" t="str">
            <v>V3 - Added Installed Facilities (New)</v>
          </cell>
          <cell r="AF1663">
            <v>43658</v>
          </cell>
          <cell r="AG1663">
            <v>1.08</v>
          </cell>
          <cell r="AH1663" t="str">
            <v>PPM</v>
          </cell>
          <cell r="AI1663" t="str">
            <v>Strands</v>
          </cell>
          <cell r="AJ1663" t="str">
            <v>Strands PW</v>
          </cell>
          <cell r="AK1663" t="str">
            <v>SNF received. 1st batch of V3 asset (December 2020)</v>
          </cell>
        </row>
        <row r="1664">
          <cell r="A1664" t="str">
            <v>IKN401700</v>
          </cell>
          <cell r="B1664">
            <v>1621</v>
          </cell>
          <cell r="C1664" t="str">
            <v>Institut Kanser Negara</v>
          </cell>
          <cell r="D1664" t="str">
            <v>KKM/IKN/H/18/5</v>
          </cell>
          <cell r="E1664" t="str">
            <v>13-215</v>
          </cell>
          <cell r="F1664" t="str">
            <v>Infusion Pumps, General-Purpose</v>
          </cell>
          <cell r="G1664" t="str">
            <v>WE</v>
          </cell>
          <cell r="H1664" t="str">
            <v>RT/ONCO WARD 1 (F)</v>
          </cell>
          <cell r="I1664" t="str">
            <v>07WE113</v>
          </cell>
          <cell r="J1664" t="str">
            <v>EQUIPMENT ROOM</v>
          </cell>
          <cell r="K1664" t="str">
            <v>BMED</v>
          </cell>
          <cell r="L1664" t="str">
            <v>Critical</v>
          </cell>
          <cell r="M1664" t="str">
            <v>Germany</v>
          </cell>
          <cell r="N1664" t="str">
            <v>Infusomat</v>
          </cell>
          <cell r="O1664" t="str">
            <v>Infusomat Space</v>
          </cell>
          <cell r="P1664" t="str">
            <v>512835</v>
          </cell>
          <cell r="Q1664" t="str">
            <v>Not Applicable</v>
          </cell>
          <cell r="R1664" t="str">
            <v>B Braun Melsungen AG</v>
          </cell>
          <cell r="S1664" t="str">
            <v>B Braun Medical Supplies Sdn. Bhd.</v>
          </cell>
          <cell r="T1664" t="str">
            <v>Functioning</v>
          </cell>
          <cell r="U1664" t="str">
            <v>Asset</v>
          </cell>
          <cell r="V1664">
            <v>5800</v>
          </cell>
          <cell r="W1664" t="str">
            <v>KEW</v>
          </cell>
          <cell r="X1664" t="str">
            <v>31/07/2018</v>
          </cell>
          <cell r="Y1664" t="str">
            <v>KEW</v>
          </cell>
          <cell r="Z1664" t="str">
            <v>05/09/2018</v>
          </cell>
          <cell r="AA1664" t="str">
            <v>04/09/2020</v>
          </cell>
          <cell r="AB1664" t="str">
            <v>No</v>
          </cell>
          <cell r="AC1664" t="str">
            <v>05/09/2018</v>
          </cell>
          <cell r="AD1664" t="str">
            <v>Good</v>
          </cell>
          <cell r="AE1664" t="str">
            <v>V3 - Added Installed Facilities (New)</v>
          </cell>
          <cell r="AF1664">
            <v>43385</v>
          </cell>
          <cell r="AG1664">
            <v>1.33</v>
          </cell>
          <cell r="AH1664" t="str">
            <v>PPM</v>
          </cell>
          <cell r="AI1664" t="str">
            <v>Strands</v>
          </cell>
          <cell r="AJ1664" t="str">
            <v>Strands PW</v>
          </cell>
        </row>
        <row r="1665">
          <cell r="A1665" t="str">
            <v>IKN401701</v>
          </cell>
          <cell r="B1665">
            <v>1622</v>
          </cell>
          <cell r="C1665" t="str">
            <v>Institut Kanser Negara</v>
          </cell>
          <cell r="D1665" t="str">
            <v>KKM/IKN/H/18/1</v>
          </cell>
          <cell r="E1665" t="str">
            <v>13-215</v>
          </cell>
          <cell r="F1665" t="str">
            <v>Infusion Pumps, General-Purpose</v>
          </cell>
          <cell r="G1665" t="str">
            <v>WH</v>
          </cell>
          <cell r="H1665" t="str">
            <v>RT/ONCO WARD 2 (M)</v>
          </cell>
          <cell r="I1665" t="str">
            <v>08WH121</v>
          </cell>
          <cell r="J1665" t="str">
            <v>EQUIPMENT ROOM</v>
          </cell>
          <cell r="K1665" t="str">
            <v>BMED</v>
          </cell>
          <cell r="L1665" t="str">
            <v>Critical</v>
          </cell>
          <cell r="M1665" t="str">
            <v>Germany</v>
          </cell>
          <cell r="N1665" t="str">
            <v>Infusomat</v>
          </cell>
          <cell r="O1665" t="str">
            <v>Infusomat Space</v>
          </cell>
          <cell r="P1665" t="str">
            <v>512807</v>
          </cell>
          <cell r="Q1665" t="str">
            <v>Not Applicable</v>
          </cell>
          <cell r="R1665" t="str">
            <v>B Braun Melsungen AG</v>
          </cell>
          <cell r="S1665" t="str">
            <v>B Braun Medical Supplies Sdn. Bhd.</v>
          </cell>
          <cell r="T1665" t="str">
            <v>Functioning</v>
          </cell>
          <cell r="U1665" t="str">
            <v>Asset</v>
          </cell>
          <cell r="V1665">
            <v>5800</v>
          </cell>
          <cell r="W1665" t="str">
            <v>KEW</v>
          </cell>
          <cell r="X1665" t="str">
            <v>31/07/2018</v>
          </cell>
          <cell r="Y1665" t="str">
            <v>KEW</v>
          </cell>
          <cell r="Z1665" t="str">
            <v>05/09/2018</v>
          </cell>
          <cell r="AA1665" t="str">
            <v>04/09/2020</v>
          </cell>
          <cell r="AB1665" t="str">
            <v>No</v>
          </cell>
          <cell r="AC1665" t="str">
            <v>05/09/2018</v>
          </cell>
          <cell r="AD1665" t="str">
            <v>Good</v>
          </cell>
          <cell r="AE1665" t="str">
            <v>V3 - Added Installed Facilities (New)</v>
          </cell>
          <cell r="AF1665">
            <v>43385</v>
          </cell>
          <cell r="AG1665">
            <v>1.33</v>
          </cell>
          <cell r="AH1665" t="str">
            <v>PPM</v>
          </cell>
          <cell r="AI1665" t="str">
            <v>Strands</v>
          </cell>
          <cell r="AJ1665" t="str">
            <v>Strands PW</v>
          </cell>
        </row>
        <row r="1666">
          <cell r="A1666" t="str">
            <v>IKN401702</v>
          </cell>
          <cell r="B1666">
            <v>1623</v>
          </cell>
          <cell r="C1666" t="str">
            <v>Institut Kanser Negara</v>
          </cell>
          <cell r="D1666" t="str">
            <v>KKM/IKN/H/18/2</v>
          </cell>
          <cell r="E1666" t="str">
            <v>13-215</v>
          </cell>
          <cell r="F1666" t="str">
            <v>Infusion Pumps, General-Purpose</v>
          </cell>
          <cell r="G1666" t="str">
            <v>WD</v>
          </cell>
          <cell r="H1666" t="str">
            <v>RT/ONCO PAED/ADOLESCENT WARD</v>
          </cell>
          <cell r="I1666" t="str">
            <v>06WD153</v>
          </cell>
          <cell r="J1666" t="str">
            <v>EQP.ROOM</v>
          </cell>
          <cell r="K1666" t="str">
            <v>BMED</v>
          </cell>
          <cell r="L1666" t="str">
            <v>Critical</v>
          </cell>
          <cell r="M1666" t="str">
            <v>Germany</v>
          </cell>
          <cell r="N1666" t="str">
            <v>Infusomat</v>
          </cell>
          <cell r="O1666" t="str">
            <v>Infusomat Space</v>
          </cell>
          <cell r="P1666" t="str">
            <v>512814</v>
          </cell>
          <cell r="Q1666" t="str">
            <v>Not Applicable</v>
          </cell>
          <cell r="R1666" t="str">
            <v>B Braun Melsungen AG</v>
          </cell>
          <cell r="S1666" t="str">
            <v>B Braun Medical Supplies Sdn. Bhd.</v>
          </cell>
          <cell r="T1666" t="str">
            <v>Functioning</v>
          </cell>
          <cell r="U1666" t="str">
            <v>Asset</v>
          </cell>
          <cell r="V1666">
            <v>5800</v>
          </cell>
          <cell r="W1666" t="str">
            <v>KEW</v>
          </cell>
          <cell r="X1666" t="str">
            <v>31/07/2018</v>
          </cell>
          <cell r="Y1666" t="str">
            <v>KEW</v>
          </cell>
          <cell r="Z1666" t="str">
            <v>05/09/2018</v>
          </cell>
          <cell r="AA1666" t="str">
            <v>04/09/2020</v>
          </cell>
          <cell r="AB1666" t="str">
            <v>No</v>
          </cell>
          <cell r="AC1666" t="str">
            <v>05/09/2018</v>
          </cell>
          <cell r="AD1666" t="str">
            <v>Good</v>
          </cell>
          <cell r="AE1666" t="str">
            <v>V3 - Added Installed Facilities (New)</v>
          </cell>
          <cell r="AF1666">
            <v>43385</v>
          </cell>
          <cell r="AG1666">
            <v>1.33</v>
          </cell>
          <cell r="AH1666" t="str">
            <v>PPM</v>
          </cell>
          <cell r="AI1666" t="str">
            <v>Strands</v>
          </cell>
          <cell r="AJ1666" t="str">
            <v>Strands PW</v>
          </cell>
        </row>
        <row r="1667">
          <cell r="A1667" t="str">
            <v>IKN401703</v>
          </cell>
          <cell r="B1667">
            <v>1624</v>
          </cell>
          <cell r="C1667" t="str">
            <v>Institut Kanser Negara</v>
          </cell>
          <cell r="D1667" t="str">
            <v>KKM/IKN/H/18/3</v>
          </cell>
          <cell r="E1667" t="str">
            <v>13-215</v>
          </cell>
          <cell r="F1667" t="str">
            <v>Infusion Pumps, General-Purpose</v>
          </cell>
          <cell r="G1667" t="str">
            <v>WG</v>
          </cell>
          <cell r="H1667" t="str">
            <v>RT/ONCO WARD 1 (M)</v>
          </cell>
          <cell r="I1667" t="str">
            <v>08WG113</v>
          </cell>
          <cell r="J1667" t="str">
            <v>EQUIPMENT ROOM</v>
          </cell>
          <cell r="K1667" t="str">
            <v>BMED</v>
          </cell>
          <cell r="L1667" t="str">
            <v>Critical</v>
          </cell>
          <cell r="M1667" t="str">
            <v>Germany</v>
          </cell>
          <cell r="N1667" t="str">
            <v>Infusomat</v>
          </cell>
          <cell r="O1667" t="str">
            <v>Infusomat Space</v>
          </cell>
          <cell r="P1667" t="str">
            <v>512819</v>
          </cell>
          <cell r="Q1667" t="str">
            <v>Not Applicable</v>
          </cell>
          <cell r="R1667" t="str">
            <v>B Braun Melsungen AG</v>
          </cell>
          <cell r="S1667" t="str">
            <v>B Braun Medical Supplies Sdn. Bhd.</v>
          </cell>
          <cell r="T1667" t="str">
            <v>Functioning</v>
          </cell>
          <cell r="U1667" t="str">
            <v>Asset</v>
          </cell>
          <cell r="V1667">
            <v>5800</v>
          </cell>
          <cell r="W1667" t="str">
            <v>KEW</v>
          </cell>
          <cell r="X1667" t="str">
            <v>31/07/2018</v>
          </cell>
          <cell r="Y1667" t="str">
            <v>KEW</v>
          </cell>
          <cell r="Z1667" t="str">
            <v>05/09/2018</v>
          </cell>
          <cell r="AA1667" t="str">
            <v>04/09/2020</v>
          </cell>
          <cell r="AB1667" t="str">
            <v>No</v>
          </cell>
          <cell r="AC1667" t="str">
            <v>05/09/2018</v>
          </cell>
          <cell r="AD1667" t="str">
            <v>Good</v>
          </cell>
          <cell r="AE1667" t="str">
            <v>V3 - Added Installed Facilities (New)</v>
          </cell>
          <cell r="AF1667">
            <v>43385</v>
          </cell>
          <cell r="AG1667">
            <v>1.33</v>
          </cell>
          <cell r="AH1667" t="str">
            <v>PPM</v>
          </cell>
          <cell r="AI1667" t="str">
            <v>Strands</v>
          </cell>
          <cell r="AJ1667" t="str">
            <v>Strands PW</v>
          </cell>
        </row>
        <row r="1668">
          <cell r="A1668" t="str">
            <v>IKN401704</v>
          </cell>
          <cell r="B1668">
            <v>1625</v>
          </cell>
          <cell r="C1668" t="str">
            <v>Institut Kanser Negara</v>
          </cell>
          <cell r="D1668" t="str">
            <v>KKM/IKN/H/18/4</v>
          </cell>
          <cell r="E1668" t="str">
            <v>13-215</v>
          </cell>
          <cell r="F1668" t="str">
            <v>Infusion Pumps, General-Purpose</v>
          </cell>
          <cell r="G1668" t="str">
            <v>WF</v>
          </cell>
          <cell r="H1668" t="str">
            <v>RT/ONCO WARD 2 (F)</v>
          </cell>
          <cell r="I1668" t="str">
            <v>07WF121</v>
          </cell>
          <cell r="J1668" t="str">
            <v>EQUIPMENT ROOM</v>
          </cell>
          <cell r="K1668" t="str">
            <v>BMED</v>
          </cell>
          <cell r="L1668" t="str">
            <v>Critical</v>
          </cell>
          <cell r="M1668" t="str">
            <v>Germany</v>
          </cell>
          <cell r="N1668" t="str">
            <v>Infusomat</v>
          </cell>
          <cell r="O1668" t="str">
            <v>Infusomat Space</v>
          </cell>
          <cell r="P1668" t="str">
            <v>512833</v>
          </cell>
          <cell r="Q1668" t="str">
            <v>Not Applicable</v>
          </cell>
          <cell r="R1668" t="str">
            <v>B Braun Melsungen AG</v>
          </cell>
          <cell r="S1668" t="str">
            <v>B Braun Medical Supplies Sdn. Bhd.</v>
          </cell>
          <cell r="T1668" t="str">
            <v>Functioning</v>
          </cell>
          <cell r="U1668" t="str">
            <v>Asset</v>
          </cell>
          <cell r="V1668">
            <v>5800</v>
          </cell>
          <cell r="W1668" t="str">
            <v>KEW</v>
          </cell>
          <cell r="X1668" t="str">
            <v>31/07/2018</v>
          </cell>
          <cell r="Y1668" t="str">
            <v>KEW</v>
          </cell>
          <cell r="Z1668" t="str">
            <v>05/09/2018</v>
          </cell>
          <cell r="AA1668" t="str">
            <v>04/09/2020</v>
          </cell>
          <cell r="AB1668" t="str">
            <v>No</v>
          </cell>
          <cell r="AC1668" t="str">
            <v>05/09/2018</v>
          </cell>
          <cell r="AD1668" t="str">
            <v>Good</v>
          </cell>
          <cell r="AE1668" t="str">
            <v>V3 - Added Installed Facilities (New)</v>
          </cell>
          <cell r="AF1668">
            <v>43385</v>
          </cell>
          <cell r="AG1668">
            <v>1.33</v>
          </cell>
          <cell r="AH1668" t="str">
            <v>PPM</v>
          </cell>
          <cell r="AI1668" t="str">
            <v>Strands</v>
          </cell>
          <cell r="AJ1668" t="str">
            <v>Strands PW</v>
          </cell>
        </row>
        <row r="1669">
          <cell r="A1669" t="str">
            <v>IKN401708</v>
          </cell>
          <cell r="B1669">
            <v>1626</v>
          </cell>
          <cell r="C1669" t="str">
            <v>Institut Kanser Negara</v>
          </cell>
          <cell r="D1669" t="str">
            <v>KKM/IKN/H/13/4473 - 10</v>
          </cell>
          <cell r="E1669" t="str">
            <v>15-605</v>
          </cell>
          <cell r="F1669" t="str">
            <v>Testers</v>
          </cell>
          <cell r="G1669" t="str">
            <v>RT</v>
          </cell>
          <cell r="H1669" t="str">
            <v>RADIATION TREATMENT UNIT</v>
          </cell>
          <cell r="I1669" t="str">
            <v>01RT213</v>
          </cell>
          <cell r="J1669" t="str">
            <v>EQUIPMENT ROOM1</v>
          </cell>
          <cell r="K1669" t="str">
            <v>BMED</v>
          </cell>
          <cell r="L1669" t="str">
            <v>Normal</v>
          </cell>
          <cell r="M1669" t="str">
            <v>USA</v>
          </cell>
          <cell r="N1669" t="str">
            <v>Various</v>
          </cell>
          <cell r="O1669" t="str">
            <v>Tomo Electrometer 90016 &amp; Various</v>
          </cell>
          <cell r="P1669" t="str">
            <v>XW 121706</v>
          </cell>
          <cell r="Q1669" t="str">
            <v>Not Available</v>
          </cell>
          <cell r="R1669" t="str">
            <v>Standard Imaging</v>
          </cell>
          <cell r="S1669" t="str">
            <v>Transmedic Healthcare Sdn. Bhd</v>
          </cell>
          <cell r="T1669" t="str">
            <v>Functioning</v>
          </cell>
          <cell r="U1669" t="str">
            <v>Asset</v>
          </cell>
          <cell r="V1669">
            <v>100000</v>
          </cell>
          <cell r="W1669" t="str">
            <v>KEW</v>
          </cell>
          <cell r="X1669" t="str">
            <v>01/09/2010</v>
          </cell>
          <cell r="Y1669" t="str">
            <v>KEW</v>
          </cell>
          <cell r="Z1669" t="str">
            <v>16/08/2013</v>
          </cell>
          <cell r="AA1669" t="str">
            <v>15/08/2015</v>
          </cell>
          <cell r="AB1669" t="str">
            <v>No</v>
          </cell>
          <cell r="AC1669" t="str">
            <v>16/08/2013</v>
          </cell>
          <cell r="AD1669" t="str">
            <v>Good</v>
          </cell>
          <cell r="AE1669" t="str">
            <v>V1 - Existing / No Claim</v>
          </cell>
          <cell r="AF1669">
            <v>42667</v>
          </cell>
          <cell r="AG1669">
            <v>9.17</v>
          </cell>
          <cell r="AH1669" t="str">
            <v>PPM</v>
          </cell>
          <cell r="AI1669" t="str">
            <v>package</v>
          </cell>
          <cell r="AJ1669" t="str">
            <v>Strands Package</v>
          </cell>
          <cell r="AK1669" t="str">
            <v>Unit A1S Ion Chamber for Tomotherapy. Package XM003(B).</v>
          </cell>
        </row>
        <row r="1670">
          <cell r="A1670" t="str">
            <v>IKN401713</v>
          </cell>
          <cell r="B1670">
            <v>1627</v>
          </cell>
          <cell r="C1670" t="str">
            <v>Institut Kanser Negara</v>
          </cell>
          <cell r="D1670" t="str">
            <v>KKM/IKN/H/18/16</v>
          </cell>
          <cell r="E1670" t="str">
            <v>13-215</v>
          </cell>
          <cell r="F1670" t="str">
            <v>Infusion Pumps, General-Purpose</v>
          </cell>
          <cell r="G1670" t="str">
            <v>DO</v>
          </cell>
          <cell r="H1670" t="str">
            <v>DAY ONCOLOGY UNIT</v>
          </cell>
          <cell r="I1670" t="str">
            <v>04DO111</v>
          </cell>
          <cell r="J1670" t="str">
            <v>EQUIP. ROOM</v>
          </cell>
          <cell r="K1670" t="str">
            <v>BMED</v>
          </cell>
          <cell r="L1670" t="str">
            <v>Critical</v>
          </cell>
          <cell r="M1670" t="str">
            <v>Germany</v>
          </cell>
          <cell r="N1670" t="str">
            <v>Infusomat</v>
          </cell>
          <cell r="O1670" t="str">
            <v>Infusomat Space</v>
          </cell>
          <cell r="P1670" t="str">
            <v>523723</v>
          </cell>
          <cell r="Q1670" t="str">
            <v>Not Applicable</v>
          </cell>
          <cell r="R1670" t="str">
            <v>B Braun Melsungen AG</v>
          </cell>
          <cell r="S1670" t="str">
            <v>TERAJU FARMA SDN BHD</v>
          </cell>
          <cell r="T1670" t="str">
            <v>Functioning</v>
          </cell>
          <cell r="U1670" t="str">
            <v>Asset</v>
          </cell>
          <cell r="V1670">
            <v>5800</v>
          </cell>
          <cell r="W1670" t="str">
            <v>KEW</v>
          </cell>
          <cell r="X1670" t="str">
            <v>26/09/2018</v>
          </cell>
          <cell r="Y1670" t="str">
            <v>KEW</v>
          </cell>
          <cell r="Z1670" t="str">
            <v>22/10/2018</v>
          </cell>
          <cell r="AA1670" t="str">
            <v>21/10/2020</v>
          </cell>
          <cell r="AB1670" t="str">
            <v>No</v>
          </cell>
          <cell r="AC1670" t="str">
            <v>22/10/2018</v>
          </cell>
          <cell r="AD1670" t="str">
            <v>Good</v>
          </cell>
          <cell r="AE1670" t="str">
            <v>V3 - Added Installed Facilities (New)</v>
          </cell>
          <cell r="AF1670">
            <v>43430</v>
          </cell>
          <cell r="AG1670">
            <v>1.17</v>
          </cell>
          <cell r="AH1670" t="str">
            <v>PPM</v>
          </cell>
          <cell r="AI1670" t="str">
            <v>Strands</v>
          </cell>
          <cell r="AJ1670" t="str">
            <v>Strands PW</v>
          </cell>
        </row>
        <row r="1671">
          <cell r="A1671" t="str">
            <v>IKN401714</v>
          </cell>
          <cell r="B1671">
            <v>1628</v>
          </cell>
          <cell r="C1671" t="str">
            <v>Institut Kanser Negara</v>
          </cell>
          <cell r="D1671" t="str">
            <v>KKM/IKN/H/18/17</v>
          </cell>
          <cell r="E1671" t="str">
            <v>13-215</v>
          </cell>
          <cell r="F1671" t="str">
            <v>Infusion Pumps, General-Purpose</v>
          </cell>
          <cell r="G1671" t="str">
            <v>DO</v>
          </cell>
          <cell r="H1671" t="str">
            <v>DAY ONCOLOGY UNIT</v>
          </cell>
          <cell r="I1671" t="str">
            <v>04DO111</v>
          </cell>
          <cell r="J1671" t="str">
            <v>EQUIP. ROOM</v>
          </cell>
          <cell r="K1671" t="str">
            <v>BMED</v>
          </cell>
          <cell r="L1671" t="str">
            <v>Critical</v>
          </cell>
          <cell r="M1671" t="str">
            <v>Germany</v>
          </cell>
          <cell r="N1671" t="str">
            <v>Infusomat</v>
          </cell>
          <cell r="O1671" t="str">
            <v>Infusomat Space</v>
          </cell>
          <cell r="P1671" t="str">
            <v>523748</v>
          </cell>
          <cell r="Q1671" t="str">
            <v>Not Applicable</v>
          </cell>
          <cell r="R1671" t="str">
            <v>B Braun Melsungen AG</v>
          </cell>
          <cell r="S1671" t="str">
            <v>TERAJU FARMA SDN BHD</v>
          </cell>
          <cell r="T1671" t="str">
            <v>Functioning</v>
          </cell>
          <cell r="U1671" t="str">
            <v>Asset</v>
          </cell>
          <cell r="V1671">
            <v>5800</v>
          </cell>
          <cell r="W1671" t="str">
            <v>KEW</v>
          </cell>
          <cell r="X1671" t="str">
            <v>26/09/2018</v>
          </cell>
          <cell r="Y1671" t="str">
            <v>KEW</v>
          </cell>
          <cell r="Z1671" t="str">
            <v>22/10/2018</v>
          </cell>
          <cell r="AA1671" t="str">
            <v>21/10/2020</v>
          </cell>
          <cell r="AB1671" t="str">
            <v>No</v>
          </cell>
          <cell r="AC1671" t="str">
            <v>22/10/2018</v>
          </cell>
          <cell r="AD1671" t="str">
            <v>Good</v>
          </cell>
          <cell r="AE1671" t="str">
            <v>V3 - Added Installed Facilities (New)</v>
          </cell>
          <cell r="AF1671">
            <v>43430</v>
          </cell>
          <cell r="AG1671">
            <v>1.17</v>
          </cell>
          <cell r="AH1671" t="str">
            <v>PPM</v>
          </cell>
          <cell r="AI1671" t="str">
            <v>Strands</v>
          </cell>
          <cell r="AJ1671" t="str">
            <v>Strands PW</v>
          </cell>
        </row>
        <row r="1672">
          <cell r="A1672" t="str">
            <v>IKN401715</v>
          </cell>
          <cell r="B1672">
            <v>1629</v>
          </cell>
          <cell r="C1672" t="str">
            <v>Institut Kanser Negara</v>
          </cell>
          <cell r="D1672" t="str">
            <v>KKM/IKN/H/18/18</v>
          </cell>
          <cell r="E1672" t="str">
            <v>11-381</v>
          </cell>
          <cell r="F1672" t="str">
            <v>Simulators, Cardiac, Electrocardiography</v>
          </cell>
          <cell r="G1672" t="str">
            <v>AD</v>
          </cell>
          <cell r="H1672" t="str">
            <v>ADMINISTRATION</v>
          </cell>
          <cell r="I1672" t="str">
            <v>06AD122</v>
          </cell>
          <cell r="J1672" t="str">
            <v>SUPERVISOR 1</v>
          </cell>
          <cell r="K1672" t="str">
            <v>BMED</v>
          </cell>
          <cell r="L1672" t="str">
            <v>Normal</v>
          </cell>
          <cell r="M1672" t="str">
            <v>China</v>
          </cell>
          <cell r="N1672" t="str">
            <v>Laerdal</v>
          </cell>
          <cell r="O1672" t="str">
            <v>Laerdal AED Trainer 2</v>
          </cell>
          <cell r="P1672" t="str">
            <v>170731</v>
          </cell>
          <cell r="Q1672" t="str">
            <v>Not Applicable</v>
          </cell>
          <cell r="R1672" t="str">
            <v>Laerdal Medical Corp</v>
          </cell>
          <cell r="S1672" t="str">
            <v>LAERDAL MALAYSIA SDN BHD</v>
          </cell>
          <cell r="T1672" t="str">
            <v>Functioning</v>
          </cell>
          <cell r="U1672" t="str">
            <v>Asset</v>
          </cell>
          <cell r="V1672">
            <v>3113</v>
          </cell>
          <cell r="W1672" t="str">
            <v>KEW</v>
          </cell>
          <cell r="X1672" t="str">
            <v>21/09/2018</v>
          </cell>
          <cell r="Y1672" t="str">
            <v>KEW</v>
          </cell>
          <cell r="Z1672" t="str">
            <v>29/10/2018</v>
          </cell>
          <cell r="AA1672" t="str">
            <v>30/10/2019</v>
          </cell>
          <cell r="AB1672" t="str">
            <v>No</v>
          </cell>
          <cell r="AC1672" t="str">
            <v>31/10/2018</v>
          </cell>
          <cell r="AD1672" t="str">
            <v>Good</v>
          </cell>
          <cell r="AE1672" t="str">
            <v>V3 - Added Installed Facilities (New)</v>
          </cell>
          <cell r="AF1672">
            <v>43444</v>
          </cell>
          <cell r="AG1672">
            <v>1.17</v>
          </cell>
          <cell r="AH1672" t="str">
            <v>RI</v>
          </cell>
          <cell r="AI1672" t="str">
            <v>Strands</v>
          </cell>
          <cell r="AJ1672" t="str">
            <v>Strands PW</v>
          </cell>
        </row>
        <row r="1673">
          <cell r="A1673" t="str">
            <v>IKN401716</v>
          </cell>
          <cell r="B1673">
            <v>1630</v>
          </cell>
          <cell r="C1673" t="str">
            <v>Institut Kanser Negara</v>
          </cell>
          <cell r="D1673" t="str">
            <v>KKM/IKN/R/18/40</v>
          </cell>
          <cell r="E1673" t="str">
            <v>15-309</v>
          </cell>
          <cell r="F1673" t="str">
            <v>Training Manikins, Cardiopulmonary Resuscitation</v>
          </cell>
          <cell r="G1673" t="str">
            <v>AD</v>
          </cell>
          <cell r="H1673" t="str">
            <v>ADMINISTRATION</v>
          </cell>
          <cell r="I1673" t="str">
            <v>06AD122</v>
          </cell>
          <cell r="J1673" t="str">
            <v>SUPERVISOR 1</v>
          </cell>
          <cell r="K1673" t="str">
            <v>BMED</v>
          </cell>
          <cell r="L1673" t="str">
            <v>Normal</v>
          </cell>
          <cell r="M1673" t="str">
            <v>USA</v>
          </cell>
          <cell r="N1673" t="str">
            <v>Laerdal</v>
          </cell>
          <cell r="O1673" t="str">
            <v>Little Anne Torso</v>
          </cell>
          <cell r="P1673" t="str">
            <v>Not Available</v>
          </cell>
          <cell r="Q1673" t="str">
            <v>Not Applicable</v>
          </cell>
          <cell r="R1673" t="str">
            <v>Laerdal Medical Corp</v>
          </cell>
          <cell r="S1673" t="str">
            <v>LAERDAL MALAYSIA SDN BHD</v>
          </cell>
          <cell r="T1673" t="str">
            <v>Functioning</v>
          </cell>
          <cell r="U1673" t="str">
            <v>Asset</v>
          </cell>
          <cell r="V1673">
            <v>1312.5</v>
          </cell>
          <cell r="W1673" t="str">
            <v>KEW</v>
          </cell>
          <cell r="X1673" t="str">
            <v>21/09/2018</v>
          </cell>
          <cell r="Y1673" t="str">
            <v>KEW</v>
          </cell>
          <cell r="Z1673" t="str">
            <v>31/10/2018</v>
          </cell>
          <cell r="AA1673" t="str">
            <v>30/10/2019</v>
          </cell>
          <cell r="AB1673" t="str">
            <v>No</v>
          </cell>
          <cell r="AC1673" t="str">
            <v>31/10/2018</v>
          </cell>
          <cell r="AD1673" t="str">
            <v>Good</v>
          </cell>
          <cell r="AE1673" t="str">
            <v>V3 - Added Installed Facilities (New)</v>
          </cell>
          <cell r="AF1673">
            <v>43444</v>
          </cell>
          <cell r="AG1673">
            <v>1.17</v>
          </cell>
          <cell r="AH1673" t="str">
            <v>RI</v>
          </cell>
          <cell r="AI1673" t="str">
            <v>Strands</v>
          </cell>
          <cell r="AJ1673" t="str">
            <v>Strands PW</v>
          </cell>
        </row>
        <row r="1674">
          <cell r="A1674" t="str">
            <v>IKN401717</v>
          </cell>
          <cell r="B1674">
            <v>1631</v>
          </cell>
          <cell r="C1674" t="str">
            <v>Institut Kanser Negara</v>
          </cell>
          <cell r="D1674" t="str">
            <v>KKM/IKN/R/18/41</v>
          </cell>
          <cell r="E1674" t="str">
            <v>15-309</v>
          </cell>
          <cell r="F1674" t="str">
            <v>Training Manikins, Cardiopulmonary Resuscitation</v>
          </cell>
          <cell r="G1674" t="str">
            <v>AD</v>
          </cell>
          <cell r="H1674" t="str">
            <v>ADMINISTRATION</v>
          </cell>
          <cell r="I1674" t="str">
            <v>06AD122</v>
          </cell>
          <cell r="J1674" t="str">
            <v>SUPERVISOR 1</v>
          </cell>
          <cell r="K1674" t="str">
            <v>BMED</v>
          </cell>
          <cell r="L1674" t="str">
            <v>Normal</v>
          </cell>
          <cell r="M1674" t="str">
            <v>USA</v>
          </cell>
          <cell r="N1674" t="str">
            <v>Laerdal</v>
          </cell>
          <cell r="O1674" t="str">
            <v>Little Anne Torso</v>
          </cell>
          <cell r="P1674" t="str">
            <v>Not Available</v>
          </cell>
          <cell r="Q1674" t="str">
            <v>Not Applicable</v>
          </cell>
          <cell r="R1674" t="str">
            <v>Laerdal Medical Corp</v>
          </cell>
          <cell r="S1674" t="str">
            <v>LAERDAL MALAYSIA SDN BHD</v>
          </cell>
          <cell r="T1674" t="str">
            <v>Functioning</v>
          </cell>
          <cell r="U1674" t="str">
            <v>Asset</v>
          </cell>
          <cell r="V1674">
            <v>1312.5</v>
          </cell>
          <cell r="W1674" t="str">
            <v>KEW</v>
          </cell>
          <cell r="X1674" t="str">
            <v>21/09/2018</v>
          </cell>
          <cell r="Y1674" t="str">
            <v>KEW</v>
          </cell>
          <cell r="Z1674" t="str">
            <v>31/10/2018</v>
          </cell>
          <cell r="AA1674" t="str">
            <v>30/10/2019</v>
          </cell>
          <cell r="AB1674" t="str">
            <v>No</v>
          </cell>
          <cell r="AC1674" t="str">
            <v>31/10/2018</v>
          </cell>
          <cell r="AD1674" t="str">
            <v>Good</v>
          </cell>
          <cell r="AE1674" t="str">
            <v>V3 - Added Installed Facilities (New)</v>
          </cell>
          <cell r="AF1674">
            <v>43444</v>
          </cell>
          <cell r="AG1674">
            <v>1.17</v>
          </cell>
          <cell r="AH1674" t="str">
            <v>RI</v>
          </cell>
          <cell r="AI1674" t="str">
            <v>Strands</v>
          </cell>
          <cell r="AJ1674" t="str">
            <v>Strands PW</v>
          </cell>
        </row>
        <row r="1675">
          <cell r="A1675" t="str">
            <v>IKN401718</v>
          </cell>
          <cell r="B1675">
            <v>1632</v>
          </cell>
          <cell r="C1675" t="str">
            <v>Institut Kanser Negara</v>
          </cell>
          <cell r="D1675" t="str">
            <v>KKM/IKN/R/18/42</v>
          </cell>
          <cell r="E1675" t="str">
            <v>15-309</v>
          </cell>
          <cell r="F1675" t="str">
            <v>Training Manikins, Cardiopulmonary Resuscitation</v>
          </cell>
          <cell r="G1675" t="str">
            <v>AD</v>
          </cell>
          <cell r="H1675" t="str">
            <v>ADMINISTRATION</v>
          </cell>
          <cell r="I1675" t="str">
            <v>06AD122</v>
          </cell>
          <cell r="J1675" t="str">
            <v>SUPERVISOR 1</v>
          </cell>
          <cell r="K1675" t="str">
            <v>BMED</v>
          </cell>
          <cell r="L1675" t="str">
            <v>Normal</v>
          </cell>
          <cell r="M1675" t="str">
            <v>USA</v>
          </cell>
          <cell r="N1675" t="str">
            <v>Laerdal</v>
          </cell>
          <cell r="O1675" t="str">
            <v>Little Anne Torso</v>
          </cell>
          <cell r="P1675" t="str">
            <v>Not Available</v>
          </cell>
          <cell r="Q1675" t="str">
            <v>Not Applicable</v>
          </cell>
          <cell r="R1675" t="str">
            <v>Laerdal Medical Corp</v>
          </cell>
          <cell r="S1675" t="str">
            <v>LAERDAL MALAYSIA SDN BHD</v>
          </cell>
          <cell r="T1675" t="str">
            <v>Functioning</v>
          </cell>
          <cell r="U1675" t="str">
            <v>Asset</v>
          </cell>
          <cell r="V1675">
            <v>1312.5</v>
          </cell>
          <cell r="W1675" t="str">
            <v>KEW</v>
          </cell>
          <cell r="X1675" t="str">
            <v>21/09/2018</v>
          </cell>
          <cell r="Y1675" t="str">
            <v>KEW</v>
          </cell>
          <cell r="Z1675" t="str">
            <v>31/10/2018</v>
          </cell>
          <cell r="AA1675" t="str">
            <v>30/10/2019</v>
          </cell>
          <cell r="AB1675" t="str">
            <v>No</v>
          </cell>
          <cell r="AC1675" t="str">
            <v>31/10/2018</v>
          </cell>
          <cell r="AD1675" t="str">
            <v>Good</v>
          </cell>
          <cell r="AE1675" t="str">
            <v>V3 - Added Installed Facilities (New)</v>
          </cell>
          <cell r="AF1675">
            <v>43444</v>
          </cell>
          <cell r="AG1675">
            <v>1.17</v>
          </cell>
          <cell r="AH1675" t="str">
            <v>RI</v>
          </cell>
          <cell r="AI1675" t="str">
            <v>Strands</v>
          </cell>
          <cell r="AJ1675" t="str">
            <v>Strands PW</v>
          </cell>
        </row>
        <row r="1676">
          <cell r="A1676" t="str">
            <v>IKN401719</v>
          </cell>
          <cell r="B1676">
            <v>1633</v>
          </cell>
          <cell r="C1676" t="str">
            <v>Institut Kanser Negara</v>
          </cell>
          <cell r="D1676" t="str">
            <v>KKM/IKN/R/18/43</v>
          </cell>
          <cell r="E1676" t="str">
            <v>15-309</v>
          </cell>
          <cell r="F1676" t="str">
            <v>Training Manikins, Cardiopulmonary Resuscitation</v>
          </cell>
          <cell r="G1676" t="str">
            <v>AD</v>
          </cell>
          <cell r="H1676" t="str">
            <v>ADMINISTRATION</v>
          </cell>
          <cell r="I1676" t="str">
            <v>06AD122</v>
          </cell>
          <cell r="J1676" t="str">
            <v>SUPERVISOR 1</v>
          </cell>
          <cell r="K1676" t="str">
            <v>BMED</v>
          </cell>
          <cell r="L1676" t="str">
            <v>Normal</v>
          </cell>
          <cell r="M1676" t="str">
            <v>USA</v>
          </cell>
          <cell r="N1676" t="str">
            <v>Laerdal</v>
          </cell>
          <cell r="O1676" t="str">
            <v>Little Anne Torso</v>
          </cell>
          <cell r="P1676" t="str">
            <v>Not Available</v>
          </cell>
          <cell r="Q1676" t="str">
            <v>Not Applicable</v>
          </cell>
          <cell r="R1676" t="str">
            <v>Laerdal Medical Corp</v>
          </cell>
          <cell r="S1676" t="str">
            <v>LAERDAL MALAYSIA SDN BHD</v>
          </cell>
          <cell r="T1676" t="str">
            <v>Functioning</v>
          </cell>
          <cell r="U1676" t="str">
            <v>Asset</v>
          </cell>
          <cell r="V1676">
            <v>1312.5</v>
          </cell>
          <cell r="W1676" t="str">
            <v>KEW</v>
          </cell>
          <cell r="X1676" t="str">
            <v>21/09/2018</v>
          </cell>
          <cell r="Y1676" t="str">
            <v>KEW</v>
          </cell>
          <cell r="Z1676" t="str">
            <v>31/10/2018</v>
          </cell>
          <cell r="AA1676" t="str">
            <v>30/10/2019</v>
          </cell>
          <cell r="AB1676" t="str">
            <v>No</v>
          </cell>
          <cell r="AC1676" t="str">
            <v>31/10/2018</v>
          </cell>
          <cell r="AD1676" t="str">
            <v>Good</v>
          </cell>
          <cell r="AE1676" t="str">
            <v>V3 - Added Installed Facilities (New)</v>
          </cell>
          <cell r="AF1676">
            <v>43444</v>
          </cell>
          <cell r="AG1676">
            <v>1.17</v>
          </cell>
          <cell r="AH1676" t="str">
            <v>RI</v>
          </cell>
          <cell r="AI1676" t="str">
            <v>Strands</v>
          </cell>
          <cell r="AJ1676" t="str">
            <v>Strands PW</v>
          </cell>
        </row>
        <row r="1677">
          <cell r="A1677" t="str">
            <v>IKN401720</v>
          </cell>
          <cell r="B1677">
            <v>1634</v>
          </cell>
          <cell r="C1677" t="str">
            <v>Institut Kanser Negara</v>
          </cell>
          <cell r="D1677" t="str">
            <v>KKM/IKN/H/18/19</v>
          </cell>
          <cell r="E1677" t="str">
            <v>15-309</v>
          </cell>
          <cell r="F1677" t="str">
            <v>Training Manikins, Cardiopulmonary Resuscitation</v>
          </cell>
          <cell r="G1677" t="str">
            <v>AD</v>
          </cell>
          <cell r="H1677" t="str">
            <v>ADMINISTRATION</v>
          </cell>
          <cell r="I1677" t="str">
            <v>06AD122</v>
          </cell>
          <cell r="J1677" t="str">
            <v>SUPERVISOR 1</v>
          </cell>
          <cell r="K1677" t="str">
            <v>BMED</v>
          </cell>
          <cell r="L1677" t="str">
            <v>Normal</v>
          </cell>
          <cell r="M1677" t="str">
            <v>USA</v>
          </cell>
          <cell r="N1677" t="str">
            <v>Laerdal</v>
          </cell>
          <cell r="O1677" t="str">
            <v>Laerdal Airway Management Trainer</v>
          </cell>
          <cell r="P1677" t="str">
            <v>Not Available</v>
          </cell>
          <cell r="Q1677" t="str">
            <v>Not Applicable</v>
          </cell>
          <cell r="R1677" t="str">
            <v>Laerdal Medical Corp</v>
          </cell>
          <cell r="S1677" t="str">
            <v>LAERDAL MALAYSIA SDN BHD</v>
          </cell>
          <cell r="T1677" t="str">
            <v>Functioning</v>
          </cell>
          <cell r="U1677" t="str">
            <v>Asset</v>
          </cell>
          <cell r="V1677">
            <v>13397.35</v>
          </cell>
          <cell r="W1677" t="str">
            <v>KEW</v>
          </cell>
          <cell r="X1677" t="str">
            <v>21/09/2018</v>
          </cell>
          <cell r="Y1677" t="str">
            <v>KEW</v>
          </cell>
          <cell r="Z1677" t="str">
            <v>31/10/2018</v>
          </cell>
          <cell r="AA1677" t="str">
            <v>30/10/2019</v>
          </cell>
          <cell r="AB1677" t="str">
            <v>No</v>
          </cell>
          <cell r="AC1677" t="str">
            <v>31/10/2018</v>
          </cell>
          <cell r="AD1677" t="str">
            <v>Good</v>
          </cell>
          <cell r="AE1677" t="str">
            <v>V3 - Added Installed Facilities (New)</v>
          </cell>
          <cell r="AF1677">
            <v>43444</v>
          </cell>
          <cell r="AG1677">
            <v>1.17</v>
          </cell>
          <cell r="AH1677" t="str">
            <v>RI</v>
          </cell>
          <cell r="AI1677" t="str">
            <v>Strands</v>
          </cell>
          <cell r="AJ1677" t="str">
            <v>Strands PW</v>
          </cell>
        </row>
        <row r="1678">
          <cell r="A1678" t="str">
            <v>IKN401721</v>
          </cell>
          <cell r="B1678">
            <v>1635</v>
          </cell>
          <cell r="C1678" t="str">
            <v>Institut Kanser Negara</v>
          </cell>
          <cell r="D1678" t="str">
            <v>KKM/IKN/R/18/44</v>
          </cell>
          <cell r="E1678" t="str">
            <v>15-309</v>
          </cell>
          <cell r="F1678" t="str">
            <v>Training Manikins, Cardiopulmonary Resuscitation</v>
          </cell>
          <cell r="G1678" t="str">
            <v>AD</v>
          </cell>
          <cell r="H1678" t="str">
            <v>ADMINISTRATION</v>
          </cell>
          <cell r="I1678" t="str">
            <v>06AD122</v>
          </cell>
          <cell r="J1678" t="str">
            <v>SUPERVISOR 1</v>
          </cell>
          <cell r="K1678" t="str">
            <v>BMED</v>
          </cell>
          <cell r="L1678" t="str">
            <v>Normal</v>
          </cell>
          <cell r="M1678" t="str">
            <v>USA</v>
          </cell>
          <cell r="N1678" t="str">
            <v>Laerdal</v>
          </cell>
          <cell r="O1678" t="str">
            <v>Little Anne Torso</v>
          </cell>
          <cell r="P1678" t="str">
            <v>Not Available</v>
          </cell>
          <cell r="Q1678" t="str">
            <v>Not Applicable</v>
          </cell>
          <cell r="R1678" t="str">
            <v>Laerdal Medical Corp</v>
          </cell>
          <cell r="S1678" t="str">
            <v>LAERDAL MALAYSIA SDN BHD</v>
          </cell>
          <cell r="T1678" t="str">
            <v>Functioning</v>
          </cell>
          <cell r="U1678" t="str">
            <v>Asset</v>
          </cell>
          <cell r="V1678">
            <v>1312.5</v>
          </cell>
          <cell r="W1678" t="str">
            <v>KEW</v>
          </cell>
          <cell r="X1678" t="str">
            <v>21/09/2018</v>
          </cell>
          <cell r="Y1678" t="str">
            <v>KEW</v>
          </cell>
          <cell r="Z1678" t="str">
            <v>31/10/2018</v>
          </cell>
          <cell r="AA1678" t="str">
            <v>30/10/2019</v>
          </cell>
          <cell r="AB1678" t="str">
            <v>No</v>
          </cell>
          <cell r="AC1678" t="str">
            <v>31/10/2018</v>
          </cell>
          <cell r="AD1678" t="str">
            <v>Good</v>
          </cell>
          <cell r="AE1678" t="str">
            <v>V3 - Added Installed Facilities (New)</v>
          </cell>
          <cell r="AF1678">
            <v>43444</v>
          </cell>
          <cell r="AG1678">
            <v>1.17</v>
          </cell>
          <cell r="AH1678" t="str">
            <v>RI</v>
          </cell>
          <cell r="AI1678" t="str">
            <v>Strands</v>
          </cell>
          <cell r="AJ1678" t="str">
            <v>Strands PW</v>
          </cell>
        </row>
        <row r="1679">
          <cell r="A1679" t="str">
            <v>IKN401722</v>
          </cell>
          <cell r="B1679">
            <v>1636</v>
          </cell>
          <cell r="C1679" t="str">
            <v>Institut Kanser Negara</v>
          </cell>
          <cell r="D1679" t="str">
            <v>KKM/IKN/R/18/45</v>
          </cell>
          <cell r="E1679" t="str">
            <v>15-309</v>
          </cell>
          <cell r="F1679" t="str">
            <v>Training Manikins, Cardiopulmonary Resuscitation</v>
          </cell>
          <cell r="G1679" t="str">
            <v>AD</v>
          </cell>
          <cell r="H1679" t="str">
            <v>ADMINISTRATION</v>
          </cell>
          <cell r="I1679" t="str">
            <v>06AD122</v>
          </cell>
          <cell r="J1679" t="str">
            <v>SUPERVISOR 1</v>
          </cell>
          <cell r="K1679" t="str">
            <v>BMED</v>
          </cell>
          <cell r="L1679" t="str">
            <v>Normal</v>
          </cell>
          <cell r="M1679" t="str">
            <v>USA</v>
          </cell>
          <cell r="N1679" t="str">
            <v>Laerdal</v>
          </cell>
          <cell r="O1679" t="str">
            <v>Little Anne Torso</v>
          </cell>
          <cell r="P1679" t="str">
            <v>Not Available</v>
          </cell>
          <cell r="Q1679" t="str">
            <v>Not Applicable</v>
          </cell>
          <cell r="R1679" t="str">
            <v>Laerdal Medical Corp</v>
          </cell>
          <cell r="S1679" t="str">
            <v>LAERDAL MALAYSIA SDN BHD</v>
          </cell>
          <cell r="T1679" t="str">
            <v>Functioning</v>
          </cell>
          <cell r="U1679" t="str">
            <v>Asset</v>
          </cell>
          <cell r="V1679">
            <v>1312.5</v>
          </cell>
          <cell r="W1679" t="str">
            <v>KEW</v>
          </cell>
          <cell r="X1679" t="str">
            <v>21/09/2018</v>
          </cell>
          <cell r="Y1679" t="str">
            <v>KEW</v>
          </cell>
          <cell r="Z1679" t="str">
            <v>31/10/2018</v>
          </cell>
          <cell r="AA1679" t="str">
            <v>30/10/2019</v>
          </cell>
          <cell r="AB1679" t="str">
            <v>No</v>
          </cell>
          <cell r="AC1679" t="str">
            <v>31/10/2018</v>
          </cell>
          <cell r="AD1679" t="str">
            <v>Good</v>
          </cell>
          <cell r="AE1679" t="str">
            <v>V3 - Added Installed Facilities (New)</v>
          </cell>
          <cell r="AF1679">
            <v>43444</v>
          </cell>
          <cell r="AG1679">
            <v>1.17</v>
          </cell>
          <cell r="AH1679" t="str">
            <v>RI</v>
          </cell>
          <cell r="AI1679" t="str">
            <v>Strands</v>
          </cell>
          <cell r="AJ1679" t="str">
            <v>Strands PW</v>
          </cell>
        </row>
        <row r="1680">
          <cell r="A1680" t="str">
            <v>IKN401723</v>
          </cell>
          <cell r="B1680">
            <v>1637</v>
          </cell>
          <cell r="C1680" t="str">
            <v>Institut Kanser Negara</v>
          </cell>
          <cell r="D1680" t="str">
            <v>KKM/IKN/R/18/46</v>
          </cell>
          <cell r="E1680" t="str">
            <v>15-309</v>
          </cell>
          <cell r="F1680" t="str">
            <v>Training Manikins, Cardiopulmonary Resuscitation</v>
          </cell>
          <cell r="G1680" t="str">
            <v>AD</v>
          </cell>
          <cell r="H1680" t="str">
            <v>ADMINISTRATION</v>
          </cell>
          <cell r="I1680" t="str">
            <v>06AD122</v>
          </cell>
          <cell r="J1680" t="str">
            <v>SUPERVISOR 1</v>
          </cell>
          <cell r="K1680" t="str">
            <v>BMED</v>
          </cell>
          <cell r="L1680" t="str">
            <v>Normal</v>
          </cell>
          <cell r="M1680" t="str">
            <v>USA</v>
          </cell>
          <cell r="N1680" t="str">
            <v>Laerdal</v>
          </cell>
          <cell r="O1680" t="str">
            <v>Little Anne Torso</v>
          </cell>
          <cell r="P1680" t="str">
            <v>Not Available</v>
          </cell>
          <cell r="Q1680" t="str">
            <v>Not Applicable</v>
          </cell>
          <cell r="R1680" t="str">
            <v>Laerdal Medical Corp</v>
          </cell>
          <cell r="S1680" t="str">
            <v>LAERDAL MALAYSIA SDN BHD</v>
          </cell>
          <cell r="T1680" t="str">
            <v>Functioning</v>
          </cell>
          <cell r="U1680" t="str">
            <v>Asset</v>
          </cell>
          <cell r="V1680">
            <v>1312.5</v>
          </cell>
          <cell r="W1680" t="str">
            <v>KEW</v>
          </cell>
          <cell r="X1680" t="str">
            <v>21/09/2018</v>
          </cell>
          <cell r="Y1680" t="str">
            <v>KEW</v>
          </cell>
          <cell r="Z1680" t="str">
            <v>31/10/2018</v>
          </cell>
          <cell r="AA1680" t="str">
            <v>30/10/2019</v>
          </cell>
          <cell r="AB1680" t="str">
            <v>No</v>
          </cell>
          <cell r="AC1680" t="str">
            <v>31/10/2018</v>
          </cell>
          <cell r="AD1680" t="str">
            <v>Good</v>
          </cell>
          <cell r="AE1680" t="str">
            <v>V3 - Added Installed Facilities (New)</v>
          </cell>
          <cell r="AF1680">
            <v>43444</v>
          </cell>
          <cell r="AG1680">
            <v>1.17</v>
          </cell>
          <cell r="AH1680" t="str">
            <v>RI</v>
          </cell>
          <cell r="AI1680" t="str">
            <v>Strands</v>
          </cell>
          <cell r="AJ1680" t="str">
            <v>Strands PW</v>
          </cell>
        </row>
        <row r="1681">
          <cell r="A1681" t="str">
            <v>IKN401724</v>
          </cell>
          <cell r="B1681">
            <v>1638</v>
          </cell>
          <cell r="C1681" t="str">
            <v>Institut Kanser Negara</v>
          </cell>
          <cell r="D1681" t="str">
            <v>KKM/IKN/R/18/47</v>
          </cell>
          <cell r="E1681" t="str">
            <v>15-309</v>
          </cell>
          <cell r="F1681" t="str">
            <v>Training Manikins, Cardiopulmonary Resuscitation</v>
          </cell>
          <cell r="G1681" t="str">
            <v>AD</v>
          </cell>
          <cell r="H1681" t="str">
            <v>ADMINISTRATION</v>
          </cell>
          <cell r="I1681" t="str">
            <v>06AD122</v>
          </cell>
          <cell r="J1681" t="str">
            <v>SUPERVISOR 1</v>
          </cell>
          <cell r="K1681" t="str">
            <v>BMED</v>
          </cell>
          <cell r="L1681" t="str">
            <v>Normal</v>
          </cell>
          <cell r="M1681" t="str">
            <v>USA</v>
          </cell>
          <cell r="N1681" t="str">
            <v>Laerdal</v>
          </cell>
          <cell r="O1681" t="str">
            <v>Little Anne Torso</v>
          </cell>
          <cell r="P1681" t="str">
            <v>Not Available</v>
          </cell>
          <cell r="Q1681" t="str">
            <v>Not Applicable</v>
          </cell>
          <cell r="R1681" t="str">
            <v>Laerdal Medical Corp</v>
          </cell>
          <cell r="S1681" t="str">
            <v>LAERDAL MALAYSIA SDN BHD</v>
          </cell>
          <cell r="T1681" t="str">
            <v>Functioning</v>
          </cell>
          <cell r="U1681" t="str">
            <v>Asset</v>
          </cell>
          <cell r="V1681">
            <v>1312.5</v>
          </cell>
          <cell r="W1681" t="str">
            <v>KEW</v>
          </cell>
          <cell r="X1681" t="str">
            <v>21/09/2018</v>
          </cell>
          <cell r="Y1681" t="str">
            <v>KEW</v>
          </cell>
          <cell r="Z1681" t="str">
            <v>31/10/2018</v>
          </cell>
          <cell r="AA1681" t="str">
            <v>30/10/2019</v>
          </cell>
          <cell r="AB1681" t="str">
            <v>No</v>
          </cell>
          <cell r="AC1681" t="str">
            <v>31/10/2018</v>
          </cell>
          <cell r="AD1681" t="str">
            <v>Good</v>
          </cell>
          <cell r="AE1681" t="str">
            <v>V3 - Added Installed Facilities (New)</v>
          </cell>
          <cell r="AF1681">
            <v>43444</v>
          </cell>
          <cell r="AG1681">
            <v>1.17</v>
          </cell>
          <cell r="AH1681" t="str">
            <v>RI</v>
          </cell>
          <cell r="AI1681" t="str">
            <v>Strands</v>
          </cell>
          <cell r="AJ1681" t="str">
            <v>Strands PW</v>
          </cell>
        </row>
        <row r="1682">
          <cell r="A1682" t="str">
            <v>IKN401725</v>
          </cell>
          <cell r="B1682">
            <v>1639</v>
          </cell>
          <cell r="C1682" t="str">
            <v>Institut Kanser Negara</v>
          </cell>
          <cell r="D1682" t="str">
            <v>KKM/IKN/R/18/48</v>
          </cell>
          <cell r="E1682" t="str">
            <v>15-309</v>
          </cell>
          <cell r="F1682" t="str">
            <v>Training Manikins, Cardiopulmonary Resuscitation</v>
          </cell>
          <cell r="G1682" t="str">
            <v>AD</v>
          </cell>
          <cell r="H1682" t="str">
            <v>ADMINISTRATION</v>
          </cell>
          <cell r="I1682" t="str">
            <v>06AD122</v>
          </cell>
          <cell r="J1682" t="str">
            <v>SUPERVISOR 1</v>
          </cell>
          <cell r="K1682" t="str">
            <v>BMED</v>
          </cell>
          <cell r="L1682" t="str">
            <v>Normal</v>
          </cell>
          <cell r="M1682" t="str">
            <v>USA</v>
          </cell>
          <cell r="N1682" t="str">
            <v>Laerdal</v>
          </cell>
          <cell r="O1682" t="str">
            <v>Baby Anne</v>
          </cell>
          <cell r="P1682" t="str">
            <v>Not Available</v>
          </cell>
          <cell r="Q1682" t="str">
            <v>Not Applicable</v>
          </cell>
          <cell r="R1682" t="str">
            <v>Laerdal Medical Corp</v>
          </cell>
          <cell r="S1682" t="str">
            <v>LAERDAL MALAYSIA SDN BHD</v>
          </cell>
          <cell r="T1682" t="str">
            <v>Functioning</v>
          </cell>
          <cell r="U1682" t="str">
            <v>Asset</v>
          </cell>
          <cell r="V1682">
            <v>875</v>
          </cell>
          <cell r="W1682" t="str">
            <v>KEW</v>
          </cell>
          <cell r="X1682" t="str">
            <v>21/09/2018</v>
          </cell>
          <cell r="Y1682" t="str">
            <v>KEW</v>
          </cell>
          <cell r="Z1682" t="str">
            <v>31/10/2018</v>
          </cell>
          <cell r="AA1682" t="str">
            <v>30/10/2019</v>
          </cell>
          <cell r="AB1682" t="str">
            <v>No</v>
          </cell>
          <cell r="AC1682" t="str">
            <v>31/10/2018</v>
          </cell>
          <cell r="AD1682" t="str">
            <v>Good</v>
          </cell>
          <cell r="AE1682" t="str">
            <v>V3 - Added Installed Facilities (New)</v>
          </cell>
          <cell r="AF1682">
            <v>43507</v>
          </cell>
          <cell r="AG1682">
            <v>1.17</v>
          </cell>
          <cell r="AH1682" t="str">
            <v>RI</v>
          </cell>
          <cell r="AI1682" t="str">
            <v>Strands</v>
          </cell>
          <cell r="AJ1682" t="str">
            <v>Strands PW</v>
          </cell>
        </row>
        <row r="1683">
          <cell r="A1683" t="str">
            <v>IKN401726</v>
          </cell>
          <cell r="B1683">
            <v>1640</v>
          </cell>
          <cell r="C1683" t="str">
            <v>Institut Kanser Negara</v>
          </cell>
          <cell r="D1683" t="str">
            <v>KKM/IKN/R/18/49</v>
          </cell>
          <cell r="E1683" t="str">
            <v>15-309</v>
          </cell>
          <cell r="F1683" t="str">
            <v>Training Manikins, Cardiopulmonary Resuscitation</v>
          </cell>
          <cell r="G1683" t="str">
            <v>AD</v>
          </cell>
          <cell r="H1683" t="str">
            <v>ADMINISTRATION</v>
          </cell>
          <cell r="I1683" t="str">
            <v>06AD122</v>
          </cell>
          <cell r="J1683" t="str">
            <v>SUPERVISOR 1</v>
          </cell>
          <cell r="K1683" t="str">
            <v>BMED</v>
          </cell>
          <cell r="L1683" t="str">
            <v>Normal</v>
          </cell>
          <cell r="M1683" t="str">
            <v>USA</v>
          </cell>
          <cell r="N1683" t="str">
            <v>Laerdal</v>
          </cell>
          <cell r="O1683" t="str">
            <v>Baby Anne</v>
          </cell>
          <cell r="P1683" t="str">
            <v>Not Available</v>
          </cell>
          <cell r="Q1683" t="str">
            <v>Not Applicable</v>
          </cell>
          <cell r="R1683" t="str">
            <v>Laerdal Medical Corp</v>
          </cell>
          <cell r="S1683" t="str">
            <v>LAERDAL MALAYSIA SDN BHD</v>
          </cell>
          <cell r="T1683" t="str">
            <v>Functioning</v>
          </cell>
          <cell r="U1683" t="str">
            <v>Asset</v>
          </cell>
          <cell r="V1683">
            <v>875</v>
          </cell>
          <cell r="W1683" t="str">
            <v>KEW</v>
          </cell>
          <cell r="X1683" t="str">
            <v>21/09/2018</v>
          </cell>
          <cell r="Y1683" t="str">
            <v>KEW</v>
          </cell>
          <cell r="Z1683" t="str">
            <v>31/10/2018</v>
          </cell>
          <cell r="AA1683" t="str">
            <v>30/10/2019</v>
          </cell>
          <cell r="AB1683" t="str">
            <v>No</v>
          </cell>
          <cell r="AC1683" t="str">
            <v>31/10/2018</v>
          </cell>
          <cell r="AD1683" t="str">
            <v>Good</v>
          </cell>
          <cell r="AE1683" t="str">
            <v>V3 - Added Installed Facilities (New)</v>
          </cell>
          <cell r="AF1683">
            <v>43507</v>
          </cell>
          <cell r="AG1683">
            <v>1.17</v>
          </cell>
          <cell r="AH1683" t="str">
            <v>RI</v>
          </cell>
          <cell r="AI1683" t="str">
            <v>Strands</v>
          </cell>
          <cell r="AJ1683" t="str">
            <v>Strands PW</v>
          </cell>
        </row>
        <row r="1684">
          <cell r="A1684" t="str">
            <v>IKN401727</v>
          </cell>
          <cell r="B1684">
            <v>1641</v>
          </cell>
          <cell r="C1684" t="str">
            <v>Institut Kanser Negara</v>
          </cell>
          <cell r="D1684" t="str">
            <v>KKM/IKN/R/18/50</v>
          </cell>
          <cell r="E1684" t="str">
            <v>15-309</v>
          </cell>
          <cell r="F1684" t="str">
            <v>Training Manikins, Cardiopulmonary Resuscitation</v>
          </cell>
          <cell r="G1684" t="str">
            <v>AD</v>
          </cell>
          <cell r="H1684" t="str">
            <v>ADMINISTRATION</v>
          </cell>
          <cell r="I1684" t="str">
            <v>06AD122</v>
          </cell>
          <cell r="J1684" t="str">
            <v>SUPERVISOR 1</v>
          </cell>
          <cell r="K1684" t="str">
            <v>BMED</v>
          </cell>
          <cell r="L1684" t="str">
            <v>Normal</v>
          </cell>
          <cell r="M1684" t="str">
            <v>USA</v>
          </cell>
          <cell r="N1684" t="str">
            <v>Laerdal</v>
          </cell>
          <cell r="O1684" t="str">
            <v>Baby Anne</v>
          </cell>
          <cell r="P1684" t="str">
            <v>Not Available</v>
          </cell>
          <cell r="Q1684" t="str">
            <v>Not Applicable</v>
          </cell>
          <cell r="R1684" t="str">
            <v>Laerdal Medical Corp</v>
          </cell>
          <cell r="S1684" t="str">
            <v>LAERDAL MALAYSIA SDN BHD</v>
          </cell>
          <cell r="T1684" t="str">
            <v>Functioning</v>
          </cell>
          <cell r="U1684" t="str">
            <v>Asset</v>
          </cell>
          <cell r="V1684">
            <v>875</v>
          </cell>
          <cell r="W1684" t="str">
            <v>KEW</v>
          </cell>
          <cell r="X1684" t="str">
            <v>21/09/2018</v>
          </cell>
          <cell r="Y1684" t="str">
            <v>KEW</v>
          </cell>
          <cell r="Z1684" t="str">
            <v>31/10/2018</v>
          </cell>
          <cell r="AA1684" t="str">
            <v>30/10/2019</v>
          </cell>
          <cell r="AB1684" t="str">
            <v>No</v>
          </cell>
          <cell r="AC1684" t="str">
            <v>31/10/2018</v>
          </cell>
          <cell r="AD1684" t="str">
            <v>Good</v>
          </cell>
          <cell r="AE1684" t="str">
            <v>V3 - Added Installed Facilities (New)</v>
          </cell>
          <cell r="AF1684">
            <v>43507</v>
          </cell>
          <cell r="AG1684">
            <v>1.17</v>
          </cell>
          <cell r="AH1684" t="str">
            <v>RI</v>
          </cell>
          <cell r="AI1684" t="str">
            <v>Strands</v>
          </cell>
          <cell r="AJ1684" t="str">
            <v>Strands PW</v>
          </cell>
        </row>
        <row r="1685">
          <cell r="A1685" t="str">
            <v>IKN401728</v>
          </cell>
          <cell r="B1685">
            <v>1642</v>
          </cell>
          <cell r="C1685" t="str">
            <v>Institut Kanser Negara</v>
          </cell>
          <cell r="D1685" t="str">
            <v>KKM/IKN/R/18/51</v>
          </cell>
          <cell r="E1685" t="str">
            <v>15-309</v>
          </cell>
          <cell r="F1685" t="str">
            <v>Training Manikins, Cardiopulmonary Resuscitation</v>
          </cell>
          <cell r="G1685" t="str">
            <v>AD</v>
          </cell>
          <cell r="H1685" t="str">
            <v>ADMINISTRATION</v>
          </cell>
          <cell r="I1685" t="str">
            <v>06AD122</v>
          </cell>
          <cell r="J1685" t="str">
            <v>SUPERVISOR 1</v>
          </cell>
          <cell r="K1685" t="str">
            <v>BMED</v>
          </cell>
          <cell r="L1685" t="str">
            <v>Normal</v>
          </cell>
          <cell r="M1685" t="str">
            <v>USA</v>
          </cell>
          <cell r="N1685" t="str">
            <v>Laerdal</v>
          </cell>
          <cell r="O1685" t="str">
            <v>Baby Anne</v>
          </cell>
          <cell r="P1685" t="str">
            <v>Not Available</v>
          </cell>
          <cell r="Q1685" t="str">
            <v>Not Applicable</v>
          </cell>
          <cell r="R1685" t="str">
            <v>Laerdal Medical Corp</v>
          </cell>
          <cell r="S1685" t="str">
            <v>LAERDAL MALAYSIA SDN BHD</v>
          </cell>
          <cell r="T1685" t="str">
            <v>Functioning</v>
          </cell>
          <cell r="U1685" t="str">
            <v>Asset</v>
          </cell>
          <cell r="V1685">
            <v>875</v>
          </cell>
          <cell r="W1685" t="str">
            <v>KEW</v>
          </cell>
          <cell r="X1685" t="str">
            <v>21/09/2018</v>
          </cell>
          <cell r="Y1685" t="str">
            <v>KEW</v>
          </cell>
          <cell r="Z1685" t="str">
            <v>31/10/2018</v>
          </cell>
          <cell r="AA1685" t="str">
            <v>30/10/2019</v>
          </cell>
          <cell r="AB1685" t="str">
            <v>No</v>
          </cell>
          <cell r="AC1685" t="str">
            <v>31/10/2018</v>
          </cell>
          <cell r="AD1685" t="str">
            <v>Good</v>
          </cell>
          <cell r="AE1685" t="str">
            <v>V3 - Added Installed Facilities (New)</v>
          </cell>
          <cell r="AF1685">
            <v>43507</v>
          </cell>
          <cell r="AG1685">
            <v>1.17</v>
          </cell>
          <cell r="AH1685" t="str">
            <v>RI</v>
          </cell>
          <cell r="AI1685" t="str">
            <v>Strands</v>
          </cell>
          <cell r="AJ1685" t="str">
            <v>Strands PW</v>
          </cell>
        </row>
        <row r="1686">
          <cell r="A1686" t="str">
            <v>IKN401729</v>
          </cell>
          <cell r="B1686">
            <v>1643</v>
          </cell>
          <cell r="C1686" t="str">
            <v>Institut Kanser Negara</v>
          </cell>
          <cell r="D1686" t="str">
            <v>KKM/IKN/R/18/52</v>
          </cell>
          <cell r="E1686" t="str">
            <v>15-309</v>
          </cell>
          <cell r="F1686" t="str">
            <v>Training Manikins, Cardiopulmonary Resuscitation</v>
          </cell>
          <cell r="G1686" t="str">
            <v>AD</v>
          </cell>
          <cell r="H1686" t="str">
            <v>ADMINISTRATION</v>
          </cell>
          <cell r="I1686" t="str">
            <v>06AD122</v>
          </cell>
          <cell r="J1686" t="str">
            <v>SUPERVISOR 1</v>
          </cell>
          <cell r="K1686" t="str">
            <v>BMED</v>
          </cell>
          <cell r="L1686" t="str">
            <v>Normal</v>
          </cell>
          <cell r="M1686" t="str">
            <v>USA</v>
          </cell>
          <cell r="N1686" t="str">
            <v>Laerdal</v>
          </cell>
          <cell r="O1686" t="str">
            <v>Baby Anne</v>
          </cell>
          <cell r="P1686" t="str">
            <v>Not Available</v>
          </cell>
          <cell r="Q1686" t="str">
            <v>Not Applicable</v>
          </cell>
          <cell r="R1686" t="str">
            <v>Laerdal Medical Corp</v>
          </cell>
          <cell r="S1686" t="str">
            <v>LAERDAL MALAYSIA SDN BHD</v>
          </cell>
          <cell r="T1686" t="str">
            <v>Functioning</v>
          </cell>
          <cell r="U1686" t="str">
            <v>Asset</v>
          </cell>
          <cell r="V1686">
            <v>875</v>
          </cell>
          <cell r="W1686" t="str">
            <v>KEW</v>
          </cell>
          <cell r="X1686" t="str">
            <v>21/09/2018</v>
          </cell>
          <cell r="Y1686" t="str">
            <v>KEW</v>
          </cell>
          <cell r="Z1686" t="str">
            <v>31/10/2018</v>
          </cell>
          <cell r="AA1686" t="str">
            <v>30/10/2019</v>
          </cell>
          <cell r="AB1686" t="str">
            <v>No</v>
          </cell>
          <cell r="AC1686" t="str">
            <v>31/10/2018</v>
          </cell>
          <cell r="AD1686" t="str">
            <v>Good</v>
          </cell>
          <cell r="AE1686" t="str">
            <v>V3 - Added Installed Facilities (New)</v>
          </cell>
          <cell r="AF1686">
            <v>43507</v>
          </cell>
          <cell r="AG1686">
            <v>1.17</v>
          </cell>
          <cell r="AH1686" t="str">
            <v>RI</v>
          </cell>
          <cell r="AI1686" t="str">
            <v>Strands</v>
          </cell>
          <cell r="AJ1686" t="str">
            <v>Strands PW</v>
          </cell>
        </row>
        <row r="1687">
          <cell r="A1687" t="str">
            <v>IKN401730</v>
          </cell>
          <cell r="B1687">
            <v>1644</v>
          </cell>
          <cell r="C1687" t="str">
            <v>Institut Kanser Negara</v>
          </cell>
          <cell r="D1687" t="str">
            <v>KKM/IKN/R/18/53</v>
          </cell>
          <cell r="E1687" t="str">
            <v>15-309</v>
          </cell>
          <cell r="F1687" t="str">
            <v>Training Manikins, Cardiopulmonary Resuscitation</v>
          </cell>
          <cell r="G1687" t="str">
            <v>AD</v>
          </cell>
          <cell r="H1687" t="str">
            <v>ADMINISTRATION</v>
          </cell>
          <cell r="I1687" t="str">
            <v>06AD122</v>
          </cell>
          <cell r="J1687" t="str">
            <v>SUPERVISOR 1</v>
          </cell>
          <cell r="K1687" t="str">
            <v>BMED</v>
          </cell>
          <cell r="L1687" t="str">
            <v>Normal</v>
          </cell>
          <cell r="M1687" t="str">
            <v>USA</v>
          </cell>
          <cell r="N1687" t="str">
            <v>Laerdal</v>
          </cell>
          <cell r="O1687" t="str">
            <v>Baby Anne</v>
          </cell>
          <cell r="P1687" t="str">
            <v>Not Available</v>
          </cell>
          <cell r="Q1687" t="str">
            <v>Not Applicable</v>
          </cell>
          <cell r="R1687" t="str">
            <v>Laerdal Medical Corp</v>
          </cell>
          <cell r="S1687" t="str">
            <v>LAERDAL MALAYSIA SDN BHD</v>
          </cell>
          <cell r="T1687" t="str">
            <v>Functioning</v>
          </cell>
          <cell r="U1687" t="str">
            <v>Asset</v>
          </cell>
          <cell r="V1687">
            <v>875</v>
          </cell>
          <cell r="W1687" t="str">
            <v>KEW</v>
          </cell>
          <cell r="X1687" t="str">
            <v>21/09/2018</v>
          </cell>
          <cell r="Y1687" t="str">
            <v>KEW</v>
          </cell>
          <cell r="Z1687" t="str">
            <v>31/10/2018</v>
          </cell>
          <cell r="AA1687" t="str">
            <v>30/10/2019</v>
          </cell>
          <cell r="AB1687" t="str">
            <v>No</v>
          </cell>
          <cell r="AC1687" t="str">
            <v>31/10/2018</v>
          </cell>
          <cell r="AD1687" t="str">
            <v>Good</v>
          </cell>
          <cell r="AE1687" t="str">
            <v>V3 - Added Installed Facilities (New)</v>
          </cell>
          <cell r="AF1687">
            <v>43507</v>
          </cell>
          <cell r="AG1687">
            <v>1.17</v>
          </cell>
          <cell r="AH1687" t="str">
            <v>RI</v>
          </cell>
          <cell r="AI1687" t="str">
            <v>Strands</v>
          </cell>
          <cell r="AJ1687" t="str">
            <v>Strands PW</v>
          </cell>
        </row>
        <row r="1688">
          <cell r="A1688" t="str">
            <v>IKN401731</v>
          </cell>
          <cell r="B1688">
            <v>1645</v>
          </cell>
          <cell r="C1688" t="str">
            <v>Institut Kanser Negara</v>
          </cell>
          <cell r="D1688" t="str">
            <v>KKM/IKN/R/18/54</v>
          </cell>
          <cell r="E1688" t="str">
            <v>15-309</v>
          </cell>
          <cell r="F1688" t="str">
            <v>Training Manikins, Cardiopulmonary Resuscitation</v>
          </cell>
          <cell r="G1688" t="str">
            <v>AD</v>
          </cell>
          <cell r="H1688" t="str">
            <v>ADMINISTRATION</v>
          </cell>
          <cell r="I1688" t="str">
            <v>06AD122</v>
          </cell>
          <cell r="J1688" t="str">
            <v>SUPERVISOR 1</v>
          </cell>
          <cell r="K1688" t="str">
            <v>BMED</v>
          </cell>
          <cell r="L1688" t="str">
            <v>Normal</v>
          </cell>
          <cell r="M1688" t="str">
            <v>USA</v>
          </cell>
          <cell r="N1688" t="str">
            <v>Laerdal</v>
          </cell>
          <cell r="O1688" t="str">
            <v>Baby Anne</v>
          </cell>
          <cell r="P1688" t="str">
            <v>Not Available</v>
          </cell>
          <cell r="Q1688" t="str">
            <v>Not Applicable</v>
          </cell>
          <cell r="R1688" t="str">
            <v>Laerdal Medical Corp</v>
          </cell>
          <cell r="S1688" t="str">
            <v>LAERDAL MALAYSIA SDN BHD</v>
          </cell>
          <cell r="T1688" t="str">
            <v>Functioning</v>
          </cell>
          <cell r="U1688" t="str">
            <v>Asset</v>
          </cell>
          <cell r="V1688">
            <v>875</v>
          </cell>
          <cell r="W1688" t="str">
            <v>KEW</v>
          </cell>
          <cell r="X1688" t="str">
            <v>21/09/2018</v>
          </cell>
          <cell r="Y1688" t="str">
            <v>KEW</v>
          </cell>
          <cell r="Z1688" t="str">
            <v>31/10/2018</v>
          </cell>
          <cell r="AA1688" t="str">
            <v>30/10/2019</v>
          </cell>
          <cell r="AB1688" t="str">
            <v>No</v>
          </cell>
          <cell r="AC1688" t="str">
            <v>31/10/2018</v>
          </cell>
          <cell r="AD1688" t="str">
            <v>Good</v>
          </cell>
          <cell r="AE1688" t="str">
            <v>V3 - Added Installed Facilities (New)</v>
          </cell>
          <cell r="AF1688">
            <v>43507</v>
          </cell>
          <cell r="AG1688">
            <v>1.17</v>
          </cell>
          <cell r="AH1688" t="str">
            <v>RI</v>
          </cell>
          <cell r="AI1688" t="str">
            <v>Strands</v>
          </cell>
          <cell r="AJ1688" t="str">
            <v>Strands PW</v>
          </cell>
        </row>
        <row r="1689">
          <cell r="A1689" t="str">
            <v>IKN401732</v>
          </cell>
          <cell r="B1689">
            <v>1646</v>
          </cell>
          <cell r="C1689" t="str">
            <v>Institut Kanser Negara</v>
          </cell>
          <cell r="D1689" t="str">
            <v>KKM/IKN/R/18/55</v>
          </cell>
          <cell r="E1689" t="str">
            <v>15-309</v>
          </cell>
          <cell r="F1689" t="str">
            <v>Training Manikins, Cardiopulmonary Resuscitation</v>
          </cell>
          <cell r="G1689" t="str">
            <v>AD</v>
          </cell>
          <cell r="H1689" t="str">
            <v>ADMINISTRATION</v>
          </cell>
          <cell r="I1689" t="str">
            <v>06AD122</v>
          </cell>
          <cell r="J1689" t="str">
            <v>SUPERVISOR 1</v>
          </cell>
          <cell r="K1689" t="str">
            <v>BMED</v>
          </cell>
          <cell r="L1689" t="str">
            <v>Normal</v>
          </cell>
          <cell r="M1689" t="str">
            <v>USA</v>
          </cell>
          <cell r="N1689" t="str">
            <v>Laerdal</v>
          </cell>
          <cell r="O1689" t="str">
            <v>Baby Anne</v>
          </cell>
          <cell r="P1689" t="str">
            <v>Not Available</v>
          </cell>
          <cell r="Q1689" t="str">
            <v>Not Applicable</v>
          </cell>
          <cell r="R1689" t="str">
            <v>Laerdal Medical Corp</v>
          </cell>
          <cell r="S1689" t="str">
            <v>LAERDAL MALAYSIA SDN BHD</v>
          </cell>
          <cell r="T1689" t="str">
            <v>Functioning</v>
          </cell>
          <cell r="U1689" t="str">
            <v>Asset</v>
          </cell>
          <cell r="V1689">
            <v>875</v>
          </cell>
          <cell r="W1689" t="str">
            <v>KEW</v>
          </cell>
          <cell r="X1689" t="str">
            <v>21/09/2018</v>
          </cell>
          <cell r="Y1689" t="str">
            <v>KEW</v>
          </cell>
          <cell r="Z1689" t="str">
            <v>31/10/2018</v>
          </cell>
          <cell r="AA1689" t="str">
            <v>30/10/2019</v>
          </cell>
          <cell r="AB1689" t="str">
            <v>No</v>
          </cell>
          <cell r="AC1689" t="str">
            <v>31/10/2018</v>
          </cell>
          <cell r="AD1689" t="str">
            <v>Good</v>
          </cell>
          <cell r="AE1689" t="str">
            <v>V3 - Added Installed Facilities (New)</v>
          </cell>
          <cell r="AF1689">
            <v>43507</v>
          </cell>
          <cell r="AG1689">
            <v>1.17</v>
          </cell>
          <cell r="AH1689" t="str">
            <v>RI</v>
          </cell>
          <cell r="AI1689" t="str">
            <v>Strands</v>
          </cell>
          <cell r="AJ1689" t="str">
            <v>Strands PW</v>
          </cell>
        </row>
        <row r="1690">
          <cell r="A1690" t="str">
            <v>IKN401733</v>
          </cell>
          <cell r="B1690">
            <v>1647</v>
          </cell>
          <cell r="C1690" t="str">
            <v>Institut Kanser Negara</v>
          </cell>
          <cell r="D1690" t="str">
            <v>KKM/IKN/H/18/20</v>
          </cell>
          <cell r="E1690" t="str">
            <v>15-309</v>
          </cell>
          <cell r="F1690" t="str">
            <v>Training Manikins, Cardiopulmonary Resuscitation</v>
          </cell>
          <cell r="G1690" t="str">
            <v>AD</v>
          </cell>
          <cell r="H1690" t="str">
            <v>ADMINISTRATION</v>
          </cell>
          <cell r="I1690" t="str">
            <v>06AD122</v>
          </cell>
          <cell r="J1690" t="str">
            <v>SUPERVISOR 1</v>
          </cell>
          <cell r="K1690" t="str">
            <v>BMED</v>
          </cell>
          <cell r="L1690" t="str">
            <v>Normal</v>
          </cell>
          <cell r="M1690" t="str">
            <v>USA</v>
          </cell>
          <cell r="N1690" t="str">
            <v>Laerdal</v>
          </cell>
          <cell r="O1690" t="str">
            <v>Choking Charlie</v>
          </cell>
          <cell r="P1690" t="str">
            <v>Not Available</v>
          </cell>
          <cell r="Q1690" t="str">
            <v>Not Applicable</v>
          </cell>
          <cell r="R1690" t="str">
            <v>Laerdal Medical Corp</v>
          </cell>
          <cell r="S1690" t="str">
            <v>LAERDAL MALAYSIA SDN BHD</v>
          </cell>
          <cell r="T1690" t="str">
            <v>Functioning</v>
          </cell>
          <cell r="U1690" t="str">
            <v>Asset</v>
          </cell>
          <cell r="V1690">
            <v>4482</v>
          </cell>
          <cell r="W1690" t="str">
            <v>KEW</v>
          </cell>
          <cell r="X1690" t="str">
            <v>20/09/2018</v>
          </cell>
          <cell r="Y1690" t="str">
            <v>KEW</v>
          </cell>
          <cell r="Z1690" t="str">
            <v>31/10/2018</v>
          </cell>
          <cell r="AA1690" t="str">
            <v>31/10/2018</v>
          </cell>
          <cell r="AB1690" t="str">
            <v>No</v>
          </cell>
          <cell r="AC1690" t="str">
            <v>31/10/2018</v>
          </cell>
          <cell r="AD1690" t="str">
            <v>Good</v>
          </cell>
          <cell r="AE1690" t="str">
            <v>V3 - Added Installed Facilities (New)</v>
          </cell>
          <cell r="AF1690">
            <v>43482</v>
          </cell>
          <cell r="AG1690">
            <v>1.17</v>
          </cell>
          <cell r="AH1690" t="str">
            <v>RI</v>
          </cell>
          <cell r="AI1690" t="str">
            <v>Strands</v>
          </cell>
          <cell r="AJ1690" t="str">
            <v>Strands PW</v>
          </cell>
        </row>
        <row r="1691">
          <cell r="A1691" t="str">
            <v>IKN401734</v>
          </cell>
          <cell r="B1691">
            <v>1648</v>
          </cell>
          <cell r="C1691" t="str">
            <v>Institut Kanser Negara</v>
          </cell>
          <cell r="D1691" t="str">
            <v>KKM/IKN/H/00/1</v>
          </cell>
          <cell r="E1691" t="str">
            <v>18-449</v>
          </cell>
          <cell r="F1691" t="str">
            <v>Balances, Electronic, Analytical</v>
          </cell>
          <cell r="G1691" t="str">
            <v>NM</v>
          </cell>
          <cell r="H1691" t="str">
            <v>NUCLEAR MED (DIAGNOSTIC)</v>
          </cell>
          <cell r="I1691" t="str">
            <v>03NM153</v>
          </cell>
          <cell r="J1691" t="str">
            <v>PHYSICS LAB</v>
          </cell>
          <cell r="K1691" t="str">
            <v>BMED</v>
          </cell>
          <cell r="L1691" t="str">
            <v>Normal</v>
          </cell>
          <cell r="M1691" t="str">
            <v>Switzerland</v>
          </cell>
          <cell r="N1691" t="str">
            <v>Precisa Instrument AG</v>
          </cell>
          <cell r="O1691" t="str">
            <v>125 A SCS</v>
          </cell>
          <cell r="P1691" t="str">
            <v>41705</v>
          </cell>
          <cell r="Q1691" t="str">
            <v>Not Applicable</v>
          </cell>
          <cell r="R1691" t="str">
            <v>PRECISA</v>
          </cell>
          <cell r="S1691" t="str">
            <v>Bumi Jiwa Sdn. Bhd.</v>
          </cell>
          <cell r="T1691" t="str">
            <v>Functioning</v>
          </cell>
          <cell r="U1691" t="str">
            <v>Asset</v>
          </cell>
          <cell r="V1691">
            <v>6617</v>
          </cell>
          <cell r="W1691" t="str">
            <v>KEW</v>
          </cell>
          <cell r="X1691" t="str">
            <v>05/05/2000</v>
          </cell>
          <cell r="Y1691" t="str">
            <v>KEW</v>
          </cell>
          <cell r="Z1691" t="str">
            <v>05/05/2000</v>
          </cell>
          <cell r="AA1691" t="str">
            <v>04/05/2001</v>
          </cell>
          <cell r="AB1691" t="str">
            <v>No</v>
          </cell>
          <cell r="AC1691" t="str">
            <v>08/02/2019</v>
          </cell>
          <cell r="AD1691" t="str">
            <v>Good</v>
          </cell>
          <cell r="AE1691" t="str">
            <v>V3 - Added Installed Facilities (New)</v>
          </cell>
          <cell r="AF1691">
            <v>43663</v>
          </cell>
          <cell r="AG1691">
            <v>19.5</v>
          </cell>
          <cell r="AH1691" t="str">
            <v>PPM</v>
          </cell>
          <cell r="AI1691" t="str">
            <v>Strands</v>
          </cell>
          <cell r="AJ1691" t="str">
            <v>Strands PW</v>
          </cell>
          <cell r="AK1691" t="str">
            <v>SNF received. 1st batch of V3 asset (December 2020)</v>
          </cell>
        </row>
        <row r="1692">
          <cell r="A1692" t="str">
            <v>IKN401735</v>
          </cell>
          <cell r="B1692">
            <v>1649</v>
          </cell>
          <cell r="C1692" t="str">
            <v>Institut Kanser Negara</v>
          </cell>
          <cell r="D1692" t="str">
            <v>KKM/IKN/H/13/3988</v>
          </cell>
          <cell r="E1692" t="str">
            <v>13-275</v>
          </cell>
          <cell r="F1692" t="str">
            <v>Calibrators, Radioisotope</v>
          </cell>
          <cell r="G1692" t="str">
            <v>NM</v>
          </cell>
          <cell r="H1692" t="str">
            <v>NUCLEAR MED (DIAGNOSTIC)</v>
          </cell>
          <cell r="I1692" t="str">
            <v>03NM153A</v>
          </cell>
          <cell r="J1692" t="str">
            <v>PET CT, HPJ</v>
          </cell>
          <cell r="K1692" t="str">
            <v>BMED</v>
          </cell>
          <cell r="L1692" t="str">
            <v>Normal</v>
          </cell>
          <cell r="M1692" t="str">
            <v>USA</v>
          </cell>
          <cell r="N1692" t="str">
            <v>Atomlab</v>
          </cell>
          <cell r="O1692" t="str">
            <v>Atomlab 500</v>
          </cell>
          <cell r="P1692">
            <v>12080700</v>
          </cell>
          <cell r="Q1692" t="str">
            <v>Not Applicable</v>
          </cell>
          <cell r="R1692" t="str">
            <v>Biodex Medical Systems Inc</v>
          </cell>
          <cell r="S1692" t="str">
            <v>Biodex Medical Systems Inc</v>
          </cell>
          <cell r="T1692" t="str">
            <v>Functioning</v>
          </cell>
          <cell r="U1692" t="str">
            <v>Asset</v>
          </cell>
          <cell r="V1692">
            <v>60390</v>
          </cell>
          <cell r="W1692" t="str">
            <v>KEW</v>
          </cell>
          <cell r="X1692" t="str">
            <v>01/09/2010</v>
          </cell>
          <cell r="Y1692" t="str">
            <v>KEW</v>
          </cell>
          <cell r="Z1692" t="str">
            <v>16/08/2013</v>
          </cell>
          <cell r="AA1692" t="str">
            <v>15/08/2015</v>
          </cell>
          <cell r="AB1692" t="str">
            <v>No</v>
          </cell>
          <cell r="AC1692" t="str">
            <v>16/08/2013</v>
          </cell>
          <cell r="AD1692" t="str">
            <v>Good</v>
          </cell>
          <cell r="AE1692" t="str">
            <v>V10 - Asset in initial fee submission(new/replacement hosp)</v>
          </cell>
          <cell r="AF1692">
            <v>43669</v>
          </cell>
          <cell r="AG1692">
            <v>9.17</v>
          </cell>
          <cell r="AH1692" t="str">
            <v>PPM</v>
          </cell>
          <cell r="AI1692" t="str">
            <v>package</v>
          </cell>
          <cell r="AJ1692" t="str">
            <v>Proposed for V3 P2.24</v>
          </cell>
          <cell r="AK1692" t="str">
            <v>[28/2/2024] ANIS: UPDATE KKM NO., PRICE, TYPE CODE: 13275-001.</v>
          </cell>
        </row>
        <row r="1693">
          <cell r="A1693" t="str">
            <v>IKN401736</v>
          </cell>
          <cell r="B1693">
            <v>1650</v>
          </cell>
          <cell r="C1693" t="str">
            <v>Institut Kanser Negara</v>
          </cell>
          <cell r="D1693" t="str">
            <v>KKM/IKN/H/13/3989</v>
          </cell>
          <cell r="E1693" t="str">
            <v>13-275</v>
          </cell>
          <cell r="F1693" t="str">
            <v>Calibrators, Radioisotope</v>
          </cell>
          <cell r="G1693" t="str">
            <v>NM</v>
          </cell>
          <cell r="H1693" t="str">
            <v>NUCLEAR MED (DIAGNOSTIC)</v>
          </cell>
          <cell r="I1693" t="str">
            <v>03NM153A</v>
          </cell>
          <cell r="J1693" t="str">
            <v>PET CT, HPJ</v>
          </cell>
          <cell r="K1693" t="str">
            <v>BMED</v>
          </cell>
          <cell r="L1693" t="str">
            <v>Normal</v>
          </cell>
          <cell r="M1693" t="str">
            <v>USA</v>
          </cell>
          <cell r="N1693" t="str">
            <v>Atomlab</v>
          </cell>
          <cell r="O1693" t="str">
            <v>Atomlab 500</v>
          </cell>
          <cell r="P1693" t="str">
            <v>12080702</v>
          </cell>
          <cell r="Q1693" t="str">
            <v>Not Applicable</v>
          </cell>
          <cell r="R1693" t="str">
            <v>Biodex Medical Systems Inc</v>
          </cell>
          <cell r="S1693" t="str">
            <v>Biodex Medical Systems Inc</v>
          </cell>
          <cell r="T1693" t="str">
            <v>Functioning</v>
          </cell>
          <cell r="U1693" t="str">
            <v>Asset</v>
          </cell>
          <cell r="V1693">
            <v>20000</v>
          </cell>
          <cell r="W1693" t="str">
            <v>KEW</v>
          </cell>
          <cell r="X1693" t="str">
            <v>01/09/2010</v>
          </cell>
          <cell r="Y1693" t="str">
            <v>KEW</v>
          </cell>
          <cell r="Z1693" t="str">
            <v>16/08/2013</v>
          </cell>
          <cell r="AA1693" t="str">
            <v>15/08/2015</v>
          </cell>
          <cell r="AB1693" t="str">
            <v>No</v>
          </cell>
          <cell r="AC1693" t="str">
            <v>16/08/2013</v>
          </cell>
          <cell r="AD1693" t="str">
            <v>Good</v>
          </cell>
          <cell r="AE1693" t="str">
            <v>V10 - Asset in initial fee submission(new/replacement hosp)</v>
          </cell>
          <cell r="AF1693">
            <v>43669</v>
          </cell>
          <cell r="AG1693">
            <v>9.17</v>
          </cell>
          <cell r="AH1693" t="str">
            <v>PPM</v>
          </cell>
          <cell r="AI1693" t="str">
            <v>package</v>
          </cell>
        </row>
        <row r="1694">
          <cell r="A1694" t="str">
            <v>IKN401991</v>
          </cell>
          <cell r="B1694">
            <v>1651</v>
          </cell>
          <cell r="C1694" t="str">
            <v>Institut Kanser Negara</v>
          </cell>
          <cell r="D1694" t="e">
            <v>#N/A</v>
          </cell>
          <cell r="E1694" t="str">
            <v>12-956</v>
          </cell>
          <cell r="F1694" t="str">
            <v>Baths, Paraffin, Physical Therapy</v>
          </cell>
          <cell r="G1694" t="str">
            <v>RT</v>
          </cell>
          <cell r="H1694" t="str">
            <v>RADIATION TREATMENT UNIT</v>
          </cell>
          <cell r="I1694" t="str">
            <v>01RT118</v>
          </cell>
          <cell r="J1694" t="str">
            <v>CT SIMULATOR 2</v>
          </cell>
          <cell r="K1694" t="str">
            <v>BMED</v>
          </cell>
          <cell r="L1694" t="str">
            <v>Normal</v>
          </cell>
          <cell r="M1694" t="str">
            <v>USA</v>
          </cell>
          <cell r="N1694" t="str">
            <v>Civco</v>
          </cell>
          <cell r="O1694" t="str">
            <v>MTRH 1500 EX</v>
          </cell>
          <cell r="P1694" t="str">
            <v>5848</v>
          </cell>
          <cell r="Q1694" t="str">
            <v>Not Applicable</v>
          </cell>
          <cell r="R1694" t="str">
            <v>Civco</v>
          </cell>
          <cell r="S1694" t="str">
            <v>Civco</v>
          </cell>
          <cell r="T1694" t="str">
            <v>Functioning</v>
          </cell>
          <cell r="U1694" t="str">
            <v>Asset</v>
          </cell>
          <cell r="V1694">
            <v>1</v>
          </cell>
          <cell r="W1694" t="str">
            <v>KEW</v>
          </cell>
          <cell r="X1694" t="str">
            <v>01/09/2010</v>
          </cell>
          <cell r="Y1694" t="str">
            <v>KEW</v>
          </cell>
          <cell r="Z1694" t="str">
            <v>16/08/2013</v>
          </cell>
          <cell r="AA1694" t="str">
            <v>15/08/2015</v>
          </cell>
          <cell r="AB1694" t="str">
            <v>No</v>
          </cell>
          <cell r="AC1694" t="str">
            <v>31/08/2013</v>
          </cell>
          <cell r="AD1694" t="str">
            <v>Good</v>
          </cell>
          <cell r="AE1694" t="str">
            <v>V1 - Existing / No Claim</v>
          </cell>
          <cell r="AF1694">
            <v>43455</v>
          </cell>
          <cell r="AG1694">
            <v>9.17</v>
          </cell>
          <cell r="AH1694" t="str">
            <v>PPM</v>
          </cell>
          <cell r="AI1694" t="str">
            <v>package</v>
          </cell>
        </row>
        <row r="1695">
          <cell r="A1695" t="str">
            <v>IKN401993</v>
          </cell>
          <cell r="B1695">
            <v>1652</v>
          </cell>
          <cell r="C1695" t="str">
            <v>Institut Kanser Negara</v>
          </cell>
          <cell r="D1695" t="e">
            <v>#N/A</v>
          </cell>
          <cell r="E1695" t="str">
            <v>12-956</v>
          </cell>
          <cell r="F1695" t="str">
            <v>Baths, Paraffin, Physical Therapy</v>
          </cell>
          <cell r="G1695" t="str">
            <v>RT</v>
          </cell>
          <cell r="H1695" t="str">
            <v>RADIATION TREATMENT UNIT</v>
          </cell>
          <cell r="I1695" t="str">
            <v>01RT116</v>
          </cell>
          <cell r="J1695" t="str">
            <v>CT SIMULATOR 1</v>
          </cell>
          <cell r="K1695" t="str">
            <v>BMED</v>
          </cell>
          <cell r="L1695" t="str">
            <v>Normal</v>
          </cell>
          <cell r="M1695" t="str">
            <v>USA</v>
          </cell>
          <cell r="N1695" t="str">
            <v>Civco</v>
          </cell>
          <cell r="O1695" t="str">
            <v>MTRH 1500 EX</v>
          </cell>
          <cell r="P1695" t="str">
            <v>5866</v>
          </cell>
          <cell r="Q1695" t="str">
            <v>Not Applicable</v>
          </cell>
          <cell r="R1695" t="str">
            <v>Civco</v>
          </cell>
          <cell r="S1695" t="str">
            <v>Civco</v>
          </cell>
          <cell r="T1695" t="str">
            <v>Functioning</v>
          </cell>
          <cell r="U1695" t="str">
            <v>Asset</v>
          </cell>
          <cell r="V1695">
            <v>1</v>
          </cell>
          <cell r="W1695" t="str">
            <v>KEW</v>
          </cell>
          <cell r="X1695" t="str">
            <v>01/09/2010</v>
          </cell>
          <cell r="Y1695" t="str">
            <v>KEW</v>
          </cell>
          <cell r="Z1695" t="str">
            <v>16/08/2013</v>
          </cell>
          <cell r="AA1695" t="str">
            <v>15/08/2015</v>
          </cell>
          <cell r="AB1695" t="str">
            <v>No</v>
          </cell>
          <cell r="AC1695" t="str">
            <v>31/08/2013</v>
          </cell>
          <cell r="AD1695" t="str">
            <v>Good</v>
          </cell>
          <cell r="AE1695" t="str">
            <v>V1 - Existing / No Claim</v>
          </cell>
          <cell r="AF1695">
            <v>43455</v>
          </cell>
          <cell r="AG1695">
            <v>9.17</v>
          </cell>
          <cell r="AH1695" t="str">
            <v>PPM</v>
          </cell>
          <cell r="AI1695" t="str">
            <v>package</v>
          </cell>
        </row>
        <row r="1696">
          <cell r="A1696" t="str">
            <v>IKN401998</v>
          </cell>
          <cell r="B1696">
            <v>1653</v>
          </cell>
          <cell r="C1696" t="str">
            <v>Institut Kanser Negara</v>
          </cell>
          <cell r="D1696" t="e">
            <v>#N/A</v>
          </cell>
          <cell r="E1696" t="str">
            <v>16-287</v>
          </cell>
          <cell r="F1696" t="str">
            <v>Hot Plates</v>
          </cell>
          <cell r="G1696" t="str">
            <v>PF</v>
          </cell>
          <cell r="H1696" t="str">
            <v>IN-PATIENT PHARMACY</v>
          </cell>
          <cell r="I1696" t="str">
            <v>05PF110</v>
          </cell>
          <cell r="J1696" t="str">
            <v>EXTERNAL PREP</v>
          </cell>
          <cell r="K1696" t="str">
            <v>BMED</v>
          </cell>
          <cell r="L1696" t="str">
            <v>Normal</v>
          </cell>
          <cell r="M1696" t="str">
            <v>UK</v>
          </cell>
          <cell r="N1696" t="str">
            <v>STUART</v>
          </cell>
          <cell r="O1696" t="str">
            <v>SB160</v>
          </cell>
          <cell r="P1696" t="str">
            <v>R400000338</v>
          </cell>
          <cell r="Q1696" t="str">
            <v>Not Applicable</v>
          </cell>
          <cell r="R1696" t="str">
            <v>STUART</v>
          </cell>
          <cell r="S1696" t="str">
            <v>STUART</v>
          </cell>
          <cell r="T1696" t="str">
            <v>Functioning</v>
          </cell>
          <cell r="U1696" t="str">
            <v>Asset</v>
          </cell>
          <cell r="V1696">
            <v>2170</v>
          </cell>
          <cell r="W1696" t="str">
            <v>Estimate</v>
          </cell>
          <cell r="X1696" t="str">
            <v>01/09/2010</v>
          </cell>
          <cell r="Y1696" t="str">
            <v>Estimate</v>
          </cell>
          <cell r="Z1696" t="str">
            <v>16/08/2013</v>
          </cell>
          <cell r="AA1696" t="str">
            <v>15/08/2015</v>
          </cell>
          <cell r="AB1696" t="str">
            <v>No</v>
          </cell>
          <cell r="AC1696" t="str">
            <v>31/08/2013</v>
          </cell>
          <cell r="AD1696" t="str">
            <v>Good</v>
          </cell>
          <cell r="AE1696" t="str">
            <v>V1 - Existing / No Claim</v>
          </cell>
          <cell r="AF1696">
            <v>42867</v>
          </cell>
          <cell r="AG1696">
            <v>9.17</v>
          </cell>
          <cell r="AH1696" t="str">
            <v>RI</v>
          </cell>
          <cell r="AI1696" t="str">
            <v>Not in contract</v>
          </cell>
        </row>
        <row r="1697">
          <cell r="A1697" t="str">
            <v>IKN401999</v>
          </cell>
          <cell r="B1697">
            <v>1654</v>
          </cell>
          <cell r="C1697" t="str">
            <v>Institut Kanser Negara</v>
          </cell>
          <cell r="D1697" t="str">
            <v>KKM/IKN/H/13/4881</v>
          </cell>
          <cell r="E1697" t="str">
            <v>10-263</v>
          </cell>
          <cell r="F1697" t="str">
            <v>Balances, Electronic</v>
          </cell>
          <cell r="G1697" t="str">
            <v>PF</v>
          </cell>
          <cell r="H1697" t="str">
            <v>IN-PATIENT PHARMACY</v>
          </cell>
          <cell r="I1697" t="str">
            <v>05PF110</v>
          </cell>
          <cell r="J1697" t="str">
            <v>EXTERNAL PREP</v>
          </cell>
          <cell r="K1697" t="str">
            <v>BMED</v>
          </cell>
          <cell r="L1697" t="str">
            <v>Normal</v>
          </cell>
          <cell r="M1697" t="str">
            <v>Germany</v>
          </cell>
          <cell r="N1697" t="str">
            <v>Sartorius</v>
          </cell>
          <cell r="O1697" t="str">
            <v>Sartorius</v>
          </cell>
          <cell r="P1697" t="str">
            <v>Not Available</v>
          </cell>
          <cell r="Q1697" t="str">
            <v>Not Applicable</v>
          </cell>
          <cell r="R1697" t="str">
            <v>Sartorius AG</v>
          </cell>
          <cell r="S1697" t="str">
            <v>Sartorius AG</v>
          </cell>
          <cell r="T1697" t="str">
            <v>Functioning</v>
          </cell>
          <cell r="U1697" t="str">
            <v>Asset</v>
          </cell>
          <cell r="V1697">
            <v>3850</v>
          </cell>
          <cell r="W1697" t="str">
            <v>KEW</v>
          </cell>
          <cell r="X1697" t="str">
            <v>01/09/2010</v>
          </cell>
          <cell r="Y1697" t="str">
            <v>Estimate</v>
          </cell>
          <cell r="Z1697" t="str">
            <v>16/08/2013</v>
          </cell>
          <cell r="AA1697" t="str">
            <v>15/08/2015</v>
          </cell>
          <cell r="AB1697" t="str">
            <v>No</v>
          </cell>
          <cell r="AC1697" t="str">
            <v>31/08/2013</v>
          </cell>
          <cell r="AD1697" t="str">
            <v>Good</v>
          </cell>
          <cell r="AE1697" t="str">
            <v>V1 - Existing / No Claim</v>
          </cell>
          <cell r="AF1697">
            <v>42867</v>
          </cell>
          <cell r="AG1697">
            <v>9.17</v>
          </cell>
          <cell r="AH1697" t="str">
            <v>PPM</v>
          </cell>
          <cell r="AI1697" t="str">
            <v>Strands</v>
          </cell>
          <cell r="AJ1697" t="str">
            <v>Strands PW</v>
          </cell>
        </row>
        <row r="1698">
          <cell r="A1698" t="str">
            <v>IKN402000</v>
          </cell>
          <cell r="B1698">
            <v>1655</v>
          </cell>
          <cell r="C1698" t="str">
            <v>Institut Kanser Negara</v>
          </cell>
          <cell r="D1698" t="str">
            <v>KKM/IKN/H/13/4874</v>
          </cell>
          <cell r="E1698" t="str">
            <v>15-651</v>
          </cell>
          <cell r="F1698" t="str">
            <v>Stirrers</v>
          </cell>
          <cell r="G1698" t="str">
            <v>PF</v>
          </cell>
          <cell r="H1698" t="str">
            <v>IN-PATIENT PHARMACY</v>
          </cell>
          <cell r="I1698" t="str">
            <v>05PF110</v>
          </cell>
          <cell r="J1698" t="str">
            <v>EXTERNAL PREP</v>
          </cell>
          <cell r="K1698" t="str">
            <v>BMED</v>
          </cell>
          <cell r="L1698" t="str">
            <v>Normal</v>
          </cell>
          <cell r="M1698" t="str">
            <v>United States</v>
          </cell>
          <cell r="N1698" t="str">
            <v>SILVERSON</v>
          </cell>
          <cell r="O1698" t="str">
            <v>AX5</v>
          </cell>
          <cell r="P1698" t="str">
            <v>10082</v>
          </cell>
          <cell r="Q1698" t="str">
            <v>Not Applicable</v>
          </cell>
          <cell r="R1698" t="str">
            <v>FISHER SCIENTIFIC</v>
          </cell>
          <cell r="S1698" t="str">
            <v>FISHER SCIENTIFIC</v>
          </cell>
          <cell r="T1698" t="str">
            <v>Functioning</v>
          </cell>
          <cell r="U1698" t="str">
            <v>Asset</v>
          </cell>
          <cell r="V1698">
            <v>5520</v>
          </cell>
          <cell r="W1698" t="str">
            <v>KEW</v>
          </cell>
          <cell r="X1698" t="str">
            <v>01/09/2010</v>
          </cell>
          <cell r="Y1698" t="str">
            <v>Estimate</v>
          </cell>
          <cell r="Z1698" t="str">
            <v>16/08/2013</v>
          </cell>
          <cell r="AA1698" t="str">
            <v>15/08/2015</v>
          </cell>
          <cell r="AB1698" t="str">
            <v>No</v>
          </cell>
          <cell r="AC1698" t="str">
            <v>31/08/2013</v>
          </cell>
          <cell r="AD1698" t="str">
            <v>Good</v>
          </cell>
          <cell r="AE1698" t="str">
            <v>V1 - Existing / No Claim</v>
          </cell>
          <cell r="AF1698">
            <v>42867</v>
          </cell>
          <cell r="AG1698">
            <v>9.17</v>
          </cell>
          <cell r="AH1698" t="str">
            <v>PPM</v>
          </cell>
          <cell r="AI1698" t="str">
            <v>Strands</v>
          </cell>
          <cell r="AJ1698" t="str">
            <v>Strands PW</v>
          </cell>
        </row>
        <row r="1699">
          <cell r="A1699" t="str">
            <v>IKN402004</v>
          </cell>
          <cell r="B1699">
            <v>1659</v>
          </cell>
          <cell r="C1699" t="str">
            <v>Institut Kanser Negara</v>
          </cell>
          <cell r="D1699" t="str">
            <v>KKM/IKN/H/19/25</v>
          </cell>
          <cell r="E1699" t="str">
            <v>18-191</v>
          </cell>
          <cell r="F1699" t="str">
            <v>Scanning Systems, Laser, Optical Tomography</v>
          </cell>
          <cell r="G1699" t="str">
            <v>RT</v>
          </cell>
          <cell r="H1699" t="str">
            <v>RADIATION TREATMENT UNIT</v>
          </cell>
          <cell r="I1699" t="str">
            <v>01RT172</v>
          </cell>
          <cell r="J1699" t="str">
            <v>LINAC ROOM 3</v>
          </cell>
          <cell r="K1699" t="str">
            <v>BMED</v>
          </cell>
          <cell r="L1699" t="str">
            <v>Normal</v>
          </cell>
          <cell r="M1699" t="str">
            <v>Sweden</v>
          </cell>
          <cell r="N1699" t="str">
            <v>CATALYST/SENTINEL 4DCT</v>
          </cell>
          <cell r="O1699" t="str">
            <v>SENTINEL 4DCT/LS200</v>
          </cell>
          <cell r="P1699" t="str">
            <v>HY-003.04-0446</v>
          </cell>
          <cell r="Q1699" t="str">
            <v>Not Applicable</v>
          </cell>
          <cell r="R1699" t="str">
            <v>C-RAD</v>
          </cell>
          <cell r="S1699" t="str">
            <v>ABEX MEDICAL SYSTEM SDN BHD</v>
          </cell>
          <cell r="T1699" t="str">
            <v>Functioning</v>
          </cell>
          <cell r="U1699" t="str">
            <v>Asset</v>
          </cell>
          <cell r="V1699">
            <v>2185000</v>
          </cell>
          <cell r="W1699" t="str">
            <v>KEW</v>
          </cell>
          <cell r="X1699">
            <v>43749</v>
          </cell>
          <cell r="Y1699" t="str">
            <v>KEW</v>
          </cell>
          <cell r="Z1699">
            <v>43768</v>
          </cell>
          <cell r="AA1699">
            <v>44499</v>
          </cell>
          <cell r="AB1699" t="str">
            <v>No</v>
          </cell>
          <cell r="AC1699">
            <v>43768</v>
          </cell>
          <cell r="AD1699" t="str">
            <v>Good</v>
          </cell>
          <cell r="AE1699" t="str">
            <v>V3 - Added Installed Facilities (New)</v>
          </cell>
          <cell r="AH1699" t="str">
            <v>PPM</v>
          </cell>
          <cell r="AI1699" t="str">
            <v>Strands</v>
          </cell>
          <cell r="AJ1699" t="str">
            <v>Strands PW</v>
          </cell>
          <cell r="AK1699" t="str">
            <v>SNF received for P2.19</v>
          </cell>
        </row>
        <row r="1700">
          <cell r="A1700" t="str">
            <v>IKN402005</v>
          </cell>
          <cell r="B1700">
            <v>1660</v>
          </cell>
          <cell r="C1700" t="str">
            <v>Institut Kanser Negara</v>
          </cell>
          <cell r="D1700" t="str">
            <v>KKM/IKN/H/19/26</v>
          </cell>
          <cell r="E1700" t="str">
            <v>12-093</v>
          </cell>
          <cell r="F1700" t="str">
            <v>Immobilizers</v>
          </cell>
          <cell r="G1700" t="str">
            <v>RT</v>
          </cell>
          <cell r="H1700" t="str">
            <v>RADIATION TREATMENT UNIT</v>
          </cell>
          <cell r="I1700" t="str">
            <v>01RT118</v>
          </cell>
          <cell r="J1700" t="str">
            <v>CT SIMULATOR 2</v>
          </cell>
          <cell r="K1700" t="str">
            <v>BMED</v>
          </cell>
          <cell r="L1700" t="str">
            <v>Normal</v>
          </cell>
          <cell r="P1700" t="str">
            <v>271S1132G008</v>
          </cell>
          <cell r="Q1700" t="str">
            <v>Not Applicable</v>
          </cell>
          <cell r="R1700" t="str">
            <v>ORFIT INDUSTRIES</v>
          </cell>
          <cell r="S1700" t="str">
            <v>ABEX MEDICAL SYSTEM SDN BHD</v>
          </cell>
          <cell r="T1700" t="str">
            <v>Functioning</v>
          </cell>
          <cell r="U1700" t="str">
            <v>Asset</v>
          </cell>
          <cell r="V1700">
            <v>115000</v>
          </cell>
          <cell r="W1700" t="str">
            <v>KEW</v>
          </cell>
          <cell r="X1700">
            <v>43749</v>
          </cell>
          <cell r="Y1700" t="str">
            <v>KEW</v>
          </cell>
          <cell r="Z1700">
            <v>43768</v>
          </cell>
          <cell r="AA1700">
            <v>44499</v>
          </cell>
          <cell r="AB1700" t="str">
            <v>No</v>
          </cell>
          <cell r="AC1700">
            <v>43768</v>
          </cell>
          <cell r="AD1700" t="str">
            <v>Good</v>
          </cell>
          <cell r="AE1700" t="str">
            <v>V3 - Added Installed Facilities (New)</v>
          </cell>
          <cell r="AH1700" t="str">
            <v>PPM</v>
          </cell>
          <cell r="AI1700" t="str">
            <v>Strands</v>
          </cell>
          <cell r="AJ1700" t="str">
            <v>Strands PW</v>
          </cell>
          <cell r="AK1700" t="str">
            <v>SNF received for P2.19. Vendor/User inform no maintenance.</v>
          </cell>
        </row>
        <row r="1701">
          <cell r="A1701" t="str">
            <v>IKN402006</v>
          </cell>
          <cell r="B1701">
            <v>1661</v>
          </cell>
          <cell r="C1701" t="str">
            <v>Institut Kanser Negara</v>
          </cell>
          <cell r="D1701" t="str">
            <v>KKM/IKN/H/20/4</v>
          </cell>
          <cell r="E1701" t="str">
            <v>12-873</v>
          </cell>
          <cell r="F1701" t="str">
            <v>Concentrators, Oxygen</v>
          </cell>
          <cell r="G1701" t="str">
            <v>PC</v>
          </cell>
          <cell r="H1701" t="str">
            <v>PALLIATIVE CARE UNIT</v>
          </cell>
          <cell r="I1701" t="str">
            <v>04PC109</v>
          </cell>
          <cell r="J1701" t="str">
            <v>GEN. STORE</v>
          </cell>
          <cell r="K1701" t="str">
            <v>BMED</v>
          </cell>
          <cell r="L1701" t="str">
            <v>Normal</v>
          </cell>
          <cell r="M1701" t="str">
            <v>USA</v>
          </cell>
          <cell r="N1701" t="str">
            <v>EverFlo</v>
          </cell>
          <cell r="O1701" t="str">
            <v>EverFlo 5 LPM</v>
          </cell>
          <cell r="P1701" t="str">
            <v>0048251</v>
          </cell>
          <cell r="Q1701" t="str">
            <v>Not Applicable</v>
          </cell>
          <cell r="R1701" t="str">
            <v>Respironics</v>
          </cell>
          <cell r="S1701" t="str">
            <v>Philips</v>
          </cell>
          <cell r="T1701" t="str">
            <v>Functioning</v>
          </cell>
          <cell r="U1701" t="str">
            <v>Asset</v>
          </cell>
          <cell r="V1701">
            <v>3333.33</v>
          </cell>
          <cell r="W1701" t="str">
            <v>KEW</v>
          </cell>
          <cell r="X1701">
            <v>43866</v>
          </cell>
          <cell r="Y1701" t="str">
            <v>KEW</v>
          </cell>
          <cell r="Z1701">
            <v>43892</v>
          </cell>
          <cell r="AA1701">
            <v>44257</v>
          </cell>
          <cell r="AB1701" t="str">
            <v>No</v>
          </cell>
          <cell r="AC1701">
            <v>43955</v>
          </cell>
          <cell r="AD1701" t="str">
            <v>Good</v>
          </cell>
          <cell r="AE1701" t="str">
            <v>V3 - Added Installed Facilities (New)</v>
          </cell>
          <cell r="AH1701" t="str">
            <v>PPM</v>
          </cell>
          <cell r="AI1701" t="str">
            <v>Strands</v>
          </cell>
          <cell r="AJ1701" t="str">
            <v>Strands PW</v>
          </cell>
          <cell r="AK1701" t="str">
            <v>SNF received on 10.3.2020</v>
          </cell>
        </row>
        <row r="1702">
          <cell r="A1702" t="str">
            <v>IKN402007</v>
          </cell>
          <cell r="B1702">
            <v>1662</v>
          </cell>
          <cell r="C1702" t="str">
            <v>Institut Kanser Negara</v>
          </cell>
          <cell r="D1702" t="str">
            <v>KKM/IKN/H/20/6</v>
          </cell>
          <cell r="E1702" t="str">
            <v>12-873</v>
          </cell>
          <cell r="F1702" t="str">
            <v>Concentrators, Oxygen</v>
          </cell>
          <cell r="G1702" t="str">
            <v>PC</v>
          </cell>
          <cell r="H1702" t="str">
            <v>PALLIATIVE CARE UNIT</v>
          </cell>
          <cell r="I1702" t="str">
            <v>04PC109</v>
          </cell>
          <cell r="J1702" t="str">
            <v>GEN. STORE</v>
          </cell>
          <cell r="K1702" t="str">
            <v>BMED</v>
          </cell>
          <cell r="L1702" t="str">
            <v>Normal</v>
          </cell>
          <cell r="M1702" t="str">
            <v>USA</v>
          </cell>
          <cell r="N1702" t="str">
            <v>EverFlo</v>
          </cell>
          <cell r="O1702" t="str">
            <v>EverFlo 5 LPM</v>
          </cell>
          <cell r="P1702" t="str">
            <v>0048108</v>
          </cell>
          <cell r="Q1702" t="str">
            <v>Not Applicable</v>
          </cell>
          <cell r="R1702" t="str">
            <v>Respironics</v>
          </cell>
          <cell r="S1702" t="str">
            <v>Philips</v>
          </cell>
          <cell r="T1702" t="str">
            <v>Functioning</v>
          </cell>
          <cell r="U1702" t="str">
            <v>Asset</v>
          </cell>
          <cell r="V1702">
            <v>3333.33</v>
          </cell>
          <cell r="W1702" t="str">
            <v>KEW</v>
          </cell>
          <cell r="X1702">
            <v>43866</v>
          </cell>
          <cell r="Y1702" t="str">
            <v>KEW</v>
          </cell>
          <cell r="Z1702">
            <v>43892</v>
          </cell>
          <cell r="AA1702">
            <v>44257</v>
          </cell>
          <cell r="AB1702" t="str">
            <v>No</v>
          </cell>
          <cell r="AC1702">
            <v>43955</v>
          </cell>
          <cell r="AD1702" t="str">
            <v>Good</v>
          </cell>
          <cell r="AE1702" t="str">
            <v>V3 - Added Installed Facilities (New)</v>
          </cell>
          <cell r="AH1702" t="str">
            <v>PPM</v>
          </cell>
          <cell r="AI1702" t="str">
            <v>Strands</v>
          </cell>
          <cell r="AJ1702" t="str">
            <v>Strands PW</v>
          </cell>
          <cell r="AK1702" t="str">
            <v>SNF received on 10.3.2020</v>
          </cell>
        </row>
        <row r="1703">
          <cell r="A1703" t="str">
            <v>IKN402008</v>
          </cell>
          <cell r="B1703">
            <v>1663</v>
          </cell>
          <cell r="C1703" t="str">
            <v>Institut Kanser Negara</v>
          </cell>
          <cell r="D1703" t="str">
            <v>KKM/IKN/H/20/5</v>
          </cell>
          <cell r="E1703" t="str">
            <v>12-873</v>
          </cell>
          <cell r="F1703" t="str">
            <v>Concentrators, Oxygen</v>
          </cell>
          <cell r="G1703" t="str">
            <v>PC</v>
          </cell>
          <cell r="H1703" t="str">
            <v>PALLIATIVE CARE UNIT</v>
          </cell>
          <cell r="I1703" t="str">
            <v>04PC109</v>
          </cell>
          <cell r="J1703" t="str">
            <v>GEN. STORE</v>
          </cell>
          <cell r="K1703" t="str">
            <v>BMED</v>
          </cell>
          <cell r="L1703" t="str">
            <v>Normal</v>
          </cell>
          <cell r="M1703" t="str">
            <v>USA</v>
          </cell>
          <cell r="N1703" t="str">
            <v>EverFlo</v>
          </cell>
          <cell r="O1703" t="str">
            <v>EverFlo 5 LPM</v>
          </cell>
          <cell r="P1703" t="str">
            <v>0048258</v>
          </cell>
          <cell r="Q1703" t="str">
            <v>Not Applicable</v>
          </cell>
          <cell r="R1703" t="str">
            <v>Respironics</v>
          </cell>
          <cell r="S1703" t="str">
            <v>Philips</v>
          </cell>
          <cell r="T1703" t="str">
            <v>Functioning</v>
          </cell>
          <cell r="U1703" t="str">
            <v>Asset</v>
          </cell>
          <cell r="V1703">
            <v>3333.33</v>
          </cell>
          <cell r="W1703" t="str">
            <v>KEW</v>
          </cell>
          <cell r="X1703">
            <v>43866</v>
          </cell>
          <cell r="Y1703" t="str">
            <v>KEW</v>
          </cell>
          <cell r="Z1703">
            <v>43892</v>
          </cell>
          <cell r="AA1703">
            <v>44257</v>
          </cell>
          <cell r="AB1703" t="str">
            <v>No</v>
          </cell>
          <cell r="AC1703">
            <v>43955</v>
          </cell>
          <cell r="AD1703" t="str">
            <v>Good</v>
          </cell>
          <cell r="AE1703" t="str">
            <v>V3 - Added Installed Facilities (New)</v>
          </cell>
          <cell r="AH1703" t="str">
            <v>PPM</v>
          </cell>
          <cell r="AI1703" t="str">
            <v>Strands</v>
          </cell>
          <cell r="AJ1703" t="str">
            <v>Strands PW</v>
          </cell>
          <cell r="AK1703" t="str">
            <v>SNF received on 10.3.2020</v>
          </cell>
        </row>
        <row r="1704">
          <cell r="A1704" t="str">
            <v>IKN402009</v>
          </cell>
          <cell r="B1704">
            <v>1664</v>
          </cell>
          <cell r="C1704" t="str">
            <v>Institut Kanser Negara</v>
          </cell>
          <cell r="D1704" t="str">
            <v>KKM/IKN/H/20/7</v>
          </cell>
          <cell r="E1704" t="str">
            <v>12-873</v>
          </cell>
          <cell r="F1704" t="str">
            <v>Concentrators, Oxygen</v>
          </cell>
          <cell r="G1704" t="str">
            <v>PC</v>
          </cell>
          <cell r="H1704" t="str">
            <v>PALLIATIVE CARE UNIT</v>
          </cell>
          <cell r="I1704" t="str">
            <v>04PC109</v>
          </cell>
          <cell r="J1704" t="str">
            <v>GEN. STORE</v>
          </cell>
          <cell r="K1704" t="str">
            <v>BMED</v>
          </cell>
          <cell r="L1704" t="str">
            <v>Normal</v>
          </cell>
          <cell r="M1704" t="str">
            <v>USA</v>
          </cell>
          <cell r="N1704" t="str">
            <v>EverFlo</v>
          </cell>
          <cell r="O1704" t="str">
            <v>EverFlo</v>
          </cell>
          <cell r="P1704" t="str">
            <v>0049759</v>
          </cell>
          <cell r="Q1704" t="str">
            <v>Not Applicable</v>
          </cell>
          <cell r="R1704" t="str">
            <v>Respironics</v>
          </cell>
          <cell r="S1704" t="str">
            <v>Philips</v>
          </cell>
          <cell r="T1704" t="str">
            <v>Functioning</v>
          </cell>
          <cell r="U1704" t="str">
            <v>Asset</v>
          </cell>
          <cell r="V1704">
            <v>3400</v>
          </cell>
          <cell r="W1704" t="str">
            <v>KEW</v>
          </cell>
          <cell r="X1704">
            <v>43866</v>
          </cell>
          <cell r="Y1704" t="str">
            <v>KEW</v>
          </cell>
          <cell r="Z1704">
            <v>43892</v>
          </cell>
          <cell r="AA1704">
            <v>44257</v>
          </cell>
          <cell r="AB1704" t="str">
            <v>No</v>
          </cell>
          <cell r="AC1704">
            <v>43955</v>
          </cell>
          <cell r="AD1704" t="str">
            <v>Good</v>
          </cell>
          <cell r="AE1704" t="str">
            <v>V3 - Added Installed Facilities (New)</v>
          </cell>
          <cell r="AH1704" t="str">
            <v>PPM</v>
          </cell>
          <cell r="AI1704" t="str">
            <v>Strands</v>
          </cell>
          <cell r="AJ1704" t="str">
            <v>Strands PW</v>
          </cell>
          <cell r="AK1704" t="str">
            <v>SNF received on 10.3.2020</v>
          </cell>
        </row>
        <row r="1705">
          <cell r="A1705" t="str">
            <v>IKN402010</v>
          </cell>
          <cell r="B1705">
            <v>1665</v>
          </cell>
          <cell r="C1705" t="str">
            <v>Institut Kanser Negara</v>
          </cell>
          <cell r="D1705" t="str">
            <v>KKM/IKN/H/20/3</v>
          </cell>
          <cell r="E1705" t="str">
            <v>12-873</v>
          </cell>
          <cell r="F1705" t="str">
            <v>Concentrators, Oxygen</v>
          </cell>
          <cell r="G1705" t="str">
            <v>PC</v>
          </cell>
          <cell r="H1705" t="str">
            <v>PALLIATIVE CARE UNIT</v>
          </cell>
          <cell r="I1705" t="str">
            <v>04PC109</v>
          </cell>
          <cell r="J1705" t="str">
            <v>GEN. STORE</v>
          </cell>
          <cell r="K1705" t="str">
            <v>BMED</v>
          </cell>
          <cell r="L1705" t="str">
            <v>Normal</v>
          </cell>
          <cell r="M1705" t="str">
            <v>USA</v>
          </cell>
          <cell r="N1705" t="str">
            <v>EverFlo</v>
          </cell>
          <cell r="O1705" t="str">
            <v>EverFlo</v>
          </cell>
          <cell r="P1705" t="str">
            <v>0050005</v>
          </cell>
          <cell r="Q1705" t="str">
            <v>Not Applicable</v>
          </cell>
          <cell r="R1705" t="str">
            <v>Respironics</v>
          </cell>
          <cell r="S1705" t="str">
            <v>Philips</v>
          </cell>
          <cell r="T1705" t="str">
            <v>Functioning</v>
          </cell>
          <cell r="U1705" t="str">
            <v>Asset</v>
          </cell>
          <cell r="V1705">
            <v>3400</v>
          </cell>
          <cell r="W1705" t="str">
            <v>KEW</v>
          </cell>
          <cell r="X1705">
            <v>43866</v>
          </cell>
          <cell r="Y1705" t="str">
            <v>KEW</v>
          </cell>
          <cell r="Z1705">
            <v>43892</v>
          </cell>
          <cell r="AA1705">
            <v>44257</v>
          </cell>
          <cell r="AB1705" t="str">
            <v>No</v>
          </cell>
          <cell r="AC1705">
            <v>43955</v>
          </cell>
          <cell r="AD1705" t="str">
            <v>Good</v>
          </cell>
          <cell r="AE1705" t="str">
            <v>V3 - Added Installed Facilities (New)</v>
          </cell>
          <cell r="AH1705" t="str">
            <v>PPM</v>
          </cell>
          <cell r="AI1705" t="str">
            <v>Strands</v>
          </cell>
          <cell r="AJ1705" t="str">
            <v>Strands PW</v>
          </cell>
          <cell r="AK1705" t="str">
            <v>SNF received on 10.3.2020</v>
          </cell>
        </row>
        <row r="1706">
          <cell r="A1706" t="str">
            <v>IKN402011</v>
          </cell>
          <cell r="B1706">
            <v>1666</v>
          </cell>
          <cell r="C1706" t="str">
            <v>Institut Kanser Negara</v>
          </cell>
          <cell r="D1706" t="str">
            <v>KKM/IKN/R/20/21</v>
          </cell>
          <cell r="E1706" t="str">
            <v>15-663</v>
          </cell>
          <cell r="F1706" t="str">
            <v>Pipetters</v>
          </cell>
          <cell r="G1706" t="str">
            <v>LA</v>
          </cell>
          <cell r="H1706" t="str">
            <v>PATHOLOGY</v>
          </cell>
          <cell r="I1706" t="str">
            <v>04LA127</v>
          </cell>
          <cell r="J1706" t="str">
            <v>INNOCULATION/STAINING</v>
          </cell>
          <cell r="K1706" t="str">
            <v>BMED</v>
          </cell>
          <cell r="L1706" t="str">
            <v>Normal</v>
          </cell>
          <cell r="M1706" t="str">
            <v>Germany</v>
          </cell>
          <cell r="N1706" t="str">
            <v>Eppendorf</v>
          </cell>
          <cell r="O1706" t="str">
            <v>Eppendorf Research</v>
          </cell>
          <cell r="P1706" t="str">
            <v>186349Z</v>
          </cell>
          <cell r="Q1706" t="str">
            <v>Not Applicable</v>
          </cell>
          <cell r="R1706" t="str">
            <v>Eppendorf</v>
          </cell>
          <cell r="S1706" t="str">
            <v>MEDIGENE SDN BHD</v>
          </cell>
          <cell r="T1706" t="str">
            <v>Functioning</v>
          </cell>
          <cell r="U1706" t="str">
            <v>Asset</v>
          </cell>
          <cell r="V1706">
            <v>1000</v>
          </cell>
          <cell r="W1706" t="str">
            <v>KEW</v>
          </cell>
          <cell r="X1706">
            <v>43944</v>
          </cell>
          <cell r="Y1706" t="str">
            <v>KEW</v>
          </cell>
          <cell r="Z1706">
            <v>43950</v>
          </cell>
          <cell r="AA1706">
            <v>44315</v>
          </cell>
          <cell r="AB1706" t="str">
            <v>No</v>
          </cell>
          <cell r="AC1706">
            <v>43950</v>
          </cell>
          <cell r="AD1706" t="str">
            <v>Good</v>
          </cell>
          <cell r="AE1706" t="str">
            <v>V3 - Added Installed Facilities (New)</v>
          </cell>
          <cell r="AH1706" t="str">
            <v>PPM</v>
          </cell>
          <cell r="AI1706" t="str">
            <v>Strands</v>
          </cell>
          <cell r="AJ1706" t="str">
            <v>Strands PW</v>
          </cell>
          <cell r="AK1706" t="str">
            <v>SNF received on 29.5.2020</v>
          </cell>
        </row>
        <row r="1707">
          <cell r="A1707" t="str">
            <v>IKN402012</v>
          </cell>
          <cell r="B1707">
            <v>1667</v>
          </cell>
          <cell r="C1707" t="str">
            <v>Institut Kanser Negara</v>
          </cell>
          <cell r="D1707" t="str">
            <v>KKM/IKN/R/20/22</v>
          </cell>
          <cell r="E1707" t="str">
            <v>15-663</v>
          </cell>
          <cell r="F1707" t="str">
            <v>Pipetters</v>
          </cell>
          <cell r="G1707" t="str">
            <v>LA</v>
          </cell>
          <cell r="H1707" t="str">
            <v>PATHOLOGY</v>
          </cell>
          <cell r="I1707" t="str">
            <v>04LA127</v>
          </cell>
          <cell r="J1707" t="str">
            <v>INNOCULATION/STAINING</v>
          </cell>
          <cell r="K1707" t="str">
            <v>BMED</v>
          </cell>
          <cell r="L1707" t="str">
            <v>Normal</v>
          </cell>
          <cell r="M1707" t="str">
            <v>Germany</v>
          </cell>
          <cell r="N1707" t="str">
            <v>Eppendorf</v>
          </cell>
          <cell r="O1707" t="str">
            <v>Eppendorf Research</v>
          </cell>
          <cell r="P1707" t="str">
            <v>L31563I</v>
          </cell>
          <cell r="Q1707" t="str">
            <v>Not Applicable</v>
          </cell>
          <cell r="R1707" t="str">
            <v>Eppendorf</v>
          </cell>
          <cell r="S1707" t="str">
            <v>MEDIGENE SDN BHD</v>
          </cell>
          <cell r="T1707" t="str">
            <v>Functioning</v>
          </cell>
          <cell r="U1707" t="str">
            <v>Asset</v>
          </cell>
          <cell r="V1707">
            <v>1000</v>
          </cell>
          <cell r="W1707" t="str">
            <v>KEW</v>
          </cell>
          <cell r="X1707">
            <v>43944</v>
          </cell>
          <cell r="Y1707" t="str">
            <v>KEW</v>
          </cell>
          <cell r="Z1707">
            <v>43950</v>
          </cell>
          <cell r="AA1707">
            <v>44315</v>
          </cell>
          <cell r="AB1707" t="str">
            <v>No</v>
          </cell>
          <cell r="AC1707">
            <v>43950</v>
          </cell>
          <cell r="AD1707" t="str">
            <v>Good</v>
          </cell>
          <cell r="AE1707" t="str">
            <v>V3 - Added Installed Facilities (New)</v>
          </cell>
          <cell r="AH1707" t="str">
            <v>PPM</v>
          </cell>
          <cell r="AI1707" t="str">
            <v>Strands</v>
          </cell>
          <cell r="AJ1707" t="str">
            <v>Strands PW</v>
          </cell>
          <cell r="AK1707" t="str">
            <v>SNF received on 29.5.2020. [17/5/2024, INDIRA]: Update SN.</v>
          </cell>
        </row>
        <row r="1708">
          <cell r="A1708" t="str">
            <v>IKN402013</v>
          </cell>
          <cell r="B1708">
            <v>1668</v>
          </cell>
          <cell r="C1708" t="str">
            <v>Institut Kanser Negara</v>
          </cell>
          <cell r="D1708" t="str">
            <v>KKM/IKN/H/20/23</v>
          </cell>
          <cell r="E1708" t="str">
            <v>15-663</v>
          </cell>
          <cell r="F1708" t="str">
            <v>Pipetters</v>
          </cell>
          <cell r="G1708" t="str">
            <v>LA</v>
          </cell>
          <cell r="H1708" t="str">
            <v>PATHOLOGY</v>
          </cell>
          <cell r="I1708" t="str">
            <v>04LA127</v>
          </cell>
          <cell r="J1708" t="str">
            <v>INNOCULATION/STAINING</v>
          </cell>
          <cell r="K1708" t="str">
            <v>BMED</v>
          </cell>
          <cell r="L1708" t="str">
            <v>Normal</v>
          </cell>
          <cell r="M1708" t="str">
            <v>Germany</v>
          </cell>
          <cell r="N1708" t="str">
            <v>Eppendorf</v>
          </cell>
          <cell r="O1708" t="str">
            <v>Eppendorf Research Plus</v>
          </cell>
          <cell r="P1708" t="str">
            <v>R26347I</v>
          </cell>
          <cell r="Q1708" t="str">
            <v>Not Applicable</v>
          </cell>
          <cell r="R1708" t="str">
            <v>Eppendorf</v>
          </cell>
          <cell r="S1708" t="str">
            <v>MEDIGENE SDN BHD</v>
          </cell>
          <cell r="T1708" t="str">
            <v>Functioning</v>
          </cell>
          <cell r="U1708" t="str">
            <v>Asset</v>
          </cell>
          <cell r="V1708">
            <v>1000</v>
          </cell>
          <cell r="W1708" t="str">
            <v>KEW</v>
          </cell>
          <cell r="X1708">
            <v>43944</v>
          </cell>
          <cell r="Y1708" t="str">
            <v>KEW</v>
          </cell>
          <cell r="Z1708">
            <v>43950</v>
          </cell>
          <cell r="AA1708">
            <v>44315</v>
          </cell>
          <cell r="AB1708" t="str">
            <v>No</v>
          </cell>
          <cell r="AC1708">
            <v>43950</v>
          </cell>
          <cell r="AD1708" t="str">
            <v>Good</v>
          </cell>
          <cell r="AE1708" t="str">
            <v>V3 - Added Installed Facilities (New)</v>
          </cell>
          <cell r="AH1708" t="str">
            <v>PPM</v>
          </cell>
          <cell r="AI1708" t="str">
            <v>Strands</v>
          </cell>
          <cell r="AJ1708" t="str">
            <v>Strands PW SET</v>
          </cell>
          <cell r="AK1708" t="str">
            <v>SNF received on 29.5.2020. CUBA CHECK KEWPA IKN402032. [17/5/2024, INDIRA]: Update SN.</v>
          </cell>
        </row>
        <row r="1709">
          <cell r="A1709" t="str">
            <v>IKN402014</v>
          </cell>
          <cell r="B1709">
            <v>1669</v>
          </cell>
          <cell r="C1709" t="str">
            <v>Institut Kanser Negara</v>
          </cell>
          <cell r="D1709" t="str">
            <v>KKM/IKN/H/20/14</v>
          </cell>
          <cell r="E1709" t="str">
            <v>15-663</v>
          </cell>
          <cell r="F1709" t="str">
            <v>Pipetters</v>
          </cell>
          <cell r="G1709" t="str">
            <v>LA</v>
          </cell>
          <cell r="H1709" t="str">
            <v>PATHOLOGY</v>
          </cell>
          <cell r="I1709" t="str">
            <v>04LA127</v>
          </cell>
          <cell r="J1709" t="str">
            <v>INNOCULATION/STAINING</v>
          </cell>
          <cell r="K1709" t="str">
            <v>BMED</v>
          </cell>
          <cell r="L1709" t="str">
            <v>Normal</v>
          </cell>
          <cell r="M1709" t="str">
            <v>Germany</v>
          </cell>
          <cell r="N1709" t="str">
            <v>Eppendorf</v>
          </cell>
          <cell r="O1709" t="str">
            <v>Eppendorf Research Plus</v>
          </cell>
          <cell r="P1709" t="str">
            <v>R25079I</v>
          </cell>
          <cell r="Q1709" t="str">
            <v>Not Applicable</v>
          </cell>
          <cell r="R1709" t="str">
            <v>Eppendorf</v>
          </cell>
          <cell r="S1709" t="str">
            <v>MEDIGENE SDN BHD</v>
          </cell>
          <cell r="T1709" t="str">
            <v>Functioning</v>
          </cell>
          <cell r="U1709" t="str">
            <v>Asset</v>
          </cell>
          <cell r="V1709">
            <v>3883</v>
          </cell>
          <cell r="W1709" t="str">
            <v>KEW</v>
          </cell>
          <cell r="X1709">
            <v>43944</v>
          </cell>
          <cell r="Y1709" t="str">
            <v>KEW</v>
          </cell>
          <cell r="Z1709">
            <v>43950</v>
          </cell>
          <cell r="AA1709">
            <v>44315</v>
          </cell>
          <cell r="AB1709" t="str">
            <v>No</v>
          </cell>
          <cell r="AC1709">
            <v>43950</v>
          </cell>
          <cell r="AD1709" t="str">
            <v>Good</v>
          </cell>
          <cell r="AE1709" t="str">
            <v>V3 - Added Installed Facilities (New)</v>
          </cell>
          <cell r="AH1709" t="str">
            <v>PPM</v>
          </cell>
          <cell r="AI1709" t="str">
            <v>Strands</v>
          </cell>
          <cell r="AJ1709" t="str">
            <v>Strands PW</v>
          </cell>
          <cell r="AK1709" t="str">
            <v>SNF received on 29.5.2020. [17/5/2024, INDIRA]: Update SN.</v>
          </cell>
        </row>
        <row r="1710">
          <cell r="A1710" t="str">
            <v>IKN402015</v>
          </cell>
          <cell r="B1710">
            <v>1670</v>
          </cell>
          <cell r="C1710" t="str">
            <v>Institut Kanser Negara</v>
          </cell>
          <cell r="D1710" t="str">
            <v>KKM/IKN/R/20/19</v>
          </cell>
          <cell r="E1710" t="str">
            <v>15-663</v>
          </cell>
          <cell r="F1710" t="str">
            <v>Pipetters</v>
          </cell>
          <cell r="G1710" t="str">
            <v>LA</v>
          </cell>
          <cell r="H1710" t="str">
            <v>PATHOLOGY</v>
          </cell>
          <cell r="I1710" t="str">
            <v>04LA127</v>
          </cell>
          <cell r="J1710" t="str">
            <v>INNOCULATION/STAINING</v>
          </cell>
          <cell r="K1710" t="str">
            <v>BMED</v>
          </cell>
          <cell r="L1710" t="str">
            <v>Normal</v>
          </cell>
          <cell r="M1710" t="str">
            <v>Germany</v>
          </cell>
          <cell r="N1710" t="str">
            <v>Eppendorf</v>
          </cell>
          <cell r="O1710" t="str">
            <v>Eppendorf Research Plus</v>
          </cell>
          <cell r="P1710" t="str">
            <v>R25612I</v>
          </cell>
          <cell r="Q1710" t="str">
            <v>Not Applicable</v>
          </cell>
          <cell r="R1710" t="str">
            <v>Eppendorf</v>
          </cell>
          <cell r="S1710" t="str">
            <v>MEDIGENE SDN BHD</v>
          </cell>
          <cell r="T1710" t="str">
            <v>Functioning</v>
          </cell>
          <cell r="U1710" t="str">
            <v>Asset</v>
          </cell>
          <cell r="V1710">
            <v>1000</v>
          </cell>
          <cell r="W1710" t="str">
            <v>KEW</v>
          </cell>
          <cell r="X1710">
            <v>43944</v>
          </cell>
          <cell r="Y1710" t="str">
            <v>KEW</v>
          </cell>
          <cell r="Z1710">
            <v>43950</v>
          </cell>
          <cell r="AA1710">
            <v>44315</v>
          </cell>
          <cell r="AB1710" t="str">
            <v>No</v>
          </cell>
          <cell r="AC1710">
            <v>43950</v>
          </cell>
          <cell r="AD1710" t="str">
            <v>Good</v>
          </cell>
          <cell r="AE1710" t="str">
            <v>V3 - Added Installed Facilities (New)</v>
          </cell>
          <cell r="AH1710" t="str">
            <v>PPM</v>
          </cell>
          <cell r="AI1710" t="str">
            <v>Strands</v>
          </cell>
          <cell r="AJ1710" t="str">
            <v>Strands PW</v>
          </cell>
          <cell r="AK1710" t="str">
            <v>SNF received on 29.5.2020. [17/5/2024, INDIRA]: Update SN.</v>
          </cell>
        </row>
        <row r="1711">
          <cell r="A1711" t="str">
            <v>IKN402016</v>
          </cell>
          <cell r="B1711">
            <v>1671</v>
          </cell>
          <cell r="C1711" t="str">
            <v>Institut Kanser Negara</v>
          </cell>
          <cell r="D1711" t="str">
            <v>KKM/IKN/R/20/20</v>
          </cell>
          <cell r="E1711" t="str">
            <v>15-663</v>
          </cell>
          <cell r="F1711" t="str">
            <v>Pipetters</v>
          </cell>
          <cell r="G1711" t="str">
            <v>LA</v>
          </cell>
          <cell r="H1711" t="str">
            <v>PATHOLOGY</v>
          </cell>
          <cell r="I1711" t="str">
            <v>04LA127</v>
          </cell>
          <cell r="J1711" t="str">
            <v>INNOCULATION/STAINING</v>
          </cell>
          <cell r="K1711" t="str">
            <v>BMED</v>
          </cell>
          <cell r="L1711" t="str">
            <v>Normal</v>
          </cell>
          <cell r="M1711" t="str">
            <v>Germany</v>
          </cell>
          <cell r="N1711" t="str">
            <v>Eppendorf</v>
          </cell>
          <cell r="O1711" t="str">
            <v>Eppendorf Research Plus</v>
          </cell>
          <cell r="P1711" t="str">
            <v>R10153I</v>
          </cell>
          <cell r="Q1711" t="str">
            <v>Not Applicable</v>
          </cell>
          <cell r="R1711" t="str">
            <v>Eppendorf</v>
          </cell>
          <cell r="S1711" t="str">
            <v>MEDIGENE SDN BHD</v>
          </cell>
          <cell r="T1711" t="str">
            <v>Functioning</v>
          </cell>
          <cell r="U1711" t="str">
            <v>Asset</v>
          </cell>
          <cell r="V1711">
            <v>1000</v>
          </cell>
          <cell r="W1711" t="str">
            <v>KEW</v>
          </cell>
          <cell r="X1711">
            <v>43944</v>
          </cell>
          <cell r="Y1711" t="str">
            <v>KEW</v>
          </cell>
          <cell r="Z1711">
            <v>43950</v>
          </cell>
          <cell r="AA1711">
            <v>44315</v>
          </cell>
          <cell r="AB1711" t="str">
            <v>No</v>
          </cell>
          <cell r="AC1711">
            <v>43950</v>
          </cell>
          <cell r="AD1711" t="str">
            <v>Good</v>
          </cell>
          <cell r="AE1711" t="str">
            <v>V3 - Added Installed Facilities (New)</v>
          </cell>
          <cell r="AH1711" t="str">
            <v>PPM</v>
          </cell>
          <cell r="AI1711" t="str">
            <v>Strands</v>
          </cell>
          <cell r="AJ1711" t="str">
            <v>Strands PW</v>
          </cell>
          <cell r="AK1711" t="str">
            <v>SNF received on 29.5.2020. [17/5/2024, INDIRA]: Update SN.</v>
          </cell>
        </row>
        <row r="1712">
          <cell r="A1712" t="str">
            <v>IKN402017</v>
          </cell>
          <cell r="B1712">
            <v>1672</v>
          </cell>
          <cell r="C1712" t="str">
            <v>Institut Kanser Negara</v>
          </cell>
          <cell r="D1712" t="str">
            <v>KKM/IKN/H/20/10</v>
          </cell>
          <cell r="E1712" t="str">
            <v>15-161</v>
          </cell>
          <cell r="F1712" t="str">
            <v>Mixers, Clinical Laboratory</v>
          </cell>
          <cell r="G1712" t="str">
            <v>LA</v>
          </cell>
          <cell r="H1712" t="str">
            <v>PATHOLOGY</v>
          </cell>
          <cell r="I1712" t="str">
            <v>04LA120</v>
          </cell>
          <cell r="J1712" t="str">
            <v>INNOCULATION/STAINING</v>
          </cell>
          <cell r="K1712" t="str">
            <v>BMED</v>
          </cell>
          <cell r="L1712" t="str">
            <v>Normal</v>
          </cell>
          <cell r="M1712" t="str">
            <v>Germany</v>
          </cell>
          <cell r="N1712" t="str">
            <v>Vortex Mixer</v>
          </cell>
          <cell r="O1712" t="str">
            <v>Vortex Mixer BBV 1000</v>
          </cell>
          <cell r="P1712">
            <v>18041045</v>
          </cell>
          <cell r="Q1712" t="str">
            <v>Not Applicable</v>
          </cell>
          <cell r="R1712" t="str">
            <v>Greiner Bio-One</v>
          </cell>
          <cell r="S1712" t="str">
            <v>MEDIGENE SDN BHD</v>
          </cell>
          <cell r="T1712" t="str">
            <v>Functioning</v>
          </cell>
          <cell r="U1712" t="str">
            <v>Asset</v>
          </cell>
          <cell r="V1712">
            <v>3022</v>
          </cell>
          <cell r="W1712" t="str">
            <v>KEW</v>
          </cell>
          <cell r="X1712">
            <v>43944</v>
          </cell>
          <cell r="Y1712" t="str">
            <v>KEW</v>
          </cell>
          <cell r="Z1712">
            <v>43950</v>
          </cell>
          <cell r="AA1712">
            <v>44315</v>
          </cell>
          <cell r="AB1712" t="str">
            <v>No</v>
          </cell>
          <cell r="AC1712">
            <v>44315</v>
          </cell>
          <cell r="AD1712" t="str">
            <v>Good</v>
          </cell>
          <cell r="AE1712" t="str">
            <v>V3 - Added Installed Facilities (New)</v>
          </cell>
          <cell r="AH1712" t="str">
            <v>PPM</v>
          </cell>
          <cell r="AI1712" t="str">
            <v>Strands</v>
          </cell>
          <cell r="AJ1712" t="str">
            <v>Strands PW</v>
          </cell>
          <cell r="AK1712" t="str">
            <v>SNF received on 29.5.2020</v>
          </cell>
        </row>
        <row r="1713">
          <cell r="A1713" t="str">
            <v>IKN402018</v>
          </cell>
          <cell r="B1713">
            <v>1673</v>
          </cell>
          <cell r="C1713" t="str">
            <v>Institut Kanser Negara</v>
          </cell>
          <cell r="D1713" t="str">
            <v>KKM/IKN/H/20/13</v>
          </cell>
          <cell r="E1713" t="str">
            <v>15-161</v>
          </cell>
          <cell r="F1713" t="str">
            <v>Mixers, Clinical Laboratory</v>
          </cell>
          <cell r="G1713" t="str">
            <v>LA</v>
          </cell>
          <cell r="H1713" t="str">
            <v>PATHOLOGY</v>
          </cell>
          <cell r="I1713" t="str">
            <v>04LA120</v>
          </cell>
          <cell r="J1713" t="str">
            <v>INNOCULATION/STAINING</v>
          </cell>
          <cell r="K1713" t="str">
            <v>BMED</v>
          </cell>
          <cell r="L1713" t="str">
            <v>Normal</v>
          </cell>
          <cell r="M1713" t="str">
            <v>Germany</v>
          </cell>
          <cell r="N1713" t="str">
            <v>Vortex Mixer</v>
          </cell>
          <cell r="O1713" t="str">
            <v>Vortex Mixer BV 1000</v>
          </cell>
          <cell r="P1713">
            <v>18041049</v>
          </cell>
          <cell r="Q1713" t="str">
            <v>Not Applicable</v>
          </cell>
          <cell r="R1713" t="str">
            <v>Greiner Bio-One</v>
          </cell>
          <cell r="S1713" t="str">
            <v>MEDIGENE SDN BHD</v>
          </cell>
          <cell r="T1713" t="str">
            <v>Functioning</v>
          </cell>
          <cell r="U1713" t="str">
            <v>Asset</v>
          </cell>
          <cell r="V1713">
            <v>3022</v>
          </cell>
          <cell r="W1713" t="str">
            <v>KEW</v>
          </cell>
          <cell r="X1713">
            <v>43944</v>
          </cell>
          <cell r="Y1713" t="str">
            <v>KEW</v>
          </cell>
          <cell r="Z1713">
            <v>43950</v>
          </cell>
          <cell r="AA1713">
            <v>44315</v>
          </cell>
          <cell r="AB1713" t="str">
            <v>No</v>
          </cell>
          <cell r="AC1713">
            <v>44315</v>
          </cell>
          <cell r="AD1713" t="str">
            <v>Good</v>
          </cell>
          <cell r="AE1713" t="str">
            <v>V3 - Added Installed Facilities (New)</v>
          </cell>
          <cell r="AH1713" t="str">
            <v>PPM</v>
          </cell>
          <cell r="AI1713" t="str">
            <v>Strands</v>
          </cell>
          <cell r="AJ1713" t="str">
            <v>Strands PW</v>
          </cell>
          <cell r="AK1713" t="str">
            <v>SNF received on 29.5.2020</v>
          </cell>
        </row>
        <row r="1714">
          <cell r="A1714" t="str">
            <v>IKN402019</v>
          </cell>
          <cell r="B1714">
            <v>1674</v>
          </cell>
          <cell r="C1714" t="str">
            <v>Institut Kanser Negara</v>
          </cell>
          <cell r="D1714" t="str">
            <v>KKM/IKN/H/20/11</v>
          </cell>
          <cell r="E1714" t="str">
            <v>18-013</v>
          </cell>
          <cell r="F1714" t="str">
            <v>Incubators, Laboratory, Thermocycling</v>
          </cell>
          <cell r="G1714" t="str">
            <v>LA</v>
          </cell>
          <cell r="H1714" t="str">
            <v>PATHOLOGY</v>
          </cell>
          <cell r="I1714" t="str">
            <v>04LA127</v>
          </cell>
          <cell r="J1714" t="str">
            <v>INNOCULATION/STAINING</v>
          </cell>
          <cell r="K1714" t="str">
            <v>BMED</v>
          </cell>
          <cell r="L1714" t="str">
            <v>Normal</v>
          </cell>
          <cell r="M1714" t="str">
            <v>Taiwan</v>
          </cell>
          <cell r="O1714" t="str">
            <v>Elite Dry Bath Incubator</v>
          </cell>
          <cell r="P1714" t="str">
            <v>191121A050</v>
          </cell>
          <cell r="Q1714" t="str">
            <v>Not Applicable</v>
          </cell>
          <cell r="R1714" t="str">
            <v>Major Sci</v>
          </cell>
          <cell r="S1714" t="str">
            <v>MEDIGENE SDN BHD</v>
          </cell>
          <cell r="T1714" t="str">
            <v>Functioning</v>
          </cell>
          <cell r="U1714" t="str">
            <v>Asset</v>
          </cell>
          <cell r="V1714">
            <v>3742</v>
          </cell>
          <cell r="W1714" t="str">
            <v>KEW</v>
          </cell>
          <cell r="X1714">
            <v>43944</v>
          </cell>
          <cell r="Y1714" t="str">
            <v>KEW</v>
          </cell>
          <cell r="Z1714">
            <v>43950</v>
          </cell>
          <cell r="AA1714">
            <v>44315</v>
          </cell>
          <cell r="AB1714" t="str">
            <v>No</v>
          </cell>
          <cell r="AC1714">
            <v>44315</v>
          </cell>
          <cell r="AD1714" t="str">
            <v>Good</v>
          </cell>
          <cell r="AE1714" t="str">
            <v>V3 - Added Installed Facilities (New)</v>
          </cell>
          <cell r="AH1714" t="str">
            <v>PPM</v>
          </cell>
          <cell r="AI1714" t="str">
            <v>Strands</v>
          </cell>
          <cell r="AJ1714" t="str">
            <v>Strands PW</v>
          </cell>
          <cell r="AK1714" t="str">
            <v>SNF received on 29.5.2020</v>
          </cell>
        </row>
        <row r="1715">
          <cell r="A1715" t="str">
            <v>IKN402020</v>
          </cell>
          <cell r="B1715">
            <v>1675</v>
          </cell>
          <cell r="C1715" t="str">
            <v>Institut Kanser Negara</v>
          </cell>
          <cell r="D1715" t="str">
            <v>KKM/IKN/H/20/12</v>
          </cell>
          <cell r="E1715" t="str">
            <v>18-013</v>
          </cell>
          <cell r="F1715" t="str">
            <v>Incubators, Laboratory, Thermocycling</v>
          </cell>
          <cell r="G1715" t="str">
            <v>LA</v>
          </cell>
          <cell r="H1715" t="str">
            <v>PATHOLOGY</v>
          </cell>
          <cell r="I1715" t="str">
            <v>04LA120</v>
          </cell>
          <cell r="J1715" t="str">
            <v>INNOCULATION/STAINING</v>
          </cell>
          <cell r="K1715" t="str">
            <v>BMED</v>
          </cell>
          <cell r="L1715" t="str">
            <v>Normal</v>
          </cell>
          <cell r="M1715" t="str">
            <v>Taiwan</v>
          </cell>
          <cell r="O1715" t="str">
            <v>EL-02 Dry Bath Incubator</v>
          </cell>
          <cell r="P1715" t="str">
            <v>191121A031</v>
          </cell>
          <cell r="Q1715" t="str">
            <v>Not Applicable</v>
          </cell>
          <cell r="R1715" t="str">
            <v>Major Sci</v>
          </cell>
          <cell r="S1715" t="str">
            <v>MEDIGENE SDN BHD</v>
          </cell>
          <cell r="T1715" t="str">
            <v>Functioning</v>
          </cell>
          <cell r="U1715" t="str">
            <v>Asset</v>
          </cell>
          <cell r="V1715">
            <v>3742</v>
          </cell>
          <cell r="W1715" t="str">
            <v>KEW</v>
          </cell>
          <cell r="X1715">
            <v>43944</v>
          </cell>
          <cell r="Y1715" t="str">
            <v>KEW</v>
          </cell>
          <cell r="Z1715">
            <v>43950</v>
          </cell>
          <cell r="AA1715">
            <v>44315</v>
          </cell>
          <cell r="AB1715" t="str">
            <v>No</v>
          </cell>
          <cell r="AC1715">
            <v>44315</v>
          </cell>
          <cell r="AD1715" t="str">
            <v>Good</v>
          </cell>
          <cell r="AE1715" t="str">
            <v>V3 - Added Installed Facilities (New)</v>
          </cell>
          <cell r="AH1715" t="str">
            <v>PPM</v>
          </cell>
          <cell r="AI1715" t="str">
            <v>Strands</v>
          </cell>
          <cell r="AJ1715" t="str">
            <v>Strands PW</v>
          </cell>
          <cell r="AK1715" t="str">
            <v>SNF received on 29.5.2020</v>
          </cell>
        </row>
        <row r="1716">
          <cell r="A1716" t="str">
            <v>IKN402025</v>
          </cell>
          <cell r="B1716">
            <v>1680</v>
          </cell>
          <cell r="C1716" t="str">
            <v>Institut Kanser Negara</v>
          </cell>
          <cell r="D1716" t="str">
            <v>KKM/IKN/H/20/17</v>
          </cell>
          <cell r="E1716" t="str">
            <v>15-976</v>
          </cell>
          <cell r="F1716" t="str">
            <v>Scanning Systems, Ultrasonic, General-Purpose</v>
          </cell>
          <cell r="G1716" t="str">
            <v>ID</v>
          </cell>
          <cell r="H1716" t="str">
            <v>IMAGING DEPARTMENT</v>
          </cell>
          <cell r="I1716" t="str">
            <v>03ID157</v>
          </cell>
          <cell r="J1716" t="str">
            <v>FUTURE CT</v>
          </cell>
          <cell r="K1716" t="str">
            <v>BMED</v>
          </cell>
          <cell r="L1716" t="str">
            <v>Normal</v>
          </cell>
          <cell r="M1716" t="str">
            <v>USA</v>
          </cell>
          <cell r="N1716" t="str">
            <v>Logiq</v>
          </cell>
          <cell r="O1716" t="str">
            <v>Logiq E Pro</v>
          </cell>
          <cell r="P1716" t="str">
            <v>6076785wxo</v>
          </cell>
          <cell r="Q1716" t="str">
            <v>Not Applicable</v>
          </cell>
          <cell r="R1716" t="str">
            <v>GE Healthcare Systems</v>
          </cell>
          <cell r="S1716" t="str">
            <v>Tropicana Corporation Berhad</v>
          </cell>
          <cell r="T1716" t="str">
            <v>Functioning</v>
          </cell>
          <cell r="U1716" t="str">
            <v>Asset</v>
          </cell>
          <cell r="V1716">
            <v>125000</v>
          </cell>
          <cell r="W1716" t="str">
            <v>KEW</v>
          </cell>
          <cell r="X1716">
            <v>43938</v>
          </cell>
          <cell r="Y1716" t="str">
            <v>KEW</v>
          </cell>
          <cell r="Z1716">
            <v>43957</v>
          </cell>
          <cell r="AA1716">
            <v>45783</v>
          </cell>
          <cell r="AB1716" t="str">
            <v>YES</v>
          </cell>
          <cell r="AC1716">
            <v>45783</v>
          </cell>
          <cell r="AD1716" t="str">
            <v>Good</v>
          </cell>
          <cell r="AE1716" t="str">
            <v>V3 - Added Installed Facilities (New)</v>
          </cell>
          <cell r="AH1716" t="str">
            <v>PPM</v>
          </cell>
          <cell r="AI1716" t="str">
            <v>Strands</v>
          </cell>
          <cell r="AJ1716" t="str">
            <v>Strands DW</v>
          </cell>
          <cell r="AK1716" t="str">
            <v>SNF received on 29.5.2020</v>
          </cell>
        </row>
        <row r="1717">
          <cell r="A1717" t="str">
            <v>IKN402032</v>
          </cell>
          <cell r="B1717">
            <v>1687</v>
          </cell>
          <cell r="C1717" t="str">
            <v>Institut Kanser Negara</v>
          </cell>
          <cell r="D1717" t="str">
            <v>KKM/IKN/H/20/23</v>
          </cell>
          <cell r="E1717" t="str">
            <v>13-281</v>
          </cell>
          <cell r="F1717" t="str">
            <v>Computers, Radiotherapy Planning System</v>
          </cell>
          <cell r="G1717" t="str">
            <v>ID</v>
          </cell>
          <cell r="H1717" t="str">
            <v>IMAGING DEPARTMENT</v>
          </cell>
          <cell r="I1717" t="str">
            <v>03ID157</v>
          </cell>
          <cell r="J1717" t="str">
            <v>FUTURE CT</v>
          </cell>
          <cell r="K1717" t="str">
            <v>BMED</v>
          </cell>
          <cell r="L1717" t="str">
            <v>Normal</v>
          </cell>
          <cell r="M1717" t="str">
            <v>USA</v>
          </cell>
          <cell r="N1717" t="str">
            <v>BAYER</v>
          </cell>
          <cell r="O1717" t="str">
            <v>HPE PROLIANT DL380 GEN9 SERVER</v>
          </cell>
          <cell r="P1717" t="str">
            <v>SGH618YBBW</v>
          </cell>
          <cell r="Q1717" t="str">
            <v>Not Applicable</v>
          </cell>
          <cell r="R1717" t="str">
            <v>BAYER</v>
          </cell>
          <cell r="S1717" t="str">
            <v>DELTA MEDISAINS</v>
          </cell>
          <cell r="T1717" t="str">
            <v>Functioning</v>
          </cell>
          <cell r="U1717" t="str">
            <v>Asset</v>
          </cell>
          <cell r="V1717">
            <v>400000</v>
          </cell>
          <cell r="W1717" t="str">
            <v>KEW</v>
          </cell>
          <cell r="X1717">
            <v>43833</v>
          </cell>
          <cell r="Y1717" t="str">
            <v>KEW</v>
          </cell>
          <cell r="Z1717" t="str">
            <v>Demo Unit</v>
          </cell>
          <cell r="AA1717" t="str">
            <v>Demo Unit</v>
          </cell>
          <cell r="AB1717" t="str">
            <v>No</v>
          </cell>
          <cell r="AC1717">
            <v>43965</v>
          </cell>
          <cell r="AD1717" t="str">
            <v>Good</v>
          </cell>
          <cell r="AE1717" t="str">
            <v>V3 - Added Installed Facilities (New)</v>
          </cell>
          <cell r="AH1717" t="str">
            <v>PPM</v>
          </cell>
          <cell r="AI1717" t="str">
            <v>Strands</v>
          </cell>
          <cell r="AJ1717" t="str">
            <v>Strands PW</v>
          </cell>
          <cell r="AK1717" t="str">
            <v>SNF received on 3.2.2020</v>
          </cell>
        </row>
        <row r="1718">
          <cell r="A1718" t="str">
            <v>IKN402033</v>
          </cell>
          <cell r="B1718">
            <v>1688</v>
          </cell>
          <cell r="C1718" t="str">
            <v>Institut Kanser Negara</v>
          </cell>
          <cell r="D1718" t="str">
            <v>KKM/IKN/H/20/25</v>
          </cell>
          <cell r="E1718" t="str">
            <v>10-780-000</v>
          </cell>
          <cell r="F1718" t="str">
            <v>Centrifuges, Tabletop</v>
          </cell>
          <cell r="G1718" t="str">
            <v>LA</v>
          </cell>
          <cell r="H1718" t="str">
            <v>PATHOLOGY</v>
          </cell>
          <cell r="I1718" t="str">
            <v>04LA127</v>
          </cell>
          <cell r="J1718" t="str">
            <v>INNOCULATION/STAINING</v>
          </cell>
          <cell r="K1718" t="str">
            <v>BMED</v>
          </cell>
          <cell r="L1718" t="str">
            <v>Normal</v>
          </cell>
          <cell r="M1718" t="str">
            <v>Germany</v>
          </cell>
          <cell r="N1718" t="str">
            <v>Eppendorf</v>
          </cell>
          <cell r="O1718" t="str">
            <v>Centrifuge 5425</v>
          </cell>
          <cell r="P1718" t="str">
            <v>54051Q214666</v>
          </cell>
          <cell r="Q1718" t="str">
            <v>Not Applicable</v>
          </cell>
          <cell r="R1718" t="str">
            <v>Eppendorf</v>
          </cell>
          <cell r="S1718" t="str">
            <v>MEDIGENE SDN BHD</v>
          </cell>
          <cell r="T1718" t="str">
            <v>Functioning</v>
          </cell>
          <cell r="U1718" t="str">
            <v>Asset</v>
          </cell>
          <cell r="V1718">
            <v>15000</v>
          </cell>
          <cell r="W1718" t="str">
            <v>KEW</v>
          </cell>
          <cell r="X1718">
            <v>43944</v>
          </cell>
          <cell r="Y1718" t="str">
            <v>KEW</v>
          </cell>
          <cell r="Z1718">
            <v>43998</v>
          </cell>
          <cell r="AA1718">
            <v>44728</v>
          </cell>
          <cell r="AB1718" t="str">
            <v>No</v>
          </cell>
          <cell r="AC1718">
            <v>43998</v>
          </cell>
          <cell r="AD1718" t="str">
            <v>Good</v>
          </cell>
          <cell r="AE1718" t="str">
            <v>V3 - Added Installed Facilities (New)</v>
          </cell>
          <cell r="AH1718" t="str">
            <v>PPM</v>
          </cell>
          <cell r="AI1718" t="str">
            <v>Strands</v>
          </cell>
          <cell r="AJ1718" t="str">
            <v>Strands PW</v>
          </cell>
          <cell r="AK1718" t="str">
            <v>SNF received</v>
          </cell>
        </row>
        <row r="1719">
          <cell r="A1719" t="str">
            <v>IKN402035</v>
          </cell>
          <cell r="B1719">
            <v>1690</v>
          </cell>
          <cell r="C1719" t="str">
            <v>Institut Kanser Negara</v>
          </cell>
          <cell r="D1719" t="str">
            <v>KKM/IKN/H/20/29</v>
          </cell>
          <cell r="E1719" t="str">
            <v>16-861</v>
          </cell>
          <cell r="F1719" t="str">
            <v>Baths, Water, Laboratory</v>
          </cell>
          <cell r="G1719" t="str">
            <v>NM</v>
          </cell>
          <cell r="H1719" t="str">
            <v>NUCLEAR MED (DIAGNOSTIC)</v>
          </cell>
          <cell r="I1719" t="str">
            <v>03NM133</v>
          </cell>
          <cell r="J1719" t="str">
            <v>RADIODINE DISPENSING (-VE)</v>
          </cell>
          <cell r="K1719" t="str">
            <v>BMED</v>
          </cell>
          <cell r="L1719" t="str">
            <v>Normal</v>
          </cell>
          <cell r="O1719" t="str">
            <v>D1302-230V</v>
          </cell>
          <cell r="P1719" t="str">
            <v>BD186AJ0000190</v>
          </cell>
          <cell r="Q1719" t="str">
            <v>Not Applicable</v>
          </cell>
          <cell r="S1719" t="str">
            <v>UWAIS MEDIC SDN BHD</v>
          </cell>
          <cell r="T1719" t="str">
            <v>Functioning</v>
          </cell>
          <cell r="U1719" t="str">
            <v>Asset</v>
          </cell>
          <cell r="V1719">
            <v>8700</v>
          </cell>
          <cell r="W1719" t="str">
            <v>KEW</v>
          </cell>
          <cell r="X1719">
            <v>43941</v>
          </cell>
          <cell r="Y1719" t="str">
            <v>KEW</v>
          </cell>
          <cell r="Z1719">
            <v>44021</v>
          </cell>
          <cell r="AA1719">
            <v>44385</v>
          </cell>
          <cell r="AB1719" t="str">
            <v>No</v>
          </cell>
          <cell r="AC1719">
            <v>44021</v>
          </cell>
          <cell r="AD1719" t="str">
            <v>Good</v>
          </cell>
          <cell r="AE1719" t="str">
            <v>V3 - Added Installed Facilities (New)</v>
          </cell>
          <cell r="AH1719" t="str">
            <v>PPM</v>
          </cell>
          <cell r="AI1719" t="str">
            <v>Strands</v>
          </cell>
          <cell r="AJ1719" t="str">
            <v>Strands PW</v>
          </cell>
          <cell r="AK1719" t="str">
            <v>SNF received. Temperature probe SN:294123.</v>
          </cell>
        </row>
        <row r="1720">
          <cell r="A1720" t="str">
            <v>IKN402035</v>
          </cell>
          <cell r="B1720" t="str">
            <v>Baths, Water, Laboratory</v>
          </cell>
          <cell r="C1720" t="str">
            <v>Institut Kanser Negara</v>
          </cell>
          <cell r="E1720" t="str">
            <v>16861-000</v>
          </cell>
          <cell r="F1720" t="str">
            <v>Baths, Water, Laboratory</v>
          </cell>
          <cell r="G1720" t="str">
            <v>NM</v>
          </cell>
          <cell r="H1720" t="str">
            <v>NUCLEAR MED (DIAGNOSTIC)</v>
          </cell>
          <cell r="I1720" t="str">
            <v>03NM133</v>
          </cell>
          <cell r="K1720" t="str">
            <v>BMED</v>
          </cell>
          <cell r="L1720" t="str">
            <v>Normal</v>
          </cell>
          <cell r="P1720" t="str">
            <v>D1302-230V</v>
          </cell>
        </row>
        <row r="1721">
          <cell r="A1721" t="str">
            <v>IKN402036</v>
          </cell>
          <cell r="B1721">
            <v>1691</v>
          </cell>
          <cell r="C1721" t="str">
            <v>Institut Kanser Negara</v>
          </cell>
          <cell r="D1721" t="str">
            <v>KKM/IKN/H/20/28</v>
          </cell>
          <cell r="E1721" t="str">
            <v>16-861</v>
          </cell>
          <cell r="F1721" t="str">
            <v>Baths, Water, Laboratory</v>
          </cell>
          <cell r="G1721" t="str">
            <v>NM</v>
          </cell>
          <cell r="H1721" t="str">
            <v>NUCLEAR MED (DIAGNOSTIC)</v>
          </cell>
          <cell r="I1721" t="str">
            <v>03NM133</v>
          </cell>
          <cell r="J1721" t="str">
            <v>RADIODINE DISPENSING (-VE)</v>
          </cell>
          <cell r="K1721" t="str">
            <v>BMED</v>
          </cell>
          <cell r="L1721" t="str">
            <v>Normal</v>
          </cell>
          <cell r="O1721" t="str">
            <v>D1302-230V</v>
          </cell>
          <cell r="P1721" t="str">
            <v>BD194AJ0000782</v>
          </cell>
          <cell r="Q1721" t="str">
            <v>Not Applicable</v>
          </cell>
          <cell r="S1721" t="str">
            <v>UWAIS MEDIC SDN BHD</v>
          </cell>
          <cell r="T1721" t="str">
            <v>Functioning</v>
          </cell>
          <cell r="U1721" t="str">
            <v>Asset</v>
          </cell>
          <cell r="V1721">
            <v>8700</v>
          </cell>
          <cell r="W1721" t="str">
            <v>KEW</v>
          </cell>
          <cell r="X1721">
            <v>43941</v>
          </cell>
          <cell r="Y1721" t="str">
            <v>KEW</v>
          </cell>
          <cell r="Z1721">
            <v>44021</v>
          </cell>
          <cell r="AA1721">
            <v>44385</v>
          </cell>
          <cell r="AB1721" t="str">
            <v>No</v>
          </cell>
          <cell r="AC1721">
            <v>44021</v>
          </cell>
          <cell r="AD1721" t="str">
            <v>Good</v>
          </cell>
          <cell r="AE1721" t="str">
            <v>V3 - Added Installed Facilities (New)</v>
          </cell>
          <cell r="AH1721" t="str">
            <v>PPM</v>
          </cell>
          <cell r="AI1721" t="str">
            <v>Strands</v>
          </cell>
          <cell r="AJ1721" t="str">
            <v>Strands PW</v>
          </cell>
          <cell r="AK1721" t="str">
            <v>SNF received. Temperature probe SN: 2926BF.</v>
          </cell>
        </row>
        <row r="1722">
          <cell r="A1722" t="str">
            <v>IKN402043</v>
          </cell>
          <cell r="B1722">
            <v>1698</v>
          </cell>
          <cell r="C1722" t="str">
            <v>Institut Kanser Negara</v>
          </cell>
          <cell r="D1722" t="str">
            <v>KKM/IKN/H/20/46</v>
          </cell>
          <cell r="E1722" t="str">
            <v>13-215</v>
          </cell>
          <cell r="F1722" t="str">
            <v>Infusion Pumps, General-Purpose</v>
          </cell>
          <cell r="G1722" t="str">
            <v>DO</v>
          </cell>
          <cell r="H1722" t="str">
            <v>DAY ONCOLOGY UNIT</v>
          </cell>
          <cell r="I1722" t="str">
            <v>04DO111</v>
          </cell>
          <cell r="J1722" t="str">
            <v>EQUIP. ROOM</v>
          </cell>
          <cell r="K1722" t="str">
            <v>BMED</v>
          </cell>
          <cell r="L1722" t="str">
            <v>Critical</v>
          </cell>
          <cell r="M1722" t="str">
            <v>CHINA</v>
          </cell>
          <cell r="N1722" t="str">
            <v>HAWKMED</v>
          </cell>
          <cell r="O1722" t="str">
            <v>HAWK-i1</v>
          </cell>
          <cell r="P1722" t="str">
            <v>04007906</v>
          </cell>
          <cell r="Q1722" t="str">
            <v>Not Applicable</v>
          </cell>
          <cell r="R1722" t="str">
            <v>Shenzhen Hawk Medical Instrument Co., Ltd</v>
          </cell>
          <cell r="S1722" t="str">
            <v>Edge Cares Sdn. Bhd.</v>
          </cell>
          <cell r="T1722" t="str">
            <v>Functioning</v>
          </cell>
          <cell r="U1722" t="str">
            <v>Asset</v>
          </cell>
          <cell r="V1722">
            <v>3500</v>
          </cell>
          <cell r="W1722" t="str">
            <v>KEW</v>
          </cell>
          <cell r="X1722">
            <v>44155</v>
          </cell>
          <cell r="Y1722" t="str">
            <v>KEW</v>
          </cell>
          <cell r="Z1722">
            <v>44161</v>
          </cell>
          <cell r="AA1722">
            <v>44526</v>
          </cell>
          <cell r="AB1722" t="str">
            <v>No</v>
          </cell>
          <cell r="AC1722">
            <v>44161</v>
          </cell>
          <cell r="AD1722" t="str">
            <v>Good</v>
          </cell>
          <cell r="AE1722" t="str">
            <v>V3 - Added Installed Facilities (New)</v>
          </cell>
          <cell r="AF1722">
            <v>44161</v>
          </cell>
          <cell r="AH1722" t="str">
            <v>PPM</v>
          </cell>
          <cell r="AI1722" t="str">
            <v>Strands</v>
          </cell>
          <cell r="AJ1722" t="str">
            <v>Strands PW</v>
          </cell>
          <cell r="AK1722" t="str">
            <v>SNF received on 7.12.2020</v>
          </cell>
        </row>
        <row r="1723">
          <cell r="A1723" t="str">
            <v>IKN402044</v>
          </cell>
          <cell r="B1723">
            <v>1699</v>
          </cell>
          <cell r="C1723" t="str">
            <v>Institut Kanser Negara</v>
          </cell>
          <cell r="D1723" t="str">
            <v>KKM/IKN/H/20/48</v>
          </cell>
          <cell r="E1723" t="str">
            <v>13-215</v>
          </cell>
          <cell r="F1723" t="str">
            <v>Infusion Pumps, General-Purpose</v>
          </cell>
          <cell r="G1723" t="str">
            <v>DO</v>
          </cell>
          <cell r="H1723" t="str">
            <v>DAY ONCOLOGY UNIT</v>
          </cell>
          <cell r="I1723" t="str">
            <v>04DO111</v>
          </cell>
          <cell r="J1723" t="str">
            <v>EQUIP. ROOM</v>
          </cell>
          <cell r="K1723" t="str">
            <v>BMED</v>
          </cell>
          <cell r="L1723" t="str">
            <v>Critical</v>
          </cell>
          <cell r="M1723" t="str">
            <v>CHINA</v>
          </cell>
          <cell r="N1723" t="str">
            <v>HAWKMED</v>
          </cell>
          <cell r="O1723" t="str">
            <v>HAWK-i1</v>
          </cell>
          <cell r="P1723" t="str">
            <v>04007585</v>
          </cell>
          <cell r="Q1723" t="str">
            <v>Not Applicable</v>
          </cell>
          <cell r="R1723" t="str">
            <v>Shenzhen Hawk Medical Instrument Co., Ltd</v>
          </cell>
          <cell r="S1723" t="str">
            <v>Edge Cares Sdn. Bhd.</v>
          </cell>
          <cell r="T1723" t="str">
            <v>Functioning</v>
          </cell>
          <cell r="U1723" t="str">
            <v>Asset</v>
          </cell>
          <cell r="V1723">
            <v>3500</v>
          </cell>
          <cell r="W1723" t="str">
            <v>KEW</v>
          </cell>
          <cell r="X1723">
            <v>44155</v>
          </cell>
          <cell r="Y1723" t="str">
            <v>KEW</v>
          </cell>
          <cell r="Z1723">
            <v>44161</v>
          </cell>
          <cell r="AA1723">
            <v>44526</v>
          </cell>
          <cell r="AB1723" t="str">
            <v>No</v>
          </cell>
          <cell r="AC1723">
            <v>44161</v>
          </cell>
          <cell r="AD1723" t="str">
            <v>Good</v>
          </cell>
          <cell r="AE1723" t="str">
            <v>V3 - Added Installed Facilities (New)</v>
          </cell>
          <cell r="AF1723">
            <v>44161</v>
          </cell>
          <cell r="AH1723" t="str">
            <v>PPM</v>
          </cell>
          <cell r="AI1723" t="str">
            <v>Strands</v>
          </cell>
          <cell r="AJ1723" t="str">
            <v>Strands PW</v>
          </cell>
          <cell r="AK1723" t="str">
            <v>SNF received on 7.12.2020</v>
          </cell>
        </row>
        <row r="1724">
          <cell r="A1724" t="str">
            <v>IKN402045</v>
          </cell>
          <cell r="B1724">
            <v>1700</v>
          </cell>
          <cell r="C1724" t="str">
            <v>Institut Kanser Negara</v>
          </cell>
          <cell r="D1724" t="str">
            <v>KKM/IKN/H/20/47</v>
          </cell>
          <cell r="E1724" t="str">
            <v>13-215</v>
          </cell>
          <cell r="F1724" t="str">
            <v>Infusion Pumps, General-Purpose</v>
          </cell>
          <cell r="G1724" t="str">
            <v>DO</v>
          </cell>
          <cell r="H1724" t="str">
            <v>DAY ONCOLOGY UNIT</v>
          </cell>
          <cell r="I1724" t="str">
            <v>04DO111</v>
          </cell>
          <cell r="J1724" t="str">
            <v>EQUIP. ROOM</v>
          </cell>
          <cell r="K1724" t="str">
            <v>BMED</v>
          </cell>
          <cell r="L1724" t="str">
            <v>Critical</v>
          </cell>
          <cell r="M1724" t="str">
            <v>CHINA</v>
          </cell>
          <cell r="N1724" t="str">
            <v>HAWKMED</v>
          </cell>
          <cell r="O1724" t="str">
            <v>HAWK-i1</v>
          </cell>
          <cell r="P1724" t="str">
            <v>04007584</v>
          </cell>
          <cell r="Q1724" t="str">
            <v>Not Applicable</v>
          </cell>
          <cell r="R1724" t="str">
            <v>Shenzhen Hawk Medical Instrument Co., Ltd</v>
          </cell>
          <cell r="S1724" t="str">
            <v>Edge Cares Sdn. Bhd.</v>
          </cell>
          <cell r="T1724" t="str">
            <v>Functioning</v>
          </cell>
          <cell r="U1724" t="str">
            <v>Asset</v>
          </cell>
          <cell r="V1724">
            <v>3500</v>
          </cell>
          <cell r="W1724" t="str">
            <v>KEW</v>
          </cell>
          <cell r="X1724">
            <v>44155</v>
          </cell>
          <cell r="Y1724" t="str">
            <v>KEW</v>
          </cell>
          <cell r="Z1724">
            <v>44161</v>
          </cell>
          <cell r="AA1724">
            <v>44526</v>
          </cell>
          <cell r="AB1724" t="str">
            <v>No</v>
          </cell>
          <cell r="AC1724">
            <v>44161</v>
          </cell>
          <cell r="AD1724" t="str">
            <v>Good</v>
          </cell>
          <cell r="AE1724" t="str">
            <v>V3 - Added Installed Facilities (New)</v>
          </cell>
          <cell r="AF1724">
            <v>44161</v>
          </cell>
          <cell r="AH1724" t="str">
            <v>PPM</v>
          </cell>
          <cell r="AI1724" t="str">
            <v>Strands</v>
          </cell>
          <cell r="AJ1724" t="str">
            <v>Strands PW</v>
          </cell>
          <cell r="AK1724" t="str">
            <v>SNF received on 7.12.2020</v>
          </cell>
        </row>
        <row r="1725">
          <cell r="A1725" t="str">
            <v>IKN402046</v>
          </cell>
          <cell r="B1725">
            <v>1701</v>
          </cell>
          <cell r="C1725" t="str">
            <v>Institut Kanser Negara</v>
          </cell>
          <cell r="D1725" t="str">
            <v>KKM/IKN/H/20/45</v>
          </cell>
          <cell r="E1725" t="str">
            <v>13-215</v>
          </cell>
          <cell r="F1725" t="str">
            <v>Infusion Pumps, General-Purpose</v>
          </cell>
          <cell r="G1725" t="str">
            <v>DO</v>
          </cell>
          <cell r="H1725" t="str">
            <v>DAY ONCOLOGY UNIT</v>
          </cell>
          <cell r="I1725" t="str">
            <v>04DO111</v>
          </cell>
          <cell r="J1725" t="str">
            <v>EQUIP. ROOM</v>
          </cell>
          <cell r="K1725" t="str">
            <v>BMED</v>
          </cell>
          <cell r="L1725" t="str">
            <v>Critical</v>
          </cell>
          <cell r="M1725" t="str">
            <v>CHINA</v>
          </cell>
          <cell r="N1725" t="str">
            <v>HAWKMED</v>
          </cell>
          <cell r="O1725" t="str">
            <v>HAWK-i1</v>
          </cell>
          <cell r="P1725" t="str">
            <v>04007987</v>
          </cell>
          <cell r="Q1725" t="str">
            <v>Not Applicable</v>
          </cell>
          <cell r="R1725" t="str">
            <v>Shenzhen Hawk Medical Instrument Co., Ltd</v>
          </cell>
          <cell r="S1725" t="str">
            <v>Edge Cares Sdn. Bhd.</v>
          </cell>
          <cell r="T1725" t="str">
            <v>Functioning</v>
          </cell>
          <cell r="U1725" t="str">
            <v>Asset</v>
          </cell>
          <cell r="V1725">
            <v>3500</v>
          </cell>
          <cell r="W1725" t="str">
            <v>KEW</v>
          </cell>
          <cell r="X1725">
            <v>44155</v>
          </cell>
          <cell r="Y1725" t="str">
            <v>KEW</v>
          </cell>
          <cell r="Z1725">
            <v>44161</v>
          </cell>
          <cell r="AA1725">
            <v>44526</v>
          </cell>
          <cell r="AB1725" t="str">
            <v>No</v>
          </cell>
          <cell r="AC1725">
            <v>44161</v>
          </cell>
          <cell r="AD1725" t="str">
            <v>Good</v>
          </cell>
          <cell r="AE1725" t="str">
            <v>V3 - Added Installed Facilities (New)</v>
          </cell>
          <cell r="AF1725">
            <v>44161</v>
          </cell>
          <cell r="AH1725" t="str">
            <v>PPM</v>
          </cell>
          <cell r="AI1725" t="str">
            <v>Strands</v>
          </cell>
          <cell r="AJ1725" t="str">
            <v>Strands PW</v>
          </cell>
          <cell r="AK1725" t="str">
            <v>SNF received on 7.12.2020</v>
          </cell>
        </row>
        <row r="1726">
          <cell r="A1726" t="str">
            <v>IKN402048</v>
          </cell>
          <cell r="B1726">
            <v>1703</v>
          </cell>
          <cell r="C1726" t="str">
            <v>Institut Kanser Negara</v>
          </cell>
          <cell r="D1726" t="str">
            <v>KKM/IKN/R/20/320</v>
          </cell>
          <cell r="E1726" t="str">
            <v>182-67</v>
          </cell>
          <cell r="F1726" t="str">
            <v>Centrifuges, Tabletop, Low-Speed, Nonrefrigerated, Blood Bank</v>
          </cell>
          <cell r="G1726" t="str">
            <v>LA</v>
          </cell>
          <cell r="H1726" t="str">
            <v>PATHOLOGY</v>
          </cell>
          <cell r="I1726" t="str">
            <v>04LA127</v>
          </cell>
          <cell r="J1726" t="str">
            <v>INNOCULATION/STAINING</v>
          </cell>
          <cell r="K1726" t="str">
            <v>BMED</v>
          </cell>
          <cell r="L1726" t="str">
            <v>Normal</v>
          </cell>
          <cell r="M1726" t="str">
            <v>CHINA</v>
          </cell>
          <cell r="N1726" t="str">
            <v>BIOLOGIX</v>
          </cell>
          <cell r="O1726" t="str">
            <v>D1008</v>
          </cell>
          <cell r="P1726" t="str">
            <v>HG19BAK0001335</v>
          </cell>
          <cell r="Q1726" t="str">
            <v>Not Applicable</v>
          </cell>
          <cell r="R1726" t="str">
            <v>Biologix Group Limited</v>
          </cell>
          <cell r="S1726" t="str">
            <v>Tree Med Sdn. Bhd</v>
          </cell>
          <cell r="T1726" t="str">
            <v>Functioning</v>
          </cell>
          <cell r="U1726" t="str">
            <v>Asset</v>
          </cell>
          <cell r="V1726">
            <v>950</v>
          </cell>
          <cell r="W1726" t="str">
            <v>KEW</v>
          </cell>
          <cell r="X1726">
            <v>43935</v>
          </cell>
          <cell r="Y1726" t="str">
            <v>KEW</v>
          </cell>
          <cell r="Z1726">
            <v>44167</v>
          </cell>
          <cell r="AA1726">
            <v>44532</v>
          </cell>
          <cell r="AB1726" t="str">
            <v>No</v>
          </cell>
          <cell r="AC1726">
            <v>44167</v>
          </cell>
          <cell r="AD1726" t="str">
            <v>Good</v>
          </cell>
          <cell r="AE1726" t="str">
            <v>V3 - Added Installed Facilities (New)</v>
          </cell>
          <cell r="AF1726">
            <v>44167</v>
          </cell>
          <cell r="AH1726" t="str">
            <v>PPM</v>
          </cell>
          <cell r="AI1726" t="str">
            <v>Strands</v>
          </cell>
          <cell r="AJ1726" t="str">
            <v>Strands PW</v>
          </cell>
          <cell r="AK1726" t="str">
            <v>SNF received on 15.1.2021</v>
          </cell>
        </row>
        <row r="1727">
          <cell r="A1727" t="str">
            <v>IKN402050</v>
          </cell>
          <cell r="B1727">
            <v>1705</v>
          </cell>
          <cell r="C1727" t="str">
            <v>Institut Kanser Negara</v>
          </cell>
          <cell r="D1727" t="str">
            <v>KKM/IKN/H/21/9</v>
          </cell>
          <cell r="E1727" t="str">
            <v>18-329</v>
          </cell>
          <cell r="F1727" t="str">
            <v>Electrocardiographs, Multichannel, Non-Interpretative</v>
          </cell>
          <cell r="G1727" t="str">
            <v>AE</v>
          </cell>
          <cell r="H1727" t="str">
            <v>EMERGENCY UNIT</v>
          </cell>
          <cell r="I1727" t="str">
            <v>01AE106</v>
          </cell>
          <cell r="J1727" t="str">
            <v>C/E ROOM</v>
          </cell>
          <cell r="K1727" t="str">
            <v>BMED</v>
          </cell>
          <cell r="L1727" t="str">
            <v>Normal</v>
          </cell>
          <cell r="M1727" t="str">
            <v>United Kingdom</v>
          </cell>
          <cell r="N1727" t="str">
            <v>BTL</v>
          </cell>
          <cell r="O1727" t="str">
            <v>BTL-08 SD3</v>
          </cell>
          <cell r="P1727" t="str">
            <v>071DOB009854</v>
          </cell>
          <cell r="Q1727" t="str">
            <v>Not Applicable</v>
          </cell>
          <cell r="R1727" t="str">
            <v>BTL Industries Ltd</v>
          </cell>
          <cell r="S1727" t="str">
            <v>MEDIXELL SDN BHD</v>
          </cell>
          <cell r="T1727" t="str">
            <v>Functioning</v>
          </cell>
          <cell r="U1727" t="str">
            <v>Asset</v>
          </cell>
          <cell r="V1727">
            <v>12900</v>
          </cell>
          <cell r="W1727" t="str">
            <v>KEW</v>
          </cell>
          <cell r="X1727">
            <v>44139</v>
          </cell>
          <cell r="Y1727" t="str">
            <v>KEW</v>
          </cell>
          <cell r="Z1727">
            <v>44196</v>
          </cell>
          <cell r="AA1727">
            <v>44561</v>
          </cell>
          <cell r="AB1727" t="str">
            <v>No</v>
          </cell>
          <cell r="AC1727">
            <v>44186</v>
          </cell>
          <cell r="AD1727" t="str">
            <v>Good</v>
          </cell>
          <cell r="AE1727" t="str">
            <v>V3 - Added Installed Facilities (New)</v>
          </cell>
          <cell r="AH1727" t="str">
            <v>PPM</v>
          </cell>
          <cell r="AI1727" t="str">
            <v>Strands</v>
          </cell>
          <cell r="AJ1727" t="str">
            <v>Strands PW</v>
          </cell>
          <cell r="AK1727" t="str">
            <v>SNF received on 24.6.2021. [19/1/2024, Indira]: Update Model and SN.</v>
          </cell>
        </row>
        <row r="1728">
          <cell r="A1728" t="str">
            <v>IKN402051</v>
          </cell>
          <cell r="B1728">
            <v>1706</v>
          </cell>
          <cell r="C1728" t="str">
            <v>Institut Kanser Negara</v>
          </cell>
          <cell r="D1728" t="str">
            <v>KKM/IKN/H/21/4</v>
          </cell>
          <cell r="E1728" t="str">
            <v>14-032</v>
          </cell>
          <cell r="F1728" t="str">
            <v>Thermometers, Electronic</v>
          </cell>
          <cell r="G1728" t="str">
            <v>HP</v>
          </cell>
          <cell r="H1728" t="str">
            <v>HEALTH PROMO &amp; CANCER UNIT</v>
          </cell>
          <cell r="I1728" t="str">
            <v>04HP104</v>
          </cell>
          <cell r="J1728" t="str">
            <v>DISPLAY</v>
          </cell>
          <cell r="K1728" t="str">
            <v>BMED</v>
          </cell>
          <cell r="L1728" t="str">
            <v>Normal</v>
          </cell>
          <cell r="M1728" t="str">
            <v>CHINA</v>
          </cell>
          <cell r="N1728" t="str">
            <v>NUVEQ</v>
          </cell>
          <cell r="O1728" t="str">
            <v>FK02GYW</v>
          </cell>
          <cell r="P1728" t="str">
            <v>7101803027957</v>
          </cell>
          <cell r="Q1728" t="str">
            <v>Not Applicable</v>
          </cell>
          <cell r="R1728" t="str">
            <v>N/A</v>
          </cell>
          <cell r="S1728" t="str">
            <v>Cara Solution Sdn Bhd</v>
          </cell>
          <cell r="T1728" t="str">
            <v>Functioning</v>
          </cell>
          <cell r="U1728" t="str">
            <v>Asset</v>
          </cell>
          <cell r="V1728">
            <v>5800</v>
          </cell>
          <cell r="W1728" t="str">
            <v>KEW</v>
          </cell>
          <cell r="X1728">
            <v>44225</v>
          </cell>
          <cell r="Y1728" t="str">
            <v>KEW</v>
          </cell>
          <cell r="Z1728">
            <v>44225</v>
          </cell>
          <cell r="AA1728">
            <v>44590</v>
          </cell>
          <cell r="AB1728" t="str">
            <v>No</v>
          </cell>
          <cell r="AC1728">
            <v>44225</v>
          </cell>
          <cell r="AD1728" t="str">
            <v>Good</v>
          </cell>
          <cell r="AE1728" t="str">
            <v>V3 - Added Installed Facilities (New)</v>
          </cell>
          <cell r="AH1728" t="str">
            <v>PPM</v>
          </cell>
          <cell r="AI1728" t="str">
            <v>Not in contract</v>
          </cell>
          <cell r="AJ1728" t="str">
            <v>Strands PW</v>
          </cell>
          <cell r="AK1728" t="str">
            <v>Asset Sumbangan</v>
          </cell>
        </row>
        <row r="1729">
          <cell r="A1729" t="str">
            <v>IKN402052</v>
          </cell>
          <cell r="B1729">
            <v>1707</v>
          </cell>
          <cell r="C1729" t="str">
            <v>Institut Kanser Negara</v>
          </cell>
          <cell r="D1729" t="str">
            <v>KKM/IKN/H/21/3</v>
          </cell>
          <cell r="E1729" t="str">
            <v>14-032</v>
          </cell>
          <cell r="F1729" t="str">
            <v>Thermometers, Electronic</v>
          </cell>
          <cell r="G1729" t="str">
            <v>HP</v>
          </cell>
          <cell r="H1729" t="str">
            <v>HEALTH PROMO &amp; CANCER UNIT</v>
          </cell>
          <cell r="I1729" t="str">
            <v>04HP104</v>
          </cell>
          <cell r="J1729" t="str">
            <v>DISPLAY</v>
          </cell>
          <cell r="K1729" t="str">
            <v>BMED</v>
          </cell>
          <cell r="L1729" t="str">
            <v>Normal</v>
          </cell>
          <cell r="M1729" t="str">
            <v>CHINA</v>
          </cell>
          <cell r="N1729" t="str">
            <v>NUVEQ</v>
          </cell>
          <cell r="O1729" t="str">
            <v>FK02GYW</v>
          </cell>
          <cell r="P1729" t="str">
            <v>7101166493742</v>
          </cell>
          <cell r="Q1729" t="str">
            <v>Not Applicable</v>
          </cell>
          <cell r="R1729" t="str">
            <v>N/A</v>
          </cell>
          <cell r="S1729" t="str">
            <v>Cara Solution Sdn Bhd</v>
          </cell>
          <cell r="T1729" t="str">
            <v>Functioning</v>
          </cell>
          <cell r="U1729" t="str">
            <v>Asset</v>
          </cell>
          <cell r="V1729">
            <v>5800</v>
          </cell>
          <cell r="W1729" t="str">
            <v>KEW</v>
          </cell>
          <cell r="X1729">
            <v>44225</v>
          </cell>
          <cell r="Y1729" t="str">
            <v>KEW</v>
          </cell>
          <cell r="Z1729">
            <v>44225</v>
          </cell>
          <cell r="AA1729">
            <v>44590</v>
          </cell>
          <cell r="AB1729" t="str">
            <v>No</v>
          </cell>
          <cell r="AC1729">
            <v>44225</v>
          </cell>
          <cell r="AD1729" t="str">
            <v>Good</v>
          </cell>
          <cell r="AE1729" t="str">
            <v>V3 - Added Installed Facilities (New)</v>
          </cell>
          <cell r="AH1729" t="str">
            <v>PPM</v>
          </cell>
          <cell r="AI1729" t="str">
            <v>Not in contract</v>
          </cell>
          <cell r="AJ1729" t="str">
            <v>Strands PW</v>
          </cell>
          <cell r="AK1729" t="str">
            <v>Asset Sumbangan</v>
          </cell>
        </row>
        <row r="1730">
          <cell r="A1730" t="str">
            <v>IKN402055</v>
          </cell>
          <cell r="B1730">
            <v>1710</v>
          </cell>
          <cell r="C1730" t="str">
            <v>Institut Kanser Negara</v>
          </cell>
          <cell r="D1730" t="str">
            <v>KKM/IKN/H/21/20</v>
          </cell>
          <cell r="E1730" t="str">
            <v>15-141</v>
          </cell>
          <cell r="F1730" t="str">
            <v>Fluorometers</v>
          </cell>
          <cell r="G1730" t="str">
            <v>LA</v>
          </cell>
          <cell r="H1730" t="str">
            <v>PATHOLOGY</v>
          </cell>
          <cell r="I1730" t="str">
            <v>04LA130</v>
          </cell>
          <cell r="J1730" t="str">
            <v>SEROLOGY</v>
          </cell>
          <cell r="K1730" t="str">
            <v>BMED</v>
          </cell>
          <cell r="L1730" t="str">
            <v>Normal</v>
          </cell>
          <cell r="M1730" t="str">
            <v>Singapore</v>
          </cell>
          <cell r="N1730" t="str">
            <v>Invitrogen Thermo Fisher Scientific</v>
          </cell>
          <cell r="O1730" t="str">
            <v>Qubit 4 Flourometer</v>
          </cell>
          <cell r="P1730" t="str">
            <v>2322619100216</v>
          </cell>
          <cell r="Q1730" t="str">
            <v>Not Applicable</v>
          </cell>
          <cell r="R1730" t="str">
            <v>Life Technologies Holding Pte Ltd</v>
          </cell>
          <cell r="S1730" t="str">
            <v>Bio-Diagnostic Sdn Bhd</v>
          </cell>
          <cell r="T1730" t="str">
            <v>Functioning</v>
          </cell>
          <cell r="U1730" t="str">
            <v>Asset</v>
          </cell>
          <cell r="V1730">
            <v>16800</v>
          </cell>
          <cell r="W1730" t="str">
            <v>KEW</v>
          </cell>
          <cell r="X1730">
            <v>44298</v>
          </cell>
          <cell r="Y1730" t="str">
            <v>KEW</v>
          </cell>
          <cell r="Z1730">
            <v>44301</v>
          </cell>
          <cell r="AA1730">
            <v>44666</v>
          </cell>
          <cell r="AB1730" t="str">
            <v>No</v>
          </cell>
          <cell r="AC1730">
            <v>44306</v>
          </cell>
          <cell r="AD1730" t="str">
            <v>Good</v>
          </cell>
          <cell r="AE1730" t="str">
            <v>V3 - Added Installed Facilities (New)</v>
          </cell>
          <cell r="AF1730">
            <v>44301</v>
          </cell>
          <cell r="AH1730" t="str">
            <v>PPM</v>
          </cell>
          <cell r="AI1730" t="str">
            <v>Strands</v>
          </cell>
          <cell r="AJ1730" t="str">
            <v>Strands PW</v>
          </cell>
          <cell r="AK1730" t="str">
            <v>SNF received on 30.6.2021</v>
          </cell>
        </row>
        <row r="1731">
          <cell r="A1731" t="str">
            <v>IKN402056</v>
          </cell>
          <cell r="B1731">
            <v>1711</v>
          </cell>
          <cell r="C1731" t="str">
            <v>Institut Kanser Negara</v>
          </cell>
          <cell r="D1731" t="str">
            <v>KKM/IKN/R/21/94</v>
          </cell>
          <cell r="E1731" t="str">
            <v>15-663</v>
          </cell>
          <cell r="F1731" t="str">
            <v>Pipetters</v>
          </cell>
          <cell r="G1731" t="str">
            <v>LA</v>
          </cell>
          <cell r="H1731" t="str">
            <v>PATHOLOGY</v>
          </cell>
          <cell r="I1731" t="str">
            <v>04LA130</v>
          </cell>
          <cell r="J1731" t="str">
            <v>SEROLOGY</v>
          </cell>
          <cell r="K1731" t="str">
            <v>BMED</v>
          </cell>
          <cell r="L1731" t="str">
            <v>Normal</v>
          </cell>
          <cell r="M1731" t="str">
            <v>Germany</v>
          </cell>
          <cell r="N1731" t="str">
            <v>Eppendorf</v>
          </cell>
          <cell r="O1731" t="str">
            <v>Eppendorf Research Plus</v>
          </cell>
          <cell r="P1731" t="str">
            <v>N45411J</v>
          </cell>
          <cell r="Q1731" t="str">
            <v>Not Applicable</v>
          </cell>
          <cell r="R1731" t="str">
            <v>Eppendorf</v>
          </cell>
          <cell r="S1731" t="str">
            <v>MEDIGENE SDN BHD</v>
          </cell>
          <cell r="T1731" t="str">
            <v>Functioning</v>
          </cell>
          <cell r="U1731" t="str">
            <v>Asset</v>
          </cell>
          <cell r="V1731">
            <v>1000</v>
          </cell>
          <cell r="W1731" t="str">
            <v>KEW</v>
          </cell>
          <cell r="X1731">
            <v>44291</v>
          </cell>
          <cell r="Y1731" t="str">
            <v>KEW</v>
          </cell>
          <cell r="Z1731">
            <v>44307</v>
          </cell>
          <cell r="AA1731">
            <v>44672</v>
          </cell>
          <cell r="AB1731" t="str">
            <v>No</v>
          </cell>
          <cell r="AC1731">
            <v>44307</v>
          </cell>
          <cell r="AD1731" t="str">
            <v>Good</v>
          </cell>
          <cell r="AE1731" t="str">
            <v>V3 - Added Installed Facilities (New)</v>
          </cell>
          <cell r="AH1731" t="str">
            <v>PPM</v>
          </cell>
          <cell r="AI1731" t="str">
            <v>Strands</v>
          </cell>
          <cell r="AJ1731" t="str">
            <v>Strands PW</v>
          </cell>
          <cell r="AK1731" t="str">
            <v>SNF received on 30.6.2021</v>
          </cell>
        </row>
        <row r="1732">
          <cell r="A1732" t="str">
            <v>IKN402057</v>
          </cell>
          <cell r="B1732">
            <v>1712</v>
          </cell>
          <cell r="C1732" t="str">
            <v>Institut Kanser Negara</v>
          </cell>
          <cell r="D1732" t="str">
            <v>KKM/IKN/R/21/95</v>
          </cell>
          <cell r="E1732" t="str">
            <v>15-663</v>
          </cell>
          <cell r="F1732" t="str">
            <v>Pipetters</v>
          </cell>
          <cell r="G1732" t="str">
            <v>LA</v>
          </cell>
          <cell r="H1732" t="str">
            <v>PATHOLOGY</v>
          </cell>
          <cell r="I1732" t="str">
            <v>04LA130</v>
          </cell>
          <cell r="J1732" t="str">
            <v>SEROLOGY</v>
          </cell>
          <cell r="K1732" t="str">
            <v>BMED</v>
          </cell>
          <cell r="L1732" t="str">
            <v>Normal</v>
          </cell>
          <cell r="M1732" t="str">
            <v>Germany</v>
          </cell>
          <cell r="N1732" t="str">
            <v>Eppendorf</v>
          </cell>
          <cell r="O1732" t="str">
            <v>Eppendorf Research Plus</v>
          </cell>
          <cell r="P1732" t="str">
            <v>N45813J</v>
          </cell>
          <cell r="Q1732" t="str">
            <v>Not Applicable</v>
          </cell>
          <cell r="R1732" t="str">
            <v>Eppendorf</v>
          </cell>
          <cell r="S1732" t="str">
            <v>MEDIGENE SDN BHD</v>
          </cell>
          <cell r="T1732" t="str">
            <v>Functioning</v>
          </cell>
          <cell r="U1732" t="str">
            <v>Asset</v>
          </cell>
          <cell r="V1732">
            <v>1000</v>
          </cell>
          <cell r="W1732" t="str">
            <v>KEW</v>
          </cell>
          <cell r="X1732">
            <v>44291</v>
          </cell>
          <cell r="Y1732" t="str">
            <v>KEW</v>
          </cell>
          <cell r="Z1732">
            <v>44307</v>
          </cell>
          <cell r="AA1732">
            <v>44672</v>
          </cell>
          <cell r="AB1732" t="str">
            <v>No</v>
          </cell>
          <cell r="AC1732">
            <v>44307</v>
          </cell>
          <cell r="AD1732" t="str">
            <v>Good</v>
          </cell>
          <cell r="AE1732" t="str">
            <v>V3 - Added Installed Facilities (New)</v>
          </cell>
          <cell r="AH1732" t="str">
            <v>PPM</v>
          </cell>
          <cell r="AI1732" t="str">
            <v>Strands</v>
          </cell>
          <cell r="AJ1732" t="str">
            <v>Strands PW</v>
          </cell>
          <cell r="AK1732" t="str">
            <v>SNF received on 30.6.2021</v>
          </cell>
        </row>
        <row r="1733">
          <cell r="A1733" t="str">
            <v>IKN402058</v>
          </cell>
          <cell r="B1733">
            <v>1713</v>
          </cell>
          <cell r="C1733" t="str">
            <v>Institut Kanser Negara</v>
          </cell>
          <cell r="D1733" t="str">
            <v>KKM/IKN/R/21/97</v>
          </cell>
          <cell r="E1733" t="str">
            <v>15-663</v>
          </cell>
          <cell r="F1733" t="str">
            <v>Pipetters</v>
          </cell>
          <cell r="G1733" t="str">
            <v>LA</v>
          </cell>
          <cell r="H1733" t="str">
            <v>PATHOLOGY</v>
          </cell>
          <cell r="I1733" t="str">
            <v>04LA130</v>
          </cell>
          <cell r="J1733" t="str">
            <v>SEROLOGY</v>
          </cell>
          <cell r="K1733" t="str">
            <v>BMED</v>
          </cell>
          <cell r="L1733" t="str">
            <v>Normal</v>
          </cell>
          <cell r="M1733" t="str">
            <v>Germany</v>
          </cell>
          <cell r="N1733" t="str">
            <v>Eppendorf</v>
          </cell>
          <cell r="O1733" t="str">
            <v>Eppendorf Research Plus</v>
          </cell>
          <cell r="P1733" t="str">
            <v>M38198J</v>
          </cell>
          <cell r="Q1733" t="str">
            <v>Not Applicable</v>
          </cell>
          <cell r="R1733" t="str">
            <v>Eppendorf</v>
          </cell>
          <cell r="S1733" t="str">
            <v>MEDIGENE SDN BHD</v>
          </cell>
          <cell r="T1733" t="str">
            <v>Functioning</v>
          </cell>
          <cell r="U1733" t="str">
            <v>Asset</v>
          </cell>
          <cell r="V1733">
            <v>1000</v>
          </cell>
          <cell r="W1733" t="str">
            <v>KEW</v>
          </cell>
          <cell r="X1733">
            <v>44291</v>
          </cell>
          <cell r="Y1733" t="str">
            <v>KEW</v>
          </cell>
          <cell r="Z1733">
            <v>44307</v>
          </cell>
          <cell r="AA1733">
            <v>44672</v>
          </cell>
          <cell r="AB1733" t="str">
            <v>No</v>
          </cell>
          <cell r="AC1733">
            <v>44307</v>
          </cell>
          <cell r="AD1733" t="str">
            <v>Good</v>
          </cell>
          <cell r="AE1733" t="str">
            <v>V3 - Added Installed Facilities (New)</v>
          </cell>
          <cell r="AH1733" t="str">
            <v>PPM</v>
          </cell>
          <cell r="AI1733" t="str">
            <v>Strands</v>
          </cell>
          <cell r="AJ1733" t="str">
            <v>Strands PW</v>
          </cell>
          <cell r="AK1733" t="str">
            <v>SNF received on 30.6.2021</v>
          </cell>
        </row>
        <row r="1734">
          <cell r="A1734" t="str">
            <v>IKN402059</v>
          </cell>
          <cell r="B1734">
            <v>1714</v>
          </cell>
          <cell r="C1734" t="str">
            <v>Institut Kanser Negara</v>
          </cell>
          <cell r="D1734" t="str">
            <v>KKM/IKN/R/21/96</v>
          </cell>
          <cell r="E1734" t="str">
            <v>15-663</v>
          </cell>
          <cell r="F1734" t="str">
            <v>Pipetters</v>
          </cell>
          <cell r="G1734" t="str">
            <v>LA</v>
          </cell>
          <cell r="H1734" t="str">
            <v>PATHOLOGY</v>
          </cell>
          <cell r="I1734" t="str">
            <v>04LA130</v>
          </cell>
          <cell r="J1734" t="str">
            <v>SEROLOGY</v>
          </cell>
          <cell r="K1734" t="str">
            <v>BMED</v>
          </cell>
          <cell r="L1734" t="str">
            <v>Normal</v>
          </cell>
          <cell r="M1734" t="str">
            <v>Germany</v>
          </cell>
          <cell r="N1734" t="str">
            <v>Eppendorf</v>
          </cell>
          <cell r="O1734" t="str">
            <v>Eppendorf Research Plus</v>
          </cell>
          <cell r="P1734" t="str">
            <v>M38212J</v>
          </cell>
          <cell r="Q1734" t="str">
            <v>Not Applicable</v>
          </cell>
          <cell r="R1734" t="str">
            <v>Eppendorf</v>
          </cell>
          <cell r="S1734" t="str">
            <v>MEDIGENE SDN BHD</v>
          </cell>
          <cell r="T1734" t="str">
            <v>Functioning</v>
          </cell>
          <cell r="U1734" t="str">
            <v>Asset</v>
          </cell>
          <cell r="V1734">
            <v>1000</v>
          </cell>
          <cell r="W1734" t="str">
            <v>KEW</v>
          </cell>
          <cell r="X1734">
            <v>44291</v>
          </cell>
          <cell r="Y1734" t="str">
            <v>KEW</v>
          </cell>
          <cell r="Z1734">
            <v>44307</v>
          </cell>
          <cell r="AA1734">
            <v>44672</v>
          </cell>
          <cell r="AB1734" t="str">
            <v>No</v>
          </cell>
          <cell r="AC1734">
            <v>44307</v>
          </cell>
          <cell r="AD1734" t="str">
            <v>Good</v>
          </cell>
          <cell r="AE1734" t="str">
            <v>V3 - Added Installed Facilities (New)</v>
          </cell>
          <cell r="AH1734" t="str">
            <v>PPM</v>
          </cell>
          <cell r="AI1734" t="str">
            <v>Strands</v>
          </cell>
          <cell r="AJ1734" t="str">
            <v>Strands PW</v>
          </cell>
          <cell r="AK1734" t="str">
            <v>SNF received on 30.6.2021</v>
          </cell>
        </row>
        <row r="1735">
          <cell r="A1735" t="str">
            <v>IKN402060</v>
          </cell>
          <cell r="B1735">
            <v>1715</v>
          </cell>
          <cell r="C1735" t="str">
            <v>Institut Kanser Negara</v>
          </cell>
          <cell r="D1735" t="str">
            <v>KKM/IKN/R/21/98</v>
          </cell>
          <cell r="E1735" t="str">
            <v>15-663</v>
          </cell>
          <cell r="F1735" t="str">
            <v>Pipetters</v>
          </cell>
          <cell r="G1735" t="str">
            <v>LA</v>
          </cell>
          <cell r="H1735" t="str">
            <v>PATHOLOGY</v>
          </cell>
          <cell r="I1735" t="str">
            <v>04LA130</v>
          </cell>
          <cell r="J1735" t="str">
            <v>SEROLOGY</v>
          </cell>
          <cell r="K1735" t="str">
            <v>BMED</v>
          </cell>
          <cell r="L1735" t="str">
            <v>Normal</v>
          </cell>
          <cell r="M1735" t="str">
            <v>Germany</v>
          </cell>
          <cell r="N1735" t="str">
            <v>Eppendorf</v>
          </cell>
          <cell r="O1735" t="str">
            <v>Eppendorf Research Plus</v>
          </cell>
          <cell r="P1735" t="str">
            <v>N45177J</v>
          </cell>
          <cell r="Q1735" t="str">
            <v>Not Applicable</v>
          </cell>
          <cell r="R1735" t="str">
            <v>Eppendorf</v>
          </cell>
          <cell r="S1735" t="str">
            <v>MEDIGENE SDN BHD</v>
          </cell>
          <cell r="T1735" t="str">
            <v>Functioning</v>
          </cell>
          <cell r="U1735" t="str">
            <v>Asset</v>
          </cell>
          <cell r="V1735">
            <v>1000</v>
          </cell>
          <cell r="W1735" t="str">
            <v>KEW</v>
          </cell>
          <cell r="X1735">
            <v>44291</v>
          </cell>
          <cell r="Y1735" t="str">
            <v>KEW</v>
          </cell>
          <cell r="Z1735">
            <v>44307</v>
          </cell>
          <cell r="AA1735">
            <v>44672</v>
          </cell>
          <cell r="AB1735" t="str">
            <v>No</v>
          </cell>
          <cell r="AC1735">
            <v>44307</v>
          </cell>
          <cell r="AD1735" t="str">
            <v>Good</v>
          </cell>
          <cell r="AE1735" t="str">
            <v>V3 - Added Installed Facilities (New)</v>
          </cell>
          <cell r="AH1735" t="str">
            <v>PPM</v>
          </cell>
          <cell r="AI1735" t="str">
            <v>Strands</v>
          </cell>
          <cell r="AJ1735" t="str">
            <v>Strands PW</v>
          </cell>
          <cell r="AK1735" t="str">
            <v>SNF received on 30.6.2021</v>
          </cell>
        </row>
        <row r="1736">
          <cell r="A1736" t="str">
            <v>IKN402061</v>
          </cell>
          <cell r="B1736">
            <v>1716</v>
          </cell>
          <cell r="C1736" t="str">
            <v>Institut Kanser Negara</v>
          </cell>
          <cell r="D1736" t="str">
            <v>KKM/IKN/R/21/99</v>
          </cell>
          <cell r="E1736" t="str">
            <v>15-663</v>
          </cell>
          <cell r="F1736" t="str">
            <v>Pipetters</v>
          </cell>
          <cell r="G1736" t="str">
            <v>LA</v>
          </cell>
          <cell r="H1736" t="str">
            <v>PATHOLOGY</v>
          </cell>
          <cell r="I1736" t="str">
            <v>04LA130</v>
          </cell>
          <cell r="J1736" t="str">
            <v>SEROLOGY</v>
          </cell>
          <cell r="K1736" t="str">
            <v>BMED</v>
          </cell>
          <cell r="L1736" t="str">
            <v>Normal</v>
          </cell>
          <cell r="M1736" t="str">
            <v>Germany</v>
          </cell>
          <cell r="N1736" t="str">
            <v>Eppendorf</v>
          </cell>
          <cell r="O1736" t="str">
            <v>Eppendorf Research Plus</v>
          </cell>
          <cell r="P1736" t="str">
            <v>N45183J</v>
          </cell>
          <cell r="Q1736" t="str">
            <v>Not Applicable</v>
          </cell>
          <cell r="R1736" t="str">
            <v>Eppendorf</v>
          </cell>
          <cell r="S1736" t="str">
            <v>MEDIGENE SDN BHD</v>
          </cell>
          <cell r="T1736" t="str">
            <v>Functioning</v>
          </cell>
          <cell r="U1736" t="str">
            <v>Asset</v>
          </cell>
          <cell r="V1736">
            <v>1000</v>
          </cell>
          <cell r="W1736" t="str">
            <v>KEW</v>
          </cell>
          <cell r="X1736">
            <v>44291</v>
          </cell>
          <cell r="Y1736" t="str">
            <v>KEW</v>
          </cell>
          <cell r="Z1736">
            <v>44307</v>
          </cell>
          <cell r="AA1736">
            <v>44672</v>
          </cell>
          <cell r="AB1736" t="str">
            <v>No</v>
          </cell>
          <cell r="AC1736">
            <v>44307</v>
          </cell>
          <cell r="AD1736" t="str">
            <v>Good</v>
          </cell>
          <cell r="AE1736" t="str">
            <v>V3 - Added Installed Facilities (New)</v>
          </cell>
          <cell r="AH1736" t="str">
            <v>PPM</v>
          </cell>
          <cell r="AI1736" t="str">
            <v>Strands</v>
          </cell>
          <cell r="AJ1736" t="str">
            <v>Strands PW</v>
          </cell>
          <cell r="AK1736" t="str">
            <v>SNF received on 30.6.2021</v>
          </cell>
        </row>
        <row r="1737">
          <cell r="A1737" t="str">
            <v>IKN402062</v>
          </cell>
          <cell r="B1737">
            <v>1717</v>
          </cell>
          <cell r="C1737" t="str">
            <v>Institut Kanser Negara</v>
          </cell>
          <cell r="D1737" t="str">
            <v>KKM/IKN/R/21/88</v>
          </cell>
          <cell r="E1737" t="str">
            <v>15-663</v>
          </cell>
          <cell r="F1737" t="str">
            <v>Pipetters</v>
          </cell>
          <cell r="G1737" t="str">
            <v>LA</v>
          </cell>
          <cell r="H1737" t="str">
            <v>PATHOLOGY</v>
          </cell>
          <cell r="I1737" t="str">
            <v>04LA130</v>
          </cell>
          <cell r="J1737" t="str">
            <v>SEROLOGY</v>
          </cell>
          <cell r="K1737" t="str">
            <v>BMED</v>
          </cell>
          <cell r="L1737" t="str">
            <v>Normal</v>
          </cell>
          <cell r="M1737" t="str">
            <v>Germany</v>
          </cell>
          <cell r="N1737" t="str">
            <v>Eppendorf</v>
          </cell>
          <cell r="O1737" t="str">
            <v>Eppendorf Research Plus</v>
          </cell>
          <cell r="P1737" t="str">
            <v>N34187J</v>
          </cell>
          <cell r="Q1737" t="str">
            <v>Not Applicable</v>
          </cell>
          <cell r="R1737" t="str">
            <v>Eppendorf</v>
          </cell>
          <cell r="S1737" t="str">
            <v>MEDIGENE SDN BHD</v>
          </cell>
          <cell r="T1737" t="str">
            <v>Functioning</v>
          </cell>
          <cell r="U1737" t="str">
            <v>Asset</v>
          </cell>
          <cell r="V1737">
            <v>1000</v>
          </cell>
          <cell r="W1737" t="str">
            <v>KEW</v>
          </cell>
          <cell r="X1737">
            <v>44291</v>
          </cell>
          <cell r="Y1737" t="str">
            <v>KEW</v>
          </cell>
          <cell r="Z1737">
            <v>44307</v>
          </cell>
          <cell r="AA1737">
            <v>44672</v>
          </cell>
          <cell r="AB1737" t="str">
            <v>No</v>
          </cell>
          <cell r="AC1737">
            <v>44307</v>
          </cell>
          <cell r="AD1737" t="str">
            <v>Good</v>
          </cell>
          <cell r="AE1737" t="str">
            <v>V3 - Added Installed Facilities (New)</v>
          </cell>
          <cell r="AH1737" t="str">
            <v>PPM</v>
          </cell>
          <cell r="AI1737" t="str">
            <v>Strands</v>
          </cell>
          <cell r="AJ1737" t="str">
            <v>Strands PW</v>
          </cell>
          <cell r="AK1737" t="str">
            <v>SNF received on 30.6.2021</v>
          </cell>
        </row>
        <row r="1738">
          <cell r="A1738" t="str">
            <v>IKN402063</v>
          </cell>
          <cell r="B1738">
            <v>1718</v>
          </cell>
          <cell r="C1738" t="str">
            <v>Institut Kanser Negara</v>
          </cell>
          <cell r="D1738" t="str">
            <v>KKM/IKN/R/21/89</v>
          </cell>
          <cell r="E1738" t="str">
            <v>15-663</v>
          </cell>
          <cell r="F1738" t="str">
            <v>Pipetters</v>
          </cell>
          <cell r="G1738" t="str">
            <v>LA</v>
          </cell>
          <cell r="H1738" t="str">
            <v>PATHOLOGY</v>
          </cell>
          <cell r="I1738" t="str">
            <v>04LA130</v>
          </cell>
          <cell r="J1738" t="str">
            <v>SEROLOGY</v>
          </cell>
          <cell r="K1738" t="str">
            <v>BMED</v>
          </cell>
          <cell r="L1738" t="str">
            <v>Normal</v>
          </cell>
          <cell r="M1738" t="str">
            <v>Germany</v>
          </cell>
          <cell r="N1738" t="str">
            <v>Eppendorf</v>
          </cell>
          <cell r="O1738" t="str">
            <v>Eppendorf Research Plus</v>
          </cell>
          <cell r="P1738" t="str">
            <v>N34260J</v>
          </cell>
          <cell r="Q1738" t="str">
            <v>Not Applicable</v>
          </cell>
          <cell r="R1738" t="str">
            <v>Eppendorf</v>
          </cell>
          <cell r="S1738" t="str">
            <v>MEDIGENE SDN BHD</v>
          </cell>
          <cell r="T1738" t="str">
            <v>Functioning</v>
          </cell>
          <cell r="U1738" t="str">
            <v>Asset</v>
          </cell>
          <cell r="V1738">
            <v>1000</v>
          </cell>
          <cell r="W1738" t="str">
            <v>KEW</v>
          </cell>
          <cell r="X1738">
            <v>44291</v>
          </cell>
          <cell r="Y1738" t="str">
            <v>KEW</v>
          </cell>
          <cell r="Z1738">
            <v>44307</v>
          </cell>
          <cell r="AA1738">
            <v>44672</v>
          </cell>
          <cell r="AB1738" t="str">
            <v>No</v>
          </cell>
          <cell r="AC1738">
            <v>44307</v>
          </cell>
          <cell r="AD1738" t="str">
            <v>Good</v>
          </cell>
          <cell r="AE1738" t="str">
            <v>V3 - Added Installed Facilities (New)</v>
          </cell>
          <cell r="AH1738" t="str">
            <v>PPM</v>
          </cell>
          <cell r="AI1738" t="str">
            <v>Strands</v>
          </cell>
          <cell r="AJ1738" t="str">
            <v>Strands PW</v>
          </cell>
          <cell r="AK1738" t="str">
            <v>SNF received on 30.6.2021</v>
          </cell>
        </row>
        <row r="1739">
          <cell r="A1739" t="str">
            <v>IKN402064</v>
          </cell>
          <cell r="B1739">
            <v>1719</v>
          </cell>
          <cell r="C1739" t="str">
            <v>Institut Kanser Negara</v>
          </cell>
          <cell r="D1739" t="str">
            <v>KKM/IKN/R/21/92</v>
          </cell>
          <cell r="E1739" t="str">
            <v>15-663</v>
          </cell>
          <cell r="F1739" t="str">
            <v>Pipetters</v>
          </cell>
          <cell r="G1739" t="str">
            <v>LA</v>
          </cell>
          <cell r="H1739" t="str">
            <v>PATHOLOGY</v>
          </cell>
          <cell r="I1739" t="str">
            <v>04LA130</v>
          </cell>
          <cell r="J1739" t="str">
            <v>SEROLOGY</v>
          </cell>
          <cell r="K1739" t="str">
            <v>BMED</v>
          </cell>
          <cell r="L1739" t="str">
            <v>Normal</v>
          </cell>
          <cell r="M1739" t="str">
            <v>Germany</v>
          </cell>
          <cell r="N1739" t="str">
            <v>Eppendorf</v>
          </cell>
          <cell r="O1739" t="str">
            <v>Eppendorf Research Plus</v>
          </cell>
          <cell r="P1739" t="str">
            <v>O28891J</v>
          </cell>
          <cell r="Q1739" t="str">
            <v>Not Applicable</v>
          </cell>
          <cell r="R1739" t="str">
            <v>Eppendorf</v>
          </cell>
          <cell r="S1739" t="str">
            <v>MEDIGENE SDN BHD</v>
          </cell>
          <cell r="T1739" t="str">
            <v>Functioning</v>
          </cell>
          <cell r="U1739" t="str">
            <v>Asset</v>
          </cell>
          <cell r="V1739">
            <v>1000</v>
          </cell>
          <cell r="W1739" t="str">
            <v>KEW</v>
          </cell>
          <cell r="X1739">
            <v>44291</v>
          </cell>
          <cell r="Y1739" t="str">
            <v>KEW</v>
          </cell>
          <cell r="Z1739">
            <v>44307</v>
          </cell>
          <cell r="AA1739">
            <v>44672</v>
          </cell>
          <cell r="AB1739" t="str">
            <v>No</v>
          </cell>
          <cell r="AC1739">
            <v>44307</v>
          </cell>
          <cell r="AD1739" t="str">
            <v>Good</v>
          </cell>
          <cell r="AE1739" t="str">
            <v>V3 - Added Installed Facilities (New)</v>
          </cell>
          <cell r="AH1739" t="str">
            <v>PPM</v>
          </cell>
          <cell r="AI1739" t="str">
            <v>Strands</v>
          </cell>
          <cell r="AJ1739" t="str">
            <v>Strands PW</v>
          </cell>
          <cell r="AK1739" t="str">
            <v>SNF received on 30.6.2021</v>
          </cell>
        </row>
        <row r="1740">
          <cell r="A1740" t="str">
            <v>IKN402065</v>
          </cell>
          <cell r="B1740">
            <v>1720</v>
          </cell>
          <cell r="C1740" t="str">
            <v>Institut Kanser Negara</v>
          </cell>
          <cell r="D1740" t="str">
            <v>KKM/IKN/R/21/93</v>
          </cell>
          <cell r="E1740" t="str">
            <v>15-663</v>
          </cell>
          <cell r="F1740" t="str">
            <v>Pipetters</v>
          </cell>
          <cell r="G1740" t="str">
            <v>LA</v>
          </cell>
          <cell r="H1740" t="str">
            <v>PATHOLOGY</v>
          </cell>
          <cell r="I1740" t="str">
            <v>04LA130</v>
          </cell>
          <cell r="J1740" t="str">
            <v>SEROLOGY</v>
          </cell>
          <cell r="K1740" t="str">
            <v>BMED</v>
          </cell>
          <cell r="L1740" t="str">
            <v>Normal</v>
          </cell>
          <cell r="M1740" t="str">
            <v>Germany</v>
          </cell>
          <cell r="N1740" t="str">
            <v>Eppendorf</v>
          </cell>
          <cell r="O1740" t="str">
            <v>Eppendorf Research Plus</v>
          </cell>
          <cell r="P1740" t="str">
            <v>O28883J</v>
          </cell>
          <cell r="Q1740" t="str">
            <v>Not Applicable</v>
          </cell>
          <cell r="R1740" t="str">
            <v>Eppendorf</v>
          </cell>
          <cell r="S1740" t="str">
            <v>MEDIGENE SDN BHD</v>
          </cell>
          <cell r="T1740" t="str">
            <v>Functioning</v>
          </cell>
          <cell r="U1740" t="str">
            <v>Asset</v>
          </cell>
          <cell r="V1740">
            <v>1000</v>
          </cell>
          <cell r="W1740" t="str">
            <v>KEW</v>
          </cell>
          <cell r="X1740">
            <v>44291</v>
          </cell>
          <cell r="Y1740" t="str">
            <v>KEW</v>
          </cell>
          <cell r="Z1740">
            <v>44307</v>
          </cell>
          <cell r="AA1740">
            <v>44672</v>
          </cell>
          <cell r="AB1740" t="str">
            <v>No</v>
          </cell>
          <cell r="AC1740">
            <v>44307</v>
          </cell>
          <cell r="AD1740" t="str">
            <v>Good</v>
          </cell>
          <cell r="AE1740" t="str">
            <v>V3 - Added Installed Facilities (New)</v>
          </cell>
          <cell r="AH1740" t="str">
            <v>PPM</v>
          </cell>
          <cell r="AI1740" t="str">
            <v>Strands</v>
          </cell>
          <cell r="AJ1740" t="str">
            <v>Strands PW</v>
          </cell>
          <cell r="AK1740" t="str">
            <v>SNF received on 30.6.2021</v>
          </cell>
        </row>
        <row r="1741">
          <cell r="A1741" t="str">
            <v>IKN402068</v>
          </cell>
          <cell r="B1741">
            <v>1723</v>
          </cell>
          <cell r="C1741" t="str">
            <v>Institut Kanser Negara</v>
          </cell>
          <cell r="D1741" t="str">
            <v>KKM/IKN/H/21/8</v>
          </cell>
          <cell r="E1741" t="str">
            <v>18-267</v>
          </cell>
          <cell r="F1741" t="str">
            <v>Centrifuges, Tabletop, Low-Speed, Nonrefrigerated, Blood Bank</v>
          </cell>
          <cell r="G1741" t="str">
            <v>LA</v>
          </cell>
          <cell r="H1741" t="str">
            <v>PATHOLOGY</v>
          </cell>
          <cell r="I1741" t="str">
            <v>04LA140</v>
          </cell>
          <cell r="J1741" t="str">
            <v>BLOOD BANK</v>
          </cell>
          <cell r="K1741" t="str">
            <v>BMED</v>
          </cell>
          <cell r="L1741" t="str">
            <v>Normal</v>
          </cell>
          <cell r="M1741" t="str">
            <v>CHINA</v>
          </cell>
          <cell r="N1741" t="str">
            <v>Greiner</v>
          </cell>
          <cell r="O1741" t="str">
            <v>Mini Centrifuge UK Plug</v>
          </cell>
          <cell r="P1741" t="str">
            <v>A043-27508</v>
          </cell>
          <cell r="Q1741" t="str">
            <v>Not Applicable</v>
          </cell>
          <cell r="R1741" t="str">
            <v>Greiner Bio-One</v>
          </cell>
          <cell r="S1741" t="str">
            <v>MEDIGENE SDN BHD</v>
          </cell>
          <cell r="T1741" t="str">
            <v>Functioning</v>
          </cell>
          <cell r="U1741" t="str">
            <v>Asset</v>
          </cell>
          <cell r="V1741">
            <v>2185</v>
          </cell>
          <cell r="W1741" t="str">
            <v>KEW</v>
          </cell>
          <cell r="X1741">
            <v>44291</v>
          </cell>
          <cell r="Y1741" t="str">
            <v>KEW</v>
          </cell>
          <cell r="Z1741">
            <v>44307</v>
          </cell>
          <cell r="AA1741">
            <v>44672</v>
          </cell>
          <cell r="AB1741" t="str">
            <v>No</v>
          </cell>
          <cell r="AC1741">
            <v>44307</v>
          </cell>
          <cell r="AD1741" t="str">
            <v>Good</v>
          </cell>
          <cell r="AE1741" t="str">
            <v>V3 - Added Installed Facilities (New)</v>
          </cell>
          <cell r="AF1741">
            <v>44307</v>
          </cell>
          <cell r="AH1741" t="str">
            <v>PPM</v>
          </cell>
          <cell r="AI1741" t="str">
            <v>Strands</v>
          </cell>
          <cell r="AJ1741" t="str">
            <v>Strands PW</v>
          </cell>
          <cell r="AK1741" t="str">
            <v>SNF received on 30.6.2021</v>
          </cell>
        </row>
        <row r="1742">
          <cell r="A1742" t="str">
            <v>IKN402069</v>
          </cell>
          <cell r="B1742">
            <v>1724</v>
          </cell>
          <cell r="C1742" t="str">
            <v>Institut Kanser Negara</v>
          </cell>
          <cell r="D1742" t="str">
            <v>KKM/IKN/H/21/16</v>
          </cell>
          <cell r="E1742" t="str">
            <v>18-013</v>
          </cell>
          <cell r="F1742" t="str">
            <v>Incubators, Laboratory, Thermocycling</v>
          </cell>
          <cell r="G1742" t="str">
            <v>LA</v>
          </cell>
          <cell r="H1742" t="str">
            <v>PATHOLOGY</v>
          </cell>
          <cell r="I1742" t="str">
            <v>04LA114</v>
          </cell>
          <cell r="J1742" t="str">
            <v>DARK MICROSCOPY</v>
          </cell>
          <cell r="K1742" t="str">
            <v>BMED</v>
          </cell>
          <cell r="L1742" t="str">
            <v>Normal</v>
          </cell>
          <cell r="M1742" t="str">
            <v>USA</v>
          </cell>
          <cell r="N1742" t="str">
            <v>BIO-RAD</v>
          </cell>
          <cell r="O1742" t="str">
            <v>CFX96 Touch</v>
          </cell>
          <cell r="P1742" t="str">
            <v>CT053520</v>
          </cell>
          <cell r="Q1742" t="str">
            <v>Not Applicable</v>
          </cell>
          <cell r="R1742" t="str">
            <v>Bio-Rad Laboratories</v>
          </cell>
          <cell r="S1742" t="str">
            <v>CANVIO SDN BHD</v>
          </cell>
          <cell r="T1742" t="str">
            <v>Functioning</v>
          </cell>
          <cell r="U1742" t="str">
            <v>Asset</v>
          </cell>
          <cell r="V1742">
            <v>155000</v>
          </cell>
          <cell r="W1742" t="str">
            <v>KEW</v>
          </cell>
          <cell r="X1742">
            <v>44307</v>
          </cell>
          <cell r="Y1742" t="str">
            <v>KEW</v>
          </cell>
          <cell r="Z1742">
            <v>44308</v>
          </cell>
          <cell r="AA1742">
            <v>44673</v>
          </cell>
          <cell r="AB1742" t="str">
            <v>No</v>
          </cell>
          <cell r="AC1742">
            <v>44308</v>
          </cell>
          <cell r="AD1742" t="str">
            <v>Good</v>
          </cell>
          <cell r="AE1742" t="str">
            <v>V3 - Added Installed Facilities (New)</v>
          </cell>
          <cell r="AH1742" t="str">
            <v>PPM</v>
          </cell>
          <cell r="AI1742" t="str">
            <v>Strands</v>
          </cell>
          <cell r="AJ1742" t="str">
            <v>Strands PW</v>
          </cell>
          <cell r="AK1742" t="str">
            <v>SNF received on 30.6.2021</v>
          </cell>
        </row>
        <row r="1743">
          <cell r="A1743" t="str">
            <v>IKN402070</v>
          </cell>
          <cell r="B1743">
            <v>1725</v>
          </cell>
          <cell r="C1743" t="str">
            <v>Institut Kanser Negara</v>
          </cell>
          <cell r="D1743" t="str">
            <v>KKM/IKN/H/21/16 - 05</v>
          </cell>
          <cell r="E1743" t="str">
            <v>15-663</v>
          </cell>
          <cell r="F1743" t="str">
            <v>Pipetters</v>
          </cell>
          <cell r="G1743" t="str">
            <v>LA</v>
          </cell>
          <cell r="H1743" t="str">
            <v>PATHOLOGY</v>
          </cell>
          <cell r="I1743" t="str">
            <v>04LA114</v>
          </cell>
          <cell r="J1743" t="str">
            <v>DARK MICROSCOPY</v>
          </cell>
          <cell r="K1743" t="str">
            <v>BMED</v>
          </cell>
          <cell r="L1743" t="str">
            <v>Normal</v>
          </cell>
          <cell r="M1743" t="str">
            <v>Germany</v>
          </cell>
          <cell r="N1743" t="str">
            <v>Eppendorf</v>
          </cell>
          <cell r="O1743" t="str">
            <v>Eppendorf Miltipette M4</v>
          </cell>
          <cell r="P1743" t="str">
            <v>G30978K</v>
          </cell>
          <cell r="Q1743" t="str">
            <v>Not Applicable</v>
          </cell>
          <cell r="R1743" t="str">
            <v>Eppendorf</v>
          </cell>
          <cell r="S1743" t="str">
            <v>CANVIO SDN BHD</v>
          </cell>
          <cell r="T1743" t="str">
            <v>Functioning</v>
          </cell>
          <cell r="U1743" t="str">
            <v>Asset</v>
          </cell>
          <cell r="V1743">
            <v>2204</v>
          </cell>
          <cell r="W1743" t="str">
            <v>KEW</v>
          </cell>
          <cell r="X1743">
            <v>44307</v>
          </cell>
          <cell r="Y1743" t="str">
            <v>KEW</v>
          </cell>
          <cell r="Z1743">
            <v>44308</v>
          </cell>
          <cell r="AA1743">
            <v>44673</v>
          </cell>
          <cell r="AB1743" t="str">
            <v>NO</v>
          </cell>
          <cell r="AC1743">
            <v>44308</v>
          </cell>
          <cell r="AD1743" t="str">
            <v>Good</v>
          </cell>
          <cell r="AE1743" t="str">
            <v>V3 - Added Installed Facilities (New)</v>
          </cell>
          <cell r="AH1743" t="str">
            <v>PPM</v>
          </cell>
          <cell r="AI1743" t="str">
            <v>Strands</v>
          </cell>
          <cell r="AJ1743" t="str">
            <v>Strands PW</v>
          </cell>
          <cell r="AK1743" t="str">
            <v>SNF received on 30.6.2021. Come with Thermocycler IKN402069.</v>
          </cell>
        </row>
        <row r="1744">
          <cell r="A1744" t="str">
            <v>IKN402071</v>
          </cell>
          <cell r="B1744">
            <v>1726</v>
          </cell>
          <cell r="C1744" t="str">
            <v>Institut Kanser Negara</v>
          </cell>
          <cell r="D1744" t="str">
            <v>KKM/IKN/H/21/15</v>
          </cell>
          <cell r="E1744" t="str">
            <v>15-167</v>
          </cell>
          <cell r="F1744" t="str">
            <v>Extractors, Plasma</v>
          </cell>
          <cell r="G1744" t="str">
            <v>LA</v>
          </cell>
          <cell r="H1744" t="str">
            <v>PATHOLOGY</v>
          </cell>
          <cell r="I1744" t="str">
            <v>04LA131</v>
          </cell>
          <cell r="J1744" t="str">
            <v>HAEMATOLOGY LAB 1</v>
          </cell>
          <cell r="K1744" t="str">
            <v>BMED</v>
          </cell>
          <cell r="L1744" t="str">
            <v>Normal</v>
          </cell>
          <cell r="M1744" t="str">
            <v>South Korea</v>
          </cell>
          <cell r="N1744" t="str">
            <v>GENEALL</v>
          </cell>
          <cell r="O1744" t="str">
            <v>GENTI 32 ADVANCED</v>
          </cell>
          <cell r="P1744" t="str">
            <v>GTI032ABAB011</v>
          </cell>
          <cell r="Q1744" t="str">
            <v>Not Applicable</v>
          </cell>
          <cell r="R1744" t="str">
            <v>GENEALL</v>
          </cell>
          <cell r="S1744" t="str">
            <v>Neoscience Sdn Bhd</v>
          </cell>
          <cell r="T1744" t="str">
            <v>Functioning</v>
          </cell>
          <cell r="U1744" t="str">
            <v>Asset</v>
          </cell>
          <cell r="V1744">
            <v>77500</v>
          </cell>
          <cell r="W1744" t="str">
            <v>KEW</v>
          </cell>
          <cell r="X1744">
            <v>44307</v>
          </cell>
          <cell r="Y1744" t="str">
            <v>KEW</v>
          </cell>
          <cell r="Z1744">
            <v>44312</v>
          </cell>
          <cell r="AA1744">
            <v>44677</v>
          </cell>
          <cell r="AB1744" t="str">
            <v>No</v>
          </cell>
          <cell r="AC1744">
            <v>44312</v>
          </cell>
          <cell r="AD1744" t="str">
            <v>Good</v>
          </cell>
          <cell r="AE1744" t="str">
            <v>V3 - Added Installed Facilities (New)</v>
          </cell>
          <cell r="AH1744" t="str">
            <v>PPM</v>
          </cell>
          <cell r="AI1744" t="str">
            <v>Strands</v>
          </cell>
          <cell r="AJ1744" t="str">
            <v>Strands PW</v>
          </cell>
          <cell r="AK1744" t="str">
            <v>SNF received on 30.6.2021</v>
          </cell>
        </row>
        <row r="1745">
          <cell r="A1745" t="str">
            <v>IKN402072</v>
          </cell>
          <cell r="B1745">
            <v>1727</v>
          </cell>
          <cell r="C1745" t="str">
            <v>Institut Kanser Negara</v>
          </cell>
          <cell r="D1745" t="str">
            <v>KKM/IKN/H/21/17</v>
          </cell>
          <cell r="E1745" t="str">
            <v>16-274</v>
          </cell>
          <cell r="F1745" t="str">
            <v>Dispensers, Liquid, Laboratory</v>
          </cell>
          <cell r="G1745" t="str">
            <v>LA</v>
          </cell>
          <cell r="H1745" t="str">
            <v>PATHOLOGY</v>
          </cell>
          <cell r="I1745" t="str">
            <v>04LA131</v>
          </cell>
          <cell r="J1745" t="str">
            <v>HAEMATOLOGY LAB 1</v>
          </cell>
          <cell r="K1745" t="str">
            <v>BMED</v>
          </cell>
          <cell r="L1745" t="str">
            <v>Normal</v>
          </cell>
          <cell r="M1745" t="str">
            <v>Australia</v>
          </cell>
          <cell r="N1745" t="str">
            <v>Bio Molecular Systems</v>
          </cell>
          <cell r="O1745" t="str">
            <v>MYRA-LHS50</v>
          </cell>
          <cell r="P1745" t="str">
            <v>R0000158</v>
          </cell>
          <cell r="Q1745" t="str">
            <v>Not Applicable</v>
          </cell>
          <cell r="R1745" t="str">
            <v>Bio Molecular System Pty. Ltd</v>
          </cell>
          <cell r="S1745" t="str">
            <v>ADT MOLECULAR SDN BHD</v>
          </cell>
          <cell r="T1745" t="str">
            <v>Functioning</v>
          </cell>
          <cell r="U1745" t="str">
            <v>Asset</v>
          </cell>
          <cell r="V1745">
            <v>148000</v>
          </cell>
          <cell r="W1745" t="str">
            <v>KEW</v>
          </cell>
          <cell r="X1745">
            <v>44307</v>
          </cell>
          <cell r="Y1745" t="str">
            <v>KEW</v>
          </cell>
          <cell r="Z1745">
            <v>44312</v>
          </cell>
          <cell r="AA1745">
            <v>45042</v>
          </cell>
          <cell r="AB1745" t="str">
            <v>No</v>
          </cell>
          <cell r="AC1745">
            <v>44312</v>
          </cell>
          <cell r="AD1745" t="str">
            <v>Good</v>
          </cell>
          <cell r="AE1745" t="str">
            <v>V3 - Added Installed Facilities (New)</v>
          </cell>
          <cell r="AH1745" t="str">
            <v>PPM</v>
          </cell>
          <cell r="AI1745" t="str">
            <v>Strands</v>
          </cell>
          <cell r="AJ1745" t="str">
            <v>Strands DW</v>
          </cell>
          <cell r="AK1745" t="str">
            <v>SNF received on 30.6.2021</v>
          </cell>
        </row>
        <row r="1746">
          <cell r="A1746" t="str">
            <v>IKN402074</v>
          </cell>
          <cell r="B1746">
            <v>1729</v>
          </cell>
          <cell r="C1746" t="str">
            <v>Institut Kanser Negara</v>
          </cell>
          <cell r="D1746" t="str">
            <v>KKM//IKN/H/21/11</v>
          </cell>
          <cell r="E1746" t="str">
            <v>25-209</v>
          </cell>
          <cell r="F1746" t="str">
            <v>Monitors, Physiologic, Vital Signs</v>
          </cell>
          <cell r="G1746" t="str">
            <v>AE</v>
          </cell>
          <cell r="H1746" t="str">
            <v>EMERGENCY UNIT</v>
          </cell>
          <cell r="I1746" t="str">
            <v>01AE112</v>
          </cell>
          <cell r="J1746" t="str">
            <v>EMERGENCY TROLLEY BAY</v>
          </cell>
          <cell r="K1746" t="str">
            <v>BMED</v>
          </cell>
          <cell r="L1746" t="str">
            <v>Normal</v>
          </cell>
          <cell r="M1746" t="str">
            <v>CHINA</v>
          </cell>
          <cell r="N1746" t="str">
            <v>COMEN</v>
          </cell>
          <cell r="O1746" t="str">
            <v>NC3A</v>
          </cell>
          <cell r="P1746" t="str">
            <v>N4191221002</v>
          </cell>
          <cell r="Q1746" t="str">
            <v>Not Applicable</v>
          </cell>
          <cell r="R1746" t="str">
            <v>Shenzhen Comen Medical Instruments Co., Ltd</v>
          </cell>
          <cell r="S1746" t="str">
            <v>Ikatan Megah Medik</v>
          </cell>
          <cell r="T1746" t="str">
            <v>Functioning</v>
          </cell>
          <cell r="U1746" t="str">
            <v>Asset</v>
          </cell>
          <cell r="V1746">
            <v>5500</v>
          </cell>
          <cell r="W1746" t="str">
            <v>KEW</v>
          </cell>
          <cell r="X1746">
            <v>44291</v>
          </cell>
          <cell r="Y1746" t="str">
            <v>KEW</v>
          </cell>
          <cell r="Z1746">
            <v>43952</v>
          </cell>
          <cell r="AA1746">
            <v>44317</v>
          </cell>
          <cell r="AB1746" t="str">
            <v>No</v>
          </cell>
          <cell r="AC1746">
            <v>44358</v>
          </cell>
          <cell r="AD1746" t="str">
            <v>Good</v>
          </cell>
          <cell r="AE1746" t="str">
            <v>V3 - Added Installed Facilities (New)</v>
          </cell>
          <cell r="AF1746">
            <v>44358</v>
          </cell>
          <cell r="AH1746" t="str">
            <v>PPM</v>
          </cell>
          <cell r="AI1746" t="str">
            <v>Strands</v>
          </cell>
          <cell r="AJ1746" t="str">
            <v>Strands PW</v>
          </cell>
          <cell r="AK1746" t="str">
            <v>SNF received on 24.6.2021. Unit re-do T&amp;C after replace new unit under warranty.</v>
          </cell>
        </row>
        <row r="1747">
          <cell r="A1747" t="str">
            <v>IKN402077</v>
          </cell>
          <cell r="B1747">
            <v>1732</v>
          </cell>
          <cell r="C1747" t="str">
            <v>Institut Kanser Negara</v>
          </cell>
          <cell r="E1747" t="str">
            <v>12-050</v>
          </cell>
          <cell r="F1747" t="str">
            <v>AIRVO 2 HUMIDIFIER WITH INTERGRATED FLOW GENERATOR</v>
          </cell>
          <cell r="G1747" t="str">
            <v>IC</v>
          </cell>
          <cell r="H1747" t="str">
            <v>INTENSIVE CARE UNIT</v>
          </cell>
          <cell r="I1747" t="str">
            <v>IC</v>
          </cell>
          <cell r="K1747" t="str">
            <v>BMED</v>
          </cell>
          <cell r="L1747" t="str">
            <v>Normal</v>
          </cell>
          <cell r="M1747" t="str">
            <v>NA</v>
          </cell>
          <cell r="N1747" t="str">
            <v>FISHER PAYKEL</v>
          </cell>
          <cell r="O1747" t="str">
            <v>AIRVO2</v>
          </cell>
          <cell r="P1747">
            <v>210517273292</v>
          </cell>
          <cell r="Q1747" t="str">
            <v>Not Applicable</v>
          </cell>
          <cell r="R1747" t="str">
            <v>FISHER &amp; PAYKEL</v>
          </cell>
          <cell r="S1747" t="str">
            <v>DAYA CERGAS M SDN BHD</v>
          </cell>
          <cell r="T1747" t="str">
            <v>Functioning</v>
          </cell>
          <cell r="U1747" t="str">
            <v>Asset</v>
          </cell>
          <cell r="V1747">
            <v>25000</v>
          </cell>
          <cell r="W1747" t="str">
            <v>KEW</v>
          </cell>
          <cell r="X1747">
            <v>44372</v>
          </cell>
          <cell r="Y1747" t="str">
            <v>KEW</v>
          </cell>
          <cell r="Z1747">
            <v>44372</v>
          </cell>
          <cell r="AA1747">
            <v>44736</v>
          </cell>
          <cell r="AB1747" t="str">
            <v>NO</v>
          </cell>
          <cell r="AC1747">
            <v>44372</v>
          </cell>
          <cell r="AD1747" t="str">
            <v>Good</v>
          </cell>
          <cell r="AE1747" t="str">
            <v>V3 - Added Installed Facilities (New)</v>
          </cell>
          <cell r="AF1747">
            <v>44372</v>
          </cell>
          <cell r="AH1747" t="str">
            <v>PPM</v>
          </cell>
          <cell r="AJ1747" t="str">
            <v>Not in contract</v>
          </cell>
        </row>
        <row r="1748">
          <cell r="A1748" t="str">
            <v>IKN402078</v>
          </cell>
          <cell r="B1748">
            <v>1733</v>
          </cell>
          <cell r="C1748" t="str">
            <v>Institut Kanser Negara</v>
          </cell>
          <cell r="D1748" t="str">
            <v>KKM/IKN/H/21/36</v>
          </cell>
          <cell r="E1748" t="str">
            <v>12-647</v>
          </cell>
          <cell r="F1748" t="str">
            <v>Physiologic Monitoring Systems, Acute Care</v>
          </cell>
          <cell r="G1748" t="str">
            <v>IC</v>
          </cell>
          <cell r="H1748" t="str">
            <v>INTENSIVE CARE UNIT</v>
          </cell>
          <cell r="I1748" t="str">
            <v>05IC102</v>
          </cell>
          <cell r="K1748" t="str">
            <v>BMED</v>
          </cell>
          <cell r="L1748" t="str">
            <v>Normal</v>
          </cell>
          <cell r="M1748" t="str">
            <v>NA</v>
          </cell>
          <cell r="N1748" t="str">
            <v>GE CARESCAPE</v>
          </cell>
          <cell r="O1748" t="str">
            <v>B650</v>
          </cell>
          <cell r="P1748" t="str">
            <v>STF21220110HA</v>
          </cell>
          <cell r="Q1748" t="str">
            <v>Not Applicable</v>
          </cell>
          <cell r="R1748" t="str">
            <v>GE HEALTHCARE SDN BHD</v>
          </cell>
          <cell r="S1748" t="str">
            <v>INSAN BAKTI SDN BHD</v>
          </cell>
          <cell r="T1748" t="str">
            <v>FUNCTIONING</v>
          </cell>
          <cell r="U1748" t="str">
            <v>ASSET</v>
          </cell>
          <cell r="V1748">
            <v>62000</v>
          </cell>
          <cell r="W1748" t="str">
            <v>KEW</v>
          </cell>
          <cell r="X1748">
            <v>44393</v>
          </cell>
          <cell r="Y1748" t="str">
            <v>KEW</v>
          </cell>
          <cell r="Z1748">
            <v>44393</v>
          </cell>
          <cell r="AA1748">
            <v>44758</v>
          </cell>
          <cell r="AB1748" t="str">
            <v>NO</v>
          </cell>
          <cell r="AC1748">
            <v>44393</v>
          </cell>
          <cell r="AD1748" t="str">
            <v>GOOD</v>
          </cell>
          <cell r="AE1748" t="str">
            <v>V3 - Added Installed Facilities (New)</v>
          </cell>
          <cell r="AF1748">
            <v>44393</v>
          </cell>
          <cell r="AH1748" t="str">
            <v>PPM</v>
          </cell>
          <cell r="AJ1748" t="str">
            <v>Proposed for V3 P2.23</v>
          </cell>
          <cell r="AK1748" t="str">
            <v>Sharifah: Price follow HASIS. KKM follow P2.23.</v>
          </cell>
        </row>
        <row r="1749">
          <cell r="A1749" t="str">
            <v>IKN402079</v>
          </cell>
          <cell r="B1749">
            <v>1734</v>
          </cell>
          <cell r="C1749" t="str">
            <v>Institut Kanser Negara</v>
          </cell>
          <cell r="D1749" t="str">
            <v>KKM/IKN/H/21/35</v>
          </cell>
          <cell r="E1749" t="str">
            <v>12-647</v>
          </cell>
          <cell r="F1749" t="str">
            <v>Physiologic Monitoring Systems, Acute Care</v>
          </cell>
          <cell r="G1749" t="str">
            <v>IC</v>
          </cell>
          <cell r="H1749" t="str">
            <v>INTENSIVE CARE UNIT</v>
          </cell>
          <cell r="I1749" t="str">
            <v>05IC102</v>
          </cell>
          <cell r="K1749" t="str">
            <v>BMED</v>
          </cell>
          <cell r="L1749" t="str">
            <v>Normal</v>
          </cell>
          <cell r="M1749" t="str">
            <v>NA</v>
          </cell>
          <cell r="N1749" t="str">
            <v>GE CARESCAPE</v>
          </cell>
          <cell r="O1749" t="str">
            <v>B650</v>
          </cell>
          <cell r="P1749" t="str">
            <v>STF21220109HA</v>
          </cell>
          <cell r="Q1749" t="str">
            <v>Not Applicable</v>
          </cell>
          <cell r="R1749" t="str">
            <v>GE HEALTHCARE SDN BHD</v>
          </cell>
          <cell r="S1749" t="str">
            <v>INSAN BAKTI SDN BHD</v>
          </cell>
          <cell r="T1749" t="str">
            <v>FUNCTIONING</v>
          </cell>
          <cell r="U1749" t="str">
            <v>ASSET</v>
          </cell>
          <cell r="V1749">
            <v>62000</v>
          </cell>
          <cell r="W1749" t="str">
            <v>KEW</v>
          </cell>
          <cell r="X1749">
            <v>44393</v>
          </cell>
          <cell r="Y1749" t="str">
            <v>KEW</v>
          </cell>
          <cell r="Z1749">
            <v>44393</v>
          </cell>
          <cell r="AA1749">
            <v>44758</v>
          </cell>
          <cell r="AB1749" t="str">
            <v>NO</v>
          </cell>
          <cell r="AC1749">
            <v>44393</v>
          </cell>
          <cell r="AD1749" t="str">
            <v>GOOD</v>
          </cell>
          <cell r="AE1749" t="str">
            <v>V3 - Added Installed Facilities (New)</v>
          </cell>
          <cell r="AF1749">
            <v>44393</v>
          </cell>
          <cell r="AH1749" t="str">
            <v>PPM</v>
          </cell>
          <cell r="AJ1749" t="str">
            <v>Proposed for V3 P2.23</v>
          </cell>
          <cell r="AK1749" t="str">
            <v>Sharifah: SN and price follow HASIS. KKM follow P2.23.</v>
          </cell>
        </row>
        <row r="1750">
          <cell r="A1750" t="str">
            <v>IKN402081</v>
          </cell>
          <cell r="B1750">
            <v>1736</v>
          </cell>
          <cell r="C1750" t="str">
            <v>Institut Kanser Negara</v>
          </cell>
          <cell r="D1750" t="str">
            <v>KKM/IKN/H/21/38</v>
          </cell>
          <cell r="E1750" t="str">
            <v>13-215</v>
          </cell>
          <cell r="F1750" t="str">
            <v>Infusion Pumps, General-Purpose</v>
          </cell>
          <cell r="G1750" t="str">
            <v>DO</v>
          </cell>
          <cell r="H1750" t="str">
            <v>DAY ONCOLOGY UNIT</v>
          </cell>
          <cell r="I1750" t="str">
            <v>04DO111</v>
          </cell>
          <cell r="J1750" t="str">
            <v>EQUIP. ROOM</v>
          </cell>
          <cell r="K1750" t="str">
            <v>BMED</v>
          </cell>
          <cell r="L1750" t="str">
            <v>Critical</v>
          </cell>
          <cell r="M1750" t="str">
            <v>CHINA</v>
          </cell>
          <cell r="N1750" t="str">
            <v>MedCaptian</v>
          </cell>
          <cell r="O1750" t="str">
            <v>HP-60</v>
          </cell>
          <cell r="P1750" t="str">
            <v>9024022106711</v>
          </cell>
          <cell r="Q1750" t="str">
            <v>Not Applicable</v>
          </cell>
          <cell r="R1750" t="str">
            <v>MedCaptain Medical Technology</v>
          </cell>
          <cell r="S1750" t="str">
            <v>Alam Medik Sdn Bhd</v>
          </cell>
          <cell r="T1750" t="str">
            <v>Functioning</v>
          </cell>
          <cell r="U1750" t="str">
            <v>Asset</v>
          </cell>
          <cell r="V1750">
            <v>3500</v>
          </cell>
          <cell r="W1750" t="str">
            <v>KEW</v>
          </cell>
          <cell r="X1750">
            <v>44421</v>
          </cell>
          <cell r="Y1750" t="str">
            <v>KEW</v>
          </cell>
          <cell r="Z1750">
            <v>44432</v>
          </cell>
          <cell r="AA1750">
            <v>44797</v>
          </cell>
          <cell r="AB1750" t="str">
            <v>No</v>
          </cell>
          <cell r="AC1750">
            <v>44432</v>
          </cell>
          <cell r="AD1750" t="str">
            <v>Good</v>
          </cell>
          <cell r="AE1750" t="str">
            <v>V3 - Added Installed Facilities (New)</v>
          </cell>
          <cell r="AF1750">
            <v>44432</v>
          </cell>
          <cell r="AH1750" t="str">
            <v>PPM</v>
          </cell>
          <cell r="AI1750" t="str">
            <v>Strands</v>
          </cell>
          <cell r="AJ1750" t="str">
            <v>Strands PW</v>
          </cell>
          <cell r="AK1750" t="str">
            <v>SNF received on 28.9.2021</v>
          </cell>
        </row>
        <row r="1751">
          <cell r="A1751" t="str">
            <v>IKN402082</v>
          </cell>
          <cell r="B1751">
            <v>1737</v>
          </cell>
          <cell r="C1751" t="str">
            <v>Institut Kanser Negara</v>
          </cell>
          <cell r="D1751" t="str">
            <v>KKM/IKN/H/21/39</v>
          </cell>
          <cell r="E1751" t="str">
            <v>13-215</v>
          </cell>
          <cell r="F1751" t="str">
            <v>Infusion Pumps, General-Purpose</v>
          </cell>
          <cell r="G1751" t="str">
            <v>DO</v>
          </cell>
          <cell r="H1751" t="str">
            <v>DAY ONCOLOGY UNIT</v>
          </cell>
          <cell r="I1751" t="str">
            <v>04DO111</v>
          </cell>
          <cell r="J1751" t="str">
            <v>EQUIP. ROOM</v>
          </cell>
          <cell r="K1751" t="str">
            <v>BMED</v>
          </cell>
          <cell r="L1751" t="str">
            <v>Critical</v>
          </cell>
          <cell r="M1751" t="str">
            <v>CHINA</v>
          </cell>
          <cell r="N1751" t="str">
            <v>MedCaptian</v>
          </cell>
          <cell r="O1751" t="str">
            <v>HP-60</v>
          </cell>
          <cell r="P1751" t="str">
            <v>9024022106725</v>
          </cell>
          <cell r="Q1751" t="str">
            <v>Not Applicable</v>
          </cell>
          <cell r="R1751" t="str">
            <v>MedCaptain Medical Technology</v>
          </cell>
          <cell r="S1751" t="str">
            <v>Alam Medik Sdn Bhd</v>
          </cell>
          <cell r="T1751" t="str">
            <v>Functioning</v>
          </cell>
          <cell r="U1751" t="str">
            <v>Asset</v>
          </cell>
          <cell r="V1751">
            <v>3500</v>
          </cell>
          <cell r="W1751" t="str">
            <v>KEW</v>
          </cell>
          <cell r="X1751">
            <v>44421</v>
          </cell>
          <cell r="Y1751" t="str">
            <v>KEW</v>
          </cell>
          <cell r="Z1751">
            <v>44432</v>
          </cell>
          <cell r="AA1751">
            <v>44797</v>
          </cell>
          <cell r="AB1751" t="str">
            <v>No</v>
          </cell>
          <cell r="AC1751">
            <v>44432</v>
          </cell>
          <cell r="AD1751" t="str">
            <v>Good</v>
          </cell>
          <cell r="AE1751" t="str">
            <v>V3 - Added Installed Facilities (New)</v>
          </cell>
          <cell r="AF1751">
            <v>44432</v>
          </cell>
          <cell r="AH1751" t="str">
            <v>PPM</v>
          </cell>
          <cell r="AI1751" t="str">
            <v>Strands</v>
          </cell>
          <cell r="AJ1751" t="str">
            <v>Strands PW</v>
          </cell>
          <cell r="AK1751" t="str">
            <v>SNF received on 28.9.2021</v>
          </cell>
        </row>
        <row r="1752">
          <cell r="A1752" t="str">
            <v>IKN402083</v>
          </cell>
          <cell r="B1752">
            <v>1738</v>
          </cell>
          <cell r="C1752" t="str">
            <v>Institut Kanser Negara</v>
          </cell>
          <cell r="D1752" t="str">
            <v>KKM/IKN/H/21/40</v>
          </cell>
          <cell r="E1752" t="str">
            <v>13-215</v>
          </cell>
          <cell r="F1752" t="str">
            <v>Infusion Pumps, General-Purpose</v>
          </cell>
          <cell r="G1752" t="str">
            <v>DO</v>
          </cell>
          <cell r="H1752" t="str">
            <v>DAY ONCOLOGY UNIT</v>
          </cell>
          <cell r="I1752" t="str">
            <v>04DO111</v>
          </cell>
          <cell r="J1752" t="str">
            <v>EQUIP. ROOM</v>
          </cell>
          <cell r="K1752" t="str">
            <v>BMED</v>
          </cell>
          <cell r="L1752" t="str">
            <v>Critical</v>
          </cell>
          <cell r="M1752" t="str">
            <v>CHINA</v>
          </cell>
          <cell r="N1752" t="str">
            <v>MedCaptian</v>
          </cell>
          <cell r="O1752" t="str">
            <v>HP-60</v>
          </cell>
          <cell r="P1752" t="str">
            <v>9024022106688</v>
          </cell>
          <cell r="Q1752" t="str">
            <v>Not Applicable</v>
          </cell>
          <cell r="R1752" t="str">
            <v>MedCaptain Medical Technology</v>
          </cell>
          <cell r="S1752" t="str">
            <v>Alam Medik Sdn Bhd</v>
          </cell>
          <cell r="T1752" t="str">
            <v>Functioning</v>
          </cell>
          <cell r="U1752" t="str">
            <v>Asset</v>
          </cell>
          <cell r="V1752">
            <v>3500</v>
          </cell>
          <cell r="W1752" t="str">
            <v>KEW</v>
          </cell>
          <cell r="X1752">
            <v>44421</v>
          </cell>
          <cell r="Y1752" t="str">
            <v>KEW</v>
          </cell>
          <cell r="Z1752">
            <v>44432</v>
          </cell>
          <cell r="AA1752">
            <v>44797</v>
          </cell>
          <cell r="AB1752" t="str">
            <v>No</v>
          </cell>
          <cell r="AC1752">
            <v>44432</v>
          </cell>
          <cell r="AD1752" t="str">
            <v>Good</v>
          </cell>
          <cell r="AE1752" t="str">
            <v>V3 - Added Installed Facilities (New)</v>
          </cell>
          <cell r="AF1752">
            <v>44432</v>
          </cell>
          <cell r="AH1752" t="str">
            <v>PPM</v>
          </cell>
          <cell r="AI1752" t="str">
            <v>Strands</v>
          </cell>
          <cell r="AJ1752" t="str">
            <v>Strands PW</v>
          </cell>
          <cell r="AK1752" t="str">
            <v>SNF received on 28.9.2021</v>
          </cell>
        </row>
        <row r="1753">
          <cell r="A1753" t="str">
            <v>IKN402084</v>
          </cell>
          <cell r="B1753">
            <v>1739</v>
          </cell>
          <cell r="C1753" t="str">
            <v>Institut Kanser Negara</v>
          </cell>
          <cell r="D1753" t="str">
            <v>KKM/IKN/H/21/41</v>
          </cell>
          <cell r="E1753" t="str">
            <v>13-215</v>
          </cell>
          <cell r="F1753" t="str">
            <v>Infusion Pumps, General-Purpose</v>
          </cell>
          <cell r="G1753" t="str">
            <v>DO</v>
          </cell>
          <cell r="H1753" t="str">
            <v>DAY ONCOLOGY UNIT</v>
          </cell>
          <cell r="I1753" t="str">
            <v>04DO111</v>
          </cell>
          <cell r="J1753" t="str">
            <v>EQUIP. ROOM</v>
          </cell>
          <cell r="K1753" t="str">
            <v>BMED</v>
          </cell>
          <cell r="L1753" t="str">
            <v>Critical</v>
          </cell>
          <cell r="M1753" t="str">
            <v>CHINA</v>
          </cell>
          <cell r="N1753" t="str">
            <v>MedCaptian</v>
          </cell>
          <cell r="O1753" t="str">
            <v>HP-60</v>
          </cell>
          <cell r="P1753" t="str">
            <v>9024022107047</v>
          </cell>
          <cell r="Q1753" t="str">
            <v>Not Applicable</v>
          </cell>
          <cell r="R1753" t="str">
            <v>MedCaptain Medical Technology</v>
          </cell>
          <cell r="S1753" t="str">
            <v>Alam Medik Sdn Bhd</v>
          </cell>
          <cell r="T1753" t="str">
            <v>Functioning</v>
          </cell>
          <cell r="U1753" t="str">
            <v>Asset</v>
          </cell>
          <cell r="V1753">
            <v>3500</v>
          </cell>
          <cell r="W1753" t="str">
            <v>KEW</v>
          </cell>
          <cell r="X1753">
            <v>44421</v>
          </cell>
          <cell r="Y1753" t="str">
            <v>KEW</v>
          </cell>
          <cell r="Z1753">
            <v>44432</v>
          </cell>
          <cell r="AA1753">
            <v>44797</v>
          </cell>
          <cell r="AB1753" t="str">
            <v>No</v>
          </cell>
          <cell r="AC1753">
            <v>44432</v>
          </cell>
          <cell r="AD1753" t="str">
            <v>Good</v>
          </cell>
          <cell r="AE1753" t="str">
            <v>V3 - Added Installed Facilities (New)</v>
          </cell>
          <cell r="AF1753">
            <v>44432</v>
          </cell>
          <cell r="AH1753" t="str">
            <v>PPM</v>
          </cell>
          <cell r="AI1753" t="str">
            <v>Strands</v>
          </cell>
          <cell r="AJ1753" t="str">
            <v>Strands PW</v>
          </cell>
          <cell r="AK1753" t="str">
            <v>SNF received on 28.9.2021</v>
          </cell>
        </row>
        <row r="1754">
          <cell r="A1754" t="str">
            <v>IKN402085</v>
          </cell>
          <cell r="B1754">
            <v>1740</v>
          </cell>
          <cell r="C1754" t="str">
            <v>Institut Kanser Negara</v>
          </cell>
          <cell r="D1754" t="str">
            <v>KKM/IKN/H/21/42</v>
          </cell>
          <cell r="E1754" t="str">
            <v>13-215</v>
          </cell>
          <cell r="F1754" t="str">
            <v>Infusion Pumps, General-Purpose</v>
          </cell>
          <cell r="G1754" t="str">
            <v>DO</v>
          </cell>
          <cell r="H1754" t="str">
            <v>DAY ONCOLOGY UNIT</v>
          </cell>
          <cell r="I1754" t="str">
            <v>04DO111</v>
          </cell>
          <cell r="J1754" t="str">
            <v>EQUIP. ROOM</v>
          </cell>
          <cell r="K1754" t="str">
            <v>BMED</v>
          </cell>
          <cell r="L1754" t="str">
            <v>Critical</v>
          </cell>
          <cell r="M1754" t="str">
            <v>CHINA</v>
          </cell>
          <cell r="N1754" t="str">
            <v>MedCaptian</v>
          </cell>
          <cell r="O1754" t="str">
            <v>HP-60</v>
          </cell>
          <cell r="P1754" t="str">
            <v>9024022106741</v>
          </cell>
          <cell r="Q1754" t="str">
            <v>Not Applicable</v>
          </cell>
          <cell r="R1754" t="str">
            <v>MedCaptain Medical Technology</v>
          </cell>
          <cell r="S1754" t="str">
            <v>Alam Medik Sdn Bhd</v>
          </cell>
          <cell r="T1754" t="str">
            <v>Functioning</v>
          </cell>
          <cell r="U1754" t="str">
            <v>Asset</v>
          </cell>
          <cell r="V1754">
            <v>3500</v>
          </cell>
          <cell r="W1754" t="str">
            <v>KEW</v>
          </cell>
          <cell r="X1754">
            <v>44421</v>
          </cell>
          <cell r="Y1754" t="str">
            <v>KEW</v>
          </cell>
          <cell r="Z1754">
            <v>44432</v>
          </cell>
          <cell r="AA1754">
            <v>44797</v>
          </cell>
          <cell r="AB1754" t="str">
            <v>No</v>
          </cell>
          <cell r="AC1754">
            <v>44432</v>
          </cell>
          <cell r="AD1754" t="str">
            <v>Good</v>
          </cell>
          <cell r="AE1754" t="str">
            <v>V3 - Added Installed Facilities (New)</v>
          </cell>
          <cell r="AF1754">
            <v>44432</v>
          </cell>
          <cell r="AH1754" t="str">
            <v>PPM</v>
          </cell>
          <cell r="AI1754" t="str">
            <v>Strands</v>
          </cell>
          <cell r="AJ1754" t="str">
            <v>Strands PW</v>
          </cell>
          <cell r="AK1754" t="str">
            <v>SNF received on 28.9.2021</v>
          </cell>
        </row>
        <row r="1755">
          <cell r="A1755" t="str">
            <v>IKN402086</v>
          </cell>
          <cell r="B1755">
            <v>1741</v>
          </cell>
          <cell r="C1755" t="str">
            <v>Institut Kanser Negara</v>
          </cell>
          <cell r="D1755" t="str">
            <v>KKM/IKN/H/21/43</v>
          </cell>
          <cell r="E1755" t="str">
            <v>13-215</v>
          </cell>
          <cell r="F1755" t="str">
            <v>Infusion Pumps, General-Purpose</v>
          </cell>
          <cell r="G1755" t="str">
            <v>DO</v>
          </cell>
          <cell r="H1755" t="str">
            <v>DAY ONCOLOGY UNIT</v>
          </cell>
          <cell r="I1755" t="str">
            <v>04DO111</v>
          </cell>
          <cell r="J1755" t="str">
            <v>EQUIP. ROOM</v>
          </cell>
          <cell r="K1755" t="str">
            <v>BMED</v>
          </cell>
          <cell r="L1755" t="str">
            <v>Critical</v>
          </cell>
          <cell r="M1755" t="str">
            <v>CHINA</v>
          </cell>
          <cell r="N1755" t="str">
            <v>MedCaptian</v>
          </cell>
          <cell r="O1755" t="str">
            <v>HP-60</v>
          </cell>
          <cell r="P1755" t="str">
            <v>9024022106690</v>
          </cell>
          <cell r="Q1755" t="str">
            <v>Not Applicable</v>
          </cell>
          <cell r="R1755" t="str">
            <v>MedCaptain Medical Technology</v>
          </cell>
          <cell r="S1755" t="str">
            <v>Alam Medik Sdn Bhd</v>
          </cell>
          <cell r="T1755" t="str">
            <v>Functioning</v>
          </cell>
          <cell r="U1755" t="str">
            <v>Asset</v>
          </cell>
          <cell r="V1755">
            <v>3500</v>
          </cell>
          <cell r="W1755" t="str">
            <v>KEW</v>
          </cell>
          <cell r="X1755">
            <v>44421</v>
          </cell>
          <cell r="Y1755" t="str">
            <v>KEW</v>
          </cell>
          <cell r="Z1755">
            <v>44432</v>
          </cell>
          <cell r="AA1755">
            <v>44797</v>
          </cell>
          <cell r="AB1755" t="str">
            <v>No</v>
          </cell>
          <cell r="AC1755">
            <v>44432</v>
          </cell>
          <cell r="AD1755" t="str">
            <v>Good</v>
          </cell>
          <cell r="AE1755" t="str">
            <v>V3 - Added Installed Facilities (New)</v>
          </cell>
          <cell r="AF1755">
            <v>44432</v>
          </cell>
          <cell r="AH1755" t="str">
            <v>PPM</v>
          </cell>
          <cell r="AI1755" t="str">
            <v>Strands</v>
          </cell>
          <cell r="AJ1755" t="str">
            <v>Strands PW</v>
          </cell>
          <cell r="AK1755" t="str">
            <v>SNF received on 28.9.2021</v>
          </cell>
        </row>
        <row r="1756">
          <cell r="A1756" t="str">
            <v>IKN402087</v>
          </cell>
          <cell r="B1756">
            <v>1742</v>
          </cell>
          <cell r="C1756" t="str">
            <v>Institut Kanser Negara</v>
          </cell>
          <cell r="D1756" t="str">
            <v>KKM/IKN/H/21/44</v>
          </cell>
          <cell r="E1756" t="str">
            <v>13-215</v>
          </cell>
          <cell r="F1756" t="str">
            <v>Infusion Pumps, General-Purpose</v>
          </cell>
          <cell r="G1756" t="str">
            <v>DO</v>
          </cell>
          <cell r="H1756" t="str">
            <v>DAY ONCOLOGY UNIT</v>
          </cell>
          <cell r="I1756" t="str">
            <v>04DO111</v>
          </cell>
          <cell r="J1756" t="str">
            <v>EQUIP. ROOM</v>
          </cell>
          <cell r="K1756" t="str">
            <v>BMED</v>
          </cell>
          <cell r="L1756" t="str">
            <v>Critical</v>
          </cell>
          <cell r="M1756" t="str">
            <v>CHINA</v>
          </cell>
          <cell r="N1756" t="str">
            <v>MedCaptian</v>
          </cell>
          <cell r="O1756" t="str">
            <v>HP-60</v>
          </cell>
          <cell r="P1756" t="str">
            <v>9024022106724</v>
          </cell>
          <cell r="Q1756" t="str">
            <v>Not Applicable</v>
          </cell>
          <cell r="R1756" t="str">
            <v>MedCaptain Medical Technology</v>
          </cell>
          <cell r="S1756" t="str">
            <v>Alam Medik Sdn Bhd</v>
          </cell>
          <cell r="T1756" t="str">
            <v>Functioning</v>
          </cell>
          <cell r="U1756" t="str">
            <v>Asset</v>
          </cell>
          <cell r="V1756">
            <v>3500</v>
          </cell>
          <cell r="W1756" t="str">
            <v>KEW</v>
          </cell>
          <cell r="X1756">
            <v>44421</v>
          </cell>
          <cell r="Y1756" t="str">
            <v>KEW</v>
          </cell>
          <cell r="Z1756">
            <v>44432</v>
          </cell>
          <cell r="AA1756">
            <v>44797</v>
          </cell>
          <cell r="AB1756" t="str">
            <v>No</v>
          </cell>
          <cell r="AC1756">
            <v>44432</v>
          </cell>
          <cell r="AD1756" t="str">
            <v>Good</v>
          </cell>
          <cell r="AE1756" t="str">
            <v>V3 - Added Installed Facilities (New)</v>
          </cell>
          <cell r="AF1756">
            <v>44432</v>
          </cell>
          <cell r="AH1756" t="str">
            <v>PPM</v>
          </cell>
          <cell r="AI1756" t="str">
            <v>Strands</v>
          </cell>
          <cell r="AJ1756" t="str">
            <v>Strands PW</v>
          </cell>
          <cell r="AK1756" t="str">
            <v>SNF received on 28.9.2021</v>
          </cell>
        </row>
        <row r="1757">
          <cell r="A1757" t="str">
            <v>IKN402088</v>
          </cell>
          <cell r="B1757">
            <v>1743</v>
          </cell>
          <cell r="C1757" t="str">
            <v>Institut Kanser Negara</v>
          </cell>
          <cell r="D1757" t="str">
            <v>KKM/IKN/H/21/124</v>
          </cell>
          <cell r="E1757" t="str">
            <v>13-215</v>
          </cell>
          <cell r="F1757" t="str">
            <v>Infusion Pumps, General-Purpose</v>
          </cell>
          <cell r="G1757" t="str">
            <v>DO</v>
          </cell>
          <cell r="H1757" t="str">
            <v>DAY ONCOLOGY UNIT</v>
          </cell>
          <cell r="I1757" t="str">
            <v>04DO111</v>
          </cell>
          <cell r="J1757" t="str">
            <v>EQUIP. ROOM</v>
          </cell>
          <cell r="K1757" t="str">
            <v>BMED</v>
          </cell>
          <cell r="L1757" t="str">
            <v>Critical</v>
          </cell>
          <cell r="M1757" t="str">
            <v>CHINA</v>
          </cell>
          <cell r="N1757" t="str">
            <v>MedCaptian</v>
          </cell>
          <cell r="O1757" t="str">
            <v>HP-60</v>
          </cell>
          <cell r="P1757" t="str">
            <v>9024022107123</v>
          </cell>
          <cell r="Q1757" t="str">
            <v>Not Applicable</v>
          </cell>
          <cell r="R1757" t="str">
            <v>MedCaptain Medical Technology</v>
          </cell>
          <cell r="S1757" t="str">
            <v>Alam Medik Sdn Bhd</v>
          </cell>
          <cell r="T1757" t="str">
            <v>Functioning</v>
          </cell>
          <cell r="U1757" t="str">
            <v>Asset</v>
          </cell>
          <cell r="V1757">
            <v>3500</v>
          </cell>
          <cell r="W1757" t="str">
            <v>KEW</v>
          </cell>
          <cell r="X1757">
            <v>44421</v>
          </cell>
          <cell r="Y1757" t="str">
            <v>KEW</v>
          </cell>
          <cell r="Z1757">
            <v>44432</v>
          </cell>
          <cell r="AA1757">
            <v>44797</v>
          </cell>
          <cell r="AB1757" t="str">
            <v>No</v>
          </cell>
          <cell r="AC1757">
            <v>44432</v>
          </cell>
          <cell r="AD1757" t="str">
            <v>Good</v>
          </cell>
          <cell r="AE1757" t="str">
            <v>V3 - Added Installed Facilities (New)</v>
          </cell>
          <cell r="AF1757">
            <v>44432</v>
          </cell>
          <cell r="AH1757" t="str">
            <v>PPM</v>
          </cell>
          <cell r="AI1757" t="str">
            <v>Not in Contract</v>
          </cell>
          <cell r="AJ1757" t="str">
            <v>Strands DW</v>
          </cell>
          <cell r="AK1757" t="str">
            <v>Donation 1 unit from vendor so cannot register for now. (PIC: FAREEZ)</v>
          </cell>
        </row>
        <row r="1758">
          <cell r="A1758" t="str">
            <v>IKN402089</v>
          </cell>
          <cell r="B1758">
            <v>1744</v>
          </cell>
          <cell r="C1758" t="str">
            <v>Institut Kanser Negara</v>
          </cell>
          <cell r="D1758" t="str">
            <v>KKM/IKN/H/20/44</v>
          </cell>
          <cell r="E1758" t="str">
            <v>10-656</v>
          </cell>
          <cell r="F1758" t="str">
            <v>Cast Cutters, Electric</v>
          </cell>
          <cell r="G1758" t="str">
            <v>AE</v>
          </cell>
          <cell r="H1758" t="str">
            <v>EMERGENCY UNIT</v>
          </cell>
          <cell r="I1758" t="str">
            <v>01AE112</v>
          </cell>
          <cell r="K1758" t="str">
            <v>BMED</v>
          </cell>
          <cell r="L1758" t="str">
            <v>Normal</v>
          </cell>
          <cell r="Q1758" t="str">
            <v>Not Applicable</v>
          </cell>
          <cell r="V1758">
            <v>12000</v>
          </cell>
          <cell r="W1758" t="str">
            <v>KEW</v>
          </cell>
          <cell r="AD1758" t="str">
            <v>Good</v>
          </cell>
          <cell r="AE1758" t="str">
            <v>V3 - Added Installed Facilities (New)</v>
          </cell>
          <cell r="AH1758" t="str">
            <v>PPM</v>
          </cell>
          <cell r="AI1758" t="str">
            <v>Strands</v>
          </cell>
          <cell r="AJ1758" t="str">
            <v>Strands PW</v>
          </cell>
          <cell r="AK1758" t="str">
            <v>SNF received on 7.12.2020 but BEMS only know on Sept 2021. Unit received from HPJ.   Cast Cutter Vacuum. CA progress</v>
          </cell>
        </row>
        <row r="1759">
          <cell r="A1759" t="str">
            <v>IKN402092</v>
          </cell>
          <cell r="B1759">
            <v>1747</v>
          </cell>
          <cell r="C1759" t="str">
            <v>Institut Kanser Negara</v>
          </cell>
          <cell r="D1759" t="str">
            <v>KKM/IKN/H/21/122</v>
          </cell>
          <cell r="E1759" t="str">
            <v>13-217</v>
          </cell>
          <cell r="F1759" t="str">
            <v>Infusion Pumps, General-Purpose</v>
          </cell>
          <cell r="G1759" t="str">
            <v>DO</v>
          </cell>
          <cell r="H1759" t="str">
            <v>DAY ONCOLOGY UNIT</v>
          </cell>
          <cell r="I1759" t="str">
            <v>04DO119</v>
          </cell>
          <cell r="J1759" t="str">
            <v>TREATMENT BAY 2</v>
          </cell>
          <cell r="K1759" t="str">
            <v>BMED</v>
          </cell>
          <cell r="L1759" t="str">
            <v>Normal</v>
          </cell>
          <cell r="M1759" t="str">
            <v>CHINA</v>
          </cell>
          <cell r="N1759" t="str">
            <v>MedCaptian</v>
          </cell>
          <cell r="O1759" t="str">
            <v>HP-60</v>
          </cell>
          <cell r="P1759" t="str">
            <v>9024022107499</v>
          </cell>
          <cell r="Q1759" t="str">
            <v>Not Applicable</v>
          </cell>
          <cell r="R1759" t="str">
            <v>MedCaptain Medical Technology</v>
          </cell>
          <cell r="S1759" t="str">
            <v>Alam Medik Sdn Bhd</v>
          </cell>
          <cell r="T1759" t="str">
            <v>Functioning</v>
          </cell>
          <cell r="U1759" t="str">
            <v>Asset</v>
          </cell>
          <cell r="V1759">
            <v>3500</v>
          </cell>
          <cell r="W1759" t="str">
            <v>KEW</v>
          </cell>
          <cell r="X1759">
            <v>44432</v>
          </cell>
          <cell r="Y1759" t="str">
            <v>KEW</v>
          </cell>
          <cell r="Z1759">
            <v>44468</v>
          </cell>
          <cell r="AA1759">
            <v>44833</v>
          </cell>
          <cell r="AB1759" t="str">
            <v>NO</v>
          </cell>
          <cell r="AC1759">
            <v>44468</v>
          </cell>
          <cell r="AD1759" t="str">
            <v>Good</v>
          </cell>
          <cell r="AE1759" t="str">
            <v>V3 - Added Installed Facilities (New)</v>
          </cell>
          <cell r="AF1759">
            <v>44468</v>
          </cell>
          <cell r="AG1759" t="str">
            <v>NA</v>
          </cell>
          <cell r="AH1759" t="str">
            <v>PPM</v>
          </cell>
          <cell r="AI1759" t="str">
            <v>Not in Contract</v>
          </cell>
          <cell r="AJ1759" t="str">
            <v>Strands DW</v>
          </cell>
        </row>
        <row r="1760">
          <cell r="A1760" t="str">
            <v>IKN402093</v>
          </cell>
          <cell r="B1760">
            <v>1748</v>
          </cell>
          <cell r="C1760" t="str">
            <v>Institut Kanser Negara</v>
          </cell>
          <cell r="D1760" t="str">
            <v>KKM/IKN/H/21/123</v>
          </cell>
          <cell r="E1760" t="str">
            <v>13-217</v>
          </cell>
          <cell r="F1760" t="str">
            <v>Infusion Pumps, General-Purpose</v>
          </cell>
          <cell r="G1760" t="str">
            <v>DO</v>
          </cell>
          <cell r="H1760" t="str">
            <v>DAY ONCOLOGY UNIT</v>
          </cell>
          <cell r="I1760" t="str">
            <v>04DO119</v>
          </cell>
          <cell r="J1760" t="str">
            <v>TREATMENT BAY 2</v>
          </cell>
          <cell r="K1760" t="str">
            <v>BMED</v>
          </cell>
          <cell r="L1760" t="str">
            <v>Normal</v>
          </cell>
          <cell r="M1760" t="str">
            <v>CHINA</v>
          </cell>
          <cell r="N1760" t="str">
            <v>MedCaptian</v>
          </cell>
          <cell r="O1760" t="str">
            <v>HP-60</v>
          </cell>
          <cell r="P1760" t="str">
            <v>9024022106333</v>
          </cell>
          <cell r="Q1760" t="str">
            <v>Not Applicable</v>
          </cell>
          <cell r="R1760" t="str">
            <v>MedCaptain Medical Technology</v>
          </cell>
          <cell r="S1760" t="str">
            <v>Alam Medik Sdn Bhd</v>
          </cell>
          <cell r="T1760" t="str">
            <v>Functioning</v>
          </cell>
          <cell r="U1760" t="str">
            <v>Asset</v>
          </cell>
          <cell r="V1760">
            <v>3500</v>
          </cell>
          <cell r="W1760" t="str">
            <v>KEW</v>
          </cell>
          <cell r="X1760">
            <v>44432</v>
          </cell>
          <cell r="Y1760" t="str">
            <v>KEW</v>
          </cell>
          <cell r="Z1760">
            <v>44468</v>
          </cell>
          <cell r="AA1760">
            <v>44833</v>
          </cell>
          <cell r="AB1760" t="str">
            <v>NO</v>
          </cell>
          <cell r="AC1760">
            <v>44468</v>
          </cell>
          <cell r="AD1760" t="str">
            <v>Good</v>
          </cell>
          <cell r="AE1760" t="str">
            <v>V3 - Added Installed Facilities (New)</v>
          </cell>
          <cell r="AF1760">
            <v>44468</v>
          </cell>
          <cell r="AG1760" t="str">
            <v>NA</v>
          </cell>
          <cell r="AH1760" t="str">
            <v>PPM</v>
          </cell>
          <cell r="AI1760" t="str">
            <v>Not in Contract</v>
          </cell>
          <cell r="AJ1760" t="str">
            <v>Strands DW</v>
          </cell>
        </row>
        <row r="1761">
          <cell r="A1761" t="str">
            <v>IKN402095</v>
          </cell>
          <cell r="B1761">
            <v>1750</v>
          </cell>
          <cell r="C1761" t="str">
            <v>(PIC: ATIQA)</v>
          </cell>
          <cell r="D1761" t="str">
            <v>KKM/IKN/H/21/138-01</v>
          </cell>
          <cell r="E1761" t="str">
            <v>10-960</v>
          </cell>
          <cell r="F1761" t="str">
            <v>Colposcopes</v>
          </cell>
          <cell r="G1761" t="str">
            <v>OT</v>
          </cell>
          <cell r="H1761" t="str">
            <v>OPERATING THEATRE</v>
          </cell>
          <cell r="I1761" t="str">
            <v>05OT161</v>
          </cell>
          <cell r="J1761" t="str">
            <v>OT</v>
          </cell>
          <cell r="K1761" t="str">
            <v>BMED</v>
          </cell>
          <cell r="L1761" t="str">
            <v>Normal</v>
          </cell>
          <cell r="M1761" t="str">
            <v>Japan</v>
          </cell>
          <cell r="N1761" t="str">
            <v>OLYMPUS</v>
          </cell>
          <cell r="O1761" t="str">
            <v>OCS-500</v>
          </cell>
          <cell r="P1761" t="str">
            <v>106045</v>
          </cell>
          <cell r="Q1761" t="str">
            <v>Not Applicable</v>
          </cell>
          <cell r="R1761" t="str">
            <v>Olympus Optical Co Ltd</v>
          </cell>
          <cell r="S1761" t="str">
            <v>MEDICLINK SYSTEMS (M) SDN BHD</v>
          </cell>
          <cell r="T1761" t="str">
            <v>Functioning</v>
          </cell>
          <cell r="U1761" t="str">
            <v>Asset</v>
          </cell>
          <cell r="V1761">
            <v>43410</v>
          </cell>
          <cell r="W1761" t="str">
            <v>KEW</v>
          </cell>
          <cell r="X1761">
            <v>40869</v>
          </cell>
          <cell r="Y1761" t="str">
            <v>KEW</v>
          </cell>
          <cell r="Z1761">
            <v>40889</v>
          </cell>
          <cell r="AA1761">
            <v>41255</v>
          </cell>
          <cell r="AB1761" t="str">
            <v>NO</v>
          </cell>
          <cell r="AC1761">
            <v>44405</v>
          </cell>
          <cell r="AD1761" t="str">
            <v>Good</v>
          </cell>
          <cell r="AE1761" t="str">
            <v>V3 - Added Installed Facilities (New)</v>
          </cell>
          <cell r="AF1761">
            <v>45259</v>
          </cell>
          <cell r="AG1761" t="str">
            <v>NA</v>
          </cell>
          <cell r="AH1761" t="str">
            <v>PPM</v>
          </cell>
          <cell r="AI1761" t="str">
            <v>Not in Contract</v>
          </cell>
          <cell r="AJ1761" t="str">
            <v>Proposed for V3 P2.23 (SET)</v>
          </cell>
          <cell r="AK1761" t="str">
            <v>ASSET TRANSFER FROM HPJ.</v>
          </cell>
        </row>
        <row r="1762">
          <cell r="A1762" t="str">
            <v>IKN402096</v>
          </cell>
          <cell r="B1762">
            <v>1751</v>
          </cell>
          <cell r="C1762" t="str">
            <v>(PIC: ATIQA)</v>
          </cell>
          <cell r="D1762" t="str">
            <v>KKM/IKN/H/21/138-02</v>
          </cell>
          <cell r="E1762" t="str">
            <v>12-343</v>
          </cell>
          <cell r="F1762" t="str">
            <v>Light Sources, Fibreoptic, Flexible Endoscopic</v>
          </cell>
          <cell r="G1762" t="str">
            <v>OT</v>
          </cell>
          <cell r="H1762" t="str">
            <v>OPERATING THEATRE</v>
          </cell>
          <cell r="I1762" t="str">
            <v>05OT161</v>
          </cell>
          <cell r="J1762" t="str">
            <v>OT</v>
          </cell>
          <cell r="K1762" t="str">
            <v>BMED</v>
          </cell>
          <cell r="L1762" t="str">
            <v>Normal</v>
          </cell>
          <cell r="M1762" t="str">
            <v>Japan</v>
          </cell>
          <cell r="N1762" t="str">
            <v>OLYMPUS</v>
          </cell>
          <cell r="O1762" t="str">
            <v>CLH-SC</v>
          </cell>
          <cell r="P1762" t="str">
            <v>7132878</v>
          </cell>
          <cell r="Q1762" t="str">
            <v>Not Applicable</v>
          </cell>
          <cell r="R1762" t="str">
            <v>Olympus Optical Co Ltd</v>
          </cell>
          <cell r="S1762" t="str">
            <v>MEDICLINK SYSTEMS (M) SDN BHD</v>
          </cell>
          <cell r="T1762" t="str">
            <v>Functioning</v>
          </cell>
          <cell r="U1762" t="str">
            <v>Asset</v>
          </cell>
          <cell r="V1762">
            <v>5390</v>
          </cell>
          <cell r="W1762" t="str">
            <v>KEW</v>
          </cell>
          <cell r="X1762">
            <v>40869</v>
          </cell>
          <cell r="Y1762" t="str">
            <v>KEW</v>
          </cell>
          <cell r="Z1762">
            <v>40889</v>
          </cell>
          <cell r="AA1762">
            <v>41255</v>
          </cell>
          <cell r="AB1762" t="str">
            <v>NO</v>
          </cell>
          <cell r="AC1762">
            <v>44405</v>
          </cell>
          <cell r="AD1762" t="str">
            <v>Good</v>
          </cell>
          <cell r="AE1762" t="str">
            <v>V3 - Added Installed Facilities (New)</v>
          </cell>
          <cell r="AF1762">
            <v>45259</v>
          </cell>
          <cell r="AG1762" t="str">
            <v>NA</v>
          </cell>
          <cell r="AH1762" t="str">
            <v>PPM</v>
          </cell>
          <cell r="AI1762" t="str">
            <v>Not in Contract</v>
          </cell>
          <cell r="AJ1762" t="str">
            <v>Proposed for V3 P2.23 (SET)</v>
          </cell>
          <cell r="AK1762" t="str">
            <v>ASSET TRANSFER FROM HPJ. Light Cable &amp; 3-pin Power Cord</v>
          </cell>
        </row>
        <row r="1763">
          <cell r="A1763" t="str">
            <v>IKN402097</v>
          </cell>
          <cell r="B1763">
            <v>1752</v>
          </cell>
          <cell r="C1763" t="str">
            <v>(PIC: ATIQA)</v>
          </cell>
          <cell r="D1763" t="str">
            <v>KKM/IKN/H/21/138-03</v>
          </cell>
          <cell r="E1763" t="str">
            <v>17-002</v>
          </cell>
          <cell r="F1763" t="str">
            <v>Cameras, Video, Endoscope</v>
          </cell>
          <cell r="G1763" t="str">
            <v>OT</v>
          </cell>
          <cell r="H1763" t="str">
            <v>OPERATING THEATRE</v>
          </cell>
          <cell r="I1763" t="str">
            <v>05OT161</v>
          </cell>
          <cell r="J1763" t="str">
            <v>OT</v>
          </cell>
          <cell r="K1763" t="str">
            <v>BMED</v>
          </cell>
          <cell r="L1763" t="str">
            <v>Normal</v>
          </cell>
          <cell r="M1763" t="str">
            <v>Japan</v>
          </cell>
          <cell r="N1763" t="str">
            <v>OLYMPUS</v>
          </cell>
          <cell r="O1763" t="str">
            <v>OTV-S7V(A)</v>
          </cell>
          <cell r="P1763" t="str">
            <v>7110457</v>
          </cell>
          <cell r="Q1763" t="str">
            <v>Not Applicable</v>
          </cell>
          <cell r="R1763" t="str">
            <v>Olympus Optical Co Ltd</v>
          </cell>
          <cell r="S1763" t="str">
            <v>MEDICLINK SYSTEMS (M) SDN BHD</v>
          </cell>
          <cell r="T1763" t="str">
            <v>Functioning</v>
          </cell>
          <cell r="U1763" t="str">
            <v>Asset</v>
          </cell>
          <cell r="V1763">
            <v>45200</v>
          </cell>
          <cell r="W1763" t="str">
            <v>KEW</v>
          </cell>
          <cell r="X1763">
            <v>40869</v>
          </cell>
          <cell r="Y1763" t="str">
            <v>KEW</v>
          </cell>
          <cell r="Z1763">
            <v>40889</v>
          </cell>
          <cell r="AA1763">
            <v>41255</v>
          </cell>
          <cell r="AB1763" t="str">
            <v>NO</v>
          </cell>
          <cell r="AC1763">
            <v>44405</v>
          </cell>
          <cell r="AD1763" t="str">
            <v>Good</v>
          </cell>
          <cell r="AE1763" t="str">
            <v>V3 - Added Installed Facilities (New)</v>
          </cell>
          <cell r="AF1763">
            <v>45259</v>
          </cell>
          <cell r="AG1763" t="str">
            <v>NA</v>
          </cell>
          <cell r="AH1763" t="str">
            <v>PPM</v>
          </cell>
          <cell r="AI1763" t="str">
            <v>Not in Contract</v>
          </cell>
          <cell r="AJ1763" t="str">
            <v>Proposed for V3 P2.23 (SET)</v>
          </cell>
          <cell r="AK1763" t="str">
            <v>ASSET TRANSFER FROM HPJ. Camera Head (Olympus Visera OTV-S7H-10, SN: 7123341)</v>
          </cell>
        </row>
        <row r="1764">
          <cell r="A1764" t="str">
            <v>IKN402098</v>
          </cell>
          <cell r="B1764">
            <v>1753</v>
          </cell>
          <cell r="C1764" t="str">
            <v>Institut Kanser Negara</v>
          </cell>
          <cell r="E1764" t="str">
            <v>NA</v>
          </cell>
          <cell r="F1764" t="str">
            <v>Colposcope Set</v>
          </cell>
          <cell r="G1764" t="str">
            <v>OT</v>
          </cell>
          <cell r="H1764" t="str">
            <v>OPERATING THEATRE</v>
          </cell>
          <cell r="I1764" t="str">
            <v>05OT161</v>
          </cell>
          <cell r="J1764" t="str">
            <v>OT</v>
          </cell>
          <cell r="K1764" t="str">
            <v>BMED</v>
          </cell>
          <cell r="L1764" t="str">
            <v>Normal</v>
          </cell>
          <cell r="M1764" t="str">
            <v>Japan</v>
          </cell>
          <cell r="N1764" t="str">
            <v>OLYMPUS</v>
          </cell>
          <cell r="O1764" t="str">
            <v>OTV-S7H-1D</v>
          </cell>
          <cell r="P1764" t="str">
            <v>7123341</v>
          </cell>
          <cell r="Q1764" t="str">
            <v>Not Applicable</v>
          </cell>
          <cell r="R1764" t="str">
            <v>Olympus Optical Co Ltd</v>
          </cell>
          <cell r="S1764" t="str">
            <v>MEDICLINK SYSTEMS (M) SDN BHD</v>
          </cell>
          <cell r="T1764" t="str">
            <v>Functioning</v>
          </cell>
          <cell r="U1764" t="str">
            <v>Asset</v>
          </cell>
          <cell r="V1764">
            <v>107000</v>
          </cell>
          <cell r="W1764" t="str">
            <v>KEW</v>
          </cell>
          <cell r="X1764" t="str">
            <v>NA</v>
          </cell>
          <cell r="Y1764" t="str">
            <v>KEW</v>
          </cell>
          <cell r="Z1764" t="str">
            <v>NA</v>
          </cell>
          <cell r="AA1764" t="str">
            <v>NA</v>
          </cell>
          <cell r="AB1764" t="str">
            <v>NO</v>
          </cell>
          <cell r="AC1764">
            <v>44658</v>
          </cell>
          <cell r="AD1764" t="str">
            <v>Good</v>
          </cell>
          <cell r="AE1764" t="str">
            <v>V6</v>
          </cell>
          <cell r="AF1764">
            <v>44658</v>
          </cell>
          <cell r="AG1764">
            <v>5.17</v>
          </cell>
          <cell r="AH1764" t="str">
            <v>PPM</v>
          </cell>
          <cell r="AI1764" t="str">
            <v>Not in Contract</v>
          </cell>
          <cell r="AJ1764" t="str">
            <v>Strands PW</v>
          </cell>
          <cell r="AK1764" t="str">
            <v>ASSET TRANSFER FROM HPJ. Asset No. IKN402098 substitute in IKN402097. (PIC: ATIQA)</v>
          </cell>
        </row>
        <row r="1765">
          <cell r="A1765" t="str">
            <v>IKN402099</v>
          </cell>
          <cell r="B1765">
            <v>1754</v>
          </cell>
          <cell r="C1765" t="str">
            <v>(PIC: ATIQA)</v>
          </cell>
          <cell r="D1765" t="str">
            <v>KKM/IKN/H/21/138-04</v>
          </cell>
          <cell r="E1765" t="str">
            <v>16-603</v>
          </cell>
          <cell r="F1765" t="str">
            <v>Television Monitors</v>
          </cell>
          <cell r="G1765" t="str">
            <v>OT</v>
          </cell>
          <cell r="H1765" t="str">
            <v>OPERATING THEATRE</v>
          </cell>
          <cell r="I1765" t="str">
            <v>05OT161</v>
          </cell>
          <cell r="J1765" t="str">
            <v>OT</v>
          </cell>
          <cell r="K1765" t="str">
            <v>BMED</v>
          </cell>
          <cell r="L1765" t="str">
            <v>Normal</v>
          </cell>
          <cell r="M1765" t="str">
            <v>Japan</v>
          </cell>
          <cell r="N1765" t="str">
            <v>SONY</v>
          </cell>
          <cell r="O1765" t="str">
            <v>LMD-2110MD</v>
          </cell>
          <cell r="P1765" t="str">
            <v>3100280</v>
          </cell>
          <cell r="Q1765" t="str">
            <v>Not Applicable</v>
          </cell>
          <cell r="R1765" t="str">
            <v>SONY</v>
          </cell>
          <cell r="S1765" t="str">
            <v>MEDICLINK SYSTEMS (M) SDN BHD</v>
          </cell>
          <cell r="T1765" t="str">
            <v>Functioning</v>
          </cell>
          <cell r="U1765" t="str">
            <v>Asset</v>
          </cell>
          <cell r="V1765">
            <v>8000</v>
          </cell>
          <cell r="W1765" t="str">
            <v>KEW</v>
          </cell>
          <cell r="X1765">
            <v>40869</v>
          </cell>
          <cell r="Y1765" t="str">
            <v>KEW</v>
          </cell>
          <cell r="Z1765">
            <v>40889</v>
          </cell>
          <cell r="AA1765">
            <v>41255</v>
          </cell>
          <cell r="AB1765" t="str">
            <v>NO</v>
          </cell>
          <cell r="AC1765">
            <v>44405</v>
          </cell>
          <cell r="AD1765" t="str">
            <v>Good</v>
          </cell>
          <cell r="AE1765" t="str">
            <v>V3 - Added Installed Facilities (New)</v>
          </cell>
          <cell r="AF1765">
            <v>45259</v>
          </cell>
          <cell r="AG1765" t="str">
            <v>NA</v>
          </cell>
          <cell r="AH1765" t="str">
            <v>PPM</v>
          </cell>
          <cell r="AI1765" t="str">
            <v>Not in Contract</v>
          </cell>
          <cell r="AJ1765" t="str">
            <v>Proposed for V3 P2.23 (SET)</v>
          </cell>
          <cell r="AK1765" t="str">
            <v>ASSET TRANSFER FROM HPJ. Power Cord</v>
          </cell>
        </row>
        <row r="1766">
          <cell r="A1766" t="str">
            <v>IKN402100</v>
          </cell>
          <cell r="B1766">
            <v>1755</v>
          </cell>
          <cell r="C1766" t="str">
            <v>(PIC: ATIQA)</v>
          </cell>
          <cell r="D1766" t="str">
            <v>KKM/IKN/H/21/138-06</v>
          </cell>
          <cell r="E1766" t="str">
            <v>16-603</v>
          </cell>
          <cell r="F1766" t="str">
            <v>Television Monitors</v>
          </cell>
          <cell r="G1766" t="str">
            <v>OT</v>
          </cell>
          <cell r="H1766" t="str">
            <v>OPERATING THEATRE</v>
          </cell>
          <cell r="I1766" t="str">
            <v>05OT161</v>
          </cell>
          <cell r="J1766" t="str">
            <v>OT</v>
          </cell>
          <cell r="K1766" t="str">
            <v>BMED</v>
          </cell>
          <cell r="L1766" t="str">
            <v>Normal</v>
          </cell>
          <cell r="M1766" t="str">
            <v>Japan</v>
          </cell>
          <cell r="N1766" t="str">
            <v>SONY</v>
          </cell>
          <cell r="O1766" t="str">
            <v>KLV-32BX320</v>
          </cell>
          <cell r="P1766" t="str">
            <v>3253869</v>
          </cell>
          <cell r="Q1766" t="str">
            <v>Not Applicable</v>
          </cell>
          <cell r="R1766" t="str">
            <v>SONY</v>
          </cell>
          <cell r="S1766" t="str">
            <v>MEDICLINK SYSTEMS (M) SDN BHD</v>
          </cell>
          <cell r="T1766" t="str">
            <v>Functioning</v>
          </cell>
          <cell r="U1766" t="str">
            <v>Asset</v>
          </cell>
          <cell r="V1766">
            <v>3000</v>
          </cell>
          <cell r="W1766" t="str">
            <v>KEW</v>
          </cell>
          <cell r="X1766">
            <v>40869</v>
          </cell>
          <cell r="Y1766" t="str">
            <v>KEW</v>
          </cell>
          <cell r="Z1766">
            <v>40889</v>
          </cell>
          <cell r="AA1766">
            <v>41255</v>
          </cell>
          <cell r="AB1766" t="str">
            <v>NO</v>
          </cell>
          <cell r="AC1766">
            <v>44405</v>
          </cell>
          <cell r="AD1766" t="str">
            <v>Good</v>
          </cell>
          <cell r="AE1766" t="str">
            <v>V3 - Added Installed Facilities (New)</v>
          </cell>
          <cell r="AF1766">
            <v>45259</v>
          </cell>
          <cell r="AG1766" t="str">
            <v>NA</v>
          </cell>
          <cell r="AH1766" t="str">
            <v>PPM</v>
          </cell>
          <cell r="AI1766" t="str">
            <v>Not in Contract</v>
          </cell>
          <cell r="AJ1766" t="str">
            <v>Proposed for V3 P2.23 (SET)</v>
          </cell>
          <cell r="AK1766" t="str">
            <v>ASSET TRANSFER FROM HPJ. Power Cord</v>
          </cell>
        </row>
        <row r="1767">
          <cell r="A1767" t="str">
            <v>IKN402101</v>
          </cell>
          <cell r="B1767">
            <v>1756</v>
          </cell>
          <cell r="C1767" t="str">
            <v>(PIC: ATIQA)</v>
          </cell>
          <cell r="D1767" t="str">
            <v>KKM/IKN/H/21/138-05</v>
          </cell>
          <cell r="E1767" t="str">
            <v>13-274</v>
          </cell>
          <cell r="F1767" t="str">
            <v>Recorders, Tape, Video</v>
          </cell>
          <cell r="G1767" t="str">
            <v>OT</v>
          </cell>
          <cell r="H1767" t="str">
            <v>OPERATING THEATRE</v>
          </cell>
          <cell r="I1767" t="str">
            <v>05OT161</v>
          </cell>
          <cell r="J1767" t="str">
            <v>OT</v>
          </cell>
          <cell r="K1767" t="str">
            <v>BMED</v>
          </cell>
          <cell r="L1767" t="str">
            <v>Normal</v>
          </cell>
          <cell r="M1767" t="str">
            <v>Japan</v>
          </cell>
          <cell r="N1767" t="str">
            <v>SONY</v>
          </cell>
          <cell r="O1767" t="str">
            <v>RDR-HX780</v>
          </cell>
          <cell r="P1767" t="str">
            <v>1015241</v>
          </cell>
          <cell r="Q1767" t="str">
            <v>Not Applicable</v>
          </cell>
          <cell r="R1767" t="str">
            <v>SONY</v>
          </cell>
          <cell r="S1767" t="str">
            <v>MEDICLINK SYSTEMS (M) SDN BHD</v>
          </cell>
          <cell r="T1767" t="str">
            <v>Functioning</v>
          </cell>
          <cell r="U1767" t="str">
            <v>Asset</v>
          </cell>
          <cell r="V1767">
            <v>2000</v>
          </cell>
          <cell r="W1767" t="str">
            <v>KEW</v>
          </cell>
          <cell r="X1767">
            <v>40869</v>
          </cell>
          <cell r="Y1767" t="str">
            <v>KEW</v>
          </cell>
          <cell r="Z1767">
            <v>40889</v>
          </cell>
          <cell r="AA1767">
            <v>41255</v>
          </cell>
          <cell r="AB1767" t="str">
            <v>NO</v>
          </cell>
          <cell r="AC1767">
            <v>44405</v>
          </cell>
          <cell r="AD1767" t="str">
            <v>Good</v>
          </cell>
          <cell r="AE1767" t="str">
            <v>V3 - Added Installed Facilities (New)</v>
          </cell>
          <cell r="AF1767">
            <v>45259</v>
          </cell>
          <cell r="AG1767" t="str">
            <v>NA</v>
          </cell>
          <cell r="AH1767" t="str">
            <v>PPM</v>
          </cell>
          <cell r="AI1767" t="str">
            <v>Not in Contract</v>
          </cell>
          <cell r="AJ1767" t="str">
            <v>Proposed for V3 P2.23 (SET)</v>
          </cell>
          <cell r="AK1767" t="str">
            <v>ASSET TRANSFER FROM HPJ. Power Cord</v>
          </cell>
        </row>
        <row r="1768">
          <cell r="A1768" t="str">
            <v>IKN402102</v>
          </cell>
          <cell r="B1768">
            <v>1757</v>
          </cell>
          <cell r="C1768" t="str">
            <v>Institut Kanser Negara</v>
          </cell>
          <cell r="D1768" t="str">
            <v>KKM/IKN/H/21/125</v>
          </cell>
          <cell r="E1768" t="str">
            <v>13-215</v>
          </cell>
          <cell r="F1768" t="str">
            <v>Infusion Pumps, General-Purpose</v>
          </cell>
          <cell r="G1768" t="str">
            <v>DO</v>
          </cell>
          <cell r="H1768" t="str">
            <v>DAY ONCOLOGY UNIT</v>
          </cell>
          <cell r="I1768" t="str">
            <v>04DO111</v>
          </cell>
          <cell r="J1768" t="str">
            <v>EQUIP. ROOM</v>
          </cell>
          <cell r="K1768" t="str">
            <v>BMED</v>
          </cell>
          <cell r="L1768" t="str">
            <v>Critical</v>
          </cell>
          <cell r="M1768" t="str">
            <v>CHINA</v>
          </cell>
          <cell r="N1768" t="str">
            <v>MedCaptian</v>
          </cell>
          <cell r="O1768" t="str">
            <v>HP-60</v>
          </cell>
          <cell r="P1768">
            <v>9024422108380</v>
          </cell>
          <cell r="Q1768" t="str">
            <v>Not Applicable</v>
          </cell>
          <cell r="R1768" t="str">
            <v>MedCaptain Medical Technology</v>
          </cell>
          <cell r="S1768" t="str">
            <v>Alam Medik Sdn Bhd</v>
          </cell>
          <cell r="T1768" t="str">
            <v>Functioning</v>
          </cell>
          <cell r="U1768" t="str">
            <v>Asset</v>
          </cell>
          <cell r="V1768">
            <v>3500</v>
          </cell>
          <cell r="W1768" t="str">
            <v>KEW</v>
          </cell>
          <cell r="X1768">
            <v>44643</v>
          </cell>
          <cell r="Y1768" t="str">
            <v>KEW</v>
          </cell>
          <cell r="Z1768">
            <v>44658</v>
          </cell>
          <cell r="AA1768">
            <v>45023</v>
          </cell>
          <cell r="AB1768" t="str">
            <v>NO</v>
          </cell>
          <cell r="AC1768">
            <v>44658</v>
          </cell>
          <cell r="AD1768" t="str">
            <v>Good</v>
          </cell>
          <cell r="AE1768" t="str">
            <v>V3 - Added Installed Facilities (New)</v>
          </cell>
          <cell r="AF1768">
            <v>45195</v>
          </cell>
          <cell r="AG1768" t="str">
            <v>NA</v>
          </cell>
          <cell r="AH1768" t="str">
            <v>PPM</v>
          </cell>
          <cell r="AI1768" t="str">
            <v>Not in Contract</v>
          </cell>
          <cell r="AJ1768" t="str">
            <v>Proposed for V3 P2.23</v>
          </cell>
          <cell r="AK1768" t="str">
            <v>(PIC: ATIQA). KKM follow P2.23.</v>
          </cell>
        </row>
        <row r="1769">
          <cell r="A1769" t="str">
            <v>IKN402103</v>
          </cell>
          <cell r="B1769">
            <v>1758</v>
          </cell>
          <cell r="C1769" t="str">
            <v>Institut Kanser Negara</v>
          </cell>
          <cell r="D1769" t="str">
            <v>KKM/IKN/H/22/6</v>
          </cell>
          <cell r="E1769" t="str">
            <v>13-215</v>
          </cell>
          <cell r="F1769" t="str">
            <v>Infusion Pumps, General-Purpose</v>
          </cell>
          <cell r="G1769" t="str">
            <v>WG</v>
          </cell>
          <cell r="H1769" t="str">
            <v>RT/ONCO WARD 1 (M)</v>
          </cell>
          <cell r="I1769" t="str">
            <v>08WG113</v>
          </cell>
          <cell r="J1769" t="str">
            <v>EQUIPMENT ROOM</v>
          </cell>
          <cell r="K1769" t="str">
            <v>BMED</v>
          </cell>
          <cell r="L1769" t="str">
            <v>Critical</v>
          </cell>
          <cell r="M1769" t="str">
            <v>CHINA</v>
          </cell>
          <cell r="N1769" t="str">
            <v>MedCaptian</v>
          </cell>
          <cell r="O1769" t="str">
            <v>HP-60</v>
          </cell>
          <cell r="P1769">
            <v>9024022106353</v>
          </cell>
          <cell r="Q1769" t="str">
            <v>Not Applicable</v>
          </cell>
          <cell r="R1769" t="str">
            <v>MedCaptain Medical Technology</v>
          </cell>
          <cell r="S1769" t="str">
            <v>Alam Medik Sdn Bhd</v>
          </cell>
          <cell r="T1769" t="str">
            <v>Functioning</v>
          </cell>
          <cell r="U1769" t="str">
            <v>Asset</v>
          </cell>
          <cell r="V1769">
            <v>3500</v>
          </cell>
          <cell r="W1769" t="str">
            <v>KEW</v>
          </cell>
          <cell r="X1769">
            <v>44643</v>
          </cell>
          <cell r="Y1769" t="str">
            <v>KEW</v>
          </cell>
          <cell r="Z1769">
            <v>44658</v>
          </cell>
          <cell r="AA1769">
            <v>45023</v>
          </cell>
          <cell r="AB1769" t="str">
            <v>NO</v>
          </cell>
          <cell r="AC1769">
            <v>44658</v>
          </cell>
          <cell r="AD1769" t="str">
            <v>Good</v>
          </cell>
          <cell r="AE1769" t="str">
            <v>V3 - Added Installed Facilities (New)</v>
          </cell>
          <cell r="AF1769">
            <v>45195</v>
          </cell>
          <cell r="AG1769" t="str">
            <v>NA</v>
          </cell>
          <cell r="AH1769" t="str">
            <v>PPM</v>
          </cell>
          <cell r="AI1769" t="str">
            <v>Not in Contract</v>
          </cell>
          <cell r="AJ1769" t="str">
            <v>Proposed for V3 P2.23</v>
          </cell>
          <cell r="AK1769" t="str">
            <v>(PIC: ATIQA). KKM follow P2.23.</v>
          </cell>
        </row>
        <row r="1770">
          <cell r="A1770" t="str">
            <v>IKN402104</v>
          </cell>
          <cell r="B1770">
            <v>1759</v>
          </cell>
          <cell r="C1770" t="str">
            <v>Institut Kanser Negara</v>
          </cell>
          <cell r="D1770" t="str">
            <v>KKM/IKN/H/22/9</v>
          </cell>
          <cell r="E1770" t="str">
            <v>13-215</v>
          </cell>
          <cell r="F1770" t="str">
            <v>Infusion Pumps, General-Purpose</v>
          </cell>
          <cell r="G1770" t="str">
            <v>WE</v>
          </cell>
          <cell r="H1770" t="str">
            <v>RT/ONCO WARD 1 (F)</v>
          </cell>
          <cell r="I1770" t="str">
            <v>07WE113</v>
          </cell>
          <cell r="J1770" t="str">
            <v>EQUIPMENT ROOM</v>
          </cell>
          <cell r="K1770" t="str">
            <v>BMED</v>
          </cell>
          <cell r="L1770" t="str">
            <v>Critical</v>
          </cell>
          <cell r="M1770" t="str">
            <v>CHINA</v>
          </cell>
          <cell r="N1770" t="str">
            <v>MedCaptian</v>
          </cell>
          <cell r="O1770" t="str">
            <v>HP-60</v>
          </cell>
          <cell r="P1770">
            <v>9024022106378</v>
          </cell>
          <cell r="Q1770" t="str">
            <v>Not Applicable</v>
          </cell>
          <cell r="R1770" t="str">
            <v>MedCaptain Medical Technology</v>
          </cell>
          <cell r="S1770" t="str">
            <v>Alam Medik Sdn Bhd</v>
          </cell>
          <cell r="T1770" t="str">
            <v>Functioning</v>
          </cell>
          <cell r="U1770" t="str">
            <v>Asset</v>
          </cell>
          <cell r="V1770">
            <v>3500</v>
          </cell>
          <cell r="W1770" t="str">
            <v>KEW</v>
          </cell>
          <cell r="X1770">
            <v>44643</v>
          </cell>
          <cell r="Y1770" t="str">
            <v>KEW</v>
          </cell>
          <cell r="Z1770">
            <v>44658</v>
          </cell>
          <cell r="AA1770">
            <v>45023</v>
          </cell>
          <cell r="AB1770" t="str">
            <v>NO</v>
          </cell>
          <cell r="AC1770">
            <v>44658</v>
          </cell>
          <cell r="AD1770" t="str">
            <v>Good</v>
          </cell>
          <cell r="AE1770" t="str">
            <v>V3 - Added Installed Facilities (New)</v>
          </cell>
          <cell r="AF1770">
            <v>45195</v>
          </cell>
          <cell r="AG1770" t="str">
            <v>NA</v>
          </cell>
          <cell r="AH1770" t="str">
            <v>PPM</v>
          </cell>
          <cell r="AI1770" t="str">
            <v>Strands</v>
          </cell>
          <cell r="AJ1770" t="str">
            <v>Proposed for V3 P2.23</v>
          </cell>
          <cell r="AK1770" t="str">
            <v>(PIC: ATIQA). KKM follow P2.23.</v>
          </cell>
        </row>
        <row r="1771">
          <cell r="A1771" t="str">
            <v>IKN402105</v>
          </cell>
          <cell r="B1771">
            <v>1760</v>
          </cell>
          <cell r="C1771" t="str">
            <v>Institut Kanser Negara</v>
          </cell>
          <cell r="D1771" t="str">
            <v>KKM/IKN/H/22/8</v>
          </cell>
          <cell r="E1771" t="str">
            <v>13-215</v>
          </cell>
          <cell r="F1771" t="str">
            <v>Infusion Pumps, General-Purpose</v>
          </cell>
          <cell r="G1771" t="str">
            <v>WH</v>
          </cell>
          <cell r="H1771" t="str">
            <v>RT/ONCO WARD 2 (M)</v>
          </cell>
          <cell r="I1771" t="str">
            <v>08WH121</v>
          </cell>
          <cell r="J1771" t="str">
            <v>EQUIPMENT ROOM</v>
          </cell>
          <cell r="K1771" t="str">
            <v>BMED</v>
          </cell>
          <cell r="L1771" t="str">
            <v>Critical</v>
          </cell>
          <cell r="M1771" t="str">
            <v>CHINA</v>
          </cell>
          <cell r="N1771" t="str">
            <v>MedCaptian</v>
          </cell>
          <cell r="O1771" t="str">
            <v>HP-60</v>
          </cell>
          <cell r="P1771">
            <v>9024022108142</v>
          </cell>
          <cell r="Q1771" t="str">
            <v>Not Applicable</v>
          </cell>
          <cell r="R1771" t="str">
            <v>MedCaptain Medical Technology</v>
          </cell>
          <cell r="S1771" t="str">
            <v>Alam Medik Sdn Bhd</v>
          </cell>
          <cell r="T1771" t="str">
            <v>Functioning</v>
          </cell>
          <cell r="U1771" t="str">
            <v>Asset</v>
          </cell>
          <cell r="V1771">
            <v>3500</v>
          </cell>
          <cell r="W1771" t="str">
            <v>KEW</v>
          </cell>
          <cell r="X1771">
            <v>44643</v>
          </cell>
          <cell r="Y1771" t="str">
            <v>KEW</v>
          </cell>
          <cell r="Z1771">
            <v>44658</v>
          </cell>
          <cell r="AA1771">
            <v>45023</v>
          </cell>
          <cell r="AB1771" t="str">
            <v>NO</v>
          </cell>
          <cell r="AC1771">
            <v>44658</v>
          </cell>
          <cell r="AD1771" t="str">
            <v>Good</v>
          </cell>
          <cell r="AE1771" t="str">
            <v>V3 - Added Installed Facilities (New)</v>
          </cell>
          <cell r="AF1771">
            <v>45195</v>
          </cell>
          <cell r="AG1771" t="str">
            <v>NA</v>
          </cell>
          <cell r="AH1771" t="str">
            <v>PPM</v>
          </cell>
          <cell r="AI1771" t="str">
            <v>Not in Contract</v>
          </cell>
          <cell r="AJ1771" t="str">
            <v>Proposed for V3 P2.23</v>
          </cell>
          <cell r="AK1771" t="str">
            <v>(PIC: ATIQA). KKM follow P2.23.</v>
          </cell>
        </row>
        <row r="1772">
          <cell r="A1772" t="str">
            <v>IKN402106</v>
          </cell>
          <cell r="B1772">
            <v>1761</v>
          </cell>
          <cell r="C1772" t="str">
            <v>Institut Kanser Negara</v>
          </cell>
          <cell r="D1772" t="str">
            <v>KKM/IKN/H/22/12</v>
          </cell>
          <cell r="E1772" t="str">
            <v>13-215</v>
          </cell>
          <cell r="F1772" t="str">
            <v>Infusion Pumps, General-Purpose</v>
          </cell>
          <cell r="G1772" t="str">
            <v>WC</v>
          </cell>
          <cell r="H1772" t="str">
            <v>WAD 6A</v>
          </cell>
          <cell r="I1772" t="str">
            <v>06WC113</v>
          </cell>
          <cell r="J1772" t="str">
            <v>WC</v>
          </cell>
          <cell r="K1772" t="str">
            <v>BMED</v>
          </cell>
          <cell r="L1772" t="str">
            <v>Critical</v>
          </cell>
          <cell r="M1772" t="str">
            <v>CHINA</v>
          </cell>
          <cell r="N1772" t="str">
            <v>MedCaptian</v>
          </cell>
          <cell r="O1772" t="str">
            <v>HP-60</v>
          </cell>
          <cell r="P1772">
            <v>9024022108423</v>
          </cell>
          <cell r="Q1772" t="str">
            <v>Not Applicable</v>
          </cell>
          <cell r="R1772" t="str">
            <v>MedCaptain Medical Technology</v>
          </cell>
          <cell r="S1772" t="str">
            <v>Alam Medik Sdn Bhd</v>
          </cell>
          <cell r="T1772" t="str">
            <v>Functioning</v>
          </cell>
          <cell r="U1772" t="str">
            <v>Asset</v>
          </cell>
          <cell r="V1772">
            <v>3500</v>
          </cell>
          <cell r="W1772" t="str">
            <v>KEW</v>
          </cell>
          <cell r="X1772">
            <v>44643</v>
          </cell>
          <cell r="Y1772" t="str">
            <v>KEW</v>
          </cell>
          <cell r="Z1772">
            <v>44658</v>
          </cell>
          <cell r="AA1772">
            <v>45023</v>
          </cell>
          <cell r="AB1772" t="str">
            <v>NO</v>
          </cell>
          <cell r="AC1772">
            <v>44658</v>
          </cell>
          <cell r="AD1772" t="str">
            <v>Good</v>
          </cell>
          <cell r="AE1772" t="str">
            <v>V3 - Added Installed Facilities (New)</v>
          </cell>
          <cell r="AF1772">
            <v>45195</v>
          </cell>
          <cell r="AG1772" t="str">
            <v>NA</v>
          </cell>
          <cell r="AH1772" t="str">
            <v>PPM</v>
          </cell>
          <cell r="AI1772" t="str">
            <v>Not in Contract</v>
          </cell>
          <cell r="AJ1772" t="str">
            <v>Proposed for V3 P2.23</v>
          </cell>
          <cell r="AK1772" t="str">
            <v>(PIC: ATIQA)</v>
          </cell>
        </row>
        <row r="1773">
          <cell r="A1773" t="str">
            <v>IKN402107</v>
          </cell>
          <cell r="B1773">
            <v>1762</v>
          </cell>
          <cell r="C1773" t="str">
            <v>Institut Kanser Negara</v>
          </cell>
          <cell r="D1773" t="str">
            <v>KKM/IKN/H/22/10</v>
          </cell>
          <cell r="E1773" t="str">
            <v>13-215</v>
          </cell>
          <cell r="F1773" t="str">
            <v>Infusion Pumps, General-Purpose</v>
          </cell>
          <cell r="G1773" t="str">
            <v>DO</v>
          </cell>
          <cell r="H1773" t="str">
            <v>DAY ONCOLOGY UNIT</v>
          </cell>
          <cell r="I1773" t="str">
            <v>04DO109</v>
          </cell>
          <cell r="J1773" t="str">
            <v>DO</v>
          </cell>
          <cell r="K1773" t="str">
            <v>BMED</v>
          </cell>
          <cell r="L1773" t="str">
            <v>Critical</v>
          </cell>
          <cell r="M1773" t="str">
            <v>CHINA</v>
          </cell>
          <cell r="N1773" t="str">
            <v>MedCaptian</v>
          </cell>
          <cell r="O1773" t="str">
            <v>HP-60</v>
          </cell>
          <cell r="P1773">
            <v>9024022108486</v>
          </cell>
          <cell r="Q1773" t="str">
            <v>Not Applicable</v>
          </cell>
          <cell r="R1773" t="str">
            <v>MedCaptain Medical Technology</v>
          </cell>
          <cell r="S1773" t="str">
            <v>Alam Medik Sdn Bhd</v>
          </cell>
          <cell r="T1773" t="str">
            <v>Functioning</v>
          </cell>
          <cell r="U1773" t="str">
            <v>Asset</v>
          </cell>
          <cell r="V1773">
            <v>3500</v>
          </cell>
          <cell r="W1773" t="str">
            <v>KEW</v>
          </cell>
          <cell r="X1773">
            <v>44643</v>
          </cell>
          <cell r="Y1773" t="str">
            <v>KEW</v>
          </cell>
          <cell r="Z1773">
            <v>44658</v>
          </cell>
          <cell r="AA1773">
            <v>45023</v>
          </cell>
          <cell r="AB1773" t="str">
            <v>NO</v>
          </cell>
          <cell r="AC1773">
            <v>44658</v>
          </cell>
          <cell r="AD1773" t="str">
            <v>Good</v>
          </cell>
          <cell r="AE1773" t="str">
            <v>V3 - Added Installed Facilities (New)</v>
          </cell>
          <cell r="AF1773">
            <v>45195</v>
          </cell>
          <cell r="AG1773" t="str">
            <v>NA</v>
          </cell>
          <cell r="AH1773" t="str">
            <v>PPM</v>
          </cell>
          <cell r="AI1773" t="str">
            <v>Not in Contract</v>
          </cell>
          <cell r="AJ1773" t="str">
            <v>Proposed for V3 P2.23</v>
          </cell>
          <cell r="AK1773" t="str">
            <v>(PIC: ATIQA). KKM follow P2.23.</v>
          </cell>
        </row>
        <row r="1774">
          <cell r="A1774" t="str">
            <v>IKN402108</v>
          </cell>
          <cell r="B1774">
            <v>1763</v>
          </cell>
          <cell r="C1774" t="str">
            <v>Institut Kanser Negara</v>
          </cell>
          <cell r="D1774" t="str">
            <v>KKM/IKN/H/22/11</v>
          </cell>
          <cell r="E1774" t="str">
            <v>13-215</v>
          </cell>
          <cell r="F1774" t="str">
            <v>Infusion Pumps, General-Purpose</v>
          </cell>
          <cell r="G1774" t="str">
            <v>DO</v>
          </cell>
          <cell r="H1774" t="str">
            <v>DAY ONCOLOGY UNIT</v>
          </cell>
          <cell r="I1774" t="str">
            <v>04DO109</v>
          </cell>
          <cell r="J1774" t="str">
            <v>DO</v>
          </cell>
          <cell r="K1774" t="str">
            <v>BMED</v>
          </cell>
          <cell r="L1774" t="str">
            <v>Critical</v>
          </cell>
          <cell r="M1774" t="str">
            <v>CHINA</v>
          </cell>
          <cell r="N1774" t="str">
            <v>MedCaptian</v>
          </cell>
          <cell r="O1774" t="str">
            <v>HP-60</v>
          </cell>
          <cell r="P1774">
            <v>9024022108456</v>
          </cell>
          <cell r="Q1774" t="str">
            <v>Not Applicable</v>
          </cell>
          <cell r="R1774" t="str">
            <v>MedCaptain Medical Technology</v>
          </cell>
          <cell r="S1774" t="str">
            <v>Alam Medik Sdn Bhd</v>
          </cell>
          <cell r="T1774" t="str">
            <v>Functioning</v>
          </cell>
          <cell r="U1774" t="str">
            <v>Asset</v>
          </cell>
          <cell r="V1774">
            <v>3500</v>
          </cell>
          <cell r="W1774" t="str">
            <v>KEW</v>
          </cell>
          <cell r="X1774">
            <v>44643</v>
          </cell>
          <cell r="Y1774" t="str">
            <v>KEW</v>
          </cell>
          <cell r="Z1774">
            <v>44658</v>
          </cell>
          <cell r="AA1774">
            <v>45023</v>
          </cell>
          <cell r="AB1774" t="str">
            <v>NO</v>
          </cell>
          <cell r="AC1774">
            <v>44658</v>
          </cell>
          <cell r="AD1774" t="str">
            <v>Good</v>
          </cell>
          <cell r="AE1774" t="str">
            <v>V3 - Added Installed Facilities (New)</v>
          </cell>
          <cell r="AF1774">
            <v>45195</v>
          </cell>
          <cell r="AG1774" t="str">
            <v>NA</v>
          </cell>
          <cell r="AH1774" t="str">
            <v>PPM</v>
          </cell>
          <cell r="AI1774" t="str">
            <v>Not in Contract</v>
          </cell>
          <cell r="AJ1774" t="str">
            <v>Proposed for V3 P2.23</v>
          </cell>
          <cell r="AK1774" t="str">
            <v>New location: 07WF121 (PIC: ATIQA). KKM follow P2.23.</v>
          </cell>
        </row>
        <row r="1775">
          <cell r="A1775" t="str">
            <v>IKN402109</v>
          </cell>
          <cell r="B1775">
            <v>1764</v>
          </cell>
          <cell r="C1775" t="str">
            <v>Institut Kanser Negara</v>
          </cell>
          <cell r="D1775" t="str">
            <v>KKM/IKN/H/22/7</v>
          </cell>
          <cell r="E1775" t="str">
            <v>13-215</v>
          </cell>
          <cell r="F1775" t="str">
            <v>Infusion Pumps, General-Purpose</v>
          </cell>
          <cell r="G1775" t="str">
            <v>WH</v>
          </cell>
          <cell r="H1775" t="str">
            <v>RT/ONCO WARD 2 (M)</v>
          </cell>
          <cell r="I1775" t="str">
            <v>08WH121</v>
          </cell>
          <cell r="J1775" t="str">
            <v>EQUIPMENT ROOM</v>
          </cell>
          <cell r="K1775" t="str">
            <v>BMED</v>
          </cell>
          <cell r="L1775" t="str">
            <v>Critical</v>
          </cell>
          <cell r="M1775" t="str">
            <v>CHINA</v>
          </cell>
          <cell r="N1775" t="str">
            <v>MedCaptian</v>
          </cell>
          <cell r="O1775" t="str">
            <v>HP-60</v>
          </cell>
          <cell r="P1775">
            <v>9024022108480</v>
          </cell>
          <cell r="Q1775" t="str">
            <v>Not Applicable</v>
          </cell>
          <cell r="R1775" t="str">
            <v>MedCaptain Medical Technology</v>
          </cell>
          <cell r="S1775" t="str">
            <v>Alam Medik Sdn Bhd</v>
          </cell>
          <cell r="T1775" t="str">
            <v>Functioning</v>
          </cell>
          <cell r="U1775" t="str">
            <v>Asset</v>
          </cell>
          <cell r="V1775">
            <v>3500</v>
          </cell>
          <cell r="W1775" t="str">
            <v>KEW</v>
          </cell>
          <cell r="X1775">
            <v>44643</v>
          </cell>
          <cell r="Y1775" t="str">
            <v>KEW</v>
          </cell>
          <cell r="Z1775">
            <v>44658</v>
          </cell>
          <cell r="AA1775">
            <v>45023</v>
          </cell>
          <cell r="AB1775" t="str">
            <v>NO</v>
          </cell>
          <cell r="AC1775">
            <v>44658</v>
          </cell>
          <cell r="AD1775" t="str">
            <v>Good</v>
          </cell>
          <cell r="AE1775" t="str">
            <v>V3 - Added Installed Facilities (New)</v>
          </cell>
          <cell r="AF1775">
            <v>45195</v>
          </cell>
          <cell r="AG1775" t="str">
            <v>NA</v>
          </cell>
          <cell r="AH1775" t="str">
            <v>PPM</v>
          </cell>
          <cell r="AI1775" t="str">
            <v>Not in Contract</v>
          </cell>
          <cell r="AJ1775" t="str">
            <v>Proposed for V3 P2.23</v>
          </cell>
          <cell r="AK1775" t="str">
            <v>(PIC: ATIQA). KKM follow P2.23.</v>
          </cell>
        </row>
        <row r="1776">
          <cell r="A1776" t="str">
            <v>IKN402111</v>
          </cell>
          <cell r="B1776">
            <v>1767</v>
          </cell>
          <cell r="C1776" t="str">
            <v>Institut Kanser Negara</v>
          </cell>
          <cell r="D1776" t="str">
            <v>KKM/IKN/H/22/14</v>
          </cell>
          <cell r="E1776" t="str">
            <v>13-215</v>
          </cell>
          <cell r="F1776" t="str">
            <v>Infusion Pumps, General-Purpose</v>
          </cell>
          <cell r="G1776" t="str">
            <v>WB</v>
          </cell>
          <cell r="H1776" t="str">
            <v>SURGICAL ONCO MALE WARD</v>
          </cell>
          <cell r="I1776" t="str">
            <v>05WB113</v>
          </cell>
          <cell r="J1776" t="str">
            <v>EQUIP. ROOM</v>
          </cell>
          <cell r="K1776" t="str">
            <v>BMED</v>
          </cell>
          <cell r="L1776" t="str">
            <v>Critical</v>
          </cell>
          <cell r="M1776" t="str">
            <v>CHINA</v>
          </cell>
          <cell r="N1776" t="str">
            <v>MedCaptian</v>
          </cell>
          <cell r="O1776" t="str">
            <v>HP-60</v>
          </cell>
          <cell r="P1776">
            <v>9024022108459</v>
          </cell>
          <cell r="Q1776" t="str">
            <v>Alam Medik Sdn Bhd</v>
          </cell>
          <cell r="R1776" t="str">
            <v>Functioning</v>
          </cell>
          <cell r="S1776" t="str">
            <v>Functioning</v>
          </cell>
          <cell r="T1776" t="str">
            <v>Functioning</v>
          </cell>
          <cell r="U1776" t="str">
            <v>KEW</v>
          </cell>
          <cell r="V1776">
            <v>3500</v>
          </cell>
          <cell r="W1776">
            <v>44643</v>
          </cell>
          <cell r="X1776" t="str">
            <v>KEW</v>
          </cell>
          <cell r="Y1776">
            <v>44658</v>
          </cell>
          <cell r="Z1776">
            <v>45023</v>
          </cell>
          <cell r="AA1776" t="str">
            <v>No</v>
          </cell>
          <cell r="AB1776">
            <v>44658</v>
          </cell>
          <cell r="AC1776" t="str">
            <v>Good</v>
          </cell>
          <cell r="AD1776" t="str">
            <v>V3 - Added Installed Facilities (New)</v>
          </cell>
          <cell r="AE1776">
            <v>45195</v>
          </cell>
          <cell r="AF1776" t="str">
            <v>NA</v>
          </cell>
          <cell r="AG1776">
            <v>9.17</v>
          </cell>
          <cell r="AH1776" t="str">
            <v>PPM</v>
          </cell>
          <cell r="AI1776" t="str">
            <v>Strands</v>
          </cell>
          <cell r="AJ1776" t="str">
            <v>Proposed for V3 P2.23</v>
          </cell>
        </row>
        <row r="1777">
          <cell r="A1777" t="str">
            <v>IKN402111</v>
          </cell>
          <cell r="B1777">
            <v>1766</v>
          </cell>
          <cell r="C1777" t="str">
            <v>Institut Kanser Negara</v>
          </cell>
          <cell r="D1777" t="str">
            <v>KKM/IKN/H/22/14</v>
          </cell>
          <cell r="E1777" t="str">
            <v>13-215</v>
          </cell>
          <cell r="F1777" t="str">
            <v>Infusion Pumps, General-Purpose</v>
          </cell>
          <cell r="G1777" t="str">
            <v>WB</v>
          </cell>
          <cell r="H1777" t="str">
            <v>WAD 5A</v>
          </cell>
          <cell r="I1777" t="str">
            <v>05WB113</v>
          </cell>
          <cell r="J1777" t="str">
            <v>WB</v>
          </cell>
          <cell r="K1777" t="str">
            <v>BMED</v>
          </cell>
          <cell r="L1777" t="str">
            <v>Critical</v>
          </cell>
          <cell r="M1777" t="str">
            <v>CHINA</v>
          </cell>
          <cell r="N1777" t="str">
            <v>MedCaptian</v>
          </cell>
          <cell r="O1777" t="str">
            <v>HP-60</v>
          </cell>
          <cell r="P1777">
            <v>9024022108459</v>
          </cell>
          <cell r="Q1777" t="str">
            <v>Not Applicable</v>
          </cell>
          <cell r="R1777" t="str">
            <v>MedCaptain Medical Technology</v>
          </cell>
          <cell r="S1777" t="str">
            <v>Alam Medik Sdn Bhd</v>
          </cell>
          <cell r="T1777" t="str">
            <v>Functioning</v>
          </cell>
          <cell r="U1777" t="str">
            <v>Asset</v>
          </cell>
          <cell r="V1777">
            <v>3500</v>
          </cell>
          <cell r="W1777" t="str">
            <v>KEW</v>
          </cell>
          <cell r="X1777">
            <v>44643</v>
          </cell>
          <cell r="Y1777" t="str">
            <v>KEW</v>
          </cell>
          <cell r="Z1777">
            <v>44658</v>
          </cell>
          <cell r="AA1777">
            <v>45023</v>
          </cell>
          <cell r="AB1777" t="str">
            <v>No</v>
          </cell>
          <cell r="AC1777">
            <v>44658</v>
          </cell>
          <cell r="AD1777" t="str">
            <v>Good</v>
          </cell>
          <cell r="AE1777" t="str">
            <v>V3 - Added Installed Facilities (New)</v>
          </cell>
          <cell r="AF1777">
            <v>45195</v>
          </cell>
          <cell r="AG1777" t="str">
            <v>NA</v>
          </cell>
          <cell r="AH1777" t="str">
            <v>PPM</v>
          </cell>
          <cell r="AI1777" t="str">
            <v>Not in Contract</v>
          </cell>
          <cell r="AJ1777" t="str">
            <v>Proposed for V3 P2.23</v>
          </cell>
          <cell r="AK1777" t="str">
            <v>(PIC: ATIQA)</v>
          </cell>
        </row>
        <row r="1778">
          <cell r="A1778" t="str">
            <v>IKN402112</v>
          </cell>
          <cell r="B1778">
            <v>1767</v>
          </cell>
          <cell r="C1778" t="str">
            <v>Institut Kanser Negara</v>
          </cell>
          <cell r="D1778" t="str">
            <v>KKM/IKN/H/22/15</v>
          </cell>
          <cell r="E1778" t="str">
            <v>13-215</v>
          </cell>
          <cell r="F1778" t="str">
            <v>Infusion Pumps, General-Purpose</v>
          </cell>
          <cell r="G1778" t="str">
            <v>WB</v>
          </cell>
          <cell r="H1778" t="str">
            <v>SURGICAL ONCO MALE WARD</v>
          </cell>
          <cell r="I1778" t="str">
            <v>05WB113</v>
          </cell>
          <cell r="J1778" t="str">
            <v>EQUIP. ROOM</v>
          </cell>
          <cell r="K1778" t="str">
            <v>BMED</v>
          </cell>
          <cell r="L1778" t="str">
            <v>Critical</v>
          </cell>
          <cell r="M1778" t="str">
            <v>CHINA</v>
          </cell>
          <cell r="N1778" t="str">
            <v>MedCaptian</v>
          </cell>
          <cell r="O1778" t="str">
            <v>HP-60</v>
          </cell>
          <cell r="P1778">
            <v>9024022108470</v>
          </cell>
          <cell r="Q1778" t="str">
            <v>MedCaptain Medical Technology</v>
          </cell>
          <cell r="R1778" t="str">
            <v>Alam Medik Sdn Bhd</v>
          </cell>
          <cell r="S1778" t="str">
            <v>Functioning</v>
          </cell>
          <cell r="T1778" t="str">
            <v>Functioning</v>
          </cell>
          <cell r="U1778" t="str">
            <v>KEW</v>
          </cell>
          <cell r="V1778">
            <v>3500</v>
          </cell>
          <cell r="W1778">
            <v>44643</v>
          </cell>
          <cell r="X1778" t="str">
            <v>KEW</v>
          </cell>
          <cell r="Y1778">
            <v>44658</v>
          </cell>
          <cell r="Z1778">
            <v>45023</v>
          </cell>
          <cell r="AA1778" t="str">
            <v>No</v>
          </cell>
          <cell r="AB1778">
            <v>44658</v>
          </cell>
          <cell r="AC1778" t="str">
            <v>Good</v>
          </cell>
          <cell r="AD1778" t="str">
            <v>V3 - Added Installed Facilities (New)</v>
          </cell>
          <cell r="AE1778">
            <v>45195</v>
          </cell>
          <cell r="AF1778" t="str">
            <v>NA</v>
          </cell>
          <cell r="AG1778">
            <v>9.17</v>
          </cell>
          <cell r="AH1778" t="str">
            <v>PPM</v>
          </cell>
          <cell r="AI1778" t="str">
            <v>Strands</v>
          </cell>
          <cell r="AJ1778" t="str">
            <v>Proposed for V3 P2.23</v>
          </cell>
        </row>
        <row r="1779">
          <cell r="A1779" t="str">
            <v>IKN402113</v>
          </cell>
          <cell r="B1779">
            <v>1768</v>
          </cell>
          <cell r="C1779" t="str">
            <v>Institut Kanser Negara</v>
          </cell>
          <cell r="D1779" t="str">
            <v>KKM/IKN/H/22/20</v>
          </cell>
          <cell r="E1779" t="str">
            <v>RI-DO1</v>
          </cell>
          <cell r="F1779" t="str">
            <v>TELESCOPE 4MM 30DEGREE</v>
          </cell>
          <cell r="G1779" t="str">
            <v>OT</v>
          </cell>
          <cell r="H1779" t="str">
            <v>OPERATION THEATRE</v>
          </cell>
          <cell r="I1779" t="str">
            <v>05OT130</v>
          </cell>
          <cell r="J1779" t="str">
            <v>OPERATION THEATRE</v>
          </cell>
          <cell r="K1779" t="str">
            <v>BMED</v>
          </cell>
          <cell r="L1779" t="str">
            <v>Critical</v>
          </cell>
          <cell r="M1779" t="str">
            <v>Germany</v>
          </cell>
          <cell r="N1779" t="str">
            <v>KARL STORZ</v>
          </cell>
          <cell r="O1779" t="str">
            <v>HOPKINS 27005BA</v>
          </cell>
          <cell r="P1779" t="str">
            <v>1257D3</v>
          </cell>
          <cell r="Q1779" t="str">
            <v>Not Applicable</v>
          </cell>
          <cell r="R1779" t="str">
            <v>KARLS STORZ</v>
          </cell>
          <cell r="S1779" t="str">
            <v>UMMI Surgical Sdn Bhd</v>
          </cell>
          <cell r="T1779" t="str">
            <v>Functioning</v>
          </cell>
          <cell r="U1779" t="str">
            <v>Asset</v>
          </cell>
          <cell r="V1779">
            <v>21350</v>
          </cell>
          <cell r="W1779" t="str">
            <v>KEW</v>
          </cell>
          <cell r="X1779">
            <v>44637</v>
          </cell>
          <cell r="Y1779" t="str">
            <v>KEW</v>
          </cell>
          <cell r="Z1779">
            <v>44665</v>
          </cell>
          <cell r="AA1779">
            <v>45029</v>
          </cell>
          <cell r="AB1779" t="str">
            <v>NO</v>
          </cell>
          <cell r="AC1779">
            <v>44665</v>
          </cell>
          <cell r="AD1779" t="str">
            <v>Good</v>
          </cell>
          <cell r="AE1779" t="str">
            <v>V3 - Added Installed Facilities (New)</v>
          </cell>
          <cell r="AF1779">
            <v>45195</v>
          </cell>
          <cell r="AG1779" t="str">
            <v>NA</v>
          </cell>
          <cell r="AH1779" t="str">
            <v>RI</v>
          </cell>
          <cell r="AI1779" t="str">
            <v>Not in Contract</v>
          </cell>
          <cell r="AJ1779" t="str">
            <v>Proposed for V3 P2.23</v>
          </cell>
          <cell r="AK1779" t="str">
            <v>(PIC: ATIQA). KKM follow P2.23.</v>
          </cell>
        </row>
        <row r="1780">
          <cell r="A1780" t="str">
            <v>IKN402114</v>
          </cell>
          <cell r="B1780">
            <v>1769</v>
          </cell>
          <cell r="C1780" t="str">
            <v>Institut Kanser Negara</v>
          </cell>
          <cell r="D1780" t="str">
            <v>KKM/IKN/H/22/19</v>
          </cell>
          <cell r="E1780" t="str">
            <v>RI-DO1</v>
          </cell>
          <cell r="F1780" t="str">
            <v>TELESCOPE 5MM 30DEGREE</v>
          </cell>
          <cell r="G1780" t="str">
            <v>OT</v>
          </cell>
          <cell r="H1780" t="str">
            <v>OPERATION THEATRE</v>
          </cell>
          <cell r="I1780" t="str">
            <v>05OT130</v>
          </cell>
          <cell r="J1780" t="str">
            <v>OPERATION THEATRE</v>
          </cell>
          <cell r="K1780" t="str">
            <v>BMED</v>
          </cell>
          <cell r="L1780" t="str">
            <v>Critical</v>
          </cell>
          <cell r="M1780" t="str">
            <v>Germany</v>
          </cell>
          <cell r="N1780" t="str">
            <v>KARL STORZ</v>
          </cell>
          <cell r="O1780" t="str">
            <v>HOPKINS 26046BA</v>
          </cell>
          <cell r="P1780" t="str">
            <v>1226A4</v>
          </cell>
          <cell r="Q1780" t="str">
            <v>Not Applicable</v>
          </cell>
          <cell r="R1780" t="str">
            <v>KARLS STORZ</v>
          </cell>
          <cell r="S1780" t="str">
            <v>UMMI Surgical Sdn Bhd</v>
          </cell>
          <cell r="T1780" t="str">
            <v>Functioning</v>
          </cell>
          <cell r="U1780" t="str">
            <v>Asset</v>
          </cell>
          <cell r="V1780">
            <v>17700</v>
          </cell>
          <cell r="W1780" t="str">
            <v>KEW</v>
          </cell>
          <cell r="X1780">
            <v>44637</v>
          </cell>
          <cell r="Y1780" t="str">
            <v>KEW</v>
          </cell>
          <cell r="Z1780">
            <v>44665</v>
          </cell>
          <cell r="AA1780">
            <v>45029</v>
          </cell>
          <cell r="AB1780" t="str">
            <v>NO</v>
          </cell>
          <cell r="AC1780">
            <v>44666</v>
          </cell>
          <cell r="AD1780" t="str">
            <v>Good</v>
          </cell>
          <cell r="AE1780" t="str">
            <v>V3 - Added Installed Facilities (New)</v>
          </cell>
          <cell r="AF1780">
            <v>45195</v>
          </cell>
          <cell r="AG1780" t="str">
            <v>NA</v>
          </cell>
          <cell r="AH1780" t="str">
            <v>RI</v>
          </cell>
          <cell r="AI1780" t="str">
            <v>Not in Contract</v>
          </cell>
          <cell r="AJ1780" t="str">
            <v>Proposed for V3 P2.23</v>
          </cell>
          <cell r="AK1780" t="str">
            <v>(PIC: ATIQA)</v>
          </cell>
        </row>
        <row r="1781">
          <cell r="A1781" t="str">
            <v>IKN402115</v>
          </cell>
          <cell r="B1781">
            <v>1770</v>
          </cell>
          <cell r="C1781" t="str">
            <v>Institut Kanser Negara</v>
          </cell>
          <cell r="D1781" t="str">
            <v>KKM/IKN/H/22/18</v>
          </cell>
          <cell r="E1781" t="str">
            <v>RI-DO1</v>
          </cell>
          <cell r="F1781" t="str">
            <v>TELESCOPE 10MM 30DEGREE</v>
          </cell>
          <cell r="G1781" t="str">
            <v>OT</v>
          </cell>
          <cell r="H1781" t="str">
            <v>OPERATION THEATRE</v>
          </cell>
          <cell r="I1781" t="str">
            <v>05OT130</v>
          </cell>
          <cell r="J1781" t="str">
            <v>OPERATION THEATRE</v>
          </cell>
          <cell r="K1781" t="str">
            <v>BMED</v>
          </cell>
          <cell r="L1781" t="str">
            <v>Critical</v>
          </cell>
          <cell r="M1781" t="str">
            <v>Germany</v>
          </cell>
          <cell r="N1781" t="str">
            <v>KARL STORZ</v>
          </cell>
          <cell r="O1781" t="str">
            <v>HOPKINS 26003BA</v>
          </cell>
          <cell r="P1781" t="str">
            <v>123Q5T</v>
          </cell>
          <cell r="Q1781" t="str">
            <v>Not Applicable</v>
          </cell>
          <cell r="R1781" t="str">
            <v>KARLS STORZ</v>
          </cell>
          <cell r="S1781" t="str">
            <v>UMMI Surgical Sdn Bhd</v>
          </cell>
          <cell r="T1781" t="str">
            <v>Functioning</v>
          </cell>
          <cell r="U1781" t="str">
            <v>Asset</v>
          </cell>
          <cell r="V1781">
            <v>20860</v>
          </cell>
          <cell r="W1781" t="str">
            <v>KEW</v>
          </cell>
          <cell r="X1781">
            <v>44637</v>
          </cell>
          <cell r="Y1781" t="str">
            <v>KEW</v>
          </cell>
          <cell r="Z1781">
            <v>44665</v>
          </cell>
          <cell r="AA1781">
            <v>45029</v>
          </cell>
          <cell r="AB1781" t="str">
            <v>NO</v>
          </cell>
          <cell r="AC1781">
            <v>44667</v>
          </cell>
          <cell r="AD1781" t="str">
            <v>Good</v>
          </cell>
          <cell r="AE1781" t="str">
            <v>V3 - Added Installed Facilities (New)</v>
          </cell>
          <cell r="AF1781">
            <v>45195</v>
          </cell>
          <cell r="AG1781" t="str">
            <v>NA</v>
          </cell>
          <cell r="AH1781" t="str">
            <v>RI</v>
          </cell>
          <cell r="AI1781" t="str">
            <v>Not in Contract</v>
          </cell>
          <cell r="AJ1781" t="str">
            <v>Proposed for V3 P2.23</v>
          </cell>
          <cell r="AK1781" t="str">
            <v>(PIC: ATIQA)</v>
          </cell>
        </row>
        <row r="1782">
          <cell r="A1782" t="str">
            <v>IKN402116</v>
          </cell>
          <cell r="B1782">
            <v>1771</v>
          </cell>
          <cell r="C1782" t="str">
            <v>Institut Kanser Negara</v>
          </cell>
          <cell r="D1782" t="str">
            <v>KKM/IKN/H/22/17</v>
          </cell>
          <cell r="E1782" t="str">
            <v>20-198</v>
          </cell>
          <cell r="F1782" t="str">
            <v>Analyzers,Point of care,Breath ,Carbon monoxide</v>
          </cell>
          <cell r="G1782" t="str">
            <v>PY</v>
          </cell>
          <cell r="H1782" t="str">
            <v>PHYSIOTHERAPY</v>
          </cell>
          <cell r="I1782" t="str">
            <v>04PY115</v>
          </cell>
          <cell r="J1782" t="str">
            <v>GYMNASIUM</v>
          </cell>
          <cell r="K1782" t="str">
            <v>BMED</v>
          </cell>
          <cell r="L1782" t="str">
            <v>Normal</v>
          </cell>
          <cell r="M1782" t="str">
            <v>BEDFRONT SCIENTIFIC</v>
          </cell>
          <cell r="N1782" t="str">
            <v>BEDFRONT</v>
          </cell>
          <cell r="O1782" t="str">
            <v>PICO</v>
          </cell>
          <cell r="P1782" t="str">
            <v>CP729246</v>
          </cell>
          <cell r="Q1782" t="str">
            <v>Not Applicable</v>
          </cell>
          <cell r="R1782" t="str">
            <v>BEDFRONT,UK</v>
          </cell>
          <cell r="S1782" t="str">
            <v>TARAF SYNERGY</v>
          </cell>
          <cell r="T1782" t="str">
            <v>Functioning</v>
          </cell>
          <cell r="U1782" t="str">
            <v>Asset</v>
          </cell>
          <cell r="V1782">
            <v>3950</v>
          </cell>
          <cell r="W1782" t="str">
            <v>KEW</v>
          </cell>
          <cell r="X1782">
            <v>44655</v>
          </cell>
          <cell r="Y1782" t="str">
            <v>KEW</v>
          </cell>
          <cell r="Z1782">
            <v>44673</v>
          </cell>
          <cell r="AA1782">
            <v>45037</v>
          </cell>
          <cell r="AB1782" t="str">
            <v>NO</v>
          </cell>
          <cell r="AC1782">
            <v>44673</v>
          </cell>
          <cell r="AD1782" t="str">
            <v>Good</v>
          </cell>
          <cell r="AE1782" t="str">
            <v>V3 - Added Installed Facilities (New)</v>
          </cell>
          <cell r="AF1782">
            <v>45195</v>
          </cell>
          <cell r="AG1782" t="str">
            <v>NA</v>
          </cell>
          <cell r="AH1782" t="str">
            <v>RI</v>
          </cell>
          <cell r="AI1782" t="str">
            <v>Not in Contract</v>
          </cell>
          <cell r="AJ1782" t="str">
            <v>Proposed for V3 P2.23</v>
          </cell>
          <cell r="AK1782" t="str">
            <v>(PIC: NORA). KKM follow P2.23.</v>
          </cell>
        </row>
        <row r="1783">
          <cell r="A1783" t="str">
            <v>IKN402117</v>
          </cell>
          <cell r="B1783">
            <v>1772</v>
          </cell>
          <cell r="C1783" t="str">
            <v>Institut Kanser Negara</v>
          </cell>
          <cell r="D1783" t="str">
            <v>Nora</v>
          </cell>
          <cell r="E1783" t="str">
            <v>15-076</v>
          </cell>
          <cell r="F1783" t="str">
            <v>Laryngoscopes, Rigid</v>
          </cell>
          <cell r="G1783" t="str">
            <v>AD</v>
          </cell>
          <cell r="H1783" t="str">
            <v>ADMINISTRATION</v>
          </cell>
          <cell r="I1783" t="str">
            <v>06AD122</v>
          </cell>
          <cell r="J1783" t="str">
            <v>SUPERVISOR 1</v>
          </cell>
          <cell r="K1783" t="str">
            <v>BMED</v>
          </cell>
          <cell r="L1783" t="str">
            <v>Normal</v>
          </cell>
          <cell r="M1783" t="str">
            <v>Germany</v>
          </cell>
          <cell r="N1783" t="str">
            <v>MACINTOSH</v>
          </cell>
          <cell r="O1783" t="str">
            <v>KAWE</v>
          </cell>
          <cell r="P1783" t="str">
            <v>Not Available</v>
          </cell>
          <cell r="Q1783" t="str">
            <v>Not Applicable</v>
          </cell>
          <cell r="R1783" t="str">
            <v>GERMANY</v>
          </cell>
          <cell r="S1783" t="str">
            <v>INSAN BAKTI</v>
          </cell>
          <cell r="T1783" t="str">
            <v>Functioning</v>
          </cell>
          <cell r="U1783" t="str">
            <v>Asset</v>
          </cell>
          <cell r="V1783">
            <v>1100</v>
          </cell>
          <cell r="W1783" t="str">
            <v>KEW</v>
          </cell>
          <cell r="X1783">
            <v>44643</v>
          </cell>
          <cell r="Y1783" t="str">
            <v>KEW</v>
          </cell>
          <cell r="Z1783">
            <v>44676</v>
          </cell>
          <cell r="AA1783">
            <v>44676</v>
          </cell>
          <cell r="AB1783" t="str">
            <v>NO</v>
          </cell>
          <cell r="AC1783">
            <v>44676</v>
          </cell>
          <cell r="AD1783" t="str">
            <v>Good</v>
          </cell>
          <cell r="AE1783" t="str">
            <v>V3 - Added Installed Facilities (New)</v>
          </cell>
          <cell r="AF1783">
            <v>44676</v>
          </cell>
          <cell r="AG1783" t="str">
            <v>NA</v>
          </cell>
          <cell r="AH1783" t="str">
            <v>RI</v>
          </cell>
          <cell r="AI1783" t="str">
            <v>Not in Contract</v>
          </cell>
          <cell r="AJ1783" t="e">
            <v>#REF!</v>
          </cell>
          <cell r="AK1783" t="str">
            <v>(PIC: NORA)</v>
          </cell>
        </row>
        <row r="1784">
          <cell r="A1784" t="str">
            <v>IKN402119</v>
          </cell>
          <cell r="B1784">
            <v>1774</v>
          </cell>
          <cell r="C1784" t="str">
            <v>Institut Kanser Negara</v>
          </cell>
          <cell r="D1784" t="str">
            <v>KKM/IKN/H/22/45</v>
          </cell>
          <cell r="E1784" t="str">
            <v>16-231</v>
          </cell>
          <cell r="F1784" t="str">
            <v>Electrocardiographs, Multichannel, Interpretative</v>
          </cell>
          <cell r="G1784" t="str">
            <v>HP</v>
          </cell>
          <cell r="H1784" t="str">
            <v>UNIT KESIHATAN AWAM (UKA)</v>
          </cell>
          <cell r="I1784" t="str">
            <v>04HP104</v>
          </cell>
          <cell r="J1784" t="str">
            <v>DISPLAY</v>
          </cell>
          <cell r="K1784" t="str">
            <v>BMED</v>
          </cell>
          <cell r="L1784" t="str">
            <v>Normal</v>
          </cell>
          <cell r="N1784" t="str">
            <v>COMEN</v>
          </cell>
          <cell r="O1784" t="str">
            <v>COMEN H3-01</v>
          </cell>
          <cell r="P1784" t="str">
            <v>H3220409031</v>
          </cell>
          <cell r="Q1784" t="str">
            <v>Not Applicable</v>
          </cell>
          <cell r="R1784" t="str">
            <v>SHENZEN COMEN MEDICAL INSTURMENT</v>
          </cell>
          <cell r="S1784" t="str">
            <v>IDS MEDICAL SYSTEM SDN BHD</v>
          </cell>
          <cell r="T1784" t="str">
            <v>Functioning</v>
          </cell>
          <cell r="U1784" t="str">
            <v>Asset</v>
          </cell>
          <cell r="V1784">
            <v>8000</v>
          </cell>
          <cell r="W1784" t="str">
            <v>KEW</v>
          </cell>
          <cell r="X1784" t="str">
            <v>NA</v>
          </cell>
          <cell r="Y1784" t="str">
            <v>KEW</v>
          </cell>
          <cell r="Z1784">
            <v>44701</v>
          </cell>
          <cell r="AA1784">
            <v>46161</v>
          </cell>
          <cell r="AB1784" t="str">
            <v>YES</v>
          </cell>
          <cell r="AC1784">
            <v>44701</v>
          </cell>
          <cell r="AD1784" t="str">
            <v>Good</v>
          </cell>
          <cell r="AE1784" t="str">
            <v>V3 - Added Installed Facilities (New)</v>
          </cell>
          <cell r="AF1784">
            <v>45008</v>
          </cell>
          <cell r="AG1784" t="str">
            <v>NA</v>
          </cell>
          <cell r="AH1784" t="str">
            <v>PPM</v>
          </cell>
          <cell r="AI1784" t="str">
            <v>Not in contract</v>
          </cell>
          <cell r="AJ1784" t="str">
            <v>Strands V3 P1.23</v>
          </cell>
          <cell r="AK1784" t="str">
            <v>(PIC: NORA) [23/8/2023, Sharifah]: V3 P1.23, add KKM No.. Warranty twice a year., [15/5/2024, Indira]: Edit Warranty Date.</v>
          </cell>
        </row>
        <row r="1785">
          <cell r="A1785" t="str">
            <v>IKN402120</v>
          </cell>
          <cell r="B1785">
            <v>1775</v>
          </cell>
          <cell r="C1785" t="str">
            <v>Institut Kanser Negara</v>
          </cell>
          <cell r="D1785" t="str">
            <v>KKM/IKN/H/22/25</v>
          </cell>
          <cell r="E1785" t="str">
            <v>15-177</v>
          </cell>
          <cell r="F1785" t="str">
            <v>Sedimentation Rate Units</v>
          </cell>
          <cell r="G1785" t="str">
            <v>LA</v>
          </cell>
          <cell r="H1785" t="str">
            <v>PATHOLOGY</v>
          </cell>
          <cell r="I1785" t="str">
            <v>04LA135</v>
          </cell>
          <cell r="J1785" t="str">
            <v>PATHOLOGY</v>
          </cell>
          <cell r="K1785" t="str">
            <v>BMED</v>
          </cell>
          <cell r="L1785" t="str">
            <v>Normal</v>
          </cell>
          <cell r="M1785" t="str">
            <v>NA</v>
          </cell>
          <cell r="N1785" t="str">
            <v>JOKOH</v>
          </cell>
          <cell r="O1785" t="str">
            <v>SMART RATE 10</v>
          </cell>
          <cell r="P1785" t="str">
            <v>1SA12000081</v>
          </cell>
          <cell r="Q1785" t="str">
            <v>Not Applicable</v>
          </cell>
          <cell r="R1785" t="str">
            <v>JOKOH CO LTD</v>
          </cell>
          <cell r="S1785" t="str">
            <v>UC BIOSCIENCES SDN BHD</v>
          </cell>
          <cell r="T1785" t="str">
            <v>Functioning</v>
          </cell>
          <cell r="U1785" t="str">
            <v>Asset</v>
          </cell>
          <cell r="V1785">
            <v>10000</v>
          </cell>
          <cell r="W1785" t="str">
            <v>KEW</v>
          </cell>
          <cell r="X1785" t="str">
            <v>NA</v>
          </cell>
          <cell r="Y1785" t="str">
            <v>KEW</v>
          </cell>
          <cell r="Z1785">
            <v>44699</v>
          </cell>
          <cell r="AA1785">
            <v>45063</v>
          </cell>
          <cell r="AB1785" t="str">
            <v>NO</v>
          </cell>
          <cell r="AC1785">
            <v>44699</v>
          </cell>
          <cell r="AD1785" t="str">
            <v>Good</v>
          </cell>
          <cell r="AE1785" t="str">
            <v>V3 - Added Installed Facilities (New)</v>
          </cell>
          <cell r="AF1785">
            <v>45195</v>
          </cell>
          <cell r="AG1785" t="str">
            <v>NA</v>
          </cell>
          <cell r="AH1785" t="str">
            <v>PPM</v>
          </cell>
          <cell r="AI1785" t="str">
            <v>Not in Contract</v>
          </cell>
          <cell r="AJ1785" t="str">
            <v>Proposed for V3 P2.23</v>
          </cell>
          <cell r="AK1785" t="str">
            <v>(PIC: INDIRA)</v>
          </cell>
        </row>
        <row r="1786">
          <cell r="A1786" t="str">
            <v>IKN402121</v>
          </cell>
          <cell r="B1786">
            <v>1776</v>
          </cell>
          <cell r="C1786" t="str">
            <v>Institut Kanser Negara</v>
          </cell>
          <cell r="D1786" t="str">
            <v>KKM/IKN/H/22/44</v>
          </cell>
          <cell r="E1786" t="str">
            <v>12-291</v>
          </cell>
          <cell r="F1786" t="str">
            <v>LAPAROSCOPIC SET</v>
          </cell>
          <cell r="G1786" t="str">
            <v>OT</v>
          </cell>
          <cell r="H1786" t="str">
            <v>OPERATING THEATRE</v>
          </cell>
          <cell r="I1786" t="str">
            <v>05OT126</v>
          </cell>
          <cell r="J1786" t="str">
            <v>OPERATING THEATRE</v>
          </cell>
          <cell r="K1786" t="str">
            <v>BMED</v>
          </cell>
          <cell r="L1786" t="str">
            <v>Normal</v>
          </cell>
          <cell r="M1786" t="str">
            <v>Germany</v>
          </cell>
          <cell r="N1786" t="str">
            <v>KARL STORZ</v>
          </cell>
          <cell r="O1786" t="str">
            <v>NA</v>
          </cell>
          <cell r="P1786" t="str">
            <v>NA</v>
          </cell>
          <cell r="Q1786" t="str">
            <v>Not Applicable</v>
          </cell>
          <cell r="R1786" t="str">
            <v>KARLS STORZ</v>
          </cell>
          <cell r="S1786" t="str">
            <v>UMMI Surgical Sdn Bhd</v>
          </cell>
          <cell r="T1786" t="str">
            <v>Functioning</v>
          </cell>
          <cell r="U1786" t="str">
            <v>Asset</v>
          </cell>
          <cell r="V1786">
            <v>49000</v>
          </cell>
          <cell r="W1786" t="str">
            <v>KEW</v>
          </cell>
          <cell r="X1786">
            <v>44664</v>
          </cell>
          <cell r="Y1786" t="str">
            <v>KEW</v>
          </cell>
          <cell r="Z1786">
            <v>44701</v>
          </cell>
          <cell r="AA1786">
            <v>45066</v>
          </cell>
          <cell r="AB1786" t="str">
            <v>No</v>
          </cell>
          <cell r="AC1786">
            <v>44701</v>
          </cell>
          <cell r="AD1786" t="str">
            <v>Good</v>
          </cell>
          <cell r="AE1786" t="str">
            <v>V3 - Added Installed Facilities (New)</v>
          </cell>
          <cell r="AF1786">
            <v>45195</v>
          </cell>
          <cell r="AG1786" t="str">
            <v>NA</v>
          </cell>
          <cell r="AH1786" t="str">
            <v>PPM</v>
          </cell>
          <cell r="AI1786" t="str">
            <v>Not in contract</v>
          </cell>
          <cell r="AJ1786" t="str">
            <v>Proposed for V3 P2.23</v>
          </cell>
          <cell r="AK1786" t="str">
            <v>(PIC: SHAHIRA) [19/1/2023, Sharifah]: Add KKM No. SNF received on 26/9/2023.</v>
          </cell>
        </row>
        <row r="1787">
          <cell r="A1787" t="str">
            <v>IKN402122</v>
          </cell>
          <cell r="B1787">
            <v>1777</v>
          </cell>
          <cell r="C1787" t="str">
            <v>Institut Kanser Negara</v>
          </cell>
          <cell r="D1787" t="str">
            <v>KKM/IKN/H/22/65</v>
          </cell>
          <cell r="E1787" t="str">
            <v>17-445</v>
          </cell>
          <cell r="F1787" t="str">
            <v>Multiple Medical Gas Monitors Respired/Anesthetic</v>
          </cell>
          <cell r="G1787" t="str">
            <v>OT</v>
          </cell>
          <cell r="H1787" t="str">
            <v>OPERATING THEATRE</v>
          </cell>
          <cell r="I1787" t="str">
            <v>05OT129</v>
          </cell>
          <cell r="J1787" t="str">
            <v>SEMINAR</v>
          </cell>
          <cell r="K1787" t="str">
            <v>BMED</v>
          </cell>
          <cell r="L1787" t="str">
            <v>Normal</v>
          </cell>
          <cell r="M1787" t="str">
            <v>Finland</v>
          </cell>
          <cell r="N1787" t="str">
            <v>GE HEALTHCARE</v>
          </cell>
          <cell r="O1787" t="str">
            <v>E-SCAIO</v>
          </cell>
          <cell r="P1787" t="str">
            <v>SGV21360090HA</v>
          </cell>
          <cell r="Q1787" t="str">
            <v>Not Applicable</v>
          </cell>
          <cell r="R1787" t="str">
            <v>GE HEALTHCARE</v>
          </cell>
          <cell r="S1787" t="str">
            <v>INSAN BAKTI SDN BHD</v>
          </cell>
          <cell r="T1787" t="str">
            <v>Functioning</v>
          </cell>
          <cell r="U1787" t="str">
            <v>Asset</v>
          </cell>
          <cell r="V1787">
            <v>28000</v>
          </cell>
          <cell r="W1787" t="str">
            <v>KEW</v>
          </cell>
          <cell r="X1787">
            <v>44641</v>
          </cell>
          <cell r="Y1787" t="str">
            <v>KEW</v>
          </cell>
          <cell r="Z1787">
            <v>44712</v>
          </cell>
          <cell r="AA1787">
            <v>45076</v>
          </cell>
          <cell r="AB1787" t="str">
            <v>No</v>
          </cell>
          <cell r="AC1787">
            <v>44712</v>
          </cell>
          <cell r="AD1787" t="str">
            <v>Good</v>
          </cell>
          <cell r="AE1787" t="str">
            <v>V3 - Added Installed Facilities (New)</v>
          </cell>
          <cell r="AF1787">
            <v>45008</v>
          </cell>
          <cell r="AG1787" t="str">
            <v>NA</v>
          </cell>
          <cell r="AH1787" t="str">
            <v>PPM</v>
          </cell>
          <cell r="AI1787" t="str">
            <v>Not in Contract</v>
          </cell>
          <cell r="AJ1787" t="str">
            <v>Strands V3 P1.23</v>
          </cell>
          <cell r="AK1787" t="str">
            <v>SNF RECEIVED MARCH, SEPT 2023.</v>
          </cell>
        </row>
        <row r="1788">
          <cell r="A1788" t="str">
            <v>IKN402123</v>
          </cell>
          <cell r="B1788">
            <v>1778</v>
          </cell>
          <cell r="C1788" t="str">
            <v>Institut Kanser Negara</v>
          </cell>
          <cell r="D1788" t="str">
            <v>KKM/IKN/H/22/30</v>
          </cell>
          <cell r="E1788" t="str">
            <v>12647-000</v>
          </cell>
          <cell r="F1788" t="str">
            <v>Physiologic Monitoring Systems, Acute Care</v>
          </cell>
          <cell r="G1788" t="str">
            <v>WB</v>
          </cell>
          <cell r="H1788" t="str">
            <v>SURGICAL ONCO MALE WARD</v>
          </cell>
          <cell r="I1788" t="str">
            <v>05WB107</v>
          </cell>
          <cell r="J1788" t="str">
            <v>TREATMENT / PROCEDURE</v>
          </cell>
          <cell r="K1788" t="str">
            <v>BMED</v>
          </cell>
          <cell r="L1788" t="str">
            <v>NORMAL</v>
          </cell>
          <cell r="M1788" t="str">
            <v>WHO</v>
          </cell>
          <cell r="N1788" t="str">
            <v>EDAN</v>
          </cell>
          <cell r="O1788" t="str">
            <v>IM60</v>
          </cell>
          <cell r="P1788" t="str">
            <v>360079-M20609750005</v>
          </cell>
          <cell r="Q1788" t="str">
            <v>EDAN INSTRUMENT INC</v>
          </cell>
          <cell r="R1788" t="str">
            <v>PHARMANIAGA LOGISTIC SDN BHD</v>
          </cell>
          <cell r="S1788" t="str">
            <v>Functioning</v>
          </cell>
          <cell r="T1788" t="str">
            <v>Functioning</v>
          </cell>
          <cell r="U1788" t="str">
            <v>KEW</v>
          </cell>
          <cell r="V1788">
            <v>8778.69</v>
          </cell>
          <cell r="W1788" t="str">
            <v>NA</v>
          </cell>
          <cell r="X1788" t="str">
            <v>NA</v>
          </cell>
          <cell r="Y1788">
            <v>45008</v>
          </cell>
          <cell r="Z1788">
            <v>45532</v>
          </cell>
          <cell r="AA1788" t="str">
            <v>YES</v>
          </cell>
          <cell r="AB1788">
            <v>44719</v>
          </cell>
          <cell r="AC1788" t="str">
            <v>Good</v>
          </cell>
          <cell r="AD1788" t="str">
            <v>V3 - Added Installed Facilities (New)</v>
          </cell>
          <cell r="AE1788">
            <v>45008</v>
          </cell>
          <cell r="AF1788" t="str">
            <v>NA</v>
          </cell>
          <cell r="AG1788">
            <v>9.17</v>
          </cell>
          <cell r="AH1788" t="str">
            <v>PPM</v>
          </cell>
          <cell r="AI1788" t="str">
            <v>Strands</v>
          </cell>
          <cell r="AJ1788" t="str">
            <v>Strands V3 P1.23</v>
          </cell>
          <cell r="AK1788" t="str">
            <v>[23/8/2023, Sharifah]: V3 P1.23</v>
          </cell>
        </row>
        <row r="1789">
          <cell r="A1789" t="str">
            <v>IKN402124</v>
          </cell>
          <cell r="B1789">
            <v>1779</v>
          </cell>
          <cell r="C1789" t="str">
            <v>Institut Kanser Negara</v>
          </cell>
          <cell r="D1789" t="str">
            <v>KKM/IKN/H/22/29</v>
          </cell>
          <cell r="E1789" t="str">
            <v>12647-000</v>
          </cell>
          <cell r="F1789" t="str">
            <v>Physiologic Monitoring Systems, Acute Care</v>
          </cell>
          <cell r="G1789" t="str">
            <v>AE</v>
          </cell>
          <cell r="H1789" t="str">
            <v>EMERGENCY UNIT</v>
          </cell>
          <cell r="I1789" t="str">
            <v>01AE106</v>
          </cell>
          <cell r="J1789" t="str">
            <v>C/E ROOM</v>
          </cell>
          <cell r="K1789" t="str">
            <v>BMED</v>
          </cell>
          <cell r="L1789" t="str">
            <v>NORMAL</v>
          </cell>
          <cell r="M1789" t="str">
            <v>WHO</v>
          </cell>
          <cell r="N1789" t="str">
            <v>EDAN</v>
          </cell>
          <cell r="O1789" t="str">
            <v>IM60</v>
          </cell>
          <cell r="P1789" t="str">
            <v>360079-M20609750126</v>
          </cell>
          <cell r="Q1789" t="str">
            <v>Not Applicable</v>
          </cell>
          <cell r="R1789" t="str">
            <v>EDAN INSTRUMENT INC</v>
          </cell>
          <cell r="S1789" t="str">
            <v>PHARMANIAGA LOGISTIC SDN BHD</v>
          </cell>
          <cell r="T1789" t="str">
            <v>Functioning</v>
          </cell>
          <cell r="U1789" t="str">
            <v>Asset</v>
          </cell>
          <cell r="V1789">
            <v>8778.69</v>
          </cell>
          <cell r="W1789" t="str">
            <v>KEW</v>
          </cell>
          <cell r="X1789" t="str">
            <v>NA</v>
          </cell>
          <cell r="Y1789" t="str">
            <v>NA</v>
          </cell>
          <cell r="Z1789">
            <v>45008</v>
          </cell>
          <cell r="AA1789">
            <v>45532</v>
          </cell>
          <cell r="AB1789" t="str">
            <v>YES</v>
          </cell>
          <cell r="AC1789">
            <v>44719</v>
          </cell>
          <cell r="AD1789" t="str">
            <v>Good</v>
          </cell>
          <cell r="AE1789" t="str">
            <v>V3 - Added Installed Facilities (New)</v>
          </cell>
          <cell r="AF1789">
            <v>45008</v>
          </cell>
          <cell r="AG1789" t="str">
            <v>NA</v>
          </cell>
          <cell r="AH1789" t="str">
            <v>PPM</v>
          </cell>
          <cell r="AI1789" t="str">
            <v>Not in contract</v>
          </cell>
          <cell r="AJ1789" t="str">
            <v>Strands V3 P1.23</v>
          </cell>
          <cell r="AK1789" t="str">
            <v>[23/8/2023, Sharifah]: V3 P1.23</v>
          </cell>
        </row>
        <row r="1790">
          <cell r="A1790" t="str">
            <v>IKN402129</v>
          </cell>
          <cell r="B1790">
            <v>1784</v>
          </cell>
          <cell r="C1790" t="str">
            <v>Institut Kanser Negara</v>
          </cell>
          <cell r="D1790" t="str">
            <v>KKM/IKN/H/22/86</v>
          </cell>
          <cell r="E1790" t="str">
            <v>15-108</v>
          </cell>
          <cell r="F1790" t="str">
            <v>RELIEF PAK HEATING UNIT</v>
          </cell>
          <cell r="G1790" t="str">
            <v>PY</v>
          </cell>
          <cell r="H1790" t="str">
            <v>PHYSIOTHERAPY</v>
          </cell>
          <cell r="I1790" t="str">
            <v>04PY115</v>
          </cell>
          <cell r="J1790" t="str">
            <v>GYMNASIUM</v>
          </cell>
          <cell r="K1790" t="str">
            <v>BMED</v>
          </cell>
          <cell r="L1790" t="str">
            <v>Normal</v>
          </cell>
          <cell r="M1790" t="str">
            <v>Fabrication Enterprises Inc,USA</v>
          </cell>
          <cell r="N1790" t="str">
            <v>RELIEF PAK</v>
          </cell>
          <cell r="O1790">
            <v>33909</v>
          </cell>
          <cell r="P1790" t="str">
            <v>RP6S0299</v>
          </cell>
          <cell r="Q1790" t="str">
            <v>Not Applicable</v>
          </cell>
          <cell r="R1790" t="str">
            <v>Fabrication Enterprises Inc,USA</v>
          </cell>
          <cell r="S1790" t="str">
            <v>Profile Technology Sdn Bhd</v>
          </cell>
          <cell r="T1790" t="str">
            <v>Functioning</v>
          </cell>
          <cell r="U1790" t="str">
            <v>Asset</v>
          </cell>
          <cell r="V1790">
            <v>4000</v>
          </cell>
          <cell r="W1790" t="str">
            <v>KEW</v>
          </cell>
          <cell r="X1790">
            <v>44644</v>
          </cell>
          <cell r="Y1790" t="str">
            <v>NA</v>
          </cell>
          <cell r="Z1790">
            <v>44748</v>
          </cell>
          <cell r="AA1790">
            <v>45112</v>
          </cell>
          <cell r="AB1790" t="str">
            <v>No</v>
          </cell>
          <cell r="AC1790">
            <v>44748</v>
          </cell>
          <cell r="AD1790" t="str">
            <v>Good</v>
          </cell>
          <cell r="AE1790" t="str">
            <v>V3 - Added Installed Facilities (New)</v>
          </cell>
          <cell r="AF1790">
            <v>45008</v>
          </cell>
          <cell r="AG1790" t="str">
            <v>NA</v>
          </cell>
          <cell r="AH1790" t="str">
            <v>PPM</v>
          </cell>
          <cell r="AI1790" t="str">
            <v>Not in contract</v>
          </cell>
          <cell r="AJ1790" t="str">
            <v>Strands V3 P1.23</v>
          </cell>
          <cell r="AK1790" t="str">
            <v>(PIC: INDIRA) [23/8/2023, Sharifah]: V3 P1.23, add KKM No.</v>
          </cell>
        </row>
        <row r="1791">
          <cell r="A1791" t="str">
            <v>IKN402130</v>
          </cell>
          <cell r="B1791">
            <v>1785</v>
          </cell>
          <cell r="C1791" t="str">
            <v>Institut Kanser Negara</v>
          </cell>
          <cell r="D1791" t="str">
            <v>KKM/IKN/H/22/41</v>
          </cell>
          <cell r="E1791" t="str">
            <v>18-618</v>
          </cell>
          <cell r="F1791" t="str">
            <v>ANALYZER,LABORATORY,BLOOD GAS/PH/ELECTROLYTE</v>
          </cell>
          <cell r="G1791" t="str">
            <v>LA</v>
          </cell>
          <cell r="H1791" t="str">
            <v>PATHOLOGY</v>
          </cell>
          <cell r="I1791" t="str">
            <v>04LA138</v>
          </cell>
          <cell r="J1791" t="str">
            <v>PRE-ANALYTICAL 2</v>
          </cell>
          <cell r="K1791" t="str">
            <v>BMED</v>
          </cell>
          <cell r="L1791" t="str">
            <v>Normal</v>
          </cell>
          <cell r="M1791" t="str">
            <v>INSTRUMENTATION LABORATORY,USA</v>
          </cell>
          <cell r="N1791" t="str">
            <v>GEM PREMEIER</v>
          </cell>
          <cell r="O1791">
            <v>3500</v>
          </cell>
          <cell r="P1791" t="str">
            <v>21076174</v>
          </cell>
          <cell r="Q1791" t="str">
            <v>Not Applicable</v>
          </cell>
          <cell r="R1791" t="str">
            <v>INSTRUMENTATION LABORATORY,USA</v>
          </cell>
          <cell r="S1791" t="str">
            <v>Straits Scientific (M) Sdn Bhd</v>
          </cell>
          <cell r="T1791" t="str">
            <v>Functioning</v>
          </cell>
          <cell r="U1791" t="str">
            <v>Asset</v>
          </cell>
          <cell r="V1791">
            <v>79500</v>
          </cell>
          <cell r="W1791" t="str">
            <v>KEW</v>
          </cell>
          <cell r="X1791">
            <v>44742</v>
          </cell>
          <cell r="Y1791" t="str">
            <v>KEW</v>
          </cell>
          <cell r="Z1791">
            <v>44767</v>
          </cell>
          <cell r="AA1791">
            <v>45497</v>
          </cell>
          <cell r="AB1791" t="str">
            <v>No</v>
          </cell>
          <cell r="AC1791">
            <v>44767</v>
          </cell>
          <cell r="AD1791" t="str">
            <v>Good</v>
          </cell>
          <cell r="AE1791" t="str">
            <v>V3 - Added Installed Facilities (New)</v>
          </cell>
          <cell r="AF1791">
            <v>45008</v>
          </cell>
          <cell r="AG1791" t="str">
            <v>NA</v>
          </cell>
          <cell r="AH1791" t="str">
            <v>PPM</v>
          </cell>
          <cell r="AI1791" t="str">
            <v>Not in contract</v>
          </cell>
          <cell r="AJ1791" t="str">
            <v>Strands V3 P1.23</v>
          </cell>
          <cell r="AK1791" t="str">
            <v>(PIC: INDIRA) [23/8/2023, Sharifah]: V3 P1.23, add KKM No.</v>
          </cell>
        </row>
        <row r="1792">
          <cell r="A1792" t="str">
            <v>IKN402131</v>
          </cell>
          <cell r="B1792">
            <v>1786</v>
          </cell>
          <cell r="C1792" t="str">
            <v>Institut Kanser Negara</v>
          </cell>
          <cell r="D1792" t="str">
            <v>KKM/IKN/H/22/89</v>
          </cell>
          <cell r="E1792" t="str">
            <v>13-461</v>
          </cell>
          <cell r="F1792" t="str">
            <v>Scales, Patient, Floor</v>
          </cell>
          <cell r="G1792" t="str">
            <v>ID</v>
          </cell>
          <cell r="H1792" t="str">
            <v>IMAGING DEPARTMENT</v>
          </cell>
          <cell r="I1792" t="str">
            <v>03ID107</v>
          </cell>
          <cell r="J1792" t="str">
            <v>RESUS EQ.BAY</v>
          </cell>
          <cell r="K1792" t="str">
            <v>BMED</v>
          </cell>
          <cell r="L1792" t="str">
            <v>Normal</v>
          </cell>
          <cell r="M1792" t="str">
            <v>CHINA</v>
          </cell>
          <cell r="N1792" t="str">
            <v>SECA</v>
          </cell>
          <cell r="O1792" t="str">
            <v>SECA 777</v>
          </cell>
          <cell r="P1792" t="str">
            <v>10000000939552</v>
          </cell>
          <cell r="Q1792" t="str">
            <v>Not Applicable</v>
          </cell>
          <cell r="R1792" t="str">
            <v>SECA GMBH &amp;CO</v>
          </cell>
          <cell r="S1792" t="str">
            <v>AUREUMAX MEDICARE MARKETING (M) SDN BHD</v>
          </cell>
          <cell r="T1792" t="str">
            <v>Functioning</v>
          </cell>
          <cell r="U1792" t="str">
            <v>ASSET</v>
          </cell>
          <cell r="V1792">
            <v>2900</v>
          </cell>
          <cell r="W1792" t="str">
            <v>KEW</v>
          </cell>
          <cell r="X1792">
            <v>44644</v>
          </cell>
          <cell r="Y1792" t="str">
            <v>KEW</v>
          </cell>
          <cell r="Z1792">
            <v>44778</v>
          </cell>
          <cell r="AA1792">
            <v>45142</v>
          </cell>
          <cell r="AB1792" t="str">
            <v>No</v>
          </cell>
          <cell r="AC1792">
            <v>44778</v>
          </cell>
          <cell r="AD1792" t="str">
            <v>GOOD</v>
          </cell>
          <cell r="AE1792" t="str">
            <v>V3 - Added Installed Facilities (New)</v>
          </cell>
          <cell r="AF1792">
            <v>45008</v>
          </cell>
          <cell r="AG1792" t="str">
            <v>NA</v>
          </cell>
          <cell r="AH1792" t="str">
            <v>PPM</v>
          </cell>
          <cell r="AI1792" t="str">
            <v>Not in contract</v>
          </cell>
          <cell r="AJ1792" t="str">
            <v>Strands V3 P1.23</v>
          </cell>
          <cell r="AK1792" t="str">
            <v>(PIC: ANIS, WEIGHTING SCALE) [23/8/2023, Sharifah]: V3 P1.23, add KKM No.</v>
          </cell>
        </row>
        <row r="1793">
          <cell r="A1793" t="str">
            <v>IKN402132</v>
          </cell>
          <cell r="B1793">
            <v>1787</v>
          </cell>
          <cell r="C1793" t="str">
            <v>Institut Kanser Negara</v>
          </cell>
          <cell r="D1793" t="str">
            <v>KKM/IKN/H/22/58</v>
          </cell>
          <cell r="E1793" t="str">
            <v>12-647</v>
          </cell>
          <cell r="F1793" t="str">
            <v>Physiologic Monitoring Systems, Acute Care</v>
          </cell>
          <cell r="G1793" t="str">
            <v>RT</v>
          </cell>
          <cell r="H1793" t="str">
            <v>RADIATION TREATMENT UNIT</v>
          </cell>
          <cell r="I1793" t="str">
            <v>01RT118</v>
          </cell>
          <cell r="J1793" t="str">
            <v>CT SIMULATOR 2</v>
          </cell>
          <cell r="K1793" t="str">
            <v>BMED</v>
          </cell>
          <cell r="L1793" t="str">
            <v>Normal</v>
          </cell>
          <cell r="M1793" t="str">
            <v>CHINA</v>
          </cell>
          <cell r="N1793" t="str">
            <v>COMEN</v>
          </cell>
          <cell r="O1793" t="str">
            <v>NC3</v>
          </cell>
          <cell r="P1793" t="str">
            <v>N 5211120008</v>
          </cell>
          <cell r="Q1793" t="str">
            <v>Not Applicable</v>
          </cell>
          <cell r="R1793" t="str">
            <v>CHINA</v>
          </cell>
          <cell r="S1793" t="str">
            <v>Biometrix Meditronixs Global</v>
          </cell>
          <cell r="T1793" t="str">
            <v>Functioning</v>
          </cell>
          <cell r="U1793" t="str">
            <v>ASSET</v>
          </cell>
          <cell r="V1793">
            <v>4500</v>
          </cell>
          <cell r="W1793" t="str">
            <v>KEW</v>
          </cell>
          <cell r="X1793">
            <v>44790</v>
          </cell>
          <cell r="Y1793" t="str">
            <v>KEW</v>
          </cell>
          <cell r="Z1793">
            <v>44797</v>
          </cell>
          <cell r="AA1793">
            <v>45162</v>
          </cell>
          <cell r="AB1793" t="str">
            <v>No</v>
          </cell>
          <cell r="AC1793">
            <v>44797</v>
          </cell>
          <cell r="AD1793" t="str">
            <v>GOOD</v>
          </cell>
          <cell r="AE1793" t="str">
            <v>V3 - Added Installed Facilities (New)</v>
          </cell>
          <cell r="AF1793">
            <v>45008</v>
          </cell>
          <cell r="AG1793" t="str">
            <v>NA</v>
          </cell>
          <cell r="AH1793" t="str">
            <v>PPM</v>
          </cell>
          <cell r="AI1793" t="str">
            <v>Not in contract</v>
          </cell>
          <cell r="AJ1793" t="str">
            <v>Strands V3 P1.23</v>
          </cell>
          <cell r="AK1793" t="str">
            <v>(PIC: SOLEHA, PATIENT MONITOR) [23/8/2023, Sharifah]: V3 P1.23, add KKM No.</v>
          </cell>
        </row>
        <row r="1794">
          <cell r="A1794" t="str">
            <v>IKN402133</v>
          </cell>
          <cell r="B1794">
            <v>1788</v>
          </cell>
          <cell r="C1794" t="str">
            <v>Institut Kanser Negara</v>
          </cell>
          <cell r="D1794" t="str">
            <v>KKM/IKN/H/22/69</v>
          </cell>
          <cell r="E1794" t="str">
            <v>18-034</v>
          </cell>
          <cell r="F1794" t="str">
            <v>Video Image Processors, Endoscopic</v>
          </cell>
          <cell r="G1794" t="str">
            <v>OT</v>
          </cell>
          <cell r="H1794" t="str">
            <v>OPERATION THEATRE</v>
          </cell>
          <cell r="I1794" t="str">
            <v>05OT167</v>
          </cell>
          <cell r="J1794" t="str">
            <v>OPERATION THEATRE</v>
          </cell>
          <cell r="K1794" t="str">
            <v>BMED</v>
          </cell>
          <cell r="L1794" t="str">
            <v>NORMAL</v>
          </cell>
          <cell r="M1794" t="str">
            <v>USA</v>
          </cell>
          <cell r="N1794" t="str">
            <v>STRYKER</v>
          </cell>
          <cell r="O1794" t="str">
            <v>SPY PHI</v>
          </cell>
          <cell r="P1794" t="str">
            <v>P121243409/HH21302259</v>
          </cell>
          <cell r="Q1794" t="str">
            <v>Not Applicable</v>
          </cell>
          <cell r="R1794" t="str">
            <v>STRYKER ENDSOCOPY USA</v>
          </cell>
          <cell r="S1794" t="str">
            <v>EASMED SDN BHD</v>
          </cell>
          <cell r="T1794" t="str">
            <v>FUNCTIONING</v>
          </cell>
          <cell r="U1794" t="str">
            <v>ASSET</v>
          </cell>
          <cell r="V1794">
            <v>139000</v>
          </cell>
          <cell r="W1794" t="str">
            <v>KEW</v>
          </cell>
          <cell r="X1794">
            <v>44811</v>
          </cell>
          <cell r="Y1794" t="str">
            <v>KEW</v>
          </cell>
          <cell r="Z1794">
            <v>44827</v>
          </cell>
          <cell r="AA1794">
            <v>45191</v>
          </cell>
          <cell r="AB1794" t="str">
            <v>No</v>
          </cell>
          <cell r="AC1794">
            <v>44827</v>
          </cell>
          <cell r="AD1794" t="str">
            <v>GOOD</v>
          </cell>
          <cell r="AE1794" t="str">
            <v>V3 - Added Installed Facilities (New)</v>
          </cell>
          <cell r="AF1794">
            <v>45008</v>
          </cell>
          <cell r="AG1794" t="str">
            <v>NA</v>
          </cell>
          <cell r="AH1794" t="str">
            <v>PPM</v>
          </cell>
          <cell r="AI1794" t="str">
            <v>Not in contract</v>
          </cell>
          <cell r="AJ1794" t="str">
            <v>Strands V3 P1.23</v>
          </cell>
          <cell r="AK1794" t="str">
            <v>(PIC: IMRAN, HANDHELD) [23/8/2023, Sharifah]: V3 P1.23</v>
          </cell>
        </row>
        <row r="1795">
          <cell r="A1795" t="str">
            <v>IKN402134</v>
          </cell>
          <cell r="B1795">
            <v>1789</v>
          </cell>
          <cell r="C1795" t="str">
            <v>Institut Kanser Negara</v>
          </cell>
          <cell r="D1795" t="str">
            <v>KKM/IKN/H/22/66</v>
          </cell>
          <cell r="E1795" t="str">
            <v>13-274</v>
          </cell>
          <cell r="F1795" t="str">
            <v>Recorders, Tape, Video</v>
          </cell>
          <cell r="G1795" t="str">
            <v>OT</v>
          </cell>
          <cell r="H1795" t="str">
            <v>OPERATION THEATRE</v>
          </cell>
          <cell r="I1795" t="str">
            <v>05OT167</v>
          </cell>
          <cell r="J1795" t="str">
            <v>OPERATION THEATRE</v>
          </cell>
          <cell r="K1795" t="str">
            <v>BMED</v>
          </cell>
          <cell r="L1795" t="str">
            <v>NORMAL</v>
          </cell>
          <cell r="M1795" t="str">
            <v>JAPAN</v>
          </cell>
          <cell r="N1795" t="str">
            <v>SDNV</v>
          </cell>
          <cell r="O1795" t="str">
            <v>HVO-550MD</v>
          </cell>
          <cell r="P1795" t="str">
            <v>120359</v>
          </cell>
          <cell r="Q1795" t="str">
            <v>Not Applicable</v>
          </cell>
          <cell r="R1795" t="str">
            <v>SONY VIDDEO RECORDER</v>
          </cell>
          <cell r="S1795" t="str">
            <v>EASMED SDN BHD</v>
          </cell>
          <cell r="T1795" t="str">
            <v>FUNCTIONING</v>
          </cell>
          <cell r="U1795" t="str">
            <v>ASSET</v>
          </cell>
          <cell r="V1795">
            <v>16000</v>
          </cell>
          <cell r="W1795" t="str">
            <v>KEW</v>
          </cell>
          <cell r="X1795">
            <v>44811</v>
          </cell>
          <cell r="Y1795" t="str">
            <v>KEW</v>
          </cell>
          <cell r="Z1795">
            <v>44827</v>
          </cell>
          <cell r="AA1795">
            <v>45191</v>
          </cell>
          <cell r="AB1795" t="str">
            <v>No</v>
          </cell>
          <cell r="AC1795">
            <v>44827</v>
          </cell>
          <cell r="AD1795" t="str">
            <v>GOOD</v>
          </cell>
          <cell r="AE1795" t="str">
            <v>V3 - Added Installed Facilities (New)</v>
          </cell>
          <cell r="AF1795">
            <v>45008</v>
          </cell>
          <cell r="AG1795" t="str">
            <v>NA</v>
          </cell>
          <cell r="AH1795" t="str">
            <v>PPM</v>
          </cell>
          <cell r="AI1795" t="str">
            <v>Not in contract</v>
          </cell>
          <cell r="AJ1795" t="str">
            <v>Strands V3 P1.23</v>
          </cell>
          <cell r="AK1795" t="str">
            <v>(PIC: IMRAN, HANDHELD) [23/8/2023, Sharifah]: V3 P1.23</v>
          </cell>
        </row>
        <row r="1796">
          <cell r="A1796" t="str">
            <v>IKN402135</v>
          </cell>
          <cell r="B1796">
            <v>1790</v>
          </cell>
          <cell r="C1796" t="str">
            <v>Institut Kanser Negara</v>
          </cell>
          <cell r="D1796" t="str">
            <v>KKM/IKN/H/22/67</v>
          </cell>
          <cell r="E1796" t="str">
            <v>16-603</v>
          </cell>
          <cell r="F1796" t="str">
            <v>Television, Monitors</v>
          </cell>
          <cell r="G1796" t="str">
            <v>OT</v>
          </cell>
          <cell r="H1796" t="str">
            <v>OPERATION THEATRE</v>
          </cell>
          <cell r="I1796" t="str">
            <v>05OT167</v>
          </cell>
          <cell r="J1796" t="str">
            <v>OPERATION THEATRE</v>
          </cell>
          <cell r="K1796" t="str">
            <v>BMED</v>
          </cell>
          <cell r="L1796" t="str">
            <v>NORMAL</v>
          </cell>
          <cell r="M1796" t="str">
            <v>KOREA</v>
          </cell>
          <cell r="N1796" t="str">
            <v>STRYKER</v>
          </cell>
          <cell r="O1796" t="str">
            <v>32 IN 4K MONITOR</v>
          </cell>
          <cell r="P1796" t="str">
            <v>SV7321G0237</v>
          </cell>
          <cell r="Q1796" t="str">
            <v>Not Applicable</v>
          </cell>
          <cell r="R1796" t="str">
            <v>STRYKER ENDSOCOPY USA</v>
          </cell>
          <cell r="S1796" t="str">
            <v>EASMED SDN BHD</v>
          </cell>
          <cell r="T1796" t="str">
            <v>FUNCTIONING</v>
          </cell>
          <cell r="U1796" t="str">
            <v>ASSET</v>
          </cell>
          <cell r="V1796">
            <v>46500</v>
          </cell>
          <cell r="W1796" t="str">
            <v>KEW</v>
          </cell>
          <cell r="X1796">
            <v>44811</v>
          </cell>
          <cell r="Y1796" t="str">
            <v>KEW</v>
          </cell>
          <cell r="Z1796">
            <v>44827</v>
          </cell>
          <cell r="AA1796">
            <v>45191</v>
          </cell>
          <cell r="AB1796" t="str">
            <v>No</v>
          </cell>
          <cell r="AC1796">
            <v>44827</v>
          </cell>
          <cell r="AD1796" t="str">
            <v>GOOD</v>
          </cell>
          <cell r="AE1796" t="str">
            <v>V3 - Added Installed Facilities (New)</v>
          </cell>
          <cell r="AF1796">
            <v>45008</v>
          </cell>
          <cell r="AG1796" t="str">
            <v>NA</v>
          </cell>
          <cell r="AH1796" t="str">
            <v>PPM</v>
          </cell>
          <cell r="AI1796" t="str">
            <v>Not in contract</v>
          </cell>
          <cell r="AJ1796" t="str">
            <v>Strands V3 P1.23</v>
          </cell>
          <cell r="AK1796" t="str">
            <v>(PIC: IMRAN, HANDHELD) [23/8/2023, Sharifah]: V3 P1.23</v>
          </cell>
        </row>
        <row r="1797">
          <cell r="A1797" t="str">
            <v>IKN402136</v>
          </cell>
          <cell r="B1797">
            <v>1791</v>
          </cell>
          <cell r="C1797" t="str">
            <v>Institut Kanser Negara</v>
          </cell>
          <cell r="D1797" t="str">
            <v>KKM/IKN/H/22/90</v>
          </cell>
          <cell r="E1797" t="str">
            <v>13-215</v>
          </cell>
          <cell r="F1797" t="str">
            <v>Infusion Pumps, General-Purpose</v>
          </cell>
          <cell r="G1797" t="str">
            <v>WA</v>
          </cell>
          <cell r="H1797" t="str">
            <v>NUCLEAR MED WARD (THERAPY)</v>
          </cell>
          <cell r="I1797" t="str">
            <v>03WA107</v>
          </cell>
          <cell r="J1797" t="str">
            <v>NUCLEAR MED WARD (THERAPY)</v>
          </cell>
          <cell r="K1797" t="str">
            <v>BMED</v>
          </cell>
          <cell r="L1797" t="str">
            <v>NORMAL</v>
          </cell>
          <cell r="M1797" t="str">
            <v>GERMANY</v>
          </cell>
          <cell r="N1797" t="str">
            <v>INFUSOMAT</v>
          </cell>
          <cell r="O1797" t="str">
            <v>INFUSOMAT SPACE</v>
          </cell>
          <cell r="P1797" t="str">
            <v>863127</v>
          </cell>
          <cell r="Q1797" t="str">
            <v>Not Applicable</v>
          </cell>
          <cell r="R1797" t="str">
            <v>BBRAUN MELSUNGEN AG</v>
          </cell>
          <cell r="S1797" t="str">
            <v>Bbraun Medical Supplies Sdn Bhd</v>
          </cell>
          <cell r="T1797" t="str">
            <v>FUNCTIONING</v>
          </cell>
          <cell r="U1797" t="str">
            <v>Asset</v>
          </cell>
          <cell r="V1797">
            <v>6000</v>
          </cell>
          <cell r="W1797" t="str">
            <v>KEW</v>
          </cell>
          <cell r="X1797">
            <v>44818</v>
          </cell>
          <cell r="Y1797" t="str">
            <v>KEW</v>
          </cell>
          <cell r="Z1797">
            <v>44832</v>
          </cell>
          <cell r="AA1797">
            <v>45563</v>
          </cell>
          <cell r="AB1797" t="str">
            <v>YES</v>
          </cell>
          <cell r="AC1797">
            <v>44832</v>
          </cell>
          <cell r="AD1797" t="str">
            <v>Good</v>
          </cell>
          <cell r="AE1797" t="str">
            <v>V3 - Added Installed Facilities (New)</v>
          </cell>
          <cell r="AF1797">
            <v>45008</v>
          </cell>
          <cell r="AG1797" t="str">
            <v>NA</v>
          </cell>
          <cell r="AH1797" t="str">
            <v>PPM</v>
          </cell>
          <cell r="AI1797" t="str">
            <v>Not in contract</v>
          </cell>
          <cell r="AJ1797" t="str">
            <v>Strands V3 P1.23</v>
          </cell>
          <cell r="AK1797" t="str">
            <v>(PIC: IMRAN, INFUSION PUMP) [23/8/2023, Sharifah]: V3 P1.23, add KKM No.</v>
          </cell>
        </row>
        <row r="1798">
          <cell r="A1798" t="str">
            <v>IKN402137</v>
          </cell>
          <cell r="B1798">
            <v>1792</v>
          </cell>
          <cell r="C1798" t="str">
            <v>Institut Kanser Negara</v>
          </cell>
          <cell r="D1798" t="str">
            <v>KKM/IKN/H/22/63</v>
          </cell>
          <cell r="E1798" t="str">
            <v>15-748</v>
          </cell>
          <cell r="F1798" t="str">
            <v>Cameras, Endoscopic</v>
          </cell>
          <cell r="G1798" t="str">
            <v>OT</v>
          </cell>
          <cell r="H1798" t="str">
            <v>OPERATING THEATRE</v>
          </cell>
          <cell r="I1798" t="str">
            <v>OT</v>
          </cell>
          <cell r="J1798" t="str">
            <v>OPERATION THEATRE</v>
          </cell>
          <cell r="K1798" t="str">
            <v>BMED</v>
          </cell>
          <cell r="L1798" t="str">
            <v>Normal</v>
          </cell>
          <cell r="M1798" t="str">
            <v>Germany</v>
          </cell>
          <cell r="N1798" t="str">
            <v>KARL STORZ</v>
          </cell>
          <cell r="O1798" t="str">
            <v>TH100</v>
          </cell>
          <cell r="P1798" t="str">
            <v>0N051370-K</v>
          </cell>
          <cell r="Q1798" t="str">
            <v>Not Applicable</v>
          </cell>
          <cell r="R1798" t="str">
            <v>BBRAUN MELSUNGEN AG</v>
          </cell>
          <cell r="S1798" t="str">
            <v>UMMI Surgical Sdn Bhd</v>
          </cell>
          <cell r="T1798" t="str">
            <v>FUNCTIONING</v>
          </cell>
          <cell r="U1798" t="str">
            <v>Asset</v>
          </cell>
          <cell r="V1798">
            <v>106500</v>
          </cell>
          <cell r="W1798" t="str">
            <v>KEW</v>
          </cell>
          <cell r="X1798">
            <v>44833</v>
          </cell>
          <cell r="Y1798" t="str">
            <v>KEW</v>
          </cell>
          <cell r="Z1798">
            <v>44833</v>
          </cell>
          <cell r="AA1798">
            <v>45197</v>
          </cell>
          <cell r="AB1798" t="str">
            <v>NO</v>
          </cell>
          <cell r="AC1798">
            <v>44833</v>
          </cell>
          <cell r="AD1798" t="str">
            <v>GOOD</v>
          </cell>
          <cell r="AE1798" t="str">
            <v>V3 - Added Installed Facilities (New)</v>
          </cell>
          <cell r="AF1798">
            <v>45008</v>
          </cell>
          <cell r="AG1798" t="str">
            <v>NA</v>
          </cell>
          <cell r="AH1798" t="str">
            <v>PPM</v>
          </cell>
          <cell r="AI1798" t="str">
            <v>Not in contract</v>
          </cell>
          <cell r="AJ1798" t="str">
            <v>Strands V3 P1.23</v>
          </cell>
          <cell r="AK1798" t="str">
            <v>(PIC: IMRAN) [23/8/2023, Sharifah]: V3 P1.23, add KKM No.</v>
          </cell>
        </row>
        <row r="1799">
          <cell r="A1799" t="str">
            <v>IKN402138</v>
          </cell>
          <cell r="B1799">
            <v>1793</v>
          </cell>
          <cell r="C1799" t="str">
            <v>Institut Kanser Negara</v>
          </cell>
          <cell r="D1799" t="str">
            <v>KKM/IKN/H/22/43</v>
          </cell>
          <cell r="E1799" t="str">
            <v>16-930</v>
          </cell>
          <cell r="F1799" t="str">
            <v>Calibrators, Mass Spectrometer</v>
          </cell>
          <cell r="G1799" t="str">
            <v>NM</v>
          </cell>
          <cell r="H1799" t="str">
            <v>NUCLEAR MED</v>
          </cell>
          <cell r="I1799" t="str">
            <v>03NM139</v>
          </cell>
          <cell r="J1799" t="str">
            <v>NUCLEAR MED</v>
          </cell>
          <cell r="K1799" t="str">
            <v>BMED</v>
          </cell>
          <cell r="L1799" t="str">
            <v>Normal</v>
          </cell>
          <cell r="M1799" t="str">
            <v>USA</v>
          </cell>
          <cell r="N1799" t="str">
            <v>LAB LOGIC</v>
          </cell>
          <cell r="O1799" t="str">
            <v>SCAN-RAM</v>
          </cell>
          <cell r="P1799" t="str">
            <v>SR1A/1121/828</v>
          </cell>
          <cell r="Q1799" t="str">
            <v>Not Applicable</v>
          </cell>
          <cell r="R1799" t="str">
            <v>LAB LOGIC</v>
          </cell>
          <cell r="S1799" t="str">
            <v>SPD SCIENTIFIC M SDN BHD</v>
          </cell>
          <cell r="T1799" t="str">
            <v>FUNCTIONING</v>
          </cell>
          <cell r="U1799" t="str">
            <v>Asset</v>
          </cell>
          <cell r="V1799">
            <v>79310.75</v>
          </cell>
          <cell r="W1799" t="str">
            <v>KEW</v>
          </cell>
          <cell r="X1799" t="str">
            <v>NA</v>
          </cell>
          <cell r="Y1799" t="str">
            <v>KEW</v>
          </cell>
          <cell r="Z1799">
            <v>44774</v>
          </cell>
          <cell r="AA1799">
            <v>45138</v>
          </cell>
          <cell r="AB1799" t="str">
            <v>No</v>
          </cell>
          <cell r="AC1799">
            <v>44776</v>
          </cell>
          <cell r="AD1799" t="str">
            <v>GOOD</v>
          </cell>
          <cell r="AE1799" t="str">
            <v>V3 - Added Installed Facilities (New)</v>
          </cell>
          <cell r="AF1799">
            <v>45008</v>
          </cell>
          <cell r="AG1799" t="str">
            <v>NA</v>
          </cell>
          <cell r="AH1799" t="str">
            <v>PPM</v>
          </cell>
          <cell r="AI1799" t="str">
            <v>Not in contract</v>
          </cell>
          <cell r="AJ1799" t="str">
            <v>Strands V3 P1.23</v>
          </cell>
          <cell r="AK1799" t="str">
            <v>Unit donated by IAEA. (PIC: LABLOGIC SCAN-RAM RADIO -TLC SCAM) [23/8/2023, Sharifah]: V3 P1.23, add KKM No.</v>
          </cell>
        </row>
        <row r="1800">
          <cell r="A1800" t="str">
            <v>IKN402140</v>
          </cell>
          <cell r="B1800">
            <v>1795</v>
          </cell>
          <cell r="C1800" t="str">
            <v>Institut Kanser Negara</v>
          </cell>
          <cell r="D1800" t="str">
            <v>KKM/IKN/H/22/57</v>
          </cell>
          <cell r="E1800" t="str">
            <v>12-647</v>
          </cell>
          <cell r="F1800" t="str">
            <v>Physiologic Monitoring Systems, Acute Care</v>
          </cell>
          <cell r="G1800" t="str">
            <v>RT</v>
          </cell>
          <cell r="H1800" t="str">
            <v>RADIATION TREATMENT UNIT</v>
          </cell>
          <cell r="I1800" t="str">
            <v>01RT176</v>
          </cell>
          <cell r="K1800" t="str">
            <v>BMED</v>
          </cell>
          <cell r="L1800" t="str">
            <v>NORMAL</v>
          </cell>
          <cell r="M1800" t="str">
            <v>GERMANY</v>
          </cell>
          <cell r="N1800" t="str">
            <v>COMEN</v>
          </cell>
          <cell r="O1800" t="str">
            <v>NC3</v>
          </cell>
          <cell r="P1800" t="str">
            <v>N 5211118002</v>
          </cell>
          <cell r="Q1800" t="str">
            <v>Not Available</v>
          </cell>
          <cell r="R1800" t="str">
            <v>Comen</v>
          </cell>
          <cell r="S1800" t="str">
            <v>Biometrix Meditronixs Global</v>
          </cell>
          <cell r="T1800" t="str">
            <v>Functioning</v>
          </cell>
          <cell r="U1800" t="str">
            <v>Asset</v>
          </cell>
          <cell r="V1800">
            <v>4500</v>
          </cell>
          <cell r="W1800" t="str">
            <v>KEW</v>
          </cell>
          <cell r="X1800">
            <v>44831</v>
          </cell>
          <cell r="Y1800" t="str">
            <v>KEW</v>
          </cell>
          <cell r="Z1800">
            <v>44839</v>
          </cell>
          <cell r="AA1800">
            <v>45203</v>
          </cell>
          <cell r="AB1800" t="str">
            <v>NO</v>
          </cell>
          <cell r="AC1800">
            <v>44839</v>
          </cell>
          <cell r="AD1800" t="str">
            <v>Good</v>
          </cell>
          <cell r="AE1800" t="str">
            <v>V3 - Added Installed Facilities (New)</v>
          </cell>
          <cell r="AF1800">
            <v>45008</v>
          </cell>
          <cell r="AG1800" t="str">
            <v>NA</v>
          </cell>
          <cell r="AH1800" t="str">
            <v>PPM</v>
          </cell>
          <cell r="AI1800" t="str">
            <v>Not in contract</v>
          </cell>
          <cell r="AJ1800" t="str">
            <v>Strands V3 P1.23</v>
          </cell>
          <cell r="AK1800" t="str">
            <v>(PIC: SOLEHA, VITAL SIGN) [23/8/2023, Sharifah]: V3 P1.23, add KKM No.</v>
          </cell>
        </row>
        <row r="1801">
          <cell r="A1801" t="str">
            <v>IKN402141</v>
          </cell>
          <cell r="B1801">
            <v>1796</v>
          </cell>
          <cell r="C1801" t="str">
            <v>Institut Kanser Negara</v>
          </cell>
          <cell r="D1801" t="str">
            <v>KKM/IKN/H/22/91</v>
          </cell>
          <cell r="E1801" t="str">
            <v>13-275</v>
          </cell>
          <cell r="F1801" t="str">
            <v>Calibrators, Radioisotope</v>
          </cell>
          <cell r="G1801" t="str">
            <v>NM</v>
          </cell>
          <cell r="H1801" t="str">
            <v>NUCLEAR MED</v>
          </cell>
          <cell r="I1801" t="str">
            <v>NM153</v>
          </cell>
          <cell r="J1801" t="str">
            <v>NUCLEAR MED</v>
          </cell>
          <cell r="K1801" t="str">
            <v>BMED</v>
          </cell>
          <cell r="L1801" t="str">
            <v>NORMAL</v>
          </cell>
          <cell r="M1801" t="str">
            <v>USA</v>
          </cell>
          <cell r="N1801" t="str">
            <v>CAPINTEX</v>
          </cell>
          <cell r="O1801" t="str">
            <v>CRC55TR</v>
          </cell>
          <cell r="P1801" t="str">
            <v>555358H</v>
          </cell>
          <cell r="Q1801" t="str">
            <v>Not Available</v>
          </cell>
          <cell r="R1801" t="str">
            <v>USA,CAPINTEX</v>
          </cell>
          <cell r="S1801" t="str">
            <v>H&amp;A MEDICAL SUPPLY SDN BHD</v>
          </cell>
          <cell r="T1801" t="str">
            <v>Functioning</v>
          </cell>
          <cell r="U1801" t="str">
            <v>Asset</v>
          </cell>
          <cell r="V1801">
            <v>58988</v>
          </cell>
          <cell r="W1801" t="str">
            <v>KEW</v>
          </cell>
          <cell r="X1801">
            <v>44847</v>
          </cell>
          <cell r="Y1801" t="str">
            <v>KEW</v>
          </cell>
          <cell r="Z1801">
            <v>44847</v>
          </cell>
          <cell r="AA1801">
            <v>45577</v>
          </cell>
          <cell r="AB1801" t="str">
            <v>YES</v>
          </cell>
          <cell r="AC1801">
            <v>44847</v>
          </cell>
          <cell r="AD1801" t="str">
            <v>GOOD</v>
          </cell>
          <cell r="AE1801" t="str">
            <v>V3 - Added Installed Facilities (New)</v>
          </cell>
          <cell r="AF1801">
            <v>45008</v>
          </cell>
          <cell r="AG1801" t="str">
            <v>NA</v>
          </cell>
          <cell r="AH1801" t="str">
            <v>PPM</v>
          </cell>
          <cell r="AI1801" t="str">
            <v>Not in contract</v>
          </cell>
          <cell r="AJ1801" t="str">
            <v>Strands V3 P1.23</v>
          </cell>
          <cell r="AK1801" t="str">
            <v>(DOSE CALIBRATOR) [23/8/2023, Sharifah]: V3 P1.23, add KKM No. [20/8/2024, Anis]: Calibration 2023 not done, 2024 done. Pending one more calibration 2025.</v>
          </cell>
        </row>
        <row r="1802">
          <cell r="A1802" t="str">
            <v>IKN402142</v>
          </cell>
          <cell r="B1802">
            <v>1797</v>
          </cell>
          <cell r="C1802" t="str">
            <v>Institut Kanser Negara</v>
          </cell>
          <cell r="D1802" t="str">
            <v>KKM/IKN/H/22/83</v>
          </cell>
          <cell r="E1802" t="str">
            <v>13-275</v>
          </cell>
          <cell r="F1802" t="str">
            <v>Calibrators, Radioisotope</v>
          </cell>
          <cell r="G1802" t="str">
            <v>PET-CT</v>
          </cell>
          <cell r="H1802" t="str">
            <v>NUCLEAR MED</v>
          </cell>
          <cell r="I1802" t="str">
            <v>PET-CT</v>
          </cell>
          <cell r="J1802" t="str">
            <v>PET CT, HPJ</v>
          </cell>
          <cell r="K1802" t="str">
            <v>BMED</v>
          </cell>
          <cell r="L1802" t="str">
            <v>NORMAL</v>
          </cell>
          <cell r="M1802" t="str">
            <v>USA</v>
          </cell>
          <cell r="N1802" t="str">
            <v>CAPINTEX</v>
          </cell>
          <cell r="O1802" t="str">
            <v>5130-3235</v>
          </cell>
          <cell r="P1802" t="str">
            <v>571073H</v>
          </cell>
          <cell r="Q1802" t="str">
            <v>Not Available</v>
          </cell>
          <cell r="R1802" t="str">
            <v>USA,CAPINTEX</v>
          </cell>
          <cell r="S1802" t="str">
            <v>H&amp;A MEDICAL SUPPLY SDN BHD</v>
          </cell>
          <cell r="T1802" t="str">
            <v>Functioning</v>
          </cell>
          <cell r="U1802" t="str">
            <v>Asset</v>
          </cell>
          <cell r="V1802">
            <v>90188</v>
          </cell>
          <cell r="W1802" t="str">
            <v>KEW</v>
          </cell>
          <cell r="X1802">
            <v>44859</v>
          </cell>
          <cell r="Y1802" t="str">
            <v>KEW</v>
          </cell>
          <cell r="Z1802">
            <v>44859</v>
          </cell>
          <cell r="AA1802">
            <v>45589</v>
          </cell>
          <cell r="AB1802" t="str">
            <v>YES</v>
          </cell>
          <cell r="AC1802">
            <v>44859</v>
          </cell>
          <cell r="AD1802" t="str">
            <v>GOOD</v>
          </cell>
          <cell r="AE1802" t="str">
            <v>V3 - Added Installed Facilities (New)</v>
          </cell>
          <cell r="AF1802">
            <v>45008</v>
          </cell>
          <cell r="AG1802" t="str">
            <v>NA</v>
          </cell>
          <cell r="AH1802" t="str">
            <v>PPM</v>
          </cell>
          <cell r="AI1802" t="str">
            <v>Not in contract</v>
          </cell>
          <cell r="AJ1802" t="str">
            <v>Strands V3 P1.23</v>
          </cell>
          <cell r="AK1802" t="str">
            <v>(DOSE CALIBRATOR) [23/8/2023, Sharifah]: V3 P1.23, add KKM No. [20/8/2024, Anis]: Calibration 2023 not done, 2024 done. Pending one more calibration 2025.</v>
          </cell>
        </row>
        <row r="1803">
          <cell r="A1803" t="str">
            <v>IKN402142</v>
          </cell>
          <cell r="B1803" t="str">
            <v>NA</v>
          </cell>
          <cell r="C1803" t="str">
            <v>Calibrators, Radioisotope</v>
          </cell>
          <cell r="D1803" t="str">
            <v>PET-CT</v>
          </cell>
          <cell r="E1803" t="str">
            <v>5130-3235</v>
          </cell>
          <cell r="F1803" t="str">
            <v>571073H</v>
          </cell>
          <cell r="G1803" t="str">
            <v>Functioning</v>
          </cell>
          <cell r="P1803" t="str">
            <v>571073H</v>
          </cell>
          <cell r="Q1803" t="str">
            <v>Functioning</v>
          </cell>
          <cell r="T1803" t="str">
            <v>Functioning</v>
          </cell>
          <cell r="V1803">
            <v>90188</v>
          </cell>
          <cell r="Y1803" t="str">
            <v>KEW</v>
          </cell>
          <cell r="AH1803" t="str">
            <v>PPM</v>
          </cell>
          <cell r="AI1803" t="str">
            <v>PROPOSE P2.23</v>
          </cell>
        </row>
        <row r="1804">
          <cell r="A1804" t="str">
            <v>IKN402143</v>
          </cell>
          <cell r="B1804">
            <v>1798</v>
          </cell>
          <cell r="C1804" t="str">
            <v>Institut Kanser Negara</v>
          </cell>
          <cell r="D1804" t="str">
            <v>KKM/IKN/H/22/96</v>
          </cell>
          <cell r="E1804" t="str">
            <v>16-439</v>
          </cell>
          <cell r="F1804" t="str">
            <v>Microscopes, Light, Laboratory, Fluorescence</v>
          </cell>
          <cell r="G1804" t="str">
            <v>LA</v>
          </cell>
          <cell r="H1804" t="str">
            <v>PATHOLOGY</v>
          </cell>
          <cell r="I1804" t="str">
            <v>04LA127</v>
          </cell>
          <cell r="J1804" t="str">
            <v>PATHOLOGY</v>
          </cell>
          <cell r="K1804" t="str">
            <v>BMED</v>
          </cell>
          <cell r="L1804" t="str">
            <v>NORMAL</v>
          </cell>
          <cell r="M1804" t="str">
            <v>JAPAN</v>
          </cell>
          <cell r="N1804" t="str">
            <v>OLYMPUS</v>
          </cell>
          <cell r="O1804" t="str">
            <v>CX43RF</v>
          </cell>
          <cell r="P1804" t="str">
            <v>2F45731</v>
          </cell>
          <cell r="Q1804" t="str">
            <v>Not Available</v>
          </cell>
          <cell r="R1804" t="str">
            <v>EVIDENT CORPORATION NAGARA</v>
          </cell>
          <cell r="S1804" t="str">
            <v>Matrix Optics (M) Sdn Bhd</v>
          </cell>
          <cell r="T1804" t="str">
            <v>Functioning</v>
          </cell>
          <cell r="U1804" t="str">
            <v>ASSET</v>
          </cell>
          <cell r="V1804">
            <v>19500</v>
          </cell>
          <cell r="W1804" t="str">
            <v>KEW</v>
          </cell>
          <cell r="X1804">
            <v>44831</v>
          </cell>
          <cell r="Y1804" t="str">
            <v>KEW</v>
          </cell>
          <cell r="Z1804">
            <v>44865</v>
          </cell>
          <cell r="AA1804">
            <v>45230</v>
          </cell>
          <cell r="AB1804" t="str">
            <v>NO</v>
          </cell>
          <cell r="AC1804">
            <v>44860</v>
          </cell>
          <cell r="AD1804" t="str">
            <v>GOOD</v>
          </cell>
          <cell r="AE1804" t="str">
            <v>V3 - Added Installed Facilities (New)</v>
          </cell>
          <cell r="AF1804">
            <v>45008</v>
          </cell>
          <cell r="AG1804" t="str">
            <v>NA</v>
          </cell>
          <cell r="AH1804" t="str">
            <v>PPM</v>
          </cell>
          <cell r="AI1804" t="str">
            <v>Not in contract</v>
          </cell>
          <cell r="AJ1804" t="str">
            <v>Strands V3 P1.23</v>
          </cell>
          <cell r="AK1804" t="str">
            <v>(MICROSCOPE) [23/8/2023, Sharifah]: V3 P1.23, add KKM No.</v>
          </cell>
        </row>
        <row r="1805">
          <cell r="A1805" t="str">
            <v>IKN402144</v>
          </cell>
          <cell r="B1805">
            <v>1799</v>
          </cell>
          <cell r="C1805" t="str">
            <v>Institut Kanser Negara</v>
          </cell>
          <cell r="D1805" t="str">
            <v>KKM/IKN/H/22/95</v>
          </cell>
          <cell r="E1805" t="str">
            <v>15-156</v>
          </cell>
          <cell r="F1805" t="str">
            <v>Microscopes, Light, Laboratory</v>
          </cell>
          <cell r="G1805" t="str">
            <v>LA</v>
          </cell>
          <cell r="H1805" t="str">
            <v>PATHOLOGY</v>
          </cell>
          <cell r="I1805" t="str">
            <v>04LA127</v>
          </cell>
          <cell r="J1805" t="str">
            <v>PATHOLOGY</v>
          </cell>
          <cell r="K1805" t="str">
            <v>BMED</v>
          </cell>
          <cell r="L1805" t="str">
            <v>NORMAL</v>
          </cell>
          <cell r="M1805" t="str">
            <v>JAPAN</v>
          </cell>
          <cell r="N1805" t="str">
            <v>OLYMPUS</v>
          </cell>
          <cell r="O1805" t="str">
            <v>CX33RTFS2</v>
          </cell>
          <cell r="P1805" t="str">
            <v>2E51049</v>
          </cell>
          <cell r="Q1805" t="str">
            <v>Not Available</v>
          </cell>
          <cell r="R1805" t="str">
            <v>EVIDENT CORPORATION NAGARA</v>
          </cell>
          <cell r="S1805" t="str">
            <v>Matrix Optics (M) Sdn Bhd</v>
          </cell>
          <cell r="T1805" t="str">
            <v>Functioning</v>
          </cell>
          <cell r="U1805" t="str">
            <v>ASSET</v>
          </cell>
          <cell r="V1805">
            <v>8000</v>
          </cell>
          <cell r="W1805" t="str">
            <v>KEW</v>
          </cell>
          <cell r="X1805">
            <v>44831</v>
          </cell>
          <cell r="Y1805" t="str">
            <v>KEW</v>
          </cell>
          <cell r="Z1805">
            <v>44865</v>
          </cell>
          <cell r="AA1805">
            <v>45230</v>
          </cell>
          <cell r="AB1805" t="str">
            <v>NO</v>
          </cell>
          <cell r="AC1805">
            <v>44860</v>
          </cell>
          <cell r="AD1805" t="str">
            <v>GOOD</v>
          </cell>
          <cell r="AE1805" t="str">
            <v>V3 - Added Installed Facilities (New)</v>
          </cell>
          <cell r="AF1805">
            <v>45008</v>
          </cell>
          <cell r="AG1805" t="str">
            <v>NA</v>
          </cell>
          <cell r="AH1805" t="str">
            <v>PPM</v>
          </cell>
          <cell r="AI1805" t="str">
            <v>Not in contract</v>
          </cell>
          <cell r="AJ1805" t="str">
            <v>Strands V3 P1.23</v>
          </cell>
          <cell r="AK1805" t="str">
            <v>(MICROSCOPE) [23/8/2023, Sharifah]: V3 P1.23, add KKM No.</v>
          </cell>
        </row>
        <row r="1806">
          <cell r="A1806" t="str">
            <v>IKN402145</v>
          </cell>
          <cell r="B1806">
            <v>1800</v>
          </cell>
          <cell r="C1806" t="str">
            <v>Institut Kanser Negara</v>
          </cell>
          <cell r="D1806" t="str">
            <v>KKM/IKN/H/22/92</v>
          </cell>
          <cell r="E1806" t="str">
            <v>15-976</v>
          </cell>
          <cell r="F1806" t="str">
            <v>Scanning Systems, Ultrasonic, General-Purpose</v>
          </cell>
          <cell r="G1806" t="str">
            <v>WC</v>
          </cell>
          <cell r="H1806" t="str">
            <v>SURGICAL ONCO FEMALE WARD</v>
          </cell>
          <cell r="I1806" t="str">
            <v>06WC143</v>
          </cell>
          <cell r="J1806" t="str">
            <v>NURSE STATION</v>
          </cell>
          <cell r="K1806" t="str">
            <v>BMED</v>
          </cell>
          <cell r="L1806" t="str">
            <v>NORMAL</v>
          </cell>
          <cell r="M1806" t="str">
            <v>NA</v>
          </cell>
          <cell r="N1806" t="str">
            <v>MINDRAY</v>
          </cell>
          <cell r="O1806" t="str">
            <v>DC-4DHD</v>
          </cell>
          <cell r="P1806" t="str">
            <v>CT7-26005747</v>
          </cell>
          <cell r="Q1806" t="str">
            <v>Not Available</v>
          </cell>
          <cell r="R1806" t="str">
            <v>SHENZEN MINDRAY BIO-MEDICAL</v>
          </cell>
          <cell r="S1806" t="str">
            <v>Mediliance (M) Sdn. Bhd.</v>
          </cell>
          <cell r="T1806" t="str">
            <v>Functioning</v>
          </cell>
          <cell r="U1806" t="str">
            <v>Asset</v>
          </cell>
          <cell r="V1806">
            <v>68500</v>
          </cell>
          <cell r="W1806" t="str">
            <v>KEW</v>
          </cell>
          <cell r="X1806">
            <v>44869</v>
          </cell>
          <cell r="Y1806" t="str">
            <v>KEW</v>
          </cell>
          <cell r="Z1806">
            <v>44880</v>
          </cell>
          <cell r="AA1806">
            <v>45975</v>
          </cell>
          <cell r="AB1806" t="str">
            <v>YES</v>
          </cell>
          <cell r="AC1806">
            <v>44880</v>
          </cell>
          <cell r="AD1806" t="str">
            <v>Good</v>
          </cell>
          <cell r="AE1806" t="str">
            <v>V3 - Added Installed Facilities (New)</v>
          </cell>
          <cell r="AF1806">
            <v>45008</v>
          </cell>
          <cell r="AG1806" t="str">
            <v>NA</v>
          </cell>
          <cell r="AH1806" t="str">
            <v>PPM</v>
          </cell>
          <cell r="AI1806" t="str">
            <v>Not in contract</v>
          </cell>
          <cell r="AJ1806" t="str">
            <v>Strands V3 P1.23</v>
          </cell>
          <cell r="AK1806" t="str">
            <v>[23/8/2023, Sharifah]: V3 P1.23, add KKM No.</v>
          </cell>
        </row>
        <row r="1807">
          <cell r="A1807" t="str">
            <v>IKN402146</v>
          </cell>
          <cell r="B1807">
            <v>1801</v>
          </cell>
          <cell r="C1807" t="str">
            <v>Institut Kanser Negara</v>
          </cell>
          <cell r="D1807" t="str">
            <v>KKM/IKN/H/22/97</v>
          </cell>
          <cell r="E1807" t="str">
            <v>12-647</v>
          </cell>
          <cell r="F1807" t="str">
            <v>Physiologic Monitoring Systems, Acute Care</v>
          </cell>
          <cell r="G1807" t="str">
            <v>ID</v>
          </cell>
          <cell r="H1807" t="str">
            <v>IMAGING DEPARTMENT</v>
          </cell>
          <cell r="I1807" t="str">
            <v>03ID111</v>
          </cell>
          <cell r="J1807" t="str">
            <v>M.R.I (VE)</v>
          </cell>
          <cell r="K1807" t="str">
            <v>BMED</v>
          </cell>
          <cell r="L1807" t="str">
            <v>Normal</v>
          </cell>
          <cell r="M1807" t="str">
            <v>MIPM</v>
          </cell>
          <cell r="N1807" t="str">
            <v>NA</v>
          </cell>
          <cell r="O1807" t="str">
            <v>TESLA M3</v>
          </cell>
          <cell r="P1807" t="str">
            <v>TM3M1490</v>
          </cell>
          <cell r="Q1807" t="str">
            <v>Not Available</v>
          </cell>
          <cell r="R1807" t="str">
            <v>MIPM</v>
          </cell>
          <cell r="S1807" t="str">
            <v>AVANT-MED SDN BHD</v>
          </cell>
          <cell r="T1807" t="str">
            <v>Functioning</v>
          </cell>
          <cell r="U1807" t="str">
            <v>ASSET</v>
          </cell>
          <cell r="V1807">
            <v>199000</v>
          </cell>
          <cell r="W1807" t="str">
            <v>KEW</v>
          </cell>
          <cell r="X1807">
            <v>44895</v>
          </cell>
          <cell r="Y1807" t="str">
            <v>KEW</v>
          </cell>
          <cell r="Z1807">
            <v>44895</v>
          </cell>
          <cell r="AA1807">
            <v>45260</v>
          </cell>
          <cell r="AB1807" t="str">
            <v>No</v>
          </cell>
          <cell r="AC1807">
            <v>44895</v>
          </cell>
          <cell r="AD1807" t="str">
            <v>Good</v>
          </cell>
          <cell r="AE1807" t="str">
            <v>V3 - Added Installed Facilities (New)</v>
          </cell>
          <cell r="AF1807">
            <v>45211</v>
          </cell>
          <cell r="AG1807" t="str">
            <v>NA</v>
          </cell>
          <cell r="AH1807" t="str">
            <v>PPM</v>
          </cell>
          <cell r="AI1807" t="str">
            <v>NA</v>
          </cell>
          <cell r="AJ1807" t="str">
            <v>Proposed for V3 P2.23</v>
          </cell>
          <cell r="AK1807" t="str">
            <v>COME WITH TESLA M3 REMOTE MONITOR (SN:TM3R0947), 2 SPO2 SENSOR, 2 ECG SENSOR. SNF received on 12/10/2023.TRANSFER TO HOSPITAL IPOH</v>
          </cell>
        </row>
        <row r="1808">
          <cell r="A1808" t="str">
            <v>IKN402147</v>
          </cell>
          <cell r="B1808">
            <v>1802</v>
          </cell>
          <cell r="C1808" t="str">
            <v>ION CHAMBER RT - SHARIFAH, PUAN SALIANA</v>
          </cell>
          <cell r="D1808" t="str">
            <v>KKM/IKN/H/22/94</v>
          </cell>
          <cell r="E1808" t="str">
            <v>15-605</v>
          </cell>
          <cell r="F1808" t="str">
            <v>Testers (Ion Chamber Set)</v>
          </cell>
          <cell r="G1808" t="str">
            <v>RT</v>
          </cell>
          <cell r="H1808" t="str">
            <v>RADIATION TREATMENT UNIT</v>
          </cell>
          <cell r="I1808" t="str">
            <v>01RT131</v>
          </cell>
          <cell r="J1808" t="str">
            <v>EQUIPMENT ROOM</v>
          </cell>
          <cell r="K1808" t="str">
            <v>BMED</v>
          </cell>
          <cell r="L1808" t="str">
            <v>Normal</v>
          </cell>
          <cell r="M1808" t="str">
            <v>Germany</v>
          </cell>
          <cell r="N1808" t="str">
            <v>IBA</v>
          </cell>
          <cell r="O1808" t="str">
            <v>DOSE 1</v>
          </cell>
          <cell r="P1808">
            <v>34597</v>
          </cell>
          <cell r="Q1808" t="str">
            <v>Not Available</v>
          </cell>
          <cell r="R1808" t="str">
            <v>IBA Dosimetry Gmbh</v>
          </cell>
          <cell r="S1808" t="str">
            <v>Meditek Equipment</v>
          </cell>
          <cell r="T1808" t="str">
            <v>Functioning</v>
          </cell>
          <cell r="U1808" t="str">
            <v>Asset</v>
          </cell>
          <cell r="V1808">
            <v>142000</v>
          </cell>
          <cell r="W1808" t="str">
            <v>KEW</v>
          </cell>
          <cell r="X1808">
            <v>44831</v>
          </cell>
          <cell r="Y1808" t="str">
            <v>KEW</v>
          </cell>
          <cell r="Z1808">
            <v>44866</v>
          </cell>
          <cell r="AA1808">
            <v>45231</v>
          </cell>
          <cell r="AB1808" t="str">
            <v>No</v>
          </cell>
          <cell r="AC1808">
            <v>44866</v>
          </cell>
          <cell r="AD1808" t="str">
            <v>Good</v>
          </cell>
          <cell r="AE1808" t="str">
            <v>V3 - Added Installed Facilities (New)</v>
          </cell>
          <cell r="AF1808">
            <v>45008</v>
          </cell>
          <cell r="AG1808" t="str">
            <v>NA</v>
          </cell>
          <cell r="AH1808" t="str">
            <v>PPM</v>
          </cell>
          <cell r="AI1808" t="str">
            <v>NA</v>
          </cell>
          <cell r="AJ1808" t="str">
            <v>Strands V3 P1.23</v>
          </cell>
          <cell r="AK1808" t="str">
            <v>1 Electrometer and 3 Ion Chamber [FC65-G SN:6033, PPC40 SN:2373, CC04 SN:19930]</v>
          </cell>
        </row>
        <row r="1809">
          <cell r="A1809" t="str">
            <v>IKN402148</v>
          </cell>
          <cell r="B1809">
            <v>1803</v>
          </cell>
          <cell r="C1809" t="str">
            <v>LAPAROSCOPE: KKM/IKN/H/22/68; SEKALI DENGAN SPY PHI - FAEZAH, PUAN SALIANA</v>
          </cell>
          <cell r="D1809" t="str">
            <v>KKM/IKN/H/22/68</v>
          </cell>
          <cell r="G1809" t="str">
            <v>OT</v>
          </cell>
          <cell r="I1809" t="str">
            <v>05OT105</v>
          </cell>
          <cell r="K1809" t="str">
            <v>BMED</v>
          </cell>
          <cell r="L1809" t="str">
            <v>Normal</v>
          </cell>
          <cell r="P1809" t="str">
            <v>HH1001/HH1002/HH1003</v>
          </cell>
          <cell r="S1809" t="str">
            <v>EASMED SDN BHD</v>
          </cell>
          <cell r="V1809">
            <v>198500</v>
          </cell>
          <cell r="X1809">
            <v>45542</v>
          </cell>
          <cell r="Z1809">
            <v>44827</v>
          </cell>
          <cell r="AA1809">
            <v>45192</v>
          </cell>
          <cell r="AB1809" t="str">
            <v>NO</v>
          </cell>
          <cell r="AC1809">
            <v>44827</v>
          </cell>
          <cell r="AF1809">
            <v>45008</v>
          </cell>
          <cell r="AI1809" t="str">
            <v>Strands</v>
          </cell>
          <cell r="AJ1809" t="str">
            <v>Strands V3 P1.23</v>
          </cell>
        </row>
        <row r="1810">
          <cell r="A1810" t="str">
            <v>IKN402149</v>
          </cell>
          <cell r="B1810">
            <v>1804</v>
          </cell>
          <cell r="C1810" t="str">
            <v>Institut Kanser Negara</v>
          </cell>
          <cell r="D1810" t="str">
            <v>KKM/IKN/H/23/28</v>
          </cell>
          <cell r="E1810" t="str">
            <v>18-229</v>
          </cell>
          <cell r="F1810" t="str">
            <v>Electrosurgical Units, Monopolar</v>
          </cell>
          <cell r="G1810" t="str">
            <v>OT</v>
          </cell>
          <cell r="H1810" t="str">
            <v>OPERATING THEATRE</v>
          </cell>
          <cell r="I1810" t="str">
            <v>05OT161</v>
          </cell>
          <cell r="J1810" t="str">
            <v>OPERATION THEATRE</v>
          </cell>
          <cell r="K1810" t="str">
            <v>BMED</v>
          </cell>
          <cell r="L1810" t="str">
            <v>Normal</v>
          </cell>
          <cell r="M1810" t="str">
            <v>USA</v>
          </cell>
          <cell r="N1810" t="str">
            <v>COVIDIEN</v>
          </cell>
          <cell r="O1810" t="str">
            <v>VLLS10GEN</v>
          </cell>
          <cell r="P1810" t="str">
            <v>L22K0502GX</v>
          </cell>
          <cell r="Q1810" t="str">
            <v>Not Applicable</v>
          </cell>
          <cell r="R1810" t="str">
            <v>Covidien LLC</v>
          </cell>
          <cell r="S1810" t="str">
            <v>J&amp;J MURNI SDN BHD</v>
          </cell>
          <cell r="T1810" t="str">
            <v>Functioning</v>
          </cell>
          <cell r="U1810" t="str">
            <v>Asset</v>
          </cell>
          <cell r="V1810">
            <v>111330</v>
          </cell>
          <cell r="W1810" t="str">
            <v>KEW</v>
          </cell>
          <cell r="X1810">
            <v>45090</v>
          </cell>
          <cell r="Y1810" t="str">
            <v>KEW</v>
          </cell>
          <cell r="Z1810">
            <v>45125</v>
          </cell>
          <cell r="AA1810" t="str">
            <v>31/4/2024</v>
          </cell>
          <cell r="AB1810" t="str">
            <v>No</v>
          </cell>
          <cell r="AC1810">
            <v>45125</v>
          </cell>
          <cell r="AD1810" t="str">
            <v>Good</v>
          </cell>
          <cell r="AE1810" t="str">
            <v>V3 - Added Installed Facilities (New)</v>
          </cell>
          <cell r="AF1810">
            <v>45245</v>
          </cell>
          <cell r="AG1810" t="str">
            <v>NA</v>
          </cell>
          <cell r="AH1810" t="str">
            <v>PPM</v>
          </cell>
          <cell r="AI1810" t="str">
            <v>Strands</v>
          </cell>
          <cell r="AJ1810" t="str">
            <v>Proposed for V3 P2.23</v>
          </cell>
          <cell r="AK1810" t="str">
            <v>SNF received on 15/11/2023. PIC: Hidayah, Asset Donation.</v>
          </cell>
        </row>
        <row r="1811">
          <cell r="A1811" t="str">
            <v>IKN402152</v>
          </cell>
          <cell r="B1811">
            <v>1807</v>
          </cell>
          <cell r="C1811" t="str">
            <v>Institut Kanser Negara</v>
          </cell>
          <cell r="D1811" t="str">
            <v>KKM/IKN/H/23/51</v>
          </cell>
          <cell r="E1811" t="str">
            <v>13-215</v>
          </cell>
          <cell r="F1811" t="str">
            <v>Infusion Pumps, General-Purpose</v>
          </cell>
          <cell r="G1811" t="str">
            <v>WJ</v>
          </cell>
          <cell r="H1811" t="str">
            <v>MULTIDISCIPLINE WARD 1</v>
          </cell>
          <cell r="I1811" t="str">
            <v>09WJ130</v>
          </cell>
          <cell r="J1811" t="str">
            <v>TREATMENT/ PROCEDURE</v>
          </cell>
          <cell r="K1811" t="str">
            <v>BMED</v>
          </cell>
          <cell r="M1811" t="str">
            <v>China</v>
          </cell>
          <cell r="N1811" t="str">
            <v>Medcaptain</v>
          </cell>
          <cell r="O1811" t="str">
            <v>HP 60</v>
          </cell>
          <cell r="P1811">
            <v>6012310000152</v>
          </cell>
          <cell r="Q1811" t="str">
            <v>Not Applicable</v>
          </cell>
          <cell r="R1811" t="str">
            <v>MedCaptain Medical Technology</v>
          </cell>
          <cell r="S1811" t="str">
            <v>Atalis Healthcare Sdn Bhd</v>
          </cell>
          <cell r="T1811" t="str">
            <v>Functioning</v>
          </cell>
          <cell r="U1811" t="str">
            <v>Asset</v>
          </cell>
          <cell r="V1811">
            <v>3500</v>
          </cell>
          <cell r="W1811" t="str">
            <v>KEW</v>
          </cell>
          <cell r="X1811">
            <v>45268</v>
          </cell>
          <cell r="Y1811" t="str">
            <v>KEW</v>
          </cell>
          <cell r="Z1811">
            <v>45272</v>
          </cell>
          <cell r="AA1811">
            <v>45637</v>
          </cell>
          <cell r="AB1811" t="str">
            <v>YES</v>
          </cell>
          <cell r="AC1811">
            <v>45272</v>
          </cell>
          <cell r="AD1811" t="str">
            <v>Good</v>
          </cell>
          <cell r="AE1811" t="str">
            <v>V3 - Added Installed Facilities (New)</v>
          </cell>
          <cell r="AF1811">
            <v>45272</v>
          </cell>
          <cell r="AG1811" t="str">
            <v>NA</v>
          </cell>
          <cell r="AH1811" t="str">
            <v>PPM</v>
          </cell>
          <cell r="AI1811" t="str">
            <v>NA</v>
          </cell>
          <cell r="AJ1811" t="str">
            <v>Proposed for V3 P1.24</v>
          </cell>
          <cell r="AK1811" t="str">
            <v>PIC: Anis, TnC on 12/12/2023</v>
          </cell>
        </row>
        <row r="1812">
          <cell r="A1812" t="str">
            <v>IKN402153</v>
          </cell>
          <cell r="B1812">
            <v>1808</v>
          </cell>
          <cell r="C1812" t="str">
            <v>Institut Kanser Negara</v>
          </cell>
          <cell r="D1812" t="str">
            <v>KKM/IKN/H/23/50</v>
          </cell>
          <cell r="E1812" t="str">
            <v>13-215</v>
          </cell>
          <cell r="F1812" t="str">
            <v>Infusion Pumps, General-Purpose</v>
          </cell>
          <cell r="G1812" t="str">
            <v>WJ</v>
          </cell>
          <cell r="H1812" t="str">
            <v>MULTIDISCIPLINE WARD 1</v>
          </cell>
          <cell r="I1812" t="str">
            <v>09WJ130</v>
          </cell>
          <cell r="J1812" t="str">
            <v>TREATMENT/ PROCEDURE</v>
          </cell>
          <cell r="K1812" t="str">
            <v>BMED</v>
          </cell>
          <cell r="M1812" t="str">
            <v>China</v>
          </cell>
          <cell r="N1812" t="str">
            <v>Medcaptain</v>
          </cell>
          <cell r="O1812" t="str">
            <v>HP 60</v>
          </cell>
          <cell r="P1812">
            <v>6012310000125</v>
          </cell>
          <cell r="Q1812" t="str">
            <v>Not Applicable</v>
          </cell>
          <cell r="R1812" t="str">
            <v>MedCaptain Medical Technology</v>
          </cell>
          <cell r="S1812" t="str">
            <v>Atalis Healthcare Sdn Bhd</v>
          </cell>
          <cell r="T1812" t="str">
            <v>Functioning</v>
          </cell>
          <cell r="U1812" t="str">
            <v>Asset</v>
          </cell>
          <cell r="V1812">
            <v>3500</v>
          </cell>
          <cell r="W1812" t="str">
            <v>KEW</v>
          </cell>
          <cell r="X1812">
            <v>45268</v>
          </cell>
          <cell r="Y1812" t="str">
            <v>KEW</v>
          </cell>
          <cell r="Z1812">
            <v>45272</v>
          </cell>
          <cell r="AA1812">
            <v>45637</v>
          </cell>
          <cell r="AB1812" t="str">
            <v>YES</v>
          </cell>
          <cell r="AC1812">
            <v>45272</v>
          </cell>
          <cell r="AD1812" t="str">
            <v>Good</v>
          </cell>
          <cell r="AE1812" t="str">
            <v>V3 - Added Installed Facilities (New)</v>
          </cell>
          <cell r="AF1812">
            <v>45272</v>
          </cell>
          <cell r="AG1812" t="str">
            <v>NA</v>
          </cell>
          <cell r="AH1812" t="str">
            <v>PPM</v>
          </cell>
          <cell r="AI1812" t="str">
            <v>NA</v>
          </cell>
          <cell r="AJ1812" t="str">
            <v>Proposed for V3 P1.24</v>
          </cell>
          <cell r="AK1812" t="str">
            <v>PIC: Anis, TnC on 12/12/2023</v>
          </cell>
        </row>
        <row r="1813">
          <cell r="A1813" t="str">
            <v>IKN402154</v>
          </cell>
          <cell r="B1813">
            <v>1809</v>
          </cell>
          <cell r="C1813" t="str">
            <v>Institut Kanser Negara</v>
          </cell>
          <cell r="D1813" t="str">
            <v>KKM/IKN/H/23/48</v>
          </cell>
          <cell r="E1813" t="str">
            <v>13-215</v>
          </cell>
          <cell r="F1813" t="str">
            <v>Infusion Pumps, General-Purpose</v>
          </cell>
          <cell r="G1813" t="str">
            <v>WG</v>
          </cell>
          <cell r="H1813" t="str">
            <v>RT/ONCO WARD 1 (M)</v>
          </cell>
          <cell r="I1813" t="str">
            <v>08WG107</v>
          </cell>
          <cell r="J1813" t="str">
            <v>TREATMENT / PROCEDURE</v>
          </cell>
          <cell r="K1813" t="str">
            <v>BMED</v>
          </cell>
          <cell r="M1813" t="str">
            <v>China</v>
          </cell>
          <cell r="N1813" t="str">
            <v>Medcaptain</v>
          </cell>
          <cell r="O1813" t="str">
            <v>HP 60</v>
          </cell>
          <cell r="P1813">
            <v>6012310000116</v>
          </cell>
          <cell r="Q1813" t="str">
            <v>Not Applicable</v>
          </cell>
          <cell r="R1813" t="str">
            <v>MedCaptain Medical Technology</v>
          </cell>
          <cell r="S1813" t="str">
            <v>Atalis Healthcare Sdn Bhd</v>
          </cell>
          <cell r="T1813" t="str">
            <v>Functioning</v>
          </cell>
          <cell r="U1813" t="str">
            <v>Asset</v>
          </cell>
          <cell r="V1813">
            <v>3500</v>
          </cell>
          <cell r="W1813" t="str">
            <v>KEW</v>
          </cell>
          <cell r="X1813">
            <v>45268</v>
          </cell>
          <cell r="Y1813" t="str">
            <v>KEW</v>
          </cell>
          <cell r="Z1813">
            <v>45272</v>
          </cell>
          <cell r="AA1813">
            <v>45637</v>
          </cell>
          <cell r="AB1813" t="str">
            <v>YES</v>
          </cell>
          <cell r="AC1813">
            <v>45272</v>
          </cell>
          <cell r="AD1813" t="str">
            <v>Good</v>
          </cell>
          <cell r="AE1813" t="str">
            <v>V3 - Added Installed Facilities (New)</v>
          </cell>
          <cell r="AF1813">
            <v>45272</v>
          </cell>
          <cell r="AG1813" t="str">
            <v>NA</v>
          </cell>
          <cell r="AH1813" t="str">
            <v>PPM</v>
          </cell>
          <cell r="AI1813" t="str">
            <v>NA</v>
          </cell>
          <cell r="AJ1813" t="str">
            <v>Proposed for V3 P1.24</v>
          </cell>
          <cell r="AK1813" t="str">
            <v>PIC: Anis, TnC on 12/12/2023</v>
          </cell>
        </row>
        <row r="1814">
          <cell r="A1814" t="str">
            <v>IKN402155</v>
          </cell>
          <cell r="B1814">
            <v>1810</v>
          </cell>
          <cell r="C1814" t="str">
            <v>Institut Kanser Negara</v>
          </cell>
          <cell r="D1814" t="str">
            <v>KKM/IKN/H/23/49</v>
          </cell>
          <cell r="E1814" t="str">
            <v>13-215</v>
          </cell>
          <cell r="F1814" t="str">
            <v>Infusion Pumps, General-Purpose</v>
          </cell>
          <cell r="G1814" t="str">
            <v>WG</v>
          </cell>
          <cell r="H1814" t="str">
            <v>RT/ONCO WARD 1 (M)</v>
          </cell>
          <cell r="I1814" t="str">
            <v>08WG107</v>
          </cell>
          <cell r="J1814" t="str">
            <v>TREATMENT / PROCEDURE</v>
          </cell>
          <cell r="K1814" t="str">
            <v>BMED</v>
          </cell>
          <cell r="M1814" t="str">
            <v>China</v>
          </cell>
          <cell r="N1814" t="str">
            <v>Medcaptain</v>
          </cell>
          <cell r="O1814" t="str">
            <v>HP 60</v>
          </cell>
          <cell r="P1814">
            <v>6012310000119</v>
          </cell>
          <cell r="Q1814" t="str">
            <v>Not Applicable</v>
          </cell>
          <cell r="R1814" t="str">
            <v>MedCaptain Medical Technology</v>
          </cell>
          <cell r="S1814" t="str">
            <v>Atalis Healthcare Sdn Bhd</v>
          </cell>
          <cell r="T1814" t="str">
            <v>Functioning</v>
          </cell>
          <cell r="U1814" t="str">
            <v>Asset</v>
          </cell>
          <cell r="V1814">
            <v>3500</v>
          </cell>
          <cell r="W1814" t="str">
            <v>KEW</v>
          </cell>
          <cell r="X1814">
            <v>45268</v>
          </cell>
          <cell r="Y1814" t="str">
            <v>KEW</v>
          </cell>
          <cell r="Z1814">
            <v>45272</v>
          </cell>
          <cell r="AA1814">
            <v>45637</v>
          </cell>
          <cell r="AB1814" t="str">
            <v>YES</v>
          </cell>
          <cell r="AC1814">
            <v>45272</v>
          </cell>
          <cell r="AD1814" t="str">
            <v>Good</v>
          </cell>
          <cell r="AE1814" t="str">
            <v>V3 - Added Installed Facilities (New)</v>
          </cell>
          <cell r="AF1814">
            <v>45272</v>
          </cell>
          <cell r="AG1814" t="str">
            <v>NA</v>
          </cell>
          <cell r="AH1814" t="str">
            <v>PPM</v>
          </cell>
          <cell r="AI1814" t="str">
            <v>NA</v>
          </cell>
          <cell r="AJ1814" t="str">
            <v>Proposed for V3 P1.24</v>
          </cell>
          <cell r="AK1814" t="str">
            <v>PIC: Anis, TnC on 12/12/2023</v>
          </cell>
        </row>
        <row r="1815">
          <cell r="A1815" t="str">
            <v>IKN402156</v>
          </cell>
          <cell r="B1815">
            <v>1811</v>
          </cell>
          <cell r="C1815" t="str">
            <v>Institut Kanser Negara</v>
          </cell>
          <cell r="D1815" t="str">
            <v>KKM/IKN/H/23/47</v>
          </cell>
          <cell r="E1815" t="str">
            <v>13-215</v>
          </cell>
          <cell r="F1815" t="str">
            <v>Infusion Pumps, General-Purpose</v>
          </cell>
          <cell r="G1815" t="str">
            <v>WH</v>
          </cell>
          <cell r="H1815" t="str">
            <v>RT/ONCO WARD 2 (M)</v>
          </cell>
          <cell r="I1815" t="str">
            <v>08WH107</v>
          </cell>
          <cell r="J1815" t="str">
            <v>TREATMENT / PROCEDURE</v>
          </cell>
          <cell r="K1815" t="str">
            <v>BMED</v>
          </cell>
          <cell r="M1815" t="str">
            <v>China</v>
          </cell>
          <cell r="N1815" t="str">
            <v>Medcaptain</v>
          </cell>
          <cell r="O1815" t="str">
            <v>HP 60</v>
          </cell>
          <cell r="P1815">
            <v>6012310000098</v>
          </cell>
          <cell r="Q1815" t="str">
            <v>Not Applicable</v>
          </cell>
          <cell r="R1815" t="str">
            <v>MedCaptain Medical Technology</v>
          </cell>
          <cell r="S1815" t="str">
            <v>Atalis Healthcare Sdn Bhd</v>
          </cell>
          <cell r="T1815" t="str">
            <v>Functioning</v>
          </cell>
          <cell r="U1815" t="str">
            <v>Asset</v>
          </cell>
          <cell r="V1815">
            <v>3500</v>
          </cell>
          <cell r="W1815" t="str">
            <v>KEW</v>
          </cell>
          <cell r="X1815">
            <v>45268</v>
          </cell>
          <cell r="Y1815" t="str">
            <v>KEW</v>
          </cell>
          <cell r="Z1815">
            <v>45272</v>
          </cell>
          <cell r="AA1815">
            <v>45637</v>
          </cell>
          <cell r="AB1815" t="str">
            <v>YES</v>
          </cell>
          <cell r="AC1815">
            <v>45272</v>
          </cell>
          <cell r="AD1815" t="str">
            <v>Good</v>
          </cell>
          <cell r="AE1815" t="str">
            <v>V3 - Added Installed Facilities (New)</v>
          </cell>
          <cell r="AF1815">
            <v>45272</v>
          </cell>
          <cell r="AG1815" t="str">
            <v>NA</v>
          </cell>
          <cell r="AH1815" t="str">
            <v>PPM</v>
          </cell>
          <cell r="AI1815" t="str">
            <v>NA</v>
          </cell>
          <cell r="AJ1815" t="str">
            <v>Proposed for V3 P1.24</v>
          </cell>
          <cell r="AK1815" t="str">
            <v>PIC: Anis, TnC on 12/12/2023</v>
          </cell>
        </row>
        <row r="1816">
          <cell r="A1816" t="str">
            <v>IKN402157</v>
          </cell>
          <cell r="B1816">
            <v>1812</v>
          </cell>
          <cell r="C1816" t="str">
            <v>Institut Kanser Negara</v>
          </cell>
          <cell r="D1816" t="str">
            <v>KKM/IKN/H/23/46</v>
          </cell>
          <cell r="E1816" t="str">
            <v>13-215</v>
          </cell>
          <cell r="F1816" t="str">
            <v>Infusion Pumps, General-Purpose</v>
          </cell>
          <cell r="G1816" t="str">
            <v>WH</v>
          </cell>
          <cell r="H1816" t="str">
            <v>RT/ONCO WARD 2 (M)</v>
          </cell>
          <cell r="I1816" t="str">
            <v>08WH107</v>
          </cell>
          <cell r="J1816" t="str">
            <v>TREATMENT / PROCEDURE</v>
          </cell>
          <cell r="K1816" t="str">
            <v>BMED</v>
          </cell>
          <cell r="M1816" t="str">
            <v>China</v>
          </cell>
          <cell r="N1816" t="str">
            <v>Medcaptain</v>
          </cell>
          <cell r="O1816" t="str">
            <v>HP 60</v>
          </cell>
          <cell r="P1816">
            <v>6012310000046</v>
          </cell>
          <cell r="Q1816" t="str">
            <v>Not Applicable</v>
          </cell>
          <cell r="R1816" t="str">
            <v>MedCaptain Medical Technology</v>
          </cell>
          <cell r="S1816" t="str">
            <v>Atalis Healthcare Sdn Bhd</v>
          </cell>
          <cell r="T1816" t="str">
            <v>Functioning</v>
          </cell>
          <cell r="U1816" t="str">
            <v>Asset</v>
          </cell>
          <cell r="V1816">
            <v>3500</v>
          </cell>
          <cell r="W1816" t="str">
            <v>KEW</v>
          </cell>
          <cell r="X1816">
            <v>45268</v>
          </cell>
          <cell r="Y1816" t="str">
            <v>KEW</v>
          </cell>
          <cell r="Z1816">
            <v>45272</v>
          </cell>
          <cell r="AA1816">
            <v>45637</v>
          </cell>
          <cell r="AB1816" t="str">
            <v>YES</v>
          </cell>
          <cell r="AC1816">
            <v>45272</v>
          </cell>
          <cell r="AD1816" t="str">
            <v>Good</v>
          </cell>
          <cell r="AE1816" t="str">
            <v>V3 - Added Installed Facilities (New)</v>
          </cell>
          <cell r="AF1816">
            <v>45272</v>
          </cell>
          <cell r="AG1816" t="str">
            <v>NA</v>
          </cell>
          <cell r="AH1816" t="str">
            <v>PPM</v>
          </cell>
          <cell r="AI1816" t="str">
            <v>NA</v>
          </cell>
          <cell r="AJ1816" t="str">
            <v>Proposed for V3 P1.24</v>
          </cell>
          <cell r="AK1816" t="str">
            <v>PIC: Anis, TnC on 12/12/2023</v>
          </cell>
        </row>
        <row r="1817">
          <cell r="A1817" t="str">
            <v>IKN402158</v>
          </cell>
          <cell r="B1817">
            <v>1813</v>
          </cell>
          <cell r="C1817" t="str">
            <v>Institut Kanser Negara</v>
          </cell>
          <cell r="D1817" t="str">
            <v>KKM/IKN/H/23/45</v>
          </cell>
          <cell r="E1817" t="str">
            <v>13-215</v>
          </cell>
          <cell r="F1817" t="str">
            <v>Infusion Pumps, General-Purpose</v>
          </cell>
          <cell r="G1817" t="str">
            <v>WE</v>
          </cell>
          <cell r="H1817" t="str">
            <v>RT/ONCO WARD 1 (F)</v>
          </cell>
          <cell r="I1817" t="str">
            <v>07WE107</v>
          </cell>
          <cell r="J1817" t="str">
            <v>TREATMENT / PROCESURE</v>
          </cell>
          <cell r="K1817" t="str">
            <v>BMED</v>
          </cell>
          <cell r="M1817" t="str">
            <v>China</v>
          </cell>
          <cell r="N1817" t="str">
            <v>Medcaptain</v>
          </cell>
          <cell r="O1817" t="str">
            <v>HP 60</v>
          </cell>
          <cell r="P1817">
            <v>6012309000192</v>
          </cell>
          <cell r="Q1817" t="str">
            <v>Not Applicable</v>
          </cell>
          <cell r="R1817" t="str">
            <v>MedCaptain Medical Technology</v>
          </cell>
          <cell r="S1817" t="str">
            <v>Atalis Healthcare Sdn Bhd</v>
          </cell>
          <cell r="T1817" t="str">
            <v>Functioning</v>
          </cell>
          <cell r="U1817" t="str">
            <v>Asset</v>
          </cell>
          <cell r="V1817">
            <v>3500</v>
          </cell>
          <cell r="W1817" t="str">
            <v>KEW</v>
          </cell>
          <cell r="X1817">
            <v>45268</v>
          </cell>
          <cell r="Y1817" t="str">
            <v>KEW</v>
          </cell>
          <cell r="Z1817">
            <v>45272</v>
          </cell>
          <cell r="AA1817">
            <v>45637</v>
          </cell>
          <cell r="AB1817" t="str">
            <v>YES</v>
          </cell>
          <cell r="AC1817">
            <v>45272</v>
          </cell>
          <cell r="AD1817" t="str">
            <v>Good</v>
          </cell>
          <cell r="AE1817" t="str">
            <v>V3 - Added Installed Facilities (New)</v>
          </cell>
          <cell r="AF1817">
            <v>45272</v>
          </cell>
          <cell r="AG1817" t="str">
            <v>NA</v>
          </cell>
          <cell r="AH1817" t="str">
            <v>PPM</v>
          </cell>
          <cell r="AI1817" t="str">
            <v>NA</v>
          </cell>
          <cell r="AJ1817" t="str">
            <v>Proposed for V3 P1.24</v>
          </cell>
          <cell r="AK1817" t="str">
            <v>PIC: Anis, TnC on 12/12/2023</v>
          </cell>
        </row>
        <row r="1818">
          <cell r="A1818" t="str">
            <v>IKN402159</v>
          </cell>
          <cell r="B1818">
            <v>1814</v>
          </cell>
          <cell r="C1818" t="str">
            <v>Institut Kanser Negara</v>
          </cell>
          <cell r="D1818" t="str">
            <v>KKM/IKN/H/23/44</v>
          </cell>
          <cell r="E1818" t="str">
            <v>13-215</v>
          </cell>
          <cell r="F1818" t="str">
            <v>Infusion Pumps, General-Purpose</v>
          </cell>
          <cell r="G1818" t="str">
            <v>WE</v>
          </cell>
          <cell r="H1818" t="str">
            <v>RT/ONCO WARD 1 (F)</v>
          </cell>
          <cell r="I1818" t="str">
            <v>07WE107</v>
          </cell>
          <cell r="J1818" t="str">
            <v>TREATMENT / PROCESURE</v>
          </cell>
          <cell r="K1818" t="str">
            <v>BMED</v>
          </cell>
          <cell r="M1818" t="str">
            <v>China</v>
          </cell>
          <cell r="N1818" t="str">
            <v>Medcaptain</v>
          </cell>
          <cell r="O1818" t="str">
            <v>HP 60</v>
          </cell>
          <cell r="P1818">
            <v>6012309000178</v>
          </cell>
          <cell r="Q1818" t="str">
            <v>Not Applicable</v>
          </cell>
          <cell r="R1818" t="str">
            <v>MedCaptain Medical Technology</v>
          </cell>
          <cell r="S1818" t="str">
            <v>Atalis Healthcare Sdn Bhd</v>
          </cell>
          <cell r="T1818" t="str">
            <v>Functioning</v>
          </cell>
          <cell r="U1818" t="str">
            <v>Asset</v>
          </cell>
          <cell r="V1818">
            <v>3500</v>
          </cell>
          <cell r="W1818" t="str">
            <v>KEW</v>
          </cell>
          <cell r="X1818">
            <v>45268</v>
          </cell>
          <cell r="Y1818" t="str">
            <v>KEW</v>
          </cell>
          <cell r="Z1818">
            <v>45272</v>
          </cell>
          <cell r="AA1818">
            <v>45637</v>
          </cell>
          <cell r="AB1818" t="str">
            <v>YES</v>
          </cell>
          <cell r="AC1818">
            <v>45272</v>
          </cell>
          <cell r="AD1818" t="str">
            <v>Good</v>
          </cell>
          <cell r="AE1818" t="str">
            <v>V3 - Added Installed Facilities (New)</v>
          </cell>
          <cell r="AF1818">
            <v>45272</v>
          </cell>
          <cell r="AG1818" t="str">
            <v>NA</v>
          </cell>
          <cell r="AH1818" t="str">
            <v>PPM</v>
          </cell>
          <cell r="AI1818" t="str">
            <v>NA</v>
          </cell>
          <cell r="AJ1818" t="str">
            <v>Proposed for V3 P1.24</v>
          </cell>
          <cell r="AK1818" t="str">
            <v>PIC: Anis, TnC on 12/12/2023</v>
          </cell>
        </row>
        <row r="1819">
          <cell r="A1819" t="str">
            <v>IKN402160</v>
          </cell>
          <cell r="B1819">
            <v>1815</v>
          </cell>
          <cell r="C1819" t="str">
            <v>Institut Kanser Negara</v>
          </cell>
          <cell r="D1819" t="str">
            <v>KKM/IKN/H/23/43</v>
          </cell>
          <cell r="E1819" t="str">
            <v>13-215</v>
          </cell>
          <cell r="F1819" t="str">
            <v>Infusion Pumps, General-Purpose</v>
          </cell>
          <cell r="G1819" t="str">
            <v>WF</v>
          </cell>
          <cell r="H1819" t="str">
            <v>RT/ONCO WARD 2 (F)</v>
          </cell>
          <cell r="I1819" t="str">
            <v>07WF107</v>
          </cell>
          <cell r="J1819" t="str">
            <v>TREATMENT / PROCEDDURE</v>
          </cell>
          <cell r="K1819" t="str">
            <v>BMED</v>
          </cell>
          <cell r="M1819" t="str">
            <v>China</v>
          </cell>
          <cell r="N1819" t="str">
            <v>Medcaptain</v>
          </cell>
          <cell r="O1819" t="str">
            <v>HP 60</v>
          </cell>
          <cell r="P1819">
            <v>6012309000154</v>
          </cell>
          <cell r="Q1819" t="str">
            <v>Not Applicable</v>
          </cell>
          <cell r="R1819" t="str">
            <v>MedCaptain Medical Technology</v>
          </cell>
          <cell r="S1819" t="str">
            <v>Atalis Healthcare Sdn Bhd</v>
          </cell>
          <cell r="T1819" t="str">
            <v>Functioning</v>
          </cell>
          <cell r="U1819" t="str">
            <v>Asset</v>
          </cell>
          <cell r="V1819">
            <v>3500</v>
          </cell>
          <cell r="W1819" t="str">
            <v>KEW</v>
          </cell>
          <cell r="X1819">
            <v>45268</v>
          </cell>
          <cell r="Y1819" t="str">
            <v>KEW</v>
          </cell>
          <cell r="Z1819">
            <v>45272</v>
          </cell>
          <cell r="AA1819">
            <v>45637</v>
          </cell>
          <cell r="AB1819" t="str">
            <v>YES</v>
          </cell>
          <cell r="AC1819">
            <v>45272</v>
          </cell>
          <cell r="AD1819" t="str">
            <v>Good</v>
          </cell>
          <cell r="AE1819" t="str">
            <v>V3 - Added Installed Facilities (New)</v>
          </cell>
          <cell r="AF1819">
            <v>45272</v>
          </cell>
          <cell r="AG1819" t="str">
            <v>NA</v>
          </cell>
          <cell r="AH1819" t="str">
            <v>PPM</v>
          </cell>
          <cell r="AI1819" t="str">
            <v>NA</v>
          </cell>
          <cell r="AJ1819" t="str">
            <v>Proposed for V3 P1.24</v>
          </cell>
          <cell r="AK1819" t="str">
            <v>PIC: Anis, TnC on 12/12/2023</v>
          </cell>
        </row>
        <row r="1820">
          <cell r="A1820" t="str">
            <v>IKN402161</v>
          </cell>
          <cell r="B1820">
            <v>1816</v>
          </cell>
          <cell r="C1820" t="str">
            <v>Institut Kanser Negara</v>
          </cell>
          <cell r="D1820" t="str">
            <v>KKM/IKN/H/23/42</v>
          </cell>
          <cell r="E1820" t="str">
            <v>13-215</v>
          </cell>
          <cell r="F1820" t="str">
            <v>Infusion Pumps, General-Purpose</v>
          </cell>
          <cell r="G1820" t="str">
            <v>WF</v>
          </cell>
          <cell r="H1820" t="str">
            <v>RT/ONCO WARD 2 (F)</v>
          </cell>
          <cell r="I1820" t="str">
            <v>07WF107</v>
          </cell>
          <cell r="J1820" t="str">
            <v>TREATMENT / PROCEDDURE</v>
          </cell>
          <cell r="K1820" t="str">
            <v>BMED</v>
          </cell>
          <cell r="M1820" t="str">
            <v>China</v>
          </cell>
          <cell r="N1820" t="str">
            <v>Medcaptain</v>
          </cell>
          <cell r="O1820" t="str">
            <v>HP 60</v>
          </cell>
          <cell r="P1820">
            <v>6012211000111</v>
          </cell>
          <cell r="Q1820" t="str">
            <v>Not Applicable</v>
          </cell>
          <cell r="R1820" t="str">
            <v>MedCaptain Medical Technology</v>
          </cell>
          <cell r="S1820" t="str">
            <v>Atalis Healthcare Sdn Bhd</v>
          </cell>
          <cell r="T1820" t="str">
            <v>Functioning</v>
          </cell>
          <cell r="U1820" t="str">
            <v>Asset</v>
          </cell>
          <cell r="V1820">
            <v>3500</v>
          </cell>
          <cell r="W1820" t="str">
            <v>KEW</v>
          </cell>
          <cell r="X1820">
            <v>45268</v>
          </cell>
          <cell r="Y1820" t="str">
            <v>KEW</v>
          </cell>
          <cell r="Z1820">
            <v>45272</v>
          </cell>
          <cell r="AA1820">
            <v>45637</v>
          </cell>
          <cell r="AB1820" t="str">
            <v>YES</v>
          </cell>
          <cell r="AC1820">
            <v>45272</v>
          </cell>
          <cell r="AD1820" t="str">
            <v>Good</v>
          </cell>
          <cell r="AE1820" t="str">
            <v>V3 - Added Installed Facilities (New)</v>
          </cell>
          <cell r="AF1820">
            <v>45272</v>
          </cell>
          <cell r="AG1820" t="str">
            <v>NA</v>
          </cell>
          <cell r="AH1820" t="str">
            <v>PPM</v>
          </cell>
          <cell r="AI1820" t="str">
            <v>NA</v>
          </cell>
          <cell r="AJ1820" t="str">
            <v>Proposed for V3 P1.24</v>
          </cell>
          <cell r="AK1820" t="str">
            <v>PIC: Anis, TnC on 12/12/2023</v>
          </cell>
        </row>
        <row r="1821">
          <cell r="A1821" t="str">
            <v>IKN402162</v>
          </cell>
          <cell r="B1821">
            <v>1817</v>
          </cell>
          <cell r="C1821" t="str">
            <v>Institut Kanser Negara</v>
          </cell>
          <cell r="D1821" t="str">
            <v>KKM/IKN/H/23/41</v>
          </cell>
          <cell r="E1821" t="str">
            <v>13-215</v>
          </cell>
          <cell r="F1821" t="str">
            <v>Infusion Pumps, General-Purpose</v>
          </cell>
          <cell r="G1821" t="str">
            <v>WC</v>
          </cell>
          <cell r="H1821" t="str">
            <v>SURGICAL ONCO FEMALE WARD</v>
          </cell>
          <cell r="I1821" t="str">
            <v>06WC107</v>
          </cell>
          <cell r="J1821" t="str">
            <v>TREATMENT / PROCEDURE</v>
          </cell>
          <cell r="K1821" t="str">
            <v>BMED</v>
          </cell>
          <cell r="M1821" t="str">
            <v>China</v>
          </cell>
          <cell r="N1821" t="str">
            <v>Medcaptain</v>
          </cell>
          <cell r="O1821" t="str">
            <v>HP 60</v>
          </cell>
          <cell r="P1821">
            <v>6012211000104</v>
          </cell>
          <cell r="Q1821" t="str">
            <v>Not Applicable</v>
          </cell>
          <cell r="R1821" t="str">
            <v>MedCaptain Medical Technology</v>
          </cell>
          <cell r="S1821" t="str">
            <v>Atalis Healthcare Sdn Bhd</v>
          </cell>
          <cell r="T1821" t="str">
            <v>Functioning</v>
          </cell>
          <cell r="U1821" t="str">
            <v>Asset</v>
          </cell>
          <cell r="V1821">
            <v>3500</v>
          </cell>
          <cell r="W1821" t="str">
            <v>KEW</v>
          </cell>
          <cell r="X1821">
            <v>45268</v>
          </cell>
          <cell r="Y1821" t="str">
            <v>KEW</v>
          </cell>
          <cell r="Z1821">
            <v>45272</v>
          </cell>
          <cell r="AA1821">
            <v>45637</v>
          </cell>
          <cell r="AB1821" t="str">
            <v>YES</v>
          </cell>
          <cell r="AC1821">
            <v>45272</v>
          </cell>
          <cell r="AD1821" t="str">
            <v>Good</v>
          </cell>
          <cell r="AE1821" t="str">
            <v>V3 - Added Installed Facilities (New)</v>
          </cell>
          <cell r="AF1821">
            <v>45272</v>
          </cell>
          <cell r="AG1821" t="str">
            <v>NA</v>
          </cell>
          <cell r="AH1821" t="str">
            <v>PPM</v>
          </cell>
          <cell r="AI1821" t="str">
            <v>NA</v>
          </cell>
          <cell r="AJ1821" t="str">
            <v>Proposed for V3 P1.24</v>
          </cell>
          <cell r="AK1821" t="str">
            <v>PIC: Anis, TnC on 12/12/2023</v>
          </cell>
        </row>
        <row r="1822">
          <cell r="A1822" t="str">
            <v>IKN402163</v>
          </cell>
          <cell r="B1822">
            <v>1818</v>
          </cell>
          <cell r="C1822" t="str">
            <v>Institut Kanser Negara</v>
          </cell>
          <cell r="D1822" t="str">
            <v>KKM/IKN/H/23/40</v>
          </cell>
          <cell r="E1822" t="str">
            <v>13-215</v>
          </cell>
          <cell r="F1822" t="str">
            <v>Infusion Pumps, General-Purpose</v>
          </cell>
          <cell r="G1822" t="str">
            <v>WC</v>
          </cell>
          <cell r="H1822" t="str">
            <v>SURGICAL ONCO FEMALE WARD</v>
          </cell>
          <cell r="I1822" t="str">
            <v>06WC107</v>
          </cell>
          <cell r="J1822" t="str">
            <v>TREATMENT / PROCEDURE</v>
          </cell>
          <cell r="K1822" t="str">
            <v>BMED</v>
          </cell>
          <cell r="M1822" t="str">
            <v>China</v>
          </cell>
          <cell r="N1822" t="str">
            <v>Medcaptain</v>
          </cell>
          <cell r="O1822" t="str">
            <v>HP 60</v>
          </cell>
          <cell r="P1822">
            <v>6012211000036</v>
          </cell>
          <cell r="Q1822" t="str">
            <v>Not Applicable</v>
          </cell>
          <cell r="R1822" t="str">
            <v>MedCaptain Medical Technology</v>
          </cell>
          <cell r="S1822" t="str">
            <v>Atalis Healthcare Sdn Bhd</v>
          </cell>
          <cell r="T1822" t="str">
            <v>Functioning</v>
          </cell>
          <cell r="U1822" t="str">
            <v>Asset</v>
          </cell>
          <cell r="V1822">
            <v>3500</v>
          </cell>
          <cell r="W1822" t="str">
            <v>KEW</v>
          </cell>
          <cell r="X1822">
            <v>45268</v>
          </cell>
          <cell r="Y1822" t="str">
            <v>KEW</v>
          </cell>
          <cell r="Z1822">
            <v>45272</v>
          </cell>
          <cell r="AA1822">
            <v>45637</v>
          </cell>
          <cell r="AB1822" t="str">
            <v>YES</v>
          </cell>
          <cell r="AC1822">
            <v>45272</v>
          </cell>
          <cell r="AD1822" t="str">
            <v>Good</v>
          </cell>
          <cell r="AE1822" t="str">
            <v>V3 - Added Installed Facilities (New)</v>
          </cell>
          <cell r="AF1822">
            <v>45272</v>
          </cell>
          <cell r="AG1822" t="str">
            <v>NA</v>
          </cell>
          <cell r="AH1822" t="str">
            <v>PPM</v>
          </cell>
          <cell r="AI1822" t="str">
            <v>NA</v>
          </cell>
          <cell r="AJ1822" t="str">
            <v>Proposed for V3 P1.24</v>
          </cell>
          <cell r="AK1822" t="str">
            <v>PIC: Anis, TnC on 12/12/2023</v>
          </cell>
        </row>
        <row r="1823">
          <cell r="A1823" t="str">
            <v>IKN402164</v>
          </cell>
          <cell r="B1823">
            <v>1819</v>
          </cell>
          <cell r="C1823" t="str">
            <v>Institut Kanser Negara</v>
          </cell>
          <cell r="D1823" t="str">
            <v>KKM/IKN/H/23/39</v>
          </cell>
          <cell r="E1823" t="str">
            <v>13-215</v>
          </cell>
          <cell r="F1823" t="str">
            <v>Infusion Pumps, General-Purpose</v>
          </cell>
          <cell r="G1823" t="str">
            <v>WC</v>
          </cell>
          <cell r="H1823" t="str">
            <v>SURGICAL ONCO FEMALE WARD</v>
          </cell>
          <cell r="I1823" t="str">
            <v>06WC107</v>
          </cell>
          <cell r="J1823" t="str">
            <v>TREATMENT / PROCEDURE</v>
          </cell>
          <cell r="K1823" t="str">
            <v>BMED</v>
          </cell>
          <cell r="M1823" t="str">
            <v>China</v>
          </cell>
          <cell r="N1823" t="str">
            <v>Medcaptain</v>
          </cell>
          <cell r="O1823" t="str">
            <v>HP 60</v>
          </cell>
          <cell r="P1823">
            <v>6012211000036</v>
          </cell>
          <cell r="Q1823" t="str">
            <v>Not Applicable</v>
          </cell>
          <cell r="R1823" t="str">
            <v>MedCaptain Medical Technology</v>
          </cell>
          <cell r="S1823" t="str">
            <v>Atalis Healthcare Sdn Bhd</v>
          </cell>
          <cell r="T1823" t="str">
            <v>Functioning</v>
          </cell>
          <cell r="U1823" t="str">
            <v>Asset</v>
          </cell>
          <cell r="V1823">
            <v>3500</v>
          </cell>
          <cell r="W1823" t="str">
            <v>KEW</v>
          </cell>
          <cell r="X1823">
            <v>45268</v>
          </cell>
          <cell r="Y1823" t="str">
            <v>KEW</v>
          </cell>
          <cell r="Z1823">
            <v>45272</v>
          </cell>
          <cell r="AA1823">
            <v>45637</v>
          </cell>
          <cell r="AB1823" t="str">
            <v>YES</v>
          </cell>
          <cell r="AC1823">
            <v>45272</v>
          </cell>
          <cell r="AD1823" t="str">
            <v>Good</v>
          </cell>
          <cell r="AE1823" t="str">
            <v>V3 - Added Installed Facilities (New)</v>
          </cell>
          <cell r="AF1823">
            <v>45272</v>
          </cell>
          <cell r="AG1823" t="str">
            <v>NA</v>
          </cell>
          <cell r="AH1823" t="str">
            <v>PPM</v>
          </cell>
          <cell r="AI1823" t="str">
            <v>NA</v>
          </cell>
          <cell r="AJ1823" t="str">
            <v>Proposed for V3 P1.24</v>
          </cell>
          <cell r="AK1823" t="str">
            <v>PIC: Anis, TnC on 12/12/2023</v>
          </cell>
        </row>
        <row r="1824">
          <cell r="A1824" t="str">
            <v>IKN402165</v>
          </cell>
          <cell r="B1824">
            <v>1820</v>
          </cell>
          <cell r="C1824" t="str">
            <v>Institut Kanser Negara</v>
          </cell>
          <cell r="D1824" t="str">
            <v>KKM/IKN/H/23/38</v>
          </cell>
          <cell r="E1824" t="str">
            <v>13-215</v>
          </cell>
          <cell r="F1824" t="str">
            <v>Infusion Pumps, General-Purpose</v>
          </cell>
          <cell r="G1824" t="str">
            <v>WB</v>
          </cell>
          <cell r="H1824" t="str">
            <v>SURGICAL ONCO MALE WARD</v>
          </cell>
          <cell r="I1824" t="str">
            <v>05WB107</v>
          </cell>
          <cell r="J1824" t="str">
            <v>TREATMENT / PROCEDURE</v>
          </cell>
          <cell r="K1824" t="str">
            <v>BMED</v>
          </cell>
          <cell r="L1824" t="str">
            <v>NORMAL</v>
          </cell>
          <cell r="M1824" t="str">
            <v>China</v>
          </cell>
          <cell r="N1824" t="str">
            <v>Medcaptain</v>
          </cell>
          <cell r="O1824" t="str">
            <v>HP 60</v>
          </cell>
          <cell r="P1824">
            <v>6012210000048</v>
          </cell>
          <cell r="Q1824" t="str">
            <v>MedCaptain Medical Technology</v>
          </cell>
          <cell r="R1824" t="str">
            <v>Atalis Healthcare Sdn Bhd</v>
          </cell>
          <cell r="S1824" t="str">
            <v>Functioning</v>
          </cell>
          <cell r="T1824" t="str">
            <v>Functioning</v>
          </cell>
          <cell r="U1824" t="str">
            <v>KEW</v>
          </cell>
          <cell r="V1824">
            <v>3500</v>
          </cell>
          <cell r="W1824">
            <v>45268</v>
          </cell>
          <cell r="X1824" t="str">
            <v>KEW</v>
          </cell>
          <cell r="Y1824">
            <v>45272</v>
          </cell>
          <cell r="Z1824">
            <v>45637</v>
          </cell>
          <cell r="AA1824" t="str">
            <v>YES</v>
          </cell>
          <cell r="AB1824">
            <v>45272</v>
          </cell>
          <cell r="AC1824" t="str">
            <v>Good</v>
          </cell>
          <cell r="AD1824" t="str">
            <v>V3 - Added Installed Facilities (New)</v>
          </cell>
          <cell r="AE1824">
            <v>45272</v>
          </cell>
          <cell r="AF1824" t="str">
            <v>NA</v>
          </cell>
          <cell r="AG1824">
            <v>9.17</v>
          </cell>
          <cell r="AH1824" t="str">
            <v>PPM</v>
          </cell>
          <cell r="AI1824" t="str">
            <v>Strands</v>
          </cell>
          <cell r="AJ1824" t="str">
            <v>Proposed for V3 P1.24</v>
          </cell>
          <cell r="AK1824" t="str">
            <v>PIC: Anis, TnC on 12/12/2023</v>
          </cell>
        </row>
        <row r="1825">
          <cell r="A1825" t="str">
            <v>IKN402166</v>
          </cell>
          <cell r="B1825">
            <v>1821</v>
          </cell>
          <cell r="C1825" t="str">
            <v>Institut Kanser Negara</v>
          </cell>
          <cell r="D1825" t="str">
            <v>KKM/IKN/H/23/37</v>
          </cell>
          <cell r="E1825" t="str">
            <v>18-147</v>
          </cell>
          <cell r="F1825" t="str">
            <v>Mattress Systems, Alternating-Pressure</v>
          </cell>
          <cell r="G1825" t="str">
            <v>WB</v>
          </cell>
          <cell r="H1825" t="str">
            <v>SURGICAL ONCO MALE WARD</v>
          </cell>
          <cell r="I1825" t="str">
            <v>05WB149</v>
          </cell>
          <cell r="J1825" t="str">
            <v>TREATMENT / PROCEDURE</v>
          </cell>
          <cell r="K1825" t="str">
            <v>BMED</v>
          </cell>
          <cell r="L1825" t="str">
            <v>NORMAL</v>
          </cell>
          <cell r="M1825" t="str">
            <v>Taiwan</v>
          </cell>
          <cell r="N1825" t="str">
            <v>Mediaire</v>
          </cell>
          <cell r="O1825" t="str">
            <v>Mediaire (QUANTO 3)</v>
          </cell>
          <cell r="P1825" t="str">
            <v>P180702528</v>
          </cell>
          <cell r="Q1825" t="str">
            <v>Eezcare Medical Corp</v>
          </cell>
          <cell r="R1825" t="str">
            <v>Medika Supplies Sdn Bhd</v>
          </cell>
          <cell r="S1825" t="str">
            <v>Functioning</v>
          </cell>
          <cell r="T1825" t="str">
            <v>Functioning</v>
          </cell>
          <cell r="U1825" t="str">
            <v>KEW</v>
          </cell>
          <cell r="V1825">
            <v>4000</v>
          </cell>
          <cell r="W1825">
            <v>45268</v>
          </cell>
          <cell r="X1825" t="str">
            <v>KEW</v>
          </cell>
          <cell r="Y1825">
            <v>45272</v>
          </cell>
          <cell r="Z1825">
            <v>45637</v>
          </cell>
          <cell r="AA1825" t="str">
            <v>YES</v>
          </cell>
          <cell r="AB1825">
            <v>45272</v>
          </cell>
          <cell r="AC1825" t="str">
            <v>Good</v>
          </cell>
          <cell r="AD1825" t="str">
            <v>V3 - Added Installed Facilities (New)</v>
          </cell>
          <cell r="AE1825">
            <v>45272</v>
          </cell>
          <cell r="AF1825" t="str">
            <v>NA</v>
          </cell>
          <cell r="AG1825">
            <v>9.17</v>
          </cell>
          <cell r="AH1825" t="str">
            <v>PPM</v>
          </cell>
          <cell r="AI1825" t="str">
            <v>Strands</v>
          </cell>
          <cell r="AJ1825" t="str">
            <v>Proposed for V3 P1.24</v>
          </cell>
          <cell r="AK1825" t="str">
            <v>PIC: Anis, TnC on 12/12/2023</v>
          </cell>
        </row>
        <row r="1826">
          <cell r="A1826" t="str">
            <v>IKN402167</v>
          </cell>
          <cell r="B1826">
            <v>1822</v>
          </cell>
          <cell r="C1826" t="str">
            <v>Institut Kanser Negara</v>
          </cell>
          <cell r="D1826" t="str">
            <v>KKM/IKN/H/24/32-15</v>
          </cell>
          <cell r="E1826" t="str">
            <v>13-215</v>
          </cell>
          <cell r="F1826" t="str">
            <v>Infusion Pumps, General-Purpose</v>
          </cell>
          <cell r="G1826" t="str">
            <v>NM</v>
          </cell>
          <cell r="H1826" t="str">
            <v>NUCLEAR MED (DIAGNOSTIC)</v>
          </cell>
          <cell r="I1826" t="str">
            <v>03WA107</v>
          </cell>
          <cell r="J1826" t="str">
            <v>NUCLEAR MED WARD (THERAPY)</v>
          </cell>
          <cell r="K1826" t="str">
            <v>BMED</v>
          </cell>
          <cell r="L1826" t="str">
            <v>Normal</v>
          </cell>
          <cell r="N1826" t="str">
            <v>B Braun</v>
          </cell>
          <cell r="O1826" t="str">
            <v>Infusomat Space</v>
          </cell>
          <cell r="P1826">
            <v>927030</v>
          </cell>
          <cell r="Q1826" t="str">
            <v>Functioning</v>
          </cell>
          <cell r="R1826" t="str">
            <v>B Braun Melsungen AG</v>
          </cell>
          <cell r="S1826" t="str">
            <v>B Braun Medical Supplies Sdn. Bhd.</v>
          </cell>
          <cell r="T1826" t="str">
            <v>Functioning</v>
          </cell>
          <cell r="V1826">
            <v>6400</v>
          </cell>
          <cell r="W1826" t="str">
            <v>KEW</v>
          </cell>
          <cell r="X1826">
            <v>45120</v>
          </cell>
          <cell r="Y1826" t="str">
            <v>KEW</v>
          </cell>
          <cell r="Z1826">
            <v>45324</v>
          </cell>
          <cell r="AA1826">
            <v>45689</v>
          </cell>
          <cell r="AB1826" t="str">
            <v>YES</v>
          </cell>
          <cell r="AC1826">
            <v>45303</v>
          </cell>
          <cell r="AD1826" t="str">
            <v>Good</v>
          </cell>
          <cell r="AE1826" t="str">
            <v>V3 - Added Installed Facilities (New)</v>
          </cell>
          <cell r="AF1826">
            <v>45508</v>
          </cell>
          <cell r="AG1826" t="str">
            <v>NA</v>
          </cell>
          <cell r="AH1826" t="str">
            <v>PPM</v>
          </cell>
          <cell r="AJ1826" t="str">
            <v>Strands V3 P2.24</v>
          </cell>
        </row>
        <row r="1827">
          <cell r="A1827" t="str">
            <v>IKN402168</v>
          </cell>
          <cell r="B1827">
            <v>1823</v>
          </cell>
          <cell r="C1827" t="str">
            <v>Institut Kanser Negara</v>
          </cell>
          <cell r="D1827" t="str">
            <v>KKM/IKN/H/24/33-10</v>
          </cell>
          <cell r="E1827" t="str">
            <v>13-215</v>
          </cell>
          <cell r="F1827" t="str">
            <v>Infusion Pumps, General-Purpose</v>
          </cell>
          <cell r="G1827" t="str">
            <v>NM</v>
          </cell>
          <cell r="H1827" t="str">
            <v>NUCLEAR MED (DIAGNOSTIC)</v>
          </cell>
          <cell r="I1827" t="str">
            <v>03WA107</v>
          </cell>
          <cell r="J1827" t="str">
            <v>NUCLEAR MED WARD (THERAPY)</v>
          </cell>
          <cell r="K1827" t="str">
            <v>BMED</v>
          </cell>
          <cell r="L1827" t="str">
            <v>Normal</v>
          </cell>
          <cell r="N1827" t="str">
            <v>B Braun</v>
          </cell>
          <cell r="O1827" t="str">
            <v>Infusomat Space</v>
          </cell>
          <cell r="P1827">
            <v>927147</v>
          </cell>
          <cell r="Q1827" t="str">
            <v>Functioning</v>
          </cell>
          <cell r="R1827" t="str">
            <v>B Braun Melsungen AG</v>
          </cell>
          <cell r="S1827" t="str">
            <v>B Braun Medical Supplies Sdn. Bhd.</v>
          </cell>
          <cell r="T1827" t="str">
            <v>Functioning</v>
          </cell>
          <cell r="V1827">
            <v>6400</v>
          </cell>
          <cell r="W1827" t="str">
            <v>KEW</v>
          </cell>
          <cell r="X1827">
            <v>45120</v>
          </cell>
          <cell r="Y1827" t="str">
            <v>KEW</v>
          </cell>
          <cell r="Z1827">
            <v>45324</v>
          </cell>
          <cell r="AA1827">
            <v>45689</v>
          </cell>
          <cell r="AB1827" t="str">
            <v>YES</v>
          </cell>
          <cell r="AC1827">
            <v>45303</v>
          </cell>
          <cell r="AD1827" t="str">
            <v>Good</v>
          </cell>
          <cell r="AE1827" t="str">
            <v>V3 - Added Installed Facilities (New)</v>
          </cell>
          <cell r="AF1827">
            <v>45508</v>
          </cell>
          <cell r="AJ1827" t="str">
            <v>Strands V3 P2.24</v>
          </cell>
        </row>
        <row r="1828">
          <cell r="A1828" t="str">
            <v>IKN402169</v>
          </cell>
          <cell r="B1828">
            <v>1824</v>
          </cell>
          <cell r="C1828" t="str">
            <v>Institut Kanser Negara</v>
          </cell>
          <cell r="D1828" t="str">
            <v>KKM/IKN/H/23/23</v>
          </cell>
          <cell r="E1828" t="str">
            <v>17-211</v>
          </cell>
          <cell r="F1828" t="str">
            <v>Radiation Survey Meters, Geiger-Muller</v>
          </cell>
          <cell r="G1828" t="str">
            <v>NM</v>
          </cell>
          <cell r="H1828" t="str">
            <v>NUCLEAR MED (DIAGNOSTIC)</v>
          </cell>
          <cell r="I1828" t="str">
            <v>03NM153</v>
          </cell>
          <cell r="J1828" t="str">
            <v>PHYSICS LAB</v>
          </cell>
          <cell r="K1828" t="str">
            <v>BMED</v>
          </cell>
          <cell r="L1828" t="str">
            <v>Normal</v>
          </cell>
          <cell r="N1828" t="str">
            <v>Thermo Scientific</v>
          </cell>
          <cell r="O1828" t="str">
            <v>RADEYE B20 ER Survey Meter</v>
          </cell>
          <cell r="P1828">
            <v>35436</v>
          </cell>
          <cell r="Q1828" t="str">
            <v>Not Applicable</v>
          </cell>
          <cell r="R1828" t="str">
            <v>Thermo Fisher Scientific</v>
          </cell>
          <cell r="S1828" t="str">
            <v>Intech Scientific Sdn Bhd</v>
          </cell>
          <cell r="T1828" t="str">
            <v>Functioning</v>
          </cell>
          <cell r="U1828" t="str">
            <v>Asset</v>
          </cell>
          <cell r="V1828">
            <v>8412.09</v>
          </cell>
          <cell r="W1828" t="str">
            <v>KEW</v>
          </cell>
          <cell r="X1828">
            <v>45124</v>
          </cell>
          <cell r="Y1828" t="str">
            <v>KEW</v>
          </cell>
          <cell r="Z1828">
            <v>45124</v>
          </cell>
          <cell r="AA1828">
            <v>45490</v>
          </cell>
          <cell r="AB1828" t="str">
            <v>No</v>
          </cell>
          <cell r="AC1828">
            <v>45124</v>
          </cell>
          <cell r="AD1828" t="str">
            <v>Good</v>
          </cell>
          <cell r="AE1828" t="str">
            <v>V3 - Added Installed Facilities (New)</v>
          </cell>
          <cell r="AG1828" t="str">
            <v>NA</v>
          </cell>
          <cell r="AH1828" t="str">
            <v>PPM</v>
          </cell>
          <cell r="AI1828" t="str">
            <v>NA</v>
          </cell>
          <cell r="AJ1828" t="str">
            <v>Proposed for V3 P2.23</v>
          </cell>
          <cell r="AK1828" t="str">
            <v>PIC: Hidayah, Asset Donation.</v>
          </cell>
        </row>
        <row r="1829">
          <cell r="A1829" t="str">
            <v>IKN402170</v>
          </cell>
          <cell r="B1829">
            <v>1825</v>
          </cell>
          <cell r="C1829" t="str">
            <v>Institut Kanser Negara</v>
          </cell>
          <cell r="D1829" t="str">
            <v>KKM/IKN/H/23/22</v>
          </cell>
          <cell r="E1829" t="str">
            <v>17-211</v>
          </cell>
          <cell r="F1829" t="str">
            <v>Radiation Survey Meters, Geiger-Muller</v>
          </cell>
          <cell r="G1829" t="str">
            <v>NM</v>
          </cell>
          <cell r="H1829" t="str">
            <v>NUCLEAR MED (DIAGNOSTIC)</v>
          </cell>
          <cell r="I1829" t="str">
            <v>03NM153</v>
          </cell>
          <cell r="J1829" t="str">
            <v>PHYSICS LAB</v>
          </cell>
          <cell r="K1829" t="str">
            <v>BMED</v>
          </cell>
          <cell r="L1829" t="str">
            <v>Normal</v>
          </cell>
          <cell r="N1829" t="str">
            <v>Thermo Scientific</v>
          </cell>
          <cell r="O1829" t="str">
            <v>RADEYE B20 ER Survey Meter</v>
          </cell>
          <cell r="P1829">
            <v>35458</v>
          </cell>
          <cell r="Q1829" t="str">
            <v>Not Applicable</v>
          </cell>
          <cell r="R1829" t="str">
            <v>Thermo Fisher Scientific</v>
          </cell>
          <cell r="S1829" t="str">
            <v>Intech Scientific Sdn Bhd</v>
          </cell>
          <cell r="T1829" t="str">
            <v>Functioning</v>
          </cell>
          <cell r="U1829" t="str">
            <v>Asset</v>
          </cell>
          <cell r="V1829">
            <v>8412.09</v>
          </cell>
          <cell r="W1829" t="str">
            <v>KEW</v>
          </cell>
          <cell r="X1829">
            <v>45124</v>
          </cell>
          <cell r="Y1829" t="str">
            <v>KEW</v>
          </cell>
          <cell r="Z1829">
            <v>45124</v>
          </cell>
          <cell r="AA1829">
            <v>45490</v>
          </cell>
          <cell r="AB1829" t="str">
            <v>No</v>
          </cell>
          <cell r="AC1829">
            <v>45124</v>
          </cell>
          <cell r="AD1829" t="str">
            <v>Good</v>
          </cell>
          <cell r="AE1829" t="str">
            <v>V3 - Added Installed Facilities (New)</v>
          </cell>
          <cell r="AG1829" t="str">
            <v>NA</v>
          </cell>
          <cell r="AH1829" t="str">
            <v>PPM</v>
          </cell>
          <cell r="AI1829" t="str">
            <v>NA</v>
          </cell>
          <cell r="AJ1829" t="str">
            <v>Proposed for V3 P2.23</v>
          </cell>
          <cell r="AK1829" t="str">
            <v>PIC: Hidayah, Asset Donation.</v>
          </cell>
        </row>
        <row r="1830">
          <cell r="A1830" t="str">
            <v>IKN402171</v>
          </cell>
          <cell r="B1830">
            <v>1825</v>
          </cell>
          <cell r="C1830" t="str">
            <v>Institut Kanser Negara</v>
          </cell>
          <cell r="D1830" t="str">
            <v>KKM/IKN/H/23/67</v>
          </cell>
          <cell r="E1830" t="str">
            <v>17-440</v>
          </cell>
          <cell r="F1830" t="str">
            <v>Microscope / Inverted Phase Microscope</v>
          </cell>
          <cell r="G1830" t="str">
            <v>LA</v>
          </cell>
          <cell r="H1830" t="str">
            <v>PATHOLOGY</v>
          </cell>
          <cell r="I1830" t="str">
            <v>04LA127</v>
          </cell>
          <cell r="J1830" t="str">
            <v>PATHOLOGY</v>
          </cell>
          <cell r="K1830" t="str">
            <v>BMED</v>
          </cell>
          <cell r="L1830" t="str">
            <v>NORMAL</v>
          </cell>
          <cell r="M1830" t="str">
            <v>JAPAN</v>
          </cell>
          <cell r="N1830" t="str">
            <v>OLYMPUS</v>
          </cell>
          <cell r="O1830" t="str">
            <v>CK X31SF</v>
          </cell>
          <cell r="P1830" t="str">
            <v>2K65163</v>
          </cell>
          <cell r="R1830" t="str">
            <v>EVIDENT CORPORATION NAGARA</v>
          </cell>
          <cell r="S1830" t="str">
            <v>Matrix Optics (M) Sdn Bhd</v>
          </cell>
          <cell r="T1830" t="str">
            <v>Functioning</v>
          </cell>
          <cell r="U1830" t="str">
            <v>Asset</v>
          </cell>
          <cell r="V1830">
            <v>15864</v>
          </cell>
          <cell r="W1830" t="str">
            <v>KEW</v>
          </cell>
          <cell r="X1830">
            <v>41375</v>
          </cell>
          <cell r="Y1830" t="str">
            <v>KEW</v>
          </cell>
          <cell r="Z1830" t="str">
            <v>NA</v>
          </cell>
          <cell r="AA1830" t="str">
            <v>NA</v>
          </cell>
          <cell r="AB1830" t="str">
            <v>NO</v>
          </cell>
          <cell r="AC1830">
            <v>45027</v>
          </cell>
          <cell r="AD1830" t="str">
            <v>GOOD</v>
          </cell>
          <cell r="AE1830" t="str">
            <v>V3 - Added Installed Facilities (New)</v>
          </cell>
          <cell r="AF1830">
            <v>45370</v>
          </cell>
          <cell r="AG1830" t="str">
            <v>NA</v>
          </cell>
          <cell r="AH1830" t="str">
            <v>PPM</v>
          </cell>
          <cell r="AI1830" t="str">
            <v>NA</v>
          </cell>
          <cell r="AJ1830" t="str">
            <v>Proposed for V3 P1.24</v>
          </cell>
          <cell r="AK1830" t="str">
            <v>ASSET TRANSFER FROM HOSPITAL TUNKU AZIZAH</v>
          </cell>
        </row>
        <row r="1831">
          <cell r="A1831" t="str">
            <v>IKN402172</v>
          </cell>
          <cell r="B1831">
            <v>1825</v>
          </cell>
          <cell r="C1831" t="str">
            <v>TnC Asset Donation Radiology Faezah &amp; Indira 16/5/2024</v>
          </cell>
          <cell r="D1831" t="str">
            <v>KKM/IKN/H/24/10
KKM/BKRP09/H19/6</v>
          </cell>
          <cell r="E1831" t="str">
            <v>15-129</v>
          </cell>
          <cell r="F1831" t="str">
            <v>Densitometers</v>
          </cell>
          <cell r="G1831" t="str">
            <v>ID</v>
          </cell>
          <cell r="H1831" t="str">
            <v>IMAGING DEPARTMENT</v>
          </cell>
          <cell r="I1831" t="str">
            <v>03ID169</v>
          </cell>
          <cell r="J1831" t="str">
            <v>RADIOGRAPHER</v>
          </cell>
          <cell r="K1831" t="str">
            <v>BMED</v>
          </cell>
          <cell r="L1831" t="str">
            <v>Normal</v>
          </cell>
          <cell r="M1831" t="str">
            <v>NA</v>
          </cell>
          <cell r="N1831" t="str">
            <v>IBA Dosimetry</v>
          </cell>
          <cell r="O1831" t="str">
            <v>Unilight D</v>
          </cell>
          <cell r="P1831" t="str">
            <v>N6960</v>
          </cell>
          <cell r="Q1831" t="str">
            <v>Not Applicable</v>
          </cell>
          <cell r="R1831" t="str">
            <v>IBA</v>
          </cell>
          <cell r="S1831" t="str">
            <v>NA</v>
          </cell>
          <cell r="T1831" t="str">
            <v>Functioning</v>
          </cell>
          <cell r="U1831" t="str">
            <v>Asset</v>
          </cell>
          <cell r="V1831">
            <v>3432.12</v>
          </cell>
          <cell r="W1831" t="str">
            <v>KEW</v>
          </cell>
          <cell r="X1831">
            <v>43347</v>
          </cell>
          <cell r="Y1831" t="str">
            <v>KEW</v>
          </cell>
          <cell r="Z1831" t="str">
            <v>NA</v>
          </cell>
          <cell r="AA1831" t="str">
            <v>NA</v>
          </cell>
          <cell r="AB1831" t="str">
            <v>No</v>
          </cell>
          <cell r="AC1831">
            <v>45428</v>
          </cell>
          <cell r="AD1831" t="str">
            <v>Good</v>
          </cell>
          <cell r="AE1831" t="str">
            <v>V3 - Added Installed Facilities (New)</v>
          </cell>
          <cell r="AF1831">
            <v>45449</v>
          </cell>
          <cell r="AG1831" t="str">
            <v>NA</v>
          </cell>
          <cell r="AH1831" t="str">
            <v>PPM</v>
          </cell>
          <cell r="AI1831" t="str">
            <v>NA</v>
          </cell>
          <cell r="AJ1831" t="str">
            <v>Proposed for V3 P1.24</v>
          </cell>
          <cell r="AK1831" t="str">
            <v>From BKRP. Accessories: Adaptor; DC: 9.0V, 500mA. Calibration to ANM.</v>
          </cell>
        </row>
        <row r="1832">
          <cell r="A1832" t="str">
            <v>IKN402173</v>
          </cell>
          <cell r="B1832">
            <v>1825</v>
          </cell>
          <cell r="C1832" t="str">
            <v>TnC Asset Donation Radiology Faezah &amp; Indira 16/5/2024</v>
          </cell>
          <cell r="D1832" t="str">
            <v>KKM/BKRP09/H19/7
KKM/IKN/H/24/9</v>
          </cell>
          <cell r="E1832" t="str">
            <v>16-563</v>
          </cell>
          <cell r="F1832" t="str">
            <v>Sensitometer, Radiographic</v>
          </cell>
          <cell r="G1832" t="str">
            <v>ID</v>
          </cell>
          <cell r="H1832" t="str">
            <v>IMAGING DEPARTMENT</v>
          </cell>
          <cell r="I1832" t="str">
            <v>03ID169</v>
          </cell>
          <cell r="J1832" t="str">
            <v>RADIOGRAPHER</v>
          </cell>
          <cell r="K1832" t="str">
            <v>BMED</v>
          </cell>
          <cell r="L1832" t="str">
            <v>Normal</v>
          </cell>
          <cell r="M1832" t="str">
            <v>Germany/Poland</v>
          </cell>
          <cell r="N1832" t="str">
            <v>IBA Dosimetry</v>
          </cell>
          <cell r="O1832" t="str">
            <v>Unilight S</v>
          </cell>
          <cell r="P1832">
            <v>5882</v>
          </cell>
          <cell r="Q1832" t="str">
            <v>Not Applicable</v>
          </cell>
          <cell r="R1832" t="str">
            <v>IBA</v>
          </cell>
          <cell r="S1832" t="str">
            <v>NA</v>
          </cell>
          <cell r="T1832" t="str">
            <v>Functioning</v>
          </cell>
          <cell r="U1832" t="str">
            <v>Asset</v>
          </cell>
          <cell r="V1832">
            <v>3177.65</v>
          </cell>
          <cell r="W1832" t="str">
            <v>KEW</v>
          </cell>
          <cell r="X1832">
            <v>43347</v>
          </cell>
          <cell r="Y1832" t="str">
            <v>KEW</v>
          </cell>
          <cell r="Z1832" t="str">
            <v>NA</v>
          </cell>
          <cell r="AA1832" t="str">
            <v>NA</v>
          </cell>
          <cell r="AB1832" t="str">
            <v>No</v>
          </cell>
          <cell r="AC1832">
            <v>45428</v>
          </cell>
          <cell r="AD1832" t="str">
            <v>Good</v>
          </cell>
          <cell r="AE1832" t="str">
            <v>V3 - Added Installed Facilities (New)</v>
          </cell>
          <cell r="AF1832">
            <v>45449</v>
          </cell>
          <cell r="AG1832" t="str">
            <v>NA</v>
          </cell>
          <cell r="AH1832" t="str">
            <v>PPM</v>
          </cell>
          <cell r="AI1832" t="str">
            <v>NA</v>
          </cell>
          <cell r="AJ1832" t="str">
            <v>Proposed for V3 P1.24</v>
          </cell>
          <cell r="AK1832" t="str">
            <v>From BKRP. Accessories: Adaptor; DC: 9.6V, 500mA. Battery: ENERGIZER 9V.</v>
          </cell>
        </row>
        <row r="1833">
          <cell r="A1833" t="str">
            <v>IKN402174</v>
          </cell>
          <cell r="B1833">
            <v>1825</v>
          </cell>
          <cell r="C1833" t="str">
            <v>TnC Asset Donation Radiology Faezah &amp; Indira 16/5/2024</v>
          </cell>
          <cell r="D1833" t="str">
            <v>KKM/IKN/H/24/8
KKM/BKRP09/H19/8</v>
          </cell>
          <cell r="E1833" t="str">
            <v>15-605</v>
          </cell>
          <cell r="F1833" t="str">
            <v>Testers (LX Can Luminance Meter)</v>
          </cell>
          <cell r="G1833" t="str">
            <v>ID</v>
          </cell>
          <cell r="H1833" t="str">
            <v>IMAGING DEPARTMENT</v>
          </cell>
          <cell r="I1833" t="str">
            <v>03ID169</v>
          </cell>
          <cell r="J1833" t="str">
            <v>RADIOGRAPHER</v>
          </cell>
          <cell r="K1833" t="str">
            <v>BMED</v>
          </cell>
          <cell r="L1833" t="str">
            <v>Normal</v>
          </cell>
          <cell r="M1833" t="str">
            <v>Germany/Poland</v>
          </cell>
          <cell r="N1833" t="str">
            <v>IBA Dosimetry</v>
          </cell>
          <cell r="O1833" t="str">
            <v>LXCAN</v>
          </cell>
          <cell r="P1833">
            <v>39639</v>
          </cell>
          <cell r="Q1833" t="str">
            <v>Not Applicable</v>
          </cell>
          <cell r="R1833" t="str">
            <v>IBA</v>
          </cell>
          <cell r="S1833" t="str">
            <v>NA</v>
          </cell>
          <cell r="T1833" t="str">
            <v>Functioning</v>
          </cell>
          <cell r="U1833" t="str">
            <v>Asset</v>
          </cell>
          <cell r="V1833">
            <v>8295.6</v>
          </cell>
          <cell r="W1833" t="str">
            <v>KEW</v>
          </cell>
          <cell r="X1833">
            <v>43347</v>
          </cell>
          <cell r="Y1833" t="str">
            <v>KEW</v>
          </cell>
          <cell r="Z1833" t="str">
            <v>NA</v>
          </cell>
          <cell r="AA1833" t="str">
            <v>NA</v>
          </cell>
          <cell r="AB1833" t="str">
            <v>No</v>
          </cell>
          <cell r="AC1833">
            <v>45428</v>
          </cell>
          <cell r="AD1833" t="str">
            <v>Good</v>
          </cell>
          <cell r="AE1833" t="str">
            <v>V3 - Added Installed Facilities (New)</v>
          </cell>
          <cell r="AF1833">
            <v>45449</v>
          </cell>
          <cell r="AG1833" t="str">
            <v>NA</v>
          </cell>
          <cell r="AH1833" t="str">
            <v>PPM</v>
          </cell>
          <cell r="AI1833" t="str">
            <v>NA</v>
          </cell>
          <cell r="AJ1833" t="str">
            <v>Proposed for V3 P1.24</v>
          </cell>
          <cell r="AK1833" t="str">
            <v>From BKRP. Accessories: USB Cable, Illuminance Detector LXLS [SN;37874], Power Supply with 4 Adapters, Mask cover, Carrying case. Calibration to Delta Analyst (Shim).</v>
          </cell>
        </row>
        <row r="1834">
          <cell r="A1834" t="str">
            <v>IKN402175</v>
          </cell>
          <cell r="B1834">
            <v>1825</v>
          </cell>
          <cell r="C1834" t="str">
            <v>TnC Asset Donation Radiology Faezah &amp; Indira 16/5/2024</v>
          </cell>
          <cell r="D1834" t="str">
            <v>KKM/IKN/H/24/1
KKM/BKRP09/H/19/11</v>
          </cell>
          <cell r="E1834" t="str">
            <v>12-660</v>
          </cell>
          <cell r="F1834" t="str">
            <v>Radiation Monitors</v>
          </cell>
          <cell r="G1834" t="str">
            <v>ID</v>
          </cell>
          <cell r="H1834" t="str">
            <v>IMAGING DEPARTMENT</v>
          </cell>
          <cell r="I1834" t="str">
            <v>03ID169</v>
          </cell>
          <cell r="J1834" t="str">
            <v>RADIOGRAPHER</v>
          </cell>
          <cell r="K1834" t="str">
            <v>BMED</v>
          </cell>
          <cell r="L1834" t="str">
            <v>Normal</v>
          </cell>
          <cell r="M1834" t="str">
            <v>Germany/Poland</v>
          </cell>
          <cell r="N1834" t="str">
            <v>IBA Dosimetry</v>
          </cell>
          <cell r="O1834" t="str">
            <v>120-TINO DDP</v>
          </cell>
          <cell r="P1834" t="str">
            <v>01E01683</v>
          </cell>
          <cell r="Q1834" t="str">
            <v>Not Applicable</v>
          </cell>
          <cell r="R1834" t="str">
            <v>IBA</v>
          </cell>
          <cell r="S1834" t="str">
            <v>NA</v>
          </cell>
          <cell r="T1834" t="str">
            <v>Functioning</v>
          </cell>
          <cell r="U1834" t="str">
            <v>Asset</v>
          </cell>
          <cell r="V1834">
            <v>8906.27</v>
          </cell>
          <cell r="W1834" t="str">
            <v>KEW</v>
          </cell>
          <cell r="X1834">
            <v>43347</v>
          </cell>
          <cell r="Y1834" t="str">
            <v>KEW</v>
          </cell>
          <cell r="Z1834" t="str">
            <v>NA</v>
          </cell>
          <cell r="AA1834" t="str">
            <v>NA</v>
          </cell>
          <cell r="AB1834" t="str">
            <v>No</v>
          </cell>
          <cell r="AC1834">
            <v>45428</v>
          </cell>
          <cell r="AD1834" t="str">
            <v>Good</v>
          </cell>
          <cell r="AE1834" t="str">
            <v>V3 - Added Installed Facilities (New)</v>
          </cell>
          <cell r="AF1834">
            <v>45449</v>
          </cell>
          <cell r="AG1834" t="str">
            <v>NA</v>
          </cell>
          <cell r="AH1834" t="str">
            <v>PPM</v>
          </cell>
          <cell r="AI1834" t="str">
            <v>NA</v>
          </cell>
          <cell r="AJ1834" t="str">
            <v>Proposed for V3 P1.24</v>
          </cell>
          <cell r="AK1834" t="str">
            <v>From BKRP. Accessories: Collimator Stand, Alignment tool, Network cable, Printer cable network, switching power supply, Detector (KIV)</v>
          </cell>
        </row>
        <row r="1835">
          <cell r="A1835" t="str">
            <v>IKN402176</v>
          </cell>
          <cell r="B1835">
            <v>1825</v>
          </cell>
          <cell r="C1835" t="str">
            <v>TnC Asset Donation Radiology Faezah &amp; Indira 16/5/2024</v>
          </cell>
          <cell r="D1835" t="str">
            <v>KKM/IKN/H/24/5
KKM/BKRP09/H19/13 &amp; KKM/BKRP09/H19/14
KKM/IKN/H/24/5</v>
          </cell>
          <cell r="E1835" t="str">
            <v>15-605</v>
          </cell>
          <cell r="F1835" t="str">
            <v>Testers</v>
          </cell>
          <cell r="G1835" t="str">
            <v>ID</v>
          </cell>
          <cell r="H1835" t="str">
            <v>IMAGING DEPARTMENT</v>
          </cell>
          <cell r="I1835" t="str">
            <v>03ID169</v>
          </cell>
          <cell r="J1835" t="str">
            <v>RADIOGRAPHER</v>
          </cell>
          <cell r="K1835" t="str">
            <v>BMED</v>
          </cell>
          <cell r="L1835" t="str">
            <v>Normal</v>
          </cell>
          <cell r="M1835" t="str">
            <v>Germany/Poland</v>
          </cell>
          <cell r="N1835" t="str">
            <v>IBA Densitometry</v>
          </cell>
          <cell r="O1835" t="str">
            <v>MAGICMAX UNIVERSAL</v>
          </cell>
          <cell r="P1835" t="str">
            <v>G18-0608</v>
          </cell>
          <cell r="Q1835" t="str">
            <v>Not Applicable</v>
          </cell>
          <cell r="R1835" t="str">
            <v>IBA</v>
          </cell>
          <cell r="S1835" t="str">
            <v>NA</v>
          </cell>
          <cell r="T1835" t="str">
            <v>Functioning</v>
          </cell>
          <cell r="U1835" t="str">
            <v>Asset</v>
          </cell>
          <cell r="V1835">
            <v>29164.880000000001</v>
          </cell>
          <cell r="W1835" t="str">
            <v>KEW</v>
          </cell>
          <cell r="X1835">
            <v>43347</v>
          </cell>
          <cell r="Y1835" t="str">
            <v>KEW</v>
          </cell>
          <cell r="Z1835" t="str">
            <v>NA</v>
          </cell>
          <cell r="AA1835" t="str">
            <v>NA</v>
          </cell>
          <cell r="AB1835" t="str">
            <v>No</v>
          </cell>
          <cell r="AC1835">
            <v>45428</v>
          </cell>
          <cell r="AD1835" t="str">
            <v>Good</v>
          </cell>
          <cell r="AE1835" t="str">
            <v>V3 - Added Installed Facilities (New)</v>
          </cell>
          <cell r="AF1835">
            <v>45449</v>
          </cell>
          <cell r="AG1835" t="str">
            <v>NA</v>
          </cell>
          <cell r="AH1835" t="str">
            <v>PPM</v>
          </cell>
          <cell r="AI1835" t="str">
            <v>NA</v>
          </cell>
          <cell r="AJ1835" t="str">
            <v>Proposed for V3 P1.24</v>
          </cell>
          <cell r="AK1835" t="str">
            <v>From BKRP. Accessories: XR Detector, XM Detector, CT Pencil Dosimeter/Ionisation Chamber, USB Adapter, Pendrive, Microsoft Surface (Laptop). Calibration to ANM &amp; VNA Engineering.</v>
          </cell>
        </row>
        <row r="1836">
          <cell r="A1836" t="str">
            <v>IKN402177</v>
          </cell>
          <cell r="B1836">
            <v>1825</v>
          </cell>
          <cell r="C1836" t="str">
            <v>TnC Asset Donation Radiology Faezah &amp; Indira 16/5/2024</v>
          </cell>
          <cell r="D1836" t="str">
            <v>KKM/IKN/H/24/3
KKM/BKRP09/H19/15 
KKM/IKN/H/24/3</v>
          </cell>
          <cell r="E1836" t="str">
            <v>17-212</v>
          </cell>
          <cell r="F1836" t="str">
            <v>Radiation Survey Meters, Ionization Chamber</v>
          </cell>
          <cell r="G1836" t="str">
            <v>ID</v>
          </cell>
          <cell r="H1836" t="str">
            <v>IMAGING DEPARTMENT</v>
          </cell>
          <cell r="I1836" t="str">
            <v>03ID169</v>
          </cell>
          <cell r="J1836" t="str">
            <v>RADIOGRAPHER</v>
          </cell>
          <cell r="K1836" t="str">
            <v>BMED</v>
          </cell>
          <cell r="L1836" t="str">
            <v>Normal</v>
          </cell>
          <cell r="M1836" t="str">
            <v>Germany/Poland</v>
          </cell>
          <cell r="N1836" t="str">
            <v>STEP</v>
          </cell>
          <cell r="O1836" t="str">
            <v>OD-02</v>
          </cell>
          <cell r="P1836" t="str">
            <v>OD-021-81615</v>
          </cell>
          <cell r="Q1836" t="str">
            <v>Not Applicable</v>
          </cell>
          <cell r="R1836" t="str">
            <v>STEP</v>
          </cell>
          <cell r="S1836" t="str">
            <v>NA</v>
          </cell>
          <cell r="T1836" t="str">
            <v>Functioning</v>
          </cell>
          <cell r="U1836" t="str">
            <v>Asset</v>
          </cell>
          <cell r="V1836">
            <v>26699.73</v>
          </cell>
          <cell r="W1836" t="str">
            <v>KEW</v>
          </cell>
          <cell r="X1836">
            <v>43347</v>
          </cell>
          <cell r="Y1836" t="str">
            <v>KEW</v>
          </cell>
          <cell r="Z1836" t="str">
            <v>NA</v>
          </cell>
          <cell r="AA1836" t="str">
            <v>NA</v>
          </cell>
          <cell r="AB1836" t="str">
            <v>No</v>
          </cell>
          <cell r="AC1836">
            <v>45428</v>
          </cell>
          <cell r="AD1836" t="str">
            <v>Good</v>
          </cell>
          <cell r="AE1836" t="str">
            <v>V3 - Added Installed Facilities (New)</v>
          </cell>
          <cell r="AF1836">
            <v>45449</v>
          </cell>
          <cell r="AG1836" t="str">
            <v>NA</v>
          </cell>
          <cell r="AH1836" t="str">
            <v>PPM</v>
          </cell>
          <cell r="AI1836" t="str">
            <v>NA</v>
          </cell>
          <cell r="AJ1836" t="str">
            <v>Proposed for V3 P1.24</v>
          </cell>
          <cell r="AK1836" t="str">
            <v>From BKRP. Accessories: Detector Probe, Stand, Battery 1.5V AAA.</v>
          </cell>
        </row>
        <row r="1837">
          <cell r="A1837" t="str">
            <v>IKN402178</v>
          </cell>
          <cell r="B1837">
            <v>1825</v>
          </cell>
          <cell r="C1837" t="str">
            <v>Air Samplers PET CT TnC 2023</v>
          </cell>
          <cell r="D1837" t="str">
            <v>KKM/IKN/H/23/14</v>
          </cell>
          <cell r="E1837" t="str">
            <v>10-051</v>
          </cell>
          <cell r="F1837" t="str">
            <v>Air Samplers</v>
          </cell>
          <cell r="G1837" t="str">
            <v>NM</v>
          </cell>
          <cell r="H1837" t="str">
            <v>NUCLEAR MED (DIAGNOSTIC)</v>
          </cell>
          <cell r="I1837" t="str">
            <v>PET CT</v>
          </cell>
          <cell r="J1837" t="str">
            <v>PET CT, HPJ</v>
          </cell>
          <cell r="K1837" t="str">
            <v>BMED</v>
          </cell>
          <cell r="L1837" t="str">
            <v>Normal</v>
          </cell>
          <cell r="N1837" t="str">
            <v>MAS</v>
          </cell>
          <cell r="O1837" t="str">
            <v>MAS-100 NT</v>
          </cell>
          <cell r="P1837">
            <v>124071</v>
          </cell>
          <cell r="Q1837" t="str">
            <v>Not Applicable</v>
          </cell>
          <cell r="R1837" t="str">
            <v>MERCK KGAA</v>
          </cell>
          <cell r="S1837" t="str">
            <v>MERCK SDN BHD</v>
          </cell>
          <cell r="T1837" t="str">
            <v>Functioning</v>
          </cell>
          <cell r="U1837" t="str">
            <v>Asset</v>
          </cell>
          <cell r="V1837">
            <v>52568.56</v>
          </cell>
          <cell r="W1837" t="str">
            <v>KEW</v>
          </cell>
          <cell r="X1837">
            <v>44984</v>
          </cell>
          <cell r="Y1837" t="str">
            <v>KEW</v>
          </cell>
          <cell r="Z1837">
            <v>44984</v>
          </cell>
          <cell r="AA1837">
            <v>45348</v>
          </cell>
          <cell r="AB1837" t="str">
            <v>No</v>
          </cell>
          <cell r="AC1837">
            <v>44984</v>
          </cell>
          <cell r="AD1837" t="str">
            <v>Good</v>
          </cell>
          <cell r="AE1837" t="str">
            <v>V3 - Added Installed Facilities (New)</v>
          </cell>
          <cell r="AF1837">
            <v>45222</v>
          </cell>
          <cell r="AG1837" t="str">
            <v>NA</v>
          </cell>
          <cell r="AH1837" t="str">
            <v>PPM</v>
          </cell>
          <cell r="AI1837" t="str">
            <v>NA</v>
          </cell>
          <cell r="AJ1837" t="str">
            <v>Proposed for V3 P2.23</v>
          </cell>
          <cell r="AK1837" t="str">
            <v>Power Cord</v>
          </cell>
        </row>
        <row r="1838">
          <cell r="A1838" t="str">
            <v>IKN402179</v>
          </cell>
          <cell r="B1838">
            <v>1825</v>
          </cell>
          <cell r="C1838" t="str">
            <v>Institut Kanser Negara</v>
          </cell>
          <cell r="D1838" t="str">
            <v>KKM/IKN/H/24/33</v>
          </cell>
          <cell r="E1838" t="str">
            <v>20-161</v>
          </cell>
          <cell r="F1838" t="str">
            <v>Scanning Systems, Computed Tomography/ Positron Emission Tomography</v>
          </cell>
          <cell r="G1838" t="str">
            <v>NM</v>
          </cell>
          <cell r="H1838" t="str">
            <v>NUCLEAR MED (DIAGNOSTIC)</v>
          </cell>
          <cell r="I1838" t="str">
            <v>03NM161</v>
          </cell>
          <cell r="J1838" t="str">
            <v>BILIK SPECT-CT</v>
          </cell>
          <cell r="K1838" t="str">
            <v>BMED</v>
          </cell>
          <cell r="L1838" t="str">
            <v>Normal</v>
          </cell>
          <cell r="M1838" t="str">
            <v>CHINA</v>
          </cell>
          <cell r="N1838" t="str">
            <v>GE HEALTHCARE</v>
          </cell>
          <cell r="O1838" t="str">
            <v>NM/CT870DR</v>
          </cell>
          <cell r="P1838" t="str">
            <v>237855HL2</v>
          </cell>
          <cell r="R1838" t="str">
            <v>GE HEALTHCARE</v>
          </cell>
          <cell r="S1838" t="str">
            <v>GE HEALTHCARE SDN BHD</v>
          </cell>
          <cell r="T1838" t="str">
            <v>Functioning</v>
          </cell>
          <cell r="U1838" t="str">
            <v>Asset</v>
          </cell>
          <cell r="V1838">
            <v>3410390</v>
          </cell>
          <cell r="W1838" t="str">
            <v>KEW</v>
          </cell>
          <cell r="X1838">
            <v>45120</v>
          </cell>
          <cell r="Y1838" t="str">
            <v>KEW</v>
          </cell>
          <cell r="Z1838">
            <v>45315</v>
          </cell>
          <cell r="AA1838">
            <v>45681</v>
          </cell>
          <cell r="AB1838" t="str">
            <v>YES</v>
          </cell>
          <cell r="AC1838">
            <v>45315</v>
          </cell>
          <cell r="AD1838" t="str">
            <v>Good</v>
          </cell>
          <cell r="AE1838" t="str">
            <v>V3 - Added Installed Facilities (New)</v>
          </cell>
          <cell r="AF1838">
            <v>45508</v>
          </cell>
          <cell r="AJ1838" t="str">
            <v>Strands V3 P2.24</v>
          </cell>
        </row>
        <row r="1839">
          <cell r="A1839" t="str">
            <v>IKN402180</v>
          </cell>
          <cell r="B1839">
            <v>1826</v>
          </cell>
          <cell r="C1839" t="str">
            <v>Institut Kanser Negara</v>
          </cell>
          <cell r="D1839" t="str">
            <v>KKM/IKN/H/24/32</v>
          </cell>
          <cell r="E1839" t="str">
            <v>20-161</v>
          </cell>
          <cell r="F1839" t="str">
            <v>Scanning Systems, Computed Tomography/ Positron Emission Tomography</v>
          </cell>
          <cell r="G1839" t="str">
            <v>NM</v>
          </cell>
          <cell r="H1839" t="str">
            <v>NUCLEAR MED (DIAGNOSTIC)</v>
          </cell>
          <cell r="I1839" t="str">
            <v>03NM158</v>
          </cell>
          <cell r="J1839" t="str">
            <v>BILIK SPECT-CT</v>
          </cell>
          <cell r="K1839" t="str">
            <v>BMED</v>
          </cell>
          <cell r="L1839" t="str">
            <v>Normal</v>
          </cell>
          <cell r="M1839" t="str">
            <v>CHINA</v>
          </cell>
          <cell r="N1839" t="str">
            <v>GE HEALTHCARE</v>
          </cell>
          <cell r="O1839" t="str">
            <v>NM/CT870DR</v>
          </cell>
          <cell r="P1839" t="str">
            <v>238155HL6</v>
          </cell>
          <cell r="R1839" t="str">
            <v>GE HEALTHCARE</v>
          </cell>
          <cell r="S1839" t="str">
            <v>GE HEALTHCARE SDN BHD</v>
          </cell>
          <cell r="T1839" t="str">
            <v>Functioning</v>
          </cell>
          <cell r="U1839" t="str">
            <v>Asset</v>
          </cell>
          <cell r="V1839">
            <v>3413750</v>
          </cell>
          <cell r="W1839" t="str">
            <v>KEW</v>
          </cell>
          <cell r="X1839">
            <v>45120</v>
          </cell>
          <cell r="Y1839" t="str">
            <v>KEW</v>
          </cell>
          <cell r="Z1839">
            <v>45315</v>
          </cell>
          <cell r="AA1839">
            <v>45681</v>
          </cell>
          <cell r="AB1839" t="str">
            <v>YES</v>
          </cell>
          <cell r="AC1839">
            <v>45315</v>
          </cell>
          <cell r="AD1839" t="str">
            <v>Good</v>
          </cell>
          <cell r="AE1839" t="str">
            <v>V3 - Added Installed Facilities (New)</v>
          </cell>
          <cell r="AF1839">
            <v>45508</v>
          </cell>
          <cell r="AJ1839" t="str">
            <v>Strands V3 P2.24</v>
          </cell>
        </row>
        <row r="1840">
          <cell r="A1840" t="str">
            <v>IKN402183</v>
          </cell>
          <cell r="B1840">
            <v>1829</v>
          </cell>
          <cell r="C1840" t="str">
            <v>Institut Kanser Negara</v>
          </cell>
          <cell r="D1840" t="str">
            <v>KKM/IKN/H/24/32-28</v>
          </cell>
          <cell r="F1840" t="str">
            <v>Physiologic Monitoring Systems, Acute Care</v>
          </cell>
          <cell r="G1840" t="str">
            <v>NM</v>
          </cell>
          <cell r="H1840" t="str">
            <v>NUCLEAR MED (DIAGNOSTIC)</v>
          </cell>
          <cell r="I1840" t="str">
            <v>03NM158</v>
          </cell>
          <cell r="J1840" t="str">
            <v>BILIK SPECT-CT</v>
          </cell>
          <cell r="K1840" t="str">
            <v>BMED</v>
          </cell>
          <cell r="L1840" t="str">
            <v>Normal</v>
          </cell>
          <cell r="M1840" t="str">
            <v>CHINA</v>
          </cell>
          <cell r="N1840" t="str">
            <v>GE HEALTHCARE</v>
          </cell>
          <cell r="O1840" t="str">
            <v>IVY CARDIAC TRIGGER MONITOR 7600</v>
          </cell>
          <cell r="P1840">
            <v>23091071</v>
          </cell>
          <cell r="R1840" t="str">
            <v>GE HEALTHCARE SDN BHD</v>
          </cell>
          <cell r="S1840" t="str">
            <v>TRUST ELECTRONIC ENGINEERING</v>
          </cell>
          <cell r="T1840" t="str">
            <v>Functioning</v>
          </cell>
          <cell r="U1840" t="str">
            <v>ASSET</v>
          </cell>
          <cell r="V1840" t="str">
            <v>RM100,00.00</v>
          </cell>
          <cell r="W1840" t="str">
            <v>KEW</v>
          </cell>
          <cell r="X1840">
            <v>45486</v>
          </cell>
          <cell r="Y1840" t="str">
            <v>KEW</v>
          </cell>
          <cell r="Z1840">
            <v>45579</v>
          </cell>
          <cell r="AA1840">
            <v>45681</v>
          </cell>
          <cell r="AB1840" t="str">
            <v>YES</v>
          </cell>
          <cell r="AC1840">
            <v>45315</v>
          </cell>
          <cell r="AD1840" t="str">
            <v>Good</v>
          </cell>
          <cell r="AE1840" t="str">
            <v>V3 - Added Installed Facilities (New)</v>
          </cell>
          <cell r="AF1840">
            <v>45579</v>
          </cell>
          <cell r="AG1840" t="str">
            <v>NA</v>
          </cell>
          <cell r="AH1840" t="str">
            <v>PPM</v>
          </cell>
          <cell r="AI1840" t="str">
            <v>NA</v>
          </cell>
          <cell r="AJ1840" t="str">
            <v>Strands V3 P2.24</v>
          </cell>
        </row>
        <row r="1841">
          <cell r="A1841" t="str">
            <v>IKN402184</v>
          </cell>
          <cell r="B1841">
            <v>1830</v>
          </cell>
          <cell r="C1841" t="str">
            <v>Institut Kanser Negara</v>
          </cell>
          <cell r="D1841" t="str">
            <v>KKM/IKN/H/24/32-29</v>
          </cell>
          <cell r="F1841" t="str">
            <v>Physiologic Monitoring Systems, Acute Care</v>
          </cell>
          <cell r="G1841" t="str">
            <v>NM</v>
          </cell>
          <cell r="H1841" t="str">
            <v>NUCLEAR MED (DIAGNOSTIC)</v>
          </cell>
          <cell r="I1841" t="str">
            <v>03NM162</v>
          </cell>
          <cell r="J1841" t="str">
            <v>BILIK SPECT-CT</v>
          </cell>
          <cell r="K1841" t="str">
            <v>BMED</v>
          </cell>
          <cell r="L1841" t="str">
            <v>Normal</v>
          </cell>
          <cell r="M1841" t="str">
            <v>CHINA</v>
          </cell>
          <cell r="N1841" t="str">
            <v>GE HEALTHCARE</v>
          </cell>
          <cell r="O1841" t="str">
            <v>IVY CARDIAC TRIGGER MONITOR 7601</v>
          </cell>
          <cell r="P1841">
            <v>23070049</v>
          </cell>
          <cell r="R1841" t="str">
            <v>GE HEALTHCARE SDN BHD</v>
          </cell>
          <cell r="S1841" t="str">
            <v>TRUST ELECTRONIC ENGINEERING</v>
          </cell>
          <cell r="T1841" t="str">
            <v>Functioning</v>
          </cell>
          <cell r="U1841" t="str">
            <v>ASSET</v>
          </cell>
          <cell r="V1841" t="str">
            <v>RM100,00.00</v>
          </cell>
          <cell r="W1841" t="str">
            <v>KEW</v>
          </cell>
          <cell r="X1841">
            <v>45120</v>
          </cell>
          <cell r="Y1841" t="str">
            <v>KEW</v>
          </cell>
          <cell r="Z1841">
            <v>45579</v>
          </cell>
          <cell r="AA1841">
            <v>45681</v>
          </cell>
          <cell r="AB1841" t="str">
            <v>YES</v>
          </cell>
          <cell r="AC1841">
            <v>45315</v>
          </cell>
          <cell r="AD1841" t="str">
            <v>Good</v>
          </cell>
          <cell r="AE1841" t="str">
            <v>V3 - Added Installed Facilities (New)</v>
          </cell>
          <cell r="AF1841">
            <v>45579</v>
          </cell>
          <cell r="AG1841" t="str">
            <v>NA</v>
          </cell>
          <cell r="AH1841" t="str">
            <v>PPM</v>
          </cell>
          <cell r="AI1841" t="str">
            <v>NA</v>
          </cell>
          <cell r="AJ1841" t="str">
            <v>Strands V3 P2.24</v>
          </cell>
        </row>
        <row r="1842">
          <cell r="A1842" t="str">
            <v>IKN402188</v>
          </cell>
          <cell r="C1842" t="str">
            <v>Institut Kanser Negara</v>
          </cell>
          <cell r="D1842" t="str">
            <v>KKM/IKN/H/24/33-09</v>
          </cell>
          <cell r="E1842" t="str">
            <v>12-716</v>
          </cell>
          <cell r="F1842" t="str">
            <v>Nebulizers, Nonheated</v>
          </cell>
          <cell r="G1842" t="str">
            <v>NM</v>
          </cell>
          <cell r="H1842" t="str">
            <v>NUCLEAR MED (DIAGNOSTIC)</v>
          </cell>
          <cell r="I1842" t="str">
            <v>03NM150</v>
          </cell>
          <cell r="J1842" t="str">
            <v>BILIK PROSEDUR VENTILASI</v>
          </cell>
          <cell r="M1842" t="str">
            <v>USA</v>
          </cell>
          <cell r="O1842" t="str">
            <v>TECHNEGAS PLUS</v>
          </cell>
          <cell r="P1842" t="str">
            <v>TP 232312</v>
          </cell>
          <cell r="Q1842" t="str">
            <v>Not Applicable</v>
          </cell>
          <cell r="R1842" t="str">
            <v>CYCLOMEDICA AUSTRALIA PTY LTD</v>
          </cell>
          <cell r="T1842" t="str">
            <v>Functioning</v>
          </cell>
          <cell r="U1842" t="str">
            <v>ASSET</v>
          </cell>
          <cell r="V1842">
            <v>277509</v>
          </cell>
          <cell r="W1842" t="str">
            <v>KEW</v>
          </cell>
          <cell r="X1842">
            <v>45120</v>
          </cell>
          <cell r="Y1842" t="str">
            <v>KEW</v>
          </cell>
          <cell r="Z1842">
            <v>45579</v>
          </cell>
          <cell r="AA1842">
            <v>45681</v>
          </cell>
          <cell r="AB1842" t="str">
            <v>YES</v>
          </cell>
          <cell r="AC1842">
            <v>45315</v>
          </cell>
          <cell r="AD1842" t="str">
            <v>Good</v>
          </cell>
          <cell r="AE1842" t="str">
            <v>V3 - Added Installed Facilities (New)</v>
          </cell>
          <cell r="AF1842">
            <v>45508</v>
          </cell>
          <cell r="AG1842" t="str">
            <v>NA</v>
          </cell>
          <cell r="AH1842" t="str">
            <v>PPM</v>
          </cell>
          <cell r="AI1842" t="str">
            <v>NA</v>
          </cell>
          <cell r="AJ1842" t="str">
            <v>Strands V3 P2.24</v>
          </cell>
        </row>
        <row r="1843">
          <cell r="A1843" t="str">
            <v>IKN402189</v>
          </cell>
          <cell r="C1843" t="str">
            <v>TnC indira bacti incenarator 7/11/2024</v>
          </cell>
          <cell r="F1843" t="str">
            <v>Bacti Incinerator/Infared Sterilizer</v>
          </cell>
          <cell r="G1843" t="str">
            <v>LA</v>
          </cell>
          <cell r="H1843" t="str">
            <v>PATHOLOGY</v>
          </cell>
          <cell r="AH1843" t="str">
            <v>PPM</v>
          </cell>
          <cell r="AI1843" t="str">
            <v>NA</v>
          </cell>
          <cell r="AJ1843" t="str">
            <v>Strands V3 P2.24</v>
          </cell>
        </row>
        <row r="1844">
          <cell r="A1844" t="str">
            <v>IKN402190</v>
          </cell>
          <cell r="C1844" t="str">
            <v>TnC indira bacti incenarator 7/11/2024</v>
          </cell>
          <cell r="F1844" t="str">
            <v>Bacti Incinerator/Infared Sterilizer</v>
          </cell>
          <cell r="G1844" t="str">
            <v>LA</v>
          </cell>
          <cell r="H1844" t="str">
            <v>PATHOLOGY</v>
          </cell>
        </row>
        <row r="1845">
          <cell r="A1845" t="str">
            <v>IKN402191</v>
          </cell>
          <cell r="C1845" t="str">
            <v>TnC indira bacti incenarator 7/11/2024</v>
          </cell>
          <cell r="F1845" t="str">
            <v>Bacti Incinerator/Infared Sterilizer</v>
          </cell>
          <cell r="G1845" t="str">
            <v>LA</v>
          </cell>
          <cell r="H1845" t="str">
            <v>PATHOLOGY</v>
          </cell>
        </row>
        <row r="1846">
          <cell r="A1846" t="str">
            <v>IKN402192</v>
          </cell>
          <cell r="C1846" t="str">
            <v>TnC fareez 19/11/2024</v>
          </cell>
          <cell r="F1846" t="str">
            <v>Defibrillator Machine</v>
          </cell>
          <cell r="G1846" t="str">
            <v>ED</v>
          </cell>
          <cell r="H1846" t="str">
            <v>EMERGENCY UNIT</v>
          </cell>
        </row>
        <row r="1847">
          <cell r="A1847" t="str">
            <v>IKN402193</v>
          </cell>
          <cell r="C1847" t="str">
            <v>TnC fareez 19/11/2024</v>
          </cell>
          <cell r="F1847" t="str">
            <v>Automated External Defibrillator (AED) Machine</v>
          </cell>
          <cell r="G1847" t="str">
            <v>ED</v>
          </cell>
          <cell r="H1847" t="str">
            <v>EMERGENCY UNIT</v>
          </cell>
        </row>
        <row r="1848">
          <cell r="A1848" t="str">
            <v>IKN402193</v>
          </cell>
          <cell r="C1848" t="str">
            <v>TnC fareez 19/11/2024</v>
          </cell>
          <cell r="F1848" t="str">
            <v>Automated External Defibrillator (AED) Machine</v>
          </cell>
          <cell r="G1848" t="str">
            <v>ED</v>
          </cell>
          <cell r="H1848" t="str">
            <v>EMERGENCY UNIT</v>
          </cell>
        </row>
        <row r="1849">
          <cell r="A1849" t="str">
            <v>IKN402194</v>
          </cell>
          <cell r="C1849" t="str">
            <v>TnC Anis 23/1/2025</v>
          </cell>
          <cell r="D1849" t="str">
            <v>KKM/IKN/H/25/14</v>
          </cell>
          <cell r="F1849" t="str">
            <v>Ultrasound Echo</v>
          </cell>
          <cell r="G1849" t="str">
            <v>OC</v>
          </cell>
          <cell r="H1849" t="str">
            <v>ONCOLOGY CLINIC</v>
          </cell>
          <cell r="I1849" t="str">
            <v>03OC136</v>
          </cell>
          <cell r="K1849" t="str">
            <v>BMED</v>
          </cell>
          <cell r="L1849" t="str">
            <v>NORMAL</v>
          </cell>
          <cell r="O1849" t="str">
            <v>IE 33</v>
          </cell>
          <cell r="P1849" t="str">
            <v>B009BF</v>
          </cell>
          <cell r="R1849" t="str">
            <v>PHILIPS</v>
          </cell>
          <cell r="T1849" t="str">
            <v>FUNCTIONING</v>
          </cell>
          <cell r="U1849" t="str">
            <v>ASSET</v>
          </cell>
          <cell r="V1849">
            <v>1454500</v>
          </cell>
          <cell r="AC1849">
            <v>45680</v>
          </cell>
          <cell r="AD1849" t="str">
            <v>GOOD</v>
          </cell>
        </row>
      </sheetData>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sheetName val="B3-SCHEDULED  "/>
      <sheetName val="B4-UPTIME"/>
      <sheetName val="B5-T&amp;C"/>
      <sheetName val="Sheet1"/>
      <sheetName val="Sheet2"/>
    </sheetNames>
    <sheetDataSet>
      <sheetData sheetId="0" refreshError="1"/>
      <sheetData sheetId="1" refreshError="1"/>
      <sheetData sheetId="2" refreshError="1"/>
      <sheetData sheetId="3" refreshError="1">
        <row r="24">
          <cell r="O24">
            <v>0</v>
          </cell>
        </row>
      </sheetData>
      <sheetData sheetId="4" refreshError="1"/>
      <sheetData sheetId="5" refreshError="1"/>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B2 UNSCHEDULED"/>
      <sheetName val="B3-SCHEDULED"/>
      <sheetName val="B4-UPTIME (jan) "/>
      <sheetName val="B5-T&amp;C"/>
      <sheetName val="Sheet1"/>
      <sheetName val="Sheet2"/>
    </sheetNames>
    <sheetDataSet>
      <sheetData sheetId="0"/>
      <sheetData sheetId="1"/>
      <sheetData sheetId="2">
        <row r="11">
          <cell r="E11">
            <v>1437864.7725</v>
          </cell>
        </row>
        <row r="13">
          <cell r="E13">
            <v>36868.327499999999</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6.xml"/><Relationship Id="rId4" Type="http://schemas.openxmlformats.org/officeDocument/2006/relationships/image" Target="../media/image2.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34"/>
  <sheetViews>
    <sheetView tabSelected="1" zoomScale="80" zoomScaleNormal="80" zoomScaleSheetLayoutView="70" workbookViewId="0">
      <selection activeCell="T13" sqref="T13"/>
    </sheetView>
  </sheetViews>
  <sheetFormatPr defaultColWidth="9.140625" defaultRowHeight="12.75"/>
  <cols>
    <col min="1" max="1" width="5.42578125" style="456" customWidth="1"/>
    <col min="2" max="2" width="3.140625" style="456" customWidth="1"/>
    <col min="3" max="3" width="12.85546875" style="456" customWidth="1"/>
    <col min="4" max="4" width="16.85546875" style="456" customWidth="1"/>
    <col min="5" max="5" width="23.140625" style="456" customWidth="1"/>
    <col min="6" max="6" width="13.140625" style="456" customWidth="1"/>
    <col min="7" max="7" width="15.5703125" style="456" customWidth="1"/>
    <col min="8" max="8" width="14.140625" style="456" customWidth="1"/>
    <col min="9" max="11" width="5.85546875" style="456" customWidth="1"/>
    <col min="12" max="13" width="10.85546875" style="456" customWidth="1"/>
    <col min="14" max="14" width="11.7109375" style="456" customWidth="1"/>
    <col min="15" max="15" width="12.140625" style="456" customWidth="1"/>
    <col min="16" max="16384" width="9.140625" style="456"/>
  </cols>
  <sheetData>
    <row r="1" spans="1:22" s="451" customFormat="1" ht="66" customHeight="1">
      <c r="A1" s="747" t="s">
        <v>65</v>
      </c>
      <c r="B1" s="747"/>
      <c r="C1" s="747"/>
      <c r="D1" s="747"/>
      <c r="E1" s="747"/>
      <c r="F1" s="747"/>
      <c r="G1" s="747"/>
      <c r="H1" s="747"/>
      <c r="I1" s="747"/>
      <c r="J1" s="747"/>
      <c r="K1" s="747"/>
      <c r="L1" s="747"/>
      <c r="M1" s="747"/>
      <c r="N1" s="747"/>
      <c r="O1" s="747"/>
      <c r="P1" s="480"/>
      <c r="Q1" s="480"/>
      <c r="R1" s="480"/>
      <c r="S1" s="480"/>
      <c r="T1" s="480"/>
      <c r="U1" s="480"/>
      <c r="V1" s="480"/>
    </row>
    <row r="2" spans="1:22" s="451" customFormat="1" ht="38.25" customHeight="1">
      <c r="A2" s="748" t="s">
        <v>66</v>
      </c>
      <c r="B2" s="748"/>
      <c r="C2" s="748"/>
      <c r="D2" s="748"/>
      <c r="E2" s="748"/>
      <c r="F2" s="748"/>
      <c r="G2" s="748"/>
      <c r="H2" s="748"/>
      <c r="I2" s="748"/>
      <c r="J2" s="748"/>
      <c r="K2" s="748"/>
      <c r="L2" s="748"/>
      <c r="M2" s="748"/>
      <c r="N2" s="748"/>
      <c r="O2" s="748"/>
      <c r="P2" s="481"/>
      <c r="Q2" s="481"/>
      <c r="R2" s="481"/>
      <c r="S2" s="481"/>
      <c r="T2" s="481"/>
      <c r="U2" s="481"/>
      <c r="V2" s="481"/>
    </row>
    <row r="3" spans="1:22" s="451" customFormat="1" ht="11.25" customHeight="1">
      <c r="A3" s="749"/>
      <c r="B3" s="749"/>
      <c r="C3" s="749"/>
      <c r="D3" s="749"/>
      <c r="E3" s="749"/>
      <c r="F3" s="749"/>
      <c r="G3" s="749"/>
      <c r="H3" s="749"/>
      <c r="I3" s="749"/>
      <c r="J3" s="749"/>
      <c r="K3" s="749"/>
      <c r="L3" s="749"/>
      <c r="M3" s="749"/>
      <c r="N3" s="749"/>
      <c r="O3" s="749"/>
      <c r="P3" s="480"/>
      <c r="Q3" s="480"/>
      <c r="R3" s="480"/>
      <c r="S3" s="480"/>
      <c r="T3" s="480"/>
      <c r="U3" s="480"/>
      <c r="V3" s="480"/>
    </row>
    <row r="4" spans="1:22" s="452" customFormat="1" ht="10.5" customHeight="1">
      <c r="A4" s="108"/>
      <c r="B4" s="71"/>
      <c r="C4" s="71"/>
      <c r="D4" s="71"/>
      <c r="E4" s="466"/>
      <c r="F4" s="466"/>
      <c r="G4" s="71"/>
      <c r="H4" s="71"/>
      <c r="I4" s="71"/>
      <c r="J4" s="71"/>
      <c r="K4" s="71"/>
      <c r="L4" s="71"/>
      <c r="M4" s="71"/>
      <c r="N4" s="71"/>
      <c r="O4" s="71"/>
      <c r="P4" s="71"/>
      <c r="Q4" s="71"/>
      <c r="R4" s="71"/>
      <c r="S4" s="71"/>
      <c r="T4" s="71"/>
      <c r="U4" s="71"/>
      <c r="V4" s="71"/>
    </row>
    <row r="5" spans="1:22" s="453" customFormat="1" ht="12.95" customHeight="1">
      <c r="B5" s="457"/>
      <c r="C5" s="457"/>
      <c r="D5" s="457" t="s">
        <v>67</v>
      </c>
      <c r="E5" s="750" t="s">
        <v>68</v>
      </c>
      <c r="F5" s="750"/>
      <c r="G5" s="467"/>
      <c r="H5" s="457"/>
      <c r="I5" s="457" t="s">
        <v>69</v>
      </c>
      <c r="J5" s="741" t="s">
        <v>70</v>
      </c>
      <c r="K5" s="742"/>
      <c r="L5" s="742"/>
      <c r="M5" s="743"/>
      <c r="N5" s="467"/>
      <c r="O5" s="477"/>
      <c r="P5" s="482"/>
      <c r="V5" s="490"/>
    </row>
    <row r="6" spans="1:22" s="453" customFormat="1" ht="8.1" customHeight="1">
      <c r="B6" s="457"/>
      <c r="C6" s="457"/>
      <c r="D6" s="457"/>
      <c r="E6" s="457"/>
      <c r="F6" s="457"/>
      <c r="G6" s="468"/>
      <c r="I6" s="457"/>
      <c r="J6" s="457"/>
      <c r="K6" s="457"/>
      <c r="L6" s="457"/>
      <c r="M6" s="457"/>
      <c r="N6" s="483"/>
      <c r="O6" s="483"/>
      <c r="P6" s="484"/>
      <c r="V6" s="490"/>
    </row>
    <row r="7" spans="1:22" s="453" customFormat="1" ht="12.95" customHeight="1">
      <c r="B7" s="457"/>
      <c r="C7" s="457"/>
      <c r="D7" s="457" t="s">
        <v>71</v>
      </c>
      <c r="E7" s="739">
        <v>46113</v>
      </c>
      <c r="F7" s="740"/>
      <c r="G7" s="467"/>
      <c r="I7" s="457" t="s">
        <v>72</v>
      </c>
      <c r="J7" s="741" t="s">
        <v>73</v>
      </c>
      <c r="K7" s="742"/>
      <c r="L7" s="742"/>
      <c r="M7" s="743"/>
      <c r="N7" s="467"/>
      <c r="O7" s="485"/>
      <c r="P7" s="482"/>
      <c r="V7" s="490"/>
    </row>
    <row r="8" spans="1:22" s="453" customFormat="1" ht="8.1" customHeight="1">
      <c r="B8" s="457"/>
      <c r="C8" s="457"/>
      <c r="D8" s="457"/>
      <c r="E8" s="514" t="s">
        <v>74</v>
      </c>
      <c r="F8" s="457"/>
      <c r="G8" s="468"/>
      <c r="I8" s="457"/>
      <c r="J8" s="457"/>
      <c r="K8" s="457"/>
      <c r="L8" s="457"/>
      <c r="M8" s="457"/>
      <c r="N8" s="486"/>
      <c r="O8" s="486"/>
      <c r="P8" s="486"/>
      <c r="V8" s="490"/>
    </row>
    <row r="9" spans="1:22" s="453" customFormat="1" ht="12.95" customHeight="1">
      <c r="A9" s="734" t="s">
        <v>75</v>
      </c>
      <c r="B9" s="734"/>
      <c r="C9" s="734"/>
      <c r="D9" s="735"/>
      <c r="E9" s="744">
        <v>1363910.93</v>
      </c>
      <c r="F9" s="745"/>
      <c r="G9" s="467"/>
      <c r="I9" s="457"/>
      <c r="J9" s="477"/>
      <c r="K9" s="477"/>
      <c r="L9" s="477"/>
      <c r="M9" s="477"/>
      <c r="N9" s="486"/>
      <c r="O9" s="486"/>
      <c r="P9" s="486"/>
      <c r="V9" s="490"/>
    </row>
    <row r="10" spans="1:22" s="453" customFormat="1" ht="8.1" customHeight="1">
      <c r="B10" s="457"/>
      <c r="C10" s="457"/>
      <c r="D10" s="457"/>
      <c r="E10" s="469"/>
      <c r="F10" s="469"/>
      <c r="G10" s="468"/>
      <c r="I10" s="457"/>
      <c r="J10" s="457"/>
      <c r="K10" s="457"/>
      <c r="L10" s="457"/>
      <c r="M10" s="457"/>
      <c r="N10" s="486"/>
      <c r="O10" s="486"/>
      <c r="P10" s="486"/>
      <c r="V10" s="490"/>
    </row>
    <row r="11" spans="1:22" s="453" customFormat="1" ht="12.95" customHeight="1">
      <c r="A11" s="733" t="s">
        <v>76</v>
      </c>
      <c r="B11" s="733"/>
      <c r="C11" s="733"/>
      <c r="D11" s="746"/>
      <c r="E11" s="744">
        <f>97.5%*E9</f>
        <v>1329813.1567500001</v>
      </c>
      <c r="F11" s="745"/>
      <c r="G11" s="470"/>
      <c r="I11" s="457"/>
      <c r="J11" s="477"/>
      <c r="K11" s="477"/>
      <c r="L11" s="477"/>
      <c r="M11" s="477"/>
      <c r="N11" s="486"/>
      <c r="O11" s="486"/>
      <c r="P11" s="486"/>
      <c r="V11" s="490"/>
    </row>
    <row r="12" spans="1:22" s="453" customFormat="1" ht="8.1" customHeight="1">
      <c r="B12" s="457"/>
      <c r="C12" s="459"/>
      <c r="D12" s="459"/>
      <c r="E12" s="471"/>
      <c r="F12" s="471"/>
      <c r="G12" s="472"/>
      <c r="H12" s="458"/>
      <c r="I12" s="458"/>
      <c r="J12" s="458"/>
      <c r="K12" s="458"/>
      <c r="L12" s="478"/>
      <c r="M12" s="486"/>
      <c r="N12" s="486"/>
      <c r="O12" s="486"/>
      <c r="P12" s="486"/>
      <c r="V12" s="490"/>
    </row>
    <row r="13" spans="1:22" s="453" customFormat="1" ht="12.95" customHeight="1">
      <c r="A13" s="733" t="s">
        <v>77</v>
      </c>
      <c r="B13" s="734"/>
      <c r="C13" s="734"/>
      <c r="D13" s="735"/>
      <c r="E13" s="736">
        <f>2.5%*E9</f>
        <v>34097.773249999998</v>
      </c>
      <c r="F13" s="737"/>
      <c r="G13" s="467"/>
      <c r="I13" s="457"/>
      <c r="J13" s="477"/>
      <c r="K13" s="477"/>
      <c r="L13" s="477"/>
      <c r="M13" s="477"/>
      <c r="N13" s="486"/>
      <c r="O13" s="486"/>
      <c r="P13" s="486"/>
      <c r="V13" s="490"/>
    </row>
    <row r="14" spans="1:22" s="454" customFormat="1" ht="8.1" customHeight="1">
      <c r="B14" s="460"/>
      <c r="C14" s="460"/>
      <c r="D14" s="460"/>
      <c r="E14" s="460"/>
      <c r="F14" s="460"/>
      <c r="G14" s="473"/>
      <c r="I14" s="460"/>
      <c r="J14" s="460"/>
      <c r="K14" s="460"/>
      <c r="L14" s="460"/>
      <c r="M14" s="460"/>
      <c r="N14" s="487"/>
      <c r="O14" s="487"/>
      <c r="P14" s="487"/>
      <c r="V14" s="491"/>
    </row>
    <row r="15" spans="1:22">
      <c r="A15" s="461"/>
      <c r="B15" s="461"/>
      <c r="C15" s="461"/>
      <c r="D15" s="461"/>
      <c r="E15" s="474"/>
      <c r="F15" s="474"/>
      <c r="G15" s="475"/>
      <c r="H15" s="476"/>
      <c r="I15" s="479"/>
      <c r="J15" s="479"/>
      <c r="K15" s="479"/>
      <c r="L15" s="479"/>
      <c r="M15" s="479"/>
      <c r="N15" s="479"/>
      <c r="O15" s="479"/>
    </row>
    <row r="16" spans="1:22">
      <c r="A16" s="461"/>
      <c r="B16" s="461"/>
      <c r="C16" s="461"/>
      <c r="D16" s="461"/>
      <c r="E16" s="474"/>
      <c r="F16" s="474"/>
      <c r="G16" s="475"/>
      <c r="H16" s="476"/>
      <c r="I16" s="479"/>
      <c r="J16" s="479"/>
      <c r="K16" s="479"/>
      <c r="L16" s="479"/>
      <c r="M16" s="479"/>
      <c r="N16" s="479"/>
      <c r="O16" s="479"/>
    </row>
    <row r="17" spans="1:15" ht="25.5" customHeight="1">
      <c r="A17" s="723" t="s">
        <v>78</v>
      </c>
      <c r="B17" s="723" t="s">
        <v>79</v>
      </c>
      <c r="C17" s="723"/>
      <c r="D17" s="723"/>
      <c r="E17" s="723"/>
      <c r="F17" s="723"/>
      <c r="G17" s="723"/>
      <c r="H17" s="723"/>
      <c r="I17" s="723" t="s">
        <v>80</v>
      </c>
      <c r="J17" s="723"/>
      <c r="K17" s="723"/>
      <c r="L17" s="723" t="s">
        <v>81</v>
      </c>
      <c r="M17" s="725"/>
      <c r="N17" s="727" t="s">
        <v>82</v>
      </c>
      <c r="O17" s="723" t="s">
        <v>83</v>
      </c>
    </row>
    <row r="18" spans="1:15" ht="12" customHeight="1">
      <c r="A18" s="726"/>
      <c r="B18" s="723"/>
      <c r="C18" s="723"/>
      <c r="D18" s="723"/>
      <c r="E18" s="723"/>
      <c r="F18" s="723"/>
      <c r="G18" s="723"/>
      <c r="H18" s="723"/>
      <c r="I18" s="723"/>
      <c r="J18" s="723"/>
      <c r="K18" s="723"/>
      <c r="L18" s="725"/>
      <c r="M18" s="725"/>
      <c r="N18" s="727"/>
      <c r="O18" s="723"/>
    </row>
    <row r="19" spans="1:15" ht="35.25" customHeight="1">
      <c r="A19" s="462" t="s">
        <v>8</v>
      </c>
      <c r="B19" s="738" t="s">
        <v>84</v>
      </c>
      <c r="C19" s="738"/>
      <c r="D19" s="738"/>
      <c r="E19" s="738"/>
      <c r="F19" s="738"/>
      <c r="G19" s="738"/>
      <c r="H19" s="738"/>
      <c r="I19" s="729" t="s">
        <v>10</v>
      </c>
      <c r="J19" s="729"/>
      <c r="K19" s="729"/>
      <c r="L19" s="730">
        <v>0</v>
      </c>
      <c r="M19" s="730"/>
      <c r="N19" s="488">
        <v>0</v>
      </c>
      <c r="O19" s="488">
        <f t="shared" ref="O19:O24" si="0">100-N19</f>
        <v>100</v>
      </c>
    </row>
    <row r="20" spans="1:15" ht="35.25" customHeight="1">
      <c r="A20" s="463" t="s">
        <v>14</v>
      </c>
      <c r="B20" s="728" t="s">
        <v>85</v>
      </c>
      <c r="C20" s="728"/>
      <c r="D20" s="728"/>
      <c r="E20" s="728"/>
      <c r="F20" s="728"/>
      <c r="G20" s="728"/>
      <c r="H20" s="728"/>
      <c r="I20" s="729" t="s">
        <v>16</v>
      </c>
      <c r="J20" s="729"/>
      <c r="K20" s="729"/>
      <c r="L20" s="731">
        <f>'B1&amp;B2 UNSCHEDULED'!U122</f>
        <v>1600</v>
      </c>
      <c r="M20" s="732"/>
      <c r="N20" s="488">
        <f t="shared" ref="N20:N23" si="1">L20/$E$11%</f>
        <v>0.12031765454256173</v>
      </c>
      <c r="O20" s="488">
        <f t="shared" si="0"/>
        <v>99.879682345457439</v>
      </c>
    </row>
    <row r="21" spans="1:15" ht="35.25" customHeight="1">
      <c r="A21" s="462" t="s">
        <v>18</v>
      </c>
      <c r="B21" s="728" t="s">
        <v>86</v>
      </c>
      <c r="C21" s="728"/>
      <c r="D21" s="728"/>
      <c r="E21" s="728"/>
      <c r="F21" s="728"/>
      <c r="G21" s="728"/>
      <c r="H21" s="728"/>
      <c r="I21" s="729" t="s">
        <v>10</v>
      </c>
      <c r="J21" s="729"/>
      <c r="K21" s="729"/>
      <c r="L21" s="731">
        <f>'B3-SCHEDULED'!L313</f>
        <v>0</v>
      </c>
      <c r="M21" s="732"/>
      <c r="N21" s="488">
        <f t="shared" si="1"/>
        <v>0</v>
      </c>
      <c r="O21" s="488">
        <f t="shared" si="0"/>
        <v>100</v>
      </c>
    </row>
    <row r="22" spans="1:15" ht="35.25" customHeight="1">
      <c r="A22" s="462" t="s">
        <v>23</v>
      </c>
      <c r="B22" s="728" t="s">
        <v>87</v>
      </c>
      <c r="C22" s="728"/>
      <c r="D22" s="728"/>
      <c r="E22" s="728"/>
      <c r="F22" s="728"/>
      <c r="G22" s="728"/>
      <c r="H22" s="728"/>
      <c r="I22" s="729" t="s">
        <v>10</v>
      </c>
      <c r="J22" s="729"/>
      <c r="K22" s="729"/>
      <c r="L22" s="730">
        <v>0</v>
      </c>
      <c r="M22" s="730"/>
      <c r="N22" s="488">
        <f t="shared" si="1"/>
        <v>0</v>
      </c>
      <c r="O22" s="488">
        <f t="shared" si="0"/>
        <v>100</v>
      </c>
    </row>
    <row r="23" spans="1:15" ht="35.25" customHeight="1">
      <c r="A23" s="462" t="s">
        <v>29</v>
      </c>
      <c r="B23" s="728" t="s">
        <v>88</v>
      </c>
      <c r="C23" s="728"/>
      <c r="D23" s="728"/>
      <c r="E23" s="728"/>
      <c r="F23" s="728"/>
      <c r="G23" s="728"/>
      <c r="H23" s="728"/>
      <c r="I23" s="729" t="s">
        <v>10</v>
      </c>
      <c r="J23" s="729"/>
      <c r="K23" s="729"/>
      <c r="L23" s="730">
        <f>'B5-T&amp;C'!O24</f>
        <v>0</v>
      </c>
      <c r="M23" s="730"/>
      <c r="N23" s="488">
        <f t="shared" si="1"/>
        <v>0</v>
      </c>
      <c r="O23" s="488">
        <f t="shared" si="0"/>
        <v>100</v>
      </c>
    </row>
    <row r="24" spans="1:15" ht="35.25" customHeight="1">
      <c r="A24" s="723" t="s">
        <v>89</v>
      </c>
      <c r="B24" s="723"/>
      <c r="C24" s="723"/>
      <c r="D24" s="723"/>
      <c r="E24" s="723"/>
      <c r="F24" s="723"/>
      <c r="G24" s="723"/>
      <c r="H24" s="723"/>
      <c r="I24" s="723"/>
      <c r="J24" s="723"/>
      <c r="K24" s="723"/>
      <c r="L24" s="724">
        <f>SUM(L19:M23)</f>
        <v>1600</v>
      </c>
      <c r="M24" s="725"/>
      <c r="N24" s="488">
        <f>SUM(N19:N23)</f>
        <v>0.12031765454256173</v>
      </c>
      <c r="O24" s="488">
        <f t="shared" si="0"/>
        <v>99.879682345457439</v>
      </c>
    </row>
    <row r="25" spans="1:15" ht="7.5" customHeight="1">
      <c r="N25" s="489"/>
    </row>
    <row r="26" spans="1:15" ht="9.6" customHeight="1"/>
    <row r="27" spans="1:15" s="455" customFormat="1" ht="12">
      <c r="C27" s="455" t="s">
        <v>90</v>
      </c>
      <c r="I27" s="455" t="s">
        <v>91</v>
      </c>
    </row>
    <row r="28" spans="1:15" s="455" customFormat="1" ht="12"/>
    <row r="29" spans="1:15" s="455" customFormat="1" ht="12"/>
    <row r="30" spans="1:15" s="455" customFormat="1" ht="12">
      <c r="C30" s="464"/>
      <c r="D30" s="464"/>
      <c r="I30" s="464"/>
      <c r="J30" s="464"/>
      <c r="K30" s="464"/>
      <c r="L30" s="464"/>
    </row>
    <row r="31" spans="1:15" s="455" customFormat="1" ht="17.25" customHeight="1">
      <c r="C31" s="465" t="s">
        <v>92</v>
      </c>
      <c r="I31" s="465" t="s">
        <v>93</v>
      </c>
    </row>
    <row r="32" spans="1:15" s="455" customFormat="1" ht="15.6" customHeight="1">
      <c r="C32" s="455" t="s">
        <v>94</v>
      </c>
      <c r="I32" s="455" t="s">
        <v>95</v>
      </c>
    </row>
    <row r="33" spans="3:9" s="455" customFormat="1" ht="13.5" customHeight="1">
      <c r="C33" s="455" t="s">
        <v>96</v>
      </c>
      <c r="I33" s="455" t="s">
        <v>96</v>
      </c>
    </row>
    <row r="34" spans="3:9" s="455" customFormat="1" ht="13.5" customHeight="1">
      <c r="C34" s="455" t="s">
        <v>97</v>
      </c>
      <c r="I34" s="455" t="s">
        <v>97</v>
      </c>
    </row>
  </sheetData>
  <mergeCells count="36">
    <mergeCell ref="A1:O1"/>
    <mergeCell ref="A2:O2"/>
    <mergeCell ref="A3:O3"/>
    <mergeCell ref="E5:F5"/>
    <mergeCell ref="J5:M5"/>
    <mergeCell ref="E7:F7"/>
    <mergeCell ref="J7:M7"/>
    <mergeCell ref="A9:D9"/>
    <mergeCell ref="E9:F9"/>
    <mergeCell ref="A11:D11"/>
    <mergeCell ref="E11:F11"/>
    <mergeCell ref="L20:M20"/>
    <mergeCell ref="B21:H21"/>
    <mergeCell ref="I21:K21"/>
    <mergeCell ref="L21:M21"/>
    <mergeCell ref="A13:D13"/>
    <mergeCell ref="E13:F13"/>
    <mergeCell ref="B19:H19"/>
    <mergeCell ref="I19:K19"/>
    <mergeCell ref="L19:M19"/>
    <mergeCell ref="A24:K24"/>
    <mergeCell ref="L24:M24"/>
    <mergeCell ref="A17:A18"/>
    <mergeCell ref="N17:N18"/>
    <mergeCell ref="O17:O18"/>
    <mergeCell ref="B17:H18"/>
    <mergeCell ref="I17:K18"/>
    <mergeCell ref="L17:M18"/>
    <mergeCell ref="B22:H22"/>
    <mergeCell ref="I22:K22"/>
    <mergeCell ref="L22:M22"/>
    <mergeCell ref="B23:H23"/>
    <mergeCell ref="I23:K23"/>
    <mergeCell ref="L23:M23"/>
    <mergeCell ref="B20:H20"/>
    <mergeCell ref="I20:K20"/>
  </mergeCells>
  <pageMargins left="0.70866141732283505" right="0.31496062992126" top="0.70866141732283505" bottom="0.55118110236220497" header="0.31496062992126" footer="0.31496062992126"/>
  <pageSetup paperSize="9" scale="79"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O209"/>
  <sheetViews>
    <sheetView topLeftCell="I103" zoomScale="20" zoomScaleNormal="20" zoomScaleSheetLayoutView="26" zoomScalePageLayoutView="60" workbookViewId="0">
      <selection activeCell="Z104" sqref="Z104"/>
    </sheetView>
  </sheetViews>
  <sheetFormatPr defaultColWidth="9.140625" defaultRowHeight="36"/>
  <cols>
    <col min="1" max="1" width="21" style="311" customWidth="1"/>
    <col min="2" max="2" width="76.85546875" style="312" customWidth="1"/>
    <col min="3" max="3" width="78.5703125" style="313" customWidth="1"/>
    <col min="4" max="4" width="65.5703125" style="608" customWidth="1"/>
    <col min="5" max="5" width="77.140625" style="312" customWidth="1"/>
    <col min="6" max="6" width="54.85546875" style="312" customWidth="1"/>
    <col min="7" max="7" width="94.42578125" style="313" customWidth="1"/>
    <col min="8" max="8" width="132.28515625" style="311" bestFit="1" customWidth="1"/>
    <col min="9" max="9" width="40.140625" style="314" customWidth="1"/>
    <col min="10" max="10" width="93" style="315" customWidth="1"/>
    <col min="11" max="11" width="82.42578125" style="316" customWidth="1"/>
    <col min="12" max="12" width="90.140625" style="317" customWidth="1"/>
    <col min="13" max="13" width="42.42578125" style="318" customWidth="1"/>
    <col min="14" max="14" width="21" style="311" customWidth="1"/>
    <col min="15" max="15" width="22.85546875" style="311" customWidth="1"/>
    <col min="16" max="16" width="15.42578125" style="312" customWidth="1"/>
    <col min="17" max="17" width="19.42578125" style="311" customWidth="1"/>
    <col min="18" max="18" width="27.140625" style="311" customWidth="1"/>
    <col min="19" max="19" width="40" style="319" customWidth="1"/>
    <col min="20" max="20" width="27.140625" style="320" customWidth="1"/>
    <col min="21" max="21" width="44" style="311" customWidth="1"/>
    <col min="22" max="22" width="148.42578125" style="321" customWidth="1"/>
    <col min="23" max="23" width="53.85546875" style="322" customWidth="1"/>
    <col min="24" max="16381" width="9.140625" style="322"/>
    <col min="16382" max="16382" width="57.140625" style="322" customWidth="1"/>
    <col min="16383" max="16384" width="9.140625" style="322"/>
  </cols>
  <sheetData>
    <row r="1" spans="1:22" s="300" customFormat="1" ht="93.75" customHeight="1">
      <c r="A1" s="792"/>
      <c r="B1" s="792"/>
      <c r="C1" s="792"/>
      <c r="D1" s="792"/>
      <c r="E1" s="792"/>
      <c r="F1" s="792"/>
      <c r="G1" s="792"/>
      <c r="H1" s="792"/>
      <c r="I1" s="792"/>
      <c r="J1" s="792"/>
      <c r="K1" s="792"/>
      <c r="L1" s="792"/>
      <c r="M1" s="792"/>
      <c r="N1" s="792"/>
      <c r="O1" s="792"/>
      <c r="P1" s="792"/>
      <c r="Q1" s="792"/>
      <c r="R1" s="792"/>
      <c r="S1" s="792"/>
      <c r="T1" s="792"/>
      <c r="U1" s="792"/>
      <c r="V1" s="793"/>
    </row>
    <row r="2" spans="1:22" ht="39.950000000000003" customHeight="1">
      <c r="A2" s="794" t="s">
        <v>65</v>
      </c>
      <c r="B2" s="794"/>
      <c r="C2" s="794"/>
      <c r="D2" s="794"/>
      <c r="E2" s="794"/>
      <c r="F2" s="794"/>
      <c r="G2" s="794"/>
      <c r="H2" s="794"/>
      <c r="I2" s="794"/>
      <c r="J2" s="794"/>
      <c r="K2" s="794"/>
      <c r="L2" s="794"/>
      <c r="M2" s="794"/>
      <c r="N2" s="794"/>
      <c r="O2" s="794"/>
      <c r="P2" s="794"/>
      <c r="Q2" s="794"/>
      <c r="R2" s="794"/>
      <c r="S2" s="794"/>
      <c r="T2" s="794"/>
      <c r="U2" s="794"/>
      <c r="V2" s="794"/>
    </row>
    <row r="3" spans="1:22" ht="69.95" customHeight="1">
      <c r="A3" s="794" t="s">
        <v>98</v>
      </c>
      <c r="B3" s="794"/>
      <c r="C3" s="794"/>
      <c r="D3" s="794"/>
      <c r="E3" s="794"/>
      <c r="F3" s="794"/>
      <c r="G3" s="794"/>
      <c r="H3" s="794"/>
      <c r="I3" s="794"/>
      <c r="J3" s="794"/>
      <c r="K3" s="794"/>
      <c r="L3" s="794"/>
      <c r="M3" s="794"/>
      <c r="N3" s="794"/>
      <c r="O3" s="794"/>
      <c r="P3" s="794"/>
      <c r="Q3" s="794"/>
      <c r="R3" s="794"/>
      <c r="S3" s="794"/>
      <c r="T3" s="794"/>
      <c r="U3" s="794"/>
      <c r="V3" s="794"/>
    </row>
    <row r="4" spans="1:22" ht="39.950000000000003" customHeight="1">
      <c r="A4" s="794" t="s">
        <v>99</v>
      </c>
      <c r="B4" s="794"/>
      <c r="C4" s="794"/>
      <c r="D4" s="794"/>
      <c r="E4" s="794"/>
      <c r="F4" s="794"/>
      <c r="G4" s="794"/>
      <c r="H4" s="794"/>
      <c r="I4" s="794"/>
      <c r="J4" s="794"/>
      <c r="K4" s="794"/>
      <c r="L4" s="794"/>
      <c r="M4" s="794"/>
      <c r="N4" s="794"/>
      <c r="O4" s="794"/>
      <c r="P4" s="794"/>
      <c r="Q4" s="794"/>
      <c r="R4" s="794"/>
      <c r="S4" s="794"/>
      <c r="T4" s="794"/>
      <c r="U4" s="794"/>
      <c r="V4" s="794"/>
    </row>
    <row r="5" spans="1:22">
      <c r="A5" s="325"/>
      <c r="B5" s="324"/>
      <c r="C5" s="326"/>
      <c r="D5" s="598"/>
      <c r="E5" s="324"/>
      <c r="F5" s="324"/>
      <c r="G5" s="326"/>
      <c r="H5" s="324"/>
      <c r="I5" s="348"/>
      <c r="J5" s="349"/>
      <c r="K5" s="350"/>
      <c r="L5" s="350"/>
      <c r="M5" s="363"/>
      <c r="N5" s="364"/>
      <c r="O5" s="364"/>
      <c r="P5" s="364"/>
      <c r="Q5" s="364"/>
      <c r="R5" s="364"/>
      <c r="S5" s="382"/>
      <c r="T5" s="383"/>
      <c r="U5" s="364"/>
      <c r="V5" s="391"/>
    </row>
    <row r="6" spans="1:22" ht="68.25" customHeight="1">
      <c r="A6" s="774" t="s">
        <v>100</v>
      </c>
      <c r="B6" s="775"/>
      <c r="C6" s="776" t="s">
        <v>101</v>
      </c>
      <c r="D6" s="777"/>
      <c r="E6" s="777"/>
      <c r="F6" s="777"/>
      <c r="G6" s="778"/>
      <c r="H6" s="323"/>
      <c r="I6" s="786" t="s">
        <v>102</v>
      </c>
      <c r="J6" s="786"/>
      <c r="K6" s="786"/>
      <c r="L6" s="787"/>
      <c r="M6" s="788">
        <v>46113</v>
      </c>
      <c r="N6" s="789"/>
      <c r="O6" s="789"/>
      <c r="P6" s="365"/>
      <c r="Q6" s="790" t="s">
        <v>103</v>
      </c>
      <c r="R6" s="790"/>
      <c r="S6" s="791"/>
    </row>
    <row r="7" spans="1:22" ht="68.25" customHeight="1">
      <c r="A7" s="323"/>
      <c r="B7" s="327"/>
      <c r="C7" s="328"/>
      <c r="D7" s="599"/>
      <c r="E7" s="327"/>
      <c r="F7" s="327"/>
      <c r="G7" s="328"/>
      <c r="H7" s="323"/>
      <c r="I7" s="351"/>
      <c r="J7" s="352"/>
      <c r="K7" s="353"/>
      <c r="L7" s="354"/>
      <c r="M7" s="366"/>
      <c r="N7" s="367"/>
      <c r="O7" s="367"/>
      <c r="P7" s="367"/>
      <c r="Q7" s="384"/>
    </row>
    <row r="8" spans="1:22" ht="68.25" customHeight="1">
      <c r="A8" s="774" t="s">
        <v>104</v>
      </c>
      <c r="B8" s="775"/>
      <c r="C8" s="776" t="s">
        <v>105</v>
      </c>
      <c r="D8" s="777"/>
      <c r="E8" s="777"/>
      <c r="F8" s="777"/>
      <c r="G8" s="778"/>
      <c r="H8" s="323"/>
      <c r="I8" s="786" t="s">
        <v>106</v>
      </c>
      <c r="J8" s="786"/>
      <c r="K8" s="786"/>
      <c r="L8" s="787"/>
      <c r="M8" s="788">
        <v>46142</v>
      </c>
      <c r="N8" s="789"/>
      <c r="O8" s="789"/>
      <c r="P8" s="368"/>
      <c r="Q8" s="790" t="s">
        <v>103</v>
      </c>
      <c r="R8" s="790"/>
      <c r="S8" s="791"/>
    </row>
    <row r="9" spans="1:22" ht="68.25" customHeight="1">
      <c r="A9" s="323"/>
      <c r="B9" s="327"/>
      <c r="C9" s="328"/>
      <c r="D9" s="599"/>
      <c r="E9" s="327"/>
      <c r="F9" s="327"/>
      <c r="G9" s="328"/>
      <c r="H9" s="323"/>
      <c r="I9" s="351"/>
      <c r="J9" s="352"/>
      <c r="K9" s="353"/>
      <c r="L9" s="354"/>
      <c r="M9" s="369"/>
      <c r="N9" s="370"/>
      <c r="O9" s="370"/>
      <c r="P9" s="370"/>
      <c r="Q9" s="370"/>
    </row>
    <row r="10" spans="1:22" ht="68.25" customHeight="1">
      <c r="A10" s="774" t="s">
        <v>107</v>
      </c>
      <c r="B10" s="775"/>
      <c r="C10" s="776" t="s">
        <v>108</v>
      </c>
      <c r="D10" s="777"/>
      <c r="E10" s="777"/>
      <c r="F10" s="777"/>
      <c r="G10" s="778"/>
      <c r="H10" s="339"/>
      <c r="I10" s="779" t="s">
        <v>109</v>
      </c>
      <c r="J10" s="779"/>
      <c r="K10" s="779"/>
      <c r="L10" s="780"/>
      <c r="M10" s="781">
        <f>BEMSdar!E11</f>
        <v>1329813.1567500001</v>
      </c>
      <c r="N10" s="782"/>
      <c r="O10" s="371"/>
      <c r="P10" s="371"/>
      <c r="Q10" s="385"/>
    </row>
    <row r="11" spans="1:22" ht="68.25" customHeight="1">
      <c r="A11" s="323"/>
      <c r="B11" s="327"/>
      <c r="C11" s="328"/>
      <c r="D11" s="599"/>
      <c r="E11" s="327"/>
      <c r="F11" s="327"/>
      <c r="G11" s="328"/>
      <c r="H11" s="323"/>
      <c r="I11" s="351"/>
      <c r="J11" s="352"/>
      <c r="K11" s="353"/>
      <c r="L11" s="354"/>
      <c r="M11" s="369"/>
      <c r="N11" s="370"/>
      <c r="O11" s="370"/>
      <c r="P11" s="370"/>
      <c r="Q11" s="370"/>
    </row>
    <row r="12" spans="1:22" ht="68.25" customHeight="1">
      <c r="A12" s="774" t="s">
        <v>110</v>
      </c>
      <c r="B12" s="775"/>
      <c r="C12" s="783">
        <v>46082</v>
      </c>
      <c r="D12" s="784"/>
      <c r="E12" s="784"/>
      <c r="F12" s="784"/>
      <c r="G12" s="785"/>
      <c r="H12" s="339"/>
      <c r="I12" s="779" t="s">
        <v>111</v>
      </c>
      <c r="J12" s="779"/>
      <c r="K12" s="779"/>
      <c r="L12" s="780"/>
      <c r="M12" s="781">
        <f>BEMSdar!E13</f>
        <v>34097.773249999998</v>
      </c>
      <c r="N12" s="782"/>
      <c r="O12" s="371"/>
      <c r="P12" s="371"/>
      <c r="Q12" s="385"/>
    </row>
    <row r="13" spans="1:22">
      <c r="A13" s="323"/>
      <c r="B13" s="327"/>
      <c r="C13" s="328"/>
      <c r="D13" s="599"/>
      <c r="E13" s="327"/>
      <c r="F13" s="327"/>
      <c r="G13" s="328"/>
      <c r="H13" s="323"/>
      <c r="I13" s="351"/>
      <c r="J13" s="352"/>
      <c r="K13" s="353"/>
      <c r="L13" s="354"/>
    </row>
    <row r="14" spans="1:22" s="301" customFormat="1">
      <c r="A14" s="329" t="s">
        <v>112</v>
      </c>
      <c r="B14" s="327"/>
      <c r="C14" s="328"/>
      <c r="D14" s="599"/>
      <c r="E14" s="327"/>
      <c r="F14" s="327"/>
      <c r="G14" s="328"/>
      <c r="H14" s="323"/>
      <c r="I14" s="351"/>
      <c r="J14" s="352"/>
      <c r="K14" s="353"/>
      <c r="L14" s="354"/>
      <c r="M14" s="318"/>
      <c r="N14" s="311"/>
      <c r="O14" s="311"/>
      <c r="P14" s="312"/>
      <c r="Q14" s="311"/>
      <c r="R14" s="311"/>
      <c r="S14" s="319"/>
      <c r="T14" s="320"/>
      <c r="U14" s="311"/>
      <c r="V14" s="321"/>
    </row>
    <row r="15" spans="1:22" s="301" customFormat="1">
      <c r="A15" s="329" t="s">
        <v>113</v>
      </c>
      <c r="B15" s="327"/>
      <c r="C15" s="328"/>
      <c r="D15" s="599"/>
      <c r="E15" s="327"/>
      <c r="F15" s="327"/>
      <c r="G15" s="328"/>
      <c r="H15" s="323"/>
      <c r="I15" s="351"/>
      <c r="J15" s="352"/>
      <c r="K15" s="353"/>
      <c r="L15" s="354"/>
      <c r="M15" s="318"/>
      <c r="N15" s="311"/>
      <c r="O15" s="311"/>
      <c r="P15" s="312"/>
      <c r="Q15" s="311"/>
      <c r="R15" s="311"/>
      <c r="S15" s="319"/>
      <c r="T15" s="320"/>
      <c r="U15" s="311"/>
      <c r="V15" s="321"/>
    </row>
    <row r="16" spans="1:22" s="301" customFormat="1">
      <c r="A16" s="329" t="s">
        <v>114</v>
      </c>
      <c r="B16" s="327"/>
      <c r="C16" s="328"/>
      <c r="D16" s="599"/>
      <c r="E16" s="327"/>
      <c r="F16" s="327"/>
      <c r="G16" s="328"/>
      <c r="H16" s="323"/>
      <c r="I16" s="351"/>
      <c r="J16" s="352"/>
      <c r="K16" s="353"/>
      <c r="L16" s="354"/>
      <c r="M16" s="318"/>
      <c r="N16" s="311"/>
      <c r="O16" s="311"/>
      <c r="P16" s="312"/>
      <c r="Q16" s="311"/>
      <c r="R16" s="311"/>
      <c r="S16" s="319"/>
      <c r="T16" s="320"/>
      <c r="U16" s="311"/>
      <c r="V16" s="321"/>
    </row>
    <row r="17" spans="1:23" s="301" customFormat="1">
      <c r="A17" s="329" t="s">
        <v>115</v>
      </c>
      <c r="B17" s="327"/>
      <c r="C17" s="328"/>
      <c r="D17" s="599"/>
      <c r="E17" s="327"/>
      <c r="F17" s="327"/>
      <c r="G17" s="328"/>
      <c r="H17" s="323"/>
      <c r="I17" s="351"/>
      <c r="J17" s="352"/>
      <c r="K17" s="353"/>
      <c r="L17" s="354"/>
      <c r="M17" s="318"/>
      <c r="N17" s="311"/>
      <c r="O17" s="311"/>
      <c r="P17" s="312"/>
      <c r="Q17" s="311"/>
      <c r="R17" s="311"/>
      <c r="S17" s="319"/>
      <c r="T17" s="320"/>
      <c r="U17" s="311"/>
      <c r="V17" s="321"/>
    </row>
    <row r="18" spans="1:23" s="301" customFormat="1">
      <c r="A18" s="329" t="s">
        <v>116</v>
      </c>
      <c r="B18" s="327"/>
      <c r="C18" s="328"/>
      <c r="D18" s="599"/>
      <c r="E18" s="327"/>
      <c r="F18" s="327"/>
      <c r="G18" s="328"/>
      <c r="H18" s="323"/>
      <c r="I18" s="351"/>
      <c r="J18" s="352"/>
      <c r="K18" s="353"/>
      <c r="L18" s="354"/>
      <c r="M18" s="318"/>
      <c r="N18" s="311"/>
      <c r="O18" s="311"/>
      <c r="P18" s="312"/>
      <c r="Q18" s="311"/>
      <c r="R18" s="311"/>
      <c r="S18" s="319"/>
      <c r="T18" s="320"/>
      <c r="U18" s="311"/>
      <c r="V18" s="321"/>
    </row>
    <row r="19" spans="1:23" s="301" customFormat="1">
      <c r="A19" s="329" t="s">
        <v>117</v>
      </c>
      <c r="B19" s="327"/>
      <c r="C19" s="328"/>
      <c r="D19" s="599"/>
      <c r="E19" s="327"/>
      <c r="F19" s="327"/>
      <c r="G19" s="328"/>
      <c r="H19" s="323"/>
      <c r="I19" s="351"/>
      <c r="J19" s="352"/>
      <c r="K19" s="353"/>
      <c r="L19" s="354"/>
      <c r="M19" s="318"/>
      <c r="N19" s="311"/>
      <c r="O19" s="311"/>
      <c r="P19" s="312"/>
      <c r="Q19" s="311"/>
      <c r="R19" s="311"/>
      <c r="S19" s="319"/>
      <c r="T19" s="320"/>
      <c r="U19" s="311"/>
      <c r="V19" s="321"/>
    </row>
    <row r="20" spans="1:23">
      <c r="A20" s="323"/>
      <c r="B20" s="327"/>
      <c r="C20" s="328"/>
      <c r="D20" s="599"/>
      <c r="E20" s="340"/>
      <c r="F20" s="341"/>
      <c r="G20" s="342"/>
      <c r="H20" s="343"/>
      <c r="I20" s="355"/>
      <c r="J20" s="356"/>
      <c r="K20" s="357"/>
      <c r="L20" s="350"/>
    </row>
    <row r="21" spans="1:23" s="302" customFormat="1" ht="135" customHeight="1">
      <c r="A21" s="760" t="s">
        <v>78</v>
      </c>
      <c r="B21" s="761" t="s">
        <v>118</v>
      </c>
      <c r="C21" s="762" t="s">
        <v>119</v>
      </c>
      <c r="D21" s="764" t="s">
        <v>120</v>
      </c>
      <c r="E21" s="761" t="s">
        <v>121</v>
      </c>
      <c r="F21" s="760" t="s">
        <v>122</v>
      </c>
      <c r="G21" s="766" t="s">
        <v>123</v>
      </c>
      <c r="H21" s="767" t="s">
        <v>124</v>
      </c>
      <c r="I21" s="768" t="s">
        <v>125</v>
      </c>
      <c r="J21" s="769" t="s">
        <v>126</v>
      </c>
      <c r="K21" s="770" t="s">
        <v>127</v>
      </c>
      <c r="L21" s="771" t="s">
        <v>128</v>
      </c>
      <c r="M21" s="772" t="s">
        <v>129</v>
      </c>
      <c r="N21" s="751" t="s">
        <v>130</v>
      </c>
      <c r="O21" s="752"/>
      <c r="P21" s="773"/>
      <c r="Q21" s="751" t="s">
        <v>131</v>
      </c>
      <c r="R21" s="752"/>
      <c r="S21" s="753"/>
      <c r="T21" s="752"/>
      <c r="U21" s="752"/>
      <c r="V21" s="754"/>
      <c r="W21" s="392"/>
    </row>
    <row r="22" spans="1:23" s="303" customFormat="1" ht="258.75" customHeight="1">
      <c r="A22" s="760"/>
      <c r="B22" s="761"/>
      <c r="C22" s="763"/>
      <c r="D22" s="765"/>
      <c r="E22" s="761"/>
      <c r="F22" s="760"/>
      <c r="G22" s="766"/>
      <c r="H22" s="767"/>
      <c r="I22" s="768"/>
      <c r="J22" s="769"/>
      <c r="K22" s="770"/>
      <c r="L22" s="771"/>
      <c r="M22" s="772"/>
      <c r="N22" s="330" t="s">
        <v>132</v>
      </c>
      <c r="O22" s="330" t="s">
        <v>133</v>
      </c>
      <c r="P22" s="330" t="s">
        <v>134</v>
      </c>
      <c r="Q22" s="330" t="s">
        <v>132</v>
      </c>
      <c r="R22" s="330" t="s">
        <v>135</v>
      </c>
      <c r="S22" s="344" t="s">
        <v>136</v>
      </c>
      <c r="T22" s="372" t="s">
        <v>137</v>
      </c>
      <c r="U22" s="373" t="s">
        <v>133</v>
      </c>
      <c r="V22" s="393" t="s">
        <v>134</v>
      </c>
      <c r="W22" s="392"/>
    </row>
    <row r="23" spans="1:23" s="304" customFormat="1" ht="170.25" customHeight="1">
      <c r="A23" s="331" t="s">
        <v>138</v>
      </c>
      <c r="B23" s="332"/>
      <c r="C23" s="333"/>
      <c r="D23" s="600"/>
      <c r="E23" s="345"/>
      <c r="F23" s="332"/>
      <c r="G23" s="333"/>
      <c r="H23" s="332"/>
      <c r="I23" s="358"/>
      <c r="J23" s="359"/>
      <c r="K23" s="360"/>
      <c r="L23" s="360"/>
      <c r="M23" s="334"/>
      <c r="N23" s="332"/>
      <c r="O23" s="332"/>
      <c r="P23" s="332"/>
      <c r="Q23" s="332"/>
      <c r="R23" s="332"/>
      <c r="S23" s="386"/>
      <c r="T23" s="332"/>
      <c r="U23" s="332"/>
      <c r="V23" s="394"/>
      <c r="W23" s="395"/>
    </row>
    <row r="24" spans="1:23" s="306" customFormat="1" ht="294" customHeight="1">
      <c r="A24" s="335">
        <v>1</v>
      </c>
      <c r="B24" s="336" t="s">
        <v>293</v>
      </c>
      <c r="C24" s="338" t="str">
        <f>VLOOKUP(B24,[13]AssetDetails_UEM!$A$3:$AH$1849,6,FALSE)</f>
        <v>Analyzers, Laboratory, Hematology, Coagulation, Automated</v>
      </c>
      <c r="D24" s="601">
        <f>VLOOKUP(B24,[13]AssetDetails_UEM!$A$3:$AK$1849,22,FALSE)</f>
        <v>105860</v>
      </c>
      <c r="E24" s="336" t="s">
        <v>603</v>
      </c>
      <c r="F24" s="336" t="s">
        <v>289</v>
      </c>
      <c r="G24" s="346" t="s">
        <v>768</v>
      </c>
      <c r="H24" s="347" t="s">
        <v>154</v>
      </c>
      <c r="I24" s="361" t="s">
        <v>897</v>
      </c>
      <c r="J24" s="362" t="s">
        <v>821</v>
      </c>
      <c r="K24" s="520" t="s">
        <v>780</v>
      </c>
      <c r="L24" s="362" t="s">
        <v>919</v>
      </c>
      <c r="M24" s="377">
        <f t="shared" ref="M24:M97" si="0">IF(D24&gt;44999.99,100,ROUNDUP((D24/4999.99)*10,-1))</f>
        <v>100</v>
      </c>
      <c r="N24" s="378" t="s">
        <v>139</v>
      </c>
      <c r="O24" s="379">
        <f>'[14]B1&amp; B2 UNSCHEDULED'!$O$24</f>
        <v>0</v>
      </c>
      <c r="P24" s="378"/>
      <c r="Q24" s="378" t="s">
        <v>139</v>
      </c>
      <c r="R24" s="389">
        <f t="shared" ref="R24:R51" si="1">IF(L24="",AKHIR-J24,L24-J24+1)</f>
        <v>1.0993055555591127</v>
      </c>
      <c r="S24" s="390">
        <f t="shared" ref="S24:S47" si="2">WORKDAY(J24,6,AKHIR)</f>
        <v>46121</v>
      </c>
      <c r="T24" s="381">
        <v>0</v>
      </c>
      <c r="U24" s="398">
        <f t="shared" ref="U24:U97" si="3">IF(Q24="N",0,M24*T24)</f>
        <v>0</v>
      </c>
      <c r="V24" s="397" t="s">
        <v>961</v>
      </c>
      <c r="W24" s="399"/>
    </row>
    <row r="25" spans="1:23" s="307" customFormat="1" ht="262.5">
      <c r="A25" s="335">
        <v>2</v>
      </c>
      <c r="B25" s="336" t="s">
        <v>293</v>
      </c>
      <c r="C25" s="337" t="str">
        <f>VLOOKUP(B25,[13]AssetDetails_UEM!$A$3:$AH$1849,6,FALSE)</f>
        <v>Analyzers, Laboratory, Hematology, Coagulation, Automated</v>
      </c>
      <c r="D25" s="602">
        <f>VLOOKUP(B25,[13]AssetDetails_UEM!$A$3:$AK$1849,22,FALSE)</f>
        <v>105860</v>
      </c>
      <c r="E25" s="336" t="s">
        <v>604</v>
      </c>
      <c r="F25" s="336" t="s">
        <v>289</v>
      </c>
      <c r="G25" s="346" t="s">
        <v>769</v>
      </c>
      <c r="H25" s="347" t="s">
        <v>154</v>
      </c>
      <c r="I25" s="361" t="s">
        <v>162</v>
      </c>
      <c r="J25" s="362" t="s">
        <v>822</v>
      </c>
      <c r="K25" s="553">
        <v>46114.44027777778</v>
      </c>
      <c r="L25" s="362" t="s">
        <v>920</v>
      </c>
      <c r="M25" s="374">
        <f t="shared" si="0"/>
        <v>100</v>
      </c>
      <c r="N25" s="375" t="s">
        <v>139</v>
      </c>
      <c r="O25" s="376">
        <f>'[14]B1&amp; B2 UNSCHEDULED'!$O$24</f>
        <v>0</v>
      </c>
      <c r="P25" s="375"/>
      <c r="Q25" s="375" t="s">
        <v>139</v>
      </c>
      <c r="R25" s="387">
        <f t="shared" si="1"/>
        <v>1.2125000000014552</v>
      </c>
      <c r="S25" s="388">
        <f t="shared" si="2"/>
        <v>46122</v>
      </c>
      <c r="T25" s="335">
        <v>0</v>
      </c>
      <c r="U25" s="396">
        <f t="shared" si="3"/>
        <v>0</v>
      </c>
      <c r="V25" s="397" t="s">
        <v>962</v>
      </c>
      <c r="W25" s="395"/>
    </row>
    <row r="26" spans="1:23" s="306" customFormat="1" ht="231.6" customHeight="1">
      <c r="A26" s="335">
        <v>3</v>
      </c>
      <c r="B26" s="405" t="s">
        <v>1014</v>
      </c>
      <c r="C26" s="338" t="str">
        <f>VLOOKUP(B26,[13]AssetDetails_UEM!$A$3:$AH$1849,6,FALSE)</f>
        <v>Infusion Pumps, Syringe</v>
      </c>
      <c r="D26" s="601">
        <f>VLOOKUP(B26,[13]AssetDetails_UEM!$A$3:$AK$1849,22,FALSE)</f>
        <v>10225</v>
      </c>
      <c r="E26" s="405" t="s">
        <v>605</v>
      </c>
      <c r="F26" s="405" t="s">
        <v>167</v>
      </c>
      <c r="G26" s="413" t="s">
        <v>1011</v>
      </c>
      <c r="H26" s="415" t="s">
        <v>1003</v>
      </c>
      <c r="I26" s="552" t="s">
        <v>162</v>
      </c>
      <c r="J26" s="419" t="s">
        <v>823</v>
      </c>
      <c r="K26" s="423">
        <v>46114.611111111109</v>
      </c>
      <c r="L26" s="423">
        <v>46114.652777777781</v>
      </c>
      <c r="M26" s="377">
        <f t="shared" si="0"/>
        <v>30</v>
      </c>
      <c r="N26" s="378" t="s">
        <v>139</v>
      </c>
      <c r="O26" s="379">
        <f>'[14]B1&amp; B2 UNSCHEDULED'!$O$24</f>
        <v>0</v>
      </c>
      <c r="P26" s="378"/>
      <c r="Q26" s="378" t="s">
        <v>139</v>
      </c>
      <c r="R26" s="389">
        <f t="shared" si="1"/>
        <v>1.0486111111167702</v>
      </c>
      <c r="S26" s="390">
        <f t="shared" si="2"/>
        <v>46122</v>
      </c>
      <c r="T26" s="381">
        <v>0</v>
      </c>
      <c r="U26" s="398">
        <f t="shared" si="3"/>
        <v>0</v>
      </c>
      <c r="V26" s="413" t="s">
        <v>1012</v>
      </c>
      <c r="W26" s="399"/>
    </row>
    <row r="27" spans="1:23" s="305" customFormat="1" ht="157.5">
      <c r="A27" s="335">
        <v>4</v>
      </c>
      <c r="B27" s="336" t="s">
        <v>686</v>
      </c>
      <c r="C27" s="337" t="str">
        <f>VLOOKUP(B27,[13]AssetDetails_UEM!$A$3:$AH$1849,6,FALSE)</f>
        <v>Sphygmomanometers, Electronic, Automatic</v>
      </c>
      <c r="D27" s="602">
        <f>VLOOKUP(B27,[13]AssetDetails_UEM!$A$3:$AK$1849,22,FALSE)</f>
        <v>4510</v>
      </c>
      <c r="E27" s="336" t="s">
        <v>606</v>
      </c>
      <c r="F27" s="336" t="s">
        <v>734</v>
      </c>
      <c r="G27" s="346" t="s">
        <v>770</v>
      </c>
      <c r="H27" s="347" t="s">
        <v>154</v>
      </c>
      <c r="I27" s="361" t="s">
        <v>898</v>
      </c>
      <c r="J27" s="362" t="s">
        <v>824</v>
      </c>
      <c r="K27" s="520" t="s">
        <v>781</v>
      </c>
      <c r="L27" s="362" t="s">
        <v>921</v>
      </c>
      <c r="M27" s="374">
        <f t="shared" si="0"/>
        <v>10</v>
      </c>
      <c r="N27" s="375" t="s">
        <v>139</v>
      </c>
      <c r="O27" s="376">
        <f>'[14]B1&amp; B2 UNSCHEDULED'!$O$24</f>
        <v>0</v>
      </c>
      <c r="P27" s="375"/>
      <c r="Q27" s="375" t="s">
        <v>139</v>
      </c>
      <c r="R27" s="526">
        <f t="shared" si="1"/>
        <v>1.0666666666656965</v>
      </c>
      <c r="S27" s="388">
        <f t="shared" si="2"/>
        <v>46122</v>
      </c>
      <c r="T27" s="335">
        <v>0</v>
      </c>
      <c r="U27" s="396">
        <f t="shared" si="3"/>
        <v>0</v>
      </c>
      <c r="V27" s="397" t="s">
        <v>963</v>
      </c>
      <c r="W27" s="395"/>
    </row>
    <row r="28" spans="1:23" s="308" customFormat="1" ht="345" customHeight="1">
      <c r="A28" s="335">
        <v>5</v>
      </c>
      <c r="B28" s="336" t="s">
        <v>687</v>
      </c>
      <c r="C28" s="337" t="str">
        <f>VLOOKUP(B28,[13]AssetDetails_UEM!$A$3:$AH$1849,6,FALSE)</f>
        <v>Scanning Systems, Computed Tomography/ Positron Emission Tomography</v>
      </c>
      <c r="D28" s="602">
        <f>VLOOKUP(B28,[13]AssetDetails_UEM!$A$3:$AK$1849,22,FALSE)</f>
        <v>3410390</v>
      </c>
      <c r="E28" s="336" t="s">
        <v>607</v>
      </c>
      <c r="F28" s="336" t="s">
        <v>160</v>
      </c>
      <c r="G28" s="346" t="s">
        <v>1876</v>
      </c>
      <c r="H28" s="347" t="s">
        <v>1004</v>
      </c>
      <c r="I28" s="361" t="s">
        <v>162</v>
      </c>
      <c r="J28" s="362" t="s">
        <v>825</v>
      </c>
      <c r="K28" s="426">
        <v>46114.590277777781</v>
      </c>
      <c r="L28" s="362" t="s">
        <v>922</v>
      </c>
      <c r="M28" s="374">
        <f t="shared" si="0"/>
        <v>100</v>
      </c>
      <c r="N28" s="375" t="s">
        <v>139</v>
      </c>
      <c r="O28" s="376">
        <f>'[14]B1&amp; B2 UNSCHEDULED'!$O$24</f>
        <v>0</v>
      </c>
      <c r="P28" s="335"/>
      <c r="Q28" s="375" t="s">
        <v>139</v>
      </c>
      <c r="R28" s="387">
        <f t="shared" si="1"/>
        <v>1.25</v>
      </c>
      <c r="S28" s="388">
        <f t="shared" si="2"/>
        <v>46122</v>
      </c>
      <c r="T28" s="335">
        <v>0</v>
      </c>
      <c r="U28" s="396">
        <f t="shared" si="3"/>
        <v>0</v>
      </c>
      <c r="V28" s="397" t="s">
        <v>964</v>
      </c>
      <c r="W28" s="395"/>
    </row>
    <row r="29" spans="1:23" s="308" customFormat="1" ht="168.75" customHeight="1">
      <c r="A29" s="335">
        <v>6</v>
      </c>
      <c r="B29" s="336" t="s">
        <v>688</v>
      </c>
      <c r="C29" s="337" t="str">
        <f>VLOOKUP(B29,[13]AssetDetails_UEM!$A$3:$AH$1849,6,FALSE)</f>
        <v>Oximeters, Pulse</v>
      </c>
      <c r="D29" s="602">
        <f>VLOOKUP(B29,[13]AssetDetails_UEM!$A$3:$AK$1849,22,FALSE)</f>
        <v>11120</v>
      </c>
      <c r="E29" s="336" t="s">
        <v>608</v>
      </c>
      <c r="F29" s="336" t="s">
        <v>735</v>
      </c>
      <c r="G29" s="346" t="s">
        <v>1877</v>
      </c>
      <c r="H29" s="347" t="s">
        <v>1004</v>
      </c>
      <c r="I29" s="361" t="s">
        <v>1878</v>
      </c>
      <c r="J29" s="362" t="s">
        <v>826</v>
      </c>
      <c r="K29" s="426">
        <v>46114.611111111109</v>
      </c>
      <c r="L29" s="362" t="s">
        <v>923</v>
      </c>
      <c r="M29" s="374">
        <f t="shared" si="0"/>
        <v>30</v>
      </c>
      <c r="N29" s="375" t="s">
        <v>139</v>
      </c>
      <c r="O29" s="376">
        <f>'[14]B1&amp; B2 UNSCHEDULED'!$O$24</f>
        <v>0</v>
      </c>
      <c r="P29" s="375"/>
      <c r="Q29" s="375" t="s">
        <v>139</v>
      </c>
      <c r="R29" s="387">
        <v>6</v>
      </c>
      <c r="S29" s="388">
        <f t="shared" si="2"/>
        <v>46122</v>
      </c>
      <c r="T29" s="335">
        <v>0</v>
      </c>
      <c r="U29" s="396">
        <f t="shared" si="3"/>
        <v>0</v>
      </c>
      <c r="V29" s="397" t="s">
        <v>965</v>
      </c>
      <c r="W29" s="395"/>
    </row>
    <row r="30" spans="1:23" s="305" customFormat="1" ht="367.5">
      <c r="A30" s="335">
        <v>7</v>
      </c>
      <c r="B30" s="336" t="s">
        <v>689</v>
      </c>
      <c r="C30" s="337" t="str">
        <f>VLOOKUP(B30,[13]AssetDetails_UEM!$A$3:$AH$1849,6,FALSE)</f>
        <v>Sphygmomanometers, Electronic, Automatic</v>
      </c>
      <c r="D30" s="602">
        <f>VLOOKUP(B30,[13]AssetDetails_UEM!$A$3:$AK$1849,22,FALSE)</f>
        <v>7770</v>
      </c>
      <c r="E30" s="336" t="s">
        <v>609</v>
      </c>
      <c r="F30" s="336" t="s">
        <v>736</v>
      </c>
      <c r="G30" s="346" t="s">
        <v>1879</v>
      </c>
      <c r="H30" s="347" t="s">
        <v>154</v>
      </c>
      <c r="I30" s="361" t="s">
        <v>899</v>
      </c>
      <c r="J30" s="362" t="s">
        <v>827</v>
      </c>
      <c r="K30" s="520" t="s">
        <v>782</v>
      </c>
      <c r="L30" s="362" t="s">
        <v>924</v>
      </c>
      <c r="M30" s="374">
        <f t="shared" si="0"/>
        <v>20</v>
      </c>
      <c r="N30" s="375" t="s">
        <v>139</v>
      </c>
      <c r="O30" s="376">
        <f>'[14]B1&amp; B2 UNSCHEDULED'!$O$24</f>
        <v>0</v>
      </c>
      <c r="P30" s="375"/>
      <c r="Q30" s="375" t="s">
        <v>139</v>
      </c>
      <c r="R30" s="387">
        <v>5</v>
      </c>
      <c r="S30" s="388">
        <f t="shared" si="2"/>
        <v>46125</v>
      </c>
      <c r="T30" s="335">
        <v>0</v>
      </c>
      <c r="U30" s="396">
        <f t="shared" si="3"/>
        <v>0</v>
      </c>
      <c r="V30" s="397" t="s">
        <v>1816</v>
      </c>
      <c r="W30" s="395"/>
    </row>
    <row r="31" spans="1:23" s="308" customFormat="1" ht="315">
      <c r="A31" s="335">
        <v>8</v>
      </c>
      <c r="B31" s="336" t="s">
        <v>690</v>
      </c>
      <c r="C31" s="337" t="str">
        <f>VLOOKUP(B31,[13]AssetDetails_UEM!$A$3:$AH$1849,6,FALSE)</f>
        <v>Scanning Systems, Computed Tomography/ Positron Emission Tomography</v>
      </c>
      <c r="D31" s="602">
        <f>VLOOKUP(B31,[13]AssetDetails_UEM!$A$3:$AK$1849,22,FALSE)</f>
        <v>3413750</v>
      </c>
      <c r="E31" s="336" t="s">
        <v>610</v>
      </c>
      <c r="F31" s="336" t="s">
        <v>737</v>
      </c>
      <c r="G31" s="346" t="s">
        <v>1876</v>
      </c>
      <c r="H31" s="347" t="s">
        <v>1004</v>
      </c>
      <c r="I31" s="361" t="s">
        <v>162</v>
      </c>
      <c r="J31" s="362" t="s">
        <v>828</v>
      </c>
      <c r="K31" s="426">
        <v>46115.590277777781</v>
      </c>
      <c r="L31" s="362" t="s">
        <v>925</v>
      </c>
      <c r="M31" s="374">
        <f t="shared" si="0"/>
        <v>100</v>
      </c>
      <c r="N31" s="375" t="s">
        <v>139</v>
      </c>
      <c r="O31" s="376">
        <f>'[14]B1&amp; B2 UNSCHEDULED'!$O$24</f>
        <v>0</v>
      </c>
      <c r="P31" s="375"/>
      <c r="Q31" s="375" t="s">
        <v>139</v>
      </c>
      <c r="R31" s="387">
        <f t="shared" si="1"/>
        <v>1.25</v>
      </c>
      <c r="S31" s="388">
        <f t="shared" si="2"/>
        <v>46125</v>
      </c>
      <c r="T31" s="335">
        <v>0</v>
      </c>
      <c r="U31" s="396">
        <f t="shared" si="3"/>
        <v>0</v>
      </c>
      <c r="V31" s="397" t="s">
        <v>964</v>
      </c>
      <c r="W31" s="395"/>
    </row>
    <row r="32" spans="1:23" s="308" customFormat="1" ht="210" customHeight="1">
      <c r="A32" s="335">
        <v>9</v>
      </c>
      <c r="B32" s="336" t="s">
        <v>691</v>
      </c>
      <c r="C32" s="337" t="s">
        <v>1814</v>
      </c>
      <c r="D32" s="602">
        <v>40001</v>
      </c>
      <c r="E32" s="336" t="s">
        <v>611</v>
      </c>
      <c r="F32" s="336" t="s">
        <v>733</v>
      </c>
      <c r="G32" s="346" t="s">
        <v>1808</v>
      </c>
      <c r="H32" s="347" t="s">
        <v>1003</v>
      </c>
      <c r="I32" s="361" t="s">
        <v>162</v>
      </c>
      <c r="J32" s="362" t="s">
        <v>829</v>
      </c>
      <c r="K32" s="426">
        <v>46119.361111111109</v>
      </c>
      <c r="L32" s="426">
        <v>46119.395833333336</v>
      </c>
      <c r="M32" s="374">
        <f t="shared" si="0"/>
        <v>90</v>
      </c>
      <c r="N32" s="375" t="s">
        <v>139</v>
      </c>
      <c r="O32" s="376">
        <f>'[14]B1&amp; B2 UNSCHEDULED'!$O$24</f>
        <v>0</v>
      </c>
      <c r="P32" s="375"/>
      <c r="Q32" s="375" t="s">
        <v>139</v>
      </c>
      <c r="R32" s="387">
        <f t="shared" si="1"/>
        <v>1.0416666666715173</v>
      </c>
      <c r="S32" s="388">
        <f t="shared" si="2"/>
        <v>46127</v>
      </c>
      <c r="T32" s="335">
        <v>0</v>
      </c>
      <c r="U32" s="396">
        <f t="shared" si="3"/>
        <v>0</v>
      </c>
      <c r="V32" s="346" t="s">
        <v>1809</v>
      </c>
      <c r="W32" s="395"/>
    </row>
    <row r="33" spans="1:23" s="309" customFormat="1" ht="293.25" customHeight="1">
      <c r="A33" s="335">
        <v>10</v>
      </c>
      <c r="B33" s="336" t="s">
        <v>692</v>
      </c>
      <c r="C33" s="337" t="str">
        <f>VLOOKUP(B33,[13]AssetDetails_UEM!$A$3:$AH$1849,6,FALSE)</f>
        <v>Infusion Pumps, General-Purpose</v>
      </c>
      <c r="D33" s="602">
        <f>VLOOKUP(B33,[13]AssetDetails_UEM!$A$3:$AK$1849,22,FALSE)</f>
        <v>10825</v>
      </c>
      <c r="E33" s="336" t="s">
        <v>612</v>
      </c>
      <c r="F33" s="336" t="s">
        <v>738</v>
      </c>
      <c r="G33" s="346" t="s">
        <v>1011</v>
      </c>
      <c r="H33" s="347" t="s">
        <v>1003</v>
      </c>
      <c r="I33" s="361" t="s">
        <v>1815</v>
      </c>
      <c r="J33" s="362" t="s">
        <v>783</v>
      </c>
      <c r="K33" s="426">
        <v>46119.399305555555</v>
      </c>
      <c r="L33" s="426">
        <v>46119.4375</v>
      </c>
      <c r="M33" s="374">
        <f t="shared" si="0"/>
        <v>30</v>
      </c>
      <c r="N33" s="375" t="s">
        <v>139</v>
      </c>
      <c r="O33" s="380">
        <f>'[14]B1&amp; B2 UNSCHEDULED'!$O$24</f>
        <v>0</v>
      </c>
      <c r="P33" s="335"/>
      <c r="Q33" s="375" t="s">
        <v>139</v>
      </c>
      <c r="R33" s="387">
        <v>7</v>
      </c>
      <c r="S33" s="388">
        <f>WORKDAY(J33,6,AKHIR)</f>
        <v>46127</v>
      </c>
      <c r="T33" s="335">
        <v>0</v>
      </c>
      <c r="U33" s="396">
        <f t="shared" si="3"/>
        <v>0</v>
      </c>
      <c r="V33" s="346" t="s">
        <v>1012</v>
      </c>
      <c r="W33" s="400"/>
    </row>
    <row r="34" spans="1:23" s="305" customFormat="1" ht="241.5" customHeight="1">
      <c r="A34" s="335">
        <v>11</v>
      </c>
      <c r="B34" s="336" t="s">
        <v>693</v>
      </c>
      <c r="C34" s="337" t="str">
        <f>VLOOKUP(B34,[13]AssetDetails_UEM!$A$3:$AH$1849,6,FALSE)</f>
        <v>Analyzers, Laboratory, Microbiology, Blood Culture, Automate</v>
      </c>
      <c r="D34" s="602">
        <f>VLOOKUP(B34,[13]AssetDetails_UEM!$A$3:$AK$1849,22,FALSE)</f>
        <v>342820</v>
      </c>
      <c r="E34" s="336" t="s">
        <v>613</v>
      </c>
      <c r="F34" s="336" t="s">
        <v>739</v>
      </c>
      <c r="G34" s="346" t="s">
        <v>771</v>
      </c>
      <c r="H34" s="347" t="s">
        <v>154</v>
      </c>
      <c r="I34" s="361" t="s">
        <v>900</v>
      </c>
      <c r="J34" s="362" t="s">
        <v>830</v>
      </c>
      <c r="K34" s="520" t="s">
        <v>783</v>
      </c>
      <c r="L34" s="362" t="s">
        <v>926</v>
      </c>
      <c r="M34" s="374">
        <f t="shared" si="0"/>
        <v>100</v>
      </c>
      <c r="N34" s="375" t="s">
        <v>139</v>
      </c>
      <c r="O34" s="376">
        <f>'[14]B1&amp; B2 UNSCHEDULED'!$O$24</f>
        <v>0</v>
      </c>
      <c r="P34" s="375"/>
      <c r="Q34" s="375" t="s">
        <v>139</v>
      </c>
      <c r="R34" s="387">
        <f t="shared" si="1"/>
        <v>1.0506944444423425</v>
      </c>
      <c r="S34" s="388">
        <f t="shared" si="2"/>
        <v>46127</v>
      </c>
      <c r="T34" s="335">
        <v>0</v>
      </c>
      <c r="U34" s="396">
        <f t="shared" si="3"/>
        <v>0</v>
      </c>
      <c r="V34" s="397" t="s">
        <v>966</v>
      </c>
      <c r="W34" s="395"/>
    </row>
    <row r="35" spans="1:23" s="308" customFormat="1" ht="264" customHeight="1">
      <c r="A35" s="335">
        <v>12</v>
      </c>
      <c r="B35" s="336" t="s">
        <v>1016</v>
      </c>
      <c r="C35" s="337" t="str">
        <f>VLOOKUP(B35,[13]AssetDetails_UEM!$A$3:$AH$1849,6,FALSE)</f>
        <v>Infusion Pumps, Syringe</v>
      </c>
      <c r="D35" s="602">
        <f>VLOOKUP(B35,[13]AssetDetails_UEM!$A$3:$AK$1849,22,FALSE)</f>
        <v>10225</v>
      </c>
      <c r="E35" s="336" t="s">
        <v>615</v>
      </c>
      <c r="F35" s="336" t="s">
        <v>740</v>
      </c>
      <c r="G35" s="346" t="s">
        <v>1011</v>
      </c>
      <c r="H35" s="347" t="s">
        <v>1003</v>
      </c>
      <c r="I35" s="361" t="s">
        <v>1015</v>
      </c>
      <c r="J35" s="362" t="s">
        <v>784</v>
      </c>
      <c r="K35" s="426">
        <v>46119.60833333333</v>
      </c>
      <c r="L35" s="426">
        <v>46119.65</v>
      </c>
      <c r="M35" s="374">
        <f t="shared" si="0"/>
        <v>30</v>
      </c>
      <c r="N35" s="375" t="s">
        <v>139</v>
      </c>
      <c r="O35" s="376">
        <f>'[14]B1&amp; B2 UNSCHEDULED'!$O$24</f>
        <v>0</v>
      </c>
      <c r="P35" s="335"/>
      <c r="Q35" s="375" t="s">
        <v>139</v>
      </c>
      <c r="R35" s="387">
        <f t="shared" ref="R35:R40" si="4">IF(L35="",AKHIR-J35,L35-J35+1)</f>
        <v>1.0458333333372138</v>
      </c>
      <c r="S35" s="388">
        <f t="shared" si="2"/>
        <v>46127</v>
      </c>
      <c r="T35" s="335">
        <v>0</v>
      </c>
      <c r="U35" s="396">
        <f t="shared" si="3"/>
        <v>0</v>
      </c>
      <c r="V35" s="346" t="s">
        <v>1012</v>
      </c>
      <c r="W35" s="395"/>
    </row>
    <row r="36" spans="1:23" s="306" customFormat="1" ht="233.25" customHeight="1">
      <c r="A36" s="335">
        <v>13</v>
      </c>
      <c r="B36" s="336" t="s">
        <v>695</v>
      </c>
      <c r="C36" s="338" t="str">
        <f>VLOOKUP(B36,[13]AssetDetails_UEM!$A$3:$AH$1849,6,FALSE)</f>
        <v>Mattress Systems, Alternating-Pressure</v>
      </c>
      <c r="D36" s="601">
        <f>VLOOKUP(B36,[13]AssetDetails_UEM!$A$3:$AK$1849,22,FALSE)</f>
        <v>28630</v>
      </c>
      <c r="E36" s="336" t="s">
        <v>616</v>
      </c>
      <c r="F36" s="336" t="s">
        <v>167</v>
      </c>
      <c r="G36" s="346" t="s">
        <v>1914</v>
      </c>
      <c r="H36" s="347" t="s">
        <v>154</v>
      </c>
      <c r="I36" s="361" t="s">
        <v>901</v>
      </c>
      <c r="J36" s="362" t="s">
        <v>831</v>
      </c>
      <c r="K36" s="520" t="s">
        <v>785</v>
      </c>
      <c r="L36" s="362" t="s">
        <v>927</v>
      </c>
      <c r="M36" s="377">
        <f t="shared" si="0"/>
        <v>60</v>
      </c>
      <c r="N36" s="378" t="s">
        <v>139</v>
      </c>
      <c r="O36" s="379">
        <f>'[14]B1&amp; B2 UNSCHEDULED'!$O$24</f>
        <v>0</v>
      </c>
      <c r="P36" s="381"/>
      <c r="Q36" s="378" t="s">
        <v>139</v>
      </c>
      <c r="R36" s="387">
        <f t="shared" si="4"/>
        <v>1.1006944444452529</v>
      </c>
      <c r="S36" s="390">
        <f t="shared" si="2"/>
        <v>46128</v>
      </c>
      <c r="T36" s="381">
        <v>0</v>
      </c>
      <c r="U36" s="398">
        <f t="shared" si="3"/>
        <v>0</v>
      </c>
      <c r="V36" s="397" t="s">
        <v>967</v>
      </c>
      <c r="W36" s="399"/>
    </row>
    <row r="37" spans="1:23" s="306" customFormat="1" ht="315">
      <c r="A37" s="335">
        <v>14</v>
      </c>
      <c r="B37" s="336" t="s">
        <v>696</v>
      </c>
      <c r="C37" s="338" t="str">
        <f>VLOOKUP(B37,[13]AssetDetails_UEM!$A$3:$AH$1849,6,FALSE)</f>
        <v>Electrocardiographs, Multichannel, Interpretative</v>
      </c>
      <c r="D37" s="601">
        <f>VLOOKUP(B37,[13]AssetDetails_UEM!$A$3:$AK$1849,22,FALSE)</f>
        <v>25260</v>
      </c>
      <c r="E37" s="336" t="s">
        <v>617</v>
      </c>
      <c r="F37" s="336" t="s">
        <v>741</v>
      </c>
      <c r="G37" s="346" t="s">
        <v>1913</v>
      </c>
      <c r="H37" s="347" t="s">
        <v>154</v>
      </c>
      <c r="I37" s="361" t="s">
        <v>902</v>
      </c>
      <c r="J37" s="362" t="s">
        <v>832</v>
      </c>
      <c r="K37" s="520" t="s">
        <v>786</v>
      </c>
      <c r="L37" s="362" t="s">
        <v>928</v>
      </c>
      <c r="M37" s="377">
        <f t="shared" si="0"/>
        <v>60</v>
      </c>
      <c r="N37" s="378" t="s">
        <v>139</v>
      </c>
      <c r="O37" s="379">
        <f>'[14]B1&amp; B2 UNSCHEDULED'!$O$24</f>
        <v>0</v>
      </c>
      <c r="P37" s="381"/>
      <c r="Q37" s="378" t="s">
        <v>139</v>
      </c>
      <c r="R37" s="387">
        <f t="shared" si="4"/>
        <v>2.3624999999956344</v>
      </c>
      <c r="S37" s="390">
        <f t="shared" si="2"/>
        <v>46128</v>
      </c>
      <c r="T37" s="381">
        <v>0</v>
      </c>
      <c r="U37" s="398">
        <f t="shared" si="3"/>
        <v>0</v>
      </c>
      <c r="V37" s="397" t="s">
        <v>968</v>
      </c>
      <c r="W37" s="399"/>
    </row>
    <row r="38" spans="1:23" s="308" customFormat="1" ht="212.25" customHeight="1">
      <c r="A38" s="335">
        <v>15</v>
      </c>
      <c r="B38" s="336" t="s">
        <v>697</v>
      </c>
      <c r="C38" s="337" t="str">
        <f>VLOOKUP(B38,[13]AssetDetails_UEM!$A$3:$AH$1849,6,FALSE)</f>
        <v>Mattress Systems, Alternating-Pressure</v>
      </c>
      <c r="D38" s="602">
        <f>VLOOKUP(B38,[13]AssetDetails_UEM!$A$3:$AK$1849,22,FALSE)</f>
        <v>28630</v>
      </c>
      <c r="E38" s="336" t="s">
        <v>618</v>
      </c>
      <c r="F38" s="336" t="s">
        <v>167</v>
      </c>
      <c r="G38" s="346" t="s">
        <v>1883</v>
      </c>
      <c r="H38" s="347" t="s">
        <v>154</v>
      </c>
      <c r="I38" s="361" t="s">
        <v>1882</v>
      </c>
      <c r="J38" s="362" t="s">
        <v>833</v>
      </c>
      <c r="K38" s="426">
        <v>46120.736111111109</v>
      </c>
      <c r="L38" s="362" t="s">
        <v>929</v>
      </c>
      <c r="M38" s="374">
        <f t="shared" si="0"/>
        <v>60</v>
      </c>
      <c r="N38" s="375" t="s">
        <v>139</v>
      </c>
      <c r="O38" s="376">
        <f>'[14]B1&amp; B2 UNSCHEDULED'!$O$24</f>
        <v>0</v>
      </c>
      <c r="P38" s="335"/>
      <c r="Q38" s="375" t="s">
        <v>139</v>
      </c>
      <c r="R38" s="387">
        <f t="shared" si="4"/>
        <v>1.0743055555576575</v>
      </c>
      <c r="S38" s="388">
        <f t="shared" si="2"/>
        <v>46128</v>
      </c>
      <c r="T38" s="335">
        <v>0</v>
      </c>
      <c r="U38" s="396">
        <f t="shared" si="3"/>
        <v>0</v>
      </c>
      <c r="V38" s="397" t="s">
        <v>969</v>
      </c>
      <c r="W38" s="395"/>
    </row>
    <row r="39" spans="1:23" s="309" customFormat="1" ht="225.75" customHeight="1">
      <c r="A39" s="335">
        <v>16</v>
      </c>
      <c r="B39" s="336" t="s">
        <v>698</v>
      </c>
      <c r="C39" s="337" t="str">
        <f>VLOOKUP(B39,[13]AssetDetails_UEM!$A$3:$AH$1849,6,FALSE)</f>
        <v>Linear Accelerators</v>
      </c>
      <c r="D39" s="602">
        <f>VLOOKUP(B39,[13]AssetDetails_UEM!$A$3:$AK$1849,22,FALSE)</f>
        <v>21961900</v>
      </c>
      <c r="E39" s="336" t="s">
        <v>619</v>
      </c>
      <c r="F39" s="336" t="s">
        <v>742</v>
      </c>
      <c r="G39" s="346" t="s">
        <v>1817</v>
      </c>
      <c r="H39" s="347" t="s">
        <v>154</v>
      </c>
      <c r="I39" s="361" t="s">
        <v>1818</v>
      </c>
      <c r="J39" s="362" t="s">
        <v>834</v>
      </c>
      <c r="K39" s="426">
        <v>46121.368055555555</v>
      </c>
      <c r="L39" s="426">
        <v>46121.4375</v>
      </c>
      <c r="M39" s="374">
        <f t="shared" si="0"/>
        <v>100</v>
      </c>
      <c r="N39" s="375" t="s">
        <v>139</v>
      </c>
      <c r="O39" s="380">
        <f>'[14]B1&amp; B2 UNSCHEDULED'!$O$24</f>
        <v>0</v>
      </c>
      <c r="P39" s="335"/>
      <c r="Q39" s="375" t="s">
        <v>139</v>
      </c>
      <c r="R39" s="387">
        <f t="shared" si="4"/>
        <v>1.09375</v>
      </c>
      <c r="S39" s="388">
        <f t="shared" si="2"/>
        <v>46129</v>
      </c>
      <c r="T39" s="335">
        <v>0</v>
      </c>
      <c r="U39" s="396">
        <f t="shared" si="3"/>
        <v>0</v>
      </c>
      <c r="V39" s="397" t="s">
        <v>1819</v>
      </c>
      <c r="W39" s="400"/>
    </row>
    <row r="40" spans="1:23" s="306" customFormat="1" ht="255" customHeight="1">
      <c r="A40" s="335">
        <v>17</v>
      </c>
      <c r="B40" s="405" t="s">
        <v>1007</v>
      </c>
      <c r="C40" s="338" t="str">
        <f>VLOOKUP(B40,[13]AssetDetails_UEM!$A$3:$AH$1849,6,FALSE)</f>
        <v>Infusion Pumps, Syringe</v>
      </c>
      <c r="D40" s="601">
        <f>VLOOKUP(B40,[13]AssetDetails_UEM!$A$3:$AK$1849,22,FALSE)</f>
        <v>10225</v>
      </c>
      <c r="E40" s="405" t="s">
        <v>620</v>
      </c>
      <c r="F40" s="405" t="s">
        <v>743</v>
      </c>
      <c r="G40" s="413" t="s">
        <v>1011</v>
      </c>
      <c r="H40" s="415" t="s">
        <v>1003</v>
      </c>
      <c r="I40" s="552" t="s">
        <v>1015</v>
      </c>
      <c r="J40" s="419" t="s">
        <v>835</v>
      </c>
      <c r="K40" s="423">
        <v>46121.60833333333</v>
      </c>
      <c r="L40" s="423">
        <v>46121.65</v>
      </c>
      <c r="M40" s="377">
        <f t="shared" si="0"/>
        <v>30</v>
      </c>
      <c r="N40" s="378" t="s">
        <v>139</v>
      </c>
      <c r="O40" s="379">
        <f>'[14]B1&amp; B2 UNSCHEDULED'!$O$24</f>
        <v>0</v>
      </c>
      <c r="P40" s="381"/>
      <c r="Q40" s="378" t="s">
        <v>139</v>
      </c>
      <c r="R40" s="389">
        <f t="shared" si="4"/>
        <v>1.0458333333372138</v>
      </c>
      <c r="S40" s="390">
        <f>WORKDAY(J40,6,AKHIR)</f>
        <v>46129</v>
      </c>
      <c r="T40" s="381">
        <v>0</v>
      </c>
      <c r="U40" s="398">
        <f t="shared" si="3"/>
        <v>0</v>
      </c>
      <c r="V40" s="413" t="s">
        <v>1012</v>
      </c>
      <c r="W40" s="399"/>
    </row>
    <row r="41" spans="1:23" s="306" customFormat="1" ht="285" customHeight="1">
      <c r="A41" s="335">
        <v>18</v>
      </c>
      <c r="B41" s="336" t="s">
        <v>699</v>
      </c>
      <c r="C41" s="338" t="str">
        <f>VLOOKUP(B41,[13]AssetDetails_UEM!$A$3:$AH$1849,6,FALSE)</f>
        <v>Infusion Pumps, General-Purpose</v>
      </c>
      <c r="D41" s="601">
        <f>VLOOKUP(B41,[13]AssetDetails_UEM!$A$3:$AK$1849,22,FALSE)</f>
        <v>10825</v>
      </c>
      <c r="E41" s="336" t="s">
        <v>621</v>
      </c>
      <c r="F41" s="336" t="s">
        <v>194</v>
      </c>
      <c r="G41" s="346" t="s">
        <v>772</v>
      </c>
      <c r="H41" s="347" t="s">
        <v>154</v>
      </c>
      <c r="I41" s="361" t="s">
        <v>903</v>
      </c>
      <c r="J41" s="362" t="s">
        <v>836</v>
      </c>
      <c r="K41" s="520" t="s">
        <v>787</v>
      </c>
      <c r="L41" s="362" t="s">
        <v>930</v>
      </c>
      <c r="M41" s="377">
        <f t="shared" si="0"/>
        <v>30</v>
      </c>
      <c r="N41" s="378" t="s">
        <v>139</v>
      </c>
      <c r="O41" s="379">
        <f>'[14]B1&amp; B2 UNSCHEDULED'!$O$24</f>
        <v>0</v>
      </c>
      <c r="P41" s="381"/>
      <c r="Q41" s="378" t="s">
        <v>139</v>
      </c>
      <c r="R41" s="389">
        <f t="shared" si="1"/>
        <v>1.0423611111109494</v>
      </c>
      <c r="S41" s="390">
        <f t="shared" si="2"/>
        <v>46129</v>
      </c>
      <c r="T41" s="381">
        <v>0</v>
      </c>
      <c r="U41" s="398">
        <f t="shared" si="3"/>
        <v>0</v>
      </c>
      <c r="V41" s="397" t="s">
        <v>970</v>
      </c>
      <c r="W41" s="399"/>
    </row>
    <row r="42" spans="1:23" s="306" customFormat="1" ht="251.25" customHeight="1">
      <c r="A42" s="335">
        <v>19</v>
      </c>
      <c r="B42" s="336" t="s">
        <v>697</v>
      </c>
      <c r="C42" s="338" t="str">
        <f>VLOOKUP(B42,[13]AssetDetails_UEM!$A$3:$AH$1849,6,FALSE)</f>
        <v>Mattress Systems, Alternating-Pressure</v>
      </c>
      <c r="D42" s="601">
        <f>VLOOKUP(B42,[13]AssetDetails_UEM!$A$3:$AK$1849,22,FALSE)</f>
        <v>28630</v>
      </c>
      <c r="E42" s="336" t="s">
        <v>624</v>
      </c>
      <c r="F42" s="336" t="s">
        <v>167</v>
      </c>
      <c r="G42" s="346" t="s">
        <v>1884</v>
      </c>
      <c r="H42" s="347" t="s">
        <v>154</v>
      </c>
      <c r="I42" s="361" t="s">
        <v>903</v>
      </c>
      <c r="J42" s="362" t="s">
        <v>839</v>
      </c>
      <c r="K42" s="520" t="s">
        <v>788</v>
      </c>
      <c r="L42" s="362" t="s">
        <v>931</v>
      </c>
      <c r="M42" s="377">
        <f t="shared" si="0"/>
        <v>60</v>
      </c>
      <c r="N42" s="378" t="s">
        <v>139</v>
      </c>
      <c r="O42" s="379">
        <f>'[14]B1&amp; B2 UNSCHEDULED'!$O$24</f>
        <v>0</v>
      </c>
      <c r="P42" s="381"/>
      <c r="Q42" s="378" t="s">
        <v>139</v>
      </c>
      <c r="R42" s="389">
        <f t="shared" si="1"/>
        <v>3.8340277777751908</v>
      </c>
      <c r="S42" s="390">
        <f t="shared" si="2"/>
        <v>46132</v>
      </c>
      <c r="T42" s="381">
        <v>0</v>
      </c>
      <c r="U42" s="398">
        <f t="shared" si="3"/>
        <v>0</v>
      </c>
      <c r="V42" s="397" t="s">
        <v>971</v>
      </c>
      <c r="W42" s="399"/>
    </row>
    <row r="43" spans="1:23" s="305" customFormat="1" ht="202.5" customHeight="1">
      <c r="A43" s="335">
        <v>20</v>
      </c>
      <c r="B43" s="336" t="s">
        <v>697</v>
      </c>
      <c r="C43" s="337" t="str">
        <f>VLOOKUP(B43,[13]AssetDetails_UEM!$A$3:$AH$1849,6,FALSE)</f>
        <v>Mattress Systems, Alternating-Pressure</v>
      </c>
      <c r="D43" s="602">
        <f>VLOOKUP(B43,[13]AssetDetails_UEM!$A$3:$AK$1849,22,FALSE)</f>
        <v>28630</v>
      </c>
      <c r="E43" s="336" t="s">
        <v>625</v>
      </c>
      <c r="F43" s="336" t="s">
        <v>167</v>
      </c>
      <c r="G43" s="346" t="s">
        <v>1885</v>
      </c>
      <c r="H43" s="347" t="s">
        <v>154</v>
      </c>
      <c r="I43" s="361" t="s">
        <v>904</v>
      </c>
      <c r="J43" s="362" t="s">
        <v>840</v>
      </c>
      <c r="K43" s="520" t="s">
        <v>789</v>
      </c>
      <c r="L43" s="362" t="s">
        <v>932</v>
      </c>
      <c r="M43" s="374">
        <f t="shared" si="0"/>
        <v>60</v>
      </c>
      <c r="N43" s="375" t="s">
        <v>139</v>
      </c>
      <c r="O43" s="376">
        <f>'[14]B1&amp; B2 UNSCHEDULED'!$O$24</f>
        <v>0</v>
      </c>
      <c r="P43" s="335"/>
      <c r="Q43" s="375" t="s">
        <v>139</v>
      </c>
      <c r="R43" s="387">
        <f t="shared" si="1"/>
        <v>2.6729166666700621</v>
      </c>
      <c r="S43" s="388">
        <f t="shared" si="2"/>
        <v>46132</v>
      </c>
      <c r="T43" s="335">
        <v>0</v>
      </c>
      <c r="U43" s="396">
        <f t="shared" si="3"/>
        <v>0</v>
      </c>
      <c r="V43" s="397" t="s">
        <v>972</v>
      </c>
      <c r="W43" s="395"/>
    </row>
    <row r="44" spans="1:23" s="308" customFormat="1" ht="291.60000000000002" customHeight="1">
      <c r="A44" s="335">
        <v>21</v>
      </c>
      <c r="B44" s="336" t="s">
        <v>564</v>
      </c>
      <c r="C44" s="337" t="str">
        <f>VLOOKUP(B44,[13]AssetDetails_UEM!$A$3:$AH$1849,6,FALSE)</f>
        <v>Linear Accelerators</v>
      </c>
      <c r="D44" s="602">
        <f>VLOOKUP(B44,[13]AssetDetails_UEM!$A$3:$AK$1849,22,FALSE)</f>
        <v>12049370</v>
      </c>
      <c r="E44" s="336" t="s">
        <v>626</v>
      </c>
      <c r="F44" s="336" t="s">
        <v>745</v>
      </c>
      <c r="G44" s="346" t="s">
        <v>1820</v>
      </c>
      <c r="H44" s="347" t="s">
        <v>154</v>
      </c>
      <c r="I44" s="361" t="s">
        <v>1821</v>
      </c>
      <c r="J44" s="362" t="s">
        <v>841</v>
      </c>
      <c r="K44" s="426">
        <v>46125.354166666664</v>
      </c>
      <c r="L44" s="426">
        <v>46125.395833333336</v>
      </c>
      <c r="M44" s="374">
        <f t="shared" si="0"/>
        <v>100</v>
      </c>
      <c r="N44" s="375" t="s">
        <v>139</v>
      </c>
      <c r="O44" s="376">
        <f>'[14]B1&amp; B2 UNSCHEDULED'!$O$24</f>
        <v>0</v>
      </c>
      <c r="P44" s="335"/>
      <c r="Q44" s="375" t="s">
        <v>139</v>
      </c>
      <c r="R44" s="387">
        <f t="shared" si="1"/>
        <v>1.047222222223354</v>
      </c>
      <c r="S44" s="388">
        <f t="shared" si="2"/>
        <v>46133</v>
      </c>
      <c r="T44" s="335">
        <v>0</v>
      </c>
      <c r="U44" s="396">
        <f t="shared" si="3"/>
        <v>0</v>
      </c>
      <c r="V44" s="397" t="s">
        <v>1822</v>
      </c>
      <c r="W44" s="395"/>
    </row>
    <row r="45" spans="1:23" s="308" customFormat="1" ht="292.5" customHeight="1">
      <c r="A45" s="335">
        <v>22</v>
      </c>
      <c r="B45" s="336" t="s">
        <v>700</v>
      </c>
      <c r="C45" s="337" t="str">
        <f>VLOOKUP(B45,[13]AssetDetails_UEM!$A$3:$AH$1849,6,FALSE)</f>
        <v>Analyzers, Laboratory, Immunoassay, Chemiluminescent</v>
      </c>
      <c r="D45" s="602">
        <f>VLOOKUP(B45,[13]AssetDetails_UEM!$A$3:$AK$1849,22,FALSE)</f>
        <v>1443450</v>
      </c>
      <c r="E45" s="336" t="s">
        <v>627</v>
      </c>
      <c r="F45" s="336" t="s">
        <v>744</v>
      </c>
      <c r="G45" s="346" t="s">
        <v>773</v>
      </c>
      <c r="H45" s="347" t="s">
        <v>154</v>
      </c>
      <c r="I45" s="361" t="s">
        <v>905</v>
      </c>
      <c r="J45" s="362" t="s">
        <v>842</v>
      </c>
      <c r="K45" s="520" t="s">
        <v>790</v>
      </c>
      <c r="L45" s="362" t="s">
        <v>933</v>
      </c>
      <c r="M45" s="374">
        <f t="shared" si="0"/>
        <v>100</v>
      </c>
      <c r="N45" s="375" t="s">
        <v>139</v>
      </c>
      <c r="O45" s="376">
        <f>'[14]B1&amp; B2 UNSCHEDULED'!$O$24</f>
        <v>0</v>
      </c>
      <c r="P45" s="335"/>
      <c r="Q45" s="375" t="s">
        <v>139</v>
      </c>
      <c r="R45" s="387">
        <f t="shared" si="1"/>
        <v>1.0187500000029104</v>
      </c>
      <c r="S45" s="388">
        <f t="shared" si="2"/>
        <v>46133</v>
      </c>
      <c r="T45" s="335">
        <v>0</v>
      </c>
      <c r="U45" s="396">
        <f t="shared" si="3"/>
        <v>0</v>
      </c>
      <c r="V45" s="397" t="s">
        <v>973</v>
      </c>
      <c r="W45" s="395"/>
    </row>
    <row r="46" spans="1:23" s="306" customFormat="1" ht="202.5" customHeight="1">
      <c r="A46" s="335">
        <v>23</v>
      </c>
      <c r="B46" s="336" t="s">
        <v>701</v>
      </c>
      <c r="C46" s="338" t="str">
        <f>VLOOKUP(B46,[13]AssetDetails_UEM!$A$3:$AH$1849,6,FALSE)</f>
        <v>Incubators, Laboratory, Thermocycling</v>
      </c>
      <c r="D46" s="601">
        <f>VLOOKUP(B46,[13]AssetDetails_UEM!$A$3:$AK$1849,22,FALSE)</f>
        <v>16240</v>
      </c>
      <c r="E46" s="336" t="s">
        <v>628</v>
      </c>
      <c r="F46" s="336" t="s">
        <v>739</v>
      </c>
      <c r="G46" s="346" t="s">
        <v>1886</v>
      </c>
      <c r="H46" s="347" t="s">
        <v>154</v>
      </c>
      <c r="I46" s="361" t="s">
        <v>906</v>
      </c>
      <c r="J46" s="362" t="s">
        <v>843</v>
      </c>
      <c r="K46" s="520" t="s">
        <v>791</v>
      </c>
      <c r="L46" s="362" t="s">
        <v>794</v>
      </c>
      <c r="M46" s="377">
        <f t="shared" si="0"/>
        <v>40</v>
      </c>
      <c r="N46" s="378" t="s">
        <v>139</v>
      </c>
      <c r="O46" s="379">
        <f>'[14]B1&amp; B2 UNSCHEDULED'!$O$24</f>
        <v>0</v>
      </c>
      <c r="P46" s="381"/>
      <c r="Q46" s="378" t="s">
        <v>139</v>
      </c>
      <c r="R46" s="389">
        <f t="shared" si="1"/>
        <v>1.0638888888861402</v>
      </c>
      <c r="S46" s="388">
        <f t="shared" si="2"/>
        <v>46133</v>
      </c>
      <c r="T46" s="381">
        <v>0</v>
      </c>
      <c r="U46" s="396">
        <f t="shared" si="3"/>
        <v>0</v>
      </c>
      <c r="V46" s="397" t="s">
        <v>974</v>
      </c>
      <c r="W46" s="399"/>
    </row>
    <row r="47" spans="1:23" s="306" customFormat="1" ht="286.5" customHeight="1">
      <c r="A47" s="335">
        <v>24</v>
      </c>
      <c r="B47" s="336" t="s">
        <v>693</v>
      </c>
      <c r="C47" s="338" t="str">
        <f>VLOOKUP(B47,[13]AssetDetails_UEM!$A$3:$AH$1849,6,FALSE)</f>
        <v>Analyzers, Laboratory, Microbiology, Blood Culture, Automate</v>
      </c>
      <c r="D47" s="601">
        <f>VLOOKUP(B47,[13]AssetDetails_UEM!$A$3:$AK$1849,22,FALSE)</f>
        <v>342820</v>
      </c>
      <c r="E47" s="336" t="s">
        <v>629</v>
      </c>
      <c r="F47" s="336" t="s">
        <v>739</v>
      </c>
      <c r="G47" s="346" t="s">
        <v>1886</v>
      </c>
      <c r="H47" s="347" t="s">
        <v>154</v>
      </c>
      <c r="I47" s="361" t="s">
        <v>897</v>
      </c>
      <c r="J47" s="362" t="s">
        <v>844</v>
      </c>
      <c r="K47" s="520" t="s">
        <v>792</v>
      </c>
      <c r="L47" s="362" t="s">
        <v>791</v>
      </c>
      <c r="M47" s="377">
        <f t="shared" si="0"/>
        <v>100</v>
      </c>
      <c r="N47" s="378" t="s">
        <v>139</v>
      </c>
      <c r="O47" s="379">
        <f>'[14]B1&amp; B2 UNSCHEDULED'!$O$24</f>
        <v>0</v>
      </c>
      <c r="P47" s="381"/>
      <c r="Q47" s="378" t="s">
        <v>139</v>
      </c>
      <c r="R47" s="389">
        <f t="shared" si="1"/>
        <v>1.0368055555591127</v>
      </c>
      <c r="S47" s="390">
        <f t="shared" si="2"/>
        <v>46133</v>
      </c>
      <c r="T47" s="381">
        <v>0</v>
      </c>
      <c r="U47" s="398">
        <f t="shared" si="3"/>
        <v>0</v>
      </c>
      <c r="V47" s="397" t="s">
        <v>975</v>
      </c>
      <c r="W47" s="399"/>
    </row>
    <row r="48" spans="1:23" s="305" customFormat="1" ht="266.45" customHeight="1">
      <c r="A48" s="335">
        <v>25</v>
      </c>
      <c r="B48" s="336" t="s">
        <v>702</v>
      </c>
      <c r="C48" s="337" t="str">
        <f>VLOOKUP(B48,[13]AssetDetails_UEM!$A$3:$AH$1849,6,FALSE)</f>
        <v>Incubators, Laboratory, Thermocycling</v>
      </c>
      <c r="D48" s="602">
        <f>VLOOKUP(B48,[13]AssetDetails_UEM!$A$3:$AK$1849,22,FALSE)</f>
        <v>16240</v>
      </c>
      <c r="E48" s="336" t="s">
        <v>630</v>
      </c>
      <c r="F48" s="336" t="s">
        <v>739</v>
      </c>
      <c r="G48" s="346" t="s">
        <v>1886</v>
      </c>
      <c r="H48" s="347" t="s">
        <v>154</v>
      </c>
      <c r="I48" s="361" t="s">
        <v>907</v>
      </c>
      <c r="J48" s="362" t="s">
        <v>845</v>
      </c>
      <c r="K48" s="520" t="s">
        <v>793</v>
      </c>
      <c r="L48" s="362" t="s">
        <v>934</v>
      </c>
      <c r="M48" s="374">
        <f t="shared" si="0"/>
        <v>40</v>
      </c>
      <c r="N48" s="375" t="s">
        <v>139</v>
      </c>
      <c r="O48" s="376">
        <f>'[14]B1&amp; B2 UNSCHEDULED'!$O$24</f>
        <v>0</v>
      </c>
      <c r="P48" s="335"/>
      <c r="Q48" s="375" t="s">
        <v>139</v>
      </c>
      <c r="R48" s="387">
        <f t="shared" si="1"/>
        <v>1.023611111108039</v>
      </c>
      <c r="S48" s="388">
        <f t="shared" ref="S48:S97" si="5">WORKDAY(J48,6,AKHIR)</f>
        <v>46133</v>
      </c>
      <c r="T48" s="335">
        <v>0</v>
      </c>
      <c r="U48" s="396">
        <f t="shared" si="3"/>
        <v>0</v>
      </c>
      <c r="V48" s="397" t="s">
        <v>975</v>
      </c>
      <c r="W48" s="395"/>
    </row>
    <row r="49" spans="1:23" s="306" customFormat="1" ht="372.75" customHeight="1">
      <c r="A49" s="335">
        <v>26</v>
      </c>
      <c r="B49" s="336" t="s">
        <v>703</v>
      </c>
      <c r="C49" s="338" t="str">
        <f>VLOOKUP(B49,[13]AssetDetails_UEM!$A$3:$AH$1849,6,FALSE)</f>
        <v>Incubators, Laboratory, Thermocycling</v>
      </c>
      <c r="D49" s="601">
        <f>VLOOKUP(B49,[13]AssetDetails_UEM!$A$3:$AK$1849,22,FALSE)</f>
        <v>16240</v>
      </c>
      <c r="E49" s="336" t="s">
        <v>631</v>
      </c>
      <c r="F49" s="336" t="s">
        <v>739</v>
      </c>
      <c r="G49" s="346" t="s">
        <v>1886</v>
      </c>
      <c r="H49" s="347" t="s">
        <v>154</v>
      </c>
      <c r="I49" s="361" t="s">
        <v>908</v>
      </c>
      <c r="J49" s="362" t="s">
        <v>846</v>
      </c>
      <c r="K49" s="520" t="s">
        <v>794</v>
      </c>
      <c r="L49" s="362" t="s">
        <v>931</v>
      </c>
      <c r="M49" s="377">
        <f t="shared" si="0"/>
        <v>40</v>
      </c>
      <c r="N49" s="378" t="s">
        <v>139</v>
      </c>
      <c r="O49" s="379">
        <f>'[14]B1&amp; B2 UNSCHEDULED'!$O$24</f>
        <v>0</v>
      </c>
      <c r="P49" s="381"/>
      <c r="Q49" s="378" t="s">
        <v>139</v>
      </c>
      <c r="R49" s="389">
        <f t="shared" si="1"/>
        <v>1.0736111111109494</v>
      </c>
      <c r="S49" s="390">
        <f t="shared" si="5"/>
        <v>46133</v>
      </c>
      <c r="T49" s="381">
        <v>0</v>
      </c>
      <c r="U49" s="398">
        <f t="shared" si="3"/>
        <v>0</v>
      </c>
      <c r="V49" s="397" t="s">
        <v>976</v>
      </c>
      <c r="W49" s="399"/>
    </row>
    <row r="50" spans="1:23" s="306" customFormat="1" ht="249" customHeight="1">
      <c r="A50" s="335">
        <v>27</v>
      </c>
      <c r="B50" s="336" t="s">
        <v>704</v>
      </c>
      <c r="C50" s="338" t="str">
        <f>VLOOKUP(B50,[13]AssetDetails_UEM!$A$3:$AH$1849,6,FALSE)</f>
        <v>Sphygmomanometers, Electronic, Automatic</v>
      </c>
      <c r="D50" s="601">
        <f>VLOOKUP(B50,[13]AssetDetails_UEM!$A$3:$AK$1849,22,FALSE)</f>
        <v>4510</v>
      </c>
      <c r="E50" s="336" t="s">
        <v>632</v>
      </c>
      <c r="F50" s="336" t="s">
        <v>746</v>
      </c>
      <c r="G50" s="346" t="s">
        <v>1886</v>
      </c>
      <c r="H50" s="347" t="s">
        <v>154</v>
      </c>
      <c r="I50" s="361" t="s">
        <v>909</v>
      </c>
      <c r="J50" s="362" t="s">
        <v>847</v>
      </c>
      <c r="K50" s="520" t="s">
        <v>795</v>
      </c>
      <c r="L50" s="362" t="s">
        <v>935</v>
      </c>
      <c r="M50" s="377">
        <f t="shared" si="0"/>
        <v>10</v>
      </c>
      <c r="N50" s="378" t="s">
        <v>139</v>
      </c>
      <c r="O50" s="379">
        <f>'[14]B1&amp; B2 UNSCHEDULED'!$O$24</f>
        <v>0</v>
      </c>
      <c r="P50" s="381"/>
      <c r="Q50" s="378" t="s">
        <v>139</v>
      </c>
      <c r="R50" s="389">
        <f t="shared" si="1"/>
        <v>1.0263888888875954</v>
      </c>
      <c r="S50" s="390">
        <f t="shared" si="5"/>
        <v>46134</v>
      </c>
      <c r="T50" s="381">
        <v>0</v>
      </c>
      <c r="U50" s="398">
        <f t="shared" si="3"/>
        <v>0</v>
      </c>
      <c r="V50" s="397" t="s">
        <v>977</v>
      </c>
      <c r="W50" s="399"/>
    </row>
    <row r="51" spans="1:23" s="308" customFormat="1" ht="311.25" customHeight="1">
      <c r="A51" s="335">
        <v>28</v>
      </c>
      <c r="B51" s="336" t="s">
        <v>705</v>
      </c>
      <c r="C51" s="337" t="str">
        <f>VLOOKUP(B51,[13]AssetDetails_UEM!$A$3:$AH$1849,6,FALSE)</f>
        <v>Scanning Systems, Laser, Optical Tomography</v>
      </c>
      <c r="D51" s="602">
        <f>VLOOKUP(B51,[13]AssetDetails_UEM!$A$3:$AK$1849,22,FALSE)</f>
        <v>2185000</v>
      </c>
      <c r="E51" s="336" t="s">
        <v>633</v>
      </c>
      <c r="F51" s="336" t="s">
        <v>742</v>
      </c>
      <c r="G51" s="346" t="s">
        <v>1823</v>
      </c>
      <c r="H51" s="347" t="s">
        <v>154</v>
      </c>
      <c r="I51" s="361" t="s">
        <v>915</v>
      </c>
      <c r="J51" s="362" t="s">
        <v>848</v>
      </c>
      <c r="K51" s="426">
        <v>46126.395833333336</v>
      </c>
      <c r="L51" s="426">
        <v>46126.447916666664</v>
      </c>
      <c r="M51" s="374">
        <f t="shared" si="0"/>
        <v>100</v>
      </c>
      <c r="N51" s="375" t="s">
        <v>139</v>
      </c>
      <c r="O51" s="376">
        <f>'[14]B1&amp; B2 UNSCHEDULED'!$O$24</f>
        <v>0</v>
      </c>
      <c r="P51" s="335"/>
      <c r="Q51" s="375" t="s">
        <v>139</v>
      </c>
      <c r="R51" s="387">
        <f t="shared" si="1"/>
        <v>1.0618055555532919</v>
      </c>
      <c r="S51" s="388">
        <f t="shared" si="5"/>
        <v>46134</v>
      </c>
      <c r="T51" s="335">
        <v>0</v>
      </c>
      <c r="U51" s="396">
        <f t="shared" si="3"/>
        <v>0</v>
      </c>
      <c r="V51" s="397" t="s">
        <v>1824</v>
      </c>
      <c r="W51" s="395"/>
    </row>
    <row r="52" spans="1:23" s="306" customFormat="1" ht="270" customHeight="1">
      <c r="A52" s="335">
        <v>29</v>
      </c>
      <c r="B52" s="336" t="s">
        <v>706</v>
      </c>
      <c r="C52" s="338" t="str">
        <f>VLOOKUP(B52,[13]AssetDetails_UEM!$A$3:$AH$1849,6,FALSE)</f>
        <v>Counters, Gamma</v>
      </c>
      <c r="D52" s="601">
        <f>VLOOKUP(B52,[13]AssetDetails_UEM!$A$3:$AK$1849,22,FALSE)</f>
        <v>144820</v>
      </c>
      <c r="E52" s="336" t="s">
        <v>634</v>
      </c>
      <c r="F52" s="336" t="s">
        <v>747</v>
      </c>
      <c r="G52" s="346" t="s">
        <v>1887</v>
      </c>
      <c r="H52" s="347" t="s">
        <v>154</v>
      </c>
      <c r="I52" s="361" t="s">
        <v>162</v>
      </c>
      <c r="J52" s="362" t="s">
        <v>849</v>
      </c>
      <c r="K52" s="520" t="s">
        <v>796</v>
      </c>
      <c r="L52" s="362" t="s">
        <v>936</v>
      </c>
      <c r="M52" s="377">
        <f t="shared" si="0"/>
        <v>100</v>
      </c>
      <c r="N52" s="378" t="s">
        <v>139</v>
      </c>
      <c r="O52" s="379">
        <f>'[14]B1&amp; B2 UNSCHEDULED'!$O$24</f>
        <v>0</v>
      </c>
      <c r="P52" s="381"/>
      <c r="Q52" s="378" t="s">
        <v>139</v>
      </c>
      <c r="R52" s="389">
        <f>IF(L52="",AKHIR-J52,L52-J52+1)</f>
        <v>1.0347222222262644</v>
      </c>
      <c r="S52" s="388">
        <f t="shared" si="5"/>
        <v>46134</v>
      </c>
      <c r="T52" s="381">
        <v>0</v>
      </c>
      <c r="U52" s="396">
        <f t="shared" si="3"/>
        <v>0</v>
      </c>
      <c r="V52" s="397" t="s">
        <v>978</v>
      </c>
      <c r="W52" s="399"/>
    </row>
    <row r="53" spans="1:23" s="306" customFormat="1" ht="303" customHeight="1">
      <c r="A53" s="335">
        <v>30</v>
      </c>
      <c r="B53" s="336" t="s">
        <v>707</v>
      </c>
      <c r="C53" s="338" t="str">
        <f>VLOOKUP(B53,[13]AssetDetails_UEM!$A$3:$AH$1849,6,FALSE)</f>
        <v>Physiologic Monitoring Systems, Acute Care</v>
      </c>
      <c r="D53" s="601">
        <f>VLOOKUP(B53,[13]AssetDetails_UEM!$A$3:$AK$1849,22,FALSE)</f>
        <v>44510</v>
      </c>
      <c r="E53" s="336" t="s">
        <v>635</v>
      </c>
      <c r="F53" s="336" t="s">
        <v>244</v>
      </c>
      <c r="G53" s="346" t="s">
        <v>1888</v>
      </c>
      <c r="H53" s="347" t="s">
        <v>154</v>
      </c>
      <c r="I53" s="361" t="s">
        <v>903</v>
      </c>
      <c r="J53" s="362" t="s">
        <v>850</v>
      </c>
      <c r="K53" s="520" t="s">
        <v>797</v>
      </c>
      <c r="L53" s="362" t="s">
        <v>937</v>
      </c>
      <c r="M53" s="377">
        <f t="shared" si="0"/>
        <v>90</v>
      </c>
      <c r="N53" s="378" t="s">
        <v>139</v>
      </c>
      <c r="O53" s="379">
        <f>'[14]B1&amp; B2 UNSCHEDULED'!$O$24</f>
        <v>0</v>
      </c>
      <c r="P53" s="381"/>
      <c r="Q53" s="378" t="s">
        <v>139</v>
      </c>
      <c r="R53" s="389">
        <f t="shared" ref="R53:R66" si="6">IF(L53="",AKHIR-J53,L53-J53+1)</f>
        <v>1.0527777777751908</v>
      </c>
      <c r="S53" s="388">
        <f t="shared" si="5"/>
        <v>46134</v>
      </c>
      <c r="T53" s="381">
        <v>0</v>
      </c>
      <c r="U53" s="396">
        <f t="shared" si="3"/>
        <v>0</v>
      </c>
      <c r="V53" s="397" t="s">
        <v>979</v>
      </c>
      <c r="W53" s="399"/>
    </row>
    <row r="54" spans="1:23" s="308" customFormat="1" ht="408.75" customHeight="1">
      <c r="A54" s="335">
        <v>31</v>
      </c>
      <c r="B54" s="336" t="s">
        <v>698</v>
      </c>
      <c r="C54" s="337" t="str">
        <f>VLOOKUP(B54,[13]AssetDetails_UEM!$A$3:$AH$1849,6,FALSE)</f>
        <v>Linear Accelerators</v>
      </c>
      <c r="D54" s="602">
        <f>VLOOKUP(B54,[13]AssetDetails_UEM!$A$3:$AK$1849,22,FALSE)</f>
        <v>21961900</v>
      </c>
      <c r="E54" s="336" t="s">
        <v>636</v>
      </c>
      <c r="F54" s="336" t="s">
        <v>742</v>
      </c>
      <c r="G54" s="346" t="s">
        <v>1825</v>
      </c>
      <c r="H54" s="347" t="s">
        <v>154</v>
      </c>
      <c r="I54" s="361" t="s">
        <v>1826</v>
      </c>
      <c r="J54" s="362" t="s">
        <v>851</v>
      </c>
      <c r="K54" s="553">
        <v>46127.333333333336</v>
      </c>
      <c r="L54" s="426">
        <v>46127.395833333336</v>
      </c>
      <c r="M54" s="374">
        <f t="shared" si="0"/>
        <v>100</v>
      </c>
      <c r="N54" s="375" t="s">
        <v>139</v>
      </c>
      <c r="O54" s="376">
        <f>'[14]B1&amp; B2 UNSCHEDULED'!$O$24</f>
        <v>0</v>
      </c>
      <c r="P54" s="335"/>
      <c r="Q54" s="375" t="s">
        <v>139</v>
      </c>
      <c r="R54" s="387">
        <f t="shared" si="6"/>
        <v>1.0812500000029104</v>
      </c>
      <c r="S54" s="388">
        <f t="shared" si="5"/>
        <v>46135</v>
      </c>
      <c r="T54" s="335">
        <v>0</v>
      </c>
      <c r="U54" s="396">
        <f t="shared" si="3"/>
        <v>0</v>
      </c>
      <c r="V54" s="568" t="s">
        <v>1827</v>
      </c>
      <c r="W54" s="395"/>
    </row>
    <row r="55" spans="1:23" s="307" customFormat="1" ht="262.5" customHeight="1">
      <c r="A55" s="335">
        <v>32</v>
      </c>
      <c r="B55" s="336" t="s">
        <v>700</v>
      </c>
      <c r="C55" s="337" t="str">
        <f>VLOOKUP(B55,[13]AssetDetails_UEM!$A$3:$AH$1849,6,FALSE)</f>
        <v>Analyzers, Laboratory, Immunoassay, Chemiluminescent</v>
      </c>
      <c r="D55" s="602">
        <f>VLOOKUP(B55,[13]AssetDetails_UEM!$A$3:$AK$1849,22,FALSE)</f>
        <v>1443450</v>
      </c>
      <c r="E55" s="336" t="s">
        <v>637</v>
      </c>
      <c r="F55" s="336" t="s">
        <v>744</v>
      </c>
      <c r="G55" s="346" t="s">
        <v>774</v>
      </c>
      <c r="H55" s="347" t="s">
        <v>154</v>
      </c>
      <c r="I55" s="361" t="s">
        <v>191</v>
      </c>
      <c r="J55" s="362" t="s">
        <v>852</v>
      </c>
      <c r="K55" s="520" t="s">
        <v>798</v>
      </c>
      <c r="L55" s="362" t="s">
        <v>800</v>
      </c>
      <c r="M55" s="374">
        <f t="shared" si="0"/>
        <v>100</v>
      </c>
      <c r="N55" s="375" t="s">
        <v>139</v>
      </c>
      <c r="O55" s="376">
        <f>'[14]B1&amp; B2 UNSCHEDULED'!$O$24</f>
        <v>0</v>
      </c>
      <c r="P55" s="335"/>
      <c r="Q55" s="375" t="s">
        <v>139</v>
      </c>
      <c r="R55" s="387">
        <f t="shared" si="6"/>
        <v>1.0625</v>
      </c>
      <c r="S55" s="388">
        <f t="shared" si="5"/>
        <v>46135</v>
      </c>
      <c r="T55" s="335">
        <v>0</v>
      </c>
      <c r="U55" s="396">
        <f t="shared" si="3"/>
        <v>0</v>
      </c>
      <c r="V55" s="397" t="s">
        <v>980</v>
      </c>
      <c r="W55" s="395"/>
    </row>
    <row r="56" spans="1:23" s="577" customFormat="1" ht="399.95" customHeight="1">
      <c r="A56" s="335">
        <v>33</v>
      </c>
      <c r="B56" s="336" t="s">
        <v>708</v>
      </c>
      <c r="C56" s="402" t="str">
        <f>VLOOKUP(B56,[13]AssetDetails_UEM!$A$3:$AH$1849,6,FALSE)</f>
        <v>Electrocardiographs, Multichannel, Interpretative</v>
      </c>
      <c r="D56" s="603">
        <f>VLOOKUP(B56,[13]AssetDetails_UEM!$A$3:$AK$1849,22,FALSE)</f>
        <v>5590.2</v>
      </c>
      <c r="E56" s="336" t="s">
        <v>638</v>
      </c>
      <c r="F56" s="336" t="s">
        <v>735</v>
      </c>
      <c r="G56" s="346" t="s">
        <v>1915</v>
      </c>
      <c r="H56" s="574" t="s">
        <v>154</v>
      </c>
      <c r="I56" s="578" t="s">
        <v>910</v>
      </c>
      <c r="J56" s="362" t="s">
        <v>853</v>
      </c>
      <c r="K56" s="554" t="s">
        <v>799</v>
      </c>
      <c r="L56" s="362" t="s">
        <v>938</v>
      </c>
      <c r="M56" s="579">
        <f t="shared" si="0"/>
        <v>20</v>
      </c>
      <c r="N56" s="375" t="s">
        <v>139</v>
      </c>
      <c r="O56" s="580">
        <f>'[14]B1&amp; B2 UNSCHEDULED'!$O$24</f>
        <v>0</v>
      </c>
      <c r="P56" s="375"/>
      <c r="Q56" s="375" t="s">
        <v>139</v>
      </c>
      <c r="R56" s="527">
        <f t="shared" si="6"/>
        <v>1.0666666666656965</v>
      </c>
      <c r="S56" s="581">
        <f t="shared" si="5"/>
        <v>46135</v>
      </c>
      <c r="T56" s="375">
        <v>0</v>
      </c>
      <c r="U56" s="582">
        <f t="shared" si="3"/>
        <v>0</v>
      </c>
      <c r="V56" s="575" t="s">
        <v>981</v>
      </c>
      <c r="W56" s="576"/>
    </row>
    <row r="57" spans="1:23" s="306" customFormat="1" ht="408.75" customHeight="1">
      <c r="A57" s="335">
        <v>34</v>
      </c>
      <c r="B57" s="336" t="s">
        <v>709</v>
      </c>
      <c r="C57" s="338" t="str">
        <f>VLOOKUP(B57,[13]AssetDetails_UEM!$A$3:$AH$1849,6,FALSE)</f>
        <v>Scales, Patient, Floor</v>
      </c>
      <c r="D57" s="601">
        <f>VLOOKUP(B57,[13]AssetDetails_UEM!$A$3:$AK$1849,22,FALSE)</f>
        <v>9380</v>
      </c>
      <c r="E57" s="336" t="s">
        <v>639</v>
      </c>
      <c r="F57" s="336" t="s">
        <v>748</v>
      </c>
      <c r="G57" s="346" t="s">
        <v>1916</v>
      </c>
      <c r="H57" s="347" t="s">
        <v>154</v>
      </c>
      <c r="I57" s="361" t="s">
        <v>911</v>
      </c>
      <c r="J57" s="362" t="s">
        <v>854</v>
      </c>
      <c r="K57" s="520" t="s">
        <v>800</v>
      </c>
      <c r="L57" s="362" t="s">
        <v>939</v>
      </c>
      <c r="M57" s="377">
        <f t="shared" si="0"/>
        <v>20</v>
      </c>
      <c r="N57" s="378" t="s">
        <v>139</v>
      </c>
      <c r="O57" s="379">
        <f>'[14]B1&amp; B2 UNSCHEDULED'!$O$24</f>
        <v>0</v>
      </c>
      <c r="P57" s="381"/>
      <c r="Q57" s="378" t="s">
        <v>139</v>
      </c>
      <c r="R57" s="389">
        <f t="shared" si="6"/>
        <v>1.0680555555591127</v>
      </c>
      <c r="S57" s="390">
        <f t="shared" si="5"/>
        <v>46135</v>
      </c>
      <c r="T57" s="381">
        <v>0</v>
      </c>
      <c r="U57" s="398">
        <f t="shared" si="3"/>
        <v>0</v>
      </c>
      <c r="V57" s="397" t="s">
        <v>982</v>
      </c>
      <c r="W57" s="399"/>
    </row>
    <row r="58" spans="1:23" s="306" customFormat="1" ht="409.5">
      <c r="A58" s="335">
        <v>35</v>
      </c>
      <c r="B58" s="336" t="s">
        <v>710</v>
      </c>
      <c r="C58" s="401" t="str">
        <f>VLOOKUP(B58,[13]AssetDetails_UEM!$A$3:$AH$1849,6,FALSE)</f>
        <v>Electrocardiographs, Multichannel, Interpretative</v>
      </c>
      <c r="D58" s="604">
        <f>VLOOKUP(B58,[13]AssetDetails_UEM!$A$3:$AK$1849,22,FALSE)</f>
        <v>25260</v>
      </c>
      <c r="E58" s="336" t="s">
        <v>640</v>
      </c>
      <c r="F58" s="336" t="s">
        <v>749</v>
      </c>
      <c r="G58" s="346" t="s">
        <v>1917</v>
      </c>
      <c r="H58" s="347" t="s">
        <v>154</v>
      </c>
      <c r="I58" s="361" t="s">
        <v>912</v>
      </c>
      <c r="J58" s="362" t="s">
        <v>855</v>
      </c>
      <c r="K58" s="520" t="s">
        <v>801</v>
      </c>
      <c r="L58" s="362" t="s">
        <v>940</v>
      </c>
      <c r="M58" s="377">
        <f t="shared" si="0"/>
        <v>60</v>
      </c>
      <c r="N58" s="378" t="s">
        <v>139</v>
      </c>
      <c r="O58" s="379">
        <f>'[14]B1&amp; B2 UNSCHEDULED'!$O$24</f>
        <v>0</v>
      </c>
      <c r="P58" s="381"/>
      <c r="Q58" s="378" t="s">
        <v>139</v>
      </c>
      <c r="R58" s="389">
        <f t="shared" si="6"/>
        <v>1.0972222222189885</v>
      </c>
      <c r="S58" s="388">
        <f t="shared" si="5"/>
        <v>46135</v>
      </c>
      <c r="T58" s="381">
        <v>0</v>
      </c>
      <c r="U58" s="396">
        <f t="shared" si="3"/>
        <v>0</v>
      </c>
      <c r="V58" s="397" t="s">
        <v>983</v>
      </c>
      <c r="W58" s="399"/>
    </row>
    <row r="59" spans="1:23" s="308" customFormat="1" ht="260.45" customHeight="1">
      <c r="A59" s="335">
        <v>36</v>
      </c>
      <c r="B59" s="336" t="s">
        <v>561</v>
      </c>
      <c r="C59" s="337" t="str">
        <f>VLOOKUP(B59,[13]AssetDetails_UEM!$A$3:$AH$1849,6,FALSE)</f>
        <v>Scanning Systems, Computed Tomography</v>
      </c>
      <c r="D59" s="602">
        <f>VLOOKUP(B59,[13]AssetDetails_UEM!$A$3:$AK$1849,22,FALSE)</f>
        <v>3557530</v>
      </c>
      <c r="E59" s="336" t="s">
        <v>641</v>
      </c>
      <c r="F59" s="336" t="s">
        <v>351</v>
      </c>
      <c r="G59" s="346" t="s">
        <v>1828</v>
      </c>
      <c r="H59" s="347" t="s">
        <v>154</v>
      </c>
      <c r="I59" s="361" t="s">
        <v>1829</v>
      </c>
      <c r="J59" s="362" t="s">
        <v>856</v>
      </c>
      <c r="K59" s="426">
        <v>46127.677083333336</v>
      </c>
      <c r="L59" s="426">
        <v>46127.71875</v>
      </c>
      <c r="M59" s="374">
        <f t="shared" si="0"/>
        <v>100</v>
      </c>
      <c r="N59" s="375" t="s">
        <v>139</v>
      </c>
      <c r="O59" s="376">
        <f>'[14]B1&amp; B2 UNSCHEDULED'!$O$24</f>
        <v>0</v>
      </c>
      <c r="P59" s="335"/>
      <c r="Q59" s="375" t="s">
        <v>140</v>
      </c>
      <c r="R59" s="387">
        <f>IF(L59="",AKHIR-J59,L59-J59+1)</f>
        <v>1.0430555555576575</v>
      </c>
      <c r="S59" s="388">
        <v>46111</v>
      </c>
      <c r="T59" s="335">
        <v>0</v>
      </c>
      <c r="U59" s="396">
        <f t="shared" si="3"/>
        <v>0</v>
      </c>
      <c r="V59" s="397" t="s">
        <v>1830</v>
      </c>
      <c r="W59" s="395"/>
    </row>
    <row r="60" spans="1:23" s="308" customFormat="1" ht="311.45" customHeight="1">
      <c r="A60" s="335">
        <v>37</v>
      </c>
      <c r="B60" s="336" t="s">
        <v>564</v>
      </c>
      <c r="C60" s="402" t="str">
        <f>VLOOKUP(B60,[13]AssetDetails_UEM!$A$3:$AH$1849,6,FALSE)</f>
        <v>Linear Accelerators</v>
      </c>
      <c r="D60" s="603">
        <f>VLOOKUP(B60,[13]AssetDetails_UEM!$A$3:$AK$1849,22,FALSE)</f>
        <v>12049370</v>
      </c>
      <c r="E60" s="336" t="s">
        <v>642</v>
      </c>
      <c r="F60" s="336" t="s">
        <v>745</v>
      </c>
      <c r="G60" s="346" t="s">
        <v>1831</v>
      </c>
      <c r="H60" s="347" t="s">
        <v>154</v>
      </c>
      <c r="I60" s="361" t="s">
        <v>1832</v>
      </c>
      <c r="J60" s="362" t="s">
        <v>857</v>
      </c>
      <c r="K60" s="426">
        <v>46128.354166666664</v>
      </c>
      <c r="L60" s="426">
        <v>46128.385439814818</v>
      </c>
      <c r="M60" s="374">
        <f t="shared" si="0"/>
        <v>100</v>
      </c>
      <c r="N60" s="375" t="s">
        <v>139</v>
      </c>
      <c r="O60" s="376">
        <f>'[14]B1&amp; B2 UNSCHEDULED'!$O$24</f>
        <v>0</v>
      </c>
      <c r="P60" s="335"/>
      <c r="Q60" s="375" t="s">
        <v>139</v>
      </c>
      <c r="R60" s="387">
        <f t="shared" si="6"/>
        <v>1.0375231481521041</v>
      </c>
      <c r="S60" s="388">
        <f t="shared" si="5"/>
        <v>46136</v>
      </c>
      <c r="T60" s="335">
        <v>0</v>
      </c>
      <c r="U60" s="396">
        <f t="shared" si="3"/>
        <v>0</v>
      </c>
      <c r="V60" s="397" t="s">
        <v>1833</v>
      </c>
      <c r="W60" s="395"/>
    </row>
    <row r="61" spans="1:23" s="306" customFormat="1" ht="357.75" customHeight="1">
      <c r="A61" s="335">
        <v>38</v>
      </c>
      <c r="B61" s="336" t="s">
        <v>711</v>
      </c>
      <c r="C61" s="338" t="str">
        <f>VLOOKUP(B61,[13]AssetDetails_UEM!$A$3:$AH$1849,6,FALSE)</f>
        <v>Mattress Systems, Alternating-Pressure</v>
      </c>
      <c r="D61" s="601">
        <f>VLOOKUP(B61,[13]AssetDetails_UEM!$A$3:$AK$1849,22,FALSE)</f>
        <v>28630</v>
      </c>
      <c r="E61" s="336" t="s">
        <v>643</v>
      </c>
      <c r="F61" s="336" t="s">
        <v>732</v>
      </c>
      <c r="G61" s="346" t="s">
        <v>1918</v>
      </c>
      <c r="H61" s="347" t="s">
        <v>154</v>
      </c>
      <c r="I61" s="361" t="s">
        <v>913</v>
      </c>
      <c r="J61" s="362" t="s">
        <v>858</v>
      </c>
      <c r="K61" s="520" t="s">
        <v>802</v>
      </c>
      <c r="L61" s="362" t="s">
        <v>941</v>
      </c>
      <c r="M61" s="377">
        <f t="shared" si="0"/>
        <v>60</v>
      </c>
      <c r="N61" s="378" t="s">
        <v>139</v>
      </c>
      <c r="O61" s="379">
        <f>'[14]B1&amp; B2 UNSCHEDULED'!$O$24</f>
        <v>0</v>
      </c>
      <c r="P61" s="381"/>
      <c r="Q61" s="378" t="s">
        <v>139</v>
      </c>
      <c r="R61" s="389">
        <f t="shared" si="6"/>
        <v>1.0826388888890506</v>
      </c>
      <c r="S61" s="390">
        <f t="shared" si="5"/>
        <v>46136</v>
      </c>
      <c r="T61" s="381">
        <v>0</v>
      </c>
      <c r="U61" s="398">
        <f t="shared" si="3"/>
        <v>0</v>
      </c>
      <c r="V61" s="397" t="s">
        <v>1972</v>
      </c>
      <c r="W61" s="399"/>
    </row>
    <row r="62" spans="1:23" s="308" customFormat="1" ht="357.75" customHeight="1">
      <c r="A62" s="335">
        <v>39</v>
      </c>
      <c r="B62" s="336" t="s">
        <v>1840</v>
      </c>
      <c r="C62" s="337" t="s">
        <v>1838</v>
      </c>
      <c r="D62" s="602" t="s">
        <v>1839</v>
      </c>
      <c r="E62" s="336" t="s">
        <v>644</v>
      </c>
      <c r="F62" s="336" t="s">
        <v>750</v>
      </c>
      <c r="G62" s="346" t="s">
        <v>1834</v>
      </c>
      <c r="H62" s="347" t="s">
        <v>154</v>
      </c>
      <c r="I62" s="361" t="s">
        <v>215</v>
      </c>
      <c r="J62" s="362" t="s">
        <v>859</v>
      </c>
      <c r="K62" s="426">
        <v>46128.541666666664</v>
      </c>
      <c r="L62" s="426">
        <v>46128.583333333336</v>
      </c>
      <c r="M62" s="374">
        <f t="shared" si="0"/>
        <v>100</v>
      </c>
      <c r="N62" s="375" t="s">
        <v>139</v>
      </c>
      <c r="O62" s="376">
        <f>'[14]B1&amp; B2 UNSCHEDULED'!$O$24</f>
        <v>0</v>
      </c>
      <c r="P62" s="335"/>
      <c r="Q62" s="375" t="s">
        <v>139</v>
      </c>
      <c r="R62" s="387">
        <f t="shared" si="6"/>
        <v>1.0444444444437977</v>
      </c>
      <c r="S62" s="388">
        <f t="shared" si="5"/>
        <v>46136</v>
      </c>
      <c r="T62" s="335">
        <v>0</v>
      </c>
      <c r="U62" s="396">
        <f t="shared" si="3"/>
        <v>0</v>
      </c>
      <c r="V62" s="397" t="s">
        <v>1835</v>
      </c>
      <c r="W62" s="395"/>
    </row>
    <row r="63" spans="1:23" s="308" customFormat="1" ht="315">
      <c r="A63" s="335">
        <v>40</v>
      </c>
      <c r="B63" s="336" t="s">
        <v>712</v>
      </c>
      <c r="C63" s="337" t="str">
        <f>VLOOKUP(B63,[13]AssetDetails_UEM!$A$3:$AH$1849,6,FALSE)</f>
        <v>Radiographic Systems, Digital</v>
      </c>
      <c r="D63" s="602">
        <f>VLOOKUP(B63,[13]AssetDetails_UEM!$A$3:$AK$1849,22,FALSE)</f>
        <v>1958605</v>
      </c>
      <c r="E63" s="336" t="s">
        <v>645</v>
      </c>
      <c r="F63" s="336" t="s">
        <v>751</v>
      </c>
      <c r="G63" s="346" t="s">
        <v>1919</v>
      </c>
      <c r="H63" s="347" t="s">
        <v>154</v>
      </c>
      <c r="I63" s="361" t="s">
        <v>900</v>
      </c>
      <c r="J63" s="362" t="s">
        <v>860</v>
      </c>
      <c r="K63" s="520" t="s">
        <v>803</v>
      </c>
      <c r="L63" s="362" t="s">
        <v>942</v>
      </c>
      <c r="M63" s="374">
        <f t="shared" si="0"/>
        <v>100</v>
      </c>
      <c r="N63" s="375" t="s">
        <v>139</v>
      </c>
      <c r="O63" s="376">
        <f>'[14]B1&amp; B2 UNSCHEDULED'!$O$24</f>
        <v>0</v>
      </c>
      <c r="P63" s="335"/>
      <c r="Q63" s="375" t="s">
        <v>139</v>
      </c>
      <c r="R63" s="387">
        <f t="shared" si="6"/>
        <v>1.0506944444423425</v>
      </c>
      <c r="S63" s="388">
        <f t="shared" si="5"/>
        <v>46136</v>
      </c>
      <c r="T63" s="335">
        <v>0</v>
      </c>
      <c r="U63" s="396">
        <f t="shared" si="3"/>
        <v>0</v>
      </c>
      <c r="V63" s="397" t="s">
        <v>984</v>
      </c>
      <c r="W63" s="395"/>
    </row>
    <row r="64" spans="1:23" s="306" customFormat="1" ht="264.60000000000002" customHeight="1">
      <c r="A64" s="335">
        <v>41</v>
      </c>
      <c r="B64" s="405" t="s">
        <v>713</v>
      </c>
      <c r="C64" s="338" t="str">
        <f>VLOOKUP(B64,[13]AssetDetails_UEM!$A$3:$AH$1849,6,FALSE)</f>
        <v>Infusion Pumps, General-Purpose</v>
      </c>
      <c r="D64" s="601">
        <f>VLOOKUP(B64,[13]AssetDetails_UEM!$A$3:$AK$1849,22,FALSE)</f>
        <v>3500</v>
      </c>
      <c r="E64" s="405" t="s">
        <v>646</v>
      </c>
      <c r="F64" s="405" t="s">
        <v>752</v>
      </c>
      <c r="G64" s="413" t="s">
        <v>1902</v>
      </c>
      <c r="H64" s="415" t="s">
        <v>154</v>
      </c>
      <c r="I64" s="552" t="s">
        <v>1903</v>
      </c>
      <c r="J64" s="419" t="s">
        <v>861</v>
      </c>
      <c r="K64" s="423">
        <v>46128.732638888891</v>
      </c>
      <c r="L64" s="423">
        <v>46128.770833333336</v>
      </c>
      <c r="M64" s="377">
        <f t="shared" si="0"/>
        <v>10</v>
      </c>
      <c r="N64" s="378" t="s">
        <v>139</v>
      </c>
      <c r="O64" s="379">
        <f>'[14]B1&amp; B2 UNSCHEDULED'!$O$24</f>
        <v>0</v>
      </c>
      <c r="P64" s="381"/>
      <c r="Q64" s="378" t="s">
        <v>139</v>
      </c>
      <c r="R64" s="389">
        <f t="shared" si="6"/>
        <v>1.0659722222262644</v>
      </c>
      <c r="S64" s="390">
        <f t="shared" si="5"/>
        <v>46136</v>
      </c>
      <c r="T64" s="381">
        <v>0</v>
      </c>
      <c r="U64" s="398">
        <f t="shared" si="3"/>
        <v>0</v>
      </c>
      <c r="V64" s="442" t="s">
        <v>1904</v>
      </c>
      <c r="W64" s="399"/>
    </row>
    <row r="65" spans="1:23" s="308" customFormat="1" ht="300" customHeight="1">
      <c r="A65" s="335">
        <v>42</v>
      </c>
      <c r="B65" s="336" t="s">
        <v>714</v>
      </c>
      <c r="C65" s="337" t="str">
        <f>VLOOKUP(B65,[13]AssetDetails_UEM!$A$3:$AH$1849,6,FALSE)</f>
        <v>Infusion Pumps, General-Purpose</v>
      </c>
      <c r="D65" s="602">
        <f>VLOOKUP(B65,[13]AssetDetails_UEM!$A$3:$AK$1849,22,FALSE)</f>
        <v>5800</v>
      </c>
      <c r="E65" s="336" t="s">
        <v>647</v>
      </c>
      <c r="F65" s="336" t="s">
        <v>194</v>
      </c>
      <c r="G65" s="346" t="s">
        <v>775</v>
      </c>
      <c r="H65" s="347" t="s">
        <v>154</v>
      </c>
      <c r="I65" s="361" t="s">
        <v>914</v>
      </c>
      <c r="J65" s="362" t="s">
        <v>862</v>
      </c>
      <c r="K65" s="520" t="s">
        <v>804</v>
      </c>
      <c r="L65" s="362" t="s">
        <v>943</v>
      </c>
      <c r="M65" s="374">
        <f t="shared" si="0"/>
        <v>20</v>
      </c>
      <c r="N65" s="375" t="s">
        <v>139</v>
      </c>
      <c r="O65" s="376">
        <f>'[14]B1&amp; B2 UNSCHEDULED'!$O$24</f>
        <v>0</v>
      </c>
      <c r="P65" s="335"/>
      <c r="Q65" s="375" t="s">
        <v>139</v>
      </c>
      <c r="R65" s="389">
        <f t="shared" si="6"/>
        <v>1.1805555555547471</v>
      </c>
      <c r="S65" s="388">
        <f t="shared" si="5"/>
        <v>46139</v>
      </c>
      <c r="T65" s="335">
        <v>0</v>
      </c>
      <c r="U65" s="396">
        <f t="shared" si="3"/>
        <v>0</v>
      </c>
      <c r="V65" s="397" t="s">
        <v>985</v>
      </c>
      <c r="W65" s="395"/>
    </row>
    <row r="66" spans="1:23" s="308" customFormat="1" ht="300" customHeight="1">
      <c r="A66" s="335">
        <v>43</v>
      </c>
      <c r="B66" s="336" t="s">
        <v>715</v>
      </c>
      <c r="C66" s="337" t="str">
        <f>VLOOKUP(B66,[13]AssetDetails_UEM!$A$3:$AH$1849,6,FALSE)</f>
        <v>Sphygmomanometers, Electronic, Automatic</v>
      </c>
      <c r="D66" s="602">
        <f>VLOOKUP(B66,[13]AssetDetails_UEM!$A$3:$AK$1849,22,FALSE)</f>
        <v>4510</v>
      </c>
      <c r="E66" s="336" t="s">
        <v>648</v>
      </c>
      <c r="F66" s="336" t="s">
        <v>753</v>
      </c>
      <c r="G66" s="346" t="s">
        <v>1847</v>
      </c>
      <c r="H66" s="347" t="s">
        <v>154</v>
      </c>
      <c r="I66" s="361" t="s">
        <v>906</v>
      </c>
      <c r="J66" s="362" t="s">
        <v>863</v>
      </c>
      <c r="K66" s="520" t="s">
        <v>805</v>
      </c>
      <c r="L66" s="362" t="s">
        <v>944</v>
      </c>
      <c r="M66" s="374">
        <f t="shared" si="0"/>
        <v>10</v>
      </c>
      <c r="N66" s="375" t="s">
        <v>139</v>
      </c>
      <c r="O66" s="376">
        <f>'[14]B1&amp; B2 UNSCHEDULED'!$O$24</f>
        <v>0</v>
      </c>
      <c r="P66" s="335"/>
      <c r="Q66" s="375" t="s">
        <v>139</v>
      </c>
      <c r="R66" s="389">
        <f t="shared" si="6"/>
        <v>1.0499999999956344</v>
      </c>
      <c r="S66" s="388">
        <f t="shared" si="5"/>
        <v>46139</v>
      </c>
      <c r="T66" s="335">
        <v>0</v>
      </c>
      <c r="U66" s="396">
        <f t="shared" si="3"/>
        <v>0</v>
      </c>
      <c r="V66" s="397" t="s">
        <v>986</v>
      </c>
      <c r="W66" s="395"/>
    </row>
    <row r="67" spans="1:23" s="308" customFormat="1" ht="281.25" customHeight="1">
      <c r="A67" s="335">
        <v>44</v>
      </c>
      <c r="B67" s="336" t="s">
        <v>1840</v>
      </c>
      <c r="C67" s="337" t="s">
        <v>1837</v>
      </c>
      <c r="D67" s="602" t="s">
        <v>1839</v>
      </c>
      <c r="E67" s="336" t="s">
        <v>649</v>
      </c>
      <c r="F67" s="336" t="s">
        <v>750</v>
      </c>
      <c r="G67" s="346" t="s">
        <v>1836</v>
      </c>
      <c r="H67" s="347" t="s">
        <v>154</v>
      </c>
      <c r="I67" s="361" t="s">
        <v>917</v>
      </c>
      <c r="J67" s="362" t="s">
        <v>864</v>
      </c>
      <c r="K67" s="426">
        <v>46132.34375</v>
      </c>
      <c r="L67" s="426">
        <v>46132.375</v>
      </c>
      <c r="M67" s="374">
        <f t="shared" si="0"/>
        <v>100</v>
      </c>
      <c r="N67" s="375" t="s">
        <v>139</v>
      </c>
      <c r="O67" s="376">
        <f>'[14]B1&amp; B2 UNSCHEDULED'!$O$24</f>
        <v>0</v>
      </c>
      <c r="P67" s="335"/>
      <c r="Q67" s="375" t="s">
        <v>139</v>
      </c>
      <c r="R67" s="387">
        <f t="shared" ref="R67:R97" si="7">IF(L67="",AKHIR-J67,L67-J67+1)</f>
        <v>1.0347222222189885</v>
      </c>
      <c r="S67" s="388">
        <f t="shared" si="5"/>
        <v>46140</v>
      </c>
      <c r="T67" s="335">
        <v>0</v>
      </c>
      <c r="U67" s="396">
        <f t="shared" si="3"/>
        <v>0</v>
      </c>
      <c r="V67" s="397" t="s">
        <v>1846</v>
      </c>
      <c r="W67" s="395"/>
    </row>
    <row r="68" spans="1:23" s="308" customFormat="1" ht="264.60000000000002" customHeight="1">
      <c r="A68" s="335">
        <v>45</v>
      </c>
      <c r="B68" s="336" t="s">
        <v>564</v>
      </c>
      <c r="C68" s="337" t="str">
        <f>VLOOKUP(B68,[13]AssetDetails_UEM!$A$3:$AH$1849,6,FALSE)</f>
        <v>Linear Accelerators</v>
      </c>
      <c r="D68" s="602">
        <f>VLOOKUP(B68,[13]AssetDetails_UEM!$A$3:$AK$1849,22,FALSE)</f>
        <v>12049370</v>
      </c>
      <c r="E68" s="336" t="s">
        <v>650</v>
      </c>
      <c r="F68" s="336" t="s">
        <v>745</v>
      </c>
      <c r="G68" s="346" t="s">
        <v>1849</v>
      </c>
      <c r="H68" s="347" t="s">
        <v>154</v>
      </c>
      <c r="I68" s="361" t="s">
        <v>1815</v>
      </c>
      <c r="J68" s="362" t="s">
        <v>865</v>
      </c>
      <c r="K68" s="553">
        <v>46132.350694444445</v>
      </c>
      <c r="L68" s="426">
        <v>46132.40625</v>
      </c>
      <c r="M68" s="374">
        <f t="shared" si="0"/>
        <v>100</v>
      </c>
      <c r="N68" s="375" t="s">
        <v>139</v>
      </c>
      <c r="O68" s="376">
        <f>'[14]B1&amp; B2 UNSCHEDULED'!$O$24</f>
        <v>0</v>
      </c>
      <c r="P68" s="335"/>
      <c r="Q68" s="375" t="s">
        <v>139</v>
      </c>
      <c r="R68" s="387">
        <f t="shared" si="7"/>
        <v>1.0590277777810115</v>
      </c>
      <c r="S68" s="388">
        <f t="shared" si="5"/>
        <v>46140</v>
      </c>
      <c r="T68" s="335">
        <v>0</v>
      </c>
      <c r="U68" s="396">
        <f t="shared" si="3"/>
        <v>0</v>
      </c>
      <c r="V68" s="397" t="s">
        <v>1848</v>
      </c>
      <c r="W68" s="395"/>
    </row>
    <row r="69" spans="1:23" s="307" customFormat="1" ht="380.25" customHeight="1">
      <c r="A69" s="335">
        <v>46</v>
      </c>
      <c r="B69" s="336" t="s">
        <v>286</v>
      </c>
      <c r="C69" s="337" t="str">
        <f>VLOOKUP(B69,[13]AssetDetails_UEM!$A$3:$AH$1849,6,FALSE)</f>
        <v>Analyzers, Laboratory, Hematology, Coagulation, Automated</v>
      </c>
      <c r="D69" s="602">
        <f>VLOOKUP(B69,[13]AssetDetails_UEM!$A$3:$AK$1849,22,FALSE)</f>
        <v>105860</v>
      </c>
      <c r="E69" s="336" t="s">
        <v>651</v>
      </c>
      <c r="F69" s="336" t="s">
        <v>289</v>
      </c>
      <c r="G69" s="346" t="s">
        <v>776</v>
      </c>
      <c r="H69" s="347" t="s">
        <v>154</v>
      </c>
      <c r="I69" s="361" t="s">
        <v>900</v>
      </c>
      <c r="J69" s="362" t="s">
        <v>866</v>
      </c>
      <c r="K69" s="520" t="s">
        <v>806</v>
      </c>
      <c r="L69" s="362" t="s">
        <v>945</v>
      </c>
      <c r="M69" s="374">
        <f t="shared" si="0"/>
        <v>100</v>
      </c>
      <c r="N69" s="375" t="s">
        <v>139</v>
      </c>
      <c r="O69" s="376">
        <f>'[14]B1&amp; B2 UNSCHEDULED'!$O$24</f>
        <v>0</v>
      </c>
      <c r="P69" s="335"/>
      <c r="Q69" s="375" t="s">
        <v>139</v>
      </c>
      <c r="R69" s="387">
        <f t="shared" si="7"/>
        <v>1.0194444444423425</v>
      </c>
      <c r="S69" s="388">
        <f t="shared" si="5"/>
        <v>46140</v>
      </c>
      <c r="T69" s="335">
        <v>0</v>
      </c>
      <c r="U69" s="396">
        <f t="shared" si="3"/>
        <v>0</v>
      </c>
      <c r="V69" s="397" t="s">
        <v>987</v>
      </c>
      <c r="W69" s="395"/>
    </row>
    <row r="70" spans="1:23" s="308" customFormat="1" ht="386.1" customHeight="1">
      <c r="A70" s="335">
        <v>47</v>
      </c>
      <c r="B70" s="336" t="s">
        <v>698</v>
      </c>
      <c r="C70" s="402" t="str">
        <f>VLOOKUP(B70,[13]AssetDetails_UEM!$A$3:$AH$1849,6,FALSE)</f>
        <v>Linear Accelerators</v>
      </c>
      <c r="D70" s="603">
        <f>VLOOKUP(B70,[13]AssetDetails_UEM!$A$3:$AK$1849,22,FALSE)</f>
        <v>21961900</v>
      </c>
      <c r="E70" s="336" t="s">
        <v>652</v>
      </c>
      <c r="F70" s="336" t="s">
        <v>742</v>
      </c>
      <c r="G70" s="346" t="s">
        <v>1850</v>
      </c>
      <c r="H70" s="347" t="s">
        <v>154</v>
      </c>
      <c r="I70" s="361" t="s">
        <v>215</v>
      </c>
      <c r="J70" s="362" t="s">
        <v>867</v>
      </c>
      <c r="K70" s="553">
        <v>46132.484722222223</v>
      </c>
      <c r="L70" s="426">
        <v>46132.512499999997</v>
      </c>
      <c r="M70" s="374">
        <f t="shared" si="0"/>
        <v>100</v>
      </c>
      <c r="N70" s="375" t="s">
        <v>139</v>
      </c>
      <c r="O70" s="376">
        <f>'[14]B1&amp; B2 UNSCHEDULED'!$O$24</f>
        <v>0</v>
      </c>
      <c r="P70" s="335"/>
      <c r="Q70" s="375" t="s">
        <v>139</v>
      </c>
      <c r="R70" s="387">
        <f t="shared" si="7"/>
        <v>1.0305555555532919</v>
      </c>
      <c r="S70" s="388">
        <f t="shared" si="5"/>
        <v>46140</v>
      </c>
      <c r="T70" s="335">
        <v>0</v>
      </c>
      <c r="U70" s="396">
        <f t="shared" si="3"/>
        <v>0</v>
      </c>
      <c r="V70" s="397" t="s">
        <v>1851</v>
      </c>
      <c r="W70" s="395"/>
    </row>
    <row r="71" spans="1:23" s="306" customFormat="1" ht="269.25" customHeight="1">
      <c r="A71" s="335">
        <v>48</v>
      </c>
      <c r="B71" s="336" t="s">
        <v>714</v>
      </c>
      <c r="C71" s="401" t="str">
        <f>VLOOKUP(B71,[13]AssetDetails_UEM!$A$3:$AH$1849,6,FALSE)</f>
        <v>Infusion Pumps, General-Purpose</v>
      </c>
      <c r="D71" s="604">
        <f>VLOOKUP(B71,[13]AssetDetails_UEM!$A$3:$AK$1849,22,FALSE)</f>
        <v>5800</v>
      </c>
      <c r="E71" s="336" t="s">
        <v>653</v>
      </c>
      <c r="F71" s="336" t="s">
        <v>194</v>
      </c>
      <c r="G71" s="346" t="s">
        <v>1852</v>
      </c>
      <c r="H71" s="347" t="s">
        <v>154</v>
      </c>
      <c r="I71" s="361" t="s">
        <v>915</v>
      </c>
      <c r="J71" s="362" t="s">
        <v>868</v>
      </c>
      <c r="K71" s="520" t="s">
        <v>807</v>
      </c>
      <c r="L71" s="362" t="s">
        <v>946</v>
      </c>
      <c r="M71" s="377">
        <f t="shared" si="0"/>
        <v>20</v>
      </c>
      <c r="N71" s="378" t="s">
        <v>139</v>
      </c>
      <c r="O71" s="379">
        <f>'[14]B1&amp; B2 UNSCHEDULED'!$O$24</f>
        <v>0</v>
      </c>
      <c r="P71" s="381"/>
      <c r="Q71" s="378" t="s">
        <v>139</v>
      </c>
      <c r="R71" s="389">
        <f t="shared" si="7"/>
        <v>2.7805555555532919</v>
      </c>
      <c r="S71" s="390">
        <f t="shared" si="5"/>
        <v>46140</v>
      </c>
      <c r="T71" s="381">
        <v>0</v>
      </c>
      <c r="U71" s="398">
        <f t="shared" si="3"/>
        <v>0</v>
      </c>
      <c r="V71" s="397" t="s">
        <v>988</v>
      </c>
      <c r="W71" s="399"/>
    </row>
    <row r="72" spans="1:23" s="308" customFormat="1" ht="291" customHeight="1">
      <c r="A72" s="335">
        <v>49</v>
      </c>
      <c r="B72" s="336" t="s">
        <v>564</v>
      </c>
      <c r="C72" s="402" t="str">
        <f>VLOOKUP(B72,[13]AssetDetails_UEM!$A$3:$AH$1849,6,FALSE)</f>
        <v>Linear Accelerators</v>
      </c>
      <c r="D72" s="603">
        <f>VLOOKUP(B72,[13]AssetDetails_UEM!$A$3:$AK$1849,22,FALSE)</f>
        <v>12049370</v>
      </c>
      <c r="E72" s="336" t="s">
        <v>654</v>
      </c>
      <c r="F72" s="336" t="s">
        <v>745</v>
      </c>
      <c r="G72" s="346" t="s">
        <v>1853</v>
      </c>
      <c r="H72" s="347" t="s">
        <v>154</v>
      </c>
      <c r="I72" s="361" t="s">
        <v>1015</v>
      </c>
      <c r="J72" s="362" t="s">
        <v>869</v>
      </c>
      <c r="K72" s="553">
        <v>46133.347222222219</v>
      </c>
      <c r="L72" s="426">
        <v>46133.385416666664</v>
      </c>
      <c r="M72" s="374">
        <f t="shared" si="0"/>
        <v>100</v>
      </c>
      <c r="N72" s="375" t="s">
        <v>139</v>
      </c>
      <c r="O72" s="376">
        <f>'[14]B1&amp; B2 UNSCHEDULED'!$O$24</f>
        <v>0</v>
      </c>
      <c r="P72" s="335"/>
      <c r="Q72" s="375" t="s">
        <v>139</v>
      </c>
      <c r="R72" s="387">
        <f t="shared" si="7"/>
        <v>1.0423611111109494</v>
      </c>
      <c r="S72" s="388">
        <f t="shared" si="5"/>
        <v>46141</v>
      </c>
      <c r="T72" s="335">
        <v>0</v>
      </c>
      <c r="U72" s="396">
        <f t="shared" si="3"/>
        <v>0</v>
      </c>
      <c r="V72" s="397" t="s">
        <v>1854</v>
      </c>
      <c r="W72" s="395"/>
    </row>
    <row r="73" spans="1:23" s="307" customFormat="1" ht="210" customHeight="1">
      <c r="A73" s="335">
        <v>50</v>
      </c>
      <c r="B73" s="336" t="s">
        <v>716</v>
      </c>
      <c r="C73" s="337" t="str">
        <f>VLOOKUP(B73,[13]AssetDetails_UEM!$A$3:$AH$1849,6,FALSE)</f>
        <v>Mattress Systems, Alternating-Pressure</v>
      </c>
      <c r="D73" s="602">
        <f>VLOOKUP(B73,[13]AssetDetails_UEM!$A$3:$AK$1849,22,FALSE)</f>
        <v>4000</v>
      </c>
      <c r="E73" s="336" t="s">
        <v>655</v>
      </c>
      <c r="F73" s="336" t="s">
        <v>754</v>
      </c>
      <c r="G73" s="346" t="s">
        <v>777</v>
      </c>
      <c r="H73" s="347" t="s">
        <v>154</v>
      </c>
      <c r="I73" s="361" t="s">
        <v>916</v>
      </c>
      <c r="J73" s="362" t="s">
        <v>870</v>
      </c>
      <c r="K73" s="520" t="s">
        <v>581</v>
      </c>
      <c r="L73" s="362" t="s">
        <v>947</v>
      </c>
      <c r="M73" s="374">
        <f t="shared" si="0"/>
        <v>10</v>
      </c>
      <c r="N73" s="375" t="s">
        <v>139</v>
      </c>
      <c r="O73" s="376">
        <f>'[14]B1&amp; B2 UNSCHEDULED'!$O$24</f>
        <v>0</v>
      </c>
      <c r="P73" s="335"/>
      <c r="Q73" s="375" t="s">
        <v>139</v>
      </c>
      <c r="R73" s="387">
        <f t="shared" si="7"/>
        <v>1.1680555555503815</v>
      </c>
      <c r="S73" s="388">
        <f t="shared" si="5"/>
        <v>46141</v>
      </c>
      <c r="T73" s="335">
        <v>0</v>
      </c>
      <c r="U73" s="396">
        <f t="shared" si="3"/>
        <v>0</v>
      </c>
      <c r="V73" s="397" t="s">
        <v>989</v>
      </c>
      <c r="W73" s="395"/>
    </row>
    <row r="74" spans="1:23" s="308" customFormat="1" ht="282" customHeight="1">
      <c r="A74" s="335">
        <v>51</v>
      </c>
      <c r="B74" s="336" t="s">
        <v>717</v>
      </c>
      <c r="C74" s="337" t="str">
        <f>VLOOKUP(B74,[13]AssetDetails_UEM!$A$3:$AH$1849,6,FALSE)</f>
        <v>Warming Units, Patient, Forced-Air</v>
      </c>
      <c r="D74" s="602">
        <f>VLOOKUP(B74,[13]AssetDetails_UEM!$A$3:$AK$1849,22,FALSE)</f>
        <v>4950</v>
      </c>
      <c r="E74" s="336" t="s">
        <v>656</v>
      </c>
      <c r="F74" s="336" t="s">
        <v>742</v>
      </c>
      <c r="G74" s="346" t="s">
        <v>1855</v>
      </c>
      <c r="H74" s="347" t="s">
        <v>154</v>
      </c>
      <c r="I74" s="361" t="s">
        <v>1856</v>
      </c>
      <c r="J74" s="362" t="s">
        <v>871</v>
      </c>
      <c r="K74" s="553">
        <v>46133.506944444445</v>
      </c>
      <c r="L74" s="426">
        <v>46133.604166666664</v>
      </c>
      <c r="M74" s="374">
        <f t="shared" si="0"/>
        <v>10</v>
      </c>
      <c r="N74" s="375" t="s">
        <v>139</v>
      </c>
      <c r="O74" s="376">
        <f>'[14]B1&amp; B2 UNSCHEDULED'!$O$24</f>
        <v>0</v>
      </c>
      <c r="P74" s="335"/>
      <c r="Q74" s="375" t="s">
        <v>139</v>
      </c>
      <c r="R74" s="387">
        <f t="shared" si="7"/>
        <v>1.1048611111109494</v>
      </c>
      <c r="S74" s="388">
        <f t="shared" si="5"/>
        <v>46141</v>
      </c>
      <c r="T74" s="335">
        <v>0</v>
      </c>
      <c r="U74" s="396">
        <f t="shared" si="3"/>
        <v>0</v>
      </c>
      <c r="V74" s="397" t="s">
        <v>1857</v>
      </c>
      <c r="W74" s="395"/>
    </row>
    <row r="75" spans="1:23" s="308" customFormat="1" ht="251.25" customHeight="1">
      <c r="A75" s="335">
        <v>52</v>
      </c>
      <c r="B75" s="336" t="s">
        <v>1013</v>
      </c>
      <c r="C75" s="337" t="str">
        <f>VLOOKUP(B75,[13]AssetDetails_UEM!$A$3:$AH$1849,6,FALSE)</f>
        <v>Infusion Pumps, Syringe</v>
      </c>
      <c r="D75" s="602">
        <f>VLOOKUP(B75,[13]AssetDetails_UEM!$A$3:$AK$1849,22,FALSE)</f>
        <v>10225</v>
      </c>
      <c r="E75" s="336" t="s">
        <v>657</v>
      </c>
      <c r="F75" s="336" t="s">
        <v>736</v>
      </c>
      <c r="G75" s="346" t="s">
        <v>1011</v>
      </c>
      <c r="H75" s="347" t="s">
        <v>1003</v>
      </c>
      <c r="I75" s="361" t="s">
        <v>162</v>
      </c>
      <c r="J75" s="362" t="s">
        <v>872</v>
      </c>
      <c r="K75" s="426">
        <v>46133.611111111109</v>
      </c>
      <c r="L75" s="426">
        <v>46133.652777777781</v>
      </c>
      <c r="M75" s="374">
        <f t="shared" si="0"/>
        <v>30</v>
      </c>
      <c r="N75" s="375" t="s">
        <v>139</v>
      </c>
      <c r="O75" s="376">
        <f>'[14]B1&amp; B2 UNSCHEDULED'!$O$24</f>
        <v>0</v>
      </c>
      <c r="P75" s="335"/>
      <c r="Q75" s="375" t="s">
        <v>139</v>
      </c>
      <c r="R75" s="387">
        <f t="shared" si="7"/>
        <v>1.0486111111167702</v>
      </c>
      <c r="S75" s="388">
        <f t="shared" si="5"/>
        <v>46141</v>
      </c>
      <c r="T75" s="335">
        <v>0</v>
      </c>
      <c r="U75" s="396">
        <f t="shared" si="3"/>
        <v>0</v>
      </c>
      <c r="V75" s="397" t="s">
        <v>1012</v>
      </c>
      <c r="W75" s="395"/>
    </row>
    <row r="76" spans="1:23" s="308" customFormat="1" ht="270" customHeight="1">
      <c r="A76" s="335">
        <v>53</v>
      </c>
      <c r="B76" s="336" t="s">
        <v>315</v>
      </c>
      <c r="C76" s="337" t="str">
        <f>VLOOKUP(B76,[13]AssetDetails_UEM!$A$3:$AH$1849,6,FALSE)</f>
        <v>Radiographic/Fluoroscopic Units, Mobile</v>
      </c>
      <c r="D76" s="602">
        <f>VLOOKUP(B76,[13]AssetDetails_UEM!$A$3:$AK$1849,22,FALSE)</f>
        <v>399000</v>
      </c>
      <c r="E76" s="336" t="s">
        <v>658</v>
      </c>
      <c r="F76" s="336" t="s">
        <v>755</v>
      </c>
      <c r="G76" s="346" t="s">
        <v>1920</v>
      </c>
      <c r="H76" s="347" t="s">
        <v>154</v>
      </c>
      <c r="I76" s="361" t="s">
        <v>162</v>
      </c>
      <c r="J76" s="362" t="s">
        <v>873</v>
      </c>
      <c r="K76" s="520" t="s">
        <v>808</v>
      </c>
      <c r="L76" s="362" t="s">
        <v>948</v>
      </c>
      <c r="M76" s="374">
        <f t="shared" si="0"/>
        <v>100</v>
      </c>
      <c r="N76" s="375" t="s">
        <v>139</v>
      </c>
      <c r="O76" s="376">
        <f>'[14]B1&amp; B2 UNSCHEDULED'!$O$24</f>
        <v>0</v>
      </c>
      <c r="P76" s="335"/>
      <c r="Q76" s="375" t="s">
        <v>139</v>
      </c>
      <c r="R76" s="387">
        <f t="shared" si="7"/>
        <v>1.3784722222189885</v>
      </c>
      <c r="S76" s="388">
        <f t="shared" si="5"/>
        <v>46141</v>
      </c>
      <c r="T76" s="335">
        <v>0</v>
      </c>
      <c r="U76" s="396">
        <f t="shared" si="3"/>
        <v>0</v>
      </c>
      <c r="V76" s="397" t="s">
        <v>990</v>
      </c>
      <c r="W76" s="395"/>
    </row>
    <row r="77" spans="1:23" s="308" customFormat="1" ht="326.25" customHeight="1">
      <c r="A77" s="335">
        <v>54</v>
      </c>
      <c r="B77" s="336" t="s">
        <v>718</v>
      </c>
      <c r="C77" s="337" t="str">
        <f>VLOOKUP(B77,[13]AssetDetails_UEM!$A$3:$AH$1849,6,FALSE)</f>
        <v>Infusion Pumps, General-Purpose</v>
      </c>
      <c r="D77" s="602">
        <f>VLOOKUP(B77,[13]AssetDetails_UEM!$A$3:$AK$1849,22,FALSE)</f>
        <v>10825</v>
      </c>
      <c r="E77" s="336" t="s">
        <v>659</v>
      </c>
      <c r="F77" s="336" t="s">
        <v>756</v>
      </c>
      <c r="G77" s="346" t="s">
        <v>1921</v>
      </c>
      <c r="H77" s="347" t="s">
        <v>154</v>
      </c>
      <c r="I77" s="361" t="s">
        <v>155</v>
      </c>
      <c r="J77" s="362" t="s">
        <v>874</v>
      </c>
      <c r="K77" s="520" t="s">
        <v>809</v>
      </c>
      <c r="L77" s="362" t="s">
        <v>949</v>
      </c>
      <c r="M77" s="374">
        <f t="shared" si="0"/>
        <v>30</v>
      </c>
      <c r="N77" s="375" t="s">
        <v>139</v>
      </c>
      <c r="O77" s="376">
        <f>'[14]B1&amp; B2 UNSCHEDULED'!$O$24</f>
        <v>0</v>
      </c>
      <c r="P77" s="335"/>
      <c r="Q77" s="375" t="s">
        <v>139</v>
      </c>
      <c r="R77" s="387">
        <f t="shared" si="7"/>
        <v>1.0291666666671517</v>
      </c>
      <c r="S77" s="388">
        <f t="shared" si="5"/>
        <v>46141</v>
      </c>
      <c r="T77" s="335">
        <v>0</v>
      </c>
      <c r="U77" s="396">
        <f t="shared" si="3"/>
        <v>0</v>
      </c>
      <c r="V77" s="397" t="s">
        <v>991</v>
      </c>
      <c r="W77" s="395"/>
    </row>
    <row r="78" spans="1:23" s="308" customFormat="1" ht="326.25" customHeight="1">
      <c r="A78" s="335">
        <v>55</v>
      </c>
      <c r="B78" s="336" t="s">
        <v>1840</v>
      </c>
      <c r="C78" s="402" t="s">
        <v>565</v>
      </c>
      <c r="D78" s="602" t="s">
        <v>1839</v>
      </c>
      <c r="E78" s="336" t="s">
        <v>660</v>
      </c>
      <c r="F78" s="336" t="s">
        <v>750</v>
      </c>
      <c r="G78" s="346" t="s">
        <v>1858</v>
      </c>
      <c r="H78" s="347" t="s">
        <v>154</v>
      </c>
      <c r="I78" s="361" t="s">
        <v>1859</v>
      </c>
      <c r="J78" s="362" t="s">
        <v>875</v>
      </c>
      <c r="K78" s="553">
        <v>46134.34097222222</v>
      </c>
      <c r="L78" s="426">
        <v>46134.402777777781</v>
      </c>
      <c r="M78" s="374">
        <f t="shared" si="0"/>
        <v>100</v>
      </c>
      <c r="N78" s="375" t="s">
        <v>139</v>
      </c>
      <c r="O78" s="376">
        <f>'[14]B1&amp; B2 UNSCHEDULED'!$O$24</f>
        <v>0</v>
      </c>
      <c r="P78" s="335"/>
      <c r="Q78" s="375" t="s">
        <v>139</v>
      </c>
      <c r="R78" s="387">
        <f t="shared" si="7"/>
        <v>1.0680555555591127</v>
      </c>
      <c r="S78" s="388">
        <f t="shared" si="5"/>
        <v>46143</v>
      </c>
      <c r="T78" s="335">
        <v>0</v>
      </c>
      <c r="U78" s="396">
        <f t="shared" si="3"/>
        <v>0</v>
      </c>
      <c r="V78" s="397" t="s">
        <v>1860</v>
      </c>
      <c r="W78" s="395"/>
    </row>
    <row r="79" spans="1:23" s="308" customFormat="1" ht="326.25" customHeight="1">
      <c r="A79" s="335">
        <v>56</v>
      </c>
      <c r="B79" s="336" t="s">
        <v>719</v>
      </c>
      <c r="C79" s="337" t="str">
        <f>VLOOKUP(B79,[13]AssetDetails_UEM!$A$3:$AH$1849,6,FALSE)</f>
        <v>Physiologic Monitoring Systems, Acute Care</v>
      </c>
      <c r="D79" s="602">
        <f>VLOOKUP(B79,[13]AssetDetails_UEM!$A$3:$AK$1849,22,FALSE)</f>
        <v>54100</v>
      </c>
      <c r="E79" s="336" t="s">
        <v>661</v>
      </c>
      <c r="F79" s="336" t="s">
        <v>757</v>
      </c>
      <c r="G79" s="346" t="s">
        <v>1006</v>
      </c>
      <c r="H79" s="347" t="s">
        <v>154</v>
      </c>
      <c r="I79" s="361" t="s">
        <v>162</v>
      </c>
      <c r="J79" s="362" t="s">
        <v>876</v>
      </c>
      <c r="K79" s="426">
        <v>46134.395833333336</v>
      </c>
      <c r="L79" s="426">
        <v>46135.416666666664</v>
      </c>
      <c r="M79" s="374">
        <f t="shared" si="0"/>
        <v>100</v>
      </c>
      <c r="N79" s="375" t="s">
        <v>139</v>
      </c>
      <c r="O79" s="376">
        <f>'[14]B1&amp; B2 UNSCHEDULED'!$O$24</f>
        <v>0</v>
      </c>
      <c r="P79" s="335"/>
      <c r="Q79" s="375" t="s">
        <v>139</v>
      </c>
      <c r="R79" s="387">
        <f t="shared" si="7"/>
        <v>2.0277777777737356</v>
      </c>
      <c r="S79" s="388">
        <f t="shared" si="5"/>
        <v>46143</v>
      </c>
      <c r="T79" s="335">
        <v>0</v>
      </c>
      <c r="U79" s="396">
        <f t="shared" si="3"/>
        <v>0</v>
      </c>
      <c r="V79" s="397" t="s">
        <v>1005</v>
      </c>
      <c r="W79" s="395"/>
    </row>
    <row r="80" spans="1:23" s="308" customFormat="1" ht="326.25" customHeight="1">
      <c r="A80" s="335">
        <v>57</v>
      </c>
      <c r="B80" s="336" t="s">
        <v>1008</v>
      </c>
      <c r="C80" s="346" t="s">
        <v>1010</v>
      </c>
      <c r="D80" s="602">
        <f>VLOOKUP(B80,[13]AssetDetails_UEM!$A$3:$AK$1849,22,FALSE)</f>
        <v>10225</v>
      </c>
      <c r="E80" s="336" t="s">
        <v>662</v>
      </c>
      <c r="F80" s="336" t="s">
        <v>756</v>
      </c>
      <c r="G80" s="346" t="s">
        <v>1011</v>
      </c>
      <c r="H80" s="347" t="s">
        <v>1003</v>
      </c>
      <c r="I80" s="361" t="s">
        <v>914</v>
      </c>
      <c r="J80" s="362" t="s">
        <v>877</v>
      </c>
      <c r="K80" s="426">
        <v>46134.618055555555</v>
      </c>
      <c r="L80" s="426">
        <v>46134.659722222219</v>
      </c>
      <c r="M80" s="374">
        <f t="shared" si="0"/>
        <v>30</v>
      </c>
      <c r="N80" s="375" t="s">
        <v>139</v>
      </c>
      <c r="O80" s="376">
        <f>'[14]B1&amp; B2 UNSCHEDULED'!$O$24</f>
        <v>0</v>
      </c>
      <c r="P80" s="335"/>
      <c r="Q80" s="375" t="s">
        <v>139</v>
      </c>
      <c r="R80" s="387">
        <f t="shared" si="7"/>
        <v>1.0555555555547471</v>
      </c>
      <c r="S80" s="388">
        <f t="shared" si="5"/>
        <v>46143</v>
      </c>
      <c r="T80" s="335">
        <v>0</v>
      </c>
      <c r="U80" s="396">
        <f t="shared" si="3"/>
        <v>0</v>
      </c>
      <c r="V80" s="397" t="s">
        <v>1012</v>
      </c>
      <c r="W80" s="395"/>
    </row>
    <row r="81" spans="1:23" s="308" customFormat="1" ht="326.25" customHeight="1">
      <c r="A81" s="335">
        <v>58</v>
      </c>
      <c r="B81" s="336" t="s">
        <v>720</v>
      </c>
      <c r="C81" s="337" t="str">
        <f>VLOOKUP(B81,[13]AssetDetails_UEM!$A$3:$AH$1849,6,FALSE)</f>
        <v>Carbon Dioxide Monitors, Laboratory Incubator</v>
      </c>
      <c r="D81" s="602">
        <f>VLOOKUP(B81,[13]AssetDetails_UEM!$A$3:$AK$1849,22,FALSE)</f>
        <v>56180</v>
      </c>
      <c r="E81" s="336" t="s">
        <v>663</v>
      </c>
      <c r="F81" s="336" t="s">
        <v>739</v>
      </c>
      <c r="G81" s="346" t="s">
        <v>1905</v>
      </c>
      <c r="H81" s="347" t="s">
        <v>154</v>
      </c>
      <c r="I81" s="361" t="s">
        <v>215</v>
      </c>
      <c r="J81" s="362" t="s">
        <v>878</v>
      </c>
      <c r="K81" s="426">
        <v>46134.652777777781</v>
      </c>
      <c r="L81" s="426">
        <v>46134.666666666664</v>
      </c>
      <c r="M81" s="374">
        <f>IF(D81&gt;44999.99,100,ROUNDUP((D81/4999.99)*10,-1))</f>
        <v>100</v>
      </c>
      <c r="N81" s="375" t="s">
        <v>139</v>
      </c>
      <c r="O81" s="376">
        <f>'[14]B1&amp; B2 UNSCHEDULED'!$O$24</f>
        <v>0</v>
      </c>
      <c r="P81" s="335"/>
      <c r="Q81" s="375" t="s">
        <v>139</v>
      </c>
      <c r="R81" s="387">
        <f>IF(L81="",AKHIR-J81,L81-J81+1)</f>
        <v>1.0166666666627862</v>
      </c>
      <c r="S81" s="388">
        <f>WORKDAY(J81,6,AKHIR)</f>
        <v>46143</v>
      </c>
      <c r="T81" s="335">
        <v>0</v>
      </c>
      <c r="U81" s="396">
        <f>IF(Q81="N",0,M81*T81)</f>
        <v>0</v>
      </c>
      <c r="V81" s="397" t="s">
        <v>1929</v>
      </c>
      <c r="W81" s="395"/>
    </row>
    <row r="82" spans="1:23" s="308" customFormat="1" ht="326.25" customHeight="1">
      <c r="A82" s="335">
        <v>59</v>
      </c>
      <c r="B82" s="336" t="s">
        <v>721</v>
      </c>
      <c r="C82" s="337" t="str">
        <f>VLOOKUP(B82,[13]AssetDetails_UEM!$A$3:$AH$1849,6,FALSE)</f>
        <v>Computers, Radiotherapy Planning System</v>
      </c>
      <c r="D82" s="602">
        <f>VLOOKUP(B82,[13]AssetDetails_UEM!$A$3:$AK$1849,22,FALSE)</f>
        <v>2403940</v>
      </c>
      <c r="E82" s="336" t="s">
        <v>664</v>
      </c>
      <c r="F82" s="336" t="s">
        <v>758</v>
      </c>
      <c r="G82" s="346" t="s">
        <v>1861</v>
      </c>
      <c r="H82" s="347" t="s">
        <v>1004</v>
      </c>
      <c r="I82" s="361" t="s">
        <v>1829</v>
      </c>
      <c r="J82" s="362" t="s">
        <v>879</v>
      </c>
      <c r="K82" s="553">
        <v>46134.480555555558</v>
      </c>
      <c r="L82" s="426">
        <v>46134.544444444444</v>
      </c>
      <c r="M82" s="374">
        <f t="shared" si="0"/>
        <v>100</v>
      </c>
      <c r="N82" s="375" t="s">
        <v>139</v>
      </c>
      <c r="O82" s="376">
        <f>'[14]B1&amp; B2 UNSCHEDULED'!$O$24</f>
        <v>0</v>
      </c>
      <c r="P82" s="335"/>
      <c r="Q82" s="375" t="s">
        <v>139</v>
      </c>
      <c r="R82" s="387">
        <f t="shared" si="7"/>
        <v>1.0652777777795563</v>
      </c>
      <c r="S82" s="388">
        <f t="shared" si="5"/>
        <v>46143</v>
      </c>
      <c r="T82" s="335">
        <v>0</v>
      </c>
      <c r="U82" s="396">
        <f t="shared" si="3"/>
        <v>0</v>
      </c>
      <c r="V82" s="397" t="s">
        <v>1862</v>
      </c>
      <c r="W82" s="395"/>
    </row>
    <row r="83" spans="1:23" s="308" customFormat="1" ht="326.25" customHeight="1">
      <c r="A83" s="335">
        <v>60</v>
      </c>
      <c r="B83" s="336" t="s">
        <v>722</v>
      </c>
      <c r="C83" s="337" t="str">
        <f>VLOOKUP(B83,[13]AssetDetails_UEM!$A$3:$AH$1849,6,FALSE)</f>
        <v>Scanning Systems, Computed Tomography</v>
      </c>
      <c r="D83" s="602">
        <f>VLOOKUP(B83,[13]AssetDetails_UEM!$A$3:$AK$1849,22,FALSE)</f>
        <v>4605710</v>
      </c>
      <c r="E83" s="336" t="s">
        <v>665</v>
      </c>
      <c r="F83" s="336" t="s">
        <v>759</v>
      </c>
      <c r="G83" s="346" t="s">
        <v>1922</v>
      </c>
      <c r="H83" s="347" t="s">
        <v>1004</v>
      </c>
      <c r="I83" s="361" t="s">
        <v>917</v>
      </c>
      <c r="J83" s="362" t="s">
        <v>879</v>
      </c>
      <c r="K83" s="520" t="s">
        <v>810</v>
      </c>
      <c r="L83" s="362" t="s">
        <v>950</v>
      </c>
      <c r="M83" s="374">
        <f t="shared" si="0"/>
        <v>100</v>
      </c>
      <c r="N83" s="375" t="s">
        <v>139</v>
      </c>
      <c r="O83" s="376">
        <f>'[14]B1&amp; B2 UNSCHEDULED'!$O$24</f>
        <v>0</v>
      </c>
      <c r="P83" s="335"/>
      <c r="Q83" s="375" t="s">
        <v>139</v>
      </c>
      <c r="R83" s="387">
        <f t="shared" si="7"/>
        <v>1.0694444444452529</v>
      </c>
      <c r="S83" s="388">
        <f t="shared" si="5"/>
        <v>46143</v>
      </c>
      <c r="T83" s="335">
        <v>0</v>
      </c>
      <c r="U83" s="396">
        <f t="shared" si="3"/>
        <v>0</v>
      </c>
      <c r="V83" s="397" t="s">
        <v>992</v>
      </c>
      <c r="W83" s="395"/>
    </row>
    <row r="84" spans="1:23" s="308" customFormat="1" ht="326.25" customHeight="1">
      <c r="A84" s="335">
        <v>61</v>
      </c>
      <c r="B84" s="336" t="s">
        <v>712</v>
      </c>
      <c r="C84" s="337" t="str">
        <f>VLOOKUP(B84,[13]AssetDetails_UEM!$A$3:$AH$1849,6,FALSE)</f>
        <v>Radiographic Systems, Digital</v>
      </c>
      <c r="D84" s="602">
        <f>VLOOKUP(B84,[13]AssetDetails_UEM!$A$3:$AK$1849,22,FALSE)</f>
        <v>1958605</v>
      </c>
      <c r="E84" s="336" t="s">
        <v>666</v>
      </c>
      <c r="F84" s="336" t="s">
        <v>751</v>
      </c>
      <c r="G84" s="346" t="s">
        <v>778</v>
      </c>
      <c r="H84" s="347" t="s">
        <v>154</v>
      </c>
      <c r="I84" s="361" t="s">
        <v>917</v>
      </c>
      <c r="J84" s="362" t="s">
        <v>880</v>
      </c>
      <c r="K84" s="520" t="s">
        <v>811</v>
      </c>
      <c r="L84" s="362" t="s">
        <v>951</v>
      </c>
      <c r="M84" s="374">
        <f t="shared" si="0"/>
        <v>100</v>
      </c>
      <c r="N84" s="375" t="s">
        <v>139</v>
      </c>
      <c r="O84" s="376">
        <f>'[14]B1&amp; B2 UNSCHEDULED'!$O$24</f>
        <v>0</v>
      </c>
      <c r="P84" s="335"/>
      <c r="Q84" s="375" t="s">
        <v>139</v>
      </c>
      <c r="R84" s="387">
        <f t="shared" si="7"/>
        <v>1.9652777777737356</v>
      </c>
      <c r="S84" s="388">
        <f t="shared" si="5"/>
        <v>46146</v>
      </c>
      <c r="T84" s="335">
        <v>0</v>
      </c>
      <c r="U84" s="396">
        <f t="shared" si="3"/>
        <v>0</v>
      </c>
      <c r="V84" s="397" t="s">
        <v>993</v>
      </c>
      <c r="W84" s="395"/>
    </row>
    <row r="85" spans="1:23" s="308" customFormat="1" ht="326.25" customHeight="1">
      <c r="A85" s="335">
        <v>62</v>
      </c>
      <c r="B85" s="336" t="s">
        <v>1864</v>
      </c>
      <c r="C85" s="337" t="s">
        <v>1863</v>
      </c>
      <c r="D85" s="602">
        <v>12700</v>
      </c>
      <c r="E85" s="336" t="s">
        <v>667</v>
      </c>
      <c r="F85" s="336" t="s">
        <v>760</v>
      </c>
      <c r="G85" s="346" t="s">
        <v>1810</v>
      </c>
      <c r="H85" s="347" t="s">
        <v>1003</v>
      </c>
      <c r="I85" s="361" t="s">
        <v>1815</v>
      </c>
      <c r="J85" s="362" t="s">
        <v>881</v>
      </c>
      <c r="K85" s="426">
        <v>46136.649305555555</v>
      </c>
      <c r="L85" s="426">
        <v>46136.6875</v>
      </c>
      <c r="M85" s="374">
        <f t="shared" si="0"/>
        <v>30</v>
      </c>
      <c r="N85" s="375" t="s">
        <v>139</v>
      </c>
      <c r="O85" s="376">
        <f>'[14]B1&amp; B2 UNSCHEDULED'!$O$24</f>
        <v>0</v>
      </c>
      <c r="P85" s="335"/>
      <c r="Q85" s="375" t="s">
        <v>139</v>
      </c>
      <c r="R85" s="387">
        <f t="shared" si="7"/>
        <v>1.0416666666642413</v>
      </c>
      <c r="S85" s="388">
        <f t="shared" si="5"/>
        <v>46147</v>
      </c>
      <c r="T85" s="335">
        <v>0</v>
      </c>
      <c r="U85" s="396">
        <f t="shared" si="3"/>
        <v>0</v>
      </c>
      <c r="V85" s="397" t="s">
        <v>1811</v>
      </c>
      <c r="W85" s="395"/>
    </row>
    <row r="86" spans="1:23" s="308" customFormat="1" ht="326.25" customHeight="1">
      <c r="A86" s="335">
        <v>63</v>
      </c>
      <c r="B86" s="336" t="s">
        <v>700</v>
      </c>
      <c r="C86" s="337" t="str">
        <f>VLOOKUP(B86,[13]AssetDetails_UEM!$A$3:$AH$1849,6,FALSE)</f>
        <v>Analyzers, Laboratory, Immunoassay, Chemiluminescent</v>
      </c>
      <c r="D86" s="602">
        <f>VLOOKUP(B86,[13]AssetDetails_UEM!$A$3:$AK$1849,22,FALSE)</f>
        <v>1443450</v>
      </c>
      <c r="E86" s="336" t="s">
        <v>668</v>
      </c>
      <c r="F86" s="336" t="s">
        <v>744</v>
      </c>
      <c r="G86" s="346" t="s">
        <v>1923</v>
      </c>
      <c r="H86" s="347" t="s">
        <v>154</v>
      </c>
      <c r="I86" s="361" t="s">
        <v>162</v>
      </c>
      <c r="J86" s="362" t="s">
        <v>882</v>
      </c>
      <c r="K86" s="520" t="s">
        <v>812</v>
      </c>
      <c r="L86" s="362" t="s">
        <v>952</v>
      </c>
      <c r="M86" s="374">
        <f t="shared" si="0"/>
        <v>100</v>
      </c>
      <c r="N86" s="375" t="s">
        <v>139</v>
      </c>
      <c r="O86" s="376">
        <f>'[14]B1&amp; B2 UNSCHEDULED'!$O$24</f>
        <v>0</v>
      </c>
      <c r="P86" s="335"/>
      <c r="Q86" s="375" t="s">
        <v>139</v>
      </c>
      <c r="R86" s="387">
        <f t="shared" si="7"/>
        <v>1.0486111111167702</v>
      </c>
      <c r="S86" s="388">
        <f t="shared" si="5"/>
        <v>46147</v>
      </c>
      <c r="T86" s="335">
        <v>0</v>
      </c>
      <c r="U86" s="396">
        <f t="shared" si="3"/>
        <v>0</v>
      </c>
      <c r="V86" s="397" t="s">
        <v>994</v>
      </c>
      <c r="W86" s="395"/>
    </row>
    <row r="87" spans="1:23" s="308" customFormat="1" ht="326.25" customHeight="1">
      <c r="A87" s="335">
        <v>64</v>
      </c>
      <c r="B87" s="336" t="s">
        <v>286</v>
      </c>
      <c r="C87" s="337" t="str">
        <f>VLOOKUP(B87,[13]AssetDetails_UEM!$A$3:$AH$1849,6,FALSE)</f>
        <v>Analyzers, Laboratory, Hematology, Coagulation, Automated</v>
      </c>
      <c r="D87" s="602">
        <f>VLOOKUP(B87,[13]AssetDetails_UEM!$A$3:$AK$1849,22,FALSE)</f>
        <v>105860</v>
      </c>
      <c r="E87" s="336" t="s">
        <v>669</v>
      </c>
      <c r="F87" s="336" t="s">
        <v>289</v>
      </c>
      <c r="G87" s="346" t="s">
        <v>1924</v>
      </c>
      <c r="H87" s="347" t="s">
        <v>154</v>
      </c>
      <c r="I87" s="361" t="s">
        <v>904</v>
      </c>
      <c r="J87" s="362" t="s">
        <v>883</v>
      </c>
      <c r="K87" s="520" t="s">
        <v>813</v>
      </c>
      <c r="L87" s="362" t="s">
        <v>953</v>
      </c>
      <c r="M87" s="374">
        <f t="shared" si="0"/>
        <v>100</v>
      </c>
      <c r="N87" s="375" t="s">
        <v>139</v>
      </c>
      <c r="O87" s="376">
        <f>'[14]B1&amp; B2 UNSCHEDULED'!$O$24</f>
        <v>0</v>
      </c>
      <c r="P87" s="335"/>
      <c r="Q87" s="375" t="s">
        <v>139</v>
      </c>
      <c r="R87" s="387">
        <f t="shared" si="7"/>
        <v>3.0444444444437977</v>
      </c>
      <c r="S87" s="388">
        <f t="shared" si="5"/>
        <v>46147</v>
      </c>
      <c r="T87" s="335">
        <v>0</v>
      </c>
      <c r="U87" s="396">
        <f t="shared" si="3"/>
        <v>0</v>
      </c>
      <c r="V87" s="397" t="s">
        <v>995</v>
      </c>
      <c r="W87" s="395"/>
    </row>
    <row r="88" spans="1:23" s="308" customFormat="1" ht="326.25" customHeight="1">
      <c r="A88" s="335">
        <v>65</v>
      </c>
      <c r="B88" s="336" t="s">
        <v>723</v>
      </c>
      <c r="C88" s="337" t="str">
        <f>VLOOKUP(B88,[13]AssetDetails_UEM!$A$3:$AH$1849,6,FALSE)</f>
        <v>Sphygmomanometers, Electronic, Automatic</v>
      </c>
      <c r="D88" s="602">
        <f>VLOOKUP(B88,[13]AssetDetails_UEM!$A$3:$AK$1849,22,FALSE)</f>
        <v>4510</v>
      </c>
      <c r="E88" s="336" t="s">
        <v>670</v>
      </c>
      <c r="F88" s="336" t="s">
        <v>761</v>
      </c>
      <c r="G88" s="346" t="s">
        <v>1925</v>
      </c>
      <c r="H88" s="347" t="s">
        <v>154</v>
      </c>
      <c r="I88" s="361" t="s">
        <v>913</v>
      </c>
      <c r="J88" s="362" t="s">
        <v>884</v>
      </c>
      <c r="K88" s="520" t="s">
        <v>814</v>
      </c>
      <c r="L88" s="362" t="s">
        <v>954</v>
      </c>
      <c r="M88" s="374">
        <f t="shared" si="0"/>
        <v>10</v>
      </c>
      <c r="N88" s="375" t="s">
        <v>139</v>
      </c>
      <c r="O88" s="376">
        <f>'[14]B1&amp; B2 UNSCHEDULED'!$O$24</f>
        <v>0</v>
      </c>
      <c r="P88" s="335"/>
      <c r="Q88" s="375" t="s">
        <v>139</v>
      </c>
      <c r="R88" s="387">
        <f t="shared" si="7"/>
        <v>3.0618055555532919</v>
      </c>
      <c r="S88" s="388">
        <f t="shared" si="5"/>
        <v>46147</v>
      </c>
      <c r="T88" s="335">
        <v>0</v>
      </c>
      <c r="U88" s="396">
        <f t="shared" si="3"/>
        <v>0</v>
      </c>
      <c r="V88" s="397" t="s">
        <v>996</v>
      </c>
      <c r="W88" s="395"/>
    </row>
    <row r="89" spans="1:23" s="308" customFormat="1" ht="326.25" customHeight="1">
      <c r="A89" s="335">
        <v>66</v>
      </c>
      <c r="B89" s="336" t="s">
        <v>724</v>
      </c>
      <c r="C89" s="337" t="str">
        <f>VLOOKUP(B89,[13]AssetDetails_UEM!$A$3:$AH$1849,6,FALSE)</f>
        <v>Aspirators</v>
      </c>
      <c r="D89" s="602">
        <f>VLOOKUP(B89,[13]AssetDetails_UEM!$A$3:$AK$1849,22,FALSE)</f>
        <v>5052</v>
      </c>
      <c r="E89" s="336" t="s">
        <v>671</v>
      </c>
      <c r="F89" s="336" t="s">
        <v>741</v>
      </c>
      <c r="G89" s="346" t="s">
        <v>1926</v>
      </c>
      <c r="H89" s="347" t="s">
        <v>154</v>
      </c>
      <c r="I89" s="361" t="s">
        <v>162</v>
      </c>
      <c r="J89" s="362" t="s">
        <v>885</v>
      </c>
      <c r="K89" s="520" t="s">
        <v>815</v>
      </c>
      <c r="L89" s="362" t="s">
        <v>814</v>
      </c>
      <c r="M89" s="374">
        <f t="shared" si="0"/>
        <v>20</v>
      </c>
      <c r="N89" s="375" t="s">
        <v>139</v>
      </c>
      <c r="O89" s="376">
        <f>'[14]B1&amp; B2 UNSCHEDULED'!$O$24</f>
        <v>0</v>
      </c>
      <c r="P89" s="335"/>
      <c r="Q89" s="375" t="s">
        <v>139</v>
      </c>
      <c r="R89" s="387">
        <f t="shared" si="7"/>
        <v>0.92361111110949423</v>
      </c>
      <c r="S89" s="388">
        <f t="shared" si="5"/>
        <v>46147</v>
      </c>
      <c r="T89" s="335">
        <v>0</v>
      </c>
      <c r="U89" s="396">
        <f t="shared" si="3"/>
        <v>0</v>
      </c>
      <c r="V89" s="397" t="s">
        <v>997</v>
      </c>
      <c r="W89" s="395"/>
    </row>
    <row r="90" spans="1:23" s="308" customFormat="1" ht="326.25" customHeight="1">
      <c r="A90" s="335">
        <v>67</v>
      </c>
      <c r="B90" s="336" t="s">
        <v>725</v>
      </c>
      <c r="C90" s="337" t="str">
        <f>VLOOKUP(B90,[13]AssetDetails_UEM!$A$3:$AH$1849,6,FALSE)</f>
        <v>Radiographic Units, Mobile</v>
      </c>
      <c r="D90" s="602">
        <f>VLOOKUP(B90,[13]AssetDetails_UEM!$A$3:$AK$1849,22,FALSE)</f>
        <v>1149550</v>
      </c>
      <c r="E90" s="336" t="s">
        <v>672</v>
      </c>
      <c r="F90" s="336" t="s">
        <v>208</v>
      </c>
      <c r="G90" s="346" t="s">
        <v>1927</v>
      </c>
      <c r="H90" s="347" t="s">
        <v>154</v>
      </c>
      <c r="I90" s="361" t="s">
        <v>916</v>
      </c>
      <c r="J90" s="362" t="s">
        <v>886</v>
      </c>
      <c r="K90" s="520" t="s">
        <v>816</v>
      </c>
      <c r="L90" s="362" t="s">
        <v>955</v>
      </c>
      <c r="M90" s="374">
        <f t="shared" si="0"/>
        <v>100</v>
      </c>
      <c r="N90" s="375" t="s">
        <v>139</v>
      </c>
      <c r="O90" s="376">
        <f>'[14]B1&amp; B2 UNSCHEDULED'!$O$24</f>
        <v>0</v>
      </c>
      <c r="P90" s="335"/>
      <c r="Q90" s="375" t="s">
        <v>139</v>
      </c>
      <c r="R90" s="387">
        <f t="shared" si="7"/>
        <v>1.9736111111124046</v>
      </c>
      <c r="S90" s="388">
        <f t="shared" si="5"/>
        <v>46147</v>
      </c>
      <c r="T90" s="335">
        <v>0</v>
      </c>
      <c r="U90" s="396">
        <f t="shared" si="3"/>
        <v>0</v>
      </c>
      <c r="V90" s="397" t="s">
        <v>998</v>
      </c>
      <c r="W90" s="395"/>
    </row>
    <row r="91" spans="1:23" s="308" customFormat="1" ht="326.25" customHeight="1">
      <c r="A91" s="335">
        <v>68</v>
      </c>
      <c r="B91" s="336" t="s">
        <v>564</v>
      </c>
      <c r="C91" s="337" t="str">
        <f>VLOOKUP(B91,[13]AssetDetails_UEM!$A$3:$AH$1849,6,FALSE)</f>
        <v>Linear Accelerators</v>
      </c>
      <c r="D91" s="602">
        <f>VLOOKUP(B91,[13]AssetDetails_UEM!$A$3:$AK$1849,22,FALSE)</f>
        <v>12049370</v>
      </c>
      <c r="E91" s="336" t="s">
        <v>673</v>
      </c>
      <c r="F91" s="336" t="s">
        <v>745</v>
      </c>
      <c r="G91" s="346" t="s">
        <v>1865</v>
      </c>
      <c r="H91" s="347" t="s">
        <v>154</v>
      </c>
      <c r="I91" s="361" t="s">
        <v>195</v>
      </c>
      <c r="J91" s="362" t="s">
        <v>887</v>
      </c>
      <c r="K91" s="553">
        <v>46139.361111111109</v>
      </c>
      <c r="L91" s="426">
        <v>46139.409722222219</v>
      </c>
      <c r="M91" s="374">
        <f t="shared" si="0"/>
        <v>100</v>
      </c>
      <c r="N91" s="375" t="s">
        <v>139</v>
      </c>
      <c r="O91" s="376">
        <f>'[14]B1&amp; B2 UNSCHEDULED'!$O$24</f>
        <v>0</v>
      </c>
      <c r="P91" s="335"/>
      <c r="Q91" s="375" t="s">
        <v>139</v>
      </c>
      <c r="R91" s="387">
        <f t="shared" si="7"/>
        <v>1.0569444444408873</v>
      </c>
      <c r="S91" s="388">
        <f t="shared" si="5"/>
        <v>46148</v>
      </c>
      <c r="T91" s="335">
        <v>0</v>
      </c>
      <c r="U91" s="396">
        <f t="shared" si="3"/>
        <v>0</v>
      </c>
      <c r="V91" s="397" t="s">
        <v>1866</v>
      </c>
      <c r="W91" s="395"/>
    </row>
    <row r="92" spans="1:23" s="308" customFormat="1" ht="326.25" customHeight="1">
      <c r="A92" s="335">
        <v>69</v>
      </c>
      <c r="B92" s="336" t="s">
        <v>726</v>
      </c>
      <c r="C92" s="337" t="str">
        <f>VLOOKUP(B92,[13]AssetDetails_UEM!$A$3:$AH$1849,6,FALSE)</f>
        <v>Electrosurgical Units, Monopolar/Bipolar</v>
      </c>
      <c r="D92" s="602">
        <f>VLOOKUP(B92,[13]AssetDetails_UEM!$A$3:$AK$1849,22,FALSE)</f>
        <v>132310</v>
      </c>
      <c r="E92" s="336" t="s">
        <v>674</v>
      </c>
      <c r="F92" s="336" t="s">
        <v>762</v>
      </c>
      <c r="G92" s="346" t="s">
        <v>1872</v>
      </c>
      <c r="H92" s="347" t="s">
        <v>154</v>
      </c>
      <c r="I92" s="361" t="s">
        <v>897</v>
      </c>
      <c r="J92" s="362" t="s">
        <v>888</v>
      </c>
      <c r="K92" s="520" t="s">
        <v>817</v>
      </c>
      <c r="L92" s="362" t="s">
        <v>956</v>
      </c>
      <c r="M92" s="374">
        <f t="shared" si="0"/>
        <v>100</v>
      </c>
      <c r="N92" s="375" t="s">
        <v>139</v>
      </c>
      <c r="O92" s="376">
        <f>'[14]B1&amp; B2 UNSCHEDULED'!$O$24</f>
        <v>0</v>
      </c>
      <c r="P92" s="335"/>
      <c r="Q92" s="375" t="s">
        <v>139</v>
      </c>
      <c r="R92" s="387">
        <f t="shared" si="7"/>
        <v>1.2138888888875954</v>
      </c>
      <c r="S92" s="388">
        <f t="shared" si="5"/>
        <v>46148</v>
      </c>
      <c r="T92" s="335">
        <v>0</v>
      </c>
      <c r="U92" s="396">
        <f t="shared" si="3"/>
        <v>0</v>
      </c>
      <c r="V92" s="397" t="s">
        <v>999</v>
      </c>
      <c r="W92" s="395"/>
    </row>
    <row r="93" spans="1:23" s="308" customFormat="1" ht="326.25" customHeight="1">
      <c r="A93" s="335">
        <v>70</v>
      </c>
      <c r="B93" s="336" t="s">
        <v>728</v>
      </c>
      <c r="C93" s="337" t="str">
        <f>VLOOKUP(B93,[13]AssetDetails_UEM!$A$3:$AH$1849,6,FALSE)</f>
        <v>Aspirators</v>
      </c>
      <c r="D93" s="602">
        <f>VLOOKUP(B93,[13]AssetDetails_UEM!$A$3:$AK$1849,22,FALSE)</f>
        <v>2165</v>
      </c>
      <c r="E93" s="336" t="s">
        <v>678</v>
      </c>
      <c r="F93" s="336" t="s">
        <v>765</v>
      </c>
      <c r="G93" s="346" t="s">
        <v>1873</v>
      </c>
      <c r="H93" s="347" t="s">
        <v>154</v>
      </c>
      <c r="I93" s="361" t="s">
        <v>918</v>
      </c>
      <c r="J93" s="362" t="s">
        <v>892</v>
      </c>
      <c r="K93" s="520" t="s">
        <v>818</v>
      </c>
      <c r="L93" s="362" t="s">
        <v>957</v>
      </c>
      <c r="M93" s="374">
        <f t="shared" si="0"/>
        <v>10</v>
      </c>
      <c r="N93" s="375" t="s">
        <v>139</v>
      </c>
      <c r="O93" s="376">
        <f>'[14]B1&amp; B2 UNSCHEDULED'!$O$24</f>
        <v>0</v>
      </c>
      <c r="P93" s="335"/>
      <c r="Q93" s="375" t="s">
        <v>139</v>
      </c>
      <c r="R93" s="387">
        <f t="shared" si="7"/>
        <v>1.0416666666642413</v>
      </c>
      <c r="S93" s="388">
        <f t="shared" si="5"/>
        <v>46150</v>
      </c>
      <c r="T93" s="335">
        <v>0</v>
      </c>
      <c r="U93" s="396">
        <f t="shared" si="3"/>
        <v>0</v>
      </c>
      <c r="V93" s="397" t="s">
        <v>1000</v>
      </c>
      <c r="W93" s="395"/>
    </row>
    <row r="94" spans="1:23" s="308" customFormat="1" ht="326.25" customHeight="1">
      <c r="A94" s="335">
        <v>71</v>
      </c>
      <c r="B94" s="336" t="s">
        <v>698</v>
      </c>
      <c r="C94" s="337" t="str">
        <f>VLOOKUP(B94,[13]AssetDetails_UEM!$A$3:$AH$1849,6,FALSE)</f>
        <v>Linear Accelerators</v>
      </c>
      <c r="D94" s="602">
        <f>VLOOKUP(B94,[13]AssetDetails_UEM!$A$3:$AK$1849,22,FALSE)</f>
        <v>21961900</v>
      </c>
      <c r="E94" s="336" t="s">
        <v>679</v>
      </c>
      <c r="F94" s="336" t="s">
        <v>742</v>
      </c>
      <c r="G94" s="346" t="s">
        <v>1867</v>
      </c>
      <c r="H94" s="347" t="s">
        <v>154</v>
      </c>
      <c r="I94" s="361" t="s">
        <v>1868</v>
      </c>
      <c r="J94" s="362" t="s">
        <v>893</v>
      </c>
      <c r="K94" s="553">
        <v>46141.643055555556</v>
      </c>
      <c r="L94" s="426">
        <v>46141.666666666664</v>
      </c>
      <c r="M94" s="374">
        <f t="shared" si="0"/>
        <v>100</v>
      </c>
      <c r="N94" s="375" t="s">
        <v>139</v>
      </c>
      <c r="O94" s="376">
        <f>'[14]B1&amp; B2 UNSCHEDULED'!$O$24</f>
        <v>0</v>
      </c>
      <c r="P94" s="335"/>
      <c r="Q94" s="375" t="s">
        <v>139</v>
      </c>
      <c r="R94" s="387">
        <f t="shared" si="7"/>
        <v>1.0736111111109494</v>
      </c>
      <c r="S94" s="388">
        <f t="shared" si="5"/>
        <v>46150</v>
      </c>
      <c r="T94" s="335">
        <v>0</v>
      </c>
      <c r="U94" s="396">
        <f t="shared" si="3"/>
        <v>0</v>
      </c>
      <c r="V94" s="397" t="s">
        <v>1869</v>
      </c>
      <c r="W94" s="395"/>
    </row>
    <row r="95" spans="1:23" s="308" customFormat="1" ht="326.25" customHeight="1">
      <c r="A95" s="335">
        <v>72</v>
      </c>
      <c r="B95" s="521" t="s">
        <v>730</v>
      </c>
      <c r="C95" s="337" t="str">
        <f>VLOOKUP(B95,[13]AssetDetails_UEM!$A$3:$AH$1849,6,FALSE)</f>
        <v>Electrocardiographs, Multichannel, Interpretative</v>
      </c>
      <c r="D95" s="602">
        <f>VLOOKUP(B95,[13]AssetDetails_UEM!$A$3:$AK$1849,22,FALSE)</f>
        <v>25260</v>
      </c>
      <c r="E95" s="521" t="s">
        <v>681</v>
      </c>
      <c r="F95" s="521" t="s">
        <v>766</v>
      </c>
      <c r="G95" s="522" t="s">
        <v>1911</v>
      </c>
      <c r="H95" s="347" t="s">
        <v>154</v>
      </c>
      <c r="I95" s="523" t="s">
        <v>1015</v>
      </c>
      <c r="J95" s="524" t="s">
        <v>894</v>
      </c>
      <c r="K95" s="569">
        <v>46142.454861111109</v>
      </c>
      <c r="L95" s="569">
        <v>46142.5</v>
      </c>
      <c r="M95" s="374">
        <f t="shared" si="0"/>
        <v>60</v>
      </c>
      <c r="N95" s="375" t="s">
        <v>139</v>
      </c>
      <c r="O95" s="376">
        <f>'[14]B1&amp; B2 UNSCHEDULED'!$O$24</f>
        <v>0</v>
      </c>
      <c r="P95" s="520"/>
      <c r="Q95" s="375" t="s">
        <v>139</v>
      </c>
      <c r="R95" s="387">
        <f t="shared" si="7"/>
        <v>1.0493055555562023</v>
      </c>
      <c r="S95" s="388">
        <f t="shared" si="5"/>
        <v>46150</v>
      </c>
      <c r="T95" s="335">
        <v>0</v>
      </c>
      <c r="U95" s="396">
        <f t="shared" si="3"/>
        <v>0</v>
      </c>
      <c r="V95" s="525" t="s">
        <v>1912</v>
      </c>
      <c r="W95" s="395"/>
    </row>
    <row r="96" spans="1:23" s="308" customFormat="1" ht="326.25" customHeight="1">
      <c r="A96" s="335">
        <v>73</v>
      </c>
      <c r="B96" s="521" t="s">
        <v>698</v>
      </c>
      <c r="C96" s="337" t="str">
        <f>VLOOKUP(B96,[13]AssetDetails_UEM!$A$3:$AH$1849,6,FALSE)</f>
        <v>Linear Accelerators</v>
      </c>
      <c r="D96" s="602">
        <f>VLOOKUP(B96,[13]AssetDetails_UEM!$A$3:$AK$1849,22,FALSE)</f>
        <v>21961900</v>
      </c>
      <c r="E96" s="521" t="s">
        <v>682</v>
      </c>
      <c r="F96" s="521" t="s">
        <v>742</v>
      </c>
      <c r="G96" s="522" t="s">
        <v>1870</v>
      </c>
      <c r="H96" s="347" t="s">
        <v>154</v>
      </c>
      <c r="I96" s="523" t="s">
        <v>900</v>
      </c>
      <c r="J96" s="524" t="s">
        <v>895</v>
      </c>
      <c r="K96" s="553">
        <v>46142.666666666664</v>
      </c>
      <c r="L96" s="569">
        <v>46142.708333333336</v>
      </c>
      <c r="M96" s="374">
        <f t="shared" si="0"/>
        <v>100</v>
      </c>
      <c r="N96" s="375" t="s">
        <v>139</v>
      </c>
      <c r="O96" s="376">
        <f>'[14]B1&amp; B2 UNSCHEDULED'!$O$24</f>
        <v>0</v>
      </c>
      <c r="P96" s="520"/>
      <c r="Q96" s="375" t="s">
        <v>139</v>
      </c>
      <c r="R96" s="387">
        <f t="shared" si="7"/>
        <v>1.0506944444496185</v>
      </c>
      <c r="S96" s="388">
        <f t="shared" si="5"/>
        <v>46150</v>
      </c>
      <c r="T96" s="335">
        <v>0</v>
      </c>
      <c r="U96" s="396">
        <f t="shared" si="3"/>
        <v>0</v>
      </c>
      <c r="V96" s="525" t="s">
        <v>1871</v>
      </c>
      <c r="W96" s="395"/>
    </row>
    <row r="97" spans="1:23" s="308" customFormat="1" ht="326.25" customHeight="1">
      <c r="A97" s="335">
        <v>74</v>
      </c>
      <c r="B97" s="521" t="s">
        <v>731</v>
      </c>
      <c r="C97" s="337" t="str">
        <f>VLOOKUP(B97,[13]AssetDetails_UEM!$A$3:$AH$1849,6,FALSE)</f>
        <v>Sphygmomanometers, Electronic, Automatic</v>
      </c>
      <c r="D97" s="602">
        <f>VLOOKUP(B97,[13]AssetDetails_UEM!$A$3:$AK$1849,22,FALSE)</f>
        <v>4510</v>
      </c>
      <c r="E97" s="521" t="s">
        <v>684</v>
      </c>
      <c r="F97" s="521" t="s">
        <v>767</v>
      </c>
      <c r="G97" s="522" t="s">
        <v>1928</v>
      </c>
      <c r="H97" s="347" t="s">
        <v>1004</v>
      </c>
      <c r="I97" s="523" t="s">
        <v>191</v>
      </c>
      <c r="J97" s="524" t="s">
        <v>896</v>
      </c>
      <c r="K97" s="520" t="s">
        <v>820</v>
      </c>
      <c r="L97" s="524" t="s">
        <v>959</v>
      </c>
      <c r="M97" s="374">
        <f t="shared" si="0"/>
        <v>10</v>
      </c>
      <c r="N97" s="375" t="s">
        <v>139</v>
      </c>
      <c r="O97" s="376">
        <f>'[14]B1&amp; B2 UNSCHEDULED'!$O$24</f>
        <v>0</v>
      </c>
      <c r="P97" s="520"/>
      <c r="Q97" s="375" t="s">
        <v>139</v>
      </c>
      <c r="R97" s="387">
        <f t="shared" si="7"/>
        <v>1.1944444444452529</v>
      </c>
      <c r="S97" s="388">
        <f t="shared" si="5"/>
        <v>46150</v>
      </c>
      <c r="T97" s="335">
        <v>0</v>
      </c>
      <c r="U97" s="396">
        <f t="shared" si="3"/>
        <v>0</v>
      </c>
      <c r="V97" s="525" t="s">
        <v>1002</v>
      </c>
      <c r="W97" s="395"/>
    </row>
    <row r="98" spans="1:23" s="308" customFormat="1" ht="174" customHeight="1">
      <c r="A98" s="403" t="s">
        <v>141</v>
      </c>
      <c r="B98" s="404"/>
      <c r="C98" s="609"/>
      <c r="D98" s="605"/>
      <c r="E98" s="404"/>
      <c r="F98" s="404"/>
      <c r="G98" s="610"/>
      <c r="H98" s="412"/>
      <c r="I98" s="412"/>
      <c r="J98" s="755"/>
      <c r="K98" s="755"/>
      <c r="L98" s="755"/>
      <c r="M98" s="755"/>
      <c r="N98" s="755"/>
      <c r="O98" s="755"/>
      <c r="P98" s="755"/>
      <c r="Q98" s="438"/>
      <c r="R98" s="438"/>
      <c r="S98" s="438"/>
      <c r="T98" s="438"/>
      <c r="U98" s="438"/>
      <c r="V98" s="441"/>
      <c r="W98" s="395"/>
    </row>
    <row r="99" spans="1:23" s="308" customFormat="1" ht="262.5">
      <c r="A99" s="375">
        <v>1</v>
      </c>
      <c r="B99" s="336" t="s">
        <v>685</v>
      </c>
      <c r="C99" s="337" t="str">
        <f>VLOOKUP(B99,[13]AssetDetails_UEM!$A$3:$AH$1849,6,FALSE)</f>
        <v>Mattress Systems, Alternating-Pressure</v>
      </c>
      <c r="D99" s="602">
        <f>VLOOKUP(B99,[13]AssetDetails_UEM!$A$3:$AK$1849,22,FALSE)</f>
        <v>28630</v>
      </c>
      <c r="E99" s="336" t="s">
        <v>602</v>
      </c>
      <c r="F99" s="336" t="s">
        <v>732</v>
      </c>
      <c r="G99" s="346" t="s">
        <v>1017</v>
      </c>
      <c r="H99" s="347" t="s">
        <v>154</v>
      </c>
      <c r="I99" s="361" t="s">
        <v>914</v>
      </c>
      <c r="J99" s="426">
        <v>46113.534722222219</v>
      </c>
      <c r="K99" s="426">
        <v>46113.552083333336</v>
      </c>
      <c r="L99" s="596">
        <v>46142.552083333336</v>
      </c>
      <c r="M99" s="374">
        <f t="shared" ref="M99:M107" si="8">IF(D99&gt;44999.99,100,ROUNDUP((D99/4999.99)*10,-1))</f>
        <v>60</v>
      </c>
      <c r="N99" s="375" t="s">
        <v>139</v>
      </c>
      <c r="O99" s="376">
        <f>'[14]B1&amp; B2 UNSCHEDULED'!$O$24</f>
        <v>0</v>
      </c>
      <c r="P99" s="375"/>
      <c r="Q99" s="375" t="s">
        <v>1984</v>
      </c>
      <c r="R99" s="387">
        <f>IF(L99="",AKHIR-J99,L99-J99+1)</f>
        <v>30.01736111111677</v>
      </c>
      <c r="S99" s="388">
        <f t="shared" ref="S99:S103" si="9">WORKDAY(J99,6,AKHIR)</f>
        <v>46121</v>
      </c>
      <c r="T99" s="335">
        <v>21</v>
      </c>
      <c r="U99" s="396">
        <f t="shared" ref="U99:U102" si="10">IF(Q99="N",0,M99*T99)</f>
        <v>0</v>
      </c>
      <c r="V99" s="397" t="s">
        <v>1983</v>
      </c>
      <c r="W99" s="395"/>
    </row>
    <row r="100" spans="1:23" s="308" customFormat="1" ht="315">
      <c r="A100" s="375">
        <v>2</v>
      </c>
      <c r="B100" s="336" t="s">
        <v>1982</v>
      </c>
      <c r="C100" s="337" t="str">
        <f>VLOOKUP(B100,[13]AssetDetails_UEM!$A$3:$AH$1849,6,FALSE)</f>
        <v>Bronchoscopes, Flexible</v>
      </c>
      <c r="D100" s="602">
        <f>VLOOKUP(B100,[13]AssetDetails_UEM!$A$3:$AK$1849,22,FALSE)</f>
        <v>58000</v>
      </c>
      <c r="E100" s="336" t="s">
        <v>614</v>
      </c>
      <c r="F100" s="336" t="s">
        <v>203</v>
      </c>
      <c r="G100" s="346" t="s">
        <v>1880</v>
      </c>
      <c r="H100" s="347" t="s">
        <v>154</v>
      </c>
      <c r="I100" s="361" t="s">
        <v>191</v>
      </c>
      <c r="J100" s="426">
        <v>46119.479166666664</v>
      </c>
      <c r="K100" s="426">
        <v>46119.5</v>
      </c>
      <c r="L100" s="596">
        <v>46142.552083333336</v>
      </c>
      <c r="M100" s="374">
        <f t="shared" si="8"/>
        <v>100</v>
      </c>
      <c r="N100" s="375" t="s">
        <v>139</v>
      </c>
      <c r="O100" s="376">
        <f>'[14]B1&amp; B2 UNSCHEDULED'!$O$24</f>
        <v>0</v>
      </c>
      <c r="P100" s="375"/>
      <c r="Q100" s="375" t="s">
        <v>1984</v>
      </c>
      <c r="R100" s="387">
        <f>IF(L100="",AKHIR-J100,L100-J100+1)</f>
        <v>24.072916666671517</v>
      </c>
      <c r="S100" s="388">
        <f t="shared" si="9"/>
        <v>46127</v>
      </c>
      <c r="T100" s="335">
        <v>15</v>
      </c>
      <c r="U100" s="396">
        <v>0</v>
      </c>
      <c r="V100" s="397" t="s">
        <v>1881</v>
      </c>
      <c r="W100" s="395" t="s">
        <v>1985</v>
      </c>
    </row>
    <row r="101" spans="1:23" s="308" customFormat="1" ht="315">
      <c r="A101" s="375">
        <v>3</v>
      </c>
      <c r="B101" s="336" t="s">
        <v>561</v>
      </c>
      <c r="C101" s="337" t="str">
        <f>VLOOKUP(B101,[13]AssetDetails_UEM!$A$3:$AH$1849,6,FALSE)</f>
        <v>Scanning Systems, Computed Tomography</v>
      </c>
      <c r="D101" s="602">
        <f>VLOOKUP(B101,[13]AssetDetails_UEM!$A$3:$AK$1849,22,FALSE)</f>
        <v>3557530</v>
      </c>
      <c r="E101" s="336" t="s">
        <v>622</v>
      </c>
      <c r="F101" s="336" t="s">
        <v>351</v>
      </c>
      <c r="G101" s="346" t="s">
        <v>1844</v>
      </c>
      <c r="H101" s="347" t="s">
        <v>154</v>
      </c>
      <c r="I101" s="361" t="s">
        <v>1843</v>
      </c>
      <c r="J101" s="362" t="s">
        <v>837</v>
      </c>
      <c r="K101" s="426">
        <v>46122.458333333336</v>
      </c>
      <c r="L101" s="596">
        <v>46142.552083333336</v>
      </c>
      <c r="M101" s="374">
        <f t="shared" si="8"/>
        <v>100</v>
      </c>
      <c r="N101" s="375" t="s">
        <v>139</v>
      </c>
      <c r="O101" s="376">
        <f>'[14]B1&amp; B2 UNSCHEDULED'!$O$24</f>
        <v>0</v>
      </c>
      <c r="P101" s="335"/>
      <c r="Q101" s="375" t="s">
        <v>140</v>
      </c>
      <c r="R101" s="387">
        <f t="shared" ref="R101:R103" si="11">IF(L101="",AKHIR-J101,L101-J101+1)</f>
        <v>21.137500000004366</v>
      </c>
      <c r="S101" s="388">
        <f t="shared" si="9"/>
        <v>46132</v>
      </c>
      <c r="T101" s="335">
        <v>4</v>
      </c>
      <c r="U101" s="396">
        <f t="shared" si="10"/>
        <v>400</v>
      </c>
      <c r="V101" s="397" t="s">
        <v>1845</v>
      </c>
      <c r="W101" s="395" t="s">
        <v>1986</v>
      </c>
    </row>
    <row r="102" spans="1:23" s="308" customFormat="1" ht="326.25" customHeight="1">
      <c r="A102" s="375">
        <v>4</v>
      </c>
      <c r="B102" s="336" t="s">
        <v>727</v>
      </c>
      <c r="C102" s="337" t="str">
        <f>VLOOKUP(B102,[13]AssetDetails_UEM!$A$3:$AH$1849,6,FALSE)</f>
        <v>Mattress Systems, Alternating-Pressure</v>
      </c>
      <c r="D102" s="602">
        <f>VLOOKUP(B102,[13]AssetDetails_UEM!$A$3:$AK$1849,22,FALSE)</f>
        <v>28630</v>
      </c>
      <c r="E102" s="336" t="s">
        <v>675</v>
      </c>
      <c r="F102" s="336" t="s">
        <v>763</v>
      </c>
      <c r="G102" s="346" t="s">
        <v>1842</v>
      </c>
      <c r="H102" s="347" t="s">
        <v>154</v>
      </c>
      <c r="I102" s="361" t="s">
        <v>1841</v>
      </c>
      <c r="J102" s="362" t="s">
        <v>889</v>
      </c>
      <c r="K102" s="426">
        <v>46139.817361111112</v>
      </c>
      <c r="L102" s="596">
        <v>46142.552083333336</v>
      </c>
      <c r="M102" s="374">
        <f t="shared" si="8"/>
        <v>60</v>
      </c>
      <c r="N102" s="375" t="s">
        <v>139</v>
      </c>
      <c r="O102" s="376">
        <f>'[14]B1&amp; B2 UNSCHEDULED'!$O$24</f>
        <v>0</v>
      </c>
      <c r="P102" s="335"/>
      <c r="Q102" s="375" t="s">
        <v>139</v>
      </c>
      <c r="R102" s="387">
        <f t="shared" si="11"/>
        <v>3.7604166666715173</v>
      </c>
      <c r="S102" s="388">
        <f t="shared" si="9"/>
        <v>46148</v>
      </c>
      <c r="T102" s="335">
        <v>0</v>
      </c>
      <c r="U102" s="396">
        <f t="shared" si="10"/>
        <v>0</v>
      </c>
      <c r="V102" s="397" t="s">
        <v>1958</v>
      </c>
      <c r="W102" s="440"/>
    </row>
    <row r="103" spans="1:23" s="306" customFormat="1" ht="327" customHeight="1">
      <c r="A103" s="375">
        <v>5</v>
      </c>
      <c r="B103" s="405" t="s">
        <v>700</v>
      </c>
      <c r="C103" s="338" t="str">
        <f>VLOOKUP(B103,[13]AssetDetails_UEM!$A$3:$AH$1849,6,FALSE)</f>
        <v>Analyzers, Laboratory, Immunoassay, Chemiluminescent</v>
      </c>
      <c r="D103" s="601">
        <f>VLOOKUP(B103,[13]AssetDetails_UEM!$A$3:$AK$1849,22,FALSE)</f>
        <v>1443450</v>
      </c>
      <c r="E103" s="405" t="s">
        <v>623</v>
      </c>
      <c r="F103" s="405" t="s">
        <v>744</v>
      </c>
      <c r="G103" s="413" t="s">
        <v>1906</v>
      </c>
      <c r="H103" s="415" t="s">
        <v>154</v>
      </c>
      <c r="I103" s="552" t="s">
        <v>1908</v>
      </c>
      <c r="J103" s="419" t="s">
        <v>838</v>
      </c>
      <c r="K103" s="423">
        <v>46122.625</v>
      </c>
      <c r="L103" s="596">
        <v>46142.552083333336</v>
      </c>
      <c r="M103" s="377">
        <f t="shared" si="8"/>
        <v>100</v>
      </c>
      <c r="N103" s="378" t="s">
        <v>139</v>
      </c>
      <c r="O103" s="379">
        <f>'[14]B1&amp; B2 UNSCHEDULED'!$O$24</f>
        <v>0</v>
      </c>
      <c r="P103" s="381"/>
      <c r="Q103" s="378" t="s">
        <v>140</v>
      </c>
      <c r="R103" s="389">
        <f t="shared" si="11"/>
        <v>20.963888888894871</v>
      </c>
      <c r="S103" s="390">
        <f t="shared" si="9"/>
        <v>46132</v>
      </c>
      <c r="T103" s="381">
        <v>10</v>
      </c>
      <c r="U103" s="398">
        <v>400</v>
      </c>
      <c r="V103" s="397" t="s">
        <v>1932</v>
      </c>
      <c r="W103" s="399"/>
    </row>
    <row r="104" spans="1:23" s="308" customFormat="1" ht="367.5">
      <c r="A104" s="375">
        <v>6</v>
      </c>
      <c r="B104" s="336" t="s">
        <v>399</v>
      </c>
      <c r="C104" s="337" t="str">
        <f>VLOOKUP(B104,[13]AssetDetails_UEM!$A$3:$AH$1849,6,FALSE)</f>
        <v>Physiologic Monitoring Systems, Stress Exercise</v>
      </c>
      <c r="D104" s="602">
        <f>VLOOKUP(B104,[13]AssetDetails_UEM!$A$3:$AK$1849,22,FALSE)</f>
        <v>138350</v>
      </c>
      <c r="E104" s="336" t="s">
        <v>676</v>
      </c>
      <c r="F104" s="336" t="s">
        <v>764</v>
      </c>
      <c r="G104" s="346" t="s">
        <v>1907</v>
      </c>
      <c r="H104" s="347" t="s">
        <v>154</v>
      </c>
      <c r="I104" s="552" t="s">
        <v>162</v>
      </c>
      <c r="J104" s="362" t="s">
        <v>890</v>
      </c>
      <c r="K104" s="426">
        <v>46140.388888888891</v>
      </c>
      <c r="L104" s="426"/>
      <c r="M104" s="374">
        <f t="shared" si="8"/>
        <v>100</v>
      </c>
      <c r="N104" s="375" t="s">
        <v>139</v>
      </c>
      <c r="O104" s="376">
        <f>'[14]B1&amp; B2 UNSCHEDULED'!$O$24</f>
        <v>0</v>
      </c>
      <c r="P104" s="335"/>
      <c r="Q104" s="375" t="s">
        <v>139</v>
      </c>
      <c r="R104" s="387">
        <v>8</v>
      </c>
      <c r="S104" s="388">
        <f>WORKDAY(J104,6,AKHIR)</f>
        <v>46149</v>
      </c>
      <c r="T104" s="335">
        <v>0</v>
      </c>
      <c r="U104" s="396">
        <f>IF(Q104="N",0,M104*T104)</f>
        <v>0</v>
      </c>
      <c r="V104" s="397" t="s">
        <v>1931</v>
      </c>
      <c r="W104" s="440"/>
    </row>
    <row r="105" spans="1:23" s="310" customFormat="1" ht="326.25" customHeight="1">
      <c r="A105" s="375">
        <v>7</v>
      </c>
      <c r="B105" s="336" t="s">
        <v>315</v>
      </c>
      <c r="C105" s="337" t="str">
        <f>VLOOKUP(B105,[13]AssetDetails_UEM!$A$3:$AH$1849,6,FALSE)</f>
        <v>Radiographic/Fluoroscopic Units, Mobile</v>
      </c>
      <c r="D105" s="602">
        <f>VLOOKUP(B105,[13]AssetDetails_UEM!$A$3:$AK$1849,22,FALSE)</f>
        <v>399000</v>
      </c>
      <c r="E105" s="336" t="s">
        <v>677</v>
      </c>
      <c r="F105" s="336" t="s">
        <v>755</v>
      </c>
      <c r="G105" s="346" t="s">
        <v>1909</v>
      </c>
      <c r="H105" s="347" t="s">
        <v>154</v>
      </c>
      <c r="I105" s="361" t="s">
        <v>162</v>
      </c>
      <c r="J105" s="362" t="s">
        <v>891</v>
      </c>
      <c r="K105" s="426">
        <v>46140.444444444445</v>
      </c>
      <c r="L105" s="596">
        <v>46142.552083333336</v>
      </c>
      <c r="M105" s="374">
        <f t="shared" si="8"/>
        <v>100</v>
      </c>
      <c r="N105" s="375" t="s">
        <v>139</v>
      </c>
      <c r="O105" s="376">
        <f>'[14]B1&amp; B2 UNSCHEDULED'!$O$24</f>
        <v>0</v>
      </c>
      <c r="P105" s="335"/>
      <c r="Q105" s="375" t="s">
        <v>139</v>
      </c>
      <c r="R105" s="387">
        <f>IF(L105="",AKHIR-J105,L105-J105+1)</f>
        <v>3.1145833333357587</v>
      </c>
      <c r="S105" s="388">
        <f>WORKDAY(J105,6,AKHIR)</f>
        <v>46149</v>
      </c>
      <c r="T105" s="335">
        <v>0</v>
      </c>
      <c r="U105" s="396">
        <f>IF(Q105="N",0,M105*T105)</f>
        <v>0</v>
      </c>
      <c r="V105" s="528" t="s">
        <v>1959</v>
      </c>
      <c r="W105" s="440"/>
    </row>
    <row r="106" spans="1:23" s="308" customFormat="1" ht="253.5" customHeight="1">
      <c r="A106" s="335">
        <v>8</v>
      </c>
      <c r="B106" s="336" t="s">
        <v>729</v>
      </c>
      <c r="C106" s="337" t="str">
        <f>VLOOKUP(B106,[13]AssetDetails_UEM!$A$3:$AH$1849,6,FALSE)</f>
        <v>Analyzers, Laboratory, Urine, Automated</v>
      </c>
      <c r="D106" s="602">
        <f>VLOOKUP(B106,[13]AssetDetails_UEM!$A$3:$AK$1849,22,FALSE)</f>
        <v>36080</v>
      </c>
      <c r="E106" s="336" t="s">
        <v>680</v>
      </c>
      <c r="F106" s="336" t="s">
        <v>289</v>
      </c>
      <c r="G106" s="346" t="s">
        <v>1910</v>
      </c>
      <c r="H106" s="347" t="s">
        <v>154</v>
      </c>
      <c r="I106" s="523" t="s">
        <v>191</v>
      </c>
      <c r="J106" s="426">
        <v>46141.645833333336</v>
      </c>
      <c r="K106" s="426">
        <v>46141.666666666664</v>
      </c>
      <c r="L106" s="426">
        <v>46148.666666666664</v>
      </c>
      <c r="M106" s="374">
        <f t="shared" si="8"/>
        <v>80</v>
      </c>
      <c r="N106" s="375" t="s">
        <v>139</v>
      </c>
      <c r="O106" s="376">
        <f>'[14]B1&amp; B2 UNSCHEDULED'!$O$24</f>
        <v>0</v>
      </c>
      <c r="P106" s="335"/>
      <c r="Q106" s="375" t="s">
        <v>139</v>
      </c>
      <c r="R106" s="387">
        <v>7</v>
      </c>
      <c r="S106" s="388">
        <f>WORKDAY(J106,6,AKHIR)</f>
        <v>46150</v>
      </c>
      <c r="T106" s="335">
        <v>0</v>
      </c>
      <c r="U106" s="396">
        <f>IF(Q106="N",0,M106*T106)</f>
        <v>0</v>
      </c>
      <c r="V106" s="397" t="s">
        <v>1930</v>
      </c>
      <c r="W106" s="612" t="s">
        <v>1976</v>
      </c>
    </row>
    <row r="107" spans="1:23" s="308" customFormat="1" ht="273.60000000000002" customHeight="1">
      <c r="A107" s="335">
        <v>9</v>
      </c>
      <c r="B107" s="521" t="s">
        <v>311</v>
      </c>
      <c r="C107" s="337" t="str">
        <f>VLOOKUP(B107,[13]AssetDetails_UEM!$A$3:$AH$1849,6,FALSE)</f>
        <v>Video Image Processors, Endoscopic</v>
      </c>
      <c r="D107" s="602">
        <f>VLOOKUP(B107,[13]AssetDetails_UEM!$A$3:$AK$1849,22,FALSE)</f>
        <v>80000</v>
      </c>
      <c r="E107" s="521" t="s">
        <v>683</v>
      </c>
      <c r="F107" s="521" t="s">
        <v>746</v>
      </c>
      <c r="G107" s="522" t="s">
        <v>779</v>
      </c>
      <c r="H107" s="347" t="s">
        <v>154</v>
      </c>
      <c r="I107" s="523" t="s">
        <v>162</v>
      </c>
      <c r="J107" s="524" t="s">
        <v>819</v>
      </c>
      <c r="K107" s="553">
        <v>46142.715277777781</v>
      </c>
      <c r="L107" s="524" t="s">
        <v>958</v>
      </c>
      <c r="M107" s="374">
        <f t="shared" si="8"/>
        <v>100</v>
      </c>
      <c r="N107" s="375" t="s">
        <v>139</v>
      </c>
      <c r="O107" s="376">
        <f>'[14]B1&amp; B2 UNSCHEDULED'!$O$24</f>
        <v>0</v>
      </c>
      <c r="P107" s="520"/>
      <c r="Q107" s="375" t="s">
        <v>139</v>
      </c>
      <c r="R107" s="387">
        <f>IF(L107="",AKHIR-J107,L107-J107+1)</f>
        <v>1.7916666666642413</v>
      </c>
      <c r="S107" s="388">
        <f>WORKDAY(J107,6,AKHIR)</f>
        <v>46150</v>
      </c>
      <c r="T107" s="335">
        <v>0</v>
      </c>
      <c r="U107" s="396">
        <f>IF(Q107="N",0,M107*T107)</f>
        <v>0</v>
      </c>
      <c r="V107" s="525" t="s">
        <v>1001</v>
      </c>
      <c r="W107" s="612" t="s">
        <v>1976</v>
      </c>
    </row>
    <row r="108" spans="1:23" s="308" customFormat="1" ht="195" customHeight="1">
      <c r="A108" s="407" t="s">
        <v>142</v>
      </c>
      <c r="B108" s="408"/>
      <c r="C108" s="414"/>
      <c r="D108" s="606"/>
      <c r="E108" s="408"/>
      <c r="F108" s="408"/>
      <c r="G108" s="414"/>
      <c r="H108" s="408"/>
      <c r="I108" s="414"/>
      <c r="J108" s="421"/>
      <c r="K108" s="422"/>
      <c r="L108" s="422"/>
      <c r="M108" s="422"/>
      <c r="N108" s="422"/>
      <c r="O108" s="422"/>
      <c r="P108" s="422"/>
      <c r="Q108" s="422"/>
      <c r="R108" s="422"/>
      <c r="S108" s="422"/>
      <c r="T108" s="422"/>
      <c r="U108" s="422"/>
      <c r="V108" s="443"/>
      <c r="W108" s="395"/>
    </row>
    <row r="109" spans="1:23" s="310" customFormat="1" ht="364.5" customHeight="1">
      <c r="A109" s="335">
        <v>1</v>
      </c>
      <c r="B109" s="409" t="s">
        <v>187</v>
      </c>
      <c r="C109" s="337" t="str">
        <f>VLOOKUP(B109,[13]AssetDetails_UEM!$A$3:$AH$1849,6,FALSE)</f>
        <v>Infusion Pumps, General-Purpose</v>
      </c>
      <c r="D109" s="602">
        <f>VLOOKUP(B109,[13]AssetDetails_UEM!$A$3:$AK$1849,22,FALSE)</f>
        <v>10825</v>
      </c>
      <c r="E109" s="410" t="s">
        <v>188</v>
      </c>
      <c r="F109" s="410" t="s">
        <v>189</v>
      </c>
      <c r="G109" s="416" t="s">
        <v>190</v>
      </c>
      <c r="H109" s="415" t="s">
        <v>154</v>
      </c>
      <c r="I109" s="361" t="s">
        <v>191</v>
      </c>
      <c r="J109" s="424" t="s">
        <v>192</v>
      </c>
      <c r="K109" s="425">
        <v>45972.875</v>
      </c>
      <c r="L109" s="425">
        <v>46138.666666666664</v>
      </c>
      <c r="M109" s="374">
        <f>IF(D109&gt;44999.99,100,ROUNDUP((D109/4999.99)*10,-1))</f>
        <v>30</v>
      </c>
      <c r="N109" s="375" t="s">
        <v>139</v>
      </c>
      <c r="O109" s="376">
        <f>'[14]B1&amp; B2 UNSCHEDULED'!$O$24</f>
        <v>0</v>
      </c>
      <c r="P109" s="335"/>
      <c r="Q109" s="375" t="s">
        <v>1984</v>
      </c>
      <c r="R109" s="387">
        <f>IF(L109="",AKHIR-J109,L109-J109+1)</f>
        <v>166.8125</v>
      </c>
      <c r="S109" s="388">
        <f>WORKDAY(J109,6,AKHIR)</f>
        <v>45980</v>
      </c>
      <c r="T109" s="335">
        <v>26</v>
      </c>
      <c r="U109" s="396">
        <f t="shared" ref="U109" si="12">IF(Q109="N",0,M109*T109)</f>
        <v>0</v>
      </c>
      <c r="V109" s="442" t="s">
        <v>582</v>
      </c>
      <c r="W109" s="395"/>
    </row>
    <row r="110" spans="1:23" s="308" customFormat="1" ht="296.45" customHeight="1">
      <c r="A110" s="335">
        <v>2</v>
      </c>
      <c r="B110" s="613" t="s">
        <v>143</v>
      </c>
      <c r="C110" s="402" t="s">
        <v>144</v>
      </c>
      <c r="D110" s="603">
        <v>10825</v>
      </c>
      <c r="E110" s="613" t="s">
        <v>145</v>
      </c>
      <c r="F110" s="613" t="s">
        <v>146</v>
      </c>
      <c r="G110" s="402" t="s">
        <v>147</v>
      </c>
      <c r="H110" s="347" t="s">
        <v>154</v>
      </c>
      <c r="I110" s="614" t="s">
        <v>148</v>
      </c>
      <c r="J110" s="615">
        <v>46018.080555555556</v>
      </c>
      <c r="K110" s="616" t="s">
        <v>149</v>
      </c>
      <c r="L110" s="425">
        <v>46118.6875</v>
      </c>
      <c r="M110" s="374">
        <f>IF(D110&gt;44999.99,100,ROUNDUP((D110/4999.99)*10,-1))</f>
        <v>30</v>
      </c>
      <c r="N110" s="335" t="s">
        <v>139</v>
      </c>
      <c r="O110" s="376">
        <f>'[14]B1&amp; B2 UNSCHEDULED'!$O$24</f>
        <v>0</v>
      </c>
      <c r="P110" s="335"/>
      <c r="Q110" s="375" t="s">
        <v>139</v>
      </c>
      <c r="R110" s="387">
        <f>IF(L110="",AKHIR-J110,L110-J110+1)</f>
        <v>101.6069444444438</v>
      </c>
      <c r="S110" s="617">
        <v>46028</v>
      </c>
      <c r="T110" s="335">
        <v>6</v>
      </c>
      <c r="U110" s="396">
        <f>IF(Q110="N",0,M110*T110)</f>
        <v>0</v>
      </c>
      <c r="V110" s="575" t="s">
        <v>1954</v>
      </c>
      <c r="W110" s="395"/>
    </row>
    <row r="111" spans="1:23" s="306" customFormat="1" ht="409.5">
      <c r="A111" s="381">
        <v>3</v>
      </c>
      <c r="B111" s="405" t="s">
        <v>150</v>
      </c>
      <c r="C111" s="338" t="str">
        <f>VLOOKUP(B111,[13]AssetDetails_UEM!$A$3:$AH$1849,6,FALSE)</f>
        <v>Sphygmomanometers, Electronic, Automatic</v>
      </c>
      <c r="D111" s="601">
        <f>VLOOKUP(B111,[13]AssetDetails_UEM!$A$3:$AK$1849,22,FALSE)</f>
        <v>4510</v>
      </c>
      <c r="E111" s="405" t="s">
        <v>151</v>
      </c>
      <c r="F111" s="405" t="s">
        <v>152</v>
      </c>
      <c r="G111" s="413" t="s">
        <v>153</v>
      </c>
      <c r="H111" s="415" t="s">
        <v>154</v>
      </c>
      <c r="I111" s="552" t="s">
        <v>155</v>
      </c>
      <c r="J111" s="419" t="s">
        <v>156</v>
      </c>
      <c r="K111" s="423">
        <v>46058.854166666701</v>
      </c>
      <c r="L111" s="419" t="s">
        <v>157</v>
      </c>
      <c r="M111" s="377">
        <f t="shared" ref="M111:M115" si="13">IF(D111&gt;44999.99,100,ROUNDUP((D111/4999.99)*10,-1))</f>
        <v>10</v>
      </c>
      <c r="N111" s="378" t="s">
        <v>139</v>
      </c>
      <c r="O111" s="379">
        <f>'[14]B1&amp; B2 UNSCHEDULED'!$O$24</f>
        <v>0</v>
      </c>
      <c r="P111" s="378"/>
      <c r="Q111" s="378" t="s">
        <v>1984</v>
      </c>
      <c r="R111" s="389">
        <f>IF(L111="",AKHIR-J111,L111-J111+1)</f>
        <v>56.827777777776646</v>
      </c>
      <c r="S111" s="390">
        <f>WORKDAY(J111,6,AKHIR)</f>
        <v>46066</v>
      </c>
      <c r="T111" s="381">
        <v>2</v>
      </c>
      <c r="U111" s="398">
        <f>IF(Q111="N",0,M111*T111)</f>
        <v>0</v>
      </c>
      <c r="V111" s="442" t="s">
        <v>1874</v>
      </c>
      <c r="W111" s="399"/>
    </row>
    <row r="112" spans="1:23" s="308" customFormat="1" ht="345" customHeight="1">
      <c r="A112" s="335">
        <v>4</v>
      </c>
      <c r="B112" s="336" t="s">
        <v>158</v>
      </c>
      <c r="C112" s="337" t="str">
        <f>VLOOKUP(B112,[13]AssetDetails_UEM!$A$3:$AH$1849,6,FALSE)</f>
        <v>Physiologic Monitoring Systems, Acute Care</v>
      </c>
      <c r="D112" s="602" t="str">
        <f>VLOOKUP(B112,[13]AssetDetails_UEM!$A$3:$AK$1849,22,FALSE)</f>
        <v>RM100,00.00</v>
      </c>
      <c r="E112" s="336" t="s">
        <v>159</v>
      </c>
      <c r="F112" s="336" t="s">
        <v>160</v>
      </c>
      <c r="G112" s="346" t="s">
        <v>161</v>
      </c>
      <c r="H112" s="347" t="s">
        <v>154</v>
      </c>
      <c r="I112" s="361" t="s">
        <v>162</v>
      </c>
      <c r="J112" s="362" t="s">
        <v>163</v>
      </c>
      <c r="K112" s="426">
        <v>46084.631944444402</v>
      </c>
      <c r="L112" s="425">
        <v>46128.916666666664</v>
      </c>
      <c r="M112" s="374">
        <f t="shared" si="13"/>
        <v>100</v>
      </c>
      <c r="N112" s="375" t="s">
        <v>139</v>
      </c>
      <c r="O112" s="376">
        <f>'[14]B1&amp; B2 UNSCHEDULED'!$O$24</f>
        <v>0</v>
      </c>
      <c r="P112" s="375"/>
      <c r="Q112" s="375" t="s">
        <v>1984</v>
      </c>
      <c r="R112" s="527">
        <f>IF(L112="",AKHIR-J112,L112-J112+1)</f>
        <v>45.291666666664241</v>
      </c>
      <c r="S112" s="388">
        <f t="shared" ref="S112" si="14">WORKDAY(J112,6,AKHIR)</f>
        <v>46092</v>
      </c>
      <c r="T112" s="335">
        <v>16</v>
      </c>
      <c r="U112" s="396">
        <f>IF(Q112="N",0,M112*T112)</f>
        <v>0</v>
      </c>
      <c r="V112" s="397" t="s">
        <v>164</v>
      </c>
      <c r="W112" s="395"/>
    </row>
    <row r="113" spans="1:197" s="308" customFormat="1" ht="264.60000000000002" customHeight="1">
      <c r="A113" s="335">
        <v>5</v>
      </c>
      <c r="B113" s="336" t="s">
        <v>165</v>
      </c>
      <c r="C113" s="337" t="str">
        <f>VLOOKUP(B113,[13]AssetDetails_UEM!$A$3:$AH$1849,6,FALSE)</f>
        <v>Oximeters, Pulse</v>
      </c>
      <c r="D113" s="602">
        <f>VLOOKUP(B113,[13]AssetDetails_UEM!$A$3:$AK$1849,22,FALSE)</f>
        <v>5410</v>
      </c>
      <c r="E113" s="336" t="s">
        <v>166</v>
      </c>
      <c r="F113" s="336" t="s">
        <v>167</v>
      </c>
      <c r="G113" s="346" t="s">
        <v>168</v>
      </c>
      <c r="H113" s="347" t="s">
        <v>154</v>
      </c>
      <c r="I113" s="361" t="s">
        <v>155</v>
      </c>
      <c r="J113" s="362" t="s">
        <v>169</v>
      </c>
      <c r="K113" s="362" t="s">
        <v>170</v>
      </c>
      <c r="L113" s="362" t="s">
        <v>171</v>
      </c>
      <c r="M113" s="374">
        <f t="shared" si="13"/>
        <v>20</v>
      </c>
      <c r="N113" s="375" t="s">
        <v>139</v>
      </c>
      <c r="O113" s="376">
        <f>'[14]B1&amp; B2 UNSCHEDULED'!$O$24</f>
        <v>0</v>
      </c>
      <c r="P113" s="335"/>
      <c r="Q113" s="375" t="s">
        <v>139</v>
      </c>
      <c r="R113" s="387">
        <v>5</v>
      </c>
      <c r="S113" s="388">
        <v>46115</v>
      </c>
      <c r="T113" s="335">
        <v>0</v>
      </c>
      <c r="U113" s="398">
        <f t="shared" ref="U113:U115" si="15">IF(Q113="N",0,M113*T113)</f>
        <v>0</v>
      </c>
      <c r="V113" s="397" t="s">
        <v>172</v>
      </c>
      <c r="W113" s="395"/>
    </row>
    <row r="114" spans="1:197" s="308" customFormat="1" ht="210">
      <c r="A114" s="335">
        <v>6</v>
      </c>
      <c r="B114" s="336" t="s">
        <v>173</v>
      </c>
      <c r="C114" s="402" t="str">
        <f>VLOOKUP(B114,[13]AssetDetails_UEM!$A$3:$AH$1849,6,FALSE)</f>
        <v>Physiologic Monitoring Systems, Acute Care</v>
      </c>
      <c r="D114" s="602">
        <f>VLOOKUP(B114,[13]AssetDetails_UEM!$A$3:$AK$1849,22,FALSE)</f>
        <v>105850</v>
      </c>
      <c r="E114" s="336" t="s">
        <v>174</v>
      </c>
      <c r="F114" s="336" t="s">
        <v>175</v>
      </c>
      <c r="G114" s="346" t="s">
        <v>176</v>
      </c>
      <c r="H114" s="347" t="s">
        <v>154</v>
      </c>
      <c r="I114" s="361" t="s">
        <v>177</v>
      </c>
      <c r="J114" s="362" t="s">
        <v>178</v>
      </c>
      <c r="K114" s="426">
        <v>46108.375</v>
      </c>
      <c r="L114" s="425">
        <v>46114.666666666701</v>
      </c>
      <c r="M114" s="374">
        <f t="shared" si="13"/>
        <v>100</v>
      </c>
      <c r="N114" s="375" t="s">
        <v>139</v>
      </c>
      <c r="O114" s="376">
        <f>'[14]B1&amp; B2 UNSCHEDULED'!$O$24</f>
        <v>0</v>
      </c>
      <c r="P114" s="335"/>
      <c r="Q114" s="375" t="s">
        <v>139</v>
      </c>
      <c r="R114" s="387">
        <v>5</v>
      </c>
      <c r="S114" s="388">
        <v>46116</v>
      </c>
      <c r="T114" s="335">
        <v>0</v>
      </c>
      <c r="U114" s="398">
        <f t="shared" si="15"/>
        <v>0</v>
      </c>
      <c r="V114" s="397" t="s">
        <v>179</v>
      </c>
      <c r="W114" s="395"/>
    </row>
    <row r="115" spans="1:197" s="308" customFormat="1" ht="264.60000000000002" customHeight="1">
      <c r="A115" s="335">
        <v>7</v>
      </c>
      <c r="B115" s="336" t="s">
        <v>180</v>
      </c>
      <c r="C115" s="402" t="str">
        <f>VLOOKUP(B115,[13]AssetDetails_UEM!$A$3:$AH$1849,6,FALSE)</f>
        <v>Analyzers, Laboratory, Hematology, Platelet Aggregation</v>
      </c>
      <c r="D115" s="602">
        <f>VLOOKUP(B115,[13]AssetDetails_UEM!$A$3:$AK$1849,22,FALSE)</f>
        <v>42100</v>
      </c>
      <c r="E115" s="336" t="s">
        <v>181</v>
      </c>
      <c r="F115" s="336" t="s">
        <v>182</v>
      </c>
      <c r="G115" s="346" t="s">
        <v>183</v>
      </c>
      <c r="H115" s="347" t="s">
        <v>154</v>
      </c>
      <c r="I115" s="361" t="s">
        <v>177</v>
      </c>
      <c r="J115" s="362" t="s">
        <v>184</v>
      </c>
      <c r="K115" s="362" t="s">
        <v>184</v>
      </c>
      <c r="L115" s="426">
        <v>46118.666666666664</v>
      </c>
      <c r="M115" s="374">
        <f t="shared" si="13"/>
        <v>90</v>
      </c>
      <c r="N115" s="375" t="s">
        <v>139</v>
      </c>
      <c r="O115" s="376">
        <f>'[14]B1&amp; B2 UNSCHEDULED'!$O$24</f>
        <v>0</v>
      </c>
      <c r="P115" s="335"/>
      <c r="Q115" s="375" t="s">
        <v>139</v>
      </c>
      <c r="R115" s="387">
        <v>7</v>
      </c>
      <c r="S115" s="388">
        <f>WORKDAY(J115,5,AKHIR)</f>
        <v>46118</v>
      </c>
      <c r="T115" s="335">
        <v>0</v>
      </c>
      <c r="U115" s="398">
        <f t="shared" si="15"/>
        <v>0</v>
      </c>
      <c r="V115" s="397" t="s">
        <v>185</v>
      </c>
      <c r="W115" s="395"/>
    </row>
    <row r="116" spans="1:197" s="310" customFormat="1" ht="226.5" customHeight="1">
      <c r="A116" s="331" t="s">
        <v>186</v>
      </c>
      <c r="B116" s="332"/>
      <c r="C116" s="333"/>
      <c r="D116" s="600"/>
      <c r="E116" s="332"/>
      <c r="F116" s="332"/>
      <c r="G116" s="333"/>
      <c r="H116" s="332"/>
      <c r="I116" s="332"/>
      <c r="J116" s="756"/>
      <c r="K116" s="756"/>
      <c r="L116" s="756"/>
      <c r="M116" s="360"/>
      <c r="N116" s="360"/>
      <c r="O116" s="360"/>
      <c r="P116" s="360"/>
      <c r="Q116" s="360"/>
      <c r="R116" s="360"/>
      <c r="S116" s="360"/>
      <c r="T116" s="360"/>
      <c r="U116" s="360"/>
      <c r="V116" s="444"/>
      <c r="W116" s="395"/>
    </row>
    <row r="117" spans="1:197" s="308" customFormat="1" ht="273.75" customHeight="1">
      <c r="A117" s="335">
        <v>1</v>
      </c>
      <c r="B117" s="336" t="s">
        <v>196</v>
      </c>
      <c r="C117" s="337" t="str">
        <f>VLOOKUP(B117,[13]AssetDetails_UEM!$A$3:$AH$1849,6,FALSE)</f>
        <v>Ventilators, Intensive Care</v>
      </c>
      <c r="D117" s="602">
        <f>VLOOKUP(B117,[13]AssetDetails_UEM!$A$3:$AK$1849,22,FALSE)</f>
        <v>151560</v>
      </c>
      <c r="E117" s="336" t="s">
        <v>197</v>
      </c>
      <c r="F117" s="336" t="s">
        <v>198</v>
      </c>
      <c r="G117" s="346" t="s">
        <v>199</v>
      </c>
      <c r="H117" s="347" t="s">
        <v>154</v>
      </c>
      <c r="I117" s="361" t="s">
        <v>162</v>
      </c>
      <c r="J117" s="362" t="s">
        <v>200</v>
      </c>
      <c r="K117" s="426">
        <v>46062.381944444402</v>
      </c>
      <c r="L117" s="420">
        <v>46142.958344907405</v>
      </c>
      <c r="M117" s="374">
        <f t="shared" ref="M117:M121" si="16">IF(D117&gt;44999.99,100,ROUNDUP((D117/4999.99)*10,-1))</f>
        <v>100</v>
      </c>
      <c r="N117" s="375" t="s">
        <v>139</v>
      </c>
      <c r="O117" s="376">
        <f>'[14]B1&amp; B2 UNSCHEDULED'!$O$24</f>
        <v>0</v>
      </c>
      <c r="P117" s="335"/>
      <c r="Q117" s="375" t="s">
        <v>139</v>
      </c>
      <c r="R117" s="387">
        <f t="shared" ref="R117:R121" si="17">IF(L117="",AKHIR-J117,L117-J117+1)</f>
        <v>81.583344907405262</v>
      </c>
      <c r="S117" s="388">
        <f>WORKDAY(J117,6,AKHIR)</f>
        <v>46070</v>
      </c>
      <c r="T117" s="439">
        <v>30</v>
      </c>
      <c r="U117" s="396">
        <f t="shared" ref="U117:U120" si="18">IF(Q117="N",0,M117*T117)</f>
        <v>0</v>
      </c>
      <c r="V117" s="442" t="s">
        <v>584</v>
      </c>
      <c r="W117" s="440" t="s">
        <v>1975</v>
      </c>
      <c r="X117" s="310"/>
      <c r="Y117" s="310"/>
      <c r="Z117" s="310"/>
      <c r="AA117" s="310"/>
      <c r="AB117" s="310"/>
      <c r="AC117" s="310"/>
      <c r="AD117" s="310"/>
      <c r="AE117" s="310"/>
      <c r="AF117" s="310"/>
      <c r="AG117" s="310"/>
      <c r="AH117" s="310"/>
      <c r="AI117" s="310"/>
      <c r="AJ117" s="310"/>
      <c r="AK117" s="310"/>
      <c r="AL117" s="310"/>
      <c r="AM117" s="310"/>
      <c r="AN117" s="310"/>
      <c r="AO117" s="310"/>
      <c r="AP117" s="310"/>
      <c r="AQ117" s="310"/>
      <c r="AR117" s="310"/>
      <c r="AS117" s="310"/>
      <c r="AT117" s="310"/>
      <c r="AU117" s="310"/>
      <c r="AV117" s="310"/>
      <c r="AW117" s="310"/>
      <c r="AX117" s="310"/>
      <c r="AY117" s="310"/>
      <c r="AZ117" s="310"/>
      <c r="BA117" s="310"/>
      <c r="BB117" s="310"/>
      <c r="BC117" s="310"/>
      <c r="BD117" s="310"/>
      <c r="BE117" s="310"/>
      <c r="BF117" s="310"/>
      <c r="BG117" s="310"/>
      <c r="BH117" s="310"/>
      <c r="BI117" s="310"/>
      <c r="BJ117" s="310"/>
      <c r="BK117" s="310"/>
      <c r="BL117" s="310"/>
      <c r="BM117" s="310"/>
      <c r="BN117" s="310"/>
      <c r="BO117" s="310"/>
      <c r="BP117" s="310"/>
      <c r="BQ117" s="310"/>
      <c r="BR117" s="310"/>
      <c r="BS117" s="310"/>
      <c r="BT117" s="310"/>
      <c r="BU117" s="310"/>
      <c r="BV117" s="310"/>
      <c r="BW117" s="310"/>
      <c r="BX117" s="310"/>
      <c r="BY117" s="310"/>
      <c r="BZ117" s="310"/>
      <c r="CA117" s="310"/>
      <c r="CB117" s="310"/>
      <c r="CC117" s="310"/>
      <c r="CD117" s="310"/>
      <c r="CE117" s="310"/>
      <c r="CF117" s="310"/>
      <c r="CG117" s="310"/>
      <c r="CH117" s="310"/>
      <c r="CI117" s="310"/>
      <c r="CJ117" s="310"/>
      <c r="CK117" s="310"/>
      <c r="CL117" s="310"/>
      <c r="CM117" s="310"/>
      <c r="CN117" s="310"/>
      <c r="CO117" s="310"/>
      <c r="CP117" s="310"/>
      <c r="CQ117" s="310"/>
      <c r="CR117" s="310"/>
      <c r="CS117" s="310"/>
      <c r="CT117" s="310"/>
      <c r="CU117" s="310"/>
      <c r="CV117" s="310"/>
      <c r="CW117" s="310"/>
      <c r="CX117" s="310"/>
      <c r="CY117" s="310"/>
      <c r="CZ117" s="310"/>
      <c r="DA117" s="310"/>
      <c r="DB117" s="310"/>
      <c r="DC117" s="310"/>
      <c r="DD117" s="310"/>
      <c r="DE117" s="310"/>
      <c r="DF117" s="310"/>
      <c r="DG117" s="310"/>
      <c r="DH117" s="310"/>
      <c r="DI117" s="310"/>
      <c r="DJ117" s="310"/>
      <c r="DK117" s="310"/>
      <c r="DL117" s="310"/>
      <c r="DM117" s="310"/>
      <c r="DN117" s="310"/>
      <c r="DO117" s="310"/>
      <c r="DP117" s="310"/>
      <c r="DQ117" s="310"/>
      <c r="DR117" s="310"/>
      <c r="DS117" s="310"/>
      <c r="DT117" s="310"/>
      <c r="DU117" s="310"/>
      <c r="DV117" s="310"/>
      <c r="DW117" s="310"/>
      <c r="DX117" s="310"/>
      <c r="DY117" s="310"/>
      <c r="DZ117" s="310"/>
      <c r="EA117" s="310"/>
      <c r="EB117" s="310"/>
      <c r="EC117" s="310"/>
      <c r="ED117" s="310"/>
      <c r="EE117" s="310"/>
      <c r="EF117" s="310"/>
      <c r="EG117" s="310"/>
      <c r="EH117" s="310"/>
      <c r="EI117" s="310"/>
      <c r="EJ117" s="310"/>
      <c r="EK117" s="310"/>
      <c r="EL117" s="310"/>
      <c r="EM117" s="310"/>
      <c r="EN117" s="310"/>
      <c r="EO117" s="310"/>
      <c r="EP117" s="310"/>
      <c r="EQ117" s="310"/>
      <c r="ER117" s="310"/>
      <c r="ES117" s="310"/>
      <c r="ET117" s="310"/>
      <c r="EU117" s="310"/>
      <c r="EV117" s="310"/>
      <c r="EW117" s="310"/>
      <c r="EX117" s="310"/>
      <c r="EY117" s="310"/>
      <c r="EZ117" s="310"/>
      <c r="FA117" s="310"/>
      <c r="FB117" s="310"/>
      <c r="FC117" s="310"/>
      <c r="FD117" s="310"/>
      <c r="FE117" s="310"/>
      <c r="FF117" s="310"/>
      <c r="FG117" s="310"/>
      <c r="FH117" s="310"/>
      <c r="FI117" s="310"/>
      <c r="FJ117" s="310"/>
      <c r="FK117" s="310"/>
      <c r="FL117" s="310"/>
      <c r="FM117" s="310"/>
      <c r="FN117" s="310"/>
      <c r="FO117" s="310"/>
      <c r="FP117" s="310"/>
      <c r="FQ117" s="310"/>
      <c r="FR117" s="310"/>
      <c r="FS117" s="310"/>
      <c r="FT117" s="310"/>
      <c r="FU117" s="310"/>
      <c r="FV117" s="310"/>
      <c r="FW117" s="310"/>
      <c r="FX117" s="310"/>
      <c r="FY117" s="310"/>
      <c r="FZ117" s="310"/>
      <c r="GA117" s="310"/>
      <c r="GB117" s="310"/>
      <c r="GC117" s="310"/>
      <c r="GD117" s="310"/>
      <c r="GE117" s="310"/>
      <c r="GF117" s="310"/>
      <c r="GG117" s="310"/>
      <c r="GH117" s="310"/>
      <c r="GI117" s="310"/>
      <c r="GJ117" s="310"/>
      <c r="GK117" s="310"/>
      <c r="GL117" s="310"/>
      <c r="GM117" s="310"/>
      <c r="GN117" s="310"/>
      <c r="GO117" s="310"/>
    </row>
    <row r="118" spans="1:197" s="308" customFormat="1" ht="285" customHeight="1">
      <c r="A118" s="335">
        <v>2</v>
      </c>
      <c r="B118" s="336" t="s">
        <v>201</v>
      </c>
      <c r="C118" s="337" t="str">
        <f>VLOOKUP(B118,[13]AssetDetails_UEM!$A$3:$AH$1849,6,FALSE)</f>
        <v>Ventilators, Intensive Care</v>
      </c>
      <c r="D118" s="602">
        <f>VLOOKUP(B118,[13]AssetDetails_UEM!$A$3:$AK$1849,22,FALSE)</f>
        <v>151560</v>
      </c>
      <c r="E118" s="336" t="s">
        <v>202</v>
      </c>
      <c r="F118" s="336" t="s">
        <v>203</v>
      </c>
      <c r="G118" s="346" t="s">
        <v>204</v>
      </c>
      <c r="H118" s="347" t="s">
        <v>154</v>
      </c>
      <c r="I118" s="361" t="s">
        <v>162</v>
      </c>
      <c r="J118" s="362" t="s">
        <v>205</v>
      </c>
      <c r="K118" s="426">
        <v>46073.423611111102</v>
      </c>
      <c r="L118" s="420">
        <v>46142.958344907405</v>
      </c>
      <c r="M118" s="374">
        <f t="shared" si="16"/>
        <v>100</v>
      </c>
      <c r="N118" s="375" t="s">
        <v>139</v>
      </c>
      <c r="O118" s="376">
        <f>'[14]B1&amp; B2 UNSCHEDULED'!$O$24</f>
        <v>0</v>
      </c>
      <c r="P118" s="335"/>
      <c r="Q118" s="375" t="s">
        <v>139</v>
      </c>
      <c r="R118" s="387">
        <f t="shared" si="17"/>
        <v>70.541678240741021</v>
      </c>
      <c r="S118" s="388">
        <f>WORKDAY(J118,6,AKHIR)</f>
        <v>46083</v>
      </c>
      <c r="T118" s="439">
        <v>30</v>
      </c>
      <c r="U118" s="396">
        <f t="shared" si="18"/>
        <v>0</v>
      </c>
      <c r="V118" s="442" t="s">
        <v>585</v>
      </c>
      <c r="W118" s="440" t="s">
        <v>1975</v>
      </c>
      <c r="X118" s="310"/>
      <c r="Y118" s="310"/>
      <c r="Z118" s="310"/>
      <c r="AA118" s="310"/>
      <c r="AB118" s="310"/>
      <c r="AC118" s="310"/>
      <c r="AD118" s="310"/>
      <c r="AE118" s="310"/>
      <c r="AF118" s="310"/>
      <c r="AG118" s="310"/>
      <c r="AH118" s="310"/>
      <c r="AI118" s="310"/>
      <c r="AJ118" s="310"/>
      <c r="AK118" s="310"/>
      <c r="AL118" s="310"/>
      <c r="AM118" s="310"/>
      <c r="AN118" s="310"/>
      <c r="AO118" s="310"/>
      <c r="AP118" s="310"/>
      <c r="AQ118" s="310"/>
      <c r="AR118" s="310"/>
      <c r="AS118" s="310"/>
      <c r="AT118" s="310"/>
      <c r="AU118" s="310"/>
      <c r="AV118" s="310"/>
      <c r="AW118" s="310"/>
      <c r="AX118" s="310"/>
      <c r="AY118" s="310"/>
      <c r="AZ118" s="310"/>
      <c r="BA118" s="310"/>
      <c r="BB118" s="310"/>
      <c r="BC118" s="310"/>
      <c r="BD118" s="310"/>
      <c r="BE118" s="310"/>
      <c r="BF118" s="310"/>
      <c r="BG118" s="310"/>
      <c r="BH118" s="310"/>
      <c r="BI118" s="310"/>
      <c r="BJ118" s="310"/>
      <c r="BK118" s="310"/>
      <c r="BL118" s="310"/>
      <c r="BM118" s="310"/>
      <c r="BN118" s="310"/>
      <c r="BO118" s="310"/>
      <c r="BP118" s="310"/>
      <c r="BQ118" s="310"/>
      <c r="BR118" s="310"/>
      <c r="BS118" s="310"/>
      <c r="BT118" s="310"/>
      <c r="BU118" s="310"/>
      <c r="BV118" s="310"/>
      <c r="BW118" s="310"/>
      <c r="BX118" s="310"/>
      <c r="BY118" s="310"/>
      <c r="BZ118" s="310"/>
      <c r="CA118" s="310"/>
      <c r="CB118" s="310"/>
      <c r="CC118" s="310"/>
      <c r="CD118" s="310"/>
      <c r="CE118" s="310"/>
      <c r="CF118" s="310"/>
      <c r="CG118" s="310"/>
      <c r="CH118" s="310"/>
      <c r="CI118" s="310"/>
      <c r="CJ118" s="310"/>
      <c r="CK118" s="310"/>
      <c r="CL118" s="310"/>
      <c r="CM118" s="310"/>
      <c r="CN118" s="310"/>
      <c r="CO118" s="310"/>
      <c r="CP118" s="310"/>
      <c r="CQ118" s="310"/>
      <c r="CR118" s="310"/>
      <c r="CS118" s="310"/>
      <c r="CT118" s="310"/>
      <c r="CU118" s="310"/>
      <c r="CV118" s="310"/>
      <c r="CW118" s="310"/>
      <c r="CX118" s="310"/>
      <c r="CY118" s="310"/>
      <c r="CZ118" s="310"/>
      <c r="DA118" s="310"/>
      <c r="DB118" s="310"/>
      <c r="DC118" s="310"/>
      <c r="DD118" s="310"/>
      <c r="DE118" s="310"/>
      <c r="DF118" s="310"/>
      <c r="DG118" s="310"/>
      <c r="DH118" s="310"/>
      <c r="DI118" s="310"/>
      <c r="DJ118" s="310"/>
      <c r="DK118" s="310"/>
      <c r="DL118" s="310"/>
      <c r="DM118" s="310"/>
      <c r="DN118" s="310"/>
      <c r="DO118" s="310"/>
      <c r="DP118" s="310"/>
      <c r="DQ118" s="310"/>
      <c r="DR118" s="310"/>
      <c r="DS118" s="310"/>
      <c r="DT118" s="310"/>
      <c r="DU118" s="310"/>
      <c r="DV118" s="310"/>
      <c r="DW118" s="310"/>
      <c r="DX118" s="310"/>
      <c r="DY118" s="310"/>
      <c r="DZ118" s="310"/>
      <c r="EA118" s="310"/>
      <c r="EB118" s="310"/>
      <c r="EC118" s="310"/>
      <c r="ED118" s="310"/>
      <c r="EE118" s="310"/>
      <c r="EF118" s="310"/>
      <c r="EG118" s="310"/>
      <c r="EH118" s="310"/>
      <c r="EI118" s="310"/>
      <c r="EJ118" s="310"/>
      <c r="EK118" s="310"/>
      <c r="EL118" s="310"/>
      <c r="EM118" s="310"/>
      <c r="EN118" s="310"/>
      <c r="EO118" s="310"/>
      <c r="EP118" s="310"/>
      <c r="EQ118" s="310"/>
      <c r="ER118" s="310"/>
      <c r="ES118" s="310"/>
      <c r="ET118" s="310"/>
      <c r="EU118" s="310"/>
      <c r="EV118" s="310"/>
      <c r="EW118" s="310"/>
      <c r="EX118" s="310"/>
      <c r="EY118" s="310"/>
      <c r="EZ118" s="310"/>
      <c r="FA118" s="310"/>
      <c r="FB118" s="310"/>
      <c r="FC118" s="310"/>
      <c r="FD118" s="310"/>
      <c r="FE118" s="310"/>
      <c r="FF118" s="310"/>
      <c r="FG118" s="310"/>
      <c r="FH118" s="310"/>
      <c r="FI118" s="310"/>
      <c r="FJ118" s="310"/>
      <c r="FK118" s="310"/>
      <c r="FL118" s="310"/>
      <c r="FM118" s="310"/>
      <c r="FN118" s="310"/>
      <c r="FO118" s="310"/>
      <c r="FP118" s="310"/>
      <c r="FQ118" s="310"/>
      <c r="FR118" s="310"/>
      <c r="FS118" s="310"/>
      <c r="FT118" s="310"/>
      <c r="FU118" s="310"/>
      <c r="FV118" s="310"/>
      <c r="FW118" s="310"/>
      <c r="FX118" s="310"/>
      <c r="FY118" s="310"/>
      <c r="FZ118" s="310"/>
      <c r="GA118" s="310"/>
      <c r="GB118" s="310"/>
      <c r="GC118" s="310"/>
      <c r="GD118" s="310"/>
      <c r="GE118" s="310"/>
      <c r="GF118" s="310"/>
      <c r="GG118" s="310"/>
      <c r="GH118" s="310"/>
      <c r="GI118" s="310"/>
      <c r="GJ118" s="310"/>
      <c r="GK118" s="310"/>
      <c r="GL118" s="310"/>
      <c r="GM118" s="310"/>
      <c r="GN118" s="310"/>
      <c r="GO118" s="310"/>
    </row>
    <row r="119" spans="1:197" s="308" customFormat="1" ht="367.5">
      <c r="A119" s="335">
        <v>3</v>
      </c>
      <c r="B119" s="405" t="s">
        <v>206</v>
      </c>
      <c r="C119" s="337" t="str">
        <f>VLOOKUP(B119,[13]AssetDetails_UEM!$A$3:$AH$1849,6,FALSE)</f>
        <v>Radiographic Units, Mobile</v>
      </c>
      <c r="D119" s="602">
        <f>VLOOKUP(B119,[13]AssetDetails_UEM!$A$3:$AK$1849,22,FALSE)</f>
        <v>1149550</v>
      </c>
      <c r="E119" s="405" t="s">
        <v>207</v>
      </c>
      <c r="F119" s="405" t="s">
        <v>208</v>
      </c>
      <c r="G119" s="413" t="s">
        <v>209</v>
      </c>
      <c r="H119" s="347" t="s">
        <v>154</v>
      </c>
      <c r="I119" s="361" t="s">
        <v>162</v>
      </c>
      <c r="J119" s="419" t="s">
        <v>210</v>
      </c>
      <c r="K119" s="423">
        <v>46097.590277777803</v>
      </c>
      <c r="L119" s="420">
        <v>46142.958344907405</v>
      </c>
      <c r="M119" s="374">
        <f t="shared" si="16"/>
        <v>100</v>
      </c>
      <c r="N119" s="375" t="s">
        <v>139</v>
      </c>
      <c r="O119" s="376">
        <f>'[14]B1&amp; B2 UNSCHEDULED'!$O$24</f>
        <v>0</v>
      </c>
      <c r="P119" s="335"/>
      <c r="Q119" s="375" t="s">
        <v>1984</v>
      </c>
      <c r="R119" s="387">
        <f t="shared" si="17"/>
        <v>46.375011574069504</v>
      </c>
      <c r="S119" s="388">
        <f>WORKDAY(J119,6,AKHIR)+2</f>
        <v>46107</v>
      </c>
      <c r="T119" s="439">
        <v>30</v>
      </c>
      <c r="U119" s="398">
        <f t="shared" si="18"/>
        <v>0</v>
      </c>
      <c r="V119" s="442" t="s">
        <v>1973</v>
      </c>
      <c r="W119" s="626" t="s">
        <v>1987</v>
      </c>
    </row>
    <row r="120" spans="1:197" s="308" customFormat="1" ht="367.5">
      <c r="A120" s="335">
        <v>4</v>
      </c>
      <c r="B120" s="405" t="s">
        <v>211</v>
      </c>
      <c r="C120" s="337" t="str">
        <f>VLOOKUP(B120,[13]AssetDetails_UEM!$A$3:$AH$1849,6,FALSE)</f>
        <v>Sphygmomanometers, Electronic, Automatic</v>
      </c>
      <c r="D120" s="602">
        <f>VLOOKUP(B120,[13]AssetDetails_UEM!$A$3:$AK$1849,22,FALSE)</f>
        <v>336</v>
      </c>
      <c r="E120" s="405" t="s">
        <v>212</v>
      </c>
      <c r="F120" s="405" t="s">
        <v>213</v>
      </c>
      <c r="G120" s="413" t="s">
        <v>214</v>
      </c>
      <c r="H120" s="347" t="s">
        <v>154</v>
      </c>
      <c r="I120" s="361" t="s">
        <v>215</v>
      </c>
      <c r="J120" s="419" t="s">
        <v>216</v>
      </c>
      <c r="K120" s="423">
        <v>46105.673611111102</v>
      </c>
      <c r="L120" s="420">
        <v>46142.958344907405</v>
      </c>
      <c r="M120" s="374">
        <f t="shared" si="16"/>
        <v>10</v>
      </c>
      <c r="N120" s="375" t="s">
        <v>139</v>
      </c>
      <c r="O120" s="376">
        <f>'[14]B1&amp; B2 UNSCHEDULED'!$O$24</f>
        <v>0</v>
      </c>
      <c r="P120" s="335"/>
      <c r="Q120" s="375" t="s">
        <v>1984</v>
      </c>
      <c r="R120" s="387">
        <f t="shared" si="17"/>
        <v>38.288900462961465</v>
      </c>
      <c r="S120" s="388">
        <f>WORKDAY(J120,5,AKHIR)</f>
        <v>46112</v>
      </c>
      <c r="T120" s="439">
        <v>30</v>
      </c>
      <c r="U120" s="398">
        <f t="shared" si="18"/>
        <v>0</v>
      </c>
      <c r="V120" s="442" t="s">
        <v>583</v>
      </c>
      <c r="W120" s="626" t="s">
        <v>1979</v>
      </c>
    </row>
    <row r="121" spans="1:197" s="308" customFormat="1" ht="408.95" customHeight="1">
      <c r="A121" s="335">
        <v>5</v>
      </c>
      <c r="B121" s="411" t="s">
        <v>217</v>
      </c>
      <c r="C121" s="406" t="str">
        <f>VLOOKUP(B121,[13]AssetDetails_UEM!$A$3:$AH$1849,6,FALSE)</f>
        <v>Washers, Flexible Endoscope</v>
      </c>
      <c r="D121" s="607">
        <f>VLOOKUP(B121,[13]AssetDetails_UEM!$A$3:$AK$1849,22,FALSE)</f>
        <v>126300</v>
      </c>
      <c r="E121" s="411" t="s">
        <v>218</v>
      </c>
      <c r="F121" s="411" t="s">
        <v>219</v>
      </c>
      <c r="G121" s="417" t="s">
        <v>220</v>
      </c>
      <c r="H121" s="418" t="s">
        <v>154</v>
      </c>
      <c r="I121" s="427" t="s">
        <v>221</v>
      </c>
      <c r="J121" s="428">
        <v>46106.498611111114</v>
      </c>
      <c r="K121" s="429">
        <v>46106.510416666701</v>
      </c>
      <c r="L121" s="420">
        <v>46142.958344907405</v>
      </c>
      <c r="M121" s="435">
        <f t="shared" si="16"/>
        <v>100</v>
      </c>
      <c r="N121" s="436" t="s">
        <v>139</v>
      </c>
      <c r="O121" s="376">
        <f>'[14]B1&amp; B2 UNSCHEDULED'!$O$24</f>
        <v>0</v>
      </c>
      <c r="P121" s="335"/>
      <c r="Q121" s="375" t="s">
        <v>1955</v>
      </c>
      <c r="R121" s="387">
        <f t="shared" si="17"/>
        <v>37.459733796291403</v>
      </c>
      <c r="S121" s="388">
        <f>WORKDAY(J121,5,AKHIR)</f>
        <v>46113</v>
      </c>
      <c r="T121" s="335">
        <v>8</v>
      </c>
      <c r="U121" s="398">
        <f>IF(Q121="N",0,M121*T121)</f>
        <v>800</v>
      </c>
      <c r="V121" s="442" t="s">
        <v>1988</v>
      </c>
      <c r="W121" s="395" t="s">
        <v>1989</v>
      </c>
    </row>
    <row r="122" spans="1:197" s="310" customFormat="1" ht="240" customHeight="1">
      <c r="A122" s="757" t="s">
        <v>222</v>
      </c>
      <c r="B122" s="757"/>
      <c r="C122" s="757"/>
      <c r="D122" s="757"/>
      <c r="E122" s="757"/>
      <c r="F122" s="757"/>
      <c r="G122" s="757"/>
      <c r="H122" s="757"/>
      <c r="I122" s="757"/>
      <c r="J122" s="757"/>
      <c r="K122" s="757"/>
      <c r="L122" s="757"/>
      <c r="M122" s="757"/>
      <c r="N122" s="757"/>
      <c r="O122" s="437" t="s">
        <v>223</v>
      </c>
      <c r="P122" s="758" t="s">
        <v>224</v>
      </c>
      <c r="Q122" s="758"/>
      <c r="R122" s="758"/>
      <c r="S122" s="759"/>
      <c r="T122" s="758"/>
      <c r="U122" s="445">
        <f>SUM(U24:U121)</f>
        <v>1600</v>
      </c>
      <c r="V122" s="446"/>
      <c r="W122" s="440"/>
    </row>
    <row r="123" spans="1:197" s="310" customFormat="1" ht="234" customHeight="1">
      <c r="A123" s="311"/>
      <c r="B123" s="312"/>
      <c r="C123" s="313"/>
      <c r="D123" s="608"/>
      <c r="E123" s="312"/>
      <c r="F123" s="312"/>
      <c r="G123" s="313"/>
      <c r="H123" s="311"/>
      <c r="I123" s="314"/>
      <c r="J123" s="315"/>
      <c r="K123" s="430"/>
      <c r="L123" s="317" t="s">
        <v>331</v>
      </c>
      <c r="M123" s="318"/>
      <c r="N123" s="311"/>
      <c r="O123" s="311"/>
      <c r="P123" s="312"/>
      <c r="Q123" s="311"/>
      <c r="R123" s="311"/>
      <c r="S123" s="319"/>
      <c r="T123" s="320"/>
      <c r="U123" s="311"/>
      <c r="V123" s="321"/>
      <c r="W123" s="395"/>
      <c r="X123" s="308"/>
      <c r="Y123" s="308"/>
      <c r="Z123" s="308"/>
      <c r="AA123" s="308"/>
      <c r="AB123" s="308"/>
      <c r="AC123" s="308"/>
      <c r="AD123" s="308"/>
      <c r="AE123" s="308"/>
      <c r="AF123" s="308"/>
      <c r="AG123" s="308"/>
      <c r="AH123" s="308"/>
      <c r="AI123" s="308"/>
      <c r="AJ123" s="308"/>
      <c r="AK123" s="308"/>
      <c r="AL123" s="308"/>
      <c r="AM123" s="308"/>
      <c r="AN123" s="308"/>
      <c r="AO123" s="308"/>
      <c r="AP123" s="308"/>
      <c r="AQ123" s="308"/>
      <c r="AR123" s="308"/>
      <c r="AS123" s="308"/>
      <c r="AT123" s="308"/>
      <c r="AU123" s="308"/>
      <c r="AV123" s="308"/>
      <c r="AW123" s="308"/>
      <c r="AX123" s="308"/>
      <c r="AY123" s="308"/>
      <c r="AZ123" s="308"/>
      <c r="BA123" s="308"/>
      <c r="BB123" s="308"/>
      <c r="BC123" s="308"/>
      <c r="BD123" s="308"/>
      <c r="BE123" s="308"/>
      <c r="BF123" s="308"/>
      <c r="BG123" s="308"/>
      <c r="BH123" s="308"/>
      <c r="BI123" s="308"/>
      <c r="BJ123" s="308"/>
      <c r="BK123" s="308"/>
      <c r="BL123" s="308"/>
      <c r="BM123" s="308"/>
      <c r="BN123" s="308"/>
      <c r="BO123" s="308"/>
      <c r="BP123" s="308"/>
      <c r="BQ123" s="308"/>
      <c r="BR123" s="308"/>
      <c r="BS123" s="308"/>
      <c r="BT123" s="308"/>
      <c r="BU123" s="308"/>
      <c r="BV123" s="308"/>
      <c r="BW123" s="308"/>
      <c r="BX123" s="308"/>
      <c r="BY123" s="308"/>
      <c r="BZ123" s="308"/>
      <c r="CA123" s="308"/>
      <c r="CB123" s="308"/>
      <c r="CC123" s="308"/>
      <c r="CD123" s="308"/>
      <c r="CE123" s="308"/>
      <c r="CF123" s="308"/>
      <c r="CG123" s="308"/>
      <c r="CH123" s="308"/>
      <c r="CI123" s="308"/>
      <c r="CJ123" s="308"/>
      <c r="CK123" s="308"/>
      <c r="CL123" s="308"/>
      <c r="CM123" s="308"/>
      <c r="CN123" s="308"/>
      <c r="CO123" s="308"/>
      <c r="CP123" s="308"/>
      <c r="CQ123" s="308"/>
      <c r="CR123" s="308"/>
      <c r="CS123" s="308"/>
      <c r="CT123" s="308"/>
      <c r="CU123" s="308"/>
      <c r="CV123" s="308"/>
      <c r="CW123" s="308"/>
      <c r="CX123" s="308"/>
      <c r="CY123" s="308"/>
      <c r="CZ123" s="308"/>
      <c r="DA123" s="308"/>
      <c r="DB123" s="308"/>
      <c r="DC123" s="308"/>
      <c r="DD123" s="308"/>
      <c r="DE123" s="308"/>
      <c r="DF123" s="308"/>
      <c r="DG123" s="308"/>
      <c r="DH123" s="308"/>
      <c r="DI123" s="308"/>
      <c r="DJ123" s="308"/>
      <c r="DK123" s="308"/>
      <c r="DL123" s="308"/>
      <c r="DM123" s="308"/>
      <c r="DN123" s="308"/>
      <c r="DO123" s="308"/>
      <c r="DP123" s="308"/>
      <c r="DQ123" s="308"/>
      <c r="DR123" s="308"/>
      <c r="DS123" s="308"/>
      <c r="DT123" s="308"/>
      <c r="DU123" s="308"/>
      <c r="DV123" s="308"/>
      <c r="DW123" s="308"/>
      <c r="DX123" s="308"/>
      <c r="DY123" s="308"/>
      <c r="DZ123" s="308"/>
      <c r="EA123" s="308"/>
      <c r="EB123" s="308"/>
      <c r="EC123" s="308"/>
      <c r="ED123" s="308"/>
      <c r="EE123" s="308"/>
      <c r="EF123" s="308"/>
      <c r="EG123" s="308"/>
      <c r="EH123" s="308"/>
      <c r="EI123" s="308"/>
      <c r="EJ123" s="308"/>
      <c r="EK123" s="308"/>
      <c r="EL123" s="308"/>
      <c r="EM123" s="308"/>
      <c r="EN123" s="308"/>
      <c r="EO123" s="308"/>
      <c r="EP123" s="308"/>
      <c r="EQ123" s="308"/>
      <c r="ER123" s="308"/>
      <c r="ES123" s="308"/>
      <c r="ET123" s="308"/>
      <c r="EU123" s="308"/>
      <c r="EV123" s="308"/>
      <c r="EW123" s="308"/>
      <c r="EX123" s="308"/>
      <c r="EY123" s="308"/>
      <c r="EZ123" s="308"/>
      <c r="FA123" s="308"/>
      <c r="FB123" s="308"/>
      <c r="FC123" s="308"/>
      <c r="FD123" s="308"/>
      <c r="FE123" s="308"/>
      <c r="FF123" s="308"/>
      <c r="FG123" s="308"/>
      <c r="FH123" s="308"/>
      <c r="FI123" s="308"/>
      <c r="FJ123" s="308"/>
      <c r="FK123" s="308"/>
      <c r="FL123" s="308"/>
      <c r="FM123" s="308"/>
      <c r="FN123" s="308"/>
      <c r="FO123" s="308"/>
      <c r="FP123" s="308"/>
      <c r="FQ123" s="308"/>
      <c r="FR123" s="308"/>
      <c r="FS123" s="308"/>
      <c r="FT123" s="308"/>
      <c r="FU123" s="308"/>
      <c r="FV123" s="308"/>
      <c r="FW123" s="308"/>
      <c r="FX123" s="308"/>
      <c r="FY123" s="308"/>
      <c r="FZ123" s="308"/>
      <c r="GA123" s="308"/>
      <c r="GB123" s="308"/>
      <c r="GC123" s="308"/>
      <c r="GD123" s="308"/>
      <c r="GE123" s="308"/>
      <c r="GF123" s="308"/>
      <c r="GG123" s="308"/>
      <c r="GH123" s="308"/>
      <c r="GI123" s="308"/>
      <c r="GJ123" s="308"/>
      <c r="GK123" s="308"/>
      <c r="GL123" s="308"/>
      <c r="GM123" s="308"/>
      <c r="GN123" s="308"/>
      <c r="GO123" s="308"/>
    </row>
    <row r="124" spans="1:197" s="308" customFormat="1" ht="293.45" customHeight="1">
      <c r="A124" s="311"/>
      <c r="B124" s="312"/>
      <c r="C124" s="313"/>
      <c r="D124" s="608"/>
      <c r="E124" s="312"/>
      <c r="F124" s="312"/>
      <c r="G124" s="313"/>
      <c r="H124" s="311"/>
      <c r="I124" s="314"/>
      <c r="J124" s="315"/>
      <c r="K124" s="430"/>
      <c r="L124" s="317"/>
      <c r="M124" s="318"/>
      <c r="N124" s="311"/>
      <c r="O124" s="311"/>
      <c r="P124" s="312"/>
      <c r="Q124" s="311"/>
      <c r="R124" s="311"/>
      <c r="S124" s="319"/>
      <c r="T124" s="320"/>
      <c r="U124" s="311"/>
      <c r="V124" s="321"/>
      <c r="W124" s="395"/>
      <c r="X124" s="306"/>
      <c r="Y124" s="306"/>
      <c r="Z124" s="306"/>
      <c r="AA124" s="306"/>
      <c r="AB124" s="306"/>
      <c r="AC124" s="306"/>
      <c r="AD124" s="306"/>
      <c r="AE124" s="306"/>
      <c r="AF124" s="306"/>
      <c r="AG124" s="306"/>
      <c r="AH124" s="306"/>
      <c r="AI124" s="306"/>
      <c r="AJ124" s="306"/>
      <c r="AK124" s="306"/>
      <c r="AL124" s="306"/>
      <c r="AM124" s="306"/>
      <c r="AN124" s="306"/>
      <c r="AO124" s="306"/>
      <c r="AP124" s="306"/>
      <c r="AQ124" s="306"/>
      <c r="AR124" s="306"/>
      <c r="AS124" s="306"/>
      <c r="AT124" s="306"/>
      <c r="AU124" s="306"/>
      <c r="AV124" s="306"/>
      <c r="AW124" s="306"/>
      <c r="AX124" s="306"/>
      <c r="AY124" s="306"/>
      <c r="AZ124" s="306"/>
      <c r="BA124" s="306"/>
      <c r="BB124" s="306"/>
      <c r="BC124" s="306"/>
      <c r="BD124" s="306"/>
      <c r="BE124" s="306"/>
      <c r="BF124" s="306"/>
      <c r="BG124" s="306"/>
      <c r="BH124" s="306"/>
      <c r="BI124" s="306"/>
      <c r="BJ124" s="306"/>
      <c r="BK124" s="306"/>
      <c r="BL124" s="306"/>
      <c r="BM124" s="306"/>
      <c r="BN124" s="306"/>
      <c r="BO124" s="306"/>
      <c r="BP124" s="306"/>
      <c r="BQ124" s="306"/>
      <c r="BR124" s="306"/>
      <c r="BS124" s="306"/>
      <c r="BT124" s="306"/>
      <c r="BU124" s="306"/>
      <c r="BV124" s="306"/>
      <c r="BW124" s="306"/>
      <c r="BX124" s="306"/>
      <c r="BY124" s="306"/>
      <c r="BZ124" s="306"/>
      <c r="CA124" s="306"/>
      <c r="CB124" s="306"/>
      <c r="CC124" s="306"/>
      <c r="CD124" s="306"/>
      <c r="CE124" s="306"/>
      <c r="CF124" s="306"/>
      <c r="CG124" s="306"/>
      <c r="CH124" s="306"/>
      <c r="CI124" s="306"/>
      <c r="CJ124" s="306"/>
      <c r="CK124" s="306"/>
      <c r="CL124" s="306"/>
      <c r="CM124" s="306"/>
      <c r="CN124" s="306"/>
      <c r="CO124" s="306"/>
      <c r="CP124" s="306"/>
      <c r="CQ124" s="306"/>
      <c r="CR124" s="306"/>
      <c r="CS124" s="306"/>
      <c r="CT124" s="306"/>
      <c r="CU124" s="306"/>
      <c r="CV124" s="306"/>
      <c r="CW124" s="306"/>
      <c r="CX124" s="306"/>
      <c r="CY124" s="306"/>
      <c r="CZ124" s="306"/>
      <c r="DA124" s="306"/>
      <c r="DB124" s="306"/>
      <c r="DC124" s="306"/>
      <c r="DD124" s="306"/>
      <c r="DE124" s="306"/>
      <c r="DF124" s="306"/>
      <c r="DG124" s="306"/>
      <c r="DH124" s="306"/>
      <c r="DI124" s="306"/>
      <c r="DJ124" s="306"/>
      <c r="DK124" s="306"/>
      <c r="DL124" s="306"/>
      <c r="DM124" s="306"/>
      <c r="DN124" s="306"/>
      <c r="DO124" s="306"/>
      <c r="DP124" s="306"/>
      <c r="DQ124" s="306"/>
      <c r="DR124" s="306"/>
      <c r="DS124" s="306"/>
      <c r="DT124" s="306"/>
      <c r="DU124" s="306"/>
      <c r="DV124" s="306"/>
      <c r="DW124" s="306"/>
      <c r="DX124" s="306"/>
      <c r="DY124" s="306"/>
      <c r="DZ124" s="306"/>
      <c r="EA124" s="306"/>
      <c r="EB124" s="306"/>
      <c r="EC124" s="306"/>
      <c r="ED124" s="306"/>
      <c r="EE124" s="306"/>
      <c r="EF124" s="306"/>
      <c r="EG124" s="306"/>
      <c r="EH124" s="306"/>
      <c r="EI124" s="306"/>
      <c r="EJ124" s="306"/>
      <c r="EK124" s="306"/>
      <c r="EL124" s="306"/>
      <c r="EM124" s="306"/>
      <c r="EN124" s="306"/>
      <c r="EO124" s="306"/>
      <c r="EP124" s="306"/>
      <c r="EQ124" s="306"/>
      <c r="ER124" s="306"/>
      <c r="ES124" s="306"/>
      <c r="ET124" s="306"/>
      <c r="EU124" s="306"/>
      <c r="EV124" s="306"/>
      <c r="EW124" s="306"/>
      <c r="EX124" s="306"/>
      <c r="EY124" s="306"/>
      <c r="EZ124" s="306"/>
      <c r="FA124" s="306"/>
      <c r="FB124" s="306"/>
      <c r="FC124" s="306"/>
      <c r="FD124" s="306"/>
      <c r="FE124" s="306"/>
      <c r="FF124" s="306"/>
      <c r="FG124" s="306"/>
      <c r="FH124" s="306"/>
      <c r="FI124" s="306"/>
      <c r="FJ124" s="306"/>
      <c r="FK124" s="306"/>
      <c r="FL124" s="306"/>
      <c r="FM124" s="306"/>
      <c r="FN124" s="306"/>
      <c r="FO124" s="306"/>
      <c r="FP124" s="306"/>
      <c r="FQ124" s="306"/>
      <c r="FR124" s="306"/>
      <c r="FS124" s="306"/>
      <c r="FT124" s="306"/>
      <c r="FU124" s="306"/>
      <c r="FV124" s="306"/>
      <c r="FW124" s="306"/>
      <c r="FX124" s="306"/>
      <c r="FY124" s="306"/>
      <c r="FZ124" s="306"/>
      <c r="GA124" s="306"/>
      <c r="GB124" s="306"/>
      <c r="GC124" s="306"/>
      <c r="GD124" s="306"/>
      <c r="GE124" s="306"/>
      <c r="GF124" s="306"/>
      <c r="GG124" s="306"/>
      <c r="GH124" s="306"/>
      <c r="GI124" s="306"/>
      <c r="GJ124" s="306"/>
      <c r="GK124" s="306"/>
      <c r="GL124" s="306"/>
      <c r="GM124" s="306"/>
      <c r="GN124" s="306"/>
      <c r="GO124" s="306"/>
    </row>
    <row r="125" spans="1:197" s="306" customFormat="1" ht="110.25" customHeight="1">
      <c r="A125" s="311"/>
      <c r="B125" s="312"/>
      <c r="C125" s="313"/>
      <c r="D125" s="608"/>
      <c r="E125" s="312"/>
      <c r="F125" s="312"/>
      <c r="G125" s="313"/>
      <c r="H125" s="311"/>
      <c r="I125" s="314"/>
      <c r="J125" s="315"/>
      <c r="K125" s="430"/>
      <c r="L125" s="317"/>
      <c r="M125" s="318"/>
      <c r="N125" s="311"/>
      <c r="O125" s="311"/>
      <c r="P125" s="312"/>
      <c r="Q125" s="311"/>
      <c r="R125" s="311"/>
      <c r="S125" s="319"/>
      <c r="T125" s="320"/>
      <c r="U125" s="311"/>
      <c r="V125" s="321"/>
      <c r="W125" s="440"/>
      <c r="X125" s="310"/>
      <c r="Y125" s="310"/>
      <c r="Z125" s="310"/>
      <c r="AA125" s="310"/>
      <c r="AB125" s="310"/>
      <c r="AC125" s="310"/>
      <c r="AD125" s="310"/>
      <c r="AE125" s="310"/>
      <c r="AF125" s="310"/>
      <c r="AG125" s="310"/>
      <c r="AH125" s="310"/>
      <c r="AI125" s="310"/>
      <c r="AJ125" s="310"/>
      <c r="AK125" s="310"/>
      <c r="AL125" s="310"/>
      <c r="AM125" s="310"/>
      <c r="AN125" s="310"/>
      <c r="AO125" s="310"/>
      <c r="AP125" s="310"/>
      <c r="AQ125" s="310"/>
      <c r="AR125" s="310"/>
      <c r="AS125" s="310"/>
      <c r="AT125" s="310"/>
      <c r="AU125" s="310"/>
      <c r="AV125" s="310"/>
      <c r="AW125" s="310"/>
      <c r="AX125" s="310"/>
      <c r="AY125" s="310"/>
      <c r="AZ125" s="310"/>
      <c r="BA125" s="310"/>
      <c r="BB125" s="310"/>
      <c r="BC125" s="310"/>
      <c r="BD125" s="310"/>
      <c r="BE125" s="310"/>
      <c r="BF125" s="310"/>
      <c r="BG125" s="310"/>
      <c r="BH125" s="310"/>
      <c r="BI125" s="310"/>
      <c r="BJ125" s="310"/>
      <c r="BK125" s="310"/>
      <c r="BL125" s="310"/>
      <c r="BM125" s="310"/>
      <c r="BN125" s="310"/>
      <c r="BO125" s="310"/>
      <c r="BP125" s="310"/>
      <c r="BQ125" s="310"/>
      <c r="BR125" s="310"/>
      <c r="BS125" s="310"/>
      <c r="BT125" s="310"/>
      <c r="BU125" s="310"/>
      <c r="BV125" s="310"/>
      <c r="BW125" s="310"/>
      <c r="BX125" s="310"/>
      <c r="BY125" s="310"/>
      <c r="BZ125" s="310"/>
      <c r="CA125" s="310"/>
      <c r="CB125" s="310"/>
      <c r="CC125" s="310"/>
      <c r="CD125" s="310"/>
      <c r="CE125" s="310"/>
      <c r="CF125" s="310"/>
      <c r="CG125" s="310"/>
      <c r="CH125" s="310"/>
      <c r="CI125" s="310"/>
      <c r="CJ125" s="310"/>
      <c r="CK125" s="310"/>
      <c r="CL125" s="310"/>
      <c r="CM125" s="310"/>
      <c r="CN125" s="310"/>
      <c r="CO125" s="310"/>
      <c r="CP125" s="310"/>
      <c r="CQ125" s="310"/>
      <c r="CR125" s="310"/>
      <c r="CS125" s="310"/>
      <c r="CT125" s="310"/>
      <c r="CU125" s="310"/>
      <c r="CV125" s="310"/>
      <c r="CW125" s="310"/>
      <c r="CX125" s="310"/>
      <c r="CY125" s="310"/>
      <c r="CZ125" s="310"/>
      <c r="DA125" s="310"/>
      <c r="DB125" s="310"/>
      <c r="DC125" s="310"/>
      <c r="DD125" s="310"/>
      <c r="DE125" s="310"/>
      <c r="DF125" s="310"/>
      <c r="DG125" s="310"/>
      <c r="DH125" s="310"/>
      <c r="DI125" s="310"/>
      <c r="DJ125" s="310"/>
      <c r="DK125" s="310"/>
      <c r="DL125" s="310"/>
      <c r="DM125" s="310"/>
      <c r="DN125" s="310"/>
      <c r="DO125" s="310"/>
      <c r="DP125" s="310"/>
      <c r="DQ125" s="310"/>
      <c r="DR125" s="310"/>
      <c r="DS125" s="310"/>
      <c r="DT125" s="310"/>
      <c r="DU125" s="310"/>
      <c r="DV125" s="310"/>
      <c r="DW125" s="310"/>
      <c r="DX125" s="310"/>
      <c r="DY125" s="310"/>
      <c r="DZ125" s="310"/>
      <c r="EA125" s="310"/>
      <c r="EB125" s="310"/>
      <c r="EC125" s="310"/>
      <c r="ED125" s="310"/>
      <c r="EE125" s="310"/>
      <c r="EF125" s="310"/>
      <c r="EG125" s="310"/>
      <c r="EH125" s="310"/>
      <c r="EI125" s="310"/>
      <c r="EJ125" s="310"/>
      <c r="EK125" s="310"/>
      <c r="EL125" s="310"/>
      <c r="EM125" s="310"/>
      <c r="EN125" s="310"/>
      <c r="EO125" s="310"/>
      <c r="EP125" s="310"/>
      <c r="EQ125" s="310"/>
      <c r="ER125" s="310"/>
      <c r="ES125" s="310"/>
      <c r="ET125" s="310"/>
      <c r="EU125" s="310"/>
      <c r="EV125" s="310"/>
      <c r="EW125" s="310"/>
      <c r="EX125" s="310"/>
      <c r="EY125" s="310"/>
      <c r="EZ125" s="310"/>
      <c r="FA125" s="310"/>
      <c r="FB125" s="310"/>
      <c r="FC125" s="310"/>
      <c r="FD125" s="310"/>
      <c r="FE125" s="310"/>
      <c r="FF125" s="310"/>
      <c r="FG125" s="310"/>
      <c r="FH125" s="310"/>
      <c r="FI125" s="310"/>
      <c r="FJ125" s="310"/>
      <c r="FK125" s="310"/>
      <c r="FL125" s="310"/>
      <c r="FM125" s="310"/>
      <c r="FN125" s="310"/>
      <c r="FO125" s="310"/>
      <c r="FP125" s="310"/>
      <c r="FQ125" s="310"/>
      <c r="FR125" s="310"/>
      <c r="FS125" s="310"/>
      <c r="FT125" s="310"/>
      <c r="FU125" s="310"/>
      <c r="FV125" s="310"/>
      <c r="FW125" s="310"/>
      <c r="FX125" s="310"/>
      <c r="FY125" s="310"/>
      <c r="FZ125" s="310"/>
      <c r="GA125" s="310"/>
      <c r="GB125" s="310"/>
      <c r="GC125" s="310"/>
      <c r="GD125" s="310"/>
      <c r="GE125" s="310"/>
      <c r="GF125" s="310"/>
      <c r="GG125" s="310"/>
      <c r="GH125" s="310"/>
      <c r="GI125" s="310"/>
      <c r="GJ125" s="310"/>
      <c r="GK125" s="310"/>
      <c r="GL125" s="310"/>
      <c r="GM125" s="310"/>
      <c r="GN125" s="310"/>
      <c r="GO125" s="310"/>
    </row>
    <row r="126" spans="1:197" s="310" customFormat="1" ht="181.5" customHeight="1">
      <c r="A126" s="311"/>
      <c r="B126" s="312"/>
      <c r="C126" s="313"/>
      <c r="D126" s="608"/>
      <c r="E126" s="312"/>
      <c r="F126" s="312"/>
      <c r="G126" s="313"/>
      <c r="H126" s="311"/>
      <c r="I126" s="314"/>
      <c r="J126" s="315"/>
      <c r="K126" s="430"/>
      <c r="L126" s="317"/>
      <c r="M126" s="318"/>
      <c r="N126" s="311"/>
      <c r="O126" s="311"/>
      <c r="P126" s="312"/>
      <c r="Q126" s="311"/>
      <c r="R126" s="311"/>
      <c r="S126" s="319"/>
      <c r="T126" s="320"/>
      <c r="U126" s="311"/>
      <c r="V126" s="321"/>
      <c r="W126" s="440"/>
    </row>
    <row r="127" spans="1:197" s="310" customFormat="1" ht="239.1" customHeight="1">
      <c r="A127" s="311"/>
      <c r="B127" s="312"/>
      <c r="C127" s="313"/>
      <c r="D127" s="608"/>
      <c r="E127" s="312" t="s">
        <v>225</v>
      </c>
      <c r="F127" s="312"/>
      <c r="G127" s="313"/>
      <c r="H127" s="311"/>
      <c r="I127" s="314"/>
      <c r="J127" s="315"/>
      <c r="K127" s="430"/>
      <c r="L127" s="317"/>
      <c r="M127" s="318"/>
      <c r="N127" s="311"/>
      <c r="O127" s="311"/>
      <c r="P127" s="312"/>
      <c r="Q127" s="311"/>
      <c r="R127" s="311"/>
      <c r="S127" s="319"/>
      <c r="T127" s="320"/>
      <c r="U127" s="311"/>
      <c r="V127" s="321"/>
      <c r="W127" s="440"/>
    </row>
    <row r="128" spans="1:197" s="310" customFormat="1" ht="181.5" customHeight="1">
      <c r="A128" s="311"/>
      <c r="B128" s="312"/>
      <c r="C128" s="313"/>
      <c r="D128" s="608"/>
      <c r="E128" s="312"/>
      <c r="F128" s="312"/>
      <c r="G128" s="313"/>
      <c r="H128" s="311"/>
      <c r="I128" s="314"/>
      <c r="J128" s="315"/>
      <c r="K128" s="431"/>
      <c r="L128" s="317"/>
      <c r="M128" s="318"/>
      <c r="N128" s="311"/>
      <c r="O128" s="311"/>
      <c r="P128" s="312"/>
      <c r="Q128" s="311"/>
      <c r="R128" s="311"/>
      <c r="S128" s="319"/>
      <c r="T128" s="320"/>
      <c r="U128" s="311"/>
      <c r="V128" s="321"/>
      <c r="W128" s="440"/>
      <c r="X128" s="308"/>
      <c r="Y128" s="308"/>
      <c r="Z128" s="308"/>
      <c r="AA128" s="308"/>
      <c r="AB128" s="308"/>
      <c r="AC128" s="308"/>
      <c r="AD128" s="308"/>
      <c r="AE128" s="308"/>
      <c r="AF128" s="308"/>
      <c r="AG128" s="308"/>
      <c r="AH128" s="308"/>
      <c r="AI128" s="308"/>
      <c r="AJ128" s="308"/>
      <c r="AK128" s="308"/>
      <c r="AL128" s="308"/>
      <c r="AM128" s="308"/>
      <c r="AN128" s="308"/>
      <c r="AO128" s="308"/>
      <c r="AP128" s="308"/>
      <c r="AQ128" s="308"/>
      <c r="AR128" s="308"/>
      <c r="AS128" s="308"/>
      <c r="AT128" s="308"/>
      <c r="AU128" s="308"/>
      <c r="AV128" s="308"/>
      <c r="AW128" s="308"/>
      <c r="AX128" s="308"/>
      <c r="AY128" s="308"/>
      <c r="AZ128" s="308"/>
      <c r="BA128" s="308"/>
      <c r="BB128" s="308"/>
      <c r="BC128" s="308"/>
      <c r="BD128" s="308"/>
      <c r="BE128" s="308"/>
      <c r="BF128" s="308"/>
      <c r="BG128" s="308"/>
      <c r="BH128" s="308"/>
      <c r="BI128" s="308"/>
      <c r="BJ128" s="308"/>
      <c r="BK128" s="308"/>
      <c r="BL128" s="308"/>
      <c r="BM128" s="308"/>
      <c r="BN128" s="308"/>
      <c r="BO128" s="308"/>
      <c r="BP128" s="308"/>
      <c r="BQ128" s="308"/>
      <c r="BR128" s="308"/>
      <c r="BS128" s="308"/>
      <c r="BT128" s="308"/>
      <c r="BU128" s="308"/>
      <c r="BV128" s="308"/>
      <c r="BW128" s="308"/>
      <c r="BX128" s="308"/>
      <c r="BY128" s="308"/>
      <c r="BZ128" s="308"/>
      <c r="CA128" s="308"/>
      <c r="CB128" s="308"/>
      <c r="CC128" s="308"/>
      <c r="CD128" s="308"/>
      <c r="CE128" s="308"/>
      <c r="CF128" s="308"/>
      <c r="CG128" s="308"/>
      <c r="CH128" s="308"/>
      <c r="CI128" s="308"/>
      <c r="CJ128" s="308"/>
      <c r="CK128" s="308"/>
      <c r="CL128" s="308"/>
      <c r="CM128" s="308"/>
      <c r="CN128" s="308"/>
      <c r="CO128" s="308"/>
      <c r="CP128" s="308"/>
      <c r="CQ128" s="308"/>
      <c r="CR128" s="308"/>
      <c r="CS128" s="308"/>
      <c r="CT128" s="308"/>
      <c r="CU128" s="308"/>
      <c r="CV128" s="308"/>
      <c r="CW128" s="308"/>
      <c r="CX128" s="308"/>
      <c r="CY128" s="308"/>
      <c r="CZ128" s="308"/>
      <c r="DA128" s="308"/>
      <c r="DB128" s="308"/>
      <c r="DC128" s="308"/>
      <c r="DD128" s="308"/>
      <c r="DE128" s="308"/>
      <c r="DF128" s="308"/>
      <c r="DG128" s="308"/>
      <c r="DH128" s="308"/>
      <c r="DI128" s="308"/>
      <c r="DJ128" s="308"/>
      <c r="DK128" s="308"/>
      <c r="DL128" s="308"/>
      <c r="DM128" s="308"/>
      <c r="DN128" s="308"/>
      <c r="DO128" s="308"/>
      <c r="DP128" s="308"/>
      <c r="DQ128" s="308"/>
      <c r="DR128" s="308"/>
      <c r="DS128" s="308"/>
      <c r="DT128" s="308"/>
      <c r="DU128" s="308"/>
      <c r="DV128" s="308"/>
      <c r="DW128" s="308"/>
      <c r="DX128" s="308"/>
      <c r="DY128" s="308"/>
      <c r="DZ128" s="308"/>
      <c r="EA128" s="308"/>
      <c r="EB128" s="308"/>
      <c r="EC128" s="308"/>
      <c r="ED128" s="308"/>
      <c r="EE128" s="308"/>
      <c r="EF128" s="308"/>
      <c r="EG128" s="308"/>
      <c r="EH128" s="308"/>
      <c r="EI128" s="308"/>
      <c r="EJ128" s="308"/>
      <c r="EK128" s="308"/>
      <c r="EL128" s="308"/>
      <c r="EM128" s="308"/>
      <c r="EN128" s="308"/>
      <c r="EO128" s="308"/>
      <c r="EP128" s="308"/>
      <c r="EQ128" s="308"/>
      <c r="ER128" s="308"/>
      <c r="ES128" s="308"/>
      <c r="ET128" s="308"/>
      <c r="EU128" s="308"/>
      <c r="EV128" s="308"/>
      <c r="EW128" s="308"/>
      <c r="EX128" s="308"/>
      <c r="EY128" s="308"/>
      <c r="EZ128" s="308"/>
      <c r="FA128" s="308"/>
      <c r="FB128" s="308"/>
      <c r="FC128" s="308"/>
      <c r="FD128" s="308"/>
      <c r="FE128" s="308"/>
      <c r="FF128" s="308"/>
      <c r="FG128" s="308"/>
      <c r="FH128" s="308"/>
      <c r="FI128" s="308"/>
      <c r="FJ128" s="308"/>
      <c r="FK128" s="308"/>
      <c r="FL128" s="308"/>
      <c r="FM128" s="308"/>
      <c r="FN128" s="308"/>
      <c r="FO128" s="308"/>
      <c r="FP128" s="308"/>
      <c r="FQ128" s="308"/>
      <c r="FR128" s="308"/>
      <c r="FS128" s="308"/>
      <c r="FT128" s="308"/>
      <c r="FU128" s="308"/>
      <c r="FV128" s="308"/>
      <c r="FW128" s="308"/>
      <c r="FX128" s="308"/>
      <c r="FY128" s="308"/>
      <c r="FZ128" s="308"/>
      <c r="GA128" s="308"/>
      <c r="GB128" s="308"/>
      <c r="GC128" s="308"/>
      <c r="GD128" s="308"/>
      <c r="GE128" s="308"/>
      <c r="GF128" s="308"/>
      <c r="GG128" s="308"/>
      <c r="GH128" s="308"/>
      <c r="GI128" s="308"/>
      <c r="GJ128" s="308"/>
      <c r="GK128" s="308"/>
      <c r="GL128" s="308"/>
      <c r="GM128" s="308"/>
      <c r="GN128" s="308"/>
      <c r="GO128" s="308"/>
    </row>
    <row r="129" spans="1:197" s="308" customFormat="1" ht="181.5" customHeight="1">
      <c r="A129" s="311"/>
      <c r="B129" s="312"/>
      <c r="C129" s="313"/>
      <c r="D129" s="608"/>
      <c r="E129" s="312"/>
      <c r="F129" s="312"/>
      <c r="G129" s="313"/>
      <c r="H129" s="311"/>
      <c r="I129" s="314"/>
      <c r="J129" s="315"/>
      <c r="K129" s="432"/>
      <c r="L129" s="317"/>
      <c r="M129" s="318"/>
      <c r="N129" s="311"/>
      <c r="O129" s="311"/>
      <c r="P129" s="312"/>
      <c r="Q129" s="311"/>
      <c r="R129" s="311"/>
      <c r="S129" s="319"/>
      <c r="T129" s="320"/>
      <c r="U129" s="311"/>
      <c r="V129" s="321"/>
      <c r="W129" s="440"/>
    </row>
    <row r="130" spans="1:197" s="308" customFormat="1" ht="213.95" customHeight="1">
      <c r="A130" s="311"/>
      <c r="B130" s="312"/>
      <c r="C130" s="313"/>
      <c r="D130" s="608"/>
      <c r="E130" s="312"/>
      <c r="F130" s="312"/>
      <c r="G130" s="313"/>
      <c r="H130" s="311"/>
      <c r="I130" s="314"/>
      <c r="J130" s="315"/>
      <c r="K130" s="433"/>
      <c r="L130" s="317"/>
      <c r="M130" s="318"/>
      <c r="N130" s="311"/>
      <c r="O130" s="311"/>
      <c r="P130" s="312"/>
      <c r="Q130" s="311"/>
      <c r="R130" s="311"/>
      <c r="S130" s="319"/>
      <c r="T130" s="320"/>
      <c r="U130" s="311"/>
      <c r="V130" s="321"/>
      <c r="W130" s="440"/>
      <c r="X130" s="305"/>
      <c r="Y130" s="305"/>
      <c r="Z130" s="305"/>
      <c r="AA130" s="305"/>
      <c r="AB130" s="305"/>
      <c r="AC130" s="305"/>
      <c r="AD130" s="305"/>
      <c r="AE130" s="305"/>
      <c r="AF130" s="305"/>
      <c r="AG130" s="305"/>
      <c r="AH130" s="305"/>
      <c r="AI130" s="305"/>
      <c r="AJ130" s="305"/>
      <c r="AK130" s="305"/>
      <c r="AL130" s="305"/>
      <c r="AM130" s="305"/>
      <c r="AN130" s="305"/>
      <c r="AO130" s="305"/>
      <c r="AP130" s="305"/>
      <c r="AQ130" s="305"/>
      <c r="AR130" s="305"/>
      <c r="AS130" s="305"/>
      <c r="AT130" s="305"/>
      <c r="AU130" s="305"/>
      <c r="AV130" s="305"/>
      <c r="AW130" s="305"/>
      <c r="AX130" s="305"/>
      <c r="AY130" s="305"/>
      <c r="AZ130" s="305"/>
      <c r="BA130" s="305"/>
      <c r="BB130" s="305"/>
      <c r="BC130" s="305"/>
      <c r="BD130" s="305"/>
      <c r="BE130" s="305"/>
      <c r="BF130" s="305"/>
      <c r="BG130" s="305"/>
      <c r="BH130" s="305"/>
      <c r="BI130" s="305"/>
      <c r="BJ130" s="305"/>
      <c r="BK130" s="305"/>
      <c r="BL130" s="305"/>
      <c r="BM130" s="305"/>
      <c r="BN130" s="305"/>
      <c r="BO130" s="305"/>
      <c r="BP130" s="305"/>
      <c r="BQ130" s="305"/>
      <c r="BR130" s="305"/>
      <c r="BS130" s="305"/>
      <c r="BT130" s="305"/>
      <c r="BU130" s="305"/>
      <c r="BV130" s="305"/>
      <c r="BW130" s="305"/>
      <c r="BX130" s="305"/>
      <c r="BY130" s="305"/>
      <c r="BZ130" s="305"/>
      <c r="CA130" s="305"/>
      <c r="CB130" s="305"/>
      <c r="CC130" s="305"/>
      <c r="CD130" s="305"/>
      <c r="CE130" s="305"/>
      <c r="CF130" s="305"/>
      <c r="CG130" s="305"/>
      <c r="CH130" s="305"/>
      <c r="CI130" s="305"/>
      <c r="CJ130" s="305"/>
      <c r="CK130" s="305"/>
      <c r="CL130" s="305"/>
      <c r="CM130" s="305"/>
      <c r="CN130" s="305"/>
      <c r="CO130" s="305"/>
      <c r="CP130" s="305"/>
      <c r="CQ130" s="305"/>
      <c r="CR130" s="305"/>
      <c r="CS130" s="305"/>
      <c r="CT130" s="305"/>
      <c r="CU130" s="305"/>
      <c r="CV130" s="305"/>
      <c r="CW130" s="305"/>
      <c r="CX130" s="305"/>
      <c r="CY130" s="305"/>
      <c r="CZ130" s="305"/>
      <c r="DA130" s="305"/>
      <c r="DB130" s="305"/>
      <c r="DC130" s="305"/>
      <c r="DD130" s="305"/>
      <c r="DE130" s="305"/>
      <c r="DF130" s="305"/>
      <c r="DG130" s="305"/>
      <c r="DH130" s="305"/>
      <c r="DI130" s="305"/>
      <c r="DJ130" s="305"/>
      <c r="DK130" s="305"/>
      <c r="DL130" s="305"/>
      <c r="DM130" s="305"/>
      <c r="DN130" s="305"/>
      <c r="DO130" s="305"/>
      <c r="DP130" s="305"/>
      <c r="DQ130" s="305"/>
      <c r="DR130" s="305"/>
      <c r="DS130" s="305"/>
      <c r="DT130" s="305"/>
      <c r="DU130" s="305"/>
      <c r="DV130" s="305"/>
      <c r="DW130" s="305"/>
      <c r="DX130" s="305"/>
      <c r="DY130" s="305"/>
      <c r="DZ130" s="305"/>
      <c r="EA130" s="305"/>
      <c r="EB130" s="305"/>
      <c r="EC130" s="305"/>
      <c r="ED130" s="305"/>
      <c r="EE130" s="305"/>
      <c r="EF130" s="305"/>
      <c r="EG130" s="305"/>
      <c r="EH130" s="305"/>
      <c r="EI130" s="305"/>
      <c r="EJ130" s="305"/>
      <c r="EK130" s="305"/>
      <c r="EL130" s="305"/>
      <c r="EM130" s="305"/>
      <c r="EN130" s="305"/>
      <c r="EO130" s="305"/>
      <c r="EP130" s="305"/>
      <c r="EQ130" s="305"/>
      <c r="ER130" s="305"/>
      <c r="ES130" s="305"/>
      <c r="ET130" s="305"/>
      <c r="EU130" s="305"/>
      <c r="EV130" s="305"/>
      <c r="EW130" s="305"/>
      <c r="EX130" s="305"/>
      <c r="EY130" s="305"/>
      <c r="EZ130" s="305"/>
      <c r="FA130" s="305"/>
      <c r="FB130" s="305"/>
      <c r="FC130" s="305"/>
      <c r="FD130" s="305"/>
      <c r="FE130" s="305"/>
      <c r="FF130" s="305"/>
      <c r="FG130" s="305"/>
      <c r="FH130" s="305"/>
      <c r="FI130" s="305"/>
      <c r="FJ130" s="305"/>
      <c r="FK130" s="305"/>
      <c r="FL130" s="305"/>
      <c r="FM130" s="305"/>
      <c r="FN130" s="305"/>
      <c r="FO130" s="305"/>
      <c r="FP130" s="305"/>
      <c r="FQ130" s="305"/>
      <c r="FR130" s="305"/>
      <c r="FS130" s="305"/>
      <c r="FT130" s="305"/>
      <c r="FU130" s="305"/>
      <c r="FV130" s="305"/>
      <c r="FW130" s="305"/>
      <c r="FX130" s="305"/>
      <c r="FY130" s="305"/>
      <c r="FZ130" s="305"/>
      <c r="GA130" s="305"/>
      <c r="GB130" s="305"/>
      <c r="GC130" s="305"/>
      <c r="GD130" s="305"/>
      <c r="GE130" s="305"/>
      <c r="GF130" s="305"/>
      <c r="GG130" s="305"/>
      <c r="GH130" s="305"/>
      <c r="GI130" s="305"/>
      <c r="GJ130" s="305"/>
      <c r="GK130" s="305"/>
      <c r="GL130" s="305"/>
      <c r="GM130" s="305"/>
      <c r="GN130" s="305"/>
      <c r="GO130" s="305"/>
    </row>
    <row r="131" spans="1:197" s="305" customFormat="1" ht="239.1" customHeight="1">
      <c r="A131" s="311"/>
      <c r="B131" s="312"/>
      <c r="C131" s="313"/>
      <c r="D131" s="608"/>
      <c r="E131" s="312"/>
      <c r="F131" s="312"/>
      <c r="G131" s="313"/>
      <c r="H131" s="311"/>
      <c r="I131" s="314"/>
      <c r="J131" s="315"/>
      <c r="K131" s="434"/>
      <c r="L131" s="317"/>
      <c r="M131" s="318"/>
      <c r="N131" s="311"/>
      <c r="O131" s="311"/>
      <c r="P131" s="312"/>
      <c r="Q131" s="311"/>
      <c r="R131" s="311"/>
      <c r="S131" s="319"/>
      <c r="T131" s="320"/>
      <c r="U131" s="311"/>
      <c r="V131" s="321"/>
      <c r="W131" s="440"/>
      <c r="X131" s="308"/>
      <c r="Y131" s="308"/>
      <c r="Z131" s="308"/>
      <c r="AA131" s="308"/>
      <c r="AB131" s="308"/>
      <c r="AC131" s="308"/>
      <c r="AD131" s="308"/>
      <c r="AE131" s="308"/>
      <c r="AF131" s="308"/>
      <c r="AG131" s="308"/>
      <c r="AH131" s="308"/>
      <c r="AI131" s="308"/>
      <c r="AJ131" s="308"/>
      <c r="AK131" s="308"/>
      <c r="AL131" s="308"/>
      <c r="AM131" s="308"/>
      <c r="AN131" s="308"/>
      <c r="AO131" s="308"/>
      <c r="AP131" s="308"/>
      <c r="AQ131" s="308"/>
      <c r="AR131" s="308"/>
      <c r="AS131" s="308"/>
      <c r="AT131" s="308"/>
      <c r="AU131" s="308"/>
      <c r="AV131" s="308"/>
      <c r="AW131" s="308"/>
      <c r="AX131" s="308"/>
      <c r="AY131" s="308"/>
      <c r="AZ131" s="308"/>
      <c r="BA131" s="308"/>
      <c r="BB131" s="308"/>
      <c r="BC131" s="308"/>
      <c r="BD131" s="308"/>
      <c r="BE131" s="308"/>
      <c r="BF131" s="308"/>
      <c r="BG131" s="308"/>
      <c r="BH131" s="308"/>
      <c r="BI131" s="308"/>
      <c r="BJ131" s="308"/>
      <c r="BK131" s="308"/>
      <c r="BL131" s="308"/>
      <c r="BM131" s="308"/>
      <c r="BN131" s="308"/>
      <c r="BO131" s="308"/>
      <c r="BP131" s="308"/>
      <c r="BQ131" s="308"/>
      <c r="BR131" s="308"/>
      <c r="BS131" s="308"/>
      <c r="BT131" s="308"/>
      <c r="BU131" s="308"/>
      <c r="BV131" s="308"/>
      <c r="BW131" s="308"/>
      <c r="BX131" s="308"/>
      <c r="BY131" s="308"/>
      <c r="BZ131" s="308"/>
      <c r="CA131" s="308"/>
      <c r="CB131" s="308"/>
      <c r="CC131" s="308"/>
      <c r="CD131" s="308"/>
      <c r="CE131" s="308"/>
      <c r="CF131" s="308"/>
      <c r="CG131" s="308"/>
      <c r="CH131" s="308"/>
      <c r="CI131" s="308"/>
      <c r="CJ131" s="308"/>
      <c r="CK131" s="308"/>
      <c r="CL131" s="308"/>
      <c r="CM131" s="308"/>
      <c r="CN131" s="308"/>
      <c r="CO131" s="308"/>
      <c r="CP131" s="308"/>
      <c r="CQ131" s="308"/>
      <c r="CR131" s="308"/>
      <c r="CS131" s="308"/>
      <c r="CT131" s="308"/>
      <c r="CU131" s="308"/>
      <c r="CV131" s="308"/>
      <c r="CW131" s="308"/>
      <c r="CX131" s="308"/>
      <c r="CY131" s="308"/>
      <c r="CZ131" s="308"/>
      <c r="DA131" s="308"/>
      <c r="DB131" s="308"/>
      <c r="DC131" s="308"/>
      <c r="DD131" s="308"/>
      <c r="DE131" s="308"/>
      <c r="DF131" s="308"/>
      <c r="DG131" s="308"/>
      <c r="DH131" s="308"/>
      <c r="DI131" s="308"/>
      <c r="DJ131" s="308"/>
      <c r="DK131" s="308"/>
      <c r="DL131" s="308"/>
      <c r="DM131" s="308"/>
      <c r="DN131" s="308"/>
      <c r="DO131" s="308"/>
      <c r="DP131" s="308"/>
      <c r="DQ131" s="308"/>
      <c r="DR131" s="308"/>
      <c r="DS131" s="308"/>
      <c r="DT131" s="308"/>
      <c r="DU131" s="308"/>
      <c r="DV131" s="308"/>
      <c r="DW131" s="308"/>
      <c r="DX131" s="308"/>
      <c r="DY131" s="308"/>
      <c r="DZ131" s="308"/>
      <c r="EA131" s="308"/>
      <c r="EB131" s="308"/>
      <c r="EC131" s="308"/>
      <c r="ED131" s="308"/>
      <c r="EE131" s="308"/>
      <c r="EF131" s="308"/>
      <c r="EG131" s="308"/>
      <c r="EH131" s="308"/>
      <c r="EI131" s="308"/>
      <c r="EJ131" s="308"/>
      <c r="EK131" s="308"/>
      <c r="EL131" s="308"/>
      <c r="EM131" s="308"/>
      <c r="EN131" s="308"/>
      <c r="EO131" s="308"/>
      <c r="EP131" s="308"/>
      <c r="EQ131" s="308"/>
      <c r="ER131" s="308"/>
      <c r="ES131" s="308"/>
      <c r="ET131" s="308"/>
      <c r="EU131" s="308"/>
      <c r="EV131" s="308"/>
      <c r="EW131" s="308"/>
      <c r="EX131" s="308"/>
      <c r="EY131" s="308"/>
      <c r="EZ131" s="308"/>
      <c r="FA131" s="308"/>
      <c r="FB131" s="308"/>
      <c r="FC131" s="308"/>
      <c r="FD131" s="308"/>
      <c r="FE131" s="308"/>
      <c r="FF131" s="308"/>
      <c r="FG131" s="308"/>
      <c r="FH131" s="308"/>
      <c r="FI131" s="308"/>
      <c r="FJ131" s="308"/>
      <c r="FK131" s="308"/>
      <c r="FL131" s="308"/>
      <c r="FM131" s="308"/>
      <c r="FN131" s="308"/>
      <c r="FO131" s="308"/>
      <c r="FP131" s="308"/>
      <c r="FQ131" s="308"/>
      <c r="FR131" s="308"/>
      <c r="FS131" s="308"/>
      <c r="FT131" s="308"/>
      <c r="FU131" s="308"/>
      <c r="FV131" s="308"/>
      <c r="FW131" s="308"/>
      <c r="FX131" s="308"/>
      <c r="FY131" s="308"/>
      <c r="FZ131" s="308"/>
      <c r="GA131" s="308"/>
      <c r="GB131" s="308"/>
      <c r="GC131" s="308"/>
      <c r="GD131" s="308"/>
      <c r="GE131" s="308"/>
      <c r="GF131" s="308"/>
      <c r="GG131" s="308"/>
      <c r="GH131" s="308"/>
      <c r="GI131" s="308"/>
      <c r="GJ131" s="308"/>
      <c r="GK131" s="308"/>
      <c r="GL131" s="308"/>
      <c r="GM131" s="308"/>
      <c r="GN131" s="308"/>
      <c r="GO131" s="308"/>
    </row>
    <row r="132" spans="1:197" s="308" customFormat="1" ht="240" customHeight="1">
      <c r="A132" s="311"/>
      <c r="B132" s="312"/>
      <c r="C132" s="313"/>
      <c r="D132" s="608"/>
      <c r="E132" s="312"/>
      <c r="F132" s="312"/>
      <c r="G132" s="313"/>
      <c r="H132" s="311"/>
      <c r="I132" s="314"/>
      <c r="J132" s="315"/>
      <c r="K132" s="434"/>
      <c r="L132" s="317"/>
      <c r="M132" s="318"/>
      <c r="N132" s="311"/>
      <c r="O132" s="311"/>
      <c r="P132" s="312"/>
      <c r="Q132" s="311"/>
      <c r="R132" s="311"/>
      <c r="S132" s="319"/>
      <c r="T132" s="320"/>
      <c r="U132" s="311"/>
      <c r="V132" s="321"/>
      <c r="W132" s="440"/>
      <c r="X132" s="307"/>
      <c r="Y132" s="307"/>
      <c r="Z132" s="307"/>
      <c r="AA132" s="307"/>
      <c r="AB132" s="307"/>
      <c r="AC132" s="307"/>
      <c r="AD132" s="307"/>
      <c r="AE132" s="307"/>
      <c r="AF132" s="307"/>
      <c r="AG132" s="307"/>
      <c r="AH132" s="307"/>
      <c r="AI132" s="307"/>
      <c r="AJ132" s="307"/>
      <c r="AK132" s="307"/>
      <c r="AL132" s="307"/>
      <c r="AM132" s="307"/>
      <c r="AN132" s="307"/>
      <c r="AO132" s="307"/>
      <c r="AP132" s="307"/>
      <c r="AQ132" s="307"/>
      <c r="AR132" s="307"/>
      <c r="AS132" s="307"/>
      <c r="AT132" s="307"/>
      <c r="AU132" s="307"/>
      <c r="AV132" s="307"/>
      <c r="AW132" s="307"/>
      <c r="AX132" s="307"/>
      <c r="AY132" s="307"/>
      <c r="AZ132" s="307"/>
      <c r="BA132" s="307"/>
      <c r="BB132" s="307"/>
      <c r="BC132" s="307"/>
      <c r="BD132" s="307"/>
      <c r="BE132" s="307"/>
      <c r="BF132" s="307"/>
      <c r="BG132" s="307"/>
      <c r="BH132" s="307"/>
      <c r="BI132" s="307"/>
      <c r="BJ132" s="307"/>
      <c r="BK132" s="307"/>
      <c r="BL132" s="307"/>
      <c r="BM132" s="307"/>
      <c r="BN132" s="307"/>
      <c r="BO132" s="307"/>
      <c r="BP132" s="307"/>
      <c r="BQ132" s="307"/>
      <c r="BR132" s="307"/>
      <c r="BS132" s="307"/>
      <c r="BT132" s="307"/>
      <c r="BU132" s="307"/>
      <c r="BV132" s="307"/>
      <c r="BW132" s="307"/>
      <c r="BX132" s="307"/>
      <c r="BY132" s="307"/>
      <c r="BZ132" s="307"/>
      <c r="CA132" s="307"/>
      <c r="CB132" s="307"/>
      <c r="CC132" s="307"/>
      <c r="CD132" s="307"/>
      <c r="CE132" s="307"/>
      <c r="CF132" s="307"/>
      <c r="CG132" s="307"/>
      <c r="CH132" s="307"/>
      <c r="CI132" s="307"/>
      <c r="CJ132" s="307"/>
      <c r="CK132" s="307"/>
      <c r="CL132" s="307"/>
      <c r="CM132" s="307"/>
      <c r="CN132" s="307"/>
      <c r="CO132" s="307"/>
      <c r="CP132" s="307"/>
      <c r="CQ132" s="307"/>
      <c r="CR132" s="307"/>
      <c r="CS132" s="307"/>
      <c r="CT132" s="307"/>
      <c r="CU132" s="307"/>
      <c r="CV132" s="307"/>
      <c r="CW132" s="307"/>
      <c r="CX132" s="307"/>
      <c r="CY132" s="307"/>
      <c r="CZ132" s="307"/>
      <c r="DA132" s="307"/>
      <c r="DB132" s="307"/>
      <c r="DC132" s="307"/>
      <c r="DD132" s="307"/>
      <c r="DE132" s="307"/>
      <c r="DF132" s="307"/>
      <c r="DG132" s="307"/>
      <c r="DH132" s="307"/>
      <c r="DI132" s="307"/>
      <c r="DJ132" s="307"/>
      <c r="DK132" s="307"/>
      <c r="DL132" s="307"/>
      <c r="DM132" s="307"/>
      <c r="DN132" s="307"/>
      <c r="DO132" s="307"/>
      <c r="DP132" s="307"/>
      <c r="DQ132" s="307"/>
      <c r="DR132" s="307"/>
      <c r="DS132" s="307"/>
      <c r="DT132" s="307"/>
      <c r="DU132" s="307"/>
      <c r="DV132" s="307"/>
      <c r="DW132" s="307"/>
      <c r="DX132" s="307"/>
      <c r="DY132" s="307"/>
      <c r="DZ132" s="307"/>
      <c r="EA132" s="307"/>
      <c r="EB132" s="307"/>
      <c r="EC132" s="307"/>
      <c r="ED132" s="307"/>
      <c r="EE132" s="307"/>
      <c r="EF132" s="307"/>
      <c r="EG132" s="307"/>
      <c r="EH132" s="307"/>
      <c r="EI132" s="307"/>
      <c r="EJ132" s="307"/>
      <c r="EK132" s="307"/>
      <c r="EL132" s="307"/>
      <c r="EM132" s="307"/>
      <c r="EN132" s="307"/>
      <c r="EO132" s="307"/>
      <c r="EP132" s="307"/>
      <c r="EQ132" s="307"/>
      <c r="ER132" s="307"/>
      <c r="ES132" s="307"/>
      <c r="ET132" s="307"/>
      <c r="EU132" s="307"/>
      <c r="EV132" s="307"/>
      <c r="EW132" s="307"/>
      <c r="EX132" s="307"/>
      <c r="EY132" s="307"/>
      <c r="EZ132" s="307"/>
      <c r="FA132" s="307"/>
      <c r="FB132" s="307"/>
      <c r="FC132" s="307"/>
      <c r="FD132" s="307"/>
      <c r="FE132" s="307"/>
      <c r="FF132" s="307"/>
      <c r="FG132" s="307"/>
      <c r="FH132" s="307"/>
      <c r="FI132" s="307"/>
      <c r="FJ132" s="307"/>
      <c r="FK132" s="307"/>
      <c r="FL132" s="307"/>
      <c r="FM132" s="307"/>
      <c r="FN132" s="307"/>
      <c r="FO132" s="307"/>
      <c r="FP132" s="307"/>
      <c r="FQ132" s="307"/>
      <c r="FR132" s="307"/>
      <c r="FS132" s="307"/>
      <c r="FT132" s="307"/>
      <c r="FU132" s="307"/>
      <c r="FV132" s="307"/>
      <c r="FW132" s="307"/>
      <c r="FX132" s="307"/>
      <c r="FY132" s="307"/>
      <c r="FZ132" s="307"/>
      <c r="GA132" s="307"/>
      <c r="GB132" s="307"/>
      <c r="GC132" s="307"/>
      <c r="GD132" s="307"/>
      <c r="GE132" s="307"/>
      <c r="GF132" s="307"/>
      <c r="GG132" s="307"/>
      <c r="GH132" s="307"/>
      <c r="GI132" s="307"/>
      <c r="GJ132" s="307"/>
      <c r="GK132" s="307"/>
      <c r="GL132" s="307"/>
      <c r="GM132" s="307"/>
      <c r="GN132" s="307"/>
      <c r="GO132" s="307"/>
    </row>
    <row r="133" spans="1:197" s="307" customFormat="1" ht="264.60000000000002" customHeight="1">
      <c r="A133" s="311"/>
      <c r="B133" s="312"/>
      <c r="C133" s="313"/>
      <c r="D133" s="608"/>
      <c r="E133" s="312"/>
      <c r="F133" s="312"/>
      <c r="G133" s="313"/>
      <c r="H133" s="311"/>
      <c r="I133" s="314"/>
      <c r="J133" s="315"/>
      <c r="K133" s="434"/>
      <c r="L133" s="317"/>
      <c r="M133" s="318"/>
      <c r="N133" s="311"/>
      <c r="O133" s="311"/>
      <c r="P133" s="312"/>
      <c r="Q133" s="311"/>
      <c r="R133" s="311"/>
      <c r="S133" s="319"/>
      <c r="T133" s="320"/>
      <c r="U133" s="311"/>
      <c r="V133" s="321"/>
      <c r="W133" s="395"/>
    </row>
    <row r="134" spans="1:197" s="307" customFormat="1" ht="201.6" customHeight="1">
      <c r="A134" s="311"/>
      <c r="B134" s="312"/>
      <c r="C134" s="313"/>
      <c r="D134" s="608"/>
      <c r="E134" s="312"/>
      <c r="F134" s="312"/>
      <c r="G134" s="313"/>
      <c r="H134" s="311"/>
      <c r="I134" s="314"/>
      <c r="J134" s="315"/>
      <c r="K134" s="432"/>
      <c r="L134" s="317"/>
      <c r="M134" s="318"/>
      <c r="N134" s="311"/>
      <c r="O134" s="311"/>
      <c r="P134" s="312"/>
      <c r="Q134" s="311"/>
      <c r="R134" s="311"/>
      <c r="S134" s="319"/>
      <c r="T134" s="320"/>
      <c r="U134" s="311"/>
      <c r="V134" s="321"/>
      <c r="W134" s="395"/>
      <c r="X134" s="308"/>
      <c r="Y134" s="308"/>
      <c r="Z134" s="308"/>
      <c r="AA134" s="308"/>
      <c r="AB134" s="308"/>
      <c r="AC134" s="308"/>
      <c r="AD134" s="308"/>
      <c r="AE134" s="308"/>
      <c r="AF134" s="308"/>
      <c r="AG134" s="308"/>
      <c r="AH134" s="308"/>
      <c r="AI134" s="308"/>
      <c r="AJ134" s="308"/>
      <c r="AK134" s="308"/>
      <c r="AL134" s="308"/>
      <c r="AM134" s="308"/>
      <c r="AN134" s="308"/>
      <c r="AO134" s="308"/>
      <c r="AP134" s="308"/>
      <c r="AQ134" s="308"/>
      <c r="AR134" s="308"/>
      <c r="AS134" s="308"/>
      <c r="AT134" s="308"/>
      <c r="AU134" s="308"/>
      <c r="AV134" s="308"/>
      <c r="AW134" s="308"/>
      <c r="AX134" s="308"/>
      <c r="AY134" s="308"/>
      <c r="AZ134" s="308"/>
      <c r="BA134" s="308"/>
      <c r="BB134" s="308"/>
      <c r="BC134" s="308"/>
      <c r="BD134" s="308"/>
      <c r="BE134" s="308"/>
      <c r="BF134" s="308"/>
      <c r="BG134" s="308"/>
      <c r="BH134" s="308"/>
      <c r="BI134" s="308"/>
      <c r="BJ134" s="308"/>
      <c r="BK134" s="308"/>
      <c r="BL134" s="308"/>
      <c r="BM134" s="308"/>
      <c r="BN134" s="308"/>
      <c r="BO134" s="308"/>
      <c r="BP134" s="308"/>
      <c r="BQ134" s="308"/>
      <c r="BR134" s="308"/>
      <c r="BS134" s="308"/>
      <c r="BT134" s="308"/>
      <c r="BU134" s="308"/>
      <c r="BV134" s="308"/>
      <c r="BW134" s="308"/>
      <c r="BX134" s="308"/>
      <c r="BY134" s="308"/>
      <c r="BZ134" s="308"/>
      <c r="CA134" s="308"/>
      <c r="CB134" s="308"/>
      <c r="CC134" s="308"/>
      <c r="CD134" s="308"/>
      <c r="CE134" s="308"/>
      <c r="CF134" s="308"/>
      <c r="CG134" s="308"/>
      <c r="CH134" s="308"/>
      <c r="CI134" s="308"/>
      <c r="CJ134" s="308"/>
      <c r="CK134" s="308"/>
      <c r="CL134" s="308"/>
      <c r="CM134" s="308"/>
      <c r="CN134" s="308"/>
      <c r="CO134" s="308"/>
      <c r="CP134" s="308"/>
      <c r="CQ134" s="308"/>
      <c r="CR134" s="308"/>
      <c r="CS134" s="308"/>
      <c r="CT134" s="308"/>
      <c r="CU134" s="308"/>
      <c r="CV134" s="308"/>
      <c r="CW134" s="308"/>
      <c r="CX134" s="308"/>
      <c r="CY134" s="308"/>
      <c r="CZ134" s="308"/>
      <c r="DA134" s="308"/>
      <c r="DB134" s="308"/>
      <c r="DC134" s="308"/>
      <c r="DD134" s="308"/>
      <c r="DE134" s="308"/>
      <c r="DF134" s="308"/>
      <c r="DG134" s="308"/>
      <c r="DH134" s="308"/>
      <c r="DI134" s="308"/>
      <c r="DJ134" s="308"/>
      <c r="DK134" s="308"/>
      <c r="DL134" s="308"/>
      <c r="DM134" s="308"/>
      <c r="DN134" s="308"/>
      <c r="DO134" s="308"/>
      <c r="DP134" s="308"/>
      <c r="DQ134" s="308"/>
      <c r="DR134" s="308"/>
      <c r="DS134" s="308"/>
      <c r="DT134" s="308"/>
      <c r="DU134" s="308"/>
      <c r="DV134" s="308"/>
      <c r="DW134" s="308"/>
      <c r="DX134" s="308"/>
      <c r="DY134" s="308"/>
      <c r="DZ134" s="308"/>
      <c r="EA134" s="308"/>
      <c r="EB134" s="308"/>
      <c r="EC134" s="308"/>
      <c r="ED134" s="308"/>
      <c r="EE134" s="308"/>
      <c r="EF134" s="308"/>
      <c r="EG134" s="308"/>
      <c r="EH134" s="308"/>
      <c r="EI134" s="308"/>
      <c r="EJ134" s="308"/>
      <c r="EK134" s="308"/>
      <c r="EL134" s="308"/>
      <c r="EM134" s="308"/>
      <c r="EN134" s="308"/>
      <c r="EO134" s="308"/>
      <c r="EP134" s="308"/>
      <c r="EQ134" s="308"/>
      <c r="ER134" s="308"/>
      <c r="ES134" s="308"/>
      <c r="ET134" s="308"/>
      <c r="EU134" s="308"/>
      <c r="EV134" s="308"/>
      <c r="EW134" s="308"/>
      <c r="EX134" s="308"/>
      <c r="EY134" s="308"/>
      <c r="EZ134" s="308"/>
      <c r="FA134" s="308"/>
      <c r="FB134" s="308"/>
      <c r="FC134" s="308"/>
      <c r="FD134" s="308"/>
      <c r="FE134" s="308"/>
      <c r="FF134" s="308"/>
      <c r="FG134" s="308"/>
      <c r="FH134" s="308"/>
      <c r="FI134" s="308"/>
      <c r="FJ134" s="308"/>
      <c r="FK134" s="308"/>
      <c r="FL134" s="308"/>
      <c r="FM134" s="308"/>
      <c r="FN134" s="308"/>
      <c r="FO134" s="308"/>
      <c r="FP134" s="308"/>
      <c r="FQ134" s="308"/>
      <c r="FR134" s="308"/>
      <c r="FS134" s="308"/>
      <c r="FT134" s="308"/>
      <c r="FU134" s="308"/>
      <c r="FV134" s="308"/>
      <c r="FW134" s="308"/>
      <c r="FX134" s="308"/>
      <c r="FY134" s="308"/>
      <c r="FZ134" s="308"/>
      <c r="GA134" s="308"/>
      <c r="GB134" s="308"/>
      <c r="GC134" s="308"/>
      <c r="GD134" s="308"/>
      <c r="GE134" s="308"/>
      <c r="GF134" s="308"/>
      <c r="GG134" s="308"/>
      <c r="GH134" s="308"/>
      <c r="GI134" s="308"/>
      <c r="GJ134" s="308"/>
      <c r="GK134" s="308"/>
      <c r="GL134" s="308"/>
      <c r="GM134" s="308"/>
      <c r="GN134" s="308"/>
      <c r="GO134" s="308"/>
    </row>
    <row r="135" spans="1:197" s="308" customFormat="1" ht="181.5" customHeight="1">
      <c r="A135" s="311"/>
      <c r="B135" s="312"/>
      <c r="C135" s="313"/>
      <c r="D135" s="608"/>
      <c r="E135" s="312"/>
      <c r="F135" s="312"/>
      <c r="G135" s="313"/>
      <c r="H135" s="311"/>
      <c r="I135" s="314"/>
      <c r="J135" s="315"/>
      <c r="K135" s="432"/>
      <c r="L135" s="317"/>
      <c r="M135" s="318"/>
      <c r="N135" s="311"/>
      <c r="O135" s="311"/>
      <c r="P135" s="312"/>
      <c r="Q135" s="311"/>
      <c r="R135" s="311"/>
      <c r="S135" s="319"/>
      <c r="T135" s="320"/>
      <c r="U135" s="311"/>
      <c r="V135" s="321"/>
      <c r="W135" s="447"/>
      <c r="X135" s="310"/>
      <c r="Y135" s="310"/>
      <c r="Z135" s="310"/>
      <c r="AA135" s="310"/>
      <c r="AB135" s="310"/>
      <c r="AC135" s="310"/>
      <c r="AD135" s="310"/>
      <c r="AE135" s="310"/>
      <c r="AF135" s="310"/>
      <c r="AG135" s="310"/>
      <c r="AH135" s="310"/>
      <c r="AI135" s="310"/>
      <c r="AJ135" s="310"/>
      <c r="AK135" s="310"/>
      <c r="AL135" s="310"/>
      <c r="AM135" s="310"/>
      <c r="AN135" s="310"/>
      <c r="AO135" s="310"/>
      <c r="AP135" s="310"/>
      <c r="AQ135" s="310"/>
      <c r="AR135" s="310"/>
      <c r="AS135" s="310"/>
      <c r="AT135" s="310"/>
      <c r="AU135" s="310"/>
      <c r="AV135" s="310"/>
      <c r="AW135" s="310"/>
      <c r="AX135" s="310"/>
      <c r="AY135" s="310"/>
      <c r="AZ135" s="310"/>
      <c r="BA135" s="310"/>
      <c r="BB135" s="310"/>
      <c r="BC135" s="310"/>
      <c r="BD135" s="310"/>
      <c r="BE135" s="310"/>
      <c r="BF135" s="310"/>
      <c r="BG135" s="310"/>
      <c r="BH135" s="310"/>
      <c r="BI135" s="310"/>
      <c r="BJ135" s="310"/>
      <c r="BK135" s="310"/>
      <c r="BL135" s="310"/>
      <c r="BM135" s="310"/>
      <c r="BN135" s="310"/>
      <c r="BO135" s="310"/>
      <c r="BP135" s="310"/>
      <c r="BQ135" s="310"/>
      <c r="BR135" s="310"/>
      <c r="BS135" s="310"/>
      <c r="BT135" s="310"/>
      <c r="BU135" s="310"/>
      <c r="BV135" s="310"/>
      <c r="BW135" s="310"/>
      <c r="BX135" s="310"/>
      <c r="BY135" s="310"/>
      <c r="BZ135" s="310"/>
      <c r="CA135" s="310"/>
      <c r="CB135" s="310"/>
      <c r="CC135" s="310"/>
      <c r="CD135" s="310"/>
      <c r="CE135" s="310"/>
      <c r="CF135" s="310"/>
      <c r="CG135" s="310"/>
      <c r="CH135" s="310"/>
      <c r="CI135" s="310"/>
      <c r="CJ135" s="310"/>
      <c r="CK135" s="310"/>
      <c r="CL135" s="310"/>
      <c r="CM135" s="310"/>
      <c r="CN135" s="310"/>
      <c r="CO135" s="310"/>
      <c r="CP135" s="310"/>
      <c r="CQ135" s="310"/>
      <c r="CR135" s="310"/>
      <c r="CS135" s="310"/>
      <c r="CT135" s="310"/>
      <c r="CU135" s="310"/>
      <c r="CV135" s="310"/>
      <c r="CW135" s="310"/>
      <c r="CX135" s="310"/>
      <c r="CY135" s="310"/>
      <c r="CZ135" s="310"/>
      <c r="DA135" s="310"/>
      <c r="DB135" s="310"/>
      <c r="DC135" s="310"/>
      <c r="DD135" s="310"/>
      <c r="DE135" s="310"/>
      <c r="DF135" s="310"/>
      <c r="DG135" s="310"/>
      <c r="DH135" s="310"/>
      <c r="DI135" s="310"/>
      <c r="DJ135" s="310"/>
      <c r="DK135" s="310"/>
      <c r="DL135" s="310"/>
      <c r="DM135" s="310"/>
      <c r="DN135" s="310"/>
      <c r="DO135" s="310"/>
      <c r="DP135" s="310"/>
      <c r="DQ135" s="310"/>
      <c r="DR135" s="310"/>
      <c r="DS135" s="310"/>
      <c r="DT135" s="310"/>
      <c r="DU135" s="310"/>
      <c r="DV135" s="310"/>
      <c r="DW135" s="310"/>
      <c r="DX135" s="310"/>
      <c r="DY135" s="310"/>
      <c r="DZ135" s="310"/>
      <c r="EA135" s="310"/>
      <c r="EB135" s="310"/>
      <c r="EC135" s="310"/>
      <c r="ED135" s="310"/>
      <c r="EE135" s="310"/>
      <c r="EF135" s="310"/>
      <c r="EG135" s="310"/>
      <c r="EH135" s="310"/>
      <c r="EI135" s="310"/>
      <c r="EJ135" s="310"/>
      <c r="EK135" s="310"/>
      <c r="EL135" s="310"/>
      <c r="EM135" s="310"/>
      <c r="EN135" s="310"/>
      <c r="EO135" s="310"/>
      <c r="EP135" s="310"/>
      <c r="EQ135" s="310"/>
      <c r="ER135" s="310"/>
      <c r="ES135" s="310"/>
      <c r="ET135" s="310"/>
      <c r="EU135" s="310"/>
      <c r="EV135" s="310"/>
      <c r="EW135" s="310"/>
      <c r="EX135" s="310"/>
      <c r="EY135" s="310"/>
      <c r="EZ135" s="310"/>
      <c r="FA135" s="310"/>
      <c r="FB135" s="310"/>
      <c r="FC135" s="310"/>
      <c r="FD135" s="310"/>
      <c r="FE135" s="310"/>
      <c r="FF135" s="310"/>
      <c r="FG135" s="310"/>
      <c r="FH135" s="310"/>
      <c r="FI135" s="310"/>
      <c r="FJ135" s="310"/>
      <c r="FK135" s="310"/>
      <c r="FL135" s="310"/>
      <c r="FM135" s="310"/>
      <c r="FN135" s="310"/>
      <c r="FO135" s="310"/>
      <c r="FP135" s="310"/>
      <c r="FQ135" s="310"/>
      <c r="FR135" s="310"/>
      <c r="FS135" s="310"/>
      <c r="FT135" s="310"/>
      <c r="FU135" s="310"/>
      <c r="FV135" s="310"/>
      <c r="FW135" s="310"/>
      <c r="FX135" s="310"/>
      <c r="FY135" s="310"/>
      <c r="FZ135" s="310"/>
      <c r="GA135" s="310"/>
      <c r="GB135" s="310"/>
      <c r="GC135" s="310"/>
      <c r="GD135" s="310"/>
      <c r="GE135" s="310"/>
      <c r="GF135" s="310"/>
      <c r="GG135" s="310"/>
      <c r="GH135" s="310"/>
      <c r="GI135" s="310"/>
      <c r="GJ135" s="310"/>
      <c r="GK135" s="310"/>
      <c r="GL135" s="310"/>
      <c r="GM135" s="310"/>
      <c r="GN135" s="310"/>
      <c r="GO135" s="310"/>
    </row>
    <row r="136" spans="1:197" s="310" customFormat="1" ht="279" customHeight="1">
      <c r="A136" s="311"/>
      <c r="B136" s="312"/>
      <c r="C136" s="313"/>
      <c r="D136" s="608"/>
      <c r="E136" s="312"/>
      <c r="F136" s="312"/>
      <c r="G136" s="313"/>
      <c r="H136" s="311"/>
      <c r="I136" s="314"/>
      <c r="J136" s="315"/>
      <c r="K136" s="434"/>
      <c r="L136" s="317"/>
      <c r="M136" s="318"/>
      <c r="N136" s="311"/>
      <c r="O136" s="311"/>
      <c r="P136" s="312"/>
      <c r="Q136" s="311"/>
      <c r="R136" s="311"/>
      <c r="S136" s="319"/>
      <c r="T136" s="320"/>
      <c r="U136" s="311"/>
      <c r="V136" s="321"/>
      <c r="W136" s="447"/>
    </row>
    <row r="137" spans="1:197" s="310" customFormat="1" ht="279" customHeight="1">
      <c r="A137" s="311"/>
      <c r="B137" s="312"/>
      <c r="C137" s="313"/>
      <c r="D137" s="608"/>
      <c r="E137" s="312"/>
      <c r="F137" s="312"/>
      <c r="G137" s="313"/>
      <c r="H137" s="311"/>
      <c r="I137" s="314"/>
      <c r="J137" s="315"/>
      <c r="K137" s="430"/>
      <c r="L137" s="317"/>
      <c r="M137" s="318"/>
      <c r="N137" s="311"/>
      <c r="O137" s="311"/>
      <c r="P137" s="312"/>
      <c r="Q137" s="311"/>
      <c r="R137" s="311"/>
      <c r="S137" s="319"/>
      <c r="T137" s="320"/>
      <c r="U137" s="311"/>
      <c r="V137" s="321"/>
      <c r="W137" s="447"/>
    </row>
    <row r="138" spans="1:197" s="310" customFormat="1" ht="279" customHeight="1">
      <c r="A138" s="311"/>
      <c r="B138" s="312"/>
      <c r="C138" s="313"/>
      <c r="D138" s="608"/>
      <c r="E138" s="312"/>
      <c r="F138" s="312"/>
      <c r="G138" s="313"/>
      <c r="H138" s="311"/>
      <c r="I138" s="314"/>
      <c r="J138" s="315"/>
      <c r="K138" s="434"/>
      <c r="L138" s="317"/>
      <c r="M138" s="318"/>
      <c r="N138" s="311"/>
      <c r="O138" s="311"/>
      <c r="P138" s="312"/>
      <c r="Q138" s="311"/>
      <c r="R138" s="311"/>
      <c r="S138" s="319"/>
      <c r="T138" s="320"/>
      <c r="U138" s="311"/>
      <c r="V138" s="321"/>
      <c r="W138" s="447"/>
    </row>
    <row r="139" spans="1:197" s="310" customFormat="1" ht="279" customHeight="1">
      <c r="A139" s="311"/>
      <c r="B139" s="312"/>
      <c r="C139" s="313"/>
      <c r="D139" s="608"/>
      <c r="E139" s="312"/>
      <c r="F139" s="312"/>
      <c r="G139" s="313"/>
      <c r="H139" s="311"/>
      <c r="I139" s="314"/>
      <c r="J139" s="315"/>
      <c r="K139" s="432"/>
      <c r="L139" s="317"/>
      <c r="M139" s="318"/>
      <c r="N139" s="311"/>
      <c r="O139" s="311"/>
      <c r="P139" s="312"/>
      <c r="Q139" s="311"/>
      <c r="R139" s="311"/>
      <c r="S139" s="319"/>
      <c r="T139" s="320"/>
      <c r="U139" s="311"/>
      <c r="V139" s="321"/>
      <c r="W139" s="447"/>
    </row>
    <row r="140" spans="1:197" s="310" customFormat="1" ht="279" customHeight="1">
      <c r="A140" s="311"/>
      <c r="B140" s="312"/>
      <c r="C140" s="313"/>
      <c r="D140" s="608"/>
      <c r="E140" s="312"/>
      <c r="F140" s="312"/>
      <c r="G140" s="313"/>
      <c r="H140" s="311"/>
      <c r="I140" s="314"/>
      <c r="J140" s="315"/>
      <c r="K140" s="432"/>
      <c r="L140" s="317"/>
      <c r="M140" s="318"/>
      <c r="N140" s="311"/>
      <c r="O140" s="311"/>
      <c r="P140" s="312"/>
      <c r="Q140" s="311"/>
      <c r="R140" s="311"/>
      <c r="S140" s="319"/>
      <c r="T140" s="320"/>
      <c r="U140" s="311"/>
      <c r="V140" s="321"/>
      <c r="W140" s="447"/>
    </row>
    <row r="141" spans="1:197" s="310" customFormat="1" ht="279" customHeight="1">
      <c r="A141" s="311"/>
      <c r="B141" s="312"/>
      <c r="C141" s="313"/>
      <c r="D141" s="608"/>
      <c r="E141" s="312"/>
      <c r="F141" s="312"/>
      <c r="G141" s="313"/>
      <c r="H141" s="311"/>
      <c r="I141" s="314"/>
      <c r="J141" s="315"/>
      <c r="K141" s="432"/>
      <c r="L141" s="317"/>
      <c r="M141" s="318"/>
      <c r="N141" s="311"/>
      <c r="O141" s="311"/>
      <c r="P141" s="312"/>
      <c r="Q141" s="311"/>
      <c r="R141" s="311"/>
      <c r="S141" s="319"/>
      <c r="T141" s="320"/>
      <c r="U141" s="311"/>
      <c r="V141" s="321"/>
      <c r="W141" s="447"/>
    </row>
    <row r="142" spans="1:197" s="310" customFormat="1" ht="279" customHeight="1">
      <c r="A142" s="311"/>
      <c r="B142" s="312"/>
      <c r="C142" s="313"/>
      <c r="D142" s="608"/>
      <c r="E142" s="312"/>
      <c r="F142" s="312"/>
      <c r="G142" s="313"/>
      <c r="H142" s="311"/>
      <c r="I142" s="314"/>
      <c r="J142" s="315"/>
      <c r="K142" s="432"/>
      <c r="L142" s="317"/>
      <c r="M142" s="318"/>
      <c r="N142" s="311"/>
      <c r="O142" s="311"/>
      <c r="P142" s="312"/>
      <c r="Q142" s="311"/>
      <c r="R142" s="311"/>
      <c r="S142" s="319"/>
      <c r="T142" s="320"/>
      <c r="U142" s="311"/>
      <c r="V142" s="321"/>
      <c r="W142" s="447"/>
    </row>
    <row r="143" spans="1:197" s="310" customFormat="1" ht="279" customHeight="1">
      <c r="A143" s="311"/>
      <c r="B143" s="312"/>
      <c r="C143" s="313"/>
      <c r="D143" s="608"/>
      <c r="E143" s="312"/>
      <c r="F143" s="312"/>
      <c r="G143" s="313"/>
      <c r="H143" s="311"/>
      <c r="I143" s="314"/>
      <c r="J143" s="315"/>
      <c r="K143" s="433"/>
      <c r="L143" s="317"/>
      <c r="M143" s="318"/>
      <c r="N143" s="311"/>
      <c r="O143" s="311"/>
      <c r="P143" s="312"/>
      <c r="Q143" s="311"/>
      <c r="R143" s="311"/>
      <c r="S143" s="319"/>
      <c r="T143" s="320"/>
      <c r="U143" s="311"/>
      <c r="V143" s="321"/>
      <c r="W143" s="447"/>
    </row>
    <row r="144" spans="1:197" s="310" customFormat="1" ht="279" customHeight="1">
      <c r="A144" s="311"/>
      <c r="B144" s="312"/>
      <c r="C144" s="313"/>
      <c r="D144" s="608"/>
      <c r="E144" s="312"/>
      <c r="F144" s="312"/>
      <c r="G144" s="313"/>
      <c r="H144" s="311"/>
      <c r="I144" s="314"/>
      <c r="J144" s="315"/>
      <c r="K144" s="432"/>
      <c r="L144" s="317"/>
      <c r="M144" s="318"/>
      <c r="N144" s="311"/>
      <c r="O144" s="311"/>
      <c r="P144" s="312"/>
      <c r="Q144" s="311"/>
      <c r="R144" s="311"/>
      <c r="S144" s="319"/>
      <c r="T144" s="320"/>
      <c r="U144" s="311"/>
      <c r="V144" s="321"/>
      <c r="W144" s="447"/>
    </row>
    <row r="145" spans="1:197" s="310" customFormat="1" ht="279" customHeight="1">
      <c r="A145" s="311"/>
      <c r="B145" s="312"/>
      <c r="C145" s="313"/>
      <c r="D145" s="608"/>
      <c r="E145" s="312"/>
      <c r="F145" s="312"/>
      <c r="G145" s="313"/>
      <c r="H145" s="311"/>
      <c r="I145" s="314"/>
      <c r="J145" s="315"/>
      <c r="K145" s="432"/>
      <c r="L145" s="317"/>
      <c r="M145" s="318"/>
      <c r="N145" s="311"/>
      <c r="O145" s="311"/>
      <c r="P145" s="312"/>
      <c r="Q145" s="311"/>
      <c r="R145" s="311"/>
      <c r="S145" s="319"/>
      <c r="T145" s="320"/>
      <c r="U145" s="311"/>
      <c r="V145" s="321"/>
      <c r="W145" s="447"/>
    </row>
    <row r="146" spans="1:197" s="310" customFormat="1" ht="279" customHeight="1">
      <c r="A146" s="311"/>
      <c r="B146" s="312"/>
      <c r="C146" s="313"/>
      <c r="D146" s="608"/>
      <c r="E146" s="312"/>
      <c r="F146" s="312"/>
      <c r="G146" s="313"/>
      <c r="H146" s="311"/>
      <c r="I146" s="314"/>
      <c r="J146" s="315"/>
      <c r="K146" s="433"/>
      <c r="L146" s="317"/>
      <c r="M146" s="318"/>
      <c r="N146" s="311"/>
      <c r="O146" s="311"/>
      <c r="P146" s="312"/>
      <c r="Q146" s="311"/>
      <c r="R146" s="311"/>
      <c r="S146" s="319"/>
      <c r="T146" s="320"/>
      <c r="U146" s="311"/>
      <c r="V146" s="321"/>
      <c r="W146" s="447"/>
    </row>
    <row r="147" spans="1:197" s="310" customFormat="1" ht="279" customHeight="1">
      <c r="A147" s="311"/>
      <c r="B147" s="312"/>
      <c r="C147" s="313"/>
      <c r="D147" s="608"/>
      <c r="E147" s="312"/>
      <c r="F147" s="312"/>
      <c r="G147" s="313"/>
      <c r="H147" s="311"/>
      <c r="I147" s="314"/>
      <c r="J147" s="315"/>
      <c r="K147" s="433"/>
      <c r="L147" s="317"/>
      <c r="M147" s="318"/>
      <c r="N147" s="311"/>
      <c r="O147" s="311"/>
      <c r="P147" s="312"/>
      <c r="Q147" s="311"/>
      <c r="R147" s="311"/>
      <c r="S147" s="319"/>
      <c r="T147" s="320"/>
      <c r="U147" s="311"/>
      <c r="V147" s="321"/>
      <c r="W147" s="449"/>
      <c r="X147" s="322"/>
      <c r="Y147" s="322"/>
      <c r="Z147" s="322"/>
      <c r="AA147" s="322"/>
      <c r="AB147" s="322"/>
      <c r="AC147" s="322"/>
      <c r="AD147" s="322"/>
      <c r="AE147" s="322"/>
      <c r="AF147" s="322"/>
      <c r="AG147" s="322"/>
      <c r="AH147" s="322"/>
      <c r="AI147" s="322"/>
      <c r="AJ147" s="322"/>
      <c r="AK147" s="322"/>
      <c r="AL147" s="322"/>
      <c r="AM147" s="322"/>
      <c r="AN147" s="322"/>
      <c r="AO147" s="322"/>
      <c r="AP147" s="322"/>
      <c r="AQ147" s="322"/>
      <c r="AR147" s="322"/>
      <c r="AS147" s="322"/>
      <c r="AT147" s="322"/>
      <c r="AU147" s="322"/>
      <c r="AV147" s="322"/>
      <c r="AW147" s="322"/>
      <c r="AX147" s="322"/>
      <c r="AY147" s="322"/>
      <c r="AZ147" s="322"/>
      <c r="BA147" s="322"/>
      <c r="BB147" s="322"/>
      <c r="BC147" s="322"/>
      <c r="BD147" s="322"/>
      <c r="BE147" s="322"/>
      <c r="BF147" s="322"/>
      <c r="BG147" s="322"/>
      <c r="BH147" s="322"/>
      <c r="BI147" s="322"/>
      <c r="BJ147" s="322"/>
      <c r="BK147" s="322"/>
      <c r="BL147" s="322"/>
      <c r="BM147" s="322"/>
      <c r="BN147" s="322"/>
      <c r="BO147" s="322"/>
      <c r="BP147" s="322"/>
      <c r="BQ147" s="322"/>
      <c r="BR147" s="322"/>
      <c r="BS147" s="322"/>
      <c r="BT147" s="322"/>
      <c r="BU147" s="322"/>
      <c r="BV147" s="322"/>
      <c r="BW147" s="322"/>
      <c r="BX147" s="322"/>
      <c r="BY147" s="322"/>
      <c r="BZ147" s="322"/>
      <c r="CA147" s="322"/>
      <c r="CB147" s="322"/>
      <c r="CC147" s="322"/>
      <c r="CD147" s="322"/>
      <c r="CE147" s="322"/>
      <c r="CF147" s="322"/>
      <c r="CG147" s="322"/>
      <c r="CH147" s="322"/>
      <c r="CI147" s="322"/>
      <c r="CJ147" s="322"/>
      <c r="CK147" s="322"/>
      <c r="CL147" s="322"/>
      <c r="CM147" s="322"/>
      <c r="CN147" s="322"/>
      <c r="CO147" s="322"/>
      <c r="CP147" s="322"/>
      <c r="CQ147" s="322"/>
      <c r="CR147" s="322"/>
      <c r="CS147" s="322"/>
      <c r="CT147" s="322"/>
      <c r="CU147" s="322"/>
      <c r="CV147" s="322"/>
      <c r="CW147" s="322"/>
      <c r="CX147" s="322"/>
      <c r="CY147" s="322"/>
      <c r="CZ147" s="322"/>
      <c r="DA147" s="322"/>
      <c r="DB147" s="322"/>
      <c r="DC147" s="322"/>
      <c r="DD147" s="322"/>
      <c r="DE147" s="322"/>
      <c r="DF147" s="322"/>
      <c r="DG147" s="322"/>
      <c r="DH147" s="322"/>
      <c r="DI147" s="322"/>
      <c r="DJ147" s="322"/>
      <c r="DK147" s="322"/>
      <c r="DL147" s="322"/>
      <c r="DM147" s="322"/>
      <c r="DN147" s="322"/>
      <c r="DO147" s="322"/>
      <c r="DP147" s="322"/>
      <c r="DQ147" s="322"/>
      <c r="DR147" s="322"/>
      <c r="DS147" s="322"/>
      <c r="DT147" s="322"/>
      <c r="DU147" s="322"/>
      <c r="DV147" s="322"/>
      <c r="DW147" s="322"/>
      <c r="DX147" s="322"/>
      <c r="DY147" s="322"/>
      <c r="DZ147" s="322"/>
      <c r="EA147" s="322"/>
      <c r="EB147" s="322"/>
      <c r="EC147" s="322"/>
      <c r="ED147" s="322"/>
      <c r="EE147" s="322"/>
      <c r="EF147" s="322"/>
      <c r="EG147" s="322"/>
      <c r="EH147" s="322"/>
      <c r="EI147" s="322"/>
      <c r="EJ147" s="322"/>
      <c r="EK147" s="322"/>
      <c r="EL147" s="322"/>
      <c r="EM147" s="322"/>
      <c r="EN147" s="322"/>
      <c r="EO147" s="322"/>
      <c r="EP147" s="322"/>
      <c r="EQ147" s="322"/>
      <c r="ER147" s="322"/>
      <c r="ES147" s="322"/>
      <c r="ET147" s="322"/>
      <c r="EU147" s="322"/>
      <c r="EV147" s="322"/>
      <c r="EW147" s="322"/>
      <c r="EX147" s="322"/>
      <c r="EY147" s="322"/>
      <c r="EZ147" s="322"/>
      <c r="FA147" s="322"/>
      <c r="FB147" s="322"/>
      <c r="FC147" s="322"/>
      <c r="FD147" s="322"/>
      <c r="FE147" s="322"/>
      <c r="FF147" s="322"/>
      <c r="FG147" s="322"/>
      <c r="FH147" s="322"/>
      <c r="FI147" s="322"/>
      <c r="FJ147" s="322"/>
      <c r="FK147" s="322"/>
      <c r="FL147" s="322"/>
      <c r="FM147" s="322"/>
      <c r="FN147" s="322"/>
      <c r="FO147" s="322"/>
      <c r="FP147" s="322"/>
      <c r="FQ147" s="322"/>
      <c r="FR147" s="322"/>
      <c r="FS147" s="322"/>
      <c r="FT147" s="322"/>
      <c r="FU147" s="322"/>
      <c r="FV147" s="322"/>
      <c r="FW147" s="322"/>
      <c r="FX147" s="322"/>
      <c r="FY147" s="322"/>
      <c r="FZ147" s="322"/>
      <c r="GA147" s="322"/>
      <c r="GB147" s="322"/>
      <c r="GC147" s="322"/>
      <c r="GD147" s="322"/>
      <c r="GE147" s="322"/>
      <c r="GF147" s="322"/>
      <c r="GG147" s="322"/>
      <c r="GH147" s="322"/>
      <c r="GI147" s="322"/>
      <c r="GJ147" s="322"/>
      <c r="GK147" s="322"/>
      <c r="GL147" s="322"/>
      <c r="GM147" s="322"/>
      <c r="GN147" s="322"/>
      <c r="GO147" s="322"/>
    </row>
    <row r="148" spans="1:197" ht="99.95" customHeight="1">
      <c r="K148" s="433"/>
    </row>
    <row r="149" spans="1:197" ht="52.5">
      <c r="K149" s="433"/>
    </row>
    <row r="150" spans="1:197" ht="52.5">
      <c r="K150" s="433"/>
    </row>
    <row r="151" spans="1:197" ht="52.5">
      <c r="K151" s="433"/>
    </row>
    <row r="152" spans="1:197" ht="52.5">
      <c r="K152" s="433"/>
    </row>
    <row r="153" spans="1:197" ht="52.5">
      <c r="K153" s="433"/>
    </row>
    <row r="154" spans="1:197" ht="52.5">
      <c r="K154" s="433"/>
    </row>
    <row r="155" spans="1:197" ht="52.5">
      <c r="K155" s="433"/>
    </row>
    <row r="156" spans="1:197" ht="52.5">
      <c r="K156" s="433"/>
    </row>
    <row r="157" spans="1:197" ht="52.5">
      <c r="K157" s="433"/>
    </row>
    <row r="158" spans="1:197" ht="52.5">
      <c r="K158" s="433"/>
    </row>
    <row r="159" spans="1:197" ht="52.5">
      <c r="K159" s="433"/>
    </row>
    <row r="160" spans="1:197" ht="52.5">
      <c r="K160" s="433"/>
    </row>
    <row r="161" spans="11:11" ht="52.5">
      <c r="K161" s="433"/>
    </row>
    <row r="162" spans="11:11" ht="52.5">
      <c r="K162" s="433"/>
    </row>
    <row r="163" spans="11:11" ht="52.5">
      <c r="K163" s="433"/>
    </row>
    <row r="164" spans="11:11" ht="52.5">
      <c r="K164" s="433"/>
    </row>
    <row r="165" spans="11:11" ht="52.5">
      <c r="K165" s="433"/>
    </row>
    <row r="166" spans="11:11" ht="52.5">
      <c r="K166" s="433"/>
    </row>
    <row r="167" spans="11:11" ht="52.5">
      <c r="K167" s="433"/>
    </row>
    <row r="168" spans="11:11" ht="52.5">
      <c r="K168" s="433"/>
    </row>
    <row r="169" spans="11:11" ht="52.5">
      <c r="K169" s="433"/>
    </row>
    <row r="170" spans="11:11" ht="52.5">
      <c r="K170" s="433"/>
    </row>
    <row r="171" spans="11:11" ht="52.5">
      <c r="K171" s="433"/>
    </row>
    <row r="172" spans="11:11" ht="52.5">
      <c r="K172" s="433"/>
    </row>
    <row r="173" spans="11:11" ht="52.5">
      <c r="K173" s="433"/>
    </row>
    <row r="174" spans="11:11" ht="52.5">
      <c r="K174" s="433"/>
    </row>
    <row r="175" spans="11:11" ht="52.5">
      <c r="K175" s="433"/>
    </row>
    <row r="176" spans="11:11" ht="52.5">
      <c r="K176" s="433"/>
    </row>
    <row r="177" spans="11:11" ht="52.5">
      <c r="K177" s="448"/>
    </row>
    <row r="178" spans="11:11" ht="52.5">
      <c r="K178" s="430"/>
    </row>
    <row r="179" spans="11:11" ht="52.5">
      <c r="K179" s="432"/>
    </row>
    <row r="180" spans="11:11" ht="52.5">
      <c r="K180" s="432"/>
    </row>
    <row r="181" spans="11:11" ht="52.5">
      <c r="K181" s="432"/>
    </row>
    <row r="182" spans="11:11" ht="52.5">
      <c r="K182" s="432"/>
    </row>
    <row r="183" spans="11:11" ht="52.5">
      <c r="K183" s="432"/>
    </row>
    <row r="184" spans="11:11" ht="52.5">
      <c r="K184" s="432"/>
    </row>
    <row r="185" spans="11:11" ht="52.5">
      <c r="K185" s="448"/>
    </row>
    <row r="186" spans="11:11" ht="52.5">
      <c r="K186" s="432"/>
    </row>
    <row r="187" spans="11:11" ht="52.5">
      <c r="K187" s="432"/>
    </row>
    <row r="188" spans="11:11" ht="52.5">
      <c r="K188" s="432"/>
    </row>
    <row r="189" spans="11:11" ht="52.5">
      <c r="K189" s="432"/>
    </row>
    <row r="190" spans="11:11" ht="52.5">
      <c r="K190" s="432"/>
    </row>
    <row r="191" spans="11:11" ht="52.5">
      <c r="K191" s="432"/>
    </row>
    <row r="192" spans="11:11" ht="52.5">
      <c r="K192" s="432"/>
    </row>
    <row r="193" spans="11:11" ht="52.5">
      <c r="K193" s="432"/>
    </row>
    <row r="194" spans="11:11" ht="52.5">
      <c r="K194" s="432"/>
    </row>
    <row r="195" spans="11:11" ht="52.5">
      <c r="K195" s="432"/>
    </row>
    <row r="196" spans="11:11" ht="52.5">
      <c r="K196" s="432"/>
    </row>
    <row r="197" spans="11:11" ht="52.5">
      <c r="K197" s="432"/>
    </row>
    <row r="198" spans="11:11" ht="52.5">
      <c r="K198" s="432"/>
    </row>
    <row r="199" spans="11:11" ht="52.5">
      <c r="K199" s="432"/>
    </row>
    <row r="200" spans="11:11" ht="52.5">
      <c r="K200" s="448"/>
    </row>
    <row r="201" spans="11:11" ht="52.5">
      <c r="K201" s="434"/>
    </row>
    <row r="202" spans="11:11" ht="52.5">
      <c r="K202" s="432"/>
    </row>
    <row r="203" spans="11:11" ht="52.5">
      <c r="K203" s="432"/>
    </row>
    <row r="204" spans="11:11" ht="52.5">
      <c r="K204" s="432"/>
    </row>
    <row r="205" spans="11:11" ht="52.5">
      <c r="K205" s="432"/>
    </row>
    <row r="206" spans="11:11" ht="52.5">
      <c r="K206" s="432"/>
    </row>
    <row r="207" spans="11:11" ht="52.5">
      <c r="K207" s="432"/>
    </row>
    <row r="208" spans="11:11" ht="52.5">
      <c r="K208" s="432"/>
    </row>
    <row r="209" spans="11:11" ht="52.5">
      <c r="K209" s="450"/>
    </row>
  </sheetData>
  <autoFilter ref="A21:W123" xr:uid="{00000000-0001-0000-0300-000000000000}">
    <filterColumn colId="13" showButton="0"/>
    <filterColumn colId="14" showButton="0"/>
    <filterColumn colId="16" showButton="0"/>
    <filterColumn colId="17" showButton="0"/>
    <filterColumn colId="18" showButton="0"/>
    <filterColumn colId="19" showButton="0"/>
    <filterColumn colId="20" showButton="0"/>
  </autoFilter>
  <mergeCells count="41">
    <mergeCell ref="A1:V1"/>
    <mergeCell ref="A2:V2"/>
    <mergeCell ref="A3:V3"/>
    <mergeCell ref="A4:V4"/>
    <mergeCell ref="A6:B6"/>
    <mergeCell ref="C6:G6"/>
    <mergeCell ref="I6:L6"/>
    <mergeCell ref="M6:O6"/>
    <mergeCell ref="Q6:S6"/>
    <mergeCell ref="A8:B8"/>
    <mergeCell ref="C8:G8"/>
    <mergeCell ref="I8:L8"/>
    <mergeCell ref="M8:O8"/>
    <mergeCell ref="Q8:S8"/>
    <mergeCell ref="L21:L22"/>
    <mergeCell ref="M21:M22"/>
    <mergeCell ref="N21:P21"/>
    <mergeCell ref="A10:B10"/>
    <mergeCell ref="C10:G10"/>
    <mergeCell ref="I10:L10"/>
    <mergeCell ref="M10:N10"/>
    <mergeCell ref="A12:B12"/>
    <mergeCell ref="C12:G12"/>
    <mergeCell ref="I12:L12"/>
    <mergeCell ref="M12:N12"/>
    <mergeCell ref="Q21:V21"/>
    <mergeCell ref="J98:P98"/>
    <mergeCell ref="J116:L116"/>
    <mergeCell ref="A122:N122"/>
    <mergeCell ref="P122:T122"/>
    <mergeCell ref="A21:A22"/>
    <mergeCell ref="B21:B22"/>
    <mergeCell ref="C21:C22"/>
    <mergeCell ref="D21:D22"/>
    <mergeCell ref="E21:E22"/>
    <mergeCell ref="F21:F22"/>
    <mergeCell ref="G21:G22"/>
    <mergeCell ref="H21:H22"/>
    <mergeCell ref="I21:I22"/>
    <mergeCell ref="J21:J22"/>
    <mergeCell ref="K21:K22"/>
  </mergeCells>
  <phoneticPr fontId="119" type="noConversion"/>
  <printOptions horizontalCentered="1"/>
  <pageMargins left="0.25" right="0.25" top="0.75" bottom="0.75" header="0.3" footer="0.3"/>
  <pageSetup paperSize="9" scale="10" fitToHeight="0" orientation="landscape" r:id="rId1"/>
  <drawing r:id="rId2"/>
  <legacyDrawing r:id="rId3"/>
  <oleObjects>
    <mc:AlternateContent xmlns:mc="http://schemas.openxmlformats.org/markup-compatibility/2006">
      <mc:Choice Requires="x14">
        <oleObject progId="PBrush" shapeId="56321" r:id="rId4">
          <objectPr defaultSize="0" altText="" r:id="rId5">
            <anchor moveWithCells="1" sizeWithCells="1">
              <from>
                <xdr:col>4</xdr:col>
                <xdr:colOff>0</xdr:colOff>
                <xdr:row>1</xdr:row>
                <xdr:rowOff>0</xdr:rowOff>
              </from>
              <to>
                <xdr:col>4</xdr:col>
                <xdr:colOff>0</xdr:colOff>
                <xdr:row>1</xdr:row>
                <xdr:rowOff>0</xdr:rowOff>
              </to>
            </anchor>
          </objectPr>
        </oleObject>
      </mc:Choice>
      <mc:Fallback>
        <oleObject progId="PBrush" shapeId="56321"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G538"/>
  <sheetViews>
    <sheetView view="pageBreakPreview" topLeftCell="A267" zoomScale="36" zoomScaleNormal="10" zoomScaleSheetLayoutView="36" zoomScalePageLayoutView="33" workbookViewId="0">
      <selection activeCell="B262" sqref="B262"/>
    </sheetView>
  </sheetViews>
  <sheetFormatPr defaultColWidth="9.140625" defaultRowHeight="59.25" customHeight="1"/>
  <cols>
    <col min="1" max="1" width="13.85546875" style="196" customWidth="1"/>
    <col min="2" max="2" width="37.85546875" style="197" customWidth="1"/>
    <col min="3" max="3" width="43.5703125" style="198" customWidth="1"/>
    <col min="4" max="4" width="43.42578125" style="199" customWidth="1"/>
    <col min="5" max="5" width="49.140625" style="199" customWidth="1"/>
    <col min="6" max="6" width="27.140625" style="199" customWidth="1"/>
    <col min="7" max="7" width="53.5703125" style="200" customWidth="1"/>
    <col min="8" max="8" width="57.42578125" style="201" customWidth="1"/>
    <col min="9" max="9" width="54.140625" style="201" customWidth="1"/>
    <col min="10" max="10" width="22.5703125" style="201" customWidth="1"/>
    <col min="11" max="11" width="27.140625" style="202" customWidth="1"/>
    <col min="12" max="12" width="26.140625" style="202" customWidth="1"/>
    <col min="13" max="13" width="55.140625" style="192" customWidth="1"/>
    <col min="14" max="14" width="36.5703125" style="196" customWidth="1"/>
    <col min="15" max="15" width="2.5703125" style="196" customWidth="1"/>
    <col min="16" max="16" width="33.5703125" style="196" customWidth="1"/>
    <col min="17" max="16384" width="9.140625" style="196"/>
  </cols>
  <sheetData>
    <row r="1" spans="1:13" ht="27" customHeight="1">
      <c r="A1" s="203"/>
      <c r="B1" s="673"/>
      <c r="C1" s="673"/>
      <c r="D1" s="674"/>
      <c r="E1" s="673"/>
      <c r="F1" s="673"/>
      <c r="G1" s="673"/>
      <c r="H1" s="673"/>
      <c r="I1" s="673"/>
      <c r="J1" s="673"/>
      <c r="K1" s="673"/>
      <c r="L1" s="673"/>
      <c r="M1" s="260"/>
    </row>
    <row r="2" spans="1:13" ht="69" customHeight="1">
      <c r="A2" s="673"/>
      <c r="B2" s="673"/>
      <c r="C2" s="673"/>
      <c r="D2" s="673"/>
      <c r="E2" s="673"/>
      <c r="F2" s="673"/>
      <c r="G2" s="673"/>
      <c r="H2" s="673"/>
      <c r="I2" s="673"/>
      <c r="J2" s="673"/>
      <c r="K2" s="673"/>
      <c r="L2" s="673"/>
      <c r="M2" s="673"/>
    </row>
    <row r="3" spans="1:13" ht="27" customHeight="1">
      <c r="A3" s="673" t="s">
        <v>65</v>
      </c>
      <c r="B3" s="673"/>
      <c r="C3" s="673"/>
      <c r="D3" s="674"/>
      <c r="E3" s="673"/>
      <c r="F3" s="673"/>
      <c r="G3" s="673"/>
      <c r="H3" s="673"/>
      <c r="I3" s="673"/>
      <c r="J3" s="673"/>
      <c r="K3" s="673"/>
      <c r="L3" s="673"/>
      <c r="M3" s="673"/>
    </row>
    <row r="4" spans="1:13" ht="38.25" customHeight="1">
      <c r="A4" s="675" t="s">
        <v>226</v>
      </c>
      <c r="B4" s="675"/>
      <c r="C4" s="675"/>
      <c r="D4" s="676"/>
      <c r="E4" s="675"/>
      <c r="F4" s="675"/>
      <c r="G4" s="675"/>
      <c r="H4" s="675"/>
      <c r="I4" s="675"/>
      <c r="J4" s="675"/>
      <c r="K4" s="675"/>
      <c r="L4" s="675"/>
      <c r="M4" s="675"/>
    </row>
    <row r="5" spans="1:13" ht="27" customHeight="1">
      <c r="A5" s="673" t="s">
        <v>227</v>
      </c>
      <c r="B5" s="673"/>
      <c r="C5" s="673"/>
      <c r="D5" s="673"/>
      <c r="E5" s="673"/>
      <c r="F5" s="673"/>
      <c r="G5" s="673"/>
      <c r="H5" s="673"/>
      <c r="I5" s="673"/>
      <c r="J5" s="673"/>
      <c r="K5" s="673"/>
      <c r="L5" s="673"/>
      <c r="M5" s="673"/>
    </row>
    <row r="6" spans="1:13" ht="27" customHeight="1">
      <c r="A6" s="204"/>
      <c r="B6" s="205"/>
      <c r="C6" s="205"/>
      <c r="D6" s="206"/>
      <c r="E6" s="223"/>
      <c r="F6" s="223"/>
      <c r="G6" s="224"/>
      <c r="H6" s="225"/>
      <c r="I6" s="225"/>
      <c r="J6" s="225"/>
      <c r="K6" s="239"/>
      <c r="L6" s="106"/>
      <c r="M6" s="260"/>
    </row>
    <row r="7" spans="1:13" ht="27" customHeight="1">
      <c r="A7" s="669" t="s">
        <v>67</v>
      </c>
      <c r="B7" s="670"/>
      <c r="C7" s="660" t="s">
        <v>101</v>
      </c>
      <c r="D7" s="661"/>
      <c r="E7" s="662"/>
      <c r="F7" s="223"/>
      <c r="G7" s="224"/>
      <c r="H7" s="663" t="s">
        <v>71</v>
      </c>
      <c r="I7" s="663"/>
      <c r="J7" s="671">
        <v>46113</v>
      </c>
      <c r="K7" s="672"/>
      <c r="L7" s="240"/>
      <c r="M7" s="261"/>
    </row>
    <row r="8" spans="1:13" ht="12.75" customHeight="1">
      <c r="A8" s="208"/>
      <c r="B8" s="209"/>
      <c r="C8" s="210"/>
      <c r="D8" s="211"/>
      <c r="E8" s="226"/>
      <c r="F8" s="226"/>
      <c r="G8" s="227"/>
      <c r="H8" s="228"/>
      <c r="I8" s="228"/>
      <c r="J8" s="241"/>
      <c r="K8" s="242"/>
      <c r="L8" s="243"/>
      <c r="M8" s="262"/>
    </row>
    <row r="9" spans="1:13" ht="48.6" customHeight="1">
      <c r="A9" s="208"/>
      <c r="B9" s="207" t="s">
        <v>228</v>
      </c>
      <c r="C9" s="660" t="s">
        <v>105</v>
      </c>
      <c r="D9" s="661"/>
      <c r="E9" s="662"/>
      <c r="F9" s="223"/>
      <c r="G9" s="663" t="s">
        <v>109</v>
      </c>
      <c r="H9" s="663"/>
      <c r="I9" s="664"/>
      <c r="J9" s="665">
        <f>BEMSdar!E11</f>
        <v>1329813.1567500001</v>
      </c>
      <c r="K9" s="666"/>
      <c r="L9" s="244"/>
      <c r="M9" s="263"/>
    </row>
    <row r="10" spans="1:13" ht="15" customHeight="1">
      <c r="A10" s="208"/>
      <c r="B10" s="209"/>
      <c r="C10" s="210"/>
      <c r="D10" s="211"/>
      <c r="E10" s="226"/>
      <c r="F10" s="226"/>
      <c r="G10" s="227"/>
      <c r="H10" s="228"/>
      <c r="I10" s="228"/>
      <c r="J10" s="241"/>
      <c r="K10" s="242"/>
      <c r="L10" s="243"/>
      <c r="M10" s="262"/>
    </row>
    <row r="11" spans="1:13" ht="46.5" customHeight="1">
      <c r="A11" s="208"/>
      <c r="B11" s="207" t="s">
        <v>229</v>
      </c>
      <c r="C11" s="660" t="s">
        <v>108</v>
      </c>
      <c r="D11" s="661"/>
      <c r="E11" s="662"/>
      <c r="F11" s="223"/>
      <c r="G11" s="663" t="s">
        <v>111</v>
      </c>
      <c r="H11" s="663"/>
      <c r="I11" s="664"/>
      <c r="J11" s="665">
        <f>BEMSdar!E13</f>
        <v>34097.773249999998</v>
      </c>
      <c r="K11" s="666"/>
      <c r="L11" s="244"/>
      <c r="M11" s="263"/>
    </row>
    <row r="12" spans="1:13" s="183" customFormat="1" ht="27" customHeight="1">
      <c r="A12" s="212"/>
      <c r="B12" s="213"/>
      <c r="C12" s="210"/>
      <c r="D12" s="211"/>
      <c r="E12" s="226"/>
      <c r="F12" s="226"/>
      <c r="G12" s="227"/>
      <c r="H12" s="229"/>
      <c r="I12" s="245"/>
      <c r="J12" s="246"/>
      <c r="K12" s="247"/>
      <c r="L12" s="248"/>
      <c r="M12" s="264"/>
    </row>
    <row r="13" spans="1:13" s="184" customFormat="1" ht="17.25" customHeight="1">
      <c r="A13" s="214" t="s">
        <v>112</v>
      </c>
      <c r="B13" s="213"/>
      <c r="C13" s="209"/>
      <c r="D13" s="215"/>
      <c r="E13" s="215"/>
      <c r="F13" s="215"/>
      <c r="G13" s="230"/>
      <c r="H13" s="228"/>
      <c r="I13" s="228"/>
      <c r="J13" s="228"/>
      <c r="K13" s="249"/>
      <c r="L13" s="249"/>
      <c r="M13" s="265"/>
    </row>
    <row r="14" spans="1:13" s="184" customFormat="1" ht="17.25" customHeight="1">
      <c r="A14" s="214" t="s">
        <v>113</v>
      </c>
      <c r="B14" s="213"/>
      <c r="C14" s="209"/>
      <c r="D14" s="215"/>
      <c r="E14" s="215"/>
      <c r="F14" s="215"/>
      <c r="G14" s="230"/>
      <c r="H14" s="228"/>
      <c r="I14" s="228"/>
      <c r="J14" s="228"/>
      <c r="K14" s="249"/>
      <c r="L14" s="249"/>
      <c r="M14" s="265"/>
    </row>
    <row r="15" spans="1:13" s="184" customFormat="1" ht="17.25" customHeight="1">
      <c r="A15" s="214" t="s">
        <v>230</v>
      </c>
      <c r="B15" s="213"/>
      <c r="C15" s="209"/>
      <c r="D15" s="215"/>
      <c r="E15" s="215"/>
      <c r="F15" s="215"/>
      <c r="G15" s="230"/>
      <c r="H15" s="228"/>
      <c r="I15" s="228"/>
      <c r="J15" s="228"/>
      <c r="K15" s="249"/>
      <c r="L15" s="249"/>
      <c r="M15" s="265"/>
    </row>
    <row r="16" spans="1:13" s="184" customFormat="1" ht="17.25" customHeight="1">
      <c r="A16" s="214" t="s">
        <v>231</v>
      </c>
      <c r="B16" s="213"/>
      <c r="C16" s="209"/>
      <c r="D16" s="215"/>
      <c r="E16" s="215"/>
      <c r="F16" s="215"/>
      <c r="G16" s="230"/>
      <c r="H16" s="228"/>
      <c r="I16" s="228"/>
      <c r="J16" s="228"/>
      <c r="K16" s="249"/>
      <c r="L16" s="249"/>
      <c r="M16" s="265"/>
    </row>
    <row r="17" spans="1:14" s="184" customFormat="1" ht="17.25" customHeight="1">
      <c r="A17" s="214" t="s">
        <v>232</v>
      </c>
      <c r="B17" s="213"/>
      <c r="C17" s="209"/>
      <c r="D17" s="215"/>
      <c r="E17" s="215"/>
      <c r="F17" s="215"/>
      <c r="G17" s="230"/>
      <c r="H17" s="228"/>
      <c r="I17" s="228"/>
      <c r="J17" s="228"/>
      <c r="K17" s="249"/>
      <c r="L17" s="249"/>
      <c r="M17" s="265"/>
    </row>
    <row r="18" spans="1:14" ht="17.25" customHeight="1">
      <c r="A18" s="216"/>
      <c r="B18" s="213"/>
      <c r="C18" s="209"/>
      <c r="E18" s="231"/>
      <c r="F18" s="232"/>
      <c r="G18" s="233"/>
      <c r="H18" s="234"/>
      <c r="I18" s="234"/>
      <c r="J18" s="228"/>
      <c r="K18" s="247"/>
      <c r="L18" s="247"/>
      <c r="M18" s="265"/>
    </row>
    <row r="19" spans="1:14" s="185" customFormat="1" ht="36" customHeight="1">
      <c r="A19" s="650" t="s">
        <v>78</v>
      </c>
      <c r="B19" s="651" t="s">
        <v>118</v>
      </c>
      <c r="C19" s="652" t="s">
        <v>119</v>
      </c>
      <c r="D19" s="653" t="s">
        <v>120</v>
      </c>
      <c r="E19" s="655" t="s">
        <v>121</v>
      </c>
      <c r="F19" s="650" t="s">
        <v>122</v>
      </c>
      <c r="G19" s="656" t="s">
        <v>233</v>
      </c>
      <c r="H19" s="657" t="s">
        <v>234</v>
      </c>
      <c r="I19" s="657" t="s">
        <v>235</v>
      </c>
      <c r="J19" s="658" t="s">
        <v>132</v>
      </c>
      <c r="K19" s="659" t="s">
        <v>129</v>
      </c>
      <c r="L19" s="650" t="s">
        <v>236</v>
      </c>
      <c r="M19" s="650"/>
      <c r="N19" s="266"/>
    </row>
    <row r="20" spans="1:14" s="185" customFormat="1" ht="64.5" customHeight="1">
      <c r="A20" s="650"/>
      <c r="B20" s="651"/>
      <c r="C20" s="652"/>
      <c r="D20" s="654"/>
      <c r="E20" s="655"/>
      <c r="F20" s="650"/>
      <c r="G20" s="656"/>
      <c r="H20" s="657"/>
      <c r="I20" s="657"/>
      <c r="J20" s="658"/>
      <c r="K20" s="659"/>
      <c r="L20" s="217" t="s">
        <v>133</v>
      </c>
      <c r="M20" s="217" t="s">
        <v>134</v>
      </c>
      <c r="N20" s="266"/>
    </row>
    <row r="21" spans="1:14" s="186" customFormat="1" ht="78" customHeight="1">
      <c r="A21" s="667" t="s">
        <v>237</v>
      </c>
      <c r="B21" s="668"/>
      <c r="C21" s="668"/>
      <c r="D21" s="668"/>
      <c r="E21" s="668"/>
      <c r="F21" s="235"/>
      <c r="G21" s="236"/>
      <c r="H21" s="237"/>
      <c r="I21" s="237"/>
      <c r="J21" s="250"/>
      <c r="K21" s="251"/>
      <c r="L21" s="251"/>
      <c r="M21" s="251"/>
      <c r="N21" s="267"/>
    </row>
    <row r="22" spans="1:14" s="187" customFormat="1" ht="144">
      <c r="A22" s="218">
        <v>1</v>
      </c>
      <c r="B22" s="218" t="s">
        <v>1038</v>
      </c>
      <c r="C22" s="219" t="s">
        <v>1274</v>
      </c>
      <c r="D22" s="220">
        <f>VLOOKUP(B22,[13]AssetDetails_UEM!$A$3:$X$1848,22,FALSE)</f>
        <v>4950</v>
      </c>
      <c r="E22" s="218" t="s">
        <v>1308</v>
      </c>
      <c r="F22" s="218" t="s">
        <v>759</v>
      </c>
      <c r="G22" s="218" t="s">
        <v>1609</v>
      </c>
      <c r="H22" s="218" t="s">
        <v>1630</v>
      </c>
      <c r="I22" s="252" t="s">
        <v>238</v>
      </c>
      <c r="J22" s="253" t="s">
        <v>139</v>
      </c>
      <c r="K22" s="254">
        <f t="shared" ref="K22:K85" si="0">ROUNDUP((D22/4999.99)*10,-1)</f>
        <v>10</v>
      </c>
      <c r="L22" s="255">
        <f t="shared" ref="L22:L83" si="1">IF(J22="N",0,K22)</f>
        <v>0</v>
      </c>
      <c r="M22" s="219" t="s">
        <v>1801</v>
      </c>
      <c r="N22" s="268"/>
    </row>
    <row r="23" spans="1:14" s="187" customFormat="1" ht="103.5" customHeight="1">
      <c r="A23" s="218">
        <v>2</v>
      </c>
      <c r="B23" s="218" t="s">
        <v>1039</v>
      </c>
      <c r="C23" s="219" t="s">
        <v>144</v>
      </c>
      <c r="D23" s="220">
        <f>VLOOKUP(B23,[13]AssetDetails_UEM!$A$3:$X$1848,22,FALSE)</f>
        <v>10825</v>
      </c>
      <c r="E23" s="218" t="s">
        <v>1309</v>
      </c>
      <c r="F23" s="218" t="s">
        <v>244</v>
      </c>
      <c r="G23" s="238">
        <v>46113</v>
      </c>
      <c r="H23" s="238">
        <v>46125.625</v>
      </c>
      <c r="I23" s="584">
        <v>46134</v>
      </c>
      <c r="J23" s="253" t="s">
        <v>139</v>
      </c>
      <c r="K23" s="254">
        <f t="shared" si="0"/>
        <v>30</v>
      </c>
      <c r="L23" s="255">
        <f t="shared" si="1"/>
        <v>0</v>
      </c>
      <c r="M23" s="219" t="s">
        <v>1957</v>
      </c>
      <c r="N23" s="571"/>
    </row>
    <row r="24" spans="1:14" s="187" customFormat="1" ht="144">
      <c r="A24" s="218">
        <v>3</v>
      </c>
      <c r="B24" s="218" t="s">
        <v>1040</v>
      </c>
      <c r="C24" s="219" t="s">
        <v>1275</v>
      </c>
      <c r="D24" s="220">
        <f>VLOOKUP(B24,[13]AssetDetails_UEM!$A$3:$X$1848,22,FALSE)</f>
        <v>24060</v>
      </c>
      <c r="E24" s="218" t="s">
        <v>1310</v>
      </c>
      <c r="F24" s="218" t="s">
        <v>747</v>
      </c>
      <c r="G24" s="218" t="s">
        <v>1609</v>
      </c>
      <c r="H24" s="218" t="s">
        <v>1631</v>
      </c>
      <c r="I24" s="252" t="s">
        <v>238</v>
      </c>
      <c r="J24" s="253" t="s">
        <v>139</v>
      </c>
      <c r="K24" s="254">
        <f t="shared" si="0"/>
        <v>50</v>
      </c>
      <c r="L24" s="255">
        <f t="shared" si="1"/>
        <v>0</v>
      </c>
      <c r="M24" s="219" t="s">
        <v>1801</v>
      </c>
      <c r="N24" s="268"/>
    </row>
    <row r="25" spans="1:14" s="187" customFormat="1" ht="180">
      <c r="A25" s="218">
        <v>4</v>
      </c>
      <c r="B25" s="218" t="s">
        <v>1041</v>
      </c>
      <c r="C25" s="219" t="s">
        <v>1276</v>
      </c>
      <c r="D25" s="220">
        <f>VLOOKUP(B25,[13]AssetDetails_UEM!$A$3:$X$1848,22,FALSE)</f>
        <v>5170</v>
      </c>
      <c r="E25" s="218" t="s">
        <v>1311</v>
      </c>
      <c r="F25" s="218" t="s">
        <v>1559</v>
      </c>
      <c r="G25" s="218" t="s">
        <v>1609</v>
      </c>
      <c r="H25" s="218" t="s">
        <v>309</v>
      </c>
      <c r="I25" s="252" t="s">
        <v>238</v>
      </c>
      <c r="J25" s="253" t="s">
        <v>139</v>
      </c>
      <c r="K25" s="254">
        <f t="shared" si="0"/>
        <v>20</v>
      </c>
      <c r="L25" s="255">
        <f t="shared" si="1"/>
        <v>0</v>
      </c>
      <c r="M25" s="219" t="s">
        <v>1753</v>
      </c>
      <c r="N25" s="268"/>
    </row>
    <row r="26" spans="1:14" s="188" customFormat="1" ht="216">
      <c r="A26" s="218">
        <v>5</v>
      </c>
      <c r="B26" s="218" t="s">
        <v>1042</v>
      </c>
      <c r="C26" s="219" t="s">
        <v>1277</v>
      </c>
      <c r="D26" s="220">
        <f>VLOOKUP(B26,[13]AssetDetails_UEM!$A$3:$X$1848,22,FALSE)</f>
        <v>20000</v>
      </c>
      <c r="E26" s="218" t="s">
        <v>1312</v>
      </c>
      <c r="F26" s="218" t="s">
        <v>1560</v>
      </c>
      <c r="G26" s="218" t="s">
        <v>1609</v>
      </c>
      <c r="H26" s="218" t="s">
        <v>292</v>
      </c>
      <c r="I26" s="252" t="s">
        <v>238</v>
      </c>
      <c r="J26" s="253" t="s">
        <v>139</v>
      </c>
      <c r="K26" s="254">
        <f t="shared" si="0"/>
        <v>50</v>
      </c>
      <c r="L26" s="255">
        <f t="shared" si="1"/>
        <v>0</v>
      </c>
      <c r="M26" s="219" t="s">
        <v>1754</v>
      </c>
    </row>
    <row r="27" spans="1:14" s="187" customFormat="1" ht="252">
      <c r="A27" s="218">
        <v>6</v>
      </c>
      <c r="B27" s="218" t="s">
        <v>1043</v>
      </c>
      <c r="C27" s="219" t="s">
        <v>1278</v>
      </c>
      <c r="D27" s="220">
        <f>VLOOKUP(B27,[13]AssetDetails_UEM!$A$3:$X$1848,22,FALSE)</f>
        <v>6570</v>
      </c>
      <c r="E27" s="218" t="s">
        <v>1313</v>
      </c>
      <c r="F27" s="218" t="s">
        <v>762</v>
      </c>
      <c r="G27" s="218" t="s">
        <v>1609</v>
      </c>
      <c r="H27" s="218" t="s">
        <v>1632</v>
      </c>
      <c r="I27" s="252" t="s">
        <v>238</v>
      </c>
      <c r="J27" s="253" t="s">
        <v>139</v>
      </c>
      <c r="K27" s="254">
        <f t="shared" si="0"/>
        <v>20</v>
      </c>
      <c r="L27" s="255">
        <f t="shared" si="1"/>
        <v>0</v>
      </c>
      <c r="M27" s="219" t="s">
        <v>1755</v>
      </c>
      <c r="N27" s="268"/>
    </row>
    <row r="28" spans="1:14" s="187" customFormat="1" ht="252">
      <c r="A28" s="218">
        <v>7</v>
      </c>
      <c r="B28" s="218" t="s">
        <v>1044</v>
      </c>
      <c r="C28" s="219" t="s">
        <v>245</v>
      </c>
      <c r="D28" s="220">
        <f>VLOOKUP(B28,[13]AssetDetails_UEM!$A$3:$X$1848,22,FALSE)</f>
        <v>10705</v>
      </c>
      <c r="E28" s="218" t="s">
        <v>1314</v>
      </c>
      <c r="F28" s="218" t="s">
        <v>757</v>
      </c>
      <c r="G28" s="218" t="s">
        <v>1609</v>
      </c>
      <c r="H28" s="218" t="s">
        <v>1633</v>
      </c>
      <c r="I28" s="252" t="s">
        <v>238</v>
      </c>
      <c r="J28" s="253" t="s">
        <v>139</v>
      </c>
      <c r="K28" s="254">
        <f t="shared" si="0"/>
        <v>30</v>
      </c>
      <c r="L28" s="255">
        <f t="shared" si="1"/>
        <v>0</v>
      </c>
      <c r="M28" s="219" t="s">
        <v>1756</v>
      </c>
      <c r="N28" s="268"/>
    </row>
    <row r="29" spans="1:14" s="187" customFormat="1" ht="252">
      <c r="A29" s="218">
        <v>8</v>
      </c>
      <c r="B29" s="218" t="s">
        <v>1045</v>
      </c>
      <c r="C29" s="219" t="s">
        <v>1279</v>
      </c>
      <c r="D29" s="220">
        <f>VLOOKUP(B29,[13]AssetDetails_UEM!$A$3:$X$1848,22,FALSE)</f>
        <v>10585</v>
      </c>
      <c r="E29" s="218" t="s">
        <v>1315</v>
      </c>
      <c r="F29" s="218" t="s">
        <v>1561</v>
      </c>
      <c r="G29" s="218" t="s">
        <v>1609</v>
      </c>
      <c r="H29" s="218" t="s">
        <v>1634</v>
      </c>
      <c r="I29" s="252" t="s">
        <v>238</v>
      </c>
      <c r="J29" s="253" t="s">
        <v>139</v>
      </c>
      <c r="K29" s="254">
        <f t="shared" si="0"/>
        <v>30</v>
      </c>
      <c r="L29" s="255">
        <f t="shared" si="1"/>
        <v>0</v>
      </c>
      <c r="M29" s="219" t="s">
        <v>1756</v>
      </c>
      <c r="N29" s="268"/>
    </row>
    <row r="30" spans="1:14" s="187" customFormat="1" ht="135.75" customHeight="1">
      <c r="A30" s="218">
        <v>9</v>
      </c>
      <c r="B30" s="218" t="s">
        <v>1046</v>
      </c>
      <c r="C30" s="219" t="s">
        <v>144</v>
      </c>
      <c r="D30" s="220">
        <f>VLOOKUP(B30,[13]AssetDetails_UEM!$A$3:$X$1848,22,FALSE)</f>
        <v>10825</v>
      </c>
      <c r="E30" s="218" t="s">
        <v>1316</v>
      </c>
      <c r="F30" s="218" t="s">
        <v>743</v>
      </c>
      <c r="G30" s="218" t="s">
        <v>1611</v>
      </c>
      <c r="H30" s="218" t="s">
        <v>825</v>
      </c>
      <c r="I30" s="252" t="s">
        <v>238</v>
      </c>
      <c r="J30" s="253" t="s">
        <v>139</v>
      </c>
      <c r="K30" s="254">
        <f t="shared" si="0"/>
        <v>30</v>
      </c>
      <c r="L30" s="255">
        <f t="shared" si="1"/>
        <v>0</v>
      </c>
      <c r="M30" s="219" t="s">
        <v>1757</v>
      </c>
      <c r="N30" s="268"/>
    </row>
    <row r="31" spans="1:14" s="187" customFormat="1" ht="180">
      <c r="A31" s="218">
        <v>10</v>
      </c>
      <c r="B31" s="218" t="s">
        <v>688</v>
      </c>
      <c r="C31" s="219" t="s">
        <v>257</v>
      </c>
      <c r="D31" s="220">
        <f>VLOOKUP(B31,[13]AssetDetails_UEM!$A$3:$X$1848,22,FALSE)</f>
        <v>11120</v>
      </c>
      <c r="E31" s="218" t="s">
        <v>1317</v>
      </c>
      <c r="F31" s="218" t="s">
        <v>735</v>
      </c>
      <c r="G31" s="218" t="s">
        <v>1612</v>
      </c>
      <c r="H31" s="218" t="s">
        <v>1635</v>
      </c>
      <c r="I31" s="252" t="s">
        <v>238</v>
      </c>
      <c r="J31" s="253" t="s">
        <v>139</v>
      </c>
      <c r="K31" s="254">
        <f t="shared" si="0"/>
        <v>30</v>
      </c>
      <c r="L31" s="255">
        <f t="shared" si="1"/>
        <v>0</v>
      </c>
      <c r="M31" s="219" t="s">
        <v>1752</v>
      </c>
      <c r="N31" s="268"/>
    </row>
    <row r="32" spans="1:14" s="187" customFormat="1" ht="108">
      <c r="A32" s="218">
        <v>11</v>
      </c>
      <c r="B32" s="218" t="s">
        <v>1047</v>
      </c>
      <c r="C32" s="219" t="s">
        <v>1280</v>
      </c>
      <c r="D32" s="220">
        <f>VLOOKUP(B32,[13]AssetDetails_UEM!$A$3:$X$1848,22,FALSE)</f>
        <v>4000</v>
      </c>
      <c r="E32" s="218" t="s">
        <v>1318</v>
      </c>
      <c r="F32" s="218" t="s">
        <v>1562</v>
      </c>
      <c r="G32" s="218" t="s">
        <v>1611</v>
      </c>
      <c r="H32" s="218" t="s">
        <v>1636</v>
      </c>
      <c r="I32" s="252" t="s">
        <v>238</v>
      </c>
      <c r="J32" s="253" t="s">
        <v>139</v>
      </c>
      <c r="K32" s="254">
        <f t="shared" si="0"/>
        <v>10</v>
      </c>
      <c r="L32" s="255">
        <f t="shared" si="1"/>
        <v>0</v>
      </c>
      <c r="M32" s="219" t="s">
        <v>1758</v>
      </c>
      <c r="N32" s="268"/>
    </row>
    <row r="33" spans="1:14" s="187" customFormat="1" ht="143.1" customHeight="1">
      <c r="A33" s="218">
        <v>12</v>
      </c>
      <c r="B33" s="218" t="s">
        <v>1048</v>
      </c>
      <c r="C33" s="219" t="s">
        <v>245</v>
      </c>
      <c r="D33" s="221">
        <f>VLOOKUP(B33,[13]AssetDetails_UEM!$A$3:$X$1848,22,FALSE)</f>
        <v>5052</v>
      </c>
      <c r="E33" s="218" t="s">
        <v>1319</v>
      </c>
      <c r="F33" s="218" t="s">
        <v>1563</v>
      </c>
      <c r="G33" s="218" t="s">
        <v>1611</v>
      </c>
      <c r="H33" s="218" t="s">
        <v>1637</v>
      </c>
      <c r="I33" s="252" t="s">
        <v>238</v>
      </c>
      <c r="J33" s="253" t="s">
        <v>139</v>
      </c>
      <c r="K33" s="254">
        <f t="shared" si="0"/>
        <v>20</v>
      </c>
      <c r="L33" s="255">
        <f t="shared" si="1"/>
        <v>0</v>
      </c>
      <c r="M33" s="219" t="s">
        <v>1759</v>
      </c>
      <c r="N33" s="268"/>
    </row>
    <row r="34" spans="1:14" s="187" customFormat="1" ht="144">
      <c r="A34" s="218">
        <v>13</v>
      </c>
      <c r="B34" s="218" t="s">
        <v>1049</v>
      </c>
      <c r="C34" s="219" t="s">
        <v>1275</v>
      </c>
      <c r="D34" s="220">
        <f>VLOOKUP(B34,[13]AssetDetails_UEM!$A$3:$X$1848,22,FALSE)</f>
        <v>24060</v>
      </c>
      <c r="E34" s="218" t="s">
        <v>1320</v>
      </c>
      <c r="F34" s="218" t="s">
        <v>1564</v>
      </c>
      <c r="G34" s="218" t="s">
        <v>1611</v>
      </c>
      <c r="H34" s="218" t="s">
        <v>1638</v>
      </c>
      <c r="I34" s="252" t="s">
        <v>238</v>
      </c>
      <c r="J34" s="253" t="s">
        <v>139</v>
      </c>
      <c r="K34" s="254">
        <f t="shared" si="0"/>
        <v>50</v>
      </c>
      <c r="L34" s="255">
        <f t="shared" si="1"/>
        <v>0</v>
      </c>
      <c r="M34" s="219" t="s">
        <v>1760</v>
      </c>
      <c r="N34" s="268"/>
    </row>
    <row r="35" spans="1:14" s="187" customFormat="1" ht="144">
      <c r="A35" s="218">
        <v>14</v>
      </c>
      <c r="B35" s="218" t="s">
        <v>1050</v>
      </c>
      <c r="C35" s="219" t="s">
        <v>1275</v>
      </c>
      <c r="D35" s="220">
        <f>VLOOKUP(B35,[13]AssetDetails_UEM!$A$3:$X$1848,22,FALSE)</f>
        <v>24060</v>
      </c>
      <c r="E35" s="218" t="s">
        <v>1321</v>
      </c>
      <c r="F35" s="218" t="s">
        <v>264</v>
      </c>
      <c r="G35" s="218" t="s">
        <v>1611</v>
      </c>
      <c r="H35" s="218" t="s">
        <v>1639</v>
      </c>
      <c r="I35" s="252" t="s">
        <v>238</v>
      </c>
      <c r="J35" s="253" t="s">
        <v>139</v>
      </c>
      <c r="K35" s="254">
        <f t="shared" si="0"/>
        <v>50</v>
      </c>
      <c r="L35" s="255">
        <f t="shared" si="1"/>
        <v>0</v>
      </c>
      <c r="M35" s="219" t="s">
        <v>1760</v>
      </c>
      <c r="N35" s="268"/>
    </row>
    <row r="36" spans="1:14" s="187" customFormat="1" ht="141.94999999999999" customHeight="1">
      <c r="A36" s="218">
        <v>15</v>
      </c>
      <c r="B36" s="218" t="s">
        <v>1051</v>
      </c>
      <c r="C36" s="219" t="s">
        <v>1275</v>
      </c>
      <c r="D36" s="220">
        <f>VLOOKUP(B36,[13]AssetDetails_UEM!$A$3:$X$1848,22,FALSE)</f>
        <v>24060</v>
      </c>
      <c r="E36" s="218" t="s">
        <v>1322</v>
      </c>
      <c r="F36" s="218" t="s">
        <v>1559</v>
      </c>
      <c r="G36" s="218" t="s">
        <v>1611</v>
      </c>
      <c r="H36" s="218" t="s">
        <v>781</v>
      </c>
      <c r="I36" s="252" t="s">
        <v>238</v>
      </c>
      <c r="J36" s="253" t="s">
        <v>139</v>
      </c>
      <c r="K36" s="254">
        <f t="shared" si="0"/>
        <v>50</v>
      </c>
      <c r="L36" s="255">
        <f t="shared" si="1"/>
        <v>0</v>
      </c>
      <c r="M36" s="219" t="s">
        <v>1760</v>
      </c>
      <c r="N36" s="268"/>
    </row>
    <row r="37" spans="1:14" s="187" customFormat="1" ht="180">
      <c r="A37" s="218">
        <v>16</v>
      </c>
      <c r="B37" s="218" t="s">
        <v>1052</v>
      </c>
      <c r="C37" s="219" t="s">
        <v>1276</v>
      </c>
      <c r="D37" s="220">
        <f>VLOOKUP(B37,[13]AssetDetails_UEM!$A$3:$X$1848,22,FALSE)</f>
        <v>5170</v>
      </c>
      <c r="E37" s="218" t="s">
        <v>1323</v>
      </c>
      <c r="F37" s="218" t="s">
        <v>1559</v>
      </c>
      <c r="G37" s="218" t="s">
        <v>1611</v>
      </c>
      <c r="H37" s="218" t="s">
        <v>1640</v>
      </c>
      <c r="I37" s="252" t="s">
        <v>238</v>
      </c>
      <c r="J37" s="253" t="s">
        <v>139</v>
      </c>
      <c r="K37" s="254">
        <f t="shared" si="0"/>
        <v>20</v>
      </c>
      <c r="L37" s="255">
        <f t="shared" si="1"/>
        <v>0</v>
      </c>
      <c r="M37" s="219" t="s">
        <v>1760</v>
      </c>
      <c r="N37" s="268"/>
    </row>
    <row r="38" spans="1:14" s="187" customFormat="1" ht="180">
      <c r="A38" s="218">
        <v>17</v>
      </c>
      <c r="B38" s="218" t="s">
        <v>1053</v>
      </c>
      <c r="C38" s="219" t="s">
        <v>1276</v>
      </c>
      <c r="D38" s="220">
        <f>VLOOKUP(B38,[13]AssetDetails_UEM!$A$3:$X$1848,22,FALSE)</f>
        <v>5170</v>
      </c>
      <c r="E38" s="218" t="s">
        <v>1324</v>
      </c>
      <c r="F38" s="218" t="s">
        <v>1559</v>
      </c>
      <c r="G38" s="218" t="s">
        <v>1611</v>
      </c>
      <c r="H38" s="218" t="s">
        <v>1641</v>
      </c>
      <c r="I38" s="252" t="s">
        <v>238</v>
      </c>
      <c r="J38" s="253" t="s">
        <v>139</v>
      </c>
      <c r="K38" s="254">
        <f t="shared" si="0"/>
        <v>20</v>
      </c>
      <c r="L38" s="255">
        <f t="shared" si="1"/>
        <v>0</v>
      </c>
      <c r="M38" s="219" t="s">
        <v>1760</v>
      </c>
      <c r="N38" s="268"/>
    </row>
    <row r="39" spans="1:14" s="187" customFormat="1" ht="147" customHeight="1">
      <c r="A39" s="218">
        <v>18</v>
      </c>
      <c r="B39" s="218" t="s">
        <v>1054</v>
      </c>
      <c r="C39" s="219" t="s">
        <v>1281</v>
      </c>
      <c r="D39" s="220">
        <f>VLOOKUP(B39,[13]AssetDetails_UEM!$A$3:$X$1848,22,FALSE)</f>
        <v>5490</v>
      </c>
      <c r="E39" s="218" t="s">
        <v>1325</v>
      </c>
      <c r="F39" s="218" t="s">
        <v>1565</v>
      </c>
      <c r="G39" s="218" t="s">
        <v>1611</v>
      </c>
      <c r="H39" s="218" t="s">
        <v>1637</v>
      </c>
      <c r="I39" s="252" t="s">
        <v>238</v>
      </c>
      <c r="J39" s="253" t="s">
        <v>139</v>
      </c>
      <c r="K39" s="254">
        <f t="shared" si="0"/>
        <v>20</v>
      </c>
      <c r="L39" s="255">
        <f t="shared" si="1"/>
        <v>0</v>
      </c>
      <c r="M39" s="219" t="s">
        <v>1761</v>
      </c>
      <c r="N39" s="268"/>
    </row>
    <row r="40" spans="1:14" s="187" customFormat="1" ht="114" customHeight="1">
      <c r="A40" s="218">
        <v>19</v>
      </c>
      <c r="B40" s="218" t="s">
        <v>1055</v>
      </c>
      <c r="C40" s="219" t="s">
        <v>1281</v>
      </c>
      <c r="D40" s="220">
        <f>VLOOKUP(B40,[13]AssetDetails_UEM!$A$3:$X$1848,22,FALSE)</f>
        <v>1560</v>
      </c>
      <c r="E40" s="218" t="s">
        <v>1326</v>
      </c>
      <c r="F40" s="218" t="s">
        <v>1565</v>
      </c>
      <c r="G40" s="218" t="s">
        <v>1611</v>
      </c>
      <c r="H40" s="218" t="s">
        <v>1642</v>
      </c>
      <c r="I40" s="252" t="s">
        <v>238</v>
      </c>
      <c r="J40" s="253" t="s">
        <v>139</v>
      </c>
      <c r="K40" s="254">
        <f t="shared" si="0"/>
        <v>10</v>
      </c>
      <c r="L40" s="255">
        <f t="shared" si="1"/>
        <v>0</v>
      </c>
      <c r="M40" s="219" t="s">
        <v>1762</v>
      </c>
      <c r="N40" s="268"/>
    </row>
    <row r="41" spans="1:14" s="187" customFormat="1" ht="137.1" customHeight="1">
      <c r="A41" s="218">
        <v>20</v>
      </c>
      <c r="B41" s="218" t="s">
        <v>1056</v>
      </c>
      <c r="C41" s="219" t="s">
        <v>1281</v>
      </c>
      <c r="D41" s="221">
        <f>VLOOKUP(B41,[13]AssetDetails_UEM!$A$3:$X$1848,22,FALSE)</f>
        <v>1560</v>
      </c>
      <c r="E41" s="218" t="s">
        <v>1327</v>
      </c>
      <c r="F41" s="218" t="s">
        <v>1566</v>
      </c>
      <c r="G41" s="218" t="s">
        <v>1611</v>
      </c>
      <c r="H41" s="218" t="s">
        <v>1643</v>
      </c>
      <c r="I41" s="252" t="s">
        <v>238</v>
      </c>
      <c r="J41" s="253" t="s">
        <v>139</v>
      </c>
      <c r="K41" s="254">
        <f t="shared" si="0"/>
        <v>10</v>
      </c>
      <c r="L41" s="255">
        <f t="shared" si="1"/>
        <v>0</v>
      </c>
      <c r="M41" s="219" t="s">
        <v>1763</v>
      </c>
      <c r="N41" s="268"/>
    </row>
    <row r="42" spans="1:14" s="187" customFormat="1" ht="137.1" customHeight="1">
      <c r="A42" s="218">
        <v>21</v>
      </c>
      <c r="B42" s="218" t="s">
        <v>1057</v>
      </c>
      <c r="C42" s="219" t="s">
        <v>240</v>
      </c>
      <c r="D42" s="220">
        <f>VLOOKUP(B42,[13]AssetDetails_UEM!$A$3:$X$1848,22,FALSE)</f>
        <v>4510</v>
      </c>
      <c r="E42" s="218" t="s">
        <v>1328</v>
      </c>
      <c r="F42" s="218" t="s">
        <v>1567</v>
      </c>
      <c r="G42" s="218" t="s">
        <v>1611</v>
      </c>
      <c r="H42" s="218" t="s">
        <v>1637</v>
      </c>
      <c r="I42" s="252" t="s">
        <v>238</v>
      </c>
      <c r="J42" s="253" t="s">
        <v>139</v>
      </c>
      <c r="K42" s="254">
        <f t="shared" si="0"/>
        <v>10</v>
      </c>
      <c r="L42" s="255">
        <f t="shared" si="1"/>
        <v>0</v>
      </c>
      <c r="M42" s="219" t="s">
        <v>1801</v>
      </c>
      <c r="N42" s="268"/>
    </row>
    <row r="43" spans="1:14" s="187" customFormat="1" ht="133.5" customHeight="1">
      <c r="A43" s="218">
        <v>22</v>
      </c>
      <c r="B43" s="218" t="s">
        <v>1058</v>
      </c>
      <c r="C43" s="219" t="s">
        <v>1280</v>
      </c>
      <c r="D43" s="220">
        <f>VLOOKUP(B43,[13]AssetDetails_UEM!$A$3:$X$1848,22,FALSE)</f>
        <v>5500</v>
      </c>
      <c r="E43" s="218" t="s">
        <v>1329</v>
      </c>
      <c r="F43" s="218" t="s">
        <v>285</v>
      </c>
      <c r="G43" s="218" t="s">
        <v>1611</v>
      </c>
      <c r="H43" s="218" t="s">
        <v>1644</v>
      </c>
      <c r="I43" s="252" t="s">
        <v>238</v>
      </c>
      <c r="J43" s="253" t="s">
        <v>139</v>
      </c>
      <c r="K43" s="254">
        <f t="shared" si="0"/>
        <v>20</v>
      </c>
      <c r="L43" s="255">
        <f t="shared" si="1"/>
        <v>0</v>
      </c>
      <c r="M43" s="219" t="s">
        <v>1764</v>
      </c>
      <c r="N43" s="268"/>
    </row>
    <row r="44" spans="1:14" s="187" customFormat="1" ht="171.95" customHeight="1">
      <c r="A44" s="218">
        <v>23</v>
      </c>
      <c r="B44" s="218" t="s">
        <v>1059</v>
      </c>
      <c r="C44" s="219" t="s">
        <v>242</v>
      </c>
      <c r="D44" s="220">
        <f>VLOOKUP(B44,[13]AssetDetails_UEM!$A$3:$X$1848,22,FALSE)</f>
        <v>119690</v>
      </c>
      <c r="E44" s="218" t="s">
        <v>1330</v>
      </c>
      <c r="F44" s="218" t="s">
        <v>1568</v>
      </c>
      <c r="G44" s="218" t="s">
        <v>1611</v>
      </c>
      <c r="H44" s="218" t="s">
        <v>1645</v>
      </c>
      <c r="I44" s="252" t="s">
        <v>238</v>
      </c>
      <c r="J44" s="253" t="s">
        <v>139</v>
      </c>
      <c r="K44" s="254">
        <f t="shared" si="0"/>
        <v>240</v>
      </c>
      <c r="L44" s="255">
        <f t="shared" si="1"/>
        <v>0</v>
      </c>
      <c r="M44" s="219" t="s">
        <v>1765</v>
      </c>
      <c r="N44" s="268"/>
    </row>
    <row r="45" spans="1:14" s="187" customFormat="1" ht="244.5" customHeight="1">
      <c r="A45" s="218">
        <v>24</v>
      </c>
      <c r="B45" s="218" t="s">
        <v>1060</v>
      </c>
      <c r="C45" s="219" t="s">
        <v>242</v>
      </c>
      <c r="D45" s="220">
        <f>VLOOKUP(B45,[13]AssetDetails_UEM!$A$3:$X$1848,22,FALSE)</f>
        <v>119690</v>
      </c>
      <c r="E45" s="218" t="s">
        <v>1331</v>
      </c>
      <c r="F45" s="218" t="s">
        <v>762</v>
      </c>
      <c r="G45" s="218" t="s">
        <v>1611</v>
      </c>
      <c r="H45" s="218" t="s">
        <v>1646</v>
      </c>
      <c r="I45" s="252" t="s">
        <v>238</v>
      </c>
      <c r="J45" s="253" t="s">
        <v>139</v>
      </c>
      <c r="K45" s="254">
        <f t="shared" si="0"/>
        <v>240</v>
      </c>
      <c r="L45" s="255">
        <f t="shared" si="1"/>
        <v>0</v>
      </c>
      <c r="M45" s="219" t="s">
        <v>1773</v>
      </c>
      <c r="N45" s="268"/>
    </row>
    <row r="46" spans="1:14" s="187" customFormat="1" ht="104.25" customHeight="1">
      <c r="A46" s="218">
        <v>25</v>
      </c>
      <c r="B46" s="218" t="s">
        <v>1061</v>
      </c>
      <c r="C46" s="219" t="s">
        <v>1281</v>
      </c>
      <c r="D46" s="220">
        <f>VLOOKUP(B46,[13]AssetDetails_UEM!$A$3:$X$1848,22,FALSE)</f>
        <v>660</v>
      </c>
      <c r="E46" s="218" t="s">
        <v>1332</v>
      </c>
      <c r="F46" s="218" t="s">
        <v>1569</v>
      </c>
      <c r="G46" s="218" t="s">
        <v>1611</v>
      </c>
      <c r="H46" s="218" t="s">
        <v>1647</v>
      </c>
      <c r="I46" s="252" t="s">
        <v>238</v>
      </c>
      <c r="J46" s="253" t="s">
        <v>139</v>
      </c>
      <c r="K46" s="254">
        <f t="shared" si="0"/>
        <v>10</v>
      </c>
      <c r="L46" s="255">
        <f t="shared" si="1"/>
        <v>0</v>
      </c>
      <c r="M46" s="219" t="s">
        <v>1766</v>
      </c>
      <c r="N46" s="268"/>
    </row>
    <row r="47" spans="1:14" s="187" customFormat="1" ht="171" customHeight="1">
      <c r="A47" s="218">
        <v>26</v>
      </c>
      <c r="B47" s="218" t="s">
        <v>1062</v>
      </c>
      <c r="C47" s="219" t="s">
        <v>1281</v>
      </c>
      <c r="D47" s="220">
        <f>VLOOKUP(B47,[13]AssetDetails_UEM!$A$3:$X$1848,22,FALSE)</f>
        <v>660</v>
      </c>
      <c r="E47" s="218" t="s">
        <v>1333</v>
      </c>
      <c r="F47" s="218" t="s">
        <v>1569</v>
      </c>
      <c r="G47" s="218" t="s">
        <v>1611</v>
      </c>
      <c r="H47" s="218" t="s">
        <v>1642</v>
      </c>
      <c r="I47" s="252" t="s">
        <v>238</v>
      </c>
      <c r="J47" s="253" t="s">
        <v>139</v>
      </c>
      <c r="K47" s="254">
        <f t="shared" si="0"/>
        <v>10</v>
      </c>
      <c r="L47" s="255">
        <f t="shared" si="1"/>
        <v>0</v>
      </c>
      <c r="M47" s="219" t="s">
        <v>1763</v>
      </c>
      <c r="N47" s="268"/>
    </row>
    <row r="48" spans="1:14" s="187" customFormat="1" ht="147" customHeight="1">
      <c r="A48" s="218">
        <v>27</v>
      </c>
      <c r="B48" s="218" t="s">
        <v>1063</v>
      </c>
      <c r="C48" s="219" t="s">
        <v>1282</v>
      </c>
      <c r="D48" s="220">
        <f>VLOOKUP(B48,[13]AssetDetails_UEM!$A$3:$X$1848,22,FALSE)</f>
        <v>3515</v>
      </c>
      <c r="E48" s="218" t="s">
        <v>1334</v>
      </c>
      <c r="F48" s="218" t="s">
        <v>1570</v>
      </c>
      <c r="G48" s="218" t="s">
        <v>1611</v>
      </c>
      <c r="H48" s="238">
        <v>46114.645833333336</v>
      </c>
      <c r="I48" s="252" t="s">
        <v>238</v>
      </c>
      <c r="J48" s="253" t="s">
        <v>139</v>
      </c>
      <c r="K48" s="254">
        <f t="shared" si="0"/>
        <v>10</v>
      </c>
      <c r="L48" s="255">
        <f t="shared" si="1"/>
        <v>0</v>
      </c>
      <c r="M48" s="219" t="s">
        <v>1763</v>
      </c>
      <c r="N48" s="268"/>
    </row>
    <row r="49" spans="1:14" s="187" customFormat="1" ht="144">
      <c r="A49" s="218">
        <v>28</v>
      </c>
      <c r="B49" s="218" t="s">
        <v>1064</v>
      </c>
      <c r="C49" s="219" t="s">
        <v>1283</v>
      </c>
      <c r="D49" s="220">
        <f>VLOOKUP(B49,[13]AssetDetails_UEM!$A$3:$X$1848,22,FALSE)</f>
        <v>3500</v>
      </c>
      <c r="E49" s="218" t="s">
        <v>1335</v>
      </c>
      <c r="F49" s="218" t="s">
        <v>1571</v>
      </c>
      <c r="G49" s="218" t="s">
        <v>1611</v>
      </c>
      <c r="H49" s="218" t="s">
        <v>823</v>
      </c>
      <c r="I49" s="252" t="s">
        <v>238</v>
      </c>
      <c r="J49" s="253" t="s">
        <v>139</v>
      </c>
      <c r="K49" s="254">
        <f t="shared" si="0"/>
        <v>10</v>
      </c>
      <c r="L49" s="255">
        <f t="shared" si="1"/>
        <v>0</v>
      </c>
      <c r="M49" s="219" t="s">
        <v>1763</v>
      </c>
      <c r="N49" s="268"/>
    </row>
    <row r="50" spans="1:14" s="187" customFormat="1" ht="126.95" customHeight="1">
      <c r="A50" s="218">
        <v>29</v>
      </c>
      <c r="B50" s="218" t="s">
        <v>1065</v>
      </c>
      <c r="C50" s="219" t="s">
        <v>1281</v>
      </c>
      <c r="D50" s="220">
        <f>VLOOKUP(B50,[13]AssetDetails_UEM!$A$3:$X$1848,22,FALSE)</f>
        <v>5490</v>
      </c>
      <c r="E50" s="218" t="s">
        <v>1336</v>
      </c>
      <c r="F50" s="218" t="s">
        <v>1572</v>
      </c>
      <c r="G50" s="218" t="s">
        <v>1611</v>
      </c>
      <c r="H50" s="218" t="s">
        <v>1648</v>
      </c>
      <c r="I50" s="252" t="s">
        <v>238</v>
      </c>
      <c r="J50" s="253" t="s">
        <v>139</v>
      </c>
      <c r="K50" s="254">
        <f t="shared" si="0"/>
        <v>20</v>
      </c>
      <c r="L50" s="255">
        <f t="shared" si="1"/>
        <v>0</v>
      </c>
      <c r="M50" s="219" t="s">
        <v>1763</v>
      </c>
      <c r="N50" s="268"/>
    </row>
    <row r="51" spans="1:14" s="187" customFormat="1" ht="132" customHeight="1">
      <c r="A51" s="218">
        <v>30</v>
      </c>
      <c r="B51" s="218" t="s">
        <v>1066</v>
      </c>
      <c r="C51" s="219" t="s">
        <v>1281</v>
      </c>
      <c r="D51" s="220">
        <f>VLOOKUP(B51,[13]AssetDetails_UEM!$A$3:$X$1848,22,FALSE)</f>
        <v>3380</v>
      </c>
      <c r="E51" s="218" t="s">
        <v>1337</v>
      </c>
      <c r="F51" s="218" t="s">
        <v>1573</v>
      </c>
      <c r="G51" s="218" t="s">
        <v>1611</v>
      </c>
      <c r="H51" s="218" t="s">
        <v>1643</v>
      </c>
      <c r="I51" s="252" t="s">
        <v>238</v>
      </c>
      <c r="J51" s="253" t="s">
        <v>139</v>
      </c>
      <c r="K51" s="254">
        <f t="shared" si="0"/>
        <v>10</v>
      </c>
      <c r="L51" s="255">
        <f t="shared" si="1"/>
        <v>0</v>
      </c>
      <c r="M51" s="219" t="s">
        <v>1763</v>
      </c>
      <c r="N51" s="268"/>
    </row>
    <row r="52" spans="1:14" s="187" customFormat="1" ht="288">
      <c r="A52" s="218">
        <v>31</v>
      </c>
      <c r="B52" s="218" t="s">
        <v>1067</v>
      </c>
      <c r="C52" s="219" t="s">
        <v>1281</v>
      </c>
      <c r="D52" s="220">
        <f>VLOOKUP(B52,[13]AssetDetails_UEM!$A$3:$X$1848,22,FALSE)</f>
        <v>1500</v>
      </c>
      <c r="E52" s="218" t="s">
        <v>1338</v>
      </c>
      <c r="F52" s="218" t="s">
        <v>1568</v>
      </c>
      <c r="G52" s="218" t="s">
        <v>1611</v>
      </c>
      <c r="H52" s="218" t="s">
        <v>1636</v>
      </c>
      <c r="I52" s="252" t="s">
        <v>238</v>
      </c>
      <c r="J52" s="253" t="s">
        <v>139</v>
      </c>
      <c r="K52" s="254">
        <f t="shared" si="0"/>
        <v>10</v>
      </c>
      <c r="L52" s="255">
        <f t="shared" si="1"/>
        <v>0</v>
      </c>
      <c r="M52" s="219" t="s">
        <v>1767</v>
      </c>
      <c r="N52" s="268"/>
    </row>
    <row r="53" spans="1:14" s="187" customFormat="1" ht="135" customHeight="1">
      <c r="A53" s="218">
        <v>32</v>
      </c>
      <c r="B53" s="218" t="s">
        <v>1068</v>
      </c>
      <c r="C53" s="219" t="s">
        <v>1282</v>
      </c>
      <c r="D53" s="220">
        <f>VLOOKUP(B53,[13]AssetDetails_UEM!$A$3:$X$1848,22,FALSE)</f>
        <v>3300</v>
      </c>
      <c r="E53" s="218" t="s">
        <v>1339</v>
      </c>
      <c r="F53" s="218" t="s">
        <v>1574</v>
      </c>
      <c r="G53" s="218" t="s">
        <v>1611</v>
      </c>
      <c r="H53" s="238">
        <v>46114.6875</v>
      </c>
      <c r="I53" s="252" t="s">
        <v>238</v>
      </c>
      <c r="J53" s="253" t="s">
        <v>139</v>
      </c>
      <c r="K53" s="254">
        <f t="shared" si="0"/>
        <v>10</v>
      </c>
      <c r="L53" s="255">
        <f t="shared" si="1"/>
        <v>0</v>
      </c>
      <c r="M53" s="219" t="s">
        <v>1891</v>
      </c>
      <c r="N53" s="268"/>
    </row>
    <row r="54" spans="1:14" s="187" customFormat="1" ht="180">
      <c r="A54" s="218">
        <v>33</v>
      </c>
      <c r="B54" s="218" t="s">
        <v>1069</v>
      </c>
      <c r="C54" s="219" t="s">
        <v>1280</v>
      </c>
      <c r="D54" s="220">
        <f>VLOOKUP(B54,[13]AssetDetails_UEM!$A$3:$X$1848,22,FALSE)</f>
        <v>6617</v>
      </c>
      <c r="E54" s="218" t="s">
        <v>1340</v>
      </c>
      <c r="F54" s="218" t="s">
        <v>305</v>
      </c>
      <c r="G54" s="218" t="s">
        <v>1611</v>
      </c>
      <c r="H54" s="218" t="s">
        <v>1649</v>
      </c>
      <c r="I54" s="252" t="s">
        <v>238</v>
      </c>
      <c r="J54" s="253" t="s">
        <v>139</v>
      </c>
      <c r="K54" s="254">
        <f t="shared" si="0"/>
        <v>20</v>
      </c>
      <c r="L54" s="255">
        <f t="shared" si="1"/>
        <v>0</v>
      </c>
      <c r="M54" s="219" t="s">
        <v>1768</v>
      </c>
      <c r="N54" s="268"/>
    </row>
    <row r="55" spans="1:14" s="187" customFormat="1" ht="144">
      <c r="A55" s="218">
        <v>34</v>
      </c>
      <c r="B55" s="218" t="s">
        <v>1070</v>
      </c>
      <c r="C55" s="219" t="s">
        <v>1281</v>
      </c>
      <c r="D55" s="220">
        <f>VLOOKUP(B55,[13]AssetDetails_UEM!$A$3:$X$1848,22,FALSE)</f>
        <v>3850</v>
      </c>
      <c r="E55" s="218" t="s">
        <v>1341</v>
      </c>
      <c r="F55" s="218" t="s">
        <v>1575</v>
      </c>
      <c r="G55" s="218" t="s">
        <v>1611</v>
      </c>
      <c r="H55" s="218" t="s">
        <v>1650</v>
      </c>
      <c r="I55" s="252" t="s">
        <v>238</v>
      </c>
      <c r="J55" s="253" t="s">
        <v>139</v>
      </c>
      <c r="K55" s="254">
        <f t="shared" si="0"/>
        <v>10</v>
      </c>
      <c r="L55" s="255">
        <f t="shared" si="1"/>
        <v>0</v>
      </c>
      <c r="M55" s="219" t="s">
        <v>1763</v>
      </c>
      <c r="N55" s="268"/>
    </row>
    <row r="56" spans="1:14" s="187" customFormat="1" ht="108">
      <c r="A56" s="218">
        <v>35</v>
      </c>
      <c r="B56" s="218" t="s">
        <v>1071</v>
      </c>
      <c r="C56" s="219" t="s">
        <v>1284</v>
      </c>
      <c r="D56" s="220">
        <f>VLOOKUP(B56,[13]AssetDetails_UEM!$A$3:$X$1848,22,FALSE)</f>
        <v>16800</v>
      </c>
      <c r="E56" s="218" t="s">
        <v>1342</v>
      </c>
      <c r="F56" s="218" t="s">
        <v>1576</v>
      </c>
      <c r="G56" s="218" t="s">
        <v>1611</v>
      </c>
      <c r="H56" s="218" t="s">
        <v>1651</v>
      </c>
      <c r="I56" s="252" t="s">
        <v>238</v>
      </c>
      <c r="J56" s="253" t="s">
        <v>139</v>
      </c>
      <c r="K56" s="254">
        <f t="shared" si="0"/>
        <v>40</v>
      </c>
      <c r="L56" s="255">
        <f t="shared" si="1"/>
        <v>0</v>
      </c>
      <c r="M56" s="219" t="s">
        <v>1769</v>
      </c>
      <c r="N56" s="268"/>
    </row>
    <row r="57" spans="1:14" s="187" customFormat="1" ht="168" customHeight="1">
      <c r="A57" s="218">
        <v>36</v>
      </c>
      <c r="B57" s="218" t="s">
        <v>1072</v>
      </c>
      <c r="C57" s="219" t="s">
        <v>1279</v>
      </c>
      <c r="D57" s="220">
        <f>VLOOKUP(B57,[13]AssetDetails_UEM!$A$3:$X$1848,22,FALSE)</f>
        <v>10585</v>
      </c>
      <c r="E57" s="218" t="s">
        <v>1343</v>
      </c>
      <c r="F57" s="218" t="s">
        <v>1577</v>
      </c>
      <c r="G57" s="218" t="s">
        <v>1611</v>
      </c>
      <c r="H57" s="218" t="s">
        <v>1637</v>
      </c>
      <c r="I57" s="252" t="s">
        <v>238</v>
      </c>
      <c r="J57" s="253" t="s">
        <v>139</v>
      </c>
      <c r="K57" s="254">
        <f t="shared" si="0"/>
        <v>30</v>
      </c>
      <c r="L57" s="255">
        <f t="shared" si="1"/>
        <v>0</v>
      </c>
      <c r="M57" s="219" t="s">
        <v>1770</v>
      </c>
      <c r="N57" s="268"/>
    </row>
    <row r="58" spans="1:14" s="189" customFormat="1" ht="126" customHeight="1">
      <c r="A58" s="218">
        <v>37</v>
      </c>
      <c r="B58" s="218" t="s">
        <v>722</v>
      </c>
      <c r="C58" s="219" t="s">
        <v>558</v>
      </c>
      <c r="D58" s="222">
        <f>VLOOKUP(B58,[13]AssetDetails_UEM!$A$3:$X$1848,22,FALSE)</f>
        <v>4605710</v>
      </c>
      <c r="E58" s="218" t="s">
        <v>1344</v>
      </c>
      <c r="F58" s="218" t="s">
        <v>759</v>
      </c>
      <c r="G58" s="218" t="s">
        <v>1613</v>
      </c>
      <c r="H58" s="218" t="s">
        <v>1652</v>
      </c>
      <c r="I58" s="256" t="s">
        <v>238</v>
      </c>
      <c r="J58" s="257" t="s">
        <v>139</v>
      </c>
      <c r="K58" s="254">
        <f t="shared" si="0"/>
        <v>9220</v>
      </c>
      <c r="L58" s="259">
        <f t="shared" si="1"/>
        <v>0</v>
      </c>
      <c r="M58" s="219" t="s">
        <v>1771</v>
      </c>
      <c r="N58" s="270"/>
    </row>
    <row r="59" spans="1:14" s="187" customFormat="1" ht="142.5" customHeight="1">
      <c r="A59" s="218">
        <v>38</v>
      </c>
      <c r="B59" s="218" t="s">
        <v>1073</v>
      </c>
      <c r="C59" s="219" t="s">
        <v>1281</v>
      </c>
      <c r="D59" s="220">
        <f>VLOOKUP(B59,[13]AssetDetails_UEM!$A$3:$X$1848,22,FALSE)</f>
        <v>6260</v>
      </c>
      <c r="E59" s="218" t="s">
        <v>1345</v>
      </c>
      <c r="F59" s="218" t="s">
        <v>739</v>
      </c>
      <c r="G59" s="218" t="s">
        <v>1613</v>
      </c>
      <c r="H59" s="218" t="s">
        <v>591</v>
      </c>
      <c r="I59" s="252" t="s">
        <v>238</v>
      </c>
      <c r="J59" s="253" t="s">
        <v>139</v>
      </c>
      <c r="K59" s="254">
        <f t="shared" si="0"/>
        <v>20</v>
      </c>
      <c r="L59" s="255">
        <f t="shared" si="1"/>
        <v>0</v>
      </c>
      <c r="M59" s="219" t="s">
        <v>1772</v>
      </c>
      <c r="N59" s="268"/>
    </row>
    <row r="60" spans="1:14" s="187" customFormat="1" ht="192.95" customHeight="1">
      <c r="A60" s="218">
        <v>39</v>
      </c>
      <c r="B60" s="218" t="s">
        <v>1074</v>
      </c>
      <c r="C60" s="219" t="s">
        <v>1279</v>
      </c>
      <c r="D60" s="220">
        <f>VLOOKUP(B60,[13]AssetDetails_UEM!$A$3:$X$1848,22,FALSE)</f>
        <v>165550</v>
      </c>
      <c r="E60" s="218" t="s">
        <v>1346</v>
      </c>
      <c r="F60" s="218" t="s">
        <v>1578</v>
      </c>
      <c r="G60" s="218" t="s">
        <v>1613</v>
      </c>
      <c r="H60" s="218" t="s">
        <v>1652</v>
      </c>
      <c r="I60" s="252" t="s">
        <v>238</v>
      </c>
      <c r="J60" s="253" t="s">
        <v>139</v>
      </c>
      <c r="K60" s="254">
        <f t="shared" si="0"/>
        <v>340</v>
      </c>
      <c r="L60" s="255">
        <f t="shared" si="1"/>
        <v>0</v>
      </c>
      <c r="M60" s="219" t="s">
        <v>1773</v>
      </c>
      <c r="N60" s="268"/>
    </row>
    <row r="61" spans="1:14" s="187" customFormat="1" ht="216">
      <c r="A61" s="218">
        <v>40</v>
      </c>
      <c r="B61" s="218" t="s">
        <v>1075</v>
      </c>
      <c r="C61" s="219" t="s">
        <v>1279</v>
      </c>
      <c r="D61" s="220">
        <f>VLOOKUP(B61,[13]AssetDetails_UEM!$A$3:$X$1848,22,FALSE)</f>
        <v>165550</v>
      </c>
      <c r="E61" s="218" t="s">
        <v>1347</v>
      </c>
      <c r="F61" s="218" t="s">
        <v>1579</v>
      </c>
      <c r="G61" s="218" t="s">
        <v>1613</v>
      </c>
      <c r="H61" s="218" t="s">
        <v>592</v>
      </c>
      <c r="I61" s="252" t="s">
        <v>238</v>
      </c>
      <c r="J61" s="253" t="s">
        <v>139</v>
      </c>
      <c r="K61" s="254">
        <f t="shared" si="0"/>
        <v>340</v>
      </c>
      <c r="L61" s="255">
        <f t="shared" si="1"/>
        <v>0</v>
      </c>
      <c r="M61" s="219" t="s">
        <v>1773</v>
      </c>
      <c r="N61" s="268"/>
    </row>
    <row r="62" spans="1:14" s="187" customFormat="1" ht="214.5" customHeight="1">
      <c r="A62" s="218">
        <v>41</v>
      </c>
      <c r="B62" s="218" t="s">
        <v>1076</v>
      </c>
      <c r="C62" s="219" t="s">
        <v>1279</v>
      </c>
      <c r="D62" s="220">
        <f>VLOOKUP(B62,[13]AssetDetails_UEM!$A$3:$X$1848,22,FALSE)</f>
        <v>5050</v>
      </c>
      <c r="E62" s="218" t="s">
        <v>1348</v>
      </c>
      <c r="F62" s="218" t="s">
        <v>1580</v>
      </c>
      <c r="G62" s="218" t="s">
        <v>1613</v>
      </c>
      <c r="H62" s="218" t="s">
        <v>591</v>
      </c>
      <c r="I62" s="252" t="s">
        <v>238</v>
      </c>
      <c r="J62" s="253" t="s">
        <v>139</v>
      </c>
      <c r="K62" s="254">
        <f t="shared" si="0"/>
        <v>20</v>
      </c>
      <c r="L62" s="255">
        <f t="shared" si="1"/>
        <v>0</v>
      </c>
      <c r="M62" s="219" t="s">
        <v>1773</v>
      </c>
      <c r="N62" s="268"/>
    </row>
    <row r="63" spans="1:14" s="187" customFormat="1" ht="216">
      <c r="A63" s="218">
        <v>42</v>
      </c>
      <c r="B63" s="218" t="s">
        <v>1077</v>
      </c>
      <c r="C63" s="219" t="s">
        <v>1009</v>
      </c>
      <c r="D63" s="220">
        <f>VLOOKUP(B63,[13]AssetDetails_UEM!$A$3:$X$1848,22,FALSE)</f>
        <v>10225</v>
      </c>
      <c r="E63" s="218" t="s">
        <v>1349</v>
      </c>
      <c r="F63" s="218" t="s">
        <v>1579</v>
      </c>
      <c r="G63" s="218" t="s">
        <v>1613</v>
      </c>
      <c r="H63" s="218" t="s">
        <v>590</v>
      </c>
      <c r="I63" s="252" t="s">
        <v>238</v>
      </c>
      <c r="J63" s="253" t="s">
        <v>139</v>
      </c>
      <c r="K63" s="254">
        <f t="shared" si="0"/>
        <v>30</v>
      </c>
      <c r="L63" s="255">
        <f t="shared" si="1"/>
        <v>0</v>
      </c>
      <c r="M63" s="219" t="s">
        <v>1773</v>
      </c>
      <c r="N63" s="268"/>
    </row>
    <row r="64" spans="1:14" s="187" customFormat="1" ht="252">
      <c r="A64" s="218">
        <v>43</v>
      </c>
      <c r="B64" s="218" t="s">
        <v>1078</v>
      </c>
      <c r="C64" s="219" t="s">
        <v>1009</v>
      </c>
      <c r="D64" s="220">
        <f>VLOOKUP(B64,[13]AssetDetails_UEM!$A$3:$X$1848,22,FALSE)</f>
        <v>10225</v>
      </c>
      <c r="E64" s="218" t="s">
        <v>1350</v>
      </c>
      <c r="F64" s="218" t="s">
        <v>1579</v>
      </c>
      <c r="G64" s="218" t="s">
        <v>1613</v>
      </c>
      <c r="H64" s="218" t="s">
        <v>1653</v>
      </c>
      <c r="I64" s="252" t="s">
        <v>238</v>
      </c>
      <c r="J64" s="253" t="s">
        <v>139</v>
      </c>
      <c r="K64" s="254">
        <f t="shared" si="0"/>
        <v>30</v>
      </c>
      <c r="L64" s="255">
        <f t="shared" si="1"/>
        <v>0</v>
      </c>
      <c r="M64" s="219" t="s">
        <v>1756</v>
      </c>
      <c r="N64" s="268"/>
    </row>
    <row r="65" spans="1:14" s="187" customFormat="1" ht="198.75" customHeight="1">
      <c r="A65" s="218">
        <v>44</v>
      </c>
      <c r="B65" s="218" t="s">
        <v>1079</v>
      </c>
      <c r="C65" s="219" t="s">
        <v>1285</v>
      </c>
      <c r="D65" s="220">
        <f>VLOOKUP(B65,[13]AssetDetails_UEM!$A$3:$X$1848,22,FALSE)</f>
        <v>9622</v>
      </c>
      <c r="E65" s="218" t="s">
        <v>1351</v>
      </c>
      <c r="F65" s="218" t="s">
        <v>1579</v>
      </c>
      <c r="G65" s="218" t="s">
        <v>1613</v>
      </c>
      <c r="H65" s="218" t="s">
        <v>828</v>
      </c>
      <c r="I65" s="252" t="s">
        <v>238</v>
      </c>
      <c r="J65" s="253" t="s">
        <v>139</v>
      </c>
      <c r="K65" s="254">
        <f t="shared" si="0"/>
        <v>20</v>
      </c>
      <c r="L65" s="255">
        <f t="shared" si="1"/>
        <v>0</v>
      </c>
      <c r="M65" s="219" t="s">
        <v>1773</v>
      </c>
      <c r="N65" s="268"/>
    </row>
    <row r="66" spans="1:14" s="189" customFormat="1" ht="201" customHeight="1">
      <c r="A66" s="218">
        <v>45</v>
      </c>
      <c r="B66" s="218" t="s">
        <v>1080</v>
      </c>
      <c r="C66" s="219" t="s">
        <v>144</v>
      </c>
      <c r="D66" s="222">
        <f>VLOOKUP(B66,[13]AssetDetails_UEM!$A$3:$X$1848,22,FALSE)</f>
        <v>10825</v>
      </c>
      <c r="E66" s="218" t="s">
        <v>1352</v>
      </c>
      <c r="F66" s="218" t="s">
        <v>1579</v>
      </c>
      <c r="G66" s="218" t="s">
        <v>1613</v>
      </c>
      <c r="H66" s="218" t="s">
        <v>1654</v>
      </c>
      <c r="I66" s="256" t="s">
        <v>238</v>
      </c>
      <c r="J66" s="257" t="s">
        <v>139</v>
      </c>
      <c r="K66" s="254">
        <f t="shared" si="0"/>
        <v>30</v>
      </c>
      <c r="L66" s="259">
        <f t="shared" si="1"/>
        <v>0</v>
      </c>
      <c r="M66" s="219" t="s">
        <v>1773</v>
      </c>
      <c r="N66" s="270"/>
    </row>
    <row r="67" spans="1:14" s="187" customFormat="1" ht="144">
      <c r="A67" s="218">
        <v>46</v>
      </c>
      <c r="B67" s="218" t="s">
        <v>1081</v>
      </c>
      <c r="C67" s="219" t="s">
        <v>240</v>
      </c>
      <c r="D67" s="220">
        <f>VLOOKUP(B67,[13]AssetDetails_UEM!$A$3:$X$1848,22,FALSE)</f>
        <v>7770</v>
      </c>
      <c r="E67" s="218" t="s">
        <v>1353</v>
      </c>
      <c r="F67" s="218" t="s">
        <v>1567</v>
      </c>
      <c r="G67" s="218" t="s">
        <v>1613</v>
      </c>
      <c r="H67" s="218" t="s">
        <v>828</v>
      </c>
      <c r="I67" s="252" t="s">
        <v>238</v>
      </c>
      <c r="J67" s="253" t="s">
        <v>139</v>
      </c>
      <c r="K67" s="254">
        <f t="shared" si="0"/>
        <v>20</v>
      </c>
      <c r="L67" s="255">
        <f t="shared" si="1"/>
        <v>0</v>
      </c>
      <c r="M67" s="219" t="s">
        <v>1801</v>
      </c>
      <c r="N67" s="268"/>
    </row>
    <row r="68" spans="1:14" s="187" customFormat="1" ht="128.25" customHeight="1">
      <c r="A68" s="218">
        <v>47</v>
      </c>
      <c r="B68" s="218" t="s">
        <v>1082</v>
      </c>
      <c r="C68" s="219" t="s">
        <v>245</v>
      </c>
      <c r="D68" s="220">
        <f>VLOOKUP(B68,[13]AssetDetails_UEM!$A$3:$X$1848,22,FALSE)</f>
        <v>4900</v>
      </c>
      <c r="E68" s="218" t="s">
        <v>1354</v>
      </c>
      <c r="F68" s="218" t="s">
        <v>1581</v>
      </c>
      <c r="G68" s="218" t="s">
        <v>1613</v>
      </c>
      <c r="H68" s="238">
        <v>46115.625</v>
      </c>
      <c r="I68" s="252" t="s">
        <v>238</v>
      </c>
      <c r="J68" s="253" t="s">
        <v>139</v>
      </c>
      <c r="K68" s="254">
        <f t="shared" si="0"/>
        <v>10</v>
      </c>
      <c r="L68" s="255">
        <f t="shared" si="1"/>
        <v>0</v>
      </c>
      <c r="M68" s="219" t="s">
        <v>1960</v>
      </c>
      <c r="N68" s="268"/>
    </row>
    <row r="69" spans="1:14" s="189" customFormat="1" ht="108">
      <c r="A69" s="535">
        <v>48</v>
      </c>
      <c r="B69" s="535" t="s">
        <v>1083</v>
      </c>
      <c r="C69" s="269" t="s">
        <v>1286</v>
      </c>
      <c r="D69" s="222">
        <f>VLOOKUP(B69,[13]AssetDetails_UEM!$A$3:$X$1848,22,FALSE)</f>
        <v>7000</v>
      </c>
      <c r="E69" s="535" t="s">
        <v>1355</v>
      </c>
      <c r="F69" s="535" t="s">
        <v>1581</v>
      </c>
      <c r="G69" s="535" t="s">
        <v>1613</v>
      </c>
      <c r="H69" s="540">
        <v>46115.666666666664</v>
      </c>
      <c r="I69" s="256" t="s">
        <v>238</v>
      </c>
      <c r="J69" s="257" t="s">
        <v>139</v>
      </c>
      <c r="K69" s="258">
        <f t="shared" si="0"/>
        <v>20</v>
      </c>
      <c r="L69" s="259">
        <f t="shared" si="1"/>
        <v>0</v>
      </c>
      <c r="M69" s="269" t="s">
        <v>1961</v>
      </c>
      <c r="N69" s="270"/>
    </row>
    <row r="70" spans="1:14" s="187" customFormat="1" ht="108">
      <c r="A70" s="218">
        <v>49</v>
      </c>
      <c r="B70" s="218" t="s">
        <v>1084</v>
      </c>
      <c r="C70" s="219" t="s">
        <v>1279</v>
      </c>
      <c r="D70" s="220">
        <f>VLOOKUP(B70,[13]AssetDetails_UEM!$A$3:$X$1848,22,FALSE)</f>
        <v>10585</v>
      </c>
      <c r="E70" s="218" t="s">
        <v>1356</v>
      </c>
      <c r="F70" s="218" t="s">
        <v>732</v>
      </c>
      <c r="G70" s="218" t="s">
        <v>1613</v>
      </c>
      <c r="H70" s="218" t="s">
        <v>591</v>
      </c>
      <c r="I70" s="252" t="s">
        <v>238</v>
      </c>
      <c r="J70" s="253" t="s">
        <v>139</v>
      </c>
      <c r="K70" s="254">
        <f t="shared" si="0"/>
        <v>30</v>
      </c>
      <c r="L70" s="255">
        <f t="shared" si="1"/>
        <v>0</v>
      </c>
      <c r="M70" s="219" t="s">
        <v>1770</v>
      </c>
      <c r="N70" s="268"/>
    </row>
    <row r="71" spans="1:14" s="187" customFormat="1" ht="108">
      <c r="A71" s="218">
        <v>50</v>
      </c>
      <c r="B71" s="218" t="s">
        <v>723</v>
      </c>
      <c r="C71" s="219" t="s">
        <v>240</v>
      </c>
      <c r="D71" s="220">
        <f>VLOOKUP(B71,[13]AssetDetails_UEM!$A$3:$X$1848,22,FALSE)</f>
        <v>4510</v>
      </c>
      <c r="E71" s="218" t="s">
        <v>1357</v>
      </c>
      <c r="F71" s="218" t="s">
        <v>761</v>
      </c>
      <c r="G71" s="218" t="s">
        <v>1614</v>
      </c>
      <c r="H71" s="218" t="s">
        <v>1655</v>
      </c>
      <c r="I71" s="252" t="s">
        <v>238</v>
      </c>
      <c r="J71" s="253" t="s">
        <v>139</v>
      </c>
      <c r="K71" s="254">
        <f t="shared" si="0"/>
        <v>10</v>
      </c>
      <c r="L71" s="255">
        <f t="shared" si="1"/>
        <v>0</v>
      </c>
      <c r="M71" s="219" t="s">
        <v>1757</v>
      </c>
      <c r="N71" s="268"/>
    </row>
    <row r="72" spans="1:14" s="187" customFormat="1" ht="108">
      <c r="A72" s="218">
        <v>51</v>
      </c>
      <c r="B72" s="218" t="s">
        <v>1085</v>
      </c>
      <c r="C72" s="219" t="s">
        <v>240</v>
      </c>
      <c r="D72" s="220">
        <f>VLOOKUP(B72,[13]AssetDetails_UEM!$A$3:$X$1848,22,FALSE)</f>
        <v>4510</v>
      </c>
      <c r="E72" s="218" t="s">
        <v>1358</v>
      </c>
      <c r="F72" s="218" t="s">
        <v>761</v>
      </c>
      <c r="G72" s="218" t="s">
        <v>1614</v>
      </c>
      <c r="H72" s="218" t="s">
        <v>1656</v>
      </c>
      <c r="I72" s="252" t="s">
        <v>238</v>
      </c>
      <c r="J72" s="253" t="s">
        <v>139</v>
      </c>
      <c r="K72" s="254">
        <f t="shared" si="0"/>
        <v>10</v>
      </c>
      <c r="L72" s="255">
        <f t="shared" si="1"/>
        <v>0</v>
      </c>
      <c r="M72" s="219" t="s">
        <v>1757</v>
      </c>
      <c r="N72" s="268"/>
    </row>
    <row r="73" spans="1:14" s="187" customFormat="1" ht="124.5" customHeight="1">
      <c r="A73" s="218">
        <v>52</v>
      </c>
      <c r="B73" s="218" t="s">
        <v>1086</v>
      </c>
      <c r="C73" s="219" t="s">
        <v>144</v>
      </c>
      <c r="D73" s="220">
        <f>VLOOKUP(B73,[13]AssetDetails_UEM!$A$3:$X$1848,22,FALSE)</f>
        <v>10825</v>
      </c>
      <c r="E73" s="218" t="s">
        <v>1359</v>
      </c>
      <c r="F73" s="218" t="s">
        <v>146</v>
      </c>
      <c r="G73" s="218" t="s">
        <v>1614</v>
      </c>
      <c r="H73" s="218" t="s">
        <v>1657</v>
      </c>
      <c r="I73" s="252" t="s">
        <v>238</v>
      </c>
      <c r="J73" s="253" t="s">
        <v>139</v>
      </c>
      <c r="K73" s="254">
        <f t="shared" si="0"/>
        <v>30</v>
      </c>
      <c r="L73" s="255">
        <f t="shared" si="1"/>
        <v>0</v>
      </c>
      <c r="M73" s="219" t="s">
        <v>1770</v>
      </c>
      <c r="N73" s="268"/>
    </row>
    <row r="74" spans="1:14" s="187" customFormat="1" ht="128.1" customHeight="1">
      <c r="A74" s="218">
        <v>53</v>
      </c>
      <c r="B74" s="218" t="s">
        <v>1087</v>
      </c>
      <c r="C74" s="219" t="s">
        <v>144</v>
      </c>
      <c r="D74" s="220">
        <f>VLOOKUP(B74,[13]AssetDetails_UEM!$A$3:$X$1848,22,FALSE)</f>
        <v>10825</v>
      </c>
      <c r="E74" s="218" t="s">
        <v>1360</v>
      </c>
      <c r="F74" s="218" t="s">
        <v>146</v>
      </c>
      <c r="G74" s="218" t="s">
        <v>1614</v>
      </c>
      <c r="H74" s="218" t="s">
        <v>1658</v>
      </c>
      <c r="I74" s="252" t="s">
        <v>238</v>
      </c>
      <c r="J74" s="253" t="s">
        <v>139</v>
      </c>
      <c r="K74" s="254">
        <f t="shared" si="0"/>
        <v>30</v>
      </c>
      <c r="L74" s="255">
        <f t="shared" si="1"/>
        <v>0</v>
      </c>
      <c r="M74" s="219" t="s">
        <v>1757</v>
      </c>
      <c r="N74" s="268"/>
    </row>
    <row r="75" spans="1:14" s="187" customFormat="1" ht="108" customHeight="1">
      <c r="A75" s="218">
        <v>54</v>
      </c>
      <c r="B75" s="218" t="s">
        <v>1088</v>
      </c>
      <c r="C75" s="219" t="s">
        <v>144</v>
      </c>
      <c r="D75" s="220">
        <f>VLOOKUP(B75,[13]AssetDetails_UEM!$A$3:$X$1848,22,FALSE)</f>
        <v>10825</v>
      </c>
      <c r="E75" s="218" t="s">
        <v>1361</v>
      </c>
      <c r="F75" s="218" t="s">
        <v>146</v>
      </c>
      <c r="G75" s="218" t="s">
        <v>1614</v>
      </c>
      <c r="H75" s="218" t="s">
        <v>1659</v>
      </c>
      <c r="I75" s="252" t="s">
        <v>238</v>
      </c>
      <c r="J75" s="253" t="s">
        <v>139</v>
      </c>
      <c r="K75" s="254">
        <f t="shared" si="0"/>
        <v>30</v>
      </c>
      <c r="L75" s="255">
        <f t="shared" si="1"/>
        <v>0</v>
      </c>
      <c r="M75" s="219" t="s">
        <v>1757</v>
      </c>
      <c r="N75" s="268"/>
    </row>
    <row r="76" spans="1:14" s="187" customFormat="1" ht="180">
      <c r="A76" s="218">
        <v>55</v>
      </c>
      <c r="B76" s="218" t="s">
        <v>143</v>
      </c>
      <c r="C76" s="219" t="s">
        <v>144</v>
      </c>
      <c r="D76" s="220">
        <f>VLOOKUP(B76,[13]AssetDetails_UEM!$A$3:$X$1848,22,FALSE)</f>
        <v>10825</v>
      </c>
      <c r="E76" s="218" t="s">
        <v>1362</v>
      </c>
      <c r="F76" s="218" t="s">
        <v>146</v>
      </c>
      <c r="G76" s="218" t="s">
        <v>1614</v>
      </c>
      <c r="H76" s="218" t="s">
        <v>1660</v>
      </c>
      <c r="I76" s="252" t="s">
        <v>238</v>
      </c>
      <c r="J76" s="253" t="s">
        <v>139</v>
      </c>
      <c r="K76" s="254">
        <f t="shared" si="0"/>
        <v>30</v>
      </c>
      <c r="L76" s="255">
        <f t="shared" si="1"/>
        <v>0</v>
      </c>
      <c r="M76" s="219" t="s">
        <v>1774</v>
      </c>
      <c r="N76" s="268"/>
    </row>
    <row r="77" spans="1:14" s="189" customFormat="1" ht="112.5" customHeight="1">
      <c r="A77" s="218">
        <v>56</v>
      </c>
      <c r="B77" s="218" t="s">
        <v>1089</v>
      </c>
      <c r="C77" s="219" t="s">
        <v>144</v>
      </c>
      <c r="D77" s="222">
        <f>VLOOKUP(B77,[13]AssetDetails_UEM!$A$3:$X$1848,22,FALSE)</f>
        <v>10825</v>
      </c>
      <c r="E77" s="218" t="s">
        <v>1363</v>
      </c>
      <c r="F77" s="218" t="s">
        <v>146</v>
      </c>
      <c r="G77" s="218" t="s">
        <v>1614</v>
      </c>
      <c r="H77" s="218" t="s">
        <v>1661</v>
      </c>
      <c r="I77" s="252" t="s">
        <v>238</v>
      </c>
      <c r="J77" s="257" t="s">
        <v>139</v>
      </c>
      <c r="K77" s="254">
        <f t="shared" si="0"/>
        <v>30</v>
      </c>
      <c r="L77" s="259">
        <f t="shared" si="1"/>
        <v>0</v>
      </c>
      <c r="M77" s="219" t="s">
        <v>1757</v>
      </c>
      <c r="N77" s="270"/>
    </row>
    <row r="78" spans="1:14" s="187" customFormat="1" ht="72">
      <c r="A78" s="218">
        <v>57</v>
      </c>
      <c r="B78" s="218" t="s">
        <v>1090</v>
      </c>
      <c r="C78" s="219" t="s">
        <v>1009</v>
      </c>
      <c r="D78" s="220">
        <f>VLOOKUP(B78,[13]AssetDetails_UEM!$A$3:$X$1848,22,FALSE)</f>
        <v>10225</v>
      </c>
      <c r="E78" s="218" t="s">
        <v>1364</v>
      </c>
      <c r="F78" s="218" t="s">
        <v>743</v>
      </c>
      <c r="G78" s="218" t="s">
        <v>1614</v>
      </c>
      <c r="H78" s="218" t="s">
        <v>1662</v>
      </c>
      <c r="I78" s="252" t="s">
        <v>238</v>
      </c>
      <c r="J78" s="253" t="s">
        <v>139</v>
      </c>
      <c r="K78" s="254">
        <f t="shared" si="0"/>
        <v>30</v>
      </c>
      <c r="L78" s="255">
        <f t="shared" si="1"/>
        <v>0</v>
      </c>
      <c r="M78" s="219" t="s">
        <v>1757</v>
      </c>
      <c r="N78" s="268"/>
    </row>
    <row r="79" spans="1:14" s="187" customFormat="1" ht="108">
      <c r="A79" s="218">
        <v>58</v>
      </c>
      <c r="B79" s="218" t="s">
        <v>1091</v>
      </c>
      <c r="C79" s="219" t="s">
        <v>243</v>
      </c>
      <c r="D79" s="220">
        <f>VLOOKUP(B79,[13]AssetDetails_UEM!$A$3:$X$1848,22,FALSE)</f>
        <v>15515</v>
      </c>
      <c r="E79" s="218" t="s">
        <v>1365</v>
      </c>
      <c r="F79" s="218" t="s">
        <v>1582</v>
      </c>
      <c r="G79" s="218" t="s">
        <v>1614</v>
      </c>
      <c r="H79" s="218" t="s">
        <v>1661</v>
      </c>
      <c r="I79" s="252" t="s">
        <v>238</v>
      </c>
      <c r="J79" s="253" t="s">
        <v>139</v>
      </c>
      <c r="K79" s="254">
        <f t="shared" si="0"/>
        <v>40</v>
      </c>
      <c r="L79" s="255">
        <f t="shared" si="1"/>
        <v>0</v>
      </c>
      <c r="M79" s="219" t="s">
        <v>1753</v>
      </c>
      <c r="N79" s="268"/>
    </row>
    <row r="80" spans="1:14" s="187" customFormat="1" ht="108">
      <c r="A80" s="218">
        <v>59</v>
      </c>
      <c r="B80" s="218" t="s">
        <v>1092</v>
      </c>
      <c r="C80" s="219" t="s">
        <v>243</v>
      </c>
      <c r="D80" s="220">
        <f>VLOOKUP(B80,[13]AssetDetails_UEM!$A$3:$X$1848,22,FALSE)</f>
        <v>15515</v>
      </c>
      <c r="E80" s="218" t="s">
        <v>1366</v>
      </c>
      <c r="F80" s="218" t="s">
        <v>1582</v>
      </c>
      <c r="G80" s="218" t="s">
        <v>1614</v>
      </c>
      <c r="H80" s="218" t="s">
        <v>1663</v>
      </c>
      <c r="I80" s="252" t="s">
        <v>238</v>
      </c>
      <c r="J80" s="253" t="s">
        <v>139</v>
      </c>
      <c r="K80" s="254">
        <f t="shared" si="0"/>
        <v>40</v>
      </c>
      <c r="L80" s="255">
        <f t="shared" si="1"/>
        <v>0</v>
      </c>
      <c r="M80" s="219" t="s">
        <v>1753</v>
      </c>
      <c r="N80" s="268"/>
    </row>
    <row r="81" spans="1:14" s="187" customFormat="1" ht="139.5" customHeight="1">
      <c r="A81" s="218">
        <v>60</v>
      </c>
      <c r="B81" s="218" t="s">
        <v>1093</v>
      </c>
      <c r="C81" s="219" t="s">
        <v>243</v>
      </c>
      <c r="D81" s="221">
        <f>VLOOKUP(B81,[13]AssetDetails_UEM!$A$3:$X$1848,22,FALSE)</f>
        <v>15515</v>
      </c>
      <c r="E81" s="218" t="s">
        <v>1367</v>
      </c>
      <c r="F81" s="218" t="s">
        <v>752</v>
      </c>
      <c r="G81" s="218" t="s">
        <v>1614</v>
      </c>
      <c r="H81" s="218" t="s">
        <v>1664</v>
      </c>
      <c r="I81" s="252" t="s">
        <v>238</v>
      </c>
      <c r="J81" s="253" t="s">
        <v>139</v>
      </c>
      <c r="K81" s="254">
        <f t="shared" si="0"/>
        <v>40</v>
      </c>
      <c r="L81" s="255">
        <f t="shared" si="1"/>
        <v>0</v>
      </c>
      <c r="M81" s="219" t="s">
        <v>1753</v>
      </c>
      <c r="N81" s="268"/>
    </row>
    <row r="82" spans="1:14" s="187" customFormat="1" ht="107.45" customHeight="1">
      <c r="A82" s="218">
        <v>61</v>
      </c>
      <c r="B82" s="218" t="s">
        <v>1094</v>
      </c>
      <c r="C82" s="219" t="s">
        <v>243</v>
      </c>
      <c r="D82" s="220">
        <f>VLOOKUP(B82,[13]AssetDetails_UEM!$A$3:$X$1848,22,FALSE)</f>
        <v>15515</v>
      </c>
      <c r="E82" s="218" t="s">
        <v>1368</v>
      </c>
      <c r="F82" s="218" t="s">
        <v>1583</v>
      </c>
      <c r="G82" s="218" t="s">
        <v>1614</v>
      </c>
      <c r="H82" s="218" t="s">
        <v>1665</v>
      </c>
      <c r="I82" s="252" t="s">
        <v>238</v>
      </c>
      <c r="J82" s="253" t="s">
        <v>139</v>
      </c>
      <c r="K82" s="254">
        <f t="shared" si="0"/>
        <v>40</v>
      </c>
      <c r="L82" s="255">
        <f t="shared" si="1"/>
        <v>0</v>
      </c>
      <c r="M82" s="219" t="s">
        <v>1760</v>
      </c>
      <c r="N82" s="268"/>
    </row>
    <row r="83" spans="1:14" s="187" customFormat="1" ht="107.45" customHeight="1">
      <c r="A83" s="218">
        <v>62</v>
      </c>
      <c r="B83" s="218" t="s">
        <v>1095</v>
      </c>
      <c r="C83" s="219" t="s">
        <v>243</v>
      </c>
      <c r="D83" s="220">
        <f>VLOOKUP(B83,[13]AssetDetails_UEM!$A$3:$X$1848,22,FALSE)</f>
        <v>15515</v>
      </c>
      <c r="E83" s="218" t="s">
        <v>1369</v>
      </c>
      <c r="F83" s="218" t="s">
        <v>1583</v>
      </c>
      <c r="G83" s="218" t="s">
        <v>1614</v>
      </c>
      <c r="H83" s="218" t="s">
        <v>1666</v>
      </c>
      <c r="I83" s="252" t="s">
        <v>238</v>
      </c>
      <c r="J83" s="253" t="s">
        <v>139</v>
      </c>
      <c r="K83" s="254">
        <f t="shared" si="0"/>
        <v>40</v>
      </c>
      <c r="L83" s="255">
        <f t="shared" si="1"/>
        <v>0</v>
      </c>
      <c r="M83" s="219" t="s">
        <v>1760</v>
      </c>
      <c r="N83" s="268"/>
    </row>
    <row r="84" spans="1:14" s="187" customFormat="1" ht="107.45" customHeight="1">
      <c r="A84" s="218">
        <v>63</v>
      </c>
      <c r="B84" s="218" t="s">
        <v>1096</v>
      </c>
      <c r="C84" s="219" t="s">
        <v>243</v>
      </c>
      <c r="D84" s="220">
        <f>VLOOKUP(B84,[13]AssetDetails_UEM!$A$3:$X$1848,22,FALSE)</f>
        <v>15515</v>
      </c>
      <c r="E84" s="218" t="s">
        <v>1370</v>
      </c>
      <c r="F84" s="218" t="s">
        <v>1584</v>
      </c>
      <c r="G84" s="218" t="s">
        <v>1614</v>
      </c>
      <c r="H84" s="218" t="s">
        <v>1667</v>
      </c>
      <c r="I84" s="252" t="s">
        <v>238</v>
      </c>
      <c r="J84" s="253" t="s">
        <v>139</v>
      </c>
      <c r="K84" s="254">
        <f t="shared" si="0"/>
        <v>40</v>
      </c>
      <c r="L84" s="255">
        <f t="shared" ref="L84:L140" si="2">IF(J84="N",0,K84)</f>
        <v>0</v>
      </c>
      <c r="M84" s="219" t="s">
        <v>1760</v>
      </c>
      <c r="N84" s="268"/>
    </row>
    <row r="85" spans="1:14" s="187" customFormat="1" ht="108">
      <c r="A85" s="218">
        <v>64</v>
      </c>
      <c r="B85" s="218" t="s">
        <v>1097</v>
      </c>
      <c r="C85" s="219" t="s">
        <v>243</v>
      </c>
      <c r="D85" s="220">
        <f>VLOOKUP(B85,[13]AssetDetails_UEM!$A$3:$X$1848,22,FALSE)</f>
        <v>15515</v>
      </c>
      <c r="E85" s="218" t="s">
        <v>1371</v>
      </c>
      <c r="F85" s="218" t="s">
        <v>1585</v>
      </c>
      <c r="G85" s="218" t="s">
        <v>1614</v>
      </c>
      <c r="H85" s="218" t="s">
        <v>1668</v>
      </c>
      <c r="I85" s="252" t="s">
        <v>238</v>
      </c>
      <c r="J85" s="253" t="s">
        <v>139</v>
      </c>
      <c r="K85" s="254">
        <f t="shared" si="0"/>
        <v>40</v>
      </c>
      <c r="L85" s="255">
        <f t="shared" si="2"/>
        <v>0</v>
      </c>
      <c r="M85" s="219" t="s">
        <v>1753</v>
      </c>
      <c r="N85" s="268"/>
    </row>
    <row r="86" spans="1:14" s="189" customFormat="1" ht="107.45" customHeight="1">
      <c r="A86" s="535">
        <v>65</v>
      </c>
      <c r="B86" s="535" t="s">
        <v>1098</v>
      </c>
      <c r="C86" s="269" t="s">
        <v>240</v>
      </c>
      <c r="D86" s="222">
        <f>VLOOKUP(B86,[13]AssetDetails_UEM!$A$3:$X$1848,22,FALSE)</f>
        <v>4510</v>
      </c>
      <c r="E86" s="535" t="s">
        <v>1372</v>
      </c>
      <c r="F86" s="535" t="s">
        <v>1586</v>
      </c>
      <c r="G86" s="535" t="s">
        <v>1614</v>
      </c>
      <c r="H86" s="540">
        <v>46118.458333333336</v>
      </c>
      <c r="I86" s="256" t="s">
        <v>238</v>
      </c>
      <c r="J86" s="257" t="s">
        <v>139</v>
      </c>
      <c r="K86" s="258">
        <f t="shared" ref="K86:K141" si="3">ROUNDUP((D86/4999.99)*10,-1)</f>
        <v>10</v>
      </c>
      <c r="L86" s="259">
        <f t="shared" si="2"/>
        <v>0</v>
      </c>
      <c r="M86" s="269" t="s">
        <v>1891</v>
      </c>
      <c r="N86" s="270"/>
    </row>
    <row r="87" spans="1:14" s="625" customFormat="1" ht="107.45" customHeight="1">
      <c r="A87" s="535">
        <v>66</v>
      </c>
      <c r="B87" s="535" t="s">
        <v>1099</v>
      </c>
      <c r="C87" s="269" t="s">
        <v>240</v>
      </c>
      <c r="D87" s="222">
        <f>VLOOKUP(B87,[13]AssetDetails_UEM!$A$3:$X$1848,22,FALSE)</f>
        <v>4510</v>
      </c>
      <c r="E87" s="535" t="s">
        <v>1373</v>
      </c>
      <c r="F87" s="535" t="s">
        <v>1586</v>
      </c>
      <c r="G87" s="535" t="s">
        <v>1614</v>
      </c>
      <c r="H87" s="540">
        <v>46118.5</v>
      </c>
      <c r="I87" s="256" t="s">
        <v>238</v>
      </c>
      <c r="J87" s="257" t="s">
        <v>139</v>
      </c>
      <c r="K87" s="258">
        <f t="shared" si="3"/>
        <v>10</v>
      </c>
      <c r="L87" s="259">
        <f t="shared" si="2"/>
        <v>0</v>
      </c>
      <c r="M87" s="269" t="s">
        <v>1891</v>
      </c>
    </row>
    <row r="88" spans="1:14" s="190" customFormat="1" ht="125.45" customHeight="1">
      <c r="A88" s="218">
        <v>67</v>
      </c>
      <c r="B88" s="218" t="s">
        <v>1100</v>
      </c>
      <c r="C88" s="219" t="s">
        <v>144</v>
      </c>
      <c r="D88" s="220">
        <f>VLOOKUP(B88,[13]AssetDetails_UEM!$A$3:$X$1848,22,FALSE)</f>
        <v>10825</v>
      </c>
      <c r="E88" s="218" t="s">
        <v>1374</v>
      </c>
      <c r="F88" s="218" t="s">
        <v>756</v>
      </c>
      <c r="G88" s="218" t="s">
        <v>1615</v>
      </c>
      <c r="H88" s="218" t="s">
        <v>1669</v>
      </c>
      <c r="I88" s="252" t="s">
        <v>238</v>
      </c>
      <c r="J88" s="253" t="s">
        <v>139</v>
      </c>
      <c r="K88" s="254">
        <f t="shared" si="3"/>
        <v>30</v>
      </c>
      <c r="L88" s="255">
        <f t="shared" si="2"/>
        <v>0</v>
      </c>
      <c r="M88" s="219" t="s">
        <v>1757</v>
      </c>
    </row>
    <row r="89" spans="1:14" s="190" customFormat="1" ht="125.45" customHeight="1">
      <c r="A89" s="218">
        <v>68</v>
      </c>
      <c r="B89" s="218" t="s">
        <v>1101</v>
      </c>
      <c r="C89" s="219" t="s">
        <v>144</v>
      </c>
      <c r="D89" s="220">
        <f>VLOOKUP(B89,[13]AssetDetails_UEM!$A$3:$X$1848,22,FALSE)</f>
        <v>10825</v>
      </c>
      <c r="E89" s="218" t="s">
        <v>1375</v>
      </c>
      <c r="F89" s="218" t="s">
        <v>146</v>
      </c>
      <c r="G89" s="218" t="s">
        <v>1615</v>
      </c>
      <c r="H89" s="218" t="s">
        <v>1670</v>
      </c>
      <c r="I89" s="252" t="s">
        <v>238</v>
      </c>
      <c r="J89" s="253" t="s">
        <v>139</v>
      </c>
      <c r="K89" s="254">
        <f t="shared" si="3"/>
        <v>30</v>
      </c>
      <c r="L89" s="255">
        <f t="shared" si="2"/>
        <v>0</v>
      </c>
      <c r="M89" s="219" t="s">
        <v>1805</v>
      </c>
    </row>
    <row r="90" spans="1:14" s="190" customFormat="1" ht="125.45" customHeight="1">
      <c r="A90" s="218">
        <v>69</v>
      </c>
      <c r="B90" s="218" t="s">
        <v>1102</v>
      </c>
      <c r="C90" s="219" t="s">
        <v>144</v>
      </c>
      <c r="D90" s="220">
        <f>VLOOKUP(B90,[13]AssetDetails_UEM!$A$3:$X$1848,22,FALSE)</f>
        <v>10825</v>
      </c>
      <c r="E90" s="218" t="s">
        <v>1376</v>
      </c>
      <c r="F90" s="218" t="s">
        <v>146</v>
      </c>
      <c r="G90" s="218" t="s">
        <v>1615</v>
      </c>
      <c r="H90" s="218" t="s">
        <v>1671</v>
      </c>
      <c r="I90" s="252" t="s">
        <v>238</v>
      </c>
      <c r="J90" s="253" t="s">
        <v>139</v>
      </c>
      <c r="K90" s="254">
        <f t="shared" si="3"/>
        <v>30</v>
      </c>
      <c r="L90" s="255">
        <f t="shared" si="2"/>
        <v>0</v>
      </c>
      <c r="M90" s="219" t="s">
        <v>1805</v>
      </c>
    </row>
    <row r="91" spans="1:14" s="190" customFormat="1" ht="128.44999999999999" customHeight="1">
      <c r="A91" s="218">
        <v>70</v>
      </c>
      <c r="B91" s="218" t="s">
        <v>1103</v>
      </c>
      <c r="C91" s="219" t="s">
        <v>245</v>
      </c>
      <c r="D91" s="220">
        <f>VLOOKUP(B91,[13]AssetDetails_UEM!$A$3:$X$1848,22,FALSE)</f>
        <v>2165</v>
      </c>
      <c r="E91" s="218" t="s">
        <v>1377</v>
      </c>
      <c r="F91" s="218" t="s">
        <v>765</v>
      </c>
      <c r="G91" s="218" t="s">
        <v>1615</v>
      </c>
      <c r="H91" s="218" t="s">
        <v>1672</v>
      </c>
      <c r="I91" s="252" t="s">
        <v>238</v>
      </c>
      <c r="J91" s="253" t="s">
        <v>139</v>
      </c>
      <c r="K91" s="254">
        <f t="shared" si="3"/>
        <v>10</v>
      </c>
      <c r="L91" s="255">
        <f t="shared" si="2"/>
        <v>0</v>
      </c>
      <c r="M91" s="219" t="s">
        <v>1776</v>
      </c>
    </row>
    <row r="92" spans="1:14" s="190" customFormat="1" ht="128.44999999999999" customHeight="1">
      <c r="A92" s="218">
        <v>71</v>
      </c>
      <c r="B92" s="218" t="s">
        <v>1104</v>
      </c>
      <c r="C92" s="219" t="s">
        <v>245</v>
      </c>
      <c r="D92" s="220">
        <f>VLOOKUP(B92,[13]AssetDetails_UEM!$A$3:$X$1848,22,FALSE)</f>
        <v>2165</v>
      </c>
      <c r="E92" s="218" t="s">
        <v>1378</v>
      </c>
      <c r="F92" s="218" t="s">
        <v>765</v>
      </c>
      <c r="G92" s="218" t="s">
        <v>1615</v>
      </c>
      <c r="H92" s="218" t="s">
        <v>1669</v>
      </c>
      <c r="I92" s="252" t="s">
        <v>238</v>
      </c>
      <c r="J92" s="253" t="s">
        <v>139</v>
      </c>
      <c r="K92" s="254">
        <f t="shared" si="3"/>
        <v>10</v>
      </c>
      <c r="L92" s="255">
        <f t="shared" si="2"/>
        <v>0</v>
      </c>
      <c r="M92" s="219" t="s">
        <v>1962</v>
      </c>
    </row>
    <row r="93" spans="1:14" s="190" customFormat="1" ht="142.5" customHeight="1">
      <c r="A93" s="218">
        <v>72</v>
      </c>
      <c r="B93" s="218" t="s">
        <v>1105</v>
      </c>
      <c r="C93" s="219" t="s">
        <v>245</v>
      </c>
      <c r="D93" s="220">
        <f>VLOOKUP(B93,[13]AssetDetails_UEM!$A$3:$X$1848,22,FALSE)</f>
        <v>2165</v>
      </c>
      <c r="E93" s="218" t="s">
        <v>1379</v>
      </c>
      <c r="F93" s="218" t="s">
        <v>765</v>
      </c>
      <c r="G93" s="218" t="s">
        <v>1615</v>
      </c>
      <c r="H93" s="218" t="s">
        <v>1673</v>
      </c>
      <c r="I93" s="252" t="s">
        <v>238</v>
      </c>
      <c r="J93" s="253" t="s">
        <v>139</v>
      </c>
      <c r="K93" s="254">
        <f t="shared" si="3"/>
        <v>10</v>
      </c>
      <c r="L93" s="255">
        <f t="shared" si="2"/>
        <v>0</v>
      </c>
      <c r="M93" s="219" t="s">
        <v>1776</v>
      </c>
    </row>
    <row r="94" spans="1:14" s="190" customFormat="1" ht="216">
      <c r="A94" s="218">
        <v>73</v>
      </c>
      <c r="B94" s="218" t="s">
        <v>1106</v>
      </c>
      <c r="C94" s="219" t="s">
        <v>1287</v>
      </c>
      <c r="D94" s="220">
        <f>VLOOKUP(B94,[13]AssetDetails_UEM!$A$3:$X$1848,22,FALSE)</f>
        <v>23270</v>
      </c>
      <c r="E94" s="218" t="s">
        <v>1380</v>
      </c>
      <c r="F94" s="218" t="s">
        <v>1587</v>
      </c>
      <c r="G94" s="218" t="s">
        <v>1615</v>
      </c>
      <c r="H94" s="218" t="s">
        <v>829</v>
      </c>
      <c r="I94" s="252" t="s">
        <v>238</v>
      </c>
      <c r="J94" s="253" t="s">
        <v>139</v>
      </c>
      <c r="K94" s="254">
        <f t="shared" si="3"/>
        <v>50</v>
      </c>
      <c r="L94" s="255">
        <f t="shared" si="2"/>
        <v>0</v>
      </c>
      <c r="M94" s="219" t="s">
        <v>1777</v>
      </c>
    </row>
    <row r="95" spans="1:14" s="190" customFormat="1" ht="155.1" customHeight="1">
      <c r="A95" s="218">
        <v>74</v>
      </c>
      <c r="B95" s="218" t="s">
        <v>1107</v>
      </c>
      <c r="C95" s="219" t="s">
        <v>1276</v>
      </c>
      <c r="D95" s="220">
        <f>VLOOKUP(B95,[13]AssetDetails_UEM!$A$3:$X$1848,22,FALSE)</f>
        <v>5170</v>
      </c>
      <c r="E95" s="218" t="s">
        <v>1381</v>
      </c>
      <c r="F95" s="218" t="s">
        <v>1559</v>
      </c>
      <c r="G95" s="218" t="s">
        <v>1615</v>
      </c>
      <c r="H95" s="218" t="s">
        <v>1674</v>
      </c>
      <c r="I95" s="252" t="s">
        <v>238</v>
      </c>
      <c r="J95" s="253" t="s">
        <v>139</v>
      </c>
      <c r="K95" s="254">
        <f t="shared" si="3"/>
        <v>20</v>
      </c>
      <c r="L95" s="255">
        <f t="shared" si="2"/>
        <v>0</v>
      </c>
      <c r="M95" s="219" t="s">
        <v>1753</v>
      </c>
    </row>
    <row r="96" spans="1:14" s="190" customFormat="1" ht="146.1" customHeight="1">
      <c r="A96" s="218">
        <v>75</v>
      </c>
      <c r="B96" s="218" t="s">
        <v>1108</v>
      </c>
      <c r="C96" s="219" t="s">
        <v>1275</v>
      </c>
      <c r="D96" s="220">
        <f>VLOOKUP(B96,[13]AssetDetails_UEM!$A$3:$X$1848,22,FALSE)</f>
        <v>14435</v>
      </c>
      <c r="E96" s="218" t="s">
        <v>1382</v>
      </c>
      <c r="F96" s="218" t="s">
        <v>289</v>
      </c>
      <c r="G96" s="218" t="s">
        <v>1615</v>
      </c>
      <c r="H96" s="218" t="s">
        <v>1675</v>
      </c>
      <c r="I96" s="252" t="s">
        <v>238</v>
      </c>
      <c r="J96" s="253" t="s">
        <v>139</v>
      </c>
      <c r="K96" s="254">
        <f t="shared" si="3"/>
        <v>30</v>
      </c>
      <c r="L96" s="255">
        <f t="shared" si="2"/>
        <v>0</v>
      </c>
      <c r="M96" s="219" t="s">
        <v>1753</v>
      </c>
    </row>
    <row r="97" spans="1:13" s="190" customFormat="1" ht="147.6" customHeight="1">
      <c r="A97" s="218">
        <v>76</v>
      </c>
      <c r="B97" s="218" t="s">
        <v>1109</v>
      </c>
      <c r="C97" s="219" t="s">
        <v>1275</v>
      </c>
      <c r="D97" s="220">
        <f>VLOOKUP(B97,[13]AssetDetails_UEM!$A$3:$X$1848,22,FALSE)</f>
        <v>14435</v>
      </c>
      <c r="E97" s="218" t="s">
        <v>1383</v>
      </c>
      <c r="F97" s="218" t="s">
        <v>289</v>
      </c>
      <c r="G97" s="218" t="s">
        <v>1615</v>
      </c>
      <c r="H97" s="218" t="s">
        <v>1676</v>
      </c>
      <c r="I97" s="252" t="s">
        <v>238</v>
      </c>
      <c r="J97" s="253" t="s">
        <v>139</v>
      </c>
      <c r="K97" s="254">
        <f t="shared" si="3"/>
        <v>30</v>
      </c>
      <c r="L97" s="255">
        <f t="shared" si="2"/>
        <v>0</v>
      </c>
      <c r="M97" s="219" t="s">
        <v>1753</v>
      </c>
    </row>
    <row r="98" spans="1:13" s="190" customFormat="1" ht="147.6" customHeight="1">
      <c r="A98" s="218">
        <v>77</v>
      </c>
      <c r="B98" s="218" t="s">
        <v>1110</v>
      </c>
      <c r="C98" s="219" t="s">
        <v>1288</v>
      </c>
      <c r="D98" s="220">
        <f>VLOOKUP(B98,[13]AssetDetails_UEM!$A$3:$X$1848,22,FALSE)</f>
        <v>1200</v>
      </c>
      <c r="E98" s="218" t="s">
        <v>1384</v>
      </c>
      <c r="F98" s="218" t="s">
        <v>739</v>
      </c>
      <c r="G98" s="218" t="s">
        <v>1615</v>
      </c>
      <c r="H98" s="218" t="s">
        <v>1677</v>
      </c>
      <c r="I98" s="252" t="s">
        <v>238</v>
      </c>
      <c r="J98" s="253" t="s">
        <v>139</v>
      </c>
      <c r="K98" s="254">
        <f t="shared" si="3"/>
        <v>10</v>
      </c>
      <c r="L98" s="255">
        <f t="shared" si="2"/>
        <v>0</v>
      </c>
      <c r="M98" s="219" t="s">
        <v>1753</v>
      </c>
    </row>
    <row r="99" spans="1:13" s="190" customFormat="1" ht="216">
      <c r="A99" s="218">
        <v>78</v>
      </c>
      <c r="B99" s="218" t="s">
        <v>1111</v>
      </c>
      <c r="C99" s="219" t="s">
        <v>1009</v>
      </c>
      <c r="D99" s="220">
        <f>VLOOKUP(B99,[13]AssetDetails_UEM!$A$3:$X$1848,22,FALSE)</f>
        <v>10225</v>
      </c>
      <c r="E99" s="218" t="s">
        <v>1385</v>
      </c>
      <c r="F99" s="218" t="s">
        <v>1578</v>
      </c>
      <c r="G99" s="218" t="s">
        <v>1615</v>
      </c>
      <c r="H99" s="218" t="s">
        <v>1673</v>
      </c>
      <c r="I99" s="252" t="s">
        <v>238</v>
      </c>
      <c r="J99" s="253" t="s">
        <v>139</v>
      </c>
      <c r="K99" s="254">
        <f t="shared" si="3"/>
        <v>30</v>
      </c>
      <c r="L99" s="255">
        <f t="shared" si="2"/>
        <v>0</v>
      </c>
      <c r="M99" s="219" t="s">
        <v>1778</v>
      </c>
    </row>
    <row r="100" spans="1:13" s="190" customFormat="1" ht="252">
      <c r="A100" s="218">
        <v>79</v>
      </c>
      <c r="B100" s="218" t="s">
        <v>1112</v>
      </c>
      <c r="C100" s="219" t="s">
        <v>1009</v>
      </c>
      <c r="D100" s="220">
        <f>VLOOKUP(B100,[13]AssetDetails_UEM!$A$3:$X$1848,22,FALSE)</f>
        <v>10225</v>
      </c>
      <c r="E100" s="218" t="s">
        <v>1386</v>
      </c>
      <c r="F100" s="218" t="s">
        <v>1578</v>
      </c>
      <c r="G100" s="218" t="s">
        <v>1615</v>
      </c>
      <c r="H100" s="218" t="s">
        <v>1671</v>
      </c>
      <c r="I100" s="252" t="s">
        <v>238</v>
      </c>
      <c r="J100" s="253" t="s">
        <v>139</v>
      </c>
      <c r="K100" s="254">
        <f t="shared" si="3"/>
        <v>30</v>
      </c>
      <c r="L100" s="255">
        <f t="shared" si="2"/>
        <v>0</v>
      </c>
      <c r="M100" s="219" t="s">
        <v>1779</v>
      </c>
    </row>
    <row r="101" spans="1:13" s="190" customFormat="1" ht="216">
      <c r="A101" s="218">
        <v>80</v>
      </c>
      <c r="B101" s="218" t="s">
        <v>1113</v>
      </c>
      <c r="C101" s="219" t="s">
        <v>1285</v>
      </c>
      <c r="D101" s="220">
        <f>VLOOKUP(B101,[13]AssetDetails_UEM!$A$3:$X$1848,22,FALSE)</f>
        <v>9622</v>
      </c>
      <c r="E101" s="218" t="s">
        <v>1387</v>
      </c>
      <c r="F101" s="218" t="s">
        <v>1578</v>
      </c>
      <c r="G101" s="218" t="s">
        <v>1615</v>
      </c>
      <c r="H101" s="218" t="s">
        <v>1672</v>
      </c>
      <c r="I101" s="252" t="s">
        <v>238</v>
      </c>
      <c r="J101" s="253" t="s">
        <v>139</v>
      </c>
      <c r="K101" s="254">
        <f t="shared" si="3"/>
        <v>20</v>
      </c>
      <c r="L101" s="255">
        <f t="shared" si="2"/>
        <v>0</v>
      </c>
      <c r="M101" s="219" t="s">
        <v>1778</v>
      </c>
    </row>
    <row r="102" spans="1:13" s="190" customFormat="1" ht="216">
      <c r="A102" s="218">
        <v>81</v>
      </c>
      <c r="B102" s="218" t="s">
        <v>1114</v>
      </c>
      <c r="C102" s="219" t="s">
        <v>144</v>
      </c>
      <c r="D102" s="220">
        <f>VLOOKUP(B102,[13]AssetDetails_UEM!$A$3:$X$1848,22,FALSE)</f>
        <v>10825</v>
      </c>
      <c r="E102" s="218" t="s">
        <v>1388</v>
      </c>
      <c r="F102" s="218" t="s">
        <v>1578</v>
      </c>
      <c r="G102" s="218" t="s">
        <v>1615</v>
      </c>
      <c r="H102" s="218" t="s">
        <v>1678</v>
      </c>
      <c r="I102" s="252" t="s">
        <v>238</v>
      </c>
      <c r="J102" s="253" t="s">
        <v>139</v>
      </c>
      <c r="K102" s="254">
        <f t="shared" si="3"/>
        <v>30</v>
      </c>
      <c r="L102" s="255">
        <f t="shared" si="2"/>
        <v>0</v>
      </c>
      <c r="M102" s="219" t="s">
        <v>1778</v>
      </c>
    </row>
    <row r="103" spans="1:13" s="190" customFormat="1" ht="177" customHeight="1">
      <c r="A103" s="218">
        <v>82</v>
      </c>
      <c r="B103" s="218" t="s">
        <v>1115</v>
      </c>
      <c r="C103" s="219" t="s">
        <v>1276</v>
      </c>
      <c r="D103" s="220">
        <f>VLOOKUP(B103,[13]AssetDetails_UEM!$A$3:$X$1848,22,FALSE)</f>
        <v>2185</v>
      </c>
      <c r="E103" s="218" t="s">
        <v>1389</v>
      </c>
      <c r="F103" s="218" t="s">
        <v>1576</v>
      </c>
      <c r="G103" s="218" t="s">
        <v>1615</v>
      </c>
      <c r="H103" s="218" t="s">
        <v>1679</v>
      </c>
      <c r="I103" s="252" t="s">
        <v>238</v>
      </c>
      <c r="J103" s="253" t="s">
        <v>139</v>
      </c>
      <c r="K103" s="254">
        <f t="shared" si="3"/>
        <v>10</v>
      </c>
      <c r="L103" s="255">
        <f t="shared" si="2"/>
        <v>0</v>
      </c>
      <c r="M103" s="219" t="s">
        <v>1753</v>
      </c>
    </row>
    <row r="104" spans="1:13" s="190" customFormat="1" ht="161.1" customHeight="1">
      <c r="A104" s="218">
        <v>83</v>
      </c>
      <c r="B104" s="218" t="s">
        <v>1116</v>
      </c>
      <c r="C104" s="219" t="s">
        <v>1289</v>
      </c>
      <c r="D104" s="220">
        <f>VLOOKUP(B104,[13]AssetDetails_UEM!$A$3:$X$1848,22,FALSE)</f>
        <v>15864</v>
      </c>
      <c r="E104" s="218" t="s">
        <v>1390</v>
      </c>
      <c r="F104" s="218" t="s">
        <v>1566</v>
      </c>
      <c r="G104" s="218" t="s">
        <v>1615</v>
      </c>
      <c r="H104" s="218" t="s">
        <v>1680</v>
      </c>
      <c r="I104" s="252" t="s">
        <v>238</v>
      </c>
      <c r="J104" s="253" t="s">
        <v>139</v>
      </c>
      <c r="K104" s="254">
        <f t="shared" si="3"/>
        <v>40</v>
      </c>
      <c r="L104" s="255">
        <f t="shared" si="2"/>
        <v>0</v>
      </c>
      <c r="M104" s="219" t="s">
        <v>1753</v>
      </c>
    </row>
    <row r="105" spans="1:13" s="190" customFormat="1" ht="150" customHeight="1">
      <c r="A105" s="218">
        <v>84</v>
      </c>
      <c r="B105" s="218" t="s">
        <v>698</v>
      </c>
      <c r="C105" s="219" t="s">
        <v>565</v>
      </c>
      <c r="D105" s="220">
        <f>VLOOKUP(B105,[13]AssetDetails_UEM!$A$3:$X$1848,22,FALSE)</f>
        <v>21961900</v>
      </c>
      <c r="E105" s="218" t="s">
        <v>1392</v>
      </c>
      <c r="F105" s="218" t="s">
        <v>742</v>
      </c>
      <c r="G105" s="218" t="s">
        <v>1616</v>
      </c>
      <c r="H105" s="238">
        <v>46125.333333333336</v>
      </c>
      <c r="I105" s="252" t="s">
        <v>238</v>
      </c>
      <c r="J105" s="253" t="s">
        <v>139</v>
      </c>
      <c r="K105" s="254">
        <f t="shared" si="3"/>
        <v>43930</v>
      </c>
      <c r="L105" s="255">
        <f t="shared" si="2"/>
        <v>0</v>
      </c>
      <c r="M105" s="219" t="s">
        <v>1963</v>
      </c>
    </row>
    <row r="106" spans="1:13" s="190" customFormat="1" ht="140.1" customHeight="1">
      <c r="A106" s="218">
        <v>85</v>
      </c>
      <c r="B106" s="218" t="s">
        <v>1118</v>
      </c>
      <c r="C106" s="219" t="s">
        <v>1280</v>
      </c>
      <c r="D106" s="220">
        <f>VLOOKUP(B106,[13]AssetDetails_UEM!$A$3:$X$1848,22,FALSE)</f>
        <v>6250</v>
      </c>
      <c r="E106" s="218" t="s">
        <v>1393</v>
      </c>
      <c r="F106" s="218" t="s">
        <v>1589</v>
      </c>
      <c r="G106" s="218" t="s">
        <v>1616</v>
      </c>
      <c r="H106" s="218" t="s">
        <v>825</v>
      </c>
      <c r="I106" s="252" t="s">
        <v>238</v>
      </c>
      <c r="J106" s="253" t="s">
        <v>139</v>
      </c>
      <c r="K106" s="254">
        <f t="shared" si="3"/>
        <v>20</v>
      </c>
      <c r="L106" s="255">
        <f t="shared" si="2"/>
        <v>0</v>
      </c>
      <c r="M106" s="219" t="s">
        <v>1780</v>
      </c>
    </row>
    <row r="107" spans="1:13" s="190" customFormat="1" ht="153.6" customHeight="1">
      <c r="A107" s="218">
        <v>86</v>
      </c>
      <c r="B107" s="218" t="s">
        <v>1120</v>
      </c>
      <c r="C107" s="219" t="s">
        <v>1280</v>
      </c>
      <c r="D107" s="220">
        <f>VLOOKUP(B107,[13]AssetDetails_UEM!$A$3:$X$1848,22,FALSE)</f>
        <v>6250</v>
      </c>
      <c r="E107" s="218" t="s">
        <v>1395</v>
      </c>
      <c r="F107" s="218" t="s">
        <v>1591</v>
      </c>
      <c r="G107" s="218" t="s">
        <v>1616</v>
      </c>
      <c r="H107" s="218" t="s">
        <v>1681</v>
      </c>
      <c r="I107" s="252" t="s">
        <v>238</v>
      </c>
      <c r="J107" s="253" t="s">
        <v>139</v>
      </c>
      <c r="K107" s="254">
        <f t="shared" si="3"/>
        <v>20</v>
      </c>
      <c r="L107" s="255">
        <f t="shared" si="2"/>
        <v>0</v>
      </c>
      <c r="M107" s="219" t="s">
        <v>1780</v>
      </c>
    </row>
    <row r="108" spans="1:13" s="190" customFormat="1" ht="172.5" customHeight="1">
      <c r="A108" s="218">
        <v>87</v>
      </c>
      <c r="B108" s="218" t="s">
        <v>722</v>
      </c>
      <c r="C108" s="219" t="s">
        <v>558</v>
      </c>
      <c r="D108" s="220">
        <f>VLOOKUP(B108,[13]AssetDetails_UEM!$A$3:$X$1848,22,FALSE)</f>
        <v>4605710</v>
      </c>
      <c r="E108" s="218" t="s">
        <v>1402</v>
      </c>
      <c r="F108" s="218" t="s">
        <v>759</v>
      </c>
      <c r="G108" s="218" t="s">
        <v>1617</v>
      </c>
      <c r="H108" s="218" t="s">
        <v>1682</v>
      </c>
      <c r="I108" s="252" t="s">
        <v>238</v>
      </c>
      <c r="J108" s="253" t="s">
        <v>139</v>
      </c>
      <c r="K108" s="254">
        <f t="shared" si="3"/>
        <v>9220</v>
      </c>
      <c r="L108" s="255">
        <f t="shared" si="2"/>
        <v>0</v>
      </c>
      <c r="M108" s="219" t="s">
        <v>1781</v>
      </c>
    </row>
    <row r="109" spans="1:13" s="190" customFormat="1" ht="133.5" customHeight="1">
      <c r="A109" s="218">
        <v>88</v>
      </c>
      <c r="B109" s="218" t="s">
        <v>1127</v>
      </c>
      <c r="C109" s="219" t="s">
        <v>240</v>
      </c>
      <c r="D109" s="220">
        <f>VLOOKUP(B109,[13]AssetDetails_UEM!$A$3:$X$1848,22,FALSE)</f>
        <v>7770</v>
      </c>
      <c r="E109" s="218" t="s">
        <v>1403</v>
      </c>
      <c r="F109" s="218" t="s">
        <v>1592</v>
      </c>
      <c r="G109" s="218" t="s">
        <v>1617</v>
      </c>
      <c r="H109" s="238">
        <v>46125.458333333336</v>
      </c>
      <c r="I109" s="252" t="s">
        <v>238</v>
      </c>
      <c r="J109" s="253" t="s">
        <v>139</v>
      </c>
      <c r="K109" s="254">
        <f t="shared" si="3"/>
        <v>20</v>
      </c>
      <c r="L109" s="255">
        <f t="shared" si="2"/>
        <v>0</v>
      </c>
      <c r="M109" s="219" t="s">
        <v>1891</v>
      </c>
    </row>
    <row r="110" spans="1:13" s="190" customFormat="1" ht="138.6" customHeight="1">
      <c r="A110" s="218">
        <v>89</v>
      </c>
      <c r="B110" s="218" t="s">
        <v>1128</v>
      </c>
      <c r="C110" s="219" t="s">
        <v>1291</v>
      </c>
      <c r="D110" s="220">
        <f>VLOOKUP(B110,[13]AssetDetails_UEM!$A$3:$X$1848,22,FALSE)</f>
        <v>3950</v>
      </c>
      <c r="E110" s="218" t="s">
        <v>1404</v>
      </c>
      <c r="F110" s="218" t="s">
        <v>1593</v>
      </c>
      <c r="G110" s="218" t="s">
        <v>1617</v>
      </c>
      <c r="H110" s="218" t="s">
        <v>931</v>
      </c>
      <c r="I110" s="252" t="s">
        <v>238</v>
      </c>
      <c r="J110" s="253" t="s">
        <v>139</v>
      </c>
      <c r="K110" s="254">
        <f t="shared" si="3"/>
        <v>10</v>
      </c>
      <c r="L110" s="255">
        <f t="shared" si="2"/>
        <v>0</v>
      </c>
      <c r="M110" s="219" t="s">
        <v>1782</v>
      </c>
    </row>
    <row r="111" spans="1:13" s="190" customFormat="1" ht="152.44999999999999" customHeight="1">
      <c r="A111" s="218">
        <v>90</v>
      </c>
      <c r="B111" s="218" t="s">
        <v>1129</v>
      </c>
      <c r="C111" s="219" t="s">
        <v>246</v>
      </c>
      <c r="D111" s="220">
        <f>VLOOKUP(B111,[13]AssetDetails_UEM!$A$3:$X$1848,22,FALSE)</f>
        <v>28630</v>
      </c>
      <c r="E111" s="218" t="s">
        <v>1405</v>
      </c>
      <c r="F111" s="218" t="s">
        <v>244</v>
      </c>
      <c r="G111" s="218" t="s">
        <v>1618</v>
      </c>
      <c r="H111" s="218" t="s">
        <v>1026</v>
      </c>
      <c r="I111" s="252" t="s">
        <v>238</v>
      </c>
      <c r="J111" s="253" t="s">
        <v>139</v>
      </c>
      <c r="K111" s="254">
        <f t="shared" si="3"/>
        <v>60</v>
      </c>
      <c r="L111" s="255">
        <f t="shared" si="2"/>
        <v>0</v>
      </c>
      <c r="M111" s="219" t="s">
        <v>1961</v>
      </c>
    </row>
    <row r="112" spans="1:13" s="190" customFormat="1" ht="135" customHeight="1">
      <c r="A112" s="218">
        <v>91</v>
      </c>
      <c r="B112" s="218" t="s">
        <v>1130</v>
      </c>
      <c r="C112" s="219" t="s">
        <v>1292</v>
      </c>
      <c r="D112" s="220">
        <v>239500</v>
      </c>
      <c r="E112" s="218" t="s">
        <v>1406</v>
      </c>
      <c r="F112" s="218" t="s">
        <v>351</v>
      </c>
      <c r="G112" s="218" t="s">
        <v>1618</v>
      </c>
      <c r="H112" s="218" t="s">
        <v>1683</v>
      </c>
      <c r="I112" s="252" t="s">
        <v>238</v>
      </c>
      <c r="J112" s="253" t="s">
        <v>139</v>
      </c>
      <c r="K112" s="254">
        <f t="shared" si="3"/>
        <v>480</v>
      </c>
      <c r="L112" s="255">
        <f t="shared" si="2"/>
        <v>0</v>
      </c>
      <c r="M112" s="219" t="s">
        <v>1964</v>
      </c>
    </row>
    <row r="113" spans="1:13" s="190" customFormat="1" ht="216">
      <c r="A113" s="218">
        <v>92</v>
      </c>
      <c r="B113" s="218" t="s">
        <v>1131</v>
      </c>
      <c r="C113" s="219" t="s">
        <v>1293</v>
      </c>
      <c r="D113" s="220">
        <f>VLOOKUP(B113,[13]AssetDetails_UEM!$A$3:$X$1848,22,FALSE)</f>
        <v>84200</v>
      </c>
      <c r="E113" s="218" t="s">
        <v>1407</v>
      </c>
      <c r="F113" s="218" t="s">
        <v>1594</v>
      </c>
      <c r="G113" s="218" t="s">
        <v>1619</v>
      </c>
      <c r="H113" s="218" t="s">
        <v>1684</v>
      </c>
      <c r="I113" s="252" t="s">
        <v>238</v>
      </c>
      <c r="J113" s="253" t="s">
        <v>139</v>
      </c>
      <c r="K113" s="254">
        <f t="shared" si="3"/>
        <v>170</v>
      </c>
      <c r="L113" s="255">
        <f t="shared" si="2"/>
        <v>0</v>
      </c>
      <c r="M113" s="219" t="s">
        <v>1778</v>
      </c>
    </row>
    <row r="114" spans="1:13" s="190" customFormat="1" ht="252">
      <c r="A114" s="218">
        <v>93</v>
      </c>
      <c r="B114" s="218" t="s">
        <v>1132</v>
      </c>
      <c r="C114" s="219" t="s">
        <v>1294</v>
      </c>
      <c r="D114" s="220">
        <f>VLOOKUP(B114,[13]AssetDetails_UEM!$A$3:$X$1848,22,FALSE)</f>
        <v>6615</v>
      </c>
      <c r="E114" s="218" t="s">
        <v>1408</v>
      </c>
      <c r="F114" s="218" t="s">
        <v>1594</v>
      </c>
      <c r="G114" s="218" t="s">
        <v>1619</v>
      </c>
      <c r="H114" s="218" t="s">
        <v>1685</v>
      </c>
      <c r="I114" s="252" t="s">
        <v>238</v>
      </c>
      <c r="J114" s="253" t="s">
        <v>139</v>
      </c>
      <c r="K114" s="254">
        <f t="shared" si="3"/>
        <v>20</v>
      </c>
      <c r="L114" s="255">
        <f t="shared" si="2"/>
        <v>0</v>
      </c>
      <c r="M114" s="219" t="s">
        <v>1783</v>
      </c>
    </row>
    <row r="115" spans="1:13" s="190" customFormat="1" ht="216">
      <c r="A115" s="218">
        <v>94</v>
      </c>
      <c r="B115" s="218" t="s">
        <v>1133</v>
      </c>
      <c r="C115" s="219" t="s">
        <v>1009</v>
      </c>
      <c r="D115" s="220">
        <f>VLOOKUP(B115,[13]AssetDetails_UEM!$A$3:$X$1848,22,FALSE)</f>
        <v>10225</v>
      </c>
      <c r="E115" s="218" t="s">
        <v>1409</v>
      </c>
      <c r="F115" s="218" t="s">
        <v>1594</v>
      </c>
      <c r="G115" s="218" t="s">
        <v>1619</v>
      </c>
      <c r="H115" s="218" t="s">
        <v>1686</v>
      </c>
      <c r="I115" s="252" t="s">
        <v>238</v>
      </c>
      <c r="J115" s="253" t="s">
        <v>139</v>
      </c>
      <c r="K115" s="254">
        <f t="shared" si="3"/>
        <v>30</v>
      </c>
      <c r="L115" s="255">
        <f t="shared" si="2"/>
        <v>0</v>
      </c>
      <c r="M115" s="219" t="s">
        <v>1784</v>
      </c>
    </row>
    <row r="116" spans="1:13" s="190" customFormat="1" ht="216">
      <c r="A116" s="218">
        <v>95</v>
      </c>
      <c r="B116" s="218" t="s">
        <v>1134</v>
      </c>
      <c r="C116" s="219" t="s">
        <v>1009</v>
      </c>
      <c r="D116" s="220">
        <f>VLOOKUP(B116,[13]AssetDetails_UEM!$A$3:$X$1848,22,FALSE)</f>
        <v>10225</v>
      </c>
      <c r="E116" s="218" t="s">
        <v>1410</v>
      </c>
      <c r="F116" s="218" t="s">
        <v>1594</v>
      </c>
      <c r="G116" s="218" t="s">
        <v>1619</v>
      </c>
      <c r="H116" s="218" t="s">
        <v>1687</v>
      </c>
      <c r="I116" s="252" t="s">
        <v>238</v>
      </c>
      <c r="J116" s="253" t="s">
        <v>139</v>
      </c>
      <c r="K116" s="254">
        <f t="shared" si="3"/>
        <v>30</v>
      </c>
      <c r="L116" s="255">
        <f t="shared" si="2"/>
        <v>0</v>
      </c>
      <c r="M116" s="219" t="s">
        <v>1778</v>
      </c>
    </row>
    <row r="117" spans="1:13" s="188" customFormat="1" ht="216">
      <c r="A117" s="218">
        <v>96</v>
      </c>
      <c r="B117" s="218" t="s">
        <v>1135</v>
      </c>
      <c r="C117" s="219" t="s">
        <v>1009</v>
      </c>
      <c r="D117" s="222">
        <f>VLOOKUP(B117,[13]AssetDetails_UEM!$A$3:$X$1848,22,FALSE)</f>
        <v>10225</v>
      </c>
      <c r="E117" s="218" t="s">
        <v>1411</v>
      </c>
      <c r="F117" s="218" t="s">
        <v>1594</v>
      </c>
      <c r="G117" s="218" t="s">
        <v>1619</v>
      </c>
      <c r="H117" s="218" t="s">
        <v>1688</v>
      </c>
      <c r="I117" s="256" t="s">
        <v>238</v>
      </c>
      <c r="J117" s="257" t="s">
        <v>139</v>
      </c>
      <c r="K117" s="254">
        <f t="shared" si="3"/>
        <v>30</v>
      </c>
      <c r="L117" s="259">
        <f t="shared" si="2"/>
        <v>0</v>
      </c>
      <c r="M117" s="219" t="s">
        <v>1785</v>
      </c>
    </row>
    <row r="118" spans="1:13" s="188" customFormat="1" ht="216">
      <c r="A118" s="218">
        <v>97</v>
      </c>
      <c r="B118" s="218" t="s">
        <v>1136</v>
      </c>
      <c r="C118" s="219" t="s">
        <v>1009</v>
      </c>
      <c r="D118" s="222">
        <f>VLOOKUP(B118,[13]AssetDetails_UEM!$A$3:$X$1848,22,FALSE)</f>
        <v>10225</v>
      </c>
      <c r="E118" s="218" t="s">
        <v>1412</v>
      </c>
      <c r="F118" s="218" t="s">
        <v>1594</v>
      </c>
      <c r="G118" s="218" t="s">
        <v>1619</v>
      </c>
      <c r="H118" s="218" t="s">
        <v>1689</v>
      </c>
      <c r="I118" s="256" t="s">
        <v>238</v>
      </c>
      <c r="J118" s="257" t="s">
        <v>139</v>
      </c>
      <c r="K118" s="254">
        <f t="shared" si="3"/>
        <v>30</v>
      </c>
      <c r="L118" s="259">
        <f t="shared" si="2"/>
        <v>0</v>
      </c>
      <c r="M118" s="219" t="s">
        <v>1784</v>
      </c>
    </row>
    <row r="119" spans="1:13" s="190" customFormat="1" ht="216">
      <c r="A119" s="218">
        <v>98</v>
      </c>
      <c r="B119" s="218" t="s">
        <v>1137</v>
      </c>
      <c r="C119" s="219" t="s">
        <v>1009</v>
      </c>
      <c r="D119" s="220">
        <f>VLOOKUP(B119,[13]AssetDetails_UEM!$A$3:$X$1848,22,FALSE)</f>
        <v>10225</v>
      </c>
      <c r="E119" s="218" t="s">
        <v>1413</v>
      </c>
      <c r="F119" s="218" t="s">
        <v>1594</v>
      </c>
      <c r="G119" s="218" t="s">
        <v>1619</v>
      </c>
      <c r="H119" s="218" t="s">
        <v>1690</v>
      </c>
      <c r="I119" s="252" t="s">
        <v>238</v>
      </c>
      <c r="J119" s="253" t="s">
        <v>139</v>
      </c>
      <c r="K119" s="254">
        <f t="shared" si="3"/>
        <v>30</v>
      </c>
      <c r="L119" s="255">
        <f t="shared" si="2"/>
        <v>0</v>
      </c>
      <c r="M119" s="219" t="s">
        <v>1784</v>
      </c>
    </row>
    <row r="120" spans="1:13" s="190" customFormat="1" ht="252">
      <c r="A120" s="218">
        <v>99</v>
      </c>
      <c r="B120" s="218" t="s">
        <v>1138</v>
      </c>
      <c r="C120" s="219" t="s">
        <v>1009</v>
      </c>
      <c r="D120" s="220">
        <f>VLOOKUP(B120,[13]AssetDetails_UEM!$A$3:$X$1848,22,FALSE)</f>
        <v>10225</v>
      </c>
      <c r="E120" s="218" t="s">
        <v>1414</v>
      </c>
      <c r="F120" s="218" t="s">
        <v>1594</v>
      </c>
      <c r="G120" s="218" t="s">
        <v>1619</v>
      </c>
      <c r="H120" s="218" t="s">
        <v>939</v>
      </c>
      <c r="I120" s="252" t="s">
        <v>238</v>
      </c>
      <c r="J120" s="253" t="s">
        <v>139</v>
      </c>
      <c r="K120" s="254">
        <f t="shared" si="3"/>
        <v>30</v>
      </c>
      <c r="L120" s="255">
        <f t="shared" si="2"/>
        <v>0</v>
      </c>
      <c r="M120" s="219" t="s">
        <v>1786</v>
      </c>
    </row>
    <row r="121" spans="1:13" s="190" customFormat="1" ht="216">
      <c r="A121" s="218">
        <v>100</v>
      </c>
      <c r="B121" s="218" t="s">
        <v>1139</v>
      </c>
      <c r="C121" s="219" t="s">
        <v>144</v>
      </c>
      <c r="D121" s="220">
        <f>VLOOKUP(B121,[13]AssetDetails_UEM!$A$3:$X$1848,22,FALSE)</f>
        <v>10825</v>
      </c>
      <c r="E121" s="218" t="s">
        <v>1415</v>
      </c>
      <c r="F121" s="218" t="s">
        <v>1594</v>
      </c>
      <c r="G121" s="218" t="s">
        <v>1619</v>
      </c>
      <c r="H121" s="218" t="s">
        <v>800</v>
      </c>
      <c r="I121" s="252" t="s">
        <v>238</v>
      </c>
      <c r="J121" s="253" t="s">
        <v>139</v>
      </c>
      <c r="K121" s="254">
        <f t="shared" si="3"/>
        <v>30</v>
      </c>
      <c r="L121" s="255">
        <f t="shared" si="2"/>
        <v>0</v>
      </c>
      <c r="M121" s="219" t="s">
        <v>1787</v>
      </c>
    </row>
    <row r="122" spans="1:13" s="190" customFormat="1" ht="216">
      <c r="A122" s="218">
        <v>101</v>
      </c>
      <c r="B122" s="218" t="s">
        <v>1140</v>
      </c>
      <c r="C122" s="219" t="s">
        <v>144</v>
      </c>
      <c r="D122" s="220">
        <f>VLOOKUP(B122,[13]AssetDetails_UEM!$A$3:$X$1848,22,FALSE)</f>
        <v>10825</v>
      </c>
      <c r="E122" s="218" t="s">
        <v>1416</v>
      </c>
      <c r="F122" s="218" t="s">
        <v>1594</v>
      </c>
      <c r="G122" s="218" t="s">
        <v>1619</v>
      </c>
      <c r="H122" s="218" t="s">
        <v>798</v>
      </c>
      <c r="I122" s="252" t="s">
        <v>238</v>
      </c>
      <c r="J122" s="253" t="s">
        <v>139</v>
      </c>
      <c r="K122" s="254">
        <f t="shared" si="3"/>
        <v>30</v>
      </c>
      <c r="L122" s="255">
        <f t="shared" si="2"/>
        <v>0</v>
      </c>
      <c r="M122" s="219" t="s">
        <v>1788</v>
      </c>
    </row>
    <row r="123" spans="1:13" s="190" customFormat="1" ht="141" customHeight="1">
      <c r="A123" s="218">
        <v>102</v>
      </c>
      <c r="B123" s="218" t="s">
        <v>1141</v>
      </c>
      <c r="C123" s="219" t="s">
        <v>246</v>
      </c>
      <c r="D123" s="220">
        <f>VLOOKUP(B123,[13]AssetDetails_UEM!$A$3:$X$1848,22,FALSE)</f>
        <v>28630</v>
      </c>
      <c r="E123" s="218" t="s">
        <v>1417</v>
      </c>
      <c r="F123" s="218" t="s">
        <v>244</v>
      </c>
      <c r="G123" s="218" t="s">
        <v>1619</v>
      </c>
      <c r="H123" s="218" t="s">
        <v>1684</v>
      </c>
      <c r="I123" s="252" t="s">
        <v>238</v>
      </c>
      <c r="J123" s="253" t="s">
        <v>139</v>
      </c>
      <c r="K123" s="254">
        <f t="shared" si="3"/>
        <v>60</v>
      </c>
      <c r="L123" s="255">
        <f t="shared" si="2"/>
        <v>0</v>
      </c>
      <c r="M123" s="219" t="s">
        <v>1961</v>
      </c>
    </row>
    <row r="124" spans="1:13" s="190" customFormat="1" ht="138.6" customHeight="1">
      <c r="A124" s="218">
        <v>103</v>
      </c>
      <c r="B124" s="218" t="s">
        <v>1142</v>
      </c>
      <c r="C124" s="219" t="s">
        <v>246</v>
      </c>
      <c r="D124" s="220">
        <f>VLOOKUP(B124,[13]AssetDetails_UEM!$A$3:$X$1848,22,FALSE)</f>
        <v>28630</v>
      </c>
      <c r="E124" s="218" t="s">
        <v>1418</v>
      </c>
      <c r="F124" s="218" t="s">
        <v>244</v>
      </c>
      <c r="G124" s="218" t="s">
        <v>1619</v>
      </c>
      <c r="H124" s="218" t="s">
        <v>800</v>
      </c>
      <c r="I124" s="252" t="s">
        <v>238</v>
      </c>
      <c r="J124" s="253" t="s">
        <v>139</v>
      </c>
      <c r="K124" s="254">
        <f t="shared" si="3"/>
        <v>60</v>
      </c>
      <c r="L124" s="255">
        <f t="shared" si="2"/>
        <v>0</v>
      </c>
      <c r="M124" s="219" t="s">
        <v>1961</v>
      </c>
    </row>
    <row r="125" spans="1:13" s="190" customFormat="1" ht="161.1" customHeight="1">
      <c r="A125" s="218">
        <v>104</v>
      </c>
      <c r="B125" s="218" t="s">
        <v>1143</v>
      </c>
      <c r="C125" s="219" t="s">
        <v>246</v>
      </c>
      <c r="D125" s="220">
        <f>VLOOKUP(B125,[13]AssetDetails_UEM!$A$3:$X$1848,22,FALSE)</f>
        <v>28630</v>
      </c>
      <c r="E125" s="218" t="s">
        <v>1419</v>
      </c>
      <c r="F125" s="218" t="s">
        <v>244</v>
      </c>
      <c r="G125" s="218" t="s">
        <v>1619</v>
      </c>
      <c r="H125" s="218" t="s">
        <v>1688</v>
      </c>
      <c r="I125" s="252" t="s">
        <v>238</v>
      </c>
      <c r="J125" s="253" t="s">
        <v>139</v>
      </c>
      <c r="K125" s="254">
        <f t="shared" si="3"/>
        <v>60</v>
      </c>
      <c r="L125" s="255">
        <f t="shared" si="2"/>
        <v>0</v>
      </c>
      <c r="M125" s="219" t="s">
        <v>1802</v>
      </c>
    </row>
    <row r="126" spans="1:13" s="190" customFormat="1" ht="172.5" customHeight="1">
      <c r="A126" s="218">
        <v>105</v>
      </c>
      <c r="B126" s="218" t="s">
        <v>1144</v>
      </c>
      <c r="C126" s="219" t="s">
        <v>246</v>
      </c>
      <c r="D126" s="220">
        <f>VLOOKUP(B126,[13]AssetDetails_UEM!$A$3:$X$1848,22,FALSE)</f>
        <v>28630</v>
      </c>
      <c r="E126" s="218" t="s">
        <v>1420</v>
      </c>
      <c r="F126" s="218" t="s">
        <v>244</v>
      </c>
      <c r="G126" s="218" t="s">
        <v>1619</v>
      </c>
      <c r="H126" s="218" t="s">
        <v>1691</v>
      </c>
      <c r="I126" s="252" t="s">
        <v>238</v>
      </c>
      <c r="J126" s="253" t="s">
        <v>139</v>
      </c>
      <c r="K126" s="254">
        <f t="shared" si="3"/>
        <v>60</v>
      </c>
      <c r="L126" s="255">
        <f t="shared" si="2"/>
        <v>0</v>
      </c>
      <c r="M126" s="219" t="s">
        <v>1763</v>
      </c>
    </row>
    <row r="127" spans="1:13" s="190" customFormat="1" ht="129.6" customHeight="1">
      <c r="A127" s="218">
        <v>106</v>
      </c>
      <c r="B127" s="218" t="s">
        <v>1145</v>
      </c>
      <c r="C127" s="219" t="s">
        <v>246</v>
      </c>
      <c r="D127" s="220">
        <f>VLOOKUP(B127,[13]AssetDetails_UEM!$A$3:$X$1848,22,FALSE)</f>
        <v>28630</v>
      </c>
      <c r="E127" s="218" t="s">
        <v>1421</v>
      </c>
      <c r="F127" s="218" t="s">
        <v>244</v>
      </c>
      <c r="G127" s="218" t="s">
        <v>1619</v>
      </c>
      <c r="H127" s="218" t="s">
        <v>798</v>
      </c>
      <c r="I127" s="252" t="s">
        <v>238</v>
      </c>
      <c r="J127" s="253" t="s">
        <v>139</v>
      </c>
      <c r="K127" s="254">
        <f t="shared" si="3"/>
        <v>60</v>
      </c>
      <c r="L127" s="255">
        <f t="shared" si="2"/>
        <v>0</v>
      </c>
      <c r="M127" s="219" t="s">
        <v>1961</v>
      </c>
    </row>
    <row r="128" spans="1:13" s="190" customFormat="1" ht="129.6" customHeight="1">
      <c r="A128" s="218">
        <v>107</v>
      </c>
      <c r="B128" s="218" t="s">
        <v>1146</v>
      </c>
      <c r="C128" s="219" t="s">
        <v>144</v>
      </c>
      <c r="D128" s="220">
        <f>VLOOKUP(B128,[13]AssetDetails_UEM!$A$3:$X$1848,22,FALSE)</f>
        <v>10825</v>
      </c>
      <c r="E128" s="218" t="s">
        <v>1422</v>
      </c>
      <c r="F128" s="218" t="s">
        <v>146</v>
      </c>
      <c r="G128" s="218" t="s">
        <v>1619</v>
      </c>
      <c r="H128" s="218" t="s">
        <v>800</v>
      </c>
      <c r="I128" s="252" t="s">
        <v>238</v>
      </c>
      <c r="J128" s="253" t="s">
        <v>139</v>
      </c>
      <c r="K128" s="254">
        <f t="shared" si="3"/>
        <v>30</v>
      </c>
      <c r="L128" s="255">
        <f t="shared" si="2"/>
        <v>0</v>
      </c>
      <c r="M128" s="219" t="s">
        <v>1805</v>
      </c>
    </row>
    <row r="129" spans="1:13" s="190" customFormat="1" ht="108">
      <c r="A129" s="218">
        <v>108</v>
      </c>
      <c r="B129" s="218" t="s">
        <v>1013</v>
      </c>
      <c r="C129" s="219" t="s">
        <v>1009</v>
      </c>
      <c r="D129" s="220">
        <f>VLOOKUP(B129,[13]AssetDetails_UEM!$A$3:$X$1848,22,FALSE)</f>
        <v>10225</v>
      </c>
      <c r="E129" s="218" t="s">
        <v>1423</v>
      </c>
      <c r="F129" s="218" t="s">
        <v>146</v>
      </c>
      <c r="G129" s="218" t="s">
        <v>1619</v>
      </c>
      <c r="H129" s="218" t="s">
        <v>1686</v>
      </c>
      <c r="I129" s="252" t="s">
        <v>238</v>
      </c>
      <c r="J129" s="253" t="s">
        <v>139</v>
      </c>
      <c r="K129" s="254">
        <f t="shared" si="3"/>
        <v>30</v>
      </c>
      <c r="L129" s="255">
        <f t="shared" si="2"/>
        <v>0</v>
      </c>
      <c r="M129" s="219" t="s">
        <v>1775</v>
      </c>
    </row>
    <row r="130" spans="1:13" s="190" customFormat="1" ht="108">
      <c r="A130" s="218">
        <v>109</v>
      </c>
      <c r="B130" s="218" t="s">
        <v>1147</v>
      </c>
      <c r="C130" s="219" t="s">
        <v>1295</v>
      </c>
      <c r="D130" s="220">
        <f>VLOOKUP(B130,[13]AssetDetails_UEM!$A$3:$X$1848,22,FALSE)</f>
        <v>13470</v>
      </c>
      <c r="E130" s="218" t="s">
        <v>1424</v>
      </c>
      <c r="F130" s="218" t="s">
        <v>743</v>
      </c>
      <c r="G130" s="218" t="s">
        <v>1619</v>
      </c>
      <c r="H130" s="218" t="s">
        <v>798</v>
      </c>
      <c r="I130" s="252" t="s">
        <v>238</v>
      </c>
      <c r="J130" s="253" t="s">
        <v>139</v>
      </c>
      <c r="K130" s="254">
        <f t="shared" si="3"/>
        <v>30</v>
      </c>
      <c r="L130" s="255">
        <f t="shared" si="2"/>
        <v>0</v>
      </c>
      <c r="M130" s="219" t="s">
        <v>1805</v>
      </c>
    </row>
    <row r="131" spans="1:13" s="190" customFormat="1" ht="72">
      <c r="A131" s="218">
        <v>110</v>
      </c>
      <c r="B131" s="218" t="s">
        <v>1148</v>
      </c>
      <c r="C131" s="219" t="s">
        <v>144</v>
      </c>
      <c r="D131" s="220">
        <f>VLOOKUP(B131,[13]AssetDetails_UEM!$A$3:$X$1848,22,FALSE)</f>
        <v>10825</v>
      </c>
      <c r="E131" s="218" t="s">
        <v>1425</v>
      </c>
      <c r="F131" s="218" t="s">
        <v>743</v>
      </c>
      <c r="G131" s="218" t="s">
        <v>1619</v>
      </c>
      <c r="H131" s="218" t="s">
        <v>939</v>
      </c>
      <c r="I131" s="252" t="s">
        <v>238</v>
      </c>
      <c r="J131" s="253" t="s">
        <v>139</v>
      </c>
      <c r="K131" s="254">
        <f t="shared" si="3"/>
        <v>30</v>
      </c>
      <c r="L131" s="255">
        <f t="shared" si="2"/>
        <v>0</v>
      </c>
      <c r="M131" s="219" t="s">
        <v>1805</v>
      </c>
    </row>
    <row r="132" spans="1:13" s="190" customFormat="1" ht="108">
      <c r="A132" s="218">
        <v>111</v>
      </c>
      <c r="B132" s="218" t="s">
        <v>1149</v>
      </c>
      <c r="C132" s="219" t="s">
        <v>1296</v>
      </c>
      <c r="D132" s="220">
        <f>VLOOKUP(B132,[13]AssetDetails_UEM!$A$3:$X$1848,22,FALSE)</f>
        <v>26460</v>
      </c>
      <c r="E132" s="218" t="s">
        <v>1426</v>
      </c>
      <c r="F132" s="218" t="s">
        <v>1559</v>
      </c>
      <c r="G132" s="218" t="s">
        <v>1619</v>
      </c>
      <c r="H132" s="218" t="s">
        <v>798</v>
      </c>
      <c r="I132" s="252" t="s">
        <v>238</v>
      </c>
      <c r="J132" s="253" t="s">
        <v>139</v>
      </c>
      <c r="K132" s="254">
        <f t="shared" si="3"/>
        <v>60</v>
      </c>
      <c r="L132" s="255">
        <f t="shared" si="2"/>
        <v>0</v>
      </c>
      <c r="M132" s="219" t="s">
        <v>1789</v>
      </c>
    </row>
    <row r="133" spans="1:13" s="190" customFormat="1" ht="108">
      <c r="A133" s="218">
        <v>112</v>
      </c>
      <c r="B133" s="218" t="s">
        <v>1150</v>
      </c>
      <c r="C133" s="219" t="s">
        <v>1296</v>
      </c>
      <c r="D133" s="220">
        <f>VLOOKUP(B133,[13]AssetDetails_UEM!$A$3:$X$1848,22,FALSE)</f>
        <v>26240</v>
      </c>
      <c r="E133" s="218" t="s">
        <v>1427</v>
      </c>
      <c r="F133" s="218" t="s">
        <v>1559</v>
      </c>
      <c r="G133" s="218" t="s">
        <v>1619</v>
      </c>
      <c r="H133" s="218" t="s">
        <v>939</v>
      </c>
      <c r="I133" s="252" t="s">
        <v>238</v>
      </c>
      <c r="J133" s="253" t="s">
        <v>139</v>
      </c>
      <c r="K133" s="254">
        <f t="shared" si="3"/>
        <v>60</v>
      </c>
      <c r="L133" s="255">
        <f t="shared" si="2"/>
        <v>0</v>
      </c>
      <c r="M133" s="219" t="s">
        <v>1789</v>
      </c>
    </row>
    <row r="134" spans="1:13" s="190" customFormat="1" ht="216">
      <c r="A134" s="218">
        <v>113</v>
      </c>
      <c r="B134" s="218" t="s">
        <v>719</v>
      </c>
      <c r="C134" s="219" t="s">
        <v>242</v>
      </c>
      <c r="D134" s="220">
        <f>VLOOKUP(B134,[13]AssetDetails_UEM!$A$3:$X$1848,22,FALSE)</f>
        <v>54100</v>
      </c>
      <c r="E134" s="218" t="s">
        <v>1428</v>
      </c>
      <c r="F134" s="218" t="s">
        <v>757</v>
      </c>
      <c r="G134" s="218" t="s">
        <v>1619</v>
      </c>
      <c r="H134" s="218" t="s">
        <v>1692</v>
      </c>
      <c r="I134" s="252" t="s">
        <v>238</v>
      </c>
      <c r="J134" s="253" t="s">
        <v>139</v>
      </c>
      <c r="K134" s="254">
        <f t="shared" si="3"/>
        <v>110</v>
      </c>
      <c r="L134" s="255">
        <f t="shared" si="2"/>
        <v>0</v>
      </c>
      <c r="M134" s="219" t="s">
        <v>1784</v>
      </c>
    </row>
    <row r="135" spans="1:13" s="190" customFormat="1" ht="216">
      <c r="A135" s="218">
        <v>114</v>
      </c>
      <c r="B135" s="218" t="s">
        <v>1151</v>
      </c>
      <c r="C135" s="219" t="s">
        <v>240</v>
      </c>
      <c r="D135" s="220">
        <f>VLOOKUP(B135,[13]AssetDetails_UEM!$A$3:$X$1848,22,FALSE)</f>
        <v>336</v>
      </c>
      <c r="E135" s="218" t="s">
        <v>1429</v>
      </c>
      <c r="F135" s="218" t="s">
        <v>1595</v>
      </c>
      <c r="G135" s="218" t="s">
        <v>1619</v>
      </c>
      <c r="H135" s="218" t="s">
        <v>1693</v>
      </c>
      <c r="I135" s="252" t="s">
        <v>238</v>
      </c>
      <c r="J135" s="253" t="s">
        <v>139</v>
      </c>
      <c r="K135" s="254">
        <f t="shared" si="3"/>
        <v>10</v>
      </c>
      <c r="L135" s="255">
        <f t="shared" si="2"/>
        <v>0</v>
      </c>
      <c r="M135" s="219" t="s">
        <v>1784</v>
      </c>
    </row>
    <row r="136" spans="1:13" s="190" customFormat="1" ht="125.1" customHeight="1">
      <c r="A136" s="218">
        <v>115</v>
      </c>
      <c r="B136" s="218" t="s">
        <v>1152</v>
      </c>
      <c r="C136" s="219" t="s">
        <v>1279</v>
      </c>
      <c r="D136" s="220">
        <f>VLOOKUP(B136,[13]AssetDetails_UEM!$A$3:$X$1848,22,FALSE)</f>
        <v>5050</v>
      </c>
      <c r="E136" s="218" t="s">
        <v>1430</v>
      </c>
      <c r="F136" s="218" t="s">
        <v>756</v>
      </c>
      <c r="G136" s="218" t="s">
        <v>1620</v>
      </c>
      <c r="H136" s="218" t="s">
        <v>1694</v>
      </c>
      <c r="I136" s="252" t="s">
        <v>238</v>
      </c>
      <c r="J136" s="253" t="s">
        <v>139</v>
      </c>
      <c r="K136" s="254">
        <f t="shared" si="3"/>
        <v>20</v>
      </c>
      <c r="L136" s="255">
        <f t="shared" si="2"/>
        <v>0</v>
      </c>
      <c r="M136" s="219" t="s">
        <v>1805</v>
      </c>
    </row>
    <row r="137" spans="1:13" s="190" customFormat="1" ht="135" customHeight="1">
      <c r="A137" s="218">
        <v>116</v>
      </c>
      <c r="B137" s="218" t="s">
        <v>1153</v>
      </c>
      <c r="C137" s="219" t="s">
        <v>1279</v>
      </c>
      <c r="D137" s="220">
        <f>VLOOKUP(B137,[13]AssetDetails_UEM!$A$3:$X$1848,22,FALSE)</f>
        <v>5050</v>
      </c>
      <c r="E137" s="218" t="s">
        <v>1431</v>
      </c>
      <c r="F137" s="218" t="s">
        <v>741</v>
      </c>
      <c r="G137" s="218" t="s">
        <v>1620</v>
      </c>
      <c r="H137" s="218" t="s">
        <v>1695</v>
      </c>
      <c r="I137" s="252" t="s">
        <v>238</v>
      </c>
      <c r="J137" s="253" t="s">
        <v>139</v>
      </c>
      <c r="K137" s="254">
        <f t="shared" si="3"/>
        <v>20</v>
      </c>
      <c r="L137" s="255">
        <f t="shared" si="2"/>
        <v>0</v>
      </c>
      <c r="M137" s="219" t="s">
        <v>1805</v>
      </c>
    </row>
    <row r="138" spans="1:13" s="190" customFormat="1" ht="144.94999999999999" customHeight="1">
      <c r="A138" s="218">
        <v>117</v>
      </c>
      <c r="B138" s="218" t="s">
        <v>1154</v>
      </c>
      <c r="C138" s="219" t="s">
        <v>246</v>
      </c>
      <c r="D138" s="220">
        <f>VLOOKUP(B138,[13]AssetDetails_UEM!$A$3:$X$1848,22,FALSE)</f>
        <v>28630</v>
      </c>
      <c r="E138" s="218" t="s">
        <v>1432</v>
      </c>
      <c r="F138" s="218" t="s">
        <v>189</v>
      </c>
      <c r="G138" s="218" t="s">
        <v>1620</v>
      </c>
      <c r="H138" s="218" t="s">
        <v>1696</v>
      </c>
      <c r="I138" s="252" t="s">
        <v>238</v>
      </c>
      <c r="J138" s="253" t="s">
        <v>139</v>
      </c>
      <c r="K138" s="254">
        <f t="shared" si="3"/>
        <v>60</v>
      </c>
      <c r="L138" s="255">
        <f t="shared" si="2"/>
        <v>0</v>
      </c>
      <c r="M138" s="219" t="s">
        <v>1802</v>
      </c>
    </row>
    <row r="139" spans="1:13" s="190" customFormat="1" ht="140.1" customHeight="1">
      <c r="A139" s="218">
        <v>118</v>
      </c>
      <c r="B139" s="218" t="s">
        <v>1155</v>
      </c>
      <c r="C139" s="219" t="s">
        <v>246</v>
      </c>
      <c r="D139" s="220">
        <f>VLOOKUP(B139,[13]AssetDetails_UEM!$A$3:$X$1848,22,FALSE)</f>
        <v>28630</v>
      </c>
      <c r="E139" s="218" t="s">
        <v>1433</v>
      </c>
      <c r="F139" s="218" t="s">
        <v>189</v>
      </c>
      <c r="G139" s="218" t="s">
        <v>1620</v>
      </c>
      <c r="H139" s="218" t="s">
        <v>1697</v>
      </c>
      <c r="I139" s="252" t="s">
        <v>238</v>
      </c>
      <c r="J139" s="253" t="s">
        <v>139</v>
      </c>
      <c r="K139" s="254">
        <f t="shared" si="3"/>
        <v>60</v>
      </c>
      <c r="L139" s="255">
        <f t="shared" si="2"/>
        <v>0</v>
      </c>
      <c r="M139" s="219" t="s">
        <v>1802</v>
      </c>
    </row>
    <row r="140" spans="1:13" s="190" customFormat="1" ht="125.1" customHeight="1">
      <c r="A140" s="218">
        <v>119</v>
      </c>
      <c r="B140" s="218" t="s">
        <v>1156</v>
      </c>
      <c r="C140" s="219" t="s">
        <v>1279</v>
      </c>
      <c r="D140" s="220">
        <f>VLOOKUP(B140,[13]AssetDetails_UEM!$A$3:$X$1848,22,FALSE)</f>
        <v>10585</v>
      </c>
      <c r="E140" s="218" t="s">
        <v>1434</v>
      </c>
      <c r="F140" s="218" t="s">
        <v>741</v>
      </c>
      <c r="G140" s="218" t="s">
        <v>1620</v>
      </c>
      <c r="H140" s="218" t="s">
        <v>1698</v>
      </c>
      <c r="I140" s="252" t="s">
        <v>238</v>
      </c>
      <c r="J140" s="253" t="s">
        <v>139</v>
      </c>
      <c r="K140" s="254">
        <f t="shared" si="3"/>
        <v>30</v>
      </c>
      <c r="L140" s="255">
        <f t="shared" si="2"/>
        <v>0</v>
      </c>
      <c r="M140" s="219" t="s">
        <v>1805</v>
      </c>
    </row>
    <row r="141" spans="1:13" s="190" customFormat="1" ht="216">
      <c r="A141" s="218">
        <v>120</v>
      </c>
      <c r="B141" s="218" t="s">
        <v>1157</v>
      </c>
      <c r="C141" s="219" t="s">
        <v>1297</v>
      </c>
      <c r="D141" s="220">
        <f>VLOOKUP(B141,[13]AssetDetails_UEM!$A$3:$X$1848,22,FALSE)</f>
        <v>31270</v>
      </c>
      <c r="E141" s="218" t="s">
        <v>1435</v>
      </c>
      <c r="F141" s="218" t="s">
        <v>1596</v>
      </c>
      <c r="G141" s="218" t="s">
        <v>1621</v>
      </c>
      <c r="H141" s="218" t="s">
        <v>1699</v>
      </c>
      <c r="I141" s="252" t="s">
        <v>238</v>
      </c>
      <c r="J141" s="253" t="s">
        <v>139</v>
      </c>
      <c r="K141" s="254">
        <f t="shared" si="3"/>
        <v>70</v>
      </c>
      <c r="L141" s="255">
        <f t="shared" ref="L141:L200" si="4">IF(J141="N",0,K141)</f>
        <v>0</v>
      </c>
      <c r="M141" s="219" t="s">
        <v>1784</v>
      </c>
    </row>
    <row r="142" spans="1:13" s="190" customFormat="1" ht="142.5" customHeight="1">
      <c r="A142" s="218">
        <v>121</v>
      </c>
      <c r="B142" s="218" t="s">
        <v>1158</v>
      </c>
      <c r="C142" s="219" t="s">
        <v>1009</v>
      </c>
      <c r="D142" s="220">
        <f>VLOOKUP(B142,[13]AssetDetails_UEM!$A$3:$X$1848,22,FALSE)</f>
        <v>10825</v>
      </c>
      <c r="E142" s="218" t="s">
        <v>1436</v>
      </c>
      <c r="F142" s="218" t="s">
        <v>146</v>
      </c>
      <c r="G142" s="218" t="s">
        <v>1621</v>
      </c>
      <c r="H142" s="218" t="s">
        <v>943</v>
      </c>
      <c r="I142" s="252" t="s">
        <v>238</v>
      </c>
      <c r="J142" s="253" t="s">
        <v>139</v>
      </c>
      <c r="K142" s="254">
        <f t="shared" ref="K142:K201" si="5">ROUNDUP((D142/4999.99)*10,-1)</f>
        <v>30</v>
      </c>
      <c r="L142" s="255">
        <f t="shared" si="4"/>
        <v>0</v>
      </c>
      <c r="M142" s="219" t="s">
        <v>1805</v>
      </c>
    </row>
    <row r="143" spans="1:13" s="190" customFormat="1" ht="112.5" customHeight="1">
      <c r="A143" s="218">
        <v>122</v>
      </c>
      <c r="B143" s="218" t="s">
        <v>1159</v>
      </c>
      <c r="C143" s="219" t="s">
        <v>243</v>
      </c>
      <c r="D143" s="220">
        <f>VLOOKUP(B143,[13]AssetDetails_UEM!$A$3:$X$1848,22,FALSE)</f>
        <v>15515</v>
      </c>
      <c r="E143" s="218" t="s">
        <v>1437</v>
      </c>
      <c r="F143" s="218" t="s">
        <v>1586</v>
      </c>
      <c r="G143" s="218" t="s">
        <v>1621</v>
      </c>
      <c r="H143" s="238">
        <v>46129.416666666664</v>
      </c>
      <c r="I143" s="252" t="s">
        <v>238</v>
      </c>
      <c r="J143" s="253" t="s">
        <v>139</v>
      </c>
      <c r="K143" s="254">
        <f t="shared" si="5"/>
        <v>40</v>
      </c>
      <c r="L143" s="255">
        <f t="shared" si="4"/>
        <v>0</v>
      </c>
      <c r="M143" s="219" t="s">
        <v>1889</v>
      </c>
    </row>
    <row r="144" spans="1:13" s="190" customFormat="1" ht="113.45" customHeight="1">
      <c r="A144" s="218">
        <v>123</v>
      </c>
      <c r="B144" s="218" t="s">
        <v>1160</v>
      </c>
      <c r="C144" s="219" t="s">
        <v>243</v>
      </c>
      <c r="D144" s="220">
        <f>VLOOKUP(B144,[13]AssetDetails_UEM!$A$3:$X$1848,22,FALSE)</f>
        <v>15515</v>
      </c>
      <c r="E144" s="218" t="s">
        <v>1438</v>
      </c>
      <c r="F144" s="218" t="s">
        <v>1586</v>
      </c>
      <c r="G144" s="218" t="s">
        <v>1621</v>
      </c>
      <c r="H144" s="238">
        <v>46129.458333333336</v>
      </c>
      <c r="I144" s="252" t="s">
        <v>238</v>
      </c>
      <c r="J144" s="253" t="s">
        <v>139</v>
      </c>
      <c r="K144" s="254">
        <f t="shared" si="5"/>
        <v>40</v>
      </c>
      <c r="L144" s="255">
        <f t="shared" si="4"/>
        <v>0</v>
      </c>
      <c r="M144" s="219" t="s">
        <v>1890</v>
      </c>
    </row>
    <row r="145" spans="1:14" s="190" customFormat="1" ht="127.5" customHeight="1">
      <c r="A145" s="218">
        <v>124</v>
      </c>
      <c r="B145" s="218" t="s">
        <v>1164</v>
      </c>
      <c r="C145" s="219" t="s">
        <v>1279</v>
      </c>
      <c r="D145" s="220">
        <f>VLOOKUP(B145,[13]AssetDetails_UEM!$A$3:$X$1848,22,FALSE)</f>
        <v>10585</v>
      </c>
      <c r="E145" s="218" t="s">
        <v>1442</v>
      </c>
      <c r="F145" s="218" t="s">
        <v>1597</v>
      </c>
      <c r="G145" s="218" t="s">
        <v>1621</v>
      </c>
      <c r="H145" s="218" t="s">
        <v>1700</v>
      </c>
      <c r="I145" s="252" t="s">
        <v>238</v>
      </c>
      <c r="J145" s="253" t="s">
        <v>139</v>
      </c>
      <c r="K145" s="254">
        <f t="shared" si="5"/>
        <v>30</v>
      </c>
      <c r="L145" s="255">
        <f t="shared" si="4"/>
        <v>0</v>
      </c>
      <c r="M145" s="219" t="s">
        <v>1805</v>
      </c>
    </row>
    <row r="146" spans="1:14" s="572" customFormat="1" ht="174.95" customHeight="1">
      <c r="A146" s="218">
        <v>125</v>
      </c>
      <c r="B146" s="535" t="s">
        <v>1166</v>
      </c>
      <c r="C146" s="269" t="s">
        <v>1287</v>
      </c>
      <c r="D146" s="222">
        <f>VLOOKUP(B146,[13]AssetDetails_UEM!$A$3:$X$1848,22,FALSE)</f>
        <v>54570</v>
      </c>
      <c r="E146" s="641" t="s">
        <v>1444</v>
      </c>
      <c r="F146" s="535" t="s">
        <v>297</v>
      </c>
      <c r="G146" s="540">
        <v>46129</v>
      </c>
      <c r="H146" s="540">
        <v>46139.666666666664</v>
      </c>
      <c r="I146" s="282">
        <v>46150</v>
      </c>
      <c r="J146" s="257" t="s">
        <v>139</v>
      </c>
      <c r="K146" s="258">
        <f>ROUNDUP((D146/4999.99)*10,-1)</f>
        <v>110</v>
      </c>
      <c r="L146" s="259">
        <f>IF(J146="N",0,K146)</f>
        <v>0</v>
      </c>
      <c r="M146" s="269" t="s">
        <v>1942</v>
      </c>
      <c r="N146" s="642" t="s">
        <v>1990</v>
      </c>
    </row>
    <row r="147" spans="1:14" s="190" customFormat="1" ht="172.5" customHeight="1">
      <c r="A147" s="218">
        <v>126</v>
      </c>
      <c r="B147" s="218" t="s">
        <v>1167</v>
      </c>
      <c r="C147" s="219" t="s">
        <v>1009</v>
      </c>
      <c r="D147" s="220">
        <f>VLOOKUP(B147,[13]AssetDetails_UEM!$A$3:$X$1848,22,FALSE)</f>
        <v>10225</v>
      </c>
      <c r="E147" s="218" t="s">
        <v>1445</v>
      </c>
      <c r="F147" s="218" t="s">
        <v>756</v>
      </c>
      <c r="G147" s="218" t="s">
        <v>1622</v>
      </c>
      <c r="H147" s="218" t="s">
        <v>1701</v>
      </c>
      <c r="I147" s="252" t="s">
        <v>238</v>
      </c>
      <c r="J147" s="253" t="s">
        <v>139</v>
      </c>
      <c r="K147" s="254">
        <f t="shared" si="5"/>
        <v>30</v>
      </c>
      <c r="L147" s="255">
        <f t="shared" si="4"/>
        <v>0</v>
      </c>
      <c r="M147" s="219" t="s">
        <v>1790</v>
      </c>
    </row>
    <row r="148" spans="1:14" s="190" customFormat="1" ht="159" customHeight="1">
      <c r="A148" s="218">
        <v>127</v>
      </c>
      <c r="B148" s="218" t="s">
        <v>1168</v>
      </c>
      <c r="C148" s="219" t="s">
        <v>144</v>
      </c>
      <c r="D148" s="220">
        <f>VLOOKUP(B148,[13]AssetDetails_UEM!$A$3:$X$1848,22,FALSE)</f>
        <v>10825</v>
      </c>
      <c r="E148" s="218" t="s">
        <v>1446</v>
      </c>
      <c r="F148" s="218" t="s">
        <v>756</v>
      </c>
      <c r="G148" s="218" t="s">
        <v>1622</v>
      </c>
      <c r="H148" s="218" t="s">
        <v>1702</v>
      </c>
      <c r="I148" s="252" t="s">
        <v>238</v>
      </c>
      <c r="J148" s="253" t="s">
        <v>139</v>
      </c>
      <c r="K148" s="254">
        <f t="shared" si="5"/>
        <v>30</v>
      </c>
      <c r="L148" s="255">
        <f t="shared" si="4"/>
        <v>0</v>
      </c>
      <c r="M148" s="219" t="s">
        <v>1790</v>
      </c>
    </row>
    <row r="149" spans="1:14" s="190" customFormat="1" ht="159" customHeight="1">
      <c r="A149" s="218">
        <v>128</v>
      </c>
      <c r="B149" s="218" t="s">
        <v>1169</v>
      </c>
      <c r="C149" s="219" t="s">
        <v>144</v>
      </c>
      <c r="D149" s="220">
        <f>VLOOKUP(B149,[13]AssetDetails_UEM!$A$3:$X$1848,22,FALSE)</f>
        <v>10825</v>
      </c>
      <c r="E149" s="218" t="s">
        <v>1447</v>
      </c>
      <c r="F149" s="218" t="s">
        <v>756</v>
      </c>
      <c r="G149" s="218" t="s">
        <v>1622</v>
      </c>
      <c r="H149" s="218" t="s">
        <v>1703</v>
      </c>
      <c r="I149" s="252" t="s">
        <v>238</v>
      </c>
      <c r="J149" s="253" t="s">
        <v>139</v>
      </c>
      <c r="K149" s="254">
        <f t="shared" si="5"/>
        <v>30</v>
      </c>
      <c r="L149" s="255">
        <f t="shared" si="4"/>
        <v>0</v>
      </c>
      <c r="M149" s="219" t="s">
        <v>1801</v>
      </c>
    </row>
    <row r="150" spans="1:14" s="190" customFormat="1" ht="123.95" customHeight="1">
      <c r="A150" s="218">
        <v>129</v>
      </c>
      <c r="B150" s="218" t="s">
        <v>1170</v>
      </c>
      <c r="C150" s="219" t="s">
        <v>240</v>
      </c>
      <c r="D150" s="220">
        <f>VLOOKUP(B150,[13]AssetDetails_UEM!$A$3:$X$1848,22,FALSE)</f>
        <v>7770</v>
      </c>
      <c r="E150" s="218" t="s">
        <v>1448</v>
      </c>
      <c r="F150" s="218" t="s">
        <v>756</v>
      </c>
      <c r="G150" s="218" t="s">
        <v>1622</v>
      </c>
      <c r="H150" s="218" t="s">
        <v>1704</v>
      </c>
      <c r="I150" s="252" t="s">
        <v>238</v>
      </c>
      <c r="J150" s="253" t="s">
        <v>139</v>
      </c>
      <c r="K150" s="254">
        <f t="shared" si="5"/>
        <v>20</v>
      </c>
      <c r="L150" s="255">
        <f t="shared" si="4"/>
        <v>0</v>
      </c>
      <c r="M150" s="219" t="s">
        <v>1790</v>
      </c>
    </row>
    <row r="151" spans="1:14" s="190" customFormat="1" ht="123.95" customHeight="1">
      <c r="A151" s="218">
        <v>130</v>
      </c>
      <c r="B151" s="218" t="s">
        <v>707</v>
      </c>
      <c r="C151" s="219" t="s">
        <v>242</v>
      </c>
      <c r="D151" s="220">
        <f>VLOOKUP(B151,[13]AssetDetails_UEM!$A$3:$X$1848,22,FALSE)</f>
        <v>44510</v>
      </c>
      <c r="E151" s="218" t="s">
        <v>1449</v>
      </c>
      <c r="F151" s="218" t="s">
        <v>244</v>
      </c>
      <c r="G151" s="218" t="s">
        <v>1622</v>
      </c>
      <c r="H151" s="218" t="s">
        <v>1703</v>
      </c>
      <c r="I151" s="252" t="s">
        <v>238</v>
      </c>
      <c r="J151" s="253" t="s">
        <v>139</v>
      </c>
      <c r="K151" s="254">
        <f t="shared" si="5"/>
        <v>90</v>
      </c>
      <c r="L151" s="255">
        <f t="shared" si="4"/>
        <v>0</v>
      </c>
      <c r="M151" s="219" t="s">
        <v>1802</v>
      </c>
    </row>
    <row r="152" spans="1:14" s="190" customFormat="1" ht="123.95" customHeight="1">
      <c r="A152" s="218">
        <v>131</v>
      </c>
      <c r="B152" s="218" t="s">
        <v>1171</v>
      </c>
      <c r="C152" s="219" t="s">
        <v>242</v>
      </c>
      <c r="D152" s="220">
        <f>VLOOKUP(B152,[13]AssetDetails_UEM!$A$3:$X$1848,22,FALSE)</f>
        <v>44510</v>
      </c>
      <c r="E152" s="218" t="s">
        <v>1450</v>
      </c>
      <c r="F152" s="218" t="s">
        <v>244</v>
      </c>
      <c r="G152" s="218" t="s">
        <v>1622</v>
      </c>
      <c r="H152" s="218" t="s">
        <v>1702</v>
      </c>
      <c r="I152" s="252" t="s">
        <v>238</v>
      </c>
      <c r="J152" s="253" t="s">
        <v>139</v>
      </c>
      <c r="K152" s="254">
        <f t="shared" si="5"/>
        <v>90</v>
      </c>
      <c r="L152" s="255">
        <f t="shared" si="4"/>
        <v>0</v>
      </c>
      <c r="M152" s="219" t="s">
        <v>1802</v>
      </c>
    </row>
    <row r="153" spans="1:14" s="190" customFormat="1" ht="116.45" customHeight="1">
      <c r="A153" s="218">
        <v>132</v>
      </c>
      <c r="B153" s="218" t="s">
        <v>1172</v>
      </c>
      <c r="C153" s="219" t="s">
        <v>246</v>
      </c>
      <c r="D153" s="220">
        <f>VLOOKUP(B153,[13]AssetDetails_UEM!$A$3:$X$1848,22,FALSE)</f>
        <v>28630</v>
      </c>
      <c r="E153" s="218" t="s">
        <v>1451</v>
      </c>
      <c r="F153" s="218" t="s">
        <v>189</v>
      </c>
      <c r="G153" s="218" t="s">
        <v>1622</v>
      </c>
      <c r="H153" s="218" t="s">
        <v>1705</v>
      </c>
      <c r="I153" s="252" t="s">
        <v>238</v>
      </c>
      <c r="J153" s="253" t="s">
        <v>139</v>
      </c>
      <c r="K153" s="254">
        <f t="shared" si="5"/>
        <v>60</v>
      </c>
      <c r="L153" s="255">
        <f t="shared" si="4"/>
        <v>0</v>
      </c>
      <c r="M153" s="219" t="s">
        <v>1802</v>
      </c>
    </row>
    <row r="154" spans="1:14" s="190" customFormat="1" ht="159" customHeight="1">
      <c r="A154" s="218">
        <v>133</v>
      </c>
      <c r="B154" s="218" t="s">
        <v>1173</v>
      </c>
      <c r="C154" s="219" t="s">
        <v>242</v>
      </c>
      <c r="D154" s="220">
        <f>VLOOKUP(B154,[13]AssetDetails_UEM!$A$3:$X$1848,22,FALSE)</f>
        <v>44510</v>
      </c>
      <c r="E154" s="218" t="s">
        <v>1452</v>
      </c>
      <c r="F154" s="218" t="s">
        <v>189</v>
      </c>
      <c r="G154" s="218" t="s">
        <v>1622</v>
      </c>
      <c r="H154" s="218" t="s">
        <v>1705</v>
      </c>
      <c r="I154" s="252" t="s">
        <v>238</v>
      </c>
      <c r="J154" s="253" t="s">
        <v>139</v>
      </c>
      <c r="K154" s="254">
        <f t="shared" si="5"/>
        <v>90</v>
      </c>
      <c r="L154" s="255">
        <f t="shared" si="4"/>
        <v>0</v>
      </c>
      <c r="M154" s="219" t="s">
        <v>1802</v>
      </c>
    </row>
    <row r="155" spans="1:14" s="190" customFormat="1" ht="138.94999999999999" customHeight="1">
      <c r="A155" s="218">
        <v>134</v>
      </c>
      <c r="B155" s="218" t="s">
        <v>1174</v>
      </c>
      <c r="C155" s="219" t="s">
        <v>242</v>
      </c>
      <c r="D155" s="220">
        <f>VLOOKUP(B155,[13]AssetDetails_UEM!$A$3:$X$1848,22,FALSE)</f>
        <v>44510</v>
      </c>
      <c r="E155" s="218" t="s">
        <v>1453</v>
      </c>
      <c r="F155" s="218" t="s">
        <v>189</v>
      </c>
      <c r="G155" s="218" t="s">
        <v>1622</v>
      </c>
      <c r="H155" s="218" t="s">
        <v>1706</v>
      </c>
      <c r="I155" s="252" t="s">
        <v>238</v>
      </c>
      <c r="J155" s="253" t="s">
        <v>139</v>
      </c>
      <c r="K155" s="254">
        <f t="shared" si="5"/>
        <v>90</v>
      </c>
      <c r="L155" s="255">
        <f t="shared" si="4"/>
        <v>0</v>
      </c>
      <c r="M155" s="219" t="s">
        <v>1802</v>
      </c>
    </row>
    <row r="156" spans="1:14" s="190" customFormat="1" ht="135" customHeight="1">
      <c r="A156" s="218">
        <v>135</v>
      </c>
      <c r="B156" s="218" t="s">
        <v>1175</v>
      </c>
      <c r="C156" s="219" t="s">
        <v>1298</v>
      </c>
      <c r="D156" s="220">
        <f>VLOOKUP(B156,[13]AssetDetails_UEM!$A$3:$X$1848,22,FALSE)</f>
        <v>18765</v>
      </c>
      <c r="E156" s="218" t="s">
        <v>1454</v>
      </c>
      <c r="F156" s="218" t="s">
        <v>1598</v>
      </c>
      <c r="G156" s="218" t="s">
        <v>1622</v>
      </c>
      <c r="H156" s="218" t="s">
        <v>1707</v>
      </c>
      <c r="I156" s="252" t="s">
        <v>238</v>
      </c>
      <c r="J156" s="253" t="s">
        <v>139</v>
      </c>
      <c r="K156" s="254">
        <f t="shared" si="5"/>
        <v>40</v>
      </c>
      <c r="L156" s="255">
        <f t="shared" si="4"/>
        <v>0</v>
      </c>
      <c r="M156" s="219" t="s">
        <v>1802</v>
      </c>
    </row>
    <row r="157" spans="1:14" s="190" customFormat="1" ht="123.6" customHeight="1">
      <c r="A157" s="218">
        <v>136</v>
      </c>
      <c r="B157" s="218" t="s">
        <v>1176</v>
      </c>
      <c r="C157" s="219" t="s">
        <v>144</v>
      </c>
      <c r="D157" s="220">
        <f>VLOOKUP(B157,[13]AssetDetails_UEM!$A$3:$X$1848,22,FALSE)</f>
        <v>10825</v>
      </c>
      <c r="E157" s="218" t="s">
        <v>1455</v>
      </c>
      <c r="F157" s="218" t="s">
        <v>146</v>
      </c>
      <c r="G157" s="218" t="s">
        <v>1622</v>
      </c>
      <c r="H157" s="218" t="s">
        <v>1708</v>
      </c>
      <c r="I157" s="252" t="s">
        <v>238</v>
      </c>
      <c r="J157" s="253" t="s">
        <v>139</v>
      </c>
      <c r="K157" s="254">
        <f t="shared" si="5"/>
        <v>30</v>
      </c>
      <c r="L157" s="255">
        <f t="shared" si="4"/>
        <v>0</v>
      </c>
      <c r="M157" s="219" t="s">
        <v>1805</v>
      </c>
    </row>
    <row r="158" spans="1:14" s="190" customFormat="1" ht="120.95" customHeight="1">
      <c r="A158" s="218">
        <v>137</v>
      </c>
      <c r="B158" s="218" t="s">
        <v>1177</v>
      </c>
      <c r="C158" s="219" t="s">
        <v>144</v>
      </c>
      <c r="D158" s="220">
        <f>VLOOKUP(B158,[13]AssetDetails_UEM!$A$3:$X$1848,22,FALSE)</f>
        <v>10825</v>
      </c>
      <c r="E158" s="218" t="s">
        <v>1456</v>
      </c>
      <c r="F158" s="218" t="s">
        <v>146</v>
      </c>
      <c r="G158" s="218" t="s">
        <v>1622</v>
      </c>
      <c r="H158" s="218" t="s">
        <v>1707</v>
      </c>
      <c r="I158" s="252" t="s">
        <v>238</v>
      </c>
      <c r="J158" s="253" t="s">
        <v>139</v>
      </c>
      <c r="K158" s="254">
        <f t="shared" si="5"/>
        <v>30</v>
      </c>
      <c r="L158" s="255">
        <f t="shared" si="4"/>
        <v>0</v>
      </c>
      <c r="M158" s="219" t="s">
        <v>1805</v>
      </c>
    </row>
    <row r="159" spans="1:14" s="190" customFormat="1" ht="216">
      <c r="A159" s="218">
        <v>138</v>
      </c>
      <c r="B159" s="218" t="s">
        <v>1178</v>
      </c>
      <c r="C159" s="219" t="s">
        <v>1293</v>
      </c>
      <c r="D159" s="220">
        <f>VLOOKUP(B159,[13]AssetDetails_UEM!$A$3:$X$1848,22,FALSE)</f>
        <v>84200</v>
      </c>
      <c r="E159" s="218" t="s">
        <v>1457</v>
      </c>
      <c r="F159" s="218" t="s">
        <v>1599</v>
      </c>
      <c r="G159" s="218" t="s">
        <v>1623</v>
      </c>
      <c r="H159" s="218" t="s">
        <v>1709</v>
      </c>
      <c r="I159" s="252" t="s">
        <v>238</v>
      </c>
      <c r="J159" s="253" t="s">
        <v>139</v>
      </c>
      <c r="K159" s="254">
        <f t="shared" si="5"/>
        <v>170</v>
      </c>
      <c r="L159" s="255">
        <f t="shared" si="4"/>
        <v>0</v>
      </c>
      <c r="M159" s="219" t="s">
        <v>1803</v>
      </c>
    </row>
    <row r="160" spans="1:14" s="190" customFormat="1" ht="216">
      <c r="A160" s="218">
        <v>139</v>
      </c>
      <c r="B160" s="218" t="s">
        <v>1179</v>
      </c>
      <c r="C160" s="219" t="s">
        <v>1294</v>
      </c>
      <c r="D160" s="220">
        <f>VLOOKUP(B160,[13]AssetDetails_UEM!$A$3:$X$1848,22,FALSE)</f>
        <v>6615</v>
      </c>
      <c r="E160" s="218" t="s">
        <v>1458</v>
      </c>
      <c r="F160" s="218" t="s">
        <v>1599</v>
      </c>
      <c r="G160" s="218" t="s">
        <v>1623</v>
      </c>
      <c r="H160" s="218" t="s">
        <v>949</v>
      </c>
      <c r="I160" s="252" t="s">
        <v>238</v>
      </c>
      <c r="J160" s="253" t="s">
        <v>139</v>
      </c>
      <c r="K160" s="254">
        <f t="shared" si="5"/>
        <v>20</v>
      </c>
      <c r="L160" s="255">
        <f t="shared" si="4"/>
        <v>0</v>
      </c>
      <c r="M160" s="219" t="s">
        <v>1791</v>
      </c>
    </row>
    <row r="161" spans="1:13" s="190" customFormat="1" ht="252">
      <c r="A161" s="218">
        <v>140</v>
      </c>
      <c r="B161" s="218" t="s">
        <v>1180</v>
      </c>
      <c r="C161" s="219" t="s">
        <v>1009</v>
      </c>
      <c r="D161" s="220">
        <f>VLOOKUP(B161,[13]AssetDetails_UEM!$A$3:$X$1848,22,FALSE)</f>
        <v>10225</v>
      </c>
      <c r="E161" s="218" t="s">
        <v>1459</v>
      </c>
      <c r="F161" s="218" t="s">
        <v>1599</v>
      </c>
      <c r="G161" s="218" t="s">
        <v>1623</v>
      </c>
      <c r="H161" s="218" t="s">
        <v>598</v>
      </c>
      <c r="I161" s="252" t="s">
        <v>238</v>
      </c>
      <c r="J161" s="253" t="s">
        <v>139</v>
      </c>
      <c r="K161" s="254">
        <f t="shared" si="5"/>
        <v>30</v>
      </c>
      <c r="L161" s="255">
        <f t="shared" si="4"/>
        <v>0</v>
      </c>
      <c r="M161" s="219" t="s">
        <v>1965</v>
      </c>
    </row>
    <row r="162" spans="1:13" s="190" customFormat="1" ht="216">
      <c r="A162" s="218">
        <v>141</v>
      </c>
      <c r="B162" s="218" t="s">
        <v>1181</v>
      </c>
      <c r="C162" s="219" t="s">
        <v>1009</v>
      </c>
      <c r="D162" s="220">
        <f>VLOOKUP(B162,[13]AssetDetails_UEM!$A$3:$X$1848,22,FALSE)</f>
        <v>10225</v>
      </c>
      <c r="E162" s="218" t="s">
        <v>1460</v>
      </c>
      <c r="F162" s="218" t="s">
        <v>1599</v>
      </c>
      <c r="G162" s="218" t="s">
        <v>1623</v>
      </c>
      <c r="H162" s="218" t="s">
        <v>1710</v>
      </c>
      <c r="I162" s="252" t="s">
        <v>238</v>
      </c>
      <c r="J162" s="253" t="s">
        <v>139</v>
      </c>
      <c r="K162" s="254">
        <f t="shared" si="5"/>
        <v>30</v>
      </c>
      <c r="L162" s="255">
        <f t="shared" si="4"/>
        <v>0</v>
      </c>
      <c r="M162" s="219" t="s">
        <v>1803</v>
      </c>
    </row>
    <row r="163" spans="1:13" s="190" customFormat="1" ht="216">
      <c r="A163" s="218">
        <v>142</v>
      </c>
      <c r="B163" s="218" t="s">
        <v>1182</v>
      </c>
      <c r="C163" s="219" t="s">
        <v>1009</v>
      </c>
      <c r="D163" s="220">
        <f>VLOOKUP(B163,[13]AssetDetails_UEM!$A$3:$X$1848,22,FALSE)</f>
        <v>10225</v>
      </c>
      <c r="E163" s="218" t="s">
        <v>1461</v>
      </c>
      <c r="F163" s="218" t="s">
        <v>1599</v>
      </c>
      <c r="G163" s="218" t="s">
        <v>1623</v>
      </c>
      <c r="H163" s="218" t="s">
        <v>595</v>
      </c>
      <c r="I163" s="252" t="s">
        <v>238</v>
      </c>
      <c r="J163" s="253" t="s">
        <v>139</v>
      </c>
      <c r="K163" s="254">
        <f t="shared" si="5"/>
        <v>30</v>
      </c>
      <c r="L163" s="255">
        <f t="shared" si="4"/>
        <v>0</v>
      </c>
      <c r="M163" s="219" t="s">
        <v>1803</v>
      </c>
    </row>
    <row r="164" spans="1:13" s="190" customFormat="1" ht="216">
      <c r="A164" s="218">
        <v>143</v>
      </c>
      <c r="B164" s="218" t="s">
        <v>1183</v>
      </c>
      <c r="C164" s="219" t="s">
        <v>1009</v>
      </c>
      <c r="D164" s="220">
        <f>VLOOKUP(B164,[13]AssetDetails_UEM!$A$3:$X$1848,22,FALSE)</f>
        <v>10225</v>
      </c>
      <c r="E164" s="218" t="s">
        <v>1462</v>
      </c>
      <c r="F164" s="218" t="s">
        <v>1599</v>
      </c>
      <c r="G164" s="218" t="s">
        <v>1623</v>
      </c>
      <c r="H164" s="218" t="s">
        <v>581</v>
      </c>
      <c r="I164" s="252" t="s">
        <v>238</v>
      </c>
      <c r="J164" s="253" t="s">
        <v>139</v>
      </c>
      <c r="K164" s="254">
        <f t="shared" si="5"/>
        <v>30</v>
      </c>
      <c r="L164" s="255">
        <f t="shared" si="4"/>
        <v>0</v>
      </c>
      <c r="M164" s="219" t="s">
        <v>1803</v>
      </c>
    </row>
    <row r="165" spans="1:13" s="190" customFormat="1" ht="216">
      <c r="A165" s="218">
        <v>144</v>
      </c>
      <c r="B165" s="218" t="s">
        <v>1184</v>
      </c>
      <c r="C165" s="219" t="s">
        <v>1009</v>
      </c>
      <c r="D165" s="220">
        <f>VLOOKUP(B165,[13]AssetDetails_UEM!$A$3:$X$1848,22,FALSE)</f>
        <v>10225</v>
      </c>
      <c r="E165" s="218" t="s">
        <v>1463</v>
      </c>
      <c r="F165" s="218" t="s">
        <v>1599</v>
      </c>
      <c r="G165" s="218" t="s">
        <v>1623</v>
      </c>
      <c r="H165" s="218" t="s">
        <v>960</v>
      </c>
      <c r="I165" s="252" t="s">
        <v>238</v>
      </c>
      <c r="J165" s="253" t="s">
        <v>139</v>
      </c>
      <c r="K165" s="254">
        <f t="shared" si="5"/>
        <v>30</v>
      </c>
      <c r="L165" s="255">
        <f t="shared" si="4"/>
        <v>0</v>
      </c>
      <c r="M165" s="219" t="s">
        <v>1803</v>
      </c>
    </row>
    <row r="166" spans="1:13" s="572" customFormat="1" ht="216">
      <c r="A166" s="218">
        <v>145</v>
      </c>
      <c r="B166" s="535" t="s">
        <v>1185</v>
      </c>
      <c r="C166" s="269" t="s">
        <v>1009</v>
      </c>
      <c r="D166" s="222">
        <f>VLOOKUP(B166,[13]AssetDetails_UEM!$A$3:$X$1848,22,FALSE)</f>
        <v>10225</v>
      </c>
      <c r="E166" s="535" t="s">
        <v>1464</v>
      </c>
      <c r="F166" s="535" t="s">
        <v>1599</v>
      </c>
      <c r="G166" s="535" t="s">
        <v>1623</v>
      </c>
      <c r="H166" s="540">
        <v>46133.625</v>
      </c>
      <c r="I166" s="256" t="s">
        <v>238</v>
      </c>
      <c r="J166" s="257" t="s">
        <v>139</v>
      </c>
      <c r="K166" s="258">
        <f t="shared" si="5"/>
        <v>30</v>
      </c>
      <c r="L166" s="259">
        <f t="shared" si="4"/>
        <v>0</v>
      </c>
      <c r="M166" s="269" t="s">
        <v>1803</v>
      </c>
    </row>
    <row r="167" spans="1:13" s="190" customFormat="1" ht="216">
      <c r="A167" s="218">
        <v>146</v>
      </c>
      <c r="B167" s="218" t="s">
        <v>1186</v>
      </c>
      <c r="C167" s="219" t="s">
        <v>144</v>
      </c>
      <c r="D167" s="220">
        <f>VLOOKUP(B167,[13]AssetDetails_UEM!$A$3:$X$1848,22,FALSE)</f>
        <v>10825</v>
      </c>
      <c r="E167" s="218" t="s">
        <v>1465</v>
      </c>
      <c r="F167" s="218" t="s">
        <v>1599</v>
      </c>
      <c r="G167" s="218" t="s">
        <v>1623</v>
      </c>
      <c r="H167" s="218" t="s">
        <v>947</v>
      </c>
      <c r="I167" s="252" t="s">
        <v>238</v>
      </c>
      <c r="J167" s="253" t="s">
        <v>139</v>
      </c>
      <c r="K167" s="254">
        <f t="shared" si="5"/>
        <v>30</v>
      </c>
      <c r="L167" s="255">
        <f t="shared" si="4"/>
        <v>0</v>
      </c>
      <c r="M167" s="219" t="s">
        <v>1803</v>
      </c>
    </row>
    <row r="168" spans="1:13" s="190" customFormat="1" ht="216">
      <c r="A168" s="218">
        <v>147</v>
      </c>
      <c r="B168" s="218" t="s">
        <v>1187</v>
      </c>
      <c r="C168" s="219" t="s">
        <v>144</v>
      </c>
      <c r="D168" s="220">
        <f>VLOOKUP(B168,[13]AssetDetails_UEM!$A$3:$X$1848,22,FALSE)</f>
        <v>10825</v>
      </c>
      <c r="E168" s="218" t="s">
        <v>1466</v>
      </c>
      <c r="F168" s="218" t="s">
        <v>1599</v>
      </c>
      <c r="G168" s="218" t="s">
        <v>1623</v>
      </c>
      <c r="H168" s="218" t="s">
        <v>1711</v>
      </c>
      <c r="I168" s="252" t="s">
        <v>238</v>
      </c>
      <c r="J168" s="253" t="s">
        <v>139</v>
      </c>
      <c r="K168" s="254">
        <f t="shared" si="5"/>
        <v>30</v>
      </c>
      <c r="L168" s="255">
        <f t="shared" si="4"/>
        <v>0</v>
      </c>
      <c r="M168" s="219" t="s">
        <v>1803</v>
      </c>
    </row>
    <row r="169" spans="1:13" s="190" customFormat="1" ht="216">
      <c r="A169" s="218">
        <v>148</v>
      </c>
      <c r="B169" s="218" t="s">
        <v>1188</v>
      </c>
      <c r="C169" s="219" t="s">
        <v>1295</v>
      </c>
      <c r="D169" s="220">
        <f>VLOOKUP(B169,[13]AssetDetails_UEM!$A$3:$X$1848,22,FALSE)</f>
        <v>13470</v>
      </c>
      <c r="E169" s="218" t="s">
        <v>1467</v>
      </c>
      <c r="F169" s="218" t="s">
        <v>1599</v>
      </c>
      <c r="G169" s="218" t="s">
        <v>1623</v>
      </c>
      <c r="H169" s="218" t="s">
        <v>1709</v>
      </c>
      <c r="I169" s="252" t="s">
        <v>238</v>
      </c>
      <c r="J169" s="253" t="s">
        <v>139</v>
      </c>
      <c r="K169" s="254">
        <f t="shared" si="5"/>
        <v>30</v>
      </c>
      <c r="L169" s="255">
        <f t="shared" si="4"/>
        <v>0</v>
      </c>
      <c r="M169" s="219" t="s">
        <v>1803</v>
      </c>
    </row>
    <row r="170" spans="1:13" s="190" customFormat="1" ht="131.44999999999999" customHeight="1">
      <c r="A170" s="218">
        <v>149</v>
      </c>
      <c r="B170" s="218" t="s">
        <v>1189</v>
      </c>
      <c r="C170" s="219" t="s">
        <v>144</v>
      </c>
      <c r="D170" s="220">
        <f>VLOOKUP(B170,[13]AssetDetails_UEM!$A$3:$X$1848,22,FALSE)</f>
        <v>10825</v>
      </c>
      <c r="E170" s="218" t="s">
        <v>1468</v>
      </c>
      <c r="F170" s="218" t="s">
        <v>756</v>
      </c>
      <c r="G170" s="218" t="s">
        <v>1610</v>
      </c>
      <c r="H170" s="218" t="s">
        <v>1712</v>
      </c>
      <c r="I170" s="252" t="s">
        <v>238</v>
      </c>
      <c r="J170" s="253" t="s">
        <v>139</v>
      </c>
      <c r="K170" s="254">
        <f t="shared" si="5"/>
        <v>30</v>
      </c>
      <c r="L170" s="255">
        <f t="shared" si="4"/>
        <v>0</v>
      </c>
      <c r="M170" s="219" t="s">
        <v>1792</v>
      </c>
    </row>
    <row r="171" spans="1:13" s="190" customFormat="1" ht="131.44999999999999" customHeight="1">
      <c r="A171" s="218">
        <v>150</v>
      </c>
      <c r="B171" s="218" t="s">
        <v>1190</v>
      </c>
      <c r="C171" s="219" t="s">
        <v>144</v>
      </c>
      <c r="D171" s="220">
        <f>VLOOKUP(B171,[13]AssetDetails_UEM!$A$3:$X$1848,22,FALSE)</f>
        <v>10825</v>
      </c>
      <c r="E171" s="218" t="s">
        <v>1469</v>
      </c>
      <c r="F171" s="218" t="s">
        <v>743</v>
      </c>
      <c r="G171" s="218" t="s">
        <v>1610</v>
      </c>
      <c r="H171" s="218" t="s">
        <v>1712</v>
      </c>
      <c r="I171" s="252" t="s">
        <v>238</v>
      </c>
      <c r="J171" s="253" t="s">
        <v>139</v>
      </c>
      <c r="K171" s="254">
        <f t="shared" si="5"/>
        <v>30</v>
      </c>
      <c r="L171" s="255">
        <f t="shared" si="4"/>
        <v>0</v>
      </c>
      <c r="M171" s="219" t="s">
        <v>1775</v>
      </c>
    </row>
    <row r="172" spans="1:13" s="190" customFormat="1" ht="123.95" customHeight="1">
      <c r="A172" s="218">
        <v>151</v>
      </c>
      <c r="B172" s="218" t="s">
        <v>1191</v>
      </c>
      <c r="C172" s="219" t="s">
        <v>1009</v>
      </c>
      <c r="D172" s="220">
        <f>VLOOKUP(B172,[13]AssetDetails_UEM!$A$3:$X$1848,22,FALSE)</f>
        <v>10225</v>
      </c>
      <c r="E172" s="218" t="s">
        <v>1470</v>
      </c>
      <c r="F172" s="218" t="s">
        <v>756</v>
      </c>
      <c r="G172" s="218" t="s">
        <v>1624</v>
      </c>
      <c r="H172" s="218" t="s">
        <v>1713</v>
      </c>
      <c r="I172" s="252" t="s">
        <v>238</v>
      </c>
      <c r="J172" s="253" t="s">
        <v>139</v>
      </c>
      <c r="K172" s="254">
        <f t="shared" si="5"/>
        <v>30</v>
      </c>
      <c r="L172" s="255">
        <f t="shared" si="4"/>
        <v>0</v>
      </c>
      <c r="M172" s="219" t="s">
        <v>1805</v>
      </c>
    </row>
    <row r="173" spans="1:13" s="190" customFormat="1" ht="123.95" customHeight="1">
      <c r="A173" s="218">
        <v>152</v>
      </c>
      <c r="B173" s="218" t="s">
        <v>718</v>
      </c>
      <c r="C173" s="219" t="s">
        <v>144</v>
      </c>
      <c r="D173" s="220">
        <f>VLOOKUP(B173,[13]AssetDetails_UEM!$A$3:$X$1848,22,FALSE)</f>
        <v>10825</v>
      </c>
      <c r="E173" s="218" t="s">
        <v>1471</v>
      </c>
      <c r="F173" s="218" t="s">
        <v>756</v>
      </c>
      <c r="G173" s="218" t="s">
        <v>1624</v>
      </c>
      <c r="H173" s="218" t="s">
        <v>1714</v>
      </c>
      <c r="I173" s="252" t="s">
        <v>238</v>
      </c>
      <c r="J173" s="253" t="s">
        <v>139</v>
      </c>
      <c r="K173" s="254">
        <f t="shared" si="5"/>
        <v>30</v>
      </c>
      <c r="L173" s="255">
        <f t="shared" si="4"/>
        <v>0</v>
      </c>
      <c r="M173" s="219" t="s">
        <v>1790</v>
      </c>
    </row>
    <row r="174" spans="1:13" s="190" customFormat="1" ht="123.95" customHeight="1">
      <c r="A174" s="218">
        <v>153</v>
      </c>
      <c r="B174" s="218" t="s">
        <v>1192</v>
      </c>
      <c r="C174" s="219" t="s">
        <v>144</v>
      </c>
      <c r="D174" s="220">
        <f>VLOOKUP(B174,[13]AssetDetails_UEM!$A$3:$X$1848,22,FALSE)</f>
        <v>10825</v>
      </c>
      <c r="E174" s="218" t="s">
        <v>1472</v>
      </c>
      <c r="F174" s="218" t="s">
        <v>756</v>
      </c>
      <c r="G174" s="218" t="s">
        <v>1624</v>
      </c>
      <c r="H174" s="218" t="s">
        <v>1715</v>
      </c>
      <c r="I174" s="252" t="s">
        <v>238</v>
      </c>
      <c r="J174" s="253" t="s">
        <v>139</v>
      </c>
      <c r="K174" s="254">
        <f t="shared" si="5"/>
        <v>30</v>
      </c>
      <c r="L174" s="255">
        <f t="shared" si="4"/>
        <v>0</v>
      </c>
      <c r="M174" s="219" t="s">
        <v>1790</v>
      </c>
    </row>
    <row r="175" spans="1:13" s="190" customFormat="1" ht="118.5" customHeight="1">
      <c r="A175" s="218">
        <v>154</v>
      </c>
      <c r="B175" s="218" t="s">
        <v>1193</v>
      </c>
      <c r="C175" s="219" t="s">
        <v>144</v>
      </c>
      <c r="D175" s="220">
        <f>VLOOKUP(B175,[13]AssetDetails_UEM!$A$3:$X$1848,22,FALSE)</f>
        <v>10825</v>
      </c>
      <c r="E175" s="218" t="s">
        <v>1473</v>
      </c>
      <c r="F175" s="218" t="s">
        <v>756</v>
      </c>
      <c r="G175" s="218" t="s">
        <v>1624</v>
      </c>
      <c r="H175" s="643">
        <v>46135.416666666664</v>
      </c>
      <c r="I175" s="252" t="s">
        <v>238</v>
      </c>
      <c r="J175" s="253" t="s">
        <v>139</v>
      </c>
      <c r="K175" s="254">
        <f t="shared" si="5"/>
        <v>30</v>
      </c>
      <c r="L175" s="255">
        <f t="shared" si="4"/>
        <v>0</v>
      </c>
      <c r="M175" s="219" t="s">
        <v>1805</v>
      </c>
    </row>
    <row r="176" spans="1:13" s="190" customFormat="1" ht="114.6" customHeight="1">
      <c r="A176" s="218">
        <v>155</v>
      </c>
      <c r="B176" s="218" t="s">
        <v>1194</v>
      </c>
      <c r="C176" s="219" t="s">
        <v>144</v>
      </c>
      <c r="D176" s="220">
        <f>VLOOKUP(B176,[13]AssetDetails_UEM!$A$3:$X$1848,22,FALSE)</f>
        <v>10825</v>
      </c>
      <c r="E176" s="218" t="s">
        <v>1474</v>
      </c>
      <c r="F176" s="218" t="s">
        <v>756</v>
      </c>
      <c r="G176" s="218" t="s">
        <v>1624</v>
      </c>
      <c r="H176" s="218" t="s">
        <v>1716</v>
      </c>
      <c r="I176" s="252" t="s">
        <v>238</v>
      </c>
      <c r="J176" s="253" t="s">
        <v>139</v>
      </c>
      <c r="K176" s="254">
        <f t="shared" si="5"/>
        <v>30</v>
      </c>
      <c r="L176" s="255">
        <f t="shared" si="4"/>
        <v>0</v>
      </c>
      <c r="M176" s="219" t="s">
        <v>1790</v>
      </c>
    </row>
    <row r="177" spans="1:13" s="190" customFormat="1" ht="146.1" customHeight="1">
      <c r="A177" s="218">
        <v>156</v>
      </c>
      <c r="B177" s="218" t="s">
        <v>1195</v>
      </c>
      <c r="C177" s="219" t="s">
        <v>240</v>
      </c>
      <c r="D177" s="220">
        <f>VLOOKUP(B177,[13]AssetDetails_UEM!$A$3:$X$1848,22,FALSE)</f>
        <v>7770</v>
      </c>
      <c r="E177" s="218" t="s">
        <v>1475</v>
      </c>
      <c r="F177" s="218" t="s">
        <v>1600</v>
      </c>
      <c r="G177" s="218" t="s">
        <v>1624</v>
      </c>
      <c r="H177" s="218" t="s">
        <v>1717</v>
      </c>
      <c r="I177" s="252" t="s">
        <v>238</v>
      </c>
      <c r="J177" s="253" t="s">
        <v>139</v>
      </c>
      <c r="K177" s="254">
        <f t="shared" si="5"/>
        <v>20</v>
      </c>
      <c r="L177" s="255">
        <f t="shared" si="4"/>
        <v>0</v>
      </c>
      <c r="M177" s="219" t="s">
        <v>1801</v>
      </c>
    </row>
    <row r="178" spans="1:13" s="190" customFormat="1" ht="123.6" customHeight="1">
      <c r="A178" s="218">
        <v>157</v>
      </c>
      <c r="B178" s="218" t="s">
        <v>1196</v>
      </c>
      <c r="C178" s="219" t="s">
        <v>144</v>
      </c>
      <c r="D178" s="220">
        <f>VLOOKUP(B178,[13]AssetDetails_UEM!$A$3:$X$1848,22,FALSE)</f>
        <v>10825</v>
      </c>
      <c r="E178" s="218" t="s">
        <v>1476</v>
      </c>
      <c r="F178" s="218" t="s">
        <v>756</v>
      </c>
      <c r="G178" s="218" t="s">
        <v>1625</v>
      </c>
      <c r="H178" s="218" t="s">
        <v>1718</v>
      </c>
      <c r="I178" s="252" t="s">
        <v>238</v>
      </c>
      <c r="J178" s="253" t="s">
        <v>139</v>
      </c>
      <c r="K178" s="254">
        <f t="shared" si="5"/>
        <v>30</v>
      </c>
      <c r="L178" s="255">
        <f t="shared" si="4"/>
        <v>0</v>
      </c>
      <c r="M178" s="219" t="s">
        <v>1790</v>
      </c>
    </row>
    <row r="179" spans="1:13" s="190" customFormat="1" ht="123.6" customHeight="1">
      <c r="A179" s="218">
        <v>158</v>
      </c>
      <c r="B179" s="218" t="s">
        <v>1197</v>
      </c>
      <c r="C179" s="219" t="s">
        <v>144</v>
      </c>
      <c r="D179" s="220">
        <f>VLOOKUP(B179,[13]AssetDetails_UEM!$A$3:$X$1848,22,FALSE)</f>
        <v>10825</v>
      </c>
      <c r="E179" s="218" t="s">
        <v>1477</v>
      </c>
      <c r="F179" s="218" t="s">
        <v>756</v>
      </c>
      <c r="G179" s="218" t="s">
        <v>1625</v>
      </c>
      <c r="H179" s="218" t="s">
        <v>1719</v>
      </c>
      <c r="I179" s="252" t="s">
        <v>238</v>
      </c>
      <c r="J179" s="253" t="s">
        <v>139</v>
      </c>
      <c r="K179" s="254">
        <f t="shared" si="5"/>
        <v>30</v>
      </c>
      <c r="L179" s="255">
        <f t="shared" si="4"/>
        <v>0</v>
      </c>
      <c r="M179" s="219" t="s">
        <v>1790</v>
      </c>
    </row>
    <row r="180" spans="1:13" s="190" customFormat="1" ht="131.1" customHeight="1">
      <c r="A180" s="218">
        <v>159</v>
      </c>
      <c r="B180" s="218" t="s">
        <v>1198</v>
      </c>
      <c r="C180" s="219" t="s">
        <v>1288</v>
      </c>
      <c r="D180" s="220">
        <f>VLOOKUP(B180,[13]AssetDetails_UEM!$A$3:$X$1848,22,FALSE)</f>
        <v>1200</v>
      </c>
      <c r="E180" s="218" t="s">
        <v>1478</v>
      </c>
      <c r="F180" s="218" t="s">
        <v>739</v>
      </c>
      <c r="G180" s="218" t="s">
        <v>1625</v>
      </c>
      <c r="H180" s="218" t="s">
        <v>1718</v>
      </c>
      <c r="I180" s="252" t="s">
        <v>238</v>
      </c>
      <c r="J180" s="253" t="s">
        <v>139</v>
      </c>
      <c r="K180" s="254">
        <f t="shared" si="5"/>
        <v>10</v>
      </c>
      <c r="L180" s="255">
        <f t="shared" si="4"/>
        <v>0</v>
      </c>
      <c r="M180" s="219" t="s">
        <v>1966</v>
      </c>
    </row>
    <row r="181" spans="1:13" s="190" customFormat="1" ht="131.1" customHeight="1">
      <c r="A181" s="218">
        <v>160</v>
      </c>
      <c r="B181" s="218" t="s">
        <v>1199</v>
      </c>
      <c r="C181" s="219" t="s">
        <v>1275</v>
      </c>
      <c r="D181" s="220">
        <f>VLOOKUP(B181,[13]AssetDetails_UEM!$A$3:$X$1848,22,FALSE)</f>
        <v>24060</v>
      </c>
      <c r="E181" s="218" t="s">
        <v>1479</v>
      </c>
      <c r="F181" s="218" t="s">
        <v>1601</v>
      </c>
      <c r="G181" s="218" t="s">
        <v>1625</v>
      </c>
      <c r="H181" s="218" t="s">
        <v>1720</v>
      </c>
      <c r="I181" s="252" t="s">
        <v>238</v>
      </c>
      <c r="J181" s="253" t="s">
        <v>139</v>
      </c>
      <c r="K181" s="254">
        <f t="shared" si="5"/>
        <v>50</v>
      </c>
      <c r="L181" s="255">
        <f t="shared" si="4"/>
        <v>0</v>
      </c>
      <c r="M181" s="219" t="s">
        <v>1966</v>
      </c>
    </row>
    <row r="182" spans="1:13" s="190" customFormat="1" ht="141" customHeight="1">
      <c r="A182" s="218">
        <v>161</v>
      </c>
      <c r="B182" s="218" t="s">
        <v>1200</v>
      </c>
      <c r="C182" s="219" t="s">
        <v>1288</v>
      </c>
      <c r="D182" s="220">
        <f>VLOOKUP(B182,[13]AssetDetails_UEM!$A$3:$X$1848,22,FALSE)</f>
        <v>4570</v>
      </c>
      <c r="E182" s="218" t="s">
        <v>1480</v>
      </c>
      <c r="F182" s="218" t="s">
        <v>289</v>
      </c>
      <c r="G182" s="218" t="s">
        <v>1625</v>
      </c>
      <c r="H182" s="218" t="s">
        <v>1721</v>
      </c>
      <c r="I182" s="252" t="s">
        <v>238</v>
      </c>
      <c r="J182" s="253" t="s">
        <v>139</v>
      </c>
      <c r="K182" s="254">
        <f t="shared" si="5"/>
        <v>10</v>
      </c>
      <c r="L182" s="255">
        <f t="shared" si="4"/>
        <v>0</v>
      </c>
      <c r="M182" s="219" t="s">
        <v>1966</v>
      </c>
    </row>
    <row r="183" spans="1:13" s="190" customFormat="1" ht="135" customHeight="1">
      <c r="A183" s="218">
        <v>162</v>
      </c>
      <c r="B183" s="218" t="s">
        <v>1201</v>
      </c>
      <c r="C183" s="219" t="s">
        <v>1288</v>
      </c>
      <c r="D183" s="220">
        <f>VLOOKUP(B183,[13]AssetDetails_UEM!$A$3:$X$1848,22,FALSE)</f>
        <v>4570</v>
      </c>
      <c r="E183" s="218" t="s">
        <v>1481</v>
      </c>
      <c r="F183" s="218" t="s">
        <v>289</v>
      </c>
      <c r="G183" s="218" t="s">
        <v>1625</v>
      </c>
      <c r="H183" s="218" t="s">
        <v>1722</v>
      </c>
      <c r="I183" s="252" t="s">
        <v>238</v>
      </c>
      <c r="J183" s="253" t="s">
        <v>139</v>
      </c>
      <c r="K183" s="254">
        <f t="shared" si="5"/>
        <v>10</v>
      </c>
      <c r="L183" s="255">
        <f t="shared" si="4"/>
        <v>0</v>
      </c>
      <c r="M183" s="219" t="s">
        <v>1966</v>
      </c>
    </row>
    <row r="184" spans="1:13" s="190" customFormat="1" ht="140.1" customHeight="1">
      <c r="A184" s="218">
        <v>163</v>
      </c>
      <c r="B184" s="218" t="s">
        <v>1202</v>
      </c>
      <c r="C184" s="219" t="s">
        <v>262</v>
      </c>
      <c r="D184" s="220">
        <f>VLOOKUP(B184,[13]AssetDetails_UEM!$A$3:$X$1848,22,FALSE)</f>
        <v>1323</v>
      </c>
      <c r="E184" s="218" t="s">
        <v>1482</v>
      </c>
      <c r="F184" s="218" t="s">
        <v>1602</v>
      </c>
      <c r="G184" s="218" t="s">
        <v>1625</v>
      </c>
      <c r="H184" s="218" t="s">
        <v>1720</v>
      </c>
      <c r="I184" s="252" t="s">
        <v>238</v>
      </c>
      <c r="J184" s="253" t="s">
        <v>139</v>
      </c>
      <c r="K184" s="254">
        <f t="shared" si="5"/>
        <v>10</v>
      </c>
      <c r="L184" s="255">
        <f t="shared" si="4"/>
        <v>0</v>
      </c>
      <c r="M184" s="219" t="s">
        <v>1967</v>
      </c>
    </row>
    <row r="185" spans="1:13" s="190" customFormat="1" ht="148.5" customHeight="1">
      <c r="A185" s="218">
        <v>164</v>
      </c>
      <c r="B185" s="218" t="s">
        <v>1203</v>
      </c>
      <c r="C185" s="219" t="s">
        <v>262</v>
      </c>
      <c r="D185" s="220">
        <f>VLOOKUP(B185,[13]AssetDetails_UEM!$A$3:$X$1848,22,FALSE)</f>
        <v>1323</v>
      </c>
      <c r="E185" s="218" t="s">
        <v>1483</v>
      </c>
      <c r="F185" s="218" t="s">
        <v>1602</v>
      </c>
      <c r="G185" s="218" t="s">
        <v>1625</v>
      </c>
      <c r="H185" s="218" t="s">
        <v>1722</v>
      </c>
      <c r="I185" s="252" t="s">
        <v>238</v>
      </c>
      <c r="J185" s="253" t="s">
        <v>139</v>
      </c>
      <c r="K185" s="254">
        <f t="shared" si="5"/>
        <v>10</v>
      </c>
      <c r="L185" s="255">
        <f t="shared" si="4"/>
        <v>0</v>
      </c>
      <c r="M185" s="219" t="s">
        <v>1967</v>
      </c>
    </row>
    <row r="186" spans="1:13" s="190" customFormat="1" ht="148.5" customHeight="1">
      <c r="A186" s="218">
        <v>165</v>
      </c>
      <c r="B186" s="218" t="s">
        <v>1204</v>
      </c>
      <c r="C186" s="219" t="s">
        <v>262</v>
      </c>
      <c r="D186" s="220">
        <f>VLOOKUP(B186,[13]AssetDetails_UEM!$A$3:$X$1848,22,FALSE)</f>
        <v>1323</v>
      </c>
      <c r="E186" s="218" t="s">
        <v>1484</v>
      </c>
      <c r="F186" s="218" t="s">
        <v>1602</v>
      </c>
      <c r="G186" s="218" t="s">
        <v>1625</v>
      </c>
      <c r="H186" s="218" t="s">
        <v>1721</v>
      </c>
      <c r="I186" s="252" t="s">
        <v>238</v>
      </c>
      <c r="J186" s="253" t="s">
        <v>139</v>
      </c>
      <c r="K186" s="254">
        <f t="shared" si="5"/>
        <v>10</v>
      </c>
      <c r="L186" s="255">
        <f t="shared" si="4"/>
        <v>0</v>
      </c>
      <c r="M186" s="219" t="s">
        <v>1967</v>
      </c>
    </row>
    <row r="187" spans="1:13" s="190" customFormat="1" ht="146.1" customHeight="1">
      <c r="A187" s="218">
        <v>166</v>
      </c>
      <c r="B187" s="218" t="s">
        <v>1205</v>
      </c>
      <c r="C187" s="219" t="s">
        <v>262</v>
      </c>
      <c r="D187" s="220">
        <f>VLOOKUP(B187,[13]AssetDetails_UEM!$A$3:$X$1848,22,FALSE)</f>
        <v>1323</v>
      </c>
      <c r="E187" s="218" t="s">
        <v>1485</v>
      </c>
      <c r="F187" s="218" t="s">
        <v>297</v>
      </c>
      <c r="G187" s="218" t="s">
        <v>1625</v>
      </c>
      <c r="H187" s="218" t="s">
        <v>1723</v>
      </c>
      <c r="I187" s="252" t="s">
        <v>238</v>
      </c>
      <c r="J187" s="253" t="s">
        <v>139</v>
      </c>
      <c r="K187" s="254">
        <f t="shared" si="5"/>
        <v>10</v>
      </c>
      <c r="L187" s="255">
        <f t="shared" si="4"/>
        <v>0</v>
      </c>
      <c r="M187" s="219" t="s">
        <v>1801</v>
      </c>
    </row>
    <row r="188" spans="1:13" s="190" customFormat="1" ht="146.1" customHeight="1">
      <c r="A188" s="218">
        <v>167</v>
      </c>
      <c r="B188" s="218" t="s">
        <v>1206</v>
      </c>
      <c r="C188" s="219" t="s">
        <v>262</v>
      </c>
      <c r="D188" s="220">
        <f>VLOOKUP(B188,[13]AssetDetails_UEM!$A$3:$X$1848,22,FALSE)</f>
        <v>3250</v>
      </c>
      <c r="E188" s="218" t="s">
        <v>1486</v>
      </c>
      <c r="F188" s="218" t="s">
        <v>747</v>
      </c>
      <c r="G188" s="218" t="s">
        <v>1625</v>
      </c>
      <c r="H188" s="218" t="s">
        <v>1724</v>
      </c>
      <c r="I188" s="252" t="s">
        <v>238</v>
      </c>
      <c r="J188" s="253" t="s">
        <v>139</v>
      </c>
      <c r="K188" s="254">
        <f t="shared" si="5"/>
        <v>10</v>
      </c>
      <c r="L188" s="255">
        <f t="shared" si="4"/>
        <v>0</v>
      </c>
      <c r="M188" s="219" t="s">
        <v>1801</v>
      </c>
    </row>
    <row r="189" spans="1:13" s="190" customFormat="1" ht="108">
      <c r="A189" s="218">
        <v>168</v>
      </c>
      <c r="B189" s="218" t="s">
        <v>1207</v>
      </c>
      <c r="C189" s="219" t="s">
        <v>1299</v>
      </c>
      <c r="D189" s="220">
        <f>VLOOKUP(B189,[13]AssetDetails_UEM!$A$3:$X$1848,22,FALSE)</f>
        <v>77500</v>
      </c>
      <c r="E189" s="218" t="s">
        <v>1487</v>
      </c>
      <c r="F189" s="218" t="s">
        <v>1601</v>
      </c>
      <c r="G189" s="218" t="s">
        <v>1625</v>
      </c>
      <c r="H189" s="218" t="s">
        <v>1723</v>
      </c>
      <c r="I189" s="252" t="s">
        <v>238</v>
      </c>
      <c r="J189" s="253" t="s">
        <v>139</v>
      </c>
      <c r="K189" s="254">
        <f t="shared" si="5"/>
        <v>160</v>
      </c>
      <c r="L189" s="255">
        <f t="shared" si="4"/>
        <v>0</v>
      </c>
      <c r="M189" s="219" t="s">
        <v>1966</v>
      </c>
    </row>
    <row r="190" spans="1:13" s="190" customFormat="1" ht="72">
      <c r="A190" s="218">
        <v>169</v>
      </c>
      <c r="B190" s="218" t="s">
        <v>1208</v>
      </c>
      <c r="C190" s="219" t="s">
        <v>245</v>
      </c>
      <c r="D190" s="220">
        <f>VLOOKUP(B190,[13]AssetDetails_UEM!$A$3:$X$1848,22,FALSE)</f>
        <v>5052</v>
      </c>
      <c r="E190" s="218" t="s">
        <v>1488</v>
      </c>
      <c r="F190" s="218" t="s">
        <v>1597</v>
      </c>
      <c r="G190" s="218" t="s">
        <v>1626</v>
      </c>
      <c r="H190" s="218" t="s">
        <v>1725</v>
      </c>
      <c r="I190" s="252" t="s">
        <v>238</v>
      </c>
      <c r="J190" s="253" t="s">
        <v>139</v>
      </c>
      <c r="K190" s="254">
        <f t="shared" si="5"/>
        <v>20</v>
      </c>
      <c r="L190" s="255">
        <f t="shared" si="4"/>
        <v>0</v>
      </c>
      <c r="M190" s="219" t="s">
        <v>1790</v>
      </c>
    </row>
    <row r="191" spans="1:13" s="190" customFormat="1" ht="114.75" customHeight="1">
      <c r="A191" s="218">
        <v>170</v>
      </c>
      <c r="B191" s="218" t="s">
        <v>1209</v>
      </c>
      <c r="C191" s="219" t="s">
        <v>245</v>
      </c>
      <c r="D191" s="220">
        <f>VLOOKUP(B191,[13]AssetDetails_UEM!$A$3:$X$1848,22,FALSE)</f>
        <v>10705</v>
      </c>
      <c r="E191" s="218" t="s">
        <v>1489</v>
      </c>
      <c r="F191" s="218" t="s">
        <v>756</v>
      </c>
      <c r="G191" s="218" t="s">
        <v>1626</v>
      </c>
      <c r="H191" s="218" t="s">
        <v>1726</v>
      </c>
      <c r="I191" s="252" t="s">
        <v>238</v>
      </c>
      <c r="J191" s="253" t="s">
        <v>139</v>
      </c>
      <c r="K191" s="254">
        <f t="shared" si="5"/>
        <v>30</v>
      </c>
      <c r="L191" s="255">
        <f t="shared" si="4"/>
        <v>0</v>
      </c>
      <c r="M191" s="219" t="s">
        <v>1790</v>
      </c>
    </row>
    <row r="192" spans="1:13" s="190" customFormat="1" ht="129.94999999999999" customHeight="1">
      <c r="A192" s="218">
        <v>171</v>
      </c>
      <c r="B192" s="218" t="s">
        <v>724</v>
      </c>
      <c r="C192" s="219" t="s">
        <v>245</v>
      </c>
      <c r="D192" s="220">
        <f>VLOOKUP(B192,[13]AssetDetails_UEM!$A$3:$X$1848,22,FALSE)</f>
        <v>5052</v>
      </c>
      <c r="E192" s="218" t="s">
        <v>1490</v>
      </c>
      <c r="F192" s="218" t="s">
        <v>741</v>
      </c>
      <c r="G192" s="218" t="s">
        <v>1626</v>
      </c>
      <c r="H192" s="218" t="s">
        <v>1727</v>
      </c>
      <c r="I192" s="252" t="s">
        <v>238</v>
      </c>
      <c r="J192" s="253" t="s">
        <v>139</v>
      </c>
      <c r="K192" s="254">
        <f t="shared" si="5"/>
        <v>20</v>
      </c>
      <c r="L192" s="255">
        <f t="shared" si="4"/>
        <v>0</v>
      </c>
      <c r="M192" s="219" t="s">
        <v>1790</v>
      </c>
    </row>
    <row r="193" spans="1:13" s="190" customFormat="1" ht="129.94999999999999" customHeight="1">
      <c r="A193" s="218">
        <v>172</v>
      </c>
      <c r="B193" s="218" t="s">
        <v>1014</v>
      </c>
      <c r="C193" s="219" t="s">
        <v>1009</v>
      </c>
      <c r="D193" s="220">
        <f>VLOOKUP(B193,[13]AssetDetails_UEM!$A$3:$X$1848,22,FALSE)</f>
        <v>10225</v>
      </c>
      <c r="E193" s="218" t="s">
        <v>1491</v>
      </c>
      <c r="F193" s="218" t="s">
        <v>167</v>
      </c>
      <c r="G193" s="218" t="s">
        <v>1626</v>
      </c>
      <c r="H193" s="218" t="s">
        <v>1728</v>
      </c>
      <c r="I193" s="252" t="s">
        <v>238</v>
      </c>
      <c r="J193" s="253" t="s">
        <v>139</v>
      </c>
      <c r="K193" s="254">
        <f t="shared" si="5"/>
        <v>30</v>
      </c>
      <c r="L193" s="255">
        <f t="shared" si="4"/>
        <v>0</v>
      </c>
      <c r="M193" s="219" t="s">
        <v>1790</v>
      </c>
    </row>
    <row r="194" spans="1:13" s="190" customFormat="1" ht="138.6" customHeight="1">
      <c r="A194" s="218">
        <v>173</v>
      </c>
      <c r="B194" s="218" t="s">
        <v>1210</v>
      </c>
      <c r="C194" s="219" t="s">
        <v>144</v>
      </c>
      <c r="D194" s="220">
        <f>VLOOKUP(B194,[13]AssetDetails_UEM!$A$3:$X$1848,22,FALSE)</f>
        <v>10825</v>
      </c>
      <c r="E194" s="218" t="s">
        <v>1492</v>
      </c>
      <c r="F194" s="218" t="s">
        <v>167</v>
      </c>
      <c r="G194" s="218" t="s">
        <v>1626</v>
      </c>
      <c r="H194" s="218" t="s">
        <v>1729</v>
      </c>
      <c r="I194" s="252" t="s">
        <v>238</v>
      </c>
      <c r="J194" s="253" t="s">
        <v>139</v>
      </c>
      <c r="K194" s="254">
        <f t="shared" si="5"/>
        <v>30</v>
      </c>
      <c r="L194" s="255">
        <f t="shared" si="4"/>
        <v>0</v>
      </c>
      <c r="M194" s="219" t="s">
        <v>1790</v>
      </c>
    </row>
    <row r="195" spans="1:13" s="190" customFormat="1" ht="138.6" customHeight="1">
      <c r="A195" s="218">
        <v>174</v>
      </c>
      <c r="B195" s="218" t="s">
        <v>1211</v>
      </c>
      <c r="C195" s="219" t="s">
        <v>144</v>
      </c>
      <c r="D195" s="220">
        <f>VLOOKUP(B195,[13]AssetDetails_UEM!$A$3:$X$1848,22,FALSE)</f>
        <v>10825</v>
      </c>
      <c r="E195" s="218" t="s">
        <v>1493</v>
      </c>
      <c r="F195" s="218" t="s">
        <v>167</v>
      </c>
      <c r="G195" s="218" t="s">
        <v>1626</v>
      </c>
      <c r="H195" s="218" t="s">
        <v>1730</v>
      </c>
      <c r="I195" s="252" t="s">
        <v>238</v>
      </c>
      <c r="J195" s="253" t="s">
        <v>139</v>
      </c>
      <c r="K195" s="254">
        <f t="shared" si="5"/>
        <v>30</v>
      </c>
      <c r="L195" s="255">
        <f t="shared" si="4"/>
        <v>0</v>
      </c>
      <c r="M195" s="219" t="s">
        <v>1790</v>
      </c>
    </row>
    <row r="196" spans="1:13" s="190" customFormat="1" ht="132.6" customHeight="1">
      <c r="A196" s="218">
        <v>175</v>
      </c>
      <c r="B196" s="218" t="s">
        <v>1212</v>
      </c>
      <c r="C196" s="219" t="s">
        <v>144</v>
      </c>
      <c r="D196" s="220">
        <f>VLOOKUP(B196,[13]AssetDetails_UEM!$A$3:$X$1848,22,FALSE)</f>
        <v>10825</v>
      </c>
      <c r="E196" s="218" t="s">
        <v>1494</v>
      </c>
      <c r="F196" s="218" t="s">
        <v>167</v>
      </c>
      <c r="G196" s="218" t="s">
        <v>1626</v>
      </c>
      <c r="H196" s="218" t="s">
        <v>1731</v>
      </c>
      <c r="I196" s="252" t="s">
        <v>238</v>
      </c>
      <c r="J196" s="253" t="s">
        <v>139</v>
      </c>
      <c r="K196" s="254">
        <f t="shared" si="5"/>
        <v>30</v>
      </c>
      <c r="L196" s="255">
        <f t="shared" si="4"/>
        <v>0</v>
      </c>
      <c r="M196" s="219" t="s">
        <v>1792</v>
      </c>
    </row>
    <row r="197" spans="1:13" s="190" customFormat="1" ht="135" customHeight="1">
      <c r="A197" s="218">
        <v>176</v>
      </c>
      <c r="B197" s="218" t="s">
        <v>553</v>
      </c>
      <c r="C197" s="219" t="s">
        <v>144</v>
      </c>
      <c r="D197" s="220">
        <f>VLOOKUP(B197,[13]AssetDetails_UEM!$A$3:$X$1848,22,FALSE)</f>
        <v>10825</v>
      </c>
      <c r="E197" s="218" t="s">
        <v>1495</v>
      </c>
      <c r="F197" s="218" t="s">
        <v>167</v>
      </c>
      <c r="G197" s="218" t="s">
        <v>1626</v>
      </c>
      <c r="H197" s="218" t="s">
        <v>1732</v>
      </c>
      <c r="I197" s="252" t="s">
        <v>238</v>
      </c>
      <c r="J197" s="253" t="s">
        <v>139</v>
      </c>
      <c r="K197" s="254">
        <f t="shared" si="5"/>
        <v>30</v>
      </c>
      <c r="L197" s="255">
        <f t="shared" si="4"/>
        <v>0</v>
      </c>
      <c r="M197" s="219" t="s">
        <v>1790</v>
      </c>
    </row>
    <row r="198" spans="1:13" s="190" customFormat="1" ht="111" customHeight="1">
      <c r="A198" s="218">
        <v>177</v>
      </c>
      <c r="B198" s="218" t="s">
        <v>1213</v>
      </c>
      <c r="C198" s="219" t="s">
        <v>144</v>
      </c>
      <c r="D198" s="220">
        <f>VLOOKUP(B198,[13]AssetDetails_UEM!$A$3:$X$1848,22,FALSE)</f>
        <v>10825</v>
      </c>
      <c r="E198" s="218" t="s">
        <v>1496</v>
      </c>
      <c r="F198" s="218" t="s">
        <v>167</v>
      </c>
      <c r="G198" s="218" t="s">
        <v>1626</v>
      </c>
      <c r="H198" s="218" t="s">
        <v>1733</v>
      </c>
      <c r="I198" s="252" t="s">
        <v>238</v>
      </c>
      <c r="J198" s="253" t="s">
        <v>139</v>
      </c>
      <c r="K198" s="254">
        <f t="shared" si="5"/>
        <v>30</v>
      </c>
      <c r="L198" s="255">
        <f t="shared" si="4"/>
        <v>0</v>
      </c>
      <c r="M198" s="219" t="s">
        <v>1790</v>
      </c>
    </row>
    <row r="199" spans="1:13" s="190" customFormat="1" ht="111" customHeight="1">
      <c r="A199" s="218">
        <v>178</v>
      </c>
      <c r="B199" s="218" t="s">
        <v>1214</v>
      </c>
      <c r="C199" s="219" t="s">
        <v>245</v>
      </c>
      <c r="D199" s="220">
        <f>VLOOKUP(B199,[13]AssetDetails_UEM!$A$3:$X$1848,22,FALSE)</f>
        <v>10705</v>
      </c>
      <c r="E199" s="218" t="s">
        <v>1497</v>
      </c>
      <c r="F199" s="218" t="s">
        <v>761</v>
      </c>
      <c r="G199" s="218" t="s">
        <v>1626</v>
      </c>
      <c r="H199" s="218" t="s">
        <v>1734</v>
      </c>
      <c r="I199" s="252" t="s">
        <v>238</v>
      </c>
      <c r="J199" s="253" t="s">
        <v>139</v>
      </c>
      <c r="K199" s="254">
        <f t="shared" si="5"/>
        <v>30</v>
      </c>
      <c r="L199" s="255">
        <f t="shared" si="4"/>
        <v>0</v>
      </c>
      <c r="M199" s="219" t="s">
        <v>1790</v>
      </c>
    </row>
    <row r="200" spans="1:13" s="190" customFormat="1" ht="111" customHeight="1">
      <c r="A200" s="218">
        <v>179</v>
      </c>
      <c r="B200" s="218" t="s">
        <v>1215</v>
      </c>
      <c r="C200" s="219" t="s">
        <v>1279</v>
      </c>
      <c r="D200" s="220">
        <f>VLOOKUP(B200,[13]AssetDetails_UEM!$A$3:$X$1848,22,FALSE)</f>
        <v>5050</v>
      </c>
      <c r="E200" s="218" t="s">
        <v>1498</v>
      </c>
      <c r="F200" s="218" t="s">
        <v>743</v>
      </c>
      <c r="G200" s="218" t="s">
        <v>1626</v>
      </c>
      <c r="H200" s="218" t="s">
        <v>956</v>
      </c>
      <c r="I200" s="252" t="s">
        <v>238</v>
      </c>
      <c r="J200" s="253" t="s">
        <v>139</v>
      </c>
      <c r="K200" s="254">
        <f t="shared" si="5"/>
        <v>20</v>
      </c>
      <c r="L200" s="255">
        <f t="shared" si="4"/>
        <v>0</v>
      </c>
      <c r="M200" s="219" t="s">
        <v>1792</v>
      </c>
    </row>
    <row r="201" spans="1:13" s="190" customFormat="1" ht="111" customHeight="1">
      <c r="A201" s="218">
        <v>180</v>
      </c>
      <c r="B201" s="218" t="s">
        <v>1216</v>
      </c>
      <c r="C201" s="219" t="s">
        <v>1279</v>
      </c>
      <c r="D201" s="220">
        <f>VLOOKUP(B201,[13]AssetDetails_UEM!$A$3:$X$1848,22,FALSE)</f>
        <v>5050</v>
      </c>
      <c r="E201" s="218" t="s">
        <v>1499</v>
      </c>
      <c r="F201" s="218" t="s">
        <v>743</v>
      </c>
      <c r="G201" s="218" t="s">
        <v>1626</v>
      </c>
      <c r="H201" s="218" t="s">
        <v>889</v>
      </c>
      <c r="I201" s="252" t="s">
        <v>238</v>
      </c>
      <c r="J201" s="253" t="s">
        <v>139</v>
      </c>
      <c r="K201" s="254">
        <f t="shared" si="5"/>
        <v>20</v>
      </c>
      <c r="L201" s="255">
        <f t="shared" ref="L201:L258" si="6">IF(J201="N",0,K201)</f>
        <v>0</v>
      </c>
      <c r="M201" s="219" t="s">
        <v>1792</v>
      </c>
    </row>
    <row r="202" spans="1:13" s="190" customFormat="1" ht="252">
      <c r="A202" s="218">
        <v>181</v>
      </c>
      <c r="B202" s="218" t="s">
        <v>1217</v>
      </c>
      <c r="C202" s="219" t="s">
        <v>1300</v>
      </c>
      <c r="D202" s="220">
        <f>VLOOKUP(B202,[13]AssetDetails_UEM!$A$3:$X$1848,22,FALSE)</f>
        <v>239350</v>
      </c>
      <c r="E202" s="218" t="s">
        <v>1500</v>
      </c>
      <c r="F202" s="218" t="s">
        <v>1568</v>
      </c>
      <c r="G202" s="218" t="s">
        <v>1626</v>
      </c>
      <c r="H202" s="218" t="s">
        <v>1735</v>
      </c>
      <c r="I202" s="252" t="s">
        <v>238</v>
      </c>
      <c r="J202" s="253" t="s">
        <v>139</v>
      </c>
      <c r="K202" s="254">
        <f t="shared" ref="K202:K218" si="7">ROUNDUP((D202/4999.99)*10,-1)</f>
        <v>480</v>
      </c>
      <c r="L202" s="255">
        <f t="shared" si="6"/>
        <v>0</v>
      </c>
      <c r="M202" s="219" t="s">
        <v>1804</v>
      </c>
    </row>
    <row r="203" spans="1:13" s="190" customFormat="1" ht="172.5" customHeight="1">
      <c r="A203" s="218">
        <v>182</v>
      </c>
      <c r="B203" s="218" t="s">
        <v>1218</v>
      </c>
      <c r="C203" s="219" t="s">
        <v>1300</v>
      </c>
      <c r="D203" s="220">
        <f>VLOOKUP(B203,[13]AssetDetails_UEM!$A$3:$X$1848,22,FALSE)</f>
        <v>239350</v>
      </c>
      <c r="E203" s="218" t="s">
        <v>1501</v>
      </c>
      <c r="F203" s="218" t="s">
        <v>762</v>
      </c>
      <c r="G203" s="218" t="s">
        <v>1626</v>
      </c>
      <c r="H203" s="218" t="s">
        <v>1736</v>
      </c>
      <c r="I203" s="252" t="s">
        <v>238</v>
      </c>
      <c r="J203" s="253" t="s">
        <v>139</v>
      </c>
      <c r="K203" s="254">
        <f t="shared" si="7"/>
        <v>480</v>
      </c>
      <c r="L203" s="255">
        <f t="shared" si="6"/>
        <v>0</v>
      </c>
      <c r="M203" s="219" t="s">
        <v>1793</v>
      </c>
    </row>
    <row r="204" spans="1:13" s="190" customFormat="1" ht="109.5" customHeight="1">
      <c r="A204" s="218">
        <v>183</v>
      </c>
      <c r="B204" s="218" t="s">
        <v>1219</v>
      </c>
      <c r="C204" s="219" t="s">
        <v>1279</v>
      </c>
      <c r="D204" s="220">
        <f>VLOOKUP(B204,[13]AssetDetails_UEM!$A$3:$X$1848,22,FALSE)</f>
        <v>10585</v>
      </c>
      <c r="E204" s="218" t="s">
        <v>1502</v>
      </c>
      <c r="F204" s="218" t="s">
        <v>1603</v>
      </c>
      <c r="G204" s="218" t="s">
        <v>1626</v>
      </c>
      <c r="H204" s="218" t="s">
        <v>1734</v>
      </c>
      <c r="I204" s="252" t="s">
        <v>238</v>
      </c>
      <c r="J204" s="253" t="s">
        <v>139</v>
      </c>
      <c r="K204" s="254">
        <f t="shared" si="7"/>
        <v>30</v>
      </c>
      <c r="L204" s="255">
        <f t="shared" si="6"/>
        <v>0</v>
      </c>
      <c r="M204" s="219" t="s">
        <v>1792</v>
      </c>
    </row>
    <row r="205" spans="1:13" s="190" customFormat="1" ht="158.44999999999999" customHeight="1">
      <c r="A205" s="218">
        <v>184</v>
      </c>
      <c r="B205" s="218" t="s">
        <v>1220</v>
      </c>
      <c r="C205" s="219" t="s">
        <v>1301</v>
      </c>
      <c r="D205" s="220">
        <f>VLOOKUP(B205,[13]AssetDetails_UEM!$A$3:$X$1848,22,FALSE)</f>
        <v>279000</v>
      </c>
      <c r="E205" s="218" t="s">
        <v>1503</v>
      </c>
      <c r="F205" s="218" t="s">
        <v>746</v>
      </c>
      <c r="G205" s="218" t="s">
        <v>1626</v>
      </c>
      <c r="H205" s="218" t="s">
        <v>1730</v>
      </c>
      <c r="I205" s="252" t="s">
        <v>238</v>
      </c>
      <c r="J205" s="253" t="s">
        <v>139</v>
      </c>
      <c r="K205" s="254">
        <f t="shared" si="7"/>
        <v>560</v>
      </c>
      <c r="L205" s="255">
        <f t="shared" si="6"/>
        <v>0</v>
      </c>
      <c r="M205" s="219" t="s">
        <v>1794</v>
      </c>
    </row>
    <row r="206" spans="1:13" s="190" customFormat="1" ht="125.1" customHeight="1">
      <c r="A206" s="218">
        <v>185</v>
      </c>
      <c r="B206" s="218" t="s">
        <v>1221</v>
      </c>
      <c r="C206" s="219" t="s">
        <v>239</v>
      </c>
      <c r="D206" s="220">
        <f>VLOOKUP(B206,[13]AssetDetails_UEM!$A$3:$X$1848,22,FALSE)</f>
        <v>35000</v>
      </c>
      <c r="E206" s="218" t="s">
        <v>1504</v>
      </c>
      <c r="F206" s="218" t="s">
        <v>1604</v>
      </c>
      <c r="G206" s="218" t="s">
        <v>1626</v>
      </c>
      <c r="H206" s="218" t="s">
        <v>1729</v>
      </c>
      <c r="I206" s="252" t="s">
        <v>238</v>
      </c>
      <c r="J206" s="253" t="s">
        <v>139</v>
      </c>
      <c r="K206" s="254">
        <f t="shared" si="7"/>
        <v>80</v>
      </c>
      <c r="L206" s="255">
        <f t="shared" si="6"/>
        <v>0</v>
      </c>
      <c r="M206" s="219" t="s">
        <v>1794</v>
      </c>
    </row>
    <row r="207" spans="1:13" s="190" customFormat="1" ht="165.95" customHeight="1">
      <c r="A207" s="218">
        <v>186</v>
      </c>
      <c r="B207" s="218" t="s">
        <v>1222</v>
      </c>
      <c r="C207" s="219" t="s">
        <v>239</v>
      </c>
      <c r="D207" s="220">
        <f>VLOOKUP(B207,[13]AssetDetails_UEM!$A$3:$X$1848,22,FALSE)</f>
        <v>35000</v>
      </c>
      <c r="E207" s="218" t="s">
        <v>1505</v>
      </c>
      <c r="F207" s="218" t="s">
        <v>1604</v>
      </c>
      <c r="G207" s="218" t="s">
        <v>1626</v>
      </c>
      <c r="H207" s="218" t="s">
        <v>956</v>
      </c>
      <c r="I207" s="252" t="s">
        <v>238</v>
      </c>
      <c r="J207" s="253" t="s">
        <v>139</v>
      </c>
      <c r="K207" s="254">
        <f t="shared" si="7"/>
        <v>80</v>
      </c>
      <c r="L207" s="255">
        <f t="shared" si="6"/>
        <v>0</v>
      </c>
      <c r="M207" s="219" t="s">
        <v>1795</v>
      </c>
    </row>
    <row r="208" spans="1:13" s="190" customFormat="1" ht="118.5" customHeight="1">
      <c r="A208" s="218">
        <v>187</v>
      </c>
      <c r="B208" s="529" t="s">
        <v>1223</v>
      </c>
      <c r="C208" s="530" t="s">
        <v>1279</v>
      </c>
      <c r="D208" s="220">
        <f>VLOOKUP(B208,[13]AssetDetails_UEM!$A$3:$X$1848,22,FALSE)</f>
        <v>5050</v>
      </c>
      <c r="E208" s="529" t="s">
        <v>1506</v>
      </c>
      <c r="F208" s="529" t="s">
        <v>146</v>
      </c>
      <c r="G208" s="529" t="s">
        <v>1627</v>
      </c>
      <c r="H208" s="529" t="s">
        <v>954</v>
      </c>
      <c r="I208" s="252" t="s">
        <v>238</v>
      </c>
      <c r="J208" s="253" t="s">
        <v>139</v>
      </c>
      <c r="K208" s="254">
        <f t="shared" si="7"/>
        <v>20</v>
      </c>
      <c r="L208" s="255">
        <f t="shared" si="6"/>
        <v>0</v>
      </c>
      <c r="M208" s="530" t="s">
        <v>1792</v>
      </c>
    </row>
    <row r="209" spans="1:13" s="190" customFormat="1" ht="117" customHeight="1">
      <c r="A209" s="218">
        <v>188</v>
      </c>
      <c r="B209" s="529" t="s">
        <v>1224</v>
      </c>
      <c r="C209" s="530" t="s">
        <v>1279</v>
      </c>
      <c r="D209" s="220">
        <f>VLOOKUP(B209,[13]AssetDetails_UEM!$A$3:$X$1848,22,FALSE)</f>
        <v>5050</v>
      </c>
      <c r="E209" s="529" t="s">
        <v>1507</v>
      </c>
      <c r="F209" s="529" t="s">
        <v>146</v>
      </c>
      <c r="G209" s="529" t="s">
        <v>1627</v>
      </c>
      <c r="H209" s="529" t="s">
        <v>1737</v>
      </c>
      <c r="I209" s="252" t="s">
        <v>238</v>
      </c>
      <c r="J209" s="253" t="s">
        <v>139</v>
      </c>
      <c r="K209" s="254">
        <f t="shared" si="7"/>
        <v>20</v>
      </c>
      <c r="L209" s="255">
        <f t="shared" si="6"/>
        <v>0</v>
      </c>
      <c r="M209" s="530" t="s">
        <v>1790</v>
      </c>
    </row>
    <row r="210" spans="1:13" s="190" customFormat="1" ht="132" customHeight="1">
      <c r="A210" s="218">
        <v>189</v>
      </c>
      <c r="B210" s="529" t="s">
        <v>1225</v>
      </c>
      <c r="C210" s="530" t="s">
        <v>1302</v>
      </c>
      <c r="D210" s="220">
        <f>VLOOKUP(B210,[13]AssetDetails_UEM!$A$3:$X$1848,22,FALSE)</f>
        <v>5773</v>
      </c>
      <c r="E210" s="529" t="s">
        <v>1508</v>
      </c>
      <c r="F210" s="529" t="s">
        <v>765</v>
      </c>
      <c r="G210" s="529" t="s">
        <v>1627</v>
      </c>
      <c r="H210" s="529" t="s">
        <v>954</v>
      </c>
      <c r="I210" s="252" t="s">
        <v>238</v>
      </c>
      <c r="J210" s="253" t="s">
        <v>139</v>
      </c>
      <c r="K210" s="254">
        <f t="shared" si="7"/>
        <v>20</v>
      </c>
      <c r="L210" s="255">
        <f t="shared" si="6"/>
        <v>0</v>
      </c>
      <c r="M210" s="530" t="s">
        <v>1966</v>
      </c>
    </row>
    <row r="211" spans="1:13" s="190" customFormat="1" ht="165.95" customHeight="1">
      <c r="A211" s="218">
        <v>191</v>
      </c>
      <c r="B211" s="529" t="s">
        <v>1228</v>
      </c>
      <c r="C211" s="530" t="s">
        <v>242</v>
      </c>
      <c r="D211" s="220">
        <f>VLOOKUP(B211,[13]AssetDetails_UEM!$A$3:$X$1848,22,FALSE)</f>
        <v>87400</v>
      </c>
      <c r="E211" s="529" t="s">
        <v>1511</v>
      </c>
      <c r="F211" s="529" t="s">
        <v>746</v>
      </c>
      <c r="G211" s="529" t="s">
        <v>1627</v>
      </c>
      <c r="H211" s="529" t="s">
        <v>1738</v>
      </c>
      <c r="I211" s="252" t="s">
        <v>238</v>
      </c>
      <c r="J211" s="253" t="s">
        <v>139</v>
      </c>
      <c r="K211" s="254">
        <f t="shared" si="7"/>
        <v>180</v>
      </c>
      <c r="L211" s="255">
        <f t="shared" si="6"/>
        <v>0</v>
      </c>
      <c r="M211" s="530" t="s">
        <v>1796</v>
      </c>
    </row>
    <row r="212" spans="1:13" s="190" customFormat="1" ht="174.95" customHeight="1">
      <c r="A212" s="218">
        <v>192</v>
      </c>
      <c r="B212" s="529" t="s">
        <v>1229</v>
      </c>
      <c r="C212" s="530" t="s">
        <v>144</v>
      </c>
      <c r="D212" s="220">
        <f>VLOOKUP(B212,[13]AssetDetails_UEM!$A$3:$X$1848,22,FALSE)</f>
        <v>6400</v>
      </c>
      <c r="E212" s="529" t="s">
        <v>1512</v>
      </c>
      <c r="F212" s="529" t="s">
        <v>1605</v>
      </c>
      <c r="G212" s="531">
        <v>46140</v>
      </c>
      <c r="H212" s="531">
        <v>46142.541666666664</v>
      </c>
      <c r="I212" s="271">
        <v>46147</v>
      </c>
      <c r="J212" s="253" t="s">
        <v>139</v>
      </c>
      <c r="K212" s="254">
        <f>ROUNDUP((D212/4999.99)*10,-1)</f>
        <v>20</v>
      </c>
      <c r="L212" s="255">
        <f>IF(J212="N",0,K212)</f>
        <v>0</v>
      </c>
      <c r="M212" s="530" t="s">
        <v>1943</v>
      </c>
    </row>
    <row r="213" spans="1:13" s="190" customFormat="1" ht="174.95" customHeight="1">
      <c r="A213" s="218">
        <v>193</v>
      </c>
      <c r="B213" s="529" t="s">
        <v>1230</v>
      </c>
      <c r="C213" s="530" t="s">
        <v>144</v>
      </c>
      <c r="D213" s="220">
        <f>VLOOKUP(B213,[13]AssetDetails_UEM!$A$3:$X$1848,22,FALSE)</f>
        <v>6400</v>
      </c>
      <c r="E213" s="529" t="s">
        <v>1513</v>
      </c>
      <c r="F213" s="529" t="s">
        <v>1605</v>
      </c>
      <c r="G213" s="531">
        <v>46140</v>
      </c>
      <c r="H213" s="531">
        <v>46142.5</v>
      </c>
      <c r="I213" s="271">
        <v>46147</v>
      </c>
      <c r="J213" s="253" t="s">
        <v>139</v>
      </c>
      <c r="K213" s="254">
        <f>ROUNDUP((D213/4999.99)*10,-1)</f>
        <v>20</v>
      </c>
      <c r="L213" s="255">
        <f>IF(J213="N",0,K213)</f>
        <v>0</v>
      </c>
      <c r="M213" s="530" t="s">
        <v>1943</v>
      </c>
    </row>
    <row r="214" spans="1:13" s="572" customFormat="1" ht="144">
      <c r="A214" s="218">
        <v>194</v>
      </c>
      <c r="B214" s="542" t="s">
        <v>1231</v>
      </c>
      <c r="C214" s="533" t="s">
        <v>144</v>
      </c>
      <c r="D214" s="222">
        <v>6680</v>
      </c>
      <c r="E214" s="542" t="s">
        <v>1514</v>
      </c>
      <c r="F214" s="542" t="s">
        <v>1582</v>
      </c>
      <c r="G214" s="542" t="s">
        <v>1628</v>
      </c>
      <c r="H214" s="542" t="s">
        <v>1893</v>
      </c>
      <c r="I214" s="256" t="s">
        <v>238</v>
      </c>
      <c r="J214" s="257" t="s">
        <v>139</v>
      </c>
      <c r="K214" s="258">
        <f t="shared" si="7"/>
        <v>20</v>
      </c>
      <c r="L214" s="259">
        <f t="shared" si="6"/>
        <v>0</v>
      </c>
      <c r="M214" s="533" t="s">
        <v>1895</v>
      </c>
    </row>
    <row r="215" spans="1:13" s="572" customFormat="1" ht="165.95" customHeight="1">
      <c r="A215" s="218">
        <v>195</v>
      </c>
      <c r="B215" s="542" t="s">
        <v>1232</v>
      </c>
      <c r="C215" s="533" t="s">
        <v>144</v>
      </c>
      <c r="D215" s="222">
        <v>6680</v>
      </c>
      <c r="E215" s="542" t="s">
        <v>1515</v>
      </c>
      <c r="F215" s="542" t="s">
        <v>1582</v>
      </c>
      <c r="G215" s="542" t="s">
        <v>1628</v>
      </c>
      <c r="H215" s="542" t="s">
        <v>1894</v>
      </c>
      <c r="I215" s="256" t="s">
        <v>238</v>
      </c>
      <c r="J215" s="257" t="s">
        <v>139</v>
      </c>
      <c r="K215" s="258">
        <f t="shared" si="7"/>
        <v>20</v>
      </c>
      <c r="L215" s="259">
        <f t="shared" si="6"/>
        <v>0</v>
      </c>
      <c r="M215" s="533" t="s">
        <v>1895</v>
      </c>
    </row>
    <row r="216" spans="1:13" s="572" customFormat="1" ht="165.95" customHeight="1">
      <c r="A216" s="218">
        <v>196</v>
      </c>
      <c r="B216" s="542" t="s">
        <v>1233</v>
      </c>
      <c r="C216" s="533" t="s">
        <v>144</v>
      </c>
      <c r="D216" s="222">
        <v>6680</v>
      </c>
      <c r="E216" s="542" t="s">
        <v>1516</v>
      </c>
      <c r="F216" s="542" t="s">
        <v>1583</v>
      </c>
      <c r="G216" s="542" t="s">
        <v>1628</v>
      </c>
      <c r="H216" s="542" t="s">
        <v>896</v>
      </c>
      <c r="I216" s="256" t="s">
        <v>238</v>
      </c>
      <c r="J216" s="257" t="s">
        <v>139</v>
      </c>
      <c r="K216" s="258">
        <f t="shared" si="7"/>
        <v>20</v>
      </c>
      <c r="L216" s="259">
        <f t="shared" si="6"/>
        <v>0</v>
      </c>
      <c r="M216" s="533" t="s">
        <v>1895</v>
      </c>
    </row>
    <row r="217" spans="1:13" s="572" customFormat="1" ht="165.95" customHeight="1">
      <c r="A217" s="218">
        <v>197</v>
      </c>
      <c r="B217" s="542" t="s">
        <v>1234</v>
      </c>
      <c r="C217" s="533" t="s">
        <v>144</v>
      </c>
      <c r="D217" s="222">
        <v>6680</v>
      </c>
      <c r="E217" s="542" t="s">
        <v>1517</v>
      </c>
      <c r="F217" s="542" t="s">
        <v>1582</v>
      </c>
      <c r="G217" s="542" t="s">
        <v>1628</v>
      </c>
      <c r="H217" s="542" t="s">
        <v>1743</v>
      </c>
      <c r="I217" s="256" t="s">
        <v>238</v>
      </c>
      <c r="J217" s="257" t="s">
        <v>139</v>
      </c>
      <c r="K217" s="258">
        <f t="shared" si="7"/>
        <v>20</v>
      </c>
      <c r="L217" s="259">
        <f t="shared" si="6"/>
        <v>0</v>
      </c>
      <c r="M217" s="533" t="s">
        <v>1895</v>
      </c>
    </row>
    <row r="218" spans="1:13" s="572" customFormat="1" ht="165.95" customHeight="1">
      <c r="A218" s="218">
        <v>198</v>
      </c>
      <c r="B218" s="542" t="s">
        <v>1235</v>
      </c>
      <c r="C218" s="533" t="s">
        <v>144</v>
      </c>
      <c r="D218" s="222">
        <v>6680</v>
      </c>
      <c r="E218" s="542" t="s">
        <v>1518</v>
      </c>
      <c r="F218" s="542" t="s">
        <v>1582</v>
      </c>
      <c r="G218" s="542" t="s">
        <v>1628</v>
      </c>
      <c r="H218" s="542" t="s">
        <v>819</v>
      </c>
      <c r="I218" s="256" t="s">
        <v>238</v>
      </c>
      <c r="J218" s="257" t="s">
        <v>139</v>
      </c>
      <c r="K218" s="258">
        <f t="shared" si="7"/>
        <v>20</v>
      </c>
      <c r="L218" s="259">
        <f t="shared" si="6"/>
        <v>0</v>
      </c>
      <c r="M218" s="533" t="s">
        <v>1895</v>
      </c>
    </row>
    <row r="219" spans="1:13" s="572" customFormat="1" ht="165.95" customHeight="1">
      <c r="A219" s="218">
        <v>199</v>
      </c>
      <c r="B219" s="542" t="s">
        <v>1236</v>
      </c>
      <c r="C219" s="533" t="s">
        <v>144</v>
      </c>
      <c r="D219" s="222">
        <v>6680</v>
      </c>
      <c r="E219" s="542" t="s">
        <v>1519</v>
      </c>
      <c r="F219" s="542" t="s">
        <v>1582</v>
      </c>
      <c r="G219" s="542" t="s">
        <v>1628</v>
      </c>
      <c r="H219" s="542" t="s">
        <v>1896</v>
      </c>
      <c r="I219" s="256" t="s">
        <v>238</v>
      </c>
      <c r="J219" s="257" t="s">
        <v>139</v>
      </c>
      <c r="K219" s="258">
        <f t="shared" ref="K219:K258" si="8">ROUNDUP((D219/4999.99)*10,-1)</f>
        <v>20</v>
      </c>
      <c r="L219" s="259">
        <f t="shared" si="6"/>
        <v>0</v>
      </c>
      <c r="M219" s="533" t="s">
        <v>1895</v>
      </c>
    </row>
    <row r="220" spans="1:13" s="572" customFormat="1" ht="165.95" customHeight="1">
      <c r="A220" s="218">
        <v>200</v>
      </c>
      <c r="B220" s="542" t="s">
        <v>1237</v>
      </c>
      <c r="C220" s="533" t="s">
        <v>144</v>
      </c>
      <c r="D220" s="222">
        <v>6680</v>
      </c>
      <c r="E220" s="542" t="s">
        <v>1520</v>
      </c>
      <c r="F220" s="542" t="s">
        <v>1582</v>
      </c>
      <c r="G220" s="542" t="s">
        <v>1628</v>
      </c>
      <c r="H220" s="542" t="s">
        <v>1744</v>
      </c>
      <c r="I220" s="256" t="s">
        <v>238</v>
      </c>
      <c r="J220" s="257" t="s">
        <v>139</v>
      </c>
      <c r="K220" s="258">
        <f t="shared" si="8"/>
        <v>20</v>
      </c>
      <c r="L220" s="259">
        <f t="shared" si="6"/>
        <v>0</v>
      </c>
      <c r="M220" s="533" t="s">
        <v>1895</v>
      </c>
    </row>
    <row r="221" spans="1:13" s="572" customFormat="1" ht="165.95" customHeight="1">
      <c r="A221" s="218">
        <v>201</v>
      </c>
      <c r="B221" s="542" t="s">
        <v>1238</v>
      </c>
      <c r="C221" s="533" t="s">
        <v>144</v>
      </c>
      <c r="D221" s="222">
        <v>6680</v>
      </c>
      <c r="E221" s="542" t="s">
        <v>1521</v>
      </c>
      <c r="F221" s="542" t="s">
        <v>1582</v>
      </c>
      <c r="G221" s="542" t="s">
        <v>1628</v>
      </c>
      <c r="H221" s="542" t="s">
        <v>1748</v>
      </c>
      <c r="I221" s="256" t="s">
        <v>238</v>
      </c>
      <c r="J221" s="257" t="s">
        <v>139</v>
      </c>
      <c r="K221" s="258">
        <f t="shared" si="8"/>
        <v>20</v>
      </c>
      <c r="L221" s="259">
        <f t="shared" si="6"/>
        <v>0</v>
      </c>
      <c r="M221" s="533" t="s">
        <v>1895</v>
      </c>
    </row>
    <row r="222" spans="1:13" s="572" customFormat="1" ht="165.95" customHeight="1">
      <c r="A222" s="218">
        <v>202</v>
      </c>
      <c r="B222" s="542" t="s">
        <v>1239</v>
      </c>
      <c r="C222" s="533" t="s">
        <v>144</v>
      </c>
      <c r="D222" s="222">
        <v>6680</v>
      </c>
      <c r="E222" s="542" t="s">
        <v>1522</v>
      </c>
      <c r="F222" s="542" t="s">
        <v>1582</v>
      </c>
      <c r="G222" s="542" t="s">
        <v>1628</v>
      </c>
      <c r="H222" s="542" t="s">
        <v>1746</v>
      </c>
      <c r="I222" s="256" t="s">
        <v>238</v>
      </c>
      <c r="J222" s="257" t="s">
        <v>139</v>
      </c>
      <c r="K222" s="258">
        <f t="shared" si="8"/>
        <v>20</v>
      </c>
      <c r="L222" s="259">
        <f t="shared" si="6"/>
        <v>0</v>
      </c>
      <c r="M222" s="533" t="s">
        <v>1897</v>
      </c>
    </row>
    <row r="223" spans="1:13" s="572" customFormat="1" ht="165.95" customHeight="1">
      <c r="A223" s="218">
        <v>203</v>
      </c>
      <c r="B223" s="542" t="s">
        <v>1240</v>
      </c>
      <c r="C223" s="533" t="s">
        <v>144</v>
      </c>
      <c r="D223" s="222">
        <v>6680</v>
      </c>
      <c r="E223" s="542" t="s">
        <v>1523</v>
      </c>
      <c r="F223" s="542" t="s">
        <v>1582</v>
      </c>
      <c r="G223" s="542" t="s">
        <v>1628</v>
      </c>
      <c r="H223" s="542" t="s">
        <v>1749</v>
      </c>
      <c r="I223" s="256" t="s">
        <v>238</v>
      </c>
      <c r="J223" s="257" t="s">
        <v>139</v>
      </c>
      <c r="K223" s="258">
        <f t="shared" si="8"/>
        <v>20</v>
      </c>
      <c r="L223" s="259">
        <f t="shared" si="6"/>
        <v>0</v>
      </c>
      <c r="M223" s="533" t="s">
        <v>1898</v>
      </c>
    </row>
    <row r="224" spans="1:13" s="572" customFormat="1" ht="165.95" customHeight="1">
      <c r="A224" s="218">
        <v>204</v>
      </c>
      <c r="B224" s="542" t="s">
        <v>1241</v>
      </c>
      <c r="C224" s="533" t="s">
        <v>144</v>
      </c>
      <c r="D224" s="222">
        <v>6680</v>
      </c>
      <c r="E224" s="542" t="s">
        <v>1524</v>
      </c>
      <c r="F224" s="542" t="s">
        <v>1582</v>
      </c>
      <c r="G224" s="542" t="s">
        <v>1628</v>
      </c>
      <c r="H224" s="542" t="s">
        <v>1751</v>
      </c>
      <c r="I224" s="256" t="s">
        <v>238</v>
      </c>
      <c r="J224" s="257" t="s">
        <v>139</v>
      </c>
      <c r="K224" s="258">
        <f t="shared" si="8"/>
        <v>20</v>
      </c>
      <c r="L224" s="259">
        <f t="shared" si="6"/>
        <v>0</v>
      </c>
      <c r="M224" s="533" t="s">
        <v>1895</v>
      </c>
    </row>
    <row r="225" spans="1:13" s="190" customFormat="1" ht="126" customHeight="1">
      <c r="A225" s="218">
        <v>205</v>
      </c>
      <c r="B225" s="529" t="s">
        <v>1242</v>
      </c>
      <c r="C225" s="530" t="s">
        <v>144</v>
      </c>
      <c r="D225" s="220">
        <v>6680</v>
      </c>
      <c r="E225" s="529" t="s">
        <v>1525</v>
      </c>
      <c r="F225" s="529" t="s">
        <v>1582</v>
      </c>
      <c r="G225" s="529" t="s">
        <v>1627</v>
      </c>
      <c r="H225" s="531">
        <v>46140.4375</v>
      </c>
      <c r="I225" s="252" t="s">
        <v>238</v>
      </c>
      <c r="J225" s="253" t="s">
        <v>139</v>
      </c>
      <c r="K225" s="254">
        <f t="shared" si="8"/>
        <v>20</v>
      </c>
      <c r="L225" s="255">
        <f t="shared" si="6"/>
        <v>0</v>
      </c>
      <c r="M225" s="530" t="s">
        <v>1806</v>
      </c>
    </row>
    <row r="226" spans="1:13" s="190" customFormat="1" ht="135.94999999999999" customHeight="1">
      <c r="A226" s="218">
        <v>206</v>
      </c>
      <c r="B226" s="529" t="s">
        <v>1243</v>
      </c>
      <c r="C226" s="530" t="s">
        <v>144</v>
      </c>
      <c r="D226" s="220">
        <v>6680</v>
      </c>
      <c r="E226" s="529" t="s">
        <v>1526</v>
      </c>
      <c r="F226" s="529" t="s">
        <v>1582</v>
      </c>
      <c r="G226" s="529" t="s">
        <v>1627</v>
      </c>
      <c r="H226" s="531">
        <v>46140.416666666664</v>
      </c>
      <c r="I226" s="252" t="s">
        <v>238</v>
      </c>
      <c r="J226" s="253" t="s">
        <v>139</v>
      </c>
      <c r="K226" s="254">
        <f t="shared" si="8"/>
        <v>20</v>
      </c>
      <c r="L226" s="255">
        <f t="shared" si="6"/>
        <v>0</v>
      </c>
      <c r="M226" s="530" t="s">
        <v>1806</v>
      </c>
    </row>
    <row r="227" spans="1:13" s="572" customFormat="1" ht="128.44999999999999" customHeight="1">
      <c r="A227" s="218">
        <v>207</v>
      </c>
      <c r="B227" s="542" t="s">
        <v>1244</v>
      </c>
      <c r="C227" s="533" t="s">
        <v>144</v>
      </c>
      <c r="D227" s="222">
        <v>6680</v>
      </c>
      <c r="E227" s="542" t="s">
        <v>1527</v>
      </c>
      <c r="F227" s="542" t="s">
        <v>152</v>
      </c>
      <c r="G227" s="542" t="s">
        <v>1627</v>
      </c>
      <c r="H227" s="542" t="s">
        <v>954</v>
      </c>
      <c r="I227" s="256" t="s">
        <v>238</v>
      </c>
      <c r="J227" s="257" t="s">
        <v>139</v>
      </c>
      <c r="K227" s="258">
        <f t="shared" si="8"/>
        <v>20</v>
      </c>
      <c r="L227" s="259">
        <f t="shared" si="6"/>
        <v>0</v>
      </c>
      <c r="M227" s="533" t="s">
        <v>1899</v>
      </c>
    </row>
    <row r="228" spans="1:13" s="190" customFormat="1" ht="138" customHeight="1">
      <c r="A228" s="218">
        <v>208</v>
      </c>
      <c r="B228" s="529" t="s">
        <v>1245</v>
      </c>
      <c r="C228" s="530" t="s">
        <v>1303</v>
      </c>
      <c r="D228" s="220">
        <f>VLOOKUP(B228,[13]AssetDetails_UEM!$A$3:$X$1848,22,FALSE)</f>
        <v>5520</v>
      </c>
      <c r="E228" s="529" t="s">
        <v>1528</v>
      </c>
      <c r="F228" s="529" t="s">
        <v>1575</v>
      </c>
      <c r="G228" s="529" t="s">
        <v>1629</v>
      </c>
      <c r="H228" s="529" t="s">
        <v>1739</v>
      </c>
      <c r="I228" s="252" t="s">
        <v>238</v>
      </c>
      <c r="J228" s="253" t="s">
        <v>139</v>
      </c>
      <c r="K228" s="254">
        <f t="shared" si="8"/>
        <v>20</v>
      </c>
      <c r="L228" s="255">
        <f t="shared" si="6"/>
        <v>0</v>
      </c>
      <c r="M228" s="530" t="s">
        <v>1797</v>
      </c>
    </row>
    <row r="229" spans="1:13" s="190" customFormat="1" ht="134.44999999999999" customHeight="1">
      <c r="A229" s="218">
        <v>209</v>
      </c>
      <c r="B229" s="529" t="s">
        <v>1246</v>
      </c>
      <c r="C229" s="530" t="s">
        <v>1288</v>
      </c>
      <c r="D229" s="220">
        <f>VLOOKUP(B229,[13]AssetDetails_UEM!$A$3:$X$1848,22,FALSE)</f>
        <v>5520</v>
      </c>
      <c r="E229" s="529" t="s">
        <v>1529</v>
      </c>
      <c r="F229" s="529" t="s">
        <v>1575</v>
      </c>
      <c r="G229" s="529" t="s">
        <v>1629</v>
      </c>
      <c r="H229" s="529" t="s">
        <v>1740</v>
      </c>
      <c r="I229" s="252" t="s">
        <v>238</v>
      </c>
      <c r="J229" s="253" t="s">
        <v>139</v>
      </c>
      <c r="K229" s="254">
        <f t="shared" si="8"/>
        <v>20</v>
      </c>
      <c r="L229" s="255">
        <f t="shared" si="6"/>
        <v>0</v>
      </c>
      <c r="M229" s="530" t="s">
        <v>1798</v>
      </c>
    </row>
    <row r="230" spans="1:13" s="190" customFormat="1" ht="129.6" customHeight="1">
      <c r="A230" s="218">
        <v>210</v>
      </c>
      <c r="B230" s="529" t="s">
        <v>1247</v>
      </c>
      <c r="C230" s="530" t="s">
        <v>1304</v>
      </c>
      <c r="D230" s="220">
        <f>VLOOKUP(B230,[13]AssetDetails_UEM!$A$3:$X$1848,22,FALSE)</f>
        <v>1450</v>
      </c>
      <c r="E230" s="529" t="s">
        <v>1530</v>
      </c>
      <c r="F230" s="529" t="s">
        <v>1575</v>
      </c>
      <c r="G230" s="529" t="s">
        <v>1629</v>
      </c>
      <c r="H230" s="529" t="s">
        <v>892</v>
      </c>
      <c r="I230" s="252" t="s">
        <v>238</v>
      </c>
      <c r="J230" s="253" t="s">
        <v>139</v>
      </c>
      <c r="K230" s="254">
        <f t="shared" si="8"/>
        <v>10</v>
      </c>
      <c r="L230" s="255">
        <f t="shared" si="6"/>
        <v>0</v>
      </c>
      <c r="M230" s="530" t="s">
        <v>1794</v>
      </c>
    </row>
    <row r="231" spans="1:13" s="190" customFormat="1" ht="149.44999999999999" customHeight="1">
      <c r="A231" s="218">
        <v>211</v>
      </c>
      <c r="B231" s="529" t="s">
        <v>1248</v>
      </c>
      <c r="C231" s="530" t="s">
        <v>1304</v>
      </c>
      <c r="D231" s="220">
        <f>VLOOKUP(B231,[13]AssetDetails_UEM!$A$3:$X$1848,22,FALSE)</f>
        <v>1450</v>
      </c>
      <c r="E231" s="529" t="s">
        <v>1531</v>
      </c>
      <c r="F231" s="529" t="s">
        <v>1572</v>
      </c>
      <c r="G231" s="529" t="s">
        <v>1629</v>
      </c>
      <c r="H231" s="529" t="s">
        <v>957</v>
      </c>
      <c r="I231" s="252" t="s">
        <v>238</v>
      </c>
      <c r="J231" s="253" t="s">
        <v>139</v>
      </c>
      <c r="K231" s="254">
        <f t="shared" si="8"/>
        <v>10</v>
      </c>
      <c r="L231" s="255">
        <f t="shared" si="6"/>
        <v>0</v>
      </c>
      <c r="M231" s="530" t="s">
        <v>1799</v>
      </c>
    </row>
    <row r="232" spans="1:13" s="190" customFormat="1" ht="149.44999999999999" customHeight="1">
      <c r="A232" s="218">
        <v>212</v>
      </c>
      <c r="B232" s="529" t="s">
        <v>1249</v>
      </c>
      <c r="C232" s="530" t="s">
        <v>1303</v>
      </c>
      <c r="D232" s="220">
        <f>VLOOKUP(B232,[13]AssetDetails_UEM!$A$3:$X$1848,22,FALSE)</f>
        <v>5520</v>
      </c>
      <c r="E232" s="529" t="s">
        <v>1532</v>
      </c>
      <c r="F232" s="529" t="s">
        <v>1575</v>
      </c>
      <c r="G232" s="529" t="s">
        <v>1629</v>
      </c>
      <c r="H232" s="529" t="s">
        <v>1741</v>
      </c>
      <c r="I232" s="252" t="s">
        <v>238</v>
      </c>
      <c r="J232" s="253" t="s">
        <v>139</v>
      </c>
      <c r="K232" s="254">
        <f t="shared" si="8"/>
        <v>20</v>
      </c>
      <c r="L232" s="255">
        <f t="shared" si="6"/>
        <v>0</v>
      </c>
      <c r="M232" s="530" t="s">
        <v>1794</v>
      </c>
    </row>
    <row r="233" spans="1:13" s="190" customFormat="1" ht="129.6" customHeight="1">
      <c r="A233" s="218">
        <v>213</v>
      </c>
      <c r="B233" s="529" t="s">
        <v>1250</v>
      </c>
      <c r="C233" s="530" t="s">
        <v>1305</v>
      </c>
      <c r="D233" s="220">
        <v>0</v>
      </c>
      <c r="E233" s="529" t="s">
        <v>1533</v>
      </c>
      <c r="F233" s="529" t="s">
        <v>1575</v>
      </c>
      <c r="G233" s="529" t="s">
        <v>1629</v>
      </c>
      <c r="H233" s="529" t="s">
        <v>1742</v>
      </c>
      <c r="I233" s="252" t="s">
        <v>238</v>
      </c>
      <c r="J233" s="253" t="s">
        <v>139</v>
      </c>
      <c r="K233" s="254">
        <f t="shared" si="8"/>
        <v>0</v>
      </c>
      <c r="L233" s="255">
        <f t="shared" si="6"/>
        <v>0</v>
      </c>
      <c r="M233" s="530" t="s">
        <v>1800</v>
      </c>
    </row>
    <row r="234" spans="1:13" s="190" customFormat="1" ht="129.6" customHeight="1">
      <c r="A234" s="218">
        <v>214</v>
      </c>
      <c r="B234" s="529" t="s">
        <v>1251</v>
      </c>
      <c r="C234" s="530" t="s">
        <v>240</v>
      </c>
      <c r="D234" s="220">
        <f>VLOOKUP(B234,[13]AssetDetails_UEM!$A$3:$X$1848,22,FALSE)</f>
        <v>4510</v>
      </c>
      <c r="E234" s="529" t="s">
        <v>1534</v>
      </c>
      <c r="F234" s="529" t="s">
        <v>1606</v>
      </c>
      <c r="G234" s="529" t="s">
        <v>1628</v>
      </c>
      <c r="H234" s="529" t="s">
        <v>896</v>
      </c>
      <c r="I234" s="252" t="s">
        <v>238</v>
      </c>
      <c r="J234" s="253" t="s">
        <v>139</v>
      </c>
      <c r="K234" s="254">
        <f t="shared" si="8"/>
        <v>10</v>
      </c>
      <c r="L234" s="255">
        <f t="shared" si="6"/>
        <v>0</v>
      </c>
      <c r="M234" s="530" t="s">
        <v>1792</v>
      </c>
    </row>
    <row r="235" spans="1:13" s="190" customFormat="1" ht="129.6" customHeight="1">
      <c r="A235" s="218">
        <v>215</v>
      </c>
      <c r="B235" s="529" t="s">
        <v>1252</v>
      </c>
      <c r="C235" s="530" t="s">
        <v>240</v>
      </c>
      <c r="D235" s="220">
        <f>VLOOKUP(B235,[13]AssetDetails_UEM!$A$3:$X$1848,22,FALSE)</f>
        <v>4510</v>
      </c>
      <c r="E235" s="529" t="s">
        <v>1535</v>
      </c>
      <c r="F235" s="529" t="s">
        <v>1606</v>
      </c>
      <c r="G235" s="529" t="s">
        <v>1628</v>
      </c>
      <c r="H235" s="529" t="s">
        <v>1743</v>
      </c>
      <c r="I235" s="252" t="s">
        <v>238</v>
      </c>
      <c r="J235" s="253" t="s">
        <v>139</v>
      </c>
      <c r="K235" s="254">
        <f t="shared" si="8"/>
        <v>10</v>
      </c>
      <c r="L235" s="255">
        <f t="shared" si="6"/>
        <v>0</v>
      </c>
      <c r="M235" s="530" t="s">
        <v>1968</v>
      </c>
    </row>
    <row r="236" spans="1:13" s="190" customFormat="1" ht="165.95" customHeight="1">
      <c r="A236" s="218">
        <v>216</v>
      </c>
      <c r="B236" s="529" t="s">
        <v>1253</v>
      </c>
      <c r="C236" s="530" t="s">
        <v>240</v>
      </c>
      <c r="D236" s="220">
        <f>VLOOKUP(B236,[13]AssetDetails_UEM!$A$3:$X$1848,22,FALSE)</f>
        <v>4510</v>
      </c>
      <c r="E236" s="529" t="s">
        <v>1536</v>
      </c>
      <c r="F236" s="529" t="s">
        <v>767</v>
      </c>
      <c r="G236" s="529" t="s">
        <v>1628</v>
      </c>
      <c r="H236" s="529" t="s">
        <v>1744</v>
      </c>
      <c r="I236" s="252" t="s">
        <v>238</v>
      </c>
      <c r="J236" s="253" t="s">
        <v>139</v>
      </c>
      <c r="K236" s="254">
        <f t="shared" si="8"/>
        <v>10</v>
      </c>
      <c r="L236" s="255">
        <f t="shared" si="6"/>
        <v>0</v>
      </c>
      <c r="M236" s="530" t="s">
        <v>1792</v>
      </c>
    </row>
    <row r="237" spans="1:13" s="190" customFormat="1" ht="108">
      <c r="A237" s="218">
        <v>217</v>
      </c>
      <c r="B237" s="529" t="s">
        <v>731</v>
      </c>
      <c r="C237" s="530" t="s">
        <v>240</v>
      </c>
      <c r="D237" s="220">
        <f>VLOOKUP(B237,[13]AssetDetails_UEM!$A$3:$X$1848,22,FALSE)</f>
        <v>4510</v>
      </c>
      <c r="E237" s="529" t="s">
        <v>1537</v>
      </c>
      <c r="F237" s="529" t="s">
        <v>767</v>
      </c>
      <c r="G237" s="529" t="s">
        <v>1628</v>
      </c>
      <c r="H237" s="529" t="s">
        <v>1745</v>
      </c>
      <c r="I237" s="252" t="s">
        <v>238</v>
      </c>
      <c r="J237" s="253" t="s">
        <v>139</v>
      </c>
      <c r="K237" s="254">
        <f t="shared" si="8"/>
        <v>10</v>
      </c>
      <c r="L237" s="255">
        <f t="shared" si="6"/>
        <v>0</v>
      </c>
      <c r="M237" s="530" t="s">
        <v>1792</v>
      </c>
    </row>
    <row r="238" spans="1:13" s="190" customFormat="1" ht="118.5" customHeight="1">
      <c r="A238" s="218">
        <v>218</v>
      </c>
      <c r="B238" s="529" t="s">
        <v>1254</v>
      </c>
      <c r="C238" s="530" t="s">
        <v>240</v>
      </c>
      <c r="D238" s="220">
        <f>VLOOKUP(B238,[13]AssetDetails_UEM!$A$3:$X$1848,22,FALSE)</f>
        <v>4510</v>
      </c>
      <c r="E238" s="529" t="s">
        <v>1538</v>
      </c>
      <c r="F238" s="529" t="s">
        <v>1607</v>
      </c>
      <c r="G238" s="529" t="s">
        <v>1628</v>
      </c>
      <c r="H238" s="529" t="s">
        <v>1746</v>
      </c>
      <c r="I238" s="252" t="s">
        <v>238</v>
      </c>
      <c r="J238" s="253" t="s">
        <v>139</v>
      </c>
      <c r="K238" s="254">
        <f t="shared" si="8"/>
        <v>10</v>
      </c>
      <c r="L238" s="255">
        <f t="shared" si="6"/>
        <v>0</v>
      </c>
      <c r="M238" s="530" t="s">
        <v>1792</v>
      </c>
    </row>
    <row r="239" spans="1:13" s="190" customFormat="1" ht="118.5" customHeight="1">
      <c r="A239" s="218">
        <v>219</v>
      </c>
      <c r="B239" s="529" t="s">
        <v>1255</v>
      </c>
      <c r="C239" s="530" t="s">
        <v>1009</v>
      </c>
      <c r="D239" s="220">
        <f>VLOOKUP(B239,[13]AssetDetails_UEM!$A$3:$X$1848,22,FALSE)</f>
        <v>10225</v>
      </c>
      <c r="E239" s="529" t="s">
        <v>1539</v>
      </c>
      <c r="F239" s="529" t="s">
        <v>167</v>
      </c>
      <c r="G239" s="529" t="s">
        <v>1628</v>
      </c>
      <c r="H239" s="529" t="s">
        <v>1747</v>
      </c>
      <c r="I239" s="252" t="s">
        <v>238</v>
      </c>
      <c r="J239" s="253" t="s">
        <v>139</v>
      </c>
      <c r="K239" s="254">
        <f t="shared" si="8"/>
        <v>30</v>
      </c>
      <c r="L239" s="255">
        <f t="shared" si="6"/>
        <v>0</v>
      </c>
      <c r="M239" s="530" t="s">
        <v>1792</v>
      </c>
    </row>
    <row r="240" spans="1:13" s="190" customFormat="1" ht="180">
      <c r="A240" s="218">
        <v>220</v>
      </c>
      <c r="B240" s="529" t="s">
        <v>1256</v>
      </c>
      <c r="C240" s="530" t="s">
        <v>419</v>
      </c>
      <c r="D240" s="220">
        <f>VLOOKUP(B240,[13]AssetDetails_UEM!$A$3:$X$1848,22,FALSE)</f>
        <v>42100</v>
      </c>
      <c r="E240" s="529" t="s">
        <v>1540</v>
      </c>
      <c r="F240" s="529" t="s">
        <v>1559</v>
      </c>
      <c r="G240" s="529" t="s">
        <v>1628</v>
      </c>
      <c r="H240" s="529" t="s">
        <v>896</v>
      </c>
      <c r="I240" s="252" t="s">
        <v>238</v>
      </c>
      <c r="J240" s="253" t="s">
        <v>139</v>
      </c>
      <c r="K240" s="254">
        <f t="shared" si="8"/>
        <v>90</v>
      </c>
      <c r="L240" s="255">
        <f t="shared" si="6"/>
        <v>0</v>
      </c>
      <c r="M240" s="530" t="s">
        <v>1969</v>
      </c>
    </row>
    <row r="241" spans="1:13" s="190" customFormat="1" ht="180">
      <c r="A241" s="218">
        <v>221</v>
      </c>
      <c r="B241" s="529" t="s">
        <v>180</v>
      </c>
      <c r="C241" s="530" t="s">
        <v>419</v>
      </c>
      <c r="D241" s="220">
        <f>VLOOKUP(B241,[13]AssetDetails_UEM!$A$3:$X$1848,22,FALSE)</f>
        <v>42100</v>
      </c>
      <c r="E241" s="529" t="s">
        <v>1541</v>
      </c>
      <c r="F241" s="529" t="s">
        <v>182</v>
      </c>
      <c r="G241" s="529" t="s">
        <v>1628</v>
      </c>
      <c r="H241" s="529" t="s">
        <v>1743</v>
      </c>
      <c r="I241" s="252" t="s">
        <v>238</v>
      </c>
      <c r="J241" s="253" t="s">
        <v>139</v>
      </c>
      <c r="K241" s="254">
        <f t="shared" si="8"/>
        <v>90</v>
      </c>
      <c r="L241" s="255">
        <f t="shared" si="6"/>
        <v>0</v>
      </c>
      <c r="M241" s="530" t="s">
        <v>1970</v>
      </c>
    </row>
    <row r="242" spans="1:13" s="190" customFormat="1" ht="126" customHeight="1">
      <c r="A242" s="218">
        <v>222</v>
      </c>
      <c r="B242" s="529" t="s">
        <v>1257</v>
      </c>
      <c r="C242" s="530" t="s">
        <v>245</v>
      </c>
      <c r="D242" s="220">
        <f>VLOOKUP(B242,[13]AssetDetails_UEM!$A$3:$X$1848,22,FALSE)</f>
        <v>5052</v>
      </c>
      <c r="E242" s="529" t="s">
        <v>1542</v>
      </c>
      <c r="F242" s="529" t="s">
        <v>749</v>
      </c>
      <c r="G242" s="529" t="s">
        <v>1628</v>
      </c>
      <c r="H242" s="529" t="s">
        <v>1748</v>
      </c>
      <c r="I242" s="252" t="s">
        <v>238</v>
      </c>
      <c r="J242" s="253" t="s">
        <v>139</v>
      </c>
      <c r="K242" s="254">
        <f t="shared" si="8"/>
        <v>20</v>
      </c>
      <c r="L242" s="255">
        <f t="shared" si="6"/>
        <v>0</v>
      </c>
      <c r="M242" s="530" t="s">
        <v>1792</v>
      </c>
    </row>
    <row r="243" spans="1:13" s="190" customFormat="1" ht="133.5" customHeight="1">
      <c r="A243" s="218">
        <v>223</v>
      </c>
      <c r="B243" s="529" t="s">
        <v>1258</v>
      </c>
      <c r="C243" s="530" t="s">
        <v>240</v>
      </c>
      <c r="D243" s="220">
        <f>VLOOKUP(B243,[13]AssetDetails_UEM!$A$3:$X$1848,22,FALSE)</f>
        <v>7770</v>
      </c>
      <c r="E243" s="529" t="s">
        <v>1543</v>
      </c>
      <c r="F243" s="529" t="s">
        <v>749</v>
      </c>
      <c r="G243" s="529" t="s">
        <v>1628</v>
      </c>
      <c r="H243" s="529" t="s">
        <v>1749</v>
      </c>
      <c r="I243" s="252" t="s">
        <v>238</v>
      </c>
      <c r="J243" s="253" t="s">
        <v>139</v>
      </c>
      <c r="K243" s="254">
        <f t="shared" si="8"/>
        <v>20</v>
      </c>
      <c r="L243" s="255">
        <f t="shared" si="6"/>
        <v>0</v>
      </c>
      <c r="M243" s="530" t="s">
        <v>1792</v>
      </c>
    </row>
    <row r="244" spans="1:13" s="190" customFormat="1" ht="135.94999999999999" customHeight="1">
      <c r="A244" s="218">
        <v>224</v>
      </c>
      <c r="B244" s="529" t="s">
        <v>1259</v>
      </c>
      <c r="C244" s="530" t="s">
        <v>1297</v>
      </c>
      <c r="D244" s="220">
        <f>VLOOKUP(B244,[13]AssetDetails_UEM!$A$3:$X$1848,22,FALSE)</f>
        <v>25260</v>
      </c>
      <c r="E244" s="529" t="s">
        <v>1544</v>
      </c>
      <c r="F244" s="529" t="s">
        <v>1600</v>
      </c>
      <c r="G244" s="529" t="s">
        <v>1628</v>
      </c>
      <c r="H244" s="531">
        <v>46142.75</v>
      </c>
      <c r="I244" s="252" t="s">
        <v>238</v>
      </c>
      <c r="J244" s="253" t="s">
        <v>139</v>
      </c>
      <c r="K244" s="254">
        <f t="shared" si="8"/>
        <v>60</v>
      </c>
      <c r="L244" s="255">
        <f t="shared" si="6"/>
        <v>0</v>
      </c>
      <c r="M244" s="530" t="s">
        <v>1807</v>
      </c>
    </row>
    <row r="245" spans="1:13" s="190" customFormat="1" ht="135.94999999999999" customHeight="1">
      <c r="A245" s="218">
        <v>225</v>
      </c>
      <c r="B245" s="529" t="s">
        <v>1260</v>
      </c>
      <c r="C245" s="530" t="s">
        <v>1306</v>
      </c>
      <c r="D245" s="220">
        <f>VLOOKUP(B245,[13]AssetDetails_UEM!$A$3:$X$1848,22,FALSE)</f>
        <v>1140</v>
      </c>
      <c r="E245" s="529" t="s">
        <v>1545</v>
      </c>
      <c r="F245" s="529" t="s">
        <v>1608</v>
      </c>
      <c r="G245" s="529" t="s">
        <v>1628</v>
      </c>
      <c r="H245" s="529" t="s">
        <v>1750</v>
      </c>
      <c r="I245" s="252" t="s">
        <v>238</v>
      </c>
      <c r="J245" s="253" t="s">
        <v>139</v>
      </c>
      <c r="K245" s="254">
        <f t="shared" si="8"/>
        <v>10</v>
      </c>
      <c r="L245" s="255">
        <f t="shared" si="6"/>
        <v>0</v>
      </c>
      <c r="M245" s="530" t="s">
        <v>1794</v>
      </c>
    </row>
    <row r="246" spans="1:13" s="190" customFormat="1" ht="135.94999999999999" customHeight="1">
      <c r="A246" s="218">
        <v>226</v>
      </c>
      <c r="B246" s="529" t="s">
        <v>1261</v>
      </c>
      <c r="C246" s="530" t="s">
        <v>245</v>
      </c>
      <c r="D246" s="220">
        <f>VLOOKUP(B246,[13]AssetDetails_UEM!$A$3:$X$1848,22,FALSE)</f>
        <v>2165</v>
      </c>
      <c r="E246" s="529" t="s">
        <v>1546</v>
      </c>
      <c r="F246" s="529" t="s">
        <v>1608</v>
      </c>
      <c r="G246" s="529" t="s">
        <v>1628</v>
      </c>
      <c r="H246" s="529" t="s">
        <v>1746</v>
      </c>
      <c r="I246" s="252" t="s">
        <v>238</v>
      </c>
      <c r="J246" s="253" t="s">
        <v>139</v>
      </c>
      <c r="K246" s="254">
        <f t="shared" si="8"/>
        <v>10</v>
      </c>
      <c r="L246" s="255">
        <f t="shared" si="6"/>
        <v>0</v>
      </c>
      <c r="M246" s="530" t="s">
        <v>1798</v>
      </c>
    </row>
    <row r="247" spans="1:13" s="190" customFormat="1" ht="144">
      <c r="A247" s="218">
        <v>227</v>
      </c>
      <c r="B247" s="529" t="s">
        <v>1262</v>
      </c>
      <c r="C247" s="530" t="s">
        <v>242</v>
      </c>
      <c r="D247" s="220">
        <f>VLOOKUP(B247,[13]AssetDetails_UEM!$A$3:$X$1848,22,FALSE)</f>
        <v>119690</v>
      </c>
      <c r="E247" s="529" t="s">
        <v>1547</v>
      </c>
      <c r="F247" s="529" t="s">
        <v>745</v>
      </c>
      <c r="G247" s="529" t="s">
        <v>1628</v>
      </c>
      <c r="H247" s="531">
        <v>46142.583333333336</v>
      </c>
      <c r="I247" s="252" t="s">
        <v>238</v>
      </c>
      <c r="J247" s="253" t="s">
        <v>139</v>
      </c>
      <c r="K247" s="254">
        <f t="shared" si="8"/>
        <v>240</v>
      </c>
      <c r="L247" s="255">
        <f t="shared" si="6"/>
        <v>0</v>
      </c>
      <c r="M247" s="530" t="s">
        <v>1891</v>
      </c>
    </row>
    <row r="248" spans="1:13" s="572" customFormat="1" ht="124.5" customHeight="1">
      <c r="A248" s="218">
        <v>228</v>
      </c>
      <c r="B248" s="542" t="s">
        <v>1263</v>
      </c>
      <c r="C248" s="533" t="s">
        <v>262</v>
      </c>
      <c r="D248" s="222">
        <f>VLOOKUP(B248,[13]AssetDetails_UEM!$A$3:$X$1848,22,FALSE)</f>
        <v>750</v>
      </c>
      <c r="E248" s="542" t="s">
        <v>1548</v>
      </c>
      <c r="F248" s="542" t="s">
        <v>744</v>
      </c>
      <c r="G248" s="542" t="s">
        <v>1628</v>
      </c>
      <c r="H248" s="542" t="s">
        <v>1751</v>
      </c>
      <c r="I248" s="256" t="s">
        <v>238</v>
      </c>
      <c r="J248" s="257" t="s">
        <v>139</v>
      </c>
      <c r="K248" s="258">
        <f t="shared" si="8"/>
        <v>10</v>
      </c>
      <c r="L248" s="259">
        <f t="shared" si="6"/>
        <v>0</v>
      </c>
      <c r="M248" s="533" t="s">
        <v>1900</v>
      </c>
    </row>
    <row r="249" spans="1:13" s="572" customFormat="1" ht="134.44999999999999" customHeight="1">
      <c r="A249" s="218">
        <v>229</v>
      </c>
      <c r="B249" s="542" t="s">
        <v>1264</v>
      </c>
      <c r="C249" s="533" t="s">
        <v>262</v>
      </c>
      <c r="D249" s="222">
        <f>VLOOKUP(B249,[13]AssetDetails_UEM!$A$3:$X$1848,22,FALSE)</f>
        <v>825</v>
      </c>
      <c r="E249" s="542" t="s">
        <v>1549</v>
      </c>
      <c r="F249" s="542" t="s">
        <v>1559</v>
      </c>
      <c r="G249" s="542" t="s">
        <v>1628</v>
      </c>
      <c r="H249" s="542" t="s">
        <v>819</v>
      </c>
      <c r="I249" s="256" t="s">
        <v>238</v>
      </c>
      <c r="J249" s="257" t="s">
        <v>139</v>
      </c>
      <c r="K249" s="258">
        <f t="shared" si="8"/>
        <v>10</v>
      </c>
      <c r="L249" s="259">
        <f t="shared" si="6"/>
        <v>0</v>
      </c>
      <c r="M249" s="533" t="s">
        <v>1900</v>
      </c>
    </row>
    <row r="250" spans="1:13" s="572" customFormat="1" ht="134.44999999999999" customHeight="1">
      <c r="A250" s="218">
        <v>230</v>
      </c>
      <c r="B250" s="542" t="s">
        <v>1265</v>
      </c>
      <c r="C250" s="533" t="s">
        <v>262</v>
      </c>
      <c r="D250" s="222">
        <f>VLOOKUP(B250,[13]AssetDetails_UEM!$A$3:$X$1848,22,FALSE)</f>
        <v>825</v>
      </c>
      <c r="E250" s="542" t="s">
        <v>1550</v>
      </c>
      <c r="F250" s="542" t="s">
        <v>1559</v>
      </c>
      <c r="G250" s="542" t="s">
        <v>1628</v>
      </c>
      <c r="H250" s="542" t="s">
        <v>1743</v>
      </c>
      <c r="I250" s="256" t="s">
        <v>238</v>
      </c>
      <c r="J250" s="257" t="s">
        <v>139</v>
      </c>
      <c r="K250" s="258">
        <f t="shared" si="8"/>
        <v>10</v>
      </c>
      <c r="L250" s="259">
        <f t="shared" si="6"/>
        <v>0</v>
      </c>
      <c r="M250" s="533" t="s">
        <v>1900</v>
      </c>
    </row>
    <row r="251" spans="1:13" s="572" customFormat="1" ht="134.44999999999999" customHeight="1">
      <c r="A251" s="218">
        <v>231</v>
      </c>
      <c r="B251" s="542" t="s">
        <v>1266</v>
      </c>
      <c r="C251" s="533" t="s">
        <v>262</v>
      </c>
      <c r="D251" s="222">
        <f>VLOOKUP(B251,[13]AssetDetails_UEM!$A$3:$X$1848,22,FALSE)</f>
        <v>825</v>
      </c>
      <c r="E251" s="542" t="s">
        <v>1551</v>
      </c>
      <c r="F251" s="542" t="s">
        <v>1559</v>
      </c>
      <c r="G251" s="542" t="s">
        <v>1628</v>
      </c>
      <c r="H251" s="542" t="s">
        <v>896</v>
      </c>
      <c r="I251" s="256" t="s">
        <v>238</v>
      </c>
      <c r="J251" s="257" t="s">
        <v>139</v>
      </c>
      <c r="K251" s="258">
        <f t="shared" si="8"/>
        <v>10</v>
      </c>
      <c r="L251" s="259">
        <f t="shared" si="6"/>
        <v>0</v>
      </c>
      <c r="M251" s="533" t="s">
        <v>1900</v>
      </c>
    </row>
    <row r="252" spans="1:13" s="572" customFormat="1" ht="132" customHeight="1">
      <c r="A252" s="218">
        <v>232</v>
      </c>
      <c r="B252" s="542" t="s">
        <v>1267</v>
      </c>
      <c r="C252" s="533" t="s">
        <v>262</v>
      </c>
      <c r="D252" s="222">
        <f>VLOOKUP(B252,[13]AssetDetails_UEM!$A$3:$X$1848,22,FALSE)</f>
        <v>1000</v>
      </c>
      <c r="E252" s="542" t="s">
        <v>1552</v>
      </c>
      <c r="F252" s="542" t="s">
        <v>1566</v>
      </c>
      <c r="G252" s="542" t="s">
        <v>1628</v>
      </c>
      <c r="H252" s="542" t="s">
        <v>1894</v>
      </c>
      <c r="I252" s="256" t="s">
        <v>238</v>
      </c>
      <c r="J252" s="257" t="s">
        <v>139</v>
      </c>
      <c r="K252" s="258">
        <f t="shared" si="8"/>
        <v>10</v>
      </c>
      <c r="L252" s="259">
        <f t="shared" si="6"/>
        <v>0</v>
      </c>
      <c r="M252" s="533" t="s">
        <v>1900</v>
      </c>
    </row>
    <row r="253" spans="1:13" s="572" customFormat="1" ht="132" customHeight="1">
      <c r="A253" s="218">
        <v>233</v>
      </c>
      <c r="B253" s="542" t="s">
        <v>1268</v>
      </c>
      <c r="C253" s="533" t="s">
        <v>262</v>
      </c>
      <c r="D253" s="222">
        <f>VLOOKUP(B253,[13]AssetDetails_UEM!$A$3:$X$1848,22,FALSE)</f>
        <v>1000</v>
      </c>
      <c r="E253" s="542" t="s">
        <v>1553</v>
      </c>
      <c r="F253" s="542" t="s">
        <v>1566</v>
      </c>
      <c r="G253" s="542" t="s">
        <v>1628</v>
      </c>
      <c r="H253" s="542" t="s">
        <v>1893</v>
      </c>
      <c r="I253" s="256" t="s">
        <v>238</v>
      </c>
      <c r="J253" s="257" t="s">
        <v>139</v>
      </c>
      <c r="K253" s="258">
        <f t="shared" si="8"/>
        <v>10</v>
      </c>
      <c r="L253" s="259">
        <f t="shared" si="6"/>
        <v>0</v>
      </c>
      <c r="M253" s="533" t="s">
        <v>1900</v>
      </c>
    </row>
    <row r="254" spans="1:13" s="572" customFormat="1" ht="132" customHeight="1">
      <c r="A254" s="218">
        <v>234</v>
      </c>
      <c r="B254" s="542" t="s">
        <v>1269</v>
      </c>
      <c r="C254" s="533" t="s">
        <v>262</v>
      </c>
      <c r="D254" s="222">
        <f>VLOOKUP(B254,[13]AssetDetails_UEM!$A$3:$X$1848,22,FALSE)</f>
        <v>1000</v>
      </c>
      <c r="E254" s="542" t="s">
        <v>1554</v>
      </c>
      <c r="F254" s="542" t="s">
        <v>1566</v>
      </c>
      <c r="G254" s="542" t="s">
        <v>1628</v>
      </c>
      <c r="H254" s="542" t="s">
        <v>1748</v>
      </c>
      <c r="I254" s="256" t="s">
        <v>238</v>
      </c>
      <c r="J254" s="257" t="s">
        <v>139</v>
      </c>
      <c r="K254" s="258">
        <f t="shared" si="8"/>
        <v>10</v>
      </c>
      <c r="L254" s="259">
        <f t="shared" si="6"/>
        <v>0</v>
      </c>
      <c r="M254" s="533" t="s">
        <v>1900</v>
      </c>
    </row>
    <row r="255" spans="1:13" s="572" customFormat="1" ht="118.5" customHeight="1">
      <c r="A255" s="218">
        <v>235</v>
      </c>
      <c r="B255" s="542" t="s">
        <v>1270</v>
      </c>
      <c r="C255" s="533" t="s">
        <v>262</v>
      </c>
      <c r="D255" s="222">
        <f>VLOOKUP(B255,[13]AssetDetails_UEM!$A$3:$X$1848,22,FALSE)</f>
        <v>3883</v>
      </c>
      <c r="E255" s="542" t="s">
        <v>1555</v>
      </c>
      <c r="F255" s="542" t="s">
        <v>1566</v>
      </c>
      <c r="G255" s="542" t="s">
        <v>1628</v>
      </c>
      <c r="H255" s="542" t="s">
        <v>1744</v>
      </c>
      <c r="I255" s="256" t="s">
        <v>238</v>
      </c>
      <c r="J255" s="257" t="s">
        <v>139</v>
      </c>
      <c r="K255" s="258">
        <f t="shared" si="8"/>
        <v>10</v>
      </c>
      <c r="L255" s="259">
        <f t="shared" si="6"/>
        <v>0</v>
      </c>
      <c r="M255" s="533" t="s">
        <v>1900</v>
      </c>
    </row>
    <row r="256" spans="1:13" s="572" customFormat="1" ht="118.5" customHeight="1">
      <c r="A256" s="218">
        <v>236</v>
      </c>
      <c r="B256" s="542" t="s">
        <v>1271</v>
      </c>
      <c r="C256" s="533" t="s">
        <v>262</v>
      </c>
      <c r="D256" s="222">
        <f>VLOOKUP(B256,[13]AssetDetails_UEM!$A$3:$X$1848,22,FALSE)</f>
        <v>1000</v>
      </c>
      <c r="E256" s="542" t="s">
        <v>1556</v>
      </c>
      <c r="F256" s="542" t="s">
        <v>1566</v>
      </c>
      <c r="G256" s="542" t="s">
        <v>1628</v>
      </c>
      <c r="H256" s="542" t="s">
        <v>1746</v>
      </c>
      <c r="I256" s="256" t="s">
        <v>238</v>
      </c>
      <c r="J256" s="257" t="s">
        <v>139</v>
      </c>
      <c r="K256" s="258">
        <f t="shared" si="8"/>
        <v>10</v>
      </c>
      <c r="L256" s="259">
        <f t="shared" si="6"/>
        <v>0</v>
      </c>
      <c r="M256" s="533" t="s">
        <v>1900</v>
      </c>
    </row>
    <row r="257" spans="1:14" s="572" customFormat="1" ht="118.5" customHeight="1">
      <c r="A257" s="218">
        <v>237</v>
      </c>
      <c r="B257" s="542" t="s">
        <v>1272</v>
      </c>
      <c r="C257" s="533" t="s">
        <v>262</v>
      </c>
      <c r="D257" s="222">
        <f>VLOOKUP(B257,[13]AssetDetails_UEM!$A$3:$X$1848,22,FALSE)</f>
        <v>1000</v>
      </c>
      <c r="E257" s="542" t="s">
        <v>1557</v>
      </c>
      <c r="F257" s="542" t="s">
        <v>1566</v>
      </c>
      <c r="G257" s="542" t="s">
        <v>1628</v>
      </c>
      <c r="H257" s="542" t="s">
        <v>1749</v>
      </c>
      <c r="I257" s="256" t="s">
        <v>238</v>
      </c>
      <c r="J257" s="257" t="s">
        <v>139</v>
      </c>
      <c r="K257" s="258">
        <f t="shared" si="8"/>
        <v>10</v>
      </c>
      <c r="L257" s="259">
        <f t="shared" si="6"/>
        <v>0</v>
      </c>
      <c r="M257" s="533" t="s">
        <v>1900</v>
      </c>
    </row>
    <row r="258" spans="1:14" s="190" customFormat="1" ht="129.94999999999999" customHeight="1">
      <c r="A258" s="218">
        <v>238</v>
      </c>
      <c r="B258" s="218" t="s">
        <v>1273</v>
      </c>
      <c r="C258" s="219" t="s">
        <v>1307</v>
      </c>
      <c r="D258" s="220">
        <f>VLOOKUP(B258,[13]AssetDetails_UEM!$A$3:$X$1848,22,FALSE)</f>
        <v>155000</v>
      </c>
      <c r="E258" s="218" t="s">
        <v>1558</v>
      </c>
      <c r="F258" s="218" t="s">
        <v>285</v>
      </c>
      <c r="G258" s="218" t="s">
        <v>1628</v>
      </c>
      <c r="H258" s="218" t="s">
        <v>1751</v>
      </c>
      <c r="I258" s="252" t="s">
        <v>238</v>
      </c>
      <c r="J258" s="253" t="s">
        <v>139</v>
      </c>
      <c r="K258" s="254">
        <f t="shared" si="8"/>
        <v>320</v>
      </c>
      <c r="L258" s="255">
        <f t="shared" si="6"/>
        <v>0</v>
      </c>
      <c r="M258" s="219" t="s">
        <v>1969</v>
      </c>
    </row>
    <row r="259" spans="1:14" s="190" customFormat="1" ht="153.75" customHeight="1">
      <c r="A259" s="645" t="s">
        <v>258</v>
      </c>
      <c r="B259" s="645"/>
      <c r="C259" s="645"/>
      <c r="D259" s="272"/>
      <c r="E259" s="272"/>
      <c r="F259" s="272"/>
      <c r="G259" s="272"/>
      <c r="H259" s="276"/>
      <c r="I259" s="276"/>
      <c r="J259" s="276"/>
      <c r="K259" s="276"/>
      <c r="L259" s="276"/>
      <c r="M259" s="276"/>
    </row>
    <row r="260" spans="1:14" s="572" customFormat="1" ht="111" customHeight="1">
      <c r="A260" s="535">
        <v>1</v>
      </c>
      <c r="B260" s="535" t="s">
        <v>1117</v>
      </c>
      <c r="C260" s="269" t="s">
        <v>1290</v>
      </c>
      <c r="D260" s="222">
        <f>VLOOKUP(B260,[13]AssetDetails_UEM!$A$3:$X$1848,22,FALSE)</f>
        <v>1883</v>
      </c>
      <c r="E260" s="535" t="s">
        <v>1391</v>
      </c>
      <c r="F260" s="535" t="s">
        <v>1588</v>
      </c>
      <c r="G260" s="540">
        <v>46121</v>
      </c>
      <c r="H260" s="573" t="s">
        <v>223</v>
      </c>
      <c r="I260" s="282">
        <v>46156</v>
      </c>
      <c r="J260" s="257" t="s">
        <v>139</v>
      </c>
      <c r="K260" s="258">
        <f t="shared" ref="K260:K271" si="9">ROUNDUP((D260/4999.99)*10,-1)</f>
        <v>10</v>
      </c>
      <c r="L260" s="259">
        <f t="shared" ref="L260:L271" si="10">IF(J260="N",0,K260)</f>
        <v>0</v>
      </c>
      <c r="M260" s="269" t="s">
        <v>1991</v>
      </c>
    </row>
    <row r="261" spans="1:14" s="572" customFormat="1" ht="111" customHeight="1">
      <c r="A261" s="535">
        <v>2</v>
      </c>
      <c r="B261" s="535" t="s">
        <v>1119</v>
      </c>
      <c r="C261" s="269" t="s">
        <v>1287</v>
      </c>
      <c r="D261" s="222">
        <f>VLOOKUP(B261,[13]AssetDetails_UEM!$A$3:$X$1848,22,FALSE)</f>
        <v>23270</v>
      </c>
      <c r="E261" s="535" t="s">
        <v>1394</v>
      </c>
      <c r="F261" s="535" t="s">
        <v>1590</v>
      </c>
      <c r="G261" s="540">
        <v>46122</v>
      </c>
      <c r="H261" s="573" t="s">
        <v>223</v>
      </c>
      <c r="I261" s="282">
        <v>46157</v>
      </c>
      <c r="J261" s="257" t="s">
        <v>139</v>
      </c>
      <c r="K261" s="258">
        <f t="shared" si="9"/>
        <v>50</v>
      </c>
      <c r="L261" s="259">
        <f t="shared" si="10"/>
        <v>0</v>
      </c>
      <c r="M261" s="269" t="s">
        <v>1991</v>
      </c>
    </row>
    <row r="262" spans="1:14" s="572" customFormat="1" ht="111" customHeight="1">
      <c r="A262" s="535">
        <v>3</v>
      </c>
      <c r="B262" s="535" t="s">
        <v>1121</v>
      </c>
      <c r="C262" s="269" t="s">
        <v>1290</v>
      </c>
      <c r="D262" s="222">
        <f>VLOOKUP(B262,[13]AssetDetails_UEM!$A$3:$X$1848,22,FALSE)</f>
        <v>1883</v>
      </c>
      <c r="E262" s="535" t="s">
        <v>1396</v>
      </c>
      <c r="F262" s="535" t="s">
        <v>1588</v>
      </c>
      <c r="G262" s="540">
        <v>46122</v>
      </c>
      <c r="H262" s="573" t="s">
        <v>223</v>
      </c>
      <c r="I262" s="282">
        <v>46157</v>
      </c>
      <c r="J262" s="257" t="s">
        <v>139</v>
      </c>
      <c r="K262" s="258">
        <f t="shared" si="9"/>
        <v>10</v>
      </c>
      <c r="L262" s="259">
        <f t="shared" si="10"/>
        <v>0</v>
      </c>
      <c r="M262" s="269" t="s">
        <v>1991</v>
      </c>
    </row>
    <row r="263" spans="1:14" s="572" customFormat="1" ht="111" customHeight="1">
      <c r="A263" s="535">
        <v>4</v>
      </c>
      <c r="B263" s="535" t="s">
        <v>1122</v>
      </c>
      <c r="C263" s="269" t="s">
        <v>1290</v>
      </c>
      <c r="D263" s="222">
        <f>VLOOKUP(B263,[13]AssetDetails_UEM!$A$3:$X$1848,22,FALSE)</f>
        <v>1883</v>
      </c>
      <c r="E263" s="535" t="s">
        <v>1397</v>
      </c>
      <c r="F263" s="535" t="s">
        <v>1588</v>
      </c>
      <c r="G263" s="540">
        <v>46122</v>
      </c>
      <c r="H263" s="573" t="s">
        <v>223</v>
      </c>
      <c r="I263" s="282">
        <v>46157</v>
      </c>
      <c r="J263" s="257" t="s">
        <v>139</v>
      </c>
      <c r="K263" s="258">
        <f t="shared" si="9"/>
        <v>10</v>
      </c>
      <c r="L263" s="259">
        <f t="shared" si="10"/>
        <v>0</v>
      </c>
      <c r="M263" s="269" t="s">
        <v>1991</v>
      </c>
    </row>
    <row r="264" spans="1:14" s="572" customFormat="1" ht="111" customHeight="1">
      <c r="A264" s="535">
        <v>5</v>
      </c>
      <c r="B264" s="535" t="s">
        <v>1123</v>
      </c>
      <c r="C264" s="269" t="s">
        <v>1290</v>
      </c>
      <c r="D264" s="222">
        <f>VLOOKUP(B264,[13]AssetDetails_UEM!$A$3:$X$1848,22,FALSE)</f>
        <v>1883</v>
      </c>
      <c r="E264" s="535" t="s">
        <v>1398</v>
      </c>
      <c r="F264" s="535" t="s">
        <v>1588</v>
      </c>
      <c r="G264" s="540">
        <v>46122</v>
      </c>
      <c r="H264" s="573" t="s">
        <v>223</v>
      </c>
      <c r="I264" s="282">
        <v>46157</v>
      </c>
      <c r="J264" s="257" t="s">
        <v>139</v>
      </c>
      <c r="K264" s="258">
        <f t="shared" si="9"/>
        <v>10</v>
      </c>
      <c r="L264" s="259">
        <f t="shared" si="10"/>
        <v>0</v>
      </c>
      <c r="M264" s="269" t="s">
        <v>1991</v>
      </c>
    </row>
    <row r="265" spans="1:14" s="572" customFormat="1" ht="111" customHeight="1">
      <c r="A265" s="535">
        <v>6</v>
      </c>
      <c r="B265" s="535" t="s">
        <v>1124</v>
      </c>
      <c r="C265" s="269" t="s">
        <v>1290</v>
      </c>
      <c r="D265" s="222">
        <f>VLOOKUP(B265,[13]AssetDetails_UEM!$A$3:$X$1848,22,FALSE)</f>
        <v>1883</v>
      </c>
      <c r="E265" s="535" t="s">
        <v>1399</v>
      </c>
      <c r="F265" s="535" t="s">
        <v>1588</v>
      </c>
      <c r="G265" s="540">
        <v>46122</v>
      </c>
      <c r="H265" s="573" t="s">
        <v>223</v>
      </c>
      <c r="I265" s="282">
        <v>46157</v>
      </c>
      <c r="J265" s="257" t="s">
        <v>139</v>
      </c>
      <c r="K265" s="258">
        <f t="shared" si="9"/>
        <v>10</v>
      </c>
      <c r="L265" s="259">
        <f t="shared" si="10"/>
        <v>0</v>
      </c>
      <c r="M265" s="269" t="s">
        <v>1991</v>
      </c>
    </row>
    <row r="266" spans="1:14" s="572" customFormat="1" ht="111" customHeight="1">
      <c r="A266" s="535">
        <v>7</v>
      </c>
      <c r="B266" s="535" t="s">
        <v>1125</v>
      </c>
      <c r="C266" s="269" t="s">
        <v>1290</v>
      </c>
      <c r="D266" s="222">
        <f>VLOOKUP(B266,[13]AssetDetails_UEM!$A$3:$X$1848,22,FALSE)</f>
        <v>1883</v>
      </c>
      <c r="E266" s="535" t="s">
        <v>1400</v>
      </c>
      <c r="F266" s="535" t="s">
        <v>1588</v>
      </c>
      <c r="G266" s="540">
        <v>46122</v>
      </c>
      <c r="H266" s="573" t="s">
        <v>223</v>
      </c>
      <c r="I266" s="282">
        <v>46157</v>
      </c>
      <c r="J266" s="257" t="s">
        <v>139</v>
      </c>
      <c r="K266" s="258">
        <f t="shared" si="9"/>
        <v>10</v>
      </c>
      <c r="L266" s="259">
        <f t="shared" si="10"/>
        <v>0</v>
      </c>
      <c r="M266" s="269" t="s">
        <v>1991</v>
      </c>
    </row>
    <row r="267" spans="1:14" s="572" customFormat="1" ht="111" customHeight="1">
      <c r="A267" s="535">
        <v>8</v>
      </c>
      <c r="B267" s="535" t="s">
        <v>1126</v>
      </c>
      <c r="C267" s="269" t="s">
        <v>1290</v>
      </c>
      <c r="D267" s="222">
        <f>VLOOKUP(B267,[13]AssetDetails_UEM!$A$3:$X$1848,22,FALSE)</f>
        <v>1883</v>
      </c>
      <c r="E267" s="535" t="s">
        <v>1401</v>
      </c>
      <c r="F267" s="535" t="s">
        <v>1588</v>
      </c>
      <c r="G267" s="540">
        <v>46122</v>
      </c>
      <c r="H267" s="573" t="s">
        <v>223</v>
      </c>
      <c r="I267" s="282">
        <v>46157</v>
      </c>
      <c r="J267" s="257" t="s">
        <v>139</v>
      </c>
      <c r="K267" s="258">
        <f t="shared" si="9"/>
        <v>10</v>
      </c>
      <c r="L267" s="259">
        <f t="shared" si="10"/>
        <v>0</v>
      </c>
      <c r="M267" s="269" t="s">
        <v>1991</v>
      </c>
    </row>
    <row r="268" spans="1:14" s="572" customFormat="1" ht="111" customHeight="1">
      <c r="A268" s="535">
        <v>9</v>
      </c>
      <c r="B268" s="535" t="s">
        <v>1161</v>
      </c>
      <c r="C268" s="269" t="s">
        <v>1290</v>
      </c>
      <c r="D268" s="222">
        <f>VLOOKUP(B268,[13]AssetDetails_UEM!$A$3:$X$1848,22,FALSE)</f>
        <v>4370</v>
      </c>
      <c r="E268" s="535" t="s">
        <v>1439</v>
      </c>
      <c r="F268" s="535" t="s">
        <v>342</v>
      </c>
      <c r="G268" s="540">
        <v>46129</v>
      </c>
      <c r="H268" s="573" t="s">
        <v>223</v>
      </c>
      <c r="I268" s="282">
        <v>46164</v>
      </c>
      <c r="J268" s="257" t="s">
        <v>139</v>
      </c>
      <c r="K268" s="258">
        <f t="shared" si="9"/>
        <v>10</v>
      </c>
      <c r="L268" s="259">
        <f t="shared" si="10"/>
        <v>0</v>
      </c>
      <c r="M268" s="269" t="s">
        <v>1991</v>
      </c>
    </row>
    <row r="269" spans="1:14" s="572" customFormat="1" ht="111" customHeight="1">
      <c r="A269" s="535">
        <v>10</v>
      </c>
      <c r="B269" s="535" t="s">
        <v>1162</v>
      </c>
      <c r="C269" s="269" t="s">
        <v>1290</v>
      </c>
      <c r="D269" s="222">
        <f>VLOOKUP(B269,[13]AssetDetails_UEM!$A$3:$X$1848,22,FALSE)</f>
        <v>4370</v>
      </c>
      <c r="E269" s="535" t="s">
        <v>1440</v>
      </c>
      <c r="F269" s="535" t="s">
        <v>342</v>
      </c>
      <c r="G269" s="540">
        <v>46129</v>
      </c>
      <c r="H269" s="573" t="s">
        <v>223</v>
      </c>
      <c r="I269" s="282">
        <v>46164</v>
      </c>
      <c r="J269" s="257" t="s">
        <v>139</v>
      </c>
      <c r="K269" s="258">
        <f t="shared" si="9"/>
        <v>10</v>
      </c>
      <c r="L269" s="259">
        <f t="shared" si="10"/>
        <v>0</v>
      </c>
      <c r="M269" s="269" t="s">
        <v>1991</v>
      </c>
    </row>
    <row r="270" spans="1:14" s="572" customFormat="1" ht="111" customHeight="1">
      <c r="A270" s="535">
        <v>11</v>
      </c>
      <c r="B270" s="535" t="s">
        <v>1163</v>
      </c>
      <c r="C270" s="269" t="s">
        <v>1290</v>
      </c>
      <c r="D270" s="222">
        <f>VLOOKUP(B270,[13]AssetDetails_UEM!$A$3:$X$1848,22,FALSE)</f>
        <v>4370</v>
      </c>
      <c r="E270" s="535" t="s">
        <v>1441</v>
      </c>
      <c r="F270" s="535" t="s">
        <v>342</v>
      </c>
      <c r="G270" s="540">
        <v>46129</v>
      </c>
      <c r="H270" s="573" t="s">
        <v>223</v>
      </c>
      <c r="I270" s="282">
        <v>46164</v>
      </c>
      <c r="J270" s="257" t="s">
        <v>139</v>
      </c>
      <c r="K270" s="258">
        <f t="shared" si="9"/>
        <v>10</v>
      </c>
      <c r="L270" s="259">
        <f t="shared" si="10"/>
        <v>0</v>
      </c>
      <c r="M270" s="269" t="s">
        <v>1991</v>
      </c>
    </row>
    <row r="271" spans="1:14" s="572" customFormat="1" ht="111" customHeight="1">
      <c r="A271" s="535">
        <v>12</v>
      </c>
      <c r="B271" s="535" t="s">
        <v>1165</v>
      </c>
      <c r="C271" s="269" t="s">
        <v>304</v>
      </c>
      <c r="D271" s="222">
        <f>VLOOKUP(B271,[13]AssetDetails_UEM!$A$3:$X$1848,22,FALSE)</f>
        <v>20000</v>
      </c>
      <c r="E271" s="535" t="s">
        <v>1443</v>
      </c>
      <c r="F271" s="535" t="s">
        <v>1591</v>
      </c>
      <c r="G271" s="540">
        <v>46129</v>
      </c>
      <c r="H271" s="573" t="s">
        <v>223</v>
      </c>
      <c r="I271" s="282">
        <v>46164</v>
      </c>
      <c r="J271" s="257" t="s">
        <v>139</v>
      </c>
      <c r="K271" s="258">
        <f t="shared" si="9"/>
        <v>50</v>
      </c>
      <c r="L271" s="259">
        <f t="shared" si="10"/>
        <v>0</v>
      </c>
      <c r="M271" s="269" t="s">
        <v>306</v>
      </c>
    </row>
    <row r="272" spans="1:14" s="630" customFormat="1" ht="165.95" customHeight="1">
      <c r="A272" s="218">
        <v>13</v>
      </c>
      <c r="B272" s="627" t="s">
        <v>1226</v>
      </c>
      <c r="C272" s="628" t="s">
        <v>1302</v>
      </c>
      <c r="D272" s="221">
        <f>VLOOKUP(B272,[13]AssetDetails_UEM!$A$3:$X$1848,22,FALSE)</f>
        <v>5773</v>
      </c>
      <c r="E272" s="627" t="s">
        <v>1509</v>
      </c>
      <c r="F272" s="627" t="s">
        <v>765</v>
      </c>
      <c r="G272" s="627" t="s">
        <v>1627</v>
      </c>
      <c r="H272" s="573" t="s">
        <v>223</v>
      </c>
      <c r="I272" s="584">
        <v>46164</v>
      </c>
      <c r="J272" s="285" t="s">
        <v>139</v>
      </c>
      <c r="K272" s="254">
        <f>ROUNDUP((D272/4999.99)*10,-1)</f>
        <v>20</v>
      </c>
      <c r="L272" s="629">
        <f>IF(J272="N",0,K272)</f>
        <v>0</v>
      </c>
      <c r="M272" s="530" t="s">
        <v>1971</v>
      </c>
      <c r="N272" s="633" t="s">
        <v>1977</v>
      </c>
    </row>
    <row r="273" spans="1:33" s="190" customFormat="1" ht="165.95" customHeight="1">
      <c r="A273" s="218">
        <v>14</v>
      </c>
      <c r="B273" s="529" t="s">
        <v>1227</v>
      </c>
      <c r="C273" s="530" t="s">
        <v>1302</v>
      </c>
      <c r="D273" s="220">
        <f>VLOOKUP(B273,[13]AssetDetails_UEM!$A$3:$X$1848,22,FALSE)</f>
        <v>5773</v>
      </c>
      <c r="E273" s="529" t="s">
        <v>1510</v>
      </c>
      <c r="F273" s="529" t="s">
        <v>765</v>
      </c>
      <c r="G273" s="531">
        <v>46140</v>
      </c>
      <c r="H273" s="573" t="s">
        <v>223</v>
      </c>
      <c r="I273" s="584">
        <v>46164</v>
      </c>
      <c r="J273" s="253" t="s">
        <v>139</v>
      </c>
      <c r="K273" s="254">
        <f>ROUNDUP((D273/4999.99)*10,-1)</f>
        <v>20</v>
      </c>
      <c r="L273" s="255">
        <f>IF(J273="N",0,K273)</f>
        <v>0</v>
      </c>
      <c r="M273" s="530" t="s">
        <v>1971</v>
      </c>
      <c r="N273" s="633" t="s">
        <v>1978</v>
      </c>
    </row>
    <row r="274" spans="1:33" s="190" customFormat="1" ht="147.75" customHeight="1">
      <c r="A274" s="646" t="s">
        <v>310</v>
      </c>
      <c r="B274" s="647"/>
      <c r="C274" s="647"/>
      <c r="D274" s="647"/>
      <c r="E274" s="647"/>
      <c r="F274" s="277"/>
      <c r="G274" s="278"/>
      <c r="H274" s="279"/>
      <c r="I274" s="283"/>
      <c r="J274" s="283"/>
      <c r="K274" s="284"/>
      <c r="L274" s="284"/>
      <c r="M274" s="286"/>
    </row>
    <row r="275" spans="1:33" s="187" customFormat="1" ht="409.5">
      <c r="A275" s="218">
        <v>1</v>
      </c>
      <c r="B275" s="218" t="s">
        <v>340</v>
      </c>
      <c r="C275" s="275" t="s">
        <v>314</v>
      </c>
      <c r="D275" s="274">
        <f>VLOOKUP(B275,[13]AssetDetails_UEM!$A$3:$X$1848,22,FALSE)</f>
        <v>117000</v>
      </c>
      <c r="E275" s="281" t="s">
        <v>341</v>
      </c>
      <c r="F275" s="281" t="s">
        <v>342</v>
      </c>
      <c r="G275" s="238">
        <v>45996</v>
      </c>
      <c r="H275" s="551">
        <v>46132.375</v>
      </c>
      <c r="I275" s="271">
        <v>46142</v>
      </c>
      <c r="J275" s="285" t="s">
        <v>139</v>
      </c>
      <c r="K275" s="254">
        <f>ROUNDUP((D275/4999.99)*10,-1)</f>
        <v>240</v>
      </c>
      <c r="L275" s="255">
        <f>IF(J275="N",0,K275)</f>
        <v>0</v>
      </c>
      <c r="M275" s="219" t="s">
        <v>1901</v>
      </c>
      <c r="N275" s="268"/>
    </row>
    <row r="276" spans="1:33" s="187" customFormat="1" ht="288">
      <c r="A276" s="218">
        <v>2</v>
      </c>
      <c r="B276" s="218" t="s">
        <v>329</v>
      </c>
      <c r="C276" s="273" t="s">
        <v>314</v>
      </c>
      <c r="D276" s="274">
        <f>VLOOKUP(B276,[13]AssetDetails_UEM!$A$3:$X$1848,22,FALSE)</f>
        <v>40000</v>
      </c>
      <c r="E276" s="280" t="s">
        <v>330</v>
      </c>
      <c r="F276" s="280" t="s">
        <v>313</v>
      </c>
      <c r="G276" s="238">
        <v>45665</v>
      </c>
      <c r="H276" s="551">
        <v>46133.541666666664</v>
      </c>
      <c r="I276" s="271">
        <v>46135</v>
      </c>
      <c r="J276" s="285" t="s">
        <v>139</v>
      </c>
      <c r="K276" s="254">
        <f t="shared" ref="K276:K299" si="11">ROUNDUP((D276/4999.99)*10,-1)</f>
        <v>90</v>
      </c>
      <c r="L276" s="255">
        <f t="shared" ref="L276:L299" si="12">IF(J276="N",0,K276)</f>
        <v>0</v>
      </c>
      <c r="M276" s="219" t="s">
        <v>597</v>
      </c>
      <c r="N276" s="268"/>
      <c r="AG276" s="187" t="s">
        <v>331</v>
      </c>
    </row>
    <row r="277" spans="1:33" s="187" customFormat="1" ht="288">
      <c r="A277" s="218">
        <v>3</v>
      </c>
      <c r="B277" s="218" t="s">
        <v>321</v>
      </c>
      <c r="C277" s="273" t="s">
        <v>314</v>
      </c>
      <c r="D277" s="274">
        <f>VLOOKUP(B277,[13]AssetDetails_UEM!$A$3:$X$1848,22,FALSE)</f>
        <v>40000</v>
      </c>
      <c r="E277" s="280" t="s">
        <v>322</v>
      </c>
      <c r="F277" s="280" t="s">
        <v>313</v>
      </c>
      <c r="G277" s="238">
        <v>45707</v>
      </c>
      <c r="H277" s="238">
        <v>46133.583333333336</v>
      </c>
      <c r="I277" s="271">
        <v>46135</v>
      </c>
      <c r="J277" s="253" t="s">
        <v>139</v>
      </c>
      <c r="K277" s="254">
        <f t="shared" si="11"/>
        <v>90</v>
      </c>
      <c r="L277" s="255">
        <f t="shared" si="12"/>
        <v>0</v>
      </c>
      <c r="M277" s="219" t="s">
        <v>597</v>
      </c>
      <c r="N277" s="268"/>
    </row>
    <row r="278" spans="1:33" s="187" customFormat="1" ht="288">
      <c r="A278" s="218">
        <v>4</v>
      </c>
      <c r="B278" s="218" t="s">
        <v>323</v>
      </c>
      <c r="C278" s="273" t="s">
        <v>314</v>
      </c>
      <c r="D278" s="274">
        <f>VLOOKUP(B278,[13]AssetDetails_UEM!$A$3:$X$1848,22,FALSE)</f>
        <v>40000</v>
      </c>
      <c r="E278" s="280" t="s">
        <v>324</v>
      </c>
      <c r="F278" s="280" t="s">
        <v>313</v>
      </c>
      <c r="G278" s="238">
        <v>45898</v>
      </c>
      <c r="H278" s="551">
        <v>46133.333333333336</v>
      </c>
      <c r="I278" s="271">
        <v>46143</v>
      </c>
      <c r="J278" s="253" t="s">
        <v>139</v>
      </c>
      <c r="K278" s="254">
        <f t="shared" si="11"/>
        <v>90</v>
      </c>
      <c r="L278" s="255">
        <f t="shared" si="12"/>
        <v>0</v>
      </c>
      <c r="M278" s="219" t="s">
        <v>600</v>
      </c>
      <c r="N278" s="268"/>
      <c r="O278" s="187" t="s">
        <v>331</v>
      </c>
    </row>
    <row r="279" spans="1:33" s="190" customFormat="1" ht="252">
      <c r="A279" s="218">
        <v>5</v>
      </c>
      <c r="B279" s="218" t="s">
        <v>325</v>
      </c>
      <c r="C279" s="273" t="s">
        <v>314</v>
      </c>
      <c r="D279" s="274">
        <f>VLOOKUP(B279,[13]AssetDetails_UEM!$A$3:$X$1848,22,FALSE)</f>
        <v>40000</v>
      </c>
      <c r="E279" s="280" t="s">
        <v>326</v>
      </c>
      <c r="F279" s="280" t="s">
        <v>313</v>
      </c>
      <c r="G279" s="238">
        <v>45898</v>
      </c>
      <c r="H279" s="551">
        <v>46133.625</v>
      </c>
      <c r="I279" s="271">
        <v>46143</v>
      </c>
      <c r="J279" s="285" t="s">
        <v>139</v>
      </c>
      <c r="K279" s="254">
        <f t="shared" si="11"/>
        <v>90</v>
      </c>
      <c r="L279" s="255">
        <f t="shared" si="12"/>
        <v>0</v>
      </c>
      <c r="M279" s="219" t="s">
        <v>601</v>
      </c>
    </row>
    <row r="280" spans="1:33" s="190" customFormat="1" ht="288">
      <c r="A280" s="218">
        <v>6</v>
      </c>
      <c r="B280" s="218" t="s">
        <v>327</v>
      </c>
      <c r="C280" s="273" t="s">
        <v>314</v>
      </c>
      <c r="D280" s="274">
        <f>VLOOKUP(B280,[13]AssetDetails_UEM!$A$3:$X$1848,22,FALSE)</f>
        <v>40000</v>
      </c>
      <c r="E280" s="280" t="s">
        <v>328</v>
      </c>
      <c r="F280" s="280" t="s">
        <v>313</v>
      </c>
      <c r="G280" s="238">
        <v>45898</v>
      </c>
      <c r="H280" s="551" t="s">
        <v>581</v>
      </c>
      <c r="I280" s="271">
        <v>46143</v>
      </c>
      <c r="J280" s="285" t="s">
        <v>139</v>
      </c>
      <c r="K280" s="254">
        <f t="shared" si="11"/>
        <v>90</v>
      </c>
      <c r="L280" s="255">
        <f t="shared" si="12"/>
        <v>0</v>
      </c>
      <c r="M280" s="219" t="s">
        <v>597</v>
      </c>
    </row>
    <row r="281" spans="1:33" s="190" customFormat="1" ht="288">
      <c r="A281" s="218">
        <v>7</v>
      </c>
      <c r="B281" s="218" t="s">
        <v>332</v>
      </c>
      <c r="C281" s="273" t="s">
        <v>314</v>
      </c>
      <c r="D281" s="274">
        <f>VLOOKUP(B281,[13]AssetDetails_UEM!$A$3:$X$1848,22,FALSE)</f>
        <v>100000</v>
      </c>
      <c r="E281" s="280" t="s">
        <v>333</v>
      </c>
      <c r="F281" s="280" t="s">
        <v>313</v>
      </c>
      <c r="G281" s="238">
        <v>45911</v>
      </c>
      <c r="H281" s="551" t="s">
        <v>598</v>
      </c>
      <c r="I281" s="271">
        <v>46142</v>
      </c>
      <c r="J281" s="285" t="s">
        <v>139</v>
      </c>
      <c r="K281" s="254">
        <f t="shared" si="11"/>
        <v>210</v>
      </c>
      <c r="L281" s="255">
        <f t="shared" si="12"/>
        <v>0</v>
      </c>
      <c r="M281" s="219" t="s">
        <v>597</v>
      </c>
    </row>
    <row r="282" spans="1:33" s="187" customFormat="1" ht="288">
      <c r="A282" s="218">
        <v>8</v>
      </c>
      <c r="B282" s="218" t="s">
        <v>334</v>
      </c>
      <c r="C282" s="273" t="s">
        <v>314</v>
      </c>
      <c r="D282" s="274">
        <f>VLOOKUP(B282,[13]AssetDetails_UEM!$A$3:$X$1848,22,FALSE)</f>
        <v>100000</v>
      </c>
      <c r="E282" s="280" t="s">
        <v>335</v>
      </c>
      <c r="F282" s="280" t="s">
        <v>313</v>
      </c>
      <c r="G282" s="238">
        <v>45918</v>
      </c>
      <c r="H282" s="551">
        <v>46133.375</v>
      </c>
      <c r="I282" s="271">
        <v>46142</v>
      </c>
      <c r="J282" s="285" t="s">
        <v>139</v>
      </c>
      <c r="K282" s="254">
        <f t="shared" si="11"/>
        <v>210</v>
      </c>
      <c r="L282" s="255">
        <f t="shared" si="12"/>
        <v>0</v>
      </c>
      <c r="M282" s="219" t="s">
        <v>597</v>
      </c>
      <c r="N282" s="268"/>
    </row>
    <row r="283" spans="1:33" s="187" customFormat="1" ht="288">
      <c r="A283" s="218">
        <v>9</v>
      </c>
      <c r="B283" s="218" t="s">
        <v>336</v>
      </c>
      <c r="C283" s="275" t="s">
        <v>314</v>
      </c>
      <c r="D283" s="274">
        <f>VLOOKUP(B283,[13]AssetDetails_UEM!$A$3:$X$1848,22,FALSE)</f>
        <v>500000</v>
      </c>
      <c r="E283" s="281" t="s">
        <v>337</v>
      </c>
      <c r="F283" s="281" t="s">
        <v>313</v>
      </c>
      <c r="G283" s="238">
        <v>45918</v>
      </c>
      <c r="H283" s="551">
        <v>46133.666666666664</v>
      </c>
      <c r="I283" s="271">
        <v>46142</v>
      </c>
      <c r="J283" s="285" t="s">
        <v>139</v>
      </c>
      <c r="K283" s="254">
        <f t="shared" si="11"/>
        <v>1010</v>
      </c>
      <c r="L283" s="255">
        <f t="shared" si="12"/>
        <v>0</v>
      </c>
      <c r="M283" s="219" t="s">
        <v>597</v>
      </c>
      <c r="N283" s="268"/>
    </row>
    <row r="284" spans="1:33" s="187" customFormat="1" ht="288">
      <c r="A284" s="218">
        <v>10</v>
      </c>
      <c r="B284" s="218" t="s">
        <v>338</v>
      </c>
      <c r="C284" s="275" t="s">
        <v>314</v>
      </c>
      <c r="D284" s="274">
        <f>VLOOKUP(B284,[13]AssetDetails_UEM!$A$3:$X$1848,22,FALSE)</f>
        <v>100000</v>
      </c>
      <c r="E284" s="281" t="s">
        <v>339</v>
      </c>
      <c r="F284" s="281" t="s">
        <v>313</v>
      </c>
      <c r="G284" s="238">
        <v>45918</v>
      </c>
      <c r="H284" s="551" t="s">
        <v>599</v>
      </c>
      <c r="I284" s="271">
        <v>46142</v>
      </c>
      <c r="J284" s="285" t="s">
        <v>139</v>
      </c>
      <c r="K284" s="254">
        <f t="shared" si="11"/>
        <v>210</v>
      </c>
      <c r="L284" s="255">
        <f t="shared" si="12"/>
        <v>0</v>
      </c>
      <c r="M284" s="219" t="s">
        <v>597</v>
      </c>
      <c r="N284" s="268"/>
    </row>
    <row r="285" spans="1:33" s="187" customFormat="1" ht="396">
      <c r="A285" s="218">
        <v>11</v>
      </c>
      <c r="B285" s="218" t="s">
        <v>318</v>
      </c>
      <c r="C285" s="273" t="s">
        <v>314</v>
      </c>
      <c r="D285" s="274">
        <f>VLOOKUP(B285,[13]AssetDetails_UEM!$A$3:$X$1848,22,FALSE)</f>
        <v>142000</v>
      </c>
      <c r="E285" s="280" t="s">
        <v>319</v>
      </c>
      <c r="F285" s="280" t="s">
        <v>320</v>
      </c>
      <c r="G285" s="238">
        <v>45939</v>
      </c>
      <c r="H285" s="292" t="s">
        <v>595</v>
      </c>
      <c r="I285" s="271">
        <v>46142</v>
      </c>
      <c r="J285" s="293" t="s">
        <v>139</v>
      </c>
      <c r="K285" s="254">
        <f t="shared" si="11"/>
        <v>290</v>
      </c>
      <c r="L285" s="255">
        <f t="shared" si="12"/>
        <v>0</v>
      </c>
      <c r="M285" s="219" t="s">
        <v>596</v>
      </c>
      <c r="N285" s="268"/>
    </row>
    <row r="286" spans="1:33" s="187" customFormat="1" ht="180.95" customHeight="1">
      <c r="A286" s="218">
        <v>12</v>
      </c>
      <c r="B286" s="218" t="s">
        <v>259</v>
      </c>
      <c r="C286" s="219" t="s">
        <v>243</v>
      </c>
      <c r="D286" s="220">
        <f>VLOOKUP(B286,[13]AssetDetails_UEM!$A$3:$X$1848,22,FALSE)</f>
        <v>15515</v>
      </c>
      <c r="E286" s="218" t="s">
        <v>260</v>
      </c>
      <c r="F286" s="218" t="s">
        <v>256</v>
      </c>
      <c r="G286" s="238">
        <v>46086</v>
      </c>
      <c r="H286" s="534">
        <v>46127.625</v>
      </c>
      <c r="I286" s="271">
        <v>46121</v>
      </c>
      <c r="J286" s="253" t="s">
        <v>139</v>
      </c>
      <c r="K286" s="254">
        <f t="shared" si="11"/>
        <v>40</v>
      </c>
      <c r="L286" s="255">
        <f t="shared" si="12"/>
        <v>0</v>
      </c>
      <c r="M286" s="219" t="s">
        <v>1944</v>
      </c>
      <c r="N286" s="268"/>
    </row>
    <row r="287" spans="1:33" s="539" customFormat="1" ht="219.95" customHeight="1">
      <c r="A287" s="218">
        <v>13</v>
      </c>
      <c r="B287" s="535" t="s">
        <v>307</v>
      </c>
      <c r="C287" s="269" t="s">
        <v>144</v>
      </c>
      <c r="D287" s="222">
        <f>VLOOKUP(B287,[13]AssetDetails_UEM!$A$3:$X$1848,22,FALSE)</f>
        <v>10825</v>
      </c>
      <c r="E287" s="535" t="s">
        <v>308</v>
      </c>
      <c r="F287" s="535" t="s">
        <v>189</v>
      </c>
      <c r="G287" s="536">
        <v>46092</v>
      </c>
      <c r="H287" s="537" t="s">
        <v>309</v>
      </c>
      <c r="I287" s="282">
        <v>46113</v>
      </c>
      <c r="J287" s="257" t="s">
        <v>139</v>
      </c>
      <c r="K287" s="258">
        <f t="shared" si="11"/>
        <v>30</v>
      </c>
      <c r="L287" s="259">
        <f t="shared" si="12"/>
        <v>0</v>
      </c>
      <c r="M287" s="269" t="s">
        <v>1947</v>
      </c>
      <c r="N287" s="538"/>
    </row>
    <row r="288" spans="1:33" s="189" customFormat="1" ht="283.5" customHeight="1">
      <c r="A288" s="618">
        <v>14</v>
      </c>
      <c r="B288" s="535" t="s">
        <v>261</v>
      </c>
      <c r="C288" s="269" t="s">
        <v>262</v>
      </c>
      <c r="D288" s="222">
        <f>VLOOKUP(B288,[13]AssetDetails_UEM!$A$3:$X$1848,22,FALSE)</f>
        <v>1000</v>
      </c>
      <c r="E288" s="535" t="s">
        <v>263</v>
      </c>
      <c r="F288" s="535" t="s">
        <v>264</v>
      </c>
      <c r="G288" s="540">
        <v>46093</v>
      </c>
      <c r="H288" s="541" t="s">
        <v>592</v>
      </c>
      <c r="I288" s="282">
        <v>46114</v>
      </c>
      <c r="J288" s="257" t="s">
        <v>139</v>
      </c>
      <c r="K288" s="258">
        <f t="shared" si="11"/>
        <v>10</v>
      </c>
      <c r="L288" s="259">
        <f t="shared" si="12"/>
        <v>0</v>
      </c>
      <c r="M288" s="269" t="s">
        <v>1946</v>
      </c>
      <c r="N288" s="270"/>
      <c r="O288" s="189" t="s">
        <v>593</v>
      </c>
    </row>
    <row r="289" spans="1:14" s="189" customFormat="1" ht="309.95" customHeight="1">
      <c r="A289" s="218">
        <v>15</v>
      </c>
      <c r="B289" s="535" t="s">
        <v>265</v>
      </c>
      <c r="C289" s="269" t="s">
        <v>262</v>
      </c>
      <c r="D289" s="222">
        <f>VLOOKUP(B289,[13]AssetDetails_UEM!$A$3:$X$1848,22,FALSE)</f>
        <v>1000</v>
      </c>
      <c r="E289" s="535" t="s">
        <v>266</v>
      </c>
      <c r="F289" s="535" t="s">
        <v>264</v>
      </c>
      <c r="G289" s="540">
        <v>46093</v>
      </c>
      <c r="H289" s="541" t="s">
        <v>591</v>
      </c>
      <c r="I289" s="282">
        <v>46114</v>
      </c>
      <c r="J289" s="257" t="s">
        <v>139</v>
      </c>
      <c r="K289" s="258">
        <f t="shared" si="11"/>
        <v>10</v>
      </c>
      <c r="L289" s="259">
        <f t="shared" si="12"/>
        <v>0</v>
      </c>
      <c r="M289" s="269" t="s">
        <v>1946</v>
      </c>
      <c r="N289" s="270"/>
    </row>
    <row r="290" spans="1:14" s="539" customFormat="1" ht="312" customHeight="1">
      <c r="A290" s="218">
        <v>16</v>
      </c>
      <c r="B290" s="535" t="s">
        <v>267</v>
      </c>
      <c r="C290" s="269" t="s">
        <v>262</v>
      </c>
      <c r="D290" s="222">
        <f>VLOOKUP(B290,[13]AssetDetails_UEM!$A$3:$X$1848,22,FALSE)</f>
        <v>1000</v>
      </c>
      <c r="E290" s="535" t="s">
        <v>268</v>
      </c>
      <c r="F290" s="535" t="s">
        <v>264</v>
      </c>
      <c r="G290" s="540">
        <v>46093</v>
      </c>
      <c r="H290" s="541" t="s">
        <v>590</v>
      </c>
      <c r="I290" s="282">
        <v>46114</v>
      </c>
      <c r="J290" s="257" t="s">
        <v>139</v>
      </c>
      <c r="K290" s="258">
        <f t="shared" si="11"/>
        <v>10</v>
      </c>
      <c r="L290" s="259">
        <f t="shared" si="12"/>
        <v>0</v>
      </c>
      <c r="M290" s="269" t="s">
        <v>1946</v>
      </c>
    </row>
    <row r="291" spans="1:14" s="539" customFormat="1" ht="315" customHeight="1">
      <c r="A291" s="218">
        <v>17</v>
      </c>
      <c r="B291" s="535" t="s">
        <v>269</v>
      </c>
      <c r="C291" s="269" t="s">
        <v>262</v>
      </c>
      <c r="D291" s="222">
        <f>VLOOKUP(B291,[13]AssetDetails_UEM!$A$3:$X$1848,22,FALSE)</f>
        <v>1000</v>
      </c>
      <c r="E291" s="535" t="s">
        <v>270</v>
      </c>
      <c r="F291" s="535" t="s">
        <v>264</v>
      </c>
      <c r="G291" s="540">
        <v>46093</v>
      </c>
      <c r="H291" s="541">
        <v>46115.541666666664</v>
      </c>
      <c r="I291" s="282">
        <v>46114</v>
      </c>
      <c r="J291" s="257" t="s">
        <v>139</v>
      </c>
      <c r="K291" s="258">
        <f t="shared" si="11"/>
        <v>10</v>
      </c>
      <c r="L291" s="259">
        <f t="shared" si="12"/>
        <v>0</v>
      </c>
      <c r="M291" s="269" t="s">
        <v>1946</v>
      </c>
    </row>
    <row r="292" spans="1:14" s="539" customFormat="1" ht="315" customHeight="1">
      <c r="A292" s="218">
        <v>18</v>
      </c>
      <c r="B292" s="535" t="s">
        <v>271</v>
      </c>
      <c r="C292" s="269" t="s">
        <v>262</v>
      </c>
      <c r="D292" s="222">
        <f>VLOOKUP(B292,[13]AssetDetails_UEM!$A$3:$X$1848,22,FALSE)</f>
        <v>1000</v>
      </c>
      <c r="E292" s="535" t="s">
        <v>272</v>
      </c>
      <c r="F292" s="535" t="s">
        <v>264</v>
      </c>
      <c r="G292" s="540">
        <v>46093</v>
      </c>
      <c r="H292" s="541" t="s">
        <v>589</v>
      </c>
      <c r="I292" s="282">
        <v>46114</v>
      </c>
      <c r="J292" s="257" t="s">
        <v>139</v>
      </c>
      <c r="K292" s="258">
        <f t="shared" si="11"/>
        <v>10</v>
      </c>
      <c r="L292" s="259">
        <f t="shared" si="12"/>
        <v>0</v>
      </c>
      <c r="M292" s="269" t="s">
        <v>1946</v>
      </c>
    </row>
    <row r="293" spans="1:14" s="539" customFormat="1" ht="321" customHeight="1">
      <c r="A293" s="218">
        <v>19</v>
      </c>
      <c r="B293" s="535" t="s">
        <v>273</v>
      </c>
      <c r="C293" s="269" t="s">
        <v>262</v>
      </c>
      <c r="D293" s="222">
        <f>VLOOKUP(B293,[13]AssetDetails_UEM!$A$3:$X$1848,22,FALSE)</f>
        <v>1000</v>
      </c>
      <c r="E293" s="535" t="s">
        <v>274</v>
      </c>
      <c r="F293" s="535" t="s">
        <v>264</v>
      </c>
      <c r="G293" s="540">
        <v>46093</v>
      </c>
      <c r="H293" s="541">
        <v>46115.5</v>
      </c>
      <c r="I293" s="282">
        <v>46114</v>
      </c>
      <c r="J293" s="257" t="s">
        <v>139</v>
      </c>
      <c r="K293" s="258">
        <f t="shared" si="11"/>
        <v>10</v>
      </c>
      <c r="L293" s="259">
        <f t="shared" si="12"/>
        <v>0</v>
      </c>
      <c r="M293" s="269" t="s">
        <v>1945</v>
      </c>
    </row>
    <row r="294" spans="1:14" s="539" customFormat="1" ht="326.10000000000002" customHeight="1">
      <c r="A294" s="218">
        <v>20</v>
      </c>
      <c r="B294" s="535" t="s">
        <v>275</v>
      </c>
      <c r="C294" s="269" t="s">
        <v>262</v>
      </c>
      <c r="D294" s="222">
        <f>VLOOKUP(B294,[13]AssetDetails_UEM!$A$3:$X$1848,22,FALSE)</f>
        <v>1000</v>
      </c>
      <c r="E294" s="535" t="s">
        <v>276</v>
      </c>
      <c r="F294" s="535" t="s">
        <v>264</v>
      </c>
      <c r="G294" s="540">
        <v>46093</v>
      </c>
      <c r="H294" s="541">
        <v>46115.395833333336</v>
      </c>
      <c r="I294" s="282">
        <v>46114</v>
      </c>
      <c r="J294" s="257" t="s">
        <v>139</v>
      </c>
      <c r="K294" s="258">
        <f t="shared" si="11"/>
        <v>10</v>
      </c>
      <c r="L294" s="259">
        <f t="shared" si="12"/>
        <v>0</v>
      </c>
      <c r="M294" s="269" t="s">
        <v>1946</v>
      </c>
    </row>
    <row r="295" spans="1:14" s="539" customFormat="1" ht="324.75" customHeight="1">
      <c r="A295" s="218">
        <v>21</v>
      </c>
      <c r="B295" s="535" t="s">
        <v>277</v>
      </c>
      <c r="C295" s="269" t="s">
        <v>262</v>
      </c>
      <c r="D295" s="222">
        <f>VLOOKUP(B295,[13]AssetDetails_UEM!$A$3:$X$1848,22,FALSE)</f>
        <v>1000</v>
      </c>
      <c r="E295" s="535" t="s">
        <v>278</v>
      </c>
      <c r="F295" s="535" t="s">
        <v>264</v>
      </c>
      <c r="G295" s="540">
        <v>46093</v>
      </c>
      <c r="H295" s="541" t="s">
        <v>588</v>
      </c>
      <c r="I295" s="282">
        <v>46114</v>
      </c>
      <c r="J295" s="257" t="s">
        <v>139</v>
      </c>
      <c r="K295" s="258">
        <f t="shared" si="11"/>
        <v>10</v>
      </c>
      <c r="L295" s="259">
        <f t="shared" si="12"/>
        <v>0</v>
      </c>
      <c r="M295" s="269" t="s">
        <v>1946</v>
      </c>
    </row>
    <row r="296" spans="1:14" s="539" customFormat="1" ht="347.25" customHeight="1">
      <c r="A296" s="218">
        <v>22</v>
      </c>
      <c r="B296" s="535" t="s">
        <v>279</v>
      </c>
      <c r="C296" s="269" t="s">
        <v>262</v>
      </c>
      <c r="D296" s="222">
        <f>VLOOKUP(B296,[13]AssetDetails_UEM!$A$3:$X$1848,22,FALSE)</f>
        <v>1000</v>
      </c>
      <c r="E296" s="535" t="s">
        <v>280</v>
      </c>
      <c r="F296" s="535" t="s">
        <v>264</v>
      </c>
      <c r="G296" s="540">
        <v>46093</v>
      </c>
      <c r="H296" s="541">
        <v>46114.333333333336</v>
      </c>
      <c r="I296" s="282">
        <v>46114</v>
      </c>
      <c r="J296" s="257" t="s">
        <v>139</v>
      </c>
      <c r="K296" s="258">
        <f t="shared" si="11"/>
        <v>10</v>
      </c>
      <c r="L296" s="259">
        <f t="shared" si="12"/>
        <v>0</v>
      </c>
      <c r="M296" s="269" t="s">
        <v>1946</v>
      </c>
    </row>
    <row r="297" spans="1:14" s="539" customFormat="1" ht="318.75" customHeight="1">
      <c r="A297" s="218">
        <v>23</v>
      </c>
      <c r="B297" s="535" t="s">
        <v>281</v>
      </c>
      <c r="C297" s="269" t="s">
        <v>262</v>
      </c>
      <c r="D297" s="222">
        <f>VLOOKUP(B297,[13]AssetDetails_UEM!$A$3:$X$1848,22,FALSE)</f>
        <v>1000</v>
      </c>
      <c r="E297" s="535" t="s">
        <v>282</v>
      </c>
      <c r="F297" s="535" t="s">
        <v>264</v>
      </c>
      <c r="G297" s="540">
        <v>46093</v>
      </c>
      <c r="H297" s="541">
        <v>46115.479166666664</v>
      </c>
      <c r="I297" s="282">
        <v>46114</v>
      </c>
      <c r="J297" s="257" t="s">
        <v>139</v>
      </c>
      <c r="K297" s="258">
        <f t="shared" si="11"/>
        <v>10</v>
      </c>
      <c r="L297" s="259">
        <f t="shared" si="12"/>
        <v>0</v>
      </c>
      <c r="M297" s="269" t="s">
        <v>1946</v>
      </c>
    </row>
    <row r="298" spans="1:14" s="539" customFormat="1" ht="396">
      <c r="A298" s="218">
        <v>24</v>
      </c>
      <c r="B298" s="535" t="s">
        <v>283</v>
      </c>
      <c r="C298" s="269" t="s">
        <v>262</v>
      </c>
      <c r="D298" s="222">
        <f>VLOOKUP(B298,[13]AssetDetails_UEM!$A$3:$X$1848,22,FALSE)</f>
        <v>2204</v>
      </c>
      <c r="E298" s="535" t="s">
        <v>284</v>
      </c>
      <c r="F298" s="535" t="s">
        <v>285</v>
      </c>
      <c r="G298" s="540">
        <v>46093</v>
      </c>
      <c r="H298" s="541">
        <v>46115.4375</v>
      </c>
      <c r="I298" s="282">
        <v>46114</v>
      </c>
      <c r="J298" s="257" t="s">
        <v>139</v>
      </c>
      <c r="K298" s="258">
        <f t="shared" si="11"/>
        <v>10</v>
      </c>
      <c r="L298" s="259">
        <f t="shared" si="12"/>
        <v>0</v>
      </c>
      <c r="M298" s="269" t="s">
        <v>1946</v>
      </c>
    </row>
    <row r="299" spans="1:14" s="539" customFormat="1" ht="360">
      <c r="A299" s="218">
        <v>25</v>
      </c>
      <c r="B299" s="535" t="s">
        <v>286</v>
      </c>
      <c r="C299" s="269" t="s">
        <v>287</v>
      </c>
      <c r="D299" s="222">
        <f>VLOOKUP(B299,[13]AssetDetails_UEM!$A$3:$X$1848,22,FALSE)</f>
        <v>105860</v>
      </c>
      <c r="E299" s="535" t="s">
        <v>288</v>
      </c>
      <c r="F299" s="535" t="s">
        <v>289</v>
      </c>
      <c r="G299" s="540">
        <v>46098</v>
      </c>
      <c r="H299" s="541">
        <v>46119.416666666664</v>
      </c>
      <c r="I299" s="282">
        <v>46119</v>
      </c>
      <c r="J299" s="257" t="s">
        <v>139</v>
      </c>
      <c r="K299" s="258">
        <f t="shared" si="11"/>
        <v>220</v>
      </c>
      <c r="L299" s="259">
        <f t="shared" si="12"/>
        <v>0</v>
      </c>
      <c r="M299" s="269" t="s">
        <v>1948</v>
      </c>
    </row>
    <row r="300" spans="1:14" s="539" customFormat="1" ht="360">
      <c r="A300" s="218">
        <v>26</v>
      </c>
      <c r="B300" s="542" t="s">
        <v>293</v>
      </c>
      <c r="C300" s="533" t="s">
        <v>287</v>
      </c>
      <c r="D300" s="543">
        <v>105860</v>
      </c>
      <c r="E300" s="542" t="s">
        <v>294</v>
      </c>
      <c r="F300" s="542" t="s">
        <v>289</v>
      </c>
      <c r="G300" s="544">
        <v>46101</v>
      </c>
      <c r="H300" s="544">
        <v>46119.5</v>
      </c>
      <c r="I300" s="532">
        <v>46119</v>
      </c>
      <c r="J300" s="546" t="s">
        <v>139</v>
      </c>
      <c r="K300" s="547">
        <v>220</v>
      </c>
      <c r="L300" s="548">
        <v>0</v>
      </c>
      <c r="M300" s="533" t="s">
        <v>1948</v>
      </c>
      <c r="N300" s="538"/>
    </row>
    <row r="301" spans="1:14" s="539" customFormat="1" ht="396">
      <c r="A301" s="218">
        <v>27</v>
      </c>
      <c r="B301" s="542" t="s">
        <v>295</v>
      </c>
      <c r="C301" s="533" t="s">
        <v>262</v>
      </c>
      <c r="D301" s="543">
        <v>1323</v>
      </c>
      <c r="E301" s="542" t="s">
        <v>296</v>
      </c>
      <c r="F301" s="542" t="s">
        <v>297</v>
      </c>
      <c r="G301" s="544">
        <v>46101</v>
      </c>
      <c r="H301" s="545" t="s">
        <v>587</v>
      </c>
      <c r="I301" s="532">
        <v>46122</v>
      </c>
      <c r="J301" s="546" t="s">
        <v>139</v>
      </c>
      <c r="K301" s="547">
        <v>10</v>
      </c>
      <c r="L301" s="548">
        <v>0</v>
      </c>
      <c r="M301" s="533" t="s">
        <v>1946</v>
      </c>
      <c r="N301" s="538"/>
    </row>
    <row r="302" spans="1:14" s="539" customFormat="1" ht="396">
      <c r="A302" s="218">
        <v>28</v>
      </c>
      <c r="B302" s="542" t="s">
        <v>298</v>
      </c>
      <c r="C302" s="533" t="s">
        <v>262</v>
      </c>
      <c r="D302" s="543">
        <v>1323</v>
      </c>
      <c r="E302" s="542" t="s">
        <v>299</v>
      </c>
      <c r="F302" s="542" t="s">
        <v>297</v>
      </c>
      <c r="G302" s="544">
        <v>46101</v>
      </c>
      <c r="H302" s="545" t="s">
        <v>586</v>
      </c>
      <c r="I302" s="532">
        <v>46122</v>
      </c>
      <c r="J302" s="546" t="s">
        <v>139</v>
      </c>
      <c r="K302" s="547">
        <v>10</v>
      </c>
      <c r="L302" s="548">
        <v>0</v>
      </c>
      <c r="M302" s="533" t="s">
        <v>1949</v>
      </c>
      <c r="N302" s="538"/>
    </row>
    <row r="303" spans="1:14" s="539" customFormat="1" ht="228.95" customHeight="1">
      <c r="A303" s="218">
        <v>29</v>
      </c>
      <c r="B303" s="535" t="s">
        <v>290</v>
      </c>
      <c r="C303" s="269" t="s">
        <v>144</v>
      </c>
      <c r="D303" s="222">
        <f>VLOOKUP(B303,[13]AssetDetails_UEM!$A$3:$X$1848,22,FALSE)</f>
        <v>10825</v>
      </c>
      <c r="E303" s="535" t="s">
        <v>291</v>
      </c>
      <c r="F303" s="535" t="s">
        <v>189</v>
      </c>
      <c r="G303" s="536">
        <v>46100</v>
      </c>
      <c r="H303" s="537" t="s">
        <v>292</v>
      </c>
      <c r="I303" s="282">
        <v>46121</v>
      </c>
      <c r="J303" s="257" t="s">
        <v>139</v>
      </c>
      <c r="K303" s="258">
        <f>ROUNDUP((D303/4999.99)*10,-1)</f>
        <v>30</v>
      </c>
      <c r="L303" s="259">
        <f>IF(J303="N",0,K303)</f>
        <v>0</v>
      </c>
      <c r="M303" s="269" t="s">
        <v>1950</v>
      </c>
    </row>
    <row r="304" spans="1:14" s="539" customFormat="1" ht="216">
      <c r="A304" s="218">
        <v>30</v>
      </c>
      <c r="B304" s="535" t="s">
        <v>300</v>
      </c>
      <c r="C304" s="269" t="s">
        <v>144</v>
      </c>
      <c r="D304" s="222">
        <f>VLOOKUP(B304,[13]AssetDetails_UEM!$A$3:$X$1848,22,FALSE)</f>
        <v>10825</v>
      </c>
      <c r="E304" s="535" t="s">
        <v>301</v>
      </c>
      <c r="F304" s="535" t="s">
        <v>244</v>
      </c>
      <c r="G304" s="536">
        <v>46105</v>
      </c>
      <c r="H304" s="537" t="s">
        <v>302</v>
      </c>
      <c r="I304" s="549">
        <v>46126</v>
      </c>
      <c r="J304" s="257" t="s">
        <v>139</v>
      </c>
      <c r="K304" s="258">
        <f>ROUNDUP((D304/4999.99)*10,-1)</f>
        <v>30</v>
      </c>
      <c r="L304" s="259">
        <f>IF(J304="N",0,K304)</f>
        <v>0</v>
      </c>
      <c r="M304" s="269" t="s">
        <v>1951</v>
      </c>
    </row>
    <row r="305" spans="1:17" s="189" customFormat="1" ht="225.6" customHeight="1">
      <c r="A305" s="535">
        <v>31</v>
      </c>
      <c r="B305" s="535" t="s">
        <v>343</v>
      </c>
      <c r="C305" s="269" t="s">
        <v>344</v>
      </c>
      <c r="D305" s="222">
        <f>VLOOKUP(B305,[13]AssetDetails_UEM!$A$3:$X$1848,22,FALSE)</f>
        <v>6810</v>
      </c>
      <c r="E305" s="535" t="s">
        <v>345</v>
      </c>
      <c r="F305" s="535" t="s">
        <v>313</v>
      </c>
      <c r="G305" s="540">
        <v>46066</v>
      </c>
      <c r="H305" s="540">
        <v>46129.375</v>
      </c>
      <c r="I305" s="282">
        <v>46129</v>
      </c>
      <c r="J305" s="257" t="s">
        <v>139</v>
      </c>
      <c r="K305" s="258">
        <f>ROUNDUP((D305/4999.99)*10,-1)</f>
        <v>20</v>
      </c>
      <c r="L305" s="259">
        <f>IF(J305="N",0,K305)</f>
        <v>0</v>
      </c>
      <c r="M305" s="269" t="s">
        <v>1952</v>
      </c>
      <c r="N305" s="270"/>
    </row>
    <row r="306" spans="1:17" s="189" customFormat="1" ht="276.75" customHeight="1">
      <c r="A306" s="535">
        <v>32</v>
      </c>
      <c r="B306" s="535" t="s">
        <v>346</v>
      </c>
      <c r="C306" s="269" t="s">
        <v>250</v>
      </c>
      <c r="D306" s="222">
        <f>VLOOKUP(B306,[13]AssetDetails_UEM!$A$3:$X$1848,22,FALSE)</f>
        <v>100000</v>
      </c>
      <c r="E306" s="535" t="s">
        <v>347</v>
      </c>
      <c r="F306" s="535" t="s">
        <v>348</v>
      </c>
      <c r="G306" s="540">
        <v>46066</v>
      </c>
      <c r="H306" s="540">
        <v>46129.604166666664</v>
      </c>
      <c r="I306" s="282">
        <v>46129</v>
      </c>
      <c r="J306" s="257" t="s">
        <v>139</v>
      </c>
      <c r="K306" s="258">
        <f>ROUNDUP((D306/4999.99)*10,-1)</f>
        <v>210</v>
      </c>
      <c r="L306" s="259">
        <f>IF(J306="N",0,K306)</f>
        <v>0</v>
      </c>
      <c r="M306" s="269" t="s">
        <v>1953</v>
      </c>
      <c r="N306" s="270"/>
    </row>
    <row r="307" spans="1:17" s="189" customFormat="1" ht="280.5" customHeight="1">
      <c r="A307" s="535">
        <v>33</v>
      </c>
      <c r="B307" s="535" t="s">
        <v>349</v>
      </c>
      <c r="C307" s="269" t="s">
        <v>250</v>
      </c>
      <c r="D307" s="222">
        <f>VLOOKUP(B307,[13]AssetDetails_UEM!$A$3:$X$1848,22,FALSE)</f>
        <v>100000</v>
      </c>
      <c r="E307" s="535" t="s">
        <v>350</v>
      </c>
      <c r="F307" s="535" t="s">
        <v>351</v>
      </c>
      <c r="G307" s="540">
        <v>46066</v>
      </c>
      <c r="H307" s="540">
        <v>46129.770833333336</v>
      </c>
      <c r="I307" s="282">
        <v>46129</v>
      </c>
      <c r="J307" s="257" t="s">
        <v>139</v>
      </c>
      <c r="K307" s="258">
        <f>ROUNDUP((D307/4999.99)*10,-1)</f>
        <v>210</v>
      </c>
      <c r="L307" s="259">
        <f>IF(J307="N",0,K307)</f>
        <v>0</v>
      </c>
      <c r="M307" s="269" t="s">
        <v>1953</v>
      </c>
      <c r="N307" s="270"/>
    </row>
    <row r="308" spans="1:17" s="187" customFormat="1" ht="114.6" customHeight="1">
      <c r="A308" s="646" t="s">
        <v>317</v>
      </c>
      <c r="B308" s="647"/>
      <c r="C308" s="647"/>
      <c r="D308" s="647"/>
      <c r="E308" s="647"/>
      <c r="F308" s="284"/>
      <c r="G308" s="290"/>
      <c r="H308" s="291"/>
      <c r="I308" s="279"/>
      <c r="J308" s="279"/>
      <c r="K308" s="284"/>
      <c r="L308" s="284"/>
      <c r="M308" s="284"/>
      <c r="N308" s="268"/>
    </row>
    <row r="309" spans="1:17" s="190" customFormat="1" ht="114.6" customHeight="1">
      <c r="A309" s="218">
        <v>1</v>
      </c>
      <c r="B309" s="218" t="s">
        <v>327</v>
      </c>
      <c r="C309" s="219" t="s">
        <v>314</v>
      </c>
      <c r="D309" s="220">
        <f>VLOOKUP(B309,[13]AssetDetails_UEM!$A$3:$X$1848,22,FALSE)</f>
        <v>40000</v>
      </c>
      <c r="E309" s="218" t="s">
        <v>352</v>
      </c>
      <c r="F309" s="218" t="s">
        <v>313</v>
      </c>
      <c r="G309" s="238" t="s">
        <v>353</v>
      </c>
      <c r="H309" s="515" t="s">
        <v>223</v>
      </c>
      <c r="I309" s="282">
        <v>46154</v>
      </c>
      <c r="J309" s="253" t="s">
        <v>139</v>
      </c>
      <c r="K309" s="254">
        <f t="shared" ref="K309:K311" si="13">ROUNDUP((D309/4999.99)*10,-1)</f>
        <v>90</v>
      </c>
      <c r="L309" s="255">
        <f t="shared" ref="L309:L311" si="14">IF(J309="N",0,K309)</f>
        <v>0</v>
      </c>
      <c r="M309" s="597" t="s">
        <v>1956</v>
      </c>
      <c r="N309" s="634" t="s">
        <v>1981</v>
      </c>
    </row>
    <row r="310" spans="1:17" s="190" customFormat="1" ht="114.6" customHeight="1">
      <c r="A310" s="218">
        <v>2</v>
      </c>
      <c r="B310" s="218" t="s">
        <v>354</v>
      </c>
      <c r="C310" s="219" t="s">
        <v>314</v>
      </c>
      <c r="D310" s="220">
        <f>VLOOKUP(B310,[13]AssetDetails_UEM!$A$3:$X$1848,22,FALSE)</f>
        <v>48000</v>
      </c>
      <c r="E310" s="218" t="s">
        <v>355</v>
      </c>
      <c r="F310" s="218" t="s">
        <v>313</v>
      </c>
      <c r="G310" s="238" t="s">
        <v>356</v>
      </c>
      <c r="H310" s="515" t="s">
        <v>223</v>
      </c>
      <c r="I310" s="282">
        <v>46164</v>
      </c>
      <c r="J310" s="253" t="s">
        <v>139</v>
      </c>
      <c r="K310" s="254">
        <f t="shared" si="13"/>
        <v>100</v>
      </c>
      <c r="L310" s="255">
        <f t="shared" si="14"/>
        <v>0</v>
      </c>
      <c r="M310" s="597" t="s">
        <v>1956</v>
      </c>
      <c r="N310" s="644">
        <v>46183</v>
      </c>
    </row>
    <row r="311" spans="1:17" s="190" customFormat="1" ht="114.6" customHeight="1">
      <c r="A311" s="218">
        <v>3</v>
      </c>
      <c r="B311" s="218" t="s">
        <v>357</v>
      </c>
      <c r="C311" s="219" t="s">
        <v>314</v>
      </c>
      <c r="D311" s="220">
        <f>VLOOKUP(B311,[13]AssetDetails_UEM!$A$3:$X$1848,22,FALSE)</f>
        <v>40000</v>
      </c>
      <c r="E311" s="218" t="s">
        <v>358</v>
      </c>
      <c r="F311" s="218" t="s">
        <v>313</v>
      </c>
      <c r="G311" s="238" t="s">
        <v>359</v>
      </c>
      <c r="H311" s="515" t="s">
        <v>223</v>
      </c>
      <c r="I311" s="282">
        <v>46170</v>
      </c>
      <c r="J311" s="253" t="s">
        <v>139</v>
      </c>
      <c r="K311" s="254">
        <f t="shared" si="13"/>
        <v>90</v>
      </c>
      <c r="L311" s="255">
        <f t="shared" si="14"/>
        <v>0</v>
      </c>
      <c r="M311" s="597" t="s">
        <v>1956</v>
      </c>
      <c r="N311" s="644">
        <v>46183</v>
      </c>
    </row>
    <row r="312" spans="1:17" s="550" customFormat="1" ht="216">
      <c r="A312" s="218">
        <v>4</v>
      </c>
      <c r="B312" s="529" t="s">
        <v>211</v>
      </c>
      <c r="C312" s="530" t="s">
        <v>240</v>
      </c>
      <c r="D312" s="220">
        <v>336</v>
      </c>
      <c r="E312" s="529" t="s">
        <v>303</v>
      </c>
      <c r="F312" s="529" t="s">
        <v>213</v>
      </c>
      <c r="G312" s="531">
        <v>46105</v>
      </c>
      <c r="H312" s="515" t="s">
        <v>223</v>
      </c>
      <c r="I312" s="583">
        <v>46154</v>
      </c>
      <c r="J312" s="253" t="s">
        <v>139</v>
      </c>
      <c r="K312" s="254">
        <v>10</v>
      </c>
      <c r="L312" s="255">
        <v>0</v>
      </c>
      <c r="M312" s="530" t="s">
        <v>594</v>
      </c>
      <c r="N312" s="611" t="s">
        <v>1974</v>
      </c>
      <c r="P312" s="632" t="s">
        <v>1980</v>
      </c>
      <c r="Q312" s="631"/>
    </row>
    <row r="313" spans="1:17" s="187" customFormat="1" ht="151.5" customHeight="1">
      <c r="A313" s="287"/>
      <c r="B313" s="288"/>
      <c r="C313" s="288"/>
      <c r="D313" s="289"/>
      <c r="E313" s="287"/>
      <c r="F313" s="287"/>
      <c r="G313" s="648" t="s">
        <v>360</v>
      </c>
      <c r="H313" s="648"/>
      <c r="I313" s="648"/>
      <c r="J313" s="648"/>
      <c r="K313" s="649"/>
      <c r="L313" s="294">
        <f>SUM(L286:L308)</f>
        <v>0</v>
      </c>
      <c r="M313" s="288"/>
      <c r="N313" s="268"/>
    </row>
    <row r="314" spans="1:17" s="187" customFormat="1" ht="138.75" customHeight="1">
      <c r="A314" s="196"/>
      <c r="B314" s="197"/>
      <c r="C314" s="198"/>
      <c r="D314" s="199"/>
      <c r="E314" s="199"/>
      <c r="F314" s="199"/>
      <c r="G314" s="200"/>
      <c r="H314" s="201"/>
      <c r="I314" s="201"/>
      <c r="J314" s="201"/>
      <c r="K314" s="202"/>
      <c r="L314" s="202"/>
      <c r="M314" s="192"/>
      <c r="N314" s="268"/>
    </row>
    <row r="315" spans="1:17" s="187" customFormat="1" ht="151.5" customHeight="1">
      <c r="A315" s="196"/>
      <c r="B315" s="197"/>
      <c r="C315" s="198"/>
      <c r="D315" s="199"/>
      <c r="E315" s="199"/>
      <c r="F315" s="199"/>
      <c r="G315" s="200"/>
      <c r="H315" s="201"/>
      <c r="I315" s="201"/>
      <c r="J315" s="201"/>
      <c r="K315" s="202"/>
      <c r="L315" s="202"/>
      <c r="M315" s="192"/>
      <c r="N315" s="268"/>
    </row>
    <row r="316" spans="1:17" s="187" customFormat="1" ht="135" customHeight="1">
      <c r="A316" s="196"/>
      <c r="B316" s="197"/>
      <c r="C316" s="198"/>
      <c r="D316" s="199"/>
      <c r="E316" s="199"/>
      <c r="F316" s="199" t="s">
        <v>331</v>
      </c>
      <c r="G316" s="200"/>
      <c r="H316" s="201"/>
      <c r="I316" s="201"/>
      <c r="J316" s="201"/>
      <c r="K316" s="202"/>
      <c r="L316" s="202"/>
      <c r="M316" s="192"/>
      <c r="N316" s="268"/>
    </row>
    <row r="317" spans="1:17" s="187" customFormat="1" ht="112.5" customHeight="1">
      <c r="A317" s="196"/>
      <c r="B317" s="197"/>
      <c r="C317" s="198"/>
      <c r="D317" s="199"/>
      <c r="E317" s="199"/>
      <c r="F317" s="199"/>
      <c r="G317" s="200"/>
      <c r="H317" s="201"/>
      <c r="I317" s="201"/>
      <c r="J317" s="201"/>
      <c r="K317" s="202"/>
      <c r="L317" s="202"/>
      <c r="M317" s="192"/>
      <c r="N317" s="268"/>
    </row>
    <row r="318" spans="1:17" s="187" customFormat="1" ht="87.75" customHeight="1">
      <c r="A318" s="196"/>
      <c r="B318" s="197"/>
      <c r="C318" s="198"/>
      <c r="D318" s="199"/>
      <c r="E318" s="199"/>
      <c r="F318" s="199"/>
      <c r="G318" s="200"/>
      <c r="H318" s="201"/>
      <c r="I318" s="201"/>
      <c r="J318" s="201"/>
      <c r="K318" s="202"/>
      <c r="L318" s="202"/>
      <c r="M318" s="192"/>
      <c r="N318" s="268"/>
    </row>
    <row r="319" spans="1:17" s="187" customFormat="1" ht="74.099999999999994" customHeight="1">
      <c r="A319" s="196"/>
      <c r="B319" s="197"/>
      <c r="C319" s="198"/>
      <c r="D319" s="199"/>
      <c r="E319" s="199"/>
      <c r="F319" s="199"/>
      <c r="G319" s="200"/>
      <c r="H319" s="201"/>
      <c r="I319" s="201"/>
      <c r="J319" s="201"/>
      <c r="K319" s="202"/>
      <c r="L319" s="202"/>
      <c r="M319" s="192"/>
      <c r="N319" s="295"/>
    </row>
    <row r="320" spans="1:17" s="187" customFormat="1" ht="74.099999999999994" customHeight="1">
      <c r="A320" s="196"/>
      <c r="B320" s="197"/>
      <c r="C320" s="198"/>
      <c r="D320" s="199"/>
      <c r="E320" s="199"/>
      <c r="F320" s="199"/>
      <c r="G320" s="200"/>
      <c r="H320" s="201"/>
      <c r="I320" s="201"/>
      <c r="J320" s="201"/>
      <c r="K320" s="202"/>
      <c r="L320" s="202"/>
      <c r="M320" s="192"/>
      <c r="N320" s="295"/>
    </row>
    <row r="321" spans="1:14" s="191" customFormat="1" ht="74.099999999999994" customHeight="1">
      <c r="A321" s="196"/>
      <c r="B321" s="197"/>
      <c r="C321" s="198"/>
      <c r="D321" s="199"/>
      <c r="E321" s="199"/>
      <c r="F321" s="199"/>
      <c r="G321" s="200"/>
      <c r="H321" s="201"/>
      <c r="I321" s="201"/>
      <c r="J321" s="201"/>
      <c r="K321" s="202"/>
      <c r="L321" s="202"/>
      <c r="M321" s="192"/>
      <c r="N321" s="295"/>
    </row>
    <row r="322" spans="1:14" s="187" customFormat="1" ht="74.099999999999994" customHeight="1">
      <c r="A322" s="196"/>
      <c r="B322" s="197"/>
      <c r="C322" s="198"/>
      <c r="D322" s="199"/>
      <c r="E322" s="199"/>
      <c r="F322" s="199"/>
      <c r="G322" s="200"/>
      <c r="H322" s="201"/>
      <c r="I322" s="201"/>
      <c r="J322" s="201"/>
      <c r="K322" s="202"/>
      <c r="L322" s="202"/>
      <c r="M322" s="192"/>
      <c r="N322" s="295"/>
    </row>
    <row r="323" spans="1:14" s="187" customFormat="1" ht="74.099999999999994" customHeight="1">
      <c r="A323" s="196"/>
      <c r="B323" s="197"/>
      <c r="C323" s="198"/>
      <c r="D323" s="199"/>
      <c r="E323" s="199"/>
      <c r="F323" s="199"/>
      <c r="G323" s="200"/>
      <c r="H323" s="201"/>
      <c r="I323" s="201"/>
      <c r="J323" s="201"/>
      <c r="K323" s="202"/>
      <c r="L323" s="202"/>
      <c r="M323" s="192"/>
      <c r="N323" s="295"/>
    </row>
    <row r="324" spans="1:14" s="187" customFormat="1" ht="74.099999999999994" customHeight="1">
      <c r="A324" s="196"/>
      <c r="B324" s="197"/>
      <c r="C324" s="198"/>
      <c r="D324" s="199"/>
      <c r="E324" s="199"/>
      <c r="F324" s="199"/>
      <c r="G324" s="200"/>
      <c r="H324" s="201"/>
      <c r="I324" s="201"/>
      <c r="J324" s="201"/>
      <c r="K324" s="202"/>
      <c r="L324" s="202"/>
      <c r="M324" s="192"/>
      <c r="N324" s="295"/>
    </row>
    <row r="325" spans="1:14" s="187" customFormat="1" ht="104.1" customHeight="1">
      <c r="A325" s="196"/>
      <c r="B325" s="197"/>
      <c r="C325" s="198"/>
      <c r="D325" s="199"/>
      <c r="E325" s="199"/>
      <c r="F325" s="199"/>
      <c r="G325" s="200"/>
      <c r="H325" s="201"/>
      <c r="I325" s="201"/>
      <c r="J325" s="201"/>
      <c r="K325" s="202"/>
      <c r="L325" s="202"/>
      <c r="M325" s="192"/>
      <c r="N325" s="295"/>
    </row>
    <row r="326" spans="1:14" s="187" customFormat="1" ht="74.099999999999994" customHeight="1">
      <c r="A326" s="196"/>
      <c r="B326" s="197"/>
      <c r="C326" s="198"/>
      <c r="D326" s="199"/>
      <c r="E326" s="199"/>
      <c r="F326" s="199"/>
      <c r="G326" s="200"/>
      <c r="H326" s="201"/>
      <c r="I326" s="201"/>
      <c r="J326" s="201"/>
      <c r="K326" s="202"/>
      <c r="L326" s="202"/>
      <c r="M326" s="192"/>
      <c r="N326" s="295"/>
    </row>
    <row r="327" spans="1:14" s="187" customFormat="1" ht="74.099999999999994" customHeight="1">
      <c r="A327" s="196"/>
      <c r="B327" s="197"/>
      <c r="C327" s="198"/>
      <c r="D327" s="199"/>
      <c r="E327" s="199"/>
      <c r="F327" s="199"/>
      <c r="G327" s="200"/>
      <c r="H327" s="201"/>
      <c r="I327" s="201"/>
      <c r="J327" s="201"/>
      <c r="K327" s="202"/>
      <c r="L327" s="202"/>
      <c r="M327" s="192"/>
      <c r="N327" s="295"/>
    </row>
    <row r="328" spans="1:14" s="187" customFormat="1" ht="74.099999999999994" customHeight="1">
      <c r="A328" s="196"/>
      <c r="B328" s="197"/>
      <c r="C328" s="198"/>
      <c r="D328" s="199"/>
      <c r="E328" s="199"/>
      <c r="F328" s="199"/>
      <c r="G328" s="200"/>
      <c r="H328" s="201"/>
      <c r="I328" s="201"/>
      <c r="J328" s="201"/>
      <c r="K328" s="202"/>
      <c r="L328" s="202"/>
      <c r="M328" s="192"/>
      <c r="N328" s="295"/>
    </row>
    <row r="329" spans="1:14" s="187" customFormat="1" ht="74.099999999999994" customHeight="1">
      <c r="A329" s="196"/>
      <c r="B329" s="197"/>
      <c r="C329" s="198"/>
      <c r="D329" s="199"/>
      <c r="E329" s="199"/>
      <c r="F329" s="199"/>
      <c r="G329" s="200"/>
      <c r="H329" s="201"/>
      <c r="I329" s="201"/>
      <c r="J329" s="201"/>
      <c r="K329" s="202"/>
      <c r="L329" s="202"/>
      <c r="M329" s="192"/>
      <c r="N329" s="295"/>
    </row>
    <row r="330" spans="1:14" s="187" customFormat="1" ht="125.1" customHeight="1">
      <c r="A330" s="196"/>
      <c r="B330" s="197"/>
      <c r="C330" s="198"/>
      <c r="D330" s="199"/>
      <c r="E330" s="199"/>
      <c r="F330" s="199"/>
      <c r="G330" s="200"/>
      <c r="H330" s="201"/>
      <c r="I330" s="201"/>
      <c r="J330" s="201"/>
      <c r="K330" s="202"/>
      <c r="L330" s="202"/>
      <c r="M330" s="192"/>
      <c r="N330" s="268"/>
    </row>
    <row r="331" spans="1:14" s="187" customFormat="1" ht="74.099999999999994" customHeight="1">
      <c r="A331" s="196"/>
      <c r="B331" s="197"/>
      <c r="C331" s="198"/>
      <c r="D331" s="199"/>
      <c r="E331" s="199"/>
      <c r="F331" s="199"/>
      <c r="G331" s="200"/>
      <c r="H331" s="201"/>
      <c r="I331" s="201"/>
      <c r="J331" s="201"/>
      <c r="K331" s="202"/>
      <c r="L331" s="202"/>
      <c r="M331" s="192"/>
      <c r="N331" s="268"/>
    </row>
    <row r="332" spans="1:14" s="186" customFormat="1" ht="74.099999999999994" customHeight="1">
      <c r="A332" s="196"/>
      <c r="B332" s="197"/>
      <c r="C332" s="198"/>
      <c r="D332" s="199"/>
      <c r="E332" s="199"/>
      <c r="F332" s="199"/>
      <c r="G332" s="200"/>
      <c r="H332" s="201"/>
      <c r="I332" s="201"/>
      <c r="J332" s="201"/>
      <c r="K332" s="202"/>
      <c r="L332" s="202"/>
      <c r="M332" s="192"/>
    </row>
    <row r="333" spans="1:14" s="186" customFormat="1" ht="74.099999999999994" customHeight="1">
      <c r="A333" s="196"/>
      <c r="B333" s="197"/>
      <c r="C333" s="198"/>
      <c r="D333" s="199"/>
      <c r="E333" s="199"/>
      <c r="F333" s="199"/>
      <c r="G333" s="200"/>
      <c r="H333" s="201"/>
      <c r="I333" s="201"/>
      <c r="J333" s="201"/>
      <c r="K333" s="202"/>
      <c r="L333" s="202"/>
      <c r="M333" s="192"/>
    </row>
    <row r="334" spans="1:14" s="186" customFormat="1" ht="74.099999999999994" customHeight="1">
      <c r="A334" s="196"/>
      <c r="B334" s="197"/>
      <c r="C334" s="198"/>
      <c r="D334" s="199"/>
      <c r="E334" s="199"/>
      <c r="F334" s="199"/>
      <c r="G334" s="200"/>
      <c r="H334" s="201"/>
      <c r="I334" s="201"/>
      <c r="J334" s="201"/>
      <c r="K334" s="202"/>
      <c r="L334" s="202"/>
      <c r="M334" s="192"/>
    </row>
    <row r="335" spans="1:14" s="186" customFormat="1" ht="74.099999999999994" customHeight="1">
      <c r="A335" s="196"/>
      <c r="B335" s="197"/>
      <c r="C335" s="198"/>
      <c r="D335" s="199"/>
      <c r="E335" s="199"/>
      <c r="F335" s="199"/>
      <c r="G335" s="200"/>
      <c r="H335" s="201"/>
      <c r="I335" s="201"/>
      <c r="J335" s="201"/>
      <c r="K335" s="202"/>
      <c r="L335" s="202"/>
      <c r="M335" s="192"/>
    </row>
    <row r="336" spans="1:14" s="186" customFormat="1" ht="74.099999999999994" customHeight="1">
      <c r="A336" s="196"/>
      <c r="B336" s="197"/>
      <c r="C336" s="198"/>
      <c r="D336" s="199"/>
      <c r="E336" s="199"/>
      <c r="F336" s="199"/>
      <c r="G336" s="200"/>
      <c r="H336" s="201"/>
      <c r="I336" s="201"/>
      <c r="J336" s="201"/>
      <c r="K336" s="202"/>
      <c r="L336" s="202"/>
      <c r="M336" s="192"/>
    </row>
    <row r="337" spans="1:13" s="186" customFormat="1" ht="74.099999999999994" customHeight="1">
      <c r="A337" s="196"/>
      <c r="B337" s="197"/>
      <c r="C337" s="198"/>
      <c r="D337" s="199"/>
      <c r="E337" s="199"/>
      <c r="F337" s="199"/>
      <c r="G337" s="200"/>
      <c r="H337" s="201"/>
      <c r="I337" s="201"/>
      <c r="J337" s="201"/>
      <c r="K337" s="202"/>
      <c r="L337" s="202"/>
      <c r="M337" s="192"/>
    </row>
    <row r="338" spans="1:13" s="186" customFormat="1" ht="74.099999999999994" customHeight="1">
      <c r="A338" s="196"/>
      <c r="B338" s="197"/>
      <c r="C338" s="198"/>
      <c r="D338" s="199"/>
      <c r="E338" s="199"/>
      <c r="F338" s="199"/>
      <c r="G338" s="200"/>
      <c r="H338" s="201"/>
      <c r="I338" s="201"/>
      <c r="J338" s="201"/>
      <c r="K338" s="202"/>
      <c r="L338" s="202"/>
      <c r="M338" s="192"/>
    </row>
    <row r="339" spans="1:13" s="186" customFormat="1" ht="74.099999999999994" customHeight="1">
      <c r="A339" s="196"/>
      <c r="B339" s="197"/>
      <c r="C339" s="198"/>
      <c r="D339" s="199"/>
      <c r="E339" s="199"/>
      <c r="F339" s="199"/>
      <c r="G339" s="200"/>
      <c r="H339" s="201"/>
      <c r="I339" s="201"/>
      <c r="J339" s="201"/>
      <c r="K339" s="202"/>
      <c r="L339" s="202"/>
      <c r="M339" s="192"/>
    </row>
    <row r="340" spans="1:13" s="186" customFormat="1" ht="74.099999999999994" customHeight="1">
      <c r="A340" s="196"/>
      <c r="B340" s="197"/>
      <c r="C340" s="198"/>
      <c r="D340" s="199"/>
      <c r="E340" s="199"/>
      <c r="F340" s="199"/>
      <c r="G340" s="200"/>
      <c r="H340" s="201"/>
      <c r="I340" s="201"/>
      <c r="J340" s="201"/>
      <c r="K340" s="202"/>
      <c r="L340" s="202"/>
      <c r="M340" s="192"/>
    </row>
    <row r="341" spans="1:13" s="186" customFormat="1" ht="74.099999999999994" customHeight="1">
      <c r="A341" s="196"/>
      <c r="B341" s="197"/>
      <c r="C341" s="198"/>
      <c r="D341" s="199"/>
      <c r="E341" s="199"/>
      <c r="F341" s="199"/>
      <c r="G341" s="200"/>
      <c r="H341" s="201"/>
      <c r="I341" s="201"/>
      <c r="J341" s="201"/>
      <c r="K341" s="202"/>
      <c r="L341" s="202"/>
      <c r="M341" s="192"/>
    </row>
    <row r="342" spans="1:13" s="186" customFormat="1" ht="74.099999999999994" customHeight="1">
      <c r="A342" s="196"/>
      <c r="B342" s="197"/>
      <c r="C342" s="198"/>
      <c r="D342" s="199"/>
      <c r="E342" s="199"/>
      <c r="F342" s="199"/>
      <c r="G342" s="200"/>
      <c r="H342" s="201"/>
      <c r="I342" s="201"/>
      <c r="J342" s="201"/>
      <c r="K342" s="202"/>
      <c r="L342" s="202"/>
      <c r="M342" s="192"/>
    </row>
    <row r="343" spans="1:13" s="186" customFormat="1" ht="74.099999999999994" customHeight="1">
      <c r="A343" s="196"/>
      <c r="B343" s="197"/>
      <c r="C343" s="198"/>
      <c r="D343" s="199"/>
      <c r="E343" s="199"/>
      <c r="F343" s="199"/>
      <c r="G343" s="200"/>
      <c r="H343" s="201"/>
      <c r="I343" s="201"/>
      <c r="J343" s="201"/>
      <c r="K343" s="202"/>
      <c r="L343" s="202"/>
      <c r="M343" s="192"/>
    </row>
    <row r="344" spans="1:13" s="186" customFormat="1" ht="74.099999999999994" customHeight="1">
      <c r="A344" s="196"/>
      <c r="B344" s="197"/>
      <c r="C344" s="198"/>
      <c r="D344" s="199"/>
      <c r="E344" s="199"/>
      <c r="F344" s="199"/>
      <c r="G344" s="200"/>
      <c r="H344" s="201"/>
      <c r="I344" s="201"/>
      <c r="J344" s="201"/>
      <c r="K344" s="202"/>
      <c r="L344" s="202"/>
      <c r="M344" s="192"/>
    </row>
    <row r="345" spans="1:13" s="186" customFormat="1" ht="74.099999999999994" customHeight="1">
      <c r="A345" s="196"/>
      <c r="B345" s="197"/>
      <c r="C345" s="198"/>
      <c r="D345" s="199"/>
      <c r="E345" s="199"/>
      <c r="F345" s="199"/>
      <c r="G345" s="200"/>
      <c r="H345" s="201"/>
      <c r="I345" s="201"/>
      <c r="J345" s="201"/>
      <c r="K345" s="202"/>
      <c r="L345" s="202"/>
      <c r="M345" s="192"/>
    </row>
    <row r="346" spans="1:13" s="186" customFormat="1" ht="74.099999999999994" customHeight="1">
      <c r="A346" s="196"/>
      <c r="B346" s="197"/>
      <c r="C346" s="198"/>
      <c r="D346" s="199"/>
      <c r="E346" s="199"/>
      <c r="F346" s="199"/>
      <c r="G346" s="200"/>
      <c r="H346" s="201"/>
      <c r="I346" s="201"/>
      <c r="J346" s="201"/>
      <c r="K346" s="202"/>
      <c r="L346" s="202"/>
      <c r="M346" s="192"/>
    </row>
    <row r="347" spans="1:13" s="186" customFormat="1" ht="74.099999999999994" customHeight="1">
      <c r="A347" s="196"/>
      <c r="B347" s="197"/>
      <c r="C347" s="198"/>
      <c r="D347" s="199"/>
      <c r="E347" s="199"/>
      <c r="F347" s="199"/>
      <c r="G347" s="200"/>
      <c r="H347" s="201"/>
      <c r="I347" s="201"/>
      <c r="J347" s="201"/>
      <c r="K347" s="202"/>
      <c r="L347" s="202"/>
      <c r="M347" s="192"/>
    </row>
    <row r="348" spans="1:13" s="186" customFormat="1" ht="74.099999999999994" customHeight="1">
      <c r="A348" s="196"/>
      <c r="B348" s="197"/>
      <c r="C348" s="198"/>
      <c r="D348" s="199"/>
      <c r="E348" s="199"/>
      <c r="F348" s="199"/>
      <c r="G348" s="200"/>
      <c r="H348" s="201"/>
      <c r="I348" s="201"/>
      <c r="J348" s="201"/>
      <c r="K348" s="202"/>
      <c r="L348" s="202"/>
      <c r="M348" s="192"/>
    </row>
    <row r="349" spans="1:13" s="186" customFormat="1" ht="74.099999999999994" customHeight="1">
      <c r="A349" s="196"/>
      <c r="B349" s="197"/>
      <c r="C349" s="198"/>
      <c r="D349" s="199"/>
      <c r="E349" s="199"/>
      <c r="F349" s="199"/>
      <c r="G349" s="200"/>
      <c r="H349" s="201"/>
      <c r="I349" s="201"/>
      <c r="J349" s="201"/>
      <c r="K349" s="202"/>
      <c r="L349" s="202"/>
      <c r="M349" s="192"/>
    </row>
    <row r="350" spans="1:13" s="186" customFormat="1" ht="74.099999999999994" customHeight="1">
      <c r="A350" s="196"/>
      <c r="B350" s="197"/>
      <c r="C350" s="198"/>
      <c r="D350" s="199"/>
      <c r="E350" s="199"/>
      <c r="F350" s="199"/>
      <c r="G350" s="200"/>
      <c r="H350" s="201"/>
      <c r="I350" s="201"/>
      <c r="J350" s="201"/>
      <c r="K350" s="202"/>
      <c r="L350" s="202"/>
      <c r="M350" s="192"/>
    </row>
    <row r="351" spans="1:13" s="186" customFormat="1" ht="74.099999999999994" customHeight="1">
      <c r="A351" s="196"/>
      <c r="B351" s="197"/>
      <c r="C351" s="198"/>
      <c r="D351" s="199"/>
      <c r="E351" s="199"/>
      <c r="F351" s="199"/>
      <c r="G351" s="200"/>
      <c r="H351" s="201"/>
      <c r="I351" s="201"/>
      <c r="J351" s="201"/>
      <c r="K351" s="202"/>
      <c r="L351" s="202"/>
      <c r="M351" s="192"/>
    </row>
    <row r="352" spans="1:13" s="186" customFormat="1" ht="74.099999999999994" customHeight="1">
      <c r="A352" s="196"/>
      <c r="B352" s="197"/>
      <c r="C352" s="198"/>
      <c r="D352" s="199"/>
      <c r="E352" s="199"/>
      <c r="F352" s="199"/>
      <c r="G352" s="200"/>
      <c r="H352" s="201"/>
      <c r="I352" s="201"/>
      <c r="J352" s="201"/>
      <c r="K352" s="202"/>
      <c r="L352" s="202"/>
      <c r="M352" s="192"/>
    </row>
    <row r="353" spans="1:14" s="186" customFormat="1" ht="74.099999999999994" customHeight="1">
      <c r="A353" s="196"/>
      <c r="B353" s="197"/>
      <c r="C353" s="198"/>
      <c r="D353" s="199"/>
      <c r="E353" s="199"/>
      <c r="F353" s="199"/>
      <c r="G353" s="200"/>
      <c r="H353" s="201"/>
      <c r="I353" s="201"/>
      <c r="J353" s="201"/>
      <c r="K353" s="202"/>
      <c r="L353" s="202"/>
      <c r="M353" s="192"/>
    </row>
    <row r="354" spans="1:14" s="186" customFormat="1" ht="74.099999999999994" customHeight="1">
      <c r="A354" s="196"/>
      <c r="B354" s="197"/>
      <c r="C354" s="198"/>
      <c r="D354" s="199"/>
      <c r="E354" s="199"/>
      <c r="F354" s="199"/>
      <c r="G354" s="200"/>
      <c r="H354" s="201"/>
      <c r="I354" s="201"/>
      <c r="J354" s="201"/>
      <c r="K354" s="202"/>
      <c r="L354" s="202"/>
      <c r="M354" s="192"/>
    </row>
    <row r="355" spans="1:14" s="186" customFormat="1" ht="74.099999999999994" customHeight="1">
      <c r="A355" s="196"/>
      <c r="B355" s="197"/>
      <c r="C355" s="198"/>
      <c r="D355" s="199"/>
      <c r="E355" s="199"/>
      <c r="F355" s="199"/>
      <c r="G355" s="200"/>
      <c r="H355" s="201"/>
      <c r="I355" s="201"/>
      <c r="J355" s="201"/>
      <c r="K355" s="202"/>
      <c r="L355" s="202"/>
      <c r="M355" s="192"/>
    </row>
    <row r="356" spans="1:14" s="186" customFormat="1" ht="74.099999999999994" customHeight="1">
      <c r="A356" s="196"/>
      <c r="B356" s="197"/>
      <c r="C356" s="198"/>
      <c r="D356" s="199"/>
      <c r="E356" s="199"/>
      <c r="F356" s="199"/>
      <c r="G356" s="200"/>
      <c r="H356" s="201"/>
      <c r="I356" s="201"/>
      <c r="J356" s="201"/>
      <c r="K356" s="202"/>
      <c r="L356" s="202"/>
      <c r="M356" s="192"/>
    </row>
    <row r="357" spans="1:14" s="186" customFormat="1" ht="74.099999999999994" customHeight="1">
      <c r="A357" s="196"/>
      <c r="B357" s="197"/>
      <c r="C357" s="198"/>
      <c r="D357" s="199"/>
      <c r="E357" s="199"/>
      <c r="F357" s="199"/>
      <c r="G357" s="200"/>
      <c r="H357" s="201"/>
      <c r="I357" s="201"/>
      <c r="J357" s="201"/>
      <c r="K357" s="202"/>
      <c r="L357" s="202"/>
      <c r="M357" s="192"/>
    </row>
    <row r="358" spans="1:14" s="186" customFormat="1" ht="74.099999999999994" customHeight="1">
      <c r="A358" s="196"/>
      <c r="B358" s="197"/>
      <c r="C358" s="198"/>
      <c r="D358" s="199"/>
      <c r="E358" s="199"/>
      <c r="F358" s="199"/>
      <c r="G358" s="200"/>
      <c r="H358" s="201"/>
      <c r="I358" s="201"/>
      <c r="J358" s="201"/>
      <c r="K358" s="202"/>
      <c r="L358" s="202"/>
      <c r="M358" s="192"/>
    </row>
    <row r="359" spans="1:14" s="186" customFormat="1" ht="74.099999999999994" customHeight="1">
      <c r="A359" s="196"/>
      <c r="B359" s="197"/>
      <c r="C359" s="198"/>
      <c r="D359" s="199"/>
      <c r="E359" s="199"/>
      <c r="F359" s="199"/>
      <c r="G359" s="200"/>
      <c r="H359" s="201"/>
      <c r="I359" s="201"/>
      <c r="J359" s="201"/>
      <c r="K359" s="202"/>
      <c r="L359" s="202"/>
      <c r="M359" s="192"/>
    </row>
    <row r="360" spans="1:14" s="186" customFormat="1" ht="74.099999999999994" customHeight="1">
      <c r="A360" s="196"/>
      <c r="B360" s="197"/>
      <c r="C360" s="198"/>
      <c r="D360" s="199"/>
      <c r="E360" s="199"/>
      <c r="F360" s="199"/>
      <c r="G360" s="200"/>
      <c r="H360" s="201"/>
      <c r="I360" s="201"/>
      <c r="J360" s="201"/>
      <c r="K360" s="202"/>
      <c r="L360" s="202"/>
      <c r="M360" s="192"/>
    </row>
    <row r="361" spans="1:14" s="186" customFormat="1" ht="74.099999999999994" customHeight="1">
      <c r="A361" s="196"/>
      <c r="B361" s="197"/>
      <c r="C361" s="198"/>
      <c r="D361" s="199"/>
      <c r="E361" s="199"/>
      <c r="F361" s="199"/>
      <c r="G361" s="200"/>
      <c r="H361" s="201"/>
      <c r="I361" s="201"/>
      <c r="J361" s="201"/>
      <c r="K361" s="202"/>
      <c r="L361" s="202"/>
      <c r="M361" s="192"/>
    </row>
    <row r="362" spans="1:14" s="186" customFormat="1" ht="74.099999999999994" customHeight="1">
      <c r="A362" s="196"/>
      <c r="B362" s="197"/>
      <c r="C362" s="198"/>
      <c r="D362" s="199"/>
      <c r="E362" s="199"/>
      <c r="F362" s="199"/>
      <c r="G362" s="200"/>
      <c r="H362" s="201"/>
      <c r="I362" s="201"/>
      <c r="J362" s="201"/>
      <c r="K362" s="202"/>
      <c r="L362" s="202"/>
      <c r="M362" s="192"/>
    </row>
    <row r="363" spans="1:14" s="186" customFormat="1" ht="74.099999999999994" customHeight="1">
      <c r="A363" s="196"/>
      <c r="B363" s="197"/>
      <c r="C363" s="198"/>
      <c r="D363" s="199"/>
      <c r="E363" s="199"/>
      <c r="F363" s="199"/>
      <c r="G363" s="200"/>
      <c r="H363" s="201"/>
      <c r="I363" s="201"/>
      <c r="J363" s="201"/>
      <c r="K363" s="202"/>
      <c r="L363" s="202"/>
      <c r="M363" s="192"/>
    </row>
    <row r="364" spans="1:14" s="186" customFormat="1" ht="74.099999999999994" customHeight="1">
      <c r="A364" s="196"/>
      <c r="B364" s="197"/>
      <c r="C364" s="198"/>
      <c r="D364" s="199"/>
      <c r="E364" s="199"/>
      <c r="F364" s="199"/>
      <c r="G364" s="200"/>
      <c r="H364" s="201"/>
      <c r="I364" s="201"/>
      <c r="J364" s="201"/>
      <c r="K364" s="202"/>
      <c r="L364" s="202"/>
      <c r="M364" s="192"/>
    </row>
    <row r="365" spans="1:14" s="192" customFormat="1" ht="74.099999999999994" customHeight="1">
      <c r="A365" s="196"/>
      <c r="B365" s="197"/>
      <c r="C365" s="198"/>
      <c r="D365" s="199"/>
      <c r="E365" s="199"/>
      <c r="F365" s="199"/>
      <c r="G365" s="200"/>
      <c r="H365" s="201"/>
      <c r="I365" s="201"/>
      <c r="J365" s="201"/>
      <c r="K365" s="202"/>
      <c r="L365" s="202"/>
      <c r="N365" s="196"/>
    </row>
    <row r="366" spans="1:14" s="192" customFormat="1" ht="74.099999999999994" customHeight="1">
      <c r="A366" s="196"/>
      <c r="B366" s="197"/>
      <c r="C366" s="198"/>
      <c r="D366" s="199"/>
      <c r="E366" s="199"/>
      <c r="F366" s="199"/>
      <c r="G366" s="200"/>
      <c r="H366" s="201"/>
      <c r="I366" s="201"/>
      <c r="J366" s="201"/>
      <c r="K366" s="202"/>
      <c r="L366" s="202"/>
      <c r="N366" s="196"/>
    </row>
    <row r="367" spans="1:14" s="192" customFormat="1" ht="74.099999999999994" customHeight="1">
      <c r="A367" s="196"/>
      <c r="B367" s="197"/>
      <c r="C367" s="198"/>
      <c r="D367" s="199"/>
      <c r="E367" s="199"/>
      <c r="F367" s="199"/>
      <c r="G367" s="200"/>
      <c r="H367" s="201"/>
      <c r="I367" s="201"/>
      <c r="J367" s="201"/>
      <c r="K367" s="202"/>
      <c r="L367" s="202"/>
      <c r="N367" s="196"/>
    </row>
    <row r="368" spans="1:14" s="192" customFormat="1" ht="74.099999999999994" customHeight="1">
      <c r="A368" s="196"/>
      <c r="B368" s="197"/>
      <c r="C368" s="198"/>
      <c r="D368" s="199"/>
      <c r="E368" s="199"/>
      <c r="F368" s="199"/>
      <c r="G368" s="200"/>
      <c r="H368" s="201"/>
      <c r="I368" s="201"/>
      <c r="J368" s="201"/>
      <c r="K368" s="202"/>
      <c r="L368" s="202"/>
      <c r="N368" s="196"/>
    </row>
    <row r="369" spans="1:14" s="192" customFormat="1" ht="74.099999999999994" customHeight="1">
      <c r="A369" s="196"/>
      <c r="B369" s="197"/>
      <c r="C369" s="198"/>
      <c r="D369" s="199"/>
      <c r="E369" s="199"/>
      <c r="F369" s="199"/>
      <c r="G369" s="200"/>
      <c r="H369" s="201"/>
      <c r="I369" s="201"/>
      <c r="J369" s="201"/>
      <c r="K369" s="202"/>
      <c r="L369" s="202"/>
      <c r="N369" s="196"/>
    </row>
    <row r="370" spans="1:14" s="192" customFormat="1" ht="74.099999999999994" customHeight="1">
      <c r="A370" s="196"/>
      <c r="B370" s="197"/>
      <c r="C370" s="198"/>
      <c r="D370" s="199"/>
      <c r="E370" s="199"/>
      <c r="F370" s="199"/>
      <c r="G370" s="200"/>
      <c r="H370" s="201"/>
      <c r="I370" s="201"/>
      <c r="J370" s="201"/>
      <c r="K370" s="202"/>
      <c r="L370" s="202"/>
      <c r="N370" s="196"/>
    </row>
    <row r="371" spans="1:14" s="190" customFormat="1" ht="74.099999999999994" customHeight="1">
      <c r="A371" s="196"/>
      <c r="B371" s="197"/>
      <c r="C371" s="198"/>
      <c r="D371" s="199"/>
      <c r="E371" s="199"/>
      <c r="F371" s="199"/>
      <c r="G371" s="200"/>
      <c r="H371" s="201"/>
      <c r="I371" s="201"/>
      <c r="J371" s="201"/>
      <c r="K371" s="202"/>
      <c r="L371" s="202"/>
      <c r="M371" s="192"/>
    </row>
    <row r="372" spans="1:14" ht="74.099999999999994" customHeight="1"/>
    <row r="373" spans="1:14" s="186" customFormat="1" ht="78" customHeight="1">
      <c r="A373" s="196"/>
      <c r="B373" s="197"/>
      <c r="C373" s="198"/>
      <c r="D373" s="199"/>
      <c r="E373" s="199"/>
      <c r="F373" s="199"/>
      <c r="G373" s="200"/>
      <c r="H373" s="201"/>
      <c r="I373" s="201"/>
      <c r="J373" s="201"/>
      <c r="K373" s="202"/>
      <c r="L373" s="202"/>
      <c r="M373" s="192"/>
    </row>
    <row r="374" spans="1:14" s="186" customFormat="1" ht="75" customHeight="1">
      <c r="A374" s="196"/>
      <c r="B374" s="197"/>
      <c r="C374" s="198"/>
      <c r="D374" s="199"/>
      <c r="E374" s="199"/>
      <c r="F374" s="199"/>
      <c r="G374" s="200"/>
      <c r="H374" s="201"/>
      <c r="I374" s="201"/>
      <c r="J374" s="201"/>
      <c r="K374" s="202"/>
      <c r="L374" s="202"/>
      <c r="M374" s="192"/>
    </row>
    <row r="375" spans="1:14" s="186" customFormat="1" ht="75" customHeight="1">
      <c r="A375" s="196"/>
      <c r="B375" s="197"/>
      <c r="C375" s="198"/>
      <c r="D375" s="199"/>
      <c r="E375" s="199"/>
      <c r="F375" s="199"/>
      <c r="G375" s="200"/>
      <c r="H375" s="201"/>
      <c r="I375" s="201"/>
      <c r="J375" s="201"/>
      <c r="K375" s="202"/>
      <c r="L375" s="202"/>
      <c r="M375" s="192"/>
    </row>
    <row r="376" spans="1:14" s="186" customFormat="1" ht="75" customHeight="1">
      <c r="A376" s="196"/>
      <c r="B376" s="197"/>
      <c r="C376" s="198"/>
      <c r="D376" s="199"/>
      <c r="E376" s="199"/>
      <c r="F376" s="199"/>
      <c r="G376" s="200"/>
      <c r="H376" s="201"/>
      <c r="I376" s="201"/>
      <c r="J376" s="201"/>
      <c r="K376" s="202"/>
      <c r="L376" s="202"/>
      <c r="M376" s="192"/>
    </row>
    <row r="377" spans="1:14" s="186" customFormat="1" ht="75" customHeight="1">
      <c r="A377" s="196"/>
      <c r="B377" s="197"/>
      <c r="C377" s="198"/>
      <c r="D377" s="199"/>
      <c r="E377" s="199"/>
      <c r="F377" s="199"/>
      <c r="G377" s="200"/>
      <c r="H377" s="201"/>
      <c r="I377" s="201"/>
      <c r="J377" s="201"/>
      <c r="K377" s="202"/>
      <c r="L377" s="202"/>
      <c r="M377" s="192"/>
    </row>
    <row r="378" spans="1:14" s="186" customFormat="1" ht="75" customHeight="1">
      <c r="A378" s="196"/>
      <c r="B378" s="197"/>
      <c r="C378" s="198"/>
      <c r="D378" s="199"/>
      <c r="E378" s="199"/>
      <c r="F378" s="199"/>
      <c r="G378" s="200"/>
      <c r="H378" s="201"/>
      <c r="I378" s="201"/>
      <c r="J378" s="201"/>
      <c r="K378" s="202"/>
      <c r="L378" s="202"/>
      <c r="M378" s="192"/>
    </row>
    <row r="379" spans="1:14" s="186" customFormat="1" ht="75" customHeight="1">
      <c r="A379" s="196"/>
      <c r="B379" s="197"/>
      <c r="C379" s="198"/>
      <c r="D379" s="199"/>
      <c r="E379" s="199"/>
      <c r="F379" s="199"/>
      <c r="G379" s="200"/>
      <c r="H379" s="201"/>
      <c r="I379" s="201"/>
      <c r="J379" s="201"/>
      <c r="K379" s="202"/>
      <c r="L379" s="202"/>
      <c r="M379" s="192"/>
    </row>
    <row r="380" spans="1:14" s="186" customFormat="1" ht="75" customHeight="1">
      <c r="A380" s="196"/>
      <c r="B380" s="197"/>
      <c r="C380" s="198"/>
      <c r="D380" s="199"/>
      <c r="E380" s="199"/>
      <c r="F380" s="199"/>
      <c r="G380" s="200"/>
      <c r="H380" s="201"/>
      <c r="I380" s="201"/>
      <c r="J380" s="201"/>
      <c r="K380" s="202"/>
      <c r="L380" s="202"/>
      <c r="M380" s="192"/>
    </row>
    <row r="381" spans="1:14" s="186" customFormat="1" ht="75" customHeight="1">
      <c r="A381" s="196"/>
      <c r="B381" s="197"/>
      <c r="C381" s="198"/>
      <c r="D381" s="199"/>
      <c r="E381" s="199"/>
      <c r="F381" s="199"/>
      <c r="G381" s="200"/>
      <c r="H381" s="201"/>
      <c r="I381" s="201"/>
      <c r="J381" s="201"/>
      <c r="K381" s="202"/>
      <c r="L381" s="202"/>
      <c r="M381" s="192"/>
    </row>
    <row r="382" spans="1:14" s="186" customFormat="1" ht="75" customHeight="1">
      <c r="A382" s="196"/>
      <c r="B382" s="197"/>
      <c r="C382" s="198"/>
      <c r="D382" s="199"/>
      <c r="E382" s="199"/>
      <c r="F382" s="199"/>
      <c r="G382" s="200"/>
      <c r="H382" s="201"/>
      <c r="I382" s="201"/>
      <c r="J382" s="201"/>
      <c r="K382" s="202"/>
      <c r="L382" s="202"/>
      <c r="M382" s="192"/>
    </row>
    <row r="383" spans="1:14" s="186" customFormat="1" ht="75" customHeight="1">
      <c r="A383" s="196"/>
      <c r="B383" s="197"/>
      <c r="C383" s="198"/>
      <c r="D383" s="199"/>
      <c r="E383" s="199"/>
      <c r="F383" s="199"/>
      <c r="G383" s="200"/>
      <c r="H383" s="201"/>
      <c r="I383" s="201"/>
      <c r="J383" s="201"/>
      <c r="K383" s="202"/>
      <c r="L383" s="202"/>
      <c r="M383" s="192"/>
    </row>
    <row r="384" spans="1:14" s="186" customFormat="1" ht="75" customHeight="1">
      <c r="A384" s="196"/>
      <c r="B384" s="197"/>
      <c r="C384" s="198"/>
      <c r="D384" s="199"/>
      <c r="E384" s="199"/>
      <c r="F384" s="199"/>
      <c r="G384" s="200"/>
      <c r="H384" s="201"/>
      <c r="I384" s="201"/>
      <c r="J384" s="201"/>
      <c r="K384" s="202"/>
      <c r="L384" s="202"/>
      <c r="M384" s="192"/>
    </row>
    <row r="385" spans="1:13" s="186" customFormat="1" ht="75" customHeight="1">
      <c r="A385" s="196"/>
      <c r="B385" s="197"/>
      <c r="C385" s="198"/>
      <c r="D385" s="199"/>
      <c r="E385" s="199"/>
      <c r="F385" s="199"/>
      <c r="G385" s="200"/>
      <c r="H385" s="201"/>
      <c r="I385" s="201"/>
      <c r="J385" s="201"/>
      <c r="K385" s="202"/>
      <c r="L385" s="202"/>
      <c r="M385" s="192"/>
    </row>
    <row r="386" spans="1:13" s="186" customFormat="1" ht="75" customHeight="1">
      <c r="A386" s="196"/>
      <c r="B386" s="197"/>
      <c r="C386" s="198"/>
      <c r="D386" s="199"/>
      <c r="E386" s="199"/>
      <c r="F386" s="199"/>
      <c r="G386" s="200"/>
      <c r="H386" s="201"/>
      <c r="I386" s="201"/>
      <c r="J386" s="201"/>
      <c r="K386" s="202"/>
      <c r="L386" s="202"/>
      <c r="M386" s="192"/>
    </row>
    <row r="387" spans="1:13" s="186" customFormat="1" ht="75" customHeight="1">
      <c r="A387" s="196"/>
      <c r="B387" s="197"/>
      <c r="C387" s="198"/>
      <c r="D387" s="199"/>
      <c r="E387" s="199"/>
      <c r="F387" s="199"/>
      <c r="G387" s="200"/>
      <c r="H387" s="201"/>
      <c r="I387" s="201"/>
      <c r="J387" s="201"/>
      <c r="K387" s="202"/>
      <c r="L387" s="202"/>
      <c r="M387" s="192"/>
    </row>
    <row r="388" spans="1:13" s="186" customFormat="1" ht="75" customHeight="1">
      <c r="A388" s="196"/>
      <c r="B388" s="197"/>
      <c r="C388" s="198"/>
      <c r="D388" s="199"/>
      <c r="E388" s="199"/>
      <c r="F388" s="199"/>
      <c r="G388" s="200"/>
      <c r="H388" s="201"/>
      <c r="I388" s="201"/>
      <c r="J388" s="201"/>
      <c r="K388" s="202"/>
      <c r="L388" s="202"/>
      <c r="M388" s="192"/>
    </row>
    <row r="389" spans="1:13" s="186" customFormat="1" ht="75" customHeight="1">
      <c r="A389" s="196"/>
      <c r="B389" s="197"/>
      <c r="C389" s="198"/>
      <c r="D389" s="199"/>
      <c r="E389" s="199"/>
      <c r="F389" s="199"/>
      <c r="G389" s="200"/>
      <c r="H389" s="201"/>
      <c r="I389" s="201"/>
      <c r="J389" s="201"/>
      <c r="K389" s="202"/>
      <c r="L389" s="202"/>
      <c r="M389" s="192"/>
    </row>
    <row r="390" spans="1:13" s="186" customFormat="1" ht="75" customHeight="1">
      <c r="A390" s="196"/>
      <c r="B390" s="197"/>
      <c r="C390" s="198"/>
      <c r="D390" s="199"/>
      <c r="E390" s="199"/>
      <c r="F390" s="199"/>
      <c r="G390" s="200"/>
      <c r="H390" s="201"/>
      <c r="I390" s="201"/>
      <c r="J390" s="201"/>
      <c r="K390" s="202"/>
      <c r="L390" s="202"/>
      <c r="M390" s="192"/>
    </row>
    <row r="391" spans="1:13" s="186" customFormat="1" ht="75" customHeight="1">
      <c r="A391" s="196"/>
      <c r="B391" s="197"/>
      <c r="C391" s="198"/>
      <c r="D391" s="199"/>
      <c r="E391" s="199"/>
      <c r="F391" s="199"/>
      <c r="G391" s="200"/>
      <c r="H391" s="201"/>
      <c r="I391" s="201"/>
      <c r="J391" s="201"/>
      <c r="K391" s="202"/>
      <c r="L391" s="202"/>
      <c r="M391" s="192"/>
    </row>
    <row r="392" spans="1:13" s="186" customFormat="1" ht="75" customHeight="1">
      <c r="A392" s="196"/>
      <c r="B392" s="197"/>
      <c r="C392" s="198"/>
      <c r="D392" s="199"/>
      <c r="E392" s="199"/>
      <c r="F392" s="199"/>
      <c r="G392" s="200"/>
      <c r="H392" s="201"/>
      <c r="I392" s="201"/>
      <c r="J392" s="201"/>
      <c r="K392" s="202"/>
      <c r="L392" s="202"/>
      <c r="M392" s="192"/>
    </row>
    <row r="393" spans="1:13" s="186" customFormat="1" ht="75" customHeight="1">
      <c r="A393" s="196"/>
      <c r="B393" s="197"/>
      <c r="C393" s="198"/>
      <c r="D393" s="199"/>
      <c r="E393" s="199"/>
      <c r="F393" s="199"/>
      <c r="G393" s="200"/>
      <c r="H393" s="201"/>
      <c r="I393" s="201"/>
      <c r="J393" s="201"/>
      <c r="K393" s="202"/>
      <c r="L393" s="202"/>
      <c r="M393" s="192"/>
    </row>
    <row r="394" spans="1:13" s="186" customFormat="1" ht="78" customHeight="1">
      <c r="A394" s="196"/>
      <c r="B394" s="197"/>
      <c r="C394" s="198"/>
      <c r="D394" s="199"/>
      <c r="E394" s="199"/>
      <c r="F394" s="199"/>
      <c r="G394" s="200"/>
      <c r="H394" s="201"/>
      <c r="I394" s="201"/>
      <c r="J394" s="201"/>
      <c r="K394" s="202"/>
      <c r="L394" s="202"/>
      <c r="M394" s="192"/>
    </row>
    <row r="395" spans="1:13" s="186" customFormat="1" ht="75.95" customHeight="1">
      <c r="A395" s="196"/>
      <c r="B395" s="197"/>
      <c r="C395" s="198"/>
      <c r="D395" s="199"/>
      <c r="E395" s="199"/>
      <c r="F395" s="199"/>
      <c r="G395" s="200"/>
      <c r="H395" s="201"/>
      <c r="I395" s="201"/>
      <c r="J395" s="201"/>
      <c r="K395" s="202"/>
      <c r="L395" s="202"/>
      <c r="M395" s="192"/>
    </row>
    <row r="396" spans="1:13" s="186" customFormat="1" ht="75.95" customHeight="1">
      <c r="A396" s="196"/>
      <c r="B396" s="197"/>
      <c r="C396" s="198"/>
      <c r="D396" s="199"/>
      <c r="E396" s="199"/>
      <c r="F396" s="199"/>
      <c r="G396" s="200"/>
      <c r="H396" s="201"/>
      <c r="I396" s="201"/>
      <c r="J396" s="201"/>
      <c r="K396" s="202"/>
      <c r="L396" s="202"/>
      <c r="M396" s="192"/>
    </row>
    <row r="397" spans="1:13" s="186" customFormat="1" ht="75.95" customHeight="1">
      <c r="A397" s="196"/>
      <c r="B397" s="197"/>
      <c r="C397" s="198"/>
      <c r="D397" s="199"/>
      <c r="E397" s="199"/>
      <c r="F397" s="199"/>
      <c r="G397" s="200"/>
      <c r="H397" s="201"/>
      <c r="I397" s="201"/>
      <c r="J397" s="201"/>
      <c r="K397" s="202"/>
      <c r="L397" s="202"/>
      <c r="M397" s="192"/>
    </row>
    <row r="398" spans="1:13" s="186" customFormat="1" ht="75.95" customHeight="1">
      <c r="A398" s="196"/>
      <c r="B398" s="197"/>
      <c r="C398" s="198"/>
      <c r="D398" s="199"/>
      <c r="E398" s="199"/>
      <c r="F398" s="199"/>
      <c r="G398" s="200"/>
      <c r="H398" s="201"/>
      <c r="I398" s="201"/>
      <c r="J398" s="201"/>
      <c r="K398" s="202"/>
      <c r="L398" s="202"/>
      <c r="M398" s="192"/>
    </row>
    <row r="399" spans="1:13" s="186" customFormat="1" ht="75.95" customHeight="1">
      <c r="A399" s="196"/>
      <c r="B399" s="197"/>
      <c r="C399" s="198"/>
      <c r="D399" s="199"/>
      <c r="E399" s="199"/>
      <c r="F399" s="199"/>
      <c r="G399" s="200"/>
      <c r="H399" s="201"/>
      <c r="I399" s="201"/>
      <c r="J399" s="201"/>
      <c r="K399" s="202"/>
      <c r="L399" s="202"/>
      <c r="M399" s="192"/>
    </row>
    <row r="400" spans="1:13" s="186" customFormat="1" ht="75.95" customHeight="1">
      <c r="A400" s="196"/>
      <c r="B400" s="197"/>
      <c r="C400" s="198"/>
      <c r="D400" s="199"/>
      <c r="E400" s="199"/>
      <c r="F400" s="199"/>
      <c r="G400" s="200"/>
      <c r="H400" s="201"/>
      <c r="I400" s="201"/>
      <c r="J400" s="201"/>
      <c r="K400" s="202"/>
      <c r="L400" s="202"/>
      <c r="M400" s="192"/>
    </row>
    <row r="401" spans="1:13" s="186" customFormat="1" ht="75.95" customHeight="1">
      <c r="A401" s="196"/>
      <c r="B401" s="197"/>
      <c r="C401" s="198"/>
      <c r="D401" s="199"/>
      <c r="E401" s="199"/>
      <c r="F401" s="199"/>
      <c r="G401" s="200"/>
      <c r="H401" s="201"/>
      <c r="I401" s="201"/>
      <c r="J401" s="201"/>
      <c r="K401" s="202"/>
      <c r="L401" s="202"/>
      <c r="M401" s="192"/>
    </row>
    <row r="402" spans="1:13" s="186" customFormat="1" ht="75.95" customHeight="1">
      <c r="A402" s="196"/>
      <c r="B402" s="197"/>
      <c r="C402" s="198"/>
      <c r="D402" s="199"/>
      <c r="E402" s="199"/>
      <c r="F402" s="199"/>
      <c r="G402" s="200"/>
      <c r="H402" s="201"/>
      <c r="I402" s="201"/>
      <c r="J402" s="201"/>
      <c r="K402" s="202"/>
      <c r="L402" s="202"/>
      <c r="M402" s="192"/>
    </row>
    <row r="403" spans="1:13" s="186" customFormat="1" ht="75.95" customHeight="1">
      <c r="A403" s="196"/>
      <c r="B403" s="197"/>
      <c r="C403" s="198"/>
      <c r="D403" s="199"/>
      <c r="E403" s="199"/>
      <c r="F403" s="199"/>
      <c r="G403" s="200"/>
      <c r="H403" s="201"/>
      <c r="I403" s="201"/>
      <c r="J403" s="201"/>
      <c r="K403" s="202"/>
      <c r="L403" s="202"/>
      <c r="M403" s="192"/>
    </row>
    <row r="404" spans="1:13" s="186" customFormat="1" ht="75.95" customHeight="1">
      <c r="A404" s="196"/>
      <c r="B404" s="197"/>
      <c r="C404" s="198"/>
      <c r="D404" s="199"/>
      <c r="E404" s="199"/>
      <c r="F404" s="199"/>
      <c r="G404" s="200"/>
      <c r="H404" s="201"/>
      <c r="I404" s="201"/>
      <c r="J404" s="201"/>
      <c r="K404" s="202"/>
      <c r="L404" s="202"/>
      <c r="M404" s="192"/>
    </row>
    <row r="405" spans="1:13" s="186" customFormat="1" ht="75.95" customHeight="1">
      <c r="A405" s="196"/>
      <c r="B405" s="197"/>
      <c r="C405" s="198"/>
      <c r="D405" s="199"/>
      <c r="E405" s="199"/>
      <c r="F405" s="199"/>
      <c r="G405" s="200"/>
      <c r="H405" s="201"/>
      <c r="I405" s="201"/>
      <c r="J405" s="201"/>
      <c r="K405" s="202"/>
      <c r="L405" s="202"/>
      <c r="M405" s="192"/>
    </row>
    <row r="406" spans="1:13" s="186" customFormat="1" ht="75.95" customHeight="1">
      <c r="A406" s="196"/>
      <c r="B406" s="197"/>
      <c r="C406" s="198"/>
      <c r="D406" s="199"/>
      <c r="E406" s="199"/>
      <c r="F406" s="199"/>
      <c r="G406" s="200"/>
      <c r="H406" s="201"/>
      <c r="I406" s="201"/>
      <c r="J406" s="201"/>
      <c r="K406" s="202"/>
      <c r="L406" s="202"/>
      <c r="M406" s="192"/>
    </row>
    <row r="407" spans="1:13" s="186" customFormat="1" ht="75.95" customHeight="1">
      <c r="A407" s="196"/>
      <c r="B407" s="197"/>
      <c r="C407" s="198"/>
      <c r="D407" s="199"/>
      <c r="E407" s="199"/>
      <c r="F407" s="199"/>
      <c r="G407" s="200"/>
      <c r="H407" s="201"/>
      <c r="I407" s="201"/>
      <c r="J407" s="201"/>
      <c r="K407" s="202"/>
      <c r="L407" s="202"/>
      <c r="M407" s="192"/>
    </row>
    <row r="408" spans="1:13" s="186" customFormat="1" ht="75.95" customHeight="1">
      <c r="A408" s="196"/>
      <c r="B408" s="197"/>
      <c r="C408" s="198"/>
      <c r="D408" s="199"/>
      <c r="E408" s="199"/>
      <c r="F408" s="199"/>
      <c r="G408" s="200"/>
      <c r="H408" s="201"/>
      <c r="I408" s="201"/>
      <c r="J408" s="201"/>
      <c r="K408" s="202"/>
      <c r="L408" s="202"/>
      <c r="M408" s="192"/>
    </row>
    <row r="409" spans="1:13" s="186" customFormat="1" ht="75.95" customHeight="1">
      <c r="A409" s="196"/>
      <c r="B409" s="197"/>
      <c r="C409" s="198"/>
      <c r="D409" s="199"/>
      <c r="E409" s="199"/>
      <c r="F409" s="199"/>
      <c r="G409" s="200"/>
      <c r="H409" s="201"/>
      <c r="I409" s="201"/>
      <c r="J409" s="201"/>
      <c r="K409" s="202"/>
      <c r="L409" s="202"/>
      <c r="M409" s="192"/>
    </row>
    <row r="410" spans="1:13" s="186" customFormat="1" ht="75.95" customHeight="1">
      <c r="A410" s="196"/>
      <c r="B410" s="197"/>
      <c r="C410" s="198"/>
      <c r="D410" s="199"/>
      <c r="E410" s="199"/>
      <c r="F410" s="199"/>
      <c r="G410" s="200"/>
      <c r="H410" s="201"/>
      <c r="I410" s="201"/>
      <c r="J410" s="201"/>
      <c r="K410" s="202"/>
      <c r="L410" s="202"/>
      <c r="M410" s="192"/>
    </row>
    <row r="411" spans="1:13" s="186" customFormat="1" ht="75.95" customHeight="1">
      <c r="A411" s="196"/>
      <c r="B411" s="197"/>
      <c r="C411" s="198"/>
      <c r="D411" s="199"/>
      <c r="E411" s="199"/>
      <c r="F411" s="199"/>
      <c r="G411" s="200"/>
      <c r="H411" s="201"/>
      <c r="I411" s="201"/>
      <c r="J411" s="201"/>
      <c r="K411" s="202"/>
      <c r="L411" s="202"/>
      <c r="M411" s="192"/>
    </row>
    <row r="412" spans="1:13" s="186" customFormat="1" ht="78" customHeight="1">
      <c r="A412" s="196"/>
      <c r="B412" s="197"/>
      <c r="C412" s="198"/>
      <c r="D412" s="199"/>
      <c r="E412" s="199"/>
      <c r="F412" s="199"/>
      <c r="G412" s="200"/>
      <c r="H412" s="201"/>
      <c r="I412" s="201"/>
      <c r="J412" s="201"/>
      <c r="K412" s="202"/>
      <c r="L412" s="202"/>
      <c r="M412" s="192"/>
    </row>
    <row r="413" spans="1:13" s="186" customFormat="1" ht="90" customHeight="1">
      <c r="A413" s="196"/>
      <c r="B413" s="197"/>
      <c r="C413" s="198"/>
      <c r="D413" s="199"/>
      <c r="E413" s="199"/>
      <c r="F413" s="199"/>
      <c r="G413" s="200"/>
      <c r="H413" s="201"/>
      <c r="I413" s="201"/>
      <c r="J413" s="201"/>
      <c r="K413" s="202"/>
      <c r="L413" s="202"/>
      <c r="M413" s="192"/>
    </row>
    <row r="414" spans="1:13" s="186" customFormat="1" ht="90" customHeight="1">
      <c r="A414" s="196"/>
      <c r="B414" s="197"/>
      <c r="C414" s="198"/>
      <c r="D414" s="199"/>
      <c r="E414" s="199"/>
      <c r="F414" s="199"/>
      <c r="G414" s="200"/>
      <c r="H414" s="201"/>
      <c r="I414" s="201"/>
      <c r="J414" s="201"/>
      <c r="K414" s="202"/>
      <c r="L414" s="202"/>
      <c r="M414" s="192"/>
    </row>
    <row r="415" spans="1:13" s="186" customFormat="1" ht="90" customHeight="1">
      <c r="A415" s="196"/>
      <c r="B415" s="197"/>
      <c r="C415" s="198"/>
      <c r="D415" s="199"/>
      <c r="E415" s="199"/>
      <c r="F415" s="199"/>
      <c r="G415" s="200"/>
      <c r="H415" s="201"/>
      <c r="I415" s="201"/>
      <c r="J415" s="201"/>
      <c r="K415" s="202"/>
      <c r="L415" s="202"/>
      <c r="M415" s="192"/>
    </row>
    <row r="416" spans="1:13" s="186" customFormat="1" ht="90" customHeight="1">
      <c r="A416" s="196"/>
      <c r="B416" s="197"/>
      <c r="C416" s="198"/>
      <c r="D416" s="199"/>
      <c r="E416" s="199"/>
      <c r="F416" s="199"/>
      <c r="G416" s="200"/>
      <c r="H416" s="201"/>
      <c r="I416" s="201"/>
      <c r="J416" s="201"/>
      <c r="K416" s="202"/>
      <c r="L416" s="202"/>
      <c r="M416" s="192"/>
    </row>
    <row r="417" spans="1:13" s="186" customFormat="1" ht="90" customHeight="1">
      <c r="A417" s="196"/>
      <c r="B417" s="197"/>
      <c r="C417" s="198"/>
      <c r="D417" s="199"/>
      <c r="E417" s="199"/>
      <c r="F417" s="199"/>
      <c r="G417" s="200"/>
      <c r="H417" s="201"/>
      <c r="I417" s="201"/>
      <c r="J417" s="201"/>
      <c r="K417" s="202"/>
      <c r="L417" s="202"/>
      <c r="M417" s="192"/>
    </row>
    <row r="418" spans="1:13" s="186" customFormat="1" ht="90" customHeight="1">
      <c r="A418" s="196"/>
      <c r="B418" s="197"/>
      <c r="C418" s="198"/>
      <c r="D418" s="199"/>
      <c r="E418" s="199"/>
      <c r="F418" s="199"/>
      <c r="G418" s="200"/>
      <c r="H418" s="201"/>
      <c r="I418" s="201"/>
      <c r="J418" s="201"/>
      <c r="K418" s="202"/>
      <c r="L418" s="202"/>
      <c r="M418" s="192"/>
    </row>
    <row r="419" spans="1:13" s="186" customFormat="1" ht="90" customHeight="1">
      <c r="A419" s="196"/>
      <c r="B419" s="197"/>
      <c r="C419" s="198"/>
      <c r="D419" s="199"/>
      <c r="E419" s="199"/>
      <c r="F419" s="199"/>
      <c r="G419" s="200"/>
      <c r="H419" s="201"/>
      <c r="I419" s="201"/>
      <c r="J419" s="201"/>
      <c r="K419" s="202"/>
      <c r="L419" s="202"/>
      <c r="M419" s="192"/>
    </row>
    <row r="420" spans="1:13" s="186" customFormat="1" ht="90" customHeight="1">
      <c r="A420" s="196"/>
      <c r="B420" s="197"/>
      <c r="C420" s="198"/>
      <c r="D420" s="199"/>
      <c r="E420" s="199"/>
      <c r="F420" s="199"/>
      <c r="G420" s="200"/>
      <c r="H420" s="201"/>
      <c r="I420" s="201"/>
      <c r="J420" s="201"/>
      <c r="K420" s="202"/>
      <c r="L420" s="202"/>
      <c r="M420" s="192"/>
    </row>
    <row r="421" spans="1:13" s="186" customFormat="1" ht="155.1" customHeight="1">
      <c r="A421" s="196"/>
      <c r="B421" s="197"/>
      <c r="C421" s="198"/>
      <c r="D421" s="199"/>
      <c r="E421" s="199"/>
      <c r="F421" s="199"/>
      <c r="G421" s="200"/>
      <c r="H421" s="201"/>
      <c r="I421" s="201"/>
      <c r="J421" s="201"/>
      <c r="K421" s="202"/>
      <c r="L421" s="202"/>
      <c r="M421" s="192"/>
    </row>
    <row r="422" spans="1:13" s="193" customFormat="1" ht="207.95" customHeight="1">
      <c r="A422" s="196"/>
      <c r="B422" s="197"/>
      <c r="C422" s="198"/>
      <c r="D422" s="199"/>
      <c r="E422" s="199"/>
      <c r="F422" s="199"/>
      <c r="G422" s="200"/>
      <c r="H422" s="201"/>
      <c r="I422" s="201"/>
      <c r="J422" s="201"/>
      <c r="K422" s="202"/>
      <c r="L422" s="202"/>
      <c r="M422" s="192"/>
    </row>
    <row r="423" spans="1:13" s="193" customFormat="1" ht="105" customHeight="1">
      <c r="A423" s="196"/>
      <c r="B423" s="197"/>
      <c r="C423" s="198"/>
      <c r="D423" s="199"/>
      <c r="E423" s="199"/>
      <c r="F423" s="199"/>
      <c r="G423" s="200"/>
      <c r="H423" s="201"/>
      <c r="I423" s="201"/>
      <c r="J423" s="201"/>
      <c r="K423" s="202"/>
      <c r="L423" s="202"/>
      <c r="M423" s="192"/>
    </row>
    <row r="424" spans="1:13" s="186" customFormat="1" ht="135.94999999999999" customHeight="1">
      <c r="A424" s="196"/>
      <c r="B424" s="197"/>
      <c r="C424" s="198"/>
      <c r="D424" s="199"/>
      <c r="E424" s="199"/>
      <c r="F424" s="199"/>
      <c r="G424" s="200"/>
      <c r="H424" s="201"/>
      <c r="I424" s="201"/>
      <c r="J424" s="201"/>
      <c r="K424" s="202"/>
      <c r="L424" s="202"/>
      <c r="M424" s="192"/>
    </row>
    <row r="425" spans="1:13" s="186" customFormat="1" ht="123.95" customHeight="1">
      <c r="A425" s="196"/>
      <c r="B425" s="197"/>
      <c r="C425" s="198"/>
      <c r="D425" s="199"/>
      <c r="E425" s="199"/>
      <c r="F425" s="199"/>
      <c r="G425" s="200"/>
      <c r="H425" s="201"/>
      <c r="I425" s="201"/>
      <c r="J425" s="201"/>
      <c r="K425" s="202"/>
      <c r="L425" s="202"/>
      <c r="M425" s="192"/>
    </row>
    <row r="426" spans="1:13" s="186" customFormat="1" ht="129" customHeight="1">
      <c r="A426" s="196"/>
      <c r="B426" s="197"/>
      <c r="C426" s="198"/>
      <c r="D426" s="199"/>
      <c r="E426" s="199"/>
      <c r="F426" s="199"/>
      <c r="G426" s="200"/>
      <c r="H426" s="201"/>
      <c r="I426" s="201"/>
      <c r="J426" s="201"/>
      <c r="K426" s="202"/>
      <c r="L426" s="202"/>
      <c r="M426" s="192"/>
    </row>
    <row r="427" spans="1:13" s="186" customFormat="1" ht="129.94999999999999" customHeight="1">
      <c r="A427" s="196"/>
      <c r="B427" s="197"/>
      <c r="C427" s="198"/>
      <c r="D427" s="199"/>
      <c r="E427" s="199"/>
      <c r="F427" s="199"/>
      <c r="G427" s="200"/>
      <c r="H427" s="201"/>
      <c r="I427" s="201"/>
      <c r="J427" s="201"/>
      <c r="K427" s="202"/>
      <c r="L427" s="202"/>
      <c r="M427" s="192"/>
    </row>
    <row r="428" spans="1:13" s="186" customFormat="1" ht="167.1" customHeight="1">
      <c r="A428" s="196"/>
      <c r="B428" s="197"/>
      <c r="C428" s="198"/>
      <c r="D428" s="199"/>
      <c r="E428" s="199"/>
      <c r="F428" s="199"/>
      <c r="G428" s="200"/>
      <c r="H428" s="201"/>
      <c r="I428" s="201"/>
      <c r="J428" s="201"/>
      <c r="K428" s="202"/>
      <c r="L428" s="202"/>
      <c r="M428" s="192"/>
    </row>
    <row r="429" spans="1:13" s="186" customFormat="1" ht="90" customHeight="1">
      <c r="A429" s="196"/>
      <c r="B429" s="197"/>
      <c r="C429" s="198"/>
      <c r="D429" s="199"/>
      <c r="E429" s="199"/>
      <c r="F429" s="199"/>
      <c r="G429" s="200"/>
      <c r="H429" s="201"/>
      <c r="I429" s="201"/>
      <c r="J429" s="201"/>
      <c r="K429" s="202"/>
      <c r="L429" s="202"/>
      <c r="M429" s="192"/>
    </row>
    <row r="430" spans="1:13" s="194" customFormat="1" ht="59.25" customHeight="1">
      <c r="A430" s="196"/>
      <c r="B430" s="197"/>
      <c r="C430" s="198"/>
      <c r="D430" s="199"/>
      <c r="E430" s="199"/>
      <c r="F430" s="199"/>
      <c r="G430" s="200"/>
      <c r="H430" s="201"/>
      <c r="I430" s="201"/>
      <c r="J430" s="201"/>
      <c r="K430" s="202"/>
      <c r="L430" s="202"/>
      <c r="M430" s="192"/>
    </row>
    <row r="439" spans="1:14" s="195" customFormat="1" ht="59.25" customHeight="1">
      <c r="A439" s="196"/>
      <c r="B439" s="197"/>
      <c r="C439" s="198"/>
      <c r="D439" s="199"/>
      <c r="E439" s="199"/>
      <c r="F439" s="199"/>
      <c r="G439" s="200"/>
      <c r="H439" s="201"/>
      <c r="I439" s="201"/>
      <c r="J439" s="201"/>
      <c r="K439" s="202"/>
      <c r="L439" s="202"/>
      <c r="M439" s="192"/>
      <c r="N439" s="196"/>
    </row>
    <row r="440" spans="1:14" s="195" customFormat="1" ht="59.25" customHeight="1">
      <c r="A440" s="196"/>
      <c r="B440" s="197"/>
      <c r="C440" s="198"/>
      <c r="D440" s="199"/>
      <c r="E440" s="199"/>
      <c r="F440" s="199"/>
      <c r="G440" s="200"/>
      <c r="H440" s="201"/>
      <c r="I440" s="201"/>
      <c r="J440" s="201"/>
      <c r="K440" s="202"/>
      <c r="L440" s="202"/>
      <c r="M440" s="192"/>
      <c r="N440" s="196"/>
    </row>
    <row r="441" spans="1:14" s="195" customFormat="1" ht="59.25" customHeight="1">
      <c r="A441" s="196"/>
      <c r="B441" s="197"/>
      <c r="C441" s="198"/>
      <c r="D441" s="199"/>
      <c r="E441" s="199"/>
      <c r="F441" s="199"/>
      <c r="G441" s="200"/>
      <c r="H441" s="201"/>
      <c r="I441" s="201"/>
      <c r="J441" s="201"/>
      <c r="K441" s="202"/>
      <c r="L441" s="202"/>
      <c r="M441" s="192"/>
      <c r="N441" s="196"/>
    </row>
    <row r="442" spans="1:14" s="195" customFormat="1" ht="59.25" customHeight="1">
      <c r="A442" s="196"/>
      <c r="B442" s="197"/>
      <c r="C442" s="198"/>
      <c r="D442" s="199"/>
      <c r="E442" s="199"/>
      <c r="F442" s="199"/>
      <c r="G442" s="200"/>
      <c r="H442" s="201"/>
      <c r="I442" s="201"/>
      <c r="J442" s="201"/>
      <c r="K442" s="202"/>
      <c r="L442" s="202"/>
      <c r="M442" s="192"/>
      <c r="N442" s="196"/>
    </row>
    <row r="443" spans="1:14" s="195" customFormat="1" ht="59.25" customHeight="1">
      <c r="A443" s="196"/>
      <c r="B443" s="197"/>
      <c r="C443" s="198"/>
      <c r="D443" s="199"/>
      <c r="E443" s="199"/>
      <c r="F443" s="199"/>
      <c r="G443" s="200"/>
      <c r="H443" s="201"/>
      <c r="I443" s="201"/>
      <c r="J443" s="201"/>
      <c r="K443" s="202"/>
      <c r="L443" s="202"/>
      <c r="M443" s="192"/>
      <c r="N443" s="196"/>
    </row>
    <row r="444" spans="1:14" s="195" customFormat="1" ht="59.25" customHeight="1">
      <c r="A444" s="196"/>
      <c r="B444" s="197"/>
      <c r="C444" s="198"/>
      <c r="D444" s="199"/>
      <c r="E444" s="199"/>
      <c r="F444" s="199"/>
      <c r="G444" s="200"/>
      <c r="H444" s="201"/>
      <c r="I444" s="201"/>
      <c r="J444" s="201"/>
      <c r="K444" s="202"/>
      <c r="L444" s="202"/>
      <c r="M444" s="192"/>
      <c r="N444" s="196"/>
    </row>
    <row r="445" spans="1:14" s="195" customFormat="1" ht="59.25" customHeight="1">
      <c r="A445" s="196"/>
      <c r="B445" s="197"/>
      <c r="C445" s="198"/>
      <c r="D445" s="199"/>
      <c r="E445" s="199"/>
      <c r="F445" s="199"/>
      <c r="G445" s="200"/>
      <c r="H445" s="201"/>
      <c r="I445" s="201"/>
      <c r="J445" s="201"/>
      <c r="K445" s="202"/>
      <c r="L445" s="202"/>
      <c r="M445" s="192"/>
      <c r="N445" s="196"/>
    </row>
    <row r="446" spans="1:14" s="195" customFormat="1" ht="59.25" customHeight="1">
      <c r="A446" s="196"/>
      <c r="B446" s="197"/>
      <c r="C446" s="198"/>
      <c r="D446" s="199"/>
      <c r="E446" s="199"/>
      <c r="F446" s="199"/>
      <c r="G446" s="200"/>
      <c r="H446" s="201"/>
      <c r="I446" s="201"/>
      <c r="J446" s="201"/>
      <c r="K446" s="202"/>
      <c r="L446" s="202"/>
      <c r="M446" s="192"/>
      <c r="N446" s="196"/>
    </row>
    <row r="447" spans="1:14" s="195" customFormat="1" ht="59.25" customHeight="1">
      <c r="A447" s="196"/>
      <c r="B447" s="197"/>
      <c r="C447" s="198"/>
      <c r="D447" s="199"/>
      <c r="E447" s="199"/>
      <c r="F447" s="199"/>
      <c r="G447" s="200"/>
      <c r="H447" s="201"/>
      <c r="I447" s="201"/>
      <c r="J447" s="201"/>
      <c r="K447" s="202"/>
      <c r="L447" s="202"/>
      <c r="M447" s="192"/>
      <c r="N447" s="196"/>
    </row>
    <row r="448" spans="1:14" s="195" customFormat="1" ht="59.25" customHeight="1">
      <c r="A448" s="196"/>
      <c r="B448" s="197"/>
      <c r="C448" s="198"/>
      <c r="D448" s="199"/>
      <c r="E448" s="199"/>
      <c r="F448" s="199"/>
      <c r="G448" s="200"/>
      <c r="H448" s="201"/>
      <c r="I448" s="201"/>
      <c r="J448" s="201"/>
      <c r="K448" s="202"/>
      <c r="L448" s="202"/>
      <c r="M448" s="192"/>
      <c r="N448" s="196"/>
    </row>
    <row r="449" spans="1:14" s="195" customFormat="1" ht="59.25" customHeight="1">
      <c r="A449" s="196"/>
      <c r="B449" s="197"/>
      <c r="C449" s="198"/>
      <c r="D449" s="199"/>
      <c r="E449" s="199"/>
      <c r="F449" s="199"/>
      <c r="G449" s="200"/>
      <c r="H449" s="201"/>
      <c r="I449" s="201"/>
      <c r="J449" s="201"/>
      <c r="K449" s="202"/>
      <c r="L449" s="202"/>
      <c r="M449" s="192"/>
      <c r="N449" s="196"/>
    </row>
    <row r="450" spans="1:14" s="195" customFormat="1" ht="59.25" customHeight="1">
      <c r="A450" s="196"/>
      <c r="B450" s="197"/>
      <c r="C450" s="198"/>
      <c r="D450" s="199"/>
      <c r="E450" s="199"/>
      <c r="F450" s="199"/>
      <c r="G450" s="200"/>
      <c r="H450" s="201"/>
      <c r="I450" s="201"/>
      <c r="J450" s="201"/>
      <c r="K450" s="202"/>
      <c r="L450" s="202"/>
      <c r="M450" s="192"/>
      <c r="N450" s="196"/>
    </row>
    <row r="451" spans="1:14" s="195" customFormat="1" ht="59.25" customHeight="1">
      <c r="A451" s="196"/>
      <c r="B451" s="197"/>
      <c r="C451" s="198"/>
      <c r="D451" s="199"/>
      <c r="E451" s="199"/>
      <c r="F451" s="199"/>
      <c r="G451" s="200"/>
      <c r="H451" s="201"/>
      <c r="I451" s="201"/>
      <c r="J451" s="201"/>
      <c r="K451" s="202"/>
      <c r="L451" s="202"/>
      <c r="M451" s="192"/>
      <c r="N451" s="196"/>
    </row>
    <row r="452" spans="1:14" s="195" customFormat="1" ht="59.25" customHeight="1">
      <c r="A452" s="196"/>
      <c r="B452" s="197"/>
      <c r="C452" s="198"/>
      <c r="D452" s="199"/>
      <c r="E452" s="199"/>
      <c r="F452" s="199"/>
      <c r="G452" s="200"/>
      <c r="H452" s="201"/>
      <c r="I452" s="201"/>
      <c r="J452" s="201"/>
      <c r="K452" s="202"/>
      <c r="L452" s="202"/>
      <c r="M452" s="192"/>
      <c r="N452" s="196"/>
    </row>
    <row r="453" spans="1:14" s="195" customFormat="1" ht="59.25" customHeight="1">
      <c r="A453" s="196"/>
      <c r="B453" s="197"/>
      <c r="C453" s="198"/>
      <c r="D453" s="199"/>
      <c r="E453" s="199"/>
      <c r="F453" s="199"/>
      <c r="G453" s="200"/>
      <c r="H453" s="201"/>
      <c r="I453" s="201"/>
      <c r="J453" s="201"/>
      <c r="K453" s="202"/>
      <c r="L453" s="202"/>
      <c r="M453" s="192"/>
      <c r="N453" s="196"/>
    </row>
    <row r="454" spans="1:14" s="195" customFormat="1" ht="59.25" customHeight="1">
      <c r="A454" s="196"/>
      <c r="B454" s="197"/>
      <c r="C454" s="198"/>
      <c r="D454" s="199"/>
      <c r="E454" s="199"/>
      <c r="F454" s="199"/>
      <c r="G454" s="200"/>
      <c r="H454" s="201"/>
      <c r="I454" s="201"/>
      <c r="J454" s="201"/>
      <c r="K454" s="202"/>
      <c r="L454" s="202"/>
      <c r="M454" s="192"/>
      <c r="N454" s="196"/>
    </row>
    <row r="455" spans="1:14" s="195" customFormat="1" ht="59.25" customHeight="1">
      <c r="A455" s="196"/>
      <c r="B455" s="197"/>
      <c r="C455" s="198"/>
      <c r="D455" s="199"/>
      <c r="E455" s="199"/>
      <c r="F455" s="199"/>
      <c r="G455" s="200"/>
      <c r="H455" s="201"/>
      <c r="I455" s="201"/>
      <c r="J455" s="201"/>
      <c r="K455" s="202"/>
      <c r="L455" s="202"/>
      <c r="M455" s="192"/>
      <c r="N455" s="196"/>
    </row>
    <row r="456" spans="1:14" s="195" customFormat="1" ht="59.25" customHeight="1">
      <c r="A456" s="196"/>
      <c r="B456" s="197"/>
      <c r="C456" s="198"/>
      <c r="D456" s="199"/>
      <c r="E456" s="199"/>
      <c r="F456" s="199"/>
      <c r="G456" s="200"/>
      <c r="H456" s="201"/>
      <c r="I456" s="201"/>
      <c r="J456" s="201"/>
      <c r="K456" s="202"/>
      <c r="L456" s="202"/>
      <c r="M456" s="192"/>
      <c r="N456" s="196"/>
    </row>
    <row r="457" spans="1:14" s="195" customFormat="1" ht="59.25" customHeight="1">
      <c r="A457" s="196"/>
      <c r="B457" s="197"/>
      <c r="C457" s="198"/>
      <c r="D457" s="199"/>
      <c r="E457" s="199"/>
      <c r="F457" s="199"/>
      <c r="G457" s="200"/>
      <c r="H457" s="201"/>
      <c r="I457" s="201"/>
      <c r="J457" s="201"/>
      <c r="K457" s="202"/>
      <c r="L457" s="202"/>
      <c r="M457" s="192"/>
      <c r="N457" s="196"/>
    </row>
    <row r="458" spans="1:14" s="195" customFormat="1" ht="59.25" customHeight="1">
      <c r="A458" s="196"/>
      <c r="B458" s="197"/>
      <c r="C458" s="198"/>
      <c r="D458" s="199"/>
      <c r="E458" s="199"/>
      <c r="F458" s="199"/>
      <c r="G458" s="200"/>
      <c r="H458" s="201"/>
      <c r="I458" s="201"/>
      <c r="J458" s="201"/>
      <c r="K458" s="202"/>
      <c r="L458" s="202"/>
      <c r="M458" s="192"/>
      <c r="N458" s="196"/>
    </row>
    <row r="459" spans="1:14" s="195" customFormat="1" ht="59.25" customHeight="1">
      <c r="A459" s="196"/>
      <c r="B459" s="197"/>
      <c r="C459" s="198"/>
      <c r="D459" s="199"/>
      <c r="E459" s="199"/>
      <c r="F459" s="199"/>
      <c r="G459" s="200"/>
      <c r="H459" s="201"/>
      <c r="I459" s="201"/>
      <c r="J459" s="201"/>
      <c r="K459" s="202"/>
      <c r="L459" s="202"/>
      <c r="M459" s="192"/>
      <c r="N459" s="196"/>
    </row>
    <row r="460" spans="1:14" s="195" customFormat="1" ht="59.25" customHeight="1">
      <c r="A460" s="196"/>
      <c r="B460" s="197"/>
      <c r="C460" s="198"/>
      <c r="D460" s="199"/>
      <c r="E460" s="199"/>
      <c r="F460" s="199"/>
      <c r="G460" s="200"/>
      <c r="H460" s="201"/>
      <c r="I460" s="201"/>
      <c r="J460" s="201"/>
      <c r="K460" s="202"/>
      <c r="L460" s="202"/>
      <c r="M460" s="192"/>
      <c r="N460" s="196"/>
    </row>
    <row r="461" spans="1:14" s="195" customFormat="1" ht="59.25" customHeight="1">
      <c r="A461" s="196"/>
      <c r="B461" s="197"/>
      <c r="C461" s="198"/>
      <c r="D461" s="199"/>
      <c r="E461" s="199"/>
      <c r="F461" s="199"/>
      <c r="G461" s="200"/>
      <c r="H461" s="201"/>
      <c r="I461" s="201"/>
      <c r="J461" s="201"/>
      <c r="K461" s="202"/>
      <c r="L461" s="202"/>
      <c r="M461" s="192"/>
      <c r="N461" s="196"/>
    </row>
    <row r="462" spans="1:14" s="195" customFormat="1" ht="59.25" customHeight="1">
      <c r="A462" s="196"/>
      <c r="B462" s="197"/>
      <c r="C462" s="198"/>
      <c r="D462" s="199"/>
      <c r="E462" s="199"/>
      <c r="F462" s="199"/>
      <c r="G462" s="200"/>
      <c r="H462" s="201"/>
      <c r="I462" s="201"/>
      <c r="J462" s="201"/>
      <c r="K462" s="202"/>
      <c r="L462" s="202"/>
      <c r="M462" s="192"/>
      <c r="N462" s="196"/>
    </row>
    <row r="463" spans="1:14" s="195" customFormat="1" ht="59.25" customHeight="1">
      <c r="A463" s="196"/>
      <c r="B463" s="197"/>
      <c r="C463" s="198"/>
      <c r="D463" s="199"/>
      <c r="E463" s="199"/>
      <c r="F463" s="199"/>
      <c r="G463" s="200"/>
      <c r="H463" s="201"/>
      <c r="I463" s="201"/>
      <c r="J463" s="201"/>
      <c r="K463" s="202"/>
      <c r="L463" s="202"/>
      <c r="M463" s="192"/>
      <c r="N463" s="196"/>
    </row>
    <row r="464" spans="1:14" s="195" customFormat="1" ht="59.25" customHeight="1">
      <c r="A464" s="196"/>
      <c r="B464" s="197"/>
      <c r="C464" s="198"/>
      <c r="D464" s="199"/>
      <c r="E464" s="199"/>
      <c r="F464" s="199"/>
      <c r="G464" s="200"/>
      <c r="H464" s="201"/>
      <c r="I464" s="201"/>
      <c r="J464" s="201"/>
      <c r="K464" s="202"/>
      <c r="L464" s="202"/>
      <c r="M464" s="192"/>
      <c r="N464" s="196"/>
    </row>
    <row r="465" spans="1:14" s="195" customFormat="1" ht="59.25" customHeight="1">
      <c r="A465" s="196"/>
      <c r="B465" s="197"/>
      <c r="C465" s="198"/>
      <c r="D465" s="199"/>
      <c r="E465" s="199"/>
      <c r="F465" s="199"/>
      <c r="G465" s="200"/>
      <c r="H465" s="201"/>
      <c r="I465" s="201"/>
      <c r="J465" s="201"/>
      <c r="K465" s="202"/>
      <c r="L465" s="202"/>
      <c r="M465" s="192"/>
      <c r="N465" s="196"/>
    </row>
    <row r="466" spans="1:14" s="195" customFormat="1" ht="59.25" customHeight="1">
      <c r="A466" s="196"/>
      <c r="B466" s="197"/>
      <c r="C466" s="198"/>
      <c r="D466" s="199"/>
      <c r="E466" s="199"/>
      <c r="F466" s="199"/>
      <c r="G466" s="200"/>
      <c r="H466" s="201"/>
      <c r="I466" s="201"/>
      <c r="J466" s="201"/>
      <c r="K466" s="202"/>
      <c r="L466" s="202"/>
      <c r="M466" s="192"/>
      <c r="N466" s="196"/>
    </row>
    <row r="467" spans="1:14" s="195" customFormat="1" ht="59.25" customHeight="1">
      <c r="A467" s="196"/>
      <c r="B467" s="197"/>
      <c r="C467" s="198"/>
      <c r="D467" s="199"/>
      <c r="E467" s="199"/>
      <c r="F467" s="199"/>
      <c r="G467" s="200"/>
      <c r="H467" s="201"/>
      <c r="I467" s="201"/>
      <c r="J467" s="201"/>
      <c r="K467" s="202"/>
      <c r="L467" s="202"/>
      <c r="M467" s="192"/>
      <c r="N467" s="196"/>
    </row>
    <row r="468" spans="1:14" s="195" customFormat="1" ht="59.25" customHeight="1">
      <c r="A468" s="196"/>
      <c r="B468" s="197"/>
      <c r="C468" s="198"/>
      <c r="D468" s="199"/>
      <c r="E468" s="199"/>
      <c r="F468" s="199"/>
      <c r="G468" s="200"/>
      <c r="H468" s="201"/>
      <c r="I468" s="201"/>
      <c r="J468" s="201"/>
      <c r="K468" s="202"/>
      <c r="L468" s="202"/>
      <c r="M468" s="192"/>
      <c r="N468" s="196"/>
    </row>
    <row r="469" spans="1:14" s="195" customFormat="1" ht="59.25" customHeight="1">
      <c r="A469" s="196"/>
      <c r="B469" s="197"/>
      <c r="C469" s="198"/>
      <c r="D469" s="199"/>
      <c r="E469" s="199"/>
      <c r="F469" s="199"/>
      <c r="G469" s="200"/>
      <c r="H469" s="201"/>
      <c r="I469" s="201"/>
      <c r="J469" s="201"/>
      <c r="K469" s="202"/>
      <c r="L469" s="202"/>
      <c r="M469" s="192"/>
      <c r="N469" s="196"/>
    </row>
    <row r="470" spans="1:14" s="195" customFormat="1" ht="59.25" customHeight="1">
      <c r="A470" s="196"/>
      <c r="B470" s="197"/>
      <c r="C470" s="198"/>
      <c r="D470" s="199"/>
      <c r="E470" s="199"/>
      <c r="F470" s="199"/>
      <c r="G470" s="200"/>
      <c r="H470" s="296"/>
      <c r="I470" s="201"/>
      <c r="J470" s="201"/>
      <c r="K470" s="202"/>
      <c r="L470" s="202"/>
      <c r="M470" s="192"/>
      <c r="N470" s="196"/>
    </row>
    <row r="471" spans="1:14" s="195" customFormat="1" ht="59.25" customHeight="1">
      <c r="A471" s="196"/>
      <c r="B471" s="197"/>
      <c r="C471" s="198"/>
      <c r="D471" s="199"/>
      <c r="E471" s="199"/>
      <c r="F471" s="199"/>
      <c r="G471" s="200"/>
      <c r="H471" s="201"/>
      <c r="I471" s="201"/>
      <c r="J471" s="201"/>
      <c r="K471" s="202"/>
      <c r="L471" s="202"/>
      <c r="M471" s="192"/>
      <c r="N471" s="196"/>
    </row>
    <row r="472" spans="1:14" s="195" customFormat="1" ht="59.25" customHeight="1">
      <c r="A472" s="196"/>
      <c r="B472" s="197"/>
      <c r="C472" s="198"/>
      <c r="D472" s="199"/>
      <c r="E472" s="199"/>
      <c r="F472" s="199"/>
      <c r="G472" s="200"/>
      <c r="H472" s="201"/>
      <c r="I472" s="296"/>
      <c r="J472" s="201"/>
      <c r="K472" s="202"/>
      <c r="L472" s="202"/>
      <c r="M472" s="192"/>
      <c r="N472" s="196"/>
    </row>
    <row r="473" spans="1:14" s="195" customFormat="1" ht="59.25" customHeight="1">
      <c r="A473" s="196"/>
      <c r="B473" s="197"/>
      <c r="C473" s="198"/>
      <c r="D473" s="199"/>
      <c r="E473" s="199"/>
      <c r="F473" s="199"/>
      <c r="G473" s="200"/>
      <c r="H473" s="201"/>
      <c r="I473" s="201"/>
      <c r="J473" s="201"/>
      <c r="K473" s="202"/>
      <c r="L473" s="202"/>
      <c r="M473" s="192"/>
      <c r="N473" s="196"/>
    </row>
    <row r="474" spans="1:14" s="195" customFormat="1" ht="59.25" customHeight="1">
      <c r="A474" s="196"/>
      <c r="B474" s="197"/>
      <c r="C474" s="198"/>
      <c r="D474" s="199"/>
      <c r="E474" s="199"/>
      <c r="F474" s="199"/>
      <c r="G474" s="200"/>
      <c r="H474" s="201"/>
      <c r="I474" s="201"/>
      <c r="J474" s="201"/>
      <c r="K474" s="202"/>
      <c r="L474" s="202"/>
      <c r="M474" s="192"/>
      <c r="N474" s="196"/>
    </row>
    <row r="475" spans="1:14" s="195" customFormat="1" ht="59.25" customHeight="1">
      <c r="A475" s="196"/>
      <c r="B475" s="197"/>
      <c r="C475" s="198"/>
      <c r="D475" s="199"/>
      <c r="E475" s="199"/>
      <c r="F475" s="199"/>
      <c r="G475" s="200"/>
      <c r="H475" s="201"/>
      <c r="I475" s="201"/>
      <c r="J475" s="201"/>
      <c r="K475" s="202"/>
      <c r="L475" s="202"/>
      <c r="M475" s="192"/>
      <c r="N475" s="196"/>
    </row>
    <row r="476" spans="1:14" s="195" customFormat="1" ht="59.25" customHeight="1">
      <c r="A476" s="196"/>
      <c r="B476" s="197"/>
      <c r="C476" s="198"/>
      <c r="D476" s="199"/>
      <c r="E476" s="199"/>
      <c r="F476" s="199"/>
      <c r="G476" s="200"/>
      <c r="H476" s="201"/>
      <c r="I476" s="201"/>
      <c r="J476" s="201"/>
      <c r="K476" s="202"/>
      <c r="L476" s="202"/>
      <c r="M476" s="192"/>
      <c r="N476" s="196"/>
    </row>
    <row r="477" spans="1:14" s="195" customFormat="1" ht="59.25" customHeight="1">
      <c r="A477" s="196"/>
      <c r="B477" s="197"/>
      <c r="C477" s="198"/>
      <c r="D477" s="199"/>
      <c r="E477" s="199"/>
      <c r="F477" s="199"/>
      <c r="G477" s="200"/>
      <c r="H477" s="201"/>
      <c r="I477" s="201"/>
      <c r="J477" s="201"/>
      <c r="K477" s="202"/>
      <c r="L477" s="202"/>
      <c r="M477" s="192"/>
      <c r="N477" s="196"/>
    </row>
    <row r="478" spans="1:14" s="195" customFormat="1" ht="59.25" customHeight="1">
      <c r="A478" s="196"/>
      <c r="B478" s="197"/>
      <c r="C478" s="198"/>
      <c r="D478" s="199"/>
      <c r="E478" s="199"/>
      <c r="F478" s="199"/>
      <c r="G478" s="200"/>
      <c r="H478" s="201"/>
      <c r="I478" s="201"/>
      <c r="J478" s="201"/>
      <c r="K478" s="202"/>
      <c r="L478" s="202"/>
      <c r="M478" s="192"/>
      <c r="N478" s="196"/>
    </row>
    <row r="479" spans="1:14" s="195" customFormat="1" ht="59.25" customHeight="1">
      <c r="A479" s="196"/>
      <c r="B479" s="197"/>
      <c r="C479" s="198"/>
      <c r="D479" s="199"/>
      <c r="E479" s="199"/>
      <c r="F479" s="199"/>
      <c r="G479" s="200"/>
      <c r="H479" s="201"/>
      <c r="I479" s="201"/>
      <c r="J479" s="201"/>
      <c r="K479" s="202"/>
      <c r="L479" s="202"/>
      <c r="M479" s="192"/>
      <c r="N479" s="196"/>
    </row>
    <row r="480" spans="1:14" s="195" customFormat="1" ht="59.25" customHeight="1">
      <c r="A480" s="196"/>
      <c r="B480" s="197"/>
      <c r="C480" s="198"/>
      <c r="D480" s="199"/>
      <c r="E480" s="199"/>
      <c r="F480" s="199"/>
      <c r="G480" s="200"/>
      <c r="H480" s="201"/>
      <c r="I480" s="201"/>
      <c r="J480" s="201"/>
      <c r="K480" s="202"/>
      <c r="L480" s="202"/>
      <c r="M480" s="192"/>
      <c r="N480" s="196"/>
    </row>
    <row r="481" spans="1:14" s="195" customFormat="1" ht="59.25" customHeight="1">
      <c r="A481" s="196"/>
      <c r="B481" s="197"/>
      <c r="C481" s="198"/>
      <c r="D481" s="199"/>
      <c r="E481" s="199"/>
      <c r="F481" s="199"/>
      <c r="G481" s="200"/>
      <c r="H481" s="201"/>
      <c r="I481" s="201"/>
      <c r="J481" s="201"/>
      <c r="K481" s="202"/>
      <c r="L481" s="202"/>
      <c r="M481" s="192"/>
      <c r="N481" s="196"/>
    </row>
    <row r="482" spans="1:14" s="195" customFormat="1" ht="59.25" customHeight="1">
      <c r="A482" s="196"/>
      <c r="B482" s="197"/>
      <c r="C482" s="198"/>
      <c r="D482" s="199"/>
      <c r="E482" s="199"/>
      <c r="F482" s="199"/>
      <c r="G482" s="200"/>
      <c r="H482" s="201"/>
      <c r="I482" s="201"/>
      <c r="J482" s="201"/>
      <c r="K482" s="202"/>
      <c r="L482" s="202"/>
      <c r="M482" s="192"/>
      <c r="N482" s="196"/>
    </row>
    <row r="483" spans="1:14" s="195" customFormat="1" ht="59.25" customHeight="1">
      <c r="A483" s="196"/>
      <c r="B483" s="197"/>
      <c r="C483" s="198"/>
      <c r="D483" s="199"/>
      <c r="E483" s="199"/>
      <c r="F483" s="199"/>
      <c r="G483" s="200"/>
      <c r="H483" s="201"/>
      <c r="I483" s="201"/>
      <c r="J483" s="201"/>
      <c r="K483" s="202"/>
      <c r="L483" s="202"/>
      <c r="M483" s="192"/>
      <c r="N483" s="196"/>
    </row>
    <row r="484" spans="1:14" s="195" customFormat="1" ht="59.25" customHeight="1">
      <c r="A484" s="196"/>
      <c r="B484" s="197"/>
      <c r="C484" s="198"/>
      <c r="D484" s="199"/>
      <c r="E484" s="199"/>
      <c r="F484" s="199"/>
      <c r="G484" s="200"/>
      <c r="H484" s="201"/>
      <c r="I484" s="201"/>
      <c r="J484" s="201"/>
      <c r="K484" s="202"/>
      <c r="L484" s="202"/>
      <c r="M484" s="192"/>
      <c r="N484" s="196"/>
    </row>
    <row r="485" spans="1:14" s="195" customFormat="1" ht="59.25" customHeight="1">
      <c r="A485" s="196"/>
      <c r="B485" s="197"/>
      <c r="C485" s="198"/>
      <c r="D485" s="199"/>
      <c r="E485" s="199"/>
      <c r="F485" s="199"/>
      <c r="G485" s="200"/>
      <c r="H485" s="201"/>
      <c r="I485" s="201"/>
      <c r="J485" s="201"/>
      <c r="K485" s="202"/>
      <c r="L485" s="202"/>
      <c r="M485" s="192"/>
      <c r="N485" s="196"/>
    </row>
    <row r="486" spans="1:14" s="195" customFormat="1" ht="59.25" customHeight="1">
      <c r="A486" s="196"/>
      <c r="B486" s="197"/>
      <c r="C486" s="198"/>
      <c r="D486" s="199"/>
      <c r="E486" s="199"/>
      <c r="F486" s="199"/>
      <c r="G486" s="200"/>
      <c r="H486" s="201"/>
      <c r="I486" s="201"/>
      <c r="J486" s="201"/>
      <c r="K486" s="202"/>
      <c r="L486" s="202"/>
      <c r="M486" s="192"/>
      <c r="N486" s="196"/>
    </row>
    <row r="487" spans="1:14" s="195" customFormat="1" ht="59.25" customHeight="1">
      <c r="A487" s="196"/>
      <c r="B487" s="197"/>
      <c r="C487" s="198"/>
      <c r="D487" s="199"/>
      <c r="E487" s="199"/>
      <c r="F487" s="199"/>
      <c r="G487" s="200"/>
      <c r="H487" s="201"/>
      <c r="I487" s="201"/>
      <c r="J487" s="201"/>
      <c r="K487" s="202"/>
      <c r="L487" s="202"/>
      <c r="M487" s="192"/>
      <c r="N487" s="196"/>
    </row>
    <row r="488" spans="1:14" s="195" customFormat="1" ht="59.25" customHeight="1">
      <c r="A488" s="196"/>
      <c r="B488" s="197"/>
      <c r="C488" s="198"/>
      <c r="D488" s="199"/>
      <c r="E488" s="199"/>
      <c r="F488" s="199"/>
      <c r="G488" s="200"/>
      <c r="H488" s="201"/>
      <c r="I488" s="201"/>
      <c r="J488" s="201"/>
      <c r="K488" s="202"/>
      <c r="L488" s="202"/>
      <c r="M488" s="192"/>
      <c r="N488" s="196"/>
    </row>
    <row r="489" spans="1:14" s="195" customFormat="1" ht="59.25" customHeight="1">
      <c r="A489" s="196"/>
      <c r="B489" s="197"/>
      <c r="C489" s="198"/>
      <c r="D489" s="199"/>
      <c r="E489" s="199"/>
      <c r="F489" s="199"/>
      <c r="G489" s="200"/>
      <c r="H489" s="237"/>
      <c r="I489" s="201"/>
      <c r="J489" s="201"/>
      <c r="K489" s="202"/>
      <c r="L489" s="202"/>
      <c r="M489" s="192"/>
      <c r="N489" s="196"/>
    </row>
    <row r="490" spans="1:14" s="195" customFormat="1" ht="59.25" customHeight="1">
      <c r="A490" s="196"/>
      <c r="B490" s="197"/>
      <c r="C490" s="198"/>
      <c r="D490" s="199"/>
      <c r="E490" s="199"/>
      <c r="F490" s="199"/>
      <c r="G490" s="200"/>
      <c r="H490" s="201"/>
      <c r="I490" s="201"/>
      <c r="J490" s="201"/>
      <c r="K490" s="202"/>
      <c r="L490" s="202"/>
      <c r="M490" s="192"/>
      <c r="N490" s="196"/>
    </row>
    <row r="491" spans="1:14" s="195" customFormat="1" ht="59.25" customHeight="1">
      <c r="A491" s="196"/>
      <c r="B491" s="197"/>
      <c r="C491" s="198"/>
      <c r="D491" s="199"/>
      <c r="E491" s="199"/>
      <c r="F491" s="199"/>
      <c r="G491" s="200"/>
      <c r="H491" s="297"/>
      <c r="I491" s="296"/>
      <c r="J491" s="201"/>
      <c r="K491" s="202"/>
      <c r="L491" s="202"/>
      <c r="M491" s="192"/>
      <c r="N491" s="196"/>
    </row>
    <row r="492" spans="1:14" s="195" customFormat="1" ht="59.25" customHeight="1">
      <c r="A492" s="196"/>
      <c r="B492" s="197"/>
      <c r="C492" s="198"/>
      <c r="D492" s="199"/>
      <c r="E492" s="199"/>
      <c r="F492" s="199"/>
      <c r="G492" s="200"/>
      <c r="H492" s="296"/>
      <c r="I492" s="299"/>
      <c r="J492" s="201"/>
      <c r="K492" s="202"/>
      <c r="L492" s="202"/>
      <c r="M492" s="192"/>
      <c r="N492" s="196"/>
    </row>
    <row r="493" spans="1:14" s="195" customFormat="1" ht="59.25" customHeight="1">
      <c r="A493" s="196"/>
      <c r="B493" s="197"/>
      <c r="C493" s="198"/>
      <c r="D493" s="199"/>
      <c r="E493" s="199"/>
      <c r="F493" s="199"/>
      <c r="G493" s="200"/>
      <c r="H493" s="297"/>
      <c r="I493" s="297"/>
      <c r="J493" s="201"/>
      <c r="K493" s="202"/>
      <c r="L493" s="202"/>
      <c r="M493" s="192"/>
      <c r="N493" s="196"/>
    </row>
    <row r="494" spans="1:14" s="195" customFormat="1" ht="59.25" customHeight="1">
      <c r="A494" s="196"/>
      <c r="B494" s="197"/>
      <c r="C494" s="198"/>
      <c r="D494" s="199"/>
      <c r="E494" s="199"/>
      <c r="F494" s="199"/>
      <c r="G494" s="200"/>
      <c r="H494" s="297"/>
      <c r="I494" s="296"/>
      <c r="J494" s="201"/>
      <c r="K494" s="202"/>
      <c r="L494" s="202"/>
      <c r="M494" s="192"/>
      <c r="N494" s="196"/>
    </row>
    <row r="495" spans="1:14" s="195" customFormat="1" ht="59.25" customHeight="1">
      <c r="A495" s="196"/>
      <c r="B495" s="197"/>
      <c r="C495" s="198"/>
      <c r="D495" s="199"/>
      <c r="E495" s="199"/>
      <c r="F495" s="199"/>
      <c r="G495" s="200"/>
      <c r="H495" s="297"/>
      <c r="I495" s="299"/>
      <c r="J495" s="201"/>
      <c r="K495" s="202"/>
      <c r="L495" s="202"/>
      <c r="M495" s="192"/>
      <c r="N495" s="196"/>
    </row>
    <row r="496" spans="1:14" s="195" customFormat="1" ht="59.25" customHeight="1">
      <c r="A496" s="196"/>
      <c r="B496" s="197"/>
      <c r="C496" s="198"/>
      <c r="D496" s="199"/>
      <c r="E496" s="199"/>
      <c r="F496" s="199"/>
      <c r="G496" s="200"/>
      <c r="H496" s="297"/>
      <c r="I496" s="299"/>
      <c r="J496" s="201"/>
      <c r="K496" s="202"/>
      <c r="L496" s="202"/>
      <c r="M496" s="192"/>
      <c r="N496" s="196"/>
    </row>
    <row r="497" spans="1:14" s="195" customFormat="1" ht="59.25" customHeight="1">
      <c r="A497" s="196"/>
      <c r="B497" s="197"/>
      <c r="C497" s="198"/>
      <c r="D497" s="199"/>
      <c r="E497" s="199"/>
      <c r="F497" s="199"/>
      <c r="G497" s="200"/>
      <c r="H497" s="297"/>
      <c r="I497" s="299"/>
      <c r="J497" s="201"/>
      <c r="K497" s="202"/>
      <c r="L497" s="202"/>
      <c r="M497" s="192"/>
      <c r="N497" s="196"/>
    </row>
    <row r="498" spans="1:14" s="195" customFormat="1" ht="59.25" customHeight="1">
      <c r="A498" s="196"/>
      <c r="B498" s="197"/>
      <c r="C498" s="198"/>
      <c r="D498" s="199"/>
      <c r="E498" s="199"/>
      <c r="F498" s="199"/>
      <c r="G498" s="200"/>
      <c r="H498" s="297"/>
      <c r="I498" s="299"/>
      <c r="J498" s="201"/>
      <c r="K498" s="202"/>
      <c r="L498" s="202"/>
      <c r="M498" s="192"/>
      <c r="N498" s="196"/>
    </row>
    <row r="499" spans="1:14" s="195" customFormat="1" ht="59.25" customHeight="1">
      <c r="A499" s="196"/>
      <c r="B499" s="197"/>
      <c r="C499" s="198"/>
      <c r="D499" s="199"/>
      <c r="E499" s="199"/>
      <c r="F499" s="199"/>
      <c r="G499" s="200"/>
      <c r="H499" s="297"/>
      <c r="I499" s="299"/>
      <c r="J499" s="201"/>
      <c r="K499" s="202"/>
      <c r="L499" s="202"/>
      <c r="M499" s="192"/>
      <c r="N499" s="196"/>
    </row>
    <row r="500" spans="1:14" s="195" customFormat="1" ht="59.25" customHeight="1">
      <c r="A500" s="196"/>
      <c r="B500" s="197"/>
      <c r="C500" s="198"/>
      <c r="D500" s="199"/>
      <c r="E500" s="199"/>
      <c r="F500" s="199"/>
      <c r="G500" s="200"/>
      <c r="H500" s="297"/>
      <c r="I500" s="299"/>
      <c r="J500" s="201"/>
      <c r="K500" s="202"/>
      <c r="L500" s="202"/>
      <c r="M500" s="192"/>
      <c r="N500" s="196"/>
    </row>
    <row r="501" spans="1:14" s="195" customFormat="1" ht="59.25" customHeight="1">
      <c r="A501" s="196"/>
      <c r="B501" s="197"/>
      <c r="C501" s="198"/>
      <c r="D501" s="199"/>
      <c r="E501" s="199"/>
      <c r="F501" s="199"/>
      <c r="G501" s="200"/>
      <c r="H501" s="297"/>
      <c r="I501" s="299"/>
      <c r="J501" s="201"/>
      <c r="K501" s="202"/>
      <c r="L501" s="202"/>
      <c r="M501" s="192"/>
      <c r="N501" s="196"/>
    </row>
    <row r="502" spans="1:14" s="195" customFormat="1" ht="59.25" customHeight="1">
      <c r="A502" s="196"/>
      <c r="B502" s="197"/>
      <c r="C502" s="198"/>
      <c r="D502" s="199"/>
      <c r="E502" s="199"/>
      <c r="F502" s="199"/>
      <c r="G502" s="200"/>
      <c r="H502" s="297"/>
      <c r="I502" s="299"/>
      <c r="J502" s="201"/>
      <c r="K502" s="202"/>
      <c r="L502" s="202"/>
      <c r="M502" s="192"/>
      <c r="N502" s="196"/>
    </row>
    <row r="503" spans="1:14" s="195" customFormat="1" ht="59.25" customHeight="1">
      <c r="A503" s="196"/>
      <c r="B503" s="197"/>
      <c r="C503" s="198"/>
      <c r="D503" s="199"/>
      <c r="E503" s="199"/>
      <c r="F503" s="199"/>
      <c r="G503" s="200"/>
      <c r="H503" s="297"/>
      <c r="I503" s="299"/>
      <c r="J503" s="201"/>
      <c r="K503" s="202"/>
      <c r="L503" s="202"/>
      <c r="M503" s="192"/>
      <c r="N503" s="196"/>
    </row>
    <row r="504" spans="1:14" s="195" customFormat="1" ht="59.25" customHeight="1">
      <c r="A504" s="196"/>
      <c r="B504" s="197"/>
      <c r="C504" s="198"/>
      <c r="D504" s="199"/>
      <c r="E504" s="199"/>
      <c r="F504" s="199"/>
      <c r="G504" s="200"/>
      <c r="H504" s="201"/>
      <c r="I504" s="299"/>
      <c r="J504" s="201"/>
      <c r="K504" s="202"/>
      <c r="L504" s="202"/>
      <c r="M504" s="192"/>
      <c r="N504" s="196"/>
    </row>
    <row r="505" spans="1:14" s="195" customFormat="1" ht="59.25" customHeight="1">
      <c r="A505" s="196"/>
      <c r="B505" s="197"/>
      <c r="C505" s="198"/>
      <c r="D505" s="199"/>
      <c r="E505" s="199"/>
      <c r="F505" s="199"/>
      <c r="G505" s="200"/>
      <c r="H505" s="201"/>
      <c r="I505" s="299"/>
      <c r="J505" s="201"/>
      <c r="K505" s="202"/>
      <c r="L505" s="202"/>
      <c r="M505" s="192"/>
      <c r="N505" s="196"/>
    </row>
    <row r="506" spans="1:14" s="195" customFormat="1" ht="59.25" customHeight="1">
      <c r="A506" s="196"/>
      <c r="B506" s="197"/>
      <c r="C506" s="198"/>
      <c r="D506" s="199"/>
      <c r="E506" s="199"/>
      <c r="F506" s="199"/>
      <c r="G506" s="200"/>
      <c r="H506" s="201"/>
      <c r="I506" s="299"/>
      <c r="J506" s="201"/>
      <c r="K506" s="202"/>
      <c r="L506" s="202"/>
      <c r="M506" s="192"/>
      <c r="N506" s="196"/>
    </row>
    <row r="507" spans="1:14" s="195" customFormat="1" ht="59.25" customHeight="1">
      <c r="A507" s="196"/>
      <c r="B507" s="197"/>
      <c r="C507" s="198"/>
      <c r="D507" s="199"/>
      <c r="E507" s="199"/>
      <c r="F507" s="199"/>
      <c r="G507" s="200"/>
      <c r="H507" s="201"/>
      <c r="I507" s="299"/>
      <c r="J507" s="201"/>
      <c r="K507" s="202"/>
      <c r="L507" s="202"/>
      <c r="M507" s="192"/>
      <c r="N507" s="196"/>
    </row>
    <row r="508" spans="1:14" s="195" customFormat="1" ht="59.25" customHeight="1">
      <c r="A508" s="196"/>
      <c r="B508" s="197"/>
      <c r="C508" s="198"/>
      <c r="D508" s="199"/>
      <c r="E508" s="199"/>
      <c r="F508" s="199"/>
      <c r="G508" s="200"/>
      <c r="H508" s="201"/>
      <c r="I508" s="299"/>
      <c r="J508" s="201"/>
      <c r="K508" s="202"/>
      <c r="L508" s="202"/>
      <c r="M508" s="192"/>
      <c r="N508" s="196"/>
    </row>
    <row r="509" spans="1:14" s="195" customFormat="1" ht="59.25" customHeight="1">
      <c r="A509" s="196"/>
      <c r="B509" s="197"/>
      <c r="C509" s="198"/>
      <c r="D509" s="199"/>
      <c r="E509" s="199"/>
      <c r="F509" s="199"/>
      <c r="G509" s="200"/>
      <c r="H509" s="201"/>
      <c r="I509" s="299"/>
      <c r="J509" s="201"/>
      <c r="K509" s="202"/>
      <c r="L509" s="202"/>
      <c r="M509" s="192"/>
      <c r="N509" s="196"/>
    </row>
    <row r="510" spans="1:14" s="195" customFormat="1" ht="59.25" customHeight="1">
      <c r="A510" s="196"/>
      <c r="B510" s="197"/>
      <c r="C510" s="198"/>
      <c r="D510" s="199"/>
      <c r="E510" s="199"/>
      <c r="F510" s="199"/>
      <c r="G510" s="200"/>
      <c r="H510" s="201"/>
      <c r="I510" s="299"/>
      <c r="J510" s="201"/>
      <c r="K510" s="202"/>
      <c r="L510" s="202"/>
      <c r="M510" s="192"/>
      <c r="N510" s="196"/>
    </row>
    <row r="511" spans="1:14" s="195" customFormat="1" ht="59.25" customHeight="1">
      <c r="A511" s="196"/>
      <c r="B511" s="197"/>
      <c r="C511" s="198"/>
      <c r="D511" s="199"/>
      <c r="E511" s="199"/>
      <c r="F511" s="199"/>
      <c r="G511" s="200"/>
      <c r="H511" s="201"/>
      <c r="I511" s="299"/>
      <c r="J511" s="201"/>
      <c r="K511" s="202"/>
      <c r="L511" s="202"/>
      <c r="M511" s="192"/>
      <c r="N511" s="196"/>
    </row>
    <row r="512" spans="1:14" s="195" customFormat="1" ht="59.25" customHeight="1">
      <c r="A512" s="196"/>
      <c r="B512" s="197"/>
      <c r="C512" s="198"/>
      <c r="D512" s="199"/>
      <c r="E512" s="199"/>
      <c r="F512" s="199"/>
      <c r="G512" s="200"/>
      <c r="H512" s="201"/>
      <c r="I512" s="299"/>
      <c r="J512" s="201"/>
      <c r="K512" s="202"/>
      <c r="L512" s="202"/>
      <c r="M512" s="192"/>
      <c r="N512" s="196"/>
    </row>
    <row r="513" spans="1:14" s="195" customFormat="1" ht="59.25" customHeight="1">
      <c r="A513" s="196"/>
      <c r="B513" s="197"/>
      <c r="C513" s="198"/>
      <c r="D513" s="199"/>
      <c r="E513" s="199"/>
      <c r="F513" s="199"/>
      <c r="G513" s="200"/>
      <c r="H513" s="201"/>
      <c r="I513" s="299"/>
      <c r="J513" s="201"/>
      <c r="K513" s="202"/>
      <c r="L513" s="202"/>
      <c r="M513" s="192"/>
      <c r="N513" s="196"/>
    </row>
    <row r="514" spans="1:14" s="195" customFormat="1" ht="59.25" customHeight="1">
      <c r="A514" s="196"/>
      <c r="B514" s="197"/>
      <c r="C514" s="198"/>
      <c r="D514" s="199"/>
      <c r="E514" s="199"/>
      <c r="F514" s="199"/>
      <c r="G514" s="200"/>
      <c r="H514" s="201"/>
      <c r="I514" s="299"/>
      <c r="J514" s="201"/>
      <c r="K514" s="202"/>
      <c r="L514" s="202"/>
      <c r="M514" s="192"/>
      <c r="N514" s="196"/>
    </row>
    <row r="515" spans="1:14" s="195" customFormat="1" ht="59.25" customHeight="1">
      <c r="A515" s="196"/>
      <c r="B515" s="197"/>
      <c r="C515" s="198"/>
      <c r="D515" s="199"/>
      <c r="E515" s="199"/>
      <c r="F515" s="199"/>
      <c r="G515" s="200"/>
      <c r="H515" s="201"/>
      <c r="I515" s="299"/>
      <c r="J515" s="201"/>
      <c r="K515" s="202"/>
      <c r="L515" s="202"/>
      <c r="M515" s="192"/>
      <c r="N515" s="196"/>
    </row>
    <row r="516" spans="1:14" s="195" customFormat="1" ht="59.25" customHeight="1">
      <c r="A516" s="196"/>
      <c r="B516" s="197"/>
      <c r="C516" s="198"/>
      <c r="D516" s="199"/>
      <c r="E516" s="199"/>
      <c r="F516" s="199"/>
      <c r="G516" s="200"/>
      <c r="H516" s="201"/>
      <c r="I516" s="299"/>
      <c r="J516" s="201"/>
      <c r="K516" s="202"/>
      <c r="L516" s="202"/>
      <c r="M516" s="192"/>
      <c r="N516" s="196"/>
    </row>
    <row r="517" spans="1:14" s="195" customFormat="1" ht="59.25" customHeight="1">
      <c r="A517" s="196"/>
      <c r="B517" s="197"/>
      <c r="C517" s="198"/>
      <c r="D517" s="199"/>
      <c r="E517" s="199"/>
      <c r="F517" s="199"/>
      <c r="G517" s="200"/>
      <c r="H517" s="201"/>
      <c r="I517" s="299"/>
      <c r="J517" s="201"/>
      <c r="K517" s="202"/>
      <c r="L517" s="202"/>
      <c r="M517" s="192"/>
      <c r="N517" s="196"/>
    </row>
    <row r="518" spans="1:14" s="195" customFormat="1" ht="59.25" customHeight="1">
      <c r="A518" s="196"/>
      <c r="B518" s="197"/>
      <c r="C518" s="198"/>
      <c r="D518" s="199"/>
      <c r="E518" s="199"/>
      <c r="F518" s="199"/>
      <c r="G518" s="200"/>
      <c r="H518" s="298"/>
      <c r="I518" s="299"/>
      <c r="J518" s="201"/>
      <c r="K518" s="202"/>
      <c r="L518" s="202"/>
      <c r="M518" s="192"/>
      <c r="N518" s="196"/>
    </row>
    <row r="519" spans="1:14" s="195" customFormat="1" ht="59.25" customHeight="1">
      <c r="A519" s="196"/>
      <c r="B519" s="197"/>
      <c r="C519" s="198"/>
      <c r="D519" s="199"/>
      <c r="E519" s="199"/>
      <c r="F519" s="199"/>
      <c r="G519" s="200"/>
      <c r="H519" s="201"/>
      <c r="I519" s="299"/>
      <c r="J519" s="201"/>
      <c r="K519" s="202"/>
      <c r="L519" s="202"/>
      <c r="M519" s="192"/>
      <c r="N519" s="196"/>
    </row>
    <row r="520" spans="1:14" s="195" customFormat="1" ht="59.25" customHeight="1">
      <c r="A520" s="196"/>
      <c r="B520" s="197"/>
      <c r="C520" s="198"/>
      <c r="D520" s="199"/>
      <c r="E520" s="199"/>
      <c r="F520" s="199"/>
      <c r="G520" s="200"/>
      <c r="H520" s="201"/>
      <c r="I520" s="298"/>
      <c r="J520" s="201"/>
      <c r="K520" s="202"/>
      <c r="L520" s="202"/>
      <c r="M520" s="192"/>
      <c r="N520" s="196"/>
    </row>
    <row r="521" spans="1:14" s="195" customFormat="1" ht="59.25" customHeight="1">
      <c r="A521" s="196"/>
      <c r="B521" s="197"/>
      <c r="C521" s="198"/>
      <c r="D521" s="199"/>
      <c r="E521" s="199"/>
      <c r="F521" s="199"/>
      <c r="G521" s="200"/>
      <c r="H521" s="201"/>
      <c r="I521" s="201"/>
      <c r="J521" s="201"/>
      <c r="K521" s="202"/>
      <c r="L521" s="202"/>
      <c r="M521" s="192"/>
      <c r="N521" s="196"/>
    </row>
    <row r="522" spans="1:14" s="195" customFormat="1" ht="59.25" customHeight="1">
      <c r="A522" s="196"/>
      <c r="B522" s="197"/>
      <c r="C522" s="198"/>
      <c r="D522" s="199"/>
      <c r="E522" s="199"/>
      <c r="F522" s="199"/>
      <c r="G522" s="200"/>
      <c r="H522" s="201"/>
      <c r="I522" s="201"/>
      <c r="J522" s="201"/>
      <c r="K522" s="202"/>
      <c r="L522" s="202"/>
      <c r="M522" s="192"/>
      <c r="N522" s="196"/>
    </row>
    <row r="523" spans="1:14" s="195" customFormat="1" ht="59.25" customHeight="1">
      <c r="A523" s="196"/>
      <c r="B523" s="197"/>
      <c r="C523" s="198"/>
      <c r="D523" s="199"/>
      <c r="E523" s="199"/>
      <c r="F523" s="199"/>
      <c r="G523" s="200"/>
      <c r="H523" s="201"/>
      <c r="I523" s="201"/>
      <c r="J523" s="201"/>
      <c r="K523" s="202"/>
      <c r="L523" s="202"/>
      <c r="M523" s="192"/>
      <c r="N523" s="196"/>
    </row>
    <row r="524" spans="1:14" s="195" customFormat="1" ht="59.25" customHeight="1">
      <c r="A524" s="196"/>
      <c r="B524" s="197"/>
      <c r="C524" s="198"/>
      <c r="D524" s="199"/>
      <c r="E524" s="199"/>
      <c r="F524" s="199"/>
      <c r="G524" s="200"/>
      <c r="H524" s="201"/>
      <c r="I524" s="201"/>
      <c r="J524" s="201"/>
      <c r="K524" s="202"/>
      <c r="L524" s="202"/>
      <c r="M524" s="192"/>
      <c r="N524" s="196"/>
    </row>
    <row r="525" spans="1:14" s="195" customFormat="1" ht="59.25" customHeight="1">
      <c r="A525" s="196"/>
      <c r="B525" s="197"/>
      <c r="C525" s="198"/>
      <c r="D525" s="199"/>
      <c r="E525" s="199"/>
      <c r="F525" s="199"/>
      <c r="G525" s="200"/>
      <c r="H525" s="201"/>
      <c r="I525" s="201"/>
      <c r="J525" s="201"/>
      <c r="K525" s="202"/>
      <c r="L525" s="202"/>
      <c r="M525" s="192"/>
      <c r="N525" s="196"/>
    </row>
    <row r="526" spans="1:14" s="195" customFormat="1" ht="59.25" customHeight="1">
      <c r="A526" s="196"/>
      <c r="B526" s="197"/>
      <c r="C526" s="198"/>
      <c r="D526" s="199"/>
      <c r="E526" s="199"/>
      <c r="F526" s="199"/>
      <c r="G526" s="200"/>
      <c r="H526" s="201"/>
      <c r="I526" s="201"/>
      <c r="J526" s="201"/>
      <c r="K526" s="202"/>
      <c r="L526" s="202"/>
      <c r="M526" s="192"/>
      <c r="N526" s="196"/>
    </row>
    <row r="527" spans="1:14" s="195" customFormat="1" ht="59.25" customHeight="1">
      <c r="A527" s="196"/>
      <c r="B527" s="197"/>
      <c r="C527" s="198"/>
      <c r="D527" s="199"/>
      <c r="E527" s="199"/>
      <c r="F527" s="199"/>
      <c r="G527" s="200"/>
      <c r="H527" s="201"/>
      <c r="I527" s="201"/>
      <c r="J527" s="201"/>
      <c r="K527" s="202"/>
      <c r="L527" s="202"/>
      <c r="M527" s="192"/>
      <c r="N527" s="196"/>
    </row>
    <row r="528" spans="1:14" s="195" customFormat="1" ht="59.25" customHeight="1">
      <c r="A528" s="196"/>
      <c r="B528" s="197"/>
      <c r="C528" s="198"/>
      <c r="D528" s="199"/>
      <c r="E528" s="199"/>
      <c r="F528" s="199"/>
      <c r="G528" s="200"/>
      <c r="H528" s="201"/>
      <c r="I528" s="201"/>
      <c r="J528" s="201"/>
      <c r="K528" s="202"/>
      <c r="L528" s="202"/>
      <c r="M528" s="192"/>
      <c r="N528" s="196"/>
    </row>
    <row r="529" spans="1:14" s="195" customFormat="1" ht="59.25" customHeight="1">
      <c r="A529" s="196"/>
      <c r="B529" s="197"/>
      <c r="C529" s="198"/>
      <c r="D529" s="199"/>
      <c r="E529" s="199"/>
      <c r="F529" s="199"/>
      <c r="G529" s="200"/>
      <c r="H529" s="201"/>
      <c r="I529" s="201"/>
      <c r="J529" s="201"/>
      <c r="K529" s="202"/>
      <c r="L529" s="202"/>
      <c r="M529" s="192"/>
      <c r="N529" s="196"/>
    </row>
    <row r="530" spans="1:14" s="195" customFormat="1" ht="59.25" customHeight="1">
      <c r="A530" s="196"/>
      <c r="B530" s="197"/>
      <c r="C530" s="198"/>
      <c r="D530" s="199"/>
      <c r="E530" s="199"/>
      <c r="F530" s="199"/>
      <c r="G530" s="200"/>
      <c r="H530" s="201"/>
      <c r="I530" s="201"/>
      <c r="J530" s="201"/>
      <c r="K530" s="202"/>
      <c r="L530" s="202"/>
      <c r="M530" s="192"/>
      <c r="N530" s="196"/>
    </row>
    <row r="531" spans="1:14" s="195" customFormat="1" ht="59.25" customHeight="1">
      <c r="A531" s="196"/>
      <c r="B531" s="197"/>
      <c r="C531" s="198"/>
      <c r="D531" s="199"/>
      <c r="E531" s="199"/>
      <c r="F531" s="199"/>
      <c r="G531" s="200"/>
      <c r="H531" s="201"/>
      <c r="I531" s="201"/>
      <c r="J531" s="201"/>
      <c r="K531" s="202"/>
      <c r="L531" s="202"/>
      <c r="M531" s="192"/>
      <c r="N531" s="196"/>
    </row>
    <row r="532" spans="1:14" s="195" customFormat="1" ht="59.25" customHeight="1">
      <c r="A532" s="196"/>
      <c r="B532" s="197"/>
      <c r="C532" s="198"/>
      <c r="D532" s="199"/>
      <c r="E532" s="199"/>
      <c r="F532" s="199"/>
      <c r="G532" s="200"/>
      <c r="H532" s="201"/>
      <c r="I532" s="201"/>
      <c r="J532" s="201"/>
      <c r="K532" s="202"/>
      <c r="L532" s="202"/>
      <c r="M532" s="192"/>
      <c r="N532" s="196"/>
    </row>
    <row r="533" spans="1:14" s="195" customFormat="1" ht="59.25" customHeight="1">
      <c r="A533" s="196"/>
      <c r="B533" s="197"/>
      <c r="C533" s="198"/>
      <c r="D533" s="199"/>
      <c r="E533" s="199"/>
      <c r="F533" s="199"/>
      <c r="G533" s="200"/>
      <c r="H533" s="201"/>
      <c r="I533" s="201"/>
      <c r="J533" s="201"/>
      <c r="K533" s="202"/>
      <c r="L533" s="202"/>
      <c r="M533" s="192"/>
      <c r="N533" s="196"/>
    </row>
    <row r="534" spans="1:14" s="195" customFormat="1" ht="59.25" customHeight="1">
      <c r="A534" s="196"/>
      <c r="B534" s="197"/>
      <c r="C534" s="198"/>
      <c r="D534" s="199"/>
      <c r="E534" s="199"/>
      <c r="F534" s="199"/>
      <c r="G534" s="200"/>
      <c r="H534" s="201"/>
      <c r="I534" s="201"/>
      <c r="J534" s="201"/>
      <c r="K534" s="202"/>
      <c r="L534" s="202"/>
      <c r="M534" s="192"/>
      <c r="N534" s="196"/>
    </row>
    <row r="535" spans="1:14" s="195" customFormat="1" ht="59.25" customHeight="1">
      <c r="A535" s="196"/>
      <c r="B535" s="197"/>
      <c r="C535" s="198"/>
      <c r="D535" s="199"/>
      <c r="E535" s="199"/>
      <c r="F535" s="199"/>
      <c r="G535" s="200"/>
      <c r="H535" s="201"/>
      <c r="I535" s="201"/>
      <c r="J535" s="201"/>
      <c r="K535" s="202"/>
      <c r="L535" s="202"/>
      <c r="M535" s="192"/>
      <c r="N535" s="196"/>
    </row>
    <row r="536" spans="1:14" s="195" customFormat="1" ht="59.25" customHeight="1">
      <c r="A536" s="196"/>
      <c r="B536" s="197"/>
      <c r="C536" s="198"/>
      <c r="D536" s="199"/>
      <c r="E536" s="199"/>
      <c r="F536" s="199"/>
      <c r="G536" s="200"/>
      <c r="H536" s="201"/>
      <c r="I536" s="201"/>
      <c r="J536" s="201"/>
      <c r="K536" s="202"/>
      <c r="L536" s="202"/>
      <c r="M536" s="192"/>
      <c r="N536" s="196"/>
    </row>
    <row r="537" spans="1:14" s="195" customFormat="1" ht="59.25" customHeight="1">
      <c r="A537" s="196"/>
      <c r="B537" s="197"/>
      <c r="C537" s="198"/>
      <c r="D537" s="199"/>
      <c r="E537" s="199"/>
      <c r="F537" s="199"/>
      <c r="G537" s="200"/>
      <c r="H537" s="201"/>
      <c r="I537" s="201"/>
      <c r="J537" s="201"/>
      <c r="K537" s="202"/>
      <c r="L537" s="202"/>
      <c r="M537" s="192"/>
      <c r="N537" s="196"/>
    </row>
    <row r="538" spans="1:14" s="195" customFormat="1" ht="59.25" customHeight="1">
      <c r="A538" s="196"/>
      <c r="B538" s="197"/>
      <c r="C538" s="198"/>
      <c r="D538" s="199"/>
      <c r="E538" s="199"/>
      <c r="F538" s="199"/>
      <c r="G538" s="200"/>
      <c r="H538" s="201"/>
      <c r="I538" s="201"/>
      <c r="J538" s="201"/>
      <c r="K538" s="202"/>
      <c r="L538" s="202"/>
      <c r="M538" s="192"/>
      <c r="N538" s="196"/>
    </row>
  </sheetData>
  <mergeCells count="32">
    <mergeCell ref="B1:L1"/>
    <mergeCell ref="A2:M2"/>
    <mergeCell ref="A3:M3"/>
    <mergeCell ref="A4:M4"/>
    <mergeCell ref="A5:M5"/>
    <mergeCell ref="A7:B7"/>
    <mergeCell ref="C7:E7"/>
    <mergeCell ref="H7:I7"/>
    <mergeCell ref="J7:K7"/>
    <mergeCell ref="C9:E9"/>
    <mergeCell ref="G9:I9"/>
    <mergeCell ref="J9:K9"/>
    <mergeCell ref="C11:E11"/>
    <mergeCell ref="G11:I11"/>
    <mergeCell ref="J11:K11"/>
    <mergeCell ref="L19:M19"/>
    <mergeCell ref="A21:E21"/>
    <mergeCell ref="A259:C259"/>
    <mergeCell ref="A274:E274"/>
    <mergeCell ref="A308:E308"/>
    <mergeCell ref="G313:K313"/>
    <mergeCell ref="A19:A20"/>
    <mergeCell ref="B19:B20"/>
    <mergeCell ref="C19:C20"/>
    <mergeCell ref="D19:D20"/>
    <mergeCell ref="E19:E20"/>
    <mergeCell ref="F19:F20"/>
    <mergeCell ref="G19:G20"/>
    <mergeCell ref="H19:H20"/>
    <mergeCell ref="I19:I20"/>
    <mergeCell ref="J19:J20"/>
    <mergeCell ref="K19:K20"/>
  </mergeCells>
  <phoneticPr fontId="119" type="noConversion"/>
  <printOptions horizontalCentered="1"/>
  <pageMargins left="0.4" right="0.2" top="0.40748031499999998" bottom="0.15748031496063" header="0.15748031496063" footer="0.15748031496063"/>
  <pageSetup paperSize="9" scale="27" fitToHeight="0" orientation="landscape" r:id="rId1"/>
  <rowBreaks count="1" manualBreakCount="1">
    <brk id="294"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FD133"/>
  <sheetViews>
    <sheetView topLeftCell="A51" zoomScale="60" zoomScaleNormal="60" workbookViewId="0">
      <selection activeCell="F38" sqref="F38"/>
    </sheetView>
  </sheetViews>
  <sheetFormatPr defaultColWidth="9.140625" defaultRowHeight="15"/>
  <cols>
    <col min="1" max="1" width="8.42578125" style="102" customWidth="1"/>
    <col min="2" max="2" width="20.85546875" style="102" customWidth="1"/>
    <col min="3" max="3" width="12.5703125" style="103" customWidth="1"/>
    <col min="4" max="4" width="26.140625" style="102" customWidth="1"/>
    <col min="5" max="5" width="20.42578125" style="103" customWidth="1"/>
    <col min="6" max="6" width="9.5703125" style="102" customWidth="1"/>
    <col min="7" max="7" width="10.42578125" style="103" customWidth="1"/>
    <col min="8" max="8" width="10.85546875" style="103" customWidth="1"/>
    <col min="9" max="10" width="10.85546875" style="104" customWidth="1"/>
    <col min="11" max="11" width="12.7109375" style="103" customWidth="1"/>
    <col min="12" max="15" width="10.85546875" style="103" customWidth="1"/>
    <col min="16" max="19" width="9.5703125" style="103" customWidth="1"/>
    <col min="20" max="20" width="25.28515625" style="103" customWidth="1"/>
    <col min="21" max="24" width="8.42578125" style="103" customWidth="1"/>
    <col min="25" max="25" width="16.5703125" style="103" customWidth="1"/>
    <col min="26" max="26" width="15.85546875" style="103" customWidth="1"/>
    <col min="27" max="27" width="16.140625" style="105" customWidth="1"/>
    <col min="28" max="28" width="35" style="102" customWidth="1"/>
    <col min="29" max="29" width="9.140625" style="102"/>
    <col min="30" max="30" width="26.5703125" style="102" customWidth="1"/>
    <col min="31" max="16384" width="9.140625" style="102"/>
  </cols>
  <sheetData>
    <row r="1" spans="1:28" s="93" customFormat="1" ht="96.75" customHeight="1">
      <c r="A1" s="675" t="s">
        <v>65</v>
      </c>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B1" s="675"/>
    </row>
    <row r="2" spans="1:28" s="93" customFormat="1" ht="44.25" customHeight="1">
      <c r="A2" s="675" t="s">
        <v>361</v>
      </c>
      <c r="B2" s="675"/>
      <c r="C2" s="675"/>
      <c r="D2" s="675"/>
      <c r="E2" s="675"/>
      <c r="F2" s="675"/>
      <c r="G2" s="675"/>
      <c r="H2" s="675"/>
      <c r="I2" s="675"/>
      <c r="J2" s="675"/>
      <c r="K2" s="675"/>
      <c r="L2" s="675"/>
      <c r="M2" s="675"/>
      <c r="N2" s="675"/>
      <c r="O2" s="675"/>
      <c r="P2" s="675"/>
      <c r="Q2" s="675"/>
      <c r="R2" s="675"/>
      <c r="S2" s="675"/>
      <c r="T2" s="675"/>
      <c r="U2" s="675"/>
      <c r="V2" s="675"/>
      <c r="W2" s="675"/>
      <c r="X2" s="675"/>
      <c r="Y2" s="675"/>
      <c r="Z2" s="675"/>
      <c r="AA2" s="675"/>
      <c r="AB2" s="675"/>
    </row>
    <row r="3" spans="1:28" s="93" customFormat="1" ht="25.5" customHeight="1">
      <c r="A3" s="673" t="s">
        <v>362</v>
      </c>
      <c r="B3" s="673"/>
      <c r="C3" s="673"/>
      <c r="D3" s="673"/>
      <c r="E3" s="673"/>
      <c r="F3" s="673"/>
      <c r="G3" s="673"/>
      <c r="H3" s="673"/>
      <c r="I3" s="673"/>
      <c r="J3" s="673"/>
      <c r="K3" s="673"/>
      <c r="L3" s="673"/>
      <c r="M3" s="673"/>
      <c r="N3" s="673"/>
      <c r="O3" s="673"/>
      <c r="P3" s="673"/>
      <c r="Q3" s="673"/>
      <c r="R3" s="673"/>
      <c r="S3" s="673"/>
      <c r="T3" s="673"/>
      <c r="U3" s="673"/>
      <c r="V3" s="673"/>
      <c r="W3" s="673"/>
      <c r="X3" s="673"/>
      <c r="Y3" s="673"/>
      <c r="Z3" s="673"/>
      <c r="AA3" s="673"/>
      <c r="AB3" s="673"/>
    </row>
    <row r="4" spans="1:28" s="93" customFormat="1" ht="17.25" customHeight="1">
      <c r="A4" s="107"/>
      <c r="B4" s="108"/>
      <c r="C4" s="71"/>
      <c r="D4" s="71"/>
      <c r="E4" s="71"/>
      <c r="F4" s="71"/>
      <c r="G4" s="71"/>
      <c r="H4" s="71"/>
      <c r="I4" s="141"/>
      <c r="J4" s="141"/>
      <c r="K4" s="71"/>
      <c r="L4" s="71"/>
      <c r="M4" s="71"/>
      <c r="N4" s="71"/>
      <c r="O4" s="71"/>
      <c r="P4" s="71"/>
      <c r="Q4" s="71"/>
      <c r="R4" s="71"/>
      <c r="S4" s="71"/>
      <c r="T4" s="155"/>
      <c r="U4" s="155"/>
      <c r="V4" s="155"/>
      <c r="W4" s="155"/>
      <c r="X4" s="155"/>
      <c r="Y4" s="155"/>
      <c r="Z4" s="155"/>
      <c r="AA4" s="155"/>
      <c r="AB4" s="107"/>
    </row>
    <row r="5" spans="1:28" s="94" customFormat="1" ht="24.75" customHeight="1">
      <c r="A5" s="109"/>
      <c r="B5" s="110" t="s">
        <v>67</v>
      </c>
      <c r="C5" s="812" t="s">
        <v>101</v>
      </c>
      <c r="D5" s="813"/>
      <c r="E5" s="814"/>
      <c r="F5" s="813"/>
      <c r="G5" s="813"/>
      <c r="H5" s="815"/>
      <c r="I5" s="142"/>
      <c r="J5" s="822"/>
      <c r="K5" s="822"/>
      <c r="L5" s="822"/>
      <c r="M5" s="822"/>
      <c r="N5" s="823" t="s">
        <v>363</v>
      </c>
      <c r="O5" s="824"/>
      <c r="P5" s="824"/>
      <c r="Q5" s="824"/>
      <c r="R5" s="824"/>
      <c r="S5" s="824"/>
      <c r="T5" s="824"/>
      <c r="U5" s="825">
        <v>46113</v>
      </c>
      <c r="V5" s="825"/>
      <c r="W5" s="825"/>
      <c r="X5" s="825"/>
      <c r="Y5" s="825"/>
      <c r="Z5" s="825"/>
      <c r="AA5" s="825"/>
      <c r="AB5" s="109"/>
    </row>
    <row r="6" spans="1:28" s="94" customFormat="1" ht="9" customHeight="1">
      <c r="A6" s="109"/>
      <c r="B6" s="110"/>
      <c r="C6" s="111"/>
      <c r="D6" s="112"/>
      <c r="E6" s="123"/>
      <c r="F6" s="112"/>
      <c r="G6" s="112"/>
      <c r="H6" s="112"/>
      <c r="I6" s="142"/>
      <c r="J6" s="142"/>
      <c r="K6" s="111"/>
      <c r="L6" s="111"/>
      <c r="M6" s="111"/>
      <c r="N6" s="110"/>
      <c r="O6" s="110"/>
      <c r="P6" s="110"/>
      <c r="Q6" s="110"/>
      <c r="R6" s="110"/>
      <c r="S6" s="110"/>
      <c r="T6" s="110"/>
      <c r="U6" s="110"/>
      <c r="V6" s="110"/>
      <c r="W6" s="110"/>
      <c r="X6" s="110"/>
      <c r="Y6" s="111"/>
      <c r="Z6" s="110"/>
      <c r="AA6" s="110"/>
      <c r="AB6" s="109"/>
    </row>
    <row r="7" spans="1:28" s="94" customFormat="1" ht="27.75" customHeight="1">
      <c r="A7" s="109"/>
      <c r="B7" s="110" t="s">
        <v>228</v>
      </c>
      <c r="C7" s="812" t="s">
        <v>105</v>
      </c>
      <c r="D7" s="813"/>
      <c r="E7" s="814"/>
      <c r="F7" s="813"/>
      <c r="G7" s="813"/>
      <c r="H7" s="815"/>
      <c r="I7" s="142"/>
      <c r="J7" s="816"/>
      <c r="K7" s="816"/>
      <c r="L7" s="816"/>
      <c r="M7" s="816"/>
      <c r="N7" s="817" t="s">
        <v>364</v>
      </c>
      <c r="O7" s="817"/>
      <c r="P7" s="817"/>
      <c r="Q7" s="817"/>
      <c r="R7" s="817"/>
      <c r="S7" s="817"/>
      <c r="T7" s="817"/>
      <c r="U7" s="818">
        <f>[15]BEMSdar!E11</f>
        <v>1437864.7725</v>
      </c>
      <c r="V7" s="819"/>
      <c r="W7" s="819"/>
      <c r="X7" s="819"/>
      <c r="Y7" s="819"/>
      <c r="Z7" s="819"/>
      <c r="AA7" s="820"/>
      <c r="AB7" s="109"/>
    </row>
    <row r="8" spans="1:28" s="94" customFormat="1" ht="9" customHeight="1">
      <c r="A8" s="109"/>
      <c r="B8" s="110"/>
      <c r="C8" s="111"/>
      <c r="D8" s="112"/>
      <c r="E8" s="123"/>
      <c r="F8" s="112"/>
      <c r="G8" s="112"/>
      <c r="H8" s="112"/>
      <c r="I8" s="142"/>
      <c r="J8" s="142"/>
      <c r="K8" s="111"/>
      <c r="L8" s="111"/>
      <c r="M8" s="111"/>
      <c r="N8" s="150"/>
      <c r="O8" s="150"/>
      <c r="P8" s="150"/>
      <c r="Q8" s="150"/>
      <c r="R8" s="150"/>
      <c r="S8" s="150"/>
      <c r="T8" s="150"/>
      <c r="U8" s="110"/>
      <c r="V8" s="110"/>
      <c r="W8" s="110"/>
      <c r="X8" s="110"/>
      <c r="Y8" s="111"/>
      <c r="Z8" s="110"/>
      <c r="AA8" s="110"/>
      <c r="AB8" s="109"/>
    </row>
    <row r="9" spans="1:28" s="94" customFormat="1" ht="33" customHeight="1">
      <c r="A9" s="109"/>
      <c r="B9" s="110" t="s">
        <v>229</v>
      </c>
      <c r="C9" s="812" t="s">
        <v>108</v>
      </c>
      <c r="D9" s="813"/>
      <c r="E9" s="814"/>
      <c r="F9" s="813"/>
      <c r="G9" s="813"/>
      <c r="H9" s="815"/>
      <c r="I9" s="142"/>
      <c r="J9" s="816"/>
      <c r="K9" s="816"/>
      <c r="L9" s="816"/>
      <c r="M9" s="816"/>
      <c r="N9" s="817" t="s">
        <v>365</v>
      </c>
      <c r="O9" s="817"/>
      <c r="P9" s="817"/>
      <c r="Q9" s="817"/>
      <c r="R9" s="817"/>
      <c r="S9" s="817"/>
      <c r="T9" s="817"/>
      <c r="U9" s="821">
        <f>[15]BEMSdar!E13</f>
        <v>36868.327499999999</v>
      </c>
      <c r="V9" s="821"/>
      <c r="W9" s="821"/>
      <c r="X9" s="821"/>
      <c r="Y9" s="821"/>
      <c r="Z9" s="821"/>
      <c r="AA9" s="821"/>
      <c r="AB9" s="109"/>
    </row>
    <row r="10" spans="1:28" s="95" customFormat="1" ht="22.5" customHeight="1">
      <c r="A10" s="113"/>
      <c r="B10" s="113"/>
      <c r="C10" s="114"/>
      <c r="D10" s="115"/>
      <c r="E10" s="124"/>
      <c r="F10" s="125"/>
      <c r="G10" s="114"/>
      <c r="H10" s="114"/>
      <c r="I10" s="143"/>
      <c r="J10" s="144"/>
      <c r="K10" s="114"/>
      <c r="L10" s="145"/>
      <c r="M10" s="151"/>
      <c r="N10" s="114"/>
      <c r="O10" s="114"/>
      <c r="P10" s="114"/>
      <c r="Q10" s="114"/>
      <c r="R10" s="114"/>
      <c r="S10" s="114"/>
      <c r="T10" s="114"/>
      <c r="U10" s="111"/>
      <c r="V10" s="114"/>
      <c r="W10" s="114"/>
      <c r="X10" s="114"/>
      <c r="Y10" s="114"/>
      <c r="Z10" s="114"/>
      <c r="AA10" s="114"/>
      <c r="AB10" s="113"/>
    </row>
    <row r="11" spans="1:28" s="94" customFormat="1" ht="18">
      <c r="A11" s="810" t="s">
        <v>112</v>
      </c>
      <c r="B11" s="810"/>
      <c r="C11" s="810"/>
      <c r="D11" s="810"/>
      <c r="E11" s="811"/>
      <c r="F11" s="810"/>
      <c r="G11" s="810"/>
      <c r="H11" s="810"/>
      <c r="I11" s="810"/>
      <c r="J11" s="810"/>
      <c r="K11" s="810"/>
      <c r="L11" s="810"/>
      <c r="M11" s="810"/>
      <c r="N11" s="111"/>
      <c r="O11" s="111"/>
      <c r="P11" s="152"/>
      <c r="Q11" s="111"/>
      <c r="R11" s="111"/>
      <c r="S11" s="111"/>
      <c r="T11" s="111"/>
      <c r="U11" s="111"/>
      <c r="V11" s="111"/>
      <c r="W11" s="111"/>
      <c r="X11" s="111"/>
      <c r="Y11" s="111"/>
      <c r="Z11" s="111"/>
      <c r="AA11" s="111"/>
      <c r="AB11" s="109"/>
    </row>
    <row r="12" spans="1:28" s="94" customFormat="1" ht="18">
      <c r="A12" s="810" t="s">
        <v>113</v>
      </c>
      <c r="B12" s="810"/>
      <c r="C12" s="810"/>
      <c r="D12" s="810"/>
      <c r="E12" s="811"/>
      <c r="F12" s="810"/>
      <c r="G12" s="810"/>
      <c r="H12" s="810"/>
      <c r="I12" s="810"/>
      <c r="J12" s="810"/>
      <c r="K12" s="810"/>
      <c r="L12" s="810"/>
      <c r="M12" s="810"/>
      <c r="N12" s="111"/>
      <c r="O12" s="111"/>
      <c r="P12" s="152"/>
      <c r="Q12" s="111"/>
      <c r="R12" s="111"/>
      <c r="S12" s="111"/>
      <c r="T12" s="111"/>
      <c r="U12" s="111"/>
      <c r="V12" s="111"/>
      <c r="W12" s="111"/>
      <c r="X12" s="111"/>
      <c r="Y12" s="111"/>
      <c r="Z12" s="111"/>
      <c r="AA12" s="111"/>
      <c r="AB12" s="109"/>
    </row>
    <row r="13" spans="1:28" s="94" customFormat="1" ht="18">
      <c r="A13" s="810" t="s">
        <v>366</v>
      </c>
      <c r="B13" s="810"/>
      <c r="C13" s="810"/>
      <c r="D13" s="810"/>
      <c r="E13" s="811"/>
      <c r="F13" s="810"/>
      <c r="G13" s="810"/>
      <c r="H13" s="810"/>
      <c r="I13" s="810"/>
      <c r="J13" s="810"/>
      <c r="K13" s="810"/>
      <c r="L13" s="810"/>
      <c r="M13" s="810"/>
      <c r="N13" s="111"/>
      <c r="O13" s="111"/>
      <c r="P13" s="152"/>
      <c r="Q13" s="111"/>
      <c r="R13" s="111"/>
      <c r="S13" s="111"/>
      <c r="T13" s="111"/>
      <c r="U13" s="111"/>
      <c r="V13" s="111"/>
      <c r="W13" s="111"/>
      <c r="X13" s="111"/>
      <c r="Y13" s="111"/>
      <c r="Z13" s="111"/>
      <c r="AA13" s="111"/>
      <c r="AB13" s="109"/>
    </row>
    <row r="14" spans="1:28" s="94" customFormat="1" ht="18">
      <c r="A14" s="810" t="s">
        <v>367</v>
      </c>
      <c r="B14" s="810"/>
      <c r="C14" s="810"/>
      <c r="D14" s="810"/>
      <c r="E14" s="811"/>
      <c r="F14" s="810"/>
      <c r="G14" s="810"/>
      <c r="H14" s="810"/>
      <c r="I14" s="810"/>
      <c r="J14" s="810"/>
      <c r="K14" s="810"/>
      <c r="L14" s="810"/>
      <c r="M14" s="810"/>
      <c r="N14" s="111"/>
      <c r="O14" s="111"/>
      <c r="P14" s="152"/>
      <c r="Q14" s="111"/>
      <c r="R14" s="111"/>
      <c r="S14" s="111"/>
      <c r="T14" s="111"/>
      <c r="U14" s="111"/>
      <c r="V14" s="111"/>
      <c r="W14" s="111"/>
      <c r="X14" s="111"/>
      <c r="Y14" s="111"/>
      <c r="Z14" s="111"/>
      <c r="AA14" s="111"/>
      <c r="AB14" s="109"/>
    </row>
    <row r="15" spans="1:28" s="94" customFormat="1" ht="15" customHeight="1">
      <c r="A15" s="810" t="s">
        <v>232</v>
      </c>
      <c r="B15" s="810"/>
      <c r="C15" s="810"/>
      <c r="D15" s="810"/>
      <c r="E15" s="811"/>
      <c r="F15" s="810"/>
      <c r="G15" s="810"/>
      <c r="H15" s="810"/>
      <c r="I15" s="810"/>
      <c r="J15" s="810"/>
      <c r="K15" s="810"/>
      <c r="L15" s="810"/>
      <c r="M15" s="810"/>
      <c r="N15" s="111"/>
      <c r="O15" s="111"/>
      <c r="P15" s="152"/>
      <c r="Q15" s="111"/>
      <c r="R15" s="111"/>
      <c r="S15" s="111"/>
      <c r="T15" s="111"/>
      <c r="U15" s="111"/>
      <c r="V15" s="111"/>
      <c r="W15" s="111"/>
      <c r="X15" s="111"/>
      <c r="Y15" s="111"/>
      <c r="Z15" s="111"/>
      <c r="AA15" s="111"/>
      <c r="AB15" s="109"/>
    </row>
    <row r="16" spans="1:28" s="96" customFormat="1" ht="18">
      <c r="A16" s="116"/>
      <c r="C16" s="117"/>
      <c r="D16" s="116"/>
      <c r="E16" s="117"/>
      <c r="F16" s="116"/>
      <c r="G16" s="117"/>
      <c r="H16" s="117"/>
      <c r="I16" s="146"/>
      <c r="J16" s="146"/>
      <c r="K16" s="117"/>
      <c r="L16" s="117"/>
      <c r="M16" s="117"/>
      <c r="N16" s="117"/>
      <c r="O16" s="117"/>
      <c r="P16" s="117"/>
      <c r="Q16" s="117"/>
      <c r="R16" s="117"/>
      <c r="S16" s="117"/>
      <c r="T16" s="117"/>
      <c r="U16" s="117"/>
      <c r="V16" s="117"/>
      <c r="W16" s="117"/>
      <c r="X16" s="117"/>
      <c r="Y16" s="117"/>
      <c r="Z16" s="117"/>
      <c r="AA16" s="168"/>
      <c r="AB16" s="116"/>
    </row>
    <row r="17" spans="1:28" s="96" customFormat="1" ht="48.95" customHeight="1">
      <c r="A17" s="804" t="s">
        <v>368</v>
      </c>
      <c r="B17" s="804" t="s">
        <v>118</v>
      </c>
      <c r="C17" s="804" t="s">
        <v>369</v>
      </c>
      <c r="D17" s="804" t="s">
        <v>370</v>
      </c>
      <c r="E17" s="806" t="s">
        <v>371</v>
      </c>
      <c r="F17" s="808" t="s">
        <v>372</v>
      </c>
      <c r="G17" s="808" t="s">
        <v>373</v>
      </c>
      <c r="H17" s="797" t="s">
        <v>374</v>
      </c>
      <c r="I17" s="797"/>
      <c r="J17" s="797"/>
      <c r="K17" s="797"/>
      <c r="L17" s="797"/>
      <c r="M17" s="797"/>
      <c r="N17" s="797"/>
      <c r="O17" s="797"/>
      <c r="P17" s="797"/>
      <c r="Q17" s="797"/>
      <c r="R17" s="797"/>
      <c r="S17" s="797"/>
      <c r="T17" s="798" t="s">
        <v>375</v>
      </c>
      <c r="U17" s="798" t="s">
        <v>376</v>
      </c>
      <c r="V17" s="798"/>
      <c r="W17" s="798" t="s">
        <v>377</v>
      </c>
      <c r="X17" s="798"/>
      <c r="Y17" s="799" t="s">
        <v>133</v>
      </c>
      <c r="Z17" s="799"/>
      <c r="AA17" s="795" t="s">
        <v>378</v>
      </c>
      <c r="AB17" s="796" t="s">
        <v>379</v>
      </c>
    </row>
    <row r="18" spans="1:28" s="97" customFormat="1" ht="20.45" customHeight="1">
      <c r="A18" s="805"/>
      <c r="B18" s="805"/>
      <c r="C18" s="805"/>
      <c r="D18" s="805"/>
      <c r="E18" s="807"/>
      <c r="F18" s="809"/>
      <c r="G18" s="809"/>
      <c r="H18" s="126" t="s">
        <v>380</v>
      </c>
      <c r="I18" s="147" t="s">
        <v>381</v>
      </c>
      <c r="J18" s="147" t="s">
        <v>382</v>
      </c>
      <c r="K18" s="126" t="s">
        <v>383</v>
      </c>
      <c r="L18" s="126" t="s">
        <v>384</v>
      </c>
      <c r="M18" s="126" t="s">
        <v>385</v>
      </c>
      <c r="N18" s="126" t="s">
        <v>386</v>
      </c>
      <c r="O18" s="126" t="s">
        <v>387</v>
      </c>
      <c r="P18" s="126" t="s">
        <v>388</v>
      </c>
      <c r="Q18" s="126" t="s">
        <v>389</v>
      </c>
      <c r="R18" s="126" t="s">
        <v>390</v>
      </c>
      <c r="S18" s="126" t="s">
        <v>391</v>
      </c>
      <c r="T18" s="798"/>
      <c r="U18" s="156" t="s">
        <v>392</v>
      </c>
      <c r="V18" s="156" t="s">
        <v>393</v>
      </c>
      <c r="W18" s="156" t="s">
        <v>392</v>
      </c>
      <c r="X18" s="156" t="s">
        <v>393</v>
      </c>
      <c r="Y18" s="126" t="s">
        <v>392</v>
      </c>
      <c r="Z18" s="169" t="s">
        <v>393</v>
      </c>
      <c r="AA18" s="795"/>
      <c r="AB18" s="796"/>
    </row>
    <row r="19" spans="1:28" s="98" customFormat="1" ht="65.099999999999994" customHeight="1">
      <c r="A19" s="118">
        <v>1</v>
      </c>
      <c r="B19" s="119" t="s">
        <v>255</v>
      </c>
      <c r="C19" s="118" t="s">
        <v>394</v>
      </c>
      <c r="D19" s="120" t="s">
        <v>240</v>
      </c>
      <c r="E19" s="127">
        <v>4510</v>
      </c>
      <c r="F19" s="128">
        <v>13</v>
      </c>
      <c r="G19" s="129">
        <v>88</v>
      </c>
      <c r="H19" s="130">
        <v>99.8273296782843</v>
      </c>
      <c r="I19" s="130">
        <v>99.78</v>
      </c>
      <c r="J19" s="516" t="s">
        <v>223</v>
      </c>
      <c r="K19" s="516" t="s">
        <v>223</v>
      </c>
      <c r="L19" s="130"/>
      <c r="M19" s="153"/>
      <c r="N19" s="130"/>
      <c r="O19" s="130"/>
      <c r="P19" s="130"/>
      <c r="Q19" s="130"/>
      <c r="R19" s="130"/>
      <c r="S19" s="130"/>
      <c r="T19" s="157">
        <f>ROUNDUP((E19/4999.99)*10,-1)</f>
        <v>10</v>
      </c>
      <c r="U19" s="159" t="s">
        <v>139</v>
      </c>
      <c r="V19" s="159" t="s">
        <v>139</v>
      </c>
      <c r="W19" s="159" t="s">
        <v>139</v>
      </c>
      <c r="X19" s="159" t="s">
        <v>139</v>
      </c>
      <c r="Y19" s="170">
        <f>IF(W19="Y",T19,0)</f>
        <v>0</v>
      </c>
      <c r="Z19" s="170">
        <f>IF(X19="Y",T19*2,0)</f>
        <v>0</v>
      </c>
      <c r="AA19" s="170">
        <f>Y19+Z19</f>
        <v>0</v>
      </c>
      <c r="AB19" s="171"/>
    </row>
    <row r="20" spans="1:28" s="98" customFormat="1" ht="65.099999999999994" customHeight="1">
      <c r="A20" s="118">
        <v>2</v>
      </c>
      <c r="B20" s="119" t="s">
        <v>252</v>
      </c>
      <c r="C20" s="118" t="s">
        <v>395</v>
      </c>
      <c r="D20" s="120" t="s">
        <v>144</v>
      </c>
      <c r="E20" s="131">
        <v>10825</v>
      </c>
      <c r="F20" s="128">
        <v>13</v>
      </c>
      <c r="G20" s="129">
        <v>88</v>
      </c>
      <c r="H20" s="130">
        <v>99.961970644887998</v>
      </c>
      <c r="I20" s="130">
        <v>99.93</v>
      </c>
      <c r="J20" s="516" t="s">
        <v>223</v>
      </c>
      <c r="K20" s="516" t="s">
        <v>223</v>
      </c>
      <c r="L20" s="130"/>
      <c r="M20" s="153"/>
      <c r="N20" s="130"/>
      <c r="O20" s="130"/>
      <c r="P20" s="130"/>
      <c r="Q20" s="130"/>
      <c r="R20" s="130"/>
      <c r="S20" s="130"/>
      <c r="T20" s="157">
        <f t="shared" ref="T20:T38" si="0">ROUNDUP((E20/4999.99)*10,-1)</f>
        <v>30</v>
      </c>
      <c r="U20" s="160" t="s">
        <v>139</v>
      </c>
      <c r="V20" s="159" t="s">
        <v>139</v>
      </c>
      <c r="W20" s="161" t="s">
        <v>139</v>
      </c>
      <c r="X20" s="161" t="s">
        <v>139</v>
      </c>
      <c r="Y20" s="170">
        <f t="shared" ref="Y20:Y37" si="1">IF(W20="Y",T20,0)</f>
        <v>0</v>
      </c>
      <c r="Z20" s="170">
        <f>IF(X20="Y",T20*2,0)</f>
        <v>0</v>
      </c>
      <c r="AA20" s="170">
        <f t="shared" ref="AA20:AA37" si="2">Y20+Z20</f>
        <v>0</v>
      </c>
      <c r="AB20" s="172"/>
    </row>
    <row r="21" spans="1:28" s="98" customFormat="1" ht="65.099999999999994" customHeight="1">
      <c r="A21" s="118">
        <v>3</v>
      </c>
      <c r="B21" s="119" t="s">
        <v>396</v>
      </c>
      <c r="C21" s="118" t="s">
        <v>395</v>
      </c>
      <c r="D21" s="120" t="s">
        <v>144</v>
      </c>
      <c r="E21" s="131">
        <v>5800</v>
      </c>
      <c r="F21" s="118">
        <v>8</v>
      </c>
      <c r="G21" s="129">
        <v>95</v>
      </c>
      <c r="H21" s="130">
        <v>99.962034016285202</v>
      </c>
      <c r="I21" s="130">
        <v>99.93</v>
      </c>
      <c r="J21" s="516" t="s">
        <v>223</v>
      </c>
      <c r="K21" s="516" t="s">
        <v>223</v>
      </c>
      <c r="L21" s="130"/>
      <c r="M21" s="153"/>
      <c r="N21" s="130"/>
      <c r="O21" s="130"/>
      <c r="P21" s="130"/>
      <c r="Q21" s="130"/>
      <c r="R21" s="130"/>
      <c r="S21" s="130"/>
      <c r="T21" s="157">
        <f t="shared" si="0"/>
        <v>20</v>
      </c>
      <c r="U21" s="160" t="s">
        <v>140</v>
      </c>
      <c r="V21" s="159" t="s">
        <v>140</v>
      </c>
      <c r="W21" s="161" t="s">
        <v>139</v>
      </c>
      <c r="X21" s="161" t="s">
        <v>139</v>
      </c>
      <c r="Y21" s="170">
        <f t="shared" si="1"/>
        <v>0</v>
      </c>
      <c r="Z21" s="170">
        <f t="shared" ref="Z21:Z37" si="3">IF(X21="Y",T21*2,0)</f>
        <v>0</v>
      </c>
      <c r="AA21" s="170">
        <f t="shared" si="2"/>
        <v>0</v>
      </c>
      <c r="AB21" s="172"/>
    </row>
    <row r="22" spans="1:28" s="98" customFormat="1" ht="65.099999999999994" customHeight="1">
      <c r="A22" s="118">
        <v>4</v>
      </c>
      <c r="B22" s="119" t="s">
        <v>397</v>
      </c>
      <c r="C22" s="119" t="s">
        <v>395</v>
      </c>
      <c r="D22" s="121" t="s">
        <v>144</v>
      </c>
      <c r="E22" s="131">
        <v>10825</v>
      </c>
      <c r="F22" s="132">
        <v>13</v>
      </c>
      <c r="G22" s="133">
        <v>88</v>
      </c>
      <c r="H22" s="134">
        <v>99.65</v>
      </c>
      <c r="I22" s="134">
        <v>99.68</v>
      </c>
      <c r="J22" s="134">
        <v>98.553172180229495</v>
      </c>
      <c r="K22" s="517" t="s">
        <v>223</v>
      </c>
      <c r="L22" s="134"/>
      <c r="M22" s="153"/>
      <c r="N22" s="134"/>
      <c r="O22" s="134"/>
      <c r="P22" s="134"/>
      <c r="Q22" s="134"/>
      <c r="R22" s="134"/>
      <c r="S22" s="134"/>
      <c r="T22" s="157">
        <f t="shared" si="0"/>
        <v>30</v>
      </c>
      <c r="U22" s="160" t="s">
        <v>139</v>
      </c>
      <c r="V22" s="159" t="s">
        <v>139</v>
      </c>
      <c r="W22" s="161" t="s">
        <v>139</v>
      </c>
      <c r="X22" s="161" t="s">
        <v>139</v>
      </c>
      <c r="Y22" s="170">
        <f t="shared" si="1"/>
        <v>0</v>
      </c>
      <c r="Z22" s="170">
        <f t="shared" si="3"/>
        <v>0</v>
      </c>
      <c r="AA22" s="170">
        <f t="shared" si="2"/>
        <v>0</v>
      </c>
      <c r="AB22" s="172"/>
    </row>
    <row r="23" spans="1:28" s="98" customFormat="1" ht="65.099999999999994" customHeight="1">
      <c r="A23" s="118">
        <v>5</v>
      </c>
      <c r="B23" s="119" t="s">
        <v>187</v>
      </c>
      <c r="C23" s="119" t="s">
        <v>395</v>
      </c>
      <c r="D23" s="121" t="s">
        <v>144</v>
      </c>
      <c r="E23" s="131">
        <v>10825</v>
      </c>
      <c r="F23" s="132">
        <v>13</v>
      </c>
      <c r="G23" s="133">
        <v>88</v>
      </c>
      <c r="H23" s="134">
        <v>99.65</v>
      </c>
      <c r="I23" s="134">
        <v>99.68</v>
      </c>
      <c r="J23" s="134">
        <v>99.330997729885496</v>
      </c>
      <c r="K23" s="134">
        <v>99.04</v>
      </c>
      <c r="L23" s="134"/>
      <c r="M23" s="153"/>
      <c r="N23" s="134" t="s">
        <v>331</v>
      </c>
      <c r="O23" s="134"/>
      <c r="P23" s="134"/>
      <c r="Q23" s="134"/>
      <c r="R23" s="134"/>
      <c r="S23" s="134"/>
      <c r="T23" s="157">
        <f t="shared" si="0"/>
        <v>30</v>
      </c>
      <c r="U23" s="160" t="s">
        <v>139</v>
      </c>
      <c r="V23" s="159" t="s">
        <v>139</v>
      </c>
      <c r="W23" s="161" t="s">
        <v>139</v>
      </c>
      <c r="X23" s="161" t="s">
        <v>139</v>
      </c>
      <c r="Y23" s="170">
        <f t="shared" si="1"/>
        <v>0</v>
      </c>
      <c r="Z23" s="170">
        <f t="shared" si="3"/>
        <v>0</v>
      </c>
      <c r="AA23" s="170">
        <f t="shared" si="2"/>
        <v>0</v>
      </c>
      <c r="AB23" s="172"/>
    </row>
    <row r="24" spans="1:28" s="98" customFormat="1" ht="65.099999999999994" customHeight="1">
      <c r="A24" s="118">
        <v>6</v>
      </c>
      <c r="B24" s="119" t="s">
        <v>398</v>
      </c>
      <c r="C24" s="119" t="s">
        <v>395</v>
      </c>
      <c r="D24" s="121" t="s">
        <v>144</v>
      </c>
      <c r="E24" s="131">
        <v>10825</v>
      </c>
      <c r="F24" s="132">
        <v>13</v>
      </c>
      <c r="G24" s="133">
        <v>88</v>
      </c>
      <c r="H24" s="134">
        <v>99.65</v>
      </c>
      <c r="I24" s="134">
        <v>99.45</v>
      </c>
      <c r="J24" s="517" t="s">
        <v>223</v>
      </c>
      <c r="K24" s="517" t="s">
        <v>223</v>
      </c>
      <c r="L24" s="134"/>
      <c r="M24" s="153"/>
      <c r="N24" s="134"/>
      <c r="O24" s="134"/>
      <c r="P24" s="134"/>
      <c r="Q24" s="134"/>
      <c r="R24" s="134"/>
      <c r="S24" s="134"/>
      <c r="T24" s="157">
        <f t="shared" si="0"/>
        <v>30</v>
      </c>
      <c r="U24" s="160" t="s">
        <v>139</v>
      </c>
      <c r="V24" s="159" t="s">
        <v>139</v>
      </c>
      <c r="W24" s="161" t="s">
        <v>139</v>
      </c>
      <c r="X24" s="161" t="s">
        <v>139</v>
      </c>
      <c r="Y24" s="170">
        <f t="shared" si="1"/>
        <v>0</v>
      </c>
      <c r="Z24" s="170">
        <f t="shared" si="3"/>
        <v>0</v>
      </c>
      <c r="AA24" s="170">
        <f t="shared" si="2"/>
        <v>0</v>
      </c>
      <c r="AB24" s="172"/>
    </row>
    <row r="25" spans="1:28" s="98" customFormat="1" ht="84">
      <c r="A25" s="118">
        <v>7</v>
      </c>
      <c r="B25" s="118" t="s">
        <v>399</v>
      </c>
      <c r="C25" s="118" t="s">
        <v>400</v>
      </c>
      <c r="D25" s="121" t="s">
        <v>401</v>
      </c>
      <c r="E25" s="131">
        <v>138350</v>
      </c>
      <c r="F25" s="128">
        <v>13</v>
      </c>
      <c r="G25" s="135">
        <v>88</v>
      </c>
      <c r="H25" s="130">
        <v>99.65</v>
      </c>
      <c r="I25" s="130">
        <v>99.56</v>
      </c>
      <c r="J25" s="516" t="s">
        <v>223</v>
      </c>
      <c r="K25" s="516" t="s">
        <v>223</v>
      </c>
      <c r="L25" s="130"/>
      <c r="M25" s="153"/>
      <c r="N25" s="130"/>
      <c r="O25" s="130"/>
      <c r="P25" s="130"/>
      <c r="Q25" s="130"/>
      <c r="R25" s="130"/>
      <c r="S25" s="130"/>
      <c r="T25" s="157">
        <f t="shared" si="0"/>
        <v>280</v>
      </c>
      <c r="U25" s="162" t="s">
        <v>139</v>
      </c>
      <c r="V25" s="163" t="s">
        <v>139</v>
      </c>
      <c r="W25" s="164" t="s">
        <v>139</v>
      </c>
      <c r="X25" s="164" t="s">
        <v>139</v>
      </c>
      <c r="Y25" s="170">
        <f t="shared" si="1"/>
        <v>0</v>
      </c>
      <c r="Z25" s="170">
        <f t="shared" si="3"/>
        <v>0</v>
      </c>
      <c r="AA25" s="170">
        <f t="shared" si="2"/>
        <v>0</v>
      </c>
      <c r="AB25" s="172"/>
    </row>
    <row r="26" spans="1:28" s="98" customFormat="1" ht="65.099999999999994" customHeight="1">
      <c r="A26" s="118">
        <v>8</v>
      </c>
      <c r="B26" s="118" t="s">
        <v>254</v>
      </c>
      <c r="C26" s="118" t="s">
        <v>394</v>
      </c>
      <c r="D26" s="121" t="s">
        <v>240</v>
      </c>
      <c r="E26" s="131">
        <v>4510</v>
      </c>
      <c r="F26" s="128">
        <v>13</v>
      </c>
      <c r="G26" s="129">
        <v>88</v>
      </c>
      <c r="H26" s="130">
        <v>99.65</v>
      </c>
      <c r="I26" s="130">
        <v>99.53</v>
      </c>
      <c r="J26" s="516" t="s">
        <v>223</v>
      </c>
      <c r="K26" s="516" t="s">
        <v>223</v>
      </c>
      <c r="L26" s="130"/>
      <c r="M26" s="153"/>
      <c r="N26" s="130"/>
      <c r="O26" s="130"/>
      <c r="P26" s="130"/>
      <c r="Q26" s="130"/>
      <c r="R26" s="130"/>
      <c r="S26" s="130"/>
      <c r="T26" s="157">
        <f t="shared" si="0"/>
        <v>10</v>
      </c>
      <c r="U26" s="160" t="s">
        <v>139</v>
      </c>
      <c r="V26" s="159" t="s">
        <v>139</v>
      </c>
      <c r="W26" s="161" t="s">
        <v>139</v>
      </c>
      <c r="X26" s="161" t="s">
        <v>139</v>
      </c>
      <c r="Y26" s="170">
        <f t="shared" si="1"/>
        <v>0</v>
      </c>
      <c r="Z26" s="170">
        <f t="shared" si="3"/>
        <v>0</v>
      </c>
      <c r="AA26" s="170">
        <f t="shared" si="2"/>
        <v>0</v>
      </c>
      <c r="AB26" s="172"/>
    </row>
    <row r="27" spans="1:28" s="98" customFormat="1" ht="65.099999999999994" customHeight="1">
      <c r="A27" s="118">
        <v>9</v>
      </c>
      <c r="B27" s="118" t="s">
        <v>402</v>
      </c>
      <c r="C27" s="118" t="s">
        <v>403</v>
      </c>
      <c r="D27" s="121" t="s">
        <v>404</v>
      </c>
      <c r="E27" s="131">
        <v>5000</v>
      </c>
      <c r="F27" s="128">
        <v>13</v>
      </c>
      <c r="G27" s="129">
        <v>85</v>
      </c>
      <c r="H27" s="130">
        <v>99.65</v>
      </c>
      <c r="I27" s="130">
        <v>99.35</v>
      </c>
      <c r="J27" s="516" t="s">
        <v>223</v>
      </c>
      <c r="K27" s="516" t="s">
        <v>223</v>
      </c>
      <c r="L27" s="130"/>
      <c r="M27" s="153"/>
      <c r="N27" s="130"/>
      <c r="O27" s="130"/>
      <c r="P27" s="130"/>
      <c r="Q27" s="130"/>
      <c r="R27" s="130"/>
      <c r="S27" s="130"/>
      <c r="T27" s="157">
        <f t="shared" si="0"/>
        <v>20</v>
      </c>
      <c r="U27" s="160" t="s">
        <v>139</v>
      </c>
      <c r="V27" s="159" t="s">
        <v>139</v>
      </c>
      <c r="W27" s="161" t="s">
        <v>139</v>
      </c>
      <c r="X27" s="161" t="s">
        <v>139</v>
      </c>
      <c r="Y27" s="170">
        <f t="shared" si="1"/>
        <v>0</v>
      </c>
      <c r="Z27" s="170">
        <f t="shared" si="3"/>
        <v>0</v>
      </c>
      <c r="AA27" s="170">
        <f t="shared" si="2"/>
        <v>0</v>
      </c>
      <c r="AB27" s="172"/>
    </row>
    <row r="28" spans="1:28" s="98" customFormat="1" ht="65.099999999999994" customHeight="1">
      <c r="A28" s="118">
        <v>10</v>
      </c>
      <c r="B28" s="118" t="s">
        <v>318</v>
      </c>
      <c r="C28" s="118" t="s">
        <v>405</v>
      </c>
      <c r="D28" s="121" t="s">
        <v>406</v>
      </c>
      <c r="E28" s="131">
        <v>142000</v>
      </c>
      <c r="F28" s="128">
        <v>4</v>
      </c>
      <c r="G28" s="129">
        <v>96</v>
      </c>
      <c r="H28" s="130">
        <v>99.65</v>
      </c>
      <c r="I28" s="130">
        <v>99.39</v>
      </c>
      <c r="J28" s="516" t="s">
        <v>223</v>
      </c>
      <c r="K28" s="516" t="s">
        <v>223</v>
      </c>
      <c r="L28" s="130"/>
      <c r="M28" s="153"/>
      <c r="N28" s="130"/>
      <c r="O28" s="130"/>
      <c r="P28" s="130"/>
      <c r="Q28" s="130"/>
      <c r="R28" s="130"/>
      <c r="S28" s="130"/>
      <c r="T28" s="157">
        <f t="shared" si="0"/>
        <v>290</v>
      </c>
      <c r="U28" s="160" t="s">
        <v>139</v>
      </c>
      <c r="V28" s="159" t="s">
        <v>139</v>
      </c>
      <c r="W28" s="161" t="s">
        <v>139</v>
      </c>
      <c r="X28" s="161" t="s">
        <v>139</v>
      </c>
      <c r="Y28" s="170">
        <f t="shared" si="1"/>
        <v>0</v>
      </c>
      <c r="Z28" s="170">
        <f t="shared" si="3"/>
        <v>0</v>
      </c>
      <c r="AA28" s="170">
        <f t="shared" si="2"/>
        <v>0</v>
      </c>
      <c r="AB28" s="172"/>
    </row>
    <row r="29" spans="1:28" s="98" customFormat="1" ht="66" customHeight="1">
      <c r="A29" s="118">
        <v>11</v>
      </c>
      <c r="B29" s="118" t="s">
        <v>311</v>
      </c>
      <c r="C29" s="118" t="s">
        <v>407</v>
      </c>
      <c r="D29" s="121" t="s">
        <v>312</v>
      </c>
      <c r="E29" s="131">
        <v>80000</v>
      </c>
      <c r="F29" s="118">
        <v>13</v>
      </c>
      <c r="G29" s="129">
        <v>88</v>
      </c>
      <c r="H29" s="130">
        <v>99.65</v>
      </c>
      <c r="I29" s="130">
        <v>99.35</v>
      </c>
      <c r="J29" s="516" t="s">
        <v>223</v>
      </c>
      <c r="K29" s="516" t="s">
        <v>223</v>
      </c>
      <c r="L29" s="130"/>
      <c r="M29" s="153"/>
      <c r="N29" s="130"/>
      <c r="O29" s="130"/>
      <c r="P29" s="130"/>
      <c r="Q29" s="130"/>
      <c r="R29" s="130"/>
      <c r="S29" s="130"/>
      <c r="T29" s="157">
        <f t="shared" si="0"/>
        <v>170</v>
      </c>
      <c r="U29" s="160" t="s">
        <v>140</v>
      </c>
      <c r="V29" s="159" t="s">
        <v>140</v>
      </c>
      <c r="W29" s="161" t="s">
        <v>139</v>
      </c>
      <c r="X29" s="161" t="s">
        <v>139</v>
      </c>
      <c r="Y29" s="170">
        <f t="shared" si="1"/>
        <v>0</v>
      </c>
      <c r="Z29" s="170">
        <f t="shared" si="3"/>
        <v>0</v>
      </c>
      <c r="AA29" s="170">
        <f t="shared" si="2"/>
        <v>0</v>
      </c>
      <c r="AB29" s="172"/>
    </row>
    <row r="30" spans="1:28" s="99" customFormat="1" ht="65.099999999999994" customHeight="1">
      <c r="A30" s="118">
        <v>12</v>
      </c>
      <c r="B30" s="119" t="s">
        <v>193</v>
      </c>
      <c r="C30" s="119" t="s">
        <v>395</v>
      </c>
      <c r="D30" s="121" t="s">
        <v>144</v>
      </c>
      <c r="E30" s="131">
        <v>3500</v>
      </c>
      <c r="F30" s="132">
        <v>5</v>
      </c>
      <c r="G30" s="133">
        <v>95</v>
      </c>
      <c r="H30" s="134">
        <v>99.65</v>
      </c>
      <c r="I30" s="134">
        <v>99.68</v>
      </c>
      <c r="J30" s="134">
        <v>99.330997729885496</v>
      </c>
      <c r="K30" s="134">
        <v>98.99</v>
      </c>
      <c r="L30" s="134"/>
      <c r="M30" s="153"/>
      <c r="N30" s="134"/>
      <c r="O30" s="134"/>
      <c r="P30" s="134"/>
      <c r="Q30" s="134"/>
      <c r="R30" s="134"/>
      <c r="S30" s="134"/>
      <c r="T30" s="157">
        <f t="shared" si="0"/>
        <v>10</v>
      </c>
      <c r="U30" s="160" t="s">
        <v>139</v>
      </c>
      <c r="V30" s="159" t="s">
        <v>139</v>
      </c>
      <c r="W30" s="161" t="s">
        <v>139</v>
      </c>
      <c r="X30" s="161" t="s">
        <v>139</v>
      </c>
      <c r="Y30" s="170">
        <f t="shared" si="1"/>
        <v>0</v>
      </c>
      <c r="Z30" s="170">
        <f t="shared" si="3"/>
        <v>0</v>
      </c>
      <c r="AA30" s="170">
        <f t="shared" si="2"/>
        <v>0</v>
      </c>
      <c r="AB30" s="172"/>
    </row>
    <row r="31" spans="1:28" s="99" customFormat="1" ht="65.099999999999994" customHeight="1">
      <c r="A31" s="118">
        <v>13</v>
      </c>
      <c r="B31" s="119" t="s">
        <v>315</v>
      </c>
      <c r="C31" s="119" t="s">
        <v>408</v>
      </c>
      <c r="D31" s="121" t="s">
        <v>316</v>
      </c>
      <c r="E31" s="131">
        <v>399000</v>
      </c>
      <c r="F31" s="132">
        <v>10</v>
      </c>
      <c r="G31" s="133">
        <v>88</v>
      </c>
      <c r="H31" s="134">
        <v>99.65</v>
      </c>
      <c r="I31" s="148" t="s">
        <v>223</v>
      </c>
      <c r="J31" s="517" t="s">
        <v>223</v>
      </c>
      <c r="K31" s="517" t="s">
        <v>223</v>
      </c>
      <c r="L31" s="134"/>
      <c r="M31" s="153"/>
      <c r="N31" s="134"/>
      <c r="O31" s="134"/>
      <c r="P31" s="134"/>
      <c r="Q31" s="134"/>
      <c r="R31" s="134"/>
      <c r="S31" s="134"/>
      <c r="T31" s="157">
        <f t="shared" si="0"/>
        <v>800</v>
      </c>
      <c r="U31" s="160" t="s">
        <v>139</v>
      </c>
      <c r="V31" s="159" t="s">
        <v>139</v>
      </c>
      <c r="W31" s="161" t="s">
        <v>139</v>
      </c>
      <c r="X31" s="161" t="s">
        <v>139</v>
      </c>
      <c r="Y31" s="170">
        <f t="shared" si="1"/>
        <v>0</v>
      </c>
      <c r="Z31" s="170">
        <f t="shared" si="3"/>
        <v>0</v>
      </c>
      <c r="AA31" s="170">
        <f t="shared" si="2"/>
        <v>0</v>
      </c>
      <c r="AB31" s="172"/>
    </row>
    <row r="32" spans="1:28" s="99" customFormat="1" ht="65.099999999999994" customHeight="1">
      <c r="A32" s="118">
        <v>14</v>
      </c>
      <c r="B32" s="119" t="s">
        <v>143</v>
      </c>
      <c r="C32" s="119" t="s">
        <v>395</v>
      </c>
      <c r="D32" s="121" t="s">
        <v>144</v>
      </c>
      <c r="E32" s="131">
        <v>10825</v>
      </c>
      <c r="F32" s="132">
        <v>13</v>
      </c>
      <c r="G32" s="133">
        <v>88</v>
      </c>
      <c r="H32" s="134">
        <v>99.65</v>
      </c>
      <c r="I32" s="134">
        <v>99.68</v>
      </c>
      <c r="J32" s="134">
        <v>99.330997729885496</v>
      </c>
      <c r="K32" s="134">
        <v>98.87</v>
      </c>
      <c r="L32" s="134"/>
      <c r="M32" s="153"/>
      <c r="N32" s="134"/>
      <c r="O32" s="134"/>
      <c r="P32" s="134"/>
      <c r="Q32" s="134"/>
      <c r="R32" s="134"/>
      <c r="S32" s="134"/>
      <c r="T32" s="157">
        <f t="shared" si="0"/>
        <v>30</v>
      </c>
      <c r="U32" s="160" t="s">
        <v>140</v>
      </c>
      <c r="V32" s="160" t="s">
        <v>139</v>
      </c>
      <c r="W32" s="160" t="s">
        <v>139</v>
      </c>
      <c r="X32" s="160" t="s">
        <v>139</v>
      </c>
      <c r="Y32" s="170">
        <f t="shared" si="1"/>
        <v>0</v>
      </c>
      <c r="Z32" s="170">
        <f t="shared" si="3"/>
        <v>0</v>
      </c>
      <c r="AA32" s="170">
        <f t="shared" si="2"/>
        <v>0</v>
      </c>
      <c r="AB32" s="595" t="s">
        <v>1941</v>
      </c>
    </row>
    <row r="33" spans="1:28" s="98" customFormat="1" ht="65.099999999999994" customHeight="1">
      <c r="A33" s="118">
        <v>15</v>
      </c>
      <c r="B33" s="118" t="s">
        <v>409</v>
      </c>
      <c r="C33" s="118" t="s">
        <v>395</v>
      </c>
      <c r="D33" s="121" t="s">
        <v>144</v>
      </c>
      <c r="E33" s="131">
        <v>10825</v>
      </c>
      <c r="F33" s="128">
        <v>13</v>
      </c>
      <c r="G33" s="129">
        <v>88</v>
      </c>
      <c r="H33" s="130">
        <v>99.65</v>
      </c>
      <c r="I33" s="130">
        <v>99.61</v>
      </c>
      <c r="J33" s="516" t="s">
        <v>223</v>
      </c>
      <c r="K33" s="516" t="s">
        <v>223</v>
      </c>
      <c r="L33" s="130"/>
      <c r="M33" s="153"/>
      <c r="N33" s="130"/>
      <c r="O33" s="130"/>
      <c r="P33" s="130"/>
      <c r="Q33" s="130"/>
      <c r="R33" s="130"/>
      <c r="S33" s="130"/>
      <c r="T33" s="157">
        <f t="shared" si="0"/>
        <v>30</v>
      </c>
      <c r="U33" s="160" t="s">
        <v>139</v>
      </c>
      <c r="V33" s="159" t="s">
        <v>139</v>
      </c>
      <c r="W33" s="161" t="s">
        <v>139</v>
      </c>
      <c r="X33" s="161" t="s">
        <v>139</v>
      </c>
      <c r="Y33" s="170">
        <f t="shared" si="1"/>
        <v>0</v>
      </c>
      <c r="Z33" s="170">
        <f t="shared" si="3"/>
        <v>0</v>
      </c>
      <c r="AA33" s="170">
        <f t="shared" si="2"/>
        <v>0</v>
      </c>
      <c r="AB33" s="172"/>
    </row>
    <row r="34" spans="1:28" s="98" customFormat="1" ht="65.099999999999994" customHeight="1">
      <c r="A34" s="118">
        <v>16</v>
      </c>
      <c r="B34" s="118" t="s">
        <v>249</v>
      </c>
      <c r="C34" s="118" t="s">
        <v>410</v>
      </c>
      <c r="D34" s="121" t="s">
        <v>247</v>
      </c>
      <c r="E34" s="131">
        <v>83100</v>
      </c>
      <c r="F34" s="128">
        <v>13</v>
      </c>
      <c r="G34" s="129">
        <v>85</v>
      </c>
      <c r="H34" s="130">
        <v>99.65</v>
      </c>
      <c r="I34" s="130">
        <v>99.51</v>
      </c>
      <c r="J34" s="516" t="s">
        <v>223</v>
      </c>
      <c r="K34" s="516" t="s">
        <v>223</v>
      </c>
      <c r="L34" s="130"/>
      <c r="M34" s="153"/>
      <c r="N34" s="130"/>
      <c r="O34" s="130"/>
      <c r="P34" s="130"/>
      <c r="Q34" s="130"/>
      <c r="R34" s="130"/>
      <c r="S34" s="130"/>
      <c r="T34" s="157">
        <f t="shared" si="0"/>
        <v>170</v>
      </c>
      <c r="U34" s="160" t="s">
        <v>139</v>
      </c>
      <c r="V34" s="159" t="s">
        <v>139</v>
      </c>
      <c r="W34" s="161" t="s">
        <v>139</v>
      </c>
      <c r="X34" s="161" t="s">
        <v>139</v>
      </c>
      <c r="Y34" s="170">
        <f t="shared" si="1"/>
        <v>0</v>
      </c>
      <c r="Z34" s="170">
        <f t="shared" si="3"/>
        <v>0</v>
      </c>
      <c r="AA34" s="170">
        <f t="shared" si="2"/>
        <v>0</v>
      </c>
      <c r="AB34" s="172"/>
    </row>
    <row r="35" spans="1:28" s="100" customFormat="1" ht="65.099999999999994" customHeight="1">
      <c r="A35" s="118">
        <v>17</v>
      </c>
      <c r="B35" s="122" t="s">
        <v>150</v>
      </c>
      <c r="C35" s="122" t="s">
        <v>394</v>
      </c>
      <c r="D35" s="120" t="s">
        <v>240</v>
      </c>
      <c r="E35" s="136">
        <v>4510</v>
      </c>
      <c r="F35" s="137">
        <v>12</v>
      </c>
      <c r="G35" s="138">
        <v>88</v>
      </c>
      <c r="H35" s="139" t="s">
        <v>223</v>
      </c>
      <c r="I35" s="139">
        <v>99.8</v>
      </c>
      <c r="J35" s="149">
        <v>99.385529487706506</v>
      </c>
      <c r="K35" s="149">
        <v>99.37</v>
      </c>
      <c r="L35" s="149"/>
      <c r="M35" s="154"/>
      <c r="N35" s="149"/>
      <c r="O35" s="149"/>
      <c r="P35" s="149"/>
      <c r="Q35" s="149"/>
      <c r="R35" s="149"/>
      <c r="S35" s="149"/>
      <c r="T35" s="158">
        <f t="shared" si="0"/>
        <v>10</v>
      </c>
      <c r="U35" s="165" t="s">
        <v>139</v>
      </c>
      <c r="V35" s="165" t="s">
        <v>139</v>
      </c>
      <c r="W35" s="165" t="s">
        <v>139</v>
      </c>
      <c r="X35" s="165" t="s">
        <v>139</v>
      </c>
      <c r="Y35" s="173">
        <f t="shared" si="1"/>
        <v>0</v>
      </c>
      <c r="Z35" s="173">
        <f t="shared" si="3"/>
        <v>0</v>
      </c>
      <c r="AA35" s="173">
        <f t="shared" si="2"/>
        <v>0</v>
      </c>
      <c r="AB35" s="174"/>
    </row>
    <row r="36" spans="1:28" s="100" customFormat="1" ht="65.099999999999994" customHeight="1">
      <c r="A36" s="118">
        <v>18</v>
      </c>
      <c r="B36" s="122" t="s">
        <v>196</v>
      </c>
      <c r="C36" s="122" t="s">
        <v>411</v>
      </c>
      <c r="D36" s="120" t="s">
        <v>412</v>
      </c>
      <c r="E36" s="136">
        <v>151560</v>
      </c>
      <c r="F36" s="137">
        <v>12</v>
      </c>
      <c r="G36" s="138">
        <v>88</v>
      </c>
      <c r="H36" s="139" t="s">
        <v>223</v>
      </c>
      <c r="I36" s="139">
        <v>99.78</v>
      </c>
      <c r="J36" s="149">
        <v>99.425417498239796</v>
      </c>
      <c r="K36" s="149">
        <v>99.08</v>
      </c>
      <c r="L36" s="149"/>
      <c r="M36" s="154"/>
      <c r="N36" s="149"/>
      <c r="O36" s="149"/>
      <c r="P36" s="149"/>
      <c r="Q36" s="149"/>
      <c r="R36" s="149"/>
      <c r="S36" s="149"/>
      <c r="T36" s="158">
        <f t="shared" si="0"/>
        <v>310</v>
      </c>
      <c r="U36" s="166" t="s">
        <v>139</v>
      </c>
      <c r="V36" s="165" t="s">
        <v>139</v>
      </c>
      <c r="W36" s="167" t="s">
        <v>139</v>
      </c>
      <c r="X36" s="167" t="s">
        <v>139</v>
      </c>
      <c r="Y36" s="173">
        <f t="shared" si="1"/>
        <v>0</v>
      </c>
      <c r="Z36" s="173">
        <f t="shared" si="3"/>
        <v>0</v>
      </c>
      <c r="AA36" s="173">
        <f t="shared" si="2"/>
        <v>0</v>
      </c>
      <c r="AB36" s="175"/>
    </row>
    <row r="37" spans="1:28" s="100" customFormat="1" ht="63.95" customHeight="1">
      <c r="A37" s="118">
        <v>19</v>
      </c>
      <c r="B37" s="122" t="s">
        <v>201</v>
      </c>
      <c r="C37" s="122" t="s">
        <v>411</v>
      </c>
      <c r="D37" s="120" t="s">
        <v>412</v>
      </c>
      <c r="E37" s="136">
        <v>151560</v>
      </c>
      <c r="F37" s="137">
        <v>12</v>
      </c>
      <c r="G37" s="138">
        <v>88</v>
      </c>
      <c r="H37" s="139" t="s">
        <v>223</v>
      </c>
      <c r="I37" s="139">
        <v>99.9</v>
      </c>
      <c r="J37" s="149">
        <v>99.5501759513689</v>
      </c>
      <c r="K37" s="149">
        <v>99.21</v>
      </c>
      <c r="L37" s="149"/>
      <c r="M37" s="154"/>
      <c r="N37" s="149"/>
      <c r="O37" s="149"/>
      <c r="P37" s="149"/>
      <c r="Q37" s="149"/>
      <c r="R37" s="149"/>
      <c r="S37" s="149"/>
      <c r="T37" s="158">
        <f t="shared" si="0"/>
        <v>310</v>
      </c>
      <c r="U37" s="166" t="s">
        <v>140</v>
      </c>
      <c r="V37" s="165" t="s">
        <v>140</v>
      </c>
      <c r="W37" s="167" t="s">
        <v>139</v>
      </c>
      <c r="X37" s="167" t="s">
        <v>139</v>
      </c>
      <c r="Y37" s="173">
        <f t="shared" si="1"/>
        <v>0</v>
      </c>
      <c r="Z37" s="173">
        <f t="shared" si="3"/>
        <v>0</v>
      </c>
      <c r="AA37" s="173">
        <f t="shared" si="2"/>
        <v>0</v>
      </c>
      <c r="AB37" s="175"/>
    </row>
    <row r="38" spans="1:28" s="100" customFormat="1" ht="84">
      <c r="A38" s="118">
        <v>20</v>
      </c>
      <c r="B38" s="122" t="s">
        <v>158</v>
      </c>
      <c r="C38" s="122" t="s">
        <v>413</v>
      </c>
      <c r="D38" s="120" t="s">
        <v>242</v>
      </c>
      <c r="E38" s="140">
        <v>100000</v>
      </c>
      <c r="F38" s="122">
        <v>2</v>
      </c>
      <c r="G38" s="138">
        <v>99</v>
      </c>
      <c r="H38" s="518" t="s">
        <v>223</v>
      </c>
      <c r="I38" s="518" t="s">
        <v>223</v>
      </c>
      <c r="J38" s="149">
        <v>99.677138176310805</v>
      </c>
      <c r="K38" s="149">
        <v>99.5</v>
      </c>
      <c r="L38" s="149"/>
      <c r="M38" s="154"/>
      <c r="N38" s="149"/>
      <c r="O38" s="149"/>
      <c r="P38" s="149"/>
      <c r="Q38" s="149"/>
      <c r="R38" s="149"/>
      <c r="S38" s="149"/>
      <c r="T38" s="158">
        <f t="shared" si="0"/>
        <v>210</v>
      </c>
      <c r="U38" s="166" t="s">
        <v>139</v>
      </c>
      <c r="V38" s="166" t="s">
        <v>139</v>
      </c>
      <c r="W38" s="167" t="s">
        <v>139</v>
      </c>
      <c r="X38" s="167" t="s">
        <v>139</v>
      </c>
      <c r="Y38" s="173">
        <f t="shared" ref="Y38:Y41" si="4">IF(W38="Y",T38,0)</f>
        <v>0</v>
      </c>
      <c r="Z38" s="173">
        <f t="shared" ref="Z38:Z41" si="5">IF(X38="Y",T38*2,0)</f>
        <v>0</v>
      </c>
      <c r="AA38" s="173">
        <f t="shared" ref="AA38:AA41" si="6">Y38+Z38</f>
        <v>0</v>
      </c>
      <c r="AB38" s="175"/>
    </row>
    <row r="39" spans="1:28" s="100" customFormat="1" ht="65.099999999999994" customHeight="1">
      <c r="A39" s="118">
        <v>21</v>
      </c>
      <c r="B39" s="122" t="s">
        <v>206</v>
      </c>
      <c r="C39" s="122" t="s">
        <v>414</v>
      </c>
      <c r="D39" s="120" t="s">
        <v>248</v>
      </c>
      <c r="E39" s="136">
        <v>1149550</v>
      </c>
      <c r="F39" s="122">
        <v>13</v>
      </c>
      <c r="G39" s="138">
        <v>88</v>
      </c>
      <c r="H39" s="518" t="s">
        <v>223</v>
      </c>
      <c r="I39" s="518" t="s">
        <v>223</v>
      </c>
      <c r="J39" s="149">
        <v>99.824327732485699</v>
      </c>
      <c r="K39" s="149">
        <v>99.48</v>
      </c>
      <c r="L39" s="149"/>
      <c r="M39" s="154"/>
      <c r="N39" s="149"/>
      <c r="O39" s="149"/>
      <c r="P39" s="149"/>
      <c r="Q39" s="149"/>
      <c r="R39" s="149"/>
      <c r="S39" s="149"/>
      <c r="T39" s="158">
        <f t="shared" ref="T39:T53" si="7">ROUNDUP((E39/4999.99)*10,-1)</f>
        <v>2300</v>
      </c>
      <c r="U39" s="166" t="s">
        <v>139</v>
      </c>
      <c r="V39" s="166" t="s">
        <v>139</v>
      </c>
      <c r="W39" s="167" t="s">
        <v>139</v>
      </c>
      <c r="X39" s="167" t="s">
        <v>139</v>
      </c>
      <c r="Y39" s="173">
        <f t="shared" si="4"/>
        <v>0</v>
      </c>
      <c r="Z39" s="173">
        <f t="shared" si="5"/>
        <v>0</v>
      </c>
      <c r="AA39" s="173">
        <f t="shared" si="6"/>
        <v>0</v>
      </c>
      <c r="AB39" s="175"/>
    </row>
    <row r="40" spans="1:28" s="100" customFormat="1" ht="65.099999999999994" customHeight="1">
      <c r="A40" s="118">
        <v>22</v>
      </c>
      <c r="B40" s="122" t="s">
        <v>211</v>
      </c>
      <c r="C40" s="122" t="s">
        <v>394</v>
      </c>
      <c r="D40" s="120" t="s">
        <v>240</v>
      </c>
      <c r="E40" s="136">
        <v>336</v>
      </c>
      <c r="F40" s="122">
        <v>13</v>
      </c>
      <c r="G40" s="138">
        <v>88</v>
      </c>
      <c r="H40" s="518" t="s">
        <v>223</v>
      </c>
      <c r="I40" s="518" t="s">
        <v>223</v>
      </c>
      <c r="J40" s="149">
        <v>99.916395741608596</v>
      </c>
      <c r="K40" s="149">
        <v>99.58</v>
      </c>
      <c r="L40" s="149"/>
      <c r="M40" s="154"/>
      <c r="N40" s="149"/>
      <c r="O40" s="149"/>
      <c r="P40" s="149"/>
      <c r="Q40" s="149"/>
      <c r="R40" s="149"/>
      <c r="S40" s="149"/>
      <c r="T40" s="158">
        <f t="shared" si="7"/>
        <v>10</v>
      </c>
      <c r="U40" s="166" t="s">
        <v>140</v>
      </c>
      <c r="V40" s="166" t="s">
        <v>139</v>
      </c>
      <c r="W40" s="167" t="s">
        <v>139</v>
      </c>
      <c r="X40" s="167" t="s">
        <v>139</v>
      </c>
      <c r="Y40" s="173">
        <f t="shared" si="4"/>
        <v>0</v>
      </c>
      <c r="Z40" s="173">
        <f t="shared" si="5"/>
        <v>0</v>
      </c>
      <c r="AA40" s="173">
        <f t="shared" si="6"/>
        <v>0</v>
      </c>
      <c r="AB40" s="175"/>
    </row>
    <row r="41" spans="1:28" s="100" customFormat="1" ht="65.099999999999994" customHeight="1">
      <c r="A41" s="118">
        <v>23</v>
      </c>
      <c r="B41" s="122" t="s">
        <v>217</v>
      </c>
      <c r="C41" s="122" t="s">
        <v>415</v>
      </c>
      <c r="D41" s="120" t="s">
        <v>416</v>
      </c>
      <c r="E41" s="136">
        <v>126300</v>
      </c>
      <c r="F41" s="122">
        <v>13</v>
      </c>
      <c r="G41" s="138">
        <v>85</v>
      </c>
      <c r="H41" s="518" t="s">
        <v>223</v>
      </c>
      <c r="I41" s="518" t="s">
        <v>223</v>
      </c>
      <c r="J41" s="149">
        <v>99.925846187994296</v>
      </c>
      <c r="K41" s="149">
        <v>99.59</v>
      </c>
      <c r="L41" s="149"/>
      <c r="M41" s="154"/>
      <c r="N41" s="149"/>
      <c r="O41" s="149"/>
      <c r="P41" s="149"/>
      <c r="Q41" s="149"/>
      <c r="R41" s="149"/>
      <c r="S41" s="149"/>
      <c r="T41" s="158">
        <f t="shared" si="7"/>
        <v>260</v>
      </c>
      <c r="U41" s="166" t="s">
        <v>139</v>
      </c>
      <c r="V41" s="166" t="s">
        <v>139</v>
      </c>
      <c r="W41" s="167" t="s">
        <v>139</v>
      </c>
      <c r="X41" s="167" t="s">
        <v>139</v>
      </c>
      <c r="Y41" s="173">
        <f t="shared" si="4"/>
        <v>0</v>
      </c>
      <c r="Z41" s="173">
        <f t="shared" si="5"/>
        <v>0</v>
      </c>
      <c r="AA41" s="173">
        <f t="shared" si="6"/>
        <v>0</v>
      </c>
      <c r="AB41" s="175"/>
    </row>
    <row r="42" spans="1:28" s="100" customFormat="1" ht="65.099999999999994" customHeight="1">
      <c r="A42" s="118">
        <v>24</v>
      </c>
      <c r="B42" s="122" t="s">
        <v>165</v>
      </c>
      <c r="C42" s="122" t="s">
        <v>417</v>
      </c>
      <c r="D42" s="120" t="s">
        <v>257</v>
      </c>
      <c r="E42" s="136">
        <v>5410</v>
      </c>
      <c r="F42" s="122">
        <v>13</v>
      </c>
      <c r="G42" s="138">
        <v>88</v>
      </c>
      <c r="H42" s="518" t="s">
        <v>223</v>
      </c>
      <c r="I42" s="518" t="s">
        <v>223</v>
      </c>
      <c r="J42" s="149">
        <v>99.935425097510006</v>
      </c>
      <c r="K42" s="149">
        <v>99.93</v>
      </c>
      <c r="L42" s="149"/>
      <c r="M42" s="154"/>
      <c r="N42" s="149"/>
      <c r="O42" s="149"/>
      <c r="P42" s="149"/>
      <c r="Q42" s="149"/>
      <c r="R42" s="149"/>
      <c r="S42" s="149"/>
      <c r="T42" s="158">
        <f t="shared" si="7"/>
        <v>20</v>
      </c>
      <c r="U42" s="166" t="s">
        <v>140</v>
      </c>
      <c r="V42" s="166" t="s">
        <v>139</v>
      </c>
      <c r="W42" s="167" t="s">
        <v>139</v>
      </c>
      <c r="X42" s="167" t="s">
        <v>139</v>
      </c>
      <c r="Y42" s="173"/>
      <c r="Z42" s="173"/>
      <c r="AA42" s="173"/>
      <c r="AB42" s="175"/>
    </row>
    <row r="43" spans="1:28" s="100" customFormat="1" ht="82.5" customHeight="1">
      <c r="A43" s="118">
        <v>25</v>
      </c>
      <c r="B43" s="122" t="s">
        <v>173</v>
      </c>
      <c r="C43" s="122" t="s">
        <v>413</v>
      </c>
      <c r="D43" s="120" t="s">
        <v>242</v>
      </c>
      <c r="E43" s="136">
        <v>105850</v>
      </c>
      <c r="F43" s="122">
        <v>13</v>
      </c>
      <c r="G43" s="138">
        <v>88</v>
      </c>
      <c r="H43" s="518" t="s">
        <v>223</v>
      </c>
      <c r="I43" s="518" t="s">
        <v>223</v>
      </c>
      <c r="J43" s="149">
        <v>99.946763832905802</v>
      </c>
      <c r="K43" s="149">
        <v>99.95</v>
      </c>
      <c r="L43" s="149"/>
      <c r="M43" s="154"/>
      <c r="N43" s="149"/>
      <c r="O43" s="149"/>
      <c r="P43" s="149"/>
      <c r="Q43" s="149"/>
      <c r="R43" s="149"/>
      <c r="S43" s="149"/>
      <c r="T43" s="158">
        <f t="shared" si="7"/>
        <v>220</v>
      </c>
      <c r="U43" s="166" t="s">
        <v>139</v>
      </c>
      <c r="V43" s="166" t="s">
        <v>139</v>
      </c>
      <c r="W43" s="167" t="s">
        <v>139</v>
      </c>
      <c r="X43" s="167" t="s">
        <v>139</v>
      </c>
      <c r="Y43" s="173">
        <f>IF(W43="Y",T43,0)</f>
        <v>0</v>
      </c>
      <c r="Z43" s="173">
        <f>IF(X43="Y",T43*2,0)</f>
        <v>0</v>
      </c>
      <c r="AA43" s="173">
        <f>Y43+Z43</f>
        <v>0</v>
      </c>
      <c r="AB43" s="175"/>
    </row>
    <row r="44" spans="1:28" s="100" customFormat="1" ht="105">
      <c r="A44" s="118">
        <v>26</v>
      </c>
      <c r="B44" s="122" t="s">
        <v>180</v>
      </c>
      <c r="C44" s="122" t="s">
        <v>418</v>
      </c>
      <c r="D44" s="120" t="s">
        <v>419</v>
      </c>
      <c r="E44" s="136">
        <v>42100</v>
      </c>
      <c r="F44" s="122">
        <v>13</v>
      </c>
      <c r="G44" s="138">
        <v>85</v>
      </c>
      <c r="H44" s="518" t="s">
        <v>223</v>
      </c>
      <c r="I44" s="518" t="s">
        <v>223</v>
      </c>
      <c r="J44" s="149">
        <v>99.981896986561594</v>
      </c>
      <c r="K44" s="149">
        <v>99.91</v>
      </c>
      <c r="L44" s="149"/>
      <c r="M44" s="154"/>
      <c r="N44" s="149"/>
      <c r="O44" s="149"/>
      <c r="P44" s="149"/>
      <c r="Q44" s="149"/>
      <c r="R44" s="149"/>
      <c r="S44" s="149"/>
      <c r="T44" s="158">
        <f t="shared" si="7"/>
        <v>90</v>
      </c>
      <c r="U44" s="166" t="s">
        <v>139</v>
      </c>
      <c r="V44" s="166" t="s">
        <v>139</v>
      </c>
      <c r="W44" s="167" t="s">
        <v>139</v>
      </c>
      <c r="X44" s="167" t="s">
        <v>139</v>
      </c>
      <c r="Y44" s="173">
        <f>IF(W44="Y",T44,0)</f>
        <v>0</v>
      </c>
      <c r="Z44" s="173">
        <f>IF(X44="Y",T44*2,0)</f>
        <v>0</v>
      </c>
      <c r="AA44" s="173">
        <f>Y44+Z44</f>
        <v>0</v>
      </c>
      <c r="AB44" s="175"/>
    </row>
    <row r="45" spans="1:28" s="100" customFormat="1" ht="75" customHeight="1">
      <c r="A45" s="118">
        <v>27</v>
      </c>
      <c r="B45" s="594" t="s">
        <v>685</v>
      </c>
      <c r="C45" s="585" t="s">
        <v>1933</v>
      </c>
      <c r="D45" s="586" t="s">
        <v>246</v>
      </c>
      <c r="E45" s="587">
        <v>28630</v>
      </c>
      <c r="F45" s="585">
        <v>13</v>
      </c>
      <c r="G45" s="588">
        <v>85</v>
      </c>
      <c r="H45" s="589" t="s">
        <v>223</v>
      </c>
      <c r="I45" s="589" t="s">
        <v>223</v>
      </c>
      <c r="J45" s="589" t="s">
        <v>223</v>
      </c>
      <c r="K45" s="590">
        <v>99.664773854493873</v>
      </c>
      <c r="L45" s="590"/>
      <c r="M45" s="591"/>
      <c r="N45" s="590"/>
      <c r="O45" s="590"/>
      <c r="P45" s="590"/>
      <c r="Q45" s="590"/>
      <c r="R45" s="590"/>
      <c r="S45" s="590"/>
      <c r="T45" s="158">
        <f t="shared" si="7"/>
        <v>60</v>
      </c>
      <c r="U45" s="166" t="s">
        <v>139</v>
      </c>
      <c r="V45" s="166" t="s">
        <v>139</v>
      </c>
      <c r="W45" s="167" t="s">
        <v>139</v>
      </c>
      <c r="X45" s="167" t="s">
        <v>139</v>
      </c>
      <c r="Y45" s="173">
        <f t="shared" ref="Y45:Y53" si="8">IF(W45="Y",T45,0)</f>
        <v>0</v>
      </c>
      <c r="Z45" s="173">
        <f t="shared" ref="Z45:Z53" si="9">IF(X45="Y",T45*2,0)</f>
        <v>0</v>
      </c>
      <c r="AA45" s="173">
        <f t="shared" ref="AA45:AA53" si="10">Y45+Z45</f>
        <v>0</v>
      </c>
      <c r="AB45" s="593"/>
    </row>
    <row r="46" spans="1:28" s="100" customFormat="1" ht="75" customHeight="1">
      <c r="A46" s="118">
        <v>28</v>
      </c>
      <c r="B46" s="594" t="s">
        <v>694</v>
      </c>
      <c r="C46" s="592" t="s">
        <v>1934</v>
      </c>
      <c r="D46" s="586" t="s">
        <v>1935</v>
      </c>
      <c r="E46" s="587">
        <v>58000</v>
      </c>
      <c r="F46" s="585">
        <v>4</v>
      </c>
      <c r="G46" s="588">
        <v>96</v>
      </c>
      <c r="H46" s="589" t="s">
        <v>223</v>
      </c>
      <c r="I46" s="589" t="s">
        <v>223</v>
      </c>
      <c r="J46" s="589" t="s">
        <v>223</v>
      </c>
      <c r="K46" s="590">
        <v>99.732224227678898</v>
      </c>
      <c r="L46" s="590"/>
      <c r="M46" s="591"/>
      <c r="N46" s="590"/>
      <c r="O46" s="590"/>
      <c r="P46" s="590"/>
      <c r="Q46" s="590"/>
      <c r="R46" s="590"/>
      <c r="S46" s="590"/>
      <c r="T46" s="158">
        <f t="shared" si="7"/>
        <v>120</v>
      </c>
      <c r="U46" s="166" t="s">
        <v>139</v>
      </c>
      <c r="V46" s="166" t="s">
        <v>139</v>
      </c>
      <c r="W46" s="167" t="s">
        <v>139</v>
      </c>
      <c r="X46" s="167" t="s">
        <v>139</v>
      </c>
      <c r="Y46" s="173">
        <f t="shared" si="8"/>
        <v>0</v>
      </c>
      <c r="Z46" s="173">
        <f t="shared" si="9"/>
        <v>0</v>
      </c>
      <c r="AA46" s="173">
        <f t="shared" si="10"/>
        <v>0</v>
      </c>
      <c r="AB46" s="593"/>
    </row>
    <row r="47" spans="1:28" s="100" customFormat="1" ht="75" customHeight="1">
      <c r="A47" s="118">
        <v>29</v>
      </c>
      <c r="B47" s="594" t="s">
        <v>561</v>
      </c>
      <c r="C47" s="585" t="s">
        <v>1936</v>
      </c>
      <c r="D47" s="586" t="s">
        <v>558</v>
      </c>
      <c r="E47" s="587">
        <v>3557530</v>
      </c>
      <c r="F47" s="585">
        <v>13</v>
      </c>
      <c r="G47" s="588">
        <v>85</v>
      </c>
      <c r="H47" s="589" t="s">
        <v>223</v>
      </c>
      <c r="I47" s="589" t="s">
        <v>223</v>
      </c>
      <c r="J47" s="589" t="s">
        <v>223</v>
      </c>
      <c r="K47" s="590">
        <v>99.765565473445918</v>
      </c>
      <c r="L47" s="590"/>
      <c r="M47" s="591"/>
      <c r="N47" s="590"/>
      <c r="O47" s="590"/>
      <c r="P47" s="590"/>
      <c r="Q47" s="590"/>
      <c r="R47" s="590"/>
      <c r="S47" s="590"/>
      <c r="T47" s="158">
        <f t="shared" si="7"/>
        <v>7120</v>
      </c>
      <c r="U47" s="166" t="s">
        <v>139</v>
      </c>
      <c r="V47" s="166" t="s">
        <v>139</v>
      </c>
      <c r="W47" s="167" t="s">
        <v>139</v>
      </c>
      <c r="X47" s="167" t="s">
        <v>139</v>
      </c>
      <c r="Y47" s="173">
        <f t="shared" si="8"/>
        <v>0</v>
      </c>
      <c r="Z47" s="173">
        <f t="shared" si="9"/>
        <v>0</v>
      </c>
      <c r="AA47" s="173">
        <f t="shared" si="10"/>
        <v>0</v>
      </c>
      <c r="AB47" s="593"/>
    </row>
    <row r="48" spans="1:28" s="100" customFormat="1" ht="75" customHeight="1">
      <c r="A48" s="118">
        <v>30</v>
      </c>
      <c r="B48" s="594" t="s">
        <v>727</v>
      </c>
      <c r="C48" s="585" t="s">
        <v>1933</v>
      </c>
      <c r="D48" s="586" t="s">
        <v>246</v>
      </c>
      <c r="E48" s="587">
        <v>28630</v>
      </c>
      <c r="F48" s="585">
        <v>13</v>
      </c>
      <c r="G48" s="588">
        <v>85</v>
      </c>
      <c r="H48" s="589" t="s">
        <v>223</v>
      </c>
      <c r="I48" s="589" t="s">
        <v>223</v>
      </c>
      <c r="J48" s="589" t="s">
        <v>223</v>
      </c>
      <c r="K48" s="590">
        <v>99.963396520759645</v>
      </c>
      <c r="L48" s="590"/>
      <c r="M48" s="591"/>
      <c r="N48" s="590"/>
      <c r="O48" s="590"/>
      <c r="P48" s="590"/>
      <c r="Q48" s="590"/>
      <c r="R48" s="590"/>
      <c r="S48" s="590"/>
      <c r="T48" s="158">
        <f t="shared" si="7"/>
        <v>60</v>
      </c>
      <c r="U48" s="166" t="s">
        <v>139</v>
      </c>
      <c r="V48" s="166" t="s">
        <v>139</v>
      </c>
      <c r="W48" s="167" t="s">
        <v>139</v>
      </c>
      <c r="X48" s="167" t="s">
        <v>139</v>
      </c>
      <c r="Y48" s="173">
        <f t="shared" si="8"/>
        <v>0</v>
      </c>
      <c r="Z48" s="173">
        <f t="shared" si="9"/>
        <v>0</v>
      </c>
      <c r="AA48" s="173">
        <f t="shared" si="10"/>
        <v>0</v>
      </c>
      <c r="AB48" s="593"/>
    </row>
    <row r="49" spans="1:30" s="100" customFormat="1" ht="84">
      <c r="A49" s="118">
        <v>31</v>
      </c>
      <c r="B49" s="594" t="s">
        <v>700</v>
      </c>
      <c r="C49" s="585" t="s">
        <v>1938</v>
      </c>
      <c r="D49" s="586" t="s">
        <v>1937</v>
      </c>
      <c r="E49" s="587">
        <v>1443450</v>
      </c>
      <c r="F49" s="585">
        <v>13</v>
      </c>
      <c r="G49" s="588">
        <v>85</v>
      </c>
      <c r="H49" s="589" t="s">
        <v>223</v>
      </c>
      <c r="I49" s="589" t="s">
        <v>223</v>
      </c>
      <c r="J49" s="589" t="s">
        <v>223</v>
      </c>
      <c r="K49" s="590">
        <v>99.767538093002457</v>
      </c>
      <c r="L49" s="590"/>
      <c r="M49" s="591"/>
      <c r="N49" s="590"/>
      <c r="O49" s="590"/>
      <c r="P49" s="590"/>
      <c r="Q49" s="590"/>
      <c r="R49" s="590"/>
      <c r="S49" s="590"/>
      <c r="T49" s="158">
        <f t="shared" si="7"/>
        <v>2890</v>
      </c>
      <c r="U49" s="166" t="s">
        <v>139</v>
      </c>
      <c r="V49" s="166" t="s">
        <v>139</v>
      </c>
      <c r="W49" s="167" t="s">
        <v>139</v>
      </c>
      <c r="X49" s="167" t="s">
        <v>139</v>
      </c>
      <c r="Y49" s="173">
        <f t="shared" si="8"/>
        <v>0</v>
      </c>
      <c r="Z49" s="173">
        <f t="shared" si="9"/>
        <v>0</v>
      </c>
      <c r="AA49" s="173">
        <f t="shared" si="10"/>
        <v>0</v>
      </c>
      <c r="AB49" s="593"/>
    </row>
    <row r="50" spans="1:30" s="100" customFormat="1" ht="84">
      <c r="A50" s="118">
        <v>32</v>
      </c>
      <c r="B50" s="594" t="s">
        <v>399</v>
      </c>
      <c r="C50" s="585" t="s">
        <v>400</v>
      </c>
      <c r="D50" s="586" t="s">
        <v>401</v>
      </c>
      <c r="E50" s="587">
        <v>138350</v>
      </c>
      <c r="F50" s="585">
        <v>13</v>
      </c>
      <c r="G50" s="588">
        <v>88</v>
      </c>
      <c r="H50" s="589" t="s">
        <v>223</v>
      </c>
      <c r="I50" s="589" t="s">
        <v>223</v>
      </c>
      <c r="J50" s="589" t="s">
        <v>223</v>
      </c>
      <c r="K50" s="590">
        <v>99.970130373115182</v>
      </c>
      <c r="L50" s="590"/>
      <c r="M50" s="591"/>
      <c r="N50" s="590"/>
      <c r="O50" s="590"/>
      <c r="P50" s="590"/>
      <c r="Q50" s="590"/>
      <c r="R50" s="590"/>
      <c r="S50" s="590"/>
      <c r="T50" s="158">
        <f t="shared" si="7"/>
        <v>280</v>
      </c>
      <c r="U50" s="166" t="s">
        <v>139</v>
      </c>
      <c r="V50" s="166" t="s">
        <v>139</v>
      </c>
      <c r="W50" s="167" t="s">
        <v>139</v>
      </c>
      <c r="X50" s="167" t="s">
        <v>139</v>
      </c>
      <c r="Y50" s="173">
        <f t="shared" si="8"/>
        <v>0</v>
      </c>
      <c r="Z50" s="173">
        <f t="shared" si="9"/>
        <v>0</v>
      </c>
      <c r="AA50" s="173">
        <f t="shared" si="10"/>
        <v>0</v>
      </c>
      <c r="AB50" s="593"/>
    </row>
    <row r="51" spans="1:30" s="100" customFormat="1" ht="75" customHeight="1">
      <c r="A51" s="118">
        <v>33</v>
      </c>
      <c r="B51" s="594" t="s">
        <v>315</v>
      </c>
      <c r="C51" s="585" t="s">
        <v>408</v>
      </c>
      <c r="D51" s="586" t="s">
        <v>316</v>
      </c>
      <c r="E51" s="587">
        <v>399000</v>
      </c>
      <c r="F51" s="585">
        <v>10</v>
      </c>
      <c r="G51" s="588">
        <v>88</v>
      </c>
      <c r="H51" s="589" t="s">
        <v>223</v>
      </c>
      <c r="I51" s="589" t="s">
        <v>223</v>
      </c>
      <c r="J51" s="589" t="s">
        <v>223</v>
      </c>
      <c r="K51" s="590">
        <v>99.970764194166037</v>
      </c>
      <c r="L51" s="590"/>
      <c r="M51" s="591"/>
      <c r="N51" s="590"/>
      <c r="O51" s="590"/>
      <c r="P51" s="590"/>
      <c r="Q51" s="590"/>
      <c r="R51" s="590"/>
      <c r="S51" s="590"/>
      <c r="T51" s="158">
        <f t="shared" si="7"/>
        <v>800</v>
      </c>
      <c r="U51" s="166" t="s">
        <v>139</v>
      </c>
      <c r="V51" s="166" t="s">
        <v>139</v>
      </c>
      <c r="W51" s="167" t="s">
        <v>139</v>
      </c>
      <c r="X51" s="167" t="s">
        <v>139</v>
      </c>
      <c r="Y51" s="173">
        <f t="shared" si="8"/>
        <v>0</v>
      </c>
      <c r="Z51" s="173">
        <f t="shared" si="9"/>
        <v>0</v>
      </c>
      <c r="AA51" s="173">
        <f t="shared" si="10"/>
        <v>0</v>
      </c>
      <c r="AB51" s="593"/>
    </row>
    <row r="52" spans="1:30" s="100" customFormat="1" ht="75" customHeight="1">
      <c r="A52" s="118">
        <v>34</v>
      </c>
      <c r="B52" s="594" t="s">
        <v>729</v>
      </c>
      <c r="C52" s="585" t="s">
        <v>1940</v>
      </c>
      <c r="D52" s="586" t="s">
        <v>1939</v>
      </c>
      <c r="E52" s="587">
        <v>36080</v>
      </c>
      <c r="F52" s="585">
        <v>13</v>
      </c>
      <c r="G52" s="588">
        <v>85</v>
      </c>
      <c r="H52" s="589" t="s">
        <v>223</v>
      </c>
      <c r="I52" s="589" t="s">
        <v>223</v>
      </c>
      <c r="J52" s="589" t="s">
        <v>223</v>
      </c>
      <c r="K52" s="590">
        <v>99.984551790696401</v>
      </c>
      <c r="L52" s="590"/>
      <c r="M52" s="591"/>
      <c r="N52" s="590"/>
      <c r="O52" s="590"/>
      <c r="P52" s="590"/>
      <c r="Q52" s="590"/>
      <c r="R52" s="590"/>
      <c r="S52" s="590"/>
      <c r="T52" s="158">
        <f t="shared" si="7"/>
        <v>80</v>
      </c>
      <c r="U52" s="166" t="s">
        <v>139</v>
      </c>
      <c r="V52" s="166" t="s">
        <v>139</v>
      </c>
      <c r="W52" s="167" t="s">
        <v>139</v>
      </c>
      <c r="X52" s="167" t="s">
        <v>139</v>
      </c>
      <c r="Y52" s="173">
        <f t="shared" si="8"/>
        <v>0</v>
      </c>
      <c r="Z52" s="173">
        <f t="shared" si="9"/>
        <v>0</v>
      </c>
      <c r="AA52" s="173">
        <f t="shared" si="10"/>
        <v>0</v>
      </c>
      <c r="AB52" s="593"/>
    </row>
    <row r="53" spans="1:30" s="100" customFormat="1" ht="75" customHeight="1">
      <c r="A53" s="118">
        <v>35</v>
      </c>
      <c r="B53" s="594" t="s">
        <v>311</v>
      </c>
      <c r="C53" s="585" t="s">
        <v>407</v>
      </c>
      <c r="D53" s="586" t="s">
        <v>312</v>
      </c>
      <c r="E53" s="587">
        <v>80000</v>
      </c>
      <c r="F53" s="585">
        <v>13</v>
      </c>
      <c r="G53" s="588">
        <v>88</v>
      </c>
      <c r="H53" s="589" t="s">
        <v>223</v>
      </c>
      <c r="I53" s="589" t="s">
        <v>223</v>
      </c>
      <c r="J53" s="589" t="s">
        <v>223</v>
      </c>
      <c r="K53" s="590">
        <v>99.996678509616402</v>
      </c>
      <c r="L53" s="590"/>
      <c r="M53" s="591"/>
      <c r="N53" s="590"/>
      <c r="O53" s="590"/>
      <c r="P53" s="590"/>
      <c r="Q53" s="590"/>
      <c r="R53" s="590"/>
      <c r="S53" s="590"/>
      <c r="T53" s="158">
        <f t="shared" si="7"/>
        <v>170</v>
      </c>
      <c r="U53" s="166" t="s">
        <v>139</v>
      </c>
      <c r="V53" s="166" t="s">
        <v>139</v>
      </c>
      <c r="W53" s="167" t="s">
        <v>139</v>
      </c>
      <c r="X53" s="167" t="s">
        <v>139</v>
      </c>
      <c r="Y53" s="173">
        <f t="shared" si="8"/>
        <v>0</v>
      </c>
      <c r="Z53" s="173">
        <f t="shared" si="9"/>
        <v>0</v>
      </c>
      <c r="AA53" s="173">
        <f t="shared" si="10"/>
        <v>0</v>
      </c>
      <c r="AB53" s="593"/>
      <c r="AD53" s="100" t="s">
        <v>331</v>
      </c>
    </row>
    <row r="54" spans="1:30" s="99" customFormat="1" ht="65.099999999999994" customHeight="1">
      <c r="A54" s="800" t="s">
        <v>420</v>
      </c>
      <c r="B54" s="801"/>
      <c r="C54" s="801"/>
      <c r="D54" s="801"/>
      <c r="E54" s="802"/>
      <c r="F54" s="801"/>
      <c r="G54" s="801"/>
      <c r="H54" s="801"/>
      <c r="I54" s="801"/>
      <c r="J54" s="801"/>
      <c r="K54" s="801"/>
      <c r="L54" s="801"/>
      <c r="M54" s="801"/>
      <c r="N54" s="801"/>
      <c r="O54" s="801"/>
      <c r="P54" s="801"/>
      <c r="Q54" s="801"/>
      <c r="R54" s="801"/>
      <c r="S54" s="801"/>
      <c r="T54" s="801"/>
      <c r="U54" s="801"/>
      <c r="V54" s="801"/>
      <c r="W54" s="801"/>
      <c r="X54" s="801"/>
      <c r="Y54" s="801"/>
      <c r="Z54" s="803"/>
      <c r="AA54" s="176">
        <f>SUM(AA19:AA34)</f>
        <v>0</v>
      </c>
      <c r="AB54" s="177"/>
    </row>
    <row r="55" spans="1:30" s="101" customFormat="1" ht="65.099999999999994" customHeight="1">
      <c r="A55" s="102"/>
      <c r="B55" s="102"/>
      <c r="C55" s="103"/>
      <c r="D55" s="102"/>
      <c r="E55" s="103"/>
      <c r="F55" s="102"/>
      <c r="G55" s="103"/>
      <c r="H55" s="103"/>
      <c r="I55" s="104"/>
      <c r="J55" s="104"/>
      <c r="K55" s="103"/>
      <c r="L55" s="103"/>
      <c r="M55" s="103"/>
      <c r="N55" s="103"/>
      <c r="O55" s="103"/>
      <c r="P55" s="103"/>
      <c r="Q55" s="103"/>
      <c r="R55" s="103" t="s">
        <v>331</v>
      </c>
      <c r="S55" s="103"/>
      <c r="T55" s="103"/>
      <c r="U55" s="103"/>
      <c r="V55" s="103"/>
      <c r="W55" s="103"/>
      <c r="X55" s="103"/>
      <c r="Y55" s="103"/>
      <c r="Z55" s="103"/>
      <c r="AA55" s="105"/>
      <c r="AB55" s="102"/>
    </row>
    <row r="56" spans="1:30" s="101" customFormat="1" ht="65.099999999999994" customHeight="1">
      <c r="A56" s="102"/>
      <c r="B56" s="102"/>
      <c r="C56" s="103"/>
      <c r="D56" s="102"/>
      <c r="E56" s="103"/>
      <c r="F56" s="102"/>
      <c r="G56" s="103"/>
      <c r="H56" s="103"/>
      <c r="I56" s="104"/>
      <c r="J56" s="104"/>
      <c r="K56" s="103"/>
      <c r="L56" s="103"/>
      <c r="M56" s="103"/>
      <c r="N56" s="103"/>
      <c r="O56" s="103"/>
      <c r="P56" s="103"/>
      <c r="Q56" s="103"/>
      <c r="R56" s="103"/>
      <c r="S56" s="103"/>
      <c r="T56" s="103"/>
      <c r="U56" s="103"/>
      <c r="V56" s="103"/>
      <c r="W56" s="103"/>
      <c r="X56" s="103"/>
      <c r="Y56" s="103"/>
      <c r="Z56" s="103"/>
      <c r="AA56" s="105"/>
      <c r="AB56" s="102"/>
    </row>
    <row r="57" spans="1:30" s="101" customFormat="1" ht="65.099999999999994" customHeight="1">
      <c r="A57" s="102"/>
      <c r="B57" s="102"/>
      <c r="C57" s="103"/>
      <c r="D57" s="102"/>
      <c r="E57" s="103"/>
      <c r="F57" s="102"/>
      <c r="G57" s="103"/>
      <c r="H57" s="103"/>
      <c r="I57" s="104"/>
      <c r="J57" s="104"/>
      <c r="K57" s="103"/>
      <c r="L57" s="103"/>
      <c r="M57" s="103"/>
      <c r="N57" s="103"/>
      <c r="O57" s="103"/>
      <c r="P57" s="103"/>
      <c r="Q57" s="103"/>
      <c r="R57" s="103"/>
      <c r="S57" s="103"/>
      <c r="T57" s="103"/>
      <c r="U57" s="103"/>
      <c r="V57" s="103"/>
      <c r="W57" s="103"/>
      <c r="X57" s="103"/>
      <c r="Y57" s="103"/>
      <c r="Z57" s="103"/>
      <c r="AA57" s="105"/>
      <c r="AB57" s="102"/>
    </row>
    <row r="58" spans="1:30" s="101" customFormat="1" ht="65.099999999999994" customHeight="1">
      <c r="A58" s="102"/>
      <c r="B58" s="102"/>
      <c r="C58" s="103"/>
      <c r="D58" s="102"/>
      <c r="E58" s="103"/>
      <c r="F58" s="102"/>
      <c r="G58" s="103"/>
      <c r="H58" s="103"/>
      <c r="I58" s="104"/>
      <c r="J58" s="104"/>
      <c r="K58" s="103"/>
      <c r="L58" s="103"/>
      <c r="M58" s="103"/>
      <c r="N58" s="103"/>
      <c r="O58" s="103"/>
      <c r="P58" s="103"/>
      <c r="Q58" s="103"/>
      <c r="R58" s="103"/>
      <c r="S58" s="103"/>
      <c r="T58" s="103"/>
      <c r="U58" s="103"/>
      <c r="V58" s="103"/>
      <c r="W58" s="103"/>
      <c r="X58" s="103"/>
      <c r="Y58" s="103"/>
      <c r="Z58" s="103"/>
      <c r="AA58" s="105"/>
      <c r="AB58" s="102"/>
    </row>
    <row r="59" spans="1:30" s="101" customFormat="1" ht="65.099999999999994" customHeight="1">
      <c r="A59" s="102"/>
      <c r="B59" s="102"/>
      <c r="C59" s="103"/>
      <c r="D59" s="102"/>
      <c r="E59" s="103"/>
      <c r="F59" s="102"/>
      <c r="G59" s="103"/>
      <c r="H59" s="103"/>
      <c r="I59" s="104"/>
      <c r="J59" s="104"/>
      <c r="K59" s="103"/>
      <c r="L59" s="103"/>
      <c r="M59" s="103"/>
      <c r="N59" s="103"/>
      <c r="O59" s="103"/>
      <c r="P59" s="103"/>
      <c r="Q59" s="103"/>
      <c r="R59" s="103"/>
      <c r="S59" s="103"/>
      <c r="T59" s="103"/>
      <c r="U59" s="103"/>
      <c r="V59" s="103"/>
      <c r="W59" s="103"/>
      <c r="X59" s="103"/>
      <c r="Y59" s="103"/>
      <c r="Z59" s="103"/>
      <c r="AA59" s="105"/>
      <c r="AB59" s="102"/>
    </row>
    <row r="60" spans="1:30" s="101" customFormat="1" ht="65.099999999999994" customHeight="1">
      <c r="A60" s="102"/>
      <c r="B60" s="102"/>
      <c r="C60" s="103"/>
      <c r="D60" s="102"/>
      <c r="E60" s="103"/>
      <c r="F60" s="102"/>
      <c r="G60" s="103"/>
      <c r="H60" s="103"/>
      <c r="I60" s="104"/>
      <c r="J60" s="104"/>
      <c r="K60" s="103"/>
      <c r="L60" s="103"/>
      <c r="M60" s="103"/>
      <c r="N60" s="103"/>
      <c r="O60" s="103"/>
      <c r="P60" s="103"/>
      <c r="Q60" s="103"/>
      <c r="R60" s="103"/>
      <c r="S60" s="103"/>
      <c r="T60" s="103"/>
      <c r="U60" s="103"/>
      <c r="V60" s="103"/>
      <c r="W60" s="103"/>
      <c r="X60" s="103"/>
      <c r="Y60" s="103"/>
      <c r="Z60" s="103"/>
      <c r="AA60" s="105"/>
      <c r="AB60" s="102"/>
    </row>
    <row r="61" spans="1:30" s="101" customFormat="1" ht="65.099999999999994" customHeight="1">
      <c r="A61" s="102"/>
      <c r="B61" s="102"/>
      <c r="C61" s="103"/>
      <c r="D61" s="102"/>
      <c r="E61" s="103"/>
      <c r="F61" s="102"/>
      <c r="G61" s="103"/>
      <c r="H61" s="103"/>
      <c r="I61" s="104"/>
      <c r="J61" s="104"/>
      <c r="K61" s="103"/>
      <c r="L61" s="103"/>
      <c r="M61" s="103"/>
      <c r="N61" s="103"/>
      <c r="O61" s="103"/>
      <c r="P61" s="103"/>
      <c r="Q61" s="103"/>
      <c r="R61" s="103"/>
      <c r="S61" s="103"/>
      <c r="T61" s="103"/>
      <c r="U61" s="103"/>
      <c r="V61" s="103"/>
      <c r="W61" s="103"/>
      <c r="X61" s="103"/>
      <c r="Y61" s="103"/>
      <c r="Z61" s="103"/>
      <c r="AA61" s="105"/>
      <c r="AB61" s="102"/>
    </row>
    <row r="62" spans="1:30" s="99" customFormat="1" ht="65.099999999999994" customHeight="1">
      <c r="A62" s="102"/>
      <c r="B62" s="102"/>
      <c r="C62" s="103"/>
      <c r="D62" s="102"/>
      <c r="E62" s="103"/>
      <c r="F62" s="102"/>
      <c r="G62" s="103"/>
      <c r="H62" s="103"/>
      <c r="I62" s="104"/>
      <c r="J62" s="104"/>
      <c r="K62" s="103"/>
      <c r="L62" s="103"/>
      <c r="M62" s="103"/>
      <c r="N62" s="103"/>
      <c r="O62" s="103"/>
      <c r="P62" s="103"/>
      <c r="Q62" s="103"/>
      <c r="R62" s="103"/>
      <c r="S62" s="103"/>
      <c r="T62" s="103"/>
      <c r="U62" s="103"/>
      <c r="V62" s="103"/>
      <c r="W62" s="103"/>
      <c r="X62" s="103"/>
      <c r="Y62" s="103"/>
      <c r="Z62" s="103"/>
      <c r="AA62" s="105"/>
      <c r="AB62" s="102"/>
    </row>
    <row r="63" spans="1:30" s="99" customFormat="1" ht="108" customHeight="1">
      <c r="A63" s="102"/>
      <c r="B63" s="102"/>
      <c r="C63" s="103"/>
      <c r="D63" s="102"/>
      <c r="E63" s="103"/>
      <c r="F63" s="102"/>
      <c r="G63" s="103"/>
      <c r="H63" s="103"/>
      <c r="I63" s="104"/>
      <c r="J63" s="104"/>
      <c r="K63" s="103"/>
      <c r="L63" s="103"/>
      <c r="M63" s="103"/>
      <c r="N63" s="103"/>
      <c r="O63" s="103"/>
      <c r="P63" s="103"/>
      <c r="Q63" s="103"/>
      <c r="R63" s="103"/>
      <c r="S63" s="103"/>
      <c r="T63" s="103"/>
      <c r="U63" s="103"/>
      <c r="V63" s="103"/>
      <c r="W63" s="103"/>
      <c r="X63" s="103"/>
      <c r="Y63" s="103"/>
      <c r="Z63" s="103"/>
      <c r="AA63" s="105"/>
      <c r="AB63" s="102"/>
    </row>
    <row r="64" spans="1:30" s="99" customFormat="1" ht="65.099999999999994" customHeight="1">
      <c r="A64" s="102"/>
      <c r="B64" s="102"/>
      <c r="C64" s="103"/>
      <c r="D64" s="102"/>
      <c r="E64" s="103"/>
      <c r="F64" s="102"/>
      <c r="G64" s="103"/>
      <c r="H64" s="103"/>
      <c r="I64" s="104"/>
      <c r="J64" s="104"/>
      <c r="K64" s="103"/>
      <c r="L64" s="103"/>
      <c r="M64" s="103"/>
      <c r="N64" s="103"/>
      <c r="O64" s="103"/>
      <c r="P64" s="103"/>
      <c r="Q64" s="103"/>
      <c r="R64" s="103"/>
      <c r="S64" s="103"/>
      <c r="T64" s="103"/>
      <c r="U64" s="103"/>
      <c r="V64" s="103"/>
      <c r="W64" s="103"/>
      <c r="X64" s="103"/>
      <c r="Y64" s="103"/>
      <c r="Z64" s="103"/>
      <c r="AA64" s="105"/>
      <c r="AB64" s="102"/>
    </row>
    <row r="65" spans="1:28" s="99" customFormat="1" ht="111.95" customHeight="1">
      <c r="A65" s="102"/>
      <c r="B65" s="102"/>
      <c r="C65" s="103"/>
      <c r="D65" s="102"/>
      <c r="E65" s="103"/>
      <c r="F65" s="102"/>
      <c r="G65" s="103"/>
      <c r="H65" s="103"/>
      <c r="I65" s="104"/>
      <c r="J65" s="104"/>
      <c r="K65" s="103"/>
      <c r="L65" s="103"/>
      <c r="M65" s="103"/>
      <c r="N65" s="103"/>
      <c r="O65" s="103"/>
      <c r="P65" s="103"/>
      <c r="Q65" s="103"/>
      <c r="R65" s="103"/>
      <c r="S65" s="103"/>
      <c r="T65" s="103"/>
      <c r="U65" s="103"/>
      <c r="V65" s="103"/>
      <c r="W65" s="103"/>
      <c r="X65" s="103"/>
      <c r="Y65" s="103"/>
      <c r="Z65" s="103"/>
      <c r="AA65" s="105"/>
      <c r="AB65" s="102"/>
    </row>
    <row r="66" spans="1:28" s="99" customFormat="1" ht="99.95" customHeight="1">
      <c r="A66" s="102"/>
      <c r="B66" s="102"/>
      <c r="C66" s="103"/>
      <c r="D66" s="102"/>
      <c r="E66" s="103"/>
      <c r="F66" s="102"/>
      <c r="G66" s="103"/>
      <c r="H66" s="103"/>
      <c r="I66" s="104"/>
      <c r="J66" s="104"/>
      <c r="K66" s="103"/>
      <c r="L66" s="103"/>
      <c r="M66" s="103"/>
      <c r="N66" s="103"/>
      <c r="O66" s="103"/>
      <c r="P66" s="103"/>
      <c r="Q66" s="103"/>
      <c r="R66" s="103"/>
      <c r="S66" s="103"/>
      <c r="T66" s="103"/>
      <c r="U66" s="103"/>
      <c r="V66" s="103"/>
      <c r="W66" s="103"/>
      <c r="X66" s="103"/>
      <c r="Y66" s="103"/>
      <c r="Z66" s="103"/>
      <c r="AA66" s="105"/>
      <c r="AB66" s="102"/>
    </row>
    <row r="67" spans="1:28" s="99" customFormat="1" ht="108" customHeight="1">
      <c r="A67" s="102"/>
      <c r="B67" s="102"/>
      <c r="C67" s="103"/>
      <c r="D67" s="102"/>
      <c r="E67" s="103"/>
      <c r="F67" s="102"/>
      <c r="G67" s="103"/>
      <c r="H67" s="103"/>
      <c r="I67" s="104"/>
      <c r="J67" s="104"/>
      <c r="K67" s="103"/>
      <c r="L67" s="103"/>
      <c r="M67" s="103"/>
      <c r="N67" s="103"/>
      <c r="O67" s="103"/>
      <c r="P67" s="103"/>
      <c r="Q67" s="103"/>
      <c r="R67" s="103"/>
      <c r="S67" s="103"/>
      <c r="T67" s="103"/>
      <c r="U67" s="103"/>
      <c r="V67" s="103"/>
      <c r="W67" s="103"/>
      <c r="X67" s="103"/>
      <c r="Y67" s="103"/>
      <c r="Z67" s="103"/>
      <c r="AA67" s="105"/>
      <c r="AB67" s="102"/>
    </row>
    <row r="68" spans="1:28" s="99" customFormat="1" ht="102.6" customHeight="1">
      <c r="A68" s="102"/>
      <c r="B68" s="102"/>
      <c r="C68" s="103"/>
      <c r="D68" s="102"/>
      <c r="E68" s="103"/>
      <c r="F68" s="102"/>
      <c r="G68" s="103"/>
      <c r="H68" s="103"/>
      <c r="I68" s="104"/>
      <c r="J68" s="104"/>
      <c r="K68" s="103"/>
      <c r="L68" s="103"/>
      <c r="M68" s="103"/>
      <c r="N68" s="103"/>
      <c r="O68" s="103"/>
      <c r="P68" s="103"/>
      <c r="Q68" s="103"/>
      <c r="R68" s="103"/>
      <c r="S68" s="103"/>
      <c r="T68" s="103"/>
      <c r="U68" s="103"/>
      <c r="V68" s="103"/>
      <c r="W68" s="103"/>
      <c r="X68" s="103"/>
      <c r="Y68" s="103"/>
      <c r="Z68" s="103"/>
      <c r="AA68" s="105"/>
      <c r="AB68" s="102"/>
    </row>
    <row r="69" spans="1:28" s="99" customFormat="1" ht="93.95" customHeight="1">
      <c r="A69" s="102"/>
      <c r="B69" s="102"/>
      <c r="C69" s="103"/>
      <c r="D69" s="102"/>
      <c r="E69" s="103"/>
      <c r="F69" s="102"/>
      <c r="G69" s="103"/>
      <c r="H69" s="103"/>
      <c r="I69" s="104"/>
      <c r="J69" s="104"/>
      <c r="K69" s="103"/>
      <c r="L69" s="103"/>
      <c r="M69" s="103"/>
      <c r="N69" s="103"/>
      <c r="O69" s="103"/>
      <c r="P69" s="103"/>
      <c r="Q69" s="103"/>
      <c r="R69" s="103"/>
      <c r="S69" s="103"/>
      <c r="T69" s="103"/>
      <c r="U69" s="103"/>
      <c r="V69" s="103"/>
      <c r="W69" s="103"/>
      <c r="X69" s="103"/>
      <c r="Y69" s="103"/>
      <c r="Z69" s="103"/>
      <c r="AA69" s="105"/>
      <c r="AB69" s="102"/>
    </row>
    <row r="70" spans="1:28" s="99" customFormat="1" ht="65.099999999999994" customHeight="1">
      <c r="A70" s="102"/>
      <c r="B70" s="102"/>
      <c r="C70" s="103"/>
      <c r="D70" s="102"/>
      <c r="E70" s="103"/>
      <c r="F70" s="102"/>
      <c r="G70" s="103"/>
      <c r="H70" s="103"/>
      <c r="I70" s="104"/>
      <c r="J70" s="104"/>
      <c r="K70" s="103"/>
      <c r="L70" s="103"/>
      <c r="M70" s="103"/>
      <c r="N70" s="103"/>
      <c r="O70" s="103"/>
      <c r="P70" s="103"/>
      <c r="Q70" s="103"/>
      <c r="R70" s="103"/>
      <c r="S70" s="103"/>
      <c r="T70" s="103"/>
      <c r="U70" s="103"/>
      <c r="V70" s="103"/>
      <c r="W70" s="103"/>
      <c r="X70" s="103"/>
      <c r="Y70" s="103"/>
      <c r="Z70" s="103"/>
      <c r="AA70" s="105"/>
      <c r="AB70" s="102"/>
    </row>
    <row r="71" spans="1:28" s="99" customFormat="1" ht="65.099999999999994" customHeight="1">
      <c r="A71" s="102"/>
      <c r="B71" s="102"/>
      <c r="C71" s="103"/>
      <c r="D71" s="102"/>
      <c r="E71" s="103"/>
      <c r="F71" s="102"/>
      <c r="G71" s="103"/>
      <c r="H71" s="103"/>
      <c r="I71" s="104"/>
      <c r="J71" s="104"/>
      <c r="K71" s="103"/>
      <c r="L71" s="103"/>
      <c r="M71" s="103"/>
      <c r="N71" s="103"/>
      <c r="O71" s="103"/>
      <c r="P71" s="103"/>
      <c r="Q71" s="103"/>
      <c r="R71" s="103"/>
      <c r="S71" s="103"/>
      <c r="T71" s="103"/>
      <c r="U71" s="103"/>
      <c r="V71" s="103"/>
      <c r="W71" s="103"/>
      <c r="X71" s="103"/>
      <c r="Y71" s="103"/>
      <c r="Z71" s="103"/>
      <c r="AA71" s="105"/>
      <c r="AB71" s="102"/>
    </row>
    <row r="72" spans="1:28" s="99" customFormat="1" ht="65.099999999999994" customHeight="1">
      <c r="A72" s="102"/>
      <c r="B72" s="102"/>
      <c r="C72" s="103"/>
      <c r="D72" s="102"/>
      <c r="E72" s="103"/>
      <c r="F72" s="102"/>
      <c r="G72" s="103"/>
      <c r="H72" s="103"/>
      <c r="I72" s="104"/>
      <c r="J72" s="104"/>
      <c r="K72" s="103"/>
      <c r="L72" s="103"/>
      <c r="M72" s="103"/>
      <c r="N72" s="103"/>
      <c r="O72" s="103"/>
      <c r="P72" s="103"/>
      <c r="Q72" s="103"/>
      <c r="R72" s="103"/>
      <c r="S72" s="103"/>
      <c r="T72" s="103"/>
      <c r="U72" s="103"/>
      <c r="V72" s="103"/>
      <c r="W72" s="103"/>
      <c r="X72" s="103"/>
      <c r="Y72" s="103"/>
      <c r="Z72" s="103"/>
      <c r="AA72" s="105"/>
      <c r="AB72" s="102"/>
    </row>
    <row r="73" spans="1:28" s="99" customFormat="1" ht="65.099999999999994" customHeight="1">
      <c r="A73" s="102"/>
      <c r="B73" s="102"/>
      <c r="C73" s="103"/>
      <c r="D73" s="102"/>
      <c r="E73" s="103"/>
      <c r="F73" s="102"/>
      <c r="G73" s="103"/>
      <c r="H73" s="103"/>
      <c r="I73" s="104"/>
      <c r="J73" s="104"/>
      <c r="K73" s="103"/>
      <c r="L73" s="103"/>
      <c r="M73" s="103"/>
      <c r="N73" s="103"/>
      <c r="O73" s="103"/>
      <c r="P73" s="103"/>
      <c r="Q73" s="103"/>
      <c r="R73" s="103"/>
      <c r="S73" s="103"/>
      <c r="T73" s="103"/>
      <c r="U73" s="103"/>
      <c r="V73" s="103"/>
      <c r="W73" s="103"/>
      <c r="X73" s="103"/>
      <c r="Y73" s="103"/>
      <c r="Z73" s="103"/>
      <c r="AA73" s="105"/>
      <c r="AB73" s="102"/>
    </row>
    <row r="74" spans="1:28" s="99" customFormat="1" ht="65.099999999999994" customHeight="1">
      <c r="A74" s="102"/>
      <c r="B74" s="102"/>
      <c r="C74" s="103"/>
      <c r="D74" s="102"/>
      <c r="E74" s="103"/>
      <c r="F74" s="102"/>
      <c r="G74" s="103"/>
      <c r="H74" s="103"/>
      <c r="I74" s="104"/>
      <c r="J74" s="104"/>
      <c r="K74" s="103"/>
      <c r="L74" s="103"/>
      <c r="M74" s="103"/>
      <c r="N74" s="103"/>
      <c r="O74" s="103"/>
      <c r="P74" s="103"/>
      <c r="Q74" s="103"/>
      <c r="R74" s="103"/>
      <c r="S74" s="103"/>
      <c r="T74" s="103"/>
      <c r="U74" s="103"/>
      <c r="V74" s="103"/>
      <c r="W74" s="103"/>
      <c r="X74" s="103"/>
      <c r="Y74" s="103"/>
      <c r="Z74" s="103"/>
      <c r="AA74" s="105"/>
      <c r="AB74" s="102"/>
    </row>
    <row r="75" spans="1:28" s="99" customFormat="1" ht="65.099999999999994" customHeight="1">
      <c r="A75" s="102"/>
      <c r="B75" s="102"/>
      <c r="C75" s="103"/>
      <c r="D75" s="102"/>
      <c r="E75" s="103"/>
      <c r="F75" s="102"/>
      <c r="G75" s="103"/>
      <c r="H75" s="103"/>
      <c r="I75" s="104"/>
      <c r="J75" s="104"/>
      <c r="K75" s="103"/>
      <c r="L75" s="103"/>
      <c r="M75" s="103"/>
      <c r="N75" s="103"/>
      <c r="O75" s="103"/>
      <c r="P75" s="103"/>
      <c r="Q75" s="103"/>
      <c r="R75" s="103"/>
      <c r="S75" s="103"/>
      <c r="T75" s="103"/>
      <c r="U75" s="103"/>
      <c r="V75" s="103"/>
      <c r="W75" s="103"/>
      <c r="X75" s="103"/>
      <c r="Y75" s="103"/>
      <c r="Z75" s="103"/>
      <c r="AA75" s="105"/>
      <c r="AB75" s="102"/>
    </row>
    <row r="76" spans="1:28" s="99" customFormat="1" ht="65.099999999999994" customHeight="1">
      <c r="A76" s="102"/>
      <c r="B76" s="102"/>
      <c r="C76" s="103"/>
      <c r="D76" s="102"/>
      <c r="E76" s="103"/>
      <c r="F76" s="102"/>
      <c r="G76" s="103"/>
      <c r="H76" s="103"/>
      <c r="I76" s="104"/>
      <c r="J76" s="104"/>
      <c r="K76" s="103"/>
      <c r="L76" s="103"/>
      <c r="M76" s="103"/>
      <c r="N76" s="103"/>
      <c r="O76" s="103"/>
      <c r="P76" s="103"/>
      <c r="Q76" s="103"/>
      <c r="R76" s="103"/>
      <c r="S76" s="103"/>
      <c r="T76" s="103"/>
      <c r="U76" s="103"/>
      <c r="V76" s="103"/>
      <c r="W76" s="103"/>
      <c r="X76" s="103"/>
      <c r="Y76" s="103"/>
      <c r="Z76" s="103"/>
      <c r="AA76" s="105"/>
      <c r="AB76" s="102"/>
    </row>
    <row r="77" spans="1:28" s="99" customFormat="1" ht="65.099999999999994" customHeight="1">
      <c r="A77" s="102"/>
      <c r="B77" s="102"/>
      <c r="C77" s="103"/>
      <c r="D77" s="102"/>
      <c r="E77" s="103"/>
      <c r="F77" s="102"/>
      <c r="G77" s="103"/>
      <c r="H77" s="103"/>
      <c r="I77" s="104"/>
      <c r="J77" s="104"/>
      <c r="K77" s="103"/>
      <c r="L77" s="103"/>
      <c r="M77" s="103"/>
      <c r="N77" s="103"/>
      <c r="O77" s="103"/>
      <c r="P77" s="103"/>
      <c r="Q77" s="103"/>
      <c r="R77" s="103"/>
      <c r="S77" s="103"/>
      <c r="T77" s="103"/>
      <c r="U77" s="103"/>
      <c r="V77" s="103"/>
      <c r="W77" s="103"/>
      <c r="X77" s="103"/>
      <c r="Y77" s="103"/>
      <c r="Z77" s="103"/>
      <c r="AA77" s="105"/>
      <c r="AB77" s="102"/>
    </row>
    <row r="78" spans="1:28" s="99" customFormat="1" ht="65.099999999999994" customHeight="1">
      <c r="A78" s="102"/>
      <c r="B78" s="102"/>
      <c r="C78" s="103"/>
      <c r="D78" s="102"/>
      <c r="E78" s="103"/>
      <c r="F78" s="102"/>
      <c r="G78" s="103"/>
      <c r="H78" s="103"/>
      <c r="I78" s="104"/>
      <c r="J78" s="104"/>
      <c r="K78" s="103"/>
      <c r="L78" s="103"/>
      <c r="M78" s="103"/>
      <c r="N78" s="103"/>
      <c r="O78" s="103"/>
      <c r="P78" s="103"/>
      <c r="Q78" s="103"/>
      <c r="R78" s="103"/>
      <c r="S78" s="103"/>
      <c r="T78" s="103"/>
      <c r="U78" s="103"/>
      <c r="V78" s="103"/>
      <c r="W78" s="103"/>
      <c r="X78" s="103"/>
      <c r="Y78" s="103"/>
      <c r="Z78" s="103"/>
      <c r="AA78" s="105"/>
      <c r="AB78" s="102"/>
    </row>
    <row r="79" spans="1:28" s="99" customFormat="1" ht="65.099999999999994" customHeight="1">
      <c r="A79" s="102"/>
      <c r="B79" s="102"/>
      <c r="C79" s="103"/>
      <c r="D79" s="102"/>
      <c r="E79" s="103"/>
      <c r="F79" s="102"/>
      <c r="G79" s="103"/>
      <c r="H79" s="103"/>
      <c r="I79" s="104"/>
      <c r="J79" s="104"/>
      <c r="K79" s="103"/>
      <c r="L79" s="103"/>
      <c r="M79" s="103"/>
      <c r="N79" s="103"/>
      <c r="O79" s="103"/>
      <c r="P79" s="103"/>
      <c r="Q79" s="103"/>
      <c r="R79" s="103"/>
      <c r="S79" s="103"/>
      <c r="T79" s="103"/>
      <c r="U79" s="103"/>
      <c r="V79" s="103"/>
      <c r="W79" s="103"/>
      <c r="X79" s="103"/>
      <c r="Y79" s="103"/>
      <c r="Z79" s="103"/>
      <c r="AA79" s="105"/>
      <c r="AB79" s="102"/>
    </row>
    <row r="80" spans="1:28" s="101" customFormat="1" ht="65.099999999999994" customHeight="1">
      <c r="A80" s="102"/>
      <c r="B80" s="102"/>
      <c r="C80" s="103"/>
      <c r="D80" s="102"/>
      <c r="E80" s="103"/>
      <c r="F80" s="102"/>
      <c r="G80" s="103"/>
      <c r="H80" s="103"/>
      <c r="I80" s="104"/>
      <c r="J80" s="104"/>
      <c r="K80" s="103"/>
      <c r="L80" s="103"/>
      <c r="M80" s="103"/>
      <c r="N80" s="134"/>
      <c r="O80" s="103"/>
      <c r="P80" s="103"/>
      <c r="Q80" s="103"/>
      <c r="R80" s="103"/>
      <c r="S80" s="103"/>
      <c r="T80" s="103"/>
      <c r="U80" s="103"/>
      <c r="V80" s="103"/>
      <c r="W80" s="103"/>
      <c r="X80" s="103"/>
      <c r="Y80" s="103"/>
      <c r="Z80" s="103"/>
      <c r="AA80" s="105"/>
      <c r="AB80" s="102"/>
    </row>
    <row r="81" spans="1:28" s="101" customFormat="1" ht="65.099999999999994" customHeight="1">
      <c r="A81" s="102"/>
      <c r="B81" s="102"/>
      <c r="C81" s="103"/>
      <c r="D81" s="102"/>
      <c r="E81" s="103"/>
      <c r="F81" s="102"/>
      <c r="G81" s="103"/>
      <c r="H81" s="103"/>
      <c r="I81" s="104"/>
      <c r="J81" s="104"/>
      <c r="K81" s="103"/>
      <c r="L81" s="103"/>
      <c r="M81" s="103"/>
      <c r="N81" s="103"/>
      <c r="O81" s="103"/>
      <c r="P81" s="103"/>
      <c r="Q81" s="103"/>
      <c r="R81" s="103"/>
      <c r="S81" s="103"/>
      <c r="T81" s="103"/>
      <c r="U81" s="103"/>
      <c r="V81" s="103"/>
      <c r="W81" s="103"/>
      <c r="X81" s="103"/>
      <c r="Y81" s="103"/>
      <c r="Z81" s="103"/>
      <c r="AA81" s="105"/>
      <c r="AB81" s="102"/>
    </row>
    <row r="82" spans="1:28" s="101" customFormat="1" ht="65.099999999999994" customHeight="1">
      <c r="A82" s="102"/>
      <c r="B82" s="102"/>
      <c r="C82" s="103"/>
      <c r="D82" s="102"/>
      <c r="E82" s="103"/>
      <c r="F82" s="102"/>
      <c r="G82" s="103"/>
      <c r="H82" s="103"/>
      <c r="I82" s="104"/>
      <c r="J82" s="104"/>
      <c r="K82" s="103"/>
      <c r="L82" s="103"/>
      <c r="M82" s="103"/>
      <c r="N82" s="103"/>
      <c r="O82" s="103"/>
      <c r="P82" s="103"/>
      <c r="Q82" s="103"/>
      <c r="R82" s="103"/>
      <c r="S82" s="103"/>
      <c r="T82" s="103"/>
      <c r="U82" s="103"/>
      <c r="V82" s="103"/>
      <c r="W82" s="103"/>
      <c r="X82" s="103"/>
      <c r="Y82" s="103"/>
      <c r="Z82" s="103"/>
      <c r="AA82" s="105"/>
      <c r="AB82" s="102"/>
    </row>
    <row r="83" spans="1:28" s="101" customFormat="1" ht="65.099999999999994" customHeight="1">
      <c r="A83" s="102"/>
      <c r="B83" s="102"/>
      <c r="C83" s="103"/>
      <c r="D83" s="102"/>
      <c r="E83" s="103"/>
      <c r="F83" s="102"/>
      <c r="G83" s="103"/>
      <c r="H83" s="103"/>
      <c r="I83" s="104"/>
      <c r="J83" s="104"/>
      <c r="K83" s="103"/>
      <c r="L83" s="103"/>
      <c r="M83" s="103"/>
      <c r="N83" s="103"/>
      <c r="O83" s="103"/>
      <c r="P83" s="103"/>
      <c r="Q83" s="103"/>
      <c r="R83" s="103"/>
      <c r="S83" s="103"/>
      <c r="T83" s="103"/>
      <c r="U83" s="103"/>
      <c r="V83" s="103"/>
      <c r="W83" s="103"/>
      <c r="X83" s="103"/>
      <c r="Y83" s="103"/>
      <c r="Z83" s="103"/>
      <c r="AA83" s="105"/>
      <c r="AB83" s="102"/>
    </row>
    <row r="84" spans="1:28" s="101" customFormat="1" ht="65.099999999999994" customHeight="1">
      <c r="A84" s="102"/>
      <c r="B84" s="102"/>
      <c r="C84" s="103"/>
      <c r="D84" s="102"/>
      <c r="E84" s="103"/>
      <c r="F84" s="102"/>
      <c r="G84" s="103"/>
      <c r="H84" s="103"/>
      <c r="I84" s="104"/>
      <c r="J84" s="104"/>
      <c r="K84" s="103"/>
      <c r="L84" s="103"/>
      <c r="M84" s="103"/>
      <c r="N84" s="103"/>
      <c r="O84" s="103"/>
      <c r="P84" s="103"/>
      <c r="Q84" s="103"/>
      <c r="R84" s="103"/>
      <c r="S84" s="103"/>
      <c r="T84" s="103"/>
      <c r="U84" s="103"/>
      <c r="V84" s="103"/>
      <c r="W84" s="103"/>
      <c r="X84" s="103"/>
      <c r="Y84" s="103"/>
      <c r="Z84" s="103"/>
      <c r="AA84" s="105"/>
      <c r="AB84" s="102"/>
    </row>
    <row r="85" spans="1:28" s="99" customFormat="1" ht="65.099999999999994" customHeight="1">
      <c r="A85" s="102"/>
      <c r="B85" s="102"/>
      <c r="C85" s="103"/>
      <c r="D85" s="102"/>
      <c r="E85" s="103"/>
      <c r="F85" s="102"/>
      <c r="G85" s="103"/>
      <c r="H85" s="103"/>
      <c r="I85" s="104"/>
      <c r="J85" s="104"/>
      <c r="K85" s="103"/>
      <c r="L85" s="103"/>
      <c r="M85" s="103"/>
      <c r="N85" s="103"/>
      <c r="O85" s="103"/>
      <c r="P85" s="103"/>
      <c r="Q85" s="103"/>
      <c r="R85" s="103"/>
      <c r="S85" s="103"/>
      <c r="T85" s="103"/>
      <c r="U85" s="103"/>
      <c r="V85" s="103"/>
      <c r="W85" s="103"/>
      <c r="X85" s="103"/>
      <c r="Y85" s="103"/>
      <c r="Z85" s="103"/>
      <c r="AA85" s="105"/>
      <c r="AB85" s="102"/>
    </row>
    <row r="86" spans="1:28" s="99" customFormat="1" ht="65.099999999999994" customHeight="1">
      <c r="A86" s="102"/>
      <c r="B86" s="102"/>
      <c r="C86" s="103"/>
      <c r="D86" s="102"/>
      <c r="E86" s="103"/>
      <c r="F86" s="102"/>
      <c r="G86" s="103"/>
      <c r="H86" s="103"/>
      <c r="I86" s="104"/>
      <c r="J86" s="104"/>
      <c r="K86" s="103"/>
      <c r="L86" s="103"/>
      <c r="M86" s="103"/>
      <c r="N86" s="103"/>
      <c r="O86" s="103"/>
      <c r="P86" s="103"/>
      <c r="Q86" s="103"/>
      <c r="R86" s="103"/>
      <c r="S86" s="103"/>
      <c r="T86" s="103"/>
      <c r="U86" s="103"/>
      <c r="V86" s="103"/>
      <c r="W86" s="103"/>
      <c r="X86" s="103"/>
      <c r="Y86" s="103"/>
      <c r="Z86" s="103"/>
      <c r="AA86" s="105"/>
      <c r="AB86" s="102"/>
    </row>
    <row r="87" spans="1:28" s="99" customFormat="1" ht="65.099999999999994" customHeight="1">
      <c r="A87" s="102"/>
      <c r="B87" s="102"/>
      <c r="C87" s="103"/>
      <c r="D87" s="102"/>
      <c r="E87" s="103"/>
      <c r="F87" s="102"/>
      <c r="G87" s="103"/>
      <c r="H87" s="103"/>
      <c r="I87" s="104"/>
      <c r="J87" s="104"/>
      <c r="K87" s="103"/>
      <c r="L87" s="103"/>
      <c r="M87" s="103"/>
      <c r="N87" s="103"/>
      <c r="O87" s="103"/>
      <c r="P87" s="103"/>
      <c r="Q87" s="103"/>
      <c r="R87" s="103"/>
      <c r="S87" s="103"/>
      <c r="T87" s="103"/>
      <c r="U87" s="103"/>
      <c r="V87" s="103"/>
      <c r="W87" s="103"/>
      <c r="X87" s="103"/>
      <c r="Y87" s="103"/>
      <c r="Z87" s="103"/>
      <c r="AA87" s="105"/>
      <c r="AB87" s="102"/>
    </row>
    <row r="88" spans="1:28" s="99" customFormat="1" ht="65.099999999999994" customHeight="1">
      <c r="A88" s="102"/>
      <c r="B88" s="102"/>
      <c r="C88" s="103"/>
      <c r="D88" s="102"/>
      <c r="E88" s="103"/>
      <c r="F88" s="102"/>
      <c r="G88" s="103"/>
      <c r="H88" s="103"/>
      <c r="I88" s="104"/>
      <c r="J88" s="104"/>
      <c r="K88" s="103"/>
      <c r="L88" s="103"/>
      <c r="M88" s="103"/>
      <c r="N88" s="103"/>
      <c r="O88" s="103"/>
      <c r="P88" s="103"/>
      <c r="Q88" s="103"/>
      <c r="R88" s="103"/>
      <c r="S88" s="103"/>
      <c r="T88" s="103"/>
      <c r="U88" s="103"/>
      <c r="V88" s="103"/>
      <c r="W88" s="103"/>
      <c r="X88" s="103"/>
      <c r="Y88" s="103"/>
      <c r="Z88" s="103"/>
      <c r="AA88" s="105"/>
      <c r="AB88" s="102"/>
    </row>
    <row r="89" spans="1:28" s="99" customFormat="1" ht="65.099999999999994" customHeight="1">
      <c r="A89" s="102"/>
      <c r="B89" s="102"/>
      <c r="C89" s="103"/>
      <c r="D89" s="102"/>
      <c r="E89" s="103"/>
      <c r="F89" s="102"/>
      <c r="G89" s="103"/>
      <c r="H89" s="103"/>
      <c r="I89" s="104"/>
      <c r="J89" s="104"/>
      <c r="K89" s="103"/>
      <c r="L89" s="103"/>
      <c r="M89" s="103"/>
      <c r="N89" s="103"/>
      <c r="O89" s="103"/>
      <c r="P89" s="103"/>
      <c r="Q89" s="103"/>
      <c r="R89" s="103"/>
      <c r="S89" s="103"/>
      <c r="T89" s="103"/>
      <c r="U89" s="103"/>
      <c r="V89" s="103"/>
      <c r="W89" s="103"/>
      <c r="X89" s="103"/>
      <c r="Y89" s="103"/>
      <c r="Z89" s="103"/>
      <c r="AA89" s="105"/>
      <c r="AB89" s="102"/>
    </row>
    <row r="90" spans="1:28" s="99" customFormat="1" ht="65.099999999999994" customHeight="1">
      <c r="A90" s="102"/>
      <c r="B90" s="102"/>
      <c r="C90" s="103"/>
      <c r="D90" s="102"/>
      <c r="E90" s="103"/>
      <c r="F90" s="102"/>
      <c r="G90" s="103"/>
      <c r="H90" s="103"/>
      <c r="I90" s="104"/>
      <c r="J90" s="104"/>
      <c r="K90" s="103"/>
      <c r="L90" s="103"/>
      <c r="M90" s="103"/>
      <c r="N90" s="103"/>
      <c r="O90" s="103"/>
      <c r="P90" s="103"/>
      <c r="Q90" s="103"/>
      <c r="R90" s="103"/>
      <c r="S90" s="103"/>
      <c r="T90" s="103"/>
      <c r="U90" s="103"/>
      <c r="V90" s="103"/>
      <c r="W90" s="103"/>
      <c r="X90" s="103"/>
      <c r="Y90" s="103"/>
      <c r="Z90" s="103"/>
      <c r="AA90" s="105"/>
      <c r="AB90" s="102"/>
    </row>
    <row r="91" spans="1:28" s="99" customFormat="1" ht="65.099999999999994" customHeight="1">
      <c r="A91" s="102"/>
      <c r="B91" s="102"/>
      <c r="C91" s="103"/>
      <c r="D91" s="102"/>
      <c r="E91" s="103"/>
      <c r="F91" s="102"/>
      <c r="G91" s="103"/>
      <c r="H91" s="103"/>
      <c r="I91" s="104"/>
      <c r="J91" s="104"/>
      <c r="K91" s="103"/>
      <c r="L91" s="103"/>
      <c r="M91" s="103"/>
      <c r="N91" s="103"/>
      <c r="O91" s="103"/>
      <c r="P91" s="103"/>
      <c r="Q91" s="103"/>
      <c r="R91" s="103"/>
      <c r="S91" s="103"/>
      <c r="T91" s="103"/>
      <c r="U91" s="103"/>
      <c r="V91" s="103"/>
      <c r="W91" s="103"/>
      <c r="X91" s="103"/>
      <c r="Y91" s="103"/>
      <c r="Z91" s="103"/>
      <c r="AA91" s="105"/>
      <c r="AB91" s="102"/>
    </row>
    <row r="92" spans="1:28" s="99" customFormat="1" ht="65.099999999999994" customHeight="1">
      <c r="A92" s="102"/>
      <c r="B92" s="102"/>
      <c r="C92" s="103"/>
      <c r="D92" s="102"/>
      <c r="E92" s="103"/>
      <c r="F92" s="102"/>
      <c r="G92" s="103"/>
      <c r="H92" s="103"/>
      <c r="I92" s="104"/>
      <c r="J92" s="104"/>
      <c r="K92" s="103"/>
      <c r="L92" s="103"/>
      <c r="M92" s="103"/>
      <c r="N92" s="103"/>
      <c r="O92" s="103"/>
      <c r="P92" s="103"/>
      <c r="Q92" s="103"/>
      <c r="R92" s="103"/>
      <c r="S92" s="103"/>
      <c r="T92" s="103"/>
      <c r="U92" s="103"/>
      <c r="V92" s="103"/>
      <c r="W92" s="103"/>
      <c r="X92" s="103"/>
      <c r="Y92" s="103"/>
      <c r="Z92" s="103"/>
      <c r="AA92" s="105"/>
      <c r="AB92" s="102"/>
    </row>
    <row r="93" spans="1:28" s="99" customFormat="1" ht="65.099999999999994" customHeight="1">
      <c r="A93" s="102"/>
      <c r="B93" s="102"/>
      <c r="C93" s="103"/>
      <c r="D93" s="102"/>
      <c r="E93" s="103"/>
      <c r="F93" s="102"/>
      <c r="G93" s="103"/>
      <c r="H93" s="103"/>
      <c r="I93" s="104"/>
      <c r="J93" s="104"/>
      <c r="K93" s="103"/>
      <c r="L93" s="103"/>
      <c r="M93" s="103"/>
      <c r="N93" s="103"/>
      <c r="O93" s="103"/>
      <c r="P93" s="103"/>
      <c r="Q93" s="103"/>
      <c r="R93" s="103"/>
      <c r="S93" s="103"/>
      <c r="T93" s="103"/>
      <c r="U93" s="103"/>
      <c r="V93" s="103"/>
      <c r="W93" s="103"/>
      <c r="X93" s="103"/>
      <c r="Y93" s="103"/>
      <c r="Z93" s="103"/>
      <c r="AA93" s="105"/>
      <c r="AB93" s="102"/>
    </row>
    <row r="94" spans="1:28" s="99" customFormat="1" ht="65.099999999999994" customHeight="1">
      <c r="A94" s="102"/>
      <c r="B94" s="102"/>
      <c r="C94" s="103"/>
      <c r="D94" s="102"/>
      <c r="E94" s="103"/>
      <c r="F94" s="102"/>
      <c r="G94" s="103"/>
      <c r="H94" s="103"/>
      <c r="I94" s="104"/>
      <c r="J94" s="104"/>
      <c r="K94" s="103"/>
      <c r="L94" s="103"/>
      <c r="M94" s="103"/>
      <c r="N94" s="103"/>
      <c r="O94" s="103"/>
      <c r="P94" s="103"/>
      <c r="Q94" s="103"/>
      <c r="R94" s="103"/>
      <c r="S94" s="103"/>
      <c r="T94" s="103"/>
      <c r="U94" s="103"/>
      <c r="V94" s="103"/>
      <c r="W94" s="103"/>
      <c r="X94" s="103"/>
      <c r="Y94" s="103"/>
      <c r="Z94" s="103"/>
      <c r="AA94" s="105"/>
      <c r="AB94" s="102"/>
    </row>
    <row r="95" spans="1:28" s="99" customFormat="1" ht="65.099999999999994" customHeight="1">
      <c r="A95" s="102"/>
      <c r="B95" s="102"/>
      <c r="C95" s="103"/>
      <c r="D95" s="102"/>
      <c r="E95" s="103"/>
      <c r="F95" s="102"/>
      <c r="G95" s="103"/>
      <c r="H95" s="103"/>
      <c r="I95" s="104"/>
      <c r="J95" s="104"/>
      <c r="K95" s="103"/>
      <c r="L95" s="103"/>
      <c r="M95" s="103"/>
      <c r="N95" s="103"/>
      <c r="O95" s="103"/>
      <c r="P95" s="103"/>
      <c r="Q95" s="103"/>
      <c r="R95" s="103"/>
      <c r="S95" s="103"/>
      <c r="T95" s="103"/>
      <c r="U95" s="103"/>
      <c r="V95" s="103"/>
      <c r="W95" s="103"/>
      <c r="X95" s="103"/>
      <c r="Y95" s="103"/>
      <c r="Z95" s="103"/>
      <c r="AA95" s="105"/>
      <c r="AB95" s="102"/>
    </row>
    <row r="96" spans="1:28" s="99" customFormat="1" ht="65.099999999999994" customHeight="1">
      <c r="A96" s="102"/>
      <c r="B96" s="102"/>
      <c r="C96" s="103"/>
      <c r="D96" s="102"/>
      <c r="E96" s="103"/>
      <c r="F96" s="102"/>
      <c r="G96" s="103"/>
      <c r="H96" s="103"/>
      <c r="I96" s="104"/>
      <c r="J96" s="104"/>
      <c r="K96" s="103"/>
      <c r="L96" s="103"/>
      <c r="M96" s="103"/>
      <c r="N96" s="103"/>
      <c r="O96" s="103"/>
      <c r="P96" s="103"/>
      <c r="Q96" s="103"/>
      <c r="R96" s="103"/>
      <c r="S96" s="103"/>
      <c r="T96" s="103"/>
      <c r="U96" s="103"/>
      <c r="V96" s="103"/>
      <c r="W96" s="103"/>
      <c r="X96" s="103"/>
      <c r="Y96" s="103"/>
      <c r="Z96" s="103"/>
      <c r="AA96" s="105"/>
      <c r="AB96" s="102"/>
    </row>
    <row r="97" spans="1:16384" s="99" customFormat="1" ht="65.099999999999994" customHeight="1">
      <c r="A97" s="102"/>
      <c r="B97" s="102"/>
      <c r="C97" s="103"/>
      <c r="D97" s="102"/>
      <c r="E97" s="103"/>
      <c r="F97" s="102"/>
      <c r="G97" s="103"/>
      <c r="H97" s="103"/>
      <c r="I97" s="104"/>
      <c r="J97" s="104"/>
      <c r="K97" s="103"/>
      <c r="L97" s="103"/>
      <c r="M97" s="103"/>
      <c r="N97" s="103"/>
      <c r="O97" s="103"/>
      <c r="P97" s="103"/>
      <c r="Q97" s="103"/>
      <c r="R97" s="103"/>
      <c r="S97" s="103"/>
      <c r="T97" s="103"/>
      <c r="U97" s="103"/>
      <c r="V97" s="103"/>
      <c r="W97" s="103"/>
      <c r="X97" s="103"/>
      <c r="Y97" s="103"/>
      <c r="Z97" s="103"/>
      <c r="AA97" s="105"/>
      <c r="AB97" s="102"/>
    </row>
    <row r="98" spans="1:16384" s="99" customFormat="1" ht="65.099999999999994" customHeight="1">
      <c r="A98" s="102"/>
      <c r="B98" s="102"/>
      <c r="C98" s="103"/>
      <c r="D98" s="102"/>
      <c r="E98" s="103"/>
      <c r="F98" s="102"/>
      <c r="G98" s="103"/>
      <c r="H98" s="103"/>
      <c r="I98" s="104"/>
      <c r="J98" s="104"/>
      <c r="K98" s="103"/>
      <c r="L98" s="103"/>
      <c r="M98" s="103"/>
      <c r="N98" s="103"/>
      <c r="O98" s="103"/>
      <c r="P98" s="103"/>
      <c r="Q98" s="103"/>
      <c r="R98" s="103"/>
      <c r="S98" s="103"/>
      <c r="T98" s="103"/>
      <c r="U98" s="103"/>
      <c r="V98" s="103"/>
      <c r="W98" s="103"/>
      <c r="X98" s="103"/>
      <c r="Y98" s="103"/>
      <c r="Z98" s="103"/>
      <c r="AA98" s="105"/>
      <c r="AB98" s="102"/>
    </row>
    <row r="99" spans="1:16384" s="99" customFormat="1" ht="63" customHeight="1">
      <c r="A99" s="102"/>
      <c r="B99" s="102"/>
      <c r="C99" s="103"/>
      <c r="D99" s="102"/>
      <c r="E99" s="103"/>
      <c r="F99" s="102"/>
      <c r="G99" s="103"/>
      <c r="H99" s="103"/>
      <c r="I99" s="104"/>
      <c r="J99" s="104"/>
      <c r="K99" s="103"/>
      <c r="L99" s="103"/>
      <c r="M99" s="103"/>
      <c r="N99" s="103"/>
      <c r="O99" s="103"/>
      <c r="P99" s="103"/>
      <c r="Q99" s="103"/>
      <c r="R99" s="103"/>
      <c r="S99" s="103"/>
      <c r="T99" s="103"/>
      <c r="U99" s="103"/>
      <c r="V99" s="103"/>
      <c r="W99" s="103"/>
      <c r="X99" s="103"/>
      <c r="Y99" s="103"/>
      <c r="Z99" s="103"/>
      <c r="AA99" s="105"/>
      <c r="AB99" s="102"/>
    </row>
    <row r="100" spans="1:16384" s="101" customFormat="1" ht="63" customHeight="1">
      <c r="A100" s="102"/>
      <c r="B100" s="102"/>
      <c r="C100" s="103"/>
      <c r="D100" s="102"/>
      <c r="E100" s="103"/>
      <c r="F100" s="102"/>
      <c r="G100" s="103"/>
      <c r="H100" s="103"/>
      <c r="I100" s="104"/>
      <c r="J100" s="104"/>
      <c r="K100" s="103"/>
      <c r="L100" s="103"/>
      <c r="M100" s="103"/>
      <c r="N100" s="103"/>
      <c r="O100" s="103"/>
      <c r="P100" s="103"/>
      <c r="Q100" s="103"/>
      <c r="R100" s="103"/>
      <c r="S100" s="103"/>
      <c r="T100" s="103"/>
      <c r="U100" s="103"/>
      <c r="V100" s="103"/>
      <c r="W100" s="103"/>
      <c r="X100" s="103"/>
      <c r="Y100" s="103"/>
      <c r="Z100" s="103"/>
      <c r="AA100" s="105"/>
      <c r="AB100" s="102"/>
    </row>
    <row r="101" spans="1:16384" s="101" customFormat="1" ht="63" customHeight="1">
      <c r="A101" s="102"/>
      <c r="B101" s="102"/>
      <c r="C101" s="103"/>
      <c r="D101" s="102"/>
      <c r="E101" s="103"/>
      <c r="F101" s="102"/>
      <c r="G101" s="103"/>
      <c r="H101" s="103"/>
      <c r="I101" s="104"/>
      <c r="J101" s="104"/>
      <c r="K101" s="103"/>
      <c r="L101" s="103"/>
      <c r="M101" s="103"/>
      <c r="N101" s="103"/>
      <c r="O101" s="103"/>
      <c r="P101" s="103"/>
      <c r="Q101" s="103"/>
      <c r="R101" s="103"/>
      <c r="S101" s="103"/>
      <c r="T101" s="103"/>
      <c r="U101" s="103"/>
      <c r="V101" s="103"/>
      <c r="W101" s="103"/>
      <c r="X101" s="103"/>
      <c r="Y101" s="103"/>
      <c r="Z101" s="103"/>
      <c r="AA101" s="105"/>
      <c r="AB101" s="102"/>
    </row>
    <row r="102" spans="1:16384" s="99" customFormat="1" ht="65.099999999999994" customHeight="1">
      <c r="A102" s="102"/>
      <c r="B102" s="102"/>
      <c r="C102" s="103"/>
      <c r="D102" s="102"/>
      <c r="E102" s="103"/>
      <c r="F102" s="102"/>
      <c r="G102" s="103"/>
      <c r="H102" s="103"/>
      <c r="I102" s="104" t="s">
        <v>421</v>
      </c>
      <c r="J102" s="104"/>
      <c r="K102" s="103" t="s">
        <v>422</v>
      </c>
      <c r="L102" s="103" t="s">
        <v>423</v>
      </c>
      <c r="M102" s="103"/>
      <c r="N102" s="103"/>
      <c r="O102" s="103"/>
      <c r="P102" s="103"/>
      <c r="Q102" s="103"/>
      <c r="R102" s="103"/>
      <c r="S102" s="103"/>
      <c r="T102" s="103"/>
      <c r="U102" s="103"/>
      <c r="V102" s="103" t="s">
        <v>424</v>
      </c>
      <c r="W102" s="103"/>
      <c r="X102" s="103"/>
      <c r="Y102" s="103"/>
      <c r="Z102" s="103"/>
      <c r="AA102" s="105"/>
      <c r="AB102" s="102"/>
    </row>
    <row r="103" spans="1:16384" s="99" customFormat="1" ht="65.099999999999994" customHeight="1">
      <c r="A103" s="102"/>
      <c r="B103" s="102"/>
      <c r="C103" s="103"/>
      <c r="D103" s="102"/>
      <c r="E103" s="103"/>
      <c r="F103" s="102"/>
      <c r="G103" s="103"/>
      <c r="H103" s="103"/>
      <c r="I103" s="104"/>
      <c r="J103" s="104"/>
      <c r="K103" s="103"/>
      <c r="L103" s="103"/>
      <c r="M103" s="103"/>
      <c r="N103" s="103"/>
      <c r="O103" s="103"/>
      <c r="P103" s="103"/>
      <c r="Q103" s="103"/>
      <c r="R103" s="103"/>
      <c r="S103" s="103"/>
      <c r="T103" s="103"/>
      <c r="U103" s="103"/>
      <c r="V103" s="103"/>
      <c r="W103" s="103"/>
      <c r="X103" s="103"/>
      <c r="Y103" s="103"/>
      <c r="Z103" s="103"/>
      <c r="AA103" s="105"/>
      <c r="AB103" s="102"/>
    </row>
    <row r="104" spans="1:16384" s="99" customFormat="1" ht="93.95" customHeight="1">
      <c r="A104" s="102"/>
      <c r="B104" s="102"/>
      <c r="C104" s="103"/>
      <c r="D104" s="102"/>
      <c r="E104" s="103"/>
      <c r="F104" s="102"/>
      <c r="G104" s="103"/>
      <c r="H104" s="103"/>
      <c r="I104" s="104"/>
      <c r="J104" s="104"/>
      <c r="K104" s="103"/>
      <c r="L104" s="103"/>
      <c r="M104" s="103"/>
      <c r="N104" s="103"/>
      <c r="O104" s="103"/>
      <c r="P104" s="103"/>
      <c r="Q104" s="103"/>
      <c r="R104" s="103"/>
      <c r="S104" s="103"/>
      <c r="T104" s="103"/>
      <c r="U104" s="103"/>
      <c r="V104" s="103"/>
      <c r="W104" s="103"/>
      <c r="X104" s="103"/>
      <c r="Y104" s="103"/>
      <c r="Z104" s="103"/>
      <c r="AA104" s="105"/>
      <c r="AB104" s="102"/>
    </row>
    <row r="105" spans="1:16384" s="99" customFormat="1" ht="84" customHeight="1">
      <c r="A105" s="102"/>
      <c r="B105" s="102"/>
      <c r="C105" s="103"/>
      <c r="D105" s="102"/>
      <c r="E105" s="103"/>
      <c r="F105" s="102"/>
      <c r="G105" s="103"/>
      <c r="H105" s="103"/>
      <c r="I105" s="104"/>
      <c r="J105" s="104"/>
      <c r="K105" s="103"/>
      <c r="L105" s="103"/>
      <c r="M105" s="103"/>
      <c r="N105" s="103"/>
      <c r="O105" s="103"/>
      <c r="P105" s="103"/>
      <c r="Q105" s="103"/>
      <c r="R105" s="103"/>
      <c r="S105" s="103"/>
      <c r="T105" s="103"/>
      <c r="U105" s="103"/>
      <c r="V105" s="178" t="s">
        <v>425</v>
      </c>
      <c r="W105" s="103"/>
      <c r="X105" s="103"/>
      <c r="Y105" s="103"/>
      <c r="Z105" s="103"/>
      <c r="AA105" s="105"/>
      <c r="AB105" s="102"/>
    </row>
    <row r="106" spans="1:16384" s="99" customFormat="1" ht="65.099999999999994" customHeight="1">
      <c r="A106" s="102"/>
      <c r="B106" s="102"/>
      <c r="C106" s="103"/>
      <c r="D106" s="102"/>
      <c r="E106" s="103"/>
      <c r="F106" s="102"/>
      <c r="G106" s="103"/>
      <c r="H106" s="103"/>
      <c r="I106" s="104"/>
      <c r="J106" s="104"/>
      <c r="K106" s="103"/>
      <c r="L106" s="103"/>
      <c r="M106" s="103"/>
      <c r="N106" s="103"/>
      <c r="O106" s="103"/>
      <c r="P106" s="103"/>
      <c r="Q106" s="103"/>
      <c r="R106" s="103"/>
      <c r="S106" s="103"/>
      <c r="T106" s="103"/>
      <c r="U106" s="103"/>
      <c r="V106" s="178" t="s">
        <v>426</v>
      </c>
      <c r="W106" s="103"/>
      <c r="X106" s="103"/>
      <c r="Y106" s="103"/>
      <c r="Z106" s="103"/>
      <c r="AA106" s="105"/>
      <c r="AB106" s="102"/>
    </row>
    <row r="107" spans="1:16384" s="99" customFormat="1" ht="65.099999999999994" customHeight="1">
      <c r="A107" s="102"/>
      <c r="B107" s="102"/>
      <c r="C107" s="103"/>
      <c r="D107" s="102"/>
      <c r="E107" s="103"/>
      <c r="F107" s="102"/>
      <c r="G107" s="103"/>
      <c r="H107" s="103"/>
      <c r="I107" s="104"/>
      <c r="J107" s="104"/>
      <c r="K107" s="103"/>
      <c r="L107" s="103"/>
      <c r="M107" s="103"/>
      <c r="N107" s="103"/>
      <c r="O107" s="103"/>
      <c r="P107" s="103"/>
      <c r="Q107" s="103"/>
      <c r="R107" s="103"/>
      <c r="S107" s="103"/>
      <c r="T107" s="103"/>
      <c r="U107" s="103"/>
      <c r="V107" s="178" t="s">
        <v>427</v>
      </c>
      <c r="W107" s="103"/>
      <c r="X107" s="103"/>
      <c r="Y107" s="103"/>
      <c r="Z107" s="103"/>
      <c r="AA107" s="105"/>
      <c r="AB107" s="102"/>
    </row>
    <row r="108" spans="1:16384" s="99" customFormat="1" ht="65.099999999999994" customHeight="1">
      <c r="A108" s="102"/>
      <c r="B108" s="102"/>
      <c r="C108" s="103"/>
      <c r="D108" s="102"/>
      <c r="E108" s="103"/>
      <c r="F108" s="102"/>
      <c r="G108" s="103"/>
      <c r="H108" s="103"/>
      <c r="I108" s="104"/>
      <c r="J108" s="104"/>
      <c r="K108" s="103"/>
      <c r="L108" s="103"/>
      <c r="M108" s="103"/>
      <c r="N108" s="103"/>
      <c r="O108" s="103"/>
      <c r="P108" s="103"/>
      <c r="Q108" s="103"/>
      <c r="R108" s="103"/>
      <c r="S108" s="103"/>
      <c r="T108" s="103"/>
      <c r="U108" s="103"/>
      <c r="V108" s="103"/>
      <c r="W108" s="103"/>
      <c r="X108" s="103"/>
      <c r="Y108" s="103"/>
      <c r="Z108" s="103"/>
      <c r="AA108" s="105"/>
      <c r="AB108" s="102"/>
    </row>
    <row r="109" spans="1:16384" s="99" customFormat="1" ht="65.099999999999994" customHeight="1">
      <c r="A109" s="102"/>
      <c r="B109" s="102"/>
      <c r="C109" s="103"/>
      <c r="D109" s="102"/>
      <c r="E109" s="103"/>
      <c r="F109" s="102"/>
      <c r="G109" s="103"/>
      <c r="H109" s="103"/>
      <c r="I109" s="104"/>
      <c r="J109" s="104"/>
      <c r="K109" s="103"/>
      <c r="L109" s="103"/>
      <c r="M109" s="103"/>
      <c r="N109" s="103"/>
      <c r="O109" s="103"/>
      <c r="P109" s="103"/>
      <c r="Q109" s="103"/>
      <c r="R109" s="103"/>
      <c r="S109" s="103"/>
      <c r="T109" s="103"/>
      <c r="U109" s="103"/>
      <c r="V109" s="103"/>
      <c r="W109" s="103"/>
      <c r="X109" s="103"/>
      <c r="Y109" s="103"/>
      <c r="Z109" s="103"/>
      <c r="AA109" s="105"/>
      <c r="AB109" s="102"/>
    </row>
    <row r="110" spans="1:16384" s="99" customFormat="1" ht="65.099999999999994" customHeight="1">
      <c r="A110" s="102"/>
      <c r="B110" s="102"/>
      <c r="C110" s="103"/>
      <c r="D110" s="102"/>
      <c r="E110" s="103"/>
      <c r="F110" s="102"/>
      <c r="G110" s="103"/>
      <c r="H110" s="103"/>
      <c r="I110" s="104"/>
      <c r="J110" s="104"/>
      <c r="K110" s="103"/>
      <c r="L110" s="103"/>
      <c r="M110" s="103"/>
      <c r="N110" s="103"/>
      <c r="O110" s="103"/>
      <c r="P110" s="103"/>
      <c r="Q110" s="103"/>
      <c r="R110" s="103"/>
      <c r="S110" s="103"/>
      <c r="T110" s="103"/>
      <c r="U110" s="103"/>
      <c r="V110" s="103"/>
      <c r="W110" s="103"/>
      <c r="X110" s="103"/>
      <c r="Y110" s="103"/>
      <c r="Z110" s="103"/>
      <c r="AA110" s="105"/>
      <c r="AB110" s="102"/>
    </row>
    <row r="111" spans="1:16384" s="99" customFormat="1" ht="65.099999999999994" customHeight="1">
      <c r="A111" s="102"/>
      <c r="B111" s="102"/>
      <c r="C111" s="103"/>
      <c r="D111" s="102"/>
      <c r="E111" s="103"/>
      <c r="F111" s="102"/>
      <c r="G111" s="103"/>
      <c r="H111" s="103"/>
      <c r="I111" s="104"/>
      <c r="J111" s="104"/>
      <c r="K111" s="103"/>
      <c r="L111" s="103"/>
      <c r="M111" s="103"/>
      <c r="N111" s="103"/>
      <c r="O111" s="103"/>
      <c r="P111" s="103"/>
      <c r="Q111" s="103"/>
      <c r="R111" s="103"/>
      <c r="S111" s="103"/>
      <c r="T111" s="103"/>
      <c r="U111" s="103"/>
      <c r="V111" s="103"/>
      <c r="W111" s="103"/>
      <c r="X111" s="103"/>
      <c r="Y111" s="103"/>
      <c r="Z111" s="103"/>
      <c r="AA111" s="105"/>
      <c r="AB111" s="102"/>
      <c r="AC111" s="179"/>
      <c r="AD111" s="180"/>
      <c r="AE111" s="179"/>
      <c r="AF111" s="180"/>
      <c r="AG111" s="179" t="s">
        <v>428</v>
      </c>
      <c r="AH111" s="180" t="str">
        <f>VLOOKUP(AG111,[13]AssetDetails_UEM!$A$3:$AH$1849,6,FALSE)</f>
        <v>Electrosurgical Units, Monopolar/Bipolar</v>
      </c>
      <c r="AI111" s="179" t="s">
        <v>428</v>
      </c>
      <c r="AJ111" s="180" t="str">
        <f>VLOOKUP(AI111,[13]AssetDetails_UEM!$A$3:$AH$1849,6,FALSE)</f>
        <v>Electrosurgical Units, Monopolar/Bipolar</v>
      </c>
      <c r="AK111" s="179" t="s">
        <v>428</v>
      </c>
      <c r="AL111" s="180" t="str">
        <f>VLOOKUP(AK111,[13]AssetDetails_UEM!$A$3:$AH$1849,6,FALSE)</f>
        <v>Electrosurgical Units, Monopolar/Bipolar</v>
      </c>
      <c r="AM111" s="179" t="s">
        <v>428</v>
      </c>
      <c r="AN111" s="180" t="str">
        <f>VLOOKUP(AM111,[13]AssetDetails_UEM!$A$3:$AH$1849,6,FALSE)</f>
        <v>Electrosurgical Units, Monopolar/Bipolar</v>
      </c>
      <c r="AO111" s="179" t="s">
        <v>428</v>
      </c>
      <c r="AP111" s="180" t="str">
        <f>VLOOKUP(AO111,[13]AssetDetails_UEM!$A$3:$AH$1849,6,FALSE)</f>
        <v>Electrosurgical Units, Monopolar/Bipolar</v>
      </c>
      <c r="AQ111" s="179" t="s">
        <v>428</v>
      </c>
      <c r="AR111" s="180" t="str">
        <f>VLOOKUP(AQ111,[13]AssetDetails_UEM!$A$3:$AH$1849,6,FALSE)</f>
        <v>Electrosurgical Units, Monopolar/Bipolar</v>
      </c>
      <c r="AS111" s="179" t="s">
        <v>428</v>
      </c>
      <c r="AT111" s="180" t="str">
        <f>VLOOKUP(AS111,[13]AssetDetails_UEM!$A$3:$AH$1849,6,FALSE)</f>
        <v>Electrosurgical Units, Monopolar/Bipolar</v>
      </c>
      <c r="AU111" s="179" t="s">
        <v>428</v>
      </c>
      <c r="AV111" s="180" t="str">
        <f>VLOOKUP(AU111,[13]AssetDetails_UEM!$A$3:$AH$1849,6,FALSE)</f>
        <v>Electrosurgical Units, Monopolar/Bipolar</v>
      </c>
      <c r="AW111" s="179" t="s">
        <v>428</v>
      </c>
      <c r="AX111" s="180" t="str">
        <f>VLOOKUP(AW111,[13]AssetDetails_UEM!$A$3:$AH$1849,6,FALSE)</f>
        <v>Electrosurgical Units, Monopolar/Bipolar</v>
      </c>
      <c r="AY111" s="179" t="s">
        <v>428</v>
      </c>
      <c r="AZ111" s="180" t="str">
        <f>VLOOKUP(AY111,[13]AssetDetails_UEM!$A$3:$AH$1849,6,FALSE)</f>
        <v>Electrosurgical Units, Monopolar/Bipolar</v>
      </c>
      <c r="BA111" s="179" t="s">
        <v>428</v>
      </c>
      <c r="BB111" s="180" t="str">
        <f>VLOOKUP(BA111,[13]AssetDetails_UEM!$A$3:$AH$1849,6,FALSE)</f>
        <v>Electrosurgical Units, Monopolar/Bipolar</v>
      </c>
      <c r="BC111" s="179" t="s">
        <v>428</v>
      </c>
      <c r="BD111" s="180" t="str">
        <f>VLOOKUP(BC111,[13]AssetDetails_UEM!$A$3:$AH$1849,6,FALSE)</f>
        <v>Electrosurgical Units, Monopolar/Bipolar</v>
      </c>
      <c r="BE111" s="179" t="s">
        <v>428</v>
      </c>
      <c r="BF111" s="180" t="str">
        <f>VLOOKUP(BE111,[13]AssetDetails_UEM!$A$3:$AH$1849,6,FALSE)</f>
        <v>Electrosurgical Units, Monopolar/Bipolar</v>
      </c>
      <c r="BG111" s="179" t="s">
        <v>428</v>
      </c>
      <c r="BH111" s="180" t="str">
        <f>VLOOKUP(BG111,[13]AssetDetails_UEM!$A$3:$AH$1849,6,FALSE)</f>
        <v>Electrosurgical Units, Monopolar/Bipolar</v>
      </c>
      <c r="BI111" s="179" t="s">
        <v>428</v>
      </c>
      <c r="BJ111" s="180" t="str">
        <f>VLOOKUP(BI111,[13]AssetDetails_UEM!$A$3:$AH$1849,6,FALSE)</f>
        <v>Electrosurgical Units, Monopolar/Bipolar</v>
      </c>
      <c r="BK111" s="179" t="s">
        <v>428</v>
      </c>
      <c r="BL111" s="180" t="str">
        <f>VLOOKUP(BK111,[13]AssetDetails_UEM!$A$3:$AH$1849,6,FALSE)</f>
        <v>Electrosurgical Units, Monopolar/Bipolar</v>
      </c>
      <c r="BM111" s="179" t="s">
        <v>428</v>
      </c>
      <c r="BN111" s="180" t="str">
        <f>VLOOKUP(BM111,[13]AssetDetails_UEM!$A$3:$AH$1849,6,FALSE)</f>
        <v>Electrosurgical Units, Monopolar/Bipolar</v>
      </c>
      <c r="BO111" s="179" t="s">
        <v>428</v>
      </c>
      <c r="BP111" s="180" t="str">
        <f>VLOOKUP(BO111,[13]AssetDetails_UEM!$A$3:$AH$1849,6,FALSE)</f>
        <v>Electrosurgical Units, Monopolar/Bipolar</v>
      </c>
      <c r="BQ111" s="179" t="s">
        <v>428</v>
      </c>
      <c r="BR111" s="180" t="str">
        <f>VLOOKUP(BQ111,[13]AssetDetails_UEM!$A$3:$AH$1849,6,FALSE)</f>
        <v>Electrosurgical Units, Monopolar/Bipolar</v>
      </c>
      <c r="BS111" s="179" t="s">
        <v>428</v>
      </c>
      <c r="BT111" s="180" t="str">
        <f>VLOOKUP(BS111,[13]AssetDetails_UEM!$A$3:$AH$1849,6,FALSE)</f>
        <v>Electrosurgical Units, Monopolar/Bipolar</v>
      </c>
      <c r="BU111" s="179" t="s">
        <v>428</v>
      </c>
      <c r="BV111" s="180" t="str">
        <f>VLOOKUP(BU111,[13]AssetDetails_UEM!$A$3:$AH$1849,6,FALSE)</f>
        <v>Electrosurgical Units, Monopolar/Bipolar</v>
      </c>
      <c r="BW111" s="179" t="s">
        <v>428</v>
      </c>
      <c r="BX111" s="180" t="str">
        <f>VLOOKUP(BW111,[13]AssetDetails_UEM!$A$3:$AH$1849,6,FALSE)</f>
        <v>Electrosurgical Units, Monopolar/Bipolar</v>
      </c>
      <c r="BY111" s="179" t="s">
        <v>428</v>
      </c>
      <c r="BZ111" s="180" t="str">
        <f>VLOOKUP(BY111,[13]AssetDetails_UEM!$A$3:$AH$1849,6,FALSE)</f>
        <v>Electrosurgical Units, Monopolar/Bipolar</v>
      </c>
      <c r="CA111" s="179" t="s">
        <v>428</v>
      </c>
      <c r="CB111" s="180" t="str">
        <f>VLOOKUP(CA111,[13]AssetDetails_UEM!$A$3:$AH$1849,6,FALSE)</f>
        <v>Electrosurgical Units, Monopolar/Bipolar</v>
      </c>
      <c r="CC111" s="179" t="s">
        <v>428</v>
      </c>
      <c r="CD111" s="180" t="str">
        <f>VLOOKUP(CC111,[13]AssetDetails_UEM!$A$3:$AH$1849,6,FALSE)</f>
        <v>Electrosurgical Units, Monopolar/Bipolar</v>
      </c>
      <c r="CE111" s="179" t="s">
        <v>428</v>
      </c>
      <c r="CF111" s="180" t="str">
        <f>VLOOKUP(CE111,[13]AssetDetails_UEM!$A$3:$AH$1849,6,FALSE)</f>
        <v>Electrosurgical Units, Monopolar/Bipolar</v>
      </c>
      <c r="CG111" s="179" t="s">
        <v>428</v>
      </c>
      <c r="CH111" s="180" t="str">
        <f>VLOOKUP(CG111,[13]AssetDetails_UEM!$A$3:$AH$1849,6,FALSE)</f>
        <v>Electrosurgical Units, Monopolar/Bipolar</v>
      </c>
      <c r="CI111" s="179" t="s">
        <v>428</v>
      </c>
      <c r="CJ111" s="180" t="str">
        <f>VLOOKUP(CI111,[13]AssetDetails_UEM!$A$3:$AH$1849,6,FALSE)</f>
        <v>Electrosurgical Units, Monopolar/Bipolar</v>
      </c>
      <c r="CK111" s="179" t="s">
        <v>428</v>
      </c>
      <c r="CL111" s="180" t="str">
        <f>VLOOKUP(CK111,[13]AssetDetails_UEM!$A$3:$AH$1849,6,FALSE)</f>
        <v>Electrosurgical Units, Monopolar/Bipolar</v>
      </c>
      <c r="CM111" s="179" t="s">
        <v>428</v>
      </c>
      <c r="CN111" s="180" t="str">
        <f>VLOOKUP(CM111,[13]AssetDetails_UEM!$A$3:$AH$1849,6,FALSE)</f>
        <v>Electrosurgical Units, Monopolar/Bipolar</v>
      </c>
      <c r="CO111" s="179" t="s">
        <v>428</v>
      </c>
      <c r="CP111" s="180" t="str">
        <f>VLOOKUP(CO111,[13]AssetDetails_UEM!$A$3:$AH$1849,6,FALSE)</f>
        <v>Electrosurgical Units, Monopolar/Bipolar</v>
      </c>
      <c r="CQ111" s="179" t="s">
        <v>428</v>
      </c>
      <c r="CR111" s="180" t="str">
        <f>VLOOKUP(CQ111,[13]AssetDetails_UEM!$A$3:$AH$1849,6,FALSE)</f>
        <v>Electrosurgical Units, Monopolar/Bipolar</v>
      </c>
      <c r="CS111" s="179" t="s">
        <v>428</v>
      </c>
      <c r="CT111" s="180" t="str">
        <f>VLOOKUP(CS111,[13]AssetDetails_UEM!$A$3:$AH$1849,6,FALSE)</f>
        <v>Electrosurgical Units, Monopolar/Bipolar</v>
      </c>
      <c r="CU111" s="179" t="s">
        <v>428</v>
      </c>
      <c r="CV111" s="180" t="str">
        <f>VLOOKUP(CU111,[13]AssetDetails_UEM!$A$3:$AH$1849,6,FALSE)</f>
        <v>Electrosurgical Units, Monopolar/Bipolar</v>
      </c>
      <c r="CW111" s="179" t="s">
        <v>428</v>
      </c>
      <c r="CX111" s="180" t="str">
        <f>VLOOKUP(CW111,[13]AssetDetails_UEM!$A$3:$AH$1849,6,FALSE)</f>
        <v>Electrosurgical Units, Monopolar/Bipolar</v>
      </c>
      <c r="CY111" s="179" t="s">
        <v>428</v>
      </c>
      <c r="CZ111" s="180" t="str">
        <f>VLOOKUP(CY111,[13]AssetDetails_UEM!$A$3:$AH$1849,6,FALSE)</f>
        <v>Electrosurgical Units, Monopolar/Bipolar</v>
      </c>
      <c r="DA111" s="179" t="s">
        <v>428</v>
      </c>
      <c r="DB111" s="180" t="str">
        <f>VLOOKUP(DA111,[13]AssetDetails_UEM!$A$3:$AH$1849,6,FALSE)</f>
        <v>Electrosurgical Units, Monopolar/Bipolar</v>
      </c>
      <c r="DC111" s="179" t="s">
        <v>428</v>
      </c>
      <c r="DD111" s="180" t="str">
        <f>VLOOKUP(DC111,[13]AssetDetails_UEM!$A$3:$AH$1849,6,FALSE)</f>
        <v>Electrosurgical Units, Monopolar/Bipolar</v>
      </c>
      <c r="DE111" s="179" t="s">
        <v>428</v>
      </c>
      <c r="DF111" s="180" t="str">
        <f>VLOOKUP(DE111,[13]AssetDetails_UEM!$A$3:$AH$1849,6,FALSE)</f>
        <v>Electrosurgical Units, Monopolar/Bipolar</v>
      </c>
      <c r="DG111" s="179" t="s">
        <v>428</v>
      </c>
      <c r="DH111" s="180" t="str">
        <f>VLOOKUP(DG111,[13]AssetDetails_UEM!$A$3:$AH$1849,6,FALSE)</f>
        <v>Electrosurgical Units, Monopolar/Bipolar</v>
      </c>
      <c r="DI111" s="179" t="s">
        <v>428</v>
      </c>
      <c r="DJ111" s="180" t="str">
        <f>VLOOKUP(DI111,[13]AssetDetails_UEM!$A$3:$AH$1849,6,FALSE)</f>
        <v>Electrosurgical Units, Monopolar/Bipolar</v>
      </c>
      <c r="DK111" s="179" t="s">
        <v>428</v>
      </c>
      <c r="DL111" s="180" t="str">
        <f>VLOOKUP(DK111,[13]AssetDetails_UEM!$A$3:$AH$1849,6,FALSE)</f>
        <v>Electrosurgical Units, Monopolar/Bipolar</v>
      </c>
      <c r="DM111" s="179" t="s">
        <v>428</v>
      </c>
      <c r="DN111" s="180" t="str">
        <f>VLOOKUP(DM111,[13]AssetDetails_UEM!$A$3:$AH$1849,6,FALSE)</f>
        <v>Electrosurgical Units, Monopolar/Bipolar</v>
      </c>
      <c r="DO111" s="179" t="s">
        <v>428</v>
      </c>
      <c r="DP111" s="180" t="str">
        <f>VLOOKUP(DO111,[13]AssetDetails_UEM!$A$3:$AH$1849,6,FALSE)</f>
        <v>Electrosurgical Units, Monopolar/Bipolar</v>
      </c>
      <c r="DQ111" s="179" t="s">
        <v>428</v>
      </c>
      <c r="DR111" s="180" t="str">
        <f>VLOOKUP(DQ111,[13]AssetDetails_UEM!$A$3:$AH$1849,6,FALSE)</f>
        <v>Electrosurgical Units, Monopolar/Bipolar</v>
      </c>
      <c r="DS111" s="179" t="s">
        <v>428</v>
      </c>
      <c r="DT111" s="180" t="str">
        <f>VLOOKUP(DS111,[13]AssetDetails_UEM!$A$3:$AH$1849,6,FALSE)</f>
        <v>Electrosurgical Units, Monopolar/Bipolar</v>
      </c>
      <c r="DU111" s="179" t="s">
        <v>428</v>
      </c>
      <c r="DV111" s="180" t="str">
        <f>VLOOKUP(DU111,[13]AssetDetails_UEM!$A$3:$AH$1849,6,FALSE)</f>
        <v>Electrosurgical Units, Monopolar/Bipolar</v>
      </c>
      <c r="DW111" s="179" t="s">
        <v>428</v>
      </c>
      <c r="DX111" s="180" t="str">
        <f>VLOOKUP(DW111,[13]AssetDetails_UEM!$A$3:$AH$1849,6,FALSE)</f>
        <v>Electrosurgical Units, Monopolar/Bipolar</v>
      </c>
      <c r="DY111" s="179" t="s">
        <v>428</v>
      </c>
      <c r="DZ111" s="180" t="str">
        <f>VLOOKUP(DY111,[13]AssetDetails_UEM!$A$3:$AH$1849,6,FALSE)</f>
        <v>Electrosurgical Units, Monopolar/Bipolar</v>
      </c>
      <c r="EA111" s="179" t="s">
        <v>428</v>
      </c>
      <c r="EB111" s="180" t="str">
        <f>VLOOKUP(EA111,[13]AssetDetails_UEM!$A$3:$AH$1849,6,FALSE)</f>
        <v>Electrosurgical Units, Monopolar/Bipolar</v>
      </c>
      <c r="EC111" s="179" t="s">
        <v>428</v>
      </c>
      <c r="ED111" s="180" t="str">
        <f>VLOOKUP(EC111,[13]AssetDetails_UEM!$A$3:$AH$1849,6,FALSE)</f>
        <v>Electrosurgical Units, Monopolar/Bipolar</v>
      </c>
      <c r="EE111" s="179" t="s">
        <v>428</v>
      </c>
      <c r="EF111" s="180" t="str">
        <f>VLOOKUP(EE111,[13]AssetDetails_UEM!$A$3:$AH$1849,6,FALSE)</f>
        <v>Electrosurgical Units, Monopolar/Bipolar</v>
      </c>
      <c r="EG111" s="179" t="s">
        <v>428</v>
      </c>
      <c r="EH111" s="180" t="str">
        <f>VLOOKUP(EG111,[13]AssetDetails_UEM!$A$3:$AH$1849,6,FALSE)</f>
        <v>Electrosurgical Units, Monopolar/Bipolar</v>
      </c>
      <c r="EI111" s="179" t="s">
        <v>428</v>
      </c>
      <c r="EJ111" s="180" t="str">
        <f>VLOOKUP(EI111,[13]AssetDetails_UEM!$A$3:$AH$1849,6,FALSE)</f>
        <v>Electrosurgical Units, Monopolar/Bipolar</v>
      </c>
      <c r="EK111" s="179" t="s">
        <v>428</v>
      </c>
      <c r="EL111" s="180" t="str">
        <f>VLOOKUP(EK111,[13]AssetDetails_UEM!$A$3:$AH$1849,6,FALSE)</f>
        <v>Electrosurgical Units, Monopolar/Bipolar</v>
      </c>
      <c r="EM111" s="179" t="s">
        <v>428</v>
      </c>
      <c r="EN111" s="180" t="str">
        <f>VLOOKUP(EM111,[13]AssetDetails_UEM!$A$3:$AH$1849,6,FALSE)</f>
        <v>Electrosurgical Units, Monopolar/Bipolar</v>
      </c>
      <c r="EO111" s="179" t="s">
        <v>428</v>
      </c>
      <c r="EP111" s="180" t="str">
        <f>VLOOKUP(EO111,[13]AssetDetails_UEM!$A$3:$AH$1849,6,FALSE)</f>
        <v>Electrosurgical Units, Monopolar/Bipolar</v>
      </c>
      <c r="EQ111" s="179" t="s">
        <v>428</v>
      </c>
      <c r="ER111" s="180" t="str">
        <f>VLOOKUP(EQ111,[13]AssetDetails_UEM!$A$3:$AH$1849,6,FALSE)</f>
        <v>Electrosurgical Units, Monopolar/Bipolar</v>
      </c>
      <c r="ES111" s="179" t="s">
        <v>428</v>
      </c>
      <c r="ET111" s="180" t="str">
        <f>VLOOKUP(ES111,[13]AssetDetails_UEM!$A$3:$AH$1849,6,FALSE)</f>
        <v>Electrosurgical Units, Monopolar/Bipolar</v>
      </c>
      <c r="EU111" s="179" t="s">
        <v>428</v>
      </c>
      <c r="EV111" s="180" t="str">
        <f>VLOOKUP(EU111,[13]AssetDetails_UEM!$A$3:$AH$1849,6,FALSE)</f>
        <v>Electrosurgical Units, Monopolar/Bipolar</v>
      </c>
      <c r="EW111" s="179" t="s">
        <v>428</v>
      </c>
      <c r="EX111" s="180" t="str">
        <f>VLOOKUP(EW111,[13]AssetDetails_UEM!$A$3:$AH$1849,6,FALSE)</f>
        <v>Electrosurgical Units, Monopolar/Bipolar</v>
      </c>
      <c r="EY111" s="179" t="s">
        <v>428</v>
      </c>
      <c r="EZ111" s="180" t="str">
        <f>VLOOKUP(EY111,[13]AssetDetails_UEM!$A$3:$AH$1849,6,FALSE)</f>
        <v>Electrosurgical Units, Monopolar/Bipolar</v>
      </c>
      <c r="FA111" s="179" t="s">
        <v>428</v>
      </c>
      <c r="FB111" s="180" t="str">
        <f>VLOOKUP(FA111,[13]AssetDetails_UEM!$A$3:$AH$1849,6,FALSE)</f>
        <v>Electrosurgical Units, Monopolar/Bipolar</v>
      </c>
      <c r="FC111" s="179" t="s">
        <v>428</v>
      </c>
      <c r="FD111" s="180" t="str">
        <f>VLOOKUP(FC111,[13]AssetDetails_UEM!$A$3:$AH$1849,6,FALSE)</f>
        <v>Electrosurgical Units, Monopolar/Bipolar</v>
      </c>
      <c r="FE111" s="179" t="s">
        <v>428</v>
      </c>
      <c r="FF111" s="180" t="str">
        <f>VLOOKUP(FE111,[13]AssetDetails_UEM!$A$3:$AH$1849,6,FALSE)</f>
        <v>Electrosurgical Units, Monopolar/Bipolar</v>
      </c>
      <c r="FG111" s="179" t="s">
        <v>428</v>
      </c>
      <c r="FH111" s="180" t="str">
        <f>VLOOKUP(FG111,[13]AssetDetails_UEM!$A$3:$AH$1849,6,FALSE)</f>
        <v>Electrosurgical Units, Monopolar/Bipolar</v>
      </c>
      <c r="FI111" s="179" t="s">
        <v>428</v>
      </c>
      <c r="FJ111" s="180" t="str">
        <f>VLOOKUP(FI111,[13]AssetDetails_UEM!$A$3:$AH$1849,6,FALSE)</f>
        <v>Electrosurgical Units, Monopolar/Bipolar</v>
      </c>
      <c r="FK111" s="179" t="s">
        <v>428</v>
      </c>
      <c r="FL111" s="180" t="str">
        <f>VLOOKUP(FK111,[13]AssetDetails_UEM!$A$3:$AH$1849,6,FALSE)</f>
        <v>Electrosurgical Units, Monopolar/Bipolar</v>
      </c>
      <c r="FM111" s="179" t="s">
        <v>428</v>
      </c>
      <c r="FN111" s="180" t="str">
        <f>VLOOKUP(FM111,[13]AssetDetails_UEM!$A$3:$AH$1849,6,FALSE)</f>
        <v>Electrosurgical Units, Monopolar/Bipolar</v>
      </c>
      <c r="FO111" s="179" t="s">
        <v>428</v>
      </c>
      <c r="FP111" s="180" t="str">
        <f>VLOOKUP(FO111,[13]AssetDetails_UEM!$A$3:$AH$1849,6,FALSE)</f>
        <v>Electrosurgical Units, Monopolar/Bipolar</v>
      </c>
      <c r="FQ111" s="179" t="s">
        <v>428</v>
      </c>
      <c r="FR111" s="180" t="str">
        <f>VLOOKUP(FQ111,[13]AssetDetails_UEM!$A$3:$AH$1849,6,FALSE)</f>
        <v>Electrosurgical Units, Monopolar/Bipolar</v>
      </c>
      <c r="FS111" s="179" t="s">
        <v>428</v>
      </c>
      <c r="FT111" s="180" t="str">
        <f>VLOOKUP(FS111,[13]AssetDetails_UEM!$A$3:$AH$1849,6,FALSE)</f>
        <v>Electrosurgical Units, Monopolar/Bipolar</v>
      </c>
      <c r="FU111" s="179" t="s">
        <v>428</v>
      </c>
      <c r="FV111" s="180" t="str">
        <f>VLOOKUP(FU111,[13]AssetDetails_UEM!$A$3:$AH$1849,6,FALSE)</f>
        <v>Electrosurgical Units, Monopolar/Bipolar</v>
      </c>
      <c r="FW111" s="179" t="s">
        <v>428</v>
      </c>
      <c r="FX111" s="180" t="str">
        <f>VLOOKUP(FW111,[13]AssetDetails_UEM!$A$3:$AH$1849,6,FALSE)</f>
        <v>Electrosurgical Units, Monopolar/Bipolar</v>
      </c>
      <c r="FY111" s="179" t="s">
        <v>428</v>
      </c>
      <c r="FZ111" s="180" t="str">
        <f>VLOOKUP(FY111,[13]AssetDetails_UEM!$A$3:$AH$1849,6,FALSE)</f>
        <v>Electrosurgical Units, Monopolar/Bipolar</v>
      </c>
      <c r="GA111" s="179" t="s">
        <v>428</v>
      </c>
      <c r="GB111" s="180" t="str">
        <f>VLOOKUP(GA111,[13]AssetDetails_UEM!$A$3:$AH$1849,6,FALSE)</f>
        <v>Electrosurgical Units, Monopolar/Bipolar</v>
      </c>
      <c r="GC111" s="179" t="s">
        <v>428</v>
      </c>
      <c r="GD111" s="180" t="str">
        <f>VLOOKUP(GC111,[13]AssetDetails_UEM!$A$3:$AH$1849,6,FALSE)</f>
        <v>Electrosurgical Units, Monopolar/Bipolar</v>
      </c>
      <c r="GE111" s="179" t="s">
        <v>428</v>
      </c>
      <c r="GF111" s="180" t="str">
        <f>VLOOKUP(GE111,[13]AssetDetails_UEM!$A$3:$AH$1849,6,FALSE)</f>
        <v>Electrosurgical Units, Monopolar/Bipolar</v>
      </c>
      <c r="GG111" s="179" t="s">
        <v>428</v>
      </c>
      <c r="GH111" s="180" t="str">
        <f>VLOOKUP(GG111,[13]AssetDetails_UEM!$A$3:$AH$1849,6,FALSE)</f>
        <v>Electrosurgical Units, Monopolar/Bipolar</v>
      </c>
      <c r="GI111" s="179" t="s">
        <v>428</v>
      </c>
      <c r="GJ111" s="180" t="str">
        <f>VLOOKUP(GI111,[13]AssetDetails_UEM!$A$3:$AH$1849,6,FALSE)</f>
        <v>Electrosurgical Units, Monopolar/Bipolar</v>
      </c>
      <c r="GK111" s="179" t="s">
        <v>428</v>
      </c>
      <c r="GL111" s="180" t="str">
        <f>VLOOKUP(GK111,[13]AssetDetails_UEM!$A$3:$AH$1849,6,FALSE)</f>
        <v>Electrosurgical Units, Monopolar/Bipolar</v>
      </c>
      <c r="GM111" s="179" t="s">
        <v>428</v>
      </c>
      <c r="GN111" s="180" t="str">
        <f>VLOOKUP(GM111,[13]AssetDetails_UEM!$A$3:$AH$1849,6,FALSE)</f>
        <v>Electrosurgical Units, Monopolar/Bipolar</v>
      </c>
      <c r="GO111" s="179" t="s">
        <v>428</v>
      </c>
      <c r="GP111" s="180" t="str">
        <f>VLOOKUP(GO111,[13]AssetDetails_UEM!$A$3:$AH$1849,6,FALSE)</f>
        <v>Electrosurgical Units, Monopolar/Bipolar</v>
      </c>
      <c r="GQ111" s="179" t="s">
        <v>428</v>
      </c>
      <c r="GR111" s="180" t="str">
        <f>VLOOKUP(GQ111,[13]AssetDetails_UEM!$A$3:$AH$1849,6,FALSE)</f>
        <v>Electrosurgical Units, Monopolar/Bipolar</v>
      </c>
      <c r="GS111" s="179" t="s">
        <v>428</v>
      </c>
      <c r="GT111" s="180" t="str">
        <f>VLOOKUP(GS111,[13]AssetDetails_UEM!$A$3:$AH$1849,6,FALSE)</f>
        <v>Electrosurgical Units, Monopolar/Bipolar</v>
      </c>
      <c r="GU111" s="179" t="s">
        <v>428</v>
      </c>
      <c r="GV111" s="180" t="str">
        <f>VLOOKUP(GU111,[13]AssetDetails_UEM!$A$3:$AH$1849,6,FALSE)</f>
        <v>Electrosurgical Units, Monopolar/Bipolar</v>
      </c>
      <c r="GW111" s="179" t="s">
        <v>428</v>
      </c>
      <c r="GX111" s="180" t="str">
        <f>VLOOKUP(GW111,[13]AssetDetails_UEM!$A$3:$AH$1849,6,FALSE)</f>
        <v>Electrosurgical Units, Monopolar/Bipolar</v>
      </c>
      <c r="GY111" s="179" t="s">
        <v>428</v>
      </c>
      <c r="GZ111" s="180" t="str">
        <f>VLOOKUP(GY111,[13]AssetDetails_UEM!$A$3:$AH$1849,6,FALSE)</f>
        <v>Electrosurgical Units, Monopolar/Bipolar</v>
      </c>
      <c r="HA111" s="179" t="s">
        <v>428</v>
      </c>
      <c r="HB111" s="180" t="str">
        <f>VLOOKUP(HA111,[13]AssetDetails_UEM!$A$3:$AH$1849,6,FALSE)</f>
        <v>Electrosurgical Units, Monopolar/Bipolar</v>
      </c>
      <c r="HC111" s="179" t="s">
        <v>428</v>
      </c>
      <c r="HD111" s="180" t="str">
        <f>VLOOKUP(HC111,[13]AssetDetails_UEM!$A$3:$AH$1849,6,FALSE)</f>
        <v>Electrosurgical Units, Monopolar/Bipolar</v>
      </c>
      <c r="HE111" s="179" t="s">
        <v>428</v>
      </c>
      <c r="HF111" s="180" t="str">
        <f>VLOOKUP(HE111,[13]AssetDetails_UEM!$A$3:$AH$1849,6,FALSE)</f>
        <v>Electrosurgical Units, Monopolar/Bipolar</v>
      </c>
      <c r="HG111" s="179" t="s">
        <v>428</v>
      </c>
      <c r="HH111" s="180" t="str">
        <f>VLOOKUP(HG111,[13]AssetDetails_UEM!$A$3:$AH$1849,6,FALSE)</f>
        <v>Electrosurgical Units, Monopolar/Bipolar</v>
      </c>
      <c r="HI111" s="179" t="s">
        <v>428</v>
      </c>
      <c r="HJ111" s="180" t="str">
        <f>VLOOKUP(HI111,[13]AssetDetails_UEM!$A$3:$AH$1849,6,FALSE)</f>
        <v>Electrosurgical Units, Monopolar/Bipolar</v>
      </c>
      <c r="HK111" s="179" t="s">
        <v>428</v>
      </c>
      <c r="HL111" s="180" t="str">
        <f>VLOOKUP(HK111,[13]AssetDetails_UEM!$A$3:$AH$1849,6,FALSE)</f>
        <v>Electrosurgical Units, Monopolar/Bipolar</v>
      </c>
      <c r="HM111" s="179" t="s">
        <v>428</v>
      </c>
      <c r="HN111" s="180" t="str">
        <f>VLOOKUP(HM111,[13]AssetDetails_UEM!$A$3:$AH$1849,6,FALSE)</f>
        <v>Electrosurgical Units, Monopolar/Bipolar</v>
      </c>
      <c r="HO111" s="179" t="s">
        <v>428</v>
      </c>
      <c r="HP111" s="180" t="str">
        <f>VLOOKUP(HO111,[13]AssetDetails_UEM!$A$3:$AH$1849,6,FALSE)</f>
        <v>Electrosurgical Units, Monopolar/Bipolar</v>
      </c>
      <c r="HQ111" s="179" t="s">
        <v>428</v>
      </c>
      <c r="HR111" s="180" t="str">
        <f>VLOOKUP(HQ111,[13]AssetDetails_UEM!$A$3:$AH$1849,6,FALSE)</f>
        <v>Electrosurgical Units, Monopolar/Bipolar</v>
      </c>
      <c r="HS111" s="179" t="s">
        <v>428</v>
      </c>
      <c r="HT111" s="180" t="str">
        <f>VLOOKUP(HS111,[13]AssetDetails_UEM!$A$3:$AH$1849,6,FALSE)</f>
        <v>Electrosurgical Units, Monopolar/Bipolar</v>
      </c>
      <c r="HU111" s="179" t="s">
        <v>428</v>
      </c>
      <c r="HV111" s="180" t="str">
        <f>VLOOKUP(HU111,[13]AssetDetails_UEM!$A$3:$AH$1849,6,FALSE)</f>
        <v>Electrosurgical Units, Monopolar/Bipolar</v>
      </c>
      <c r="HW111" s="179" t="s">
        <v>428</v>
      </c>
      <c r="HX111" s="180" t="str">
        <f>VLOOKUP(HW111,[13]AssetDetails_UEM!$A$3:$AH$1849,6,FALSE)</f>
        <v>Electrosurgical Units, Monopolar/Bipolar</v>
      </c>
      <c r="HY111" s="179" t="s">
        <v>428</v>
      </c>
      <c r="HZ111" s="180" t="str">
        <f>VLOOKUP(HY111,[13]AssetDetails_UEM!$A$3:$AH$1849,6,FALSE)</f>
        <v>Electrosurgical Units, Monopolar/Bipolar</v>
      </c>
      <c r="IA111" s="179" t="s">
        <v>428</v>
      </c>
      <c r="IB111" s="180" t="str">
        <f>VLOOKUP(IA111,[13]AssetDetails_UEM!$A$3:$AH$1849,6,FALSE)</f>
        <v>Electrosurgical Units, Monopolar/Bipolar</v>
      </c>
      <c r="IC111" s="179" t="s">
        <v>428</v>
      </c>
      <c r="ID111" s="180" t="str">
        <f>VLOOKUP(IC111,[13]AssetDetails_UEM!$A$3:$AH$1849,6,FALSE)</f>
        <v>Electrosurgical Units, Monopolar/Bipolar</v>
      </c>
      <c r="IE111" s="179" t="s">
        <v>428</v>
      </c>
      <c r="IF111" s="180" t="str">
        <f>VLOOKUP(IE111,[13]AssetDetails_UEM!$A$3:$AH$1849,6,FALSE)</f>
        <v>Electrosurgical Units, Monopolar/Bipolar</v>
      </c>
      <c r="IG111" s="179" t="s">
        <v>428</v>
      </c>
      <c r="IH111" s="180" t="str">
        <f>VLOOKUP(IG111,[13]AssetDetails_UEM!$A$3:$AH$1849,6,FALSE)</f>
        <v>Electrosurgical Units, Monopolar/Bipolar</v>
      </c>
      <c r="II111" s="179" t="s">
        <v>428</v>
      </c>
      <c r="IJ111" s="180" t="str">
        <f>VLOOKUP(II111,[13]AssetDetails_UEM!$A$3:$AH$1849,6,FALSE)</f>
        <v>Electrosurgical Units, Monopolar/Bipolar</v>
      </c>
      <c r="IK111" s="179" t="s">
        <v>428</v>
      </c>
      <c r="IL111" s="180" t="str">
        <f>VLOOKUP(IK111,[13]AssetDetails_UEM!$A$3:$AH$1849,6,FALSE)</f>
        <v>Electrosurgical Units, Monopolar/Bipolar</v>
      </c>
      <c r="IM111" s="179" t="s">
        <v>428</v>
      </c>
      <c r="IN111" s="180" t="str">
        <f>VLOOKUP(IM111,[13]AssetDetails_UEM!$A$3:$AH$1849,6,FALSE)</f>
        <v>Electrosurgical Units, Monopolar/Bipolar</v>
      </c>
      <c r="IO111" s="179" t="s">
        <v>428</v>
      </c>
      <c r="IP111" s="180" t="str">
        <f>VLOOKUP(IO111,[13]AssetDetails_UEM!$A$3:$AH$1849,6,FALSE)</f>
        <v>Electrosurgical Units, Monopolar/Bipolar</v>
      </c>
      <c r="IQ111" s="179" t="s">
        <v>428</v>
      </c>
      <c r="IR111" s="180" t="str">
        <f>VLOOKUP(IQ111,[13]AssetDetails_UEM!$A$3:$AH$1849,6,FALSE)</f>
        <v>Electrosurgical Units, Monopolar/Bipolar</v>
      </c>
      <c r="IS111" s="179" t="s">
        <v>428</v>
      </c>
      <c r="IT111" s="180" t="str">
        <f>VLOOKUP(IS111,[13]AssetDetails_UEM!$A$3:$AH$1849,6,FALSE)</f>
        <v>Electrosurgical Units, Monopolar/Bipolar</v>
      </c>
      <c r="IU111" s="179" t="s">
        <v>428</v>
      </c>
      <c r="IV111" s="180" t="str">
        <f>VLOOKUP(IU111,[13]AssetDetails_UEM!$A$3:$AH$1849,6,FALSE)</f>
        <v>Electrosurgical Units, Monopolar/Bipolar</v>
      </c>
      <c r="IW111" s="179" t="s">
        <v>428</v>
      </c>
      <c r="IX111" s="180" t="str">
        <f>VLOOKUP(IW111,[13]AssetDetails_UEM!$A$3:$AH$1849,6,FALSE)</f>
        <v>Electrosurgical Units, Monopolar/Bipolar</v>
      </c>
      <c r="IY111" s="179" t="s">
        <v>428</v>
      </c>
      <c r="IZ111" s="180" t="str">
        <f>VLOOKUP(IY111,[13]AssetDetails_UEM!$A$3:$AH$1849,6,FALSE)</f>
        <v>Electrosurgical Units, Monopolar/Bipolar</v>
      </c>
      <c r="JA111" s="179" t="s">
        <v>428</v>
      </c>
      <c r="JB111" s="180" t="str">
        <f>VLOOKUP(JA111,[13]AssetDetails_UEM!$A$3:$AH$1849,6,FALSE)</f>
        <v>Electrosurgical Units, Monopolar/Bipolar</v>
      </c>
      <c r="JC111" s="179" t="s">
        <v>428</v>
      </c>
      <c r="JD111" s="180" t="str">
        <f>VLOOKUP(JC111,[13]AssetDetails_UEM!$A$3:$AH$1849,6,FALSE)</f>
        <v>Electrosurgical Units, Monopolar/Bipolar</v>
      </c>
      <c r="JE111" s="179" t="s">
        <v>428</v>
      </c>
      <c r="JF111" s="180" t="str">
        <f>VLOOKUP(JE111,[13]AssetDetails_UEM!$A$3:$AH$1849,6,FALSE)</f>
        <v>Electrosurgical Units, Monopolar/Bipolar</v>
      </c>
      <c r="JG111" s="179" t="s">
        <v>428</v>
      </c>
      <c r="JH111" s="180" t="str">
        <f>VLOOKUP(JG111,[13]AssetDetails_UEM!$A$3:$AH$1849,6,FALSE)</f>
        <v>Electrosurgical Units, Monopolar/Bipolar</v>
      </c>
      <c r="JI111" s="179" t="s">
        <v>428</v>
      </c>
      <c r="JJ111" s="180" t="str">
        <f>VLOOKUP(JI111,[13]AssetDetails_UEM!$A$3:$AH$1849,6,FALSE)</f>
        <v>Electrosurgical Units, Monopolar/Bipolar</v>
      </c>
      <c r="JK111" s="179" t="s">
        <v>428</v>
      </c>
      <c r="JL111" s="180" t="str">
        <f>VLOOKUP(JK111,[13]AssetDetails_UEM!$A$3:$AH$1849,6,FALSE)</f>
        <v>Electrosurgical Units, Monopolar/Bipolar</v>
      </c>
      <c r="JM111" s="179" t="s">
        <v>428</v>
      </c>
      <c r="JN111" s="180" t="str">
        <f>VLOOKUP(JM111,[13]AssetDetails_UEM!$A$3:$AH$1849,6,FALSE)</f>
        <v>Electrosurgical Units, Monopolar/Bipolar</v>
      </c>
      <c r="JO111" s="179" t="s">
        <v>428</v>
      </c>
      <c r="JP111" s="180" t="str">
        <f>VLOOKUP(JO111,[13]AssetDetails_UEM!$A$3:$AH$1849,6,FALSE)</f>
        <v>Electrosurgical Units, Monopolar/Bipolar</v>
      </c>
      <c r="JQ111" s="179" t="s">
        <v>428</v>
      </c>
      <c r="JR111" s="180" t="str">
        <f>VLOOKUP(JQ111,[13]AssetDetails_UEM!$A$3:$AH$1849,6,FALSE)</f>
        <v>Electrosurgical Units, Monopolar/Bipolar</v>
      </c>
      <c r="JS111" s="179" t="s">
        <v>428</v>
      </c>
      <c r="JT111" s="180" t="str">
        <f>VLOOKUP(JS111,[13]AssetDetails_UEM!$A$3:$AH$1849,6,FALSE)</f>
        <v>Electrosurgical Units, Monopolar/Bipolar</v>
      </c>
      <c r="JU111" s="179" t="s">
        <v>428</v>
      </c>
      <c r="JV111" s="180" t="str">
        <f>VLOOKUP(JU111,[13]AssetDetails_UEM!$A$3:$AH$1849,6,FALSE)</f>
        <v>Electrosurgical Units, Monopolar/Bipolar</v>
      </c>
      <c r="JW111" s="179" t="s">
        <v>428</v>
      </c>
      <c r="JX111" s="180" t="str">
        <f>VLOOKUP(JW111,[13]AssetDetails_UEM!$A$3:$AH$1849,6,FALSE)</f>
        <v>Electrosurgical Units, Monopolar/Bipolar</v>
      </c>
      <c r="JY111" s="179" t="s">
        <v>428</v>
      </c>
      <c r="JZ111" s="180" t="str">
        <f>VLOOKUP(JY111,[13]AssetDetails_UEM!$A$3:$AH$1849,6,FALSE)</f>
        <v>Electrosurgical Units, Monopolar/Bipolar</v>
      </c>
      <c r="KA111" s="179" t="s">
        <v>428</v>
      </c>
      <c r="KB111" s="180" t="str">
        <f>VLOOKUP(KA111,[13]AssetDetails_UEM!$A$3:$AH$1849,6,FALSE)</f>
        <v>Electrosurgical Units, Monopolar/Bipolar</v>
      </c>
      <c r="KC111" s="179" t="s">
        <v>428</v>
      </c>
      <c r="KD111" s="180" t="str">
        <f>VLOOKUP(KC111,[13]AssetDetails_UEM!$A$3:$AH$1849,6,FALSE)</f>
        <v>Electrosurgical Units, Monopolar/Bipolar</v>
      </c>
      <c r="KE111" s="179" t="s">
        <v>428</v>
      </c>
      <c r="KF111" s="180" t="str">
        <f>VLOOKUP(KE111,[13]AssetDetails_UEM!$A$3:$AH$1849,6,FALSE)</f>
        <v>Electrosurgical Units, Monopolar/Bipolar</v>
      </c>
      <c r="KG111" s="179" t="s">
        <v>428</v>
      </c>
      <c r="KH111" s="180" t="str">
        <f>VLOOKUP(KG111,[13]AssetDetails_UEM!$A$3:$AH$1849,6,FALSE)</f>
        <v>Electrosurgical Units, Monopolar/Bipolar</v>
      </c>
      <c r="KI111" s="179" t="s">
        <v>428</v>
      </c>
      <c r="KJ111" s="180" t="str">
        <f>VLOOKUP(KI111,[13]AssetDetails_UEM!$A$3:$AH$1849,6,FALSE)</f>
        <v>Electrosurgical Units, Monopolar/Bipolar</v>
      </c>
      <c r="KK111" s="179" t="s">
        <v>428</v>
      </c>
      <c r="KL111" s="180" t="str">
        <f>VLOOKUP(KK111,[13]AssetDetails_UEM!$A$3:$AH$1849,6,FALSE)</f>
        <v>Electrosurgical Units, Monopolar/Bipolar</v>
      </c>
      <c r="KM111" s="179" t="s">
        <v>428</v>
      </c>
      <c r="KN111" s="180" t="str">
        <f>VLOOKUP(KM111,[13]AssetDetails_UEM!$A$3:$AH$1849,6,FALSE)</f>
        <v>Electrosurgical Units, Monopolar/Bipolar</v>
      </c>
      <c r="KO111" s="179" t="s">
        <v>428</v>
      </c>
      <c r="KP111" s="180" t="str">
        <f>VLOOKUP(KO111,[13]AssetDetails_UEM!$A$3:$AH$1849,6,FALSE)</f>
        <v>Electrosurgical Units, Monopolar/Bipolar</v>
      </c>
      <c r="KQ111" s="179" t="s">
        <v>428</v>
      </c>
      <c r="KR111" s="180" t="str">
        <f>VLOOKUP(KQ111,[13]AssetDetails_UEM!$A$3:$AH$1849,6,FALSE)</f>
        <v>Electrosurgical Units, Monopolar/Bipolar</v>
      </c>
      <c r="KS111" s="179" t="s">
        <v>428</v>
      </c>
      <c r="KT111" s="180" t="str">
        <f>VLOOKUP(KS111,[13]AssetDetails_UEM!$A$3:$AH$1849,6,FALSE)</f>
        <v>Electrosurgical Units, Monopolar/Bipolar</v>
      </c>
      <c r="KU111" s="179" t="s">
        <v>428</v>
      </c>
      <c r="KV111" s="180" t="str">
        <f>VLOOKUP(KU111,[13]AssetDetails_UEM!$A$3:$AH$1849,6,FALSE)</f>
        <v>Electrosurgical Units, Monopolar/Bipolar</v>
      </c>
      <c r="KW111" s="179" t="s">
        <v>428</v>
      </c>
      <c r="KX111" s="180" t="str">
        <f>VLOOKUP(KW111,[13]AssetDetails_UEM!$A$3:$AH$1849,6,FALSE)</f>
        <v>Electrosurgical Units, Monopolar/Bipolar</v>
      </c>
      <c r="KY111" s="179" t="s">
        <v>428</v>
      </c>
      <c r="KZ111" s="180" t="str">
        <f>VLOOKUP(KY111,[13]AssetDetails_UEM!$A$3:$AH$1849,6,FALSE)</f>
        <v>Electrosurgical Units, Monopolar/Bipolar</v>
      </c>
      <c r="LA111" s="179" t="s">
        <v>428</v>
      </c>
      <c r="LB111" s="180" t="str">
        <f>VLOOKUP(LA111,[13]AssetDetails_UEM!$A$3:$AH$1849,6,FALSE)</f>
        <v>Electrosurgical Units, Monopolar/Bipolar</v>
      </c>
      <c r="LC111" s="179" t="s">
        <v>428</v>
      </c>
      <c r="LD111" s="180" t="str">
        <f>VLOOKUP(LC111,[13]AssetDetails_UEM!$A$3:$AH$1849,6,FALSE)</f>
        <v>Electrosurgical Units, Monopolar/Bipolar</v>
      </c>
      <c r="LE111" s="179" t="s">
        <v>428</v>
      </c>
      <c r="LF111" s="180" t="str">
        <f>VLOOKUP(LE111,[13]AssetDetails_UEM!$A$3:$AH$1849,6,FALSE)</f>
        <v>Electrosurgical Units, Monopolar/Bipolar</v>
      </c>
      <c r="LG111" s="179" t="s">
        <v>428</v>
      </c>
      <c r="LH111" s="180" t="str">
        <f>VLOOKUP(LG111,[13]AssetDetails_UEM!$A$3:$AH$1849,6,FALSE)</f>
        <v>Electrosurgical Units, Monopolar/Bipolar</v>
      </c>
      <c r="LI111" s="179" t="s">
        <v>428</v>
      </c>
      <c r="LJ111" s="180" t="str">
        <f>VLOOKUP(LI111,[13]AssetDetails_UEM!$A$3:$AH$1849,6,FALSE)</f>
        <v>Electrosurgical Units, Monopolar/Bipolar</v>
      </c>
      <c r="LK111" s="179" t="s">
        <v>428</v>
      </c>
      <c r="LL111" s="180" t="str">
        <f>VLOOKUP(LK111,[13]AssetDetails_UEM!$A$3:$AH$1849,6,FALSE)</f>
        <v>Electrosurgical Units, Monopolar/Bipolar</v>
      </c>
      <c r="LM111" s="179" t="s">
        <v>428</v>
      </c>
      <c r="LN111" s="180" t="str">
        <f>VLOOKUP(LM111,[13]AssetDetails_UEM!$A$3:$AH$1849,6,FALSE)</f>
        <v>Electrosurgical Units, Monopolar/Bipolar</v>
      </c>
      <c r="LO111" s="179" t="s">
        <v>428</v>
      </c>
      <c r="LP111" s="180" t="str">
        <f>VLOOKUP(LO111,[13]AssetDetails_UEM!$A$3:$AH$1849,6,FALSE)</f>
        <v>Electrosurgical Units, Monopolar/Bipolar</v>
      </c>
      <c r="LQ111" s="179" t="s">
        <v>428</v>
      </c>
      <c r="LR111" s="180" t="str">
        <f>VLOOKUP(LQ111,[13]AssetDetails_UEM!$A$3:$AH$1849,6,FALSE)</f>
        <v>Electrosurgical Units, Monopolar/Bipolar</v>
      </c>
      <c r="LS111" s="179" t="s">
        <v>428</v>
      </c>
      <c r="LT111" s="180" t="str">
        <f>VLOOKUP(LS111,[13]AssetDetails_UEM!$A$3:$AH$1849,6,FALSE)</f>
        <v>Electrosurgical Units, Monopolar/Bipolar</v>
      </c>
      <c r="LU111" s="179" t="s">
        <v>428</v>
      </c>
      <c r="LV111" s="180" t="str">
        <f>VLOOKUP(LU111,[13]AssetDetails_UEM!$A$3:$AH$1849,6,FALSE)</f>
        <v>Electrosurgical Units, Monopolar/Bipolar</v>
      </c>
      <c r="LW111" s="179" t="s">
        <v>428</v>
      </c>
      <c r="LX111" s="180" t="str">
        <f>VLOOKUP(LW111,[13]AssetDetails_UEM!$A$3:$AH$1849,6,FALSE)</f>
        <v>Electrosurgical Units, Monopolar/Bipolar</v>
      </c>
      <c r="LY111" s="179" t="s">
        <v>428</v>
      </c>
      <c r="LZ111" s="180" t="str">
        <f>VLOOKUP(LY111,[13]AssetDetails_UEM!$A$3:$AH$1849,6,FALSE)</f>
        <v>Electrosurgical Units, Monopolar/Bipolar</v>
      </c>
      <c r="MA111" s="179" t="s">
        <v>428</v>
      </c>
      <c r="MB111" s="180" t="str">
        <f>VLOOKUP(MA111,[13]AssetDetails_UEM!$A$3:$AH$1849,6,FALSE)</f>
        <v>Electrosurgical Units, Monopolar/Bipolar</v>
      </c>
      <c r="MC111" s="179" t="s">
        <v>428</v>
      </c>
      <c r="MD111" s="180" t="str">
        <f>VLOOKUP(MC111,[13]AssetDetails_UEM!$A$3:$AH$1849,6,FALSE)</f>
        <v>Electrosurgical Units, Monopolar/Bipolar</v>
      </c>
      <c r="ME111" s="179" t="s">
        <v>428</v>
      </c>
      <c r="MF111" s="180" t="str">
        <f>VLOOKUP(ME111,[13]AssetDetails_UEM!$A$3:$AH$1849,6,FALSE)</f>
        <v>Electrosurgical Units, Monopolar/Bipolar</v>
      </c>
      <c r="MG111" s="179" t="s">
        <v>428</v>
      </c>
      <c r="MH111" s="180" t="str">
        <f>VLOOKUP(MG111,[13]AssetDetails_UEM!$A$3:$AH$1849,6,FALSE)</f>
        <v>Electrosurgical Units, Monopolar/Bipolar</v>
      </c>
      <c r="MI111" s="179" t="s">
        <v>428</v>
      </c>
      <c r="MJ111" s="180" t="str">
        <f>VLOOKUP(MI111,[13]AssetDetails_UEM!$A$3:$AH$1849,6,FALSE)</f>
        <v>Electrosurgical Units, Monopolar/Bipolar</v>
      </c>
      <c r="MK111" s="179" t="s">
        <v>428</v>
      </c>
      <c r="ML111" s="180" t="str">
        <f>VLOOKUP(MK111,[13]AssetDetails_UEM!$A$3:$AH$1849,6,FALSE)</f>
        <v>Electrosurgical Units, Monopolar/Bipolar</v>
      </c>
      <c r="MM111" s="179" t="s">
        <v>428</v>
      </c>
      <c r="MN111" s="180" t="str">
        <f>VLOOKUP(MM111,[13]AssetDetails_UEM!$A$3:$AH$1849,6,FALSE)</f>
        <v>Electrosurgical Units, Monopolar/Bipolar</v>
      </c>
      <c r="MO111" s="179" t="s">
        <v>428</v>
      </c>
      <c r="MP111" s="180" t="str">
        <f>VLOOKUP(MO111,[13]AssetDetails_UEM!$A$3:$AH$1849,6,FALSE)</f>
        <v>Electrosurgical Units, Monopolar/Bipolar</v>
      </c>
      <c r="MQ111" s="179" t="s">
        <v>428</v>
      </c>
      <c r="MR111" s="180" t="str">
        <f>VLOOKUP(MQ111,[13]AssetDetails_UEM!$A$3:$AH$1849,6,FALSE)</f>
        <v>Electrosurgical Units, Monopolar/Bipolar</v>
      </c>
      <c r="MS111" s="179" t="s">
        <v>428</v>
      </c>
      <c r="MT111" s="180" t="str">
        <f>VLOOKUP(MS111,[13]AssetDetails_UEM!$A$3:$AH$1849,6,FALSE)</f>
        <v>Electrosurgical Units, Monopolar/Bipolar</v>
      </c>
      <c r="MU111" s="179" t="s">
        <v>428</v>
      </c>
      <c r="MV111" s="180" t="str">
        <f>VLOOKUP(MU111,[13]AssetDetails_UEM!$A$3:$AH$1849,6,FALSE)</f>
        <v>Electrosurgical Units, Monopolar/Bipolar</v>
      </c>
      <c r="MW111" s="179" t="s">
        <v>428</v>
      </c>
      <c r="MX111" s="180" t="str">
        <f>VLOOKUP(MW111,[13]AssetDetails_UEM!$A$3:$AH$1849,6,FALSE)</f>
        <v>Electrosurgical Units, Monopolar/Bipolar</v>
      </c>
      <c r="MY111" s="179" t="s">
        <v>428</v>
      </c>
      <c r="MZ111" s="180" t="str">
        <f>VLOOKUP(MY111,[13]AssetDetails_UEM!$A$3:$AH$1849,6,FALSE)</f>
        <v>Electrosurgical Units, Monopolar/Bipolar</v>
      </c>
      <c r="NA111" s="179" t="s">
        <v>428</v>
      </c>
      <c r="NB111" s="180" t="str">
        <f>VLOOKUP(NA111,[13]AssetDetails_UEM!$A$3:$AH$1849,6,FALSE)</f>
        <v>Electrosurgical Units, Monopolar/Bipolar</v>
      </c>
      <c r="NC111" s="179" t="s">
        <v>428</v>
      </c>
      <c r="ND111" s="180" t="str">
        <f>VLOOKUP(NC111,[13]AssetDetails_UEM!$A$3:$AH$1849,6,FALSE)</f>
        <v>Electrosurgical Units, Monopolar/Bipolar</v>
      </c>
      <c r="NE111" s="179" t="s">
        <v>428</v>
      </c>
      <c r="NF111" s="180" t="str">
        <f>VLOOKUP(NE111,[13]AssetDetails_UEM!$A$3:$AH$1849,6,FALSE)</f>
        <v>Electrosurgical Units, Monopolar/Bipolar</v>
      </c>
      <c r="NG111" s="179" t="s">
        <v>428</v>
      </c>
      <c r="NH111" s="180" t="str">
        <f>VLOOKUP(NG111,[13]AssetDetails_UEM!$A$3:$AH$1849,6,FALSE)</f>
        <v>Electrosurgical Units, Monopolar/Bipolar</v>
      </c>
      <c r="NI111" s="179" t="s">
        <v>428</v>
      </c>
      <c r="NJ111" s="180" t="str">
        <f>VLOOKUP(NI111,[13]AssetDetails_UEM!$A$3:$AH$1849,6,FALSE)</f>
        <v>Electrosurgical Units, Monopolar/Bipolar</v>
      </c>
      <c r="NK111" s="179" t="s">
        <v>428</v>
      </c>
      <c r="NL111" s="180" t="str">
        <f>VLOOKUP(NK111,[13]AssetDetails_UEM!$A$3:$AH$1849,6,FALSE)</f>
        <v>Electrosurgical Units, Monopolar/Bipolar</v>
      </c>
      <c r="NM111" s="179" t="s">
        <v>428</v>
      </c>
      <c r="NN111" s="180" t="str">
        <f>VLOOKUP(NM111,[13]AssetDetails_UEM!$A$3:$AH$1849,6,FALSE)</f>
        <v>Electrosurgical Units, Monopolar/Bipolar</v>
      </c>
      <c r="NO111" s="179" t="s">
        <v>428</v>
      </c>
      <c r="NP111" s="180" t="str">
        <f>VLOOKUP(NO111,[13]AssetDetails_UEM!$A$3:$AH$1849,6,FALSE)</f>
        <v>Electrosurgical Units, Monopolar/Bipolar</v>
      </c>
      <c r="NQ111" s="179" t="s">
        <v>428</v>
      </c>
      <c r="NR111" s="180" t="str">
        <f>VLOOKUP(NQ111,[13]AssetDetails_UEM!$A$3:$AH$1849,6,FALSE)</f>
        <v>Electrosurgical Units, Monopolar/Bipolar</v>
      </c>
      <c r="NS111" s="179" t="s">
        <v>428</v>
      </c>
      <c r="NT111" s="180" t="str">
        <f>VLOOKUP(NS111,[13]AssetDetails_UEM!$A$3:$AH$1849,6,FALSE)</f>
        <v>Electrosurgical Units, Monopolar/Bipolar</v>
      </c>
      <c r="NU111" s="179" t="s">
        <v>428</v>
      </c>
      <c r="NV111" s="180" t="str">
        <f>VLOOKUP(NU111,[13]AssetDetails_UEM!$A$3:$AH$1849,6,FALSE)</f>
        <v>Electrosurgical Units, Monopolar/Bipolar</v>
      </c>
      <c r="NW111" s="179" t="s">
        <v>428</v>
      </c>
      <c r="NX111" s="180" t="str">
        <f>VLOOKUP(NW111,[13]AssetDetails_UEM!$A$3:$AH$1849,6,FALSE)</f>
        <v>Electrosurgical Units, Monopolar/Bipolar</v>
      </c>
      <c r="NY111" s="179" t="s">
        <v>428</v>
      </c>
      <c r="NZ111" s="180" t="str">
        <f>VLOOKUP(NY111,[13]AssetDetails_UEM!$A$3:$AH$1849,6,FALSE)</f>
        <v>Electrosurgical Units, Monopolar/Bipolar</v>
      </c>
      <c r="OA111" s="179" t="s">
        <v>428</v>
      </c>
      <c r="OB111" s="180" t="str">
        <f>VLOOKUP(OA111,[13]AssetDetails_UEM!$A$3:$AH$1849,6,FALSE)</f>
        <v>Electrosurgical Units, Monopolar/Bipolar</v>
      </c>
      <c r="OC111" s="179" t="s">
        <v>428</v>
      </c>
      <c r="OD111" s="180" t="str">
        <f>VLOOKUP(OC111,[13]AssetDetails_UEM!$A$3:$AH$1849,6,FALSE)</f>
        <v>Electrosurgical Units, Monopolar/Bipolar</v>
      </c>
      <c r="OE111" s="179" t="s">
        <v>428</v>
      </c>
      <c r="OF111" s="180" t="str">
        <f>VLOOKUP(OE111,[13]AssetDetails_UEM!$A$3:$AH$1849,6,FALSE)</f>
        <v>Electrosurgical Units, Monopolar/Bipolar</v>
      </c>
      <c r="OG111" s="179" t="s">
        <v>428</v>
      </c>
      <c r="OH111" s="180" t="str">
        <f>VLOOKUP(OG111,[13]AssetDetails_UEM!$A$3:$AH$1849,6,FALSE)</f>
        <v>Electrosurgical Units, Monopolar/Bipolar</v>
      </c>
      <c r="OI111" s="179" t="s">
        <v>428</v>
      </c>
      <c r="OJ111" s="180" t="str">
        <f>VLOOKUP(OI111,[13]AssetDetails_UEM!$A$3:$AH$1849,6,FALSE)</f>
        <v>Electrosurgical Units, Monopolar/Bipolar</v>
      </c>
      <c r="OK111" s="179" t="s">
        <v>428</v>
      </c>
      <c r="OL111" s="180" t="str">
        <f>VLOOKUP(OK111,[13]AssetDetails_UEM!$A$3:$AH$1849,6,FALSE)</f>
        <v>Electrosurgical Units, Monopolar/Bipolar</v>
      </c>
      <c r="OM111" s="179" t="s">
        <v>428</v>
      </c>
      <c r="ON111" s="180" t="str">
        <f>VLOOKUP(OM111,[13]AssetDetails_UEM!$A$3:$AH$1849,6,FALSE)</f>
        <v>Electrosurgical Units, Monopolar/Bipolar</v>
      </c>
      <c r="OO111" s="179" t="s">
        <v>428</v>
      </c>
      <c r="OP111" s="180" t="str">
        <f>VLOOKUP(OO111,[13]AssetDetails_UEM!$A$3:$AH$1849,6,FALSE)</f>
        <v>Electrosurgical Units, Monopolar/Bipolar</v>
      </c>
      <c r="OQ111" s="179" t="s">
        <v>428</v>
      </c>
      <c r="OR111" s="180" t="str">
        <f>VLOOKUP(OQ111,[13]AssetDetails_UEM!$A$3:$AH$1849,6,FALSE)</f>
        <v>Electrosurgical Units, Monopolar/Bipolar</v>
      </c>
      <c r="OS111" s="179" t="s">
        <v>428</v>
      </c>
      <c r="OT111" s="180" t="str">
        <f>VLOOKUP(OS111,[13]AssetDetails_UEM!$A$3:$AH$1849,6,FALSE)</f>
        <v>Electrosurgical Units, Monopolar/Bipolar</v>
      </c>
      <c r="OU111" s="179" t="s">
        <v>428</v>
      </c>
      <c r="OV111" s="180" t="str">
        <f>VLOOKUP(OU111,[13]AssetDetails_UEM!$A$3:$AH$1849,6,FALSE)</f>
        <v>Electrosurgical Units, Monopolar/Bipolar</v>
      </c>
      <c r="OW111" s="179" t="s">
        <v>428</v>
      </c>
      <c r="OX111" s="180" t="str">
        <f>VLOOKUP(OW111,[13]AssetDetails_UEM!$A$3:$AH$1849,6,FALSE)</f>
        <v>Electrosurgical Units, Monopolar/Bipolar</v>
      </c>
      <c r="OY111" s="179" t="s">
        <v>428</v>
      </c>
      <c r="OZ111" s="180" t="str">
        <f>VLOOKUP(OY111,[13]AssetDetails_UEM!$A$3:$AH$1849,6,FALSE)</f>
        <v>Electrosurgical Units, Monopolar/Bipolar</v>
      </c>
      <c r="PA111" s="179" t="s">
        <v>428</v>
      </c>
      <c r="PB111" s="180" t="str">
        <f>VLOOKUP(PA111,[13]AssetDetails_UEM!$A$3:$AH$1849,6,FALSE)</f>
        <v>Electrosurgical Units, Monopolar/Bipolar</v>
      </c>
      <c r="PC111" s="179" t="s">
        <v>428</v>
      </c>
      <c r="PD111" s="180" t="str">
        <f>VLOOKUP(PC111,[13]AssetDetails_UEM!$A$3:$AH$1849,6,FALSE)</f>
        <v>Electrosurgical Units, Monopolar/Bipolar</v>
      </c>
      <c r="PE111" s="179" t="s">
        <v>428</v>
      </c>
      <c r="PF111" s="180" t="str">
        <f>VLOOKUP(PE111,[13]AssetDetails_UEM!$A$3:$AH$1849,6,FALSE)</f>
        <v>Electrosurgical Units, Monopolar/Bipolar</v>
      </c>
      <c r="PG111" s="179" t="s">
        <v>428</v>
      </c>
      <c r="PH111" s="180" t="str">
        <f>VLOOKUP(PG111,[13]AssetDetails_UEM!$A$3:$AH$1849,6,FALSE)</f>
        <v>Electrosurgical Units, Monopolar/Bipolar</v>
      </c>
      <c r="PI111" s="179" t="s">
        <v>428</v>
      </c>
      <c r="PJ111" s="180" t="str">
        <f>VLOOKUP(PI111,[13]AssetDetails_UEM!$A$3:$AH$1849,6,FALSE)</f>
        <v>Electrosurgical Units, Monopolar/Bipolar</v>
      </c>
      <c r="PK111" s="179" t="s">
        <v>428</v>
      </c>
      <c r="PL111" s="180" t="str">
        <f>VLOOKUP(PK111,[13]AssetDetails_UEM!$A$3:$AH$1849,6,FALSE)</f>
        <v>Electrosurgical Units, Monopolar/Bipolar</v>
      </c>
      <c r="PM111" s="179" t="s">
        <v>428</v>
      </c>
      <c r="PN111" s="180" t="str">
        <f>VLOOKUP(PM111,[13]AssetDetails_UEM!$A$3:$AH$1849,6,FALSE)</f>
        <v>Electrosurgical Units, Monopolar/Bipolar</v>
      </c>
      <c r="PO111" s="179" t="s">
        <v>428</v>
      </c>
      <c r="PP111" s="180" t="str">
        <f>VLOOKUP(PO111,[13]AssetDetails_UEM!$A$3:$AH$1849,6,FALSE)</f>
        <v>Electrosurgical Units, Monopolar/Bipolar</v>
      </c>
      <c r="PQ111" s="179" t="s">
        <v>428</v>
      </c>
      <c r="PR111" s="180" t="str">
        <f>VLOOKUP(PQ111,[13]AssetDetails_UEM!$A$3:$AH$1849,6,FALSE)</f>
        <v>Electrosurgical Units, Monopolar/Bipolar</v>
      </c>
      <c r="PS111" s="179" t="s">
        <v>428</v>
      </c>
      <c r="PT111" s="180" t="str">
        <f>VLOOKUP(PS111,[13]AssetDetails_UEM!$A$3:$AH$1849,6,FALSE)</f>
        <v>Electrosurgical Units, Monopolar/Bipolar</v>
      </c>
      <c r="PU111" s="179" t="s">
        <v>428</v>
      </c>
      <c r="PV111" s="180" t="str">
        <f>VLOOKUP(PU111,[13]AssetDetails_UEM!$A$3:$AH$1849,6,FALSE)</f>
        <v>Electrosurgical Units, Monopolar/Bipolar</v>
      </c>
      <c r="PW111" s="179" t="s">
        <v>428</v>
      </c>
      <c r="PX111" s="180" t="str">
        <f>VLOOKUP(PW111,[13]AssetDetails_UEM!$A$3:$AH$1849,6,FALSE)</f>
        <v>Electrosurgical Units, Monopolar/Bipolar</v>
      </c>
      <c r="PY111" s="179" t="s">
        <v>428</v>
      </c>
      <c r="PZ111" s="180" t="str">
        <f>VLOOKUP(PY111,[13]AssetDetails_UEM!$A$3:$AH$1849,6,FALSE)</f>
        <v>Electrosurgical Units, Monopolar/Bipolar</v>
      </c>
      <c r="QA111" s="179" t="s">
        <v>428</v>
      </c>
      <c r="QB111" s="180" t="str">
        <f>VLOOKUP(QA111,[13]AssetDetails_UEM!$A$3:$AH$1849,6,FALSE)</f>
        <v>Electrosurgical Units, Monopolar/Bipolar</v>
      </c>
      <c r="QC111" s="179" t="s">
        <v>428</v>
      </c>
      <c r="QD111" s="180" t="str">
        <f>VLOOKUP(QC111,[13]AssetDetails_UEM!$A$3:$AH$1849,6,FALSE)</f>
        <v>Electrosurgical Units, Monopolar/Bipolar</v>
      </c>
      <c r="QE111" s="179" t="s">
        <v>428</v>
      </c>
      <c r="QF111" s="180" t="str">
        <f>VLOOKUP(QE111,[13]AssetDetails_UEM!$A$3:$AH$1849,6,FALSE)</f>
        <v>Electrosurgical Units, Monopolar/Bipolar</v>
      </c>
      <c r="QG111" s="179" t="s">
        <v>428</v>
      </c>
      <c r="QH111" s="180" t="str">
        <f>VLOOKUP(QG111,[13]AssetDetails_UEM!$A$3:$AH$1849,6,FALSE)</f>
        <v>Electrosurgical Units, Monopolar/Bipolar</v>
      </c>
      <c r="QI111" s="179" t="s">
        <v>428</v>
      </c>
      <c r="QJ111" s="180" t="str">
        <f>VLOOKUP(QI111,[13]AssetDetails_UEM!$A$3:$AH$1849,6,FALSE)</f>
        <v>Electrosurgical Units, Monopolar/Bipolar</v>
      </c>
      <c r="QK111" s="179" t="s">
        <v>428</v>
      </c>
      <c r="QL111" s="180" t="str">
        <f>VLOOKUP(QK111,[13]AssetDetails_UEM!$A$3:$AH$1849,6,FALSE)</f>
        <v>Electrosurgical Units, Monopolar/Bipolar</v>
      </c>
      <c r="QM111" s="179" t="s">
        <v>428</v>
      </c>
      <c r="QN111" s="180" t="str">
        <f>VLOOKUP(QM111,[13]AssetDetails_UEM!$A$3:$AH$1849,6,FALSE)</f>
        <v>Electrosurgical Units, Monopolar/Bipolar</v>
      </c>
      <c r="QO111" s="179" t="s">
        <v>428</v>
      </c>
      <c r="QP111" s="180" t="str">
        <f>VLOOKUP(QO111,[13]AssetDetails_UEM!$A$3:$AH$1849,6,FALSE)</f>
        <v>Electrosurgical Units, Monopolar/Bipolar</v>
      </c>
      <c r="QQ111" s="179" t="s">
        <v>428</v>
      </c>
      <c r="QR111" s="180" t="str">
        <f>VLOOKUP(QQ111,[13]AssetDetails_UEM!$A$3:$AH$1849,6,FALSE)</f>
        <v>Electrosurgical Units, Monopolar/Bipolar</v>
      </c>
      <c r="QS111" s="179" t="s">
        <v>428</v>
      </c>
      <c r="QT111" s="180" t="str">
        <f>VLOOKUP(QS111,[13]AssetDetails_UEM!$A$3:$AH$1849,6,FALSE)</f>
        <v>Electrosurgical Units, Monopolar/Bipolar</v>
      </c>
      <c r="QU111" s="179" t="s">
        <v>428</v>
      </c>
      <c r="QV111" s="180" t="str">
        <f>VLOOKUP(QU111,[13]AssetDetails_UEM!$A$3:$AH$1849,6,FALSE)</f>
        <v>Electrosurgical Units, Monopolar/Bipolar</v>
      </c>
      <c r="QW111" s="179" t="s">
        <v>428</v>
      </c>
      <c r="QX111" s="180" t="str">
        <f>VLOOKUP(QW111,[13]AssetDetails_UEM!$A$3:$AH$1849,6,FALSE)</f>
        <v>Electrosurgical Units, Monopolar/Bipolar</v>
      </c>
      <c r="QY111" s="179" t="s">
        <v>428</v>
      </c>
      <c r="QZ111" s="180" t="str">
        <f>VLOOKUP(QY111,[13]AssetDetails_UEM!$A$3:$AH$1849,6,FALSE)</f>
        <v>Electrosurgical Units, Monopolar/Bipolar</v>
      </c>
      <c r="RA111" s="179" t="s">
        <v>428</v>
      </c>
      <c r="RB111" s="180" t="str">
        <f>VLOOKUP(RA111,[13]AssetDetails_UEM!$A$3:$AH$1849,6,FALSE)</f>
        <v>Electrosurgical Units, Monopolar/Bipolar</v>
      </c>
      <c r="RC111" s="179" t="s">
        <v>428</v>
      </c>
      <c r="RD111" s="180" t="str">
        <f>VLOOKUP(RC111,[13]AssetDetails_UEM!$A$3:$AH$1849,6,FALSE)</f>
        <v>Electrosurgical Units, Monopolar/Bipolar</v>
      </c>
      <c r="RE111" s="179" t="s">
        <v>428</v>
      </c>
      <c r="RF111" s="180" t="str">
        <f>VLOOKUP(RE111,[13]AssetDetails_UEM!$A$3:$AH$1849,6,FALSE)</f>
        <v>Electrosurgical Units, Monopolar/Bipolar</v>
      </c>
      <c r="RG111" s="179" t="s">
        <v>428</v>
      </c>
      <c r="RH111" s="180" t="str">
        <f>VLOOKUP(RG111,[13]AssetDetails_UEM!$A$3:$AH$1849,6,FALSE)</f>
        <v>Electrosurgical Units, Monopolar/Bipolar</v>
      </c>
      <c r="RI111" s="179" t="s">
        <v>428</v>
      </c>
      <c r="RJ111" s="180" t="str">
        <f>VLOOKUP(RI111,[13]AssetDetails_UEM!$A$3:$AH$1849,6,FALSE)</f>
        <v>Electrosurgical Units, Monopolar/Bipolar</v>
      </c>
      <c r="RK111" s="179" t="s">
        <v>428</v>
      </c>
      <c r="RL111" s="180" t="str">
        <f>VLOOKUP(RK111,[13]AssetDetails_UEM!$A$3:$AH$1849,6,FALSE)</f>
        <v>Electrosurgical Units, Monopolar/Bipolar</v>
      </c>
      <c r="RM111" s="179" t="s">
        <v>428</v>
      </c>
      <c r="RN111" s="180" t="str">
        <f>VLOOKUP(RM111,[13]AssetDetails_UEM!$A$3:$AH$1849,6,FALSE)</f>
        <v>Electrosurgical Units, Monopolar/Bipolar</v>
      </c>
      <c r="RO111" s="179" t="s">
        <v>428</v>
      </c>
      <c r="RP111" s="180" t="str">
        <f>VLOOKUP(RO111,[13]AssetDetails_UEM!$A$3:$AH$1849,6,FALSE)</f>
        <v>Electrosurgical Units, Monopolar/Bipolar</v>
      </c>
      <c r="RQ111" s="179" t="s">
        <v>428</v>
      </c>
      <c r="RR111" s="180" t="str">
        <f>VLOOKUP(RQ111,[13]AssetDetails_UEM!$A$3:$AH$1849,6,FALSE)</f>
        <v>Electrosurgical Units, Monopolar/Bipolar</v>
      </c>
      <c r="RS111" s="179" t="s">
        <v>428</v>
      </c>
      <c r="RT111" s="180" t="str">
        <f>VLOOKUP(RS111,[13]AssetDetails_UEM!$A$3:$AH$1849,6,FALSE)</f>
        <v>Electrosurgical Units, Monopolar/Bipolar</v>
      </c>
      <c r="RU111" s="179" t="s">
        <v>428</v>
      </c>
      <c r="RV111" s="180" t="str">
        <f>VLOOKUP(RU111,[13]AssetDetails_UEM!$A$3:$AH$1849,6,FALSE)</f>
        <v>Electrosurgical Units, Monopolar/Bipolar</v>
      </c>
      <c r="RW111" s="179" t="s">
        <v>428</v>
      </c>
      <c r="RX111" s="180" t="str">
        <f>VLOOKUP(RW111,[13]AssetDetails_UEM!$A$3:$AH$1849,6,FALSE)</f>
        <v>Electrosurgical Units, Monopolar/Bipolar</v>
      </c>
      <c r="RY111" s="179" t="s">
        <v>428</v>
      </c>
      <c r="RZ111" s="180" t="str">
        <f>VLOOKUP(RY111,[13]AssetDetails_UEM!$A$3:$AH$1849,6,FALSE)</f>
        <v>Electrosurgical Units, Monopolar/Bipolar</v>
      </c>
      <c r="SA111" s="179" t="s">
        <v>428</v>
      </c>
      <c r="SB111" s="180" t="str">
        <f>VLOOKUP(SA111,[13]AssetDetails_UEM!$A$3:$AH$1849,6,FALSE)</f>
        <v>Electrosurgical Units, Monopolar/Bipolar</v>
      </c>
      <c r="SC111" s="179" t="s">
        <v>428</v>
      </c>
      <c r="SD111" s="180" t="str">
        <f>VLOOKUP(SC111,[13]AssetDetails_UEM!$A$3:$AH$1849,6,FALSE)</f>
        <v>Electrosurgical Units, Monopolar/Bipolar</v>
      </c>
      <c r="SE111" s="179" t="s">
        <v>428</v>
      </c>
      <c r="SF111" s="180" t="str">
        <f>VLOOKUP(SE111,[13]AssetDetails_UEM!$A$3:$AH$1849,6,FALSE)</f>
        <v>Electrosurgical Units, Monopolar/Bipolar</v>
      </c>
      <c r="SG111" s="179" t="s">
        <v>428</v>
      </c>
      <c r="SH111" s="180" t="str">
        <f>VLOOKUP(SG111,[13]AssetDetails_UEM!$A$3:$AH$1849,6,FALSE)</f>
        <v>Electrosurgical Units, Monopolar/Bipolar</v>
      </c>
      <c r="SI111" s="179" t="s">
        <v>428</v>
      </c>
      <c r="SJ111" s="180" t="str">
        <f>VLOOKUP(SI111,[13]AssetDetails_UEM!$A$3:$AH$1849,6,FALSE)</f>
        <v>Electrosurgical Units, Monopolar/Bipolar</v>
      </c>
      <c r="SK111" s="179" t="s">
        <v>428</v>
      </c>
      <c r="SL111" s="180" t="str">
        <f>VLOOKUP(SK111,[13]AssetDetails_UEM!$A$3:$AH$1849,6,FALSE)</f>
        <v>Electrosurgical Units, Monopolar/Bipolar</v>
      </c>
      <c r="SM111" s="179" t="s">
        <v>428</v>
      </c>
      <c r="SN111" s="180" t="str">
        <f>VLOOKUP(SM111,[13]AssetDetails_UEM!$A$3:$AH$1849,6,FALSE)</f>
        <v>Electrosurgical Units, Monopolar/Bipolar</v>
      </c>
      <c r="SO111" s="179" t="s">
        <v>428</v>
      </c>
      <c r="SP111" s="180" t="str">
        <f>VLOOKUP(SO111,[13]AssetDetails_UEM!$A$3:$AH$1849,6,FALSE)</f>
        <v>Electrosurgical Units, Monopolar/Bipolar</v>
      </c>
      <c r="SQ111" s="179" t="s">
        <v>428</v>
      </c>
      <c r="SR111" s="180" t="str">
        <f>VLOOKUP(SQ111,[13]AssetDetails_UEM!$A$3:$AH$1849,6,FALSE)</f>
        <v>Electrosurgical Units, Monopolar/Bipolar</v>
      </c>
      <c r="SS111" s="179" t="s">
        <v>428</v>
      </c>
      <c r="ST111" s="180" t="str">
        <f>VLOOKUP(SS111,[13]AssetDetails_UEM!$A$3:$AH$1849,6,FALSE)</f>
        <v>Electrosurgical Units, Monopolar/Bipolar</v>
      </c>
      <c r="SU111" s="179" t="s">
        <v>428</v>
      </c>
      <c r="SV111" s="180" t="str">
        <f>VLOOKUP(SU111,[13]AssetDetails_UEM!$A$3:$AH$1849,6,FALSE)</f>
        <v>Electrosurgical Units, Monopolar/Bipolar</v>
      </c>
      <c r="SW111" s="179" t="s">
        <v>428</v>
      </c>
      <c r="SX111" s="180" t="str">
        <f>VLOOKUP(SW111,[13]AssetDetails_UEM!$A$3:$AH$1849,6,FALSE)</f>
        <v>Electrosurgical Units, Monopolar/Bipolar</v>
      </c>
      <c r="SY111" s="179" t="s">
        <v>428</v>
      </c>
      <c r="SZ111" s="180" t="str">
        <f>VLOOKUP(SY111,[13]AssetDetails_UEM!$A$3:$AH$1849,6,FALSE)</f>
        <v>Electrosurgical Units, Monopolar/Bipolar</v>
      </c>
      <c r="TA111" s="179" t="s">
        <v>428</v>
      </c>
      <c r="TB111" s="180" t="str">
        <f>VLOOKUP(TA111,[13]AssetDetails_UEM!$A$3:$AH$1849,6,FALSE)</f>
        <v>Electrosurgical Units, Monopolar/Bipolar</v>
      </c>
      <c r="TC111" s="179" t="s">
        <v>428</v>
      </c>
      <c r="TD111" s="180" t="str">
        <f>VLOOKUP(TC111,[13]AssetDetails_UEM!$A$3:$AH$1849,6,FALSE)</f>
        <v>Electrosurgical Units, Monopolar/Bipolar</v>
      </c>
      <c r="TE111" s="179" t="s">
        <v>428</v>
      </c>
      <c r="TF111" s="180" t="str">
        <f>VLOOKUP(TE111,[13]AssetDetails_UEM!$A$3:$AH$1849,6,FALSE)</f>
        <v>Electrosurgical Units, Monopolar/Bipolar</v>
      </c>
      <c r="TG111" s="179" t="s">
        <v>428</v>
      </c>
      <c r="TH111" s="180" t="str">
        <f>VLOOKUP(TG111,[13]AssetDetails_UEM!$A$3:$AH$1849,6,FALSE)</f>
        <v>Electrosurgical Units, Monopolar/Bipolar</v>
      </c>
      <c r="TI111" s="179" t="s">
        <v>428</v>
      </c>
      <c r="TJ111" s="180" t="str">
        <f>VLOOKUP(TI111,[13]AssetDetails_UEM!$A$3:$AH$1849,6,FALSE)</f>
        <v>Electrosurgical Units, Monopolar/Bipolar</v>
      </c>
      <c r="TK111" s="179" t="s">
        <v>428</v>
      </c>
      <c r="TL111" s="180" t="str">
        <f>VLOOKUP(TK111,[13]AssetDetails_UEM!$A$3:$AH$1849,6,FALSE)</f>
        <v>Electrosurgical Units, Monopolar/Bipolar</v>
      </c>
      <c r="TM111" s="179" t="s">
        <v>428</v>
      </c>
      <c r="TN111" s="180" t="str">
        <f>VLOOKUP(TM111,[13]AssetDetails_UEM!$A$3:$AH$1849,6,FALSE)</f>
        <v>Electrosurgical Units, Monopolar/Bipolar</v>
      </c>
      <c r="TO111" s="179" t="s">
        <v>428</v>
      </c>
      <c r="TP111" s="180" t="str">
        <f>VLOOKUP(TO111,[13]AssetDetails_UEM!$A$3:$AH$1849,6,FALSE)</f>
        <v>Electrosurgical Units, Monopolar/Bipolar</v>
      </c>
      <c r="TQ111" s="179" t="s">
        <v>428</v>
      </c>
      <c r="TR111" s="180" t="str">
        <f>VLOOKUP(TQ111,[13]AssetDetails_UEM!$A$3:$AH$1849,6,FALSE)</f>
        <v>Electrosurgical Units, Monopolar/Bipolar</v>
      </c>
      <c r="TS111" s="179" t="s">
        <v>428</v>
      </c>
      <c r="TT111" s="180" t="str">
        <f>VLOOKUP(TS111,[13]AssetDetails_UEM!$A$3:$AH$1849,6,FALSE)</f>
        <v>Electrosurgical Units, Monopolar/Bipolar</v>
      </c>
      <c r="TU111" s="179" t="s">
        <v>428</v>
      </c>
      <c r="TV111" s="180" t="str">
        <f>VLOOKUP(TU111,[13]AssetDetails_UEM!$A$3:$AH$1849,6,FALSE)</f>
        <v>Electrosurgical Units, Monopolar/Bipolar</v>
      </c>
      <c r="TW111" s="179" t="s">
        <v>428</v>
      </c>
      <c r="TX111" s="180" t="str">
        <f>VLOOKUP(TW111,[13]AssetDetails_UEM!$A$3:$AH$1849,6,FALSE)</f>
        <v>Electrosurgical Units, Monopolar/Bipolar</v>
      </c>
      <c r="TY111" s="179" t="s">
        <v>428</v>
      </c>
      <c r="TZ111" s="180" t="str">
        <f>VLOOKUP(TY111,[13]AssetDetails_UEM!$A$3:$AH$1849,6,FALSE)</f>
        <v>Electrosurgical Units, Monopolar/Bipolar</v>
      </c>
      <c r="UA111" s="179" t="s">
        <v>428</v>
      </c>
      <c r="UB111" s="180" t="str">
        <f>VLOOKUP(UA111,[13]AssetDetails_UEM!$A$3:$AH$1849,6,FALSE)</f>
        <v>Electrosurgical Units, Monopolar/Bipolar</v>
      </c>
      <c r="UC111" s="179" t="s">
        <v>428</v>
      </c>
      <c r="UD111" s="180" t="str">
        <f>VLOOKUP(UC111,[13]AssetDetails_UEM!$A$3:$AH$1849,6,FALSE)</f>
        <v>Electrosurgical Units, Monopolar/Bipolar</v>
      </c>
      <c r="UE111" s="179" t="s">
        <v>428</v>
      </c>
      <c r="UF111" s="180" t="str">
        <f>VLOOKUP(UE111,[13]AssetDetails_UEM!$A$3:$AH$1849,6,FALSE)</f>
        <v>Electrosurgical Units, Monopolar/Bipolar</v>
      </c>
      <c r="UG111" s="179" t="s">
        <v>428</v>
      </c>
      <c r="UH111" s="180" t="str">
        <f>VLOOKUP(UG111,[13]AssetDetails_UEM!$A$3:$AH$1849,6,FALSE)</f>
        <v>Electrosurgical Units, Monopolar/Bipolar</v>
      </c>
      <c r="UI111" s="179" t="s">
        <v>428</v>
      </c>
      <c r="UJ111" s="180" t="str">
        <f>VLOOKUP(UI111,[13]AssetDetails_UEM!$A$3:$AH$1849,6,FALSE)</f>
        <v>Electrosurgical Units, Monopolar/Bipolar</v>
      </c>
      <c r="UK111" s="179" t="s">
        <v>428</v>
      </c>
      <c r="UL111" s="180" t="str">
        <f>VLOOKUP(UK111,[13]AssetDetails_UEM!$A$3:$AH$1849,6,FALSE)</f>
        <v>Electrosurgical Units, Monopolar/Bipolar</v>
      </c>
      <c r="UM111" s="179" t="s">
        <v>428</v>
      </c>
      <c r="UN111" s="180" t="str">
        <f>VLOOKUP(UM111,[13]AssetDetails_UEM!$A$3:$AH$1849,6,FALSE)</f>
        <v>Electrosurgical Units, Monopolar/Bipolar</v>
      </c>
      <c r="UO111" s="179" t="s">
        <v>428</v>
      </c>
      <c r="UP111" s="180" t="str">
        <f>VLOOKUP(UO111,[13]AssetDetails_UEM!$A$3:$AH$1849,6,FALSE)</f>
        <v>Electrosurgical Units, Monopolar/Bipolar</v>
      </c>
      <c r="UQ111" s="179" t="s">
        <v>428</v>
      </c>
      <c r="UR111" s="180" t="str">
        <f>VLOOKUP(UQ111,[13]AssetDetails_UEM!$A$3:$AH$1849,6,FALSE)</f>
        <v>Electrosurgical Units, Monopolar/Bipolar</v>
      </c>
      <c r="US111" s="179" t="s">
        <v>428</v>
      </c>
      <c r="UT111" s="180" t="str">
        <f>VLOOKUP(US111,[13]AssetDetails_UEM!$A$3:$AH$1849,6,FALSE)</f>
        <v>Electrosurgical Units, Monopolar/Bipolar</v>
      </c>
      <c r="UU111" s="179" t="s">
        <v>428</v>
      </c>
      <c r="UV111" s="180" t="str">
        <f>VLOOKUP(UU111,[13]AssetDetails_UEM!$A$3:$AH$1849,6,FALSE)</f>
        <v>Electrosurgical Units, Monopolar/Bipolar</v>
      </c>
      <c r="UW111" s="179" t="s">
        <v>428</v>
      </c>
      <c r="UX111" s="180" t="str">
        <f>VLOOKUP(UW111,[13]AssetDetails_UEM!$A$3:$AH$1849,6,FALSE)</f>
        <v>Electrosurgical Units, Monopolar/Bipolar</v>
      </c>
      <c r="UY111" s="179" t="s">
        <v>428</v>
      </c>
      <c r="UZ111" s="180" t="str">
        <f>VLOOKUP(UY111,[13]AssetDetails_UEM!$A$3:$AH$1849,6,FALSE)</f>
        <v>Electrosurgical Units, Monopolar/Bipolar</v>
      </c>
      <c r="VA111" s="179" t="s">
        <v>428</v>
      </c>
      <c r="VB111" s="180" t="str">
        <f>VLOOKUP(VA111,[13]AssetDetails_UEM!$A$3:$AH$1849,6,FALSE)</f>
        <v>Electrosurgical Units, Monopolar/Bipolar</v>
      </c>
      <c r="VC111" s="179" t="s">
        <v>428</v>
      </c>
      <c r="VD111" s="180" t="str">
        <f>VLOOKUP(VC111,[13]AssetDetails_UEM!$A$3:$AH$1849,6,FALSE)</f>
        <v>Electrosurgical Units, Monopolar/Bipolar</v>
      </c>
      <c r="VE111" s="179" t="s">
        <v>428</v>
      </c>
      <c r="VF111" s="180" t="str">
        <f>VLOOKUP(VE111,[13]AssetDetails_UEM!$A$3:$AH$1849,6,FALSE)</f>
        <v>Electrosurgical Units, Monopolar/Bipolar</v>
      </c>
      <c r="VG111" s="179" t="s">
        <v>428</v>
      </c>
      <c r="VH111" s="180" t="str">
        <f>VLOOKUP(VG111,[13]AssetDetails_UEM!$A$3:$AH$1849,6,FALSE)</f>
        <v>Electrosurgical Units, Monopolar/Bipolar</v>
      </c>
      <c r="VI111" s="179" t="s">
        <v>428</v>
      </c>
      <c r="VJ111" s="180" t="str">
        <f>VLOOKUP(VI111,[13]AssetDetails_UEM!$A$3:$AH$1849,6,FALSE)</f>
        <v>Electrosurgical Units, Monopolar/Bipolar</v>
      </c>
      <c r="VK111" s="179" t="s">
        <v>428</v>
      </c>
      <c r="VL111" s="180" t="str">
        <f>VLOOKUP(VK111,[13]AssetDetails_UEM!$A$3:$AH$1849,6,FALSE)</f>
        <v>Electrosurgical Units, Monopolar/Bipolar</v>
      </c>
      <c r="VM111" s="179" t="s">
        <v>428</v>
      </c>
      <c r="VN111" s="180" t="str">
        <f>VLOOKUP(VM111,[13]AssetDetails_UEM!$A$3:$AH$1849,6,FALSE)</f>
        <v>Electrosurgical Units, Monopolar/Bipolar</v>
      </c>
      <c r="VO111" s="179" t="s">
        <v>428</v>
      </c>
      <c r="VP111" s="180" t="str">
        <f>VLOOKUP(VO111,[13]AssetDetails_UEM!$A$3:$AH$1849,6,FALSE)</f>
        <v>Electrosurgical Units, Monopolar/Bipolar</v>
      </c>
      <c r="VQ111" s="179" t="s">
        <v>428</v>
      </c>
      <c r="VR111" s="180" t="str">
        <f>VLOOKUP(VQ111,[13]AssetDetails_UEM!$A$3:$AH$1849,6,FALSE)</f>
        <v>Electrosurgical Units, Monopolar/Bipolar</v>
      </c>
      <c r="VS111" s="179" t="s">
        <v>428</v>
      </c>
      <c r="VT111" s="180" t="str">
        <f>VLOOKUP(VS111,[13]AssetDetails_UEM!$A$3:$AH$1849,6,FALSE)</f>
        <v>Electrosurgical Units, Monopolar/Bipolar</v>
      </c>
      <c r="VU111" s="179" t="s">
        <v>428</v>
      </c>
      <c r="VV111" s="180" t="str">
        <f>VLOOKUP(VU111,[13]AssetDetails_UEM!$A$3:$AH$1849,6,FALSE)</f>
        <v>Electrosurgical Units, Monopolar/Bipolar</v>
      </c>
      <c r="VW111" s="179" t="s">
        <v>428</v>
      </c>
      <c r="VX111" s="180" t="str">
        <f>VLOOKUP(VW111,[13]AssetDetails_UEM!$A$3:$AH$1849,6,FALSE)</f>
        <v>Electrosurgical Units, Monopolar/Bipolar</v>
      </c>
      <c r="VY111" s="179" t="s">
        <v>428</v>
      </c>
      <c r="VZ111" s="180" t="str">
        <f>VLOOKUP(VY111,[13]AssetDetails_UEM!$A$3:$AH$1849,6,FALSE)</f>
        <v>Electrosurgical Units, Monopolar/Bipolar</v>
      </c>
      <c r="WA111" s="179" t="s">
        <v>428</v>
      </c>
      <c r="WB111" s="180" t="str">
        <f>VLOOKUP(WA111,[13]AssetDetails_UEM!$A$3:$AH$1849,6,FALSE)</f>
        <v>Electrosurgical Units, Monopolar/Bipolar</v>
      </c>
      <c r="WC111" s="179" t="s">
        <v>428</v>
      </c>
      <c r="WD111" s="180" t="str">
        <f>VLOOKUP(WC111,[13]AssetDetails_UEM!$A$3:$AH$1849,6,FALSE)</f>
        <v>Electrosurgical Units, Monopolar/Bipolar</v>
      </c>
      <c r="WE111" s="179" t="s">
        <v>428</v>
      </c>
      <c r="WF111" s="180" t="str">
        <f>VLOOKUP(WE111,[13]AssetDetails_UEM!$A$3:$AH$1849,6,FALSE)</f>
        <v>Electrosurgical Units, Monopolar/Bipolar</v>
      </c>
      <c r="WG111" s="179" t="s">
        <v>428</v>
      </c>
      <c r="WH111" s="180" t="str">
        <f>VLOOKUP(WG111,[13]AssetDetails_UEM!$A$3:$AH$1849,6,FALSE)</f>
        <v>Electrosurgical Units, Monopolar/Bipolar</v>
      </c>
      <c r="WI111" s="179" t="s">
        <v>428</v>
      </c>
      <c r="WJ111" s="180" t="str">
        <f>VLOOKUP(WI111,[13]AssetDetails_UEM!$A$3:$AH$1849,6,FALSE)</f>
        <v>Electrosurgical Units, Monopolar/Bipolar</v>
      </c>
      <c r="WK111" s="179" t="s">
        <v>428</v>
      </c>
      <c r="WL111" s="180" t="str">
        <f>VLOOKUP(WK111,[13]AssetDetails_UEM!$A$3:$AH$1849,6,FALSE)</f>
        <v>Electrosurgical Units, Monopolar/Bipolar</v>
      </c>
      <c r="WM111" s="179" t="s">
        <v>428</v>
      </c>
      <c r="WN111" s="180" t="str">
        <f>VLOOKUP(WM111,[13]AssetDetails_UEM!$A$3:$AH$1849,6,FALSE)</f>
        <v>Electrosurgical Units, Monopolar/Bipolar</v>
      </c>
      <c r="WO111" s="179" t="s">
        <v>428</v>
      </c>
      <c r="WP111" s="180" t="str">
        <f>VLOOKUP(WO111,[13]AssetDetails_UEM!$A$3:$AH$1849,6,FALSE)</f>
        <v>Electrosurgical Units, Monopolar/Bipolar</v>
      </c>
      <c r="WQ111" s="179" t="s">
        <v>428</v>
      </c>
      <c r="WR111" s="180" t="str">
        <f>VLOOKUP(WQ111,[13]AssetDetails_UEM!$A$3:$AH$1849,6,FALSE)</f>
        <v>Electrosurgical Units, Monopolar/Bipolar</v>
      </c>
      <c r="WS111" s="179" t="s">
        <v>428</v>
      </c>
      <c r="WT111" s="180" t="str">
        <f>VLOOKUP(WS111,[13]AssetDetails_UEM!$A$3:$AH$1849,6,FALSE)</f>
        <v>Electrosurgical Units, Monopolar/Bipolar</v>
      </c>
      <c r="WU111" s="179" t="s">
        <v>428</v>
      </c>
      <c r="WV111" s="180" t="str">
        <f>VLOOKUP(WU111,[13]AssetDetails_UEM!$A$3:$AH$1849,6,FALSE)</f>
        <v>Electrosurgical Units, Monopolar/Bipolar</v>
      </c>
      <c r="WW111" s="179" t="s">
        <v>428</v>
      </c>
      <c r="WX111" s="180" t="str">
        <f>VLOOKUP(WW111,[13]AssetDetails_UEM!$A$3:$AH$1849,6,FALSE)</f>
        <v>Electrosurgical Units, Monopolar/Bipolar</v>
      </c>
      <c r="WY111" s="179" t="s">
        <v>428</v>
      </c>
      <c r="WZ111" s="180" t="str">
        <f>VLOOKUP(WY111,[13]AssetDetails_UEM!$A$3:$AH$1849,6,FALSE)</f>
        <v>Electrosurgical Units, Monopolar/Bipolar</v>
      </c>
      <c r="XA111" s="179" t="s">
        <v>428</v>
      </c>
      <c r="XB111" s="180" t="str">
        <f>VLOOKUP(XA111,[13]AssetDetails_UEM!$A$3:$AH$1849,6,FALSE)</f>
        <v>Electrosurgical Units, Monopolar/Bipolar</v>
      </c>
      <c r="XC111" s="179" t="s">
        <v>428</v>
      </c>
      <c r="XD111" s="180" t="str">
        <f>VLOOKUP(XC111,[13]AssetDetails_UEM!$A$3:$AH$1849,6,FALSE)</f>
        <v>Electrosurgical Units, Monopolar/Bipolar</v>
      </c>
      <c r="XE111" s="179" t="s">
        <v>428</v>
      </c>
      <c r="XF111" s="180" t="str">
        <f>VLOOKUP(XE111,[13]AssetDetails_UEM!$A$3:$AH$1849,6,FALSE)</f>
        <v>Electrosurgical Units, Monopolar/Bipolar</v>
      </c>
      <c r="XG111" s="179" t="s">
        <v>428</v>
      </c>
      <c r="XH111" s="180" t="str">
        <f>VLOOKUP(XG111,[13]AssetDetails_UEM!$A$3:$AH$1849,6,FALSE)</f>
        <v>Electrosurgical Units, Monopolar/Bipolar</v>
      </c>
      <c r="XI111" s="179" t="s">
        <v>428</v>
      </c>
      <c r="XJ111" s="180" t="str">
        <f>VLOOKUP(XI111,[13]AssetDetails_UEM!$A$3:$AH$1849,6,FALSE)</f>
        <v>Electrosurgical Units, Monopolar/Bipolar</v>
      </c>
      <c r="XK111" s="179" t="s">
        <v>428</v>
      </c>
      <c r="XL111" s="180" t="str">
        <f>VLOOKUP(XK111,[13]AssetDetails_UEM!$A$3:$AH$1849,6,FALSE)</f>
        <v>Electrosurgical Units, Monopolar/Bipolar</v>
      </c>
      <c r="XM111" s="179" t="s">
        <v>428</v>
      </c>
      <c r="XN111" s="180" t="str">
        <f>VLOOKUP(XM111,[13]AssetDetails_UEM!$A$3:$AH$1849,6,FALSE)</f>
        <v>Electrosurgical Units, Monopolar/Bipolar</v>
      </c>
      <c r="XO111" s="179" t="s">
        <v>428</v>
      </c>
      <c r="XP111" s="180" t="str">
        <f>VLOOKUP(XO111,[13]AssetDetails_UEM!$A$3:$AH$1849,6,FALSE)</f>
        <v>Electrosurgical Units, Monopolar/Bipolar</v>
      </c>
      <c r="XQ111" s="179" t="s">
        <v>428</v>
      </c>
      <c r="XR111" s="180" t="str">
        <f>VLOOKUP(XQ111,[13]AssetDetails_UEM!$A$3:$AH$1849,6,FALSE)</f>
        <v>Electrosurgical Units, Monopolar/Bipolar</v>
      </c>
      <c r="XS111" s="179" t="s">
        <v>428</v>
      </c>
      <c r="XT111" s="180" t="str">
        <f>VLOOKUP(XS111,[13]AssetDetails_UEM!$A$3:$AH$1849,6,FALSE)</f>
        <v>Electrosurgical Units, Monopolar/Bipolar</v>
      </c>
      <c r="XU111" s="179" t="s">
        <v>428</v>
      </c>
      <c r="XV111" s="180" t="str">
        <f>VLOOKUP(XU111,[13]AssetDetails_UEM!$A$3:$AH$1849,6,FALSE)</f>
        <v>Electrosurgical Units, Monopolar/Bipolar</v>
      </c>
      <c r="XW111" s="179" t="s">
        <v>428</v>
      </c>
      <c r="XX111" s="180" t="str">
        <f>VLOOKUP(XW111,[13]AssetDetails_UEM!$A$3:$AH$1849,6,FALSE)</f>
        <v>Electrosurgical Units, Monopolar/Bipolar</v>
      </c>
      <c r="XY111" s="179" t="s">
        <v>428</v>
      </c>
      <c r="XZ111" s="180" t="str">
        <f>VLOOKUP(XY111,[13]AssetDetails_UEM!$A$3:$AH$1849,6,FALSE)</f>
        <v>Electrosurgical Units, Monopolar/Bipolar</v>
      </c>
      <c r="YA111" s="179" t="s">
        <v>428</v>
      </c>
      <c r="YB111" s="180" t="str">
        <f>VLOOKUP(YA111,[13]AssetDetails_UEM!$A$3:$AH$1849,6,FALSE)</f>
        <v>Electrosurgical Units, Monopolar/Bipolar</v>
      </c>
      <c r="YC111" s="179" t="s">
        <v>428</v>
      </c>
      <c r="YD111" s="180" t="str">
        <f>VLOOKUP(YC111,[13]AssetDetails_UEM!$A$3:$AH$1849,6,FALSE)</f>
        <v>Electrosurgical Units, Monopolar/Bipolar</v>
      </c>
      <c r="YE111" s="179" t="s">
        <v>428</v>
      </c>
      <c r="YF111" s="180" t="str">
        <f>VLOOKUP(YE111,[13]AssetDetails_UEM!$A$3:$AH$1849,6,FALSE)</f>
        <v>Electrosurgical Units, Monopolar/Bipolar</v>
      </c>
      <c r="YG111" s="179" t="s">
        <v>428</v>
      </c>
      <c r="YH111" s="180" t="str">
        <f>VLOOKUP(YG111,[13]AssetDetails_UEM!$A$3:$AH$1849,6,FALSE)</f>
        <v>Electrosurgical Units, Monopolar/Bipolar</v>
      </c>
      <c r="YI111" s="179" t="s">
        <v>428</v>
      </c>
      <c r="YJ111" s="180" t="str">
        <f>VLOOKUP(YI111,[13]AssetDetails_UEM!$A$3:$AH$1849,6,FALSE)</f>
        <v>Electrosurgical Units, Monopolar/Bipolar</v>
      </c>
      <c r="YK111" s="179" t="s">
        <v>428</v>
      </c>
      <c r="YL111" s="180" t="str">
        <f>VLOOKUP(YK111,[13]AssetDetails_UEM!$A$3:$AH$1849,6,FALSE)</f>
        <v>Electrosurgical Units, Monopolar/Bipolar</v>
      </c>
      <c r="YM111" s="179" t="s">
        <v>428</v>
      </c>
      <c r="YN111" s="180" t="str">
        <f>VLOOKUP(YM111,[13]AssetDetails_UEM!$A$3:$AH$1849,6,FALSE)</f>
        <v>Electrosurgical Units, Monopolar/Bipolar</v>
      </c>
      <c r="YO111" s="179" t="s">
        <v>428</v>
      </c>
      <c r="YP111" s="180" t="str">
        <f>VLOOKUP(YO111,[13]AssetDetails_UEM!$A$3:$AH$1849,6,FALSE)</f>
        <v>Electrosurgical Units, Monopolar/Bipolar</v>
      </c>
      <c r="YQ111" s="179" t="s">
        <v>428</v>
      </c>
      <c r="YR111" s="180" t="str">
        <f>VLOOKUP(YQ111,[13]AssetDetails_UEM!$A$3:$AH$1849,6,FALSE)</f>
        <v>Electrosurgical Units, Monopolar/Bipolar</v>
      </c>
      <c r="YS111" s="179" t="s">
        <v>428</v>
      </c>
      <c r="YT111" s="180" t="str">
        <f>VLOOKUP(YS111,[13]AssetDetails_UEM!$A$3:$AH$1849,6,FALSE)</f>
        <v>Electrosurgical Units, Monopolar/Bipolar</v>
      </c>
      <c r="YU111" s="179" t="s">
        <v>428</v>
      </c>
      <c r="YV111" s="180" t="str">
        <f>VLOOKUP(YU111,[13]AssetDetails_UEM!$A$3:$AH$1849,6,FALSE)</f>
        <v>Electrosurgical Units, Monopolar/Bipolar</v>
      </c>
      <c r="YW111" s="179" t="s">
        <v>428</v>
      </c>
      <c r="YX111" s="180" t="str">
        <f>VLOOKUP(YW111,[13]AssetDetails_UEM!$A$3:$AH$1849,6,FALSE)</f>
        <v>Electrosurgical Units, Monopolar/Bipolar</v>
      </c>
      <c r="YY111" s="179" t="s">
        <v>428</v>
      </c>
      <c r="YZ111" s="180" t="str">
        <f>VLOOKUP(YY111,[13]AssetDetails_UEM!$A$3:$AH$1849,6,FALSE)</f>
        <v>Electrosurgical Units, Monopolar/Bipolar</v>
      </c>
      <c r="ZA111" s="179" t="s">
        <v>428</v>
      </c>
      <c r="ZB111" s="180" t="str">
        <f>VLOOKUP(ZA111,[13]AssetDetails_UEM!$A$3:$AH$1849,6,FALSE)</f>
        <v>Electrosurgical Units, Monopolar/Bipolar</v>
      </c>
      <c r="ZC111" s="179" t="s">
        <v>428</v>
      </c>
      <c r="ZD111" s="180" t="str">
        <f>VLOOKUP(ZC111,[13]AssetDetails_UEM!$A$3:$AH$1849,6,FALSE)</f>
        <v>Electrosurgical Units, Monopolar/Bipolar</v>
      </c>
      <c r="ZE111" s="179" t="s">
        <v>428</v>
      </c>
      <c r="ZF111" s="180" t="str">
        <f>VLOOKUP(ZE111,[13]AssetDetails_UEM!$A$3:$AH$1849,6,FALSE)</f>
        <v>Electrosurgical Units, Monopolar/Bipolar</v>
      </c>
      <c r="ZG111" s="179" t="s">
        <v>428</v>
      </c>
      <c r="ZH111" s="180" t="str">
        <f>VLOOKUP(ZG111,[13]AssetDetails_UEM!$A$3:$AH$1849,6,FALSE)</f>
        <v>Electrosurgical Units, Monopolar/Bipolar</v>
      </c>
      <c r="ZI111" s="179" t="s">
        <v>428</v>
      </c>
      <c r="ZJ111" s="180" t="str">
        <f>VLOOKUP(ZI111,[13]AssetDetails_UEM!$A$3:$AH$1849,6,FALSE)</f>
        <v>Electrosurgical Units, Monopolar/Bipolar</v>
      </c>
      <c r="ZK111" s="179" t="s">
        <v>428</v>
      </c>
      <c r="ZL111" s="180" t="str">
        <f>VLOOKUP(ZK111,[13]AssetDetails_UEM!$A$3:$AH$1849,6,FALSE)</f>
        <v>Electrosurgical Units, Monopolar/Bipolar</v>
      </c>
      <c r="ZM111" s="179" t="s">
        <v>428</v>
      </c>
      <c r="ZN111" s="180" t="str">
        <f>VLOOKUP(ZM111,[13]AssetDetails_UEM!$A$3:$AH$1849,6,FALSE)</f>
        <v>Electrosurgical Units, Monopolar/Bipolar</v>
      </c>
      <c r="ZO111" s="179" t="s">
        <v>428</v>
      </c>
      <c r="ZP111" s="180" t="str">
        <f>VLOOKUP(ZO111,[13]AssetDetails_UEM!$A$3:$AH$1849,6,FALSE)</f>
        <v>Electrosurgical Units, Monopolar/Bipolar</v>
      </c>
      <c r="ZQ111" s="179" t="s">
        <v>428</v>
      </c>
      <c r="ZR111" s="180" t="str">
        <f>VLOOKUP(ZQ111,[13]AssetDetails_UEM!$A$3:$AH$1849,6,FALSE)</f>
        <v>Electrosurgical Units, Monopolar/Bipolar</v>
      </c>
      <c r="ZS111" s="179" t="s">
        <v>428</v>
      </c>
      <c r="ZT111" s="180" t="str">
        <f>VLOOKUP(ZS111,[13]AssetDetails_UEM!$A$3:$AH$1849,6,FALSE)</f>
        <v>Electrosurgical Units, Monopolar/Bipolar</v>
      </c>
      <c r="ZU111" s="179" t="s">
        <v>428</v>
      </c>
      <c r="ZV111" s="180" t="str">
        <f>VLOOKUP(ZU111,[13]AssetDetails_UEM!$A$3:$AH$1849,6,FALSE)</f>
        <v>Electrosurgical Units, Monopolar/Bipolar</v>
      </c>
      <c r="ZW111" s="179" t="s">
        <v>428</v>
      </c>
      <c r="ZX111" s="180" t="str">
        <f>VLOOKUP(ZW111,[13]AssetDetails_UEM!$A$3:$AH$1849,6,FALSE)</f>
        <v>Electrosurgical Units, Monopolar/Bipolar</v>
      </c>
      <c r="ZY111" s="179" t="s">
        <v>428</v>
      </c>
      <c r="ZZ111" s="180" t="str">
        <f>VLOOKUP(ZY111,[13]AssetDetails_UEM!$A$3:$AH$1849,6,FALSE)</f>
        <v>Electrosurgical Units, Monopolar/Bipolar</v>
      </c>
      <c r="AAA111" s="179" t="s">
        <v>428</v>
      </c>
      <c r="AAB111" s="180" t="str">
        <f>VLOOKUP(AAA111,[13]AssetDetails_UEM!$A$3:$AH$1849,6,FALSE)</f>
        <v>Electrosurgical Units, Monopolar/Bipolar</v>
      </c>
      <c r="AAC111" s="179" t="s">
        <v>428</v>
      </c>
      <c r="AAD111" s="180" t="str">
        <f>VLOOKUP(AAC111,[13]AssetDetails_UEM!$A$3:$AH$1849,6,FALSE)</f>
        <v>Electrosurgical Units, Monopolar/Bipolar</v>
      </c>
      <c r="AAE111" s="179" t="s">
        <v>428</v>
      </c>
      <c r="AAF111" s="180" t="str">
        <f>VLOOKUP(AAE111,[13]AssetDetails_UEM!$A$3:$AH$1849,6,FALSE)</f>
        <v>Electrosurgical Units, Monopolar/Bipolar</v>
      </c>
      <c r="AAG111" s="179" t="s">
        <v>428</v>
      </c>
      <c r="AAH111" s="180" t="str">
        <f>VLOOKUP(AAG111,[13]AssetDetails_UEM!$A$3:$AH$1849,6,FALSE)</f>
        <v>Electrosurgical Units, Monopolar/Bipolar</v>
      </c>
      <c r="AAI111" s="179" t="s">
        <v>428</v>
      </c>
      <c r="AAJ111" s="180" t="str">
        <f>VLOOKUP(AAI111,[13]AssetDetails_UEM!$A$3:$AH$1849,6,FALSE)</f>
        <v>Electrosurgical Units, Monopolar/Bipolar</v>
      </c>
      <c r="AAK111" s="179" t="s">
        <v>428</v>
      </c>
      <c r="AAL111" s="180" t="str">
        <f>VLOOKUP(AAK111,[13]AssetDetails_UEM!$A$3:$AH$1849,6,FALSE)</f>
        <v>Electrosurgical Units, Monopolar/Bipolar</v>
      </c>
      <c r="AAM111" s="179" t="s">
        <v>428</v>
      </c>
      <c r="AAN111" s="180" t="str">
        <f>VLOOKUP(AAM111,[13]AssetDetails_UEM!$A$3:$AH$1849,6,FALSE)</f>
        <v>Electrosurgical Units, Monopolar/Bipolar</v>
      </c>
      <c r="AAO111" s="179" t="s">
        <v>428</v>
      </c>
      <c r="AAP111" s="180" t="str">
        <f>VLOOKUP(AAO111,[13]AssetDetails_UEM!$A$3:$AH$1849,6,FALSE)</f>
        <v>Electrosurgical Units, Monopolar/Bipolar</v>
      </c>
      <c r="AAQ111" s="179" t="s">
        <v>428</v>
      </c>
      <c r="AAR111" s="180" t="str">
        <f>VLOOKUP(AAQ111,[13]AssetDetails_UEM!$A$3:$AH$1849,6,FALSE)</f>
        <v>Electrosurgical Units, Monopolar/Bipolar</v>
      </c>
      <c r="AAS111" s="179" t="s">
        <v>428</v>
      </c>
      <c r="AAT111" s="180" t="str">
        <f>VLOOKUP(AAS111,[13]AssetDetails_UEM!$A$3:$AH$1849,6,FALSE)</f>
        <v>Electrosurgical Units, Monopolar/Bipolar</v>
      </c>
      <c r="AAU111" s="179" t="s">
        <v>428</v>
      </c>
      <c r="AAV111" s="180" t="str">
        <f>VLOOKUP(AAU111,[13]AssetDetails_UEM!$A$3:$AH$1849,6,FALSE)</f>
        <v>Electrosurgical Units, Monopolar/Bipolar</v>
      </c>
      <c r="AAW111" s="179" t="s">
        <v>428</v>
      </c>
      <c r="AAX111" s="180" t="str">
        <f>VLOOKUP(AAW111,[13]AssetDetails_UEM!$A$3:$AH$1849,6,FALSE)</f>
        <v>Electrosurgical Units, Monopolar/Bipolar</v>
      </c>
      <c r="AAY111" s="179" t="s">
        <v>428</v>
      </c>
      <c r="AAZ111" s="180" t="str">
        <f>VLOOKUP(AAY111,[13]AssetDetails_UEM!$A$3:$AH$1849,6,FALSE)</f>
        <v>Electrosurgical Units, Monopolar/Bipolar</v>
      </c>
      <c r="ABA111" s="179" t="s">
        <v>428</v>
      </c>
      <c r="ABB111" s="180" t="str">
        <f>VLOOKUP(ABA111,[13]AssetDetails_UEM!$A$3:$AH$1849,6,FALSE)</f>
        <v>Electrosurgical Units, Monopolar/Bipolar</v>
      </c>
      <c r="ABC111" s="179" t="s">
        <v>428</v>
      </c>
      <c r="ABD111" s="180" t="str">
        <f>VLOOKUP(ABC111,[13]AssetDetails_UEM!$A$3:$AH$1849,6,FALSE)</f>
        <v>Electrosurgical Units, Monopolar/Bipolar</v>
      </c>
      <c r="ABE111" s="179" t="s">
        <v>428</v>
      </c>
      <c r="ABF111" s="180" t="str">
        <f>VLOOKUP(ABE111,[13]AssetDetails_UEM!$A$3:$AH$1849,6,FALSE)</f>
        <v>Electrosurgical Units, Monopolar/Bipolar</v>
      </c>
      <c r="ABG111" s="179" t="s">
        <v>428</v>
      </c>
      <c r="ABH111" s="180" t="str">
        <f>VLOOKUP(ABG111,[13]AssetDetails_UEM!$A$3:$AH$1849,6,FALSE)</f>
        <v>Electrosurgical Units, Monopolar/Bipolar</v>
      </c>
      <c r="ABI111" s="179" t="s">
        <v>428</v>
      </c>
      <c r="ABJ111" s="180" t="str">
        <f>VLOOKUP(ABI111,[13]AssetDetails_UEM!$A$3:$AH$1849,6,FALSE)</f>
        <v>Electrosurgical Units, Monopolar/Bipolar</v>
      </c>
      <c r="ABK111" s="179" t="s">
        <v>428</v>
      </c>
      <c r="ABL111" s="180" t="str">
        <f>VLOOKUP(ABK111,[13]AssetDetails_UEM!$A$3:$AH$1849,6,FALSE)</f>
        <v>Electrosurgical Units, Monopolar/Bipolar</v>
      </c>
      <c r="ABM111" s="179" t="s">
        <v>428</v>
      </c>
      <c r="ABN111" s="180" t="str">
        <f>VLOOKUP(ABM111,[13]AssetDetails_UEM!$A$3:$AH$1849,6,FALSE)</f>
        <v>Electrosurgical Units, Monopolar/Bipolar</v>
      </c>
      <c r="ABO111" s="179" t="s">
        <v>428</v>
      </c>
      <c r="ABP111" s="180" t="str">
        <f>VLOOKUP(ABO111,[13]AssetDetails_UEM!$A$3:$AH$1849,6,FALSE)</f>
        <v>Electrosurgical Units, Monopolar/Bipolar</v>
      </c>
      <c r="ABQ111" s="179" t="s">
        <v>428</v>
      </c>
      <c r="ABR111" s="180" t="str">
        <f>VLOOKUP(ABQ111,[13]AssetDetails_UEM!$A$3:$AH$1849,6,FALSE)</f>
        <v>Electrosurgical Units, Monopolar/Bipolar</v>
      </c>
      <c r="ABS111" s="179" t="s">
        <v>428</v>
      </c>
      <c r="ABT111" s="180" t="str">
        <f>VLOOKUP(ABS111,[13]AssetDetails_UEM!$A$3:$AH$1849,6,FALSE)</f>
        <v>Electrosurgical Units, Monopolar/Bipolar</v>
      </c>
      <c r="ABU111" s="179" t="s">
        <v>428</v>
      </c>
      <c r="ABV111" s="180" t="str">
        <f>VLOOKUP(ABU111,[13]AssetDetails_UEM!$A$3:$AH$1849,6,FALSE)</f>
        <v>Electrosurgical Units, Monopolar/Bipolar</v>
      </c>
      <c r="ABW111" s="179" t="s">
        <v>428</v>
      </c>
      <c r="ABX111" s="180" t="str">
        <f>VLOOKUP(ABW111,[13]AssetDetails_UEM!$A$3:$AH$1849,6,FALSE)</f>
        <v>Electrosurgical Units, Monopolar/Bipolar</v>
      </c>
      <c r="ABY111" s="179" t="s">
        <v>428</v>
      </c>
      <c r="ABZ111" s="180" t="str">
        <f>VLOOKUP(ABY111,[13]AssetDetails_UEM!$A$3:$AH$1849,6,FALSE)</f>
        <v>Electrosurgical Units, Monopolar/Bipolar</v>
      </c>
      <c r="ACA111" s="179" t="s">
        <v>428</v>
      </c>
      <c r="ACB111" s="180" t="str">
        <f>VLOOKUP(ACA111,[13]AssetDetails_UEM!$A$3:$AH$1849,6,FALSE)</f>
        <v>Electrosurgical Units, Monopolar/Bipolar</v>
      </c>
      <c r="ACC111" s="179" t="s">
        <v>428</v>
      </c>
      <c r="ACD111" s="180" t="str">
        <f>VLOOKUP(ACC111,[13]AssetDetails_UEM!$A$3:$AH$1849,6,FALSE)</f>
        <v>Electrosurgical Units, Monopolar/Bipolar</v>
      </c>
      <c r="ACE111" s="179" t="s">
        <v>428</v>
      </c>
      <c r="ACF111" s="180" t="str">
        <f>VLOOKUP(ACE111,[13]AssetDetails_UEM!$A$3:$AH$1849,6,FALSE)</f>
        <v>Electrosurgical Units, Monopolar/Bipolar</v>
      </c>
      <c r="ACG111" s="179" t="s">
        <v>428</v>
      </c>
      <c r="ACH111" s="180" t="str">
        <f>VLOOKUP(ACG111,[13]AssetDetails_UEM!$A$3:$AH$1849,6,FALSE)</f>
        <v>Electrosurgical Units, Monopolar/Bipolar</v>
      </c>
      <c r="ACI111" s="179" t="s">
        <v>428</v>
      </c>
      <c r="ACJ111" s="180" t="str">
        <f>VLOOKUP(ACI111,[13]AssetDetails_UEM!$A$3:$AH$1849,6,FALSE)</f>
        <v>Electrosurgical Units, Monopolar/Bipolar</v>
      </c>
      <c r="ACK111" s="179" t="s">
        <v>428</v>
      </c>
      <c r="ACL111" s="180" t="str">
        <f>VLOOKUP(ACK111,[13]AssetDetails_UEM!$A$3:$AH$1849,6,FALSE)</f>
        <v>Electrosurgical Units, Monopolar/Bipolar</v>
      </c>
      <c r="ACM111" s="179" t="s">
        <v>428</v>
      </c>
      <c r="ACN111" s="180" t="str">
        <f>VLOOKUP(ACM111,[13]AssetDetails_UEM!$A$3:$AH$1849,6,FALSE)</f>
        <v>Electrosurgical Units, Monopolar/Bipolar</v>
      </c>
      <c r="ACO111" s="179" t="s">
        <v>428</v>
      </c>
      <c r="ACP111" s="180" t="str">
        <f>VLOOKUP(ACO111,[13]AssetDetails_UEM!$A$3:$AH$1849,6,FALSE)</f>
        <v>Electrosurgical Units, Monopolar/Bipolar</v>
      </c>
      <c r="ACQ111" s="179" t="s">
        <v>428</v>
      </c>
      <c r="ACR111" s="180" t="str">
        <f>VLOOKUP(ACQ111,[13]AssetDetails_UEM!$A$3:$AH$1849,6,FALSE)</f>
        <v>Electrosurgical Units, Monopolar/Bipolar</v>
      </c>
      <c r="ACS111" s="179" t="s">
        <v>428</v>
      </c>
      <c r="ACT111" s="180" t="str">
        <f>VLOOKUP(ACS111,[13]AssetDetails_UEM!$A$3:$AH$1849,6,FALSE)</f>
        <v>Electrosurgical Units, Monopolar/Bipolar</v>
      </c>
      <c r="ACU111" s="179" t="s">
        <v>428</v>
      </c>
      <c r="ACV111" s="180" t="str">
        <f>VLOOKUP(ACU111,[13]AssetDetails_UEM!$A$3:$AH$1849,6,FALSE)</f>
        <v>Electrosurgical Units, Monopolar/Bipolar</v>
      </c>
      <c r="ACW111" s="179" t="s">
        <v>428</v>
      </c>
      <c r="ACX111" s="180" t="str">
        <f>VLOOKUP(ACW111,[13]AssetDetails_UEM!$A$3:$AH$1849,6,FALSE)</f>
        <v>Electrosurgical Units, Monopolar/Bipolar</v>
      </c>
      <c r="ACY111" s="179" t="s">
        <v>428</v>
      </c>
      <c r="ACZ111" s="180" t="str">
        <f>VLOOKUP(ACY111,[13]AssetDetails_UEM!$A$3:$AH$1849,6,FALSE)</f>
        <v>Electrosurgical Units, Monopolar/Bipolar</v>
      </c>
      <c r="ADA111" s="179" t="s">
        <v>428</v>
      </c>
      <c r="ADB111" s="180" t="str">
        <f>VLOOKUP(ADA111,[13]AssetDetails_UEM!$A$3:$AH$1849,6,FALSE)</f>
        <v>Electrosurgical Units, Monopolar/Bipolar</v>
      </c>
      <c r="ADC111" s="179" t="s">
        <v>428</v>
      </c>
      <c r="ADD111" s="180" t="str">
        <f>VLOOKUP(ADC111,[13]AssetDetails_UEM!$A$3:$AH$1849,6,FALSE)</f>
        <v>Electrosurgical Units, Monopolar/Bipolar</v>
      </c>
      <c r="ADE111" s="179" t="s">
        <v>428</v>
      </c>
      <c r="ADF111" s="180" t="str">
        <f>VLOOKUP(ADE111,[13]AssetDetails_UEM!$A$3:$AH$1849,6,FALSE)</f>
        <v>Electrosurgical Units, Monopolar/Bipolar</v>
      </c>
      <c r="ADG111" s="179" t="s">
        <v>428</v>
      </c>
      <c r="ADH111" s="180" t="str">
        <f>VLOOKUP(ADG111,[13]AssetDetails_UEM!$A$3:$AH$1849,6,FALSE)</f>
        <v>Electrosurgical Units, Monopolar/Bipolar</v>
      </c>
      <c r="ADI111" s="179" t="s">
        <v>428</v>
      </c>
      <c r="ADJ111" s="180" t="str">
        <f>VLOOKUP(ADI111,[13]AssetDetails_UEM!$A$3:$AH$1849,6,FALSE)</f>
        <v>Electrosurgical Units, Monopolar/Bipolar</v>
      </c>
      <c r="ADK111" s="179" t="s">
        <v>428</v>
      </c>
      <c r="ADL111" s="180" t="str">
        <f>VLOOKUP(ADK111,[13]AssetDetails_UEM!$A$3:$AH$1849,6,FALSE)</f>
        <v>Electrosurgical Units, Monopolar/Bipolar</v>
      </c>
      <c r="ADM111" s="179" t="s">
        <v>428</v>
      </c>
      <c r="ADN111" s="180" t="str">
        <f>VLOOKUP(ADM111,[13]AssetDetails_UEM!$A$3:$AH$1849,6,FALSE)</f>
        <v>Electrosurgical Units, Monopolar/Bipolar</v>
      </c>
      <c r="ADO111" s="179" t="s">
        <v>428</v>
      </c>
      <c r="ADP111" s="180" t="str">
        <f>VLOOKUP(ADO111,[13]AssetDetails_UEM!$A$3:$AH$1849,6,FALSE)</f>
        <v>Electrosurgical Units, Monopolar/Bipolar</v>
      </c>
      <c r="ADQ111" s="179" t="s">
        <v>428</v>
      </c>
      <c r="ADR111" s="180" t="str">
        <f>VLOOKUP(ADQ111,[13]AssetDetails_UEM!$A$3:$AH$1849,6,FALSE)</f>
        <v>Electrosurgical Units, Monopolar/Bipolar</v>
      </c>
      <c r="ADS111" s="179" t="s">
        <v>428</v>
      </c>
      <c r="ADT111" s="180" t="str">
        <f>VLOOKUP(ADS111,[13]AssetDetails_UEM!$A$3:$AH$1849,6,FALSE)</f>
        <v>Electrosurgical Units, Monopolar/Bipolar</v>
      </c>
      <c r="ADU111" s="179" t="s">
        <v>428</v>
      </c>
      <c r="ADV111" s="180" t="str">
        <f>VLOOKUP(ADU111,[13]AssetDetails_UEM!$A$3:$AH$1849,6,FALSE)</f>
        <v>Electrosurgical Units, Monopolar/Bipolar</v>
      </c>
      <c r="ADW111" s="179" t="s">
        <v>428</v>
      </c>
      <c r="ADX111" s="180" t="str">
        <f>VLOOKUP(ADW111,[13]AssetDetails_UEM!$A$3:$AH$1849,6,FALSE)</f>
        <v>Electrosurgical Units, Monopolar/Bipolar</v>
      </c>
      <c r="ADY111" s="179" t="s">
        <v>428</v>
      </c>
      <c r="ADZ111" s="180" t="str">
        <f>VLOOKUP(ADY111,[13]AssetDetails_UEM!$A$3:$AH$1849,6,FALSE)</f>
        <v>Electrosurgical Units, Monopolar/Bipolar</v>
      </c>
      <c r="AEA111" s="179" t="s">
        <v>428</v>
      </c>
      <c r="AEB111" s="180" t="str">
        <f>VLOOKUP(AEA111,[13]AssetDetails_UEM!$A$3:$AH$1849,6,FALSE)</f>
        <v>Electrosurgical Units, Monopolar/Bipolar</v>
      </c>
      <c r="AEC111" s="179" t="s">
        <v>428</v>
      </c>
      <c r="AED111" s="180" t="str">
        <f>VLOOKUP(AEC111,[13]AssetDetails_UEM!$A$3:$AH$1849,6,FALSE)</f>
        <v>Electrosurgical Units, Monopolar/Bipolar</v>
      </c>
      <c r="AEE111" s="179" t="s">
        <v>428</v>
      </c>
      <c r="AEF111" s="180" t="str">
        <f>VLOOKUP(AEE111,[13]AssetDetails_UEM!$A$3:$AH$1849,6,FALSE)</f>
        <v>Electrosurgical Units, Monopolar/Bipolar</v>
      </c>
      <c r="AEG111" s="179" t="s">
        <v>428</v>
      </c>
      <c r="AEH111" s="180" t="str">
        <f>VLOOKUP(AEG111,[13]AssetDetails_UEM!$A$3:$AH$1849,6,FALSE)</f>
        <v>Electrosurgical Units, Monopolar/Bipolar</v>
      </c>
      <c r="AEI111" s="179" t="s">
        <v>428</v>
      </c>
      <c r="AEJ111" s="180" t="str">
        <f>VLOOKUP(AEI111,[13]AssetDetails_UEM!$A$3:$AH$1849,6,FALSE)</f>
        <v>Electrosurgical Units, Monopolar/Bipolar</v>
      </c>
      <c r="AEK111" s="179" t="s">
        <v>428</v>
      </c>
      <c r="AEL111" s="180" t="str">
        <f>VLOOKUP(AEK111,[13]AssetDetails_UEM!$A$3:$AH$1849,6,FALSE)</f>
        <v>Electrosurgical Units, Monopolar/Bipolar</v>
      </c>
      <c r="AEM111" s="179" t="s">
        <v>428</v>
      </c>
      <c r="AEN111" s="180" t="str">
        <f>VLOOKUP(AEM111,[13]AssetDetails_UEM!$A$3:$AH$1849,6,FALSE)</f>
        <v>Electrosurgical Units, Monopolar/Bipolar</v>
      </c>
      <c r="AEO111" s="179" t="s">
        <v>428</v>
      </c>
      <c r="AEP111" s="180" t="str">
        <f>VLOOKUP(AEO111,[13]AssetDetails_UEM!$A$3:$AH$1849,6,FALSE)</f>
        <v>Electrosurgical Units, Monopolar/Bipolar</v>
      </c>
      <c r="AEQ111" s="179" t="s">
        <v>428</v>
      </c>
      <c r="AER111" s="180" t="str">
        <f>VLOOKUP(AEQ111,[13]AssetDetails_UEM!$A$3:$AH$1849,6,FALSE)</f>
        <v>Electrosurgical Units, Monopolar/Bipolar</v>
      </c>
      <c r="AES111" s="179" t="s">
        <v>428</v>
      </c>
      <c r="AET111" s="180" t="str">
        <f>VLOOKUP(AES111,[13]AssetDetails_UEM!$A$3:$AH$1849,6,FALSE)</f>
        <v>Electrosurgical Units, Monopolar/Bipolar</v>
      </c>
      <c r="AEU111" s="179" t="s">
        <v>428</v>
      </c>
      <c r="AEV111" s="180" t="str">
        <f>VLOOKUP(AEU111,[13]AssetDetails_UEM!$A$3:$AH$1849,6,FALSE)</f>
        <v>Electrosurgical Units, Monopolar/Bipolar</v>
      </c>
      <c r="AEW111" s="179" t="s">
        <v>428</v>
      </c>
      <c r="AEX111" s="180" t="str">
        <f>VLOOKUP(AEW111,[13]AssetDetails_UEM!$A$3:$AH$1849,6,FALSE)</f>
        <v>Electrosurgical Units, Monopolar/Bipolar</v>
      </c>
      <c r="AEY111" s="179" t="s">
        <v>428</v>
      </c>
      <c r="AEZ111" s="180" t="str">
        <f>VLOOKUP(AEY111,[13]AssetDetails_UEM!$A$3:$AH$1849,6,FALSE)</f>
        <v>Electrosurgical Units, Monopolar/Bipolar</v>
      </c>
      <c r="AFA111" s="179" t="s">
        <v>428</v>
      </c>
      <c r="AFB111" s="180" t="str">
        <f>VLOOKUP(AFA111,[13]AssetDetails_UEM!$A$3:$AH$1849,6,FALSE)</f>
        <v>Electrosurgical Units, Monopolar/Bipolar</v>
      </c>
      <c r="AFC111" s="179" t="s">
        <v>428</v>
      </c>
      <c r="AFD111" s="180" t="str">
        <f>VLOOKUP(AFC111,[13]AssetDetails_UEM!$A$3:$AH$1849,6,FALSE)</f>
        <v>Electrosurgical Units, Monopolar/Bipolar</v>
      </c>
      <c r="AFE111" s="179" t="s">
        <v>428</v>
      </c>
      <c r="AFF111" s="180" t="str">
        <f>VLOOKUP(AFE111,[13]AssetDetails_UEM!$A$3:$AH$1849,6,FALSE)</f>
        <v>Electrosurgical Units, Monopolar/Bipolar</v>
      </c>
      <c r="AFG111" s="179" t="s">
        <v>428</v>
      </c>
      <c r="AFH111" s="180" t="str">
        <f>VLOOKUP(AFG111,[13]AssetDetails_UEM!$A$3:$AH$1849,6,FALSE)</f>
        <v>Electrosurgical Units, Monopolar/Bipolar</v>
      </c>
      <c r="AFI111" s="179" t="s">
        <v>428</v>
      </c>
      <c r="AFJ111" s="180" t="str">
        <f>VLOOKUP(AFI111,[13]AssetDetails_UEM!$A$3:$AH$1849,6,FALSE)</f>
        <v>Electrosurgical Units, Monopolar/Bipolar</v>
      </c>
      <c r="AFK111" s="179" t="s">
        <v>428</v>
      </c>
      <c r="AFL111" s="180" t="str">
        <f>VLOOKUP(AFK111,[13]AssetDetails_UEM!$A$3:$AH$1849,6,FALSE)</f>
        <v>Electrosurgical Units, Monopolar/Bipolar</v>
      </c>
      <c r="AFM111" s="179" t="s">
        <v>428</v>
      </c>
      <c r="AFN111" s="180" t="str">
        <f>VLOOKUP(AFM111,[13]AssetDetails_UEM!$A$3:$AH$1849,6,FALSE)</f>
        <v>Electrosurgical Units, Monopolar/Bipolar</v>
      </c>
      <c r="AFO111" s="179" t="s">
        <v>428</v>
      </c>
      <c r="AFP111" s="180" t="str">
        <f>VLOOKUP(AFO111,[13]AssetDetails_UEM!$A$3:$AH$1849,6,FALSE)</f>
        <v>Electrosurgical Units, Monopolar/Bipolar</v>
      </c>
      <c r="AFQ111" s="179" t="s">
        <v>428</v>
      </c>
      <c r="AFR111" s="180" t="str">
        <f>VLOOKUP(AFQ111,[13]AssetDetails_UEM!$A$3:$AH$1849,6,FALSE)</f>
        <v>Electrosurgical Units, Monopolar/Bipolar</v>
      </c>
      <c r="AFS111" s="179" t="s">
        <v>428</v>
      </c>
      <c r="AFT111" s="180" t="str">
        <f>VLOOKUP(AFS111,[13]AssetDetails_UEM!$A$3:$AH$1849,6,FALSE)</f>
        <v>Electrosurgical Units, Monopolar/Bipolar</v>
      </c>
      <c r="AFU111" s="179" t="s">
        <v>428</v>
      </c>
      <c r="AFV111" s="180" t="str">
        <f>VLOOKUP(AFU111,[13]AssetDetails_UEM!$A$3:$AH$1849,6,FALSE)</f>
        <v>Electrosurgical Units, Monopolar/Bipolar</v>
      </c>
      <c r="AFW111" s="179" t="s">
        <v>428</v>
      </c>
      <c r="AFX111" s="180" t="str">
        <f>VLOOKUP(AFW111,[13]AssetDetails_UEM!$A$3:$AH$1849,6,FALSE)</f>
        <v>Electrosurgical Units, Monopolar/Bipolar</v>
      </c>
      <c r="AFY111" s="179" t="s">
        <v>428</v>
      </c>
      <c r="AFZ111" s="180" t="str">
        <f>VLOOKUP(AFY111,[13]AssetDetails_UEM!$A$3:$AH$1849,6,FALSE)</f>
        <v>Electrosurgical Units, Monopolar/Bipolar</v>
      </c>
      <c r="AGA111" s="179" t="s">
        <v>428</v>
      </c>
      <c r="AGB111" s="180" t="str">
        <f>VLOOKUP(AGA111,[13]AssetDetails_UEM!$A$3:$AH$1849,6,FALSE)</f>
        <v>Electrosurgical Units, Monopolar/Bipolar</v>
      </c>
      <c r="AGC111" s="179" t="s">
        <v>428</v>
      </c>
      <c r="AGD111" s="180" t="str">
        <f>VLOOKUP(AGC111,[13]AssetDetails_UEM!$A$3:$AH$1849,6,FALSE)</f>
        <v>Electrosurgical Units, Monopolar/Bipolar</v>
      </c>
      <c r="AGE111" s="179" t="s">
        <v>428</v>
      </c>
      <c r="AGF111" s="180" t="str">
        <f>VLOOKUP(AGE111,[13]AssetDetails_UEM!$A$3:$AH$1849,6,FALSE)</f>
        <v>Electrosurgical Units, Monopolar/Bipolar</v>
      </c>
      <c r="AGG111" s="179" t="s">
        <v>428</v>
      </c>
      <c r="AGH111" s="180" t="str">
        <f>VLOOKUP(AGG111,[13]AssetDetails_UEM!$A$3:$AH$1849,6,FALSE)</f>
        <v>Electrosurgical Units, Monopolar/Bipolar</v>
      </c>
      <c r="AGI111" s="179" t="s">
        <v>428</v>
      </c>
      <c r="AGJ111" s="180" t="str">
        <f>VLOOKUP(AGI111,[13]AssetDetails_UEM!$A$3:$AH$1849,6,FALSE)</f>
        <v>Electrosurgical Units, Monopolar/Bipolar</v>
      </c>
      <c r="AGK111" s="179" t="s">
        <v>428</v>
      </c>
      <c r="AGL111" s="180" t="str">
        <f>VLOOKUP(AGK111,[13]AssetDetails_UEM!$A$3:$AH$1849,6,FALSE)</f>
        <v>Electrosurgical Units, Monopolar/Bipolar</v>
      </c>
      <c r="AGM111" s="179" t="s">
        <v>428</v>
      </c>
      <c r="AGN111" s="180" t="str">
        <f>VLOOKUP(AGM111,[13]AssetDetails_UEM!$A$3:$AH$1849,6,FALSE)</f>
        <v>Electrosurgical Units, Monopolar/Bipolar</v>
      </c>
      <c r="AGO111" s="179" t="s">
        <v>428</v>
      </c>
      <c r="AGP111" s="180" t="str">
        <f>VLOOKUP(AGO111,[13]AssetDetails_UEM!$A$3:$AH$1849,6,FALSE)</f>
        <v>Electrosurgical Units, Monopolar/Bipolar</v>
      </c>
      <c r="AGQ111" s="179" t="s">
        <v>428</v>
      </c>
      <c r="AGR111" s="180" t="str">
        <f>VLOOKUP(AGQ111,[13]AssetDetails_UEM!$A$3:$AH$1849,6,FALSE)</f>
        <v>Electrosurgical Units, Monopolar/Bipolar</v>
      </c>
      <c r="AGS111" s="179" t="s">
        <v>428</v>
      </c>
      <c r="AGT111" s="180" t="str">
        <f>VLOOKUP(AGS111,[13]AssetDetails_UEM!$A$3:$AH$1849,6,FALSE)</f>
        <v>Electrosurgical Units, Monopolar/Bipolar</v>
      </c>
      <c r="AGU111" s="179" t="s">
        <v>428</v>
      </c>
      <c r="AGV111" s="180" t="str">
        <f>VLOOKUP(AGU111,[13]AssetDetails_UEM!$A$3:$AH$1849,6,FALSE)</f>
        <v>Electrosurgical Units, Monopolar/Bipolar</v>
      </c>
      <c r="AGW111" s="179" t="s">
        <v>428</v>
      </c>
      <c r="AGX111" s="180" t="str">
        <f>VLOOKUP(AGW111,[13]AssetDetails_UEM!$A$3:$AH$1849,6,FALSE)</f>
        <v>Electrosurgical Units, Monopolar/Bipolar</v>
      </c>
      <c r="AGY111" s="179" t="s">
        <v>428</v>
      </c>
      <c r="AGZ111" s="180" t="str">
        <f>VLOOKUP(AGY111,[13]AssetDetails_UEM!$A$3:$AH$1849,6,FALSE)</f>
        <v>Electrosurgical Units, Monopolar/Bipolar</v>
      </c>
      <c r="AHA111" s="179" t="s">
        <v>428</v>
      </c>
      <c r="AHB111" s="180" t="str">
        <f>VLOOKUP(AHA111,[13]AssetDetails_UEM!$A$3:$AH$1849,6,FALSE)</f>
        <v>Electrosurgical Units, Monopolar/Bipolar</v>
      </c>
      <c r="AHC111" s="179" t="s">
        <v>428</v>
      </c>
      <c r="AHD111" s="180" t="str">
        <f>VLOOKUP(AHC111,[13]AssetDetails_UEM!$A$3:$AH$1849,6,FALSE)</f>
        <v>Electrosurgical Units, Monopolar/Bipolar</v>
      </c>
      <c r="AHE111" s="179" t="s">
        <v>428</v>
      </c>
      <c r="AHF111" s="180" t="str">
        <f>VLOOKUP(AHE111,[13]AssetDetails_UEM!$A$3:$AH$1849,6,FALSE)</f>
        <v>Electrosurgical Units, Monopolar/Bipolar</v>
      </c>
      <c r="AHG111" s="179" t="s">
        <v>428</v>
      </c>
      <c r="AHH111" s="180" t="str">
        <f>VLOOKUP(AHG111,[13]AssetDetails_UEM!$A$3:$AH$1849,6,FALSE)</f>
        <v>Electrosurgical Units, Monopolar/Bipolar</v>
      </c>
      <c r="AHI111" s="179" t="s">
        <v>428</v>
      </c>
      <c r="AHJ111" s="180" t="str">
        <f>VLOOKUP(AHI111,[13]AssetDetails_UEM!$A$3:$AH$1849,6,FALSE)</f>
        <v>Electrosurgical Units, Monopolar/Bipolar</v>
      </c>
      <c r="AHK111" s="179" t="s">
        <v>428</v>
      </c>
      <c r="AHL111" s="180" t="str">
        <f>VLOOKUP(AHK111,[13]AssetDetails_UEM!$A$3:$AH$1849,6,FALSE)</f>
        <v>Electrosurgical Units, Monopolar/Bipolar</v>
      </c>
      <c r="AHM111" s="179" t="s">
        <v>428</v>
      </c>
      <c r="AHN111" s="180" t="str">
        <f>VLOOKUP(AHM111,[13]AssetDetails_UEM!$A$3:$AH$1849,6,FALSE)</f>
        <v>Electrosurgical Units, Monopolar/Bipolar</v>
      </c>
      <c r="AHO111" s="179" t="s">
        <v>428</v>
      </c>
      <c r="AHP111" s="180" t="str">
        <f>VLOOKUP(AHO111,[13]AssetDetails_UEM!$A$3:$AH$1849,6,FALSE)</f>
        <v>Electrosurgical Units, Monopolar/Bipolar</v>
      </c>
      <c r="AHQ111" s="179" t="s">
        <v>428</v>
      </c>
      <c r="AHR111" s="180" t="str">
        <f>VLOOKUP(AHQ111,[13]AssetDetails_UEM!$A$3:$AH$1849,6,FALSE)</f>
        <v>Electrosurgical Units, Monopolar/Bipolar</v>
      </c>
      <c r="AHS111" s="179" t="s">
        <v>428</v>
      </c>
      <c r="AHT111" s="180" t="str">
        <f>VLOOKUP(AHS111,[13]AssetDetails_UEM!$A$3:$AH$1849,6,FALSE)</f>
        <v>Electrosurgical Units, Monopolar/Bipolar</v>
      </c>
      <c r="AHU111" s="179" t="s">
        <v>428</v>
      </c>
      <c r="AHV111" s="180" t="str">
        <f>VLOOKUP(AHU111,[13]AssetDetails_UEM!$A$3:$AH$1849,6,FALSE)</f>
        <v>Electrosurgical Units, Monopolar/Bipolar</v>
      </c>
      <c r="AHW111" s="179" t="s">
        <v>428</v>
      </c>
      <c r="AHX111" s="180" t="str">
        <f>VLOOKUP(AHW111,[13]AssetDetails_UEM!$A$3:$AH$1849,6,FALSE)</f>
        <v>Electrosurgical Units, Monopolar/Bipolar</v>
      </c>
      <c r="AHY111" s="179" t="s">
        <v>428</v>
      </c>
      <c r="AHZ111" s="180" t="str">
        <f>VLOOKUP(AHY111,[13]AssetDetails_UEM!$A$3:$AH$1849,6,FALSE)</f>
        <v>Electrosurgical Units, Monopolar/Bipolar</v>
      </c>
      <c r="AIA111" s="179" t="s">
        <v>428</v>
      </c>
      <c r="AIB111" s="180" t="str">
        <f>VLOOKUP(AIA111,[13]AssetDetails_UEM!$A$3:$AH$1849,6,FALSE)</f>
        <v>Electrosurgical Units, Monopolar/Bipolar</v>
      </c>
      <c r="AIC111" s="179" t="s">
        <v>428</v>
      </c>
      <c r="AID111" s="180" t="str">
        <f>VLOOKUP(AIC111,[13]AssetDetails_UEM!$A$3:$AH$1849,6,FALSE)</f>
        <v>Electrosurgical Units, Monopolar/Bipolar</v>
      </c>
      <c r="AIE111" s="179" t="s">
        <v>428</v>
      </c>
      <c r="AIF111" s="180" t="str">
        <f>VLOOKUP(AIE111,[13]AssetDetails_UEM!$A$3:$AH$1849,6,FALSE)</f>
        <v>Electrosurgical Units, Monopolar/Bipolar</v>
      </c>
      <c r="AIG111" s="179" t="s">
        <v>428</v>
      </c>
      <c r="AIH111" s="180" t="str">
        <f>VLOOKUP(AIG111,[13]AssetDetails_UEM!$A$3:$AH$1849,6,FALSE)</f>
        <v>Electrosurgical Units, Monopolar/Bipolar</v>
      </c>
      <c r="AII111" s="179" t="s">
        <v>428</v>
      </c>
      <c r="AIJ111" s="180" t="str">
        <f>VLOOKUP(AII111,[13]AssetDetails_UEM!$A$3:$AH$1849,6,FALSE)</f>
        <v>Electrosurgical Units, Monopolar/Bipolar</v>
      </c>
      <c r="AIK111" s="179" t="s">
        <v>428</v>
      </c>
      <c r="AIL111" s="180" t="str">
        <f>VLOOKUP(AIK111,[13]AssetDetails_UEM!$A$3:$AH$1849,6,FALSE)</f>
        <v>Electrosurgical Units, Monopolar/Bipolar</v>
      </c>
      <c r="AIM111" s="179" t="s">
        <v>428</v>
      </c>
      <c r="AIN111" s="180" t="str">
        <f>VLOOKUP(AIM111,[13]AssetDetails_UEM!$A$3:$AH$1849,6,FALSE)</f>
        <v>Electrosurgical Units, Monopolar/Bipolar</v>
      </c>
      <c r="AIO111" s="179" t="s">
        <v>428</v>
      </c>
      <c r="AIP111" s="180" t="str">
        <f>VLOOKUP(AIO111,[13]AssetDetails_UEM!$A$3:$AH$1849,6,FALSE)</f>
        <v>Electrosurgical Units, Monopolar/Bipolar</v>
      </c>
      <c r="AIQ111" s="179" t="s">
        <v>428</v>
      </c>
      <c r="AIR111" s="180" t="str">
        <f>VLOOKUP(AIQ111,[13]AssetDetails_UEM!$A$3:$AH$1849,6,FALSE)</f>
        <v>Electrosurgical Units, Monopolar/Bipolar</v>
      </c>
      <c r="AIS111" s="179" t="s">
        <v>428</v>
      </c>
      <c r="AIT111" s="180" t="str">
        <f>VLOOKUP(AIS111,[13]AssetDetails_UEM!$A$3:$AH$1849,6,FALSE)</f>
        <v>Electrosurgical Units, Monopolar/Bipolar</v>
      </c>
      <c r="AIU111" s="179" t="s">
        <v>428</v>
      </c>
      <c r="AIV111" s="180" t="str">
        <f>VLOOKUP(AIU111,[13]AssetDetails_UEM!$A$3:$AH$1849,6,FALSE)</f>
        <v>Electrosurgical Units, Monopolar/Bipolar</v>
      </c>
      <c r="AIW111" s="179" t="s">
        <v>428</v>
      </c>
      <c r="AIX111" s="180" t="str">
        <f>VLOOKUP(AIW111,[13]AssetDetails_UEM!$A$3:$AH$1849,6,FALSE)</f>
        <v>Electrosurgical Units, Monopolar/Bipolar</v>
      </c>
      <c r="AIY111" s="179" t="s">
        <v>428</v>
      </c>
      <c r="AIZ111" s="180" t="str">
        <f>VLOOKUP(AIY111,[13]AssetDetails_UEM!$A$3:$AH$1849,6,FALSE)</f>
        <v>Electrosurgical Units, Monopolar/Bipolar</v>
      </c>
      <c r="AJA111" s="179" t="s">
        <v>428</v>
      </c>
      <c r="AJB111" s="180" t="str">
        <f>VLOOKUP(AJA111,[13]AssetDetails_UEM!$A$3:$AH$1849,6,FALSE)</f>
        <v>Electrosurgical Units, Monopolar/Bipolar</v>
      </c>
      <c r="AJC111" s="179" t="s">
        <v>428</v>
      </c>
      <c r="AJD111" s="180" t="str">
        <f>VLOOKUP(AJC111,[13]AssetDetails_UEM!$A$3:$AH$1849,6,FALSE)</f>
        <v>Electrosurgical Units, Monopolar/Bipolar</v>
      </c>
      <c r="AJE111" s="179" t="s">
        <v>428</v>
      </c>
      <c r="AJF111" s="180" t="str">
        <f>VLOOKUP(AJE111,[13]AssetDetails_UEM!$A$3:$AH$1849,6,FALSE)</f>
        <v>Electrosurgical Units, Monopolar/Bipolar</v>
      </c>
      <c r="AJG111" s="179" t="s">
        <v>428</v>
      </c>
      <c r="AJH111" s="180" t="str">
        <f>VLOOKUP(AJG111,[13]AssetDetails_UEM!$A$3:$AH$1849,6,FALSE)</f>
        <v>Electrosurgical Units, Monopolar/Bipolar</v>
      </c>
      <c r="AJI111" s="179" t="s">
        <v>428</v>
      </c>
      <c r="AJJ111" s="180" t="str">
        <f>VLOOKUP(AJI111,[13]AssetDetails_UEM!$A$3:$AH$1849,6,FALSE)</f>
        <v>Electrosurgical Units, Monopolar/Bipolar</v>
      </c>
      <c r="AJK111" s="179" t="s">
        <v>428</v>
      </c>
      <c r="AJL111" s="180" t="str">
        <f>VLOOKUP(AJK111,[13]AssetDetails_UEM!$A$3:$AH$1849,6,FALSE)</f>
        <v>Electrosurgical Units, Monopolar/Bipolar</v>
      </c>
      <c r="AJM111" s="179" t="s">
        <v>428</v>
      </c>
      <c r="AJN111" s="180" t="str">
        <f>VLOOKUP(AJM111,[13]AssetDetails_UEM!$A$3:$AH$1849,6,FALSE)</f>
        <v>Electrosurgical Units, Monopolar/Bipolar</v>
      </c>
      <c r="AJO111" s="179" t="s">
        <v>428</v>
      </c>
      <c r="AJP111" s="180" t="str">
        <f>VLOOKUP(AJO111,[13]AssetDetails_UEM!$A$3:$AH$1849,6,FALSE)</f>
        <v>Electrosurgical Units, Monopolar/Bipolar</v>
      </c>
      <c r="AJQ111" s="179" t="s">
        <v>428</v>
      </c>
      <c r="AJR111" s="180" t="str">
        <f>VLOOKUP(AJQ111,[13]AssetDetails_UEM!$A$3:$AH$1849,6,FALSE)</f>
        <v>Electrosurgical Units, Monopolar/Bipolar</v>
      </c>
      <c r="AJS111" s="179" t="s">
        <v>428</v>
      </c>
      <c r="AJT111" s="180" t="str">
        <f>VLOOKUP(AJS111,[13]AssetDetails_UEM!$A$3:$AH$1849,6,FALSE)</f>
        <v>Electrosurgical Units, Monopolar/Bipolar</v>
      </c>
      <c r="AJU111" s="179" t="s">
        <v>428</v>
      </c>
      <c r="AJV111" s="180" t="str">
        <f>VLOOKUP(AJU111,[13]AssetDetails_UEM!$A$3:$AH$1849,6,FALSE)</f>
        <v>Electrosurgical Units, Monopolar/Bipolar</v>
      </c>
      <c r="AJW111" s="179" t="s">
        <v>428</v>
      </c>
      <c r="AJX111" s="180" t="str">
        <f>VLOOKUP(AJW111,[13]AssetDetails_UEM!$A$3:$AH$1849,6,FALSE)</f>
        <v>Electrosurgical Units, Monopolar/Bipolar</v>
      </c>
      <c r="AJY111" s="179" t="s">
        <v>428</v>
      </c>
      <c r="AJZ111" s="180" t="str">
        <f>VLOOKUP(AJY111,[13]AssetDetails_UEM!$A$3:$AH$1849,6,FALSE)</f>
        <v>Electrosurgical Units, Monopolar/Bipolar</v>
      </c>
      <c r="AKA111" s="179" t="s">
        <v>428</v>
      </c>
      <c r="AKB111" s="180" t="str">
        <f>VLOOKUP(AKA111,[13]AssetDetails_UEM!$A$3:$AH$1849,6,FALSE)</f>
        <v>Electrosurgical Units, Monopolar/Bipolar</v>
      </c>
      <c r="AKC111" s="179" t="s">
        <v>428</v>
      </c>
      <c r="AKD111" s="180" t="str">
        <f>VLOOKUP(AKC111,[13]AssetDetails_UEM!$A$3:$AH$1849,6,FALSE)</f>
        <v>Electrosurgical Units, Monopolar/Bipolar</v>
      </c>
      <c r="AKE111" s="179" t="s">
        <v>428</v>
      </c>
      <c r="AKF111" s="180" t="str">
        <f>VLOOKUP(AKE111,[13]AssetDetails_UEM!$A$3:$AH$1849,6,FALSE)</f>
        <v>Electrosurgical Units, Monopolar/Bipolar</v>
      </c>
      <c r="AKG111" s="179" t="s">
        <v>428</v>
      </c>
      <c r="AKH111" s="180" t="str">
        <f>VLOOKUP(AKG111,[13]AssetDetails_UEM!$A$3:$AH$1849,6,FALSE)</f>
        <v>Electrosurgical Units, Monopolar/Bipolar</v>
      </c>
      <c r="AKI111" s="179" t="s">
        <v>428</v>
      </c>
      <c r="AKJ111" s="180" t="str">
        <f>VLOOKUP(AKI111,[13]AssetDetails_UEM!$A$3:$AH$1849,6,FALSE)</f>
        <v>Electrosurgical Units, Monopolar/Bipolar</v>
      </c>
      <c r="AKK111" s="179" t="s">
        <v>428</v>
      </c>
      <c r="AKL111" s="180" t="str">
        <f>VLOOKUP(AKK111,[13]AssetDetails_UEM!$A$3:$AH$1849,6,FALSE)</f>
        <v>Electrosurgical Units, Monopolar/Bipolar</v>
      </c>
      <c r="AKM111" s="179" t="s">
        <v>428</v>
      </c>
      <c r="AKN111" s="180" t="str">
        <f>VLOOKUP(AKM111,[13]AssetDetails_UEM!$A$3:$AH$1849,6,FALSE)</f>
        <v>Electrosurgical Units, Monopolar/Bipolar</v>
      </c>
      <c r="AKO111" s="179" t="s">
        <v>428</v>
      </c>
      <c r="AKP111" s="180" t="str">
        <f>VLOOKUP(AKO111,[13]AssetDetails_UEM!$A$3:$AH$1849,6,FALSE)</f>
        <v>Electrosurgical Units, Monopolar/Bipolar</v>
      </c>
      <c r="AKQ111" s="179" t="s">
        <v>428</v>
      </c>
      <c r="AKR111" s="180" t="str">
        <f>VLOOKUP(AKQ111,[13]AssetDetails_UEM!$A$3:$AH$1849,6,FALSE)</f>
        <v>Electrosurgical Units, Monopolar/Bipolar</v>
      </c>
      <c r="AKS111" s="179" t="s">
        <v>428</v>
      </c>
      <c r="AKT111" s="180" t="str">
        <f>VLOOKUP(AKS111,[13]AssetDetails_UEM!$A$3:$AH$1849,6,FALSE)</f>
        <v>Electrosurgical Units, Monopolar/Bipolar</v>
      </c>
      <c r="AKU111" s="179" t="s">
        <v>428</v>
      </c>
      <c r="AKV111" s="180" t="str">
        <f>VLOOKUP(AKU111,[13]AssetDetails_UEM!$A$3:$AH$1849,6,FALSE)</f>
        <v>Electrosurgical Units, Monopolar/Bipolar</v>
      </c>
      <c r="AKW111" s="179" t="s">
        <v>428</v>
      </c>
      <c r="AKX111" s="180" t="str">
        <f>VLOOKUP(AKW111,[13]AssetDetails_UEM!$A$3:$AH$1849,6,FALSE)</f>
        <v>Electrosurgical Units, Monopolar/Bipolar</v>
      </c>
      <c r="AKY111" s="179" t="s">
        <v>428</v>
      </c>
      <c r="AKZ111" s="180" t="str">
        <f>VLOOKUP(AKY111,[13]AssetDetails_UEM!$A$3:$AH$1849,6,FALSE)</f>
        <v>Electrosurgical Units, Monopolar/Bipolar</v>
      </c>
      <c r="ALA111" s="179" t="s">
        <v>428</v>
      </c>
      <c r="ALB111" s="180" t="str">
        <f>VLOOKUP(ALA111,[13]AssetDetails_UEM!$A$3:$AH$1849,6,FALSE)</f>
        <v>Electrosurgical Units, Monopolar/Bipolar</v>
      </c>
      <c r="ALC111" s="179" t="s">
        <v>428</v>
      </c>
      <c r="ALD111" s="180" t="str">
        <f>VLOOKUP(ALC111,[13]AssetDetails_UEM!$A$3:$AH$1849,6,FALSE)</f>
        <v>Electrosurgical Units, Monopolar/Bipolar</v>
      </c>
      <c r="ALE111" s="179" t="s">
        <v>428</v>
      </c>
      <c r="ALF111" s="180" t="str">
        <f>VLOOKUP(ALE111,[13]AssetDetails_UEM!$A$3:$AH$1849,6,FALSE)</f>
        <v>Electrosurgical Units, Monopolar/Bipolar</v>
      </c>
      <c r="ALG111" s="179" t="s">
        <v>428</v>
      </c>
      <c r="ALH111" s="180" t="str">
        <f>VLOOKUP(ALG111,[13]AssetDetails_UEM!$A$3:$AH$1849,6,FALSE)</f>
        <v>Electrosurgical Units, Monopolar/Bipolar</v>
      </c>
      <c r="ALI111" s="179" t="s">
        <v>428</v>
      </c>
      <c r="ALJ111" s="180" t="str">
        <f>VLOOKUP(ALI111,[13]AssetDetails_UEM!$A$3:$AH$1849,6,FALSE)</f>
        <v>Electrosurgical Units, Monopolar/Bipolar</v>
      </c>
      <c r="ALK111" s="179" t="s">
        <v>428</v>
      </c>
      <c r="ALL111" s="180" t="str">
        <f>VLOOKUP(ALK111,[13]AssetDetails_UEM!$A$3:$AH$1849,6,FALSE)</f>
        <v>Electrosurgical Units, Monopolar/Bipolar</v>
      </c>
      <c r="ALM111" s="179" t="s">
        <v>428</v>
      </c>
      <c r="ALN111" s="180" t="str">
        <f>VLOOKUP(ALM111,[13]AssetDetails_UEM!$A$3:$AH$1849,6,FALSE)</f>
        <v>Electrosurgical Units, Monopolar/Bipolar</v>
      </c>
      <c r="ALO111" s="179" t="s">
        <v>428</v>
      </c>
      <c r="ALP111" s="180" t="str">
        <f>VLOOKUP(ALO111,[13]AssetDetails_UEM!$A$3:$AH$1849,6,FALSE)</f>
        <v>Electrosurgical Units, Monopolar/Bipolar</v>
      </c>
      <c r="ALQ111" s="179" t="s">
        <v>428</v>
      </c>
      <c r="ALR111" s="180" t="str">
        <f>VLOOKUP(ALQ111,[13]AssetDetails_UEM!$A$3:$AH$1849,6,FALSE)</f>
        <v>Electrosurgical Units, Monopolar/Bipolar</v>
      </c>
      <c r="ALS111" s="179" t="s">
        <v>428</v>
      </c>
      <c r="ALT111" s="180" t="str">
        <f>VLOOKUP(ALS111,[13]AssetDetails_UEM!$A$3:$AH$1849,6,FALSE)</f>
        <v>Electrosurgical Units, Monopolar/Bipolar</v>
      </c>
      <c r="ALU111" s="179" t="s">
        <v>428</v>
      </c>
      <c r="ALV111" s="180" t="str">
        <f>VLOOKUP(ALU111,[13]AssetDetails_UEM!$A$3:$AH$1849,6,FALSE)</f>
        <v>Electrosurgical Units, Monopolar/Bipolar</v>
      </c>
      <c r="ALW111" s="179" t="s">
        <v>428</v>
      </c>
      <c r="ALX111" s="180" t="str">
        <f>VLOOKUP(ALW111,[13]AssetDetails_UEM!$A$3:$AH$1849,6,FALSE)</f>
        <v>Electrosurgical Units, Monopolar/Bipolar</v>
      </c>
      <c r="ALY111" s="179" t="s">
        <v>428</v>
      </c>
      <c r="ALZ111" s="180" t="str">
        <f>VLOOKUP(ALY111,[13]AssetDetails_UEM!$A$3:$AH$1849,6,FALSE)</f>
        <v>Electrosurgical Units, Monopolar/Bipolar</v>
      </c>
      <c r="AMA111" s="179" t="s">
        <v>428</v>
      </c>
      <c r="AMB111" s="180" t="str">
        <f>VLOOKUP(AMA111,[13]AssetDetails_UEM!$A$3:$AH$1849,6,FALSE)</f>
        <v>Electrosurgical Units, Monopolar/Bipolar</v>
      </c>
      <c r="AMC111" s="179" t="s">
        <v>428</v>
      </c>
      <c r="AMD111" s="180" t="str">
        <f>VLOOKUP(AMC111,[13]AssetDetails_UEM!$A$3:$AH$1849,6,FALSE)</f>
        <v>Electrosurgical Units, Monopolar/Bipolar</v>
      </c>
      <c r="AME111" s="179" t="s">
        <v>428</v>
      </c>
      <c r="AMF111" s="180" t="str">
        <f>VLOOKUP(AME111,[13]AssetDetails_UEM!$A$3:$AH$1849,6,FALSE)</f>
        <v>Electrosurgical Units, Monopolar/Bipolar</v>
      </c>
      <c r="AMG111" s="179" t="s">
        <v>428</v>
      </c>
      <c r="AMH111" s="180" t="str">
        <f>VLOOKUP(AMG111,[13]AssetDetails_UEM!$A$3:$AH$1849,6,FALSE)</f>
        <v>Electrosurgical Units, Monopolar/Bipolar</v>
      </c>
      <c r="AMI111" s="179" t="s">
        <v>428</v>
      </c>
      <c r="AMJ111" s="180" t="str">
        <f>VLOOKUP(AMI111,[13]AssetDetails_UEM!$A$3:$AH$1849,6,FALSE)</f>
        <v>Electrosurgical Units, Monopolar/Bipolar</v>
      </c>
      <c r="AMK111" s="179" t="s">
        <v>428</v>
      </c>
      <c r="AML111" s="180" t="str">
        <f>VLOOKUP(AMK111,[13]AssetDetails_UEM!$A$3:$AH$1849,6,FALSE)</f>
        <v>Electrosurgical Units, Monopolar/Bipolar</v>
      </c>
      <c r="AMM111" s="179" t="s">
        <v>428</v>
      </c>
      <c r="AMN111" s="180" t="str">
        <f>VLOOKUP(AMM111,[13]AssetDetails_UEM!$A$3:$AH$1849,6,FALSE)</f>
        <v>Electrosurgical Units, Monopolar/Bipolar</v>
      </c>
      <c r="AMO111" s="179" t="s">
        <v>428</v>
      </c>
      <c r="AMP111" s="180" t="str">
        <f>VLOOKUP(AMO111,[13]AssetDetails_UEM!$A$3:$AH$1849,6,FALSE)</f>
        <v>Electrosurgical Units, Monopolar/Bipolar</v>
      </c>
      <c r="AMQ111" s="179" t="s">
        <v>428</v>
      </c>
      <c r="AMR111" s="180" t="str">
        <f>VLOOKUP(AMQ111,[13]AssetDetails_UEM!$A$3:$AH$1849,6,FALSE)</f>
        <v>Electrosurgical Units, Monopolar/Bipolar</v>
      </c>
      <c r="AMS111" s="179" t="s">
        <v>428</v>
      </c>
      <c r="AMT111" s="180" t="str">
        <f>VLOOKUP(AMS111,[13]AssetDetails_UEM!$A$3:$AH$1849,6,FALSE)</f>
        <v>Electrosurgical Units, Monopolar/Bipolar</v>
      </c>
      <c r="AMU111" s="179" t="s">
        <v>428</v>
      </c>
      <c r="AMV111" s="180" t="str">
        <f>VLOOKUP(AMU111,[13]AssetDetails_UEM!$A$3:$AH$1849,6,FALSE)</f>
        <v>Electrosurgical Units, Monopolar/Bipolar</v>
      </c>
      <c r="AMW111" s="179" t="s">
        <v>428</v>
      </c>
      <c r="AMX111" s="180" t="str">
        <f>VLOOKUP(AMW111,[13]AssetDetails_UEM!$A$3:$AH$1849,6,FALSE)</f>
        <v>Electrosurgical Units, Monopolar/Bipolar</v>
      </c>
      <c r="AMY111" s="179" t="s">
        <v>428</v>
      </c>
      <c r="AMZ111" s="180" t="str">
        <f>VLOOKUP(AMY111,[13]AssetDetails_UEM!$A$3:$AH$1849,6,FALSE)</f>
        <v>Electrosurgical Units, Monopolar/Bipolar</v>
      </c>
      <c r="ANA111" s="179" t="s">
        <v>428</v>
      </c>
      <c r="ANB111" s="180" t="str">
        <f>VLOOKUP(ANA111,[13]AssetDetails_UEM!$A$3:$AH$1849,6,FALSE)</f>
        <v>Electrosurgical Units, Monopolar/Bipolar</v>
      </c>
      <c r="ANC111" s="179" t="s">
        <v>428</v>
      </c>
      <c r="AND111" s="180" t="str">
        <f>VLOOKUP(ANC111,[13]AssetDetails_UEM!$A$3:$AH$1849,6,FALSE)</f>
        <v>Electrosurgical Units, Monopolar/Bipolar</v>
      </c>
      <c r="ANE111" s="179" t="s">
        <v>428</v>
      </c>
      <c r="ANF111" s="180" t="str">
        <f>VLOOKUP(ANE111,[13]AssetDetails_UEM!$A$3:$AH$1849,6,FALSE)</f>
        <v>Electrosurgical Units, Monopolar/Bipolar</v>
      </c>
      <c r="ANG111" s="179" t="s">
        <v>428</v>
      </c>
      <c r="ANH111" s="180" t="str">
        <f>VLOOKUP(ANG111,[13]AssetDetails_UEM!$A$3:$AH$1849,6,FALSE)</f>
        <v>Electrosurgical Units, Monopolar/Bipolar</v>
      </c>
      <c r="ANI111" s="179" t="s">
        <v>428</v>
      </c>
      <c r="ANJ111" s="180" t="str">
        <f>VLOOKUP(ANI111,[13]AssetDetails_UEM!$A$3:$AH$1849,6,FALSE)</f>
        <v>Electrosurgical Units, Monopolar/Bipolar</v>
      </c>
      <c r="ANK111" s="179" t="s">
        <v>428</v>
      </c>
      <c r="ANL111" s="180" t="str">
        <f>VLOOKUP(ANK111,[13]AssetDetails_UEM!$A$3:$AH$1849,6,FALSE)</f>
        <v>Electrosurgical Units, Monopolar/Bipolar</v>
      </c>
      <c r="ANM111" s="179" t="s">
        <v>428</v>
      </c>
      <c r="ANN111" s="180" t="str">
        <f>VLOOKUP(ANM111,[13]AssetDetails_UEM!$A$3:$AH$1849,6,FALSE)</f>
        <v>Electrosurgical Units, Monopolar/Bipolar</v>
      </c>
      <c r="ANO111" s="179" t="s">
        <v>428</v>
      </c>
      <c r="ANP111" s="180" t="str">
        <f>VLOOKUP(ANO111,[13]AssetDetails_UEM!$A$3:$AH$1849,6,FALSE)</f>
        <v>Electrosurgical Units, Monopolar/Bipolar</v>
      </c>
      <c r="ANQ111" s="179" t="s">
        <v>428</v>
      </c>
      <c r="ANR111" s="180" t="str">
        <f>VLOOKUP(ANQ111,[13]AssetDetails_UEM!$A$3:$AH$1849,6,FALSE)</f>
        <v>Electrosurgical Units, Monopolar/Bipolar</v>
      </c>
      <c r="ANS111" s="179" t="s">
        <v>428</v>
      </c>
      <c r="ANT111" s="180" t="str">
        <f>VLOOKUP(ANS111,[13]AssetDetails_UEM!$A$3:$AH$1849,6,FALSE)</f>
        <v>Electrosurgical Units, Monopolar/Bipolar</v>
      </c>
      <c r="ANU111" s="179" t="s">
        <v>428</v>
      </c>
      <c r="ANV111" s="180" t="str">
        <f>VLOOKUP(ANU111,[13]AssetDetails_UEM!$A$3:$AH$1849,6,FALSE)</f>
        <v>Electrosurgical Units, Monopolar/Bipolar</v>
      </c>
      <c r="ANW111" s="179" t="s">
        <v>428</v>
      </c>
      <c r="ANX111" s="180" t="str">
        <f>VLOOKUP(ANW111,[13]AssetDetails_UEM!$A$3:$AH$1849,6,FALSE)</f>
        <v>Electrosurgical Units, Monopolar/Bipolar</v>
      </c>
      <c r="ANY111" s="179" t="s">
        <v>428</v>
      </c>
      <c r="ANZ111" s="180" t="str">
        <f>VLOOKUP(ANY111,[13]AssetDetails_UEM!$A$3:$AH$1849,6,FALSE)</f>
        <v>Electrosurgical Units, Monopolar/Bipolar</v>
      </c>
      <c r="AOA111" s="179" t="s">
        <v>428</v>
      </c>
      <c r="AOB111" s="180" t="str">
        <f>VLOOKUP(AOA111,[13]AssetDetails_UEM!$A$3:$AH$1849,6,FALSE)</f>
        <v>Electrosurgical Units, Monopolar/Bipolar</v>
      </c>
      <c r="AOC111" s="179" t="s">
        <v>428</v>
      </c>
      <c r="AOD111" s="180" t="str">
        <f>VLOOKUP(AOC111,[13]AssetDetails_UEM!$A$3:$AH$1849,6,FALSE)</f>
        <v>Electrosurgical Units, Monopolar/Bipolar</v>
      </c>
      <c r="AOE111" s="179" t="s">
        <v>428</v>
      </c>
      <c r="AOF111" s="180" t="str">
        <f>VLOOKUP(AOE111,[13]AssetDetails_UEM!$A$3:$AH$1849,6,FALSE)</f>
        <v>Electrosurgical Units, Monopolar/Bipolar</v>
      </c>
      <c r="AOG111" s="179" t="s">
        <v>428</v>
      </c>
      <c r="AOH111" s="180" t="str">
        <f>VLOOKUP(AOG111,[13]AssetDetails_UEM!$A$3:$AH$1849,6,FALSE)</f>
        <v>Electrosurgical Units, Monopolar/Bipolar</v>
      </c>
      <c r="AOI111" s="179" t="s">
        <v>428</v>
      </c>
      <c r="AOJ111" s="180" t="str">
        <f>VLOOKUP(AOI111,[13]AssetDetails_UEM!$A$3:$AH$1849,6,FALSE)</f>
        <v>Electrosurgical Units, Monopolar/Bipolar</v>
      </c>
      <c r="AOK111" s="179" t="s">
        <v>428</v>
      </c>
      <c r="AOL111" s="180" t="str">
        <f>VLOOKUP(AOK111,[13]AssetDetails_UEM!$A$3:$AH$1849,6,FALSE)</f>
        <v>Electrosurgical Units, Monopolar/Bipolar</v>
      </c>
      <c r="AOM111" s="179" t="s">
        <v>428</v>
      </c>
      <c r="AON111" s="180" t="str">
        <f>VLOOKUP(AOM111,[13]AssetDetails_UEM!$A$3:$AH$1849,6,FALSE)</f>
        <v>Electrosurgical Units, Monopolar/Bipolar</v>
      </c>
      <c r="AOO111" s="179" t="s">
        <v>428</v>
      </c>
      <c r="AOP111" s="180" t="str">
        <f>VLOOKUP(AOO111,[13]AssetDetails_UEM!$A$3:$AH$1849,6,FALSE)</f>
        <v>Electrosurgical Units, Monopolar/Bipolar</v>
      </c>
      <c r="AOQ111" s="179" t="s">
        <v>428</v>
      </c>
      <c r="AOR111" s="180" t="str">
        <f>VLOOKUP(AOQ111,[13]AssetDetails_UEM!$A$3:$AH$1849,6,FALSE)</f>
        <v>Electrosurgical Units, Monopolar/Bipolar</v>
      </c>
      <c r="AOS111" s="179" t="s">
        <v>428</v>
      </c>
      <c r="AOT111" s="180" t="str">
        <f>VLOOKUP(AOS111,[13]AssetDetails_UEM!$A$3:$AH$1849,6,FALSE)</f>
        <v>Electrosurgical Units, Monopolar/Bipolar</v>
      </c>
      <c r="AOU111" s="179" t="s">
        <v>428</v>
      </c>
      <c r="AOV111" s="180" t="str">
        <f>VLOOKUP(AOU111,[13]AssetDetails_UEM!$A$3:$AH$1849,6,FALSE)</f>
        <v>Electrosurgical Units, Monopolar/Bipolar</v>
      </c>
      <c r="AOW111" s="179" t="s">
        <v>428</v>
      </c>
      <c r="AOX111" s="180" t="str">
        <f>VLOOKUP(AOW111,[13]AssetDetails_UEM!$A$3:$AH$1849,6,FALSE)</f>
        <v>Electrosurgical Units, Monopolar/Bipolar</v>
      </c>
      <c r="AOY111" s="179" t="s">
        <v>428</v>
      </c>
      <c r="AOZ111" s="180" t="str">
        <f>VLOOKUP(AOY111,[13]AssetDetails_UEM!$A$3:$AH$1849,6,FALSE)</f>
        <v>Electrosurgical Units, Monopolar/Bipolar</v>
      </c>
      <c r="APA111" s="179" t="s">
        <v>428</v>
      </c>
      <c r="APB111" s="180" t="str">
        <f>VLOOKUP(APA111,[13]AssetDetails_UEM!$A$3:$AH$1849,6,FALSE)</f>
        <v>Electrosurgical Units, Monopolar/Bipolar</v>
      </c>
      <c r="APC111" s="179" t="s">
        <v>428</v>
      </c>
      <c r="APD111" s="180" t="str">
        <f>VLOOKUP(APC111,[13]AssetDetails_UEM!$A$3:$AH$1849,6,FALSE)</f>
        <v>Electrosurgical Units, Monopolar/Bipolar</v>
      </c>
      <c r="APE111" s="179" t="s">
        <v>428</v>
      </c>
      <c r="APF111" s="180" t="str">
        <f>VLOOKUP(APE111,[13]AssetDetails_UEM!$A$3:$AH$1849,6,FALSE)</f>
        <v>Electrosurgical Units, Monopolar/Bipolar</v>
      </c>
      <c r="APG111" s="179" t="s">
        <v>428</v>
      </c>
      <c r="APH111" s="180" t="str">
        <f>VLOOKUP(APG111,[13]AssetDetails_UEM!$A$3:$AH$1849,6,FALSE)</f>
        <v>Electrosurgical Units, Monopolar/Bipolar</v>
      </c>
      <c r="API111" s="179" t="s">
        <v>428</v>
      </c>
      <c r="APJ111" s="180" t="str">
        <f>VLOOKUP(API111,[13]AssetDetails_UEM!$A$3:$AH$1849,6,FALSE)</f>
        <v>Electrosurgical Units, Monopolar/Bipolar</v>
      </c>
      <c r="APK111" s="179" t="s">
        <v>428</v>
      </c>
      <c r="APL111" s="180" t="str">
        <f>VLOOKUP(APK111,[13]AssetDetails_UEM!$A$3:$AH$1849,6,FALSE)</f>
        <v>Electrosurgical Units, Monopolar/Bipolar</v>
      </c>
      <c r="APM111" s="179" t="s">
        <v>428</v>
      </c>
      <c r="APN111" s="180" t="str">
        <f>VLOOKUP(APM111,[13]AssetDetails_UEM!$A$3:$AH$1849,6,FALSE)</f>
        <v>Electrosurgical Units, Monopolar/Bipolar</v>
      </c>
      <c r="APO111" s="179" t="s">
        <v>428</v>
      </c>
      <c r="APP111" s="180" t="str">
        <f>VLOOKUP(APO111,[13]AssetDetails_UEM!$A$3:$AH$1849,6,FALSE)</f>
        <v>Electrosurgical Units, Monopolar/Bipolar</v>
      </c>
      <c r="APQ111" s="179" t="s">
        <v>428</v>
      </c>
      <c r="APR111" s="180" t="str">
        <f>VLOOKUP(APQ111,[13]AssetDetails_UEM!$A$3:$AH$1849,6,FALSE)</f>
        <v>Electrosurgical Units, Monopolar/Bipolar</v>
      </c>
      <c r="APS111" s="179" t="s">
        <v>428</v>
      </c>
      <c r="APT111" s="180" t="str">
        <f>VLOOKUP(APS111,[13]AssetDetails_UEM!$A$3:$AH$1849,6,FALSE)</f>
        <v>Electrosurgical Units, Monopolar/Bipolar</v>
      </c>
      <c r="APU111" s="179" t="s">
        <v>428</v>
      </c>
      <c r="APV111" s="180" t="str">
        <f>VLOOKUP(APU111,[13]AssetDetails_UEM!$A$3:$AH$1849,6,FALSE)</f>
        <v>Electrosurgical Units, Monopolar/Bipolar</v>
      </c>
      <c r="APW111" s="179" t="s">
        <v>428</v>
      </c>
      <c r="APX111" s="180" t="str">
        <f>VLOOKUP(APW111,[13]AssetDetails_UEM!$A$3:$AH$1849,6,FALSE)</f>
        <v>Electrosurgical Units, Monopolar/Bipolar</v>
      </c>
      <c r="APY111" s="179" t="s">
        <v>428</v>
      </c>
      <c r="APZ111" s="180" t="str">
        <f>VLOOKUP(APY111,[13]AssetDetails_UEM!$A$3:$AH$1849,6,FALSE)</f>
        <v>Electrosurgical Units, Monopolar/Bipolar</v>
      </c>
      <c r="AQA111" s="179" t="s">
        <v>428</v>
      </c>
      <c r="AQB111" s="180" t="str">
        <f>VLOOKUP(AQA111,[13]AssetDetails_UEM!$A$3:$AH$1849,6,FALSE)</f>
        <v>Electrosurgical Units, Monopolar/Bipolar</v>
      </c>
      <c r="AQC111" s="179" t="s">
        <v>428</v>
      </c>
      <c r="AQD111" s="180" t="str">
        <f>VLOOKUP(AQC111,[13]AssetDetails_UEM!$A$3:$AH$1849,6,FALSE)</f>
        <v>Electrosurgical Units, Monopolar/Bipolar</v>
      </c>
      <c r="AQE111" s="179" t="s">
        <v>428</v>
      </c>
      <c r="AQF111" s="180" t="str">
        <f>VLOOKUP(AQE111,[13]AssetDetails_UEM!$A$3:$AH$1849,6,FALSE)</f>
        <v>Electrosurgical Units, Monopolar/Bipolar</v>
      </c>
      <c r="AQG111" s="179" t="s">
        <v>428</v>
      </c>
      <c r="AQH111" s="180" t="str">
        <f>VLOOKUP(AQG111,[13]AssetDetails_UEM!$A$3:$AH$1849,6,FALSE)</f>
        <v>Electrosurgical Units, Monopolar/Bipolar</v>
      </c>
      <c r="AQI111" s="179" t="s">
        <v>428</v>
      </c>
      <c r="AQJ111" s="180" t="str">
        <f>VLOOKUP(AQI111,[13]AssetDetails_UEM!$A$3:$AH$1849,6,FALSE)</f>
        <v>Electrosurgical Units, Monopolar/Bipolar</v>
      </c>
      <c r="AQK111" s="179" t="s">
        <v>428</v>
      </c>
      <c r="AQL111" s="180" t="str">
        <f>VLOOKUP(AQK111,[13]AssetDetails_UEM!$A$3:$AH$1849,6,FALSE)</f>
        <v>Electrosurgical Units, Monopolar/Bipolar</v>
      </c>
      <c r="AQM111" s="179" t="s">
        <v>428</v>
      </c>
      <c r="AQN111" s="180" t="str">
        <f>VLOOKUP(AQM111,[13]AssetDetails_UEM!$A$3:$AH$1849,6,FALSE)</f>
        <v>Electrosurgical Units, Monopolar/Bipolar</v>
      </c>
      <c r="AQO111" s="179" t="s">
        <v>428</v>
      </c>
      <c r="AQP111" s="180" t="str">
        <f>VLOOKUP(AQO111,[13]AssetDetails_UEM!$A$3:$AH$1849,6,FALSE)</f>
        <v>Electrosurgical Units, Monopolar/Bipolar</v>
      </c>
      <c r="AQQ111" s="179" t="s">
        <v>428</v>
      </c>
      <c r="AQR111" s="180" t="str">
        <f>VLOOKUP(AQQ111,[13]AssetDetails_UEM!$A$3:$AH$1849,6,FALSE)</f>
        <v>Electrosurgical Units, Monopolar/Bipolar</v>
      </c>
      <c r="AQS111" s="179" t="s">
        <v>428</v>
      </c>
      <c r="AQT111" s="180" t="str">
        <f>VLOOKUP(AQS111,[13]AssetDetails_UEM!$A$3:$AH$1849,6,FALSE)</f>
        <v>Electrosurgical Units, Monopolar/Bipolar</v>
      </c>
      <c r="AQU111" s="179" t="s">
        <v>428</v>
      </c>
      <c r="AQV111" s="180" t="str">
        <f>VLOOKUP(AQU111,[13]AssetDetails_UEM!$A$3:$AH$1849,6,FALSE)</f>
        <v>Electrosurgical Units, Monopolar/Bipolar</v>
      </c>
      <c r="AQW111" s="179" t="s">
        <v>428</v>
      </c>
      <c r="AQX111" s="180" t="str">
        <f>VLOOKUP(AQW111,[13]AssetDetails_UEM!$A$3:$AH$1849,6,FALSE)</f>
        <v>Electrosurgical Units, Monopolar/Bipolar</v>
      </c>
      <c r="AQY111" s="179" t="s">
        <v>428</v>
      </c>
      <c r="AQZ111" s="180" t="str">
        <f>VLOOKUP(AQY111,[13]AssetDetails_UEM!$A$3:$AH$1849,6,FALSE)</f>
        <v>Electrosurgical Units, Monopolar/Bipolar</v>
      </c>
      <c r="ARA111" s="179" t="s">
        <v>428</v>
      </c>
      <c r="ARB111" s="180" t="str">
        <f>VLOOKUP(ARA111,[13]AssetDetails_UEM!$A$3:$AH$1849,6,FALSE)</f>
        <v>Electrosurgical Units, Monopolar/Bipolar</v>
      </c>
      <c r="ARC111" s="179" t="s">
        <v>428</v>
      </c>
      <c r="ARD111" s="180" t="str">
        <f>VLOOKUP(ARC111,[13]AssetDetails_UEM!$A$3:$AH$1849,6,FALSE)</f>
        <v>Electrosurgical Units, Monopolar/Bipolar</v>
      </c>
      <c r="ARE111" s="179" t="s">
        <v>428</v>
      </c>
      <c r="ARF111" s="180" t="str">
        <f>VLOOKUP(ARE111,[13]AssetDetails_UEM!$A$3:$AH$1849,6,FALSE)</f>
        <v>Electrosurgical Units, Monopolar/Bipolar</v>
      </c>
      <c r="ARG111" s="179" t="s">
        <v>428</v>
      </c>
      <c r="ARH111" s="180" t="str">
        <f>VLOOKUP(ARG111,[13]AssetDetails_UEM!$A$3:$AH$1849,6,FALSE)</f>
        <v>Electrosurgical Units, Monopolar/Bipolar</v>
      </c>
      <c r="ARI111" s="179" t="s">
        <v>428</v>
      </c>
      <c r="ARJ111" s="180" t="str">
        <f>VLOOKUP(ARI111,[13]AssetDetails_UEM!$A$3:$AH$1849,6,FALSE)</f>
        <v>Electrosurgical Units, Monopolar/Bipolar</v>
      </c>
      <c r="ARK111" s="179" t="s">
        <v>428</v>
      </c>
      <c r="ARL111" s="180" t="str">
        <f>VLOOKUP(ARK111,[13]AssetDetails_UEM!$A$3:$AH$1849,6,FALSE)</f>
        <v>Electrosurgical Units, Monopolar/Bipolar</v>
      </c>
      <c r="ARM111" s="179" t="s">
        <v>428</v>
      </c>
      <c r="ARN111" s="180" t="str">
        <f>VLOOKUP(ARM111,[13]AssetDetails_UEM!$A$3:$AH$1849,6,FALSE)</f>
        <v>Electrosurgical Units, Monopolar/Bipolar</v>
      </c>
      <c r="ARO111" s="179" t="s">
        <v>428</v>
      </c>
      <c r="ARP111" s="180" t="str">
        <f>VLOOKUP(ARO111,[13]AssetDetails_UEM!$A$3:$AH$1849,6,FALSE)</f>
        <v>Electrosurgical Units, Monopolar/Bipolar</v>
      </c>
      <c r="ARQ111" s="179" t="s">
        <v>428</v>
      </c>
      <c r="ARR111" s="180" t="str">
        <f>VLOOKUP(ARQ111,[13]AssetDetails_UEM!$A$3:$AH$1849,6,FALSE)</f>
        <v>Electrosurgical Units, Monopolar/Bipolar</v>
      </c>
      <c r="ARS111" s="179" t="s">
        <v>428</v>
      </c>
      <c r="ART111" s="180" t="str">
        <f>VLOOKUP(ARS111,[13]AssetDetails_UEM!$A$3:$AH$1849,6,FALSE)</f>
        <v>Electrosurgical Units, Monopolar/Bipolar</v>
      </c>
      <c r="ARU111" s="179" t="s">
        <v>428</v>
      </c>
      <c r="ARV111" s="180" t="str">
        <f>VLOOKUP(ARU111,[13]AssetDetails_UEM!$A$3:$AH$1849,6,FALSE)</f>
        <v>Electrosurgical Units, Monopolar/Bipolar</v>
      </c>
      <c r="ARW111" s="179" t="s">
        <v>428</v>
      </c>
      <c r="ARX111" s="180" t="str">
        <f>VLOOKUP(ARW111,[13]AssetDetails_UEM!$A$3:$AH$1849,6,FALSE)</f>
        <v>Electrosurgical Units, Monopolar/Bipolar</v>
      </c>
      <c r="ARY111" s="179" t="s">
        <v>428</v>
      </c>
      <c r="ARZ111" s="180" t="str">
        <f>VLOOKUP(ARY111,[13]AssetDetails_UEM!$A$3:$AH$1849,6,FALSE)</f>
        <v>Electrosurgical Units, Monopolar/Bipolar</v>
      </c>
      <c r="ASA111" s="179" t="s">
        <v>428</v>
      </c>
      <c r="ASB111" s="180" t="str">
        <f>VLOOKUP(ASA111,[13]AssetDetails_UEM!$A$3:$AH$1849,6,FALSE)</f>
        <v>Electrosurgical Units, Monopolar/Bipolar</v>
      </c>
      <c r="ASC111" s="179" t="s">
        <v>428</v>
      </c>
      <c r="ASD111" s="180" t="str">
        <f>VLOOKUP(ASC111,[13]AssetDetails_UEM!$A$3:$AH$1849,6,FALSE)</f>
        <v>Electrosurgical Units, Monopolar/Bipolar</v>
      </c>
      <c r="ASE111" s="179" t="s">
        <v>428</v>
      </c>
      <c r="ASF111" s="180" t="str">
        <f>VLOOKUP(ASE111,[13]AssetDetails_UEM!$A$3:$AH$1849,6,FALSE)</f>
        <v>Electrosurgical Units, Monopolar/Bipolar</v>
      </c>
      <c r="ASG111" s="179" t="s">
        <v>428</v>
      </c>
      <c r="ASH111" s="180" t="str">
        <f>VLOOKUP(ASG111,[13]AssetDetails_UEM!$A$3:$AH$1849,6,FALSE)</f>
        <v>Electrosurgical Units, Monopolar/Bipolar</v>
      </c>
      <c r="ASI111" s="179" t="s">
        <v>428</v>
      </c>
      <c r="ASJ111" s="180" t="str">
        <f>VLOOKUP(ASI111,[13]AssetDetails_UEM!$A$3:$AH$1849,6,FALSE)</f>
        <v>Electrosurgical Units, Monopolar/Bipolar</v>
      </c>
      <c r="ASK111" s="179" t="s">
        <v>428</v>
      </c>
      <c r="ASL111" s="180" t="str">
        <f>VLOOKUP(ASK111,[13]AssetDetails_UEM!$A$3:$AH$1849,6,FALSE)</f>
        <v>Electrosurgical Units, Monopolar/Bipolar</v>
      </c>
      <c r="ASM111" s="179" t="s">
        <v>428</v>
      </c>
      <c r="ASN111" s="180" t="str">
        <f>VLOOKUP(ASM111,[13]AssetDetails_UEM!$A$3:$AH$1849,6,FALSE)</f>
        <v>Electrosurgical Units, Monopolar/Bipolar</v>
      </c>
      <c r="ASO111" s="179" t="s">
        <v>428</v>
      </c>
      <c r="ASP111" s="180" t="str">
        <f>VLOOKUP(ASO111,[13]AssetDetails_UEM!$A$3:$AH$1849,6,FALSE)</f>
        <v>Electrosurgical Units, Monopolar/Bipolar</v>
      </c>
      <c r="ASQ111" s="179" t="s">
        <v>428</v>
      </c>
      <c r="ASR111" s="180" t="str">
        <f>VLOOKUP(ASQ111,[13]AssetDetails_UEM!$A$3:$AH$1849,6,FALSE)</f>
        <v>Electrosurgical Units, Monopolar/Bipolar</v>
      </c>
      <c r="ASS111" s="179" t="s">
        <v>428</v>
      </c>
      <c r="AST111" s="180" t="str">
        <f>VLOOKUP(ASS111,[13]AssetDetails_UEM!$A$3:$AH$1849,6,FALSE)</f>
        <v>Electrosurgical Units, Monopolar/Bipolar</v>
      </c>
      <c r="ASU111" s="179" t="s">
        <v>428</v>
      </c>
      <c r="ASV111" s="180" t="str">
        <f>VLOOKUP(ASU111,[13]AssetDetails_UEM!$A$3:$AH$1849,6,FALSE)</f>
        <v>Electrosurgical Units, Monopolar/Bipolar</v>
      </c>
      <c r="ASW111" s="179" t="s">
        <v>428</v>
      </c>
      <c r="ASX111" s="180" t="str">
        <f>VLOOKUP(ASW111,[13]AssetDetails_UEM!$A$3:$AH$1849,6,FALSE)</f>
        <v>Electrosurgical Units, Monopolar/Bipolar</v>
      </c>
      <c r="ASY111" s="179" t="s">
        <v>428</v>
      </c>
      <c r="ASZ111" s="180" t="str">
        <f>VLOOKUP(ASY111,[13]AssetDetails_UEM!$A$3:$AH$1849,6,FALSE)</f>
        <v>Electrosurgical Units, Monopolar/Bipolar</v>
      </c>
      <c r="ATA111" s="179" t="s">
        <v>428</v>
      </c>
      <c r="ATB111" s="180" t="str">
        <f>VLOOKUP(ATA111,[13]AssetDetails_UEM!$A$3:$AH$1849,6,FALSE)</f>
        <v>Electrosurgical Units, Monopolar/Bipolar</v>
      </c>
      <c r="ATC111" s="179" t="s">
        <v>428</v>
      </c>
      <c r="ATD111" s="180" t="str">
        <f>VLOOKUP(ATC111,[13]AssetDetails_UEM!$A$3:$AH$1849,6,FALSE)</f>
        <v>Electrosurgical Units, Monopolar/Bipolar</v>
      </c>
      <c r="ATE111" s="179" t="s">
        <v>428</v>
      </c>
      <c r="ATF111" s="180" t="str">
        <f>VLOOKUP(ATE111,[13]AssetDetails_UEM!$A$3:$AH$1849,6,FALSE)</f>
        <v>Electrosurgical Units, Monopolar/Bipolar</v>
      </c>
      <c r="ATG111" s="179" t="s">
        <v>428</v>
      </c>
      <c r="ATH111" s="180" t="str">
        <f>VLOOKUP(ATG111,[13]AssetDetails_UEM!$A$3:$AH$1849,6,FALSE)</f>
        <v>Electrosurgical Units, Monopolar/Bipolar</v>
      </c>
      <c r="ATI111" s="179" t="s">
        <v>428</v>
      </c>
      <c r="ATJ111" s="180" t="str">
        <f>VLOOKUP(ATI111,[13]AssetDetails_UEM!$A$3:$AH$1849,6,FALSE)</f>
        <v>Electrosurgical Units, Monopolar/Bipolar</v>
      </c>
      <c r="ATK111" s="179" t="s">
        <v>428</v>
      </c>
      <c r="ATL111" s="180" t="str">
        <f>VLOOKUP(ATK111,[13]AssetDetails_UEM!$A$3:$AH$1849,6,FALSE)</f>
        <v>Electrosurgical Units, Monopolar/Bipolar</v>
      </c>
      <c r="ATM111" s="179" t="s">
        <v>428</v>
      </c>
      <c r="ATN111" s="180" t="str">
        <f>VLOOKUP(ATM111,[13]AssetDetails_UEM!$A$3:$AH$1849,6,FALSE)</f>
        <v>Electrosurgical Units, Monopolar/Bipolar</v>
      </c>
      <c r="ATO111" s="179" t="s">
        <v>428</v>
      </c>
      <c r="ATP111" s="180" t="str">
        <f>VLOOKUP(ATO111,[13]AssetDetails_UEM!$A$3:$AH$1849,6,FALSE)</f>
        <v>Electrosurgical Units, Monopolar/Bipolar</v>
      </c>
      <c r="ATQ111" s="179" t="s">
        <v>428</v>
      </c>
      <c r="ATR111" s="180" t="str">
        <f>VLOOKUP(ATQ111,[13]AssetDetails_UEM!$A$3:$AH$1849,6,FALSE)</f>
        <v>Electrosurgical Units, Monopolar/Bipolar</v>
      </c>
      <c r="ATS111" s="179" t="s">
        <v>428</v>
      </c>
      <c r="ATT111" s="180" t="str">
        <f>VLOOKUP(ATS111,[13]AssetDetails_UEM!$A$3:$AH$1849,6,FALSE)</f>
        <v>Electrosurgical Units, Monopolar/Bipolar</v>
      </c>
      <c r="ATU111" s="179" t="s">
        <v>428</v>
      </c>
      <c r="ATV111" s="180" t="str">
        <f>VLOOKUP(ATU111,[13]AssetDetails_UEM!$A$3:$AH$1849,6,FALSE)</f>
        <v>Electrosurgical Units, Monopolar/Bipolar</v>
      </c>
      <c r="ATW111" s="179" t="s">
        <v>428</v>
      </c>
      <c r="ATX111" s="180" t="str">
        <f>VLOOKUP(ATW111,[13]AssetDetails_UEM!$A$3:$AH$1849,6,FALSE)</f>
        <v>Electrosurgical Units, Monopolar/Bipolar</v>
      </c>
      <c r="ATY111" s="179" t="s">
        <v>428</v>
      </c>
      <c r="ATZ111" s="180" t="str">
        <f>VLOOKUP(ATY111,[13]AssetDetails_UEM!$A$3:$AH$1849,6,FALSE)</f>
        <v>Electrosurgical Units, Monopolar/Bipolar</v>
      </c>
      <c r="AUA111" s="179" t="s">
        <v>428</v>
      </c>
      <c r="AUB111" s="180" t="str">
        <f>VLOOKUP(AUA111,[13]AssetDetails_UEM!$A$3:$AH$1849,6,FALSE)</f>
        <v>Electrosurgical Units, Monopolar/Bipolar</v>
      </c>
      <c r="AUC111" s="179" t="s">
        <v>428</v>
      </c>
      <c r="AUD111" s="180" t="str">
        <f>VLOOKUP(AUC111,[13]AssetDetails_UEM!$A$3:$AH$1849,6,FALSE)</f>
        <v>Electrosurgical Units, Monopolar/Bipolar</v>
      </c>
      <c r="AUE111" s="179" t="s">
        <v>428</v>
      </c>
      <c r="AUF111" s="180" t="str">
        <f>VLOOKUP(AUE111,[13]AssetDetails_UEM!$A$3:$AH$1849,6,FALSE)</f>
        <v>Electrosurgical Units, Monopolar/Bipolar</v>
      </c>
      <c r="AUG111" s="179" t="s">
        <v>428</v>
      </c>
      <c r="AUH111" s="180" t="str">
        <f>VLOOKUP(AUG111,[13]AssetDetails_UEM!$A$3:$AH$1849,6,FALSE)</f>
        <v>Electrosurgical Units, Monopolar/Bipolar</v>
      </c>
      <c r="AUI111" s="179" t="s">
        <v>428</v>
      </c>
      <c r="AUJ111" s="180" t="str">
        <f>VLOOKUP(AUI111,[13]AssetDetails_UEM!$A$3:$AH$1849,6,FALSE)</f>
        <v>Electrosurgical Units, Monopolar/Bipolar</v>
      </c>
      <c r="AUK111" s="179" t="s">
        <v>428</v>
      </c>
      <c r="AUL111" s="180" t="str">
        <f>VLOOKUP(AUK111,[13]AssetDetails_UEM!$A$3:$AH$1849,6,FALSE)</f>
        <v>Electrosurgical Units, Monopolar/Bipolar</v>
      </c>
      <c r="AUM111" s="179" t="s">
        <v>428</v>
      </c>
      <c r="AUN111" s="180" t="str">
        <f>VLOOKUP(AUM111,[13]AssetDetails_UEM!$A$3:$AH$1849,6,FALSE)</f>
        <v>Electrosurgical Units, Monopolar/Bipolar</v>
      </c>
      <c r="AUO111" s="179" t="s">
        <v>428</v>
      </c>
      <c r="AUP111" s="180" t="str">
        <f>VLOOKUP(AUO111,[13]AssetDetails_UEM!$A$3:$AH$1849,6,FALSE)</f>
        <v>Electrosurgical Units, Monopolar/Bipolar</v>
      </c>
      <c r="AUQ111" s="179" t="s">
        <v>428</v>
      </c>
      <c r="AUR111" s="180" t="str">
        <f>VLOOKUP(AUQ111,[13]AssetDetails_UEM!$A$3:$AH$1849,6,FALSE)</f>
        <v>Electrosurgical Units, Monopolar/Bipolar</v>
      </c>
      <c r="AUS111" s="179" t="s">
        <v>428</v>
      </c>
      <c r="AUT111" s="180" t="str">
        <f>VLOOKUP(AUS111,[13]AssetDetails_UEM!$A$3:$AH$1849,6,FALSE)</f>
        <v>Electrosurgical Units, Monopolar/Bipolar</v>
      </c>
      <c r="AUU111" s="179" t="s">
        <v>428</v>
      </c>
      <c r="AUV111" s="180" t="str">
        <f>VLOOKUP(AUU111,[13]AssetDetails_UEM!$A$3:$AH$1849,6,FALSE)</f>
        <v>Electrosurgical Units, Monopolar/Bipolar</v>
      </c>
      <c r="AUW111" s="179" t="s">
        <v>428</v>
      </c>
      <c r="AUX111" s="180" t="str">
        <f>VLOOKUP(AUW111,[13]AssetDetails_UEM!$A$3:$AH$1849,6,FALSE)</f>
        <v>Electrosurgical Units, Monopolar/Bipolar</v>
      </c>
      <c r="AUY111" s="179" t="s">
        <v>428</v>
      </c>
      <c r="AUZ111" s="180" t="str">
        <f>VLOOKUP(AUY111,[13]AssetDetails_UEM!$A$3:$AH$1849,6,FALSE)</f>
        <v>Electrosurgical Units, Monopolar/Bipolar</v>
      </c>
      <c r="AVA111" s="179" t="s">
        <v>428</v>
      </c>
      <c r="AVB111" s="180" t="str">
        <f>VLOOKUP(AVA111,[13]AssetDetails_UEM!$A$3:$AH$1849,6,FALSE)</f>
        <v>Electrosurgical Units, Monopolar/Bipolar</v>
      </c>
      <c r="AVC111" s="179" t="s">
        <v>428</v>
      </c>
      <c r="AVD111" s="180" t="str">
        <f>VLOOKUP(AVC111,[13]AssetDetails_UEM!$A$3:$AH$1849,6,FALSE)</f>
        <v>Electrosurgical Units, Monopolar/Bipolar</v>
      </c>
      <c r="AVE111" s="179" t="s">
        <v>428</v>
      </c>
      <c r="AVF111" s="180" t="str">
        <f>VLOOKUP(AVE111,[13]AssetDetails_UEM!$A$3:$AH$1849,6,FALSE)</f>
        <v>Electrosurgical Units, Monopolar/Bipolar</v>
      </c>
      <c r="AVG111" s="179" t="s">
        <v>428</v>
      </c>
      <c r="AVH111" s="180" t="str">
        <f>VLOOKUP(AVG111,[13]AssetDetails_UEM!$A$3:$AH$1849,6,FALSE)</f>
        <v>Electrosurgical Units, Monopolar/Bipolar</v>
      </c>
      <c r="AVI111" s="179" t="s">
        <v>428</v>
      </c>
      <c r="AVJ111" s="180" t="str">
        <f>VLOOKUP(AVI111,[13]AssetDetails_UEM!$A$3:$AH$1849,6,FALSE)</f>
        <v>Electrosurgical Units, Monopolar/Bipolar</v>
      </c>
      <c r="AVK111" s="179" t="s">
        <v>428</v>
      </c>
      <c r="AVL111" s="180" t="str">
        <f>VLOOKUP(AVK111,[13]AssetDetails_UEM!$A$3:$AH$1849,6,FALSE)</f>
        <v>Electrosurgical Units, Monopolar/Bipolar</v>
      </c>
      <c r="AVM111" s="179" t="s">
        <v>428</v>
      </c>
      <c r="AVN111" s="180" t="str">
        <f>VLOOKUP(AVM111,[13]AssetDetails_UEM!$A$3:$AH$1849,6,FALSE)</f>
        <v>Electrosurgical Units, Monopolar/Bipolar</v>
      </c>
      <c r="AVO111" s="179" t="s">
        <v>428</v>
      </c>
      <c r="AVP111" s="180" t="str">
        <f>VLOOKUP(AVO111,[13]AssetDetails_UEM!$A$3:$AH$1849,6,FALSE)</f>
        <v>Electrosurgical Units, Monopolar/Bipolar</v>
      </c>
      <c r="AVQ111" s="179" t="s">
        <v>428</v>
      </c>
      <c r="AVR111" s="180" t="str">
        <f>VLOOKUP(AVQ111,[13]AssetDetails_UEM!$A$3:$AH$1849,6,FALSE)</f>
        <v>Electrosurgical Units, Monopolar/Bipolar</v>
      </c>
      <c r="AVS111" s="179" t="s">
        <v>428</v>
      </c>
      <c r="AVT111" s="180" t="str">
        <f>VLOOKUP(AVS111,[13]AssetDetails_UEM!$A$3:$AH$1849,6,FALSE)</f>
        <v>Electrosurgical Units, Monopolar/Bipolar</v>
      </c>
      <c r="AVU111" s="179" t="s">
        <v>428</v>
      </c>
      <c r="AVV111" s="180" t="str">
        <f>VLOOKUP(AVU111,[13]AssetDetails_UEM!$A$3:$AH$1849,6,FALSE)</f>
        <v>Electrosurgical Units, Monopolar/Bipolar</v>
      </c>
      <c r="AVW111" s="179" t="s">
        <v>428</v>
      </c>
      <c r="AVX111" s="180" t="str">
        <f>VLOOKUP(AVW111,[13]AssetDetails_UEM!$A$3:$AH$1849,6,FALSE)</f>
        <v>Electrosurgical Units, Monopolar/Bipolar</v>
      </c>
      <c r="AVY111" s="179" t="s">
        <v>428</v>
      </c>
      <c r="AVZ111" s="180" t="str">
        <f>VLOOKUP(AVY111,[13]AssetDetails_UEM!$A$3:$AH$1849,6,FALSE)</f>
        <v>Electrosurgical Units, Monopolar/Bipolar</v>
      </c>
      <c r="AWA111" s="179" t="s">
        <v>428</v>
      </c>
      <c r="AWB111" s="180" t="str">
        <f>VLOOKUP(AWA111,[13]AssetDetails_UEM!$A$3:$AH$1849,6,FALSE)</f>
        <v>Electrosurgical Units, Monopolar/Bipolar</v>
      </c>
      <c r="AWC111" s="179" t="s">
        <v>428</v>
      </c>
      <c r="AWD111" s="180" t="str">
        <f>VLOOKUP(AWC111,[13]AssetDetails_UEM!$A$3:$AH$1849,6,FALSE)</f>
        <v>Electrosurgical Units, Monopolar/Bipolar</v>
      </c>
      <c r="AWE111" s="179" t="s">
        <v>428</v>
      </c>
      <c r="AWF111" s="180" t="str">
        <f>VLOOKUP(AWE111,[13]AssetDetails_UEM!$A$3:$AH$1849,6,FALSE)</f>
        <v>Electrosurgical Units, Monopolar/Bipolar</v>
      </c>
      <c r="AWG111" s="179" t="s">
        <v>428</v>
      </c>
      <c r="AWH111" s="180" t="str">
        <f>VLOOKUP(AWG111,[13]AssetDetails_UEM!$A$3:$AH$1849,6,FALSE)</f>
        <v>Electrosurgical Units, Monopolar/Bipolar</v>
      </c>
      <c r="AWI111" s="179" t="s">
        <v>428</v>
      </c>
      <c r="AWJ111" s="180" t="str">
        <f>VLOOKUP(AWI111,[13]AssetDetails_UEM!$A$3:$AH$1849,6,FALSE)</f>
        <v>Electrosurgical Units, Monopolar/Bipolar</v>
      </c>
      <c r="AWK111" s="179" t="s">
        <v>428</v>
      </c>
      <c r="AWL111" s="180" t="str">
        <f>VLOOKUP(AWK111,[13]AssetDetails_UEM!$A$3:$AH$1849,6,FALSE)</f>
        <v>Electrosurgical Units, Monopolar/Bipolar</v>
      </c>
      <c r="AWM111" s="179" t="s">
        <v>428</v>
      </c>
      <c r="AWN111" s="180" t="str">
        <f>VLOOKUP(AWM111,[13]AssetDetails_UEM!$A$3:$AH$1849,6,FALSE)</f>
        <v>Electrosurgical Units, Monopolar/Bipolar</v>
      </c>
      <c r="AWO111" s="179" t="s">
        <v>428</v>
      </c>
      <c r="AWP111" s="180" t="str">
        <f>VLOOKUP(AWO111,[13]AssetDetails_UEM!$A$3:$AH$1849,6,FALSE)</f>
        <v>Electrosurgical Units, Monopolar/Bipolar</v>
      </c>
      <c r="AWQ111" s="179" t="s">
        <v>428</v>
      </c>
      <c r="AWR111" s="180" t="str">
        <f>VLOOKUP(AWQ111,[13]AssetDetails_UEM!$A$3:$AH$1849,6,FALSE)</f>
        <v>Electrosurgical Units, Monopolar/Bipolar</v>
      </c>
      <c r="AWS111" s="179" t="s">
        <v>428</v>
      </c>
      <c r="AWT111" s="180" t="str">
        <f>VLOOKUP(AWS111,[13]AssetDetails_UEM!$A$3:$AH$1849,6,FALSE)</f>
        <v>Electrosurgical Units, Monopolar/Bipolar</v>
      </c>
      <c r="AWU111" s="179" t="s">
        <v>428</v>
      </c>
      <c r="AWV111" s="180" t="str">
        <f>VLOOKUP(AWU111,[13]AssetDetails_UEM!$A$3:$AH$1849,6,FALSE)</f>
        <v>Electrosurgical Units, Monopolar/Bipolar</v>
      </c>
      <c r="AWW111" s="179" t="s">
        <v>428</v>
      </c>
      <c r="AWX111" s="180" t="str">
        <f>VLOOKUP(AWW111,[13]AssetDetails_UEM!$A$3:$AH$1849,6,FALSE)</f>
        <v>Electrosurgical Units, Monopolar/Bipolar</v>
      </c>
      <c r="AWY111" s="179" t="s">
        <v>428</v>
      </c>
      <c r="AWZ111" s="180" t="str">
        <f>VLOOKUP(AWY111,[13]AssetDetails_UEM!$A$3:$AH$1849,6,FALSE)</f>
        <v>Electrosurgical Units, Monopolar/Bipolar</v>
      </c>
      <c r="AXA111" s="179" t="s">
        <v>428</v>
      </c>
      <c r="AXB111" s="180" t="str">
        <f>VLOOKUP(AXA111,[13]AssetDetails_UEM!$A$3:$AH$1849,6,FALSE)</f>
        <v>Electrosurgical Units, Monopolar/Bipolar</v>
      </c>
      <c r="AXC111" s="179" t="s">
        <v>428</v>
      </c>
      <c r="AXD111" s="180" t="str">
        <f>VLOOKUP(AXC111,[13]AssetDetails_UEM!$A$3:$AH$1849,6,FALSE)</f>
        <v>Electrosurgical Units, Monopolar/Bipolar</v>
      </c>
      <c r="AXE111" s="179" t="s">
        <v>428</v>
      </c>
      <c r="AXF111" s="180" t="str">
        <f>VLOOKUP(AXE111,[13]AssetDetails_UEM!$A$3:$AH$1849,6,FALSE)</f>
        <v>Electrosurgical Units, Monopolar/Bipolar</v>
      </c>
      <c r="AXG111" s="179" t="s">
        <v>428</v>
      </c>
      <c r="AXH111" s="180" t="str">
        <f>VLOOKUP(AXG111,[13]AssetDetails_UEM!$A$3:$AH$1849,6,FALSE)</f>
        <v>Electrosurgical Units, Monopolar/Bipolar</v>
      </c>
      <c r="AXI111" s="179" t="s">
        <v>428</v>
      </c>
      <c r="AXJ111" s="180" t="str">
        <f>VLOOKUP(AXI111,[13]AssetDetails_UEM!$A$3:$AH$1849,6,FALSE)</f>
        <v>Electrosurgical Units, Monopolar/Bipolar</v>
      </c>
      <c r="AXK111" s="179" t="s">
        <v>428</v>
      </c>
      <c r="AXL111" s="180" t="str">
        <f>VLOOKUP(AXK111,[13]AssetDetails_UEM!$A$3:$AH$1849,6,FALSE)</f>
        <v>Electrosurgical Units, Monopolar/Bipolar</v>
      </c>
      <c r="AXM111" s="179" t="s">
        <v>428</v>
      </c>
      <c r="AXN111" s="180" t="str">
        <f>VLOOKUP(AXM111,[13]AssetDetails_UEM!$A$3:$AH$1849,6,FALSE)</f>
        <v>Electrosurgical Units, Monopolar/Bipolar</v>
      </c>
      <c r="AXO111" s="179" t="s">
        <v>428</v>
      </c>
      <c r="AXP111" s="180" t="str">
        <f>VLOOKUP(AXO111,[13]AssetDetails_UEM!$A$3:$AH$1849,6,FALSE)</f>
        <v>Electrosurgical Units, Monopolar/Bipolar</v>
      </c>
      <c r="AXQ111" s="179" t="s">
        <v>428</v>
      </c>
      <c r="AXR111" s="180" t="str">
        <f>VLOOKUP(AXQ111,[13]AssetDetails_UEM!$A$3:$AH$1849,6,FALSE)</f>
        <v>Electrosurgical Units, Monopolar/Bipolar</v>
      </c>
      <c r="AXS111" s="179" t="s">
        <v>428</v>
      </c>
      <c r="AXT111" s="180" t="str">
        <f>VLOOKUP(AXS111,[13]AssetDetails_UEM!$A$3:$AH$1849,6,FALSE)</f>
        <v>Electrosurgical Units, Monopolar/Bipolar</v>
      </c>
      <c r="AXU111" s="179" t="s">
        <v>428</v>
      </c>
      <c r="AXV111" s="180" t="str">
        <f>VLOOKUP(AXU111,[13]AssetDetails_UEM!$A$3:$AH$1849,6,FALSE)</f>
        <v>Electrosurgical Units, Monopolar/Bipolar</v>
      </c>
      <c r="AXW111" s="179" t="s">
        <v>428</v>
      </c>
      <c r="AXX111" s="180" t="str">
        <f>VLOOKUP(AXW111,[13]AssetDetails_UEM!$A$3:$AH$1849,6,FALSE)</f>
        <v>Electrosurgical Units, Monopolar/Bipolar</v>
      </c>
      <c r="AXY111" s="179" t="s">
        <v>428</v>
      </c>
      <c r="AXZ111" s="180" t="str">
        <f>VLOOKUP(AXY111,[13]AssetDetails_UEM!$A$3:$AH$1849,6,FALSE)</f>
        <v>Electrosurgical Units, Monopolar/Bipolar</v>
      </c>
      <c r="AYA111" s="179" t="s">
        <v>428</v>
      </c>
      <c r="AYB111" s="180" t="str">
        <f>VLOOKUP(AYA111,[13]AssetDetails_UEM!$A$3:$AH$1849,6,FALSE)</f>
        <v>Electrosurgical Units, Monopolar/Bipolar</v>
      </c>
      <c r="AYC111" s="179" t="s">
        <v>428</v>
      </c>
      <c r="AYD111" s="180" t="str">
        <f>VLOOKUP(AYC111,[13]AssetDetails_UEM!$A$3:$AH$1849,6,FALSE)</f>
        <v>Electrosurgical Units, Monopolar/Bipolar</v>
      </c>
      <c r="AYE111" s="179" t="s">
        <v>428</v>
      </c>
      <c r="AYF111" s="180" t="str">
        <f>VLOOKUP(AYE111,[13]AssetDetails_UEM!$A$3:$AH$1849,6,FALSE)</f>
        <v>Electrosurgical Units, Monopolar/Bipolar</v>
      </c>
      <c r="AYG111" s="179" t="s">
        <v>428</v>
      </c>
      <c r="AYH111" s="180" t="str">
        <f>VLOOKUP(AYG111,[13]AssetDetails_UEM!$A$3:$AH$1849,6,FALSE)</f>
        <v>Electrosurgical Units, Monopolar/Bipolar</v>
      </c>
      <c r="AYI111" s="179" t="s">
        <v>428</v>
      </c>
      <c r="AYJ111" s="180" t="str">
        <f>VLOOKUP(AYI111,[13]AssetDetails_UEM!$A$3:$AH$1849,6,FALSE)</f>
        <v>Electrosurgical Units, Monopolar/Bipolar</v>
      </c>
      <c r="AYK111" s="179" t="s">
        <v>428</v>
      </c>
      <c r="AYL111" s="180" t="str">
        <f>VLOOKUP(AYK111,[13]AssetDetails_UEM!$A$3:$AH$1849,6,FALSE)</f>
        <v>Electrosurgical Units, Monopolar/Bipolar</v>
      </c>
      <c r="AYM111" s="179" t="s">
        <v>428</v>
      </c>
      <c r="AYN111" s="180" t="str">
        <f>VLOOKUP(AYM111,[13]AssetDetails_UEM!$A$3:$AH$1849,6,FALSE)</f>
        <v>Electrosurgical Units, Monopolar/Bipolar</v>
      </c>
      <c r="AYO111" s="179" t="s">
        <v>428</v>
      </c>
      <c r="AYP111" s="180" t="str">
        <f>VLOOKUP(AYO111,[13]AssetDetails_UEM!$A$3:$AH$1849,6,FALSE)</f>
        <v>Electrosurgical Units, Monopolar/Bipolar</v>
      </c>
      <c r="AYQ111" s="179" t="s">
        <v>428</v>
      </c>
      <c r="AYR111" s="180" t="str">
        <f>VLOOKUP(AYQ111,[13]AssetDetails_UEM!$A$3:$AH$1849,6,FALSE)</f>
        <v>Electrosurgical Units, Monopolar/Bipolar</v>
      </c>
      <c r="AYS111" s="179" t="s">
        <v>428</v>
      </c>
      <c r="AYT111" s="180" t="str">
        <f>VLOOKUP(AYS111,[13]AssetDetails_UEM!$A$3:$AH$1849,6,FALSE)</f>
        <v>Electrosurgical Units, Monopolar/Bipolar</v>
      </c>
      <c r="AYU111" s="179" t="s">
        <v>428</v>
      </c>
      <c r="AYV111" s="180" t="str">
        <f>VLOOKUP(AYU111,[13]AssetDetails_UEM!$A$3:$AH$1849,6,FALSE)</f>
        <v>Electrosurgical Units, Monopolar/Bipolar</v>
      </c>
      <c r="AYW111" s="179" t="s">
        <v>428</v>
      </c>
      <c r="AYX111" s="180" t="str">
        <f>VLOOKUP(AYW111,[13]AssetDetails_UEM!$A$3:$AH$1849,6,FALSE)</f>
        <v>Electrosurgical Units, Monopolar/Bipolar</v>
      </c>
      <c r="AYY111" s="179" t="s">
        <v>428</v>
      </c>
      <c r="AYZ111" s="180" t="str">
        <f>VLOOKUP(AYY111,[13]AssetDetails_UEM!$A$3:$AH$1849,6,FALSE)</f>
        <v>Electrosurgical Units, Monopolar/Bipolar</v>
      </c>
      <c r="AZA111" s="179" t="s">
        <v>428</v>
      </c>
      <c r="AZB111" s="180" t="str">
        <f>VLOOKUP(AZA111,[13]AssetDetails_UEM!$A$3:$AH$1849,6,FALSE)</f>
        <v>Electrosurgical Units, Monopolar/Bipolar</v>
      </c>
      <c r="AZC111" s="179" t="s">
        <v>428</v>
      </c>
      <c r="AZD111" s="180" t="str">
        <f>VLOOKUP(AZC111,[13]AssetDetails_UEM!$A$3:$AH$1849,6,FALSE)</f>
        <v>Electrosurgical Units, Monopolar/Bipolar</v>
      </c>
      <c r="AZE111" s="179" t="s">
        <v>428</v>
      </c>
      <c r="AZF111" s="180" t="str">
        <f>VLOOKUP(AZE111,[13]AssetDetails_UEM!$A$3:$AH$1849,6,FALSE)</f>
        <v>Electrosurgical Units, Monopolar/Bipolar</v>
      </c>
      <c r="AZG111" s="179" t="s">
        <v>428</v>
      </c>
      <c r="AZH111" s="180" t="str">
        <f>VLOOKUP(AZG111,[13]AssetDetails_UEM!$A$3:$AH$1849,6,FALSE)</f>
        <v>Electrosurgical Units, Monopolar/Bipolar</v>
      </c>
      <c r="AZI111" s="179" t="s">
        <v>428</v>
      </c>
      <c r="AZJ111" s="180" t="str">
        <f>VLOOKUP(AZI111,[13]AssetDetails_UEM!$A$3:$AH$1849,6,FALSE)</f>
        <v>Electrosurgical Units, Monopolar/Bipolar</v>
      </c>
      <c r="AZK111" s="179" t="s">
        <v>428</v>
      </c>
      <c r="AZL111" s="180" t="str">
        <f>VLOOKUP(AZK111,[13]AssetDetails_UEM!$A$3:$AH$1849,6,FALSE)</f>
        <v>Electrosurgical Units, Monopolar/Bipolar</v>
      </c>
      <c r="AZM111" s="179" t="s">
        <v>428</v>
      </c>
      <c r="AZN111" s="180" t="str">
        <f>VLOOKUP(AZM111,[13]AssetDetails_UEM!$A$3:$AH$1849,6,FALSE)</f>
        <v>Electrosurgical Units, Monopolar/Bipolar</v>
      </c>
      <c r="AZO111" s="179" t="s">
        <v>428</v>
      </c>
      <c r="AZP111" s="180" t="str">
        <f>VLOOKUP(AZO111,[13]AssetDetails_UEM!$A$3:$AH$1849,6,FALSE)</f>
        <v>Electrosurgical Units, Monopolar/Bipolar</v>
      </c>
      <c r="AZQ111" s="179" t="s">
        <v>428</v>
      </c>
      <c r="AZR111" s="180" t="str">
        <f>VLOOKUP(AZQ111,[13]AssetDetails_UEM!$A$3:$AH$1849,6,FALSE)</f>
        <v>Electrosurgical Units, Monopolar/Bipolar</v>
      </c>
      <c r="AZS111" s="179" t="s">
        <v>428</v>
      </c>
      <c r="AZT111" s="180" t="str">
        <f>VLOOKUP(AZS111,[13]AssetDetails_UEM!$A$3:$AH$1849,6,FALSE)</f>
        <v>Electrosurgical Units, Monopolar/Bipolar</v>
      </c>
      <c r="AZU111" s="179" t="s">
        <v>428</v>
      </c>
      <c r="AZV111" s="180" t="str">
        <f>VLOOKUP(AZU111,[13]AssetDetails_UEM!$A$3:$AH$1849,6,FALSE)</f>
        <v>Electrosurgical Units, Monopolar/Bipolar</v>
      </c>
      <c r="AZW111" s="179" t="s">
        <v>428</v>
      </c>
      <c r="AZX111" s="180" t="str">
        <f>VLOOKUP(AZW111,[13]AssetDetails_UEM!$A$3:$AH$1849,6,FALSE)</f>
        <v>Electrosurgical Units, Monopolar/Bipolar</v>
      </c>
      <c r="AZY111" s="179" t="s">
        <v>428</v>
      </c>
      <c r="AZZ111" s="180" t="str">
        <f>VLOOKUP(AZY111,[13]AssetDetails_UEM!$A$3:$AH$1849,6,FALSE)</f>
        <v>Electrosurgical Units, Monopolar/Bipolar</v>
      </c>
      <c r="BAA111" s="179" t="s">
        <v>428</v>
      </c>
      <c r="BAB111" s="180" t="str">
        <f>VLOOKUP(BAA111,[13]AssetDetails_UEM!$A$3:$AH$1849,6,FALSE)</f>
        <v>Electrosurgical Units, Monopolar/Bipolar</v>
      </c>
      <c r="BAC111" s="179" t="s">
        <v>428</v>
      </c>
      <c r="BAD111" s="180" t="str">
        <f>VLOOKUP(BAC111,[13]AssetDetails_UEM!$A$3:$AH$1849,6,FALSE)</f>
        <v>Electrosurgical Units, Monopolar/Bipolar</v>
      </c>
      <c r="BAE111" s="179" t="s">
        <v>428</v>
      </c>
      <c r="BAF111" s="180" t="str">
        <f>VLOOKUP(BAE111,[13]AssetDetails_UEM!$A$3:$AH$1849,6,FALSE)</f>
        <v>Electrosurgical Units, Monopolar/Bipolar</v>
      </c>
      <c r="BAG111" s="179" t="s">
        <v>428</v>
      </c>
      <c r="BAH111" s="180" t="str">
        <f>VLOOKUP(BAG111,[13]AssetDetails_UEM!$A$3:$AH$1849,6,FALSE)</f>
        <v>Electrosurgical Units, Monopolar/Bipolar</v>
      </c>
      <c r="BAI111" s="179" t="s">
        <v>428</v>
      </c>
      <c r="BAJ111" s="180" t="str">
        <f>VLOOKUP(BAI111,[13]AssetDetails_UEM!$A$3:$AH$1849,6,FALSE)</f>
        <v>Electrosurgical Units, Monopolar/Bipolar</v>
      </c>
      <c r="BAK111" s="179" t="s">
        <v>428</v>
      </c>
      <c r="BAL111" s="180" t="str">
        <f>VLOOKUP(BAK111,[13]AssetDetails_UEM!$A$3:$AH$1849,6,FALSE)</f>
        <v>Electrosurgical Units, Monopolar/Bipolar</v>
      </c>
      <c r="BAM111" s="179" t="s">
        <v>428</v>
      </c>
      <c r="BAN111" s="180" t="str">
        <f>VLOOKUP(BAM111,[13]AssetDetails_UEM!$A$3:$AH$1849,6,FALSE)</f>
        <v>Electrosurgical Units, Monopolar/Bipolar</v>
      </c>
      <c r="BAO111" s="179" t="s">
        <v>428</v>
      </c>
      <c r="BAP111" s="180" t="str">
        <f>VLOOKUP(BAO111,[13]AssetDetails_UEM!$A$3:$AH$1849,6,FALSE)</f>
        <v>Electrosurgical Units, Monopolar/Bipolar</v>
      </c>
      <c r="BAQ111" s="179" t="s">
        <v>428</v>
      </c>
      <c r="BAR111" s="180" t="str">
        <f>VLOOKUP(BAQ111,[13]AssetDetails_UEM!$A$3:$AH$1849,6,FALSE)</f>
        <v>Electrosurgical Units, Monopolar/Bipolar</v>
      </c>
      <c r="BAS111" s="179" t="s">
        <v>428</v>
      </c>
      <c r="BAT111" s="180" t="str">
        <f>VLOOKUP(BAS111,[13]AssetDetails_UEM!$A$3:$AH$1849,6,FALSE)</f>
        <v>Electrosurgical Units, Monopolar/Bipolar</v>
      </c>
      <c r="BAU111" s="179" t="s">
        <v>428</v>
      </c>
      <c r="BAV111" s="180" t="str">
        <f>VLOOKUP(BAU111,[13]AssetDetails_UEM!$A$3:$AH$1849,6,FALSE)</f>
        <v>Electrosurgical Units, Monopolar/Bipolar</v>
      </c>
      <c r="BAW111" s="179" t="s">
        <v>428</v>
      </c>
      <c r="BAX111" s="180" t="str">
        <f>VLOOKUP(BAW111,[13]AssetDetails_UEM!$A$3:$AH$1849,6,FALSE)</f>
        <v>Electrosurgical Units, Monopolar/Bipolar</v>
      </c>
      <c r="BAY111" s="179" t="s">
        <v>428</v>
      </c>
      <c r="BAZ111" s="180" t="str">
        <f>VLOOKUP(BAY111,[13]AssetDetails_UEM!$A$3:$AH$1849,6,FALSE)</f>
        <v>Electrosurgical Units, Monopolar/Bipolar</v>
      </c>
      <c r="BBA111" s="179" t="s">
        <v>428</v>
      </c>
      <c r="BBB111" s="180" t="str">
        <f>VLOOKUP(BBA111,[13]AssetDetails_UEM!$A$3:$AH$1849,6,FALSE)</f>
        <v>Electrosurgical Units, Monopolar/Bipolar</v>
      </c>
      <c r="BBC111" s="179" t="s">
        <v>428</v>
      </c>
      <c r="BBD111" s="180" t="str">
        <f>VLOOKUP(BBC111,[13]AssetDetails_UEM!$A$3:$AH$1849,6,FALSE)</f>
        <v>Electrosurgical Units, Monopolar/Bipolar</v>
      </c>
      <c r="BBE111" s="179" t="s">
        <v>428</v>
      </c>
      <c r="BBF111" s="180" t="str">
        <f>VLOOKUP(BBE111,[13]AssetDetails_UEM!$A$3:$AH$1849,6,FALSE)</f>
        <v>Electrosurgical Units, Monopolar/Bipolar</v>
      </c>
      <c r="BBG111" s="179" t="s">
        <v>428</v>
      </c>
      <c r="BBH111" s="180" t="str">
        <f>VLOOKUP(BBG111,[13]AssetDetails_UEM!$A$3:$AH$1849,6,FALSE)</f>
        <v>Electrosurgical Units, Monopolar/Bipolar</v>
      </c>
      <c r="BBI111" s="179" t="s">
        <v>428</v>
      </c>
      <c r="BBJ111" s="180" t="str">
        <f>VLOOKUP(BBI111,[13]AssetDetails_UEM!$A$3:$AH$1849,6,FALSE)</f>
        <v>Electrosurgical Units, Monopolar/Bipolar</v>
      </c>
      <c r="BBK111" s="179" t="s">
        <v>428</v>
      </c>
      <c r="BBL111" s="180" t="str">
        <f>VLOOKUP(BBK111,[13]AssetDetails_UEM!$A$3:$AH$1849,6,FALSE)</f>
        <v>Electrosurgical Units, Monopolar/Bipolar</v>
      </c>
      <c r="BBM111" s="179" t="s">
        <v>428</v>
      </c>
      <c r="BBN111" s="180" t="str">
        <f>VLOOKUP(BBM111,[13]AssetDetails_UEM!$A$3:$AH$1849,6,FALSE)</f>
        <v>Electrosurgical Units, Monopolar/Bipolar</v>
      </c>
      <c r="BBO111" s="179" t="s">
        <v>428</v>
      </c>
      <c r="BBP111" s="180" t="str">
        <f>VLOOKUP(BBO111,[13]AssetDetails_UEM!$A$3:$AH$1849,6,FALSE)</f>
        <v>Electrosurgical Units, Monopolar/Bipolar</v>
      </c>
      <c r="BBQ111" s="179" t="s">
        <v>428</v>
      </c>
      <c r="BBR111" s="180" t="str">
        <f>VLOOKUP(BBQ111,[13]AssetDetails_UEM!$A$3:$AH$1849,6,FALSE)</f>
        <v>Electrosurgical Units, Monopolar/Bipolar</v>
      </c>
      <c r="BBS111" s="179" t="s">
        <v>428</v>
      </c>
      <c r="BBT111" s="180" t="str">
        <f>VLOOKUP(BBS111,[13]AssetDetails_UEM!$A$3:$AH$1849,6,FALSE)</f>
        <v>Electrosurgical Units, Monopolar/Bipolar</v>
      </c>
      <c r="BBU111" s="179" t="s">
        <v>428</v>
      </c>
      <c r="BBV111" s="180" t="str">
        <f>VLOOKUP(BBU111,[13]AssetDetails_UEM!$A$3:$AH$1849,6,FALSE)</f>
        <v>Electrosurgical Units, Monopolar/Bipolar</v>
      </c>
      <c r="BBW111" s="179" t="s">
        <v>428</v>
      </c>
      <c r="BBX111" s="180" t="str">
        <f>VLOOKUP(BBW111,[13]AssetDetails_UEM!$A$3:$AH$1849,6,FALSE)</f>
        <v>Electrosurgical Units, Monopolar/Bipolar</v>
      </c>
      <c r="BBY111" s="179" t="s">
        <v>428</v>
      </c>
      <c r="BBZ111" s="180" t="str">
        <f>VLOOKUP(BBY111,[13]AssetDetails_UEM!$A$3:$AH$1849,6,FALSE)</f>
        <v>Electrosurgical Units, Monopolar/Bipolar</v>
      </c>
      <c r="BCA111" s="179" t="s">
        <v>428</v>
      </c>
      <c r="BCB111" s="180" t="str">
        <f>VLOOKUP(BCA111,[13]AssetDetails_UEM!$A$3:$AH$1849,6,FALSE)</f>
        <v>Electrosurgical Units, Monopolar/Bipolar</v>
      </c>
      <c r="BCC111" s="179" t="s">
        <v>428</v>
      </c>
      <c r="BCD111" s="180" t="str">
        <f>VLOOKUP(BCC111,[13]AssetDetails_UEM!$A$3:$AH$1849,6,FALSE)</f>
        <v>Electrosurgical Units, Monopolar/Bipolar</v>
      </c>
      <c r="BCE111" s="179" t="s">
        <v>428</v>
      </c>
      <c r="BCF111" s="180" t="str">
        <f>VLOOKUP(BCE111,[13]AssetDetails_UEM!$A$3:$AH$1849,6,FALSE)</f>
        <v>Electrosurgical Units, Monopolar/Bipolar</v>
      </c>
      <c r="BCG111" s="179" t="s">
        <v>428</v>
      </c>
      <c r="BCH111" s="180" t="str">
        <f>VLOOKUP(BCG111,[13]AssetDetails_UEM!$A$3:$AH$1849,6,FALSE)</f>
        <v>Electrosurgical Units, Monopolar/Bipolar</v>
      </c>
      <c r="BCI111" s="179" t="s">
        <v>428</v>
      </c>
      <c r="BCJ111" s="180" t="str">
        <f>VLOOKUP(BCI111,[13]AssetDetails_UEM!$A$3:$AH$1849,6,FALSE)</f>
        <v>Electrosurgical Units, Monopolar/Bipolar</v>
      </c>
      <c r="BCK111" s="179" t="s">
        <v>428</v>
      </c>
      <c r="BCL111" s="180" t="str">
        <f>VLOOKUP(BCK111,[13]AssetDetails_UEM!$A$3:$AH$1849,6,FALSE)</f>
        <v>Electrosurgical Units, Monopolar/Bipolar</v>
      </c>
      <c r="BCM111" s="179" t="s">
        <v>428</v>
      </c>
      <c r="BCN111" s="180" t="str">
        <f>VLOOKUP(BCM111,[13]AssetDetails_UEM!$A$3:$AH$1849,6,FALSE)</f>
        <v>Electrosurgical Units, Monopolar/Bipolar</v>
      </c>
      <c r="BCO111" s="179" t="s">
        <v>428</v>
      </c>
      <c r="BCP111" s="180" t="str">
        <f>VLOOKUP(BCO111,[13]AssetDetails_UEM!$A$3:$AH$1849,6,FALSE)</f>
        <v>Electrosurgical Units, Monopolar/Bipolar</v>
      </c>
      <c r="BCQ111" s="179" t="s">
        <v>428</v>
      </c>
      <c r="BCR111" s="180" t="str">
        <f>VLOOKUP(BCQ111,[13]AssetDetails_UEM!$A$3:$AH$1849,6,FALSE)</f>
        <v>Electrosurgical Units, Monopolar/Bipolar</v>
      </c>
      <c r="BCS111" s="179" t="s">
        <v>428</v>
      </c>
      <c r="BCT111" s="180" t="str">
        <f>VLOOKUP(BCS111,[13]AssetDetails_UEM!$A$3:$AH$1849,6,FALSE)</f>
        <v>Electrosurgical Units, Monopolar/Bipolar</v>
      </c>
      <c r="BCU111" s="179" t="s">
        <v>428</v>
      </c>
      <c r="BCV111" s="180" t="str">
        <f>VLOOKUP(BCU111,[13]AssetDetails_UEM!$A$3:$AH$1849,6,FALSE)</f>
        <v>Electrosurgical Units, Monopolar/Bipolar</v>
      </c>
      <c r="BCW111" s="179" t="s">
        <v>428</v>
      </c>
      <c r="BCX111" s="180" t="str">
        <f>VLOOKUP(BCW111,[13]AssetDetails_UEM!$A$3:$AH$1849,6,FALSE)</f>
        <v>Electrosurgical Units, Monopolar/Bipolar</v>
      </c>
      <c r="BCY111" s="179" t="s">
        <v>428</v>
      </c>
      <c r="BCZ111" s="180" t="str">
        <f>VLOOKUP(BCY111,[13]AssetDetails_UEM!$A$3:$AH$1849,6,FALSE)</f>
        <v>Electrosurgical Units, Monopolar/Bipolar</v>
      </c>
      <c r="BDA111" s="179" t="s">
        <v>428</v>
      </c>
      <c r="BDB111" s="180" t="str">
        <f>VLOOKUP(BDA111,[13]AssetDetails_UEM!$A$3:$AH$1849,6,FALSE)</f>
        <v>Electrosurgical Units, Monopolar/Bipolar</v>
      </c>
      <c r="BDC111" s="179" t="s">
        <v>428</v>
      </c>
      <c r="BDD111" s="180" t="str">
        <f>VLOOKUP(BDC111,[13]AssetDetails_UEM!$A$3:$AH$1849,6,FALSE)</f>
        <v>Electrosurgical Units, Monopolar/Bipolar</v>
      </c>
      <c r="BDE111" s="179" t="s">
        <v>428</v>
      </c>
      <c r="BDF111" s="180" t="str">
        <f>VLOOKUP(BDE111,[13]AssetDetails_UEM!$A$3:$AH$1849,6,FALSE)</f>
        <v>Electrosurgical Units, Monopolar/Bipolar</v>
      </c>
      <c r="BDG111" s="179" t="s">
        <v>428</v>
      </c>
      <c r="BDH111" s="180" t="str">
        <f>VLOOKUP(BDG111,[13]AssetDetails_UEM!$A$3:$AH$1849,6,FALSE)</f>
        <v>Electrosurgical Units, Monopolar/Bipolar</v>
      </c>
      <c r="BDI111" s="179" t="s">
        <v>428</v>
      </c>
      <c r="BDJ111" s="180" t="str">
        <f>VLOOKUP(BDI111,[13]AssetDetails_UEM!$A$3:$AH$1849,6,FALSE)</f>
        <v>Electrosurgical Units, Monopolar/Bipolar</v>
      </c>
      <c r="BDK111" s="179" t="s">
        <v>428</v>
      </c>
      <c r="BDL111" s="180" t="str">
        <f>VLOOKUP(BDK111,[13]AssetDetails_UEM!$A$3:$AH$1849,6,FALSE)</f>
        <v>Electrosurgical Units, Monopolar/Bipolar</v>
      </c>
      <c r="BDM111" s="179" t="s">
        <v>428</v>
      </c>
      <c r="BDN111" s="180" t="str">
        <f>VLOOKUP(BDM111,[13]AssetDetails_UEM!$A$3:$AH$1849,6,FALSE)</f>
        <v>Electrosurgical Units, Monopolar/Bipolar</v>
      </c>
      <c r="BDO111" s="179" t="s">
        <v>428</v>
      </c>
      <c r="BDP111" s="180" t="str">
        <f>VLOOKUP(BDO111,[13]AssetDetails_UEM!$A$3:$AH$1849,6,FALSE)</f>
        <v>Electrosurgical Units, Monopolar/Bipolar</v>
      </c>
      <c r="BDQ111" s="179" t="s">
        <v>428</v>
      </c>
      <c r="BDR111" s="180" t="str">
        <f>VLOOKUP(BDQ111,[13]AssetDetails_UEM!$A$3:$AH$1849,6,FALSE)</f>
        <v>Electrosurgical Units, Monopolar/Bipolar</v>
      </c>
      <c r="BDS111" s="179" t="s">
        <v>428</v>
      </c>
      <c r="BDT111" s="180" t="str">
        <f>VLOOKUP(BDS111,[13]AssetDetails_UEM!$A$3:$AH$1849,6,FALSE)</f>
        <v>Electrosurgical Units, Monopolar/Bipolar</v>
      </c>
      <c r="BDU111" s="179" t="s">
        <v>428</v>
      </c>
      <c r="BDV111" s="180" t="str">
        <f>VLOOKUP(BDU111,[13]AssetDetails_UEM!$A$3:$AH$1849,6,FALSE)</f>
        <v>Electrosurgical Units, Monopolar/Bipolar</v>
      </c>
      <c r="BDW111" s="179" t="s">
        <v>428</v>
      </c>
      <c r="BDX111" s="180" t="str">
        <f>VLOOKUP(BDW111,[13]AssetDetails_UEM!$A$3:$AH$1849,6,FALSE)</f>
        <v>Electrosurgical Units, Monopolar/Bipolar</v>
      </c>
      <c r="BDY111" s="179" t="s">
        <v>428</v>
      </c>
      <c r="BDZ111" s="180" t="str">
        <f>VLOOKUP(BDY111,[13]AssetDetails_UEM!$A$3:$AH$1849,6,FALSE)</f>
        <v>Electrosurgical Units, Monopolar/Bipolar</v>
      </c>
      <c r="BEA111" s="179" t="s">
        <v>428</v>
      </c>
      <c r="BEB111" s="180" t="str">
        <f>VLOOKUP(BEA111,[13]AssetDetails_UEM!$A$3:$AH$1849,6,FALSE)</f>
        <v>Electrosurgical Units, Monopolar/Bipolar</v>
      </c>
      <c r="BEC111" s="179" t="s">
        <v>428</v>
      </c>
      <c r="BED111" s="180" t="str">
        <f>VLOOKUP(BEC111,[13]AssetDetails_UEM!$A$3:$AH$1849,6,FALSE)</f>
        <v>Electrosurgical Units, Monopolar/Bipolar</v>
      </c>
      <c r="BEE111" s="179" t="s">
        <v>428</v>
      </c>
      <c r="BEF111" s="180" t="str">
        <f>VLOOKUP(BEE111,[13]AssetDetails_UEM!$A$3:$AH$1849,6,FALSE)</f>
        <v>Electrosurgical Units, Monopolar/Bipolar</v>
      </c>
      <c r="BEG111" s="179" t="s">
        <v>428</v>
      </c>
      <c r="BEH111" s="180" t="str">
        <f>VLOOKUP(BEG111,[13]AssetDetails_UEM!$A$3:$AH$1849,6,FALSE)</f>
        <v>Electrosurgical Units, Monopolar/Bipolar</v>
      </c>
      <c r="BEI111" s="179" t="s">
        <v>428</v>
      </c>
      <c r="BEJ111" s="180" t="str">
        <f>VLOOKUP(BEI111,[13]AssetDetails_UEM!$A$3:$AH$1849,6,FALSE)</f>
        <v>Electrosurgical Units, Monopolar/Bipolar</v>
      </c>
      <c r="BEK111" s="179" t="s">
        <v>428</v>
      </c>
      <c r="BEL111" s="180" t="str">
        <f>VLOOKUP(BEK111,[13]AssetDetails_UEM!$A$3:$AH$1849,6,FALSE)</f>
        <v>Electrosurgical Units, Monopolar/Bipolar</v>
      </c>
      <c r="BEM111" s="179" t="s">
        <v>428</v>
      </c>
      <c r="BEN111" s="180" t="str">
        <f>VLOOKUP(BEM111,[13]AssetDetails_UEM!$A$3:$AH$1849,6,FALSE)</f>
        <v>Electrosurgical Units, Monopolar/Bipolar</v>
      </c>
      <c r="BEO111" s="179" t="s">
        <v>428</v>
      </c>
      <c r="BEP111" s="180" t="str">
        <f>VLOOKUP(BEO111,[13]AssetDetails_UEM!$A$3:$AH$1849,6,FALSE)</f>
        <v>Electrosurgical Units, Monopolar/Bipolar</v>
      </c>
      <c r="BEQ111" s="179" t="s">
        <v>428</v>
      </c>
      <c r="BER111" s="180" t="str">
        <f>VLOOKUP(BEQ111,[13]AssetDetails_UEM!$A$3:$AH$1849,6,FALSE)</f>
        <v>Electrosurgical Units, Monopolar/Bipolar</v>
      </c>
      <c r="BES111" s="179" t="s">
        <v>428</v>
      </c>
      <c r="BET111" s="180" t="str">
        <f>VLOOKUP(BES111,[13]AssetDetails_UEM!$A$3:$AH$1849,6,FALSE)</f>
        <v>Electrosurgical Units, Monopolar/Bipolar</v>
      </c>
      <c r="BEU111" s="179" t="s">
        <v>428</v>
      </c>
      <c r="BEV111" s="180" t="str">
        <f>VLOOKUP(BEU111,[13]AssetDetails_UEM!$A$3:$AH$1849,6,FALSE)</f>
        <v>Electrosurgical Units, Monopolar/Bipolar</v>
      </c>
      <c r="BEW111" s="179" t="s">
        <v>428</v>
      </c>
      <c r="BEX111" s="180" t="str">
        <f>VLOOKUP(BEW111,[13]AssetDetails_UEM!$A$3:$AH$1849,6,FALSE)</f>
        <v>Electrosurgical Units, Monopolar/Bipolar</v>
      </c>
      <c r="BEY111" s="179" t="s">
        <v>428</v>
      </c>
      <c r="BEZ111" s="180" t="str">
        <f>VLOOKUP(BEY111,[13]AssetDetails_UEM!$A$3:$AH$1849,6,FALSE)</f>
        <v>Electrosurgical Units, Monopolar/Bipolar</v>
      </c>
      <c r="BFA111" s="179" t="s">
        <v>428</v>
      </c>
      <c r="BFB111" s="180" t="str">
        <f>VLOOKUP(BFA111,[13]AssetDetails_UEM!$A$3:$AH$1849,6,FALSE)</f>
        <v>Electrosurgical Units, Monopolar/Bipolar</v>
      </c>
      <c r="BFC111" s="179" t="s">
        <v>428</v>
      </c>
      <c r="BFD111" s="180" t="str">
        <f>VLOOKUP(BFC111,[13]AssetDetails_UEM!$A$3:$AH$1849,6,FALSE)</f>
        <v>Electrosurgical Units, Monopolar/Bipolar</v>
      </c>
      <c r="BFE111" s="179" t="s">
        <v>428</v>
      </c>
      <c r="BFF111" s="180" t="str">
        <f>VLOOKUP(BFE111,[13]AssetDetails_UEM!$A$3:$AH$1849,6,FALSE)</f>
        <v>Electrosurgical Units, Monopolar/Bipolar</v>
      </c>
      <c r="BFG111" s="179" t="s">
        <v>428</v>
      </c>
      <c r="BFH111" s="180" t="str">
        <f>VLOOKUP(BFG111,[13]AssetDetails_UEM!$A$3:$AH$1849,6,FALSE)</f>
        <v>Electrosurgical Units, Monopolar/Bipolar</v>
      </c>
      <c r="BFI111" s="179" t="s">
        <v>428</v>
      </c>
      <c r="BFJ111" s="180" t="str">
        <f>VLOOKUP(BFI111,[13]AssetDetails_UEM!$A$3:$AH$1849,6,FALSE)</f>
        <v>Electrosurgical Units, Monopolar/Bipolar</v>
      </c>
      <c r="BFK111" s="179" t="s">
        <v>428</v>
      </c>
      <c r="BFL111" s="180" t="str">
        <f>VLOOKUP(BFK111,[13]AssetDetails_UEM!$A$3:$AH$1849,6,FALSE)</f>
        <v>Electrosurgical Units, Monopolar/Bipolar</v>
      </c>
      <c r="BFM111" s="179" t="s">
        <v>428</v>
      </c>
      <c r="BFN111" s="180" t="str">
        <f>VLOOKUP(BFM111,[13]AssetDetails_UEM!$A$3:$AH$1849,6,FALSE)</f>
        <v>Electrosurgical Units, Monopolar/Bipolar</v>
      </c>
      <c r="BFO111" s="179" t="s">
        <v>428</v>
      </c>
      <c r="BFP111" s="180" t="str">
        <f>VLOOKUP(BFO111,[13]AssetDetails_UEM!$A$3:$AH$1849,6,FALSE)</f>
        <v>Electrosurgical Units, Monopolar/Bipolar</v>
      </c>
      <c r="BFQ111" s="179" t="s">
        <v>428</v>
      </c>
      <c r="BFR111" s="180" t="str">
        <f>VLOOKUP(BFQ111,[13]AssetDetails_UEM!$A$3:$AH$1849,6,FALSE)</f>
        <v>Electrosurgical Units, Monopolar/Bipolar</v>
      </c>
      <c r="BFS111" s="179" t="s">
        <v>428</v>
      </c>
      <c r="BFT111" s="180" t="str">
        <f>VLOOKUP(BFS111,[13]AssetDetails_UEM!$A$3:$AH$1849,6,FALSE)</f>
        <v>Electrosurgical Units, Monopolar/Bipolar</v>
      </c>
      <c r="BFU111" s="179" t="s">
        <v>428</v>
      </c>
      <c r="BFV111" s="180" t="str">
        <f>VLOOKUP(BFU111,[13]AssetDetails_UEM!$A$3:$AH$1849,6,FALSE)</f>
        <v>Electrosurgical Units, Monopolar/Bipolar</v>
      </c>
      <c r="BFW111" s="179" t="s">
        <v>428</v>
      </c>
      <c r="BFX111" s="180" t="str">
        <f>VLOOKUP(BFW111,[13]AssetDetails_UEM!$A$3:$AH$1849,6,FALSE)</f>
        <v>Electrosurgical Units, Monopolar/Bipolar</v>
      </c>
      <c r="BFY111" s="179" t="s">
        <v>428</v>
      </c>
      <c r="BFZ111" s="180" t="str">
        <f>VLOOKUP(BFY111,[13]AssetDetails_UEM!$A$3:$AH$1849,6,FALSE)</f>
        <v>Electrosurgical Units, Monopolar/Bipolar</v>
      </c>
      <c r="BGA111" s="179" t="s">
        <v>428</v>
      </c>
      <c r="BGB111" s="180" t="str">
        <f>VLOOKUP(BGA111,[13]AssetDetails_UEM!$A$3:$AH$1849,6,FALSE)</f>
        <v>Electrosurgical Units, Monopolar/Bipolar</v>
      </c>
      <c r="BGC111" s="179" t="s">
        <v>428</v>
      </c>
      <c r="BGD111" s="180" t="str">
        <f>VLOOKUP(BGC111,[13]AssetDetails_UEM!$A$3:$AH$1849,6,FALSE)</f>
        <v>Electrosurgical Units, Monopolar/Bipolar</v>
      </c>
      <c r="BGE111" s="179" t="s">
        <v>428</v>
      </c>
      <c r="BGF111" s="180" t="str">
        <f>VLOOKUP(BGE111,[13]AssetDetails_UEM!$A$3:$AH$1849,6,FALSE)</f>
        <v>Electrosurgical Units, Monopolar/Bipolar</v>
      </c>
      <c r="BGG111" s="179" t="s">
        <v>428</v>
      </c>
      <c r="BGH111" s="180" t="str">
        <f>VLOOKUP(BGG111,[13]AssetDetails_UEM!$A$3:$AH$1849,6,FALSE)</f>
        <v>Electrosurgical Units, Monopolar/Bipolar</v>
      </c>
      <c r="BGI111" s="179" t="s">
        <v>428</v>
      </c>
      <c r="BGJ111" s="180" t="str">
        <f>VLOOKUP(BGI111,[13]AssetDetails_UEM!$A$3:$AH$1849,6,FALSE)</f>
        <v>Electrosurgical Units, Monopolar/Bipolar</v>
      </c>
      <c r="BGK111" s="179" t="s">
        <v>428</v>
      </c>
      <c r="BGL111" s="180" t="str">
        <f>VLOOKUP(BGK111,[13]AssetDetails_UEM!$A$3:$AH$1849,6,FALSE)</f>
        <v>Electrosurgical Units, Monopolar/Bipolar</v>
      </c>
      <c r="BGM111" s="179" t="s">
        <v>428</v>
      </c>
      <c r="BGN111" s="180" t="str">
        <f>VLOOKUP(BGM111,[13]AssetDetails_UEM!$A$3:$AH$1849,6,FALSE)</f>
        <v>Electrosurgical Units, Monopolar/Bipolar</v>
      </c>
      <c r="BGO111" s="179" t="s">
        <v>428</v>
      </c>
      <c r="BGP111" s="180" t="str">
        <f>VLOOKUP(BGO111,[13]AssetDetails_UEM!$A$3:$AH$1849,6,FALSE)</f>
        <v>Electrosurgical Units, Monopolar/Bipolar</v>
      </c>
      <c r="BGQ111" s="179" t="s">
        <v>428</v>
      </c>
      <c r="BGR111" s="180" t="str">
        <f>VLOOKUP(BGQ111,[13]AssetDetails_UEM!$A$3:$AH$1849,6,FALSE)</f>
        <v>Electrosurgical Units, Monopolar/Bipolar</v>
      </c>
      <c r="BGS111" s="179" t="s">
        <v>428</v>
      </c>
      <c r="BGT111" s="180" t="str">
        <f>VLOOKUP(BGS111,[13]AssetDetails_UEM!$A$3:$AH$1849,6,FALSE)</f>
        <v>Electrosurgical Units, Monopolar/Bipolar</v>
      </c>
      <c r="BGU111" s="179" t="s">
        <v>428</v>
      </c>
      <c r="BGV111" s="180" t="str">
        <f>VLOOKUP(BGU111,[13]AssetDetails_UEM!$A$3:$AH$1849,6,FALSE)</f>
        <v>Electrosurgical Units, Monopolar/Bipolar</v>
      </c>
      <c r="BGW111" s="179" t="s">
        <v>428</v>
      </c>
      <c r="BGX111" s="180" t="str">
        <f>VLOOKUP(BGW111,[13]AssetDetails_UEM!$A$3:$AH$1849,6,FALSE)</f>
        <v>Electrosurgical Units, Monopolar/Bipolar</v>
      </c>
      <c r="BGY111" s="179" t="s">
        <v>428</v>
      </c>
      <c r="BGZ111" s="180" t="str">
        <f>VLOOKUP(BGY111,[13]AssetDetails_UEM!$A$3:$AH$1849,6,FALSE)</f>
        <v>Electrosurgical Units, Monopolar/Bipolar</v>
      </c>
      <c r="BHA111" s="179" t="s">
        <v>428</v>
      </c>
      <c r="BHB111" s="180" t="str">
        <f>VLOOKUP(BHA111,[13]AssetDetails_UEM!$A$3:$AH$1849,6,FALSE)</f>
        <v>Electrosurgical Units, Monopolar/Bipolar</v>
      </c>
      <c r="BHC111" s="179" t="s">
        <v>428</v>
      </c>
      <c r="BHD111" s="180" t="str">
        <f>VLOOKUP(BHC111,[13]AssetDetails_UEM!$A$3:$AH$1849,6,FALSE)</f>
        <v>Electrosurgical Units, Monopolar/Bipolar</v>
      </c>
      <c r="BHE111" s="179" t="s">
        <v>428</v>
      </c>
      <c r="BHF111" s="180" t="str">
        <f>VLOOKUP(BHE111,[13]AssetDetails_UEM!$A$3:$AH$1849,6,FALSE)</f>
        <v>Electrosurgical Units, Monopolar/Bipolar</v>
      </c>
      <c r="BHG111" s="179" t="s">
        <v>428</v>
      </c>
      <c r="BHH111" s="180" t="str">
        <f>VLOOKUP(BHG111,[13]AssetDetails_UEM!$A$3:$AH$1849,6,FALSE)</f>
        <v>Electrosurgical Units, Monopolar/Bipolar</v>
      </c>
      <c r="BHI111" s="179" t="s">
        <v>428</v>
      </c>
      <c r="BHJ111" s="180" t="str">
        <f>VLOOKUP(BHI111,[13]AssetDetails_UEM!$A$3:$AH$1849,6,FALSE)</f>
        <v>Electrosurgical Units, Monopolar/Bipolar</v>
      </c>
      <c r="BHK111" s="179" t="s">
        <v>428</v>
      </c>
      <c r="BHL111" s="180" t="str">
        <f>VLOOKUP(BHK111,[13]AssetDetails_UEM!$A$3:$AH$1849,6,FALSE)</f>
        <v>Electrosurgical Units, Monopolar/Bipolar</v>
      </c>
      <c r="BHM111" s="179" t="s">
        <v>428</v>
      </c>
      <c r="BHN111" s="180" t="str">
        <f>VLOOKUP(BHM111,[13]AssetDetails_UEM!$A$3:$AH$1849,6,FALSE)</f>
        <v>Electrosurgical Units, Monopolar/Bipolar</v>
      </c>
      <c r="BHO111" s="179" t="s">
        <v>428</v>
      </c>
      <c r="BHP111" s="180" t="str">
        <f>VLOOKUP(BHO111,[13]AssetDetails_UEM!$A$3:$AH$1849,6,FALSE)</f>
        <v>Electrosurgical Units, Monopolar/Bipolar</v>
      </c>
      <c r="BHQ111" s="179" t="s">
        <v>428</v>
      </c>
      <c r="BHR111" s="180" t="str">
        <f>VLOOKUP(BHQ111,[13]AssetDetails_UEM!$A$3:$AH$1849,6,FALSE)</f>
        <v>Electrosurgical Units, Monopolar/Bipolar</v>
      </c>
      <c r="BHS111" s="179" t="s">
        <v>428</v>
      </c>
      <c r="BHT111" s="180" t="str">
        <f>VLOOKUP(BHS111,[13]AssetDetails_UEM!$A$3:$AH$1849,6,FALSE)</f>
        <v>Electrosurgical Units, Monopolar/Bipolar</v>
      </c>
      <c r="BHU111" s="179" t="s">
        <v>428</v>
      </c>
      <c r="BHV111" s="180" t="str">
        <f>VLOOKUP(BHU111,[13]AssetDetails_UEM!$A$3:$AH$1849,6,FALSE)</f>
        <v>Electrosurgical Units, Monopolar/Bipolar</v>
      </c>
      <c r="BHW111" s="179" t="s">
        <v>428</v>
      </c>
      <c r="BHX111" s="180" t="str">
        <f>VLOOKUP(BHW111,[13]AssetDetails_UEM!$A$3:$AH$1849,6,FALSE)</f>
        <v>Electrosurgical Units, Monopolar/Bipolar</v>
      </c>
      <c r="BHY111" s="179" t="s">
        <v>428</v>
      </c>
      <c r="BHZ111" s="180" t="str">
        <f>VLOOKUP(BHY111,[13]AssetDetails_UEM!$A$3:$AH$1849,6,FALSE)</f>
        <v>Electrosurgical Units, Monopolar/Bipolar</v>
      </c>
      <c r="BIA111" s="179" t="s">
        <v>428</v>
      </c>
      <c r="BIB111" s="180" t="str">
        <f>VLOOKUP(BIA111,[13]AssetDetails_UEM!$A$3:$AH$1849,6,FALSE)</f>
        <v>Electrosurgical Units, Monopolar/Bipolar</v>
      </c>
      <c r="BIC111" s="179" t="s">
        <v>428</v>
      </c>
      <c r="BID111" s="180" t="str">
        <f>VLOOKUP(BIC111,[13]AssetDetails_UEM!$A$3:$AH$1849,6,FALSE)</f>
        <v>Electrosurgical Units, Monopolar/Bipolar</v>
      </c>
      <c r="BIE111" s="179" t="s">
        <v>428</v>
      </c>
      <c r="BIF111" s="180" t="str">
        <f>VLOOKUP(BIE111,[13]AssetDetails_UEM!$A$3:$AH$1849,6,FALSE)</f>
        <v>Electrosurgical Units, Monopolar/Bipolar</v>
      </c>
      <c r="BIG111" s="179" t="s">
        <v>428</v>
      </c>
      <c r="BIH111" s="180" t="str">
        <f>VLOOKUP(BIG111,[13]AssetDetails_UEM!$A$3:$AH$1849,6,FALSE)</f>
        <v>Electrosurgical Units, Monopolar/Bipolar</v>
      </c>
      <c r="BII111" s="179" t="s">
        <v>428</v>
      </c>
      <c r="BIJ111" s="180" t="str">
        <f>VLOOKUP(BII111,[13]AssetDetails_UEM!$A$3:$AH$1849,6,FALSE)</f>
        <v>Electrosurgical Units, Monopolar/Bipolar</v>
      </c>
      <c r="BIK111" s="179" t="s">
        <v>428</v>
      </c>
      <c r="BIL111" s="180" t="str">
        <f>VLOOKUP(BIK111,[13]AssetDetails_UEM!$A$3:$AH$1849,6,FALSE)</f>
        <v>Electrosurgical Units, Monopolar/Bipolar</v>
      </c>
      <c r="BIM111" s="179" t="s">
        <v>428</v>
      </c>
      <c r="BIN111" s="180" t="str">
        <f>VLOOKUP(BIM111,[13]AssetDetails_UEM!$A$3:$AH$1849,6,FALSE)</f>
        <v>Electrosurgical Units, Monopolar/Bipolar</v>
      </c>
      <c r="BIO111" s="179" t="s">
        <v>428</v>
      </c>
      <c r="BIP111" s="180" t="str">
        <f>VLOOKUP(BIO111,[13]AssetDetails_UEM!$A$3:$AH$1849,6,FALSE)</f>
        <v>Electrosurgical Units, Monopolar/Bipolar</v>
      </c>
      <c r="BIQ111" s="179" t="s">
        <v>428</v>
      </c>
      <c r="BIR111" s="180" t="str">
        <f>VLOOKUP(BIQ111,[13]AssetDetails_UEM!$A$3:$AH$1849,6,FALSE)</f>
        <v>Electrosurgical Units, Monopolar/Bipolar</v>
      </c>
      <c r="BIS111" s="179" t="s">
        <v>428</v>
      </c>
      <c r="BIT111" s="180" t="str">
        <f>VLOOKUP(BIS111,[13]AssetDetails_UEM!$A$3:$AH$1849,6,FALSE)</f>
        <v>Electrosurgical Units, Monopolar/Bipolar</v>
      </c>
      <c r="BIU111" s="179" t="s">
        <v>428</v>
      </c>
      <c r="BIV111" s="180" t="str">
        <f>VLOOKUP(BIU111,[13]AssetDetails_UEM!$A$3:$AH$1849,6,FALSE)</f>
        <v>Electrosurgical Units, Monopolar/Bipolar</v>
      </c>
      <c r="BIW111" s="179" t="s">
        <v>428</v>
      </c>
      <c r="BIX111" s="180" t="str">
        <f>VLOOKUP(BIW111,[13]AssetDetails_UEM!$A$3:$AH$1849,6,FALSE)</f>
        <v>Electrosurgical Units, Monopolar/Bipolar</v>
      </c>
      <c r="BIY111" s="179" t="s">
        <v>428</v>
      </c>
      <c r="BIZ111" s="180" t="str">
        <f>VLOOKUP(BIY111,[13]AssetDetails_UEM!$A$3:$AH$1849,6,FALSE)</f>
        <v>Electrosurgical Units, Monopolar/Bipolar</v>
      </c>
      <c r="BJA111" s="179" t="s">
        <v>428</v>
      </c>
      <c r="BJB111" s="180" t="str">
        <f>VLOOKUP(BJA111,[13]AssetDetails_UEM!$A$3:$AH$1849,6,FALSE)</f>
        <v>Electrosurgical Units, Monopolar/Bipolar</v>
      </c>
      <c r="BJC111" s="179" t="s">
        <v>428</v>
      </c>
      <c r="BJD111" s="180" t="str">
        <f>VLOOKUP(BJC111,[13]AssetDetails_UEM!$A$3:$AH$1849,6,FALSE)</f>
        <v>Electrosurgical Units, Monopolar/Bipolar</v>
      </c>
      <c r="BJE111" s="179" t="s">
        <v>428</v>
      </c>
      <c r="BJF111" s="180" t="str">
        <f>VLOOKUP(BJE111,[13]AssetDetails_UEM!$A$3:$AH$1849,6,FALSE)</f>
        <v>Electrosurgical Units, Monopolar/Bipolar</v>
      </c>
      <c r="BJG111" s="179" t="s">
        <v>428</v>
      </c>
      <c r="BJH111" s="180" t="str">
        <f>VLOOKUP(BJG111,[13]AssetDetails_UEM!$A$3:$AH$1849,6,FALSE)</f>
        <v>Electrosurgical Units, Monopolar/Bipolar</v>
      </c>
      <c r="BJI111" s="179" t="s">
        <v>428</v>
      </c>
      <c r="BJJ111" s="180" t="str">
        <f>VLOOKUP(BJI111,[13]AssetDetails_UEM!$A$3:$AH$1849,6,FALSE)</f>
        <v>Electrosurgical Units, Monopolar/Bipolar</v>
      </c>
      <c r="BJK111" s="179" t="s">
        <v>428</v>
      </c>
      <c r="BJL111" s="180" t="str">
        <f>VLOOKUP(BJK111,[13]AssetDetails_UEM!$A$3:$AH$1849,6,FALSE)</f>
        <v>Electrosurgical Units, Monopolar/Bipolar</v>
      </c>
      <c r="BJM111" s="179" t="s">
        <v>428</v>
      </c>
      <c r="BJN111" s="180" t="str">
        <f>VLOOKUP(BJM111,[13]AssetDetails_UEM!$A$3:$AH$1849,6,FALSE)</f>
        <v>Electrosurgical Units, Monopolar/Bipolar</v>
      </c>
      <c r="BJO111" s="179" t="s">
        <v>428</v>
      </c>
      <c r="BJP111" s="180" t="str">
        <f>VLOOKUP(BJO111,[13]AssetDetails_UEM!$A$3:$AH$1849,6,FALSE)</f>
        <v>Electrosurgical Units, Monopolar/Bipolar</v>
      </c>
      <c r="BJQ111" s="179" t="s">
        <v>428</v>
      </c>
      <c r="BJR111" s="180" t="str">
        <f>VLOOKUP(BJQ111,[13]AssetDetails_UEM!$A$3:$AH$1849,6,FALSE)</f>
        <v>Electrosurgical Units, Monopolar/Bipolar</v>
      </c>
      <c r="BJS111" s="179" t="s">
        <v>428</v>
      </c>
      <c r="BJT111" s="180" t="str">
        <f>VLOOKUP(BJS111,[13]AssetDetails_UEM!$A$3:$AH$1849,6,FALSE)</f>
        <v>Electrosurgical Units, Monopolar/Bipolar</v>
      </c>
      <c r="BJU111" s="179" t="s">
        <v>428</v>
      </c>
      <c r="BJV111" s="180" t="str">
        <f>VLOOKUP(BJU111,[13]AssetDetails_UEM!$A$3:$AH$1849,6,FALSE)</f>
        <v>Electrosurgical Units, Monopolar/Bipolar</v>
      </c>
      <c r="BJW111" s="179" t="s">
        <v>428</v>
      </c>
      <c r="BJX111" s="180" t="str">
        <f>VLOOKUP(BJW111,[13]AssetDetails_UEM!$A$3:$AH$1849,6,FALSE)</f>
        <v>Electrosurgical Units, Monopolar/Bipolar</v>
      </c>
      <c r="BJY111" s="179" t="s">
        <v>428</v>
      </c>
      <c r="BJZ111" s="180" t="str">
        <f>VLOOKUP(BJY111,[13]AssetDetails_UEM!$A$3:$AH$1849,6,FALSE)</f>
        <v>Electrosurgical Units, Monopolar/Bipolar</v>
      </c>
      <c r="BKA111" s="179" t="s">
        <v>428</v>
      </c>
      <c r="BKB111" s="180" t="str">
        <f>VLOOKUP(BKA111,[13]AssetDetails_UEM!$A$3:$AH$1849,6,FALSE)</f>
        <v>Electrosurgical Units, Monopolar/Bipolar</v>
      </c>
      <c r="BKC111" s="179" t="s">
        <v>428</v>
      </c>
      <c r="BKD111" s="180" t="str">
        <f>VLOOKUP(BKC111,[13]AssetDetails_UEM!$A$3:$AH$1849,6,FALSE)</f>
        <v>Electrosurgical Units, Monopolar/Bipolar</v>
      </c>
      <c r="BKE111" s="179" t="s">
        <v>428</v>
      </c>
      <c r="BKF111" s="180" t="str">
        <f>VLOOKUP(BKE111,[13]AssetDetails_UEM!$A$3:$AH$1849,6,FALSE)</f>
        <v>Electrosurgical Units, Monopolar/Bipolar</v>
      </c>
      <c r="BKG111" s="179" t="s">
        <v>428</v>
      </c>
      <c r="BKH111" s="180" t="str">
        <f>VLOOKUP(BKG111,[13]AssetDetails_UEM!$A$3:$AH$1849,6,FALSE)</f>
        <v>Electrosurgical Units, Monopolar/Bipolar</v>
      </c>
      <c r="BKI111" s="179" t="s">
        <v>428</v>
      </c>
      <c r="BKJ111" s="180" t="str">
        <f>VLOOKUP(BKI111,[13]AssetDetails_UEM!$A$3:$AH$1849,6,FALSE)</f>
        <v>Electrosurgical Units, Monopolar/Bipolar</v>
      </c>
      <c r="BKK111" s="179" t="s">
        <v>428</v>
      </c>
      <c r="BKL111" s="180" t="str">
        <f>VLOOKUP(BKK111,[13]AssetDetails_UEM!$A$3:$AH$1849,6,FALSE)</f>
        <v>Electrosurgical Units, Monopolar/Bipolar</v>
      </c>
      <c r="BKM111" s="179" t="s">
        <v>428</v>
      </c>
      <c r="BKN111" s="180" t="str">
        <f>VLOOKUP(BKM111,[13]AssetDetails_UEM!$A$3:$AH$1849,6,FALSE)</f>
        <v>Electrosurgical Units, Monopolar/Bipolar</v>
      </c>
      <c r="BKO111" s="179" t="s">
        <v>428</v>
      </c>
      <c r="BKP111" s="180" t="str">
        <f>VLOOKUP(BKO111,[13]AssetDetails_UEM!$A$3:$AH$1849,6,FALSE)</f>
        <v>Electrosurgical Units, Monopolar/Bipolar</v>
      </c>
      <c r="BKQ111" s="179" t="s">
        <v>428</v>
      </c>
      <c r="BKR111" s="180" t="str">
        <f>VLOOKUP(BKQ111,[13]AssetDetails_UEM!$A$3:$AH$1849,6,FALSE)</f>
        <v>Electrosurgical Units, Monopolar/Bipolar</v>
      </c>
      <c r="BKS111" s="179" t="s">
        <v>428</v>
      </c>
      <c r="BKT111" s="180" t="str">
        <f>VLOOKUP(BKS111,[13]AssetDetails_UEM!$A$3:$AH$1849,6,FALSE)</f>
        <v>Electrosurgical Units, Monopolar/Bipolar</v>
      </c>
      <c r="BKU111" s="179" t="s">
        <v>428</v>
      </c>
      <c r="BKV111" s="180" t="str">
        <f>VLOOKUP(BKU111,[13]AssetDetails_UEM!$A$3:$AH$1849,6,FALSE)</f>
        <v>Electrosurgical Units, Monopolar/Bipolar</v>
      </c>
      <c r="BKW111" s="179" t="s">
        <v>428</v>
      </c>
      <c r="BKX111" s="180" t="str">
        <f>VLOOKUP(BKW111,[13]AssetDetails_UEM!$A$3:$AH$1849,6,FALSE)</f>
        <v>Electrosurgical Units, Monopolar/Bipolar</v>
      </c>
      <c r="BKY111" s="179" t="s">
        <v>428</v>
      </c>
      <c r="BKZ111" s="180" t="str">
        <f>VLOOKUP(BKY111,[13]AssetDetails_UEM!$A$3:$AH$1849,6,FALSE)</f>
        <v>Electrosurgical Units, Monopolar/Bipolar</v>
      </c>
      <c r="BLA111" s="179" t="s">
        <v>428</v>
      </c>
      <c r="BLB111" s="180" t="str">
        <f>VLOOKUP(BLA111,[13]AssetDetails_UEM!$A$3:$AH$1849,6,FALSE)</f>
        <v>Electrosurgical Units, Monopolar/Bipolar</v>
      </c>
      <c r="BLC111" s="179" t="s">
        <v>428</v>
      </c>
      <c r="BLD111" s="180" t="str">
        <f>VLOOKUP(BLC111,[13]AssetDetails_UEM!$A$3:$AH$1849,6,FALSE)</f>
        <v>Electrosurgical Units, Monopolar/Bipolar</v>
      </c>
      <c r="BLE111" s="179" t="s">
        <v>428</v>
      </c>
      <c r="BLF111" s="180" t="str">
        <f>VLOOKUP(BLE111,[13]AssetDetails_UEM!$A$3:$AH$1849,6,FALSE)</f>
        <v>Electrosurgical Units, Monopolar/Bipolar</v>
      </c>
      <c r="BLG111" s="179" t="s">
        <v>428</v>
      </c>
      <c r="BLH111" s="180" t="str">
        <f>VLOOKUP(BLG111,[13]AssetDetails_UEM!$A$3:$AH$1849,6,FALSE)</f>
        <v>Electrosurgical Units, Monopolar/Bipolar</v>
      </c>
      <c r="BLI111" s="179" t="s">
        <v>428</v>
      </c>
      <c r="BLJ111" s="180" t="str">
        <f>VLOOKUP(BLI111,[13]AssetDetails_UEM!$A$3:$AH$1849,6,FALSE)</f>
        <v>Electrosurgical Units, Monopolar/Bipolar</v>
      </c>
      <c r="BLK111" s="179" t="s">
        <v>428</v>
      </c>
      <c r="BLL111" s="180" t="str">
        <f>VLOOKUP(BLK111,[13]AssetDetails_UEM!$A$3:$AH$1849,6,FALSE)</f>
        <v>Electrosurgical Units, Monopolar/Bipolar</v>
      </c>
      <c r="BLM111" s="179" t="s">
        <v>428</v>
      </c>
      <c r="BLN111" s="180" t="str">
        <f>VLOOKUP(BLM111,[13]AssetDetails_UEM!$A$3:$AH$1849,6,FALSE)</f>
        <v>Electrosurgical Units, Monopolar/Bipolar</v>
      </c>
      <c r="BLO111" s="179" t="s">
        <v>428</v>
      </c>
      <c r="BLP111" s="180" t="str">
        <f>VLOOKUP(BLO111,[13]AssetDetails_UEM!$A$3:$AH$1849,6,FALSE)</f>
        <v>Electrosurgical Units, Monopolar/Bipolar</v>
      </c>
      <c r="BLQ111" s="179" t="s">
        <v>428</v>
      </c>
      <c r="BLR111" s="180" t="str">
        <f>VLOOKUP(BLQ111,[13]AssetDetails_UEM!$A$3:$AH$1849,6,FALSE)</f>
        <v>Electrosurgical Units, Monopolar/Bipolar</v>
      </c>
      <c r="BLS111" s="179" t="s">
        <v>428</v>
      </c>
      <c r="BLT111" s="180" t="str">
        <f>VLOOKUP(BLS111,[13]AssetDetails_UEM!$A$3:$AH$1849,6,FALSE)</f>
        <v>Electrosurgical Units, Monopolar/Bipolar</v>
      </c>
      <c r="BLU111" s="179" t="s">
        <v>428</v>
      </c>
      <c r="BLV111" s="180" t="str">
        <f>VLOOKUP(BLU111,[13]AssetDetails_UEM!$A$3:$AH$1849,6,FALSE)</f>
        <v>Electrosurgical Units, Monopolar/Bipolar</v>
      </c>
      <c r="BLW111" s="179" t="s">
        <v>428</v>
      </c>
      <c r="BLX111" s="180" t="str">
        <f>VLOOKUP(BLW111,[13]AssetDetails_UEM!$A$3:$AH$1849,6,FALSE)</f>
        <v>Electrosurgical Units, Monopolar/Bipolar</v>
      </c>
      <c r="BLY111" s="179" t="s">
        <v>428</v>
      </c>
      <c r="BLZ111" s="180" t="str">
        <f>VLOOKUP(BLY111,[13]AssetDetails_UEM!$A$3:$AH$1849,6,FALSE)</f>
        <v>Electrosurgical Units, Monopolar/Bipolar</v>
      </c>
      <c r="BMA111" s="179" t="s">
        <v>428</v>
      </c>
      <c r="BMB111" s="180" t="str">
        <f>VLOOKUP(BMA111,[13]AssetDetails_UEM!$A$3:$AH$1849,6,FALSE)</f>
        <v>Electrosurgical Units, Monopolar/Bipolar</v>
      </c>
      <c r="BMC111" s="179" t="s">
        <v>428</v>
      </c>
      <c r="BMD111" s="180" t="str">
        <f>VLOOKUP(BMC111,[13]AssetDetails_UEM!$A$3:$AH$1849,6,FALSE)</f>
        <v>Electrosurgical Units, Monopolar/Bipolar</v>
      </c>
      <c r="BME111" s="179" t="s">
        <v>428</v>
      </c>
      <c r="BMF111" s="180" t="str">
        <f>VLOOKUP(BME111,[13]AssetDetails_UEM!$A$3:$AH$1849,6,FALSE)</f>
        <v>Electrosurgical Units, Monopolar/Bipolar</v>
      </c>
      <c r="BMG111" s="179" t="s">
        <v>428</v>
      </c>
      <c r="BMH111" s="180" t="str">
        <f>VLOOKUP(BMG111,[13]AssetDetails_UEM!$A$3:$AH$1849,6,FALSE)</f>
        <v>Electrosurgical Units, Monopolar/Bipolar</v>
      </c>
      <c r="BMI111" s="179" t="s">
        <v>428</v>
      </c>
      <c r="BMJ111" s="180" t="str">
        <f>VLOOKUP(BMI111,[13]AssetDetails_UEM!$A$3:$AH$1849,6,FALSE)</f>
        <v>Electrosurgical Units, Monopolar/Bipolar</v>
      </c>
      <c r="BMK111" s="179" t="s">
        <v>428</v>
      </c>
      <c r="BML111" s="180" t="str">
        <f>VLOOKUP(BMK111,[13]AssetDetails_UEM!$A$3:$AH$1849,6,FALSE)</f>
        <v>Electrosurgical Units, Monopolar/Bipolar</v>
      </c>
      <c r="BMM111" s="179" t="s">
        <v>428</v>
      </c>
      <c r="BMN111" s="180" t="str">
        <f>VLOOKUP(BMM111,[13]AssetDetails_UEM!$A$3:$AH$1849,6,FALSE)</f>
        <v>Electrosurgical Units, Monopolar/Bipolar</v>
      </c>
      <c r="BMO111" s="179" t="s">
        <v>428</v>
      </c>
      <c r="BMP111" s="180" t="str">
        <f>VLOOKUP(BMO111,[13]AssetDetails_UEM!$A$3:$AH$1849,6,FALSE)</f>
        <v>Electrosurgical Units, Monopolar/Bipolar</v>
      </c>
      <c r="BMQ111" s="179" t="s">
        <v>428</v>
      </c>
      <c r="BMR111" s="180" t="str">
        <f>VLOOKUP(BMQ111,[13]AssetDetails_UEM!$A$3:$AH$1849,6,FALSE)</f>
        <v>Electrosurgical Units, Monopolar/Bipolar</v>
      </c>
      <c r="BMS111" s="179" t="s">
        <v>428</v>
      </c>
      <c r="BMT111" s="180" t="str">
        <f>VLOOKUP(BMS111,[13]AssetDetails_UEM!$A$3:$AH$1849,6,FALSE)</f>
        <v>Electrosurgical Units, Monopolar/Bipolar</v>
      </c>
      <c r="BMU111" s="179" t="s">
        <v>428</v>
      </c>
      <c r="BMV111" s="180" t="str">
        <f>VLOOKUP(BMU111,[13]AssetDetails_UEM!$A$3:$AH$1849,6,FALSE)</f>
        <v>Electrosurgical Units, Monopolar/Bipolar</v>
      </c>
      <c r="BMW111" s="179" t="s">
        <v>428</v>
      </c>
      <c r="BMX111" s="180" t="str">
        <f>VLOOKUP(BMW111,[13]AssetDetails_UEM!$A$3:$AH$1849,6,FALSE)</f>
        <v>Electrosurgical Units, Monopolar/Bipolar</v>
      </c>
      <c r="BMY111" s="179" t="s">
        <v>428</v>
      </c>
      <c r="BMZ111" s="180" t="str">
        <f>VLOOKUP(BMY111,[13]AssetDetails_UEM!$A$3:$AH$1849,6,FALSE)</f>
        <v>Electrosurgical Units, Monopolar/Bipolar</v>
      </c>
      <c r="BNA111" s="179" t="s">
        <v>428</v>
      </c>
      <c r="BNB111" s="180" t="str">
        <f>VLOOKUP(BNA111,[13]AssetDetails_UEM!$A$3:$AH$1849,6,FALSE)</f>
        <v>Electrosurgical Units, Monopolar/Bipolar</v>
      </c>
      <c r="BNC111" s="179" t="s">
        <v>428</v>
      </c>
      <c r="BND111" s="180" t="str">
        <f>VLOOKUP(BNC111,[13]AssetDetails_UEM!$A$3:$AH$1849,6,FALSE)</f>
        <v>Electrosurgical Units, Monopolar/Bipolar</v>
      </c>
      <c r="BNE111" s="179" t="s">
        <v>428</v>
      </c>
      <c r="BNF111" s="180" t="str">
        <f>VLOOKUP(BNE111,[13]AssetDetails_UEM!$A$3:$AH$1849,6,FALSE)</f>
        <v>Electrosurgical Units, Monopolar/Bipolar</v>
      </c>
      <c r="BNG111" s="179" t="s">
        <v>428</v>
      </c>
      <c r="BNH111" s="180" t="str">
        <f>VLOOKUP(BNG111,[13]AssetDetails_UEM!$A$3:$AH$1849,6,FALSE)</f>
        <v>Electrosurgical Units, Monopolar/Bipolar</v>
      </c>
      <c r="BNI111" s="179" t="s">
        <v>428</v>
      </c>
      <c r="BNJ111" s="180" t="str">
        <f>VLOOKUP(BNI111,[13]AssetDetails_UEM!$A$3:$AH$1849,6,FALSE)</f>
        <v>Electrosurgical Units, Monopolar/Bipolar</v>
      </c>
      <c r="BNK111" s="179" t="s">
        <v>428</v>
      </c>
      <c r="BNL111" s="180" t="str">
        <f>VLOOKUP(BNK111,[13]AssetDetails_UEM!$A$3:$AH$1849,6,FALSE)</f>
        <v>Electrosurgical Units, Monopolar/Bipolar</v>
      </c>
      <c r="BNM111" s="179" t="s">
        <v>428</v>
      </c>
      <c r="BNN111" s="180" t="str">
        <f>VLOOKUP(BNM111,[13]AssetDetails_UEM!$A$3:$AH$1849,6,FALSE)</f>
        <v>Electrosurgical Units, Monopolar/Bipolar</v>
      </c>
      <c r="BNO111" s="179" t="s">
        <v>428</v>
      </c>
      <c r="BNP111" s="180" t="str">
        <f>VLOOKUP(BNO111,[13]AssetDetails_UEM!$A$3:$AH$1849,6,FALSE)</f>
        <v>Electrosurgical Units, Monopolar/Bipolar</v>
      </c>
      <c r="BNQ111" s="179" t="s">
        <v>428</v>
      </c>
      <c r="BNR111" s="180" t="str">
        <f>VLOOKUP(BNQ111,[13]AssetDetails_UEM!$A$3:$AH$1849,6,FALSE)</f>
        <v>Electrosurgical Units, Monopolar/Bipolar</v>
      </c>
      <c r="BNS111" s="179" t="s">
        <v>428</v>
      </c>
      <c r="BNT111" s="180" t="str">
        <f>VLOOKUP(BNS111,[13]AssetDetails_UEM!$A$3:$AH$1849,6,FALSE)</f>
        <v>Electrosurgical Units, Monopolar/Bipolar</v>
      </c>
      <c r="BNU111" s="179" t="s">
        <v>428</v>
      </c>
      <c r="BNV111" s="180" t="str">
        <f>VLOOKUP(BNU111,[13]AssetDetails_UEM!$A$3:$AH$1849,6,FALSE)</f>
        <v>Electrosurgical Units, Monopolar/Bipolar</v>
      </c>
      <c r="BNW111" s="179" t="s">
        <v>428</v>
      </c>
      <c r="BNX111" s="180" t="str">
        <f>VLOOKUP(BNW111,[13]AssetDetails_UEM!$A$3:$AH$1849,6,FALSE)</f>
        <v>Electrosurgical Units, Monopolar/Bipolar</v>
      </c>
      <c r="BNY111" s="179" t="s">
        <v>428</v>
      </c>
      <c r="BNZ111" s="180" t="str">
        <f>VLOOKUP(BNY111,[13]AssetDetails_UEM!$A$3:$AH$1849,6,FALSE)</f>
        <v>Electrosurgical Units, Monopolar/Bipolar</v>
      </c>
      <c r="BOA111" s="179" t="s">
        <v>428</v>
      </c>
      <c r="BOB111" s="180" t="str">
        <f>VLOOKUP(BOA111,[13]AssetDetails_UEM!$A$3:$AH$1849,6,FALSE)</f>
        <v>Electrosurgical Units, Monopolar/Bipolar</v>
      </c>
      <c r="BOC111" s="179" t="s">
        <v>428</v>
      </c>
      <c r="BOD111" s="180" t="str">
        <f>VLOOKUP(BOC111,[13]AssetDetails_UEM!$A$3:$AH$1849,6,FALSE)</f>
        <v>Electrosurgical Units, Monopolar/Bipolar</v>
      </c>
      <c r="BOE111" s="179" t="s">
        <v>428</v>
      </c>
      <c r="BOF111" s="180" t="str">
        <f>VLOOKUP(BOE111,[13]AssetDetails_UEM!$A$3:$AH$1849,6,FALSE)</f>
        <v>Electrosurgical Units, Monopolar/Bipolar</v>
      </c>
      <c r="BOG111" s="179" t="s">
        <v>428</v>
      </c>
      <c r="BOH111" s="180" t="str">
        <f>VLOOKUP(BOG111,[13]AssetDetails_UEM!$A$3:$AH$1849,6,FALSE)</f>
        <v>Electrosurgical Units, Monopolar/Bipolar</v>
      </c>
      <c r="BOI111" s="179" t="s">
        <v>428</v>
      </c>
      <c r="BOJ111" s="180" t="str">
        <f>VLOOKUP(BOI111,[13]AssetDetails_UEM!$A$3:$AH$1849,6,FALSE)</f>
        <v>Electrosurgical Units, Monopolar/Bipolar</v>
      </c>
      <c r="BOK111" s="179" t="s">
        <v>428</v>
      </c>
      <c r="BOL111" s="180" t="str">
        <f>VLOOKUP(BOK111,[13]AssetDetails_UEM!$A$3:$AH$1849,6,FALSE)</f>
        <v>Electrosurgical Units, Monopolar/Bipolar</v>
      </c>
      <c r="BOM111" s="179" t="s">
        <v>428</v>
      </c>
      <c r="BON111" s="180" t="str">
        <f>VLOOKUP(BOM111,[13]AssetDetails_UEM!$A$3:$AH$1849,6,FALSE)</f>
        <v>Electrosurgical Units, Monopolar/Bipolar</v>
      </c>
      <c r="BOO111" s="179" t="s">
        <v>428</v>
      </c>
      <c r="BOP111" s="180" t="str">
        <f>VLOOKUP(BOO111,[13]AssetDetails_UEM!$A$3:$AH$1849,6,FALSE)</f>
        <v>Electrosurgical Units, Monopolar/Bipolar</v>
      </c>
      <c r="BOQ111" s="179" t="s">
        <v>428</v>
      </c>
      <c r="BOR111" s="180" t="str">
        <f>VLOOKUP(BOQ111,[13]AssetDetails_UEM!$A$3:$AH$1849,6,FALSE)</f>
        <v>Electrosurgical Units, Monopolar/Bipolar</v>
      </c>
      <c r="BOS111" s="179" t="s">
        <v>428</v>
      </c>
      <c r="BOT111" s="180" t="str">
        <f>VLOOKUP(BOS111,[13]AssetDetails_UEM!$A$3:$AH$1849,6,FALSE)</f>
        <v>Electrosurgical Units, Monopolar/Bipolar</v>
      </c>
      <c r="BOU111" s="179" t="s">
        <v>428</v>
      </c>
      <c r="BOV111" s="180" t="str">
        <f>VLOOKUP(BOU111,[13]AssetDetails_UEM!$A$3:$AH$1849,6,FALSE)</f>
        <v>Electrosurgical Units, Monopolar/Bipolar</v>
      </c>
      <c r="BOW111" s="179" t="s">
        <v>428</v>
      </c>
      <c r="BOX111" s="180" t="str">
        <f>VLOOKUP(BOW111,[13]AssetDetails_UEM!$A$3:$AH$1849,6,FALSE)</f>
        <v>Electrosurgical Units, Monopolar/Bipolar</v>
      </c>
      <c r="BOY111" s="179" t="s">
        <v>428</v>
      </c>
      <c r="BOZ111" s="180" t="str">
        <f>VLOOKUP(BOY111,[13]AssetDetails_UEM!$A$3:$AH$1849,6,FALSE)</f>
        <v>Electrosurgical Units, Monopolar/Bipolar</v>
      </c>
      <c r="BPA111" s="179" t="s">
        <v>428</v>
      </c>
      <c r="BPB111" s="180" t="str">
        <f>VLOOKUP(BPA111,[13]AssetDetails_UEM!$A$3:$AH$1849,6,FALSE)</f>
        <v>Electrosurgical Units, Monopolar/Bipolar</v>
      </c>
      <c r="BPC111" s="179" t="s">
        <v>428</v>
      </c>
      <c r="BPD111" s="180" t="str">
        <f>VLOOKUP(BPC111,[13]AssetDetails_UEM!$A$3:$AH$1849,6,FALSE)</f>
        <v>Electrosurgical Units, Monopolar/Bipolar</v>
      </c>
      <c r="BPE111" s="179" t="s">
        <v>428</v>
      </c>
      <c r="BPF111" s="180" t="str">
        <f>VLOOKUP(BPE111,[13]AssetDetails_UEM!$A$3:$AH$1849,6,FALSE)</f>
        <v>Electrosurgical Units, Monopolar/Bipolar</v>
      </c>
      <c r="BPG111" s="179" t="s">
        <v>428</v>
      </c>
      <c r="BPH111" s="180" t="str">
        <f>VLOOKUP(BPG111,[13]AssetDetails_UEM!$A$3:$AH$1849,6,FALSE)</f>
        <v>Electrosurgical Units, Monopolar/Bipolar</v>
      </c>
      <c r="BPI111" s="179" t="s">
        <v>428</v>
      </c>
      <c r="BPJ111" s="180" t="str">
        <f>VLOOKUP(BPI111,[13]AssetDetails_UEM!$A$3:$AH$1849,6,FALSE)</f>
        <v>Electrosurgical Units, Monopolar/Bipolar</v>
      </c>
      <c r="BPK111" s="179" t="s">
        <v>428</v>
      </c>
      <c r="BPL111" s="180" t="str">
        <f>VLOOKUP(BPK111,[13]AssetDetails_UEM!$A$3:$AH$1849,6,FALSE)</f>
        <v>Electrosurgical Units, Monopolar/Bipolar</v>
      </c>
      <c r="BPM111" s="179" t="s">
        <v>428</v>
      </c>
      <c r="BPN111" s="180" t="str">
        <f>VLOOKUP(BPM111,[13]AssetDetails_UEM!$A$3:$AH$1849,6,FALSE)</f>
        <v>Electrosurgical Units, Monopolar/Bipolar</v>
      </c>
      <c r="BPO111" s="179" t="s">
        <v>428</v>
      </c>
      <c r="BPP111" s="180" t="str">
        <f>VLOOKUP(BPO111,[13]AssetDetails_UEM!$A$3:$AH$1849,6,FALSE)</f>
        <v>Electrosurgical Units, Monopolar/Bipolar</v>
      </c>
      <c r="BPQ111" s="179" t="s">
        <v>428</v>
      </c>
      <c r="BPR111" s="180" t="str">
        <f>VLOOKUP(BPQ111,[13]AssetDetails_UEM!$A$3:$AH$1849,6,FALSE)</f>
        <v>Electrosurgical Units, Monopolar/Bipolar</v>
      </c>
      <c r="BPS111" s="179" t="s">
        <v>428</v>
      </c>
      <c r="BPT111" s="180" t="str">
        <f>VLOOKUP(BPS111,[13]AssetDetails_UEM!$A$3:$AH$1849,6,FALSE)</f>
        <v>Electrosurgical Units, Monopolar/Bipolar</v>
      </c>
      <c r="BPU111" s="179" t="s">
        <v>428</v>
      </c>
      <c r="BPV111" s="180" t="str">
        <f>VLOOKUP(BPU111,[13]AssetDetails_UEM!$A$3:$AH$1849,6,FALSE)</f>
        <v>Electrosurgical Units, Monopolar/Bipolar</v>
      </c>
      <c r="BPW111" s="179" t="s">
        <v>428</v>
      </c>
      <c r="BPX111" s="180" t="str">
        <f>VLOOKUP(BPW111,[13]AssetDetails_UEM!$A$3:$AH$1849,6,FALSE)</f>
        <v>Electrosurgical Units, Monopolar/Bipolar</v>
      </c>
      <c r="BPY111" s="179" t="s">
        <v>428</v>
      </c>
      <c r="BPZ111" s="180" t="str">
        <f>VLOOKUP(BPY111,[13]AssetDetails_UEM!$A$3:$AH$1849,6,FALSE)</f>
        <v>Electrosurgical Units, Monopolar/Bipolar</v>
      </c>
      <c r="BQA111" s="179" t="s">
        <v>428</v>
      </c>
      <c r="BQB111" s="180" t="str">
        <f>VLOOKUP(BQA111,[13]AssetDetails_UEM!$A$3:$AH$1849,6,FALSE)</f>
        <v>Electrosurgical Units, Monopolar/Bipolar</v>
      </c>
      <c r="BQC111" s="179" t="s">
        <v>428</v>
      </c>
      <c r="BQD111" s="180" t="str">
        <f>VLOOKUP(BQC111,[13]AssetDetails_UEM!$A$3:$AH$1849,6,FALSE)</f>
        <v>Electrosurgical Units, Monopolar/Bipolar</v>
      </c>
      <c r="BQE111" s="179" t="s">
        <v>428</v>
      </c>
      <c r="BQF111" s="180" t="str">
        <f>VLOOKUP(BQE111,[13]AssetDetails_UEM!$A$3:$AH$1849,6,FALSE)</f>
        <v>Electrosurgical Units, Monopolar/Bipolar</v>
      </c>
      <c r="BQG111" s="179" t="s">
        <v>428</v>
      </c>
      <c r="BQH111" s="180" t="str">
        <f>VLOOKUP(BQG111,[13]AssetDetails_UEM!$A$3:$AH$1849,6,FALSE)</f>
        <v>Electrosurgical Units, Monopolar/Bipolar</v>
      </c>
      <c r="BQI111" s="179" t="s">
        <v>428</v>
      </c>
      <c r="BQJ111" s="180" t="str">
        <f>VLOOKUP(BQI111,[13]AssetDetails_UEM!$A$3:$AH$1849,6,FALSE)</f>
        <v>Electrosurgical Units, Monopolar/Bipolar</v>
      </c>
      <c r="BQK111" s="179" t="s">
        <v>428</v>
      </c>
      <c r="BQL111" s="180" t="str">
        <f>VLOOKUP(BQK111,[13]AssetDetails_UEM!$A$3:$AH$1849,6,FALSE)</f>
        <v>Electrosurgical Units, Monopolar/Bipolar</v>
      </c>
      <c r="BQM111" s="179" t="s">
        <v>428</v>
      </c>
      <c r="BQN111" s="180" t="str">
        <f>VLOOKUP(BQM111,[13]AssetDetails_UEM!$A$3:$AH$1849,6,FALSE)</f>
        <v>Electrosurgical Units, Monopolar/Bipolar</v>
      </c>
      <c r="BQO111" s="179" t="s">
        <v>428</v>
      </c>
      <c r="BQP111" s="180" t="str">
        <f>VLOOKUP(BQO111,[13]AssetDetails_UEM!$A$3:$AH$1849,6,FALSE)</f>
        <v>Electrosurgical Units, Monopolar/Bipolar</v>
      </c>
      <c r="BQQ111" s="179" t="s">
        <v>428</v>
      </c>
      <c r="BQR111" s="180" t="str">
        <f>VLOOKUP(BQQ111,[13]AssetDetails_UEM!$A$3:$AH$1849,6,FALSE)</f>
        <v>Electrosurgical Units, Monopolar/Bipolar</v>
      </c>
      <c r="BQS111" s="179" t="s">
        <v>428</v>
      </c>
      <c r="BQT111" s="180" t="str">
        <f>VLOOKUP(BQS111,[13]AssetDetails_UEM!$A$3:$AH$1849,6,FALSE)</f>
        <v>Electrosurgical Units, Monopolar/Bipolar</v>
      </c>
      <c r="BQU111" s="179" t="s">
        <v>428</v>
      </c>
      <c r="BQV111" s="180" t="str">
        <f>VLOOKUP(BQU111,[13]AssetDetails_UEM!$A$3:$AH$1849,6,FALSE)</f>
        <v>Electrosurgical Units, Monopolar/Bipolar</v>
      </c>
      <c r="BQW111" s="179" t="s">
        <v>428</v>
      </c>
      <c r="BQX111" s="180" t="str">
        <f>VLOOKUP(BQW111,[13]AssetDetails_UEM!$A$3:$AH$1849,6,FALSE)</f>
        <v>Electrosurgical Units, Monopolar/Bipolar</v>
      </c>
      <c r="BQY111" s="179" t="s">
        <v>428</v>
      </c>
      <c r="BQZ111" s="180" t="str">
        <f>VLOOKUP(BQY111,[13]AssetDetails_UEM!$A$3:$AH$1849,6,FALSE)</f>
        <v>Electrosurgical Units, Monopolar/Bipolar</v>
      </c>
      <c r="BRA111" s="179" t="s">
        <v>428</v>
      </c>
      <c r="BRB111" s="180" t="str">
        <f>VLOOKUP(BRA111,[13]AssetDetails_UEM!$A$3:$AH$1849,6,FALSE)</f>
        <v>Electrosurgical Units, Monopolar/Bipolar</v>
      </c>
      <c r="BRC111" s="179" t="s">
        <v>428</v>
      </c>
      <c r="BRD111" s="180" t="str">
        <f>VLOOKUP(BRC111,[13]AssetDetails_UEM!$A$3:$AH$1849,6,FALSE)</f>
        <v>Electrosurgical Units, Monopolar/Bipolar</v>
      </c>
      <c r="BRE111" s="179" t="s">
        <v>428</v>
      </c>
      <c r="BRF111" s="180" t="str">
        <f>VLOOKUP(BRE111,[13]AssetDetails_UEM!$A$3:$AH$1849,6,FALSE)</f>
        <v>Electrosurgical Units, Monopolar/Bipolar</v>
      </c>
      <c r="BRG111" s="179" t="s">
        <v>428</v>
      </c>
      <c r="BRH111" s="180" t="str">
        <f>VLOOKUP(BRG111,[13]AssetDetails_UEM!$A$3:$AH$1849,6,FALSE)</f>
        <v>Electrosurgical Units, Monopolar/Bipolar</v>
      </c>
      <c r="BRI111" s="179" t="s">
        <v>428</v>
      </c>
      <c r="BRJ111" s="180" t="str">
        <f>VLOOKUP(BRI111,[13]AssetDetails_UEM!$A$3:$AH$1849,6,FALSE)</f>
        <v>Electrosurgical Units, Monopolar/Bipolar</v>
      </c>
      <c r="BRK111" s="179" t="s">
        <v>428</v>
      </c>
      <c r="BRL111" s="180" t="str">
        <f>VLOOKUP(BRK111,[13]AssetDetails_UEM!$A$3:$AH$1849,6,FALSE)</f>
        <v>Electrosurgical Units, Monopolar/Bipolar</v>
      </c>
      <c r="BRM111" s="179" t="s">
        <v>428</v>
      </c>
      <c r="BRN111" s="180" t="str">
        <f>VLOOKUP(BRM111,[13]AssetDetails_UEM!$A$3:$AH$1849,6,FALSE)</f>
        <v>Electrosurgical Units, Monopolar/Bipolar</v>
      </c>
      <c r="BRO111" s="179" t="s">
        <v>428</v>
      </c>
      <c r="BRP111" s="180" t="str">
        <f>VLOOKUP(BRO111,[13]AssetDetails_UEM!$A$3:$AH$1849,6,FALSE)</f>
        <v>Electrosurgical Units, Monopolar/Bipolar</v>
      </c>
      <c r="BRQ111" s="179" t="s">
        <v>428</v>
      </c>
      <c r="BRR111" s="180" t="str">
        <f>VLOOKUP(BRQ111,[13]AssetDetails_UEM!$A$3:$AH$1849,6,FALSE)</f>
        <v>Electrosurgical Units, Monopolar/Bipolar</v>
      </c>
      <c r="BRS111" s="179" t="s">
        <v>428</v>
      </c>
      <c r="BRT111" s="180" t="str">
        <f>VLOOKUP(BRS111,[13]AssetDetails_UEM!$A$3:$AH$1849,6,FALSE)</f>
        <v>Electrosurgical Units, Monopolar/Bipolar</v>
      </c>
      <c r="BRU111" s="179" t="s">
        <v>428</v>
      </c>
      <c r="BRV111" s="180" t="str">
        <f>VLOOKUP(BRU111,[13]AssetDetails_UEM!$A$3:$AH$1849,6,FALSE)</f>
        <v>Electrosurgical Units, Monopolar/Bipolar</v>
      </c>
      <c r="BRW111" s="179" t="s">
        <v>428</v>
      </c>
      <c r="BRX111" s="180" t="str">
        <f>VLOOKUP(BRW111,[13]AssetDetails_UEM!$A$3:$AH$1849,6,FALSE)</f>
        <v>Electrosurgical Units, Monopolar/Bipolar</v>
      </c>
      <c r="BRY111" s="179" t="s">
        <v>428</v>
      </c>
      <c r="BRZ111" s="180" t="str">
        <f>VLOOKUP(BRY111,[13]AssetDetails_UEM!$A$3:$AH$1849,6,FALSE)</f>
        <v>Electrosurgical Units, Monopolar/Bipolar</v>
      </c>
      <c r="BSA111" s="179" t="s">
        <v>428</v>
      </c>
      <c r="BSB111" s="180" t="str">
        <f>VLOOKUP(BSA111,[13]AssetDetails_UEM!$A$3:$AH$1849,6,FALSE)</f>
        <v>Electrosurgical Units, Monopolar/Bipolar</v>
      </c>
      <c r="BSC111" s="179" t="s">
        <v>428</v>
      </c>
      <c r="BSD111" s="180" t="str">
        <f>VLOOKUP(BSC111,[13]AssetDetails_UEM!$A$3:$AH$1849,6,FALSE)</f>
        <v>Electrosurgical Units, Monopolar/Bipolar</v>
      </c>
      <c r="BSE111" s="179" t="s">
        <v>428</v>
      </c>
      <c r="BSF111" s="180" t="str">
        <f>VLOOKUP(BSE111,[13]AssetDetails_UEM!$A$3:$AH$1849,6,FALSE)</f>
        <v>Electrosurgical Units, Monopolar/Bipolar</v>
      </c>
      <c r="BSG111" s="179" t="s">
        <v>428</v>
      </c>
      <c r="BSH111" s="180" t="str">
        <f>VLOOKUP(BSG111,[13]AssetDetails_UEM!$A$3:$AH$1849,6,FALSE)</f>
        <v>Electrosurgical Units, Monopolar/Bipolar</v>
      </c>
      <c r="BSI111" s="179" t="s">
        <v>428</v>
      </c>
      <c r="BSJ111" s="180" t="str">
        <f>VLOOKUP(BSI111,[13]AssetDetails_UEM!$A$3:$AH$1849,6,FALSE)</f>
        <v>Electrosurgical Units, Monopolar/Bipolar</v>
      </c>
      <c r="BSK111" s="179" t="s">
        <v>428</v>
      </c>
      <c r="BSL111" s="180" t="str">
        <f>VLOOKUP(BSK111,[13]AssetDetails_UEM!$A$3:$AH$1849,6,FALSE)</f>
        <v>Electrosurgical Units, Monopolar/Bipolar</v>
      </c>
      <c r="BSM111" s="179" t="s">
        <v>428</v>
      </c>
      <c r="BSN111" s="180" t="str">
        <f>VLOOKUP(BSM111,[13]AssetDetails_UEM!$A$3:$AH$1849,6,FALSE)</f>
        <v>Electrosurgical Units, Monopolar/Bipolar</v>
      </c>
      <c r="BSO111" s="179" t="s">
        <v>428</v>
      </c>
      <c r="BSP111" s="180" t="str">
        <f>VLOOKUP(BSO111,[13]AssetDetails_UEM!$A$3:$AH$1849,6,FALSE)</f>
        <v>Electrosurgical Units, Monopolar/Bipolar</v>
      </c>
      <c r="BSQ111" s="179" t="s">
        <v>428</v>
      </c>
      <c r="BSR111" s="180" t="str">
        <f>VLOOKUP(BSQ111,[13]AssetDetails_UEM!$A$3:$AH$1849,6,FALSE)</f>
        <v>Electrosurgical Units, Monopolar/Bipolar</v>
      </c>
      <c r="BSS111" s="179" t="s">
        <v>428</v>
      </c>
      <c r="BST111" s="180" t="str">
        <f>VLOOKUP(BSS111,[13]AssetDetails_UEM!$A$3:$AH$1849,6,FALSE)</f>
        <v>Electrosurgical Units, Monopolar/Bipolar</v>
      </c>
      <c r="BSU111" s="179" t="s">
        <v>428</v>
      </c>
      <c r="BSV111" s="180" t="str">
        <f>VLOOKUP(BSU111,[13]AssetDetails_UEM!$A$3:$AH$1849,6,FALSE)</f>
        <v>Electrosurgical Units, Monopolar/Bipolar</v>
      </c>
      <c r="BSW111" s="179" t="s">
        <v>428</v>
      </c>
      <c r="BSX111" s="180" t="str">
        <f>VLOOKUP(BSW111,[13]AssetDetails_UEM!$A$3:$AH$1849,6,FALSE)</f>
        <v>Electrosurgical Units, Monopolar/Bipolar</v>
      </c>
      <c r="BSY111" s="179" t="s">
        <v>428</v>
      </c>
      <c r="BSZ111" s="180" t="str">
        <f>VLOOKUP(BSY111,[13]AssetDetails_UEM!$A$3:$AH$1849,6,FALSE)</f>
        <v>Electrosurgical Units, Monopolar/Bipolar</v>
      </c>
      <c r="BTA111" s="179" t="s">
        <v>428</v>
      </c>
      <c r="BTB111" s="180" t="str">
        <f>VLOOKUP(BTA111,[13]AssetDetails_UEM!$A$3:$AH$1849,6,FALSE)</f>
        <v>Electrosurgical Units, Monopolar/Bipolar</v>
      </c>
      <c r="BTC111" s="179" t="s">
        <v>428</v>
      </c>
      <c r="BTD111" s="180" t="str">
        <f>VLOOKUP(BTC111,[13]AssetDetails_UEM!$A$3:$AH$1849,6,FALSE)</f>
        <v>Electrosurgical Units, Monopolar/Bipolar</v>
      </c>
      <c r="BTE111" s="179" t="s">
        <v>428</v>
      </c>
      <c r="BTF111" s="180" t="str">
        <f>VLOOKUP(BTE111,[13]AssetDetails_UEM!$A$3:$AH$1849,6,FALSE)</f>
        <v>Electrosurgical Units, Monopolar/Bipolar</v>
      </c>
      <c r="BTG111" s="179" t="s">
        <v>428</v>
      </c>
      <c r="BTH111" s="180" t="str">
        <f>VLOOKUP(BTG111,[13]AssetDetails_UEM!$A$3:$AH$1849,6,FALSE)</f>
        <v>Electrosurgical Units, Monopolar/Bipolar</v>
      </c>
      <c r="BTI111" s="179" t="s">
        <v>428</v>
      </c>
      <c r="BTJ111" s="180" t="str">
        <f>VLOOKUP(BTI111,[13]AssetDetails_UEM!$A$3:$AH$1849,6,FALSE)</f>
        <v>Electrosurgical Units, Monopolar/Bipolar</v>
      </c>
      <c r="BTK111" s="179" t="s">
        <v>428</v>
      </c>
      <c r="BTL111" s="180" t="str">
        <f>VLOOKUP(BTK111,[13]AssetDetails_UEM!$A$3:$AH$1849,6,FALSE)</f>
        <v>Electrosurgical Units, Monopolar/Bipolar</v>
      </c>
      <c r="BTM111" s="179" t="s">
        <v>428</v>
      </c>
      <c r="BTN111" s="180" t="str">
        <f>VLOOKUP(BTM111,[13]AssetDetails_UEM!$A$3:$AH$1849,6,FALSE)</f>
        <v>Electrosurgical Units, Monopolar/Bipolar</v>
      </c>
      <c r="BTO111" s="179" t="s">
        <v>428</v>
      </c>
      <c r="BTP111" s="180" t="str">
        <f>VLOOKUP(BTO111,[13]AssetDetails_UEM!$A$3:$AH$1849,6,FALSE)</f>
        <v>Electrosurgical Units, Monopolar/Bipolar</v>
      </c>
      <c r="BTQ111" s="179" t="s">
        <v>428</v>
      </c>
      <c r="BTR111" s="180" t="str">
        <f>VLOOKUP(BTQ111,[13]AssetDetails_UEM!$A$3:$AH$1849,6,FALSE)</f>
        <v>Electrosurgical Units, Monopolar/Bipolar</v>
      </c>
      <c r="BTS111" s="179" t="s">
        <v>428</v>
      </c>
      <c r="BTT111" s="180" t="str">
        <f>VLOOKUP(BTS111,[13]AssetDetails_UEM!$A$3:$AH$1849,6,FALSE)</f>
        <v>Electrosurgical Units, Monopolar/Bipolar</v>
      </c>
      <c r="BTU111" s="179" t="s">
        <v>428</v>
      </c>
      <c r="BTV111" s="180" t="str">
        <f>VLOOKUP(BTU111,[13]AssetDetails_UEM!$A$3:$AH$1849,6,FALSE)</f>
        <v>Electrosurgical Units, Monopolar/Bipolar</v>
      </c>
      <c r="BTW111" s="179" t="s">
        <v>428</v>
      </c>
      <c r="BTX111" s="180" t="str">
        <f>VLOOKUP(BTW111,[13]AssetDetails_UEM!$A$3:$AH$1849,6,FALSE)</f>
        <v>Electrosurgical Units, Monopolar/Bipolar</v>
      </c>
      <c r="BTY111" s="179" t="s">
        <v>428</v>
      </c>
      <c r="BTZ111" s="180" t="str">
        <f>VLOOKUP(BTY111,[13]AssetDetails_UEM!$A$3:$AH$1849,6,FALSE)</f>
        <v>Electrosurgical Units, Monopolar/Bipolar</v>
      </c>
      <c r="BUA111" s="179" t="s">
        <v>428</v>
      </c>
      <c r="BUB111" s="180" t="str">
        <f>VLOOKUP(BUA111,[13]AssetDetails_UEM!$A$3:$AH$1849,6,FALSE)</f>
        <v>Electrosurgical Units, Monopolar/Bipolar</v>
      </c>
      <c r="BUC111" s="179" t="s">
        <v>428</v>
      </c>
      <c r="BUD111" s="180" t="str">
        <f>VLOOKUP(BUC111,[13]AssetDetails_UEM!$A$3:$AH$1849,6,FALSE)</f>
        <v>Electrosurgical Units, Monopolar/Bipolar</v>
      </c>
      <c r="BUE111" s="179" t="s">
        <v>428</v>
      </c>
      <c r="BUF111" s="180" t="str">
        <f>VLOOKUP(BUE111,[13]AssetDetails_UEM!$A$3:$AH$1849,6,FALSE)</f>
        <v>Electrosurgical Units, Monopolar/Bipolar</v>
      </c>
      <c r="BUG111" s="179" t="s">
        <v>428</v>
      </c>
      <c r="BUH111" s="180" t="str">
        <f>VLOOKUP(BUG111,[13]AssetDetails_UEM!$A$3:$AH$1849,6,FALSE)</f>
        <v>Electrosurgical Units, Monopolar/Bipolar</v>
      </c>
      <c r="BUI111" s="179" t="s">
        <v>428</v>
      </c>
      <c r="BUJ111" s="180" t="str">
        <f>VLOOKUP(BUI111,[13]AssetDetails_UEM!$A$3:$AH$1849,6,FALSE)</f>
        <v>Electrosurgical Units, Monopolar/Bipolar</v>
      </c>
      <c r="BUK111" s="179" t="s">
        <v>428</v>
      </c>
      <c r="BUL111" s="180" t="str">
        <f>VLOOKUP(BUK111,[13]AssetDetails_UEM!$A$3:$AH$1849,6,FALSE)</f>
        <v>Electrosurgical Units, Monopolar/Bipolar</v>
      </c>
      <c r="BUM111" s="179" t="s">
        <v>428</v>
      </c>
      <c r="BUN111" s="180" t="str">
        <f>VLOOKUP(BUM111,[13]AssetDetails_UEM!$A$3:$AH$1849,6,FALSE)</f>
        <v>Electrosurgical Units, Monopolar/Bipolar</v>
      </c>
      <c r="BUO111" s="179" t="s">
        <v>428</v>
      </c>
      <c r="BUP111" s="180" t="str">
        <f>VLOOKUP(BUO111,[13]AssetDetails_UEM!$A$3:$AH$1849,6,FALSE)</f>
        <v>Electrosurgical Units, Monopolar/Bipolar</v>
      </c>
      <c r="BUQ111" s="179" t="s">
        <v>428</v>
      </c>
      <c r="BUR111" s="180" t="str">
        <f>VLOOKUP(BUQ111,[13]AssetDetails_UEM!$A$3:$AH$1849,6,FALSE)</f>
        <v>Electrosurgical Units, Monopolar/Bipolar</v>
      </c>
      <c r="BUS111" s="179" t="s">
        <v>428</v>
      </c>
      <c r="BUT111" s="180" t="str">
        <f>VLOOKUP(BUS111,[13]AssetDetails_UEM!$A$3:$AH$1849,6,FALSE)</f>
        <v>Electrosurgical Units, Monopolar/Bipolar</v>
      </c>
      <c r="BUU111" s="179" t="s">
        <v>428</v>
      </c>
      <c r="BUV111" s="180" t="str">
        <f>VLOOKUP(BUU111,[13]AssetDetails_UEM!$A$3:$AH$1849,6,FALSE)</f>
        <v>Electrosurgical Units, Monopolar/Bipolar</v>
      </c>
      <c r="BUW111" s="179" t="s">
        <v>428</v>
      </c>
      <c r="BUX111" s="180" t="str">
        <f>VLOOKUP(BUW111,[13]AssetDetails_UEM!$A$3:$AH$1849,6,FALSE)</f>
        <v>Electrosurgical Units, Monopolar/Bipolar</v>
      </c>
      <c r="BUY111" s="179" t="s">
        <v>428</v>
      </c>
      <c r="BUZ111" s="180" t="str">
        <f>VLOOKUP(BUY111,[13]AssetDetails_UEM!$A$3:$AH$1849,6,FALSE)</f>
        <v>Electrosurgical Units, Monopolar/Bipolar</v>
      </c>
      <c r="BVA111" s="179" t="s">
        <v>428</v>
      </c>
      <c r="BVB111" s="180" t="str">
        <f>VLOOKUP(BVA111,[13]AssetDetails_UEM!$A$3:$AH$1849,6,FALSE)</f>
        <v>Electrosurgical Units, Monopolar/Bipolar</v>
      </c>
      <c r="BVC111" s="179" t="s">
        <v>428</v>
      </c>
      <c r="BVD111" s="180" t="str">
        <f>VLOOKUP(BVC111,[13]AssetDetails_UEM!$A$3:$AH$1849,6,FALSE)</f>
        <v>Electrosurgical Units, Monopolar/Bipolar</v>
      </c>
      <c r="BVE111" s="179" t="s">
        <v>428</v>
      </c>
      <c r="BVF111" s="180" t="str">
        <f>VLOOKUP(BVE111,[13]AssetDetails_UEM!$A$3:$AH$1849,6,FALSE)</f>
        <v>Electrosurgical Units, Monopolar/Bipolar</v>
      </c>
      <c r="BVG111" s="179" t="s">
        <v>428</v>
      </c>
      <c r="BVH111" s="180" t="str">
        <f>VLOOKUP(BVG111,[13]AssetDetails_UEM!$A$3:$AH$1849,6,FALSE)</f>
        <v>Electrosurgical Units, Monopolar/Bipolar</v>
      </c>
      <c r="BVI111" s="179" t="s">
        <v>428</v>
      </c>
      <c r="BVJ111" s="180" t="str">
        <f>VLOOKUP(BVI111,[13]AssetDetails_UEM!$A$3:$AH$1849,6,FALSE)</f>
        <v>Electrosurgical Units, Monopolar/Bipolar</v>
      </c>
      <c r="BVK111" s="179" t="s">
        <v>428</v>
      </c>
      <c r="BVL111" s="180" t="str">
        <f>VLOOKUP(BVK111,[13]AssetDetails_UEM!$A$3:$AH$1849,6,FALSE)</f>
        <v>Electrosurgical Units, Monopolar/Bipolar</v>
      </c>
      <c r="BVM111" s="179" t="s">
        <v>428</v>
      </c>
      <c r="BVN111" s="180" t="str">
        <f>VLOOKUP(BVM111,[13]AssetDetails_UEM!$A$3:$AH$1849,6,FALSE)</f>
        <v>Electrosurgical Units, Monopolar/Bipolar</v>
      </c>
      <c r="BVO111" s="179" t="s">
        <v>428</v>
      </c>
      <c r="BVP111" s="180" t="str">
        <f>VLOOKUP(BVO111,[13]AssetDetails_UEM!$A$3:$AH$1849,6,FALSE)</f>
        <v>Electrosurgical Units, Monopolar/Bipolar</v>
      </c>
      <c r="BVQ111" s="179" t="s">
        <v>428</v>
      </c>
      <c r="BVR111" s="180" t="str">
        <f>VLOOKUP(BVQ111,[13]AssetDetails_UEM!$A$3:$AH$1849,6,FALSE)</f>
        <v>Electrosurgical Units, Monopolar/Bipolar</v>
      </c>
      <c r="BVS111" s="179" t="s">
        <v>428</v>
      </c>
      <c r="BVT111" s="180" t="str">
        <f>VLOOKUP(BVS111,[13]AssetDetails_UEM!$A$3:$AH$1849,6,FALSE)</f>
        <v>Electrosurgical Units, Monopolar/Bipolar</v>
      </c>
      <c r="BVU111" s="179" t="s">
        <v>428</v>
      </c>
      <c r="BVV111" s="180" t="str">
        <f>VLOOKUP(BVU111,[13]AssetDetails_UEM!$A$3:$AH$1849,6,FALSE)</f>
        <v>Electrosurgical Units, Monopolar/Bipolar</v>
      </c>
      <c r="BVW111" s="179" t="s">
        <v>428</v>
      </c>
      <c r="BVX111" s="180" t="str">
        <f>VLOOKUP(BVW111,[13]AssetDetails_UEM!$A$3:$AH$1849,6,FALSE)</f>
        <v>Electrosurgical Units, Monopolar/Bipolar</v>
      </c>
      <c r="BVY111" s="179" t="s">
        <v>428</v>
      </c>
      <c r="BVZ111" s="180" t="str">
        <f>VLOOKUP(BVY111,[13]AssetDetails_UEM!$A$3:$AH$1849,6,FALSE)</f>
        <v>Electrosurgical Units, Monopolar/Bipolar</v>
      </c>
      <c r="BWA111" s="179" t="s">
        <v>428</v>
      </c>
      <c r="BWB111" s="180" t="str">
        <f>VLOOKUP(BWA111,[13]AssetDetails_UEM!$A$3:$AH$1849,6,FALSE)</f>
        <v>Electrosurgical Units, Monopolar/Bipolar</v>
      </c>
      <c r="BWC111" s="179" t="s">
        <v>428</v>
      </c>
      <c r="BWD111" s="180" t="str">
        <f>VLOOKUP(BWC111,[13]AssetDetails_UEM!$A$3:$AH$1849,6,FALSE)</f>
        <v>Electrosurgical Units, Monopolar/Bipolar</v>
      </c>
      <c r="BWE111" s="179" t="s">
        <v>428</v>
      </c>
      <c r="BWF111" s="180" t="str">
        <f>VLOOKUP(BWE111,[13]AssetDetails_UEM!$A$3:$AH$1849,6,FALSE)</f>
        <v>Electrosurgical Units, Monopolar/Bipolar</v>
      </c>
      <c r="BWG111" s="179" t="s">
        <v>428</v>
      </c>
      <c r="BWH111" s="180" t="str">
        <f>VLOOKUP(BWG111,[13]AssetDetails_UEM!$A$3:$AH$1849,6,FALSE)</f>
        <v>Electrosurgical Units, Monopolar/Bipolar</v>
      </c>
      <c r="BWI111" s="179" t="s">
        <v>428</v>
      </c>
      <c r="BWJ111" s="180" t="str">
        <f>VLOOKUP(BWI111,[13]AssetDetails_UEM!$A$3:$AH$1849,6,FALSE)</f>
        <v>Electrosurgical Units, Monopolar/Bipolar</v>
      </c>
      <c r="BWK111" s="179" t="s">
        <v>428</v>
      </c>
      <c r="BWL111" s="180" t="str">
        <f>VLOOKUP(BWK111,[13]AssetDetails_UEM!$A$3:$AH$1849,6,FALSE)</f>
        <v>Electrosurgical Units, Monopolar/Bipolar</v>
      </c>
      <c r="BWM111" s="179" t="s">
        <v>428</v>
      </c>
      <c r="BWN111" s="180" t="str">
        <f>VLOOKUP(BWM111,[13]AssetDetails_UEM!$A$3:$AH$1849,6,FALSE)</f>
        <v>Electrosurgical Units, Monopolar/Bipolar</v>
      </c>
      <c r="BWO111" s="179" t="s">
        <v>428</v>
      </c>
      <c r="BWP111" s="180" t="str">
        <f>VLOOKUP(BWO111,[13]AssetDetails_UEM!$A$3:$AH$1849,6,FALSE)</f>
        <v>Electrosurgical Units, Monopolar/Bipolar</v>
      </c>
      <c r="BWQ111" s="179" t="s">
        <v>428</v>
      </c>
      <c r="BWR111" s="180" t="str">
        <f>VLOOKUP(BWQ111,[13]AssetDetails_UEM!$A$3:$AH$1849,6,FALSE)</f>
        <v>Electrosurgical Units, Monopolar/Bipolar</v>
      </c>
      <c r="BWS111" s="179" t="s">
        <v>428</v>
      </c>
      <c r="BWT111" s="180" t="str">
        <f>VLOOKUP(BWS111,[13]AssetDetails_UEM!$A$3:$AH$1849,6,FALSE)</f>
        <v>Electrosurgical Units, Monopolar/Bipolar</v>
      </c>
      <c r="BWU111" s="179" t="s">
        <v>428</v>
      </c>
      <c r="BWV111" s="180" t="str">
        <f>VLOOKUP(BWU111,[13]AssetDetails_UEM!$A$3:$AH$1849,6,FALSE)</f>
        <v>Electrosurgical Units, Monopolar/Bipolar</v>
      </c>
      <c r="BWW111" s="179" t="s">
        <v>428</v>
      </c>
      <c r="BWX111" s="180" t="str">
        <f>VLOOKUP(BWW111,[13]AssetDetails_UEM!$A$3:$AH$1849,6,FALSE)</f>
        <v>Electrosurgical Units, Monopolar/Bipolar</v>
      </c>
      <c r="BWY111" s="179" t="s">
        <v>428</v>
      </c>
      <c r="BWZ111" s="180" t="str">
        <f>VLOOKUP(BWY111,[13]AssetDetails_UEM!$A$3:$AH$1849,6,FALSE)</f>
        <v>Electrosurgical Units, Monopolar/Bipolar</v>
      </c>
      <c r="BXA111" s="179" t="s">
        <v>428</v>
      </c>
      <c r="BXB111" s="180" t="str">
        <f>VLOOKUP(BXA111,[13]AssetDetails_UEM!$A$3:$AH$1849,6,FALSE)</f>
        <v>Electrosurgical Units, Monopolar/Bipolar</v>
      </c>
      <c r="BXC111" s="179" t="s">
        <v>428</v>
      </c>
      <c r="BXD111" s="180" t="str">
        <f>VLOOKUP(BXC111,[13]AssetDetails_UEM!$A$3:$AH$1849,6,FALSE)</f>
        <v>Electrosurgical Units, Monopolar/Bipolar</v>
      </c>
      <c r="BXE111" s="179" t="s">
        <v>428</v>
      </c>
      <c r="BXF111" s="180" t="str">
        <f>VLOOKUP(BXE111,[13]AssetDetails_UEM!$A$3:$AH$1849,6,FALSE)</f>
        <v>Electrosurgical Units, Monopolar/Bipolar</v>
      </c>
      <c r="BXG111" s="179" t="s">
        <v>428</v>
      </c>
      <c r="BXH111" s="180" t="str">
        <f>VLOOKUP(BXG111,[13]AssetDetails_UEM!$A$3:$AH$1849,6,FALSE)</f>
        <v>Electrosurgical Units, Monopolar/Bipolar</v>
      </c>
      <c r="BXI111" s="179" t="s">
        <v>428</v>
      </c>
      <c r="BXJ111" s="180" t="str">
        <f>VLOOKUP(BXI111,[13]AssetDetails_UEM!$A$3:$AH$1849,6,FALSE)</f>
        <v>Electrosurgical Units, Monopolar/Bipolar</v>
      </c>
      <c r="BXK111" s="179" t="s">
        <v>428</v>
      </c>
      <c r="BXL111" s="180" t="str">
        <f>VLOOKUP(BXK111,[13]AssetDetails_UEM!$A$3:$AH$1849,6,FALSE)</f>
        <v>Electrosurgical Units, Monopolar/Bipolar</v>
      </c>
      <c r="BXM111" s="179" t="s">
        <v>428</v>
      </c>
      <c r="BXN111" s="180" t="str">
        <f>VLOOKUP(BXM111,[13]AssetDetails_UEM!$A$3:$AH$1849,6,FALSE)</f>
        <v>Electrosurgical Units, Monopolar/Bipolar</v>
      </c>
      <c r="BXO111" s="179" t="s">
        <v>428</v>
      </c>
      <c r="BXP111" s="180" t="str">
        <f>VLOOKUP(BXO111,[13]AssetDetails_UEM!$A$3:$AH$1849,6,FALSE)</f>
        <v>Electrosurgical Units, Monopolar/Bipolar</v>
      </c>
      <c r="BXQ111" s="179" t="s">
        <v>428</v>
      </c>
      <c r="BXR111" s="180" t="str">
        <f>VLOOKUP(BXQ111,[13]AssetDetails_UEM!$A$3:$AH$1849,6,FALSE)</f>
        <v>Electrosurgical Units, Monopolar/Bipolar</v>
      </c>
      <c r="BXS111" s="179" t="s">
        <v>428</v>
      </c>
      <c r="BXT111" s="180" t="str">
        <f>VLOOKUP(BXS111,[13]AssetDetails_UEM!$A$3:$AH$1849,6,FALSE)</f>
        <v>Electrosurgical Units, Monopolar/Bipolar</v>
      </c>
      <c r="BXU111" s="179" t="s">
        <v>428</v>
      </c>
      <c r="BXV111" s="180" t="str">
        <f>VLOOKUP(BXU111,[13]AssetDetails_UEM!$A$3:$AH$1849,6,FALSE)</f>
        <v>Electrosurgical Units, Monopolar/Bipolar</v>
      </c>
      <c r="BXW111" s="179" t="s">
        <v>428</v>
      </c>
      <c r="BXX111" s="180" t="str">
        <f>VLOOKUP(BXW111,[13]AssetDetails_UEM!$A$3:$AH$1849,6,FALSE)</f>
        <v>Electrosurgical Units, Monopolar/Bipolar</v>
      </c>
      <c r="BXY111" s="179" t="s">
        <v>428</v>
      </c>
      <c r="BXZ111" s="180" t="str">
        <f>VLOOKUP(BXY111,[13]AssetDetails_UEM!$A$3:$AH$1849,6,FALSE)</f>
        <v>Electrosurgical Units, Monopolar/Bipolar</v>
      </c>
      <c r="BYA111" s="179" t="s">
        <v>428</v>
      </c>
      <c r="BYB111" s="180" t="str">
        <f>VLOOKUP(BYA111,[13]AssetDetails_UEM!$A$3:$AH$1849,6,FALSE)</f>
        <v>Electrosurgical Units, Monopolar/Bipolar</v>
      </c>
      <c r="BYC111" s="179" t="s">
        <v>428</v>
      </c>
      <c r="BYD111" s="180" t="str">
        <f>VLOOKUP(BYC111,[13]AssetDetails_UEM!$A$3:$AH$1849,6,FALSE)</f>
        <v>Electrosurgical Units, Monopolar/Bipolar</v>
      </c>
      <c r="BYE111" s="179" t="s">
        <v>428</v>
      </c>
      <c r="BYF111" s="180" t="str">
        <f>VLOOKUP(BYE111,[13]AssetDetails_UEM!$A$3:$AH$1849,6,FALSE)</f>
        <v>Electrosurgical Units, Monopolar/Bipolar</v>
      </c>
      <c r="BYG111" s="179" t="s">
        <v>428</v>
      </c>
      <c r="BYH111" s="180" t="str">
        <f>VLOOKUP(BYG111,[13]AssetDetails_UEM!$A$3:$AH$1849,6,FALSE)</f>
        <v>Electrosurgical Units, Monopolar/Bipolar</v>
      </c>
      <c r="BYI111" s="179" t="s">
        <v>428</v>
      </c>
      <c r="BYJ111" s="180" t="str">
        <f>VLOOKUP(BYI111,[13]AssetDetails_UEM!$A$3:$AH$1849,6,FALSE)</f>
        <v>Electrosurgical Units, Monopolar/Bipolar</v>
      </c>
      <c r="BYK111" s="179" t="s">
        <v>428</v>
      </c>
      <c r="BYL111" s="180" t="str">
        <f>VLOOKUP(BYK111,[13]AssetDetails_UEM!$A$3:$AH$1849,6,FALSE)</f>
        <v>Electrosurgical Units, Monopolar/Bipolar</v>
      </c>
      <c r="BYM111" s="179" t="s">
        <v>428</v>
      </c>
      <c r="BYN111" s="180" t="str">
        <f>VLOOKUP(BYM111,[13]AssetDetails_UEM!$A$3:$AH$1849,6,FALSE)</f>
        <v>Electrosurgical Units, Monopolar/Bipolar</v>
      </c>
      <c r="BYO111" s="179" t="s">
        <v>428</v>
      </c>
      <c r="BYP111" s="180" t="str">
        <f>VLOOKUP(BYO111,[13]AssetDetails_UEM!$A$3:$AH$1849,6,FALSE)</f>
        <v>Electrosurgical Units, Monopolar/Bipolar</v>
      </c>
      <c r="BYQ111" s="179" t="s">
        <v>428</v>
      </c>
      <c r="BYR111" s="180" t="str">
        <f>VLOOKUP(BYQ111,[13]AssetDetails_UEM!$A$3:$AH$1849,6,FALSE)</f>
        <v>Electrosurgical Units, Monopolar/Bipolar</v>
      </c>
      <c r="BYS111" s="179" t="s">
        <v>428</v>
      </c>
      <c r="BYT111" s="180" t="str">
        <f>VLOOKUP(BYS111,[13]AssetDetails_UEM!$A$3:$AH$1849,6,FALSE)</f>
        <v>Electrosurgical Units, Monopolar/Bipolar</v>
      </c>
      <c r="BYU111" s="179" t="s">
        <v>428</v>
      </c>
      <c r="BYV111" s="180" t="str">
        <f>VLOOKUP(BYU111,[13]AssetDetails_UEM!$A$3:$AH$1849,6,FALSE)</f>
        <v>Electrosurgical Units, Monopolar/Bipolar</v>
      </c>
      <c r="BYW111" s="179" t="s">
        <v>428</v>
      </c>
      <c r="BYX111" s="180" t="str">
        <f>VLOOKUP(BYW111,[13]AssetDetails_UEM!$A$3:$AH$1849,6,FALSE)</f>
        <v>Electrosurgical Units, Monopolar/Bipolar</v>
      </c>
      <c r="BYY111" s="179" t="s">
        <v>428</v>
      </c>
      <c r="BYZ111" s="180" t="str">
        <f>VLOOKUP(BYY111,[13]AssetDetails_UEM!$A$3:$AH$1849,6,FALSE)</f>
        <v>Electrosurgical Units, Monopolar/Bipolar</v>
      </c>
      <c r="BZA111" s="179" t="s">
        <v>428</v>
      </c>
      <c r="BZB111" s="180" t="str">
        <f>VLOOKUP(BZA111,[13]AssetDetails_UEM!$A$3:$AH$1849,6,FALSE)</f>
        <v>Electrosurgical Units, Monopolar/Bipolar</v>
      </c>
      <c r="BZC111" s="179" t="s">
        <v>428</v>
      </c>
      <c r="BZD111" s="180" t="str">
        <f>VLOOKUP(BZC111,[13]AssetDetails_UEM!$A$3:$AH$1849,6,FALSE)</f>
        <v>Electrosurgical Units, Monopolar/Bipolar</v>
      </c>
      <c r="BZE111" s="179" t="s">
        <v>428</v>
      </c>
      <c r="BZF111" s="180" t="str">
        <f>VLOOKUP(BZE111,[13]AssetDetails_UEM!$A$3:$AH$1849,6,FALSE)</f>
        <v>Electrosurgical Units, Monopolar/Bipolar</v>
      </c>
      <c r="BZG111" s="179" t="s">
        <v>428</v>
      </c>
      <c r="BZH111" s="180" t="str">
        <f>VLOOKUP(BZG111,[13]AssetDetails_UEM!$A$3:$AH$1849,6,FALSE)</f>
        <v>Electrosurgical Units, Monopolar/Bipolar</v>
      </c>
      <c r="BZI111" s="179" t="s">
        <v>428</v>
      </c>
      <c r="BZJ111" s="180" t="str">
        <f>VLOOKUP(BZI111,[13]AssetDetails_UEM!$A$3:$AH$1849,6,FALSE)</f>
        <v>Electrosurgical Units, Monopolar/Bipolar</v>
      </c>
      <c r="BZK111" s="179" t="s">
        <v>428</v>
      </c>
      <c r="BZL111" s="180" t="str">
        <f>VLOOKUP(BZK111,[13]AssetDetails_UEM!$A$3:$AH$1849,6,FALSE)</f>
        <v>Electrosurgical Units, Monopolar/Bipolar</v>
      </c>
      <c r="BZM111" s="179" t="s">
        <v>428</v>
      </c>
      <c r="BZN111" s="180" t="str">
        <f>VLOOKUP(BZM111,[13]AssetDetails_UEM!$A$3:$AH$1849,6,FALSE)</f>
        <v>Electrosurgical Units, Monopolar/Bipolar</v>
      </c>
      <c r="BZO111" s="179" t="s">
        <v>428</v>
      </c>
      <c r="BZP111" s="180" t="str">
        <f>VLOOKUP(BZO111,[13]AssetDetails_UEM!$A$3:$AH$1849,6,FALSE)</f>
        <v>Electrosurgical Units, Monopolar/Bipolar</v>
      </c>
      <c r="BZQ111" s="179" t="s">
        <v>428</v>
      </c>
      <c r="BZR111" s="180" t="str">
        <f>VLOOKUP(BZQ111,[13]AssetDetails_UEM!$A$3:$AH$1849,6,FALSE)</f>
        <v>Electrosurgical Units, Monopolar/Bipolar</v>
      </c>
      <c r="BZS111" s="179" t="s">
        <v>428</v>
      </c>
      <c r="BZT111" s="180" t="str">
        <f>VLOOKUP(BZS111,[13]AssetDetails_UEM!$A$3:$AH$1849,6,FALSE)</f>
        <v>Electrosurgical Units, Monopolar/Bipolar</v>
      </c>
      <c r="BZU111" s="179" t="s">
        <v>428</v>
      </c>
      <c r="BZV111" s="180" t="str">
        <f>VLOOKUP(BZU111,[13]AssetDetails_UEM!$A$3:$AH$1849,6,FALSE)</f>
        <v>Electrosurgical Units, Monopolar/Bipolar</v>
      </c>
      <c r="BZW111" s="179" t="s">
        <v>428</v>
      </c>
      <c r="BZX111" s="180" t="str">
        <f>VLOOKUP(BZW111,[13]AssetDetails_UEM!$A$3:$AH$1849,6,FALSE)</f>
        <v>Electrosurgical Units, Monopolar/Bipolar</v>
      </c>
      <c r="BZY111" s="179" t="s">
        <v>428</v>
      </c>
      <c r="BZZ111" s="180" t="str">
        <f>VLOOKUP(BZY111,[13]AssetDetails_UEM!$A$3:$AH$1849,6,FALSE)</f>
        <v>Electrosurgical Units, Monopolar/Bipolar</v>
      </c>
      <c r="CAA111" s="179" t="s">
        <v>428</v>
      </c>
      <c r="CAB111" s="180" t="str">
        <f>VLOOKUP(CAA111,[13]AssetDetails_UEM!$A$3:$AH$1849,6,FALSE)</f>
        <v>Electrosurgical Units, Monopolar/Bipolar</v>
      </c>
      <c r="CAC111" s="179" t="s">
        <v>428</v>
      </c>
      <c r="CAD111" s="180" t="str">
        <f>VLOOKUP(CAC111,[13]AssetDetails_UEM!$A$3:$AH$1849,6,FALSE)</f>
        <v>Electrosurgical Units, Monopolar/Bipolar</v>
      </c>
      <c r="CAE111" s="179" t="s">
        <v>428</v>
      </c>
      <c r="CAF111" s="180" t="str">
        <f>VLOOKUP(CAE111,[13]AssetDetails_UEM!$A$3:$AH$1849,6,FALSE)</f>
        <v>Electrosurgical Units, Monopolar/Bipolar</v>
      </c>
      <c r="CAG111" s="179" t="s">
        <v>428</v>
      </c>
      <c r="CAH111" s="180" t="str">
        <f>VLOOKUP(CAG111,[13]AssetDetails_UEM!$A$3:$AH$1849,6,FALSE)</f>
        <v>Electrosurgical Units, Monopolar/Bipolar</v>
      </c>
      <c r="CAI111" s="179" t="s">
        <v>428</v>
      </c>
      <c r="CAJ111" s="180" t="str">
        <f>VLOOKUP(CAI111,[13]AssetDetails_UEM!$A$3:$AH$1849,6,FALSE)</f>
        <v>Electrosurgical Units, Monopolar/Bipolar</v>
      </c>
      <c r="CAK111" s="179" t="s">
        <v>428</v>
      </c>
      <c r="CAL111" s="180" t="str">
        <f>VLOOKUP(CAK111,[13]AssetDetails_UEM!$A$3:$AH$1849,6,FALSE)</f>
        <v>Electrosurgical Units, Monopolar/Bipolar</v>
      </c>
      <c r="CAM111" s="179" t="s">
        <v>428</v>
      </c>
      <c r="CAN111" s="180" t="str">
        <f>VLOOKUP(CAM111,[13]AssetDetails_UEM!$A$3:$AH$1849,6,FALSE)</f>
        <v>Electrosurgical Units, Monopolar/Bipolar</v>
      </c>
      <c r="CAO111" s="179" t="s">
        <v>428</v>
      </c>
      <c r="CAP111" s="180" t="str">
        <f>VLOOKUP(CAO111,[13]AssetDetails_UEM!$A$3:$AH$1849,6,FALSE)</f>
        <v>Electrosurgical Units, Monopolar/Bipolar</v>
      </c>
      <c r="CAQ111" s="179" t="s">
        <v>428</v>
      </c>
      <c r="CAR111" s="180" t="str">
        <f>VLOOKUP(CAQ111,[13]AssetDetails_UEM!$A$3:$AH$1849,6,FALSE)</f>
        <v>Electrosurgical Units, Monopolar/Bipolar</v>
      </c>
      <c r="CAS111" s="179" t="s">
        <v>428</v>
      </c>
      <c r="CAT111" s="180" t="str">
        <f>VLOOKUP(CAS111,[13]AssetDetails_UEM!$A$3:$AH$1849,6,FALSE)</f>
        <v>Electrosurgical Units, Monopolar/Bipolar</v>
      </c>
      <c r="CAU111" s="179" t="s">
        <v>428</v>
      </c>
      <c r="CAV111" s="180" t="str">
        <f>VLOOKUP(CAU111,[13]AssetDetails_UEM!$A$3:$AH$1849,6,FALSE)</f>
        <v>Electrosurgical Units, Monopolar/Bipolar</v>
      </c>
      <c r="CAW111" s="179" t="s">
        <v>428</v>
      </c>
      <c r="CAX111" s="180" t="str">
        <f>VLOOKUP(CAW111,[13]AssetDetails_UEM!$A$3:$AH$1849,6,FALSE)</f>
        <v>Electrosurgical Units, Monopolar/Bipolar</v>
      </c>
      <c r="CAY111" s="179" t="s">
        <v>428</v>
      </c>
      <c r="CAZ111" s="180" t="str">
        <f>VLOOKUP(CAY111,[13]AssetDetails_UEM!$A$3:$AH$1849,6,FALSE)</f>
        <v>Electrosurgical Units, Monopolar/Bipolar</v>
      </c>
      <c r="CBA111" s="179" t="s">
        <v>428</v>
      </c>
      <c r="CBB111" s="180" t="str">
        <f>VLOOKUP(CBA111,[13]AssetDetails_UEM!$A$3:$AH$1849,6,FALSE)</f>
        <v>Electrosurgical Units, Monopolar/Bipolar</v>
      </c>
      <c r="CBC111" s="179" t="s">
        <v>428</v>
      </c>
      <c r="CBD111" s="180" t="str">
        <f>VLOOKUP(CBC111,[13]AssetDetails_UEM!$A$3:$AH$1849,6,FALSE)</f>
        <v>Electrosurgical Units, Monopolar/Bipolar</v>
      </c>
      <c r="CBE111" s="179" t="s">
        <v>428</v>
      </c>
      <c r="CBF111" s="180" t="str">
        <f>VLOOKUP(CBE111,[13]AssetDetails_UEM!$A$3:$AH$1849,6,FALSE)</f>
        <v>Electrosurgical Units, Monopolar/Bipolar</v>
      </c>
      <c r="CBG111" s="179" t="s">
        <v>428</v>
      </c>
      <c r="CBH111" s="180" t="str">
        <f>VLOOKUP(CBG111,[13]AssetDetails_UEM!$A$3:$AH$1849,6,FALSE)</f>
        <v>Electrosurgical Units, Monopolar/Bipolar</v>
      </c>
      <c r="CBI111" s="179" t="s">
        <v>428</v>
      </c>
      <c r="CBJ111" s="180" t="str">
        <f>VLOOKUP(CBI111,[13]AssetDetails_UEM!$A$3:$AH$1849,6,FALSE)</f>
        <v>Electrosurgical Units, Monopolar/Bipolar</v>
      </c>
      <c r="CBK111" s="179" t="s">
        <v>428</v>
      </c>
      <c r="CBL111" s="180" t="str">
        <f>VLOOKUP(CBK111,[13]AssetDetails_UEM!$A$3:$AH$1849,6,FALSE)</f>
        <v>Electrosurgical Units, Monopolar/Bipolar</v>
      </c>
      <c r="CBM111" s="179" t="s">
        <v>428</v>
      </c>
      <c r="CBN111" s="180" t="str">
        <f>VLOOKUP(CBM111,[13]AssetDetails_UEM!$A$3:$AH$1849,6,FALSE)</f>
        <v>Electrosurgical Units, Monopolar/Bipolar</v>
      </c>
      <c r="CBO111" s="179" t="s">
        <v>428</v>
      </c>
      <c r="CBP111" s="180" t="str">
        <f>VLOOKUP(CBO111,[13]AssetDetails_UEM!$A$3:$AH$1849,6,FALSE)</f>
        <v>Electrosurgical Units, Monopolar/Bipolar</v>
      </c>
      <c r="CBQ111" s="179" t="s">
        <v>428</v>
      </c>
      <c r="CBR111" s="180" t="str">
        <f>VLOOKUP(CBQ111,[13]AssetDetails_UEM!$A$3:$AH$1849,6,FALSE)</f>
        <v>Electrosurgical Units, Monopolar/Bipolar</v>
      </c>
      <c r="CBS111" s="179" t="s">
        <v>428</v>
      </c>
      <c r="CBT111" s="180" t="str">
        <f>VLOOKUP(CBS111,[13]AssetDetails_UEM!$A$3:$AH$1849,6,FALSE)</f>
        <v>Electrosurgical Units, Monopolar/Bipolar</v>
      </c>
      <c r="CBU111" s="179" t="s">
        <v>428</v>
      </c>
      <c r="CBV111" s="180" t="str">
        <f>VLOOKUP(CBU111,[13]AssetDetails_UEM!$A$3:$AH$1849,6,FALSE)</f>
        <v>Electrosurgical Units, Monopolar/Bipolar</v>
      </c>
      <c r="CBW111" s="179" t="s">
        <v>428</v>
      </c>
      <c r="CBX111" s="180" t="str">
        <f>VLOOKUP(CBW111,[13]AssetDetails_UEM!$A$3:$AH$1849,6,FALSE)</f>
        <v>Electrosurgical Units, Monopolar/Bipolar</v>
      </c>
      <c r="CBY111" s="179" t="s">
        <v>428</v>
      </c>
      <c r="CBZ111" s="180" t="str">
        <f>VLOOKUP(CBY111,[13]AssetDetails_UEM!$A$3:$AH$1849,6,FALSE)</f>
        <v>Electrosurgical Units, Monopolar/Bipolar</v>
      </c>
      <c r="CCA111" s="179" t="s">
        <v>428</v>
      </c>
      <c r="CCB111" s="180" t="str">
        <f>VLOOKUP(CCA111,[13]AssetDetails_UEM!$A$3:$AH$1849,6,FALSE)</f>
        <v>Electrosurgical Units, Monopolar/Bipolar</v>
      </c>
      <c r="CCC111" s="179" t="s">
        <v>428</v>
      </c>
      <c r="CCD111" s="180" t="str">
        <f>VLOOKUP(CCC111,[13]AssetDetails_UEM!$A$3:$AH$1849,6,FALSE)</f>
        <v>Electrosurgical Units, Monopolar/Bipolar</v>
      </c>
      <c r="CCE111" s="179" t="s">
        <v>428</v>
      </c>
      <c r="CCF111" s="180" t="str">
        <f>VLOOKUP(CCE111,[13]AssetDetails_UEM!$A$3:$AH$1849,6,FALSE)</f>
        <v>Electrosurgical Units, Monopolar/Bipolar</v>
      </c>
      <c r="CCG111" s="179" t="s">
        <v>428</v>
      </c>
      <c r="CCH111" s="180" t="str">
        <f>VLOOKUP(CCG111,[13]AssetDetails_UEM!$A$3:$AH$1849,6,FALSE)</f>
        <v>Electrosurgical Units, Monopolar/Bipolar</v>
      </c>
      <c r="CCI111" s="179" t="s">
        <v>428</v>
      </c>
      <c r="CCJ111" s="180" t="str">
        <f>VLOOKUP(CCI111,[13]AssetDetails_UEM!$A$3:$AH$1849,6,FALSE)</f>
        <v>Electrosurgical Units, Monopolar/Bipolar</v>
      </c>
      <c r="CCK111" s="179" t="s">
        <v>428</v>
      </c>
      <c r="CCL111" s="180" t="str">
        <f>VLOOKUP(CCK111,[13]AssetDetails_UEM!$A$3:$AH$1849,6,FALSE)</f>
        <v>Electrosurgical Units, Monopolar/Bipolar</v>
      </c>
      <c r="CCM111" s="179" t="s">
        <v>428</v>
      </c>
      <c r="CCN111" s="180" t="str">
        <f>VLOOKUP(CCM111,[13]AssetDetails_UEM!$A$3:$AH$1849,6,FALSE)</f>
        <v>Electrosurgical Units, Monopolar/Bipolar</v>
      </c>
      <c r="CCO111" s="179" t="s">
        <v>428</v>
      </c>
      <c r="CCP111" s="180" t="str">
        <f>VLOOKUP(CCO111,[13]AssetDetails_UEM!$A$3:$AH$1849,6,FALSE)</f>
        <v>Electrosurgical Units, Monopolar/Bipolar</v>
      </c>
      <c r="CCQ111" s="179" t="s">
        <v>428</v>
      </c>
      <c r="CCR111" s="180" t="str">
        <f>VLOOKUP(CCQ111,[13]AssetDetails_UEM!$A$3:$AH$1849,6,FALSE)</f>
        <v>Electrosurgical Units, Monopolar/Bipolar</v>
      </c>
      <c r="CCS111" s="179" t="s">
        <v>428</v>
      </c>
      <c r="CCT111" s="180" t="str">
        <f>VLOOKUP(CCS111,[13]AssetDetails_UEM!$A$3:$AH$1849,6,FALSE)</f>
        <v>Electrosurgical Units, Monopolar/Bipolar</v>
      </c>
      <c r="CCU111" s="179" t="s">
        <v>428</v>
      </c>
      <c r="CCV111" s="180" t="str">
        <f>VLOOKUP(CCU111,[13]AssetDetails_UEM!$A$3:$AH$1849,6,FALSE)</f>
        <v>Electrosurgical Units, Monopolar/Bipolar</v>
      </c>
      <c r="CCW111" s="179" t="s">
        <v>428</v>
      </c>
      <c r="CCX111" s="180" t="str">
        <f>VLOOKUP(CCW111,[13]AssetDetails_UEM!$A$3:$AH$1849,6,FALSE)</f>
        <v>Electrosurgical Units, Monopolar/Bipolar</v>
      </c>
      <c r="CCY111" s="179" t="s">
        <v>428</v>
      </c>
      <c r="CCZ111" s="180" t="str">
        <f>VLOOKUP(CCY111,[13]AssetDetails_UEM!$A$3:$AH$1849,6,FALSE)</f>
        <v>Electrosurgical Units, Monopolar/Bipolar</v>
      </c>
      <c r="CDA111" s="179" t="s">
        <v>428</v>
      </c>
      <c r="CDB111" s="180" t="str">
        <f>VLOOKUP(CDA111,[13]AssetDetails_UEM!$A$3:$AH$1849,6,FALSE)</f>
        <v>Electrosurgical Units, Monopolar/Bipolar</v>
      </c>
      <c r="CDC111" s="179" t="s">
        <v>428</v>
      </c>
      <c r="CDD111" s="180" t="str">
        <f>VLOOKUP(CDC111,[13]AssetDetails_UEM!$A$3:$AH$1849,6,FALSE)</f>
        <v>Electrosurgical Units, Monopolar/Bipolar</v>
      </c>
      <c r="CDE111" s="179" t="s">
        <v>428</v>
      </c>
      <c r="CDF111" s="180" t="str">
        <f>VLOOKUP(CDE111,[13]AssetDetails_UEM!$A$3:$AH$1849,6,FALSE)</f>
        <v>Electrosurgical Units, Monopolar/Bipolar</v>
      </c>
      <c r="CDG111" s="179" t="s">
        <v>428</v>
      </c>
      <c r="CDH111" s="180" t="str">
        <f>VLOOKUP(CDG111,[13]AssetDetails_UEM!$A$3:$AH$1849,6,FALSE)</f>
        <v>Electrosurgical Units, Monopolar/Bipolar</v>
      </c>
      <c r="CDI111" s="179" t="s">
        <v>428</v>
      </c>
      <c r="CDJ111" s="180" t="str">
        <f>VLOOKUP(CDI111,[13]AssetDetails_UEM!$A$3:$AH$1849,6,FALSE)</f>
        <v>Electrosurgical Units, Monopolar/Bipolar</v>
      </c>
      <c r="CDK111" s="179" t="s">
        <v>428</v>
      </c>
      <c r="CDL111" s="180" t="str">
        <f>VLOOKUP(CDK111,[13]AssetDetails_UEM!$A$3:$AH$1849,6,FALSE)</f>
        <v>Electrosurgical Units, Monopolar/Bipolar</v>
      </c>
      <c r="CDM111" s="179" t="s">
        <v>428</v>
      </c>
      <c r="CDN111" s="180" t="str">
        <f>VLOOKUP(CDM111,[13]AssetDetails_UEM!$A$3:$AH$1849,6,FALSE)</f>
        <v>Electrosurgical Units, Monopolar/Bipolar</v>
      </c>
      <c r="CDO111" s="179" t="s">
        <v>428</v>
      </c>
      <c r="CDP111" s="180" t="str">
        <f>VLOOKUP(CDO111,[13]AssetDetails_UEM!$A$3:$AH$1849,6,FALSE)</f>
        <v>Electrosurgical Units, Monopolar/Bipolar</v>
      </c>
      <c r="CDQ111" s="179" t="s">
        <v>428</v>
      </c>
      <c r="CDR111" s="180" t="str">
        <f>VLOOKUP(CDQ111,[13]AssetDetails_UEM!$A$3:$AH$1849,6,FALSE)</f>
        <v>Electrosurgical Units, Monopolar/Bipolar</v>
      </c>
      <c r="CDS111" s="179" t="s">
        <v>428</v>
      </c>
      <c r="CDT111" s="180" t="str">
        <f>VLOOKUP(CDS111,[13]AssetDetails_UEM!$A$3:$AH$1849,6,FALSE)</f>
        <v>Electrosurgical Units, Monopolar/Bipolar</v>
      </c>
      <c r="CDU111" s="179" t="s">
        <v>428</v>
      </c>
      <c r="CDV111" s="180" t="str">
        <f>VLOOKUP(CDU111,[13]AssetDetails_UEM!$A$3:$AH$1849,6,FALSE)</f>
        <v>Electrosurgical Units, Monopolar/Bipolar</v>
      </c>
      <c r="CDW111" s="179" t="s">
        <v>428</v>
      </c>
      <c r="CDX111" s="180" t="str">
        <f>VLOOKUP(CDW111,[13]AssetDetails_UEM!$A$3:$AH$1849,6,FALSE)</f>
        <v>Electrosurgical Units, Monopolar/Bipolar</v>
      </c>
      <c r="CDY111" s="179" t="s">
        <v>428</v>
      </c>
      <c r="CDZ111" s="180" t="str">
        <f>VLOOKUP(CDY111,[13]AssetDetails_UEM!$A$3:$AH$1849,6,FALSE)</f>
        <v>Electrosurgical Units, Monopolar/Bipolar</v>
      </c>
      <c r="CEA111" s="179" t="s">
        <v>428</v>
      </c>
      <c r="CEB111" s="180" t="str">
        <f>VLOOKUP(CEA111,[13]AssetDetails_UEM!$A$3:$AH$1849,6,FALSE)</f>
        <v>Electrosurgical Units, Monopolar/Bipolar</v>
      </c>
      <c r="CEC111" s="179" t="s">
        <v>428</v>
      </c>
      <c r="CED111" s="180" t="str">
        <f>VLOOKUP(CEC111,[13]AssetDetails_UEM!$A$3:$AH$1849,6,FALSE)</f>
        <v>Electrosurgical Units, Monopolar/Bipolar</v>
      </c>
      <c r="CEE111" s="179" t="s">
        <v>428</v>
      </c>
      <c r="CEF111" s="180" t="str">
        <f>VLOOKUP(CEE111,[13]AssetDetails_UEM!$A$3:$AH$1849,6,FALSE)</f>
        <v>Electrosurgical Units, Monopolar/Bipolar</v>
      </c>
      <c r="CEG111" s="179" t="s">
        <v>428</v>
      </c>
      <c r="CEH111" s="180" t="str">
        <f>VLOOKUP(CEG111,[13]AssetDetails_UEM!$A$3:$AH$1849,6,FALSE)</f>
        <v>Electrosurgical Units, Monopolar/Bipolar</v>
      </c>
      <c r="CEI111" s="179" t="s">
        <v>428</v>
      </c>
      <c r="CEJ111" s="180" t="str">
        <f>VLOOKUP(CEI111,[13]AssetDetails_UEM!$A$3:$AH$1849,6,FALSE)</f>
        <v>Electrosurgical Units, Monopolar/Bipolar</v>
      </c>
      <c r="CEK111" s="179" t="s">
        <v>428</v>
      </c>
      <c r="CEL111" s="180" t="str">
        <f>VLOOKUP(CEK111,[13]AssetDetails_UEM!$A$3:$AH$1849,6,FALSE)</f>
        <v>Electrosurgical Units, Monopolar/Bipolar</v>
      </c>
      <c r="CEM111" s="179" t="s">
        <v>428</v>
      </c>
      <c r="CEN111" s="180" t="str">
        <f>VLOOKUP(CEM111,[13]AssetDetails_UEM!$A$3:$AH$1849,6,FALSE)</f>
        <v>Electrosurgical Units, Monopolar/Bipolar</v>
      </c>
      <c r="CEO111" s="179" t="s">
        <v>428</v>
      </c>
      <c r="CEP111" s="180" t="str">
        <f>VLOOKUP(CEO111,[13]AssetDetails_UEM!$A$3:$AH$1849,6,FALSE)</f>
        <v>Electrosurgical Units, Monopolar/Bipolar</v>
      </c>
      <c r="CEQ111" s="179" t="s">
        <v>428</v>
      </c>
      <c r="CER111" s="180" t="str">
        <f>VLOOKUP(CEQ111,[13]AssetDetails_UEM!$A$3:$AH$1849,6,FALSE)</f>
        <v>Electrosurgical Units, Monopolar/Bipolar</v>
      </c>
      <c r="CES111" s="179" t="s">
        <v>428</v>
      </c>
      <c r="CET111" s="180" t="str">
        <f>VLOOKUP(CES111,[13]AssetDetails_UEM!$A$3:$AH$1849,6,FALSE)</f>
        <v>Electrosurgical Units, Monopolar/Bipolar</v>
      </c>
      <c r="CEU111" s="179" t="s">
        <v>428</v>
      </c>
      <c r="CEV111" s="180" t="str">
        <f>VLOOKUP(CEU111,[13]AssetDetails_UEM!$A$3:$AH$1849,6,FALSE)</f>
        <v>Electrosurgical Units, Monopolar/Bipolar</v>
      </c>
      <c r="CEW111" s="179" t="s">
        <v>428</v>
      </c>
      <c r="CEX111" s="180" t="str">
        <f>VLOOKUP(CEW111,[13]AssetDetails_UEM!$A$3:$AH$1849,6,FALSE)</f>
        <v>Electrosurgical Units, Monopolar/Bipolar</v>
      </c>
      <c r="CEY111" s="179" t="s">
        <v>428</v>
      </c>
      <c r="CEZ111" s="180" t="str">
        <f>VLOOKUP(CEY111,[13]AssetDetails_UEM!$A$3:$AH$1849,6,FALSE)</f>
        <v>Electrosurgical Units, Monopolar/Bipolar</v>
      </c>
      <c r="CFA111" s="179" t="s">
        <v>428</v>
      </c>
      <c r="CFB111" s="180" t="str">
        <f>VLOOKUP(CFA111,[13]AssetDetails_UEM!$A$3:$AH$1849,6,FALSE)</f>
        <v>Electrosurgical Units, Monopolar/Bipolar</v>
      </c>
      <c r="CFC111" s="179" t="s">
        <v>428</v>
      </c>
      <c r="CFD111" s="180" t="str">
        <f>VLOOKUP(CFC111,[13]AssetDetails_UEM!$A$3:$AH$1849,6,FALSE)</f>
        <v>Electrosurgical Units, Monopolar/Bipolar</v>
      </c>
      <c r="CFE111" s="179" t="s">
        <v>428</v>
      </c>
      <c r="CFF111" s="180" t="str">
        <f>VLOOKUP(CFE111,[13]AssetDetails_UEM!$A$3:$AH$1849,6,FALSE)</f>
        <v>Electrosurgical Units, Monopolar/Bipolar</v>
      </c>
      <c r="CFG111" s="179" t="s">
        <v>428</v>
      </c>
      <c r="CFH111" s="180" t="str">
        <f>VLOOKUP(CFG111,[13]AssetDetails_UEM!$A$3:$AH$1849,6,FALSE)</f>
        <v>Electrosurgical Units, Monopolar/Bipolar</v>
      </c>
      <c r="CFI111" s="179" t="s">
        <v>428</v>
      </c>
      <c r="CFJ111" s="180" t="str">
        <f>VLOOKUP(CFI111,[13]AssetDetails_UEM!$A$3:$AH$1849,6,FALSE)</f>
        <v>Electrosurgical Units, Monopolar/Bipolar</v>
      </c>
      <c r="CFK111" s="179" t="s">
        <v>428</v>
      </c>
      <c r="CFL111" s="180" t="str">
        <f>VLOOKUP(CFK111,[13]AssetDetails_UEM!$A$3:$AH$1849,6,FALSE)</f>
        <v>Electrosurgical Units, Monopolar/Bipolar</v>
      </c>
      <c r="CFM111" s="179" t="s">
        <v>428</v>
      </c>
      <c r="CFN111" s="180" t="str">
        <f>VLOOKUP(CFM111,[13]AssetDetails_UEM!$A$3:$AH$1849,6,FALSE)</f>
        <v>Electrosurgical Units, Monopolar/Bipolar</v>
      </c>
      <c r="CFO111" s="179" t="s">
        <v>428</v>
      </c>
      <c r="CFP111" s="180" t="str">
        <f>VLOOKUP(CFO111,[13]AssetDetails_UEM!$A$3:$AH$1849,6,FALSE)</f>
        <v>Electrosurgical Units, Monopolar/Bipolar</v>
      </c>
      <c r="CFQ111" s="179" t="s">
        <v>428</v>
      </c>
      <c r="CFR111" s="180" t="str">
        <f>VLOOKUP(CFQ111,[13]AssetDetails_UEM!$A$3:$AH$1849,6,FALSE)</f>
        <v>Electrosurgical Units, Monopolar/Bipolar</v>
      </c>
      <c r="CFS111" s="179" t="s">
        <v>428</v>
      </c>
      <c r="CFT111" s="180" t="str">
        <f>VLOOKUP(CFS111,[13]AssetDetails_UEM!$A$3:$AH$1849,6,FALSE)</f>
        <v>Electrosurgical Units, Monopolar/Bipolar</v>
      </c>
      <c r="CFU111" s="179" t="s">
        <v>428</v>
      </c>
      <c r="CFV111" s="180" t="str">
        <f>VLOOKUP(CFU111,[13]AssetDetails_UEM!$A$3:$AH$1849,6,FALSE)</f>
        <v>Electrosurgical Units, Monopolar/Bipolar</v>
      </c>
      <c r="CFW111" s="179" t="s">
        <v>428</v>
      </c>
      <c r="CFX111" s="180" t="str">
        <f>VLOOKUP(CFW111,[13]AssetDetails_UEM!$A$3:$AH$1849,6,FALSE)</f>
        <v>Electrosurgical Units, Monopolar/Bipolar</v>
      </c>
      <c r="CFY111" s="179" t="s">
        <v>428</v>
      </c>
      <c r="CFZ111" s="180" t="str">
        <f>VLOOKUP(CFY111,[13]AssetDetails_UEM!$A$3:$AH$1849,6,FALSE)</f>
        <v>Electrosurgical Units, Monopolar/Bipolar</v>
      </c>
      <c r="CGA111" s="179" t="s">
        <v>428</v>
      </c>
      <c r="CGB111" s="180" t="str">
        <f>VLOOKUP(CGA111,[13]AssetDetails_UEM!$A$3:$AH$1849,6,FALSE)</f>
        <v>Electrosurgical Units, Monopolar/Bipolar</v>
      </c>
      <c r="CGC111" s="179" t="s">
        <v>428</v>
      </c>
      <c r="CGD111" s="180" t="str">
        <f>VLOOKUP(CGC111,[13]AssetDetails_UEM!$A$3:$AH$1849,6,FALSE)</f>
        <v>Electrosurgical Units, Monopolar/Bipolar</v>
      </c>
      <c r="CGE111" s="179" t="s">
        <v>428</v>
      </c>
      <c r="CGF111" s="180" t="str">
        <f>VLOOKUP(CGE111,[13]AssetDetails_UEM!$A$3:$AH$1849,6,FALSE)</f>
        <v>Electrosurgical Units, Monopolar/Bipolar</v>
      </c>
      <c r="CGG111" s="179" t="s">
        <v>428</v>
      </c>
      <c r="CGH111" s="180" t="str">
        <f>VLOOKUP(CGG111,[13]AssetDetails_UEM!$A$3:$AH$1849,6,FALSE)</f>
        <v>Electrosurgical Units, Monopolar/Bipolar</v>
      </c>
      <c r="CGI111" s="179" t="s">
        <v>428</v>
      </c>
      <c r="CGJ111" s="180" t="str">
        <f>VLOOKUP(CGI111,[13]AssetDetails_UEM!$A$3:$AH$1849,6,FALSE)</f>
        <v>Electrosurgical Units, Monopolar/Bipolar</v>
      </c>
      <c r="CGK111" s="179" t="s">
        <v>428</v>
      </c>
      <c r="CGL111" s="180" t="str">
        <f>VLOOKUP(CGK111,[13]AssetDetails_UEM!$A$3:$AH$1849,6,FALSE)</f>
        <v>Electrosurgical Units, Monopolar/Bipolar</v>
      </c>
      <c r="CGM111" s="179" t="s">
        <v>428</v>
      </c>
      <c r="CGN111" s="180" t="str">
        <f>VLOOKUP(CGM111,[13]AssetDetails_UEM!$A$3:$AH$1849,6,FALSE)</f>
        <v>Electrosurgical Units, Monopolar/Bipolar</v>
      </c>
      <c r="CGO111" s="179" t="s">
        <v>428</v>
      </c>
      <c r="CGP111" s="180" t="str">
        <f>VLOOKUP(CGO111,[13]AssetDetails_UEM!$A$3:$AH$1849,6,FALSE)</f>
        <v>Electrosurgical Units, Monopolar/Bipolar</v>
      </c>
      <c r="CGQ111" s="179" t="s">
        <v>428</v>
      </c>
      <c r="CGR111" s="180" t="str">
        <f>VLOOKUP(CGQ111,[13]AssetDetails_UEM!$A$3:$AH$1849,6,FALSE)</f>
        <v>Electrosurgical Units, Monopolar/Bipolar</v>
      </c>
      <c r="CGS111" s="179" t="s">
        <v>428</v>
      </c>
      <c r="CGT111" s="180" t="str">
        <f>VLOOKUP(CGS111,[13]AssetDetails_UEM!$A$3:$AH$1849,6,FALSE)</f>
        <v>Electrosurgical Units, Monopolar/Bipolar</v>
      </c>
      <c r="CGU111" s="179" t="s">
        <v>428</v>
      </c>
      <c r="CGV111" s="180" t="str">
        <f>VLOOKUP(CGU111,[13]AssetDetails_UEM!$A$3:$AH$1849,6,FALSE)</f>
        <v>Electrosurgical Units, Monopolar/Bipolar</v>
      </c>
      <c r="CGW111" s="179" t="s">
        <v>428</v>
      </c>
      <c r="CGX111" s="180" t="str">
        <f>VLOOKUP(CGW111,[13]AssetDetails_UEM!$A$3:$AH$1849,6,FALSE)</f>
        <v>Electrosurgical Units, Monopolar/Bipolar</v>
      </c>
      <c r="CGY111" s="179" t="s">
        <v>428</v>
      </c>
      <c r="CGZ111" s="180" t="str">
        <f>VLOOKUP(CGY111,[13]AssetDetails_UEM!$A$3:$AH$1849,6,FALSE)</f>
        <v>Electrosurgical Units, Monopolar/Bipolar</v>
      </c>
      <c r="CHA111" s="179" t="s">
        <v>428</v>
      </c>
      <c r="CHB111" s="180" t="str">
        <f>VLOOKUP(CHA111,[13]AssetDetails_UEM!$A$3:$AH$1849,6,FALSE)</f>
        <v>Electrosurgical Units, Monopolar/Bipolar</v>
      </c>
      <c r="CHC111" s="179" t="s">
        <v>428</v>
      </c>
      <c r="CHD111" s="180" t="str">
        <f>VLOOKUP(CHC111,[13]AssetDetails_UEM!$A$3:$AH$1849,6,FALSE)</f>
        <v>Electrosurgical Units, Monopolar/Bipolar</v>
      </c>
      <c r="CHE111" s="179" t="s">
        <v>428</v>
      </c>
      <c r="CHF111" s="180" t="str">
        <f>VLOOKUP(CHE111,[13]AssetDetails_UEM!$A$3:$AH$1849,6,FALSE)</f>
        <v>Electrosurgical Units, Monopolar/Bipolar</v>
      </c>
      <c r="CHG111" s="179" t="s">
        <v>428</v>
      </c>
      <c r="CHH111" s="180" t="str">
        <f>VLOOKUP(CHG111,[13]AssetDetails_UEM!$A$3:$AH$1849,6,FALSE)</f>
        <v>Electrosurgical Units, Monopolar/Bipolar</v>
      </c>
      <c r="CHI111" s="179" t="s">
        <v>428</v>
      </c>
      <c r="CHJ111" s="180" t="str">
        <f>VLOOKUP(CHI111,[13]AssetDetails_UEM!$A$3:$AH$1849,6,FALSE)</f>
        <v>Electrosurgical Units, Monopolar/Bipolar</v>
      </c>
      <c r="CHK111" s="179" t="s">
        <v>428</v>
      </c>
      <c r="CHL111" s="180" t="str">
        <f>VLOOKUP(CHK111,[13]AssetDetails_UEM!$A$3:$AH$1849,6,FALSE)</f>
        <v>Electrosurgical Units, Monopolar/Bipolar</v>
      </c>
      <c r="CHM111" s="179" t="s">
        <v>428</v>
      </c>
      <c r="CHN111" s="180" t="str">
        <f>VLOOKUP(CHM111,[13]AssetDetails_UEM!$A$3:$AH$1849,6,FALSE)</f>
        <v>Electrosurgical Units, Monopolar/Bipolar</v>
      </c>
      <c r="CHO111" s="179" t="s">
        <v>428</v>
      </c>
      <c r="CHP111" s="180" t="str">
        <f>VLOOKUP(CHO111,[13]AssetDetails_UEM!$A$3:$AH$1849,6,FALSE)</f>
        <v>Electrosurgical Units, Monopolar/Bipolar</v>
      </c>
      <c r="CHQ111" s="179" t="s">
        <v>428</v>
      </c>
      <c r="CHR111" s="180" t="str">
        <f>VLOOKUP(CHQ111,[13]AssetDetails_UEM!$A$3:$AH$1849,6,FALSE)</f>
        <v>Electrosurgical Units, Monopolar/Bipolar</v>
      </c>
      <c r="CHS111" s="179" t="s">
        <v>428</v>
      </c>
      <c r="CHT111" s="180" t="str">
        <f>VLOOKUP(CHS111,[13]AssetDetails_UEM!$A$3:$AH$1849,6,FALSE)</f>
        <v>Electrosurgical Units, Monopolar/Bipolar</v>
      </c>
      <c r="CHU111" s="179" t="s">
        <v>428</v>
      </c>
      <c r="CHV111" s="180" t="str">
        <f>VLOOKUP(CHU111,[13]AssetDetails_UEM!$A$3:$AH$1849,6,FALSE)</f>
        <v>Electrosurgical Units, Monopolar/Bipolar</v>
      </c>
      <c r="CHW111" s="179" t="s">
        <v>428</v>
      </c>
      <c r="CHX111" s="180" t="str">
        <f>VLOOKUP(CHW111,[13]AssetDetails_UEM!$A$3:$AH$1849,6,FALSE)</f>
        <v>Electrosurgical Units, Monopolar/Bipolar</v>
      </c>
      <c r="CHY111" s="179" t="s">
        <v>428</v>
      </c>
      <c r="CHZ111" s="180" t="str">
        <f>VLOOKUP(CHY111,[13]AssetDetails_UEM!$A$3:$AH$1849,6,FALSE)</f>
        <v>Electrosurgical Units, Monopolar/Bipolar</v>
      </c>
      <c r="CIA111" s="179" t="s">
        <v>428</v>
      </c>
      <c r="CIB111" s="180" t="str">
        <f>VLOOKUP(CIA111,[13]AssetDetails_UEM!$A$3:$AH$1849,6,FALSE)</f>
        <v>Electrosurgical Units, Monopolar/Bipolar</v>
      </c>
      <c r="CIC111" s="179" t="s">
        <v>428</v>
      </c>
      <c r="CID111" s="180" t="str">
        <f>VLOOKUP(CIC111,[13]AssetDetails_UEM!$A$3:$AH$1849,6,FALSE)</f>
        <v>Electrosurgical Units, Monopolar/Bipolar</v>
      </c>
      <c r="CIE111" s="179" t="s">
        <v>428</v>
      </c>
      <c r="CIF111" s="180" t="str">
        <f>VLOOKUP(CIE111,[13]AssetDetails_UEM!$A$3:$AH$1849,6,FALSE)</f>
        <v>Electrosurgical Units, Monopolar/Bipolar</v>
      </c>
      <c r="CIG111" s="179" t="s">
        <v>428</v>
      </c>
      <c r="CIH111" s="180" t="str">
        <f>VLOOKUP(CIG111,[13]AssetDetails_UEM!$A$3:$AH$1849,6,FALSE)</f>
        <v>Electrosurgical Units, Monopolar/Bipolar</v>
      </c>
      <c r="CII111" s="179" t="s">
        <v>428</v>
      </c>
      <c r="CIJ111" s="180" t="str">
        <f>VLOOKUP(CII111,[13]AssetDetails_UEM!$A$3:$AH$1849,6,FALSE)</f>
        <v>Electrosurgical Units, Monopolar/Bipolar</v>
      </c>
      <c r="CIK111" s="179" t="s">
        <v>428</v>
      </c>
      <c r="CIL111" s="180" t="str">
        <f>VLOOKUP(CIK111,[13]AssetDetails_UEM!$A$3:$AH$1849,6,FALSE)</f>
        <v>Electrosurgical Units, Monopolar/Bipolar</v>
      </c>
      <c r="CIM111" s="179" t="s">
        <v>428</v>
      </c>
      <c r="CIN111" s="180" t="str">
        <f>VLOOKUP(CIM111,[13]AssetDetails_UEM!$A$3:$AH$1849,6,FALSE)</f>
        <v>Electrosurgical Units, Monopolar/Bipolar</v>
      </c>
      <c r="CIO111" s="179" t="s">
        <v>428</v>
      </c>
      <c r="CIP111" s="180" t="str">
        <f>VLOOKUP(CIO111,[13]AssetDetails_UEM!$A$3:$AH$1849,6,FALSE)</f>
        <v>Electrosurgical Units, Monopolar/Bipolar</v>
      </c>
      <c r="CIQ111" s="179" t="s">
        <v>428</v>
      </c>
      <c r="CIR111" s="180" t="str">
        <f>VLOOKUP(CIQ111,[13]AssetDetails_UEM!$A$3:$AH$1849,6,FALSE)</f>
        <v>Electrosurgical Units, Monopolar/Bipolar</v>
      </c>
      <c r="CIS111" s="179" t="s">
        <v>428</v>
      </c>
      <c r="CIT111" s="180" t="str">
        <f>VLOOKUP(CIS111,[13]AssetDetails_UEM!$A$3:$AH$1849,6,FALSE)</f>
        <v>Electrosurgical Units, Monopolar/Bipolar</v>
      </c>
      <c r="CIU111" s="179" t="s">
        <v>428</v>
      </c>
      <c r="CIV111" s="180" t="str">
        <f>VLOOKUP(CIU111,[13]AssetDetails_UEM!$A$3:$AH$1849,6,FALSE)</f>
        <v>Electrosurgical Units, Monopolar/Bipolar</v>
      </c>
      <c r="CIW111" s="179" t="s">
        <v>428</v>
      </c>
      <c r="CIX111" s="180" t="str">
        <f>VLOOKUP(CIW111,[13]AssetDetails_UEM!$A$3:$AH$1849,6,FALSE)</f>
        <v>Electrosurgical Units, Monopolar/Bipolar</v>
      </c>
      <c r="CIY111" s="179" t="s">
        <v>428</v>
      </c>
      <c r="CIZ111" s="180" t="str">
        <f>VLOOKUP(CIY111,[13]AssetDetails_UEM!$A$3:$AH$1849,6,FALSE)</f>
        <v>Electrosurgical Units, Monopolar/Bipolar</v>
      </c>
      <c r="CJA111" s="179" t="s">
        <v>428</v>
      </c>
      <c r="CJB111" s="180" t="str">
        <f>VLOOKUP(CJA111,[13]AssetDetails_UEM!$A$3:$AH$1849,6,FALSE)</f>
        <v>Electrosurgical Units, Monopolar/Bipolar</v>
      </c>
      <c r="CJC111" s="179" t="s">
        <v>428</v>
      </c>
      <c r="CJD111" s="180" t="str">
        <f>VLOOKUP(CJC111,[13]AssetDetails_UEM!$A$3:$AH$1849,6,FALSE)</f>
        <v>Electrosurgical Units, Monopolar/Bipolar</v>
      </c>
      <c r="CJE111" s="179" t="s">
        <v>428</v>
      </c>
      <c r="CJF111" s="180" t="str">
        <f>VLOOKUP(CJE111,[13]AssetDetails_UEM!$A$3:$AH$1849,6,FALSE)</f>
        <v>Electrosurgical Units, Monopolar/Bipolar</v>
      </c>
      <c r="CJG111" s="179" t="s">
        <v>428</v>
      </c>
      <c r="CJH111" s="180" t="str">
        <f>VLOOKUP(CJG111,[13]AssetDetails_UEM!$A$3:$AH$1849,6,FALSE)</f>
        <v>Electrosurgical Units, Monopolar/Bipolar</v>
      </c>
      <c r="CJI111" s="179" t="s">
        <v>428</v>
      </c>
      <c r="CJJ111" s="180" t="str">
        <f>VLOOKUP(CJI111,[13]AssetDetails_UEM!$A$3:$AH$1849,6,FALSE)</f>
        <v>Electrosurgical Units, Monopolar/Bipolar</v>
      </c>
      <c r="CJK111" s="179" t="s">
        <v>428</v>
      </c>
      <c r="CJL111" s="180" t="str">
        <f>VLOOKUP(CJK111,[13]AssetDetails_UEM!$A$3:$AH$1849,6,FALSE)</f>
        <v>Electrosurgical Units, Monopolar/Bipolar</v>
      </c>
      <c r="CJM111" s="179" t="s">
        <v>428</v>
      </c>
      <c r="CJN111" s="180" t="str">
        <f>VLOOKUP(CJM111,[13]AssetDetails_UEM!$A$3:$AH$1849,6,FALSE)</f>
        <v>Electrosurgical Units, Monopolar/Bipolar</v>
      </c>
      <c r="CJO111" s="179" t="s">
        <v>428</v>
      </c>
      <c r="CJP111" s="180" t="str">
        <f>VLOOKUP(CJO111,[13]AssetDetails_UEM!$A$3:$AH$1849,6,FALSE)</f>
        <v>Electrosurgical Units, Monopolar/Bipolar</v>
      </c>
      <c r="CJQ111" s="179" t="s">
        <v>428</v>
      </c>
      <c r="CJR111" s="180" t="str">
        <f>VLOOKUP(CJQ111,[13]AssetDetails_UEM!$A$3:$AH$1849,6,FALSE)</f>
        <v>Electrosurgical Units, Monopolar/Bipolar</v>
      </c>
      <c r="CJS111" s="179" t="s">
        <v>428</v>
      </c>
      <c r="CJT111" s="180" t="str">
        <f>VLOOKUP(CJS111,[13]AssetDetails_UEM!$A$3:$AH$1849,6,FALSE)</f>
        <v>Electrosurgical Units, Monopolar/Bipolar</v>
      </c>
      <c r="CJU111" s="179" t="s">
        <v>428</v>
      </c>
      <c r="CJV111" s="180" t="str">
        <f>VLOOKUP(CJU111,[13]AssetDetails_UEM!$A$3:$AH$1849,6,FALSE)</f>
        <v>Electrosurgical Units, Monopolar/Bipolar</v>
      </c>
      <c r="CJW111" s="179" t="s">
        <v>428</v>
      </c>
      <c r="CJX111" s="180" t="str">
        <f>VLOOKUP(CJW111,[13]AssetDetails_UEM!$A$3:$AH$1849,6,FALSE)</f>
        <v>Electrosurgical Units, Monopolar/Bipolar</v>
      </c>
      <c r="CJY111" s="179" t="s">
        <v>428</v>
      </c>
      <c r="CJZ111" s="180" t="str">
        <f>VLOOKUP(CJY111,[13]AssetDetails_UEM!$A$3:$AH$1849,6,FALSE)</f>
        <v>Electrosurgical Units, Monopolar/Bipolar</v>
      </c>
      <c r="CKA111" s="179" t="s">
        <v>428</v>
      </c>
      <c r="CKB111" s="180" t="str">
        <f>VLOOKUP(CKA111,[13]AssetDetails_UEM!$A$3:$AH$1849,6,FALSE)</f>
        <v>Electrosurgical Units, Monopolar/Bipolar</v>
      </c>
      <c r="CKC111" s="179" t="s">
        <v>428</v>
      </c>
      <c r="CKD111" s="180" t="str">
        <f>VLOOKUP(CKC111,[13]AssetDetails_UEM!$A$3:$AH$1849,6,FALSE)</f>
        <v>Electrosurgical Units, Monopolar/Bipolar</v>
      </c>
      <c r="CKE111" s="179" t="s">
        <v>428</v>
      </c>
      <c r="CKF111" s="180" t="str">
        <f>VLOOKUP(CKE111,[13]AssetDetails_UEM!$A$3:$AH$1849,6,FALSE)</f>
        <v>Electrosurgical Units, Monopolar/Bipolar</v>
      </c>
      <c r="CKG111" s="179" t="s">
        <v>428</v>
      </c>
      <c r="CKH111" s="180" t="str">
        <f>VLOOKUP(CKG111,[13]AssetDetails_UEM!$A$3:$AH$1849,6,FALSE)</f>
        <v>Electrosurgical Units, Monopolar/Bipolar</v>
      </c>
      <c r="CKI111" s="179" t="s">
        <v>428</v>
      </c>
      <c r="CKJ111" s="180" t="str">
        <f>VLOOKUP(CKI111,[13]AssetDetails_UEM!$A$3:$AH$1849,6,FALSE)</f>
        <v>Electrosurgical Units, Monopolar/Bipolar</v>
      </c>
      <c r="CKK111" s="179" t="s">
        <v>428</v>
      </c>
      <c r="CKL111" s="180" t="str">
        <f>VLOOKUP(CKK111,[13]AssetDetails_UEM!$A$3:$AH$1849,6,FALSE)</f>
        <v>Electrosurgical Units, Monopolar/Bipolar</v>
      </c>
      <c r="CKM111" s="179" t="s">
        <v>428</v>
      </c>
      <c r="CKN111" s="180" t="str">
        <f>VLOOKUP(CKM111,[13]AssetDetails_UEM!$A$3:$AH$1849,6,FALSE)</f>
        <v>Electrosurgical Units, Monopolar/Bipolar</v>
      </c>
      <c r="CKO111" s="179" t="s">
        <v>428</v>
      </c>
      <c r="CKP111" s="180" t="str">
        <f>VLOOKUP(CKO111,[13]AssetDetails_UEM!$A$3:$AH$1849,6,FALSE)</f>
        <v>Electrosurgical Units, Monopolar/Bipolar</v>
      </c>
      <c r="CKQ111" s="179" t="s">
        <v>428</v>
      </c>
      <c r="CKR111" s="180" t="str">
        <f>VLOOKUP(CKQ111,[13]AssetDetails_UEM!$A$3:$AH$1849,6,FALSE)</f>
        <v>Electrosurgical Units, Monopolar/Bipolar</v>
      </c>
      <c r="CKS111" s="179" t="s">
        <v>428</v>
      </c>
      <c r="CKT111" s="180" t="str">
        <f>VLOOKUP(CKS111,[13]AssetDetails_UEM!$A$3:$AH$1849,6,FALSE)</f>
        <v>Electrosurgical Units, Monopolar/Bipolar</v>
      </c>
      <c r="CKU111" s="179" t="s">
        <v>428</v>
      </c>
      <c r="CKV111" s="180" t="str">
        <f>VLOOKUP(CKU111,[13]AssetDetails_UEM!$A$3:$AH$1849,6,FALSE)</f>
        <v>Electrosurgical Units, Monopolar/Bipolar</v>
      </c>
      <c r="CKW111" s="179" t="s">
        <v>428</v>
      </c>
      <c r="CKX111" s="180" t="str">
        <f>VLOOKUP(CKW111,[13]AssetDetails_UEM!$A$3:$AH$1849,6,FALSE)</f>
        <v>Electrosurgical Units, Monopolar/Bipolar</v>
      </c>
      <c r="CKY111" s="179" t="s">
        <v>428</v>
      </c>
      <c r="CKZ111" s="180" t="str">
        <f>VLOOKUP(CKY111,[13]AssetDetails_UEM!$A$3:$AH$1849,6,FALSE)</f>
        <v>Electrosurgical Units, Monopolar/Bipolar</v>
      </c>
      <c r="CLA111" s="179" t="s">
        <v>428</v>
      </c>
      <c r="CLB111" s="180" t="str">
        <f>VLOOKUP(CLA111,[13]AssetDetails_UEM!$A$3:$AH$1849,6,FALSE)</f>
        <v>Electrosurgical Units, Monopolar/Bipolar</v>
      </c>
      <c r="CLC111" s="179" t="s">
        <v>428</v>
      </c>
      <c r="CLD111" s="180" t="str">
        <f>VLOOKUP(CLC111,[13]AssetDetails_UEM!$A$3:$AH$1849,6,FALSE)</f>
        <v>Electrosurgical Units, Monopolar/Bipolar</v>
      </c>
      <c r="CLE111" s="179" t="s">
        <v>428</v>
      </c>
      <c r="CLF111" s="180" t="str">
        <f>VLOOKUP(CLE111,[13]AssetDetails_UEM!$A$3:$AH$1849,6,FALSE)</f>
        <v>Electrosurgical Units, Monopolar/Bipolar</v>
      </c>
      <c r="CLG111" s="179" t="s">
        <v>428</v>
      </c>
      <c r="CLH111" s="180" t="str">
        <f>VLOOKUP(CLG111,[13]AssetDetails_UEM!$A$3:$AH$1849,6,FALSE)</f>
        <v>Electrosurgical Units, Monopolar/Bipolar</v>
      </c>
      <c r="CLI111" s="179" t="s">
        <v>428</v>
      </c>
      <c r="CLJ111" s="180" t="str">
        <f>VLOOKUP(CLI111,[13]AssetDetails_UEM!$A$3:$AH$1849,6,FALSE)</f>
        <v>Electrosurgical Units, Monopolar/Bipolar</v>
      </c>
      <c r="CLK111" s="179" t="s">
        <v>428</v>
      </c>
      <c r="CLL111" s="180" t="str">
        <f>VLOOKUP(CLK111,[13]AssetDetails_UEM!$A$3:$AH$1849,6,FALSE)</f>
        <v>Electrosurgical Units, Monopolar/Bipolar</v>
      </c>
      <c r="CLM111" s="179" t="s">
        <v>428</v>
      </c>
      <c r="CLN111" s="180" t="str">
        <f>VLOOKUP(CLM111,[13]AssetDetails_UEM!$A$3:$AH$1849,6,FALSE)</f>
        <v>Electrosurgical Units, Monopolar/Bipolar</v>
      </c>
      <c r="CLO111" s="179" t="s">
        <v>428</v>
      </c>
      <c r="CLP111" s="180" t="str">
        <f>VLOOKUP(CLO111,[13]AssetDetails_UEM!$A$3:$AH$1849,6,FALSE)</f>
        <v>Electrosurgical Units, Monopolar/Bipolar</v>
      </c>
      <c r="CLQ111" s="179" t="s">
        <v>428</v>
      </c>
      <c r="CLR111" s="180" t="str">
        <f>VLOOKUP(CLQ111,[13]AssetDetails_UEM!$A$3:$AH$1849,6,FALSE)</f>
        <v>Electrosurgical Units, Monopolar/Bipolar</v>
      </c>
      <c r="CLS111" s="179" t="s">
        <v>428</v>
      </c>
      <c r="CLT111" s="180" t="str">
        <f>VLOOKUP(CLS111,[13]AssetDetails_UEM!$A$3:$AH$1849,6,FALSE)</f>
        <v>Electrosurgical Units, Monopolar/Bipolar</v>
      </c>
      <c r="CLU111" s="179" t="s">
        <v>428</v>
      </c>
      <c r="CLV111" s="180" t="str">
        <f>VLOOKUP(CLU111,[13]AssetDetails_UEM!$A$3:$AH$1849,6,FALSE)</f>
        <v>Electrosurgical Units, Monopolar/Bipolar</v>
      </c>
      <c r="CLW111" s="179" t="s">
        <v>428</v>
      </c>
      <c r="CLX111" s="180" t="str">
        <f>VLOOKUP(CLW111,[13]AssetDetails_UEM!$A$3:$AH$1849,6,FALSE)</f>
        <v>Electrosurgical Units, Monopolar/Bipolar</v>
      </c>
      <c r="CLY111" s="179" t="s">
        <v>428</v>
      </c>
      <c r="CLZ111" s="180" t="str">
        <f>VLOOKUP(CLY111,[13]AssetDetails_UEM!$A$3:$AH$1849,6,FALSE)</f>
        <v>Electrosurgical Units, Monopolar/Bipolar</v>
      </c>
      <c r="CMA111" s="179" t="s">
        <v>428</v>
      </c>
      <c r="CMB111" s="180" t="str">
        <f>VLOOKUP(CMA111,[13]AssetDetails_UEM!$A$3:$AH$1849,6,FALSE)</f>
        <v>Electrosurgical Units, Monopolar/Bipolar</v>
      </c>
      <c r="CMC111" s="179" t="s">
        <v>428</v>
      </c>
      <c r="CMD111" s="180" t="str">
        <f>VLOOKUP(CMC111,[13]AssetDetails_UEM!$A$3:$AH$1849,6,FALSE)</f>
        <v>Electrosurgical Units, Monopolar/Bipolar</v>
      </c>
      <c r="CME111" s="179" t="s">
        <v>428</v>
      </c>
      <c r="CMF111" s="180" t="str">
        <f>VLOOKUP(CME111,[13]AssetDetails_UEM!$A$3:$AH$1849,6,FALSE)</f>
        <v>Electrosurgical Units, Monopolar/Bipolar</v>
      </c>
      <c r="CMG111" s="179" t="s">
        <v>428</v>
      </c>
      <c r="CMH111" s="180" t="str">
        <f>VLOOKUP(CMG111,[13]AssetDetails_UEM!$A$3:$AH$1849,6,FALSE)</f>
        <v>Electrosurgical Units, Monopolar/Bipolar</v>
      </c>
      <c r="CMI111" s="179" t="s">
        <v>428</v>
      </c>
      <c r="CMJ111" s="180" t="str">
        <f>VLOOKUP(CMI111,[13]AssetDetails_UEM!$A$3:$AH$1849,6,FALSE)</f>
        <v>Electrosurgical Units, Monopolar/Bipolar</v>
      </c>
      <c r="CMK111" s="179" t="s">
        <v>428</v>
      </c>
      <c r="CML111" s="180" t="str">
        <f>VLOOKUP(CMK111,[13]AssetDetails_UEM!$A$3:$AH$1849,6,FALSE)</f>
        <v>Electrosurgical Units, Monopolar/Bipolar</v>
      </c>
      <c r="CMM111" s="179" t="s">
        <v>428</v>
      </c>
      <c r="CMN111" s="180" t="str">
        <f>VLOOKUP(CMM111,[13]AssetDetails_UEM!$A$3:$AH$1849,6,FALSE)</f>
        <v>Electrosurgical Units, Monopolar/Bipolar</v>
      </c>
      <c r="CMO111" s="179" t="s">
        <v>428</v>
      </c>
      <c r="CMP111" s="180" t="str">
        <f>VLOOKUP(CMO111,[13]AssetDetails_UEM!$A$3:$AH$1849,6,FALSE)</f>
        <v>Electrosurgical Units, Monopolar/Bipolar</v>
      </c>
      <c r="CMQ111" s="179" t="s">
        <v>428</v>
      </c>
      <c r="CMR111" s="180" t="str">
        <f>VLOOKUP(CMQ111,[13]AssetDetails_UEM!$A$3:$AH$1849,6,FALSE)</f>
        <v>Electrosurgical Units, Monopolar/Bipolar</v>
      </c>
      <c r="CMS111" s="179" t="s">
        <v>428</v>
      </c>
      <c r="CMT111" s="180" t="str">
        <f>VLOOKUP(CMS111,[13]AssetDetails_UEM!$A$3:$AH$1849,6,FALSE)</f>
        <v>Electrosurgical Units, Monopolar/Bipolar</v>
      </c>
      <c r="CMU111" s="179" t="s">
        <v>428</v>
      </c>
      <c r="CMV111" s="180" t="str">
        <f>VLOOKUP(CMU111,[13]AssetDetails_UEM!$A$3:$AH$1849,6,FALSE)</f>
        <v>Electrosurgical Units, Monopolar/Bipolar</v>
      </c>
      <c r="CMW111" s="179" t="s">
        <v>428</v>
      </c>
      <c r="CMX111" s="180" t="str">
        <f>VLOOKUP(CMW111,[13]AssetDetails_UEM!$A$3:$AH$1849,6,FALSE)</f>
        <v>Electrosurgical Units, Monopolar/Bipolar</v>
      </c>
      <c r="CMY111" s="179" t="s">
        <v>428</v>
      </c>
      <c r="CMZ111" s="180" t="str">
        <f>VLOOKUP(CMY111,[13]AssetDetails_UEM!$A$3:$AH$1849,6,FALSE)</f>
        <v>Electrosurgical Units, Monopolar/Bipolar</v>
      </c>
      <c r="CNA111" s="179" t="s">
        <v>428</v>
      </c>
      <c r="CNB111" s="180" t="str">
        <f>VLOOKUP(CNA111,[13]AssetDetails_UEM!$A$3:$AH$1849,6,FALSE)</f>
        <v>Electrosurgical Units, Monopolar/Bipolar</v>
      </c>
      <c r="CNC111" s="179" t="s">
        <v>428</v>
      </c>
      <c r="CND111" s="180" t="str">
        <f>VLOOKUP(CNC111,[13]AssetDetails_UEM!$A$3:$AH$1849,6,FALSE)</f>
        <v>Electrosurgical Units, Monopolar/Bipolar</v>
      </c>
      <c r="CNE111" s="179" t="s">
        <v>428</v>
      </c>
      <c r="CNF111" s="180" t="str">
        <f>VLOOKUP(CNE111,[13]AssetDetails_UEM!$A$3:$AH$1849,6,FALSE)</f>
        <v>Electrosurgical Units, Monopolar/Bipolar</v>
      </c>
      <c r="CNG111" s="179" t="s">
        <v>428</v>
      </c>
      <c r="CNH111" s="180" t="str">
        <f>VLOOKUP(CNG111,[13]AssetDetails_UEM!$A$3:$AH$1849,6,FALSE)</f>
        <v>Electrosurgical Units, Monopolar/Bipolar</v>
      </c>
      <c r="CNI111" s="179" t="s">
        <v>428</v>
      </c>
      <c r="CNJ111" s="180" t="str">
        <f>VLOOKUP(CNI111,[13]AssetDetails_UEM!$A$3:$AH$1849,6,FALSE)</f>
        <v>Electrosurgical Units, Monopolar/Bipolar</v>
      </c>
      <c r="CNK111" s="179" t="s">
        <v>428</v>
      </c>
      <c r="CNL111" s="180" t="str">
        <f>VLOOKUP(CNK111,[13]AssetDetails_UEM!$A$3:$AH$1849,6,FALSE)</f>
        <v>Electrosurgical Units, Monopolar/Bipolar</v>
      </c>
      <c r="CNM111" s="179" t="s">
        <v>428</v>
      </c>
      <c r="CNN111" s="180" t="str">
        <f>VLOOKUP(CNM111,[13]AssetDetails_UEM!$A$3:$AH$1849,6,FALSE)</f>
        <v>Electrosurgical Units, Monopolar/Bipolar</v>
      </c>
      <c r="CNO111" s="179" t="s">
        <v>428</v>
      </c>
      <c r="CNP111" s="180" t="str">
        <f>VLOOKUP(CNO111,[13]AssetDetails_UEM!$A$3:$AH$1849,6,FALSE)</f>
        <v>Electrosurgical Units, Monopolar/Bipolar</v>
      </c>
      <c r="CNQ111" s="179" t="s">
        <v>428</v>
      </c>
      <c r="CNR111" s="180" t="str">
        <f>VLOOKUP(CNQ111,[13]AssetDetails_UEM!$A$3:$AH$1849,6,FALSE)</f>
        <v>Electrosurgical Units, Monopolar/Bipolar</v>
      </c>
      <c r="CNS111" s="179" t="s">
        <v>428</v>
      </c>
      <c r="CNT111" s="180" t="str">
        <f>VLOOKUP(CNS111,[13]AssetDetails_UEM!$A$3:$AH$1849,6,FALSE)</f>
        <v>Electrosurgical Units, Monopolar/Bipolar</v>
      </c>
      <c r="CNU111" s="179" t="s">
        <v>428</v>
      </c>
      <c r="CNV111" s="180" t="str">
        <f>VLOOKUP(CNU111,[13]AssetDetails_UEM!$A$3:$AH$1849,6,FALSE)</f>
        <v>Electrosurgical Units, Monopolar/Bipolar</v>
      </c>
      <c r="CNW111" s="179" t="s">
        <v>428</v>
      </c>
      <c r="CNX111" s="180" t="str">
        <f>VLOOKUP(CNW111,[13]AssetDetails_UEM!$A$3:$AH$1849,6,FALSE)</f>
        <v>Electrosurgical Units, Monopolar/Bipolar</v>
      </c>
      <c r="CNY111" s="179" t="s">
        <v>428</v>
      </c>
      <c r="CNZ111" s="180" t="str">
        <f>VLOOKUP(CNY111,[13]AssetDetails_UEM!$A$3:$AH$1849,6,FALSE)</f>
        <v>Electrosurgical Units, Monopolar/Bipolar</v>
      </c>
      <c r="COA111" s="179" t="s">
        <v>428</v>
      </c>
      <c r="COB111" s="180" t="str">
        <f>VLOOKUP(COA111,[13]AssetDetails_UEM!$A$3:$AH$1849,6,FALSE)</f>
        <v>Electrosurgical Units, Monopolar/Bipolar</v>
      </c>
      <c r="COC111" s="179" t="s">
        <v>428</v>
      </c>
      <c r="COD111" s="180" t="str">
        <f>VLOOKUP(COC111,[13]AssetDetails_UEM!$A$3:$AH$1849,6,FALSE)</f>
        <v>Electrosurgical Units, Monopolar/Bipolar</v>
      </c>
      <c r="COE111" s="179" t="s">
        <v>428</v>
      </c>
      <c r="COF111" s="180" t="str">
        <f>VLOOKUP(COE111,[13]AssetDetails_UEM!$A$3:$AH$1849,6,FALSE)</f>
        <v>Electrosurgical Units, Monopolar/Bipolar</v>
      </c>
      <c r="COG111" s="179" t="s">
        <v>428</v>
      </c>
      <c r="COH111" s="180" t="str">
        <f>VLOOKUP(COG111,[13]AssetDetails_UEM!$A$3:$AH$1849,6,FALSE)</f>
        <v>Electrosurgical Units, Monopolar/Bipolar</v>
      </c>
      <c r="COI111" s="179" t="s">
        <v>428</v>
      </c>
      <c r="COJ111" s="180" t="str">
        <f>VLOOKUP(COI111,[13]AssetDetails_UEM!$A$3:$AH$1849,6,FALSE)</f>
        <v>Electrosurgical Units, Monopolar/Bipolar</v>
      </c>
      <c r="COK111" s="179" t="s">
        <v>428</v>
      </c>
      <c r="COL111" s="180" t="str">
        <f>VLOOKUP(COK111,[13]AssetDetails_UEM!$A$3:$AH$1849,6,FALSE)</f>
        <v>Electrosurgical Units, Monopolar/Bipolar</v>
      </c>
      <c r="COM111" s="179" t="s">
        <v>428</v>
      </c>
      <c r="CON111" s="180" t="str">
        <f>VLOOKUP(COM111,[13]AssetDetails_UEM!$A$3:$AH$1849,6,FALSE)</f>
        <v>Electrosurgical Units, Monopolar/Bipolar</v>
      </c>
      <c r="COO111" s="179" t="s">
        <v>428</v>
      </c>
      <c r="COP111" s="180" t="str">
        <f>VLOOKUP(COO111,[13]AssetDetails_UEM!$A$3:$AH$1849,6,FALSE)</f>
        <v>Electrosurgical Units, Monopolar/Bipolar</v>
      </c>
      <c r="COQ111" s="179" t="s">
        <v>428</v>
      </c>
      <c r="COR111" s="180" t="str">
        <f>VLOOKUP(COQ111,[13]AssetDetails_UEM!$A$3:$AH$1849,6,FALSE)</f>
        <v>Electrosurgical Units, Monopolar/Bipolar</v>
      </c>
      <c r="COS111" s="179" t="s">
        <v>428</v>
      </c>
      <c r="COT111" s="180" t="str">
        <f>VLOOKUP(COS111,[13]AssetDetails_UEM!$A$3:$AH$1849,6,FALSE)</f>
        <v>Electrosurgical Units, Monopolar/Bipolar</v>
      </c>
      <c r="COU111" s="179" t="s">
        <v>428</v>
      </c>
      <c r="COV111" s="180" t="str">
        <f>VLOOKUP(COU111,[13]AssetDetails_UEM!$A$3:$AH$1849,6,FALSE)</f>
        <v>Electrosurgical Units, Monopolar/Bipolar</v>
      </c>
      <c r="COW111" s="179" t="s">
        <v>428</v>
      </c>
      <c r="COX111" s="180" t="str">
        <f>VLOOKUP(COW111,[13]AssetDetails_UEM!$A$3:$AH$1849,6,FALSE)</f>
        <v>Electrosurgical Units, Monopolar/Bipolar</v>
      </c>
      <c r="COY111" s="179" t="s">
        <v>428</v>
      </c>
      <c r="COZ111" s="180" t="str">
        <f>VLOOKUP(COY111,[13]AssetDetails_UEM!$A$3:$AH$1849,6,FALSE)</f>
        <v>Electrosurgical Units, Monopolar/Bipolar</v>
      </c>
      <c r="CPA111" s="179" t="s">
        <v>428</v>
      </c>
      <c r="CPB111" s="180" t="str">
        <f>VLOOKUP(CPA111,[13]AssetDetails_UEM!$A$3:$AH$1849,6,FALSE)</f>
        <v>Electrosurgical Units, Monopolar/Bipolar</v>
      </c>
      <c r="CPC111" s="179" t="s">
        <v>428</v>
      </c>
      <c r="CPD111" s="180" t="str">
        <f>VLOOKUP(CPC111,[13]AssetDetails_UEM!$A$3:$AH$1849,6,FALSE)</f>
        <v>Electrosurgical Units, Monopolar/Bipolar</v>
      </c>
      <c r="CPE111" s="179" t="s">
        <v>428</v>
      </c>
      <c r="CPF111" s="180" t="str">
        <f>VLOOKUP(CPE111,[13]AssetDetails_UEM!$A$3:$AH$1849,6,FALSE)</f>
        <v>Electrosurgical Units, Monopolar/Bipolar</v>
      </c>
      <c r="CPG111" s="179" t="s">
        <v>428</v>
      </c>
      <c r="CPH111" s="180" t="str">
        <f>VLOOKUP(CPG111,[13]AssetDetails_UEM!$A$3:$AH$1849,6,FALSE)</f>
        <v>Electrosurgical Units, Monopolar/Bipolar</v>
      </c>
      <c r="CPI111" s="179" t="s">
        <v>428</v>
      </c>
      <c r="CPJ111" s="180" t="str">
        <f>VLOOKUP(CPI111,[13]AssetDetails_UEM!$A$3:$AH$1849,6,FALSE)</f>
        <v>Electrosurgical Units, Monopolar/Bipolar</v>
      </c>
      <c r="CPK111" s="179" t="s">
        <v>428</v>
      </c>
      <c r="CPL111" s="180" t="str">
        <f>VLOOKUP(CPK111,[13]AssetDetails_UEM!$A$3:$AH$1849,6,FALSE)</f>
        <v>Electrosurgical Units, Monopolar/Bipolar</v>
      </c>
      <c r="CPM111" s="179" t="s">
        <v>428</v>
      </c>
      <c r="CPN111" s="180" t="str">
        <f>VLOOKUP(CPM111,[13]AssetDetails_UEM!$A$3:$AH$1849,6,FALSE)</f>
        <v>Electrosurgical Units, Monopolar/Bipolar</v>
      </c>
      <c r="CPO111" s="179" t="s">
        <v>428</v>
      </c>
      <c r="CPP111" s="180" t="str">
        <f>VLOOKUP(CPO111,[13]AssetDetails_UEM!$A$3:$AH$1849,6,FALSE)</f>
        <v>Electrosurgical Units, Monopolar/Bipolar</v>
      </c>
      <c r="CPQ111" s="179" t="s">
        <v>428</v>
      </c>
      <c r="CPR111" s="180" t="str">
        <f>VLOOKUP(CPQ111,[13]AssetDetails_UEM!$A$3:$AH$1849,6,FALSE)</f>
        <v>Electrosurgical Units, Monopolar/Bipolar</v>
      </c>
      <c r="CPS111" s="179" t="s">
        <v>428</v>
      </c>
      <c r="CPT111" s="180" t="str">
        <f>VLOOKUP(CPS111,[13]AssetDetails_UEM!$A$3:$AH$1849,6,FALSE)</f>
        <v>Electrosurgical Units, Monopolar/Bipolar</v>
      </c>
      <c r="CPU111" s="179" t="s">
        <v>428</v>
      </c>
      <c r="CPV111" s="180" t="str">
        <f>VLOOKUP(CPU111,[13]AssetDetails_UEM!$A$3:$AH$1849,6,FALSE)</f>
        <v>Electrosurgical Units, Monopolar/Bipolar</v>
      </c>
      <c r="CPW111" s="179" t="s">
        <v>428</v>
      </c>
      <c r="CPX111" s="180" t="str">
        <f>VLOOKUP(CPW111,[13]AssetDetails_UEM!$A$3:$AH$1849,6,FALSE)</f>
        <v>Electrosurgical Units, Monopolar/Bipolar</v>
      </c>
      <c r="CPY111" s="179" t="s">
        <v>428</v>
      </c>
      <c r="CPZ111" s="180" t="str">
        <f>VLOOKUP(CPY111,[13]AssetDetails_UEM!$A$3:$AH$1849,6,FALSE)</f>
        <v>Electrosurgical Units, Monopolar/Bipolar</v>
      </c>
      <c r="CQA111" s="179" t="s">
        <v>428</v>
      </c>
      <c r="CQB111" s="180" t="str">
        <f>VLOOKUP(CQA111,[13]AssetDetails_UEM!$A$3:$AH$1849,6,FALSE)</f>
        <v>Electrosurgical Units, Monopolar/Bipolar</v>
      </c>
      <c r="CQC111" s="179" t="s">
        <v>428</v>
      </c>
      <c r="CQD111" s="180" t="str">
        <f>VLOOKUP(CQC111,[13]AssetDetails_UEM!$A$3:$AH$1849,6,FALSE)</f>
        <v>Electrosurgical Units, Monopolar/Bipolar</v>
      </c>
      <c r="CQE111" s="179" t="s">
        <v>428</v>
      </c>
      <c r="CQF111" s="180" t="str">
        <f>VLOOKUP(CQE111,[13]AssetDetails_UEM!$A$3:$AH$1849,6,FALSE)</f>
        <v>Electrosurgical Units, Monopolar/Bipolar</v>
      </c>
      <c r="CQG111" s="179" t="s">
        <v>428</v>
      </c>
      <c r="CQH111" s="180" t="str">
        <f>VLOOKUP(CQG111,[13]AssetDetails_UEM!$A$3:$AH$1849,6,FALSE)</f>
        <v>Electrosurgical Units, Monopolar/Bipolar</v>
      </c>
      <c r="CQI111" s="179" t="s">
        <v>428</v>
      </c>
      <c r="CQJ111" s="180" t="str">
        <f>VLOOKUP(CQI111,[13]AssetDetails_UEM!$A$3:$AH$1849,6,FALSE)</f>
        <v>Electrosurgical Units, Monopolar/Bipolar</v>
      </c>
      <c r="CQK111" s="179" t="s">
        <v>428</v>
      </c>
      <c r="CQL111" s="180" t="str">
        <f>VLOOKUP(CQK111,[13]AssetDetails_UEM!$A$3:$AH$1849,6,FALSE)</f>
        <v>Electrosurgical Units, Monopolar/Bipolar</v>
      </c>
      <c r="CQM111" s="179" t="s">
        <v>428</v>
      </c>
      <c r="CQN111" s="180" t="str">
        <f>VLOOKUP(CQM111,[13]AssetDetails_UEM!$A$3:$AH$1849,6,FALSE)</f>
        <v>Electrosurgical Units, Monopolar/Bipolar</v>
      </c>
      <c r="CQO111" s="179" t="s">
        <v>428</v>
      </c>
      <c r="CQP111" s="180" t="str">
        <f>VLOOKUP(CQO111,[13]AssetDetails_UEM!$A$3:$AH$1849,6,FALSE)</f>
        <v>Electrosurgical Units, Monopolar/Bipolar</v>
      </c>
      <c r="CQQ111" s="179" t="s">
        <v>428</v>
      </c>
      <c r="CQR111" s="180" t="str">
        <f>VLOOKUP(CQQ111,[13]AssetDetails_UEM!$A$3:$AH$1849,6,FALSE)</f>
        <v>Electrosurgical Units, Monopolar/Bipolar</v>
      </c>
      <c r="CQS111" s="179" t="s">
        <v>428</v>
      </c>
      <c r="CQT111" s="180" t="str">
        <f>VLOOKUP(CQS111,[13]AssetDetails_UEM!$A$3:$AH$1849,6,FALSE)</f>
        <v>Electrosurgical Units, Monopolar/Bipolar</v>
      </c>
      <c r="CQU111" s="179" t="s">
        <v>428</v>
      </c>
      <c r="CQV111" s="180" t="str">
        <f>VLOOKUP(CQU111,[13]AssetDetails_UEM!$A$3:$AH$1849,6,FALSE)</f>
        <v>Electrosurgical Units, Monopolar/Bipolar</v>
      </c>
      <c r="CQW111" s="179" t="s">
        <v>428</v>
      </c>
      <c r="CQX111" s="180" t="str">
        <f>VLOOKUP(CQW111,[13]AssetDetails_UEM!$A$3:$AH$1849,6,FALSE)</f>
        <v>Electrosurgical Units, Monopolar/Bipolar</v>
      </c>
      <c r="CQY111" s="179" t="s">
        <v>428</v>
      </c>
      <c r="CQZ111" s="180" t="str">
        <f>VLOOKUP(CQY111,[13]AssetDetails_UEM!$A$3:$AH$1849,6,FALSE)</f>
        <v>Electrosurgical Units, Monopolar/Bipolar</v>
      </c>
      <c r="CRA111" s="179" t="s">
        <v>428</v>
      </c>
      <c r="CRB111" s="180" t="str">
        <f>VLOOKUP(CRA111,[13]AssetDetails_UEM!$A$3:$AH$1849,6,FALSE)</f>
        <v>Electrosurgical Units, Monopolar/Bipolar</v>
      </c>
      <c r="CRC111" s="179" t="s">
        <v>428</v>
      </c>
      <c r="CRD111" s="180" t="str">
        <f>VLOOKUP(CRC111,[13]AssetDetails_UEM!$A$3:$AH$1849,6,FALSE)</f>
        <v>Electrosurgical Units, Monopolar/Bipolar</v>
      </c>
      <c r="CRE111" s="179" t="s">
        <v>428</v>
      </c>
      <c r="CRF111" s="180" t="str">
        <f>VLOOKUP(CRE111,[13]AssetDetails_UEM!$A$3:$AH$1849,6,FALSE)</f>
        <v>Electrosurgical Units, Monopolar/Bipolar</v>
      </c>
      <c r="CRG111" s="179" t="s">
        <v>428</v>
      </c>
      <c r="CRH111" s="180" t="str">
        <f>VLOOKUP(CRG111,[13]AssetDetails_UEM!$A$3:$AH$1849,6,FALSE)</f>
        <v>Electrosurgical Units, Monopolar/Bipolar</v>
      </c>
      <c r="CRI111" s="179" t="s">
        <v>428</v>
      </c>
      <c r="CRJ111" s="180" t="str">
        <f>VLOOKUP(CRI111,[13]AssetDetails_UEM!$A$3:$AH$1849,6,FALSE)</f>
        <v>Electrosurgical Units, Monopolar/Bipolar</v>
      </c>
      <c r="CRK111" s="179" t="s">
        <v>428</v>
      </c>
      <c r="CRL111" s="180" t="str">
        <f>VLOOKUP(CRK111,[13]AssetDetails_UEM!$A$3:$AH$1849,6,FALSE)</f>
        <v>Electrosurgical Units, Monopolar/Bipolar</v>
      </c>
      <c r="CRM111" s="179" t="s">
        <v>428</v>
      </c>
      <c r="CRN111" s="180" t="str">
        <f>VLOOKUP(CRM111,[13]AssetDetails_UEM!$A$3:$AH$1849,6,FALSE)</f>
        <v>Electrosurgical Units, Monopolar/Bipolar</v>
      </c>
      <c r="CRO111" s="179" t="s">
        <v>428</v>
      </c>
      <c r="CRP111" s="180" t="str">
        <f>VLOOKUP(CRO111,[13]AssetDetails_UEM!$A$3:$AH$1849,6,FALSE)</f>
        <v>Electrosurgical Units, Monopolar/Bipolar</v>
      </c>
      <c r="CRQ111" s="179" t="s">
        <v>428</v>
      </c>
      <c r="CRR111" s="180" t="str">
        <f>VLOOKUP(CRQ111,[13]AssetDetails_UEM!$A$3:$AH$1849,6,FALSE)</f>
        <v>Electrosurgical Units, Monopolar/Bipolar</v>
      </c>
      <c r="CRS111" s="179" t="s">
        <v>428</v>
      </c>
      <c r="CRT111" s="180" t="str">
        <f>VLOOKUP(CRS111,[13]AssetDetails_UEM!$A$3:$AH$1849,6,FALSE)</f>
        <v>Electrosurgical Units, Monopolar/Bipolar</v>
      </c>
      <c r="CRU111" s="179" t="s">
        <v>428</v>
      </c>
      <c r="CRV111" s="180" t="str">
        <f>VLOOKUP(CRU111,[13]AssetDetails_UEM!$A$3:$AH$1849,6,FALSE)</f>
        <v>Electrosurgical Units, Monopolar/Bipolar</v>
      </c>
      <c r="CRW111" s="179" t="s">
        <v>428</v>
      </c>
      <c r="CRX111" s="180" t="str">
        <f>VLOOKUP(CRW111,[13]AssetDetails_UEM!$A$3:$AH$1849,6,FALSE)</f>
        <v>Electrosurgical Units, Monopolar/Bipolar</v>
      </c>
      <c r="CRY111" s="179" t="s">
        <v>428</v>
      </c>
      <c r="CRZ111" s="180" t="str">
        <f>VLOOKUP(CRY111,[13]AssetDetails_UEM!$A$3:$AH$1849,6,FALSE)</f>
        <v>Electrosurgical Units, Monopolar/Bipolar</v>
      </c>
      <c r="CSA111" s="179" t="s">
        <v>428</v>
      </c>
      <c r="CSB111" s="180" t="str">
        <f>VLOOKUP(CSA111,[13]AssetDetails_UEM!$A$3:$AH$1849,6,FALSE)</f>
        <v>Electrosurgical Units, Monopolar/Bipolar</v>
      </c>
      <c r="CSC111" s="179" t="s">
        <v>428</v>
      </c>
      <c r="CSD111" s="180" t="str">
        <f>VLOOKUP(CSC111,[13]AssetDetails_UEM!$A$3:$AH$1849,6,FALSE)</f>
        <v>Electrosurgical Units, Monopolar/Bipolar</v>
      </c>
      <c r="CSE111" s="179" t="s">
        <v>428</v>
      </c>
      <c r="CSF111" s="180" t="str">
        <f>VLOOKUP(CSE111,[13]AssetDetails_UEM!$A$3:$AH$1849,6,FALSE)</f>
        <v>Electrosurgical Units, Monopolar/Bipolar</v>
      </c>
      <c r="CSG111" s="179" t="s">
        <v>428</v>
      </c>
      <c r="CSH111" s="180" t="str">
        <f>VLOOKUP(CSG111,[13]AssetDetails_UEM!$A$3:$AH$1849,6,FALSE)</f>
        <v>Electrosurgical Units, Monopolar/Bipolar</v>
      </c>
      <c r="CSI111" s="179" t="s">
        <v>428</v>
      </c>
      <c r="CSJ111" s="180" t="str">
        <f>VLOOKUP(CSI111,[13]AssetDetails_UEM!$A$3:$AH$1849,6,FALSE)</f>
        <v>Electrosurgical Units, Monopolar/Bipolar</v>
      </c>
      <c r="CSK111" s="179" t="s">
        <v>428</v>
      </c>
      <c r="CSL111" s="180" t="str">
        <f>VLOOKUP(CSK111,[13]AssetDetails_UEM!$A$3:$AH$1849,6,FALSE)</f>
        <v>Electrosurgical Units, Monopolar/Bipolar</v>
      </c>
      <c r="CSM111" s="179" t="s">
        <v>428</v>
      </c>
      <c r="CSN111" s="180" t="str">
        <f>VLOOKUP(CSM111,[13]AssetDetails_UEM!$A$3:$AH$1849,6,FALSE)</f>
        <v>Electrosurgical Units, Monopolar/Bipolar</v>
      </c>
      <c r="CSO111" s="179" t="s">
        <v>428</v>
      </c>
      <c r="CSP111" s="180" t="str">
        <f>VLOOKUP(CSO111,[13]AssetDetails_UEM!$A$3:$AH$1849,6,FALSE)</f>
        <v>Electrosurgical Units, Monopolar/Bipolar</v>
      </c>
      <c r="CSQ111" s="179" t="s">
        <v>428</v>
      </c>
      <c r="CSR111" s="180" t="str">
        <f>VLOOKUP(CSQ111,[13]AssetDetails_UEM!$A$3:$AH$1849,6,FALSE)</f>
        <v>Electrosurgical Units, Monopolar/Bipolar</v>
      </c>
      <c r="CSS111" s="179" t="s">
        <v>428</v>
      </c>
      <c r="CST111" s="180" t="str">
        <f>VLOOKUP(CSS111,[13]AssetDetails_UEM!$A$3:$AH$1849,6,FALSE)</f>
        <v>Electrosurgical Units, Monopolar/Bipolar</v>
      </c>
      <c r="CSU111" s="179" t="s">
        <v>428</v>
      </c>
      <c r="CSV111" s="180" t="str">
        <f>VLOOKUP(CSU111,[13]AssetDetails_UEM!$A$3:$AH$1849,6,FALSE)</f>
        <v>Electrosurgical Units, Monopolar/Bipolar</v>
      </c>
      <c r="CSW111" s="179" t="s">
        <v>428</v>
      </c>
      <c r="CSX111" s="180" t="str">
        <f>VLOOKUP(CSW111,[13]AssetDetails_UEM!$A$3:$AH$1849,6,FALSE)</f>
        <v>Electrosurgical Units, Monopolar/Bipolar</v>
      </c>
      <c r="CSY111" s="179" t="s">
        <v>428</v>
      </c>
      <c r="CSZ111" s="180" t="str">
        <f>VLOOKUP(CSY111,[13]AssetDetails_UEM!$A$3:$AH$1849,6,FALSE)</f>
        <v>Electrosurgical Units, Monopolar/Bipolar</v>
      </c>
      <c r="CTA111" s="179" t="s">
        <v>428</v>
      </c>
      <c r="CTB111" s="180" t="str">
        <f>VLOOKUP(CTA111,[13]AssetDetails_UEM!$A$3:$AH$1849,6,FALSE)</f>
        <v>Electrosurgical Units, Monopolar/Bipolar</v>
      </c>
      <c r="CTC111" s="179" t="s">
        <v>428</v>
      </c>
      <c r="CTD111" s="180" t="str">
        <f>VLOOKUP(CTC111,[13]AssetDetails_UEM!$A$3:$AH$1849,6,FALSE)</f>
        <v>Electrosurgical Units, Monopolar/Bipolar</v>
      </c>
      <c r="CTE111" s="179" t="s">
        <v>428</v>
      </c>
      <c r="CTF111" s="180" t="str">
        <f>VLOOKUP(CTE111,[13]AssetDetails_UEM!$A$3:$AH$1849,6,FALSE)</f>
        <v>Electrosurgical Units, Monopolar/Bipolar</v>
      </c>
      <c r="CTG111" s="179" t="s">
        <v>428</v>
      </c>
      <c r="CTH111" s="180" t="str">
        <f>VLOOKUP(CTG111,[13]AssetDetails_UEM!$A$3:$AH$1849,6,FALSE)</f>
        <v>Electrosurgical Units, Monopolar/Bipolar</v>
      </c>
      <c r="CTI111" s="179" t="s">
        <v>428</v>
      </c>
      <c r="CTJ111" s="180" t="str">
        <f>VLOOKUP(CTI111,[13]AssetDetails_UEM!$A$3:$AH$1849,6,FALSE)</f>
        <v>Electrosurgical Units, Monopolar/Bipolar</v>
      </c>
      <c r="CTK111" s="179" t="s">
        <v>428</v>
      </c>
      <c r="CTL111" s="180" t="str">
        <f>VLOOKUP(CTK111,[13]AssetDetails_UEM!$A$3:$AH$1849,6,FALSE)</f>
        <v>Electrosurgical Units, Monopolar/Bipolar</v>
      </c>
      <c r="CTM111" s="179" t="s">
        <v>428</v>
      </c>
      <c r="CTN111" s="180" t="str">
        <f>VLOOKUP(CTM111,[13]AssetDetails_UEM!$A$3:$AH$1849,6,FALSE)</f>
        <v>Electrosurgical Units, Monopolar/Bipolar</v>
      </c>
      <c r="CTO111" s="179" t="s">
        <v>428</v>
      </c>
      <c r="CTP111" s="180" t="str">
        <f>VLOOKUP(CTO111,[13]AssetDetails_UEM!$A$3:$AH$1849,6,FALSE)</f>
        <v>Electrosurgical Units, Monopolar/Bipolar</v>
      </c>
      <c r="CTQ111" s="179" t="s">
        <v>428</v>
      </c>
      <c r="CTR111" s="180" t="str">
        <f>VLOOKUP(CTQ111,[13]AssetDetails_UEM!$A$3:$AH$1849,6,FALSE)</f>
        <v>Electrosurgical Units, Monopolar/Bipolar</v>
      </c>
      <c r="CTS111" s="179" t="s">
        <v>428</v>
      </c>
      <c r="CTT111" s="180" t="str">
        <f>VLOOKUP(CTS111,[13]AssetDetails_UEM!$A$3:$AH$1849,6,FALSE)</f>
        <v>Electrosurgical Units, Monopolar/Bipolar</v>
      </c>
      <c r="CTU111" s="179" t="s">
        <v>428</v>
      </c>
      <c r="CTV111" s="180" t="str">
        <f>VLOOKUP(CTU111,[13]AssetDetails_UEM!$A$3:$AH$1849,6,FALSE)</f>
        <v>Electrosurgical Units, Monopolar/Bipolar</v>
      </c>
      <c r="CTW111" s="179" t="s">
        <v>428</v>
      </c>
      <c r="CTX111" s="180" t="str">
        <f>VLOOKUP(CTW111,[13]AssetDetails_UEM!$A$3:$AH$1849,6,FALSE)</f>
        <v>Electrosurgical Units, Monopolar/Bipolar</v>
      </c>
      <c r="CTY111" s="179" t="s">
        <v>428</v>
      </c>
      <c r="CTZ111" s="180" t="str">
        <f>VLOOKUP(CTY111,[13]AssetDetails_UEM!$A$3:$AH$1849,6,FALSE)</f>
        <v>Electrosurgical Units, Monopolar/Bipolar</v>
      </c>
      <c r="CUA111" s="179" t="s">
        <v>428</v>
      </c>
      <c r="CUB111" s="180" t="str">
        <f>VLOOKUP(CUA111,[13]AssetDetails_UEM!$A$3:$AH$1849,6,FALSE)</f>
        <v>Electrosurgical Units, Monopolar/Bipolar</v>
      </c>
      <c r="CUC111" s="179" t="s">
        <v>428</v>
      </c>
      <c r="CUD111" s="180" t="str">
        <f>VLOOKUP(CUC111,[13]AssetDetails_UEM!$A$3:$AH$1849,6,FALSE)</f>
        <v>Electrosurgical Units, Monopolar/Bipolar</v>
      </c>
      <c r="CUE111" s="179" t="s">
        <v>428</v>
      </c>
      <c r="CUF111" s="180" t="str">
        <f>VLOOKUP(CUE111,[13]AssetDetails_UEM!$A$3:$AH$1849,6,FALSE)</f>
        <v>Electrosurgical Units, Monopolar/Bipolar</v>
      </c>
      <c r="CUG111" s="179" t="s">
        <v>428</v>
      </c>
      <c r="CUH111" s="180" t="str">
        <f>VLOOKUP(CUG111,[13]AssetDetails_UEM!$A$3:$AH$1849,6,FALSE)</f>
        <v>Electrosurgical Units, Monopolar/Bipolar</v>
      </c>
      <c r="CUI111" s="179" t="s">
        <v>428</v>
      </c>
      <c r="CUJ111" s="180" t="str">
        <f>VLOOKUP(CUI111,[13]AssetDetails_UEM!$A$3:$AH$1849,6,FALSE)</f>
        <v>Electrosurgical Units, Monopolar/Bipolar</v>
      </c>
      <c r="CUK111" s="179" t="s">
        <v>428</v>
      </c>
      <c r="CUL111" s="180" t="str">
        <f>VLOOKUP(CUK111,[13]AssetDetails_UEM!$A$3:$AH$1849,6,FALSE)</f>
        <v>Electrosurgical Units, Monopolar/Bipolar</v>
      </c>
      <c r="CUM111" s="179" t="s">
        <v>428</v>
      </c>
      <c r="CUN111" s="180" t="str">
        <f>VLOOKUP(CUM111,[13]AssetDetails_UEM!$A$3:$AH$1849,6,FALSE)</f>
        <v>Electrosurgical Units, Monopolar/Bipolar</v>
      </c>
      <c r="CUO111" s="179" t="s">
        <v>428</v>
      </c>
      <c r="CUP111" s="180" t="str">
        <f>VLOOKUP(CUO111,[13]AssetDetails_UEM!$A$3:$AH$1849,6,FALSE)</f>
        <v>Electrosurgical Units, Monopolar/Bipolar</v>
      </c>
      <c r="CUQ111" s="179" t="s">
        <v>428</v>
      </c>
      <c r="CUR111" s="180" t="str">
        <f>VLOOKUP(CUQ111,[13]AssetDetails_UEM!$A$3:$AH$1849,6,FALSE)</f>
        <v>Electrosurgical Units, Monopolar/Bipolar</v>
      </c>
      <c r="CUS111" s="179" t="s">
        <v>428</v>
      </c>
      <c r="CUT111" s="180" t="str">
        <f>VLOOKUP(CUS111,[13]AssetDetails_UEM!$A$3:$AH$1849,6,FALSE)</f>
        <v>Electrosurgical Units, Monopolar/Bipolar</v>
      </c>
      <c r="CUU111" s="179" t="s">
        <v>428</v>
      </c>
      <c r="CUV111" s="180" t="str">
        <f>VLOOKUP(CUU111,[13]AssetDetails_UEM!$A$3:$AH$1849,6,FALSE)</f>
        <v>Electrosurgical Units, Monopolar/Bipolar</v>
      </c>
      <c r="CUW111" s="179" t="s">
        <v>428</v>
      </c>
      <c r="CUX111" s="180" t="str">
        <f>VLOOKUP(CUW111,[13]AssetDetails_UEM!$A$3:$AH$1849,6,FALSE)</f>
        <v>Electrosurgical Units, Monopolar/Bipolar</v>
      </c>
      <c r="CUY111" s="179" t="s">
        <v>428</v>
      </c>
      <c r="CUZ111" s="180" t="str">
        <f>VLOOKUP(CUY111,[13]AssetDetails_UEM!$A$3:$AH$1849,6,FALSE)</f>
        <v>Electrosurgical Units, Monopolar/Bipolar</v>
      </c>
      <c r="CVA111" s="179" t="s">
        <v>428</v>
      </c>
      <c r="CVB111" s="180" t="str">
        <f>VLOOKUP(CVA111,[13]AssetDetails_UEM!$A$3:$AH$1849,6,FALSE)</f>
        <v>Electrosurgical Units, Monopolar/Bipolar</v>
      </c>
      <c r="CVC111" s="179" t="s">
        <v>428</v>
      </c>
      <c r="CVD111" s="180" t="str">
        <f>VLOOKUP(CVC111,[13]AssetDetails_UEM!$A$3:$AH$1849,6,FALSE)</f>
        <v>Electrosurgical Units, Monopolar/Bipolar</v>
      </c>
      <c r="CVE111" s="179" t="s">
        <v>428</v>
      </c>
      <c r="CVF111" s="180" t="str">
        <f>VLOOKUP(CVE111,[13]AssetDetails_UEM!$A$3:$AH$1849,6,FALSE)</f>
        <v>Electrosurgical Units, Monopolar/Bipolar</v>
      </c>
      <c r="CVG111" s="179" t="s">
        <v>428</v>
      </c>
      <c r="CVH111" s="180" t="str">
        <f>VLOOKUP(CVG111,[13]AssetDetails_UEM!$A$3:$AH$1849,6,FALSE)</f>
        <v>Electrosurgical Units, Monopolar/Bipolar</v>
      </c>
      <c r="CVI111" s="179" t="s">
        <v>428</v>
      </c>
      <c r="CVJ111" s="180" t="str">
        <f>VLOOKUP(CVI111,[13]AssetDetails_UEM!$A$3:$AH$1849,6,FALSE)</f>
        <v>Electrosurgical Units, Monopolar/Bipolar</v>
      </c>
      <c r="CVK111" s="179" t="s">
        <v>428</v>
      </c>
      <c r="CVL111" s="180" t="str">
        <f>VLOOKUP(CVK111,[13]AssetDetails_UEM!$A$3:$AH$1849,6,FALSE)</f>
        <v>Electrosurgical Units, Monopolar/Bipolar</v>
      </c>
      <c r="CVM111" s="179" t="s">
        <v>428</v>
      </c>
      <c r="CVN111" s="180" t="str">
        <f>VLOOKUP(CVM111,[13]AssetDetails_UEM!$A$3:$AH$1849,6,FALSE)</f>
        <v>Electrosurgical Units, Monopolar/Bipolar</v>
      </c>
      <c r="CVO111" s="179" t="s">
        <v>428</v>
      </c>
      <c r="CVP111" s="180" t="str">
        <f>VLOOKUP(CVO111,[13]AssetDetails_UEM!$A$3:$AH$1849,6,FALSE)</f>
        <v>Electrosurgical Units, Monopolar/Bipolar</v>
      </c>
      <c r="CVQ111" s="179" t="s">
        <v>428</v>
      </c>
      <c r="CVR111" s="180" t="str">
        <f>VLOOKUP(CVQ111,[13]AssetDetails_UEM!$A$3:$AH$1849,6,FALSE)</f>
        <v>Electrosurgical Units, Monopolar/Bipolar</v>
      </c>
      <c r="CVS111" s="179" t="s">
        <v>428</v>
      </c>
      <c r="CVT111" s="180" t="str">
        <f>VLOOKUP(CVS111,[13]AssetDetails_UEM!$A$3:$AH$1849,6,FALSE)</f>
        <v>Electrosurgical Units, Monopolar/Bipolar</v>
      </c>
      <c r="CVU111" s="179" t="s">
        <v>428</v>
      </c>
      <c r="CVV111" s="180" t="str">
        <f>VLOOKUP(CVU111,[13]AssetDetails_UEM!$A$3:$AH$1849,6,FALSE)</f>
        <v>Electrosurgical Units, Monopolar/Bipolar</v>
      </c>
      <c r="CVW111" s="179" t="s">
        <v>428</v>
      </c>
      <c r="CVX111" s="180" t="str">
        <f>VLOOKUP(CVW111,[13]AssetDetails_UEM!$A$3:$AH$1849,6,FALSE)</f>
        <v>Electrosurgical Units, Monopolar/Bipolar</v>
      </c>
      <c r="CVY111" s="179" t="s">
        <v>428</v>
      </c>
      <c r="CVZ111" s="180" t="str">
        <f>VLOOKUP(CVY111,[13]AssetDetails_UEM!$A$3:$AH$1849,6,FALSE)</f>
        <v>Electrosurgical Units, Monopolar/Bipolar</v>
      </c>
      <c r="CWA111" s="179" t="s">
        <v>428</v>
      </c>
      <c r="CWB111" s="180" t="str">
        <f>VLOOKUP(CWA111,[13]AssetDetails_UEM!$A$3:$AH$1849,6,FALSE)</f>
        <v>Electrosurgical Units, Monopolar/Bipolar</v>
      </c>
      <c r="CWC111" s="179" t="s">
        <v>428</v>
      </c>
      <c r="CWD111" s="180" t="str">
        <f>VLOOKUP(CWC111,[13]AssetDetails_UEM!$A$3:$AH$1849,6,FALSE)</f>
        <v>Electrosurgical Units, Monopolar/Bipolar</v>
      </c>
      <c r="CWE111" s="179" t="s">
        <v>428</v>
      </c>
      <c r="CWF111" s="180" t="str">
        <f>VLOOKUP(CWE111,[13]AssetDetails_UEM!$A$3:$AH$1849,6,FALSE)</f>
        <v>Electrosurgical Units, Monopolar/Bipolar</v>
      </c>
      <c r="CWG111" s="179" t="s">
        <v>428</v>
      </c>
      <c r="CWH111" s="180" t="str">
        <f>VLOOKUP(CWG111,[13]AssetDetails_UEM!$A$3:$AH$1849,6,FALSE)</f>
        <v>Electrosurgical Units, Monopolar/Bipolar</v>
      </c>
      <c r="CWI111" s="179" t="s">
        <v>428</v>
      </c>
      <c r="CWJ111" s="180" t="str">
        <f>VLOOKUP(CWI111,[13]AssetDetails_UEM!$A$3:$AH$1849,6,FALSE)</f>
        <v>Electrosurgical Units, Monopolar/Bipolar</v>
      </c>
      <c r="CWK111" s="179" t="s">
        <v>428</v>
      </c>
      <c r="CWL111" s="180" t="str">
        <f>VLOOKUP(CWK111,[13]AssetDetails_UEM!$A$3:$AH$1849,6,FALSE)</f>
        <v>Electrosurgical Units, Monopolar/Bipolar</v>
      </c>
      <c r="CWM111" s="179" t="s">
        <v>428</v>
      </c>
      <c r="CWN111" s="180" t="str">
        <f>VLOOKUP(CWM111,[13]AssetDetails_UEM!$A$3:$AH$1849,6,FALSE)</f>
        <v>Electrosurgical Units, Monopolar/Bipolar</v>
      </c>
      <c r="CWO111" s="179" t="s">
        <v>428</v>
      </c>
      <c r="CWP111" s="180" t="str">
        <f>VLOOKUP(CWO111,[13]AssetDetails_UEM!$A$3:$AH$1849,6,FALSE)</f>
        <v>Electrosurgical Units, Monopolar/Bipolar</v>
      </c>
      <c r="CWQ111" s="179" t="s">
        <v>428</v>
      </c>
      <c r="CWR111" s="180" t="str">
        <f>VLOOKUP(CWQ111,[13]AssetDetails_UEM!$A$3:$AH$1849,6,FALSE)</f>
        <v>Electrosurgical Units, Monopolar/Bipolar</v>
      </c>
      <c r="CWS111" s="179" t="s">
        <v>428</v>
      </c>
      <c r="CWT111" s="180" t="str">
        <f>VLOOKUP(CWS111,[13]AssetDetails_UEM!$A$3:$AH$1849,6,FALSE)</f>
        <v>Electrosurgical Units, Monopolar/Bipolar</v>
      </c>
      <c r="CWU111" s="179" t="s">
        <v>428</v>
      </c>
      <c r="CWV111" s="180" t="str">
        <f>VLOOKUP(CWU111,[13]AssetDetails_UEM!$A$3:$AH$1849,6,FALSE)</f>
        <v>Electrosurgical Units, Monopolar/Bipolar</v>
      </c>
      <c r="CWW111" s="179" t="s">
        <v>428</v>
      </c>
      <c r="CWX111" s="180" t="str">
        <f>VLOOKUP(CWW111,[13]AssetDetails_UEM!$A$3:$AH$1849,6,FALSE)</f>
        <v>Electrosurgical Units, Monopolar/Bipolar</v>
      </c>
      <c r="CWY111" s="179" t="s">
        <v>428</v>
      </c>
      <c r="CWZ111" s="180" t="str">
        <f>VLOOKUP(CWY111,[13]AssetDetails_UEM!$A$3:$AH$1849,6,FALSE)</f>
        <v>Electrosurgical Units, Monopolar/Bipolar</v>
      </c>
      <c r="CXA111" s="179" t="s">
        <v>428</v>
      </c>
      <c r="CXB111" s="180" t="str">
        <f>VLOOKUP(CXA111,[13]AssetDetails_UEM!$A$3:$AH$1849,6,FALSE)</f>
        <v>Electrosurgical Units, Monopolar/Bipolar</v>
      </c>
      <c r="CXC111" s="179" t="s">
        <v>428</v>
      </c>
      <c r="CXD111" s="180" t="str">
        <f>VLOOKUP(CXC111,[13]AssetDetails_UEM!$A$3:$AH$1849,6,FALSE)</f>
        <v>Electrosurgical Units, Monopolar/Bipolar</v>
      </c>
      <c r="CXE111" s="179" t="s">
        <v>428</v>
      </c>
      <c r="CXF111" s="180" t="str">
        <f>VLOOKUP(CXE111,[13]AssetDetails_UEM!$A$3:$AH$1849,6,FALSE)</f>
        <v>Electrosurgical Units, Monopolar/Bipolar</v>
      </c>
      <c r="CXG111" s="179" t="s">
        <v>428</v>
      </c>
      <c r="CXH111" s="180" t="str">
        <f>VLOOKUP(CXG111,[13]AssetDetails_UEM!$A$3:$AH$1849,6,FALSE)</f>
        <v>Electrosurgical Units, Monopolar/Bipolar</v>
      </c>
      <c r="CXI111" s="179" t="s">
        <v>428</v>
      </c>
      <c r="CXJ111" s="180" t="str">
        <f>VLOOKUP(CXI111,[13]AssetDetails_UEM!$A$3:$AH$1849,6,FALSE)</f>
        <v>Electrosurgical Units, Monopolar/Bipolar</v>
      </c>
      <c r="CXK111" s="179" t="s">
        <v>428</v>
      </c>
      <c r="CXL111" s="180" t="str">
        <f>VLOOKUP(CXK111,[13]AssetDetails_UEM!$A$3:$AH$1849,6,FALSE)</f>
        <v>Electrosurgical Units, Monopolar/Bipolar</v>
      </c>
      <c r="CXM111" s="179" t="s">
        <v>428</v>
      </c>
      <c r="CXN111" s="180" t="str">
        <f>VLOOKUP(CXM111,[13]AssetDetails_UEM!$A$3:$AH$1849,6,FALSE)</f>
        <v>Electrosurgical Units, Monopolar/Bipolar</v>
      </c>
      <c r="CXO111" s="179" t="s">
        <v>428</v>
      </c>
      <c r="CXP111" s="180" t="str">
        <f>VLOOKUP(CXO111,[13]AssetDetails_UEM!$A$3:$AH$1849,6,FALSE)</f>
        <v>Electrosurgical Units, Monopolar/Bipolar</v>
      </c>
      <c r="CXQ111" s="179" t="s">
        <v>428</v>
      </c>
      <c r="CXR111" s="180" t="str">
        <f>VLOOKUP(CXQ111,[13]AssetDetails_UEM!$A$3:$AH$1849,6,FALSE)</f>
        <v>Electrosurgical Units, Monopolar/Bipolar</v>
      </c>
      <c r="CXS111" s="179" t="s">
        <v>428</v>
      </c>
      <c r="CXT111" s="180" t="str">
        <f>VLOOKUP(CXS111,[13]AssetDetails_UEM!$A$3:$AH$1849,6,FALSE)</f>
        <v>Electrosurgical Units, Monopolar/Bipolar</v>
      </c>
      <c r="CXU111" s="179" t="s">
        <v>428</v>
      </c>
      <c r="CXV111" s="180" t="str">
        <f>VLOOKUP(CXU111,[13]AssetDetails_UEM!$A$3:$AH$1849,6,FALSE)</f>
        <v>Electrosurgical Units, Monopolar/Bipolar</v>
      </c>
      <c r="CXW111" s="179" t="s">
        <v>428</v>
      </c>
      <c r="CXX111" s="180" t="str">
        <f>VLOOKUP(CXW111,[13]AssetDetails_UEM!$A$3:$AH$1849,6,FALSE)</f>
        <v>Electrosurgical Units, Monopolar/Bipolar</v>
      </c>
      <c r="CXY111" s="179" t="s">
        <v>428</v>
      </c>
      <c r="CXZ111" s="180" t="str">
        <f>VLOOKUP(CXY111,[13]AssetDetails_UEM!$A$3:$AH$1849,6,FALSE)</f>
        <v>Electrosurgical Units, Monopolar/Bipolar</v>
      </c>
      <c r="CYA111" s="179" t="s">
        <v>428</v>
      </c>
      <c r="CYB111" s="180" t="str">
        <f>VLOOKUP(CYA111,[13]AssetDetails_UEM!$A$3:$AH$1849,6,FALSE)</f>
        <v>Electrosurgical Units, Monopolar/Bipolar</v>
      </c>
      <c r="CYC111" s="179" t="s">
        <v>428</v>
      </c>
      <c r="CYD111" s="180" t="str">
        <f>VLOOKUP(CYC111,[13]AssetDetails_UEM!$A$3:$AH$1849,6,FALSE)</f>
        <v>Electrosurgical Units, Monopolar/Bipolar</v>
      </c>
      <c r="CYE111" s="179" t="s">
        <v>428</v>
      </c>
      <c r="CYF111" s="180" t="str">
        <f>VLOOKUP(CYE111,[13]AssetDetails_UEM!$A$3:$AH$1849,6,FALSE)</f>
        <v>Electrosurgical Units, Monopolar/Bipolar</v>
      </c>
      <c r="CYG111" s="179" t="s">
        <v>428</v>
      </c>
      <c r="CYH111" s="180" t="str">
        <f>VLOOKUP(CYG111,[13]AssetDetails_UEM!$A$3:$AH$1849,6,FALSE)</f>
        <v>Electrosurgical Units, Monopolar/Bipolar</v>
      </c>
      <c r="CYI111" s="179" t="s">
        <v>428</v>
      </c>
      <c r="CYJ111" s="180" t="str">
        <f>VLOOKUP(CYI111,[13]AssetDetails_UEM!$A$3:$AH$1849,6,FALSE)</f>
        <v>Electrosurgical Units, Monopolar/Bipolar</v>
      </c>
      <c r="CYK111" s="179" t="s">
        <v>428</v>
      </c>
      <c r="CYL111" s="180" t="str">
        <f>VLOOKUP(CYK111,[13]AssetDetails_UEM!$A$3:$AH$1849,6,FALSE)</f>
        <v>Electrosurgical Units, Monopolar/Bipolar</v>
      </c>
      <c r="CYM111" s="179" t="s">
        <v>428</v>
      </c>
      <c r="CYN111" s="180" t="str">
        <f>VLOOKUP(CYM111,[13]AssetDetails_UEM!$A$3:$AH$1849,6,FALSE)</f>
        <v>Electrosurgical Units, Monopolar/Bipolar</v>
      </c>
      <c r="CYO111" s="179" t="s">
        <v>428</v>
      </c>
      <c r="CYP111" s="180" t="str">
        <f>VLOOKUP(CYO111,[13]AssetDetails_UEM!$A$3:$AH$1849,6,FALSE)</f>
        <v>Electrosurgical Units, Monopolar/Bipolar</v>
      </c>
      <c r="CYQ111" s="179" t="s">
        <v>428</v>
      </c>
      <c r="CYR111" s="180" t="str">
        <f>VLOOKUP(CYQ111,[13]AssetDetails_UEM!$A$3:$AH$1849,6,FALSE)</f>
        <v>Electrosurgical Units, Monopolar/Bipolar</v>
      </c>
      <c r="CYS111" s="179" t="s">
        <v>428</v>
      </c>
      <c r="CYT111" s="180" t="str">
        <f>VLOOKUP(CYS111,[13]AssetDetails_UEM!$A$3:$AH$1849,6,FALSE)</f>
        <v>Electrosurgical Units, Monopolar/Bipolar</v>
      </c>
      <c r="CYU111" s="179" t="s">
        <v>428</v>
      </c>
      <c r="CYV111" s="180" t="str">
        <f>VLOOKUP(CYU111,[13]AssetDetails_UEM!$A$3:$AH$1849,6,FALSE)</f>
        <v>Electrosurgical Units, Monopolar/Bipolar</v>
      </c>
      <c r="CYW111" s="179" t="s">
        <v>428</v>
      </c>
      <c r="CYX111" s="180" t="str">
        <f>VLOOKUP(CYW111,[13]AssetDetails_UEM!$A$3:$AH$1849,6,FALSE)</f>
        <v>Electrosurgical Units, Monopolar/Bipolar</v>
      </c>
      <c r="CYY111" s="179" t="s">
        <v>428</v>
      </c>
      <c r="CYZ111" s="180" t="str">
        <f>VLOOKUP(CYY111,[13]AssetDetails_UEM!$A$3:$AH$1849,6,FALSE)</f>
        <v>Electrosurgical Units, Monopolar/Bipolar</v>
      </c>
      <c r="CZA111" s="179" t="s">
        <v>428</v>
      </c>
      <c r="CZB111" s="180" t="str">
        <f>VLOOKUP(CZA111,[13]AssetDetails_UEM!$A$3:$AH$1849,6,FALSE)</f>
        <v>Electrosurgical Units, Monopolar/Bipolar</v>
      </c>
      <c r="CZC111" s="179" t="s">
        <v>428</v>
      </c>
      <c r="CZD111" s="180" t="str">
        <f>VLOOKUP(CZC111,[13]AssetDetails_UEM!$A$3:$AH$1849,6,FALSE)</f>
        <v>Electrosurgical Units, Monopolar/Bipolar</v>
      </c>
      <c r="CZE111" s="179" t="s">
        <v>428</v>
      </c>
      <c r="CZF111" s="180" t="str">
        <f>VLOOKUP(CZE111,[13]AssetDetails_UEM!$A$3:$AH$1849,6,FALSE)</f>
        <v>Electrosurgical Units, Monopolar/Bipolar</v>
      </c>
      <c r="CZG111" s="179" t="s">
        <v>428</v>
      </c>
      <c r="CZH111" s="180" t="str">
        <f>VLOOKUP(CZG111,[13]AssetDetails_UEM!$A$3:$AH$1849,6,FALSE)</f>
        <v>Electrosurgical Units, Monopolar/Bipolar</v>
      </c>
      <c r="CZI111" s="179" t="s">
        <v>428</v>
      </c>
      <c r="CZJ111" s="180" t="str">
        <f>VLOOKUP(CZI111,[13]AssetDetails_UEM!$A$3:$AH$1849,6,FALSE)</f>
        <v>Electrosurgical Units, Monopolar/Bipolar</v>
      </c>
      <c r="CZK111" s="179" t="s">
        <v>428</v>
      </c>
      <c r="CZL111" s="180" t="str">
        <f>VLOOKUP(CZK111,[13]AssetDetails_UEM!$A$3:$AH$1849,6,FALSE)</f>
        <v>Electrosurgical Units, Monopolar/Bipolar</v>
      </c>
      <c r="CZM111" s="179" t="s">
        <v>428</v>
      </c>
      <c r="CZN111" s="180" t="str">
        <f>VLOOKUP(CZM111,[13]AssetDetails_UEM!$A$3:$AH$1849,6,FALSE)</f>
        <v>Electrosurgical Units, Monopolar/Bipolar</v>
      </c>
      <c r="CZO111" s="179" t="s">
        <v>428</v>
      </c>
      <c r="CZP111" s="180" t="str">
        <f>VLOOKUP(CZO111,[13]AssetDetails_UEM!$A$3:$AH$1849,6,FALSE)</f>
        <v>Electrosurgical Units, Monopolar/Bipolar</v>
      </c>
      <c r="CZQ111" s="179" t="s">
        <v>428</v>
      </c>
      <c r="CZR111" s="180" t="str">
        <f>VLOOKUP(CZQ111,[13]AssetDetails_UEM!$A$3:$AH$1849,6,FALSE)</f>
        <v>Electrosurgical Units, Monopolar/Bipolar</v>
      </c>
      <c r="CZS111" s="179" t="s">
        <v>428</v>
      </c>
      <c r="CZT111" s="180" t="str">
        <f>VLOOKUP(CZS111,[13]AssetDetails_UEM!$A$3:$AH$1849,6,FALSE)</f>
        <v>Electrosurgical Units, Monopolar/Bipolar</v>
      </c>
      <c r="CZU111" s="179" t="s">
        <v>428</v>
      </c>
      <c r="CZV111" s="180" t="str">
        <f>VLOOKUP(CZU111,[13]AssetDetails_UEM!$A$3:$AH$1849,6,FALSE)</f>
        <v>Electrosurgical Units, Monopolar/Bipolar</v>
      </c>
      <c r="CZW111" s="179" t="s">
        <v>428</v>
      </c>
      <c r="CZX111" s="180" t="str">
        <f>VLOOKUP(CZW111,[13]AssetDetails_UEM!$A$3:$AH$1849,6,FALSE)</f>
        <v>Electrosurgical Units, Monopolar/Bipolar</v>
      </c>
      <c r="CZY111" s="179" t="s">
        <v>428</v>
      </c>
      <c r="CZZ111" s="180" t="str">
        <f>VLOOKUP(CZY111,[13]AssetDetails_UEM!$A$3:$AH$1849,6,FALSE)</f>
        <v>Electrosurgical Units, Monopolar/Bipolar</v>
      </c>
      <c r="DAA111" s="179" t="s">
        <v>428</v>
      </c>
      <c r="DAB111" s="180" t="str">
        <f>VLOOKUP(DAA111,[13]AssetDetails_UEM!$A$3:$AH$1849,6,FALSE)</f>
        <v>Electrosurgical Units, Monopolar/Bipolar</v>
      </c>
      <c r="DAC111" s="179" t="s">
        <v>428</v>
      </c>
      <c r="DAD111" s="180" t="str">
        <f>VLOOKUP(DAC111,[13]AssetDetails_UEM!$A$3:$AH$1849,6,FALSE)</f>
        <v>Electrosurgical Units, Monopolar/Bipolar</v>
      </c>
      <c r="DAE111" s="179" t="s">
        <v>428</v>
      </c>
      <c r="DAF111" s="180" t="str">
        <f>VLOOKUP(DAE111,[13]AssetDetails_UEM!$A$3:$AH$1849,6,FALSE)</f>
        <v>Electrosurgical Units, Monopolar/Bipolar</v>
      </c>
      <c r="DAG111" s="179" t="s">
        <v>428</v>
      </c>
      <c r="DAH111" s="180" t="str">
        <f>VLOOKUP(DAG111,[13]AssetDetails_UEM!$A$3:$AH$1849,6,FALSE)</f>
        <v>Electrosurgical Units, Monopolar/Bipolar</v>
      </c>
      <c r="DAI111" s="179" t="s">
        <v>428</v>
      </c>
      <c r="DAJ111" s="180" t="str">
        <f>VLOOKUP(DAI111,[13]AssetDetails_UEM!$A$3:$AH$1849,6,FALSE)</f>
        <v>Electrosurgical Units, Monopolar/Bipolar</v>
      </c>
      <c r="DAK111" s="179" t="s">
        <v>428</v>
      </c>
      <c r="DAL111" s="180" t="str">
        <f>VLOOKUP(DAK111,[13]AssetDetails_UEM!$A$3:$AH$1849,6,FALSE)</f>
        <v>Electrosurgical Units, Monopolar/Bipolar</v>
      </c>
      <c r="DAM111" s="179" t="s">
        <v>428</v>
      </c>
      <c r="DAN111" s="180" t="str">
        <f>VLOOKUP(DAM111,[13]AssetDetails_UEM!$A$3:$AH$1849,6,FALSE)</f>
        <v>Electrosurgical Units, Monopolar/Bipolar</v>
      </c>
      <c r="DAO111" s="179" t="s">
        <v>428</v>
      </c>
      <c r="DAP111" s="180" t="str">
        <f>VLOOKUP(DAO111,[13]AssetDetails_UEM!$A$3:$AH$1849,6,FALSE)</f>
        <v>Electrosurgical Units, Monopolar/Bipolar</v>
      </c>
      <c r="DAQ111" s="179" t="s">
        <v>428</v>
      </c>
      <c r="DAR111" s="180" t="str">
        <f>VLOOKUP(DAQ111,[13]AssetDetails_UEM!$A$3:$AH$1849,6,FALSE)</f>
        <v>Electrosurgical Units, Monopolar/Bipolar</v>
      </c>
      <c r="DAS111" s="179" t="s">
        <v>428</v>
      </c>
      <c r="DAT111" s="180" t="str">
        <f>VLOOKUP(DAS111,[13]AssetDetails_UEM!$A$3:$AH$1849,6,FALSE)</f>
        <v>Electrosurgical Units, Monopolar/Bipolar</v>
      </c>
      <c r="DAU111" s="179" t="s">
        <v>428</v>
      </c>
      <c r="DAV111" s="180" t="str">
        <f>VLOOKUP(DAU111,[13]AssetDetails_UEM!$A$3:$AH$1849,6,FALSE)</f>
        <v>Electrosurgical Units, Monopolar/Bipolar</v>
      </c>
      <c r="DAW111" s="179" t="s">
        <v>428</v>
      </c>
      <c r="DAX111" s="180" t="str">
        <f>VLOOKUP(DAW111,[13]AssetDetails_UEM!$A$3:$AH$1849,6,FALSE)</f>
        <v>Electrosurgical Units, Monopolar/Bipolar</v>
      </c>
      <c r="DAY111" s="179" t="s">
        <v>428</v>
      </c>
      <c r="DAZ111" s="180" t="str">
        <f>VLOOKUP(DAY111,[13]AssetDetails_UEM!$A$3:$AH$1849,6,FALSE)</f>
        <v>Electrosurgical Units, Monopolar/Bipolar</v>
      </c>
      <c r="DBA111" s="179" t="s">
        <v>428</v>
      </c>
      <c r="DBB111" s="180" t="str">
        <f>VLOOKUP(DBA111,[13]AssetDetails_UEM!$A$3:$AH$1849,6,FALSE)</f>
        <v>Electrosurgical Units, Monopolar/Bipolar</v>
      </c>
      <c r="DBC111" s="179" t="s">
        <v>428</v>
      </c>
      <c r="DBD111" s="180" t="str">
        <f>VLOOKUP(DBC111,[13]AssetDetails_UEM!$A$3:$AH$1849,6,FALSE)</f>
        <v>Electrosurgical Units, Monopolar/Bipolar</v>
      </c>
      <c r="DBE111" s="179" t="s">
        <v>428</v>
      </c>
      <c r="DBF111" s="180" t="str">
        <f>VLOOKUP(DBE111,[13]AssetDetails_UEM!$A$3:$AH$1849,6,FALSE)</f>
        <v>Electrosurgical Units, Monopolar/Bipolar</v>
      </c>
      <c r="DBG111" s="179" t="s">
        <v>428</v>
      </c>
      <c r="DBH111" s="180" t="str">
        <f>VLOOKUP(DBG111,[13]AssetDetails_UEM!$A$3:$AH$1849,6,FALSE)</f>
        <v>Electrosurgical Units, Monopolar/Bipolar</v>
      </c>
      <c r="DBI111" s="179" t="s">
        <v>428</v>
      </c>
      <c r="DBJ111" s="180" t="str">
        <f>VLOOKUP(DBI111,[13]AssetDetails_UEM!$A$3:$AH$1849,6,FALSE)</f>
        <v>Electrosurgical Units, Monopolar/Bipolar</v>
      </c>
      <c r="DBK111" s="179" t="s">
        <v>428</v>
      </c>
      <c r="DBL111" s="180" t="str">
        <f>VLOOKUP(DBK111,[13]AssetDetails_UEM!$A$3:$AH$1849,6,FALSE)</f>
        <v>Electrosurgical Units, Monopolar/Bipolar</v>
      </c>
      <c r="DBM111" s="179" t="s">
        <v>428</v>
      </c>
      <c r="DBN111" s="180" t="str">
        <f>VLOOKUP(DBM111,[13]AssetDetails_UEM!$A$3:$AH$1849,6,FALSE)</f>
        <v>Electrosurgical Units, Monopolar/Bipolar</v>
      </c>
      <c r="DBO111" s="179" t="s">
        <v>428</v>
      </c>
      <c r="DBP111" s="180" t="str">
        <f>VLOOKUP(DBO111,[13]AssetDetails_UEM!$A$3:$AH$1849,6,FALSE)</f>
        <v>Electrosurgical Units, Monopolar/Bipolar</v>
      </c>
      <c r="DBQ111" s="179" t="s">
        <v>428</v>
      </c>
      <c r="DBR111" s="180" t="str">
        <f>VLOOKUP(DBQ111,[13]AssetDetails_UEM!$A$3:$AH$1849,6,FALSE)</f>
        <v>Electrosurgical Units, Monopolar/Bipolar</v>
      </c>
      <c r="DBS111" s="179" t="s">
        <v>428</v>
      </c>
      <c r="DBT111" s="180" t="str">
        <f>VLOOKUP(DBS111,[13]AssetDetails_UEM!$A$3:$AH$1849,6,FALSE)</f>
        <v>Electrosurgical Units, Monopolar/Bipolar</v>
      </c>
      <c r="DBU111" s="179" t="s">
        <v>428</v>
      </c>
      <c r="DBV111" s="180" t="str">
        <f>VLOOKUP(DBU111,[13]AssetDetails_UEM!$A$3:$AH$1849,6,FALSE)</f>
        <v>Electrosurgical Units, Monopolar/Bipolar</v>
      </c>
      <c r="DBW111" s="179" t="s">
        <v>428</v>
      </c>
      <c r="DBX111" s="180" t="str">
        <f>VLOOKUP(DBW111,[13]AssetDetails_UEM!$A$3:$AH$1849,6,FALSE)</f>
        <v>Electrosurgical Units, Monopolar/Bipolar</v>
      </c>
      <c r="DBY111" s="179" t="s">
        <v>428</v>
      </c>
      <c r="DBZ111" s="180" t="str">
        <f>VLOOKUP(DBY111,[13]AssetDetails_UEM!$A$3:$AH$1849,6,FALSE)</f>
        <v>Electrosurgical Units, Monopolar/Bipolar</v>
      </c>
      <c r="DCA111" s="179" t="s">
        <v>428</v>
      </c>
      <c r="DCB111" s="180" t="str">
        <f>VLOOKUP(DCA111,[13]AssetDetails_UEM!$A$3:$AH$1849,6,FALSE)</f>
        <v>Electrosurgical Units, Monopolar/Bipolar</v>
      </c>
      <c r="DCC111" s="179" t="s">
        <v>428</v>
      </c>
      <c r="DCD111" s="180" t="str">
        <f>VLOOKUP(DCC111,[13]AssetDetails_UEM!$A$3:$AH$1849,6,FALSE)</f>
        <v>Electrosurgical Units, Monopolar/Bipolar</v>
      </c>
      <c r="DCE111" s="179" t="s">
        <v>428</v>
      </c>
      <c r="DCF111" s="180" t="str">
        <f>VLOOKUP(DCE111,[13]AssetDetails_UEM!$A$3:$AH$1849,6,FALSE)</f>
        <v>Electrosurgical Units, Monopolar/Bipolar</v>
      </c>
      <c r="DCG111" s="179" t="s">
        <v>428</v>
      </c>
      <c r="DCH111" s="180" t="str">
        <f>VLOOKUP(DCG111,[13]AssetDetails_UEM!$A$3:$AH$1849,6,FALSE)</f>
        <v>Electrosurgical Units, Monopolar/Bipolar</v>
      </c>
      <c r="DCI111" s="179" t="s">
        <v>428</v>
      </c>
      <c r="DCJ111" s="180" t="str">
        <f>VLOOKUP(DCI111,[13]AssetDetails_UEM!$A$3:$AH$1849,6,FALSE)</f>
        <v>Electrosurgical Units, Monopolar/Bipolar</v>
      </c>
      <c r="DCK111" s="179" t="s">
        <v>428</v>
      </c>
      <c r="DCL111" s="180" t="str">
        <f>VLOOKUP(DCK111,[13]AssetDetails_UEM!$A$3:$AH$1849,6,FALSE)</f>
        <v>Electrosurgical Units, Monopolar/Bipolar</v>
      </c>
      <c r="DCM111" s="179" t="s">
        <v>428</v>
      </c>
      <c r="DCN111" s="180" t="str">
        <f>VLOOKUP(DCM111,[13]AssetDetails_UEM!$A$3:$AH$1849,6,FALSE)</f>
        <v>Electrosurgical Units, Monopolar/Bipolar</v>
      </c>
      <c r="DCO111" s="179" t="s">
        <v>428</v>
      </c>
      <c r="DCP111" s="180" t="str">
        <f>VLOOKUP(DCO111,[13]AssetDetails_UEM!$A$3:$AH$1849,6,FALSE)</f>
        <v>Electrosurgical Units, Monopolar/Bipolar</v>
      </c>
      <c r="DCQ111" s="179" t="s">
        <v>428</v>
      </c>
      <c r="DCR111" s="180" t="str">
        <f>VLOOKUP(DCQ111,[13]AssetDetails_UEM!$A$3:$AH$1849,6,FALSE)</f>
        <v>Electrosurgical Units, Monopolar/Bipolar</v>
      </c>
      <c r="DCS111" s="179" t="s">
        <v>428</v>
      </c>
      <c r="DCT111" s="180" t="str">
        <f>VLOOKUP(DCS111,[13]AssetDetails_UEM!$A$3:$AH$1849,6,FALSE)</f>
        <v>Electrosurgical Units, Monopolar/Bipolar</v>
      </c>
      <c r="DCU111" s="179" t="s">
        <v>428</v>
      </c>
      <c r="DCV111" s="180" t="str">
        <f>VLOOKUP(DCU111,[13]AssetDetails_UEM!$A$3:$AH$1849,6,FALSE)</f>
        <v>Electrosurgical Units, Monopolar/Bipolar</v>
      </c>
      <c r="DCW111" s="179" t="s">
        <v>428</v>
      </c>
      <c r="DCX111" s="180" t="str">
        <f>VLOOKUP(DCW111,[13]AssetDetails_UEM!$A$3:$AH$1849,6,FALSE)</f>
        <v>Electrosurgical Units, Monopolar/Bipolar</v>
      </c>
      <c r="DCY111" s="179" t="s">
        <v>428</v>
      </c>
      <c r="DCZ111" s="180" t="str">
        <f>VLOOKUP(DCY111,[13]AssetDetails_UEM!$A$3:$AH$1849,6,FALSE)</f>
        <v>Electrosurgical Units, Monopolar/Bipolar</v>
      </c>
      <c r="DDA111" s="179" t="s">
        <v>428</v>
      </c>
      <c r="DDB111" s="180" t="str">
        <f>VLOOKUP(DDA111,[13]AssetDetails_UEM!$A$3:$AH$1849,6,FALSE)</f>
        <v>Electrosurgical Units, Monopolar/Bipolar</v>
      </c>
      <c r="DDC111" s="179" t="s">
        <v>428</v>
      </c>
      <c r="DDD111" s="180" t="str">
        <f>VLOOKUP(DDC111,[13]AssetDetails_UEM!$A$3:$AH$1849,6,FALSE)</f>
        <v>Electrosurgical Units, Monopolar/Bipolar</v>
      </c>
      <c r="DDE111" s="179" t="s">
        <v>428</v>
      </c>
      <c r="DDF111" s="180" t="str">
        <f>VLOOKUP(DDE111,[13]AssetDetails_UEM!$A$3:$AH$1849,6,FALSE)</f>
        <v>Electrosurgical Units, Monopolar/Bipolar</v>
      </c>
      <c r="DDG111" s="179" t="s">
        <v>428</v>
      </c>
      <c r="DDH111" s="180" t="str">
        <f>VLOOKUP(DDG111,[13]AssetDetails_UEM!$A$3:$AH$1849,6,FALSE)</f>
        <v>Electrosurgical Units, Monopolar/Bipolar</v>
      </c>
      <c r="DDI111" s="179" t="s">
        <v>428</v>
      </c>
      <c r="DDJ111" s="180" t="str">
        <f>VLOOKUP(DDI111,[13]AssetDetails_UEM!$A$3:$AH$1849,6,FALSE)</f>
        <v>Electrosurgical Units, Monopolar/Bipolar</v>
      </c>
      <c r="DDK111" s="179" t="s">
        <v>428</v>
      </c>
      <c r="DDL111" s="180" t="str">
        <f>VLOOKUP(DDK111,[13]AssetDetails_UEM!$A$3:$AH$1849,6,FALSE)</f>
        <v>Electrosurgical Units, Monopolar/Bipolar</v>
      </c>
      <c r="DDM111" s="179" t="s">
        <v>428</v>
      </c>
      <c r="DDN111" s="180" t="str">
        <f>VLOOKUP(DDM111,[13]AssetDetails_UEM!$A$3:$AH$1849,6,FALSE)</f>
        <v>Electrosurgical Units, Monopolar/Bipolar</v>
      </c>
      <c r="DDO111" s="179" t="s">
        <v>428</v>
      </c>
      <c r="DDP111" s="180" t="str">
        <f>VLOOKUP(DDO111,[13]AssetDetails_UEM!$A$3:$AH$1849,6,FALSE)</f>
        <v>Electrosurgical Units, Monopolar/Bipolar</v>
      </c>
      <c r="DDQ111" s="179" t="s">
        <v>428</v>
      </c>
      <c r="DDR111" s="180" t="str">
        <f>VLOOKUP(DDQ111,[13]AssetDetails_UEM!$A$3:$AH$1849,6,FALSE)</f>
        <v>Electrosurgical Units, Monopolar/Bipolar</v>
      </c>
      <c r="DDS111" s="179" t="s">
        <v>428</v>
      </c>
      <c r="DDT111" s="180" t="str">
        <f>VLOOKUP(DDS111,[13]AssetDetails_UEM!$A$3:$AH$1849,6,FALSE)</f>
        <v>Electrosurgical Units, Monopolar/Bipolar</v>
      </c>
      <c r="DDU111" s="179" t="s">
        <v>428</v>
      </c>
      <c r="DDV111" s="180" t="str">
        <f>VLOOKUP(DDU111,[13]AssetDetails_UEM!$A$3:$AH$1849,6,FALSE)</f>
        <v>Electrosurgical Units, Monopolar/Bipolar</v>
      </c>
      <c r="DDW111" s="179" t="s">
        <v>428</v>
      </c>
      <c r="DDX111" s="180" t="str">
        <f>VLOOKUP(DDW111,[13]AssetDetails_UEM!$A$3:$AH$1849,6,FALSE)</f>
        <v>Electrosurgical Units, Monopolar/Bipolar</v>
      </c>
      <c r="DDY111" s="179" t="s">
        <v>428</v>
      </c>
      <c r="DDZ111" s="180" t="str">
        <f>VLOOKUP(DDY111,[13]AssetDetails_UEM!$A$3:$AH$1849,6,FALSE)</f>
        <v>Electrosurgical Units, Monopolar/Bipolar</v>
      </c>
      <c r="DEA111" s="179" t="s">
        <v>428</v>
      </c>
      <c r="DEB111" s="180" t="str">
        <f>VLOOKUP(DEA111,[13]AssetDetails_UEM!$A$3:$AH$1849,6,FALSE)</f>
        <v>Electrosurgical Units, Monopolar/Bipolar</v>
      </c>
      <c r="DEC111" s="179" t="s">
        <v>428</v>
      </c>
      <c r="DED111" s="180" t="str">
        <f>VLOOKUP(DEC111,[13]AssetDetails_UEM!$A$3:$AH$1849,6,FALSE)</f>
        <v>Electrosurgical Units, Monopolar/Bipolar</v>
      </c>
      <c r="DEE111" s="179" t="s">
        <v>428</v>
      </c>
      <c r="DEF111" s="180" t="str">
        <f>VLOOKUP(DEE111,[13]AssetDetails_UEM!$A$3:$AH$1849,6,FALSE)</f>
        <v>Electrosurgical Units, Monopolar/Bipolar</v>
      </c>
      <c r="DEG111" s="179" t="s">
        <v>428</v>
      </c>
      <c r="DEH111" s="180" t="str">
        <f>VLOOKUP(DEG111,[13]AssetDetails_UEM!$A$3:$AH$1849,6,FALSE)</f>
        <v>Electrosurgical Units, Monopolar/Bipolar</v>
      </c>
      <c r="DEI111" s="179" t="s">
        <v>428</v>
      </c>
      <c r="DEJ111" s="180" t="str">
        <f>VLOOKUP(DEI111,[13]AssetDetails_UEM!$A$3:$AH$1849,6,FALSE)</f>
        <v>Electrosurgical Units, Monopolar/Bipolar</v>
      </c>
      <c r="DEK111" s="179" t="s">
        <v>428</v>
      </c>
      <c r="DEL111" s="180" t="str">
        <f>VLOOKUP(DEK111,[13]AssetDetails_UEM!$A$3:$AH$1849,6,FALSE)</f>
        <v>Electrosurgical Units, Monopolar/Bipolar</v>
      </c>
      <c r="DEM111" s="179" t="s">
        <v>428</v>
      </c>
      <c r="DEN111" s="180" t="str">
        <f>VLOOKUP(DEM111,[13]AssetDetails_UEM!$A$3:$AH$1849,6,FALSE)</f>
        <v>Electrosurgical Units, Monopolar/Bipolar</v>
      </c>
      <c r="DEO111" s="179" t="s">
        <v>428</v>
      </c>
      <c r="DEP111" s="180" t="str">
        <f>VLOOKUP(DEO111,[13]AssetDetails_UEM!$A$3:$AH$1849,6,FALSE)</f>
        <v>Electrosurgical Units, Monopolar/Bipolar</v>
      </c>
      <c r="DEQ111" s="179" t="s">
        <v>428</v>
      </c>
      <c r="DER111" s="180" t="str">
        <f>VLOOKUP(DEQ111,[13]AssetDetails_UEM!$A$3:$AH$1849,6,FALSE)</f>
        <v>Electrosurgical Units, Monopolar/Bipolar</v>
      </c>
      <c r="DES111" s="179" t="s">
        <v>428</v>
      </c>
      <c r="DET111" s="180" t="str">
        <f>VLOOKUP(DES111,[13]AssetDetails_UEM!$A$3:$AH$1849,6,FALSE)</f>
        <v>Electrosurgical Units, Monopolar/Bipolar</v>
      </c>
      <c r="DEU111" s="179" t="s">
        <v>428</v>
      </c>
      <c r="DEV111" s="180" t="str">
        <f>VLOOKUP(DEU111,[13]AssetDetails_UEM!$A$3:$AH$1849,6,FALSE)</f>
        <v>Electrosurgical Units, Monopolar/Bipolar</v>
      </c>
      <c r="DEW111" s="179" t="s">
        <v>428</v>
      </c>
      <c r="DEX111" s="180" t="str">
        <f>VLOOKUP(DEW111,[13]AssetDetails_UEM!$A$3:$AH$1849,6,FALSE)</f>
        <v>Electrosurgical Units, Monopolar/Bipolar</v>
      </c>
      <c r="DEY111" s="179" t="s">
        <v>428</v>
      </c>
      <c r="DEZ111" s="180" t="str">
        <f>VLOOKUP(DEY111,[13]AssetDetails_UEM!$A$3:$AH$1849,6,FALSE)</f>
        <v>Electrosurgical Units, Monopolar/Bipolar</v>
      </c>
      <c r="DFA111" s="179" t="s">
        <v>428</v>
      </c>
      <c r="DFB111" s="180" t="str">
        <f>VLOOKUP(DFA111,[13]AssetDetails_UEM!$A$3:$AH$1849,6,FALSE)</f>
        <v>Electrosurgical Units, Monopolar/Bipolar</v>
      </c>
      <c r="DFC111" s="179" t="s">
        <v>428</v>
      </c>
      <c r="DFD111" s="180" t="str">
        <f>VLOOKUP(DFC111,[13]AssetDetails_UEM!$A$3:$AH$1849,6,FALSE)</f>
        <v>Electrosurgical Units, Monopolar/Bipolar</v>
      </c>
      <c r="DFE111" s="179" t="s">
        <v>428</v>
      </c>
      <c r="DFF111" s="180" t="str">
        <f>VLOOKUP(DFE111,[13]AssetDetails_UEM!$A$3:$AH$1849,6,FALSE)</f>
        <v>Electrosurgical Units, Monopolar/Bipolar</v>
      </c>
      <c r="DFG111" s="179" t="s">
        <v>428</v>
      </c>
      <c r="DFH111" s="180" t="str">
        <f>VLOOKUP(DFG111,[13]AssetDetails_UEM!$A$3:$AH$1849,6,FALSE)</f>
        <v>Electrosurgical Units, Monopolar/Bipolar</v>
      </c>
      <c r="DFI111" s="179" t="s">
        <v>428</v>
      </c>
      <c r="DFJ111" s="180" t="str">
        <f>VLOOKUP(DFI111,[13]AssetDetails_UEM!$A$3:$AH$1849,6,FALSE)</f>
        <v>Electrosurgical Units, Monopolar/Bipolar</v>
      </c>
      <c r="DFK111" s="179" t="s">
        <v>428</v>
      </c>
      <c r="DFL111" s="180" t="str">
        <f>VLOOKUP(DFK111,[13]AssetDetails_UEM!$A$3:$AH$1849,6,FALSE)</f>
        <v>Electrosurgical Units, Monopolar/Bipolar</v>
      </c>
      <c r="DFM111" s="179" t="s">
        <v>428</v>
      </c>
      <c r="DFN111" s="180" t="str">
        <f>VLOOKUP(DFM111,[13]AssetDetails_UEM!$A$3:$AH$1849,6,FALSE)</f>
        <v>Electrosurgical Units, Monopolar/Bipolar</v>
      </c>
      <c r="DFO111" s="179" t="s">
        <v>428</v>
      </c>
      <c r="DFP111" s="180" t="str">
        <f>VLOOKUP(DFO111,[13]AssetDetails_UEM!$A$3:$AH$1849,6,FALSE)</f>
        <v>Electrosurgical Units, Monopolar/Bipolar</v>
      </c>
      <c r="DFQ111" s="179" t="s">
        <v>428</v>
      </c>
      <c r="DFR111" s="180" t="str">
        <f>VLOOKUP(DFQ111,[13]AssetDetails_UEM!$A$3:$AH$1849,6,FALSE)</f>
        <v>Electrosurgical Units, Monopolar/Bipolar</v>
      </c>
      <c r="DFS111" s="179" t="s">
        <v>428</v>
      </c>
      <c r="DFT111" s="180" t="str">
        <f>VLOOKUP(DFS111,[13]AssetDetails_UEM!$A$3:$AH$1849,6,FALSE)</f>
        <v>Electrosurgical Units, Monopolar/Bipolar</v>
      </c>
      <c r="DFU111" s="179" t="s">
        <v>428</v>
      </c>
      <c r="DFV111" s="180" t="str">
        <f>VLOOKUP(DFU111,[13]AssetDetails_UEM!$A$3:$AH$1849,6,FALSE)</f>
        <v>Electrosurgical Units, Monopolar/Bipolar</v>
      </c>
      <c r="DFW111" s="179" t="s">
        <v>428</v>
      </c>
      <c r="DFX111" s="180" t="str">
        <f>VLOOKUP(DFW111,[13]AssetDetails_UEM!$A$3:$AH$1849,6,FALSE)</f>
        <v>Electrosurgical Units, Monopolar/Bipolar</v>
      </c>
      <c r="DFY111" s="179" t="s">
        <v>428</v>
      </c>
      <c r="DFZ111" s="180" t="str">
        <f>VLOOKUP(DFY111,[13]AssetDetails_UEM!$A$3:$AH$1849,6,FALSE)</f>
        <v>Electrosurgical Units, Monopolar/Bipolar</v>
      </c>
      <c r="DGA111" s="179" t="s">
        <v>428</v>
      </c>
      <c r="DGB111" s="180" t="str">
        <f>VLOOKUP(DGA111,[13]AssetDetails_UEM!$A$3:$AH$1849,6,FALSE)</f>
        <v>Electrosurgical Units, Monopolar/Bipolar</v>
      </c>
      <c r="DGC111" s="179" t="s">
        <v>428</v>
      </c>
      <c r="DGD111" s="180" t="str">
        <f>VLOOKUP(DGC111,[13]AssetDetails_UEM!$A$3:$AH$1849,6,FALSE)</f>
        <v>Electrosurgical Units, Monopolar/Bipolar</v>
      </c>
      <c r="DGE111" s="179" t="s">
        <v>428</v>
      </c>
      <c r="DGF111" s="180" t="str">
        <f>VLOOKUP(DGE111,[13]AssetDetails_UEM!$A$3:$AH$1849,6,FALSE)</f>
        <v>Electrosurgical Units, Monopolar/Bipolar</v>
      </c>
      <c r="DGG111" s="179" t="s">
        <v>428</v>
      </c>
      <c r="DGH111" s="180" t="str">
        <f>VLOOKUP(DGG111,[13]AssetDetails_UEM!$A$3:$AH$1849,6,FALSE)</f>
        <v>Electrosurgical Units, Monopolar/Bipolar</v>
      </c>
      <c r="DGI111" s="179" t="s">
        <v>428</v>
      </c>
      <c r="DGJ111" s="180" t="str">
        <f>VLOOKUP(DGI111,[13]AssetDetails_UEM!$A$3:$AH$1849,6,FALSE)</f>
        <v>Electrosurgical Units, Monopolar/Bipolar</v>
      </c>
      <c r="DGK111" s="179" t="s">
        <v>428</v>
      </c>
      <c r="DGL111" s="180" t="str">
        <f>VLOOKUP(DGK111,[13]AssetDetails_UEM!$A$3:$AH$1849,6,FALSE)</f>
        <v>Electrosurgical Units, Monopolar/Bipolar</v>
      </c>
      <c r="DGM111" s="179" t="s">
        <v>428</v>
      </c>
      <c r="DGN111" s="180" t="str">
        <f>VLOOKUP(DGM111,[13]AssetDetails_UEM!$A$3:$AH$1849,6,FALSE)</f>
        <v>Electrosurgical Units, Monopolar/Bipolar</v>
      </c>
      <c r="DGO111" s="179" t="s">
        <v>428</v>
      </c>
      <c r="DGP111" s="180" t="str">
        <f>VLOOKUP(DGO111,[13]AssetDetails_UEM!$A$3:$AH$1849,6,FALSE)</f>
        <v>Electrosurgical Units, Monopolar/Bipolar</v>
      </c>
      <c r="DGQ111" s="179" t="s">
        <v>428</v>
      </c>
      <c r="DGR111" s="180" t="str">
        <f>VLOOKUP(DGQ111,[13]AssetDetails_UEM!$A$3:$AH$1849,6,FALSE)</f>
        <v>Electrosurgical Units, Monopolar/Bipolar</v>
      </c>
      <c r="DGS111" s="179" t="s">
        <v>428</v>
      </c>
      <c r="DGT111" s="180" t="str">
        <f>VLOOKUP(DGS111,[13]AssetDetails_UEM!$A$3:$AH$1849,6,FALSE)</f>
        <v>Electrosurgical Units, Monopolar/Bipolar</v>
      </c>
      <c r="DGU111" s="179" t="s">
        <v>428</v>
      </c>
      <c r="DGV111" s="180" t="str">
        <f>VLOOKUP(DGU111,[13]AssetDetails_UEM!$A$3:$AH$1849,6,FALSE)</f>
        <v>Electrosurgical Units, Monopolar/Bipolar</v>
      </c>
      <c r="DGW111" s="179" t="s">
        <v>428</v>
      </c>
      <c r="DGX111" s="180" t="str">
        <f>VLOOKUP(DGW111,[13]AssetDetails_UEM!$A$3:$AH$1849,6,FALSE)</f>
        <v>Electrosurgical Units, Monopolar/Bipolar</v>
      </c>
      <c r="DGY111" s="179" t="s">
        <v>428</v>
      </c>
      <c r="DGZ111" s="180" t="str">
        <f>VLOOKUP(DGY111,[13]AssetDetails_UEM!$A$3:$AH$1849,6,FALSE)</f>
        <v>Electrosurgical Units, Monopolar/Bipolar</v>
      </c>
      <c r="DHA111" s="179" t="s">
        <v>428</v>
      </c>
      <c r="DHB111" s="180" t="str">
        <f>VLOOKUP(DHA111,[13]AssetDetails_UEM!$A$3:$AH$1849,6,FALSE)</f>
        <v>Electrosurgical Units, Monopolar/Bipolar</v>
      </c>
      <c r="DHC111" s="179" t="s">
        <v>428</v>
      </c>
      <c r="DHD111" s="180" t="str">
        <f>VLOOKUP(DHC111,[13]AssetDetails_UEM!$A$3:$AH$1849,6,FALSE)</f>
        <v>Electrosurgical Units, Monopolar/Bipolar</v>
      </c>
      <c r="DHE111" s="179" t="s">
        <v>428</v>
      </c>
      <c r="DHF111" s="180" t="str">
        <f>VLOOKUP(DHE111,[13]AssetDetails_UEM!$A$3:$AH$1849,6,FALSE)</f>
        <v>Electrosurgical Units, Monopolar/Bipolar</v>
      </c>
      <c r="DHG111" s="179" t="s">
        <v>428</v>
      </c>
      <c r="DHH111" s="180" t="str">
        <f>VLOOKUP(DHG111,[13]AssetDetails_UEM!$A$3:$AH$1849,6,FALSE)</f>
        <v>Electrosurgical Units, Monopolar/Bipolar</v>
      </c>
      <c r="DHI111" s="179" t="s">
        <v>428</v>
      </c>
      <c r="DHJ111" s="180" t="str">
        <f>VLOOKUP(DHI111,[13]AssetDetails_UEM!$A$3:$AH$1849,6,FALSE)</f>
        <v>Electrosurgical Units, Monopolar/Bipolar</v>
      </c>
      <c r="DHK111" s="179" t="s">
        <v>428</v>
      </c>
      <c r="DHL111" s="180" t="str">
        <f>VLOOKUP(DHK111,[13]AssetDetails_UEM!$A$3:$AH$1849,6,FALSE)</f>
        <v>Electrosurgical Units, Monopolar/Bipolar</v>
      </c>
      <c r="DHM111" s="179" t="s">
        <v>428</v>
      </c>
      <c r="DHN111" s="180" t="str">
        <f>VLOOKUP(DHM111,[13]AssetDetails_UEM!$A$3:$AH$1849,6,FALSE)</f>
        <v>Electrosurgical Units, Monopolar/Bipolar</v>
      </c>
      <c r="DHO111" s="179" t="s">
        <v>428</v>
      </c>
      <c r="DHP111" s="180" t="str">
        <f>VLOOKUP(DHO111,[13]AssetDetails_UEM!$A$3:$AH$1849,6,FALSE)</f>
        <v>Electrosurgical Units, Monopolar/Bipolar</v>
      </c>
      <c r="DHQ111" s="179" t="s">
        <v>428</v>
      </c>
      <c r="DHR111" s="180" t="str">
        <f>VLOOKUP(DHQ111,[13]AssetDetails_UEM!$A$3:$AH$1849,6,FALSE)</f>
        <v>Electrosurgical Units, Monopolar/Bipolar</v>
      </c>
      <c r="DHS111" s="179" t="s">
        <v>428</v>
      </c>
      <c r="DHT111" s="180" t="str">
        <f>VLOOKUP(DHS111,[13]AssetDetails_UEM!$A$3:$AH$1849,6,FALSE)</f>
        <v>Electrosurgical Units, Monopolar/Bipolar</v>
      </c>
      <c r="DHU111" s="179" t="s">
        <v>428</v>
      </c>
      <c r="DHV111" s="180" t="str">
        <f>VLOOKUP(DHU111,[13]AssetDetails_UEM!$A$3:$AH$1849,6,FALSE)</f>
        <v>Electrosurgical Units, Monopolar/Bipolar</v>
      </c>
      <c r="DHW111" s="179" t="s">
        <v>428</v>
      </c>
      <c r="DHX111" s="180" t="str">
        <f>VLOOKUP(DHW111,[13]AssetDetails_UEM!$A$3:$AH$1849,6,FALSE)</f>
        <v>Electrosurgical Units, Monopolar/Bipolar</v>
      </c>
      <c r="DHY111" s="179" t="s">
        <v>428</v>
      </c>
      <c r="DHZ111" s="180" t="str">
        <f>VLOOKUP(DHY111,[13]AssetDetails_UEM!$A$3:$AH$1849,6,FALSE)</f>
        <v>Electrosurgical Units, Monopolar/Bipolar</v>
      </c>
      <c r="DIA111" s="179" t="s">
        <v>428</v>
      </c>
      <c r="DIB111" s="180" t="str">
        <f>VLOOKUP(DIA111,[13]AssetDetails_UEM!$A$3:$AH$1849,6,FALSE)</f>
        <v>Electrosurgical Units, Monopolar/Bipolar</v>
      </c>
      <c r="DIC111" s="179" t="s">
        <v>428</v>
      </c>
      <c r="DID111" s="180" t="str">
        <f>VLOOKUP(DIC111,[13]AssetDetails_UEM!$A$3:$AH$1849,6,FALSE)</f>
        <v>Electrosurgical Units, Monopolar/Bipolar</v>
      </c>
      <c r="DIE111" s="179" t="s">
        <v>428</v>
      </c>
      <c r="DIF111" s="180" t="str">
        <f>VLOOKUP(DIE111,[13]AssetDetails_UEM!$A$3:$AH$1849,6,FALSE)</f>
        <v>Electrosurgical Units, Monopolar/Bipolar</v>
      </c>
      <c r="DIG111" s="179" t="s">
        <v>428</v>
      </c>
      <c r="DIH111" s="180" t="str">
        <f>VLOOKUP(DIG111,[13]AssetDetails_UEM!$A$3:$AH$1849,6,FALSE)</f>
        <v>Electrosurgical Units, Monopolar/Bipolar</v>
      </c>
      <c r="DII111" s="179" t="s">
        <v>428</v>
      </c>
      <c r="DIJ111" s="180" t="str">
        <f>VLOOKUP(DII111,[13]AssetDetails_UEM!$A$3:$AH$1849,6,FALSE)</f>
        <v>Electrosurgical Units, Monopolar/Bipolar</v>
      </c>
      <c r="DIK111" s="179" t="s">
        <v>428</v>
      </c>
      <c r="DIL111" s="180" t="str">
        <f>VLOOKUP(DIK111,[13]AssetDetails_UEM!$A$3:$AH$1849,6,FALSE)</f>
        <v>Electrosurgical Units, Monopolar/Bipolar</v>
      </c>
      <c r="DIM111" s="179" t="s">
        <v>428</v>
      </c>
      <c r="DIN111" s="180" t="str">
        <f>VLOOKUP(DIM111,[13]AssetDetails_UEM!$A$3:$AH$1849,6,FALSE)</f>
        <v>Electrosurgical Units, Monopolar/Bipolar</v>
      </c>
      <c r="DIO111" s="179" t="s">
        <v>428</v>
      </c>
      <c r="DIP111" s="180" t="str">
        <f>VLOOKUP(DIO111,[13]AssetDetails_UEM!$A$3:$AH$1849,6,FALSE)</f>
        <v>Electrosurgical Units, Monopolar/Bipolar</v>
      </c>
      <c r="DIQ111" s="179" t="s">
        <v>428</v>
      </c>
      <c r="DIR111" s="180" t="str">
        <f>VLOOKUP(DIQ111,[13]AssetDetails_UEM!$A$3:$AH$1849,6,FALSE)</f>
        <v>Electrosurgical Units, Monopolar/Bipolar</v>
      </c>
      <c r="DIS111" s="179" t="s">
        <v>428</v>
      </c>
      <c r="DIT111" s="180" t="str">
        <f>VLOOKUP(DIS111,[13]AssetDetails_UEM!$A$3:$AH$1849,6,FALSE)</f>
        <v>Electrosurgical Units, Monopolar/Bipolar</v>
      </c>
      <c r="DIU111" s="179" t="s">
        <v>428</v>
      </c>
      <c r="DIV111" s="180" t="str">
        <f>VLOOKUP(DIU111,[13]AssetDetails_UEM!$A$3:$AH$1849,6,FALSE)</f>
        <v>Electrosurgical Units, Monopolar/Bipolar</v>
      </c>
      <c r="DIW111" s="179" t="s">
        <v>428</v>
      </c>
      <c r="DIX111" s="180" t="str">
        <f>VLOOKUP(DIW111,[13]AssetDetails_UEM!$A$3:$AH$1849,6,FALSE)</f>
        <v>Electrosurgical Units, Monopolar/Bipolar</v>
      </c>
      <c r="DIY111" s="179" t="s">
        <v>428</v>
      </c>
      <c r="DIZ111" s="180" t="str">
        <f>VLOOKUP(DIY111,[13]AssetDetails_UEM!$A$3:$AH$1849,6,FALSE)</f>
        <v>Electrosurgical Units, Monopolar/Bipolar</v>
      </c>
      <c r="DJA111" s="179" t="s">
        <v>428</v>
      </c>
      <c r="DJB111" s="180" t="str">
        <f>VLOOKUP(DJA111,[13]AssetDetails_UEM!$A$3:$AH$1849,6,FALSE)</f>
        <v>Electrosurgical Units, Monopolar/Bipolar</v>
      </c>
      <c r="DJC111" s="179" t="s">
        <v>428</v>
      </c>
      <c r="DJD111" s="180" t="str">
        <f>VLOOKUP(DJC111,[13]AssetDetails_UEM!$A$3:$AH$1849,6,FALSE)</f>
        <v>Electrosurgical Units, Monopolar/Bipolar</v>
      </c>
      <c r="DJE111" s="179" t="s">
        <v>428</v>
      </c>
      <c r="DJF111" s="180" t="str">
        <f>VLOOKUP(DJE111,[13]AssetDetails_UEM!$A$3:$AH$1849,6,FALSE)</f>
        <v>Electrosurgical Units, Monopolar/Bipolar</v>
      </c>
      <c r="DJG111" s="179" t="s">
        <v>428</v>
      </c>
      <c r="DJH111" s="180" t="str">
        <f>VLOOKUP(DJG111,[13]AssetDetails_UEM!$A$3:$AH$1849,6,FALSE)</f>
        <v>Electrosurgical Units, Monopolar/Bipolar</v>
      </c>
      <c r="DJI111" s="179" t="s">
        <v>428</v>
      </c>
      <c r="DJJ111" s="180" t="str">
        <f>VLOOKUP(DJI111,[13]AssetDetails_UEM!$A$3:$AH$1849,6,FALSE)</f>
        <v>Electrosurgical Units, Monopolar/Bipolar</v>
      </c>
      <c r="DJK111" s="179" t="s">
        <v>428</v>
      </c>
      <c r="DJL111" s="180" t="str">
        <f>VLOOKUP(DJK111,[13]AssetDetails_UEM!$A$3:$AH$1849,6,FALSE)</f>
        <v>Electrosurgical Units, Monopolar/Bipolar</v>
      </c>
      <c r="DJM111" s="179" t="s">
        <v>428</v>
      </c>
      <c r="DJN111" s="180" t="str">
        <f>VLOOKUP(DJM111,[13]AssetDetails_UEM!$A$3:$AH$1849,6,FALSE)</f>
        <v>Electrosurgical Units, Monopolar/Bipolar</v>
      </c>
      <c r="DJO111" s="179" t="s">
        <v>428</v>
      </c>
      <c r="DJP111" s="180" t="str">
        <f>VLOOKUP(DJO111,[13]AssetDetails_UEM!$A$3:$AH$1849,6,FALSE)</f>
        <v>Electrosurgical Units, Monopolar/Bipolar</v>
      </c>
      <c r="DJQ111" s="179" t="s">
        <v>428</v>
      </c>
      <c r="DJR111" s="180" t="str">
        <f>VLOOKUP(DJQ111,[13]AssetDetails_UEM!$A$3:$AH$1849,6,FALSE)</f>
        <v>Electrosurgical Units, Monopolar/Bipolar</v>
      </c>
      <c r="DJS111" s="179" t="s">
        <v>428</v>
      </c>
      <c r="DJT111" s="180" t="str">
        <f>VLOOKUP(DJS111,[13]AssetDetails_UEM!$A$3:$AH$1849,6,FALSE)</f>
        <v>Electrosurgical Units, Monopolar/Bipolar</v>
      </c>
      <c r="DJU111" s="179" t="s">
        <v>428</v>
      </c>
      <c r="DJV111" s="180" t="str">
        <f>VLOOKUP(DJU111,[13]AssetDetails_UEM!$A$3:$AH$1849,6,FALSE)</f>
        <v>Electrosurgical Units, Monopolar/Bipolar</v>
      </c>
      <c r="DJW111" s="179" t="s">
        <v>428</v>
      </c>
      <c r="DJX111" s="180" t="str">
        <f>VLOOKUP(DJW111,[13]AssetDetails_UEM!$A$3:$AH$1849,6,FALSE)</f>
        <v>Electrosurgical Units, Monopolar/Bipolar</v>
      </c>
      <c r="DJY111" s="179" t="s">
        <v>428</v>
      </c>
      <c r="DJZ111" s="180" t="str">
        <f>VLOOKUP(DJY111,[13]AssetDetails_UEM!$A$3:$AH$1849,6,FALSE)</f>
        <v>Electrosurgical Units, Monopolar/Bipolar</v>
      </c>
      <c r="DKA111" s="179" t="s">
        <v>428</v>
      </c>
      <c r="DKB111" s="180" t="str">
        <f>VLOOKUP(DKA111,[13]AssetDetails_UEM!$A$3:$AH$1849,6,FALSE)</f>
        <v>Electrosurgical Units, Monopolar/Bipolar</v>
      </c>
      <c r="DKC111" s="179" t="s">
        <v>428</v>
      </c>
      <c r="DKD111" s="180" t="str">
        <f>VLOOKUP(DKC111,[13]AssetDetails_UEM!$A$3:$AH$1849,6,FALSE)</f>
        <v>Electrosurgical Units, Monopolar/Bipolar</v>
      </c>
      <c r="DKE111" s="179" t="s">
        <v>428</v>
      </c>
      <c r="DKF111" s="180" t="str">
        <f>VLOOKUP(DKE111,[13]AssetDetails_UEM!$A$3:$AH$1849,6,FALSE)</f>
        <v>Electrosurgical Units, Monopolar/Bipolar</v>
      </c>
      <c r="DKG111" s="179" t="s">
        <v>428</v>
      </c>
      <c r="DKH111" s="180" t="str">
        <f>VLOOKUP(DKG111,[13]AssetDetails_UEM!$A$3:$AH$1849,6,FALSE)</f>
        <v>Electrosurgical Units, Monopolar/Bipolar</v>
      </c>
      <c r="DKI111" s="179" t="s">
        <v>428</v>
      </c>
      <c r="DKJ111" s="180" t="str">
        <f>VLOOKUP(DKI111,[13]AssetDetails_UEM!$A$3:$AH$1849,6,FALSE)</f>
        <v>Electrosurgical Units, Monopolar/Bipolar</v>
      </c>
      <c r="DKK111" s="179" t="s">
        <v>428</v>
      </c>
      <c r="DKL111" s="180" t="str">
        <f>VLOOKUP(DKK111,[13]AssetDetails_UEM!$A$3:$AH$1849,6,FALSE)</f>
        <v>Electrosurgical Units, Monopolar/Bipolar</v>
      </c>
      <c r="DKM111" s="179" t="s">
        <v>428</v>
      </c>
      <c r="DKN111" s="180" t="str">
        <f>VLOOKUP(DKM111,[13]AssetDetails_UEM!$A$3:$AH$1849,6,FALSE)</f>
        <v>Electrosurgical Units, Monopolar/Bipolar</v>
      </c>
      <c r="DKO111" s="179" t="s">
        <v>428</v>
      </c>
      <c r="DKP111" s="180" t="str">
        <f>VLOOKUP(DKO111,[13]AssetDetails_UEM!$A$3:$AH$1849,6,FALSE)</f>
        <v>Electrosurgical Units, Monopolar/Bipolar</v>
      </c>
      <c r="DKQ111" s="179" t="s">
        <v>428</v>
      </c>
      <c r="DKR111" s="180" t="str">
        <f>VLOOKUP(DKQ111,[13]AssetDetails_UEM!$A$3:$AH$1849,6,FALSE)</f>
        <v>Electrosurgical Units, Monopolar/Bipolar</v>
      </c>
      <c r="DKS111" s="179" t="s">
        <v>428</v>
      </c>
      <c r="DKT111" s="180" t="str">
        <f>VLOOKUP(DKS111,[13]AssetDetails_UEM!$A$3:$AH$1849,6,FALSE)</f>
        <v>Electrosurgical Units, Monopolar/Bipolar</v>
      </c>
      <c r="DKU111" s="179" t="s">
        <v>428</v>
      </c>
      <c r="DKV111" s="180" t="str">
        <f>VLOOKUP(DKU111,[13]AssetDetails_UEM!$A$3:$AH$1849,6,FALSE)</f>
        <v>Electrosurgical Units, Monopolar/Bipolar</v>
      </c>
      <c r="DKW111" s="179" t="s">
        <v>428</v>
      </c>
      <c r="DKX111" s="180" t="str">
        <f>VLOOKUP(DKW111,[13]AssetDetails_UEM!$A$3:$AH$1849,6,FALSE)</f>
        <v>Electrosurgical Units, Monopolar/Bipolar</v>
      </c>
      <c r="DKY111" s="179" t="s">
        <v>428</v>
      </c>
      <c r="DKZ111" s="180" t="str">
        <f>VLOOKUP(DKY111,[13]AssetDetails_UEM!$A$3:$AH$1849,6,FALSE)</f>
        <v>Electrosurgical Units, Monopolar/Bipolar</v>
      </c>
      <c r="DLA111" s="179" t="s">
        <v>428</v>
      </c>
      <c r="DLB111" s="180" t="str">
        <f>VLOOKUP(DLA111,[13]AssetDetails_UEM!$A$3:$AH$1849,6,FALSE)</f>
        <v>Electrosurgical Units, Monopolar/Bipolar</v>
      </c>
      <c r="DLC111" s="179" t="s">
        <v>428</v>
      </c>
      <c r="DLD111" s="180" t="str">
        <f>VLOOKUP(DLC111,[13]AssetDetails_UEM!$A$3:$AH$1849,6,FALSE)</f>
        <v>Electrosurgical Units, Monopolar/Bipolar</v>
      </c>
      <c r="DLE111" s="179" t="s">
        <v>428</v>
      </c>
      <c r="DLF111" s="180" t="str">
        <f>VLOOKUP(DLE111,[13]AssetDetails_UEM!$A$3:$AH$1849,6,FALSE)</f>
        <v>Electrosurgical Units, Monopolar/Bipolar</v>
      </c>
      <c r="DLG111" s="179" t="s">
        <v>428</v>
      </c>
      <c r="DLH111" s="180" t="str">
        <f>VLOOKUP(DLG111,[13]AssetDetails_UEM!$A$3:$AH$1849,6,FALSE)</f>
        <v>Electrosurgical Units, Monopolar/Bipolar</v>
      </c>
      <c r="DLI111" s="179" t="s">
        <v>428</v>
      </c>
      <c r="DLJ111" s="180" t="str">
        <f>VLOOKUP(DLI111,[13]AssetDetails_UEM!$A$3:$AH$1849,6,FALSE)</f>
        <v>Electrosurgical Units, Monopolar/Bipolar</v>
      </c>
      <c r="DLK111" s="179" t="s">
        <v>428</v>
      </c>
      <c r="DLL111" s="180" t="str">
        <f>VLOOKUP(DLK111,[13]AssetDetails_UEM!$A$3:$AH$1849,6,FALSE)</f>
        <v>Electrosurgical Units, Monopolar/Bipolar</v>
      </c>
      <c r="DLM111" s="179" t="s">
        <v>428</v>
      </c>
      <c r="DLN111" s="180" t="str">
        <f>VLOOKUP(DLM111,[13]AssetDetails_UEM!$A$3:$AH$1849,6,FALSE)</f>
        <v>Electrosurgical Units, Monopolar/Bipolar</v>
      </c>
      <c r="DLO111" s="179" t="s">
        <v>428</v>
      </c>
      <c r="DLP111" s="180" t="str">
        <f>VLOOKUP(DLO111,[13]AssetDetails_UEM!$A$3:$AH$1849,6,FALSE)</f>
        <v>Electrosurgical Units, Monopolar/Bipolar</v>
      </c>
      <c r="DLQ111" s="179" t="s">
        <v>428</v>
      </c>
      <c r="DLR111" s="180" t="str">
        <f>VLOOKUP(DLQ111,[13]AssetDetails_UEM!$A$3:$AH$1849,6,FALSE)</f>
        <v>Electrosurgical Units, Monopolar/Bipolar</v>
      </c>
      <c r="DLS111" s="179" t="s">
        <v>428</v>
      </c>
      <c r="DLT111" s="180" t="str">
        <f>VLOOKUP(DLS111,[13]AssetDetails_UEM!$A$3:$AH$1849,6,FALSE)</f>
        <v>Electrosurgical Units, Monopolar/Bipolar</v>
      </c>
      <c r="DLU111" s="179" t="s">
        <v>428</v>
      </c>
      <c r="DLV111" s="180" t="str">
        <f>VLOOKUP(DLU111,[13]AssetDetails_UEM!$A$3:$AH$1849,6,FALSE)</f>
        <v>Electrosurgical Units, Monopolar/Bipolar</v>
      </c>
      <c r="DLW111" s="179" t="s">
        <v>428</v>
      </c>
      <c r="DLX111" s="180" t="str">
        <f>VLOOKUP(DLW111,[13]AssetDetails_UEM!$A$3:$AH$1849,6,FALSE)</f>
        <v>Electrosurgical Units, Monopolar/Bipolar</v>
      </c>
      <c r="DLY111" s="179" t="s">
        <v>428</v>
      </c>
      <c r="DLZ111" s="180" t="str">
        <f>VLOOKUP(DLY111,[13]AssetDetails_UEM!$A$3:$AH$1849,6,FALSE)</f>
        <v>Electrosurgical Units, Monopolar/Bipolar</v>
      </c>
      <c r="DMA111" s="179" t="s">
        <v>428</v>
      </c>
      <c r="DMB111" s="180" t="str">
        <f>VLOOKUP(DMA111,[13]AssetDetails_UEM!$A$3:$AH$1849,6,FALSE)</f>
        <v>Electrosurgical Units, Monopolar/Bipolar</v>
      </c>
      <c r="DMC111" s="179" t="s">
        <v>428</v>
      </c>
      <c r="DMD111" s="180" t="str">
        <f>VLOOKUP(DMC111,[13]AssetDetails_UEM!$A$3:$AH$1849,6,FALSE)</f>
        <v>Electrosurgical Units, Monopolar/Bipolar</v>
      </c>
      <c r="DME111" s="179" t="s">
        <v>428</v>
      </c>
      <c r="DMF111" s="180" t="str">
        <f>VLOOKUP(DME111,[13]AssetDetails_UEM!$A$3:$AH$1849,6,FALSE)</f>
        <v>Electrosurgical Units, Monopolar/Bipolar</v>
      </c>
      <c r="DMG111" s="179" t="s">
        <v>428</v>
      </c>
      <c r="DMH111" s="180" t="str">
        <f>VLOOKUP(DMG111,[13]AssetDetails_UEM!$A$3:$AH$1849,6,FALSE)</f>
        <v>Electrosurgical Units, Monopolar/Bipolar</v>
      </c>
      <c r="DMI111" s="179" t="s">
        <v>428</v>
      </c>
      <c r="DMJ111" s="180" t="str">
        <f>VLOOKUP(DMI111,[13]AssetDetails_UEM!$A$3:$AH$1849,6,FALSE)</f>
        <v>Electrosurgical Units, Monopolar/Bipolar</v>
      </c>
      <c r="DMK111" s="179" t="s">
        <v>428</v>
      </c>
      <c r="DML111" s="180" t="str">
        <f>VLOOKUP(DMK111,[13]AssetDetails_UEM!$A$3:$AH$1849,6,FALSE)</f>
        <v>Electrosurgical Units, Monopolar/Bipolar</v>
      </c>
      <c r="DMM111" s="179" t="s">
        <v>428</v>
      </c>
      <c r="DMN111" s="180" t="str">
        <f>VLOOKUP(DMM111,[13]AssetDetails_UEM!$A$3:$AH$1849,6,FALSE)</f>
        <v>Electrosurgical Units, Monopolar/Bipolar</v>
      </c>
      <c r="DMO111" s="179" t="s">
        <v>428</v>
      </c>
      <c r="DMP111" s="180" t="str">
        <f>VLOOKUP(DMO111,[13]AssetDetails_UEM!$A$3:$AH$1849,6,FALSE)</f>
        <v>Electrosurgical Units, Monopolar/Bipolar</v>
      </c>
      <c r="DMQ111" s="179" t="s">
        <v>428</v>
      </c>
      <c r="DMR111" s="180" t="str">
        <f>VLOOKUP(DMQ111,[13]AssetDetails_UEM!$A$3:$AH$1849,6,FALSE)</f>
        <v>Electrosurgical Units, Monopolar/Bipolar</v>
      </c>
      <c r="DMS111" s="179" t="s">
        <v>428</v>
      </c>
      <c r="DMT111" s="180" t="str">
        <f>VLOOKUP(DMS111,[13]AssetDetails_UEM!$A$3:$AH$1849,6,FALSE)</f>
        <v>Electrosurgical Units, Monopolar/Bipolar</v>
      </c>
      <c r="DMU111" s="179" t="s">
        <v>428</v>
      </c>
      <c r="DMV111" s="180" t="str">
        <f>VLOOKUP(DMU111,[13]AssetDetails_UEM!$A$3:$AH$1849,6,FALSE)</f>
        <v>Electrosurgical Units, Monopolar/Bipolar</v>
      </c>
      <c r="DMW111" s="179" t="s">
        <v>428</v>
      </c>
      <c r="DMX111" s="180" t="str">
        <f>VLOOKUP(DMW111,[13]AssetDetails_UEM!$A$3:$AH$1849,6,FALSE)</f>
        <v>Electrosurgical Units, Monopolar/Bipolar</v>
      </c>
      <c r="DMY111" s="179" t="s">
        <v>428</v>
      </c>
      <c r="DMZ111" s="180" t="str">
        <f>VLOOKUP(DMY111,[13]AssetDetails_UEM!$A$3:$AH$1849,6,FALSE)</f>
        <v>Electrosurgical Units, Monopolar/Bipolar</v>
      </c>
      <c r="DNA111" s="179" t="s">
        <v>428</v>
      </c>
      <c r="DNB111" s="180" t="str">
        <f>VLOOKUP(DNA111,[13]AssetDetails_UEM!$A$3:$AH$1849,6,FALSE)</f>
        <v>Electrosurgical Units, Monopolar/Bipolar</v>
      </c>
      <c r="DNC111" s="179" t="s">
        <v>428</v>
      </c>
      <c r="DND111" s="180" t="str">
        <f>VLOOKUP(DNC111,[13]AssetDetails_UEM!$A$3:$AH$1849,6,FALSE)</f>
        <v>Electrosurgical Units, Monopolar/Bipolar</v>
      </c>
      <c r="DNE111" s="179" t="s">
        <v>428</v>
      </c>
      <c r="DNF111" s="180" t="str">
        <f>VLOOKUP(DNE111,[13]AssetDetails_UEM!$A$3:$AH$1849,6,FALSE)</f>
        <v>Electrosurgical Units, Monopolar/Bipolar</v>
      </c>
      <c r="DNG111" s="179" t="s">
        <v>428</v>
      </c>
      <c r="DNH111" s="180" t="str">
        <f>VLOOKUP(DNG111,[13]AssetDetails_UEM!$A$3:$AH$1849,6,FALSE)</f>
        <v>Electrosurgical Units, Monopolar/Bipolar</v>
      </c>
      <c r="DNI111" s="179" t="s">
        <v>428</v>
      </c>
      <c r="DNJ111" s="180" t="str">
        <f>VLOOKUP(DNI111,[13]AssetDetails_UEM!$A$3:$AH$1849,6,FALSE)</f>
        <v>Electrosurgical Units, Monopolar/Bipolar</v>
      </c>
      <c r="DNK111" s="179" t="s">
        <v>428</v>
      </c>
      <c r="DNL111" s="180" t="str">
        <f>VLOOKUP(DNK111,[13]AssetDetails_UEM!$A$3:$AH$1849,6,FALSE)</f>
        <v>Electrosurgical Units, Monopolar/Bipolar</v>
      </c>
      <c r="DNM111" s="179" t="s">
        <v>428</v>
      </c>
      <c r="DNN111" s="180" t="str">
        <f>VLOOKUP(DNM111,[13]AssetDetails_UEM!$A$3:$AH$1849,6,FALSE)</f>
        <v>Electrosurgical Units, Monopolar/Bipolar</v>
      </c>
      <c r="DNO111" s="179" t="s">
        <v>428</v>
      </c>
      <c r="DNP111" s="180" t="str">
        <f>VLOOKUP(DNO111,[13]AssetDetails_UEM!$A$3:$AH$1849,6,FALSE)</f>
        <v>Electrosurgical Units, Monopolar/Bipolar</v>
      </c>
      <c r="DNQ111" s="179" t="s">
        <v>428</v>
      </c>
      <c r="DNR111" s="180" t="str">
        <f>VLOOKUP(DNQ111,[13]AssetDetails_UEM!$A$3:$AH$1849,6,FALSE)</f>
        <v>Electrosurgical Units, Monopolar/Bipolar</v>
      </c>
      <c r="DNS111" s="179" t="s">
        <v>428</v>
      </c>
      <c r="DNT111" s="180" t="str">
        <f>VLOOKUP(DNS111,[13]AssetDetails_UEM!$A$3:$AH$1849,6,FALSE)</f>
        <v>Electrosurgical Units, Monopolar/Bipolar</v>
      </c>
      <c r="DNU111" s="179" t="s">
        <v>428</v>
      </c>
      <c r="DNV111" s="180" t="str">
        <f>VLOOKUP(DNU111,[13]AssetDetails_UEM!$A$3:$AH$1849,6,FALSE)</f>
        <v>Electrosurgical Units, Monopolar/Bipolar</v>
      </c>
      <c r="DNW111" s="179" t="s">
        <v>428</v>
      </c>
      <c r="DNX111" s="180" t="str">
        <f>VLOOKUP(DNW111,[13]AssetDetails_UEM!$A$3:$AH$1849,6,FALSE)</f>
        <v>Electrosurgical Units, Monopolar/Bipolar</v>
      </c>
      <c r="DNY111" s="179" t="s">
        <v>428</v>
      </c>
      <c r="DNZ111" s="180" t="str">
        <f>VLOOKUP(DNY111,[13]AssetDetails_UEM!$A$3:$AH$1849,6,FALSE)</f>
        <v>Electrosurgical Units, Monopolar/Bipolar</v>
      </c>
      <c r="DOA111" s="179" t="s">
        <v>428</v>
      </c>
      <c r="DOB111" s="180" t="str">
        <f>VLOOKUP(DOA111,[13]AssetDetails_UEM!$A$3:$AH$1849,6,FALSE)</f>
        <v>Electrosurgical Units, Monopolar/Bipolar</v>
      </c>
      <c r="DOC111" s="179" t="s">
        <v>428</v>
      </c>
      <c r="DOD111" s="180" t="str">
        <f>VLOOKUP(DOC111,[13]AssetDetails_UEM!$A$3:$AH$1849,6,FALSE)</f>
        <v>Electrosurgical Units, Monopolar/Bipolar</v>
      </c>
      <c r="DOE111" s="179" t="s">
        <v>428</v>
      </c>
      <c r="DOF111" s="180" t="str">
        <f>VLOOKUP(DOE111,[13]AssetDetails_UEM!$A$3:$AH$1849,6,FALSE)</f>
        <v>Electrosurgical Units, Monopolar/Bipolar</v>
      </c>
      <c r="DOG111" s="179" t="s">
        <v>428</v>
      </c>
      <c r="DOH111" s="180" t="str">
        <f>VLOOKUP(DOG111,[13]AssetDetails_UEM!$A$3:$AH$1849,6,FALSE)</f>
        <v>Electrosurgical Units, Monopolar/Bipolar</v>
      </c>
      <c r="DOI111" s="179" t="s">
        <v>428</v>
      </c>
      <c r="DOJ111" s="180" t="str">
        <f>VLOOKUP(DOI111,[13]AssetDetails_UEM!$A$3:$AH$1849,6,FALSE)</f>
        <v>Electrosurgical Units, Monopolar/Bipolar</v>
      </c>
      <c r="DOK111" s="179" t="s">
        <v>428</v>
      </c>
      <c r="DOL111" s="180" t="str">
        <f>VLOOKUP(DOK111,[13]AssetDetails_UEM!$A$3:$AH$1849,6,FALSE)</f>
        <v>Electrosurgical Units, Monopolar/Bipolar</v>
      </c>
      <c r="DOM111" s="179" t="s">
        <v>428</v>
      </c>
      <c r="DON111" s="180" t="str">
        <f>VLOOKUP(DOM111,[13]AssetDetails_UEM!$A$3:$AH$1849,6,FALSE)</f>
        <v>Electrosurgical Units, Monopolar/Bipolar</v>
      </c>
      <c r="DOO111" s="179" t="s">
        <v>428</v>
      </c>
      <c r="DOP111" s="180" t="str">
        <f>VLOOKUP(DOO111,[13]AssetDetails_UEM!$A$3:$AH$1849,6,FALSE)</f>
        <v>Electrosurgical Units, Monopolar/Bipolar</v>
      </c>
      <c r="DOQ111" s="179" t="s">
        <v>428</v>
      </c>
      <c r="DOR111" s="180" t="str">
        <f>VLOOKUP(DOQ111,[13]AssetDetails_UEM!$A$3:$AH$1849,6,FALSE)</f>
        <v>Electrosurgical Units, Monopolar/Bipolar</v>
      </c>
      <c r="DOS111" s="179" t="s">
        <v>428</v>
      </c>
      <c r="DOT111" s="180" t="str">
        <f>VLOOKUP(DOS111,[13]AssetDetails_UEM!$A$3:$AH$1849,6,FALSE)</f>
        <v>Electrosurgical Units, Monopolar/Bipolar</v>
      </c>
      <c r="DOU111" s="179" t="s">
        <v>428</v>
      </c>
      <c r="DOV111" s="180" t="str">
        <f>VLOOKUP(DOU111,[13]AssetDetails_UEM!$A$3:$AH$1849,6,FALSE)</f>
        <v>Electrosurgical Units, Monopolar/Bipolar</v>
      </c>
      <c r="DOW111" s="179" t="s">
        <v>428</v>
      </c>
      <c r="DOX111" s="180" t="str">
        <f>VLOOKUP(DOW111,[13]AssetDetails_UEM!$A$3:$AH$1849,6,FALSE)</f>
        <v>Electrosurgical Units, Monopolar/Bipolar</v>
      </c>
      <c r="DOY111" s="179" t="s">
        <v>428</v>
      </c>
      <c r="DOZ111" s="180" t="str">
        <f>VLOOKUP(DOY111,[13]AssetDetails_UEM!$A$3:$AH$1849,6,FALSE)</f>
        <v>Electrosurgical Units, Monopolar/Bipolar</v>
      </c>
      <c r="DPA111" s="179" t="s">
        <v>428</v>
      </c>
      <c r="DPB111" s="180" t="str">
        <f>VLOOKUP(DPA111,[13]AssetDetails_UEM!$A$3:$AH$1849,6,FALSE)</f>
        <v>Electrosurgical Units, Monopolar/Bipolar</v>
      </c>
      <c r="DPC111" s="179" t="s">
        <v>428</v>
      </c>
      <c r="DPD111" s="180" t="str">
        <f>VLOOKUP(DPC111,[13]AssetDetails_UEM!$A$3:$AH$1849,6,FALSE)</f>
        <v>Electrosurgical Units, Monopolar/Bipolar</v>
      </c>
      <c r="DPE111" s="179" t="s">
        <v>428</v>
      </c>
      <c r="DPF111" s="180" t="str">
        <f>VLOOKUP(DPE111,[13]AssetDetails_UEM!$A$3:$AH$1849,6,FALSE)</f>
        <v>Electrosurgical Units, Monopolar/Bipolar</v>
      </c>
      <c r="DPG111" s="179" t="s">
        <v>428</v>
      </c>
      <c r="DPH111" s="180" t="str">
        <f>VLOOKUP(DPG111,[13]AssetDetails_UEM!$A$3:$AH$1849,6,FALSE)</f>
        <v>Electrosurgical Units, Monopolar/Bipolar</v>
      </c>
      <c r="DPI111" s="179" t="s">
        <v>428</v>
      </c>
      <c r="DPJ111" s="180" t="str">
        <f>VLOOKUP(DPI111,[13]AssetDetails_UEM!$A$3:$AH$1849,6,FALSE)</f>
        <v>Electrosurgical Units, Monopolar/Bipolar</v>
      </c>
      <c r="DPK111" s="179" t="s">
        <v>428</v>
      </c>
      <c r="DPL111" s="180" t="str">
        <f>VLOOKUP(DPK111,[13]AssetDetails_UEM!$A$3:$AH$1849,6,FALSE)</f>
        <v>Electrosurgical Units, Monopolar/Bipolar</v>
      </c>
      <c r="DPM111" s="179" t="s">
        <v>428</v>
      </c>
      <c r="DPN111" s="180" t="str">
        <f>VLOOKUP(DPM111,[13]AssetDetails_UEM!$A$3:$AH$1849,6,FALSE)</f>
        <v>Electrosurgical Units, Monopolar/Bipolar</v>
      </c>
      <c r="DPO111" s="179" t="s">
        <v>428</v>
      </c>
      <c r="DPP111" s="180" t="str">
        <f>VLOOKUP(DPO111,[13]AssetDetails_UEM!$A$3:$AH$1849,6,FALSE)</f>
        <v>Electrosurgical Units, Monopolar/Bipolar</v>
      </c>
      <c r="DPQ111" s="179" t="s">
        <v>428</v>
      </c>
      <c r="DPR111" s="180" t="str">
        <f>VLOOKUP(DPQ111,[13]AssetDetails_UEM!$A$3:$AH$1849,6,FALSE)</f>
        <v>Electrosurgical Units, Monopolar/Bipolar</v>
      </c>
      <c r="DPS111" s="179" t="s">
        <v>428</v>
      </c>
      <c r="DPT111" s="180" t="str">
        <f>VLOOKUP(DPS111,[13]AssetDetails_UEM!$A$3:$AH$1849,6,FALSE)</f>
        <v>Electrosurgical Units, Monopolar/Bipolar</v>
      </c>
      <c r="DPU111" s="179" t="s">
        <v>428</v>
      </c>
      <c r="DPV111" s="180" t="str">
        <f>VLOOKUP(DPU111,[13]AssetDetails_UEM!$A$3:$AH$1849,6,FALSE)</f>
        <v>Electrosurgical Units, Monopolar/Bipolar</v>
      </c>
      <c r="DPW111" s="179" t="s">
        <v>428</v>
      </c>
      <c r="DPX111" s="180" t="str">
        <f>VLOOKUP(DPW111,[13]AssetDetails_UEM!$A$3:$AH$1849,6,FALSE)</f>
        <v>Electrosurgical Units, Monopolar/Bipolar</v>
      </c>
      <c r="DPY111" s="179" t="s">
        <v>428</v>
      </c>
      <c r="DPZ111" s="180" t="str">
        <f>VLOOKUP(DPY111,[13]AssetDetails_UEM!$A$3:$AH$1849,6,FALSE)</f>
        <v>Electrosurgical Units, Monopolar/Bipolar</v>
      </c>
      <c r="DQA111" s="179" t="s">
        <v>428</v>
      </c>
      <c r="DQB111" s="180" t="str">
        <f>VLOOKUP(DQA111,[13]AssetDetails_UEM!$A$3:$AH$1849,6,FALSE)</f>
        <v>Electrosurgical Units, Monopolar/Bipolar</v>
      </c>
      <c r="DQC111" s="179" t="s">
        <v>428</v>
      </c>
      <c r="DQD111" s="180" t="str">
        <f>VLOOKUP(DQC111,[13]AssetDetails_UEM!$A$3:$AH$1849,6,FALSE)</f>
        <v>Electrosurgical Units, Monopolar/Bipolar</v>
      </c>
      <c r="DQE111" s="179" t="s">
        <v>428</v>
      </c>
      <c r="DQF111" s="180" t="str">
        <f>VLOOKUP(DQE111,[13]AssetDetails_UEM!$A$3:$AH$1849,6,FALSE)</f>
        <v>Electrosurgical Units, Monopolar/Bipolar</v>
      </c>
      <c r="DQG111" s="179" t="s">
        <v>428</v>
      </c>
      <c r="DQH111" s="180" t="str">
        <f>VLOOKUP(DQG111,[13]AssetDetails_UEM!$A$3:$AH$1849,6,FALSE)</f>
        <v>Electrosurgical Units, Monopolar/Bipolar</v>
      </c>
      <c r="DQI111" s="179" t="s">
        <v>428</v>
      </c>
      <c r="DQJ111" s="180" t="str">
        <f>VLOOKUP(DQI111,[13]AssetDetails_UEM!$A$3:$AH$1849,6,FALSE)</f>
        <v>Electrosurgical Units, Monopolar/Bipolar</v>
      </c>
      <c r="DQK111" s="179" t="s">
        <v>428</v>
      </c>
      <c r="DQL111" s="180" t="str">
        <f>VLOOKUP(DQK111,[13]AssetDetails_UEM!$A$3:$AH$1849,6,FALSE)</f>
        <v>Electrosurgical Units, Monopolar/Bipolar</v>
      </c>
      <c r="DQM111" s="179" t="s">
        <v>428</v>
      </c>
      <c r="DQN111" s="180" t="str">
        <f>VLOOKUP(DQM111,[13]AssetDetails_UEM!$A$3:$AH$1849,6,FALSE)</f>
        <v>Electrosurgical Units, Monopolar/Bipolar</v>
      </c>
      <c r="DQO111" s="179" t="s">
        <v>428</v>
      </c>
      <c r="DQP111" s="180" t="str">
        <f>VLOOKUP(DQO111,[13]AssetDetails_UEM!$A$3:$AH$1849,6,FALSE)</f>
        <v>Electrosurgical Units, Monopolar/Bipolar</v>
      </c>
      <c r="DQQ111" s="179" t="s">
        <v>428</v>
      </c>
      <c r="DQR111" s="180" t="str">
        <f>VLOOKUP(DQQ111,[13]AssetDetails_UEM!$A$3:$AH$1849,6,FALSE)</f>
        <v>Electrosurgical Units, Monopolar/Bipolar</v>
      </c>
      <c r="DQS111" s="179" t="s">
        <v>428</v>
      </c>
      <c r="DQT111" s="180" t="str">
        <f>VLOOKUP(DQS111,[13]AssetDetails_UEM!$A$3:$AH$1849,6,FALSE)</f>
        <v>Electrosurgical Units, Monopolar/Bipolar</v>
      </c>
      <c r="DQU111" s="179" t="s">
        <v>428</v>
      </c>
      <c r="DQV111" s="180" t="str">
        <f>VLOOKUP(DQU111,[13]AssetDetails_UEM!$A$3:$AH$1849,6,FALSE)</f>
        <v>Electrosurgical Units, Monopolar/Bipolar</v>
      </c>
      <c r="DQW111" s="179" t="s">
        <v>428</v>
      </c>
      <c r="DQX111" s="180" t="str">
        <f>VLOOKUP(DQW111,[13]AssetDetails_UEM!$A$3:$AH$1849,6,FALSE)</f>
        <v>Electrosurgical Units, Monopolar/Bipolar</v>
      </c>
      <c r="DQY111" s="179" t="s">
        <v>428</v>
      </c>
      <c r="DQZ111" s="180" t="str">
        <f>VLOOKUP(DQY111,[13]AssetDetails_UEM!$A$3:$AH$1849,6,FALSE)</f>
        <v>Electrosurgical Units, Monopolar/Bipolar</v>
      </c>
      <c r="DRA111" s="179" t="s">
        <v>428</v>
      </c>
      <c r="DRB111" s="180" t="str">
        <f>VLOOKUP(DRA111,[13]AssetDetails_UEM!$A$3:$AH$1849,6,FALSE)</f>
        <v>Electrosurgical Units, Monopolar/Bipolar</v>
      </c>
      <c r="DRC111" s="179" t="s">
        <v>428</v>
      </c>
      <c r="DRD111" s="180" t="str">
        <f>VLOOKUP(DRC111,[13]AssetDetails_UEM!$A$3:$AH$1849,6,FALSE)</f>
        <v>Electrosurgical Units, Monopolar/Bipolar</v>
      </c>
      <c r="DRE111" s="179" t="s">
        <v>428</v>
      </c>
      <c r="DRF111" s="180" t="str">
        <f>VLOOKUP(DRE111,[13]AssetDetails_UEM!$A$3:$AH$1849,6,FALSE)</f>
        <v>Electrosurgical Units, Monopolar/Bipolar</v>
      </c>
      <c r="DRG111" s="179" t="s">
        <v>428</v>
      </c>
      <c r="DRH111" s="180" t="str">
        <f>VLOOKUP(DRG111,[13]AssetDetails_UEM!$A$3:$AH$1849,6,FALSE)</f>
        <v>Electrosurgical Units, Monopolar/Bipolar</v>
      </c>
      <c r="DRI111" s="179" t="s">
        <v>428</v>
      </c>
      <c r="DRJ111" s="180" t="str">
        <f>VLOOKUP(DRI111,[13]AssetDetails_UEM!$A$3:$AH$1849,6,FALSE)</f>
        <v>Electrosurgical Units, Monopolar/Bipolar</v>
      </c>
      <c r="DRK111" s="179" t="s">
        <v>428</v>
      </c>
      <c r="DRL111" s="180" t="str">
        <f>VLOOKUP(DRK111,[13]AssetDetails_UEM!$A$3:$AH$1849,6,FALSE)</f>
        <v>Electrosurgical Units, Monopolar/Bipolar</v>
      </c>
      <c r="DRM111" s="179" t="s">
        <v>428</v>
      </c>
      <c r="DRN111" s="180" t="str">
        <f>VLOOKUP(DRM111,[13]AssetDetails_UEM!$A$3:$AH$1849,6,FALSE)</f>
        <v>Electrosurgical Units, Monopolar/Bipolar</v>
      </c>
      <c r="DRO111" s="179" t="s">
        <v>428</v>
      </c>
      <c r="DRP111" s="180" t="str">
        <f>VLOOKUP(DRO111,[13]AssetDetails_UEM!$A$3:$AH$1849,6,FALSE)</f>
        <v>Electrosurgical Units, Monopolar/Bipolar</v>
      </c>
      <c r="DRQ111" s="179" t="s">
        <v>428</v>
      </c>
      <c r="DRR111" s="180" t="str">
        <f>VLOOKUP(DRQ111,[13]AssetDetails_UEM!$A$3:$AH$1849,6,FALSE)</f>
        <v>Electrosurgical Units, Monopolar/Bipolar</v>
      </c>
      <c r="DRS111" s="179" t="s">
        <v>428</v>
      </c>
      <c r="DRT111" s="180" t="str">
        <f>VLOOKUP(DRS111,[13]AssetDetails_UEM!$A$3:$AH$1849,6,FALSE)</f>
        <v>Electrosurgical Units, Monopolar/Bipolar</v>
      </c>
      <c r="DRU111" s="179" t="s">
        <v>428</v>
      </c>
      <c r="DRV111" s="180" t="str">
        <f>VLOOKUP(DRU111,[13]AssetDetails_UEM!$A$3:$AH$1849,6,FALSE)</f>
        <v>Electrosurgical Units, Monopolar/Bipolar</v>
      </c>
      <c r="DRW111" s="179" t="s">
        <v>428</v>
      </c>
      <c r="DRX111" s="180" t="str">
        <f>VLOOKUP(DRW111,[13]AssetDetails_UEM!$A$3:$AH$1849,6,FALSE)</f>
        <v>Electrosurgical Units, Monopolar/Bipolar</v>
      </c>
      <c r="DRY111" s="179" t="s">
        <v>428</v>
      </c>
      <c r="DRZ111" s="180" t="str">
        <f>VLOOKUP(DRY111,[13]AssetDetails_UEM!$A$3:$AH$1849,6,FALSE)</f>
        <v>Electrosurgical Units, Monopolar/Bipolar</v>
      </c>
      <c r="DSA111" s="179" t="s">
        <v>428</v>
      </c>
      <c r="DSB111" s="180" t="str">
        <f>VLOOKUP(DSA111,[13]AssetDetails_UEM!$A$3:$AH$1849,6,FALSE)</f>
        <v>Electrosurgical Units, Monopolar/Bipolar</v>
      </c>
      <c r="DSC111" s="179" t="s">
        <v>428</v>
      </c>
      <c r="DSD111" s="180" t="str">
        <f>VLOOKUP(DSC111,[13]AssetDetails_UEM!$A$3:$AH$1849,6,FALSE)</f>
        <v>Electrosurgical Units, Monopolar/Bipolar</v>
      </c>
      <c r="DSE111" s="179" t="s">
        <v>428</v>
      </c>
      <c r="DSF111" s="180" t="str">
        <f>VLOOKUP(DSE111,[13]AssetDetails_UEM!$A$3:$AH$1849,6,FALSE)</f>
        <v>Electrosurgical Units, Monopolar/Bipolar</v>
      </c>
      <c r="DSG111" s="179" t="s">
        <v>428</v>
      </c>
      <c r="DSH111" s="180" t="str">
        <f>VLOOKUP(DSG111,[13]AssetDetails_UEM!$A$3:$AH$1849,6,FALSE)</f>
        <v>Electrosurgical Units, Monopolar/Bipolar</v>
      </c>
      <c r="DSI111" s="179" t="s">
        <v>428</v>
      </c>
      <c r="DSJ111" s="180" t="str">
        <f>VLOOKUP(DSI111,[13]AssetDetails_UEM!$A$3:$AH$1849,6,FALSE)</f>
        <v>Electrosurgical Units, Monopolar/Bipolar</v>
      </c>
      <c r="DSK111" s="179" t="s">
        <v>428</v>
      </c>
      <c r="DSL111" s="180" t="str">
        <f>VLOOKUP(DSK111,[13]AssetDetails_UEM!$A$3:$AH$1849,6,FALSE)</f>
        <v>Electrosurgical Units, Monopolar/Bipolar</v>
      </c>
      <c r="DSM111" s="179" t="s">
        <v>428</v>
      </c>
      <c r="DSN111" s="180" t="str">
        <f>VLOOKUP(DSM111,[13]AssetDetails_UEM!$A$3:$AH$1849,6,FALSE)</f>
        <v>Electrosurgical Units, Monopolar/Bipolar</v>
      </c>
      <c r="DSO111" s="179" t="s">
        <v>428</v>
      </c>
      <c r="DSP111" s="180" t="str">
        <f>VLOOKUP(DSO111,[13]AssetDetails_UEM!$A$3:$AH$1849,6,FALSE)</f>
        <v>Electrosurgical Units, Monopolar/Bipolar</v>
      </c>
      <c r="DSQ111" s="179" t="s">
        <v>428</v>
      </c>
      <c r="DSR111" s="180" t="str">
        <f>VLOOKUP(DSQ111,[13]AssetDetails_UEM!$A$3:$AH$1849,6,FALSE)</f>
        <v>Electrosurgical Units, Monopolar/Bipolar</v>
      </c>
      <c r="DSS111" s="179" t="s">
        <v>428</v>
      </c>
      <c r="DST111" s="180" t="str">
        <f>VLOOKUP(DSS111,[13]AssetDetails_UEM!$A$3:$AH$1849,6,FALSE)</f>
        <v>Electrosurgical Units, Monopolar/Bipolar</v>
      </c>
      <c r="DSU111" s="179" t="s">
        <v>428</v>
      </c>
      <c r="DSV111" s="180" t="str">
        <f>VLOOKUP(DSU111,[13]AssetDetails_UEM!$A$3:$AH$1849,6,FALSE)</f>
        <v>Electrosurgical Units, Monopolar/Bipolar</v>
      </c>
      <c r="DSW111" s="179" t="s">
        <v>428</v>
      </c>
      <c r="DSX111" s="180" t="str">
        <f>VLOOKUP(DSW111,[13]AssetDetails_UEM!$A$3:$AH$1849,6,FALSE)</f>
        <v>Electrosurgical Units, Monopolar/Bipolar</v>
      </c>
      <c r="DSY111" s="179" t="s">
        <v>428</v>
      </c>
      <c r="DSZ111" s="180" t="str">
        <f>VLOOKUP(DSY111,[13]AssetDetails_UEM!$A$3:$AH$1849,6,FALSE)</f>
        <v>Electrosurgical Units, Monopolar/Bipolar</v>
      </c>
      <c r="DTA111" s="179" t="s">
        <v>428</v>
      </c>
      <c r="DTB111" s="180" t="str">
        <f>VLOOKUP(DTA111,[13]AssetDetails_UEM!$A$3:$AH$1849,6,FALSE)</f>
        <v>Electrosurgical Units, Monopolar/Bipolar</v>
      </c>
      <c r="DTC111" s="179" t="s">
        <v>428</v>
      </c>
      <c r="DTD111" s="180" t="str">
        <f>VLOOKUP(DTC111,[13]AssetDetails_UEM!$A$3:$AH$1849,6,FALSE)</f>
        <v>Electrosurgical Units, Monopolar/Bipolar</v>
      </c>
      <c r="DTE111" s="179" t="s">
        <v>428</v>
      </c>
      <c r="DTF111" s="180" t="str">
        <f>VLOOKUP(DTE111,[13]AssetDetails_UEM!$A$3:$AH$1849,6,FALSE)</f>
        <v>Electrosurgical Units, Monopolar/Bipolar</v>
      </c>
      <c r="DTG111" s="179" t="s">
        <v>428</v>
      </c>
      <c r="DTH111" s="180" t="str">
        <f>VLOOKUP(DTG111,[13]AssetDetails_UEM!$A$3:$AH$1849,6,FALSE)</f>
        <v>Electrosurgical Units, Monopolar/Bipolar</v>
      </c>
      <c r="DTI111" s="179" t="s">
        <v>428</v>
      </c>
      <c r="DTJ111" s="180" t="str">
        <f>VLOOKUP(DTI111,[13]AssetDetails_UEM!$A$3:$AH$1849,6,FALSE)</f>
        <v>Electrosurgical Units, Monopolar/Bipolar</v>
      </c>
      <c r="DTK111" s="179" t="s">
        <v>428</v>
      </c>
      <c r="DTL111" s="180" t="str">
        <f>VLOOKUP(DTK111,[13]AssetDetails_UEM!$A$3:$AH$1849,6,FALSE)</f>
        <v>Electrosurgical Units, Monopolar/Bipolar</v>
      </c>
      <c r="DTM111" s="179" t="s">
        <v>428</v>
      </c>
      <c r="DTN111" s="180" t="str">
        <f>VLOOKUP(DTM111,[13]AssetDetails_UEM!$A$3:$AH$1849,6,FALSE)</f>
        <v>Electrosurgical Units, Monopolar/Bipolar</v>
      </c>
      <c r="DTO111" s="179" t="s">
        <v>428</v>
      </c>
      <c r="DTP111" s="180" t="str">
        <f>VLOOKUP(DTO111,[13]AssetDetails_UEM!$A$3:$AH$1849,6,FALSE)</f>
        <v>Electrosurgical Units, Monopolar/Bipolar</v>
      </c>
      <c r="DTQ111" s="179" t="s">
        <v>428</v>
      </c>
      <c r="DTR111" s="180" t="str">
        <f>VLOOKUP(DTQ111,[13]AssetDetails_UEM!$A$3:$AH$1849,6,FALSE)</f>
        <v>Electrosurgical Units, Monopolar/Bipolar</v>
      </c>
      <c r="DTS111" s="179" t="s">
        <v>428</v>
      </c>
      <c r="DTT111" s="180" t="str">
        <f>VLOOKUP(DTS111,[13]AssetDetails_UEM!$A$3:$AH$1849,6,FALSE)</f>
        <v>Electrosurgical Units, Monopolar/Bipolar</v>
      </c>
      <c r="DTU111" s="179" t="s">
        <v>428</v>
      </c>
      <c r="DTV111" s="180" t="str">
        <f>VLOOKUP(DTU111,[13]AssetDetails_UEM!$A$3:$AH$1849,6,FALSE)</f>
        <v>Electrosurgical Units, Monopolar/Bipolar</v>
      </c>
      <c r="DTW111" s="179" t="s">
        <v>428</v>
      </c>
      <c r="DTX111" s="180" t="str">
        <f>VLOOKUP(DTW111,[13]AssetDetails_UEM!$A$3:$AH$1849,6,FALSE)</f>
        <v>Electrosurgical Units, Monopolar/Bipolar</v>
      </c>
      <c r="DTY111" s="179" t="s">
        <v>428</v>
      </c>
      <c r="DTZ111" s="180" t="str">
        <f>VLOOKUP(DTY111,[13]AssetDetails_UEM!$A$3:$AH$1849,6,FALSE)</f>
        <v>Electrosurgical Units, Monopolar/Bipolar</v>
      </c>
      <c r="DUA111" s="179" t="s">
        <v>428</v>
      </c>
      <c r="DUB111" s="180" t="str">
        <f>VLOOKUP(DUA111,[13]AssetDetails_UEM!$A$3:$AH$1849,6,FALSE)</f>
        <v>Electrosurgical Units, Monopolar/Bipolar</v>
      </c>
      <c r="DUC111" s="179" t="s">
        <v>428</v>
      </c>
      <c r="DUD111" s="180" t="str">
        <f>VLOOKUP(DUC111,[13]AssetDetails_UEM!$A$3:$AH$1849,6,FALSE)</f>
        <v>Electrosurgical Units, Monopolar/Bipolar</v>
      </c>
      <c r="DUE111" s="179" t="s">
        <v>428</v>
      </c>
      <c r="DUF111" s="180" t="str">
        <f>VLOOKUP(DUE111,[13]AssetDetails_UEM!$A$3:$AH$1849,6,FALSE)</f>
        <v>Electrosurgical Units, Monopolar/Bipolar</v>
      </c>
      <c r="DUG111" s="179" t="s">
        <v>428</v>
      </c>
      <c r="DUH111" s="180" t="str">
        <f>VLOOKUP(DUG111,[13]AssetDetails_UEM!$A$3:$AH$1849,6,FALSE)</f>
        <v>Electrosurgical Units, Monopolar/Bipolar</v>
      </c>
      <c r="DUI111" s="179" t="s">
        <v>428</v>
      </c>
      <c r="DUJ111" s="180" t="str">
        <f>VLOOKUP(DUI111,[13]AssetDetails_UEM!$A$3:$AH$1849,6,FALSE)</f>
        <v>Electrosurgical Units, Monopolar/Bipolar</v>
      </c>
      <c r="DUK111" s="179" t="s">
        <v>428</v>
      </c>
      <c r="DUL111" s="180" t="str">
        <f>VLOOKUP(DUK111,[13]AssetDetails_UEM!$A$3:$AH$1849,6,FALSE)</f>
        <v>Electrosurgical Units, Monopolar/Bipolar</v>
      </c>
      <c r="DUM111" s="179" t="s">
        <v>428</v>
      </c>
      <c r="DUN111" s="180" t="str">
        <f>VLOOKUP(DUM111,[13]AssetDetails_UEM!$A$3:$AH$1849,6,FALSE)</f>
        <v>Electrosurgical Units, Monopolar/Bipolar</v>
      </c>
      <c r="DUO111" s="179" t="s">
        <v>428</v>
      </c>
      <c r="DUP111" s="180" t="str">
        <f>VLOOKUP(DUO111,[13]AssetDetails_UEM!$A$3:$AH$1849,6,FALSE)</f>
        <v>Electrosurgical Units, Monopolar/Bipolar</v>
      </c>
      <c r="DUQ111" s="179" t="s">
        <v>428</v>
      </c>
      <c r="DUR111" s="180" t="str">
        <f>VLOOKUP(DUQ111,[13]AssetDetails_UEM!$A$3:$AH$1849,6,FALSE)</f>
        <v>Electrosurgical Units, Monopolar/Bipolar</v>
      </c>
      <c r="DUS111" s="179" t="s">
        <v>428</v>
      </c>
      <c r="DUT111" s="180" t="str">
        <f>VLOOKUP(DUS111,[13]AssetDetails_UEM!$A$3:$AH$1849,6,FALSE)</f>
        <v>Electrosurgical Units, Monopolar/Bipolar</v>
      </c>
      <c r="DUU111" s="179" t="s">
        <v>428</v>
      </c>
      <c r="DUV111" s="180" t="str">
        <f>VLOOKUP(DUU111,[13]AssetDetails_UEM!$A$3:$AH$1849,6,FALSE)</f>
        <v>Electrosurgical Units, Monopolar/Bipolar</v>
      </c>
      <c r="DUW111" s="179" t="s">
        <v>428</v>
      </c>
      <c r="DUX111" s="180" t="str">
        <f>VLOOKUP(DUW111,[13]AssetDetails_UEM!$A$3:$AH$1849,6,FALSE)</f>
        <v>Electrosurgical Units, Monopolar/Bipolar</v>
      </c>
      <c r="DUY111" s="179" t="s">
        <v>428</v>
      </c>
      <c r="DUZ111" s="180" t="str">
        <f>VLOOKUP(DUY111,[13]AssetDetails_UEM!$A$3:$AH$1849,6,FALSE)</f>
        <v>Electrosurgical Units, Monopolar/Bipolar</v>
      </c>
      <c r="DVA111" s="179" t="s">
        <v>428</v>
      </c>
      <c r="DVB111" s="180" t="str">
        <f>VLOOKUP(DVA111,[13]AssetDetails_UEM!$A$3:$AH$1849,6,FALSE)</f>
        <v>Electrosurgical Units, Monopolar/Bipolar</v>
      </c>
      <c r="DVC111" s="179" t="s">
        <v>428</v>
      </c>
      <c r="DVD111" s="180" t="str">
        <f>VLOOKUP(DVC111,[13]AssetDetails_UEM!$A$3:$AH$1849,6,FALSE)</f>
        <v>Electrosurgical Units, Monopolar/Bipolar</v>
      </c>
      <c r="DVE111" s="179" t="s">
        <v>428</v>
      </c>
      <c r="DVF111" s="180" t="str">
        <f>VLOOKUP(DVE111,[13]AssetDetails_UEM!$A$3:$AH$1849,6,FALSE)</f>
        <v>Electrosurgical Units, Monopolar/Bipolar</v>
      </c>
      <c r="DVG111" s="179" t="s">
        <v>428</v>
      </c>
      <c r="DVH111" s="180" t="str">
        <f>VLOOKUP(DVG111,[13]AssetDetails_UEM!$A$3:$AH$1849,6,FALSE)</f>
        <v>Electrosurgical Units, Monopolar/Bipolar</v>
      </c>
      <c r="DVI111" s="179" t="s">
        <v>428</v>
      </c>
      <c r="DVJ111" s="180" t="str">
        <f>VLOOKUP(DVI111,[13]AssetDetails_UEM!$A$3:$AH$1849,6,FALSE)</f>
        <v>Electrosurgical Units, Monopolar/Bipolar</v>
      </c>
      <c r="DVK111" s="179" t="s">
        <v>428</v>
      </c>
      <c r="DVL111" s="180" t="str">
        <f>VLOOKUP(DVK111,[13]AssetDetails_UEM!$A$3:$AH$1849,6,FALSE)</f>
        <v>Electrosurgical Units, Monopolar/Bipolar</v>
      </c>
      <c r="DVM111" s="179" t="s">
        <v>428</v>
      </c>
      <c r="DVN111" s="180" t="str">
        <f>VLOOKUP(DVM111,[13]AssetDetails_UEM!$A$3:$AH$1849,6,FALSE)</f>
        <v>Electrosurgical Units, Monopolar/Bipolar</v>
      </c>
      <c r="DVO111" s="179" t="s">
        <v>428</v>
      </c>
      <c r="DVP111" s="180" t="str">
        <f>VLOOKUP(DVO111,[13]AssetDetails_UEM!$A$3:$AH$1849,6,FALSE)</f>
        <v>Electrosurgical Units, Monopolar/Bipolar</v>
      </c>
      <c r="DVQ111" s="179" t="s">
        <v>428</v>
      </c>
      <c r="DVR111" s="180" t="str">
        <f>VLOOKUP(DVQ111,[13]AssetDetails_UEM!$A$3:$AH$1849,6,FALSE)</f>
        <v>Electrosurgical Units, Monopolar/Bipolar</v>
      </c>
      <c r="DVS111" s="179" t="s">
        <v>428</v>
      </c>
      <c r="DVT111" s="180" t="str">
        <f>VLOOKUP(DVS111,[13]AssetDetails_UEM!$A$3:$AH$1849,6,FALSE)</f>
        <v>Electrosurgical Units, Monopolar/Bipolar</v>
      </c>
      <c r="DVU111" s="179" t="s">
        <v>428</v>
      </c>
      <c r="DVV111" s="180" t="str">
        <f>VLOOKUP(DVU111,[13]AssetDetails_UEM!$A$3:$AH$1849,6,FALSE)</f>
        <v>Electrosurgical Units, Monopolar/Bipolar</v>
      </c>
      <c r="DVW111" s="179" t="s">
        <v>428</v>
      </c>
      <c r="DVX111" s="180" t="str">
        <f>VLOOKUP(DVW111,[13]AssetDetails_UEM!$A$3:$AH$1849,6,FALSE)</f>
        <v>Electrosurgical Units, Monopolar/Bipolar</v>
      </c>
      <c r="DVY111" s="179" t="s">
        <v>428</v>
      </c>
      <c r="DVZ111" s="180" t="str">
        <f>VLOOKUP(DVY111,[13]AssetDetails_UEM!$A$3:$AH$1849,6,FALSE)</f>
        <v>Electrosurgical Units, Monopolar/Bipolar</v>
      </c>
      <c r="DWA111" s="179" t="s">
        <v>428</v>
      </c>
      <c r="DWB111" s="180" t="str">
        <f>VLOOKUP(DWA111,[13]AssetDetails_UEM!$A$3:$AH$1849,6,FALSE)</f>
        <v>Electrosurgical Units, Monopolar/Bipolar</v>
      </c>
      <c r="DWC111" s="179" t="s">
        <v>428</v>
      </c>
      <c r="DWD111" s="180" t="str">
        <f>VLOOKUP(DWC111,[13]AssetDetails_UEM!$A$3:$AH$1849,6,FALSE)</f>
        <v>Electrosurgical Units, Monopolar/Bipolar</v>
      </c>
      <c r="DWE111" s="179" t="s">
        <v>428</v>
      </c>
      <c r="DWF111" s="180" t="str">
        <f>VLOOKUP(DWE111,[13]AssetDetails_UEM!$A$3:$AH$1849,6,FALSE)</f>
        <v>Electrosurgical Units, Monopolar/Bipolar</v>
      </c>
      <c r="DWG111" s="179" t="s">
        <v>428</v>
      </c>
      <c r="DWH111" s="180" t="str">
        <f>VLOOKUP(DWG111,[13]AssetDetails_UEM!$A$3:$AH$1849,6,FALSE)</f>
        <v>Electrosurgical Units, Monopolar/Bipolar</v>
      </c>
      <c r="DWI111" s="179" t="s">
        <v>428</v>
      </c>
      <c r="DWJ111" s="180" t="str">
        <f>VLOOKUP(DWI111,[13]AssetDetails_UEM!$A$3:$AH$1849,6,FALSE)</f>
        <v>Electrosurgical Units, Monopolar/Bipolar</v>
      </c>
      <c r="DWK111" s="179" t="s">
        <v>428</v>
      </c>
      <c r="DWL111" s="180" t="str">
        <f>VLOOKUP(DWK111,[13]AssetDetails_UEM!$A$3:$AH$1849,6,FALSE)</f>
        <v>Electrosurgical Units, Monopolar/Bipolar</v>
      </c>
      <c r="DWM111" s="179" t="s">
        <v>428</v>
      </c>
      <c r="DWN111" s="180" t="str">
        <f>VLOOKUP(DWM111,[13]AssetDetails_UEM!$A$3:$AH$1849,6,FALSE)</f>
        <v>Electrosurgical Units, Monopolar/Bipolar</v>
      </c>
      <c r="DWO111" s="179" t="s">
        <v>428</v>
      </c>
      <c r="DWP111" s="180" t="str">
        <f>VLOOKUP(DWO111,[13]AssetDetails_UEM!$A$3:$AH$1849,6,FALSE)</f>
        <v>Electrosurgical Units, Monopolar/Bipolar</v>
      </c>
      <c r="DWQ111" s="179" t="s">
        <v>428</v>
      </c>
      <c r="DWR111" s="180" t="str">
        <f>VLOOKUP(DWQ111,[13]AssetDetails_UEM!$A$3:$AH$1849,6,FALSE)</f>
        <v>Electrosurgical Units, Monopolar/Bipolar</v>
      </c>
      <c r="DWS111" s="179" t="s">
        <v>428</v>
      </c>
      <c r="DWT111" s="180" t="str">
        <f>VLOOKUP(DWS111,[13]AssetDetails_UEM!$A$3:$AH$1849,6,FALSE)</f>
        <v>Electrosurgical Units, Monopolar/Bipolar</v>
      </c>
      <c r="DWU111" s="179" t="s">
        <v>428</v>
      </c>
      <c r="DWV111" s="180" t="str">
        <f>VLOOKUP(DWU111,[13]AssetDetails_UEM!$A$3:$AH$1849,6,FALSE)</f>
        <v>Electrosurgical Units, Monopolar/Bipolar</v>
      </c>
      <c r="DWW111" s="179" t="s">
        <v>428</v>
      </c>
      <c r="DWX111" s="180" t="str">
        <f>VLOOKUP(DWW111,[13]AssetDetails_UEM!$A$3:$AH$1849,6,FALSE)</f>
        <v>Electrosurgical Units, Monopolar/Bipolar</v>
      </c>
      <c r="DWY111" s="179" t="s">
        <v>428</v>
      </c>
      <c r="DWZ111" s="180" t="str">
        <f>VLOOKUP(DWY111,[13]AssetDetails_UEM!$A$3:$AH$1849,6,FALSE)</f>
        <v>Electrosurgical Units, Monopolar/Bipolar</v>
      </c>
      <c r="DXA111" s="179" t="s">
        <v>428</v>
      </c>
      <c r="DXB111" s="180" t="str">
        <f>VLOOKUP(DXA111,[13]AssetDetails_UEM!$A$3:$AH$1849,6,FALSE)</f>
        <v>Electrosurgical Units, Monopolar/Bipolar</v>
      </c>
      <c r="DXC111" s="179" t="s">
        <v>428</v>
      </c>
      <c r="DXD111" s="180" t="str">
        <f>VLOOKUP(DXC111,[13]AssetDetails_UEM!$A$3:$AH$1849,6,FALSE)</f>
        <v>Electrosurgical Units, Monopolar/Bipolar</v>
      </c>
      <c r="DXE111" s="179" t="s">
        <v>428</v>
      </c>
      <c r="DXF111" s="180" t="str">
        <f>VLOOKUP(DXE111,[13]AssetDetails_UEM!$A$3:$AH$1849,6,FALSE)</f>
        <v>Electrosurgical Units, Monopolar/Bipolar</v>
      </c>
      <c r="DXG111" s="179" t="s">
        <v>428</v>
      </c>
      <c r="DXH111" s="180" t="str">
        <f>VLOOKUP(DXG111,[13]AssetDetails_UEM!$A$3:$AH$1849,6,FALSE)</f>
        <v>Electrosurgical Units, Monopolar/Bipolar</v>
      </c>
      <c r="DXI111" s="179" t="s">
        <v>428</v>
      </c>
      <c r="DXJ111" s="180" t="str">
        <f>VLOOKUP(DXI111,[13]AssetDetails_UEM!$A$3:$AH$1849,6,FALSE)</f>
        <v>Electrosurgical Units, Monopolar/Bipolar</v>
      </c>
      <c r="DXK111" s="179" t="s">
        <v>428</v>
      </c>
      <c r="DXL111" s="180" t="str">
        <f>VLOOKUP(DXK111,[13]AssetDetails_UEM!$A$3:$AH$1849,6,FALSE)</f>
        <v>Electrosurgical Units, Monopolar/Bipolar</v>
      </c>
      <c r="DXM111" s="179" t="s">
        <v>428</v>
      </c>
      <c r="DXN111" s="180" t="str">
        <f>VLOOKUP(DXM111,[13]AssetDetails_UEM!$A$3:$AH$1849,6,FALSE)</f>
        <v>Electrosurgical Units, Monopolar/Bipolar</v>
      </c>
      <c r="DXO111" s="179" t="s">
        <v>428</v>
      </c>
      <c r="DXP111" s="180" t="str">
        <f>VLOOKUP(DXO111,[13]AssetDetails_UEM!$A$3:$AH$1849,6,FALSE)</f>
        <v>Electrosurgical Units, Monopolar/Bipolar</v>
      </c>
      <c r="DXQ111" s="179" t="s">
        <v>428</v>
      </c>
      <c r="DXR111" s="180" t="str">
        <f>VLOOKUP(DXQ111,[13]AssetDetails_UEM!$A$3:$AH$1849,6,FALSE)</f>
        <v>Electrosurgical Units, Monopolar/Bipolar</v>
      </c>
      <c r="DXS111" s="179" t="s">
        <v>428</v>
      </c>
      <c r="DXT111" s="180" t="str">
        <f>VLOOKUP(DXS111,[13]AssetDetails_UEM!$A$3:$AH$1849,6,FALSE)</f>
        <v>Electrosurgical Units, Monopolar/Bipolar</v>
      </c>
      <c r="DXU111" s="179" t="s">
        <v>428</v>
      </c>
      <c r="DXV111" s="180" t="str">
        <f>VLOOKUP(DXU111,[13]AssetDetails_UEM!$A$3:$AH$1849,6,FALSE)</f>
        <v>Electrosurgical Units, Monopolar/Bipolar</v>
      </c>
      <c r="DXW111" s="179" t="s">
        <v>428</v>
      </c>
      <c r="DXX111" s="180" t="str">
        <f>VLOOKUP(DXW111,[13]AssetDetails_UEM!$A$3:$AH$1849,6,FALSE)</f>
        <v>Electrosurgical Units, Monopolar/Bipolar</v>
      </c>
      <c r="DXY111" s="179" t="s">
        <v>428</v>
      </c>
      <c r="DXZ111" s="180" t="str">
        <f>VLOOKUP(DXY111,[13]AssetDetails_UEM!$A$3:$AH$1849,6,FALSE)</f>
        <v>Electrosurgical Units, Monopolar/Bipolar</v>
      </c>
      <c r="DYA111" s="179" t="s">
        <v>428</v>
      </c>
      <c r="DYB111" s="180" t="str">
        <f>VLOOKUP(DYA111,[13]AssetDetails_UEM!$A$3:$AH$1849,6,FALSE)</f>
        <v>Electrosurgical Units, Monopolar/Bipolar</v>
      </c>
      <c r="DYC111" s="179" t="s">
        <v>428</v>
      </c>
      <c r="DYD111" s="180" t="str">
        <f>VLOOKUP(DYC111,[13]AssetDetails_UEM!$A$3:$AH$1849,6,FALSE)</f>
        <v>Electrosurgical Units, Monopolar/Bipolar</v>
      </c>
      <c r="DYE111" s="179" t="s">
        <v>428</v>
      </c>
      <c r="DYF111" s="180" t="str">
        <f>VLOOKUP(DYE111,[13]AssetDetails_UEM!$A$3:$AH$1849,6,FALSE)</f>
        <v>Electrosurgical Units, Monopolar/Bipolar</v>
      </c>
      <c r="DYG111" s="179" t="s">
        <v>428</v>
      </c>
      <c r="DYH111" s="180" t="str">
        <f>VLOOKUP(DYG111,[13]AssetDetails_UEM!$A$3:$AH$1849,6,FALSE)</f>
        <v>Electrosurgical Units, Monopolar/Bipolar</v>
      </c>
      <c r="DYI111" s="179" t="s">
        <v>428</v>
      </c>
      <c r="DYJ111" s="180" t="str">
        <f>VLOOKUP(DYI111,[13]AssetDetails_UEM!$A$3:$AH$1849,6,FALSE)</f>
        <v>Electrosurgical Units, Monopolar/Bipolar</v>
      </c>
      <c r="DYK111" s="179" t="s">
        <v>428</v>
      </c>
      <c r="DYL111" s="180" t="str">
        <f>VLOOKUP(DYK111,[13]AssetDetails_UEM!$A$3:$AH$1849,6,FALSE)</f>
        <v>Electrosurgical Units, Monopolar/Bipolar</v>
      </c>
      <c r="DYM111" s="179" t="s">
        <v>428</v>
      </c>
      <c r="DYN111" s="180" t="str">
        <f>VLOOKUP(DYM111,[13]AssetDetails_UEM!$A$3:$AH$1849,6,FALSE)</f>
        <v>Electrosurgical Units, Monopolar/Bipolar</v>
      </c>
      <c r="DYO111" s="179" t="s">
        <v>428</v>
      </c>
      <c r="DYP111" s="180" t="str">
        <f>VLOOKUP(DYO111,[13]AssetDetails_UEM!$A$3:$AH$1849,6,FALSE)</f>
        <v>Electrosurgical Units, Monopolar/Bipolar</v>
      </c>
      <c r="DYQ111" s="179" t="s">
        <v>428</v>
      </c>
      <c r="DYR111" s="180" t="str">
        <f>VLOOKUP(DYQ111,[13]AssetDetails_UEM!$A$3:$AH$1849,6,FALSE)</f>
        <v>Electrosurgical Units, Monopolar/Bipolar</v>
      </c>
      <c r="DYS111" s="179" t="s">
        <v>428</v>
      </c>
      <c r="DYT111" s="180" t="str">
        <f>VLOOKUP(DYS111,[13]AssetDetails_UEM!$A$3:$AH$1849,6,FALSE)</f>
        <v>Electrosurgical Units, Monopolar/Bipolar</v>
      </c>
      <c r="DYU111" s="179" t="s">
        <v>428</v>
      </c>
      <c r="DYV111" s="180" t="str">
        <f>VLOOKUP(DYU111,[13]AssetDetails_UEM!$A$3:$AH$1849,6,FALSE)</f>
        <v>Electrosurgical Units, Monopolar/Bipolar</v>
      </c>
      <c r="DYW111" s="179" t="s">
        <v>428</v>
      </c>
      <c r="DYX111" s="180" t="str">
        <f>VLOOKUP(DYW111,[13]AssetDetails_UEM!$A$3:$AH$1849,6,FALSE)</f>
        <v>Electrosurgical Units, Monopolar/Bipolar</v>
      </c>
      <c r="DYY111" s="179" t="s">
        <v>428</v>
      </c>
      <c r="DYZ111" s="180" t="str">
        <f>VLOOKUP(DYY111,[13]AssetDetails_UEM!$A$3:$AH$1849,6,FALSE)</f>
        <v>Electrosurgical Units, Monopolar/Bipolar</v>
      </c>
      <c r="DZA111" s="179" t="s">
        <v>428</v>
      </c>
      <c r="DZB111" s="180" t="str">
        <f>VLOOKUP(DZA111,[13]AssetDetails_UEM!$A$3:$AH$1849,6,FALSE)</f>
        <v>Electrosurgical Units, Monopolar/Bipolar</v>
      </c>
      <c r="DZC111" s="179" t="s">
        <v>428</v>
      </c>
      <c r="DZD111" s="180" t="str">
        <f>VLOOKUP(DZC111,[13]AssetDetails_UEM!$A$3:$AH$1849,6,FALSE)</f>
        <v>Electrosurgical Units, Monopolar/Bipolar</v>
      </c>
      <c r="DZE111" s="179" t="s">
        <v>428</v>
      </c>
      <c r="DZF111" s="180" t="str">
        <f>VLOOKUP(DZE111,[13]AssetDetails_UEM!$A$3:$AH$1849,6,FALSE)</f>
        <v>Electrosurgical Units, Monopolar/Bipolar</v>
      </c>
      <c r="DZG111" s="179" t="s">
        <v>428</v>
      </c>
      <c r="DZH111" s="180" t="str">
        <f>VLOOKUP(DZG111,[13]AssetDetails_UEM!$A$3:$AH$1849,6,FALSE)</f>
        <v>Electrosurgical Units, Monopolar/Bipolar</v>
      </c>
      <c r="DZI111" s="179" t="s">
        <v>428</v>
      </c>
      <c r="DZJ111" s="180" t="str">
        <f>VLOOKUP(DZI111,[13]AssetDetails_UEM!$A$3:$AH$1849,6,FALSE)</f>
        <v>Electrosurgical Units, Monopolar/Bipolar</v>
      </c>
      <c r="DZK111" s="179" t="s">
        <v>428</v>
      </c>
      <c r="DZL111" s="180" t="str">
        <f>VLOOKUP(DZK111,[13]AssetDetails_UEM!$A$3:$AH$1849,6,FALSE)</f>
        <v>Electrosurgical Units, Monopolar/Bipolar</v>
      </c>
      <c r="DZM111" s="179" t="s">
        <v>428</v>
      </c>
      <c r="DZN111" s="180" t="str">
        <f>VLOOKUP(DZM111,[13]AssetDetails_UEM!$A$3:$AH$1849,6,FALSE)</f>
        <v>Electrosurgical Units, Monopolar/Bipolar</v>
      </c>
      <c r="DZO111" s="179" t="s">
        <v>428</v>
      </c>
      <c r="DZP111" s="180" t="str">
        <f>VLOOKUP(DZO111,[13]AssetDetails_UEM!$A$3:$AH$1849,6,FALSE)</f>
        <v>Electrosurgical Units, Monopolar/Bipolar</v>
      </c>
      <c r="DZQ111" s="179" t="s">
        <v>428</v>
      </c>
      <c r="DZR111" s="180" t="str">
        <f>VLOOKUP(DZQ111,[13]AssetDetails_UEM!$A$3:$AH$1849,6,FALSE)</f>
        <v>Electrosurgical Units, Monopolar/Bipolar</v>
      </c>
      <c r="DZS111" s="179" t="s">
        <v>428</v>
      </c>
      <c r="DZT111" s="180" t="str">
        <f>VLOOKUP(DZS111,[13]AssetDetails_UEM!$A$3:$AH$1849,6,FALSE)</f>
        <v>Electrosurgical Units, Monopolar/Bipolar</v>
      </c>
      <c r="DZU111" s="179" t="s">
        <v>428</v>
      </c>
      <c r="DZV111" s="180" t="str">
        <f>VLOOKUP(DZU111,[13]AssetDetails_UEM!$A$3:$AH$1849,6,FALSE)</f>
        <v>Electrosurgical Units, Monopolar/Bipolar</v>
      </c>
      <c r="DZW111" s="179" t="s">
        <v>428</v>
      </c>
      <c r="DZX111" s="180" t="str">
        <f>VLOOKUP(DZW111,[13]AssetDetails_UEM!$A$3:$AH$1849,6,FALSE)</f>
        <v>Electrosurgical Units, Monopolar/Bipolar</v>
      </c>
      <c r="DZY111" s="179" t="s">
        <v>428</v>
      </c>
      <c r="DZZ111" s="180" t="str">
        <f>VLOOKUP(DZY111,[13]AssetDetails_UEM!$A$3:$AH$1849,6,FALSE)</f>
        <v>Electrosurgical Units, Monopolar/Bipolar</v>
      </c>
      <c r="EAA111" s="179" t="s">
        <v>428</v>
      </c>
      <c r="EAB111" s="180" t="str">
        <f>VLOOKUP(EAA111,[13]AssetDetails_UEM!$A$3:$AH$1849,6,FALSE)</f>
        <v>Electrosurgical Units, Monopolar/Bipolar</v>
      </c>
      <c r="EAC111" s="179" t="s">
        <v>428</v>
      </c>
      <c r="EAD111" s="180" t="str">
        <f>VLOOKUP(EAC111,[13]AssetDetails_UEM!$A$3:$AH$1849,6,FALSE)</f>
        <v>Electrosurgical Units, Monopolar/Bipolar</v>
      </c>
      <c r="EAE111" s="179" t="s">
        <v>428</v>
      </c>
      <c r="EAF111" s="180" t="str">
        <f>VLOOKUP(EAE111,[13]AssetDetails_UEM!$A$3:$AH$1849,6,FALSE)</f>
        <v>Electrosurgical Units, Monopolar/Bipolar</v>
      </c>
      <c r="EAG111" s="179" t="s">
        <v>428</v>
      </c>
      <c r="EAH111" s="180" t="str">
        <f>VLOOKUP(EAG111,[13]AssetDetails_UEM!$A$3:$AH$1849,6,FALSE)</f>
        <v>Electrosurgical Units, Monopolar/Bipolar</v>
      </c>
      <c r="EAI111" s="179" t="s">
        <v>428</v>
      </c>
      <c r="EAJ111" s="180" t="str">
        <f>VLOOKUP(EAI111,[13]AssetDetails_UEM!$A$3:$AH$1849,6,FALSE)</f>
        <v>Electrosurgical Units, Monopolar/Bipolar</v>
      </c>
      <c r="EAK111" s="179" t="s">
        <v>428</v>
      </c>
      <c r="EAL111" s="180" t="str">
        <f>VLOOKUP(EAK111,[13]AssetDetails_UEM!$A$3:$AH$1849,6,FALSE)</f>
        <v>Electrosurgical Units, Monopolar/Bipolar</v>
      </c>
      <c r="EAM111" s="179" t="s">
        <v>428</v>
      </c>
      <c r="EAN111" s="180" t="str">
        <f>VLOOKUP(EAM111,[13]AssetDetails_UEM!$A$3:$AH$1849,6,FALSE)</f>
        <v>Electrosurgical Units, Monopolar/Bipolar</v>
      </c>
      <c r="EAO111" s="179" t="s">
        <v>428</v>
      </c>
      <c r="EAP111" s="180" t="str">
        <f>VLOOKUP(EAO111,[13]AssetDetails_UEM!$A$3:$AH$1849,6,FALSE)</f>
        <v>Electrosurgical Units, Monopolar/Bipolar</v>
      </c>
      <c r="EAQ111" s="179" t="s">
        <v>428</v>
      </c>
      <c r="EAR111" s="180" t="str">
        <f>VLOOKUP(EAQ111,[13]AssetDetails_UEM!$A$3:$AH$1849,6,FALSE)</f>
        <v>Electrosurgical Units, Monopolar/Bipolar</v>
      </c>
      <c r="EAS111" s="179" t="s">
        <v>428</v>
      </c>
      <c r="EAT111" s="180" t="str">
        <f>VLOOKUP(EAS111,[13]AssetDetails_UEM!$A$3:$AH$1849,6,FALSE)</f>
        <v>Electrosurgical Units, Monopolar/Bipolar</v>
      </c>
      <c r="EAU111" s="179" t="s">
        <v>428</v>
      </c>
      <c r="EAV111" s="180" t="str">
        <f>VLOOKUP(EAU111,[13]AssetDetails_UEM!$A$3:$AH$1849,6,FALSE)</f>
        <v>Electrosurgical Units, Monopolar/Bipolar</v>
      </c>
      <c r="EAW111" s="179" t="s">
        <v>428</v>
      </c>
      <c r="EAX111" s="180" t="str">
        <f>VLOOKUP(EAW111,[13]AssetDetails_UEM!$A$3:$AH$1849,6,FALSE)</f>
        <v>Electrosurgical Units, Monopolar/Bipolar</v>
      </c>
      <c r="EAY111" s="179" t="s">
        <v>428</v>
      </c>
      <c r="EAZ111" s="180" t="str">
        <f>VLOOKUP(EAY111,[13]AssetDetails_UEM!$A$3:$AH$1849,6,FALSE)</f>
        <v>Electrosurgical Units, Monopolar/Bipolar</v>
      </c>
      <c r="EBA111" s="179" t="s">
        <v>428</v>
      </c>
      <c r="EBB111" s="180" t="str">
        <f>VLOOKUP(EBA111,[13]AssetDetails_UEM!$A$3:$AH$1849,6,FALSE)</f>
        <v>Electrosurgical Units, Monopolar/Bipolar</v>
      </c>
      <c r="EBC111" s="179" t="s">
        <v>428</v>
      </c>
      <c r="EBD111" s="180" t="str">
        <f>VLOOKUP(EBC111,[13]AssetDetails_UEM!$A$3:$AH$1849,6,FALSE)</f>
        <v>Electrosurgical Units, Monopolar/Bipolar</v>
      </c>
      <c r="EBE111" s="179" t="s">
        <v>428</v>
      </c>
      <c r="EBF111" s="180" t="str">
        <f>VLOOKUP(EBE111,[13]AssetDetails_UEM!$A$3:$AH$1849,6,FALSE)</f>
        <v>Electrosurgical Units, Monopolar/Bipolar</v>
      </c>
      <c r="EBG111" s="179" t="s">
        <v>428</v>
      </c>
      <c r="EBH111" s="180" t="str">
        <f>VLOOKUP(EBG111,[13]AssetDetails_UEM!$A$3:$AH$1849,6,FALSE)</f>
        <v>Electrosurgical Units, Monopolar/Bipolar</v>
      </c>
      <c r="EBI111" s="179" t="s">
        <v>428</v>
      </c>
      <c r="EBJ111" s="180" t="str">
        <f>VLOOKUP(EBI111,[13]AssetDetails_UEM!$A$3:$AH$1849,6,FALSE)</f>
        <v>Electrosurgical Units, Monopolar/Bipolar</v>
      </c>
      <c r="EBK111" s="179" t="s">
        <v>428</v>
      </c>
      <c r="EBL111" s="180" t="str">
        <f>VLOOKUP(EBK111,[13]AssetDetails_UEM!$A$3:$AH$1849,6,FALSE)</f>
        <v>Electrosurgical Units, Monopolar/Bipolar</v>
      </c>
      <c r="EBM111" s="179" t="s">
        <v>428</v>
      </c>
      <c r="EBN111" s="180" t="str">
        <f>VLOOKUP(EBM111,[13]AssetDetails_UEM!$A$3:$AH$1849,6,FALSE)</f>
        <v>Electrosurgical Units, Monopolar/Bipolar</v>
      </c>
      <c r="EBO111" s="179" t="s">
        <v>428</v>
      </c>
      <c r="EBP111" s="180" t="str">
        <f>VLOOKUP(EBO111,[13]AssetDetails_UEM!$A$3:$AH$1849,6,FALSE)</f>
        <v>Electrosurgical Units, Monopolar/Bipolar</v>
      </c>
      <c r="EBQ111" s="179" t="s">
        <v>428</v>
      </c>
      <c r="EBR111" s="180" t="str">
        <f>VLOOKUP(EBQ111,[13]AssetDetails_UEM!$A$3:$AH$1849,6,FALSE)</f>
        <v>Electrosurgical Units, Monopolar/Bipolar</v>
      </c>
      <c r="EBS111" s="179" t="s">
        <v>428</v>
      </c>
      <c r="EBT111" s="180" t="str">
        <f>VLOOKUP(EBS111,[13]AssetDetails_UEM!$A$3:$AH$1849,6,FALSE)</f>
        <v>Electrosurgical Units, Monopolar/Bipolar</v>
      </c>
      <c r="EBU111" s="179" t="s">
        <v>428</v>
      </c>
      <c r="EBV111" s="180" t="str">
        <f>VLOOKUP(EBU111,[13]AssetDetails_UEM!$A$3:$AH$1849,6,FALSE)</f>
        <v>Electrosurgical Units, Monopolar/Bipolar</v>
      </c>
      <c r="EBW111" s="179" t="s">
        <v>428</v>
      </c>
      <c r="EBX111" s="180" t="str">
        <f>VLOOKUP(EBW111,[13]AssetDetails_UEM!$A$3:$AH$1849,6,FALSE)</f>
        <v>Electrosurgical Units, Monopolar/Bipolar</v>
      </c>
      <c r="EBY111" s="179" t="s">
        <v>428</v>
      </c>
      <c r="EBZ111" s="180" t="str">
        <f>VLOOKUP(EBY111,[13]AssetDetails_UEM!$A$3:$AH$1849,6,FALSE)</f>
        <v>Electrosurgical Units, Monopolar/Bipolar</v>
      </c>
      <c r="ECA111" s="179" t="s">
        <v>428</v>
      </c>
      <c r="ECB111" s="180" t="str">
        <f>VLOOKUP(ECA111,[13]AssetDetails_UEM!$A$3:$AH$1849,6,FALSE)</f>
        <v>Electrosurgical Units, Monopolar/Bipolar</v>
      </c>
      <c r="ECC111" s="179" t="s">
        <v>428</v>
      </c>
      <c r="ECD111" s="180" t="str">
        <f>VLOOKUP(ECC111,[13]AssetDetails_UEM!$A$3:$AH$1849,6,FALSE)</f>
        <v>Electrosurgical Units, Monopolar/Bipolar</v>
      </c>
      <c r="ECE111" s="179" t="s">
        <v>428</v>
      </c>
      <c r="ECF111" s="180" t="str">
        <f>VLOOKUP(ECE111,[13]AssetDetails_UEM!$A$3:$AH$1849,6,FALSE)</f>
        <v>Electrosurgical Units, Monopolar/Bipolar</v>
      </c>
      <c r="ECG111" s="179" t="s">
        <v>428</v>
      </c>
      <c r="ECH111" s="180" t="str">
        <f>VLOOKUP(ECG111,[13]AssetDetails_UEM!$A$3:$AH$1849,6,FALSE)</f>
        <v>Electrosurgical Units, Monopolar/Bipolar</v>
      </c>
      <c r="ECI111" s="179" t="s">
        <v>428</v>
      </c>
      <c r="ECJ111" s="180" t="str">
        <f>VLOOKUP(ECI111,[13]AssetDetails_UEM!$A$3:$AH$1849,6,FALSE)</f>
        <v>Electrosurgical Units, Monopolar/Bipolar</v>
      </c>
      <c r="ECK111" s="179" t="s">
        <v>428</v>
      </c>
      <c r="ECL111" s="180" t="str">
        <f>VLOOKUP(ECK111,[13]AssetDetails_UEM!$A$3:$AH$1849,6,FALSE)</f>
        <v>Electrosurgical Units, Monopolar/Bipolar</v>
      </c>
      <c r="ECM111" s="179" t="s">
        <v>428</v>
      </c>
      <c r="ECN111" s="180" t="str">
        <f>VLOOKUP(ECM111,[13]AssetDetails_UEM!$A$3:$AH$1849,6,FALSE)</f>
        <v>Electrosurgical Units, Monopolar/Bipolar</v>
      </c>
      <c r="ECO111" s="179" t="s">
        <v>428</v>
      </c>
      <c r="ECP111" s="180" t="str">
        <f>VLOOKUP(ECO111,[13]AssetDetails_UEM!$A$3:$AH$1849,6,FALSE)</f>
        <v>Electrosurgical Units, Monopolar/Bipolar</v>
      </c>
      <c r="ECQ111" s="179" t="s">
        <v>428</v>
      </c>
      <c r="ECR111" s="180" t="str">
        <f>VLOOKUP(ECQ111,[13]AssetDetails_UEM!$A$3:$AH$1849,6,FALSE)</f>
        <v>Electrosurgical Units, Monopolar/Bipolar</v>
      </c>
      <c r="ECS111" s="179" t="s">
        <v>428</v>
      </c>
      <c r="ECT111" s="180" t="str">
        <f>VLOOKUP(ECS111,[13]AssetDetails_UEM!$A$3:$AH$1849,6,FALSE)</f>
        <v>Electrosurgical Units, Monopolar/Bipolar</v>
      </c>
      <c r="ECU111" s="179" t="s">
        <v>428</v>
      </c>
      <c r="ECV111" s="180" t="str">
        <f>VLOOKUP(ECU111,[13]AssetDetails_UEM!$A$3:$AH$1849,6,FALSE)</f>
        <v>Electrosurgical Units, Monopolar/Bipolar</v>
      </c>
      <c r="ECW111" s="179" t="s">
        <v>428</v>
      </c>
      <c r="ECX111" s="180" t="str">
        <f>VLOOKUP(ECW111,[13]AssetDetails_UEM!$A$3:$AH$1849,6,FALSE)</f>
        <v>Electrosurgical Units, Monopolar/Bipolar</v>
      </c>
      <c r="ECY111" s="179" t="s">
        <v>428</v>
      </c>
      <c r="ECZ111" s="180" t="str">
        <f>VLOOKUP(ECY111,[13]AssetDetails_UEM!$A$3:$AH$1849,6,FALSE)</f>
        <v>Electrosurgical Units, Monopolar/Bipolar</v>
      </c>
      <c r="EDA111" s="179" t="s">
        <v>428</v>
      </c>
      <c r="EDB111" s="180" t="str">
        <f>VLOOKUP(EDA111,[13]AssetDetails_UEM!$A$3:$AH$1849,6,FALSE)</f>
        <v>Electrosurgical Units, Monopolar/Bipolar</v>
      </c>
      <c r="EDC111" s="179" t="s">
        <v>428</v>
      </c>
      <c r="EDD111" s="180" t="str">
        <f>VLOOKUP(EDC111,[13]AssetDetails_UEM!$A$3:$AH$1849,6,FALSE)</f>
        <v>Electrosurgical Units, Monopolar/Bipolar</v>
      </c>
      <c r="EDE111" s="179" t="s">
        <v>428</v>
      </c>
      <c r="EDF111" s="180" t="str">
        <f>VLOOKUP(EDE111,[13]AssetDetails_UEM!$A$3:$AH$1849,6,FALSE)</f>
        <v>Electrosurgical Units, Monopolar/Bipolar</v>
      </c>
      <c r="EDG111" s="179" t="s">
        <v>428</v>
      </c>
      <c r="EDH111" s="180" t="str">
        <f>VLOOKUP(EDG111,[13]AssetDetails_UEM!$A$3:$AH$1849,6,FALSE)</f>
        <v>Electrosurgical Units, Monopolar/Bipolar</v>
      </c>
      <c r="EDI111" s="179" t="s">
        <v>428</v>
      </c>
      <c r="EDJ111" s="180" t="str">
        <f>VLOOKUP(EDI111,[13]AssetDetails_UEM!$A$3:$AH$1849,6,FALSE)</f>
        <v>Electrosurgical Units, Monopolar/Bipolar</v>
      </c>
      <c r="EDK111" s="179" t="s">
        <v>428</v>
      </c>
      <c r="EDL111" s="180" t="str">
        <f>VLOOKUP(EDK111,[13]AssetDetails_UEM!$A$3:$AH$1849,6,FALSE)</f>
        <v>Electrosurgical Units, Monopolar/Bipolar</v>
      </c>
      <c r="EDM111" s="179" t="s">
        <v>428</v>
      </c>
      <c r="EDN111" s="180" t="str">
        <f>VLOOKUP(EDM111,[13]AssetDetails_UEM!$A$3:$AH$1849,6,FALSE)</f>
        <v>Electrosurgical Units, Monopolar/Bipolar</v>
      </c>
      <c r="EDO111" s="179" t="s">
        <v>428</v>
      </c>
      <c r="EDP111" s="180" t="str">
        <f>VLOOKUP(EDO111,[13]AssetDetails_UEM!$A$3:$AH$1849,6,FALSE)</f>
        <v>Electrosurgical Units, Monopolar/Bipolar</v>
      </c>
      <c r="EDQ111" s="179" t="s">
        <v>428</v>
      </c>
      <c r="EDR111" s="180" t="str">
        <f>VLOOKUP(EDQ111,[13]AssetDetails_UEM!$A$3:$AH$1849,6,FALSE)</f>
        <v>Electrosurgical Units, Monopolar/Bipolar</v>
      </c>
      <c r="EDS111" s="179" t="s">
        <v>428</v>
      </c>
      <c r="EDT111" s="180" t="str">
        <f>VLOOKUP(EDS111,[13]AssetDetails_UEM!$A$3:$AH$1849,6,FALSE)</f>
        <v>Electrosurgical Units, Monopolar/Bipolar</v>
      </c>
      <c r="EDU111" s="179" t="s">
        <v>428</v>
      </c>
      <c r="EDV111" s="180" t="str">
        <f>VLOOKUP(EDU111,[13]AssetDetails_UEM!$A$3:$AH$1849,6,FALSE)</f>
        <v>Electrosurgical Units, Monopolar/Bipolar</v>
      </c>
      <c r="EDW111" s="179" t="s">
        <v>428</v>
      </c>
      <c r="EDX111" s="180" t="str">
        <f>VLOOKUP(EDW111,[13]AssetDetails_UEM!$A$3:$AH$1849,6,FALSE)</f>
        <v>Electrosurgical Units, Monopolar/Bipolar</v>
      </c>
      <c r="EDY111" s="179" t="s">
        <v>428</v>
      </c>
      <c r="EDZ111" s="180" t="str">
        <f>VLOOKUP(EDY111,[13]AssetDetails_UEM!$A$3:$AH$1849,6,FALSE)</f>
        <v>Electrosurgical Units, Monopolar/Bipolar</v>
      </c>
      <c r="EEA111" s="179" t="s">
        <v>428</v>
      </c>
      <c r="EEB111" s="180" t="str">
        <f>VLOOKUP(EEA111,[13]AssetDetails_UEM!$A$3:$AH$1849,6,FALSE)</f>
        <v>Electrosurgical Units, Monopolar/Bipolar</v>
      </c>
      <c r="EEC111" s="179" t="s">
        <v>428</v>
      </c>
      <c r="EED111" s="180" t="str">
        <f>VLOOKUP(EEC111,[13]AssetDetails_UEM!$A$3:$AH$1849,6,FALSE)</f>
        <v>Electrosurgical Units, Monopolar/Bipolar</v>
      </c>
      <c r="EEE111" s="179" t="s">
        <v>428</v>
      </c>
      <c r="EEF111" s="180" t="str">
        <f>VLOOKUP(EEE111,[13]AssetDetails_UEM!$A$3:$AH$1849,6,FALSE)</f>
        <v>Electrosurgical Units, Monopolar/Bipolar</v>
      </c>
      <c r="EEG111" s="179" t="s">
        <v>428</v>
      </c>
      <c r="EEH111" s="180" t="str">
        <f>VLOOKUP(EEG111,[13]AssetDetails_UEM!$A$3:$AH$1849,6,FALSE)</f>
        <v>Electrosurgical Units, Monopolar/Bipolar</v>
      </c>
      <c r="EEI111" s="179" t="s">
        <v>428</v>
      </c>
      <c r="EEJ111" s="180" t="str">
        <f>VLOOKUP(EEI111,[13]AssetDetails_UEM!$A$3:$AH$1849,6,FALSE)</f>
        <v>Electrosurgical Units, Monopolar/Bipolar</v>
      </c>
      <c r="EEK111" s="179" t="s">
        <v>428</v>
      </c>
      <c r="EEL111" s="180" t="str">
        <f>VLOOKUP(EEK111,[13]AssetDetails_UEM!$A$3:$AH$1849,6,FALSE)</f>
        <v>Electrosurgical Units, Monopolar/Bipolar</v>
      </c>
      <c r="EEM111" s="179" t="s">
        <v>428</v>
      </c>
      <c r="EEN111" s="180" t="str">
        <f>VLOOKUP(EEM111,[13]AssetDetails_UEM!$A$3:$AH$1849,6,FALSE)</f>
        <v>Electrosurgical Units, Monopolar/Bipolar</v>
      </c>
      <c r="EEO111" s="179" t="s">
        <v>428</v>
      </c>
      <c r="EEP111" s="180" t="str">
        <f>VLOOKUP(EEO111,[13]AssetDetails_UEM!$A$3:$AH$1849,6,FALSE)</f>
        <v>Electrosurgical Units, Monopolar/Bipolar</v>
      </c>
      <c r="EEQ111" s="179" t="s">
        <v>428</v>
      </c>
      <c r="EER111" s="180" t="str">
        <f>VLOOKUP(EEQ111,[13]AssetDetails_UEM!$A$3:$AH$1849,6,FALSE)</f>
        <v>Electrosurgical Units, Monopolar/Bipolar</v>
      </c>
      <c r="EES111" s="179" t="s">
        <v>428</v>
      </c>
      <c r="EET111" s="180" t="str">
        <f>VLOOKUP(EES111,[13]AssetDetails_UEM!$A$3:$AH$1849,6,FALSE)</f>
        <v>Electrosurgical Units, Monopolar/Bipolar</v>
      </c>
      <c r="EEU111" s="179" t="s">
        <v>428</v>
      </c>
      <c r="EEV111" s="180" t="str">
        <f>VLOOKUP(EEU111,[13]AssetDetails_UEM!$A$3:$AH$1849,6,FALSE)</f>
        <v>Electrosurgical Units, Monopolar/Bipolar</v>
      </c>
      <c r="EEW111" s="179" t="s">
        <v>428</v>
      </c>
      <c r="EEX111" s="180" t="str">
        <f>VLOOKUP(EEW111,[13]AssetDetails_UEM!$A$3:$AH$1849,6,FALSE)</f>
        <v>Electrosurgical Units, Monopolar/Bipolar</v>
      </c>
      <c r="EEY111" s="179" t="s">
        <v>428</v>
      </c>
      <c r="EEZ111" s="180" t="str">
        <f>VLOOKUP(EEY111,[13]AssetDetails_UEM!$A$3:$AH$1849,6,FALSE)</f>
        <v>Electrosurgical Units, Monopolar/Bipolar</v>
      </c>
      <c r="EFA111" s="179" t="s">
        <v>428</v>
      </c>
      <c r="EFB111" s="180" t="str">
        <f>VLOOKUP(EFA111,[13]AssetDetails_UEM!$A$3:$AH$1849,6,FALSE)</f>
        <v>Electrosurgical Units, Monopolar/Bipolar</v>
      </c>
      <c r="EFC111" s="179" t="s">
        <v>428</v>
      </c>
      <c r="EFD111" s="180" t="str">
        <f>VLOOKUP(EFC111,[13]AssetDetails_UEM!$A$3:$AH$1849,6,FALSE)</f>
        <v>Electrosurgical Units, Monopolar/Bipolar</v>
      </c>
      <c r="EFE111" s="179" t="s">
        <v>428</v>
      </c>
      <c r="EFF111" s="180" t="str">
        <f>VLOOKUP(EFE111,[13]AssetDetails_UEM!$A$3:$AH$1849,6,FALSE)</f>
        <v>Electrosurgical Units, Monopolar/Bipolar</v>
      </c>
      <c r="EFG111" s="179" t="s">
        <v>428</v>
      </c>
      <c r="EFH111" s="180" t="str">
        <f>VLOOKUP(EFG111,[13]AssetDetails_UEM!$A$3:$AH$1849,6,FALSE)</f>
        <v>Electrosurgical Units, Monopolar/Bipolar</v>
      </c>
      <c r="EFI111" s="179" t="s">
        <v>428</v>
      </c>
      <c r="EFJ111" s="180" t="str">
        <f>VLOOKUP(EFI111,[13]AssetDetails_UEM!$A$3:$AH$1849,6,FALSE)</f>
        <v>Electrosurgical Units, Monopolar/Bipolar</v>
      </c>
      <c r="EFK111" s="179" t="s">
        <v>428</v>
      </c>
      <c r="EFL111" s="180" t="str">
        <f>VLOOKUP(EFK111,[13]AssetDetails_UEM!$A$3:$AH$1849,6,FALSE)</f>
        <v>Electrosurgical Units, Monopolar/Bipolar</v>
      </c>
      <c r="EFM111" s="179" t="s">
        <v>428</v>
      </c>
      <c r="EFN111" s="180" t="str">
        <f>VLOOKUP(EFM111,[13]AssetDetails_UEM!$A$3:$AH$1849,6,FALSE)</f>
        <v>Electrosurgical Units, Monopolar/Bipolar</v>
      </c>
      <c r="EFO111" s="179" t="s">
        <v>428</v>
      </c>
      <c r="EFP111" s="180" t="str">
        <f>VLOOKUP(EFO111,[13]AssetDetails_UEM!$A$3:$AH$1849,6,FALSE)</f>
        <v>Electrosurgical Units, Monopolar/Bipolar</v>
      </c>
      <c r="EFQ111" s="179" t="s">
        <v>428</v>
      </c>
      <c r="EFR111" s="180" t="str">
        <f>VLOOKUP(EFQ111,[13]AssetDetails_UEM!$A$3:$AH$1849,6,FALSE)</f>
        <v>Electrosurgical Units, Monopolar/Bipolar</v>
      </c>
      <c r="EFS111" s="179" t="s">
        <v>428</v>
      </c>
      <c r="EFT111" s="180" t="str">
        <f>VLOOKUP(EFS111,[13]AssetDetails_UEM!$A$3:$AH$1849,6,FALSE)</f>
        <v>Electrosurgical Units, Monopolar/Bipolar</v>
      </c>
      <c r="EFU111" s="179" t="s">
        <v>428</v>
      </c>
      <c r="EFV111" s="180" t="str">
        <f>VLOOKUP(EFU111,[13]AssetDetails_UEM!$A$3:$AH$1849,6,FALSE)</f>
        <v>Electrosurgical Units, Monopolar/Bipolar</v>
      </c>
      <c r="EFW111" s="179" t="s">
        <v>428</v>
      </c>
      <c r="EFX111" s="180" t="str">
        <f>VLOOKUP(EFW111,[13]AssetDetails_UEM!$A$3:$AH$1849,6,FALSE)</f>
        <v>Electrosurgical Units, Monopolar/Bipolar</v>
      </c>
      <c r="EFY111" s="179" t="s">
        <v>428</v>
      </c>
      <c r="EFZ111" s="180" t="str">
        <f>VLOOKUP(EFY111,[13]AssetDetails_UEM!$A$3:$AH$1849,6,FALSE)</f>
        <v>Electrosurgical Units, Monopolar/Bipolar</v>
      </c>
      <c r="EGA111" s="179" t="s">
        <v>428</v>
      </c>
      <c r="EGB111" s="180" t="str">
        <f>VLOOKUP(EGA111,[13]AssetDetails_UEM!$A$3:$AH$1849,6,FALSE)</f>
        <v>Electrosurgical Units, Monopolar/Bipolar</v>
      </c>
      <c r="EGC111" s="179" t="s">
        <v>428</v>
      </c>
      <c r="EGD111" s="180" t="str">
        <f>VLOOKUP(EGC111,[13]AssetDetails_UEM!$A$3:$AH$1849,6,FALSE)</f>
        <v>Electrosurgical Units, Monopolar/Bipolar</v>
      </c>
      <c r="EGE111" s="179" t="s">
        <v>428</v>
      </c>
      <c r="EGF111" s="180" t="str">
        <f>VLOOKUP(EGE111,[13]AssetDetails_UEM!$A$3:$AH$1849,6,FALSE)</f>
        <v>Electrosurgical Units, Monopolar/Bipolar</v>
      </c>
      <c r="EGG111" s="179" t="s">
        <v>428</v>
      </c>
      <c r="EGH111" s="180" t="str">
        <f>VLOOKUP(EGG111,[13]AssetDetails_UEM!$A$3:$AH$1849,6,FALSE)</f>
        <v>Electrosurgical Units, Monopolar/Bipolar</v>
      </c>
      <c r="EGI111" s="179" t="s">
        <v>428</v>
      </c>
      <c r="EGJ111" s="180" t="str">
        <f>VLOOKUP(EGI111,[13]AssetDetails_UEM!$A$3:$AH$1849,6,FALSE)</f>
        <v>Electrosurgical Units, Monopolar/Bipolar</v>
      </c>
      <c r="EGK111" s="179" t="s">
        <v>428</v>
      </c>
      <c r="EGL111" s="180" t="str">
        <f>VLOOKUP(EGK111,[13]AssetDetails_UEM!$A$3:$AH$1849,6,FALSE)</f>
        <v>Electrosurgical Units, Monopolar/Bipolar</v>
      </c>
      <c r="EGM111" s="179" t="s">
        <v>428</v>
      </c>
      <c r="EGN111" s="180" t="str">
        <f>VLOOKUP(EGM111,[13]AssetDetails_UEM!$A$3:$AH$1849,6,FALSE)</f>
        <v>Electrosurgical Units, Monopolar/Bipolar</v>
      </c>
      <c r="EGO111" s="179" t="s">
        <v>428</v>
      </c>
      <c r="EGP111" s="180" t="str">
        <f>VLOOKUP(EGO111,[13]AssetDetails_UEM!$A$3:$AH$1849,6,FALSE)</f>
        <v>Electrosurgical Units, Monopolar/Bipolar</v>
      </c>
      <c r="EGQ111" s="179" t="s">
        <v>428</v>
      </c>
      <c r="EGR111" s="180" t="str">
        <f>VLOOKUP(EGQ111,[13]AssetDetails_UEM!$A$3:$AH$1849,6,FALSE)</f>
        <v>Electrosurgical Units, Monopolar/Bipolar</v>
      </c>
      <c r="EGS111" s="179" t="s">
        <v>428</v>
      </c>
      <c r="EGT111" s="180" t="str">
        <f>VLOOKUP(EGS111,[13]AssetDetails_UEM!$A$3:$AH$1849,6,FALSE)</f>
        <v>Electrosurgical Units, Monopolar/Bipolar</v>
      </c>
      <c r="EGU111" s="179" t="s">
        <v>428</v>
      </c>
      <c r="EGV111" s="180" t="str">
        <f>VLOOKUP(EGU111,[13]AssetDetails_UEM!$A$3:$AH$1849,6,FALSE)</f>
        <v>Electrosurgical Units, Monopolar/Bipolar</v>
      </c>
      <c r="EGW111" s="179" t="s">
        <v>428</v>
      </c>
      <c r="EGX111" s="180" t="str">
        <f>VLOOKUP(EGW111,[13]AssetDetails_UEM!$A$3:$AH$1849,6,FALSE)</f>
        <v>Electrosurgical Units, Monopolar/Bipolar</v>
      </c>
      <c r="EGY111" s="179" t="s">
        <v>428</v>
      </c>
      <c r="EGZ111" s="180" t="str">
        <f>VLOOKUP(EGY111,[13]AssetDetails_UEM!$A$3:$AH$1849,6,FALSE)</f>
        <v>Electrosurgical Units, Monopolar/Bipolar</v>
      </c>
      <c r="EHA111" s="179" t="s">
        <v>428</v>
      </c>
      <c r="EHB111" s="180" t="str">
        <f>VLOOKUP(EHA111,[13]AssetDetails_UEM!$A$3:$AH$1849,6,FALSE)</f>
        <v>Electrosurgical Units, Monopolar/Bipolar</v>
      </c>
      <c r="EHC111" s="179" t="s">
        <v>428</v>
      </c>
      <c r="EHD111" s="180" t="str">
        <f>VLOOKUP(EHC111,[13]AssetDetails_UEM!$A$3:$AH$1849,6,FALSE)</f>
        <v>Electrosurgical Units, Monopolar/Bipolar</v>
      </c>
      <c r="EHE111" s="179" t="s">
        <v>428</v>
      </c>
      <c r="EHF111" s="180" t="str">
        <f>VLOOKUP(EHE111,[13]AssetDetails_UEM!$A$3:$AH$1849,6,FALSE)</f>
        <v>Electrosurgical Units, Monopolar/Bipolar</v>
      </c>
      <c r="EHG111" s="179" t="s">
        <v>428</v>
      </c>
      <c r="EHH111" s="180" t="str">
        <f>VLOOKUP(EHG111,[13]AssetDetails_UEM!$A$3:$AH$1849,6,FALSE)</f>
        <v>Electrosurgical Units, Monopolar/Bipolar</v>
      </c>
      <c r="EHI111" s="179" t="s">
        <v>428</v>
      </c>
      <c r="EHJ111" s="180" t="str">
        <f>VLOOKUP(EHI111,[13]AssetDetails_UEM!$A$3:$AH$1849,6,FALSE)</f>
        <v>Electrosurgical Units, Monopolar/Bipolar</v>
      </c>
      <c r="EHK111" s="179" t="s">
        <v>428</v>
      </c>
      <c r="EHL111" s="180" t="str">
        <f>VLOOKUP(EHK111,[13]AssetDetails_UEM!$A$3:$AH$1849,6,FALSE)</f>
        <v>Electrosurgical Units, Monopolar/Bipolar</v>
      </c>
      <c r="EHM111" s="179" t="s">
        <v>428</v>
      </c>
      <c r="EHN111" s="180" t="str">
        <f>VLOOKUP(EHM111,[13]AssetDetails_UEM!$A$3:$AH$1849,6,FALSE)</f>
        <v>Electrosurgical Units, Monopolar/Bipolar</v>
      </c>
      <c r="EHO111" s="179" t="s">
        <v>428</v>
      </c>
      <c r="EHP111" s="180" t="str">
        <f>VLOOKUP(EHO111,[13]AssetDetails_UEM!$A$3:$AH$1849,6,FALSE)</f>
        <v>Electrosurgical Units, Monopolar/Bipolar</v>
      </c>
      <c r="EHQ111" s="179" t="s">
        <v>428</v>
      </c>
      <c r="EHR111" s="180" t="str">
        <f>VLOOKUP(EHQ111,[13]AssetDetails_UEM!$A$3:$AH$1849,6,FALSE)</f>
        <v>Electrosurgical Units, Monopolar/Bipolar</v>
      </c>
      <c r="EHS111" s="179" t="s">
        <v>428</v>
      </c>
      <c r="EHT111" s="180" t="str">
        <f>VLOOKUP(EHS111,[13]AssetDetails_UEM!$A$3:$AH$1849,6,FALSE)</f>
        <v>Electrosurgical Units, Monopolar/Bipolar</v>
      </c>
      <c r="EHU111" s="179" t="s">
        <v>428</v>
      </c>
      <c r="EHV111" s="180" t="str">
        <f>VLOOKUP(EHU111,[13]AssetDetails_UEM!$A$3:$AH$1849,6,FALSE)</f>
        <v>Electrosurgical Units, Monopolar/Bipolar</v>
      </c>
      <c r="EHW111" s="179" t="s">
        <v>428</v>
      </c>
      <c r="EHX111" s="180" t="str">
        <f>VLOOKUP(EHW111,[13]AssetDetails_UEM!$A$3:$AH$1849,6,FALSE)</f>
        <v>Electrosurgical Units, Monopolar/Bipolar</v>
      </c>
      <c r="EHY111" s="179" t="s">
        <v>428</v>
      </c>
      <c r="EHZ111" s="180" t="str">
        <f>VLOOKUP(EHY111,[13]AssetDetails_UEM!$A$3:$AH$1849,6,FALSE)</f>
        <v>Electrosurgical Units, Monopolar/Bipolar</v>
      </c>
      <c r="EIA111" s="179" t="s">
        <v>428</v>
      </c>
      <c r="EIB111" s="180" t="str">
        <f>VLOOKUP(EIA111,[13]AssetDetails_UEM!$A$3:$AH$1849,6,FALSE)</f>
        <v>Electrosurgical Units, Monopolar/Bipolar</v>
      </c>
      <c r="EIC111" s="179" t="s">
        <v>428</v>
      </c>
      <c r="EID111" s="180" t="str">
        <f>VLOOKUP(EIC111,[13]AssetDetails_UEM!$A$3:$AH$1849,6,FALSE)</f>
        <v>Electrosurgical Units, Monopolar/Bipolar</v>
      </c>
      <c r="EIE111" s="179" t="s">
        <v>428</v>
      </c>
      <c r="EIF111" s="180" t="str">
        <f>VLOOKUP(EIE111,[13]AssetDetails_UEM!$A$3:$AH$1849,6,FALSE)</f>
        <v>Electrosurgical Units, Monopolar/Bipolar</v>
      </c>
      <c r="EIG111" s="179" t="s">
        <v>428</v>
      </c>
      <c r="EIH111" s="180" t="str">
        <f>VLOOKUP(EIG111,[13]AssetDetails_UEM!$A$3:$AH$1849,6,FALSE)</f>
        <v>Electrosurgical Units, Monopolar/Bipolar</v>
      </c>
      <c r="EII111" s="179" t="s">
        <v>428</v>
      </c>
      <c r="EIJ111" s="180" t="str">
        <f>VLOOKUP(EII111,[13]AssetDetails_UEM!$A$3:$AH$1849,6,FALSE)</f>
        <v>Electrosurgical Units, Monopolar/Bipolar</v>
      </c>
      <c r="EIK111" s="179" t="s">
        <v>428</v>
      </c>
      <c r="EIL111" s="180" t="str">
        <f>VLOOKUP(EIK111,[13]AssetDetails_UEM!$A$3:$AH$1849,6,FALSE)</f>
        <v>Electrosurgical Units, Monopolar/Bipolar</v>
      </c>
      <c r="EIM111" s="179" t="s">
        <v>428</v>
      </c>
      <c r="EIN111" s="180" t="str">
        <f>VLOOKUP(EIM111,[13]AssetDetails_UEM!$A$3:$AH$1849,6,FALSE)</f>
        <v>Electrosurgical Units, Monopolar/Bipolar</v>
      </c>
      <c r="EIO111" s="179" t="s">
        <v>428</v>
      </c>
      <c r="EIP111" s="180" t="str">
        <f>VLOOKUP(EIO111,[13]AssetDetails_UEM!$A$3:$AH$1849,6,FALSE)</f>
        <v>Electrosurgical Units, Monopolar/Bipolar</v>
      </c>
      <c r="EIQ111" s="179" t="s">
        <v>428</v>
      </c>
      <c r="EIR111" s="180" t="str">
        <f>VLOOKUP(EIQ111,[13]AssetDetails_UEM!$A$3:$AH$1849,6,FALSE)</f>
        <v>Electrosurgical Units, Monopolar/Bipolar</v>
      </c>
      <c r="EIS111" s="179" t="s">
        <v>428</v>
      </c>
      <c r="EIT111" s="180" t="str">
        <f>VLOOKUP(EIS111,[13]AssetDetails_UEM!$A$3:$AH$1849,6,FALSE)</f>
        <v>Electrosurgical Units, Monopolar/Bipolar</v>
      </c>
      <c r="EIU111" s="179" t="s">
        <v>428</v>
      </c>
      <c r="EIV111" s="180" t="str">
        <f>VLOOKUP(EIU111,[13]AssetDetails_UEM!$A$3:$AH$1849,6,FALSE)</f>
        <v>Electrosurgical Units, Monopolar/Bipolar</v>
      </c>
      <c r="EIW111" s="179" t="s">
        <v>428</v>
      </c>
      <c r="EIX111" s="180" t="str">
        <f>VLOOKUP(EIW111,[13]AssetDetails_UEM!$A$3:$AH$1849,6,FALSE)</f>
        <v>Electrosurgical Units, Monopolar/Bipolar</v>
      </c>
      <c r="EIY111" s="179" t="s">
        <v>428</v>
      </c>
      <c r="EIZ111" s="180" t="str">
        <f>VLOOKUP(EIY111,[13]AssetDetails_UEM!$A$3:$AH$1849,6,FALSE)</f>
        <v>Electrosurgical Units, Monopolar/Bipolar</v>
      </c>
      <c r="EJA111" s="179" t="s">
        <v>428</v>
      </c>
      <c r="EJB111" s="180" t="str">
        <f>VLOOKUP(EJA111,[13]AssetDetails_UEM!$A$3:$AH$1849,6,FALSE)</f>
        <v>Electrosurgical Units, Monopolar/Bipolar</v>
      </c>
      <c r="EJC111" s="179" t="s">
        <v>428</v>
      </c>
      <c r="EJD111" s="180" t="str">
        <f>VLOOKUP(EJC111,[13]AssetDetails_UEM!$A$3:$AH$1849,6,FALSE)</f>
        <v>Electrosurgical Units, Monopolar/Bipolar</v>
      </c>
      <c r="EJE111" s="179" t="s">
        <v>428</v>
      </c>
      <c r="EJF111" s="180" t="str">
        <f>VLOOKUP(EJE111,[13]AssetDetails_UEM!$A$3:$AH$1849,6,FALSE)</f>
        <v>Electrosurgical Units, Monopolar/Bipolar</v>
      </c>
      <c r="EJG111" s="179" t="s">
        <v>428</v>
      </c>
      <c r="EJH111" s="180" t="str">
        <f>VLOOKUP(EJG111,[13]AssetDetails_UEM!$A$3:$AH$1849,6,FALSE)</f>
        <v>Electrosurgical Units, Monopolar/Bipolar</v>
      </c>
      <c r="EJI111" s="179" t="s">
        <v>428</v>
      </c>
      <c r="EJJ111" s="180" t="str">
        <f>VLOOKUP(EJI111,[13]AssetDetails_UEM!$A$3:$AH$1849,6,FALSE)</f>
        <v>Electrosurgical Units, Monopolar/Bipolar</v>
      </c>
      <c r="EJK111" s="179" t="s">
        <v>428</v>
      </c>
      <c r="EJL111" s="180" t="str">
        <f>VLOOKUP(EJK111,[13]AssetDetails_UEM!$A$3:$AH$1849,6,FALSE)</f>
        <v>Electrosurgical Units, Monopolar/Bipolar</v>
      </c>
      <c r="EJM111" s="179" t="s">
        <v>428</v>
      </c>
      <c r="EJN111" s="180" t="str">
        <f>VLOOKUP(EJM111,[13]AssetDetails_UEM!$A$3:$AH$1849,6,FALSE)</f>
        <v>Electrosurgical Units, Monopolar/Bipolar</v>
      </c>
      <c r="EJO111" s="179" t="s">
        <v>428</v>
      </c>
      <c r="EJP111" s="180" t="str">
        <f>VLOOKUP(EJO111,[13]AssetDetails_UEM!$A$3:$AH$1849,6,FALSE)</f>
        <v>Electrosurgical Units, Monopolar/Bipolar</v>
      </c>
      <c r="EJQ111" s="179" t="s">
        <v>428</v>
      </c>
      <c r="EJR111" s="180" t="str">
        <f>VLOOKUP(EJQ111,[13]AssetDetails_UEM!$A$3:$AH$1849,6,FALSE)</f>
        <v>Electrosurgical Units, Monopolar/Bipolar</v>
      </c>
      <c r="EJS111" s="179" t="s">
        <v>428</v>
      </c>
      <c r="EJT111" s="180" t="str">
        <f>VLOOKUP(EJS111,[13]AssetDetails_UEM!$A$3:$AH$1849,6,FALSE)</f>
        <v>Electrosurgical Units, Monopolar/Bipolar</v>
      </c>
      <c r="EJU111" s="179" t="s">
        <v>428</v>
      </c>
      <c r="EJV111" s="180" t="str">
        <f>VLOOKUP(EJU111,[13]AssetDetails_UEM!$A$3:$AH$1849,6,FALSE)</f>
        <v>Electrosurgical Units, Monopolar/Bipolar</v>
      </c>
      <c r="EJW111" s="179" t="s">
        <v>428</v>
      </c>
      <c r="EJX111" s="180" t="str">
        <f>VLOOKUP(EJW111,[13]AssetDetails_UEM!$A$3:$AH$1849,6,FALSE)</f>
        <v>Electrosurgical Units, Monopolar/Bipolar</v>
      </c>
      <c r="EJY111" s="179" t="s">
        <v>428</v>
      </c>
      <c r="EJZ111" s="180" t="str">
        <f>VLOOKUP(EJY111,[13]AssetDetails_UEM!$A$3:$AH$1849,6,FALSE)</f>
        <v>Electrosurgical Units, Monopolar/Bipolar</v>
      </c>
      <c r="EKA111" s="179" t="s">
        <v>428</v>
      </c>
      <c r="EKB111" s="180" t="str">
        <f>VLOOKUP(EKA111,[13]AssetDetails_UEM!$A$3:$AH$1849,6,FALSE)</f>
        <v>Electrosurgical Units, Monopolar/Bipolar</v>
      </c>
      <c r="EKC111" s="179" t="s">
        <v>428</v>
      </c>
      <c r="EKD111" s="180" t="str">
        <f>VLOOKUP(EKC111,[13]AssetDetails_UEM!$A$3:$AH$1849,6,FALSE)</f>
        <v>Electrosurgical Units, Monopolar/Bipolar</v>
      </c>
      <c r="EKE111" s="179" t="s">
        <v>428</v>
      </c>
      <c r="EKF111" s="180" t="str">
        <f>VLOOKUP(EKE111,[13]AssetDetails_UEM!$A$3:$AH$1849,6,FALSE)</f>
        <v>Electrosurgical Units, Monopolar/Bipolar</v>
      </c>
      <c r="EKG111" s="179" t="s">
        <v>428</v>
      </c>
      <c r="EKH111" s="180" t="str">
        <f>VLOOKUP(EKG111,[13]AssetDetails_UEM!$A$3:$AH$1849,6,FALSE)</f>
        <v>Electrosurgical Units, Monopolar/Bipolar</v>
      </c>
      <c r="EKI111" s="179" t="s">
        <v>428</v>
      </c>
      <c r="EKJ111" s="180" t="str">
        <f>VLOOKUP(EKI111,[13]AssetDetails_UEM!$A$3:$AH$1849,6,FALSE)</f>
        <v>Electrosurgical Units, Monopolar/Bipolar</v>
      </c>
      <c r="EKK111" s="179" t="s">
        <v>428</v>
      </c>
      <c r="EKL111" s="180" t="str">
        <f>VLOOKUP(EKK111,[13]AssetDetails_UEM!$A$3:$AH$1849,6,FALSE)</f>
        <v>Electrosurgical Units, Monopolar/Bipolar</v>
      </c>
      <c r="EKM111" s="179" t="s">
        <v>428</v>
      </c>
      <c r="EKN111" s="180" t="str">
        <f>VLOOKUP(EKM111,[13]AssetDetails_UEM!$A$3:$AH$1849,6,FALSE)</f>
        <v>Electrosurgical Units, Monopolar/Bipolar</v>
      </c>
      <c r="EKO111" s="179" t="s">
        <v>428</v>
      </c>
      <c r="EKP111" s="180" t="str">
        <f>VLOOKUP(EKO111,[13]AssetDetails_UEM!$A$3:$AH$1849,6,FALSE)</f>
        <v>Electrosurgical Units, Monopolar/Bipolar</v>
      </c>
      <c r="EKQ111" s="179" t="s">
        <v>428</v>
      </c>
      <c r="EKR111" s="180" t="str">
        <f>VLOOKUP(EKQ111,[13]AssetDetails_UEM!$A$3:$AH$1849,6,FALSE)</f>
        <v>Electrosurgical Units, Monopolar/Bipolar</v>
      </c>
      <c r="EKS111" s="179" t="s">
        <v>428</v>
      </c>
      <c r="EKT111" s="180" t="str">
        <f>VLOOKUP(EKS111,[13]AssetDetails_UEM!$A$3:$AH$1849,6,FALSE)</f>
        <v>Electrosurgical Units, Monopolar/Bipolar</v>
      </c>
      <c r="EKU111" s="179" t="s">
        <v>428</v>
      </c>
      <c r="EKV111" s="180" t="str">
        <f>VLOOKUP(EKU111,[13]AssetDetails_UEM!$A$3:$AH$1849,6,FALSE)</f>
        <v>Electrosurgical Units, Monopolar/Bipolar</v>
      </c>
      <c r="EKW111" s="179" t="s">
        <v>428</v>
      </c>
      <c r="EKX111" s="180" t="str">
        <f>VLOOKUP(EKW111,[13]AssetDetails_UEM!$A$3:$AH$1849,6,FALSE)</f>
        <v>Electrosurgical Units, Monopolar/Bipolar</v>
      </c>
      <c r="EKY111" s="179" t="s">
        <v>428</v>
      </c>
      <c r="EKZ111" s="180" t="str">
        <f>VLOOKUP(EKY111,[13]AssetDetails_UEM!$A$3:$AH$1849,6,FALSE)</f>
        <v>Electrosurgical Units, Monopolar/Bipolar</v>
      </c>
      <c r="ELA111" s="179" t="s">
        <v>428</v>
      </c>
      <c r="ELB111" s="180" t="str">
        <f>VLOOKUP(ELA111,[13]AssetDetails_UEM!$A$3:$AH$1849,6,FALSE)</f>
        <v>Electrosurgical Units, Monopolar/Bipolar</v>
      </c>
      <c r="ELC111" s="179" t="s">
        <v>428</v>
      </c>
      <c r="ELD111" s="180" t="str">
        <f>VLOOKUP(ELC111,[13]AssetDetails_UEM!$A$3:$AH$1849,6,FALSE)</f>
        <v>Electrosurgical Units, Monopolar/Bipolar</v>
      </c>
      <c r="ELE111" s="179" t="s">
        <v>428</v>
      </c>
      <c r="ELF111" s="180" t="str">
        <f>VLOOKUP(ELE111,[13]AssetDetails_UEM!$A$3:$AH$1849,6,FALSE)</f>
        <v>Electrosurgical Units, Monopolar/Bipolar</v>
      </c>
      <c r="ELG111" s="179" t="s">
        <v>428</v>
      </c>
      <c r="ELH111" s="180" t="str">
        <f>VLOOKUP(ELG111,[13]AssetDetails_UEM!$A$3:$AH$1849,6,FALSE)</f>
        <v>Electrosurgical Units, Monopolar/Bipolar</v>
      </c>
      <c r="ELI111" s="179" t="s">
        <v>428</v>
      </c>
      <c r="ELJ111" s="180" t="str">
        <f>VLOOKUP(ELI111,[13]AssetDetails_UEM!$A$3:$AH$1849,6,FALSE)</f>
        <v>Electrosurgical Units, Monopolar/Bipolar</v>
      </c>
      <c r="ELK111" s="179" t="s">
        <v>428</v>
      </c>
      <c r="ELL111" s="180" t="str">
        <f>VLOOKUP(ELK111,[13]AssetDetails_UEM!$A$3:$AH$1849,6,FALSE)</f>
        <v>Electrosurgical Units, Monopolar/Bipolar</v>
      </c>
      <c r="ELM111" s="179" t="s">
        <v>428</v>
      </c>
      <c r="ELN111" s="180" t="str">
        <f>VLOOKUP(ELM111,[13]AssetDetails_UEM!$A$3:$AH$1849,6,FALSE)</f>
        <v>Electrosurgical Units, Monopolar/Bipolar</v>
      </c>
      <c r="ELO111" s="179" t="s">
        <v>428</v>
      </c>
      <c r="ELP111" s="180" t="str">
        <f>VLOOKUP(ELO111,[13]AssetDetails_UEM!$A$3:$AH$1849,6,FALSE)</f>
        <v>Electrosurgical Units, Monopolar/Bipolar</v>
      </c>
      <c r="ELQ111" s="179" t="s">
        <v>428</v>
      </c>
      <c r="ELR111" s="180" t="str">
        <f>VLOOKUP(ELQ111,[13]AssetDetails_UEM!$A$3:$AH$1849,6,FALSE)</f>
        <v>Electrosurgical Units, Monopolar/Bipolar</v>
      </c>
      <c r="ELS111" s="179" t="s">
        <v>428</v>
      </c>
      <c r="ELT111" s="180" t="str">
        <f>VLOOKUP(ELS111,[13]AssetDetails_UEM!$A$3:$AH$1849,6,FALSE)</f>
        <v>Electrosurgical Units, Monopolar/Bipolar</v>
      </c>
      <c r="ELU111" s="179" t="s">
        <v>428</v>
      </c>
      <c r="ELV111" s="180" t="str">
        <f>VLOOKUP(ELU111,[13]AssetDetails_UEM!$A$3:$AH$1849,6,FALSE)</f>
        <v>Electrosurgical Units, Monopolar/Bipolar</v>
      </c>
      <c r="ELW111" s="179" t="s">
        <v>428</v>
      </c>
      <c r="ELX111" s="180" t="str">
        <f>VLOOKUP(ELW111,[13]AssetDetails_UEM!$A$3:$AH$1849,6,FALSE)</f>
        <v>Electrosurgical Units, Monopolar/Bipolar</v>
      </c>
      <c r="ELY111" s="179" t="s">
        <v>428</v>
      </c>
      <c r="ELZ111" s="180" t="str">
        <f>VLOOKUP(ELY111,[13]AssetDetails_UEM!$A$3:$AH$1849,6,FALSE)</f>
        <v>Electrosurgical Units, Monopolar/Bipolar</v>
      </c>
      <c r="EMA111" s="179" t="s">
        <v>428</v>
      </c>
      <c r="EMB111" s="180" t="str">
        <f>VLOOKUP(EMA111,[13]AssetDetails_UEM!$A$3:$AH$1849,6,FALSE)</f>
        <v>Electrosurgical Units, Monopolar/Bipolar</v>
      </c>
      <c r="EMC111" s="179" t="s">
        <v>428</v>
      </c>
      <c r="EMD111" s="180" t="str">
        <f>VLOOKUP(EMC111,[13]AssetDetails_UEM!$A$3:$AH$1849,6,FALSE)</f>
        <v>Electrosurgical Units, Monopolar/Bipolar</v>
      </c>
      <c r="EME111" s="179" t="s">
        <v>428</v>
      </c>
      <c r="EMF111" s="180" t="str">
        <f>VLOOKUP(EME111,[13]AssetDetails_UEM!$A$3:$AH$1849,6,FALSE)</f>
        <v>Electrosurgical Units, Monopolar/Bipolar</v>
      </c>
      <c r="EMG111" s="179" t="s">
        <v>428</v>
      </c>
      <c r="EMH111" s="180" t="str">
        <f>VLOOKUP(EMG111,[13]AssetDetails_UEM!$A$3:$AH$1849,6,FALSE)</f>
        <v>Electrosurgical Units, Monopolar/Bipolar</v>
      </c>
      <c r="EMI111" s="179" t="s">
        <v>428</v>
      </c>
      <c r="EMJ111" s="180" t="str">
        <f>VLOOKUP(EMI111,[13]AssetDetails_UEM!$A$3:$AH$1849,6,FALSE)</f>
        <v>Electrosurgical Units, Monopolar/Bipolar</v>
      </c>
      <c r="EMK111" s="179" t="s">
        <v>428</v>
      </c>
      <c r="EML111" s="180" t="str">
        <f>VLOOKUP(EMK111,[13]AssetDetails_UEM!$A$3:$AH$1849,6,FALSE)</f>
        <v>Electrosurgical Units, Monopolar/Bipolar</v>
      </c>
      <c r="EMM111" s="179" t="s">
        <v>428</v>
      </c>
      <c r="EMN111" s="180" t="str">
        <f>VLOOKUP(EMM111,[13]AssetDetails_UEM!$A$3:$AH$1849,6,FALSE)</f>
        <v>Electrosurgical Units, Monopolar/Bipolar</v>
      </c>
      <c r="EMO111" s="179" t="s">
        <v>428</v>
      </c>
      <c r="EMP111" s="180" t="str">
        <f>VLOOKUP(EMO111,[13]AssetDetails_UEM!$A$3:$AH$1849,6,FALSE)</f>
        <v>Electrosurgical Units, Monopolar/Bipolar</v>
      </c>
      <c r="EMQ111" s="179" t="s">
        <v>428</v>
      </c>
      <c r="EMR111" s="180" t="str">
        <f>VLOOKUP(EMQ111,[13]AssetDetails_UEM!$A$3:$AH$1849,6,FALSE)</f>
        <v>Electrosurgical Units, Monopolar/Bipolar</v>
      </c>
      <c r="EMS111" s="179" t="s">
        <v>428</v>
      </c>
      <c r="EMT111" s="180" t="str">
        <f>VLOOKUP(EMS111,[13]AssetDetails_UEM!$A$3:$AH$1849,6,FALSE)</f>
        <v>Electrosurgical Units, Monopolar/Bipolar</v>
      </c>
      <c r="EMU111" s="179" t="s">
        <v>428</v>
      </c>
      <c r="EMV111" s="180" t="str">
        <f>VLOOKUP(EMU111,[13]AssetDetails_UEM!$A$3:$AH$1849,6,FALSE)</f>
        <v>Electrosurgical Units, Monopolar/Bipolar</v>
      </c>
      <c r="EMW111" s="179" t="s">
        <v>428</v>
      </c>
      <c r="EMX111" s="180" t="str">
        <f>VLOOKUP(EMW111,[13]AssetDetails_UEM!$A$3:$AH$1849,6,FALSE)</f>
        <v>Electrosurgical Units, Monopolar/Bipolar</v>
      </c>
      <c r="EMY111" s="179" t="s">
        <v>428</v>
      </c>
      <c r="EMZ111" s="180" t="str">
        <f>VLOOKUP(EMY111,[13]AssetDetails_UEM!$A$3:$AH$1849,6,FALSE)</f>
        <v>Electrosurgical Units, Monopolar/Bipolar</v>
      </c>
      <c r="ENA111" s="179" t="s">
        <v>428</v>
      </c>
      <c r="ENB111" s="180" t="str">
        <f>VLOOKUP(ENA111,[13]AssetDetails_UEM!$A$3:$AH$1849,6,FALSE)</f>
        <v>Electrosurgical Units, Monopolar/Bipolar</v>
      </c>
      <c r="ENC111" s="179" t="s">
        <v>428</v>
      </c>
      <c r="END111" s="180" t="str">
        <f>VLOOKUP(ENC111,[13]AssetDetails_UEM!$A$3:$AH$1849,6,FALSE)</f>
        <v>Electrosurgical Units, Monopolar/Bipolar</v>
      </c>
      <c r="ENE111" s="179" t="s">
        <v>428</v>
      </c>
      <c r="ENF111" s="180" t="str">
        <f>VLOOKUP(ENE111,[13]AssetDetails_UEM!$A$3:$AH$1849,6,FALSE)</f>
        <v>Electrosurgical Units, Monopolar/Bipolar</v>
      </c>
      <c r="ENG111" s="179" t="s">
        <v>428</v>
      </c>
      <c r="ENH111" s="180" t="str">
        <f>VLOOKUP(ENG111,[13]AssetDetails_UEM!$A$3:$AH$1849,6,FALSE)</f>
        <v>Electrosurgical Units, Monopolar/Bipolar</v>
      </c>
      <c r="ENI111" s="179" t="s">
        <v>428</v>
      </c>
      <c r="ENJ111" s="180" t="str">
        <f>VLOOKUP(ENI111,[13]AssetDetails_UEM!$A$3:$AH$1849,6,FALSE)</f>
        <v>Electrosurgical Units, Monopolar/Bipolar</v>
      </c>
      <c r="ENK111" s="179" t="s">
        <v>428</v>
      </c>
      <c r="ENL111" s="180" t="str">
        <f>VLOOKUP(ENK111,[13]AssetDetails_UEM!$A$3:$AH$1849,6,FALSE)</f>
        <v>Electrosurgical Units, Monopolar/Bipolar</v>
      </c>
      <c r="ENM111" s="179" t="s">
        <v>428</v>
      </c>
      <c r="ENN111" s="180" t="str">
        <f>VLOOKUP(ENM111,[13]AssetDetails_UEM!$A$3:$AH$1849,6,FALSE)</f>
        <v>Electrosurgical Units, Monopolar/Bipolar</v>
      </c>
      <c r="ENO111" s="179" t="s">
        <v>428</v>
      </c>
      <c r="ENP111" s="180" t="str">
        <f>VLOOKUP(ENO111,[13]AssetDetails_UEM!$A$3:$AH$1849,6,FALSE)</f>
        <v>Electrosurgical Units, Monopolar/Bipolar</v>
      </c>
      <c r="ENQ111" s="179" t="s">
        <v>428</v>
      </c>
      <c r="ENR111" s="180" t="str">
        <f>VLOOKUP(ENQ111,[13]AssetDetails_UEM!$A$3:$AH$1849,6,FALSE)</f>
        <v>Electrosurgical Units, Monopolar/Bipolar</v>
      </c>
      <c r="ENS111" s="179" t="s">
        <v>428</v>
      </c>
      <c r="ENT111" s="180" t="str">
        <f>VLOOKUP(ENS111,[13]AssetDetails_UEM!$A$3:$AH$1849,6,FALSE)</f>
        <v>Electrosurgical Units, Monopolar/Bipolar</v>
      </c>
      <c r="ENU111" s="179" t="s">
        <v>428</v>
      </c>
      <c r="ENV111" s="180" t="str">
        <f>VLOOKUP(ENU111,[13]AssetDetails_UEM!$A$3:$AH$1849,6,FALSE)</f>
        <v>Electrosurgical Units, Monopolar/Bipolar</v>
      </c>
      <c r="ENW111" s="179" t="s">
        <v>428</v>
      </c>
      <c r="ENX111" s="180" t="str">
        <f>VLOOKUP(ENW111,[13]AssetDetails_UEM!$A$3:$AH$1849,6,FALSE)</f>
        <v>Electrosurgical Units, Monopolar/Bipolar</v>
      </c>
      <c r="ENY111" s="179" t="s">
        <v>428</v>
      </c>
      <c r="ENZ111" s="180" t="str">
        <f>VLOOKUP(ENY111,[13]AssetDetails_UEM!$A$3:$AH$1849,6,FALSE)</f>
        <v>Electrosurgical Units, Monopolar/Bipolar</v>
      </c>
      <c r="EOA111" s="179" t="s">
        <v>428</v>
      </c>
      <c r="EOB111" s="180" t="str">
        <f>VLOOKUP(EOA111,[13]AssetDetails_UEM!$A$3:$AH$1849,6,FALSE)</f>
        <v>Electrosurgical Units, Monopolar/Bipolar</v>
      </c>
      <c r="EOC111" s="179" t="s">
        <v>428</v>
      </c>
      <c r="EOD111" s="180" t="str">
        <f>VLOOKUP(EOC111,[13]AssetDetails_UEM!$A$3:$AH$1849,6,FALSE)</f>
        <v>Electrosurgical Units, Monopolar/Bipolar</v>
      </c>
      <c r="EOE111" s="179" t="s">
        <v>428</v>
      </c>
      <c r="EOF111" s="180" t="str">
        <f>VLOOKUP(EOE111,[13]AssetDetails_UEM!$A$3:$AH$1849,6,FALSE)</f>
        <v>Electrosurgical Units, Monopolar/Bipolar</v>
      </c>
      <c r="EOG111" s="179" t="s">
        <v>428</v>
      </c>
      <c r="EOH111" s="180" t="str">
        <f>VLOOKUP(EOG111,[13]AssetDetails_UEM!$A$3:$AH$1849,6,FALSE)</f>
        <v>Electrosurgical Units, Monopolar/Bipolar</v>
      </c>
      <c r="EOI111" s="179" t="s">
        <v>428</v>
      </c>
      <c r="EOJ111" s="180" t="str">
        <f>VLOOKUP(EOI111,[13]AssetDetails_UEM!$A$3:$AH$1849,6,FALSE)</f>
        <v>Electrosurgical Units, Monopolar/Bipolar</v>
      </c>
      <c r="EOK111" s="179" t="s">
        <v>428</v>
      </c>
      <c r="EOL111" s="180" t="str">
        <f>VLOOKUP(EOK111,[13]AssetDetails_UEM!$A$3:$AH$1849,6,FALSE)</f>
        <v>Electrosurgical Units, Monopolar/Bipolar</v>
      </c>
      <c r="EOM111" s="179" t="s">
        <v>428</v>
      </c>
      <c r="EON111" s="180" t="str">
        <f>VLOOKUP(EOM111,[13]AssetDetails_UEM!$A$3:$AH$1849,6,FALSE)</f>
        <v>Electrosurgical Units, Monopolar/Bipolar</v>
      </c>
      <c r="EOO111" s="179" t="s">
        <v>428</v>
      </c>
      <c r="EOP111" s="180" t="str">
        <f>VLOOKUP(EOO111,[13]AssetDetails_UEM!$A$3:$AH$1849,6,FALSE)</f>
        <v>Electrosurgical Units, Monopolar/Bipolar</v>
      </c>
      <c r="EOQ111" s="179" t="s">
        <v>428</v>
      </c>
      <c r="EOR111" s="180" t="str">
        <f>VLOOKUP(EOQ111,[13]AssetDetails_UEM!$A$3:$AH$1849,6,FALSE)</f>
        <v>Electrosurgical Units, Monopolar/Bipolar</v>
      </c>
      <c r="EOS111" s="179" t="s">
        <v>428</v>
      </c>
      <c r="EOT111" s="180" t="str">
        <f>VLOOKUP(EOS111,[13]AssetDetails_UEM!$A$3:$AH$1849,6,FALSE)</f>
        <v>Electrosurgical Units, Monopolar/Bipolar</v>
      </c>
      <c r="EOU111" s="179" t="s">
        <v>428</v>
      </c>
      <c r="EOV111" s="180" t="str">
        <f>VLOOKUP(EOU111,[13]AssetDetails_UEM!$A$3:$AH$1849,6,FALSE)</f>
        <v>Electrosurgical Units, Monopolar/Bipolar</v>
      </c>
      <c r="EOW111" s="179" t="s">
        <v>428</v>
      </c>
      <c r="EOX111" s="180" t="str">
        <f>VLOOKUP(EOW111,[13]AssetDetails_UEM!$A$3:$AH$1849,6,FALSE)</f>
        <v>Electrosurgical Units, Monopolar/Bipolar</v>
      </c>
      <c r="EOY111" s="179" t="s">
        <v>428</v>
      </c>
      <c r="EOZ111" s="180" t="str">
        <f>VLOOKUP(EOY111,[13]AssetDetails_UEM!$A$3:$AH$1849,6,FALSE)</f>
        <v>Electrosurgical Units, Monopolar/Bipolar</v>
      </c>
      <c r="EPA111" s="179" t="s">
        <v>428</v>
      </c>
      <c r="EPB111" s="180" t="str">
        <f>VLOOKUP(EPA111,[13]AssetDetails_UEM!$A$3:$AH$1849,6,FALSE)</f>
        <v>Electrosurgical Units, Monopolar/Bipolar</v>
      </c>
      <c r="EPC111" s="179" t="s">
        <v>428</v>
      </c>
      <c r="EPD111" s="180" t="str">
        <f>VLOOKUP(EPC111,[13]AssetDetails_UEM!$A$3:$AH$1849,6,FALSE)</f>
        <v>Electrosurgical Units, Monopolar/Bipolar</v>
      </c>
      <c r="EPE111" s="179" t="s">
        <v>428</v>
      </c>
      <c r="EPF111" s="180" t="str">
        <f>VLOOKUP(EPE111,[13]AssetDetails_UEM!$A$3:$AH$1849,6,FALSE)</f>
        <v>Electrosurgical Units, Monopolar/Bipolar</v>
      </c>
      <c r="EPG111" s="179" t="s">
        <v>428</v>
      </c>
      <c r="EPH111" s="180" t="str">
        <f>VLOOKUP(EPG111,[13]AssetDetails_UEM!$A$3:$AH$1849,6,FALSE)</f>
        <v>Electrosurgical Units, Monopolar/Bipolar</v>
      </c>
      <c r="EPI111" s="179" t="s">
        <v>428</v>
      </c>
      <c r="EPJ111" s="180" t="str">
        <f>VLOOKUP(EPI111,[13]AssetDetails_UEM!$A$3:$AH$1849,6,FALSE)</f>
        <v>Electrosurgical Units, Monopolar/Bipolar</v>
      </c>
      <c r="EPK111" s="179" t="s">
        <v>428</v>
      </c>
      <c r="EPL111" s="180" t="str">
        <f>VLOOKUP(EPK111,[13]AssetDetails_UEM!$A$3:$AH$1849,6,FALSE)</f>
        <v>Electrosurgical Units, Monopolar/Bipolar</v>
      </c>
      <c r="EPM111" s="179" t="s">
        <v>428</v>
      </c>
      <c r="EPN111" s="180" t="str">
        <f>VLOOKUP(EPM111,[13]AssetDetails_UEM!$A$3:$AH$1849,6,FALSE)</f>
        <v>Electrosurgical Units, Monopolar/Bipolar</v>
      </c>
      <c r="EPO111" s="179" t="s">
        <v>428</v>
      </c>
      <c r="EPP111" s="180" t="str">
        <f>VLOOKUP(EPO111,[13]AssetDetails_UEM!$A$3:$AH$1849,6,FALSE)</f>
        <v>Electrosurgical Units, Monopolar/Bipolar</v>
      </c>
      <c r="EPQ111" s="179" t="s">
        <v>428</v>
      </c>
      <c r="EPR111" s="180" t="str">
        <f>VLOOKUP(EPQ111,[13]AssetDetails_UEM!$A$3:$AH$1849,6,FALSE)</f>
        <v>Electrosurgical Units, Monopolar/Bipolar</v>
      </c>
      <c r="EPS111" s="179" t="s">
        <v>428</v>
      </c>
      <c r="EPT111" s="180" t="str">
        <f>VLOOKUP(EPS111,[13]AssetDetails_UEM!$A$3:$AH$1849,6,FALSE)</f>
        <v>Electrosurgical Units, Monopolar/Bipolar</v>
      </c>
      <c r="EPU111" s="179" t="s">
        <v>428</v>
      </c>
      <c r="EPV111" s="180" t="str">
        <f>VLOOKUP(EPU111,[13]AssetDetails_UEM!$A$3:$AH$1849,6,FALSE)</f>
        <v>Electrosurgical Units, Monopolar/Bipolar</v>
      </c>
      <c r="EPW111" s="179" t="s">
        <v>428</v>
      </c>
      <c r="EPX111" s="180" t="str">
        <f>VLOOKUP(EPW111,[13]AssetDetails_UEM!$A$3:$AH$1849,6,FALSE)</f>
        <v>Electrosurgical Units, Monopolar/Bipolar</v>
      </c>
      <c r="EPY111" s="179" t="s">
        <v>428</v>
      </c>
      <c r="EPZ111" s="180" t="str">
        <f>VLOOKUP(EPY111,[13]AssetDetails_UEM!$A$3:$AH$1849,6,FALSE)</f>
        <v>Electrosurgical Units, Monopolar/Bipolar</v>
      </c>
      <c r="EQA111" s="179" t="s">
        <v>428</v>
      </c>
      <c r="EQB111" s="180" t="str">
        <f>VLOOKUP(EQA111,[13]AssetDetails_UEM!$A$3:$AH$1849,6,FALSE)</f>
        <v>Electrosurgical Units, Monopolar/Bipolar</v>
      </c>
      <c r="EQC111" s="179" t="s">
        <v>428</v>
      </c>
      <c r="EQD111" s="180" t="str">
        <f>VLOOKUP(EQC111,[13]AssetDetails_UEM!$A$3:$AH$1849,6,FALSE)</f>
        <v>Electrosurgical Units, Monopolar/Bipolar</v>
      </c>
      <c r="EQE111" s="179" t="s">
        <v>428</v>
      </c>
      <c r="EQF111" s="180" t="str">
        <f>VLOOKUP(EQE111,[13]AssetDetails_UEM!$A$3:$AH$1849,6,FALSE)</f>
        <v>Electrosurgical Units, Monopolar/Bipolar</v>
      </c>
      <c r="EQG111" s="179" t="s">
        <v>428</v>
      </c>
      <c r="EQH111" s="180" t="str">
        <f>VLOOKUP(EQG111,[13]AssetDetails_UEM!$A$3:$AH$1849,6,FALSE)</f>
        <v>Electrosurgical Units, Monopolar/Bipolar</v>
      </c>
      <c r="EQI111" s="179" t="s">
        <v>428</v>
      </c>
      <c r="EQJ111" s="180" t="str">
        <f>VLOOKUP(EQI111,[13]AssetDetails_UEM!$A$3:$AH$1849,6,FALSE)</f>
        <v>Electrosurgical Units, Monopolar/Bipolar</v>
      </c>
      <c r="EQK111" s="179" t="s">
        <v>428</v>
      </c>
      <c r="EQL111" s="180" t="str">
        <f>VLOOKUP(EQK111,[13]AssetDetails_UEM!$A$3:$AH$1849,6,FALSE)</f>
        <v>Electrosurgical Units, Monopolar/Bipolar</v>
      </c>
      <c r="EQM111" s="179" t="s">
        <v>428</v>
      </c>
      <c r="EQN111" s="180" t="str">
        <f>VLOOKUP(EQM111,[13]AssetDetails_UEM!$A$3:$AH$1849,6,FALSE)</f>
        <v>Electrosurgical Units, Monopolar/Bipolar</v>
      </c>
      <c r="EQO111" s="179" t="s">
        <v>428</v>
      </c>
      <c r="EQP111" s="180" t="str">
        <f>VLOOKUP(EQO111,[13]AssetDetails_UEM!$A$3:$AH$1849,6,FALSE)</f>
        <v>Electrosurgical Units, Monopolar/Bipolar</v>
      </c>
      <c r="EQQ111" s="179" t="s">
        <v>428</v>
      </c>
      <c r="EQR111" s="180" t="str">
        <f>VLOOKUP(EQQ111,[13]AssetDetails_UEM!$A$3:$AH$1849,6,FALSE)</f>
        <v>Electrosurgical Units, Monopolar/Bipolar</v>
      </c>
      <c r="EQS111" s="179" t="s">
        <v>428</v>
      </c>
      <c r="EQT111" s="180" t="str">
        <f>VLOOKUP(EQS111,[13]AssetDetails_UEM!$A$3:$AH$1849,6,FALSE)</f>
        <v>Electrosurgical Units, Monopolar/Bipolar</v>
      </c>
      <c r="EQU111" s="179" t="s">
        <v>428</v>
      </c>
      <c r="EQV111" s="180" t="str">
        <f>VLOOKUP(EQU111,[13]AssetDetails_UEM!$A$3:$AH$1849,6,FALSE)</f>
        <v>Electrosurgical Units, Monopolar/Bipolar</v>
      </c>
      <c r="EQW111" s="179" t="s">
        <v>428</v>
      </c>
      <c r="EQX111" s="180" t="str">
        <f>VLOOKUP(EQW111,[13]AssetDetails_UEM!$A$3:$AH$1849,6,FALSE)</f>
        <v>Electrosurgical Units, Monopolar/Bipolar</v>
      </c>
      <c r="EQY111" s="179" t="s">
        <v>428</v>
      </c>
      <c r="EQZ111" s="180" t="str">
        <f>VLOOKUP(EQY111,[13]AssetDetails_UEM!$A$3:$AH$1849,6,FALSE)</f>
        <v>Electrosurgical Units, Monopolar/Bipolar</v>
      </c>
      <c r="ERA111" s="179" t="s">
        <v>428</v>
      </c>
      <c r="ERB111" s="180" t="str">
        <f>VLOOKUP(ERA111,[13]AssetDetails_UEM!$A$3:$AH$1849,6,FALSE)</f>
        <v>Electrosurgical Units, Monopolar/Bipolar</v>
      </c>
      <c r="ERC111" s="179" t="s">
        <v>428</v>
      </c>
      <c r="ERD111" s="180" t="str">
        <f>VLOOKUP(ERC111,[13]AssetDetails_UEM!$A$3:$AH$1849,6,FALSE)</f>
        <v>Electrosurgical Units, Monopolar/Bipolar</v>
      </c>
      <c r="ERE111" s="179" t="s">
        <v>428</v>
      </c>
      <c r="ERF111" s="180" t="str">
        <f>VLOOKUP(ERE111,[13]AssetDetails_UEM!$A$3:$AH$1849,6,FALSE)</f>
        <v>Electrosurgical Units, Monopolar/Bipolar</v>
      </c>
      <c r="ERG111" s="179" t="s">
        <v>428</v>
      </c>
      <c r="ERH111" s="180" t="str">
        <f>VLOOKUP(ERG111,[13]AssetDetails_UEM!$A$3:$AH$1849,6,FALSE)</f>
        <v>Electrosurgical Units, Monopolar/Bipolar</v>
      </c>
      <c r="ERI111" s="179" t="s">
        <v>428</v>
      </c>
      <c r="ERJ111" s="180" t="str">
        <f>VLOOKUP(ERI111,[13]AssetDetails_UEM!$A$3:$AH$1849,6,FALSE)</f>
        <v>Electrosurgical Units, Monopolar/Bipolar</v>
      </c>
      <c r="ERK111" s="179" t="s">
        <v>428</v>
      </c>
      <c r="ERL111" s="180" t="str">
        <f>VLOOKUP(ERK111,[13]AssetDetails_UEM!$A$3:$AH$1849,6,FALSE)</f>
        <v>Electrosurgical Units, Monopolar/Bipolar</v>
      </c>
      <c r="ERM111" s="179" t="s">
        <v>428</v>
      </c>
      <c r="ERN111" s="180" t="str">
        <f>VLOOKUP(ERM111,[13]AssetDetails_UEM!$A$3:$AH$1849,6,FALSE)</f>
        <v>Electrosurgical Units, Monopolar/Bipolar</v>
      </c>
      <c r="ERO111" s="179" t="s">
        <v>428</v>
      </c>
      <c r="ERP111" s="180" t="str">
        <f>VLOOKUP(ERO111,[13]AssetDetails_UEM!$A$3:$AH$1849,6,FALSE)</f>
        <v>Electrosurgical Units, Monopolar/Bipolar</v>
      </c>
      <c r="ERQ111" s="179" t="s">
        <v>428</v>
      </c>
      <c r="ERR111" s="180" t="str">
        <f>VLOOKUP(ERQ111,[13]AssetDetails_UEM!$A$3:$AH$1849,6,FALSE)</f>
        <v>Electrosurgical Units, Monopolar/Bipolar</v>
      </c>
      <c r="ERS111" s="179" t="s">
        <v>428</v>
      </c>
      <c r="ERT111" s="180" t="str">
        <f>VLOOKUP(ERS111,[13]AssetDetails_UEM!$A$3:$AH$1849,6,FALSE)</f>
        <v>Electrosurgical Units, Monopolar/Bipolar</v>
      </c>
      <c r="ERU111" s="179" t="s">
        <v>428</v>
      </c>
      <c r="ERV111" s="180" t="str">
        <f>VLOOKUP(ERU111,[13]AssetDetails_UEM!$A$3:$AH$1849,6,FALSE)</f>
        <v>Electrosurgical Units, Monopolar/Bipolar</v>
      </c>
      <c r="ERW111" s="179" t="s">
        <v>428</v>
      </c>
      <c r="ERX111" s="180" t="str">
        <f>VLOOKUP(ERW111,[13]AssetDetails_UEM!$A$3:$AH$1849,6,FALSE)</f>
        <v>Electrosurgical Units, Monopolar/Bipolar</v>
      </c>
      <c r="ERY111" s="179" t="s">
        <v>428</v>
      </c>
      <c r="ERZ111" s="180" t="str">
        <f>VLOOKUP(ERY111,[13]AssetDetails_UEM!$A$3:$AH$1849,6,FALSE)</f>
        <v>Electrosurgical Units, Monopolar/Bipolar</v>
      </c>
      <c r="ESA111" s="179" t="s">
        <v>428</v>
      </c>
      <c r="ESB111" s="180" t="str">
        <f>VLOOKUP(ESA111,[13]AssetDetails_UEM!$A$3:$AH$1849,6,FALSE)</f>
        <v>Electrosurgical Units, Monopolar/Bipolar</v>
      </c>
      <c r="ESC111" s="179" t="s">
        <v>428</v>
      </c>
      <c r="ESD111" s="180" t="str">
        <f>VLOOKUP(ESC111,[13]AssetDetails_UEM!$A$3:$AH$1849,6,FALSE)</f>
        <v>Electrosurgical Units, Monopolar/Bipolar</v>
      </c>
      <c r="ESE111" s="179" t="s">
        <v>428</v>
      </c>
      <c r="ESF111" s="180" t="str">
        <f>VLOOKUP(ESE111,[13]AssetDetails_UEM!$A$3:$AH$1849,6,FALSE)</f>
        <v>Electrosurgical Units, Monopolar/Bipolar</v>
      </c>
      <c r="ESG111" s="179" t="s">
        <v>428</v>
      </c>
      <c r="ESH111" s="180" t="str">
        <f>VLOOKUP(ESG111,[13]AssetDetails_UEM!$A$3:$AH$1849,6,FALSE)</f>
        <v>Electrosurgical Units, Monopolar/Bipolar</v>
      </c>
      <c r="ESI111" s="179" t="s">
        <v>428</v>
      </c>
      <c r="ESJ111" s="180" t="str">
        <f>VLOOKUP(ESI111,[13]AssetDetails_UEM!$A$3:$AH$1849,6,FALSE)</f>
        <v>Electrosurgical Units, Monopolar/Bipolar</v>
      </c>
      <c r="ESK111" s="179" t="s">
        <v>428</v>
      </c>
      <c r="ESL111" s="180" t="str">
        <f>VLOOKUP(ESK111,[13]AssetDetails_UEM!$A$3:$AH$1849,6,FALSE)</f>
        <v>Electrosurgical Units, Monopolar/Bipolar</v>
      </c>
      <c r="ESM111" s="179" t="s">
        <v>428</v>
      </c>
      <c r="ESN111" s="180" t="str">
        <f>VLOOKUP(ESM111,[13]AssetDetails_UEM!$A$3:$AH$1849,6,FALSE)</f>
        <v>Electrosurgical Units, Monopolar/Bipolar</v>
      </c>
      <c r="ESO111" s="179" t="s">
        <v>428</v>
      </c>
      <c r="ESP111" s="180" t="str">
        <f>VLOOKUP(ESO111,[13]AssetDetails_UEM!$A$3:$AH$1849,6,FALSE)</f>
        <v>Electrosurgical Units, Monopolar/Bipolar</v>
      </c>
      <c r="ESQ111" s="179" t="s">
        <v>428</v>
      </c>
      <c r="ESR111" s="180" t="str">
        <f>VLOOKUP(ESQ111,[13]AssetDetails_UEM!$A$3:$AH$1849,6,FALSE)</f>
        <v>Electrosurgical Units, Monopolar/Bipolar</v>
      </c>
      <c r="ESS111" s="179" t="s">
        <v>428</v>
      </c>
      <c r="EST111" s="180" t="str">
        <f>VLOOKUP(ESS111,[13]AssetDetails_UEM!$A$3:$AH$1849,6,FALSE)</f>
        <v>Electrosurgical Units, Monopolar/Bipolar</v>
      </c>
      <c r="ESU111" s="179" t="s">
        <v>428</v>
      </c>
      <c r="ESV111" s="180" t="str">
        <f>VLOOKUP(ESU111,[13]AssetDetails_UEM!$A$3:$AH$1849,6,FALSE)</f>
        <v>Electrosurgical Units, Monopolar/Bipolar</v>
      </c>
      <c r="ESW111" s="179" t="s">
        <v>428</v>
      </c>
      <c r="ESX111" s="180" t="str">
        <f>VLOOKUP(ESW111,[13]AssetDetails_UEM!$A$3:$AH$1849,6,FALSE)</f>
        <v>Electrosurgical Units, Monopolar/Bipolar</v>
      </c>
      <c r="ESY111" s="179" t="s">
        <v>428</v>
      </c>
      <c r="ESZ111" s="180" t="str">
        <f>VLOOKUP(ESY111,[13]AssetDetails_UEM!$A$3:$AH$1849,6,FALSE)</f>
        <v>Electrosurgical Units, Monopolar/Bipolar</v>
      </c>
      <c r="ETA111" s="179" t="s">
        <v>428</v>
      </c>
      <c r="ETB111" s="180" t="str">
        <f>VLOOKUP(ETA111,[13]AssetDetails_UEM!$A$3:$AH$1849,6,FALSE)</f>
        <v>Electrosurgical Units, Monopolar/Bipolar</v>
      </c>
      <c r="ETC111" s="179" t="s">
        <v>428</v>
      </c>
      <c r="ETD111" s="180" t="str">
        <f>VLOOKUP(ETC111,[13]AssetDetails_UEM!$A$3:$AH$1849,6,FALSE)</f>
        <v>Electrosurgical Units, Monopolar/Bipolar</v>
      </c>
      <c r="ETE111" s="179" t="s">
        <v>428</v>
      </c>
      <c r="ETF111" s="180" t="str">
        <f>VLOOKUP(ETE111,[13]AssetDetails_UEM!$A$3:$AH$1849,6,FALSE)</f>
        <v>Electrosurgical Units, Monopolar/Bipolar</v>
      </c>
      <c r="ETG111" s="179" t="s">
        <v>428</v>
      </c>
      <c r="ETH111" s="180" t="str">
        <f>VLOOKUP(ETG111,[13]AssetDetails_UEM!$A$3:$AH$1849,6,FALSE)</f>
        <v>Electrosurgical Units, Monopolar/Bipolar</v>
      </c>
      <c r="ETI111" s="179" t="s">
        <v>428</v>
      </c>
      <c r="ETJ111" s="180" t="str">
        <f>VLOOKUP(ETI111,[13]AssetDetails_UEM!$A$3:$AH$1849,6,FALSE)</f>
        <v>Electrosurgical Units, Monopolar/Bipolar</v>
      </c>
      <c r="ETK111" s="179" t="s">
        <v>428</v>
      </c>
      <c r="ETL111" s="180" t="str">
        <f>VLOOKUP(ETK111,[13]AssetDetails_UEM!$A$3:$AH$1849,6,FALSE)</f>
        <v>Electrosurgical Units, Monopolar/Bipolar</v>
      </c>
      <c r="ETM111" s="179" t="s">
        <v>428</v>
      </c>
      <c r="ETN111" s="180" t="str">
        <f>VLOOKUP(ETM111,[13]AssetDetails_UEM!$A$3:$AH$1849,6,FALSE)</f>
        <v>Electrosurgical Units, Monopolar/Bipolar</v>
      </c>
      <c r="ETO111" s="179" t="s">
        <v>428</v>
      </c>
      <c r="ETP111" s="180" t="str">
        <f>VLOOKUP(ETO111,[13]AssetDetails_UEM!$A$3:$AH$1849,6,FALSE)</f>
        <v>Electrosurgical Units, Monopolar/Bipolar</v>
      </c>
      <c r="ETQ111" s="179" t="s">
        <v>428</v>
      </c>
      <c r="ETR111" s="180" t="str">
        <f>VLOOKUP(ETQ111,[13]AssetDetails_UEM!$A$3:$AH$1849,6,FALSE)</f>
        <v>Electrosurgical Units, Monopolar/Bipolar</v>
      </c>
      <c r="ETS111" s="179" t="s">
        <v>428</v>
      </c>
      <c r="ETT111" s="180" t="str">
        <f>VLOOKUP(ETS111,[13]AssetDetails_UEM!$A$3:$AH$1849,6,FALSE)</f>
        <v>Electrosurgical Units, Monopolar/Bipolar</v>
      </c>
      <c r="ETU111" s="179" t="s">
        <v>428</v>
      </c>
      <c r="ETV111" s="180" t="str">
        <f>VLOOKUP(ETU111,[13]AssetDetails_UEM!$A$3:$AH$1849,6,FALSE)</f>
        <v>Electrosurgical Units, Monopolar/Bipolar</v>
      </c>
      <c r="ETW111" s="179" t="s">
        <v>428</v>
      </c>
      <c r="ETX111" s="180" t="str">
        <f>VLOOKUP(ETW111,[13]AssetDetails_UEM!$A$3:$AH$1849,6,FALSE)</f>
        <v>Electrosurgical Units, Monopolar/Bipolar</v>
      </c>
      <c r="ETY111" s="179" t="s">
        <v>428</v>
      </c>
      <c r="ETZ111" s="180" t="str">
        <f>VLOOKUP(ETY111,[13]AssetDetails_UEM!$A$3:$AH$1849,6,FALSE)</f>
        <v>Electrosurgical Units, Monopolar/Bipolar</v>
      </c>
      <c r="EUA111" s="179" t="s">
        <v>428</v>
      </c>
      <c r="EUB111" s="180" t="str">
        <f>VLOOKUP(EUA111,[13]AssetDetails_UEM!$A$3:$AH$1849,6,FALSE)</f>
        <v>Electrosurgical Units, Monopolar/Bipolar</v>
      </c>
      <c r="EUC111" s="179" t="s">
        <v>428</v>
      </c>
      <c r="EUD111" s="180" t="str">
        <f>VLOOKUP(EUC111,[13]AssetDetails_UEM!$A$3:$AH$1849,6,FALSE)</f>
        <v>Electrosurgical Units, Monopolar/Bipolar</v>
      </c>
      <c r="EUE111" s="179" t="s">
        <v>428</v>
      </c>
      <c r="EUF111" s="180" t="str">
        <f>VLOOKUP(EUE111,[13]AssetDetails_UEM!$A$3:$AH$1849,6,FALSE)</f>
        <v>Electrosurgical Units, Monopolar/Bipolar</v>
      </c>
      <c r="EUG111" s="179" t="s">
        <v>428</v>
      </c>
      <c r="EUH111" s="180" t="str">
        <f>VLOOKUP(EUG111,[13]AssetDetails_UEM!$A$3:$AH$1849,6,FALSE)</f>
        <v>Electrosurgical Units, Monopolar/Bipolar</v>
      </c>
      <c r="EUI111" s="179" t="s">
        <v>428</v>
      </c>
      <c r="EUJ111" s="180" t="str">
        <f>VLOOKUP(EUI111,[13]AssetDetails_UEM!$A$3:$AH$1849,6,FALSE)</f>
        <v>Electrosurgical Units, Monopolar/Bipolar</v>
      </c>
      <c r="EUK111" s="179" t="s">
        <v>428</v>
      </c>
      <c r="EUL111" s="180" t="str">
        <f>VLOOKUP(EUK111,[13]AssetDetails_UEM!$A$3:$AH$1849,6,FALSE)</f>
        <v>Electrosurgical Units, Monopolar/Bipolar</v>
      </c>
      <c r="EUM111" s="179" t="s">
        <v>428</v>
      </c>
      <c r="EUN111" s="180" t="str">
        <f>VLOOKUP(EUM111,[13]AssetDetails_UEM!$A$3:$AH$1849,6,FALSE)</f>
        <v>Electrosurgical Units, Monopolar/Bipolar</v>
      </c>
      <c r="EUO111" s="179" t="s">
        <v>428</v>
      </c>
      <c r="EUP111" s="180" t="str">
        <f>VLOOKUP(EUO111,[13]AssetDetails_UEM!$A$3:$AH$1849,6,FALSE)</f>
        <v>Electrosurgical Units, Monopolar/Bipolar</v>
      </c>
      <c r="EUQ111" s="179" t="s">
        <v>428</v>
      </c>
      <c r="EUR111" s="180" t="str">
        <f>VLOOKUP(EUQ111,[13]AssetDetails_UEM!$A$3:$AH$1849,6,FALSE)</f>
        <v>Electrosurgical Units, Monopolar/Bipolar</v>
      </c>
      <c r="EUS111" s="179" t="s">
        <v>428</v>
      </c>
      <c r="EUT111" s="180" t="str">
        <f>VLOOKUP(EUS111,[13]AssetDetails_UEM!$A$3:$AH$1849,6,FALSE)</f>
        <v>Electrosurgical Units, Monopolar/Bipolar</v>
      </c>
      <c r="EUU111" s="179" t="s">
        <v>428</v>
      </c>
      <c r="EUV111" s="180" t="str">
        <f>VLOOKUP(EUU111,[13]AssetDetails_UEM!$A$3:$AH$1849,6,FALSE)</f>
        <v>Electrosurgical Units, Monopolar/Bipolar</v>
      </c>
      <c r="EUW111" s="179" t="s">
        <v>428</v>
      </c>
      <c r="EUX111" s="180" t="str">
        <f>VLOOKUP(EUW111,[13]AssetDetails_UEM!$A$3:$AH$1849,6,FALSE)</f>
        <v>Electrosurgical Units, Monopolar/Bipolar</v>
      </c>
      <c r="EUY111" s="179" t="s">
        <v>428</v>
      </c>
      <c r="EUZ111" s="180" t="str">
        <f>VLOOKUP(EUY111,[13]AssetDetails_UEM!$A$3:$AH$1849,6,FALSE)</f>
        <v>Electrosurgical Units, Monopolar/Bipolar</v>
      </c>
      <c r="EVA111" s="179" t="s">
        <v>428</v>
      </c>
      <c r="EVB111" s="180" t="str">
        <f>VLOOKUP(EVA111,[13]AssetDetails_UEM!$A$3:$AH$1849,6,FALSE)</f>
        <v>Electrosurgical Units, Monopolar/Bipolar</v>
      </c>
      <c r="EVC111" s="179" t="s">
        <v>428</v>
      </c>
      <c r="EVD111" s="180" t="str">
        <f>VLOOKUP(EVC111,[13]AssetDetails_UEM!$A$3:$AH$1849,6,FALSE)</f>
        <v>Electrosurgical Units, Monopolar/Bipolar</v>
      </c>
      <c r="EVE111" s="179" t="s">
        <v>428</v>
      </c>
      <c r="EVF111" s="180" t="str">
        <f>VLOOKUP(EVE111,[13]AssetDetails_UEM!$A$3:$AH$1849,6,FALSE)</f>
        <v>Electrosurgical Units, Monopolar/Bipolar</v>
      </c>
      <c r="EVG111" s="179" t="s">
        <v>428</v>
      </c>
      <c r="EVH111" s="180" t="str">
        <f>VLOOKUP(EVG111,[13]AssetDetails_UEM!$A$3:$AH$1849,6,FALSE)</f>
        <v>Electrosurgical Units, Monopolar/Bipolar</v>
      </c>
      <c r="EVI111" s="179" t="s">
        <v>428</v>
      </c>
      <c r="EVJ111" s="180" t="str">
        <f>VLOOKUP(EVI111,[13]AssetDetails_UEM!$A$3:$AH$1849,6,FALSE)</f>
        <v>Electrosurgical Units, Monopolar/Bipolar</v>
      </c>
      <c r="EVK111" s="179" t="s">
        <v>428</v>
      </c>
      <c r="EVL111" s="180" t="str">
        <f>VLOOKUP(EVK111,[13]AssetDetails_UEM!$A$3:$AH$1849,6,FALSE)</f>
        <v>Electrosurgical Units, Monopolar/Bipolar</v>
      </c>
      <c r="EVM111" s="179" t="s">
        <v>428</v>
      </c>
      <c r="EVN111" s="180" t="str">
        <f>VLOOKUP(EVM111,[13]AssetDetails_UEM!$A$3:$AH$1849,6,FALSE)</f>
        <v>Electrosurgical Units, Monopolar/Bipolar</v>
      </c>
      <c r="EVO111" s="179" t="s">
        <v>428</v>
      </c>
      <c r="EVP111" s="180" t="str">
        <f>VLOOKUP(EVO111,[13]AssetDetails_UEM!$A$3:$AH$1849,6,FALSE)</f>
        <v>Electrosurgical Units, Monopolar/Bipolar</v>
      </c>
      <c r="EVQ111" s="179" t="s">
        <v>428</v>
      </c>
      <c r="EVR111" s="180" t="str">
        <f>VLOOKUP(EVQ111,[13]AssetDetails_UEM!$A$3:$AH$1849,6,FALSE)</f>
        <v>Electrosurgical Units, Monopolar/Bipolar</v>
      </c>
      <c r="EVS111" s="179" t="s">
        <v>428</v>
      </c>
      <c r="EVT111" s="180" t="str">
        <f>VLOOKUP(EVS111,[13]AssetDetails_UEM!$A$3:$AH$1849,6,FALSE)</f>
        <v>Electrosurgical Units, Monopolar/Bipolar</v>
      </c>
      <c r="EVU111" s="179" t="s">
        <v>428</v>
      </c>
      <c r="EVV111" s="180" t="str">
        <f>VLOOKUP(EVU111,[13]AssetDetails_UEM!$A$3:$AH$1849,6,FALSE)</f>
        <v>Electrosurgical Units, Monopolar/Bipolar</v>
      </c>
      <c r="EVW111" s="179" t="s">
        <v>428</v>
      </c>
      <c r="EVX111" s="180" t="str">
        <f>VLOOKUP(EVW111,[13]AssetDetails_UEM!$A$3:$AH$1849,6,FALSE)</f>
        <v>Electrosurgical Units, Monopolar/Bipolar</v>
      </c>
      <c r="EVY111" s="179" t="s">
        <v>428</v>
      </c>
      <c r="EVZ111" s="180" t="str">
        <f>VLOOKUP(EVY111,[13]AssetDetails_UEM!$A$3:$AH$1849,6,FALSE)</f>
        <v>Electrosurgical Units, Monopolar/Bipolar</v>
      </c>
      <c r="EWA111" s="179" t="s">
        <v>428</v>
      </c>
      <c r="EWB111" s="180" t="str">
        <f>VLOOKUP(EWA111,[13]AssetDetails_UEM!$A$3:$AH$1849,6,FALSE)</f>
        <v>Electrosurgical Units, Monopolar/Bipolar</v>
      </c>
      <c r="EWC111" s="179" t="s">
        <v>428</v>
      </c>
      <c r="EWD111" s="180" t="str">
        <f>VLOOKUP(EWC111,[13]AssetDetails_UEM!$A$3:$AH$1849,6,FALSE)</f>
        <v>Electrosurgical Units, Monopolar/Bipolar</v>
      </c>
      <c r="EWE111" s="179" t="s">
        <v>428</v>
      </c>
      <c r="EWF111" s="180" t="str">
        <f>VLOOKUP(EWE111,[13]AssetDetails_UEM!$A$3:$AH$1849,6,FALSE)</f>
        <v>Electrosurgical Units, Monopolar/Bipolar</v>
      </c>
      <c r="EWG111" s="179" t="s">
        <v>428</v>
      </c>
      <c r="EWH111" s="180" t="str">
        <f>VLOOKUP(EWG111,[13]AssetDetails_UEM!$A$3:$AH$1849,6,FALSE)</f>
        <v>Electrosurgical Units, Monopolar/Bipolar</v>
      </c>
      <c r="EWI111" s="179" t="s">
        <v>428</v>
      </c>
      <c r="EWJ111" s="180" t="str">
        <f>VLOOKUP(EWI111,[13]AssetDetails_UEM!$A$3:$AH$1849,6,FALSE)</f>
        <v>Electrosurgical Units, Monopolar/Bipolar</v>
      </c>
      <c r="EWK111" s="179" t="s">
        <v>428</v>
      </c>
      <c r="EWL111" s="180" t="str">
        <f>VLOOKUP(EWK111,[13]AssetDetails_UEM!$A$3:$AH$1849,6,FALSE)</f>
        <v>Electrosurgical Units, Monopolar/Bipolar</v>
      </c>
      <c r="EWM111" s="179" t="s">
        <v>428</v>
      </c>
      <c r="EWN111" s="180" t="str">
        <f>VLOOKUP(EWM111,[13]AssetDetails_UEM!$A$3:$AH$1849,6,FALSE)</f>
        <v>Electrosurgical Units, Monopolar/Bipolar</v>
      </c>
      <c r="EWO111" s="179" t="s">
        <v>428</v>
      </c>
      <c r="EWP111" s="180" t="str">
        <f>VLOOKUP(EWO111,[13]AssetDetails_UEM!$A$3:$AH$1849,6,FALSE)</f>
        <v>Electrosurgical Units, Monopolar/Bipolar</v>
      </c>
      <c r="EWQ111" s="179" t="s">
        <v>428</v>
      </c>
      <c r="EWR111" s="180" t="str">
        <f>VLOOKUP(EWQ111,[13]AssetDetails_UEM!$A$3:$AH$1849,6,FALSE)</f>
        <v>Electrosurgical Units, Monopolar/Bipolar</v>
      </c>
      <c r="EWS111" s="179" t="s">
        <v>428</v>
      </c>
      <c r="EWT111" s="180" t="str">
        <f>VLOOKUP(EWS111,[13]AssetDetails_UEM!$A$3:$AH$1849,6,FALSE)</f>
        <v>Electrosurgical Units, Monopolar/Bipolar</v>
      </c>
      <c r="EWU111" s="179" t="s">
        <v>428</v>
      </c>
      <c r="EWV111" s="180" t="str">
        <f>VLOOKUP(EWU111,[13]AssetDetails_UEM!$A$3:$AH$1849,6,FALSE)</f>
        <v>Electrosurgical Units, Monopolar/Bipolar</v>
      </c>
      <c r="EWW111" s="179" t="s">
        <v>428</v>
      </c>
      <c r="EWX111" s="180" t="str">
        <f>VLOOKUP(EWW111,[13]AssetDetails_UEM!$A$3:$AH$1849,6,FALSE)</f>
        <v>Electrosurgical Units, Monopolar/Bipolar</v>
      </c>
      <c r="EWY111" s="179" t="s">
        <v>428</v>
      </c>
      <c r="EWZ111" s="180" t="str">
        <f>VLOOKUP(EWY111,[13]AssetDetails_UEM!$A$3:$AH$1849,6,FALSE)</f>
        <v>Electrosurgical Units, Monopolar/Bipolar</v>
      </c>
      <c r="EXA111" s="179" t="s">
        <v>428</v>
      </c>
      <c r="EXB111" s="180" t="str">
        <f>VLOOKUP(EXA111,[13]AssetDetails_UEM!$A$3:$AH$1849,6,FALSE)</f>
        <v>Electrosurgical Units, Monopolar/Bipolar</v>
      </c>
      <c r="EXC111" s="179" t="s">
        <v>428</v>
      </c>
      <c r="EXD111" s="180" t="str">
        <f>VLOOKUP(EXC111,[13]AssetDetails_UEM!$A$3:$AH$1849,6,FALSE)</f>
        <v>Electrosurgical Units, Monopolar/Bipolar</v>
      </c>
      <c r="EXE111" s="179" t="s">
        <v>428</v>
      </c>
      <c r="EXF111" s="180" t="str">
        <f>VLOOKUP(EXE111,[13]AssetDetails_UEM!$A$3:$AH$1849,6,FALSE)</f>
        <v>Electrosurgical Units, Monopolar/Bipolar</v>
      </c>
      <c r="EXG111" s="179" t="s">
        <v>428</v>
      </c>
      <c r="EXH111" s="180" t="str">
        <f>VLOOKUP(EXG111,[13]AssetDetails_UEM!$A$3:$AH$1849,6,FALSE)</f>
        <v>Electrosurgical Units, Monopolar/Bipolar</v>
      </c>
      <c r="EXI111" s="179" t="s">
        <v>428</v>
      </c>
      <c r="EXJ111" s="180" t="str">
        <f>VLOOKUP(EXI111,[13]AssetDetails_UEM!$A$3:$AH$1849,6,FALSE)</f>
        <v>Electrosurgical Units, Monopolar/Bipolar</v>
      </c>
      <c r="EXK111" s="179" t="s">
        <v>428</v>
      </c>
      <c r="EXL111" s="180" t="str">
        <f>VLOOKUP(EXK111,[13]AssetDetails_UEM!$A$3:$AH$1849,6,FALSE)</f>
        <v>Electrosurgical Units, Monopolar/Bipolar</v>
      </c>
      <c r="EXM111" s="179" t="s">
        <v>428</v>
      </c>
      <c r="EXN111" s="180" t="str">
        <f>VLOOKUP(EXM111,[13]AssetDetails_UEM!$A$3:$AH$1849,6,FALSE)</f>
        <v>Electrosurgical Units, Monopolar/Bipolar</v>
      </c>
      <c r="EXO111" s="179" t="s">
        <v>428</v>
      </c>
      <c r="EXP111" s="180" t="str">
        <f>VLOOKUP(EXO111,[13]AssetDetails_UEM!$A$3:$AH$1849,6,FALSE)</f>
        <v>Electrosurgical Units, Monopolar/Bipolar</v>
      </c>
      <c r="EXQ111" s="179" t="s">
        <v>428</v>
      </c>
      <c r="EXR111" s="180" t="str">
        <f>VLOOKUP(EXQ111,[13]AssetDetails_UEM!$A$3:$AH$1849,6,FALSE)</f>
        <v>Electrosurgical Units, Monopolar/Bipolar</v>
      </c>
      <c r="EXS111" s="179" t="s">
        <v>428</v>
      </c>
      <c r="EXT111" s="180" t="str">
        <f>VLOOKUP(EXS111,[13]AssetDetails_UEM!$A$3:$AH$1849,6,FALSE)</f>
        <v>Electrosurgical Units, Monopolar/Bipolar</v>
      </c>
      <c r="EXU111" s="179" t="s">
        <v>428</v>
      </c>
      <c r="EXV111" s="180" t="str">
        <f>VLOOKUP(EXU111,[13]AssetDetails_UEM!$A$3:$AH$1849,6,FALSE)</f>
        <v>Electrosurgical Units, Monopolar/Bipolar</v>
      </c>
      <c r="EXW111" s="179" t="s">
        <v>428</v>
      </c>
      <c r="EXX111" s="180" t="str">
        <f>VLOOKUP(EXW111,[13]AssetDetails_UEM!$A$3:$AH$1849,6,FALSE)</f>
        <v>Electrosurgical Units, Monopolar/Bipolar</v>
      </c>
      <c r="EXY111" s="179" t="s">
        <v>428</v>
      </c>
      <c r="EXZ111" s="180" t="str">
        <f>VLOOKUP(EXY111,[13]AssetDetails_UEM!$A$3:$AH$1849,6,FALSE)</f>
        <v>Electrosurgical Units, Monopolar/Bipolar</v>
      </c>
      <c r="EYA111" s="179" t="s">
        <v>428</v>
      </c>
      <c r="EYB111" s="180" t="str">
        <f>VLOOKUP(EYA111,[13]AssetDetails_UEM!$A$3:$AH$1849,6,FALSE)</f>
        <v>Electrosurgical Units, Monopolar/Bipolar</v>
      </c>
      <c r="EYC111" s="179" t="s">
        <v>428</v>
      </c>
      <c r="EYD111" s="180" t="str">
        <f>VLOOKUP(EYC111,[13]AssetDetails_UEM!$A$3:$AH$1849,6,FALSE)</f>
        <v>Electrosurgical Units, Monopolar/Bipolar</v>
      </c>
      <c r="EYE111" s="179" t="s">
        <v>428</v>
      </c>
      <c r="EYF111" s="180" t="str">
        <f>VLOOKUP(EYE111,[13]AssetDetails_UEM!$A$3:$AH$1849,6,FALSE)</f>
        <v>Electrosurgical Units, Monopolar/Bipolar</v>
      </c>
      <c r="EYG111" s="179" t="s">
        <v>428</v>
      </c>
      <c r="EYH111" s="180" t="str">
        <f>VLOOKUP(EYG111,[13]AssetDetails_UEM!$A$3:$AH$1849,6,FALSE)</f>
        <v>Electrosurgical Units, Monopolar/Bipolar</v>
      </c>
      <c r="EYI111" s="179" t="s">
        <v>428</v>
      </c>
      <c r="EYJ111" s="180" t="str">
        <f>VLOOKUP(EYI111,[13]AssetDetails_UEM!$A$3:$AH$1849,6,FALSE)</f>
        <v>Electrosurgical Units, Monopolar/Bipolar</v>
      </c>
      <c r="EYK111" s="179" t="s">
        <v>428</v>
      </c>
      <c r="EYL111" s="180" t="str">
        <f>VLOOKUP(EYK111,[13]AssetDetails_UEM!$A$3:$AH$1849,6,FALSE)</f>
        <v>Electrosurgical Units, Monopolar/Bipolar</v>
      </c>
      <c r="EYM111" s="179" t="s">
        <v>428</v>
      </c>
      <c r="EYN111" s="180" t="str">
        <f>VLOOKUP(EYM111,[13]AssetDetails_UEM!$A$3:$AH$1849,6,FALSE)</f>
        <v>Electrosurgical Units, Monopolar/Bipolar</v>
      </c>
      <c r="EYO111" s="179" t="s">
        <v>428</v>
      </c>
      <c r="EYP111" s="180" t="str">
        <f>VLOOKUP(EYO111,[13]AssetDetails_UEM!$A$3:$AH$1849,6,FALSE)</f>
        <v>Electrosurgical Units, Monopolar/Bipolar</v>
      </c>
      <c r="EYQ111" s="179" t="s">
        <v>428</v>
      </c>
      <c r="EYR111" s="180" t="str">
        <f>VLOOKUP(EYQ111,[13]AssetDetails_UEM!$A$3:$AH$1849,6,FALSE)</f>
        <v>Electrosurgical Units, Monopolar/Bipolar</v>
      </c>
      <c r="EYS111" s="179" t="s">
        <v>428</v>
      </c>
      <c r="EYT111" s="180" t="str">
        <f>VLOOKUP(EYS111,[13]AssetDetails_UEM!$A$3:$AH$1849,6,FALSE)</f>
        <v>Electrosurgical Units, Monopolar/Bipolar</v>
      </c>
      <c r="EYU111" s="179" t="s">
        <v>428</v>
      </c>
      <c r="EYV111" s="180" t="str">
        <f>VLOOKUP(EYU111,[13]AssetDetails_UEM!$A$3:$AH$1849,6,FALSE)</f>
        <v>Electrosurgical Units, Monopolar/Bipolar</v>
      </c>
      <c r="EYW111" s="179" t="s">
        <v>428</v>
      </c>
      <c r="EYX111" s="180" t="str">
        <f>VLOOKUP(EYW111,[13]AssetDetails_UEM!$A$3:$AH$1849,6,FALSE)</f>
        <v>Electrosurgical Units, Monopolar/Bipolar</v>
      </c>
      <c r="EYY111" s="179" t="s">
        <v>428</v>
      </c>
      <c r="EYZ111" s="180" t="str">
        <f>VLOOKUP(EYY111,[13]AssetDetails_UEM!$A$3:$AH$1849,6,FALSE)</f>
        <v>Electrosurgical Units, Monopolar/Bipolar</v>
      </c>
      <c r="EZA111" s="179" t="s">
        <v>428</v>
      </c>
      <c r="EZB111" s="180" t="str">
        <f>VLOOKUP(EZA111,[13]AssetDetails_UEM!$A$3:$AH$1849,6,FALSE)</f>
        <v>Electrosurgical Units, Monopolar/Bipolar</v>
      </c>
      <c r="EZC111" s="179" t="s">
        <v>428</v>
      </c>
      <c r="EZD111" s="180" t="str">
        <f>VLOOKUP(EZC111,[13]AssetDetails_UEM!$A$3:$AH$1849,6,FALSE)</f>
        <v>Electrosurgical Units, Monopolar/Bipolar</v>
      </c>
      <c r="EZE111" s="179" t="s">
        <v>428</v>
      </c>
      <c r="EZF111" s="180" t="str">
        <f>VLOOKUP(EZE111,[13]AssetDetails_UEM!$A$3:$AH$1849,6,FALSE)</f>
        <v>Electrosurgical Units, Monopolar/Bipolar</v>
      </c>
      <c r="EZG111" s="179" t="s">
        <v>428</v>
      </c>
      <c r="EZH111" s="180" t="str">
        <f>VLOOKUP(EZG111,[13]AssetDetails_UEM!$A$3:$AH$1849,6,FALSE)</f>
        <v>Electrosurgical Units, Monopolar/Bipolar</v>
      </c>
      <c r="EZI111" s="179" t="s">
        <v>428</v>
      </c>
      <c r="EZJ111" s="180" t="str">
        <f>VLOOKUP(EZI111,[13]AssetDetails_UEM!$A$3:$AH$1849,6,FALSE)</f>
        <v>Electrosurgical Units, Monopolar/Bipolar</v>
      </c>
      <c r="EZK111" s="179" t="s">
        <v>428</v>
      </c>
      <c r="EZL111" s="180" t="str">
        <f>VLOOKUP(EZK111,[13]AssetDetails_UEM!$A$3:$AH$1849,6,FALSE)</f>
        <v>Electrosurgical Units, Monopolar/Bipolar</v>
      </c>
      <c r="EZM111" s="179" t="s">
        <v>428</v>
      </c>
      <c r="EZN111" s="180" t="str">
        <f>VLOOKUP(EZM111,[13]AssetDetails_UEM!$A$3:$AH$1849,6,FALSE)</f>
        <v>Electrosurgical Units, Monopolar/Bipolar</v>
      </c>
      <c r="EZO111" s="179" t="s">
        <v>428</v>
      </c>
      <c r="EZP111" s="180" t="str">
        <f>VLOOKUP(EZO111,[13]AssetDetails_UEM!$A$3:$AH$1849,6,FALSE)</f>
        <v>Electrosurgical Units, Monopolar/Bipolar</v>
      </c>
      <c r="EZQ111" s="179" t="s">
        <v>428</v>
      </c>
      <c r="EZR111" s="180" t="str">
        <f>VLOOKUP(EZQ111,[13]AssetDetails_UEM!$A$3:$AH$1849,6,FALSE)</f>
        <v>Electrosurgical Units, Monopolar/Bipolar</v>
      </c>
      <c r="EZS111" s="179" t="s">
        <v>428</v>
      </c>
      <c r="EZT111" s="180" t="str">
        <f>VLOOKUP(EZS111,[13]AssetDetails_UEM!$A$3:$AH$1849,6,FALSE)</f>
        <v>Electrosurgical Units, Monopolar/Bipolar</v>
      </c>
      <c r="EZU111" s="179" t="s">
        <v>428</v>
      </c>
      <c r="EZV111" s="180" t="str">
        <f>VLOOKUP(EZU111,[13]AssetDetails_UEM!$A$3:$AH$1849,6,FALSE)</f>
        <v>Electrosurgical Units, Monopolar/Bipolar</v>
      </c>
      <c r="EZW111" s="179" t="s">
        <v>428</v>
      </c>
      <c r="EZX111" s="180" t="str">
        <f>VLOOKUP(EZW111,[13]AssetDetails_UEM!$A$3:$AH$1849,6,FALSE)</f>
        <v>Electrosurgical Units, Monopolar/Bipolar</v>
      </c>
      <c r="EZY111" s="179" t="s">
        <v>428</v>
      </c>
      <c r="EZZ111" s="180" t="str">
        <f>VLOOKUP(EZY111,[13]AssetDetails_UEM!$A$3:$AH$1849,6,FALSE)</f>
        <v>Electrosurgical Units, Monopolar/Bipolar</v>
      </c>
      <c r="FAA111" s="179" t="s">
        <v>428</v>
      </c>
      <c r="FAB111" s="180" t="str">
        <f>VLOOKUP(FAA111,[13]AssetDetails_UEM!$A$3:$AH$1849,6,FALSE)</f>
        <v>Electrosurgical Units, Monopolar/Bipolar</v>
      </c>
      <c r="FAC111" s="179" t="s">
        <v>428</v>
      </c>
      <c r="FAD111" s="180" t="str">
        <f>VLOOKUP(FAC111,[13]AssetDetails_UEM!$A$3:$AH$1849,6,FALSE)</f>
        <v>Electrosurgical Units, Monopolar/Bipolar</v>
      </c>
      <c r="FAE111" s="179" t="s">
        <v>428</v>
      </c>
      <c r="FAF111" s="180" t="str">
        <f>VLOOKUP(FAE111,[13]AssetDetails_UEM!$A$3:$AH$1849,6,FALSE)</f>
        <v>Electrosurgical Units, Monopolar/Bipolar</v>
      </c>
      <c r="FAG111" s="179" t="s">
        <v>428</v>
      </c>
      <c r="FAH111" s="180" t="str">
        <f>VLOOKUP(FAG111,[13]AssetDetails_UEM!$A$3:$AH$1849,6,FALSE)</f>
        <v>Electrosurgical Units, Monopolar/Bipolar</v>
      </c>
      <c r="FAI111" s="179" t="s">
        <v>428</v>
      </c>
      <c r="FAJ111" s="180" t="str">
        <f>VLOOKUP(FAI111,[13]AssetDetails_UEM!$A$3:$AH$1849,6,FALSE)</f>
        <v>Electrosurgical Units, Monopolar/Bipolar</v>
      </c>
      <c r="FAK111" s="179" t="s">
        <v>428</v>
      </c>
      <c r="FAL111" s="180" t="str">
        <f>VLOOKUP(FAK111,[13]AssetDetails_UEM!$A$3:$AH$1849,6,FALSE)</f>
        <v>Electrosurgical Units, Monopolar/Bipolar</v>
      </c>
      <c r="FAM111" s="179" t="s">
        <v>428</v>
      </c>
      <c r="FAN111" s="180" t="str">
        <f>VLOOKUP(FAM111,[13]AssetDetails_UEM!$A$3:$AH$1849,6,FALSE)</f>
        <v>Electrosurgical Units, Monopolar/Bipolar</v>
      </c>
      <c r="FAO111" s="179" t="s">
        <v>428</v>
      </c>
      <c r="FAP111" s="180" t="str">
        <f>VLOOKUP(FAO111,[13]AssetDetails_UEM!$A$3:$AH$1849,6,FALSE)</f>
        <v>Electrosurgical Units, Monopolar/Bipolar</v>
      </c>
      <c r="FAQ111" s="179" t="s">
        <v>428</v>
      </c>
      <c r="FAR111" s="180" t="str">
        <f>VLOOKUP(FAQ111,[13]AssetDetails_UEM!$A$3:$AH$1849,6,FALSE)</f>
        <v>Electrosurgical Units, Monopolar/Bipolar</v>
      </c>
      <c r="FAS111" s="179" t="s">
        <v>428</v>
      </c>
      <c r="FAT111" s="180" t="str">
        <f>VLOOKUP(FAS111,[13]AssetDetails_UEM!$A$3:$AH$1849,6,FALSE)</f>
        <v>Electrosurgical Units, Monopolar/Bipolar</v>
      </c>
      <c r="FAU111" s="179" t="s">
        <v>428</v>
      </c>
      <c r="FAV111" s="180" t="str">
        <f>VLOOKUP(FAU111,[13]AssetDetails_UEM!$A$3:$AH$1849,6,FALSE)</f>
        <v>Electrosurgical Units, Monopolar/Bipolar</v>
      </c>
      <c r="FAW111" s="179" t="s">
        <v>428</v>
      </c>
      <c r="FAX111" s="180" t="str">
        <f>VLOOKUP(FAW111,[13]AssetDetails_UEM!$A$3:$AH$1849,6,FALSE)</f>
        <v>Electrosurgical Units, Monopolar/Bipolar</v>
      </c>
      <c r="FAY111" s="179" t="s">
        <v>428</v>
      </c>
      <c r="FAZ111" s="180" t="str">
        <f>VLOOKUP(FAY111,[13]AssetDetails_UEM!$A$3:$AH$1849,6,FALSE)</f>
        <v>Electrosurgical Units, Monopolar/Bipolar</v>
      </c>
      <c r="FBA111" s="179" t="s">
        <v>428</v>
      </c>
      <c r="FBB111" s="180" t="str">
        <f>VLOOKUP(FBA111,[13]AssetDetails_UEM!$A$3:$AH$1849,6,FALSE)</f>
        <v>Electrosurgical Units, Monopolar/Bipolar</v>
      </c>
      <c r="FBC111" s="179" t="s">
        <v>428</v>
      </c>
      <c r="FBD111" s="180" t="str">
        <f>VLOOKUP(FBC111,[13]AssetDetails_UEM!$A$3:$AH$1849,6,FALSE)</f>
        <v>Electrosurgical Units, Monopolar/Bipolar</v>
      </c>
      <c r="FBE111" s="179" t="s">
        <v>428</v>
      </c>
      <c r="FBF111" s="180" t="str">
        <f>VLOOKUP(FBE111,[13]AssetDetails_UEM!$A$3:$AH$1849,6,FALSE)</f>
        <v>Electrosurgical Units, Monopolar/Bipolar</v>
      </c>
      <c r="FBG111" s="179" t="s">
        <v>428</v>
      </c>
      <c r="FBH111" s="180" t="str">
        <f>VLOOKUP(FBG111,[13]AssetDetails_UEM!$A$3:$AH$1849,6,FALSE)</f>
        <v>Electrosurgical Units, Monopolar/Bipolar</v>
      </c>
      <c r="FBI111" s="179" t="s">
        <v>428</v>
      </c>
      <c r="FBJ111" s="180" t="str">
        <f>VLOOKUP(FBI111,[13]AssetDetails_UEM!$A$3:$AH$1849,6,FALSE)</f>
        <v>Electrosurgical Units, Monopolar/Bipolar</v>
      </c>
      <c r="FBK111" s="179" t="s">
        <v>428</v>
      </c>
      <c r="FBL111" s="180" t="str">
        <f>VLOOKUP(FBK111,[13]AssetDetails_UEM!$A$3:$AH$1849,6,FALSE)</f>
        <v>Electrosurgical Units, Monopolar/Bipolar</v>
      </c>
      <c r="FBM111" s="179" t="s">
        <v>428</v>
      </c>
      <c r="FBN111" s="180" t="str">
        <f>VLOOKUP(FBM111,[13]AssetDetails_UEM!$A$3:$AH$1849,6,FALSE)</f>
        <v>Electrosurgical Units, Monopolar/Bipolar</v>
      </c>
      <c r="FBO111" s="179" t="s">
        <v>428</v>
      </c>
      <c r="FBP111" s="180" t="str">
        <f>VLOOKUP(FBO111,[13]AssetDetails_UEM!$A$3:$AH$1849,6,FALSE)</f>
        <v>Electrosurgical Units, Monopolar/Bipolar</v>
      </c>
      <c r="FBQ111" s="179" t="s">
        <v>428</v>
      </c>
      <c r="FBR111" s="180" t="str">
        <f>VLOOKUP(FBQ111,[13]AssetDetails_UEM!$A$3:$AH$1849,6,FALSE)</f>
        <v>Electrosurgical Units, Monopolar/Bipolar</v>
      </c>
      <c r="FBS111" s="179" t="s">
        <v>428</v>
      </c>
      <c r="FBT111" s="180" t="str">
        <f>VLOOKUP(FBS111,[13]AssetDetails_UEM!$A$3:$AH$1849,6,FALSE)</f>
        <v>Electrosurgical Units, Monopolar/Bipolar</v>
      </c>
      <c r="FBU111" s="179" t="s">
        <v>428</v>
      </c>
      <c r="FBV111" s="180" t="str">
        <f>VLOOKUP(FBU111,[13]AssetDetails_UEM!$A$3:$AH$1849,6,FALSE)</f>
        <v>Electrosurgical Units, Monopolar/Bipolar</v>
      </c>
      <c r="FBW111" s="179" t="s">
        <v>428</v>
      </c>
      <c r="FBX111" s="180" t="str">
        <f>VLOOKUP(FBW111,[13]AssetDetails_UEM!$A$3:$AH$1849,6,FALSE)</f>
        <v>Electrosurgical Units, Monopolar/Bipolar</v>
      </c>
      <c r="FBY111" s="179" t="s">
        <v>428</v>
      </c>
      <c r="FBZ111" s="180" t="str">
        <f>VLOOKUP(FBY111,[13]AssetDetails_UEM!$A$3:$AH$1849,6,FALSE)</f>
        <v>Electrosurgical Units, Monopolar/Bipolar</v>
      </c>
      <c r="FCA111" s="179" t="s">
        <v>428</v>
      </c>
      <c r="FCB111" s="180" t="str">
        <f>VLOOKUP(FCA111,[13]AssetDetails_UEM!$A$3:$AH$1849,6,FALSE)</f>
        <v>Electrosurgical Units, Monopolar/Bipolar</v>
      </c>
      <c r="FCC111" s="179" t="s">
        <v>428</v>
      </c>
      <c r="FCD111" s="180" t="str">
        <f>VLOOKUP(FCC111,[13]AssetDetails_UEM!$A$3:$AH$1849,6,FALSE)</f>
        <v>Electrosurgical Units, Monopolar/Bipolar</v>
      </c>
      <c r="FCE111" s="179" t="s">
        <v>428</v>
      </c>
      <c r="FCF111" s="180" t="str">
        <f>VLOOKUP(FCE111,[13]AssetDetails_UEM!$A$3:$AH$1849,6,FALSE)</f>
        <v>Electrosurgical Units, Monopolar/Bipolar</v>
      </c>
      <c r="FCG111" s="179" t="s">
        <v>428</v>
      </c>
      <c r="FCH111" s="180" t="str">
        <f>VLOOKUP(FCG111,[13]AssetDetails_UEM!$A$3:$AH$1849,6,FALSE)</f>
        <v>Electrosurgical Units, Monopolar/Bipolar</v>
      </c>
      <c r="FCI111" s="179" t="s">
        <v>428</v>
      </c>
      <c r="FCJ111" s="180" t="str">
        <f>VLOOKUP(FCI111,[13]AssetDetails_UEM!$A$3:$AH$1849,6,FALSE)</f>
        <v>Electrosurgical Units, Monopolar/Bipolar</v>
      </c>
      <c r="FCK111" s="179" t="s">
        <v>428</v>
      </c>
      <c r="FCL111" s="180" t="str">
        <f>VLOOKUP(FCK111,[13]AssetDetails_UEM!$A$3:$AH$1849,6,FALSE)</f>
        <v>Electrosurgical Units, Monopolar/Bipolar</v>
      </c>
      <c r="FCM111" s="179" t="s">
        <v>428</v>
      </c>
      <c r="FCN111" s="180" t="str">
        <f>VLOOKUP(FCM111,[13]AssetDetails_UEM!$A$3:$AH$1849,6,FALSE)</f>
        <v>Electrosurgical Units, Monopolar/Bipolar</v>
      </c>
      <c r="FCO111" s="179" t="s">
        <v>428</v>
      </c>
      <c r="FCP111" s="180" t="str">
        <f>VLOOKUP(FCO111,[13]AssetDetails_UEM!$A$3:$AH$1849,6,FALSE)</f>
        <v>Electrosurgical Units, Monopolar/Bipolar</v>
      </c>
      <c r="FCQ111" s="179" t="s">
        <v>428</v>
      </c>
      <c r="FCR111" s="180" t="str">
        <f>VLOOKUP(FCQ111,[13]AssetDetails_UEM!$A$3:$AH$1849,6,FALSE)</f>
        <v>Electrosurgical Units, Monopolar/Bipolar</v>
      </c>
      <c r="FCS111" s="179" t="s">
        <v>428</v>
      </c>
      <c r="FCT111" s="180" t="str">
        <f>VLOOKUP(FCS111,[13]AssetDetails_UEM!$A$3:$AH$1849,6,FALSE)</f>
        <v>Electrosurgical Units, Monopolar/Bipolar</v>
      </c>
      <c r="FCU111" s="179" t="s">
        <v>428</v>
      </c>
      <c r="FCV111" s="180" t="str">
        <f>VLOOKUP(FCU111,[13]AssetDetails_UEM!$A$3:$AH$1849,6,FALSE)</f>
        <v>Electrosurgical Units, Monopolar/Bipolar</v>
      </c>
      <c r="FCW111" s="179" t="s">
        <v>428</v>
      </c>
      <c r="FCX111" s="180" t="str">
        <f>VLOOKUP(FCW111,[13]AssetDetails_UEM!$A$3:$AH$1849,6,FALSE)</f>
        <v>Electrosurgical Units, Monopolar/Bipolar</v>
      </c>
      <c r="FCY111" s="179" t="s">
        <v>428</v>
      </c>
      <c r="FCZ111" s="180" t="str">
        <f>VLOOKUP(FCY111,[13]AssetDetails_UEM!$A$3:$AH$1849,6,FALSE)</f>
        <v>Electrosurgical Units, Monopolar/Bipolar</v>
      </c>
      <c r="FDA111" s="179" t="s">
        <v>428</v>
      </c>
      <c r="FDB111" s="180" t="str">
        <f>VLOOKUP(FDA111,[13]AssetDetails_UEM!$A$3:$AH$1849,6,FALSE)</f>
        <v>Electrosurgical Units, Monopolar/Bipolar</v>
      </c>
      <c r="FDC111" s="179" t="s">
        <v>428</v>
      </c>
      <c r="FDD111" s="180" t="str">
        <f>VLOOKUP(FDC111,[13]AssetDetails_UEM!$A$3:$AH$1849,6,FALSE)</f>
        <v>Electrosurgical Units, Monopolar/Bipolar</v>
      </c>
      <c r="FDE111" s="179" t="s">
        <v>428</v>
      </c>
      <c r="FDF111" s="180" t="str">
        <f>VLOOKUP(FDE111,[13]AssetDetails_UEM!$A$3:$AH$1849,6,FALSE)</f>
        <v>Electrosurgical Units, Monopolar/Bipolar</v>
      </c>
      <c r="FDG111" s="179" t="s">
        <v>428</v>
      </c>
      <c r="FDH111" s="180" t="str">
        <f>VLOOKUP(FDG111,[13]AssetDetails_UEM!$A$3:$AH$1849,6,FALSE)</f>
        <v>Electrosurgical Units, Monopolar/Bipolar</v>
      </c>
      <c r="FDI111" s="179" t="s">
        <v>428</v>
      </c>
      <c r="FDJ111" s="180" t="str">
        <f>VLOOKUP(FDI111,[13]AssetDetails_UEM!$A$3:$AH$1849,6,FALSE)</f>
        <v>Electrosurgical Units, Monopolar/Bipolar</v>
      </c>
      <c r="FDK111" s="179" t="s">
        <v>428</v>
      </c>
      <c r="FDL111" s="180" t="str">
        <f>VLOOKUP(FDK111,[13]AssetDetails_UEM!$A$3:$AH$1849,6,FALSE)</f>
        <v>Electrosurgical Units, Monopolar/Bipolar</v>
      </c>
      <c r="FDM111" s="179" t="s">
        <v>428</v>
      </c>
      <c r="FDN111" s="180" t="str">
        <f>VLOOKUP(FDM111,[13]AssetDetails_UEM!$A$3:$AH$1849,6,FALSE)</f>
        <v>Electrosurgical Units, Monopolar/Bipolar</v>
      </c>
      <c r="FDO111" s="179" t="s">
        <v>428</v>
      </c>
      <c r="FDP111" s="180" t="str">
        <f>VLOOKUP(FDO111,[13]AssetDetails_UEM!$A$3:$AH$1849,6,FALSE)</f>
        <v>Electrosurgical Units, Monopolar/Bipolar</v>
      </c>
      <c r="FDQ111" s="179" t="s">
        <v>428</v>
      </c>
      <c r="FDR111" s="180" t="str">
        <f>VLOOKUP(FDQ111,[13]AssetDetails_UEM!$A$3:$AH$1849,6,FALSE)</f>
        <v>Electrosurgical Units, Monopolar/Bipolar</v>
      </c>
      <c r="FDS111" s="179" t="s">
        <v>428</v>
      </c>
      <c r="FDT111" s="180" t="str">
        <f>VLOOKUP(FDS111,[13]AssetDetails_UEM!$A$3:$AH$1849,6,FALSE)</f>
        <v>Electrosurgical Units, Monopolar/Bipolar</v>
      </c>
      <c r="FDU111" s="179" t="s">
        <v>428</v>
      </c>
      <c r="FDV111" s="180" t="str">
        <f>VLOOKUP(FDU111,[13]AssetDetails_UEM!$A$3:$AH$1849,6,FALSE)</f>
        <v>Electrosurgical Units, Monopolar/Bipolar</v>
      </c>
      <c r="FDW111" s="179" t="s">
        <v>428</v>
      </c>
      <c r="FDX111" s="180" t="str">
        <f>VLOOKUP(FDW111,[13]AssetDetails_UEM!$A$3:$AH$1849,6,FALSE)</f>
        <v>Electrosurgical Units, Monopolar/Bipolar</v>
      </c>
      <c r="FDY111" s="179" t="s">
        <v>428</v>
      </c>
      <c r="FDZ111" s="180" t="str">
        <f>VLOOKUP(FDY111,[13]AssetDetails_UEM!$A$3:$AH$1849,6,FALSE)</f>
        <v>Electrosurgical Units, Monopolar/Bipolar</v>
      </c>
      <c r="FEA111" s="179" t="s">
        <v>428</v>
      </c>
      <c r="FEB111" s="180" t="str">
        <f>VLOOKUP(FEA111,[13]AssetDetails_UEM!$A$3:$AH$1849,6,FALSE)</f>
        <v>Electrosurgical Units, Monopolar/Bipolar</v>
      </c>
      <c r="FEC111" s="179" t="s">
        <v>428</v>
      </c>
      <c r="FED111" s="180" t="str">
        <f>VLOOKUP(FEC111,[13]AssetDetails_UEM!$A$3:$AH$1849,6,FALSE)</f>
        <v>Electrosurgical Units, Monopolar/Bipolar</v>
      </c>
      <c r="FEE111" s="179" t="s">
        <v>428</v>
      </c>
      <c r="FEF111" s="180" t="str">
        <f>VLOOKUP(FEE111,[13]AssetDetails_UEM!$A$3:$AH$1849,6,FALSE)</f>
        <v>Electrosurgical Units, Monopolar/Bipolar</v>
      </c>
      <c r="FEG111" s="179" t="s">
        <v>428</v>
      </c>
      <c r="FEH111" s="180" t="str">
        <f>VLOOKUP(FEG111,[13]AssetDetails_UEM!$A$3:$AH$1849,6,FALSE)</f>
        <v>Electrosurgical Units, Monopolar/Bipolar</v>
      </c>
      <c r="FEI111" s="179" t="s">
        <v>428</v>
      </c>
      <c r="FEJ111" s="180" t="str">
        <f>VLOOKUP(FEI111,[13]AssetDetails_UEM!$A$3:$AH$1849,6,FALSE)</f>
        <v>Electrosurgical Units, Monopolar/Bipolar</v>
      </c>
      <c r="FEK111" s="179" t="s">
        <v>428</v>
      </c>
      <c r="FEL111" s="180" t="str">
        <f>VLOOKUP(FEK111,[13]AssetDetails_UEM!$A$3:$AH$1849,6,FALSE)</f>
        <v>Electrosurgical Units, Monopolar/Bipolar</v>
      </c>
      <c r="FEM111" s="179" t="s">
        <v>428</v>
      </c>
      <c r="FEN111" s="180" t="str">
        <f>VLOOKUP(FEM111,[13]AssetDetails_UEM!$A$3:$AH$1849,6,FALSE)</f>
        <v>Electrosurgical Units, Monopolar/Bipolar</v>
      </c>
      <c r="FEO111" s="179" t="s">
        <v>428</v>
      </c>
      <c r="FEP111" s="180" t="str">
        <f>VLOOKUP(FEO111,[13]AssetDetails_UEM!$A$3:$AH$1849,6,FALSE)</f>
        <v>Electrosurgical Units, Monopolar/Bipolar</v>
      </c>
      <c r="FEQ111" s="179" t="s">
        <v>428</v>
      </c>
      <c r="FER111" s="180" t="str">
        <f>VLOOKUP(FEQ111,[13]AssetDetails_UEM!$A$3:$AH$1849,6,FALSE)</f>
        <v>Electrosurgical Units, Monopolar/Bipolar</v>
      </c>
      <c r="FES111" s="179" t="s">
        <v>428</v>
      </c>
      <c r="FET111" s="180" t="str">
        <f>VLOOKUP(FES111,[13]AssetDetails_UEM!$A$3:$AH$1849,6,FALSE)</f>
        <v>Electrosurgical Units, Monopolar/Bipolar</v>
      </c>
      <c r="FEU111" s="179" t="s">
        <v>428</v>
      </c>
      <c r="FEV111" s="180" t="str">
        <f>VLOOKUP(FEU111,[13]AssetDetails_UEM!$A$3:$AH$1849,6,FALSE)</f>
        <v>Electrosurgical Units, Monopolar/Bipolar</v>
      </c>
      <c r="FEW111" s="179" t="s">
        <v>428</v>
      </c>
      <c r="FEX111" s="180" t="str">
        <f>VLOOKUP(FEW111,[13]AssetDetails_UEM!$A$3:$AH$1849,6,FALSE)</f>
        <v>Electrosurgical Units, Monopolar/Bipolar</v>
      </c>
      <c r="FEY111" s="179" t="s">
        <v>428</v>
      </c>
      <c r="FEZ111" s="180" t="str">
        <f>VLOOKUP(FEY111,[13]AssetDetails_UEM!$A$3:$AH$1849,6,FALSE)</f>
        <v>Electrosurgical Units, Monopolar/Bipolar</v>
      </c>
      <c r="FFA111" s="179" t="s">
        <v>428</v>
      </c>
      <c r="FFB111" s="180" t="str">
        <f>VLOOKUP(FFA111,[13]AssetDetails_UEM!$A$3:$AH$1849,6,FALSE)</f>
        <v>Electrosurgical Units, Monopolar/Bipolar</v>
      </c>
      <c r="FFC111" s="179" t="s">
        <v>428</v>
      </c>
      <c r="FFD111" s="180" t="str">
        <f>VLOOKUP(FFC111,[13]AssetDetails_UEM!$A$3:$AH$1849,6,FALSE)</f>
        <v>Electrosurgical Units, Monopolar/Bipolar</v>
      </c>
      <c r="FFE111" s="179" t="s">
        <v>428</v>
      </c>
      <c r="FFF111" s="180" t="str">
        <f>VLOOKUP(FFE111,[13]AssetDetails_UEM!$A$3:$AH$1849,6,FALSE)</f>
        <v>Electrosurgical Units, Monopolar/Bipolar</v>
      </c>
      <c r="FFG111" s="179" t="s">
        <v>428</v>
      </c>
      <c r="FFH111" s="180" t="str">
        <f>VLOOKUP(FFG111,[13]AssetDetails_UEM!$A$3:$AH$1849,6,FALSE)</f>
        <v>Electrosurgical Units, Monopolar/Bipolar</v>
      </c>
      <c r="FFI111" s="179" t="s">
        <v>428</v>
      </c>
      <c r="FFJ111" s="180" t="str">
        <f>VLOOKUP(FFI111,[13]AssetDetails_UEM!$A$3:$AH$1849,6,FALSE)</f>
        <v>Electrosurgical Units, Monopolar/Bipolar</v>
      </c>
      <c r="FFK111" s="179" t="s">
        <v>428</v>
      </c>
      <c r="FFL111" s="180" t="str">
        <f>VLOOKUP(FFK111,[13]AssetDetails_UEM!$A$3:$AH$1849,6,FALSE)</f>
        <v>Electrosurgical Units, Monopolar/Bipolar</v>
      </c>
      <c r="FFM111" s="179" t="s">
        <v>428</v>
      </c>
      <c r="FFN111" s="180" t="str">
        <f>VLOOKUP(FFM111,[13]AssetDetails_UEM!$A$3:$AH$1849,6,FALSE)</f>
        <v>Electrosurgical Units, Monopolar/Bipolar</v>
      </c>
      <c r="FFO111" s="179" t="s">
        <v>428</v>
      </c>
      <c r="FFP111" s="180" t="str">
        <f>VLOOKUP(FFO111,[13]AssetDetails_UEM!$A$3:$AH$1849,6,FALSE)</f>
        <v>Electrosurgical Units, Monopolar/Bipolar</v>
      </c>
      <c r="FFQ111" s="179" t="s">
        <v>428</v>
      </c>
      <c r="FFR111" s="180" t="str">
        <f>VLOOKUP(FFQ111,[13]AssetDetails_UEM!$A$3:$AH$1849,6,FALSE)</f>
        <v>Electrosurgical Units, Monopolar/Bipolar</v>
      </c>
      <c r="FFS111" s="179" t="s">
        <v>428</v>
      </c>
      <c r="FFT111" s="180" t="str">
        <f>VLOOKUP(FFS111,[13]AssetDetails_UEM!$A$3:$AH$1849,6,FALSE)</f>
        <v>Electrosurgical Units, Monopolar/Bipolar</v>
      </c>
      <c r="FFU111" s="179" t="s">
        <v>428</v>
      </c>
      <c r="FFV111" s="180" t="str">
        <f>VLOOKUP(FFU111,[13]AssetDetails_UEM!$A$3:$AH$1849,6,FALSE)</f>
        <v>Electrosurgical Units, Monopolar/Bipolar</v>
      </c>
      <c r="FFW111" s="179" t="s">
        <v>428</v>
      </c>
      <c r="FFX111" s="180" t="str">
        <f>VLOOKUP(FFW111,[13]AssetDetails_UEM!$A$3:$AH$1849,6,FALSE)</f>
        <v>Electrosurgical Units, Monopolar/Bipolar</v>
      </c>
      <c r="FFY111" s="179" t="s">
        <v>428</v>
      </c>
      <c r="FFZ111" s="180" t="str">
        <f>VLOOKUP(FFY111,[13]AssetDetails_UEM!$A$3:$AH$1849,6,FALSE)</f>
        <v>Electrosurgical Units, Monopolar/Bipolar</v>
      </c>
      <c r="FGA111" s="179" t="s">
        <v>428</v>
      </c>
      <c r="FGB111" s="180" t="str">
        <f>VLOOKUP(FGA111,[13]AssetDetails_UEM!$A$3:$AH$1849,6,FALSE)</f>
        <v>Electrosurgical Units, Monopolar/Bipolar</v>
      </c>
      <c r="FGC111" s="179" t="s">
        <v>428</v>
      </c>
      <c r="FGD111" s="180" t="str">
        <f>VLOOKUP(FGC111,[13]AssetDetails_UEM!$A$3:$AH$1849,6,FALSE)</f>
        <v>Electrosurgical Units, Monopolar/Bipolar</v>
      </c>
      <c r="FGE111" s="179" t="s">
        <v>428</v>
      </c>
      <c r="FGF111" s="180" t="str">
        <f>VLOOKUP(FGE111,[13]AssetDetails_UEM!$A$3:$AH$1849,6,FALSE)</f>
        <v>Electrosurgical Units, Monopolar/Bipolar</v>
      </c>
      <c r="FGG111" s="179" t="s">
        <v>428</v>
      </c>
      <c r="FGH111" s="180" t="str">
        <f>VLOOKUP(FGG111,[13]AssetDetails_UEM!$A$3:$AH$1849,6,FALSE)</f>
        <v>Electrosurgical Units, Monopolar/Bipolar</v>
      </c>
      <c r="FGI111" s="179" t="s">
        <v>428</v>
      </c>
      <c r="FGJ111" s="180" t="str">
        <f>VLOOKUP(FGI111,[13]AssetDetails_UEM!$A$3:$AH$1849,6,FALSE)</f>
        <v>Electrosurgical Units, Monopolar/Bipolar</v>
      </c>
      <c r="FGK111" s="179" t="s">
        <v>428</v>
      </c>
      <c r="FGL111" s="180" t="str">
        <f>VLOOKUP(FGK111,[13]AssetDetails_UEM!$A$3:$AH$1849,6,FALSE)</f>
        <v>Electrosurgical Units, Monopolar/Bipolar</v>
      </c>
      <c r="FGM111" s="179" t="s">
        <v>428</v>
      </c>
      <c r="FGN111" s="180" t="str">
        <f>VLOOKUP(FGM111,[13]AssetDetails_UEM!$A$3:$AH$1849,6,FALSE)</f>
        <v>Electrosurgical Units, Monopolar/Bipolar</v>
      </c>
      <c r="FGO111" s="179" t="s">
        <v>428</v>
      </c>
      <c r="FGP111" s="180" t="str">
        <f>VLOOKUP(FGO111,[13]AssetDetails_UEM!$A$3:$AH$1849,6,FALSE)</f>
        <v>Electrosurgical Units, Monopolar/Bipolar</v>
      </c>
      <c r="FGQ111" s="179" t="s">
        <v>428</v>
      </c>
      <c r="FGR111" s="180" t="str">
        <f>VLOOKUP(FGQ111,[13]AssetDetails_UEM!$A$3:$AH$1849,6,FALSE)</f>
        <v>Electrosurgical Units, Monopolar/Bipolar</v>
      </c>
      <c r="FGS111" s="179" t="s">
        <v>428</v>
      </c>
      <c r="FGT111" s="180" t="str">
        <f>VLOOKUP(FGS111,[13]AssetDetails_UEM!$A$3:$AH$1849,6,FALSE)</f>
        <v>Electrosurgical Units, Monopolar/Bipolar</v>
      </c>
      <c r="FGU111" s="179" t="s">
        <v>428</v>
      </c>
      <c r="FGV111" s="180" t="str">
        <f>VLOOKUP(FGU111,[13]AssetDetails_UEM!$A$3:$AH$1849,6,FALSE)</f>
        <v>Electrosurgical Units, Monopolar/Bipolar</v>
      </c>
      <c r="FGW111" s="179" t="s">
        <v>428</v>
      </c>
      <c r="FGX111" s="180" t="str">
        <f>VLOOKUP(FGW111,[13]AssetDetails_UEM!$A$3:$AH$1849,6,FALSE)</f>
        <v>Electrosurgical Units, Monopolar/Bipolar</v>
      </c>
      <c r="FGY111" s="179" t="s">
        <v>428</v>
      </c>
      <c r="FGZ111" s="180" t="str">
        <f>VLOOKUP(FGY111,[13]AssetDetails_UEM!$A$3:$AH$1849,6,FALSE)</f>
        <v>Electrosurgical Units, Monopolar/Bipolar</v>
      </c>
      <c r="FHA111" s="179" t="s">
        <v>428</v>
      </c>
      <c r="FHB111" s="180" t="str">
        <f>VLOOKUP(FHA111,[13]AssetDetails_UEM!$A$3:$AH$1849,6,FALSE)</f>
        <v>Electrosurgical Units, Monopolar/Bipolar</v>
      </c>
      <c r="FHC111" s="179" t="s">
        <v>428</v>
      </c>
      <c r="FHD111" s="180" t="str">
        <f>VLOOKUP(FHC111,[13]AssetDetails_UEM!$A$3:$AH$1849,6,FALSE)</f>
        <v>Electrosurgical Units, Monopolar/Bipolar</v>
      </c>
      <c r="FHE111" s="179" t="s">
        <v>428</v>
      </c>
      <c r="FHF111" s="180" t="str">
        <f>VLOOKUP(FHE111,[13]AssetDetails_UEM!$A$3:$AH$1849,6,FALSE)</f>
        <v>Electrosurgical Units, Monopolar/Bipolar</v>
      </c>
      <c r="FHG111" s="179" t="s">
        <v>428</v>
      </c>
      <c r="FHH111" s="180" t="str">
        <f>VLOOKUP(FHG111,[13]AssetDetails_UEM!$A$3:$AH$1849,6,FALSE)</f>
        <v>Electrosurgical Units, Monopolar/Bipolar</v>
      </c>
      <c r="FHI111" s="179" t="s">
        <v>428</v>
      </c>
      <c r="FHJ111" s="180" t="str">
        <f>VLOOKUP(FHI111,[13]AssetDetails_UEM!$A$3:$AH$1849,6,FALSE)</f>
        <v>Electrosurgical Units, Monopolar/Bipolar</v>
      </c>
      <c r="FHK111" s="179" t="s">
        <v>428</v>
      </c>
      <c r="FHL111" s="180" t="str">
        <f>VLOOKUP(FHK111,[13]AssetDetails_UEM!$A$3:$AH$1849,6,FALSE)</f>
        <v>Electrosurgical Units, Monopolar/Bipolar</v>
      </c>
      <c r="FHM111" s="179" t="s">
        <v>428</v>
      </c>
      <c r="FHN111" s="180" t="str">
        <f>VLOOKUP(FHM111,[13]AssetDetails_UEM!$A$3:$AH$1849,6,FALSE)</f>
        <v>Electrosurgical Units, Monopolar/Bipolar</v>
      </c>
      <c r="FHO111" s="179" t="s">
        <v>428</v>
      </c>
      <c r="FHP111" s="180" t="str">
        <f>VLOOKUP(FHO111,[13]AssetDetails_UEM!$A$3:$AH$1849,6,FALSE)</f>
        <v>Electrosurgical Units, Monopolar/Bipolar</v>
      </c>
      <c r="FHQ111" s="179" t="s">
        <v>428</v>
      </c>
      <c r="FHR111" s="180" t="str">
        <f>VLOOKUP(FHQ111,[13]AssetDetails_UEM!$A$3:$AH$1849,6,FALSE)</f>
        <v>Electrosurgical Units, Monopolar/Bipolar</v>
      </c>
      <c r="FHS111" s="179" t="s">
        <v>428</v>
      </c>
      <c r="FHT111" s="180" t="str">
        <f>VLOOKUP(FHS111,[13]AssetDetails_UEM!$A$3:$AH$1849,6,FALSE)</f>
        <v>Electrosurgical Units, Monopolar/Bipolar</v>
      </c>
      <c r="FHU111" s="179" t="s">
        <v>428</v>
      </c>
      <c r="FHV111" s="180" t="str">
        <f>VLOOKUP(FHU111,[13]AssetDetails_UEM!$A$3:$AH$1849,6,FALSE)</f>
        <v>Electrosurgical Units, Monopolar/Bipolar</v>
      </c>
      <c r="FHW111" s="179" t="s">
        <v>428</v>
      </c>
      <c r="FHX111" s="180" t="str">
        <f>VLOOKUP(FHW111,[13]AssetDetails_UEM!$A$3:$AH$1849,6,FALSE)</f>
        <v>Electrosurgical Units, Monopolar/Bipolar</v>
      </c>
      <c r="FHY111" s="179" t="s">
        <v>428</v>
      </c>
      <c r="FHZ111" s="180" t="str">
        <f>VLOOKUP(FHY111,[13]AssetDetails_UEM!$A$3:$AH$1849,6,FALSE)</f>
        <v>Electrosurgical Units, Monopolar/Bipolar</v>
      </c>
      <c r="FIA111" s="179" t="s">
        <v>428</v>
      </c>
      <c r="FIB111" s="180" t="str">
        <f>VLOOKUP(FIA111,[13]AssetDetails_UEM!$A$3:$AH$1849,6,FALSE)</f>
        <v>Electrosurgical Units, Monopolar/Bipolar</v>
      </c>
      <c r="FIC111" s="179" t="s">
        <v>428</v>
      </c>
      <c r="FID111" s="180" t="str">
        <f>VLOOKUP(FIC111,[13]AssetDetails_UEM!$A$3:$AH$1849,6,FALSE)</f>
        <v>Electrosurgical Units, Monopolar/Bipolar</v>
      </c>
      <c r="FIE111" s="179" t="s">
        <v>428</v>
      </c>
      <c r="FIF111" s="180" t="str">
        <f>VLOOKUP(FIE111,[13]AssetDetails_UEM!$A$3:$AH$1849,6,FALSE)</f>
        <v>Electrosurgical Units, Monopolar/Bipolar</v>
      </c>
      <c r="FIG111" s="179" t="s">
        <v>428</v>
      </c>
      <c r="FIH111" s="180" t="str">
        <f>VLOOKUP(FIG111,[13]AssetDetails_UEM!$A$3:$AH$1849,6,FALSE)</f>
        <v>Electrosurgical Units, Monopolar/Bipolar</v>
      </c>
      <c r="FII111" s="179" t="s">
        <v>428</v>
      </c>
      <c r="FIJ111" s="180" t="str">
        <f>VLOOKUP(FII111,[13]AssetDetails_UEM!$A$3:$AH$1849,6,FALSE)</f>
        <v>Electrosurgical Units, Monopolar/Bipolar</v>
      </c>
      <c r="FIK111" s="179" t="s">
        <v>428</v>
      </c>
      <c r="FIL111" s="180" t="str">
        <f>VLOOKUP(FIK111,[13]AssetDetails_UEM!$A$3:$AH$1849,6,FALSE)</f>
        <v>Electrosurgical Units, Monopolar/Bipolar</v>
      </c>
      <c r="FIM111" s="179" t="s">
        <v>428</v>
      </c>
      <c r="FIN111" s="180" t="str">
        <f>VLOOKUP(FIM111,[13]AssetDetails_UEM!$A$3:$AH$1849,6,FALSE)</f>
        <v>Electrosurgical Units, Monopolar/Bipolar</v>
      </c>
      <c r="FIO111" s="179" t="s">
        <v>428</v>
      </c>
      <c r="FIP111" s="180" t="str">
        <f>VLOOKUP(FIO111,[13]AssetDetails_UEM!$A$3:$AH$1849,6,FALSE)</f>
        <v>Electrosurgical Units, Monopolar/Bipolar</v>
      </c>
      <c r="FIQ111" s="179" t="s">
        <v>428</v>
      </c>
      <c r="FIR111" s="180" t="str">
        <f>VLOOKUP(FIQ111,[13]AssetDetails_UEM!$A$3:$AH$1849,6,FALSE)</f>
        <v>Electrosurgical Units, Monopolar/Bipolar</v>
      </c>
      <c r="FIS111" s="179" t="s">
        <v>428</v>
      </c>
      <c r="FIT111" s="180" t="str">
        <f>VLOOKUP(FIS111,[13]AssetDetails_UEM!$A$3:$AH$1849,6,FALSE)</f>
        <v>Electrosurgical Units, Monopolar/Bipolar</v>
      </c>
      <c r="FIU111" s="179" t="s">
        <v>428</v>
      </c>
      <c r="FIV111" s="180" t="str">
        <f>VLOOKUP(FIU111,[13]AssetDetails_UEM!$A$3:$AH$1849,6,FALSE)</f>
        <v>Electrosurgical Units, Monopolar/Bipolar</v>
      </c>
      <c r="FIW111" s="179" t="s">
        <v>428</v>
      </c>
      <c r="FIX111" s="180" t="str">
        <f>VLOOKUP(FIW111,[13]AssetDetails_UEM!$A$3:$AH$1849,6,FALSE)</f>
        <v>Electrosurgical Units, Monopolar/Bipolar</v>
      </c>
      <c r="FIY111" s="179" t="s">
        <v>428</v>
      </c>
      <c r="FIZ111" s="180" t="str">
        <f>VLOOKUP(FIY111,[13]AssetDetails_UEM!$A$3:$AH$1849,6,FALSE)</f>
        <v>Electrosurgical Units, Monopolar/Bipolar</v>
      </c>
      <c r="FJA111" s="179" t="s">
        <v>428</v>
      </c>
      <c r="FJB111" s="180" t="str">
        <f>VLOOKUP(FJA111,[13]AssetDetails_UEM!$A$3:$AH$1849,6,FALSE)</f>
        <v>Electrosurgical Units, Monopolar/Bipolar</v>
      </c>
      <c r="FJC111" s="179" t="s">
        <v>428</v>
      </c>
      <c r="FJD111" s="180" t="str">
        <f>VLOOKUP(FJC111,[13]AssetDetails_UEM!$A$3:$AH$1849,6,FALSE)</f>
        <v>Electrosurgical Units, Monopolar/Bipolar</v>
      </c>
      <c r="FJE111" s="179" t="s">
        <v>428</v>
      </c>
      <c r="FJF111" s="180" t="str">
        <f>VLOOKUP(FJE111,[13]AssetDetails_UEM!$A$3:$AH$1849,6,FALSE)</f>
        <v>Electrosurgical Units, Monopolar/Bipolar</v>
      </c>
      <c r="FJG111" s="179" t="s">
        <v>428</v>
      </c>
      <c r="FJH111" s="180" t="str">
        <f>VLOOKUP(FJG111,[13]AssetDetails_UEM!$A$3:$AH$1849,6,FALSE)</f>
        <v>Electrosurgical Units, Monopolar/Bipolar</v>
      </c>
      <c r="FJI111" s="179" t="s">
        <v>428</v>
      </c>
      <c r="FJJ111" s="180" t="str">
        <f>VLOOKUP(FJI111,[13]AssetDetails_UEM!$A$3:$AH$1849,6,FALSE)</f>
        <v>Electrosurgical Units, Monopolar/Bipolar</v>
      </c>
      <c r="FJK111" s="179" t="s">
        <v>428</v>
      </c>
      <c r="FJL111" s="180" t="str">
        <f>VLOOKUP(FJK111,[13]AssetDetails_UEM!$A$3:$AH$1849,6,FALSE)</f>
        <v>Electrosurgical Units, Monopolar/Bipolar</v>
      </c>
      <c r="FJM111" s="179" t="s">
        <v>428</v>
      </c>
      <c r="FJN111" s="180" t="str">
        <f>VLOOKUP(FJM111,[13]AssetDetails_UEM!$A$3:$AH$1849,6,FALSE)</f>
        <v>Electrosurgical Units, Monopolar/Bipolar</v>
      </c>
      <c r="FJO111" s="179" t="s">
        <v>428</v>
      </c>
      <c r="FJP111" s="180" t="str">
        <f>VLOOKUP(FJO111,[13]AssetDetails_UEM!$A$3:$AH$1849,6,FALSE)</f>
        <v>Electrosurgical Units, Monopolar/Bipolar</v>
      </c>
      <c r="FJQ111" s="179" t="s">
        <v>428</v>
      </c>
      <c r="FJR111" s="180" t="str">
        <f>VLOOKUP(FJQ111,[13]AssetDetails_UEM!$A$3:$AH$1849,6,FALSE)</f>
        <v>Electrosurgical Units, Monopolar/Bipolar</v>
      </c>
      <c r="FJS111" s="179" t="s">
        <v>428</v>
      </c>
      <c r="FJT111" s="180" t="str">
        <f>VLOOKUP(FJS111,[13]AssetDetails_UEM!$A$3:$AH$1849,6,FALSE)</f>
        <v>Electrosurgical Units, Monopolar/Bipolar</v>
      </c>
      <c r="FJU111" s="179" t="s">
        <v>428</v>
      </c>
      <c r="FJV111" s="180" t="str">
        <f>VLOOKUP(FJU111,[13]AssetDetails_UEM!$A$3:$AH$1849,6,FALSE)</f>
        <v>Electrosurgical Units, Monopolar/Bipolar</v>
      </c>
      <c r="FJW111" s="179" t="s">
        <v>428</v>
      </c>
      <c r="FJX111" s="180" t="str">
        <f>VLOOKUP(FJW111,[13]AssetDetails_UEM!$A$3:$AH$1849,6,FALSE)</f>
        <v>Electrosurgical Units, Monopolar/Bipolar</v>
      </c>
      <c r="FJY111" s="179" t="s">
        <v>428</v>
      </c>
      <c r="FJZ111" s="180" t="str">
        <f>VLOOKUP(FJY111,[13]AssetDetails_UEM!$A$3:$AH$1849,6,FALSE)</f>
        <v>Electrosurgical Units, Monopolar/Bipolar</v>
      </c>
      <c r="FKA111" s="179" t="s">
        <v>428</v>
      </c>
      <c r="FKB111" s="180" t="str">
        <f>VLOOKUP(FKA111,[13]AssetDetails_UEM!$A$3:$AH$1849,6,FALSE)</f>
        <v>Electrosurgical Units, Monopolar/Bipolar</v>
      </c>
      <c r="FKC111" s="179" t="s">
        <v>428</v>
      </c>
      <c r="FKD111" s="180" t="str">
        <f>VLOOKUP(FKC111,[13]AssetDetails_UEM!$A$3:$AH$1849,6,FALSE)</f>
        <v>Electrosurgical Units, Monopolar/Bipolar</v>
      </c>
      <c r="FKE111" s="179" t="s">
        <v>428</v>
      </c>
      <c r="FKF111" s="180" t="str">
        <f>VLOOKUP(FKE111,[13]AssetDetails_UEM!$A$3:$AH$1849,6,FALSE)</f>
        <v>Electrosurgical Units, Monopolar/Bipolar</v>
      </c>
      <c r="FKG111" s="179" t="s">
        <v>428</v>
      </c>
      <c r="FKH111" s="180" t="str">
        <f>VLOOKUP(FKG111,[13]AssetDetails_UEM!$A$3:$AH$1849,6,FALSE)</f>
        <v>Electrosurgical Units, Monopolar/Bipolar</v>
      </c>
      <c r="FKI111" s="179" t="s">
        <v>428</v>
      </c>
      <c r="FKJ111" s="180" t="str">
        <f>VLOOKUP(FKI111,[13]AssetDetails_UEM!$A$3:$AH$1849,6,FALSE)</f>
        <v>Electrosurgical Units, Monopolar/Bipolar</v>
      </c>
      <c r="FKK111" s="179" t="s">
        <v>428</v>
      </c>
      <c r="FKL111" s="180" t="str">
        <f>VLOOKUP(FKK111,[13]AssetDetails_UEM!$A$3:$AH$1849,6,FALSE)</f>
        <v>Electrosurgical Units, Monopolar/Bipolar</v>
      </c>
      <c r="FKM111" s="179" t="s">
        <v>428</v>
      </c>
      <c r="FKN111" s="180" t="str">
        <f>VLOOKUP(FKM111,[13]AssetDetails_UEM!$A$3:$AH$1849,6,FALSE)</f>
        <v>Electrosurgical Units, Monopolar/Bipolar</v>
      </c>
      <c r="FKO111" s="179" t="s">
        <v>428</v>
      </c>
      <c r="FKP111" s="180" t="str">
        <f>VLOOKUP(FKO111,[13]AssetDetails_UEM!$A$3:$AH$1849,6,FALSE)</f>
        <v>Electrosurgical Units, Monopolar/Bipolar</v>
      </c>
      <c r="FKQ111" s="179" t="s">
        <v>428</v>
      </c>
      <c r="FKR111" s="180" t="str">
        <f>VLOOKUP(FKQ111,[13]AssetDetails_UEM!$A$3:$AH$1849,6,FALSE)</f>
        <v>Electrosurgical Units, Monopolar/Bipolar</v>
      </c>
      <c r="FKS111" s="179" t="s">
        <v>428</v>
      </c>
      <c r="FKT111" s="180" t="str">
        <f>VLOOKUP(FKS111,[13]AssetDetails_UEM!$A$3:$AH$1849,6,FALSE)</f>
        <v>Electrosurgical Units, Monopolar/Bipolar</v>
      </c>
      <c r="FKU111" s="179" t="s">
        <v>428</v>
      </c>
      <c r="FKV111" s="180" t="str">
        <f>VLOOKUP(FKU111,[13]AssetDetails_UEM!$A$3:$AH$1849,6,FALSE)</f>
        <v>Electrosurgical Units, Monopolar/Bipolar</v>
      </c>
      <c r="FKW111" s="179" t="s">
        <v>428</v>
      </c>
      <c r="FKX111" s="180" t="str">
        <f>VLOOKUP(FKW111,[13]AssetDetails_UEM!$A$3:$AH$1849,6,FALSE)</f>
        <v>Electrosurgical Units, Monopolar/Bipolar</v>
      </c>
      <c r="FKY111" s="179" t="s">
        <v>428</v>
      </c>
      <c r="FKZ111" s="180" t="str">
        <f>VLOOKUP(FKY111,[13]AssetDetails_UEM!$A$3:$AH$1849,6,FALSE)</f>
        <v>Electrosurgical Units, Monopolar/Bipolar</v>
      </c>
      <c r="FLA111" s="179" t="s">
        <v>428</v>
      </c>
      <c r="FLB111" s="180" t="str">
        <f>VLOOKUP(FLA111,[13]AssetDetails_UEM!$A$3:$AH$1849,6,FALSE)</f>
        <v>Electrosurgical Units, Monopolar/Bipolar</v>
      </c>
      <c r="FLC111" s="179" t="s">
        <v>428</v>
      </c>
      <c r="FLD111" s="180" t="str">
        <f>VLOOKUP(FLC111,[13]AssetDetails_UEM!$A$3:$AH$1849,6,FALSE)</f>
        <v>Electrosurgical Units, Monopolar/Bipolar</v>
      </c>
      <c r="FLE111" s="179" t="s">
        <v>428</v>
      </c>
      <c r="FLF111" s="180" t="str">
        <f>VLOOKUP(FLE111,[13]AssetDetails_UEM!$A$3:$AH$1849,6,FALSE)</f>
        <v>Electrosurgical Units, Monopolar/Bipolar</v>
      </c>
      <c r="FLG111" s="179" t="s">
        <v>428</v>
      </c>
      <c r="FLH111" s="180" t="str">
        <f>VLOOKUP(FLG111,[13]AssetDetails_UEM!$A$3:$AH$1849,6,FALSE)</f>
        <v>Electrosurgical Units, Monopolar/Bipolar</v>
      </c>
      <c r="FLI111" s="179" t="s">
        <v>428</v>
      </c>
      <c r="FLJ111" s="180" t="str">
        <f>VLOOKUP(FLI111,[13]AssetDetails_UEM!$A$3:$AH$1849,6,FALSE)</f>
        <v>Electrosurgical Units, Monopolar/Bipolar</v>
      </c>
      <c r="FLK111" s="179" t="s">
        <v>428</v>
      </c>
      <c r="FLL111" s="180" t="str">
        <f>VLOOKUP(FLK111,[13]AssetDetails_UEM!$A$3:$AH$1849,6,FALSE)</f>
        <v>Electrosurgical Units, Monopolar/Bipolar</v>
      </c>
      <c r="FLM111" s="179" t="s">
        <v>428</v>
      </c>
      <c r="FLN111" s="180" t="str">
        <f>VLOOKUP(FLM111,[13]AssetDetails_UEM!$A$3:$AH$1849,6,FALSE)</f>
        <v>Electrosurgical Units, Monopolar/Bipolar</v>
      </c>
      <c r="FLO111" s="179" t="s">
        <v>428</v>
      </c>
      <c r="FLP111" s="180" t="str">
        <f>VLOOKUP(FLO111,[13]AssetDetails_UEM!$A$3:$AH$1849,6,FALSE)</f>
        <v>Electrosurgical Units, Monopolar/Bipolar</v>
      </c>
      <c r="FLQ111" s="179" t="s">
        <v>428</v>
      </c>
      <c r="FLR111" s="180" t="str">
        <f>VLOOKUP(FLQ111,[13]AssetDetails_UEM!$A$3:$AH$1849,6,FALSE)</f>
        <v>Electrosurgical Units, Monopolar/Bipolar</v>
      </c>
      <c r="FLS111" s="179" t="s">
        <v>428</v>
      </c>
      <c r="FLT111" s="180" t="str">
        <f>VLOOKUP(FLS111,[13]AssetDetails_UEM!$A$3:$AH$1849,6,FALSE)</f>
        <v>Electrosurgical Units, Monopolar/Bipolar</v>
      </c>
      <c r="FLU111" s="179" t="s">
        <v>428</v>
      </c>
      <c r="FLV111" s="180" t="str">
        <f>VLOOKUP(FLU111,[13]AssetDetails_UEM!$A$3:$AH$1849,6,FALSE)</f>
        <v>Electrosurgical Units, Monopolar/Bipolar</v>
      </c>
      <c r="FLW111" s="179" t="s">
        <v>428</v>
      </c>
      <c r="FLX111" s="180" t="str">
        <f>VLOOKUP(FLW111,[13]AssetDetails_UEM!$A$3:$AH$1849,6,FALSE)</f>
        <v>Electrosurgical Units, Monopolar/Bipolar</v>
      </c>
      <c r="FLY111" s="179" t="s">
        <v>428</v>
      </c>
      <c r="FLZ111" s="180" t="str">
        <f>VLOOKUP(FLY111,[13]AssetDetails_UEM!$A$3:$AH$1849,6,FALSE)</f>
        <v>Electrosurgical Units, Monopolar/Bipolar</v>
      </c>
      <c r="FMA111" s="179" t="s">
        <v>428</v>
      </c>
      <c r="FMB111" s="180" t="str">
        <f>VLOOKUP(FMA111,[13]AssetDetails_UEM!$A$3:$AH$1849,6,FALSE)</f>
        <v>Electrosurgical Units, Monopolar/Bipolar</v>
      </c>
      <c r="FMC111" s="179" t="s">
        <v>428</v>
      </c>
      <c r="FMD111" s="180" t="str">
        <f>VLOOKUP(FMC111,[13]AssetDetails_UEM!$A$3:$AH$1849,6,FALSE)</f>
        <v>Electrosurgical Units, Monopolar/Bipolar</v>
      </c>
      <c r="FME111" s="179" t="s">
        <v>428</v>
      </c>
      <c r="FMF111" s="180" t="str">
        <f>VLOOKUP(FME111,[13]AssetDetails_UEM!$A$3:$AH$1849,6,FALSE)</f>
        <v>Electrosurgical Units, Monopolar/Bipolar</v>
      </c>
      <c r="FMG111" s="179" t="s">
        <v>428</v>
      </c>
      <c r="FMH111" s="180" t="str">
        <f>VLOOKUP(FMG111,[13]AssetDetails_UEM!$A$3:$AH$1849,6,FALSE)</f>
        <v>Electrosurgical Units, Monopolar/Bipolar</v>
      </c>
      <c r="FMI111" s="179" t="s">
        <v>428</v>
      </c>
      <c r="FMJ111" s="180" t="str">
        <f>VLOOKUP(FMI111,[13]AssetDetails_UEM!$A$3:$AH$1849,6,FALSE)</f>
        <v>Electrosurgical Units, Monopolar/Bipolar</v>
      </c>
      <c r="FMK111" s="179" t="s">
        <v>428</v>
      </c>
      <c r="FML111" s="180" t="str">
        <f>VLOOKUP(FMK111,[13]AssetDetails_UEM!$A$3:$AH$1849,6,FALSE)</f>
        <v>Electrosurgical Units, Monopolar/Bipolar</v>
      </c>
      <c r="FMM111" s="179" t="s">
        <v>428</v>
      </c>
      <c r="FMN111" s="180" t="str">
        <f>VLOOKUP(FMM111,[13]AssetDetails_UEM!$A$3:$AH$1849,6,FALSE)</f>
        <v>Electrosurgical Units, Monopolar/Bipolar</v>
      </c>
      <c r="FMO111" s="179" t="s">
        <v>428</v>
      </c>
      <c r="FMP111" s="180" t="str">
        <f>VLOOKUP(FMO111,[13]AssetDetails_UEM!$A$3:$AH$1849,6,FALSE)</f>
        <v>Electrosurgical Units, Monopolar/Bipolar</v>
      </c>
      <c r="FMQ111" s="179" t="s">
        <v>428</v>
      </c>
      <c r="FMR111" s="180" t="str">
        <f>VLOOKUP(FMQ111,[13]AssetDetails_UEM!$A$3:$AH$1849,6,FALSE)</f>
        <v>Electrosurgical Units, Monopolar/Bipolar</v>
      </c>
      <c r="FMS111" s="179" t="s">
        <v>428</v>
      </c>
      <c r="FMT111" s="180" t="str">
        <f>VLOOKUP(FMS111,[13]AssetDetails_UEM!$A$3:$AH$1849,6,FALSE)</f>
        <v>Electrosurgical Units, Monopolar/Bipolar</v>
      </c>
      <c r="FMU111" s="179" t="s">
        <v>428</v>
      </c>
      <c r="FMV111" s="180" t="str">
        <f>VLOOKUP(FMU111,[13]AssetDetails_UEM!$A$3:$AH$1849,6,FALSE)</f>
        <v>Electrosurgical Units, Monopolar/Bipolar</v>
      </c>
      <c r="FMW111" s="179" t="s">
        <v>428</v>
      </c>
      <c r="FMX111" s="180" t="str">
        <f>VLOOKUP(FMW111,[13]AssetDetails_UEM!$A$3:$AH$1849,6,FALSE)</f>
        <v>Electrosurgical Units, Monopolar/Bipolar</v>
      </c>
      <c r="FMY111" s="179" t="s">
        <v>428</v>
      </c>
      <c r="FMZ111" s="180" t="str">
        <f>VLOOKUP(FMY111,[13]AssetDetails_UEM!$A$3:$AH$1849,6,FALSE)</f>
        <v>Electrosurgical Units, Monopolar/Bipolar</v>
      </c>
      <c r="FNA111" s="179" t="s">
        <v>428</v>
      </c>
      <c r="FNB111" s="180" t="str">
        <f>VLOOKUP(FNA111,[13]AssetDetails_UEM!$A$3:$AH$1849,6,FALSE)</f>
        <v>Electrosurgical Units, Monopolar/Bipolar</v>
      </c>
      <c r="FNC111" s="179" t="s">
        <v>428</v>
      </c>
      <c r="FND111" s="180" t="str">
        <f>VLOOKUP(FNC111,[13]AssetDetails_UEM!$A$3:$AH$1849,6,FALSE)</f>
        <v>Electrosurgical Units, Monopolar/Bipolar</v>
      </c>
      <c r="FNE111" s="179" t="s">
        <v>428</v>
      </c>
      <c r="FNF111" s="180" t="str">
        <f>VLOOKUP(FNE111,[13]AssetDetails_UEM!$A$3:$AH$1849,6,FALSE)</f>
        <v>Electrosurgical Units, Monopolar/Bipolar</v>
      </c>
      <c r="FNG111" s="179" t="s">
        <v>428</v>
      </c>
      <c r="FNH111" s="180" t="str">
        <f>VLOOKUP(FNG111,[13]AssetDetails_UEM!$A$3:$AH$1849,6,FALSE)</f>
        <v>Electrosurgical Units, Monopolar/Bipolar</v>
      </c>
      <c r="FNI111" s="179" t="s">
        <v>428</v>
      </c>
      <c r="FNJ111" s="180" t="str">
        <f>VLOOKUP(FNI111,[13]AssetDetails_UEM!$A$3:$AH$1849,6,FALSE)</f>
        <v>Electrosurgical Units, Monopolar/Bipolar</v>
      </c>
      <c r="FNK111" s="179" t="s">
        <v>428</v>
      </c>
      <c r="FNL111" s="180" t="str">
        <f>VLOOKUP(FNK111,[13]AssetDetails_UEM!$A$3:$AH$1849,6,FALSE)</f>
        <v>Electrosurgical Units, Monopolar/Bipolar</v>
      </c>
      <c r="FNM111" s="179" t="s">
        <v>428</v>
      </c>
      <c r="FNN111" s="180" t="str">
        <f>VLOOKUP(FNM111,[13]AssetDetails_UEM!$A$3:$AH$1849,6,FALSE)</f>
        <v>Electrosurgical Units, Monopolar/Bipolar</v>
      </c>
      <c r="FNO111" s="179" t="s">
        <v>428</v>
      </c>
      <c r="FNP111" s="180" t="str">
        <f>VLOOKUP(FNO111,[13]AssetDetails_UEM!$A$3:$AH$1849,6,FALSE)</f>
        <v>Electrosurgical Units, Monopolar/Bipolar</v>
      </c>
      <c r="FNQ111" s="179" t="s">
        <v>428</v>
      </c>
      <c r="FNR111" s="180" t="str">
        <f>VLOOKUP(FNQ111,[13]AssetDetails_UEM!$A$3:$AH$1849,6,FALSE)</f>
        <v>Electrosurgical Units, Monopolar/Bipolar</v>
      </c>
      <c r="FNS111" s="179" t="s">
        <v>428</v>
      </c>
      <c r="FNT111" s="180" t="str">
        <f>VLOOKUP(FNS111,[13]AssetDetails_UEM!$A$3:$AH$1849,6,FALSE)</f>
        <v>Electrosurgical Units, Monopolar/Bipolar</v>
      </c>
      <c r="FNU111" s="179" t="s">
        <v>428</v>
      </c>
      <c r="FNV111" s="180" t="str">
        <f>VLOOKUP(FNU111,[13]AssetDetails_UEM!$A$3:$AH$1849,6,FALSE)</f>
        <v>Electrosurgical Units, Monopolar/Bipolar</v>
      </c>
      <c r="FNW111" s="179" t="s">
        <v>428</v>
      </c>
      <c r="FNX111" s="180" t="str">
        <f>VLOOKUP(FNW111,[13]AssetDetails_UEM!$A$3:$AH$1849,6,FALSE)</f>
        <v>Electrosurgical Units, Monopolar/Bipolar</v>
      </c>
      <c r="FNY111" s="179" t="s">
        <v>428</v>
      </c>
      <c r="FNZ111" s="180" t="str">
        <f>VLOOKUP(FNY111,[13]AssetDetails_UEM!$A$3:$AH$1849,6,FALSE)</f>
        <v>Electrosurgical Units, Monopolar/Bipolar</v>
      </c>
      <c r="FOA111" s="179" t="s">
        <v>428</v>
      </c>
      <c r="FOB111" s="180" t="str">
        <f>VLOOKUP(FOA111,[13]AssetDetails_UEM!$A$3:$AH$1849,6,FALSE)</f>
        <v>Electrosurgical Units, Monopolar/Bipolar</v>
      </c>
      <c r="FOC111" s="179" t="s">
        <v>428</v>
      </c>
      <c r="FOD111" s="180" t="str">
        <f>VLOOKUP(FOC111,[13]AssetDetails_UEM!$A$3:$AH$1849,6,FALSE)</f>
        <v>Electrosurgical Units, Monopolar/Bipolar</v>
      </c>
      <c r="FOE111" s="179" t="s">
        <v>428</v>
      </c>
      <c r="FOF111" s="180" t="str">
        <f>VLOOKUP(FOE111,[13]AssetDetails_UEM!$A$3:$AH$1849,6,FALSE)</f>
        <v>Electrosurgical Units, Monopolar/Bipolar</v>
      </c>
      <c r="FOG111" s="179" t="s">
        <v>428</v>
      </c>
      <c r="FOH111" s="180" t="str">
        <f>VLOOKUP(FOG111,[13]AssetDetails_UEM!$A$3:$AH$1849,6,FALSE)</f>
        <v>Electrosurgical Units, Monopolar/Bipolar</v>
      </c>
      <c r="FOI111" s="179" t="s">
        <v>428</v>
      </c>
      <c r="FOJ111" s="180" t="str">
        <f>VLOOKUP(FOI111,[13]AssetDetails_UEM!$A$3:$AH$1849,6,FALSE)</f>
        <v>Electrosurgical Units, Monopolar/Bipolar</v>
      </c>
      <c r="FOK111" s="179" t="s">
        <v>428</v>
      </c>
      <c r="FOL111" s="180" t="str">
        <f>VLOOKUP(FOK111,[13]AssetDetails_UEM!$A$3:$AH$1849,6,FALSE)</f>
        <v>Electrosurgical Units, Monopolar/Bipolar</v>
      </c>
      <c r="FOM111" s="179" t="s">
        <v>428</v>
      </c>
      <c r="FON111" s="180" t="str">
        <f>VLOOKUP(FOM111,[13]AssetDetails_UEM!$A$3:$AH$1849,6,FALSE)</f>
        <v>Electrosurgical Units, Monopolar/Bipolar</v>
      </c>
      <c r="FOO111" s="179" t="s">
        <v>428</v>
      </c>
      <c r="FOP111" s="180" t="str">
        <f>VLOOKUP(FOO111,[13]AssetDetails_UEM!$A$3:$AH$1849,6,FALSE)</f>
        <v>Electrosurgical Units, Monopolar/Bipolar</v>
      </c>
      <c r="FOQ111" s="179" t="s">
        <v>428</v>
      </c>
      <c r="FOR111" s="180" t="str">
        <f>VLOOKUP(FOQ111,[13]AssetDetails_UEM!$A$3:$AH$1849,6,FALSE)</f>
        <v>Electrosurgical Units, Monopolar/Bipolar</v>
      </c>
      <c r="FOS111" s="179" t="s">
        <v>428</v>
      </c>
      <c r="FOT111" s="180" t="str">
        <f>VLOOKUP(FOS111,[13]AssetDetails_UEM!$A$3:$AH$1849,6,FALSE)</f>
        <v>Electrosurgical Units, Monopolar/Bipolar</v>
      </c>
      <c r="FOU111" s="179" t="s">
        <v>428</v>
      </c>
      <c r="FOV111" s="180" t="str">
        <f>VLOOKUP(FOU111,[13]AssetDetails_UEM!$A$3:$AH$1849,6,FALSE)</f>
        <v>Electrosurgical Units, Monopolar/Bipolar</v>
      </c>
      <c r="FOW111" s="179" t="s">
        <v>428</v>
      </c>
      <c r="FOX111" s="180" t="str">
        <f>VLOOKUP(FOW111,[13]AssetDetails_UEM!$A$3:$AH$1849,6,FALSE)</f>
        <v>Electrosurgical Units, Monopolar/Bipolar</v>
      </c>
      <c r="FOY111" s="179" t="s">
        <v>428</v>
      </c>
      <c r="FOZ111" s="180" t="str">
        <f>VLOOKUP(FOY111,[13]AssetDetails_UEM!$A$3:$AH$1849,6,FALSE)</f>
        <v>Electrosurgical Units, Monopolar/Bipolar</v>
      </c>
      <c r="FPA111" s="179" t="s">
        <v>428</v>
      </c>
      <c r="FPB111" s="180" t="str">
        <f>VLOOKUP(FPA111,[13]AssetDetails_UEM!$A$3:$AH$1849,6,FALSE)</f>
        <v>Electrosurgical Units, Monopolar/Bipolar</v>
      </c>
      <c r="FPC111" s="179" t="s">
        <v>428</v>
      </c>
      <c r="FPD111" s="180" t="str">
        <f>VLOOKUP(FPC111,[13]AssetDetails_UEM!$A$3:$AH$1849,6,FALSE)</f>
        <v>Electrosurgical Units, Monopolar/Bipolar</v>
      </c>
      <c r="FPE111" s="179" t="s">
        <v>428</v>
      </c>
      <c r="FPF111" s="180" t="str">
        <f>VLOOKUP(FPE111,[13]AssetDetails_UEM!$A$3:$AH$1849,6,FALSE)</f>
        <v>Electrosurgical Units, Monopolar/Bipolar</v>
      </c>
      <c r="FPG111" s="179" t="s">
        <v>428</v>
      </c>
      <c r="FPH111" s="180" t="str">
        <f>VLOOKUP(FPG111,[13]AssetDetails_UEM!$A$3:$AH$1849,6,FALSE)</f>
        <v>Electrosurgical Units, Monopolar/Bipolar</v>
      </c>
      <c r="FPI111" s="179" t="s">
        <v>428</v>
      </c>
      <c r="FPJ111" s="180" t="str">
        <f>VLOOKUP(FPI111,[13]AssetDetails_UEM!$A$3:$AH$1849,6,FALSE)</f>
        <v>Electrosurgical Units, Monopolar/Bipolar</v>
      </c>
      <c r="FPK111" s="179" t="s">
        <v>428</v>
      </c>
      <c r="FPL111" s="180" t="str">
        <f>VLOOKUP(FPK111,[13]AssetDetails_UEM!$A$3:$AH$1849,6,FALSE)</f>
        <v>Electrosurgical Units, Monopolar/Bipolar</v>
      </c>
      <c r="FPM111" s="179" t="s">
        <v>428</v>
      </c>
      <c r="FPN111" s="180" t="str">
        <f>VLOOKUP(FPM111,[13]AssetDetails_UEM!$A$3:$AH$1849,6,FALSE)</f>
        <v>Electrosurgical Units, Monopolar/Bipolar</v>
      </c>
      <c r="FPO111" s="179" t="s">
        <v>428</v>
      </c>
      <c r="FPP111" s="180" t="str">
        <f>VLOOKUP(FPO111,[13]AssetDetails_UEM!$A$3:$AH$1849,6,FALSE)</f>
        <v>Electrosurgical Units, Monopolar/Bipolar</v>
      </c>
      <c r="FPQ111" s="179" t="s">
        <v>428</v>
      </c>
      <c r="FPR111" s="180" t="str">
        <f>VLOOKUP(FPQ111,[13]AssetDetails_UEM!$A$3:$AH$1849,6,FALSE)</f>
        <v>Electrosurgical Units, Monopolar/Bipolar</v>
      </c>
      <c r="FPS111" s="179" t="s">
        <v>428</v>
      </c>
      <c r="FPT111" s="180" t="str">
        <f>VLOOKUP(FPS111,[13]AssetDetails_UEM!$A$3:$AH$1849,6,FALSE)</f>
        <v>Electrosurgical Units, Monopolar/Bipolar</v>
      </c>
      <c r="FPU111" s="179" t="s">
        <v>428</v>
      </c>
      <c r="FPV111" s="180" t="str">
        <f>VLOOKUP(FPU111,[13]AssetDetails_UEM!$A$3:$AH$1849,6,FALSE)</f>
        <v>Electrosurgical Units, Monopolar/Bipolar</v>
      </c>
      <c r="FPW111" s="179" t="s">
        <v>428</v>
      </c>
      <c r="FPX111" s="180" t="str">
        <f>VLOOKUP(FPW111,[13]AssetDetails_UEM!$A$3:$AH$1849,6,FALSE)</f>
        <v>Electrosurgical Units, Monopolar/Bipolar</v>
      </c>
      <c r="FPY111" s="179" t="s">
        <v>428</v>
      </c>
      <c r="FPZ111" s="180" t="str">
        <f>VLOOKUP(FPY111,[13]AssetDetails_UEM!$A$3:$AH$1849,6,FALSE)</f>
        <v>Electrosurgical Units, Monopolar/Bipolar</v>
      </c>
      <c r="FQA111" s="179" t="s">
        <v>428</v>
      </c>
      <c r="FQB111" s="180" t="str">
        <f>VLOOKUP(FQA111,[13]AssetDetails_UEM!$A$3:$AH$1849,6,FALSE)</f>
        <v>Electrosurgical Units, Monopolar/Bipolar</v>
      </c>
      <c r="FQC111" s="179" t="s">
        <v>428</v>
      </c>
      <c r="FQD111" s="180" t="str">
        <f>VLOOKUP(FQC111,[13]AssetDetails_UEM!$A$3:$AH$1849,6,FALSE)</f>
        <v>Electrosurgical Units, Monopolar/Bipolar</v>
      </c>
      <c r="FQE111" s="179" t="s">
        <v>428</v>
      </c>
      <c r="FQF111" s="180" t="str">
        <f>VLOOKUP(FQE111,[13]AssetDetails_UEM!$A$3:$AH$1849,6,FALSE)</f>
        <v>Electrosurgical Units, Monopolar/Bipolar</v>
      </c>
      <c r="FQG111" s="179" t="s">
        <v>428</v>
      </c>
      <c r="FQH111" s="180" t="str">
        <f>VLOOKUP(FQG111,[13]AssetDetails_UEM!$A$3:$AH$1849,6,FALSE)</f>
        <v>Electrosurgical Units, Monopolar/Bipolar</v>
      </c>
      <c r="FQI111" s="179" t="s">
        <v>428</v>
      </c>
      <c r="FQJ111" s="180" t="str">
        <f>VLOOKUP(FQI111,[13]AssetDetails_UEM!$A$3:$AH$1849,6,FALSE)</f>
        <v>Electrosurgical Units, Monopolar/Bipolar</v>
      </c>
      <c r="FQK111" s="179" t="s">
        <v>428</v>
      </c>
      <c r="FQL111" s="180" t="str">
        <f>VLOOKUP(FQK111,[13]AssetDetails_UEM!$A$3:$AH$1849,6,FALSE)</f>
        <v>Electrosurgical Units, Monopolar/Bipolar</v>
      </c>
      <c r="FQM111" s="179" t="s">
        <v>428</v>
      </c>
      <c r="FQN111" s="180" t="str">
        <f>VLOOKUP(FQM111,[13]AssetDetails_UEM!$A$3:$AH$1849,6,FALSE)</f>
        <v>Electrosurgical Units, Monopolar/Bipolar</v>
      </c>
      <c r="FQO111" s="179" t="s">
        <v>428</v>
      </c>
      <c r="FQP111" s="180" t="str">
        <f>VLOOKUP(FQO111,[13]AssetDetails_UEM!$A$3:$AH$1849,6,FALSE)</f>
        <v>Electrosurgical Units, Monopolar/Bipolar</v>
      </c>
      <c r="FQQ111" s="179" t="s">
        <v>428</v>
      </c>
      <c r="FQR111" s="180" t="str">
        <f>VLOOKUP(FQQ111,[13]AssetDetails_UEM!$A$3:$AH$1849,6,FALSE)</f>
        <v>Electrosurgical Units, Monopolar/Bipolar</v>
      </c>
      <c r="FQS111" s="179" t="s">
        <v>428</v>
      </c>
      <c r="FQT111" s="180" t="str">
        <f>VLOOKUP(FQS111,[13]AssetDetails_UEM!$A$3:$AH$1849,6,FALSE)</f>
        <v>Electrosurgical Units, Monopolar/Bipolar</v>
      </c>
      <c r="FQU111" s="179" t="s">
        <v>428</v>
      </c>
      <c r="FQV111" s="180" t="str">
        <f>VLOOKUP(FQU111,[13]AssetDetails_UEM!$A$3:$AH$1849,6,FALSE)</f>
        <v>Electrosurgical Units, Monopolar/Bipolar</v>
      </c>
      <c r="FQW111" s="179" t="s">
        <v>428</v>
      </c>
      <c r="FQX111" s="180" t="str">
        <f>VLOOKUP(FQW111,[13]AssetDetails_UEM!$A$3:$AH$1849,6,FALSE)</f>
        <v>Electrosurgical Units, Monopolar/Bipolar</v>
      </c>
      <c r="FQY111" s="179" t="s">
        <v>428</v>
      </c>
      <c r="FQZ111" s="180" t="str">
        <f>VLOOKUP(FQY111,[13]AssetDetails_UEM!$A$3:$AH$1849,6,FALSE)</f>
        <v>Electrosurgical Units, Monopolar/Bipolar</v>
      </c>
      <c r="FRA111" s="179" t="s">
        <v>428</v>
      </c>
      <c r="FRB111" s="180" t="str">
        <f>VLOOKUP(FRA111,[13]AssetDetails_UEM!$A$3:$AH$1849,6,FALSE)</f>
        <v>Electrosurgical Units, Monopolar/Bipolar</v>
      </c>
      <c r="FRC111" s="179" t="s">
        <v>428</v>
      </c>
      <c r="FRD111" s="180" t="str">
        <f>VLOOKUP(FRC111,[13]AssetDetails_UEM!$A$3:$AH$1849,6,FALSE)</f>
        <v>Electrosurgical Units, Monopolar/Bipolar</v>
      </c>
      <c r="FRE111" s="179" t="s">
        <v>428</v>
      </c>
      <c r="FRF111" s="180" t="str">
        <f>VLOOKUP(FRE111,[13]AssetDetails_UEM!$A$3:$AH$1849,6,FALSE)</f>
        <v>Electrosurgical Units, Monopolar/Bipolar</v>
      </c>
      <c r="FRG111" s="179" t="s">
        <v>428</v>
      </c>
      <c r="FRH111" s="180" t="str">
        <f>VLOOKUP(FRG111,[13]AssetDetails_UEM!$A$3:$AH$1849,6,FALSE)</f>
        <v>Electrosurgical Units, Monopolar/Bipolar</v>
      </c>
      <c r="FRI111" s="179" t="s">
        <v>428</v>
      </c>
      <c r="FRJ111" s="180" t="str">
        <f>VLOOKUP(FRI111,[13]AssetDetails_UEM!$A$3:$AH$1849,6,FALSE)</f>
        <v>Electrosurgical Units, Monopolar/Bipolar</v>
      </c>
      <c r="FRK111" s="179" t="s">
        <v>428</v>
      </c>
      <c r="FRL111" s="180" t="str">
        <f>VLOOKUP(FRK111,[13]AssetDetails_UEM!$A$3:$AH$1849,6,FALSE)</f>
        <v>Electrosurgical Units, Monopolar/Bipolar</v>
      </c>
      <c r="FRM111" s="179" t="s">
        <v>428</v>
      </c>
      <c r="FRN111" s="180" t="str">
        <f>VLOOKUP(FRM111,[13]AssetDetails_UEM!$A$3:$AH$1849,6,FALSE)</f>
        <v>Electrosurgical Units, Monopolar/Bipolar</v>
      </c>
      <c r="FRO111" s="179" t="s">
        <v>428</v>
      </c>
      <c r="FRP111" s="180" t="str">
        <f>VLOOKUP(FRO111,[13]AssetDetails_UEM!$A$3:$AH$1849,6,FALSE)</f>
        <v>Electrosurgical Units, Monopolar/Bipolar</v>
      </c>
      <c r="FRQ111" s="179" t="s">
        <v>428</v>
      </c>
      <c r="FRR111" s="180" t="str">
        <f>VLOOKUP(FRQ111,[13]AssetDetails_UEM!$A$3:$AH$1849,6,FALSE)</f>
        <v>Electrosurgical Units, Monopolar/Bipolar</v>
      </c>
      <c r="FRS111" s="179" t="s">
        <v>428</v>
      </c>
      <c r="FRT111" s="180" t="str">
        <f>VLOOKUP(FRS111,[13]AssetDetails_UEM!$A$3:$AH$1849,6,FALSE)</f>
        <v>Electrosurgical Units, Monopolar/Bipolar</v>
      </c>
      <c r="FRU111" s="179" t="s">
        <v>428</v>
      </c>
      <c r="FRV111" s="180" t="str">
        <f>VLOOKUP(FRU111,[13]AssetDetails_UEM!$A$3:$AH$1849,6,FALSE)</f>
        <v>Electrosurgical Units, Monopolar/Bipolar</v>
      </c>
      <c r="FRW111" s="179" t="s">
        <v>428</v>
      </c>
      <c r="FRX111" s="180" t="str">
        <f>VLOOKUP(FRW111,[13]AssetDetails_UEM!$A$3:$AH$1849,6,FALSE)</f>
        <v>Electrosurgical Units, Monopolar/Bipolar</v>
      </c>
      <c r="FRY111" s="179" t="s">
        <v>428</v>
      </c>
      <c r="FRZ111" s="180" t="str">
        <f>VLOOKUP(FRY111,[13]AssetDetails_UEM!$A$3:$AH$1849,6,FALSE)</f>
        <v>Electrosurgical Units, Monopolar/Bipolar</v>
      </c>
      <c r="FSA111" s="179" t="s">
        <v>428</v>
      </c>
      <c r="FSB111" s="180" t="str">
        <f>VLOOKUP(FSA111,[13]AssetDetails_UEM!$A$3:$AH$1849,6,FALSE)</f>
        <v>Electrosurgical Units, Monopolar/Bipolar</v>
      </c>
      <c r="FSC111" s="179" t="s">
        <v>428</v>
      </c>
      <c r="FSD111" s="180" t="str">
        <f>VLOOKUP(FSC111,[13]AssetDetails_UEM!$A$3:$AH$1849,6,FALSE)</f>
        <v>Electrosurgical Units, Monopolar/Bipolar</v>
      </c>
      <c r="FSE111" s="179" t="s">
        <v>428</v>
      </c>
      <c r="FSF111" s="180" t="str">
        <f>VLOOKUP(FSE111,[13]AssetDetails_UEM!$A$3:$AH$1849,6,FALSE)</f>
        <v>Electrosurgical Units, Monopolar/Bipolar</v>
      </c>
      <c r="FSG111" s="179" t="s">
        <v>428</v>
      </c>
      <c r="FSH111" s="180" t="str">
        <f>VLOOKUP(FSG111,[13]AssetDetails_UEM!$A$3:$AH$1849,6,FALSE)</f>
        <v>Electrosurgical Units, Monopolar/Bipolar</v>
      </c>
      <c r="FSI111" s="179" t="s">
        <v>428</v>
      </c>
      <c r="FSJ111" s="180" t="str">
        <f>VLOOKUP(FSI111,[13]AssetDetails_UEM!$A$3:$AH$1849,6,FALSE)</f>
        <v>Electrosurgical Units, Monopolar/Bipolar</v>
      </c>
      <c r="FSK111" s="179" t="s">
        <v>428</v>
      </c>
      <c r="FSL111" s="180" t="str">
        <f>VLOOKUP(FSK111,[13]AssetDetails_UEM!$A$3:$AH$1849,6,FALSE)</f>
        <v>Electrosurgical Units, Monopolar/Bipolar</v>
      </c>
      <c r="FSM111" s="179" t="s">
        <v>428</v>
      </c>
      <c r="FSN111" s="180" t="str">
        <f>VLOOKUP(FSM111,[13]AssetDetails_UEM!$A$3:$AH$1849,6,FALSE)</f>
        <v>Electrosurgical Units, Monopolar/Bipolar</v>
      </c>
      <c r="FSO111" s="179" t="s">
        <v>428</v>
      </c>
      <c r="FSP111" s="180" t="str">
        <f>VLOOKUP(FSO111,[13]AssetDetails_UEM!$A$3:$AH$1849,6,FALSE)</f>
        <v>Electrosurgical Units, Monopolar/Bipolar</v>
      </c>
      <c r="FSQ111" s="179" t="s">
        <v>428</v>
      </c>
      <c r="FSR111" s="180" t="str">
        <f>VLOOKUP(FSQ111,[13]AssetDetails_UEM!$A$3:$AH$1849,6,FALSE)</f>
        <v>Electrosurgical Units, Monopolar/Bipolar</v>
      </c>
      <c r="FSS111" s="179" t="s">
        <v>428</v>
      </c>
      <c r="FST111" s="180" t="str">
        <f>VLOOKUP(FSS111,[13]AssetDetails_UEM!$A$3:$AH$1849,6,FALSE)</f>
        <v>Electrosurgical Units, Monopolar/Bipolar</v>
      </c>
      <c r="FSU111" s="179" t="s">
        <v>428</v>
      </c>
      <c r="FSV111" s="180" t="str">
        <f>VLOOKUP(FSU111,[13]AssetDetails_UEM!$A$3:$AH$1849,6,FALSE)</f>
        <v>Electrosurgical Units, Monopolar/Bipolar</v>
      </c>
      <c r="FSW111" s="179" t="s">
        <v>428</v>
      </c>
      <c r="FSX111" s="180" t="str">
        <f>VLOOKUP(FSW111,[13]AssetDetails_UEM!$A$3:$AH$1849,6,FALSE)</f>
        <v>Electrosurgical Units, Monopolar/Bipolar</v>
      </c>
      <c r="FSY111" s="179" t="s">
        <v>428</v>
      </c>
      <c r="FSZ111" s="180" t="str">
        <f>VLOOKUP(FSY111,[13]AssetDetails_UEM!$A$3:$AH$1849,6,FALSE)</f>
        <v>Electrosurgical Units, Monopolar/Bipolar</v>
      </c>
      <c r="FTA111" s="179" t="s">
        <v>428</v>
      </c>
      <c r="FTB111" s="180" t="str">
        <f>VLOOKUP(FTA111,[13]AssetDetails_UEM!$A$3:$AH$1849,6,FALSE)</f>
        <v>Electrosurgical Units, Monopolar/Bipolar</v>
      </c>
      <c r="FTC111" s="179" t="s">
        <v>428</v>
      </c>
      <c r="FTD111" s="180" t="str">
        <f>VLOOKUP(FTC111,[13]AssetDetails_UEM!$A$3:$AH$1849,6,FALSE)</f>
        <v>Electrosurgical Units, Monopolar/Bipolar</v>
      </c>
      <c r="FTE111" s="179" t="s">
        <v>428</v>
      </c>
      <c r="FTF111" s="180" t="str">
        <f>VLOOKUP(FTE111,[13]AssetDetails_UEM!$A$3:$AH$1849,6,FALSE)</f>
        <v>Electrosurgical Units, Monopolar/Bipolar</v>
      </c>
      <c r="FTG111" s="179" t="s">
        <v>428</v>
      </c>
      <c r="FTH111" s="180" t="str">
        <f>VLOOKUP(FTG111,[13]AssetDetails_UEM!$A$3:$AH$1849,6,FALSE)</f>
        <v>Electrosurgical Units, Monopolar/Bipolar</v>
      </c>
      <c r="FTI111" s="179" t="s">
        <v>428</v>
      </c>
      <c r="FTJ111" s="180" t="str">
        <f>VLOOKUP(FTI111,[13]AssetDetails_UEM!$A$3:$AH$1849,6,FALSE)</f>
        <v>Electrosurgical Units, Monopolar/Bipolar</v>
      </c>
      <c r="FTK111" s="179" t="s">
        <v>428</v>
      </c>
      <c r="FTL111" s="180" t="str">
        <f>VLOOKUP(FTK111,[13]AssetDetails_UEM!$A$3:$AH$1849,6,FALSE)</f>
        <v>Electrosurgical Units, Monopolar/Bipolar</v>
      </c>
      <c r="FTM111" s="179" t="s">
        <v>428</v>
      </c>
      <c r="FTN111" s="180" t="str">
        <f>VLOOKUP(FTM111,[13]AssetDetails_UEM!$A$3:$AH$1849,6,FALSE)</f>
        <v>Electrosurgical Units, Monopolar/Bipolar</v>
      </c>
      <c r="FTO111" s="179" t="s">
        <v>428</v>
      </c>
      <c r="FTP111" s="180" t="str">
        <f>VLOOKUP(FTO111,[13]AssetDetails_UEM!$A$3:$AH$1849,6,FALSE)</f>
        <v>Electrosurgical Units, Monopolar/Bipolar</v>
      </c>
      <c r="FTQ111" s="179" t="s">
        <v>428</v>
      </c>
      <c r="FTR111" s="180" t="str">
        <f>VLOOKUP(FTQ111,[13]AssetDetails_UEM!$A$3:$AH$1849,6,FALSE)</f>
        <v>Electrosurgical Units, Monopolar/Bipolar</v>
      </c>
      <c r="FTS111" s="179" t="s">
        <v>428</v>
      </c>
      <c r="FTT111" s="180" t="str">
        <f>VLOOKUP(FTS111,[13]AssetDetails_UEM!$A$3:$AH$1849,6,FALSE)</f>
        <v>Electrosurgical Units, Monopolar/Bipolar</v>
      </c>
      <c r="FTU111" s="179" t="s">
        <v>428</v>
      </c>
      <c r="FTV111" s="180" t="str">
        <f>VLOOKUP(FTU111,[13]AssetDetails_UEM!$A$3:$AH$1849,6,FALSE)</f>
        <v>Electrosurgical Units, Monopolar/Bipolar</v>
      </c>
      <c r="FTW111" s="179" t="s">
        <v>428</v>
      </c>
      <c r="FTX111" s="180" t="str">
        <f>VLOOKUP(FTW111,[13]AssetDetails_UEM!$A$3:$AH$1849,6,FALSE)</f>
        <v>Electrosurgical Units, Monopolar/Bipolar</v>
      </c>
      <c r="FTY111" s="179" t="s">
        <v>428</v>
      </c>
      <c r="FTZ111" s="180" t="str">
        <f>VLOOKUP(FTY111,[13]AssetDetails_UEM!$A$3:$AH$1849,6,FALSE)</f>
        <v>Electrosurgical Units, Monopolar/Bipolar</v>
      </c>
      <c r="FUA111" s="179" t="s">
        <v>428</v>
      </c>
      <c r="FUB111" s="180" t="str">
        <f>VLOOKUP(FUA111,[13]AssetDetails_UEM!$A$3:$AH$1849,6,FALSE)</f>
        <v>Electrosurgical Units, Monopolar/Bipolar</v>
      </c>
      <c r="FUC111" s="179" t="s">
        <v>428</v>
      </c>
      <c r="FUD111" s="180" t="str">
        <f>VLOOKUP(FUC111,[13]AssetDetails_UEM!$A$3:$AH$1849,6,FALSE)</f>
        <v>Electrosurgical Units, Monopolar/Bipolar</v>
      </c>
      <c r="FUE111" s="179" t="s">
        <v>428</v>
      </c>
      <c r="FUF111" s="180" t="str">
        <f>VLOOKUP(FUE111,[13]AssetDetails_UEM!$A$3:$AH$1849,6,FALSE)</f>
        <v>Electrosurgical Units, Monopolar/Bipolar</v>
      </c>
      <c r="FUG111" s="179" t="s">
        <v>428</v>
      </c>
      <c r="FUH111" s="180" t="str">
        <f>VLOOKUP(FUG111,[13]AssetDetails_UEM!$A$3:$AH$1849,6,FALSE)</f>
        <v>Electrosurgical Units, Monopolar/Bipolar</v>
      </c>
      <c r="FUI111" s="179" t="s">
        <v>428</v>
      </c>
      <c r="FUJ111" s="180" t="str">
        <f>VLOOKUP(FUI111,[13]AssetDetails_UEM!$A$3:$AH$1849,6,FALSE)</f>
        <v>Electrosurgical Units, Monopolar/Bipolar</v>
      </c>
      <c r="FUK111" s="179" t="s">
        <v>428</v>
      </c>
      <c r="FUL111" s="180" t="str">
        <f>VLOOKUP(FUK111,[13]AssetDetails_UEM!$A$3:$AH$1849,6,FALSE)</f>
        <v>Electrosurgical Units, Monopolar/Bipolar</v>
      </c>
      <c r="FUM111" s="179" t="s">
        <v>428</v>
      </c>
      <c r="FUN111" s="180" t="str">
        <f>VLOOKUP(FUM111,[13]AssetDetails_UEM!$A$3:$AH$1849,6,FALSE)</f>
        <v>Electrosurgical Units, Monopolar/Bipolar</v>
      </c>
      <c r="FUO111" s="179" t="s">
        <v>428</v>
      </c>
      <c r="FUP111" s="180" t="str">
        <f>VLOOKUP(FUO111,[13]AssetDetails_UEM!$A$3:$AH$1849,6,FALSE)</f>
        <v>Electrosurgical Units, Monopolar/Bipolar</v>
      </c>
      <c r="FUQ111" s="179" t="s">
        <v>428</v>
      </c>
      <c r="FUR111" s="180" t="str">
        <f>VLOOKUP(FUQ111,[13]AssetDetails_UEM!$A$3:$AH$1849,6,FALSE)</f>
        <v>Electrosurgical Units, Monopolar/Bipolar</v>
      </c>
      <c r="FUS111" s="179" t="s">
        <v>428</v>
      </c>
      <c r="FUT111" s="180" t="str">
        <f>VLOOKUP(FUS111,[13]AssetDetails_UEM!$A$3:$AH$1849,6,FALSE)</f>
        <v>Electrosurgical Units, Monopolar/Bipolar</v>
      </c>
      <c r="FUU111" s="179" t="s">
        <v>428</v>
      </c>
      <c r="FUV111" s="180" t="str">
        <f>VLOOKUP(FUU111,[13]AssetDetails_UEM!$A$3:$AH$1849,6,FALSE)</f>
        <v>Electrosurgical Units, Monopolar/Bipolar</v>
      </c>
      <c r="FUW111" s="179" t="s">
        <v>428</v>
      </c>
      <c r="FUX111" s="180" t="str">
        <f>VLOOKUP(FUW111,[13]AssetDetails_UEM!$A$3:$AH$1849,6,FALSE)</f>
        <v>Electrosurgical Units, Monopolar/Bipolar</v>
      </c>
      <c r="FUY111" s="179" t="s">
        <v>428</v>
      </c>
      <c r="FUZ111" s="180" t="str">
        <f>VLOOKUP(FUY111,[13]AssetDetails_UEM!$A$3:$AH$1849,6,FALSE)</f>
        <v>Electrosurgical Units, Monopolar/Bipolar</v>
      </c>
      <c r="FVA111" s="179" t="s">
        <v>428</v>
      </c>
      <c r="FVB111" s="180" t="str">
        <f>VLOOKUP(FVA111,[13]AssetDetails_UEM!$A$3:$AH$1849,6,FALSE)</f>
        <v>Electrosurgical Units, Monopolar/Bipolar</v>
      </c>
      <c r="FVC111" s="179" t="s">
        <v>428</v>
      </c>
      <c r="FVD111" s="180" t="str">
        <f>VLOOKUP(FVC111,[13]AssetDetails_UEM!$A$3:$AH$1849,6,FALSE)</f>
        <v>Electrosurgical Units, Monopolar/Bipolar</v>
      </c>
      <c r="FVE111" s="179" t="s">
        <v>428</v>
      </c>
      <c r="FVF111" s="180" t="str">
        <f>VLOOKUP(FVE111,[13]AssetDetails_UEM!$A$3:$AH$1849,6,FALSE)</f>
        <v>Electrosurgical Units, Monopolar/Bipolar</v>
      </c>
      <c r="FVG111" s="179" t="s">
        <v>428</v>
      </c>
      <c r="FVH111" s="180" t="str">
        <f>VLOOKUP(FVG111,[13]AssetDetails_UEM!$A$3:$AH$1849,6,FALSE)</f>
        <v>Electrosurgical Units, Monopolar/Bipolar</v>
      </c>
      <c r="FVI111" s="179" t="s">
        <v>428</v>
      </c>
      <c r="FVJ111" s="180" t="str">
        <f>VLOOKUP(FVI111,[13]AssetDetails_UEM!$A$3:$AH$1849,6,FALSE)</f>
        <v>Electrosurgical Units, Monopolar/Bipolar</v>
      </c>
      <c r="FVK111" s="179" t="s">
        <v>428</v>
      </c>
      <c r="FVL111" s="180" t="str">
        <f>VLOOKUP(FVK111,[13]AssetDetails_UEM!$A$3:$AH$1849,6,FALSE)</f>
        <v>Electrosurgical Units, Monopolar/Bipolar</v>
      </c>
      <c r="FVM111" s="179" t="s">
        <v>428</v>
      </c>
      <c r="FVN111" s="180" t="str">
        <f>VLOOKUP(FVM111,[13]AssetDetails_UEM!$A$3:$AH$1849,6,FALSE)</f>
        <v>Electrosurgical Units, Monopolar/Bipolar</v>
      </c>
      <c r="FVO111" s="179" t="s">
        <v>428</v>
      </c>
      <c r="FVP111" s="180" t="str">
        <f>VLOOKUP(FVO111,[13]AssetDetails_UEM!$A$3:$AH$1849,6,FALSE)</f>
        <v>Electrosurgical Units, Monopolar/Bipolar</v>
      </c>
      <c r="FVQ111" s="179" t="s">
        <v>428</v>
      </c>
      <c r="FVR111" s="180" t="str">
        <f>VLOOKUP(FVQ111,[13]AssetDetails_UEM!$A$3:$AH$1849,6,FALSE)</f>
        <v>Electrosurgical Units, Monopolar/Bipolar</v>
      </c>
      <c r="FVS111" s="179" t="s">
        <v>428</v>
      </c>
      <c r="FVT111" s="180" t="str">
        <f>VLOOKUP(FVS111,[13]AssetDetails_UEM!$A$3:$AH$1849,6,FALSE)</f>
        <v>Electrosurgical Units, Monopolar/Bipolar</v>
      </c>
      <c r="FVU111" s="179" t="s">
        <v>428</v>
      </c>
      <c r="FVV111" s="180" t="str">
        <f>VLOOKUP(FVU111,[13]AssetDetails_UEM!$A$3:$AH$1849,6,FALSE)</f>
        <v>Electrosurgical Units, Monopolar/Bipolar</v>
      </c>
      <c r="FVW111" s="179" t="s">
        <v>428</v>
      </c>
      <c r="FVX111" s="180" t="str">
        <f>VLOOKUP(FVW111,[13]AssetDetails_UEM!$A$3:$AH$1849,6,FALSE)</f>
        <v>Electrosurgical Units, Monopolar/Bipolar</v>
      </c>
      <c r="FVY111" s="179" t="s">
        <v>428</v>
      </c>
      <c r="FVZ111" s="180" t="str">
        <f>VLOOKUP(FVY111,[13]AssetDetails_UEM!$A$3:$AH$1849,6,FALSE)</f>
        <v>Electrosurgical Units, Monopolar/Bipolar</v>
      </c>
      <c r="FWA111" s="179" t="s">
        <v>428</v>
      </c>
      <c r="FWB111" s="180" t="str">
        <f>VLOOKUP(FWA111,[13]AssetDetails_UEM!$A$3:$AH$1849,6,FALSE)</f>
        <v>Electrosurgical Units, Monopolar/Bipolar</v>
      </c>
      <c r="FWC111" s="179" t="s">
        <v>428</v>
      </c>
      <c r="FWD111" s="180" t="str">
        <f>VLOOKUP(FWC111,[13]AssetDetails_UEM!$A$3:$AH$1849,6,FALSE)</f>
        <v>Electrosurgical Units, Monopolar/Bipolar</v>
      </c>
      <c r="FWE111" s="179" t="s">
        <v>428</v>
      </c>
      <c r="FWF111" s="180" t="str">
        <f>VLOOKUP(FWE111,[13]AssetDetails_UEM!$A$3:$AH$1849,6,FALSE)</f>
        <v>Electrosurgical Units, Monopolar/Bipolar</v>
      </c>
      <c r="FWG111" s="179" t="s">
        <v>428</v>
      </c>
      <c r="FWH111" s="180" t="str">
        <f>VLOOKUP(FWG111,[13]AssetDetails_UEM!$A$3:$AH$1849,6,FALSE)</f>
        <v>Electrosurgical Units, Monopolar/Bipolar</v>
      </c>
      <c r="FWI111" s="179" t="s">
        <v>428</v>
      </c>
      <c r="FWJ111" s="180" t="str">
        <f>VLOOKUP(FWI111,[13]AssetDetails_UEM!$A$3:$AH$1849,6,FALSE)</f>
        <v>Electrosurgical Units, Monopolar/Bipolar</v>
      </c>
      <c r="FWK111" s="179" t="s">
        <v>428</v>
      </c>
      <c r="FWL111" s="180" t="str">
        <f>VLOOKUP(FWK111,[13]AssetDetails_UEM!$A$3:$AH$1849,6,FALSE)</f>
        <v>Electrosurgical Units, Monopolar/Bipolar</v>
      </c>
      <c r="FWM111" s="179" t="s">
        <v>428</v>
      </c>
      <c r="FWN111" s="180" t="str">
        <f>VLOOKUP(FWM111,[13]AssetDetails_UEM!$A$3:$AH$1849,6,FALSE)</f>
        <v>Electrosurgical Units, Monopolar/Bipolar</v>
      </c>
      <c r="FWO111" s="179" t="s">
        <v>428</v>
      </c>
      <c r="FWP111" s="180" t="str">
        <f>VLOOKUP(FWO111,[13]AssetDetails_UEM!$A$3:$AH$1849,6,FALSE)</f>
        <v>Electrosurgical Units, Monopolar/Bipolar</v>
      </c>
      <c r="FWQ111" s="179" t="s">
        <v>428</v>
      </c>
      <c r="FWR111" s="180" t="str">
        <f>VLOOKUP(FWQ111,[13]AssetDetails_UEM!$A$3:$AH$1849,6,FALSE)</f>
        <v>Electrosurgical Units, Monopolar/Bipolar</v>
      </c>
      <c r="FWS111" s="179" t="s">
        <v>428</v>
      </c>
      <c r="FWT111" s="180" t="str">
        <f>VLOOKUP(FWS111,[13]AssetDetails_UEM!$A$3:$AH$1849,6,FALSE)</f>
        <v>Electrosurgical Units, Monopolar/Bipolar</v>
      </c>
      <c r="FWU111" s="179" t="s">
        <v>428</v>
      </c>
      <c r="FWV111" s="180" t="str">
        <f>VLOOKUP(FWU111,[13]AssetDetails_UEM!$A$3:$AH$1849,6,FALSE)</f>
        <v>Electrosurgical Units, Monopolar/Bipolar</v>
      </c>
      <c r="FWW111" s="179" t="s">
        <v>428</v>
      </c>
      <c r="FWX111" s="180" t="str">
        <f>VLOOKUP(FWW111,[13]AssetDetails_UEM!$A$3:$AH$1849,6,FALSE)</f>
        <v>Electrosurgical Units, Monopolar/Bipolar</v>
      </c>
      <c r="FWY111" s="179" t="s">
        <v>428</v>
      </c>
      <c r="FWZ111" s="180" t="str">
        <f>VLOOKUP(FWY111,[13]AssetDetails_UEM!$A$3:$AH$1849,6,FALSE)</f>
        <v>Electrosurgical Units, Monopolar/Bipolar</v>
      </c>
      <c r="FXA111" s="179" t="s">
        <v>428</v>
      </c>
      <c r="FXB111" s="180" t="str">
        <f>VLOOKUP(FXA111,[13]AssetDetails_UEM!$A$3:$AH$1849,6,FALSE)</f>
        <v>Electrosurgical Units, Monopolar/Bipolar</v>
      </c>
      <c r="FXC111" s="179" t="s">
        <v>428</v>
      </c>
      <c r="FXD111" s="180" t="str">
        <f>VLOOKUP(FXC111,[13]AssetDetails_UEM!$A$3:$AH$1849,6,FALSE)</f>
        <v>Electrosurgical Units, Monopolar/Bipolar</v>
      </c>
      <c r="FXE111" s="179" t="s">
        <v>428</v>
      </c>
      <c r="FXF111" s="180" t="str">
        <f>VLOOKUP(FXE111,[13]AssetDetails_UEM!$A$3:$AH$1849,6,FALSE)</f>
        <v>Electrosurgical Units, Monopolar/Bipolar</v>
      </c>
      <c r="FXG111" s="179" t="s">
        <v>428</v>
      </c>
      <c r="FXH111" s="180" t="str">
        <f>VLOOKUP(FXG111,[13]AssetDetails_UEM!$A$3:$AH$1849,6,FALSE)</f>
        <v>Electrosurgical Units, Monopolar/Bipolar</v>
      </c>
      <c r="FXI111" s="179" t="s">
        <v>428</v>
      </c>
      <c r="FXJ111" s="180" t="str">
        <f>VLOOKUP(FXI111,[13]AssetDetails_UEM!$A$3:$AH$1849,6,FALSE)</f>
        <v>Electrosurgical Units, Monopolar/Bipolar</v>
      </c>
      <c r="FXK111" s="179" t="s">
        <v>428</v>
      </c>
      <c r="FXL111" s="180" t="str">
        <f>VLOOKUP(FXK111,[13]AssetDetails_UEM!$A$3:$AH$1849,6,FALSE)</f>
        <v>Electrosurgical Units, Monopolar/Bipolar</v>
      </c>
      <c r="FXM111" s="179" t="s">
        <v>428</v>
      </c>
      <c r="FXN111" s="180" t="str">
        <f>VLOOKUP(FXM111,[13]AssetDetails_UEM!$A$3:$AH$1849,6,FALSE)</f>
        <v>Electrosurgical Units, Monopolar/Bipolar</v>
      </c>
      <c r="FXO111" s="179" t="s">
        <v>428</v>
      </c>
      <c r="FXP111" s="180" t="str">
        <f>VLOOKUP(FXO111,[13]AssetDetails_UEM!$A$3:$AH$1849,6,FALSE)</f>
        <v>Electrosurgical Units, Monopolar/Bipolar</v>
      </c>
      <c r="FXQ111" s="179" t="s">
        <v>428</v>
      </c>
      <c r="FXR111" s="180" t="str">
        <f>VLOOKUP(FXQ111,[13]AssetDetails_UEM!$A$3:$AH$1849,6,FALSE)</f>
        <v>Electrosurgical Units, Monopolar/Bipolar</v>
      </c>
      <c r="FXS111" s="179" t="s">
        <v>428</v>
      </c>
      <c r="FXT111" s="180" t="str">
        <f>VLOOKUP(FXS111,[13]AssetDetails_UEM!$A$3:$AH$1849,6,FALSE)</f>
        <v>Electrosurgical Units, Monopolar/Bipolar</v>
      </c>
      <c r="FXU111" s="179" t="s">
        <v>428</v>
      </c>
      <c r="FXV111" s="180" t="str">
        <f>VLOOKUP(FXU111,[13]AssetDetails_UEM!$A$3:$AH$1849,6,FALSE)</f>
        <v>Electrosurgical Units, Monopolar/Bipolar</v>
      </c>
      <c r="FXW111" s="179" t="s">
        <v>428</v>
      </c>
      <c r="FXX111" s="180" t="str">
        <f>VLOOKUP(FXW111,[13]AssetDetails_UEM!$A$3:$AH$1849,6,FALSE)</f>
        <v>Electrosurgical Units, Monopolar/Bipolar</v>
      </c>
      <c r="FXY111" s="179" t="s">
        <v>428</v>
      </c>
      <c r="FXZ111" s="180" t="str">
        <f>VLOOKUP(FXY111,[13]AssetDetails_UEM!$A$3:$AH$1849,6,FALSE)</f>
        <v>Electrosurgical Units, Monopolar/Bipolar</v>
      </c>
      <c r="FYA111" s="179" t="s">
        <v>428</v>
      </c>
      <c r="FYB111" s="180" t="str">
        <f>VLOOKUP(FYA111,[13]AssetDetails_UEM!$A$3:$AH$1849,6,FALSE)</f>
        <v>Electrosurgical Units, Monopolar/Bipolar</v>
      </c>
      <c r="FYC111" s="179" t="s">
        <v>428</v>
      </c>
      <c r="FYD111" s="180" t="str">
        <f>VLOOKUP(FYC111,[13]AssetDetails_UEM!$A$3:$AH$1849,6,FALSE)</f>
        <v>Electrosurgical Units, Monopolar/Bipolar</v>
      </c>
      <c r="FYE111" s="179" t="s">
        <v>428</v>
      </c>
      <c r="FYF111" s="180" t="str">
        <f>VLOOKUP(FYE111,[13]AssetDetails_UEM!$A$3:$AH$1849,6,FALSE)</f>
        <v>Electrosurgical Units, Monopolar/Bipolar</v>
      </c>
      <c r="FYG111" s="179" t="s">
        <v>428</v>
      </c>
      <c r="FYH111" s="180" t="str">
        <f>VLOOKUP(FYG111,[13]AssetDetails_UEM!$A$3:$AH$1849,6,FALSE)</f>
        <v>Electrosurgical Units, Monopolar/Bipolar</v>
      </c>
      <c r="FYI111" s="179" t="s">
        <v>428</v>
      </c>
      <c r="FYJ111" s="180" t="str">
        <f>VLOOKUP(FYI111,[13]AssetDetails_UEM!$A$3:$AH$1849,6,FALSE)</f>
        <v>Electrosurgical Units, Monopolar/Bipolar</v>
      </c>
      <c r="FYK111" s="179" t="s">
        <v>428</v>
      </c>
      <c r="FYL111" s="180" t="str">
        <f>VLOOKUP(FYK111,[13]AssetDetails_UEM!$A$3:$AH$1849,6,FALSE)</f>
        <v>Electrosurgical Units, Monopolar/Bipolar</v>
      </c>
      <c r="FYM111" s="179" t="s">
        <v>428</v>
      </c>
      <c r="FYN111" s="180" t="str">
        <f>VLOOKUP(FYM111,[13]AssetDetails_UEM!$A$3:$AH$1849,6,FALSE)</f>
        <v>Electrosurgical Units, Monopolar/Bipolar</v>
      </c>
      <c r="FYO111" s="179" t="s">
        <v>428</v>
      </c>
      <c r="FYP111" s="180" t="str">
        <f>VLOOKUP(FYO111,[13]AssetDetails_UEM!$A$3:$AH$1849,6,FALSE)</f>
        <v>Electrosurgical Units, Monopolar/Bipolar</v>
      </c>
      <c r="FYQ111" s="179" t="s">
        <v>428</v>
      </c>
      <c r="FYR111" s="180" t="str">
        <f>VLOOKUP(FYQ111,[13]AssetDetails_UEM!$A$3:$AH$1849,6,FALSE)</f>
        <v>Electrosurgical Units, Monopolar/Bipolar</v>
      </c>
      <c r="FYS111" s="179" t="s">
        <v>428</v>
      </c>
      <c r="FYT111" s="180" t="str">
        <f>VLOOKUP(FYS111,[13]AssetDetails_UEM!$A$3:$AH$1849,6,FALSE)</f>
        <v>Electrosurgical Units, Monopolar/Bipolar</v>
      </c>
      <c r="FYU111" s="179" t="s">
        <v>428</v>
      </c>
      <c r="FYV111" s="180" t="str">
        <f>VLOOKUP(FYU111,[13]AssetDetails_UEM!$A$3:$AH$1849,6,FALSE)</f>
        <v>Electrosurgical Units, Monopolar/Bipolar</v>
      </c>
      <c r="FYW111" s="179" t="s">
        <v>428</v>
      </c>
      <c r="FYX111" s="180" t="str">
        <f>VLOOKUP(FYW111,[13]AssetDetails_UEM!$A$3:$AH$1849,6,FALSE)</f>
        <v>Electrosurgical Units, Monopolar/Bipolar</v>
      </c>
      <c r="FYY111" s="179" t="s">
        <v>428</v>
      </c>
      <c r="FYZ111" s="180" t="str">
        <f>VLOOKUP(FYY111,[13]AssetDetails_UEM!$A$3:$AH$1849,6,FALSE)</f>
        <v>Electrosurgical Units, Monopolar/Bipolar</v>
      </c>
      <c r="FZA111" s="179" t="s">
        <v>428</v>
      </c>
      <c r="FZB111" s="180" t="str">
        <f>VLOOKUP(FZA111,[13]AssetDetails_UEM!$A$3:$AH$1849,6,FALSE)</f>
        <v>Electrosurgical Units, Monopolar/Bipolar</v>
      </c>
      <c r="FZC111" s="179" t="s">
        <v>428</v>
      </c>
      <c r="FZD111" s="180" t="str">
        <f>VLOOKUP(FZC111,[13]AssetDetails_UEM!$A$3:$AH$1849,6,FALSE)</f>
        <v>Electrosurgical Units, Monopolar/Bipolar</v>
      </c>
      <c r="FZE111" s="179" t="s">
        <v>428</v>
      </c>
      <c r="FZF111" s="180" t="str">
        <f>VLOOKUP(FZE111,[13]AssetDetails_UEM!$A$3:$AH$1849,6,FALSE)</f>
        <v>Electrosurgical Units, Monopolar/Bipolar</v>
      </c>
      <c r="FZG111" s="179" t="s">
        <v>428</v>
      </c>
      <c r="FZH111" s="180" t="str">
        <f>VLOOKUP(FZG111,[13]AssetDetails_UEM!$A$3:$AH$1849,6,FALSE)</f>
        <v>Electrosurgical Units, Monopolar/Bipolar</v>
      </c>
      <c r="FZI111" s="179" t="s">
        <v>428</v>
      </c>
      <c r="FZJ111" s="180" t="str">
        <f>VLOOKUP(FZI111,[13]AssetDetails_UEM!$A$3:$AH$1849,6,FALSE)</f>
        <v>Electrosurgical Units, Monopolar/Bipolar</v>
      </c>
      <c r="FZK111" s="179" t="s">
        <v>428</v>
      </c>
      <c r="FZL111" s="180" t="str">
        <f>VLOOKUP(FZK111,[13]AssetDetails_UEM!$A$3:$AH$1849,6,FALSE)</f>
        <v>Electrosurgical Units, Monopolar/Bipolar</v>
      </c>
      <c r="FZM111" s="179" t="s">
        <v>428</v>
      </c>
      <c r="FZN111" s="180" t="str">
        <f>VLOOKUP(FZM111,[13]AssetDetails_UEM!$A$3:$AH$1849,6,FALSE)</f>
        <v>Electrosurgical Units, Monopolar/Bipolar</v>
      </c>
      <c r="FZO111" s="179" t="s">
        <v>428</v>
      </c>
      <c r="FZP111" s="180" t="str">
        <f>VLOOKUP(FZO111,[13]AssetDetails_UEM!$A$3:$AH$1849,6,FALSE)</f>
        <v>Electrosurgical Units, Monopolar/Bipolar</v>
      </c>
      <c r="FZQ111" s="179" t="s">
        <v>428</v>
      </c>
      <c r="FZR111" s="180" t="str">
        <f>VLOOKUP(FZQ111,[13]AssetDetails_UEM!$A$3:$AH$1849,6,FALSE)</f>
        <v>Electrosurgical Units, Monopolar/Bipolar</v>
      </c>
      <c r="FZS111" s="179" t="s">
        <v>428</v>
      </c>
      <c r="FZT111" s="180" t="str">
        <f>VLOOKUP(FZS111,[13]AssetDetails_UEM!$A$3:$AH$1849,6,FALSE)</f>
        <v>Electrosurgical Units, Monopolar/Bipolar</v>
      </c>
      <c r="FZU111" s="179" t="s">
        <v>428</v>
      </c>
      <c r="FZV111" s="180" t="str">
        <f>VLOOKUP(FZU111,[13]AssetDetails_UEM!$A$3:$AH$1849,6,FALSE)</f>
        <v>Electrosurgical Units, Monopolar/Bipolar</v>
      </c>
      <c r="FZW111" s="179" t="s">
        <v>428</v>
      </c>
      <c r="FZX111" s="180" t="str">
        <f>VLOOKUP(FZW111,[13]AssetDetails_UEM!$A$3:$AH$1849,6,FALSE)</f>
        <v>Electrosurgical Units, Monopolar/Bipolar</v>
      </c>
      <c r="FZY111" s="179" t="s">
        <v>428</v>
      </c>
      <c r="FZZ111" s="180" t="str">
        <f>VLOOKUP(FZY111,[13]AssetDetails_UEM!$A$3:$AH$1849,6,FALSE)</f>
        <v>Electrosurgical Units, Monopolar/Bipolar</v>
      </c>
      <c r="GAA111" s="179" t="s">
        <v>428</v>
      </c>
      <c r="GAB111" s="180" t="str">
        <f>VLOOKUP(GAA111,[13]AssetDetails_UEM!$A$3:$AH$1849,6,FALSE)</f>
        <v>Electrosurgical Units, Monopolar/Bipolar</v>
      </c>
      <c r="GAC111" s="179" t="s">
        <v>428</v>
      </c>
      <c r="GAD111" s="180" t="str">
        <f>VLOOKUP(GAC111,[13]AssetDetails_UEM!$A$3:$AH$1849,6,FALSE)</f>
        <v>Electrosurgical Units, Monopolar/Bipolar</v>
      </c>
      <c r="GAE111" s="179" t="s">
        <v>428</v>
      </c>
      <c r="GAF111" s="180" t="str">
        <f>VLOOKUP(GAE111,[13]AssetDetails_UEM!$A$3:$AH$1849,6,FALSE)</f>
        <v>Electrosurgical Units, Monopolar/Bipolar</v>
      </c>
      <c r="GAG111" s="179" t="s">
        <v>428</v>
      </c>
      <c r="GAH111" s="180" t="str">
        <f>VLOOKUP(GAG111,[13]AssetDetails_UEM!$A$3:$AH$1849,6,FALSE)</f>
        <v>Electrosurgical Units, Monopolar/Bipolar</v>
      </c>
      <c r="GAI111" s="179" t="s">
        <v>428</v>
      </c>
      <c r="GAJ111" s="180" t="str">
        <f>VLOOKUP(GAI111,[13]AssetDetails_UEM!$A$3:$AH$1849,6,FALSE)</f>
        <v>Electrosurgical Units, Monopolar/Bipolar</v>
      </c>
      <c r="GAK111" s="179" t="s">
        <v>428</v>
      </c>
      <c r="GAL111" s="180" t="str">
        <f>VLOOKUP(GAK111,[13]AssetDetails_UEM!$A$3:$AH$1849,6,FALSE)</f>
        <v>Electrosurgical Units, Monopolar/Bipolar</v>
      </c>
      <c r="GAM111" s="179" t="s">
        <v>428</v>
      </c>
      <c r="GAN111" s="180" t="str">
        <f>VLOOKUP(GAM111,[13]AssetDetails_UEM!$A$3:$AH$1849,6,FALSE)</f>
        <v>Electrosurgical Units, Monopolar/Bipolar</v>
      </c>
      <c r="GAO111" s="179" t="s">
        <v>428</v>
      </c>
      <c r="GAP111" s="180" t="str">
        <f>VLOOKUP(GAO111,[13]AssetDetails_UEM!$A$3:$AH$1849,6,FALSE)</f>
        <v>Electrosurgical Units, Monopolar/Bipolar</v>
      </c>
      <c r="GAQ111" s="179" t="s">
        <v>428</v>
      </c>
      <c r="GAR111" s="180" t="str">
        <f>VLOOKUP(GAQ111,[13]AssetDetails_UEM!$A$3:$AH$1849,6,FALSE)</f>
        <v>Electrosurgical Units, Monopolar/Bipolar</v>
      </c>
      <c r="GAS111" s="179" t="s">
        <v>428</v>
      </c>
      <c r="GAT111" s="180" t="str">
        <f>VLOOKUP(GAS111,[13]AssetDetails_UEM!$A$3:$AH$1849,6,FALSE)</f>
        <v>Electrosurgical Units, Monopolar/Bipolar</v>
      </c>
      <c r="GAU111" s="179" t="s">
        <v>428</v>
      </c>
      <c r="GAV111" s="180" t="str">
        <f>VLOOKUP(GAU111,[13]AssetDetails_UEM!$A$3:$AH$1849,6,FALSE)</f>
        <v>Electrosurgical Units, Monopolar/Bipolar</v>
      </c>
      <c r="GAW111" s="179" t="s">
        <v>428</v>
      </c>
      <c r="GAX111" s="180" t="str">
        <f>VLOOKUP(GAW111,[13]AssetDetails_UEM!$A$3:$AH$1849,6,FALSE)</f>
        <v>Electrosurgical Units, Monopolar/Bipolar</v>
      </c>
      <c r="GAY111" s="179" t="s">
        <v>428</v>
      </c>
      <c r="GAZ111" s="180" t="str">
        <f>VLOOKUP(GAY111,[13]AssetDetails_UEM!$A$3:$AH$1849,6,FALSE)</f>
        <v>Electrosurgical Units, Monopolar/Bipolar</v>
      </c>
      <c r="GBA111" s="179" t="s">
        <v>428</v>
      </c>
      <c r="GBB111" s="180" t="str">
        <f>VLOOKUP(GBA111,[13]AssetDetails_UEM!$A$3:$AH$1849,6,FALSE)</f>
        <v>Electrosurgical Units, Monopolar/Bipolar</v>
      </c>
      <c r="GBC111" s="179" t="s">
        <v>428</v>
      </c>
      <c r="GBD111" s="180" t="str">
        <f>VLOOKUP(GBC111,[13]AssetDetails_UEM!$A$3:$AH$1849,6,FALSE)</f>
        <v>Electrosurgical Units, Monopolar/Bipolar</v>
      </c>
      <c r="GBE111" s="179" t="s">
        <v>428</v>
      </c>
      <c r="GBF111" s="180" t="str">
        <f>VLOOKUP(GBE111,[13]AssetDetails_UEM!$A$3:$AH$1849,6,FALSE)</f>
        <v>Electrosurgical Units, Monopolar/Bipolar</v>
      </c>
      <c r="GBG111" s="179" t="s">
        <v>428</v>
      </c>
      <c r="GBH111" s="180" t="str">
        <f>VLOOKUP(GBG111,[13]AssetDetails_UEM!$A$3:$AH$1849,6,FALSE)</f>
        <v>Electrosurgical Units, Monopolar/Bipolar</v>
      </c>
      <c r="GBI111" s="179" t="s">
        <v>428</v>
      </c>
      <c r="GBJ111" s="180" t="str">
        <f>VLOOKUP(GBI111,[13]AssetDetails_UEM!$A$3:$AH$1849,6,FALSE)</f>
        <v>Electrosurgical Units, Monopolar/Bipolar</v>
      </c>
      <c r="GBK111" s="179" t="s">
        <v>428</v>
      </c>
      <c r="GBL111" s="180" t="str">
        <f>VLOOKUP(GBK111,[13]AssetDetails_UEM!$A$3:$AH$1849,6,FALSE)</f>
        <v>Electrosurgical Units, Monopolar/Bipolar</v>
      </c>
      <c r="GBM111" s="179" t="s">
        <v>428</v>
      </c>
      <c r="GBN111" s="180" t="str">
        <f>VLOOKUP(GBM111,[13]AssetDetails_UEM!$A$3:$AH$1849,6,FALSE)</f>
        <v>Electrosurgical Units, Monopolar/Bipolar</v>
      </c>
      <c r="GBO111" s="179" t="s">
        <v>428</v>
      </c>
      <c r="GBP111" s="180" t="str">
        <f>VLOOKUP(GBO111,[13]AssetDetails_UEM!$A$3:$AH$1849,6,FALSE)</f>
        <v>Electrosurgical Units, Monopolar/Bipolar</v>
      </c>
      <c r="GBQ111" s="179" t="s">
        <v>428</v>
      </c>
      <c r="GBR111" s="180" t="str">
        <f>VLOOKUP(GBQ111,[13]AssetDetails_UEM!$A$3:$AH$1849,6,FALSE)</f>
        <v>Electrosurgical Units, Monopolar/Bipolar</v>
      </c>
      <c r="GBS111" s="179" t="s">
        <v>428</v>
      </c>
      <c r="GBT111" s="180" t="str">
        <f>VLOOKUP(GBS111,[13]AssetDetails_UEM!$A$3:$AH$1849,6,FALSE)</f>
        <v>Electrosurgical Units, Monopolar/Bipolar</v>
      </c>
      <c r="GBU111" s="179" t="s">
        <v>428</v>
      </c>
      <c r="GBV111" s="180" t="str">
        <f>VLOOKUP(GBU111,[13]AssetDetails_UEM!$A$3:$AH$1849,6,FALSE)</f>
        <v>Electrosurgical Units, Monopolar/Bipolar</v>
      </c>
      <c r="GBW111" s="179" t="s">
        <v>428</v>
      </c>
      <c r="GBX111" s="180" t="str">
        <f>VLOOKUP(GBW111,[13]AssetDetails_UEM!$A$3:$AH$1849,6,FALSE)</f>
        <v>Electrosurgical Units, Monopolar/Bipolar</v>
      </c>
      <c r="GBY111" s="179" t="s">
        <v>428</v>
      </c>
      <c r="GBZ111" s="180" t="str">
        <f>VLOOKUP(GBY111,[13]AssetDetails_UEM!$A$3:$AH$1849,6,FALSE)</f>
        <v>Electrosurgical Units, Monopolar/Bipolar</v>
      </c>
      <c r="GCA111" s="179" t="s">
        <v>428</v>
      </c>
      <c r="GCB111" s="180" t="str">
        <f>VLOOKUP(GCA111,[13]AssetDetails_UEM!$A$3:$AH$1849,6,FALSE)</f>
        <v>Electrosurgical Units, Monopolar/Bipolar</v>
      </c>
      <c r="GCC111" s="179" t="s">
        <v>428</v>
      </c>
      <c r="GCD111" s="180" t="str">
        <f>VLOOKUP(GCC111,[13]AssetDetails_UEM!$A$3:$AH$1849,6,FALSE)</f>
        <v>Electrosurgical Units, Monopolar/Bipolar</v>
      </c>
      <c r="GCE111" s="179" t="s">
        <v>428</v>
      </c>
      <c r="GCF111" s="180" t="str">
        <f>VLOOKUP(GCE111,[13]AssetDetails_UEM!$A$3:$AH$1849,6,FALSE)</f>
        <v>Electrosurgical Units, Monopolar/Bipolar</v>
      </c>
      <c r="GCG111" s="179" t="s">
        <v>428</v>
      </c>
      <c r="GCH111" s="180" t="str">
        <f>VLOOKUP(GCG111,[13]AssetDetails_UEM!$A$3:$AH$1849,6,FALSE)</f>
        <v>Electrosurgical Units, Monopolar/Bipolar</v>
      </c>
      <c r="GCI111" s="179" t="s">
        <v>428</v>
      </c>
      <c r="GCJ111" s="180" t="str">
        <f>VLOOKUP(GCI111,[13]AssetDetails_UEM!$A$3:$AH$1849,6,FALSE)</f>
        <v>Electrosurgical Units, Monopolar/Bipolar</v>
      </c>
      <c r="GCK111" s="179" t="s">
        <v>428</v>
      </c>
      <c r="GCL111" s="180" t="str">
        <f>VLOOKUP(GCK111,[13]AssetDetails_UEM!$A$3:$AH$1849,6,FALSE)</f>
        <v>Electrosurgical Units, Monopolar/Bipolar</v>
      </c>
      <c r="GCM111" s="179" t="s">
        <v>428</v>
      </c>
      <c r="GCN111" s="180" t="str">
        <f>VLOOKUP(GCM111,[13]AssetDetails_UEM!$A$3:$AH$1849,6,FALSE)</f>
        <v>Electrosurgical Units, Monopolar/Bipolar</v>
      </c>
      <c r="GCO111" s="179" t="s">
        <v>428</v>
      </c>
      <c r="GCP111" s="180" t="str">
        <f>VLOOKUP(GCO111,[13]AssetDetails_UEM!$A$3:$AH$1849,6,FALSE)</f>
        <v>Electrosurgical Units, Monopolar/Bipolar</v>
      </c>
      <c r="GCQ111" s="179" t="s">
        <v>428</v>
      </c>
      <c r="GCR111" s="180" t="str">
        <f>VLOOKUP(GCQ111,[13]AssetDetails_UEM!$A$3:$AH$1849,6,FALSE)</f>
        <v>Electrosurgical Units, Monopolar/Bipolar</v>
      </c>
      <c r="GCS111" s="179" t="s">
        <v>428</v>
      </c>
      <c r="GCT111" s="180" t="str">
        <f>VLOOKUP(GCS111,[13]AssetDetails_UEM!$A$3:$AH$1849,6,FALSE)</f>
        <v>Electrosurgical Units, Monopolar/Bipolar</v>
      </c>
      <c r="GCU111" s="179" t="s">
        <v>428</v>
      </c>
      <c r="GCV111" s="180" t="str">
        <f>VLOOKUP(GCU111,[13]AssetDetails_UEM!$A$3:$AH$1849,6,FALSE)</f>
        <v>Electrosurgical Units, Monopolar/Bipolar</v>
      </c>
      <c r="GCW111" s="179" t="s">
        <v>428</v>
      </c>
      <c r="GCX111" s="180" t="str">
        <f>VLOOKUP(GCW111,[13]AssetDetails_UEM!$A$3:$AH$1849,6,FALSE)</f>
        <v>Electrosurgical Units, Monopolar/Bipolar</v>
      </c>
      <c r="GCY111" s="179" t="s">
        <v>428</v>
      </c>
      <c r="GCZ111" s="180" t="str">
        <f>VLOOKUP(GCY111,[13]AssetDetails_UEM!$A$3:$AH$1849,6,FALSE)</f>
        <v>Electrosurgical Units, Monopolar/Bipolar</v>
      </c>
      <c r="GDA111" s="179" t="s">
        <v>428</v>
      </c>
      <c r="GDB111" s="180" t="str">
        <f>VLOOKUP(GDA111,[13]AssetDetails_UEM!$A$3:$AH$1849,6,FALSE)</f>
        <v>Electrosurgical Units, Monopolar/Bipolar</v>
      </c>
      <c r="GDC111" s="179" t="s">
        <v>428</v>
      </c>
      <c r="GDD111" s="180" t="str">
        <f>VLOOKUP(GDC111,[13]AssetDetails_UEM!$A$3:$AH$1849,6,FALSE)</f>
        <v>Electrosurgical Units, Monopolar/Bipolar</v>
      </c>
      <c r="GDE111" s="179" t="s">
        <v>428</v>
      </c>
      <c r="GDF111" s="180" t="str">
        <f>VLOOKUP(GDE111,[13]AssetDetails_UEM!$A$3:$AH$1849,6,FALSE)</f>
        <v>Electrosurgical Units, Monopolar/Bipolar</v>
      </c>
      <c r="GDG111" s="179" t="s">
        <v>428</v>
      </c>
      <c r="GDH111" s="180" t="str">
        <f>VLOOKUP(GDG111,[13]AssetDetails_UEM!$A$3:$AH$1849,6,FALSE)</f>
        <v>Electrosurgical Units, Monopolar/Bipolar</v>
      </c>
      <c r="GDI111" s="179" t="s">
        <v>428</v>
      </c>
      <c r="GDJ111" s="180" t="str">
        <f>VLOOKUP(GDI111,[13]AssetDetails_UEM!$A$3:$AH$1849,6,FALSE)</f>
        <v>Electrosurgical Units, Monopolar/Bipolar</v>
      </c>
      <c r="GDK111" s="179" t="s">
        <v>428</v>
      </c>
      <c r="GDL111" s="180" t="str">
        <f>VLOOKUP(GDK111,[13]AssetDetails_UEM!$A$3:$AH$1849,6,FALSE)</f>
        <v>Electrosurgical Units, Monopolar/Bipolar</v>
      </c>
      <c r="GDM111" s="179" t="s">
        <v>428</v>
      </c>
      <c r="GDN111" s="180" t="str">
        <f>VLOOKUP(GDM111,[13]AssetDetails_UEM!$A$3:$AH$1849,6,FALSE)</f>
        <v>Electrosurgical Units, Monopolar/Bipolar</v>
      </c>
      <c r="GDO111" s="179" t="s">
        <v>428</v>
      </c>
      <c r="GDP111" s="180" t="str">
        <f>VLOOKUP(GDO111,[13]AssetDetails_UEM!$A$3:$AH$1849,6,FALSE)</f>
        <v>Electrosurgical Units, Monopolar/Bipolar</v>
      </c>
      <c r="GDQ111" s="179" t="s">
        <v>428</v>
      </c>
      <c r="GDR111" s="180" t="str">
        <f>VLOOKUP(GDQ111,[13]AssetDetails_UEM!$A$3:$AH$1849,6,FALSE)</f>
        <v>Electrosurgical Units, Monopolar/Bipolar</v>
      </c>
      <c r="GDS111" s="179" t="s">
        <v>428</v>
      </c>
      <c r="GDT111" s="180" t="str">
        <f>VLOOKUP(GDS111,[13]AssetDetails_UEM!$A$3:$AH$1849,6,FALSE)</f>
        <v>Electrosurgical Units, Monopolar/Bipolar</v>
      </c>
      <c r="GDU111" s="179" t="s">
        <v>428</v>
      </c>
      <c r="GDV111" s="180" t="str">
        <f>VLOOKUP(GDU111,[13]AssetDetails_UEM!$A$3:$AH$1849,6,FALSE)</f>
        <v>Electrosurgical Units, Monopolar/Bipolar</v>
      </c>
      <c r="GDW111" s="179" t="s">
        <v>428</v>
      </c>
      <c r="GDX111" s="180" t="str">
        <f>VLOOKUP(GDW111,[13]AssetDetails_UEM!$A$3:$AH$1849,6,FALSE)</f>
        <v>Electrosurgical Units, Monopolar/Bipolar</v>
      </c>
      <c r="GDY111" s="179" t="s">
        <v>428</v>
      </c>
      <c r="GDZ111" s="180" t="str">
        <f>VLOOKUP(GDY111,[13]AssetDetails_UEM!$A$3:$AH$1849,6,FALSE)</f>
        <v>Electrosurgical Units, Monopolar/Bipolar</v>
      </c>
      <c r="GEA111" s="179" t="s">
        <v>428</v>
      </c>
      <c r="GEB111" s="180" t="str">
        <f>VLOOKUP(GEA111,[13]AssetDetails_UEM!$A$3:$AH$1849,6,FALSE)</f>
        <v>Electrosurgical Units, Monopolar/Bipolar</v>
      </c>
      <c r="GEC111" s="179" t="s">
        <v>428</v>
      </c>
      <c r="GED111" s="180" t="str">
        <f>VLOOKUP(GEC111,[13]AssetDetails_UEM!$A$3:$AH$1849,6,FALSE)</f>
        <v>Electrosurgical Units, Monopolar/Bipolar</v>
      </c>
      <c r="GEE111" s="179" t="s">
        <v>428</v>
      </c>
      <c r="GEF111" s="180" t="str">
        <f>VLOOKUP(GEE111,[13]AssetDetails_UEM!$A$3:$AH$1849,6,FALSE)</f>
        <v>Electrosurgical Units, Monopolar/Bipolar</v>
      </c>
      <c r="GEG111" s="179" t="s">
        <v>428</v>
      </c>
      <c r="GEH111" s="180" t="str">
        <f>VLOOKUP(GEG111,[13]AssetDetails_UEM!$A$3:$AH$1849,6,FALSE)</f>
        <v>Electrosurgical Units, Monopolar/Bipolar</v>
      </c>
      <c r="GEI111" s="179" t="s">
        <v>428</v>
      </c>
      <c r="GEJ111" s="180" t="str">
        <f>VLOOKUP(GEI111,[13]AssetDetails_UEM!$A$3:$AH$1849,6,FALSE)</f>
        <v>Electrosurgical Units, Monopolar/Bipolar</v>
      </c>
      <c r="GEK111" s="179" t="s">
        <v>428</v>
      </c>
      <c r="GEL111" s="180" t="str">
        <f>VLOOKUP(GEK111,[13]AssetDetails_UEM!$A$3:$AH$1849,6,FALSE)</f>
        <v>Electrosurgical Units, Monopolar/Bipolar</v>
      </c>
      <c r="GEM111" s="179" t="s">
        <v>428</v>
      </c>
      <c r="GEN111" s="180" t="str">
        <f>VLOOKUP(GEM111,[13]AssetDetails_UEM!$A$3:$AH$1849,6,FALSE)</f>
        <v>Electrosurgical Units, Monopolar/Bipolar</v>
      </c>
      <c r="GEO111" s="179" t="s">
        <v>428</v>
      </c>
      <c r="GEP111" s="180" t="str">
        <f>VLOOKUP(GEO111,[13]AssetDetails_UEM!$A$3:$AH$1849,6,FALSE)</f>
        <v>Electrosurgical Units, Monopolar/Bipolar</v>
      </c>
      <c r="GEQ111" s="179" t="s">
        <v>428</v>
      </c>
      <c r="GER111" s="180" t="str">
        <f>VLOOKUP(GEQ111,[13]AssetDetails_UEM!$A$3:$AH$1849,6,FALSE)</f>
        <v>Electrosurgical Units, Monopolar/Bipolar</v>
      </c>
      <c r="GES111" s="179" t="s">
        <v>428</v>
      </c>
      <c r="GET111" s="180" t="str">
        <f>VLOOKUP(GES111,[13]AssetDetails_UEM!$A$3:$AH$1849,6,FALSE)</f>
        <v>Electrosurgical Units, Monopolar/Bipolar</v>
      </c>
      <c r="GEU111" s="179" t="s">
        <v>428</v>
      </c>
      <c r="GEV111" s="180" t="str">
        <f>VLOOKUP(GEU111,[13]AssetDetails_UEM!$A$3:$AH$1849,6,FALSE)</f>
        <v>Electrosurgical Units, Monopolar/Bipolar</v>
      </c>
      <c r="GEW111" s="179" t="s">
        <v>428</v>
      </c>
      <c r="GEX111" s="180" t="str">
        <f>VLOOKUP(GEW111,[13]AssetDetails_UEM!$A$3:$AH$1849,6,FALSE)</f>
        <v>Electrosurgical Units, Monopolar/Bipolar</v>
      </c>
      <c r="GEY111" s="179" t="s">
        <v>428</v>
      </c>
      <c r="GEZ111" s="180" t="str">
        <f>VLOOKUP(GEY111,[13]AssetDetails_UEM!$A$3:$AH$1849,6,FALSE)</f>
        <v>Electrosurgical Units, Monopolar/Bipolar</v>
      </c>
      <c r="GFA111" s="179" t="s">
        <v>428</v>
      </c>
      <c r="GFB111" s="180" t="str">
        <f>VLOOKUP(GFA111,[13]AssetDetails_UEM!$A$3:$AH$1849,6,FALSE)</f>
        <v>Electrosurgical Units, Monopolar/Bipolar</v>
      </c>
      <c r="GFC111" s="179" t="s">
        <v>428</v>
      </c>
      <c r="GFD111" s="180" t="str">
        <f>VLOOKUP(GFC111,[13]AssetDetails_UEM!$A$3:$AH$1849,6,FALSE)</f>
        <v>Electrosurgical Units, Monopolar/Bipolar</v>
      </c>
      <c r="GFE111" s="179" t="s">
        <v>428</v>
      </c>
      <c r="GFF111" s="180" t="str">
        <f>VLOOKUP(GFE111,[13]AssetDetails_UEM!$A$3:$AH$1849,6,FALSE)</f>
        <v>Electrosurgical Units, Monopolar/Bipolar</v>
      </c>
      <c r="GFG111" s="179" t="s">
        <v>428</v>
      </c>
      <c r="GFH111" s="180" t="str">
        <f>VLOOKUP(GFG111,[13]AssetDetails_UEM!$A$3:$AH$1849,6,FALSE)</f>
        <v>Electrosurgical Units, Monopolar/Bipolar</v>
      </c>
      <c r="GFI111" s="179" t="s">
        <v>428</v>
      </c>
      <c r="GFJ111" s="180" t="str">
        <f>VLOOKUP(GFI111,[13]AssetDetails_UEM!$A$3:$AH$1849,6,FALSE)</f>
        <v>Electrosurgical Units, Monopolar/Bipolar</v>
      </c>
      <c r="GFK111" s="179" t="s">
        <v>428</v>
      </c>
      <c r="GFL111" s="180" t="str">
        <f>VLOOKUP(GFK111,[13]AssetDetails_UEM!$A$3:$AH$1849,6,FALSE)</f>
        <v>Electrosurgical Units, Monopolar/Bipolar</v>
      </c>
      <c r="GFM111" s="179" t="s">
        <v>428</v>
      </c>
      <c r="GFN111" s="180" t="str">
        <f>VLOOKUP(GFM111,[13]AssetDetails_UEM!$A$3:$AH$1849,6,FALSE)</f>
        <v>Electrosurgical Units, Monopolar/Bipolar</v>
      </c>
      <c r="GFO111" s="179" t="s">
        <v>428</v>
      </c>
      <c r="GFP111" s="180" t="str">
        <f>VLOOKUP(GFO111,[13]AssetDetails_UEM!$A$3:$AH$1849,6,FALSE)</f>
        <v>Electrosurgical Units, Monopolar/Bipolar</v>
      </c>
      <c r="GFQ111" s="179" t="s">
        <v>428</v>
      </c>
      <c r="GFR111" s="180" t="str">
        <f>VLOOKUP(GFQ111,[13]AssetDetails_UEM!$A$3:$AH$1849,6,FALSE)</f>
        <v>Electrosurgical Units, Monopolar/Bipolar</v>
      </c>
      <c r="GFS111" s="179" t="s">
        <v>428</v>
      </c>
      <c r="GFT111" s="180" t="str">
        <f>VLOOKUP(GFS111,[13]AssetDetails_UEM!$A$3:$AH$1849,6,FALSE)</f>
        <v>Electrosurgical Units, Monopolar/Bipolar</v>
      </c>
      <c r="GFU111" s="179" t="s">
        <v>428</v>
      </c>
      <c r="GFV111" s="180" t="str">
        <f>VLOOKUP(GFU111,[13]AssetDetails_UEM!$A$3:$AH$1849,6,FALSE)</f>
        <v>Electrosurgical Units, Monopolar/Bipolar</v>
      </c>
      <c r="GFW111" s="179" t="s">
        <v>428</v>
      </c>
      <c r="GFX111" s="180" t="str">
        <f>VLOOKUP(GFW111,[13]AssetDetails_UEM!$A$3:$AH$1849,6,FALSE)</f>
        <v>Electrosurgical Units, Monopolar/Bipolar</v>
      </c>
      <c r="GFY111" s="179" t="s">
        <v>428</v>
      </c>
      <c r="GFZ111" s="180" t="str">
        <f>VLOOKUP(GFY111,[13]AssetDetails_UEM!$A$3:$AH$1849,6,FALSE)</f>
        <v>Electrosurgical Units, Monopolar/Bipolar</v>
      </c>
      <c r="GGA111" s="179" t="s">
        <v>428</v>
      </c>
      <c r="GGB111" s="180" t="str">
        <f>VLOOKUP(GGA111,[13]AssetDetails_UEM!$A$3:$AH$1849,6,FALSE)</f>
        <v>Electrosurgical Units, Monopolar/Bipolar</v>
      </c>
      <c r="GGC111" s="179" t="s">
        <v>428</v>
      </c>
      <c r="GGD111" s="180" t="str">
        <f>VLOOKUP(GGC111,[13]AssetDetails_UEM!$A$3:$AH$1849,6,FALSE)</f>
        <v>Electrosurgical Units, Monopolar/Bipolar</v>
      </c>
      <c r="GGE111" s="179" t="s">
        <v>428</v>
      </c>
      <c r="GGF111" s="180" t="str">
        <f>VLOOKUP(GGE111,[13]AssetDetails_UEM!$A$3:$AH$1849,6,FALSE)</f>
        <v>Electrosurgical Units, Monopolar/Bipolar</v>
      </c>
      <c r="GGG111" s="179" t="s">
        <v>428</v>
      </c>
      <c r="GGH111" s="180" t="str">
        <f>VLOOKUP(GGG111,[13]AssetDetails_UEM!$A$3:$AH$1849,6,FALSE)</f>
        <v>Electrosurgical Units, Monopolar/Bipolar</v>
      </c>
      <c r="GGI111" s="179" t="s">
        <v>428</v>
      </c>
      <c r="GGJ111" s="180" t="str">
        <f>VLOOKUP(GGI111,[13]AssetDetails_UEM!$A$3:$AH$1849,6,FALSE)</f>
        <v>Electrosurgical Units, Monopolar/Bipolar</v>
      </c>
      <c r="GGK111" s="179" t="s">
        <v>428</v>
      </c>
      <c r="GGL111" s="180" t="str">
        <f>VLOOKUP(GGK111,[13]AssetDetails_UEM!$A$3:$AH$1849,6,FALSE)</f>
        <v>Electrosurgical Units, Monopolar/Bipolar</v>
      </c>
      <c r="GGM111" s="179" t="s">
        <v>428</v>
      </c>
      <c r="GGN111" s="180" t="str">
        <f>VLOOKUP(GGM111,[13]AssetDetails_UEM!$A$3:$AH$1849,6,FALSE)</f>
        <v>Electrosurgical Units, Monopolar/Bipolar</v>
      </c>
      <c r="GGO111" s="179" t="s">
        <v>428</v>
      </c>
      <c r="GGP111" s="180" t="str">
        <f>VLOOKUP(GGO111,[13]AssetDetails_UEM!$A$3:$AH$1849,6,FALSE)</f>
        <v>Electrosurgical Units, Monopolar/Bipolar</v>
      </c>
      <c r="GGQ111" s="179" t="s">
        <v>428</v>
      </c>
      <c r="GGR111" s="180" t="str">
        <f>VLOOKUP(GGQ111,[13]AssetDetails_UEM!$A$3:$AH$1849,6,FALSE)</f>
        <v>Electrosurgical Units, Monopolar/Bipolar</v>
      </c>
      <c r="GGS111" s="179" t="s">
        <v>428</v>
      </c>
      <c r="GGT111" s="180" t="str">
        <f>VLOOKUP(GGS111,[13]AssetDetails_UEM!$A$3:$AH$1849,6,FALSE)</f>
        <v>Electrosurgical Units, Monopolar/Bipolar</v>
      </c>
      <c r="GGU111" s="179" t="s">
        <v>428</v>
      </c>
      <c r="GGV111" s="180" t="str">
        <f>VLOOKUP(GGU111,[13]AssetDetails_UEM!$A$3:$AH$1849,6,FALSE)</f>
        <v>Electrosurgical Units, Monopolar/Bipolar</v>
      </c>
      <c r="GGW111" s="179" t="s">
        <v>428</v>
      </c>
      <c r="GGX111" s="180" t="str">
        <f>VLOOKUP(GGW111,[13]AssetDetails_UEM!$A$3:$AH$1849,6,FALSE)</f>
        <v>Electrosurgical Units, Monopolar/Bipolar</v>
      </c>
      <c r="GGY111" s="179" t="s">
        <v>428</v>
      </c>
      <c r="GGZ111" s="180" t="str">
        <f>VLOOKUP(GGY111,[13]AssetDetails_UEM!$A$3:$AH$1849,6,FALSE)</f>
        <v>Electrosurgical Units, Monopolar/Bipolar</v>
      </c>
      <c r="GHA111" s="179" t="s">
        <v>428</v>
      </c>
      <c r="GHB111" s="180" t="str">
        <f>VLOOKUP(GHA111,[13]AssetDetails_UEM!$A$3:$AH$1849,6,FALSE)</f>
        <v>Electrosurgical Units, Monopolar/Bipolar</v>
      </c>
      <c r="GHC111" s="179" t="s">
        <v>428</v>
      </c>
      <c r="GHD111" s="180" t="str">
        <f>VLOOKUP(GHC111,[13]AssetDetails_UEM!$A$3:$AH$1849,6,FALSE)</f>
        <v>Electrosurgical Units, Monopolar/Bipolar</v>
      </c>
      <c r="GHE111" s="179" t="s">
        <v>428</v>
      </c>
      <c r="GHF111" s="180" t="str">
        <f>VLOOKUP(GHE111,[13]AssetDetails_UEM!$A$3:$AH$1849,6,FALSE)</f>
        <v>Electrosurgical Units, Monopolar/Bipolar</v>
      </c>
      <c r="GHG111" s="179" t="s">
        <v>428</v>
      </c>
      <c r="GHH111" s="180" t="str">
        <f>VLOOKUP(GHG111,[13]AssetDetails_UEM!$A$3:$AH$1849,6,FALSE)</f>
        <v>Electrosurgical Units, Monopolar/Bipolar</v>
      </c>
      <c r="GHI111" s="179" t="s">
        <v>428</v>
      </c>
      <c r="GHJ111" s="180" t="str">
        <f>VLOOKUP(GHI111,[13]AssetDetails_UEM!$A$3:$AH$1849,6,FALSE)</f>
        <v>Electrosurgical Units, Monopolar/Bipolar</v>
      </c>
      <c r="GHK111" s="179" t="s">
        <v>428</v>
      </c>
      <c r="GHL111" s="180" t="str">
        <f>VLOOKUP(GHK111,[13]AssetDetails_UEM!$A$3:$AH$1849,6,FALSE)</f>
        <v>Electrosurgical Units, Monopolar/Bipolar</v>
      </c>
      <c r="GHM111" s="179" t="s">
        <v>428</v>
      </c>
      <c r="GHN111" s="180" t="str">
        <f>VLOOKUP(GHM111,[13]AssetDetails_UEM!$A$3:$AH$1849,6,FALSE)</f>
        <v>Electrosurgical Units, Monopolar/Bipolar</v>
      </c>
      <c r="GHO111" s="179" t="s">
        <v>428</v>
      </c>
      <c r="GHP111" s="180" t="str">
        <f>VLOOKUP(GHO111,[13]AssetDetails_UEM!$A$3:$AH$1849,6,FALSE)</f>
        <v>Electrosurgical Units, Monopolar/Bipolar</v>
      </c>
      <c r="GHQ111" s="179" t="s">
        <v>428</v>
      </c>
      <c r="GHR111" s="180" t="str">
        <f>VLOOKUP(GHQ111,[13]AssetDetails_UEM!$A$3:$AH$1849,6,FALSE)</f>
        <v>Electrosurgical Units, Monopolar/Bipolar</v>
      </c>
      <c r="GHS111" s="179" t="s">
        <v>428</v>
      </c>
      <c r="GHT111" s="180" t="str">
        <f>VLOOKUP(GHS111,[13]AssetDetails_UEM!$A$3:$AH$1849,6,FALSE)</f>
        <v>Electrosurgical Units, Monopolar/Bipolar</v>
      </c>
      <c r="GHU111" s="179" t="s">
        <v>428</v>
      </c>
      <c r="GHV111" s="180" t="str">
        <f>VLOOKUP(GHU111,[13]AssetDetails_UEM!$A$3:$AH$1849,6,FALSE)</f>
        <v>Electrosurgical Units, Monopolar/Bipolar</v>
      </c>
      <c r="GHW111" s="179" t="s">
        <v>428</v>
      </c>
      <c r="GHX111" s="180" t="str">
        <f>VLOOKUP(GHW111,[13]AssetDetails_UEM!$A$3:$AH$1849,6,FALSE)</f>
        <v>Electrosurgical Units, Monopolar/Bipolar</v>
      </c>
      <c r="GHY111" s="179" t="s">
        <v>428</v>
      </c>
      <c r="GHZ111" s="180" t="str">
        <f>VLOOKUP(GHY111,[13]AssetDetails_UEM!$A$3:$AH$1849,6,FALSE)</f>
        <v>Electrosurgical Units, Monopolar/Bipolar</v>
      </c>
      <c r="GIA111" s="179" t="s">
        <v>428</v>
      </c>
      <c r="GIB111" s="180" t="str">
        <f>VLOOKUP(GIA111,[13]AssetDetails_UEM!$A$3:$AH$1849,6,FALSE)</f>
        <v>Electrosurgical Units, Monopolar/Bipolar</v>
      </c>
      <c r="GIC111" s="179" t="s">
        <v>428</v>
      </c>
      <c r="GID111" s="180" t="str">
        <f>VLOOKUP(GIC111,[13]AssetDetails_UEM!$A$3:$AH$1849,6,FALSE)</f>
        <v>Electrosurgical Units, Monopolar/Bipolar</v>
      </c>
      <c r="GIE111" s="179" t="s">
        <v>428</v>
      </c>
      <c r="GIF111" s="180" t="str">
        <f>VLOOKUP(GIE111,[13]AssetDetails_UEM!$A$3:$AH$1849,6,FALSE)</f>
        <v>Electrosurgical Units, Monopolar/Bipolar</v>
      </c>
      <c r="GIG111" s="179" t="s">
        <v>428</v>
      </c>
      <c r="GIH111" s="180" t="str">
        <f>VLOOKUP(GIG111,[13]AssetDetails_UEM!$A$3:$AH$1849,6,FALSE)</f>
        <v>Electrosurgical Units, Monopolar/Bipolar</v>
      </c>
      <c r="GII111" s="179" t="s">
        <v>428</v>
      </c>
      <c r="GIJ111" s="180" t="str">
        <f>VLOOKUP(GII111,[13]AssetDetails_UEM!$A$3:$AH$1849,6,FALSE)</f>
        <v>Electrosurgical Units, Monopolar/Bipolar</v>
      </c>
      <c r="GIK111" s="179" t="s">
        <v>428</v>
      </c>
      <c r="GIL111" s="180" t="str">
        <f>VLOOKUP(GIK111,[13]AssetDetails_UEM!$A$3:$AH$1849,6,FALSE)</f>
        <v>Electrosurgical Units, Monopolar/Bipolar</v>
      </c>
      <c r="GIM111" s="179" t="s">
        <v>428</v>
      </c>
      <c r="GIN111" s="180" t="str">
        <f>VLOOKUP(GIM111,[13]AssetDetails_UEM!$A$3:$AH$1849,6,FALSE)</f>
        <v>Electrosurgical Units, Monopolar/Bipolar</v>
      </c>
      <c r="GIO111" s="179" t="s">
        <v>428</v>
      </c>
      <c r="GIP111" s="180" t="str">
        <f>VLOOKUP(GIO111,[13]AssetDetails_UEM!$A$3:$AH$1849,6,FALSE)</f>
        <v>Electrosurgical Units, Monopolar/Bipolar</v>
      </c>
      <c r="GIQ111" s="179" t="s">
        <v>428</v>
      </c>
      <c r="GIR111" s="180" t="str">
        <f>VLOOKUP(GIQ111,[13]AssetDetails_UEM!$A$3:$AH$1849,6,FALSE)</f>
        <v>Electrosurgical Units, Monopolar/Bipolar</v>
      </c>
      <c r="GIS111" s="179" t="s">
        <v>428</v>
      </c>
      <c r="GIT111" s="180" t="str">
        <f>VLOOKUP(GIS111,[13]AssetDetails_UEM!$A$3:$AH$1849,6,FALSE)</f>
        <v>Electrosurgical Units, Monopolar/Bipolar</v>
      </c>
      <c r="GIU111" s="179" t="s">
        <v>428</v>
      </c>
      <c r="GIV111" s="180" t="str">
        <f>VLOOKUP(GIU111,[13]AssetDetails_UEM!$A$3:$AH$1849,6,FALSE)</f>
        <v>Electrosurgical Units, Monopolar/Bipolar</v>
      </c>
      <c r="GIW111" s="179" t="s">
        <v>428</v>
      </c>
      <c r="GIX111" s="180" t="str">
        <f>VLOOKUP(GIW111,[13]AssetDetails_UEM!$A$3:$AH$1849,6,FALSE)</f>
        <v>Electrosurgical Units, Monopolar/Bipolar</v>
      </c>
      <c r="GIY111" s="179" t="s">
        <v>428</v>
      </c>
      <c r="GIZ111" s="180" t="str">
        <f>VLOOKUP(GIY111,[13]AssetDetails_UEM!$A$3:$AH$1849,6,FALSE)</f>
        <v>Electrosurgical Units, Monopolar/Bipolar</v>
      </c>
      <c r="GJA111" s="179" t="s">
        <v>428</v>
      </c>
      <c r="GJB111" s="180" t="str">
        <f>VLOOKUP(GJA111,[13]AssetDetails_UEM!$A$3:$AH$1849,6,FALSE)</f>
        <v>Electrosurgical Units, Monopolar/Bipolar</v>
      </c>
      <c r="GJC111" s="179" t="s">
        <v>428</v>
      </c>
      <c r="GJD111" s="180" t="str">
        <f>VLOOKUP(GJC111,[13]AssetDetails_UEM!$A$3:$AH$1849,6,FALSE)</f>
        <v>Electrosurgical Units, Monopolar/Bipolar</v>
      </c>
      <c r="GJE111" s="179" t="s">
        <v>428</v>
      </c>
      <c r="GJF111" s="180" t="str">
        <f>VLOOKUP(GJE111,[13]AssetDetails_UEM!$A$3:$AH$1849,6,FALSE)</f>
        <v>Electrosurgical Units, Monopolar/Bipolar</v>
      </c>
      <c r="GJG111" s="179" t="s">
        <v>428</v>
      </c>
      <c r="GJH111" s="180" t="str">
        <f>VLOOKUP(GJG111,[13]AssetDetails_UEM!$A$3:$AH$1849,6,FALSE)</f>
        <v>Electrosurgical Units, Monopolar/Bipolar</v>
      </c>
      <c r="GJI111" s="179" t="s">
        <v>428</v>
      </c>
      <c r="GJJ111" s="180" t="str">
        <f>VLOOKUP(GJI111,[13]AssetDetails_UEM!$A$3:$AH$1849,6,FALSE)</f>
        <v>Electrosurgical Units, Monopolar/Bipolar</v>
      </c>
      <c r="GJK111" s="179" t="s">
        <v>428</v>
      </c>
      <c r="GJL111" s="180" t="str">
        <f>VLOOKUP(GJK111,[13]AssetDetails_UEM!$A$3:$AH$1849,6,FALSE)</f>
        <v>Electrosurgical Units, Monopolar/Bipolar</v>
      </c>
      <c r="GJM111" s="179" t="s">
        <v>428</v>
      </c>
      <c r="GJN111" s="180" t="str">
        <f>VLOOKUP(GJM111,[13]AssetDetails_UEM!$A$3:$AH$1849,6,FALSE)</f>
        <v>Electrosurgical Units, Monopolar/Bipolar</v>
      </c>
      <c r="GJO111" s="179" t="s">
        <v>428</v>
      </c>
      <c r="GJP111" s="180" t="str">
        <f>VLOOKUP(GJO111,[13]AssetDetails_UEM!$A$3:$AH$1849,6,FALSE)</f>
        <v>Electrosurgical Units, Monopolar/Bipolar</v>
      </c>
      <c r="GJQ111" s="179" t="s">
        <v>428</v>
      </c>
      <c r="GJR111" s="180" t="str">
        <f>VLOOKUP(GJQ111,[13]AssetDetails_UEM!$A$3:$AH$1849,6,FALSE)</f>
        <v>Electrosurgical Units, Monopolar/Bipolar</v>
      </c>
      <c r="GJS111" s="179" t="s">
        <v>428</v>
      </c>
      <c r="GJT111" s="180" t="str">
        <f>VLOOKUP(GJS111,[13]AssetDetails_UEM!$A$3:$AH$1849,6,FALSE)</f>
        <v>Electrosurgical Units, Monopolar/Bipolar</v>
      </c>
      <c r="GJU111" s="179" t="s">
        <v>428</v>
      </c>
      <c r="GJV111" s="180" t="str">
        <f>VLOOKUP(GJU111,[13]AssetDetails_UEM!$A$3:$AH$1849,6,FALSE)</f>
        <v>Electrosurgical Units, Monopolar/Bipolar</v>
      </c>
      <c r="GJW111" s="179" t="s">
        <v>428</v>
      </c>
      <c r="GJX111" s="180" t="str">
        <f>VLOOKUP(GJW111,[13]AssetDetails_UEM!$A$3:$AH$1849,6,FALSE)</f>
        <v>Electrosurgical Units, Monopolar/Bipolar</v>
      </c>
      <c r="GJY111" s="179" t="s">
        <v>428</v>
      </c>
      <c r="GJZ111" s="180" t="str">
        <f>VLOOKUP(GJY111,[13]AssetDetails_UEM!$A$3:$AH$1849,6,FALSE)</f>
        <v>Electrosurgical Units, Monopolar/Bipolar</v>
      </c>
      <c r="GKA111" s="179" t="s">
        <v>428</v>
      </c>
      <c r="GKB111" s="180" t="str">
        <f>VLOOKUP(GKA111,[13]AssetDetails_UEM!$A$3:$AH$1849,6,FALSE)</f>
        <v>Electrosurgical Units, Monopolar/Bipolar</v>
      </c>
      <c r="GKC111" s="179" t="s">
        <v>428</v>
      </c>
      <c r="GKD111" s="180" t="str">
        <f>VLOOKUP(GKC111,[13]AssetDetails_UEM!$A$3:$AH$1849,6,FALSE)</f>
        <v>Electrosurgical Units, Monopolar/Bipolar</v>
      </c>
      <c r="GKE111" s="179" t="s">
        <v>428</v>
      </c>
      <c r="GKF111" s="180" t="str">
        <f>VLOOKUP(GKE111,[13]AssetDetails_UEM!$A$3:$AH$1849,6,FALSE)</f>
        <v>Electrosurgical Units, Monopolar/Bipolar</v>
      </c>
      <c r="GKG111" s="179" t="s">
        <v>428</v>
      </c>
      <c r="GKH111" s="180" t="str">
        <f>VLOOKUP(GKG111,[13]AssetDetails_UEM!$A$3:$AH$1849,6,FALSE)</f>
        <v>Electrosurgical Units, Monopolar/Bipolar</v>
      </c>
      <c r="GKI111" s="179" t="s">
        <v>428</v>
      </c>
      <c r="GKJ111" s="180" t="str">
        <f>VLOOKUP(GKI111,[13]AssetDetails_UEM!$A$3:$AH$1849,6,FALSE)</f>
        <v>Electrosurgical Units, Monopolar/Bipolar</v>
      </c>
      <c r="GKK111" s="179" t="s">
        <v>428</v>
      </c>
      <c r="GKL111" s="180" t="str">
        <f>VLOOKUP(GKK111,[13]AssetDetails_UEM!$A$3:$AH$1849,6,FALSE)</f>
        <v>Electrosurgical Units, Monopolar/Bipolar</v>
      </c>
      <c r="GKM111" s="179" t="s">
        <v>428</v>
      </c>
      <c r="GKN111" s="180" t="str">
        <f>VLOOKUP(GKM111,[13]AssetDetails_UEM!$A$3:$AH$1849,6,FALSE)</f>
        <v>Electrosurgical Units, Monopolar/Bipolar</v>
      </c>
      <c r="GKO111" s="179" t="s">
        <v>428</v>
      </c>
      <c r="GKP111" s="180" t="str">
        <f>VLOOKUP(GKO111,[13]AssetDetails_UEM!$A$3:$AH$1849,6,FALSE)</f>
        <v>Electrosurgical Units, Monopolar/Bipolar</v>
      </c>
      <c r="GKQ111" s="179" t="s">
        <v>428</v>
      </c>
      <c r="GKR111" s="180" t="str">
        <f>VLOOKUP(GKQ111,[13]AssetDetails_UEM!$A$3:$AH$1849,6,FALSE)</f>
        <v>Electrosurgical Units, Monopolar/Bipolar</v>
      </c>
      <c r="GKS111" s="179" t="s">
        <v>428</v>
      </c>
      <c r="GKT111" s="180" t="str">
        <f>VLOOKUP(GKS111,[13]AssetDetails_UEM!$A$3:$AH$1849,6,FALSE)</f>
        <v>Electrosurgical Units, Monopolar/Bipolar</v>
      </c>
      <c r="GKU111" s="179" t="s">
        <v>428</v>
      </c>
      <c r="GKV111" s="180" t="str">
        <f>VLOOKUP(GKU111,[13]AssetDetails_UEM!$A$3:$AH$1849,6,FALSE)</f>
        <v>Electrosurgical Units, Monopolar/Bipolar</v>
      </c>
      <c r="GKW111" s="179" t="s">
        <v>428</v>
      </c>
      <c r="GKX111" s="180" t="str">
        <f>VLOOKUP(GKW111,[13]AssetDetails_UEM!$A$3:$AH$1849,6,FALSE)</f>
        <v>Electrosurgical Units, Monopolar/Bipolar</v>
      </c>
      <c r="GKY111" s="179" t="s">
        <v>428</v>
      </c>
      <c r="GKZ111" s="180" t="str">
        <f>VLOOKUP(GKY111,[13]AssetDetails_UEM!$A$3:$AH$1849,6,FALSE)</f>
        <v>Electrosurgical Units, Monopolar/Bipolar</v>
      </c>
      <c r="GLA111" s="179" t="s">
        <v>428</v>
      </c>
      <c r="GLB111" s="180" t="str">
        <f>VLOOKUP(GLA111,[13]AssetDetails_UEM!$A$3:$AH$1849,6,FALSE)</f>
        <v>Electrosurgical Units, Monopolar/Bipolar</v>
      </c>
      <c r="GLC111" s="179" t="s">
        <v>428</v>
      </c>
      <c r="GLD111" s="180" t="str">
        <f>VLOOKUP(GLC111,[13]AssetDetails_UEM!$A$3:$AH$1849,6,FALSE)</f>
        <v>Electrosurgical Units, Monopolar/Bipolar</v>
      </c>
      <c r="GLE111" s="179" t="s">
        <v>428</v>
      </c>
      <c r="GLF111" s="180" t="str">
        <f>VLOOKUP(GLE111,[13]AssetDetails_UEM!$A$3:$AH$1849,6,FALSE)</f>
        <v>Electrosurgical Units, Monopolar/Bipolar</v>
      </c>
      <c r="GLG111" s="179" t="s">
        <v>428</v>
      </c>
      <c r="GLH111" s="180" t="str">
        <f>VLOOKUP(GLG111,[13]AssetDetails_UEM!$A$3:$AH$1849,6,FALSE)</f>
        <v>Electrosurgical Units, Monopolar/Bipolar</v>
      </c>
      <c r="GLI111" s="179" t="s">
        <v>428</v>
      </c>
      <c r="GLJ111" s="180" t="str">
        <f>VLOOKUP(GLI111,[13]AssetDetails_UEM!$A$3:$AH$1849,6,FALSE)</f>
        <v>Electrosurgical Units, Monopolar/Bipolar</v>
      </c>
      <c r="GLK111" s="179" t="s">
        <v>428</v>
      </c>
      <c r="GLL111" s="180" t="str">
        <f>VLOOKUP(GLK111,[13]AssetDetails_UEM!$A$3:$AH$1849,6,FALSE)</f>
        <v>Electrosurgical Units, Monopolar/Bipolar</v>
      </c>
      <c r="GLM111" s="179" t="s">
        <v>428</v>
      </c>
      <c r="GLN111" s="180" t="str">
        <f>VLOOKUP(GLM111,[13]AssetDetails_UEM!$A$3:$AH$1849,6,FALSE)</f>
        <v>Electrosurgical Units, Monopolar/Bipolar</v>
      </c>
      <c r="GLO111" s="179" t="s">
        <v>428</v>
      </c>
      <c r="GLP111" s="180" t="str">
        <f>VLOOKUP(GLO111,[13]AssetDetails_UEM!$A$3:$AH$1849,6,FALSE)</f>
        <v>Electrosurgical Units, Monopolar/Bipolar</v>
      </c>
      <c r="GLQ111" s="179" t="s">
        <v>428</v>
      </c>
      <c r="GLR111" s="180" t="str">
        <f>VLOOKUP(GLQ111,[13]AssetDetails_UEM!$A$3:$AH$1849,6,FALSE)</f>
        <v>Electrosurgical Units, Monopolar/Bipolar</v>
      </c>
      <c r="GLS111" s="179" t="s">
        <v>428</v>
      </c>
      <c r="GLT111" s="180" t="str">
        <f>VLOOKUP(GLS111,[13]AssetDetails_UEM!$A$3:$AH$1849,6,FALSE)</f>
        <v>Electrosurgical Units, Monopolar/Bipolar</v>
      </c>
      <c r="GLU111" s="179" t="s">
        <v>428</v>
      </c>
      <c r="GLV111" s="180" t="str">
        <f>VLOOKUP(GLU111,[13]AssetDetails_UEM!$A$3:$AH$1849,6,FALSE)</f>
        <v>Electrosurgical Units, Monopolar/Bipolar</v>
      </c>
      <c r="GLW111" s="179" t="s">
        <v>428</v>
      </c>
      <c r="GLX111" s="180" t="str">
        <f>VLOOKUP(GLW111,[13]AssetDetails_UEM!$A$3:$AH$1849,6,FALSE)</f>
        <v>Electrosurgical Units, Monopolar/Bipolar</v>
      </c>
      <c r="GLY111" s="179" t="s">
        <v>428</v>
      </c>
      <c r="GLZ111" s="180" t="str">
        <f>VLOOKUP(GLY111,[13]AssetDetails_UEM!$A$3:$AH$1849,6,FALSE)</f>
        <v>Electrosurgical Units, Monopolar/Bipolar</v>
      </c>
      <c r="GMA111" s="179" t="s">
        <v>428</v>
      </c>
      <c r="GMB111" s="180" t="str">
        <f>VLOOKUP(GMA111,[13]AssetDetails_UEM!$A$3:$AH$1849,6,FALSE)</f>
        <v>Electrosurgical Units, Monopolar/Bipolar</v>
      </c>
      <c r="GMC111" s="179" t="s">
        <v>428</v>
      </c>
      <c r="GMD111" s="180" t="str">
        <f>VLOOKUP(GMC111,[13]AssetDetails_UEM!$A$3:$AH$1849,6,FALSE)</f>
        <v>Electrosurgical Units, Monopolar/Bipolar</v>
      </c>
      <c r="GME111" s="179" t="s">
        <v>428</v>
      </c>
      <c r="GMF111" s="180" t="str">
        <f>VLOOKUP(GME111,[13]AssetDetails_UEM!$A$3:$AH$1849,6,FALSE)</f>
        <v>Electrosurgical Units, Monopolar/Bipolar</v>
      </c>
      <c r="GMG111" s="179" t="s">
        <v>428</v>
      </c>
      <c r="GMH111" s="180" t="str">
        <f>VLOOKUP(GMG111,[13]AssetDetails_UEM!$A$3:$AH$1849,6,FALSE)</f>
        <v>Electrosurgical Units, Monopolar/Bipolar</v>
      </c>
      <c r="GMI111" s="179" t="s">
        <v>428</v>
      </c>
      <c r="GMJ111" s="180" t="str">
        <f>VLOOKUP(GMI111,[13]AssetDetails_UEM!$A$3:$AH$1849,6,FALSE)</f>
        <v>Electrosurgical Units, Monopolar/Bipolar</v>
      </c>
      <c r="GMK111" s="179" t="s">
        <v>428</v>
      </c>
      <c r="GML111" s="180" t="str">
        <f>VLOOKUP(GMK111,[13]AssetDetails_UEM!$A$3:$AH$1849,6,FALSE)</f>
        <v>Electrosurgical Units, Monopolar/Bipolar</v>
      </c>
      <c r="GMM111" s="179" t="s">
        <v>428</v>
      </c>
      <c r="GMN111" s="180" t="str">
        <f>VLOOKUP(GMM111,[13]AssetDetails_UEM!$A$3:$AH$1849,6,FALSE)</f>
        <v>Electrosurgical Units, Monopolar/Bipolar</v>
      </c>
      <c r="GMO111" s="179" t="s">
        <v>428</v>
      </c>
      <c r="GMP111" s="180" t="str">
        <f>VLOOKUP(GMO111,[13]AssetDetails_UEM!$A$3:$AH$1849,6,FALSE)</f>
        <v>Electrosurgical Units, Monopolar/Bipolar</v>
      </c>
      <c r="GMQ111" s="179" t="s">
        <v>428</v>
      </c>
      <c r="GMR111" s="180" t="str">
        <f>VLOOKUP(GMQ111,[13]AssetDetails_UEM!$A$3:$AH$1849,6,FALSE)</f>
        <v>Electrosurgical Units, Monopolar/Bipolar</v>
      </c>
      <c r="GMS111" s="179" t="s">
        <v>428</v>
      </c>
      <c r="GMT111" s="180" t="str">
        <f>VLOOKUP(GMS111,[13]AssetDetails_UEM!$A$3:$AH$1849,6,FALSE)</f>
        <v>Electrosurgical Units, Monopolar/Bipolar</v>
      </c>
      <c r="GMU111" s="179" t="s">
        <v>428</v>
      </c>
      <c r="GMV111" s="180" t="str">
        <f>VLOOKUP(GMU111,[13]AssetDetails_UEM!$A$3:$AH$1849,6,FALSE)</f>
        <v>Electrosurgical Units, Monopolar/Bipolar</v>
      </c>
      <c r="GMW111" s="179" t="s">
        <v>428</v>
      </c>
      <c r="GMX111" s="180" t="str">
        <f>VLOOKUP(GMW111,[13]AssetDetails_UEM!$A$3:$AH$1849,6,FALSE)</f>
        <v>Electrosurgical Units, Monopolar/Bipolar</v>
      </c>
      <c r="GMY111" s="179" t="s">
        <v>428</v>
      </c>
      <c r="GMZ111" s="180" t="str">
        <f>VLOOKUP(GMY111,[13]AssetDetails_UEM!$A$3:$AH$1849,6,FALSE)</f>
        <v>Electrosurgical Units, Monopolar/Bipolar</v>
      </c>
      <c r="GNA111" s="179" t="s">
        <v>428</v>
      </c>
      <c r="GNB111" s="180" t="str">
        <f>VLOOKUP(GNA111,[13]AssetDetails_UEM!$A$3:$AH$1849,6,FALSE)</f>
        <v>Electrosurgical Units, Monopolar/Bipolar</v>
      </c>
      <c r="GNC111" s="179" t="s">
        <v>428</v>
      </c>
      <c r="GND111" s="180" t="str">
        <f>VLOOKUP(GNC111,[13]AssetDetails_UEM!$A$3:$AH$1849,6,FALSE)</f>
        <v>Electrosurgical Units, Monopolar/Bipolar</v>
      </c>
      <c r="GNE111" s="179" t="s">
        <v>428</v>
      </c>
      <c r="GNF111" s="180" t="str">
        <f>VLOOKUP(GNE111,[13]AssetDetails_UEM!$A$3:$AH$1849,6,FALSE)</f>
        <v>Electrosurgical Units, Monopolar/Bipolar</v>
      </c>
      <c r="GNG111" s="179" t="s">
        <v>428</v>
      </c>
      <c r="GNH111" s="180" t="str">
        <f>VLOOKUP(GNG111,[13]AssetDetails_UEM!$A$3:$AH$1849,6,FALSE)</f>
        <v>Electrosurgical Units, Monopolar/Bipolar</v>
      </c>
      <c r="GNI111" s="179" t="s">
        <v>428</v>
      </c>
      <c r="GNJ111" s="180" t="str">
        <f>VLOOKUP(GNI111,[13]AssetDetails_UEM!$A$3:$AH$1849,6,FALSE)</f>
        <v>Electrosurgical Units, Monopolar/Bipolar</v>
      </c>
      <c r="GNK111" s="179" t="s">
        <v>428</v>
      </c>
      <c r="GNL111" s="180" t="str">
        <f>VLOOKUP(GNK111,[13]AssetDetails_UEM!$A$3:$AH$1849,6,FALSE)</f>
        <v>Electrosurgical Units, Monopolar/Bipolar</v>
      </c>
      <c r="GNM111" s="179" t="s">
        <v>428</v>
      </c>
      <c r="GNN111" s="180" t="str">
        <f>VLOOKUP(GNM111,[13]AssetDetails_UEM!$A$3:$AH$1849,6,FALSE)</f>
        <v>Electrosurgical Units, Monopolar/Bipolar</v>
      </c>
      <c r="GNO111" s="179" t="s">
        <v>428</v>
      </c>
      <c r="GNP111" s="180" t="str">
        <f>VLOOKUP(GNO111,[13]AssetDetails_UEM!$A$3:$AH$1849,6,FALSE)</f>
        <v>Electrosurgical Units, Monopolar/Bipolar</v>
      </c>
      <c r="GNQ111" s="179" t="s">
        <v>428</v>
      </c>
      <c r="GNR111" s="180" t="str">
        <f>VLOOKUP(GNQ111,[13]AssetDetails_UEM!$A$3:$AH$1849,6,FALSE)</f>
        <v>Electrosurgical Units, Monopolar/Bipolar</v>
      </c>
      <c r="GNS111" s="179" t="s">
        <v>428</v>
      </c>
      <c r="GNT111" s="180" t="str">
        <f>VLOOKUP(GNS111,[13]AssetDetails_UEM!$A$3:$AH$1849,6,FALSE)</f>
        <v>Electrosurgical Units, Monopolar/Bipolar</v>
      </c>
      <c r="GNU111" s="179" t="s">
        <v>428</v>
      </c>
      <c r="GNV111" s="180" t="str">
        <f>VLOOKUP(GNU111,[13]AssetDetails_UEM!$A$3:$AH$1849,6,FALSE)</f>
        <v>Electrosurgical Units, Monopolar/Bipolar</v>
      </c>
      <c r="GNW111" s="179" t="s">
        <v>428</v>
      </c>
      <c r="GNX111" s="180" t="str">
        <f>VLOOKUP(GNW111,[13]AssetDetails_UEM!$A$3:$AH$1849,6,FALSE)</f>
        <v>Electrosurgical Units, Monopolar/Bipolar</v>
      </c>
      <c r="GNY111" s="179" t="s">
        <v>428</v>
      </c>
      <c r="GNZ111" s="180" t="str">
        <f>VLOOKUP(GNY111,[13]AssetDetails_UEM!$A$3:$AH$1849,6,FALSE)</f>
        <v>Electrosurgical Units, Monopolar/Bipolar</v>
      </c>
      <c r="GOA111" s="179" t="s">
        <v>428</v>
      </c>
      <c r="GOB111" s="180" t="str">
        <f>VLOOKUP(GOA111,[13]AssetDetails_UEM!$A$3:$AH$1849,6,FALSE)</f>
        <v>Electrosurgical Units, Monopolar/Bipolar</v>
      </c>
      <c r="GOC111" s="179" t="s">
        <v>428</v>
      </c>
      <c r="GOD111" s="180" t="str">
        <f>VLOOKUP(GOC111,[13]AssetDetails_UEM!$A$3:$AH$1849,6,FALSE)</f>
        <v>Electrosurgical Units, Monopolar/Bipolar</v>
      </c>
      <c r="GOE111" s="179" t="s">
        <v>428</v>
      </c>
      <c r="GOF111" s="180" t="str">
        <f>VLOOKUP(GOE111,[13]AssetDetails_UEM!$A$3:$AH$1849,6,FALSE)</f>
        <v>Electrosurgical Units, Monopolar/Bipolar</v>
      </c>
      <c r="GOG111" s="179" t="s">
        <v>428</v>
      </c>
      <c r="GOH111" s="180" t="str">
        <f>VLOOKUP(GOG111,[13]AssetDetails_UEM!$A$3:$AH$1849,6,FALSE)</f>
        <v>Electrosurgical Units, Monopolar/Bipolar</v>
      </c>
      <c r="GOI111" s="179" t="s">
        <v>428</v>
      </c>
      <c r="GOJ111" s="180" t="str">
        <f>VLOOKUP(GOI111,[13]AssetDetails_UEM!$A$3:$AH$1849,6,FALSE)</f>
        <v>Electrosurgical Units, Monopolar/Bipolar</v>
      </c>
      <c r="GOK111" s="179" t="s">
        <v>428</v>
      </c>
      <c r="GOL111" s="180" t="str">
        <f>VLOOKUP(GOK111,[13]AssetDetails_UEM!$A$3:$AH$1849,6,FALSE)</f>
        <v>Electrosurgical Units, Monopolar/Bipolar</v>
      </c>
      <c r="GOM111" s="179" t="s">
        <v>428</v>
      </c>
      <c r="GON111" s="180" t="str">
        <f>VLOOKUP(GOM111,[13]AssetDetails_UEM!$A$3:$AH$1849,6,FALSE)</f>
        <v>Electrosurgical Units, Monopolar/Bipolar</v>
      </c>
      <c r="GOO111" s="179" t="s">
        <v>428</v>
      </c>
      <c r="GOP111" s="180" t="str">
        <f>VLOOKUP(GOO111,[13]AssetDetails_UEM!$A$3:$AH$1849,6,FALSE)</f>
        <v>Electrosurgical Units, Monopolar/Bipolar</v>
      </c>
      <c r="GOQ111" s="179" t="s">
        <v>428</v>
      </c>
      <c r="GOR111" s="180" t="str">
        <f>VLOOKUP(GOQ111,[13]AssetDetails_UEM!$A$3:$AH$1849,6,FALSE)</f>
        <v>Electrosurgical Units, Monopolar/Bipolar</v>
      </c>
      <c r="GOS111" s="179" t="s">
        <v>428</v>
      </c>
      <c r="GOT111" s="180" t="str">
        <f>VLOOKUP(GOS111,[13]AssetDetails_UEM!$A$3:$AH$1849,6,FALSE)</f>
        <v>Electrosurgical Units, Monopolar/Bipolar</v>
      </c>
      <c r="GOU111" s="179" t="s">
        <v>428</v>
      </c>
      <c r="GOV111" s="180" t="str">
        <f>VLOOKUP(GOU111,[13]AssetDetails_UEM!$A$3:$AH$1849,6,FALSE)</f>
        <v>Electrosurgical Units, Monopolar/Bipolar</v>
      </c>
      <c r="GOW111" s="179" t="s">
        <v>428</v>
      </c>
      <c r="GOX111" s="180" t="str">
        <f>VLOOKUP(GOW111,[13]AssetDetails_UEM!$A$3:$AH$1849,6,FALSE)</f>
        <v>Electrosurgical Units, Monopolar/Bipolar</v>
      </c>
      <c r="GOY111" s="179" t="s">
        <v>428</v>
      </c>
      <c r="GOZ111" s="180" t="str">
        <f>VLOOKUP(GOY111,[13]AssetDetails_UEM!$A$3:$AH$1849,6,FALSE)</f>
        <v>Electrosurgical Units, Monopolar/Bipolar</v>
      </c>
      <c r="GPA111" s="179" t="s">
        <v>428</v>
      </c>
      <c r="GPB111" s="180" t="str">
        <f>VLOOKUP(GPA111,[13]AssetDetails_UEM!$A$3:$AH$1849,6,FALSE)</f>
        <v>Electrosurgical Units, Monopolar/Bipolar</v>
      </c>
      <c r="GPC111" s="179" t="s">
        <v>428</v>
      </c>
      <c r="GPD111" s="180" t="str">
        <f>VLOOKUP(GPC111,[13]AssetDetails_UEM!$A$3:$AH$1849,6,FALSE)</f>
        <v>Electrosurgical Units, Monopolar/Bipolar</v>
      </c>
      <c r="GPE111" s="179" t="s">
        <v>428</v>
      </c>
      <c r="GPF111" s="180" t="str">
        <f>VLOOKUP(GPE111,[13]AssetDetails_UEM!$A$3:$AH$1849,6,FALSE)</f>
        <v>Electrosurgical Units, Monopolar/Bipolar</v>
      </c>
      <c r="GPG111" s="179" t="s">
        <v>428</v>
      </c>
      <c r="GPH111" s="180" t="str">
        <f>VLOOKUP(GPG111,[13]AssetDetails_UEM!$A$3:$AH$1849,6,FALSE)</f>
        <v>Electrosurgical Units, Monopolar/Bipolar</v>
      </c>
      <c r="GPI111" s="179" t="s">
        <v>428</v>
      </c>
      <c r="GPJ111" s="180" t="str">
        <f>VLOOKUP(GPI111,[13]AssetDetails_UEM!$A$3:$AH$1849,6,FALSE)</f>
        <v>Electrosurgical Units, Monopolar/Bipolar</v>
      </c>
      <c r="GPK111" s="179" t="s">
        <v>428</v>
      </c>
      <c r="GPL111" s="180" t="str">
        <f>VLOOKUP(GPK111,[13]AssetDetails_UEM!$A$3:$AH$1849,6,FALSE)</f>
        <v>Electrosurgical Units, Monopolar/Bipolar</v>
      </c>
      <c r="GPM111" s="179" t="s">
        <v>428</v>
      </c>
      <c r="GPN111" s="180" t="str">
        <f>VLOOKUP(GPM111,[13]AssetDetails_UEM!$A$3:$AH$1849,6,FALSE)</f>
        <v>Electrosurgical Units, Monopolar/Bipolar</v>
      </c>
      <c r="GPO111" s="179" t="s">
        <v>428</v>
      </c>
      <c r="GPP111" s="180" t="str">
        <f>VLOOKUP(GPO111,[13]AssetDetails_UEM!$A$3:$AH$1849,6,FALSE)</f>
        <v>Electrosurgical Units, Monopolar/Bipolar</v>
      </c>
      <c r="GPQ111" s="179" t="s">
        <v>428</v>
      </c>
      <c r="GPR111" s="180" t="str">
        <f>VLOOKUP(GPQ111,[13]AssetDetails_UEM!$A$3:$AH$1849,6,FALSE)</f>
        <v>Electrosurgical Units, Monopolar/Bipolar</v>
      </c>
      <c r="GPS111" s="179" t="s">
        <v>428</v>
      </c>
      <c r="GPT111" s="180" t="str">
        <f>VLOOKUP(GPS111,[13]AssetDetails_UEM!$A$3:$AH$1849,6,FALSE)</f>
        <v>Electrosurgical Units, Monopolar/Bipolar</v>
      </c>
      <c r="GPU111" s="179" t="s">
        <v>428</v>
      </c>
      <c r="GPV111" s="180" t="str">
        <f>VLOOKUP(GPU111,[13]AssetDetails_UEM!$A$3:$AH$1849,6,FALSE)</f>
        <v>Electrosurgical Units, Monopolar/Bipolar</v>
      </c>
      <c r="GPW111" s="179" t="s">
        <v>428</v>
      </c>
      <c r="GPX111" s="180" t="str">
        <f>VLOOKUP(GPW111,[13]AssetDetails_UEM!$A$3:$AH$1849,6,FALSE)</f>
        <v>Electrosurgical Units, Monopolar/Bipolar</v>
      </c>
      <c r="GPY111" s="179" t="s">
        <v>428</v>
      </c>
      <c r="GPZ111" s="180" t="str">
        <f>VLOOKUP(GPY111,[13]AssetDetails_UEM!$A$3:$AH$1849,6,FALSE)</f>
        <v>Electrosurgical Units, Monopolar/Bipolar</v>
      </c>
      <c r="GQA111" s="179" t="s">
        <v>428</v>
      </c>
      <c r="GQB111" s="180" t="str">
        <f>VLOOKUP(GQA111,[13]AssetDetails_UEM!$A$3:$AH$1849,6,FALSE)</f>
        <v>Electrosurgical Units, Monopolar/Bipolar</v>
      </c>
      <c r="GQC111" s="179" t="s">
        <v>428</v>
      </c>
      <c r="GQD111" s="180" t="str">
        <f>VLOOKUP(GQC111,[13]AssetDetails_UEM!$A$3:$AH$1849,6,FALSE)</f>
        <v>Electrosurgical Units, Monopolar/Bipolar</v>
      </c>
      <c r="GQE111" s="179" t="s">
        <v>428</v>
      </c>
      <c r="GQF111" s="180" t="str">
        <f>VLOOKUP(GQE111,[13]AssetDetails_UEM!$A$3:$AH$1849,6,FALSE)</f>
        <v>Electrosurgical Units, Monopolar/Bipolar</v>
      </c>
      <c r="GQG111" s="179" t="s">
        <v>428</v>
      </c>
      <c r="GQH111" s="180" t="str">
        <f>VLOOKUP(GQG111,[13]AssetDetails_UEM!$A$3:$AH$1849,6,FALSE)</f>
        <v>Electrosurgical Units, Monopolar/Bipolar</v>
      </c>
      <c r="GQI111" s="179" t="s">
        <v>428</v>
      </c>
      <c r="GQJ111" s="180" t="str">
        <f>VLOOKUP(GQI111,[13]AssetDetails_UEM!$A$3:$AH$1849,6,FALSE)</f>
        <v>Electrosurgical Units, Monopolar/Bipolar</v>
      </c>
      <c r="GQK111" s="179" t="s">
        <v>428</v>
      </c>
      <c r="GQL111" s="180" t="str">
        <f>VLOOKUP(GQK111,[13]AssetDetails_UEM!$A$3:$AH$1849,6,FALSE)</f>
        <v>Electrosurgical Units, Monopolar/Bipolar</v>
      </c>
      <c r="GQM111" s="179" t="s">
        <v>428</v>
      </c>
      <c r="GQN111" s="180" t="str">
        <f>VLOOKUP(GQM111,[13]AssetDetails_UEM!$A$3:$AH$1849,6,FALSE)</f>
        <v>Electrosurgical Units, Monopolar/Bipolar</v>
      </c>
      <c r="GQO111" s="179" t="s">
        <v>428</v>
      </c>
      <c r="GQP111" s="180" t="str">
        <f>VLOOKUP(GQO111,[13]AssetDetails_UEM!$A$3:$AH$1849,6,FALSE)</f>
        <v>Electrosurgical Units, Monopolar/Bipolar</v>
      </c>
      <c r="GQQ111" s="179" t="s">
        <v>428</v>
      </c>
      <c r="GQR111" s="180" t="str">
        <f>VLOOKUP(GQQ111,[13]AssetDetails_UEM!$A$3:$AH$1849,6,FALSE)</f>
        <v>Electrosurgical Units, Monopolar/Bipolar</v>
      </c>
      <c r="GQS111" s="179" t="s">
        <v>428</v>
      </c>
      <c r="GQT111" s="180" t="str">
        <f>VLOOKUP(GQS111,[13]AssetDetails_UEM!$A$3:$AH$1849,6,FALSE)</f>
        <v>Electrosurgical Units, Monopolar/Bipolar</v>
      </c>
      <c r="GQU111" s="179" t="s">
        <v>428</v>
      </c>
      <c r="GQV111" s="180" t="str">
        <f>VLOOKUP(GQU111,[13]AssetDetails_UEM!$A$3:$AH$1849,6,FALSE)</f>
        <v>Electrosurgical Units, Monopolar/Bipolar</v>
      </c>
      <c r="GQW111" s="179" t="s">
        <v>428</v>
      </c>
      <c r="GQX111" s="180" t="str">
        <f>VLOOKUP(GQW111,[13]AssetDetails_UEM!$A$3:$AH$1849,6,FALSE)</f>
        <v>Electrosurgical Units, Monopolar/Bipolar</v>
      </c>
      <c r="GQY111" s="179" t="s">
        <v>428</v>
      </c>
      <c r="GQZ111" s="180" t="str">
        <f>VLOOKUP(GQY111,[13]AssetDetails_UEM!$A$3:$AH$1849,6,FALSE)</f>
        <v>Electrosurgical Units, Monopolar/Bipolar</v>
      </c>
      <c r="GRA111" s="179" t="s">
        <v>428</v>
      </c>
      <c r="GRB111" s="180" t="str">
        <f>VLOOKUP(GRA111,[13]AssetDetails_UEM!$A$3:$AH$1849,6,FALSE)</f>
        <v>Electrosurgical Units, Monopolar/Bipolar</v>
      </c>
      <c r="GRC111" s="179" t="s">
        <v>428</v>
      </c>
      <c r="GRD111" s="180" t="str">
        <f>VLOOKUP(GRC111,[13]AssetDetails_UEM!$A$3:$AH$1849,6,FALSE)</f>
        <v>Electrosurgical Units, Monopolar/Bipolar</v>
      </c>
      <c r="GRE111" s="179" t="s">
        <v>428</v>
      </c>
      <c r="GRF111" s="180" t="str">
        <f>VLOOKUP(GRE111,[13]AssetDetails_UEM!$A$3:$AH$1849,6,FALSE)</f>
        <v>Electrosurgical Units, Monopolar/Bipolar</v>
      </c>
      <c r="GRG111" s="179" t="s">
        <v>428</v>
      </c>
      <c r="GRH111" s="180" t="str">
        <f>VLOOKUP(GRG111,[13]AssetDetails_UEM!$A$3:$AH$1849,6,FALSE)</f>
        <v>Electrosurgical Units, Monopolar/Bipolar</v>
      </c>
      <c r="GRI111" s="179" t="s">
        <v>428</v>
      </c>
      <c r="GRJ111" s="180" t="str">
        <f>VLOOKUP(GRI111,[13]AssetDetails_UEM!$A$3:$AH$1849,6,FALSE)</f>
        <v>Electrosurgical Units, Monopolar/Bipolar</v>
      </c>
      <c r="GRK111" s="179" t="s">
        <v>428</v>
      </c>
      <c r="GRL111" s="180" t="str">
        <f>VLOOKUP(GRK111,[13]AssetDetails_UEM!$A$3:$AH$1849,6,FALSE)</f>
        <v>Electrosurgical Units, Monopolar/Bipolar</v>
      </c>
      <c r="GRM111" s="179" t="s">
        <v>428</v>
      </c>
      <c r="GRN111" s="180" t="str">
        <f>VLOOKUP(GRM111,[13]AssetDetails_UEM!$A$3:$AH$1849,6,FALSE)</f>
        <v>Electrosurgical Units, Monopolar/Bipolar</v>
      </c>
      <c r="GRO111" s="179" t="s">
        <v>428</v>
      </c>
      <c r="GRP111" s="180" t="str">
        <f>VLOOKUP(GRO111,[13]AssetDetails_UEM!$A$3:$AH$1849,6,FALSE)</f>
        <v>Electrosurgical Units, Monopolar/Bipolar</v>
      </c>
      <c r="GRQ111" s="179" t="s">
        <v>428</v>
      </c>
      <c r="GRR111" s="180" t="str">
        <f>VLOOKUP(GRQ111,[13]AssetDetails_UEM!$A$3:$AH$1849,6,FALSE)</f>
        <v>Electrosurgical Units, Monopolar/Bipolar</v>
      </c>
      <c r="GRS111" s="179" t="s">
        <v>428</v>
      </c>
      <c r="GRT111" s="180" t="str">
        <f>VLOOKUP(GRS111,[13]AssetDetails_UEM!$A$3:$AH$1849,6,FALSE)</f>
        <v>Electrosurgical Units, Monopolar/Bipolar</v>
      </c>
      <c r="GRU111" s="179" t="s">
        <v>428</v>
      </c>
      <c r="GRV111" s="180" t="str">
        <f>VLOOKUP(GRU111,[13]AssetDetails_UEM!$A$3:$AH$1849,6,FALSE)</f>
        <v>Electrosurgical Units, Monopolar/Bipolar</v>
      </c>
      <c r="GRW111" s="179" t="s">
        <v>428</v>
      </c>
      <c r="GRX111" s="180" t="str">
        <f>VLOOKUP(GRW111,[13]AssetDetails_UEM!$A$3:$AH$1849,6,FALSE)</f>
        <v>Electrosurgical Units, Monopolar/Bipolar</v>
      </c>
      <c r="GRY111" s="179" t="s">
        <v>428</v>
      </c>
      <c r="GRZ111" s="180" t="str">
        <f>VLOOKUP(GRY111,[13]AssetDetails_UEM!$A$3:$AH$1849,6,FALSE)</f>
        <v>Electrosurgical Units, Monopolar/Bipolar</v>
      </c>
      <c r="GSA111" s="179" t="s">
        <v>428</v>
      </c>
      <c r="GSB111" s="180" t="str">
        <f>VLOOKUP(GSA111,[13]AssetDetails_UEM!$A$3:$AH$1849,6,FALSE)</f>
        <v>Electrosurgical Units, Monopolar/Bipolar</v>
      </c>
      <c r="GSC111" s="179" t="s">
        <v>428</v>
      </c>
      <c r="GSD111" s="180" t="str">
        <f>VLOOKUP(GSC111,[13]AssetDetails_UEM!$A$3:$AH$1849,6,FALSE)</f>
        <v>Electrosurgical Units, Monopolar/Bipolar</v>
      </c>
      <c r="GSE111" s="179" t="s">
        <v>428</v>
      </c>
      <c r="GSF111" s="180" t="str">
        <f>VLOOKUP(GSE111,[13]AssetDetails_UEM!$A$3:$AH$1849,6,FALSE)</f>
        <v>Electrosurgical Units, Monopolar/Bipolar</v>
      </c>
      <c r="GSG111" s="179" t="s">
        <v>428</v>
      </c>
      <c r="GSH111" s="180" t="str">
        <f>VLOOKUP(GSG111,[13]AssetDetails_UEM!$A$3:$AH$1849,6,FALSE)</f>
        <v>Electrosurgical Units, Monopolar/Bipolar</v>
      </c>
      <c r="GSI111" s="179" t="s">
        <v>428</v>
      </c>
      <c r="GSJ111" s="180" t="str">
        <f>VLOOKUP(GSI111,[13]AssetDetails_UEM!$A$3:$AH$1849,6,FALSE)</f>
        <v>Electrosurgical Units, Monopolar/Bipolar</v>
      </c>
      <c r="GSK111" s="179" t="s">
        <v>428</v>
      </c>
      <c r="GSL111" s="180" t="str">
        <f>VLOOKUP(GSK111,[13]AssetDetails_UEM!$A$3:$AH$1849,6,FALSE)</f>
        <v>Electrosurgical Units, Monopolar/Bipolar</v>
      </c>
      <c r="GSM111" s="179" t="s">
        <v>428</v>
      </c>
      <c r="GSN111" s="180" t="str">
        <f>VLOOKUP(GSM111,[13]AssetDetails_UEM!$A$3:$AH$1849,6,FALSE)</f>
        <v>Electrosurgical Units, Monopolar/Bipolar</v>
      </c>
      <c r="GSO111" s="179" t="s">
        <v>428</v>
      </c>
      <c r="GSP111" s="180" t="str">
        <f>VLOOKUP(GSO111,[13]AssetDetails_UEM!$A$3:$AH$1849,6,FALSE)</f>
        <v>Electrosurgical Units, Monopolar/Bipolar</v>
      </c>
      <c r="GSQ111" s="179" t="s">
        <v>428</v>
      </c>
      <c r="GSR111" s="180" t="str">
        <f>VLOOKUP(GSQ111,[13]AssetDetails_UEM!$A$3:$AH$1849,6,FALSE)</f>
        <v>Electrosurgical Units, Monopolar/Bipolar</v>
      </c>
      <c r="GSS111" s="179" t="s">
        <v>428</v>
      </c>
      <c r="GST111" s="180" t="str">
        <f>VLOOKUP(GSS111,[13]AssetDetails_UEM!$A$3:$AH$1849,6,FALSE)</f>
        <v>Electrosurgical Units, Monopolar/Bipolar</v>
      </c>
      <c r="GSU111" s="179" t="s">
        <v>428</v>
      </c>
      <c r="GSV111" s="180" t="str">
        <f>VLOOKUP(GSU111,[13]AssetDetails_UEM!$A$3:$AH$1849,6,FALSE)</f>
        <v>Electrosurgical Units, Monopolar/Bipolar</v>
      </c>
      <c r="GSW111" s="179" t="s">
        <v>428</v>
      </c>
      <c r="GSX111" s="180" t="str">
        <f>VLOOKUP(GSW111,[13]AssetDetails_UEM!$A$3:$AH$1849,6,FALSE)</f>
        <v>Electrosurgical Units, Monopolar/Bipolar</v>
      </c>
      <c r="GSY111" s="179" t="s">
        <v>428</v>
      </c>
      <c r="GSZ111" s="180" t="str">
        <f>VLOOKUP(GSY111,[13]AssetDetails_UEM!$A$3:$AH$1849,6,FALSE)</f>
        <v>Electrosurgical Units, Monopolar/Bipolar</v>
      </c>
      <c r="GTA111" s="179" t="s">
        <v>428</v>
      </c>
      <c r="GTB111" s="180" t="str">
        <f>VLOOKUP(GTA111,[13]AssetDetails_UEM!$A$3:$AH$1849,6,FALSE)</f>
        <v>Electrosurgical Units, Monopolar/Bipolar</v>
      </c>
      <c r="GTC111" s="179" t="s">
        <v>428</v>
      </c>
      <c r="GTD111" s="180" t="str">
        <f>VLOOKUP(GTC111,[13]AssetDetails_UEM!$A$3:$AH$1849,6,FALSE)</f>
        <v>Electrosurgical Units, Monopolar/Bipolar</v>
      </c>
      <c r="GTE111" s="179" t="s">
        <v>428</v>
      </c>
      <c r="GTF111" s="180" t="str">
        <f>VLOOKUP(GTE111,[13]AssetDetails_UEM!$A$3:$AH$1849,6,FALSE)</f>
        <v>Electrosurgical Units, Monopolar/Bipolar</v>
      </c>
      <c r="GTG111" s="179" t="s">
        <v>428</v>
      </c>
      <c r="GTH111" s="180" t="str">
        <f>VLOOKUP(GTG111,[13]AssetDetails_UEM!$A$3:$AH$1849,6,FALSE)</f>
        <v>Electrosurgical Units, Monopolar/Bipolar</v>
      </c>
      <c r="GTI111" s="179" t="s">
        <v>428</v>
      </c>
      <c r="GTJ111" s="180" t="str">
        <f>VLOOKUP(GTI111,[13]AssetDetails_UEM!$A$3:$AH$1849,6,FALSE)</f>
        <v>Electrosurgical Units, Monopolar/Bipolar</v>
      </c>
      <c r="GTK111" s="179" t="s">
        <v>428</v>
      </c>
      <c r="GTL111" s="180" t="str">
        <f>VLOOKUP(GTK111,[13]AssetDetails_UEM!$A$3:$AH$1849,6,FALSE)</f>
        <v>Electrosurgical Units, Monopolar/Bipolar</v>
      </c>
      <c r="GTM111" s="179" t="s">
        <v>428</v>
      </c>
      <c r="GTN111" s="180" t="str">
        <f>VLOOKUP(GTM111,[13]AssetDetails_UEM!$A$3:$AH$1849,6,FALSE)</f>
        <v>Electrosurgical Units, Monopolar/Bipolar</v>
      </c>
      <c r="GTO111" s="179" t="s">
        <v>428</v>
      </c>
      <c r="GTP111" s="180" t="str">
        <f>VLOOKUP(GTO111,[13]AssetDetails_UEM!$A$3:$AH$1849,6,FALSE)</f>
        <v>Electrosurgical Units, Monopolar/Bipolar</v>
      </c>
      <c r="GTQ111" s="179" t="s">
        <v>428</v>
      </c>
      <c r="GTR111" s="180" t="str">
        <f>VLOOKUP(GTQ111,[13]AssetDetails_UEM!$A$3:$AH$1849,6,FALSE)</f>
        <v>Electrosurgical Units, Monopolar/Bipolar</v>
      </c>
      <c r="GTS111" s="179" t="s">
        <v>428</v>
      </c>
      <c r="GTT111" s="180" t="str">
        <f>VLOOKUP(GTS111,[13]AssetDetails_UEM!$A$3:$AH$1849,6,FALSE)</f>
        <v>Electrosurgical Units, Monopolar/Bipolar</v>
      </c>
      <c r="GTU111" s="179" t="s">
        <v>428</v>
      </c>
      <c r="GTV111" s="180" t="str">
        <f>VLOOKUP(GTU111,[13]AssetDetails_UEM!$A$3:$AH$1849,6,FALSE)</f>
        <v>Electrosurgical Units, Monopolar/Bipolar</v>
      </c>
      <c r="GTW111" s="179" t="s">
        <v>428</v>
      </c>
      <c r="GTX111" s="180" t="str">
        <f>VLOOKUP(GTW111,[13]AssetDetails_UEM!$A$3:$AH$1849,6,FALSE)</f>
        <v>Electrosurgical Units, Monopolar/Bipolar</v>
      </c>
      <c r="GTY111" s="179" t="s">
        <v>428</v>
      </c>
      <c r="GTZ111" s="180" t="str">
        <f>VLOOKUP(GTY111,[13]AssetDetails_UEM!$A$3:$AH$1849,6,FALSE)</f>
        <v>Electrosurgical Units, Monopolar/Bipolar</v>
      </c>
      <c r="GUA111" s="179" t="s">
        <v>428</v>
      </c>
      <c r="GUB111" s="180" t="str">
        <f>VLOOKUP(GUA111,[13]AssetDetails_UEM!$A$3:$AH$1849,6,FALSE)</f>
        <v>Electrosurgical Units, Monopolar/Bipolar</v>
      </c>
      <c r="GUC111" s="179" t="s">
        <v>428</v>
      </c>
      <c r="GUD111" s="180" t="str">
        <f>VLOOKUP(GUC111,[13]AssetDetails_UEM!$A$3:$AH$1849,6,FALSE)</f>
        <v>Electrosurgical Units, Monopolar/Bipolar</v>
      </c>
      <c r="GUE111" s="179" t="s">
        <v>428</v>
      </c>
      <c r="GUF111" s="180" t="str">
        <f>VLOOKUP(GUE111,[13]AssetDetails_UEM!$A$3:$AH$1849,6,FALSE)</f>
        <v>Electrosurgical Units, Monopolar/Bipolar</v>
      </c>
      <c r="GUG111" s="179" t="s">
        <v>428</v>
      </c>
      <c r="GUH111" s="180" t="str">
        <f>VLOOKUP(GUG111,[13]AssetDetails_UEM!$A$3:$AH$1849,6,FALSE)</f>
        <v>Electrosurgical Units, Monopolar/Bipolar</v>
      </c>
      <c r="GUI111" s="179" t="s">
        <v>428</v>
      </c>
      <c r="GUJ111" s="180" t="str">
        <f>VLOOKUP(GUI111,[13]AssetDetails_UEM!$A$3:$AH$1849,6,FALSE)</f>
        <v>Electrosurgical Units, Monopolar/Bipolar</v>
      </c>
      <c r="GUK111" s="179" t="s">
        <v>428</v>
      </c>
      <c r="GUL111" s="180" t="str">
        <f>VLOOKUP(GUK111,[13]AssetDetails_UEM!$A$3:$AH$1849,6,FALSE)</f>
        <v>Electrosurgical Units, Monopolar/Bipolar</v>
      </c>
      <c r="GUM111" s="179" t="s">
        <v>428</v>
      </c>
      <c r="GUN111" s="180" t="str">
        <f>VLOOKUP(GUM111,[13]AssetDetails_UEM!$A$3:$AH$1849,6,FALSE)</f>
        <v>Electrosurgical Units, Monopolar/Bipolar</v>
      </c>
      <c r="GUO111" s="179" t="s">
        <v>428</v>
      </c>
      <c r="GUP111" s="180" t="str">
        <f>VLOOKUP(GUO111,[13]AssetDetails_UEM!$A$3:$AH$1849,6,FALSE)</f>
        <v>Electrosurgical Units, Monopolar/Bipolar</v>
      </c>
      <c r="GUQ111" s="179" t="s">
        <v>428</v>
      </c>
      <c r="GUR111" s="180" t="str">
        <f>VLOOKUP(GUQ111,[13]AssetDetails_UEM!$A$3:$AH$1849,6,FALSE)</f>
        <v>Electrosurgical Units, Monopolar/Bipolar</v>
      </c>
      <c r="GUS111" s="179" t="s">
        <v>428</v>
      </c>
      <c r="GUT111" s="180" t="str">
        <f>VLOOKUP(GUS111,[13]AssetDetails_UEM!$A$3:$AH$1849,6,FALSE)</f>
        <v>Electrosurgical Units, Monopolar/Bipolar</v>
      </c>
      <c r="GUU111" s="179" t="s">
        <v>428</v>
      </c>
      <c r="GUV111" s="180" t="str">
        <f>VLOOKUP(GUU111,[13]AssetDetails_UEM!$A$3:$AH$1849,6,FALSE)</f>
        <v>Electrosurgical Units, Monopolar/Bipolar</v>
      </c>
      <c r="GUW111" s="179" t="s">
        <v>428</v>
      </c>
      <c r="GUX111" s="180" t="str">
        <f>VLOOKUP(GUW111,[13]AssetDetails_UEM!$A$3:$AH$1849,6,FALSE)</f>
        <v>Electrosurgical Units, Monopolar/Bipolar</v>
      </c>
      <c r="GUY111" s="179" t="s">
        <v>428</v>
      </c>
      <c r="GUZ111" s="180" t="str">
        <f>VLOOKUP(GUY111,[13]AssetDetails_UEM!$A$3:$AH$1849,6,FALSE)</f>
        <v>Electrosurgical Units, Monopolar/Bipolar</v>
      </c>
      <c r="GVA111" s="179" t="s">
        <v>428</v>
      </c>
      <c r="GVB111" s="180" t="str">
        <f>VLOOKUP(GVA111,[13]AssetDetails_UEM!$A$3:$AH$1849,6,FALSE)</f>
        <v>Electrosurgical Units, Monopolar/Bipolar</v>
      </c>
      <c r="GVC111" s="179" t="s">
        <v>428</v>
      </c>
      <c r="GVD111" s="180" t="str">
        <f>VLOOKUP(GVC111,[13]AssetDetails_UEM!$A$3:$AH$1849,6,FALSE)</f>
        <v>Electrosurgical Units, Monopolar/Bipolar</v>
      </c>
      <c r="GVE111" s="179" t="s">
        <v>428</v>
      </c>
      <c r="GVF111" s="180" t="str">
        <f>VLOOKUP(GVE111,[13]AssetDetails_UEM!$A$3:$AH$1849,6,FALSE)</f>
        <v>Electrosurgical Units, Monopolar/Bipolar</v>
      </c>
      <c r="GVG111" s="179" t="s">
        <v>428</v>
      </c>
      <c r="GVH111" s="180" t="str">
        <f>VLOOKUP(GVG111,[13]AssetDetails_UEM!$A$3:$AH$1849,6,FALSE)</f>
        <v>Electrosurgical Units, Monopolar/Bipolar</v>
      </c>
      <c r="GVI111" s="179" t="s">
        <v>428</v>
      </c>
      <c r="GVJ111" s="180" t="str">
        <f>VLOOKUP(GVI111,[13]AssetDetails_UEM!$A$3:$AH$1849,6,FALSE)</f>
        <v>Electrosurgical Units, Monopolar/Bipolar</v>
      </c>
      <c r="GVK111" s="179" t="s">
        <v>428</v>
      </c>
      <c r="GVL111" s="180" t="str">
        <f>VLOOKUP(GVK111,[13]AssetDetails_UEM!$A$3:$AH$1849,6,FALSE)</f>
        <v>Electrosurgical Units, Monopolar/Bipolar</v>
      </c>
      <c r="GVM111" s="179" t="s">
        <v>428</v>
      </c>
      <c r="GVN111" s="180" t="str">
        <f>VLOOKUP(GVM111,[13]AssetDetails_UEM!$A$3:$AH$1849,6,FALSE)</f>
        <v>Electrosurgical Units, Monopolar/Bipolar</v>
      </c>
      <c r="GVO111" s="179" t="s">
        <v>428</v>
      </c>
      <c r="GVP111" s="180" t="str">
        <f>VLOOKUP(GVO111,[13]AssetDetails_UEM!$A$3:$AH$1849,6,FALSE)</f>
        <v>Electrosurgical Units, Monopolar/Bipolar</v>
      </c>
      <c r="GVQ111" s="179" t="s">
        <v>428</v>
      </c>
      <c r="GVR111" s="180" t="str">
        <f>VLOOKUP(GVQ111,[13]AssetDetails_UEM!$A$3:$AH$1849,6,FALSE)</f>
        <v>Electrosurgical Units, Monopolar/Bipolar</v>
      </c>
      <c r="GVS111" s="179" t="s">
        <v>428</v>
      </c>
      <c r="GVT111" s="180" t="str">
        <f>VLOOKUP(GVS111,[13]AssetDetails_UEM!$A$3:$AH$1849,6,FALSE)</f>
        <v>Electrosurgical Units, Monopolar/Bipolar</v>
      </c>
      <c r="GVU111" s="179" t="s">
        <v>428</v>
      </c>
      <c r="GVV111" s="180" t="str">
        <f>VLOOKUP(GVU111,[13]AssetDetails_UEM!$A$3:$AH$1849,6,FALSE)</f>
        <v>Electrosurgical Units, Monopolar/Bipolar</v>
      </c>
      <c r="GVW111" s="179" t="s">
        <v>428</v>
      </c>
      <c r="GVX111" s="180" t="str">
        <f>VLOOKUP(GVW111,[13]AssetDetails_UEM!$A$3:$AH$1849,6,FALSE)</f>
        <v>Electrosurgical Units, Monopolar/Bipolar</v>
      </c>
      <c r="GVY111" s="179" t="s">
        <v>428</v>
      </c>
      <c r="GVZ111" s="180" t="str">
        <f>VLOOKUP(GVY111,[13]AssetDetails_UEM!$A$3:$AH$1849,6,FALSE)</f>
        <v>Electrosurgical Units, Monopolar/Bipolar</v>
      </c>
      <c r="GWA111" s="179" t="s">
        <v>428</v>
      </c>
      <c r="GWB111" s="180" t="str">
        <f>VLOOKUP(GWA111,[13]AssetDetails_UEM!$A$3:$AH$1849,6,FALSE)</f>
        <v>Electrosurgical Units, Monopolar/Bipolar</v>
      </c>
      <c r="GWC111" s="179" t="s">
        <v>428</v>
      </c>
      <c r="GWD111" s="180" t="str">
        <f>VLOOKUP(GWC111,[13]AssetDetails_UEM!$A$3:$AH$1849,6,FALSE)</f>
        <v>Electrosurgical Units, Monopolar/Bipolar</v>
      </c>
      <c r="GWE111" s="179" t="s">
        <v>428</v>
      </c>
      <c r="GWF111" s="180" t="str">
        <f>VLOOKUP(GWE111,[13]AssetDetails_UEM!$A$3:$AH$1849,6,FALSE)</f>
        <v>Electrosurgical Units, Monopolar/Bipolar</v>
      </c>
      <c r="GWG111" s="179" t="s">
        <v>428</v>
      </c>
      <c r="GWH111" s="180" t="str">
        <f>VLOOKUP(GWG111,[13]AssetDetails_UEM!$A$3:$AH$1849,6,FALSE)</f>
        <v>Electrosurgical Units, Monopolar/Bipolar</v>
      </c>
      <c r="GWI111" s="179" t="s">
        <v>428</v>
      </c>
      <c r="GWJ111" s="180" t="str">
        <f>VLOOKUP(GWI111,[13]AssetDetails_UEM!$A$3:$AH$1849,6,FALSE)</f>
        <v>Electrosurgical Units, Monopolar/Bipolar</v>
      </c>
      <c r="GWK111" s="179" t="s">
        <v>428</v>
      </c>
      <c r="GWL111" s="180" t="str">
        <f>VLOOKUP(GWK111,[13]AssetDetails_UEM!$A$3:$AH$1849,6,FALSE)</f>
        <v>Electrosurgical Units, Monopolar/Bipolar</v>
      </c>
      <c r="GWM111" s="179" t="s">
        <v>428</v>
      </c>
      <c r="GWN111" s="180" t="str">
        <f>VLOOKUP(GWM111,[13]AssetDetails_UEM!$A$3:$AH$1849,6,FALSE)</f>
        <v>Electrosurgical Units, Monopolar/Bipolar</v>
      </c>
      <c r="GWO111" s="179" t="s">
        <v>428</v>
      </c>
      <c r="GWP111" s="180" t="str">
        <f>VLOOKUP(GWO111,[13]AssetDetails_UEM!$A$3:$AH$1849,6,FALSE)</f>
        <v>Electrosurgical Units, Monopolar/Bipolar</v>
      </c>
      <c r="GWQ111" s="179" t="s">
        <v>428</v>
      </c>
      <c r="GWR111" s="180" t="str">
        <f>VLOOKUP(GWQ111,[13]AssetDetails_UEM!$A$3:$AH$1849,6,FALSE)</f>
        <v>Electrosurgical Units, Monopolar/Bipolar</v>
      </c>
      <c r="GWS111" s="179" t="s">
        <v>428</v>
      </c>
      <c r="GWT111" s="180" t="str">
        <f>VLOOKUP(GWS111,[13]AssetDetails_UEM!$A$3:$AH$1849,6,FALSE)</f>
        <v>Electrosurgical Units, Monopolar/Bipolar</v>
      </c>
      <c r="GWU111" s="179" t="s">
        <v>428</v>
      </c>
      <c r="GWV111" s="180" t="str">
        <f>VLOOKUP(GWU111,[13]AssetDetails_UEM!$A$3:$AH$1849,6,FALSE)</f>
        <v>Electrosurgical Units, Monopolar/Bipolar</v>
      </c>
      <c r="GWW111" s="179" t="s">
        <v>428</v>
      </c>
      <c r="GWX111" s="180" t="str">
        <f>VLOOKUP(GWW111,[13]AssetDetails_UEM!$A$3:$AH$1849,6,FALSE)</f>
        <v>Electrosurgical Units, Monopolar/Bipolar</v>
      </c>
      <c r="GWY111" s="179" t="s">
        <v>428</v>
      </c>
      <c r="GWZ111" s="180" t="str">
        <f>VLOOKUP(GWY111,[13]AssetDetails_UEM!$A$3:$AH$1849,6,FALSE)</f>
        <v>Electrosurgical Units, Monopolar/Bipolar</v>
      </c>
      <c r="GXA111" s="179" t="s">
        <v>428</v>
      </c>
      <c r="GXB111" s="180" t="str">
        <f>VLOOKUP(GXA111,[13]AssetDetails_UEM!$A$3:$AH$1849,6,FALSE)</f>
        <v>Electrosurgical Units, Monopolar/Bipolar</v>
      </c>
      <c r="GXC111" s="179" t="s">
        <v>428</v>
      </c>
      <c r="GXD111" s="180" t="str">
        <f>VLOOKUP(GXC111,[13]AssetDetails_UEM!$A$3:$AH$1849,6,FALSE)</f>
        <v>Electrosurgical Units, Monopolar/Bipolar</v>
      </c>
      <c r="GXE111" s="179" t="s">
        <v>428</v>
      </c>
      <c r="GXF111" s="180" t="str">
        <f>VLOOKUP(GXE111,[13]AssetDetails_UEM!$A$3:$AH$1849,6,FALSE)</f>
        <v>Electrosurgical Units, Monopolar/Bipolar</v>
      </c>
      <c r="GXG111" s="179" t="s">
        <v>428</v>
      </c>
      <c r="GXH111" s="180" t="str">
        <f>VLOOKUP(GXG111,[13]AssetDetails_UEM!$A$3:$AH$1849,6,FALSE)</f>
        <v>Electrosurgical Units, Monopolar/Bipolar</v>
      </c>
      <c r="GXI111" s="179" t="s">
        <v>428</v>
      </c>
      <c r="GXJ111" s="180" t="str">
        <f>VLOOKUP(GXI111,[13]AssetDetails_UEM!$A$3:$AH$1849,6,FALSE)</f>
        <v>Electrosurgical Units, Monopolar/Bipolar</v>
      </c>
      <c r="GXK111" s="179" t="s">
        <v>428</v>
      </c>
      <c r="GXL111" s="180" t="str">
        <f>VLOOKUP(GXK111,[13]AssetDetails_UEM!$A$3:$AH$1849,6,FALSE)</f>
        <v>Electrosurgical Units, Monopolar/Bipolar</v>
      </c>
      <c r="GXM111" s="179" t="s">
        <v>428</v>
      </c>
      <c r="GXN111" s="180" t="str">
        <f>VLOOKUP(GXM111,[13]AssetDetails_UEM!$A$3:$AH$1849,6,FALSE)</f>
        <v>Electrosurgical Units, Monopolar/Bipolar</v>
      </c>
      <c r="GXO111" s="179" t="s">
        <v>428</v>
      </c>
      <c r="GXP111" s="180" t="str">
        <f>VLOOKUP(GXO111,[13]AssetDetails_UEM!$A$3:$AH$1849,6,FALSE)</f>
        <v>Electrosurgical Units, Monopolar/Bipolar</v>
      </c>
      <c r="GXQ111" s="179" t="s">
        <v>428</v>
      </c>
      <c r="GXR111" s="180" t="str">
        <f>VLOOKUP(GXQ111,[13]AssetDetails_UEM!$A$3:$AH$1849,6,FALSE)</f>
        <v>Electrosurgical Units, Monopolar/Bipolar</v>
      </c>
      <c r="GXS111" s="179" t="s">
        <v>428</v>
      </c>
      <c r="GXT111" s="180" t="str">
        <f>VLOOKUP(GXS111,[13]AssetDetails_UEM!$A$3:$AH$1849,6,FALSE)</f>
        <v>Electrosurgical Units, Monopolar/Bipolar</v>
      </c>
      <c r="GXU111" s="179" t="s">
        <v>428</v>
      </c>
      <c r="GXV111" s="180" t="str">
        <f>VLOOKUP(GXU111,[13]AssetDetails_UEM!$A$3:$AH$1849,6,FALSE)</f>
        <v>Electrosurgical Units, Monopolar/Bipolar</v>
      </c>
      <c r="GXW111" s="179" t="s">
        <v>428</v>
      </c>
      <c r="GXX111" s="180" t="str">
        <f>VLOOKUP(GXW111,[13]AssetDetails_UEM!$A$3:$AH$1849,6,FALSE)</f>
        <v>Electrosurgical Units, Monopolar/Bipolar</v>
      </c>
      <c r="GXY111" s="179" t="s">
        <v>428</v>
      </c>
      <c r="GXZ111" s="180" t="str">
        <f>VLOOKUP(GXY111,[13]AssetDetails_UEM!$A$3:$AH$1849,6,FALSE)</f>
        <v>Electrosurgical Units, Monopolar/Bipolar</v>
      </c>
      <c r="GYA111" s="179" t="s">
        <v>428</v>
      </c>
      <c r="GYB111" s="180" t="str">
        <f>VLOOKUP(GYA111,[13]AssetDetails_UEM!$A$3:$AH$1849,6,FALSE)</f>
        <v>Electrosurgical Units, Monopolar/Bipolar</v>
      </c>
      <c r="GYC111" s="179" t="s">
        <v>428</v>
      </c>
      <c r="GYD111" s="180" t="str">
        <f>VLOOKUP(GYC111,[13]AssetDetails_UEM!$A$3:$AH$1849,6,FALSE)</f>
        <v>Electrosurgical Units, Monopolar/Bipolar</v>
      </c>
      <c r="GYE111" s="179" t="s">
        <v>428</v>
      </c>
      <c r="GYF111" s="180" t="str">
        <f>VLOOKUP(GYE111,[13]AssetDetails_UEM!$A$3:$AH$1849,6,FALSE)</f>
        <v>Electrosurgical Units, Monopolar/Bipolar</v>
      </c>
      <c r="GYG111" s="179" t="s">
        <v>428</v>
      </c>
      <c r="GYH111" s="180" t="str">
        <f>VLOOKUP(GYG111,[13]AssetDetails_UEM!$A$3:$AH$1849,6,FALSE)</f>
        <v>Electrosurgical Units, Monopolar/Bipolar</v>
      </c>
      <c r="GYI111" s="179" t="s">
        <v>428</v>
      </c>
      <c r="GYJ111" s="180" t="str">
        <f>VLOOKUP(GYI111,[13]AssetDetails_UEM!$A$3:$AH$1849,6,FALSE)</f>
        <v>Electrosurgical Units, Monopolar/Bipolar</v>
      </c>
      <c r="GYK111" s="179" t="s">
        <v>428</v>
      </c>
      <c r="GYL111" s="180" t="str">
        <f>VLOOKUP(GYK111,[13]AssetDetails_UEM!$A$3:$AH$1849,6,FALSE)</f>
        <v>Electrosurgical Units, Monopolar/Bipolar</v>
      </c>
      <c r="GYM111" s="179" t="s">
        <v>428</v>
      </c>
      <c r="GYN111" s="180" t="str">
        <f>VLOOKUP(GYM111,[13]AssetDetails_UEM!$A$3:$AH$1849,6,FALSE)</f>
        <v>Electrosurgical Units, Monopolar/Bipolar</v>
      </c>
      <c r="GYO111" s="179" t="s">
        <v>428</v>
      </c>
      <c r="GYP111" s="180" t="str">
        <f>VLOOKUP(GYO111,[13]AssetDetails_UEM!$A$3:$AH$1849,6,FALSE)</f>
        <v>Electrosurgical Units, Monopolar/Bipolar</v>
      </c>
      <c r="GYQ111" s="179" t="s">
        <v>428</v>
      </c>
      <c r="GYR111" s="180" t="str">
        <f>VLOOKUP(GYQ111,[13]AssetDetails_UEM!$A$3:$AH$1849,6,FALSE)</f>
        <v>Electrosurgical Units, Monopolar/Bipolar</v>
      </c>
      <c r="GYS111" s="179" t="s">
        <v>428</v>
      </c>
      <c r="GYT111" s="180" t="str">
        <f>VLOOKUP(GYS111,[13]AssetDetails_UEM!$A$3:$AH$1849,6,FALSE)</f>
        <v>Electrosurgical Units, Monopolar/Bipolar</v>
      </c>
      <c r="GYU111" s="179" t="s">
        <v>428</v>
      </c>
      <c r="GYV111" s="180" t="str">
        <f>VLOOKUP(GYU111,[13]AssetDetails_UEM!$A$3:$AH$1849,6,FALSE)</f>
        <v>Electrosurgical Units, Monopolar/Bipolar</v>
      </c>
      <c r="GYW111" s="179" t="s">
        <v>428</v>
      </c>
      <c r="GYX111" s="180" t="str">
        <f>VLOOKUP(GYW111,[13]AssetDetails_UEM!$A$3:$AH$1849,6,FALSE)</f>
        <v>Electrosurgical Units, Monopolar/Bipolar</v>
      </c>
      <c r="GYY111" s="179" t="s">
        <v>428</v>
      </c>
      <c r="GYZ111" s="180" t="str">
        <f>VLOOKUP(GYY111,[13]AssetDetails_UEM!$A$3:$AH$1849,6,FALSE)</f>
        <v>Electrosurgical Units, Monopolar/Bipolar</v>
      </c>
      <c r="GZA111" s="179" t="s">
        <v>428</v>
      </c>
      <c r="GZB111" s="180" t="str">
        <f>VLOOKUP(GZA111,[13]AssetDetails_UEM!$A$3:$AH$1849,6,FALSE)</f>
        <v>Electrosurgical Units, Monopolar/Bipolar</v>
      </c>
      <c r="GZC111" s="179" t="s">
        <v>428</v>
      </c>
      <c r="GZD111" s="180" t="str">
        <f>VLOOKUP(GZC111,[13]AssetDetails_UEM!$A$3:$AH$1849,6,FALSE)</f>
        <v>Electrosurgical Units, Monopolar/Bipolar</v>
      </c>
      <c r="GZE111" s="179" t="s">
        <v>428</v>
      </c>
      <c r="GZF111" s="180" t="str">
        <f>VLOOKUP(GZE111,[13]AssetDetails_UEM!$A$3:$AH$1849,6,FALSE)</f>
        <v>Electrosurgical Units, Monopolar/Bipolar</v>
      </c>
      <c r="GZG111" s="179" t="s">
        <v>428</v>
      </c>
      <c r="GZH111" s="180" t="str">
        <f>VLOOKUP(GZG111,[13]AssetDetails_UEM!$A$3:$AH$1849,6,FALSE)</f>
        <v>Electrosurgical Units, Monopolar/Bipolar</v>
      </c>
      <c r="GZI111" s="179" t="s">
        <v>428</v>
      </c>
      <c r="GZJ111" s="180" t="str">
        <f>VLOOKUP(GZI111,[13]AssetDetails_UEM!$A$3:$AH$1849,6,FALSE)</f>
        <v>Electrosurgical Units, Monopolar/Bipolar</v>
      </c>
      <c r="GZK111" s="179" t="s">
        <v>428</v>
      </c>
      <c r="GZL111" s="180" t="str">
        <f>VLOOKUP(GZK111,[13]AssetDetails_UEM!$A$3:$AH$1849,6,FALSE)</f>
        <v>Electrosurgical Units, Monopolar/Bipolar</v>
      </c>
      <c r="GZM111" s="179" t="s">
        <v>428</v>
      </c>
      <c r="GZN111" s="180" t="str">
        <f>VLOOKUP(GZM111,[13]AssetDetails_UEM!$A$3:$AH$1849,6,FALSE)</f>
        <v>Electrosurgical Units, Monopolar/Bipolar</v>
      </c>
      <c r="GZO111" s="179" t="s">
        <v>428</v>
      </c>
      <c r="GZP111" s="180" t="str">
        <f>VLOOKUP(GZO111,[13]AssetDetails_UEM!$A$3:$AH$1849,6,FALSE)</f>
        <v>Electrosurgical Units, Monopolar/Bipolar</v>
      </c>
      <c r="GZQ111" s="179" t="s">
        <v>428</v>
      </c>
      <c r="GZR111" s="180" t="str">
        <f>VLOOKUP(GZQ111,[13]AssetDetails_UEM!$A$3:$AH$1849,6,FALSE)</f>
        <v>Electrosurgical Units, Monopolar/Bipolar</v>
      </c>
      <c r="GZS111" s="179" t="s">
        <v>428</v>
      </c>
      <c r="GZT111" s="180" t="str">
        <f>VLOOKUP(GZS111,[13]AssetDetails_UEM!$A$3:$AH$1849,6,FALSE)</f>
        <v>Electrosurgical Units, Monopolar/Bipolar</v>
      </c>
      <c r="GZU111" s="179" t="s">
        <v>428</v>
      </c>
      <c r="GZV111" s="180" t="str">
        <f>VLOOKUP(GZU111,[13]AssetDetails_UEM!$A$3:$AH$1849,6,FALSE)</f>
        <v>Electrosurgical Units, Monopolar/Bipolar</v>
      </c>
      <c r="GZW111" s="179" t="s">
        <v>428</v>
      </c>
      <c r="GZX111" s="180" t="str">
        <f>VLOOKUP(GZW111,[13]AssetDetails_UEM!$A$3:$AH$1849,6,FALSE)</f>
        <v>Electrosurgical Units, Monopolar/Bipolar</v>
      </c>
      <c r="GZY111" s="179" t="s">
        <v>428</v>
      </c>
      <c r="GZZ111" s="180" t="str">
        <f>VLOOKUP(GZY111,[13]AssetDetails_UEM!$A$3:$AH$1849,6,FALSE)</f>
        <v>Electrosurgical Units, Monopolar/Bipolar</v>
      </c>
      <c r="HAA111" s="179" t="s">
        <v>428</v>
      </c>
      <c r="HAB111" s="180" t="str">
        <f>VLOOKUP(HAA111,[13]AssetDetails_UEM!$A$3:$AH$1849,6,FALSE)</f>
        <v>Electrosurgical Units, Monopolar/Bipolar</v>
      </c>
      <c r="HAC111" s="179" t="s">
        <v>428</v>
      </c>
      <c r="HAD111" s="180" t="str">
        <f>VLOOKUP(HAC111,[13]AssetDetails_UEM!$A$3:$AH$1849,6,FALSE)</f>
        <v>Electrosurgical Units, Monopolar/Bipolar</v>
      </c>
      <c r="HAE111" s="179" t="s">
        <v>428</v>
      </c>
      <c r="HAF111" s="180" t="str">
        <f>VLOOKUP(HAE111,[13]AssetDetails_UEM!$A$3:$AH$1849,6,FALSE)</f>
        <v>Electrosurgical Units, Monopolar/Bipolar</v>
      </c>
      <c r="HAG111" s="179" t="s">
        <v>428</v>
      </c>
      <c r="HAH111" s="180" t="str">
        <f>VLOOKUP(HAG111,[13]AssetDetails_UEM!$A$3:$AH$1849,6,FALSE)</f>
        <v>Electrosurgical Units, Monopolar/Bipolar</v>
      </c>
      <c r="HAI111" s="179" t="s">
        <v>428</v>
      </c>
      <c r="HAJ111" s="180" t="str">
        <f>VLOOKUP(HAI111,[13]AssetDetails_UEM!$A$3:$AH$1849,6,FALSE)</f>
        <v>Electrosurgical Units, Monopolar/Bipolar</v>
      </c>
      <c r="HAK111" s="179" t="s">
        <v>428</v>
      </c>
      <c r="HAL111" s="180" t="str">
        <f>VLOOKUP(HAK111,[13]AssetDetails_UEM!$A$3:$AH$1849,6,FALSE)</f>
        <v>Electrosurgical Units, Monopolar/Bipolar</v>
      </c>
      <c r="HAM111" s="179" t="s">
        <v>428</v>
      </c>
      <c r="HAN111" s="180" t="str">
        <f>VLOOKUP(HAM111,[13]AssetDetails_UEM!$A$3:$AH$1849,6,FALSE)</f>
        <v>Electrosurgical Units, Monopolar/Bipolar</v>
      </c>
      <c r="HAO111" s="179" t="s">
        <v>428</v>
      </c>
      <c r="HAP111" s="180" t="str">
        <f>VLOOKUP(HAO111,[13]AssetDetails_UEM!$A$3:$AH$1849,6,FALSE)</f>
        <v>Electrosurgical Units, Monopolar/Bipolar</v>
      </c>
      <c r="HAQ111" s="179" t="s">
        <v>428</v>
      </c>
      <c r="HAR111" s="180" t="str">
        <f>VLOOKUP(HAQ111,[13]AssetDetails_UEM!$A$3:$AH$1849,6,FALSE)</f>
        <v>Electrosurgical Units, Monopolar/Bipolar</v>
      </c>
      <c r="HAS111" s="179" t="s">
        <v>428</v>
      </c>
      <c r="HAT111" s="180" t="str">
        <f>VLOOKUP(HAS111,[13]AssetDetails_UEM!$A$3:$AH$1849,6,FALSE)</f>
        <v>Electrosurgical Units, Monopolar/Bipolar</v>
      </c>
      <c r="HAU111" s="179" t="s">
        <v>428</v>
      </c>
      <c r="HAV111" s="180" t="str">
        <f>VLOOKUP(HAU111,[13]AssetDetails_UEM!$A$3:$AH$1849,6,FALSE)</f>
        <v>Electrosurgical Units, Monopolar/Bipolar</v>
      </c>
      <c r="HAW111" s="179" t="s">
        <v>428</v>
      </c>
      <c r="HAX111" s="180" t="str">
        <f>VLOOKUP(HAW111,[13]AssetDetails_UEM!$A$3:$AH$1849,6,FALSE)</f>
        <v>Electrosurgical Units, Monopolar/Bipolar</v>
      </c>
      <c r="HAY111" s="179" t="s">
        <v>428</v>
      </c>
      <c r="HAZ111" s="180" t="str">
        <f>VLOOKUP(HAY111,[13]AssetDetails_UEM!$A$3:$AH$1849,6,FALSE)</f>
        <v>Electrosurgical Units, Monopolar/Bipolar</v>
      </c>
      <c r="HBA111" s="179" t="s">
        <v>428</v>
      </c>
      <c r="HBB111" s="180" t="str">
        <f>VLOOKUP(HBA111,[13]AssetDetails_UEM!$A$3:$AH$1849,6,FALSE)</f>
        <v>Electrosurgical Units, Monopolar/Bipolar</v>
      </c>
      <c r="HBC111" s="179" t="s">
        <v>428</v>
      </c>
      <c r="HBD111" s="180" t="str">
        <f>VLOOKUP(HBC111,[13]AssetDetails_UEM!$A$3:$AH$1849,6,FALSE)</f>
        <v>Electrosurgical Units, Monopolar/Bipolar</v>
      </c>
      <c r="HBE111" s="179" t="s">
        <v>428</v>
      </c>
      <c r="HBF111" s="180" t="str">
        <f>VLOOKUP(HBE111,[13]AssetDetails_UEM!$A$3:$AH$1849,6,FALSE)</f>
        <v>Electrosurgical Units, Monopolar/Bipolar</v>
      </c>
      <c r="HBG111" s="179" t="s">
        <v>428</v>
      </c>
      <c r="HBH111" s="180" t="str">
        <f>VLOOKUP(HBG111,[13]AssetDetails_UEM!$A$3:$AH$1849,6,FALSE)</f>
        <v>Electrosurgical Units, Monopolar/Bipolar</v>
      </c>
      <c r="HBI111" s="179" t="s">
        <v>428</v>
      </c>
      <c r="HBJ111" s="180" t="str">
        <f>VLOOKUP(HBI111,[13]AssetDetails_UEM!$A$3:$AH$1849,6,FALSE)</f>
        <v>Electrosurgical Units, Monopolar/Bipolar</v>
      </c>
      <c r="HBK111" s="179" t="s">
        <v>428</v>
      </c>
      <c r="HBL111" s="180" t="str">
        <f>VLOOKUP(HBK111,[13]AssetDetails_UEM!$A$3:$AH$1849,6,FALSE)</f>
        <v>Electrosurgical Units, Monopolar/Bipolar</v>
      </c>
      <c r="HBM111" s="179" t="s">
        <v>428</v>
      </c>
      <c r="HBN111" s="180" t="str">
        <f>VLOOKUP(HBM111,[13]AssetDetails_UEM!$A$3:$AH$1849,6,FALSE)</f>
        <v>Electrosurgical Units, Monopolar/Bipolar</v>
      </c>
      <c r="HBO111" s="179" t="s">
        <v>428</v>
      </c>
      <c r="HBP111" s="180" t="str">
        <f>VLOOKUP(HBO111,[13]AssetDetails_UEM!$A$3:$AH$1849,6,FALSE)</f>
        <v>Electrosurgical Units, Monopolar/Bipolar</v>
      </c>
      <c r="HBQ111" s="179" t="s">
        <v>428</v>
      </c>
      <c r="HBR111" s="180" t="str">
        <f>VLOOKUP(HBQ111,[13]AssetDetails_UEM!$A$3:$AH$1849,6,FALSE)</f>
        <v>Electrosurgical Units, Monopolar/Bipolar</v>
      </c>
      <c r="HBS111" s="179" t="s">
        <v>428</v>
      </c>
      <c r="HBT111" s="180" t="str">
        <f>VLOOKUP(HBS111,[13]AssetDetails_UEM!$A$3:$AH$1849,6,FALSE)</f>
        <v>Electrosurgical Units, Monopolar/Bipolar</v>
      </c>
      <c r="HBU111" s="179" t="s">
        <v>428</v>
      </c>
      <c r="HBV111" s="180" t="str">
        <f>VLOOKUP(HBU111,[13]AssetDetails_UEM!$A$3:$AH$1849,6,FALSE)</f>
        <v>Electrosurgical Units, Monopolar/Bipolar</v>
      </c>
      <c r="HBW111" s="179" t="s">
        <v>428</v>
      </c>
      <c r="HBX111" s="180" t="str">
        <f>VLOOKUP(HBW111,[13]AssetDetails_UEM!$A$3:$AH$1849,6,FALSE)</f>
        <v>Electrosurgical Units, Monopolar/Bipolar</v>
      </c>
      <c r="HBY111" s="179" t="s">
        <v>428</v>
      </c>
      <c r="HBZ111" s="180" t="str">
        <f>VLOOKUP(HBY111,[13]AssetDetails_UEM!$A$3:$AH$1849,6,FALSE)</f>
        <v>Electrosurgical Units, Monopolar/Bipolar</v>
      </c>
      <c r="HCA111" s="179" t="s">
        <v>428</v>
      </c>
      <c r="HCB111" s="180" t="str">
        <f>VLOOKUP(HCA111,[13]AssetDetails_UEM!$A$3:$AH$1849,6,FALSE)</f>
        <v>Electrosurgical Units, Monopolar/Bipolar</v>
      </c>
      <c r="HCC111" s="179" t="s">
        <v>428</v>
      </c>
      <c r="HCD111" s="180" t="str">
        <f>VLOOKUP(HCC111,[13]AssetDetails_UEM!$A$3:$AH$1849,6,FALSE)</f>
        <v>Electrosurgical Units, Monopolar/Bipolar</v>
      </c>
      <c r="HCE111" s="179" t="s">
        <v>428</v>
      </c>
      <c r="HCF111" s="180" t="str">
        <f>VLOOKUP(HCE111,[13]AssetDetails_UEM!$A$3:$AH$1849,6,FALSE)</f>
        <v>Electrosurgical Units, Monopolar/Bipolar</v>
      </c>
      <c r="HCG111" s="179" t="s">
        <v>428</v>
      </c>
      <c r="HCH111" s="180" t="str">
        <f>VLOOKUP(HCG111,[13]AssetDetails_UEM!$A$3:$AH$1849,6,FALSE)</f>
        <v>Electrosurgical Units, Monopolar/Bipolar</v>
      </c>
      <c r="HCI111" s="179" t="s">
        <v>428</v>
      </c>
      <c r="HCJ111" s="180" t="str">
        <f>VLOOKUP(HCI111,[13]AssetDetails_UEM!$A$3:$AH$1849,6,FALSE)</f>
        <v>Electrosurgical Units, Monopolar/Bipolar</v>
      </c>
      <c r="HCK111" s="179" t="s">
        <v>428</v>
      </c>
      <c r="HCL111" s="180" t="str">
        <f>VLOOKUP(HCK111,[13]AssetDetails_UEM!$A$3:$AH$1849,6,FALSE)</f>
        <v>Electrosurgical Units, Monopolar/Bipolar</v>
      </c>
      <c r="HCM111" s="179" t="s">
        <v>428</v>
      </c>
      <c r="HCN111" s="180" t="str">
        <f>VLOOKUP(HCM111,[13]AssetDetails_UEM!$A$3:$AH$1849,6,FALSE)</f>
        <v>Electrosurgical Units, Monopolar/Bipolar</v>
      </c>
      <c r="HCO111" s="179" t="s">
        <v>428</v>
      </c>
      <c r="HCP111" s="180" t="str">
        <f>VLOOKUP(HCO111,[13]AssetDetails_UEM!$A$3:$AH$1849,6,FALSE)</f>
        <v>Electrosurgical Units, Monopolar/Bipolar</v>
      </c>
      <c r="HCQ111" s="179" t="s">
        <v>428</v>
      </c>
      <c r="HCR111" s="180" t="str">
        <f>VLOOKUP(HCQ111,[13]AssetDetails_UEM!$A$3:$AH$1849,6,FALSE)</f>
        <v>Electrosurgical Units, Monopolar/Bipolar</v>
      </c>
      <c r="HCS111" s="179" t="s">
        <v>428</v>
      </c>
      <c r="HCT111" s="180" t="str">
        <f>VLOOKUP(HCS111,[13]AssetDetails_UEM!$A$3:$AH$1849,6,FALSE)</f>
        <v>Electrosurgical Units, Monopolar/Bipolar</v>
      </c>
      <c r="HCU111" s="179" t="s">
        <v>428</v>
      </c>
      <c r="HCV111" s="180" t="str">
        <f>VLOOKUP(HCU111,[13]AssetDetails_UEM!$A$3:$AH$1849,6,FALSE)</f>
        <v>Electrosurgical Units, Monopolar/Bipolar</v>
      </c>
      <c r="HCW111" s="179" t="s">
        <v>428</v>
      </c>
      <c r="HCX111" s="180" t="str">
        <f>VLOOKUP(HCW111,[13]AssetDetails_UEM!$A$3:$AH$1849,6,FALSE)</f>
        <v>Electrosurgical Units, Monopolar/Bipolar</v>
      </c>
      <c r="HCY111" s="179" t="s">
        <v>428</v>
      </c>
      <c r="HCZ111" s="180" t="str">
        <f>VLOOKUP(HCY111,[13]AssetDetails_UEM!$A$3:$AH$1849,6,FALSE)</f>
        <v>Electrosurgical Units, Monopolar/Bipolar</v>
      </c>
      <c r="HDA111" s="179" t="s">
        <v>428</v>
      </c>
      <c r="HDB111" s="180" t="str">
        <f>VLOOKUP(HDA111,[13]AssetDetails_UEM!$A$3:$AH$1849,6,FALSE)</f>
        <v>Electrosurgical Units, Monopolar/Bipolar</v>
      </c>
      <c r="HDC111" s="179" t="s">
        <v>428</v>
      </c>
      <c r="HDD111" s="180" t="str">
        <f>VLOOKUP(HDC111,[13]AssetDetails_UEM!$A$3:$AH$1849,6,FALSE)</f>
        <v>Electrosurgical Units, Monopolar/Bipolar</v>
      </c>
      <c r="HDE111" s="179" t="s">
        <v>428</v>
      </c>
      <c r="HDF111" s="180" t="str">
        <f>VLOOKUP(HDE111,[13]AssetDetails_UEM!$A$3:$AH$1849,6,FALSE)</f>
        <v>Electrosurgical Units, Monopolar/Bipolar</v>
      </c>
      <c r="HDG111" s="179" t="s">
        <v>428</v>
      </c>
      <c r="HDH111" s="180" t="str">
        <f>VLOOKUP(HDG111,[13]AssetDetails_UEM!$A$3:$AH$1849,6,FALSE)</f>
        <v>Electrosurgical Units, Monopolar/Bipolar</v>
      </c>
      <c r="HDI111" s="179" t="s">
        <v>428</v>
      </c>
      <c r="HDJ111" s="180" t="str">
        <f>VLOOKUP(HDI111,[13]AssetDetails_UEM!$A$3:$AH$1849,6,FALSE)</f>
        <v>Electrosurgical Units, Monopolar/Bipolar</v>
      </c>
      <c r="HDK111" s="179" t="s">
        <v>428</v>
      </c>
      <c r="HDL111" s="180" t="str">
        <f>VLOOKUP(HDK111,[13]AssetDetails_UEM!$A$3:$AH$1849,6,FALSE)</f>
        <v>Electrosurgical Units, Monopolar/Bipolar</v>
      </c>
      <c r="HDM111" s="179" t="s">
        <v>428</v>
      </c>
      <c r="HDN111" s="180" t="str">
        <f>VLOOKUP(HDM111,[13]AssetDetails_UEM!$A$3:$AH$1849,6,FALSE)</f>
        <v>Electrosurgical Units, Monopolar/Bipolar</v>
      </c>
      <c r="HDO111" s="179" t="s">
        <v>428</v>
      </c>
      <c r="HDP111" s="180" t="str">
        <f>VLOOKUP(HDO111,[13]AssetDetails_UEM!$A$3:$AH$1849,6,FALSE)</f>
        <v>Electrosurgical Units, Monopolar/Bipolar</v>
      </c>
      <c r="HDQ111" s="179" t="s">
        <v>428</v>
      </c>
      <c r="HDR111" s="180" t="str">
        <f>VLOOKUP(HDQ111,[13]AssetDetails_UEM!$A$3:$AH$1849,6,FALSE)</f>
        <v>Electrosurgical Units, Monopolar/Bipolar</v>
      </c>
      <c r="HDS111" s="179" t="s">
        <v>428</v>
      </c>
      <c r="HDT111" s="180" t="str">
        <f>VLOOKUP(HDS111,[13]AssetDetails_UEM!$A$3:$AH$1849,6,FALSE)</f>
        <v>Electrosurgical Units, Monopolar/Bipolar</v>
      </c>
      <c r="HDU111" s="179" t="s">
        <v>428</v>
      </c>
      <c r="HDV111" s="180" t="str">
        <f>VLOOKUP(HDU111,[13]AssetDetails_UEM!$A$3:$AH$1849,6,FALSE)</f>
        <v>Electrosurgical Units, Monopolar/Bipolar</v>
      </c>
      <c r="HDW111" s="179" t="s">
        <v>428</v>
      </c>
      <c r="HDX111" s="180" t="str">
        <f>VLOOKUP(HDW111,[13]AssetDetails_UEM!$A$3:$AH$1849,6,FALSE)</f>
        <v>Electrosurgical Units, Monopolar/Bipolar</v>
      </c>
      <c r="HDY111" s="179" t="s">
        <v>428</v>
      </c>
      <c r="HDZ111" s="180" t="str">
        <f>VLOOKUP(HDY111,[13]AssetDetails_UEM!$A$3:$AH$1849,6,FALSE)</f>
        <v>Electrosurgical Units, Monopolar/Bipolar</v>
      </c>
      <c r="HEA111" s="179" t="s">
        <v>428</v>
      </c>
      <c r="HEB111" s="180" t="str">
        <f>VLOOKUP(HEA111,[13]AssetDetails_UEM!$A$3:$AH$1849,6,FALSE)</f>
        <v>Electrosurgical Units, Monopolar/Bipolar</v>
      </c>
      <c r="HEC111" s="179" t="s">
        <v>428</v>
      </c>
      <c r="HED111" s="180" t="str">
        <f>VLOOKUP(HEC111,[13]AssetDetails_UEM!$A$3:$AH$1849,6,FALSE)</f>
        <v>Electrosurgical Units, Monopolar/Bipolar</v>
      </c>
      <c r="HEE111" s="179" t="s">
        <v>428</v>
      </c>
      <c r="HEF111" s="180" t="str">
        <f>VLOOKUP(HEE111,[13]AssetDetails_UEM!$A$3:$AH$1849,6,FALSE)</f>
        <v>Electrosurgical Units, Monopolar/Bipolar</v>
      </c>
      <c r="HEG111" s="179" t="s">
        <v>428</v>
      </c>
      <c r="HEH111" s="180" t="str">
        <f>VLOOKUP(HEG111,[13]AssetDetails_UEM!$A$3:$AH$1849,6,FALSE)</f>
        <v>Electrosurgical Units, Monopolar/Bipolar</v>
      </c>
      <c r="HEI111" s="179" t="s">
        <v>428</v>
      </c>
      <c r="HEJ111" s="180" t="str">
        <f>VLOOKUP(HEI111,[13]AssetDetails_UEM!$A$3:$AH$1849,6,FALSE)</f>
        <v>Electrosurgical Units, Monopolar/Bipolar</v>
      </c>
      <c r="HEK111" s="179" t="s">
        <v>428</v>
      </c>
      <c r="HEL111" s="180" t="str">
        <f>VLOOKUP(HEK111,[13]AssetDetails_UEM!$A$3:$AH$1849,6,FALSE)</f>
        <v>Electrosurgical Units, Monopolar/Bipolar</v>
      </c>
      <c r="HEM111" s="179" t="s">
        <v>428</v>
      </c>
      <c r="HEN111" s="180" t="str">
        <f>VLOOKUP(HEM111,[13]AssetDetails_UEM!$A$3:$AH$1849,6,FALSE)</f>
        <v>Electrosurgical Units, Monopolar/Bipolar</v>
      </c>
      <c r="HEO111" s="179" t="s">
        <v>428</v>
      </c>
      <c r="HEP111" s="180" t="str">
        <f>VLOOKUP(HEO111,[13]AssetDetails_UEM!$A$3:$AH$1849,6,FALSE)</f>
        <v>Electrosurgical Units, Monopolar/Bipolar</v>
      </c>
      <c r="HEQ111" s="179" t="s">
        <v>428</v>
      </c>
      <c r="HER111" s="180" t="str">
        <f>VLOOKUP(HEQ111,[13]AssetDetails_UEM!$A$3:$AH$1849,6,FALSE)</f>
        <v>Electrosurgical Units, Monopolar/Bipolar</v>
      </c>
      <c r="HES111" s="179" t="s">
        <v>428</v>
      </c>
      <c r="HET111" s="180" t="str">
        <f>VLOOKUP(HES111,[13]AssetDetails_UEM!$A$3:$AH$1849,6,FALSE)</f>
        <v>Electrosurgical Units, Monopolar/Bipolar</v>
      </c>
      <c r="HEU111" s="179" t="s">
        <v>428</v>
      </c>
      <c r="HEV111" s="180" t="str">
        <f>VLOOKUP(HEU111,[13]AssetDetails_UEM!$A$3:$AH$1849,6,FALSE)</f>
        <v>Electrosurgical Units, Monopolar/Bipolar</v>
      </c>
      <c r="HEW111" s="179" t="s">
        <v>428</v>
      </c>
      <c r="HEX111" s="180" t="str">
        <f>VLOOKUP(HEW111,[13]AssetDetails_UEM!$A$3:$AH$1849,6,FALSE)</f>
        <v>Electrosurgical Units, Monopolar/Bipolar</v>
      </c>
      <c r="HEY111" s="179" t="s">
        <v>428</v>
      </c>
      <c r="HEZ111" s="180" t="str">
        <f>VLOOKUP(HEY111,[13]AssetDetails_UEM!$A$3:$AH$1849,6,FALSE)</f>
        <v>Electrosurgical Units, Monopolar/Bipolar</v>
      </c>
      <c r="HFA111" s="179" t="s">
        <v>428</v>
      </c>
      <c r="HFB111" s="180" t="str">
        <f>VLOOKUP(HFA111,[13]AssetDetails_UEM!$A$3:$AH$1849,6,FALSE)</f>
        <v>Electrosurgical Units, Monopolar/Bipolar</v>
      </c>
      <c r="HFC111" s="179" t="s">
        <v>428</v>
      </c>
      <c r="HFD111" s="180" t="str">
        <f>VLOOKUP(HFC111,[13]AssetDetails_UEM!$A$3:$AH$1849,6,FALSE)</f>
        <v>Electrosurgical Units, Monopolar/Bipolar</v>
      </c>
      <c r="HFE111" s="179" t="s">
        <v>428</v>
      </c>
      <c r="HFF111" s="180" t="str">
        <f>VLOOKUP(HFE111,[13]AssetDetails_UEM!$A$3:$AH$1849,6,FALSE)</f>
        <v>Electrosurgical Units, Monopolar/Bipolar</v>
      </c>
      <c r="HFG111" s="179" t="s">
        <v>428</v>
      </c>
      <c r="HFH111" s="180" t="str">
        <f>VLOOKUP(HFG111,[13]AssetDetails_UEM!$A$3:$AH$1849,6,FALSE)</f>
        <v>Electrosurgical Units, Monopolar/Bipolar</v>
      </c>
      <c r="HFI111" s="179" t="s">
        <v>428</v>
      </c>
      <c r="HFJ111" s="180" t="str">
        <f>VLOOKUP(HFI111,[13]AssetDetails_UEM!$A$3:$AH$1849,6,FALSE)</f>
        <v>Electrosurgical Units, Monopolar/Bipolar</v>
      </c>
      <c r="HFK111" s="179" t="s">
        <v>428</v>
      </c>
      <c r="HFL111" s="180" t="str">
        <f>VLOOKUP(HFK111,[13]AssetDetails_UEM!$A$3:$AH$1849,6,FALSE)</f>
        <v>Electrosurgical Units, Monopolar/Bipolar</v>
      </c>
      <c r="HFM111" s="179" t="s">
        <v>428</v>
      </c>
      <c r="HFN111" s="180" t="str">
        <f>VLOOKUP(HFM111,[13]AssetDetails_UEM!$A$3:$AH$1849,6,FALSE)</f>
        <v>Electrosurgical Units, Monopolar/Bipolar</v>
      </c>
      <c r="HFO111" s="179" t="s">
        <v>428</v>
      </c>
      <c r="HFP111" s="180" t="str">
        <f>VLOOKUP(HFO111,[13]AssetDetails_UEM!$A$3:$AH$1849,6,FALSE)</f>
        <v>Electrosurgical Units, Monopolar/Bipolar</v>
      </c>
      <c r="HFQ111" s="179" t="s">
        <v>428</v>
      </c>
      <c r="HFR111" s="180" t="str">
        <f>VLOOKUP(HFQ111,[13]AssetDetails_UEM!$A$3:$AH$1849,6,FALSE)</f>
        <v>Electrosurgical Units, Monopolar/Bipolar</v>
      </c>
      <c r="HFS111" s="179" t="s">
        <v>428</v>
      </c>
      <c r="HFT111" s="180" t="str">
        <f>VLOOKUP(HFS111,[13]AssetDetails_UEM!$A$3:$AH$1849,6,FALSE)</f>
        <v>Electrosurgical Units, Monopolar/Bipolar</v>
      </c>
      <c r="HFU111" s="179" t="s">
        <v>428</v>
      </c>
      <c r="HFV111" s="180" t="str">
        <f>VLOOKUP(HFU111,[13]AssetDetails_UEM!$A$3:$AH$1849,6,FALSE)</f>
        <v>Electrosurgical Units, Monopolar/Bipolar</v>
      </c>
      <c r="HFW111" s="179" t="s">
        <v>428</v>
      </c>
      <c r="HFX111" s="180" t="str">
        <f>VLOOKUP(HFW111,[13]AssetDetails_UEM!$A$3:$AH$1849,6,FALSE)</f>
        <v>Electrosurgical Units, Monopolar/Bipolar</v>
      </c>
      <c r="HFY111" s="179" t="s">
        <v>428</v>
      </c>
      <c r="HFZ111" s="180" t="str">
        <f>VLOOKUP(HFY111,[13]AssetDetails_UEM!$A$3:$AH$1849,6,FALSE)</f>
        <v>Electrosurgical Units, Monopolar/Bipolar</v>
      </c>
      <c r="HGA111" s="179" t="s">
        <v>428</v>
      </c>
      <c r="HGB111" s="180" t="str">
        <f>VLOOKUP(HGA111,[13]AssetDetails_UEM!$A$3:$AH$1849,6,FALSE)</f>
        <v>Electrosurgical Units, Monopolar/Bipolar</v>
      </c>
      <c r="HGC111" s="179" t="s">
        <v>428</v>
      </c>
      <c r="HGD111" s="180" t="str">
        <f>VLOOKUP(HGC111,[13]AssetDetails_UEM!$A$3:$AH$1849,6,FALSE)</f>
        <v>Electrosurgical Units, Monopolar/Bipolar</v>
      </c>
      <c r="HGE111" s="179" t="s">
        <v>428</v>
      </c>
      <c r="HGF111" s="180" t="str">
        <f>VLOOKUP(HGE111,[13]AssetDetails_UEM!$A$3:$AH$1849,6,FALSE)</f>
        <v>Electrosurgical Units, Monopolar/Bipolar</v>
      </c>
      <c r="HGG111" s="179" t="s">
        <v>428</v>
      </c>
      <c r="HGH111" s="180" t="str">
        <f>VLOOKUP(HGG111,[13]AssetDetails_UEM!$A$3:$AH$1849,6,FALSE)</f>
        <v>Electrosurgical Units, Monopolar/Bipolar</v>
      </c>
      <c r="HGI111" s="179" t="s">
        <v>428</v>
      </c>
      <c r="HGJ111" s="180" t="str">
        <f>VLOOKUP(HGI111,[13]AssetDetails_UEM!$A$3:$AH$1849,6,FALSE)</f>
        <v>Electrosurgical Units, Monopolar/Bipolar</v>
      </c>
      <c r="HGK111" s="179" t="s">
        <v>428</v>
      </c>
      <c r="HGL111" s="180" t="str">
        <f>VLOOKUP(HGK111,[13]AssetDetails_UEM!$A$3:$AH$1849,6,FALSE)</f>
        <v>Electrosurgical Units, Monopolar/Bipolar</v>
      </c>
      <c r="HGM111" s="179" t="s">
        <v>428</v>
      </c>
      <c r="HGN111" s="180" t="str">
        <f>VLOOKUP(HGM111,[13]AssetDetails_UEM!$A$3:$AH$1849,6,FALSE)</f>
        <v>Electrosurgical Units, Monopolar/Bipolar</v>
      </c>
      <c r="HGO111" s="179" t="s">
        <v>428</v>
      </c>
      <c r="HGP111" s="180" t="str">
        <f>VLOOKUP(HGO111,[13]AssetDetails_UEM!$A$3:$AH$1849,6,FALSE)</f>
        <v>Electrosurgical Units, Monopolar/Bipolar</v>
      </c>
      <c r="HGQ111" s="179" t="s">
        <v>428</v>
      </c>
      <c r="HGR111" s="180" t="str">
        <f>VLOOKUP(HGQ111,[13]AssetDetails_UEM!$A$3:$AH$1849,6,FALSE)</f>
        <v>Electrosurgical Units, Monopolar/Bipolar</v>
      </c>
      <c r="HGS111" s="179" t="s">
        <v>428</v>
      </c>
      <c r="HGT111" s="180" t="str">
        <f>VLOOKUP(HGS111,[13]AssetDetails_UEM!$A$3:$AH$1849,6,FALSE)</f>
        <v>Electrosurgical Units, Monopolar/Bipolar</v>
      </c>
      <c r="HGU111" s="179" t="s">
        <v>428</v>
      </c>
      <c r="HGV111" s="180" t="str">
        <f>VLOOKUP(HGU111,[13]AssetDetails_UEM!$A$3:$AH$1849,6,FALSE)</f>
        <v>Electrosurgical Units, Monopolar/Bipolar</v>
      </c>
      <c r="HGW111" s="179" t="s">
        <v>428</v>
      </c>
      <c r="HGX111" s="180" t="str">
        <f>VLOOKUP(HGW111,[13]AssetDetails_UEM!$A$3:$AH$1849,6,FALSE)</f>
        <v>Electrosurgical Units, Monopolar/Bipolar</v>
      </c>
      <c r="HGY111" s="179" t="s">
        <v>428</v>
      </c>
      <c r="HGZ111" s="180" t="str">
        <f>VLOOKUP(HGY111,[13]AssetDetails_UEM!$A$3:$AH$1849,6,FALSE)</f>
        <v>Electrosurgical Units, Monopolar/Bipolar</v>
      </c>
      <c r="HHA111" s="179" t="s">
        <v>428</v>
      </c>
      <c r="HHB111" s="180" t="str">
        <f>VLOOKUP(HHA111,[13]AssetDetails_UEM!$A$3:$AH$1849,6,FALSE)</f>
        <v>Electrosurgical Units, Monopolar/Bipolar</v>
      </c>
      <c r="HHC111" s="179" t="s">
        <v>428</v>
      </c>
      <c r="HHD111" s="180" t="str">
        <f>VLOOKUP(HHC111,[13]AssetDetails_UEM!$A$3:$AH$1849,6,FALSE)</f>
        <v>Electrosurgical Units, Monopolar/Bipolar</v>
      </c>
      <c r="HHE111" s="179" t="s">
        <v>428</v>
      </c>
      <c r="HHF111" s="180" t="str">
        <f>VLOOKUP(HHE111,[13]AssetDetails_UEM!$A$3:$AH$1849,6,FALSE)</f>
        <v>Electrosurgical Units, Monopolar/Bipolar</v>
      </c>
      <c r="HHG111" s="179" t="s">
        <v>428</v>
      </c>
      <c r="HHH111" s="180" t="str">
        <f>VLOOKUP(HHG111,[13]AssetDetails_UEM!$A$3:$AH$1849,6,FALSE)</f>
        <v>Electrosurgical Units, Monopolar/Bipolar</v>
      </c>
      <c r="HHI111" s="179" t="s">
        <v>428</v>
      </c>
      <c r="HHJ111" s="180" t="str">
        <f>VLOOKUP(HHI111,[13]AssetDetails_UEM!$A$3:$AH$1849,6,FALSE)</f>
        <v>Electrosurgical Units, Monopolar/Bipolar</v>
      </c>
      <c r="HHK111" s="179" t="s">
        <v>428</v>
      </c>
      <c r="HHL111" s="180" t="str">
        <f>VLOOKUP(HHK111,[13]AssetDetails_UEM!$A$3:$AH$1849,6,FALSE)</f>
        <v>Electrosurgical Units, Monopolar/Bipolar</v>
      </c>
      <c r="HHM111" s="179" t="s">
        <v>428</v>
      </c>
      <c r="HHN111" s="180" t="str">
        <f>VLOOKUP(HHM111,[13]AssetDetails_UEM!$A$3:$AH$1849,6,FALSE)</f>
        <v>Electrosurgical Units, Monopolar/Bipolar</v>
      </c>
      <c r="HHO111" s="179" t="s">
        <v>428</v>
      </c>
      <c r="HHP111" s="180" t="str">
        <f>VLOOKUP(HHO111,[13]AssetDetails_UEM!$A$3:$AH$1849,6,FALSE)</f>
        <v>Electrosurgical Units, Monopolar/Bipolar</v>
      </c>
      <c r="HHQ111" s="179" t="s">
        <v>428</v>
      </c>
      <c r="HHR111" s="180" t="str">
        <f>VLOOKUP(HHQ111,[13]AssetDetails_UEM!$A$3:$AH$1849,6,FALSE)</f>
        <v>Electrosurgical Units, Monopolar/Bipolar</v>
      </c>
      <c r="HHS111" s="179" t="s">
        <v>428</v>
      </c>
      <c r="HHT111" s="180" t="str">
        <f>VLOOKUP(HHS111,[13]AssetDetails_UEM!$A$3:$AH$1849,6,FALSE)</f>
        <v>Electrosurgical Units, Monopolar/Bipolar</v>
      </c>
      <c r="HHU111" s="179" t="s">
        <v>428</v>
      </c>
      <c r="HHV111" s="180" t="str">
        <f>VLOOKUP(HHU111,[13]AssetDetails_UEM!$A$3:$AH$1849,6,FALSE)</f>
        <v>Electrosurgical Units, Monopolar/Bipolar</v>
      </c>
      <c r="HHW111" s="179" t="s">
        <v>428</v>
      </c>
      <c r="HHX111" s="180" t="str">
        <f>VLOOKUP(HHW111,[13]AssetDetails_UEM!$A$3:$AH$1849,6,FALSE)</f>
        <v>Electrosurgical Units, Monopolar/Bipolar</v>
      </c>
      <c r="HHY111" s="179" t="s">
        <v>428</v>
      </c>
      <c r="HHZ111" s="180" t="str">
        <f>VLOOKUP(HHY111,[13]AssetDetails_UEM!$A$3:$AH$1849,6,FALSE)</f>
        <v>Electrosurgical Units, Monopolar/Bipolar</v>
      </c>
      <c r="HIA111" s="179" t="s">
        <v>428</v>
      </c>
      <c r="HIB111" s="180" t="str">
        <f>VLOOKUP(HIA111,[13]AssetDetails_UEM!$A$3:$AH$1849,6,FALSE)</f>
        <v>Electrosurgical Units, Monopolar/Bipolar</v>
      </c>
      <c r="HIC111" s="179" t="s">
        <v>428</v>
      </c>
      <c r="HID111" s="180" t="str">
        <f>VLOOKUP(HIC111,[13]AssetDetails_UEM!$A$3:$AH$1849,6,FALSE)</f>
        <v>Electrosurgical Units, Monopolar/Bipolar</v>
      </c>
      <c r="HIE111" s="179" t="s">
        <v>428</v>
      </c>
      <c r="HIF111" s="180" t="str">
        <f>VLOOKUP(HIE111,[13]AssetDetails_UEM!$A$3:$AH$1849,6,FALSE)</f>
        <v>Electrosurgical Units, Monopolar/Bipolar</v>
      </c>
      <c r="HIG111" s="179" t="s">
        <v>428</v>
      </c>
      <c r="HIH111" s="180" t="str">
        <f>VLOOKUP(HIG111,[13]AssetDetails_UEM!$A$3:$AH$1849,6,FALSE)</f>
        <v>Electrosurgical Units, Monopolar/Bipolar</v>
      </c>
      <c r="HII111" s="179" t="s">
        <v>428</v>
      </c>
      <c r="HIJ111" s="180" t="str">
        <f>VLOOKUP(HII111,[13]AssetDetails_UEM!$A$3:$AH$1849,6,FALSE)</f>
        <v>Electrosurgical Units, Monopolar/Bipolar</v>
      </c>
      <c r="HIK111" s="179" t="s">
        <v>428</v>
      </c>
      <c r="HIL111" s="180" t="str">
        <f>VLOOKUP(HIK111,[13]AssetDetails_UEM!$A$3:$AH$1849,6,FALSE)</f>
        <v>Electrosurgical Units, Monopolar/Bipolar</v>
      </c>
      <c r="HIM111" s="179" t="s">
        <v>428</v>
      </c>
      <c r="HIN111" s="180" t="str">
        <f>VLOOKUP(HIM111,[13]AssetDetails_UEM!$A$3:$AH$1849,6,FALSE)</f>
        <v>Electrosurgical Units, Monopolar/Bipolar</v>
      </c>
      <c r="HIO111" s="179" t="s">
        <v>428</v>
      </c>
      <c r="HIP111" s="180" t="str">
        <f>VLOOKUP(HIO111,[13]AssetDetails_UEM!$A$3:$AH$1849,6,FALSE)</f>
        <v>Electrosurgical Units, Monopolar/Bipolar</v>
      </c>
      <c r="HIQ111" s="179" t="s">
        <v>428</v>
      </c>
      <c r="HIR111" s="180" t="str">
        <f>VLOOKUP(HIQ111,[13]AssetDetails_UEM!$A$3:$AH$1849,6,FALSE)</f>
        <v>Electrosurgical Units, Monopolar/Bipolar</v>
      </c>
      <c r="HIS111" s="179" t="s">
        <v>428</v>
      </c>
      <c r="HIT111" s="180" t="str">
        <f>VLOOKUP(HIS111,[13]AssetDetails_UEM!$A$3:$AH$1849,6,FALSE)</f>
        <v>Electrosurgical Units, Monopolar/Bipolar</v>
      </c>
      <c r="HIU111" s="179" t="s">
        <v>428</v>
      </c>
      <c r="HIV111" s="180" t="str">
        <f>VLOOKUP(HIU111,[13]AssetDetails_UEM!$A$3:$AH$1849,6,FALSE)</f>
        <v>Electrosurgical Units, Monopolar/Bipolar</v>
      </c>
      <c r="HIW111" s="179" t="s">
        <v>428</v>
      </c>
      <c r="HIX111" s="180" t="str">
        <f>VLOOKUP(HIW111,[13]AssetDetails_UEM!$A$3:$AH$1849,6,FALSE)</f>
        <v>Electrosurgical Units, Monopolar/Bipolar</v>
      </c>
      <c r="HIY111" s="179" t="s">
        <v>428</v>
      </c>
      <c r="HIZ111" s="180" t="str">
        <f>VLOOKUP(HIY111,[13]AssetDetails_UEM!$A$3:$AH$1849,6,FALSE)</f>
        <v>Electrosurgical Units, Monopolar/Bipolar</v>
      </c>
      <c r="HJA111" s="179" t="s">
        <v>428</v>
      </c>
      <c r="HJB111" s="180" t="str">
        <f>VLOOKUP(HJA111,[13]AssetDetails_UEM!$A$3:$AH$1849,6,FALSE)</f>
        <v>Electrosurgical Units, Monopolar/Bipolar</v>
      </c>
      <c r="HJC111" s="179" t="s">
        <v>428</v>
      </c>
      <c r="HJD111" s="180" t="str">
        <f>VLOOKUP(HJC111,[13]AssetDetails_UEM!$A$3:$AH$1849,6,FALSE)</f>
        <v>Electrosurgical Units, Monopolar/Bipolar</v>
      </c>
      <c r="HJE111" s="179" t="s">
        <v>428</v>
      </c>
      <c r="HJF111" s="180" t="str">
        <f>VLOOKUP(HJE111,[13]AssetDetails_UEM!$A$3:$AH$1849,6,FALSE)</f>
        <v>Electrosurgical Units, Monopolar/Bipolar</v>
      </c>
      <c r="HJG111" s="179" t="s">
        <v>428</v>
      </c>
      <c r="HJH111" s="180" t="str">
        <f>VLOOKUP(HJG111,[13]AssetDetails_UEM!$A$3:$AH$1849,6,FALSE)</f>
        <v>Electrosurgical Units, Monopolar/Bipolar</v>
      </c>
      <c r="HJI111" s="179" t="s">
        <v>428</v>
      </c>
      <c r="HJJ111" s="180" t="str">
        <f>VLOOKUP(HJI111,[13]AssetDetails_UEM!$A$3:$AH$1849,6,FALSE)</f>
        <v>Electrosurgical Units, Monopolar/Bipolar</v>
      </c>
      <c r="HJK111" s="179" t="s">
        <v>428</v>
      </c>
      <c r="HJL111" s="180" t="str">
        <f>VLOOKUP(HJK111,[13]AssetDetails_UEM!$A$3:$AH$1849,6,FALSE)</f>
        <v>Electrosurgical Units, Monopolar/Bipolar</v>
      </c>
      <c r="HJM111" s="179" t="s">
        <v>428</v>
      </c>
      <c r="HJN111" s="180" t="str">
        <f>VLOOKUP(HJM111,[13]AssetDetails_UEM!$A$3:$AH$1849,6,FALSE)</f>
        <v>Electrosurgical Units, Monopolar/Bipolar</v>
      </c>
      <c r="HJO111" s="179" t="s">
        <v>428</v>
      </c>
      <c r="HJP111" s="180" t="str">
        <f>VLOOKUP(HJO111,[13]AssetDetails_UEM!$A$3:$AH$1849,6,FALSE)</f>
        <v>Electrosurgical Units, Monopolar/Bipolar</v>
      </c>
      <c r="HJQ111" s="179" t="s">
        <v>428</v>
      </c>
      <c r="HJR111" s="180" t="str">
        <f>VLOOKUP(HJQ111,[13]AssetDetails_UEM!$A$3:$AH$1849,6,FALSE)</f>
        <v>Electrosurgical Units, Monopolar/Bipolar</v>
      </c>
      <c r="HJS111" s="179" t="s">
        <v>428</v>
      </c>
      <c r="HJT111" s="180" t="str">
        <f>VLOOKUP(HJS111,[13]AssetDetails_UEM!$A$3:$AH$1849,6,FALSE)</f>
        <v>Electrosurgical Units, Monopolar/Bipolar</v>
      </c>
      <c r="HJU111" s="179" t="s">
        <v>428</v>
      </c>
      <c r="HJV111" s="180" t="str">
        <f>VLOOKUP(HJU111,[13]AssetDetails_UEM!$A$3:$AH$1849,6,FALSE)</f>
        <v>Electrosurgical Units, Monopolar/Bipolar</v>
      </c>
      <c r="HJW111" s="179" t="s">
        <v>428</v>
      </c>
      <c r="HJX111" s="180" t="str">
        <f>VLOOKUP(HJW111,[13]AssetDetails_UEM!$A$3:$AH$1849,6,FALSE)</f>
        <v>Electrosurgical Units, Monopolar/Bipolar</v>
      </c>
      <c r="HJY111" s="179" t="s">
        <v>428</v>
      </c>
      <c r="HJZ111" s="180" t="str">
        <f>VLOOKUP(HJY111,[13]AssetDetails_UEM!$A$3:$AH$1849,6,FALSE)</f>
        <v>Electrosurgical Units, Monopolar/Bipolar</v>
      </c>
      <c r="HKA111" s="179" t="s">
        <v>428</v>
      </c>
      <c r="HKB111" s="180" t="str">
        <f>VLOOKUP(HKA111,[13]AssetDetails_UEM!$A$3:$AH$1849,6,FALSE)</f>
        <v>Electrosurgical Units, Monopolar/Bipolar</v>
      </c>
      <c r="HKC111" s="179" t="s">
        <v>428</v>
      </c>
      <c r="HKD111" s="180" t="str">
        <f>VLOOKUP(HKC111,[13]AssetDetails_UEM!$A$3:$AH$1849,6,FALSE)</f>
        <v>Electrosurgical Units, Monopolar/Bipolar</v>
      </c>
      <c r="HKE111" s="179" t="s">
        <v>428</v>
      </c>
      <c r="HKF111" s="180" t="str">
        <f>VLOOKUP(HKE111,[13]AssetDetails_UEM!$A$3:$AH$1849,6,FALSE)</f>
        <v>Electrosurgical Units, Monopolar/Bipolar</v>
      </c>
      <c r="HKG111" s="179" t="s">
        <v>428</v>
      </c>
      <c r="HKH111" s="180" t="str">
        <f>VLOOKUP(HKG111,[13]AssetDetails_UEM!$A$3:$AH$1849,6,FALSE)</f>
        <v>Electrosurgical Units, Monopolar/Bipolar</v>
      </c>
      <c r="HKI111" s="179" t="s">
        <v>428</v>
      </c>
      <c r="HKJ111" s="180" t="str">
        <f>VLOOKUP(HKI111,[13]AssetDetails_UEM!$A$3:$AH$1849,6,FALSE)</f>
        <v>Electrosurgical Units, Monopolar/Bipolar</v>
      </c>
      <c r="HKK111" s="179" t="s">
        <v>428</v>
      </c>
      <c r="HKL111" s="180" t="str">
        <f>VLOOKUP(HKK111,[13]AssetDetails_UEM!$A$3:$AH$1849,6,FALSE)</f>
        <v>Electrosurgical Units, Monopolar/Bipolar</v>
      </c>
      <c r="HKM111" s="179" t="s">
        <v>428</v>
      </c>
      <c r="HKN111" s="180" t="str">
        <f>VLOOKUP(HKM111,[13]AssetDetails_UEM!$A$3:$AH$1849,6,FALSE)</f>
        <v>Electrosurgical Units, Monopolar/Bipolar</v>
      </c>
      <c r="HKO111" s="179" t="s">
        <v>428</v>
      </c>
      <c r="HKP111" s="180" t="str">
        <f>VLOOKUP(HKO111,[13]AssetDetails_UEM!$A$3:$AH$1849,6,FALSE)</f>
        <v>Electrosurgical Units, Monopolar/Bipolar</v>
      </c>
      <c r="HKQ111" s="179" t="s">
        <v>428</v>
      </c>
      <c r="HKR111" s="180" t="str">
        <f>VLOOKUP(HKQ111,[13]AssetDetails_UEM!$A$3:$AH$1849,6,FALSE)</f>
        <v>Electrosurgical Units, Monopolar/Bipolar</v>
      </c>
      <c r="HKS111" s="179" t="s">
        <v>428</v>
      </c>
      <c r="HKT111" s="180" t="str">
        <f>VLOOKUP(HKS111,[13]AssetDetails_UEM!$A$3:$AH$1849,6,FALSE)</f>
        <v>Electrosurgical Units, Monopolar/Bipolar</v>
      </c>
      <c r="HKU111" s="179" t="s">
        <v>428</v>
      </c>
      <c r="HKV111" s="180" t="str">
        <f>VLOOKUP(HKU111,[13]AssetDetails_UEM!$A$3:$AH$1849,6,FALSE)</f>
        <v>Electrosurgical Units, Monopolar/Bipolar</v>
      </c>
      <c r="HKW111" s="179" t="s">
        <v>428</v>
      </c>
      <c r="HKX111" s="180" t="str">
        <f>VLOOKUP(HKW111,[13]AssetDetails_UEM!$A$3:$AH$1849,6,FALSE)</f>
        <v>Electrosurgical Units, Monopolar/Bipolar</v>
      </c>
      <c r="HKY111" s="179" t="s">
        <v>428</v>
      </c>
      <c r="HKZ111" s="180" t="str">
        <f>VLOOKUP(HKY111,[13]AssetDetails_UEM!$A$3:$AH$1849,6,FALSE)</f>
        <v>Electrosurgical Units, Monopolar/Bipolar</v>
      </c>
      <c r="HLA111" s="179" t="s">
        <v>428</v>
      </c>
      <c r="HLB111" s="180" t="str">
        <f>VLOOKUP(HLA111,[13]AssetDetails_UEM!$A$3:$AH$1849,6,FALSE)</f>
        <v>Electrosurgical Units, Monopolar/Bipolar</v>
      </c>
      <c r="HLC111" s="179" t="s">
        <v>428</v>
      </c>
      <c r="HLD111" s="180" t="str">
        <f>VLOOKUP(HLC111,[13]AssetDetails_UEM!$A$3:$AH$1849,6,FALSE)</f>
        <v>Electrosurgical Units, Monopolar/Bipolar</v>
      </c>
      <c r="HLE111" s="179" t="s">
        <v>428</v>
      </c>
      <c r="HLF111" s="180" t="str">
        <f>VLOOKUP(HLE111,[13]AssetDetails_UEM!$A$3:$AH$1849,6,FALSE)</f>
        <v>Electrosurgical Units, Monopolar/Bipolar</v>
      </c>
      <c r="HLG111" s="179" t="s">
        <v>428</v>
      </c>
      <c r="HLH111" s="180" t="str">
        <f>VLOOKUP(HLG111,[13]AssetDetails_UEM!$A$3:$AH$1849,6,FALSE)</f>
        <v>Electrosurgical Units, Monopolar/Bipolar</v>
      </c>
      <c r="HLI111" s="179" t="s">
        <v>428</v>
      </c>
      <c r="HLJ111" s="180" t="str">
        <f>VLOOKUP(HLI111,[13]AssetDetails_UEM!$A$3:$AH$1849,6,FALSE)</f>
        <v>Electrosurgical Units, Monopolar/Bipolar</v>
      </c>
      <c r="HLK111" s="179" t="s">
        <v>428</v>
      </c>
      <c r="HLL111" s="180" t="str">
        <f>VLOOKUP(HLK111,[13]AssetDetails_UEM!$A$3:$AH$1849,6,FALSE)</f>
        <v>Electrosurgical Units, Monopolar/Bipolar</v>
      </c>
      <c r="HLM111" s="179" t="s">
        <v>428</v>
      </c>
      <c r="HLN111" s="180" t="str">
        <f>VLOOKUP(HLM111,[13]AssetDetails_UEM!$A$3:$AH$1849,6,FALSE)</f>
        <v>Electrosurgical Units, Monopolar/Bipolar</v>
      </c>
      <c r="HLO111" s="179" t="s">
        <v>428</v>
      </c>
      <c r="HLP111" s="180" t="str">
        <f>VLOOKUP(HLO111,[13]AssetDetails_UEM!$A$3:$AH$1849,6,FALSE)</f>
        <v>Electrosurgical Units, Monopolar/Bipolar</v>
      </c>
      <c r="HLQ111" s="179" t="s">
        <v>428</v>
      </c>
      <c r="HLR111" s="180" t="str">
        <f>VLOOKUP(HLQ111,[13]AssetDetails_UEM!$A$3:$AH$1849,6,FALSE)</f>
        <v>Electrosurgical Units, Monopolar/Bipolar</v>
      </c>
      <c r="HLS111" s="179" t="s">
        <v>428</v>
      </c>
      <c r="HLT111" s="180" t="str">
        <f>VLOOKUP(HLS111,[13]AssetDetails_UEM!$A$3:$AH$1849,6,FALSE)</f>
        <v>Electrosurgical Units, Monopolar/Bipolar</v>
      </c>
      <c r="HLU111" s="179" t="s">
        <v>428</v>
      </c>
      <c r="HLV111" s="180" t="str">
        <f>VLOOKUP(HLU111,[13]AssetDetails_UEM!$A$3:$AH$1849,6,FALSE)</f>
        <v>Electrosurgical Units, Monopolar/Bipolar</v>
      </c>
      <c r="HLW111" s="179" t="s">
        <v>428</v>
      </c>
      <c r="HLX111" s="180" t="str">
        <f>VLOOKUP(HLW111,[13]AssetDetails_UEM!$A$3:$AH$1849,6,FALSE)</f>
        <v>Electrosurgical Units, Monopolar/Bipolar</v>
      </c>
      <c r="HLY111" s="179" t="s">
        <v>428</v>
      </c>
      <c r="HLZ111" s="180" t="str">
        <f>VLOOKUP(HLY111,[13]AssetDetails_UEM!$A$3:$AH$1849,6,FALSE)</f>
        <v>Electrosurgical Units, Monopolar/Bipolar</v>
      </c>
      <c r="HMA111" s="179" t="s">
        <v>428</v>
      </c>
      <c r="HMB111" s="180" t="str">
        <f>VLOOKUP(HMA111,[13]AssetDetails_UEM!$A$3:$AH$1849,6,FALSE)</f>
        <v>Electrosurgical Units, Monopolar/Bipolar</v>
      </c>
      <c r="HMC111" s="179" t="s">
        <v>428</v>
      </c>
      <c r="HMD111" s="180" t="str">
        <f>VLOOKUP(HMC111,[13]AssetDetails_UEM!$A$3:$AH$1849,6,FALSE)</f>
        <v>Electrosurgical Units, Monopolar/Bipolar</v>
      </c>
      <c r="HME111" s="179" t="s">
        <v>428</v>
      </c>
      <c r="HMF111" s="180" t="str">
        <f>VLOOKUP(HME111,[13]AssetDetails_UEM!$A$3:$AH$1849,6,FALSE)</f>
        <v>Electrosurgical Units, Monopolar/Bipolar</v>
      </c>
      <c r="HMG111" s="179" t="s">
        <v>428</v>
      </c>
      <c r="HMH111" s="180" t="str">
        <f>VLOOKUP(HMG111,[13]AssetDetails_UEM!$A$3:$AH$1849,6,FALSE)</f>
        <v>Electrosurgical Units, Monopolar/Bipolar</v>
      </c>
      <c r="HMI111" s="179" t="s">
        <v>428</v>
      </c>
      <c r="HMJ111" s="180" t="str">
        <f>VLOOKUP(HMI111,[13]AssetDetails_UEM!$A$3:$AH$1849,6,FALSE)</f>
        <v>Electrosurgical Units, Monopolar/Bipolar</v>
      </c>
      <c r="HMK111" s="179" t="s">
        <v>428</v>
      </c>
      <c r="HML111" s="180" t="str">
        <f>VLOOKUP(HMK111,[13]AssetDetails_UEM!$A$3:$AH$1849,6,FALSE)</f>
        <v>Electrosurgical Units, Monopolar/Bipolar</v>
      </c>
      <c r="HMM111" s="179" t="s">
        <v>428</v>
      </c>
      <c r="HMN111" s="180" t="str">
        <f>VLOOKUP(HMM111,[13]AssetDetails_UEM!$A$3:$AH$1849,6,FALSE)</f>
        <v>Electrosurgical Units, Monopolar/Bipolar</v>
      </c>
      <c r="HMO111" s="179" t="s">
        <v>428</v>
      </c>
      <c r="HMP111" s="180" t="str">
        <f>VLOOKUP(HMO111,[13]AssetDetails_UEM!$A$3:$AH$1849,6,FALSE)</f>
        <v>Electrosurgical Units, Monopolar/Bipolar</v>
      </c>
      <c r="HMQ111" s="179" t="s">
        <v>428</v>
      </c>
      <c r="HMR111" s="180" t="str">
        <f>VLOOKUP(HMQ111,[13]AssetDetails_UEM!$A$3:$AH$1849,6,FALSE)</f>
        <v>Electrosurgical Units, Monopolar/Bipolar</v>
      </c>
      <c r="HMS111" s="179" t="s">
        <v>428</v>
      </c>
      <c r="HMT111" s="180" t="str">
        <f>VLOOKUP(HMS111,[13]AssetDetails_UEM!$A$3:$AH$1849,6,FALSE)</f>
        <v>Electrosurgical Units, Monopolar/Bipolar</v>
      </c>
      <c r="HMU111" s="179" t="s">
        <v>428</v>
      </c>
      <c r="HMV111" s="180" t="str">
        <f>VLOOKUP(HMU111,[13]AssetDetails_UEM!$A$3:$AH$1849,6,FALSE)</f>
        <v>Electrosurgical Units, Monopolar/Bipolar</v>
      </c>
      <c r="HMW111" s="179" t="s">
        <v>428</v>
      </c>
      <c r="HMX111" s="180" t="str">
        <f>VLOOKUP(HMW111,[13]AssetDetails_UEM!$A$3:$AH$1849,6,FALSE)</f>
        <v>Electrosurgical Units, Monopolar/Bipolar</v>
      </c>
      <c r="HMY111" s="179" t="s">
        <v>428</v>
      </c>
      <c r="HMZ111" s="180" t="str">
        <f>VLOOKUP(HMY111,[13]AssetDetails_UEM!$A$3:$AH$1849,6,FALSE)</f>
        <v>Electrosurgical Units, Monopolar/Bipolar</v>
      </c>
      <c r="HNA111" s="179" t="s">
        <v>428</v>
      </c>
      <c r="HNB111" s="180" t="str">
        <f>VLOOKUP(HNA111,[13]AssetDetails_UEM!$A$3:$AH$1849,6,FALSE)</f>
        <v>Electrosurgical Units, Monopolar/Bipolar</v>
      </c>
      <c r="HNC111" s="179" t="s">
        <v>428</v>
      </c>
      <c r="HND111" s="180" t="str">
        <f>VLOOKUP(HNC111,[13]AssetDetails_UEM!$A$3:$AH$1849,6,FALSE)</f>
        <v>Electrosurgical Units, Monopolar/Bipolar</v>
      </c>
      <c r="HNE111" s="179" t="s">
        <v>428</v>
      </c>
      <c r="HNF111" s="180" t="str">
        <f>VLOOKUP(HNE111,[13]AssetDetails_UEM!$A$3:$AH$1849,6,FALSE)</f>
        <v>Electrosurgical Units, Monopolar/Bipolar</v>
      </c>
      <c r="HNG111" s="179" t="s">
        <v>428</v>
      </c>
      <c r="HNH111" s="180" t="str">
        <f>VLOOKUP(HNG111,[13]AssetDetails_UEM!$A$3:$AH$1849,6,FALSE)</f>
        <v>Electrosurgical Units, Monopolar/Bipolar</v>
      </c>
      <c r="HNI111" s="179" t="s">
        <v>428</v>
      </c>
      <c r="HNJ111" s="180" t="str">
        <f>VLOOKUP(HNI111,[13]AssetDetails_UEM!$A$3:$AH$1849,6,FALSE)</f>
        <v>Electrosurgical Units, Monopolar/Bipolar</v>
      </c>
      <c r="HNK111" s="179" t="s">
        <v>428</v>
      </c>
      <c r="HNL111" s="180" t="str">
        <f>VLOOKUP(HNK111,[13]AssetDetails_UEM!$A$3:$AH$1849,6,FALSE)</f>
        <v>Electrosurgical Units, Monopolar/Bipolar</v>
      </c>
      <c r="HNM111" s="179" t="s">
        <v>428</v>
      </c>
      <c r="HNN111" s="180" t="str">
        <f>VLOOKUP(HNM111,[13]AssetDetails_UEM!$A$3:$AH$1849,6,FALSE)</f>
        <v>Electrosurgical Units, Monopolar/Bipolar</v>
      </c>
      <c r="HNO111" s="179" t="s">
        <v>428</v>
      </c>
      <c r="HNP111" s="180" t="str">
        <f>VLOOKUP(HNO111,[13]AssetDetails_UEM!$A$3:$AH$1849,6,FALSE)</f>
        <v>Electrosurgical Units, Monopolar/Bipolar</v>
      </c>
      <c r="HNQ111" s="179" t="s">
        <v>428</v>
      </c>
      <c r="HNR111" s="180" t="str">
        <f>VLOOKUP(HNQ111,[13]AssetDetails_UEM!$A$3:$AH$1849,6,FALSE)</f>
        <v>Electrosurgical Units, Monopolar/Bipolar</v>
      </c>
      <c r="HNS111" s="179" t="s">
        <v>428</v>
      </c>
      <c r="HNT111" s="180" t="str">
        <f>VLOOKUP(HNS111,[13]AssetDetails_UEM!$A$3:$AH$1849,6,FALSE)</f>
        <v>Electrosurgical Units, Monopolar/Bipolar</v>
      </c>
      <c r="HNU111" s="179" t="s">
        <v>428</v>
      </c>
      <c r="HNV111" s="180" t="str">
        <f>VLOOKUP(HNU111,[13]AssetDetails_UEM!$A$3:$AH$1849,6,FALSE)</f>
        <v>Electrosurgical Units, Monopolar/Bipolar</v>
      </c>
      <c r="HNW111" s="179" t="s">
        <v>428</v>
      </c>
      <c r="HNX111" s="180" t="str">
        <f>VLOOKUP(HNW111,[13]AssetDetails_UEM!$A$3:$AH$1849,6,FALSE)</f>
        <v>Electrosurgical Units, Monopolar/Bipolar</v>
      </c>
      <c r="HNY111" s="179" t="s">
        <v>428</v>
      </c>
      <c r="HNZ111" s="180" t="str">
        <f>VLOOKUP(HNY111,[13]AssetDetails_UEM!$A$3:$AH$1849,6,FALSE)</f>
        <v>Electrosurgical Units, Monopolar/Bipolar</v>
      </c>
      <c r="HOA111" s="179" t="s">
        <v>428</v>
      </c>
      <c r="HOB111" s="180" t="str">
        <f>VLOOKUP(HOA111,[13]AssetDetails_UEM!$A$3:$AH$1849,6,FALSE)</f>
        <v>Electrosurgical Units, Monopolar/Bipolar</v>
      </c>
      <c r="HOC111" s="179" t="s">
        <v>428</v>
      </c>
      <c r="HOD111" s="180" t="str">
        <f>VLOOKUP(HOC111,[13]AssetDetails_UEM!$A$3:$AH$1849,6,FALSE)</f>
        <v>Electrosurgical Units, Monopolar/Bipolar</v>
      </c>
      <c r="HOE111" s="179" t="s">
        <v>428</v>
      </c>
      <c r="HOF111" s="180" t="str">
        <f>VLOOKUP(HOE111,[13]AssetDetails_UEM!$A$3:$AH$1849,6,FALSE)</f>
        <v>Electrosurgical Units, Monopolar/Bipolar</v>
      </c>
      <c r="HOG111" s="179" t="s">
        <v>428</v>
      </c>
      <c r="HOH111" s="180" t="str">
        <f>VLOOKUP(HOG111,[13]AssetDetails_UEM!$A$3:$AH$1849,6,FALSE)</f>
        <v>Electrosurgical Units, Monopolar/Bipolar</v>
      </c>
      <c r="HOI111" s="179" t="s">
        <v>428</v>
      </c>
      <c r="HOJ111" s="180" t="str">
        <f>VLOOKUP(HOI111,[13]AssetDetails_UEM!$A$3:$AH$1849,6,FALSE)</f>
        <v>Electrosurgical Units, Monopolar/Bipolar</v>
      </c>
      <c r="HOK111" s="179" t="s">
        <v>428</v>
      </c>
      <c r="HOL111" s="180" t="str">
        <f>VLOOKUP(HOK111,[13]AssetDetails_UEM!$A$3:$AH$1849,6,FALSE)</f>
        <v>Electrosurgical Units, Monopolar/Bipolar</v>
      </c>
      <c r="HOM111" s="179" t="s">
        <v>428</v>
      </c>
      <c r="HON111" s="180" t="str">
        <f>VLOOKUP(HOM111,[13]AssetDetails_UEM!$A$3:$AH$1849,6,FALSE)</f>
        <v>Electrosurgical Units, Monopolar/Bipolar</v>
      </c>
      <c r="HOO111" s="179" t="s">
        <v>428</v>
      </c>
      <c r="HOP111" s="180" t="str">
        <f>VLOOKUP(HOO111,[13]AssetDetails_UEM!$A$3:$AH$1849,6,FALSE)</f>
        <v>Electrosurgical Units, Monopolar/Bipolar</v>
      </c>
      <c r="HOQ111" s="179" t="s">
        <v>428</v>
      </c>
      <c r="HOR111" s="180" t="str">
        <f>VLOOKUP(HOQ111,[13]AssetDetails_UEM!$A$3:$AH$1849,6,FALSE)</f>
        <v>Electrosurgical Units, Monopolar/Bipolar</v>
      </c>
      <c r="HOS111" s="179" t="s">
        <v>428</v>
      </c>
      <c r="HOT111" s="180" t="str">
        <f>VLOOKUP(HOS111,[13]AssetDetails_UEM!$A$3:$AH$1849,6,FALSE)</f>
        <v>Electrosurgical Units, Monopolar/Bipolar</v>
      </c>
      <c r="HOU111" s="179" t="s">
        <v>428</v>
      </c>
      <c r="HOV111" s="180" t="str">
        <f>VLOOKUP(HOU111,[13]AssetDetails_UEM!$A$3:$AH$1849,6,FALSE)</f>
        <v>Electrosurgical Units, Monopolar/Bipolar</v>
      </c>
      <c r="HOW111" s="179" t="s">
        <v>428</v>
      </c>
      <c r="HOX111" s="180" t="str">
        <f>VLOOKUP(HOW111,[13]AssetDetails_UEM!$A$3:$AH$1849,6,FALSE)</f>
        <v>Electrosurgical Units, Monopolar/Bipolar</v>
      </c>
      <c r="HOY111" s="179" t="s">
        <v>428</v>
      </c>
      <c r="HOZ111" s="180" t="str">
        <f>VLOOKUP(HOY111,[13]AssetDetails_UEM!$A$3:$AH$1849,6,FALSE)</f>
        <v>Electrosurgical Units, Monopolar/Bipolar</v>
      </c>
      <c r="HPA111" s="179" t="s">
        <v>428</v>
      </c>
      <c r="HPB111" s="180" t="str">
        <f>VLOOKUP(HPA111,[13]AssetDetails_UEM!$A$3:$AH$1849,6,FALSE)</f>
        <v>Electrosurgical Units, Monopolar/Bipolar</v>
      </c>
      <c r="HPC111" s="179" t="s">
        <v>428</v>
      </c>
      <c r="HPD111" s="180" t="str">
        <f>VLOOKUP(HPC111,[13]AssetDetails_UEM!$A$3:$AH$1849,6,FALSE)</f>
        <v>Electrosurgical Units, Monopolar/Bipolar</v>
      </c>
      <c r="HPE111" s="179" t="s">
        <v>428</v>
      </c>
      <c r="HPF111" s="180" t="str">
        <f>VLOOKUP(HPE111,[13]AssetDetails_UEM!$A$3:$AH$1849,6,FALSE)</f>
        <v>Electrosurgical Units, Monopolar/Bipolar</v>
      </c>
      <c r="HPG111" s="179" t="s">
        <v>428</v>
      </c>
      <c r="HPH111" s="180" t="str">
        <f>VLOOKUP(HPG111,[13]AssetDetails_UEM!$A$3:$AH$1849,6,FALSE)</f>
        <v>Electrosurgical Units, Monopolar/Bipolar</v>
      </c>
      <c r="HPI111" s="179" t="s">
        <v>428</v>
      </c>
      <c r="HPJ111" s="180" t="str">
        <f>VLOOKUP(HPI111,[13]AssetDetails_UEM!$A$3:$AH$1849,6,FALSE)</f>
        <v>Electrosurgical Units, Monopolar/Bipolar</v>
      </c>
      <c r="HPK111" s="179" t="s">
        <v>428</v>
      </c>
      <c r="HPL111" s="180" t="str">
        <f>VLOOKUP(HPK111,[13]AssetDetails_UEM!$A$3:$AH$1849,6,FALSE)</f>
        <v>Electrosurgical Units, Monopolar/Bipolar</v>
      </c>
      <c r="HPM111" s="179" t="s">
        <v>428</v>
      </c>
      <c r="HPN111" s="180" t="str">
        <f>VLOOKUP(HPM111,[13]AssetDetails_UEM!$A$3:$AH$1849,6,FALSE)</f>
        <v>Electrosurgical Units, Monopolar/Bipolar</v>
      </c>
      <c r="HPO111" s="179" t="s">
        <v>428</v>
      </c>
      <c r="HPP111" s="180" t="str">
        <f>VLOOKUP(HPO111,[13]AssetDetails_UEM!$A$3:$AH$1849,6,FALSE)</f>
        <v>Electrosurgical Units, Monopolar/Bipolar</v>
      </c>
      <c r="HPQ111" s="179" t="s">
        <v>428</v>
      </c>
      <c r="HPR111" s="180" t="str">
        <f>VLOOKUP(HPQ111,[13]AssetDetails_UEM!$A$3:$AH$1849,6,FALSE)</f>
        <v>Electrosurgical Units, Monopolar/Bipolar</v>
      </c>
      <c r="HPS111" s="179" t="s">
        <v>428</v>
      </c>
      <c r="HPT111" s="180" t="str">
        <f>VLOOKUP(HPS111,[13]AssetDetails_UEM!$A$3:$AH$1849,6,FALSE)</f>
        <v>Electrosurgical Units, Monopolar/Bipolar</v>
      </c>
      <c r="HPU111" s="179" t="s">
        <v>428</v>
      </c>
      <c r="HPV111" s="180" t="str">
        <f>VLOOKUP(HPU111,[13]AssetDetails_UEM!$A$3:$AH$1849,6,FALSE)</f>
        <v>Electrosurgical Units, Monopolar/Bipolar</v>
      </c>
      <c r="HPW111" s="179" t="s">
        <v>428</v>
      </c>
      <c r="HPX111" s="180" t="str">
        <f>VLOOKUP(HPW111,[13]AssetDetails_UEM!$A$3:$AH$1849,6,FALSE)</f>
        <v>Electrosurgical Units, Monopolar/Bipolar</v>
      </c>
      <c r="HPY111" s="179" t="s">
        <v>428</v>
      </c>
      <c r="HPZ111" s="180" t="str">
        <f>VLOOKUP(HPY111,[13]AssetDetails_UEM!$A$3:$AH$1849,6,FALSE)</f>
        <v>Electrosurgical Units, Monopolar/Bipolar</v>
      </c>
      <c r="HQA111" s="179" t="s">
        <v>428</v>
      </c>
      <c r="HQB111" s="180" t="str">
        <f>VLOOKUP(HQA111,[13]AssetDetails_UEM!$A$3:$AH$1849,6,FALSE)</f>
        <v>Electrosurgical Units, Monopolar/Bipolar</v>
      </c>
      <c r="HQC111" s="179" t="s">
        <v>428</v>
      </c>
      <c r="HQD111" s="180" t="str">
        <f>VLOOKUP(HQC111,[13]AssetDetails_UEM!$A$3:$AH$1849,6,FALSE)</f>
        <v>Electrosurgical Units, Monopolar/Bipolar</v>
      </c>
      <c r="HQE111" s="179" t="s">
        <v>428</v>
      </c>
      <c r="HQF111" s="180" t="str">
        <f>VLOOKUP(HQE111,[13]AssetDetails_UEM!$A$3:$AH$1849,6,FALSE)</f>
        <v>Electrosurgical Units, Monopolar/Bipolar</v>
      </c>
      <c r="HQG111" s="179" t="s">
        <v>428</v>
      </c>
      <c r="HQH111" s="180" t="str">
        <f>VLOOKUP(HQG111,[13]AssetDetails_UEM!$A$3:$AH$1849,6,FALSE)</f>
        <v>Electrosurgical Units, Monopolar/Bipolar</v>
      </c>
      <c r="HQI111" s="179" t="s">
        <v>428</v>
      </c>
      <c r="HQJ111" s="180" t="str">
        <f>VLOOKUP(HQI111,[13]AssetDetails_UEM!$A$3:$AH$1849,6,FALSE)</f>
        <v>Electrosurgical Units, Monopolar/Bipolar</v>
      </c>
      <c r="HQK111" s="179" t="s">
        <v>428</v>
      </c>
      <c r="HQL111" s="180" t="str">
        <f>VLOOKUP(HQK111,[13]AssetDetails_UEM!$A$3:$AH$1849,6,FALSE)</f>
        <v>Electrosurgical Units, Monopolar/Bipolar</v>
      </c>
      <c r="HQM111" s="179" t="s">
        <v>428</v>
      </c>
      <c r="HQN111" s="180" t="str">
        <f>VLOOKUP(HQM111,[13]AssetDetails_UEM!$A$3:$AH$1849,6,FALSE)</f>
        <v>Electrosurgical Units, Monopolar/Bipolar</v>
      </c>
      <c r="HQO111" s="179" t="s">
        <v>428</v>
      </c>
      <c r="HQP111" s="180" t="str">
        <f>VLOOKUP(HQO111,[13]AssetDetails_UEM!$A$3:$AH$1849,6,FALSE)</f>
        <v>Electrosurgical Units, Monopolar/Bipolar</v>
      </c>
      <c r="HQQ111" s="179" t="s">
        <v>428</v>
      </c>
      <c r="HQR111" s="180" t="str">
        <f>VLOOKUP(HQQ111,[13]AssetDetails_UEM!$A$3:$AH$1849,6,FALSE)</f>
        <v>Electrosurgical Units, Monopolar/Bipolar</v>
      </c>
      <c r="HQS111" s="179" t="s">
        <v>428</v>
      </c>
      <c r="HQT111" s="180" t="str">
        <f>VLOOKUP(HQS111,[13]AssetDetails_UEM!$A$3:$AH$1849,6,FALSE)</f>
        <v>Electrosurgical Units, Monopolar/Bipolar</v>
      </c>
      <c r="HQU111" s="179" t="s">
        <v>428</v>
      </c>
      <c r="HQV111" s="180" t="str">
        <f>VLOOKUP(HQU111,[13]AssetDetails_UEM!$A$3:$AH$1849,6,FALSE)</f>
        <v>Electrosurgical Units, Monopolar/Bipolar</v>
      </c>
      <c r="HQW111" s="179" t="s">
        <v>428</v>
      </c>
      <c r="HQX111" s="180" t="str">
        <f>VLOOKUP(HQW111,[13]AssetDetails_UEM!$A$3:$AH$1849,6,FALSE)</f>
        <v>Electrosurgical Units, Monopolar/Bipolar</v>
      </c>
      <c r="HQY111" s="179" t="s">
        <v>428</v>
      </c>
      <c r="HQZ111" s="180" t="str">
        <f>VLOOKUP(HQY111,[13]AssetDetails_UEM!$A$3:$AH$1849,6,FALSE)</f>
        <v>Electrosurgical Units, Monopolar/Bipolar</v>
      </c>
      <c r="HRA111" s="179" t="s">
        <v>428</v>
      </c>
      <c r="HRB111" s="180" t="str">
        <f>VLOOKUP(HRA111,[13]AssetDetails_UEM!$A$3:$AH$1849,6,FALSE)</f>
        <v>Electrosurgical Units, Monopolar/Bipolar</v>
      </c>
      <c r="HRC111" s="179" t="s">
        <v>428</v>
      </c>
      <c r="HRD111" s="180" t="str">
        <f>VLOOKUP(HRC111,[13]AssetDetails_UEM!$A$3:$AH$1849,6,FALSE)</f>
        <v>Electrosurgical Units, Monopolar/Bipolar</v>
      </c>
      <c r="HRE111" s="179" t="s">
        <v>428</v>
      </c>
      <c r="HRF111" s="180" t="str">
        <f>VLOOKUP(HRE111,[13]AssetDetails_UEM!$A$3:$AH$1849,6,FALSE)</f>
        <v>Electrosurgical Units, Monopolar/Bipolar</v>
      </c>
      <c r="HRG111" s="179" t="s">
        <v>428</v>
      </c>
      <c r="HRH111" s="180" t="str">
        <f>VLOOKUP(HRG111,[13]AssetDetails_UEM!$A$3:$AH$1849,6,FALSE)</f>
        <v>Electrosurgical Units, Monopolar/Bipolar</v>
      </c>
      <c r="HRI111" s="179" t="s">
        <v>428</v>
      </c>
      <c r="HRJ111" s="180" t="str">
        <f>VLOOKUP(HRI111,[13]AssetDetails_UEM!$A$3:$AH$1849,6,FALSE)</f>
        <v>Electrosurgical Units, Monopolar/Bipolar</v>
      </c>
      <c r="HRK111" s="179" t="s">
        <v>428</v>
      </c>
      <c r="HRL111" s="180" t="str">
        <f>VLOOKUP(HRK111,[13]AssetDetails_UEM!$A$3:$AH$1849,6,FALSE)</f>
        <v>Electrosurgical Units, Monopolar/Bipolar</v>
      </c>
      <c r="HRM111" s="179" t="s">
        <v>428</v>
      </c>
      <c r="HRN111" s="180" t="str">
        <f>VLOOKUP(HRM111,[13]AssetDetails_UEM!$A$3:$AH$1849,6,FALSE)</f>
        <v>Electrosurgical Units, Monopolar/Bipolar</v>
      </c>
      <c r="HRO111" s="179" t="s">
        <v>428</v>
      </c>
      <c r="HRP111" s="180" t="str">
        <f>VLOOKUP(HRO111,[13]AssetDetails_UEM!$A$3:$AH$1849,6,FALSE)</f>
        <v>Electrosurgical Units, Monopolar/Bipolar</v>
      </c>
      <c r="HRQ111" s="179" t="s">
        <v>428</v>
      </c>
      <c r="HRR111" s="180" t="str">
        <f>VLOOKUP(HRQ111,[13]AssetDetails_UEM!$A$3:$AH$1849,6,FALSE)</f>
        <v>Electrosurgical Units, Monopolar/Bipolar</v>
      </c>
      <c r="HRS111" s="179" t="s">
        <v>428</v>
      </c>
      <c r="HRT111" s="180" t="str">
        <f>VLOOKUP(HRS111,[13]AssetDetails_UEM!$A$3:$AH$1849,6,FALSE)</f>
        <v>Electrosurgical Units, Monopolar/Bipolar</v>
      </c>
      <c r="HRU111" s="179" t="s">
        <v>428</v>
      </c>
      <c r="HRV111" s="180" t="str">
        <f>VLOOKUP(HRU111,[13]AssetDetails_UEM!$A$3:$AH$1849,6,FALSE)</f>
        <v>Electrosurgical Units, Monopolar/Bipolar</v>
      </c>
      <c r="HRW111" s="179" t="s">
        <v>428</v>
      </c>
      <c r="HRX111" s="180" t="str">
        <f>VLOOKUP(HRW111,[13]AssetDetails_UEM!$A$3:$AH$1849,6,FALSE)</f>
        <v>Electrosurgical Units, Monopolar/Bipolar</v>
      </c>
      <c r="HRY111" s="179" t="s">
        <v>428</v>
      </c>
      <c r="HRZ111" s="180" t="str">
        <f>VLOOKUP(HRY111,[13]AssetDetails_UEM!$A$3:$AH$1849,6,FALSE)</f>
        <v>Electrosurgical Units, Monopolar/Bipolar</v>
      </c>
      <c r="HSA111" s="179" t="s">
        <v>428</v>
      </c>
      <c r="HSB111" s="180" t="str">
        <f>VLOOKUP(HSA111,[13]AssetDetails_UEM!$A$3:$AH$1849,6,FALSE)</f>
        <v>Electrosurgical Units, Monopolar/Bipolar</v>
      </c>
      <c r="HSC111" s="179" t="s">
        <v>428</v>
      </c>
      <c r="HSD111" s="180" t="str">
        <f>VLOOKUP(HSC111,[13]AssetDetails_UEM!$A$3:$AH$1849,6,FALSE)</f>
        <v>Electrosurgical Units, Monopolar/Bipolar</v>
      </c>
      <c r="HSE111" s="179" t="s">
        <v>428</v>
      </c>
      <c r="HSF111" s="180" t="str">
        <f>VLOOKUP(HSE111,[13]AssetDetails_UEM!$A$3:$AH$1849,6,FALSE)</f>
        <v>Electrosurgical Units, Monopolar/Bipolar</v>
      </c>
      <c r="HSG111" s="179" t="s">
        <v>428</v>
      </c>
      <c r="HSH111" s="180" t="str">
        <f>VLOOKUP(HSG111,[13]AssetDetails_UEM!$A$3:$AH$1849,6,FALSE)</f>
        <v>Electrosurgical Units, Monopolar/Bipolar</v>
      </c>
      <c r="HSI111" s="179" t="s">
        <v>428</v>
      </c>
      <c r="HSJ111" s="180" t="str">
        <f>VLOOKUP(HSI111,[13]AssetDetails_UEM!$A$3:$AH$1849,6,FALSE)</f>
        <v>Electrosurgical Units, Monopolar/Bipolar</v>
      </c>
      <c r="HSK111" s="179" t="s">
        <v>428</v>
      </c>
      <c r="HSL111" s="180" t="str">
        <f>VLOOKUP(HSK111,[13]AssetDetails_UEM!$A$3:$AH$1849,6,FALSE)</f>
        <v>Electrosurgical Units, Monopolar/Bipolar</v>
      </c>
      <c r="HSM111" s="179" t="s">
        <v>428</v>
      </c>
      <c r="HSN111" s="180" t="str">
        <f>VLOOKUP(HSM111,[13]AssetDetails_UEM!$A$3:$AH$1849,6,FALSE)</f>
        <v>Electrosurgical Units, Monopolar/Bipolar</v>
      </c>
      <c r="HSO111" s="179" t="s">
        <v>428</v>
      </c>
      <c r="HSP111" s="180" t="str">
        <f>VLOOKUP(HSO111,[13]AssetDetails_UEM!$A$3:$AH$1849,6,FALSE)</f>
        <v>Electrosurgical Units, Monopolar/Bipolar</v>
      </c>
      <c r="HSQ111" s="179" t="s">
        <v>428</v>
      </c>
      <c r="HSR111" s="180" t="str">
        <f>VLOOKUP(HSQ111,[13]AssetDetails_UEM!$A$3:$AH$1849,6,FALSE)</f>
        <v>Electrosurgical Units, Monopolar/Bipolar</v>
      </c>
      <c r="HSS111" s="179" t="s">
        <v>428</v>
      </c>
      <c r="HST111" s="180" t="str">
        <f>VLOOKUP(HSS111,[13]AssetDetails_UEM!$A$3:$AH$1849,6,FALSE)</f>
        <v>Electrosurgical Units, Monopolar/Bipolar</v>
      </c>
      <c r="HSU111" s="179" t="s">
        <v>428</v>
      </c>
      <c r="HSV111" s="180" t="str">
        <f>VLOOKUP(HSU111,[13]AssetDetails_UEM!$A$3:$AH$1849,6,FALSE)</f>
        <v>Electrosurgical Units, Monopolar/Bipolar</v>
      </c>
      <c r="HSW111" s="179" t="s">
        <v>428</v>
      </c>
      <c r="HSX111" s="180" t="str">
        <f>VLOOKUP(HSW111,[13]AssetDetails_UEM!$A$3:$AH$1849,6,FALSE)</f>
        <v>Electrosurgical Units, Monopolar/Bipolar</v>
      </c>
      <c r="HSY111" s="179" t="s">
        <v>428</v>
      </c>
      <c r="HSZ111" s="180" t="str">
        <f>VLOOKUP(HSY111,[13]AssetDetails_UEM!$A$3:$AH$1849,6,FALSE)</f>
        <v>Electrosurgical Units, Monopolar/Bipolar</v>
      </c>
      <c r="HTA111" s="179" t="s">
        <v>428</v>
      </c>
      <c r="HTB111" s="180" t="str">
        <f>VLOOKUP(HTA111,[13]AssetDetails_UEM!$A$3:$AH$1849,6,FALSE)</f>
        <v>Electrosurgical Units, Monopolar/Bipolar</v>
      </c>
      <c r="HTC111" s="179" t="s">
        <v>428</v>
      </c>
      <c r="HTD111" s="180" t="str">
        <f>VLOOKUP(HTC111,[13]AssetDetails_UEM!$A$3:$AH$1849,6,FALSE)</f>
        <v>Electrosurgical Units, Monopolar/Bipolar</v>
      </c>
      <c r="HTE111" s="179" t="s">
        <v>428</v>
      </c>
      <c r="HTF111" s="180" t="str">
        <f>VLOOKUP(HTE111,[13]AssetDetails_UEM!$A$3:$AH$1849,6,FALSE)</f>
        <v>Electrosurgical Units, Monopolar/Bipolar</v>
      </c>
      <c r="HTG111" s="179" t="s">
        <v>428</v>
      </c>
      <c r="HTH111" s="180" t="str">
        <f>VLOOKUP(HTG111,[13]AssetDetails_UEM!$A$3:$AH$1849,6,FALSE)</f>
        <v>Electrosurgical Units, Monopolar/Bipolar</v>
      </c>
      <c r="HTI111" s="179" t="s">
        <v>428</v>
      </c>
      <c r="HTJ111" s="180" t="str">
        <f>VLOOKUP(HTI111,[13]AssetDetails_UEM!$A$3:$AH$1849,6,FALSE)</f>
        <v>Electrosurgical Units, Monopolar/Bipolar</v>
      </c>
      <c r="HTK111" s="179" t="s">
        <v>428</v>
      </c>
      <c r="HTL111" s="180" t="str">
        <f>VLOOKUP(HTK111,[13]AssetDetails_UEM!$A$3:$AH$1849,6,FALSE)</f>
        <v>Electrosurgical Units, Monopolar/Bipolar</v>
      </c>
      <c r="HTM111" s="179" t="s">
        <v>428</v>
      </c>
      <c r="HTN111" s="180" t="str">
        <f>VLOOKUP(HTM111,[13]AssetDetails_UEM!$A$3:$AH$1849,6,FALSE)</f>
        <v>Electrosurgical Units, Monopolar/Bipolar</v>
      </c>
      <c r="HTO111" s="179" t="s">
        <v>428</v>
      </c>
      <c r="HTP111" s="180" t="str">
        <f>VLOOKUP(HTO111,[13]AssetDetails_UEM!$A$3:$AH$1849,6,FALSE)</f>
        <v>Electrosurgical Units, Monopolar/Bipolar</v>
      </c>
      <c r="HTQ111" s="179" t="s">
        <v>428</v>
      </c>
      <c r="HTR111" s="180" t="str">
        <f>VLOOKUP(HTQ111,[13]AssetDetails_UEM!$A$3:$AH$1849,6,FALSE)</f>
        <v>Electrosurgical Units, Monopolar/Bipolar</v>
      </c>
      <c r="HTS111" s="179" t="s">
        <v>428</v>
      </c>
      <c r="HTT111" s="180" t="str">
        <f>VLOOKUP(HTS111,[13]AssetDetails_UEM!$A$3:$AH$1849,6,FALSE)</f>
        <v>Electrosurgical Units, Monopolar/Bipolar</v>
      </c>
      <c r="HTU111" s="179" t="s">
        <v>428</v>
      </c>
      <c r="HTV111" s="180" t="str">
        <f>VLOOKUP(HTU111,[13]AssetDetails_UEM!$A$3:$AH$1849,6,FALSE)</f>
        <v>Electrosurgical Units, Monopolar/Bipolar</v>
      </c>
      <c r="HTW111" s="179" t="s">
        <v>428</v>
      </c>
      <c r="HTX111" s="180" t="str">
        <f>VLOOKUP(HTW111,[13]AssetDetails_UEM!$A$3:$AH$1849,6,FALSE)</f>
        <v>Electrosurgical Units, Monopolar/Bipolar</v>
      </c>
      <c r="HTY111" s="179" t="s">
        <v>428</v>
      </c>
      <c r="HTZ111" s="180" t="str">
        <f>VLOOKUP(HTY111,[13]AssetDetails_UEM!$A$3:$AH$1849,6,FALSE)</f>
        <v>Electrosurgical Units, Monopolar/Bipolar</v>
      </c>
      <c r="HUA111" s="179" t="s">
        <v>428</v>
      </c>
      <c r="HUB111" s="180" t="str">
        <f>VLOOKUP(HUA111,[13]AssetDetails_UEM!$A$3:$AH$1849,6,FALSE)</f>
        <v>Electrosurgical Units, Monopolar/Bipolar</v>
      </c>
      <c r="HUC111" s="179" t="s">
        <v>428</v>
      </c>
      <c r="HUD111" s="180" t="str">
        <f>VLOOKUP(HUC111,[13]AssetDetails_UEM!$A$3:$AH$1849,6,FALSE)</f>
        <v>Electrosurgical Units, Monopolar/Bipolar</v>
      </c>
      <c r="HUE111" s="179" t="s">
        <v>428</v>
      </c>
      <c r="HUF111" s="180" t="str">
        <f>VLOOKUP(HUE111,[13]AssetDetails_UEM!$A$3:$AH$1849,6,FALSE)</f>
        <v>Electrosurgical Units, Monopolar/Bipolar</v>
      </c>
      <c r="HUG111" s="179" t="s">
        <v>428</v>
      </c>
      <c r="HUH111" s="180" t="str">
        <f>VLOOKUP(HUG111,[13]AssetDetails_UEM!$A$3:$AH$1849,6,FALSE)</f>
        <v>Electrosurgical Units, Monopolar/Bipolar</v>
      </c>
      <c r="HUI111" s="179" t="s">
        <v>428</v>
      </c>
      <c r="HUJ111" s="180" t="str">
        <f>VLOOKUP(HUI111,[13]AssetDetails_UEM!$A$3:$AH$1849,6,FALSE)</f>
        <v>Electrosurgical Units, Monopolar/Bipolar</v>
      </c>
      <c r="HUK111" s="179" t="s">
        <v>428</v>
      </c>
      <c r="HUL111" s="180" t="str">
        <f>VLOOKUP(HUK111,[13]AssetDetails_UEM!$A$3:$AH$1849,6,FALSE)</f>
        <v>Electrosurgical Units, Monopolar/Bipolar</v>
      </c>
      <c r="HUM111" s="179" t="s">
        <v>428</v>
      </c>
      <c r="HUN111" s="180" t="str">
        <f>VLOOKUP(HUM111,[13]AssetDetails_UEM!$A$3:$AH$1849,6,FALSE)</f>
        <v>Electrosurgical Units, Monopolar/Bipolar</v>
      </c>
      <c r="HUO111" s="179" t="s">
        <v>428</v>
      </c>
      <c r="HUP111" s="180" t="str">
        <f>VLOOKUP(HUO111,[13]AssetDetails_UEM!$A$3:$AH$1849,6,FALSE)</f>
        <v>Electrosurgical Units, Monopolar/Bipolar</v>
      </c>
      <c r="HUQ111" s="179" t="s">
        <v>428</v>
      </c>
      <c r="HUR111" s="180" t="str">
        <f>VLOOKUP(HUQ111,[13]AssetDetails_UEM!$A$3:$AH$1849,6,FALSE)</f>
        <v>Electrosurgical Units, Monopolar/Bipolar</v>
      </c>
      <c r="HUS111" s="179" t="s">
        <v>428</v>
      </c>
      <c r="HUT111" s="180" t="str">
        <f>VLOOKUP(HUS111,[13]AssetDetails_UEM!$A$3:$AH$1849,6,FALSE)</f>
        <v>Electrosurgical Units, Monopolar/Bipolar</v>
      </c>
      <c r="HUU111" s="179" t="s">
        <v>428</v>
      </c>
      <c r="HUV111" s="180" t="str">
        <f>VLOOKUP(HUU111,[13]AssetDetails_UEM!$A$3:$AH$1849,6,FALSE)</f>
        <v>Electrosurgical Units, Monopolar/Bipolar</v>
      </c>
      <c r="HUW111" s="179" t="s">
        <v>428</v>
      </c>
      <c r="HUX111" s="180" t="str">
        <f>VLOOKUP(HUW111,[13]AssetDetails_UEM!$A$3:$AH$1849,6,FALSE)</f>
        <v>Electrosurgical Units, Monopolar/Bipolar</v>
      </c>
      <c r="HUY111" s="179" t="s">
        <v>428</v>
      </c>
      <c r="HUZ111" s="180" t="str">
        <f>VLOOKUP(HUY111,[13]AssetDetails_UEM!$A$3:$AH$1849,6,FALSE)</f>
        <v>Electrosurgical Units, Monopolar/Bipolar</v>
      </c>
      <c r="HVA111" s="179" t="s">
        <v>428</v>
      </c>
      <c r="HVB111" s="180" t="str">
        <f>VLOOKUP(HVA111,[13]AssetDetails_UEM!$A$3:$AH$1849,6,FALSE)</f>
        <v>Electrosurgical Units, Monopolar/Bipolar</v>
      </c>
      <c r="HVC111" s="179" t="s">
        <v>428</v>
      </c>
      <c r="HVD111" s="180" t="str">
        <f>VLOOKUP(HVC111,[13]AssetDetails_UEM!$A$3:$AH$1849,6,FALSE)</f>
        <v>Electrosurgical Units, Monopolar/Bipolar</v>
      </c>
      <c r="HVE111" s="179" t="s">
        <v>428</v>
      </c>
      <c r="HVF111" s="180" t="str">
        <f>VLOOKUP(HVE111,[13]AssetDetails_UEM!$A$3:$AH$1849,6,FALSE)</f>
        <v>Electrosurgical Units, Monopolar/Bipolar</v>
      </c>
      <c r="HVG111" s="179" t="s">
        <v>428</v>
      </c>
      <c r="HVH111" s="180" t="str">
        <f>VLOOKUP(HVG111,[13]AssetDetails_UEM!$A$3:$AH$1849,6,FALSE)</f>
        <v>Electrosurgical Units, Monopolar/Bipolar</v>
      </c>
      <c r="HVI111" s="179" t="s">
        <v>428</v>
      </c>
      <c r="HVJ111" s="180" t="str">
        <f>VLOOKUP(HVI111,[13]AssetDetails_UEM!$A$3:$AH$1849,6,FALSE)</f>
        <v>Electrosurgical Units, Monopolar/Bipolar</v>
      </c>
      <c r="HVK111" s="179" t="s">
        <v>428</v>
      </c>
      <c r="HVL111" s="180" t="str">
        <f>VLOOKUP(HVK111,[13]AssetDetails_UEM!$A$3:$AH$1849,6,FALSE)</f>
        <v>Electrosurgical Units, Monopolar/Bipolar</v>
      </c>
      <c r="HVM111" s="179" t="s">
        <v>428</v>
      </c>
      <c r="HVN111" s="180" t="str">
        <f>VLOOKUP(HVM111,[13]AssetDetails_UEM!$A$3:$AH$1849,6,FALSE)</f>
        <v>Electrosurgical Units, Monopolar/Bipolar</v>
      </c>
      <c r="HVO111" s="179" t="s">
        <v>428</v>
      </c>
      <c r="HVP111" s="180" t="str">
        <f>VLOOKUP(HVO111,[13]AssetDetails_UEM!$A$3:$AH$1849,6,FALSE)</f>
        <v>Electrosurgical Units, Monopolar/Bipolar</v>
      </c>
      <c r="HVQ111" s="179" t="s">
        <v>428</v>
      </c>
      <c r="HVR111" s="180" t="str">
        <f>VLOOKUP(HVQ111,[13]AssetDetails_UEM!$A$3:$AH$1849,6,FALSE)</f>
        <v>Electrosurgical Units, Monopolar/Bipolar</v>
      </c>
      <c r="HVS111" s="179" t="s">
        <v>428</v>
      </c>
      <c r="HVT111" s="180" t="str">
        <f>VLOOKUP(HVS111,[13]AssetDetails_UEM!$A$3:$AH$1849,6,FALSE)</f>
        <v>Electrosurgical Units, Monopolar/Bipolar</v>
      </c>
      <c r="HVU111" s="179" t="s">
        <v>428</v>
      </c>
      <c r="HVV111" s="180" t="str">
        <f>VLOOKUP(HVU111,[13]AssetDetails_UEM!$A$3:$AH$1849,6,FALSE)</f>
        <v>Electrosurgical Units, Monopolar/Bipolar</v>
      </c>
      <c r="HVW111" s="179" t="s">
        <v>428</v>
      </c>
      <c r="HVX111" s="180" t="str">
        <f>VLOOKUP(HVW111,[13]AssetDetails_UEM!$A$3:$AH$1849,6,FALSE)</f>
        <v>Electrosurgical Units, Monopolar/Bipolar</v>
      </c>
      <c r="HVY111" s="179" t="s">
        <v>428</v>
      </c>
      <c r="HVZ111" s="180" t="str">
        <f>VLOOKUP(HVY111,[13]AssetDetails_UEM!$A$3:$AH$1849,6,FALSE)</f>
        <v>Electrosurgical Units, Monopolar/Bipolar</v>
      </c>
      <c r="HWA111" s="179" t="s">
        <v>428</v>
      </c>
      <c r="HWB111" s="180" t="str">
        <f>VLOOKUP(HWA111,[13]AssetDetails_UEM!$A$3:$AH$1849,6,FALSE)</f>
        <v>Electrosurgical Units, Monopolar/Bipolar</v>
      </c>
      <c r="HWC111" s="179" t="s">
        <v>428</v>
      </c>
      <c r="HWD111" s="180" t="str">
        <f>VLOOKUP(HWC111,[13]AssetDetails_UEM!$A$3:$AH$1849,6,FALSE)</f>
        <v>Electrosurgical Units, Monopolar/Bipolar</v>
      </c>
      <c r="HWE111" s="179" t="s">
        <v>428</v>
      </c>
      <c r="HWF111" s="180" t="str">
        <f>VLOOKUP(HWE111,[13]AssetDetails_UEM!$A$3:$AH$1849,6,FALSE)</f>
        <v>Electrosurgical Units, Monopolar/Bipolar</v>
      </c>
      <c r="HWG111" s="179" t="s">
        <v>428</v>
      </c>
      <c r="HWH111" s="180" t="str">
        <f>VLOOKUP(HWG111,[13]AssetDetails_UEM!$A$3:$AH$1849,6,FALSE)</f>
        <v>Electrosurgical Units, Monopolar/Bipolar</v>
      </c>
      <c r="HWI111" s="179" t="s">
        <v>428</v>
      </c>
      <c r="HWJ111" s="180" t="str">
        <f>VLOOKUP(HWI111,[13]AssetDetails_UEM!$A$3:$AH$1849,6,FALSE)</f>
        <v>Electrosurgical Units, Monopolar/Bipolar</v>
      </c>
      <c r="HWK111" s="179" t="s">
        <v>428</v>
      </c>
      <c r="HWL111" s="180" t="str">
        <f>VLOOKUP(HWK111,[13]AssetDetails_UEM!$A$3:$AH$1849,6,FALSE)</f>
        <v>Electrosurgical Units, Monopolar/Bipolar</v>
      </c>
      <c r="HWM111" s="179" t="s">
        <v>428</v>
      </c>
      <c r="HWN111" s="180" t="str">
        <f>VLOOKUP(HWM111,[13]AssetDetails_UEM!$A$3:$AH$1849,6,FALSE)</f>
        <v>Electrosurgical Units, Monopolar/Bipolar</v>
      </c>
      <c r="HWO111" s="179" t="s">
        <v>428</v>
      </c>
      <c r="HWP111" s="180" t="str">
        <f>VLOOKUP(HWO111,[13]AssetDetails_UEM!$A$3:$AH$1849,6,FALSE)</f>
        <v>Electrosurgical Units, Monopolar/Bipolar</v>
      </c>
      <c r="HWQ111" s="179" t="s">
        <v>428</v>
      </c>
      <c r="HWR111" s="180" t="str">
        <f>VLOOKUP(HWQ111,[13]AssetDetails_UEM!$A$3:$AH$1849,6,FALSE)</f>
        <v>Electrosurgical Units, Monopolar/Bipolar</v>
      </c>
      <c r="HWS111" s="179" t="s">
        <v>428</v>
      </c>
      <c r="HWT111" s="180" t="str">
        <f>VLOOKUP(HWS111,[13]AssetDetails_UEM!$A$3:$AH$1849,6,FALSE)</f>
        <v>Electrosurgical Units, Monopolar/Bipolar</v>
      </c>
      <c r="HWU111" s="179" t="s">
        <v>428</v>
      </c>
      <c r="HWV111" s="180" t="str">
        <f>VLOOKUP(HWU111,[13]AssetDetails_UEM!$A$3:$AH$1849,6,FALSE)</f>
        <v>Electrosurgical Units, Monopolar/Bipolar</v>
      </c>
      <c r="HWW111" s="179" t="s">
        <v>428</v>
      </c>
      <c r="HWX111" s="180" t="str">
        <f>VLOOKUP(HWW111,[13]AssetDetails_UEM!$A$3:$AH$1849,6,FALSE)</f>
        <v>Electrosurgical Units, Monopolar/Bipolar</v>
      </c>
      <c r="HWY111" s="179" t="s">
        <v>428</v>
      </c>
      <c r="HWZ111" s="180" t="str">
        <f>VLOOKUP(HWY111,[13]AssetDetails_UEM!$A$3:$AH$1849,6,FALSE)</f>
        <v>Electrosurgical Units, Monopolar/Bipolar</v>
      </c>
      <c r="HXA111" s="179" t="s">
        <v>428</v>
      </c>
      <c r="HXB111" s="180" t="str">
        <f>VLOOKUP(HXA111,[13]AssetDetails_UEM!$A$3:$AH$1849,6,FALSE)</f>
        <v>Electrosurgical Units, Monopolar/Bipolar</v>
      </c>
      <c r="HXC111" s="179" t="s">
        <v>428</v>
      </c>
      <c r="HXD111" s="180" t="str">
        <f>VLOOKUP(HXC111,[13]AssetDetails_UEM!$A$3:$AH$1849,6,FALSE)</f>
        <v>Electrosurgical Units, Monopolar/Bipolar</v>
      </c>
      <c r="HXE111" s="179" t="s">
        <v>428</v>
      </c>
      <c r="HXF111" s="180" t="str">
        <f>VLOOKUP(HXE111,[13]AssetDetails_UEM!$A$3:$AH$1849,6,FALSE)</f>
        <v>Electrosurgical Units, Monopolar/Bipolar</v>
      </c>
      <c r="HXG111" s="179" t="s">
        <v>428</v>
      </c>
      <c r="HXH111" s="180" t="str">
        <f>VLOOKUP(HXG111,[13]AssetDetails_UEM!$A$3:$AH$1849,6,FALSE)</f>
        <v>Electrosurgical Units, Monopolar/Bipolar</v>
      </c>
      <c r="HXI111" s="179" t="s">
        <v>428</v>
      </c>
      <c r="HXJ111" s="180" t="str">
        <f>VLOOKUP(HXI111,[13]AssetDetails_UEM!$A$3:$AH$1849,6,FALSE)</f>
        <v>Electrosurgical Units, Monopolar/Bipolar</v>
      </c>
      <c r="HXK111" s="179" t="s">
        <v>428</v>
      </c>
      <c r="HXL111" s="180" t="str">
        <f>VLOOKUP(HXK111,[13]AssetDetails_UEM!$A$3:$AH$1849,6,FALSE)</f>
        <v>Electrosurgical Units, Monopolar/Bipolar</v>
      </c>
      <c r="HXM111" s="179" t="s">
        <v>428</v>
      </c>
      <c r="HXN111" s="180" t="str">
        <f>VLOOKUP(HXM111,[13]AssetDetails_UEM!$A$3:$AH$1849,6,FALSE)</f>
        <v>Electrosurgical Units, Monopolar/Bipolar</v>
      </c>
      <c r="HXO111" s="179" t="s">
        <v>428</v>
      </c>
      <c r="HXP111" s="180" t="str">
        <f>VLOOKUP(HXO111,[13]AssetDetails_UEM!$A$3:$AH$1849,6,FALSE)</f>
        <v>Electrosurgical Units, Monopolar/Bipolar</v>
      </c>
      <c r="HXQ111" s="179" t="s">
        <v>428</v>
      </c>
      <c r="HXR111" s="180" t="str">
        <f>VLOOKUP(HXQ111,[13]AssetDetails_UEM!$A$3:$AH$1849,6,FALSE)</f>
        <v>Electrosurgical Units, Monopolar/Bipolar</v>
      </c>
      <c r="HXS111" s="179" t="s">
        <v>428</v>
      </c>
      <c r="HXT111" s="180" t="str">
        <f>VLOOKUP(HXS111,[13]AssetDetails_UEM!$A$3:$AH$1849,6,FALSE)</f>
        <v>Electrosurgical Units, Monopolar/Bipolar</v>
      </c>
      <c r="HXU111" s="179" t="s">
        <v>428</v>
      </c>
      <c r="HXV111" s="180" t="str">
        <f>VLOOKUP(HXU111,[13]AssetDetails_UEM!$A$3:$AH$1849,6,FALSE)</f>
        <v>Electrosurgical Units, Monopolar/Bipolar</v>
      </c>
      <c r="HXW111" s="179" t="s">
        <v>428</v>
      </c>
      <c r="HXX111" s="180" t="str">
        <f>VLOOKUP(HXW111,[13]AssetDetails_UEM!$A$3:$AH$1849,6,FALSE)</f>
        <v>Electrosurgical Units, Monopolar/Bipolar</v>
      </c>
      <c r="HXY111" s="179" t="s">
        <v>428</v>
      </c>
      <c r="HXZ111" s="180" t="str">
        <f>VLOOKUP(HXY111,[13]AssetDetails_UEM!$A$3:$AH$1849,6,FALSE)</f>
        <v>Electrosurgical Units, Monopolar/Bipolar</v>
      </c>
      <c r="HYA111" s="179" t="s">
        <v>428</v>
      </c>
      <c r="HYB111" s="180" t="str">
        <f>VLOOKUP(HYA111,[13]AssetDetails_UEM!$A$3:$AH$1849,6,FALSE)</f>
        <v>Electrosurgical Units, Monopolar/Bipolar</v>
      </c>
      <c r="HYC111" s="179" t="s">
        <v>428</v>
      </c>
      <c r="HYD111" s="180" t="str">
        <f>VLOOKUP(HYC111,[13]AssetDetails_UEM!$A$3:$AH$1849,6,FALSE)</f>
        <v>Electrosurgical Units, Monopolar/Bipolar</v>
      </c>
      <c r="HYE111" s="179" t="s">
        <v>428</v>
      </c>
      <c r="HYF111" s="180" t="str">
        <f>VLOOKUP(HYE111,[13]AssetDetails_UEM!$A$3:$AH$1849,6,FALSE)</f>
        <v>Electrosurgical Units, Monopolar/Bipolar</v>
      </c>
      <c r="HYG111" s="179" t="s">
        <v>428</v>
      </c>
      <c r="HYH111" s="180" t="str">
        <f>VLOOKUP(HYG111,[13]AssetDetails_UEM!$A$3:$AH$1849,6,FALSE)</f>
        <v>Electrosurgical Units, Monopolar/Bipolar</v>
      </c>
      <c r="HYI111" s="179" t="s">
        <v>428</v>
      </c>
      <c r="HYJ111" s="180" t="str">
        <f>VLOOKUP(HYI111,[13]AssetDetails_UEM!$A$3:$AH$1849,6,FALSE)</f>
        <v>Electrosurgical Units, Monopolar/Bipolar</v>
      </c>
      <c r="HYK111" s="179" t="s">
        <v>428</v>
      </c>
      <c r="HYL111" s="180" t="str">
        <f>VLOOKUP(HYK111,[13]AssetDetails_UEM!$A$3:$AH$1849,6,FALSE)</f>
        <v>Electrosurgical Units, Monopolar/Bipolar</v>
      </c>
      <c r="HYM111" s="179" t="s">
        <v>428</v>
      </c>
      <c r="HYN111" s="180" t="str">
        <f>VLOOKUP(HYM111,[13]AssetDetails_UEM!$A$3:$AH$1849,6,FALSE)</f>
        <v>Electrosurgical Units, Monopolar/Bipolar</v>
      </c>
      <c r="HYO111" s="179" t="s">
        <v>428</v>
      </c>
      <c r="HYP111" s="180" t="str">
        <f>VLOOKUP(HYO111,[13]AssetDetails_UEM!$A$3:$AH$1849,6,FALSE)</f>
        <v>Electrosurgical Units, Monopolar/Bipolar</v>
      </c>
      <c r="HYQ111" s="179" t="s">
        <v>428</v>
      </c>
      <c r="HYR111" s="180" t="str">
        <f>VLOOKUP(HYQ111,[13]AssetDetails_UEM!$A$3:$AH$1849,6,FALSE)</f>
        <v>Electrosurgical Units, Monopolar/Bipolar</v>
      </c>
      <c r="HYS111" s="179" t="s">
        <v>428</v>
      </c>
      <c r="HYT111" s="180" t="str">
        <f>VLOOKUP(HYS111,[13]AssetDetails_UEM!$A$3:$AH$1849,6,FALSE)</f>
        <v>Electrosurgical Units, Monopolar/Bipolar</v>
      </c>
      <c r="HYU111" s="179" t="s">
        <v>428</v>
      </c>
      <c r="HYV111" s="180" t="str">
        <f>VLOOKUP(HYU111,[13]AssetDetails_UEM!$A$3:$AH$1849,6,FALSE)</f>
        <v>Electrosurgical Units, Monopolar/Bipolar</v>
      </c>
      <c r="HYW111" s="179" t="s">
        <v>428</v>
      </c>
      <c r="HYX111" s="180" t="str">
        <f>VLOOKUP(HYW111,[13]AssetDetails_UEM!$A$3:$AH$1849,6,FALSE)</f>
        <v>Electrosurgical Units, Monopolar/Bipolar</v>
      </c>
      <c r="HYY111" s="179" t="s">
        <v>428</v>
      </c>
      <c r="HYZ111" s="180" t="str">
        <f>VLOOKUP(HYY111,[13]AssetDetails_UEM!$A$3:$AH$1849,6,FALSE)</f>
        <v>Electrosurgical Units, Monopolar/Bipolar</v>
      </c>
      <c r="HZA111" s="179" t="s">
        <v>428</v>
      </c>
      <c r="HZB111" s="180" t="str">
        <f>VLOOKUP(HZA111,[13]AssetDetails_UEM!$A$3:$AH$1849,6,FALSE)</f>
        <v>Electrosurgical Units, Monopolar/Bipolar</v>
      </c>
      <c r="HZC111" s="179" t="s">
        <v>428</v>
      </c>
      <c r="HZD111" s="180" t="str">
        <f>VLOOKUP(HZC111,[13]AssetDetails_UEM!$A$3:$AH$1849,6,FALSE)</f>
        <v>Electrosurgical Units, Monopolar/Bipolar</v>
      </c>
      <c r="HZE111" s="179" t="s">
        <v>428</v>
      </c>
      <c r="HZF111" s="180" t="str">
        <f>VLOOKUP(HZE111,[13]AssetDetails_UEM!$A$3:$AH$1849,6,FALSE)</f>
        <v>Electrosurgical Units, Monopolar/Bipolar</v>
      </c>
      <c r="HZG111" s="179" t="s">
        <v>428</v>
      </c>
      <c r="HZH111" s="180" t="str">
        <f>VLOOKUP(HZG111,[13]AssetDetails_UEM!$A$3:$AH$1849,6,FALSE)</f>
        <v>Electrosurgical Units, Monopolar/Bipolar</v>
      </c>
      <c r="HZI111" s="179" t="s">
        <v>428</v>
      </c>
      <c r="HZJ111" s="180" t="str">
        <f>VLOOKUP(HZI111,[13]AssetDetails_UEM!$A$3:$AH$1849,6,FALSE)</f>
        <v>Electrosurgical Units, Monopolar/Bipolar</v>
      </c>
      <c r="HZK111" s="179" t="s">
        <v>428</v>
      </c>
      <c r="HZL111" s="180" t="str">
        <f>VLOOKUP(HZK111,[13]AssetDetails_UEM!$A$3:$AH$1849,6,FALSE)</f>
        <v>Electrosurgical Units, Monopolar/Bipolar</v>
      </c>
      <c r="HZM111" s="179" t="s">
        <v>428</v>
      </c>
      <c r="HZN111" s="180" t="str">
        <f>VLOOKUP(HZM111,[13]AssetDetails_UEM!$A$3:$AH$1849,6,FALSE)</f>
        <v>Electrosurgical Units, Monopolar/Bipolar</v>
      </c>
      <c r="HZO111" s="179" t="s">
        <v>428</v>
      </c>
      <c r="HZP111" s="180" t="str">
        <f>VLOOKUP(HZO111,[13]AssetDetails_UEM!$A$3:$AH$1849,6,FALSE)</f>
        <v>Electrosurgical Units, Monopolar/Bipolar</v>
      </c>
      <c r="HZQ111" s="179" t="s">
        <v>428</v>
      </c>
      <c r="HZR111" s="180" t="str">
        <f>VLOOKUP(HZQ111,[13]AssetDetails_UEM!$A$3:$AH$1849,6,FALSE)</f>
        <v>Electrosurgical Units, Monopolar/Bipolar</v>
      </c>
      <c r="HZS111" s="179" t="s">
        <v>428</v>
      </c>
      <c r="HZT111" s="180" t="str">
        <f>VLOOKUP(HZS111,[13]AssetDetails_UEM!$A$3:$AH$1849,6,FALSE)</f>
        <v>Electrosurgical Units, Monopolar/Bipolar</v>
      </c>
      <c r="HZU111" s="179" t="s">
        <v>428</v>
      </c>
      <c r="HZV111" s="180" t="str">
        <f>VLOOKUP(HZU111,[13]AssetDetails_UEM!$A$3:$AH$1849,6,FALSE)</f>
        <v>Electrosurgical Units, Monopolar/Bipolar</v>
      </c>
      <c r="HZW111" s="179" t="s">
        <v>428</v>
      </c>
      <c r="HZX111" s="180" t="str">
        <f>VLOOKUP(HZW111,[13]AssetDetails_UEM!$A$3:$AH$1849,6,FALSE)</f>
        <v>Electrosurgical Units, Monopolar/Bipolar</v>
      </c>
      <c r="HZY111" s="179" t="s">
        <v>428</v>
      </c>
      <c r="HZZ111" s="180" t="str">
        <f>VLOOKUP(HZY111,[13]AssetDetails_UEM!$A$3:$AH$1849,6,FALSE)</f>
        <v>Electrosurgical Units, Monopolar/Bipolar</v>
      </c>
      <c r="IAA111" s="179" t="s">
        <v>428</v>
      </c>
      <c r="IAB111" s="180" t="str">
        <f>VLOOKUP(IAA111,[13]AssetDetails_UEM!$A$3:$AH$1849,6,FALSE)</f>
        <v>Electrosurgical Units, Monopolar/Bipolar</v>
      </c>
      <c r="IAC111" s="179" t="s">
        <v>428</v>
      </c>
      <c r="IAD111" s="180" t="str">
        <f>VLOOKUP(IAC111,[13]AssetDetails_UEM!$A$3:$AH$1849,6,FALSE)</f>
        <v>Electrosurgical Units, Monopolar/Bipolar</v>
      </c>
      <c r="IAE111" s="179" t="s">
        <v>428</v>
      </c>
      <c r="IAF111" s="180" t="str">
        <f>VLOOKUP(IAE111,[13]AssetDetails_UEM!$A$3:$AH$1849,6,FALSE)</f>
        <v>Electrosurgical Units, Monopolar/Bipolar</v>
      </c>
      <c r="IAG111" s="179" t="s">
        <v>428</v>
      </c>
      <c r="IAH111" s="180" t="str">
        <f>VLOOKUP(IAG111,[13]AssetDetails_UEM!$A$3:$AH$1849,6,FALSE)</f>
        <v>Electrosurgical Units, Monopolar/Bipolar</v>
      </c>
      <c r="IAI111" s="179" t="s">
        <v>428</v>
      </c>
      <c r="IAJ111" s="180" t="str">
        <f>VLOOKUP(IAI111,[13]AssetDetails_UEM!$A$3:$AH$1849,6,FALSE)</f>
        <v>Electrosurgical Units, Monopolar/Bipolar</v>
      </c>
      <c r="IAK111" s="179" t="s">
        <v>428</v>
      </c>
      <c r="IAL111" s="180" t="str">
        <f>VLOOKUP(IAK111,[13]AssetDetails_UEM!$A$3:$AH$1849,6,FALSE)</f>
        <v>Electrosurgical Units, Monopolar/Bipolar</v>
      </c>
      <c r="IAM111" s="179" t="s">
        <v>428</v>
      </c>
      <c r="IAN111" s="180" t="str">
        <f>VLOOKUP(IAM111,[13]AssetDetails_UEM!$A$3:$AH$1849,6,FALSE)</f>
        <v>Electrosurgical Units, Monopolar/Bipolar</v>
      </c>
      <c r="IAO111" s="179" t="s">
        <v>428</v>
      </c>
      <c r="IAP111" s="180" t="str">
        <f>VLOOKUP(IAO111,[13]AssetDetails_UEM!$A$3:$AH$1849,6,FALSE)</f>
        <v>Electrosurgical Units, Monopolar/Bipolar</v>
      </c>
      <c r="IAQ111" s="179" t="s">
        <v>428</v>
      </c>
      <c r="IAR111" s="180" t="str">
        <f>VLOOKUP(IAQ111,[13]AssetDetails_UEM!$A$3:$AH$1849,6,FALSE)</f>
        <v>Electrosurgical Units, Monopolar/Bipolar</v>
      </c>
      <c r="IAS111" s="179" t="s">
        <v>428</v>
      </c>
      <c r="IAT111" s="180" t="str">
        <f>VLOOKUP(IAS111,[13]AssetDetails_UEM!$A$3:$AH$1849,6,FALSE)</f>
        <v>Electrosurgical Units, Monopolar/Bipolar</v>
      </c>
      <c r="IAU111" s="179" t="s">
        <v>428</v>
      </c>
      <c r="IAV111" s="180" t="str">
        <f>VLOOKUP(IAU111,[13]AssetDetails_UEM!$A$3:$AH$1849,6,FALSE)</f>
        <v>Electrosurgical Units, Monopolar/Bipolar</v>
      </c>
      <c r="IAW111" s="179" t="s">
        <v>428</v>
      </c>
      <c r="IAX111" s="180" t="str">
        <f>VLOOKUP(IAW111,[13]AssetDetails_UEM!$A$3:$AH$1849,6,FALSE)</f>
        <v>Electrosurgical Units, Monopolar/Bipolar</v>
      </c>
      <c r="IAY111" s="179" t="s">
        <v>428</v>
      </c>
      <c r="IAZ111" s="180" t="str">
        <f>VLOOKUP(IAY111,[13]AssetDetails_UEM!$A$3:$AH$1849,6,FALSE)</f>
        <v>Electrosurgical Units, Monopolar/Bipolar</v>
      </c>
      <c r="IBA111" s="179" t="s">
        <v>428</v>
      </c>
      <c r="IBB111" s="180" t="str">
        <f>VLOOKUP(IBA111,[13]AssetDetails_UEM!$A$3:$AH$1849,6,FALSE)</f>
        <v>Electrosurgical Units, Monopolar/Bipolar</v>
      </c>
      <c r="IBC111" s="179" t="s">
        <v>428</v>
      </c>
      <c r="IBD111" s="180" t="str">
        <f>VLOOKUP(IBC111,[13]AssetDetails_UEM!$A$3:$AH$1849,6,FALSE)</f>
        <v>Electrosurgical Units, Monopolar/Bipolar</v>
      </c>
      <c r="IBE111" s="179" t="s">
        <v>428</v>
      </c>
      <c r="IBF111" s="180" t="str">
        <f>VLOOKUP(IBE111,[13]AssetDetails_UEM!$A$3:$AH$1849,6,FALSE)</f>
        <v>Electrosurgical Units, Monopolar/Bipolar</v>
      </c>
      <c r="IBG111" s="179" t="s">
        <v>428</v>
      </c>
      <c r="IBH111" s="180" t="str">
        <f>VLOOKUP(IBG111,[13]AssetDetails_UEM!$A$3:$AH$1849,6,FALSE)</f>
        <v>Electrosurgical Units, Monopolar/Bipolar</v>
      </c>
      <c r="IBI111" s="179" t="s">
        <v>428</v>
      </c>
      <c r="IBJ111" s="180" t="str">
        <f>VLOOKUP(IBI111,[13]AssetDetails_UEM!$A$3:$AH$1849,6,FALSE)</f>
        <v>Electrosurgical Units, Monopolar/Bipolar</v>
      </c>
      <c r="IBK111" s="179" t="s">
        <v>428</v>
      </c>
      <c r="IBL111" s="180" t="str">
        <f>VLOOKUP(IBK111,[13]AssetDetails_UEM!$A$3:$AH$1849,6,FALSE)</f>
        <v>Electrosurgical Units, Monopolar/Bipolar</v>
      </c>
      <c r="IBM111" s="179" t="s">
        <v>428</v>
      </c>
      <c r="IBN111" s="180" t="str">
        <f>VLOOKUP(IBM111,[13]AssetDetails_UEM!$A$3:$AH$1849,6,FALSE)</f>
        <v>Electrosurgical Units, Monopolar/Bipolar</v>
      </c>
      <c r="IBO111" s="179" t="s">
        <v>428</v>
      </c>
      <c r="IBP111" s="180" t="str">
        <f>VLOOKUP(IBO111,[13]AssetDetails_UEM!$A$3:$AH$1849,6,FALSE)</f>
        <v>Electrosurgical Units, Monopolar/Bipolar</v>
      </c>
      <c r="IBQ111" s="179" t="s">
        <v>428</v>
      </c>
      <c r="IBR111" s="180" t="str">
        <f>VLOOKUP(IBQ111,[13]AssetDetails_UEM!$A$3:$AH$1849,6,FALSE)</f>
        <v>Electrosurgical Units, Monopolar/Bipolar</v>
      </c>
      <c r="IBS111" s="179" t="s">
        <v>428</v>
      </c>
      <c r="IBT111" s="180" t="str">
        <f>VLOOKUP(IBS111,[13]AssetDetails_UEM!$A$3:$AH$1849,6,FALSE)</f>
        <v>Electrosurgical Units, Monopolar/Bipolar</v>
      </c>
      <c r="IBU111" s="179" t="s">
        <v>428</v>
      </c>
      <c r="IBV111" s="180" t="str">
        <f>VLOOKUP(IBU111,[13]AssetDetails_UEM!$A$3:$AH$1849,6,FALSE)</f>
        <v>Electrosurgical Units, Monopolar/Bipolar</v>
      </c>
      <c r="IBW111" s="179" t="s">
        <v>428</v>
      </c>
      <c r="IBX111" s="180" t="str">
        <f>VLOOKUP(IBW111,[13]AssetDetails_UEM!$A$3:$AH$1849,6,FALSE)</f>
        <v>Electrosurgical Units, Monopolar/Bipolar</v>
      </c>
      <c r="IBY111" s="179" t="s">
        <v>428</v>
      </c>
      <c r="IBZ111" s="180" t="str">
        <f>VLOOKUP(IBY111,[13]AssetDetails_UEM!$A$3:$AH$1849,6,FALSE)</f>
        <v>Electrosurgical Units, Monopolar/Bipolar</v>
      </c>
      <c r="ICA111" s="179" t="s">
        <v>428</v>
      </c>
      <c r="ICB111" s="180" t="str">
        <f>VLOOKUP(ICA111,[13]AssetDetails_UEM!$A$3:$AH$1849,6,FALSE)</f>
        <v>Electrosurgical Units, Monopolar/Bipolar</v>
      </c>
      <c r="ICC111" s="179" t="s">
        <v>428</v>
      </c>
      <c r="ICD111" s="180" t="str">
        <f>VLOOKUP(ICC111,[13]AssetDetails_UEM!$A$3:$AH$1849,6,FALSE)</f>
        <v>Electrosurgical Units, Monopolar/Bipolar</v>
      </c>
      <c r="ICE111" s="179" t="s">
        <v>428</v>
      </c>
      <c r="ICF111" s="180" t="str">
        <f>VLOOKUP(ICE111,[13]AssetDetails_UEM!$A$3:$AH$1849,6,FALSE)</f>
        <v>Electrosurgical Units, Monopolar/Bipolar</v>
      </c>
      <c r="ICG111" s="179" t="s">
        <v>428</v>
      </c>
      <c r="ICH111" s="180" t="str">
        <f>VLOOKUP(ICG111,[13]AssetDetails_UEM!$A$3:$AH$1849,6,FALSE)</f>
        <v>Electrosurgical Units, Monopolar/Bipolar</v>
      </c>
      <c r="ICI111" s="179" t="s">
        <v>428</v>
      </c>
      <c r="ICJ111" s="180" t="str">
        <f>VLOOKUP(ICI111,[13]AssetDetails_UEM!$A$3:$AH$1849,6,FALSE)</f>
        <v>Electrosurgical Units, Monopolar/Bipolar</v>
      </c>
      <c r="ICK111" s="179" t="s">
        <v>428</v>
      </c>
      <c r="ICL111" s="180" t="str">
        <f>VLOOKUP(ICK111,[13]AssetDetails_UEM!$A$3:$AH$1849,6,FALSE)</f>
        <v>Electrosurgical Units, Monopolar/Bipolar</v>
      </c>
      <c r="ICM111" s="179" t="s">
        <v>428</v>
      </c>
      <c r="ICN111" s="180" t="str">
        <f>VLOOKUP(ICM111,[13]AssetDetails_UEM!$A$3:$AH$1849,6,FALSE)</f>
        <v>Electrosurgical Units, Monopolar/Bipolar</v>
      </c>
      <c r="ICO111" s="179" t="s">
        <v>428</v>
      </c>
      <c r="ICP111" s="180" t="str">
        <f>VLOOKUP(ICO111,[13]AssetDetails_UEM!$A$3:$AH$1849,6,FALSE)</f>
        <v>Electrosurgical Units, Monopolar/Bipolar</v>
      </c>
      <c r="ICQ111" s="179" t="s">
        <v>428</v>
      </c>
      <c r="ICR111" s="180" t="str">
        <f>VLOOKUP(ICQ111,[13]AssetDetails_UEM!$A$3:$AH$1849,6,FALSE)</f>
        <v>Electrosurgical Units, Monopolar/Bipolar</v>
      </c>
      <c r="ICS111" s="179" t="s">
        <v>428</v>
      </c>
      <c r="ICT111" s="180" t="str">
        <f>VLOOKUP(ICS111,[13]AssetDetails_UEM!$A$3:$AH$1849,6,FALSE)</f>
        <v>Electrosurgical Units, Monopolar/Bipolar</v>
      </c>
      <c r="ICU111" s="179" t="s">
        <v>428</v>
      </c>
      <c r="ICV111" s="180" t="str">
        <f>VLOOKUP(ICU111,[13]AssetDetails_UEM!$A$3:$AH$1849,6,FALSE)</f>
        <v>Electrosurgical Units, Monopolar/Bipolar</v>
      </c>
      <c r="ICW111" s="179" t="s">
        <v>428</v>
      </c>
      <c r="ICX111" s="180" t="str">
        <f>VLOOKUP(ICW111,[13]AssetDetails_UEM!$A$3:$AH$1849,6,FALSE)</f>
        <v>Electrosurgical Units, Monopolar/Bipolar</v>
      </c>
      <c r="ICY111" s="179" t="s">
        <v>428</v>
      </c>
      <c r="ICZ111" s="180" t="str">
        <f>VLOOKUP(ICY111,[13]AssetDetails_UEM!$A$3:$AH$1849,6,FALSE)</f>
        <v>Electrosurgical Units, Monopolar/Bipolar</v>
      </c>
      <c r="IDA111" s="179" t="s">
        <v>428</v>
      </c>
      <c r="IDB111" s="180" t="str">
        <f>VLOOKUP(IDA111,[13]AssetDetails_UEM!$A$3:$AH$1849,6,FALSE)</f>
        <v>Electrosurgical Units, Monopolar/Bipolar</v>
      </c>
      <c r="IDC111" s="179" t="s">
        <v>428</v>
      </c>
      <c r="IDD111" s="180" t="str">
        <f>VLOOKUP(IDC111,[13]AssetDetails_UEM!$A$3:$AH$1849,6,FALSE)</f>
        <v>Electrosurgical Units, Monopolar/Bipolar</v>
      </c>
      <c r="IDE111" s="179" t="s">
        <v>428</v>
      </c>
      <c r="IDF111" s="180" t="str">
        <f>VLOOKUP(IDE111,[13]AssetDetails_UEM!$A$3:$AH$1849,6,FALSE)</f>
        <v>Electrosurgical Units, Monopolar/Bipolar</v>
      </c>
      <c r="IDG111" s="179" t="s">
        <v>428</v>
      </c>
      <c r="IDH111" s="180" t="str">
        <f>VLOOKUP(IDG111,[13]AssetDetails_UEM!$A$3:$AH$1849,6,FALSE)</f>
        <v>Electrosurgical Units, Monopolar/Bipolar</v>
      </c>
      <c r="IDI111" s="179" t="s">
        <v>428</v>
      </c>
      <c r="IDJ111" s="180" t="str">
        <f>VLOOKUP(IDI111,[13]AssetDetails_UEM!$A$3:$AH$1849,6,FALSE)</f>
        <v>Electrosurgical Units, Monopolar/Bipolar</v>
      </c>
      <c r="IDK111" s="179" t="s">
        <v>428</v>
      </c>
      <c r="IDL111" s="180" t="str">
        <f>VLOOKUP(IDK111,[13]AssetDetails_UEM!$A$3:$AH$1849,6,FALSE)</f>
        <v>Electrosurgical Units, Monopolar/Bipolar</v>
      </c>
      <c r="IDM111" s="179" t="s">
        <v>428</v>
      </c>
      <c r="IDN111" s="180" t="str">
        <f>VLOOKUP(IDM111,[13]AssetDetails_UEM!$A$3:$AH$1849,6,FALSE)</f>
        <v>Electrosurgical Units, Monopolar/Bipolar</v>
      </c>
      <c r="IDO111" s="179" t="s">
        <v>428</v>
      </c>
      <c r="IDP111" s="180" t="str">
        <f>VLOOKUP(IDO111,[13]AssetDetails_UEM!$A$3:$AH$1849,6,FALSE)</f>
        <v>Electrosurgical Units, Monopolar/Bipolar</v>
      </c>
      <c r="IDQ111" s="179" t="s">
        <v>428</v>
      </c>
      <c r="IDR111" s="180" t="str">
        <f>VLOOKUP(IDQ111,[13]AssetDetails_UEM!$A$3:$AH$1849,6,FALSE)</f>
        <v>Electrosurgical Units, Monopolar/Bipolar</v>
      </c>
      <c r="IDS111" s="179" t="s">
        <v>428</v>
      </c>
      <c r="IDT111" s="180" t="str">
        <f>VLOOKUP(IDS111,[13]AssetDetails_UEM!$A$3:$AH$1849,6,FALSE)</f>
        <v>Electrosurgical Units, Monopolar/Bipolar</v>
      </c>
      <c r="IDU111" s="179" t="s">
        <v>428</v>
      </c>
      <c r="IDV111" s="180" t="str">
        <f>VLOOKUP(IDU111,[13]AssetDetails_UEM!$A$3:$AH$1849,6,FALSE)</f>
        <v>Electrosurgical Units, Monopolar/Bipolar</v>
      </c>
      <c r="IDW111" s="179" t="s">
        <v>428</v>
      </c>
      <c r="IDX111" s="180" t="str">
        <f>VLOOKUP(IDW111,[13]AssetDetails_UEM!$A$3:$AH$1849,6,FALSE)</f>
        <v>Electrosurgical Units, Monopolar/Bipolar</v>
      </c>
      <c r="IDY111" s="179" t="s">
        <v>428</v>
      </c>
      <c r="IDZ111" s="180" t="str">
        <f>VLOOKUP(IDY111,[13]AssetDetails_UEM!$A$3:$AH$1849,6,FALSE)</f>
        <v>Electrosurgical Units, Monopolar/Bipolar</v>
      </c>
      <c r="IEA111" s="179" t="s">
        <v>428</v>
      </c>
      <c r="IEB111" s="180" t="str">
        <f>VLOOKUP(IEA111,[13]AssetDetails_UEM!$A$3:$AH$1849,6,FALSE)</f>
        <v>Electrosurgical Units, Monopolar/Bipolar</v>
      </c>
      <c r="IEC111" s="179" t="s">
        <v>428</v>
      </c>
      <c r="IED111" s="180" t="str">
        <f>VLOOKUP(IEC111,[13]AssetDetails_UEM!$A$3:$AH$1849,6,FALSE)</f>
        <v>Electrosurgical Units, Monopolar/Bipolar</v>
      </c>
      <c r="IEE111" s="179" t="s">
        <v>428</v>
      </c>
      <c r="IEF111" s="180" t="str">
        <f>VLOOKUP(IEE111,[13]AssetDetails_UEM!$A$3:$AH$1849,6,FALSE)</f>
        <v>Electrosurgical Units, Monopolar/Bipolar</v>
      </c>
      <c r="IEG111" s="179" t="s">
        <v>428</v>
      </c>
      <c r="IEH111" s="180" t="str">
        <f>VLOOKUP(IEG111,[13]AssetDetails_UEM!$A$3:$AH$1849,6,FALSE)</f>
        <v>Electrosurgical Units, Monopolar/Bipolar</v>
      </c>
      <c r="IEI111" s="179" t="s">
        <v>428</v>
      </c>
      <c r="IEJ111" s="180" t="str">
        <f>VLOOKUP(IEI111,[13]AssetDetails_UEM!$A$3:$AH$1849,6,FALSE)</f>
        <v>Electrosurgical Units, Monopolar/Bipolar</v>
      </c>
      <c r="IEK111" s="179" t="s">
        <v>428</v>
      </c>
      <c r="IEL111" s="180" t="str">
        <f>VLOOKUP(IEK111,[13]AssetDetails_UEM!$A$3:$AH$1849,6,FALSE)</f>
        <v>Electrosurgical Units, Monopolar/Bipolar</v>
      </c>
      <c r="IEM111" s="179" t="s">
        <v>428</v>
      </c>
      <c r="IEN111" s="180" t="str">
        <f>VLOOKUP(IEM111,[13]AssetDetails_UEM!$A$3:$AH$1849,6,FALSE)</f>
        <v>Electrosurgical Units, Monopolar/Bipolar</v>
      </c>
      <c r="IEO111" s="179" t="s">
        <v>428</v>
      </c>
      <c r="IEP111" s="180" t="str">
        <f>VLOOKUP(IEO111,[13]AssetDetails_UEM!$A$3:$AH$1849,6,FALSE)</f>
        <v>Electrosurgical Units, Monopolar/Bipolar</v>
      </c>
      <c r="IEQ111" s="179" t="s">
        <v>428</v>
      </c>
      <c r="IER111" s="180" t="str">
        <f>VLOOKUP(IEQ111,[13]AssetDetails_UEM!$A$3:$AH$1849,6,FALSE)</f>
        <v>Electrosurgical Units, Monopolar/Bipolar</v>
      </c>
      <c r="IES111" s="179" t="s">
        <v>428</v>
      </c>
      <c r="IET111" s="180" t="str">
        <f>VLOOKUP(IES111,[13]AssetDetails_UEM!$A$3:$AH$1849,6,FALSE)</f>
        <v>Electrosurgical Units, Monopolar/Bipolar</v>
      </c>
      <c r="IEU111" s="179" t="s">
        <v>428</v>
      </c>
      <c r="IEV111" s="180" t="str">
        <f>VLOOKUP(IEU111,[13]AssetDetails_UEM!$A$3:$AH$1849,6,FALSE)</f>
        <v>Electrosurgical Units, Monopolar/Bipolar</v>
      </c>
      <c r="IEW111" s="179" t="s">
        <v>428</v>
      </c>
      <c r="IEX111" s="180" t="str">
        <f>VLOOKUP(IEW111,[13]AssetDetails_UEM!$A$3:$AH$1849,6,FALSE)</f>
        <v>Electrosurgical Units, Monopolar/Bipolar</v>
      </c>
      <c r="IEY111" s="179" t="s">
        <v>428</v>
      </c>
      <c r="IEZ111" s="180" t="str">
        <f>VLOOKUP(IEY111,[13]AssetDetails_UEM!$A$3:$AH$1849,6,FALSE)</f>
        <v>Electrosurgical Units, Monopolar/Bipolar</v>
      </c>
      <c r="IFA111" s="179" t="s">
        <v>428</v>
      </c>
      <c r="IFB111" s="180" t="str">
        <f>VLOOKUP(IFA111,[13]AssetDetails_UEM!$A$3:$AH$1849,6,FALSE)</f>
        <v>Electrosurgical Units, Monopolar/Bipolar</v>
      </c>
      <c r="IFC111" s="179" t="s">
        <v>428</v>
      </c>
      <c r="IFD111" s="180" t="str">
        <f>VLOOKUP(IFC111,[13]AssetDetails_UEM!$A$3:$AH$1849,6,FALSE)</f>
        <v>Electrosurgical Units, Monopolar/Bipolar</v>
      </c>
      <c r="IFE111" s="179" t="s">
        <v>428</v>
      </c>
      <c r="IFF111" s="180" t="str">
        <f>VLOOKUP(IFE111,[13]AssetDetails_UEM!$A$3:$AH$1849,6,FALSE)</f>
        <v>Electrosurgical Units, Monopolar/Bipolar</v>
      </c>
      <c r="IFG111" s="179" t="s">
        <v>428</v>
      </c>
      <c r="IFH111" s="180" t="str">
        <f>VLOOKUP(IFG111,[13]AssetDetails_UEM!$A$3:$AH$1849,6,FALSE)</f>
        <v>Electrosurgical Units, Monopolar/Bipolar</v>
      </c>
      <c r="IFI111" s="179" t="s">
        <v>428</v>
      </c>
      <c r="IFJ111" s="180" t="str">
        <f>VLOOKUP(IFI111,[13]AssetDetails_UEM!$A$3:$AH$1849,6,FALSE)</f>
        <v>Electrosurgical Units, Monopolar/Bipolar</v>
      </c>
      <c r="IFK111" s="179" t="s">
        <v>428</v>
      </c>
      <c r="IFL111" s="180" t="str">
        <f>VLOOKUP(IFK111,[13]AssetDetails_UEM!$A$3:$AH$1849,6,FALSE)</f>
        <v>Electrosurgical Units, Monopolar/Bipolar</v>
      </c>
      <c r="IFM111" s="179" t="s">
        <v>428</v>
      </c>
      <c r="IFN111" s="180" t="str">
        <f>VLOOKUP(IFM111,[13]AssetDetails_UEM!$A$3:$AH$1849,6,FALSE)</f>
        <v>Electrosurgical Units, Monopolar/Bipolar</v>
      </c>
      <c r="IFO111" s="179" t="s">
        <v>428</v>
      </c>
      <c r="IFP111" s="180" t="str">
        <f>VLOOKUP(IFO111,[13]AssetDetails_UEM!$A$3:$AH$1849,6,FALSE)</f>
        <v>Electrosurgical Units, Monopolar/Bipolar</v>
      </c>
      <c r="IFQ111" s="179" t="s">
        <v>428</v>
      </c>
      <c r="IFR111" s="180" t="str">
        <f>VLOOKUP(IFQ111,[13]AssetDetails_UEM!$A$3:$AH$1849,6,FALSE)</f>
        <v>Electrosurgical Units, Monopolar/Bipolar</v>
      </c>
      <c r="IFS111" s="179" t="s">
        <v>428</v>
      </c>
      <c r="IFT111" s="180" t="str">
        <f>VLOOKUP(IFS111,[13]AssetDetails_UEM!$A$3:$AH$1849,6,FALSE)</f>
        <v>Electrosurgical Units, Monopolar/Bipolar</v>
      </c>
      <c r="IFU111" s="179" t="s">
        <v>428</v>
      </c>
      <c r="IFV111" s="180" t="str">
        <f>VLOOKUP(IFU111,[13]AssetDetails_UEM!$A$3:$AH$1849,6,FALSE)</f>
        <v>Electrosurgical Units, Monopolar/Bipolar</v>
      </c>
      <c r="IFW111" s="179" t="s">
        <v>428</v>
      </c>
      <c r="IFX111" s="180" t="str">
        <f>VLOOKUP(IFW111,[13]AssetDetails_UEM!$A$3:$AH$1849,6,FALSE)</f>
        <v>Electrosurgical Units, Monopolar/Bipolar</v>
      </c>
      <c r="IFY111" s="179" t="s">
        <v>428</v>
      </c>
      <c r="IFZ111" s="180" t="str">
        <f>VLOOKUP(IFY111,[13]AssetDetails_UEM!$A$3:$AH$1849,6,FALSE)</f>
        <v>Electrosurgical Units, Monopolar/Bipolar</v>
      </c>
      <c r="IGA111" s="179" t="s">
        <v>428</v>
      </c>
      <c r="IGB111" s="180" t="str">
        <f>VLOOKUP(IGA111,[13]AssetDetails_UEM!$A$3:$AH$1849,6,FALSE)</f>
        <v>Electrosurgical Units, Monopolar/Bipolar</v>
      </c>
      <c r="IGC111" s="179" t="s">
        <v>428</v>
      </c>
      <c r="IGD111" s="180" t="str">
        <f>VLOOKUP(IGC111,[13]AssetDetails_UEM!$A$3:$AH$1849,6,FALSE)</f>
        <v>Electrosurgical Units, Monopolar/Bipolar</v>
      </c>
      <c r="IGE111" s="179" t="s">
        <v>428</v>
      </c>
      <c r="IGF111" s="180" t="str">
        <f>VLOOKUP(IGE111,[13]AssetDetails_UEM!$A$3:$AH$1849,6,FALSE)</f>
        <v>Electrosurgical Units, Monopolar/Bipolar</v>
      </c>
      <c r="IGG111" s="179" t="s">
        <v>428</v>
      </c>
      <c r="IGH111" s="180" t="str">
        <f>VLOOKUP(IGG111,[13]AssetDetails_UEM!$A$3:$AH$1849,6,FALSE)</f>
        <v>Electrosurgical Units, Monopolar/Bipolar</v>
      </c>
      <c r="IGI111" s="179" t="s">
        <v>428</v>
      </c>
      <c r="IGJ111" s="180" t="str">
        <f>VLOOKUP(IGI111,[13]AssetDetails_UEM!$A$3:$AH$1849,6,FALSE)</f>
        <v>Electrosurgical Units, Monopolar/Bipolar</v>
      </c>
      <c r="IGK111" s="179" t="s">
        <v>428</v>
      </c>
      <c r="IGL111" s="180" t="str">
        <f>VLOOKUP(IGK111,[13]AssetDetails_UEM!$A$3:$AH$1849,6,FALSE)</f>
        <v>Electrosurgical Units, Monopolar/Bipolar</v>
      </c>
      <c r="IGM111" s="179" t="s">
        <v>428</v>
      </c>
      <c r="IGN111" s="180" t="str">
        <f>VLOOKUP(IGM111,[13]AssetDetails_UEM!$A$3:$AH$1849,6,FALSE)</f>
        <v>Electrosurgical Units, Monopolar/Bipolar</v>
      </c>
      <c r="IGO111" s="179" t="s">
        <v>428</v>
      </c>
      <c r="IGP111" s="180" t="str">
        <f>VLOOKUP(IGO111,[13]AssetDetails_UEM!$A$3:$AH$1849,6,FALSE)</f>
        <v>Electrosurgical Units, Monopolar/Bipolar</v>
      </c>
      <c r="IGQ111" s="179" t="s">
        <v>428</v>
      </c>
      <c r="IGR111" s="180" t="str">
        <f>VLOOKUP(IGQ111,[13]AssetDetails_UEM!$A$3:$AH$1849,6,FALSE)</f>
        <v>Electrosurgical Units, Monopolar/Bipolar</v>
      </c>
      <c r="IGS111" s="179" t="s">
        <v>428</v>
      </c>
      <c r="IGT111" s="180" t="str">
        <f>VLOOKUP(IGS111,[13]AssetDetails_UEM!$A$3:$AH$1849,6,FALSE)</f>
        <v>Electrosurgical Units, Monopolar/Bipolar</v>
      </c>
      <c r="IGU111" s="179" t="s">
        <v>428</v>
      </c>
      <c r="IGV111" s="180" t="str">
        <f>VLOOKUP(IGU111,[13]AssetDetails_UEM!$A$3:$AH$1849,6,FALSE)</f>
        <v>Electrosurgical Units, Monopolar/Bipolar</v>
      </c>
      <c r="IGW111" s="179" t="s">
        <v>428</v>
      </c>
      <c r="IGX111" s="180" t="str">
        <f>VLOOKUP(IGW111,[13]AssetDetails_UEM!$A$3:$AH$1849,6,FALSE)</f>
        <v>Electrosurgical Units, Monopolar/Bipolar</v>
      </c>
      <c r="IGY111" s="179" t="s">
        <v>428</v>
      </c>
      <c r="IGZ111" s="180" t="str">
        <f>VLOOKUP(IGY111,[13]AssetDetails_UEM!$A$3:$AH$1849,6,FALSE)</f>
        <v>Electrosurgical Units, Monopolar/Bipolar</v>
      </c>
      <c r="IHA111" s="179" t="s">
        <v>428</v>
      </c>
      <c r="IHB111" s="180" t="str">
        <f>VLOOKUP(IHA111,[13]AssetDetails_UEM!$A$3:$AH$1849,6,FALSE)</f>
        <v>Electrosurgical Units, Monopolar/Bipolar</v>
      </c>
      <c r="IHC111" s="179" t="s">
        <v>428</v>
      </c>
      <c r="IHD111" s="180" t="str">
        <f>VLOOKUP(IHC111,[13]AssetDetails_UEM!$A$3:$AH$1849,6,FALSE)</f>
        <v>Electrosurgical Units, Monopolar/Bipolar</v>
      </c>
      <c r="IHE111" s="179" t="s">
        <v>428</v>
      </c>
      <c r="IHF111" s="180" t="str">
        <f>VLOOKUP(IHE111,[13]AssetDetails_UEM!$A$3:$AH$1849,6,FALSE)</f>
        <v>Electrosurgical Units, Monopolar/Bipolar</v>
      </c>
      <c r="IHG111" s="179" t="s">
        <v>428</v>
      </c>
      <c r="IHH111" s="180" t="str">
        <f>VLOOKUP(IHG111,[13]AssetDetails_UEM!$A$3:$AH$1849,6,FALSE)</f>
        <v>Electrosurgical Units, Monopolar/Bipolar</v>
      </c>
      <c r="IHI111" s="179" t="s">
        <v>428</v>
      </c>
      <c r="IHJ111" s="180" t="str">
        <f>VLOOKUP(IHI111,[13]AssetDetails_UEM!$A$3:$AH$1849,6,FALSE)</f>
        <v>Electrosurgical Units, Monopolar/Bipolar</v>
      </c>
      <c r="IHK111" s="179" t="s">
        <v>428</v>
      </c>
      <c r="IHL111" s="180" t="str">
        <f>VLOOKUP(IHK111,[13]AssetDetails_UEM!$A$3:$AH$1849,6,FALSE)</f>
        <v>Electrosurgical Units, Monopolar/Bipolar</v>
      </c>
      <c r="IHM111" s="179" t="s">
        <v>428</v>
      </c>
      <c r="IHN111" s="180" t="str">
        <f>VLOOKUP(IHM111,[13]AssetDetails_UEM!$A$3:$AH$1849,6,FALSE)</f>
        <v>Electrosurgical Units, Monopolar/Bipolar</v>
      </c>
      <c r="IHO111" s="179" t="s">
        <v>428</v>
      </c>
      <c r="IHP111" s="180" t="str">
        <f>VLOOKUP(IHO111,[13]AssetDetails_UEM!$A$3:$AH$1849,6,FALSE)</f>
        <v>Electrosurgical Units, Monopolar/Bipolar</v>
      </c>
      <c r="IHQ111" s="179" t="s">
        <v>428</v>
      </c>
      <c r="IHR111" s="180" t="str">
        <f>VLOOKUP(IHQ111,[13]AssetDetails_UEM!$A$3:$AH$1849,6,FALSE)</f>
        <v>Electrosurgical Units, Monopolar/Bipolar</v>
      </c>
      <c r="IHS111" s="179" t="s">
        <v>428</v>
      </c>
      <c r="IHT111" s="180" t="str">
        <f>VLOOKUP(IHS111,[13]AssetDetails_UEM!$A$3:$AH$1849,6,FALSE)</f>
        <v>Electrosurgical Units, Monopolar/Bipolar</v>
      </c>
      <c r="IHU111" s="179" t="s">
        <v>428</v>
      </c>
      <c r="IHV111" s="180" t="str">
        <f>VLOOKUP(IHU111,[13]AssetDetails_UEM!$A$3:$AH$1849,6,FALSE)</f>
        <v>Electrosurgical Units, Monopolar/Bipolar</v>
      </c>
      <c r="IHW111" s="179" t="s">
        <v>428</v>
      </c>
      <c r="IHX111" s="180" t="str">
        <f>VLOOKUP(IHW111,[13]AssetDetails_UEM!$A$3:$AH$1849,6,FALSE)</f>
        <v>Electrosurgical Units, Monopolar/Bipolar</v>
      </c>
      <c r="IHY111" s="179" t="s">
        <v>428</v>
      </c>
      <c r="IHZ111" s="180" t="str">
        <f>VLOOKUP(IHY111,[13]AssetDetails_UEM!$A$3:$AH$1849,6,FALSE)</f>
        <v>Electrosurgical Units, Monopolar/Bipolar</v>
      </c>
      <c r="IIA111" s="179" t="s">
        <v>428</v>
      </c>
      <c r="IIB111" s="180" t="str">
        <f>VLOOKUP(IIA111,[13]AssetDetails_UEM!$A$3:$AH$1849,6,FALSE)</f>
        <v>Electrosurgical Units, Monopolar/Bipolar</v>
      </c>
      <c r="IIC111" s="179" t="s">
        <v>428</v>
      </c>
      <c r="IID111" s="180" t="str">
        <f>VLOOKUP(IIC111,[13]AssetDetails_UEM!$A$3:$AH$1849,6,FALSE)</f>
        <v>Electrosurgical Units, Monopolar/Bipolar</v>
      </c>
      <c r="IIE111" s="179" t="s">
        <v>428</v>
      </c>
      <c r="IIF111" s="180" t="str">
        <f>VLOOKUP(IIE111,[13]AssetDetails_UEM!$A$3:$AH$1849,6,FALSE)</f>
        <v>Electrosurgical Units, Monopolar/Bipolar</v>
      </c>
      <c r="IIG111" s="179" t="s">
        <v>428</v>
      </c>
      <c r="IIH111" s="180" t="str">
        <f>VLOOKUP(IIG111,[13]AssetDetails_UEM!$A$3:$AH$1849,6,FALSE)</f>
        <v>Electrosurgical Units, Monopolar/Bipolar</v>
      </c>
      <c r="III111" s="179" t="s">
        <v>428</v>
      </c>
      <c r="IIJ111" s="180" t="str">
        <f>VLOOKUP(III111,[13]AssetDetails_UEM!$A$3:$AH$1849,6,FALSE)</f>
        <v>Electrosurgical Units, Monopolar/Bipolar</v>
      </c>
      <c r="IIK111" s="179" t="s">
        <v>428</v>
      </c>
      <c r="IIL111" s="180" t="str">
        <f>VLOOKUP(IIK111,[13]AssetDetails_UEM!$A$3:$AH$1849,6,FALSE)</f>
        <v>Electrosurgical Units, Monopolar/Bipolar</v>
      </c>
      <c r="IIM111" s="179" t="s">
        <v>428</v>
      </c>
      <c r="IIN111" s="180" t="str">
        <f>VLOOKUP(IIM111,[13]AssetDetails_UEM!$A$3:$AH$1849,6,FALSE)</f>
        <v>Electrosurgical Units, Monopolar/Bipolar</v>
      </c>
      <c r="IIO111" s="179" t="s">
        <v>428</v>
      </c>
      <c r="IIP111" s="180" t="str">
        <f>VLOOKUP(IIO111,[13]AssetDetails_UEM!$A$3:$AH$1849,6,FALSE)</f>
        <v>Electrosurgical Units, Monopolar/Bipolar</v>
      </c>
      <c r="IIQ111" s="179" t="s">
        <v>428</v>
      </c>
      <c r="IIR111" s="180" t="str">
        <f>VLOOKUP(IIQ111,[13]AssetDetails_UEM!$A$3:$AH$1849,6,FALSE)</f>
        <v>Electrosurgical Units, Monopolar/Bipolar</v>
      </c>
      <c r="IIS111" s="179" t="s">
        <v>428</v>
      </c>
      <c r="IIT111" s="180" t="str">
        <f>VLOOKUP(IIS111,[13]AssetDetails_UEM!$A$3:$AH$1849,6,FALSE)</f>
        <v>Electrosurgical Units, Monopolar/Bipolar</v>
      </c>
      <c r="IIU111" s="179" t="s">
        <v>428</v>
      </c>
      <c r="IIV111" s="180" t="str">
        <f>VLOOKUP(IIU111,[13]AssetDetails_UEM!$A$3:$AH$1849,6,FALSE)</f>
        <v>Electrosurgical Units, Monopolar/Bipolar</v>
      </c>
      <c r="IIW111" s="179" t="s">
        <v>428</v>
      </c>
      <c r="IIX111" s="180" t="str">
        <f>VLOOKUP(IIW111,[13]AssetDetails_UEM!$A$3:$AH$1849,6,FALSE)</f>
        <v>Electrosurgical Units, Monopolar/Bipolar</v>
      </c>
      <c r="IIY111" s="179" t="s">
        <v>428</v>
      </c>
      <c r="IIZ111" s="180" t="str">
        <f>VLOOKUP(IIY111,[13]AssetDetails_UEM!$A$3:$AH$1849,6,FALSE)</f>
        <v>Electrosurgical Units, Monopolar/Bipolar</v>
      </c>
      <c r="IJA111" s="179" t="s">
        <v>428</v>
      </c>
      <c r="IJB111" s="180" t="str">
        <f>VLOOKUP(IJA111,[13]AssetDetails_UEM!$A$3:$AH$1849,6,FALSE)</f>
        <v>Electrosurgical Units, Monopolar/Bipolar</v>
      </c>
      <c r="IJC111" s="179" t="s">
        <v>428</v>
      </c>
      <c r="IJD111" s="180" t="str">
        <f>VLOOKUP(IJC111,[13]AssetDetails_UEM!$A$3:$AH$1849,6,FALSE)</f>
        <v>Electrosurgical Units, Monopolar/Bipolar</v>
      </c>
      <c r="IJE111" s="179" t="s">
        <v>428</v>
      </c>
      <c r="IJF111" s="180" t="str">
        <f>VLOOKUP(IJE111,[13]AssetDetails_UEM!$A$3:$AH$1849,6,FALSE)</f>
        <v>Electrosurgical Units, Monopolar/Bipolar</v>
      </c>
      <c r="IJG111" s="179" t="s">
        <v>428</v>
      </c>
      <c r="IJH111" s="180" t="str">
        <f>VLOOKUP(IJG111,[13]AssetDetails_UEM!$A$3:$AH$1849,6,FALSE)</f>
        <v>Electrosurgical Units, Monopolar/Bipolar</v>
      </c>
      <c r="IJI111" s="179" t="s">
        <v>428</v>
      </c>
      <c r="IJJ111" s="180" t="str">
        <f>VLOOKUP(IJI111,[13]AssetDetails_UEM!$A$3:$AH$1849,6,FALSE)</f>
        <v>Electrosurgical Units, Monopolar/Bipolar</v>
      </c>
      <c r="IJK111" s="179" t="s">
        <v>428</v>
      </c>
      <c r="IJL111" s="180" t="str">
        <f>VLOOKUP(IJK111,[13]AssetDetails_UEM!$A$3:$AH$1849,6,FALSE)</f>
        <v>Electrosurgical Units, Monopolar/Bipolar</v>
      </c>
      <c r="IJM111" s="179" t="s">
        <v>428</v>
      </c>
      <c r="IJN111" s="180" t="str">
        <f>VLOOKUP(IJM111,[13]AssetDetails_UEM!$A$3:$AH$1849,6,FALSE)</f>
        <v>Electrosurgical Units, Monopolar/Bipolar</v>
      </c>
      <c r="IJO111" s="179" t="s">
        <v>428</v>
      </c>
      <c r="IJP111" s="180" t="str">
        <f>VLOOKUP(IJO111,[13]AssetDetails_UEM!$A$3:$AH$1849,6,FALSE)</f>
        <v>Electrosurgical Units, Monopolar/Bipolar</v>
      </c>
      <c r="IJQ111" s="179" t="s">
        <v>428</v>
      </c>
      <c r="IJR111" s="180" t="str">
        <f>VLOOKUP(IJQ111,[13]AssetDetails_UEM!$A$3:$AH$1849,6,FALSE)</f>
        <v>Electrosurgical Units, Monopolar/Bipolar</v>
      </c>
      <c r="IJS111" s="179" t="s">
        <v>428</v>
      </c>
      <c r="IJT111" s="180" t="str">
        <f>VLOOKUP(IJS111,[13]AssetDetails_UEM!$A$3:$AH$1849,6,FALSE)</f>
        <v>Electrosurgical Units, Monopolar/Bipolar</v>
      </c>
      <c r="IJU111" s="179" t="s">
        <v>428</v>
      </c>
      <c r="IJV111" s="180" t="str">
        <f>VLOOKUP(IJU111,[13]AssetDetails_UEM!$A$3:$AH$1849,6,FALSE)</f>
        <v>Electrosurgical Units, Monopolar/Bipolar</v>
      </c>
      <c r="IJW111" s="179" t="s">
        <v>428</v>
      </c>
      <c r="IJX111" s="180" t="str">
        <f>VLOOKUP(IJW111,[13]AssetDetails_UEM!$A$3:$AH$1849,6,FALSE)</f>
        <v>Electrosurgical Units, Monopolar/Bipolar</v>
      </c>
      <c r="IJY111" s="179" t="s">
        <v>428</v>
      </c>
      <c r="IJZ111" s="180" t="str">
        <f>VLOOKUP(IJY111,[13]AssetDetails_UEM!$A$3:$AH$1849,6,FALSE)</f>
        <v>Electrosurgical Units, Monopolar/Bipolar</v>
      </c>
      <c r="IKA111" s="179" t="s">
        <v>428</v>
      </c>
      <c r="IKB111" s="180" t="str">
        <f>VLOOKUP(IKA111,[13]AssetDetails_UEM!$A$3:$AH$1849,6,FALSE)</f>
        <v>Electrosurgical Units, Monopolar/Bipolar</v>
      </c>
      <c r="IKC111" s="179" t="s">
        <v>428</v>
      </c>
      <c r="IKD111" s="180" t="str">
        <f>VLOOKUP(IKC111,[13]AssetDetails_UEM!$A$3:$AH$1849,6,FALSE)</f>
        <v>Electrosurgical Units, Monopolar/Bipolar</v>
      </c>
      <c r="IKE111" s="179" t="s">
        <v>428</v>
      </c>
      <c r="IKF111" s="180" t="str">
        <f>VLOOKUP(IKE111,[13]AssetDetails_UEM!$A$3:$AH$1849,6,FALSE)</f>
        <v>Electrosurgical Units, Monopolar/Bipolar</v>
      </c>
      <c r="IKG111" s="179" t="s">
        <v>428</v>
      </c>
      <c r="IKH111" s="180" t="str">
        <f>VLOOKUP(IKG111,[13]AssetDetails_UEM!$A$3:$AH$1849,6,FALSE)</f>
        <v>Electrosurgical Units, Monopolar/Bipolar</v>
      </c>
      <c r="IKI111" s="179" t="s">
        <v>428</v>
      </c>
      <c r="IKJ111" s="180" t="str">
        <f>VLOOKUP(IKI111,[13]AssetDetails_UEM!$A$3:$AH$1849,6,FALSE)</f>
        <v>Electrosurgical Units, Monopolar/Bipolar</v>
      </c>
      <c r="IKK111" s="179" t="s">
        <v>428</v>
      </c>
      <c r="IKL111" s="180" t="str">
        <f>VLOOKUP(IKK111,[13]AssetDetails_UEM!$A$3:$AH$1849,6,FALSE)</f>
        <v>Electrosurgical Units, Monopolar/Bipolar</v>
      </c>
      <c r="IKM111" s="179" t="s">
        <v>428</v>
      </c>
      <c r="IKN111" s="180" t="str">
        <f>VLOOKUP(IKM111,[13]AssetDetails_UEM!$A$3:$AH$1849,6,FALSE)</f>
        <v>Electrosurgical Units, Monopolar/Bipolar</v>
      </c>
      <c r="IKO111" s="179" t="s">
        <v>428</v>
      </c>
      <c r="IKP111" s="180" t="str">
        <f>VLOOKUP(IKO111,[13]AssetDetails_UEM!$A$3:$AH$1849,6,FALSE)</f>
        <v>Electrosurgical Units, Monopolar/Bipolar</v>
      </c>
      <c r="IKQ111" s="179" t="s">
        <v>428</v>
      </c>
      <c r="IKR111" s="180" t="str">
        <f>VLOOKUP(IKQ111,[13]AssetDetails_UEM!$A$3:$AH$1849,6,FALSE)</f>
        <v>Electrosurgical Units, Monopolar/Bipolar</v>
      </c>
      <c r="IKS111" s="179" t="s">
        <v>428</v>
      </c>
      <c r="IKT111" s="180" t="str">
        <f>VLOOKUP(IKS111,[13]AssetDetails_UEM!$A$3:$AH$1849,6,FALSE)</f>
        <v>Electrosurgical Units, Monopolar/Bipolar</v>
      </c>
      <c r="IKU111" s="179" t="s">
        <v>428</v>
      </c>
      <c r="IKV111" s="180" t="str">
        <f>VLOOKUP(IKU111,[13]AssetDetails_UEM!$A$3:$AH$1849,6,FALSE)</f>
        <v>Electrosurgical Units, Monopolar/Bipolar</v>
      </c>
      <c r="IKW111" s="179" t="s">
        <v>428</v>
      </c>
      <c r="IKX111" s="180" t="str">
        <f>VLOOKUP(IKW111,[13]AssetDetails_UEM!$A$3:$AH$1849,6,FALSE)</f>
        <v>Electrosurgical Units, Monopolar/Bipolar</v>
      </c>
      <c r="IKY111" s="179" t="s">
        <v>428</v>
      </c>
      <c r="IKZ111" s="180" t="str">
        <f>VLOOKUP(IKY111,[13]AssetDetails_UEM!$A$3:$AH$1849,6,FALSE)</f>
        <v>Electrosurgical Units, Monopolar/Bipolar</v>
      </c>
      <c r="ILA111" s="179" t="s">
        <v>428</v>
      </c>
      <c r="ILB111" s="180" t="str">
        <f>VLOOKUP(ILA111,[13]AssetDetails_UEM!$A$3:$AH$1849,6,FALSE)</f>
        <v>Electrosurgical Units, Monopolar/Bipolar</v>
      </c>
      <c r="ILC111" s="179" t="s">
        <v>428</v>
      </c>
      <c r="ILD111" s="180" t="str">
        <f>VLOOKUP(ILC111,[13]AssetDetails_UEM!$A$3:$AH$1849,6,FALSE)</f>
        <v>Electrosurgical Units, Monopolar/Bipolar</v>
      </c>
      <c r="ILE111" s="179" t="s">
        <v>428</v>
      </c>
      <c r="ILF111" s="180" t="str">
        <f>VLOOKUP(ILE111,[13]AssetDetails_UEM!$A$3:$AH$1849,6,FALSE)</f>
        <v>Electrosurgical Units, Monopolar/Bipolar</v>
      </c>
      <c r="ILG111" s="179" t="s">
        <v>428</v>
      </c>
      <c r="ILH111" s="180" t="str">
        <f>VLOOKUP(ILG111,[13]AssetDetails_UEM!$A$3:$AH$1849,6,FALSE)</f>
        <v>Electrosurgical Units, Monopolar/Bipolar</v>
      </c>
      <c r="ILI111" s="179" t="s">
        <v>428</v>
      </c>
      <c r="ILJ111" s="180" t="str">
        <f>VLOOKUP(ILI111,[13]AssetDetails_UEM!$A$3:$AH$1849,6,FALSE)</f>
        <v>Electrosurgical Units, Monopolar/Bipolar</v>
      </c>
      <c r="ILK111" s="179" t="s">
        <v>428</v>
      </c>
      <c r="ILL111" s="180" t="str">
        <f>VLOOKUP(ILK111,[13]AssetDetails_UEM!$A$3:$AH$1849,6,FALSE)</f>
        <v>Electrosurgical Units, Monopolar/Bipolar</v>
      </c>
      <c r="ILM111" s="179" t="s">
        <v>428</v>
      </c>
      <c r="ILN111" s="180" t="str">
        <f>VLOOKUP(ILM111,[13]AssetDetails_UEM!$A$3:$AH$1849,6,FALSE)</f>
        <v>Electrosurgical Units, Monopolar/Bipolar</v>
      </c>
      <c r="ILO111" s="179" t="s">
        <v>428</v>
      </c>
      <c r="ILP111" s="180" t="str">
        <f>VLOOKUP(ILO111,[13]AssetDetails_UEM!$A$3:$AH$1849,6,FALSE)</f>
        <v>Electrosurgical Units, Monopolar/Bipolar</v>
      </c>
      <c r="ILQ111" s="179" t="s">
        <v>428</v>
      </c>
      <c r="ILR111" s="180" t="str">
        <f>VLOOKUP(ILQ111,[13]AssetDetails_UEM!$A$3:$AH$1849,6,FALSE)</f>
        <v>Electrosurgical Units, Monopolar/Bipolar</v>
      </c>
      <c r="ILS111" s="179" t="s">
        <v>428</v>
      </c>
      <c r="ILT111" s="180" t="str">
        <f>VLOOKUP(ILS111,[13]AssetDetails_UEM!$A$3:$AH$1849,6,FALSE)</f>
        <v>Electrosurgical Units, Monopolar/Bipolar</v>
      </c>
      <c r="ILU111" s="179" t="s">
        <v>428</v>
      </c>
      <c r="ILV111" s="180" t="str">
        <f>VLOOKUP(ILU111,[13]AssetDetails_UEM!$A$3:$AH$1849,6,FALSE)</f>
        <v>Electrosurgical Units, Monopolar/Bipolar</v>
      </c>
      <c r="ILW111" s="179" t="s">
        <v>428</v>
      </c>
      <c r="ILX111" s="180" t="str">
        <f>VLOOKUP(ILW111,[13]AssetDetails_UEM!$A$3:$AH$1849,6,FALSE)</f>
        <v>Electrosurgical Units, Monopolar/Bipolar</v>
      </c>
      <c r="ILY111" s="179" t="s">
        <v>428</v>
      </c>
      <c r="ILZ111" s="180" t="str">
        <f>VLOOKUP(ILY111,[13]AssetDetails_UEM!$A$3:$AH$1849,6,FALSE)</f>
        <v>Electrosurgical Units, Monopolar/Bipolar</v>
      </c>
      <c r="IMA111" s="179" t="s">
        <v>428</v>
      </c>
      <c r="IMB111" s="180" t="str">
        <f>VLOOKUP(IMA111,[13]AssetDetails_UEM!$A$3:$AH$1849,6,FALSE)</f>
        <v>Electrosurgical Units, Monopolar/Bipolar</v>
      </c>
      <c r="IMC111" s="179" t="s">
        <v>428</v>
      </c>
      <c r="IMD111" s="180" t="str">
        <f>VLOOKUP(IMC111,[13]AssetDetails_UEM!$A$3:$AH$1849,6,FALSE)</f>
        <v>Electrosurgical Units, Monopolar/Bipolar</v>
      </c>
      <c r="IME111" s="179" t="s">
        <v>428</v>
      </c>
      <c r="IMF111" s="180" t="str">
        <f>VLOOKUP(IME111,[13]AssetDetails_UEM!$A$3:$AH$1849,6,FALSE)</f>
        <v>Electrosurgical Units, Monopolar/Bipolar</v>
      </c>
      <c r="IMG111" s="179" t="s">
        <v>428</v>
      </c>
      <c r="IMH111" s="180" t="str">
        <f>VLOOKUP(IMG111,[13]AssetDetails_UEM!$A$3:$AH$1849,6,FALSE)</f>
        <v>Electrosurgical Units, Monopolar/Bipolar</v>
      </c>
      <c r="IMI111" s="179" t="s">
        <v>428</v>
      </c>
      <c r="IMJ111" s="180" t="str">
        <f>VLOOKUP(IMI111,[13]AssetDetails_UEM!$A$3:$AH$1849,6,FALSE)</f>
        <v>Electrosurgical Units, Monopolar/Bipolar</v>
      </c>
      <c r="IMK111" s="179" t="s">
        <v>428</v>
      </c>
      <c r="IML111" s="180" t="str">
        <f>VLOOKUP(IMK111,[13]AssetDetails_UEM!$A$3:$AH$1849,6,FALSE)</f>
        <v>Electrosurgical Units, Monopolar/Bipolar</v>
      </c>
      <c r="IMM111" s="179" t="s">
        <v>428</v>
      </c>
      <c r="IMN111" s="180" t="str">
        <f>VLOOKUP(IMM111,[13]AssetDetails_UEM!$A$3:$AH$1849,6,FALSE)</f>
        <v>Electrosurgical Units, Monopolar/Bipolar</v>
      </c>
      <c r="IMO111" s="179" t="s">
        <v>428</v>
      </c>
      <c r="IMP111" s="180" t="str">
        <f>VLOOKUP(IMO111,[13]AssetDetails_UEM!$A$3:$AH$1849,6,FALSE)</f>
        <v>Electrosurgical Units, Monopolar/Bipolar</v>
      </c>
      <c r="IMQ111" s="179" t="s">
        <v>428</v>
      </c>
      <c r="IMR111" s="180" t="str">
        <f>VLOOKUP(IMQ111,[13]AssetDetails_UEM!$A$3:$AH$1849,6,FALSE)</f>
        <v>Electrosurgical Units, Monopolar/Bipolar</v>
      </c>
      <c r="IMS111" s="179" t="s">
        <v>428</v>
      </c>
      <c r="IMT111" s="180" t="str">
        <f>VLOOKUP(IMS111,[13]AssetDetails_UEM!$A$3:$AH$1849,6,FALSE)</f>
        <v>Electrosurgical Units, Monopolar/Bipolar</v>
      </c>
      <c r="IMU111" s="179" t="s">
        <v>428</v>
      </c>
      <c r="IMV111" s="180" t="str">
        <f>VLOOKUP(IMU111,[13]AssetDetails_UEM!$A$3:$AH$1849,6,FALSE)</f>
        <v>Electrosurgical Units, Monopolar/Bipolar</v>
      </c>
      <c r="IMW111" s="179" t="s">
        <v>428</v>
      </c>
      <c r="IMX111" s="180" t="str">
        <f>VLOOKUP(IMW111,[13]AssetDetails_UEM!$A$3:$AH$1849,6,FALSE)</f>
        <v>Electrosurgical Units, Monopolar/Bipolar</v>
      </c>
      <c r="IMY111" s="179" t="s">
        <v>428</v>
      </c>
      <c r="IMZ111" s="180" t="str">
        <f>VLOOKUP(IMY111,[13]AssetDetails_UEM!$A$3:$AH$1849,6,FALSE)</f>
        <v>Electrosurgical Units, Monopolar/Bipolar</v>
      </c>
      <c r="INA111" s="179" t="s">
        <v>428</v>
      </c>
      <c r="INB111" s="180" t="str">
        <f>VLOOKUP(INA111,[13]AssetDetails_UEM!$A$3:$AH$1849,6,FALSE)</f>
        <v>Electrosurgical Units, Monopolar/Bipolar</v>
      </c>
      <c r="INC111" s="179" t="s">
        <v>428</v>
      </c>
      <c r="IND111" s="180" t="str">
        <f>VLOOKUP(INC111,[13]AssetDetails_UEM!$A$3:$AH$1849,6,FALSE)</f>
        <v>Electrosurgical Units, Monopolar/Bipolar</v>
      </c>
      <c r="INE111" s="179" t="s">
        <v>428</v>
      </c>
      <c r="INF111" s="180" t="str">
        <f>VLOOKUP(INE111,[13]AssetDetails_UEM!$A$3:$AH$1849,6,FALSE)</f>
        <v>Electrosurgical Units, Monopolar/Bipolar</v>
      </c>
      <c r="ING111" s="179" t="s">
        <v>428</v>
      </c>
      <c r="INH111" s="180" t="str">
        <f>VLOOKUP(ING111,[13]AssetDetails_UEM!$A$3:$AH$1849,6,FALSE)</f>
        <v>Electrosurgical Units, Monopolar/Bipolar</v>
      </c>
      <c r="INI111" s="179" t="s">
        <v>428</v>
      </c>
      <c r="INJ111" s="180" t="str">
        <f>VLOOKUP(INI111,[13]AssetDetails_UEM!$A$3:$AH$1849,6,FALSE)</f>
        <v>Electrosurgical Units, Monopolar/Bipolar</v>
      </c>
      <c r="INK111" s="179" t="s">
        <v>428</v>
      </c>
      <c r="INL111" s="180" t="str">
        <f>VLOOKUP(INK111,[13]AssetDetails_UEM!$A$3:$AH$1849,6,FALSE)</f>
        <v>Electrosurgical Units, Monopolar/Bipolar</v>
      </c>
      <c r="INM111" s="179" t="s">
        <v>428</v>
      </c>
      <c r="INN111" s="180" t="str">
        <f>VLOOKUP(INM111,[13]AssetDetails_UEM!$A$3:$AH$1849,6,FALSE)</f>
        <v>Electrosurgical Units, Monopolar/Bipolar</v>
      </c>
      <c r="INO111" s="179" t="s">
        <v>428</v>
      </c>
      <c r="INP111" s="180" t="str">
        <f>VLOOKUP(INO111,[13]AssetDetails_UEM!$A$3:$AH$1849,6,FALSE)</f>
        <v>Electrosurgical Units, Monopolar/Bipolar</v>
      </c>
      <c r="INQ111" s="179" t="s">
        <v>428</v>
      </c>
      <c r="INR111" s="180" t="str">
        <f>VLOOKUP(INQ111,[13]AssetDetails_UEM!$A$3:$AH$1849,6,FALSE)</f>
        <v>Electrosurgical Units, Monopolar/Bipolar</v>
      </c>
      <c r="INS111" s="179" t="s">
        <v>428</v>
      </c>
      <c r="INT111" s="180" t="str">
        <f>VLOOKUP(INS111,[13]AssetDetails_UEM!$A$3:$AH$1849,6,FALSE)</f>
        <v>Electrosurgical Units, Monopolar/Bipolar</v>
      </c>
      <c r="INU111" s="179" t="s">
        <v>428</v>
      </c>
      <c r="INV111" s="180" t="str">
        <f>VLOOKUP(INU111,[13]AssetDetails_UEM!$A$3:$AH$1849,6,FALSE)</f>
        <v>Electrosurgical Units, Monopolar/Bipolar</v>
      </c>
      <c r="INW111" s="179" t="s">
        <v>428</v>
      </c>
      <c r="INX111" s="180" t="str">
        <f>VLOOKUP(INW111,[13]AssetDetails_UEM!$A$3:$AH$1849,6,FALSE)</f>
        <v>Electrosurgical Units, Monopolar/Bipolar</v>
      </c>
      <c r="INY111" s="179" t="s">
        <v>428</v>
      </c>
      <c r="INZ111" s="180" t="str">
        <f>VLOOKUP(INY111,[13]AssetDetails_UEM!$A$3:$AH$1849,6,FALSE)</f>
        <v>Electrosurgical Units, Monopolar/Bipolar</v>
      </c>
      <c r="IOA111" s="179" t="s">
        <v>428</v>
      </c>
      <c r="IOB111" s="180" t="str">
        <f>VLOOKUP(IOA111,[13]AssetDetails_UEM!$A$3:$AH$1849,6,FALSE)</f>
        <v>Electrosurgical Units, Monopolar/Bipolar</v>
      </c>
      <c r="IOC111" s="179" t="s">
        <v>428</v>
      </c>
      <c r="IOD111" s="180" t="str">
        <f>VLOOKUP(IOC111,[13]AssetDetails_UEM!$A$3:$AH$1849,6,FALSE)</f>
        <v>Electrosurgical Units, Monopolar/Bipolar</v>
      </c>
      <c r="IOE111" s="179" t="s">
        <v>428</v>
      </c>
      <c r="IOF111" s="180" t="str">
        <f>VLOOKUP(IOE111,[13]AssetDetails_UEM!$A$3:$AH$1849,6,FALSE)</f>
        <v>Electrosurgical Units, Monopolar/Bipolar</v>
      </c>
      <c r="IOG111" s="179" t="s">
        <v>428</v>
      </c>
      <c r="IOH111" s="180" t="str">
        <f>VLOOKUP(IOG111,[13]AssetDetails_UEM!$A$3:$AH$1849,6,FALSE)</f>
        <v>Electrosurgical Units, Monopolar/Bipolar</v>
      </c>
      <c r="IOI111" s="179" t="s">
        <v>428</v>
      </c>
      <c r="IOJ111" s="180" t="str">
        <f>VLOOKUP(IOI111,[13]AssetDetails_UEM!$A$3:$AH$1849,6,FALSE)</f>
        <v>Electrosurgical Units, Monopolar/Bipolar</v>
      </c>
      <c r="IOK111" s="179" t="s">
        <v>428</v>
      </c>
      <c r="IOL111" s="180" t="str">
        <f>VLOOKUP(IOK111,[13]AssetDetails_UEM!$A$3:$AH$1849,6,FALSE)</f>
        <v>Electrosurgical Units, Monopolar/Bipolar</v>
      </c>
      <c r="IOM111" s="179" t="s">
        <v>428</v>
      </c>
      <c r="ION111" s="180" t="str">
        <f>VLOOKUP(IOM111,[13]AssetDetails_UEM!$A$3:$AH$1849,6,FALSE)</f>
        <v>Electrosurgical Units, Monopolar/Bipolar</v>
      </c>
      <c r="IOO111" s="179" t="s">
        <v>428</v>
      </c>
      <c r="IOP111" s="180" t="str">
        <f>VLOOKUP(IOO111,[13]AssetDetails_UEM!$A$3:$AH$1849,6,FALSE)</f>
        <v>Electrosurgical Units, Monopolar/Bipolar</v>
      </c>
      <c r="IOQ111" s="179" t="s">
        <v>428</v>
      </c>
      <c r="IOR111" s="180" t="str">
        <f>VLOOKUP(IOQ111,[13]AssetDetails_UEM!$A$3:$AH$1849,6,FALSE)</f>
        <v>Electrosurgical Units, Monopolar/Bipolar</v>
      </c>
      <c r="IOS111" s="179" t="s">
        <v>428</v>
      </c>
      <c r="IOT111" s="180" t="str">
        <f>VLOOKUP(IOS111,[13]AssetDetails_UEM!$A$3:$AH$1849,6,FALSE)</f>
        <v>Electrosurgical Units, Monopolar/Bipolar</v>
      </c>
      <c r="IOU111" s="179" t="s">
        <v>428</v>
      </c>
      <c r="IOV111" s="180" t="str">
        <f>VLOOKUP(IOU111,[13]AssetDetails_UEM!$A$3:$AH$1849,6,FALSE)</f>
        <v>Electrosurgical Units, Monopolar/Bipolar</v>
      </c>
      <c r="IOW111" s="179" t="s">
        <v>428</v>
      </c>
      <c r="IOX111" s="180" t="str">
        <f>VLOOKUP(IOW111,[13]AssetDetails_UEM!$A$3:$AH$1849,6,FALSE)</f>
        <v>Electrosurgical Units, Monopolar/Bipolar</v>
      </c>
      <c r="IOY111" s="179" t="s">
        <v>428</v>
      </c>
      <c r="IOZ111" s="180" t="str">
        <f>VLOOKUP(IOY111,[13]AssetDetails_UEM!$A$3:$AH$1849,6,FALSE)</f>
        <v>Electrosurgical Units, Monopolar/Bipolar</v>
      </c>
      <c r="IPA111" s="179" t="s">
        <v>428</v>
      </c>
      <c r="IPB111" s="180" t="str">
        <f>VLOOKUP(IPA111,[13]AssetDetails_UEM!$A$3:$AH$1849,6,FALSE)</f>
        <v>Electrosurgical Units, Monopolar/Bipolar</v>
      </c>
      <c r="IPC111" s="179" t="s">
        <v>428</v>
      </c>
      <c r="IPD111" s="180" t="str">
        <f>VLOOKUP(IPC111,[13]AssetDetails_UEM!$A$3:$AH$1849,6,FALSE)</f>
        <v>Electrosurgical Units, Monopolar/Bipolar</v>
      </c>
      <c r="IPE111" s="179" t="s">
        <v>428</v>
      </c>
      <c r="IPF111" s="180" t="str">
        <f>VLOOKUP(IPE111,[13]AssetDetails_UEM!$A$3:$AH$1849,6,FALSE)</f>
        <v>Electrosurgical Units, Monopolar/Bipolar</v>
      </c>
      <c r="IPG111" s="179" t="s">
        <v>428</v>
      </c>
      <c r="IPH111" s="180" t="str">
        <f>VLOOKUP(IPG111,[13]AssetDetails_UEM!$A$3:$AH$1849,6,FALSE)</f>
        <v>Electrosurgical Units, Monopolar/Bipolar</v>
      </c>
      <c r="IPI111" s="179" t="s">
        <v>428</v>
      </c>
      <c r="IPJ111" s="180" t="str">
        <f>VLOOKUP(IPI111,[13]AssetDetails_UEM!$A$3:$AH$1849,6,FALSE)</f>
        <v>Electrosurgical Units, Monopolar/Bipolar</v>
      </c>
      <c r="IPK111" s="179" t="s">
        <v>428</v>
      </c>
      <c r="IPL111" s="180" t="str">
        <f>VLOOKUP(IPK111,[13]AssetDetails_UEM!$A$3:$AH$1849,6,FALSE)</f>
        <v>Electrosurgical Units, Monopolar/Bipolar</v>
      </c>
      <c r="IPM111" s="179" t="s">
        <v>428</v>
      </c>
      <c r="IPN111" s="180" t="str">
        <f>VLOOKUP(IPM111,[13]AssetDetails_UEM!$A$3:$AH$1849,6,FALSE)</f>
        <v>Electrosurgical Units, Monopolar/Bipolar</v>
      </c>
      <c r="IPO111" s="179" t="s">
        <v>428</v>
      </c>
      <c r="IPP111" s="180" t="str">
        <f>VLOOKUP(IPO111,[13]AssetDetails_UEM!$A$3:$AH$1849,6,FALSE)</f>
        <v>Electrosurgical Units, Monopolar/Bipolar</v>
      </c>
      <c r="IPQ111" s="179" t="s">
        <v>428</v>
      </c>
      <c r="IPR111" s="180" t="str">
        <f>VLOOKUP(IPQ111,[13]AssetDetails_UEM!$A$3:$AH$1849,6,FALSE)</f>
        <v>Electrosurgical Units, Monopolar/Bipolar</v>
      </c>
      <c r="IPS111" s="179" t="s">
        <v>428</v>
      </c>
      <c r="IPT111" s="180" t="str">
        <f>VLOOKUP(IPS111,[13]AssetDetails_UEM!$A$3:$AH$1849,6,FALSE)</f>
        <v>Electrosurgical Units, Monopolar/Bipolar</v>
      </c>
      <c r="IPU111" s="179" t="s">
        <v>428</v>
      </c>
      <c r="IPV111" s="180" t="str">
        <f>VLOOKUP(IPU111,[13]AssetDetails_UEM!$A$3:$AH$1849,6,FALSE)</f>
        <v>Electrosurgical Units, Monopolar/Bipolar</v>
      </c>
      <c r="IPW111" s="179" t="s">
        <v>428</v>
      </c>
      <c r="IPX111" s="180" t="str">
        <f>VLOOKUP(IPW111,[13]AssetDetails_UEM!$A$3:$AH$1849,6,FALSE)</f>
        <v>Electrosurgical Units, Monopolar/Bipolar</v>
      </c>
      <c r="IPY111" s="179" t="s">
        <v>428</v>
      </c>
      <c r="IPZ111" s="180" t="str">
        <f>VLOOKUP(IPY111,[13]AssetDetails_UEM!$A$3:$AH$1849,6,FALSE)</f>
        <v>Electrosurgical Units, Monopolar/Bipolar</v>
      </c>
      <c r="IQA111" s="179" t="s">
        <v>428</v>
      </c>
      <c r="IQB111" s="180" t="str">
        <f>VLOOKUP(IQA111,[13]AssetDetails_UEM!$A$3:$AH$1849,6,FALSE)</f>
        <v>Electrosurgical Units, Monopolar/Bipolar</v>
      </c>
      <c r="IQC111" s="179" t="s">
        <v>428</v>
      </c>
      <c r="IQD111" s="180" t="str">
        <f>VLOOKUP(IQC111,[13]AssetDetails_UEM!$A$3:$AH$1849,6,FALSE)</f>
        <v>Electrosurgical Units, Monopolar/Bipolar</v>
      </c>
      <c r="IQE111" s="179" t="s">
        <v>428</v>
      </c>
      <c r="IQF111" s="180" t="str">
        <f>VLOOKUP(IQE111,[13]AssetDetails_UEM!$A$3:$AH$1849,6,FALSE)</f>
        <v>Electrosurgical Units, Monopolar/Bipolar</v>
      </c>
      <c r="IQG111" s="179" t="s">
        <v>428</v>
      </c>
      <c r="IQH111" s="180" t="str">
        <f>VLOOKUP(IQG111,[13]AssetDetails_UEM!$A$3:$AH$1849,6,FALSE)</f>
        <v>Electrosurgical Units, Monopolar/Bipolar</v>
      </c>
      <c r="IQI111" s="179" t="s">
        <v>428</v>
      </c>
      <c r="IQJ111" s="180" t="str">
        <f>VLOOKUP(IQI111,[13]AssetDetails_UEM!$A$3:$AH$1849,6,FALSE)</f>
        <v>Electrosurgical Units, Monopolar/Bipolar</v>
      </c>
      <c r="IQK111" s="179" t="s">
        <v>428</v>
      </c>
      <c r="IQL111" s="180" t="str">
        <f>VLOOKUP(IQK111,[13]AssetDetails_UEM!$A$3:$AH$1849,6,FALSE)</f>
        <v>Electrosurgical Units, Monopolar/Bipolar</v>
      </c>
      <c r="IQM111" s="179" t="s">
        <v>428</v>
      </c>
      <c r="IQN111" s="180" t="str">
        <f>VLOOKUP(IQM111,[13]AssetDetails_UEM!$A$3:$AH$1849,6,FALSE)</f>
        <v>Electrosurgical Units, Monopolar/Bipolar</v>
      </c>
      <c r="IQO111" s="179" t="s">
        <v>428</v>
      </c>
      <c r="IQP111" s="180" t="str">
        <f>VLOOKUP(IQO111,[13]AssetDetails_UEM!$A$3:$AH$1849,6,FALSE)</f>
        <v>Electrosurgical Units, Monopolar/Bipolar</v>
      </c>
      <c r="IQQ111" s="179" t="s">
        <v>428</v>
      </c>
      <c r="IQR111" s="180" t="str">
        <f>VLOOKUP(IQQ111,[13]AssetDetails_UEM!$A$3:$AH$1849,6,FALSE)</f>
        <v>Electrosurgical Units, Monopolar/Bipolar</v>
      </c>
      <c r="IQS111" s="179" t="s">
        <v>428</v>
      </c>
      <c r="IQT111" s="180" t="str">
        <f>VLOOKUP(IQS111,[13]AssetDetails_UEM!$A$3:$AH$1849,6,FALSE)</f>
        <v>Electrosurgical Units, Monopolar/Bipolar</v>
      </c>
      <c r="IQU111" s="179" t="s">
        <v>428</v>
      </c>
      <c r="IQV111" s="180" t="str">
        <f>VLOOKUP(IQU111,[13]AssetDetails_UEM!$A$3:$AH$1849,6,FALSE)</f>
        <v>Electrosurgical Units, Monopolar/Bipolar</v>
      </c>
      <c r="IQW111" s="179" t="s">
        <v>428</v>
      </c>
      <c r="IQX111" s="180" t="str">
        <f>VLOOKUP(IQW111,[13]AssetDetails_UEM!$A$3:$AH$1849,6,FALSE)</f>
        <v>Electrosurgical Units, Monopolar/Bipolar</v>
      </c>
      <c r="IQY111" s="179" t="s">
        <v>428</v>
      </c>
      <c r="IQZ111" s="180" t="str">
        <f>VLOOKUP(IQY111,[13]AssetDetails_UEM!$A$3:$AH$1849,6,FALSE)</f>
        <v>Electrosurgical Units, Monopolar/Bipolar</v>
      </c>
      <c r="IRA111" s="179" t="s">
        <v>428</v>
      </c>
      <c r="IRB111" s="180" t="str">
        <f>VLOOKUP(IRA111,[13]AssetDetails_UEM!$A$3:$AH$1849,6,FALSE)</f>
        <v>Electrosurgical Units, Monopolar/Bipolar</v>
      </c>
      <c r="IRC111" s="179" t="s">
        <v>428</v>
      </c>
      <c r="IRD111" s="180" t="str">
        <f>VLOOKUP(IRC111,[13]AssetDetails_UEM!$A$3:$AH$1849,6,FALSE)</f>
        <v>Electrosurgical Units, Monopolar/Bipolar</v>
      </c>
      <c r="IRE111" s="179" t="s">
        <v>428</v>
      </c>
      <c r="IRF111" s="180" t="str">
        <f>VLOOKUP(IRE111,[13]AssetDetails_UEM!$A$3:$AH$1849,6,FALSE)</f>
        <v>Electrosurgical Units, Monopolar/Bipolar</v>
      </c>
      <c r="IRG111" s="179" t="s">
        <v>428</v>
      </c>
      <c r="IRH111" s="180" t="str">
        <f>VLOOKUP(IRG111,[13]AssetDetails_UEM!$A$3:$AH$1849,6,FALSE)</f>
        <v>Electrosurgical Units, Monopolar/Bipolar</v>
      </c>
      <c r="IRI111" s="179" t="s">
        <v>428</v>
      </c>
      <c r="IRJ111" s="180" t="str">
        <f>VLOOKUP(IRI111,[13]AssetDetails_UEM!$A$3:$AH$1849,6,FALSE)</f>
        <v>Electrosurgical Units, Monopolar/Bipolar</v>
      </c>
      <c r="IRK111" s="179" t="s">
        <v>428</v>
      </c>
      <c r="IRL111" s="180" t="str">
        <f>VLOOKUP(IRK111,[13]AssetDetails_UEM!$A$3:$AH$1849,6,FALSE)</f>
        <v>Electrosurgical Units, Monopolar/Bipolar</v>
      </c>
      <c r="IRM111" s="179" t="s">
        <v>428</v>
      </c>
      <c r="IRN111" s="180" t="str">
        <f>VLOOKUP(IRM111,[13]AssetDetails_UEM!$A$3:$AH$1849,6,FALSE)</f>
        <v>Electrosurgical Units, Monopolar/Bipolar</v>
      </c>
      <c r="IRO111" s="179" t="s">
        <v>428</v>
      </c>
      <c r="IRP111" s="180" t="str">
        <f>VLOOKUP(IRO111,[13]AssetDetails_UEM!$A$3:$AH$1849,6,FALSE)</f>
        <v>Electrosurgical Units, Monopolar/Bipolar</v>
      </c>
      <c r="IRQ111" s="179" t="s">
        <v>428</v>
      </c>
      <c r="IRR111" s="180" t="str">
        <f>VLOOKUP(IRQ111,[13]AssetDetails_UEM!$A$3:$AH$1849,6,FALSE)</f>
        <v>Electrosurgical Units, Monopolar/Bipolar</v>
      </c>
      <c r="IRS111" s="179" t="s">
        <v>428</v>
      </c>
      <c r="IRT111" s="180" t="str">
        <f>VLOOKUP(IRS111,[13]AssetDetails_UEM!$A$3:$AH$1849,6,FALSE)</f>
        <v>Electrosurgical Units, Monopolar/Bipolar</v>
      </c>
      <c r="IRU111" s="179" t="s">
        <v>428</v>
      </c>
      <c r="IRV111" s="180" t="str">
        <f>VLOOKUP(IRU111,[13]AssetDetails_UEM!$A$3:$AH$1849,6,FALSE)</f>
        <v>Electrosurgical Units, Monopolar/Bipolar</v>
      </c>
      <c r="IRW111" s="179" t="s">
        <v>428</v>
      </c>
      <c r="IRX111" s="180" t="str">
        <f>VLOOKUP(IRW111,[13]AssetDetails_UEM!$A$3:$AH$1849,6,FALSE)</f>
        <v>Electrosurgical Units, Monopolar/Bipolar</v>
      </c>
      <c r="IRY111" s="179" t="s">
        <v>428</v>
      </c>
      <c r="IRZ111" s="180" t="str">
        <f>VLOOKUP(IRY111,[13]AssetDetails_UEM!$A$3:$AH$1849,6,FALSE)</f>
        <v>Electrosurgical Units, Monopolar/Bipolar</v>
      </c>
      <c r="ISA111" s="179" t="s">
        <v>428</v>
      </c>
      <c r="ISB111" s="180" t="str">
        <f>VLOOKUP(ISA111,[13]AssetDetails_UEM!$A$3:$AH$1849,6,FALSE)</f>
        <v>Electrosurgical Units, Monopolar/Bipolar</v>
      </c>
      <c r="ISC111" s="179" t="s">
        <v>428</v>
      </c>
      <c r="ISD111" s="180" t="str">
        <f>VLOOKUP(ISC111,[13]AssetDetails_UEM!$A$3:$AH$1849,6,FALSE)</f>
        <v>Electrosurgical Units, Monopolar/Bipolar</v>
      </c>
      <c r="ISE111" s="179" t="s">
        <v>428</v>
      </c>
      <c r="ISF111" s="180" t="str">
        <f>VLOOKUP(ISE111,[13]AssetDetails_UEM!$A$3:$AH$1849,6,FALSE)</f>
        <v>Electrosurgical Units, Monopolar/Bipolar</v>
      </c>
      <c r="ISG111" s="179" t="s">
        <v>428</v>
      </c>
      <c r="ISH111" s="180" t="str">
        <f>VLOOKUP(ISG111,[13]AssetDetails_UEM!$A$3:$AH$1849,6,FALSE)</f>
        <v>Electrosurgical Units, Monopolar/Bipolar</v>
      </c>
      <c r="ISI111" s="179" t="s">
        <v>428</v>
      </c>
      <c r="ISJ111" s="180" t="str">
        <f>VLOOKUP(ISI111,[13]AssetDetails_UEM!$A$3:$AH$1849,6,FALSE)</f>
        <v>Electrosurgical Units, Monopolar/Bipolar</v>
      </c>
      <c r="ISK111" s="179" t="s">
        <v>428</v>
      </c>
      <c r="ISL111" s="180" t="str">
        <f>VLOOKUP(ISK111,[13]AssetDetails_UEM!$A$3:$AH$1849,6,FALSE)</f>
        <v>Electrosurgical Units, Monopolar/Bipolar</v>
      </c>
      <c r="ISM111" s="179" t="s">
        <v>428</v>
      </c>
      <c r="ISN111" s="180" t="str">
        <f>VLOOKUP(ISM111,[13]AssetDetails_UEM!$A$3:$AH$1849,6,FALSE)</f>
        <v>Electrosurgical Units, Monopolar/Bipolar</v>
      </c>
      <c r="ISO111" s="179" t="s">
        <v>428</v>
      </c>
      <c r="ISP111" s="180" t="str">
        <f>VLOOKUP(ISO111,[13]AssetDetails_UEM!$A$3:$AH$1849,6,FALSE)</f>
        <v>Electrosurgical Units, Monopolar/Bipolar</v>
      </c>
      <c r="ISQ111" s="179" t="s">
        <v>428</v>
      </c>
      <c r="ISR111" s="180" t="str">
        <f>VLOOKUP(ISQ111,[13]AssetDetails_UEM!$A$3:$AH$1849,6,FALSE)</f>
        <v>Electrosurgical Units, Monopolar/Bipolar</v>
      </c>
      <c r="ISS111" s="179" t="s">
        <v>428</v>
      </c>
      <c r="IST111" s="180" t="str">
        <f>VLOOKUP(ISS111,[13]AssetDetails_UEM!$A$3:$AH$1849,6,FALSE)</f>
        <v>Electrosurgical Units, Monopolar/Bipolar</v>
      </c>
      <c r="ISU111" s="179" t="s">
        <v>428</v>
      </c>
      <c r="ISV111" s="180" t="str">
        <f>VLOOKUP(ISU111,[13]AssetDetails_UEM!$A$3:$AH$1849,6,FALSE)</f>
        <v>Electrosurgical Units, Monopolar/Bipolar</v>
      </c>
      <c r="ISW111" s="179" t="s">
        <v>428</v>
      </c>
      <c r="ISX111" s="180" t="str">
        <f>VLOOKUP(ISW111,[13]AssetDetails_UEM!$A$3:$AH$1849,6,FALSE)</f>
        <v>Electrosurgical Units, Monopolar/Bipolar</v>
      </c>
      <c r="ISY111" s="179" t="s">
        <v>428</v>
      </c>
      <c r="ISZ111" s="180" t="str">
        <f>VLOOKUP(ISY111,[13]AssetDetails_UEM!$A$3:$AH$1849,6,FALSE)</f>
        <v>Electrosurgical Units, Monopolar/Bipolar</v>
      </c>
      <c r="ITA111" s="179" t="s">
        <v>428</v>
      </c>
      <c r="ITB111" s="180" t="str">
        <f>VLOOKUP(ITA111,[13]AssetDetails_UEM!$A$3:$AH$1849,6,FALSE)</f>
        <v>Electrosurgical Units, Monopolar/Bipolar</v>
      </c>
      <c r="ITC111" s="179" t="s">
        <v>428</v>
      </c>
      <c r="ITD111" s="180" t="str">
        <f>VLOOKUP(ITC111,[13]AssetDetails_UEM!$A$3:$AH$1849,6,FALSE)</f>
        <v>Electrosurgical Units, Monopolar/Bipolar</v>
      </c>
      <c r="ITE111" s="179" t="s">
        <v>428</v>
      </c>
      <c r="ITF111" s="180" t="str">
        <f>VLOOKUP(ITE111,[13]AssetDetails_UEM!$A$3:$AH$1849,6,FALSE)</f>
        <v>Electrosurgical Units, Monopolar/Bipolar</v>
      </c>
      <c r="ITG111" s="179" t="s">
        <v>428</v>
      </c>
      <c r="ITH111" s="180" t="str">
        <f>VLOOKUP(ITG111,[13]AssetDetails_UEM!$A$3:$AH$1849,6,FALSE)</f>
        <v>Electrosurgical Units, Monopolar/Bipolar</v>
      </c>
      <c r="ITI111" s="179" t="s">
        <v>428</v>
      </c>
      <c r="ITJ111" s="180" t="str">
        <f>VLOOKUP(ITI111,[13]AssetDetails_UEM!$A$3:$AH$1849,6,FALSE)</f>
        <v>Electrosurgical Units, Monopolar/Bipolar</v>
      </c>
      <c r="ITK111" s="179" t="s">
        <v>428</v>
      </c>
      <c r="ITL111" s="180" t="str">
        <f>VLOOKUP(ITK111,[13]AssetDetails_UEM!$A$3:$AH$1849,6,FALSE)</f>
        <v>Electrosurgical Units, Monopolar/Bipolar</v>
      </c>
      <c r="ITM111" s="179" t="s">
        <v>428</v>
      </c>
      <c r="ITN111" s="180" t="str">
        <f>VLOOKUP(ITM111,[13]AssetDetails_UEM!$A$3:$AH$1849,6,FALSE)</f>
        <v>Electrosurgical Units, Monopolar/Bipolar</v>
      </c>
      <c r="ITO111" s="179" t="s">
        <v>428</v>
      </c>
      <c r="ITP111" s="180" t="str">
        <f>VLOOKUP(ITO111,[13]AssetDetails_UEM!$A$3:$AH$1849,6,FALSE)</f>
        <v>Electrosurgical Units, Monopolar/Bipolar</v>
      </c>
      <c r="ITQ111" s="179" t="s">
        <v>428</v>
      </c>
      <c r="ITR111" s="180" t="str">
        <f>VLOOKUP(ITQ111,[13]AssetDetails_UEM!$A$3:$AH$1849,6,FALSE)</f>
        <v>Electrosurgical Units, Monopolar/Bipolar</v>
      </c>
      <c r="ITS111" s="179" t="s">
        <v>428</v>
      </c>
      <c r="ITT111" s="180" t="str">
        <f>VLOOKUP(ITS111,[13]AssetDetails_UEM!$A$3:$AH$1849,6,FALSE)</f>
        <v>Electrosurgical Units, Monopolar/Bipolar</v>
      </c>
      <c r="ITU111" s="179" t="s">
        <v>428</v>
      </c>
      <c r="ITV111" s="180" t="str">
        <f>VLOOKUP(ITU111,[13]AssetDetails_UEM!$A$3:$AH$1849,6,FALSE)</f>
        <v>Electrosurgical Units, Monopolar/Bipolar</v>
      </c>
      <c r="ITW111" s="179" t="s">
        <v>428</v>
      </c>
      <c r="ITX111" s="180" t="str">
        <f>VLOOKUP(ITW111,[13]AssetDetails_UEM!$A$3:$AH$1849,6,FALSE)</f>
        <v>Electrosurgical Units, Monopolar/Bipolar</v>
      </c>
      <c r="ITY111" s="179" t="s">
        <v>428</v>
      </c>
      <c r="ITZ111" s="180" t="str">
        <f>VLOOKUP(ITY111,[13]AssetDetails_UEM!$A$3:$AH$1849,6,FALSE)</f>
        <v>Electrosurgical Units, Monopolar/Bipolar</v>
      </c>
      <c r="IUA111" s="179" t="s">
        <v>428</v>
      </c>
      <c r="IUB111" s="180" t="str">
        <f>VLOOKUP(IUA111,[13]AssetDetails_UEM!$A$3:$AH$1849,6,FALSE)</f>
        <v>Electrosurgical Units, Monopolar/Bipolar</v>
      </c>
      <c r="IUC111" s="179" t="s">
        <v>428</v>
      </c>
      <c r="IUD111" s="180" t="str">
        <f>VLOOKUP(IUC111,[13]AssetDetails_UEM!$A$3:$AH$1849,6,FALSE)</f>
        <v>Electrosurgical Units, Monopolar/Bipolar</v>
      </c>
      <c r="IUE111" s="179" t="s">
        <v>428</v>
      </c>
      <c r="IUF111" s="180" t="str">
        <f>VLOOKUP(IUE111,[13]AssetDetails_UEM!$A$3:$AH$1849,6,FALSE)</f>
        <v>Electrosurgical Units, Monopolar/Bipolar</v>
      </c>
      <c r="IUG111" s="179" t="s">
        <v>428</v>
      </c>
      <c r="IUH111" s="180" t="str">
        <f>VLOOKUP(IUG111,[13]AssetDetails_UEM!$A$3:$AH$1849,6,FALSE)</f>
        <v>Electrosurgical Units, Monopolar/Bipolar</v>
      </c>
      <c r="IUI111" s="179" t="s">
        <v>428</v>
      </c>
      <c r="IUJ111" s="180" t="str">
        <f>VLOOKUP(IUI111,[13]AssetDetails_UEM!$A$3:$AH$1849,6,FALSE)</f>
        <v>Electrosurgical Units, Monopolar/Bipolar</v>
      </c>
      <c r="IUK111" s="179" t="s">
        <v>428</v>
      </c>
      <c r="IUL111" s="180" t="str">
        <f>VLOOKUP(IUK111,[13]AssetDetails_UEM!$A$3:$AH$1849,6,FALSE)</f>
        <v>Electrosurgical Units, Monopolar/Bipolar</v>
      </c>
      <c r="IUM111" s="179" t="s">
        <v>428</v>
      </c>
      <c r="IUN111" s="180" t="str">
        <f>VLOOKUP(IUM111,[13]AssetDetails_UEM!$A$3:$AH$1849,6,FALSE)</f>
        <v>Electrosurgical Units, Monopolar/Bipolar</v>
      </c>
      <c r="IUO111" s="179" t="s">
        <v>428</v>
      </c>
      <c r="IUP111" s="180" t="str">
        <f>VLOOKUP(IUO111,[13]AssetDetails_UEM!$A$3:$AH$1849,6,FALSE)</f>
        <v>Electrosurgical Units, Monopolar/Bipolar</v>
      </c>
      <c r="IUQ111" s="179" t="s">
        <v>428</v>
      </c>
      <c r="IUR111" s="180" t="str">
        <f>VLOOKUP(IUQ111,[13]AssetDetails_UEM!$A$3:$AH$1849,6,FALSE)</f>
        <v>Electrosurgical Units, Monopolar/Bipolar</v>
      </c>
      <c r="IUS111" s="179" t="s">
        <v>428</v>
      </c>
      <c r="IUT111" s="180" t="str">
        <f>VLOOKUP(IUS111,[13]AssetDetails_UEM!$A$3:$AH$1849,6,FALSE)</f>
        <v>Electrosurgical Units, Monopolar/Bipolar</v>
      </c>
      <c r="IUU111" s="179" t="s">
        <v>428</v>
      </c>
      <c r="IUV111" s="180" t="str">
        <f>VLOOKUP(IUU111,[13]AssetDetails_UEM!$A$3:$AH$1849,6,FALSE)</f>
        <v>Electrosurgical Units, Monopolar/Bipolar</v>
      </c>
      <c r="IUW111" s="179" t="s">
        <v>428</v>
      </c>
      <c r="IUX111" s="180" t="str">
        <f>VLOOKUP(IUW111,[13]AssetDetails_UEM!$A$3:$AH$1849,6,FALSE)</f>
        <v>Electrosurgical Units, Monopolar/Bipolar</v>
      </c>
      <c r="IUY111" s="179" t="s">
        <v>428</v>
      </c>
      <c r="IUZ111" s="180" t="str">
        <f>VLOOKUP(IUY111,[13]AssetDetails_UEM!$A$3:$AH$1849,6,FALSE)</f>
        <v>Electrosurgical Units, Monopolar/Bipolar</v>
      </c>
      <c r="IVA111" s="179" t="s">
        <v>428</v>
      </c>
      <c r="IVB111" s="180" t="str">
        <f>VLOOKUP(IVA111,[13]AssetDetails_UEM!$A$3:$AH$1849,6,FALSE)</f>
        <v>Electrosurgical Units, Monopolar/Bipolar</v>
      </c>
      <c r="IVC111" s="179" t="s">
        <v>428</v>
      </c>
      <c r="IVD111" s="180" t="str">
        <f>VLOOKUP(IVC111,[13]AssetDetails_UEM!$A$3:$AH$1849,6,FALSE)</f>
        <v>Electrosurgical Units, Monopolar/Bipolar</v>
      </c>
      <c r="IVE111" s="179" t="s">
        <v>428</v>
      </c>
      <c r="IVF111" s="180" t="str">
        <f>VLOOKUP(IVE111,[13]AssetDetails_UEM!$A$3:$AH$1849,6,FALSE)</f>
        <v>Electrosurgical Units, Monopolar/Bipolar</v>
      </c>
      <c r="IVG111" s="179" t="s">
        <v>428</v>
      </c>
      <c r="IVH111" s="180" t="str">
        <f>VLOOKUP(IVG111,[13]AssetDetails_UEM!$A$3:$AH$1849,6,FALSE)</f>
        <v>Electrosurgical Units, Monopolar/Bipolar</v>
      </c>
      <c r="IVI111" s="179" t="s">
        <v>428</v>
      </c>
      <c r="IVJ111" s="180" t="str">
        <f>VLOOKUP(IVI111,[13]AssetDetails_UEM!$A$3:$AH$1849,6,FALSE)</f>
        <v>Electrosurgical Units, Monopolar/Bipolar</v>
      </c>
      <c r="IVK111" s="179" t="s">
        <v>428</v>
      </c>
      <c r="IVL111" s="180" t="str">
        <f>VLOOKUP(IVK111,[13]AssetDetails_UEM!$A$3:$AH$1849,6,FALSE)</f>
        <v>Electrosurgical Units, Monopolar/Bipolar</v>
      </c>
      <c r="IVM111" s="179" t="s">
        <v>428</v>
      </c>
      <c r="IVN111" s="180" t="str">
        <f>VLOOKUP(IVM111,[13]AssetDetails_UEM!$A$3:$AH$1849,6,FALSE)</f>
        <v>Electrosurgical Units, Monopolar/Bipolar</v>
      </c>
      <c r="IVO111" s="179" t="s">
        <v>428</v>
      </c>
      <c r="IVP111" s="180" t="str">
        <f>VLOOKUP(IVO111,[13]AssetDetails_UEM!$A$3:$AH$1849,6,FALSE)</f>
        <v>Electrosurgical Units, Monopolar/Bipolar</v>
      </c>
      <c r="IVQ111" s="179" t="s">
        <v>428</v>
      </c>
      <c r="IVR111" s="180" t="str">
        <f>VLOOKUP(IVQ111,[13]AssetDetails_UEM!$A$3:$AH$1849,6,FALSE)</f>
        <v>Electrosurgical Units, Monopolar/Bipolar</v>
      </c>
      <c r="IVS111" s="179" t="s">
        <v>428</v>
      </c>
      <c r="IVT111" s="180" t="str">
        <f>VLOOKUP(IVS111,[13]AssetDetails_UEM!$A$3:$AH$1849,6,FALSE)</f>
        <v>Electrosurgical Units, Monopolar/Bipolar</v>
      </c>
      <c r="IVU111" s="179" t="s">
        <v>428</v>
      </c>
      <c r="IVV111" s="180" t="str">
        <f>VLOOKUP(IVU111,[13]AssetDetails_UEM!$A$3:$AH$1849,6,FALSE)</f>
        <v>Electrosurgical Units, Monopolar/Bipolar</v>
      </c>
      <c r="IVW111" s="179" t="s">
        <v>428</v>
      </c>
      <c r="IVX111" s="180" t="str">
        <f>VLOOKUP(IVW111,[13]AssetDetails_UEM!$A$3:$AH$1849,6,FALSE)</f>
        <v>Electrosurgical Units, Monopolar/Bipolar</v>
      </c>
      <c r="IVY111" s="179" t="s">
        <v>428</v>
      </c>
      <c r="IVZ111" s="180" t="str">
        <f>VLOOKUP(IVY111,[13]AssetDetails_UEM!$A$3:$AH$1849,6,FALSE)</f>
        <v>Electrosurgical Units, Monopolar/Bipolar</v>
      </c>
      <c r="IWA111" s="179" t="s">
        <v>428</v>
      </c>
      <c r="IWB111" s="180" t="str">
        <f>VLOOKUP(IWA111,[13]AssetDetails_UEM!$A$3:$AH$1849,6,FALSE)</f>
        <v>Electrosurgical Units, Monopolar/Bipolar</v>
      </c>
      <c r="IWC111" s="179" t="s">
        <v>428</v>
      </c>
      <c r="IWD111" s="180" t="str">
        <f>VLOOKUP(IWC111,[13]AssetDetails_UEM!$A$3:$AH$1849,6,FALSE)</f>
        <v>Electrosurgical Units, Monopolar/Bipolar</v>
      </c>
      <c r="IWE111" s="179" t="s">
        <v>428</v>
      </c>
      <c r="IWF111" s="180" t="str">
        <f>VLOOKUP(IWE111,[13]AssetDetails_UEM!$A$3:$AH$1849,6,FALSE)</f>
        <v>Electrosurgical Units, Monopolar/Bipolar</v>
      </c>
      <c r="IWG111" s="179" t="s">
        <v>428</v>
      </c>
      <c r="IWH111" s="180" t="str">
        <f>VLOOKUP(IWG111,[13]AssetDetails_UEM!$A$3:$AH$1849,6,FALSE)</f>
        <v>Electrosurgical Units, Monopolar/Bipolar</v>
      </c>
      <c r="IWI111" s="179" t="s">
        <v>428</v>
      </c>
      <c r="IWJ111" s="180" t="str">
        <f>VLOOKUP(IWI111,[13]AssetDetails_UEM!$A$3:$AH$1849,6,FALSE)</f>
        <v>Electrosurgical Units, Monopolar/Bipolar</v>
      </c>
      <c r="IWK111" s="179" t="s">
        <v>428</v>
      </c>
      <c r="IWL111" s="180" t="str">
        <f>VLOOKUP(IWK111,[13]AssetDetails_UEM!$A$3:$AH$1849,6,FALSE)</f>
        <v>Electrosurgical Units, Monopolar/Bipolar</v>
      </c>
      <c r="IWM111" s="179" t="s">
        <v>428</v>
      </c>
      <c r="IWN111" s="180" t="str">
        <f>VLOOKUP(IWM111,[13]AssetDetails_UEM!$A$3:$AH$1849,6,FALSE)</f>
        <v>Electrosurgical Units, Monopolar/Bipolar</v>
      </c>
      <c r="IWO111" s="179" t="s">
        <v>428</v>
      </c>
      <c r="IWP111" s="180" t="str">
        <f>VLOOKUP(IWO111,[13]AssetDetails_UEM!$A$3:$AH$1849,6,FALSE)</f>
        <v>Electrosurgical Units, Monopolar/Bipolar</v>
      </c>
      <c r="IWQ111" s="179" t="s">
        <v>428</v>
      </c>
      <c r="IWR111" s="180" t="str">
        <f>VLOOKUP(IWQ111,[13]AssetDetails_UEM!$A$3:$AH$1849,6,FALSE)</f>
        <v>Electrosurgical Units, Monopolar/Bipolar</v>
      </c>
      <c r="IWS111" s="179" t="s">
        <v>428</v>
      </c>
      <c r="IWT111" s="180" t="str">
        <f>VLOOKUP(IWS111,[13]AssetDetails_UEM!$A$3:$AH$1849,6,FALSE)</f>
        <v>Electrosurgical Units, Monopolar/Bipolar</v>
      </c>
      <c r="IWU111" s="179" t="s">
        <v>428</v>
      </c>
      <c r="IWV111" s="180" t="str">
        <f>VLOOKUP(IWU111,[13]AssetDetails_UEM!$A$3:$AH$1849,6,FALSE)</f>
        <v>Electrosurgical Units, Monopolar/Bipolar</v>
      </c>
      <c r="IWW111" s="179" t="s">
        <v>428</v>
      </c>
      <c r="IWX111" s="180" t="str">
        <f>VLOOKUP(IWW111,[13]AssetDetails_UEM!$A$3:$AH$1849,6,FALSE)</f>
        <v>Electrosurgical Units, Monopolar/Bipolar</v>
      </c>
      <c r="IWY111" s="179" t="s">
        <v>428</v>
      </c>
      <c r="IWZ111" s="180" t="str">
        <f>VLOOKUP(IWY111,[13]AssetDetails_UEM!$A$3:$AH$1849,6,FALSE)</f>
        <v>Electrosurgical Units, Monopolar/Bipolar</v>
      </c>
      <c r="IXA111" s="179" t="s">
        <v>428</v>
      </c>
      <c r="IXB111" s="180" t="str">
        <f>VLOOKUP(IXA111,[13]AssetDetails_UEM!$A$3:$AH$1849,6,FALSE)</f>
        <v>Electrosurgical Units, Monopolar/Bipolar</v>
      </c>
      <c r="IXC111" s="179" t="s">
        <v>428</v>
      </c>
      <c r="IXD111" s="180" t="str">
        <f>VLOOKUP(IXC111,[13]AssetDetails_UEM!$A$3:$AH$1849,6,FALSE)</f>
        <v>Electrosurgical Units, Monopolar/Bipolar</v>
      </c>
      <c r="IXE111" s="179" t="s">
        <v>428</v>
      </c>
      <c r="IXF111" s="180" t="str">
        <f>VLOOKUP(IXE111,[13]AssetDetails_UEM!$A$3:$AH$1849,6,FALSE)</f>
        <v>Electrosurgical Units, Monopolar/Bipolar</v>
      </c>
      <c r="IXG111" s="179" t="s">
        <v>428</v>
      </c>
      <c r="IXH111" s="180" t="str">
        <f>VLOOKUP(IXG111,[13]AssetDetails_UEM!$A$3:$AH$1849,6,FALSE)</f>
        <v>Electrosurgical Units, Monopolar/Bipolar</v>
      </c>
      <c r="IXI111" s="179" t="s">
        <v>428</v>
      </c>
      <c r="IXJ111" s="180" t="str">
        <f>VLOOKUP(IXI111,[13]AssetDetails_UEM!$A$3:$AH$1849,6,FALSE)</f>
        <v>Electrosurgical Units, Monopolar/Bipolar</v>
      </c>
      <c r="IXK111" s="179" t="s">
        <v>428</v>
      </c>
      <c r="IXL111" s="180" t="str">
        <f>VLOOKUP(IXK111,[13]AssetDetails_UEM!$A$3:$AH$1849,6,FALSE)</f>
        <v>Electrosurgical Units, Monopolar/Bipolar</v>
      </c>
      <c r="IXM111" s="179" t="s">
        <v>428</v>
      </c>
      <c r="IXN111" s="180" t="str">
        <f>VLOOKUP(IXM111,[13]AssetDetails_UEM!$A$3:$AH$1849,6,FALSE)</f>
        <v>Electrosurgical Units, Monopolar/Bipolar</v>
      </c>
      <c r="IXO111" s="179" t="s">
        <v>428</v>
      </c>
      <c r="IXP111" s="180" t="str">
        <f>VLOOKUP(IXO111,[13]AssetDetails_UEM!$A$3:$AH$1849,6,FALSE)</f>
        <v>Electrosurgical Units, Monopolar/Bipolar</v>
      </c>
      <c r="IXQ111" s="179" t="s">
        <v>428</v>
      </c>
      <c r="IXR111" s="180" t="str">
        <f>VLOOKUP(IXQ111,[13]AssetDetails_UEM!$A$3:$AH$1849,6,FALSE)</f>
        <v>Electrosurgical Units, Monopolar/Bipolar</v>
      </c>
      <c r="IXS111" s="179" t="s">
        <v>428</v>
      </c>
      <c r="IXT111" s="180" t="str">
        <f>VLOOKUP(IXS111,[13]AssetDetails_UEM!$A$3:$AH$1849,6,FALSE)</f>
        <v>Electrosurgical Units, Monopolar/Bipolar</v>
      </c>
      <c r="IXU111" s="179" t="s">
        <v>428</v>
      </c>
      <c r="IXV111" s="180" t="str">
        <f>VLOOKUP(IXU111,[13]AssetDetails_UEM!$A$3:$AH$1849,6,FALSE)</f>
        <v>Electrosurgical Units, Monopolar/Bipolar</v>
      </c>
      <c r="IXW111" s="179" t="s">
        <v>428</v>
      </c>
      <c r="IXX111" s="180" t="str">
        <f>VLOOKUP(IXW111,[13]AssetDetails_UEM!$A$3:$AH$1849,6,FALSE)</f>
        <v>Electrosurgical Units, Monopolar/Bipolar</v>
      </c>
      <c r="IXY111" s="179" t="s">
        <v>428</v>
      </c>
      <c r="IXZ111" s="180" t="str">
        <f>VLOOKUP(IXY111,[13]AssetDetails_UEM!$A$3:$AH$1849,6,FALSE)</f>
        <v>Electrosurgical Units, Monopolar/Bipolar</v>
      </c>
      <c r="IYA111" s="179" t="s">
        <v>428</v>
      </c>
      <c r="IYB111" s="180" t="str">
        <f>VLOOKUP(IYA111,[13]AssetDetails_UEM!$A$3:$AH$1849,6,FALSE)</f>
        <v>Electrosurgical Units, Monopolar/Bipolar</v>
      </c>
      <c r="IYC111" s="179" t="s">
        <v>428</v>
      </c>
      <c r="IYD111" s="180" t="str">
        <f>VLOOKUP(IYC111,[13]AssetDetails_UEM!$A$3:$AH$1849,6,FALSE)</f>
        <v>Electrosurgical Units, Monopolar/Bipolar</v>
      </c>
      <c r="IYE111" s="179" t="s">
        <v>428</v>
      </c>
      <c r="IYF111" s="180" t="str">
        <f>VLOOKUP(IYE111,[13]AssetDetails_UEM!$A$3:$AH$1849,6,FALSE)</f>
        <v>Electrosurgical Units, Monopolar/Bipolar</v>
      </c>
      <c r="IYG111" s="179" t="s">
        <v>428</v>
      </c>
      <c r="IYH111" s="180" t="str">
        <f>VLOOKUP(IYG111,[13]AssetDetails_UEM!$A$3:$AH$1849,6,FALSE)</f>
        <v>Electrosurgical Units, Monopolar/Bipolar</v>
      </c>
      <c r="IYI111" s="179" t="s">
        <v>428</v>
      </c>
      <c r="IYJ111" s="180" t="str">
        <f>VLOOKUP(IYI111,[13]AssetDetails_UEM!$A$3:$AH$1849,6,FALSE)</f>
        <v>Electrosurgical Units, Monopolar/Bipolar</v>
      </c>
      <c r="IYK111" s="179" t="s">
        <v>428</v>
      </c>
      <c r="IYL111" s="180" t="str">
        <f>VLOOKUP(IYK111,[13]AssetDetails_UEM!$A$3:$AH$1849,6,FALSE)</f>
        <v>Electrosurgical Units, Monopolar/Bipolar</v>
      </c>
      <c r="IYM111" s="179" t="s">
        <v>428</v>
      </c>
      <c r="IYN111" s="180" t="str">
        <f>VLOOKUP(IYM111,[13]AssetDetails_UEM!$A$3:$AH$1849,6,FALSE)</f>
        <v>Electrosurgical Units, Monopolar/Bipolar</v>
      </c>
      <c r="IYO111" s="179" t="s">
        <v>428</v>
      </c>
      <c r="IYP111" s="180" t="str">
        <f>VLOOKUP(IYO111,[13]AssetDetails_UEM!$A$3:$AH$1849,6,FALSE)</f>
        <v>Electrosurgical Units, Monopolar/Bipolar</v>
      </c>
      <c r="IYQ111" s="179" t="s">
        <v>428</v>
      </c>
      <c r="IYR111" s="180" t="str">
        <f>VLOOKUP(IYQ111,[13]AssetDetails_UEM!$A$3:$AH$1849,6,FALSE)</f>
        <v>Electrosurgical Units, Monopolar/Bipolar</v>
      </c>
      <c r="IYS111" s="179" t="s">
        <v>428</v>
      </c>
      <c r="IYT111" s="180" t="str">
        <f>VLOOKUP(IYS111,[13]AssetDetails_UEM!$A$3:$AH$1849,6,FALSE)</f>
        <v>Electrosurgical Units, Monopolar/Bipolar</v>
      </c>
      <c r="IYU111" s="179" t="s">
        <v>428</v>
      </c>
      <c r="IYV111" s="180" t="str">
        <f>VLOOKUP(IYU111,[13]AssetDetails_UEM!$A$3:$AH$1849,6,FALSE)</f>
        <v>Electrosurgical Units, Monopolar/Bipolar</v>
      </c>
      <c r="IYW111" s="179" t="s">
        <v>428</v>
      </c>
      <c r="IYX111" s="180" t="str">
        <f>VLOOKUP(IYW111,[13]AssetDetails_UEM!$A$3:$AH$1849,6,FALSE)</f>
        <v>Electrosurgical Units, Monopolar/Bipolar</v>
      </c>
      <c r="IYY111" s="179" t="s">
        <v>428</v>
      </c>
      <c r="IYZ111" s="180" t="str">
        <f>VLOOKUP(IYY111,[13]AssetDetails_UEM!$A$3:$AH$1849,6,FALSE)</f>
        <v>Electrosurgical Units, Monopolar/Bipolar</v>
      </c>
      <c r="IZA111" s="179" t="s">
        <v>428</v>
      </c>
      <c r="IZB111" s="180" t="str">
        <f>VLOOKUP(IZA111,[13]AssetDetails_UEM!$A$3:$AH$1849,6,FALSE)</f>
        <v>Electrosurgical Units, Monopolar/Bipolar</v>
      </c>
      <c r="IZC111" s="179" t="s">
        <v>428</v>
      </c>
      <c r="IZD111" s="180" t="str">
        <f>VLOOKUP(IZC111,[13]AssetDetails_UEM!$A$3:$AH$1849,6,FALSE)</f>
        <v>Electrosurgical Units, Monopolar/Bipolar</v>
      </c>
      <c r="IZE111" s="179" t="s">
        <v>428</v>
      </c>
      <c r="IZF111" s="180" t="str">
        <f>VLOOKUP(IZE111,[13]AssetDetails_UEM!$A$3:$AH$1849,6,FALSE)</f>
        <v>Electrosurgical Units, Monopolar/Bipolar</v>
      </c>
      <c r="IZG111" s="179" t="s">
        <v>428</v>
      </c>
      <c r="IZH111" s="180" t="str">
        <f>VLOOKUP(IZG111,[13]AssetDetails_UEM!$A$3:$AH$1849,6,FALSE)</f>
        <v>Electrosurgical Units, Monopolar/Bipolar</v>
      </c>
      <c r="IZI111" s="179" t="s">
        <v>428</v>
      </c>
      <c r="IZJ111" s="180" t="str">
        <f>VLOOKUP(IZI111,[13]AssetDetails_UEM!$A$3:$AH$1849,6,FALSE)</f>
        <v>Electrosurgical Units, Monopolar/Bipolar</v>
      </c>
      <c r="IZK111" s="179" t="s">
        <v>428</v>
      </c>
      <c r="IZL111" s="180" t="str">
        <f>VLOOKUP(IZK111,[13]AssetDetails_UEM!$A$3:$AH$1849,6,FALSE)</f>
        <v>Electrosurgical Units, Monopolar/Bipolar</v>
      </c>
      <c r="IZM111" s="179" t="s">
        <v>428</v>
      </c>
      <c r="IZN111" s="180" t="str">
        <f>VLOOKUP(IZM111,[13]AssetDetails_UEM!$A$3:$AH$1849,6,FALSE)</f>
        <v>Electrosurgical Units, Monopolar/Bipolar</v>
      </c>
      <c r="IZO111" s="179" t="s">
        <v>428</v>
      </c>
      <c r="IZP111" s="180" t="str">
        <f>VLOOKUP(IZO111,[13]AssetDetails_UEM!$A$3:$AH$1849,6,FALSE)</f>
        <v>Electrosurgical Units, Monopolar/Bipolar</v>
      </c>
      <c r="IZQ111" s="179" t="s">
        <v>428</v>
      </c>
      <c r="IZR111" s="180" t="str">
        <f>VLOOKUP(IZQ111,[13]AssetDetails_UEM!$A$3:$AH$1849,6,FALSE)</f>
        <v>Electrosurgical Units, Monopolar/Bipolar</v>
      </c>
      <c r="IZS111" s="179" t="s">
        <v>428</v>
      </c>
      <c r="IZT111" s="180" t="str">
        <f>VLOOKUP(IZS111,[13]AssetDetails_UEM!$A$3:$AH$1849,6,FALSE)</f>
        <v>Electrosurgical Units, Monopolar/Bipolar</v>
      </c>
      <c r="IZU111" s="179" t="s">
        <v>428</v>
      </c>
      <c r="IZV111" s="180" t="str">
        <f>VLOOKUP(IZU111,[13]AssetDetails_UEM!$A$3:$AH$1849,6,FALSE)</f>
        <v>Electrosurgical Units, Monopolar/Bipolar</v>
      </c>
      <c r="IZW111" s="179" t="s">
        <v>428</v>
      </c>
      <c r="IZX111" s="180" t="str">
        <f>VLOOKUP(IZW111,[13]AssetDetails_UEM!$A$3:$AH$1849,6,FALSE)</f>
        <v>Electrosurgical Units, Monopolar/Bipolar</v>
      </c>
      <c r="IZY111" s="179" t="s">
        <v>428</v>
      </c>
      <c r="IZZ111" s="180" t="str">
        <f>VLOOKUP(IZY111,[13]AssetDetails_UEM!$A$3:$AH$1849,6,FALSE)</f>
        <v>Electrosurgical Units, Monopolar/Bipolar</v>
      </c>
      <c r="JAA111" s="179" t="s">
        <v>428</v>
      </c>
      <c r="JAB111" s="180" t="str">
        <f>VLOOKUP(JAA111,[13]AssetDetails_UEM!$A$3:$AH$1849,6,FALSE)</f>
        <v>Electrosurgical Units, Monopolar/Bipolar</v>
      </c>
      <c r="JAC111" s="179" t="s">
        <v>428</v>
      </c>
      <c r="JAD111" s="180" t="str">
        <f>VLOOKUP(JAC111,[13]AssetDetails_UEM!$A$3:$AH$1849,6,FALSE)</f>
        <v>Electrosurgical Units, Monopolar/Bipolar</v>
      </c>
      <c r="JAE111" s="179" t="s">
        <v>428</v>
      </c>
      <c r="JAF111" s="180" t="str">
        <f>VLOOKUP(JAE111,[13]AssetDetails_UEM!$A$3:$AH$1849,6,FALSE)</f>
        <v>Electrosurgical Units, Monopolar/Bipolar</v>
      </c>
      <c r="JAG111" s="179" t="s">
        <v>428</v>
      </c>
      <c r="JAH111" s="180" t="str">
        <f>VLOOKUP(JAG111,[13]AssetDetails_UEM!$A$3:$AH$1849,6,FALSE)</f>
        <v>Electrosurgical Units, Monopolar/Bipolar</v>
      </c>
      <c r="JAI111" s="179" t="s">
        <v>428</v>
      </c>
      <c r="JAJ111" s="180" t="str">
        <f>VLOOKUP(JAI111,[13]AssetDetails_UEM!$A$3:$AH$1849,6,FALSE)</f>
        <v>Electrosurgical Units, Monopolar/Bipolar</v>
      </c>
      <c r="JAK111" s="179" t="s">
        <v>428</v>
      </c>
      <c r="JAL111" s="180" t="str">
        <f>VLOOKUP(JAK111,[13]AssetDetails_UEM!$A$3:$AH$1849,6,FALSE)</f>
        <v>Electrosurgical Units, Monopolar/Bipolar</v>
      </c>
      <c r="JAM111" s="179" t="s">
        <v>428</v>
      </c>
      <c r="JAN111" s="180" t="str">
        <f>VLOOKUP(JAM111,[13]AssetDetails_UEM!$A$3:$AH$1849,6,FALSE)</f>
        <v>Electrosurgical Units, Monopolar/Bipolar</v>
      </c>
      <c r="JAO111" s="179" t="s">
        <v>428</v>
      </c>
      <c r="JAP111" s="180" t="str">
        <f>VLOOKUP(JAO111,[13]AssetDetails_UEM!$A$3:$AH$1849,6,FALSE)</f>
        <v>Electrosurgical Units, Monopolar/Bipolar</v>
      </c>
      <c r="JAQ111" s="179" t="s">
        <v>428</v>
      </c>
      <c r="JAR111" s="180" t="str">
        <f>VLOOKUP(JAQ111,[13]AssetDetails_UEM!$A$3:$AH$1849,6,FALSE)</f>
        <v>Electrosurgical Units, Monopolar/Bipolar</v>
      </c>
      <c r="JAS111" s="179" t="s">
        <v>428</v>
      </c>
      <c r="JAT111" s="180" t="str">
        <f>VLOOKUP(JAS111,[13]AssetDetails_UEM!$A$3:$AH$1849,6,FALSE)</f>
        <v>Electrosurgical Units, Monopolar/Bipolar</v>
      </c>
      <c r="JAU111" s="179" t="s">
        <v>428</v>
      </c>
      <c r="JAV111" s="180" t="str">
        <f>VLOOKUP(JAU111,[13]AssetDetails_UEM!$A$3:$AH$1849,6,FALSE)</f>
        <v>Electrosurgical Units, Monopolar/Bipolar</v>
      </c>
      <c r="JAW111" s="179" t="s">
        <v>428</v>
      </c>
      <c r="JAX111" s="180" t="str">
        <f>VLOOKUP(JAW111,[13]AssetDetails_UEM!$A$3:$AH$1849,6,FALSE)</f>
        <v>Electrosurgical Units, Monopolar/Bipolar</v>
      </c>
      <c r="JAY111" s="179" t="s">
        <v>428</v>
      </c>
      <c r="JAZ111" s="180" t="str">
        <f>VLOOKUP(JAY111,[13]AssetDetails_UEM!$A$3:$AH$1849,6,FALSE)</f>
        <v>Electrosurgical Units, Monopolar/Bipolar</v>
      </c>
      <c r="JBA111" s="179" t="s">
        <v>428</v>
      </c>
      <c r="JBB111" s="180" t="str">
        <f>VLOOKUP(JBA111,[13]AssetDetails_UEM!$A$3:$AH$1849,6,FALSE)</f>
        <v>Electrosurgical Units, Monopolar/Bipolar</v>
      </c>
      <c r="JBC111" s="179" t="s">
        <v>428</v>
      </c>
      <c r="JBD111" s="180" t="str">
        <f>VLOOKUP(JBC111,[13]AssetDetails_UEM!$A$3:$AH$1849,6,FALSE)</f>
        <v>Electrosurgical Units, Monopolar/Bipolar</v>
      </c>
      <c r="JBE111" s="179" t="s">
        <v>428</v>
      </c>
      <c r="JBF111" s="180" t="str">
        <f>VLOOKUP(JBE111,[13]AssetDetails_UEM!$A$3:$AH$1849,6,FALSE)</f>
        <v>Electrosurgical Units, Monopolar/Bipolar</v>
      </c>
      <c r="JBG111" s="179" t="s">
        <v>428</v>
      </c>
      <c r="JBH111" s="180" t="str">
        <f>VLOOKUP(JBG111,[13]AssetDetails_UEM!$A$3:$AH$1849,6,FALSE)</f>
        <v>Electrosurgical Units, Monopolar/Bipolar</v>
      </c>
      <c r="JBI111" s="179" t="s">
        <v>428</v>
      </c>
      <c r="JBJ111" s="180" t="str">
        <f>VLOOKUP(JBI111,[13]AssetDetails_UEM!$A$3:$AH$1849,6,FALSE)</f>
        <v>Electrosurgical Units, Monopolar/Bipolar</v>
      </c>
      <c r="JBK111" s="179" t="s">
        <v>428</v>
      </c>
      <c r="JBL111" s="180" t="str">
        <f>VLOOKUP(JBK111,[13]AssetDetails_UEM!$A$3:$AH$1849,6,FALSE)</f>
        <v>Electrosurgical Units, Monopolar/Bipolar</v>
      </c>
      <c r="JBM111" s="179" t="s">
        <v>428</v>
      </c>
      <c r="JBN111" s="180" t="str">
        <f>VLOOKUP(JBM111,[13]AssetDetails_UEM!$A$3:$AH$1849,6,FALSE)</f>
        <v>Electrosurgical Units, Monopolar/Bipolar</v>
      </c>
      <c r="JBO111" s="179" t="s">
        <v>428</v>
      </c>
      <c r="JBP111" s="180" t="str">
        <f>VLOOKUP(JBO111,[13]AssetDetails_UEM!$A$3:$AH$1849,6,FALSE)</f>
        <v>Electrosurgical Units, Monopolar/Bipolar</v>
      </c>
      <c r="JBQ111" s="179" t="s">
        <v>428</v>
      </c>
      <c r="JBR111" s="180" t="str">
        <f>VLOOKUP(JBQ111,[13]AssetDetails_UEM!$A$3:$AH$1849,6,FALSE)</f>
        <v>Electrosurgical Units, Monopolar/Bipolar</v>
      </c>
      <c r="JBS111" s="179" t="s">
        <v>428</v>
      </c>
      <c r="JBT111" s="180" t="str">
        <f>VLOOKUP(JBS111,[13]AssetDetails_UEM!$A$3:$AH$1849,6,FALSE)</f>
        <v>Electrosurgical Units, Monopolar/Bipolar</v>
      </c>
      <c r="JBU111" s="179" t="s">
        <v>428</v>
      </c>
      <c r="JBV111" s="180" t="str">
        <f>VLOOKUP(JBU111,[13]AssetDetails_UEM!$A$3:$AH$1849,6,FALSE)</f>
        <v>Electrosurgical Units, Monopolar/Bipolar</v>
      </c>
      <c r="JBW111" s="179" t="s">
        <v>428</v>
      </c>
      <c r="JBX111" s="180" t="str">
        <f>VLOOKUP(JBW111,[13]AssetDetails_UEM!$A$3:$AH$1849,6,FALSE)</f>
        <v>Electrosurgical Units, Monopolar/Bipolar</v>
      </c>
      <c r="JBY111" s="179" t="s">
        <v>428</v>
      </c>
      <c r="JBZ111" s="180" t="str">
        <f>VLOOKUP(JBY111,[13]AssetDetails_UEM!$A$3:$AH$1849,6,FALSE)</f>
        <v>Electrosurgical Units, Monopolar/Bipolar</v>
      </c>
      <c r="JCA111" s="179" t="s">
        <v>428</v>
      </c>
      <c r="JCB111" s="180" t="str">
        <f>VLOOKUP(JCA111,[13]AssetDetails_UEM!$A$3:$AH$1849,6,FALSE)</f>
        <v>Electrosurgical Units, Monopolar/Bipolar</v>
      </c>
      <c r="JCC111" s="179" t="s">
        <v>428</v>
      </c>
      <c r="JCD111" s="180" t="str">
        <f>VLOOKUP(JCC111,[13]AssetDetails_UEM!$A$3:$AH$1849,6,FALSE)</f>
        <v>Electrosurgical Units, Monopolar/Bipolar</v>
      </c>
      <c r="JCE111" s="179" t="s">
        <v>428</v>
      </c>
      <c r="JCF111" s="180" t="str">
        <f>VLOOKUP(JCE111,[13]AssetDetails_UEM!$A$3:$AH$1849,6,FALSE)</f>
        <v>Electrosurgical Units, Monopolar/Bipolar</v>
      </c>
      <c r="JCG111" s="179" t="s">
        <v>428</v>
      </c>
      <c r="JCH111" s="180" t="str">
        <f>VLOOKUP(JCG111,[13]AssetDetails_UEM!$A$3:$AH$1849,6,FALSE)</f>
        <v>Electrosurgical Units, Monopolar/Bipolar</v>
      </c>
      <c r="JCI111" s="179" t="s">
        <v>428</v>
      </c>
      <c r="JCJ111" s="180" t="str">
        <f>VLOOKUP(JCI111,[13]AssetDetails_UEM!$A$3:$AH$1849,6,FALSE)</f>
        <v>Electrosurgical Units, Monopolar/Bipolar</v>
      </c>
      <c r="JCK111" s="179" t="s">
        <v>428</v>
      </c>
      <c r="JCL111" s="180" t="str">
        <f>VLOOKUP(JCK111,[13]AssetDetails_UEM!$A$3:$AH$1849,6,FALSE)</f>
        <v>Electrosurgical Units, Monopolar/Bipolar</v>
      </c>
      <c r="JCM111" s="179" t="s">
        <v>428</v>
      </c>
      <c r="JCN111" s="180" t="str">
        <f>VLOOKUP(JCM111,[13]AssetDetails_UEM!$A$3:$AH$1849,6,FALSE)</f>
        <v>Electrosurgical Units, Monopolar/Bipolar</v>
      </c>
      <c r="JCO111" s="179" t="s">
        <v>428</v>
      </c>
      <c r="JCP111" s="180" t="str">
        <f>VLOOKUP(JCO111,[13]AssetDetails_UEM!$A$3:$AH$1849,6,FALSE)</f>
        <v>Electrosurgical Units, Monopolar/Bipolar</v>
      </c>
      <c r="JCQ111" s="179" t="s">
        <v>428</v>
      </c>
      <c r="JCR111" s="180" t="str">
        <f>VLOOKUP(JCQ111,[13]AssetDetails_UEM!$A$3:$AH$1849,6,FALSE)</f>
        <v>Electrosurgical Units, Monopolar/Bipolar</v>
      </c>
      <c r="JCS111" s="179" t="s">
        <v>428</v>
      </c>
      <c r="JCT111" s="180" t="str">
        <f>VLOOKUP(JCS111,[13]AssetDetails_UEM!$A$3:$AH$1849,6,FALSE)</f>
        <v>Electrosurgical Units, Monopolar/Bipolar</v>
      </c>
      <c r="JCU111" s="179" t="s">
        <v>428</v>
      </c>
      <c r="JCV111" s="180" t="str">
        <f>VLOOKUP(JCU111,[13]AssetDetails_UEM!$A$3:$AH$1849,6,FALSE)</f>
        <v>Electrosurgical Units, Monopolar/Bipolar</v>
      </c>
      <c r="JCW111" s="179" t="s">
        <v>428</v>
      </c>
      <c r="JCX111" s="180" t="str">
        <f>VLOOKUP(JCW111,[13]AssetDetails_UEM!$A$3:$AH$1849,6,FALSE)</f>
        <v>Electrosurgical Units, Monopolar/Bipolar</v>
      </c>
      <c r="JCY111" s="179" t="s">
        <v>428</v>
      </c>
      <c r="JCZ111" s="180" t="str">
        <f>VLOOKUP(JCY111,[13]AssetDetails_UEM!$A$3:$AH$1849,6,FALSE)</f>
        <v>Electrosurgical Units, Monopolar/Bipolar</v>
      </c>
      <c r="JDA111" s="179" t="s">
        <v>428</v>
      </c>
      <c r="JDB111" s="180" t="str">
        <f>VLOOKUP(JDA111,[13]AssetDetails_UEM!$A$3:$AH$1849,6,FALSE)</f>
        <v>Electrosurgical Units, Monopolar/Bipolar</v>
      </c>
      <c r="JDC111" s="179" t="s">
        <v>428</v>
      </c>
      <c r="JDD111" s="180" t="str">
        <f>VLOOKUP(JDC111,[13]AssetDetails_UEM!$A$3:$AH$1849,6,FALSE)</f>
        <v>Electrosurgical Units, Monopolar/Bipolar</v>
      </c>
      <c r="JDE111" s="179" t="s">
        <v>428</v>
      </c>
      <c r="JDF111" s="180" t="str">
        <f>VLOOKUP(JDE111,[13]AssetDetails_UEM!$A$3:$AH$1849,6,FALSE)</f>
        <v>Electrosurgical Units, Monopolar/Bipolar</v>
      </c>
      <c r="JDG111" s="179" t="s">
        <v>428</v>
      </c>
      <c r="JDH111" s="180" t="str">
        <f>VLOOKUP(JDG111,[13]AssetDetails_UEM!$A$3:$AH$1849,6,FALSE)</f>
        <v>Electrosurgical Units, Monopolar/Bipolar</v>
      </c>
      <c r="JDI111" s="179" t="s">
        <v>428</v>
      </c>
      <c r="JDJ111" s="180" t="str">
        <f>VLOOKUP(JDI111,[13]AssetDetails_UEM!$A$3:$AH$1849,6,FALSE)</f>
        <v>Electrosurgical Units, Monopolar/Bipolar</v>
      </c>
      <c r="JDK111" s="179" t="s">
        <v>428</v>
      </c>
      <c r="JDL111" s="180" t="str">
        <f>VLOOKUP(JDK111,[13]AssetDetails_UEM!$A$3:$AH$1849,6,FALSE)</f>
        <v>Electrosurgical Units, Monopolar/Bipolar</v>
      </c>
      <c r="JDM111" s="179" t="s">
        <v>428</v>
      </c>
      <c r="JDN111" s="180" t="str">
        <f>VLOOKUP(JDM111,[13]AssetDetails_UEM!$A$3:$AH$1849,6,FALSE)</f>
        <v>Electrosurgical Units, Monopolar/Bipolar</v>
      </c>
      <c r="JDO111" s="179" t="s">
        <v>428</v>
      </c>
      <c r="JDP111" s="180" t="str">
        <f>VLOOKUP(JDO111,[13]AssetDetails_UEM!$A$3:$AH$1849,6,FALSE)</f>
        <v>Electrosurgical Units, Monopolar/Bipolar</v>
      </c>
      <c r="JDQ111" s="179" t="s">
        <v>428</v>
      </c>
      <c r="JDR111" s="180" t="str">
        <f>VLOOKUP(JDQ111,[13]AssetDetails_UEM!$A$3:$AH$1849,6,FALSE)</f>
        <v>Electrosurgical Units, Monopolar/Bipolar</v>
      </c>
      <c r="JDS111" s="179" t="s">
        <v>428</v>
      </c>
      <c r="JDT111" s="180" t="str">
        <f>VLOOKUP(JDS111,[13]AssetDetails_UEM!$A$3:$AH$1849,6,FALSE)</f>
        <v>Electrosurgical Units, Monopolar/Bipolar</v>
      </c>
      <c r="JDU111" s="179" t="s">
        <v>428</v>
      </c>
      <c r="JDV111" s="180" t="str">
        <f>VLOOKUP(JDU111,[13]AssetDetails_UEM!$A$3:$AH$1849,6,FALSE)</f>
        <v>Electrosurgical Units, Monopolar/Bipolar</v>
      </c>
      <c r="JDW111" s="179" t="s">
        <v>428</v>
      </c>
      <c r="JDX111" s="180" t="str">
        <f>VLOOKUP(JDW111,[13]AssetDetails_UEM!$A$3:$AH$1849,6,FALSE)</f>
        <v>Electrosurgical Units, Monopolar/Bipolar</v>
      </c>
      <c r="JDY111" s="179" t="s">
        <v>428</v>
      </c>
      <c r="JDZ111" s="180" t="str">
        <f>VLOOKUP(JDY111,[13]AssetDetails_UEM!$A$3:$AH$1849,6,FALSE)</f>
        <v>Electrosurgical Units, Monopolar/Bipolar</v>
      </c>
      <c r="JEA111" s="179" t="s">
        <v>428</v>
      </c>
      <c r="JEB111" s="180" t="str">
        <f>VLOOKUP(JEA111,[13]AssetDetails_UEM!$A$3:$AH$1849,6,FALSE)</f>
        <v>Electrosurgical Units, Monopolar/Bipolar</v>
      </c>
      <c r="JEC111" s="179" t="s">
        <v>428</v>
      </c>
      <c r="JED111" s="180" t="str">
        <f>VLOOKUP(JEC111,[13]AssetDetails_UEM!$A$3:$AH$1849,6,FALSE)</f>
        <v>Electrosurgical Units, Monopolar/Bipolar</v>
      </c>
      <c r="JEE111" s="179" t="s">
        <v>428</v>
      </c>
      <c r="JEF111" s="180" t="str">
        <f>VLOOKUP(JEE111,[13]AssetDetails_UEM!$A$3:$AH$1849,6,FALSE)</f>
        <v>Electrosurgical Units, Monopolar/Bipolar</v>
      </c>
      <c r="JEG111" s="179" t="s">
        <v>428</v>
      </c>
      <c r="JEH111" s="180" t="str">
        <f>VLOOKUP(JEG111,[13]AssetDetails_UEM!$A$3:$AH$1849,6,FALSE)</f>
        <v>Electrosurgical Units, Monopolar/Bipolar</v>
      </c>
      <c r="JEI111" s="179" t="s">
        <v>428</v>
      </c>
      <c r="JEJ111" s="180" t="str">
        <f>VLOOKUP(JEI111,[13]AssetDetails_UEM!$A$3:$AH$1849,6,FALSE)</f>
        <v>Electrosurgical Units, Monopolar/Bipolar</v>
      </c>
      <c r="JEK111" s="179" t="s">
        <v>428</v>
      </c>
      <c r="JEL111" s="180" t="str">
        <f>VLOOKUP(JEK111,[13]AssetDetails_UEM!$A$3:$AH$1849,6,FALSE)</f>
        <v>Electrosurgical Units, Monopolar/Bipolar</v>
      </c>
      <c r="JEM111" s="179" t="s">
        <v>428</v>
      </c>
      <c r="JEN111" s="180" t="str">
        <f>VLOOKUP(JEM111,[13]AssetDetails_UEM!$A$3:$AH$1849,6,FALSE)</f>
        <v>Electrosurgical Units, Monopolar/Bipolar</v>
      </c>
      <c r="JEO111" s="179" t="s">
        <v>428</v>
      </c>
      <c r="JEP111" s="180" t="str">
        <f>VLOOKUP(JEO111,[13]AssetDetails_UEM!$A$3:$AH$1849,6,FALSE)</f>
        <v>Electrosurgical Units, Monopolar/Bipolar</v>
      </c>
      <c r="JEQ111" s="179" t="s">
        <v>428</v>
      </c>
      <c r="JER111" s="180" t="str">
        <f>VLOOKUP(JEQ111,[13]AssetDetails_UEM!$A$3:$AH$1849,6,FALSE)</f>
        <v>Electrosurgical Units, Monopolar/Bipolar</v>
      </c>
      <c r="JES111" s="179" t="s">
        <v>428</v>
      </c>
      <c r="JET111" s="180" t="str">
        <f>VLOOKUP(JES111,[13]AssetDetails_UEM!$A$3:$AH$1849,6,FALSE)</f>
        <v>Electrosurgical Units, Monopolar/Bipolar</v>
      </c>
      <c r="JEU111" s="179" t="s">
        <v>428</v>
      </c>
      <c r="JEV111" s="180" t="str">
        <f>VLOOKUP(JEU111,[13]AssetDetails_UEM!$A$3:$AH$1849,6,FALSE)</f>
        <v>Electrosurgical Units, Monopolar/Bipolar</v>
      </c>
      <c r="JEW111" s="179" t="s">
        <v>428</v>
      </c>
      <c r="JEX111" s="180" t="str">
        <f>VLOOKUP(JEW111,[13]AssetDetails_UEM!$A$3:$AH$1849,6,FALSE)</f>
        <v>Electrosurgical Units, Monopolar/Bipolar</v>
      </c>
      <c r="JEY111" s="179" t="s">
        <v>428</v>
      </c>
      <c r="JEZ111" s="180" t="str">
        <f>VLOOKUP(JEY111,[13]AssetDetails_UEM!$A$3:$AH$1849,6,FALSE)</f>
        <v>Electrosurgical Units, Monopolar/Bipolar</v>
      </c>
      <c r="JFA111" s="179" t="s">
        <v>428</v>
      </c>
      <c r="JFB111" s="180" t="str">
        <f>VLOOKUP(JFA111,[13]AssetDetails_UEM!$A$3:$AH$1849,6,FALSE)</f>
        <v>Electrosurgical Units, Monopolar/Bipolar</v>
      </c>
      <c r="JFC111" s="179" t="s">
        <v>428</v>
      </c>
      <c r="JFD111" s="180" t="str">
        <f>VLOOKUP(JFC111,[13]AssetDetails_UEM!$A$3:$AH$1849,6,FALSE)</f>
        <v>Electrosurgical Units, Monopolar/Bipolar</v>
      </c>
      <c r="JFE111" s="179" t="s">
        <v>428</v>
      </c>
      <c r="JFF111" s="180" t="str">
        <f>VLOOKUP(JFE111,[13]AssetDetails_UEM!$A$3:$AH$1849,6,FALSE)</f>
        <v>Electrosurgical Units, Monopolar/Bipolar</v>
      </c>
      <c r="JFG111" s="179" t="s">
        <v>428</v>
      </c>
      <c r="JFH111" s="180" t="str">
        <f>VLOOKUP(JFG111,[13]AssetDetails_UEM!$A$3:$AH$1849,6,FALSE)</f>
        <v>Electrosurgical Units, Monopolar/Bipolar</v>
      </c>
      <c r="JFI111" s="179" t="s">
        <v>428</v>
      </c>
      <c r="JFJ111" s="180" t="str">
        <f>VLOOKUP(JFI111,[13]AssetDetails_UEM!$A$3:$AH$1849,6,FALSE)</f>
        <v>Electrosurgical Units, Monopolar/Bipolar</v>
      </c>
      <c r="JFK111" s="179" t="s">
        <v>428</v>
      </c>
      <c r="JFL111" s="180" t="str">
        <f>VLOOKUP(JFK111,[13]AssetDetails_UEM!$A$3:$AH$1849,6,FALSE)</f>
        <v>Electrosurgical Units, Monopolar/Bipolar</v>
      </c>
      <c r="JFM111" s="179" t="s">
        <v>428</v>
      </c>
      <c r="JFN111" s="180" t="str">
        <f>VLOOKUP(JFM111,[13]AssetDetails_UEM!$A$3:$AH$1849,6,FALSE)</f>
        <v>Electrosurgical Units, Monopolar/Bipolar</v>
      </c>
      <c r="JFO111" s="179" t="s">
        <v>428</v>
      </c>
      <c r="JFP111" s="180" t="str">
        <f>VLOOKUP(JFO111,[13]AssetDetails_UEM!$A$3:$AH$1849,6,FALSE)</f>
        <v>Electrosurgical Units, Monopolar/Bipolar</v>
      </c>
      <c r="JFQ111" s="179" t="s">
        <v>428</v>
      </c>
      <c r="JFR111" s="180" t="str">
        <f>VLOOKUP(JFQ111,[13]AssetDetails_UEM!$A$3:$AH$1849,6,FALSE)</f>
        <v>Electrosurgical Units, Monopolar/Bipolar</v>
      </c>
      <c r="JFS111" s="179" t="s">
        <v>428</v>
      </c>
      <c r="JFT111" s="180" t="str">
        <f>VLOOKUP(JFS111,[13]AssetDetails_UEM!$A$3:$AH$1849,6,FALSE)</f>
        <v>Electrosurgical Units, Monopolar/Bipolar</v>
      </c>
      <c r="JFU111" s="179" t="s">
        <v>428</v>
      </c>
      <c r="JFV111" s="180" t="str">
        <f>VLOOKUP(JFU111,[13]AssetDetails_UEM!$A$3:$AH$1849,6,FALSE)</f>
        <v>Electrosurgical Units, Monopolar/Bipolar</v>
      </c>
      <c r="JFW111" s="179" t="s">
        <v>428</v>
      </c>
      <c r="JFX111" s="180" t="str">
        <f>VLOOKUP(JFW111,[13]AssetDetails_UEM!$A$3:$AH$1849,6,FALSE)</f>
        <v>Electrosurgical Units, Monopolar/Bipolar</v>
      </c>
      <c r="JFY111" s="179" t="s">
        <v>428</v>
      </c>
      <c r="JFZ111" s="180" t="str">
        <f>VLOOKUP(JFY111,[13]AssetDetails_UEM!$A$3:$AH$1849,6,FALSE)</f>
        <v>Electrosurgical Units, Monopolar/Bipolar</v>
      </c>
      <c r="JGA111" s="179" t="s">
        <v>428</v>
      </c>
      <c r="JGB111" s="180" t="str">
        <f>VLOOKUP(JGA111,[13]AssetDetails_UEM!$A$3:$AH$1849,6,FALSE)</f>
        <v>Electrosurgical Units, Monopolar/Bipolar</v>
      </c>
      <c r="JGC111" s="179" t="s">
        <v>428</v>
      </c>
      <c r="JGD111" s="180" t="str">
        <f>VLOOKUP(JGC111,[13]AssetDetails_UEM!$A$3:$AH$1849,6,FALSE)</f>
        <v>Electrosurgical Units, Monopolar/Bipolar</v>
      </c>
      <c r="JGE111" s="179" t="s">
        <v>428</v>
      </c>
      <c r="JGF111" s="180" t="str">
        <f>VLOOKUP(JGE111,[13]AssetDetails_UEM!$A$3:$AH$1849,6,FALSE)</f>
        <v>Electrosurgical Units, Monopolar/Bipolar</v>
      </c>
      <c r="JGG111" s="179" t="s">
        <v>428</v>
      </c>
      <c r="JGH111" s="180" t="str">
        <f>VLOOKUP(JGG111,[13]AssetDetails_UEM!$A$3:$AH$1849,6,FALSE)</f>
        <v>Electrosurgical Units, Monopolar/Bipolar</v>
      </c>
      <c r="JGI111" s="179" t="s">
        <v>428</v>
      </c>
      <c r="JGJ111" s="180" t="str">
        <f>VLOOKUP(JGI111,[13]AssetDetails_UEM!$A$3:$AH$1849,6,FALSE)</f>
        <v>Electrosurgical Units, Monopolar/Bipolar</v>
      </c>
      <c r="JGK111" s="179" t="s">
        <v>428</v>
      </c>
      <c r="JGL111" s="180" t="str">
        <f>VLOOKUP(JGK111,[13]AssetDetails_UEM!$A$3:$AH$1849,6,FALSE)</f>
        <v>Electrosurgical Units, Monopolar/Bipolar</v>
      </c>
      <c r="JGM111" s="179" t="s">
        <v>428</v>
      </c>
      <c r="JGN111" s="180" t="str">
        <f>VLOOKUP(JGM111,[13]AssetDetails_UEM!$A$3:$AH$1849,6,FALSE)</f>
        <v>Electrosurgical Units, Monopolar/Bipolar</v>
      </c>
      <c r="JGO111" s="179" t="s">
        <v>428</v>
      </c>
      <c r="JGP111" s="180" t="str">
        <f>VLOOKUP(JGO111,[13]AssetDetails_UEM!$A$3:$AH$1849,6,FALSE)</f>
        <v>Electrosurgical Units, Monopolar/Bipolar</v>
      </c>
      <c r="JGQ111" s="179" t="s">
        <v>428</v>
      </c>
      <c r="JGR111" s="180" t="str">
        <f>VLOOKUP(JGQ111,[13]AssetDetails_UEM!$A$3:$AH$1849,6,FALSE)</f>
        <v>Electrosurgical Units, Monopolar/Bipolar</v>
      </c>
      <c r="JGS111" s="179" t="s">
        <v>428</v>
      </c>
      <c r="JGT111" s="180" t="str">
        <f>VLOOKUP(JGS111,[13]AssetDetails_UEM!$A$3:$AH$1849,6,FALSE)</f>
        <v>Electrosurgical Units, Monopolar/Bipolar</v>
      </c>
      <c r="JGU111" s="179" t="s">
        <v>428</v>
      </c>
      <c r="JGV111" s="180" t="str">
        <f>VLOOKUP(JGU111,[13]AssetDetails_UEM!$A$3:$AH$1849,6,FALSE)</f>
        <v>Electrosurgical Units, Monopolar/Bipolar</v>
      </c>
      <c r="JGW111" s="179" t="s">
        <v>428</v>
      </c>
      <c r="JGX111" s="180" t="str">
        <f>VLOOKUP(JGW111,[13]AssetDetails_UEM!$A$3:$AH$1849,6,FALSE)</f>
        <v>Electrosurgical Units, Monopolar/Bipolar</v>
      </c>
      <c r="JGY111" s="179" t="s">
        <v>428</v>
      </c>
      <c r="JGZ111" s="180" t="str">
        <f>VLOOKUP(JGY111,[13]AssetDetails_UEM!$A$3:$AH$1849,6,FALSE)</f>
        <v>Electrosurgical Units, Monopolar/Bipolar</v>
      </c>
      <c r="JHA111" s="179" t="s">
        <v>428</v>
      </c>
      <c r="JHB111" s="180" t="str">
        <f>VLOOKUP(JHA111,[13]AssetDetails_UEM!$A$3:$AH$1849,6,FALSE)</f>
        <v>Electrosurgical Units, Monopolar/Bipolar</v>
      </c>
      <c r="JHC111" s="179" t="s">
        <v>428</v>
      </c>
      <c r="JHD111" s="180" t="str">
        <f>VLOOKUP(JHC111,[13]AssetDetails_UEM!$A$3:$AH$1849,6,FALSE)</f>
        <v>Electrosurgical Units, Monopolar/Bipolar</v>
      </c>
      <c r="JHE111" s="179" t="s">
        <v>428</v>
      </c>
      <c r="JHF111" s="180" t="str">
        <f>VLOOKUP(JHE111,[13]AssetDetails_UEM!$A$3:$AH$1849,6,FALSE)</f>
        <v>Electrosurgical Units, Monopolar/Bipolar</v>
      </c>
      <c r="JHG111" s="179" t="s">
        <v>428</v>
      </c>
      <c r="JHH111" s="180" t="str">
        <f>VLOOKUP(JHG111,[13]AssetDetails_UEM!$A$3:$AH$1849,6,FALSE)</f>
        <v>Electrosurgical Units, Monopolar/Bipolar</v>
      </c>
      <c r="JHI111" s="179" t="s">
        <v>428</v>
      </c>
      <c r="JHJ111" s="180" t="str">
        <f>VLOOKUP(JHI111,[13]AssetDetails_UEM!$A$3:$AH$1849,6,FALSE)</f>
        <v>Electrosurgical Units, Monopolar/Bipolar</v>
      </c>
      <c r="JHK111" s="179" t="s">
        <v>428</v>
      </c>
      <c r="JHL111" s="180" t="str">
        <f>VLOOKUP(JHK111,[13]AssetDetails_UEM!$A$3:$AH$1849,6,FALSE)</f>
        <v>Electrosurgical Units, Monopolar/Bipolar</v>
      </c>
      <c r="JHM111" s="179" t="s">
        <v>428</v>
      </c>
      <c r="JHN111" s="180" t="str">
        <f>VLOOKUP(JHM111,[13]AssetDetails_UEM!$A$3:$AH$1849,6,FALSE)</f>
        <v>Electrosurgical Units, Monopolar/Bipolar</v>
      </c>
      <c r="JHO111" s="179" t="s">
        <v>428</v>
      </c>
      <c r="JHP111" s="180" t="str">
        <f>VLOOKUP(JHO111,[13]AssetDetails_UEM!$A$3:$AH$1849,6,FALSE)</f>
        <v>Electrosurgical Units, Monopolar/Bipolar</v>
      </c>
      <c r="JHQ111" s="179" t="s">
        <v>428</v>
      </c>
      <c r="JHR111" s="180" t="str">
        <f>VLOOKUP(JHQ111,[13]AssetDetails_UEM!$A$3:$AH$1849,6,FALSE)</f>
        <v>Electrosurgical Units, Monopolar/Bipolar</v>
      </c>
      <c r="JHS111" s="179" t="s">
        <v>428</v>
      </c>
      <c r="JHT111" s="180" t="str">
        <f>VLOOKUP(JHS111,[13]AssetDetails_UEM!$A$3:$AH$1849,6,FALSE)</f>
        <v>Electrosurgical Units, Monopolar/Bipolar</v>
      </c>
      <c r="JHU111" s="179" t="s">
        <v>428</v>
      </c>
      <c r="JHV111" s="180" t="str">
        <f>VLOOKUP(JHU111,[13]AssetDetails_UEM!$A$3:$AH$1849,6,FALSE)</f>
        <v>Electrosurgical Units, Monopolar/Bipolar</v>
      </c>
      <c r="JHW111" s="179" t="s">
        <v>428</v>
      </c>
      <c r="JHX111" s="180" t="str">
        <f>VLOOKUP(JHW111,[13]AssetDetails_UEM!$A$3:$AH$1849,6,FALSE)</f>
        <v>Electrosurgical Units, Monopolar/Bipolar</v>
      </c>
      <c r="JHY111" s="179" t="s">
        <v>428</v>
      </c>
      <c r="JHZ111" s="180" t="str">
        <f>VLOOKUP(JHY111,[13]AssetDetails_UEM!$A$3:$AH$1849,6,FALSE)</f>
        <v>Electrosurgical Units, Monopolar/Bipolar</v>
      </c>
      <c r="JIA111" s="179" t="s">
        <v>428</v>
      </c>
      <c r="JIB111" s="180" t="str">
        <f>VLOOKUP(JIA111,[13]AssetDetails_UEM!$A$3:$AH$1849,6,FALSE)</f>
        <v>Electrosurgical Units, Monopolar/Bipolar</v>
      </c>
      <c r="JIC111" s="179" t="s">
        <v>428</v>
      </c>
      <c r="JID111" s="180" t="str">
        <f>VLOOKUP(JIC111,[13]AssetDetails_UEM!$A$3:$AH$1849,6,FALSE)</f>
        <v>Electrosurgical Units, Monopolar/Bipolar</v>
      </c>
      <c r="JIE111" s="179" t="s">
        <v>428</v>
      </c>
      <c r="JIF111" s="180" t="str">
        <f>VLOOKUP(JIE111,[13]AssetDetails_UEM!$A$3:$AH$1849,6,FALSE)</f>
        <v>Electrosurgical Units, Monopolar/Bipolar</v>
      </c>
      <c r="JIG111" s="179" t="s">
        <v>428</v>
      </c>
      <c r="JIH111" s="180" t="str">
        <f>VLOOKUP(JIG111,[13]AssetDetails_UEM!$A$3:$AH$1849,6,FALSE)</f>
        <v>Electrosurgical Units, Monopolar/Bipolar</v>
      </c>
      <c r="JII111" s="179" t="s">
        <v>428</v>
      </c>
      <c r="JIJ111" s="180" t="str">
        <f>VLOOKUP(JII111,[13]AssetDetails_UEM!$A$3:$AH$1849,6,FALSE)</f>
        <v>Electrosurgical Units, Monopolar/Bipolar</v>
      </c>
      <c r="JIK111" s="179" t="s">
        <v>428</v>
      </c>
      <c r="JIL111" s="180" t="str">
        <f>VLOOKUP(JIK111,[13]AssetDetails_UEM!$A$3:$AH$1849,6,FALSE)</f>
        <v>Electrosurgical Units, Monopolar/Bipolar</v>
      </c>
      <c r="JIM111" s="179" t="s">
        <v>428</v>
      </c>
      <c r="JIN111" s="180" t="str">
        <f>VLOOKUP(JIM111,[13]AssetDetails_UEM!$A$3:$AH$1849,6,FALSE)</f>
        <v>Electrosurgical Units, Monopolar/Bipolar</v>
      </c>
      <c r="JIO111" s="179" t="s">
        <v>428</v>
      </c>
      <c r="JIP111" s="180" t="str">
        <f>VLOOKUP(JIO111,[13]AssetDetails_UEM!$A$3:$AH$1849,6,FALSE)</f>
        <v>Electrosurgical Units, Monopolar/Bipolar</v>
      </c>
      <c r="JIQ111" s="179" t="s">
        <v>428</v>
      </c>
      <c r="JIR111" s="180" t="str">
        <f>VLOOKUP(JIQ111,[13]AssetDetails_UEM!$A$3:$AH$1849,6,FALSE)</f>
        <v>Electrosurgical Units, Monopolar/Bipolar</v>
      </c>
      <c r="JIS111" s="179" t="s">
        <v>428</v>
      </c>
      <c r="JIT111" s="180" t="str">
        <f>VLOOKUP(JIS111,[13]AssetDetails_UEM!$A$3:$AH$1849,6,FALSE)</f>
        <v>Electrosurgical Units, Monopolar/Bipolar</v>
      </c>
      <c r="JIU111" s="179" t="s">
        <v>428</v>
      </c>
      <c r="JIV111" s="180" t="str">
        <f>VLOOKUP(JIU111,[13]AssetDetails_UEM!$A$3:$AH$1849,6,FALSE)</f>
        <v>Electrosurgical Units, Monopolar/Bipolar</v>
      </c>
      <c r="JIW111" s="179" t="s">
        <v>428</v>
      </c>
      <c r="JIX111" s="180" t="str">
        <f>VLOOKUP(JIW111,[13]AssetDetails_UEM!$A$3:$AH$1849,6,FALSE)</f>
        <v>Electrosurgical Units, Monopolar/Bipolar</v>
      </c>
      <c r="JIY111" s="179" t="s">
        <v>428</v>
      </c>
      <c r="JIZ111" s="180" t="str">
        <f>VLOOKUP(JIY111,[13]AssetDetails_UEM!$A$3:$AH$1849,6,FALSE)</f>
        <v>Electrosurgical Units, Monopolar/Bipolar</v>
      </c>
      <c r="JJA111" s="179" t="s">
        <v>428</v>
      </c>
      <c r="JJB111" s="180" t="str">
        <f>VLOOKUP(JJA111,[13]AssetDetails_UEM!$A$3:$AH$1849,6,FALSE)</f>
        <v>Electrosurgical Units, Monopolar/Bipolar</v>
      </c>
      <c r="JJC111" s="179" t="s">
        <v>428</v>
      </c>
      <c r="JJD111" s="180" t="str">
        <f>VLOOKUP(JJC111,[13]AssetDetails_UEM!$A$3:$AH$1849,6,FALSE)</f>
        <v>Electrosurgical Units, Monopolar/Bipolar</v>
      </c>
      <c r="JJE111" s="179" t="s">
        <v>428</v>
      </c>
      <c r="JJF111" s="180" t="str">
        <f>VLOOKUP(JJE111,[13]AssetDetails_UEM!$A$3:$AH$1849,6,FALSE)</f>
        <v>Electrosurgical Units, Monopolar/Bipolar</v>
      </c>
      <c r="JJG111" s="179" t="s">
        <v>428</v>
      </c>
      <c r="JJH111" s="180" t="str">
        <f>VLOOKUP(JJG111,[13]AssetDetails_UEM!$A$3:$AH$1849,6,FALSE)</f>
        <v>Electrosurgical Units, Monopolar/Bipolar</v>
      </c>
      <c r="JJI111" s="179" t="s">
        <v>428</v>
      </c>
      <c r="JJJ111" s="180" t="str">
        <f>VLOOKUP(JJI111,[13]AssetDetails_UEM!$A$3:$AH$1849,6,FALSE)</f>
        <v>Electrosurgical Units, Monopolar/Bipolar</v>
      </c>
      <c r="JJK111" s="179" t="s">
        <v>428</v>
      </c>
      <c r="JJL111" s="180" t="str">
        <f>VLOOKUP(JJK111,[13]AssetDetails_UEM!$A$3:$AH$1849,6,FALSE)</f>
        <v>Electrosurgical Units, Monopolar/Bipolar</v>
      </c>
      <c r="JJM111" s="179" t="s">
        <v>428</v>
      </c>
      <c r="JJN111" s="180" t="str">
        <f>VLOOKUP(JJM111,[13]AssetDetails_UEM!$A$3:$AH$1849,6,FALSE)</f>
        <v>Electrosurgical Units, Monopolar/Bipolar</v>
      </c>
      <c r="JJO111" s="179" t="s">
        <v>428</v>
      </c>
      <c r="JJP111" s="180" t="str">
        <f>VLOOKUP(JJO111,[13]AssetDetails_UEM!$A$3:$AH$1849,6,FALSE)</f>
        <v>Electrosurgical Units, Monopolar/Bipolar</v>
      </c>
      <c r="JJQ111" s="179" t="s">
        <v>428</v>
      </c>
      <c r="JJR111" s="180" t="str">
        <f>VLOOKUP(JJQ111,[13]AssetDetails_UEM!$A$3:$AH$1849,6,FALSE)</f>
        <v>Electrosurgical Units, Monopolar/Bipolar</v>
      </c>
      <c r="JJS111" s="179" t="s">
        <v>428</v>
      </c>
      <c r="JJT111" s="180" t="str">
        <f>VLOOKUP(JJS111,[13]AssetDetails_UEM!$A$3:$AH$1849,6,FALSE)</f>
        <v>Electrosurgical Units, Monopolar/Bipolar</v>
      </c>
      <c r="JJU111" s="179" t="s">
        <v>428</v>
      </c>
      <c r="JJV111" s="180" t="str">
        <f>VLOOKUP(JJU111,[13]AssetDetails_UEM!$A$3:$AH$1849,6,FALSE)</f>
        <v>Electrosurgical Units, Monopolar/Bipolar</v>
      </c>
      <c r="JJW111" s="179" t="s">
        <v>428</v>
      </c>
      <c r="JJX111" s="180" t="str">
        <f>VLOOKUP(JJW111,[13]AssetDetails_UEM!$A$3:$AH$1849,6,FALSE)</f>
        <v>Electrosurgical Units, Monopolar/Bipolar</v>
      </c>
      <c r="JJY111" s="179" t="s">
        <v>428</v>
      </c>
      <c r="JJZ111" s="180" t="str">
        <f>VLOOKUP(JJY111,[13]AssetDetails_UEM!$A$3:$AH$1849,6,FALSE)</f>
        <v>Electrosurgical Units, Monopolar/Bipolar</v>
      </c>
      <c r="JKA111" s="179" t="s">
        <v>428</v>
      </c>
      <c r="JKB111" s="180" t="str">
        <f>VLOOKUP(JKA111,[13]AssetDetails_UEM!$A$3:$AH$1849,6,FALSE)</f>
        <v>Electrosurgical Units, Monopolar/Bipolar</v>
      </c>
      <c r="JKC111" s="179" t="s">
        <v>428</v>
      </c>
      <c r="JKD111" s="180" t="str">
        <f>VLOOKUP(JKC111,[13]AssetDetails_UEM!$A$3:$AH$1849,6,FALSE)</f>
        <v>Electrosurgical Units, Monopolar/Bipolar</v>
      </c>
      <c r="JKE111" s="179" t="s">
        <v>428</v>
      </c>
      <c r="JKF111" s="180" t="str">
        <f>VLOOKUP(JKE111,[13]AssetDetails_UEM!$A$3:$AH$1849,6,FALSE)</f>
        <v>Electrosurgical Units, Monopolar/Bipolar</v>
      </c>
      <c r="JKG111" s="179" t="s">
        <v>428</v>
      </c>
      <c r="JKH111" s="180" t="str">
        <f>VLOOKUP(JKG111,[13]AssetDetails_UEM!$A$3:$AH$1849,6,FALSE)</f>
        <v>Electrosurgical Units, Monopolar/Bipolar</v>
      </c>
      <c r="JKI111" s="179" t="s">
        <v>428</v>
      </c>
      <c r="JKJ111" s="180" t="str">
        <f>VLOOKUP(JKI111,[13]AssetDetails_UEM!$A$3:$AH$1849,6,FALSE)</f>
        <v>Electrosurgical Units, Monopolar/Bipolar</v>
      </c>
      <c r="JKK111" s="179" t="s">
        <v>428</v>
      </c>
      <c r="JKL111" s="180" t="str">
        <f>VLOOKUP(JKK111,[13]AssetDetails_UEM!$A$3:$AH$1849,6,FALSE)</f>
        <v>Electrosurgical Units, Monopolar/Bipolar</v>
      </c>
      <c r="JKM111" s="179" t="s">
        <v>428</v>
      </c>
      <c r="JKN111" s="180" t="str">
        <f>VLOOKUP(JKM111,[13]AssetDetails_UEM!$A$3:$AH$1849,6,FALSE)</f>
        <v>Electrosurgical Units, Monopolar/Bipolar</v>
      </c>
      <c r="JKO111" s="179" t="s">
        <v>428</v>
      </c>
      <c r="JKP111" s="180" t="str">
        <f>VLOOKUP(JKO111,[13]AssetDetails_UEM!$A$3:$AH$1849,6,FALSE)</f>
        <v>Electrosurgical Units, Monopolar/Bipolar</v>
      </c>
      <c r="JKQ111" s="179" t="s">
        <v>428</v>
      </c>
      <c r="JKR111" s="180" t="str">
        <f>VLOOKUP(JKQ111,[13]AssetDetails_UEM!$A$3:$AH$1849,6,FALSE)</f>
        <v>Electrosurgical Units, Monopolar/Bipolar</v>
      </c>
      <c r="JKS111" s="179" t="s">
        <v>428</v>
      </c>
      <c r="JKT111" s="180" t="str">
        <f>VLOOKUP(JKS111,[13]AssetDetails_UEM!$A$3:$AH$1849,6,FALSE)</f>
        <v>Electrosurgical Units, Monopolar/Bipolar</v>
      </c>
      <c r="JKU111" s="179" t="s">
        <v>428</v>
      </c>
      <c r="JKV111" s="180" t="str">
        <f>VLOOKUP(JKU111,[13]AssetDetails_UEM!$A$3:$AH$1849,6,FALSE)</f>
        <v>Electrosurgical Units, Monopolar/Bipolar</v>
      </c>
      <c r="JKW111" s="179" t="s">
        <v>428</v>
      </c>
      <c r="JKX111" s="180" t="str">
        <f>VLOOKUP(JKW111,[13]AssetDetails_UEM!$A$3:$AH$1849,6,FALSE)</f>
        <v>Electrosurgical Units, Monopolar/Bipolar</v>
      </c>
      <c r="JKY111" s="179" t="s">
        <v>428</v>
      </c>
      <c r="JKZ111" s="180" t="str">
        <f>VLOOKUP(JKY111,[13]AssetDetails_UEM!$A$3:$AH$1849,6,FALSE)</f>
        <v>Electrosurgical Units, Monopolar/Bipolar</v>
      </c>
      <c r="JLA111" s="179" t="s">
        <v>428</v>
      </c>
      <c r="JLB111" s="180" t="str">
        <f>VLOOKUP(JLA111,[13]AssetDetails_UEM!$A$3:$AH$1849,6,FALSE)</f>
        <v>Electrosurgical Units, Monopolar/Bipolar</v>
      </c>
      <c r="JLC111" s="179" t="s">
        <v>428</v>
      </c>
      <c r="JLD111" s="180" t="str">
        <f>VLOOKUP(JLC111,[13]AssetDetails_UEM!$A$3:$AH$1849,6,FALSE)</f>
        <v>Electrosurgical Units, Monopolar/Bipolar</v>
      </c>
      <c r="JLE111" s="179" t="s">
        <v>428</v>
      </c>
      <c r="JLF111" s="180" t="str">
        <f>VLOOKUP(JLE111,[13]AssetDetails_UEM!$A$3:$AH$1849,6,FALSE)</f>
        <v>Electrosurgical Units, Monopolar/Bipolar</v>
      </c>
      <c r="JLG111" s="179" t="s">
        <v>428</v>
      </c>
      <c r="JLH111" s="180" t="str">
        <f>VLOOKUP(JLG111,[13]AssetDetails_UEM!$A$3:$AH$1849,6,FALSE)</f>
        <v>Electrosurgical Units, Monopolar/Bipolar</v>
      </c>
      <c r="JLI111" s="179" t="s">
        <v>428</v>
      </c>
      <c r="JLJ111" s="180" t="str">
        <f>VLOOKUP(JLI111,[13]AssetDetails_UEM!$A$3:$AH$1849,6,FALSE)</f>
        <v>Electrosurgical Units, Monopolar/Bipolar</v>
      </c>
      <c r="JLK111" s="179" t="s">
        <v>428</v>
      </c>
      <c r="JLL111" s="180" t="str">
        <f>VLOOKUP(JLK111,[13]AssetDetails_UEM!$A$3:$AH$1849,6,FALSE)</f>
        <v>Electrosurgical Units, Monopolar/Bipolar</v>
      </c>
      <c r="JLM111" s="179" t="s">
        <v>428</v>
      </c>
      <c r="JLN111" s="180" t="str">
        <f>VLOOKUP(JLM111,[13]AssetDetails_UEM!$A$3:$AH$1849,6,FALSE)</f>
        <v>Electrosurgical Units, Monopolar/Bipolar</v>
      </c>
      <c r="JLO111" s="179" t="s">
        <v>428</v>
      </c>
      <c r="JLP111" s="180" t="str">
        <f>VLOOKUP(JLO111,[13]AssetDetails_UEM!$A$3:$AH$1849,6,FALSE)</f>
        <v>Electrosurgical Units, Monopolar/Bipolar</v>
      </c>
      <c r="JLQ111" s="179" t="s">
        <v>428</v>
      </c>
      <c r="JLR111" s="180" t="str">
        <f>VLOOKUP(JLQ111,[13]AssetDetails_UEM!$A$3:$AH$1849,6,FALSE)</f>
        <v>Electrosurgical Units, Monopolar/Bipolar</v>
      </c>
      <c r="JLS111" s="179" t="s">
        <v>428</v>
      </c>
      <c r="JLT111" s="180" t="str">
        <f>VLOOKUP(JLS111,[13]AssetDetails_UEM!$A$3:$AH$1849,6,FALSE)</f>
        <v>Electrosurgical Units, Monopolar/Bipolar</v>
      </c>
      <c r="JLU111" s="179" t="s">
        <v>428</v>
      </c>
      <c r="JLV111" s="180" t="str">
        <f>VLOOKUP(JLU111,[13]AssetDetails_UEM!$A$3:$AH$1849,6,FALSE)</f>
        <v>Electrosurgical Units, Monopolar/Bipolar</v>
      </c>
      <c r="JLW111" s="179" t="s">
        <v>428</v>
      </c>
      <c r="JLX111" s="180" t="str">
        <f>VLOOKUP(JLW111,[13]AssetDetails_UEM!$A$3:$AH$1849,6,FALSE)</f>
        <v>Electrosurgical Units, Monopolar/Bipolar</v>
      </c>
      <c r="JLY111" s="179" t="s">
        <v>428</v>
      </c>
      <c r="JLZ111" s="180" t="str">
        <f>VLOOKUP(JLY111,[13]AssetDetails_UEM!$A$3:$AH$1849,6,FALSE)</f>
        <v>Electrosurgical Units, Monopolar/Bipolar</v>
      </c>
      <c r="JMA111" s="179" t="s">
        <v>428</v>
      </c>
      <c r="JMB111" s="180" t="str">
        <f>VLOOKUP(JMA111,[13]AssetDetails_UEM!$A$3:$AH$1849,6,FALSE)</f>
        <v>Electrosurgical Units, Monopolar/Bipolar</v>
      </c>
      <c r="JMC111" s="179" t="s">
        <v>428</v>
      </c>
      <c r="JMD111" s="180" t="str">
        <f>VLOOKUP(JMC111,[13]AssetDetails_UEM!$A$3:$AH$1849,6,FALSE)</f>
        <v>Electrosurgical Units, Monopolar/Bipolar</v>
      </c>
      <c r="JME111" s="179" t="s">
        <v>428</v>
      </c>
      <c r="JMF111" s="180" t="str">
        <f>VLOOKUP(JME111,[13]AssetDetails_UEM!$A$3:$AH$1849,6,FALSE)</f>
        <v>Electrosurgical Units, Monopolar/Bipolar</v>
      </c>
      <c r="JMG111" s="179" t="s">
        <v>428</v>
      </c>
      <c r="JMH111" s="180" t="str">
        <f>VLOOKUP(JMG111,[13]AssetDetails_UEM!$A$3:$AH$1849,6,FALSE)</f>
        <v>Electrosurgical Units, Monopolar/Bipolar</v>
      </c>
      <c r="JMI111" s="179" t="s">
        <v>428</v>
      </c>
      <c r="JMJ111" s="180" t="str">
        <f>VLOOKUP(JMI111,[13]AssetDetails_UEM!$A$3:$AH$1849,6,FALSE)</f>
        <v>Electrosurgical Units, Monopolar/Bipolar</v>
      </c>
      <c r="JMK111" s="179" t="s">
        <v>428</v>
      </c>
      <c r="JML111" s="180" t="str">
        <f>VLOOKUP(JMK111,[13]AssetDetails_UEM!$A$3:$AH$1849,6,FALSE)</f>
        <v>Electrosurgical Units, Monopolar/Bipolar</v>
      </c>
      <c r="JMM111" s="179" t="s">
        <v>428</v>
      </c>
      <c r="JMN111" s="180" t="str">
        <f>VLOOKUP(JMM111,[13]AssetDetails_UEM!$A$3:$AH$1849,6,FALSE)</f>
        <v>Electrosurgical Units, Monopolar/Bipolar</v>
      </c>
      <c r="JMO111" s="179" t="s">
        <v>428</v>
      </c>
      <c r="JMP111" s="180" t="str">
        <f>VLOOKUP(JMO111,[13]AssetDetails_UEM!$A$3:$AH$1849,6,FALSE)</f>
        <v>Electrosurgical Units, Monopolar/Bipolar</v>
      </c>
      <c r="JMQ111" s="179" t="s">
        <v>428</v>
      </c>
      <c r="JMR111" s="180" t="str">
        <f>VLOOKUP(JMQ111,[13]AssetDetails_UEM!$A$3:$AH$1849,6,FALSE)</f>
        <v>Electrosurgical Units, Monopolar/Bipolar</v>
      </c>
      <c r="JMS111" s="179" t="s">
        <v>428</v>
      </c>
      <c r="JMT111" s="180" t="str">
        <f>VLOOKUP(JMS111,[13]AssetDetails_UEM!$A$3:$AH$1849,6,FALSE)</f>
        <v>Electrosurgical Units, Monopolar/Bipolar</v>
      </c>
      <c r="JMU111" s="179" t="s">
        <v>428</v>
      </c>
      <c r="JMV111" s="180" t="str">
        <f>VLOOKUP(JMU111,[13]AssetDetails_UEM!$A$3:$AH$1849,6,FALSE)</f>
        <v>Electrosurgical Units, Monopolar/Bipolar</v>
      </c>
      <c r="JMW111" s="179" t="s">
        <v>428</v>
      </c>
      <c r="JMX111" s="180" t="str">
        <f>VLOOKUP(JMW111,[13]AssetDetails_UEM!$A$3:$AH$1849,6,FALSE)</f>
        <v>Electrosurgical Units, Monopolar/Bipolar</v>
      </c>
      <c r="JMY111" s="179" t="s">
        <v>428</v>
      </c>
      <c r="JMZ111" s="180" t="str">
        <f>VLOOKUP(JMY111,[13]AssetDetails_UEM!$A$3:$AH$1849,6,FALSE)</f>
        <v>Electrosurgical Units, Monopolar/Bipolar</v>
      </c>
      <c r="JNA111" s="179" t="s">
        <v>428</v>
      </c>
      <c r="JNB111" s="180" t="str">
        <f>VLOOKUP(JNA111,[13]AssetDetails_UEM!$A$3:$AH$1849,6,FALSE)</f>
        <v>Electrosurgical Units, Monopolar/Bipolar</v>
      </c>
      <c r="JNC111" s="179" t="s">
        <v>428</v>
      </c>
      <c r="JND111" s="180" t="str">
        <f>VLOOKUP(JNC111,[13]AssetDetails_UEM!$A$3:$AH$1849,6,FALSE)</f>
        <v>Electrosurgical Units, Monopolar/Bipolar</v>
      </c>
      <c r="JNE111" s="179" t="s">
        <v>428</v>
      </c>
      <c r="JNF111" s="180" t="str">
        <f>VLOOKUP(JNE111,[13]AssetDetails_UEM!$A$3:$AH$1849,6,FALSE)</f>
        <v>Electrosurgical Units, Monopolar/Bipolar</v>
      </c>
      <c r="JNG111" s="179" t="s">
        <v>428</v>
      </c>
      <c r="JNH111" s="180" t="str">
        <f>VLOOKUP(JNG111,[13]AssetDetails_UEM!$A$3:$AH$1849,6,FALSE)</f>
        <v>Electrosurgical Units, Monopolar/Bipolar</v>
      </c>
      <c r="JNI111" s="179" t="s">
        <v>428</v>
      </c>
      <c r="JNJ111" s="180" t="str">
        <f>VLOOKUP(JNI111,[13]AssetDetails_UEM!$A$3:$AH$1849,6,FALSE)</f>
        <v>Electrosurgical Units, Monopolar/Bipolar</v>
      </c>
      <c r="JNK111" s="179" t="s">
        <v>428</v>
      </c>
      <c r="JNL111" s="180" t="str">
        <f>VLOOKUP(JNK111,[13]AssetDetails_UEM!$A$3:$AH$1849,6,FALSE)</f>
        <v>Electrosurgical Units, Monopolar/Bipolar</v>
      </c>
      <c r="JNM111" s="179" t="s">
        <v>428</v>
      </c>
      <c r="JNN111" s="180" t="str">
        <f>VLOOKUP(JNM111,[13]AssetDetails_UEM!$A$3:$AH$1849,6,FALSE)</f>
        <v>Electrosurgical Units, Monopolar/Bipolar</v>
      </c>
      <c r="JNO111" s="179" t="s">
        <v>428</v>
      </c>
      <c r="JNP111" s="180" t="str">
        <f>VLOOKUP(JNO111,[13]AssetDetails_UEM!$A$3:$AH$1849,6,FALSE)</f>
        <v>Electrosurgical Units, Monopolar/Bipolar</v>
      </c>
      <c r="JNQ111" s="179" t="s">
        <v>428</v>
      </c>
      <c r="JNR111" s="180" t="str">
        <f>VLOOKUP(JNQ111,[13]AssetDetails_UEM!$A$3:$AH$1849,6,FALSE)</f>
        <v>Electrosurgical Units, Monopolar/Bipolar</v>
      </c>
      <c r="JNS111" s="179" t="s">
        <v>428</v>
      </c>
      <c r="JNT111" s="180" t="str">
        <f>VLOOKUP(JNS111,[13]AssetDetails_UEM!$A$3:$AH$1849,6,FALSE)</f>
        <v>Electrosurgical Units, Monopolar/Bipolar</v>
      </c>
      <c r="JNU111" s="179" t="s">
        <v>428</v>
      </c>
      <c r="JNV111" s="180" t="str">
        <f>VLOOKUP(JNU111,[13]AssetDetails_UEM!$A$3:$AH$1849,6,FALSE)</f>
        <v>Electrosurgical Units, Monopolar/Bipolar</v>
      </c>
      <c r="JNW111" s="179" t="s">
        <v>428</v>
      </c>
      <c r="JNX111" s="180" t="str">
        <f>VLOOKUP(JNW111,[13]AssetDetails_UEM!$A$3:$AH$1849,6,FALSE)</f>
        <v>Electrosurgical Units, Monopolar/Bipolar</v>
      </c>
      <c r="JNY111" s="179" t="s">
        <v>428</v>
      </c>
      <c r="JNZ111" s="180" t="str">
        <f>VLOOKUP(JNY111,[13]AssetDetails_UEM!$A$3:$AH$1849,6,FALSE)</f>
        <v>Electrosurgical Units, Monopolar/Bipolar</v>
      </c>
      <c r="JOA111" s="179" t="s">
        <v>428</v>
      </c>
      <c r="JOB111" s="180" t="str">
        <f>VLOOKUP(JOA111,[13]AssetDetails_UEM!$A$3:$AH$1849,6,FALSE)</f>
        <v>Electrosurgical Units, Monopolar/Bipolar</v>
      </c>
      <c r="JOC111" s="179" t="s">
        <v>428</v>
      </c>
      <c r="JOD111" s="180" t="str">
        <f>VLOOKUP(JOC111,[13]AssetDetails_UEM!$A$3:$AH$1849,6,FALSE)</f>
        <v>Electrosurgical Units, Monopolar/Bipolar</v>
      </c>
      <c r="JOE111" s="179" t="s">
        <v>428</v>
      </c>
      <c r="JOF111" s="180" t="str">
        <f>VLOOKUP(JOE111,[13]AssetDetails_UEM!$A$3:$AH$1849,6,FALSE)</f>
        <v>Electrosurgical Units, Monopolar/Bipolar</v>
      </c>
      <c r="JOG111" s="179" t="s">
        <v>428</v>
      </c>
      <c r="JOH111" s="180" t="str">
        <f>VLOOKUP(JOG111,[13]AssetDetails_UEM!$A$3:$AH$1849,6,FALSE)</f>
        <v>Electrosurgical Units, Monopolar/Bipolar</v>
      </c>
      <c r="JOI111" s="179" t="s">
        <v>428</v>
      </c>
      <c r="JOJ111" s="180" t="str">
        <f>VLOOKUP(JOI111,[13]AssetDetails_UEM!$A$3:$AH$1849,6,FALSE)</f>
        <v>Electrosurgical Units, Monopolar/Bipolar</v>
      </c>
      <c r="JOK111" s="179" t="s">
        <v>428</v>
      </c>
      <c r="JOL111" s="180" t="str">
        <f>VLOOKUP(JOK111,[13]AssetDetails_UEM!$A$3:$AH$1849,6,FALSE)</f>
        <v>Electrosurgical Units, Monopolar/Bipolar</v>
      </c>
      <c r="JOM111" s="179" t="s">
        <v>428</v>
      </c>
      <c r="JON111" s="180" t="str">
        <f>VLOOKUP(JOM111,[13]AssetDetails_UEM!$A$3:$AH$1849,6,FALSE)</f>
        <v>Electrosurgical Units, Monopolar/Bipolar</v>
      </c>
      <c r="JOO111" s="179" t="s">
        <v>428</v>
      </c>
      <c r="JOP111" s="180" t="str">
        <f>VLOOKUP(JOO111,[13]AssetDetails_UEM!$A$3:$AH$1849,6,FALSE)</f>
        <v>Electrosurgical Units, Monopolar/Bipolar</v>
      </c>
      <c r="JOQ111" s="179" t="s">
        <v>428</v>
      </c>
      <c r="JOR111" s="180" t="str">
        <f>VLOOKUP(JOQ111,[13]AssetDetails_UEM!$A$3:$AH$1849,6,FALSE)</f>
        <v>Electrosurgical Units, Monopolar/Bipolar</v>
      </c>
      <c r="JOS111" s="179" t="s">
        <v>428</v>
      </c>
      <c r="JOT111" s="180" t="str">
        <f>VLOOKUP(JOS111,[13]AssetDetails_UEM!$A$3:$AH$1849,6,FALSE)</f>
        <v>Electrosurgical Units, Monopolar/Bipolar</v>
      </c>
      <c r="JOU111" s="179" t="s">
        <v>428</v>
      </c>
      <c r="JOV111" s="180" t="str">
        <f>VLOOKUP(JOU111,[13]AssetDetails_UEM!$A$3:$AH$1849,6,FALSE)</f>
        <v>Electrosurgical Units, Monopolar/Bipolar</v>
      </c>
      <c r="JOW111" s="179" t="s">
        <v>428</v>
      </c>
      <c r="JOX111" s="180" t="str">
        <f>VLOOKUP(JOW111,[13]AssetDetails_UEM!$A$3:$AH$1849,6,FALSE)</f>
        <v>Electrosurgical Units, Monopolar/Bipolar</v>
      </c>
      <c r="JOY111" s="179" t="s">
        <v>428</v>
      </c>
      <c r="JOZ111" s="180" t="str">
        <f>VLOOKUP(JOY111,[13]AssetDetails_UEM!$A$3:$AH$1849,6,FALSE)</f>
        <v>Electrosurgical Units, Monopolar/Bipolar</v>
      </c>
      <c r="JPA111" s="179" t="s">
        <v>428</v>
      </c>
      <c r="JPB111" s="180" t="str">
        <f>VLOOKUP(JPA111,[13]AssetDetails_UEM!$A$3:$AH$1849,6,FALSE)</f>
        <v>Electrosurgical Units, Monopolar/Bipolar</v>
      </c>
      <c r="JPC111" s="179" t="s">
        <v>428</v>
      </c>
      <c r="JPD111" s="180" t="str">
        <f>VLOOKUP(JPC111,[13]AssetDetails_UEM!$A$3:$AH$1849,6,FALSE)</f>
        <v>Electrosurgical Units, Monopolar/Bipolar</v>
      </c>
      <c r="JPE111" s="179" t="s">
        <v>428</v>
      </c>
      <c r="JPF111" s="180" t="str">
        <f>VLOOKUP(JPE111,[13]AssetDetails_UEM!$A$3:$AH$1849,6,FALSE)</f>
        <v>Electrosurgical Units, Monopolar/Bipolar</v>
      </c>
      <c r="JPG111" s="179" t="s">
        <v>428</v>
      </c>
      <c r="JPH111" s="180" t="str">
        <f>VLOOKUP(JPG111,[13]AssetDetails_UEM!$A$3:$AH$1849,6,FALSE)</f>
        <v>Electrosurgical Units, Monopolar/Bipolar</v>
      </c>
      <c r="JPI111" s="179" t="s">
        <v>428</v>
      </c>
      <c r="JPJ111" s="180" t="str">
        <f>VLOOKUP(JPI111,[13]AssetDetails_UEM!$A$3:$AH$1849,6,FALSE)</f>
        <v>Electrosurgical Units, Monopolar/Bipolar</v>
      </c>
      <c r="JPK111" s="179" t="s">
        <v>428</v>
      </c>
      <c r="JPL111" s="180" t="str">
        <f>VLOOKUP(JPK111,[13]AssetDetails_UEM!$A$3:$AH$1849,6,FALSE)</f>
        <v>Electrosurgical Units, Monopolar/Bipolar</v>
      </c>
      <c r="JPM111" s="179" t="s">
        <v>428</v>
      </c>
      <c r="JPN111" s="180" t="str">
        <f>VLOOKUP(JPM111,[13]AssetDetails_UEM!$A$3:$AH$1849,6,FALSE)</f>
        <v>Electrosurgical Units, Monopolar/Bipolar</v>
      </c>
      <c r="JPO111" s="179" t="s">
        <v>428</v>
      </c>
      <c r="JPP111" s="180" t="str">
        <f>VLOOKUP(JPO111,[13]AssetDetails_UEM!$A$3:$AH$1849,6,FALSE)</f>
        <v>Electrosurgical Units, Monopolar/Bipolar</v>
      </c>
      <c r="JPQ111" s="179" t="s">
        <v>428</v>
      </c>
      <c r="JPR111" s="180" t="str">
        <f>VLOOKUP(JPQ111,[13]AssetDetails_UEM!$A$3:$AH$1849,6,FALSE)</f>
        <v>Electrosurgical Units, Monopolar/Bipolar</v>
      </c>
      <c r="JPS111" s="179" t="s">
        <v>428</v>
      </c>
      <c r="JPT111" s="180" t="str">
        <f>VLOOKUP(JPS111,[13]AssetDetails_UEM!$A$3:$AH$1849,6,FALSE)</f>
        <v>Electrosurgical Units, Monopolar/Bipolar</v>
      </c>
      <c r="JPU111" s="179" t="s">
        <v>428</v>
      </c>
      <c r="JPV111" s="180" t="str">
        <f>VLOOKUP(JPU111,[13]AssetDetails_UEM!$A$3:$AH$1849,6,FALSE)</f>
        <v>Electrosurgical Units, Monopolar/Bipolar</v>
      </c>
      <c r="JPW111" s="179" t="s">
        <v>428</v>
      </c>
      <c r="JPX111" s="180" t="str">
        <f>VLOOKUP(JPW111,[13]AssetDetails_UEM!$A$3:$AH$1849,6,FALSE)</f>
        <v>Electrosurgical Units, Monopolar/Bipolar</v>
      </c>
      <c r="JPY111" s="179" t="s">
        <v>428</v>
      </c>
      <c r="JPZ111" s="180" t="str">
        <f>VLOOKUP(JPY111,[13]AssetDetails_UEM!$A$3:$AH$1849,6,FALSE)</f>
        <v>Electrosurgical Units, Monopolar/Bipolar</v>
      </c>
      <c r="JQA111" s="179" t="s">
        <v>428</v>
      </c>
      <c r="JQB111" s="180" t="str">
        <f>VLOOKUP(JQA111,[13]AssetDetails_UEM!$A$3:$AH$1849,6,FALSE)</f>
        <v>Electrosurgical Units, Monopolar/Bipolar</v>
      </c>
      <c r="JQC111" s="179" t="s">
        <v>428</v>
      </c>
      <c r="JQD111" s="180" t="str">
        <f>VLOOKUP(JQC111,[13]AssetDetails_UEM!$A$3:$AH$1849,6,FALSE)</f>
        <v>Electrosurgical Units, Monopolar/Bipolar</v>
      </c>
      <c r="JQE111" s="179" t="s">
        <v>428</v>
      </c>
      <c r="JQF111" s="180" t="str">
        <f>VLOOKUP(JQE111,[13]AssetDetails_UEM!$A$3:$AH$1849,6,FALSE)</f>
        <v>Electrosurgical Units, Monopolar/Bipolar</v>
      </c>
      <c r="JQG111" s="179" t="s">
        <v>428</v>
      </c>
      <c r="JQH111" s="180" t="str">
        <f>VLOOKUP(JQG111,[13]AssetDetails_UEM!$A$3:$AH$1849,6,FALSE)</f>
        <v>Electrosurgical Units, Monopolar/Bipolar</v>
      </c>
      <c r="JQI111" s="179" t="s">
        <v>428</v>
      </c>
      <c r="JQJ111" s="180" t="str">
        <f>VLOOKUP(JQI111,[13]AssetDetails_UEM!$A$3:$AH$1849,6,FALSE)</f>
        <v>Electrosurgical Units, Monopolar/Bipolar</v>
      </c>
      <c r="JQK111" s="179" t="s">
        <v>428</v>
      </c>
      <c r="JQL111" s="180" t="str">
        <f>VLOOKUP(JQK111,[13]AssetDetails_UEM!$A$3:$AH$1849,6,FALSE)</f>
        <v>Electrosurgical Units, Monopolar/Bipolar</v>
      </c>
      <c r="JQM111" s="179" t="s">
        <v>428</v>
      </c>
      <c r="JQN111" s="180" t="str">
        <f>VLOOKUP(JQM111,[13]AssetDetails_UEM!$A$3:$AH$1849,6,FALSE)</f>
        <v>Electrosurgical Units, Monopolar/Bipolar</v>
      </c>
      <c r="JQO111" s="179" t="s">
        <v>428</v>
      </c>
      <c r="JQP111" s="180" t="str">
        <f>VLOOKUP(JQO111,[13]AssetDetails_UEM!$A$3:$AH$1849,6,FALSE)</f>
        <v>Electrosurgical Units, Monopolar/Bipolar</v>
      </c>
      <c r="JQQ111" s="179" t="s">
        <v>428</v>
      </c>
      <c r="JQR111" s="180" t="str">
        <f>VLOOKUP(JQQ111,[13]AssetDetails_UEM!$A$3:$AH$1849,6,FALSE)</f>
        <v>Electrosurgical Units, Monopolar/Bipolar</v>
      </c>
      <c r="JQS111" s="179" t="s">
        <v>428</v>
      </c>
      <c r="JQT111" s="180" t="str">
        <f>VLOOKUP(JQS111,[13]AssetDetails_UEM!$A$3:$AH$1849,6,FALSE)</f>
        <v>Electrosurgical Units, Monopolar/Bipolar</v>
      </c>
      <c r="JQU111" s="179" t="s">
        <v>428</v>
      </c>
      <c r="JQV111" s="180" t="str">
        <f>VLOOKUP(JQU111,[13]AssetDetails_UEM!$A$3:$AH$1849,6,FALSE)</f>
        <v>Electrosurgical Units, Monopolar/Bipolar</v>
      </c>
      <c r="JQW111" s="179" t="s">
        <v>428</v>
      </c>
      <c r="JQX111" s="180" t="str">
        <f>VLOOKUP(JQW111,[13]AssetDetails_UEM!$A$3:$AH$1849,6,FALSE)</f>
        <v>Electrosurgical Units, Monopolar/Bipolar</v>
      </c>
      <c r="JQY111" s="179" t="s">
        <v>428</v>
      </c>
      <c r="JQZ111" s="180" t="str">
        <f>VLOOKUP(JQY111,[13]AssetDetails_UEM!$A$3:$AH$1849,6,FALSE)</f>
        <v>Electrosurgical Units, Monopolar/Bipolar</v>
      </c>
      <c r="JRA111" s="179" t="s">
        <v>428</v>
      </c>
      <c r="JRB111" s="180" t="str">
        <f>VLOOKUP(JRA111,[13]AssetDetails_UEM!$A$3:$AH$1849,6,FALSE)</f>
        <v>Electrosurgical Units, Monopolar/Bipolar</v>
      </c>
      <c r="JRC111" s="179" t="s">
        <v>428</v>
      </c>
      <c r="JRD111" s="180" t="str">
        <f>VLOOKUP(JRC111,[13]AssetDetails_UEM!$A$3:$AH$1849,6,FALSE)</f>
        <v>Electrosurgical Units, Monopolar/Bipolar</v>
      </c>
      <c r="JRE111" s="179" t="s">
        <v>428</v>
      </c>
      <c r="JRF111" s="180" t="str">
        <f>VLOOKUP(JRE111,[13]AssetDetails_UEM!$A$3:$AH$1849,6,FALSE)</f>
        <v>Electrosurgical Units, Monopolar/Bipolar</v>
      </c>
      <c r="JRG111" s="179" t="s">
        <v>428</v>
      </c>
      <c r="JRH111" s="180" t="str">
        <f>VLOOKUP(JRG111,[13]AssetDetails_UEM!$A$3:$AH$1849,6,FALSE)</f>
        <v>Electrosurgical Units, Monopolar/Bipolar</v>
      </c>
      <c r="JRI111" s="179" t="s">
        <v>428</v>
      </c>
      <c r="JRJ111" s="180" t="str">
        <f>VLOOKUP(JRI111,[13]AssetDetails_UEM!$A$3:$AH$1849,6,FALSE)</f>
        <v>Electrosurgical Units, Monopolar/Bipolar</v>
      </c>
      <c r="JRK111" s="179" t="s">
        <v>428</v>
      </c>
      <c r="JRL111" s="180" t="str">
        <f>VLOOKUP(JRK111,[13]AssetDetails_UEM!$A$3:$AH$1849,6,FALSE)</f>
        <v>Electrosurgical Units, Monopolar/Bipolar</v>
      </c>
      <c r="JRM111" s="179" t="s">
        <v>428</v>
      </c>
      <c r="JRN111" s="180" t="str">
        <f>VLOOKUP(JRM111,[13]AssetDetails_UEM!$A$3:$AH$1849,6,FALSE)</f>
        <v>Electrosurgical Units, Monopolar/Bipolar</v>
      </c>
      <c r="JRO111" s="179" t="s">
        <v>428</v>
      </c>
      <c r="JRP111" s="180" t="str">
        <f>VLOOKUP(JRO111,[13]AssetDetails_UEM!$A$3:$AH$1849,6,FALSE)</f>
        <v>Electrosurgical Units, Monopolar/Bipolar</v>
      </c>
      <c r="JRQ111" s="179" t="s">
        <v>428</v>
      </c>
      <c r="JRR111" s="180" t="str">
        <f>VLOOKUP(JRQ111,[13]AssetDetails_UEM!$A$3:$AH$1849,6,FALSE)</f>
        <v>Electrosurgical Units, Monopolar/Bipolar</v>
      </c>
      <c r="JRS111" s="179" t="s">
        <v>428</v>
      </c>
      <c r="JRT111" s="180" t="str">
        <f>VLOOKUP(JRS111,[13]AssetDetails_UEM!$A$3:$AH$1849,6,FALSE)</f>
        <v>Electrosurgical Units, Monopolar/Bipolar</v>
      </c>
      <c r="JRU111" s="179" t="s">
        <v>428</v>
      </c>
      <c r="JRV111" s="180" t="str">
        <f>VLOOKUP(JRU111,[13]AssetDetails_UEM!$A$3:$AH$1849,6,FALSE)</f>
        <v>Electrosurgical Units, Monopolar/Bipolar</v>
      </c>
      <c r="JRW111" s="179" t="s">
        <v>428</v>
      </c>
      <c r="JRX111" s="180" t="str">
        <f>VLOOKUP(JRW111,[13]AssetDetails_UEM!$A$3:$AH$1849,6,FALSE)</f>
        <v>Electrosurgical Units, Monopolar/Bipolar</v>
      </c>
      <c r="JRY111" s="179" t="s">
        <v>428</v>
      </c>
      <c r="JRZ111" s="180" t="str">
        <f>VLOOKUP(JRY111,[13]AssetDetails_UEM!$A$3:$AH$1849,6,FALSE)</f>
        <v>Electrosurgical Units, Monopolar/Bipolar</v>
      </c>
      <c r="JSA111" s="179" t="s">
        <v>428</v>
      </c>
      <c r="JSB111" s="180" t="str">
        <f>VLOOKUP(JSA111,[13]AssetDetails_UEM!$A$3:$AH$1849,6,FALSE)</f>
        <v>Electrosurgical Units, Monopolar/Bipolar</v>
      </c>
      <c r="JSC111" s="179" t="s">
        <v>428</v>
      </c>
      <c r="JSD111" s="180" t="str">
        <f>VLOOKUP(JSC111,[13]AssetDetails_UEM!$A$3:$AH$1849,6,FALSE)</f>
        <v>Electrosurgical Units, Monopolar/Bipolar</v>
      </c>
      <c r="JSE111" s="179" t="s">
        <v>428</v>
      </c>
      <c r="JSF111" s="180" t="str">
        <f>VLOOKUP(JSE111,[13]AssetDetails_UEM!$A$3:$AH$1849,6,FALSE)</f>
        <v>Electrosurgical Units, Monopolar/Bipolar</v>
      </c>
      <c r="JSG111" s="179" t="s">
        <v>428</v>
      </c>
      <c r="JSH111" s="180" t="str">
        <f>VLOOKUP(JSG111,[13]AssetDetails_UEM!$A$3:$AH$1849,6,FALSE)</f>
        <v>Electrosurgical Units, Monopolar/Bipolar</v>
      </c>
      <c r="JSI111" s="179" t="s">
        <v>428</v>
      </c>
      <c r="JSJ111" s="180" t="str">
        <f>VLOOKUP(JSI111,[13]AssetDetails_UEM!$A$3:$AH$1849,6,FALSE)</f>
        <v>Electrosurgical Units, Monopolar/Bipolar</v>
      </c>
      <c r="JSK111" s="179" t="s">
        <v>428</v>
      </c>
      <c r="JSL111" s="180" t="str">
        <f>VLOOKUP(JSK111,[13]AssetDetails_UEM!$A$3:$AH$1849,6,FALSE)</f>
        <v>Electrosurgical Units, Monopolar/Bipolar</v>
      </c>
      <c r="JSM111" s="179" t="s">
        <v>428</v>
      </c>
      <c r="JSN111" s="180" t="str">
        <f>VLOOKUP(JSM111,[13]AssetDetails_UEM!$A$3:$AH$1849,6,FALSE)</f>
        <v>Electrosurgical Units, Monopolar/Bipolar</v>
      </c>
      <c r="JSO111" s="179" t="s">
        <v>428</v>
      </c>
      <c r="JSP111" s="180" t="str">
        <f>VLOOKUP(JSO111,[13]AssetDetails_UEM!$A$3:$AH$1849,6,FALSE)</f>
        <v>Electrosurgical Units, Monopolar/Bipolar</v>
      </c>
      <c r="JSQ111" s="179" t="s">
        <v>428</v>
      </c>
      <c r="JSR111" s="180" t="str">
        <f>VLOOKUP(JSQ111,[13]AssetDetails_UEM!$A$3:$AH$1849,6,FALSE)</f>
        <v>Electrosurgical Units, Monopolar/Bipolar</v>
      </c>
      <c r="JSS111" s="179" t="s">
        <v>428</v>
      </c>
      <c r="JST111" s="180" t="str">
        <f>VLOOKUP(JSS111,[13]AssetDetails_UEM!$A$3:$AH$1849,6,FALSE)</f>
        <v>Electrosurgical Units, Monopolar/Bipolar</v>
      </c>
      <c r="JSU111" s="179" t="s">
        <v>428</v>
      </c>
      <c r="JSV111" s="180" t="str">
        <f>VLOOKUP(JSU111,[13]AssetDetails_UEM!$A$3:$AH$1849,6,FALSE)</f>
        <v>Electrosurgical Units, Monopolar/Bipolar</v>
      </c>
      <c r="JSW111" s="179" t="s">
        <v>428</v>
      </c>
      <c r="JSX111" s="180" t="str">
        <f>VLOOKUP(JSW111,[13]AssetDetails_UEM!$A$3:$AH$1849,6,FALSE)</f>
        <v>Electrosurgical Units, Monopolar/Bipolar</v>
      </c>
      <c r="JSY111" s="179" t="s">
        <v>428</v>
      </c>
      <c r="JSZ111" s="180" t="str">
        <f>VLOOKUP(JSY111,[13]AssetDetails_UEM!$A$3:$AH$1849,6,FALSE)</f>
        <v>Electrosurgical Units, Monopolar/Bipolar</v>
      </c>
      <c r="JTA111" s="179" t="s">
        <v>428</v>
      </c>
      <c r="JTB111" s="180" t="str">
        <f>VLOOKUP(JTA111,[13]AssetDetails_UEM!$A$3:$AH$1849,6,FALSE)</f>
        <v>Electrosurgical Units, Monopolar/Bipolar</v>
      </c>
      <c r="JTC111" s="179" t="s">
        <v>428</v>
      </c>
      <c r="JTD111" s="180" t="str">
        <f>VLOOKUP(JTC111,[13]AssetDetails_UEM!$A$3:$AH$1849,6,FALSE)</f>
        <v>Electrosurgical Units, Monopolar/Bipolar</v>
      </c>
      <c r="JTE111" s="179" t="s">
        <v>428</v>
      </c>
      <c r="JTF111" s="180" t="str">
        <f>VLOOKUP(JTE111,[13]AssetDetails_UEM!$A$3:$AH$1849,6,FALSE)</f>
        <v>Electrosurgical Units, Monopolar/Bipolar</v>
      </c>
      <c r="JTG111" s="179" t="s">
        <v>428</v>
      </c>
      <c r="JTH111" s="180" t="str">
        <f>VLOOKUP(JTG111,[13]AssetDetails_UEM!$A$3:$AH$1849,6,FALSE)</f>
        <v>Electrosurgical Units, Monopolar/Bipolar</v>
      </c>
      <c r="JTI111" s="179" t="s">
        <v>428</v>
      </c>
      <c r="JTJ111" s="180" t="str">
        <f>VLOOKUP(JTI111,[13]AssetDetails_UEM!$A$3:$AH$1849,6,FALSE)</f>
        <v>Electrosurgical Units, Monopolar/Bipolar</v>
      </c>
      <c r="JTK111" s="179" t="s">
        <v>428</v>
      </c>
      <c r="JTL111" s="180" t="str">
        <f>VLOOKUP(JTK111,[13]AssetDetails_UEM!$A$3:$AH$1849,6,FALSE)</f>
        <v>Electrosurgical Units, Monopolar/Bipolar</v>
      </c>
      <c r="JTM111" s="179" t="s">
        <v>428</v>
      </c>
      <c r="JTN111" s="180" t="str">
        <f>VLOOKUP(JTM111,[13]AssetDetails_UEM!$A$3:$AH$1849,6,FALSE)</f>
        <v>Electrosurgical Units, Monopolar/Bipolar</v>
      </c>
      <c r="JTO111" s="179" t="s">
        <v>428</v>
      </c>
      <c r="JTP111" s="180" t="str">
        <f>VLOOKUP(JTO111,[13]AssetDetails_UEM!$A$3:$AH$1849,6,FALSE)</f>
        <v>Electrosurgical Units, Monopolar/Bipolar</v>
      </c>
      <c r="JTQ111" s="179" t="s">
        <v>428</v>
      </c>
      <c r="JTR111" s="180" t="str">
        <f>VLOOKUP(JTQ111,[13]AssetDetails_UEM!$A$3:$AH$1849,6,FALSE)</f>
        <v>Electrosurgical Units, Monopolar/Bipolar</v>
      </c>
      <c r="JTS111" s="179" t="s">
        <v>428</v>
      </c>
      <c r="JTT111" s="180" t="str">
        <f>VLOOKUP(JTS111,[13]AssetDetails_UEM!$A$3:$AH$1849,6,FALSE)</f>
        <v>Electrosurgical Units, Monopolar/Bipolar</v>
      </c>
      <c r="JTU111" s="179" t="s">
        <v>428</v>
      </c>
      <c r="JTV111" s="180" t="str">
        <f>VLOOKUP(JTU111,[13]AssetDetails_UEM!$A$3:$AH$1849,6,FALSE)</f>
        <v>Electrosurgical Units, Monopolar/Bipolar</v>
      </c>
      <c r="JTW111" s="179" t="s">
        <v>428</v>
      </c>
      <c r="JTX111" s="180" t="str">
        <f>VLOOKUP(JTW111,[13]AssetDetails_UEM!$A$3:$AH$1849,6,FALSE)</f>
        <v>Electrosurgical Units, Monopolar/Bipolar</v>
      </c>
      <c r="JTY111" s="179" t="s">
        <v>428</v>
      </c>
      <c r="JTZ111" s="180" t="str">
        <f>VLOOKUP(JTY111,[13]AssetDetails_UEM!$A$3:$AH$1849,6,FALSE)</f>
        <v>Electrosurgical Units, Monopolar/Bipolar</v>
      </c>
      <c r="JUA111" s="179" t="s">
        <v>428</v>
      </c>
      <c r="JUB111" s="180" t="str">
        <f>VLOOKUP(JUA111,[13]AssetDetails_UEM!$A$3:$AH$1849,6,FALSE)</f>
        <v>Electrosurgical Units, Monopolar/Bipolar</v>
      </c>
      <c r="JUC111" s="179" t="s">
        <v>428</v>
      </c>
      <c r="JUD111" s="180" t="str">
        <f>VLOOKUP(JUC111,[13]AssetDetails_UEM!$A$3:$AH$1849,6,FALSE)</f>
        <v>Electrosurgical Units, Monopolar/Bipolar</v>
      </c>
      <c r="JUE111" s="179" t="s">
        <v>428</v>
      </c>
      <c r="JUF111" s="180" t="str">
        <f>VLOOKUP(JUE111,[13]AssetDetails_UEM!$A$3:$AH$1849,6,FALSE)</f>
        <v>Electrosurgical Units, Monopolar/Bipolar</v>
      </c>
      <c r="JUG111" s="179" t="s">
        <v>428</v>
      </c>
      <c r="JUH111" s="180" t="str">
        <f>VLOOKUP(JUG111,[13]AssetDetails_UEM!$A$3:$AH$1849,6,FALSE)</f>
        <v>Electrosurgical Units, Monopolar/Bipolar</v>
      </c>
      <c r="JUI111" s="179" t="s">
        <v>428</v>
      </c>
      <c r="JUJ111" s="180" t="str">
        <f>VLOOKUP(JUI111,[13]AssetDetails_UEM!$A$3:$AH$1849,6,FALSE)</f>
        <v>Electrosurgical Units, Monopolar/Bipolar</v>
      </c>
      <c r="JUK111" s="179" t="s">
        <v>428</v>
      </c>
      <c r="JUL111" s="180" t="str">
        <f>VLOOKUP(JUK111,[13]AssetDetails_UEM!$A$3:$AH$1849,6,FALSE)</f>
        <v>Electrosurgical Units, Monopolar/Bipolar</v>
      </c>
      <c r="JUM111" s="179" t="s">
        <v>428</v>
      </c>
      <c r="JUN111" s="180" t="str">
        <f>VLOOKUP(JUM111,[13]AssetDetails_UEM!$A$3:$AH$1849,6,FALSE)</f>
        <v>Electrosurgical Units, Monopolar/Bipolar</v>
      </c>
      <c r="JUO111" s="179" t="s">
        <v>428</v>
      </c>
      <c r="JUP111" s="180" t="str">
        <f>VLOOKUP(JUO111,[13]AssetDetails_UEM!$A$3:$AH$1849,6,FALSE)</f>
        <v>Electrosurgical Units, Monopolar/Bipolar</v>
      </c>
      <c r="JUQ111" s="179" t="s">
        <v>428</v>
      </c>
      <c r="JUR111" s="180" t="str">
        <f>VLOOKUP(JUQ111,[13]AssetDetails_UEM!$A$3:$AH$1849,6,FALSE)</f>
        <v>Electrosurgical Units, Monopolar/Bipolar</v>
      </c>
      <c r="JUS111" s="179" t="s">
        <v>428</v>
      </c>
      <c r="JUT111" s="180" t="str">
        <f>VLOOKUP(JUS111,[13]AssetDetails_UEM!$A$3:$AH$1849,6,FALSE)</f>
        <v>Electrosurgical Units, Monopolar/Bipolar</v>
      </c>
      <c r="JUU111" s="179" t="s">
        <v>428</v>
      </c>
      <c r="JUV111" s="180" t="str">
        <f>VLOOKUP(JUU111,[13]AssetDetails_UEM!$A$3:$AH$1849,6,FALSE)</f>
        <v>Electrosurgical Units, Monopolar/Bipolar</v>
      </c>
      <c r="JUW111" s="179" t="s">
        <v>428</v>
      </c>
      <c r="JUX111" s="180" t="str">
        <f>VLOOKUP(JUW111,[13]AssetDetails_UEM!$A$3:$AH$1849,6,FALSE)</f>
        <v>Electrosurgical Units, Monopolar/Bipolar</v>
      </c>
      <c r="JUY111" s="179" t="s">
        <v>428</v>
      </c>
      <c r="JUZ111" s="180" t="str">
        <f>VLOOKUP(JUY111,[13]AssetDetails_UEM!$A$3:$AH$1849,6,FALSE)</f>
        <v>Electrosurgical Units, Monopolar/Bipolar</v>
      </c>
      <c r="JVA111" s="179" t="s">
        <v>428</v>
      </c>
      <c r="JVB111" s="180" t="str">
        <f>VLOOKUP(JVA111,[13]AssetDetails_UEM!$A$3:$AH$1849,6,FALSE)</f>
        <v>Electrosurgical Units, Monopolar/Bipolar</v>
      </c>
      <c r="JVC111" s="179" t="s">
        <v>428</v>
      </c>
      <c r="JVD111" s="180" t="str">
        <f>VLOOKUP(JVC111,[13]AssetDetails_UEM!$A$3:$AH$1849,6,FALSE)</f>
        <v>Electrosurgical Units, Monopolar/Bipolar</v>
      </c>
      <c r="JVE111" s="179" t="s">
        <v>428</v>
      </c>
      <c r="JVF111" s="180" t="str">
        <f>VLOOKUP(JVE111,[13]AssetDetails_UEM!$A$3:$AH$1849,6,FALSE)</f>
        <v>Electrosurgical Units, Monopolar/Bipolar</v>
      </c>
      <c r="JVG111" s="179" t="s">
        <v>428</v>
      </c>
      <c r="JVH111" s="180" t="str">
        <f>VLOOKUP(JVG111,[13]AssetDetails_UEM!$A$3:$AH$1849,6,FALSE)</f>
        <v>Electrosurgical Units, Monopolar/Bipolar</v>
      </c>
      <c r="JVI111" s="179" t="s">
        <v>428</v>
      </c>
      <c r="JVJ111" s="180" t="str">
        <f>VLOOKUP(JVI111,[13]AssetDetails_UEM!$A$3:$AH$1849,6,FALSE)</f>
        <v>Electrosurgical Units, Monopolar/Bipolar</v>
      </c>
      <c r="JVK111" s="179" t="s">
        <v>428</v>
      </c>
      <c r="JVL111" s="180" t="str">
        <f>VLOOKUP(JVK111,[13]AssetDetails_UEM!$A$3:$AH$1849,6,FALSE)</f>
        <v>Electrosurgical Units, Monopolar/Bipolar</v>
      </c>
      <c r="JVM111" s="179" t="s">
        <v>428</v>
      </c>
      <c r="JVN111" s="180" t="str">
        <f>VLOOKUP(JVM111,[13]AssetDetails_UEM!$A$3:$AH$1849,6,FALSE)</f>
        <v>Electrosurgical Units, Monopolar/Bipolar</v>
      </c>
      <c r="JVO111" s="179" t="s">
        <v>428</v>
      </c>
      <c r="JVP111" s="180" t="str">
        <f>VLOOKUP(JVO111,[13]AssetDetails_UEM!$A$3:$AH$1849,6,FALSE)</f>
        <v>Electrosurgical Units, Monopolar/Bipolar</v>
      </c>
      <c r="JVQ111" s="179" t="s">
        <v>428</v>
      </c>
      <c r="JVR111" s="180" t="str">
        <f>VLOOKUP(JVQ111,[13]AssetDetails_UEM!$A$3:$AH$1849,6,FALSE)</f>
        <v>Electrosurgical Units, Monopolar/Bipolar</v>
      </c>
      <c r="JVS111" s="179" t="s">
        <v>428</v>
      </c>
      <c r="JVT111" s="180" t="str">
        <f>VLOOKUP(JVS111,[13]AssetDetails_UEM!$A$3:$AH$1849,6,FALSE)</f>
        <v>Electrosurgical Units, Monopolar/Bipolar</v>
      </c>
      <c r="JVU111" s="179" t="s">
        <v>428</v>
      </c>
      <c r="JVV111" s="180" t="str">
        <f>VLOOKUP(JVU111,[13]AssetDetails_UEM!$A$3:$AH$1849,6,FALSE)</f>
        <v>Electrosurgical Units, Monopolar/Bipolar</v>
      </c>
      <c r="JVW111" s="179" t="s">
        <v>428</v>
      </c>
      <c r="JVX111" s="180" t="str">
        <f>VLOOKUP(JVW111,[13]AssetDetails_UEM!$A$3:$AH$1849,6,FALSE)</f>
        <v>Electrosurgical Units, Monopolar/Bipolar</v>
      </c>
      <c r="JVY111" s="179" t="s">
        <v>428</v>
      </c>
      <c r="JVZ111" s="180" t="str">
        <f>VLOOKUP(JVY111,[13]AssetDetails_UEM!$A$3:$AH$1849,6,FALSE)</f>
        <v>Electrosurgical Units, Monopolar/Bipolar</v>
      </c>
      <c r="JWA111" s="179" t="s">
        <v>428</v>
      </c>
      <c r="JWB111" s="180" t="str">
        <f>VLOOKUP(JWA111,[13]AssetDetails_UEM!$A$3:$AH$1849,6,FALSE)</f>
        <v>Electrosurgical Units, Monopolar/Bipolar</v>
      </c>
      <c r="JWC111" s="179" t="s">
        <v>428</v>
      </c>
      <c r="JWD111" s="180" t="str">
        <f>VLOOKUP(JWC111,[13]AssetDetails_UEM!$A$3:$AH$1849,6,FALSE)</f>
        <v>Electrosurgical Units, Monopolar/Bipolar</v>
      </c>
      <c r="JWE111" s="179" t="s">
        <v>428</v>
      </c>
      <c r="JWF111" s="180" t="str">
        <f>VLOOKUP(JWE111,[13]AssetDetails_UEM!$A$3:$AH$1849,6,FALSE)</f>
        <v>Electrosurgical Units, Monopolar/Bipolar</v>
      </c>
      <c r="JWG111" s="179" t="s">
        <v>428</v>
      </c>
      <c r="JWH111" s="180" t="str">
        <f>VLOOKUP(JWG111,[13]AssetDetails_UEM!$A$3:$AH$1849,6,FALSE)</f>
        <v>Electrosurgical Units, Monopolar/Bipolar</v>
      </c>
      <c r="JWI111" s="179" t="s">
        <v>428</v>
      </c>
      <c r="JWJ111" s="180" t="str">
        <f>VLOOKUP(JWI111,[13]AssetDetails_UEM!$A$3:$AH$1849,6,FALSE)</f>
        <v>Electrosurgical Units, Monopolar/Bipolar</v>
      </c>
      <c r="JWK111" s="179" t="s">
        <v>428</v>
      </c>
      <c r="JWL111" s="180" t="str">
        <f>VLOOKUP(JWK111,[13]AssetDetails_UEM!$A$3:$AH$1849,6,FALSE)</f>
        <v>Electrosurgical Units, Monopolar/Bipolar</v>
      </c>
      <c r="JWM111" s="179" t="s">
        <v>428</v>
      </c>
      <c r="JWN111" s="180" t="str">
        <f>VLOOKUP(JWM111,[13]AssetDetails_UEM!$A$3:$AH$1849,6,FALSE)</f>
        <v>Electrosurgical Units, Monopolar/Bipolar</v>
      </c>
      <c r="JWO111" s="179" t="s">
        <v>428</v>
      </c>
      <c r="JWP111" s="180" t="str">
        <f>VLOOKUP(JWO111,[13]AssetDetails_UEM!$A$3:$AH$1849,6,FALSE)</f>
        <v>Electrosurgical Units, Monopolar/Bipolar</v>
      </c>
      <c r="JWQ111" s="179" t="s">
        <v>428</v>
      </c>
      <c r="JWR111" s="180" t="str">
        <f>VLOOKUP(JWQ111,[13]AssetDetails_UEM!$A$3:$AH$1849,6,FALSE)</f>
        <v>Electrosurgical Units, Monopolar/Bipolar</v>
      </c>
      <c r="JWS111" s="179" t="s">
        <v>428</v>
      </c>
      <c r="JWT111" s="180" t="str">
        <f>VLOOKUP(JWS111,[13]AssetDetails_UEM!$A$3:$AH$1849,6,FALSE)</f>
        <v>Electrosurgical Units, Monopolar/Bipolar</v>
      </c>
      <c r="JWU111" s="179" t="s">
        <v>428</v>
      </c>
      <c r="JWV111" s="180" t="str">
        <f>VLOOKUP(JWU111,[13]AssetDetails_UEM!$A$3:$AH$1849,6,FALSE)</f>
        <v>Electrosurgical Units, Monopolar/Bipolar</v>
      </c>
      <c r="JWW111" s="179" t="s">
        <v>428</v>
      </c>
      <c r="JWX111" s="180" t="str">
        <f>VLOOKUP(JWW111,[13]AssetDetails_UEM!$A$3:$AH$1849,6,FALSE)</f>
        <v>Electrosurgical Units, Monopolar/Bipolar</v>
      </c>
      <c r="JWY111" s="179" t="s">
        <v>428</v>
      </c>
      <c r="JWZ111" s="180" t="str">
        <f>VLOOKUP(JWY111,[13]AssetDetails_UEM!$A$3:$AH$1849,6,FALSE)</f>
        <v>Electrosurgical Units, Monopolar/Bipolar</v>
      </c>
      <c r="JXA111" s="179" t="s">
        <v>428</v>
      </c>
      <c r="JXB111" s="180" t="str">
        <f>VLOOKUP(JXA111,[13]AssetDetails_UEM!$A$3:$AH$1849,6,FALSE)</f>
        <v>Electrosurgical Units, Monopolar/Bipolar</v>
      </c>
      <c r="JXC111" s="179" t="s">
        <v>428</v>
      </c>
      <c r="JXD111" s="180" t="str">
        <f>VLOOKUP(JXC111,[13]AssetDetails_UEM!$A$3:$AH$1849,6,FALSE)</f>
        <v>Electrosurgical Units, Monopolar/Bipolar</v>
      </c>
      <c r="JXE111" s="179" t="s">
        <v>428</v>
      </c>
      <c r="JXF111" s="180" t="str">
        <f>VLOOKUP(JXE111,[13]AssetDetails_UEM!$A$3:$AH$1849,6,FALSE)</f>
        <v>Electrosurgical Units, Monopolar/Bipolar</v>
      </c>
      <c r="JXG111" s="179" t="s">
        <v>428</v>
      </c>
      <c r="JXH111" s="180" t="str">
        <f>VLOOKUP(JXG111,[13]AssetDetails_UEM!$A$3:$AH$1849,6,FALSE)</f>
        <v>Electrosurgical Units, Monopolar/Bipolar</v>
      </c>
      <c r="JXI111" s="179" t="s">
        <v>428</v>
      </c>
      <c r="JXJ111" s="180" t="str">
        <f>VLOOKUP(JXI111,[13]AssetDetails_UEM!$A$3:$AH$1849,6,FALSE)</f>
        <v>Electrosurgical Units, Monopolar/Bipolar</v>
      </c>
      <c r="JXK111" s="179" t="s">
        <v>428</v>
      </c>
      <c r="JXL111" s="180" t="str">
        <f>VLOOKUP(JXK111,[13]AssetDetails_UEM!$A$3:$AH$1849,6,FALSE)</f>
        <v>Electrosurgical Units, Monopolar/Bipolar</v>
      </c>
      <c r="JXM111" s="179" t="s">
        <v>428</v>
      </c>
      <c r="JXN111" s="180" t="str">
        <f>VLOOKUP(JXM111,[13]AssetDetails_UEM!$A$3:$AH$1849,6,FALSE)</f>
        <v>Electrosurgical Units, Monopolar/Bipolar</v>
      </c>
      <c r="JXO111" s="179" t="s">
        <v>428</v>
      </c>
      <c r="JXP111" s="180" t="str">
        <f>VLOOKUP(JXO111,[13]AssetDetails_UEM!$A$3:$AH$1849,6,FALSE)</f>
        <v>Electrosurgical Units, Monopolar/Bipolar</v>
      </c>
      <c r="JXQ111" s="179" t="s">
        <v>428</v>
      </c>
      <c r="JXR111" s="180" t="str">
        <f>VLOOKUP(JXQ111,[13]AssetDetails_UEM!$A$3:$AH$1849,6,FALSE)</f>
        <v>Electrosurgical Units, Monopolar/Bipolar</v>
      </c>
      <c r="JXS111" s="179" t="s">
        <v>428</v>
      </c>
      <c r="JXT111" s="180" t="str">
        <f>VLOOKUP(JXS111,[13]AssetDetails_UEM!$A$3:$AH$1849,6,FALSE)</f>
        <v>Electrosurgical Units, Monopolar/Bipolar</v>
      </c>
      <c r="JXU111" s="179" t="s">
        <v>428</v>
      </c>
      <c r="JXV111" s="180" t="str">
        <f>VLOOKUP(JXU111,[13]AssetDetails_UEM!$A$3:$AH$1849,6,FALSE)</f>
        <v>Electrosurgical Units, Monopolar/Bipolar</v>
      </c>
      <c r="JXW111" s="179" t="s">
        <v>428</v>
      </c>
      <c r="JXX111" s="180" t="str">
        <f>VLOOKUP(JXW111,[13]AssetDetails_UEM!$A$3:$AH$1849,6,FALSE)</f>
        <v>Electrosurgical Units, Monopolar/Bipolar</v>
      </c>
      <c r="JXY111" s="179" t="s">
        <v>428</v>
      </c>
      <c r="JXZ111" s="180" t="str">
        <f>VLOOKUP(JXY111,[13]AssetDetails_UEM!$A$3:$AH$1849,6,FALSE)</f>
        <v>Electrosurgical Units, Monopolar/Bipolar</v>
      </c>
      <c r="JYA111" s="179" t="s">
        <v>428</v>
      </c>
      <c r="JYB111" s="180" t="str">
        <f>VLOOKUP(JYA111,[13]AssetDetails_UEM!$A$3:$AH$1849,6,FALSE)</f>
        <v>Electrosurgical Units, Monopolar/Bipolar</v>
      </c>
      <c r="JYC111" s="179" t="s">
        <v>428</v>
      </c>
      <c r="JYD111" s="180" t="str">
        <f>VLOOKUP(JYC111,[13]AssetDetails_UEM!$A$3:$AH$1849,6,FALSE)</f>
        <v>Electrosurgical Units, Monopolar/Bipolar</v>
      </c>
      <c r="JYE111" s="179" t="s">
        <v>428</v>
      </c>
      <c r="JYF111" s="180" t="str">
        <f>VLOOKUP(JYE111,[13]AssetDetails_UEM!$A$3:$AH$1849,6,FALSE)</f>
        <v>Electrosurgical Units, Monopolar/Bipolar</v>
      </c>
      <c r="JYG111" s="179" t="s">
        <v>428</v>
      </c>
      <c r="JYH111" s="180" t="str">
        <f>VLOOKUP(JYG111,[13]AssetDetails_UEM!$A$3:$AH$1849,6,FALSE)</f>
        <v>Electrosurgical Units, Monopolar/Bipolar</v>
      </c>
      <c r="JYI111" s="179" t="s">
        <v>428</v>
      </c>
      <c r="JYJ111" s="180" t="str">
        <f>VLOOKUP(JYI111,[13]AssetDetails_UEM!$A$3:$AH$1849,6,FALSE)</f>
        <v>Electrosurgical Units, Monopolar/Bipolar</v>
      </c>
      <c r="JYK111" s="179" t="s">
        <v>428</v>
      </c>
      <c r="JYL111" s="180" t="str">
        <f>VLOOKUP(JYK111,[13]AssetDetails_UEM!$A$3:$AH$1849,6,FALSE)</f>
        <v>Electrosurgical Units, Monopolar/Bipolar</v>
      </c>
      <c r="JYM111" s="179" t="s">
        <v>428</v>
      </c>
      <c r="JYN111" s="180" t="str">
        <f>VLOOKUP(JYM111,[13]AssetDetails_UEM!$A$3:$AH$1849,6,FALSE)</f>
        <v>Electrosurgical Units, Monopolar/Bipolar</v>
      </c>
      <c r="JYO111" s="179" t="s">
        <v>428</v>
      </c>
      <c r="JYP111" s="180" t="str">
        <f>VLOOKUP(JYO111,[13]AssetDetails_UEM!$A$3:$AH$1849,6,FALSE)</f>
        <v>Electrosurgical Units, Monopolar/Bipolar</v>
      </c>
      <c r="JYQ111" s="179" t="s">
        <v>428</v>
      </c>
      <c r="JYR111" s="180" t="str">
        <f>VLOOKUP(JYQ111,[13]AssetDetails_UEM!$A$3:$AH$1849,6,FALSE)</f>
        <v>Electrosurgical Units, Monopolar/Bipolar</v>
      </c>
      <c r="JYS111" s="179" t="s">
        <v>428</v>
      </c>
      <c r="JYT111" s="180" t="str">
        <f>VLOOKUP(JYS111,[13]AssetDetails_UEM!$A$3:$AH$1849,6,FALSE)</f>
        <v>Electrosurgical Units, Monopolar/Bipolar</v>
      </c>
      <c r="JYU111" s="179" t="s">
        <v>428</v>
      </c>
      <c r="JYV111" s="180" t="str">
        <f>VLOOKUP(JYU111,[13]AssetDetails_UEM!$A$3:$AH$1849,6,FALSE)</f>
        <v>Electrosurgical Units, Monopolar/Bipolar</v>
      </c>
      <c r="JYW111" s="179" t="s">
        <v>428</v>
      </c>
      <c r="JYX111" s="180" t="str">
        <f>VLOOKUP(JYW111,[13]AssetDetails_UEM!$A$3:$AH$1849,6,FALSE)</f>
        <v>Electrosurgical Units, Monopolar/Bipolar</v>
      </c>
      <c r="JYY111" s="179" t="s">
        <v>428</v>
      </c>
      <c r="JYZ111" s="180" t="str">
        <f>VLOOKUP(JYY111,[13]AssetDetails_UEM!$A$3:$AH$1849,6,FALSE)</f>
        <v>Electrosurgical Units, Monopolar/Bipolar</v>
      </c>
      <c r="JZA111" s="179" t="s">
        <v>428</v>
      </c>
      <c r="JZB111" s="180" t="str">
        <f>VLOOKUP(JZA111,[13]AssetDetails_UEM!$A$3:$AH$1849,6,FALSE)</f>
        <v>Electrosurgical Units, Monopolar/Bipolar</v>
      </c>
      <c r="JZC111" s="179" t="s">
        <v>428</v>
      </c>
      <c r="JZD111" s="180" t="str">
        <f>VLOOKUP(JZC111,[13]AssetDetails_UEM!$A$3:$AH$1849,6,FALSE)</f>
        <v>Electrosurgical Units, Monopolar/Bipolar</v>
      </c>
      <c r="JZE111" s="179" t="s">
        <v>428</v>
      </c>
      <c r="JZF111" s="180" t="str">
        <f>VLOOKUP(JZE111,[13]AssetDetails_UEM!$A$3:$AH$1849,6,FALSE)</f>
        <v>Electrosurgical Units, Monopolar/Bipolar</v>
      </c>
      <c r="JZG111" s="179" t="s">
        <v>428</v>
      </c>
      <c r="JZH111" s="180" t="str">
        <f>VLOOKUP(JZG111,[13]AssetDetails_UEM!$A$3:$AH$1849,6,FALSE)</f>
        <v>Electrosurgical Units, Monopolar/Bipolar</v>
      </c>
      <c r="JZI111" s="179" t="s">
        <v>428</v>
      </c>
      <c r="JZJ111" s="180" t="str">
        <f>VLOOKUP(JZI111,[13]AssetDetails_UEM!$A$3:$AH$1849,6,FALSE)</f>
        <v>Electrosurgical Units, Monopolar/Bipolar</v>
      </c>
      <c r="JZK111" s="179" t="s">
        <v>428</v>
      </c>
      <c r="JZL111" s="180" t="str">
        <f>VLOOKUP(JZK111,[13]AssetDetails_UEM!$A$3:$AH$1849,6,FALSE)</f>
        <v>Electrosurgical Units, Monopolar/Bipolar</v>
      </c>
      <c r="JZM111" s="179" t="s">
        <v>428</v>
      </c>
      <c r="JZN111" s="180" t="str">
        <f>VLOOKUP(JZM111,[13]AssetDetails_UEM!$A$3:$AH$1849,6,FALSE)</f>
        <v>Electrosurgical Units, Monopolar/Bipolar</v>
      </c>
      <c r="JZO111" s="179" t="s">
        <v>428</v>
      </c>
      <c r="JZP111" s="180" t="str">
        <f>VLOOKUP(JZO111,[13]AssetDetails_UEM!$A$3:$AH$1849,6,FALSE)</f>
        <v>Electrosurgical Units, Monopolar/Bipolar</v>
      </c>
      <c r="JZQ111" s="179" t="s">
        <v>428</v>
      </c>
      <c r="JZR111" s="180" t="str">
        <f>VLOOKUP(JZQ111,[13]AssetDetails_UEM!$A$3:$AH$1849,6,FALSE)</f>
        <v>Electrosurgical Units, Monopolar/Bipolar</v>
      </c>
      <c r="JZS111" s="179" t="s">
        <v>428</v>
      </c>
      <c r="JZT111" s="180" t="str">
        <f>VLOOKUP(JZS111,[13]AssetDetails_UEM!$A$3:$AH$1849,6,FALSE)</f>
        <v>Electrosurgical Units, Monopolar/Bipolar</v>
      </c>
      <c r="JZU111" s="179" t="s">
        <v>428</v>
      </c>
      <c r="JZV111" s="180" t="str">
        <f>VLOOKUP(JZU111,[13]AssetDetails_UEM!$A$3:$AH$1849,6,FALSE)</f>
        <v>Electrosurgical Units, Monopolar/Bipolar</v>
      </c>
      <c r="JZW111" s="179" t="s">
        <v>428</v>
      </c>
      <c r="JZX111" s="180" t="str">
        <f>VLOOKUP(JZW111,[13]AssetDetails_UEM!$A$3:$AH$1849,6,FALSE)</f>
        <v>Electrosurgical Units, Monopolar/Bipolar</v>
      </c>
      <c r="JZY111" s="179" t="s">
        <v>428</v>
      </c>
      <c r="JZZ111" s="180" t="str">
        <f>VLOOKUP(JZY111,[13]AssetDetails_UEM!$A$3:$AH$1849,6,FALSE)</f>
        <v>Electrosurgical Units, Monopolar/Bipolar</v>
      </c>
      <c r="KAA111" s="179" t="s">
        <v>428</v>
      </c>
      <c r="KAB111" s="180" t="str">
        <f>VLOOKUP(KAA111,[13]AssetDetails_UEM!$A$3:$AH$1849,6,FALSE)</f>
        <v>Electrosurgical Units, Monopolar/Bipolar</v>
      </c>
      <c r="KAC111" s="179" t="s">
        <v>428</v>
      </c>
      <c r="KAD111" s="180" t="str">
        <f>VLOOKUP(KAC111,[13]AssetDetails_UEM!$A$3:$AH$1849,6,FALSE)</f>
        <v>Electrosurgical Units, Monopolar/Bipolar</v>
      </c>
      <c r="KAE111" s="179" t="s">
        <v>428</v>
      </c>
      <c r="KAF111" s="180" t="str">
        <f>VLOOKUP(KAE111,[13]AssetDetails_UEM!$A$3:$AH$1849,6,FALSE)</f>
        <v>Electrosurgical Units, Monopolar/Bipolar</v>
      </c>
      <c r="KAG111" s="179" t="s">
        <v>428</v>
      </c>
      <c r="KAH111" s="180" t="str">
        <f>VLOOKUP(KAG111,[13]AssetDetails_UEM!$A$3:$AH$1849,6,FALSE)</f>
        <v>Electrosurgical Units, Monopolar/Bipolar</v>
      </c>
      <c r="KAI111" s="179" t="s">
        <v>428</v>
      </c>
      <c r="KAJ111" s="180" t="str">
        <f>VLOOKUP(KAI111,[13]AssetDetails_UEM!$A$3:$AH$1849,6,FALSE)</f>
        <v>Electrosurgical Units, Monopolar/Bipolar</v>
      </c>
      <c r="KAK111" s="179" t="s">
        <v>428</v>
      </c>
      <c r="KAL111" s="180" t="str">
        <f>VLOOKUP(KAK111,[13]AssetDetails_UEM!$A$3:$AH$1849,6,FALSE)</f>
        <v>Electrosurgical Units, Monopolar/Bipolar</v>
      </c>
      <c r="KAM111" s="179" t="s">
        <v>428</v>
      </c>
      <c r="KAN111" s="180" t="str">
        <f>VLOOKUP(KAM111,[13]AssetDetails_UEM!$A$3:$AH$1849,6,FALSE)</f>
        <v>Electrosurgical Units, Monopolar/Bipolar</v>
      </c>
      <c r="KAO111" s="179" t="s">
        <v>428</v>
      </c>
      <c r="KAP111" s="180" t="str">
        <f>VLOOKUP(KAO111,[13]AssetDetails_UEM!$A$3:$AH$1849,6,FALSE)</f>
        <v>Electrosurgical Units, Monopolar/Bipolar</v>
      </c>
      <c r="KAQ111" s="179" t="s">
        <v>428</v>
      </c>
      <c r="KAR111" s="180" t="str">
        <f>VLOOKUP(KAQ111,[13]AssetDetails_UEM!$A$3:$AH$1849,6,FALSE)</f>
        <v>Electrosurgical Units, Monopolar/Bipolar</v>
      </c>
      <c r="KAS111" s="179" t="s">
        <v>428</v>
      </c>
      <c r="KAT111" s="180" t="str">
        <f>VLOOKUP(KAS111,[13]AssetDetails_UEM!$A$3:$AH$1849,6,FALSE)</f>
        <v>Electrosurgical Units, Monopolar/Bipolar</v>
      </c>
      <c r="KAU111" s="179" t="s">
        <v>428</v>
      </c>
      <c r="KAV111" s="180" t="str">
        <f>VLOOKUP(KAU111,[13]AssetDetails_UEM!$A$3:$AH$1849,6,FALSE)</f>
        <v>Electrosurgical Units, Monopolar/Bipolar</v>
      </c>
      <c r="KAW111" s="179" t="s">
        <v>428</v>
      </c>
      <c r="KAX111" s="180" t="str">
        <f>VLOOKUP(KAW111,[13]AssetDetails_UEM!$A$3:$AH$1849,6,FALSE)</f>
        <v>Electrosurgical Units, Monopolar/Bipolar</v>
      </c>
      <c r="KAY111" s="179" t="s">
        <v>428</v>
      </c>
      <c r="KAZ111" s="180" t="str">
        <f>VLOOKUP(KAY111,[13]AssetDetails_UEM!$A$3:$AH$1849,6,FALSE)</f>
        <v>Electrosurgical Units, Monopolar/Bipolar</v>
      </c>
      <c r="KBA111" s="179" t="s">
        <v>428</v>
      </c>
      <c r="KBB111" s="180" t="str">
        <f>VLOOKUP(KBA111,[13]AssetDetails_UEM!$A$3:$AH$1849,6,FALSE)</f>
        <v>Electrosurgical Units, Monopolar/Bipolar</v>
      </c>
      <c r="KBC111" s="179" t="s">
        <v>428</v>
      </c>
      <c r="KBD111" s="180" t="str">
        <f>VLOOKUP(KBC111,[13]AssetDetails_UEM!$A$3:$AH$1849,6,FALSE)</f>
        <v>Electrosurgical Units, Monopolar/Bipolar</v>
      </c>
      <c r="KBE111" s="179" t="s">
        <v>428</v>
      </c>
      <c r="KBF111" s="180" t="str">
        <f>VLOOKUP(KBE111,[13]AssetDetails_UEM!$A$3:$AH$1849,6,FALSE)</f>
        <v>Electrosurgical Units, Monopolar/Bipolar</v>
      </c>
      <c r="KBG111" s="179" t="s">
        <v>428</v>
      </c>
      <c r="KBH111" s="180" t="str">
        <f>VLOOKUP(KBG111,[13]AssetDetails_UEM!$A$3:$AH$1849,6,FALSE)</f>
        <v>Electrosurgical Units, Monopolar/Bipolar</v>
      </c>
      <c r="KBI111" s="179" t="s">
        <v>428</v>
      </c>
      <c r="KBJ111" s="180" t="str">
        <f>VLOOKUP(KBI111,[13]AssetDetails_UEM!$A$3:$AH$1849,6,FALSE)</f>
        <v>Electrosurgical Units, Monopolar/Bipolar</v>
      </c>
      <c r="KBK111" s="179" t="s">
        <v>428</v>
      </c>
      <c r="KBL111" s="180" t="str">
        <f>VLOOKUP(KBK111,[13]AssetDetails_UEM!$A$3:$AH$1849,6,FALSE)</f>
        <v>Electrosurgical Units, Monopolar/Bipolar</v>
      </c>
      <c r="KBM111" s="179" t="s">
        <v>428</v>
      </c>
      <c r="KBN111" s="180" t="str">
        <f>VLOOKUP(KBM111,[13]AssetDetails_UEM!$A$3:$AH$1849,6,FALSE)</f>
        <v>Electrosurgical Units, Monopolar/Bipolar</v>
      </c>
      <c r="KBO111" s="179" t="s">
        <v>428</v>
      </c>
      <c r="KBP111" s="180" t="str">
        <f>VLOOKUP(KBO111,[13]AssetDetails_UEM!$A$3:$AH$1849,6,FALSE)</f>
        <v>Electrosurgical Units, Monopolar/Bipolar</v>
      </c>
      <c r="KBQ111" s="179" t="s">
        <v>428</v>
      </c>
      <c r="KBR111" s="180" t="str">
        <f>VLOOKUP(KBQ111,[13]AssetDetails_UEM!$A$3:$AH$1849,6,FALSE)</f>
        <v>Electrosurgical Units, Monopolar/Bipolar</v>
      </c>
      <c r="KBS111" s="179" t="s">
        <v>428</v>
      </c>
      <c r="KBT111" s="180" t="str">
        <f>VLOOKUP(KBS111,[13]AssetDetails_UEM!$A$3:$AH$1849,6,FALSE)</f>
        <v>Electrosurgical Units, Monopolar/Bipolar</v>
      </c>
      <c r="KBU111" s="179" t="s">
        <v>428</v>
      </c>
      <c r="KBV111" s="180" t="str">
        <f>VLOOKUP(KBU111,[13]AssetDetails_UEM!$A$3:$AH$1849,6,FALSE)</f>
        <v>Electrosurgical Units, Monopolar/Bipolar</v>
      </c>
      <c r="KBW111" s="179" t="s">
        <v>428</v>
      </c>
      <c r="KBX111" s="180" t="str">
        <f>VLOOKUP(KBW111,[13]AssetDetails_UEM!$A$3:$AH$1849,6,FALSE)</f>
        <v>Electrosurgical Units, Monopolar/Bipolar</v>
      </c>
      <c r="KBY111" s="179" t="s">
        <v>428</v>
      </c>
      <c r="KBZ111" s="180" t="str">
        <f>VLOOKUP(KBY111,[13]AssetDetails_UEM!$A$3:$AH$1849,6,FALSE)</f>
        <v>Electrosurgical Units, Monopolar/Bipolar</v>
      </c>
      <c r="KCA111" s="179" t="s">
        <v>428</v>
      </c>
      <c r="KCB111" s="180" t="str">
        <f>VLOOKUP(KCA111,[13]AssetDetails_UEM!$A$3:$AH$1849,6,FALSE)</f>
        <v>Electrosurgical Units, Monopolar/Bipolar</v>
      </c>
      <c r="KCC111" s="179" t="s">
        <v>428</v>
      </c>
      <c r="KCD111" s="180" t="str">
        <f>VLOOKUP(KCC111,[13]AssetDetails_UEM!$A$3:$AH$1849,6,FALSE)</f>
        <v>Electrosurgical Units, Monopolar/Bipolar</v>
      </c>
      <c r="KCE111" s="179" t="s">
        <v>428</v>
      </c>
      <c r="KCF111" s="180" t="str">
        <f>VLOOKUP(KCE111,[13]AssetDetails_UEM!$A$3:$AH$1849,6,FALSE)</f>
        <v>Electrosurgical Units, Monopolar/Bipolar</v>
      </c>
      <c r="KCG111" s="179" t="s">
        <v>428</v>
      </c>
      <c r="KCH111" s="180" t="str">
        <f>VLOOKUP(KCG111,[13]AssetDetails_UEM!$A$3:$AH$1849,6,FALSE)</f>
        <v>Electrosurgical Units, Monopolar/Bipolar</v>
      </c>
      <c r="KCI111" s="179" t="s">
        <v>428</v>
      </c>
      <c r="KCJ111" s="180" t="str">
        <f>VLOOKUP(KCI111,[13]AssetDetails_UEM!$A$3:$AH$1849,6,FALSE)</f>
        <v>Electrosurgical Units, Monopolar/Bipolar</v>
      </c>
      <c r="KCK111" s="179" t="s">
        <v>428</v>
      </c>
      <c r="KCL111" s="180" t="str">
        <f>VLOOKUP(KCK111,[13]AssetDetails_UEM!$A$3:$AH$1849,6,FALSE)</f>
        <v>Electrosurgical Units, Monopolar/Bipolar</v>
      </c>
      <c r="KCM111" s="179" t="s">
        <v>428</v>
      </c>
      <c r="KCN111" s="180" t="str">
        <f>VLOOKUP(KCM111,[13]AssetDetails_UEM!$A$3:$AH$1849,6,FALSE)</f>
        <v>Electrosurgical Units, Monopolar/Bipolar</v>
      </c>
      <c r="KCO111" s="179" t="s">
        <v>428</v>
      </c>
      <c r="KCP111" s="180" t="str">
        <f>VLOOKUP(KCO111,[13]AssetDetails_UEM!$A$3:$AH$1849,6,FALSE)</f>
        <v>Electrosurgical Units, Monopolar/Bipolar</v>
      </c>
      <c r="KCQ111" s="179" t="s">
        <v>428</v>
      </c>
      <c r="KCR111" s="180" t="str">
        <f>VLOOKUP(KCQ111,[13]AssetDetails_UEM!$A$3:$AH$1849,6,FALSE)</f>
        <v>Electrosurgical Units, Monopolar/Bipolar</v>
      </c>
      <c r="KCS111" s="179" t="s">
        <v>428</v>
      </c>
      <c r="KCT111" s="180" t="str">
        <f>VLOOKUP(KCS111,[13]AssetDetails_UEM!$A$3:$AH$1849,6,FALSE)</f>
        <v>Electrosurgical Units, Monopolar/Bipolar</v>
      </c>
      <c r="KCU111" s="179" t="s">
        <v>428</v>
      </c>
      <c r="KCV111" s="180" t="str">
        <f>VLOOKUP(KCU111,[13]AssetDetails_UEM!$A$3:$AH$1849,6,FALSE)</f>
        <v>Electrosurgical Units, Monopolar/Bipolar</v>
      </c>
      <c r="KCW111" s="179" t="s">
        <v>428</v>
      </c>
      <c r="KCX111" s="180" t="str">
        <f>VLOOKUP(KCW111,[13]AssetDetails_UEM!$A$3:$AH$1849,6,FALSE)</f>
        <v>Electrosurgical Units, Monopolar/Bipolar</v>
      </c>
      <c r="KCY111" s="179" t="s">
        <v>428</v>
      </c>
      <c r="KCZ111" s="180" t="str">
        <f>VLOOKUP(KCY111,[13]AssetDetails_UEM!$A$3:$AH$1849,6,FALSE)</f>
        <v>Electrosurgical Units, Monopolar/Bipolar</v>
      </c>
      <c r="KDA111" s="179" t="s">
        <v>428</v>
      </c>
      <c r="KDB111" s="180" t="str">
        <f>VLOOKUP(KDA111,[13]AssetDetails_UEM!$A$3:$AH$1849,6,FALSE)</f>
        <v>Electrosurgical Units, Monopolar/Bipolar</v>
      </c>
      <c r="KDC111" s="179" t="s">
        <v>428</v>
      </c>
      <c r="KDD111" s="180" t="str">
        <f>VLOOKUP(KDC111,[13]AssetDetails_UEM!$A$3:$AH$1849,6,FALSE)</f>
        <v>Electrosurgical Units, Monopolar/Bipolar</v>
      </c>
      <c r="KDE111" s="179" t="s">
        <v>428</v>
      </c>
      <c r="KDF111" s="180" t="str">
        <f>VLOOKUP(KDE111,[13]AssetDetails_UEM!$A$3:$AH$1849,6,FALSE)</f>
        <v>Electrosurgical Units, Monopolar/Bipolar</v>
      </c>
      <c r="KDG111" s="179" t="s">
        <v>428</v>
      </c>
      <c r="KDH111" s="180" t="str">
        <f>VLOOKUP(KDG111,[13]AssetDetails_UEM!$A$3:$AH$1849,6,FALSE)</f>
        <v>Electrosurgical Units, Monopolar/Bipolar</v>
      </c>
      <c r="KDI111" s="179" t="s">
        <v>428</v>
      </c>
      <c r="KDJ111" s="180" t="str">
        <f>VLOOKUP(KDI111,[13]AssetDetails_UEM!$A$3:$AH$1849,6,FALSE)</f>
        <v>Electrosurgical Units, Monopolar/Bipolar</v>
      </c>
      <c r="KDK111" s="179" t="s">
        <v>428</v>
      </c>
      <c r="KDL111" s="180" t="str">
        <f>VLOOKUP(KDK111,[13]AssetDetails_UEM!$A$3:$AH$1849,6,FALSE)</f>
        <v>Electrosurgical Units, Monopolar/Bipolar</v>
      </c>
      <c r="KDM111" s="179" t="s">
        <v>428</v>
      </c>
      <c r="KDN111" s="180" t="str">
        <f>VLOOKUP(KDM111,[13]AssetDetails_UEM!$A$3:$AH$1849,6,FALSE)</f>
        <v>Electrosurgical Units, Monopolar/Bipolar</v>
      </c>
      <c r="KDO111" s="179" t="s">
        <v>428</v>
      </c>
      <c r="KDP111" s="180" t="str">
        <f>VLOOKUP(KDO111,[13]AssetDetails_UEM!$A$3:$AH$1849,6,FALSE)</f>
        <v>Electrosurgical Units, Monopolar/Bipolar</v>
      </c>
      <c r="KDQ111" s="179" t="s">
        <v>428</v>
      </c>
      <c r="KDR111" s="180" t="str">
        <f>VLOOKUP(KDQ111,[13]AssetDetails_UEM!$A$3:$AH$1849,6,FALSE)</f>
        <v>Electrosurgical Units, Monopolar/Bipolar</v>
      </c>
      <c r="KDS111" s="179" t="s">
        <v>428</v>
      </c>
      <c r="KDT111" s="180" t="str">
        <f>VLOOKUP(KDS111,[13]AssetDetails_UEM!$A$3:$AH$1849,6,FALSE)</f>
        <v>Electrosurgical Units, Monopolar/Bipolar</v>
      </c>
      <c r="KDU111" s="179" t="s">
        <v>428</v>
      </c>
      <c r="KDV111" s="180" t="str">
        <f>VLOOKUP(KDU111,[13]AssetDetails_UEM!$A$3:$AH$1849,6,FALSE)</f>
        <v>Electrosurgical Units, Monopolar/Bipolar</v>
      </c>
      <c r="KDW111" s="179" t="s">
        <v>428</v>
      </c>
      <c r="KDX111" s="180" t="str">
        <f>VLOOKUP(KDW111,[13]AssetDetails_UEM!$A$3:$AH$1849,6,FALSE)</f>
        <v>Electrosurgical Units, Monopolar/Bipolar</v>
      </c>
      <c r="KDY111" s="179" t="s">
        <v>428</v>
      </c>
      <c r="KDZ111" s="180" t="str">
        <f>VLOOKUP(KDY111,[13]AssetDetails_UEM!$A$3:$AH$1849,6,FALSE)</f>
        <v>Electrosurgical Units, Monopolar/Bipolar</v>
      </c>
      <c r="KEA111" s="179" t="s">
        <v>428</v>
      </c>
      <c r="KEB111" s="180" t="str">
        <f>VLOOKUP(KEA111,[13]AssetDetails_UEM!$A$3:$AH$1849,6,FALSE)</f>
        <v>Electrosurgical Units, Monopolar/Bipolar</v>
      </c>
      <c r="KEC111" s="179" t="s">
        <v>428</v>
      </c>
      <c r="KED111" s="180" t="str">
        <f>VLOOKUP(KEC111,[13]AssetDetails_UEM!$A$3:$AH$1849,6,FALSE)</f>
        <v>Electrosurgical Units, Monopolar/Bipolar</v>
      </c>
      <c r="KEE111" s="179" t="s">
        <v>428</v>
      </c>
      <c r="KEF111" s="180" t="str">
        <f>VLOOKUP(KEE111,[13]AssetDetails_UEM!$A$3:$AH$1849,6,FALSE)</f>
        <v>Electrosurgical Units, Monopolar/Bipolar</v>
      </c>
      <c r="KEG111" s="179" t="s">
        <v>428</v>
      </c>
      <c r="KEH111" s="180" t="str">
        <f>VLOOKUP(KEG111,[13]AssetDetails_UEM!$A$3:$AH$1849,6,FALSE)</f>
        <v>Electrosurgical Units, Monopolar/Bipolar</v>
      </c>
      <c r="KEI111" s="179" t="s">
        <v>428</v>
      </c>
      <c r="KEJ111" s="180" t="str">
        <f>VLOOKUP(KEI111,[13]AssetDetails_UEM!$A$3:$AH$1849,6,FALSE)</f>
        <v>Electrosurgical Units, Monopolar/Bipolar</v>
      </c>
      <c r="KEK111" s="179" t="s">
        <v>428</v>
      </c>
      <c r="KEL111" s="180" t="str">
        <f>VLOOKUP(KEK111,[13]AssetDetails_UEM!$A$3:$AH$1849,6,FALSE)</f>
        <v>Electrosurgical Units, Monopolar/Bipolar</v>
      </c>
      <c r="KEM111" s="179" t="s">
        <v>428</v>
      </c>
      <c r="KEN111" s="180" t="str">
        <f>VLOOKUP(KEM111,[13]AssetDetails_UEM!$A$3:$AH$1849,6,FALSE)</f>
        <v>Electrosurgical Units, Monopolar/Bipolar</v>
      </c>
      <c r="KEO111" s="179" t="s">
        <v>428</v>
      </c>
      <c r="KEP111" s="180" t="str">
        <f>VLOOKUP(KEO111,[13]AssetDetails_UEM!$A$3:$AH$1849,6,FALSE)</f>
        <v>Electrosurgical Units, Monopolar/Bipolar</v>
      </c>
      <c r="KEQ111" s="179" t="s">
        <v>428</v>
      </c>
      <c r="KER111" s="180" t="str">
        <f>VLOOKUP(KEQ111,[13]AssetDetails_UEM!$A$3:$AH$1849,6,FALSE)</f>
        <v>Electrosurgical Units, Monopolar/Bipolar</v>
      </c>
      <c r="KES111" s="179" t="s">
        <v>428</v>
      </c>
      <c r="KET111" s="180" t="str">
        <f>VLOOKUP(KES111,[13]AssetDetails_UEM!$A$3:$AH$1849,6,FALSE)</f>
        <v>Electrosurgical Units, Monopolar/Bipolar</v>
      </c>
      <c r="KEU111" s="179" t="s">
        <v>428</v>
      </c>
      <c r="KEV111" s="180" t="str">
        <f>VLOOKUP(KEU111,[13]AssetDetails_UEM!$A$3:$AH$1849,6,FALSE)</f>
        <v>Electrosurgical Units, Monopolar/Bipolar</v>
      </c>
      <c r="KEW111" s="179" t="s">
        <v>428</v>
      </c>
      <c r="KEX111" s="180" t="str">
        <f>VLOOKUP(KEW111,[13]AssetDetails_UEM!$A$3:$AH$1849,6,FALSE)</f>
        <v>Electrosurgical Units, Monopolar/Bipolar</v>
      </c>
      <c r="KEY111" s="179" t="s">
        <v>428</v>
      </c>
      <c r="KEZ111" s="180" t="str">
        <f>VLOOKUP(KEY111,[13]AssetDetails_UEM!$A$3:$AH$1849,6,FALSE)</f>
        <v>Electrosurgical Units, Monopolar/Bipolar</v>
      </c>
      <c r="KFA111" s="179" t="s">
        <v>428</v>
      </c>
      <c r="KFB111" s="180" t="str">
        <f>VLOOKUP(KFA111,[13]AssetDetails_UEM!$A$3:$AH$1849,6,FALSE)</f>
        <v>Electrosurgical Units, Monopolar/Bipolar</v>
      </c>
      <c r="KFC111" s="179" t="s">
        <v>428</v>
      </c>
      <c r="KFD111" s="180" t="str">
        <f>VLOOKUP(KFC111,[13]AssetDetails_UEM!$A$3:$AH$1849,6,FALSE)</f>
        <v>Electrosurgical Units, Monopolar/Bipolar</v>
      </c>
      <c r="KFE111" s="179" t="s">
        <v>428</v>
      </c>
      <c r="KFF111" s="180" t="str">
        <f>VLOOKUP(KFE111,[13]AssetDetails_UEM!$A$3:$AH$1849,6,FALSE)</f>
        <v>Electrosurgical Units, Monopolar/Bipolar</v>
      </c>
      <c r="KFG111" s="179" t="s">
        <v>428</v>
      </c>
      <c r="KFH111" s="180" t="str">
        <f>VLOOKUP(KFG111,[13]AssetDetails_UEM!$A$3:$AH$1849,6,FALSE)</f>
        <v>Electrosurgical Units, Monopolar/Bipolar</v>
      </c>
      <c r="KFI111" s="179" t="s">
        <v>428</v>
      </c>
      <c r="KFJ111" s="180" t="str">
        <f>VLOOKUP(KFI111,[13]AssetDetails_UEM!$A$3:$AH$1849,6,FALSE)</f>
        <v>Electrosurgical Units, Monopolar/Bipolar</v>
      </c>
      <c r="KFK111" s="179" t="s">
        <v>428</v>
      </c>
      <c r="KFL111" s="180" t="str">
        <f>VLOOKUP(KFK111,[13]AssetDetails_UEM!$A$3:$AH$1849,6,FALSE)</f>
        <v>Electrosurgical Units, Monopolar/Bipolar</v>
      </c>
      <c r="KFM111" s="179" t="s">
        <v>428</v>
      </c>
      <c r="KFN111" s="180" t="str">
        <f>VLOOKUP(KFM111,[13]AssetDetails_UEM!$A$3:$AH$1849,6,FALSE)</f>
        <v>Electrosurgical Units, Monopolar/Bipolar</v>
      </c>
      <c r="KFO111" s="179" t="s">
        <v>428</v>
      </c>
      <c r="KFP111" s="180" t="str">
        <f>VLOOKUP(KFO111,[13]AssetDetails_UEM!$A$3:$AH$1849,6,FALSE)</f>
        <v>Electrosurgical Units, Monopolar/Bipolar</v>
      </c>
      <c r="KFQ111" s="179" t="s">
        <v>428</v>
      </c>
      <c r="KFR111" s="180" t="str">
        <f>VLOOKUP(KFQ111,[13]AssetDetails_UEM!$A$3:$AH$1849,6,FALSE)</f>
        <v>Electrosurgical Units, Monopolar/Bipolar</v>
      </c>
      <c r="KFS111" s="179" t="s">
        <v>428</v>
      </c>
      <c r="KFT111" s="180" t="str">
        <f>VLOOKUP(KFS111,[13]AssetDetails_UEM!$A$3:$AH$1849,6,FALSE)</f>
        <v>Electrosurgical Units, Monopolar/Bipolar</v>
      </c>
      <c r="KFU111" s="179" t="s">
        <v>428</v>
      </c>
      <c r="KFV111" s="180" t="str">
        <f>VLOOKUP(KFU111,[13]AssetDetails_UEM!$A$3:$AH$1849,6,FALSE)</f>
        <v>Electrosurgical Units, Monopolar/Bipolar</v>
      </c>
      <c r="KFW111" s="179" t="s">
        <v>428</v>
      </c>
      <c r="KFX111" s="180" t="str">
        <f>VLOOKUP(KFW111,[13]AssetDetails_UEM!$A$3:$AH$1849,6,FALSE)</f>
        <v>Electrosurgical Units, Monopolar/Bipolar</v>
      </c>
      <c r="KFY111" s="179" t="s">
        <v>428</v>
      </c>
      <c r="KFZ111" s="180" t="str">
        <f>VLOOKUP(KFY111,[13]AssetDetails_UEM!$A$3:$AH$1849,6,FALSE)</f>
        <v>Electrosurgical Units, Monopolar/Bipolar</v>
      </c>
      <c r="KGA111" s="179" t="s">
        <v>428</v>
      </c>
      <c r="KGB111" s="180" t="str">
        <f>VLOOKUP(KGA111,[13]AssetDetails_UEM!$A$3:$AH$1849,6,FALSE)</f>
        <v>Electrosurgical Units, Monopolar/Bipolar</v>
      </c>
      <c r="KGC111" s="179" t="s">
        <v>428</v>
      </c>
      <c r="KGD111" s="180" t="str">
        <f>VLOOKUP(KGC111,[13]AssetDetails_UEM!$A$3:$AH$1849,6,FALSE)</f>
        <v>Electrosurgical Units, Monopolar/Bipolar</v>
      </c>
      <c r="KGE111" s="179" t="s">
        <v>428</v>
      </c>
      <c r="KGF111" s="180" t="str">
        <f>VLOOKUP(KGE111,[13]AssetDetails_UEM!$A$3:$AH$1849,6,FALSE)</f>
        <v>Electrosurgical Units, Monopolar/Bipolar</v>
      </c>
      <c r="KGG111" s="179" t="s">
        <v>428</v>
      </c>
      <c r="KGH111" s="180" t="str">
        <f>VLOOKUP(KGG111,[13]AssetDetails_UEM!$A$3:$AH$1849,6,FALSE)</f>
        <v>Electrosurgical Units, Monopolar/Bipolar</v>
      </c>
      <c r="KGI111" s="179" t="s">
        <v>428</v>
      </c>
      <c r="KGJ111" s="180" t="str">
        <f>VLOOKUP(KGI111,[13]AssetDetails_UEM!$A$3:$AH$1849,6,FALSE)</f>
        <v>Electrosurgical Units, Monopolar/Bipolar</v>
      </c>
      <c r="KGK111" s="179" t="s">
        <v>428</v>
      </c>
      <c r="KGL111" s="180" t="str">
        <f>VLOOKUP(KGK111,[13]AssetDetails_UEM!$A$3:$AH$1849,6,FALSE)</f>
        <v>Electrosurgical Units, Monopolar/Bipolar</v>
      </c>
      <c r="KGM111" s="179" t="s">
        <v>428</v>
      </c>
      <c r="KGN111" s="180" t="str">
        <f>VLOOKUP(KGM111,[13]AssetDetails_UEM!$A$3:$AH$1849,6,FALSE)</f>
        <v>Electrosurgical Units, Monopolar/Bipolar</v>
      </c>
      <c r="KGO111" s="179" t="s">
        <v>428</v>
      </c>
      <c r="KGP111" s="180" t="str">
        <f>VLOOKUP(KGO111,[13]AssetDetails_UEM!$A$3:$AH$1849,6,FALSE)</f>
        <v>Electrosurgical Units, Monopolar/Bipolar</v>
      </c>
      <c r="KGQ111" s="179" t="s">
        <v>428</v>
      </c>
      <c r="KGR111" s="180" t="str">
        <f>VLOOKUP(KGQ111,[13]AssetDetails_UEM!$A$3:$AH$1849,6,FALSE)</f>
        <v>Electrosurgical Units, Monopolar/Bipolar</v>
      </c>
      <c r="KGS111" s="179" t="s">
        <v>428</v>
      </c>
      <c r="KGT111" s="180" t="str">
        <f>VLOOKUP(KGS111,[13]AssetDetails_UEM!$A$3:$AH$1849,6,FALSE)</f>
        <v>Electrosurgical Units, Monopolar/Bipolar</v>
      </c>
      <c r="KGU111" s="179" t="s">
        <v>428</v>
      </c>
      <c r="KGV111" s="180" t="str">
        <f>VLOOKUP(KGU111,[13]AssetDetails_UEM!$A$3:$AH$1849,6,FALSE)</f>
        <v>Electrosurgical Units, Monopolar/Bipolar</v>
      </c>
      <c r="KGW111" s="179" t="s">
        <v>428</v>
      </c>
      <c r="KGX111" s="180" t="str">
        <f>VLOOKUP(KGW111,[13]AssetDetails_UEM!$A$3:$AH$1849,6,FALSE)</f>
        <v>Electrosurgical Units, Monopolar/Bipolar</v>
      </c>
      <c r="KGY111" s="179" t="s">
        <v>428</v>
      </c>
      <c r="KGZ111" s="180" t="str">
        <f>VLOOKUP(KGY111,[13]AssetDetails_UEM!$A$3:$AH$1849,6,FALSE)</f>
        <v>Electrosurgical Units, Monopolar/Bipolar</v>
      </c>
      <c r="KHA111" s="179" t="s">
        <v>428</v>
      </c>
      <c r="KHB111" s="180" t="str">
        <f>VLOOKUP(KHA111,[13]AssetDetails_UEM!$A$3:$AH$1849,6,FALSE)</f>
        <v>Electrosurgical Units, Monopolar/Bipolar</v>
      </c>
      <c r="KHC111" s="179" t="s">
        <v>428</v>
      </c>
      <c r="KHD111" s="180" t="str">
        <f>VLOOKUP(KHC111,[13]AssetDetails_UEM!$A$3:$AH$1849,6,FALSE)</f>
        <v>Electrosurgical Units, Monopolar/Bipolar</v>
      </c>
      <c r="KHE111" s="179" t="s">
        <v>428</v>
      </c>
      <c r="KHF111" s="180" t="str">
        <f>VLOOKUP(KHE111,[13]AssetDetails_UEM!$A$3:$AH$1849,6,FALSE)</f>
        <v>Electrosurgical Units, Monopolar/Bipolar</v>
      </c>
      <c r="KHG111" s="179" t="s">
        <v>428</v>
      </c>
      <c r="KHH111" s="180" t="str">
        <f>VLOOKUP(KHG111,[13]AssetDetails_UEM!$A$3:$AH$1849,6,FALSE)</f>
        <v>Electrosurgical Units, Monopolar/Bipolar</v>
      </c>
      <c r="KHI111" s="179" t="s">
        <v>428</v>
      </c>
      <c r="KHJ111" s="180" t="str">
        <f>VLOOKUP(KHI111,[13]AssetDetails_UEM!$A$3:$AH$1849,6,FALSE)</f>
        <v>Electrosurgical Units, Monopolar/Bipolar</v>
      </c>
      <c r="KHK111" s="179" t="s">
        <v>428</v>
      </c>
      <c r="KHL111" s="180" t="str">
        <f>VLOOKUP(KHK111,[13]AssetDetails_UEM!$A$3:$AH$1849,6,FALSE)</f>
        <v>Electrosurgical Units, Monopolar/Bipolar</v>
      </c>
      <c r="KHM111" s="179" t="s">
        <v>428</v>
      </c>
      <c r="KHN111" s="180" t="str">
        <f>VLOOKUP(KHM111,[13]AssetDetails_UEM!$A$3:$AH$1849,6,FALSE)</f>
        <v>Electrosurgical Units, Monopolar/Bipolar</v>
      </c>
      <c r="KHO111" s="179" t="s">
        <v>428</v>
      </c>
      <c r="KHP111" s="180" t="str">
        <f>VLOOKUP(KHO111,[13]AssetDetails_UEM!$A$3:$AH$1849,6,FALSE)</f>
        <v>Electrosurgical Units, Monopolar/Bipolar</v>
      </c>
      <c r="KHQ111" s="179" t="s">
        <v>428</v>
      </c>
      <c r="KHR111" s="180" t="str">
        <f>VLOOKUP(KHQ111,[13]AssetDetails_UEM!$A$3:$AH$1849,6,FALSE)</f>
        <v>Electrosurgical Units, Monopolar/Bipolar</v>
      </c>
      <c r="KHS111" s="179" t="s">
        <v>428</v>
      </c>
      <c r="KHT111" s="180" t="str">
        <f>VLOOKUP(KHS111,[13]AssetDetails_UEM!$A$3:$AH$1849,6,FALSE)</f>
        <v>Electrosurgical Units, Monopolar/Bipolar</v>
      </c>
      <c r="KHU111" s="179" t="s">
        <v>428</v>
      </c>
      <c r="KHV111" s="180" t="str">
        <f>VLOOKUP(KHU111,[13]AssetDetails_UEM!$A$3:$AH$1849,6,FALSE)</f>
        <v>Electrosurgical Units, Monopolar/Bipolar</v>
      </c>
      <c r="KHW111" s="179" t="s">
        <v>428</v>
      </c>
      <c r="KHX111" s="180" t="str">
        <f>VLOOKUP(KHW111,[13]AssetDetails_UEM!$A$3:$AH$1849,6,FALSE)</f>
        <v>Electrosurgical Units, Monopolar/Bipolar</v>
      </c>
      <c r="KHY111" s="179" t="s">
        <v>428</v>
      </c>
      <c r="KHZ111" s="180" t="str">
        <f>VLOOKUP(KHY111,[13]AssetDetails_UEM!$A$3:$AH$1849,6,FALSE)</f>
        <v>Electrosurgical Units, Monopolar/Bipolar</v>
      </c>
      <c r="KIA111" s="179" t="s">
        <v>428</v>
      </c>
      <c r="KIB111" s="180" t="str">
        <f>VLOOKUP(KIA111,[13]AssetDetails_UEM!$A$3:$AH$1849,6,FALSE)</f>
        <v>Electrosurgical Units, Monopolar/Bipolar</v>
      </c>
      <c r="KIC111" s="179" t="s">
        <v>428</v>
      </c>
      <c r="KID111" s="180" t="str">
        <f>VLOOKUP(KIC111,[13]AssetDetails_UEM!$A$3:$AH$1849,6,FALSE)</f>
        <v>Electrosurgical Units, Monopolar/Bipolar</v>
      </c>
      <c r="KIE111" s="179" t="s">
        <v>428</v>
      </c>
      <c r="KIF111" s="180" t="str">
        <f>VLOOKUP(KIE111,[13]AssetDetails_UEM!$A$3:$AH$1849,6,FALSE)</f>
        <v>Electrosurgical Units, Monopolar/Bipolar</v>
      </c>
      <c r="KIG111" s="179" t="s">
        <v>428</v>
      </c>
      <c r="KIH111" s="180" t="str">
        <f>VLOOKUP(KIG111,[13]AssetDetails_UEM!$A$3:$AH$1849,6,FALSE)</f>
        <v>Electrosurgical Units, Monopolar/Bipolar</v>
      </c>
      <c r="KII111" s="179" t="s">
        <v>428</v>
      </c>
      <c r="KIJ111" s="180" t="str">
        <f>VLOOKUP(KII111,[13]AssetDetails_UEM!$A$3:$AH$1849,6,FALSE)</f>
        <v>Electrosurgical Units, Monopolar/Bipolar</v>
      </c>
      <c r="KIK111" s="179" t="s">
        <v>428</v>
      </c>
      <c r="KIL111" s="180" t="str">
        <f>VLOOKUP(KIK111,[13]AssetDetails_UEM!$A$3:$AH$1849,6,FALSE)</f>
        <v>Electrosurgical Units, Monopolar/Bipolar</v>
      </c>
      <c r="KIM111" s="179" t="s">
        <v>428</v>
      </c>
      <c r="KIN111" s="180" t="str">
        <f>VLOOKUP(KIM111,[13]AssetDetails_UEM!$A$3:$AH$1849,6,FALSE)</f>
        <v>Electrosurgical Units, Monopolar/Bipolar</v>
      </c>
      <c r="KIO111" s="179" t="s">
        <v>428</v>
      </c>
      <c r="KIP111" s="180" t="str">
        <f>VLOOKUP(KIO111,[13]AssetDetails_UEM!$A$3:$AH$1849,6,FALSE)</f>
        <v>Electrosurgical Units, Monopolar/Bipolar</v>
      </c>
      <c r="KIQ111" s="179" t="s">
        <v>428</v>
      </c>
      <c r="KIR111" s="180" t="str">
        <f>VLOOKUP(KIQ111,[13]AssetDetails_UEM!$A$3:$AH$1849,6,FALSE)</f>
        <v>Electrosurgical Units, Monopolar/Bipolar</v>
      </c>
      <c r="KIS111" s="179" t="s">
        <v>428</v>
      </c>
      <c r="KIT111" s="180" t="str">
        <f>VLOOKUP(KIS111,[13]AssetDetails_UEM!$A$3:$AH$1849,6,FALSE)</f>
        <v>Electrosurgical Units, Monopolar/Bipolar</v>
      </c>
      <c r="KIU111" s="179" t="s">
        <v>428</v>
      </c>
      <c r="KIV111" s="180" t="str">
        <f>VLOOKUP(KIU111,[13]AssetDetails_UEM!$A$3:$AH$1849,6,FALSE)</f>
        <v>Electrosurgical Units, Monopolar/Bipolar</v>
      </c>
      <c r="KIW111" s="179" t="s">
        <v>428</v>
      </c>
      <c r="KIX111" s="180" t="str">
        <f>VLOOKUP(KIW111,[13]AssetDetails_UEM!$A$3:$AH$1849,6,FALSE)</f>
        <v>Electrosurgical Units, Monopolar/Bipolar</v>
      </c>
      <c r="KIY111" s="179" t="s">
        <v>428</v>
      </c>
      <c r="KIZ111" s="180" t="str">
        <f>VLOOKUP(KIY111,[13]AssetDetails_UEM!$A$3:$AH$1849,6,FALSE)</f>
        <v>Electrosurgical Units, Monopolar/Bipolar</v>
      </c>
      <c r="KJA111" s="179" t="s">
        <v>428</v>
      </c>
      <c r="KJB111" s="180" t="str">
        <f>VLOOKUP(KJA111,[13]AssetDetails_UEM!$A$3:$AH$1849,6,FALSE)</f>
        <v>Electrosurgical Units, Monopolar/Bipolar</v>
      </c>
      <c r="KJC111" s="179" t="s">
        <v>428</v>
      </c>
      <c r="KJD111" s="180" t="str">
        <f>VLOOKUP(KJC111,[13]AssetDetails_UEM!$A$3:$AH$1849,6,FALSE)</f>
        <v>Electrosurgical Units, Monopolar/Bipolar</v>
      </c>
      <c r="KJE111" s="179" t="s">
        <v>428</v>
      </c>
      <c r="KJF111" s="180" t="str">
        <f>VLOOKUP(KJE111,[13]AssetDetails_UEM!$A$3:$AH$1849,6,FALSE)</f>
        <v>Electrosurgical Units, Monopolar/Bipolar</v>
      </c>
      <c r="KJG111" s="179" t="s">
        <v>428</v>
      </c>
      <c r="KJH111" s="180" t="str">
        <f>VLOOKUP(KJG111,[13]AssetDetails_UEM!$A$3:$AH$1849,6,FALSE)</f>
        <v>Electrosurgical Units, Monopolar/Bipolar</v>
      </c>
      <c r="KJI111" s="179" t="s">
        <v>428</v>
      </c>
      <c r="KJJ111" s="180" t="str">
        <f>VLOOKUP(KJI111,[13]AssetDetails_UEM!$A$3:$AH$1849,6,FALSE)</f>
        <v>Electrosurgical Units, Monopolar/Bipolar</v>
      </c>
      <c r="KJK111" s="179" t="s">
        <v>428</v>
      </c>
      <c r="KJL111" s="180" t="str">
        <f>VLOOKUP(KJK111,[13]AssetDetails_UEM!$A$3:$AH$1849,6,FALSE)</f>
        <v>Electrosurgical Units, Monopolar/Bipolar</v>
      </c>
      <c r="KJM111" s="179" t="s">
        <v>428</v>
      </c>
      <c r="KJN111" s="180" t="str">
        <f>VLOOKUP(KJM111,[13]AssetDetails_UEM!$A$3:$AH$1849,6,FALSE)</f>
        <v>Electrosurgical Units, Monopolar/Bipolar</v>
      </c>
      <c r="KJO111" s="179" t="s">
        <v>428</v>
      </c>
      <c r="KJP111" s="180" t="str">
        <f>VLOOKUP(KJO111,[13]AssetDetails_UEM!$A$3:$AH$1849,6,FALSE)</f>
        <v>Electrosurgical Units, Monopolar/Bipolar</v>
      </c>
      <c r="KJQ111" s="179" t="s">
        <v>428</v>
      </c>
      <c r="KJR111" s="180" t="str">
        <f>VLOOKUP(KJQ111,[13]AssetDetails_UEM!$A$3:$AH$1849,6,FALSE)</f>
        <v>Electrosurgical Units, Monopolar/Bipolar</v>
      </c>
      <c r="KJS111" s="179" t="s">
        <v>428</v>
      </c>
      <c r="KJT111" s="180" t="str">
        <f>VLOOKUP(KJS111,[13]AssetDetails_UEM!$A$3:$AH$1849,6,FALSE)</f>
        <v>Electrosurgical Units, Monopolar/Bipolar</v>
      </c>
      <c r="KJU111" s="179" t="s">
        <v>428</v>
      </c>
      <c r="KJV111" s="180" t="str">
        <f>VLOOKUP(KJU111,[13]AssetDetails_UEM!$A$3:$AH$1849,6,FALSE)</f>
        <v>Electrosurgical Units, Monopolar/Bipolar</v>
      </c>
      <c r="KJW111" s="179" t="s">
        <v>428</v>
      </c>
      <c r="KJX111" s="180" t="str">
        <f>VLOOKUP(KJW111,[13]AssetDetails_UEM!$A$3:$AH$1849,6,FALSE)</f>
        <v>Electrosurgical Units, Monopolar/Bipolar</v>
      </c>
      <c r="KJY111" s="179" t="s">
        <v>428</v>
      </c>
      <c r="KJZ111" s="180" t="str">
        <f>VLOOKUP(KJY111,[13]AssetDetails_UEM!$A$3:$AH$1849,6,FALSE)</f>
        <v>Electrosurgical Units, Monopolar/Bipolar</v>
      </c>
      <c r="KKA111" s="179" t="s">
        <v>428</v>
      </c>
      <c r="KKB111" s="180" t="str">
        <f>VLOOKUP(KKA111,[13]AssetDetails_UEM!$A$3:$AH$1849,6,FALSE)</f>
        <v>Electrosurgical Units, Monopolar/Bipolar</v>
      </c>
      <c r="KKC111" s="179" t="s">
        <v>428</v>
      </c>
      <c r="KKD111" s="180" t="str">
        <f>VLOOKUP(KKC111,[13]AssetDetails_UEM!$A$3:$AH$1849,6,FALSE)</f>
        <v>Electrosurgical Units, Monopolar/Bipolar</v>
      </c>
      <c r="KKE111" s="179" t="s">
        <v>428</v>
      </c>
      <c r="KKF111" s="180" t="str">
        <f>VLOOKUP(KKE111,[13]AssetDetails_UEM!$A$3:$AH$1849,6,FALSE)</f>
        <v>Electrosurgical Units, Monopolar/Bipolar</v>
      </c>
      <c r="KKG111" s="179" t="s">
        <v>428</v>
      </c>
      <c r="KKH111" s="180" t="str">
        <f>VLOOKUP(KKG111,[13]AssetDetails_UEM!$A$3:$AH$1849,6,FALSE)</f>
        <v>Electrosurgical Units, Monopolar/Bipolar</v>
      </c>
      <c r="KKI111" s="179" t="s">
        <v>428</v>
      </c>
      <c r="KKJ111" s="180" t="str">
        <f>VLOOKUP(KKI111,[13]AssetDetails_UEM!$A$3:$AH$1849,6,FALSE)</f>
        <v>Electrosurgical Units, Monopolar/Bipolar</v>
      </c>
      <c r="KKK111" s="179" t="s">
        <v>428</v>
      </c>
      <c r="KKL111" s="180" t="str">
        <f>VLOOKUP(KKK111,[13]AssetDetails_UEM!$A$3:$AH$1849,6,FALSE)</f>
        <v>Electrosurgical Units, Monopolar/Bipolar</v>
      </c>
      <c r="KKM111" s="179" t="s">
        <v>428</v>
      </c>
      <c r="KKN111" s="180" t="str">
        <f>VLOOKUP(KKM111,[13]AssetDetails_UEM!$A$3:$AH$1849,6,FALSE)</f>
        <v>Electrosurgical Units, Monopolar/Bipolar</v>
      </c>
      <c r="KKO111" s="179" t="s">
        <v>428</v>
      </c>
      <c r="KKP111" s="180" t="str">
        <f>VLOOKUP(KKO111,[13]AssetDetails_UEM!$A$3:$AH$1849,6,FALSE)</f>
        <v>Electrosurgical Units, Monopolar/Bipolar</v>
      </c>
      <c r="KKQ111" s="179" t="s">
        <v>428</v>
      </c>
      <c r="KKR111" s="180" t="str">
        <f>VLOOKUP(KKQ111,[13]AssetDetails_UEM!$A$3:$AH$1849,6,FALSE)</f>
        <v>Electrosurgical Units, Monopolar/Bipolar</v>
      </c>
      <c r="KKS111" s="179" t="s">
        <v>428</v>
      </c>
      <c r="KKT111" s="180" t="str">
        <f>VLOOKUP(KKS111,[13]AssetDetails_UEM!$A$3:$AH$1849,6,FALSE)</f>
        <v>Electrosurgical Units, Monopolar/Bipolar</v>
      </c>
      <c r="KKU111" s="179" t="s">
        <v>428</v>
      </c>
      <c r="KKV111" s="180" t="str">
        <f>VLOOKUP(KKU111,[13]AssetDetails_UEM!$A$3:$AH$1849,6,FALSE)</f>
        <v>Electrosurgical Units, Monopolar/Bipolar</v>
      </c>
      <c r="KKW111" s="179" t="s">
        <v>428</v>
      </c>
      <c r="KKX111" s="180" t="str">
        <f>VLOOKUP(KKW111,[13]AssetDetails_UEM!$A$3:$AH$1849,6,FALSE)</f>
        <v>Electrosurgical Units, Monopolar/Bipolar</v>
      </c>
      <c r="KKY111" s="179" t="s">
        <v>428</v>
      </c>
      <c r="KKZ111" s="180" t="str">
        <f>VLOOKUP(KKY111,[13]AssetDetails_UEM!$A$3:$AH$1849,6,FALSE)</f>
        <v>Electrosurgical Units, Monopolar/Bipolar</v>
      </c>
      <c r="KLA111" s="179" t="s">
        <v>428</v>
      </c>
      <c r="KLB111" s="180" t="str">
        <f>VLOOKUP(KLA111,[13]AssetDetails_UEM!$A$3:$AH$1849,6,FALSE)</f>
        <v>Electrosurgical Units, Monopolar/Bipolar</v>
      </c>
      <c r="KLC111" s="179" t="s">
        <v>428</v>
      </c>
      <c r="KLD111" s="180" t="str">
        <f>VLOOKUP(KLC111,[13]AssetDetails_UEM!$A$3:$AH$1849,6,FALSE)</f>
        <v>Electrosurgical Units, Monopolar/Bipolar</v>
      </c>
      <c r="KLE111" s="179" t="s">
        <v>428</v>
      </c>
      <c r="KLF111" s="180" t="str">
        <f>VLOOKUP(KLE111,[13]AssetDetails_UEM!$A$3:$AH$1849,6,FALSE)</f>
        <v>Electrosurgical Units, Monopolar/Bipolar</v>
      </c>
      <c r="KLG111" s="179" t="s">
        <v>428</v>
      </c>
      <c r="KLH111" s="180" t="str">
        <f>VLOOKUP(KLG111,[13]AssetDetails_UEM!$A$3:$AH$1849,6,FALSE)</f>
        <v>Electrosurgical Units, Monopolar/Bipolar</v>
      </c>
      <c r="KLI111" s="179" t="s">
        <v>428</v>
      </c>
      <c r="KLJ111" s="180" t="str">
        <f>VLOOKUP(KLI111,[13]AssetDetails_UEM!$A$3:$AH$1849,6,FALSE)</f>
        <v>Electrosurgical Units, Monopolar/Bipolar</v>
      </c>
      <c r="KLK111" s="179" t="s">
        <v>428</v>
      </c>
      <c r="KLL111" s="180" t="str">
        <f>VLOOKUP(KLK111,[13]AssetDetails_UEM!$A$3:$AH$1849,6,FALSE)</f>
        <v>Electrosurgical Units, Monopolar/Bipolar</v>
      </c>
      <c r="KLM111" s="179" t="s">
        <v>428</v>
      </c>
      <c r="KLN111" s="180" t="str">
        <f>VLOOKUP(KLM111,[13]AssetDetails_UEM!$A$3:$AH$1849,6,FALSE)</f>
        <v>Electrosurgical Units, Monopolar/Bipolar</v>
      </c>
      <c r="KLO111" s="179" t="s">
        <v>428</v>
      </c>
      <c r="KLP111" s="180" t="str">
        <f>VLOOKUP(KLO111,[13]AssetDetails_UEM!$A$3:$AH$1849,6,FALSE)</f>
        <v>Electrosurgical Units, Monopolar/Bipolar</v>
      </c>
      <c r="KLQ111" s="179" t="s">
        <v>428</v>
      </c>
      <c r="KLR111" s="180" t="str">
        <f>VLOOKUP(KLQ111,[13]AssetDetails_UEM!$A$3:$AH$1849,6,FALSE)</f>
        <v>Electrosurgical Units, Monopolar/Bipolar</v>
      </c>
      <c r="KLS111" s="179" t="s">
        <v>428</v>
      </c>
      <c r="KLT111" s="180" t="str">
        <f>VLOOKUP(KLS111,[13]AssetDetails_UEM!$A$3:$AH$1849,6,FALSE)</f>
        <v>Electrosurgical Units, Monopolar/Bipolar</v>
      </c>
      <c r="KLU111" s="179" t="s">
        <v>428</v>
      </c>
      <c r="KLV111" s="180" t="str">
        <f>VLOOKUP(KLU111,[13]AssetDetails_UEM!$A$3:$AH$1849,6,FALSE)</f>
        <v>Electrosurgical Units, Monopolar/Bipolar</v>
      </c>
      <c r="KLW111" s="179" t="s">
        <v>428</v>
      </c>
      <c r="KLX111" s="180" t="str">
        <f>VLOOKUP(KLW111,[13]AssetDetails_UEM!$A$3:$AH$1849,6,FALSE)</f>
        <v>Electrosurgical Units, Monopolar/Bipolar</v>
      </c>
      <c r="KLY111" s="179" t="s">
        <v>428</v>
      </c>
      <c r="KLZ111" s="180" t="str">
        <f>VLOOKUP(KLY111,[13]AssetDetails_UEM!$A$3:$AH$1849,6,FALSE)</f>
        <v>Electrosurgical Units, Monopolar/Bipolar</v>
      </c>
      <c r="KMA111" s="179" t="s">
        <v>428</v>
      </c>
      <c r="KMB111" s="180" t="str">
        <f>VLOOKUP(KMA111,[13]AssetDetails_UEM!$A$3:$AH$1849,6,FALSE)</f>
        <v>Electrosurgical Units, Monopolar/Bipolar</v>
      </c>
      <c r="KMC111" s="179" t="s">
        <v>428</v>
      </c>
      <c r="KMD111" s="180" t="str">
        <f>VLOOKUP(KMC111,[13]AssetDetails_UEM!$A$3:$AH$1849,6,FALSE)</f>
        <v>Electrosurgical Units, Monopolar/Bipolar</v>
      </c>
      <c r="KME111" s="179" t="s">
        <v>428</v>
      </c>
      <c r="KMF111" s="180" t="str">
        <f>VLOOKUP(KME111,[13]AssetDetails_UEM!$A$3:$AH$1849,6,FALSE)</f>
        <v>Electrosurgical Units, Monopolar/Bipolar</v>
      </c>
      <c r="KMG111" s="179" t="s">
        <v>428</v>
      </c>
      <c r="KMH111" s="180" t="str">
        <f>VLOOKUP(KMG111,[13]AssetDetails_UEM!$A$3:$AH$1849,6,FALSE)</f>
        <v>Electrosurgical Units, Monopolar/Bipolar</v>
      </c>
      <c r="KMI111" s="179" t="s">
        <v>428</v>
      </c>
      <c r="KMJ111" s="180" t="str">
        <f>VLOOKUP(KMI111,[13]AssetDetails_UEM!$A$3:$AH$1849,6,FALSE)</f>
        <v>Electrosurgical Units, Monopolar/Bipolar</v>
      </c>
      <c r="KMK111" s="179" t="s">
        <v>428</v>
      </c>
      <c r="KML111" s="180" t="str">
        <f>VLOOKUP(KMK111,[13]AssetDetails_UEM!$A$3:$AH$1849,6,FALSE)</f>
        <v>Electrosurgical Units, Monopolar/Bipolar</v>
      </c>
      <c r="KMM111" s="179" t="s">
        <v>428</v>
      </c>
      <c r="KMN111" s="180" t="str">
        <f>VLOOKUP(KMM111,[13]AssetDetails_UEM!$A$3:$AH$1849,6,FALSE)</f>
        <v>Electrosurgical Units, Monopolar/Bipolar</v>
      </c>
      <c r="KMO111" s="179" t="s">
        <v>428</v>
      </c>
      <c r="KMP111" s="180" t="str">
        <f>VLOOKUP(KMO111,[13]AssetDetails_UEM!$A$3:$AH$1849,6,FALSE)</f>
        <v>Electrosurgical Units, Monopolar/Bipolar</v>
      </c>
      <c r="KMQ111" s="179" t="s">
        <v>428</v>
      </c>
      <c r="KMR111" s="180" t="str">
        <f>VLOOKUP(KMQ111,[13]AssetDetails_UEM!$A$3:$AH$1849,6,FALSE)</f>
        <v>Electrosurgical Units, Monopolar/Bipolar</v>
      </c>
      <c r="KMS111" s="179" t="s">
        <v>428</v>
      </c>
      <c r="KMT111" s="180" t="str">
        <f>VLOOKUP(KMS111,[13]AssetDetails_UEM!$A$3:$AH$1849,6,FALSE)</f>
        <v>Electrosurgical Units, Monopolar/Bipolar</v>
      </c>
      <c r="KMU111" s="179" t="s">
        <v>428</v>
      </c>
      <c r="KMV111" s="180" t="str">
        <f>VLOOKUP(KMU111,[13]AssetDetails_UEM!$A$3:$AH$1849,6,FALSE)</f>
        <v>Electrosurgical Units, Monopolar/Bipolar</v>
      </c>
      <c r="KMW111" s="179" t="s">
        <v>428</v>
      </c>
      <c r="KMX111" s="180" t="str">
        <f>VLOOKUP(KMW111,[13]AssetDetails_UEM!$A$3:$AH$1849,6,FALSE)</f>
        <v>Electrosurgical Units, Monopolar/Bipolar</v>
      </c>
      <c r="KMY111" s="179" t="s">
        <v>428</v>
      </c>
      <c r="KMZ111" s="180" t="str">
        <f>VLOOKUP(KMY111,[13]AssetDetails_UEM!$A$3:$AH$1849,6,FALSE)</f>
        <v>Electrosurgical Units, Monopolar/Bipolar</v>
      </c>
      <c r="KNA111" s="179" t="s">
        <v>428</v>
      </c>
      <c r="KNB111" s="180" t="str">
        <f>VLOOKUP(KNA111,[13]AssetDetails_UEM!$A$3:$AH$1849,6,FALSE)</f>
        <v>Electrosurgical Units, Monopolar/Bipolar</v>
      </c>
      <c r="KNC111" s="179" t="s">
        <v>428</v>
      </c>
      <c r="KND111" s="180" t="str">
        <f>VLOOKUP(KNC111,[13]AssetDetails_UEM!$A$3:$AH$1849,6,FALSE)</f>
        <v>Electrosurgical Units, Monopolar/Bipolar</v>
      </c>
      <c r="KNE111" s="179" t="s">
        <v>428</v>
      </c>
      <c r="KNF111" s="180" t="str">
        <f>VLOOKUP(KNE111,[13]AssetDetails_UEM!$A$3:$AH$1849,6,FALSE)</f>
        <v>Electrosurgical Units, Monopolar/Bipolar</v>
      </c>
      <c r="KNG111" s="179" t="s">
        <v>428</v>
      </c>
      <c r="KNH111" s="180" t="str">
        <f>VLOOKUP(KNG111,[13]AssetDetails_UEM!$A$3:$AH$1849,6,FALSE)</f>
        <v>Electrosurgical Units, Monopolar/Bipolar</v>
      </c>
      <c r="KNI111" s="179" t="s">
        <v>428</v>
      </c>
      <c r="KNJ111" s="180" t="str">
        <f>VLOOKUP(KNI111,[13]AssetDetails_UEM!$A$3:$AH$1849,6,FALSE)</f>
        <v>Electrosurgical Units, Monopolar/Bipolar</v>
      </c>
      <c r="KNK111" s="179" t="s">
        <v>428</v>
      </c>
      <c r="KNL111" s="180" t="str">
        <f>VLOOKUP(KNK111,[13]AssetDetails_UEM!$A$3:$AH$1849,6,FALSE)</f>
        <v>Electrosurgical Units, Monopolar/Bipolar</v>
      </c>
      <c r="KNM111" s="179" t="s">
        <v>428</v>
      </c>
      <c r="KNN111" s="180" t="str">
        <f>VLOOKUP(KNM111,[13]AssetDetails_UEM!$A$3:$AH$1849,6,FALSE)</f>
        <v>Electrosurgical Units, Monopolar/Bipolar</v>
      </c>
      <c r="KNO111" s="179" t="s">
        <v>428</v>
      </c>
      <c r="KNP111" s="180" t="str">
        <f>VLOOKUP(KNO111,[13]AssetDetails_UEM!$A$3:$AH$1849,6,FALSE)</f>
        <v>Electrosurgical Units, Monopolar/Bipolar</v>
      </c>
      <c r="KNQ111" s="179" t="s">
        <v>428</v>
      </c>
      <c r="KNR111" s="180" t="str">
        <f>VLOOKUP(KNQ111,[13]AssetDetails_UEM!$A$3:$AH$1849,6,FALSE)</f>
        <v>Electrosurgical Units, Monopolar/Bipolar</v>
      </c>
      <c r="KNS111" s="179" t="s">
        <v>428</v>
      </c>
      <c r="KNT111" s="180" t="str">
        <f>VLOOKUP(KNS111,[13]AssetDetails_UEM!$A$3:$AH$1849,6,FALSE)</f>
        <v>Electrosurgical Units, Monopolar/Bipolar</v>
      </c>
      <c r="KNU111" s="179" t="s">
        <v>428</v>
      </c>
      <c r="KNV111" s="180" t="str">
        <f>VLOOKUP(KNU111,[13]AssetDetails_UEM!$A$3:$AH$1849,6,FALSE)</f>
        <v>Electrosurgical Units, Monopolar/Bipolar</v>
      </c>
      <c r="KNW111" s="179" t="s">
        <v>428</v>
      </c>
      <c r="KNX111" s="180" t="str">
        <f>VLOOKUP(KNW111,[13]AssetDetails_UEM!$A$3:$AH$1849,6,FALSE)</f>
        <v>Electrosurgical Units, Monopolar/Bipolar</v>
      </c>
      <c r="KNY111" s="179" t="s">
        <v>428</v>
      </c>
      <c r="KNZ111" s="180" t="str">
        <f>VLOOKUP(KNY111,[13]AssetDetails_UEM!$A$3:$AH$1849,6,FALSE)</f>
        <v>Electrosurgical Units, Monopolar/Bipolar</v>
      </c>
      <c r="KOA111" s="179" t="s">
        <v>428</v>
      </c>
      <c r="KOB111" s="180" t="str">
        <f>VLOOKUP(KOA111,[13]AssetDetails_UEM!$A$3:$AH$1849,6,FALSE)</f>
        <v>Electrosurgical Units, Monopolar/Bipolar</v>
      </c>
      <c r="KOC111" s="179" t="s">
        <v>428</v>
      </c>
      <c r="KOD111" s="180" t="str">
        <f>VLOOKUP(KOC111,[13]AssetDetails_UEM!$A$3:$AH$1849,6,FALSE)</f>
        <v>Electrosurgical Units, Monopolar/Bipolar</v>
      </c>
      <c r="KOE111" s="179" t="s">
        <v>428</v>
      </c>
      <c r="KOF111" s="180" t="str">
        <f>VLOOKUP(KOE111,[13]AssetDetails_UEM!$A$3:$AH$1849,6,FALSE)</f>
        <v>Electrosurgical Units, Monopolar/Bipolar</v>
      </c>
      <c r="KOG111" s="179" t="s">
        <v>428</v>
      </c>
      <c r="KOH111" s="180" t="str">
        <f>VLOOKUP(KOG111,[13]AssetDetails_UEM!$A$3:$AH$1849,6,FALSE)</f>
        <v>Electrosurgical Units, Monopolar/Bipolar</v>
      </c>
      <c r="KOI111" s="179" t="s">
        <v>428</v>
      </c>
      <c r="KOJ111" s="180" t="str">
        <f>VLOOKUP(KOI111,[13]AssetDetails_UEM!$A$3:$AH$1849,6,FALSE)</f>
        <v>Electrosurgical Units, Monopolar/Bipolar</v>
      </c>
      <c r="KOK111" s="179" t="s">
        <v>428</v>
      </c>
      <c r="KOL111" s="180" t="str">
        <f>VLOOKUP(KOK111,[13]AssetDetails_UEM!$A$3:$AH$1849,6,FALSE)</f>
        <v>Electrosurgical Units, Monopolar/Bipolar</v>
      </c>
      <c r="KOM111" s="179" t="s">
        <v>428</v>
      </c>
      <c r="KON111" s="180" t="str">
        <f>VLOOKUP(KOM111,[13]AssetDetails_UEM!$A$3:$AH$1849,6,FALSE)</f>
        <v>Electrosurgical Units, Monopolar/Bipolar</v>
      </c>
      <c r="KOO111" s="179" t="s">
        <v>428</v>
      </c>
      <c r="KOP111" s="180" t="str">
        <f>VLOOKUP(KOO111,[13]AssetDetails_UEM!$A$3:$AH$1849,6,FALSE)</f>
        <v>Electrosurgical Units, Monopolar/Bipolar</v>
      </c>
      <c r="KOQ111" s="179" t="s">
        <v>428</v>
      </c>
      <c r="KOR111" s="180" t="str">
        <f>VLOOKUP(KOQ111,[13]AssetDetails_UEM!$A$3:$AH$1849,6,FALSE)</f>
        <v>Electrosurgical Units, Monopolar/Bipolar</v>
      </c>
      <c r="KOS111" s="179" t="s">
        <v>428</v>
      </c>
      <c r="KOT111" s="180" t="str">
        <f>VLOOKUP(KOS111,[13]AssetDetails_UEM!$A$3:$AH$1849,6,FALSE)</f>
        <v>Electrosurgical Units, Monopolar/Bipolar</v>
      </c>
      <c r="KOU111" s="179" t="s">
        <v>428</v>
      </c>
      <c r="KOV111" s="180" t="str">
        <f>VLOOKUP(KOU111,[13]AssetDetails_UEM!$A$3:$AH$1849,6,FALSE)</f>
        <v>Electrosurgical Units, Monopolar/Bipolar</v>
      </c>
      <c r="KOW111" s="179" t="s">
        <v>428</v>
      </c>
      <c r="KOX111" s="180" t="str">
        <f>VLOOKUP(KOW111,[13]AssetDetails_UEM!$A$3:$AH$1849,6,FALSE)</f>
        <v>Electrosurgical Units, Monopolar/Bipolar</v>
      </c>
      <c r="KOY111" s="179" t="s">
        <v>428</v>
      </c>
      <c r="KOZ111" s="180" t="str">
        <f>VLOOKUP(KOY111,[13]AssetDetails_UEM!$A$3:$AH$1849,6,FALSE)</f>
        <v>Electrosurgical Units, Monopolar/Bipolar</v>
      </c>
      <c r="KPA111" s="179" t="s">
        <v>428</v>
      </c>
      <c r="KPB111" s="180" t="str">
        <f>VLOOKUP(KPA111,[13]AssetDetails_UEM!$A$3:$AH$1849,6,FALSE)</f>
        <v>Electrosurgical Units, Monopolar/Bipolar</v>
      </c>
      <c r="KPC111" s="179" t="s">
        <v>428</v>
      </c>
      <c r="KPD111" s="180" t="str">
        <f>VLOOKUP(KPC111,[13]AssetDetails_UEM!$A$3:$AH$1849,6,FALSE)</f>
        <v>Electrosurgical Units, Monopolar/Bipolar</v>
      </c>
      <c r="KPE111" s="179" t="s">
        <v>428</v>
      </c>
      <c r="KPF111" s="180" t="str">
        <f>VLOOKUP(KPE111,[13]AssetDetails_UEM!$A$3:$AH$1849,6,FALSE)</f>
        <v>Electrosurgical Units, Monopolar/Bipolar</v>
      </c>
      <c r="KPG111" s="179" t="s">
        <v>428</v>
      </c>
      <c r="KPH111" s="180" t="str">
        <f>VLOOKUP(KPG111,[13]AssetDetails_UEM!$A$3:$AH$1849,6,FALSE)</f>
        <v>Electrosurgical Units, Monopolar/Bipolar</v>
      </c>
      <c r="KPI111" s="179" t="s">
        <v>428</v>
      </c>
      <c r="KPJ111" s="180" t="str">
        <f>VLOOKUP(KPI111,[13]AssetDetails_UEM!$A$3:$AH$1849,6,FALSE)</f>
        <v>Electrosurgical Units, Monopolar/Bipolar</v>
      </c>
      <c r="KPK111" s="179" t="s">
        <v>428</v>
      </c>
      <c r="KPL111" s="180" t="str">
        <f>VLOOKUP(KPK111,[13]AssetDetails_UEM!$A$3:$AH$1849,6,FALSE)</f>
        <v>Electrosurgical Units, Monopolar/Bipolar</v>
      </c>
      <c r="KPM111" s="179" t="s">
        <v>428</v>
      </c>
      <c r="KPN111" s="180" t="str">
        <f>VLOOKUP(KPM111,[13]AssetDetails_UEM!$A$3:$AH$1849,6,FALSE)</f>
        <v>Electrosurgical Units, Monopolar/Bipolar</v>
      </c>
      <c r="KPO111" s="179" t="s">
        <v>428</v>
      </c>
      <c r="KPP111" s="180" t="str">
        <f>VLOOKUP(KPO111,[13]AssetDetails_UEM!$A$3:$AH$1849,6,FALSE)</f>
        <v>Electrosurgical Units, Monopolar/Bipolar</v>
      </c>
      <c r="KPQ111" s="179" t="s">
        <v>428</v>
      </c>
      <c r="KPR111" s="180" t="str">
        <f>VLOOKUP(KPQ111,[13]AssetDetails_UEM!$A$3:$AH$1849,6,FALSE)</f>
        <v>Electrosurgical Units, Monopolar/Bipolar</v>
      </c>
      <c r="KPS111" s="179" t="s">
        <v>428</v>
      </c>
      <c r="KPT111" s="180" t="str">
        <f>VLOOKUP(KPS111,[13]AssetDetails_UEM!$A$3:$AH$1849,6,FALSE)</f>
        <v>Electrosurgical Units, Monopolar/Bipolar</v>
      </c>
      <c r="KPU111" s="179" t="s">
        <v>428</v>
      </c>
      <c r="KPV111" s="180" t="str">
        <f>VLOOKUP(KPU111,[13]AssetDetails_UEM!$A$3:$AH$1849,6,FALSE)</f>
        <v>Electrosurgical Units, Monopolar/Bipolar</v>
      </c>
      <c r="KPW111" s="179" t="s">
        <v>428</v>
      </c>
      <c r="KPX111" s="180" t="str">
        <f>VLOOKUP(KPW111,[13]AssetDetails_UEM!$A$3:$AH$1849,6,FALSE)</f>
        <v>Electrosurgical Units, Monopolar/Bipolar</v>
      </c>
      <c r="KPY111" s="179" t="s">
        <v>428</v>
      </c>
      <c r="KPZ111" s="180" t="str">
        <f>VLOOKUP(KPY111,[13]AssetDetails_UEM!$A$3:$AH$1849,6,FALSE)</f>
        <v>Electrosurgical Units, Monopolar/Bipolar</v>
      </c>
      <c r="KQA111" s="179" t="s">
        <v>428</v>
      </c>
      <c r="KQB111" s="180" t="str">
        <f>VLOOKUP(KQA111,[13]AssetDetails_UEM!$A$3:$AH$1849,6,FALSE)</f>
        <v>Electrosurgical Units, Monopolar/Bipolar</v>
      </c>
      <c r="KQC111" s="179" t="s">
        <v>428</v>
      </c>
      <c r="KQD111" s="180" t="str">
        <f>VLOOKUP(KQC111,[13]AssetDetails_UEM!$A$3:$AH$1849,6,FALSE)</f>
        <v>Electrosurgical Units, Monopolar/Bipolar</v>
      </c>
      <c r="KQE111" s="179" t="s">
        <v>428</v>
      </c>
      <c r="KQF111" s="180" t="str">
        <f>VLOOKUP(KQE111,[13]AssetDetails_UEM!$A$3:$AH$1849,6,FALSE)</f>
        <v>Electrosurgical Units, Monopolar/Bipolar</v>
      </c>
      <c r="KQG111" s="179" t="s">
        <v>428</v>
      </c>
      <c r="KQH111" s="180" t="str">
        <f>VLOOKUP(KQG111,[13]AssetDetails_UEM!$A$3:$AH$1849,6,FALSE)</f>
        <v>Electrosurgical Units, Monopolar/Bipolar</v>
      </c>
      <c r="KQI111" s="179" t="s">
        <v>428</v>
      </c>
      <c r="KQJ111" s="180" t="str">
        <f>VLOOKUP(KQI111,[13]AssetDetails_UEM!$A$3:$AH$1849,6,FALSE)</f>
        <v>Electrosurgical Units, Monopolar/Bipolar</v>
      </c>
      <c r="KQK111" s="179" t="s">
        <v>428</v>
      </c>
      <c r="KQL111" s="180" t="str">
        <f>VLOOKUP(KQK111,[13]AssetDetails_UEM!$A$3:$AH$1849,6,FALSE)</f>
        <v>Electrosurgical Units, Monopolar/Bipolar</v>
      </c>
      <c r="KQM111" s="179" t="s">
        <v>428</v>
      </c>
      <c r="KQN111" s="180" t="str">
        <f>VLOOKUP(KQM111,[13]AssetDetails_UEM!$A$3:$AH$1849,6,FALSE)</f>
        <v>Electrosurgical Units, Monopolar/Bipolar</v>
      </c>
      <c r="KQO111" s="179" t="s">
        <v>428</v>
      </c>
      <c r="KQP111" s="180" t="str">
        <f>VLOOKUP(KQO111,[13]AssetDetails_UEM!$A$3:$AH$1849,6,FALSE)</f>
        <v>Electrosurgical Units, Monopolar/Bipolar</v>
      </c>
      <c r="KQQ111" s="179" t="s">
        <v>428</v>
      </c>
      <c r="KQR111" s="180" t="str">
        <f>VLOOKUP(KQQ111,[13]AssetDetails_UEM!$A$3:$AH$1849,6,FALSE)</f>
        <v>Electrosurgical Units, Monopolar/Bipolar</v>
      </c>
      <c r="KQS111" s="179" t="s">
        <v>428</v>
      </c>
      <c r="KQT111" s="180" t="str">
        <f>VLOOKUP(KQS111,[13]AssetDetails_UEM!$A$3:$AH$1849,6,FALSE)</f>
        <v>Electrosurgical Units, Monopolar/Bipolar</v>
      </c>
      <c r="KQU111" s="179" t="s">
        <v>428</v>
      </c>
      <c r="KQV111" s="180" t="str">
        <f>VLOOKUP(KQU111,[13]AssetDetails_UEM!$A$3:$AH$1849,6,FALSE)</f>
        <v>Electrosurgical Units, Monopolar/Bipolar</v>
      </c>
      <c r="KQW111" s="179" t="s">
        <v>428</v>
      </c>
      <c r="KQX111" s="180" t="str">
        <f>VLOOKUP(KQW111,[13]AssetDetails_UEM!$A$3:$AH$1849,6,FALSE)</f>
        <v>Electrosurgical Units, Monopolar/Bipolar</v>
      </c>
      <c r="KQY111" s="179" t="s">
        <v>428</v>
      </c>
      <c r="KQZ111" s="180" t="str">
        <f>VLOOKUP(KQY111,[13]AssetDetails_UEM!$A$3:$AH$1849,6,FALSE)</f>
        <v>Electrosurgical Units, Monopolar/Bipolar</v>
      </c>
      <c r="KRA111" s="179" t="s">
        <v>428</v>
      </c>
      <c r="KRB111" s="180" t="str">
        <f>VLOOKUP(KRA111,[13]AssetDetails_UEM!$A$3:$AH$1849,6,FALSE)</f>
        <v>Electrosurgical Units, Monopolar/Bipolar</v>
      </c>
      <c r="KRC111" s="179" t="s">
        <v>428</v>
      </c>
      <c r="KRD111" s="180" t="str">
        <f>VLOOKUP(KRC111,[13]AssetDetails_UEM!$A$3:$AH$1849,6,FALSE)</f>
        <v>Electrosurgical Units, Monopolar/Bipolar</v>
      </c>
      <c r="KRE111" s="179" t="s">
        <v>428</v>
      </c>
      <c r="KRF111" s="180" t="str">
        <f>VLOOKUP(KRE111,[13]AssetDetails_UEM!$A$3:$AH$1849,6,FALSE)</f>
        <v>Electrosurgical Units, Monopolar/Bipolar</v>
      </c>
      <c r="KRG111" s="179" t="s">
        <v>428</v>
      </c>
      <c r="KRH111" s="180" t="str">
        <f>VLOOKUP(KRG111,[13]AssetDetails_UEM!$A$3:$AH$1849,6,FALSE)</f>
        <v>Electrosurgical Units, Monopolar/Bipolar</v>
      </c>
      <c r="KRI111" s="179" t="s">
        <v>428</v>
      </c>
      <c r="KRJ111" s="180" t="str">
        <f>VLOOKUP(KRI111,[13]AssetDetails_UEM!$A$3:$AH$1849,6,FALSE)</f>
        <v>Electrosurgical Units, Monopolar/Bipolar</v>
      </c>
      <c r="KRK111" s="179" t="s">
        <v>428</v>
      </c>
      <c r="KRL111" s="180" t="str">
        <f>VLOOKUP(KRK111,[13]AssetDetails_UEM!$A$3:$AH$1849,6,FALSE)</f>
        <v>Electrosurgical Units, Monopolar/Bipolar</v>
      </c>
      <c r="KRM111" s="179" t="s">
        <v>428</v>
      </c>
      <c r="KRN111" s="180" t="str">
        <f>VLOOKUP(KRM111,[13]AssetDetails_UEM!$A$3:$AH$1849,6,FALSE)</f>
        <v>Electrosurgical Units, Monopolar/Bipolar</v>
      </c>
      <c r="KRO111" s="179" t="s">
        <v>428</v>
      </c>
      <c r="KRP111" s="180" t="str">
        <f>VLOOKUP(KRO111,[13]AssetDetails_UEM!$A$3:$AH$1849,6,FALSE)</f>
        <v>Electrosurgical Units, Monopolar/Bipolar</v>
      </c>
      <c r="KRQ111" s="179" t="s">
        <v>428</v>
      </c>
      <c r="KRR111" s="180" t="str">
        <f>VLOOKUP(KRQ111,[13]AssetDetails_UEM!$A$3:$AH$1849,6,FALSE)</f>
        <v>Electrosurgical Units, Monopolar/Bipolar</v>
      </c>
      <c r="KRS111" s="179" t="s">
        <v>428</v>
      </c>
      <c r="KRT111" s="180" t="str">
        <f>VLOOKUP(KRS111,[13]AssetDetails_UEM!$A$3:$AH$1849,6,FALSE)</f>
        <v>Electrosurgical Units, Monopolar/Bipolar</v>
      </c>
      <c r="KRU111" s="179" t="s">
        <v>428</v>
      </c>
      <c r="KRV111" s="180" t="str">
        <f>VLOOKUP(KRU111,[13]AssetDetails_UEM!$A$3:$AH$1849,6,FALSE)</f>
        <v>Electrosurgical Units, Monopolar/Bipolar</v>
      </c>
      <c r="KRW111" s="179" t="s">
        <v>428</v>
      </c>
      <c r="KRX111" s="180" t="str">
        <f>VLOOKUP(KRW111,[13]AssetDetails_UEM!$A$3:$AH$1849,6,FALSE)</f>
        <v>Electrosurgical Units, Monopolar/Bipolar</v>
      </c>
      <c r="KRY111" s="179" t="s">
        <v>428</v>
      </c>
      <c r="KRZ111" s="180" t="str">
        <f>VLOOKUP(KRY111,[13]AssetDetails_UEM!$A$3:$AH$1849,6,FALSE)</f>
        <v>Electrosurgical Units, Monopolar/Bipolar</v>
      </c>
      <c r="KSA111" s="179" t="s">
        <v>428</v>
      </c>
      <c r="KSB111" s="180" t="str">
        <f>VLOOKUP(KSA111,[13]AssetDetails_UEM!$A$3:$AH$1849,6,FALSE)</f>
        <v>Electrosurgical Units, Monopolar/Bipolar</v>
      </c>
      <c r="KSC111" s="179" t="s">
        <v>428</v>
      </c>
      <c r="KSD111" s="180" t="str">
        <f>VLOOKUP(KSC111,[13]AssetDetails_UEM!$A$3:$AH$1849,6,FALSE)</f>
        <v>Electrosurgical Units, Monopolar/Bipolar</v>
      </c>
      <c r="KSE111" s="179" t="s">
        <v>428</v>
      </c>
      <c r="KSF111" s="180" t="str">
        <f>VLOOKUP(KSE111,[13]AssetDetails_UEM!$A$3:$AH$1849,6,FALSE)</f>
        <v>Electrosurgical Units, Monopolar/Bipolar</v>
      </c>
      <c r="KSG111" s="179" t="s">
        <v>428</v>
      </c>
      <c r="KSH111" s="180" t="str">
        <f>VLOOKUP(KSG111,[13]AssetDetails_UEM!$A$3:$AH$1849,6,FALSE)</f>
        <v>Electrosurgical Units, Monopolar/Bipolar</v>
      </c>
      <c r="KSI111" s="179" t="s">
        <v>428</v>
      </c>
      <c r="KSJ111" s="180" t="str">
        <f>VLOOKUP(KSI111,[13]AssetDetails_UEM!$A$3:$AH$1849,6,FALSE)</f>
        <v>Electrosurgical Units, Monopolar/Bipolar</v>
      </c>
      <c r="KSK111" s="179" t="s">
        <v>428</v>
      </c>
      <c r="KSL111" s="180" t="str">
        <f>VLOOKUP(KSK111,[13]AssetDetails_UEM!$A$3:$AH$1849,6,FALSE)</f>
        <v>Electrosurgical Units, Monopolar/Bipolar</v>
      </c>
      <c r="KSM111" s="179" t="s">
        <v>428</v>
      </c>
      <c r="KSN111" s="180" t="str">
        <f>VLOOKUP(KSM111,[13]AssetDetails_UEM!$A$3:$AH$1849,6,FALSE)</f>
        <v>Electrosurgical Units, Monopolar/Bipolar</v>
      </c>
      <c r="KSO111" s="179" t="s">
        <v>428</v>
      </c>
      <c r="KSP111" s="180" t="str">
        <f>VLOOKUP(KSO111,[13]AssetDetails_UEM!$A$3:$AH$1849,6,FALSE)</f>
        <v>Electrosurgical Units, Monopolar/Bipolar</v>
      </c>
      <c r="KSQ111" s="179" t="s">
        <v>428</v>
      </c>
      <c r="KSR111" s="180" t="str">
        <f>VLOOKUP(KSQ111,[13]AssetDetails_UEM!$A$3:$AH$1849,6,FALSE)</f>
        <v>Electrosurgical Units, Monopolar/Bipolar</v>
      </c>
      <c r="KSS111" s="179" t="s">
        <v>428</v>
      </c>
      <c r="KST111" s="180" t="str">
        <f>VLOOKUP(KSS111,[13]AssetDetails_UEM!$A$3:$AH$1849,6,FALSE)</f>
        <v>Electrosurgical Units, Monopolar/Bipolar</v>
      </c>
      <c r="KSU111" s="179" t="s">
        <v>428</v>
      </c>
      <c r="KSV111" s="180" t="str">
        <f>VLOOKUP(KSU111,[13]AssetDetails_UEM!$A$3:$AH$1849,6,FALSE)</f>
        <v>Electrosurgical Units, Monopolar/Bipolar</v>
      </c>
      <c r="KSW111" s="179" t="s">
        <v>428</v>
      </c>
      <c r="KSX111" s="180" t="str">
        <f>VLOOKUP(KSW111,[13]AssetDetails_UEM!$A$3:$AH$1849,6,FALSE)</f>
        <v>Electrosurgical Units, Monopolar/Bipolar</v>
      </c>
      <c r="KSY111" s="179" t="s">
        <v>428</v>
      </c>
      <c r="KSZ111" s="180" t="str">
        <f>VLOOKUP(KSY111,[13]AssetDetails_UEM!$A$3:$AH$1849,6,FALSE)</f>
        <v>Electrosurgical Units, Monopolar/Bipolar</v>
      </c>
      <c r="KTA111" s="179" t="s">
        <v>428</v>
      </c>
      <c r="KTB111" s="180" t="str">
        <f>VLOOKUP(KTA111,[13]AssetDetails_UEM!$A$3:$AH$1849,6,FALSE)</f>
        <v>Electrosurgical Units, Monopolar/Bipolar</v>
      </c>
      <c r="KTC111" s="179" t="s">
        <v>428</v>
      </c>
      <c r="KTD111" s="180" t="str">
        <f>VLOOKUP(KTC111,[13]AssetDetails_UEM!$A$3:$AH$1849,6,FALSE)</f>
        <v>Electrosurgical Units, Monopolar/Bipolar</v>
      </c>
      <c r="KTE111" s="179" t="s">
        <v>428</v>
      </c>
      <c r="KTF111" s="180" t="str">
        <f>VLOOKUP(KTE111,[13]AssetDetails_UEM!$A$3:$AH$1849,6,FALSE)</f>
        <v>Electrosurgical Units, Monopolar/Bipolar</v>
      </c>
      <c r="KTG111" s="179" t="s">
        <v>428</v>
      </c>
      <c r="KTH111" s="180" t="str">
        <f>VLOOKUP(KTG111,[13]AssetDetails_UEM!$A$3:$AH$1849,6,FALSE)</f>
        <v>Electrosurgical Units, Monopolar/Bipolar</v>
      </c>
      <c r="KTI111" s="179" t="s">
        <v>428</v>
      </c>
      <c r="KTJ111" s="180" t="str">
        <f>VLOOKUP(KTI111,[13]AssetDetails_UEM!$A$3:$AH$1849,6,FALSE)</f>
        <v>Electrosurgical Units, Monopolar/Bipolar</v>
      </c>
      <c r="KTK111" s="179" t="s">
        <v>428</v>
      </c>
      <c r="KTL111" s="180" t="str">
        <f>VLOOKUP(KTK111,[13]AssetDetails_UEM!$A$3:$AH$1849,6,FALSE)</f>
        <v>Electrosurgical Units, Monopolar/Bipolar</v>
      </c>
      <c r="KTM111" s="179" t="s">
        <v>428</v>
      </c>
      <c r="KTN111" s="180" t="str">
        <f>VLOOKUP(KTM111,[13]AssetDetails_UEM!$A$3:$AH$1849,6,FALSE)</f>
        <v>Electrosurgical Units, Monopolar/Bipolar</v>
      </c>
      <c r="KTO111" s="179" t="s">
        <v>428</v>
      </c>
      <c r="KTP111" s="180" t="str">
        <f>VLOOKUP(KTO111,[13]AssetDetails_UEM!$A$3:$AH$1849,6,FALSE)</f>
        <v>Electrosurgical Units, Monopolar/Bipolar</v>
      </c>
      <c r="KTQ111" s="179" t="s">
        <v>428</v>
      </c>
      <c r="KTR111" s="180" t="str">
        <f>VLOOKUP(KTQ111,[13]AssetDetails_UEM!$A$3:$AH$1849,6,FALSE)</f>
        <v>Electrosurgical Units, Monopolar/Bipolar</v>
      </c>
      <c r="KTS111" s="179" t="s">
        <v>428</v>
      </c>
      <c r="KTT111" s="180" t="str">
        <f>VLOOKUP(KTS111,[13]AssetDetails_UEM!$A$3:$AH$1849,6,FALSE)</f>
        <v>Electrosurgical Units, Monopolar/Bipolar</v>
      </c>
      <c r="KTU111" s="179" t="s">
        <v>428</v>
      </c>
      <c r="KTV111" s="180" t="str">
        <f>VLOOKUP(KTU111,[13]AssetDetails_UEM!$A$3:$AH$1849,6,FALSE)</f>
        <v>Electrosurgical Units, Monopolar/Bipolar</v>
      </c>
      <c r="KTW111" s="179" t="s">
        <v>428</v>
      </c>
      <c r="KTX111" s="180" t="str">
        <f>VLOOKUP(KTW111,[13]AssetDetails_UEM!$A$3:$AH$1849,6,FALSE)</f>
        <v>Electrosurgical Units, Monopolar/Bipolar</v>
      </c>
      <c r="KTY111" s="179" t="s">
        <v>428</v>
      </c>
      <c r="KTZ111" s="180" t="str">
        <f>VLOOKUP(KTY111,[13]AssetDetails_UEM!$A$3:$AH$1849,6,FALSE)</f>
        <v>Electrosurgical Units, Monopolar/Bipolar</v>
      </c>
      <c r="KUA111" s="179" t="s">
        <v>428</v>
      </c>
      <c r="KUB111" s="180" t="str">
        <f>VLOOKUP(KUA111,[13]AssetDetails_UEM!$A$3:$AH$1849,6,FALSE)</f>
        <v>Electrosurgical Units, Monopolar/Bipolar</v>
      </c>
      <c r="KUC111" s="179" t="s">
        <v>428</v>
      </c>
      <c r="KUD111" s="180" t="str">
        <f>VLOOKUP(KUC111,[13]AssetDetails_UEM!$A$3:$AH$1849,6,FALSE)</f>
        <v>Electrosurgical Units, Monopolar/Bipolar</v>
      </c>
      <c r="KUE111" s="179" t="s">
        <v>428</v>
      </c>
      <c r="KUF111" s="180" t="str">
        <f>VLOOKUP(KUE111,[13]AssetDetails_UEM!$A$3:$AH$1849,6,FALSE)</f>
        <v>Electrosurgical Units, Monopolar/Bipolar</v>
      </c>
      <c r="KUG111" s="179" t="s">
        <v>428</v>
      </c>
      <c r="KUH111" s="180" t="str">
        <f>VLOOKUP(KUG111,[13]AssetDetails_UEM!$A$3:$AH$1849,6,FALSE)</f>
        <v>Electrosurgical Units, Monopolar/Bipolar</v>
      </c>
      <c r="KUI111" s="179" t="s">
        <v>428</v>
      </c>
      <c r="KUJ111" s="180" t="str">
        <f>VLOOKUP(KUI111,[13]AssetDetails_UEM!$A$3:$AH$1849,6,FALSE)</f>
        <v>Electrosurgical Units, Monopolar/Bipolar</v>
      </c>
      <c r="KUK111" s="179" t="s">
        <v>428</v>
      </c>
      <c r="KUL111" s="180" t="str">
        <f>VLOOKUP(KUK111,[13]AssetDetails_UEM!$A$3:$AH$1849,6,FALSE)</f>
        <v>Electrosurgical Units, Monopolar/Bipolar</v>
      </c>
      <c r="KUM111" s="179" t="s">
        <v>428</v>
      </c>
      <c r="KUN111" s="180" t="str">
        <f>VLOOKUP(KUM111,[13]AssetDetails_UEM!$A$3:$AH$1849,6,FALSE)</f>
        <v>Electrosurgical Units, Monopolar/Bipolar</v>
      </c>
      <c r="KUO111" s="179" t="s">
        <v>428</v>
      </c>
      <c r="KUP111" s="180" t="str">
        <f>VLOOKUP(KUO111,[13]AssetDetails_UEM!$A$3:$AH$1849,6,FALSE)</f>
        <v>Electrosurgical Units, Monopolar/Bipolar</v>
      </c>
      <c r="KUQ111" s="179" t="s">
        <v>428</v>
      </c>
      <c r="KUR111" s="180" t="str">
        <f>VLOOKUP(KUQ111,[13]AssetDetails_UEM!$A$3:$AH$1849,6,FALSE)</f>
        <v>Electrosurgical Units, Monopolar/Bipolar</v>
      </c>
      <c r="KUS111" s="179" t="s">
        <v>428</v>
      </c>
      <c r="KUT111" s="180" t="str">
        <f>VLOOKUP(KUS111,[13]AssetDetails_UEM!$A$3:$AH$1849,6,FALSE)</f>
        <v>Electrosurgical Units, Monopolar/Bipolar</v>
      </c>
      <c r="KUU111" s="179" t="s">
        <v>428</v>
      </c>
      <c r="KUV111" s="180" t="str">
        <f>VLOOKUP(KUU111,[13]AssetDetails_UEM!$A$3:$AH$1849,6,FALSE)</f>
        <v>Electrosurgical Units, Monopolar/Bipolar</v>
      </c>
      <c r="KUW111" s="179" t="s">
        <v>428</v>
      </c>
      <c r="KUX111" s="180" t="str">
        <f>VLOOKUP(KUW111,[13]AssetDetails_UEM!$A$3:$AH$1849,6,FALSE)</f>
        <v>Electrosurgical Units, Monopolar/Bipolar</v>
      </c>
      <c r="KUY111" s="179" t="s">
        <v>428</v>
      </c>
      <c r="KUZ111" s="180" t="str">
        <f>VLOOKUP(KUY111,[13]AssetDetails_UEM!$A$3:$AH$1849,6,FALSE)</f>
        <v>Electrosurgical Units, Monopolar/Bipolar</v>
      </c>
      <c r="KVA111" s="179" t="s">
        <v>428</v>
      </c>
      <c r="KVB111" s="180" t="str">
        <f>VLOOKUP(KVA111,[13]AssetDetails_UEM!$A$3:$AH$1849,6,FALSE)</f>
        <v>Electrosurgical Units, Monopolar/Bipolar</v>
      </c>
      <c r="KVC111" s="179" t="s">
        <v>428</v>
      </c>
      <c r="KVD111" s="180" t="str">
        <f>VLOOKUP(KVC111,[13]AssetDetails_UEM!$A$3:$AH$1849,6,FALSE)</f>
        <v>Electrosurgical Units, Monopolar/Bipolar</v>
      </c>
      <c r="KVE111" s="179" t="s">
        <v>428</v>
      </c>
      <c r="KVF111" s="180" t="str">
        <f>VLOOKUP(KVE111,[13]AssetDetails_UEM!$A$3:$AH$1849,6,FALSE)</f>
        <v>Electrosurgical Units, Monopolar/Bipolar</v>
      </c>
      <c r="KVG111" s="179" t="s">
        <v>428</v>
      </c>
      <c r="KVH111" s="180" t="str">
        <f>VLOOKUP(KVG111,[13]AssetDetails_UEM!$A$3:$AH$1849,6,FALSE)</f>
        <v>Electrosurgical Units, Monopolar/Bipolar</v>
      </c>
      <c r="KVI111" s="179" t="s">
        <v>428</v>
      </c>
      <c r="KVJ111" s="180" t="str">
        <f>VLOOKUP(KVI111,[13]AssetDetails_UEM!$A$3:$AH$1849,6,FALSE)</f>
        <v>Electrosurgical Units, Monopolar/Bipolar</v>
      </c>
      <c r="KVK111" s="179" t="s">
        <v>428</v>
      </c>
      <c r="KVL111" s="180" t="str">
        <f>VLOOKUP(KVK111,[13]AssetDetails_UEM!$A$3:$AH$1849,6,FALSE)</f>
        <v>Electrosurgical Units, Monopolar/Bipolar</v>
      </c>
      <c r="KVM111" s="179" t="s">
        <v>428</v>
      </c>
      <c r="KVN111" s="180" t="str">
        <f>VLOOKUP(KVM111,[13]AssetDetails_UEM!$A$3:$AH$1849,6,FALSE)</f>
        <v>Electrosurgical Units, Monopolar/Bipolar</v>
      </c>
      <c r="KVO111" s="179" t="s">
        <v>428</v>
      </c>
      <c r="KVP111" s="180" t="str">
        <f>VLOOKUP(KVO111,[13]AssetDetails_UEM!$A$3:$AH$1849,6,FALSE)</f>
        <v>Electrosurgical Units, Monopolar/Bipolar</v>
      </c>
      <c r="KVQ111" s="179" t="s">
        <v>428</v>
      </c>
      <c r="KVR111" s="180" t="str">
        <f>VLOOKUP(KVQ111,[13]AssetDetails_UEM!$A$3:$AH$1849,6,FALSE)</f>
        <v>Electrosurgical Units, Monopolar/Bipolar</v>
      </c>
      <c r="KVS111" s="179" t="s">
        <v>428</v>
      </c>
      <c r="KVT111" s="180" t="str">
        <f>VLOOKUP(KVS111,[13]AssetDetails_UEM!$A$3:$AH$1849,6,FALSE)</f>
        <v>Electrosurgical Units, Monopolar/Bipolar</v>
      </c>
      <c r="KVU111" s="179" t="s">
        <v>428</v>
      </c>
      <c r="KVV111" s="180" t="str">
        <f>VLOOKUP(KVU111,[13]AssetDetails_UEM!$A$3:$AH$1849,6,FALSE)</f>
        <v>Electrosurgical Units, Monopolar/Bipolar</v>
      </c>
      <c r="KVW111" s="179" t="s">
        <v>428</v>
      </c>
      <c r="KVX111" s="180" t="str">
        <f>VLOOKUP(KVW111,[13]AssetDetails_UEM!$A$3:$AH$1849,6,FALSE)</f>
        <v>Electrosurgical Units, Monopolar/Bipolar</v>
      </c>
      <c r="KVY111" s="179" t="s">
        <v>428</v>
      </c>
      <c r="KVZ111" s="180" t="str">
        <f>VLOOKUP(KVY111,[13]AssetDetails_UEM!$A$3:$AH$1849,6,FALSE)</f>
        <v>Electrosurgical Units, Monopolar/Bipolar</v>
      </c>
      <c r="KWA111" s="179" t="s">
        <v>428</v>
      </c>
      <c r="KWB111" s="180" t="str">
        <f>VLOOKUP(KWA111,[13]AssetDetails_UEM!$A$3:$AH$1849,6,FALSE)</f>
        <v>Electrosurgical Units, Monopolar/Bipolar</v>
      </c>
      <c r="KWC111" s="179" t="s">
        <v>428</v>
      </c>
      <c r="KWD111" s="180" t="str">
        <f>VLOOKUP(KWC111,[13]AssetDetails_UEM!$A$3:$AH$1849,6,FALSE)</f>
        <v>Electrosurgical Units, Monopolar/Bipolar</v>
      </c>
      <c r="KWE111" s="179" t="s">
        <v>428</v>
      </c>
      <c r="KWF111" s="180" t="str">
        <f>VLOOKUP(KWE111,[13]AssetDetails_UEM!$A$3:$AH$1849,6,FALSE)</f>
        <v>Electrosurgical Units, Monopolar/Bipolar</v>
      </c>
      <c r="KWG111" s="179" t="s">
        <v>428</v>
      </c>
      <c r="KWH111" s="180" t="str">
        <f>VLOOKUP(KWG111,[13]AssetDetails_UEM!$A$3:$AH$1849,6,FALSE)</f>
        <v>Electrosurgical Units, Monopolar/Bipolar</v>
      </c>
      <c r="KWI111" s="179" t="s">
        <v>428</v>
      </c>
      <c r="KWJ111" s="180" t="str">
        <f>VLOOKUP(KWI111,[13]AssetDetails_UEM!$A$3:$AH$1849,6,FALSE)</f>
        <v>Electrosurgical Units, Monopolar/Bipolar</v>
      </c>
      <c r="KWK111" s="179" t="s">
        <v>428</v>
      </c>
      <c r="KWL111" s="180" t="str">
        <f>VLOOKUP(KWK111,[13]AssetDetails_UEM!$A$3:$AH$1849,6,FALSE)</f>
        <v>Electrosurgical Units, Monopolar/Bipolar</v>
      </c>
      <c r="KWM111" s="179" t="s">
        <v>428</v>
      </c>
      <c r="KWN111" s="180" t="str">
        <f>VLOOKUP(KWM111,[13]AssetDetails_UEM!$A$3:$AH$1849,6,FALSE)</f>
        <v>Electrosurgical Units, Monopolar/Bipolar</v>
      </c>
      <c r="KWO111" s="179" t="s">
        <v>428</v>
      </c>
      <c r="KWP111" s="180" t="str">
        <f>VLOOKUP(KWO111,[13]AssetDetails_UEM!$A$3:$AH$1849,6,FALSE)</f>
        <v>Electrosurgical Units, Monopolar/Bipolar</v>
      </c>
      <c r="KWQ111" s="179" t="s">
        <v>428</v>
      </c>
      <c r="KWR111" s="180" t="str">
        <f>VLOOKUP(KWQ111,[13]AssetDetails_UEM!$A$3:$AH$1849,6,FALSE)</f>
        <v>Electrosurgical Units, Monopolar/Bipolar</v>
      </c>
      <c r="KWS111" s="179" t="s">
        <v>428</v>
      </c>
      <c r="KWT111" s="180" t="str">
        <f>VLOOKUP(KWS111,[13]AssetDetails_UEM!$A$3:$AH$1849,6,FALSE)</f>
        <v>Electrosurgical Units, Monopolar/Bipolar</v>
      </c>
      <c r="KWU111" s="179" t="s">
        <v>428</v>
      </c>
      <c r="KWV111" s="180" t="str">
        <f>VLOOKUP(KWU111,[13]AssetDetails_UEM!$A$3:$AH$1849,6,FALSE)</f>
        <v>Electrosurgical Units, Monopolar/Bipolar</v>
      </c>
      <c r="KWW111" s="179" t="s">
        <v>428</v>
      </c>
      <c r="KWX111" s="180" t="str">
        <f>VLOOKUP(KWW111,[13]AssetDetails_UEM!$A$3:$AH$1849,6,FALSE)</f>
        <v>Electrosurgical Units, Monopolar/Bipolar</v>
      </c>
      <c r="KWY111" s="179" t="s">
        <v>428</v>
      </c>
      <c r="KWZ111" s="180" t="str">
        <f>VLOOKUP(KWY111,[13]AssetDetails_UEM!$A$3:$AH$1849,6,FALSE)</f>
        <v>Electrosurgical Units, Monopolar/Bipolar</v>
      </c>
      <c r="KXA111" s="179" t="s">
        <v>428</v>
      </c>
      <c r="KXB111" s="180" t="str">
        <f>VLOOKUP(KXA111,[13]AssetDetails_UEM!$A$3:$AH$1849,6,FALSE)</f>
        <v>Electrosurgical Units, Monopolar/Bipolar</v>
      </c>
      <c r="KXC111" s="179" t="s">
        <v>428</v>
      </c>
      <c r="KXD111" s="180" t="str">
        <f>VLOOKUP(KXC111,[13]AssetDetails_UEM!$A$3:$AH$1849,6,FALSE)</f>
        <v>Electrosurgical Units, Monopolar/Bipolar</v>
      </c>
      <c r="KXE111" s="179" t="s">
        <v>428</v>
      </c>
      <c r="KXF111" s="180" t="str">
        <f>VLOOKUP(KXE111,[13]AssetDetails_UEM!$A$3:$AH$1849,6,FALSE)</f>
        <v>Electrosurgical Units, Monopolar/Bipolar</v>
      </c>
      <c r="KXG111" s="179" t="s">
        <v>428</v>
      </c>
      <c r="KXH111" s="180" t="str">
        <f>VLOOKUP(KXG111,[13]AssetDetails_UEM!$A$3:$AH$1849,6,FALSE)</f>
        <v>Electrosurgical Units, Monopolar/Bipolar</v>
      </c>
      <c r="KXI111" s="179" t="s">
        <v>428</v>
      </c>
      <c r="KXJ111" s="180" t="str">
        <f>VLOOKUP(KXI111,[13]AssetDetails_UEM!$A$3:$AH$1849,6,FALSE)</f>
        <v>Electrosurgical Units, Monopolar/Bipolar</v>
      </c>
      <c r="KXK111" s="179" t="s">
        <v>428</v>
      </c>
      <c r="KXL111" s="180" t="str">
        <f>VLOOKUP(KXK111,[13]AssetDetails_UEM!$A$3:$AH$1849,6,FALSE)</f>
        <v>Electrosurgical Units, Monopolar/Bipolar</v>
      </c>
      <c r="KXM111" s="179" t="s">
        <v>428</v>
      </c>
      <c r="KXN111" s="180" t="str">
        <f>VLOOKUP(KXM111,[13]AssetDetails_UEM!$A$3:$AH$1849,6,FALSE)</f>
        <v>Electrosurgical Units, Monopolar/Bipolar</v>
      </c>
      <c r="KXO111" s="179" t="s">
        <v>428</v>
      </c>
      <c r="KXP111" s="180" t="str">
        <f>VLOOKUP(KXO111,[13]AssetDetails_UEM!$A$3:$AH$1849,6,FALSE)</f>
        <v>Electrosurgical Units, Monopolar/Bipolar</v>
      </c>
      <c r="KXQ111" s="179" t="s">
        <v>428</v>
      </c>
      <c r="KXR111" s="180" t="str">
        <f>VLOOKUP(KXQ111,[13]AssetDetails_UEM!$A$3:$AH$1849,6,FALSE)</f>
        <v>Electrosurgical Units, Monopolar/Bipolar</v>
      </c>
      <c r="KXS111" s="179" t="s">
        <v>428</v>
      </c>
      <c r="KXT111" s="180" t="str">
        <f>VLOOKUP(KXS111,[13]AssetDetails_UEM!$A$3:$AH$1849,6,FALSE)</f>
        <v>Electrosurgical Units, Monopolar/Bipolar</v>
      </c>
      <c r="KXU111" s="179" t="s">
        <v>428</v>
      </c>
      <c r="KXV111" s="180" t="str">
        <f>VLOOKUP(KXU111,[13]AssetDetails_UEM!$A$3:$AH$1849,6,FALSE)</f>
        <v>Electrosurgical Units, Monopolar/Bipolar</v>
      </c>
      <c r="KXW111" s="179" t="s">
        <v>428</v>
      </c>
      <c r="KXX111" s="180" t="str">
        <f>VLOOKUP(KXW111,[13]AssetDetails_UEM!$A$3:$AH$1849,6,FALSE)</f>
        <v>Electrosurgical Units, Monopolar/Bipolar</v>
      </c>
      <c r="KXY111" s="179" t="s">
        <v>428</v>
      </c>
      <c r="KXZ111" s="180" t="str">
        <f>VLOOKUP(KXY111,[13]AssetDetails_UEM!$A$3:$AH$1849,6,FALSE)</f>
        <v>Electrosurgical Units, Monopolar/Bipolar</v>
      </c>
      <c r="KYA111" s="179" t="s">
        <v>428</v>
      </c>
      <c r="KYB111" s="180" t="str">
        <f>VLOOKUP(KYA111,[13]AssetDetails_UEM!$A$3:$AH$1849,6,FALSE)</f>
        <v>Electrosurgical Units, Monopolar/Bipolar</v>
      </c>
      <c r="KYC111" s="179" t="s">
        <v>428</v>
      </c>
      <c r="KYD111" s="180" t="str">
        <f>VLOOKUP(KYC111,[13]AssetDetails_UEM!$A$3:$AH$1849,6,FALSE)</f>
        <v>Electrosurgical Units, Monopolar/Bipolar</v>
      </c>
      <c r="KYE111" s="179" t="s">
        <v>428</v>
      </c>
      <c r="KYF111" s="180" t="str">
        <f>VLOOKUP(KYE111,[13]AssetDetails_UEM!$A$3:$AH$1849,6,FALSE)</f>
        <v>Electrosurgical Units, Monopolar/Bipolar</v>
      </c>
      <c r="KYG111" s="179" t="s">
        <v>428</v>
      </c>
      <c r="KYH111" s="180" t="str">
        <f>VLOOKUP(KYG111,[13]AssetDetails_UEM!$A$3:$AH$1849,6,FALSE)</f>
        <v>Electrosurgical Units, Monopolar/Bipolar</v>
      </c>
      <c r="KYI111" s="179" t="s">
        <v>428</v>
      </c>
      <c r="KYJ111" s="180" t="str">
        <f>VLOOKUP(KYI111,[13]AssetDetails_UEM!$A$3:$AH$1849,6,FALSE)</f>
        <v>Electrosurgical Units, Monopolar/Bipolar</v>
      </c>
      <c r="KYK111" s="179" t="s">
        <v>428</v>
      </c>
      <c r="KYL111" s="180" t="str">
        <f>VLOOKUP(KYK111,[13]AssetDetails_UEM!$A$3:$AH$1849,6,FALSE)</f>
        <v>Electrosurgical Units, Monopolar/Bipolar</v>
      </c>
      <c r="KYM111" s="179" t="s">
        <v>428</v>
      </c>
      <c r="KYN111" s="180" t="str">
        <f>VLOOKUP(KYM111,[13]AssetDetails_UEM!$A$3:$AH$1849,6,FALSE)</f>
        <v>Electrosurgical Units, Monopolar/Bipolar</v>
      </c>
      <c r="KYO111" s="179" t="s">
        <v>428</v>
      </c>
      <c r="KYP111" s="180" t="str">
        <f>VLOOKUP(KYO111,[13]AssetDetails_UEM!$A$3:$AH$1849,6,FALSE)</f>
        <v>Electrosurgical Units, Monopolar/Bipolar</v>
      </c>
      <c r="KYQ111" s="179" t="s">
        <v>428</v>
      </c>
      <c r="KYR111" s="180" t="str">
        <f>VLOOKUP(KYQ111,[13]AssetDetails_UEM!$A$3:$AH$1849,6,FALSE)</f>
        <v>Electrosurgical Units, Monopolar/Bipolar</v>
      </c>
      <c r="KYS111" s="179" t="s">
        <v>428</v>
      </c>
      <c r="KYT111" s="180" t="str">
        <f>VLOOKUP(KYS111,[13]AssetDetails_UEM!$A$3:$AH$1849,6,FALSE)</f>
        <v>Electrosurgical Units, Monopolar/Bipolar</v>
      </c>
      <c r="KYU111" s="179" t="s">
        <v>428</v>
      </c>
      <c r="KYV111" s="180" t="str">
        <f>VLOOKUP(KYU111,[13]AssetDetails_UEM!$A$3:$AH$1849,6,FALSE)</f>
        <v>Electrosurgical Units, Monopolar/Bipolar</v>
      </c>
      <c r="KYW111" s="179" t="s">
        <v>428</v>
      </c>
      <c r="KYX111" s="180" t="str">
        <f>VLOOKUP(KYW111,[13]AssetDetails_UEM!$A$3:$AH$1849,6,FALSE)</f>
        <v>Electrosurgical Units, Monopolar/Bipolar</v>
      </c>
      <c r="KYY111" s="179" t="s">
        <v>428</v>
      </c>
      <c r="KYZ111" s="180" t="str">
        <f>VLOOKUP(KYY111,[13]AssetDetails_UEM!$A$3:$AH$1849,6,FALSE)</f>
        <v>Electrosurgical Units, Monopolar/Bipolar</v>
      </c>
      <c r="KZA111" s="179" t="s">
        <v>428</v>
      </c>
      <c r="KZB111" s="180" t="str">
        <f>VLOOKUP(KZA111,[13]AssetDetails_UEM!$A$3:$AH$1849,6,FALSE)</f>
        <v>Electrosurgical Units, Monopolar/Bipolar</v>
      </c>
      <c r="KZC111" s="179" t="s">
        <v>428</v>
      </c>
      <c r="KZD111" s="180" t="str">
        <f>VLOOKUP(KZC111,[13]AssetDetails_UEM!$A$3:$AH$1849,6,FALSE)</f>
        <v>Electrosurgical Units, Monopolar/Bipolar</v>
      </c>
      <c r="KZE111" s="179" t="s">
        <v>428</v>
      </c>
      <c r="KZF111" s="180" t="str">
        <f>VLOOKUP(KZE111,[13]AssetDetails_UEM!$A$3:$AH$1849,6,FALSE)</f>
        <v>Electrosurgical Units, Monopolar/Bipolar</v>
      </c>
      <c r="KZG111" s="179" t="s">
        <v>428</v>
      </c>
      <c r="KZH111" s="180" t="str">
        <f>VLOOKUP(KZG111,[13]AssetDetails_UEM!$A$3:$AH$1849,6,FALSE)</f>
        <v>Electrosurgical Units, Monopolar/Bipolar</v>
      </c>
      <c r="KZI111" s="179" t="s">
        <v>428</v>
      </c>
      <c r="KZJ111" s="180" t="str">
        <f>VLOOKUP(KZI111,[13]AssetDetails_UEM!$A$3:$AH$1849,6,FALSE)</f>
        <v>Electrosurgical Units, Monopolar/Bipolar</v>
      </c>
      <c r="KZK111" s="179" t="s">
        <v>428</v>
      </c>
      <c r="KZL111" s="180" t="str">
        <f>VLOOKUP(KZK111,[13]AssetDetails_UEM!$A$3:$AH$1849,6,FALSE)</f>
        <v>Electrosurgical Units, Monopolar/Bipolar</v>
      </c>
      <c r="KZM111" s="179" t="s">
        <v>428</v>
      </c>
      <c r="KZN111" s="180" t="str">
        <f>VLOOKUP(KZM111,[13]AssetDetails_UEM!$A$3:$AH$1849,6,FALSE)</f>
        <v>Electrosurgical Units, Monopolar/Bipolar</v>
      </c>
      <c r="KZO111" s="179" t="s">
        <v>428</v>
      </c>
      <c r="KZP111" s="180" t="str">
        <f>VLOOKUP(KZO111,[13]AssetDetails_UEM!$A$3:$AH$1849,6,FALSE)</f>
        <v>Electrosurgical Units, Monopolar/Bipolar</v>
      </c>
      <c r="KZQ111" s="179" t="s">
        <v>428</v>
      </c>
      <c r="KZR111" s="180" t="str">
        <f>VLOOKUP(KZQ111,[13]AssetDetails_UEM!$A$3:$AH$1849,6,FALSE)</f>
        <v>Electrosurgical Units, Monopolar/Bipolar</v>
      </c>
      <c r="KZS111" s="179" t="s">
        <v>428</v>
      </c>
      <c r="KZT111" s="180" t="str">
        <f>VLOOKUP(KZS111,[13]AssetDetails_UEM!$A$3:$AH$1849,6,FALSE)</f>
        <v>Electrosurgical Units, Monopolar/Bipolar</v>
      </c>
      <c r="KZU111" s="179" t="s">
        <v>428</v>
      </c>
      <c r="KZV111" s="180" t="str">
        <f>VLOOKUP(KZU111,[13]AssetDetails_UEM!$A$3:$AH$1849,6,FALSE)</f>
        <v>Electrosurgical Units, Monopolar/Bipolar</v>
      </c>
      <c r="KZW111" s="179" t="s">
        <v>428</v>
      </c>
      <c r="KZX111" s="180" t="str">
        <f>VLOOKUP(KZW111,[13]AssetDetails_UEM!$A$3:$AH$1849,6,FALSE)</f>
        <v>Electrosurgical Units, Monopolar/Bipolar</v>
      </c>
      <c r="KZY111" s="179" t="s">
        <v>428</v>
      </c>
      <c r="KZZ111" s="180" t="str">
        <f>VLOOKUP(KZY111,[13]AssetDetails_UEM!$A$3:$AH$1849,6,FALSE)</f>
        <v>Electrosurgical Units, Monopolar/Bipolar</v>
      </c>
      <c r="LAA111" s="179" t="s">
        <v>428</v>
      </c>
      <c r="LAB111" s="180" t="str">
        <f>VLOOKUP(LAA111,[13]AssetDetails_UEM!$A$3:$AH$1849,6,FALSE)</f>
        <v>Electrosurgical Units, Monopolar/Bipolar</v>
      </c>
      <c r="LAC111" s="179" t="s">
        <v>428</v>
      </c>
      <c r="LAD111" s="180" t="str">
        <f>VLOOKUP(LAC111,[13]AssetDetails_UEM!$A$3:$AH$1849,6,FALSE)</f>
        <v>Electrosurgical Units, Monopolar/Bipolar</v>
      </c>
      <c r="LAE111" s="179" t="s">
        <v>428</v>
      </c>
      <c r="LAF111" s="180" t="str">
        <f>VLOOKUP(LAE111,[13]AssetDetails_UEM!$A$3:$AH$1849,6,FALSE)</f>
        <v>Electrosurgical Units, Monopolar/Bipolar</v>
      </c>
      <c r="LAG111" s="179" t="s">
        <v>428</v>
      </c>
      <c r="LAH111" s="180" t="str">
        <f>VLOOKUP(LAG111,[13]AssetDetails_UEM!$A$3:$AH$1849,6,FALSE)</f>
        <v>Electrosurgical Units, Monopolar/Bipolar</v>
      </c>
      <c r="LAI111" s="179" t="s">
        <v>428</v>
      </c>
      <c r="LAJ111" s="180" t="str">
        <f>VLOOKUP(LAI111,[13]AssetDetails_UEM!$A$3:$AH$1849,6,FALSE)</f>
        <v>Electrosurgical Units, Monopolar/Bipolar</v>
      </c>
      <c r="LAK111" s="179" t="s">
        <v>428</v>
      </c>
      <c r="LAL111" s="180" t="str">
        <f>VLOOKUP(LAK111,[13]AssetDetails_UEM!$A$3:$AH$1849,6,FALSE)</f>
        <v>Electrosurgical Units, Monopolar/Bipolar</v>
      </c>
      <c r="LAM111" s="179" t="s">
        <v>428</v>
      </c>
      <c r="LAN111" s="180" t="str">
        <f>VLOOKUP(LAM111,[13]AssetDetails_UEM!$A$3:$AH$1849,6,FALSE)</f>
        <v>Electrosurgical Units, Monopolar/Bipolar</v>
      </c>
      <c r="LAO111" s="179" t="s">
        <v>428</v>
      </c>
      <c r="LAP111" s="180" t="str">
        <f>VLOOKUP(LAO111,[13]AssetDetails_UEM!$A$3:$AH$1849,6,FALSE)</f>
        <v>Electrosurgical Units, Monopolar/Bipolar</v>
      </c>
      <c r="LAQ111" s="179" t="s">
        <v>428</v>
      </c>
      <c r="LAR111" s="180" t="str">
        <f>VLOOKUP(LAQ111,[13]AssetDetails_UEM!$A$3:$AH$1849,6,FALSE)</f>
        <v>Electrosurgical Units, Monopolar/Bipolar</v>
      </c>
      <c r="LAS111" s="179" t="s">
        <v>428</v>
      </c>
      <c r="LAT111" s="180" t="str">
        <f>VLOOKUP(LAS111,[13]AssetDetails_UEM!$A$3:$AH$1849,6,FALSE)</f>
        <v>Electrosurgical Units, Monopolar/Bipolar</v>
      </c>
      <c r="LAU111" s="179" t="s">
        <v>428</v>
      </c>
      <c r="LAV111" s="180" t="str">
        <f>VLOOKUP(LAU111,[13]AssetDetails_UEM!$A$3:$AH$1849,6,FALSE)</f>
        <v>Electrosurgical Units, Monopolar/Bipolar</v>
      </c>
      <c r="LAW111" s="179" t="s">
        <v>428</v>
      </c>
      <c r="LAX111" s="180" t="str">
        <f>VLOOKUP(LAW111,[13]AssetDetails_UEM!$A$3:$AH$1849,6,FALSE)</f>
        <v>Electrosurgical Units, Monopolar/Bipolar</v>
      </c>
      <c r="LAY111" s="179" t="s">
        <v>428</v>
      </c>
      <c r="LAZ111" s="180" t="str">
        <f>VLOOKUP(LAY111,[13]AssetDetails_UEM!$A$3:$AH$1849,6,FALSE)</f>
        <v>Electrosurgical Units, Monopolar/Bipolar</v>
      </c>
      <c r="LBA111" s="179" t="s">
        <v>428</v>
      </c>
      <c r="LBB111" s="180" t="str">
        <f>VLOOKUP(LBA111,[13]AssetDetails_UEM!$A$3:$AH$1849,6,FALSE)</f>
        <v>Electrosurgical Units, Monopolar/Bipolar</v>
      </c>
      <c r="LBC111" s="179" t="s">
        <v>428</v>
      </c>
      <c r="LBD111" s="180" t="str">
        <f>VLOOKUP(LBC111,[13]AssetDetails_UEM!$A$3:$AH$1849,6,FALSE)</f>
        <v>Electrosurgical Units, Monopolar/Bipolar</v>
      </c>
      <c r="LBE111" s="179" t="s">
        <v>428</v>
      </c>
      <c r="LBF111" s="180" t="str">
        <f>VLOOKUP(LBE111,[13]AssetDetails_UEM!$A$3:$AH$1849,6,FALSE)</f>
        <v>Electrosurgical Units, Monopolar/Bipolar</v>
      </c>
      <c r="LBG111" s="179" t="s">
        <v>428</v>
      </c>
      <c r="LBH111" s="180" t="str">
        <f>VLOOKUP(LBG111,[13]AssetDetails_UEM!$A$3:$AH$1849,6,FALSE)</f>
        <v>Electrosurgical Units, Monopolar/Bipolar</v>
      </c>
      <c r="LBI111" s="179" t="s">
        <v>428</v>
      </c>
      <c r="LBJ111" s="180" t="str">
        <f>VLOOKUP(LBI111,[13]AssetDetails_UEM!$A$3:$AH$1849,6,FALSE)</f>
        <v>Electrosurgical Units, Monopolar/Bipolar</v>
      </c>
      <c r="LBK111" s="179" t="s">
        <v>428</v>
      </c>
      <c r="LBL111" s="180" t="str">
        <f>VLOOKUP(LBK111,[13]AssetDetails_UEM!$A$3:$AH$1849,6,FALSE)</f>
        <v>Electrosurgical Units, Monopolar/Bipolar</v>
      </c>
      <c r="LBM111" s="179" t="s">
        <v>428</v>
      </c>
      <c r="LBN111" s="180" t="str">
        <f>VLOOKUP(LBM111,[13]AssetDetails_UEM!$A$3:$AH$1849,6,FALSE)</f>
        <v>Electrosurgical Units, Monopolar/Bipolar</v>
      </c>
      <c r="LBO111" s="179" t="s">
        <v>428</v>
      </c>
      <c r="LBP111" s="180" t="str">
        <f>VLOOKUP(LBO111,[13]AssetDetails_UEM!$A$3:$AH$1849,6,FALSE)</f>
        <v>Electrosurgical Units, Monopolar/Bipolar</v>
      </c>
      <c r="LBQ111" s="179" t="s">
        <v>428</v>
      </c>
      <c r="LBR111" s="180" t="str">
        <f>VLOOKUP(LBQ111,[13]AssetDetails_UEM!$A$3:$AH$1849,6,FALSE)</f>
        <v>Electrosurgical Units, Monopolar/Bipolar</v>
      </c>
      <c r="LBS111" s="179" t="s">
        <v>428</v>
      </c>
      <c r="LBT111" s="180" t="str">
        <f>VLOOKUP(LBS111,[13]AssetDetails_UEM!$A$3:$AH$1849,6,FALSE)</f>
        <v>Electrosurgical Units, Monopolar/Bipolar</v>
      </c>
      <c r="LBU111" s="179" t="s">
        <v>428</v>
      </c>
      <c r="LBV111" s="180" t="str">
        <f>VLOOKUP(LBU111,[13]AssetDetails_UEM!$A$3:$AH$1849,6,FALSE)</f>
        <v>Electrosurgical Units, Monopolar/Bipolar</v>
      </c>
      <c r="LBW111" s="179" t="s">
        <v>428</v>
      </c>
      <c r="LBX111" s="180" t="str">
        <f>VLOOKUP(LBW111,[13]AssetDetails_UEM!$A$3:$AH$1849,6,FALSE)</f>
        <v>Electrosurgical Units, Monopolar/Bipolar</v>
      </c>
      <c r="LBY111" s="179" t="s">
        <v>428</v>
      </c>
      <c r="LBZ111" s="180" t="str">
        <f>VLOOKUP(LBY111,[13]AssetDetails_UEM!$A$3:$AH$1849,6,FALSE)</f>
        <v>Electrosurgical Units, Monopolar/Bipolar</v>
      </c>
      <c r="LCA111" s="179" t="s">
        <v>428</v>
      </c>
      <c r="LCB111" s="180" t="str">
        <f>VLOOKUP(LCA111,[13]AssetDetails_UEM!$A$3:$AH$1849,6,FALSE)</f>
        <v>Electrosurgical Units, Monopolar/Bipolar</v>
      </c>
      <c r="LCC111" s="179" t="s">
        <v>428</v>
      </c>
      <c r="LCD111" s="180" t="str">
        <f>VLOOKUP(LCC111,[13]AssetDetails_UEM!$A$3:$AH$1849,6,FALSE)</f>
        <v>Electrosurgical Units, Monopolar/Bipolar</v>
      </c>
      <c r="LCE111" s="179" t="s">
        <v>428</v>
      </c>
      <c r="LCF111" s="180" t="str">
        <f>VLOOKUP(LCE111,[13]AssetDetails_UEM!$A$3:$AH$1849,6,FALSE)</f>
        <v>Electrosurgical Units, Monopolar/Bipolar</v>
      </c>
      <c r="LCG111" s="179" t="s">
        <v>428</v>
      </c>
      <c r="LCH111" s="180" t="str">
        <f>VLOOKUP(LCG111,[13]AssetDetails_UEM!$A$3:$AH$1849,6,FALSE)</f>
        <v>Electrosurgical Units, Monopolar/Bipolar</v>
      </c>
      <c r="LCI111" s="179" t="s">
        <v>428</v>
      </c>
      <c r="LCJ111" s="180" t="str">
        <f>VLOOKUP(LCI111,[13]AssetDetails_UEM!$A$3:$AH$1849,6,FALSE)</f>
        <v>Electrosurgical Units, Monopolar/Bipolar</v>
      </c>
      <c r="LCK111" s="179" t="s">
        <v>428</v>
      </c>
      <c r="LCL111" s="180" t="str">
        <f>VLOOKUP(LCK111,[13]AssetDetails_UEM!$A$3:$AH$1849,6,FALSE)</f>
        <v>Electrosurgical Units, Monopolar/Bipolar</v>
      </c>
      <c r="LCM111" s="179" t="s">
        <v>428</v>
      </c>
      <c r="LCN111" s="180" t="str">
        <f>VLOOKUP(LCM111,[13]AssetDetails_UEM!$A$3:$AH$1849,6,FALSE)</f>
        <v>Electrosurgical Units, Monopolar/Bipolar</v>
      </c>
      <c r="LCO111" s="179" t="s">
        <v>428</v>
      </c>
      <c r="LCP111" s="180" t="str">
        <f>VLOOKUP(LCO111,[13]AssetDetails_UEM!$A$3:$AH$1849,6,FALSE)</f>
        <v>Electrosurgical Units, Monopolar/Bipolar</v>
      </c>
      <c r="LCQ111" s="179" t="s">
        <v>428</v>
      </c>
      <c r="LCR111" s="180" t="str">
        <f>VLOOKUP(LCQ111,[13]AssetDetails_UEM!$A$3:$AH$1849,6,FALSE)</f>
        <v>Electrosurgical Units, Monopolar/Bipolar</v>
      </c>
      <c r="LCS111" s="179" t="s">
        <v>428</v>
      </c>
      <c r="LCT111" s="180" t="str">
        <f>VLOOKUP(LCS111,[13]AssetDetails_UEM!$A$3:$AH$1849,6,FALSE)</f>
        <v>Electrosurgical Units, Monopolar/Bipolar</v>
      </c>
      <c r="LCU111" s="179" t="s">
        <v>428</v>
      </c>
      <c r="LCV111" s="180" t="str">
        <f>VLOOKUP(LCU111,[13]AssetDetails_UEM!$A$3:$AH$1849,6,FALSE)</f>
        <v>Electrosurgical Units, Monopolar/Bipolar</v>
      </c>
      <c r="LCW111" s="179" t="s">
        <v>428</v>
      </c>
      <c r="LCX111" s="180" t="str">
        <f>VLOOKUP(LCW111,[13]AssetDetails_UEM!$A$3:$AH$1849,6,FALSE)</f>
        <v>Electrosurgical Units, Monopolar/Bipolar</v>
      </c>
      <c r="LCY111" s="179" t="s">
        <v>428</v>
      </c>
      <c r="LCZ111" s="180" t="str">
        <f>VLOOKUP(LCY111,[13]AssetDetails_UEM!$A$3:$AH$1849,6,FALSE)</f>
        <v>Electrosurgical Units, Monopolar/Bipolar</v>
      </c>
      <c r="LDA111" s="179" t="s">
        <v>428</v>
      </c>
      <c r="LDB111" s="180" t="str">
        <f>VLOOKUP(LDA111,[13]AssetDetails_UEM!$A$3:$AH$1849,6,FALSE)</f>
        <v>Electrosurgical Units, Monopolar/Bipolar</v>
      </c>
      <c r="LDC111" s="179" t="s">
        <v>428</v>
      </c>
      <c r="LDD111" s="180" t="str">
        <f>VLOOKUP(LDC111,[13]AssetDetails_UEM!$A$3:$AH$1849,6,FALSE)</f>
        <v>Electrosurgical Units, Monopolar/Bipolar</v>
      </c>
      <c r="LDE111" s="179" t="s">
        <v>428</v>
      </c>
      <c r="LDF111" s="180" t="str">
        <f>VLOOKUP(LDE111,[13]AssetDetails_UEM!$A$3:$AH$1849,6,FALSE)</f>
        <v>Electrosurgical Units, Monopolar/Bipolar</v>
      </c>
      <c r="LDG111" s="179" t="s">
        <v>428</v>
      </c>
      <c r="LDH111" s="180" t="str">
        <f>VLOOKUP(LDG111,[13]AssetDetails_UEM!$A$3:$AH$1849,6,FALSE)</f>
        <v>Electrosurgical Units, Monopolar/Bipolar</v>
      </c>
      <c r="LDI111" s="179" t="s">
        <v>428</v>
      </c>
      <c r="LDJ111" s="180" t="str">
        <f>VLOOKUP(LDI111,[13]AssetDetails_UEM!$A$3:$AH$1849,6,FALSE)</f>
        <v>Electrosurgical Units, Monopolar/Bipolar</v>
      </c>
      <c r="LDK111" s="179" t="s">
        <v>428</v>
      </c>
      <c r="LDL111" s="180" t="str">
        <f>VLOOKUP(LDK111,[13]AssetDetails_UEM!$A$3:$AH$1849,6,FALSE)</f>
        <v>Electrosurgical Units, Monopolar/Bipolar</v>
      </c>
      <c r="LDM111" s="179" t="s">
        <v>428</v>
      </c>
      <c r="LDN111" s="180" t="str">
        <f>VLOOKUP(LDM111,[13]AssetDetails_UEM!$A$3:$AH$1849,6,FALSE)</f>
        <v>Electrosurgical Units, Monopolar/Bipolar</v>
      </c>
      <c r="LDO111" s="179" t="s">
        <v>428</v>
      </c>
      <c r="LDP111" s="180" t="str">
        <f>VLOOKUP(LDO111,[13]AssetDetails_UEM!$A$3:$AH$1849,6,FALSE)</f>
        <v>Electrosurgical Units, Monopolar/Bipolar</v>
      </c>
      <c r="LDQ111" s="179" t="s">
        <v>428</v>
      </c>
      <c r="LDR111" s="180" t="str">
        <f>VLOOKUP(LDQ111,[13]AssetDetails_UEM!$A$3:$AH$1849,6,FALSE)</f>
        <v>Electrosurgical Units, Monopolar/Bipolar</v>
      </c>
      <c r="LDS111" s="179" t="s">
        <v>428</v>
      </c>
      <c r="LDT111" s="180" t="str">
        <f>VLOOKUP(LDS111,[13]AssetDetails_UEM!$A$3:$AH$1849,6,FALSE)</f>
        <v>Electrosurgical Units, Monopolar/Bipolar</v>
      </c>
      <c r="LDU111" s="179" t="s">
        <v>428</v>
      </c>
      <c r="LDV111" s="180" t="str">
        <f>VLOOKUP(LDU111,[13]AssetDetails_UEM!$A$3:$AH$1849,6,FALSE)</f>
        <v>Electrosurgical Units, Monopolar/Bipolar</v>
      </c>
      <c r="LDW111" s="179" t="s">
        <v>428</v>
      </c>
      <c r="LDX111" s="180" t="str">
        <f>VLOOKUP(LDW111,[13]AssetDetails_UEM!$A$3:$AH$1849,6,FALSE)</f>
        <v>Electrosurgical Units, Monopolar/Bipolar</v>
      </c>
      <c r="LDY111" s="179" t="s">
        <v>428</v>
      </c>
      <c r="LDZ111" s="180" t="str">
        <f>VLOOKUP(LDY111,[13]AssetDetails_UEM!$A$3:$AH$1849,6,FALSE)</f>
        <v>Electrosurgical Units, Monopolar/Bipolar</v>
      </c>
      <c r="LEA111" s="179" t="s">
        <v>428</v>
      </c>
      <c r="LEB111" s="180" t="str">
        <f>VLOOKUP(LEA111,[13]AssetDetails_UEM!$A$3:$AH$1849,6,FALSE)</f>
        <v>Electrosurgical Units, Monopolar/Bipolar</v>
      </c>
      <c r="LEC111" s="179" t="s">
        <v>428</v>
      </c>
      <c r="LED111" s="180" t="str">
        <f>VLOOKUP(LEC111,[13]AssetDetails_UEM!$A$3:$AH$1849,6,FALSE)</f>
        <v>Electrosurgical Units, Monopolar/Bipolar</v>
      </c>
      <c r="LEE111" s="179" t="s">
        <v>428</v>
      </c>
      <c r="LEF111" s="180" t="str">
        <f>VLOOKUP(LEE111,[13]AssetDetails_UEM!$A$3:$AH$1849,6,FALSE)</f>
        <v>Electrosurgical Units, Monopolar/Bipolar</v>
      </c>
      <c r="LEG111" s="179" t="s">
        <v>428</v>
      </c>
      <c r="LEH111" s="180" t="str">
        <f>VLOOKUP(LEG111,[13]AssetDetails_UEM!$A$3:$AH$1849,6,FALSE)</f>
        <v>Electrosurgical Units, Monopolar/Bipolar</v>
      </c>
      <c r="LEI111" s="179" t="s">
        <v>428</v>
      </c>
      <c r="LEJ111" s="180" t="str">
        <f>VLOOKUP(LEI111,[13]AssetDetails_UEM!$A$3:$AH$1849,6,FALSE)</f>
        <v>Electrosurgical Units, Monopolar/Bipolar</v>
      </c>
      <c r="LEK111" s="179" t="s">
        <v>428</v>
      </c>
      <c r="LEL111" s="180" t="str">
        <f>VLOOKUP(LEK111,[13]AssetDetails_UEM!$A$3:$AH$1849,6,FALSE)</f>
        <v>Electrosurgical Units, Monopolar/Bipolar</v>
      </c>
      <c r="LEM111" s="179" t="s">
        <v>428</v>
      </c>
      <c r="LEN111" s="180" t="str">
        <f>VLOOKUP(LEM111,[13]AssetDetails_UEM!$A$3:$AH$1849,6,FALSE)</f>
        <v>Electrosurgical Units, Monopolar/Bipolar</v>
      </c>
      <c r="LEO111" s="179" t="s">
        <v>428</v>
      </c>
      <c r="LEP111" s="180" t="str">
        <f>VLOOKUP(LEO111,[13]AssetDetails_UEM!$A$3:$AH$1849,6,FALSE)</f>
        <v>Electrosurgical Units, Monopolar/Bipolar</v>
      </c>
      <c r="LEQ111" s="179" t="s">
        <v>428</v>
      </c>
      <c r="LER111" s="180" t="str">
        <f>VLOOKUP(LEQ111,[13]AssetDetails_UEM!$A$3:$AH$1849,6,FALSE)</f>
        <v>Electrosurgical Units, Monopolar/Bipolar</v>
      </c>
      <c r="LES111" s="179" t="s">
        <v>428</v>
      </c>
      <c r="LET111" s="180" t="str">
        <f>VLOOKUP(LES111,[13]AssetDetails_UEM!$A$3:$AH$1849,6,FALSE)</f>
        <v>Electrosurgical Units, Monopolar/Bipolar</v>
      </c>
      <c r="LEU111" s="179" t="s">
        <v>428</v>
      </c>
      <c r="LEV111" s="180" t="str">
        <f>VLOOKUP(LEU111,[13]AssetDetails_UEM!$A$3:$AH$1849,6,FALSE)</f>
        <v>Electrosurgical Units, Monopolar/Bipolar</v>
      </c>
      <c r="LEW111" s="179" t="s">
        <v>428</v>
      </c>
      <c r="LEX111" s="180" t="str">
        <f>VLOOKUP(LEW111,[13]AssetDetails_UEM!$A$3:$AH$1849,6,FALSE)</f>
        <v>Electrosurgical Units, Monopolar/Bipolar</v>
      </c>
      <c r="LEY111" s="179" t="s">
        <v>428</v>
      </c>
      <c r="LEZ111" s="180" t="str">
        <f>VLOOKUP(LEY111,[13]AssetDetails_UEM!$A$3:$AH$1849,6,FALSE)</f>
        <v>Electrosurgical Units, Monopolar/Bipolar</v>
      </c>
      <c r="LFA111" s="179" t="s">
        <v>428</v>
      </c>
      <c r="LFB111" s="180" t="str">
        <f>VLOOKUP(LFA111,[13]AssetDetails_UEM!$A$3:$AH$1849,6,FALSE)</f>
        <v>Electrosurgical Units, Monopolar/Bipolar</v>
      </c>
      <c r="LFC111" s="179" t="s">
        <v>428</v>
      </c>
      <c r="LFD111" s="180" t="str">
        <f>VLOOKUP(LFC111,[13]AssetDetails_UEM!$A$3:$AH$1849,6,FALSE)</f>
        <v>Electrosurgical Units, Monopolar/Bipolar</v>
      </c>
      <c r="LFE111" s="179" t="s">
        <v>428</v>
      </c>
      <c r="LFF111" s="180" t="str">
        <f>VLOOKUP(LFE111,[13]AssetDetails_UEM!$A$3:$AH$1849,6,FALSE)</f>
        <v>Electrosurgical Units, Monopolar/Bipolar</v>
      </c>
      <c r="LFG111" s="179" t="s">
        <v>428</v>
      </c>
      <c r="LFH111" s="180" t="str">
        <f>VLOOKUP(LFG111,[13]AssetDetails_UEM!$A$3:$AH$1849,6,FALSE)</f>
        <v>Electrosurgical Units, Monopolar/Bipolar</v>
      </c>
      <c r="LFI111" s="179" t="s">
        <v>428</v>
      </c>
      <c r="LFJ111" s="180" t="str">
        <f>VLOOKUP(LFI111,[13]AssetDetails_UEM!$A$3:$AH$1849,6,FALSE)</f>
        <v>Electrosurgical Units, Monopolar/Bipolar</v>
      </c>
      <c r="LFK111" s="179" t="s">
        <v>428</v>
      </c>
      <c r="LFL111" s="180" t="str">
        <f>VLOOKUP(LFK111,[13]AssetDetails_UEM!$A$3:$AH$1849,6,FALSE)</f>
        <v>Electrosurgical Units, Monopolar/Bipolar</v>
      </c>
      <c r="LFM111" s="179" t="s">
        <v>428</v>
      </c>
      <c r="LFN111" s="180" t="str">
        <f>VLOOKUP(LFM111,[13]AssetDetails_UEM!$A$3:$AH$1849,6,FALSE)</f>
        <v>Electrosurgical Units, Monopolar/Bipolar</v>
      </c>
      <c r="LFO111" s="179" t="s">
        <v>428</v>
      </c>
      <c r="LFP111" s="180" t="str">
        <f>VLOOKUP(LFO111,[13]AssetDetails_UEM!$A$3:$AH$1849,6,FALSE)</f>
        <v>Electrosurgical Units, Monopolar/Bipolar</v>
      </c>
      <c r="LFQ111" s="179" t="s">
        <v>428</v>
      </c>
      <c r="LFR111" s="180" t="str">
        <f>VLOOKUP(LFQ111,[13]AssetDetails_UEM!$A$3:$AH$1849,6,FALSE)</f>
        <v>Electrosurgical Units, Monopolar/Bipolar</v>
      </c>
      <c r="LFS111" s="179" t="s">
        <v>428</v>
      </c>
      <c r="LFT111" s="180" t="str">
        <f>VLOOKUP(LFS111,[13]AssetDetails_UEM!$A$3:$AH$1849,6,FALSE)</f>
        <v>Electrosurgical Units, Monopolar/Bipolar</v>
      </c>
      <c r="LFU111" s="179" t="s">
        <v>428</v>
      </c>
      <c r="LFV111" s="180" t="str">
        <f>VLOOKUP(LFU111,[13]AssetDetails_UEM!$A$3:$AH$1849,6,FALSE)</f>
        <v>Electrosurgical Units, Monopolar/Bipolar</v>
      </c>
      <c r="LFW111" s="179" t="s">
        <v>428</v>
      </c>
      <c r="LFX111" s="180" t="str">
        <f>VLOOKUP(LFW111,[13]AssetDetails_UEM!$A$3:$AH$1849,6,FALSE)</f>
        <v>Electrosurgical Units, Monopolar/Bipolar</v>
      </c>
      <c r="LFY111" s="179" t="s">
        <v>428</v>
      </c>
      <c r="LFZ111" s="180" t="str">
        <f>VLOOKUP(LFY111,[13]AssetDetails_UEM!$A$3:$AH$1849,6,FALSE)</f>
        <v>Electrosurgical Units, Monopolar/Bipolar</v>
      </c>
      <c r="LGA111" s="179" t="s">
        <v>428</v>
      </c>
      <c r="LGB111" s="180" t="str">
        <f>VLOOKUP(LGA111,[13]AssetDetails_UEM!$A$3:$AH$1849,6,FALSE)</f>
        <v>Electrosurgical Units, Monopolar/Bipolar</v>
      </c>
      <c r="LGC111" s="179" t="s">
        <v>428</v>
      </c>
      <c r="LGD111" s="180" t="str">
        <f>VLOOKUP(LGC111,[13]AssetDetails_UEM!$A$3:$AH$1849,6,FALSE)</f>
        <v>Electrosurgical Units, Monopolar/Bipolar</v>
      </c>
      <c r="LGE111" s="179" t="s">
        <v>428</v>
      </c>
      <c r="LGF111" s="180" t="str">
        <f>VLOOKUP(LGE111,[13]AssetDetails_UEM!$A$3:$AH$1849,6,FALSE)</f>
        <v>Electrosurgical Units, Monopolar/Bipolar</v>
      </c>
      <c r="LGG111" s="179" t="s">
        <v>428</v>
      </c>
      <c r="LGH111" s="180" t="str">
        <f>VLOOKUP(LGG111,[13]AssetDetails_UEM!$A$3:$AH$1849,6,FALSE)</f>
        <v>Electrosurgical Units, Monopolar/Bipolar</v>
      </c>
      <c r="LGI111" s="179" t="s">
        <v>428</v>
      </c>
      <c r="LGJ111" s="180" t="str">
        <f>VLOOKUP(LGI111,[13]AssetDetails_UEM!$A$3:$AH$1849,6,FALSE)</f>
        <v>Electrosurgical Units, Monopolar/Bipolar</v>
      </c>
      <c r="LGK111" s="179" t="s">
        <v>428</v>
      </c>
      <c r="LGL111" s="180" t="str">
        <f>VLOOKUP(LGK111,[13]AssetDetails_UEM!$A$3:$AH$1849,6,FALSE)</f>
        <v>Electrosurgical Units, Monopolar/Bipolar</v>
      </c>
      <c r="LGM111" s="179" t="s">
        <v>428</v>
      </c>
      <c r="LGN111" s="180" t="str">
        <f>VLOOKUP(LGM111,[13]AssetDetails_UEM!$A$3:$AH$1849,6,FALSE)</f>
        <v>Electrosurgical Units, Monopolar/Bipolar</v>
      </c>
      <c r="LGO111" s="179" t="s">
        <v>428</v>
      </c>
      <c r="LGP111" s="180" t="str">
        <f>VLOOKUP(LGO111,[13]AssetDetails_UEM!$A$3:$AH$1849,6,FALSE)</f>
        <v>Electrosurgical Units, Monopolar/Bipolar</v>
      </c>
      <c r="LGQ111" s="179" t="s">
        <v>428</v>
      </c>
      <c r="LGR111" s="180" t="str">
        <f>VLOOKUP(LGQ111,[13]AssetDetails_UEM!$A$3:$AH$1849,6,FALSE)</f>
        <v>Electrosurgical Units, Monopolar/Bipolar</v>
      </c>
      <c r="LGS111" s="179" t="s">
        <v>428</v>
      </c>
      <c r="LGT111" s="180" t="str">
        <f>VLOOKUP(LGS111,[13]AssetDetails_UEM!$A$3:$AH$1849,6,FALSE)</f>
        <v>Electrosurgical Units, Monopolar/Bipolar</v>
      </c>
      <c r="LGU111" s="179" t="s">
        <v>428</v>
      </c>
      <c r="LGV111" s="180" t="str">
        <f>VLOOKUP(LGU111,[13]AssetDetails_UEM!$A$3:$AH$1849,6,FALSE)</f>
        <v>Electrosurgical Units, Monopolar/Bipolar</v>
      </c>
      <c r="LGW111" s="179" t="s">
        <v>428</v>
      </c>
      <c r="LGX111" s="180" t="str">
        <f>VLOOKUP(LGW111,[13]AssetDetails_UEM!$A$3:$AH$1849,6,FALSE)</f>
        <v>Electrosurgical Units, Monopolar/Bipolar</v>
      </c>
      <c r="LGY111" s="179" t="s">
        <v>428</v>
      </c>
      <c r="LGZ111" s="180" t="str">
        <f>VLOOKUP(LGY111,[13]AssetDetails_UEM!$A$3:$AH$1849,6,FALSE)</f>
        <v>Electrosurgical Units, Monopolar/Bipolar</v>
      </c>
      <c r="LHA111" s="179" t="s">
        <v>428</v>
      </c>
      <c r="LHB111" s="180" t="str">
        <f>VLOOKUP(LHA111,[13]AssetDetails_UEM!$A$3:$AH$1849,6,FALSE)</f>
        <v>Electrosurgical Units, Monopolar/Bipolar</v>
      </c>
      <c r="LHC111" s="179" t="s">
        <v>428</v>
      </c>
      <c r="LHD111" s="180" t="str">
        <f>VLOOKUP(LHC111,[13]AssetDetails_UEM!$A$3:$AH$1849,6,FALSE)</f>
        <v>Electrosurgical Units, Monopolar/Bipolar</v>
      </c>
      <c r="LHE111" s="179" t="s">
        <v>428</v>
      </c>
      <c r="LHF111" s="180" t="str">
        <f>VLOOKUP(LHE111,[13]AssetDetails_UEM!$A$3:$AH$1849,6,FALSE)</f>
        <v>Electrosurgical Units, Monopolar/Bipolar</v>
      </c>
      <c r="LHG111" s="179" t="s">
        <v>428</v>
      </c>
      <c r="LHH111" s="180" t="str">
        <f>VLOOKUP(LHG111,[13]AssetDetails_UEM!$A$3:$AH$1849,6,FALSE)</f>
        <v>Electrosurgical Units, Monopolar/Bipolar</v>
      </c>
      <c r="LHI111" s="179" t="s">
        <v>428</v>
      </c>
      <c r="LHJ111" s="180" t="str">
        <f>VLOOKUP(LHI111,[13]AssetDetails_UEM!$A$3:$AH$1849,6,FALSE)</f>
        <v>Electrosurgical Units, Monopolar/Bipolar</v>
      </c>
      <c r="LHK111" s="179" t="s">
        <v>428</v>
      </c>
      <c r="LHL111" s="180" t="str">
        <f>VLOOKUP(LHK111,[13]AssetDetails_UEM!$A$3:$AH$1849,6,FALSE)</f>
        <v>Electrosurgical Units, Monopolar/Bipolar</v>
      </c>
      <c r="LHM111" s="179" t="s">
        <v>428</v>
      </c>
      <c r="LHN111" s="180" t="str">
        <f>VLOOKUP(LHM111,[13]AssetDetails_UEM!$A$3:$AH$1849,6,FALSE)</f>
        <v>Electrosurgical Units, Monopolar/Bipolar</v>
      </c>
      <c r="LHO111" s="179" t="s">
        <v>428</v>
      </c>
      <c r="LHP111" s="180" t="str">
        <f>VLOOKUP(LHO111,[13]AssetDetails_UEM!$A$3:$AH$1849,6,FALSE)</f>
        <v>Electrosurgical Units, Monopolar/Bipolar</v>
      </c>
      <c r="LHQ111" s="179" t="s">
        <v>428</v>
      </c>
      <c r="LHR111" s="180" t="str">
        <f>VLOOKUP(LHQ111,[13]AssetDetails_UEM!$A$3:$AH$1849,6,FALSE)</f>
        <v>Electrosurgical Units, Monopolar/Bipolar</v>
      </c>
      <c r="LHS111" s="179" t="s">
        <v>428</v>
      </c>
      <c r="LHT111" s="180" t="str">
        <f>VLOOKUP(LHS111,[13]AssetDetails_UEM!$A$3:$AH$1849,6,FALSE)</f>
        <v>Electrosurgical Units, Monopolar/Bipolar</v>
      </c>
      <c r="LHU111" s="179" t="s">
        <v>428</v>
      </c>
      <c r="LHV111" s="180" t="str">
        <f>VLOOKUP(LHU111,[13]AssetDetails_UEM!$A$3:$AH$1849,6,FALSE)</f>
        <v>Electrosurgical Units, Monopolar/Bipolar</v>
      </c>
      <c r="LHW111" s="179" t="s">
        <v>428</v>
      </c>
      <c r="LHX111" s="180" t="str">
        <f>VLOOKUP(LHW111,[13]AssetDetails_UEM!$A$3:$AH$1849,6,FALSE)</f>
        <v>Electrosurgical Units, Monopolar/Bipolar</v>
      </c>
      <c r="LHY111" s="179" t="s">
        <v>428</v>
      </c>
      <c r="LHZ111" s="180" t="str">
        <f>VLOOKUP(LHY111,[13]AssetDetails_UEM!$A$3:$AH$1849,6,FALSE)</f>
        <v>Electrosurgical Units, Monopolar/Bipolar</v>
      </c>
      <c r="LIA111" s="179" t="s">
        <v>428</v>
      </c>
      <c r="LIB111" s="180" t="str">
        <f>VLOOKUP(LIA111,[13]AssetDetails_UEM!$A$3:$AH$1849,6,FALSE)</f>
        <v>Electrosurgical Units, Monopolar/Bipolar</v>
      </c>
      <c r="LIC111" s="179" t="s">
        <v>428</v>
      </c>
      <c r="LID111" s="180" t="str">
        <f>VLOOKUP(LIC111,[13]AssetDetails_UEM!$A$3:$AH$1849,6,FALSE)</f>
        <v>Electrosurgical Units, Monopolar/Bipolar</v>
      </c>
      <c r="LIE111" s="179" t="s">
        <v>428</v>
      </c>
      <c r="LIF111" s="180" t="str">
        <f>VLOOKUP(LIE111,[13]AssetDetails_UEM!$A$3:$AH$1849,6,FALSE)</f>
        <v>Electrosurgical Units, Monopolar/Bipolar</v>
      </c>
      <c r="LIG111" s="179" t="s">
        <v>428</v>
      </c>
      <c r="LIH111" s="180" t="str">
        <f>VLOOKUP(LIG111,[13]AssetDetails_UEM!$A$3:$AH$1849,6,FALSE)</f>
        <v>Electrosurgical Units, Monopolar/Bipolar</v>
      </c>
      <c r="LII111" s="179" t="s">
        <v>428</v>
      </c>
      <c r="LIJ111" s="180" t="str">
        <f>VLOOKUP(LII111,[13]AssetDetails_UEM!$A$3:$AH$1849,6,FALSE)</f>
        <v>Electrosurgical Units, Monopolar/Bipolar</v>
      </c>
      <c r="LIK111" s="179" t="s">
        <v>428</v>
      </c>
      <c r="LIL111" s="180" t="str">
        <f>VLOOKUP(LIK111,[13]AssetDetails_UEM!$A$3:$AH$1849,6,FALSE)</f>
        <v>Electrosurgical Units, Monopolar/Bipolar</v>
      </c>
      <c r="LIM111" s="179" t="s">
        <v>428</v>
      </c>
      <c r="LIN111" s="180" t="str">
        <f>VLOOKUP(LIM111,[13]AssetDetails_UEM!$A$3:$AH$1849,6,FALSE)</f>
        <v>Electrosurgical Units, Monopolar/Bipolar</v>
      </c>
      <c r="LIO111" s="179" t="s">
        <v>428</v>
      </c>
      <c r="LIP111" s="180" t="str">
        <f>VLOOKUP(LIO111,[13]AssetDetails_UEM!$A$3:$AH$1849,6,FALSE)</f>
        <v>Electrosurgical Units, Monopolar/Bipolar</v>
      </c>
      <c r="LIQ111" s="179" t="s">
        <v>428</v>
      </c>
      <c r="LIR111" s="180" t="str">
        <f>VLOOKUP(LIQ111,[13]AssetDetails_UEM!$A$3:$AH$1849,6,FALSE)</f>
        <v>Electrosurgical Units, Monopolar/Bipolar</v>
      </c>
      <c r="LIS111" s="179" t="s">
        <v>428</v>
      </c>
      <c r="LIT111" s="180" t="str">
        <f>VLOOKUP(LIS111,[13]AssetDetails_UEM!$A$3:$AH$1849,6,FALSE)</f>
        <v>Electrosurgical Units, Monopolar/Bipolar</v>
      </c>
      <c r="LIU111" s="179" t="s">
        <v>428</v>
      </c>
      <c r="LIV111" s="180" t="str">
        <f>VLOOKUP(LIU111,[13]AssetDetails_UEM!$A$3:$AH$1849,6,FALSE)</f>
        <v>Electrosurgical Units, Monopolar/Bipolar</v>
      </c>
      <c r="LIW111" s="179" t="s">
        <v>428</v>
      </c>
      <c r="LIX111" s="180" t="str">
        <f>VLOOKUP(LIW111,[13]AssetDetails_UEM!$A$3:$AH$1849,6,FALSE)</f>
        <v>Electrosurgical Units, Monopolar/Bipolar</v>
      </c>
      <c r="LIY111" s="179" t="s">
        <v>428</v>
      </c>
      <c r="LIZ111" s="180" t="str">
        <f>VLOOKUP(LIY111,[13]AssetDetails_UEM!$A$3:$AH$1849,6,FALSE)</f>
        <v>Electrosurgical Units, Monopolar/Bipolar</v>
      </c>
      <c r="LJA111" s="179" t="s">
        <v>428</v>
      </c>
      <c r="LJB111" s="180" t="str">
        <f>VLOOKUP(LJA111,[13]AssetDetails_UEM!$A$3:$AH$1849,6,FALSE)</f>
        <v>Electrosurgical Units, Monopolar/Bipolar</v>
      </c>
      <c r="LJC111" s="179" t="s">
        <v>428</v>
      </c>
      <c r="LJD111" s="180" t="str">
        <f>VLOOKUP(LJC111,[13]AssetDetails_UEM!$A$3:$AH$1849,6,FALSE)</f>
        <v>Electrosurgical Units, Monopolar/Bipolar</v>
      </c>
      <c r="LJE111" s="179" t="s">
        <v>428</v>
      </c>
      <c r="LJF111" s="180" t="str">
        <f>VLOOKUP(LJE111,[13]AssetDetails_UEM!$A$3:$AH$1849,6,FALSE)</f>
        <v>Electrosurgical Units, Monopolar/Bipolar</v>
      </c>
      <c r="LJG111" s="179" t="s">
        <v>428</v>
      </c>
      <c r="LJH111" s="180" t="str">
        <f>VLOOKUP(LJG111,[13]AssetDetails_UEM!$A$3:$AH$1849,6,FALSE)</f>
        <v>Electrosurgical Units, Monopolar/Bipolar</v>
      </c>
      <c r="LJI111" s="179" t="s">
        <v>428</v>
      </c>
      <c r="LJJ111" s="180" t="str">
        <f>VLOOKUP(LJI111,[13]AssetDetails_UEM!$A$3:$AH$1849,6,FALSE)</f>
        <v>Electrosurgical Units, Monopolar/Bipolar</v>
      </c>
      <c r="LJK111" s="179" t="s">
        <v>428</v>
      </c>
      <c r="LJL111" s="180" t="str">
        <f>VLOOKUP(LJK111,[13]AssetDetails_UEM!$A$3:$AH$1849,6,FALSE)</f>
        <v>Electrosurgical Units, Monopolar/Bipolar</v>
      </c>
      <c r="LJM111" s="179" t="s">
        <v>428</v>
      </c>
      <c r="LJN111" s="180" t="str">
        <f>VLOOKUP(LJM111,[13]AssetDetails_UEM!$A$3:$AH$1849,6,FALSE)</f>
        <v>Electrosurgical Units, Monopolar/Bipolar</v>
      </c>
      <c r="LJO111" s="179" t="s">
        <v>428</v>
      </c>
      <c r="LJP111" s="180" t="str">
        <f>VLOOKUP(LJO111,[13]AssetDetails_UEM!$A$3:$AH$1849,6,FALSE)</f>
        <v>Electrosurgical Units, Monopolar/Bipolar</v>
      </c>
      <c r="LJQ111" s="179" t="s">
        <v>428</v>
      </c>
      <c r="LJR111" s="180" t="str">
        <f>VLOOKUP(LJQ111,[13]AssetDetails_UEM!$A$3:$AH$1849,6,FALSE)</f>
        <v>Electrosurgical Units, Monopolar/Bipolar</v>
      </c>
      <c r="LJS111" s="179" t="s">
        <v>428</v>
      </c>
      <c r="LJT111" s="180" t="str">
        <f>VLOOKUP(LJS111,[13]AssetDetails_UEM!$A$3:$AH$1849,6,FALSE)</f>
        <v>Electrosurgical Units, Monopolar/Bipolar</v>
      </c>
      <c r="LJU111" s="179" t="s">
        <v>428</v>
      </c>
      <c r="LJV111" s="180" t="str">
        <f>VLOOKUP(LJU111,[13]AssetDetails_UEM!$A$3:$AH$1849,6,FALSE)</f>
        <v>Electrosurgical Units, Monopolar/Bipolar</v>
      </c>
      <c r="LJW111" s="179" t="s">
        <v>428</v>
      </c>
      <c r="LJX111" s="180" t="str">
        <f>VLOOKUP(LJW111,[13]AssetDetails_UEM!$A$3:$AH$1849,6,FALSE)</f>
        <v>Electrosurgical Units, Monopolar/Bipolar</v>
      </c>
      <c r="LJY111" s="179" t="s">
        <v>428</v>
      </c>
      <c r="LJZ111" s="180" t="str">
        <f>VLOOKUP(LJY111,[13]AssetDetails_UEM!$A$3:$AH$1849,6,FALSE)</f>
        <v>Electrosurgical Units, Monopolar/Bipolar</v>
      </c>
      <c r="LKA111" s="179" t="s">
        <v>428</v>
      </c>
      <c r="LKB111" s="180" t="str">
        <f>VLOOKUP(LKA111,[13]AssetDetails_UEM!$A$3:$AH$1849,6,FALSE)</f>
        <v>Electrosurgical Units, Monopolar/Bipolar</v>
      </c>
      <c r="LKC111" s="179" t="s">
        <v>428</v>
      </c>
      <c r="LKD111" s="180" t="str">
        <f>VLOOKUP(LKC111,[13]AssetDetails_UEM!$A$3:$AH$1849,6,FALSE)</f>
        <v>Electrosurgical Units, Monopolar/Bipolar</v>
      </c>
      <c r="LKE111" s="179" t="s">
        <v>428</v>
      </c>
      <c r="LKF111" s="180" t="str">
        <f>VLOOKUP(LKE111,[13]AssetDetails_UEM!$A$3:$AH$1849,6,FALSE)</f>
        <v>Electrosurgical Units, Monopolar/Bipolar</v>
      </c>
      <c r="LKG111" s="179" t="s">
        <v>428</v>
      </c>
      <c r="LKH111" s="180" t="str">
        <f>VLOOKUP(LKG111,[13]AssetDetails_UEM!$A$3:$AH$1849,6,FALSE)</f>
        <v>Electrosurgical Units, Monopolar/Bipolar</v>
      </c>
      <c r="LKI111" s="179" t="s">
        <v>428</v>
      </c>
      <c r="LKJ111" s="180" t="str">
        <f>VLOOKUP(LKI111,[13]AssetDetails_UEM!$A$3:$AH$1849,6,FALSE)</f>
        <v>Electrosurgical Units, Monopolar/Bipolar</v>
      </c>
      <c r="LKK111" s="179" t="s">
        <v>428</v>
      </c>
      <c r="LKL111" s="180" t="str">
        <f>VLOOKUP(LKK111,[13]AssetDetails_UEM!$A$3:$AH$1849,6,FALSE)</f>
        <v>Electrosurgical Units, Monopolar/Bipolar</v>
      </c>
      <c r="LKM111" s="179" t="s">
        <v>428</v>
      </c>
      <c r="LKN111" s="180" t="str">
        <f>VLOOKUP(LKM111,[13]AssetDetails_UEM!$A$3:$AH$1849,6,FALSE)</f>
        <v>Electrosurgical Units, Monopolar/Bipolar</v>
      </c>
      <c r="LKO111" s="179" t="s">
        <v>428</v>
      </c>
      <c r="LKP111" s="180" t="str">
        <f>VLOOKUP(LKO111,[13]AssetDetails_UEM!$A$3:$AH$1849,6,FALSE)</f>
        <v>Electrosurgical Units, Monopolar/Bipolar</v>
      </c>
      <c r="LKQ111" s="179" t="s">
        <v>428</v>
      </c>
      <c r="LKR111" s="180" t="str">
        <f>VLOOKUP(LKQ111,[13]AssetDetails_UEM!$A$3:$AH$1849,6,FALSE)</f>
        <v>Electrosurgical Units, Monopolar/Bipolar</v>
      </c>
      <c r="LKS111" s="179" t="s">
        <v>428</v>
      </c>
      <c r="LKT111" s="180" t="str">
        <f>VLOOKUP(LKS111,[13]AssetDetails_UEM!$A$3:$AH$1849,6,FALSE)</f>
        <v>Electrosurgical Units, Monopolar/Bipolar</v>
      </c>
      <c r="LKU111" s="179" t="s">
        <v>428</v>
      </c>
      <c r="LKV111" s="180" t="str">
        <f>VLOOKUP(LKU111,[13]AssetDetails_UEM!$A$3:$AH$1849,6,FALSE)</f>
        <v>Electrosurgical Units, Monopolar/Bipolar</v>
      </c>
      <c r="LKW111" s="179" t="s">
        <v>428</v>
      </c>
      <c r="LKX111" s="180" t="str">
        <f>VLOOKUP(LKW111,[13]AssetDetails_UEM!$A$3:$AH$1849,6,FALSE)</f>
        <v>Electrosurgical Units, Monopolar/Bipolar</v>
      </c>
      <c r="LKY111" s="179" t="s">
        <v>428</v>
      </c>
      <c r="LKZ111" s="180" t="str">
        <f>VLOOKUP(LKY111,[13]AssetDetails_UEM!$A$3:$AH$1849,6,FALSE)</f>
        <v>Electrosurgical Units, Monopolar/Bipolar</v>
      </c>
      <c r="LLA111" s="179" t="s">
        <v>428</v>
      </c>
      <c r="LLB111" s="180" t="str">
        <f>VLOOKUP(LLA111,[13]AssetDetails_UEM!$A$3:$AH$1849,6,FALSE)</f>
        <v>Electrosurgical Units, Monopolar/Bipolar</v>
      </c>
      <c r="LLC111" s="179" t="s">
        <v>428</v>
      </c>
      <c r="LLD111" s="180" t="str">
        <f>VLOOKUP(LLC111,[13]AssetDetails_UEM!$A$3:$AH$1849,6,FALSE)</f>
        <v>Electrosurgical Units, Monopolar/Bipolar</v>
      </c>
      <c r="LLE111" s="179" t="s">
        <v>428</v>
      </c>
      <c r="LLF111" s="180" t="str">
        <f>VLOOKUP(LLE111,[13]AssetDetails_UEM!$A$3:$AH$1849,6,FALSE)</f>
        <v>Electrosurgical Units, Monopolar/Bipolar</v>
      </c>
      <c r="LLG111" s="179" t="s">
        <v>428</v>
      </c>
      <c r="LLH111" s="180" t="str">
        <f>VLOOKUP(LLG111,[13]AssetDetails_UEM!$A$3:$AH$1849,6,FALSE)</f>
        <v>Electrosurgical Units, Monopolar/Bipolar</v>
      </c>
      <c r="LLI111" s="179" t="s">
        <v>428</v>
      </c>
      <c r="LLJ111" s="180" t="str">
        <f>VLOOKUP(LLI111,[13]AssetDetails_UEM!$A$3:$AH$1849,6,FALSE)</f>
        <v>Electrosurgical Units, Monopolar/Bipolar</v>
      </c>
      <c r="LLK111" s="179" t="s">
        <v>428</v>
      </c>
      <c r="LLL111" s="180" t="str">
        <f>VLOOKUP(LLK111,[13]AssetDetails_UEM!$A$3:$AH$1849,6,FALSE)</f>
        <v>Electrosurgical Units, Monopolar/Bipolar</v>
      </c>
      <c r="LLM111" s="179" t="s">
        <v>428</v>
      </c>
      <c r="LLN111" s="180" t="str">
        <f>VLOOKUP(LLM111,[13]AssetDetails_UEM!$A$3:$AH$1849,6,FALSE)</f>
        <v>Electrosurgical Units, Monopolar/Bipolar</v>
      </c>
      <c r="LLO111" s="179" t="s">
        <v>428</v>
      </c>
      <c r="LLP111" s="180" t="str">
        <f>VLOOKUP(LLO111,[13]AssetDetails_UEM!$A$3:$AH$1849,6,FALSE)</f>
        <v>Electrosurgical Units, Monopolar/Bipolar</v>
      </c>
      <c r="LLQ111" s="179" t="s">
        <v>428</v>
      </c>
      <c r="LLR111" s="180" t="str">
        <f>VLOOKUP(LLQ111,[13]AssetDetails_UEM!$A$3:$AH$1849,6,FALSE)</f>
        <v>Electrosurgical Units, Monopolar/Bipolar</v>
      </c>
      <c r="LLS111" s="179" t="s">
        <v>428</v>
      </c>
      <c r="LLT111" s="180" t="str">
        <f>VLOOKUP(LLS111,[13]AssetDetails_UEM!$A$3:$AH$1849,6,FALSE)</f>
        <v>Electrosurgical Units, Monopolar/Bipolar</v>
      </c>
      <c r="LLU111" s="179" t="s">
        <v>428</v>
      </c>
      <c r="LLV111" s="180" t="str">
        <f>VLOOKUP(LLU111,[13]AssetDetails_UEM!$A$3:$AH$1849,6,FALSE)</f>
        <v>Electrosurgical Units, Monopolar/Bipolar</v>
      </c>
      <c r="LLW111" s="179" t="s">
        <v>428</v>
      </c>
      <c r="LLX111" s="180" t="str">
        <f>VLOOKUP(LLW111,[13]AssetDetails_UEM!$A$3:$AH$1849,6,FALSE)</f>
        <v>Electrosurgical Units, Monopolar/Bipolar</v>
      </c>
      <c r="LLY111" s="179" t="s">
        <v>428</v>
      </c>
      <c r="LLZ111" s="180" t="str">
        <f>VLOOKUP(LLY111,[13]AssetDetails_UEM!$A$3:$AH$1849,6,FALSE)</f>
        <v>Electrosurgical Units, Monopolar/Bipolar</v>
      </c>
      <c r="LMA111" s="179" t="s">
        <v>428</v>
      </c>
      <c r="LMB111" s="180" t="str">
        <f>VLOOKUP(LMA111,[13]AssetDetails_UEM!$A$3:$AH$1849,6,FALSE)</f>
        <v>Electrosurgical Units, Monopolar/Bipolar</v>
      </c>
      <c r="LMC111" s="179" t="s">
        <v>428</v>
      </c>
      <c r="LMD111" s="180" t="str">
        <f>VLOOKUP(LMC111,[13]AssetDetails_UEM!$A$3:$AH$1849,6,FALSE)</f>
        <v>Electrosurgical Units, Monopolar/Bipolar</v>
      </c>
      <c r="LME111" s="179" t="s">
        <v>428</v>
      </c>
      <c r="LMF111" s="180" t="str">
        <f>VLOOKUP(LME111,[13]AssetDetails_UEM!$A$3:$AH$1849,6,FALSE)</f>
        <v>Electrosurgical Units, Monopolar/Bipolar</v>
      </c>
      <c r="LMG111" s="179" t="s">
        <v>428</v>
      </c>
      <c r="LMH111" s="180" t="str">
        <f>VLOOKUP(LMG111,[13]AssetDetails_UEM!$A$3:$AH$1849,6,FALSE)</f>
        <v>Electrosurgical Units, Monopolar/Bipolar</v>
      </c>
      <c r="LMI111" s="179" t="s">
        <v>428</v>
      </c>
      <c r="LMJ111" s="180" t="str">
        <f>VLOOKUP(LMI111,[13]AssetDetails_UEM!$A$3:$AH$1849,6,FALSE)</f>
        <v>Electrosurgical Units, Monopolar/Bipolar</v>
      </c>
      <c r="LMK111" s="179" t="s">
        <v>428</v>
      </c>
      <c r="LML111" s="180" t="str">
        <f>VLOOKUP(LMK111,[13]AssetDetails_UEM!$A$3:$AH$1849,6,FALSE)</f>
        <v>Electrosurgical Units, Monopolar/Bipolar</v>
      </c>
      <c r="LMM111" s="179" t="s">
        <v>428</v>
      </c>
      <c r="LMN111" s="180" t="str">
        <f>VLOOKUP(LMM111,[13]AssetDetails_UEM!$A$3:$AH$1849,6,FALSE)</f>
        <v>Electrosurgical Units, Monopolar/Bipolar</v>
      </c>
      <c r="LMO111" s="179" t="s">
        <v>428</v>
      </c>
      <c r="LMP111" s="180" t="str">
        <f>VLOOKUP(LMO111,[13]AssetDetails_UEM!$A$3:$AH$1849,6,FALSE)</f>
        <v>Electrosurgical Units, Monopolar/Bipolar</v>
      </c>
      <c r="LMQ111" s="179" t="s">
        <v>428</v>
      </c>
      <c r="LMR111" s="180" t="str">
        <f>VLOOKUP(LMQ111,[13]AssetDetails_UEM!$A$3:$AH$1849,6,FALSE)</f>
        <v>Electrosurgical Units, Monopolar/Bipolar</v>
      </c>
      <c r="LMS111" s="179" t="s">
        <v>428</v>
      </c>
      <c r="LMT111" s="180" t="str">
        <f>VLOOKUP(LMS111,[13]AssetDetails_UEM!$A$3:$AH$1849,6,FALSE)</f>
        <v>Electrosurgical Units, Monopolar/Bipolar</v>
      </c>
      <c r="LMU111" s="179" t="s">
        <v>428</v>
      </c>
      <c r="LMV111" s="180" t="str">
        <f>VLOOKUP(LMU111,[13]AssetDetails_UEM!$A$3:$AH$1849,6,FALSE)</f>
        <v>Electrosurgical Units, Monopolar/Bipolar</v>
      </c>
      <c r="LMW111" s="179" t="s">
        <v>428</v>
      </c>
      <c r="LMX111" s="180" t="str">
        <f>VLOOKUP(LMW111,[13]AssetDetails_UEM!$A$3:$AH$1849,6,FALSE)</f>
        <v>Electrosurgical Units, Monopolar/Bipolar</v>
      </c>
      <c r="LMY111" s="179" t="s">
        <v>428</v>
      </c>
      <c r="LMZ111" s="180" t="str">
        <f>VLOOKUP(LMY111,[13]AssetDetails_UEM!$A$3:$AH$1849,6,FALSE)</f>
        <v>Electrosurgical Units, Monopolar/Bipolar</v>
      </c>
      <c r="LNA111" s="179" t="s">
        <v>428</v>
      </c>
      <c r="LNB111" s="180" t="str">
        <f>VLOOKUP(LNA111,[13]AssetDetails_UEM!$A$3:$AH$1849,6,FALSE)</f>
        <v>Electrosurgical Units, Monopolar/Bipolar</v>
      </c>
      <c r="LNC111" s="179" t="s">
        <v>428</v>
      </c>
      <c r="LND111" s="180" t="str">
        <f>VLOOKUP(LNC111,[13]AssetDetails_UEM!$A$3:$AH$1849,6,FALSE)</f>
        <v>Electrosurgical Units, Monopolar/Bipolar</v>
      </c>
      <c r="LNE111" s="179" t="s">
        <v>428</v>
      </c>
      <c r="LNF111" s="180" t="str">
        <f>VLOOKUP(LNE111,[13]AssetDetails_UEM!$A$3:$AH$1849,6,FALSE)</f>
        <v>Electrosurgical Units, Monopolar/Bipolar</v>
      </c>
      <c r="LNG111" s="179" t="s">
        <v>428</v>
      </c>
      <c r="LNH111" s="180" t="str">
        <f>VLOOKUP(LNG111,[13]AssetDetails_UEM!$A$3:$AH$1849,6,FALSE)</f>
        <v>Electrosurgical Units, Monopolar/Bipolar</v>
      </c>
      <c r="LNI111" s="179" t="s">
        <v>428</v>
      </c>
      <c r="LNJ111" s="180" t="str">
        <f>VLOOKUP(LNI111,[13]AssetDetails_UEM!$A$3:$AH$1849,6,FALSE)</f>
        <v>Electrosurgical Units, Monopolar/Bipolar</v>
      </c>
      <c r="LNK111" s="179" t="s">
        <v>428</v>
      </c>
      <c r="LNL111" s="180" t="str">
        <f>VLOOKUP(LNK111,[13]AssetDetails_UEM!$A$3:$AH$1849,6,FALSE)</f>
        <v>Electrosurgical Units, Monopolar/Bipolar</v>
      </c>
      <c r="LNM111" s="179" t="s">
        <v>428</v>
      </c>
      <c r="LNN111" s="180" t="str">
        <f>VLOOKUP(LNM111,[13]AssetDetails_UEM!$A$3:$AH$1849,6,FALSE)</f>
        <v>Electrosurgical Units, Monopolar/Bipolar</v>
      </c>
      <c r="LNO111" s="179" t="s">
        <v>428</v>
      </c>
      <c r="LNP111" s="180" t="str">
        <f>VLOOKUP(LNO111,[13]AssetDetails_UEM!$A$3:$AH$1849,6,FALSE)</f>
        <v>Electrosurgical Units, Monopolar/Bipolar</v>
      </c>
      <c r="LNQ111" s="179" t="s">
        <v>428</v>
      </c>
      <c r="LNR111" s="180" t="str">
        <f>VLOOKUP(LNQ111,[13]AssetDetails_UEM!$A$3:$AH$1849,6,FALSE)</f>
        <v>Electrosurgical Units, Monopolar/Bipolar</v>
      </c>
      <c r="LNS111" s="179" t="s">
        <v>428</v>
      </c>
      <c r="LNT111" s="180" t="str">
        <f>VLOOKUP(LNS111,[13]AssetDetails_UEM!$A$3:$AH$1849,6,FALSE)</f>
        <v>Electrosurgical Units, Monopolar/Bipolar</v>
      </c>
      <c r="LNU111" s="179" t="s">
        <v>428</v>
      </c>
      <c r="LNV111" s="180" t="str">
        <f>VLOOKUP(LNU111,[13]AssetDetails_UEM!$A$3:$AH$1849,6,FALSE)</f>
        <v>Electrosurgical Units, Monopolar/Bipolar</v>
      </c>
      <c r="LNW111" s="179" t="s">
        <v>428</v>
      </c>
      <c r="LNX111" s="180" t="str">
        <f>VLOOKUP(LNW111,[13]AssetDetails_UEM!$A$3:$AH$1849,6,FALSE)</f>
        <v>Electrosurgical Units, Monopolar/Bipolar</v>
      </c>
      <c r="LNY111" s="179" t="s">
        <v>428</v>
      </c>
      <c r="LNZ111" s="180" t="str">
        <f>VLOOKUP(LNY111,[13]AssetDetails_UEM!$A$3:$AH$1849,6,FALSE)</f>
        <v>Electrosurgical Units, Monopolar/Bipolar</v>
      </c>
      <c r="LOA111" s="179" t="s">
        <v>428</v>
      </c>
      <c r="LOB111" s="180" t="str">
        <f>VLOOKUP(LOA111,[13]AssetDetails_UEM!$A$3:$AH$1849,6,FALSE)</f>
        <v>Electrosurgical Units, Monopolar/Bipolar</v>
      </c>
      <c r="LOC111" s="179" t="s">
        <v>428</v>
      </c>
      <c r="LOD111" s="180" t="str">
        <f>VLOOKUP(LOC111,[13]AssetDetails_UEM!$A$3:$AH$1849,6,FALSE)</f>
        <v>Electrosurgical Units, Monopolar/Bipolar</v>
      </c>
      <c r="LOE111" s="179" t="s">
        <v>428</v>
      </c>
      <c r="LOF111" s="180" t="str">
        <f>VLOOKUP(LOE111,[13]AssetDetails_UEM!$A$3:$AH$1849,6,FALSE)</f>
        <v>Electrosurgical Units, Monopolar/Bipolar</v>
      </c>
      <c r="LOG111" s="179" t="s">
        <v>428</v>
      </c>
      <c r="LOH111" s="180" t="str">
        <f>VLOOKUP(LOG111,[13]AssetDetails_UEM!$A$3:$AH$1849,6,FALSE)</f>
        <v>Electrosurgical Units, Monopolar/Bipolar</v>
      </c>
      <c r="LOI111" s="179" t="s">
        <v>428</v>
      </c>
      <c r="LOJ111" s="180" t="str">
        <f>VLOOKUP(LOI111,[13]AssetDetails_UEM!$A$3:$AH$1849,6,FALSE)</f>
        <v>Electrosurgical Units, Monopolar/Bipolar</v>
      </c>
      <c r="LOK111" s="179" t="s">
        <v>428</v>
      </c>
      <c r="LOL111" s="180" t="str">
        <f>VLOOKUP(LOK111,[13]AssetDetails_UEM!$A$3:$AH$1849,6,FALSE)</f>
        <v>Electrosurgical Units, Monopolar/Bipolar</v>
      </c>
      <c r="LOM111" s="179" t="s">
        <v>428</v>
      </c>
      <c r="LON111" s="180" t="str">
        <f>VLOOKUP(LOM111,[13]AssetDetails_UEM!$A$3:$AH$1849,6,FALSE)</f>
        <v>Electrosurgical Units, Monopolar/Bipolar</v>
      </c>
      <c r="LOO111" s="179" t="s">
        <v>428</v>
      </c>
      <c r="LOP111" s="180" t="str">
        <f>VLOOKUP(LOO111,[13]AssetDetails_UEM!$A$3:$AH$1849,6,FALSE)</f>
        <v>Electrosurgical Units, Monopolar/Bipolar</v>
      </c>
      <c r="LOQ111" s="179" t="s">
        <v>428</v>
      </c>
      <c r="LOR111" s="180" t="str">
        <f>VLOOKUP(LOQ111,[13]AssetDetails_UEM!$A$3:$AH$1849,6,FALSE)</f>
        <v>Electrosurgical Units, Monopolar/Bipolar</v>
      </c>
      <c r="LOS111" s="179" t="s">
        <v>428</v>
      </c>
      <c r="LOT111" s="180" t="str">
        <f>VLOOKUP(LOS111,[13]AssetDetails_UEM!$A$3:$AH$1849,6,FALSE)</f>
        <v>Electrosurgical Units, Monopolar/Bipolar</v>
      </c>
      <c r="LOU111" s="179" t="s">
        <v>428</v>
      </c>
      <c r="LOV111" s="180" t="str">
        <f>VLOOKUP(LOU111,[13]AssetDetails_UEM!$A$3:$AH$1849,6,FALSE)</f>
        <v>Electrosurgical Units, Monopolar/Bipolar</v>
      </c>
      <c r="LOW111" s="179" t="s">
        <v>428</v>
      </c>
      <c r="LOX111" s="180" t="str">
        <f>VLOOKUP(LOW111,[13]AssetDetails_UEM!$A$3:$AH$1849,6,FALSE)</f>
        <v>Electrosurgical Units, Monopolar/Bipolar</v>
      </c>
      <c r="LOY111" s="179" t="s">
        <v>428</v>
      </c>
      <c r="LOZ111" s="180" t="str">
        <f>VLOOKUP(LOY111,[13]AssetDetails_UEM!$A$3:$AH$1849,6,FALSE)</f>
        <v>Electrosurgical Units, Monopolar/Bipolar</v>
      </c>
      <c r="LPA111" s="179" t="s">
        <v>428</v>
      </c>
      <c r="LPB111" s="180" t="str">
        <f>VLOOKUP(LPA111,[13]AssetDetails_UEM!$A$3:$AH$1849,6,FALSE)</f>
        <v>Electrosurgical Units, Monopolar/Bipolar</v>
      </c>
      <c r="LPC111" s="179" t="s">
        <v>428</v>
      </c>
      <c r="LPD111" s="180" t="str">
        <f>VLOOKUP(LPC111,[13]AssetDetails_UEM!$A$3:$AH$1849,6,FALSE)</f>
        <v>Electrosurgical Units, Monopolar/Bipolar</v>
      </c>
      <c r="LPE111" s="179" t="s">
        <v>428</v>
      </c>
      <c r="LPF111" s="180" t="str">
        <f>VLOOKUP(LPE111,[13]AssetDetails_UEM!$A$3:$AH$1849,6,FALSE)</f>
        <v>Electrosurgical Units, Monopolar/Bipolar</v>
      </c>
      <c r="LPG111" s="179" t="s">
        <v>428</v>
      </c>
      <c r="LPH111" s="180" t="str">
        <f>VLOOKUP(LPG111,[13]AssetDetails_UEM!$A$3:$AH$1849,6,FALSE)</f>
        <v>Electrosurgical Units, Monopolar/Bipolar</v>
      </c>
      <c r="LPI111" s="179" t="s">
        <v>428</v>
      </c>
      <c r="LPJ111" s="180" t="str">
        <f>VLOOKUP(LPI111,[13]AssetDetails_UEM!$A$3:$AH$1849,6,FALSE)</f>
        <v>Electrosurgical Units, Monopolar/Bipolar</v>
      </c>
      <c r="LPK111" s="179" t="s">
        <v>428</v>
      </c>
      <c r="LPL111" s="180" t="str">
        <f>VLOOKUP(LPK111,[13]AssetDetails_UEM!$A$3:$AH$1849,6,FALSE)</f>
        <v>Electrosurgical Units, Monopolar/Bipolar</v>
      </c>
      <c r="LPM111" s="179" t="s">
        <v>428</v>
      </c>
      <c r="LPN111" s="180" t="str">
        <f>VLOOKUP(LPM111,[13]AssetDetails_UEM!$A$3:$AH$1849,6,FALSE)</f>
        <v>Electrosurgical Units, Monopolar/Bipolar</v>
      </c>
      <c r="LPO111" s="179" t="s">
        <v>428</v>
      </c>
      <c r="LPP111" s="180" t="str">
        <f>VLOOKUP(LPO111,[13]AssetDetails_UEM!$A$3:$AH$1849,6,FALSE)</f>
        <v>Electrosurgical Units, Monopolar/Bipolar</v>
      </c>
      <c r="LPQ111" s="179" t="s">
        <v>428</v>
      </c>
      <c r="LPR111" s="180" t="str">
        <f>VLOOKUP(LPQ111,[13]AssetDetails_UEM!$A$3:$AH$1849,6,FALSE)</f>
        <v>Electrosurgical Units, Monopolar/Bipolar</v>
      </c>
      <c r="LPS111" s="179" t="s">
        <v>428</v>
      </c>
      <c r="LPT111" s="180" t="str">
        <f>VLOOKUP(LPS111,[13]AssetDetails_UEM!$A$3:$AH$1849,6,FALSE)</f>
        <v>Electrosurgical Units, Monopolar/Bipolar</v>
      </c>
      <c r="LPU111" s="179" t="s">
        <v>428</v>
      </c>
      <c r="LPV111" s="180" t="str">
        <f>VLOOKUP(LPU111,[13]AssetDetails_UEM!$A$3:$AH$1849,6,FALSE)</f>
        <v>Electrosurgical Units, Monopolar/Bipolar</v>
      </c>
      <c r="LPW111" s="179" t="s">
        <v>428</v>
      </c>
      <c r="LPX111" s="180" t="str">
        <f>VLOOKUP(LPW111,[13]AssetDetails_UEM!$A$3:$AH$1849,6,FALSE)</f>
        <v>Electrosurgical Units, Monopolar/Bipolar</v>
      </c>
      <c r="LPY111" s="179" t="s">
        <v>428</v>
      </c>
      <c r="LPZ111" s="180" t="str">
        <f>VLOOKUP(LPY111,[13]AssetDetails_UEM!$A$3:$AH$1849,6,FALSE)</f>
        <v>Electrosurgical Units, Monopolar/Bipolar</v>
      </c>
      <c r="LQA111" s="179" t="s">
        <v>428</v>
      </c>
      <c r="LQB111" s="180" t="str">
        <f>VLOOKUP(LQA111,[13]AssetDetails_UEM!$A$3:$AH$1849,6,FALSE)</f>
        <v>Electrosurgical Units, Monopolar/Bipolar</v>
      </c>
      <c r="LQC111" s="179" t="s">
        <v>428</v>
      </c>
      <c r="LQD111" s="180" t="str">
        <f>VLOOKUP(LQC111,[13]AssetDetails_UEM!$A$3:$AH$1849,6,FALSE)</f>
        <v>Electrosurgical Units, Monopolar/Bipolar</v>
      </c>
      <c r="LQE111" s="179" t="s">
        <v>428</v>
      </c>
      <c r="LQF111" s="180" t="str">
        <f>VLOOKUP(LQE111,[13]AssetDetails_UEM!$A$3:$AH$1849,6,FALSE)</f>
        <v>Electrosurgical Units, Monopolar/Bipolar</v>
      </c>
      <c r="LQG111" s="179" t="s">
        <v>428</v>
      </c>
      <c r="LQH111" s="180" t="str">
        <f>VLOOKUP(LQG111,[13]AssetDetails_UEM!$A$3:$AH$1849,6,FALSE)</f>
        <v>Electrosurgical Units, Monopolar/Bipolar</v>
      </c>
      <c r="LQI111" s="179" t="s">
        <v>428</v>
      </c>
      <c r="LQJ111" s="180" t="str">
        <f>VLOOKUP(LQI111,[13]AssetDetails_UEM!$A$3:$AH$1849,6,FALSE)</f>
        <v>Electrosurgical Units, Monopolar/Bipolar</v>
      </c>
      <c r="LQK111" s="179" t="s">
        <v>428</v>
      </c>
      <c r="LQL111" s="180" t="str">
        <f>VLOOKUP(LQK111,[13]AssetDetails_UEM!$A$3:$AH$1849,6,FALSE)</f>
        <v>Electrosurgical Units, Monopolar/Bipolar</v>
      </c>
      <c r="LQM111" s="179" t="s">
        <v>428</v>
      </c>
      <c r="LQN111" s="180" t="str">
        <f>VLOOKUP(LQM111,[13]AssetDetails_UEM!$A$3:$AH$1849,6,FALSE)</f>
        <v>Electrosurgical Units, Monopolar/Bipolar</v>
      </c>
      <c r="LQO111" s="179" t="s">
        <v>428</v>
      </c>
      <c r="LQP111" s="180" t="str">
        <f>VLOOKUP(LQO111,[13]AssetDetails_UEM!$A$3:$AH$1849,6,FALSE)</f>
        <v>Electrosurgical Units, Monopolar/Bipolar</v>
      </c>
      <c r="LQQ111" s="179" t="s">
        <v>428</v>
      </c>
      <c r="LQR111" s="180" t="str">
        <f>VLOOKUP(LQQ111,[13]AssetDetails_UEM!$A$3:$AH$1849,6,FALSE)</f>
        <v>Electrosurgical Units, Monopolar/Bipolar</v>
      </c>
      <c r="LQS111" s="179" t="s">
        <v>428</v>
      </c>
      <c r="LQT111" s="180" t="str">
        <f>VLOOKUP(LQS111,[13]AssetDetails_UEM!$A$3:$AH$1849,6,FALSE)</f>
        <v>Electrosurgical Units, Monopolar/Bipolar</v>
      </c>
      <c r="LQU111" s="179" t="s">
        <v>428</v>
      </c>
      <c r="LQV111" s="180" t="str">
        <f>VLOOKUP(LQU111,[13]AssetDetails_UEM!$A$3:$AH$1849,6,FALSE)</f>
        <v>Electrosurgical Units, Monopolar/Bipolar</v>
      </c>
      <c r="LQW111" s="179" t="s">
        <v>428</v>
      </c>
      <c r="LQX111" s="180" t="str">
        <f>VLOOKUP(LQW111,[13]AssetDetails_UEM!$A$3:$AH$1849,6,FALSE)</f>
        <v>Electrosurgical Units, Monopolar/Bipolar</v>
      </c>
      <c r="LQY111" s="179" t="s">
        <v>428</v>
      </c>
      <c r="LQZ111" s="180" t="str">
        <f>VLOOKUP(LQY111,[13]AssetDetails_UEM!$A$3:$AH$1849,6,FALSE)</f>
        <v>Electrosurgical Units, Monopolar/Bipolar</v>
      </c>
      <c r="LRA111" s="179" t="s">
        <v>428</v>
      </c>
      <c r="LRB111" s="180" t="str">
        <f>VLOOKUP(LRA111,[13]AssetDetails_UEM!$A$3:$AH$1849,6,FALSE)</f>
        <v>Electrosurgical Units, Monopolar/Bipolar</v>
      </c>
      <c r="LRC111" s="179" t="s">
        <v>428</v>
      </c>
      <c r="LRD111" s="180" t="str">
        <f>VLOOKUP(LRC111,[13]AssetDetails_UEM!$A$3:$AH$1849,6,FALSE)</f>
        <v>Electrosurgical Units, Monopolar/Bipolar</v>
      </c>
      <c r="LRE111" s="179" t="s">
        <v>428</v>
      </c>
      <c r="LRF111" s="180" t="str">
        <f>VLOOKUP(LRE111,[13]AssetDetails_UEM!$A$3:$AH$1849,6,FALSE)</f>
        <v>Electrosurgical Units, Monopolar/Bipolar</v>
      </c>
      <c r="LRG111" s="179" t="s">
        <v>428</v>
      </c>
      <c r="LRH111" s="180" t="str">
        <f>VLOOKUP(LRG111,[13]AssetDetails_UEM!$A$3:$AH$1849,6,FALSE)</f>
        <v>Electrosurgical Units, Monopolar/Bipolar</v>
      </c>
      <c r="LRI111" s="179" t="s">
        <v>428</v>
      </c>
      <c r="LRJ111" s="180" t="str">
        <f>VLOOKUP(LRI111,[13]AssetDetails_UEM!$A$3:$AH$1849,6,FALSE)</f>
        <v>Electrosurgical Units, Monopolar/Bipolar</v>
      </c>
      <c r="LRK111" s="179" t="s">
        <v>428</v>
      </c>
      <c r="LRL111" s="180" t="str">
        <f>VLOOKUP(LRK111,[13]AssetDetails_UEM!$A$3:$AH$1849,6,FALSE)</f>
        <v>Electrosurgical Units, Monopolar/Bipolar</v>
      </c>
      <c r="LRM111" s="179" t="s">
        <v>428</v>
      </c>
      <c r="LRN111" s="180" t="str">
        <f>VLOOKUP(LRM111,[13]AssetDetails_UEM!$A$3:$AH$1849,6,FALSE)</f>
        <v>Electrosurgical Units, Monopolar/Bipolar</v>
      </c>
      <c r="LRO111" s="179" t="s">
        <v>428</v>
      </c>
      <c r="LRP111" s="180" t="str">
        <f>VLOOKUP(LRO111,[13]AssetDetails_UEM!$A$3:$AH$1849,6,FALSE)</f>
        <v>Electrosurgical Units, Monopolar/Bipolar</v>
      </c>
      <c r="LRQ111" s="179" t="s">
        <v>428</v>
      </c>
      <c r="LRR111" s="180" t="str">
        <f>VLOOKUP(LRQ111,[13]AssetDetails_UEM!$A$3:$AH$1849,6,FALSE)</f>
        <v>Electrosurgical Units, Monopolar/Bipolar</v>
      </c>
      <c r="LRS111" s="179" t="s">
        <v>428</v>
      </c>
      <c r="LRT111" s="180" t="str">
        <f>VLOOKUP(LRS111,[13]AssetDetails_UEM!$A$3:$AH$1849,6,FALSE)</f>
        <v>Electrosurgical Units, Monopolar/Bipolar</v>
      </c>
      <c r="LRU111" s="179" t="s">
        <v>428</v>
      </c>
      <c r="LRV111" s="180" t="str">
        <f>VLOOKUP(LRU111,[13]AssetDetails_UEM!$A$3:$AH$1849,6,FALSE)</f>
        <v>Electrosurgical Units, Monopolar/Bipolar</v>
      </c>
      <c r="LRW111" s="179" t="s">
        <v>428</v>
      </c>
      <c r="LRX111" s="180" t="str">
        <f>VLOOKUP(LRW111,[13]AssetDetails_UEM!$A$3:$AH$1849,6,FALSE)</f>
        <v>Electrosurgical Units, Monopolar/Bipolar</v>
      </c>
      <c r="LRY111" s="179" t="s">
        <v>428</v>
      </c>
      <c r="LRZ111" s="180" t="str">
        <f>VLOOKUP(LRY111,[13]AssetDetails_UEM!$A$3:$AH$1849,6,FALSE)</f>
        <v>Electrosurgical Units, Monopolar/Bipolar</v>
      </c>
      <c r="LSA111" s="179" t="s">
        <v>428</v>
      </c>
      <c r="LSB111" s="180" t="str">
        <f>VLOOKUP(LSA111,[13]AssetDetails_UEM!$A$3:$AH$1849,6,FALSE)</f>
        <v>Electrosurgical Units, Monopolar/Bipolar</v>
      </c>
      <c r="LSC111" s="179" t="s">
        <v>428</v>
      </c>
      <c r="LSD111" s="180" t="str">
        <f>VLOOKUP(LSC111,[13]AssetDetails_UEM!$A$3:$AH$1849,6,FALSE)</f>
        <v>Electrosurgical Units, Monopolar/Bipolar</v>
      </c>
      <c r="LSE111" s="179" t="s">
        <v>428</v>
      </c>
      <c r="LSF111" s="180" t="str">
        <f>VLOOKUP(LSE111,[13]AssetDetails_UEM!$A$3:$AH$1849,6,FALSE)</f>
        <v>Electrosurgical Units, Monopolar/Bipolar</v>
      </c>
      <c r="LSG111" s="179" t="s">
        <v>428</v>
      </c>
      <c r="LSH111" s="180" t="str">
        <f>VLOOKUP(LSG111,[13]AssetDetails_UEM!$A$3:$AH$1849,6,FALSE)</f>
        <v>Electrosurgical Units, Monopolar/Bipolar</v>
      </c>
      <c r="LSI111" s="179" t="s">
        <v>428</v>
      </c>
      <c r="LSJ111" s="180" t="str">
        <f>VLOOKUP(LSI111,[13]AssetDetails_UEM!$A$3:$AH$1849,6,FALSE)</f>
        <v>Electrosurgical Units, Monopolar/Bipolar</v>
      </c>
      <c r="LSK111" s="179" t="s">
        <v>428</v>
      </c>
      <c r="LSL111" s="180" t="str">
        <f>VLOOKUP(LSK111,[13]AssetDetails_UEM!$A$3:$AH$1849,6,FALSE)</f>
        <v>Electrosurgical Units, Monopolar/Bipolar</v>
      </c>
      <c r="LSM111" s="179" t="s">
        <v>428</v>
      </c>
      <c r="LSN111" s="180" t="str">
        <f>VLOOKUP(LSM111,[13]AssetDetails_UEM!$A$3:$AH$1849,6,FALSE)</f>
        <v>Electrosurgical Units, Monopolar/Bipolar</v>
      </c>
      <c r="LSO111" s="179" t="s">
        <v>428</v>
      </c>
      <c r="LSP111" s="180" t="str">
        <f>VLOOKUP(LSO111,[13]AssetDetails_UEM!$A$3:$AH$1849,6,FALSE)</f>
        <v>Electrosurgical Units, Monopolar/Bipolar</v>
      </c>
      <c r="LSQ111" s="179" t="s">
        <v>428</v>
      </c>
      <c r="LSR111" s="180" t="str">
        <f>VLOOKUP(LSQ111,[13]AssetDetails_UEM!$A$3:$AH$1849,6,FALSE)</f>
        <v>Electrosurgical Units, Monopolar/Bipolar</v>
      </c>
      <c r="LSS111" s="179" t="s">
        <v>428</v>
      </c>
      <c r="LST111" s="180" t="str">
        <f>VLOOKUP(LSS111,[13]AssetDetails_UEM!$A$3:$AH$1849,6,FALSE)</f>
        <v>Electrosurgical Units, Monopolar/Bipolar</v>
      </c>
      <c r="LSU111" s="179" t="s">
        <v>428</v>
      </c>
      <c r="LSV111" s="180" t="str">
        <f>VLOOKUP(LSU111,[13]AssetDetails_UEM!$A$3:$AH$1849,6,FALSE)</f>
        <v>Electrosurgical Units, Monopolar/Bipolar</v>
      </c>
      <c r="LSW111" s="179" t="s">
        <v>428</v>
      </c>
      <c r="LSX111" s="180" t="str">
        <f>VLOOKUP(LSW111,[13]AssetDetails_UEM!$A$3:$AH$1849,6,FALSE)</f>
        <v>Electrosurgical Units, Monopolar/Bipolar</v>
      </c>
      <c r="LSY111" s="179" t="s">
        <v>428</v>
      </c>
      <c r="LSZ111" s="180" t="str">
        <f>VLOOKUP(LSY111,[13]AssetDetails_UEM!$A$3:$AH$1849,6,FALSE)</f>
        <v>Electrosurgical Units, Monopolar/Bipolar</v>
      </c>
      <c r="LTA111" s="179" t="s">
        <v>428</v>
      </c>
      <c r="LTB111" s="180" t="str">
        <f>VLOOKUP(LTA111,[13]AssetDetails_UEM!$A$3:$AH$1849,6,FALSE)</f>
        <v>Electrosurgical Units, Monopolar/Bipolar</v>
      </c>
      <c r="LTC111" s="179" t="s">
        <v>428</v>
      </c>
      <c r="LTD111" s="180" t="str">
        <f>VLOOKUP(LTC111,[13]AssetDetails_UEM!$A$3:$AH$1849,6,FALSE)</f>
        <v>Electrosurgical Units, Monopolar/Bipolar</v>
      </c>
      <c r="LTE111" s="179" t="s">
        <v>428</v>
      </c>
      <c r="LTF111" s="180" t="str">
        <f>VLOOKUP(LTE111,[13]AssetDetails_UEM!$A$3:$AH$1849,6,FALSE)</f>
        <v>Electrosurgical Units, Monopolar/Bipolar</v>
      </c>
      <c r="LTG111" s="179" t="s">
        <v>428</v>
      </c>
      <c r="LTH111" s="180" t="str">
        <f>VLOOKUP(LTG111,[13]AssetDetails_UEM!$A$3:$AH$1849,6,FALSE)</f>
        <v>Electrosurgical Units, Monopolar/Bipolar</v>
      </c>
      <c r="LTI111" s="179" t="s">
        <v>428</v>
      </c>
      <c r="LTJ111" s="180" t="str">
        <f>VLOOKUP(LTI111,[13]AssetDetails_UEM!$A$3:$AH$1849,6,FALSE)</f>
        <v>Electrosurgical Units, Monopolar/Bipolar</v>
      </c>
      <c r="LTK111" s="179" t="s">
        <v>428</v>
      </c>
      <c r="LTL111" s="180" t="str">
        <f>VLOOKUP(LTK111,[13]AssetDetails_UEM!$A$3:$AH$1849,6,FALSE)</f>
        <v>Electrosurgical Units, Monopolar/Bipolar</v>
      </c>
      <c r="LTM111" s="179" t="s">
        <v>428</v>
      </c>
      <c r="LTN111" s="180" t="str">
        <f>VLOOKUP(LTM111,[13]AssetDetails_UEM!$A$3:$AH$1849,6,FALSE)</f>
        <v>Electrosurgical Units, Monopolar/Bipolar</v>
      </c>
      <c r="LTO111" s="179" t="s">
        <v>428</v>
      </c>
      <c r="LTP111" s="180" t="str">
        <f>VLOOKUP(LTO111,[13]AssetDetails_UEM!$A$3:$AH$1849,6,FALSE)</f>
        <v>Electrosurgical Units, Monopolar/Bipolar</v>
      </c>
      <c r="LTQ111" s="179" t="s">
        <v>428</v>
      </c>
      <c r="LTR111" s="180" t="str">
        <f>VLOOKUP(LTQ111,[13]AssetDetails_UEM!$A$3:$AH$1849,6,FALSE)</f>
        <v>Electrosurgical Units, Monopolar/Bipolar</v>
      </c>
      <c r="LTS111" s="179" t="s">
        <v>428</v>
      </c>
      <c r="LTT111" s="180" t="str">
        <f>VLOOKUP(LTS111,[13]AssetDetails_UEM!$A$3:$AH$1849,6,FALSE)</f>
        <v>Electrosurgical Units, Monopolar/Bipolar</v>
      </c>
      <c r="LTU111" s="179" t="s">
        <v>428</v>
      </c>
      <c r="LTV111" s="180" t="str">
        <f>VLOOKUP(LTU111,[13]AssetDetails_UEM!$A$3:$AH$1849,6,FALSE)</f>
        <v>Electrosurgical Units, Monopolar/Bipolar</v>
      </c>
      <c r="LTW111" s="179" t="s">
        <v>428</v>
      </c>
      <c r="LTX111" s="180" t="str">
        <f>VLOOKUP(LTW111,[13]AssetDetails_UEM!$A$3:$AH$1849,6,FALSE)</f>
        <v>Electrosurgical Units, Monopolar/Bipolar</v>
      </c>
      <c r="LTY111" s="179" t="s">
        <v>428</v>
      </c>
      <c r="LTZ111" s="180" t="str">
        <f>VLOOKUP(LTY111,[13]AssetDetails_UEM!$A$3:$AH$1849,6,FALSE)</f>
        <v>Electrosurgical Units, Monopolar/Bipolar</v>
      </c>
      <c r="LUA111" s="179" t="s">
        <v>428</v>
      </c>
      <c r="LUB111" s="180" t="str">
        <f>VLOOKUP(LUA111,[13]AssetDetails_UEM!$A$3:$AH$1849,6,FALSE)</f>
        <v>Electrosurgical Units, Monopolar/Bipolar</v>
      </c>
      <c r="LUC111" s="179" t="s">
        <v>428</v>
      </c>
      <c r="LUD111" s="180" t="str">
        <f>VLOOKUP(LUC111,[13]AssetDetails_UEM!$A$3:$AH$1849,6,FALSE)</f>
        <v>Electrosurgical Units, Monopolar/Bipolar</v>
      </c>
      <c r="LUE111" s="179" t="s">
        <v>428</v>
      </c>
      <c r="LUF111" s="180" t="str">
        <f>VLOOKUP(LUE111,[13]AssetDetails_UEM!$A$3:$AH$1849,6,FALSE)</f>
        <v>Electrosurgical Units, Monopolar/Bipolar</v>
      </c>
      <c r="LUG111" s="179" t="s">
        <v>428</v>
      </c>
      <c r="LUH111" s="180" t="str">
        <f>VLOOKUP(LUG111,[13]AssetDetails_UEM!$A$3:$AH$1849,6,FALSE)</f>
        <v>Electrosurgical Units, Monopolar/Bipolar</v>
      </c>
      <c r="LUI111" s="179" t="s">
        <v>428</v>
      </c>
      <c r="LUJ111" s="180" t="str">
        <f>VLOOKUP(LUI111,[13]AssetDetails_UEM!$A$3:$AH$1849,6,FALSE)</f>
        <v>Electrosurgical Units, Monopolar/Bipolar</v>
      </c>
      <c r="LUK111" s="179" t="s">
        <v>428</v>
      </c>
      <c r="LUL111" s="180" t="str">
        <f>VLOOKUP(LUK111,[13]AssetDetails_UEM!$A$3:$AH$1849,6,FALSE)</f>
        <v>Electrosurgical Units, Monopolar/Bipolar</v>
      </c>
      <c r="LUM111" s="179" t="s">
        <v>428</v>
      </c>
      <c r="LUN111" s="180" t="str">
        <f>VLOOKUP(LUM111,[13]AssetDetails_UEM!$A$3:$AH$1849,6,FALSE)</f>
        <v>Electrosurgical Units, Monopolar/Bipolar</v>
      </c>
      <c r="LUO111" s="179" t="s">
        <v>428</v>
      </c>
      <c r="LUP111" s="180" t="str">
        <f>VLOOKUP(LUO111,[13]AssetDetails_UEM!$A$3:$AH$1849,6,FALSE)</f>
        <v>Electrosurgical Units, Monopolar/Bipolar</v>
      </c>
      <c r="LUQ111" s="179" t="s">
        <v>428</v>
      </c>
      <c r="LUR111" s="180" t="str">
        <f>VLOOKUP(LUQ111,[13]AssetDetails_UEM!$A$3:$AH$1849,6,FALSE)</f>
        <v>Electrosurgical Units, Monopolar/Bipolar</v>
      </c>
      <c r="LUS111" s="179" t="s">
        <v>428</v>
      </c>
      <c r="LUT111" s="180" t="str">
        <f>VLOOKUP(LUS111,[13]AssetDetails_UEM!$A$3:$AH$1849,6,FALSE)</f>
        <v>Electrosurgical Units, Monopolar/Bipolar</v>
      </c>
      <c r="LUU111" s="179" t="s">
        <v>428</v>
      </c>
      <c r="LUV111" s="180" t="str">
        <f>VLOOKUP(LUU111,[13]AssetDetails_UEM!$A$3:$AH$1849,6,FALSE)</f>
        <v>Electrosurgical Units, Monopolar/Bipolar</v>
      </c>
      <c r="LUW111" s="179" t="s">
        <v>428</v>
      </c>
      <c r="LUX111" s="180" t="str">
        <f>VLOOKUP(LUW111,[13]AssetDetails_UEM!$A$3:$AH$1849,6,FALSE)</f>
        <v>Electrosurgical Units, Monopolar/Bipolar</v>
      </c>
      <c r="LUY111" s="179" t="s">
        <v>428</v>
      </c>
      <c r="LUZ111" s="180" t="str">
        <f>VLOOKUP(LUY111,[13]AssetDetails_UEM!$A$3:$AH$1849,6,FALSE)</f>
        <v>Electrosurgical Units, Monopolar/Bipolar</v>
      </c>
      <c r="LVA111" s="179" t="s">
        <v>428</v>
      </c>
      <c r="LVB111" s="180" t="str">
        <f>VLOOKUP(LVA111,[13]AssetDetails_UEM!$A$3:$AH$1849,6,FALSE)</f>
        <v>Electrosurgical Units, Monopolar/Bipolar</v>
      </c>
      <c r="LVC111" s="179" t="s">
        <v>428</v>
      </c>
      <c r="LVD111" s="180" t="str">
        <f>VLOOKUP(LVC111,[13]AssetDetails_UEM!$A$3:$AH$1849,6,FALSE)</f>
        <v>Electrosurgical Units, Monopolar/Bipolar</v>
      </c>
      <c r="LVE111" s="179" t="s">
        <v>428</v>
      </c>
      <c r="LVF111" s="180" t="str">
        <f>VLOOKUP(LVE111,[13]AssetDetails_UEM!$A$3:$AH$1849,6,FALSE)</f>
        <v>Electrosurgical Units, Monopolar/Bipolar</v>
      </c>
      <c r="LVG111" s="179" t="s">
        <v>428</v>
      </c>
      <c r="LVH111" s="180" t="str">
        <f>VLOOKUP(LVG111,[13]AssetDetails_UEM!$A$3:$AH$1849,6,FALSE)</f>
        <v>Electrosurgical Units, Monopolar/Bipolar</v>
      </c>
      <c r="LVI111" s="179" t="s">
        <v>428</v>
      </c>
      <c r="LVJ111" s="180" t="str">
        <f>VLOOKUP(LVI111,[13]AssetDetails_UEM!$A$3:$AH$1849,6,FALSE)</f>
        <v>Electrosurgical Units, Monopolar/Bipolar</v>
      </c>
      <c r="LVK111" s="179" t="s">
        <v>428</v>
      </c>
      <c r="LVL111" s="180" t="str">
        <f>VLOOKUP(LVK111,[13]AssetDetails_UEM!$A$3:$AH$1849,6,FALSE)</f>
        <v>Electrosurgical Units, Monopolar/Bipolar</v>
      </c>
      <c r="LVM111" s="179" t="s">
        <v>428</v>
      </c>
      <c r="LVN111" s="180" t="str">
        <f>VLOOKUP(LVM111,[13]AssetDetails_UEM!$A$3:$AH$1849,6,FALSE)</f>
        <v>Electrosurgical Units, Monopolar/Bipolar</v>
      </c>
      <c r="LVO111" s="179" t="s">
        <v>428</v>
      </c>
      <c r="LVP111" s="180" t="str">
        <f>VLOOKUP(LVO111,[13]AssetDetails_UEM!$A$3:$AH$1849,6,FALSE)</f>
        <v>Electrosurgical Units, Monopolar/Bipolar</v>
      </c>
      <c r="LVQ111" s="179" t="s">
        <v>428</v>
      </c>
      <c r="LVR111" s="180" t="str">
        <f>VLOOKUP(LVQ111,[13]AssetDetails_UEM!$A$3:$AH$1849,6,FALSE)</f>
        <v>Electrosurgical Units, Monopolar/Bipolar</v>
      </c>
      <c r="LVS111" s="179" t="s">
        <v>428</v>
      </c>
      <c r="LVT111" s="180" t="str">
        <f>VLOOKUP(LVS111,[13]AssetDetails_UEM!$A$3:$AH$1849,6,FALSE)</f>
        <v>Electrosurgical Units, Monopolar/Bipolar</v>
      </c>
      <c r="LVU111" s="179" t="s">
        <v>428</v>
      </c>
      <c r="LVV111" s="180" t="str">
        <f>VLOOKUP(LVU111,[13]AssetDetails_UEM!$A$3:$AH$1849,6,FALSE)</f>
        <v>Electrosurgical Units, Monopolar/Bipolar</v>
      </c>
      <c r="LVW111" s="179" t="s">
        <v>428</v>
      </c>
      <c r="LVX111" s="180" t="str">
        <f>VLOOKUP(LVW111,[13]AssetDetails_UEM!$A$3:$AH$1849,6,FALSE)</f>
        <v>Electrosurgical Units, Monopolar/Bipolar</v>
      </c>
      <c r="LVY111" s="179" t="s">
        <v>428</v>
      </c>
      <c r="LVZ111" s="180" t="str">
        <f>VLOOKUP(LVY111,[13]AssetDetails_UEM!$A$3:$AH$1849,6,FALSE)</f>
        <v>Electrosurgical Units, Monopolar/Bipolar</v>
      </c>
      <c r="LWA111" s="179" t="s">
        <v>428</v>
      </c>
      <c r="LWB111" s="180" t="str">
        <f>VLOOKUP(LWA111,[13]AssetDetails_UEM!$A$3:$AH$1849,6,FALSE)</f>
        <v>Electrosurgical Units, Monopolar/Bipolar</v>
      </c>
      <c r="LWC111" s="179" t="s">
        <v>428</v>
      </c>
      <c r="LWD111" s="180" t="str">
        <f>VLOOKUP(LWC111,[13]AssetDetails_UEM!$A$3:$AH$1849,6,FALSE)</f>
        <v>Electrosurgical Units, Monopolar/Bipolar</v>
      </c>
      <c r="LWE111" s="179" t="s">
        <v>428</v>
      </c>
      <c r="LWF111" s="180" t="str">
        <f>VLOOKUP(LWE111,[13]AssetDetails_UEM!$A$3:$AH$1849,6,FALSE)</f>
        <v>Electrosurgical Units, Monopolar/Bipolar</v>
      </c>
      <c r="LWG111" s="179" t="s">
        <v>428</v>
      </c>
      <c r="LWH111" s="180" t="str">
        <f>VLOOKUP(LWG111,[13]AssetDetails_UEM!$A$3:$AH$1849,6,FALSE)</f>
        <v>Electrosurgical Units, Monopolar/Bipolar</v>
      </c>
      <c r="LWI111" s="179" t="s">
        <v>428</v>
      </c>
      <c r="LWJ111" s="180" t="str">
        <f>VLOOKUP(LWI111,[13]AssetDetails_UEM!$A$3:$AH$1849,6,FALSE)</f>
        <v>Electrosurgical Units, Monopolar/Bipolar</v>
      </c>
      <c r="LWK111" s="179" t="s">
        <v>428</v>
      </c>
      <c r="LWL111" s="180" t="str">
        <f>VLOOKUP(LWK111,[13]AssetDetails_UEM!$A$3:$AH$1849,6,FALSE)</f>
        <v>Electrosurgical Units, Monopolar/Bipolar</v>
      </c>
      <c r="LWM111" s="179" t="s">
        <v>428</v>
      </c>
      <c r="LWN111" s="180" t="str">
        <f>VLOOKUP(LWM111,[13]AssetDetails_UEM!$A$3:$AH$1849,6,FALSE)</f>
        <v>Electrosurgical Units, Monopolar/Bipolar</v>
      </c>
      <c r="LWO111" s="179" t="s">
        <v>428</v>
      </c>
      <c r="LWP111" s="180" t="str">
        <f>VLOOKUP(LWO111,[13]AssetDetails_UEM!$A$3:$AH$1849,6,FALSE)</f>
        <v>Electrosurgical Units, Monopolar/Bipolar</v>
      </c>
      <c r="LWQ111" s="179" t="s">
        <v>428</v>
      </c>
      <c r="LWR111" s="180" t="str">
        <f>VLOOKUP(LWQ111,[13]AssetDetails_UEM!$A$3:$AH$1849,6,FALSE)</f>
        <v>Electrosurgical Units, Monopolar/Bipolar</v>
      </c>
      <c r="LWS111" s="179" t="s">
        <v>428</v>
      </c>
      <c r="LWT111" s="180" t="str">
        <f>VLOOKUP(LWS111,[13]AssetDetails_UEM!$A$3:$AH$1849,6,FALSE)</f>
        <v>Electrosurgical Units, Monopolar/Bipolar</v>
      </c>
      <c r="LWU111" s="179" t="s">
        <v>428</v>
      </c>
      <c r="LWV111" s="180" t="str">
        <f>VLOOKUP(LWU111,[13]AssetDetails_UEM!$A$3:$AH$1849,6,FALSE)</f>
        <v>Electrosurgical Units, Monopolar/Bipolar</v>
      </c>
      <c r="LWW111" s="179" t="s">
        <v>428</v>
      </c>
      <c r="LWX111" s="180" t="str">
        <f>VLOOKUP(LWW111,[13]AssetDetails_UEM!$A$3:$AH$1849,6,FALSE)</f>
        <v>Electrosurgical Units, Monopolar/Bipolar</v>
      </c>
      <c r="LWY111" s="179" t="s">
        <v>428</v>
      </c>
      <c r="LWZ111" s="180" t="str">
        <f>VLOOKUP(LWY111,[13]AssetDetails_UEM!$A$3:$AH$1849,6,FALSE)</f>
        <v>Electrosurgical Units, Monopolar/Bipolar</v>
      </c>
      <c r="LXA111" s="179" t="s">
        <v>428</v>
      </c>
      <c r="LXB111" s="180" t="str">
        <f>VLOOKUP(LXA111,[13]AssetDetails_UEM!$A$3:$AH$1849,6,FALSE)</f>
        <v>Electrosurgical Units, Monopolar/Bipolar</v>
      </c>
      <c r="LXC111" s="179" t="s">
        <v>428</v>
      </c>
      <c r="LXD111" s="180" t="str">
        <f>VLOOKUP(LXC111,[13]AssetDetails_UEM!$A$3:$AH$1849,6,FALSE)</f>
        <v>Electrosurgical Units, Monopolar/Bipolar</v>
      </c>
      <c r="LXE111" s="179" t="s">
        <v>428</v>
      </c>
      <c r="LXF111" s="180" t="str">
        <f>VLOOKUP(LXE111,[13]AssetDetails_UEM!$A$3:$AH$1849,6,FALSE)</f>
        <v>Electrosurgical Units, Monopolar/Bipolar</v>
      </c>
      <c r="LXG111" s="179" t="s">
        <v>428</v>
      </c>
      <c r="LXH111" s="180" t="str">
        <f>VLOOKUP(LXG111,[13]AssetDetails_UEM!$A$3:$AH$1849,6,FALSE)</f>
        <v>Electrosurgical Units, Monopolar/Bipolar</v>
      </c>
      <c r="LXI111" s="179" t="s">
        <v>428</v>
      </c>
      <c r="LXJ111" s="180" t="str">
        <f>VLOOKUP(LXI111,[13]AssetDetails_UEM!$A$3:$AH$1849,6,FALSE)</f>
        <v>Electrosurgical Units, Monopolar/Bipolar</v>
      </c>
      <c r="LXK111" s="179" t="s">
        <v>428</v>
      </c>
      <c r="LXL111" s="180" t="str">
        <f>VLOOKUP(LXK111,[13]AssetDetails_UEM!$A$3:$AH$1849,6,FALSE)</f>
        <v>Electrosurgical Units, Monopolar/Bipolar</v>
      </c>
      <c r="LXM111" s="179" t="s">
        <v>428</v>
      </c>
      <c r="LXN111" s="180" t="str">
        <f>VLOOKUP(LXM111,[13]AssetDetails_UEM!$A$3:$AH$1849,6,FALSE)</f>
        <v>Electrosurgical Units, Monopolar/Bipolar</v>
      </c>
      <c r="LXO111" s="179" t="s">
        <v>428</v>
      </c>
      <c r="LXP111" s="180" t="str">
        <f>VLOOKUP(LXO111,[13]AssetDetails_UEM!$A$3:$AH$1849,6,FALSE)</f>
        <v>Electrosurgical Units, Monopolar/Bipolar</v>
      </c>
      <c r="LXQ111" s="179" t="s">
        <v>428</v>
      </c>
      <c r="LXR111" s="180" t="str">
        <f>VLOOKUP(LXQ111,[13]AssetDetails_UEM!$A$3:$AH$1849,6,FALSE)</f>
        <v>Electrosurgical Units, Monopolar/Bipolar</v>
      </c>
      <c r="LXS111" s="179" t="s">
        <v>428</v>
      </c>
      <c r="LXT111" s="180" t="str">
        <f>VLOOKUP(LXS111,[13]AssetDetails_UEM!$A$3:$AH$1849,6,FALSE)</f>
        <v>Electrosurgical Units, Monopolar/Bipolar</v>
      </c>
      <c r="LXU111" s="179" t="s">
        <v>428</v>
      </c>
      <c r="LXV111" s="180" t="str">
        <f>VLOOKUP(LXU111,[13]AssetDetails_UEM!$A$3:$AH$1849,6,FALSE)</f>
        <v>Electrosurgical Units, Monopolar/Bipolar</v>
      </c>
      <c r="LXW111" s="179" t="s">
        <v>428</v>
      </c>
      <c r="LXX111" s="180" t="str">
        <f>VLOOKUP(LXW111,[13]AssetDetails_UEM!$A$3:$AH$1849,6,FALSE)</f>
        <v>Electrosurgical Units, Monopolar/Bipolar</v>
      </c>
      <c r="LXY111" s="179" t="s">
        <v>428</v>
      </c>
      <c r="LXZ111" s="180" t="str">
        <f>VLOOKUP(LXY111,[13]AssetDetails_UEM!$A$3:$AH$1849,6,FALSE)</f>
        <v>Electrosurgical Units, Monopolar/Bipolar</v>
      </c>
      <c r="LYA111" s="179" t="s">
        <v>428</v>
      </c>
      <c r="LYB111" s="180" t="str">
        <f>VLOOKUP(LYA111,[13]AssetDetails_UEM!$A$3:$AH$1849,6,FALSE)</f>
        <v>Electrosurgical Units, Monopolar/Bipolar</v>
      </c>
      <c r="LYC111" s="179" t="s">
        <v>428</v>
      </c>
      <c r="LYD111" s="180" t="str">
        <f>VLOOKUP(LYC111,[13]AssetDetails_UEM!$A$3:$AH$1849,6,FALSE)</f>
        <v>Electrosurgical Units, Monopolar/Bipolar</v>
      </c>
      <c r="LYE111" s="179" t="s">
        <v>428</v>
      </c>
      <c r="LYF111" s="180" t="str">
        <f>VLOOKUP(LYE111,[13]AssetDetails_UEM!$A$3:$AH$1849,6,FALSE)</f>
        <v>Electrosurgical Units, Monopolar/Bipolar</v>
      </c>
      <c r="LYG111" s="179" t="s">
        <v>428</v>
      </c>
      <c r="LYH111" s="180" t="str">
        <f>VLOOKUP(LYG111,[13]AssetDetails_UEM!$A$3:$AH$1849,6,FALSE)</f>
        <v>Electrosurgical Units, Monopolar/Bipolar</v>
      </c>
      <c r="LYI111" s="179" t="s">
        <v>428</v>
      </c>
      <c r="LYJ111" s="180" t="str">
        <f>VLOOKUP(LYI111,[13]AssetDetails_UEM!$A$3:$AH$1849,6,FALSE)</f>
        <v>Electrosurgical Units, Monopolar/Bipolar</v>
      </c>
      <c r="LYK111" s="179" t="s">
        <v>428</v>
      </c>
      <c r="LYL111" s="180" t="str">
        <f>VLOOKUP(LYK111,[13]AssetDetails_UEM!$A$3:$AH$1849,6,FALSE)</f>
        <v>Electrosurgical Units, Monopolar/Bipolar</v>
      </c>
      <c r="LYM111" s="179" t="s">
        <v>428</v>
      </c>
      <c r="LYN111" s="180" t="str">
        <f>VLOOKUP(LYM111,[13]AssetDetails_UEM!$A$3:$AH$1849,6,FALSE)</f>
        <v>Electrosurgical Units, Monopolar/Bipolar</v>
      </c>
      <c r="LYO111" s="179" t="s">
        <v>428</v>
      </c>
      <c r="LYP111" s="180" t="str">
        <f>VLOOKUP(LYO111,[13]AssetDetails_UEM!$A$3:$AH$1849,6,FALSE)</f>
        <v>Electrosurgical Units, Monopolar/Bipolar</v>
      </c>
      <c r="LYQ111" s="179" t="s">
        <v>428</v>
      </c>
      <c r="LYR111" s="180" t="str">
        <f>VLOOKUP(LYQ111,[13]AssetDetails_UEM!$A$3:$AH$1849,6,FALSE)</f>
        <v>Electrosurgical Units, Monopolar/Bipolar</v>
      </c>
      <c r="LYS111" s="179" t="s">
        <v>428</v>
      </c>
      <c r="LYT111" s="180" t="str">
        <f>VLOOKUP(LYS111,[13]AssetDetails_UEM!$A$3:$AH$1849,6,FALSE)</f>
        <v>Electrosurgical Units, Monopolar/Bipolar</v>
      </c>
      <c r="LYU111" s="179" t="s">
        <v>428</v>
      </c>
      <c r="LYV111" s="180" t="str">
        <f>VLOOKUP(LYU111,[13]AssetDetails_UEM!$A$3:$AH$1849,6,FALSE)</f>
        <v>Electrosurgical Units, Monopolar/Bipolar</v>
      </c>
      <c r="LYW111" s="179" t="s">
        <v>428</v>
      </c>
      <c r="LYX111" s="180" t="str">
        <f>VLOOKUP(LYW111,[13]AssetDetails_UEM!$A$3:$AH$1849,6,FALSE)</f>
        <v>Electrosurgical Units, Monopolar/Bipolar</v>
      </c>
      <c r="LYY111" s="179" t="s">
        <v>428</v>
      </c>
      <c r="LYZ111" s="180" t="str">
        <f>VLOOKUP(LYY111,[13]AssetDetails_UEM!$A$3:$AH$1849,6,FALSE)</f>
        <v>Electrosurgical Units, Monopolar/Bipolar</v>
      </c>
      <c r="LZA111" s="179" t="s">
        <v>428</v>
      </c>
      <c r="LZB111" s="180" t="str">
        <f>VLOOKUP(LZA111,[13]AssetDetails_UEM!$A$3:$AH$1849,6,FALSE)</f>
        <v>Electrosurgical Units, Monopolar/Bipolar</v>
      </c>
      <c r="LZC111" s="179" t="s">
        <v>428</v>
      </c>
      <c r="LZD111" s="180" t="str">
        <f>VLOOKUP(LZC111,[13]AssetDetails_UEM!$A$3:$AH$1849,6,FALSE)</f>
        <v>Electrosurgical Units, Monopolar/Bipolar</v>
      </c>
      <c r="LZE111" s="179" t="s">
        <v>428</v>
      </c>
      <c r="LZF111" s="180" t="str">
        <f>VLOOKUP(LZE111,[13]AssetDetails_UEM!$A$3:$AH$1849,6,FALSE)</f>
        <v>Electrosurgical Units, Monopolar/Bipolar</v>
      </c>
      <c r="LZG111" s="179" t="s">
        <v>428</v>
      </c>
      <c r="LZH111" s="180" t="str">
        <f>VLOOKUP(LZG111,[13]AssetDetails_UEM!$A$3:$AH$1849,6,FALSE)</f>
        <v>Electrosurgical Units, Monopolar/Bipolar</v>
      </c>
      <c r="LZI111" s="179" t="s">
        <v>428</v>
      </c>
      <c r="LZJ111" s="180" t="str">
        <f>VLOOKUP(LZI111,[13]AssetDetails_UEM!$A$3:$AH$1849,6,FALSE)</f>
        <v>Electrosurgical Units, Monopolar/Bipolar</v>
      </c>
      <c r="LZK111" s="179" t="s">
        <v>428</v>
      </c>
      <c r="LZL111" s="180" t="str">
        <f>VLOOKUP(LZK111,[13]AssetDetails_UEM!$A$3:$AH$1849,6,FALSE)</f>
        <v>Electrosurgical Units, Monopolar/Bipolar</v>
      </c>
      <c r="LZM111" s="179" t="s">
        <v>428</v>
      </c>
      <c r="LZN111" s="180" t="str">
        <f>VLOOKUP(LZM111,[13]AssetDetails_UEM!$A$3:$AH$1849,6,FALSE)</f>
        <v>Electrosurgical Units, Monopolar/Bipolar</v>
      </c>
      <c r="LZO111" s="179" t="s">
        <v>428</v>
      </c>
      <c r="LZP111" s="180" t="str">
        <f>VLOOKUP(LZO111,[13]AssetDetails_UEM!$A$3:$AH$1849,6,FALSE)</f>
        <v>Electrosurgical Units, Monopolar/Bipolar</v>
      </c>
      <c r="LZQ111" s="179" t="s">
        <v>428</v>
      </c>
      <c r="LZR111" s="180" t="str">
        <f>VLOOKUP(LZQ111,[13]AssetDetails_UEM!$A$3:$AH$1849,6,FALSE)</f>
        <v>Electrosurgical Units, Monopolar/Bipolar</v>
      </c>
      <c r="LZS111" s="179" t="s">
        <v>428</v>
      </c>
      <c r="LZT111" s="180" t="str">
        <f>VLOOKUP(LZS111,[13]AssetDetails_UEM!$A$3:$AH$1849,6,FALSE)</f>
        <v>Electrosurgical Units, Monopolar/Bipolar</v>
      </c>
      <c r="LZU111" s="179" t="s">
        <v>428</v>
      </c>
      <c r="LZV111" s="180" t="str">
        <f>VLOOKUP(LZU111,[13]AssetDetails_UEM!$A$3:$AH$1849,6,FALSE)</f>
        <v>Electrosurgical Units, Monopolar/Bipolar</v>
      </c>
      <c r="LZW111" s="179" t="s">
        <v>428</v>
      </c>
      <c r="LZX111" s="180" t="str">
        <f>VLOOKUP(LZW111,[13]AssetDetails_UEM!$A$3:$AH$1849,6,FALSE)</f>
        <v>Electrosurgical Units, Monopolar/Bipolar</v>
      </c>
      <c r="LZY111" s="179" t="s">
        <v>428</v>
      </c>
      <c r="LZZ111" s="180" t="str">
        <f>VLOOKUP(LZY111,[13]AssetDetails_UEM!$A$3:$AH$1849,6,FALSE)</f>
        <v>Electrosurgical Units, Monopolar/Bipolar</v>
      </c>
      <c r="MAA111" s="179" t="s">
        <v>428</v>
      </c>
      <c r="MAB111" s="180" t="str">
        <f>VLOOKUP(MAA111,[13]AssetDetails_UEM!$A$3:$AH$1849,6,FALSE)</f>
        <v>Electrosurgical Units, Monopolar/Bipolar</v>
      </c>
      <c r="MAC111" s="179" t="s">
        <v>428</v>
      </c>
      <c r="MAD111" s="180" t="str">
        <f>VLOOKUP(MAC111,[13]AssetDetails_UEM!$A$3:$AH$1849,6,FALSE)</f>
        <v>Electrosurgical Units, Monopolar/Bipolar</v>
      </c>
      <c r="MAE111" s="179" t="s">
        <v>428</v>
      </c>
      <c r="MAF111" s="180" t="str">
        <f>VLOOKUP(MAE111,[13]AssetDetails_UEM!$A$3:$AH$1849,6,FALSE)</f>
        <v>Electrosurgical Units, Monopolar/Bipolar</v>
      </c>
      <c r="MAG111" s="179" t="s">
        <v>428</v>
      </c>
      <c r="MAH111" s="180" t="str">
        <f>VLOOKUP(MAG111,[13]AssetDetails_UEM!$A$3:$AH$1849,6,FALSE)</f>
        <v>Electrosurgical Units, Monopolar/Bipolar</v>
      </c>
      <c r="MAI111" s="179" t="s">
        <v>428</v>
      </c>
      <c r="MAJ111" s="180" t="str">
        <f>VLOOKUP(MAI111,[13]AssetDetails_UEM!$A$3:$AH$1849,6,FALSE)</f>
        <v>Electrosurgical Units, Monopolar/Bipolar</v>
      </c>
      <c r="MAK111" s="179" t="s">
        <v>428</v>
      </c>
      <c r="MAL111" s="180" t="str">
        <f>VLOOKUP(MAK111,[13]AssetDetails_UEM!$A$3:$AH$1849,6,FALSE)</f>
        <v>Electrosurgical Units, Monopolar/Bipolar</v>
      </c>
      <c r="MAM111" s="179" t="s">
        <v>428</v>
      </c>
      <c r="MAN111" s="180" t="str">
        <f>VLOOKUP(MAM111,[13]AssetDetails_UEM!$A$3:$AH$1849,6,FALSE)</f>
        <v>Electrosurgical Units, Monopolar/Bipolar</v>
      </c>
      <c r="MAO111" s="179" t="s">
        <v>428</v>
      </c>
      <c r="MAP111" s="180" t="str">
        <f>VLOOKUP(MAO111,[13]AssetDetails_UEM!$A$3:$AH$1849,6,FALSE)</f>
        <v>Electrosurgical Units, Monopolar/Bipolar</v>
      </c>
      <c r="MAQ111" s="179" t="s">
        <v>428</v>
      </c>
      <c r="MAR111" s="180" t="str">
        <f>VLOOKUP(MAQ111,[13]AssetDetails_UEM!$A$3:$AH$1849,6,FALSE)</f>
        <v>Electrosurgical Units, Monopolar/Bipolar</v>
      </c>
      <c r="MAS111" s="179" t="s">
        <v>428</v>
      </c>
      <c r="MAT111" s="180" t="str">
        <f>VLOOKUP(MAS111,[13]AssetDetails_UEM!$A$3:$AH$1849,6,FALSE)</f>
        <v>Electrosurgical Units, Monopolar/Bipolar</v>
      </c>
      <c r="MAU111" s="179" t="s">
        <v>428</v>
      </c>
      <c r="MAV111" s="180" t="str">
        <f>VLOOKUP(MAU111,[13]AssetDetails_UEM!$A$3:$AH$1849,6,FALSE)</f>
        <v>Electrosurgical Units, Monopolar/Bipolar</v>
      </c>
      <c r="MAW111" s="179" t="s">
        <v>428</v>
      </c>
      <c r="MAX111" s="180" t="str">
        <f>VLOOKUP(MAW111,[13]AssetDetails_UEM!$A$3:$AH$1849,6,FALSE)</f>
        <v>Electrosurgical Units, Monopolar/Bipolar</v>
      </c>
      <c r="MAY111" s="179" t="s">
        <v>428</v>
      </c>
      <c r="MAZ111" s="180" t="str">
        <f>VLOOKUP(MAY111,[13]AssetDetails_UEM!$A$3:$AH$1849,6,FALSE)</f>
        <v>Electrosurgical Units, Monopolar/Bipolar</v>
      </c>
      <c r="MBA111" s="179" t="s">
        <v>428</v>
      </c>
      <c r="MBB111" s="180" t="str">
        <f>VLOOKUP(MBA111,[13]AssetDetails_UEM!$A$3:$AH$1849,6,FALSE)</f>
        <v>Electrosurgical Units, Monopolar/Bipolar</v>
      </c>
      <c r="MBC111" s="179" t="s">
        <v>428</v>
      </c>
      <c r="MBD111" s="180" t="str">
        <f>VLOOKUP(MBC111,[13]AssetDetails_UEM!$A$3:$AH$1849,6,FALSE)</f>
        <v>Electrosurgical Units, Monopolar/Bipolar</v>
      </c>
      <c r="MBE111" s="179" t="s">
        <v>428</v>
      </c>
      <c r="MBF111" s="180" t="str">
        <f>VLOOKUP(MBE111,[13]AssetDetails_UEM!$A$3:$AH$1849,6,FALSE)</f>
        <v>Electrosurgical Units, Monopolar/Bipolar</v>
      </c>
      <c r="MBG111" s="179" t="s">
        <v>428</v>
      </c>
      <c r="MBH111" s="180" t="str">
        <f>VLOOKUP(MBG111,[13]AssetDetails_UEM!$A$3:$AH$1849,6,FALSE)</f>
        <v>Electrosurgical Units, Monopolar/Bipolar</v>
      </c>
      <c r="MBI111" s="179" t="s">
        <v>428</v>
      </c>
      <c r="MBJ111" s="180" t="str">
        <f>VLOOKUP(MBI111,[13]AssetDetails_UEM!$A$3:$AH$1849,6,FALSE)</f>
        <v>Electrosurgical Units, Monopolar/Bipolar</v>
      </c>
      <c r="MBK111" s="179" t="s">
        <v>428</v>
      </c>
      <c r="MBL111" s="180" t="str">
        <f>VLOOKUP(MBK111,[13]AssetDetails_UEM!$A$3:$AH$1849,6,FALSE)</f>
        <v>Electrosurgical Units, Monopolar/Bipolar</v>
      </c>
      <c r="MBM111" s="179" t="s">
        <v>428</v>
      </c>
      <c r="MBN111" s="180" t="str">
        <f>VLOOKUP(MBM111,[13]AssetDetails_UEM!$A$3:$AH$1849,6,FALSE)</f>
        <v>Electrosurgical Units, Monopolar/Bipolar</v>
      </c>
      <c r="MBO111" s="179" t="s">
        <v>428</v>
      </c>
      <c r="MBP111" s="180" t="str">
        <f>VLOOKUP(MBO111,[13]AssetDetails_UEM!$A$3:$AH$1849,6,FALSE)</f>
        <v>Electrosurgical Units, Monopolar/Bipolar</v>
      </c>
      <c r="MBQ111" s="179" t="s">
        <v>428</v>
      </c>
      <c r="MBR111" s="180" t="str">
        <f>VLOOKUP(MBQ111,[13]AssetDetails_UEM!$A$3:$AH$1849,6,FALSE)</f>
        <v>Electrosurgical Units, Monopolar/Bipolar</v>
      </c>
      <c r="MBS111" s="179" t="s">
        <v>428</v>
      </c>
      <c r="MBT111" s="180" t="str">
        <f>VLOOKUP(MBS111,[13]AssetDetails_UEM!$A$3:$AH$1849,6,FALSE)</f>
        <v>Electrosurgical Units, Monopolar/Bipolar</v>
      </c>
      <c r="MBU111" s="179" t="s">
        <v>428</v>
      </c>
      <c r="MBV111" s="180" t="str">
        <f>VLOOKUP(MBU111,[13]AssetDetails_UEM!$A$3:$AH$1849,6,FALSE)</f>
        <v>Electrosurgical Units, Monopolar/Bipolar</v>
      </c>
      <c r="MBW111" s="179" t="s">
        <v>428</v>
      </c>
      <c r="MBX111" s="180" t="str">
        <f>VLOOKUP(MBW111,[13]AssetDetails_UEM!$A$3:$AH$1849,6,FALSE)</f>
        <v>Electrosurgical Units, Monopolar/Bipolar</v>
      </c>
      <c r="MBY111" s="179" t="s">
        <v>428</v>
      </c>
      <c r="MBZ111" s="180" t="str">
        <f>VLOOKUP(MBY111,[13]AssetDetails_UEM!$A$3:$AH$1849,6,FALSE)</f>
        <v>Electrosurgical Units, Monopolar/Bipolar</v>
      </c>
      <c r="MCA111" s="179" t="s">
        <v>428</v>
      </c>
      <c r="MCB111" s="180" t="str">
        <f>VLOOKUP(MCA111,[13]AssetDetails_UEM!$A$3:$AH$1849,6,FALSE)</f>
        <v>Electrosurgical Units, Monopolar/Bipolar</v>
      </c>
      <c r="MCC111" s="179" t="s">
        <v>428</v>
      </c>
      <c r="MCD111" s="180" t="str">
        <f>VLOOKUP(MCC111,[13]AssetDetails_UEM!$A$3:$AH$1849,6,FALSE)</f>
        <v>Electrosurgical Units, Monopolar/Bipolar</v>
      </c>
      <c r="MCE111" s="179" t="s">
        <v>428</v>
      </c>
      <c r="MCF111" s="180" t="str">
        <f>VLOOKUP(MCE111,[13]AssetDetails_UEM!$A$3:$AH$1849,6,FALSE)</f>
        <v>Electrosurgical Units, Monopolar/Bipolar</v>
      </c>
      <c r="MCG111" s="179" t="s">
        <v>428</v>
      </c>
      <c r="MCH111" s="180" t="str">
        <f>VLOOKUP(MCG111,[13]AssetDetails_UEM!$A$3:$AH$1849,6,FALSE)</f>
        <v>Electrosurgical Units, Monopolar/Bipolar</v>
      </c>
      <c r="MCI111" s="179" t="s">
        <v>428</v>
      </c>
      <c r="MCJ111" s="180" t="str">
        <f>VLOOKUP(MCI111,[13]AssetDetails_UEM!$A$3:$AH$1849,6,FALSE)</f>
        <v>Electrosurgical Units, Monopolar/Bipolar</v>
      </c>
      <c r="MCK111" s="179" t="s">
        <v>428</v>
      </c>
      <c r="MCL111" s="180" t="str">
        <f>VLOOKUP(MCK111,[13]AssetDetails_UEM!$A$3:$AH$1849,6,FALSE)</f>
        <v>Electrosurgical Units, Monopolar/Bipolar</v>
      </c>
      <c r="MCM111" s="179" t="s">
        <v>428</v>
      </c>
      <c r="MCN111" s="180" t="str">
        <f>VLOOKUP(MCM111,[13]AssetDetails_UEM!$A$3:$AH$1849,6,FALSE)</f>
        <v>Electrosurgical Units, Monopolar/Bipolar</v>
      </c>
      <c r="MCO111" s="179" t="s">
        <v>428</v>
      </c>
      <c r="MCP111" s="180" t="str">
        <f>VLOOKUP(MCO111,[13]AssetDetails_UEM!$A$3:$AH$1849,6,FALSE)</f>
        <v>Electrosurgical Units, Monopolar/Bipolar</v>
      </c>
      <c r="MCQ111" s="179" t="s">
        <v>428</v>
      </c>
      <c r="MCR111" s="180" t="str">
        <f>VLOOKUP(MCQ111,[13]AssetDetails_UEM!$A$3:$AH$1849,6,FALSE)</f>
        <v>Electrosurgical Units, Monopolar/Bipolar</v>
      </c>
      <c r="MCS111" s="179" t="s">
        <v>428</v>
      </c>
      <c r="MCT111" s="180" t="str">
        <f>VLOOKUP(MCS111,[13]AssetDetails_UEM!$A$3:$AH$1849,6,FALSE)</f>
        <v>Electrosurgical Units, Monopolar/Bipolar</v>
      </c>
      <c r="MCU111" s="179" t="s">
        <v>428</v>
      </c>
      <c r="MCV111" s="180" t="str">
        <f>VLOOKUP(MCU111,[13]AssetDetails_UEM!$A$3:$AH$1849,6,FALSE)</f>
        <v>Electrosurgical Units, Monopolar/Bipolar</v>
      </c>
      <c r="MCW111" s="179" t="s">
        <v>428</v>
      </c>
      <c r="MCX111" s="180" t="str">
        <f>VLOOKUP(MCW111,[13]AssetDetails_UEM!$A$3:$AH$1849,6,FALSE)</f>
        <v>Electrosurgical Units, Monopolar/Bipolar</v>
      </c>
      <c r="MCY111" s="179" t="s">
        <v>428</v>
      </c>
      <c r="MCZ111" s="180" t="str">
        <f>VLOOKUP(MCY111,[13]AssetDetails_UEM!$A$3:$AH$1849,6,FALSE)</f>
        <v>Electrosurgical Units, Monopolar/Bipolar</v>
      </c>
      <c r="MDA111" s="179" t="s">
        <v>428</v>
      </c>
      <c r="MDB111" s="180" t="str">
        <f>VLOOKUP(MDA111,[13]AssetDetails_UEM!$A$3:$AH$1849,6,FALSE)</f>
        <v>Electrosurgical Units, Monopolar/Bipolar</v>
      </c>
      <c r="MDC111" s="179" t="s">
        <v>428</v>
      </c>
      <c r="MDD111" s="180" t="str">
        <f>VLOOKUP(MDC111,[13]AssetDetails_UEM!$A$3:$AH$1849,6,FALSE)</f>
        <v>Electrosurgical Units, Monopolar/Bipolar</v>
      </c>
      <c r="MDE111" s="179" t="s">
        <v>428</v>
      </c>
      <c r="MDF111" s="180" t="str">
        <f>VLOOKUP(MDE111,[13]AssetDetails_UEM!$A$3:$AH$1849,6,FALSE)</f>
        <v>Electrosurgical Units, Monopolar/Bipolar</v>
      </c>
      <c r="MDG111" s="179" t="s">
        <v>428</v>
      </c>
      <c r="MDH111" s="180" t="str">
        <f>VLOOKUP(MDG111,[13]AssetDetails_UEM!$A$3:$AH$1849,6,FALSE)</f>
        <v>Electrosurgical Units, Monopolar/Bipolar</v>
      </c>
      <c r="MDI111" s="179" t="s">
        <v>428</v>
      </c>
      <c r="MDJ111" s="180" t="str">
        <f>VLOOKUP(MDI111,[13]AssetDetails_UEM!$A$3:$AH$1849,6,FALSE)</f>
        <v>Electrosurgical Units, Monopolar/Bipolar</v>
      </c>
      <c r="MDK111" s="179" t="s">
        <v>428</v>
      </c>
      <c r="MDL111" s="180" t="str">
        <f>VLOOKUP(MDK111,[13]AssetDetails_UEM!$A$3:$AH$1849,6,FALSE)</f>
        <v>Electrosurgical Units, Monopolar/Bipolar</v>
      </c>
      <c r="MDM111" s="179" t="s">
        <v>428</v>
      </c>
      <c r="MDN111" s="180" t="str">
        <f>VLOOKUP(MDM111,[13]AssetDetails_UEM!$A$3:$AH$1849,6,FALSE)</f>
        <v>Electrosurgical Units, Monopolar/Bipolar</v>
      </c>
      <c r="MDO111" s="179" t="s">
        <v>428</v>
      </c>
      <c r="MDP111" s="180" t="str">
        <f>VLOOKUP(MDO111,[13]AssetDetails_UEM!$A$3:$AH$1849,6,FALSE)</f>
        <v>Electrosurgical Units, Monopolar/Bipolar</v>
      </c>
      <c r="MDQ111" s="179" t="s">
        <v>428</v>
      </c>
      <c r="MDR111" s="180" t="str">
        <f>VLOOKUP(MDQ111,[13]AssetDetails_UEM!$A$3:$AH$1849,6,FALSE)</f>
        <v>Electrosurgical Units, Monopolar/Bipolar</v>
      </c>
      <c r="MDS111" s="179" t="s">
        <v>428</v>
      </c>
      <c r="MDT111" s="180" t="str">
        <f>VLOOKUP(MDS111,[13]AssetDetails_UEM!$A$3:$AH$1849,6,FALSE)</f>
        <v>Electrosurgical Units, Monopolar/Bipolar</v>
      </c>
      <c r="MDU111" s="179" t="s">
        <v>428</v>
      </c>
      <c r="MDV111" s="180" t="str">
        <f>VLOOKUP(MDU111,[13]AssetDetails_UEM!$A$3:$AH$1849,6,FALSE)</f>
        <v>Electrosurgical Units, Monopolar/Bipolar</v>
      </c>
      <c r="MDW111" s="179" t="s">
        <v>428</v>
      </c>
      <c r="MDX111" s="180" t="str">
        <f>VLOOKUP(MDW111,[13]AssetDetails_UEM!$A$3:$AH$1849,6,FALSE)</f>
        <v>Electrosurgical Units, Monopolar/Bipolar</v>
      </c>
      <c r="MDY111" s="179" t="s">
        <v>428</v>
      </c>
      <c r="MDZ111" s="180" t="str">
        <f>VLOOKUP(MDY111,[13]AssetDetails_UEM!$A$3:$AH$1849,6,FALSE)</f>
        <v>Electrosurgical Units, Monopolar/Bipolar</v>
      </c>
      <c r="MEA111" s="179" t="s">
        <v>428</v>
      </c>
      <c r="MEB111" s="180" t="str">
        <f>VLOOKUP(MEA111,[13]AssetDetails_UEM!$A$3:$AH$1849,6,FALSE)</f>
        <v>Electrosurgical Units, Monopolar/Bipolar</v>
      </c>
      <c r="MEC111" s="179" t="s">
        <v>428</v>
      </c>
      <c r="MED111" s="180" t="str">
        <f>VLOOKUP(MEC111,[13]AssetDetails_UEM!$A$3:$AH$1849,6,FALSE)</f>
        <v>Electrosurgical Units, Monopolar/Bipolar</v>
      </c>
      <c r="MEE111" s="179" t="s">
        <v>428</v>
      </c>
      <c r="MEF111" s="180" t="str">
        <f>VLOOKUP(MEE111,[13]AssetDetails_UEM!$A$3:$AH$1849,6,FALSE)</f>
        <v>Electrosurgical Units, Monopolar/Bipolar</v>
      </c>
      <c r="MEG111" s="179" t="s">
        <v>428</v>
      </c>
      <c r="MEH111" s="180" t="str">
        <f>VLOOKUP(MEG111,[13]AssetDetails_UEM!$A$3:$AH$1849,6,FALSE)</f>
        <v>Electrosurgical Units, Monopolar/Bipolar</v>
      </c>
      <c r="MEI111" s="179" t="s">
        <v>428</v>
      </c>
      <c r="MEJ111" s="180" t="str">
        <f>VLOOKUP(MEI111,[13]AssetDetails_UEM!$A$3:$AH$1849,6,FALSE)</f>
        <v>Electrosurgical Units, Monopolar/Bipolar</v>
      </c>
      <c r="MEK111" s="179" t="s">
        <v>428</v>
      </c>
      <c r="MEL111" s="180" t="str">
        <f>VLOOKUP(MEK111,[13]AssetDetails_UEM!$A$3:$AH$1849,6,FALSE)</f>
        <v>Electrosurgical Units, Monopolar/Bipolar</v>
      </c>
      <c r="MEM111" s="179" t="s">
        <v>428</v>
      </c>
      <c r="MEN111" s="180" t="str">
        <f>VLOOKUP(MEM111,[13]AssetDetails_UEM!$A$3:$AH$1849,6,FALSE)</f>
        <v>Electrosurgical Units, Monopolar/Bipolar</v>
      </c>
      <c r="MEO111" s="179" t="s">
        <v>428</v>
      </c>
      <c r="MEP111" s="180" t="str">
        <f>VLOOKUP(MEO111,[13]AssetDetails_UEM!$A$3:$AH$1849,6,FALSE)</f>
        <v>Electrosurgical Units, Monopolar/Bipolar</v>
      </c>
      <c r="MEQ111" s="179" t="s">
        <v>428</v>
      </c>
      <c r="MER111" s="180" t="str">
        <f>VLOOKUP(MEQ111,[13]AssetDetails_UEM!$A$3:$AH$1849,6,FALSE)</f>
        <v>Electrosurgical Units, Monopolar/Bipolar</v>
      </c>
      <c r="MES111" s="179" t="s">
        <v>428</v>
      </c>
      <c r="MET111" s="180" t="str">
        <f>VLOOKUP(MES111,[13]AssetDetails_UEM!$A$3:$AH$1849,6,FALSE)</f>
        <v>Electrosurgical Units, Monopolar/Bipolar</v>
      </c>
      <c r="MEU111" s="179" t="s">
        <v>428</v>
      </c>
      <c r="MEV111" s="180" t="str">
        <f>VLOOKUP(MEU111,[13]AssetDetails_UEM!$A$3:$AH$1849,6,FALSE)</f>
        <v>Electrosurgical Units, Monopolar/Bipolar</v>
      </c>
      <c r="MEW111" s="179" t="s">
        <v>428</v>
      </c>
      <c r="MEX111" s="180" t="str">
        <f>VLOOKUP(MEW111,[13]AssetDetails_UEM!$A$3:$AH$1849,6,FALSE)</f>
        <v>Electrosurgical Units, Monopolar/Bipolar</v>
      </c>
      <c r="MEY111" s="179" t="s">
        <v>428</v>
      </c>
      <c r="MEZ111" s="180" t="str">
        <f>VLOOKUP(MEY111,[13]AssetDetails_UEM!$A$3:$AH$1849,6,FALSE)</f>
        <v>Electrosurgical Units, Monopolar/Bipolar</v>
      </c>
      <c r="MFA111" s="179" t="s">
        <v>428</v>
      </c>
      <c r="MFB111" s="180" t="str">
        <f>VLOOKUP(MFA111,[13]AssetDetails_UEM!$A$3:$AH$1849,6,FALSE)</f>
        <v>Electrosurgical Units, Monopolar/Bipolar</v>
      </c>
      <c r="MFC111" s="179" t="s">
        <v>428</v>
      </c>
      <c r="MFD111" s="180" t="str">
        <f>VLOOKUP(MFC111,[13]AssetDetails_UEM!$A$3:$AH$1849,6,FALSE)</f>
        <v>Electrosurgical Units, Monopolar/Bipolar</v>
      </c>
      <c r="MFE111" s="179" t="s">
        <v>428</v>
      </c>
      <c r="MFF111" s="180" t="str">
        <f>VLOOKUP(MFE111,[13]AssetDetails_UEM!$A$3:$AH$1849,6,FALSE)</f>
        <v>Electrosurgical Units, Monopolar/Bipolar</v>
      </c>
      <c r="MFG111" s="179" t="s">
        <v>428</v>
      </c>
      <c r="MFH111" s="180" t="str">
        <f>VLOOKUP(MFG111,[13]AssetDetails_UEM!$A$3:$AH$1849,6,FALSE)</f>
        <v>Electrosurgical Units, Monopolar/Bipolar</v>
      </c>
      <c r="MFI111" s="179" t="s">
        <v>428</v>
      </c>
      <c r="MFJ111" s="180" t="str">
        <f>VLOOKUP(MFI111,[13]AssetDetails_UEM!$A$3:$AH$1849,6,FALSE)</f>
        <v>Electrosurgical Units, Monopolar/Bipolar</v>
      </c>
      <c r="MFK111" s="179" t="s">
        <v>428</v>
      </c>
      <c r="MFL111" s="180" t="str">
        <f>VLOOKUP(MFK111,[13]AssetDetails_UEM!$A$3:$AH$1849,6,FALSE)</f>
        <v>Electrosurgical Units, Monopolar/Bipolar</v>
      </c>
      <c r="MFM111" s="179" t="s">
        <v>428</v>
      </c>
      <c r="MFN111" s="180" t="str">
        <f>VLOOKUP(MFM111,[13]AssetDetails_UEM!$A$3:$AH$1849,6,FALSE)</f>
        <v>Electrosurgical Units, Monopolar/Bipolar</v>
      </c>
      <c r="MFO111" s="179" t="s">
        <v>428</v>
      </c>
      <c r="MFP111" s="180" t="str">
        <f>VLOOKUP(MFO111,[13]AssetDetails_UEM!$A$3:$AH$1849,6,FALSE)</f>
        <v>Electrosurgical Units, Monopolar/Bipolar</v>
      </c>
      <c r="MFQ111" s="179" t="s">
        <v>428</v>
      </c>
      <c r="MFR111" s="180" t="str">
        <f>VLOOKUP(MFQ111,[13]AssetDetails_UEM!$A$3:$AH$1849,6,FALSE)</f>
        <v>Electrosurgical Units, Monopolar/Bipolar</v>
      </c>
      <c r="MFS111" s="179" t="s">
        <v>428</v>
      </c>
      <c r="MFT111" s="180" t="str">
        <f>VLOOKUP(MFS111,[13]AssetDetails_UEM!$A$3:$AH$1849,6,FALSE)</f>
        <v>Electrosurgical Units, Monopolar/Bipolar</v>
      </c>
      <c r="MFU111" s="179" t="s">
        <v>428</v>
      </c>
      <c r="MFV111" s="180" t="str">
        <f>VLOOKUP(MFU111,[13]AssetDetails_UEM!$A$3:$AH$1849,6,FALSE)</f>
        <v>Electrosurgical Units, Monopolar/Bipolar</v>
      </c>
      <c r="MFW111" s="179" t="s">
        <v>428</v>
      </c>
      <c r="MFX111" s="180" t="str">
        <f>VLOOKUP(MFW111,[13]AssetDetails_UEM!$A$3:$AH$1849,6,FALSE)</f>
        <v>Electrosurgical Units, Monopolar/Bipolar</v>
      </c>
      <c r="MFY111" s="179" t="s">
        <v>428</v>
      </c>
      <c r="MFZ111" s="180" t="str">
        <f>VLOOKUP(MFY111,[13]AssetDetails_UEM!$A$3:$AH$1849,6,FALSE)</f>
        <v>Electrosurgical Units, Monopolar/Bipolar</v>
      </c>
      <c r="MGA111" s="179" t="s">
        <v>428</v>
      </c>
      <c r="MGB111" s="180" t="str">
        <f>VLOOKUP(MGA111,[13]AssetDetails_UEM!$A$3:$AH$1849,6,FALSE)</f>
        <v>Electrosurgical Units, Monopolar/Bipolar</v>
      </c>
      <c r="MGC111" s="179" t="s">
        <v>428</v>
      </c>
      <c r="MGD111" s="180" t="str">
        <f>VLOOKUP(MGC111,[13]AssetDetails_UEM!$A$3:$AH$1849,6,FALSE)</f>
        <v>Electrosurgical Units, Monopolar/Bipolar</v>
      </c>
      <c r="MGE111" s="179" t="s">
        <v>428</v>
      </c>
      <c r="MGF111" s="180" t="str">
        <f>VLOOKUP(MGE111,[13]AssetDetails_UEM!$A$3:$AH$1849,6,FALSE)</f>
        <v>Electrosurgical Units, Monopolar/Bipolar</v>
      </c>
      <c r="MGG111" s="179" t="s">
        <v>428</v>
      </c>
      <c r="MGH111" s="180" t="str">
        <f>VLOOKUP(MGG111,[13]AssetDetails_UEM!$A$3:$AH$1849,6,FALSE)</f>
        <v>Electrosurgical Units, Monopolar/Bipolar</v>
      </c>
      <c r="MGI111" s="179" t="s">
        <v>428</v>
      </c>
      <c r="MGJ111" s="180" t="str">
        <f>VLOOKUP(MGI111,[13]AssetDetails_UEM!$A$3:$AH$1849,6,FALSE)</f>
        <v>Electrosurgical Units, Monopolar/Bipolar</v>
      </c>
      <c r="MGK111" s="179" t="s">
        <v>428</v>
      </c>
      <c r="MGL111" s="180" t="str">
        <f>VLOOKUP(MGK111,[13]AssetDetails_UEM!$A$3:$AH$1849,6,FALSE)</f>
        <v>Electrosurgical Units, Monopolar/Bipolar</v>
      </c>
      <c r="MGM111" s="179" t="s">
        <v>428</v>
      </c>
      <c r="MGN111" s="180" t="str">
        <f>VLOOKUP(MGM111,[13]AssetDetails_UEM!$A$3:$AH$1849,6,FALSE)</f>
        <v>Electrosurgical Units, Monopolar/Bipolar</v>
      </c>
      <c r="MGO111" s="179" t="s">
        <v>428</v>
      </c>
      <c r="MGP111" s="180" t="str">
        <f>VLOOKUP(MGO111,[13]AssetDetails_UEM!$A$3:$AH$1849,6,FALSE)</f>
        <v>Electrosurgical Units, Monopolar/Bipolar</v>
      </c>
      <c r="MGQ111" s="179" t="s">
        <v>428</v>
      </c>
      <c r="MGR111" s="180" t="str">
        <f>VLOOKUP(MGQ111,[13]AssetDetails_UEM!$A$3:$AH$1849,6,FALSE)</f>
        <v>Electrosurgical Units, Monopolar/Bipolar</v>
      </c>
      <c r="MGS111" s="179" t="s">
        <v>428</v>
      </c>
      <c r="MGT111" s="180" t="str">
        <f>VLOOKUP(MGS111,[13]AssetDetails_UEM!$A$3:$AH$1849,6,FALSE)</f>
        <v>Electrosurgical Units, Monopolar/Bipolar</v>
      </c>
      <c r="MGU111" s="179" t="s">
        <v>428</v>
      </c>
      <c r="MGV111" s="180" t="str">
        <f>VLOOKUP(MGU111,[13]AssetDetails_UEM!$A$3:$AH$1849,6,FALSE)</f>
        <v>Electrosurgical Units, Monopolar/Bipolar</v>
      </c>
      <c r="MGW111" s="179" t="s">
        <v>428</v>
      </c>
      <c r="MGX111" s="180" t="str">
        <f>VLOOKUP(MGW111,[13]AssetDetails_UEM!$A$3:$AH$1849,6,FALSE)</f>
        <v>Electrosurgical Units, Monopolar/Bipolar</v>
      </c>
      <c r="MGY111" s="179" t="s">
        <v>428</v>
      </c>
      <c r="MGZ111" s="180" t="str">
        <f>VLOOKUP(MGY111,[13]AssetDetails_UEM!$A$3:$AH$1849,6,FALSE)</f>
        <v>Electrosurgical Units, Monopolar/Bipolar</v>
      </c>
      <c r="MHA111" s="179" t="s">
        <v>428</v>
      </c>
      <c r="MHB111" s="180" t="str">
        <f>VLOOKUP(MHA111,[13]AssetDetails_UEM!$A$3:$AH$1849,6,FALSE)</f>
        <v>Electrosurgical Units, Monopolar/Bipolar</v>
      </c>
      <c r="MHC111" s="179" t="s">
        <v>428</v>
      </c>
      <c r="MHD111" s="180" t="str">
        <f>VLOOKUP(MHC111,[13]AssetDetails_UEM!$A$3:$AH$1849,6,FALSE)</f>
        <v>Electrosurgical Units, Monopolar/Bipolar</v>
      </c>
      <c r="MHE111" s="179" t="s">
        <v>428</v>
      </c>
      <c r="MHF111" s="180" t="str">
        <f>VLOOKUP(MHE111,[13]AssetDetails_UEM!$A$3:$AH$1849,6,FALSE)</f>
        <v>Electrosurgical Units, Monopolar/Bipolar</v>
      </c>
      <c r="MHG111" s="179" t="s">
        <v>428</v>
      </c>
      <c r="MHH111" s="180" t="str">
        <f>VLOOKUP(MHG111,[13]AssetDetails_UEM!$A$3:$AH$1849,6,FALSE)</f>
        <v>Electrosurgical Units, Monopolar/Bipolar</v>
      </c>
      <c r="MHI111" s="179" t="s">
        <v>428</v>
      </c>
      <c r="MHJ111" s="180" t="str">
        <f>VLOOKUP(MHI111,[13]AssetDetails_UEM!$A$3:$AH$1849,6,FALSE)</f>
        <v>Electrosurgical Units, Monopolar/Bipolar</v>
      </c>
      <c r="MHK111" s="179" t="s">
        <v>428</v>
      </c>
      <c r="MHL111" s="180" t="str">
        <f>VLOOKUP(MHK111,[13]AssetDetails_UEM!$A$3:$AH$1849,6,FALSE)</f>
        <v>Electrosurgical Units, Monopolar/Bipolar</v>
      </c>
      <c r="MHM111" s="179" t="s">
        <v>428</v>
      </c>
      <c r="MHN111" s="180" t="str">
        <f>VLOOKUP(MHM111,[13]AssetDetails_UEM!$A$3:$AH$1849,6,FALSE)</f>
        <v>Electrosurgical Units, Monopolar/Bipolar</v>
      </c>
      <c r="MHO111" s="179" t="s">
        <v>428</v>
      </c>
      <c r="MHP111" s="180" t="str">
        <f>VLOOKUP(MHO111,[13]AssetDetails_UEM!$A$3:$AH$1849,6,FALSE)</f>
        <v>Electrosurgical Units, Monopolar/Bipolar</v>
      </c>
      <c r="MHQ111" s="179" t="s">
        <v>428</v>
      </c>
      <c r="MHR111" s="180" t="str">
        <f>VLOOKUP(MHQ111,[13]AssetDetails_UEM!$A$3:$AH$1849,6,FALSE)</f>
        <v>Electrosurgical Units, Monopolar/Bipolar</v>
      </c>
      <c r="MHS111" s="179" t="s">
        <v>428</v>
      </c>
      <c r="MHT111" s="180" t="str">
        <f>VLOOKUP(MHS111,[13]AssetDetails_UEM!$A$3:$AH$1849,6,FALSE)</f>
        <v>Electrosurgical Units, Monopolar/Bipolar</v>
      </c>
      <c r="MHU111" s="179" t="s">
        <v>428</v>
      </c>
      <c r="MHV111" s="180" t="str">
        <f>VLOOKUP(MHU111,[13]AssetDetails_UEM!$A$3:$AH$1849,6,FALSE)</f>
        <v>Electrosurgical Units, Monopolar/Bipolar</v>
      </c>
      <c r="MHW111" s="179" t="s">
        <v>428</v>
      </c>
      <c r="MHX111" s="180" t="str">
        <f>VLOOKUP(MHW111,[13]AssetDetails_UEM!$A$3:$AH$1849,6,FALSE)</f>
        <v>Electrosurgical Units, Monopolar/Bipolar</v>
      </c>
      <c r="MHY111" s="179" t="s">
        <v>428</v>
      </c>
      <c r="MHZ111" s="180" t="str">
        <f>VLOOKUP(MHY111,[13]AssetDetails_UEM!$A$3:$AH$1849,6,FALSE)</f>
        <v>Electrosurgical Units, Monopolar/Bipolar</v>
      </c>
      <c r="MIA111" s="179" t="s">
        <v>428</v>
      </c>
      <c r="MIB111" s="180" t="str">
        <f>VLOOKUP(MIA111,[13]AssetDetails_UEM!$A$3:$AH$1849,6,FALSE)</f>
        <v>Electrosurgical Units, Monopolar/Bipolar</v>
      </c>
      <c r="MIC111" s="179" t="s">
        <v>428</v>
      </c>
      <c r="MID111" s="180" t="str">
        <f>VLOOKUP(MIC111,[13]AssetDetails_UEM!$A$3:$AH$1849,6,FALSE)</f>
        <v>Electrosurgical Units, Monopolar/Bipolar</v>
      </c>
      <c r="MIE111" s="179" t="s">
        <v>428</v>
      </c>
      <c r="MIF111" s="180" t="str">
        <f>VLOOKUP(MIE111,[13]AssetDetails_UEM!$A$3:$AH$1849,6,FALSE)</f>
        <v>Electrosurgical Units, Monopolar/Bipolar</v>
      </c>
      <c r="MIG111" s="179" t="s">
        <v>428</v>
      </c>
      <c r="MIH111" s="180" t="str">
        <f>VLOOKUP(MIG111,[13]AssetDetails_UEM!$A$3:$AH$1849,6,FALSE)</f>
        <v>Electrosurgical Units, Monopolar/Bipolar</v>
      </c>
      <c r="MII111" s="179" t="s">
        <v>428</v>
      </c>
      <c r="MIJ111" s="180" t="str">
        <f>VLOOKUP(MII111,[13]AssetDetails_UEM!$A$3:$AH$1849,6,FALSE)</f>
        <v>Electrosurgical Units, Monopolar/Bipolar</v>
      </c>
      <c r="MIK111" s="179" t="s">
        <v>428</v>
      </c>
      <c r="MIL111" s="180" t="str">
        <f>VLOOKUP(MIK111,[13]AssetDetails_UEM!$A$3:$AH$1849,6,FALSE)</f>
        <v>Electrosurgical Units, Monopolar/Bipolar</v>
      </c>
      <c r="MIM111" s="179" t="s">
        <v>428</v>
      </c>
      <c r="MIN111" s="180" t="str">
        <f>VLOOKUP(MIM111,[13]AssetDetails_UEM!$A$3:$AH$1849,6,FALSE)</f>
        <v>Electrosurgical Units, Monopolar/Bipolar</v>
      </c>
      <c r="MIO111" s="179" t="s">
        <v>428</v>
      </c>
      <c r="MIP111" s="180" t="str">
        <f>VLOOKUP(MIO111,[13]AssetDetails_UEM!$A$3:$AH$1849,6,FALSE)</f>
        <v>Electrosurgical Units, Monopolar/Bipolar</v>
      </c>
      <c r="MIQ111" s="179" t="s">
        <v>428</v>
      </c>
      <c r="MIR111" s="180" t="str">
        <f>VLOOKUP(MIQ111,[13]AssetDetails_UEM!$A$3:$AH$1849,6,FALSE)</f>
        <v>Electrosurgical Units, Monopolar/Bipolar</v>
      </c>
      <c r="MIS111" s="179" t="s">
        <v>428</v>
      </c>
      <c r="MIT111" s="180" t="str">
        <f>VLOOKUP(MIS111,[13]AssetDetails_UEM!$A$3:$AH$1849,6,FALSE)</f>
        <v>Electrosurgical Units, Monopolar/Bipolar</v>
      </c>
      <c r="MIU111" s="179" t="s">
        <v>428</v>
      </c>
      <c r="MIV111" s="180" t="str">
        <f>VLOOKUP(MIU111,[13]AssetDetails_UEM!$A$3:$AH$1849,6,FALSE)</f>
        <v>Electrosurgical Units, Monopolar/Bipolar</v>
      </c>
      <c r="MIW111" s="179" t="s">
        <v>428</v>
      </c>
      <c r="MIX111" s="180" t="str">
        <f>VLOOKUP(MIW111,[13]AssetDetails_UEM!$A$3:$AH$1849,6,FALSE)</f>
        <v>Electrosurgical Units, Monopolar/Bipolar</v>
      </c>
      <c r="MIY111" s="179" t="s">
        <v>428</v>
      </c>
      <c r="MIZ111" s="180" t="str">
        <f>VLOOKUP(MIY111,[13]AssetDetails_UEM!$A$3:$AH$1849,6,FALSE)</f>
        <v>Electrosurgical Units, Monopolar/Bipolar</v>
      </c>
      <c r="MJA111" s="179" t="s">
        <v>428</v>
      </c>
      <c r="MJB111" s="180" t="str">
        <f>VLOOKUP(MJA111,[13]AssetDetails_UEM!$A$3:$AH$1849,6,FALSE)</f>
        <v>Electrosurgical Units, Monopolar/Bipolar</v>
      </c>
      <c r="MJC111" s="179" t="s">
        <v>428</v>
      </c>
      <c r="MJD111" s="180" t="str">
        <f>VLOOKUP(MJC111,[13]AssetDetails_UEM!$A$3:$AH$1849,6,FALSE)</f>
        <v>Electrosurgical Units, Monopolar/Bipolar</v>
      </c>
      <c r="MJE111" s="179" t="s">
        <v>428</v>
      </c>
      <c r="MJF111" s="180" t="str">
        <f>VLOOKUP(MJE111,[13]AssetDetails_UEM!$A$3:$AH$1849,6,FALSE)</f>
        <v>Electrosurgical Units, Monopolar/Bipolar</v>
      </c>
      <c r="MJG111" s="179" t="s">
        <v>428</v>
      </c>
      <c r="MJH111" s="180" t="str">
        <f>VLOOKUP(MJG111,[13]AssetDetails_UEM!$A$3:$AH$1849,6,FALSE)</f>
        <v>Electrosurgical Units, Monopolar/Bipolar</v>
      </c>
      <c r="MJI111" s="179" t="s">
        <v>428</v>
      </c>
      <c r="MJJ111" s="180" t="str">
        <f>VLOOKUP(MJI111,[13]AssetDetails_UEM!$A$3:$AH$1849,6,FALSE)</f>
        <v>Electrosurgical Units, Monopolar/Bipolar</v>
      </c>
      <c r="MJK111" s="179" t="s">
        <v>428</v>
      </c>
      <c r="MJL111" s="180" t="str">
        <f>VLOOKUP(MJK111,[13]AssetDetails_UEM!$A$3:$AH$1849,6,FALSE)</f>
        <v>Electrosurgical Units, Monopolar/Bipolar</v>
      </c>
      <c r="MJM111" s="179" t="s">
        <v>428</v>
      </c>
      <c r="MJN111" s="180" t="str">
        <f>VLOOKUP(MJM111,[13]AssetDetails_UEM!$A$3:$AH$1849,6,FALSE)</f>
        <v>Electrosurgical Units, Monopolar/Bipolar</v>
      </c>
      <c r="MJO111" s="179" t="s">
        <v>428</v>
      </c>
      <c r="MJP111" s="180" t="str">
        <f>VLOOKUP(MJO111,[13]AssetDetails_UEM!$A$3:$AH$1849,6,FALSE)</f>
        <v>Electrosurgical Units, Monopolar/Bipolar</v>
      </c>
      <c r="MJQ111" s="179" t="s">
        <v>428</v>
      </c>
      <c r="MJR111" s="180" t="str">
        <f>VLOOKUP(MJQ111,[13]AssetDetails_UEM!$A$3:$AH$1849,6,FALSE)</f>
        <v>Electrosurgical Units, Monopolar/Bipolar</v>
      </c>
      <c r="MJS111" s="179" t="s">
        <v>428</v>
      </c>
      <c r="MJT111" s="180" t="str">
        <f>VLOOKUP(MJS111,[13]AssetDetails_UEM!$A$3:$AH$1849,6,FALSE)</f>
        <v>Electrosurgical Units, Monopolar/Bipolar</v>
      </c>
      <c r="MJU111" s="179" t="s">
        <v>428</v>
      </c>
      <c r="MJV111" s="180" t="str">
        <f>VLOOKUP(MJU111,[13]AssetDetails_UEM!$A$3:$AH$1849,6,FALSE)</f>
        <v>Electrosurgical Units, Monopolar/Bipolar</v>
      </c>
      <c r="MJW111" s="179" t="s">
        <v>428</v>
      </c>
      <c r="MJX111" s="180" t="str">
        <f>VLOOKUP(MJW111,[13]AssetDetails_UEM!$A$3:$AH$1849,6,FALSE)</f>
        <v>Electrosurgical Units, Monopolar/Bipolar</v>
      </c>
      <c r="MJY111" s="179" t="s">
        <v>428</v>
      </c>
      <c r="MJZ111" s="180" t="str">
        <f>VLOOKUP(MJY111,[13]AssetDetails_UEM!$A$3:$AH$1849,6,FALSE)</f>
        <v>Electrosurgical Units, Monopolar/Bipolar</v>
      </c>
      <c r="MKA111" s="179" t="s">
        <v>428</v>
      </c>
      <c r="MKB111" s="180" t="str">
        <f>VLOOKUP(MKA111,[13]AssetDetails_UEM!$A$3:$AH$1849,6,FALSE)</f>
        <v>Electrosurgical Units, Monopolar/Bipolar</v>
      </c>
      <c r="MKC111" s="179" t="s">
        <v>428</v>
      </c>
      <c r="MKD111" s="180" t="str">
        <f>VLOOKUP(MKC111,[13]AssetDetails_UEM!$A$3:$AH$1849,6,FALSE)</f>
        <v>Electrosurgical Units, Monopolar/Bipolar</v>
      </c>
      <c r="MKE111" s="179" t="s">
        <v>428</v>
      </c>
      <c r="MKF111" s="180" t="str">
        <f>VLOOKUP(MKE111,[13]AssetDetails_UEM!$A$3:$AH$1849,6,FALSE)</f>
        <v>Electrosurgical Units, Monopolar/Bipolar</v>
      </c>
      <c r="MKG111" s="179" t="s">
        <v>428</v>
      </c>
      <c r="MKH111" s="180" t="str">
        <f>VLOOKUP(MKG111,[13]AssetDetails_UEM!$A$3:$AH$1849,6,FALSE)</f>
        <v>Electrosurgical Units, Monopolar/Bipolar</v>
      </c>
      <c r="MKI111" s="179" t="s">
        <v>428</v>
      </c>
      <c r="MKJ111" s="180" t="str">
        <f>VLOOKUP(MKI111,[13]AssetDetails_UEM!$A$3:$AH$1849,6,FALSE)</f>
        <v>Electrosurgical Units, Monopolar/Bipolar</v>
      </c>
      <c r="MKK111" s="179" t="s">
        <v>428</v>
      </c>
      <c r="MKL111" s="180" t="str">
        <f>VLOOKUP(MKK111,[13]AssetDetails_UEM!$A$3:$AH$1849,6,FALSE)</f>
        <v>Electrosurgical Units, Monopolar/Bipolar</v>
      </c>
      <c r="MKM111" s="179" t="s">
        <v>428</v>
      </c>
      <c r="MKN111" s="180" t="str">
        <f>VLOOKUP(MKM111,[13]AssetDetails_UEM!$A$3:$AH$1849,6,FALSE)</f>
        <v>Electrosurgical Units, Monopolar/Bipolar</v>
      </c>
      <c r="MKO111" s="179" t="s">
        <v>428</v>
      </c>
      <c r="MKP111" s="180" t="str">
        <f>VLOOKUP(MKO111,[13]AssetDetails_UEM!$A$3:$AH$1849,6,FALSE)</f>
        <v>Electrosurgical Units, Monopolar/Bipolar</v>
      </c>
      <c r="MKQ111" s="179" t="s">
        <v>428</v>
      </c>
      <c r="MKR111" s="180" t="str">
        <f>VLOOKUP(MKQ111,[13]AssetDetails_UEM!$A$3:$AH$1849,6,FALSE)</f>
        <v>Electrosurgical Units, Monopolar/Bipolar</v>
      </c>
      <c r="MKS111" s="179" t="s">
        <v>428</v>
      </c>
      <c r="MKT111" s="180" t="str">
        <f>VLOOKUP(MKS111,[13]AssetDetails_UEM!$A$3:$AH$1849,6,FALSE)</f>
        <v>Electrosurgical Units, Monopolar/Bipolar</v>
      </c>
      <c r="MKU111" s="179" t="s">
        <v>428</v>
      </c>
      <c r="MKV111" s="180" t="str">
        <f>VLOOKUP(MKU111,[13]AssetDetails_UEM!$A$3:$AH$1849,6,FALSE)</f>
        <v>Electrosurgical Units, Monopolar/Bipolar</v>
      </c>
      <c r="MKW111" s="179" t="s">
        <v>428</v>
      </c>
      <c r="MKX111" s="180" t="str">
        <f>VLOOKUP(MKW111,[13]AssetDetails_UEM!$A$3:$AH$1849,6,FALSE)</f>
        <v>Electrosurgical Units, Monopolar/Bipolar</v>
      </c>
      <c r="MKY111" s="179" t="s">
        <v>428</v>
      </c>
      <c r="MKZ111" s="180" t="str">
        <f>VLOOKUP(MKY111,[13]AssetDetails_UEM!$A$3:$AH$1849,6,FALSE)</f>
        <v>Electrosurgical Units, Monopolar/Bipolar</v>
      </c>
      <c r="MLA111" s="179" t="s">
        <v>428</v>
      </c>
      <c r="MLB111" s="180" t="str">
        <f>VLOOKUP(MLA111,[13]AssetDetails_UEM!$A$3:$AH$1849,6,FALSE)</f>
        <v>Electrosurgical Units, Monopolar/Bipolar</v>
      </c>
      <c r="MLC111" s="179" t="s">
        <v>428</v>
      </c>
      <c r="MLD111" s="180" t="str">
        <f>VLOOKUP(MLC111,[13]AssetDetails_UEM!$A$3:$AH$1849,6,FALSE)</f>
        <v>Electrosurgical Units, Monopolar/Bipolar</v>
      </c>
      <c r="MLE111" s="179" t="s">
        <v>428</v>
      </c>
      <c r="MLF111" s="180" t="str">
        <f>VLOOKUP(MLE111,[13]AssetDetails_UEM!$A$3:$AH$1849,6,FALSE)</f>
        <v>Electrosurgical Units, Monopolar/Bipolar</v>
      </c>
      <c r="MLG111" s="179" t="s">
        <v>428</v>
      </c>
      <c r="MLH111" s="180" t="str">
        <f>VLOOKUP(MLG111,[13]AssetDetails_UEM!$A$3:$AH$1849,6,FALSE)</f>
        <v>Electrosurgical Units, Monopolar/Bipolar</v>
      </c>
      <c r="MLI111" s="179" t="s">
        <v>428</v>
      </c>
      <c r="MLJ111" s="180" t="str">
        <f>VLOOKUP(MLI111,[13]AssetDetails_UEM!$A$3:$AH$1849,6,FALSE)</f>
        <v>Electrosurgical Units, Monopolar/Bipolar</v>
      </c>
      <c r="MLK111" s="179" t="s">
        <v>428</v>
      </c>
      <c r="MLL111" s="180" t="str">
        <f>VLOOKUP(MLK111,[13]AssetDetails_UEM!$A$3:$AH$1849,6,FALSE)</f>
        <v>Electrosurgical Units, Monopolar/Bipolar</v>
      </c>
      <c r="MLM111" s="179" t="s">
        <v>428</v>
      </c>
      <c r="MLN111" s="180" t="str">
        <f>VLOOKUP(MLM111,[13]AssetDetails_UEM!$A$3:$AH$1849,6,FALSE)</f>
        <v>Electrosurgical Units, Monopolar/Bipolar</v>
      </c>
      <c r="MLO111" s="179" t="s">
        <v>428</v>
      </c>
      <c r="MLP111" s="180" t="str">
        <f>VLOOKUP(MLO111,[13]AssetDetails_UEM!$A$3:$AH$1849,6,FALSE)</f>
        <v>Electrosurgical Units, Monopolar/Bipolar</v>
      </c>
      <c r="MLQ111" s="179" t="s">
        <v>428</v>
      </c>
      <c r="MLR111" s="180" t="str">
        <f>VLOOKUP(MLQ111,[13]AssetDetails_UEM!$A$3:$AH$1849,6,FALSE)</f>
        <v>Electrosurgical Units, Monopolar/Bipolar</v>
      </c>
      <c r="MLS111" s="179" t="s">
        <v>428</v>
      </c>
      <c r="MLT111" s="180" t="str">
        <f>VLOOKUP(MLS111,[13]AssetDetails_UEM!$A$3:$AH$1849,6,FALSE)</f>
        <v>Electrosurgical Units, Monopolar/Bipolar</v>
      </c>
      <c r="MLU111" s="179" t="s">
        <v>428</v>
      </c>
      <c r="MLV111" s="180" t="str">
        <f>VLOOKUP(MLU111,[13]AssetDetails_UEM!$A$3:$AH$1849,6,FALSE)</f>
        <v>Electrosurgical Units, Monopolar/Bipolar</v>
      </c>
      <c r="MLW111" s="179" t="s">
        <v>428</v>
      </c>
      <c r="MLX111" s="180" t="str">
        <f>VLOOKUP(MLW111,[13]AssetDetails_UEM!$A$3:$AH$1849,6,FALSE)</f>
        <v>Electrosurgical Units, Monopolar/Bipolar</v>
      </c>
      <c r="MLY111" s="179" t="s">
        <v>428</v>
      </c>
      <c r="MLZ111" s="180" t="str">
        <f>VLOOKUP(MLY111,[13]AssetDetails_UEM!$A$3:$AH$1849,6,FALSE)</f>
        <v>Electrosurgical Units, Monopolar/Bipolar</v>
      </c>
      <c r="MMA111" s="179" t="s">
        <v>428</v>
      </c>
      <c r="MMB111" s="180" t="str">
        <f>VLOOKUP(MMA111,[13]AssetDetails_UEM!$A$3:$AH$1849,6,FALSE)</f>
        <v>Electrosurgical Units, Monopolar/Bipolar</v>
      </c>
      <c r="MMC111" s="179" t="s">
        <v>428</v>
      </c>
      <c r="MMD111" s="180" t="str">
        <f>VLOOKUP(MMC111,[13]AssetDetails_UEM!$A$3:$AH$1849,6,FALSE)</f>
        <v>Electrosurgical Units, Monopolar/Bipolar</v>
      </c>
      <c r="MME111" s="179" t="s">
        <v>428</v>
      </c>
      <c r="MMF111" s="180" t="str">
        <f>VLOOKUP(MME111,[13]AssetDetails_UEM!$A$3:$AH$1849,6,FALSE)</f>
        <v>Electrosurgical Units, Monopolar/Bipolar</v>
      </c>
      <c r="MMG111" s="179" t="s">
        <v>428</v>
      </c>
      <c r="MMH111" s="180" t="str">
        <f>VLOOKUP(MMG111,[13]AssetDetails_UEM!$A$3:$AH$1849,6,FALSE)</f>
        <v>Electrosurgical Units, Monopolar/Bipolar</v>
      </c>
      <c r="MMI111" s="179" t="s">
        <v>428</v>
      </c>
      <c r="MMJ111" s="180" t="str">
        <f>VLOOKUP(MMI111,[13]AssetDetails_UEM!$A$3:$AH$1849,6,FALSE)</f>
        <v>Electrosurgical Units, Monopolar/Bipolar</v>
      </c>
      <c r="MMK111" s="179" t="s">
        <v>428</v>
      </c>
      <c r="MML111" s="180" t="str">
        <f>VLOOKUP(MMK111,[13]AssetDetails_UEM!$A$3:$AH$1849,6,FALSE)</f>
        <v>Electrosurgical Units, Monopolar/Bipolar</v>
      </c>
      <c r="MMM111" s="179" t="s">
        <v>428</v>
      </c>
      <c r="MMN111" s="180" t="str">
        <f>VLOOKUP(MMM111,[13]AssetDetails_UEM!$A$3:$AH$1849,6,FALSE)</f>
        <v>Electrosurgical Units, Monopolar/Bipolar</v>
      </c>
      <c r="MMO111" s="179" t="s">
        <v>428</v>
      </c>
      <c r="MMP111" s="180" t="str">
        <f>VLOOKUP(MMO111,[13]AssetDetails_UEM!$A$3:$AH$1849,6,FALSE)</f>
        <v>Electrosurgical Units, Monopolar/Bipolar</v>
      </c>
      <c r="MMQ111" s="179" t="s">
        <v>428</v>
      </c>
      <c r="MMR111" s="180" t="str">
        <f>VLOOKUP(MMQ111,[13]AssetDetails_UEM!$A$3:$AH$1849,6,FALSE)</f>
        <v>Electrosurgical Units, Monopolar/Bipolar</v>
      </c>
      <c r="MMS111" s="179" t="s">
        <v>428</v>
      </c>
      <c r="MMT111" s="180" t="str">
        <f>VLOOKUP(MMS111,[13]AssetDetails_UEM!$A$3:$AH$1849,6,FALSE)</f>
        <v>Electrosurgical Units, Monopolar/Bipolar</v>
      </c>
      <c r="MMU111" s="179" t="s">
        <v>428</v>
      </c>
      <c r="MMV111" s="180" t="str">
        <f>VLOOKUP(MMU111,[13]AssetDetails_UEM!$A$3:$AH$1849,6,FALSE)</f>
        <v>Electrosurgical Units, Monopolar/Bipolar</v>
      </c>
      <c r="MMW111" s="179" t="s">
        <v>428</v>
      </c>
      <c r="MMX111" s="180" t="str">
        <f>VLOOKUP(MMW111,[13]AssetDetails_UEM!$A$3:$AH$1849,6,FALSE)</f>
        <v>Electrosurgical Units, Monopolar/Bipolar</v>
      </c>
      <c r="MMY111" s="179" t="s">
        <v>428</v>
      </c>
      <c r="MMZ111" s="180" t="str">
        <f>VLOOKUP(MMY111,[13]AssetDetails_UEM!$A$3:$AH$1849,6,FALSE)</f>
        <v>Electrosurgical Units, Monopolar/Bipolar</v>
      </c>
      <c r="MNA111" s="179" t="s">
        <v>428</v>
      </c>
      <c r="MNB111" s="180" t="str">
        <f>VLOOKUP(MNA111,[13]AssetDetails_UEM!$A$3:$AH$1849,6,FALSE)</f>
        <v>Electrosurgical Units, Monopolar/Bipolar</v>
      </c>
      <c r="MNC111" s="179" t="s">
        <v>428</v>
      </c>
      <c r="MND111" s="180" t="str">
        <f>VLOOKUP(MNC111,[13]AssetDetails_UEM!$A$3:$AH$1849,6,FALSE)</f>
        <v>Electrosurgical Units, Monopolar/Bipolar</v>
      </c>
      <c r="MNE111" s="179" t="s">
        <v>428</v>
      </c>
      <c r="MNF111" s="180" t="str">
        <f>VLOOKUP(MNE111,[13]AssetDetails_UEM!$A$3:$AH$1849,6,FALSE)</f>
        <v>Electrosurgical Units, Monopolar/Bipolar</v>
      </c>
      <c r="MNG111" s="179" t="s">
        <v>428</v>
      </c>
      <c r="MNH111" s="180" t="str">
        <f>VLOOKUP(MNG111,[13]AssetDetails_UEM!$A$3:$AH$1849,6,FALSE)</f>
        <v>Electrosurgical Units, Monopolar/Bipolar</v>
      </c>
      <c r="MNI111" s="179" t="s">
        <v>428</v>
      </c>
      <c r="MNJ111" s="180" t="str">
        <f>VLOOKUP(MNI111,[13]AssetDetails_UEM!$A$3:$AH$1849,6,FALSE)</f>
        <v>Electrosurgical Units, Monopolar/Bipolar</v>
      </c>
      <c r="MNK111" s="179" t="s">
        <v>428</v>
      </c>
      <c r="MNL111" s="180" t="str">
        <f>VLOOKUP(MNK111,[13]AssetDetails_UEM!$A$3:$AH$1849,6,FALSE)</f>
        <v>Electrosurgical Units, Monopolar/Bipolar</v>
      </c>
      <c r="MNM111" s="179" t="s">
        <v>428</v>
      </c>
      <c r="MNN111" s="180" t="str">
        <f>VLOOKUP(MNM111,[13]AssetDetails_UEM!$A$3:$AH$1849,6,FALSE)</f>
        <v>Electrosurgical Units, Monopolar/Bipolar</v>
      </c>
      <c r="MNO111" s="179" t="s">
        <v>428</v>
      </c>
      <c r="MNP111" s="180" t="str">
        <f>VLOOKUP(MNO111,[13]AssetDetails_UEM!$A$3:$AH$1849,6,FALSE)</f>
        <v>Electrosurgical Units, Monopolar/Bipolar</v>
      </c>
      <c r="MNQ111" s="179" t="s">
        <v>428</v>
      </c>
      <c r="MNR111" s="180" t="str">
        <f>VLOOKUP(MNQ111,[13]AssetDetails_UEM!$A$3:$AH$1849,6,FALSE)</f>
        <v>Electrosurgical Units, Monopolar/Bipolar</v>
      </c>
      <c r="MNS111" s="179" t="s">
        <v>428</v>
      </c>
      <c r="MNT111" s="180" t="str">
        <f>VLOOKUP(MNS111,[13]AssetDetails_UEM!$A$3:$AH$1849,6,FALSE)</f>
        <v>Electrosurgical Units, Monopolar/Bipolar</v>
      </c>
      <c r="MNU111" s="179" t="s">
        <v>428</v>
      </c>
      <c r="MNV111" s="180" t="str">
        <f>VLOOKUP(MNU111,[13]AssetDetails_UEM!$A$3:$AH$1849,6,FALSE)</f>
        <v>Electrosurgical Units, Monopolar/Bipolar</v>
      </c>
      <c r="MNW111" s="179" t="s">
        <v>428</v>
      </c>
      <c r="MNX111" s="180" t="str">
        <f>VLOOKUP(MNW111,[13]AssetDetails_UEM!$A$3:$AH$1849,6,FALSE)</f>
        <v>Electrosurgical Units, Monopolar/Bipolar</v>
      </c>
      <c r="MNY111" s="179" t="s">
        <v>428</v>
      </c>
      <c r="MNZ111" s="180" t="str">
        <f>VLOOKUP(MNY111,[13]AssetDetails_UEM!$A$3:$AH$1849,6,FALSE)</f>
        <v>Electrosurgical Units, Monopolar/Bipolar</v>
      </c>
      <c r="MOA111" s="179" t="s">
        <v>428</v>
      </c>
      <c r="MOB111" s="180" t="str">
        <f>VLOOKUP(MOA111,[13]AssetDetails_UEM!$A$3:$AH$1849,6,FALSE)</f>
        <v>Electrosurgical Units, Monopolar/Bipolar</v>
      </c>
      <c r="MOC111" s="179" t="s">
        <v>428</v>
      </c>
      <c r="MOD111" s="180" t="str">
        <f>VLOOKUP(MOC111,[13]AssetDetails_UEM!$A$3:$AH$1849,6,FALSE)</f>
        <v>Electrosurgical Units, Monopolar/Bipolar</v>
      </c>
      <c r="MOE111" s="179" t="s">
        <v>428</v>
      </c>
      <c r="MOF111" s="180" t="str">
        <f>VLOOKUP(MOE111,[13]AssetDetails_UEM!$A$3:$AH$1849,6,FALSE)</f>
        <v>Electrosurgical Units, Monopolar/Bipolar</v>
      </c>
      <c r="MOG111" s="179" t="s">
        <v>428</v>
      </c>
      <c r="MOH111" s="180" t="str">
        <f>VLOOKUP(MOG111,[13]AssetDetails_UEM!$A$3:$AH$1849,6,FALSE)</f>
        <v>Electrosurgical Units, Monopolar/Bipolar</v>
      </c>
      <c r="MOI111" s="179" t="s">
        <v>428</v>
      </c>
      <c r="MOJ111" s="180" t="str">
        <f>VLOOKUP(MOI111,[13]AssetDetails_UEM!$A$3:$AH$1849,6,FALSE)</f>
        <v>Electrosurgical Units, Monopolar/Bipolar</v>
      </c>
      <c r="MOK111" s="179" t="s">
        <v>428</v>
      </c>
      <c r="MOL111" s="180" t="str">
        <f>VLOOKUP(MOK111,[13]AssetDetails_UEM!$A$3:$AH$1849,6,FALSE)</f>
        <v>Electrosurgical Units, Monopolar/Bipolar</v>
      </c>
      <c r="MOM111" s="179" t="s">
        <v>428</v>
      </c>
      <c r="MON111" s="180" t="str">
        <f>VLOOKUP(MOM111,[13]AssetDetails_UEM!$A$3:$AH$1849,6,FALSE)</f>
        <v>Electrosurgical Units, Monopolar/Bipolar</v>
      </c>
      <c r="MOO111" s="179" t="s">
        <v>428</v>
      </c>
      <c r="MOP111" s="180" t="str">
        <f>VLOOKUP(MOO111,[13]AssetDetails_UEM!$A$3:$AH$1849,6,FALSE)</f>
        <v>Electrosurgical Units, Monopolar/Bipolar</v>
      </c>
      <c r="MOQ111" s="179" t="s">
        <v>428</v>
      </c>
      <c r="MOR111" s="180" t="str">
        <f>VLOOKUP(MOQ111,[13]AssetDetails_UEM!$A$3:$AH$1849,6,FALSE)</f>
        <v>Electrosurgical Units, Monopolar/Bipolar</v>
      </c>
      <c r="MOS111" s="179" t="s">
        <v>428</v>
      </c>
      <c r="MOT111" s="180" t="str">
        <f>VLOOKUP(MOS111,[13]AssetDetails_UEM!$A$3:$AH$1849,6,FALSE)</f>
        <v>Electrosurgical Units, Monopolar/Bipolar</v>
      </c>
      <c r="MOU111" s="179" t="s">
        <v>428</v>
      </c>
      <c r="MOV111" s="180" t="str">
        <f>VLOOKUP(MOU111,[13]AssetDetails_UEM!$A$3:$AH$1849,6,FALSE)</f>
        <v>Electrosurgical Units, Monopolar/Bipolar</v>
      </c>
      <c r="MOW111" s="179" t="s">
        <v>428</v>
      </c>
      <c r="MOX111" s="180" t="str">
        <f>VLOOKUP(MOW111,[13]AssetDetails_UEM!$A$3:$AH$1849,6,FALSE)</f>
        <v>Electrosurgical Units, Monopolar/Bipolar</v>
      </c>
      <c r="MOY111" s="179" t="s">
        <v>428</v>
      </c>
      <c r="MOZ111" s="180" t="str">
        <f>VLOOKUP(MOY111,[13]AssetDetails_UEM!$A$3:$AH$1849,6,FALSE)</f>
        <v>Electrosurgical Units, Monopolar/Bipolar</v>
      </c>
      <c r="MPA111" s="179" t="s">
        <v>428</v>
      </c>
      <c r="MPB111" s="180" t="str">
        <f>VLOOKUP(MPA111,[13]AssetDetails_UEM!$A$3:$AH$1849,6,FALSE)</f>
        <v>Electrosurgical Units, Monopolar/Bipolar</v>
      </c>
      <c r="MPC111" s="179" t="s">
        <v>428</v>
      </c>
      <c r="MPD111" s="180" t="str">
        <f>VLOOKUP(MPC111,[13]AssetDetails_UEM!$A$3:$AH$1849,6,FALSE)</f>
        <v>Electrosurgical Units, Monopolar/Bipolar</v>
      </c>
      <c r="MPE111" s="179" t="s">
        <v>428</v>
      </c>
      <c r="MPF111" s="180" t="str">
        <f>VLOOKUP(MPE111,[13]AssetDetails_UEM!$A$3:$AH$1849,6,FALSE)</f>
        <v>Electrosurgical Units, Monopolar/Bipolar</v>
      </c>
      <c r="MPG111" s="179" t="s">
        <v>428</v>
      </c>
      <c r="MPH111" s="180" t="str">
        <f>VLOOKUP(MPG111,[13]AssetDetails_UEM!$A$3:$AH$1849,6,FALSE)</f>
        <v>Electrosurgical Units, Monopolar/Bipolar</v>
      </c>
      <c r="MPI111" s="179" t="s">
        <v>428</v>
      </c>
      <c r="MPJ111" s="180" t="str">
        <f>VLOOKUP(MPI111,[13]AssetDetails_UEM!$A$3:$AH$1849,6,FALSE)</f>
        <v>Electrosurgical Units, Monopolar/Bipolar</v>
      </c>
      <c r="MPK111" s="179" t="s">
        <v>428</v>
      </c>
      <c r="MPL111" s="180" t="str">
        <f>VLOOKUP(MPK111,[13]AssetDetails_UEM!$A$3:$AH$1849,6,FALSE)</f>
        <v>Electrosurgical Units, Monopolar/Bipolar</v>
      </c>
      <c r="MPM111" s="179" t="s">
        <v>428</v>
      </c>
      <c r="MPN111" s="180" t="str">
        <f>VLOOKUP(MPM111,[13]AssetDetails_UEM!$A$3:$AH$1849,6,FALSE)</f>
        <v>Electrosurgical Units, Monopolar/Bipolar</v>
      </c>
      <c r="MPO111" s="179" t="s">
        <v>428</v>
      </c>
      <c r="MPP111" s="180" t="str">
        <f>VLOOKUP(MPO111,[13]AssetDetails_UEM!$A$3:$AH$1849,6,FALSE)</f>
        <v>Electrosurgical Units, Monopolar/Bipolar</v>
      </c>
      <c r="MPQ111" s="179" t="s">
        <v>428</v>
      </c>
      <c r="MPR111" s="180" t="str">
        <f>VLOOKUP(MPQ111,[13]AssetDetails_UEM!$A$3:$AH$1849,6,FALSE)</f>
        <v>Electrosurgical Units, Monopolar/Bipolar</v>
      </c>
      <c r="MPS111" s="179" t="s">
        <v>428</v>
      </c>
      <c r="MPT111" s="180" t="str">
        <f>VLOOKUP(MPS111,[13]AssetDetails_UEM!$A$3:$AH$1849,6,FALSE)</f>
        <v>Electrosurgical Units, Monopolar/Bipolar</v>
      </c>
      <c r="MPU111" s="179" t="s">
        <v>428</v>
      </c>
      <c r="MPV111" s="180" t="str">
        <f>VLOOKUP(MPU111,[13]AssetDetails_UEM!$A$3:$AH$1849,6,FALSE)</f>
        <v>Electrosurgical Units, Monopolar/Bipolar</v>
      </c>
      <c r="MPW111" s="179" t="s">
        <v>428</v>
      </c>
      <c r="MPX111" s="180" t="str">
        <f>VLOOKUP(MPW111,[13]AssetDetails_UEM!$A$3:$AH$1849,6,FALSE)</f>
        <v>Electrosurgical Units, Monopolar/Bipolar</v>
      </c>
      <c r="MPY111" s="179" t="s">
        <v>428</v>
      </c>
      <c r="MPZ111" s="180" t="str">
        <f>VLOOKUP(MPY111,[13]AssetDetails_UEM!$A$3:$AH$1849,6,FALSE)</f>
        <v>Electrosurgical Units, Monopolar/Bipolar</v>
      </c>
      <c r="MQA111" s="179" t="s">
        <v>428</v>
      </c>
      <c r="MQB111" s="180" t="str">
        <f>VLOOKUP(MQA111,[13]AssetDetails_UEM!$A$3:$AH$1849,6,FALSE)</f>
        <v>Electrosurgical Units, Monopolar/Bipolar</v>
      </c>
      <c r="MQC111" s="179" t="s">
        <v>428</v>
      </c>
      <c r="MQD111" s="180" t="str">
        <f>VLOOKUP(MQC111,[13]AssetDetails_UEM!$A$3:$AH$1849,6,FALSE)</f>
        <v>Electrosurgical Units, Monopolar/Bipolar</v>
      </c>
      <c r="MQE111" s="179" t="s">
        <v>428</v>
      </c>
      <c r="MQF111" s="180" t="str">
        <f>VLOOKUP(MQE111,[13]AssetDetails_UEM!$A$3:$AH$1849,6,FALSE)</f>
        <v>Electrosurgical Units, Monopolar/Bipolar</v>
      </c>
      <c r="MQG111" s="179" t="s">
        <v>428</v>
      </c>
      <c r="MQH111" s="180" t="str">
        <f>VLOOKUP(MQG111,[13]AssetDetails_UEM!$A$3:$AH$1849,6,FALSE)</f>
        <v>Electrosurgical Units, Monopolar/Bipolar</v>
      </c>
      <c r="MQI111" s="179" t="s">
        <v>428</v>
      </c>
      <c r="MQJ111" s="180" t="str">
        <f>VLOOKUP(MQI111,[13]AssetDetails_UEM!$A$3:$AH$1849,6,FALSE)</f>
        <v>Electrosurgical Units, Monopolar/Bipolar</v>
      </c>
      <c r="MQK111" s="179" t="s">
        <v>428</v>
      </c>
      <c r="MQL111" s="180" t="str">
        <f>VLOOKUP(MQK111,[13]AssetDetails_UEM!$A$3:$AH$1849,6,FALSE)</f>
        <v>Electrosurgical Units, Monopolar/Bipolar</v>
      </c>
      <c r="MQM111" s="179" t="s">
        <v>428</v>
      </c>
      <c r="MQN111" s="180" t="str">
        <f>VLOOKUP(MQM111,[13]AssetDetails_UEM!$A$3:$AH$1849,6,FALSE)</f>
        <v>Electrosurgical Units, Monopolar/Bipolar</v>
      </c>
      <c r="MQO111" s="179" t="s">
        <v>428</v>
      </c>
      <c r="MQP111" s="180" t="str">
        <f>VLOOKUP(MQO111,[13]AssetDetails_UEM!$A$3:$AH$1849,6,FALSE)</f>
        <v>Electrosurgical Units, Monopolar/Bipolar</v>
      </c>
      <c r="MQQ111" s="179" t="s">
        <v>428</v>
      </c>
      <c r="MQR111" s="180" t="str">
        <f>VLOOKUP(MQQ111,[13]AssetDetails_UEM!$A$3:$AH$1849,6,FALSE)</f>
        <v>Electrosurgical Units, Monopolar/Bipolar</v>
      </c>
      <c r="MQS111" s="179" t="s">
        <v>428</v>
      </c>
      <c r="MQT111" s="180" t="str">
        <f>VLOOKUP(MQS111,[13]AssetDetails_UEM!$A$3:$AH$1849,6,FALSE)</f>
        <v>Electrosurgical Units, Monopolar/Bipolar</v>
      </c>
      <c r="MQU111" s="179" t="s">
        <v>428</v>
      </c>
      <c r="MQV111" s="180" t="str">
        <f>VLOOKUP(MQU111,[13]AssetDetails_UEM!$A$3:$AH$1849,6,FALSE)</f>
        <v>Electrosurgical Units, Monopolar/Bipolar</v>
      </c>
      <c r="MQW111" s="179" t="s">
        <v>428</v>
      </c>
      <c r="MQX111" s="180" t="str">
        <f>VLOOKUP(MQW111,[13]AssetDetails_UEM!$A$3:$AH$1849,6,FALSE)</f>
        <v>Electrosurgical Units, Monopolar/Bipolar</v>
      </c>
      <c r="MQY111" s="179" t="s">
        <v>428</v>
      </c>
      <c r="MQZ111" s="180" t="str">
        <f>VLOOKUP(MQY111,[13]AssetDetails_UEM!$A$3:$AH$1849,6,FALSE)</f>
        <v>Electrosurgical Units, Monopolar/Bipolar</v>
      </c>
      <c r="MRA111" s="179" t="s">
        <v>428</v>
      </c>
      <c r="MRB111" s="180" t="str">
        <f>VLOOKUP(MRA111,[13]AssetDetails_UEM!$A$3:$AH$1849,6,FALSE)</f>
        <v>Electrosurgical Units, Monopolar/Bipolar</v>
      </c>
      <c r="MRC111" s="179" t="s">
        <v>428</v>
      </c>
      <c r="MRD111" s="180" t="str">
        <f>VLOOKUP(MRC111,[13]AssetDetails_UEM!$A$3:$AH$1849,6,FALSE)</f>
        <v>Electrosurgical Units, Monopolar/Bipolar</v>
      </c>
      <c r="MRE111" s="179" t="s">
        <v>428</v>
      </c>
      <c r="MRF111" s="180" t="str">
        <f>VLOOKUP(MRE111,[13]AssetDetails_UEM!$A$3:$AH$1849,6,FALSE)</f>
        <v>Electrosurgical Units, Monopolar/Bipolar</v>
      </c>
      <c r="MRG111" s="179" t="s">
        <v>428</v>
      </c>
      <c r="MRH111" s="180" t="str">
        <f>VLOOKUP(MRG111,[13]AssetDetails_UEM!$A$3:$AH$1849,6,FALSE)</f>
        <v>Electrosurgical Units, Monopolar/Bipolar</v>
      </c>
      <c r="MRI111" s="179" t="s">
        <v>428</v>
      </c>
      <c r="MRJ111" s="180" t="str">
        <f>VLOOKUP(MRI111,[13]AssetDetails_UEM!$A$3:$AH$1849,6,FALSE)</f>
        <v>Electrosurgical Units, Monopolar/Bipolar</v>
      </c>
      <c r="MRK111" s="179" t="s">
        <v>428</v>
      </c>
      <c r="MRL111" s="180" t="str">
        <f>VLOOKUP(MRK111,[13]AssetDetails_UEM!$A$3:$AH$1849,6,FALSE)</f>
        <v>Electrosurgical Units, Monopolar/Bipolar</v>
      </c>
      <c r="MRM111" s="179" t="s">
        <v>428</v>
      </c>
      <c r="MRN111" s="180" t="str">
        <f>VLOOKUP(MRM111,[13]AssetDetails_UEM!$A$3:$AH$1849,6,FALSE)</f>
        <v>Electrosurgical Units, Monopolar/Bipolar</v>
      </c>
      <c r="MRO111" s="179" t="s">
        <v>428</v>
      </c>
      <c r="MRP111" s="180" t="str">
        <f>VLOOKUP(MRO111,[13]AssetDetails_UEM!$A$3:$AH$1849,6,FALSE)</f>
        <v>Electrosurgical Units, Monopolar/Bipolar</v>
      </c>
      <c r="MRQ111" s="179" t="s">
        <v>428</v>
      </c>
      <c r="MRR111" s="180" t="str">
        <f>VLOOKUP(MRQ111,[13]AssetDetails_UEM!$A$3:$AH$1849,6,FALSE)</f>
        <v>Electrosurgical Units, Monopolar/Bipolar</v>
      </c>
      <c r="MRS111" s="179" t="s">
        <v>428</v>
      </c>
      <c r="MRT111" s="180" t="str">
        <f>VLOOKUP(MRS111,[13]AssetDetails_UEM!$A$3:$AH$1849,6,FALSE)</f>
        <v>Electrosurgical Units, Monopolar/Bipolar</v>
      </c>
      <c r="MRU111" s="179" t="s">
        <v>428</v>
      </c>
      <c r="MRV111" s="180" t="str">
        <f>VLOOKUP(MRU111,[13]AssetDetails_UEM!$A$3:$AH$1849,6,FALSE)</f>
        <v>Electrosurgical Units, Monopolar/Bipolar</v>
      </c>
      <c r="MRW111" s="179" t="s">
        <v>428</v>
      </c>
      <c r="MRX111" s="180" t="str">
        <f>VLOOKUP(MRW111,[13]AssetDetails_UEM!$A$3:$AH$1849,6,FALSE)</f>
        <v>Electrosurgical Units, Monopolar/Bipolar</v>
      </c>
      <c r="MRY111" s="179" t="s">
        <v>428</v>
      </c>
      <c r="MRZ111" s="180" t="str">
        <f>VLOOKUP(MRY111,[13]AssetDetails_UEM!$A$3:$AH$1849,6,FALSE)</f>
        <v>Electrosurgical Units, Monopolar/Bipolar</v>
      </c>
      <c r="MSA111" s="179" t="s">
        <v>428</v>
      </c>
      <c r="MSB111" s="180" t="str">
        <f>VLOOKUP(MSA111,[13]AssetDetails_UEM!$A$3:$AH$1849,6,FALSE)</f>
        <v>Electrosurgical Units, Monopolar/Bipolar</v>
      </c>
      <c r="MSC111" s="179" t="s">
        <v>428</v>
      </c>
      <c r="MSD111" s="180" t="str">
        <f>VLOOKUP(MSC111,[13]AssetDetails_UEM!$A$3:$AH$1849,6,FALSE)</f>
        <v>Electrosurgical Units, Monopolar/Bipolar</v>
      </c>
      <c r="MSE111" s="179" t="s">
        <v>428</v>
      </c>
      <c r="MSF111" s="180" t="str">
        <f>VLOOKUP(MSE111,[13]AssetDetails_UEM!$A$3:$AH$1849,6,FALSE)</f>
        <v>Electrosurgical Units, Monopolar/Bipolar</v>
      </c>
      <c r="MSG111" s="179" t="s">
        <v>428</v>
      </c>
      <c r="MSH111" s="180" t="str">
        <f>VLOOKUP(MSG111,[13]AssetDetails_UEM!$A$3:$AH$1849,6,FALSE)</f>
        <v>Electrosurgical Units, Monopolar/Bipolar</v>
      </c>
      <c r="MSI111" s="179" t="s">
        <v>428</v>
      </c>
      <c r="MSJ111" s="180" t="str">
        <f>VLOOKUP(MSI111,[13]AssetDetails_UEM!$A$3:$AH$1849,6,FALSE)</f>
        <v>Electrosurgical Units, Monopolar/Bipolar</v>
      </c>
      <c r="MSK111" s="179" t="s">
        <v>428</v>
      </c>
      <c r="MSL111" s="180" t="str">
        <f>VLOOKUP(MSK111,[13]AssetDetails_UEM!$A$3:$AH$1849,6,FALSE)</f>
        <v>Electrosurgical Units, Monopolar/Bipolar</v>
      </c>
      <c r="MSM111" s="179" t="s">
        <v>428</v>
      </c>
      <c r="MSN111" s="180" t="str">
        <f>VLOOKUP(MSM111,[13]AssetDetails_UEM!$A$3:$AH$1849,6,FALSE)</f>
        <v>Electrosurgical Units, Monopolar/Bipolar</v>
      </c>
      <c r="MSO111" s="179" t="s">
        <v>428</v>
      </c>
      <c r="MSP111" s="180" t="str">
        <f>VLOOKUP(MSO111,[13]AssetDetails_UEM!$A$3:$AH$1849,6,FALSE)</f>
        <v>Electrosurgical Units, Monopolar/Bipolar</v>
      </c>
      <c r="MSQ111" s="179" t="s">
        <v>428</v>
      </c>
      <c r="MSR111" s="180" t="str">
        <f>VLOOKUP(MSQ111,[13]AssetDetails_UEM!$A$3:$AH$1849,6,FALSE)</f>
        <v>Electrosurgical Units, Monopolar/Bipolar</v>
      </c>
      <c r="MSS111" s="179" t="s">
        <v>428</v>
      </c>
      <c r="MST111" s="180" t="str">
        <f>VLOOKUP(MSS111,[13]AssetDetails_UEM!$A$3:$AH$1849,6,FALSE)</f>
        <v>Electrosurgical Units, Monopolar/Bipolar</v>
      </c>
      <c r="MSU111" s="179" t="s">
        <v>428</v>
      </c>
      <c r="MSV111" s="180" t="str">
        <f>VLOOKUP(MSU111,[13]AssetDetails_UEM!$A$3:$AH$1849,6,FALSE)</f>
        <v>Electrosurgical Units, Monopolar/Bipolar</v>
      </c>
      <c r="MSW111" s="179" t="s">
        <v>428</v>
      </c>
      <c r="MSX111" s="180" t="str">
        <f>VLOOKUP(MSW111,[13]AssetDetails_UEM!$A$3:$AH$1849,6,FALSE)</f>
        <v>Electrosurgical Units, Monopolar/Bipolar</v>
      </c>
      <c r="MSY111" s="179" t="s">
        <v>428</v>
      </c>
      <c r="MSZ111" s="180" t="str">
        <f>VLOOKUP(MSY111,[13]AssetDetails_UEM!$A$3:$AH$1849,6,FALSE)</f>
        <v>Electrosurgical Units, Monopolar/Bipolar</v>
      </c>
      <c r="MTA111" s="179" t="s">
        <v>428</v>
      </c>
      <c r="MTB111" s="180" t="str">
        <f>VLOOKUP(MTA111,[13]AssetDetails_UEM!$A$3:$AH$1849,6,FALSE)</f>
        <v>Electrosurgical Units, Monopolar/Bipolar</v>
      </c>
      <c r="MTC111" s="179" t="s">
        <v>428</v>
      </c>
      <c r="MTD111" s="180" t="str">
        <f>VLOOKUP(MTC111,[13]AssetDetails_UEM!$A$3:$AH$1849,6,FALSE)</f>
        <v>Electrosurgical Units, Monopolar/Bipolar</v>
      </c>
      <c r="MTE111" s="179" t="s">
        <v>428</v>
      </c>
      <c r="MTF111" s="180" t="str">
        <f>VLOOKUP(MTE111,[13]AssetDetails_UEM!$A$3:$AH$1849,6,FALSE)</f>
        <v>Electrosurgical Units, Monopolar/Bipolar</v>
      </c>
      <c r="MTG111" s="179" t="s">
        <v>428</v>
      </c>
      <c r="MTH111" s="180" t="str">
        <f>VLOOKUP(MTG111,[13]AssetDetails_UEM!$A$3:$AH$1849,6,FALSE)</f>
        <v>Electrosurgical Units, Monopolar/Bipolar</v>
      </c>
      <c r="MTI111" s="179" t="s">
        <v>428</v>
      </c>
      <c r="MTJ111" s="180" t="str">
        <f>VLOOKUP(MTI111,[13]AssetDetails_UEM!$A$3:$AH$1849,6,FALSE)</f>
        <v>Electrosurgical Units, Monopolar/Bipolar</v>
      </c>
      <c r="MTK111" s="179" t="s">
        <v>428</v>
      </c>
      <c r="MTL111" s="180" t="str">
        <f>VLOOKUP(MTK111,[13]AssetDetails_UEM!$A$3:$AH$1849,6,FALSE)</f>
        <v>Electrosurgical Units, Monopolar/Bipolar</v>
      </c>
      <c r="MTM111" s="179" t="s">
        <v>428</v>
      </c>
      <c r="MTN111" s="180" t="str">
        <f>VLOOKUP(MTM111,[13]AssetDetails_UEM!$A$3:$AH$1849,6,FALSE)</f>
        <v>Electrosurgical Units, Monopolar/Bipolar</v>
      </c>
      <c r="MTO111" s="179" t="s">
        <v>428</v>
      </c>
      <c r="MTP111" s="180" t="str">
        <f>VLOOKUP(MTO111,[13]AssetDetails_UEM!$A$3:$AH$1849,6,FALSE)</f>
        <v>Electrosurgical Units, Monopolar/Bipolar</v>
      </c>
      <c r="MTQ111" s="179" t="s">
        <v>428</v>
      </c>
      <c r="MTR111" s="180" t="str">
        <f>VLOOKUP(MTQ111,[13]AssetDetails_UEM!$A$3:$AH$1849,6,FALSE)</f>
        <v>Electrosurgical Units, Monopolar/Bipolar</v>
      </c>
      <c r="MTS111" s="179" t="s">
        <v>428</v>
      </c>
      <c r="MTT111" s="180" t="str">
        <f>VLOOKUP(MTS111,[13]AssetDetails_UEM!$A$3:$AH$1849,6,FALSE)</f>
        <v>Electrosurgical Units, Monopolar/Bipolar</v>
      </c>
      <c r="MTU111" s="179" t="s">
        <v>428</v>
      </c>
      <c r="MTV111" s="180" t="str">
        <f>VLOOKUP(MTU111,[13]AssetDetails_UEM!$A$3:$AH$1849,6,FALSE)</f>
        <v>Electrosurgical Units, Monopolar/Bipolar</v>
      </c>
      <c r="MTW111" s="179" t="s">
        <v>428</v>
      </c>
      <c r="MTX111" s="180" t="str">
        <f>VLOOKUP(MTW111,[13]AssetDetails_UEM!$A$3:$AH$1849,6,FALSE)</f>
        <v>Electrosurgical Units, Monopolar/Bipolar</v>
      </c>
      <c r="MTY111" s="179" t="s">
        <v>428</v>
      </c>
      <c r="MTZ111" s="180" t="str">
        <f>VLOOKUP(MTY111,[13]AssetDetails_UEM!$A$3:$AH$1849,6,FALSE)</f>
        <v>Electrosurgical Units, Monopolar/Bipolar</v>
      </c>
      <c r="MUA111" s="179" t="s">
        <v>428</v>
      </c>
      <c r="MUB111" s="180" t="str">
        <f>VLOOKUP(MUA111,[13]AssetDetails_UEM!$A$3:$AH$1849,6,FALSE)</f>
        <v>Electrosurgical Units, Monopolar/Bipolar</v>
      </c>
      <c r="MUC111" s="179" t="s">
        <v>428</v>
      </c>
      <c r="MUD111" s="180" t="str">
        <f>VLOOKUP(MUC111,[13]AssetDetails_UEM!$A$3:$AH$1849,6,FALSE)</f>
        <v>Electrosurgical Units, Monopolar/Bipolar</v>
      </c>
      <c r="MUE111" s="179" t="s">
        <v>428</v>
      </c>
      <c r="MUF111" s="180" t="str">
        <f>VLOOKUP(MUE111,[13]AssetDetails_UEM!$A$3:$AH$1849,6,FALSE)</f>
        <v>Electrosurgical Units, Monopolar/Bipolar</v>
      </c>
      <c r="MUG111" s="179" t="s">
        <v>428</v>
      </c>
      <c r="MUH111" s="180" t="str">
        <f>VLOOKUP(MUG111,[13]AssetDetails_UEM!$A$3:$AH$1849,6,FALSE)</f>
        <v>Electrosurgical Units, Monopolar/Bipolar</v>
      </c>
      <c r="MUI111" s="179" t="s">
        <v>428</v>
      </c>
      <c r="MUJ111" s="180" t="str">
        <f>VLOOKUP(MUI111,[13]AssetDetails_UEM!$A$3:$AH$1849,6,FALSE)</f>
        <v>Electrosurgical Units, Monopolar/Bipolar</v>
      </c>
      <c r="MUK111" s="179" t="s">
        <v>428</v>
      </c>
      <c r="MUL111" s="180" t="str">
        <f>VLOOKUP(MUK111,[13]AssetDetails_UEM!$A$3:$AH$1849,6,FALSE)</f>
        <v>Electrosurgical Units, Monopolar/Bipolar</v>
      </c>
      <c r="MUM111" s="179" t="s">
        <v>428</v>
      </c>
      <c r="MUN111" s="180" t="str">
        <f>VLOOKUP(MUM111,[13]AssetDetails_UEM!$A$3:$AH$1849,6,FALSE)</f>
        <v>Electrosurgical Units, Monopolar/Bipolar</v>
      </c>
      <c r="MUO111" s="179" t="s">
        <v>428</v>
      </c>
      <c r="MUP111" s="180" t="str">
        <f>VLOOKUP(MUO111,[13]AssetDetails_UEM!$A$3:$AH$1849,6,FALSE)</f>
        <v>Electrosurgical Units, Monopolar/Bipolar</v>
      </c>
      <c r="MUQ111" s="179" t="s">
        <v>428</v>
      </c>
      <c r="MUR111" s="180" t="str">
        <f>VLOOKUP(MUQ111,[13]AssetDetails_UEM!$A$3:$AH$1849,6,FALSE)</f>
        <v>Electrosurgical Units, Monopolar/Bipolar</v>
      </c>
      <c r="MUS111" s="179" t="s">
        <v>428</v>
      </c>
      <c r="MUT111" s="180" t="str">
        <f>VLOOKUP(MUS111,[13]AssetDetails_UEM!$A$3:$AH$1849,6,FALSE)</f>
        <v>Electrosurgical Units, Monopolar/Bipolar</v>
      </c>
      <c r="MUU111" s="179" t="s">
        <v>428</v>
      </c>
      <c r="MUV111" s="180" t="str">
        <f>VLOOKUP(MUU111,[13]AssetDetails_UEM!$A$3:$AH$1849,6,FALSE)</f>
        <v>Electrosurgical Units, Monopolar/Bipolar</v>
      </c>
      <c r="MUW111" s="179" t="s">
        <v>428</v>
      </c>
      <c r="MUX111" s="180" t="str">
        <f>VLOOKUP(MUW111,[13]AssetDetails_UEM!$A$3:$AH$1849,6,FALSE)</f>
        <v>Electrosurgical Units, Monopolar/Bipolar</v>
      </c>
      <c r="MUY111" s="179" t="s">
        <v>428</v>
      </c>
      <c r="MUZ111" s="180" t="str">
        <f>VLOOKUP(MUY111,[13]AssetDetails_UEM!$A$3:$AH$1849,6,FALSE)</f>
        <v>Electrosurgical Units, Monopolar/Bipolar</v>
      </c>
      <c r="MVA111" s="179" t="s">
        <v>428</v>
      </c>
      <c r="MVB111" s="180" t="str">
        <f>VLOOKUP(MVA111,[13]AssetDetails_UEM!$A$3:$AH$1849,6,FALSE)</f>
        <v>Electrosurgical Units, Monopolar/Bipolar</v>
      </c>
      <c r="MVC111" s="179" t="s">
        <v>428</v>
      </c>
      <c r="MVD111" s="180" t="str">
        <f>VLOOKUP(MVC111,[13]AssetDetails_UEM!$A$3:$AH$1849,6,FALSE)</f>
        <v>Electrosurgical Units, Monopolar/Bipolar</v>
      </c>
      <c r="MVE111" s="179" t="s">
        <v>428</v>
      </c>
      <c r="MVF111" s="180" t="str">
        <f>VLOOKUP(MVE111,[13]AssetDetails_UEM!$A$3:$AH$1849,6,FALSE)</f>
        <v>Electrosurgical Units, Monopolar/Bipolar</v>
      </c>
      <c r="MVG111" s="179" t="s">
        <v>428</v>
      </c>
      <c r="MVH111" s="180" t="str">
        <f>VLOOKUP(MVG111,[13]AssetDetails_UEM!$A$3:$AH$1849,6,FALSE)</f>
        <v>Electrosurgical Units, Monopolar/Bipolar</v>
      </c>
      <c r="MVI111" s="179" t="s">
        <v>428</v>
      </c>
      <c r="MVJ111" s="180" t="str">
        <f>VLOOKUP(MVI111,[13]AssetDetails_UEM!$A$3:$AH$1849,6,FALSE)</f>
        <v>Electrosurgical Units, Monopolar/Bipolar</v>
      </c>
      <c r="MVK111" s="179" t="s">
        <v>428</v>
      </c>
      <c r="MVL111" s="180" t="str">
        <f>VLOOKUP(MVK111,[13]AssetDetails_UEM!$A$3:$AH$1849,6,FALSE)</f>
        <v>Electrosurgical Units, Monopolar/Bipolar</v>
      </c>
      <c r="MVM111" s="179" t="s">
        <v>428</v>
      </c>
      <c r="MVN111" s="180" t="str">
        <f>VLOOKUP(MVM111,[13]AssetDetails_UEM!$A$3:$AH$1849,6,FALSE)</f>
        <v>Electrosurgical Units, Monopolar/Bipolar</v>
      </c>
      <c r="MVO111" s="179" t="s">
        <v>428</v>
      </c>
      <c r="MVP111" s="180" t="str">
        <f>VLOOKUP(MVO111,[13]AssetDetails_UEM!$A$3:$AH$1849,6,FALSE)</f>
        <v>Electrosurgical Units, Monopolar/Bipolar</v>
      </c>
      <c r="MVQ111" s="179" t="s">
        <v>428</v>
      </c>
      <c r="MVR111" s="180" t="str">
        <f>VLOOKUP(MVQ111,[13]AssetDetails_UEM!$A$3:$AH$1849,6,FALSE)</f>
        <v>Electrosurgical Units, Monopolar/Bipolar</v>
      </c>
      <c r="MVS111" s="179" t="s">
        <v>428</v>
      </c>
      <c r="MVT111" s="180" t="str">
        <f>VLOOKUP(MVS111,[13]AssetDetails_UEM!$A$3:$AH$1849,6,FALSE)</f>
        <v>Electrosurgical Units, Monopolar/Bipolar</v>
      </c>
      <c r="MVU111" s="179" t="s">
        <v>428</v>
      </c>
      <c r="MVV111" s="180" t="str">
        <f>VLOOKUP(MVU111,[13]AssetDetails_UEM!$A$3:$AH$1849,6,FALSE)</f>
        <v>Electrosurgical Units, Monopolar/Bipolar</v>
      </c>
      <c r="MVW111" s="179" t="s">
        <v>428</v>
      </c>
      <c r="MVX111" s="180" t="str">
        <f>VLOOKUP(MVW111,[13]AssetDetails_UEM!$A$3:$AH$1849,6,FALSE)</f>
        <v>Electrosurgical Units, Monopolar/Bipolar</v>
      </c>
      <c r="MVY111" s="179" t="s">
        <v>428</v>
      </c>
      <c r="MVZ111" s="180" t="str">
        <f>VLOOKUP(MVY111,[13]AssetDetails_UEM!$A$3:$AH$1849,6,FALSE)</f>
        <v>Electrosurgical Units, Monopolar/Bipolar</v>
      </c>
      <c r="MWA111" s="179" t="s">
        <v>428</v>
      </c>
      <c r="MWB111" s="180" t="str">
        <f>VLOOKUP(MWA111,[13]AssetDetails_UEM!$A$3:$AH$1849,6,FALSE)</f>
        <v>Electrosurgical Units, Monopolar/Bipolar</v>
      </c>
      <c r="MWC111" s="179" t="s">
        <v>428</v>
      </c>
      <c r="MWD111" s="180" t="str">
        <f>VLOOKUP(MWC111,[13]AssetDetails_UEM!$A$3:$AH$1849,6,FALSE)</f>
        <v>Electrosurgical Units, Monopolar/Bipolar</v>
      </c>
      <c r="MWE111" s="179" t="s">
        <v>428</v>
      </c>
      <c r="MWF111" s="180" t="str">
        <f>VLOOKUP(MWE111,[13]AssetDetails_UEM!$A$3:$AH$1849,6,FALSE)</f>
        <v>Electrosurgical Units, Monopolar/Bipolar</v>
      </c>
      <c r="MWG111" s="179" t="s">
        <v>428</v>
      </c>
      <c r="MWH111" s="180" t="str">
        <f>VLOOKUP(MWG111,[13]AssetDetails_UEM!$A$3:$AH$1849,6,FALSE)</f>
        <v>Electrosurgical Units, Monopolar/Bipolar</v>
      </c>
      <c r="MWI111" s="179" t="s">
        <v>428</v>
      </c>
      <c r="MWJ111" s="180" t="str">
        <f>VLOOKUP(MWI111,[13]AssetDetails_UEM!$A$3:$AH$1849,6,FALSE)</f>
        <v>Electrosurgical Units, Monopolar/Bipolar</v>
      </c>
      <c r="MWK111" s="179" t="s">
        <v>428</v>
      </c>
      <c r="MWL111" s="180" t="str">
        <f>VLOOKUP(MWK111,[13]AssetDetails_UEM!$A$3:$AH$1849,6,FALSE)</f>
        <v>Electrosurgical Units, Monopolar/Bipolar</v>
      </c>
      <c r="MWM111" s="179" t="s">
        <v>428</v>
      </c>
      <c r="MWN111" s="180" t="str">
        <f>VLOOKUP(MWM111,[13]AssetDetails_UEM!$A$3:$AH$1849,6,FALSE)</f>
        <v>Electrosurgical Units, Monopolar/Bipolar</v>
      </c>
      <c r="MWO111" s="179" t="s">
        <v>428</v>
      </c>
      <c r="MWP111" s="180" t="str">
        <f>VLOOKUP(MWO111,[13]AssetDetails_UEM!$A$3:$AH$1849,6,FALSE)</f>
        <v>Electrosurgical Units, Monopolar/Bipolar</v>
      </c>
      <c r="MWQ111" s="179" t="s">
        <v>428</v>
      </c>
      <c r="MWR111" s="180" t="str">
        <f>VLOOKUP(MWQ111,[13]AssetDetails_UEM!$A$3:$AH$1849,6,FALSE)</f>
        <v>Electrosurgical Units, Monopolar/Bipolar</v>
      </c>
      <c r="MWS111" s="179" t="s">
        <v>428</v>
      </c>
      <c r="MWT111" s="180" t="str">
        <f>VLOOKUP(MWS111,[13]AssetDetails_UEM!$A$3:$AH$1849,6,FALSE)</f>
        <v>Electrosurgical Units, Monopolar/Bipolar</v>
      </c>
      <c r="MWU111" s="179" t="s">
        <v>428</v>
      </c>
      <c r="MWV111" s="180" t="str">
        <f>VLOOKUP(MWU111,[13]AssetDetails_UEM!$A$3:$AH$1849,6,FALSE)</f>
        <v>Electrosurgical Units, Monopolar/Bipolar</v>
      </c>
      <c r="MWW111" s="179" t="s">
        <v>428</v>
      </c>
      <c r="MWX111" s="180" t="str">
        <f>VLOOKUP(MWW111,[13]AssetDetails_UEM!$A$3:$AH$1849,6,FALSE)</f>
        <v>Electrosurgical Units, Monopolar/Bipolar</v>
      </c>
      <c r="MWY111" s="179" t="s">
        <v>428</v>
      </c>
      <c r="MWZ111" s="180" t="str">
        <f>VLOOKUP(MWY111,[13]AssetDetails_UEM!$A$3:$AH$1849,6,FALSE)</f>
        <v>Electrosurgical Units, Monopolar/Bipolar</v>
      </c>
      <c r="MXA111" s="179" t="s">
        <v>428</v>
      </c>
      <c r="MXB111" s="180" t="str">
        <f>VLOOKUP(MXA111,[13]AssetDetails_UEM!$A$3:$AH$1849,6,FALSE)</f>
        <v>Electrosurgical Units, Monopolar/Bipolar</v>
      </c>
      <c r="MXC111" s="179" t="s">
        <v>428</v>
      </c>
      <c r="MXD111" s="180" t="str">
        <f>VLOOKUP(MXC111,[13]AssetDetails_UEM!$A$3:$AH$1849,6,FALSE)</f>
        <v>Electrosurgical Units, Monopolar/Bipolar</v>
      </c>
      <c r="MXE111" s="179" t="s">
        <v>428</v>
      </c>
      <c r="MXF111" s="180" t="str">
        <f>VLOOKUP(MXE111,[13]AssetDetails_UEM!$A$3:$AH$1849,6,FALSE)</f>
        <v>Electrosurgical Units, Monopolar/Bipolar</v>
      </c>
      <c r="MXG111" s="179" t="s">
        <v>428</v>
      </c>
      <c r="MXH111" s="180" t="str">
        <f>VLOOKUP(MXG111,[13]AssetDetails_UEM!$A$3:$AH$1849,6,FALSE)</f>
        <v>Electrosurgical Units, Monopolar/Bipolar</v>
      </c>
      <c r="MXI111" s="179" t="s">
        <v>428</v>
      </c>
      <c r="MXJ111" s="180" t="str">
        <f>VLOOKUP(MXI111,[13]AssetDetails_UEM!$A$3:$AH$1849,6,FALSE)</f>
        <v>Electrosurgical Units, Monopolar/Bipolar</v>
      </c>
      <c r="MXK111" s="179" t="s">
        <v>428</v>
      </c>
      <c r="MXL111" s="180" t="str">
        <f>VLOOKUP(MXK111,[13]AssetDetails_UEM!$A$3:$AH$1849,6,FALSE)</f>
        <v>Electrosurgical Units, Monopolar/Bipolar</v>
      </c>
      <c r="MXM111" s="179" t="s">
        <v>428</v>
      </c>
      <c r="MXN111" s="180" t="str">
        <f>VLOOKUP(MXM111,[13]AssetDetails_UEM!$A$3:$AH$1849,6,FALSE)</f>
        <v>Electrosurgical Units, Monopolar/Bipolar</v>
      </c>
      <c r="MXO111" s="179" t="s">
        <v>428</v>
      </c>
      <c r="MXP111" s="180" t="str">
        <f>VLOOKUP(MXO111,[13]AssetDetails_UEM!$A$3:$AH$1849,6,FALSE)</f>
        <v>Electrosurgical Units, Monopolar/Bipolar</v>
      </c>
      <c r="MXQ111" s="179" t="s">
        <v>428</v>
      </c>
      <c r="MXR111" s="180" t="str">
        <f>VLOOKUP(MXQ111,[13]AssetDetails_UEM!$A$3:$AH$1849,6,FALSE)</f>
        <v>Electrosurgical Units, Monopolar/Bipolar</v>
      </c>
      <c r="MXS111" s="179" t="s">
        <v>428</v>
      </c>
      <c r="MXT111" s="180" t="str">
        <f>VLOOKUP(MXS111,[13]AssetDetails_UEM!$A$3:$AH$1849,6,FALSE)</f>
        <v>Electrosurgical Units, Monopolar/Bipolar</v>
      </c>
      <c r="MXU111" s="179" t="s">
        <v>428</v>
      </c>
      <c r="MXV111" s="180" t="str">
        <f>VLOOKUP(MXU111,[13]AssetDetails_UEM!$A$3:$AH$1849,6,FALSE)</f>
        <v>Electrosurgical Units, Monopolar/Bipolar</v>
      </c>
      <c r="MXW111" s="179" t="s">
        <v>428</v>
      </c>
      <c r="MXX111" s="180" t="str">
        <f>VLOOKUP(MXW111,[13]AssetDetails_UEM!$A$3:$AH$1849,6,FALSE)</f>
        <v>Electrosurgical Units, Monopolar/Bipolar</v>
      </c>
      <c r="MXY111" s="179" t="s">
        <v>428</v>
      </c>
      <c r="MXZ111" s="180" t="str">
        <f>VLOOKUP(MXY111,[13]AssetDetails_UEM!$A$3:$AH$1849,6,FALSE)</f>
        <v>Electrosurgical Units, Monopolar/Bipolar</v>
      </c>
      <c r="MYA111" s="179" t="s">
        <v>428</v>
      </c>
      <c r="MYB111" s="180" t="str">
        <f>VLOOKUP(MYA111,[13]AssetDetails_UEM!$A$3:$AH$1849,6,FALSE)</f>
        <v>Electrosurgical Units, Monopolar/Bipolar</v>
      </c>
      <c r="MYC111" s="179" t="s">
        <v>428</v>
      </c>
      <c r="MYD111" s="180" t="str">
        <f>VLOOKUP(MYC111,[13]AssetDetails_UEM!$A$3:$AH$1849,6,FALSE)</f>
        <v>Electrosurgical Units, Monopolar/Bipolar</v>
      </c>
      <c r="MYE111" s="179" t="s">
        <v>428</v>
      </c>
      <c r="MYF111" s="180" t="str">
        <f>VLOOKUP(MYE111,[13]AssetDetails_UEM!$A$3:$AH$1849,6,FALSE)</f>
        <v>Electrosurgical Units, Monopolar/Bipolar</v>
      </c>
      <c r="MYG111" s="179" t="s">
        <v>428</v>
      </c>
      <c r="MYH111" s="180" t="str">
        <f>VLOOKUP(MYG111,[13]AssetDetails_UEM!$A$3:$AH$1849,6,FALSE)</f>
        <v>Electrosurgical Units, Monopolar/Bipolar</v>
      </c>
      <c r="MYI111" s="179" t="s">
        <v>428</v>
      </c>
      <c r="MYJ111" s="180" t="str">
        <f>VLOOKUP(MYI111,[13]AssetDetails_UEM!$A$3:$AH$1849,6,FALSE)</f>
        <v>Electrosurgical Units, Monopolar/Bipolar</v>
      </c>
      <c r="MYK111" s="179" t="s">
        <v>428</v>
      </c>
      <c r="MYL111" s="180" t="str">
        <f>VLOOKUP(MYK111,[13]AssetDetails_UEM!$A$3:$AH$1849,6,FALSE)</f>
        <v>Electrosurgical Units, Monopolar/Bipolar</v>
      </c>
      <c r="MYM111" s="179" t="s">
        <v>428</v>
      </c>
      <c r="MYN111" s="180" t="str">
        <f>VLOOKUP(MYM111,[13]AssetDetails_UEM!$A$3:$AH$1849,6,FALSE)</f>
        <v>Electrosurgical Units, Monopolar/Bipolar</v>
      </c>
      <c r="MYO111" s="179" t="s">
        <v>428</v>
      </c>
      <c r="MYP111" s="180" t="str">
        <f>VLOOKUP(MYO111,[13]AssetDetails_UEM!$A$3:$AH$1849,6,FALSE)</f>
        <v>Electrosurgical Units, Monopolar/Bipolar</v>
      </c>
      <c r="MYQ111" s="179" t="s">
        <v>428</v>
      </c>
      <c r="MYR111" s="180" t="str">
        <f>VLOOKUP(MYQ111,[13]AssetDetails_UEM!$A$3:$AH$1849,6,FALSE)</f>
        <v>Electrosurgical Units, Monopolar/Bipolar</v>
      </c>
      <c r="MYS111" s="179" t="s">
        <v>428</v>
      </c>
      <c r="MYT111" s="180" t="str">
        <f>VLOOKUP(MYS111,[13]AssetDetails_UEM!$A$3:$AH$1849,6,FALSE)</f>
        <v>Electrosurgical Units, Monopolar/Bipolar</v>
      </c>
      <c r="MYU111" s="179" t="s">
        <v>428</v>
      </c>
      <c r="MYV111" s="180" t="str">
        <f>VLOOKUP(MYU111,[13]AssetDetails_UEM!$A$3:$AH$1849,6,FALSE)</f>
        <v>Electrosurgical Units, Monopolar/Bipolar</v>
      </c>
      <c r="MYW111" s="179" t="s">
        <v>428</v>
      </c>
      <c r="MYX111" s="180" t="str">
        <f>VLOOKUP(MYW111,[13]AssetDetails_UEM!$A$3:$AH$1849,6,FALSE)</f>
        <v>Electrosurgical Units, Monopolar/Bipolar</v>
      </c>
      <c r="MYY111" s="179" t="s">
        <v>428</v>
      </c>
      <c r="MYZ111" s="180" t="str">
        <f>VLOOKUP(MYY111,[13]AssetDetails_UEM!$A$3:$AH$1849,6,FALSE)</f>
        <v>Electrosurgical Units, Monopolar/Bipolar</v>
      </c>
      <c r="MZA111" s="179" t="s">
        <v>428</v>
      </c>
      <c r="MZB111" s="180" t="str">
        <f>VLOOKUP(MZA111,[13]AssetDetails_UEM!$A$3:$AH$1849,6,FALSE)</f>
        <v>Electrosurgical Units, Monopolar/Bipolar</v>
      </c>
      <c r="MZC111" s="179" t="s">
        <v>428</v>
      </c>
      <c r="MZD111" s="180" t="str">
        <f>VLOOKUP(MZC111,[13]AssetDetails_UEM!$A$3:$AH$1849,6,FALSE)</f>
        <v>Electrosurgical Units, Monopolar/Bipolar</v>
      </c>
      <c r="MZE111" s="179" t="s">
        <v>428</v>
      </c>
      <c r="MZF111" s="180" t="str">
        <f>VLOOKUP(MZE111,[13]AssetDetails_UEM!$A$3:$AH$1849,6,FALSE)</f>
        <v>Electrosurgical Units, Monopolar/Bipolar</v>
      </c>
      <c r="MZG111" s="179" t="s">
        <v>428</v>
      </c>
      <c r="MZH111" s="180" t="str">
        <f>VLOOKUP(MZG111,[13]AssetDetails_UEM!$A$3:$AH$1849,6,FALSE)</f>
        <v>Electrosurgical Units, Monopolar/Bipolar</v>
      </c>
      <c r="MZI111" s="179" t="s">
        <v>428</v>
      </c>
      <c r="MZJ111" s="180" t="str">
        <f>VLOOKUP(MZI111,[13]AssetDetails_UEM!$A$3:$AH$1849,6,FALSE)</f>
        <v>Electrosurgical Units, Monopolar/Bipolar</v>
      </c>
      <c r="MZK111" s="179" t="s">
        <v>428</v>
      </c>
      <c r="MZL111" s="180" t="str">
        <f>VLOOKUP(MZK111,[13]AssetDetails_UEM!$A$3:$AH$1849,6,FALSE)</f>
        <v>Electrosurgical Units, Monopolar/Bipolar</v>
      </c>
      <c r="MZM111" s="179" t="s">
        <v>428</v>
      </c>
      <c r="MZN111" s="180" t="str">
        <f>VLOOKUP(MZM111,[13]AssetDetails_UEM!$A$3:$AH$1849,6,FALSE)</f>
        <v>Electrosurgical Units, Monopolar/Bipolar</v>
      </c>
      <c r="MZO111" s="179" t="s">
        <v>428</v>
      </c>
      <c r="MZP111" s="180" t="str">
        <f>VLOOKUP(MZO111,[13]AssetDetails_UEM!$A$3:$AH$1849,6,FALSE)</f>
        <v>Electrosurgical Units, Monopolar/Bipolar</v>
      </c>
      <c r="MZQ111" s="179" t="s">
        <v>428</v>
      </c>
      <c r="MZR111" s="180" t="str">
        <f>VLOOKUP(MZQ111,[13]AssetDetails_UEM!$A$3:$AH$1849,6,FALSE)</f>
        <v>Electrosurgical Units, Monopolar/Bipolar</v>
      </c>
      <c r="MZS111" s="179" t="s">
        <v>428</v>
      </c>
      <c r="MZT111" s="180" t="str">
        <f>VLOOKUP(MZS111,[13]AssetDetails_UEM!$A$3:$AH$1849,6,FALSE)</f>
        <v>Electrosurgical Units, Monopolar/Bipolar</v>
      </c>
      <c r="MZU111" s="179" t="s">
        <v>428</v>
      </c>
      <c r="MZV111" s="180" t="str">
        <f>VLOOKUP(MZU111,[13]AssetDetails_UEM!$A$3:$AH$1849,6,FALSE)</f>
        <v>Electrosurgical Units, Monopolar/Bipolar</v>
      </c>
      <c r="MZW111" s="179" t="s">
        <v>428</v>
      </c>
      <c r="MZX111" s="180" t="str">
        <f>VLOOKUP(MZW111,[13]AssetDetails_UEM!$A$3:$AH$1849,6,FALSE)</f>
        <v>Electrosurgical Units, Monopolar/Bipolar</v>
      </c>
      <c r="MZY111" s="179" t="s">
        <v>428</v>
      </c>
      <c r="MZZ111" s="180" t="str">
        <f>VLOOKUP(MZY111,[13]AssetDetails_UEM!$A$3:$AH$1849,6,FALSE)</f>
        <v>Electrosurgical Units, Monopolar/Bipolar</v>
      </c>
      <c r="NAA111" s="179" t="s">
        <v>428</v>
      </c>
      <c r="NAB111" s="180" t="str">
        <f>VLOOKUP(NAA111,[13]AssetDetails_UEM!$A$3:$AH$1849,6,FALSE)</f>
        <v>Electrosurgical Units, Monopolar/Bipolar</v>
      </c>
      <c r="NAC111" s="179" t="s">
        <v>428</v>
      </c>
      <c r="NAD111" s="180" t="str">
        <f>VLOOKUP(NAC111,[13]AssetDetails_UEM!$A$3:$AH$1849,6,FALSE)</f>
        <v>Electrosurgical Units, Monopolar/Bipolar</v>
      </c>
      <c r="NAE111" s="179" t="s">
        <v>428</v>
      </c>
      <c r="NAF111" s="180" t="str">
        <f>VLOOKUP(NAE111,[13]AssetDetails_UEM!$A$3:$AH$1849,6,FALSE)</f>
        <v>Electrosurgical Units, Monopolar/Bipolar</v>
      </c>
      <c r="NAG111" s="179" t="s">
        <v>428</v>
      </c>
      <c r="NAH111" s="180" t="str">
        <f>VLOOKUP(NAG111,[13]AssetDetails_UEM!$A$3:$AH$1849,6,FALSE)</f>
        <v>Electrosurgical Units, Monopolar/Bipolar</v>
      </c>
      <c r="NAI111" s="179" t="s">
        <v>428</v>
      </c>
      <c r="NAJ111" s="180" t="str">
        <f>VLOOKUP(NAI111,[13]AssetDetails_UEM!$A$3:$AH$1849,6,FALSE)</f>
        <v>Electrosurgical Units, Monopolar/Bipolar</v>
      </c>
      <c r="NAK111" s="179" t="s">
        <v>428</v>
      </c>
      <c r="NAL111" s="180" t="str">
        <f>VLOOKUP(NAK111,[13]AssetDetails_UEM!$A$3:$AH$1849,6,FALSE)</f>
        <v>Electrosurgical Units, Monopolar/Bipolar</v>
      </c>
      <c r="NAM111" s="179" t="s">
        <v>428</v>
      </c>
      <c r="NAN111" s="180" t="str">
        <f>VLOOKUP(NAM111,[13]AssetDetails_UEM!$A$3:$AH$1849,6,FALSE)</f>
        <v>Electrosurgical Units, Monopolar/Bipolar</v>
      </c>
      <c r="NAO111" s="179" t="s">
        <v>428</v>
      </c>
      <c r="NAP111" s="180" t="str">
        <f>VLOOKUP(NAO111,[13]AssetDetails_UEM!$A$3:$AH$1849,6,FALSE)</f>
        <v>Electrosurgical Units, Monopolar/Bipolar</v>
      </c>
      <c r="NAQ111" s="179" t="s">
        <v>428</v>
      </c>
      <c r="NAR111" s="180" t="str">
        <f>VLOOKUP(NAQ111,[13]AssetDetails_UEM!$A$3:$AH$1849,6,FALSE)</f>
        <v>Electrosurgical Units, Monopolar/Bipolar</v>
      </c>
      <c r="NAS111" s="179" t="s">
        <v>428</v>
      </c>
      <c r="NAT111" s="180" t="str">
        <f>VLOOKUP(NAS111,[13]AssetDetails_UEM!$A$3:$AH$1849,6,FALSE)</f>
        <v>Electrosurgical Units, Monopolar/Bipolar</v>
      </c>
      <c r="NAU111" s="179" t="s">
        <v>428</v>
      </c>
      <c r="NAV111" s="180" t="str">
        <f>VLOOKUP(NAU111,[13]AssetDetails_UEM!$A$3:$AH$1849,6,FALSE)</f>
        <v>Electrosurgical Units, Monopolar/Bipolar</v>
      </c>
      <c r="NAW111" s="179" t="s">
        <v>428</v>
      </c>
      <c r="NAX111" s="180" t="str">
        <f>VLOOKUP(NAW111,[13]AssetDetails_UEM!$A$3:$AH$1849,6,FALSE)</f>
        <v>Electrosurgical Units, Monopolar/Bipolar</v>
      </c>
      <c r="NAY111" s="179" t="s">
        <v>428</v>
      </c>
      <c r="NAZ111" s="180" t="str">
        <f>VLOOKUP(NAY111,[13]AssetDetails_UEM!$A$3:$AH$1849,6,FALSE)</f>
        <v>Electrosurgical Units, Monopolar/Bipolar</v>
      </c>
      <c r="NBA111" s="179" t="s">
        <v>428</v>
      </c>
      <c r="NBB111" s="180" t="str">
        <f>VLOOKUP(NBA111,[13]AssetDetails_UEM!$A$3:$AH$1849,6,FALSE)</f>
        <v>Electrosurgical Units, Monopolar/Bipolar</v>
      </c>
      <c r="NBC111" s="179" t="s">
        <v>428</v>
      </c>
      <c r="NBD111" s="180" t="str">
        <f>VLOOKUP(NBC111,[13]AssetDetails_UEM!$A$3:$AH$1849,6,FALSE)</f>
        <v>Electrosurgical Units, Monopolar/Bipolar</v>
      </c>
      <c r="NBE111" s="179" t="s">
        <v>428</v>
      </c>
      <c r="NBF111" s="180" t="str">
        <f>VLOOKUP(NBE111,[13]AssetDetails_UEM!$A$3:$AH$1849,6,FALSE)</f>
        <v>Electrosurgical Units, Monopolar/Bipolar</v>
      </c>
      <c r="NBG111" s="179" t="s">
        <v>428</v>
      </c>
      <c r="NBH111" s="180" t="str">
        <f>VLOOKUP(NBG111,[13]AssetDetails_UEM!$A$3:$AH$1849,6,FALSE)</f>
        <v>Electrosurgical Units, Monopolar/Bipolar</v>
      </c>
      <c r="NBI111" s="179" t="s">
        <v>428</v>
      </c>
      <c r="NBJ111" s="180" t="str">
        <f>VLOOKUP(NBI111,[13]AssetDetails_UEM!$A$3:$AH$1849,6,FALSE)</f>
        <v>Electrosurgical Units, Monopolar/Bipolar</v>
      </c>
      <c r="NBK111" s="179" t="s">
        <v>428</v>
      </c>
      <c r="NBL111" s="180" t="str">
        <f>VLOOKUP(NBK111,[13]AssetDetails_UEM!$A$3:$AH$1849,6,FALSE)</f>
        <v>Electrosurgical Units, Monopolar/Bipolar</v>
      </c>
      <c r="NBM111" s="179" t="s">
        <v>428</v>
      </c>
      <c r="NBN111" s="180" t="str">
        <f>VLOOKUP(NBM111,[13]AssetDetails_UEM!$A$3:$AH$1849,6,FALSE)</f>
        <v>Electrosurgical Units, Monopolar/Bipolar</v>
      </c>
      <c r="NBO111" s="179" t="s">
        <v>428</v>
      </c>
      <c r="NBP111" s="180" t="str">
        <f>VLOOKUP(NBO111,[13]AssetDetails_UEM!$A$3:$AH$1849,6,FALSE)</f>
        <v>Electrosurgical Units, Monopolar/Bipolar</v>
      </c>
      <c r="NBQ111" s="179" t="s">
        <v>428</v>
      </c>
      <c r="NBR111" s="180" t="str">
        <f>VLOOKUP(NBQ111,[13]AssetDetails_UEM!$A$3:$AH$1849,6,FALSE)</f>
        <v>Electrosurgical Units, Monopolar/Bipolar</v>
      </c>
      <c r="NBS111" s="179" t="s">
        <v>428</v>
      </c>
      <c r="NBT111" s="180" t="str">
        <f>VLOOKUP(NBS111,[13]AssetDetails_UEM!$A$3:$AH$1849,6,FALSE)</f>
        <v>Electrosurgical Units, Monopolar/Bipolar</v>
      </c>
      <c r="NBU111" s="179" t="s">
        <v>428</v>
      </c>
      <c r="NBV111" s="180" t="str">
        <f>VLOOKUP(NBU111,[13]AssetDetails_UEM!$A$3:$AH$1849,6,FALSE)</f>
        <v>Electrosurgical Units, Monopolar/Bipolar</v>
      </c>
      <c r="NBW111" s="179" t="s">
        <v>428</v>
      </c>
      <c r="NBX111" s="180" t="str">
        <f>VLOOKUP(NBW111,[13]AssetDetails_UEM!$A$3:$AH$1849,6,FALSE)</f>
        <v>Electrosurgical Units, Monopolar/Bipolar</v>
      </c>
      <c r="NBY111" s="179" t="s">
        <v>428</v>
      </c>
      <c r="NBZ111" s="180" t="str">
        <f>VLOOKUP(NBY111,[13]AssetDetails_UEM!$A$3:$AH$1849,6,FALSE)</f>
        <v>Electrosurgical Units, Monopolar/Bipolar</v>
      </c>
      <c r="NCA111" s="179" t="s">
        <v>428</v>
      </c>
      <c r="NCB111" s="180" t="str">
        <f>VLOOKUP(NCA111,[13]AssetDetails_UEM!$A$3:$AH$1849,6,FALSE)</f>
        <v>Electrosurgical Units, Monopolar/Bipolar</v>
      </c>
      <c r="NCC111" s="179" t="s">
        <v>428</v>
      </c>
      <c r="NCD111" s="180" t="str">
        <f>VLOOKUP(NCC111,[13]AssetDetails_UEM!$A$3:$AH$1849,6,FALSE)</f>
        <v>Electrosurgical Units, Monopolar/Bipolar</v>
      </c>
      <c r="NCE111" s="179" t="s">
        <v>428</v>
      </c>
      <c r="NCF111" s="180" t="str">
        <f>VLOOKUP(NCE111,[13]AssetDetails_UEM!$A$3:$AH$1849,6,FALSE)</f>
        <v>Electrosurgical Units, Monopolar/Bipolar</v>
      </c>
      <c r="NCG111" s="179" t="s">
        <v>428</v>
      </c>
      <c r="NCH111" s="180" t="str">
        <f>VLOOKUP(NCG111,[13]AssetDetails_UEM!$A$3:$AH$1849,6,FALSE)</f>
        <v>Electrosurgical Units, Monopolar/Bipolar</v>
      </c>
      <c r="NCI111" s="179" t="s">
        <v>428</v>
      </c>
      <c r="NCJ111" s="180" t="str">
        <f>VLOOKUP(NCI111,[13]AssetDetails_UEM!$A$3:$AH$1849,6,FALSE)</f>
        <v>Electrosurgical Units, Monopolar/Bipolar</v>
      </c>
      <c r="NCK111" s="179" t="s">
        <v>428</v>
      </c>
      <c r="NCL111" s="180" t="str">
        <f>VLOOKUP(NCK111,[13]AssetDetails_UEM!$A$3:$AH$1849,6,FALSE)</f>
        <v>Electrosurgical Units, Monopolar/Bipolar</v>
      </c>
      <c r="NCM111" s="179" t="s">
        <v>428</v>
      </c>
      <c r="NCN111" s="180" t="str">
        <f>VLOOKUP(NCM111,[13]AssetDetails_UEM!$A$3:$AH$1849,6,FALSE)</f>
        <v>Electrosurgical Units, Monopolar/Bipolar</v>
      </c>
      <c r="NCO111" s="179" t="s">
        <v>428</v>
      </c>
      <c r="NCP111" s="180" t="str">
        <f>VLOOKUP(NCO111,[13]AssetDetails_UEM!$A$3:$AH$1849,6,FALSE)</f>
        <v>Electrosurgical Units, Monopolar/Bipolar</v>
      </c>
      <c r="NCQ111" s="179" t="s">
        <v>428</v>
      </c>
      <c r="NCR111" s="180" t="str">
        <f>VLOOKUP(NCQ111,[13]AssetDetails_UEM!$A$3:$AH$1849,6,FALSE)</f>
        <v>Electrosurgical Units, Monopolar/Bipolar</v>
      </c>
      <c r="NCS111" s="179" t="s">
        <v>428</v>
      </c>
      <c r="NCT111" s="180" t="str">
        <f>VLOOKUP(NCS111,[13]AssetDetails_UEM!$A$3:$AH$1849,6,FALSE)</f>
        <v>Electrosurgical Units, Monopolar/Bipolar</v>
      </c>
      <c r="NCU111" s="179" t="s">
        <v>428</v>
      </c>
      <c r="NCV111" s="180" t="str">
        <f>VLOOKUP(NCU111,[13]AssetDetails_UEM!$A$3:$AH$1849,6,FALSE)</f>
        <v>Electrosurgical Units, Monopolar/Bipolar</v>
      </c>
      <c r="NCW111" s="179" t="s">
        <v>428</v>
      </c>
      <c r="NCX111" s="180" t="str">
        <f>VLOOKUP(NCW111,[13]AssetDetails_UEM!$A$3:$AH$1849,6,FALSE)</f>
        <v>Electrosurgical Units, Monopolar/Bipolar</v>
      </c>
      <c r="NCY111" s="179" t="s">
        <v>428</v>
      </c>
      <c r="NCZ111" s="180" t="str">
        <f>VLOOKUP(NCY111,[13]AssetDetails_UEM!$A$3:$AH$1849,6,FALSE)</f>
        <v>Electrosurgical Units, Monopolar/Bipolar</v>
      </c>
      <c r="NDA111" s="179" t="s">
        <v>428</v>
      </c>
      <c r="NDB111" s="180" t="str">
        <f>VLOOKUP(NDA111,[13]AssetDetails_UEM!$A$3:$AH$1849,6,FALSE)</f>
        <v>Electrosurgical Units, Monopolar/Bipolar</v>
      </c>
      <c r="NDC111" s="179" t="s">
        <v>428</v>
      </c>
      <c r="NDD111" s="180" t="str">
        <f>VLOOKUP(NDC111,[13]AssetDetails_UEM!$A$3:$AH$1849,6,FALSE)</f>
        <v>Electrosurgical Units, Monopolar/Bipolar</v>
      </c>
      <c r="NDE111" s="179" t="s">
        <v>428</v>
      </c>
      <c r="NDF111" s="180" t="str">
        <f>VLOOKUP(NDE111,[13]AssetDetails_UEM!$A$3:$AH$1849,6,FALSE)</f>
        <v>Electrosurgical Units, Monopolar/Bipolar</v>
      </c>
      <c r="NDG111" s="179" t="s">
        <v>428</v>
      </c>
      <c r="NDH111" s="180" t="str">
        <f>VLOOKUP(NDG111,[13]AssetDetails_UEM!$A$3:$AH$1849,6,FALSE)</f>
        <v>Electrosurgical Units, Monopolar/Bipolar</v>
      </c>
      <c r="NDI111" s="179" t="s">
        <v>428</v>
      </c>
      <c r="NDJ111" s="180" t="str">
        <f>VLOOKUP(NDI111,[13]AssetDetails_UEM!$A$3:$AH$1849,6,FALSE)</f>
        <v>Electrosurgical Units, Monopolar/Bipolar</v>
      </c>
      <c r="NDK111" s="179" t="s">
        <v>428</v>
      </c>
      <c r="NDL111" s="180" t="str">
        <f>VLOOKUP(NDK111,[13]AssetDetails_UEM!$A$3:$AH$1849,6,FALSE)</f>
        <v>Electrosurgical Units, Monopolar/Bipolar</v>
      </c>
      <c r="NDM111" s="179" t="s">
        <v>428</v>
      </c>
      <c r="NDN111" s="180" t="str">
        <f>VLOOKUP(NDM111,[13]AssetDetails_UEM!$A$3:$AH$1849,6,FALSE)</f>
        <v>Electrosurgical Units, Monopolar/Bipolar</v>
      </c>
      <c r="NDO111" s="179" t="s">
        <v>428</v>
      </c>
      <c r="NDP111" s="180" t="str">
        <f>VLOOKUP(NDO111,[13]AssetDetails_UEM!$A$3:$AH$1849,6,FALSE)</f>
        <v>Electrosurgical Units, Monopolar/Bipolar</v>
      </c>
      <c r="NDQ111" s="179" t="s">
        <v>428</v>
      </c>
      <c r="NDR111" s="180" t="str">
        <f>VLOOKUP(NDQ111,[13]AssetDetails_UEM!$A$3:$AH$1849,6,FALSE)</f>
        <v>Electrosurgical Units, Monopolar/Bipolar</v>
      </c>
      <c r="NDS111" s="179" t="s">
        <v>428</v>
      </c>
      <c r="NDT111" s="180" t="str">
        <f>VLOOKUP(NDS111,[13]AssetDetails_UEM!$A$3:$AH$1849,6,FALSE)</f>
        <v>Electrosurgical Units, Monopolar/Bipolar</v>
      </c>
      <c r="NDU111" s="179" t="s">
        <v>428</v>
      </c>
      <c r="NDV111" s="180" t="str">
        <f>VLOOKUP(NDU111,[13]AssetDetails_UEM!$A$3:$AH$1849,6,FALSE)</f>
        <v>Electrosurgical Units, Monopolar/Bipolar</v>
      </c>
      <c r="NDW111" s="179" t="s">
        <v>428</v>
      </c>
      <c r="NDX111" s="180" t="str">
        <f>VLOOKUP(NDW111,[13]AssetDetails_UEM!$A$3:$AH$1849,6,FALSE)</f>
        <v>Electrosurgical Units, Monopolar/Bipolar</v>
      </c>
      <c r="NDY111" s="179" t="s">
        <v>428</v>
      </c>
      <c r="NDZ111" s="180" t="str">
        <f>VLOOKUP(NDY111,[13]AssetDetails_UEM!$A$3:$AH$1849,6,FALSE)</f>
        <v>Electrosurgical Units, Monopolar/Bipolar</v>
      </c>
      <c r="NEA111" s="179" t="s">
        <v>428</v>
      </c>
      <c r="NEB111" s="180" t="str">
        <f>VLOOKUP(NEA111,[13]AssetDetails_UEM!$A$3:$AH$1849,6,FALSE)</f>
        <v>Electrosurgical Units, Monopolar/Bipolar</v>
      </c>
      <c r="NEC111" s="179" t="s">
        <v>428</v>
      </c>
      <c r="NED111" s="180" t="str">
        <f>VLOOKUP(NEC111,[13]AssetDetails_UEM!$A$3:$AH$1849,6,FALSE)</f>
        <v>Electrosurgical Units, Monopolar/Bipolar</v>
      </c>
      <c r="NEE111" s="179" t="s">
        <v>428</v>
      </c>
      <c r="NEF111" s="180" t="str">
        <f>VLOOKUP(NEE111,[13]AssetDetails_UEM!$A$3:$AH$1849,6,FALSE)</f>
        <v>Electrosurgical Units, Monopolar/Bipolar</v>
      </c>
      <c r="NEG111" s="179" t="s">
        <v>428</v>
      </c>
      <c r="NEH111" s="180" t="str">
        <f>VLOOKUP(NEG111,[13]AssetDetails_UEM!$A$3:$AH$1849,6,FALSE)</f>
        <v>Electrosurgical Units, Monopolar/Bipolar</v>
      </c>
      <c r="NEI111" s="179" t="s">
        <v>428</v>
      </c>
      <c r="NEJ111" s="180" t="str">
        <f>VLOOKUP(NEI111,[13]AssetDetails_UEM!$A$3:$AH$1849,6,FALSE)</f>
        <v>Electrosurgical Units, Monopolar/Bipolar</v>
      </c>
      <c r="NEK111" s="179" t="s">
        <v>428</v>
      </c>
      <c r="NEL111" s="180" t="str">
        <f>VLOOKUP(NEK111,[13]AssetDetails_UEM!$A$3:$AH$1849,6,FALSE)</f>
        <v>Electrosurgical Units, Monopolar/Bipolar</v>
      </c>
      <c r="NEM111" s="179" t="s">
        <v>428</v>
      </c>
      <c r="NEN111" s="180" t="str">
        <f>VLOOKUP(NEM111,[13]AssetDetails_UEM!$A$3:$AH$1849,6,FALSE)</f>
        <v>Electrosurgical Units, Monopolar/Bipolar</v>
      </c>
      <c r="NEO111" s="179" t="s">
        <v>428</v>
      </c>
      <c r="NEP111" s="180" t="str">
        <f>VLOOKUP(NEO111,[13]AssetDetails_UEM!$A$3:$AH$1849,6,FALSE)</f>
        <v>Electrosurgical Units, Monopolar/Bipolar</v>
      </c>
      <c r="NEQ111" s="179" t="s">
        <v>428</v>
      </c>
      <c r="NER111" s="180" t="str">
        <f>VLOOKUP(NEQ111,[13]AssetDetails_UEM!$A$3:$AH$1849,6,FALSE)</f>
        <v>Electrosurgical Units, Monopolar/Bipolar</v>
      </c>
      <c r="NES111" s="179" t="s">
        <v>428</v>
      </c>
      <c r="NET111" s="180" t="str">
        <f>VLOOKUP(NES111,[13]AssetDetails_UEM!$A$3:$AH$1849,6,FALSE)</f>
        <v>Electrosurgical Units, Monopolar/Bipolar</v>
      </c>
      <c r="NEU111" s="179" t="s">
        <v>428</v>
      </c>
      <c r="NEV111" s="180" t="str">
        <f>VLOOKUP(NEU111,[13]AssetDetails_UEM!$A$3:$AH$1849,6,FALSE)</f>
        <v>Electrosurgical Units, Monopolar/Bipolar</v>
      </c>
      <c r="NEW111" s="179" t="s">
        <v>428</v>
      </c>
      <c r="NEX111" s="180" t="str">
        <f>VLOOKUP(NEW111,[13]AssetDetails_UEM!$A$3:$AH$1849,6,FALSE)</f>
        <v>Electrosurgical Units, Monopolar/Bipolar</v>
      </c>
      <c r="NEY111" s="179" t="s">
        <v>428</v>
      </c>
      <c r="NEZ111" s="180" t="str">
        <f>VLOOKUP(NEY111,[13]AssetDetails_UEM!$A$3:$AH$1849,6,FALSE)</f>
        <v>Electrosurgical Units, Monopolar/Bipolar</v>
      </c>
      <c r="NFA111" s="179" t="s">
        <v>428</v>
      </c>
      <c r="NFB111" s="180" t="str">
        <f>VLOOKUP(NFA111,[13]AssetDetails_UEM!$A$3:$AH$1849,6,FALSE)</f>
        <v>Electrosurgical Units, Monopolar/Bipolar</v>
      </c>
      <c r="NFC111" s="179" t="s">
        <v>428</v>
      </c>
      <c r="NFD111" s="180" t="str">
        <f>VLOOKUP(NFC111,[13]AssetDetails_UEM!$A$3:$AH$1849,6,FALSE)</f>
        <v>Electrosurgical Units, Monopolar/Bipolar</v>
      </c>
      <c r="NFE111" s="179" t="s">
        <v>428</v>
      </c>
      <c r="NFF111" s="180" t="str">
        <f>VLOOKUP(NFE111,[13]AssetDetails_UEM!$A$3:$AH$1849,6,FALSE)</f>
        <v>Electrosurgical Units, Monopolar/Bipolar</v>
      </c>
      <c r="NFG111" s="179" t="s">
        <v>428</v>
      </c>
      <c r="NFH111" s="180" t="str">
        <f>VLOOKUP(NFG111,[13]AssetDetails_UEM!$A$3:$AH$1849,6,FALSE)</f>
        <v>Electrosurgical Units, Monopolar/Bipolar</v>
      </c>
      <c r="NFI111" s="179" t="s">
        <v>428</v>
      </c>
      <c r="NFJ111" s="180" t="str">
        <f>VLOOKUP(NFI111,[13]AssetDetails_UEM!$A$3:$AH$1849,6,FALSE)</f>
        <v>Electrosurgical Units, Monopolar/Bipolar</v>
      </c>
      <c r="NFK111" s="179" t="s">
        <v>428</v>
      </c>
      <c r="NFL111" s="180" t="str">
        <f>VLOOKUP(NFK111,[13]AssetDetails_UEM!$A$3:$AH$1849,6,FALSE)</f>
        <v>Electrosurgical Units, Monopolar/Bipolar</v>
      </c>
      <c r="NFM111" s="179" t="s">
        <v>428</v>
      </c>
      <c r="NFN111" s="180" t="str">
        <f>VLOOKUP(NFM111,[13]AssetDetails_UEM!$A$3:$AH$1849,6,FALSE)</f>
        <v>Electrosurgical Units, Monopolar/Bipolar</v>
      </c>
      <c r="NFO111" s="179" t="s">
        <v>428</v>
      </c>
      <c r="NFP111" s="180" t="str">
        <f>VLOOKUP(NFO111,[13]AssetDetails_UEM!$A$3:$AH$1849,6,FALSE)</f>
        <v>Electrosurgical Units, Monopolar/Bipolar</v>
      </c>
      <c r="NFQ111" s="179" t="s">
        <v>428</v>
      </c>
      <c r="NFR111" s="180" t="str">
        <f>VLOOKUP(NFQ111,[13]AssetDetails_UEM!$A$3:$AH$1849,6,FALSE)</f>
        <v>Electrosurgical Units, Monopolar/Bipolar</v>
      </c>
      <c r="NFS111" s="179" t="s">
        <v>428</v>
      </c>
      <c r="NFT111" s="180" t="str">
        <f>VLOOKUP(NFS111,[13]AssetDetails_UEM!$A$3:$AH$1849,6,FALSE)</f>
        <v>Electrosurgical Units, Monopolar/Bipolar</v>
      </c>
      <c r="NFU111" s="179" t="s">
        <v>428</v>
      </c>
      <c r="NFV111" s="180" t="str">
        <f>VLOOKUP(NFU111,[13]AssetDetails_UEM!$A$3:$AH$1849,6,FALSE)</f>
        <v>Electrosurgical Units, Monopolar/Bipolar</v>
      </c>
      <c r="NFW111" s="179" t="s">
        <v>428</v>
      </c>
      <c r="NFX111" s="180" t="str">
        <f>VLOOKUP(NFW111,[13]AssetDetails_UEM!$A$3:$AH$1849,6,FALSE)</f>
        <v>Electrosurgical Units, Monopolar/Bipolar</v>
      </c>
      <c r="NFY111" s="179" t="s">
        <v>428</v>
      </c>
      <c r="NFZ111" s="180" t="str">
        <f>VLOOKUP(NFY111,[13]AssetDetails_UEM!$A$3:$AH$1849,6,FALSE)</f>
        <v>Electrosurgical Units, Monopolar/Bipolar</v>
      </c>
      <c r="NGA111" s="179" t="s">
        <v>428</v>
      </c>
      <c r="NGB111" s="180" t="str">
        <f>VLOOKUP(NGA111,[13]AssetDetails_UEM!$A$3:$AH$1849,6,FALSE)</f>
        <v>Electrosurgical Units, Monopolar/Bipolar</v>
      </c>
      <c r="NGC111" s="179" t="s">
        <v>428</v>
      </c>
      <c r="NGD111" s="180" t="str">
        <f>VLOOKUP(NGC111,[13]AssetDetails_UEM!$A$3:$AH$1849,6,FALSE)</f>
        <v>Electrosurgical Units, Monopolar/Bipolar</v>
      </c>
      <c r="NGE111" s="179" t="s">
        <v>428</v>
      </c>
      <c r="NGF111" s="180" t="str">
        <f>VLOOKUP(NGE111,[13]AssetDetails_UEM!$A$3:$AH$1849,6,FALSE)</f>
        <v>Electrosurgical Units, Monopolar/Bipolar</v>
      </c>
      <c r="NGG111" s="179" t="s">
        <v>428</v>
      </c>
      <c r="NGH111" s="180" t="str">
        <f>VLOOKUP(NGG111,[13]AssetDetails_UEM!$A$3:$AH$1849,6,FALSE)</f>
        <v>Electrosurgical Units, Monopolar/Bipolar</v>
      </c>
      <c r="NGI111" s="179" t="s">
        <v>428</v>
      </c>
      <c r="NGJ111" s="180" t="str">
        <f>VLOOKUP(NGI111,[13]AssetDetails_UEM!$A$3:$AH$1849,6,FALSE)</f>
        <v>Electrosurgical Units, Monopolar/Bipolar</v>
      </c>
      <c r="NGK111" s="179" t="s">
        <v>428</v>
      </c>
      <c r="NGL111" s="180" t="str">
        <f>VLOOKUP(NGK111,[13]AssetDetails_UEM!$A$3:$AH$1849,6,FALSE)</f>
        <v>Electrosurgical Units, Monopolar/Bipolar</v>
      </c>
      <c r="NGM111" s="179" t="s">
        <v>428</v>
      </c>
      <c r="NGN111" s="180" t="str">
        <f>VLOOKUP(NGM111,[13]AssetDetails_UEM!$A$3:$AH$1849,6,FALSE)</f>
        <v>Electrosurgical Units, Monopolar/Bipolar</v>
      </c>
      <c r="NGO111" s="179" t="s">
        <v>428</v>
      </c>
      <c r="NGP111" s="180" t="str">
        <f>VLOOKUP(NGO111,[13]AssetDetails_UEM!$A$3:$AH$1849,6,FALSE)</f>
        <v>Electrosurgical Units, Monopolar/Bipolar</v>
      </c>
      <c r="NGQ111" s="179" t="s">
        <v>428</v>
      </c>
      <c r="NGR111" s="180" t="str">
        <f>VLOOKUP(NGQ111,[13]AssetDetails_UEM!$A$3:$AH$1849,6,FALSE)</f>
        <v>Electrosurgical Units, Monopolar/Bipolar</v>
      </c>
      <c r="NGS111" s="179" t="s">
        <v>428</v>
      </c>
      <c r="NGT111" s="180" t="str">
        <f>VLOOKUP(NGS111,[13]AssetDetails_UEM!$A$3:$AH$1849,6,FALSE)</f>
        <v>Electrosurgical Units, Monopolar/Bipolar</v>
      </c>
      <c r="NGU111" s="179" t="s">
        <v>428</v>
      </c>
      <c r="NGV111" s="180" t="str">
        <f>VLOOKUP(NGU111,[13]AssetDetails_UEM!$A$3:$AH$1849,6,FALSE)</f>
        <v>Electrosurgical Units, Monopolar/Bipolar</v>
      </c>
      <c r="NGW111" s="179" t="s">
        <v>428</v>
      </c>
      <c r="NGX111" s="180" t="str">
        <f>VLOOKUP(NGW111,[13]AssetDetails_UEM!$A$3:$AH$1849,6,FALSE)</f>
        <v>Electrosurgical Units, Monopolar/Bipolar</v>
      </c>
      <c r="NGY111" s="179" t="s">
        <v>428</v>
      </c>
      <c r="NGZ111" s="180" t="str">
        <f>VLOOKUP(NGY111,[13]AssetDetails_UEM!$A$3:$AH$1849,6,FALSE)</f>
        <v>Electrosurgical Units, Monopolar/Bipolar</v>
      </c>
      <c r="NHA111" s="179" t="s">
        <v>428</v>
      </c>
      <c r="NHB111" s="180" t="str">
        <f>VLOOKUP(NHA111,[13]AssetDetails_UEM!$A$3:$AH$1849,6,FALSE)</f>
        <v>Electrosurgical Units, Monopolar/Bipolar</v>
      </c>
      <c r="NHC111" s="179" t="s">
        <v>428</v>
      </c>
      <c r="NHD111" s="180" t="str">
        <f>VLOOKUP(NHC111,[13]AssetDetails_UEM!$A$3:$AH$1849,6,FALSE)</f>
        <v>Electrosurgical Units, Monopolar/Bipolar</v>
      </c>
      <c r="NHE111" s="179" t="s">
        <v>428</v>
      </c>
      <c r="NHF111" s="180" t="str">
        <f>VLOOKUP(NHE111,[13]AssetDetails_UEM!$A$3:$AH$1849,6,FALSE)</f>
        <v>Electrosurgical Units, Monopolar/Bipolar</v>
      </c>
      <c r="NHG111" s="179" t="s">
        <v>428</v>
      </c>
      <c r="NHH111" s="180" t="str">
        <f>VLOOKUP(NHG111,[13]AssetDetails_UEM!$A$3:$AH$1849,6,FALSE)</f>
        <v>Electrosurgical Units, Monopolar/Bipolar</v>
      </c>
      <c r="NHI111" s="179" t="s">
        <v>428</v>
      </c>
      <c r="NHJ111" s="180" t="str">
        <f>VLOOKUP(NHI111,[13]AssetDetails_UEM!$A$3:$AH$1849,6,FALSE)</f>
        <v>Electrosurgical Units, Monopolar/Bipolar</v>
      </c>
      <c r="NHK111" s="179" t="s">
        <v>428</v>
      </c>
      <c r="NHL111" s="180" t="str">
        <f>VLOOKUP(NHK111,[13]AssetDetails_UEM!$A$3:$AH$1849,6,FALSE)</f>
        <v>Electrosurgical Units, Monopolar/Bipolar</v>
      </c>
      <c r="NHM111" s="179" t="s">
        <v>428</v>
      </c>
      <c r="NHN111" s="180" t="str">
        <f>VLOOKUP(NHM111,[13]AssetDetails_UEM!$A$3:$AH$1849,6,FALSE)</f>
        <v>Electrosurgical Units, Monopolar/Bipolar</v>
      </c>
      <c r="NHO111" s="179" t="s">
        <v>428</v>
      </c>
      <c r="NHP111" s="180" t="str">
        <f>VLOOKUP(NHO111,[13]AssetDetails_UEM!$A$3:$AH$1849,6,FALSE)</f>
        <v>Electrosurgical Units, Monopolar/Bipolar</v>
      </c>
      <c r="NHQ111" s="179" t="s">
        <v>428</v>
      </c>
      <c r="NHR111" s="180" t="str">
        <f>VLOOKUP(NHQ111,[13]AssetDetails_UEM!$A$3:$AH$1849,6,FALSE)</f>
        <v>Electrosurgical Units, Monopolar/Bipolar</v>
      </c>
      <c r="NHS111" s="179" t="s">
        <v>428</v>
      </c>
      <c r="NHT111" s="180" t="str">
        <f>VLOOKUP(NHS111,[13]AssetDetails_UEM!$A$3:$AH$1849,6,FALSE)</f>
        <v>Electrosurgical Units, Monopolar/Bipolar</v>
      </c>
      <c r="NHU111" s="179" t="s">
        <v>428</v>
      </c>
      <c r="NHV111" s="180" t="str">
        <f>VLOOKUP(NHU111,[13]AssetDetails_UEM!$A$3:$AH$1849,6,FALSE)</f>
        <v>Electrosurgical Units, Monopolar/Bipolar</v>
      </c>
      <c r="NHW111" s="179" t="s">
        <v>428</v>
      </c>
      <c r="NHX111" s="180" t="str">
        <f>VLOOKUP(NHW111,[13]AssetDetails_UEM!$A$3:$AH$1849,6,FALSE)</f>
        <v>Electrosurgical Units, Monopolar/Bipolar</v>
      </c>
      <c r="NHY111" s="179" t="s">
        <v>428</v>
      </c>
      <c r="NHZ111" s="180" t="str">
        <f>VLOOKUP(NHY111,[13]AssetDetails_UEM!$A$3:$AH$1849,6,FALSE)</f>
        <v>Electrosurgical Units, Monopolar/Bipolar</v>
      </c>
      <c r="NIA111" s="179" t="s">
        <v>428</v>
      </c>
      <c r="NIB111" s="180" t="str">
        <f>VLOOKUP(NIA111,[13]AssetDetails_UEM!$A$3:$AH$1849,6,FALSE)</f>
        <v>Electrosurgical Units, Monopolar/Bipolar</v>
      </c>
      <c r="NIC111" s="179" t="s">
        <v>428</v>
      </c>
      <c r="NID111" s="180" t="str">
        <f>VLOOKUP(NIC111,[13]AssetDetails_UEM!$A$3:$AH$1849,6,FALSE)</f>
        <v>Electrosurgical Units, Monopolar/Bipolar</v>
      </c>
      <c r="NIE111" s="179" t="s">
        <v>428</v>
      </c>
      <c r="NIF111" s="180" t="str">
        <f>VLOOKUP(NIE111,[13]AssetDetails_UEM!$A$3:$AH$1849,6,FALSE)</f>
        <v>Electrosurgical Units, Monopolar/Bipolar</v>
      </c>
      <c r="NIG111" s="179" t="s">
        <v>428</v>
      </c>
      <c r="NIH111" s="180" t="str">
        <f>VLOOKUP(NIG111,[13]AssetDetails_UEM!$A$3:$AH$1849,6,FALSE)</f>
        <v>Electrosurgical Units, Monopolar/Bipolar</v>
      </c>
      <c r="NII111" s="179" t="s">
        <v>428</v>
      </c>
      <c r="NIJ111" s="180" t="str">
        <f>VLOOKUP(NII111,[13]AssetDetails_UEM!$A$3:$AH$1849,6,FALSE)</f>
        <v>Electrosurgical Units, Monopolar/Bipolar</v>
      </c>
      <c r="NIK111" s="179" t="s">
        <v>428</v>
      </c>
      <c r="NIL111" s="180" t="str">
        <f>VLOOKUP(NIK111,[13]AssetDetails_UEM!$A$3:$AH$1849,6,FALSE)</f>
        <v>Electrosurgical Units, Monopolar/Bipolar</v>
      </c>
      <c r="NIM111" s="179" t="s">
        <v>428</v>
      </c>
      <c r="NIN111" s="180" t="str">
        <f>VLOOKUP(NIM111,[13]AssetDetails_UEM!$A$3:$AH$1849,6,FALSE)</f>
        <v>Electrosurgical Units, Monopolar/Bipolar</v>
      </c>
      <c r="NIO111" s="179" t="s">
        <v>428</v>
      </c>
      <c r="NIP111" s="180" t="str">
        <f>VLOOKUP(NIO111,[13]AssetDetails_UEM!$A$3:$AH$1849,6,FALSE)</f>
        <v>Electrosurgical Units, Monopolar/Bipolar</v>
      </c>
      <c r="NIQ111" s="179" t="s">
        <v>428</v>
      </c>
      <c r="NIR111" s="180" t="str">
        <f>VLOOKUP(NIQ111,[13]AssetDetails_UEM!$A$3:$AH$1849,6,FALSE)</f>
        <v>Electrosurgical Units, Monopolar/Bipolar</v>
      </c>
      <c r="NIS111" s="179" t="s">
        <v>428</v>
      </c>
      <c r="NIT111" s="180" t="str">
        <f>VLOOKUP(NIS111,[13]AssetDetails_UEM!$A$3:$AH$1849,6,FALSE)</f>
        <v>Electrosurgical Units, Monopolar/Bipolar</v>
      </c>
      <c r="NIU111" s="179" t="s">
        <v>428</v>
      </c>
      <c r="NIV111" s="180" t="str">
        <f>VLOOKUP(NIU111,[13]AssetDetails_UEM!$A$3:$AH$1849,6,FALSE)</f>
        <v>Electrosurgical Units, Monopolar/Bipolar</v>
      </c>
      <c r="NIW111" s="179" t="s">
        <v>428</v>
      </c>
      <c r="NIX111" s="180" t="str">
        <f>VLOOKUP(NIW111,[13]AssetDetails_UEM!$A$3:$AH$1849,6,FALSE)</f>
        <v>Electrosurgical Units, Monopolar/Bipolar</v>
      </c>
      <c r="NIY111" s="179" t="s">
        <v>428</v>
      </c>
      <c r="NIZ111" s="180" t="str">
        <f>VLOOKUP(NIY111,[13]AssetDetails_UEM!$A$3:$AH$1849,6,FALSE)</f>
        <v>Electrosurgical Units, Monopolar/Bipolar</v>
      </c>
      <c r="NJA111" s="179" t="s">
        <v>428</v>
      </c>
      <c r="NJB111" s="180" t="str">
        <f>VLOOKUP(NJA111,[13]AssetDetails_UEM!$A$3:$AH$1849,6,FALSE)</f>
        <v>Electrosurgical Units, Monopolar/Bipolar</v>
      </c>
      <c r="NJC111" s="179" t="s">
        <v>428</v>
      </c>
      <c r="NJD111" s="180" t="str">
        <f>VLOOKUP(NJC111,[13]AssetDetails_UEM!$A$3:$AH$1849,6,FALSE)</f>
        <v>Electrosurgical Units, Monopolar/Bipolar</v>
      </c>
      <c r="NJE111" s="179" t="s">
        <v>428</v>
      </c>
      <c r="NJF111" s="180" t="str">
        <f>VLOOKUP(NJE111,[13]AssetDetails_UEM!$A$3:$AH$1849,6,FALSE)</f>
        <v>Electrosurgical Units, Monopolar/Bipolar</v>
      </c>
      <c r="NJG111" s="179" t="s">
        <v>428</v>
      </c>
      <c r="NJH111" s="180" t="str">
        <f>VLOOKUP(NJG111,[13]AssetDetails_UEM!$A$3:$AH$1849,6,FALSE)</f>
        <v>Electrosurgical Units, Monopolar/Bipolar</v>
      </c>
      <c r="NJI111" s="179" t="s">
        <v>428</v>
      </c>
      <c r="NJJ111" s="180" t="str">
        <f>VLOOKUP(NJI111,[13]AssetDetails_UEM!$A$3:$AH$1849,6,FALSE)</f>
        <v>Electrosurgical Units, Monopolar/Bipolar</v>
      </c>
      <c r="NJK111" s="179" t="s">
        <v>428</v>
      </c>
      <c r="NJL111" s="180" t="str">
        <f>VLOOKUP(NJK111,[13]AssetDetails_UEM!$A$3:$AH$1849,6,FALSE)</f>
        <v>Electrosurgical Units, Monopolar/Bipolar</v>
      </c>
      <c r="NJM111" s="179" t="s">
        <v>428</v>
      </c>
      <c r="NJN111" s="180" t="str">
        <f>VLOOKUP(NJM111,[13]AssetDetails_UEM!$A$3:$AH$1849,6,FALSE)</f>
        <v>Electrosurgical Units, Monopolar/Bipolar</v>
      </c>
      <c r="NJO111" s="179" t="s">
        <v>428</v>
      </c>
      <c r="NJP111" s="180" t="str">
        <f>VLOOKUP(NJO111,[13]AssetDetails_UEM!$A$3:$AH$1849,6,FALSE)</f>
        <v>Electrosurgical Units, Monopolar/Bipolar</v>
      </c>
      <c r="NJQ111" s="179" t="s">
        <v>428</v>
      </c>
      <c r="NJR111" s="180" t="str">
        <f>VLOOKUP(NJQ111,[13]AssetDetails_UEM!$A$3:$AH$1849,6,FALSE)</f>
        <v>Electrosurgical Units, Monopolar/Bipolar</v>
      </c>
      <c r="NJS111" s="179" t="s">
        <v>428</v>
      </c>
      <c r="NJT111" s="180" t="str">
        <f>VLOOKUP(NJS111,[13]AssetDetails_UEM!$A$3:$AH$1849,6,FALSE)</f>
        <v>Electrosurgical Units, Monopolar/Bipolar</v>
      </c>
      <c r="NJU111" s="179" t="s">
        <v>428</v>
      </c>
      <c r="NJV111" s="180" t="str">
        <f>VLOOKUP(NJU111,[13]AssetDetails_UEM!$A$3:$AH$1849,6,FALSE)</f>
        <v>Electrosurgical Units, Monopolar/Bipolar</v>
      </c>
      <c r="NJW111" s="179" t="s">
        <v>428</v>
      </c>
      <c r="NJX111" s="180" t="str">
        <f>VLOOKUP(NJW111,[13]AssetDetails_UEM!$A$3:$AH$1849,6,FALSE)</f>
        <v>Electrosurgical Units, Monopolar/Bipolar</v>
      </c>
      <c r="NJY111" s="179" t="s">
        <v>428</v>
      </c>
      <c r="NJZ111" s="180" t="str">
        <f>VLOOKUP(NJY111,[13]AssetDetails_UEM!$A$3:$AH$1849,6,FALSE)</f>
        <v>Electrosurgical Units, Monopolar/Bipolar</v>
      </c>
      <c r="NKA111" s="179" t="s">
        <v>428</v>
      </c>
      <c r="NKB111" s="180" t="str">
        <f>VLOOKUP(NKA111,[13]AssetDetails_UEM!$A$3:$AH$1849,6,FALSE)</f>
        <v>Electrosurgical Units, Monopolar/Bipolar</v>
      </c>
      <c r="NKC111" s="179" t="s">
        <v>428</v>
      </c>
      <c r="NKD111" s="180" t="str">
        <f>VLOOKUP(NKC111,[13]AssetDetails_UEM!$A$3:$AH$1849,6,FALSE)</f>
        <v>Electrosurgical Units, Monopolar/Bipolar</v>
      </c>
      <c r="NKE111" s="179" t="s">
        <v>428</v>
      </c>
      <c r="NKF111" s="180" t="str">
        <f>VLOOKUP(NKE111,[13]AssetDetails_UEM!$A$3:$AH$1849,6,FALSE)</f>
        <v>Electrosurgical Units, Monopolar/Bipolar</v>
      </c>
      <c r="NKG111" s="179" t="s">
        <v>428</v>
      </c>
      <c r="NKH111" s="180" t="str">
        <f>VLOOKUP(NKG111,[13]AssetDetails_UEM!$A$3:$AH$1849,6,FALSE)</f>
        <v>Electrosurgical Units, Monopolar/Bipolar</v>
      </c>
      <c r="NKI111" s="179" t="s">
        <v>428</v>
      </c>
      <c r="NKJ111" s="180" t="str">
        <f>VLOOKUP(NKI111,[13]AssetDetails_UEM!$A$3:$AH$1849,6,FALSE)</f>
        <v>Electrosurgical Units, Monopolar/Bipolar</v>
      </c>
      <c r="NKK111" s="179" t="s">
        <v>428</v>
      </c>
      <c r="NKL111" s="180" t="str">
        <f>VLOOKUP(NKK111,[13]AssetDetails_UEM!$A$3:$AH$1849,6,FALSE)</f>
        <v>Electrosurgical Units, Monopolar/Bipolar</v>
      </c>
      <c r="NKM111" s="179" t="s">
        <v>428</v>
      </c>
      <c r="NKN111" s="180" t="str">
        <f>VLOOKUP(NKM111,[13]AssetDetails_UEM!$A$3:$AH$1849,6,FALSE)</f>
        <v>Electrosurgical Units, Monopolar/Bipolar</v>
      </c>
      <c r="NKO111" s="179" t="s">
        <v>428</v>
      </c>
      <c r="NKP111" s="180" t="str">
        <f>VLOOKUP(NKO111,[13]AssetDetails_UEM!$A$3:$AH$1849,6,FALSE)</f>
        <v>Electrosurgical Units, Monopolar/Bipolar</v>
      </c>
      <c r="NKQ111" s="179" t="s">
        <v>428</v>
      </c>
      <c r="NKR111" s="180" t="str">
        <f>VLOOKUP(NKQ111,[13]AssetDetails_UEM!$A$3:$AH$1849,6,FALSE)</f>
        <v>Electrosurgical Units, Monopolar/Bipolar</v>
      </c>
      <c r="NKS111" s="179" t="s">
        <v>428</v>
      </c>
      <c r="NKT111" s="180" t="str">
        <f>VLOOKUP(NKS111,[13]AssetDetails_UEM!$A$3:$AH$1849,6,FALSE)</f>
        <v>Electrosurgical Units, Monopolar/Bipolar</v>
      </c>
      <c r="NKU111" s="179" t="s">
        <v>428</v>
      </c>
      <c r="NKV111" s="180" t="str">
        <f>VLOOKUP(NKU111,[13]AssetDetails_UEM!$A$3:$AH$1849,6,FALSE)</f>
        <v>Electrosurgical Units, Monopolar/Bipolar</v>
      </c>
      <c r="NKW111" s="179" t="s">
        <v>428</v>
      </c>
      <c r="NKX111" s="180" t="str">
        <f>VLOOKUP(NKW111,[13]AssetDetails_UEM!$A$3:$AH$1849,6,FALSE)</f>
        <v>Electrosurgical Units, Monopolar/Bipolar</v>
      </c>
      <c r="NKY111" s="179" t="s">
        <v>428</v>
      </c>
      <c r="NKZ111" s="180" t="str">
        <f>VLOOKUP(NKY111,[13]AssetDetails_UEM!$A$3:$AH$1849,6,FALSE)</f>
        <v>Electrosurgical Units, Monopolar/Bipolar</v>
      </c>
      <c r="NLA111" s="179" t="s">
        <v>428</v>
      </c>
      <c r="NLB111" s="180" t="str">
        <f>VLOOKUP(NLA111,[13]AssetDetails_UEM!$A$3:$AH$1849,6,FALSE)</f>
        <v>Electrosurgical Units, Monopolar/Bipolar</v>
      </c>
      <c r="NLC111" s="179" t="s">
        <v>428</v>
      </c>
      <c r="NLD111" s="180" t="str">
        <f>VLOOKUP(NLC111,[13]AssetDetails_UEM!$A$3:$AH$1849,6,FALSE)</f>
        <v>Electrosurgical Units, Monopolar/Bipolar</v>
      </c>
      <c r="NLE111" s="179" t="s">
        <v>428</v>
      </c>
      <c r="NLF111" s="180" t="str">
        <f>VLOOKUP(NLE111,[13]AssetDetails_UEM!$A$3:$AH$1849,6,FALSE)</f>
        <v>Electrosurgical Units, Monopolar/Bipolar</v>
      </c>
      <c r="NLG111" s="179" t="s">
        <v>428</v>
      </c>
      <c r="NLH111" s="180" t="str">
        <f>VLOOKUP(NLG111,[13]AssetDetails_UEM!$A$3:$AH$1849,6,FALSE)</f>
        <v>Electrosurgical Units, Monopolar/Bipolar</v>
      </c>
      <c r="NLI111" s="179" t="s">
        <v>428</v>
      </c>
      <c r="NLJ111" s="180" t="str">
        <f>VLOOKUP(NLI111,[13]AssetDetails_UEM!$A$3:$AH$1849,6,FALSE)</f>
        <v>Electrosurgical Units, Monopolar/Bipolar</v>
      </c>
      <c r="NLK111" s="179" t="s">
        <v>428</v>
      </c>
      <c r="NLL111" s="180" t="str">
        <f>VLOOKUP(NLK111,[13]AssetDetails_UEM!$A$3:$AH$1849,6,FALSE)</f>
        <v>Electrosurgical Units, Monopolar/Bipolar</v>
      </c>
      <c r="NLM111" s="179" t="s">
        <v>428</v>
      </c>
      <c r="NLN111" s="180" t="str">
        <f>VLOOKUP(NLM111,[13]AssetDetails_UEM!$A$3:$AH$1849,6,FALSE)</f>
        <v>Electrosurgical Units, Monopolar/Bipolar</v>
      </c>
      <c r="NLO111" s="179" t="s">
        <v>428</v>
      </c>
      <c r="NLP111" s="180" t="str">
        <f>VLOOKUP(NLO111,[13]AssetDetails_UEM!$A$3:$AH$1849,6,FALSE)</f>
        <v>Electrosurgical Units, Monopolar/Bipolar</v>
      </c>
      <c r="NLQ111" s="179" t="s">
        <v>428</v>
      </c>
      <c r="NLR111" s="180" t="str">
        <f>VLOOKUP(NLQ111,[13]AssetDetails_UEM!$A$3:$AH$1849,6,FALSE)</f>
        <v>Electrosurgical Units, Monopolar/Bipolar</v>
      </c>
      <c r="NLS111" s="179" t="s">
        <v>428</v>
      </c>
      <c r="NLT111" s="180" t="str">
        <f>VLOOKUP(NLS111,[13]AssetDetails_UEM!$A$3:$AH$1849,6,FALSE)</f>
        <v>Electrosurgical Units, Monopolar/Bipolar</v>
      </c>
      <c r="NLU111" s="179" t="s">
        <v>428</v>
      </c>
      <c r="NLV111" s="180" t="str">
        <f>VLOOKUP(NLU111,[13]AssetDetails_UEM!$A$3:$AH$1849,6,FALSE)</f>
        <v>Electrosurgical Units, Monopolar/Bipolar</v>
      </c>
      <c r="NLW111" s="179" t="s">
        <v>428</v>
      </c>
      <c r="NLX111" s="180" t="str">
        <f>VLOOKUP(NLW111,[13]AssetDetails_UEM!$A$3:$AH$1849,6,FALSE)</f>
        <v>Electrosurgical Units, Monopolar/Bipolar</v>
      </c>
      <c r="NLY111" s="179" t="s">
        <v>428</v>
      </c>
      <c r="NLZ111" s="180" t="str">
        <f>VLOOKUP(NLY111,[13]AssetDetails_UEM!$A$3:$AH$1849,6,FALSE)</f>
        <v>Electrosurgical Units, Monopolar/Bipolar</v>
      </c>
      <c r="NMA111" s="179" t="s">
        <v>428</v>
      </c>
      <c r="NMB111" s="180" t="str">
        <f>VLOOKUP(NMA111,[13]AssetDetails_UEM!$A$3:$AH$1849,6,FALSE)</f>
        <v>Electrosurgical Units, Monopolar/Bipolar</v>
      </c>
      <c r="NMC111" s="179" t="s">
        <v>428</v>
      </c>
      <c r="NMD111" s="180" t="str">
        <f>VLOOKUP(NMC111,[13]AssetDetails_UEM!$A$3:$AH$1849,6,FALSE)</f>
        <v>Electrosurgical Units, Monopolar/Bipolar</v>
      </c>
      <c r="NME111" s="179" t="s">
        <v>428</v>
      </c>
      <c r="NMF111" s="180" t="str">
        <f>VLOOKUP(NME111,[13]AssetDetails_UEM!$A$3:$AH$1849,6,FALSE)</f>
        <v>Electrosurgical Units, Monopolar/Bipolar</v>
      </c>
      <c r="NMG111" s="179" t="s">
        <v>428</v>
      </c>
      <c r="NMH111" s="180" t="str">
        <f>VLOOKUP(NMG111,[13]AssetDetails_UEM!$A$3:$AH$1849,6,FALSE)</f>
        <v>Electrosurgical Units, Monopolar/Bipolar</v>
      </c>
      <c r="NMI111" s="179" t="s">
        <v>428</v>
      </c>
      <c r="NMJ111" s="180" t="str">
        <f>VLOOKUP(NMI111,[13]AssetDetails_UEM!$A$3:$AH$1849,6,FALSE)</f>
        <v>Electrosurgical Units, Monopolar/Bipolar</v>
      </c>
      <c r="NMK111" s="179" t="s">
        <v>428</v>
      </c>
      <c r="NML111" s="180" t="str">
        <f>VLOOKUP(NMK111,[13]AssetDetails_UEM!$A$3:$AH$1849,6,FALSE)</f>
        <v>Electrosurgical Units, Monopolar/Bipolar</v>
      </c>
      <c r="NMM111" s="179" t="s">
        <v>428</v>
      </c>
      <c r="NMN111" s="180" t="str">
        <f>VLOOKUP(NMM111,[13]AssetDetails_UEM!$A$3:$AH$1849,6,FALSE)</f>
        <v>Electrosurgical Units, Monopolar/Bipolar</v>
      </c>
      <c r="NMO111" s="179" t="s">
        <v>428</v>
      </c>
      <c r="NMP111" s="180" t="str">
        <f>VLOOKUP(NMO111,[13]AssetDetails_UEM!$A$3:$AH$1849,6,FALSE)</f>
        <v>Electrosurgical Units, Monopolar/Bipolar</v>
      </c>
      <c r="NMQ111" s="179" t="s">
        <v>428</v>
      </c>
      <c r="NMR111" s="180" t="str">
        <f>VLOOKUP(NMQ111,[13]AssetDetails_UEM!$A$3:$AH$1849,6,FALSE)</f>
        <v>Electrosurgical Units, Monopolar/Bipolar</v>
      </c>
      <c r="NMS111" s="179" t="s">
        <v>428</v>
      </c>
      <c r="NMT111" s="180" t="str">
        <f>VLOOKUP(NMS111,[13]AssetDetails_UEM!$A$3:$AH$1849,6,FALSE)</f>
        <v>Electrosurgical Units, Monopolar/Bipolar</v>
      </c>
      <c r="NMU111" s="179" t="s">
        <v>428</v>
      </c>
      <c r="NMV111" s="180" t="str">
        <f>VLOOKUP(NMU111,[13]AssetDetails_UEM!$A$3:$AH$1849,6,FALSE)</f>
        <v>Electrosurgical Units, Monopolar/Bipolar</v>
      </c>
      <c r="NMW111" s="179" t="s">
        <v>428</v>
      </c>
      <c r="NMX111" s="180" t="str">
        <f>VLOOKUP(NMW111,[13]AssetDetails_UEM!$A$3:$AH$1849,6,FALSE)</f>
        <v>Electrosurgical Units, Monopolar/Bipolar</v>
      </c>
      <c r="NMY111" s="179" t="s">
        <v>428</v>
      </c>
      <c r="NMZ111" s="180" t="str">
        <f>VLOOKUP(NMY111,[13]AssetDetails_UEM!$A$3:$AH$1849,6,FALSE)</f>
        <v>Electrosurgical Units, Monopolar/Bipolar</v>
      </c>
      <c r="NNA111" s="179" t="s">
        <v>428</v>
      </c>
      <c r="NNB111" s="180" t="str">
        <f>VLOOKUP(NNA111,[13]AssetDetails_UEM!$A$3:$AH$1849,6,FALSE)</f>
        <v>Electrosurgical Units, Monopolar/Bipolar</v>
      </c>
      <c r="NNC111" s="179" t="s">
        <v>428</v>
      </c>
      <c r="NND111" s="180" t="str">
        <f>VLOOKUP(NNC111,[13]AssetDetails_UEM!$A$3:$AH$1849,6,FALSE)</f>
        <v>Electrosurgical Units, Monopolar/Bipolar</v>
      </c>
      <c r="NNE111" s="179" t="s">
        <v>428</v>
      </c>
      <c r="NNF111" s="180" t="str">
        <f>VLOOKUP(NNE111,[13]AssetDetails_UEM!$A$3:$AH$1849,6,FALSE)</f>
        <v>Electrosurgical Units, Monopolar/Bipolar</v>
      </c>
      <c r="NNG111" s="179" t="s">
        <v>428</v>
      </c>
      <c r="NNH111" s="180" t="str">
        <f>VLOOKUP(NNG111,[13]AssetDetails_UEM!$A$3:$AH$1849,6,FALSE)</f>
        <v>Electrosurgical Units, Monopolar/Bipolar</v>
      </c>
      <c r="NNI111" s="179" t="s">
        <v>428</v>
      </c>
      <c r="NNJ111" s="180" t="str">
        <f>VLOOKUP(NNI111,[13]AssetDetails_UEM!$A$3:$AH$1849,6,FALSE)</f>
        <v>Electrosurgical Units, Monopolar/Bipolar</v>
      </c>
      <c r="NNK111" s="179" t="s">
        <v>428</v>
      </c>
      <c r="NNL111" s="180" t="str">
        <f>VLOOKUP(NNK111,[13]AssetDetails_UEM!$A$3:$AH$1849,6,FALSE)</f>
        <v>Electrosurgical Units, Monopolar/Bipolar</v>
      </c>
      <c r="NNM111" s="179" t="s">
        <v>428</v>
      </c>
      <c r="NNN111" s="180" t="str">
        <f>VLOOKUP(NNM111,[13]AssetDetails_UEM!$A$3:$AH$1849,6,FALSE)</f>
        <v>Electrosurgical Units, Monopolar/Bipolar</v>
      </c>
      <c r="NNO111" s="179" t="s">
        <v>428</v>
      </c>
      <c r="NNP111" s="180" t="str">
        <f>VLOOKUP(NNO111,[13]AssetDetails_UEM!$A$3:$AH$1849,6,FALSE)</f>
        <v>Electrosurgical Units, Monopolar/Bipolar</v>
      </c>
      <c r="NNQ111" s="179" t="s">
        <v>428</v>
      </c>
      <c r="NNR111" s="180" t="str">
        <f>VLOOKUP(NNQ111,[13]AssetDetails_UEM!$A$3:$AH$1849,6,FALSE)</f>
        <v>Electrosurgical Units, Monopolar/Bipolar</v>
      </c>
      <c r="NNS111" s="179" t="s">
        <v>428</v>
      </c>
      <c r="NNT111" s="180" t="str">
        <f>VLOOKUP(NNS111,[13]AssetDetails_UEM!$A$3:$AH$1849,6,FALSE)</f>
        <v>Electrosurgical Units, Monopolar/Bipolar</v>
      </c>
      <c r="NNU111" s="179" t="s">
        <v>428</v>
      </c>
      <c r="NNV111" s="180" t="str">
        <f>VLOOKUP(NNU111,[13]AssetDetails_UEM!$A$3:$AH$1849,6,FALSE)</f>
        <v>Electrosurgical Units, Monopolar/Bipolar</v>
      </c>
      <c r="NNW111" s="179" t="s">
        <v>428</v>
      </c>
      <c r="NNX111" s="180" t="str">
        <f>VLOOKUP(NNW111,[13]AssetDetails_UEM!$A$3:$AH$1849,6,FALSE)</f>
        <v>Electrosurgical Units, Monopolar/Bipolar</v>
      </c>
      <c r="NNY111" s="179" t="s">
        <v>428</v>
      </c>
      <c r="NNZ111" s="180" t="str">
        <f>VLOOKUP(NNY111,[13]AssetDetails_UEM!$A$3:$AH$1849,6,FALSE)</f>
        <v>Electrosurgical Units, Monopolar/Bipolar</v>
      </c>
      <c r="NOA111" s="179" t="s">
        <v>428</v>
      </c>
      <c r="NOB111" s="180" t="str">
        <f>VLOOKUP(NOA111,[13]AssetDetails_UEM!$A$3:$AH$1849,6,FALSE)</f>
        <v>Electrosurgical Units, Monopolar/Bipolar</v>
      </c>
      <c r="NOC111" s="179" t="s">
        <v>428</v>
      </c>
      <c r="NOD111" s="180" t="str">
        <f>VLOOKUP(NOC111,[13]AssetDetails_UEM!$A$3:$AH$1849,6,FALSE)</f>
        <v>Electrosurgical Units, Monopolar/Bipolar</v>
      </c>
      <c r="NOE111" s="179" t="s">
        <v>428</v>
      </c>
      <c r="NOF111" s="180" t="str">
        <f>VLOOKUP(NOE111,[13]AssetDetails_UEM!$A$3:$AH$1849,6,FALSE)</f>
        <v>Electrosurgical Units, Monopolar/Bipolar</v>
      </c>
      <c r="NOG111" s="179" t="s">
        <v>428</v>
      </c>
      <c r="NOH111" s="180" t="str">
        <f>VLOOKUP(NOG111,[13]AssetDetails_UEM!$A$3:$AH$1849,6,FALSE)</f>
        <v>Electrosurgical Units, Monopolar/Bipolar</v>
      </c>
      <c r="NOI111" s="179" t="s">
        <v>428</v>
      </c>
      <c r="NOJ111" s="180" t="str">
        <f>VLOOKUP(NOI111,[13]AssetDetails_UEM!$A$3:$AH$1849,6,FALSE)</f>
        <v>Electrosurgical Units, Monopolar/Bipolar</v>
      </c>
      <c r="NOK111" s="179" t="s">
        <v>428</v>
      </c>
      <c r="NOL111" s="180" t="str">
        <f>VLOOKUP(NOK111,[13]AssetDetails_UEM!$A$3:$AH$1849,6,FALSE)</f>
        <v>Electrosurgical Units, Monopolar/Bipolar</v>
      </c>
      <c r="NOM111" s="179" t="s">
        <v>428</v>
      </c>
      <c r="NON111" s="180" t="str">
        <f>VLOOKUP(NOM111,[13]AssetDetails_UEM!$A$3:$AH$1849,6,FALSE)</f>
        <v>Electrosurgical Units, Monopolar/Bipolar</v>
      </c>
      <c r="NOO111" s="179" t="s">
        <v>428</v>
      </c>
      <c r="NOP111" s="180" t="str">
        <f>VLOOKUP(NOO111,[13]AssetDetails_UEM!$A$3:$AH$1849,6,FALSE)</f>
        <v>Electrosurgical Units, Monopolar/Bipolar</v>
      </c>
      <c r="NOQ111" s="179" t="s">
        <v>428</v>
      </c>
      <c r="NOR111" s="180" t="str">
        <f>VLOOKUP(NOQ111,[13]AssetDetails_UEM!$A$3:$AH$1849,6,FALSE)</f>
        <v>Electrosurgical Units, Monopolar/Bipolar</v>
      </c>
      <c r="NOS111" s="179" t="s">
        <v>428</v>
      </c>
      <c r="NOT111" s="180" t="str">
        <f>VLOOKUP(NOS111,[13]AssetDetails_UEM!$A$3:$AH$1849,6,FALSE)</f>
        <v>Electrosurgical Units, Monopolar/Bipolar</v>
      </c>
      <c r="NOU111" s="179" t="s">
        <v>428</v>
      </c>
      <c r="NOV111" s="180" t="str">
        <f>VLOOKUP(NOU111,[13]AssetDetails_UEM!$A$3:$AH$1849,6,FALSE)</f>
        <v>Electrosurgical Units, Monopolar/Bipolar</v>
      </c>
      <c r="NOW111" s="179" t="s">
        <v>428</v>
      </c>
      <c r="NOX111" s="180" t="str">
        <f>VLOOKUP(NOW111,[13]AssetDetails_UEM!$A$3:$AH$1849,6,FALSE)</f>
        <v>Electrosurgical Units, Monopolar/Bipolar</v>
      </c>
      <c r="NOY111" s="179" t="s">
        <v>428</v>
      </c>
      <c r="NOZ111" s="180" t="str">
        <f>VLOOKUP(NOY111,[13]AssetDetails_UEM!$A$3:$AH$1849,6,FALSE)</f>
        <v>Electrosurgical Units, Monopolar/Bipolar</v>
      </c>
      <c r="NPA111" s="179" t="s">
        <v>428</v>
      </c>
      <c r="NPB111" s="180" t="str">
        <f>VLOOKUP(NPA111,[13]AssetDetails_UEM!$A$3:$AH$1849,6,FALSE)</f>
        <v>Electrosurgical Units, Monopolar/Bipolar</v>
      </c>
      <c r="NPC111" s="179" t="s">
        <v>428</v>
      </c>
      <c r="NPD111" s="180" t="str">
        <f>VLOOKUP(NPC111,[13]AssetDetails_UEM!$A$3:$AH$1849,6,FALSE)</f>
        <v>Electrosurgical Units, Monopolar/Bipolar</v>
      </c>
      <c r="NPE111" s="179" t="s">
        <v>428</v>
      </c>
      <c r="NPF111" s="180" t="str">
        <f>VLOOKUP(NPE111,[13]AssetDetails_UEM!$A$3:$AH$1849,6,FALSE)</f>
        <v>Electrosurgical Units, Monopolar/Bipolar</v>
      </c>
      <c r="NPG111" s="179" t="s">
        <v>428</v>
      </c>
      <c r="NPH111" s="180" t="str">
        <f>VLOOKUP(NPG111,[13]AssetDetails_UEM!$A$3:$AH$1849,6,FALSE)</f>
        <v>Electrosurgical Units, Monopolar/Bipolar</v>
      </c>
      <c r="NPI111" s="179" t="s">
        <v>428</v>
      </c>
      <c r="NPJ111" s="180" t="str">
        <f>VLOOKUP(NPI111,[13]AssetDetails_UEM!$A$3:$AH$1849,6,FALSE)</f>
        <v>Electrosurgical Units, Monopolar/Bipolar</v>
      </c>
      <c r="NPK111" s="179" t="s">
        <v>428</v>
      </c>
      <c r="NPL111" s="180" t="str">
        <f>VLOOKUP(NPK111,[13]AssetDetails_UEM!$A$3:$AH$1849,6,FALSE)</f>
        <v>Electrosurgical Units, Monopolar/Bipolar</v>
      </c>
      <c r="NPM111" s="179" t="s">
        <v>428</v>
      </c>
      <c r="NPN111" s="180" t="str">
        <f>VLOOKUP(NPM111,[13]AssetDetails_UEM!$A$3:$AH$1849,6,FALSE)</f>
        <v>Electrosurgical Units, Monopolar/Bipolar</v>
      </c>
      <c r="NPO111" s="179" t="s">
        <v>428</v>
      </c>
      <c r="NPP111" s="180" t="str">
        <f>VLOOKUP(NPO111,[13]AssetDetails_UEM!$A$3:$AH$1849,6,FALSE)</f>
        <v>Electrosurgical Units, Monopolar/Bipolar</v>
      </c>
      <c r="NPQ111" s="179" t="s">
        <v>428</v>
      </c>
      <c r="NPR111" s="180" t="str">
        <f>VLOOKUP(NPQ111,[13]AssetDetails_UEM!$A$3:$AH$1849,6,FALSE)</f>
        <v>Electrosurgical Units, Monopolar/Bipolar</v>
      </c>
      <c r="NPS111" s="179" t="s">
        <v>428</v>
      </c>
      <c r="NPT111" s="180" t="str">
        <f>VLOOKUP(NPS111,[13]AssetDetails_UEM!$A$3:$AH$1849,6,FALSE)</f>
        <v>Electrosurgical Units, Monopolar/Bipolar</v>
      </c>
      <c r="NPU111" s="179" t="s">
        <v>428</v>
      </c>
      <c r="NPV111" s="180" t="str">
        <f>VLOOKUP(NPU111,[13]AssetDetails_UEM!$A$3:$AH$1849,6,FALSE)</f>
        <v>Electrosurgical Units, Monopolar/Bipolar</v>
      </c>
      <c r="NPW111" s="179" t="s">
        <v>428</v>
      </c>
      <c r="NPX111" s="180" t="str">
        <f>VLOOKUP(NPW111,[13]AssetDetails_UEM!$A$3:$AH$1849,6,FALSE)</f>
        <v>Electrosurgical Units, Monopolar/Bipolar</v>
      </c>
      <c r="NPY111" s="179" t="s">
        <v>428</v>
      </c>
      <c r="NPZ111" s="180" t="str">
        <f>VLOOKUP(NPY111,[13]AssetDetails_UEM!$A$3:$AH$1849,6,FALSE)</f>
        <v>Electrosurgical Units, Monopolar/Bipolar</v>
      </c>
      <c r="NQA111" s="179" t="s">
        <v>428</v>
      </c>
      <c r="NQB111" s="180" t="str">
        <f>VLOOKUP(NQA111,[13]AssetDetails_UEM!$A$3:$AH$1849,6,FALSE)</f>
        <v>Electrosurgical Units, Monopolar/Bipolar</v>
      </c>
      <c r="NQC111" s="179" t="s">
        <v>428</v>
      </c>
      <c r="NQD111" s="180" t="str">
        <f>VLOOKUP(NQC111,[13]AssetDetails_UEM!$A$3:$AH$1849,6,FALSE)</f>
        <v>Electrosurgical Units, Monopolar/Bipolar</v>
      </c>
      <c r="NQE111" s="179" t="s">
        <v>428</v>
      </c>
      <c r="NQF111" s="180" t="str">
        <f>VLOOKUP(NQE111,[13]AssetDetails_UEM!$A$3:$AH$1849,6,FALSE)</f>
        <v>Electrosurgical Units, Monopolar/Bipolar</v>
      </c>
      <c r="NQG111" s="179" t="s">
        <v>428</v>
      </c>
      <c r="NQH111" s="180" t="str">
        <f>VLOOKUP(NQG111,[13]AssetDetails_UEM!$A$3:$AH$1849,6,FALSE)</f>
        <v>Electrosurgical Units, Monopolar/Bipolar</v>
      </c>
      <c r="NQI111" s="179" t="s">
        <v>428</v>
      </c>
      <c r="NQJ111" s="180" t="str">
        <f>VLOOKUP(NQI111,[13]AssetDetails_UEM!$A$3:$AH$1849,6,FALSE)</f>
        <v>Electrosurgical Units, Monopolar/Bipolar</v>
      </c>
      <c r="NQK111" s="179" t="s">
        <v>428</v>
      </c>
      <c r="NQL111" s="180" t="str">
        <f>VLOOKUP(NQK111,[13]AssetDetails_UEM!$A$3:$AH$1849,6,FALSE)</f>
        <v>Electrosurgical Units, Monopolar/Bipolar</v>
      </c>
      <c r="NQM111" s="179" t="s">
        <v>428</v>
      </c>
      <c r="NQN111" s="180" t="str">
        <f>VLOOKUP(NQM111,[13]AssetDetails_UEM!$A$3:$AH$1849,6,FALSE)</f>
        <v>Electrosurgical Units, Monopolar/Bipolar</v>
      </c>
      <c r="NQO111" s="179" t="s">
        <v>428</v>
      </c>
      <c r="NQP111" s="180" t="str">
        <f>VLOOKUP(NQO111,[13]AssetDetails_UEM!$A$3:$AH$1849,6,FALSE)</f>
        <v>Electrosurgical Units, Monopolar/Bipolar</v>
      </c>
      <c r="NQQ111" s="179" t="s">
        <v>428</v>
      </c>
      <c r="NQR111" s="180" t="str">
        <f>VLOOKUP(NQQ111,[13]AssetDetails_UEM!$A$3:$AH$1849,6,FALSE)</f>
        <v>Electrosurgical Units, Monopolar/Bipolar</v>
      </c>
      <c r="NQS111" s="179" t="s">
        <v>428</v>
      </c>
      <c r="NQT111" s="180" t="str">
        <f>VLOOKUP(NQS111,[13]AssetDetails_UEM!$A$3:$AH$1849,6,FALSE)</f>
        <v>Electrosurgical Units, Monopolar/Bipolar</v>
      </c>
      <c r="NQU111" s="179" t="s">
        <v>428</v>
      </c>
      <c r="NQV111" s="180" t="str">
        <f>VLOOKUP(NQU111,[13]AssetDetails_UEM!$A$3:$AH$1849,6,FALSE)</f>
        <v>Electrosurgical Units, Monopolar/Bipolar</v>
      </c>
      <c r="NQW111" s="179" t="s">
        <v>428</v>
      </c>
      <c r="NQX111" s="180" t="str">
        <f>VLOOKUP(NQW111,[13]AssetDetails_UEM!$A$3:$AH$1849,6,FALSE)</f>
        <v>Electrosurgical Units, Monopolar/Bipolar</v>
      </c>
      <c r="NQY111" s="179" t="s">
        <v>428</v>
      </c>
      <c r="NQZ111" s="180" t="str">
        <f>VLOOKUP(NQY111,[13]AssetDetails_UEM!$A$3:$AH$1849,6,FALSE)</f>
        <v>Electrosurgical Units, Monopolar/Bipolar</v>
      </c>
      <c r="NRA111" s="179" t="s">
        <v>428</v>
      </c>
      <c r="NRB111" s="180" t="str">
        <f>VLOOKUP(NRA111,[13]AssetDetails_UEM!$A$3:$AH$1849,6,FALSE)</f>
        <v>Electrosurgical Units, Monopolar/Bipolar</v>
      </c>
      <c r="NRC111" s="179" t="s">
        <v>428</v>
      </c>
      <c r="NRD111" s="180" t="str">
        <f>VLOOKUP(NRC111,[13]AssetDetails_UEM!$A$3:$AH$1849,6,FALSE)</f>
        <v>Electrosurgical Units, Monopolar/Bipolar</v>
      </c>
      <c r="NRE111" s="179" t="s">
        <v>428</v>
      </c>
      <c r="NRF111" s="180" t="str">
        <f>VLOOKUP(NRE111,[13]AssetDetails_UEM!$A$3:$AH$1849,6,FALSE)</f>
        <v>Electrosurgical Units, Monopolar/Bipolar</v>
      </c>
      <c r="NRG111" s="179" t="s">
        <v>428</v>
      </c>
      <c r="NRH111" s="180" t="str">
        <f>VLOOKUP(NRG111,[13]AssetDetails_UEM!$A$3:$AH$1849,6,FALSE)</f>
        <v>Electrosurgical Units, Monopolar/Bipolar</v>
      </c>
      <c r="NRI111" s="179" t="s">
        <v>428</v>
      </c>
      <c r="NRJ111" s="180" t="str">
        <f>VLOOKUP(NRI111,[13]AssetDetails_UEM!$A$3:$AH$1849,6,FALSE)</f>
        <v>Electrosurgical Units, Monopolar/Bipolar</v>
      </c>
      <c r="NRK111" s="179" t="s">
        <v>428</v>
      </c>
      <c r="NRL111" s="180" t="str">
        <f>VLOOKUP(NRK111,[13]AssetDetails_UEM!$A$3:$AH$1849,6,FALSE)</f>
        <v>Electrosurgical Units, Monopolar/Bipolar</v>
      </c>
      <c r="NRM111" s="179" t="s">
        <v>428</v>
      </c>
      <c r="NRN111" s="180" t="str">
        <f>VLOOKUP(NRM111,[13]AssetDetails_UEM!$A$3:$AH$1849,6,FALSE)</f>
        <v>Electrosurgical Units, Monopolar/Bipolar</v>
      </c>
      <c r="NRO111" s="179" t="s">
        <v>428</v>
      </c>
      <c r="NRP111" s="180" t="str">
        <f>VLOOKUP(NRO111,[13]AssetDetails_UEM!$A$3:$AH$1849,6,FALSE)</f>
        <v>Electrosurgical Units, Monopolar/Bipolar</v>
      </c>
      <c r="NRQ111" s="179" t="s">
        <v>428</v>
      </c>
      <c r="NRR111" s="180" t="str">
        <f>VLOOKUP(NRQ111,[13]AssetDetails_UEM!$A$3:$AH$1849,6,FALSE)</f>
        <v>Electrosurgical Units, Monopolar/Bipolar</v>
      </c>
      <c r="NRS111" s="179" t="s">
        <v>428</v>
      </c>
      <c r="NRT111" s="180" t="str">
        <f>VLOOKUP(NRS111,[13]AssetDetails_UEM!$A$3:$AH$1849,6,FALSE)</f>
        <v>Electrosurgical Units, Monopolar/Bipolar</v>
      </c>
      <c r="NRU111" s="179" t="s">
        <v>428</v>
      </c>
      <c r="NRV111" s="180" t="str">
        <f>VLOOKUP(NRU111,[13]AssetDetails_UEM!$A$3:$AH$1849,6,FALSE)</f>
        <v>Electrosurgical Units, Monopolar/Bipolar</v>
      </c>
      <c r="NRW111" s="179" t="s">
        <v>428</v>
      </c>
      <c r="NRX111" s="180" t="str">
        <f>VLOOKUP(NRW111,[13]AssetDetails_UEM!$A$3:$AH$1849,6,FALSE)</f>
        <v>Electrosurgical Units, Monopolar/Bipolar</v>
      </c>
      <c r="NRY111" s="179" t="s">
        <v>428</v>
      </c>
      <c r="NRZ111" s="180" t="str">
        <f>VLOOKUP(NRY111,[13]AssetDetails_UEM!$A$3:$AH$1849,6,FALSE)</f>
        <v>Electrosurgical Units, Monopolar/Bipolar</v>
      </c>
      <c r="NSA111" s="179" t="s">
        <v>428</v>
      </c>
      <c r="NSB111" s="180" t="str">
        <f>VLOOKUP(NSA111,[13]AssetDetails_UEM!$A$3:$AH$1849,6,FALSE)</f>
        <v>Electrosurgical Units, Monopolar/Bipolar</v>
      </c>
      <c r="NSC111" s="179" t="s">
        <v>428</v>
      </c>
      <c r="NSD111" s="180" t="str">
        <f>VLOOKUP(NSC111,[13]AssetDetails_UEM!$A$3:$AH$1849,6,FALSE)</f>
        <v>Electrosurgical Units, Monopolar/Bipolar</v>
      </c>
      <c r="NSE111" s="179" t="s">
        <v>428</v>
      </c>
      <c r="NSF111" s="180" t="str">
        <f>VLOOKUP(NSE111,[13]AssetDetails_UEM!$A$3:$AH$1849,6,FALSE)</f>
        <v>Electrosurgical Units, Monopolar/Bipolar</v>
      </c>
      <c r="NSG111" s="179" t="s">
        <v>428</v>
      </c>
      <c r="NSH111" s="180" t="str">
        <f>VLOOKUP(NSG111,[13]AssetDetails_UEM!$A$3:$AH$1849,6,FALSE)</f>
        <v>Electrosurgical Units, Monopolar/Bipolar</v>
      </c>
      <c r="NSI111" s="179" t="s">
        <v>428</v>
      </c>
      <c r="NSJ111" s="180" t="str">
        <f>VLOOKUP(NSI111,[13]AssetDetails_UEM!$A$3:$AH$1849,6,FALSE)</f>
        <v>Electrosurgical Units, Monopolar/Bipolar</v>
      </c>
      <c r="NSK111" s="179" t="s">
        <v>428</v>
      </c>
      <c r="NSL111" s="180" t="str">
        <f>VLOOKUP(NSK111,[13]AssetDetails_UEM!$A$3:$AH$1849,6,FALSE)</f>
        <v>Electrosurgical Units, Monopolar/Bipolar</v>
      </c>
      <c r="NSM111" s="179" t="s">
        <v>428</v>
      </c>
      <c r="NSN111" s="180" t="str">
        <f>VLOOKUP(NSM111,[13]AssetDetails_UEM!$A$3:$AH$1849,6,FALSE)</f>
        <v>Electrosurgical Units, Monopolar/Bipolar</v>
      </c>
      <c r="NSO111" s="179" t="s">
        <v>428</v>
      </c>
      <c r="NSP111" s="180" t="str">
        <f>VLOOKUP(NSO111,[13]AssetDetails_UEM!$A$3:$AH$1849,6,FALSE)</f>
        <v>Electrosurgical Units, Monopolar/Bipolar</v>
      </c>
      <c r="NSQ111" s="179" t="s">
        <v>428</v>
      </c>
      <c r="NSR111" s="180" t="str">
        <f>VLOOKUP(NSQ111,[13]AssetDetails_UEM!$A$3:$AH$1849,6,FALSE)</f>
        <v>Electrosurgical Units, Monopolar/Bipolar</v>
      </c>
      <c r="NSS111" s="179" t="s">
        <v>428</v>
      </c>
      <c r="NST111" s="180" t="str">
        <f>VLOOKUP(NSS111,[13]AssetDetails_UEM!$A$3:$AH$1849,6,FALSE)</f>
        <v>Electrosurgical Units, Monopolar/Bipolar</v>
      </c>
      <c r="NSU111" s="179" t="s">
        <v>428</v>
      </c>
      <c r="NSV111" s="180" t="str">
        <f>VLOOKUP(NSU111,[13]AssetDetails_UEM!$A$3:$AH$1849,6,FALSE)</f>
        <v>Electrosurgical Units, Monopolar/Bipolar</v>
      </c>
      <c r="NSW111" s="179" t="s">
        <v>428</v>
      </c>
      <c r="NSX111" s="180" t="str">
        <f>VLOOKUP(NSW111,[13]AssetDetails_UEM!$A$3:$AH$1849,6,FALSE)</f>
        <v>Electrosurgical Units, Monopolar/Bipolar</v>
      </c>
      <c r="NSY111" s="179" t="s">
        <v>428</v>
      </c>
      <c r="NSZ111" s="180" t="str">
        <f>VLOOKUP(NSY111,[13]AssetDetails_UEM!$A$3:$AH$1849,6,FALSE)</f>
        <v>Electrosurgical Units, Monopolar/Bipolar</v>
      </c>
      <c r="NTA111" s="179" t="s">
        <v>428</v>
      </c>
      <c r="NTB111" s="180" t="str">
        <f>VLOOKUP(NTA111,[13]AssetDetails_UEM!$A$3:$AH$1849,6,FALSE)</f>
        <v>Electrosurgical Units, Monopolar/Bipolar</v>
      </c>
      <c r="NTC111" s="179" t="s">
        <v>428</v>
      </c>
      <c r="NTD111" s="180" t="str">
        <f>VLOOKUP(NTC111,[13]AssetDetails_UEM!$A$3:$AH$1849,6,FALSE)</f>
        <v>Electrosurgical Units, Monopolar/Bipolar</v>
      </c>
      <c r="NTE111" s="179" t="s">
        <v>428</v>
      </c>
      <c r="NTF111" s="180" t="str">
        <f>VLOOKUP(NTE111,[13]AssetDetails_UEM!$A$3:$AH$1849,6,FALSE)</f>
        <v>Electrosurgical Units, Monopolar/Bipolar</v>
      </c>
      <c r="NTG111" s="179" t="s">
        <v>428</v>
      </c>
      <c r="NTH111" s="180" t="str">
        <f>VLOOKUP(NTG111,[13]AssetDetails_UEM!$A$3:$AH$1849,6,FALSE)</f>
        <v>Electrosurgical Units, Monopolar/Bipolar</v>
      </c>
      <c r="NTI111" s="179" t="s">
        <v>428</v>
      </c>
      <c r="NTJ111" s="180" t="str">
        <f>VLOOKUP(NTI111,[13]AssetDetails_UEM!$A$3:$AH$1849,6,FALSE)</f>
        <v>Electrosurgical Units, Monopolar/Bipolar</v>
      </c>
      <c r="NTK111" s="179" t="s">
        <v>428</v>
      </c>
      <c r="NTL111" s="180" t="str">
        <f>VLOOKUP(NTK111,[13]AssetDetails_UEM!$A$3:$AH$1849,6,FALSE)</f>
        <v>Electrosurgical Units, Monopolar/Bipolar</v>
      </c>
      <c r="NTM111" s="179" t="s">
        <v>428</v>
      </c>
      <c r="NTN111" s="180" t="str">
        <f>VLOOKUP(NTM111,[13]AssetDetails_UEM!$A$3:$AH$1849,6,FALSE)</f>
        <v>Electrosurgical Units, Monopolar/Bipolar</v>
      </c>
      <c r="NTO111" s="179" t="s">
        <v>428</v>
      </c>
      <c r="NTP111" s="180" t="str">
        <f>VLOOKUP(NTO111,[13]AssetDetails_UEM!$A$3:$AH$1849,6,FALSE)</f>
        <v>Electrosurgical Units, Monopolar/Bipolar</v>
      </c>
      <c r="NTQ111" s="179" t="s">
        <v>428</v>
      </c>
      <c r="NTR111" s="180" t="str">
        <f>VLOOKUP(NTQ111,[13]AssetDetails_UEM!$A$3:$AH$1849,6,FALSE)</f>
        <v>Electrosurgical Units, Monopolar/Bipolar</v>
      </c>
      <c r="NTS111" s="179" t="s">
        <v>428</v>
      </c>
      <c r="NTT111" s="180" t="str">
        <f>VLOOKUP(NTS111,[13]AssetDetails_UEM!$A$3:$AH$1849,6,FALSE)</f>
        <v>Electrosurgical Units, Monopolar/Bipolar</v>
      </c>
      <c r="NTU111" s="179" t="s">
        <v>428</v>
      </c>
      <c r="NTV111" s="180" t="str">
        <f>VLOOKUP(NTU111,[13]AssetDetails_UEM!$A$3:$AH$1849,6,FALSE)</f>
        <v>Electrosurgical Units, Monopolar/Bipolar</v>
      </c>
      <c r="NTW111" s="179" t="s">
        <v>428</v>
      </c>
      <c r="NTX111" s="180" t="str">
        <f>VLOOKUP(NTW111,[13]AssetDetails_UEM!$A$3:$AH$1849,6,FALSE)</f>
        <v>Electrosurgical Units, Monopolar/Bipolar</v>
      </c>
      <c r="NTY111" s="179" t="s">
        <v>428</v>
      </c>
      <c r="NTZ111" s="180" t="str">
        <f>VLOOKUP(NTY111,[13]AssetDetails_UEM!$A$3:$AH$1849,6,FALSE)</f>
        <v>Electrosurgical Units, Monopolar/Bipolar</v>
      </c>
      <c r="NUA111" s="179" t="s">
        <v>428</v>
      </c>
      <c r="NUB111" s="180" t="str">
        <f>VLOOKUP(NUA111,[13]AssetDetails_UEM!$A$3:$AH$1849,6,FALSE)</f>
        <v>Electrosurgical Units, Monopolar/Bipolar</v>
      </c>
      <c r="NUC111" s="179" t="s">
        <v>428</v>
      </c>
      <c r="NUD111" s="180" t="str">
        <f>VLOOKUP(NUC111,[13]AssetDetails_UEM!$A$3:$AH$1849,6,FALSE)</f>
        <v>Electrosurgical Units, Monopolar/Bipolar</v>
      </c>
      <c r="NUE111" s="179" t="s">
        <v>428</v>
      </c>
      <c r="NUF111" s="180" t="str">
        <f>VLOOKUP(NUE111,[13]AssetDetails_UEM!$A$3:$AH$1849,6,FALSE)</f>
        <v>Electrosurgical Units, Monopolar/Bipolar</v>
      </c>
      <c r="NUG111" s="179" t="s">
        <v>428</v>
      </c>
      <c r="NUH111" s="180" t="str">
        <f>VLOOKUP(NUG111,[13]AssetDetails_UEM!$A$3:$AH$1849,6,FALSE)</f>
        <v>Electrosurgical Units, Monopolar/Bipolar</v>
      </c>
      <c r="NUI111" s="179" t="s">
        <v>428</v>
      </c>
      <c r="NUJ111" s="180" t="str">
        <f>VLOOKUP(NUI111,[13]AssetDetails_UEM!$A$3:$AH$1849,6,FALSE)</f>
        <v>Electrosurgical Units, Monopolar/Bipolar</v>
      </c>
      <c r="NUK111" s="179" t="s">
        <v>428</v>
      </c>
      <c r="NUL111" s="180" t="str">
        <f>VLOOKUP(NUK111,[13]AssetDetails_UEM!$A$3:$AH$1849,6,FALSE)</f>
        <v>Electrosurgical Units, Monopolar/Bipolar</v>
      </c>
      <c r="NUM111" s="179" t="s">
        <v>428</v>
      </c>
      <c r="NUN111" s="180" t="str">
        <f>VLOOKUP(NUM111,[13]AssetDetails_UEM!$A$3:$AH$1849,6,FALSE)</f>
        <v>Electrosurgical Units, Monopolar/Bipolar</v>
      </c>
      <c r="NUO111" s="179" t="s">
        <v>428</v>
      </c>
      <c r="NUP111" s="180" t="str">
        <f>VLOOKUP(NUO111,[13]AssetDetails_UEM!$A$3:$AH$1849,6,FALSE)</f>
        <v>Electrosurgical Units, Monopolar/Bipolar</v>
      </c>
      <c r="NUQ111" s="179" t="s">
        <v>428</v>
      </c>
      <c r="NUR111" s="180" t="str">
        <f>VLOOKUP(NUQ111,[13]AssetDetails_UEM!$A$3:$AH$1849,6,FALSE)</f>
        <v>Electrosurgical Units, Monopolar/Bipolar</v>
      </c>
      <c r="NUS111" s="179" t="s">
        <v>428</v>
      </c>
      <c r="NUT111" s="180" t="str">
        <f>VLOOKUP(NUS111,[13]AssetDetails_UEM!$A$3:$AH$1849,6,FALSE)</f>
        <v>Electrosurgical Units, Monopolar/Bipolar</v>
      </c>
      <c r="NUU111" s="179" t="s">
        <v>428</v>
      </c>
      <c r="NUV111" s="180" t="str">
        <f>VLOOKUP(NUU111,[13]AssetDetails_UEM!$A$3:$AH$1849,6,FALSE)</f>
        <v>Electrosurgical Units, Monopolar/Bipolar</v>
      </c>
      <c r="NUW111" s="179" t="s">
        <v>428</v>
      </c>
      <c r="NUX111" s="180" t="str">
        <f>VLOOKUP(NUW111,[13]AssetDetails_UEM!$A$3:$AH$1849,6,FALSE)</f>
        <v>Electrosurgical Units, Monopolar/Bipolar</v>
      </c>
      <c r="NUY111" s="179" t="s">
        <v>428</v>
      </c>
      <c r="NUZ111" s="180" t="str">
        <f>VLOOKUP(NUY111,[13]AssetDetails_UEM!$A$3:$AH$1849,6,FALSE)</f>
        <v>Electrosurgical Units, Monopolar/Bipolar</v>
      </c>
      <c r="NVA111" s="179" t="s">
        <v>428</v>
      </c>
      <c r="NVB111" s="180" t="str">
        <f>VLOOKUP(NVA111,[13]AssetDetails_UEM!$A$3:$AH$1849,6,FALSE)</f>
        <v>Electrosurgical Units, Monopolar/Bipolar</v>
      </c>
      <c r="NVC111" s="179" t="s">
        <v>428</v>
      </c>
      <c r="NVD111" s="180" t="str">
        <f>VLOOKUP(NVC111,[13]AssetDetails_UEM!$A$3:$AH$1849,6,FALSE)</f>
        <v>Electrosurgical Units, Monopolar/Bipolar</v>
      </c>
      <c r="NVE111" s="179" t="s">
        <v>428</v>
      </c>
      <c r="NVF111" s="180" t="str">
        <f>VLOOKUP(NVE111,[13]AssetDetails_UEM!$A$3:$AH$1849,6,FALSE)</f>
        <v>Electrosurgical Units, Monopolar/Bipolar</v>
      </c>
      <c r="NVG111" s="179" t="s">
        <v>428</v>
      </c>
      <c r="NVH111" s="180" t="str">
        <f>VLOOKUP(NVG111,[13]AssetDetails_UEM!$A$3:$AH$1849,6,FALSE)</f>
        <v>Electrosurgical Units, Monopolar/Bipolar</v>
      </c>
      <c r="NVI111" s="179" t="s">
        <v>428</v>
      </c>
      <c r="NVJ111" s="180" t="str">
        <f>VLOOKUP(NVI111,[13]AssetDetails_UEM!$A$3:$AH$1849,6,FALSE)</f>
        <v>Electrosurgical Units, Monopolar/Bipolar</v>
      </c>
      <c r="NVK111" s="179" t="s">
        <v>428</v>
      </c>
      <c r="NVL111" s="180" t="str">
        <f>VLOOKUP(NVK111,[13]AssetDetails_UEM!$A$3:$AH$1849,6,FALSE)</f>
        <v>Electrosurgical Units, Monopolar/Bipolar</v>
      </c>
      <c r="NVM111" s="179" t="s">
        <v>428</v>
      </c>
      <c r="NVN111" s="180" t="str">
        <f>VLOOKUP(NVM111,[13]AssetDetails_UEM!$A$3:$AH$1849,6,FALSE)</f>
        <v>Electrosurgical Units, Monopolar/Bipolar</v>
      </c>
      <c r="NVO111" s="179" t="s">
        <v>428</v>
      </c>
      <c r="NVP111" s="180" t="str">
        <f>VLOOKUP(NVO111,[13]AssetDetails_UEM!$A$3:$AH$1849,6,FALSE)</f>
        <v>Electrosurgical Units, Monopolar/Bipolar</v>
      </c>
      <c r="NVQ111" s="179" t="s">
        <v>428</v>
      </c>
      <c r="NVR111" s="180" t="str">
        <f>VLOOKUP(NVQ111,[13]AssetDetails_UEM!$A$3:$AH$1849,6,FALSE)</f>
        <v>Electrosurgical Units, Monopolar/Bipolar</v>
      </c>
      <c r="NVS111" s="179" t="s">
        <v>428</v>
      </c>
      <c r="NVT111" s="180" t="str">
        <f>VLOOKUP(NVS111,[13]AssetDetails_UEM!$A$3:$AH$1849,6,FALSE)</f>
        <v>Electrosurgical Units, Monopolar/Bipolar</v>
      </c>
      <c r="NVU111" s="179" t="s">
        <v>428</v>
      </c>
      <c r="NVV111" s="180" t="str">
        <f>VLOOKUP(NVU111,[13]AssetDetails_UEM!$A$3:$AH$1849,6,FALSE)</f>
        <v>Electrosurgical Units, Monopolar/Bipolar</v>
      </c>
      <c r="NVW111" s="179" t="s">
        <v>428</v>
      </c>
      <c r="NVX111" s="180" t="str">
        <f>VLOOKUP(NVW111,[13]AssetDetails_UEM!$A$3:$AH$1849,6,FALSE)</f>
        <v>Electrosurgical Units, Monopolar/Bipolar</v>
      </c>
      <c r="NVY111" s="179" t="s">
        <v>428</v>
      </c>
      <c r="NVZ111" s="180" t="str">
        <f>VLOOKUP(NVY111,[13]AssetDetails_UEM!$A$3:$AH$1849,6,FALSE)</f>
        <v>Electrosurgical Units, Monopolar/Bipolar</v>
      </c>
      <c r="NWA111" s="179" t="s">
        <v>428</v>
      </c>
      <c r="NWB111" s="180" t="str">
        <f>VLOOKUP(NWA111,[13]AssetDetails_UEM!$A$3:$AH$1849,6,FALSE)</f>
        <v>Electrosurgical Units, Monopolar/Bipolar</v>
      </c>
      <c r="NWC111" s="179" t="s">
        <v>428</v>
      </c>
      <c r="NWD111" s="180" t="str">
        <f>VLOOKUP(NWC111,[13]AssetDetails_UEM!$A$3:$AH$1849,6,FALSE)</f>
        <v>Electrosurgical Units, Monopolar/Bipolar</v>
      </c>
      <c r="NWE111" s="179" t="s">
        <v>428</v>
      </c>
      <c r="NWF111" s="180" t="str">
        <f>VLOOKUP(NWE111,[13]AssetDetails_UEM!$A$3:$AH$1849,6,FALSE)</f>
        <v>Electrosurgical Units, Monopolar/Bipolar</v>
      </c>
      <c r="NWG111" s="179" t="s">
        <v>428</v>
      </c>
      <c r="NWH111" s="180" t="str">
        <f>VLOOKUP(NWG111,[13]AssetDetails_UEM!$A$3:$AH$1849,6,FALSE)</f>
        <v>Electrosurgical Units, Monopolar/Bipolar</v>
      </c>
      <c r="NWI111" s="179" t="s">
        <v>428</v>
      </c>
      <c r="NWJ111" s="180" t="str">
        <f>VLOOKUP(NWI111,[13]AssetDetails_UEM!$A$3:$AH$1849,6,FALSE)</f>
        <v>Electrosurgical Units, Monopolar/Bipolar</v>
      </c>
      <c r="NWK111" s="179" t="s">
        <v>428</v>
      </c>
      <c r="NWL111" s="180" t="str">
        <f>VLOOKUP(NWK111,[13]AssetDetails_UEM!$A$3:$AH$1849,6,FALSE)</f>
        <v>Electrosurgical Units, Monopolar/Bipolar</v>
      </c>
      <c r="NWM111" s="179" t="s">
        <v>428</v>
      </c>
      <c r="NWN111" s="180" t="str">
        <f>VLOOKUP(NWM111,[13]AssetDetails_UEM!$A$3:$AH$1849,6,FALSE)</f>
        <v>Electrosurgical Units, Monopolar/Bipolar</v>
      </c>
      <c r="NWO111" s="179" t="s">
        <v>428</v>
      </c>
      <c r="NWP111" s="180" t="str">
        <f>VLOOKUP(NWO111,[13]AssetDetails_UEM!$A$3:$AH$1849,6,FALSE)</f>
        <v>Electrosurgical Units, Monopolar/Bipolar</v>
      </c>
      <c r="NWQ111" s="179" t="s">
        <v>428</v>
      </c>
      <c r="NWR111" s="180" t="str">
        <f>VLOOKUP(NWQ111,[13]AssetDetails_UEM!$A$3:$AH$1849,6,FALSE)</f>
        <v>Electrosurgical Units, Monopolar/Bipolar</v>
      </c>
      <c r="NWS111" s="179" t="s">
        <v>428</v>
      </c>
      <c r="NWT111" s="180" t="str">
        <f>VLOOKUP(NWS111,[13]AssetDetails_UEM!$A$3:$AH$1849,6,FALSE)</f>
        <v>Electrosurgical Units, Monopolar/Bipolar</v>
      </c>
      <c r="NWU111" s="179" t="s">
        <v>428</v>
      </c>
      <c r="NWV111" s="180" t="str">
        <f>VLOOKUP(NWU111,[13]AssetDetails_UEM!$A$3:$AH$1849,6,FALSE)</f>
        <v>Electrosurgical Units, Monopolar/Bipolar</v>
      </c>
      <c r="NWW111" s="179" t="s">
        <v>428</v>
      </c>
      <c r="NWX111" s="180" t="str">
        <f>VLOOKUP(NWW111,[13]AssetDetails_UEM!$A$3:$AH$1849,6,FALSE)</f>
        <v>Electrosurgical Units, Monopolar/Bipolar</v>
      </c>
      <c r="NWY111" s="179" t="s">
        <v>428</v>
      </c>
      <c r="NWZ111" s="180" t="str">
        <f>VLOOKUP(NWY111,[13]AssetDetails_UEM!$A$3:$AH$1849,6,FALSE)</f>
        <v>Electrosurgical Units, Monopolar/Bipolar</v>
      </c>
      <c r="NXA111" s="179" t="s">
        <v>428</v>
      </c>
      <c r="NXB111" s="180" t="str">
        <f>VLOOKUP(NXA111,[13]AssetDetails_UEM!$A$3:$AH$1849,6,FALSE)</f>
        <v>Electrosurgical Units, Monopolar/Bipolar</v>
      </c>
      <c r="NXC111" s="179" t="s">
        <v>428</v>
      </c>
      <c r="NXD111" s="180" t="str">
        <f>VLOOKUP(NXC111,[13]AssetDetails_UEM!$A$3:$AH$1849,6,FALSE)</f>
        <v>Electrosurgical Units, Monopolar/Bipolar</v>
      </c>
      <c r="NXE111" s="179" t="s">
        <v>428</v>
      </c>
      <c r="NXF111" s="180" t="str">
        <f>VLOOKUP(NXE111,[13]AssetDetails_UEM!$A$3:$AH$1849,6,FALSE)</f>
        <v>Electrosurgical Units, Monopolar/Bipolar</v>
      </c>
      <c r="NXG111" s="179" t="s">
        <v>428</v>
      </c>
      <c r="NXH111" s="180" t="str">
        <f>VLOOKUP(NXG111,[13]AssetDetails_UEM!$A$3:$AH$1849,6,FALSE)</f>
        <v>Electrosurgical Units, Monopolar/Bipolar</v>
      </c>
      <c r="NXI111" s="179" t="s">
        <v>428</v>
      </c>
      <c r="NXJ111" s="180" t="str">
        <f>VLOOKUP(NXI111,[13]AssetDetails_UEM!$A$3:$AH$1849,6,FALSE)</f>
        <v>Electrosurgical Units, Monopolar/Bipolar</v>
      </c>
      <c r="NXK111" s="179" t="s">
        <v>428</v>
      </c>
      <c r="NXL111" s="180" t="str">
        <f>VLOOKUP(NXK111,[13]AssetDetails_UEM!$A$3:$AH$1849,6,FALSE)</f>
        <v>Electrosurgical Units, Monopolar/Bipolar</v>
      </c>
      <c r="NXM111" s="179" t="s">
        <v>428</v>
      </c>
      <c r="NXN111" s="180" t="str">
        <f>VLOOKUP(NXM111,[13]AssetDetails_UEM!$A$3:$AH$1849,6,FALSE)</f>
        <v>Electrosurgical Units, Monopolar/Bipolar</v>
      </c>
      <c r="NXO111" s="179" t="s">
        <v>428</v>
      </c>
      <c r="NXP111" s="180" t="str">
        <f>VLOOKUP(NXO111,[13]AssetDetails_UEM!$A$3:$AH$1849,6,FALSE)</f>
        <v>Electrosurgical Units, Monopolar/Bipolar</v>
      </c>
      <c r="NXQ111" s="179" t="s">
        <v>428</v>
      </c>
      <c r="NXR111" s="180" t="str">
        <f>VLOOKUP(NXQ111,[13]AssetDetails_UEM!$A$3:$AH$1849,6,FALSE)</f>
        <v>Electrosurgical Units, Monopolar/Bipolar</v>
      </c>
      <c r="NXS111" s="179" t="s">
        <v>428</v>
      </c>
      <c r="NXT111" s="180" t="str">
        <f>VLOOKUP(NXS111,[13]AssetDetails_UEM!$A$3:$AH$1849,6,FALSE)</f>
        <v>Electrosurgical Units, Monopolar/Bipolar</v>
      </c>
      <c r="NXU111" s="179" t="s">
        <v>428</v>
      </c>
      <c r="NXV111" s="180" t="str">
        <f>VLOOKUP(NXU111,[13]AssetDetails_UEM!$A$3:$AH$1849,6,FALSE)</f>
        <v>Electrosurgical Units, Monopolar/Bipolar</v>
      </c>
      <c r="NXW111" s="179" t="s">
        <v>428</v>
      </c>
      <c r="NXX111" s="180" t="str">
        <f>VLOOKUP(NXW111,[13]AssetDetails_UEM!$A$3:$AH$1849,6,FALSE)</f>
        <v>Electrosurgical Units, Monopolar/Bipolar</v>
      </c>
      <c r="NXY111" s="179" t="s">
        <v>428</v>
      </c>
      <c r="NXZ111" s="180" t="str">
        <f>VLOOKUP(NXY111,[13]AssetDetails_UEM!$A$3:$AH$1849,6,FALSE)</f>
        <v>Electrosurgical Units, Monopolar/Bipolar</v>
      </c>
      <c r="NYA111" s="179" t="s">
        <v>428</v>
      </c>
      <c r="NYB111" s="180" t="str">
        <f>VLOOKUP(NYA111,[13]AssetDetails_UEM!$A$3:$AH$1849,6,FALSE)</f>
        <v>Electrosurgical Units, Monopolar/Bipolar</v>
      </c>
      <c r="NYC111" s="179" t="s">
        <v>428</v>
      </c>
      <c r="NYD111" s="180" t="str">
        <f>VLOOKUP(NYC111,[13]AssetDetails_UEM!$A$3:$AH$1849,6,FALSE)</f>
        <v>Electrosurgical Units, Monopolar/Bipolar</v>
      </c>
      <c r="NYE111" s="179" t="s">
        <v>428</v>
      </c>
      <c r="NYF111" s="180" t="str">
        <f>VLOOKUP(NYE111,[13]AssetDetails_UEM!$A$3:$AH$1849,6,FALSE)</f>
        <v>Electrosurgical Units, Monopolar/Bipolar</v>
      </c>
      <c r="NYG111" s="179" t="s">
        <v>428</v>
      </c>
      <c r="NYH111" s="180" t="str">
        <f>VLOOKUP(NYG111,[13]AssetDetails_UEM!$A$3:$AH$1849,6,FALSE)</f>
        <v>Electrosurgical Units, Monopolar/Bipolar</v>
      </c>
      <c r="NYI111" s="179" t="s">
        <v>428</v>
      </c>
      <c r="NYJ111" s="180" t="str">
        <f>VLOOKUP(NYI111,[13]AssetDetails_UEM!$A$3:$AH$1849,6,FALSE)</f>
        <v>Electrosurgical Units, Monopolar/Bipolar</v>
      </c>
      <c r="NYK111" s="179" t="s">
        <v>428</v>
      </c>
      <c r="NYL111" s="180" t="str">
        <f>VLOOKUP(NYK111,[13]AssetDetails_UEM!$A$3:$AH$1849,6,FALSE)</f>
        <v>Electrosurgical Units, Monopolar/Bipolar</v>
      </c>
      <c r="NYM111" s="179" t="s">
        <v>428</v>
      </c>
      <c r="NYN111" s="180" t="str">
        <f>VLOOKUP(NYM111,[13]AssetDetails_UEM!$A$3:$AH$1849,6,FALSE)</f>
        <v>Electrosurgical Units, Monopolar/Bipolar</v>
      </c>
      <c r="NYO111" s="179" t="s">
        <v>428</v>
      </c>
      <c r="NYP111" s="180" t="str">
        <f>VLOOKUP(NYO111,[13]AssetDetails_UEM!$A$3:$AH$1849,6,FALSE)</f>
        <v>Electrosurgical Units, Monopolar/Bipolar</v>
      </c>
      <c r="NYQ111" s="179" t="s">
        <v>428</v>
      </c>
      <c r="NYR111" s="180" t="str">
        <f>VLOOKUP(NYQ111,[13]AssetDetails_UEM!$A$3:$AH$1849,6,FALSE)</f>
        <v>Electrosurgical Units, Monopolar/Bipolar</v>
      </c>
      <c r="NYS111" s="179" t="s">
        <v>428</v>
      </c>
      <c r="NYT111" s="180" t="str">
        <f>VLOOKUP(NYS111,[13]AssetDetails_UEM!$A$3:$AH$1849,6,FALSE)</f>
        <v>Electrosurgical Units, Monopolar/Bipolar</v>
      </c>
      <c r="NYU111" s="179" t="s">
        <v>428</v>
      </c>
      <c r="NYV111" s="180" t="str">
        <f>VLOOKUP(NYU111,[13]AssetDetails_UEM!$A$3:$AH$1849,6,FALSE)</f>
        <v>Electrosurgical Units, Monopolar/Bipolar</v>
      </c>
      <c r="NYW111" s="179" t="s">
        <v>428</v>
      </c>
      <c r="NYX111" s="180" t="str">
        <f>VLOOKUP(NYW111,[13]AssetDetails_UEM!$A$3:$AH$1849,6,FALSE)</f>
        <v>Electrosurgical Units, Monopolar/Bipolar</v>
      </c>
      <c r="NYY111" s="179" t="s">
        <v>428</v>
      </c>
      <c r="NYZ111" s="180" t="str">
        <f>VLOOKUP(NYY111,[13]AssetDetails_UEM!$A$3:$AH$1849,6,FALSE)</f>
        <v>Electrosurgical Units, Monopolar/Bipolar</v>
      </c>
      <c r="NZA111" s="179" t="s">
        <v>428</v>
      </c>
      <c r="NZB111" s="180" t="str">
        <f>VLOOKUP(NZA111,[13]AssetDetails_UEM!$A$3:$AH$1849,6,FALSE)</f>
        <v>Electrosurgical Units, Monopolar/Bipolar</v>
      </c>
      <c r="NZC111" s="179" t="s">
        <v>428</v>
      </c>
      <c r="NZD111" s="180" t="str">
        <f>VLOOKUP(NZC111,[13]AssetDetails_UEM!$A$3:$AH$1849,6,FALSE)</f>
        <v>Electrosurgical Units, Monopolar/Bipolar</v>
      </c>
      <c r="NZE111" s="179" t="s">
        <v>428</v>
      </c>
      <c r="NZF111" s="180" t="str">
        <f>VLOOKUP(NZE111,[13]AssetDetails_UEM!$A$3:$AH$1849,6,FALSE)</f>
        <v>Electrosurgical Units, Monopolar/Bipolar</v>
      </c>
      <c r="NZG111" s="179" t="s">
        <v>428</v>
      </c>
      <c r="NZH111" s="180" t="str">
        <f>VLOOKUP(NZG111,[13]AssetDetails_UEM!$A$3:$AH$1849,6,FALSE)</f>
        <v>Electrosurgical Units, Monopolar/Bipolar</v>
      </c>
      <c r="NZI111" s="179" t="s">
        <v>428</v>
      </c>
      <c r="NZJ111" s="180" t="str">
        <f>VLOOKUP(NZI111,[13]AssetDetails_UEM!$A$3:$AH$1849,6,FALSE)</f>
        <v>Electrosurgical Units, Monopolar/Bipolar</v>
      </c>
      <c r="NZK111" s="179" t="s">
        <v>428</v>
      </c>
      <c r="NZL111" s="180" t="str">
        <f>VLOOKUP(NZK111,[13]AssetDetails_UEM!$A$3:$AH$1849,6,FALSE)</f>
        <v>Electrosurgical Units, Monopolar/Bipolar</v>
      </c>
      <c r="NZM111" s="179" t="s">
        <v>428</v>
      </c>
      <c r="NZN111" s="180" t="str">
        <f>VLOOKUP(NZM111,[13]AssetDetails_UEM!$A$3:$AH$1849,6,FALSE)</f>
        <v>Electrosurgical Units, Monopolar/Bipolar</v>
      </c>
      <c r="NZO111" s="179" t="s">
        <v>428</v>
      </c>
      <c r="NZP111" s="180" t="str">
        <f>VLOOKUP(NZO111,[13]AssetDetails_UEM!$A$3:$AH$1849,6,FALSE)</f>
        <v>Electrosurgical Units, Monopolar/Bipolar</v>
      </c>
      <c r="NZQ111" s="179" t="s">
        <v>428</v>
      </c>
      <c r="NZR111" s="180" t="str">
        <f>VLOOKUP(NZQ111,[13]AssetDetails_UEM!$A$3:$AH$1849,6,FALSE)</f>
        <v>Electrosurgical Units, Monopolar/Bipolar</v>
      </c>
      <c r="NZS111" s="179" t="s">
        <v>428</v>
      </c>
      <c r="NZT111" s="180" t="str">
        <f>VLOOKUP(NZS111,[13]AssetDetails_UEM!$A$3:$AH$1849,6,FALSE)</f>
        <v>Electrosurgical Units, Monopolar/Bipolar</v>
      </c>
      <c r="NZU111" s="179" t="s">
        <v>428</v>
      </c>
      <c r="NZV111" s="180" t="str">
        <f>VLOOKUP(NZU111,[13]AssetDetails_UEM!$A$3:$AH$1849,6,FALSE)</f>
        <v>Electrosurgical Units, Monopolar/Bipolar</v>
      </c>
      <c r="NZW111" s="179" t="s">
        <v>428</v>
      </c>
      <c r="NZX111" s="180" t="str">
        <f>VLOOKUP(NZW111,[13]AssetDetails_UEM!$A$3:$AH$1849,6,FALSE)</f>
        <v>Electrosurgical Units, Monopolar/Bipolar</v>
      </c>
      <c r="NZY111" s="179" t="s">
        <v>428</v>
      </c>
      <c r="NZZ111" s="180" t="str">
        <f>VLOOKUP(NZY111,[13]AssetDetails_UEM!$A$3:$AH$1849,6,FALSE)</f>
        <v>Electrosurgical Units, Monopolar/Bipolar</v>
      </c>
      <c r="OAA111" s="179" t="s">
        <v>428</v>
      </c>
      <c r="OAB111" s="180" t="str">
        <f>VLOOKUP(OAA111,[13]AssetDetails_UEM!$A$3:$AH$1849,6,FALSE)</f>
        <v>Electrosurgical Units, Monopolar/Bipolar</v>
      </c>
      <c r="OAC111" s="179" t="s">
        <v>428</v>
      </c>
      <c r="OAD111" s="180" t="str">
        <f>VLOOKUP(OAC111,[13]AssetDetails_UEM!$A$3:$AH$1849,6,FALSE)</f>
        <v>Electrosurgical Units, Monopolar/Bipolar</v>
      </c>
      <c r="OAE111" s="179" t="s">
        <v>428</v>
      </c>
      <c r="OAF111" s="180" t="str">
        <f>VLOOKUP(OAE111,[13]AssetDetails_UEM!$A$3:$AH$1849,6,FALSE)</f>
        <v>Electrosurgical Units, Monopolar/Bipolar</v>
      </c>
      <c r="OAG111" s="179" t="s">
        <v>428</v>
      </c>
      <c r="OAH111" s="180" t="str">
        <f>VLOOKUP(OAG111,[13]AssetDetails_UEM!$A$3:$AH$1849,6,FALSE)</f>
        <v>Electrosurgical Units, Monopolar/Bipolar</v>
      </c>
      <c r="OAI111" s="179" t="s">
        <v>428</v>
      </c>
      <c r="OAJ111" s="180" t="str">
        <f>VLOOKUP(OAI111,[13]AssetDetails_UEM!$A$3:$AH$1849,6,FALSE)</f>
        <v>Electrosurgical Units, Monopolar/Bipolar</v>
      </c>
      <c r="OAK111" s="179" t="s">
        <v>428</v>
      </c>
      <c r="OAL111" s="180" t="str">
        <f>VLOOKUP(OAK111,[13]AssetDetails_UEM!$A$3:$AH$1849,6,FALSE)</f>
        <v>Electrosurgical Units, Monopolar/Bipolar</v>
      </c>
      <c r="OAM111" s="179" t="s">
        <v>428</v>
      </c>
      <c r="OAN111" s="180" t="str">
        <f>VLOOKUP(OAM111,[13]AssetDetails_UEM!$A$3:$AH$1849,6,FALSE)</f>
        <v>Electrosurgical Units, Monopolar/Bipolar</v>
      </c>
      <c r="OAO111" s="179" t="s">
        <v>428</v>
      </c>
      <c r="OAP111" s="180" t="str">
        <f>VLOOKUP(OAO111,[13]AssetDetails_UEM!$A$3:$AH$1849,6,FALSE)</f>
        <v>Electrosurgical Units, Monopolar/Bipolar</v>
      </c>
      <c r="OAQ111" s="179" t="s">
        <v>428</v>
      </c>
      <c r="OAR111" s="180" t="str">
        <f>VLOOKUP(OAQ111,[13]AssetDetails_UEM!$A$3:$AH$1849,6,FALSE)</f>
        <v>Electrosurgical Units, Monopolar/Bipolar</v>
      </c>
      <c r="OAS111" s="179" t="s">
        <v>428</v>
      </c>
      <c r="OAT111" s="180" t="str">
        <f>VLOOKUP(OAS111,[13]AssetDetails_UEM!$A$3:$AH$1849,6,FALSE)</f>
        <v>Electrosurgical Units, Monopolar/Bipolar</v>
      </c>
      <c r="OAU111" s="179" t="s">
        <v>428</v>
      </c>
      <c r="OAV111" s="180" t="str">
        <f>VLOOKUP(OAU111,[13]AssetDetails_UEM!$A$3:$AH$1849,6,FALSE)</f>
        <v>Electrosurgical Units, Monopolar/Bipolar</v>
      </c>
      <c r="OAW111" s="179" t="s">
        <v>428</v>
      </c>
      <c r="OAX111" s="180" t="str">
        <f>VLOOKUP(OAW111,[13]AssetDetails_UEM!$A$3:$AH$1849,6,FALSE)</f>
        <v>Electrosurgical Units, Monopolar/Bipolar</v>
      </c>
      <c r="OAY111" s="179" t="s">
        <v>428</v>
      </c>
      <c r="OAZ111" s="180" t="str">
        <f>VLOOKUP(OAY111,[13]AssetDetails_UEM!$A$3:$AH$1849,6,FALSE)</f>
        <v>Electrosurgical Units, Monopolar/Bipolar</v>
      </c>
      <c r="OBA111" s="179" t="s">
        <v>428</v>
      </c>
      <c r="OBB111" s="180" t="str">
        <f>VLOOKUP(OBA111,[13]AssetDetails_UEM!$A$3:$AH$1849,6,FALSE)</f>
        <v>Electrosurgical Units, Monopolar/Bipolar</v>
      </c>
      <c r="OBC111" s="179" t="s">
        <v>428</v>
      </c>
      <c r="OBD111" s="180" t="str">
        <f>VLOOKUP(OBC111,[13]AssetDetails_UEM!$A$3:$AH$1849,6,FALSE)</f>
        <v>Electrosurgical Units, Monopolar/Bipolar</v>
      </c>
      <c r="OBE111" s="179" t="s">
        <v>428</v>
      </c>
      <c r="OBF111" s="180" t="str">
        <f>VLOOKUP(OBE111,[13]AssetDetails_UEM!$A$3:$AH$1849,6,FALSE)</f>
        <v>Electrosurgical Units, Monopolar/Bipolar</v>
      </c>
      <c r="OBG111" s="179" t="s">
        <v>428</v>
      </c>
      <c r="OBH111" s="180" t="str">
        <f>VLOOKUP(OBG111,[13]AssetDetails_UEM!$A$3:$AH$1849,6,FALSE)</f>
        <v>Electrosurgical Units, Monopolar/Bipolar</v>
      </c>
      <c r="OBI111" s="179" t="s">
        <v>428</v>
      </c>
      <c r="OBJ111" s="180" t="str">
        <f>VLOOKUP(OBI111,[13]AssetDetails_UEM!$A$3:$AH$1849,6,FALSE)</f>
        <v>Electrosurgical Units, Monopolar/Bipolar</v>
      </c>
      <c r="OBK111" s="179" t="s">
        <v>428</v>
      </c>
      <c r="OBL111" s="180" t="str">
        <f>VLOOKUP(OBK111,[13]AssetDetails_UEM!$A$3:$AH$1849,6,FALSE)</f>
        <v>Electrosurgical Units, Monopolar/Bipolar</v>
      </c>
      <c r="OBM111" s="179" t="s">
        <v>428</v>
      </c>
      <c r="OBN111" s="180" t="str">
        <f>VLOOKUP(OBM111,[13]AssetDetails_UEM!$A$3:$AH$1849,6,FALSE)</f>
        <v>Electrosurgical Units, Monopolar/Bipolar</v>
      </c>
      <c r="OBO111" s="179" t="s">
        <v>428</v>
      </c>
      <c r="OBP111" s="180" t="str">
        <f>VLOOKUP(OBO111,[13]AssetDetails_UEM!$A$3:$AH$1849,6,FALSE)</f>
        <v>Electrosurgical Units, Monopolar/Bipolar</v>
      </c>
      <c r="OBQ111" s="179" t="s">
        <v>428</v>
      </c>
      <c r="OBR111" s="180" t="str">
        <f>VLOOKUP(OBQ111,[13]AssetDetails_UEM!$A$3:$AH$1849,6,FALSE)</f>
        <v>Electrosurgical Units, Monopolar/Bipolar</v>
      </c>
      <c r="OBS111" s="179" t="s">
        <v>428</v>
      </c>
      <c r="OBT111" s="180" t="str">
        <f>VLOOKUP(OBS111,[13]AssetDetails_UEM!$A$3:$AH$1849,6,FALSE)</f>
        <v>Electrosurgical Units, Monopolar/Bipolar</v>
      </c>
      <c r="OBU111" s="179" t="s">
        <v>428</v>
      </c>
      <c r="OBV111" s="180" t="str">
        <f>VLOOKUP(OBU111,[13]AssetDetails_UEM!$A$3:$AH$1849,6,FALSE)</f>
        <v>Electrosurgical Units, Monopolar/Bipolar</v>
      </c>
      <c r="OBW111" s="179" t="s">
        <v>428</v>
      </c>
      <c r="OBX111" s="180" t="str">
        <f>VLOOKUP(OBW111,[13]AssetDetails_UEM!$A$3:$AH$1849,6,FALSE)</f>
        <v>Electrosurgical Units, Monopolar/Bipolar</v>
      </c>
      <c r="OBY111" s="179" t="s">
        <v>428</v>
      </c>
      <c r="OBZ111" s="180" t="str">
        <f>VLOOKUP(OBY111,[13]AssetDetails_UEM!$A$3:$AH$1849,6,FALSE)</f>
        <v>Electrosurgical Units, Monopolar/Bipolar</v>
      </c>
      <c r="OCA111" s="179" t="s">
        <v>428</v>
      </c>
      <c r="OCB111" s="180" t="str">
        <f>VLOOKUP(OCA111,[13]AssetDetails_UEM!$A$3:$AH$1849,6,FALSE)</f>
        <v>Electrosurgical Units, Monopolar/Bipolar</v>
      </c>
      <c r="OCC111" s="179" t="s">
        <v>428</v>
      </c>
      <c r="OCD111" s="180" t="str">
        <f>VLOOKUP(OCC111,[13]AssetDetails_UEM!$A$3:$AH$1849,6,FALSE)</f>
        <v>Electrosurgical Units, Monopolar/Bipolar</v>
      </c>
      <c r="OCE111" s="179" t="s">
        <v>428</v>
      </c>
      <c r="OCF111" s="180" t="str">
        <f>VLOOKUP(OCE111,[13]AssetDetails_UEM!$A$3:$AH$1849,6,FALSE)</f>
        <v>Electrosurgical Units, Monopolar/Bipolar</v>
      </c>
      <c r="OCG111" s="179" t="s">
        <v>428</v>
      </c>
      <c r="OCH111" s="180" t="str">
        <f>VLOOKUP(OCG111,[13]AssetDetails_UEM!$A$3:$AH$1849,6,FALSE)</f>
        <v>Electrosurgical Units, Monopolar/Bipolar</v>
      </c>
      <c r="OCI111" s="179" t="s">
        <v>428</v>
      </c>
      <c r="OCJ111" s="180" t="str">
        <f>VLOOKUP(OCI111,[13]AssetDetails_UEM!$A$3:$AH$1849,6,FALSE)</f>
        <v>Electrosurgical Units, Monopolar/Bipolar</v>
      </c>
      <c r="OCK111" s="179" t="s">
        <v>428</v>
      </c>
      <c r="OCL111" s="180" t="str">
        <f>VLOOKUP(OCK111,[13]AssetDetails_UEM!$A$3:$AH$1849,6,FALSE)</f>
        <v>Electrosurgical Units, Monopolar/Bipolar</v>
      </c>
      <c r="OCM111" s="179" t="s">
        <v>428</v>
      </c>
      <c r="OCN111" s="180" t="str">
        <f>VLOOKUP(OCM111,[13]AssetDetails_UEM!$A$3:$AH$1849,6,FALSE)</f>
        <v>Electrosurgical Units, Monopolar/Bipolar</v>
      </c>
      <c r="OCO111" s="179" t="s">
        <v>428</v>
      </c>
      <c r="OCP111" s="180" t="str">
        <f>VLOOKUP(OCO111,[13]AssetDetails_UEM!$A$3:$AH$1849,6,FALSE)</f>
        <v>Electrosurgical Units, Monopolar/Bipolar</v>
      </c>
      <c r="OCQ111" s="179" t="s">
        <v>428</v>
      </c>
      <c r="OCR111" s="180" t="str">
        <f>VLOOKUP(OCQ111,[13]AssetDetails_UEM!$A$3:$AH$1849,6,FALSE)</f>
        <v>Electrosurgical Units, Monopolar/Bipolar</v>
      </c>
      <c r="OCS111" s="179" t="s">
        <v>428</v>
      </c>
      <c r="OCT111" s="180" t="str">
        <f>VLOOKUP(OCS111,[13]AssetDetails_UEM!$A$3:$AH$1849,6,FALSE)</f>
        <v>Electrosurgical Units, Monopolar/Bipolar</v>
      </c>
      <c r="OCU111" s="179" t="s">
        <v>428</v>
      </c>
      <c r="OCV111" s="180" t="str">
        <f>VLOOKUP(OCU111,[13]AssetDetails_UEM!$A$3:$AH$1849,6,FALSE)</f>
        <v>Electrosurgical Units, Monopolar/Bipolar</v>
      </c>
      <c r="OCW111" s="179" t="s">
        <v>428</v>
      </c>
      <c r="OCX111" s="180" t="str">
        <f>VLOOKUP(OCW111,[13]AssetDetails_UEM!$A$3:$AH$1849,6,FALSE)</f>
        <v>Electrosurgical Units, Monopolar/Bipolar</v>
      </c>
      <c r="OCY111" s="179" t="s">
        <v>428</v>
      </c>
      <c r="OCZ111" s="180" t="str">
        <f>VLOOKUP(OCY111,[13]AssetDetails_UEM!$A$3:$AH$1849,6,FALSE)</f>
        <v>Electrosurgical Units, Monopolar/Bipolar</v>
      </c>
      <c r="ODA111" s="179" t="s">
        <v>428</v>
      </c>
      <c r="ODB111" s="180" t="str">
        <f>VLOOKUP(ODA111,[13]AssetDetails_UEM!$A$3:$AH$1849,6,FALSE)</f>
        <v>Electrosurgical Units, Monopolar/Bipolar</v>
      </c>
      <c r="ODC111" s="179" t="s">
        <v>428</v>
      </c>
      <c r="ODD111" s="180" t="str">
        <f>VLOOKUP(ODC111,[13]AssetDetails_UEM!$A$3:$AH$1849,6,FALSE)</f>
        <v>Electrosurgical Units, Monopolar/Bipolar</v>
      </c>
      <c r="ODE111" s="179" t="s">
        <v>428</v>
      </c>
      <c r="ODF111" s="180" t="str">
        <f>VLOOKUP(ODE111,[13]AssetDetails_UEM!$A$3:$AH$1849,6,FALSE)</f>
        <v>Electrosurgical Units, Monopolar/Bipolar</v>
      </c>
      <c r="ODG111" s="179" t="s">
        <v>428</v>
      </c>
      <c r="ODH111" s="180" t="str">
        <f>VLOOKUP(ODG111,[13]AssetDetails_UEM!$A$3:$AH$1849,6,FALSE)</f>
        <v>Electrosurgical Units, Monopolar/Bipolar</v>
      </c>
      <c r="ODI111" s="179" t="s">
        <v>428</v>
      </c>
      <c r="ODJ111" s="180" t="str">
        <f>VLOOKUP(ODI111,[13]AssetDetails_UEM!$A$3:$AH$1849,6,FALSE)</f>
        <v>Electrosurgical Units, Monopolar/Bipolar</v>
      </c>
      <c r="ODK111" s="179" t="s">
        <v>428</v>
      </c>
      <c r="ODL111" s="180" t="str">
        <f>VLOOKUP(ODK111,[13]AssetDetails_UEM!$A$3:$AH$1849,6,FALSE)</f>
        <v>Electrosurgical Units, Monopolar/Bipolar</v>
      </c>
      <c r="ODM111" s="179" t="s">
        <v>428</v>
      </c>
      <c r="ODN111" s="180" t="str">
        <f>VLOOKUP(ODM111,[13]AssetDetails_UEM!$A$3:$AH$1849,6,FALSE)</f>
        <v>Electrosurgical Units, Monopolar/Bipolar</v>
      </c>
      <c r="ODO111" s="179" t="s">
        <v>428</v>
      </c>
      <c r="ODP111" s="180" t="str">
        <f>VLOOKUP(ODO111,[13]AssetDetails_UEM!$A$3:$AH$1849,6,FALSE)</f>
        <v>Electrosurgical Units, Monopolar/Bipolar</v>
      </c>
      <c r="ODQ111" s="179" t="s">
        <v>428</v>
      </c>
      <c r="ODR111" s="180" t="str">
        <f>VLOOKUP(ODQ111,[13]AssetDetails_UEM!$A$3:$AH$1849,6,FALSE)</f>
        <v>Electrosurgical Units, Monopolar/Bipolar</v>
      </c>
      <c r="ODS111" s="179" t="s">
        <v>428</v>
      </c>
      <c r="ODT111" s="180" t="str">
        <f>VLOOKUP(ODS111,[13]AssetDetails_UEM!$A$3:$AH$1849,6,FALSE)</f>
        <v>Electrosurgical Units, Monopolar/Bipolar</v>
      </c>
      <c r="ODU111" s="179" t="s">
        <v>428</v>
      </c>
      <c r="ODV111" s="180" t="str">
        <f>VLOOKUP(ODU111,[13]AssetDetails_UEM!$A$3:$AH$1849,6,FALSE)</f>
        <v>Electrosurgical Units, Monopolar/Bipolar</v>
      </c>
      <c r="ODW111" s="179" t="s">
        <v>428</v>
      </c>
      <c r="ODX111" s="180" t="str">
        <f>VLOOKUP(ODW111,[13]AssetDetails_UEM!$A$3:$AH$1849,6,FALSE)</f>
        <v>Electrosurgical Units, Monopolar/Bipolar</v>
      </c>
      <c r="ODY111" s="179" t="s">
        <v>428</v>
      </c>
      <c r="ODZ111" s="180" t="str">
        <f>VLOOKUP(ODY111,[13]AssetDetails_UEM!$A$3:$AH$1849,6,FALSE)</f>
        <v>Electrosurgical Units, Monopolar/Bipolar</v>
      </c>
      <c r="OEA111" s="179" t="s">
        <v>428</v>
      </c>
      <c r="OEB111" s="180" t="str">
        <f>VLOOKUP(OEA111,[13]AssetDetails_UEM!$A$3:$AH$1849,6,FALSE)</f>
        <v>Electrosurgical Units, Monopolar/Bipolar</v>
      </c>
      <c r="OEC111" s="179" t="s">
        <v>428</v>
      </c>
      <c r="OED111" s="180" t="str">
        <f>VLOOKUP(OEC111,[13]AssetDetails_UEM!$A$3:$AH$1849,6,FALSE)</f>
        <v>Electrosurgical Units, Monopolar/Bipolar</v>
      </c>
      <c r="OEE111" s="179" t="s">
        <v>428</v>
      </c>
      <c r="OEF111" s="180" t="str">
        <f>VLOOKUP(OEE111,[13]AssetDetails_UEM!$A$3:$AH$1849,6,FALSE)</f>
        <v>Electrosurgical Units, Monopolar/Bipolar</v>
      </c>
      <c r="OEG111" s="179" t="s">
        <v>428</v>
      </c>
      <c r="OEH111" s="180" t="str">
        <f>VLOOKUP(OEG111,[13]AssetDetails_UEM!$A$3:$AH$1849,6,FALSE)</f>
        <v>Electrosurgical Units, Monopolar/Bipolar</v>
      </c>
      <c r="OEI111" s="179" t="s">
        <v>428</v>
      </c>
      <c r="OEJ111" s="180" t="str">
        <f>VLOOKUP(OEI111,[13]AssetDetails_UEM!$A$3:$AH$1849,6,FALSE)</f>
        <v>Electrosurgical Units, Monopolar/Bipolar</v>
      </c>
      <c r="OEK111" s="179" t="s">
        <v>428</v>
      </c>
      <c r="OEL111" s="180" t="str">
        <f>VLOOKUP(OEK111,[13]AssetDetails_UEM!$A$3:$AH$1849,6,FALSE)</f>
        <v>Electrosurgical Units, Monopolar/Bipolar</v>
      </c>
      <c r="OEM111" s="179" t="s">
        <v>428</v>
      </c>
      <c r="OEN111" s="180" t="str">
        <f>VLOOKUP(OEM111,[13]AssetDetails_UEM!$A$3:$AH$1849,6,FALSE)</f>
        <v>Electrosurgical Units, Monopolar/Bipolar</v>
      </c>
      <c r="OEO111" s="179" t="s">
        <v>428</v>
      </c>
      <c r="OEP111" s="180" t="str">
        <f>VLOOKUP(OEO111,[13]AssetDetails_UEM!$A$3:$AH$1849,6,FALSE)</f>
        <v>Electrosurgical Units, Monopolar/Bipolar</v>
      </c>
      <c r="OEQ111" s="179" t="s">
        <v>428</v>
      </c>
      <c r="OER111" s="180" t="str">
        <f>VLOOKUP(OEQ111,[13]AssetDetails_UEM!$A$3:$AH$1849,6,FALSE)</f>
        <v>Electrosurgical Units, Monopolar/Bipolar</v>
      </c>
      <c r="OES111" s="179" t="s">
        <v>428</v>
      </c>
      <c r="OET111" s="180" t="str">
        <f>VLOOKUP(OES111,[13]AssetDetails_UEM!$A$3:$AH$1849,6,FALSE)</f>
        <v>Electrosurgical Units, Monopolar/Bipolar</v>
      </c>
      <c r="OEU111" s="179" t="s">
        <v>428</v>
      </c>
      <c r="OEV111" s="180" t="str">
        <f>VLOOKUP(OEU111,[13]AssetDetails_UEM!$A$3:$AH$1849,6,FALSE)</f>
        <v>Electrosurgical Units, Monopolar/Bipolar</v>
      </c>
      <c r="OEW111" s="179" t="s">
        <v>428</v>
      </c>
      <c r="OEX111" s="180" t="str">
        <f>VLOOKUP(OEW111,[13]AssetDetails_UEM!$A$3:$AH$1849,6,FALSE)</f>
        <v>Electrosurgical Units, Monopolar/Bipolar</v>
      </c>
      <c r="OEY111" s="179" t="s">
        <v>428</v>
      </c>
      <c r="OEZ111" s="180" t="str">
        <f>VLOOKUP(OEY111,[13]AssetDetails_UEM!$A$3:$AH$1849,6,FALSE)</f>
        <v>Electrosurgical Units, Monopolar/Bipolar</v>
      </c>
      <c r="OFA111" s="179" t="s">
        <v>428</v>
      </c>
      <c r="OFB111" s="180" t="str">
        <f>VLOOKUP(OFA111,[13]AssetDetails_UEM!$A$3:$AH$1849,6,FALSE)</f>
        <v>Electrosurgical Units, Monopolar/Bipolar</v>
      </c>
      <c r="OFC111" s="179" t="s">
        <v>428</v>
      </c>
      <c r="OFD111" s="180" t="str">
        <f>VLOOKUP(OFC111,[13]AssetDetails_UEM!$A$3:$AH$1849,6,FALSE)</f>
        <v>Electrosurgical Units, Monopolar/Bipolar</v>
      </c>
      <c r="OFE111" s="179" t="s">
        <v>428</v>
      </c>
      <c r="OFF111" s="180" t="str">
        <f>VLOOKUP(OFE111,[13]AssetDetails_UEM!$A$3:$AH$1849,6,FALSE)</f>
        <v>Electrosurgical Units, Monopolar/Bipolar</v>
      </c>
      <c r="OFG111" s="179" t="s">
        <v>428</v>
      </c>
      <c r="OFH111" s="180" t="str">
        <f>VLOOKUP(OFG111,[13]AssetDetails_UEM!$A$3:$AH$1849,6,FALSE)</f>
        <v>Electrosurgical Units, Monopolar/Bipolar</v>
      </c>
      <c r="OFI111" s="179" t="s">
        <v>428</v>
      </c>
      <c r="OFJ111" s="180" t="str">
        <f>VLOOKUP(OFI111,[13]AssetDetails_UEM!$A$3:$AH$1849,6,FALSE)</f>
        <v>Electrosurgical Units, Monopolar/Bipolar</v>
      </c>
      <c r="OFK111" s="179" t="s">
        <v>428</v>
      </c>
      <c r="OFL111" s="180" t="str">
        <f>VLOOKUP(OFK111,[13]AssetDetails_UEM!$A$3:$AH$1849,6,FALSE)</f>
        <v>Electrosurgical Units, Monopolar/Bipolar</v>
      </c>
      <c r="OFM111" s="179" t="s">
        <v>428</v>
      </c>
      <c r="OFN111" s="180" t="str">
        <f>VLOOKUP(OFM111,[13]AssetDetails_UEM!$A$3:$AH$1849,6,FALSE)</f>
        <v>Electrosurgical Units, Monopolar/Bipolar</v>
      </c>
      <c r="OFO111" s="179" t="s">
        <v>428</v>
      </c>
      <c r="OFP111" s="180" t="str">
        <f>VLOOKUP(OFO111,[13]AssetDetails_UEM!$A$3:$AH$1849,6,FALSE)</f>
        <v>Electrosurgical Units, Monopolar/Bipolar</v>
      </c>
      <c r="OFQ111" s="179" t="s">
        <v>428</v>
      </c>
      <c r="OFR111" s="180" t="str">
        <f>VLOOKUP(OFQ111,[13]AssetDetails_UEM!$A$3:$AH$1849,6,FALSE)</f>
        <v>Electrosurgical Units, Monopolar/Bipolar</v>
      </c>
      <c r="OFS111" s="179" t="s">
        <v>428</v>
      </c>
      <c r="OFT111" s="180" t="str">
        <f>VLOOKUP(OFS111,[13]AssetDetails_UEM!$A$3:$AH$1849,6,FALSE)</f>
        <v>Electrosurgical Units, Monopolar/Bipolar</v>
      </c>
      <c r="OFU111" s="179" t="s">
        <v>428</v>
      </c>
      <c r="OFV111" s="180" t="str">
        <f>VLOOKUP(OFU111,[13]AssetDetails_UEM!$A$3:$AH$1849,6,FALSE)</f>
        <v>Electrosurgical Units, Monopolar/Bipolar</v>
      </c>
      <c r="OFW111" s="179" t="s">
        <v>428</v>
      </c>
      <c r="OFX111" s="180" t="str">
        <f>VLOOKUP(OFW111,[13]AssetDetails_UEM!$A$3:$AH$1849,6,FALSE)</f>
        <v>Electrosurgical Units, Monopolar/Bipolar</v>
      </c>
      <c r="OFY111" s="179" t="s">
        <v>428</v>
      </c>
      <c r="OFZ111" s="180" t="str">
        <f>VLOOKUP(OFY111,[13]AssetDetails_UEM!$A$3:$AH$1849,6,FALSE)</f>
        <v>Electrosurgical Units, Monopolar/Bipolar</v>
      </c>
      <c r="OGA111" s="179" t="s">
        <v>428</v>
      </c>
      <c r="OGB111" s="180" t="str">
        <f>VLOOKUP(OGA111,[13]AssetDetails_UEM!$A$3:$AH$1849,6,FALSE)</f>
        <v>Electrosurgical Units, Monopolar/Bipolar</v>
      </c>
      <c r="OGC111" s="179" t="s">
        <v>428</v>
      </c>
      <c r="OGD111" s="180" t="str">
        <f>VLOOKUP(OGC111,[13]AssetDetails_UEM!$A$3:$AH$1849,6,FALSE)</f>
        <v>Electrosurgical Units, Monopolar/Bipolar</v>
      </c>
      <c r="OGE111" s="179" t="s">
        <v>428</v>
      </c>
      <c r="OGF111" s="180" t="str">
        <f>VLOOKUP(OGE111,[13]AssetDetails_UEM!$A$3:$AH$1849,6,FALSE)</f>
        <v>Electrosurgical Units, Monopolar/Bipolar</v>
      </c>
      <c r="OGG111" s="179" t="s">
        <v>428</v>
      </c>
      <c r="OGH111" s="180" t="str">
        <f>VLOOKUP(OGG111,[13]AssetDetails_UEM!$A$3:$AH$1849,6,FALSE)</f>
        <v>Electrosurgical Units, Monopolar/Bipolar</v>
      </c>
      <c r="OGI111" s="179" t="s">
        <v>428</v>
      </c>
      <c r="OGJ111" s="180" t="str">
        <f>VLOOKUP(OGI111,[13]AssetDetails_UEM!$A$3:$AH$1849,6,FALSE)</f>
        <v>Electrosurgical Units, Monopolar/Bipolar</v>
      </c>
      <c r="OGK111" s="179" t="s">
        <v>428</v>
      </c>
      <c r="OGL111" s="180" t="str">
        <f>VLOOKUP(OGK111,[13]AssetDetails_UEM!$A$3:$AH$1849,6,FALSE)</f>
        <v>Electrosurgical Units, Monopolar/Bipolar</v>
      </c>
      <c r="OGM111" s="179" t="s">
        <v>428</v>
      </c>
      <c r="OGN111" s="180" t="str">
        <f>VLOOKUP(OGM111,[13]AssetDetails_UEM!$A$3:$AH$1849,6,FALSE)</f>
        <v>Electrosurgical Units, Monopolar/Bipolar</v>
      </c>
      <c r="OGO111" s="179" t="s">
        <v>428</v>
      </c>
      <c r="OGP111" s="180" t="str">
        <f>VLOOKUP(OGO111,[13]AssetDetails_UEM!$A$3:$AH$1849,6,FALSE)</f>
        <v>Electrosurgical Units, Monopolar/Bipolar</v>
      </c>
      <c r="OGQ111" s="179" t="s">
        <v>428</v>
      </c>
      <c r="OGR111" s="180" t="str">
        <f>VLOOKUP(OGQ111,[13]AssetDetails_UEM!$A$3:$AH$1849,6,FALSE)</f>
        <v>Electrosurgical Units, Monopolar/Bipolar</v>
      </c>
      <c r="OGS111" s="179" t="s">
        <v>428</v>
      </c>
      <c r="OGT111" s="180" t="str">
        <f>VLOOKUP(OGS111,[13]AssetDetails_UEM!$A$3:$AH$1849,6,FALSE)</f>
        <v>Electrosurgical Units, Monopolar/Bipolar</v>
      </c>
      <c r="OGU111" s="179" t="s">
        <v>428</v>
      </c>
      <c r="OGV111" s="180" t="str">
        <f>VLOOKUP(OGU111,[13]AssetDetails_UEM!$A$3:$AH$1849,6,FALSE)</f>
        <v>Electrosurgical Units, Monopolar/Bipolar</v>
      </c>
      <c r="OGW111" s="179" t="s">
        <v>428</v>
      </c>
      <c r="OGX111" s="180" t="str">
        <f>VLOOKUP(OGW111,[13]AssetDetails_UEM!$A$3:$AH$1849,6,FALSE)</f>
        <v>Electrosurgical Units, Monopolar/Bipolar</v>
      </c>
      <c r="OGY111" s="179" t="s">
        <v>428</v>
      </c>
      <c r="OGZ111" s="180" t="str">
        <f>VLOOKUP(OGY111,[13]AssetDetails_UEM!$A$3:$AH$1849,6,FALSE)</f>
        <v>Electrosurgical Units, Monopolar/Bipolar</v>
      </c>
      <c r="OHA111" s="179" t="s">
        <v>428</v>
      </c>
      <c r="OHB111" s="180" t="str">
        <f>VLOOKUP(OHA111,[13]AssetDetails_UEM!$A$3:$AH$1849,6,FALSE)</f>
        <v>Electrosurgical Units, Monopolar/Bipolar</v>
      </c>
      <c r="OHC111" s="179" t="s">
        <v>428</v>
      </c>
      <c r="OHD111" s="180" t="str">
        <f>VLOOKUP(OHC111,[13]AssetDetails_UEM!$A$3:$AH$1849,6,FALSE)</f>
        <v>Electrosurgical Units, Monopolar/Bipolar</v>
      </c>
      <c r="OHE111" s="179" t="s">
        <v>428</v>
      </c>
      <c r="OHF111" s="180" t="str">
        <f>VLOOKUP(OHE111,[13]AssetDetails_UEM!$A$3:$AH$1849,6,FALSE)</f>
        <v>Electrosurgical Units, Monopolar/Bipolar</v>
      </c>
      <c r="OHG111" s="179" t="s">
        <v>428</v>
      </c>
      <c r="OHH111" s="180" t="str">
        <f>VLOOKUP(OHG111,[13]AssetDetails_UEM!$A$3:$AH$1849,6,FALSE)</f>
        <v>Electrosurgical Units, Monopolar/Bipolar</v>
      </c>
      <c r="OHI111" s="179" t="s">
        <v>428</v>
      </c>
      <c r="OHJ111" s="180" t="str">
        <f>VLOOKUP(OHI111,[13]AssetDetails_UEM!$A$3:$AH$1849,6,FALSE)</f>
        <v>Electrosurgical Units, Monopolar/Bipolar</v>
      </c>
      <c r="OHK111" s="179" t="s">
        <v>428</v>
      </c>
      <c r="OHL111" s="180" t="str">
        <f>VLOOKUP(OHK111,[13]AssetDetails_UEM!$A$3:$AH$1849,6,FALSE)</f>
        <v>Electrosurgical Units, Monopolar/Bipolar</v>
      </c>
      <c r="OHM111" s="179" t="s">
        <v>428</v>
      </c>
      <c r="OHN111" s="180" t="str">
        <f>VLOOKUP(OHM111,[13]AssetDetails_UEM!$A$3:$AH$1849,6,FALSE)</f>
        <v>Electrosurgical Units, Monopolar/Bipolar</v>
      </c>
      <c r="OHO111" s="179" t="s">
        <v>428</v>
      </c>
      <c r="OHP111" s="180" t="str">
        <f>VLOOKUP(OHO111,[13]AssetDetails_UEM!$A$3:$AH$1849,6,FALSE)</f>
        <v>Electrosurgical Units, Monopolar/Bipolar</v>
      </c>
      <c r="OHQ111" s="179" t="s">
        <v>428</v>
      </c>
      <c r="OHR111" s="180" t="str">
        <f>VLOOKUP(OHQ111,[13]AssetDetails_UEM!$A$3:$AH$1849,6,FALSE)</f>
        <v>Electrosurgical Units, Monopolar/Bipolar</v>
      </c>
      <c r="OHS111" s="179" t="s">
        <v>428</v>
      </c>
      <c r="OHT111" s="180" t="str">
        <f>VLOOKUP(OHS111,[13]AssetDetails_UEM!$A$3:$AH$1849,6,FALSE)</f>
        <v>Electrosurgical Units, Monopolar/Bipolar</v>
      </c>
      <c r="OHU111" s="179" t="s">
        <v>428</v>
      </c>
      <c r="OHV111" s="180" t="str">
        <f>VLOOKUP(OHU111,[13]AssetDetails_UEM!$A$3:$AH$1849,6,FALSE)</f>
        <v>Electrosurgical Units, Monopolar/Bipolar</v>
      </c>
      <c r="OHW111" s="179" t="s">
        <v>428</v>
      </c>
      <c r="OHX111" s="180" t="str">
        <f>VLOOKUP(OHW111,[13]AssetDetails_UEM!$A$3:$AH$1849,6,FALSE)</f>
        <v>Electrosurgical Units, Monopolar/Bipolar</v>
      </c>
      <c r="OHY111" s="179" t="s">
        <v>428</v>
      </c>
      <c r="OHZ111" s="180" t="str">
        <f>VLOOKUP(OHY111,[13]AssetDetails_UEM!$A$3:$AH$1849,6,FALSE)</f>
        <v>Electrosurgical Units, Monopolar/Bipolar</v>
      </c>
      <c r="OIA111" s="179" t="s">
        <v>428</v>
      </c>
      <c r="OIB111" s="180" t="str">
        <f>VLOOKUP(OIA111,[13]AssetDetails_UEM!$A$3:$AH$1849,6,FALSE)</f>
        <v>Electrosurgical Units, Monopolar/Bipolar</v>
      </c>
      <c r="OIC111" s="179" t="s">
        <v>428</v>
      </c>
      <c r="OID111" s="180" t="str">
        <f>VLOOKUP(OIC111,[13]AssetDetails_UEM!$A$3:$AH$1849,6,FALSE)</f>
        <v>Electrosurgical Units, Monopolar/Bipolar</v>
      </c>
      <c r="OIE111" s="179" t="s">
        <v>428</v>
      </c>
      <c r="OIF111" s="180" t="str">
        <f>VLOOKUP(OIE111,[13]AssetDetails_UEM!$A$3:$AH$1849,6,FALSE)</f>
        <v>Electrosurgical Units, Monopolar/Bipolar</v>
      </c>
      <c r="OIG111" s="179" t="s">
        <v>428</v>
      </c>
      <c r="OIH111" s="180" t="str">
        <f>VLOOKUP(OIG111,[13]AssetDetails_UEM!$A$3:$AH$1849,6,FALSE)</f>
        <v>Electrosurgical Units, Monopolar/Bipolar</v>
      </c>
      <c r="OII111" s="179" t="s">
        <v>428</v>
      </c>
      <c r="OIJ111" s="180" t="str">
        <f>VLOOKUP(OII111,[13]AssetDetails_UEM!$A$3:$AH$1849,6,FALSE)</f>
        <v>Electrosurgical Units, Monopolar/Bipolar</v>
      </c>
      <c r="OIK111" s="179" t="s">
        <v>428</v>
      </c>
      <c r="OIL111" s="180" t="str">
        <f>VLOOKUP(OIK111,[13]AssetDetails_UEM!$A$3:$AH$1849,6,FALSE)</f>
        <v>Electrosurgical Units, Monopolar/Bipolar</v>
      </c>
      <c r="OIM111" s="179" t="s">
        <v>428</v>
      </c>
      <c r="OIN111" s="180" t="str">
        <f>VLOOKUP(OIM111,[13]AssetDetails_UEM!$A$3:$AH$1849,6,FALSE)</f>
        <v>Electrosurgical Units, Monopolar/Bipolar</v>
      </c>
      <c r="OIO111" s="179" t="s">
        <v>428</v>
      </c>
      <c r="OIP111" s="180" t="str">
        <f>VLOOKUP(OIO111,[13]AssetDetails_UEM!$A$3:$AH$1849,6,FALSE)</f>
        <v>Electrosurgical Units, Monopolar/Bipolar</v>
      </c>
      <c r="OIQ111" s="179" t="s">
        <v>428</v>
      </c>
      <c r="OIR111" s="180" t="str">
        <f>VLOOKUP(OIQ111,[13]AssetDetails_UEM!$A$3:$AH$1849,6,FALSE)</f>
        <v>Electrosurgical Units, Monopolar/Bipolar</v>
      </c>
      <c r="OIS111" s="179" t="s">
        <v>428</v>
      </c>
      <c r="OIT111" s="180" t="str">
        <f>VLOOKUP(OIS111,[13]AssetDetails_UEM!$A$3:$AH$1849,6,FALSE)</f>
        <v>Electrosurgical Units, Monopolar/Bipolar</v>
      </c>
      <c r="OIU111" s="179" t="s">
        <v>428</v>
      </c>
      <c r="OIV111" s="180" t="str">
        <f>VLOOKUP(OIU111,[13]AssetDetails_UEM!$A$3:$AH$1849,6,FALSE)</f>
        <v>Electrosurgical Units, Monopolar/Bipolar</v>
      </c>
      <c r="OIW111" s="179" t="s">
        <v>428</v>
      </c>
      <c r="OIX111" s="180" t="str">
        <f>VLOOKUP(OIW111,[13]AssetDetails_UEM!$A$3:$AH$1849,6,FALSE)</f>
        <v>Electrosurgical Units, Monopolar/Bipolar</v>
      </c>
      <c r="OIY111" s="179" t="s">
        <v>428</v>
      </c>
      <c r="OIZ111" s="180" t="str">
        <f>VLOOKUP(OIY111,[13]AssetDetails_UEM!$A$3:$AH$1849,6,FALSE)</f>
        <v>Electrosurgical Units, Monopolar/Bipolar</v>
      </c>
      <c r="OJA111" s="179" t="s">
        <v>428</v>
      </c>
      <c r="OJB111" s="180" t="str">
        <f>VLOOKUP(OJA111,[13]AssetDetails_UEM!$A$3:$AH$1849,6,FALSE)</f>
        <v>Electrosurgical Units, Monopolar/Bipolar</v>
      </c>
      <c r="OJC111" s="179" t="s">
        <v>428</v>
      </c>
      <c r="OJD111" s="180" t="str">
        <f>VLOOKUP(OJC111,[13]AssetDetails_UEM!$A$3:$AH$1849,6,FALSE)</f>
        <v>Electrosurgical Units, Monopolar/Bipolar</v>
      </c>
      <c r="OJE111" s="179" t="s">
        <v>428</v>
      </c>
      <c r="OJF111" s="180" t="str">
        <f>VLOOKUP(OJE111,[13]AssetDetails_UEM!$A$3:$AH$1849,6,FALSE)</f>
        <v>Electrosurgical Units, Monopolar/Bipolar</v>
      </c>
      <c r="OJG111" s="179" t="s">
        <v>428</v>
      </c>
      <c r="OJH111" s="180" t="str">
        <f>VLOOKUP(OJG111,[13]AssetDetails_UEM!$A$3:$AH$1849,6,FALSE)</f>
        <v>Electrosurgical Units, Monopolar/Bipolar</v>
      </c>
      <c r="OJI111" s="179" t="s">
        <v>428</v>
      </c>
      <c r="OJJ111" s="180" t="str">
        <f>VLOOKUP(OJI111,[13]AssetDetails_UEM!$A$3:$AH$1849,6,FALSE)</f>
        <v>Electrosurgical Units, Monopolar/Bipolar</v>
      </c>
      <c r="OJK111" s="179" t="s">
        <v>428</v>
      </c>
      <c r="OJL111" s="180" t="str">
        <f>VLOOKUP(OJK111,[13]AssetDetails_UEM!$A$3:$AH$1849,6,FALSE)</f>
        <v>Electrosurgical Units, Monopolar/Bipolar</v>
      </c>
      <c r="OJM111" s="179" t="s">
        <v>428</v>
      </c>
      <c r="OJN111" s="180" t="str">
        <f>VLOOKUP(OJM111,[13]AssetDetails_UEM!$A$3:$AH$1849,6,FALSE)</f>
        <v>Electrosurgical Units, Monopolar/Bipolar</v>
      </c>
      <c r="OJO111" s="179" t="s">
        <v>428</v>
      </c>
      <c r="OJP111" s="180" t="str">
        <f>VLOOKUP(OJO111,[13]AssetDetails_UEM!$A$3:$AH$1849,6,FALSE)</f>
        <v>Electrosurgical Units, Monopolar/Bipolar</v>
      </c>
      <c r="OJQ111" s="179" t="s">
        <v>428</v>
      </c>
      <c r="OJR111" s="180" t="str">
        <f>VLOOKUP(OJQ111,[13]AssetDetails_UEM!$A$3:$AH$1849,6,FALSE)</f>
        <v>Electrosurgical Units, Monopolar/Bipolar</v>
      </c>
      <c r="OJS111" s="179" t="s">
        <v>428</v>
      </c>
      <c r="OJT111" s="180" t="str">
        <f>VLOOKUP(OJS111,[13]AssetDetails_UEM!$A$3:$AH$1849,6,FALSE)</f>
        <v>Electrosurgical Units, Monopolar/Bipolar</v>
      </c>
      <c r="OJU111" s="179" t="s">
        <v>428</v>
      </c>
      <c r="OJV111" s="180" t="str">
        <f>VLOOKUP(OJU111,[13]AssetDetails_UEM!$A$3:$AH$1849,6,FALSE)</f>
        <v>Electrosurgical Units, Monopolar/Bipolar</v>
      </c>
      <c r="OJW111" s="179" t="s">
        <v>428</v>
      </c>
      <c r="OJX111" s="180" t="str">
        <f>VLOOKUP(OJW111,[13]AssetDetails_UEM!$A$3:$AH$1849,6,FALSE)</f>
        <v>Electrosurgical Units, Monopolar/Bipolar</v>
      </c>
      <c r="OJY111" s="179" t="s">
        <v>428</v>
      </c>
      <c r="OJZ111" s="180" t="str">
        <f>VLOOKUP(OJY111,[13]AssetDetails_UEM!$A$3:$AH$1849,6,FALSE)</f>
        <v>Electrosurgical Units, Monopolar/Bipolar</v>
      </c>
      <c r="OKA111" s="179" t="s">
        <v>428</v>
      </c>
      <c r="OKB111" s="180" t="str">
        <f>VLOOKUP(OKA111,[13]AssetDetails_UEM!$A$3:$AH$1849,6,FALSE)</f>
        <v>Electrosurgical Units, Monopolar/Bipolar</v>
      </c>
      <c r="OKC111" s="179" t="s">
        <v>428</v>
      </c>
      <c r="OKD111" s="180" t="str">
        <f>VLOOKUP(OKC111,[13]AssetDetails_UEM!$A$3:$AH$1849,6,FALSE)</f>
        <v>Electrosurgical Units, Monopolar/Bipolar</v>
      </c>
      <c r="OKE111" s="179" t="s">
        <v>428</v>
      </c>
      <c r="OKF111" s="180" t="str">
        <f>VLOOKUP(OKE111,[13]AssetDetails_UEM!$A$3:$AH$1849,6,FALSE)</f>
        <v>Electrosurgical Units, Monopolar/Bipolar</v>
      </c>
      <c r="OKG111" s="179" t="s">
        <v>428</v>
      </c>
      <c r="OKH111" s="180" t="str">
        <f>VLOOKUP(OKG111,[13]AssetDetails_UEM!$A$3:$AH$1849,6,FALSE)</f>
        <v>Electrosurgical Units, Monopolar/Bipolar</v>
      </c>
      <c r="OKI111" s="179" t="s">
        <v>428</v>
      </c>
      <c r="OKJ111" s="180" t="str">
        <f>VLOOKUP(OKI111,[13]AssetDetails_UEM!$A$3:$AH$1849,6,FALSE)</f>
        <v>Electrosurgical Units, Monopolar/Bipolar</v>
      </c>
      <c r="OKK111" s="179" t="s">
        <v>428</v>
      </c>
      <c r="OKL111" s="180" t="str">
        <f>VLOOKUP(OKK111,[13]AssetDetails_UEM!$A$3:$AH$1849,6,FALSE)</f>
        <v>Electrosurgical Units, Monopolar/Bipolar</v>
      </c>
      <c r="OKM111" s="179" t="s">
        <v>428</v>
      </c>
      <c r="OKN111" s="180" t="str">
        <f>VLOOKUP(OKM111,[13]AssetDetails_UEM!$A$3:$AH$1849,6,FALSE)</f>
        <v>Electrosurgical Units, Monopolar/Bipolar</v>
      </c>
      <c r="OKO111" s="179" t="s">
        <v>428</v>
      </c>
      <c r="OKP111" s="180" t="str">
        <f>VLOOKUP(OKO111,[13]AssetDetails_UEM!$A$3:$AH$1849,6,FALSE)</f>
        <v>Electrosurgical Units, Monopolar/Bipolar</v>
      </c>
      <c r="OKQ111" s="179" t="s">
        <v>428</v>
      </c>
      <c r="OKR111" s="180" t="str">
        <f>VLOOKUP(OKQ111,[13]AssetDetails_UEM!$A$3:$AH$1849,6,FALSE)</f>
        <v>Electrosurgical Units, Monopolar/Bipolar</v>
      </c>
      <c r="OKS111" s="179" t="s">
        <v>428</v>
      </c>
      <c r="OKT111" s="180" t="str">
        <f>VLOOKUP(OKS111,[13]AssetDetails_UEM!$A$3:$AH$1849,6,FALSE)</f>
        <v>Electrosurgical Units, Monopolar/Bipolar</v>
      </c>
      <c r="OKU111" s="179" t="s">
        <v>428</v>
      </c>
      <c r="OKV111" s="180" t="str">
        <f>VLOOKUP(OKU111,[13]AssetDetails_UEM!$A$3:$AH$1849,6,FALSE)</f>
        <v>Electrosurgical Units, Monopolar/Bipolar</v>
      </c>
      <c r="OKW111" s="179" t="s">
        <v>428</v>
      </c>
      <c r="OKX111" s="180" t="str">
        <f>VLOOKUP(OKW111,[13]AssetDetails_UEM!$A$3:$AH$1849,6,FALSE)</f>
        <v>Electrosurgical Units, Monopolar/Bipolar</v>
      </c>
      <c r="OKY111" s="179" t="s">
        <v>428</v>
      </c>
      <c r="OKZ111" s="180" t="str">
        <f>VLOOKUP(OKY111,[13]AssetDetails_UEM!$A$3:$AH$1849,6,FALSE)</f>
        <v>Electrosurgical Units, Monopolar/Bipolar</v>
      </c>
      <c r="OLA111" s="179" t="s">
        <v>428</v>
      </c>
      <c r="OLB111" s="180" t="str">
        <f>VLOOKUP(OLA111,[13]AssetDetails_UEM!$A$3:$AH$1849,6,FALSE)</f>
        <v>Electrosurgical Units, Monopolar/Bipolar</v>
      </c>
      <c r="OLC111" s="179" t="s">
        <v>428</v>
      </c>
      <c r="OLD111" s="180" t="str">
        <f>VLOOKUP(OLC111,[13]AssetDetails_UEM!$A$3:$AH$1849,6,FALSE)</f>
        <v>Electrosurgical Units, Monopolar/Bipolar</v>
      </c>
      <c r="OLE111" s="179" t="s">
        <v>428</v>
      </c>
      <c r="OLF111" s="180" t="str">
        <f>VLOOKUP(OLE111,[13]AssetDetails_UEM!$A$3:$AH$1849,6,FALSE)</f>
        <v>Electrosurgical Units, Monopolar/Bipolar</v>
      </c>
      <c r="OLG111" s="179" t="s">
        <v>428</v>
      </c>
      <c r="OLH111" s="180" t="str">
        <f>VLOOKUP(OLG111,[13]AssetDetails_UEM!$A$3:$AH$1849,6,FALSE)</f>
        <v>Electrosurgical Units, Monopolar/Bipolar</v>
      </c>
      <c r="OLI111" s="179" t="s">
        <v>428</v>
      </c>
      <c r="OLJ111" s="180" t="str">
        <f>VLOOKUP(OLI111,[13]AssetDetails_UEM!$A$3:$AH$1849,6,FALSE)</f>
        <v>Electrosurgical Units, Monopolar/Bipolar</v>
      </c>
      <c r="OLK111" s="179" t="s">
        <v>428</v>
      </c>
      <c r="OLL111" s="180" t="str">
        <f>VLOOKUP(OLK111,[13]AssetDetails_UEM!$A$3:$AH$1849,6,FALSE)</f>
        <v>Electrosurgical Units, Monopolar/Bipolar</v>
      </c>
      <c r="OLM111" s="179" t="s">
        <v>428</v>
      </c>
      <c r="OLN111" s="180" t="str">
        <f>VLOOKUP(OLM111,[13]AssetDetails_UEM!$A$3:$AH$1849,6,FALSE)</f>
        <v>Electrosurgical Units, Monopolar/Bipolar</v>
      </c>
      <c r="OLO111" s="179" t="s">
        <v>428</v>
      </c>
      <c r="OLP111" s="180" t="str">
        <f>VLOOKUP(OLO111,[13]AssetDetails_UEM!$A$3:$AH$1849,6,FALSE)</f>
        <v>Electrosurgical Units, Monopolar/Bipolar</v>
      </c>
      <c r="OLQ111" s="179" t="s">
        <v>428</v>
      </c>
      <c r="OLR111" s="180" t="str">
        <f>VLOOKUP(OLQ111,[13]AssetDetails_UEM!$A$3:$AH$1849,6,FALSE)</f>
        <v>Electrosurgical Units, Monopolar/Bipolar</v>
      </c>
      <c r="OLS111" s="179" t="s">
        <v>428</v>
      </c>
      <c r="OLT111" s="180" t="str">
        <f>VLOOKUP(OLS111,[13]AssetDetails_UEM!$A$3:$AH$1849,6,FALSE)</f>
        <v>Electrosurgical Units, Monopolar/Bipolar</v>
      </c>
      <c r="OLU111" s="179" t="s">
        <v>428</v>
      </c>
      <c r="OLV111" s="180" t="str">
        <f>VLOOKUP(OLU111,[13]AssetDetails_UEM!$A$3:$AH$1849,6,FALSE)</f>
        <v>Electrosurgical Units, Monopolar/Bipolar</v>
      </c>
      <c r="OLW111" s="179" t="s">
        <v>428</v>
      </c>
      <c r="OLX111" s="180" t="str">
        <f>VLOOKUP(OLW111,[13]AssetDetails_UEM!$A$3:$AH$1849,6,FALSE)</f>
        <v>Electrosurgical Units, Monopolar/Bipolar</v>
      </c>
      <c r="OLY111" s="179" t="s">
        <v>428</v>
      </c>
      <c r="OLZ111" s="180" t="str">
        <f>VLOOKUP(OLY111,[13]AssetDetails_UEM!$A$3:$AH$1849,6,FALSE)</f>
        <v>Electrosurgical Units, Monopolar/Bipolar</v>
      </c>
      <c r="OMA111" s="179" t="s">
        <v>428</v>
      </c>
      <c r="OMB111" s="180" t="str">
        <f>VLOOKUP(OMA111,[13]AssetDetails_UEM!$A$3:$AH$1849,6,FALSE)</f>
        <v>Electrosurgical Units, Monopolar/Bipolar</v>
      </c>
      <c r="OMC111" s="179" t="s">
        <v>428</v>
      </c>
      <c r="OMD111" s="180" t="str">
        <f>VLOOKUP(OMC111,[13]AssetDetails_UEM!$A$3:$AH$1849,6,FALSE)</f>
        <v>Electrosurgical Units, Monopolar/Bipolar</v>
      </c>
      <c r="OME111" s="179" t="s">
        <v>428</v>
      </c>
      <c r="OMF111" s="180" t="str">
        <f>VLOOKUP(OME111,[13]AssetDetails_UEM!$A$3:$AH$1849,6,FALSE)</f>
        <v>Electrosurgical Units, Monopolar/Bipolar</v>
      </c>
      <c r="OMG111" s="179" t="s">
        <v>428</v>
      </c>
      <c r="OMH111" s="180" t="str">
        <f>VLOOKUP(OMG111,[13]AssetDetails_UEM!$A$3:$AH$1849,6,FALSE)</f>
        <v>Electrosurgical Units, Monopolar/Bipolar</v>
      </c>
      <c r="OMI111" s="179" t="s">
        <v>428</v>
      </c>
      <c r="OMJ111" s="180" t="str">
        <f>VLOOKUP(OMI111,[13]AssetDetails_UEM!$A$3:$AH$1849,6,FALSE)</f>
        <v>Electrosurgical Units, Monopolar/Bipolar</v>
      </c>
      <c r="OMK111" s="179" t="s">
        <v>428</v>
      </c>
      <c r="OML111" s="180" t="str">
        <f>VLOOKUP(OMK111,[13]AssetDetails_UEM!$A$3:$AH$1849,6,FALSE)</f>
        <v>Electrosurgical Units, Monopolar/Bipolar</v>
      </c>
      <c r="OMM111" s="179" t="s">
        <v>428</v>
      </c>
      <c r="OMN111" s="180" t="str">
        <f>VLOOKUP(OMM111,[13]AssetDetails_UEM!$A$3:$AH$1849,6,FALSE)</f>
        <v>Electrosurgical Units, Monopolar/Bipolar</v>
      </c>
      <c r="OMO111" s="179" t="s">
        <v>428</v>
      </c>
      <c r="OMP111" s="180" t="str">
        <f>VLOOKUP(OMO111,[13]AssetDetails_UEM!$A$3:$AH$1849,6,FALSE)</f>
        <v>Electrosurgical Units, Monopolar/Bipolar</v>
      </c>
      <c r="OMQ111" s="179" t="s">
        <v>428</v>
      </c>
      <c r="OMR111" s="180" t="str">
        <f>VLOOKUP(OMQ111,[13]AssetDetails_UEM!$A$3:$AH$1849,6,FALSE)</f>
        <v>Electrosurgical Units, Monopolar/Bipolar</v>
      </c>
      <c r="OMS111" s="179" t="s">
        <v>428</v>
      </c>
      <c r="OMT111" s="180" t="str">
        <f>VLOOKUP(OMS111,[13]AssetDetails_UEM!$A$3:$AH$1849,6,FALSE)</f>
        <v>Electrosurgical Units, Monopolar/Bipolar</v>
      </c>
      <c r="OMU111" s="179" t="s">
        <v>428</v>
      </c>
      <c r="OMV111" s="180" t="str">
        <f>VLOOKUP(OMU111,[13]AssetDetails_UEM!$A$3:$AH$1849,6,FALSE)</f>
        <v>Electrosurgical Units, Monopolar/Bipolar</v>
      </c>
      <c r="OMW111" s="179" t="s">
        <v>428</v>
      </c>
      <c r="OMX111" s="180" t="str">
        <f>VLOOKUP(OMW111,[13]AssetDetails_UEM!$A$3:$AH$1849,6,FALSE)</f>
        <v>Electrosurgical Units, Monopolar/Bipolar</v>
      </c>
      <c r="OMY111" s="179" t="s">
        <v>428</v>
      </c>
      <c r="OMZ111" s="180" t="str">
        <f>VLOOKUP(OMY111,[13]AssetDetails_UEM!$A$3:$AH$1849,6,FALSE)</f>
        <v>Electrosurgical Units, Monopolar/Bipolar</v>
      </c>
      <c r="ONA111" s="179" t="s">
        <v>428</v>
      </c>
      <c r="ONB111" s="180" t="str">
        <f>VLOOKUP(ONA111,[13]AssetDetails_UEM!$A$3:$AH$1849,6,FALSE)</f>
        <v>Electrosurgical Units, Monopolar/Bipolar</v>
      </c>
      <c r="ONC111" s="179" t="s">
        <v>428</v>
      </c>
      <c r="OND111" s="180" t="str">
        <f>VLOOKUP(ONC111,[13]AssetDetails_UEM!$A$3:$AH$1849,6,FALSE)</f>
        <v>Electrosurgical Units, Monopolar/Bipolar</v>
      </c>
      <c r="ONE111" s="179" t="s">
        <v>428</v>
      </c>
      <c r="ONF111" s="180" t="str">
        <f>VLOOKUP(ONE111,[13]AssetDetails_UEM!$A$3:$AH$1849,6,FALSE)</f>
        <v>Electrosurgical Units, Monopolar/Bipolar</v>
      </c>
      <c r="ONG111" s="179" t="s">
        <v>428</v>
      </c>
      <c r="ONH111" s="180" t="str">
        <f>VLOOKUP(ONG111,[13]AssetDetails_UEM!$A$3:$AH$1849,6,FALSE)</f>
        <v>Electrosurgical Units, Monopolar/Bipolar</v>
      </c>
      <c r="ONI111" s="179" t="s">
        <v>428</v>
      </c>
      <c r="ONJ111" s="180" t="str">
        <f>VLOOKUP(ONI111,[13]AssetDetails_UEM!$A$3:$AH$1849,6,FALSE)</f>
        <v>Electrosurgical Units, Monopolar/Bipolar</v>
      </c>
      <c r="ONK111" s="179" t="s">
        <v>428</v>
      </c>
      <c r="ONL111" s="180" t="str">
        <f>VLOOKUP(ONK111,[13]AssetDetails_UEM!$A$3:$AH$1849,6,FALSE)</f>
        <v>Electrosurgical Units, Monopolar/Bipolar</v>
      </c>
      <c r="ONM111" s="179" t="s">
        <v>428</v>
      </c>
      <c r="ONN111" s="180" t="str">
        <f>VLOOKUP(ONM111,[13]AssetDetails_UEM!$A$3:$AH$1849,6,FALSE)</f>
        <v>Electrosurgical Units, Monopolar/Bipolar</v>
      </c>
      <c r="ONO111" s="179" t="s">
        <v>428</v>
      </c>
      <c r="ONP111" s="180" t="str">
        <f>VLOOKUP(ONO111,[13]AssetDetails_UEM!$A$3:$AH$1849,6,FALSE)</f>
        <v>Electrosurgical Units, Monopolar/Bipolar</v>
      </c>
      <c r="ONQ111" s="179" t="s">
        <v>428</v>
      </c>
      <c r="ONR111" s="180" t="str">
        <f>VLOOKUP(ONQ111,[13]AssetDetails_UEM!$A$3:$AH$1849,6,FALSE)</f>
        <v>Electrosurgical Units, Monopolar/Bipolar</v>
      </c>
      <c r="ONS111" s="179" t="s">
        <v>428</v>
      </c>
      <c r="ONT111" s="180" t="str">
        <f>VLOOKUP(ONS111,[13]AssetDetails_UEM!$A$3:$AH$1849,6,FALSE)</f>
        <v>Electrosurgical Units, Monopolar/Bipolar</v>
      </c>
      <c r="ONU111" s="179" t="s">
        <v>428</v>
      </c>
      <c r="ONV111" s="180" t="str">
        <f>VLOOKUP(ONU111,[13]AssetDetails_UEM!$A$3:$AH$1849,6,FALSE)</f>
        <v>Electrosurgical Units, Monopolar/Bipolar</v>
      </c>
      <c r="ONW111" s="179" t="s">
        <v>428</v>
      </c>
      <c r="ONX111" s="180" t="str">
        <f>VLOOKUP(ONW111,[13]AssetDetails_UEM!$A$3:$AH$1849,6,FALSE)</f>
        <v>Electrosurgical Units, Monopolar/Bipolar</v>
      </c>
      <c r="ONY111" s="179" t="s">
        <v>428</v>
      </c>
      <c r="ONZ111" s="180" t="str">
        <f>VLOOKUP(ONY111,[13]AssetDetails_UEM!$A$3:$AH$1849,6,FALSE)</f>
        <v>Electrosurgical Units, Monopolar/Bipolar</v>
      </c>
      <c r="OOA111" s="179" t="s">
        <v>428</v>
      </c>
      <c r="OOB111" s="180" t="str">
        <f>VLOOKUP(OOA111,[13]AssetDetails_UEM!$A$3:$AH$1849,6,FALSE)</f>
        <v>Electrosurgical Units, Monopolar/Bipolar</v>
      </c>
      <c r="OOC111" s="179" t="s">
        <v>428</v>
      </c>
      <c r="OOD111" s="180" t="str">
        <f>VLOOKUP(OOC111,[13]AssetDetails_UEM!$A$3:$AH$1849,6,FALSE)</f>
        <v>Electrosurgical Units, Monopolar/Bipolar</v>
      </c>
      <c r="OOE111" s="179" t="s">
        <v>428</v>
      </c>
      <c r="OOF111" s="180" t="str">
        <f>VLOOKUP(OOE111,[13]AssetDetails_UEM!$A$3:$AH$1849,6,FALSE)</f>
        <v>Electrosurgical Units, Monopolar/Bipolar</v>
      </c>
      <c r="OOG111" s="179" t="s">
        <v>428</v>
      </c>
      <c r="OOH111" s="180" t="str">
        <f>VLOOKUP(OOG111,[13]AssetDetails_UEM!$A$3:$AH$1849,6,FALSE)</f>
        <v>Electrosurgical Units, Monopolar/Bipolar</v>
      </c>
      <c r="OOI111" s="179" t="s">
        <v>428</v>
      </c>
      <c r="OOJ111" s="180" t="str">
        <f>VLOOKUP(OOI111,[13]AssetDetails_UEM!$A$3:$AH$1849,6,FALSE)</f>
        <v>Electrosurgical Units, Monopolar/Bipolar</v>
      </c>
      <c r="OOK111" s="179" t="s">
        <v>428</v>
      </c>
      <c r="OOL111" s="180" t="str">
        <f>VLOOKUP(OOK111,[13]AssetDetails_UEM!$A$3:$AH$1849,6,FALSE)</f>
        <v>Electrosurgical Units, Monopolar/Bipolar</v>
      </c>
      <c r="OOM111" s="179" t="s">
        <v>428</v>
      </c>
      <c r="OON111" s="180" t="str">
        <f>VLOOKUP(OOM111,[13]AssetDetails_UEM!$A$3:$AH$1849,6,FALSE)</f>
        <v>Electrosurgical Units, Monopolar/Bipolar</v>
      </c>
      <c r="OOO111" s="179" t="s">
        <v>428</v>
      </c>
      <c r="OOP111" s="180" t="str">
        <f>VLOOKUP(OOO111,[13]AssetDetails_UEM!$A$3:$AH$1849,6,FALSE)</f>
        <v>Electrosurgical Units, Monopolar/Bipolar</v>
      </c>
      <c r="OOQ111" s="179" t="s">
        <v>428</v>
      </c>
      <c r="OOR111" s="180" t="str">
        <f>VLOOKUP(OOQ111,[13]AssetDetails_UEM!$A$3:$AH$1849,6,FALSE)</f>
        <v>Electrosurgical Units, Monopolar/Bipolar</v>
      </c>
      <c r="OOS111" s="179" t="s">
        <v>428</v>
      </c>
      <c r="OOT111" s="180" t="str">
        <f>VLOOKUP(OOS111,[13]AssetDetails_UEM!$A$3:$AH$1849,6,FALSE)</f>
        <v>Electrosurgical Units, Monopolar/Bipolar</v>
      </c>
      <c r="OOU111" s="179" t="s">
        <v>428</v>
      </c>
      <c r="OOV111" s="180" t="str">
        <f>VLOOKUP(OOU111,[13]AssetDetails_UEM!$A$3:$AH$1849,6,FALSE)</f>
        <v>Electrosurgical Units, Monopolar/Bipolar</v>
      </c>
      <c r="OOW111" s="179" t="s">
        <v>428</v>
      </c>
      <c r="OOX111" s="180" t="str">
        <f>VLOOKUP(OOW111,[13]AssetDetails_UEM!$A$3:$AH$1849,6,FALSE)</f>
        <v>Electrosurgical Units, Monopolar/Bipolar</v>
      </c>
      <c r="OOY111" s="179" t="s">
        <v>428</v>
      </c>
      <c r="OOZ111" s="180" t="str">
        <f>VLOOKUP(OOY111,[13]AssetDetails_UEM!$A$3:$AH$1849,6,FALSE)</f>
        <v>Electrosurgical Units, Monopolar/Bipolar</v>
      </c>
      <c r="OPA111" s="179" t="s">
        <v>428</v>
      </c>
      <c r="OPB111" s="180" t="str">
        <f>VLOOKUP(OPA111,[13]AssetDetails_UEM!$A$3:$AH$1849,6,FALSE)</f>
        <v>Electrosurgical Units, Monopolar/Bipolar</v>
      </c>
      <c r="OPC111" s="179" t="s">
        <v>428</v>
      </c>
      <c r="OPD111" s="180" t="str">
        <f>VLOOKUP(OPC111,[13]AssetDetails_UEM!$A$3:$AH$1849,6,FALSE)</f>
        <v>Electrosurgical Units, Monopolar/Bipolar</v>
      </c>
      <c r="OPE111" s="179" t="s">
        <v>428</v>
      </c>
      <c r="OPF111" s="180" t="str">
        <f>VLOOKUP(OPE111,[13]AssetDetails_UEM!$A$3:$AH$1849,6,FALSE)</f>
        <v>Electrosurgical Units, Monopolar/Bipolar</v>
      </c>
      <c r="OPG111" s="179" t="s">
        <v>428</v>
      </c>
      <c r="OPH111" s="180" t="str">
        <f>VLOOKUP(OPG111,[13]AssetDetails_UEM!$A$3:$AH$1849,6,FALSE)</f>
        <v>Electrosurgical Units, Monopolar/Bipolar</v>
      </c>
      <c r="OPI111" s="179" t="s">
        <v>428</v>
      </c>
      <c r="OPJ111" s="180" t="str">
        <f>VLOOKUP(OPI111,[13]AssetDetails_UEM!$A$3:$AH$1849,6,FALSE)</f>
        <v>Electrosurgical Units, Monopolar/Bipolar</v>
      </c>
      <c r="OPK111" s="179" t="s">
        <v>428</v>
      </c>
      <c r="OPL111" s="180" t="str">
        <f>VLOOKUP(OPK111,[13]AssetDetails_UEM!$A$3:$AH$1849,6,FALSE)</f>
        <v>Electrosurgical Units, Monopolar/Bipolar</v>
      </c>
      <c r="OPM111" s="179" t="s">
        <v>428</v>
      </c>
      <c r="OPN111" s="180" t="str">
        <f>VLOOKUP(OPM111,[13]AssetDetails_UEM!$A$3:$AH$1849,6,FALSE)</f>
        <v>Electrosurgical Units, Monopolar/Bipolar</v>
      </c>
      <c r="OPO111" s="179" t="s">
        <v>428</v>
      </c>
      <c r="OPP111" s="180" t="str">
        <f>VLOOKUP(OPO111,[13]AssetDetails_UEM!$A$3:$AH$1849,6,FALSE)</f>
        <v>Electrosurgical Units, Monopolar/Bipolar</v>
      </c>
      <c r="OPQ111" s="179" t="s">
        <v>428</v>
      </c>
      <c r="OPR111" s="180" t="str">
        <f>VLOOKUP(OPQ111,[13]AssetDetails_UEM!$A$3:$AH$1849,6,FALSE)</f>
        <v>Electrosurgical Units, Monopolar/Bipolar</v>
      </c>
      <c r="OPS111" s="179" t="s">
        <v>428</v>
      </c>
      <c r="OPT111" s="180" t="str">
        <f>VLOOKUP(OPS111,[13]AssetDetails_UEM!$A$3:$AH$1849,6,FALSE)</f>
        <v>Electrosurgical Units, Monopolar/Bipolar</v>
      </c>
      <c r="OPU111" s="179" t="s">
        <v>428</v>
      </c>
      <c r="OPV111" s="180" t="str">
        <f>VLOOKUP(OPU111,[13]AssetDetails_UEM!$A$3:$AH$1849,6,FALSE)</f>
        <v>Electrosurgical Units, Monopolar/Bipolar</v>
      </c>
      <c r="OPW111" s="179" t="s">
        <v>428</v>
      </c>
      <c r="OPX111" s="180" t="str">
        <f>VLOOKUP(OPW111,[13]AssetDetails_UEM!$A$3:$AH$1849,6,FALSE)</f>
        <v>Electrosurgical Units, Monopolar/Bipolar</v>
      </c>
      <c r="OPY111" s="179" t="s">
        <v>428</v>
      </c>
      <c r="OPZ111" s="180" t="str">
        <f>VLOOKUP(OPY111,[13]AssetDetails_UEM!$A$3:$AH$1849,6,FALSE)</f>
        <v>Electrosurgical Units, Monopolar/Bipolar</v>
      </c>
      <c r="OQA111" s="179" t="s">
        <v>428</v>
      </c>
      <c r="OQB111" s="180" t="str">
        <f>VLOOKUP(OQA111,[13]AssetDetails_UEM!$A$3:$AH$1849,6,FALSE)</f>
        <v>Electrosurgical Units, Monopolar/Bipolar</v>
      </c>
      <c r="OQC111" s="179" t="s">
        <v>428</v>
      </c>
      <c r="OQD111" s="180" t="str">
        <f>VLOOKUP(OQC111,[13]AssetDetails_UEM!$A$3:$AH$1849,6,FALSE)</f>
        <v>Electrosurgical Units, Monopolar/Bipolar</v>
      </c>
      <c r="OQE111" s="179" t="s">
        <v>428</v>
      </c>
      <c r="OQF111" s="180" t="str">
        <f>VLOOKUP(OQE111,[13]AssetDetails_UEM!$A$3:$AH$1849,6,FALSE)</f>
        <v>Electrosurgical Units, Monopolar/Bipolar</v>
      </c>
      <c r="OQG111" s="179" t="s">
        <v>428</v>
      </c>
      <c r="OQH111" s="180" t="str">
        <f>VLOOKUP(OQG111,[13]AssetDetails_UEM!$A$3:$AH$1849,6,FALSE)</f>
        <v>Electrosurgical Units, Monopolar/Bipolar</v>
      </c>
      <c r="OQI111" s="179" t="s">
        <v>428</v>
      </c>
      <c r="OQJ111" s="180" t="str">
        <f>VLOOKUP(OQI111,[13]AssetDetails_UEM!$A$3:$AH$1849,6,FALSE)</f>
        <v>Electrosurgical Units, Monopolar/Bipolar</v>
      </c>
      <c r="OQK111" s="179" t="s">
        <v>428</v>
      </c>
      <c r="OQL111" s="180" t="str">
        <f>VLOOKUP(OQK111,[13]AssetDetails_UEM!$A$3:$AH$1849,6,FALSE)</f>
        <v>Electrosurgical Units, Monopolar/Bipolar</v>
      </c>
      <c r="OQM111" s="179" t="s">
        <v>428</v>
      </c>
      <c r="OQN111" s="180" t="str">
        <f>VLOOKUP(OQM111,[13]AssetDetails_UEM!$A$3:$AH$1849,6,FALSE)</f>
        <v>Electrosurgical Units, Monopolar/Bipolar</v>
      </c>
      <c r="OQO111" s="179" t="s">
        <v>428</v>
      </c>
      <c r="OQP111" s="180" t="str">
        <f>VLOOKUP(OQO111,[13]AssetDetails_UEM!$A$3:$AH$1849,6,FALSE)</f>
        <v>Electrosurgical Units, Monopolar/Bipolar</v>
      </c>
      <c r="OQQ111" s="179" t="s">
        <v>428</v>
      </c>
      <c r="OQR111" s="180" t="str">
        <f>VLOOKUP(OQQ111,[13]AssetDetails_UEM!$A$3:$AH$1849,6,FALSE)</f>
        <v>Electrosurgical Units, Monopolar/Bipolar</v>
      </c>
      <c r="OQS111" s="179" t="s">
        <v>428</v>
      </c>
      <c r="OQT111" s="180" t="str">
        <f>VLOOKUP(OQS111,[13]AssetDetails_UEM!$A$3:$AH$1849,6,FALSE)</f>
        <v>Electrosurgical Units, Monopolar/Bipolar</v>
      </c>
      <c r="OQU111" s="179" t="s">
        <v>428</v>
      </c>
      <c r="OQV111" s="180" t="str">
        <f>VLOOKUP(OQU111,[13]AssetDetails_UEM!$A$3:$AH$1849,6,FALSE)</f>
        <v>Electrosurgical Units, Monopolar/Bipolar</v>
      </c>
      <c r="OQW111" s="179" t="s">
        <v>428</v>
      </c>
      <c r="OQX111" s="180" t="str">
        <f>VLOOKUP(OQW111,[13]AssetDetails_UEM!$A$3:$AH$1849,6,FALSE)</f>
        <v>Electrosurgical Units, Monopolar/Bipolar</v>
      </c>
      <c r="OQY111" s="179" t="s">
        <v>428</v>
      </c>
      <c r="OQZ111" s="180" t="str">
        <f>VLOOKUP(OQY111,[13]AssetDetails_UEM!$A$3:$AH$1849,6,FALSE)</f>
        <v>Electrosurgical Units, Monopolar/Bipolar</v>
      </c>
      <c r="ORA111" s="179" t="s">
        <v>428</v>
      </c>
      <c r="ORB111" s="180" t="str">
        <f>VLOOKUP(ORA111,[13]AssetDetails_UEM!$A$3:$AH$1849,6,FALSE)</f>
        <v>Electrosurgical Units, Monopolar/Bipolar</v>
      </c>
      <c r="ORC111" s="179" t="s">
        <v>428</v>
      </c>
      <c r="ORD111" s="180" t="str">
        <f>VLOOKUP(ORC111,[13]AssetDetails_UEM!$A$3:$AH$1849,6,FALSE)</f>
        <v>Electrosurgical Units, Monopolar/Bipolar</v>
      </c>
      <c r="ORE111" s="179" t="s">
        <v>428</v>
      </c>
      <c r="ORF111" s="180" t="str">
        <f>VLOOKUP(ORE111,[13]AssetDetails_UEM!$A$3:$AH$1849,6,FALSE)</f>
        <v>Electrosurgical Units, Monopolar/Bipolar</v>
      </c>
      <c r="ORG111" s="179" t="s">
        <v>428</v>
      </c>
      <c r="ORH111" s="180" t="str">
        <f>VLOOKUP(ORG111,[13]AssetDetails_UEM!$A$3:$AH$1849,6,FALSE)</f>
        <v>Electrosurgical Units, Monopolar/Bipolar</v>
      </c>
      <c r="ORI111" s="179" t="s">
        <v>428</v>
      </c>
      <c r="ORJ111" s="180" t="str">
        <f>VLOOKUP(ORI111,[13]AssetDetails_UEM!$A$3:$AH$1849,6,FALSE)</f>
        <v>Electrosurgical Units, Monopolar/Bipolar</v>
      </c>
      <c r="ORK111" s="179" t="s">
        <v>428</v>
      </c>
      <c r="ORL111" s="180" t="str">
        <f>VLOOKUP(ORK111,[13]AssetDetails_UEM!$A$3:$AH$1849,6,FALSE)</f>
        <v>Electrosurgical Units, Monopolar/Bipolar</v>
      </c>
      <c r="ORM111" s="179" t="s">
        <v>428</v>
      </c>
      <c r="ORN111" s="180" t="str">
        <f>VLOOKUP(ORM111,[13]AssetDetails_UEM!$A$3:$AH$1849,6,FALSE)</f>
        <v>Electrosurgical Units, Monopolar/Bipolar</v>
      </c>
      <c r="ORO111" s="179" t="s">
        <v>428</v>
      </c>
      <c r="ORP111" s="180" t="str">
        <f>VLOOKUP(ORO111,[13]AssetDetails_UEM!$A$3:$AH$1849,6,FALSE)</f>
        <v>Electrosurgical Units, Monopolar/Bipolar</v>
      </c>
      <c r="ORQ111" s="179" t="s">
        <v>428</v>
      </c>
      <c r="ORR111" s="180" t="str">
        <f>VLOOKUP(ORQ111,[13]AssetDetails_UEM!$A$3:$AH$1849,6,FALSE)</f>
        <v>Electrosurgical Units, Monopolar/Bipolar</v>
      </c>
      <c r="ORS111" s="179" t="s">
        <v>428</v>
      </c>
      <c r="ORT111" s="180" t="str">
        <f>VLOOKUP(ORS111,[13]AssetDetails_UEM!$A$3:$AH$1849,6,FALSE)</f>
        <v>Electrosurgical Units, Monopolar/Bipolar</v>
      </c>
      <c r="ORU111" s="179" t="s">
        <v>428</v>
      </c>
      <c r="ORV111" s="180" t="str">
        <f>VLOOKUP(ORU111,[13]AssetDetails_UEM!$A$3:$AH$1849,6,FALSE)</f>
        <v>Electrosurgical Units, Monopolar/Bipolar</v>
      </c>
      <c r="ORW111" s="179" t="s">
        <v>428</v>
      </c>
      <c r="ORX111" s="180" t="str">
        <f>VLOOKUP(ORW111,[13]AssetDetails_UEM!$A$3:$AH$1849,6,FALSE)</f>
        <v>Electrosurgical Units, Monopolar/Bipolar</v>
      </c>
      <c r="ORY111" s="179" t="s">
        <v>428</v>
      </c>
      <c r="ORZ111" s="180" t="str">
        <f>VLOOKUP(ORY111,[13]AssetDetails_UEM!$A$3:$AH$1849,6,FALSE)</f>
        <v>Electrosurgical Units, Monopolar/Bipolar</v>
      </c>
      <c r="OSA111" s="179" t="s">
        <v>428</v>
      </c>
      <c r="OSB111" s="180" t="str">
        <f>VLOOKUP(OSA111,[13]AssetDetails_UEM!$A$3:$AH$1849,6,FALSE)</f>
        <v>Electrosurgical Units, Monopolar/Bipolar</v>
      </c>
      <c r="OSC111" s="179" t="s">
        <v>428</v>
      </c>
      <c r="OSD111" s="180" t="str">
        <f>VLOOKUP(OSC111,[13]AssetDetails_UEM!$A$3:$AH$1849,6,FALSE)</f>
        <v>Electrosurgical Units, Monopolar/Bipolar</v>
      </c>
      <c r="OSE111" s="179" t="s">
        <v>428</v>
      </c>
      <c r="OSF111" s="180" t="str">
        <f>VLOOKUP(OSE111,[13]AssetDetails_UEM!$A$3:$AH$1849,6,FALSE)</f>
        <v>Electrosurgical Units, Monopolar/Bipolar</v>
      </c>
      <c r="OSG111" s="179" t="s">
        <v>428</v>
      </c>
      <c r="OSH111" s="180" t="str">
        <f>VLOOKUP(OSG111,[13]AssetDetails_UEM!$A$3:$AH$1849,6,FALSE)</f>
        <v>Electrosurgical Units, Monopolar/Bipolar</v>
      </c>
      <c r="OSI111" s="179" t="s">
        <v>428</v>
      </c>
      <c r="OSJ111" s="180" t="str">
        <f>VLOOKUP(OSI111,[13]AssetDetails_UEM!$A$3:$AH$1849,6,FALSE)</f>
        <v>Electrosurgical Units, Monopolar/Bipolar</v>
      </c>
      <c r="OSK111" s="179" t="s">
        <v>428</v>
      </c>
      <c r="OSL111" s="180" t="str">
        <f>VLOOKUP(OSK111,[13]AssetDetails_UEM!$A$3:$AH$1849,6,FALSE)</f>
        <v>Electrosurgical Units, Monopolar/Bipolar</v>
      </c>
      <c r="OSM111" s="179" t="s">
        <v>428</v>
      </c>
      <c r="OSN111" s="180" t="str">
        <f>VLOOKUP(OSM111,[13]AssetDetails_UEM!$A$3:$AH$1849,6,FALSE)</f>
        <v>Electrosurgical Units, Monopolar/Bipolar</v>
      </c>
      <c r="OSO111" s="179" t="s">
        <v>428</v>
      </c>
      <c r="OSP111" s="180" t="str">
        <f>VLOOKUP(OSO111,[13]AssetDetails_UEM!$A$3:$AH$1849,6,FALSE)</f>
        <v>Electrosurgical Units, Monopolar/Bipolar</v>
      </c>
      <c r="OSQ111" s="179" t="s">
        <v>428</v>
      </c>
      <c r="OSR111" s="180" t="str">
        <f>VLOOKUP(OSQ111,[13]AssetDetails_UEM!$A$3:$AH$1849,6,FALSE)</f>
        <v>Electrosurgical Units, Monopolar/Bipolar</v>
      </c>
      <c r="OSS111" s="179" t="s">
        <v>428</v>
      </c>
      <c r="OST111" s="180" t="str">
        <f>VLOOKUP(OSS111,[13]AssetDetails_UEM!$A$3:$AH$1849,6,FALSE)</f>
        <v>Electrosurgical Units, Monopolar/Bipolar</v>
      </c>
      <c r="OSU111" s="179" t="s">
        <v>428</v>
      </c>
      <c r="OSV111" s="180" t="str">
        <f>VLOOKUP(OSU111,[13]AssetDetails_UEM!$A$3:$AH$1849,6,FALSE)</f>
        <v>Electrosurgical Units, Monopolar/Bipolar</v>
      </c>
      <c r="OSW111" s="179" t="s">
        <v>428</v>
      </c>
      <c r="OSX111" s="180" t="str">
        <f>VLOOKUP(OSW111,[13]AssetDetails_UEM!$A$3:$AH$1849,6,FALSE)</f>
        <v>Electrosurgical Units, Monopolar/Bipolar</v>
      </c>
      <c r="OSY111" s="179" t="s">
        <v>428</v>
      </c>
      <c r="OSZ111" s="180" t="str">
        <f>VLOOKUP(OSY111,[13]AssetDetails_UEM!$A$3:$AH$1849,6,FALSE)</f>
        <v>Electrosurgical Units, Monopolar/Bipolar</v>
      </c>
      <c r="OTA111" s="179" t="s">
        <v>428</v>
      </c>
      <c r="OTB111" s="180" t="str">
        <f>VLOOKUP(OTA111,[13]AssetDetails_UEM!$A$3:$AH$1849,6,FALSE)</f>
        <v>Electrosurgical Units, Monopolar/Bipolar</v>
      </c>
      <c r="OTC111" s="179" t="s">
        <v>428</v>
      </c>
      <c r="OTD111" s="180" t="str">
        <f>VLOOKUP(OTC111,[13]AssetDetails_UEM!$A$3:$AH$1849,6,FALSE)</f>
        <v>Electrosurgical Units, Monopolar/Bipolar</v>
      </c>
      <c r="OTE111" s="179" t="s">
        <v>428</v>
      </c>
      <c r="OTF111" s="180" t="str">
        <f>VLOOKUP(OTE111,[13]AssetDetails_UEM!$A$3:$AH$1849,6,FALSE)</f>
        <v>Electrosurgical Units, Monopolar/Bipolar</v>
      </c>
      <c r="OTG111" s="179" t="s">
        <v>428</v>
      </c>
      <c r="OTH111" s="180" t="str">
        <f>VLOOKUP(OTG111,[13]AssetDetails_UEM!$A$3:$AH$1849,6,FALSE)</f>
        <v>Electrosurgical Units, Monopolar/Bipolar</v>
      </c>
      <c r="OTI111" s="179" t="s">
        <v>428</v>
      </c>
      <c r="OTJ111" s="180" t="str">
        <f>VLOOKUP(OTI111,[13]AssetDetails_UEM!$A$3:$AH$1849,6,FALSE)</f>
        <v>Electrosurgical Units, Monopolar/Bipolar</v>
      </c>
      <c r="OTK111" s="179" t="s">
        <v>428</v>
      </c>
      <c r="OTL111" s="180" t="str">
        <f>VLOOKUP(OTK111,[13]AssetDetails_UEM!$A$3:$AH$1849,6,FALSE)</f>
        <v>Electrosurgical Units, Monopolar/Bipolar</v>
      </c>
      <c r="OTM111" s="179" t="s">
        <v>428</v>
      </c>
      <c r="OTN111" s="180" t="str">
        <f>VLOOKUP(OTM111,[13]AssetDetails_UEM!$A$3:$AH$1849,6,FALSE)</f>
        <v>Electrosurgical Units, Monopolar/Bipolar</v>
      </c>
      <c r="OTO111" s="179" t="s">
        <v>428</v>
      </c>
      <c r="OTP111" s="180" t="str">
        <f>VLOOKUP(OTO111,[13]AssetDetails_UEM!$A$3:$AH$1849,6,FALSE)</f>
        <v>Electrosurgical Units, Monopolar/Bipolar</v>
      </c>
      <c r="OTQ111" s="179" t="s">
        <v>428</v>
      </c>
      <c r="OTR111" s="180" t="str">
        <f>VLOOKUP(OTQ111,[13]AssetDetails_UEM!$A$3:$AH$1849,6,FALSE)</f>
        <v>Electrosurgical Units, Monopolar/Bipolar</v>
      </c>
      <c r="OTS111" s="179" t="s">
        <v>428</v>
      </c>
      <c r="OTT111" s="180" t="str">
        <f>VLOOKUP(OTS111,[13]AssetDetails_UEM!$A$3:$AH$1849,6,FALSE)</f>
        <v>Electrosurgical Units, Monopolar/Bipolar</v>
      </c>
      <c r="OTU111" s="179" t="s">
        <v>428</v>
      </c>
      <c r="OTV111" s="180" t="str">
        <f>VLOOKUP(OTU111,[13]AssetDetails_UEM!$A$3:$AH$1849,6,FALSE)</f>
        <v>Electrosurgical Units, Monopolar/Bipolar</v>
      </c>
      <c r="OTW111" s="179" t="s">
        <v>428</v>
      </c>
      <c r="OTX111" s="180" t="str">
        <f>VLOOKUP(OTW111,[13]AssetDetails_UEM!$A$3:$AH$1849,6,FALSE)</f>
        <v>Electrosurgical Units, Monopolar/Bipolar</v>
      </c>
      <c r="OTY111" s="179" t="s">
        <v>428</v>
      </c>
      <c r="OTZ111" s="180" t="str">
        <f>VLOOKUP(OTY111,[13]AssetDetails_UEM!$A$3:$AH$1849,6,FALSE)</f>
        <v>Electrosurgical Units, Monopolar/Bipolar</v>
      </c>
      <c r="OUA111" s="179" t="s">
        <v>428</v>
      </c>
      <c r="OUB111" s="180" t="str">
        <f>VLOOKUP(OUA111,[13]AssetDetails_UEM!$A$3:$AH$1849,6,FALSE)</f>
        <v>Electrosurgical Units, Monopolar/Bipolar</v>
      </c>
      <c r="OUC111" s="179" t="s">
        <v>428</v>
      </c>
      <c r="OUD111" s="180" t="str">
        <f>VLOOKUP(OUC111,[13]AssetDetails_UEM!$A$3:$AH$1849,6,FALSE)</f>
        <v>Electrosurgical Units, Monopolar/Bipolar</v>
      </c>
      <c r="OUE111" s="179" t="s">
        <v>428</v>
      </c>
      <c r="OUF111" s="180" t="str">
        <f>VLOOKUP(OUE111,[13]AssetDetails_UEM!$A$3:$AH$1849,6,FALSE)</f>
        <v>Electrosurgical Units, Monopolar/Bipolar</v>
      </c>
      <c r="OUG111" s="179" t="s">
        <v>428</v>
      </c>
      <c r="OUH111" s="180" t="str">
        <f>VLOOKUP(OUG111,[13]AssetDetails_UEM!$A$3:$AH$1849,6,FALSE)</f>
        <v>Electrosurgical Units, Monopolar/Bipolar</v>
      </c>
      <c r="OUI111" s="179" t="s">
        <v>428</v>
      </c>
      <c r="OUJ111" s="180" t="str">
        <f>VLOOKUP(OUI111,[13]AssetDetails_UEM!$A$3:$AH$1849,6,FALSE)</f>
        <v>Electrosurgical Units, Monopolar/Bipolar</v>
      </c>
      <c r="OUK111" s="179" t="s">
        <v>428</v>
      </c>
      <c r="OUL111" s="180" t="str">
        <f>VLOOKUP(OUK111,[13]AssetDetails_UEM!$A$3:$AH$1849,6,FALSE)</f>
        <v>Electrosurgical Units, Monopolar/Bipolar</v>
      </c>
      <c r="OUM111" s="179" t="s">
        <v>428</v>
      </c>
      <c r="OUN111" s="180" t="str">
        <f>VLOOKUP(OUM111,[13]AssetDetails_UEM!$A$3:$AH$1849,6,FALSE)</f>
        <v>Electrosurgical Units, Monopolar/Bipolar</v>
      </c>
      <c r="OUO111" s="179" t="s">
        <v>428</v>
      </c>
      <c r="OUP111" s="180" t="str">
        <f>VLOOKUP(OUO111,[13]AssetDetails_UEM!$A$3:$AH$1849,6,FALSE)</f>
        <v>Electrosurgical Units, Monopolar/Bipolar</v>
      </c>
      <c r="OUQ111" s="179" t="s">
        <v>428</v>
      </c>
      <c r="OUR111" s="180" t="str">
        <f>VLOOKUP(OUQ111,[13]AssetDetails_UEM!$A$3:$AH$1849,6,FALSE)</f>
        <v>Electrosurgical Units, Monopolar/Bipolar</v>
      </c>
      <c r="OUS111" s="179" t="s">
        <v>428</v>
      </c>
      <c r="OUT111" s="180" t="str">
        <f>VLOOKUP(OUS111,[13]AssetDetails_UEM!$A$3:$AH$1849,6,FALSE)</f>
        <v>Electrosurgical Units, Monopolar/Bipolar</v>
      </c>
      <c r="OUU111" s="179" t="s">
        <v>428</v>
      </c>
      <c r="OUV111" s="180" t="str">
        <f>VLOOKUP(OUU111,[13]AssetDetails_UEM!$A$3:$AH$1849,6,FALSE)</f>
        <v>Electrosurgical Units, Monopolar/Bipolar</v>
      </c>
      <c r="OUW111" s="179" t="s">
        <v>428</v>
      </c>
      <c r="OUX111" s="180" t="str">
        <f>VLOOKUP(OUW111,[13]AssetDetails_UEM!$A$3:$AH$1849,6,FALSE)</f>
        <v>Electrosurgical Units, Monopolar/Bipolar</v>
      </c>
      <c r="OUY111" s="179" t="s">
        <v>428</v>
      </c>
      <c r="OUZ111" s="180" t="str">
        <f>VLOOKUP(OUY111,[13]AssetDetails_UEM!$A$3:$AH$1849,6,FALSE)</f>
        <v>Electrosurgical Units, Monopolar/Bipolar</v>
      </c>
      <c r="OVA111" s="179" t="s">
        <v>428</v>
      </c>
      <c r="OVB111" s="180" t="str">
        <f>VLOOKUP(OVA111,[13]AssetDetails_UEM!$A$3:$AH$1849,6,FALSE)</f>
        <v>Electrosurgical Units, Monopolar/Bipolar</v>
      </c>
      <c r="OVC111" s="179" t="s">
        <v>428</v>
      </c>
      <c r="OVD111" s="180" t="str">
        <f>VLOOKUP(OVC111,[13]AssetDetails_UEM!$A$3:$AH$1849,6,FALSE)</f>
        <v>Electrosurgical Units, Monopolar/Bipolar</v>
      </c>
      <c r="OVE111" s="179" t="s">
        <v>428</v>
      </c>
      <c r="OVF111" s="180" t="str">
        <f>VLOOKUP(OVE111,[13]AssetDetails_UEM!$A$3:$AH$1849,6,FALSE)</f>
        <v>Electrosurgical Units, Monopolar/Bipolar</v>
      </c>
      <c r="OVG111" s="179" t="s">
        <v>428</v>
      </c>
      <c r="OVH111" s="180" t="str">
        <f>VLOOKUP(OVG111,[13]AssetDetails_UEM!$A$3:$AH$1849,6,FALSE)</f>
        <v>Electrosurgical Units, Monopolar/Bipolar</v>
      </c>
      <c r="OVI111" s="179" t="s">
        <v>428</v>
      </c>
      <c r="OVJ111" s="180" t="str">
        <f>VLOOKUP(OVI111,[13]AssetDetails_UEM!$A$3:$AH$1849,6,FALSE)</f>
        <v>Electrosurgical Units, Monopolar/Bipolar</v>
      </c>
      <c r="OVK111" s="179" t="s">
        <v>428</v>
      </c>
      <c r="OVL111" s="180" t="str">
        <f>VLOOKUP(OVK111,[13]AssetDetails_UEM!$A$3:$AH$1849,6,FALSE)</f>
        <v>Electrosurgical Units, Monopolar/Bipolar</v>
      </c>
      <c r="OVM111" s="179" t="s">
        <v>428</v>
      </c>
      <c r="OVN111" s="180" t="str">
        <f>VLOOKUP(OVM111,[13]AssetDetails_UEM!$A$3:$AH$1849,6,FALSE)</f>
        <v>Electrosurgical Units, Monopolar/Bipolar</v>
      </c>
      <c r="OVO111" s="179" t="s">
        <v>428</v>
      </c>
      <c r="OVP111" s="180" t="str">
        <f>VLOOKUP(OVO111,[13]AssetDetails_UEM!$A$3:$AH$1849,6,FALSE)</f>
        <v>Electrosurgical Units, Monopolar/Bipolar</v>
      </c>
      <c r="OVQ111" s="179" t="s">
        <v>428</v>
      </c>
      <c r="OVR111" s="180" t="str">
        <f>VLOOKUP(OVQ111,[13]AssetDetails_UEM!$A$3:$AH$1849,6,FALSE)</f>
        <v>Electrosurgical Units, Monopolar/Bipolar</v>
      </c>
      <c r="OVS111" s="179" t="s">
        <v>428</v>
      </c>
      <c r="OVT111" s="180" t="str">
        <f>VLOOKUP(OVS111,[13]AssetDetails_UEM!$A$3:$AH$1849,6,FALSE)</f>
        <v>Electrosurgical Units, Monopolar/Bipolar</v>
      </c>
      <c r="OVU111" s="179" t="s">
        <v>428</v>
      </c>
      <c r="OVV111" s="180" t="str">
        <f>VLOOKUP(OVU111,[13]AssetDetails_UEM!$A$3:$AH$1849,6,FALSE)</f>
        <v>Electrosurgical Units, Monopolar/Bipolar</v>
      </c>
      <c r="OVW111" s="179" t="s">
        <v>428</v>
      </c>
      <c r="OVX111" s="180" t="str">
        <f>VLOOKUP(OVW111,[13]AssetDetails_UEM!$A$3:$AH$1849,6,FALSE)</f>
        <v>Electrosurgical Units, Monopolar/Bipolar</v>
      </c>
      <c r="OVY111" s="179" t="s">
        <v>428</v>
      </c>
      <c r="OVZ111" s="180" t="str">
        <f>VLOOKUP(OVY111,[13]AssetDetails_UEM!$A$3:$AH$1849,6,FALSE)</f>
        <v>Electrosurgical Units, Monopolar/Bipolar</v>
      </c>
      <c r="OWA111" s="179" t="s">
        <v>428</v>
      </c>
      <c r="OWB111" s="180" t="str">
        <f>VLOOKUP(OWA111,[13]AssetDetails_UEM!$A$3:$AH$1849,6,FALSE)</f>
        <v>Electrosurgical Units, Monopolar/Bipolar</v>
      </c>
      <c r="OWC111" s="179" t="s">
        <v>428</v>
      </c>
      <c r="OWD111" s="180" t="str">
        <f>VLOOKUP(OWC111,[13]AssetDetails_UEM!$A$3:$AH$1849,6,FALSE)</f>
        <v>Electrosurgical Units, Monopolar/Bipolar</v>
      </c>
      <c r="OWE111" s="179" t="s">
        <v>428</v>
      </c>
      <c r="OWF111" s="180" t="str">
        <f>VLOOKUP(OWE111,[13]AssetDetails_UEM!$A$3:$AH$1849,6,FALSE)</f>
        <v>Electrosurgical Units, Monopolar/Bipolar</v>
      </c>
      <c r="OWG111" s="179" t="s">
        <v>428</v>
      </c>
      <c r="OWH111" s="180" t="str">
        <f>VLOOKUP(OWG111,[13]AssetDetails_UEM!$A$3:$AH$1849,6,FALSE)</f>
        <v>Electrosurgical Units, Monopolar/Bipolar</v>
      </c>
      <c r="OWI111" s="179" t="s">
        <v>428</v>
      </c>
      <c r="OWJ111" s="180" t="str">
        <f>VLOOKUP(OWI111,[13]AssetDetails_UEM!$A$3:$AH$1849,6,FALSE)</f>
        <v>Electrosurgical Units, Monopolar/Bipolar</v>
      </c>
      <c r="OWK111" s="179" t="s">
        <v>428</v>
      </c>
      <c r="OWL111" s="180" t="str">
        <f>VLOOKUP(OWK111,[13]AssetDetails_UEM!$A$3:$AH$1849,6,FALSE)</f>
        <v>Electrosurgical Units, Monopolar/Bipolar</v>
      </c>
      <c r="OWM111" s="179" t="s">
        <v>428</v>
      </c>
      <c r="OWN111" s="180" t="str">
        <f>VLOOKUP(OWM111,[13]AssetDetails_UEM!$A$3:$AH$1849,6,FALSE)</f>
        <v>Electrosurgical Units, Monopolar/Bipolar</v>
      </c>
      <c r="OWO111" s="179" t="s">
        <v>428</v>
      </c>
      <c r="OWP111" s="180" t="str">
        <f>VLOOKUP(OWO111,[13]AssetDetails_UEM!$A$3:$AH$1849,6,FALSE)</f>
        <v>Electrosurgical Units, Monopolar/Bipolar</v>
      </c>
      <c r="OWQ111" s="179" t="s">
        <v>428</v>
      </c>
      <c r="OWR111" s="180" t="str">
        <f>VLOOKUP(OWQ111,[13]AssetDetails_UEM!$A$3:$AH$1849,6,FALSE)</f>
        <v>Electrosurgical Units, Monopolar/Bipolar</v>
      </c>
      <c r="OWS111" s="179" t="s">
        <v>428</v>
      </c>
      <c r="OWT111" s="180" t="str">
        <f>VLOOKUP(OWS111,[13]AssetDetails_UEM!$A$3:$AH$1849,6,FALSE)</f>
        <v>Electrosurgical Units, Monopolar/Bipolar</v>
      </c>
      <c r="OWU111" s="179" t="s">
        <v>428</v>
      </c>
      <c r="OWV111" s="180" t="str">
        <f>VLOOKUP(OWU111,[13]AssetDetails_UEM!$A$3:$AH$1849,6,FALSE)</f>
        <v>Electrosurgical Units, Monopolar/Bipolar</v>
      </c>
      <c r="OWW111" s="179" t="s">
        <v>428</v>
      </c>
      <c r="OWX111" s="180" t="str">
        <f>VLOOKUP(OWW111,[13]AssetDetails_UEM!$A$3:$AH$1849,6,FALSE)</f>
        <v>Electrosurgical Units, Monopolar/Bipolar</v>
      </c>
      <c r="OWY111" s="179" t="s">
        <v>428</v>
      </c>
      <c r="OWZ111" s="180" t="str">
        <f>VLOOKUP(OWY111,[13]AssetDetails_UEM!$A$3:$AH$1849,6,FALSE)</f>
        <v>Electrosurgical Units, Monopolar/Bipolar</v>
      </c>
      <c r="OXA111" s="179" t="s">
        <v>428</v>
      </c>
      <c r="OXB111" s="180" t="str">
        <f>VLOOKUP(OXA111,[13]AssetDetails_UEM!$A$3:$AH$1849,6,FALSE)</f>
        <v>Electrosurgical Units, Monopolar/Bipolar</v>
      </c>
      <c r="OXC111" s="179" t="s">
        <v>428</v>
      </c>
      <c r="OXD111" s="180" t="str">
        <f>VLOOKUP(OXC111,[13]AssetDetails_UEM!$A$3:$AH$1849,6,FALSE)</f>
        <v>Electrosurgical Units, Monopolar/Bipolar</v>
      </c>
      <c r="OXE111" s="179" t="s">
        <v>428</v>
      </c>
      <c r="OXF111" s="180" t="str">
        <f>VLOOKUP(OXE111,[13]AssetDetails_UEM!$A$3:$AH$1849,6,FALSE)</f>
        <v>Electrosurgical Units, Monopolar/Bipolar</v>
      </c>
      <c r="OXG111" s="179" t="s">
        <v>428</v>
      </c>
      <c r="OXH111" s="180" t="str">
        <f>VLOOKUP(OXG111,[13]AssetDetails_UEM!$A$3:$AH$1849,6,FALSE)</f>
        <v>Electrosurgical Units, Monopolar/Bipolar</v>
      </c>
      <c r="OXI111" s="179" t="s">
        <v>428</v>
      </c>
      <c r="OXJ111" s="180" t="str">
        <f>VLOOKUP(OXI111,[13]AssetDetails_UEM!$A$3:$AH$1849,6,FALSE)</f>
        <v>Electrosurgical Units, Monopolar/Bipolar</v>
      </c>
      <c r="OXK111" s="179" t="s">
        <v>428</v>
      </c>
      <c r="OXL111" s="180" t="str">
        <f>VLOOKUP(OXK111,[13]AssetDetails_UEM!$A$3:$AH$1849,6,FALSE)</f>
        <v>Electrosurgical Units, Monopolar/Bipolar</v>
      </c>
      <c r="OXM111" s="179" t="s">
        <v>428</v>
      </c>
      <c r="OXN111" s="180" t="str">
        <f>VLOOKUP(OXM111,[13]AssetDetails_UEM!$A$3:$AH$1849,6,FALSE)</f>
        <v>Electrosurgical Units, Monopolar/Bipolar</v>
      </c>
      <c r="OXO111" s="179" t="s">
        <v>428</v>
      </c>
      <c r="OXP111" s="180" t="str">
        <f>VLOOKUP(OXO111,[13]AssetDetails_UEM!$A$3:$AH$1849,6,FALSE)</f>
        <v>Electrosurgical Units, Monopolar/Bipolar</v>
      </c>
      <c r="OXQ111" s="179" t="s">
        <v>428</v>
      </c>
      <c r="OXR111" s="180" t="str">
        <f>VLOOKUP(OXQ111,[13]AssetDetails_UEM!$A$3:$AH$1849,6,FALSE)</f>
        <v>Electrosurgical Units, Monopolar/Bipolar</v>
      </c>
      <c r="OXS111" s="179" t="s">
        <v>428</v>
      </c>
      <c r="OXT111" s="180" t="str">
        <f>VLOOKUP(OXS111,[13]AssetDetails_UEM!$A$3:$AH$1849,6,FALSE)</f>
        <v>Electrosurgical Units, Monopolar/Bipolar</v>
      </c>
      <c r="OXU111" s="179" t="s">
        <v>428</v>
      </c>
      <c r="OXV111" s="180" t="str">
        <f>VLOOKUP(OXU111,[13]AssetDetails_UEM!$A$3:$AH$1849,6,FALSE)</f>
        <v>Electrosurgical Units, Monopolar/Bipolar</v>
      </c>
      <c r="OXW111" s="179" t="s">
        <v>428</v>
      </c>
      <c r="OXX111" s="180" t="str">
        <f>VLOOKUP(OXW111,[13]AssetDetails_UEM!$A$3:$AH$1849,6,FALSE)</f>
        <v>Electrosurgical Units, Monopolar/Bipolar</v>
      </c>
      <c r="OXY111" s="179" t="s">
        <v>428</v>
      </c>
      <c r="OXZ111" s="180" t="str">
        <f>VLOOKUP(OXY111,[13]AssetDetails_UEM!$A$3:$AH$1849,6,FALSE)</f>
        <v>Electrosurgical Units, Monopolar/Bipolar</v>
      </c>
      <c r="OYA111" s="179" t="s">
        <v>428</v>
      </c>
      <c r="OYB111" s="180" t="str">
        <f>VLOOKUP(OYA111,[13]AssetDetails_UEM!$A$3:$AH$1849,6,FALSE)</f>
        <v>Electrosurgical Units, Monopolar/Bipolar</v>
      </c>
      <c r="OYC111" s="179" t="s">
        <v>428</v>
      </c>
      <c r="OYD111" s="180" t="str">
        <f>VLOOKUP(OYC111,[13]AssetDetails_UEM!$A$3:$AH$1849,6,FALSE)</f>
        <v>Electrosurgical Units, Monopolar/Bipolar</v>
      </c>
      <c r="OYE111" s="179" t="s">
        <v>428</v>
      </c>
      <c r="OYF111" s="180" t="str">
        <f>VLOOKUP(OYE111,[13]AssetDetails_UEM!$A$3:$AH$1849,6,FALSE)</f>
        <v>Electrosurgical Units, Monopolar/Bipolar</v>
      </c>
      <c r="OYG111" s="179" t="s">
        <v>428</v>
      </c>
      <c r="OYH111" s="180" t="str">
        <f>VLOOKUP(OYG111,[13]AssetDetails_UEM!$A$3:$AH$1849,6,FALSE)</f>
        <v>Electrosurgical Units, Monopolar/Bipolar</v>
      </c>
      <c r="OYI111" s="179" t="s">
        <v>428</v>
      </c>
      <c r="OYJ111" s="180" t="str">
        <f>VLOOKUP(OYI111,[13]AssetDetails_UEM!$A$3:$AH$1849,6,FALSE)</f>
        <v>Electrosurgical Units, Monopolar/Bipolar</v>
      </c>
      <c r="OYK111" s="179" t="s">
        <v>428</v>
      </c>
      <c r="OYL111" s="180" t="str">
        <f>VLOOKUP(OYK111,[13]AssetDetails_UEM!$A$3:$AH$1849,6,FALSE)</f>
        <v>Electrosurgical Units, Monopolar/Bipolar</v>
      </c>
      <c r="OYM111" s="179" t="s">
        <v>428</v>
      </c>
      <c r="OYN111" s="180" t="str">
        <f>VLOOKUP(OYM111,[13]AssetDetails_UEM!$A$3:$AH$1849,6,FALSE)</f>
        <v>Electrosurgical Units, Monopolar/Bipolar</v>
      </c>
      <c r="OYO111" s="179" t="s">
        <v>428</v>
      </c>
      <c r="OYP111" s="180" t="str">
        <f>VLOOKUP(OYO111,[13]AssetDetails_UEM!$A$3:$AH$1849,6,FALSE)</f>
        <v>Electrosurgical Units, Monopolar/Bipolar</v>
      </c>
      <c r="OYQ111" s="179" t="s">
        <v>428</v>
      </c>
      <c r="OYR111" s="180" t="str">
        <f>VLOOKUP(OYQ111,[13]AssetDetails_UEM!$A$3:$AH$1849,6,FALSE)</f>
        <v>Electrosurgical Units, Monopolar/Bipolar</v>
      </c>
      <c r="OYS111" s="179" t="s">
        <v>428</v>
      </c>
      <c r="OYT111" s="180" t="str">
        <f>VLOOKUP(OYS111,[13]AssetDetails_UEM!$A$3:$AH$1849,6,FALSE)</f>
        <v>Electrosurgical Units, Monopolar/Bipolar</v>
      </c>
      <c r="OYU111" s="179" t="s">
        <v>428</v>
      </c>
      <c r="OYV111" s="180" t="str">
        <f>VLOOKUP(OYU111,[13]AssetDetails_UEM!$A$3:$AH$1849,6,FALSE)</f>
        <v>Electrosurgical Units, Monopolar/Bipolar</v>
      </c>
      <c r="OYW111" s="179" t="s">
        <v>428</v>
      </c>
      <c r="OYX111" s="180" t="str">
        <f>VLOOKUP(OYW111,[13]AssetDetails_UEM!$A$3:$AH$1849,6,FALSE)</f>
        <v>Electrosurgical Units, Monopolar/Bipolar</v>
      </c>
      <c r="OYY111" s="179" t="s">
        <v>428</v>
      </c>
      <c r="OYZ111" s="180" t="str">
        <f>VLOOKUP(OYY111,[13]AssetDetails_UEM!$A$3:$AH$1849,6,FALSE)</f>
        <v>Electrosurgical Units, Monopolar/Bipolar</v>
      </c>
      <c r="OZA111" s="179" t="s">
        <v>428</v>
      </c>
      <c r="OZB111" s="180" t="str">
        <f>VLOOKUP(OZA111,[13]AssetDetails_UEM!$A$3:$AH$1849,6,FALSE)</f>
        <v>Electrosurgical Units, Monopolar/Bipolar</v>
      </c>
      <c r="OZC111" s="179" t="s">
        <v>428</v>
      </c>
      <c r="OZD111" s="180" t="str">
        <f>VLOOKUP(OZC111,[13]AssetDetails_UEM!$A$3:$AH$1849,6,FALSE)</f>
        <v>Electrosurgical Units, Monopolar/Bipolar</v>
      </c>
      <c r="OZE111" s="179" t="s">
        <v>428</v>
      </c>
      <c r="OZF111" s="180" t="str">
        <f>VLOOKUP(OZE111,[13]AssetDetails_UEM!$A$3:$AH$1849,6,FALSE)</f>
        <v>Electrosurgical Units, Monopolar/Bipolar</v>
      </c>
      <c r="OZG111" s="179" t="s">
        <v>428</v>
      </c>
      <c r="OZH111" s="180" t="str">
        <f>VLOOKUP(OZG111,[13]AssetDetails_UEM!$A$3:$AH$1849,6,FALSE)</f>
        <v>Electrosurgical Units, Monopolar/Bipolar</v>
      </c>
      <c r="OZI111" s="179" t="s">
        <v>428</v>
      </c>
      <c r="OZJ111" s="180" t="str">
        <f>VLOOKUP(OZI111,[13]AssetDetails_UEM!$A$3:$AH$1849,6,FALSE)</f>
        <v>Electrosurgical Units, Monopolar/Bipolar</v>
      </c>
      <c r="OZK111" s="179" t="s">
        <v>428</v>
      </c>
      <c r="OZL111" s="180" t="str">
        <f>VLOOKUP(OZK111,[13]AssetDetails_UEM!$A$3:$AH$1849,6,FALSE)</f>
        <v>Electrosurgical Units, Monopolar/Bipolar</v>
      </c>
      <c r="OZM111" s="179" t="s">
        <v>428</v>
      </c>
      <c r="OZN111" s="180" t="str">
        <f>VLOOKUP(OZM111,[13]AssetDetails_UEM!$A$3:$AH$1849,6,FALSE)</f>
        <v>Electrosurgical Units, Monopolar/Bipolar</v>
      </c>
      <c r="OZO111" s="179" t="s">
        <v>428</v>
      </c>
      <c r="OZP111" s="180" t="str">
        <f>VLOOKUP(OZO111,[13]AssetDetails_UEM!$A$3:$AH$1849,6,FALSE)</f>
        <v>Electrosurgical Units, Monopolar/Bipolar</v>
      </c>
      <c r="OZQ111" s="179" t="s">
        <v>428</v>
      </c>
      <c r="OZR111" s="180" t="str">
        <f>VLOOKUP(OZQ111,[13]AssetDetails_UEM!$A$3:$AH$1849,6,FALSE)</f>
        <v>Electrosurgical Units, Monopolar/Bipolar</v>
      </c>
      <c r="OZS111" s="179" t="s">
        <v>428</v>
      </c>
      <c r="OZT111" s="180" t="str">
        <f>VLOOKUP(OZS111,[13]AssetDetails_UEM!$A$3:$AH$1849,6,FALSE)</f>
        <v>Electrosurgical Units, Monopolar/Bipolar</v>
      </c>
      <c r="OZU111" s="179" t="s">
        <v>428</v>
      </c>
      <c r="OZV111" s="180" t="str">
        <f>VLOOKUP(OZU111,[13]AssetDetails_UEM!$A$3:$AH$1849,6,FALSE)</f>
        <v>Electrosurgical Units, Monopolar/Bipolar</v>
      </c>
      <c r="OZW111" s="179" t="s">
        <v>428</v>
      </c>
      <c r="OZX111" s="180" t="str">
        <f>VLOOKUP(OZW111,[13]AssetDetails_UEM!$A$3:$AH$1849,6,FALSE)</f>
        <v>Electrosurgical Units, Monopolar/Bipolar</v>
      </c>
      <c r="OZY111" s="179" t="s">
        <v>428</v>
      </c>
      <c r="OZZ111" s="180" t="str">
        <f>VLOOKUP(OZY111,[13]AssetDetails_UEM!$A$3:$AH$1849,6,FALSE)</f>
        <v>Electrosurgical Units, Monopolar/Bipolar</v>
      </c>
      <c r="PAA111" s="179" t="s">
        <v>428</v>
      </c>
      <c r="PAB111" s="180" t="str">
        <f>VLOOKUP(PAA111,[13]AssetDetails_UEM!$A$3:$AH$1849,6,FALSE)</f>
        <v>Electrosurgical Units, Monopolar/Bipolar</v>
      </c>
      <c r="PAC111" s="179" t="s">
        <v>428</v>
      </c>
      <c r="PAD111" s="180" t="str">
        <f>VLOOKUP(PAC111,[13]AssetDetails_UEM!$A$3:$AH$1849,6,FALSE)</f>
        <v>Electrosurgical Units, Monopolar/Bipolar</v>
      </c>
      <c r="PAE111" s="179" t="s">
        <v>428</v>
      </c>
      <c r="PAF111" s="180" t="str">
        <f>VLOOKUP(PAE111,[13]AssetDetails_UEM!$A$3:$AH$1849,6,FALSE)</f>
        <v>Electrosurgical Units, Monopolar/Bipolar</v>
      </c>
      <c r="PAG111" s="179" t="s">
        <v>428</v>
      </c>
      <c r="PAH111" s="180" t="str">
        <f>VLOOKUP(PAG111,[13]AssetDetails_UEM!$A$3:$AH$1849,6,FALSE)</f>
        <v>Electrosurgical Units, Monopolar/Bipolar</v>
      </c>
      <c r="PAI111" s="179" t="s">
        <v>428</v>
      </c>
      <c r="PAJ111" s="180" t="str">
        <f>VLOOKUP(PAI111,[13]AssetDetails_UEM!$A$3:$AH$1849,6,FALSE)</f>
        <v>Electrosurgical Units, Monopolar/Bipolar</v>
      </c>
      <c r="PAK111" s="179" t="s">
        <v>428</v>
      </c>
      <c r="PAL111" s="180" t="str">
        <f>VLOOKUP(PAK111,[13]AssetDetails_UEM!$A$3:$AH$1849,6,FALSE)</f>
        <v>Electrosurgical Units, Monopolar/Bipolar</v>
      </c>
      <c r="PAM111" s="179" t="s">
        <v>428</v>
      </c>
      <c r="PAN111" s="180" t="str">
        <f>VLOOKUP(PAM111,[13]AssetDetails_UEM!$A$3:$AH$1849,6,FALSE)</f>
        <v>Electrosurgical Units, Monopolar/Bipolar</v>
      </c>
      <c r="PAO111" s="179" t="s">
        <v>428</v>
      </c>
      <c r="PAP111" s="180" t="str">
        <f>VLOOKUP(PAO111,[13]AssetDetails_UEM!$A$3:$AH$1849,6,FALSE)</f>
        <v>Electrosurgical Units, Monopolar/Bipolar</v>
      </c>
      <c r="PAQ111" s="179" t="s">
        <v>428</v>
      </c>
      <c r="PAR111" s="180" t="str">
        <f>VLOOKUP(PAQ111,[13]AssetDetails_UEM!$A$3:$AH$1849,6,FALSE)</f>
        <v>Electrosurgical Units, Monopolar/Bipolar</v>
      </c>
      <c r="PAS111" s="179" t="s">
        <v>428</v>
      </c>
      <c r="PAT111" s="180" t="str">
        <f>VLOOKUP(PAS111,[13]AssetDetails_UEM!$A$3:$AH$1849,6,FALSE)</f>
        <v>Electrosurgical Units, Monopolar/Bipolar</v>
      </c>
      <c r="PAU111" s="179" t="s">
        <v>428</v>
      </c>
      <c r="PAV111" s="180" t="str">
        <f>VLOOKUP(PAU111,[13]AssetDetails_UEM!$A$3:$AH$1849,6,FALSE)</f>
        <v>Electrosurgical Units, Monopolar/Bipolar</v>
      </c>
      <c r="PAW111" s="179" t="s">
        <v>428</v>
      </c>
      <c r="PAX111" s="180" t="str">
        <f>VLOOKUP(PAW111,[13]AssetDetails_UEM!$A$3:$AH$1849,6,FALSE)</f>
        <v>Electrosurgical Units, Monopolar/Bipolar</v>
      </c>
      <c r="PAY111" s="179" t="s">
        <v>428</v>
      </c>
      <c r="PAZ111" s="180" t="str">
        <f>VLOOKUP(PAY111,[13]AssetDetails_UEM!$A$3:$AH$1849,6,FALSE)</f>
        <v>Electrosurgical Units, Monopolar/Bipolar</v>
      </c>
      <c r="PBA111" s="179" t="s">
        <v>428</v>
      </c>
      <c r="PBB111" s="180" t="str">
        <f>VLOOKUP(PBA111,[13]AssetDetails_UEM!$A$3:$AH$1849,6,FALSE)</f>
        <v>Electrosurgical Units, Monopolar/Bipolar</v>
      </c>
      <c r="PBC111" s="179" t="s">
        <v>428</v>
      </c>
      <c r="PBD111" s="180" t="str">
        <f>VLOOKUP(PBC111,[13]AssetDetails_UEM!$A$3:$AH$1849,6,FALSE)</f>
        <v>Electrosurgical Units, Monopolar/Bipolar</v>
      </c>
      <c r="PBE111" s="179" t="s">
        <v>428</v>
      </c>
      <c r="PBF111" s="180" t="str">
        <f>VLOOKUP(PBE111,[13]AssetDetails_UEM!$A$3:$AH$1849,6,FALSE)</f>
        <v>Electrosurgical Units, Monopolar/Bipolar</v>
      </c>
      <c r="PBG111" s="179" t="s">
        <v>428</v>
      </c>
      <c r="PBH111" s="180" t="str">
        <f>VLOOKUP(PBG111,[13]AssetDetails_UEM!$A$3:$AH$1849,6,FALSE)</f>
        <v>Electrosurgical Units, Monopolar/Bipolar</v>
      </c>
      <c r="PBI111" s="179" t="s">
        <v>428</v>
      </c>
      <c r="PBJ111" s="180" t="str">
        <f>VLOOKUP(PBI111,[13]AssetDetails_UEM!$A$3:$AH$1849,6,FALSE)</f>
        <v>Electrosurgical Units, Monopolar/Bipolar</v>
      </c>
      <c r="PBK111" s="179" t="s">
        <v>428</v>
      </c>
      <c r="PBL111" s="180" t="str">
        <f>VLOOKUP(PBK111,[13]AssetDetails_UEM!$A$3:$AH$1849,6,FALSE)</f>
        <v>Electrosurgical Units, Monopolar/Bipolar</v>
      </c>
      <c r="PBM111" s="179" t="s">
        <v>428</v>
      </c>
      <c r="PBN111" s="180" t="str">
        <f>VLOOKUP(PBM111,[13]AssetDetails_UEM!$A$3:$AH$1849,6,FALSE)</f>
        <v>Electrosurgical Units, Monopolar/Bipolar</v>
      </c>
      <c r="PBO111" s="179" t="s">
        <v>428</v>
      </c>
      <c r="PBP111" s="180" t="str">
        <f>VLOOKUP(PBO111,[13]AssetDetails_UEM!$A$3:$AH$1849,6,FALSE)</f>
        <v>Electrosurgical Units, Monopolar/Bipolar</v>
      </c>
      <c r="PBQ111" s="179" t="s">
        <v>428</v>
      </c>
      <c r="PBR111" s="180" t="str">
        <f>VLOOKUP(PBQ111,[13]AssetDetails_UEM!$A$3:$AH$1849,6,FALSE)</f>
        <v>Electrosurgical Units, Monopolar/Bipolar</v>
      </c>
      <c r="PBS111" s="179" t="s">
        <v>428</v>
      </c>
      <c r="PBT111" s="180" t="str">
        <f>VLOOKUP(PBS111,[13]AssetDetails_UEM!$A$3:$AH$1849,6,FALSE)</f>
        <v>Electrosurgical Units, Monopolar/Bipolar</v>
      </c>
      <c r="PBU111" s="179" t="s">
        <v>428</v>
      </c>
      <c r="PBV111" s="180" t="str">
        <f>VLOOKUP(PBU111,[13]AssetDetails_UEM!$A$3:$AH$1849,6,FALSE)</f>
        <v>Electrosurgical Units, Monopolar/Bipolar</v>
      </c>
      <c r="PBW111" s="179" t="s">
        <v>428</v>
      </c>
      <c r="PBX111" s="180" t="str">
        <f>VLOOKUP(PBW111,[13]AssetDetails_UEM!$A$3:$AH$1849,6,FALSE)</f>
        <v>Electrosurgical Units, Monopolar/Bipolar</v>
      </c>
      <c r="PBY111" s="179" t="s">
        <v>428</v>
      </c>
      <c r="PBZ111" s="180" t="str">
        <f>VLOOKUP(PBY111,[13]AssetDetails_UEM!$A$3:$AH$1849,6,FALSE)</f>
        <v>Electrosurgical Units, Monopolar/Bipolar</v>
      </c>
      <c r="PCA111" s="179" t="s">
        <v>428</v>
      </c>
      <c r="PCB111" s="180" t="str">
        <f>VLOOKUP(PCA111,[13]AssetDetails_UEM!$A$3:$AH$1849,6,FALSE)</f>
        <v>Electrosurgical Units, Monopolar/Bipolar</v>
      </c>
      <c r="PCC111" s="179" t="s">
        <v>428</v>
      </c>
      <c r="PCD111" s="180" t="str">
        <f>VLOOKUP(PCC111,[13]AssetDetails_UEM!$A$3:$AH$1849,6,FALSE)</f>
        <v>Electrosurgical Units, Monopolar/Bipolar</v>
      </c>
      <c r="PCE111" s="179" t="s">
        <v>428</v>
      </c>
      <c r="PCF111" s="180" t="str">
        <f>VLOOKUP(PCE111,[13]AssetDetails_UEM!$A$3:$AH$1849,6,FALSE)</f>
        <v>Electrosurgical Units, Monopolar/Bipolar</v>
      </c>
      <c r="PCG111" s="179" t="s">
        <v>428</v>
      </c>
      <c r="PCH111" s="180" t="str">
        <f>VLOOKUP(PCG111,[13]AssetDetails_UEM!$A$3:$AH$1849,6,FALSE)</f>
        <v>Electrosurgical Units, Monopolar/Bipolar</v>
      </c>
      <c r="PCI111" s="179" t="s">
        <v>428</v>
      </c>
      <c r="PCJ111" s="180" t="str">
        <f>VLOOKUP(PCI111,[13]AssetDetails_UEM!$A$3:$AH$1849,6,FALSE)</f>
        <v>Electrosurgical Units, Monopolar/Bipolar</v>
      </c>
      <c r="PCK111" s="179" t="s">
        <v>428</v>
      </c>
      <c r="PCL111" s="180" t="str">
        <f>VLOOKUP(PCK111,[13]AssetDetails_UEM!$A$3:$AH$1849,6,FALSE)</f>
        <v>Electrosurgical Units, Monopolar/Bipolar</v>
      </c>
      <c r="PCM111" s="179" t="s">
        <v>428</v>
      </c>
      <c r="PCN111" s="180" t="str">
        <f>VLOOKUP(PCM111,[13]AssetDetails_UEM!$A$3:$AH$1849,6,FALSE)</f>
        <v>Electrosurgical Units, Monopolar/Bipolar</v>
      </c>
      <c r="PCO111" s="179" t="s">
        <v>428</v>
      </c>
      <c r="PCP111" s="180" t="str">
        <f>VLOOKUP(PCO111,[13]AssetDetails_UEM!$A$3:$AH$1849,6,FALSE)</f>
        <v>Electrosurgical Units, Monopolar/Bipolar</v>
      </c>
      <c r="PCQ111" s="179" t="s">
        <v>428</v>
      </c>
      <c r="PCR111" s="180" t="str">
        <f>VLOOKUP(PCQ111,[13]AssetDetails_UEM!$A$3:$AH$1849,6,FALSE)</f>
        <v>Electrosurgical Units, Monopolar/Bipolar</v>
      </c>
      <c r="PCS111" s="179" t="s">
        <v>428</v>
      </c>
      <c r="PCT111" s="180" t="str">
        <f>VLOOKUP(PCS111,[13]AssetDetails_UEM!$A$3:$AH$1849,6,FALSE)</f>
        <v>Electrosurgical Units, Monopolar/Bipolar</v>
      </c>
      <c r="PCU111" s="179" t="s">
        <v>428</v>
      </c>
      <c r="PCV111" s="180" t="str">
        <f>VLOOKUP(PCU111,[13]AssetDetails_UEM!$A$3:$AH$1849,6,FALSE)</f>
        <v>Electrosurgical Units, Monopolar/Bipolar</v>
      </c>
      <c r="PCW111" s="179" t="s">
        <v>428</v>
      </c>
      <c r="PCX111" s="180" t="str">
        <f>VLOOKUP(PCW111,[13]AssetDetails_UEM!$A$3:$AH$1849,6,FALSE)</f>
        <v>Electrosurgical Units, Monopolar/Bipolar</v>
      </c>
      <c r="PCY111" s="179" t="s">
        <v>428</v>
      </c>
      <c r="PCZ111" s="180" t="str">
        <f>VLOOKUP(PCY111,[13]AssetDetails_UEM!$A$3:$AH$1849,6,FALSE)</f>
        <v>Electrosurgical Units, Monopolar/Bipolar</v>
      </c>
      <c r="PDA111" s="179" t="s">
        <v>428</v>
      </c>
      <c r="PDB111" s="180" t="str">
        <f>VLOOKUP(PDA111,[13]AssetDetails_UEM!$A$3:$AH$1849,6,FALSE)</f>
        <v>Electrosurgical Units, Monopolar/Bipolar</v>
      </c>
      <c r="PDC111" s="179" t="s">
        <v>428</v>
      </c>
      <c r="PDD111" s="180" t="str">
        <f>VLOOKUP(PDC111,[13]AssetDetails_UEM!$A$3:$AH$1849,6,FALSE)</f>
        <v>Electrosurgical Units, Monopolar/Bipolar</v>
      </c>
      <c r="PDE111" s="179" t="s">
        <v>428</v>
      </c>
      <c r="PDF111" s="180" t="str">
        <f>VLOOKUP(PDE111,[13]AssetDetails_UEM!$A$3:$AH$1849,6,FALSE)</f>
        <v>Electrosurgical Units, Monopolar/Bipolar</v>
      </c>
      <c r="PDG111" s="179" t="s">
        <v>428</v>
      </c>
      <c r="PDH111" s="180" t="str">
        <f>VLOOKUP(PDG111,[13]AssetDetails_UEM!$A$3:$AH$1849,6,FALSE)</f>
        <v>Electrosurgical Units, Monopolar/Bipolar</v>
      </c>
      <c r="PDI111" s="179" t="s">
        <v>428</v>
      </c>
      <c r="PDJ111" s="180" t="str">
        <f>VLOOKUP(PDI111,[13]AssetDetails_UEM!$A$3:$AH$1849,6,FALSE)</f>
        <v>Electrosurgical Units, Monopolar/Bipolar</v>
      </c>
      <c r="PDK111" s="179" t="s">
        <v>428</v>
      </c>
      <c r="PDL111" s="180" t="str">
        <f>VLOOKUP(PDK111,[13]AssetDetails_UEM!$A$3:$AH$1849,6,FALSE)</f>
        <v>Electrosurgical Units, Monopolar/Bipolar</v>
      </c>
      <c r="PDM111" s="179" t="s">
        <v>428</v>
      </c>
      <c r="PDN111" s="180" t="str">
        <f>VLOOKUP(PDM111,[13]AssetDetails_UEM!$A$3:$AH$1849,6,FALSE)</f>
        <v>Electrosurgical Units, Monopolar/Bipolar</v>
      </c>
      <c r="PDO111" s="179" t="s">
        <v>428</v>
      </c>
      <c r="PDP111" s="180" t="str">
        <f>VLOOKUP(PDO111,[13]AssetDetails_UEM!$A$3:$AH$1849,6,FALSE)</f>
        <v>Electrosurgical Units, Monopolar/Bipolar</v>
      </c>
      <c r="PDQ111" s="179" t="s">
        <v>428</v>
      </c>
      <c r="PDR111" s="180" t="str">
        <f>VLOOKUP(PDQ111,[13]AssetDetails_UEM!$A$3:$AH$1849,6,FALSE)</f>
        <v>Electrosurgical Units, Monopolar/Bipolar</v>
      </c>
      <c r="PDS111" s="179" t="s">
        <v>428</v>
      </c>
      <c r="PDT111" s="180" t="str">
        <f>VLOOKUP(PDS111,[13]AssetDetails_UEM!$A$3:$AH$1849,6,FALSE)</f>
        <v>Electrosurgical Units, Monopolar/Bipolar</v>
      </c>
      <c r="PDU111" s="179" t="s">
        <v>428</v>
      </c>
      <c r="PDV111" s="180" t="str">
        <f>VLOOKUP(PDU111,[13]AssetDetails_UEM!$A$3:$AH$1849,6,FALSE)</f>
        <v>Electrosurgical Units, Monopolar/Bipolar</v>
      </c>
      <c r="PDW111" s="179" t="s">
        <v>428</v>
      </c>
      <c r="PDX111" s="180" t="str">
        <f>VLOOKUP(PDW111,[13]AssetDetails_UEM!$A$3:$AH$1849,6,FALSE)</f>
        <v>Electrosurgical Units, Monopolar/Bipolar</v>
      </c>
      <c r="PDY111" s="179" t="s">
        <v>428</v>
      </c>
      <c r="PDZ111" s="180" t="str">
        <f>VLOOKUP(PDY111,[13]AssetDetails_UEM!$A$3:$AH$1849,6,FALSE)</f>
        <v>Electrosurgical Units, Monopolar/Bipolar</v>
      </c>
      <c r="PEA111" s="179" t="s">
        <v>428</v>
      </c>
      <c r="PEB111" s="180" t="str">
        <f>VLOOKUP(PEA111,[13]AssetDetails_UEM!$A$3:$AH$1849,6,FALSE)</f>
        <v>Electrosurgical Units, Monopolar/Bipolar</v>
      </c>
      <c r="PEC111" s="179" t="s">
        <v>428</v>
      </c>
      <c r="PED111" s="180" t="str">
        <f>VLOOKUP(PEC111,[13]AssetDetails_UEM!$A$3:$AH$1849,6,FALSE)</f>
        <v>Electrosurgical Units, Monopolar/Bipolar</v>
      </c>
      <c r="PEE111" s="179" t="s">
        <v>428</v>
      </c>
      <c r="PEF111" s="180" t="str">
        <f>VLOOKUP(PEE111,[13]AssetDetails_UEM!$A$3:$AH$1849,6,FALSE)</f>
        <v>Electrosurgical Units, Monopolar/Bipolar</v>
      </c>
      <c r="PEG111" s="179" t="s">
        <v>428</v>
      </c>
      <c r="PEH111" s="180" t="str">
        <f>VLOOKUP(PEG111,[13]AssetDetails_UEM!$A$3:$AH$1849,6,FALSE)</f>
        <v>Electrosurgical Units, Monopolar/Bipolar</v>
      </c>
      <c r="PEI111" s="179" t="s">
        <v>428</v>
      </c>
      <c r="PEJ111" s="180" t="str">
        <f>VLOOKUP(PEI111,[13]AssetDetails_UEM!$A$3:$AH$1849,6,FALSE)</f>
        <v>Electrosurgical Units, Monopolar/Bipolar</v>
      </c>
      <c r="PEK111" s="179" t="s">
        <v>428</v>
      </c>
      <c r="PEL111" s="180" t="str">
        <f>VLOOKUP(PEK111,[13]AssetDetails_UEM!$A$3:$AH$1849,6,FALSE)</f>
        <v>Electrosurgical Units, Monopolar/Bipolar</v>
      </c>
      <c r="PEM111" s="179" t="s">
        <v>428</v>
      </c>
      <c r="PEN111" s="180" t="str">
        <f>VLOOKUP(PEM111,[13]AssetDetails_UEM!$A$3:$AH$1849,6,FALSE)</f>
        <v>Electrosurgical Units, Monopolar/Bipolar</v>
      </c>
      <c r="PEO111" s="179" t="s">
        <v>428</v>
      </c>
      <c r="PEP111" s="180" t="str">
        <f>VLOOKUP(PEO111,[13]AssetDetails_UEM!$A$3:$AH$1849,6,FALSE)</f>
        <v>Electrosurgical Units, Monopolar/Bipolar</v>
      </c>
      <c r="PEQ111" s="179" t="s">
        <v>428</v>
      </c>
      <c r="PER111" s="180" t="str">
        <f>VLOOKUP(PEQ111,[13]AssetDetails_UEM!$A$3:$AH$1849,6,FALSE)</f>
        <v>Electrosurgical Units, Monopolar/Bipolar</v>
      </c>
      <c r="PES111" s="179" t="s">
        <v>428</v>
      </c>
      <c r="PET111" s="180" t="str">
        <f>VLOOKUP(PES111,[13]AssetDetails_UEM!$A$3:$AH$1849,6,FALSE)</f>
        <v>Electrosurgical Units, Monopolar/Bipolar</v>
      </c>
      <c r="PEU111" s="179" t="s">
        <v>428</v>
      </c>
      <c r="PEV111" s="180" t="str">
        <f>VLOOKUP(PEU111,[13]AssetDetails_UEM!$A$3:$AH$1849,6,FALSE)</f>
        <v>Electrosurgical Units, Monopolar/Bipolar</v>
      </c>
      <c r="PEW111" s="179" t="s">
        <v>428</v>
      </c>
      <c r="PEX111" s="180" t="str">
        <f>VLOOKUP(PEW111,[13]AssetDetails_UEM!$A$3:$AH$1849,6,FALSE)</f>
        <v>Electrosurgical Units, Monopolar/Bipolar</v>
      </c>
      <c r="PEY111" s="179" t="s">
        <v>428</v>
      </c>
      <c r="PEZ111" s="180" t="str">
        <f>VLOOKUP(PEY111,[13]AssetDetails_UEM!$A$3:$AH$1849,6,FALSE)</f>
        <v>Electrosurgical Units, Monopolar/Bipolar</v>
      </c>
      <c r="PFA111" s="179" t="s">
        <v>428</v>
      </c>
      <c r="PFB111" s="180" t="str">
        <f>VLOOKUP(PFA111,[13]AssetDetails_UEM!$A$3:$AH$1849,6,FALSE)</f>
        <v>Electrosurgical Units, Monopolar/Bipolar</v>
      </c>
      <c r="PFC111" s="179" t="s">
        <v>428</v>
      </c>
      <c r="PFD111" s="180" t="str">
        <f>VLOOKUP(PFC111,[13]AssetDetails_UEM!$A$3:$AH$1849,6,FALSE)</f>
        <v>Electrosurgical Units, Monopolar/Bipolar</v>
      </c>
      <c r="PFE111" s="179" t="s">
        <v>428</v>
      </c>
      <c r="PFF111" s="180" t="str">
        <f>VLOOKUP(PFE111,[13]AssetDetails_UEM!$A$3:$AH$1849,6,FALSE)</f>
        <v>Electrosurgical Units, Monopolar/Bipolar</v>
      </c>
      <c r="PFG111" s="179" t="s">
        <v>428</v>
      </c>
      <c r="PFH111" s="180" t="str">
        <f>VLOOKUP(PFG111,[13]AssetDetails_UEM!$A$3:$AH$1849,6,FALSE)</f>
        <v>Electrosurgical Units, Monopolar/Bipolar</v>
      </c>
      <c r="PFI111" s="179" t="s">
        <v>428</v>
      </c>
      <c r="PFJ111" s="180" t="str">
        <f>VLOOKUP(PFI111,[13]AssetDetails_UEM!$A$3:$AH$1849,6,FALSE)</f>
        <v>Electrosurgical Units, Monopolar/Bipolar</v>
      </c>
      <c r="PFK111" s="179" t="s">
        <v>428</v>
      </c>
      <c r="PFL111" s="180" t="str">
        <f>VLOOKUP(PFK111,[13]AssetDetails_UEM!$A$3:$AH$1849,6,FALSE)</f>
        <v>Electrosurgical Units, Monopolar/Bipolar</v>
      </c>
      <c r="PFM111" s="179" t="s">
        <v>428</v>
      </c>
      <c r="PFN111" s="180" t="str">
        <f>VLOOKUP(PFM111,[13]AssetDetails_UEM!$A$3:$AH$1849,6,FALSE)</f>
        <v>Electrosurgical Units, Monopolar/Bipolar</v>
      </c>
      <c r="PFO111" s="179" t="s">
        <v>428</v>
      </c>
      <c r="PFP111" s="180" t="str">
        <f>VLOOKUP(PFO111,[13]AssetDetails_UEM!$A$3:$AH$1849,6,FALSE)</f>
        <v>Electrosurgical Units, Monopolar/Bipolar</v>
      </c>
      <c r="PFQ111" s="179" t="s">
        <v>428</v>
      </c>
      <c r="PFR111" s="180" t="str">
        <f>VLOOKUP(PFQ111,[13]AssetDetails_UEM!$A$3:$AH$1849,6,FALSE)</f>
        <v>Electrosurgical Units, Monopolar/Bipolar</v>
      </c>
      <c r="PFS111" s="179" t="s">
        <v>428</v>
      </c>
      <c r="PFT111" s="180" t="str">
        <f>VLOOKUP(PFS111,[13]AssetDetails_UEM!$A$3:$AH$1849,6,FALSE)</f>
        <v>Electrosurgical Units, Monopolar/Bipolar</v>
      </c>
      <c r="PFU111" s="179" t="s">
        <v>428</v>
      </c>
      <c r="PFV111" s="180" t="str">
        <f>VLOOKUP(PFU111,[13]AssetDetails_UEM!$A$3:$AH$1849,6,FALSE)</f>
        <v>Electrosurgical Units, Monopolar/Bipolar</v>
      </c>
      <c r="PFW111" s="179" t="s">
        <v>428</v>
      </c>
      <c r="PFX111" s="180" t="str">
        <f>VLOOKUP(PFW111,[13]AssetDetails_UEM!$A$3:$AH$1849,6,FALSE)</f>
        <v>Electrosurgical Units, Monopolar/Bipolar</v>
      </c>
      <c r="PFY111" s="179" t="s">
        <v>428</v>
      </c>
      <c r="PFZ111" s="180" t="str">
        <f>VLOOKUP(PFY111,[13]AssetDetails_UEM!$A$3:$AH$1849,6,FALSE)</f>
        <v>Electrosurgical Units, Monopolar/Bipolar</v>
      </c>
      <c r="PGA111" s="179" t="s">
        <v>428</v>
      </c>
      <c r="PGB111" s="180" t="str">
        <f>VLOOKUP(PGA111,[13]AssetDetails_UEM!$A$3:$AH$1849,6,FALSE)</f>
        <v>Electrosurgical Units, Monopolar/Bipolar</v>
      </c>
      <c r="PGC111" s="179" t="s">
        <v>428</v>
      </c>
      <c r="PGD111" s="180" t="str">
        <f>VLOOKUP(PGC111,[13]AssetDetails_UEM!$A$3:$AH$1849,6,FALSE)</f>
        <v>Electrosurgical Units, Monopolar/Bipolar</v>
      </c>
      <c r="PGE111" s="179" t="s">
        <v>428</v>
      </c>
      <c r="PGF111" s="180" t="str">
        <f>VLOOKUP(PGE111,[13]AssetDetails_UEM!$A$3:$AH$1849,6,FALSE)</f>
        <v>Electrosurgical Units, Monopolar/Bipolar</v>
      </c>
      <c r="PGG111" s="179" t="s">
        <v>428</v>
      </c>
      <c r="PGH111" s="180" t="str">
        <f>VLOOKUP(PGG111,[13]AssetDetails_UEM!$A$3:$AH$1849,6,FALSE)</f>
        <v>Electrosurgical Units, Monopolar/Bipolar</v>
      </c>
      <c r="PGI111" s="179" t="s">
        <v>428</v>
      </c>
      <c r="PGJ111" s="180" t="str">
        <f>VLOOKUP(PGI111,[13]AssetDetails_UEM!$A$3:$AH$1849,6,FALSE)</f>
        <v>Electrosurgical Units, Monopolar/Bipolar</v>
      </c>
      <c r="PGK111" s="179" t="s">
        <v>428</v>
      </c>
      <c r="PGL111" s="180" t="str">
        <f>VLOOKUP(PGK111,[13]AssetDetails_UEM!$A$3:$AH$1849,6,FALSE)</f>
        <v>Electrosurgical Units, Monopolar/Bipolar</v>
      </c>
      <c r="PGM111" s="179" t="s">
        <v>428</v>
      </c>
      <c r="PGN111" s="180" t="str">
        <f>VLOOKUP(PGM111,[13]AssetDetails_UEM!$A$3:$AH$1849,6,FALSE)</f>
        <v>Electrosurgical Units, Monopolar/Bipolar</v>
      </c>
      <c r="PGO111" s="179" t="s">
        <v>428</v>
      </c>
      <c r="PGP111" s="180" t="str">
        <f>VLOOKUP(PGO111,[13]AssetDetails_UEM!$A$3:$AH$1849,6,FALSE)</f>
        <v>Electrosurgical Units, Monopolar/Bipolar</v>
      </c>
      <c r="PGQ111" s="179" t="s">
        <v>428</v>
      </c>
      <c r="PGR111" s="180" t="str">
        <f>VLOOKUP(PGQ111,[13]AssetDetails_UEM!$A$3:$AH$1849,6,FALSE)</f>
        <v>Electrosurgical Units, Monopolar/Bipolar</v>
      </c>
      <c r="PGS111" s="179" t="s">
        <v>428</v>
      </c>
      <c r="PGT111" s="180" t="str">
        <f>VLOOKUP(PGS111,[13]AssetDetails_UEM!$A$3:$AH$1849,6,FALSE)</f>
        <v>Electrosurgical Units, Monopolar/Bipolar</v>
      </c>
      <c r="PGU111" s="179" t="s">
        <v>428</v>
      </c>
      <c r="PGV111" s="180" t="str">
        <f>VLOOKUP(PGU111,[13]AssetDetails_UEM!$A$3:$AH$1849,6,FALSE)</f>
        <v>Electrosurgical Units, Monopolar/Bipolar</v>
      </c>
      <c r="PGW111" s="179" t="s">
        <v>428</v>
      </c>
      <c r="PGX111" s="180" t="str">
        <f>VLOOKUP(PGW111,[13]AssetDetails_UEM!$A$3:$AH$1849,6,FALSE)</f>
        <v>Electrosurgical Units, Monopolar/Bipolar</v>
      </c>
      <c r="PGY111" s="179" t="s">
        <v>428</v>
      </c>
      <c r="PGZ111" s="180" t="str">
        <f>VLOOKUP(PGY111,[13]AssetDetails_UEM!$A$3:$AH$1849,6,FALSE)</f>
        <v>Electrosurgical Units, Monopolar/Bipolar</v>
      </c>
      <c r="PHA111" s="179" t="s">
        <v>428</v>
      </c>
      <c r="PHB111" s="180" t="str">
        <f>VLOOKUP(PHA111,[13]AssetDetails_UEM!$A$3:$AH$1849,6,FALSE)</f>
        <v>Electrosurgical Units, Monopolar/Bipolar</v>
      </c>
      <c r="PHC111" s="179" t="s">
        <v>428</v>
      </c>
      <c r="PHD111" s="180" t="str">
        <f>VLOOKUP(PHC111,[13]AssetDetails_UEM!$A$3:$AH$1849,6,FALSE)</f>
        <v>Electrosurgical Units, Monopolar/Bipolar</v>
      </c>
      <c r="PHE111" s="179" t="s">
        <v>428</v>
      </c>
      <c r="PHF111" s="180" t="str">
        <f>VLOOKUP(PHE111,[13]AssetDetails_UEM!$A$3:$AH$1849,6,FALSE)</f>
        <v>Electrosurgical Units, Monopolar/Bipolar</v>
      </c>
      <c r="PHG111" s="179" t="s">
        <v>428</v>
      </c>
      <c r="PHH111" s="180" t="str">
        <f>VLOOKUP(PHG111,[13]AssetDetails_UEM!$A$3:$AH$1849,6,FALSE)</f>
        <v>Electrosurgical Units, Monopolar/Bipolar</v>
      </c>
      <c r="PHI111" s="179" t="s">
        <v>428</v>
      </c>
      <c r="PHJ111" s="180" t="str">
        <f>VLOOKUP(PHI111,[13]AssetDetails_UEM!$A$3:$AH$1849,6,FALSE)</f>
        <v>Electrosurgical Units, Monopolar/Bipolar</v>
      </c>
      <c r="PHK111" s="179" t="s">
        <v>428</v>
      </c>
      <c r="PHL111" s="180" t="str">
        <f>VLOOKUP(PHK111,[13]AssetDetails_UEM!$A$3:$AH$1849,6,FALSE)</f>
        <v>Electrosurgical Units, Monopolar/Bipolar</v>
      </c>
      <c r="PHM111" s="179" t="s">
        <v>428</v>
      </c>
      <c r="PHN111" s="180" t="str">
        <f>VLOOKUP(PHM111,[13]AssetDetails_UEM!$A$3:$AH$1849,6,FALSE)</f>
        <v>Electrosurgical Units, Monopolar/Bipolar</v>
      </c>
      <c r="PHO111" s="179" t="s">
        <v>428</v>
      </c>
      <c r="PHP111" s="180" t="str">
        <f>VLOOKUP(PHO111,[13]AssetDetails_UEM!$A$3:$AH$1849,6,FALSE)</f>
        <v>Electrosurgical Units, Monopolar/Bipolar</v>
      </c>
      <c r="PHQ111" s="179" t="s">
        <v>428</v>
      </c>
      <c r="PHR111" s="180" t="str">
        <f>VLOOKUP(PHQ111,[13]AssetDetails_UEM!$A$3:$AH$1849,6,FALSE)</f>
        <v>Electrosurgical Units, Monopolar/Bipolar</v>
      </c>
      <c r="PHS111" s="179" t="s">
        <v>428</v>
      </c>
      <c r="PHT111" s="180" t="str">
        <f>VLOOKUP(PHS111,[13]AssetDetails_UEM!$A$3:$AH$1849,6,FALSE)</f>
        <v>Electrosurgical Units, Monopolar/Bipolar</v>
      </c>
      <c r="PHU111" s="179" t="s">
        <v>428</v>
      </c>
      <c r="PHV111" s="180" t="str">
        <f>VLOOKUP(PHU111,[13]AssetDetails_UEM!$A$3:$AH$1849,6,FALSE)</f>
        <v>Electrosurgical Units, Monopolar/Bipolar</v>
      </c>
      <c r="PHW111" s="179" t="s">
        <v>428</v>
      </c>
      <c r="PHX111" s="180" t="str">
        <f>VLOOKUP(PHW111,[13]AssetDetails_UEM!$A$3:$AH$1849,6,FALSE)</f>
        <v>Electrosurgical Units, Monopolar/Bipolar</v>
      </c>
      <c r="PHY111" s="179" t="s">
        <v>428</v>
      </c>
      <c r="PHZ111" s="180" t="str">
        <f>VLOOKUP(PHY111,[13]AssetDetails_UEM!$A$3:$AH$1849,6,FALSE)</f>
        <v>Electrosurgical Units, Monopolar/Bipolar</v>
      </c>
      <c r="PIA111" s="179" t="s">
        <v>428</v>
      </c>
      <c r="PIB111" s="180" t="str">
        <f>VLOOKUP(PIA111,[13]AssetDetails_UEM!$A$3:$AH$1849,6,FALSE)</f>
        <v>Electrosurgical Units, Monopolar/Bipolar</v>
      </c>
      <c r="PIC111" s="179" t="s">
        <v>428</v>
      </c>
      <c r="PID111" s="180" t="str">
        <f>VLOOKUP(PIC111,[13]AssetDetails_UEM!$A$3:$AH$1849,6,FALSE)</f>
        <v>Electrosurgical Units, Monopolar/Bipolar</v>
      </c>
      <c r="PIE111" s="179" t="s">
        <v>428</v>
      </c>
      <c r="PIF111" s="180" t="str">
        <f>VLOOKUP(PIE111,[13]AssetDetails_UEM!$A$3:$AH$1849,6,FALSE)</f>
        <v>Electrosurgical Units, Monopolar/Bipolar</v>
      </c>
      <c r="PIG111" s="179" t="s">
        <v>428</v>
      </c>
      <c r="PIH111" s="180" t="str">
        <f>VLOOKUP(PIG111,[13]AssetDetails_UEM!$A$3:$AH$1849,6,FALSE)</f>
        <v>Electrosurgical Units, Monopolar/Bipolar</v>
      </c>
      <c r="PII111" s="179" t="s">
        <v>428</v>
      </c>
      <c r="PIJ111" s="180" t="str">
        <f>VLOOKUP(PII111,[13]AssetDetails_UEM!$A$3:$AH$1849,6,FALSE)</f>
        <v>Electrosurgical Units, Monopolar/Bipolar</v>
      </c>
      <c r="PIK111" s="179" t="s">
        <v>428</v>
      </c>
      <c r="PIL111" s="180" t="str">
        <f>VLOOKUP(PIK111,[13]AssetDetails_UEM!$A$3:$AH$1849,6,FALSE)</f>
        <v>Electrosurgical Units, Monopolar/Bipolar</v>
      </c>
      <c r="PIM111" s="179" t="s">
        <v>428</v>
      </c>
      <c r="PIN111" s="180" t="str">
        <f>VLOOKUP(PIM111,[13]AssetDetails_UEM!$A$3:$AH$1849,6,FALSE)</f>
        <v>Electrosurgical Units, Monopolar/Bipolar</v>
      </c>
      <c r="PIO111" s="179" t="s">
        <v>428</v>
      </c>
      <c r="PIP111" s="180" t="str">
        <f>VLOOKUP(PIO111,[13]AssetDetails_UEM!$A$3:$AH$1849,6,FALSE)</f>
        <v>Electrosurgical Units, Monopolar/Bipolar</v>
      </c>
      <c r="PIQ111" s="179" t="s">
        <v>428</v>
      </c>
      <c r="PIR111" s="180" t="str">
        <f>VLOOKUP(PIQ111,[13]AssetDetails_UEM!$A$3:$AH$1849,6,FALSE)</f>
        <v>Electrosurgical Units, Monopolar/Bipolar</v>
      </c>
      <c r="PIS111" s="179" t="s">
        <v>428</v>
      </c>
      <c r="PIT111" s="180" t="str">
        <f>VLOOKUP(PIS111,[13]AssetDetails_UEM!$A$3:$AH$1849,6,FALSE)</f>
        <v>Electrosurgical Units, Monopolar/Bipolar</v>
      </c>
      <c r="PIU111" s="179" t="s">
        <v>428</v>
      </c>
      <c r="PIV111" s="180" t="str">
        <f>VLOOKUP(PIU111,[13]AssetDetails_UEM!$A$3:$AH$1849,6,FALSE)</f>
        <v>Electrosurgical Units, Monopolar/Bipolar</v>
      </c>
      <c r="PIW111" s="179" t="s">
        <v>428</v>
      </c>
      <c r="PIX111" s="180" t="str">
        <f>VLOOKUP(PIW111,[13]AssetDetails_UEM!$A$3:$AH$1849,6,FALSE)</f>
        <v>Electrosurgical Units, Monopolar/Bipolar</v>
      </c>
      <c r="PIY111" s="179" t="s">
        <v>428</v>
      </c>
      <c r="PIZ111" s="180" t="str">
        <f>VLOOKUP(PIY111,[13]AssetDetails_UEM!$A$3:$AH$1849,6,FALSE)</f>
        <v>Electrosurgical Units, Monopolar/Bipolar</v>
      </c>
      <c r="PJA111" s="179" t="s">
        <v>428</v>
      </c>
      <c r="PJB111" s="180" t="str">
        <f>VLOOKUP(PJA111,[13]AssetDetails_UEM!$A$3:$AH$1849,6,FALSE)</f>
        <v>Electrosurgical Units, Monopolar/Bipolar</v>
      </c>
      <c r="PJC111" s="179" t="s">
        <v>428</v>
      </c>
      <c r="PJD111" s="180" t="str">
        <f>VLOOKUP(PJC111,[13]AssetDetails_UEM!$A$3:$AH$1849,6,FALSE)</f>
        <v>Electrosurgical Units, Monopolar/Bipolar</v>
      </c>
      <c r="PJE111" s="179" t="s">
        <v>428</v>
      </c>
      <c r="PJF111" s="180" t="str">
        <f>VLOOKUP(PJE111,[13]AssetDetails_UEM!$A$3:$AH$1849,6,FALSE)</f>
        <v>Electrosurgical Units, Monopolar/Bipolar</v>
      </c>
      <c r="PJG111" s="179" t="s">
        <v>428</v>
      </c>
      <c r="PJH111" s="180" t="str">
        <f>VLOOKUP(PJG111,[13]AssetDetails_UEM!$A$3:$AH$1849,6,FALSE)</f>
        <v>Electrosurgical Units, Monopolar/Bipolar</v>
      </c>
      <c r="PJI111" s="179" t="s">
        <v>428</v>
      </c>
      <c r="PJJ111" s="180" t="str">
        <f>VLOOKUP(PJI111,[13]AssetDetails_UEM!$A$3:$AH$1849,6,FALSE)</f>
        <v>Electrosurgical Units, Monopolar/Bipolar</v>
      </c>
      <c r="PJK111" s="179" t="s">
        <v>428</v>
      </c>
      <c r="PJL111" s="180" t="str">
        <f>VLOOKUP(PJK111,[13]AssetDetails_UEM!$A$3:$AH$1849,6,FALSE)</f>
        <v>Electrosurgical Units, Monopolar/Bipolar</v>
      </c>
      <c r="PJM111" s="179" t="s">
        <v>428</v>
      </c>
      <c r="PJN111" s="180" t="str">
        <f>VLOOKUP(PJM111,[13]AssetDetails_UEM!$A$3:$AH$1849,6,FALSE)</f>
        <v>Electrosurgical Units, Monopolar/Bipolar</v>
      </c>
      <c r="PJO111" s="179" t="s">
        <v>428</v>
      </c>
      <c r="PJP111" s="180" t="str">
        <f>VLOOKUP(PJO111,[13]AssetDetails_UEM!$A$3:$AH$1849,6,FALSE)</f>
        <v>Electrosurgical Units, Monopolar/Bipolar</v>
      </c>
      <c r="PJQ111" s="179" t="s">
        <v>428</v>
      </c>
      <c r="PJR111" s="180" t="str">
        <f>VLOOKUP(PJQ111,[13]AssetDetails_UEM!$A$3:$AH$1849,6,FALSE)</f>
        <v>Electrosurgical Units, Monopolar/Bipolar</v>
      </c>
      <c r="PJS111" s="179" t="s">
        <v>428</v>
      </c>
      <c r="PJT111" s="180" t="str">
        <f>VLOOKUP(PJS111,[13]AssetDetails_UEM!$A$3:$AH$1849,6,FALSE)</f>
        <v>Electrosurgical Units, Monopolar/Bipolar</v>
      </c>
      <c r="PJU111" s="179" t="s">
        <v>428</v>
      </c>
      <c r="PJV111" s="180" t="str">
        <f>VLOOKUP(PJU111,[13]AssetDetails_UEM!$A$3:$AH$1849,6,FALSE)</f>
        <v>Electrosurgical Units, Monopolar/Bipolar</v>
      </c>
      <c r="PJW111" s="179" t="s">
        <v>428</v>
      </c>
      <c r="PJX111" s="180" t="str">
        <f>VLOOKUP(PJW111,[13]AssetDetails_UEM!$A$3:$AH$1849,6,FALSE)</f>
        <v>Electrosurgical Units, Monopolar/Bipolar</v>
      </c>
      <c r="PJY111" s="179" t="s">
        <v>428</v>
      </c>
      <c r="PJZ111" s="180" t="str">
        <f>VLOOKUP(PJY111,[13]AssetDetails_UEM!$A$3:$AH$1849,6,FALSE)</f>
        <v>Electrosurgical Units, Monopolar/Bipolar</v>
      </c>
      <c r="PKA111" s="179" t="s">
        <v>428</v>
      </c>
      <c r="PKB111" s="180" t="str">
        <f>VLOOKUP(PKA111,[13]AssetDetails_UEM!$A$3:$AH$1849,6,FALSE)</f>
        <v>Electrosurgical Units, Monopolar/Bipolar</v>
      </c>
      <c r="PKC111" s="179" t="s">
        <v>428</v>
      </c>
      <c r="PKD111" s="180" t="str">
        <f>VLOOKUP(PKC111,[13]AssetDetails_UEM!$A$3:$AH$1849,6,FALSE)</f>
        <v>Electrosurgical Units, Monopolar/Bipolar</v>
      </c>
      <c r="PKE111" s="179" t="s">
        <v>428</v>
      </c>
      <c r="PKF111" s="180" t="str">
        <f>VLOOKUP(PKE111,[13]AssetDetails_UEM!$A$3:$AH$1849,6,FALSE)</f>
        <v>Electrosurgical Units, Monopolar/Bipolar</v>
      </c>
      <c r="PKG111" s="179" t="s">
        <v>428</v>
      </c>
      <c r="PKH111" s="180" t="str">
        <f>VLOOKUP(PKG111,[13]AssetDetails_UEM!$A$3:$AH$1849,6,FALSE)</f>
        <v>Electrosurgical Units, Monopolar/Bipolar</v>
      </c>
      <c r="PKI111" s="179" t="s">
        <v>428</v>
      </c>
      <c r="PKJ111" s="180" t="str">
        <f>VLOOKUP(PKI111,[13]AssetDetails_UEM!$A$3:$AH$1849,6,FALSE)</f>
        <v>Electrosurgical Units, Monopolar/Bipolar</v>
      </c>
      <c r="PKK111" s="179" t="s">
        <v>428</v>
      </c>
      <c r="PKL111" s="180" t="str">
        <f>VLOOKUP(PKK111,[13]AssetDetails_UEM!$A$3:$AH$1849,6,FALSE)</f>
        <v>Electrosurgical Units, Monopolar/Bipolar</v>
      </c>
      <c r="PKM111" s="179" t="s">
        <v>428</v>
      </c>
      <c r="PKN111" s="180" t="str">
        <f>VLOOKUP(PKM111,[13]AssetDetails_UEM!$A$3:$AH$1849,6,FALSE)</f>
        <v>Electrosurgical Units, Monopolar/Bipolar</v>
      </c>
      <c r="PKO111" s="179" t="s">
        <v>428</v>
      </c>
      <c r="PKP111" s="180" t="str">
        <f>VLOOKUP(PKO111,[13]AssetDetails_UEM!$A$3:$AH$1849,6,FALSE)</f>
        <v>Electrosurgical Units, Monopolar/Bipolar</v>
      </c>
      <c r="PKQ111" s="179" t="s">
        <v>428</v>
      </c>
      <c r="PKR111" s="180" t="str">
        <f>VLOOKUP(PKQ111,[13]AssetDetails_UEM!$A$3:$AH$1849,6,FALSE)</f>
        <v>Electrosurgical Units, Monopolar/Bipolar</v>
      </c>
      <c r="PKS111" s="179" t="s">
        <v>428</v>
      </c>
      <c r="PKT111" s="180" t="str">
        <f>VLOOKUP(PKS111,[13]AssetDetails_UEM!$A$3:$AH$1849,6,FALSE)</f>
        <v>Electrosurgical Units, Monopolar/Bipolar</v>
      </c>
      <c r="PKU111" s="179" t="s">
        <v>428</v>
      </c>
      <c r="PKV111" s="180" t="str">
        <f>VLOOKUP(PKU111,[13]AssetDetails_UEM!$A$3:$AH$1849,6,FALSE)</f>
        <v>Electrosurgical Units, Monopolar/Bipolar</v>
      </c>
      <c r="PKW111" s="179" t="s">
        <v>428</v>
      </c>
      <c r="PKX111" s="180" t="str">
        <f>VLOOKUP(PKW111,[13]AssetDetails_UEM!$A$3:$AH$1849,6,FALSE)</f>
        <v>Electrosurgical Units, Monopolar/Bipolar</v>
      </c>
      <c r="PKY111" s="179" t="s">
        <v>428</v>
      </c>
      <c r="PKZ111" s="180" t="str">
        <f>VLOOKUP(PKY111,[13]AssetDetails_UEM!$A$3:$AH$1849,6,FALSE)</f>
        <v>Electrosurgical Units, Monopolar/Bipolar</v>
      </c>
      <c r="PLA111" s="179" t="s">
        <v>428</v>
      </c>
      <c r="PLB111" s="180" t="str">
        <f>VLOOKUP(PLA111,[13]AssetDetails_UEM!$A$3:$AH$1849,6,FALSE)</f>
        <v>Electrosurgical Units, Monopolar/Bipolar</v>
      </c>
      <c r="PLC111" s="179" t="s">
        <v>428</v>
      </c>
      <c r="PLD111" s="180" t="str">
        <f>VLOOKUP(PLC111,[13]AssetDetails_UEM!$A$3:$AH$1849,6,FALSE)</f>
        <v>Electrosurgical Units, Monopolar/Bipolar</v>
      </c>
      <c r="PLE111" s="179" t="s">
        <v>428</v>
      </c>
      <c r="PLF111" s="180" t="str">
        <f>VLOOKUP(PLE111,[13]AssetDetails_UEM!$A$3:$AH$1849,6,FALSE)</f>
        <v>Electrosurgical Units, Monopolar/Bipolar</v>
      </c>
      <c r="PLG111" s="179" t="s">
        <v>428</v>
      </c>
      <c r="PLH111" s="180" t="str">
        <f>VLOOKUP(PLG111,[13]AssetDetails_UEM!$A$3:$AH$1849,6,FALSE)</f>
        <v>Electrosurgical Units, Monopolar/Bipolar</v>
      </c>
      <c r="PLI111" s="179" t="s">
        <v>428</v>
      </c>
      <c r="PLJ111" s="180" t="str">
        <f>VLOOKUP(PLI111,[13]AssetDetails_UEM!$A$3:$AH$1849,6,FALSE)</f>
        <v>Electrosurgical Units, Monopolar/Bipolar</v>
      </c>
      <c r="PLK111" s="179" t="s">
        <v>428</v>
      </c>
      <c r="PLL111" s="180" t="str">
        <f>VLOOKUP(PLK111,[13]AssetDetails_UEM!$A$3:$AH$1849,6,FALSE)</f>
        <v>Electrosurgical Units, Monopolar/Bipolar</v>
      </c>
      <c r="PLM111" s="179" t="s">
        <v>428</v>
      </c>
      <c r="PLN111" s="180" t="str">
        <f>VLOOKUP(PLM111,[13]AssetDetails_UEM!$A$3:$AH$1849,6,FALSE)</f>
        <v>Electrosurgical Units, Monopolar/Bipolar</v>
      </c>
      <c r="PLO111" s="179" t="s">
        <v>428</v>
      </c>
      <c r="PLP111" s="180" t="str">
        <f>VLOOKUP(PLO111,[13]AssetDetails_UEM!$A$3:$AH$1849,6,FALSE)</f>
        <v>Electrosurgical Units, Monopolar/Bipolar</v>
      </c>
      <c r="PLQ111" s="179" t="s">
        <v>428</v>
      </c>
      <c r="PLR111" s="180" t="str">
        <f>VLOOKUP(PLQ111,[13]AssetDetails_UEM!$A$3:$AH$1849,6,FALSE)</f>
        <v>Electrosurgical Units, Monopolar/Bipolar</v>
      </c>
      <c r="PLS111" s="179" t="s">
        <v>428</v>
      </c>
      <c r="PLT111" s="180" t="str">
        <f>VLOOKUP(PLS111,[13]AssetDetails_UEM!$A$3:$AH$1849,6,FALSE)</f>
        <v>Electrosurgical Units, Monopolar/Bipolar</v>
      </c>
      <c r="PLU111" s="179" t="s">
        <v>428</v>
      </c>
      <c r="PLV111" s="180" t="str">
        <f>VLOOKUP(PLU111,[13]AssetDetails_UEM!$A$3:$AH$1849,6,FALSE)</f>
        <v>Electrosurgical Units, Monopolar/Bipolar</v>
      </c>
      <c r="PLW111" s="179" t="s">
        <v>428</v>
      </c>
      <c r="PLX111" s="180" t="str">
        <f>VLOOKUP(PLW111,[13]AssetDetails_UEM!$A$3:$AH$1849,6,FALSE)</f>
        <v>Electrosurgical Units, Monopolar/Bipolar</v>
      </c>
      <c r="PLY111" s="179" t="s">
        <v>428</v>
      </c>
      <c r="PLZ111" s="180" t="str">
        <f>VLOOKUP(PLY111,[13]AssetDetails_UEM!$A$3:$AH$1849,6,FALSE)</f>
        <v>Electrosurgical Units, Monopolar/Bipolar</v>
      </c>
      <c r="PMA111" s="179" t="s">
        <v>428</v>
      </c>
      <c r="PMB111" s="180" t="str">
        <f>VLOOKUP(PMA111,[13]AssetDetails_UEM!$A$3:$AH$1849,6,FALSE)</f>
        <v>Electrosurgical Units, Monopolar/Bipolar</v>
      </c>
      <c r="PMC111" s="179" t="s">
        <v>428</v>
      </c>
      <c r="PMD111" s="180" t="str">
        <f>VLOOKUP(PMC111,[13]AssetDetails_UEM!$A$3:$AH$1849,6,FALSE)</f>
        <v>Electrosurgical Units, Monopolar/Bipolar</v>
      </c>
      <c r="PME111" s="179" t="s">
        <v>428</v>
      </c>
      <c r="PMF111" s="180" t="str">
        <f>VLOOKUP(PME111,[13]AssetDetails_UEM!$A$3:$AH$1849,6,FALSE)</f>
        <v>Electrosurgical Units, Monopolar/Bipolar</v>
      </c>
      <c r="PMG111" s="179" t="s">
        <v>428</v>
      </c>
      <c r="PMH111" s="180" t="str">
        <f>VLOOKUP(PMG111,[13]AssetDetails_UEM!$A$3:$AH$1849,6,FALSE)</f>
        <v>Electrosurgical Units, Monopolar/Bipolar</v>
      </c>
      <c r="PMI111" s="179" t="s">
        <v>428</v>
      </c>
      <c r="PMJ111" s="180" t="str">
        <f>VLOOKUP(PMI111,[13]AssetDetails_UEM!$A$3:$AH$1849,6,FALSE)</f>
        <v>Electrosurgical Units, Monopolar/Bipolar</v>
      </c>
      <c r="PMK111" s="179" t="s">
        <v>428</v>
      </c>
      <c r="PML111" s="180" t="str">
        <f>VLOOKUP(PMK111,[13]AssetDetails_UEM!$A$3:$AH$1849,6,FALSE)</f>
        <v>Electrosurgical Units, Monopolar/Bipolar</v>
      </c>
      <c r="PMM111" s="179" t="s">
        <v>428</v>
      </c>
      <c r="PMN111" s="180" t="str">
        <f>VLOOKUP(PMM111,[13]AssetDetails_UEM!$A$3:$AH$1849,6,FALSE)</f>
        <v>Electrosurgical Units, Monopolar/Bipolar</v>
      </c>
      <c r="PMO111" s="179" t="s">
        <v>428</v>
      </c>
      <c r="PMP111" s="180" t="str">
        <f>VLOOKUP(PMO111,[13]AssetDetails_UEM!$A$3:$AH$1849,6,FALSE)</f>
        <v>Electrosurgical Units, Monopolar/Bipolar</v>
      </c>
      <c r="PMQ111" s="179" t="s">
        <v>428</v>
      </c>
      <c r="PMR111" s="180" t="str">
        <f>VLOOKUP(PMQ111,[13]AssetDetails_UEM!$A$3:$AH$1849,6,FALSE)</f>
        <v>Electrosurgical Units, Monopolar/Bipolar</v>
      </c>
      <c r="PMS111" s="179" t="s">
        <v>428</v>
      </c>
      <c r="PMT111" s="180" t="str">
        <f>VLOOKUP(PMS111,[13]AssetDetails_UEM!$A$3:$AH$1849,6,FALSE)</f>
        <v>Electrosurgical Units, Monopolar/Bipolar</v>
      </c>
      <c r="PMU111" s="179" t="s">
        <v>428</v>
      </c>
      <c r="PMV111" s="180" t="str">
        <f>VLOOKUP(PMU111,[13]AssetDetails_UEM!$A$3:$AH$1849,6,FALSE)</f>
        <v>Electrosurgical Units, Monopolar/Bipolar</v>
      </c>
      <c r="PMW111" s="179" t="s">
        <v>428</v>
      </c>
      <c r="PMX111" s="180" t="str">
        <f>VLOOKUP(PMW111,[13]AssetDetails_UEM!$A$3:$AH$1849,6,FALSE)</f>
        <v>Electrosurgical Units, Monopolar/Bipolar</v>
      </c>
      <c r="PMY111" s="179" t="s">
        <v>428</v>
      </c>
      <c r="PMZ111" s="180" t="str">
        <f>VLOOKUP(PMY111,[13]AssetDetails_UEM!$A$3:$AH$1849,6,FALSE)</f>
        <v>Electrosurgical Units, Monopolar/Bipolar</v>
      </c>
      <c r="PNA111" s="179" t="s">
        <v>428</v>
      </c>
      <c r="PNB111" s="180" t="str">
        <f>VLOOKUP(PNA111,[13]AssetDetails_UEM!$A$3:$AH$1849,6,FALSE)</f>
        <v>Electrosurgical Units, Monopolar/Bipolar</v>
      </c>
      <c r="PNC111" s="179" t="s">
        <v>428</v>
      </c>
      <c r="PND111" s="180" t="str">
        <f>VLOOKUP(PNC111,[13]AssetDetails_UEM!$A$3:$AH$1849,6,FALSE)</f>
        <v>Electrosurgical Units, Monopolar/Bipolar</v>
      </c>
      <c r="PNE111" s="179" t="s">
        <v>428</v>
      </c>
      <c r="PNF111" s="180" t="str">
        <f>VLOOKUP(PNE111,[13]AssetDetails_UEM!$A$3:$AH$1849,6,FALSE)</f>
        <v>Electrosurgical Units, Monopolar/Bipolar</v>
      </c>
      <c r="PNG111" s="179" t="s">
        <v>428</v>
      </c>
      <c r="PNH111" s="180" t="str">
        <f>VLOOKUP(PNG111,[13]AssetDetails_UEM!$A$3:$AH$1849,6,FALSE)</f>
        <v>Electrosurgical Units, Monopolar/Bipolar</v>
      </c>
      <c r="PNI111" s="179" t="s">
        <v>428</v>
      </c>
      <c r="PNJ111" s="180" t="str">
        <f>VLOOKUP(PNI111,[13]AssetDetails_UEM!$A$3:$AH$1849,6,FALSE)</f>
        <v>Electrosurgical Units, Monopolar/Bipolar</v>
      </c>
      <c r="PNK111" s="179" t="s">
        <v>428</v>
      </c>
      <c r="PNL111" s="180" t="str">
        <f>VLOOKUP(PNK111,[13]AssetDetails_UEM!$A$3:$AH$1849,6,FALSE)</f>
        <v>Electrosurgical Units, Monopolar/Bipolar</v>
      </c>
      <c r="PNM111" s="179" t="s">
        <v>428</v>
      </c>
      <c r="PNN111" s="180" t="str">
        <f>VLOOKUP(PNM111,[13]AssetDetails_UEM!$A$3:$AH$1849,6,FALSE)</f>
        <v>Electrosurgical Units, Monopolar/Bipolar</v>
      </c>
      <c r="PNO111" s="179" t="s">
        <v>428</v>
      </c>
      <c r="PNP111" s="180" t="str">
        <f>VLOOKUP(PNO111,[13]AssetDetails_UEM!$A$3:$AH$1849,6,FALSE)</f>
        <v>Electrosurgical Units, Monopolar/Bipolar</v>
      </c>
      <c r="PNQ111" s="179" t="s">
        <v>428</v>
      </c>
      <c r="PNR111" s="180" t="str">
        <f>VLOOKUP(PNQ111,[13]AssetDetails_UEM!$A$3:$AH$1849,6,FALSE)</f>
        <v>Electrosurgical Units, Monopolar/Bipolar</v>
      </c>
      <c r="PNS111" s="179" t="s">
        <v>428</v>
      </c>
      <c r="PNT111" s="180" t="str">
        <f>VLOOKUP(PNS111,[13]AssetDetails_UEM!$A$3:$AH$1849,6,FALSE)</f>
        <v>Electrosurgical Units, Monopolar/Bipolar</v>
      </c>
      <c r="PNU111" s="179" t="s">
        <v>428</v>
      </c>
      <c r="PNV111" s="180" t="str">
        <f>VLOOKUP(PNU111,[13]AssetDetails_UEM!$A$3:$AH$1849,6,FALSE)</f>
        <v>Electrosurgical Units, Monopolar/Bipolar</v>
      </c>
      <c r="PNW111" s="179" t="s">
        <v>428</v>
      </c>
      <c r="PNX111" s="180" t="str">
        <f>VLOOKUP(PNW111,[13]AssetDetails_UEM!$A$3:$AH$1849,6,FALSE)</f>
        <v>Electrosurgical Units, Monopolar/Bipolar</v>
      </c>
      <c r="PNY111" s="179" t="s">
        <v>428</v>
      </c>
      <c r="PNZ111" s="180" t="str">
        <f>VLOOKUP(PNY111,[13]AssetDetails_UEM!$A$3:$AH$1849,6,FALSE)</f>
        <v>Electrosurgical Units, Monopolar/Bipolar</v>
      </c>
      <c r="POA111" s="179" t="s">
        <v>428</v>
      </c>
      <c r="POB111" s="180" t="str">
        <f>VLOOKUP(POA111,[13]AssetDetails_UEM!$A$3:$AH$1849,6,FALSE)</f>
        <v>Electrosurgical Units, Monopolar/Bipolar</v>
      </c>
      <c r="POC111" s="179" t="s">
        <v>428</v>
      </c>
      <c r="POD111" s="180" t="str">
        <f>VLOOKUP(POC111,[13]AssetDetails_UEM!$A$3:$AH$1849,6,FALSE)</f>
        <v>Electrosurgical Units, Monopolar/Bipolar</v>
      </c>
      <c r="POE111" s="179" t="s">
        <v>428</v>
      </c>
      <c r="POF111" s="180" t="str">
        <f>VLOOKUP(POE111,[13]AssetDetails_UEM!$A$3:$AH$1849,6,FALSE)</f>
        <v>Electrosurgical Units, Monopolar/Bipolar</v>
      </c>
      <c r="POG111" s="179" t="s">
        <v>428</v>
      </c>
      <c r="POH111" s="180" t="str">
        <f>VLOOKUP(POG111,[13]AssetDetails_UEM!$A$3:$AH$1849,6,FALSE)</f>
        <v>Electrosurgical Units, Monopolar/Bipolar</v>
      </c>
      <c r="POI111" s="179" t="s">
        <v>428</v>
      </c>
      <c r="POJ111" s="180" t="str">
        <f>VLOOKUP(POI111,[13]AssetDetails_UEM!$A$3:$AH$1849,6,FALSE)</f>
        <v>Electrosurgical Units, Monopolar/Bipolar</v>
      </c>
      <c r="POK111" s="179" t="s">
        <v>428</v>
      </c>
      <c r="POL111" s="180" t="str">
        <f>VLOOKUP(POK111,[13]AssetDetails_UEM!$A$3:$AH$1849,6,FALSE)</f>
        <v>Electrosurgical Units, Monopolar/Bipolar</v>
      </c>
      <c r="POM111" s="179" t="s">
        <v>428</v>
      </c>
      <c r="PON111" s="180" t="str">
        <f>VLOOKUP(POM111,[13]AssetDetails_UEM!$A$3:$AH$1849,6,FALSE)</f>
        <v>Electrosurgical Units, Monopolar/Bipolar</v>
      </c>
      <c r="POO111" s="179" t="s">
        <v>428</v>
      </c>
      <c r="POP111" s="180" t="str">
        <f>VLOOKUP(POO111,[13]AssetDetails_UEM!$A$3:$AH$1849,6,FALSE)</f>
        <v>Electrosurgical Units, Monopolar/Bipolar</v>
      </c>
      <c r="POQ111" s="179" t="s">
        <v>428</v>
      </c>
      <c r="POR111" s="180" t="str">
        <f>VLOOKUP(POQ111,[13]AssetDetails_UEM!$A$3:$AH$1849,6,FALSE)</f>
        <v>Electrosurgical Units, Monopolar/Bipolar</v>
      </c>
      <c r="POS111" s="179" t="s">
        <v>428</v>
      </c>
      <c r="POT111" s="180" t="str">
        <f>VLOOKUP(POS111,[13]AssetDetails_UEM!$A$3:$AH$1849,6,FALSE)</f>
        <v>Electrosurgical Units, Monopolar/Bipolar</v>
      </c>
      <c r="POU111" s="179" t="s">
        <v>428</v>
      </c>
      <c r="POV111" s="180" t="str">
        <f>VLOOKUP(POU111,[13]AssetDetails_UEM!$A$3:$AH$1849,6,FALSE)</f>
        <v>Electrosurgical Units, Monopolar/Bipolar</v>
      </c>
      <c r="POW111" s="179" t="s">
        <v>428</v>
      </c>
      <c r="POX111" s="180" t="str">
        <f>VLOOKUP(POW111,[13]AssetDetails_UEM!$A$3:$AH$1849,6,FALSE)</f>
        <v>Electrosurgical Units, Monopolar/Bipolar</v>
      </c>
      <c r="POY111" s="179" t="s">
        <v>428</v>
      </c>
      <c r="POZ111" s="180" t="str">
        <f>VLOOKUP(POY111,[13]AssetDetails_UEM!$A$3:$AH$1849,6,FALSE)</f>
        <v>Electrosurgical Units, Monopolar/Bipolar</v>
      </c>
      <c r="PPA111" s="179" t="s">
        <v>428</v>
      </c>
      <c r="PPB111" s="180" t="str">
        <f>VLOOKUP(PPA111,[13]AssetDetails_UEM!$A$3:$AH$1849,6,FALSE)</f>
        <v>Electrosurgical Units, Monopolar/Bipolar</v>
      </c>
      <c r="PPC111" s="179" t="s">
        <v>428</v>
      </c>
      <c r="PPD111" s="180" t="str">
        <f>VLOOKUP(PPC111,[13]AssetDetails_UEM!$A$3:$AH$1849,6,FALSE)</f>
        <v>Electrosurgical Units, Monopolar/Bipolar</v>
      </c>
      <c r="PPE111" s="179" t="s">
        <v>428</v>
      </c>
      <c r="PPF111" s="180" t="str">
        <f>VLOOKUP(PPE111,[13]AssetDetails_UEM!$A$3:$AH$1849,6,FALSE)</f>
        <v>Electrosurgical Units, Monopolar/Bipolar</v>
      </c>
      <c r="PPG111" s="179" t="s">
        <v>428</v>
      </c>
      <c r="PPH111" s="180" t="str">
        <f>VLOOKUP(PPG111,[13]AssetDetails_UEM!$A$3:$AH$1849,6,FALSE)</f>
        <v>Electrosurgical Units, Monopolar/Bipolar</v>
      </c>
      <c r="PPI111" s="179" t="s">
        <v>428</v>
      </c>
      <c r="PPJ111" s="180" t="str">
        <f>VLOOKUP(PPI111,[13]AssetDetails_UEM!$A$3:$AH$1849,6,FALSE)</f>
        <v>Electrosurgical Units, Monopolar/Bipolar</v>
      </c>
      <c r="PPK111" s="179" t="s">
        <v>428</v>
      </c>
      <c r="PPL111" s="180" t="str">
        <f>VLOOKUP(PPK111,[13]AssetDetails_UEM!$A$3:$AH$1849,6,FALSE)</f>
        <v>Electrosurgical Units, Monopolar/Bipolar</v>
      </c>
      <c r="PPM111" s="179" t="s">
        <v>428</v>
      </c>
      <c r="PPN111" s="180" t="str">
        <f>VLOOKUP(PPM111,[13]AssetDetails_UEM!$A$3:$AH$1849,6,FALSE)</f>
        <v>Electrosurgical Units, Monopolar/Bipolar</v>
      </c>
      <c r="PPO111" s="179" t="s">
        <v>428</v>
      </c>
      <c r="PPP111" s="180" t="str">
        <f>VLOOKUP(PPO111,[13]AssetDetails_UEM!$A$3:$AH$1849,6,FALSE)</f>
        <v>Electrosurgical Units, Monopolar/Bipolar</v>
      </c>
      <c r="PPQ111" s="179" t="s">
        <v>428</v>
      </c>
      <c r="PPR111" s="180" t="str">
        <f>VLOOKUP(PPQ111,[13]AssetDetails_UEM!$A$3:$AH$1849,6,FALSE)</f>
        <v>Electrosurgical Units, Monopolar/Bipolar</v>
      </c>
      <c r="PPS111" s="179" t="s">
        <v>428</v>
      </c>
      <c r="PPT111" s="180" t="str">
        <f>VLOOKUP(PPS111,[13]AssetDetails_UEM!$A$3:$AH$1849,6,FALSE)</f>
        <v>Electrosurgical Units, Monopolar/Bipolar</v>
      </c>
      <c r="PPU111" s="179" t="s">
        <v>428</v>
      </c>
      <c r="PPV111" s="180" t="str">
        <f>VLOOKUP(PPU111,[13]AssetDetails_UEM!$A$3:$AH$1849,6,FALSE)</f>
        <v>Electrosurgical Units, Monopolar/Bipolar</v>
      </c>
      <c r="PPW111" s="179" t="s">
        <v>428</v>
      </c>
      <c r="PPX111" s="180" t="str">
        <f>VLOOKUP(PPW111,[13]AssetDetails_UEM!$A$3:$AH$1849,6,FALSE)</f>
        <v>Electrosurgical Units, Monopolar/Bipolar</v>
      </c>
      <c r="PPY111" s="179" t="s">
        <v>428</v>
      </c>
      <c r="PPZ111" s="180" t="str">
        <f>VLOOKUP(PPY111,[13]AssetDetails_UEM!$A$3:$AH$1849,6,FALSE)</f>
        <v>Electrosurgical Units, Monopolar/Bipolar</v>
      </c>
      <c r="PQA111" s="179" t="s">
        <v>428</v>
      </c>
      <c r="PQB111" s="180" t="str">
        <f>VLOOKUP(PQA111,[13]AssetDetails_UEM!$A$3:$AH$1849,6,FALSE)</f>
        <v>Electrosurgical Units, Monopolar/Bipolar</v>
      </c>
      <c r="PQC111" s="179" t="s">
        <v>428</v>
      </c>
      <c r="PQD111" s="180" t="str">
        <f>VLOOKUP(PQC111,[13]AssetDetails_UEM!$A$3:$AH$1849,6,FALSE)</f>
        <v>Electrosurgical Units, Monopolar/Bipolar</v>
      </c>
      <c r="PQE111" s="179" t="s">
        <v>428</v>
      </c>
      <c r="PQF111" s="180" t="str">
        <f>VLOOKUP(PQE111,[13]AssetDetails_UEM!$A$3:$AH$1849,6,FALSE)</f>
        <v>Electrosurgical Units, Monopolar/Bipolar</v>
      </c>
      <c r="PQG111" s="179" t="s">
        <v>428</v>
      </c>
      <c r="PQH111" s="180" t="str">
        <f>VLOOKUP(PQG111,[13]AssetDetails_UEM!$A$3:$AH$1849,6,FALSE)</f>
        <v>Electrosurgical Units, Monopolar/Bipolar</v>
      </c>
      <c r="PQI111" s="179" t="s">
        <v>428</v>
      </c>
      <c r="PQJ111" s="180" t="str">
        <f>VLOOKUP(PQI111,[13]AssetDetails_UEM!$A$3:$AH$1849,6,FALSE)</f>
        <v>Electrosurgical Units, Monopolar/Bipolar</v>
      </c>
      <c r="PQK111" s="179" t="s">
        <v>428</v>
      </c>
      <c r="PQL111" s="180" t="str">
        <f>VLOOKUP(PQK111,[13]AssetDetails_UEM!$A$3:$AH$1849,6,FALSE)</f>
        <v>Electrosurgical Units, Monopolar/Bipolar</v>
      </c>
      <c r="PQM111" s="179" t="s">
        <v>428</v>
      </c>
      <c r="PQN111" s="180" t="str">
        <f>VLOOKUP(PQM111,[13]AssetDetails_UEM!$A$3:$AH$1849,6,FALSE)</f>
        <v>Electrosurgical Units, Monopolar/Bipolar</v>
      </c>
      <c r="PQO111" s="179" t="s">
        <v>428</v>
      </c>
      <c r="PQP111" s="180" t="str">
        <f>VLOOKUP(PQO111,[13]AssetDetails_UEM!$A$3:$AH$1849,6,FALSE)</f>
        <v>Electrosurgical Units, Monopolar/Bipolar</v>
      </c>
      <c r="PQQ111" s="179" t="s">
        <v>428</v>
      </c>
      <c r="PQR111" s="180" t="str">
        <f>VLOOKUP(PQQ111,[13]AssetDetails_UEM!$A$3:$AH$1849,6,FALSE)</f>
        <v>Electrosurgical Units, Monopolar/Bipolar</v>
      </c>
      <c r="PQS111" s="179" t="s">
        <v>428</v>
      </c>
      <c r="PQT111" s="180" t="str">
        <f>VLOOKUP(PQS111,[13]AssetDetails_UEM!$A$3:$AH$1849,6,FALSE)</f>
        <v>Electrosurgical Units, Monopolar/Bipolar</v>
      </c>
      <c r="PQU111" s="179" t="s">
        <v>428</v>
      </c>
      <c r="PQV111" s="180" t="str">
        <f>VLOOKUP(PQU111,[13]AssetDetails_UEM!$A$3:$AH$1849,6,FALSE)</f>
        <v>Electrosurgical Units, Monopolar/Bipolar</v>
      </c>
      <c r="PQW111" s="179" t="s">
        <v>428</v>
      </c>
      <c r="PQX111" s="180" t="str">
        <f>VLOOKUP(PQW111,[13]AssetDetails_UEM!$A$3:$AH$1849,6,FALSE)</f>
        <v>Electrosurgical Units, Monopolar/Bipolar</v>
      </c>
      <c r="PQY111" s="179" t="s">
        <v>428</v>
      </c>
      <c r="PQZ111" s="180" t="str">
        <f>VLOOKUP(PQY111,[13]AssetDetails_UEM!$A$3:$AH$1849,6,FALSE)</f>
        <v>Electrosurgical Units, Monopolar/Bipolar</v>
      </c>
      <c r="PRA111" s="179" t="s">
        <v>428</v>
      </c>
      <c r="PRB111" s="180" t="str">
        <f>VLOOKUP(PRA111,[13]AssetDetails_UEM!$A$3:$AH$1849,6,FALSE)</f>
        <v>Electrosurgical Units, Monopolar/Bipolar</v>
      </c>
      <c r="PRC111" s="179" t="s">
        <v>428</v>
      </c>
      <c r="PRD111" s="180" t="str">
        <f>VLOOKUP(PRC111,[13]AssetDetails_UEM!$A$3:$AH$1849,6,FALSE)</f>
        <v>Electrosurgical Units, Monopolar/Bipolar</v>
      </c>
      <c r="PRE111" s="179" t="s">
        <v>428</v>
      </c>
      <c r="PRF111" s="180" t="str">
        <f>VLOOKUP(PRE111,[13]AssetDetails_UEM!$A$3:$AH$1849,6,FALSE)</f>
        <v>Electrosurgical Units, Monopolar/Bipolar</v>
      </c>
      <c r="PRG111" s="179" t="s">
        <v>428</v>
      </c>
      <c r="PRH111" s="180" t="str">
        <f>VLOOKUP(PRG111,[13]AssetDetails_UEM!$A$3:$AH$1849,6,FALSE)</f>
        <v>Electrosurgical Units, Monopolar/Bipolar</v>
      </c>
      <c r="PRI111" s="179" t="s">
        <v>428</v>
      </c>
      <c r="PRJ111" s="180" t="str">
        <f>VLOOKUP(PRI111,[13]AssetDetails_UEM!$A$3:$AH$1849,6,FALSE)</f>
        <v>Electrosurgical Units, Monopolar/Bipolar</v>
      </c>
      <c r="PRK111" s="179" t="s">
        <v>428</v>
      </c>
      <c r="PRL111" s="180" t="str">
        <f>VLOOKUP(PRK111,[13]AssetDetails_UEM!$A$3:$AH$1849,6,FALSE)</f>
        <v>Electrosurgical Units, Monopolar/Bipolar</v>
      </c>
      <c r="PRM111" s="179" t="s">
        <v>428</v>
      </c>
      <c r="PRN111" s="180" t="str">
        <f>VLOOKUP(PRM111,[13]AssetDetails_UEM!$A$3:$AH$1849,6,FALSE)</f>
        <v>Electrosurgical Units, Monopolar/Bipolar</v>
      </c>
      <c r="PRO111" s="179" t="s">
        <v>428</v>
      </c>
      <c r="PRP111" s="180" t="str">
        <f>VLOOKUP(PRO111,[13]AssetDetails_UEM!$A$3:$AH$1849,6,FALSE)</f>
        <v>Electrosurgical Units, Monopolar/Bipolar</v>
      </c>
      <c r="PRQ111" s="179" t="s">
        <v>428</v>
      </c>
      <c r="PRR111" s="180" t="str">
        <f>VLOOKUP(PRQ111,[13]AssetDetails_UEM!$A$3:$AH$1849,6,FALSE)</f>
        <v>Electrosurgical Units, Monopolar/Bipolar</v>
      </c>
      <c r="PRS111" s="179" t="s">
        <v>428</v>
      </c>
      <c r="PRT111" s="180" t="str">
        <f>VLOOKUP(PRS111,[13]AssetDetails_UEM!$A$3:$AH$1849,6,FALSE)</f>
        <v>Electrosurgical Units, Monopolar/Bipolar</v>
      </c>
      <c r="PRU111" s="179" t="s">
        <v>428</v>
      </c>
      <c r="PRV111" s="180" t="str">
        <f>VLOOKUP(PRU111,[13]AssetDetails_UEM!$A$3:$AH$1849,6,FALSE)</f>
        <v>Electrosurgical Units, Monopolar/Bipolar</v>
      </c>
      <c r="PRW111" s="179" t="s">
        <v>428</v>
      </c>
      <c r="PRX111" s="180" t="str">
        <f>VLOOKUP(PRW111,[13]AssetDetails_UEM!$A$3:$AH$1849,6,FALSE)</f>
        <v>Electrosurgical Units, Monopolar/Bipolar</v>
      </c>
      <c r="PRY111" s="179" t="s">
        <v>428</v>
      </c>
      <c r="PRZ111" s="180" t="str">
        <f>VLOOKUP(PRY111,[13]AssetDetails_UEM!$A$3:$AH$1849,6,FALSE)</f>
        <v>Electrosurgical Units, Monopolar/Bipolar</v>
      </c>
      <c r="PSA111" s="179" t="s">
        <v>428</v>
      </c>
      <c r="PSB111" s="180" t="str">
        <f>VLOOKUP(PSA111,[13]AssetDetails_UEM!$A$3:$AH$1849,6,FALSE)</f>
        <v>Electrosurgical Units, Monopolar/Bipolar</v>
      </c>
      <c r="PSC111" s="179" t="s">
        <v>428</v>
      </c>
      <c r="PSD111" s="180" t="str">
        <f>VLOOKUP(PSC111,[13]AssetDetails_UEM!$A$3:$AH$1849,6,FALSE)</f>
        <v>Electrosurgical Units, Monopolar/Bipolar</v>
      </c>
      <c r="PSE111" s="179" t="s">
        <v>428</v>
      </c>
      <c r="PSF111" s="180" t="str">
        <f>VLOOKUP(PSE111,[13]AssetDetails_UEM!$A$3:$AH$1849,6,FALSE)</f>
        <v>Electrosurgical Units, Monopolar/Bipolar</v>
      </c>
      <c r="PSG111" s="179" t="s">
        <v>428</v>
      </c>
      <c r="PSH111" s="180" t="str">
        <f>VLOOKUP(PSG111,[13]AssetDetails_UEM!$A$3:$AH$1849,6,FALSE)</f>
        <v>Electrosurgical Units, Monopolar/Bipolar</v>
      </c>
      <c r="PSI111" s="179" t="s">
        <v>428</v>
      </c>
      <c r="PSJ111" s="180" t="str">
        <f>VLOOKUP(PSI111,[13]AssetDetails_UEM!$A$3:$AH$1849,6,FALSE)</f>
        <v>Electrosurgical Units, Monopolar/Bipolar</v>
      </c>
      <c r="PSK111" s="179" t="s">
        <v>428</v>
      </c>
      <c r="PSL111" s="180" t="str">
        <f>VLOOKUP(PSK111,[13]AssetDetails_UEM!$A$3:$AH$1849,6,FALSE)</f>
        <v>Electrosurgical Units, Monopolar/Bipolar</v>
      </c>
      <c r="PSM111" s="179" t="s">
        <v>428</v>
      </c>
      <c r="PSN111" s="180" t="str">
        <f>VLOOKUP(PSM111,[13]AssetDetails_UEM!$A$3:$AH$1849,6,FALSE)</f>
        <v>Electrosurgical Units, Monopolar/Bipolar</v>
      </c>
      <c r="PSO111" s="179" t="s">
        <v>428</v>
      </c>
      <c r="PSP111" s="180" t="str">
        <f>VLOOKUP(PSO111,[13]AssetDetails_UEM!$A$3:$AH$1849,6,FALSE)</f>
        <v>Electrosurgical Units, Monopolar/Bipolar</v>
      </c>
      <c r="PSQ111" s="179" t="s">
        <v>428</v>
      </c>
      <c r="PSR111" s="180" t="str">
        <f>VLOOKUP(PSQ111,[13]AssetDetails_UEM!$A$3:$AH$1849,6,FALSE)</f>
        <v>Electrosurgical Units, Monopolar/Bipolar</v>
      </c>
      <c r="PSS111" s="179" t="s">
        <v>428</v>
      </c>
      <c r="PST111" s="180" t="str">
        <f>VLOOKUP(PSS111,[13]AssetDetails_UEM!$A$3:$AH$1849,6,FALSE)</f>
        <v>Electrosurgical Units, Monopolar/Bipolar</v>
      </c>
      <c r="PSU111" s="179" t="s">
        <v>428</v>
      </c>
      <c r="PSV111" s="180" t="str">
        <f>VLOOKUP(PSU111,[13]AssetDetails_UEM!$A$3:$AH$1849,6,FALSE)</f>
        <v>Electrosurgical Units, Monopolar/Bipolar</v>
      </c>
      <c r="PSW111" s="179" t="s">
        <v>428</v>
      </c>
      <c r="PSX111" s="180" t="str">
        <f>VLOOKUP(PSW111,[13]AssetDetails_UEM!$A$3:$AH$1849,6,FALSE)</f>
        <v>Electrosurgical Units, Monopolar/Bipolar</v>
      </c>
      <c r="PSY111" s="179" t="s">
        <v>428</v>
      </c>
      <c r="PSZ111" s="180" t="str">
        <f>VLOOKUP(PSY111,[13]AssetDetails_UEM!$A$3:$AH$1849,6,FALSE)</f>
        <v>Electrosurgical Units, Monopolar/Bipolar</v>
      </c>
      <c r="PTA111" s="179" t="s">
        <v>428</v>
      </c>
      <c r="PTB111" s="180" t="str">
        <f>VLOOKUP(PTA111,[13]AssetDetails_UEM!$A$3:$AH$1849,6,FALSE)</f>
        <v>Electrosurgical Units, Monopolar/Bipolar</v>
      </c>
      <c r="PTC111" s="179" t="s">
        <v>428</v>
      </c>
      <c r="PTD111" s="180" t="str">
        <f>VLOOKUP(PTC111,[13]AssetDetails_UEM!$A$3:$AH$1849,6,FALSE)</f>
        <v>Electrosurgical Units, Monopolar/Bipolar</v>
      </c>
      <c r="PTE111" s="179" t="s">
        <v>428</v>
      </c>
      <c r="PTF111" s="180" t="str">
        <f>VLOOKUP(PTE111,[13]AssetDetails_UEM!$A$3:$AH$1849,6,FALSE)</f>
        <v>Electrosurgical Units, Monopolar/Bipolar</v>
      </c>
      <c r="PTG111" s="179" t="s">
        <v>428</v>
      </c>
      <c r="PTH111" s="180" t="str">
        <f>VLOOKUP(PTG111,[13]AssetDetails_UEM!$A$3:$AH$1849,6,FALSE)</f>
        <v>Electrosurgical Units, Monopolar/Bipolar</v>
      </c>
      <c r="PTI111" s="179" t="s">
        <v>428</v>
      </c>
      <c r="PTJ111" s="180" t="str">
        <f>VLOOKUP(PTI111,[13]AssetDetails_UEM!$A$3:$AH$1849,6,FALSE)</f>
        <v>Electrosurgical Units, Monopolar/Bipolar</v>
      </c>
      <c r="PTK111" s="179" t="s">
        <v>428</v>
      </c>
      <c r="PTL111" s="180" t="str">
        <f>VLOOKUP(PTK111,[13]AssetDetails_UEM!$A$3:$AH$1849,6,FALSE)</f>
        <v>Electrosurgical Units, Monopolar/Bipolar</v>
      </c>
      <c r="PTM111" s="179" t="s">
        <v>428</v>
      </c>
      <c r="PTN111" s="180" t="str">
        <f>VLOOKUP(PTM111,[13]AssetDetails_UEM!$A$3:$AH$1849,6,FALSE)</f>
        <v>Electrosurgical Units, Monopolar/Bipolar</v>
      </c>
      <c r="PTO111" s="179" t="s">
        <v>428</v>
      </c>
      <c r="PTP111" s="180" t="str">
        <f>VLOOKUP(PTO111,[13]AssetDetails_UEM!$A$3:$AH$1849,6,FALSE)</f>
        <v>Electrosurgical Units, Monopolar/Bipolar</v>
      </c>
      <c r="PTQ111" s="179" t="s">
        <v>428</v>
      </c>
      <c r="PTR111" s="180" t="str">
        <f>VLOOKUP(PTQ111,[13]AssetDetails_UEM!$A$3:$AH$1849,6,FALSE)</f>
        <v>Electrosurgical Units, Monopolar/Bipolar</v>
      </c>
      <c r="PTS111" s="179" t="s">
        <v>428</v>
      </c>
      <c r="PTT111" s="180" t="str">
        <f>VLOOKUP(PTS111,[13]AssetDetails_UEM!$A$3:$AH$1849,6,FALSE)</f>
        <v>Electrosurgical Units, Monopolar/Bipolar</v>
      </c>
      <c r="PTU111" s="179" t="s">
        <v>428</v>
      </c>
      <c r="PTV111" s="180" t="str">
        <f>VLOOKUP(PTU111,[13]AssetDetails_UEM!$A$3:$AH$1849,6,FALSE)</f>
        <v>Electrosurgical Units, Monopolar/Bipolar</v>
      </c>
      <c r="PTW111" s="179" t="s">
        <v>428</v>
      </c>
      <c r="PTX111" s="180" t="str">
        <f>VLOOKUP(PTW111,[13]AssetDetails_UEM!$A$3:$AH$1849,6,FALSE)</f>
        <v>Electrosurgical Units, Monopolar/Bipolar</v>
      </c>
      <c r="PTY111" s="179" t="s">
        <v>428</v>
      </c>
      <c r="PTZ111" s="180" t="str">
        <f>VLOOKUP(PTY111,[13]AssetDetails_UEM!$A$3:$AH$1849,6,FALSE)</f>
        <v>Electrosurgical Units, Monopolar/Bipolar</v>
      </c>
      <c r="PUA111" s="179" t="s">
        <v>428</v>
      </c>
      <c r="PUB111" s="180" t="str">
        <f>VLOOKUP(PUA111,[13]AssetDetails_UEM!$A$3:$AH$1849,6,FALSE)</f>
        <v>Electrosurgical Units, Monopolar/Bipolar</v>
      </c>
      <c r="PUC111" s="179" t="s">
        <v>428</v>
      </c>
      <c r="PUD111" s="180" t="str">
        <f>VLOOKUP(PUC111,[13]AssetDetails_UEM!$A$3:$AH$1849,6,FALSE)</f>
        <v>Electrosurgical Units, Monopolar/Bipolar</v>
      </c>
      <c r="PUE111" s="179" t="s">
        <v>428</v>
      </c>
      <c r="PUF111" s="180" t="str">
        <f>VLOOKUP(PUE111,[13]AssetDetails_UEM!$A$3:$AH$1849,6,FALSE)</f>
        <v>Electrosurgical Units, Monopolar/Bipolar</v>
      </c>
      <c r="PUG111" s="179" t="s">
        <v>428</v>
      </c>
      <c r="PUH111" s="180" t="str">
        <f>VLOOKUP(PUG111,[13]AssetDetails_UEM!$A$3:$AH$1849,6,FALSE)</f>
        <v>Electrosurgical Units, Monopolar/Bipolar</v>
      </c>
      <c r="PUI111" s="179" t="s">
        <v>428</v>
      </c>
      <c r="PUJ111" s="180" t="str">
        <f>VLOOKUP(PUI111,[13]AssetDetails_UEM!$A$3:$AH$1849,6,FALSE)</f>
        <v>Electrosurgical Units, Monopolar/Bipolar</v>
      </c>
      <c r="PUK111" s="179" t="s">
        <v>428</v>
      </c>
      <c r="PUL111" s="180" t="str">
        <f>VLOOKUP(PUK111,[13]AssetDetails_UEM!$A$3:$AH$1849,6,FALSE)</f>
        <v>Electrosurgical Units, Monopolar/Bipolar</v>
      </c>
      <c r="PUM111" s="179" t="s">
        <v>428</v>
      </c>
      <c r="PUN111" s="180" t="str">
        <f>VLOOKUP(PUM111,[13]AssetDetails_UEM!$A$3:$AH$1849,6,FALSE)</f>
        <v>Electrosurgical Units, Monopolar/Bipolar</v>
      </c>
      <c r="PUO111" s="179" t="s">
        <v>428</v>
      </c>
      <c r="PUP111" s="180" t="str">
        <f>VLOOKUP(PUO111,[13]AssetDetails_UEM!$A$3:$AH$1849,6,FALSE)</f>
        <v>Electrosurgical Units, Monopolar/Bipolar</v>
      </c>
      <c r="PUQ111" s="179" t="s">
        <v>428</v>
      </c>
      <c r="PUR111" s="180" t="str">
        <f>VLOOKUP(PUQ111,[13]AssetDetails_UEM!$A$3:$AH$1849,6,FALSE)</f>
        <v>Electrosurgical Units, Monopolar/Bipolar</v>
      </c>
      <c r="PUS111" s="179" t="s">
        <v>428</v>
      </c>
      <c r="PUT111" s="180" t="str">
        <f>VLOOKUP(PUS111,[13]AssetDetails_UEM!$A$3:$AH$1849,6,FALSE)</f>
        <v>Electrosurgical Units, Monopolar/Bipolar</v>
      </c>
      <c r="PUU111" s="179" t="s">
        <v>428</v>
      </c>
      <c r="PUV111" s="180" t="str">
        <f>VLOOKUP(PUU111,[13]AssetDetails_UEM!$A$3:$AH$1849,6,FALSE)</f>
        <v>Electrosurgical Units, Monopolar/Bipolar</v>
      </c>
      <c r="PUW111" s="179" t="s">
        <v>428</v>
      </c>
      <c r="PUX111" s="180" t="str">
        <f>VLOOKUP(PUW111,[13]AssetDetails_UEM!$A$3:$AH$1849,6,FALSE)</f>
        <v>Electrosurgical Units, Monopolar/Bipolar</v>
      </c>
      <c r="PUY111" s="179" t="s">
        <v>428</v>
      </c>
      <c r="PUZ111" s="180" t="str">
        <f>VLOOKUP(PUY111,[13]AssetDetails_UEM!$A$3:$AH$1849,6,FALSE)</f>
        <v>Electrosurgical Units, Monopolar/Bipolar</v>
      </c>
      <c r="PVA111" s="179" t="s">
        <v>428</v>
      </c>
      <c r="PVB111" s="180" t="str">
        <f>VLOOKUP(PVA111,[13]AssetDetails_UEM!$A$3:$AH$1849,6,FALSE)</f>
        <v>Electrosurgical Units, Monopolar/Bipolar</v>
      </c>
      <c r="PVC111" s="179" t="s">
        <v>428</v>
      </c>
      <c r="PVD111" s="180" t="str">
        <f>VLOOKUP(PVC111,[13]AssetDetails_UEM!$A$3:$AH$1849,6,FALSE)</f>
        <v>Electrosurgical Units, Monopolar/Bipolar</v>
      </c>
      <c r="PVE111" s="179" t="s">
        <v>428</v>
      </c>
      <c r="PVF111" s="180" t="str">
        <f>VLOOKUP(PVE111,[13]AssetDetails_UEM!$A$3:$AH$1849,6,FALSE)</f>
        <v>Electrosurgical Units, Monopolar/Bipolar</v>
      </c>
      <c r="PVG111" s="179" t="s">
        <v>428</v>
      </c>
      <c r="PVH111" s="180" t="str">
        <f>VLOOKUP(PVG111,[13]AssetDetails_UEM!$A$3:$AH$1849,6,FALSE)</f>
        <v>Electrosurgical Units, Monopolar/Bipolar</v>
      </c>
      <c r="PVI111" s="179" t="s">
        <v>428</v>
      </c>
      <c r="PVJ111" s="180" t="str">
        <f>VLOOKUP(PVI111,[13]AssetDetails_UEM!$A$3:$AH$1849,6,FALSE)</f>
        <v>Electrosurgical Units, Monopolar/Bipolar</v>
      </c>
      <c r="PVK111" s="179" t="s">
        <v>428</v>
      </c>
      <c r="PVL111" s="180" t="str">
        <f>VLOOKUP(PVK111,[13]AssetDetails_UEM!$A$3:$AH$1849,6,FALSE)</f>
        <v>Electrosurgical Units, Monopolar/Bipolar</v>
      </c>
      <c r="PVM111" s="179" t="s">
        <v>428</v>
      </c>
      <c r="PVN111" s="180" t="str">
        <f>VLOOKUP(PVM111,[13]AssetDetails_UEM!$A$3:$AH$1849,6,FALSE)</f>
        <v>Electrosurgical Units, Monopolar/Bipolar</v>
      </c>
      <c r="PVO111" s="179" t="s">
        <v>428</v>
      </c>
      <c r="PVP111" s="180" t="str">
        <f>VLOOKUP(PVO111,[13]AssetDetails_UEM!$A$3:$AH$1849,6,FALSE)</f>
        <v>Electrosurgical Units, Monopolar/Bipolar</v>
      </c>
      <c r="PVQ111" s="179" t="s">
        <v>428</v>
      </c>
      <c r="PVR111" s="180" t="str">
        <f>VLOOKUP(PVQ111,[13]AssetDetails_UEM!$A$3:$AH$1849,6,FALSE)</f>
        <v>Electrosurgical Units, Monopolar/Bipolar</v>
      </c>
      <c r="PVS111" s="179" t="s">
        <v>428</v>
      </c>
      <c r="PVT111" s="180" t="str">
        <f>VLOOKUP(PVS111,[13]AssetDetails_UEM!$A$3:$AH$1849,6,FALSE)</f>
        <v>Electrosurgical Units, Monopolar/Bipolar</v>
      </c>
      <c r="PVU111" s="179" t="s">
        <v>428</v>
      </c>
      <c r="PVV111" s="180" t="str">
        <f>VLOOKUP(PVU111,[13]AssetDetails_UEM!$A$3:$AH$1849,6,FALSE)</f>
        <v>Electrosurgical Units, Monopolar/Bipolar</v>
      </c>
      <c r="PVW111" s="179" t="s">
        <v>428</v>
      </c>
      <c r="PVX111" s="180" t="str">
        <f>VLOOKUP(PVW111,[13]AssetDetails_UEM!$A$3:$AH$1849,6,FALSE)</f>
        <v>Electrosurgical Units, Monopolar/Bipolar</v>
      </c>
      <c r="PVY111" s="179" t="s">
        <v>428</v>
      </c>
      <c r="PVZ111" s="180" t="str">
        <f>VLOOKUP(PVY111,[13]AssetDetails_UEM!$A$3:$AH$1849,6,FALSE)</f>
        <v>Electrosurgical Units, Monopolar/Bipolar</v>
      </c>
      <c r="PWA111" s="179" t="s">
        <v>428</v>
      </c>
      <c r="PWB111" s="180" t="str">
        <f>VLOOKUP(PWA111,[13]AssetDetails_UEM!$A$3:$AH$1849,6,FALSE)</f>
        <v>Electrosurgical Units, Monopolar/Bipolar</v>
      </c>
      <c r="PWC111" s="179" t="s">
        <v>428</v>
      </c>
      <c r="PWD111" s="180" t="str">
        <f>VLOOKUP(PWC111,[13]AssetDetails_UEM!$A$3:$AH$1849,6,FALSE)</f>
        <v>Electrosurgical Units, Monopolar/Bipolar</v>
      </c>
      <c r="PWE111" s="179" t="s">
        <v>428</v>
      </c>
      <c r="PWF111" s="180" t="str">
        <f>VLOOKUP(PWE111,[13]AssetDetails_UEM!$A$3:$AH$1849,6,FALSE)</f>
        <v>Electrosurgical Units, Monopolar/Bipolar</v>
      </c>
      <c r="PWG111" s="179" t="s">
        <v>428</v>
      </c>
      <c r="PWH111" s="180" t="str">
        <f>VLOOKUP(PWG111,[13]AssetDetails_UEM!$A$3:$AH$1849,6,FALSE)</f>
        <v>Electrosurgical Units, Monopolar/Bipolar</v>
      </c>
      <c r="PWI111" s="179" t="s">
        <v>428</v>
      </c>
      <c r="PWJ111" s="180" t="str">
        <f>VLOOKUP(PWI111,[13]AssetDetails_UEM!$A$3:$AH$1849,6,FALSE)</f>
        <v>Electrosurgical Units, Monopolar/Bipolar</v>
      </c>
      <c r="PWK111" s="179" t="s">
        <v>428</v>
      </c>
      <c r="PWL111" s="180" t="str">
        <f>VLOOKUP(PWK111,[13]AssetDetails_UEM!$A$3:$AH$1849,6,FALSE)</f>
        <v>Electrosurgical Units, Monopolar/Bipolar</v>
      </c>
      <c r="PWM111" s="179" t="s">
        <v>428</v>
      </c>
      <c r="PWN111" s="180" t="str">
        <f>VLOOKUP(PWM111,[13]AssetDetails_UEM!$A$3:$AH$1849,6,FALSE)</f>
        <v>Electrosurgical Units, Monopolar/Bipolar</v>
      </c>
      <c r="PWO111" s="179" t="s">
        <v>428</v>
      </c>
      <c r="PWP111" s="180" t="str">
        <f>VLOOKUP(PWO111,[13]AssetDetails_UEM!$A$3:$AH$1849,6,FALSE)</f>
        <v>Electrosurgical Units, Monopolar/Bipolar</v>
      </c>
      <c r="PWQ111" s="179" t="s">
        <v>428</v>
      </c>
      <c r="PWR111" s="180" t="str">
        <f>VLOOKUP(PWQ111,[13]AssetDetails_UEM!$A$3:$AH$1849,6,FALSE)</f>
        <v>Electrosurgical Units, Monopolar/Bipolar</v>
      </c>
      <c r="PWS111" s="179" t="s">
        <v>428</v>
      </c>
      <c r="PWT111" s="180" t="str">
        <f>VLOOKUP(PWS111,[13]AssetDetails_UEM!$A$3:$AH$1849,6,FALSE)</f>
        <v>Electrosurgical Units, Monopolar/Bipolar</v>
      </c>
      <c r="PWU111" s="179" t="s">
        <v>428</v>
      </c>
      <c r="PWV111" s="180" t="str">
        <f>VLOOKUP(PWU111,[13]AssetDetails_UEM!$A$3:$AH$1849,6,FALSE)</f>
        <v>Electrosurgical Units, Monopolar/Bipolar</v>
      </c>
      <c r="PWW111" s="179" t="s">
        <v>428</v>
      </c>
      <c r="PWX111" s="180" t="str">
        <f>VLOOKUP(PWW111,[13]AssetDetails_UEM!$A$3:$AH$1849,6,FALSE)</f>
        <v>Electrosurgical Units, Monopolar/Bipolar</v>
      </c>
      <c r="PWY111" s="179" t="s">
        <v>428</v>
      </c>
      <c r="PWZ111" s="180" t="str">
        <f>VLOOKUP(PWY111,[13]AssetDetails_UEM!$A$3:$AH$1849,6,FALSE)</f>
        <v>Electrosurgical Units, Monopolar/Bipolar</v>
      </c>
      <c r="PXA111" s="179" t="s">
        <v>428</v>
      </c>
      <c r="PXB111" s="180" t="str">
        <f>VLOOKUP(PXA111,[13]AssetDetails_UEM!$A$3:$AH$1849,6,FALSE)</f>
        <v>Electrosurgical Units, Monopolar/Bipolar</v>
      </c>
      <c r="PXC111" s="179" t="s">
        <v>428</v>
      </c>
      <c r="PXD111" s="180" t="str">
        <f>VLOOKUP(PXC111,[13]AssetDetails_UEM!$A$3:$AH$1849,6,FALSE)</f>
        <v>Electrosurgical Units, Monopolar/Bipolar</v>
      </c>
      <c r="PXE111" s="179" t="s">
        <v>428</v>
      </c>
      <c r="PXF111" s="180" t="str">
        <f>VLOOKUP(PXE111,[13]AssetDetails_UEM!$A$3:$AH$1849,6,FALSE)</f>
        <v>Electrosurgical Units, Monopolar/Bipolar</v>
      </c>
      <c r="PXG111" s="179" t="s">
        <v>428</v>
      </c>
      <c r="PXH111" s="180" t="str">
        <f>VLOOKUP(PXG111,[13]AssetDetails_UEM!$A$3:$AH$1849,6,FALSE)</f>
        <v>Electrosurgical Units, Monopolar/Bipolar</v>
      </c>
      <c r="PXI111" s="179" t="s">
        <v>428</v>
      </c>
      <c r="PXJ111" s="180" t="str">
        <f>VLOOKUP(PXI111,[13]AssetDetails_UEM!$A$3:$AH$1849,6,FALSE)</f>
        <v>Electrosurgical Units, Monopolar/Bipolar</v>
      </c>
      <c r="PXK111" s="179" t="s">
        <v>428</v>
      </c>
      <c r="PXL111" s="180" t="str">
        <f>VLOOKUP(PXK111,[13]AssetDetails_UEM!$A$3:$AH$1849,6,FALSE)</f>
        <v>Electrosurgical Units, Monopolar/Bipolar</v>
      </c>
      <c r="PXM111" s="179" t="s">
        <v>428</v>
      </c>
      <c r="PXN111" s="180" t="str">
        <f>VLOOKUP(PXM111,[13]AssetDetails_UEM!$A$3:$AH$1849,6,FALSE)</f>
        <v>Electrosurgical Units, Monopolar/Bipolar</v>
      </c>
      <c r="PXO111" s="179" t="s">
        <v>428</v>
      </c>
      <c r="PXP111" s="180" t="str">
        <f>VLOOKUP(PXO111,[13]AssetDetails_UEM!$A$3:$AH$1849,6,FALSE)</f>
        <v>Electrosurgical Units, Monopolar/Bipolar</v>
      </c>
      <c r="PXQ111" s="179" t="s">
        <v>428</v>
      </c>
      <c r="PXR111" s="180" t="str">
        <f>VLOOKUP(PXQ111,[13]AssetDetails_UEM!$A$3:$AH$1849,6,FALSE)</f>
        <v>Electrosurgical Units, Monopolar/Bipolar</v>
      </c>
      <c r="PXS111" s="179" t="s">
        <v>428</v>
      </c>
      <c r="PXT111" s="180" t="str">
        <f>VLOOKUP(PXS111,[13]AssetDetails_UEM!$A$3:$AH$1849,6,FALSE)</f>
        <v>Electrosurgical Units, Monopolar/Bipolar</v>
      </c>
      <c r="PXU111" s="179" t="s">
        <v>428</v>
      </c>
      <c r="PXV111" s="180" t="str">
        <f>VLOOKUP(PXU111,[13]AssetDetails_UEM!$A$3:$AH$1849,6,FALSE)</f>
        <v>Electrosurgical Units, Monopolar/Bipolar</v>
      </c>
      <c r="PXW111" s="179" t="s">
        <v>428</v>
      </c>
      <c r="PXX111" s="180" t="str">
        <f>VLOOKUP(PXW111,[13]AssetDetails_UEM!$A$3:$AH$1849,6,FALSE)</f>
        <v>Electrosurgical Units, Monopolar/Bipolar</v>
      </c>
      <c r="PXY111" s="179" t="s">
        <v>428</v>
      </c>
      <c r="PXZ111" s="180" t="str">
        <f>VLOOKUP(PXY111,[13]AssetDetails_UEM!$A$3:$AH$1849,6,FALSE)</f>
        <v>Electrosurgical Units, Monopolar/Bipolar</v>
      </c>
      <c r="PYA111" s="179" t="s">
        <v>428</v>
      </c>
      <c r="PYB111" s="180" t="str">
        <f>VLOOKUP(PYA111,[13]AssetDetails_UEM!$A$3:$AH$1849,6,FALSE)</f>
        <v>Electrosurgical Units, Monopolar/Bipolar</v>
      </c>
      <c r="PYC111" s="179" t="s">
        <v>428</v>
      </c>
      <c r="PYD111" s="180" t="str">
        <f>VLOOKUP(PYC111,[13]AssetDetails_UEM!$A$3:$AH$1849,6,FALSE)</f>
        <v>Electrosurgical Units, Monopolar/Bipolar</v>
      </c>
      <c r="PYE111" s="179" t="s">
        <v>428</v>
      </c>
      <c r="PYF111" s="180" t="str">
        <f>VLOOKUP(PYE111,[13]AssetDetails_UEM!$A$3:$AH$1849,6,FALSE)</f>
        <v>Electrosurgical Units, Monopolar/Bipolar</v>
      </c>
      <c r="PYG111" s="179" t="s">
        <v>428</v>
      </c>
      <c r="PYH111" s="180" t="str">
        <f>VLOOKUP(PYG111,[13]AssetDetails_UEM!$A$3:$AH$1849,6,FALSE)</f>
        <v>Electrosurgical Units, Monopolar/Bipolar</v>
      </c>
      <c r="PYI111" s="179" t="s">
        <v>428</v>
      </c>
      <c r="PYJ111" s="180" t="str">
        <f>VLOOKUP(PYI111,[13]AssetDetails_UEM!$A$3:$AH$1849,6,FALSE)</f>
        <v>Electrosurgical Units, Monopolar/Bipolar</v>
      </c>
      <c r="PYK111" s="179" t="s">
        <v>428</v>
      </c>
      <c r="PYL111" s="180" t="str">
        <f>VLOOKUP(PYK111,[13]AssetDetails_UEM!$A$3:$AH$1849,6,FALSE)</f>
        <v>Electrosurgical Units, Monopolar/Bipolar</v>
      </c>
      <c r="PYM111" s="179" t="s">
        <v>428</v>
      </c>
      <c r="PYN111" s="180" t="str">
        <f>VLOOKUP(PYM111,[13]AssetDetails_UEM!$A$3:$AH$1849,6,FALSE)</f>
        <v>Electrosurgical Units, Monopolar/Bipolar</v>
      </c>
      <c r="PYO111" s="179" t="s">
        <v>428</v>
      </c>
      <c r="PYP111" s="180" t="str">
        <f>VLOOKUP(PYO111,[13]AssetDetails_UEM!$A$3:$AH$1849,6,FALSE)</f>
        <v>Electrosurgical Units, Monopolar/Bipolar</v>
      </c>
      <c r="PYQ111" s="179" t="s">
        <v>428</v>
      </c>
      <c r="PYR111" s="180" t="str">
        <f>VLOOKUP(PYQ111,[13]AssetDetails_UEM!$A$3:$AH$1849,6,FALSE)</f>
        <v>Electrosurgical Units, Monopolar/Bipolar</v>
      </c>
      <c r="PYS111" s="179" t="s">
        <v>428</v>
      </c>
      <c r="PYT111" s="180" t="str">
        <f>VLOOKUP(PYS111,[13]AssetDetails_UEM!$A$3:$AH$1849,6,FALSE)</f>
        <v>Electrosurgical Units, Monopolar/Bipolar</v>
      </c>
      <c r="PYU111" s="179" t="s">
        <v>428</v>
      </c>
      <c r="PYV111" s="180" t="str">
        <f>VLOOKUP(PYU111,[13]AssetDetails_UEM!$A$3:$AH$1849,6,FALSE)</f>
        <v>Electrosurgical Units, Monopolar/Bipolar</v>
      </c>
      <c r="PYW111" s="179" t="s">
        <v>428</v>
      </c>
      <c r="PYX111" s="180" t="str">
        <f>VLOOKUP(PYW111,[13]AssetDetails_UEM!$A$3:$AH$1849,6,FALSE)</f>
        <v>Electrosurgical Units, Monopolar/Bipolar</v>
      </c>
      <c r="PYY111" s="179" t="s">
        <v>428</v>
      </c>
      <c r="PYZ111" s="180" t="str">
        <f>VLOOKUP(PYY111,[13]AssetDetails_UEM!$A$3:$AH$1849,6,FALSE)</f>
        <v>Electrosurgical Units, Monopolar/Bipolar</v>
      </c>
      <c r="PZA111" s="179" t="s">
        <v>428</v>
      </c>
      <c r="PZB111" s="180" t="str">
        <f>VLOOKUP(PZA111,[13]AssetDetails_UEM!$A$3:$AH$1849,6,FALSE)</f>
        <v>Electrosurgical Units, Monopolar/Bipolar</v>
      </c>
      <c r="PZC111" s="179" t="s">
        <v>428</v>
      </c>
      <c r="PZD111" s="180" t="str">
        <f>VLOOKUP(PZC111,[13]AssetDetails_UEM!$A$3:$AH$1849,6,FALSE)</f>
        <v>Electrosurgical Units, Monopolar/Bipolar</v>
      </c>
      <c r="PZE111" s="179" t="s">
        <v>428</v>
      </c>
      <c r="PZF111" s="180" t="str">
        <f>VLOOKUP(PZE111,[13]AssetDetails_UEM!$A$3:$AH$1849,6,FALSE)</f>
        <v>Electrosurgical Units, Monopolar/Bipolar</v>
      </c>
      <c r="PZG111" s="179" t="s">
        <v>428</v>
      </c>
      <c r="PZH111" s="180" t="str">
        <f>VLOOKUP(PZG111,[13]AssetDetails_UEM!$A$3:$AH$1849,6,FALSE)</f>
        <v>Electrosurgical Units, Monopolar/Bipolar</v>
      </c>
      <c r="PZI111" s="179" t="s">
        <v>428</v>
      </c>
      <c r="PZJ111" s="180" t="str">
        <f>VLOOKUP(PZI111,[13]AssetDetails_UEM!$A$3:$AH$1849,6,FALSE)</f>
        <v>Electrosurgical Units, Monopolar/Bipolar</v>
      </c>
      <c r="PZK111" s="179" t="s">
        <v>428</v>
      </c>
      <c r="PZL111" s="180" t="str">
        <f>VLOOKUP(PZK111,[13]AssetDetails_UEM!$A$3:$AH$1849,6,FALSE)</f>
        <v>Electrosurgical Units, Monopolar/Bipolar</v>
      </c>
      <c r="PZM111" s="179" t="s">
        <v>428</v>
      </c>
      <c r="PZN111" s="180" t="str">
        <f>VLOOKUP(PZM111,[13]AssetDetails_UEM!$A$3:$AH$1849,6,FALSE)</f>
        <v>Electrosurgical Units, Monopolar/Bipolar</v>
      </c>
      <c r="PZO111" s="179" t="s">
        <v>428</v>
      </c>
      <c r="PZP111" s="180" t="str">
        <f>VLOOKUP(PZO111,[13]AssetDetails_UEM!$A$3:$AH$1849,6,FALSE)</f>
        <v>Electrosurgical Units, Monopolar/Bipolar</v>
      </c>
      <c r="PZQ111" s="179" t="s">
        <v>428</v>
      </c>
      <c r="PZR111" s="180" t="str">
        <f>VLOOKUP(PZQ111,[13]AssetDetails_UEM!$A$3:$AH$1849,6,FALSE)</f>
        <v>Electrosurgical Units, Monopolar/Bipolar</v>
      </c>
      <c r="PZS111" s="179" t="s">
        <v>428</v>
      </c>
      <c r="PZT111" s="180" t="str">
        <f>VLOOKUP(PZS111,[13]AssetDetails_UEM!$A$3:$AH$1849,6,FALSE)</f>
        <v>Electrosurgical Units, Monopolar/Bipolar</v>
      </c>
      <c r="PZU111" s="179" t="s">
        <v>428</v>
      </c>
      <c r="PZV111" s="180" t="str">
        <f>VLOOKUP(PZU111,[13]AssetDetails_UEM!$A$3:$AH$1849,6,FALSE)</f>
        <v>Electrosurgical Units, Monopolar/Bipolar</v>
      </c>
      <c r="PZW111" s="179" t="s">
        <v>428</v>
      </c>
      <c r="PZX111" s="180" t="str">
        <f>VLOOKUP(PZW111,[13]AssetDetails_UEM!$A$3:$AH$1849,6,FALSE)</f>
        <v>Electrosurgical Units, Monopolar/Bipolar</v>
      </c>
      <c r="PZY111" s="179" t="s">
        <v>428</v>
      </c>
      <c r="PZZ111" s="180" t="str">
        <f>VLOOKUP(PZY111,[13]AssetDetails_UEM!$A$3:$AH$1849,6,FALSE)</f>
        <v>Electrosurgical Units, Monopolar/Bipolar</v>
      </c>
      <c r="QAA111" s="179" t="s">
        <v>428</v>
      </c>
      <c r="QAB111" s="180" t="str">
        <f>VLOOKUP(QAA111,[13]AssetDetails_UEM!$A$3:$AH$1849,6,FALSE)</f>
        <v>Electrosurgical Units, Monopolar/Bipolar</v>
      </c>
      <c r="QAC111" s="179" t="s">
        <v>428</v>
      </c>
      <c r="QAD111" s="180" t="str">
        <f>VLOOKUP(QAC111,[13]AssetDetails_UEM!$A$3:$AH$1849,6,FALSE)</f>
        <v>Electrosurgical Units, Monopolar/Bipolar</v>
      </c>
      <c r="QAE111" s="179" t="s">
        <v>428</v>
      </c>
      <c r="QAF111" s="180" t="str">
        <f>VLOOKUP(QAE111,[13]AssetDetails_UEM!$A$3:$AH$1849,6,FALSE)</f>
        <v>Electrosurgical Units, Monopolar/Bipolar</v>
      </c>
      <c r="QAG111" s="179" t="s">
        <v>428</v>
      </c>
      <c r="QAH111" s="180" t="str">
        <f>VLOOKUP(QAG111,[13]AssetDetails_UEM!$A$3:$AH$1849,6,FALSE)</f>
        <v>Electrosurgical Units, Monopolar/Bipolar</v>
      </c>
      <c r="QAI111" s="179" t="s">
        <v>428</v>
      </c>
      <c r="QAJ111" s="180" t="str">
        <f>VLOOKUP(QAI111,[13]AssetDetails_UEM!$A$3:$AH$1849,6,FALSE)</f>
        <v>Electrosurgical Units, Monopolar/Bipolar</v>
      </c>
      <c r="QAK111" s="179" t="s">
        <v>428</v>
      </c>
      <c r="QAL111" s="180" t="str">
        <f>VLOOKUP(QAK111,[13]AssetDetails_UEM!$A$3:$AH$1849,6,FALSE)</f>
        <v>Electrosurgical Units, Monopolar/Bipolar</v>
      </c>
      <c r="QAM111" s="179" t="s">
        <v>428</v>
      </c>
      <c r="QAN111" s="180" t="str">
        <f>VLOOKUP(QAM111,[13]AssetDetails_UEM!$A$3:$AH$1849,6,FALSE)</f>
        <v>Electrosurgical Units, Monopolar/Bipolar</v>
      </c>
      <c r="QAO111" s="179" t="s">
        <v>428</v>
      </c>
      <c r="QAP111" s="180" t="str">
        <f>VLOOKUP(QAO111,[13]AssetDetails_UEM!$A$3:$AH$1849,6,FALSE)</f>
        <v>Electrosurgical Units, Monopolar/Bipolar</v>
      </c>
      <c r="QAQ111" s="179" t="s">
        <v>428</v>
      </c>
      <c r="QAR111" s="180" t="str">
        <f>VLOOKUP(QAQ111,[13]AssetDetails_UEM!$A$3:$AH$1849,6,FALSE)</f>
        <v>Electrosurgical Units, Monopolar/Bipolar</v>
      </c>
      <c r="QAS111" s="179" t="s">
        <v>428</v>
      </c>
      <c r="QAT111" s="180" t="str">
        <f>VLOOKUP(QAS111,[13]AssetDetails_UEM!$A$3:$AH$1849,6,FALSE)</f>
        <v>Electrosurgical Units, Monopolar/Bipolar</v>
      </c>
      <c r="QAU111" s="179" t="s">
        <v>428</v>
      </c>
      <c r="QAV111" s="180" t="str">
        <f>VLOOKUP(QAU111,[13]AssetDetails_UEM!$A$3:$AH$1849,6,FALSE)</f>
        <v>Electrosurgical Units, Monopolar/Bipolar</v>
      </c>
      <c r="QAW111" s="179" t="s">
        <v>428</v>
      </c>
      <c r="QAX111" s="180" t="str">
        <f>VLOOKUP(QAW111,[13]AssetDetails_UEM!$A$3:$AH$1849,6,FALSE)</f>
        <v>Electrosurgical Units, Monopolar/Bipolar</v>
      </c>
      <c r="QAY111" s="179" t="s">
        <v>428</v>
      </c>
      <c r="QAZ111" s="180" t="str">
        <f>VLOOKUP(QAY111,[13]AssetDetails_UEM!$A$3:$AH$1849,6,FALSE)</f>
        <v>Electrosurgical Units, Monopolar/Bipolar</v>
      </c>
      <c r="QBA111" s="179" t="s">
        <v>428</v>
      </c>
      <c r="QBB111" s="180" t="str">
        <f>VLOOKUP(QBA111,[13]AssetDetails_UEM!$A$3:$AH$1849,6,FALSE)</f>
        <v>Electrosurgical Units, Monopolar/Bipolar</v>
      </c>
      <c r="QBC111" s="179" t="s">
        <v>428</v>
      </c>
      <c r="QBD111" s="180" t="str">
        <f>VLOOKUP(QBC111,[13]AssetDetails_UEM!$A$3:$AH$1849,6,FALSE)</f>
        <v>Electrosurgical Units, Monopolar/Bipolar</v>
      </c>
      <c r="QBE111" s="179" t="s">
        <v>428</v>
      </c>
      <c r="QBF111" s="180" t="str">
        <f>VLOOKUP(QBE111,[13]AssetDetails_UEM!$A$3:$AH$1849,6,FALSE)</f>
        <v>Electrosurgical Units, Monopolar/Bipolar</v>
      </c>
      <c r="QBG111" s="179" t="s">
        <v>428</v>
      </c>
      <c r="QBH111" s="180" t="str">
        <f>VLOOKUP(QBG111,[13]AssetDetails_UEM!$A$3:$AH$1849,6,FALSE)</f>
        <v>Electrosurgical Units, Monopolar/Bipolar</v>
      </c>
      <c r="QBI111" s="179" t="s">
        <v>428</v>
      </c>
      <c r="QBJ111" s="180" t="str">
        <f>VLOOKUP(QBI111,[13]AssetDetails_UEM!$A$3:$AH$1849,6,FALSE)</f>
        <v>Electrosurgical Units, Monopolar/Bipolar</v>
      </c>
      <c r="QBK111" s="179" t="s">
        <v>428</v>
      </c>
      <c r="QBL111" s="180" t="str">
        <f>VLOOKUP(QBK111,[13]AssetDetails_UEM!$A$3:$AH$1849,6,FALSE)</f>
        <v>Electrosurgical Units, Monopolar/Bipolar</v>
      </c>
      <c r="QBM111" s="179" t="s">
        <v>428</v>
      </c>
      <c r="QBN111" s="180" t="str">
        <f>VLOOKUP(QBM111,[13]AssetDetails_UEM!$A$3:$AH$1849,6,FALSE)</f>
        <v>Electrosurgical Units, Monopolar/Bipolar</v>
      </c>
      <c r="QBO111" s="179" t="s">
        <v>428</v>
      </c>
      <c r="QBP111" s="180" t="str">
        <f>VLOOKUP(QBO111,[13]AssetDetails_UEM!$A$3:$AH$1849,6,FALSE)</f>
        <v>Electrosurgical Units, Monopolar/Bipolar</v>
      </c>
      <c r="QBQ111" s="179" t="s">
        <v>428</v>
      </c>
      <c r="QBR111" s="180" t="str">
        <f>VLOOKUP(QBQ111,[13]AssetDetails_UEM!$A$3:$AH$1849,6,FALSE)</f>
        <v>Electrosurgical Units, Monopolar/Bipolar</v>
      </c>
      <c r="QBS111" s="179" t="s">
        <v>428</v>
      </c>
      <c r="QBT111" s="180" t="str">
        <f>VLOOKUP(QBS111,[13]AssetDetails_UEM!$A$3:$AH$1849,6,FALSE)</f>
        <v>Electrosurgical Units, Monopolar/Bipolar</v>
      </c>
      <c r="QBU111" s="179" t="s">
        <v>428</v>
      </c>
      <c r="QBV111" s="180" t="str">
        <f>VLOOKUP(QBU111,[13]AssetDetails_UEM!$A$3:$AH$1849,6,FALSE)</f>
        <v>Electrosurgical Units, Monopolar/Bipolar</v>
      </c>
      <c r="QBW111" s="179" t="s">
        <v>428</v>
      </c>
      <c r="QBX111" s="180" t="str">
        <f>VLOOKUP(QBW111,[13]AssetDetails_UEM!$A$3:$AH$1849,6,FALSE)</f>
        <v>Electrosurgical Units, Monopolar/Bipolar</v>
      </c>
      <c r="QBY111" s="179" t="s">
        <v>428</v>
      </c>
      <c r="QBZ111" s="180" t="str">
        <f>VLOOKUP(QBY111,[13]AssetDetails_UEM!$A$3:$AH$1849,6,FALSE)</f>
        <v>Electrosurgical Units, Monopolar/Bipolar</v>
      </c>
      <c r="QCA111" s="179" t="s">
        <v>428</v>
      </c>
      <c r="QCB111" s="180" t="str">
        <f>VLOOKUP(QCA111,[13]AssetDetails_UEM!$A$3:$AH$1849,6,FALSE)</f>
        <v>Electrosurgical Units, Monopolar/Bipolar</v>
      </c>
      <c r="QCC111" s="179" t="s">
        <v>428</v>
      </c>
      <c r="QCD111" s="180" t="str">
        <f>VLOOKUP(QCC111,[13]AssetDetails_UEM!$A$3:$AH$1849,6,FALSE)</f>
        <v>Electrosurgical Units, Monopolar/Bipolar</v>
      </c>
      <c r="QCE111" s="179" t="s">
        <v>428</v>
      </c>
      <c r="QCF111" s="180" t="str">
        <f>VLOOKUP(QCE111,[13]AssetDetails_UEM!$A$3:$AH$1849,6,FALSE)</f>
        <v>Electrosurgical Units, Monopolar/Bipolar</v>
      </c>
      <c r="QCG111" s="179" t="s">
        <v>428</v>
      </c>
      <c r="QCH111" s="180" t="str">
        <f>VLOOKUP(QCG111,[13]AssetDetails_UEM!$A$3:$AH$1849,6,FALSE)</f>
        <v>Electrosurgical Units, Monopolar/Bipolar</v>
      </c>
      <c r="QCI111" s="179" t="s">
        <v>428</v>
      </c>
      <c r="QCJ111" s="180" t="str">
        <f>VLOOKUP(QCI111,[13]AssetDetails_UEM!$A$3:$AH$1849,6,FALSE)</f>
        <v>Electrosurgical Units, Monopolar/Bipolar</v>
      </c>
      <c r="QCK111" s="179" t="s">
        <v>428</v>
      </c>
      <c r="QCL111" s="180" t="str">
        <f>VLOOKUP(QCK111,[13]AssetDetails_UEM!$A$3:$AH$1849,6,FALSE)</f>
        <v>Electrosurgical Units, Monopolar/Bipolar</v>
      </c>
      <c r="QCM111" s="179" t="s">
        <v>428</v>
      </c>
      <c r="QCN111" s="180" t="str">
        <f>VLOOKUP(QCM111,[13]AssetDetails_UEM!$A$3:$AH$1849,6,FALSE)</f>
        <v>Electrosurgical Units, Monopolar/Bipolar</v>
      </c>
      <c r="QCO111" s="179" t="s">
        <v>428</v>
      </c>
      <c r="QCP111" s="180" t="str">
        <f>VLOOKUP(QCO111,[13]AssetDetails_UEM!$A$3:$AH$1849,6,FALSE)</f>
        <v>Electrosurgical Units, Monopolar/Bipolar</v>
      </c>
      <c r="QCQ111" s="179" t="s">
        <v>428</v>
      </c>
      <c r="QCR111" s="180" t="str">
        <f>VLOOKUP(QCQ111,[13]AssetDetails_UEM!$A$3:$AH$1849,6,FALSE)</f>
        <v>Electrosurgical Units, Monopolar/Bipolar</v>
      </c>
      <c r="QCS111" s="179" t="s">
        <v>428</v>
      </c>
      <c r="QCT111" s="180" t="str">
        <f>VLOOKUP(QCS111,[13]AssetDetails_UEM!$A$3:$AH$1849,6,FALSE)</f>
        <v>Electrosurgical Units, Monopolar/Bipolar</v>
      </c>
      <c r="QCU111" s="179" t="s">
        <v>428</v>
      </c>
      <c r="QCV111" s="180" t="str">
        <f>VLOOKUP(QCU111,[13]AssetDetails_UEM!$A$3:$AH$1849,6,FALSE)</f>
        <v>Electrosurgical Units, Monopolar/Bipolar</v>
      </c>
      <c r="QCW111" s="179" t="s">
        <v>428</v>
      </c>
      <c r="QCX111" s="180" t="str">
        <f>VLOOKUP(QCW111,[13]AssetDetails_UEM!$A$3:$AH$1849,6,FALSE)</f>
        <v>Electrosurgical Units, Monopolar/Bipolar</v>
      </c>
      <c r="QCY111" s="179" t="s">
        <v>428</v>
      </c>
      <c r="QCZ111" s="180" t="str">
        <f>VLOOKUP(QCY111,[13]AssetDetails_UEM!$A$3:$AH$1849,6,FALSE)</f>
        <v>Electrosurgical Units, Monopolar/Bipolar</v>
      </c>
      <c r="QDA111" s="179" t="s">
        <v>428</v>
      </c>
      <c r="QDB111" s="180" t="str">
        <f>VLOOKUP(QDA111,[13]AssetDetails_UEM!$A$3:$AH$1849,6,FALSE)</f>
        <v>Electrosurgical Units, Monopolar/Bipolar</v>
      </c>
      <c r="QDC111" s="179" t="s">
        <v>428</v>
      </c>
      <c r="QDD111" s="180" t="str">
        <f>VLOOKUP(QDC111,[13]AssetDetails_UEM!$A$3:$AH$1849,6,FALSE)</f>
        <v>Electrosurgical Units, Monopolar/Bipolar</v>
      </c>
      <c r="QDE111" s="179" t="s">
        <v>428</v>
      </c>
      <c r="QDF111" s="180" t="str">
        <f>VLOOKUP(QDE111,[13]AssetDetails_UEM!$A$3:$AH$1849,6,FALSE)</f>
        <v>Electrosurgical Units, Monopolar/Bipolar</v>
      </c>
      <c r="QDG111" s="179" t="s">
        <v>428</v>
      </c>
      <c r="QDH111" s="180" t="str">
        <f>VLOOKUP(QDG111,[13]AssetDetails_UEM!$A$3:$AH$1849,6,FALSE)</f>
        <v>Electrosurgical Units, Monopolar/Bipolar</v>
      </c>
      <c r="QDI111" s="179" t="s">
        <v>428</v>
      </c>
      <c r="QDJ111" s="180" t="str">
        <f>VLOOKUP(QDI111,[13]AssetDetails_UEM!$A$3:$AH$1849,6,FALSE)</f>
        <v>Electrosurgical Units, Monopolar/Bipolar</v>
      </c>
      <c r="QDK111" s="179" t="s">
        <v>428</v>
      </c>
      <c r="QDL111" s="180" t="str">
        <f>VLOOKUP(QDK111,[13]AssetDetails_UEM!$A$3:$AH$1849,6,FALSE)</f>
        <v>Electrosurgical Units, Monopolar/Bipolar</v>
      </c>
      <c r="QDM111" s="179" t="s">
        <v>428</v>
      </c>
      <c r="QDN111" s="180" t="str">
        <f>VLOOKUP(QDM111,[13]AssetDetails_UEM!$A$3:$AH$1849,6,FALSE)</f>
        <v>Electrosurgical Units, Monopolar/Bipolar</v>
      </c>
      <c r="QDO111" s="179" t="s">
        <v>428</v>
      </c>
      <c r="QDP111" s="180" t="str">
        <f>VLOOKUP(QDO111,[13]AssetDetails_UEM!$A$3:$AH$1849,6,FALSE)</f>
        <v>Electrosurgical Units, Monopolar/Bipolar</v>
      </c>
      <c r="QDQ111" s="179" t="s">
        <v>428</v>
      </c>
      <c r="QDR111" s="180" t="str">
        <f>VLOOKUP(QDQ111,[13]AssetDetails_UEM!$A$3:$AH$1849,6,FALSE)</f>
        <v>Electrosurgical Units, Monopolar/Bipolar</v>
      </c>
      <c r="QDS111" s="179" t="s">
        <v>428</v>
      </c>
      <c r="QDT111" s="180" t="str">
        <f>VLOOKUP(QDS111,[13]AssetDetails_UEM!$A$3:$AH$1849,6,FALSE)</f>
        <v>Electrosurgical Units, Monopolar/Bipolar</v>
      </c>
      <c r="QDU111" s="179" t="s">
        <v>428</v>
      </c>
      <c r="QDV111" s="180" t="str">
        <f>VLOOKUP(QDU111,[13]AssetDetails_UEM!$A$3:$AH$1849,6,FALSE)</f>
        <v>Electrosurgical Units, Monopolar/Bipolar</v>
      </c>
      <c r="QDW111" s="179" t="s">
        <v>428</v>
      </c>
      <c r="QDX111" s="180" t="str">
        <f>VLOOKUP(QDW111,[13]AssetDetails_UEM!$A$3:$AH$1849,6,FALSE)</f>
        <v>Electrosurgical Units, Monopolar/Bipolar</v>
      </c>
      <c r="QDY111" s="179" t="s">
        <v>428</v>
      </c>
      <c r="QDZ111" s="180" t="str">
        <f>VLOOKUP(QDY111,[13]AssetDetails_UEM!$A$3:$AH$1849,6,FALSE)</f>
        <v>Electrosurgical Units, Monopolar/Bipolar</v>
      </c>
      <c r="QEA111" s="179" t="s">
        <v>428</v>
      </c>
      <c r="QEB111" s="180" t="str">
        <f>VLOOKUP(QEA111,[13]AssetDetails_UEM!$A$3:$AH$1849,6,FALSE)</f>
        <v>Electrosurgical Units, Monopolar/Bipolar</v>
      </c>
      <c r="QEC111" s="179" t="s">
        <v>428</v>
      </c>
      <c r="QED111" s="180" t="str">
        <f>VLOOKUP(QEC111,[13]AssetDetails_UEM!$A$3:$AH$1849,6,FALSE)</f>
        <v>Electrosurgical Units, Monopolar/Bipolar</v>
      </c>
      <c r="QEE111" s="179" t="s">
        <v>428</v>
      </c>
      <c r="QEF111" s="180" t="str">
        <f>VLOOKUP(QEE111,[13]AssetDetails_UEM!$A$3:$AH$1849,6,FALSE)</f>
        <v>Electrosurgical Units, Monopolar/Bipolar</v>
      </c>
      <c r="QEG111" s="179" t="s">
        <v>428</v>
      </c>
      <c r="QEH111" s="180" t="str">
        <f>VLOOKUP(QEG111,[13]AssetDetails_UEM!$A$3:$AH$1849,6,FALSE)</f>
        <v>Electrosurgical Units, Monopolar/Bipolar</v>
      </c>
      <c r="QEI111" s="179" t="s">
        <v>428</v>
      </c>
      <c r="QEJ111" s="180" t="str">
        <f>VLOOKUP(QEI111,[13]AssetDetails_UEM!$A$3:$AH$1849,6,FALSE)</f>
        <v>Electrosurgical Units, Monopolar/Bipolar</v>
      </c>
      <c r="QEK111" s="179" t="s">
        <v>428</v>
      </c>
      <c r="QEL111" s="180" t="str">
        <f>VLOOKUP(QEK111,[13]AssetDetails_UEM!$A$3:$AH$1849,6,FALSE)</f>
        <v>Electrosurgical Units, Monopolar/Bipolar</v>
      </c>
      <c r="QEM111" s="179" t="s">
        <v>428</v>
      </c>
      <c r="QEN111" s="180" t="str">
        <f>VLOOKUP(QEM111,[13]AssetDetails_UEM!$A$3:$AH$1849,6,FALSE)</f>
        <v>Electrosurgical Units, Monopolar/Bipolar</v>
      </c>
      <c r="QEO111" s="179" t="s">
        <v>428</v>
      </c>
      <c r="QEP111" s="180" t="str">
        <f>VLOOKUP(QEO111,[13]AssetDetails_UEM!$A$3:$AH$1849,6,FALSE)</f>
        <v>Electrosurgical Units, Monopolar/Bipolar</v>
      </c>
      <c r="QEQ111" s="179" t="s">
        <v>428</v>
      </c>
      <c r="QER111" s="180" t="str">
        <f>VLOOKUP(QEQ111,[13]AssetDetails_UEM!$A$3:$AH$1849,6,FALSE)</f>
        <v>Electrosurgical Units, Monopolar/Bipolar</v>
      </c>
      <c r="QES111" s="179" t="s">
        <v>428</v>
      </c>
      <c r="QET111" s="180" t="str">
        <f>VLOOKUP(QES111,[13]AssetDetails_UEM!$A$3:$AH$1849,6,FALSE)</f>
        <v>Electrosurgical Units, Monopolar/Bipolar</v>
      </c>
      <c r="QEU111" s="179" t="s">
        <v>428</v>
      </c>
      <c r="QEV111" s="180" t="str">
        <f>VLOOKUP(QEU111,[13]AssetDetails_UEM!$A$3:$AH$1849,6,FALSE)</f>
        <v>Electrosurgical Units, Monopolar/Bipolar</v>
      </c>
      <c r="QEW111" s="179" t="s">
        <v>428</v>
      </c>
      <c r="QEX111" s="180" t="str">
        <f>VLOOKUP(QEW111,[13]AssetDetails_UEM!$A$3:$AH$1849,6,FALSE)</f>
        <v>Electrosurgical Units, Monopolar/Bipolar</v>
      </c>
      <c r="QEY111" s="179" t="s">
        <v>428</v>
      </c>
      <c r="QEZ111" s="180" t="str">
        <f>VLOOKUP(QEY111,[13]AssetDetails_UEM!$A$3:$AH$1849,6,FALSE)</f>
        <v>Electrosurgical Units, Monopolar/Bipolar</v>
      </c>
      <c r="QFA111" s="179" t="s">
        <v>428</v>
      </c>
      <c r="QFB111" s="180" t="str">
        <f>VLOOKUP(QFA111,[13]AssetDetails_UEM!$A$3:$AH$1849,6,FALSE)</f>
        <v>Electrosurgical Units, Monopolar/Bipolar</v>
      </c>
      <c r="QFC111" s="179" t="s">
        <v>428</v>
      </c>
      <c r="QFD111" s="180" t="str">
        <f>VLOOKUP(QFC111,[13]AssetDetails_UEM!$A$3:$AH$1849,6,FALSE)</f>
        <v>Electrosurgical Units, Monopolar/Bipolar</v>
      </c>
      <c r="QFE111" s="179" t="s">
        <v>428</v>
      </c>
      <c r="QFF111" s="180" t="str">
        <f>VLOOKUP(QFE111,[13]AssetDetails_UEM!$A$3:$AH$1849,6,FALSE)</f>
        <v>Electrosurgical Units, Monopolar/Bipolar</v>
      </c>
      <c r="QFG111" s="179" t="s">
        <v>428</v>
      </c>
      <c r="QFH111" s="180" t="str">
        <f>VLOOKUP(QFG111,[13]AssetDetails_UEM!$A$3:$AH$1849,6,FALSE)</f>
        <v>Electrosurgical Units, Monopolar/Bipolar</v>
      </c>
      <c r="QFI111" s="179" t="s">
        <v>428</v>
      </c>
      <c r="QFJ111" s="180" t="str">
        <f>VLOOKUP(QFI111,[13]AssetDetails_UEM!$A$3:$AH$1849,6,FALSE)</f>
        <v>Electrosurgical Units, Monopolar/Bipolar</v>
      </c>
      <c r="QFK111" s="179" t="s">
        <v>428</v>
      </c>
      <c r="QFL111" s="180" t="str">
        <f>VLOOKUP(QFK111,[13]AssetDetails_UEM!$A$3:$AH$1849,6,FALSE)</f>
        <v>Electrosurgical Units, Monopolar/Bipolar</v>
      </c>
      <c r="QFM111" s="179" t="s">
        <v>428</v>
      </c>
      <c r="QFN111" s="180" t="str">
        <f>VLOOKUP(QFM111,[13]AssetDetails_UEM!$A$3:$AH$1849,6,FALSE)</f>
        <v>Electrosurgical Units, Monopolar/Bipolar</v>
      </c>
      <c r="QFO111" s="179" t="s">
        <v>428</v>
      </c>
      <c r="QFP111" s="180" t="str">
        <f>VLOOKUP(QFO111,[13]AssetDetails_UEM!$A$3:$AH$1849,6,FALSE)</f>
        <v>Electrosurgical Units, Monopolar/Bipolar</v>
      </c>
      <c r="QFQ111" s="179" t="s">
        <v>428</v>
      </c>
      <c r="QFR111" s="180" t="str">
        <f>VLOOKUP(QFQ111,[13]AssetDetails_UEM!$A$3:$AH$1849,6,FALSE)</f>
        <v>Electrosurgical Units, Monopolar/Bipolar</v>
      </c>
      <c r="QFS111" s="179" t="s">
        <v>428</v>
      </c>
      <c r="QFT111" s="180" t="str">
        <f>VLOOKUP(QFS111,[13]AssetDetails_UEM!$A$3:$AH$1849,6,FALSE)</f>
        <v>Electrosurgical Units, Monopolar/Bipolar</v>
      </c>
      <c r="QFU111" s="179" t="s">
        <v>428</v>
      </c>
      <c r="QFV111" s="180" t="str">
        <f>VLOOKUP(QFU111,[13]AssetDetails_UEM!$A$3:$AH$1849,6,FALSE)</f>
        <v>Electrosurgical Units, Monopolar/Bipolar</v>
      </c>
      <c r="QFW111" s="179" t="s">
        <v>428</v>
      </c>
      <c r="QFX111" s="180" t="str">
        <f>VLOOKUP(QFW111,[13]AssetDetails_UEM!$A$3:$AH$1849,6,FALSE)</f>
        <v>Electrosurgical Units, Monopolar/Bipolar</v>
      </c>
      <c r="QFY111" s="179" t="s">
        <v>428</v>
      </c>
      <c r="QFZ111" s="180" t="str">
        <f>VLOOKUP(QFY111,[13]AssetDetails_UEM!$A$3:$AH$1849,6,FALSE)</f>
        <v>Electrosurgical Units, Monopolar/Bipolar</v>
      </c>
      <c r="QGA111" s="179" t="s">
        <v>428</v>
      </c>
      <c r="QGB111" s="180" t="str">
        <f>VLOOKUP(QGA111,[13]AssetDetails_UEM!$A$3:$AH$1849,6,FALSE)</f>
        <v>Electrosurgical Units, Monopolar/Bipolar</v>
      </c>
      <c r="QGC111" s="179" t="s">
        <v>428</v>
      </c>
      <c r="QGD111" s="180" t="str">
        <f>VLOOKUP(QGC111,[13]AssetDetails_UEM!$A$3:$AH$1849,6,FALSE)</f>
        <v>Electrosurgical Units, Monopolar/Bipolar</v>
      </c>
      <c r="QGE111" s="179" t="s">
        <v>428</v>
      </c>
      <c r="QGF111" s="180" t="str">
        <f>VLOOKUP(QGE111,[13]AssetDetails_UEM!$A$3:$AH$1849,6,FALSE)</f>
        <v>Electrosurgical Units, Monopolar/Bipolar</v>
      </c>
      <c r="QGG111" s="179" t="s">
        <v>428</v>
      </c>
      <c r="QGH111" s="180" t="str">
        <f>VLOOKUP(QGG111,[13]AssetDetails_UEM!$A$3:$AH$1849,6,FALSE)</f>
        <v>Electrosurgical Units, Monopolar/Bipolar</v>
      </c>
      <c r="QGI111" s="179" t="s">
        <v>428</v>
      </c>
      <c r="QGJ111" s="180" t="str">
        <f>VLOOKUP(QGI111,[13]AssetDetails_UEM!$A$3:$AH$1849,6,FALSE)</f>
        <v>Electrosurgical Units, Monopolar/Bipolar</v>
      </c>
      <c r="QGK111" s="179" t="s">
        <v>428</v>
      </c>
      <c r="QGL111" s="180" t="str">
        <f>VLOOKUP(QGK111,[13]AssetDetails_UEM!$A$3:$AH$1849,6,FALSE)</f>
        <v>Electrosurgical Units, Monopolar/Bipolar</v>
      </c>
      <c r="QGM111" s="179" t="s">
        <v>428</v>
      </c>
      <c r="QGN111" s="180" t="str">
        <f>VLOOKUP(QGM111,[13]AssetDetails_UEM!$A$3:$AH$1849,6,FALSE)</f>
        <v>Electrosurgical Units, Monopolar/Bipolar</v>
      </c>
      <c r="QGO111" s="179" t="s">
        <v>428</v>
      </c>
      <c r="QGP111" s="180" t="str">
        <f>VLOOKUP(QGO111,[13]AssetDetails_UEM!$A$3:$AH$1849,6,FALSE)</f>
        <v>Electrosurgical Units, Monopolar/Bipolar</v>
      </c>
      <c r="QGQ111" s="179" t="s">
        <v>428</v>
      </c>
      <c r="QGR111" s="180" t="str">
        <f>VLOOKUP(QGQ111,[13]AssetDetails_UEM!$A$3:$AH$1849,6,FALSE)</f>
        <v>Electrosurgical Units, Monopolar/Bipolar</v>
      </c>
      <c r="QGS111" s="179" t="s">
        <v>428</v>
      </c>
      <c r="QGT111" s="180" t="str">
        <f>VLOOKUP(QGS111,[13]AssetDetails_UEM!$A$3:$AH$1849,6,FALSE)</f>
        <v>Electrosurgical Units, Monopolar/Bipolar</v>
      </c>
      <c r="QGU111" s="179" t="s">
        <v>428</v>
      </c>
      <c r="QGV111" s="180" t="str">
        <f>VLOOKUP(QGU111,[13]AssetDetails_UEM!$A$3:$AH$1849,6,FALSE)</f>
        <v>Electrosurgical Units, Monopolar/Bipolar</v>
      </c>
      <c r="QGW111" s="179" t="s">
        <v>428</v>
      </c>
      <c r="QGX111" s="180" t="str">
        <f>VLOOKUP(QGW111,[13]AssetDetails_UEM!$A$3:$AH$1849,6,FALSE)</f>
        <v>Electrosurgical Units, Monopolar/Bipolar</v>
      </c>
      <c r="QGY111" s="179" t="s">
        <v>428</v>
      </c>
      <c r="QGZ111" s="180" t="str">
        <f>VLOOKUP(QGY111,[13]AssetDetails_UEM!$A$3:$AH$1849,6,FALSE)</f>
        <v>Electrosurgical Units, Monopolar/Bipolar</v>
      </c>
      <c r="QHA111" s="179" t="s">
        <v>428</v>
      </c>
      <c r="QHB111" s="180" t="str">
        <f>VLOOKUP(QHA111,[13]AssetDetails_UEM!$A$3:$AH$1849,6,FALSE)</f>
        <v>Electrosurgical Units, Monopolar/Bipolar</v>
      </c>
      <c r="QHC111" s="179" t="s">
        <v>428</v>
      </c>
      <c r="QHD111" s="180" t="str">
        <f>VLOOKUP(QHC111,[13]AssetDetails_UEM!$A$3:$AH$1849,6,FALSE)</f>
        <v>Electrosurgical Units, Monopolar/Bipolar</v>
      </c>
      <c r="QHE111" s="179" t="s">
        <v>428</v>
      </c>
      <c r="QHF111" s="180" t="str">
        <f>VLOOKUP(QHE111,[13]AssetDetails_UEM!$A$3:$AH$1849,6,FALSE)</f>
        <v>Electrosurgical Units, Monopolar/Bipolar</v>
      </c>
      <c r="QHG111" s="179" t="s">
        <v>428</v>
      </c>
      <c r="QHH111" s="180" t="str">
        <f>VLOOKUP(QHG111,[13]AssetDetails_UEM!$A$3:$AH$1849,6,FALSE)</f>
        <v>Electrosurgical Units, Monopolar/Bipolar</v>
      </c>
      <c r="QHI111" s="179" t="s">
        <v>428</v>
      </c>
      <c r="QHJ111" s="180" t="str">
        <f>VLOOKUP(QHI111,[13]AssetDetails_UEM!$A$3:$AH$1849,6,FALSE)</f>
        <v>Electrosurgical Units, Monopolar/Bipolar</v>
      </c>
      <c r="QHK111" s="179" t="s">
        <v>428</v>
      </c>
      <c r="QHL111" s="180" t="str">
        <f>VLOOKUP(QHK111,[13]AssetDetails_UEM!$A$3:$AH$1849,6,FALSE)</f>
        <v>Electrosurgical Units, Monopolar/Bipolar</v>
      </c>
      <c r="QHM111" s="179" t="s">
        <v>428</v>
      </c>
      <c r="QHN111" s="180" t="str">
        <f>VLOOKUP(QHM111,[13]AssetDetails_UEM!$A$3:$AH$1849,6,FALSE)</f>
        <v>Electrosurgical Units, Monopolar/Bipolar</v>
      </c>
      <c r="QHO111" s="179" t="s">
        <v>428</v>
      </c>
      <c r="QHP111" s="180" t="str">
        <f>VLOOKUP(QHO111,[13]AssetDetails_UEM!$A$3:$AH$1849,6,FALSE)</f>
        <v>Electrosurgical Units, Monopolar/Bipolar</v>
      </c>
      <c r="QHQ111" s="179" t="s">
        <v>428</v>
      </c>
      <c r="QHR111" s="180" t="str">
        <f>VLOOKUP(QHQ111,[13]AssetDetails_UEM!$A$3:$AH$1849,6,FALSE)</f>
        <v>Electrosurgical Units, Monopolar/Bipolar</v>
      </c>
      <c r="QHS111" s="179" t="s">
        <v>428</v>
      </c>
      <c r="QHT111" s="180" t="str">
        <f>VLOOKUP(QHS111,[13]AssetDetails_UEM!$A$3:$AH$1849,6,FALSE)</f>
        <v>Electrosurgical Units, Monopolar/Bipolar</v>
      </c>
      <c r="QHU111" s="179" t="s">
        <v>428</v>
      </c>
      <c r="QHV111" s="180" t="str">
        <f>VLOOKUP(QHU111,[13]AssetDetails_UEM!$A$3:$AH$1849,6,FALSE)</f>
        <v>Electrosurgical Units, Monopolar/Bipolar</v>
      </c>
      <c r="QHW111" s="179" t="s">
        <v>428</v>
      </c>
      <c r="QHX111" s="180" t="str">
        <f>VLOOKUP(QHW111,[13]AssetDetails_UEM!$A$3:$AH$1849,6,FALSE)</f>
        <v>Electrosurgical Units, Monopolar/Bipolar</v>
      </c>
      <c r="QHY111" s="179" t="s">
        <v>428</v>
      </c>
      <c r="QHZ111" s="180" t="str">
        <f>VLOOKUP(QHY111,[13]AssetDetails_UEM!$A$3:$AH$1849,6,FALSE)</f>
        <v>Electrosurgical Units, Monopolar/Bipolar</v>
      </c>
      <c r="QIA111" s="179" t="s">
        <v>428</v>
      </c>
      <c r="QIB111" s="180" t="str">
        <f>VLOOKUP(QIA111,[13]AssetDetails_UEM!$A$3:$AH$1849,6,FALSE)</f>
        <v>Electrosurgical Units, Monopolar/Bipolar</v>
      </c>
      <c r="QIC111" s="179" t="s">
        <v>428</v>
      </c>
      <c r="QID111" s="180" t="str">
        <f>VLOOKUP(QIC111,[13]AssetDetails_UEM!$A$3:$AH$1849,6,FALSE)</f>
        <v>Electrosurgical Units, Monopolar/Bipolar</v>
      </c>
      <c r="QIE111" s="179" t="s">
        <v>428</v>
      </c>
      <c r="QIF111" s="180" t="str">
        <f>VLOOKUP(QIE111,[13]AssetDetails_UEM!$A$3:$AH$1849,6,FALSE)</f>
        <v>Electrosurgical Units, Monopolar/Bipolar</v>
      </c>
      <c r="QIG111" s="179" t="s">
        <v>428</v>
      </c>
      <c r="QIH111" s="180" t="str">
        <f>VLOOKUP(QIG111,[13]AssetDetails_UEM!$A$3:$AH$1849,6,FALSE)</f>
        <v>Electrosurgical Units, Monopolar/Bipolar</v>
      </c>
      <c r="QII111" s="179" t="s">
        <v>428</v>
      </c>
      <c r="QIJ111" s="180" t="str">
        <f>VLOOKUP(QII111,[13]AssetDetails_UEM!$A$3:$AH$1849,6,FALSE)</f>
        <v>Electrosurgical Units, Monopolar/Bipolar</v>
      </c>
      <c r="QIK111" s="179" t="s">
        <v>428</v>
      </c>
      <c r="QIL111" s="180" t="str">
        <f>VLOOKUP(QIK111,[13]AssetDetails_UEM!$A$3:$AH$1849,6,FALSE)</f>
        <v>Electrosurgical Units, Monopolar/Bipolar</v>
      </c>
      <c r="QIM111" s="179" t="s">
        <v>428</v>
      </c>
      <c r="QIN111" s="180" t="str">
        <f>VLOOKUP(QIM111,[13]AssetDetails_UEM!$A$3:$AH$1849,6,FALSE)</f>
        <v>Electrosurgical Units, Monopolar/Bipolar</v>
      </c>
      <c r="QIO111" s="179" t="s">
        <v>428</v>
      </c>
      <c r="QIP111" s="180" t="str">
        <f>VLOOKUP(QIO111,[13]AssetDetails_UEM!$A$3:$AH$1849,6,FALSE)</f>
        <v>Electrosurgical Units, Monopolar/Bipolar</v>
      </c>
      <c r="QIQ111" s="179" t="s">
        <v>428</v>
      </c>
      <c r="QIR111" s="180" t="str">
        <f>VLOOKUP(QIQ111,[13]AssetDetails_UEM!$A$3:$AH$1849,6,FALSE)</f>
        <v>Electrosurgical Units, Monopolar/Bipolar</v>
      </c>
      <c r="QIS111" s="179" t="s">
        <v>428</v>
      </c>
      <c r="QIT111" s="180" t="str">
        <f>VLOOKUP(QIS111,[13]AssetDetails_UEM!$A$3:$AH$1849,6,FALSE)</f>
        <v>Electrosurgical Units, Monopolar/Bipolar</v>
      </c>
      <c r="QIU111" s="179" t="s">
        <v>428</v>
      </c>
      <c r="QIV111" s="180" t="str">
        <f>VLOOKUP(QIU111,[13]AssetDetails_UEM!$A$3:$AH$1849,6,FALSE)</f>
        <v>Electrosurgical Units, Monopolar/Bipolar</v>
      </c>
      <c r="QIW111" s="179" t="s">
        <v>428</v>
      </c>
      <c r="QIX111" s="180" t="str">
        <f>VLOOKUP(QIW111,[13]AssetDetails_UEM!$A$3:$AH$1849,6,FALSE)</f>
        <v>Electrosurgical Units, Monopolar/Bipolar</v>
      </c>
      <c r="QIY111" s="179" t="s">
        <v>428</v>
      </c>
      <c r="QIZ111" s="180" t="str">
        <f>VLOOKUP(QIY111,[13]AssetDetails_UEM!$A$3:$AH$1849,6,FALSE)</f>
        <v>Electrosurgical Units, Monopolar/Bipolar</v>
      </c>
      <c r="QJA111" s="179" t="s">
        <v>428</v>
      </c>
      <c r="QJB111" s="180" t="str">
        <f>VLOOKUP(QJA111,[13]AssetDetails_UEM!$A$3:$AH$1849,6,FALSE)</f>
        <v>Electrosurgical Units, Monopolar/Bipolar</v>
      </c>
      <c r="QJC111" s="179" t="s">
        <v>428</v>
      </c>
      <c r="QJD111" s="180" t="str">
        <f>VLOOKUP(QJC111,[13]AssetDetails_UEM!$A$3:$AH$1849,6,FALSE)</f>
        <v>Electrosurgical Units, Monopolar/Bipolar</v>
      </c>
      <c r="QJE111" s="179" t="s">
        <v>428</v>
      </c>
      <c r="QJF111" s="180" t="str">
        <f>VLOOKUP(QJE111,[13]AssetDetails_UEM!$A$3:$AH$1849,6,FALSE)</f>
        <v>Electrosurgical Units, Monopolar/Bipolar</v>
      </c>
      <c r="QJG111" s="179" t="s">
        <v>428</v>
      </c>
      <c r="QJH111" s="180" t="str">
        <f>VLOOKUP(QJG111,[13]AssetDetails_UEM!$A$3:$AH$1849,6,FALSE)</f>
        <v>Electrosurgical Units, Monopolar/Bipolar</v>
      </c>
      <c r="QJI111" s="179" t="s">
        <v>428</v>
      </c>
      <c r="QJJ111" s="180" t="str">
        <f>VLOOKUP(QJI111,[13]AssetDetails_UEM!$A$3:$AH$1849,6,FALSE)</f>
        <v>Electrosurgical Units, Monopolar/Bipolar</v>
      </c>
      <c r="QJK111" s="179" t="s">
        <v>428</v>
      </c>
      <c r="QJL111" s="180" t="str">
        <f>VLOOKUP(QJK111,[13]AssetDetails_UEM!$A$3:$AH$1849,6,FALSE)</f>
        <v>Electrosurgical Units, Monopolar/Bipolar</v>
      </c>
      <c r="QJM111" s="179" t="s">
        <v>428</v>
      </c>
      <c r="QJN111" s="180" t="str">
        <f>VLOOKUP(QJM111,[13]AssetDetails_UEM!$A$3:$AH$1849,6,FALSE)</f>
        <v>Electrosurgical Units, Monopolar/Bipolar</v>
      </c>
      <c r="QJO111" s="179" t="s">
        <v>428</v>
      </c>
      <c r="QJP111" s="180" t="str">
        <f>VLOOKUP(QJO111,[13]AssetDetails_UEM!$A$3:$AH$1849,6,FALSE)</f>
        <v>Electrosurgical Units, Monopolar/Bipolar</v>
      </c>
      <c r="QJQ111" s="179" t="s">
        <v>428</v>
      </c>
      <c r="QJR111" s="180" t="str">
        <f>VLOOKUP(QJQ111,[13]AssetDetails_UEM!$A$3:$AH$1849,6,FALSE)</f>
        <v>Electrosurgical Units, Monopolar/Bipolar</v>
      </c>
      <c r="QJS111" s="179" t="s">
        <v>428</v>
      </c>
      <c r="QJT111" s="180" t="str">
        <f>VLOOKUP(QJS111,[13]AssetDetails_UEM!$A$3:$AH$1849,6,FALSE)</f>
        <v>Electrosurgical Units, Monopolar/Bipolar</v>
      </c>
      <c r="QJU111" s="179" t="s">
        <v>428</v>
      </c>
      <c r="QJV111" s="180" t="str">
        <f>VLOOKUP(QJU111,[13]AssetDetails_UEM!$A$3:$AH$1849,6,FALSE)</f>
        <v>Electrosurgical Units, Monopolar/Bipolar</v>
      </c>
      <c r="QJW111" s="179" t="s">
        <v>428</v>
      </c>
      <c r="QJX111" s="180" t="str">
        <f>VLOOKUP(QJW111,[13]AssetDetails_UEM!$A$3:$AH$1849,6,FALSE)</f>
        <v>Electrosurgical Units, Monopolar/Bipolar</v>
      </c>
      <c r="QJY111" s="179" t="s">
        <v>428</v>
      </c>
      <c r="QJZ111" s="180" t="str">
        <f>VLOOKUP(QJY111,[13]AssetDetails_UEM!$A$3:$AH$1849,6,FALSE)</f>
        <v>Electrosurgical Units, Monopolar/Bipolar</v>
      </c>
      <c r="QKA111" s="179" t="s">
        <v>428</v>
      </c>
      <c r="QKB111" s="180" t="str">
        <f>VLOOKUP(QKA111,[13]AssetDetails_UEM!$A$3:$AH$1849,6,FALSE)</f>
        <v>Electrosurgical Units, Monopolar/Bipolar</v>
      </c>
      <c r="QKC111" s="179" t="s">
        <v>428</v>
      </c>
      <c r="QKD111" s="180" t="str">
        <f>VLOOKUP(QKC111,[13]AssetDetails_UEM!$A$3:$AH$1849,6,FALSE)</f>
        <v>Electrosurgical Units, Monopolar/Bipolar</v>
      </c>
      <c r="QKE111" s="179" t="s">
        <v>428</v>
      </c>
      <c r="QKF111" s="180" t="str">
        <f>VLOOKUP(QKE111,[13]AssetDetails_UEM!$A$3:$AH$1849,6,FALSE)</f>
        <v>Electrosurgical Units, Monopolar/Bipolar</v>
      </c>
      <c r="QKG111" s="179" t="s">
        <v>428</v>
      </c>
      <c r="QKH111" s="180" t="str">
        <f>VLOOKUP(QKG111,[13]AssetDetails_UEM!$A$3:$AH$1849,6,FALSE)</f>
        <v>Electrosurgical Units, Monopolar/Bipolar</v>
      </c>
      <c r="QKI111" s="179" t="s">
        <v>428</v>
      </c>
      <c r="QKJ111" s="180" t="str">
        <f>VLOOKUP(QKI111,[13]AssetDetails_UEM!$A$3:$AH$1849,6,FALSE)</f>
        <v>Electrosurgical Units, Monopolar/Bipolar</v>
      </c>
      <c r="QKK111" s="179" t="s">
        <v>428</v>
      </c>
      <c r="QKL111" s="180" t="str">
        <f>VLOOKUP(QKK111,[13]AssetDetails_UEM!$A$3:$AH$1849,6,FALSE)</f>
        <v>Electrosurgical Units, Monopolar/Bipolar</v>
      </c>
      <c r="QKM111" s="179" t="s">
        <v>428</v>
      </c>
      <c r="QKN111" s="180" t="str">
        <f>VLOOKUP(QKM111,[13]AssetDetails_UEM!$A$3:$AH$1849,6,FALSE)</f>
        <v>Electrosurgical Units, Monopolar/Bipolar</v>
      </c>
      <c r="QKO111" s="179" t="s">
        <v>428</v>
      </c>
      <c r="QKP111" s="180" t="str">
        <f>VLOOKUP(QKO111,[13]AssetDetails_UEM!$A$3:$AH$1849,6,FALSE)</f>
        <v>Electrosurgical Units, Monopolar/Bipolar</v>
      </c>
      <c r="QKQ111" s="179" t="s">
        <v>428</v>
      </c>
      <c r="QKR111" s="180" t="str">
        <f>VLOOKUP(QKQ111,[13]AssetDetails_UEM!$A$3:$AH$1849,6,FALSE)</f>
        <v>Electrosurgical Units, Monopolar/Bipolar</v>
      </c>
      <c r="QKS111" s="179" t="s">
        <v>428</v>
      </c>
      <c r="QKT111" s="180" t="str">
        <f>VLOOKUP(QKS111,[13]AssetDetails_UEM!$A$3:$AH$1849,6,FALSE)</f>
        <v>Electrosurgical Units, Monopolar/Bipolar</v>
      </c>
      <c r="QKU111" s="179" t="s">
        <v>428</v>
      </c>
      <c r="QKV111" s="180" t="str">
        <f>VLOOKUP(QKU111,[13]AssetDetails_UEM!$A$3:$AH$1849,6,FALSE)</f>
        <v>Electrosurgical Units, Monopolar/Bipolar</v>
      </c>
      <c r="QKW111" s="179" t="s">
        <v>428</v>
      </c>
      <c r="QKX111" s="180" t="str">
        <f>VLOOKUP(QKW111,[13]AssetDetails_UEM!$A$3:$AH$1849,6,FALSE)</f>
        <v>Electrosurgical Units, Monopolar/Bipolar</v>
      </c>
      <c r="QKY111" s="179" t="s">
        <v>428</v>
      </c>
      <c r="QKZ111" s="180" t="str">
        <f>VLOOKUP(QKY111,[13]AssetDetails_UEM!$A$3:$AH$1849,6,FALSE)</f>
        <v>Electrosurgical Units, Monopolar/Bipolar</v>
      </c>
      <c r="QLA111" s="179" t="s">
        <v>428</v>
      </c>
      <c r="QLB111" s="180" t="str">
        <f>VLOOKUP(QLA111,[13]AssetDetails_UEM!$A$3:$AH$1849,6,FALSE)</f>
        <v>Electrosurgical Units, Monopolar/Bipolar</v>
      </c>
      <c r="QLC111" s="179" t="s">
        <v>428</v>
      </c>
      <c r="QLD111" s="180" t="str">
        <f>VLOOKUP(QLC111,[13]AssetDetails_UEM!$A$3:$AH$1849,6,FALSE)</f>
        <v>Electrosurgical Units, Monopolar/Bipolar</v>
      </c>
      <c r="QLE111" s="179" t="s">
        <v>428</v>
      </c>
      <c r="QLF111" s="180" t="str">
        <f>VLOOKUP(QLE111,[13]AssetDetails_UEM!$A$3:$AH$1849,6,FALSE)</f>
        <v>Electrosurgical Units, Monopolar/Bipolar</v>
      </c>
      <c r="QLG111" s="179" t="s">
        <v>428</v>
      </c>
      <c r="QLH111" s="180" t="str">
        <f>VLOOKUP(QLG111,[13]AssetDetails_UEM!$A$3:$AH$1849,6,FALSE)</f>
        <v>Electrosurgical Units, Monopolar/Bipolar</v>
      </c>
      <c r="QLI111" s="179" t="s">
        <v>428</v>
      </c>
      <c r="QLJ111" s="180" t="str">
        <f>VLOOKUP(QLI111,[13]AssetDetails_UEM!$A$3:$AH$1849,6,FALSE)</f>
        <v>Electrosurgical Units, Monopolar/Bipolar</v>
      </c>
      <c r="QLK111" s="179" t="s">
        <v>428</v>
      </c>
      <c r="QLL111" s="180" t="str">
        <f>VLOOKUP(QLK111,[13]AssetDetails_UEM!$A$3:$AH$1849,6,FALSE)</f>
        <v>Electrosurgical Units, Monopolar/Bipolar</v>
      </c>
      <c r="QLM111" s="179" t="s">
        <v>428</v>
      </c>
      <c r="QLN111" s="180" t="str">
        <f>VLOOKUP(QLM111,[13]AssetDetails_UEM!$A$3:$AH$1849,6,FALSE)</f>
        <v>Electrosurgical Units, Monopolar/Bipolar</v>
      </c>
      <c r="QLO111" s="179" t="s">
        <v>428</v>
      </c>
      <c r="QLP111" s="180" t="str">
        <f>VLOOKUP(QLO111,[13]AssetDetails_UEM!$A$3:$AH$1849,6,FALSE)</f>
        <v>Electrosurgical Units, Monopolar/Bipolar</v>
      </c>
      <c r="QLQ111" s="179" t="s">
        <v>428</v>
      </c>
      <c r="QLR111" s="180" t="str">
        <f>VLOOKUP(QLQ111,[13]AssetDetails_UEM!$A$3:$AH$1849,6,FALSE)</f>
        <v>Electrosurgical Units, Monopolar/Bipolar</v>
      </c>
      <c r="QLS111" s="179" t="s">
        <v>428</v>
      </c>
      <c r="QLT111" s="180" t="str">
        <f>VLOOKUP(QLS111,[13]AssetDetails_UEM!$A$3:$AH$1849,6,FALSE)</f>
        <v>Electrosurgical Units, Monopolar/Bipolar</v>
      </c>
      <c r="QLU111" s="179" t="s">
        <v>428</v>
      </c>
      <c r="QLV111" s="180" t="str">
        <f>VLOOKUP(QLU111,[13]AssetDetails_UEM!$A$3:$AH$1849,6,FALSE)</f>
        <v>Electrosurgical Units, Monopolar/Bipolar</v>
      </c>
      <c r="QLW111" s="179" t="s">
        <v>428</v>
      </c>
      <c r="QLX111" s="180" t="str">
        <f>VLOOKUP(QLW111,[13]AssetDetails_UEM!$A$3:$AH$1849,6,FALSE)</f>
        <v>Electrosurgical Units, Monopolar/Bipolar</v>
      </c>
      <c r="QLY111" s="179" t="s">
        <v>428</v>
      </c>
      <c r="QLZ111" s="180" t="str">
        <f>VLOOKUP(QLY111,[13]AssetDetails_UEM!$A$3:$AH$1849,6,FALSE)</f>
        <v>Electrosurgical Units, Monopolar/Bipolar</v>
      </c>
      <c r="QMA111" s="179" t="s">
        <v>428</v>
      </c>
      <c r="QMB111" s="180" t="str">
        <f>VLOOKUP(QMA111,[13]AssetDetails_UEM!$A$3:$AH$1849,6,FALSE)</f>
        <v>Electrosurgical Units, Monopolar/Bipolar</v>
      </c>
      <c r="QMC111" s="179" t="s">
        <v>428</v>
      </c>
      <c r="QMD111" s="180" t="str">
        <f>VLOOKUP(QMC111,[13]AssetDetails_UEM!$A$3:$AH$1849,6,FALSE)</f>
        <v>Electrosurgical Units, Monopolar/Bipolar</v>
      </c>
      <c r="QME111" s="179" t="s">
        <v>428</v>
      </c>
      <c r="QMF111" s="180" t="str">
        <f>VLOOKUP(QME111,[13]AssetDetails_UEM!$A$3:$AH$1849,6,FALSE)</f>
        <v>Electrosurgical Units, Monopolar/Bipolar</v>
      </c>
      <c r="QMG111" s="179" t="s">
        <v>428</v>
      </c>
      <c r="QMH111" s="180" t="str">
        <f>VLOOKUP(QMG111,[13]AssetDetails_UEM!$A$3:$AH$1849,6,FALSE)</f>
        <v>Electrosurgical Units, Monopolar/Bipolar</v>
      </c>
      <c r="QMI111" s="179" t="s">
        <v>428</v>
      </c>
      <c r="QMJ111" s="180" t="str">
        <f>VLOOKUP(QMI111,[13]AssetDetails_UEM!$A$3:$AH$1849,6,FALSE)</f>
        <v>Electrosurgical Units, Monopolar/Bipolar</v>
      </c>
      <c r="QMK111" s="179" t="s">
        <v>428</v>
      </c>
      <c r="QML111" s="180" t="str">
        <f>VLOOKUP(QMK111,[13]AssetDetails_UEM!$A$3:$AH$1849,6,FALSE)</f>
        <v>Electrosurgical Units, Monopolar/Bipolar</v>
      </c>
      <c r="QMM111" s="179" t="s">
        <v>428</v>
      </c>
      <c r="QMN111" s="180" t="str">
        <f>VLOOKUP(QMM111,[13]AssetDetails_UEM!$A$3:$AH$1849,6,FALSE)</f>
        <v>Electrosurgical Units, Monopolar/Bipolar</v>
      </c>
      <c r="QMO111" s="179" t="s">
        <v>428</v>
      </c>
      <c r="QMP111" s="180" t="str">
        <f>VLOOKUP(QMO111,[13]AssetDetails_UEM!$A$3:$AH$1849,6,FALSE)</f>
        <v>Electrosurgical Units, Monopolar/Bipolar</v>
      </c>
      <c r="QMQ111" s="179" t="s">
        <v>428</v>
      </c>
      <c r="QMR111" s="180" t="str">
        <f>VLOOKUP(QMQ111,[13]AssetDetails_UEM!$A$3:$AH$1849,6,FALSE)</f>
        <v>Electrosurgical Units, Monopolar/Bipolar</v>
      </c>
      <c r="QMS111" s="179" t="s">
        <v>428</v>
      </c>
      <c r="QMT111" s="180" t="str">
        <f>VLOOKUP(QMS111,[13]AssetDetails_UEM!$A$3:$AH$1849,6,FALSE)</f>
        <v>Electrosurgical Units, Monopolar/Bipolar</v>
      </c>
      <c r="QMU111" s="179" t="s">
        <v>428</v>
      </c>
      <c r="QMV111" s="180" t="str">
        <f>VLOOKUP(QMU111,[13]AssetDetails_UEM!$A$3:$AH$1849,6,FALSE)</f>
        <v>Electrosurgical Units, Monopolar/Bipolar</v>
      </c>
      <c r="QMW111" s="179" t="s">
        <v>428</v>
      </c>
      <c r="QMX111" s="180" t="str">
        <f>VLOOKUP(QMW111,[13]AssetDetails_UEM!$A$3:$AH$1849,6,FALSE)</f>
        <v>Electrosurgical Units, Monopolar/Bipolar</v>
      </c>
      <c r="QMY111" s="179" t="s">
        <v>428</v>
      </c>
      <c r="QMZ111" s="180" t="str">
        <f>VLOOKUP(QMY111,[13]AssetDetails_UEM!$A$3:$AH$1849,6,FALSE)</f>
        <v>Electrosurgical Units, Monopolar/Bipolar</v>
      </c>
      <c r="QNA111" s="179" t="s">
        <v>428</v>
      </c>
      <c r="QNB111" s="180" t="str">
        <f>VLOOKUP(QNA111,[13]AssetDetails_UEM!$A$3:$AH$1849,6,FALSE)</f>
        <v>Electrosurgical Units, Monopolar/Bipolar</v>
      </c>
      <c r="QNC111" s="179" t="s">
        <v>428</v>
      </c>
      <c r="QND111" s="180" t="str">
        <f>VLOOKUP(QNC111,[13]AssetDetails_UEM!$A$3:$AH$1849,6,FALSE)</f>
        <v>Electrosurgical Units, Monopolar/Bipolar</v>
      </c>
      <c r="QNE111" s="179" t="s">
        <v>428</v>
      </c>
      <c r="QNF111" s="180" t="str">
        <f>VLOOKUP(QNE111,[13]AssetDetails_UEM!$A$3:$AH$1849,6,FALSE)</f>
        <v>Electrosurgical Units, Monopolar/Bipolar</v>
      </c>
      <c r="QNG111" s="179" t="s">
        <v>428</v>
      </c>
      <c r="QNH111" s="180" t="str">
        <f>VLOOKUP(QNG111,[13]AssetDetails_UEM!$A$3:$AH$1849,6,FALSE)</f>
        <v>Electrosurgical Units, Monopolar/Bipolar</v>
      </c>
      <c r="QNI111" s="179" t="s">
        <v>428</v>
      </c>
      <c r="QNJ111" s="180" t="str">
        <f>VLOOKUP(QNI111,[13]AssetDetails_UEM!$A$3:$AH$1849,6,FALSE)</f>
        <v>Electrosurgical Units, Monopolar/Bipolar</v>
      </c>
      <c r="QNK111" s="179" t="s">
        <v>428</v>
      </c>
      <c r="QNL111" s="180" t="str">
        <f>VLOOKUP(QNK111,[13]AssetDetails_UEM!$A$3:$AH$1849,6,FALSE)</f>
        <v>Electrosurgical Units, Monopolar/Bipolar</v>
      </c>
      <c r="QNM111" s="179" t="s">
        <v>428</v>
      </c>
      <c r="QNN111" s="180" t="str">
        <f>VLOOKUP(QNM111,[13]AssetDetails_UEM!$A$3:$AH$1849,6,FALSE)</f>
        <v>Electrosurgical Units, Monopolar/Bipolar</v>
      </c>
      <c r="QNO111" s="179" t="s">
        <v>428</v>
      </c>
      <c r="QNP111" s="180" t="str">
        <f>VLOOKUP(QNO111,[13]AssetDetails_UEM!$A$3:$AH$1849,6,FALSE)</f>
        <v>Electrosurgical Units, Monopolar/Bipolar</v>
      </c>
      <c r="QNQ111" s="179" t="s">
        <v>428</v>
      </c>
      <c r="QNR111" s="180" t="str">
        <f>VLOOKUP(QNQ111,[13]AssetDetails_UEM!$A$3:$AH$1849,6,FALSE)</f>
        <v>Electrosurgical Units, Monopolar/Bipolar</v>
      </c>
      <c r="QNS111" s="179" t="s">
        <v>428</v>
      </c>
      <c r="QNT111" s="180" t="str">
        <f>VLOOKUP(QNS111,[13]AssetDetails_UEM!$A$3:$AH$1849,6,FALSE)</f>
        <v>Electrosurgical Units, Monopolar/Bipolar</v>
      </c>
      <c r="QNU111" s="179" t="s">
        <v>428</v>
      </c>
      <c r="QNV111" s="180" t="str">
        <f>VLOOKUP(QNU111,[13]AssetDetails_UEM!$A$3:$AH$1849,6,FALSE)</f>
        <v>Electrosurgical Units, Monopolar/Bipolar</v>
      </c>
      <c r="QNW111" s="179" t="s">
        <v>428</v>
      </c>
      <c r="QNX111" s="180" t="str">
        <f>VLOOKUP(QNW111,[13]AssetDetails_UEM!$A$3:$AH$1849,6,FALSE)</f>
        <v>Electrosurgical Units, Monopolar/Bipolar</v>
      </c>
      <c r="QNY111" s="179" t="s">
        <v>428</v>
      </c>
      <c r="QNZ111" s="180" t="str">
        <f>VLOOKUP(QNY111,[13]AssetDetails_UEM!$A$3:$AH$1849,6,FALSE)</f>
        <v>Electrosurgical Units, Monopolar/Bipolar</v>
      </c>
      <c r="QOA111" s="179" t="s">
        <v>428</v>
      </c>
      <c r="QOB111" s="180" t="str">
        <f>VLOOKUP(QOA111,[13]AssetDetails_UEM!$A$3:$AH$1849,6,FALSE)</f>
        <v>Electrosurgical Units, Monopolar/Bipolar</v>
      </c>
      <c r="QOC111" s="179" t="s">
        <v>428</v>
      </c>
      <c r="QOD111" s="180" t="str">
        <f>VLOOKUP(QOC111,[13]AssetDetails_UEM!$A$3:$AH$1849,6,FALSE)</f>
        <v>Electrosurgical Units, Monopolar/Bipolar</v>
      </c>
      <c r="QOE111" s="179" t="s">
        <v>428</v>
      </c>
      <c r="QOF111" s="180" t="str">
        <f>VLOOKUP(QOE111,[13]AssetDetails_UEM!$A$3:$AH$1849,6,FALSE)</f>
        <v>Electrosurgical Units, Monopolar/Bipolar</v>
      </c>
      <c r="QOG111" s="179" t="s">
        <v>428</v>
      </c>
      <c r="QOH111" s="180" t="str">
        <f>VLOOKUP(QOG111,[13]AssetDetails_UEM!$A$3:$AH$1849,6,FALSE)</f>
        <v>Electrosurgical Units, Monopolar/Bipolar</v>
      </c>
      <c r="QOI111" s="179" t="s">
        <v>428</v>
      </c>
      <c r="QOJ111" s="180" t="str">
        <f>VLOOKUP(QOI111,[13]AssetDetails_UEM!$A$3:$AH$1849,6,FALSE)</f>
        <v>Electrosurgical Units, Monopolar/Bipolar</v>
      </c>
      <c r="QOK111" s="179" t="s">
        <v>428</v>
      </c>
      <c r="QOL111" s="180" t="str">
        <f>VLOOKUP(QOK111,[13]AssetDetails_UEM!$A$3:$AH$1849,6,FALSE)</f>
        <v>Electrosurgical Units, Monopolar/Bipolar</v>
      </c>
      <c r="QOM111" s="179" t="s">
        <v>428</v>
      </c>
      <c r="QON111" s="180" t="str">
        <f>VLOOKUP(QOM111,[13]AssetDetails_UEM!$A$3:$AH$1849,6,FALSE)</f>
        <v>Electrosurgical Units, Monopolar/Bipolar</v>
      </c>
      <c r="QOO111" s="179" t="s">
        <v>428</v>
      </c>
      <c r="QOP111" s="180" t="str">
        <f>VLOOKUP(QOO111,[13]AssetDetails_UEM!$A$3:$AH$1849,6,FALSE)</f>
        <v>Electrosurgical Units, Monopolar/Bipolar</v>
      </c>
      <c r="QOQ111" s="179" t="s">
        <v>428</v>
      </c>
      <c r="QOR111" s="180" t="str">
        <f>VLOOKUP(QOQ111,[13]AssetDetails_UEM!$A$3:$AH$1849,6,FALSE)</f>
        <v>Electrosurgical Units, Monopolar/Bipolar</v>
      </c>
      <c r="QOS111" s="179" t="s">
        <v>428</v>
      </c>
      <c r="QOT111" s="180" t="str">
        <f>VLOOKUP(QOS111,[13]AssetDetails_UEM!$A$3:$AH$1849,6,FALSE)</f>
        <v>Electrosurgical Units, Monopolar/Bipolar</v>
      </c>
      <c r="QOU111" s="179" t="s">
        <v>428</v>
      </c>
      <c r="QOV111" s="180" t="str">
        <f>VLOOKUP(QOU111,[13]AssetDetails_UEM!$A$3:$AH$1849,6,FALSE)</f>
        <v>Electrosurgical Units, Monopolar/Bipolar</v>
      </c>
      <c r="QOW111" s="179" t="s">
        <v>428</v>
      </c>
      <c r="QOX111" s="180" t="str">
        <f>VLOOKUP(QOW111,[13]AssetDetails_UEM!$A$3:$AH$1849,6,FALSE)</f>
        <v>Electrosurgical Units, Monopolar/Bipolar</v>
      </c>
      <c r="QOY111" s="179" t="s">
        <v>428</v>
      </c>
      <c r="QOZ111" s="180" t="str">
        <f>VLOOKUP(QOY111,[13]AssetDetails_UEM!$A$3:$AH$1849,6,FALSE)</f>
        <v>Electrosurgical Units, Monopolar/Bipolar</v>
      </c>
      <c r="QPA111" s="179" t="s">
        <v>428</v>
      </c>
      <c r="QPB111" s="180" t="str">
        <f>VLOOKUP(QPA111,[13]AssetDetails_UEM!$A$3:$AH$1849,6,FALSE)</f>
        <v>Electrosurgical Units, Monopolar/Bipolar</v>
      </c>
      <c r="QPC111" s="179" t="s">
        <v>428</v>
      </c>
      <c r="QPD111" s="180" t="str">
        <f>VLOOKUP(QPC111,[13]AssetDetails_UEM!$A$3:$AH$1849,6,FALSE)</f>
        <v>Electrosurgical Units, Monopolar/Bipolar</v>
      </c>
      <c r="QPE111" s="179" t="s">
        <v>428</v>
      </c>
      <c r="QPF111" s="180" t="str">
        <f>VLOOKUP(QPE111,[13]AssetDetails_UEM!$A$3:$AH$1849,6,FALSE)</f>
        <v>Electrosurgical Units, Monopolar/Bipolar</v>
      </c>
      <c r="QPG111" s="179" t="s">
        <v>428</v>
      </c>
      <c r="QPH111" s="180" t="str">
        <f>VLOOKUP(QPG111,[13]AssetDetails_UEM!$A$3:$AH$1849,6,FALSE)</f>
        <v>Electrosurgical Units, Monopolar/Bipolar</v>
      </c>
      <c r="QPI111" s="179" t="s">
        <v>428</v>
      </c>
      <c r="QPJ111" s="180" t="str">
        <f>VLOOKUP(QPI111,[13]AssetDetails_UEM!$A$3:$AH$1849,6,FALSE)</f>
        <v>Electrosurgical Units, Monopolar/Bipolar</v>
      </c>
      <c r="QPK111" s="179" t="s">
        <v>428</v>
      </c>
      <c r="QPL111" s="180" t="str">
        <f>VLOOKUP(QPK111,[13]AssetDetails_UEM!$A$3:$AH$1849,6,FALSE)</f>
        <v>Electrosurgical Units, Monopolar/Bipolar</v>
      </c>
      <c r="QPM111" s="179" t="s">
        <v>428</v>
      </c>
      <c r="QPN111" s="180" t="str">
        <f>VLOOKUP(QPM111,[13]AssetDetails_UEM!$A$3:$AH$1849,6,FALSE)</f>
        <v>Electrosurgical Units, Monopolar/Bipolar</v>
      </c>
      <c r="QPO111" s="179" t="s">
        <v>428</v>
      </c>
      <c r="QPP111" s="180" t="str">
        <f>VLOOKUP(QPO111,[13]AssetDetails_UEM!$A$3:$AH$1849,6,FALSE)</f>
        <v>Electrosurgical Units, Monopolar/Bipolar</v>
      </c>
      <c r="QPQ111" s="179" t="s">
        <v>428</v>
      </c>
      <c r="QPR111" s="180" t="str">
        <f>VLOOKUP(QPQ111,[13]AssetDetails_UEM!$A$3:$AH$1849,6,FALSE)</f>
        <v>Electrosurgical Units, Monopolar/Bipolar</v>
      </c>
      <c r="QPS111" s="179" t="s">
        <v>428</v>
      </c>
      <c r="QPT111" s="180" t="str">
        <f>VLOOKUP(QPS111,[13]AssetDetails_UEM!$A$3:$AH$1849,6,FALSE)</f>
        <v>Electrosurgical Units, Monopolar/Bipolar</v>
      </c>
      <c r="QPU111" s="179" t="s">
        <v>428</v>
      </c>
      <c r="QPV111" s="180" t="str">
        <f>VLOOKUP(QPU111,[13]AssetDetails_UEM!$A$3:$AH$1849,6,FALSE)</f>
        <v>Electrosurgical Units, Monopolar/Bipolar</v>
      </c>
      <c r="QPW111" s="179" t="s">
        <v>428</v>
      </c>
      <c r="QPX111" s="180" t="str">
        <f>VLOOKUP(QPW111,[13]AssetDetails_UEM!$A$3:$AH$1849,6,FALSE)</f>
        <v>Electrosurgical Units, Monopolar/Bipolar</v>
      </c>
      <c r="QPY111" s="179" t="s">
        <v>428</v>
      </c>
      <c r="QPZ111" s="180" t="str">
        <f>VLOOKUP(QPY111,[13]AssetDetails_UEM!$A$3:$AH$1849,6,FALSE)</f>
        <v>Electrosurgical Units, Monopolar/Bipolar</v>
      </c>
      <c r="QQA111" s="179" t="s">
        <v>428</v>
      </c>
      <c r="QQB111" s="180" t="str">
        <f>VLOOKUP(QQA111,[13]AssetDetails_UEM!$A$3:$AH$1849,6,FALSE)</f>
        <v>Electrosurgical Units, Monopolar/Bipolar</v>
      </c>
      <c r="QQC111" s="179" t="s">
        <v>428</v>
      </c>
      <c r="QQD111" s="180" t="str">
        <f>VLOOKUP(QQC111,[13]AssetDetails_UEM!$A$3:$AH$1849,6,FALSE)</f>
        <v>Electrosurgical Units, Monopolar/Bipolar</v>
      </c>
      <c r="QQE111" s="179" t="s">
        <v>428</v>
      </c>
      <c r="QQF111" s="180" t="str">
        <f>VLOOKUP(QQE111,[13]AssetDetails_UEM!$A$3:$AH$1849,6,FALSE)</f>
        <v>Electrosurgical Units, Monopolar/Bipolar</v>
      </c>
      <c r="QQG111" s="179" t="s">
        <v>428</v>
      </c>
      <c r="QQH111" s="180" t="str">
        <f>VLOOKUP(QQG111,[13]AssetDetails_UEM!$A$3:$AH$1849,6,FALSE)</f>
        <v>Electrosurgical Units, Monopolar/Bipolar</v>
      </c>
      <c r="QQI111" s="179" t="s">
        <v>428</v>
      </c>
      <c r="QQJ111" s="180" t="str">
        <f>VLOOKUP(QQI111,[13]AssetDetails_UEM!$A$3:$AH$1849,6,FALSE)</f>
        <v>Electrosurgical Units, Monopolar/Bipolar</v>
      </c>
      <c r="QQK111" s="179" t="s">
        <v>428</v>
      </c>
      <c r="QQL111" s="180" t="str">
        <f>VLOOKUP(QQK111,[13]AssetDetails_UEM!$A$3:$AH$1849,6,FALSE)</f>
        <v>Electrosurgical Units, Monopolar/Bipolar</v>
      </c>
      <c r="QQM111" s="179" t="s">
        <v>428</v>
      </c>
      <c r="QQN111" s="180" t="str">
        <f>VLOOKUP(QQM111,[13]AssetDetails_UEM!$A$3:$AH$1849,6,FALSE)</f>
        <v>Electrosurgical Units, Monopolar/Bipolar</v>
      </c>
      <c r="QQO111" s="179" t="s">
        <v>428</v>
      </c>
      <c r="QQP111" s="180" t="str">
        <f>VLOOKUP(QQO111,[13]AssetDetails_UEM!$A$3:$AH$1849,6,FALSE)</f>
        <v>Electrosurgical Units, Monopolar/Bipolar</v>
      </c>
      <c r="QQQ111" s="179" t="s">
        <v>428</v>
      </c>
      <c r="QQR111" s="180" t="str">
        <f>VLOOKUP(QQQ111,[13]AssetDetails_UEM!$A$3:$AH$1849,6,FALSE)</f>
        <v>Electrosurgical Units, Monopolar/Bipolar</v>
      </c>
      <c r="QQS111" s="179" t="s">
        <v>428</v>
      </c>
      <c r="QQT111" s="180" t="str">
        <f>VLOOKUP(QQS111,[13]AssetDetails_UEM!$A$3:$AH$1849,6,FALSE)</f>
        <v>Electrosurgical Units, Monopolar/Bipolar</v>
      </c>
      <c r="QQU111" s="179" t="s">
        <v>428</v>
      </c>
      <c r="QQV111" s="180" t="str">
        <f>VLOOKUP(QQU111,[13]AssetDetails_UEM!$A$3:$AH$1849,6,FALSE)</f>
        <v>Electrosurgical Units, Monopolar/Bipolar</v>
      </c>
      <c r="QQW111" s="179" t="s">
        <v>428</v>
      </c>
      <c r="QQX111" s="180" t="str">
        <f>VLOOKUP(QQW111,[13]AssetDetails_UEM!$A$3:$AH$1849,6,FALSE)</f>
        <v>Electrosurgical Units, Monopolar/Bipolar</v>
      </c>
      <c r="QQY111" s="179" t="s">
        <v>428</v>
      </c>
      <c r="QQZ111" s="180" t="str">
        <f>VLOOKUP(QQY111,[13]AssetDetails_UEM!$A$3:$AH$1849,6,FALSE)</f>
        <v>Electrosurgical Units, Monopolar/Bipolar</v>
      </c>
      <c r="QRA111" s="179" t="s">
        <v>428</v>
      </c>
      <c r="QRB111" s="180" t="str">
        <f>VLOOKUP(QRA111,[13]AssetDetails_UEM!$A$3:$AH$1849,6,FALSE)</f>
        <v>Electrosurgical Units, Monopolar/Bipolar</v>
      </c>
      <c r="QRC111" s="179" t="s">
        <v>428</v>
      </c>
      <c r="QRD111" s="180" t="str">
        <f>VLOOKUP(QRC111,[13]AssetDetails_UEM!$A$3:$AH$1849,6,FALSE)</f>
        <v>Electrosurgical Units, Monopolar/Bipolar</v>
      </c>
      <c r="QRE111" s="179" t="s">
        <v>428</v>
      </c>
      <c r="QRF111" s="180" t="str">
        <f>VLOOKUP(QRE111,[13]AssetDetails_UEM!$A$3:$AH$1849,6,FALSE)</f>
        <v>Electrosurgical Units, Monopolar/Bipolar</v>
      </c>
      <c r="QRG111" s="179" t="s">
        <v>428</v>
      </c>
      <c r="QRH111" s="180" t="str">
        <f>VLOOKUP(QRG111,[13]AssetDetails_UEM!$A$3:$AH$1849,6,FALSE)</f>
        <v>Electrosurgical Units, Monopolar/Bipolar</v>
      </c>
      <c r="QRI111" s="179" t="s">
        <v>428</v>
      </c>
      <c r="QRJ111" s="180" t="str">
        <f>VLOOKUP(QRI111,[13]AssetDetails_UEM!$A$3:$AH$1849,6,FALSE)</f>
        <v>Electrosurgical Units, Monopolar/Bipolar</v>
      </c>
      <c r="QRK111" s="179" t="s">
        <v>428</v>
      </c>
      <c r="QRL111" s="180" t="str">
        <f>VLOOKUP(QRK111,[13]AssetDetails_UEM!$A$3:$AH$1849,6,FALSE)</f>
        <v>Electrosurgical Units, Monopolar/Bipolar</v>
      </c>
      <c r="QRM111" s="179" t="s">
        <v>428</v>
      </c>
      <c r="QRN111" s="180" t="str">
        <f>VLOOKUP(QRM111,[13]AssetDetails_UEM!$A$3:$AH$1849,6,FALSE)</f>
        <v>Electrosurgical Units, Monopolar/Bipolar</v>
      </c>
      <c r="QRO111" s="179" t="s">
        <v>428</v>
      </c>
      <c r="QRP111" s="180" t="str">
        <f>VLOOKUP(QRO111,[13]AssetDetails_UEM!$A$3:$AH$1849,6,FALSE)</f>
        <v>Electrosurgical Units, Monopolar/Bipolar</v>
      </c>
      <c r="QRQ111" s="179" t="s">
        <v>428</v>
      </c>
      <c r="QRR111" s="180" t="str">
        <f>VLOOKUP(QRQ111,[13]AssetDetails_UEM!$A$3:$AH$1849,6,FALSE)</f>
        <v>Electrosurgical Units, Monopolar/Bipolar</v>
      </c>
      <c r="QRS111" s="179" t="s">
        <v>428</v>
      </c>
      <c r="QRT111" s="180" t="str">
        <f>VLOOKUP(QRS111,[13]AssetDetails_UEM!$A$3:$AH$1849,6,FALSE)</f>
        <v>Electrosurgical Units, Monopolar/Bipolar</v>
      </c>
      <c r="QRU111" s="179" t="s">
        <v>428</v>
      </c>
      <c r="QRV111" s="180" t="str">
        <f>VLOOKUP(QRU111,[13]AssetDetails_UEM!$A$3:$AH$1849,6,FALSE)</f>
        <v>Electrosurgical Units, Monopolar/Bipolar</v>
      </c>
      <c r="QRW111" s="179" t="s">
        <v>428</v>
      </c>
      <c r="QRX111" s="180" t="str">
        <f>VLOOKUP(QRW111,[13]AssetDetails_UEM!$A$3:$AH$1849,6,FALSE)</f>
        <v>Electrosurgical Units, Monopolar/Bipolar</v>
      </c>
      <c r="QRY111" s="179" t="s">
        <v>428</v>
      </c>
      <c r="QRZ111" s="180" t="str">
        <f>VLOOKUP(QRY111,[13]AssetDetails_UEM!$A$3:$AH$1849,6,FALSE)</f>
        <v>Electrosurgical Units, Monopolar/Bipolar</v>
      </c>
      <c r="QSA111" s="179" t="s">
        <v>428</v>
      </c>
      <c r="QSB111" s="180" t="str">
        <f>VLOOKUP(QSA111,[13]AssetDetails_UEM!$A$3:$AH$1849,6,FALSE)</f>
        <v>Electrosurgical Units, Monopolar/Bipolar</v>
      </c>
      <c r="QSC111" s="179" t="s">
        <v>428</v>
      </c>
      <c r="QSD111" s="180" t="str">
        <f>VLOOKUP(QSC111,[13]AssetDetails_UEM!$A$3:$AH$1849,6,FALSE)</f>
        <v>Electrosurgical Units, Monopolar/Bipolar</v>
      </c>
      <c r="QSE111" s="179" t="s">
        <v>428</v>
      </c>
      <c r="QSF111" s="180" t="str">
        <f>VLOOKUP(QSE111,[13]AssetDetails_UEM!$A$3:$AH$1849,6,FALSE)</f>
        <v>Electrosurgical Units, Monopolar/Bipolar</v>
      </c>
      <c r="QSG111" s="179" t="s">
        <v>428</v>
      </c>
      <c r="QSH111" s="180" t="str">
        <f>VLOOKUP(QSG111,[13]AssetDetails_UEM!$A$3:$AH$1849,6,FALSE)</f>
        <v>Electrosurgical Units, Monopolar/Bipolar</v>
      </c>
      <c r="QSI111" s="179" t="s">
        <v>428</v>
      </c>
      <c r="QSJ111" s="180" t="str">
        <f>VLOOKUP(QSI111,[13]AssetDetails_UEM!$A$3:$AH$1849,6,FALSE)</f>
        <v>Electrosurgical Units, Monopolar/Bipolar</v>
      </c>
      <c r="QSK111" s="179" t="s">
        <v>428</v>
      </c>
      <c r="QSL111" s="180" t="str">
        <f>VLOOKUP(QSK111,[13]AssetDetails_UEM!$A$3:$AH$1849,6,FALSE)</f>
        <v>Electrosurgical Units, Monopolar/Bipolar</v>
      </c>
      <c r="QSM111" s="179" t="s">
        <v>428</v>
      </c>
      <c r="QSN111" s="180" t="str">
        <f>VLOOKUP(QSM111,[13]AssetDetails_UEM!$A$3:$AH$1849,6,FALSE)</f>
        <v>Electrosurgical Units, Monopolar/Bipolar</v>
      </c>
      <c r="QSO111" s="179" t="s">
        <v>428</v>
      </c>
      <c r="QSP111" s="180" t="str">
        <f>VLOOKUP(QSO111,[13]AssetDetails_UEM!$A$3:$AH$1849,6,FALSE)</f>
        <v>Electrosurgical Units, Monopolar/Bipolar</v>
      </c>
      <c r="QSQ111" s="179" t="s">
        <v>428</v>
      </c>
      <c r="QSR111" s="180" t="str">
        <f>VLOOKUP(QSQ111,[13]AssetDetails_UEM!$A$3:$AH$1849,6,FALSE)</f>
        <v>Electrosurgical Units, Monopolar/Bipolar</v>
      </c>
      <c r="QSS111" s="179" t="s">
        <v>428</v>
      </c>
      <c r="QST111" s="180" t="str">
        <f>VLOOKUP(QSS111,[13]AssetDetails_UEM!$A$3:$AH$1849,6,FALSE)</f>
        <v>Electrosurgical Units, Monopolar/Bipolar</v>
      </c>
      <c r="QSU111" s="179" t="s">
        <v>428</v>
      </c>
      <c r="QSV111" s="180" t="str">
        <f>VLOOKUP(QSU111,[13]AssetDetails_UEM!$A$3:$AH$1849,6,FALSE)</f>
        <v>Electrosurgical Units, Monopolar/Bipolar</v>
      </c>
      <c r="QSW111" s="179" t="s">
        <v>428</v>
      </c>
      <c r="QSX111" s="180" t="str">
        <f>VLOOKUP(QSW111,[13]AssetDetails_UEM!$A$3:$AH$1849,6,FALSE)</f>
        <v>Electrosurgical Units, Monopolar/Bipolar</v>
      </c>
      <c r="QSY111" s="179" t="s">
        <v>428</v>
      </c>
      <c r="QSZ111" s="180" t="str">
        <f>VLOOKUP(QSY111,[13]AssetDetails_UEM!$A$3:$AH$1849,6,FALSE)</f>
        <v>Electrosurgical Units, Monopolar/Bipolar</v>
      </c>
      <c r="QTA111" s="179" t="s">
        <v>428</v>
      </c>
      <c r="QTB111" s="180" t="str">
        <f>VLOOKUP(QTA111,[13]AssetDetails_UEM!$A$3:$AH$1849,6,FALSE)</f>
        <v>Electrosurgical Units, Monopolar/Bipolar</v>
      </c>
      <c r="QTC111" s="179" t="s">
        <v>428</v>
      </c>
      <c r="QTD111" s="180" t="str">
        <f>VLOOKUP(QTC111,[13]AssetDetails_UEM!$A$3:$AH$1849,6,FALSE)</f>
        <v>Electrosurgical Units, Monopolar/Bipolar</v>
      </c>
      <c r="QTE111" s="179" t="s">
        <v>428</v>
      </c>
      <c r="QTF111" s="180" t="str">
        <f>VLOOKUP(QTE111,[13]AssetDetails_UEM!$A$3:$AH$1849,6,FALSE)</f>
        <v>Electrosurgical Units, Monopolar/Bipolar</v>
      </c>
      <c r="QTG111" s="179" t="s">
        <v>428</v>
      </c>
      <c r="QTH111" s="180" t="str">
        <f>VLOOKUP(QTG111,[13]AssetDetails_UEM!$A$3:$AH$1849,6,FALSE)</f>
        <v>Electrosurgical Units, Monopolar/Bipolar</v>
      </c>
      <c r="QTI111" s="179" t="s">
        <v>428</v>
      </c>
      <c r="QTJ111" s="180" t="str">
        <f>VLOOKUP(QTI111,[13]AssetDetails_UEM!$A$3:$AH$1849,6,FALSE)</f>
        <v>Electrosurgical Units, Monopolar/Bipolar</v>
      </c>
      <c r="QTK111" s="179" t="s">
        <v>428</v>
      </c>
      <c r="QTL111" s="180" t="str">
        <f>VLOOKUP(QTK111,[13]AssetDetails_UEM!$A$3:$AH$1849,6,FALSE)</f>
        <v>Electrosurgical Units, Monopolar/Bipolar</v>
      </c>
      <c r="QTM111" s="179" t="s">
        <v>428</v>
      </c>
      <c r="QTN111" s="180" t="str">
        <f>VLOOKUP(QTM111,[13]AssetDetails_UEM!$A$3:$AH$1849,6,FALSE)</f>
        <v>Electrosurgical Units, Monopolar/Bipolar</v>
      </c>
      <c r="QTO111" s="179" t="s">
        <v>428</v>
      </c>
      <c r="QTP111" s="180" t="str">
        <f>VLOOKUP(QTO111,[13]AssetDetails_UEM!$A$3:$AH$1849,6,FALSE)</f>
        <v>Electrosurgical Units, Monopolar/Bipolar</v>
      </c>
      <c r="QTQ111" s="179" t="s">
        <v>428</v>
      </c>
      <c r="QTR111" s="180" t="str">
        <f>VLOOKUP(QTQ111,[13]AssetDetails_UEM!$A$3:$AH$1849,6,FALSE)</f>
        <v>Electrosurgical Units, Monopolar/Bipolar</v>
      </c>
      <c r="QTS111" s="179" t="s">
        <v>428</v>
      </c>
      <c r="QTT111" s="180" t="str">
        <f>VLOOKUP(QTS111,[13]AssetDetails_UEM!$A$3:$AH$1849,6,FALSE)</f>
        <v>Electrosurgical Units, Monopolar/Bipolar</v>
      </c>
      <c r="QTU111" s="179" t="s">
        <v>428</v>
      </c>
      <c r="QTV111" s="180" t="str">
        <f>VLOOKUP(QTU111,[13]AssetDetails_UEM!$A$3:$AH$1849,6,FALSE)</f>
        <v>Electrosurgical Units, Monopolar/Bipolar</v>
      </c>
      <c r="QTW111" s="179" t="s">
        <v>428</v>
      </c>
      <c r="QTX111" s="180" t="str">
        <f>VLOOKUP(QTW111,[13]AssetDetails_UEM!$A$3:$AH$1849,6,FALSE)</f>
        <v>Electrosurgical Units, Monopolar/Bipolar</v>
      </c>
      <c r="QTY111" s="179" t="s">
        <v>428</v>
      </c>
      <c r="QTZ111" s="180" t="str">
        <f>VLOOKUP(QTY111,[13]AssetDetails_UEM!$A$3:$AH$1849,6,FALSE)</f>
        <v>Electrosurgical Units, Monopolar/Bipolar</v>
      </c>
      <c r="QUA111" s="179" t="s">
        <v>428</v>
      </c>
      <c r="QUB111" s="180" t="str">
        <f>VLOOKUP(QUA111,[13]AssetDetails_UEM!$A$3:$AH$1849,6,FALSE)</f>
        <v>Electrosurgical Units, Monopolar/Bipolar</v>
      </c>
      <c r="QUC111" s="179" t="s">
        <v>428</v>
      </c>
      <c r="QUD111" s="180" t="str">
        <f>VLOOKUP(QUC111,[13]AssetDetails_UEM!$A$3:$AH$1849,6,FALSE)</f>
        <v>Electrosurgical Units, Monopolar/Bipolar</v>
      </c>
      <c r="QUE111" s="179" t="s">
        <v>428</v>
      </c>
      <c r="QUF111" s="180" t="str">
        <f>VLOOKUP(QUE111,[13]AssetDetails_UEM!$A$3:$AH$1849,6,FALSE)</f>
        <v>Electrosurgical Units, Monopolar/Bipolar</v>
      </c>
      <c r="QUG111" s="179" t="s">
        <v>428</v>
      </c>
      <c r="QUH111" s="180" t="str">
        <f>VLOOKUP(QUG111,[13]AssetDetails_UEM!$A$3:$AH$1849,6,FALSE)</f>
        <v>Electrosurgical Units, Monopolar/Bipolar</v>
      </c>
      <c r="QUI111" s="179" t="s">
        <v>428</v>
      </c>
      <c r="QUJ111" s="180" t="str">
        <f>VLOOKUP(QUI111,[13]AssetDetails_UEM!$A$3:$AH$1849,6,FALSE)</f>
        <v>Electrosurgical Units, Monopolar/Bipolar</v>
      </c>
      <c r="QUK111" s="179" t="s">
        <v>428</v>
      </c>
      <c r="QUL111" s="180" t="str">
        <f>VLOOKUP(QUK111,[13]AssetDetails_UEM!$A$3:$AH$1849,6,FALSE)</f>
        <v>Electrosurgical Units, Monopolar/Bipolar</v>
      </c>
      <c r="QUM111" s="179" t="s">
        <v>428</v>
      </c>
      <c r="QUN111" s="180" t="str">
        <f>VLOOKUP(QUM111,[13]AssetDetails_UEM!$A$3:$AH$1849,6,FALSE)</f>
        <v>Electrosurgical Units, Monopolar/Bipolar</v>
      </c>
      <c r="QUO111" s="179" t="s">
        <v>428</v>
      </c>
      <c r="QUP111" s="180" t="str">
        <f>VLOOKUP(QUO111,[13]AssetDetails_UEM!$A$3:$AH$1849,6,FALSE)</f>
        <v>Electrosurgical Units, Monopolar/Bipolar</v>
      </c>
      <c r="QUQ111" s="179" t="s">
        <v>428</v>
      </c>
      <c r="QUR111" s="180" t="str">
        <f>VLOOKUP(QUQ111,[13]AssetDetails_UEM!$A$3:$AH$1849,6,FALSE)</f>
        <v>Electrosurgical Units, Monopolar/Bipolar</v>
      </c>
      <c r="QUS111" s="179" t="s">
        <v>428</v>
      </c>
      <c r="QUT111" s="180" t="str">
        <f>VLOOKUP(QUS111,[13]AssetDetails_UEM!$A$3:$AH$1849,6,FALSE)</f>
        <v>Electrosurgical Units, Monopolar/Bipolar</v>
      </c>
      <c r="QUU111" s="179" t="s">
        <v>428</v>
      </c>
      <c r="QUV111" s="180" t="str">
        <f>VLOOKUP(QUU111,[13]AssetDetails_UEM!$A$3:$AH$1849,6,FALSE)</f>
        <v>Electrosurgical Units, Monopolar/Bipolar</v>
      </c>
      <c r="QUW111" s="179" t="s">
        <v>428</v>
      </c>
      <c r="QUX111" s="180" t="str">
        <f>VLOOKUP(QUW111,[13]AssetDetails_UEM!$A$3:$AH$1849,6,FALSE)</f>
        <v>Electrosurgical Units, Monopolar/Bipolar</v>
      </c>
      <c r="QUY111" s="179" t="s">
        <v>428</v>
      </c>
      <c r="QUZ111" s="180" t="str">
        <f>VLOOKUP(QUY111,[13]AssetDetails_UEM!$A$3:$AH$1849,6,FALSE)</f>
        <v>Electrosurgical Units, Monopolar/Bipolar</v>
      </c>
      <c r="QVA111" s="179" t="s">
        <v>428</v>
      </c>
      <c r="QVB111" s="180" t="str">
        <f>VLOOKUP(QVA111,[13]AssetDetails_UEM!$A$3:$AH$1849,6,FALSE)</f>
        <v>Electrosurgical Units, Monopolar/Bipolar</v>
      </c>
      <c r="QVC111" s="179" t="s">
        <v>428</v>
      </c>
      <c r="QVD111" s="180" t="str">
        <f>VLOOKUP(QVC111,[13]AssetDetails_UEM!$A$3:$AH$1849,6,FALSE)</f>
        <v>Electrosurgical Units, Monopolar/Bipolar</v>
      </c>
      <c r="QVE111" s="179" t="s">
        <v>428</v>
      </c>
      <c r="QVF111" s="180" t="str">
        <f>VLOOKUP(QVE111,[13]AssetDetails_UEM!$A$3:$AH$1849,6,FALSE)</f>
        <v>Electrosurgical Units, Monopolar/Bipolar</v>
      </c>
      <c r="QVG111" s="179" t="s">
        <v>428</v>
      </c>
      <c r="QVH111" s="180" t="str">
        <f>VLOOKUP(QVG111,[13]AssetDetails_UEM!$A$3:$AH$1849,6,FALSE)</f>
        <v>Electrosurgical Units, Monopolar/Bipolar</v>
      </c>
      <c r="QVI111" s="179" t="s">
        <v>428</v>
      </c>
      <c r="QVJ111" s="180" t="str">
        <f>VLOOKUP(QVI111,[13]AssetDetails_UEM!$A$3:$AH$1849,6,FALSE)</f>
        <v>Electrosurgical Units, Monopolar/Bipolar</v>
      </c>
      <c r="QVK111" s="179" t="s">
        <v>428</v>
      </c>
      <c r="QVL111" s="180" t="str">
        <f>VLOOKUP(QVK111,[13]AssetDetails_UEM!$A$3:$AH$1849,6,FALSE)</f>
        <v>Electrosurgical Units, Monopolar/Bipolar</v>
      </c>
      <c r="QVM111" s="179" t="s">
        <v>428</v>
      </c>
      <c r="QVN111" s="180" t="str">
        <f>VLOOKUP(QVM111,[13]AssetDetails_UEM!$A$3:$AH$1849,6,FALSE)</f>
        <v>Electrosurgical Units, Monopolar/Bipolar</v>
      </c>
      <c r="QVO111" s="179" t="s">
        <v>428</v>
      </c>
      <c r="QVP111" s="180" t="str">
        <f>VLOOKUP(QVO111,[13]AssetDetails_UEM!$A$3:$AH$1849,6,FALSE)</f>
        <v>Electrosurgical Units, Monopolar/Bipolar</v>
      </c>
      <c r="QVQ111" s="179" t="s">
        <v>428</v>
      </c>
      <c r="QVR111" s="180" t="str">
        <f>VLOOKUP(QVQ111,[13]AssetDetails_UEM!$A$3:$AH$1849,6,FALSE)</f>
        <v>Electrosurgical Units, Monopolar/Bipolar</v>
      </c>
      <c r="QVS111" s="179" t="s">
        <v>428</v>
      </c>
      <c r="QVT111" s="180" t="str">
        <f>VLOOKUP(QVS111,[13]AssetDetails_UEM!$A$3:$AH$1849,6,FALSE)</f>
        <v>Electrosurgical Units, Monopolar/Bipolar</v>
      </c>
      <c r="QVU111" s="179" t="s">
        <v>428</v>
      </c>
      <c r="QVV111" s="180" t="str">
        <f>VLOOKUP(QVU111,[13]AssetDetails_UEM!$A$3:$AH$1849,6,FALSE)</f>
        <v>Electrosurgical Units, Monopolar/Bipolar</v>
      </c>
      <c r="QVW111" s="179" t="s">
        <v>428</v>
      </c>
      <c r="QVX111" s="180" t="str">
        <f>VLOOKUP(QVW111,[13]AssetDetails_UEM!$A$3:$AH$1849,6,FALSE)</f>
        <v>Electrosurgical Units, Monopolar/Bipolar</v>
      </c>
      <c r="QVY111" s="179" t="s">
        <v>428</v>
      </c>
      <c r="QVZ111" s="180" t="str">
        <f>VLOOKUP(QVY111,[13]AssetDetails_UEM!$A$3:$AH$1849,6,FALSE)</f>
        <v>Electrosurgical Units, Monopolar/Bipolar</v>
      </c>
      <c r="QWA111" s="179" t="s">
        <v>428</v>
      </c>
      <c r="QWB111" s="180" t="str">
        <f>VLOOKUP(QWA111,[13]AssetDetails_UEM!$A$3:$AH$1849,6,FALSE)</f>
        <v>Electrosurgical Units, Monopolar/Bipolar</v>
      </c>
      <c r="QWC111" s="179" t="s">
        <v>428</v>
      </c>
      <c r="QWD111" s="180" t="str">
        <f>VLOOKUP(QWC111,[13]AssetDetails_UEM!$A$3:$AH$1849,6,FALSE)</f>
        <v>Electrosurgical Units, Monopolar/Bipolar</v>
      </c>
      <c r="QWE111" s="179" t="s">
        <v>428</v>
      </c>
      <c r="QWF111" s="180" t="str">
        <f>VLOOKUP(QWE111,[13]AssetDetails_UEM!$A$3:$AH$1849,6,FALSE)</f>
        <v>Electrosurgical Units, Monopolar/Bipolar</v>
      </c>
      <c r="QWG111" s="179" t="s">
        <v>428</v>
      </c>
      <c r="QWH111" s="180" t="str">
        <f>VLOOKUP(QWG111,[13]AssetDetails_UEM!$A$3:$AH$1849,6,FALSE)</f>
        <v>Electrosurgical Units, Monopolar/Bipolar</v>
      </c>
      <c r="QWI111" s="179" t="s">
        <v>428</v>
      </c>
      <c r="QWJ111" s="180" t="str">
        <f>VLOOKUP(QWI111,[13]AssetDetails_UEM!$A$3:$AH$1849,6,FALSE)</f>
        <v>Electrosurgical Units, Monopolar/Bipolar</v>
      </c>
      <c r="QWK111" s="179" t="s">
        <v>428</v>
      </c>
      <c r="QWL111" s="180" t="str">
        <f>VLOOKUP(QWK111,[13]AssetDetails_UEM!$A$3:$AH$1849,6,FALSE)</f>
        <v>Electrosurgical Units, Monopolar/Bipolar</v>
      </c>
      <c r="QWM111" s="179" t="s">
        <v>428</v>
      </c>
      <c r="QWN111" s="180" t="str">
        <f>VLOOKUP(QWM111,[13]AssetDetails_UEM!$A$3:$AH$1849,6,FALSE)</f>
        <v>Electrosurgical Units, Monopolar/Bipolar</v>
      </c>
      <c r="QWO111" s="179" t="s">
        <v>428</v>
      </c>
      <c r="QWP111" s="180" t="str">
        <f>VLOOKUP(QWO111,[13]AssetDetails_UEM!$A$3:$AH$1849,6,FALSE)</f>
        <v>Electrosurgical Units, Monopolar/Bipolar</v>
      </c>
      <c r="QWQ111" s="179" t="s">
        <v>428</v>
      </c>
      <c r="QWR111" s="180" t="str">
        <f>VLOOKUP(QWQ111,[13]AssetDetails_UEM!$A$3:$AH$1849,6,FALSE)</f>
        <v>Electrosurgical Units, Monopolar/Bipolar</v>
      </c>
      <c r="QWS111" s="179" t="s">
        <v>428</v>
      </c>
      <c r="QWT111" s="180" t="str">
        <f>VLOOKUP(QWS111,[13]AssetDetails_UEM!$A$3:$AH$1849,6,FALSE)</f>
        <v>Electrosurgical Units, Monopolar/Bipolar</v>
      </c>
      <c r="QWU111" s="179" t="s">
        <v>428</v>
      </c>
      <c r="QWV111" s="180" t="str">
        <f>VLOOKUP(QWU111,[13]AssetDetails_UEM!$A$3:$AH$1849,6,FALSE)</f>
        <v>Electrosurgical Units, Monopolar/Bipolar</v>
      </c>
      <c r="QWW111" s="179" t="s">
        <v>428</v>
      </c>
      <c r="QWX111" s="180" t="str">
        <f>VLOOKUP(QWW111,[13]AssetDetails_UEM!$A$3:$AH$1849,6,FALSE)</f>
        <v>Electrosurgical Units, Monopolar/Bipolar</v>
      </c>
      <c r="QWY111" s="179" t="s">
        <v>428</v>
      </c>
      <c r="QWZ111" s="180" t="str">
        <f>VLOOKUP(QWY111,[13]AssetDetails_UEM!$A$3:$AH$1849,6,FALSE)</f>
        <v>Electrosurgical Units, Monopolar/Bipolar</v>
      </c>
      <c r="QXA111" s="179" t="s">
        <v>428</v>
      </c>
      <c r="QXB111" s="180" t="str">
        <f>VLOOKUP(QXA111,[13]AssetDetails_UEM!$A$3:$AH$1849,6,FALSE)</f>
        <v>Electrosurgical Units, Monopolar/Bipolar</v>
      </c>
      <c r="QXC111" s="179" t="s">
        <v>428</v>
      </c>
      <c r="QXD111" s="180" t="str">
        <f>VLOOKUP(QXC111,[13]AssetDetails_UEM!$A$3:$AH$1849,6,FALSE)</f>
        <v>Electrosurgical Units, Monopolar/Bipolar</v>
      </c>
      <c r="QXE111" s="179" t="s">
        <v>428</v>
      </c>
      <c r="QXF111" s="180" t="str">
        <f>VLOOKUP(QXE111,[13]AssetDetails_UEM!$A$3:$AH$1849,6,FALSE)</f>
        <v>Electrosurgical Units, Monopolar/Bipolar</v>
      </c>
      <c r="QXG111" s="179" t="s">
        <v>428</v>
      </c>
      <c r="QXH111" s="180" t="str">
        <f>VLOOKUP(QXG111,[13]AssetDetails_UEM!$A$3:$AH$1849,6,FALSE)</f>
        <v>Electrosurgical Units, Monopolar/Bipolar</v>
      </c>
      <c r="QXI111" s="179" t="s">
        <v>428</v>
      </c>
      <c r="QXJ111" s="180" t="str">
        <f>VLOOKUP(QXI111,[13]AssetDetails_UEM!$A$3:$AH$1849,6,FALSE)</f>
        <v>Electrosurgical Units, Monopolar/Bipolar</v>
      </c>
      <c r="QXK111" s="179" t="s">
        <v>428</v>
      </c>
      <c r="QXL111" s="180" t="str">
        <f>VLOOKUP(QXK111,[13]AssetDetails_UEM!$A$3:$AH$1849,6,FALSE)</f>
        <v>Electrosurgical Units, Monopolar/Bipolar</v>
      </c>
      <c r="QXM111" s="179" t="s">
        <v>428</v>
      </c>
      <c r="QXN111" s="180" t="str">
        <f>VLOOKUP(QXM111,[13]AssetDetails_UEM!$A$3:$AH$1849,6,FALSE)</f>
        <v>Electrosurgical Units, Monopolar/Bipolar</v>
      </c>
      <c r="QXO111" s="179" t="s">
        <v>428</v>
      </c>
      <c r="QXP111" s="180" t="str">
        <f>VLOOKUP(QXO111,[13]AssetDetails_UEM!$A$3:$AH$1849,6,FALSE)</f>
        <v>Electrosurgical Units, Monopolar/Bipolar</v>
      </c>
      <c r="QXQ111" s="179" t="s">
        <v>428</v>
      </c>
      <c r="QXR111" s="180" t="str">
        <f>VLOOKUP(QXQ111,[13]AssetDetails_UEM!$A$3:$AH$1849,6,FALSE)</f>
        <v>Electrosurgical Units, Monopolar/Bipolar</v>
      </c>
      <c r="QXS111" s="179" t="s">
        <v>428</v>
      </c>
      <c r="QXT111" s="180" t="str">
        <f>VLOOKUP(QXS111,[13]AssetDetails_UEM!$A$3:$AH$1849,6,FALSE)</f>
        <v>Electrosurgical Units, Monopolar/Bipolar</v>
      </c>
      <c r="QXU111" s="179" t="s">
        <v>428</v>
      </c>
      <c r="QXV111" s="180" t="str">
        <f>VLOOKUP(QXU111,[13]AssetDetails_UEM!$A$3:$AH$1849,6,FALSE)</f>
        <v>Electrosurgical Units, Monopolar/Bipolar</v>
      </c>
      <c r="QXW111" s="179" t="s">
        <v>428</v>
      </c>
      <c r="QXX111" s="180" t="str">
        <f>VLOOKUP(QXW111,[13]AssetDetails_UEM!$A$3:$AH$1849,6,FALSE)</f>
        <v>Electrosurgical Units, Monopolar/Bipolar</v>
      </c>
      <c r="QXY111" s="179" t="s">
        <v>428</v>
      </c>
      <c r="QXZ111" s="180" t="str">
        <f>VLOOKUP(QXY111,[13]AssetDetails_UEM!$A$3:$AH$1849,6,FALSE)</f>
        <v>Electrosurgical Units, Monopolar/Bipolar</v>
      </c>
      <c r="QYA111" s="179" t="s">
        <v>428</v>
      </c>
      <c r="QYB111" s="180" t="str">
        <f>VLOOKUP(QYA111,[13]AssetDetails_UEM!$A$3:$AH$1849,6,FALSE)</f>
        <v>Electrosurgical Units, Monopolar/Bipolar</v>
      </c>
      <c r="QYC111" s="179" t="s">
        <v>428</v>
      </c>
      <c r="QYD111" s="180" t="str">
        <f>VLOOKUP(QYC111,[13]AssetDetails_UEM!$A$3:$AH$1849,6,FALSE)</f>
        <v>Electrosurgical Units, Monopolar/Bipolar</v>
      </c>
      <c r="QYE111" s="179" t="s">
        <v>428</v>
      </c>
      <c r="QYF111" s="180" t="str">
        <f>VLOOKUP(QYE111,[13]AssetDetails_UEM!$A$3:$AH$1849,6,FALSE)</f>
        <v>Electrosurgical Units, Monopolar/Bipolar</v>
      </c>
      <c r="QYG111" s="179" t="s">
        <v>428</v>
      </c>
      <c r="QYH111" s="180" t="str">
        <f>VLOOKUP(QYG111,[13]AssetDetails_UEM!$A$3:$AH$1849,6,FALSE)</f>
        <v>Electrosurgical Units, Monopolar/Bipolar</v>
      </c>
      <c r="QYI111" s="179" t="s">
        <v>428</v>
      </c>
      <c r="QYJ111" s="180" t="str">
        <f>VLOOKUP(QYI111,[13]AssetDetails_UEM!$A$3:$AH$1849,6,FALSE)</f>
        <v>Electrosurgical Units, Monopolar/Bipolar</v>
      </c>
      <c r="QYK111" s="179" t="s">
        <v>428</v>
      </c>
      <c r="QYL111" s="180" t="str">
        <f>VLOOKUP(QYK111,[13]AssetDetails_UEM!$A$3:$AH$1849,6,FALSE)</f>
        <v>Electrosurgical Units, Monopolar/Bipolar</v>
      </c>
      <c r="QYM111" s="179" t="s">
        <v>428</v>
      </c>
      <c r="QYN111" s="180" t="str">
        <f>VLOOKUP(QYM111,[13]AssetDetails_UEM!$A$3:$AH$1849,6,FALSE)</f>
        <v>Electrosurgical Units, Monopolar/Bipolar</v>
      </c>
      <c r="QYO111" s="179" t="s">
        <v>428</v>
      </c>
      <c r="QYP111" s="180" t="str">
        <f>VLOOKUP(QYO111,[13]AssetDetails_UEM!$A$3:$AH$1849,6,FALSE)</f>
        <v>Electrosurgical Units, Monopolar/Bipolar</v>
      </c>
      <c r="QYQ111" s="179" t="s">
        <v>428</v>
      </c>
      <c r="QYR111" s="180" t="str">
        <f>VLOOKUP(QYQ111,[13]AssetDetails_UEM!$A$3:$AH$1849,6,FALSE)</f>
        <v>Electrosurgical Units, Monopolar/Bipolar</v>
      </c>
      <c r="QYS111" s="179" t="s">
        <v>428</v>
      </c>
      <c r="QYT111" s="180" t="str">
        <f>VLOOKUP(QYS111,[13]AssetDetails_UEM!$A$3:$AH$1849,6,FALSE)</f>
        <v>Electrosurgical Units, Monopolar/Bipolar</v>
      </c>
      <c r="QYU111" s="179" t="s">
        <v>428</v>
      </c>
      <c r="QYV111" s="180" t="str">
        <f>VLOOKUP(QYU111,[13]AssetDetails_UEM!$A$3:$AH$1849,6,FALSE)</f>
        <v>Electrosurgical Units, Monopolar/Bipolar</v>
      </c>
      <c r="QYW111" s="179" t="s">
        <v>428</v>
      </c>
      <c r="QYX111" s="180" t="str">
        <f>VLOOKUP(QYW111,[13]AssetDetails_UEM!$A$3:$AH$1849,6,FALSE)</f>
        <v>Electrosurgical Units, Monopolar/Bipolar</v>
      </c>
      <c r="QYY111" s="179" t="s">
        <v>428</v>
      </c>
      <c r="QYZ111" s="180" t="str">
        <f>VLOOKUP(QYY111,[13]AssetDetails_UEM!$A$3:$AH$1849,6,FALSE)</f>
        <v>Electrosurgical Units, Monopolar/Bipolar</v>
      </c>
      <c r="QZA111" s="179" t="s">
        <v>428</v>
      </c>
      <c r="QZB111" s="180" t="str">
        <f>VLOOKUP(QZA111,[13]AssetDetails_UEM!$A$3:$AH$1849,6,FALSE)</f>
        <v>Electrosurgical Units, Monopolar/Bipolar</v>
      </c>
      <c r="QZC111" s="179" t="s">
        <v>428</v>
      </c>
      <c r="QZD111" s="180" t="str">
        <f>VLOOKUP(QZC111,[13]AssetDetails_UEM!$A$3:$AH$1849,6,FALSE)</f>
        <v>Electrosurgical Units, Monopolar/Bipolar</v>
      </c>
      <c r="QZE111" s="179" t="s">
        <v>428</v>
      </c>
      <c r="QZF111" s="180" t="str">
        <f>VLOOKUP(QZE111,[13]AssetDetails_UEM!$A$3:$AH$1849,6,FALSE)</f>
        <v>Electrosurgical Units, Monopolar/Bipolar</v>
      </c>
      <c r="QZG111" s="179" t="s">
        <v>428</v>
      </c>
      <c r="QZH111" s="180" t="str">
        <f>VLOOKUP(QZG111,[13]AssetDetails_UEM!$A$3:$AH$1849,6,FALSE)</f>
        <v>Electrosurgical Units, Monopolar/Bipolar</v>
      </c>
      <c r="QZI111" s="179" t="s">
        <v>428</v>
      </c>
      <c r="QZJ111" s="180" t="str">
        <f>VLOOKUP(QZI111,[13]AssetDetails_UEM!$A$3:$AH$1849,6,FALSE)</f>
        <v>Electrosurgical Units, Monopolar/Bipolar</v>
      </c>
      <c r="QZK111" s="179" t="s">
        <v>428</v>
      </c>
      <c r="QZL111" s="180" t="str">
        <f>VLOOKUP(QZK111,[13]AssetDetails_UEM!$A$3:$AH$1849,6,FALSE)</f>
        <v>Electrosurgical Units, Monopolar/Bipolar</v>
      </c>
      <c r="QZM111" s="179" t="s">
        <v>428</v>
      </c>
      <c r="QZN111" s="180" t="str">
        <f>VLOOKUP(QZM111,[13]AssetDetails_UEM!$A$3:$AH$1849,6,FALSE)</f>
        <v>Electrosurgical Units, Monopolar/Bipolar</v>
      </c>
      <c r="QZO111" s="179" t="s">
        <v>428</v>
      </c>
      <c r="QZP111" s="180" t="str">
        <f>VLOOKUP(QZO111,[13]AssetDetails_UEM!$A$3:$AH$1849,6,FALSE)</f>
        <v>Electrosurgical Units, Monopolar/Bipolar</v>
      </c>
      <c r="QZQ111" s="179" t="s">
        <v>428</v>
      </c>
      <c r="QZR111" s="180" t="str">
        <f>VLOOKUP(QZQ111,[13]AssetDetails_UEM!$A$3:$AH$1849,6,FALSE)</f>
        <v>Electrosurgical Units, Monopolar/Bipolar</v>
      </c>
      <c r="QZS111" s="179" t="s">
        <v>428</v>
      </c>
      <c r="QZT111" s="180" t="str">
        <f>VLOOKUP(QZS111,[13]AssetDetails_UEM!$A$3:$AH$1849,6,FALSE)</f>
        <v>Electrosurgical Units, Monopolar/Bipolar</v>
      </c>
      <c r="QZU111" s="179" t="s">
        <v>428</v>
      </c>
      <c r="QZV111" s="180" t="str">
        <f>VLOOKUP(QZU111,[13]AssetDetails_UEM!$A$3:$AH$1849,6,FALSE)</f>
        <v>Electrosurgical Units, Monopolar/Bipolar</v>
      </c>
      <c r="QZW111" s="179" t="s">
        <v>428</v>
      </c>
      <c r="QZX111" s="180" t="str">
        <f>VLOOKUP(QZW111,[13]AssetDetails_UEM!$A$3:$AH$1849,6,FALSE)</f>
        <v>Electrosurgical Units, Monopolar/Bipolar</v>
      </c>
      <c r="QZY111" s="179" t="s">
        <v>428</v>
      </c>
      <c r="QZZ111" s="180" t="str">
        <f>VLOOKUP(QZY111,[13]AssetDetails_UEM!$A$3:$AH$1849,6,FALSE)</f>
        <v>Electrosurgical Units, Monopolar/Bipolar</v>
      </c>
      <c r="RAA111" s="179" t="s">
        <v>428</v>
      </c>
      <c r="RAB111" s="180" t="str">
        <f>VLOOKUP(RAA111,[13]AssetDetails_UEM!$A$3:$AH$1849,6,FALSE)</f>
        <v>Electrosurgical Units, Monopolar/Bipolar</v>
      </c>
      <c r="RAC111" s="179" t="s">
        <v>428</v>
      </c>
      <c r="RAD111" s="180" t="str">
        <f>VLOOKUP(RAC111,[13]AssetDetails_UEM!$A$3:$AH$1849,6,FALSE)</f>
        <v>Electrosurgical Units, Monopolar/Bipolar</v>
      </c>
      <c r="RAE111" s="179" t="s">
        <v>428</v>
      </c>
      <c r="RAF111" s="180" t="str">
        <f>VLOOKUP(RAE111,[13]AssetDetails_UEM!$A$3:$AH$1849,6,FALSE)</f>
        <v>Electrosurgical Units, Monopolar/Bipolar</v>
      </c>
      <c r="RAG111" s="179" t="s">
        <v>428</v>
      </c>
      <c r="RAH111" s="180" t="str">
        <f>VLOOKUP(RAG111,[13]AssetDetails_UEM!$A$3:$AH$1849,6,FALSE)</f>
        <v>Electrosurgical Units, Monopolar/Bipolar</v>
      </c>
      <c r="RAI111" s="179" t="s">
        <v>428</v>
      </c>
      <c r="RAJ111" s="180" t="str">
        <f>VLOOKUP(RAI111,[13]AssetDetails_UEM!$A$3:$AH$1849,6,FALSE)</f>
        <v>Electrosurgical Units, Monopolar/Bipolar</v>
      </c>
      <c r="RAK111" s="179" t="s">
        <v>428</v>
      </c>
      <c r="RAL111" s="180" t="str">
        <f>VLOOKUP(RAK111,[13]AssetDetails_UEM!$A$3:$AH$1849,6,FALSE)</f>
        <v>Electrosurgical Units, Monopolar/Bipolar</v>
      </c>
      <c r="RAM111" s="179" t="s">
        <v>428</v>
      </c>
      <c r="RAN111" s="180" t="str">
        <f>VLOOKUP(RAM111,[13]AssetDetails_UEM!$A$3:$AH$1849,6,FALSE)</f>
        <v>Electrosurgical Units, Monopolar/Bipolar</v>
      </c>
      <c r="RAO111" s="179" t="s">
        <v>428</v>
      </c>
      <c r="RAP111" s="180" t="str">
        <f>VLOOKUP(RAO111,[13]AssetDetails_UEM!$A$3:$AH$1849,6,FALSE)</f>
        <v>Electrosurgical Units, Monopolar/Bipolar</v>
      </c>
      <c r="RAQ111" s="179" t="s">
        <v>428</v>
      </c>
      <c r="RAR111" s="180" t="str">
        <f>VLOOKUP(RAQ111,[13]AssetDetails_UEM!$A$3:$AH$1849,6,FALSE)</f>
        <v>Electrosurgical Units, Monopolar/Bipolar</v>
      </c>
      <c r="RAS111" s="179" t="s">
        <v>428</v>
      </c>
      <c r="RAT111" s="180" t="str">
        <f>VLOOKUP(RAS111,[13]AssetDetails_UEM!$A$3:$AH$1849,6,FALSE)</f>
        <v>Electrosurgical Units, Monopolar/Bipolar</v>
      </c>
      <c r="RAU111" s="179" t="s">
        <v>428</v>
      </c>
      <c r="RAV111" s="180" t="str">
        <f>VLOOKUP(RAU111,[13]AssetDetails_UEM!$A$3:$AH$1849,6,FALSE)</f>
        <v>Electrosurgical Units, Monopolar/Bipolar</v>
      </c>
      <c r="RAW111" s="179" t="s">
        <v>428</v>
      </c>
      <c r="RAX111" s="180" t="str">
        <f>VLOOKUP(RAW111,[13]AssetDetails_UEM!$A$3:$AH$1849,6,FALSE)</f>
        <v>Electrosurgical Units, Monopolar/Bipolar</v>
      </c>
      <c r="RAY111" s="179" t="s">
        <v>428</v>
      </c>
      <c r="RAZ111" s="180" t="str">
        <f>VLOOKUP(RAY111,[13]AssetDetails_UEM!$A$3:$AH$1849,6,FALSE)</f>
        <v>Electrosurgical Units, Monopolar/Bipolar</v>
      </c>
      <c r="RBA111" s="179" t="s">
        <v>428</v>
      </c>
      <c r="RBB111" s="180" t="str">
        <f>VLOOKUP(RBA111,[13]AssetDetails_UEM!$A$3:$AH$1849,6,FALSE)</f>
        <v>Electrosurgical Units, Monopolar/Bipolar</v>
      </c>
      <c r="RBC111" s="179" t="s">
        <v>428</v>
      </c>
      <c r="RBD111" s="180" t="str">
        <f>VLOOKUP(RBC111,[13]AssetDetails_UEM!$A$3:$AH$1849,6,FALSE)</f>
        <v>Electrosurgical Units, Monopolar/Bipolar</v>
      </c>
      <c r="RBE111" s="179" t="s">
        <v>428</v>
      </c>
      <c r="RBF111" s="180" t="str">
        <f>VLOOKUP(RBE111,[13]AssetDetails_UEM!$A$3:$AH$1849,6,FALSE)</f>
        <v>Electrosurgical Units, Monopolar/Bipolar</v>
      </c>
      <c r="RBG111" s="179" t="s">
        <v>428</v>
      </c>
      <c r="RBH111" s="180" t="str">
        <f>VLOOKUP(RBG111,[13]AssetDetails_UEM!$A$3:$AH$1849,6,FALSE)</f>
        <v>Electrosurgical Units, Monopolar/Bipolar</v>
      </c>
      <c r="RBI111" s="179" t="s">
        <v>428</v>
      </c>
      <c r="RBJ111" s="180" t="str">
        <f>VLOOKUP(RBI111,[13]AssetDetails_UEM!$A$3:$AH$1849,6,FALSE)</f>
        <v>Electrosurgical Units, Monopolar/Bipolar</v>
      </c>
      <c r="RBK111" s="179" t="s">
        <v>428</v>
      </c>
      <c r="RBL111" s="180" t="str">
        <f>VLOOKUP(RBK111,[13]AssetDetails_UEM!$A$3:$AH$1849,6,FALSE)</f>
        <v>Electrosurgical Units, Monopolar/Bipolar</v>
      </c>
      <c r="RBM111" s="179" t="s">
        <v>428</v>
      </c>
      <c r="RBN111" s="180" t="str">
        <f>VLOOKUP(RBM111,[13]AssetDetails_UEM!$A$3:$AH$1849,6,FALSE)</f>
        <v>Electrosurgical Units, Monopolar/Bipolar</v>
      </c>
      <c r="RBO111" s="179" t="s">
        <v>428</v>
      </c>
      <c r="RBP111" s="180" t="str">
        <f>VLOOKUP(RBO111,[13]AssetDetails_UEM!$A$3:$AH$1849,6,FALSE)</f>
        <v>Electrosurgical Units, Monopolar/Bipolar</v>
      </c>
      <c r="RBQ111" s="179" t="s">
        <v>428</v>
      </c>
      <c r="RBR111" s="180" t="str">
        <f>VLOOKUP(RBQ111,[13]AssetDetails_UEM!$A$3:$AH$1849,6,FALSE)</f>
        <v>Electrosurgical Units, Monopolar/Bipolar</v>
      </c>
      <c r="RBS111" s="179" t="s">
        <v>428</v>
      </c>
      <c r="RBT111" s="180" t="str">
        <f>VLOOKUP(RBS111,[13]AssetDetails_UEM!$A$3:$AH$1849,6,FALSE)</f>
        <v>Electrosurgical Units, Monopolar/Bipolar</v>
      </c>
      <c r="RBU111" s="179" t="s">
        <v>428</v>
      </c>
      <c r="RBV111" s="180" t="str">
        <f>VLOOKUP(RBU111,[13]AssetDetails_UEM!$A$3:$AH$1849,6,FALSE)</f>
        <v>Electrosurgical Units, Monopolar/Bipolar</v>
      </c>
      <c r="RBW111" s="179" t="s">
        <v>428</v>
      </c>
      <c r="RBX111" s="180" t="str">
        <f>VLOOKUP(RBW111,[13]AssetDetails_UEM!$A$3:$AH$1849,6,FALSE)</f>
        <v>Electrosurgical Units, Monopolar/Bipolar</v>
      </c>
      <c r="RBY111" s="179" t="s">
        <v>428</v>
      </c>
      <c r="RBZ111" s="180" t="str">
        <f>VLOOKUP(RBY111,[13]AssetDetails_UEM!$A$3:$AH$1849,6,FALSE)</f>
        <v>Electrosurgical Units, Monopolar/Bipolar</v>
      </c>
      <c r="RCA111" s="179" t="s">
        <v>428</v>
      </c>
      <c r="RCB111" s="180" t="str">
        <f>VLOOKUP(RCA111,[13]AssetDetails_UEM!$A$3:$AH$1849,6,FALSE)</f>
        <v>Electrosurgical Units, Monopolar/Bipolar</v>
      </c>
      <c r="RCC111" s="179" t="s">
        <v>428</v>
      </c>
      <c r="RCD111" s="180" t="str">
        <f>VLOOKUP(RCC111,[13]AssetDetails_UEM!$A$3:$AH$1849,6,FALSE)</f>
        <v>Electrosurgical Units, Monopolar/Bipolar</v>
      </c>
      <c r="RCE111" s="179" t="s">
        <v>428</v>
      </c>
      <c r="RCF111" s="180" t="str">
        <f>VLOOKUP(RCE111,[13]AssetDetails_UEM!$A$3:$AH$1849,6,FALSE)</f>
        <v>Electrosurgical Units, Monopolar/Bipolar</v>
      </c>
      <c r="RCG111" s="179" t="s">
        <v>428</v>
      </c>
      <c r="RCH111" s="180" t="str">
        <f>VLOOKUP(RCG111,[13]AssetDetails_UEM!$A$3:$AH$1849,6,FALSE)</f>
        <v>Electrosurgical Units, Monopolar/Bipolar</v>
      </c>
      <c r="RCI111" s="179" t="s">
        <v>428</v>
      </c>
      <c r="RCJ111" s="180" t="str">
        <f>VLOOKUP(RCI111,[13]AssetDetails_UEM!$A$3:$AH$1849,6,FALSE)</f>
        <v>Electrosurgical Units, Monopolar/Bipolar</v>
      </c>
      <c r="RCK111" s="179" t="s">
        <v>428</v>
      </c>
      <c r="RCL111" s="180" t="str">
        <f>VLOOKUP(RCK111,[13]AssetDetails_UEM!$A$3:$AH$1849,6,FALSE)</f>
        <v>Electrosurgical Units, Monopolar/Bipolar</v>
      </c>
      <c r="RCM111" s="179" t="s">
        <v>428</v>
      </c>
      <c r="RCN111" s="180" t="str">
        <f>VLOOKUP(RCM111,[13]AssetDetails_UEM!$A$3:$AH$1849,6,FALSE)</f>
        <v>Electrosurgical Units, Monopolar/Bipolar</v>
      </c>
      <c r="RCO111" s="179" t="s">
        <v>428</v>
      </c>
      <c r="RCP111" s="180" t="str">
        <f>VLOOKUP(RCO111,[13]AssetDetails_UEM!$A$3:$AH$1849,6,FALSE)</f>
        <v>Electrosurgical Units, Monopolar/Bipolar</v>
      </c>
      <c r="RCQ111" s="179" t="s">
        <v>428</v>
      </c>
      <c r="RCR111" s="180" t="str">
        <f>VLOOKUP(RCQ111,[13]AssetDetails_UEM!$A$3:$AH$1849,6,FALSE)</f>
        <v>Electrosurgical Units, Monopolar/Bipolar</v>
      </c>
      <c r="RCS111" s="179" t="s">
        <v>428</v>
      </c>
      <c r="RCT111" s="180" t="str">
        <f>VLOOKUP(RCS111,[13]AssetDetails_UEM!$A$3:$AH$1849,6,FALSE)</f>
        <v>Electrosurgical Units, Monopolar/Bipolar</v>
      </c>
      <c r="RCU111" s="179" t="s">
        <v>428</v>
      </c>
      <c r="RCV111" s="180" t="str">
        <f>VLOOKUP(RCU111,[13]AssetDetails_UEM!$A$3:$AH$1849,6,FALSE)</f>
        <v>Electrosurgical Units, Monopolar/Bipolar</v>
      </c>
      <c r="RCW111" s="179" t="s">
        <v>428</v>
      </c>
      <c r="RCX111" s="180" t="str">
        <f>VLOOKUP(RCW111,[13]AssetDetails_UEM!$A$3:$AH$1849,6,FALSE)</f>
        <v>Electrosurgical Units, Monopolar/Bipolar</v>
      </c>
      <c r="RCY111" s="179" t="s">
        <v>428</v>
      </c>
      <c r="RCZ111" s="180" t="str">
        <f>VLOOKUP(RCY111,[13]AssetDetails_UEM!$A$3:$AH$1849,6,FALSE)</f>
        <v>Electrosurgical Units, Monopolar/Bipolar</v>
      </c>
      <c r="RDA111" s="179" t="s">
        <v>428</v>
      </c>
      <c r="RDB111" s="180" t="str">
        <f>VLOOKUP(RDA111,[13]AssetDetails_UEM!$A$3:$AH$1849,6,FALSE)</f>
        <v>Electrosurgical Units, Monopolar/Bipolar</v>
      </c>
      <c r="RDC111" s="179" t="s">
        <v>428</v>
      </c>
      <c r="RDD111" s="180" t="str">
        <f>VLOOKUP(RDC111,[13]AssetDetails_UEM!$A$3:$AH$1849,6,FALSE)</f>
        <v>Electrosurgical Units, Monopolar/Bipolar</v>
      </c>
      <c r="RDE111" s="179" t="s">
        <v>428</v>
      </c>
      <c r="RDF111" s="180" t="str">
        <f>VLOOKUP(RDE111,[13]AssetDetails_UEM!$A$3:$AH$1849,6,FALSE)</f>
        <v>Electrosurgical Units, Monopolar/Bipolar</v>
      </c>
      <c r="RDG111" s="179" t="s">
        <v>428</v>
      </c>
      <c r="RDH111" s="180" t="str">
        <f>VLOOKUP(RDG111,[13]AssetDetails_UEM!$A$3:$AH$1849,6,FALSE)</f>
        <v>Electrosurgical Units, Monopolar/Bipolar</v>
      </c>
      <c r="RDI111" s="179" t="s">
        <v>428</v>
      </c>
      <c r="RDJ111" s="180" t="str">
        <f>VLOOKUP(RDI111,[13]AssetDetails_UEM!$A$3:$AH$1849,6,FALSE)</f>
        <v>Electrosurgical Units, Monopolar/Bipolar</v>
      </c>
      <c r="RDK111" s="179" t="s">
        <v>428</v>
      </c>
      <c r="RDL111" s="180" t="str">
        <f>VLOOKUP(RDK111,[13]AssetDetails_UEM!$A$3:$AH$1849,6,FALSE)</f>
        <v>Electrosurgical Units, Monopolar/Bipolar</v>
      </c>
      <c r="RDM111" s="179" t="s">
        <v>428</v>
      </c>
      <c r="RDN111" s="180" t="str">
        <f>VLOOKUP(RDM111,[13]AssetDetails_UEM!$A$3:$AH$1849,6,FALSE)</f>
        <v>Electrosurgical Units, Monopolar/Bipolar</v>
      </c>
      <c r="RDO111" s="179" t="s">
        <v>428</v>
      </c>
      <c r="RDP111" s="180" t="str">
        <f>VLOOKUP(RDO111,[13]AssetDetails_UEM!$A$3:$AH$1849,6,FALSE)</f>
        <v>Electrosurgical Units, Monopolar/Bipolar</v>
      </c>
      <c r="RDQ111" s="179" t="s">
        <v>428</v>
      </c>
      <c r="RDR111" s="180" t="str">
        <f>VLOOKUP(RDQ111,[13]AssetDetails_UEM!$A$3:$AH$1849,6,FALSE)</f>
        <v>Electrosurgical Units, Monopolar/Bipolar</v>
      </c>
      <c r="RDS111" s="179" t="s">
        <v>428</v>
      </c>
      <c r="RDT111" s="180" t="str">
        <f>VLOOKUP(RDS111,[13]AssetDetails_UEM!$A$3:$AH$1849,6,FALSE)</f>
        <v>Electrosurgical Units, Monopolar/Bipolar</v>
      </c>
      <c r="RDU111" s="179" t="s">
        <v>428</v>
      </c>
      <c r="RDV111" s="180" t="str">
        <f>VLOOKUP(RDU111,[13]AssetDetails_UEM!$A$3:$AH$1849,6,FALSE)</f>
        <v>Electrosurgical Units, Monopolar/Bipolar</v>
      </c>
      <c r="RDW111" s="179" t="s">
        <v>428</v>
      </c>
      <c r="RDX111" s="180" t="str">
        <f>VLOOKUP(RDW111,[13]AssetDetails_UEM!$A$3:$AH$1849,6,FALSE)</f>
        <v>Electrosurgical Units, Monopolar/Bipolar</v>
      </c>
      <c r="RDY111" s="179" t="s">
        <v>428</v>
      </c>
      <c r="RDZ111" s="180" t="str">
        <f>VLOOKUP(RDY111,[13]AssetDetails_UEM!$A$3:$AH$1849,6,FALSE)</f>
        <v>Electrosurgical Units, Monopolar/Bipolar</v>
      </c>
      <c r="REA111" s="179" t="s">
        <v>428</v>
      </c>
      <c r="REB111" s="180" t="str">
        <f>VLOOKUP(REA111,[13]AssetDetails_UEM!$A$3:$AH$1849,6,FALSE)</f>
        <v>Electrosurgical Units, Monopolar/Bipolar</v>
      </c>
      <c r="REC111" s="179" t="s">
        <v>428</v>
      </c>
      <c r="RED111" s="180" t="str">
        <f>VLOOKUP(REC111,[13]AssetDetails_UEM!$A$3:$AH$1849,6,FALSE)</f>
        <v>Electrosurgical Units, Monopolar/Bipolar</v>
      </c>
      <c r="REE111" s="179" t="s">
        <v>428</v>
      </c>
      <c r="REF111" s="180" t="str">
        <f>VLOOKUP(REE111,[13]AssetDetails_UEM!$A$3:$AH$1849,6,FALSE)</f>
        <v>Electrosurgical Units, Monopolar/Bipolar</v>
      </c>
      <c r="REG111" s="179" t="s">
        <v>428</v>
      </c>
      <c r="REH111" s="180" t="str">
        <f>VLOOKUP(REG111,[13]AssetDetails_UEM!$A$3:$AH$1849,6,FALSE)</f>
        <v>Electrosurgical Units, Monopolar/Bipolar</v>
      </c>
      <c r="REI111" s="179" t="s">
        <v>428</v>
      </c>
      <c r="REJ111" s="180" t="str">
        <f>VLOOKUP(REI111,[13]AssetDetails_UEM!$A$3:$AH$1849,6,FALSE)</f>
        <v>Electrosurgical Units, Monopolar/Bipolar</v>
      </c>
      <c r="REK111" s="179" t="s">
        <v>428</v>
      </c>
      <c r="REL111" s="180" t="str">
        <f>VLOOKUP(REK111,[13]AssetDetails_UEM!$A$3:$AH$1849,6,FALSE)</f>
        <v>Electrosurgical Units, Monopolar/Bipolar</v>
      </c>
      <c r="REM111" s="179" t="s">
        <v>428</v>
      </c>
      <c r="REN111" s="180" t="str">
        <f>VLOOKUP(REM111,[13]AssetDetails_UEM!$A$3:$AH$1849,6,FALSE)</f>
        <v>Electrosurgical Units, Monopolar/Bipolar</v>
      </c>
      <c r="REO111" s="179" t="s">
        <v>428</v>
      </c>
      <c r="REP111" s="180" t="str">
        <f>VLOOKUP(REO111,[13]AssetDetails_UEM!$A$3:$AH$1849,6,FALSE)</f>
        <v>Electrosurgical Units, Monopolar/Bipolar</v>
      </c>
      <c r="REQ111" s="179" t="s">
        <v>428</v>
      </c>
      <c r="RER111" s="180" t="str">
        <f>VLOOKUP(REQ111,[13]AssetDetails_UEM!$A$3:$AH$1849,6,FALSE)</f>
        <v>Electrosurgical Units, Monopolar/Bipolar</v>
      </c>
      <c r="RES111" s="179" t="s">
        <v>428</v>
      </c>
      <c r="RET111" s="180" t="str">
        <f>VLOOKUP(RES111,[13]AssetDetails_UEM!$A$3:$AH$1849,6,FALSE)</f>
        <v>Electrosurgical Units, Monopolar/Bipolar</v>
      </c>
      <c r="REU111" s="179" t="s">
        <v>428</v>
      </c>
      <c r="REV111" s="180" t="str">
        <f>VLOOKUP(REU111,[13]AssetDetails_UEM!$A$3:$AH$1849,6,FALSE)</f>
        <v>Electrosurgical Units, Monopolar/Bipolar</v>
      </c>
      <c r="REW111" s="179" t="s">
        <v>428</v>
      </c>
      <c r="REX111" s="180" t="str">
        <f>VLOOKUP(REW111,[13]AssetDetails_UEM!$A$3:$AH$1849,6,FALSE)</f>
        <v>Electrosurgical Units, Monopolar/Bipolar</v>
      </c>
      <c r="REY111" s="179" t="s">
        <v>428</v>
      </c>
      <c r="REZ111" s="180" t="str">
        <f>VLOOKUP(REY111,[13]AssetDetails_UEM!$A$3:$AH$1849,6,FALSE)</f>
        <v>Electrosurgical Units, Monopolar/Bipolar</v>
      </c>
      <c r="RFA111" s="179" t="s">
        <v>428</v>
      </c>
      <c r="RFB111" s="180" t="str">
        <f>VLOOKUP(RFA111,[13]AssetDetails_UEM!$A$3:$AH$1849,6,FALSE)</f>
        <v>Electrosurgical Units, Monopolar/Bipolar</v>
      </c>
      <c r="RFC111" s="179" t="s">
        <v>428</v>
      </c>
      <c r="RFD111" s="180" t="str">
        <f>VLOOKUP(RFC111,[13]AssetDetails_UEM!$A$3:$AH$1849,6,FALSE)</f>
        <v>Electrosurgical Units, Monopolar/Bipolar</v>
      </c>
      <c r="RFE111" s="179" t="s">
        <v>428</v>
      </c>
      <c r="RFF111" s="180" t="str">
        <f>VLOOKUP(RFE111,[13]AssetDetails_UEM!$A$3:$AH$1849,6,FALSE)</f>
        <v>Electrosurgical Units, Monopolar/Bipolar</v>
      </c>
      <c r="RFG111" s="179" t="s">
        <v>428</v>
      </c>
      <c r="RFH111" s="180" t="str">
        <f>VLOOKUP(RFG111,[13]AssetDetails_UEM!$A$3:$AH$1849,6,FALSE)</f>
        <v>Electrosurgical Units, Monopolar/Bipolar</v>
      </c>
      <c r="RFI111" s="179" t="s">
        <v>428</v>
      </c>
      <c r="RFJ111" s="180" t="str">
        <f>VLOOKUP(RFI111,[13]AssetDetails_UEM!$A$3:$AH$1849,6,FALSE)</f>
        <v>Electrosurgical Units, Monopolar/Bipolar</v>
      </c>
      <c r="RFK111" s="179" t="s">
        <v>428</v>
      </c>
      <c r="RFL111" s="180" t="str">
        <f>VLOOKUP(RFK111,[13]AssetDetails_UEM!$A$3:$AH$1849,6,FALSE)</f>
        <v>Electrosurgical Units, Monopolar/Bipolar</v>
      </c>
      <c r="RFM111" s="179" t="s">
        <v>428</v>
      </c>
      <c r="RFN111" s="180" t="str">
        <f>VLOOKUP(RFM111,[13]AssetDetails_UEM!$A$3:$AH$1849,6,FALSE)</f>
        <v>Electrosurgical Units, Monopolar/Bipolar</v>
      </c>
      <c r="RFO111" s="179" t="s">
        <v>428</v>
      </c>
      <c r="RFP111" s="180" t="str">
        <f>VLOOKUP(RFO111,[13]AssetDetails_UEM!$A$3:$AH$1849,6,FALSE)</f>
        <v>Electrosurgical Units, Monopolar/Bipolar</v>
      </c>
      <c r="RFQ111" s="179" t="s">
        <v>428</v>
      </c>
      <c r="RFR111" s="180" t="str">
        <f>VLOOKUP(RFQ111,[13]AssetDetails_UEM!$A$3:$AH$1849,6,FALSE)</f>
        <v>Electrosurgical Units, Monopolar/Bipolar</v>
      </c>
      <c r="RFS111" s="179" t="s">
        <v>428</v>
      </c>
      <c r="RFT111" s="180" t="str">
        <f>VLOOKUP(RFS111,[13]AssetDetails_UEM!$A$3:$AH$1849,6,FALSE)</f>
        <v>Electrosurgical Units, Monopolar/Bipolar</v>
      </c>
      <c r="RFU111" s="179" t="s">
        <v>428</v>
      </c>
      <c r="RFV111" s="180" t="str">
        <f>VLOOKUP(RFU111,[13]AssetDetails_UEM!$A$3:$AH$1849,6,FALSE)</f>
        <v>Electrosurgical Units, Monopolar/Bipolar</v>
      </c>
      <c r="RFW111" s="179" t="s">
        <v>428</v>
      </c>
      <c r="RFX111" s="180" t="str">
        <f>VLOOKUP(RFW111,[13]AssetDetails_UEM!$A$3:$AH$1849,6,FALSE)</f>
        <v>Electrosurgical Units, Monopolar/Bipolar</v>
      </c>
      <c r="RFY111" s="179" t="s">
        <v>428</v>
      </c>
      <c r="RFZ111" s="180" t="str">
        <f>VLOOKUP(RFY111,[13]AssetDetails_UEM!$A$3:$AH$1849,6,FALSE)</f>
        <v>Electrosurgical Units, Monopolar/Bipolar</v>
      </c>
      <c r="RGA111" s="179" t="s">
        <v>428</v>
      </c>
      <c r="RGB111" s="180" t="str">
        <f>VLOOKUP(RGA111,[13]AssetDetails_UEM!$A$3:$AH$1849,6,FALSE)</f>
        <v>Electrosurgical Units, Monopolar/Bipolar</v>
      </c>
      <c r="RGC111" s="179" t="s">
        <v>428</v>
      </c>
      <c r="RGD111" s="180" t="str">
        <f>VLOOKUP(RGC111,[13]AssetDetails_UEM!$A$3:$AH$1849,6,FALSE)</f>
        <v>Electrosurgical Units, Monopolar/Bipolar</v>
      </c>
      <c r="RGE111" s="179" t="s">
        <v>428</v>
      </c>
      <c r="RGF111" s="180" t="str">
        <f>VLOOKUP(RGE111,[13]AssetDetails_UEM!$A$3:$AH$1849,6,FALSE)</f>
        <v>Electrosurgical Units, Monopolar/Bipolar</v>
      </c>
      <c r="RGG111" s="179" t="s">
        <v>428</v>
      </c>
      <c r="RGH111" s="180" t="str">
        <f>VLOOKUP(RGG111,[13]AssetDetails_UEM!$A$3:$AH$1849,6,FALSE)</f>
        <v>Electrosurgical Units, Monopolar/Bipolar</v>
      </c>
      <c r="RGI111" s="179" t="s">
        <v>428</v>
      </c>
      <c r="RGJ111" s="180" t="str">
        <f>VLOOKUP(RGI111,[13]AssetDetails_UEM!$A$3:$AH$1849,6,FALSE)</f>
        <v>Electrosurgical Units, Monopolar/Bipolar</v>
      </c>
      <c r="RGK111" s="179" t="s">
        <v>428</v>
      </c>
      <c r="RGL111" s="180" t="str">
        <f>VLOOKUP(RGK111,[13]AssetDetails_UEM!$A$3:$AH$1849,6,FALSE)</f>
        <v>Electrosurgical Units, Monopolar/Bipolar</v>
      </c>
      <c r="RGM111" s="179" t="s">
        <v>428</v>
      </c>
      <c r="RGN111" s="180" t="str">
        <f>VLOOKUP(RGM111,[13]AssetDetails_UEM!$A$3:$AH$1849,6,FALSE)</f>
        <v>Electrosurgical Units, Monopolar/Bipolar</v>
      </c>
      <c r="RGO111" s="179" t="s">
        <v>428</v>
      </c>
      <c r="RGP111" s="180" t="str">
        <f>VLOOKUP(RGO111,[13]AssetDetails_UEM!$A$3:$AH$1849,6,FALSE)</f>
        <v>Electrosurgical Units, Monopolar/Bipolar</v>
      </c>
      <c r="RGQ111" s="179" t="s">
        <v>428</v>
      </c>
      <c r="RGR111" s="180" t="str">
        <f>VLOOKUP(RGQ111,[13]AssetDetails_UEM!$A$3:$AH$1849,6,FALSE)</f>
        <v>Electrosurgical Units, Monopolar/Bipolar</v>
      </c>
      <c r="RGS111" s="179" t="s">
        <v>428</v>
      </c>
      <c r="RGT111" s="180" t="str">
        <f>VLOOKUP(RGS111,[13]AssetDetails_UEM!$A$3:$AH$1849,6,FALSE)</f>
        <v>Electrosurgical Units, Monopolar/Bipolar</v>
      </c>
      <c r="RGU111" s="179" t="s">
        <v>428</v>
      </c>
      <c r="RGV111" s="180" t="str">
        <f>VLOOKUP(RGU111,[13]AssetDetails_UEM!$A$3:$AH$1849,6,FALSE)</f>
        <v>Electrosurgical Units, Monopolar/Bipolar</v>
      </c>
      <c r="RGW111" s="179" t="s">
        <v>428</v>
      </c>
      <c r="RGX111" s="180" t="str">
        <f>VLOOKUP(RGW111,[13]AssetDetails_UEM!$A$3:$AH$1849,6,FALSE)</f>
        <v>Electrosurgical Units, Monopolar/Bipolar</v>
      </c>
      <c r="RGY111" s="179" t="s">
        <v>428</v>
      </c>
      <c r="RGZ111" s="180" t="str">
        <f>VLOOKUP(RGY111,[13]AssetDetails_UEM!$A$3:$AH$1849,6,FALSE)</f>
        <v>Electrosurgical Units, Monopolar/Bipolar</v>
      </c>
      <c r="RHA111" s="179" t="s">
        <v>428</v>
      </c>
      <c r="RHB111" s="180" t="str">
        <f>VLOOKUP(RHA111,[13]AssetDetails_UEM!$A$3:$AH$1849,6,FALSE)</f>
        <v>Electrosurgical Units, Monopolar/Bipolar</v>
      </c>
      <c r="RHC111" s="179" t="s">
        <v>428</v>
      </c>
      <c r="RHD111" s="180" t="str">
        <f>VLOOKUP(RHC111,[13]AssetDetails_UEM!$A$3:$AH$1849,6,FALSE)</f>
        <v>Electrosurgical Units, Monopolar/Bipolar</v>
      </c>
      <c r="RHE111" s="179" t="s">
        <v>428</v>
      </c>
      <c r="RHF111" s="180" t="str">
        <f>VLOOKUP(RHE111,[13]AssetDetails_UEM!$A$3:$AH$1849,6,FALSE)</f>
        <v>Electrosurgical Units, Monopolar/Bipolar</v>
      </c>
      <c r="RHG111" s="179" t="s">
        <v>428</v>
      </c>
      <c r="RHH111" s="180" t="str">
        <f>VLOOKUP(RHG111,[13]AssetDetails_UEM!$A$3:$AH$1849,6,FALSE)</f>
        <v>Electrosurgical Units, Monopolar/Bipolar</v>
      </c>
      <c r="RHI111" s="179" t="s">
        <v>428</v>
      </c>
      <c r="RHJ111" s="180" t="str">
        <f>VLOOKUP(RHI111,[13]AssetDetails_UEM!$A$3:$AH$1849,6,FALSE)</f>
        <v>Electrosurgical Units, Monopolar/Bipolar</v>
      </c>
      <c r="RHK111" s="179" t="s">
        <v>428</v>
      </c>
      <c r="RHL111" s="180" t="str">
        <f>VLOOKUP(RHK111,[13]AssetDetails_UEM!$A$3:$AH$1849,6,FALSE)</f>
        <v>Electrosurgical Units, Monopolar/Bipolar</v>
      </c>
      <c r="RHM111" s="179" t="s">
        <v>428</v>
      </c>
      <c r="RHN111" s="180" t="str">
        <f>VLOOKUP(RHM111,[13]AssetDetails_UEM!$A$3:$AH$1849,6,FALSE)</f>
        <v>Electrosurgical Units, Monopolar/Bipolar</v>
      </c>
      <c r="RHO111" s="179" t="s">
        <v>428</v>
      </c>
      <c r="RHP111" s="180" t="str">
        <f>VLOOKUP(RHO111,[13]AssetDetails_UEM!$A$3:$AH$1849,6,FALSE)</f>
        <v>Electrosurgical Units, Monopolar/Bipolar</v>
      </c>
      <c r="RHQ111" s="179" t="s">
        <v>428</v>
      </c>
      <c r="RHR111" s="180" t="str">
        <f>VLOOKUP(RHQ111,[13]AssetDetails_UEM!$A$3:$AH$1849,6,FALSE)</f>
        <v>Electrosurgical Units, Monopolar/Bipolar</v>
      </c>
      <c r="RHS111" s="179" t="s">
        <v>428</v>
      </c>
      <c r="RHT111" s="180" t="str">
        <f>VLOOKUP(RHS111,[13]AssetDetails_UEM!$A$3:$AH$1849,6,FALSE)</f>
        <v>Electrosurgical Units, Monopolar/Bipolar</v>
      </c>
      <c r="RHU111" s="179" t="s">
        <v>428</v>
      </c>
      <c r="RHV111" s="180" t="str">
        <f>VLOOKUP(RHU111,[13]AssetDetails_UEM!$A$3:$AH$1849,6,FALSE)</f>
        <v>Electrosurgical Units, Monopolar/Bipolar</v>
      </c>
      <c r="RHW111" s="179" t="s">
        <v>428</v>
      </c>
      <c r="RHX111" s="180" t="str">
        <f>VLOOKUP(RHW111,[13]AssetDetails_UEM!$A$3:$AH$1849,6,FALSE)</f>
        <v>Electrosurgical Units, Monopolar/Bipolar</v>
      </c>
      <c r="RHY111" s="179" t="s">
        <v>428</v>
      </c>
      <c r="RHZ111" s="180" t="str">
        <f>VLOOKUP(RHY111,[13]AssetDetails_UEM!$A$3:$AH$1849,6,FALSE)</f>
        <v>Electrosurgical Units, Monopolar/Bipolar</v>
      </c>
      <c r="RIA111" s="179" t="s">
        <v>428</v>
      </c>
      <c r="RIB111" s="180" t="str">
        <f>VLOOKUP(RIA111,[13]AssetDetails_UEM!$A$3:$AH$1849,6,FALSE)</f>
        <v>Electrosurgical Units, Monopolar/Bipolar</v>
      </c>
      <c r="RIC111" s="179" t="s">
        <v>428</v>
      </c>
      <c r="RID111" s="180" t="str">
        <f>VLOOKUP(RIC111,[13]AssetDetails_UEM!$A$3:$AH$1849,6,FALSE)</f>
        <v>Electrosurgical Units, Monopolar/Bipolar</v>
      </c>
      <c r="RIE111" s="179" t="s">
        <v>428</v>
      </c>
      <c r="RIF111" s="180" t="str">
        <f>VLOOKUP(RIE111,[13]AssetDetails_UEM!$A$3:$AH$1849,6,FALSE)</f>
        <v>Electrosurgical Units, Monopolar/Bipolar</v>
      </c>
      <c r="RIG111" s="179" t="s">
        <v>428</v>
      </c>
      <c r="RIH111" s="180" t="str">
        <f>VLOOKUP(RIG111,[13]AssetDetails_UEM!$A$3:$AH$1849,6,FALSE)</f>
        <v>Electrosurgical Units, Monopolar/Bipolar</v>
      </c>
      <c r="RII111" s="179" t="s">
        <v>428</v>
      </c>
      <c r="RIJ111" s="180" t="str">
        <f>VLOOKUP(RII111,[13]AssetDetails_UEM!$A$3:$AH$1849,6,FALSE)</f>
        <v>Electrosurgical Units, Monopolar/Bipolar</v>
      </c>
      <c r="RIK111" s="179" t="s">
        <v>428</v>
      </c>
      <c r="RIL111" s="180" t="str">
        <f>VLOOKUP(RIK111,[13]AssetDetails_UEM!$A$3:$AH$1849,6,FALSE)</f>
        <v>Electrosurgical Units, Monopolar/Bipolar</v>
      </c>
      <c r="RIM111" s="179" t="s">
        <v>428</v>
      </c>
      <c r="RIN111" s="180" t="str">
        <f>VLOOKUP(RIM111,[13]AssetDetails_UEM!$A$3:$AH$1849,6,FALSE)</f>
        <v>Electrosurgical Units, Monopolar/Bipolar</v>
      </c>
      <c r="RIO111" s="179" t="s">
        <v>428</v>
      </c>
      <c r="RIP111" s="180" t="str">
        <f>VLOOKUP(RIO111,[13]AssetDetails_UEM!$A$3:$AH$1849,6,FALSE)</f>
        <v>Electrosurgical Units, Monopolar/Bipolar</v>
      </c>
      <c r="RIQ111" s="179" t="s">
        <v>428</v>
      </c>
      <c r="RIR111" s="180" t="str">
        <f>VLOOKUP(RIQ111,[13]AssetDetails_UEM!$A$3:$AH$1849,6,FALSE)</f>
        <v>Electrosurgical Units, Monopolar/Bipolar</v>
      </c>
      <c r="RIS111" s="179" t="s">
        <v>428</v>
      </c>
      <c r="RIT111" s="180" t="str">
        <f>VLOOKUP(RIS111,[13]AssetDetails_UEM!$A$3:$AH$1849,6,FALSE)</f>
        <v>Electrosurgical Units, Monopolar/Bipolar</v>
      </c>
      <c r="RIU111" s="179" t="s">
        <v>428</v>
      </c>
      <c r="RIV111" s="180" t="str">
        <f>VLOOKUP(RIU111,[13]AssetDetails_UEM!$A$3:$AH$1849,6,FALSE)</f>
        <v>Electrosurgical Units, Monopolar/Bipolar</v>
      </c>
      <c r="RIW111" s="179" t="s">
        <v>428</v>
      </c>
      <c r="RIX111" s="180" t="str">
        <f>VLOOKUP(RIW111,[13]AssetDetails_UEM!$A$3:$AH$1849,6,FALSE)</f>
        <v>Electrosurgical Units, Monopolar/Bipolar</v>
      </c>
      <c r="RIY111" s="179" t="s">
        <v>428</v>
      </c>
      <c r="RIZ111" s="180" t="str">
        <f>VLOOKUP(RIY111,[13]AssetDetails_UEM!$A$3:$AH$1849,6,FALSE)</f>
        <v>Electrosurgical Units, Monopolar/Bipolar</v>
      </c>
      <c r="RJA111" s="179" t="s">
        <v>428</v>
      </c>
      <c r="RJB111" s="180" t="str">
        <f>VLOOKUP(RJA111,[13]AssetDetails_UEM!$A$3:$AH$1849,6,FALSE)</f>
        <v>Electrosurgical Units, Monopolar/Bipolar</v>
      </c>
      <c r="RJC111" s="179" t="s">
        <v>428</v>
      </c>
      <c r="RJD111" s="180" t="str">
        <f>VLOOKUP(RJC111,[13]AssetDetails_UEM!$A$3:$AH$1849,6,FALSE)</f>
        <v>Electrosurgical Units, Monopolar/Bipolar</v>
      </c>
      <c r="RJE111" s="179" t="s">
        <v>428</v>
      </c>
      <c r="RJF111" s="180" t="str">
        <f>VLOOKUP(RJE111,[13]AssetDetails_UEM!$A$3:$AH$1849,6,FALSE)</f>
        <v>Electrosurgical Units, Monopolar/Bipolar</v>
      </c>
      <c r="RJG111" s="179" t="s">
        <v>428</v>
      </c>
      <c r="RJH111" s="180" t="str">
        <f>VLOOKUP(RJG111,[13]AssetDetails_UEM!$A$3:$AH$1849,6,FALSE)</f>
        <v>Electrosurgical Units, Monopolar/Bipolar</v>
      </c>
      <c r="RJI111" s="179" t="s">
        <v>428</v>
      </c>
      <c r="RJJ111" s="180" t="str">
        <f>VLOOKUP(RJI111,[13]AssetDetails_UEM!$A$3:$AH$1849,6,FALSE)</f>
        <v>Electrosurgical Units, Monopolar/Bipolar</v>
      </c>
      <c r="RJK111" s="179" t="s">
        <v>428</v>
      </c>
      <c r="RJL111" s="180" t="str">
        <f>VLOOKUP(RJK111,[13]AssetDetails_UEM!$A$3:$AH$1849,6,FALSE)</f>
        <v>Electrosurgical Units, Monopolar/Bipolar</v>
      </c>
      <c r="RJM111" s="179" t="s">
        <v>428</v>
      </c>
      <c r="RJN111" s="180" t="str">
        <f>VLOOKUP(RJM111,[13]AssetDetails_UEM!$A$3:$AH$1849,6,FALSE)</f>
        <v>Electrosurgical Units, Monopolar/Bipolar</v>
      </c>
      <c r="RJO111" s="179" t="s">
        <v>428</v>
      </c>
      <c r="RJP111" s="180" t="str">
        <f>VLOOKUP(RJO111,[13]AssetDetails_UEM!$A$3:$AH$1849,6,FALSE)</f>
        <v>Electrosurgical Units, Monopolar/Bipolar</v>
      </c>
      <c r="RJQ111" s="179" t="s">
        <v>428</v>
      </c>
      <c r="RJR111" s="180" t="str">
        <f>VLOOKUP(RJQ111,[13]AssetDetails_UEM!$A$3:$AH$1849,6,FALSE)</f>
        <v>Electrosurgical Units, Monopolar/Bipolar</v>
      </c>
      <c r="RJS111" s="179" t="s">
        <v>428</v>
      </c>
      <c r="RJT111" s="180" t="str">
        <f>VLOOKUP(RJS111,[13]AssetDetails_UEM!$A$3:$AH$1849,6,FALSE)</f>
        <v>Electrosurgical Units, Monopolar/Bipolar</v>
      </c>
      <c r="RJU111" s="179" t="s">
        <v>428</v>
      </c>
      <c r="RJV111" s="180" t="str">
        <f>VLOOKUP(RJU111,[13]AssetDetails_UEM!$A$3:$AH$1849,6,FALSE)</f>
        <v>Electrosurgical Units, Monopolar/Bipolar</v>
      </c>
      <c r="RJW111" s="179" t="s">
        <v>428</v>
      </c>
      <c r="RJX111" s="180" t="str">
        <f>VLOOKUP(RJW111,[13]AssetDetails_UEM!$A$3:$AH$1849,6,FALSE)</f>
        <v>Electrosurgical Units, Monopolar/Bipolar</v>
      </c>
      <c r="RJY111" s="179" t="s">
        <v>428</v>
      </c>
      <c r="RJZ111" s="180" t="str">
        <f>VLOOKUP(RJY111,[13]AssetDetails_UEM!$A$3:$AH$1849,6,FALSE)</f>
        <v>Electrosurgical Units, Monopolar/Bipolar</v>
      </c>
      <c r="RKA111" s="179" t="s">
        <v>428</v>
      </c>
      <c r="RKB111" s="180" t="str">
        <f>VLOOKUP(RKA111,[13]AssetDetails_UEM!$A$3:$AH$1849,6,FALSE)</f>
        <v>Electrosurgical Units, Monopolar/Bipolar</v>
      </c>
      <c r="RKC111" s="179" t="s">
        <v>428</v>
      </c>
      <c r="RKD111" s="180" t="str">
        <f>VLOOKUP(RKC111,[13]AssetDetails_UEM!$A$3:$AH$1849,6,FALSE)</f>
        <v>Electrosurgical Units, Monopolar/Bipolar</v>
      </c>
      <c r="RKE111" s="179" t="s">
        <v>428</v>
      </c>
      <c r="RKF111" s="180" t="str">
        <f>VLOOKUP(RKE111,[13]AssetDetails_UEM!$A$3:$AH$1849,6,FALSE)</f>
        <v>Electrosurgical Units, Monopolar/Bipolar</v>
      </c>
      <c r="RKG111" s="179" t="s">
        <v>428</v>
      </c>
      <c r="RKH111" s="180" t="str">
        <f>VLOOKUP(RKG111,[13]AssetDetails_UEM!$A$3:$AH$1849,6,FALSE)</f>
        <v>Electrosurgical Units, Monopolar/Bipolar</v>
      </c>
      <c r="RKI111" s="179" t="s">
        <v>428</v>
      </c>
      <c r="RKJ111" s="180" t="str">
        <f>VLOOKUP(RKI111,[13]AssetDetails_UEM!$A$3:$AH$1849,6,FALSE)</f>
        <v>Electrosurgical Units, Monopolar/Bipolar</v>
      </c>
      <c r="RKK111" s="179" t="s">
        <v>428</v>
      </c>
      <c r="RKL111" s="180" t="str">
        <f>VLOOKUP(RKK111,[13]AssetDetails_UEM!$A$3:$AH$1849,6,FALSE)</f>
        <v>Electrosurgical Units, Monopolar/Bipolar</v>
      </c>
      <c r="RKM111" s="179" t="s">
        <v>428</v>
      </c>
      <c r="RKN111" s="180" t="str">
        <f>VLOOKUP(RKM111,[13]AssetDetails_UEM!$A$3:$AH$1849,6,FALSE)</f>
        <v>Electrosurgical Units, Monopolar/Bipolar</v>
      </c>
      <c r="RKO111" s="179" t="s">
        <v>428</v>
      </c>
      <c r="RKP111" s="180" t="str">
        <f>VLOOKUP(RKO111,[13]AssetDetails_UEM!$A$3:$AH$1849,6,FALSE)</f>
        <v>Electrosurgical Units, Monopolar/Bipolar</v>
      </c>
      <c r="RKQ111" s="179" t="s">
        <v>428</v>
      </c>
      <c r="RKR111" s="180" t="str">
        <f>VLOOKUP(RKQ111,[13]AssetDetails_UEM!$A$3:$AH$1849,6,FALSE)</f>
        <v>Electrosurgical Units, Monopolar/Bipolar</v>
      </c>
      <c r="RKS111" s="179" t="s">
        <v>428</v>
      </c>
      <c r="RKT111" s="180" t="str">
        <f>VLOOKUP(RKS111,[13]AssetDetails_UEM!$A$3:$AH$1849,6,FALSE)</f>
        <v>Electrosurgical Units, Monopolar/Bipolar</v>
      </c>
      <c r="RKU111" s="179" t="s">
        <v>428</v>
      </c>
      <c r="RKV111" s="180" t="str">
        <f>VLOOKUP(RKU111,[13]AssetDetails_UEM!$A$3:$AH$1849,6,FALSE)</f>
        <v>Electrosurgical Units, Monopolar/Bipolar</v>
      </c>
      <c r="RKW111" s="179" t="s">
        <v>428</v>
      </c>
      <c r="RKX111" s="180" t="str">
        <f>VLOOKUP(RKW111,[13]AssetDetails_UEM!$A$3:$AH$1849,6,FALSE)</f>
        <v>Electrosurgical Units, Monopolar/Bipolar</v>
      </c>
      <c r="RKY111" s="179" t="s">
        <v>428</v>
      </c>
      <c r="RKZ111" s="180" t="str">
        <f>VLOOKUP(RKY111,[13]AssetDetails_UEM!$A$3:$AH$1849,6,FALSE)</f>
        <v>Electrosurgical Units, Monopolar/Bipolar</v>
      </c>
      <c r="RLA111" s="179" t="s">
        <v>428</v>
      </c>
      <c r="RLB111" s="180" t="str">
        <f>VLOOKUP(RLA111,[13]AssetDetails_UEM!$A$3:$AH$1849,6,FALSE)</f>
        <v>Electrosurgical Units, Monopolar/Bipolar</v>
      </c>
      <c r="RLC111" s="179" t="s">
        <v>428</v>
      </c>
      <c r="RLD111" s="180" t="str">
        <f>VLOOKUP(RLC111,[13]AssetDetails_UEM!$A$3:$AH$1849,6,FALSE)</f>
        <v>Electrosurgical Units, Monopolar/Bipolar</v>
      </c>
      <c r="RLE111" s="179" t="s">
        <v>428</v>
      </c>
      <c r="RLF111" s="180" t="str">
        <f>VLOOKUP(RLE111,[13]AssetDetails_UEM!$A$3:$AH$1849,6,FALSE)</f>
        <v>Electrosurgical Units, Monopolar/Bipolar</v>
      </c>
      <c r="RLG111" s="179" t="s">
        <v>428</v>
      </c>
      <c r="RLH111" s="180" t="str">
        <f>VLOOKUP(RLG111,[13]AssetDetails_UEM!$A$3:$AH$1849,6,FALSE)</f>
        <v>Electrosurgical Units, Monopolar/Bipolar</v>
      </c>
      <c r="RLI111" s="179" t="s">
        <v>428</v>
      </c>
      <c r="RLJ111" s="180" t="str">
        <f>VLOOKUP(RLI111,[13]AssetDetails_UEM!$A$3:$AH$1849,6,FALSE)</f>
        <v>Electrosurgical Units, Monopolar/Bipolar</v>
      </c>
      <c r="RLK111" s="179" t="s">
        <v>428</v>
      </c>
      <c r="RLL111" s="180" t="str">
        <f>VLOOKUP(RLK111,[13]AssetDetails_UEM!$A$3:$AH$1849,6,FALSE)</f>
        <v>Electrosurgical Units, Monopolar/Bipolar</v>
      </c>
      <c r="RLM111" s="179" t="s">
        <v>428</v>
      </c>
      <c r="RLN111" s="180" t="str">
        <f>VLOOKUP(RLM111,[13]AssetDetails_UEM!$A$3:$AH$1849,6,FALSE)</f>
        <v>Electrosurgical Units, Monopolar/Bipolar</v>
      </c>
      <c r="RLO111" s="179" t="s">
        <v>428</v>
      </c>
      <c r="RLP111" s="180" t="str">
        <f>VLOOKUP(RLO111,[13]AssetDetails_UEM!$A$3:$AH$1849,6,FALSE)</f>
        <v>Electrosurgical Units, Monopolar/Bipolar</v>
      </c>
      <c r="RLQ111" s="179" t="s">
        <v>428</v>
      </c>
      <c r="RLR111" s="180" t="str">
        <f>VLOOKUP(RLQ111,[13]AssetDetails_UEM!$A$3:$AH$1849,6,FALSE)</f>
        <v>Electrosurgical Units, Monopolar/Bipolar</v>
      </c>
      <c r="RLS111" s="179" t="s">
        <v>428</v>
      </c>
      <c r="RLT111" s="180" t="str">
        <f>VLOOKUP(RLS111,[13]AssetDetails_UEM!$A$3:$AH$1849,6,FALSE)</f>
        <v>Electrosurgical Units, Monopolar/Bipolar</v>
      </c>
      <c r="RLU111" s="179" t="s">
        <v>428</v>
      </c>
      <c r="RLV111" s="180" t="str">
        <f>VLOOKUP(RLU111,[13]AssetDetails_UEM!$A$3:$AH$1849,6,FALSE)</f>
        <v>Electrosurgical Units, Monopolar/Bipolar</v>
      </c>
      <c r="RLW111" s="179" t="s">
        <v>428</v>
      </c>
      <c r="RLX111" s="180" t="str">
        <f>VLOOKUP(RLW111,[13]AssetDetails_UEM!$A$3:$AH$1849,6,FALSE)</f>
        <v>Electrosurgical Units, Monopolar/Bipolar</v>
      </c>
      <c r="RLY111" s="179" t="s">
        <v>428</v>
      </c>
      <c r="RLZ111" s="180" t="str">
        <f>VLOOKUP(RLY111,[13]AssetDetails_UEM!$A$3:$AH$1849,6,FALSE)</f>
        <v>Electrosurgical Units, Monopolar/Bipolar</v>
      </c>
      <c r="RMA111" s="179" t="s">
        <v>428</v>
      </c>
      <c r="RMB111" s="180" t="str">
        <f>VLOOKUP(RMA111,[13]AssetDetails_UEM!$A$3:$AH$1849,6,FALSE)</f>
        <v>Electrosurgical Units, Monopolar/Bipolar</v>
      </c>
      <c r="RMC111" s="179" t="s">
        <v>428</v>
      </c>
      <c r="RMD111" s="180" t="str">
        <f>VLOOKUP(RMC111,[13]AssetDetails_UEM!$A$3:$AH$1849,6,FALSE)</f>
        <v>Electrosurgical Units, Monopolar/Bipolar</v>
      </c>
      <c r="RME111" s="179" t="s">
        <v>428</v>
      </c>
      <c r="RMF111" s="180" t="str">
        <f>VLOOKUP(RME111,[13]AssetDetails_UEM!$A$3:$AH$1849,6,FALSE)</f>
        <v>Electrosurgical Units, Monopolar/Bipolar</v>
      </c>
      <c r="RMG111" s="179" t="s">
        <v>428</v>
      </c>
      <c r="RMH111" s="180" t="str">
        <f>VLOOKUP(RMG111,[13]AssetDetails_UEM!$A$3:$AH$1849,6,FALSE)</f>
        <v>Electrosurgical Units, Monopolar/Bipolar</v>
      </c>
      <c r="RMI111" s="179" t="s">
        <v>428</v>
      </c>
      <c r="RMJ111" s="180" t="str">
        <f>VLOOKUP(RMI111,[13]AssetDetails_UEM!$A$3:$AH$1849,6,FALSE)</f>
        <v>Electrosurgical Units, Monopolar/Bipolar</v>
      </c>
      <c r="RMK111" s="179" t="s">
        <v>428</v>
      </c>
      <c r="RML111" s="180" t="str">
        <f>VLOOKUP(RMK111,[13]AssetDetails_UEM!$A$3:$AH$1849,6,FALSE)</f>
        <v>Electrosurgical Units, Monopolar/Bipolar</v>
      </c>
      <c r="RMM111" s="179" t="s">
        <v>428</v>
      </c>
      <c r="RMN111" s="180" t="str">
        <f>VLOOKUP(RMM111,[13]AssetDetails_UEM!$A$3:$AH$1849,6,FALSE)</f>
        <v>Electrosurgical Units, Monopolar/Bipolar</v>
      </c>
      <c r="RMO111" s="179" t="s">
        <v>428</v>
      </c>
      <c r="RMP111" s="180" t="str">
        <f>VLOOKUP(RMO111,[13]AssetDetails_UEM!$A$3:$AH$1849,6,FALSE)</f>
        <v>Electrosurgical Units, Monopolar/Bipolar</v>
      </c>
      <c r="RMQ111" s="179" t="s">
        <v>428</v>
      </c>
      <c r="RMR111" s="180" t="str">
        <f>VLOOKUP(RMQ111,[13]AssetDetails_UEM!$A$3:$AH$1849,6,FALSE)</f>
        <v>Electrosurgical Units, Monopolar/Bipolar</v>
      </c>
      <c r="RMS111" s="179" t="s">
        <v>428</v>
      </c>
      <c r="RMT111" s="180" t="str">
        <f>VLOOKUP(RMS111,[13]AssetDetails_UEM!$A$3:$AH$1849,6,FALSE)</f>
        <v>Electrosurgical Units, Monopolar/Bipolar</v>
      </c>
      <c r="RMU111" s="179" t="s">
        <v>428</v>
      </c>
      <c r="RMV111" s="180" t="str">
        <f>VLOOKUP(RMU111,[13]AssetDetails_UEM!$A$3:$AH$1849,6,FALSE)</f>
        <v>Electrosurgical Units, Monopolar/Bipolar</v>
      </c>
      <c r="RMW111" s="179" t="s">
        <v>428</v>
      </c>
      <c r="RMX111" s="180" t="str">
        <f>VLOOKUP(RMW111,[13]AssetDetails_UEM!$A$3:$AH$1849,6,FALSE)</f>
        <v>Electrosurgical Units, Monopolar/Bipolar</v>
      </c>
      <c r="RMY111" s="179" t="s">
        <v>428</v>
      </c>
      <c r="RMZ111" s="180" t="str">
        <f>VLOOKUP(RMY111,[13]AssetDetails_UEM!$A$3:$AH$1849,6,FALSE)</f>
        <v>Electrosurgical Units, Monopolar/Bipolar</v>
      </c>
      <c r="RNA111" s="179" t="s">
        <v>428</v>
      </c>
      <c r="RNB111" s="180" t="str">
        <f>VLOOKUP(RNA111,[13]AssetDetails_UEM!$A$3:$AH$1849,6,FALSE)</f>
        <v>Electrosurgical Units, Monopolar/Bipolar</v>
      </c>
      <c r="RNC111" s="179" t="s">
        <v>428</v>
      </c>
      <c r="RND111" s="180" t="str">
        <f>VLOOKUP(RNC111,[13]AssetDetails_UEM!$A$3:$AH$1849,6,FALSE)</f>
        <v>Electrosurgical Units, Monopolar/Bipolar</v>
      </c>
      <c r="RNE111" s="179" t="s">
        <v>428</v>
      </c>
      <c r="RNF111" s="180" t="str">
        <f>VLOOKUP(RNE111,[13]AssetDetails_UEM!$A$3:$AH$1849,6,FALSE)</f>
        <v>Electrosurgical Units, Monopolar/Bipolar</v>
      </c>
      <c r="RNG111" s="179" t="s">
        <v>428</v>
      </c>
      <c r="RNH111" s="180" t="str">
        <f>VLOOKUP(RNG111,[13]AssetDetails_UEM!$A$3:$AH$1849,6,FALSE)</f>
        <v>Electrosurgical Units, Monopolar/Bipolar</v>
      </c>
      <c r="RNI111" s="179" t="s">
        <v>428</v>
      </c>
      <c r="RNJ111" s="180" t="str">
        <f>VLOOKUP(RNI111,[13]AssetDetails_UEM!$A$3:$AH$1849,6,FALSE)</f>
        <v>Electrosurgical Units, Monopolar/Bipolar</v>
      </c>
      <c r="RNK111" s="179" t="s">
        <v>428</v>
      </c>
      <c r="RNL111" s="180" t="str">
        <f>VLOOKUP(RNK111,[13]AssetDetails_UEM!$A$3:$AH$1849,6,FALSE)</f>
        <v>Electrosurgical Units, Monopolar/Bipolar</v>
      </c>
      <c r="RNM111" s="179" t="s">
        <v>428</v>
      </c>
      <c r="RNN111" s="180" t="str">
        <f>VLOOKUP(RNM111,[13]AssetDetails_UEM!$A$3:$AH$1849,6,FALSE)</f>
        <v>Electrosurgical Units, Monopolar/Bipolar</v>
      </c>
      <c r="RNO111" s="179" t="s">
        <v>428</v>
      </c>
      <c r="RNP111" s="180" t="str">
        <f>VLOOKUP(RNO111,[13]AssetDetails_UEM!$A$3:$AH$1849,6,FALSE)</f>
        <v>Electrosurgical Units, Monopolar/Bipolar</v>
      </c>
      <c r="RNQ111" s="179" t="s">
        <v>428</v>
      </c>
      <c r="RNR111" s="180" t="str">
        <f>VLOOKUP(RNQ111,[13]AssetDetails_UEM!$A$3:$AH$1849,6,FALSE)</f>
        <v>Electrosurgical Units, Monopolar/Bipolar</v>
      </c>
      <c r="RNS111" s="179" t="s">
        <v>428</v>
      </c>
      <c r="RNT111" s="180" t="str">
        <f>VLOOKUP(RNS111,[13]AssetDetails_UEM!$A$3:$AH$1849,6,FALSE)</f>
        <v>Electrosurgical Units, Monopolar/Bipolar</v>
      </c>
      <c r="RNU111" s="179" t="s">
        <v>428</v>
      </c>
      <c r="RNV111" s="180" t="str">
        <f>VLOOKUP(RNU111,[13]AssetDetails_UEM!$A$3:$AH$1849,6,FALSE)</f>
        <v>Electrosurgical Units, Monopolar/Bipolar</v>
      </c>
      <c r="RNW111" s="179" t="s">
        <v>428</v>
      </c>
      <c r="RNX111" s="180" t="str">
        <f>VLOOKUP(RNW111,[13]AssetDetails_UEM!$A$3:$AH$1849,6,FALSE)</f>
        <v>Electrosurgical Units, Monopolar/Bipolar</v>
      </c>
      <c r="RNY111" s="179" t="s">
        <v>428</v>
      </c>
      <c r="RNZ111" s="180" t="str">
        <f>VLOOKUP(RNY111,[13]AssetDetails_UEM!$A$3:$AH$1849,6,FALSE)</f>
        <v>Electrosurgical Units, Monopolar/Bipolar</v>
      </c>
      <c r="ROA111" s="179" t="s">
        <v>428</v>
      </c>
      <c r="ROB111" s="180" t="str">
        <f>VLOOKUP(ROA111,[13]AssetDetails_UEM!$A$3:$AH$1849,6,FALSE)</f>
        <v>Electrosurgical Units, Monopolar/Bipolar</v>
      </c>
      <c r="ROC111" s="179" t="s">
        <v>428</v>
      </c>
      <c r="ROD111" s="180" t="str">
        <f>VLOOKUP(ROC111,[13]AssetDetails_UEM!$A$3:$AH$1849,6,FALSE)</f>
        <v>Electrosurgical Units, Monopolar/Bipolar</v>
      </c>
      <c r="ROE111" s="179" t="s">
        <v>428</v>
      </c>
      <c r="ROF111" s="180" t="str">
        <f>VLOOKUP(ROE111,[13]AssetDetails_UEM!$A$3:$AH$1849,6,FALSE)</f>
        <v>Electrosurgical Units, Monopolar/Bipolar</v>
      </c>
      <c r="ROG111" s="179" t="s">
        <v>428</v>
      </c>
      <c r="ROH111" s="180" t="str">
        <f>VLOOKUP(ROG111,[13]AssetDetails_UEM!$A$3:$AH$1849,6,FALSE)</f>
        <v>Electrosurgical Units, Monopolar/Bipolar</v>
      </c>
      <c r="ROI111" s="179" t="s">
        <v>428</v>
      </c>
      <c r="ROJ111" s="180" t="str">
        <f>VLOOKUP(ROI111,[13]AssetDetails_UEM!$A$3:$AH$1849,6,FALSE)</f>
        <v>Electrosurgical Units, Monopolar/Bipolar</v>
      </c>
      <c r="ROK111" s="179" t="s">
        <v>428</v>
      </c>
      <c r="ROL111" s="180" t="str">
        <f>VLOOKUP(ROK111,[13]AssetDetails_UEM!$A$3:$AH$1849,6,FALSE)</f>
        <v>Electrosurgical Units, Monopolar/Bipolar</v>
      </c>
      <c r="ROM111" s="179" t="s">
        <v>428</v>
      </c>
      <c r="RON111" s="180" t="str">
        <f>VLOOKUP(ROM111,[13]AssetDetails_UEM!$A$3:$AH$1849,6,FALSE)</f>
        <v>Electrosurgical Units, Monopolar/Bipolar</v>
      </c>
      <c r="ROO111" s="179" t="s">
        <v>428</v>
      </c>
      <c r="ROP111" s="180" t="str">
        <f>VLOOKUP(ROO111,[13]AssetDetails_UEM!$A$3:$AH$1849,6,FALSE)</f>
        <v>Electrosurgical Units, Monopolar/Bipolar</v>
      </c>
      <c r="ROQ111" s="179" t="s">
        <v>428</v>
      </c>
      <c r="ROR111" s="180" t="str">
        <f>VLOOKUP(ROQ111,[13]AssetDetails_UEM!$A$3:$AH$1849,6,FALSE)</f>
        <v>Electrosurgical Units, Monopolar/Bipolar</v>
      </c>
      <c r="ROS111" s="179" t="s">
        <v>428</v>
      </c>
      <c r="ROT111" s="180" t="str">
        <f>VLOOKUP(ROS111,[13]AssetDetails_UEM!$A$3:$AH$1849,6,FALSE)</f>
        <v>Electrosurgical Units, Monopolar/Bipolar</v>
      </c>
      <c r="ROU111" s="179" t="s">
        <v>428</v>
      </c>
      <c r="ROV111" s="180" t="str">
        <f>VLOOKUP(ROU111,[13]AssetDetails_UEM!$A$3:$AH$1849,6,FALSE)</f>
        <v>Electrosurgical Units, Monopolar/Bipolar</v>
      </c>
      <c r="ROW111" s="179" t="s">
        <v>428</v>
      </c>
      <c r="ROX111" s="180" t="str">
        <f>VLOOKUP(ROW111,[13]AssetDetails_UEM!$A$3:$AH$1849,6,FALSE)</f>
        <v>Electrosurgical Units, Monopolar/Bipolar</v>
      </c>
      <c r="ROY111" s="179" t="s">
        <v>428</v>
      </c>
      <c r="ROZ111" s="180" t="str">
        <f>VLOOKUP(ROY111,[13]AssetDetails_UEM!$A$3:$AH$1849,6,FALSE)</f>
        <v>Electrosurgical Units, Monopolar/Bipolar</v>
      </c>
      <c r="RPA111" s="179" t="s">
        <v>428</v>
      </c>
      <c r="RPB111" s="180" t="str">
        <f>VLOOKUP(RPA111,[13]AssetDetails_UEM!$A$3:$AH$1849,6,FALSE)</f>
        <v>Electrosurgical Units, Monopolar/Bipolar</v>
      </c>
      <c r="RPC111" s="179" t="s">
        <v>428</v>
      </c>
      <c r="RPD111" s="180" t="str">
        <f>VLOOKUP(RPC111,[13]AssetDetails_UEM!$A$3:$AH$1849,6,FALSE)</f>
        <v>Electrosurgical Units, Monopolar/Bipolar</v>
      </c>
      <c r="RPE111" s="179" t="s">
        <v>428</v>
      </c>
      <c r="RPF111" s="180" t="str">
        <f>VLOOKUP(RPE111,[13]AssetDetails_UEM!$A$3:$AH$1849,6,FALSE)</f>
        <v>Electrosurgical Units, Monopolar/Bipolar</v>
      </c>
      <c r="RPG111" s="179" t="s">
        <v>428</v>
      </c>
      <c r="RPH111" s="180" t="str">
        <f>VLOOKUP(RPG111,[13]AssetDetails_UEM!$A$3:$AH$1849,6,FALSE)</f>
        <v>Electrosurgical Units, Monopolar/Bipolar</v>
      </c>
      <c r="RPI111" s="179" t="s">
        <v>428</v>
      </c>
      <c r="RPJ111" s="180" t="str">
        <f>VLOOKUP(RPI111,[13]AssetDetails_UEM!$A$3:$AH$1849,6,FALSE)</f>
        <v>Electrosurgical Units, Monopolar/Bipolar</v>
      </c>
      <c r="RPK111" s="179" t="s">
        <v>428</v>
      </c>
      <c r="RPL111" s="180" t="str">
        <f>VLOOKUP(RPK111,[13]AssetDetails_UEM!$A$3:$AH$1849,6,FALSE)</f>
        <v>Electrosurgical Units, Monopolar/Bipolar</v>
      </c>
      <c r="RPM111" s="179" t="s">
        <v>428</v>
      </c>
      <c r="RPN111" s="180" t="str">
        <f>VLOOKUP(RPM111,[13]AssetDetails_UEM!$A$3:$AH$1849,6,FALSE)</f>
        <v>Electrosurgical Units, Monopolar/Bipolar</v>
      </c>
      <c r="RPO111" s="179" t="s">
        <v>428</v>
      </c>
      <c r="RPP111" s="180" t="str">
        <f>VLOOKUP(RPO111,[13]AssetDetails_UEM!$A$3:$AH$1849,6,FALSE)</f>
        <v>Electrosurgical Units, Monopolar/Bipolar</v>
      </c>
      <c r="RPQ111" s="179" t="s">
        <v>428</v>
      </c>
      <c r="RPR111" s="180" t="str">
        <f>VLOOKUP(RPQ111,[13]AssetDetails_UEM!$A$3:$AH$1849,6,FALSE)</f>
        <v>Electrosurgical Units, Monopolar/Bipolar</v>
      </c>
      <c r="RPS111" s="179" t="s">
        <v>428</v>
      </c>
      <c r="RPT111" s="180" t="str">
        <f>VLOOKUP(RPS111,[13]AssetDetails_UEM!$A$3:$AH$1849,6,FALSE)</f>
        <v>Electrosurgical Units, Monopolar/Bipolar</v>
      </c>
      <c r="RPU111" s="179" t="s">
        <v>428</v>
      </c>
      <c r="RPV111" s="180" t="str">
        <f>VLOOKUP(RPU111,[13]AssetDetails_UEM!$A$3:$AH$1849,6,FALSE)</f>
        <v>Electrosurgical Units, Monopolar/Bipolar</v>
      </c>
      <c r="RPW111" s="179" t="s">
        <v>428</v>
      </c>
      <c r="RPX111" s="180" t="str">
        <f>VLOOKUP(RPW111,[13]AssetDetails_UEM!$A$3:$AH$1849,6,FALSE)</f>
        <v>Electrosurgical Units, Monopolar/Bipolar</v>
      </c>
      <c r="RPY111" s="179" t="s">
        <v>428</v>
      </c>
      <c r="RPZ111" s="180" t="str">
        <f>VLOOKUP(RPY111,[13]AssetDetails_UEM!$A$3:$AH$1849,6,FALSE)</f>
        <v>Electrosurgical Units, Monopolar/Bipolar</v>
      </c>
      <c r="RQA111" s="179" t="s">
        <v>428</v>
      </c>
      <c r="RQB111" s="180" t="str">
        <f>VLOOKUP(RQA111,[13]AssetDetails_UEM!$A$3:$AH$1849,6,FALSE)</f>
        <v>Electrosurgical Units, Monopolar/Bipolar</v>
      </c>
      <c r="RQC111" s="179" t="s">
        <v>428</v>
      </c>
      <c r="RQD111" s="180" t="str">
        <f>VLOOKUP(RQC111,[13]AssetDetails_UEM!$A$3:$AH$1849,6,FALSE)</f>
        <v>Electrosurgical Units, Monopolar/Bipolar</v>
      </c>
      <c r="RQE111" s="179" t="s">
        <v>428</v>
      </c>
      <c r="RQF111" s="180" t="str">
        <f>VLOOKUP(RQE111,[13]AssetDetails_UEM!$A$3:$AH$1849,6,FALSE)</f>
        <v>Electrosurgical Units, Monopolar/Bipolar</v>
      </c>
      <c r="RQG111" s="179" t="s">
        <v>428</v>
      </c>
      <c r="RQH111" s="180" t="str">
        <f>VLOOKUP(RQG111,[13]AssetDetails_UEM!$A$3:$AH$1849,6,FALSE)</f>
        <v>Electrosurgical Units, Monopolar/Bipolar</v>
      </c>
      <c r="RQI111" s="179" t="s">
        <v>428</v>
      </c>
      <c r="RQJ111" s="180" t="str">
        <f>VLOOKUP(RQI111,[13]AssetDetails_UEM!$A$3:$AH$1849,6,FALSE)</f>
        <v>Electrosurgical Units, Monopolar/Bipolar</v>
      </c>
      <c r="RQK111" s="179" t="s">
        <v>428</v>
      </c>
      <c r="RQL111" s="180" t="str">
        <f>VLOOKUP(RQK111,[13]AssetDetails_UEM!$A$3:$AH$1849,6,FALSE)</f>
        <v>Electrosurgical Units, Monopolar/Bipolar</v>
      </c>
      <c r="RQM111" s="179" t="s">
        <v>428</v>
      </c>
      <c r="RQN111" s="180" t="str">
        <f>VLOOKUP(RQM111,[13]AssetDetails_UEM!$A$3:$AH$1849,6,FALSE)</f>
        <v>Electrosurgical Units, Monopolar/Bipolar</v>
      </c>
      <c r="RQO111" s="179" t="s">
        <v>428</v>
      </c>
      <c r="RQP111" s="180" t="str">
        <f>VLOOKUP(RQO111,[13]AssetDetails_UEM!$A$3:$AH$1849,6,FALSE)</f>
        <v>Electrosurgical Units, Monopolar/Bipolar</v>
      </c>
      <c r="RQQ111" s="179" t="s">
        <v>428</v>
      </c>
      <c r="RQR111" s="180" t="str">
        <f>VLOOKUP(RQQ111,[13]AssetDetails_UEM!$A$3:$AH$1849,6,FALSE)</f>
        <v>Electrosurgical Units, Monopolar/Bipolar</v>
      </c>
      <c r="RQS111" s="179" t="s">
        <v>428</v>
      </c>
      <c r="RQT111" s="180" t="str">
        <f>VLOOKUP(RQS111,[13]AssetDetails_UEM!$A$3:$AH$1849,6,FALSE)</f>
        <v>Electrosurgical Units, Monopolar/Bipolar</v>
      </c>
      <c r="RQU111" s="179" t="s">
        <v>428</v>
      </c>
      <c r="RQV111" s="180" t="str">
        <f>VLOOKUP(RQU111,[13]AssetDetails_UEM!$A$3:$AH$1849,6,FALSE)</f>
        <v>Electrosurgical Units, Monopolar/Bipolar</v>
      </c>
      <c r="RQW111" s="179" t="s">
        <v>428</v>
      </c>
      <c r="RQX111" s="180" t="str">
        <f>VLOOKUP(RQW111,[13]AssetDetails_UEM!$A$3:$AH$1849,6,FALSE)</f>
        <v>Electrosurgical Units, Monopolar/Bipolar</v>
      </c>
      <c r="RQY111" s="179" t="s">
        <v>428</v>
      </c>
      <c r="RQZ111" s="180" t="str">
        <f>VLOOKUP(RQY111,[13]AssetDetails_UEM!$A$3:$AH$1849,6,FALSE)</f>
        <v>Electrosurgical Units, Monopolar/Bipolar</v>
      </c>
      <c r="RRA111" s="179" t="s">
        <v>428</v>
      </c>
      <c r="RRB111" s="180" t="str">
        <f>VLOOKUP(RRA111,[13]AssetDetails_UEM!$A$3:$AH$1849,6,FALSE)</f>
        <v>Electrosurgical Units, Monopolar/Bipolar</v>
      </c>
      <c r="RRC111" s="179" t="s">
        <v>428</v>
      </c>
      <c r="RRD111" s="180" t="str">
        <f>VLOOKUP(RRC111,[13]AssetDetails_UEM!$A$3:$AH$1849,6,FALSE)</f>
        <v>Electrosurgical Units, Monopolar/Bipolar</v>
      </c>
      <c r="RRE111" s="179" t="s">
        <v>428</v>
      </c>
      <c r="RRF111" s="180" t="str">
        <f>VLOOKUP(RRE111,[13]AssetDetails_UEM!$A$3:$AH$1849,6,FALSE)</f>
        <v>Electrosurgical Units, Monopolar/Bipolar</v>
      </c>
      <c r="RRG111" s="179" t="s">
        <v>428</v>
      </c>
      <c r="RRH111" s="180" t="str">
        <f>VLOOKUP(RRG111,[13]AssetDetails_UEM!$A$3:$AH$1849,6,FALSE)</f>
        <v>Electrosurgical Units, Monopolar/Bipolar</v>
      </c>
      <c r="RRI111" s="179" t="s">
        <v>428</v>
      </c>
      <c r="RRJ111" s="180" t="str">
        <f>VLOOKUP(RRI111,[13]AssetDetails_UEM!$A$3:$AH$1849,6,FALSE)</f>
        <v>Electrosurgical Units, Monopolar/Bipolar</v>
      </c>
      <c r="RRK111" s="179" t="s">
        <v>428</v>
      </c>
      <c r="RRL111" s="180" t="str">
        <f>VLOOKUP(RRK111,[13]AssetDetails_UEM!$A$3:$AH$1849,6,FALSE)</f>
        <v>Electrosurgical Units, Monopolar/Bipolar</v>
      </c>
      <c r="RRM111" s="179" t="s">
        <v>428</v>
      </c>
      <c r="RRN111" s="180" t="str">
        <f>VLOOKUP(RRM111,[13]AssetDetails_UEM!$A$3:$AH$1849,6,FALSE)</f>
        <v>Electrosurgical Units, Monopolar/Bipolar</v>
      </c>
      <c r="RRO111" s="179" t="s">
        <v>428</v>
      </c>
      <c r="RRP111" s="180" t="str">
        <f>VLOOKUP(RRO111,[13]AssetDetails_UEM!$A$3:$AH$1849,6,FALSE)</f>
        <v>Electrosurgical Units, Monopolar/Bipolar</v>
      </c>
      <c r="RRQ111" s="179" t="s">
        <v>428</v>
      </c>
      <c r="RRR111" s="180" t="str">
        <f>VLOOKUP(RRQ111,[13]AssetDetails_UEM!$A$3:$AH$1849,6,FALSE)</f>
        <v>Electrosurgical Units, Monopolar/Bipolar</v>
      </c>
      <c r="RRS111" s="179" t="s">
        <v>428</v>
      </c>
      <c r="RRT111" s="180" t="str">
        <f>VLOOKUP(RRS111,[13]AssetDetails_UEM!$A$3:$AH$1849,6,FALSE)</f>
        <v>Electrosurgical Units, Monopolar/Bipolar</v>
      </c>
      <c r="RRU111" s="179" t="s">
        <v>428</v>
      </c>
      <c r="RRV111" s="180" t="str">
        <f>VLOOKUP(RRU111,[13]AssetDetails_UEM!$A$3:$AH$1849,6,FALSE)</f>
        <v>Electrosurgical Units, Monopolar/Bipolar</v>
      </c>
      <c r="RRW111" s="179" t="s">
        <v>428</v>
      </c>
      <c r="RRX111" s="180" t="str">
        <f>VLOOKUP(RRW111,[13]AssetDetails_UEM!$A$3:$AH$1849,6,FALSE)</f>
        <v>Electrosurgical Units, Monopolar/Bipolar</v>
      </c>
      <c r="RRY111" s="179" t="s">
        <v>428</v>
      </c>
      <c r="RRZ111" s="180" t="str">
        <f>VLOOKUP(RRY111,[13]AssetDetails_UEM!$A$3:$AH$1849,6,FALSE)</f>
        <v>Electrosurgical Units, Monopolar/Bipolar</v>
      </c>
      <c r="RSA111" s="179" t="s">
        <v>428</v>
      </c>
      <c r="RSB111" s="180" t="str">
        <f>VLOOKUP(RSA111,[13]AssetDetails_UEM!$A$3:$AH$1849,6,FALSE)</f>
        <v>Electrosurgical Units, Monopolar/Bipolar</v>
      </c>
      <c r="RSC111" s="179" t="s">
        <v>428</v>
      </c>
      <c r="RSD111" s="180" t="str">
        <f>VLOOKUP(RSC111,[13]AssetDetails_UEM!$A$3:$AH$1849,6,FALSE)</f>
        <v>Electrosurgical Units, Monopolar/Bipolar</v>
      </c>
      <c r="RSE111" s="179" t="s">
        <v>428</v>
      </c>
      <c r="RSF111" s="180" t="str">
        <f>VLOOKUP(RSE111,[13]AssetDetails_UEM!$A$3:$AH$1849,6,FALSE)</f>
        <v>Electrosurgical Units, Monopolar/Bipolar</v>
      </c>
      <c r="RSG111" s="179" t="s">
        <v>428</v>
      </c>
      <c r="RSH111" s="180" t="str">
        <f>VLOOKUP(RSG111,[13]AssetDetails_UEM!$A$3:$AH$1849,6,FALSE)</f>
        <v>Electrosurgical Units, Monopolar/Bipolar</v>
      </c>
      <c r="RSI111" s="179" t="s">
        <v>428</v>
      </c>
      <c r="RSJ111" s="180" t="str">
        <f>VLOOKUP(RSI111,[13]AssetDetails_UEM!$A$3:$AH$1849,6,FALSE)</f>
        <v>Electrosurgical Units, Monopolar/Bipolar</v>
      </c>
      <c r="RSK111" s="179" t="s">
        <v>428</v>
      </c>
      <c r="RSL111" s="180" t="str">
        <f>VLOOKUP(RSK111,[13]AssetDetails_UEM!$A$3:$AH$1849,6,FALSE)</f>
        <v>Electrosurgical Units, Monopolar/Bipolar</v>
      </c>
      <c r="RSM111" s="179" t="s">
        <v>428</v>
      </c>
      <c r="RSN111" s="180" t="str">
        <f>VLOOKUP(RSM111,[13]AssetDetails_UEM!$A$3:$AH$1849,6,FALSE)</f>
        <v>Electrosurgical Units, Monopolar/Bipolar</v>
      </c>
      <c r="RSO111" s="179" t="s">
        <v>428</v>
      </c>
      <c r="RSP111" s="180" t="str">
        <f>VLOOKUP(RSO111,[13]AssetDetails_UEM!$A$3:$AH$1849,6,FALSE)</f>
        <v>Electrosurgical Units, Monopolar/Bipolar</v>
      </c>
      <c r="RSQ111" s="179" t="s">
        <v>428</v>
      </c>
      <c r="RSR111" s="180" t="str">
        <f>VLOOKUP(RSQ111,[13]AssetDetails_UEM!$A$3:$AH$1849,6,FALSE)</f>
        <v>Electrosurgical Units, Monopolar/Bipolar</v>
      </c>
      <c r="RSS111" s="179" t="s">
        <v>428</v>
      </c>
      <c r="RST111" s="180" t="str">
        <f>VLOOKUP(RSS111,[13]AssetDetails_UEM!$A$3:$AH$1849,6,FALSE)</f>
        <v>Electrosurgical Units, Monopolar/Bipolar</v>
      </c>
      <c r="RSU111" s="179" t="s">
        <v>428</v>
      </c>
      <c r="RSV111" s="180" t="str">
        <f>VLOOKUP(RSU111,[13]AssetDetails_UEM!$A$3:$AH$1849,6,FALSE)</f>
        <v>Electrosurgical Units, Monopolar/Bipolar</v>
      </c>
      <c r="RSW111" s="179" t="s">
        <v>428</v>
      </c>
      <c r="RSX111" s="180" t="str">
        <f>VLOOKUP(RSW111,[13]AssetDetails_UEM!$A$3:$AH$1849,6,FALSE)</f>
        <v>Electrosurgical Units, Monopolar/Bipolar</v>
      </c>
      <c r="RSY111" s="179" t="s">
        <v>428</v>
      </c>
      <c r="RSZ111" s="180" t="str">
        <f>VLOOKUP(RSY111,[13]AssetDetails_UEM!$A$3:$AH$1849,6,FALSE)</f>
        <v>Electrosurgical Units, Monopolar/Bipolar</v>
      </c>
      <c r="RTA111" s="179" t="s">
        <v>428</v>
      </c>
      <c r="RTB111" s="180" t="str">
        <f>VLOOKUP(RTA111,[13]AssetDetails_UEM!$A$3:$AH$1849,6,FALSE)</f>
        <v>Electrosurgical Units, Monopolar/Bipolar</v>
      </c>
      <c r="RTC111" s="179" t="s">
        <v>428</v>
      </c>
      <c r="RTD111" s="180" t="str">
        <f>VLOOKUP(RTC111,[13]AssetDetails_UEM!$A$3:$AH$1849,6,FALSE)</f>
        <v>Electrosurgical Units, Monopolar/Bipolar</v>
      </c>
      <c r="RTE111" s="179" t="s">
        <v>428</v>
      </c>
      <c r="RTF111" s="180" t="str">
        <f>VLOOKUP(RTE111,[13]AssetDetails_UEM!$A$3:$AH$1849,6,FALSE)</f>
        <v>Electrosurgical Units, Monopolar/Bipolar</v>
      </c>
      <c r="RTG111" s="179" t="s">
        <v>428</v>
      </c>
      <c r="RTH111" s="180" t="str">
        <f>VLOOKUP(RTG111,[13]AssetDetails_UEM!$A$3:$AH$1849,6,FALSE)</f>
        <v>Electrosurgical Units, Monopolar/Bipolar</v>
      </c>
      <c r="RTI111" s="179" t="s">
        <v>428</v>
      </c>
      <c r="RTJ111" s="180" t="str">
        <f>VLOOKUP(RTI111,[13]AssetDetails_UEM!$A$3:$AH$1849,6,FALSE)</f>
        <v>Electrosurgical Units, Monopolar/Bipolar</v>
      </c>
      <c r="RTK111" s="179" t="s">
        <v>428</v>
      </c>
      <c r="RTL111" s="180" t="str">
        <f>VLOOKUP(RTK111,[13]AssetDetails_UEM!$A$3:$AH$1849,6,FALSE)</f>
        <v>Electrosurgical Units, Monopolar/Bipolar</v>
      </c>
      <c r="RTM111" s="179" t="s">
        <v>428</v>
      </c>
      <c r="RTN111" s="180" t="str">
        <f>VLOOKUP(RTM111,[13]AssetDetails_UEM!$A$3:$AH$1849,6,FALSE)</f>
        <v>Electrosurgical Units, Monopolar/Bipolar</v>
      </c>
      <c r="RTO111" s="179" t="s">
        <v>428</v>
      </c>
      <c r="RTP111" s="180" t="str">
        <f>VLOOKUP(RTO111,[13]AssetDetails_UEM!$A$3:$AH$1849,6,FALSE)</f>
        <v>Electrosurgical Units, Monopolar/Bipolar</v>
      </c>
      <c r="RTQ111" s="179" t="s">
        <v>428</v>
      </c>
      <c r="RTR111" s="180" t="str">
        <f>VLOOKUP(RTQ111,[13]AssetDetails_UEM!$A$3:$AH$1849,6,FALSE)</f>
        <v>Electrosurgical Units, Monopolar/Bipolar</v>
      </c>
      <c r="RTS111" s="179" t="s">
        <v>428</v>
      </c>
      <c r="RTT111" s="180" t="str">
        <f>VLOOKUP(RTS111,[13]AssetDetails_UEM!$A$3:$AH$1849,6,FALSE)</f>
        <v>Electrosurgical Units, Monopolar/Bipolar</v>
      </c>
      <c r="RTU111" s="179" t="s">
        <v>428</v>
      </c>
      <c r="RTV111" s="180" t="str">
        <f>VLOOKUP(RTU111,[13]AssetDetails_UEM!$A$3:$AH$1849,6,FALSE)</f>
        <v>Electrosurgical Units, Monopolar/Bipolar</v>
      </c>
      <c r="RTW111" s="179" t="s">
        <v>428</v>
      </c>
      <c r="RTX111" s="180" t="str">
        <f>VLOOKUP(RTW111,[13]AssetDetails_UEM!$A$3:$AH$1849,6,FALSE)</f>
        <v>Electrosurgical Units, Monopolar/Bipolar</v>
      </c>
      <c r="RTY111" s="179" t="s">
        <v>428</v>
      </c>
      <c r="RTZ111" s="180" t="str">
        <f>VLOOKUP(RTY111,[13]AssetDetails_UEM!$A$3:$AH$1849,6,FALSE)</f>
        <v>Electrosurgical Units, Monopolar/Bipolar</v>
      </c>
      <c r="RUA111" s="179" t="s">
        <v>428</v>
      </c>
      <c r="RUB111" s="180" t="str">
        <f>VLOOKUP(RUA111,[13]AssetDetails_UEM!$A$3:$AH$1849,6,FALSE)</f>
        <v>Electrosurgical Units, Monopolar/Bipolar</v>
      </c>
      <c r="RUC111" s="179" t="s">
        <v>428</v>
      </c>
      <c r="RUD111" s="180" t="str">
        <f>VLOOKUP(RUC111,[13]AssetDetails_UEM!$A$3:$AH$1849,6,FALSE)</f>
        <v>Electrosurgical Units, Monopolar/Bipolar</v>
      </c>
      <c r="RUE111" s="179" t="s">
        <v>428</v>
      </c>
      <c r="RUF111" s="180" t="str">
        <f>VLOOKUP(RUE111,[13]AssetDetails_UEM!$A$3:$AH$1849,6,FALSE)</f>
        <v>Electrosurgical Units, Monopolar/Bipolar</v>
      </c>
      <c r="RUG111" s="179" t="s">
        <v>428</v>
      </c>
      <c r="RUH111" s="180" t="str">
        <f>VLOOKUP(RUG111,[13]AssetDetails_UEM!$A$3:$AH$1849,6,FALSE)</f>
        <v>Electrosurgical Units, Monopolar/Bipolar</v>
      </c>
      <c r="RUI111" s="179" t="s">
        <v>428</v>
      </c>
      <c r="RUJ111" s="180" t="str">
        <f>VLOOKUP(RUI111,[13]AssetDetails_UEM!$A$3:$AH$1849,6,FALSE)</f>
        <v>Electrosurgical Units, Monopolar/Bipolar</v>
      </c>
      <c r="RUK111" s="179" t="s">
        <v>428</v>
      </c>
      <c r="RUL111" s="180" t="str">
        <f>VLOOKUP(RUK111,[13]AssetDetails_UEM!$A$3:$AH$1849,6,FALSE)</f>
        <v>Electrosurgical Units, Monopolar/Bipolar</v>
      </c>
      <c r="RUM111" s="179" t="s">
        <v>428</v>
      </c>
      <c r="RUN111" s="180" t="str">
        <f>VLOOKUP(RUM111,[13]AssetDetails_UEM!$A$3:$AH$1849,6,FALSE)</f>
        <v>Electrosurgical Units, Monopolar/Bipolar</v>
      </c>
      <c r="RUO111" s="179" t="s">
        <v>428</v>
      </c>
      <c r="RUP111" s="180" t="str">
        <f>VLOOKUP(RUO111,[13]AssetDetails_UEM!$A$3:$AH$1849,6,FALSE)</f>
        <v>Electrosurgical Units, Monopolar/Bipolar</v>
      </c>
      <c r="RUQ111" s="179" t="s">
        <v>428</v>
      </c>
      <c r="RUR111" s="180" t="str">
        <f>VLOOKUP(RUQ111,[13]AssetDetails_UEM!$A$3:$AH$1849,6,FALSE)</f>
        <v>Electrosurgical Units, Monopolar/Bipolar</v>
      </c>
      <c r="RUS111" s="179" t="s">
        <v>428</v>
      </c>
      <c r="RUT111" s="180" t="str">
        <f>VLOOKUP(RUS111,[13]AssetDetails_UEM!$A$3:$AH$1849,6,FALSE)</f>
        <v>Electrosurgical Units, Monopolar/Bipolar</v>
      </c>
      <c r="RUU111" s="179" t="s">
        <v>428</v>
      </c>
      <c r="RUV111" s="180" t="str">
        <f>VLOOKUP(RUU111,[13]AssetDetails_UEM!$A$3:$AH$1849,6,FALSE)</f>
        <v>Electrosurgical Units, Monopolar/Bipolar</v>
      </c>
      <c r="RUW111" s="179" t="s">
        <v>428</v>
      </c>
      <c r="RUX111" s="180" t="str">
        <f>VLOOKUP(RUW111,[13]AssetDetails_UEM!$A$3:$AH$1849,6,FALSE)</f>
        <v>Electrosurgical Units, Monopolar/Bipolar</v>
      </c>
      <c r="RUY111" s="179" t="s">
        <v>428</v>
      </c>
      <c r="RUZ111" s="180" t="str">
        <f>VLOOKUP(RUY111,[13]AssetDetails_UEM!$A$3:$AH$1849,6,FALSE)</f>
        <v>Electrosurgical Units, Monopolar/Bipolar</v>
      </c>
      <c r="RVA111" s="179" t="s">
        <v>428</v>
      </c>
      <c r="RVB111" s="180" t="str">
        <f>VLOOKUP(RVA111,[13]AssetDetails_UEM!$A$3:$AH$1849,6,FALSE)</f>
        <v>Electrosurgical Units, Monopolar/Bipolar</v>
      </c>
      <c r="RVC111" s="179" t="s">
        <v>428</v>
      </c>
      <c r="RVD111" s="180" t="str">
        <f>VLOOKUP(RVC111,[13]AssetDetails_UEM!$A$3:$AH$1849,6,FALSE)</f>
        <v>Electrosurgical Units, Monopolar/Bipolar</v>
      </c>
      <c r="RVE111" s="179" t="s">
        <v>428</v>
      </c>
      <c r="RVF111" s="180" t="str">
        <f>VLOOKUP(RVE111,[13]AssetDetails_UEM!$A$3:$AH$1849,6,FALSE)</f>
        <v>Electrosurgical Units, Monopolar/Bipolar</v>
      </c>
      <c r="RVG111" s="179" t="s">
        <v>428</v>
      </c>
      <c r="RVH111" s="180" t="str">
        <f>VLOOKUP(RVG111,[13]AssetDetails_UEM!$A$3:$AH$1849,6,FALSE)</f>
        <v>Electrosurgical Units, Monopolar/Bipolar</v>
      </c>
      <c r="RVI111" s="179" t="s">
        <v>428</v>
      </c>
      <c r="RVJ111" s="180" t="str">
        <f>VLOOKUP(RVI111,[13]AssetDetails_UEM!$A$3:$AH$1849,6,FALSE)</f>
        <v>Electrosurgical Units, Monopolar/Bipolar</v>
      </c>
      <c r="RVK111" s="179" t="s">
        <v>428</v>
      </c>
      <c r="RVL111" s="180" t="str">
        <f>VLOOKUP(RVK111,[13]AssetDetails_UEM!$A$3:$AH$1849,6,FALSE)</f>
        <v>Electrosurgical Units, Monopolar/Bipolar</v>
      </c>
      <c r="RVM111" s="179" t="s">
        <v>428</v>
      </c>
      <c r="RVN111" s="180" t="str">
        <f>VLOOKUP(RVM111,[13]AssetDetails_UEM!$A$3:$AH$1849,6,FALSE)</f>
        <v>Electrosurgical Units, Monopolar/Bipolar</v>
      </c>
      <c r="RVO111" s="179" t="s">
        <v>428</v>
      </c>
      <c r="RVP111" s="180" t="str">
        <f>VLOOKUP(RVO111,[13]AssetDetails_UEM!$A$3:$AH$1849,6,FALSE)</f>
        <v>Electrosurgical Units, Monopolar/Bipolar</v>
      </c>
      <c r="RVQ111" s="179" t="s">
        <v>428</v>
      </c>
      <c r="RVR111" s="180" t="str">
        <f>VLOOKUP(RVQ111,[13]AssetDetails_UEM!$A$3:$AH$1849,6,FALSE)</f>
        <v>Electrosurgical Units, Monopolar/Bipolar</v>
      </c>
      <c r="RVS111" s="179" t="s">
        <v>428</v>
      </c>
      <c r="RVT111" s="180" t="str">
        <f>VLOOKUP(RVS111,[13]AssetDetails_UEM!$A$3:$AH$1849,6,FALSE)</f>
        <v>Electrosurgical Units, Monopolar/Bipolar</v>
      </c>
      <c r="RVU111" s="179" t="s">
        <v>428</v>
      </c>
      <c r="RVV111" s="180" t="str">
        <f>VLOOKUP(RVU111,[13]AssetDetails_UEM!$A$3:$AH$1849,6,FALSE)</f>
        <v>Electrosurgical Units, Monopolar/Bipolar</v>
      </c>
      <c r="RVW111" s="179" t="s">
        <v>428</v>
      </c>
      <c r="RVX111" s="180" t="str">
        <f>VLOOKUP(RVW111,[13]AssetDetails_UEM!$A$3:$AH$1849,6,FALSE)</f>
        <v>Electrosurgical Units, Monopolar/Bipolar</v>
      </c>
      <c r="RVY111" s="179" t="s">
        <v>428</v>
      </c>
      <c r="RVZ111" s="180" t="str">
        <f>VLOOKUP(RVY111,[13]AssetDetails_UEM!$A$3:$AH$1849,6,FALSE)</f>
        <v>Electrosurgical Units, Monopolar/Bipolar</v>
      </c>
      <c r="RWA111" s="179" t="s">
        <v>428</v>
      </c>
      <c r="RWB111" s="180" t="str">
        <f>VLOOKUP(RWA111,[13]AssetDetails_UEM!$A$3:$AH$1849,6,FALSE)</f>
        <v>Electrosurgical Units, Monopolar/Bipolar</v>
      </c>
      <c r="RWC111" s="179" t="s">
        <v>428</v>
      </c>
      <c r="RWD111" s="180" t="str">
        <f>VLOOKUP(RWC111,[13]AssetDetails_UEM!$A$3:$AH$1849,6,FALSE)</f>
        <v>Electrosurgical Units, Monopolar/Bipolar</v>
      </c>
      <c r="RWE111" s="179" t="s">
        <v>428</v>
      </c>
      <c r="RWF111" s="180" t="str">
        <f>VLOOKUP(RWE111,[13]AssetDetails_UEM!$A$3:$AH$1849,6,FALSE)</f>
        <v>Electrosurgical Units, Monopolar/Bipolar</v>
      </c>
      <c r="RWG111" s="179" t="s">
        <v>428</v>
      </c>
      <c r="RWH111" s="180" t="str">
        <f>VLOOKUP(RWG111,[13]AssetDetails_UEM!$A$3:$AH$1849,6,FALSE)</f>
        <v>Electrosurgical Units, Monopolar/Bipolar</v>
      </c>
      <c r="RWI111" s="179" t="s">
        <v>428</v>
      </c>
      <c r="RWJ111" s="180" t="str">
        <f>VLOOKUP(RWI111,[13]AssetDetails_UEM!$A$3:$AH$1849,6,FALSE)</f>
        <v>Electrosurgical Units, Monopolar/Bipolar</v>
      </c>
      <c r="RWK111" s="179" t="s">
        <v>428</v>
      </c>
      <c r="RWL111" s="180" t="str">
        <f>VLOOKUP(RWK111,[13]AssetDetails_UEM!$A$3:$AH$1849,6,FALSE)</f>
        <v>Electrosurgical Units, Monopolar/Bipolar</v>
      </c>
      <c r="RWM111" s="179" t="s">
        <v>428</v>
      </c>
      <c r="RWN111" s="180" t="str">
        <f>VLOOKUP(RWM111,[13]AssetDetails_UEM!$A$3:$AH$1849,6,FALSE)</f>
        <v>Electrosurgical Units, Monopolar/Bipolar</v>
      </c>
      <c r="RWO111" s="179" t="s">
        <v>428</v>
      </c>
      <c r="RWP111" s="180" t="str">
        <f>VLOOKUP(RWO111,[13]AssetDetails_UEM!$A$3:$AH$1849,6,FALSE)</f>
        <v>Electrosurgical Units, Monopolar/Bipolar</v>
      </c>
      <c r="RWQ111" s="179" t="s">
        <v>428</v>
      </c>
      <c r="RWR111" s="180" t="str">
        <f>VLOOKUP(RWQ111,[13]AssetDetails_UEM!$A$3:$AH$1849,6,FALSE)</f>
        <v>Electrosurgical Units, Monopolar/Bipolar</v>
      </c>
      <c r="RWS111" s="179" t="s">
        <v>428</v>
      </c>
      <c r="RWT111" s="180" t="str">
        <f>VLOOKUP(RWS111,[13]AssetDetails_UEM!$A$3:$AH$1849,6,FALSE)</f>
        <v>Electrosurgical Units, Monopolar/Bipolar</v>
      </c>
      <c r="RWU111" s="179" t="s">
        <v>428</v>
      </c>
      <c r="RWV111" s="180" t="str">
        <f>VLOOKUP(RWU111,[13]AssetDetails_UEM!$A$3:$AH$1849,6,FALSE)</f>
        <v>Electrosurgical Units, Monopolar/Bipolar</v>
      </c>
      <c r="RWW111" s="179" t="s">
        <v>428</v>
      </c>
      <c r="RWX111" s="180" t="str">
        <f>VLOOKUP(RWW111,[13]AssetDetails_UEM!$A$3:$AH$1849,6,FALSE)</f>
        <v>Electrosurgical Units, Monopolar/Bipolar</v>
      </c>
      <c r="RWY111" s="179" t="s">
        <v>428</v>
      </c>
      <c r="RWZ111" s="180" t="str">
        <f>VLOOKUP(RWY111,[13]AssetDetails_UEM!$A$3:$AH$1849,6,FALSE)</f>
        <v>Electrosurgical Units, Monopolar/Bipolar</v>
      </c>
      <c r="RXA111" s="179" t="s">
        <v>428</v>
      </c>
      <c r="RXB111" s="180" t="str">
        <f>VLOOKUP(RXA111,[13]AssetDetails_UEM!$A$3:$AH$1849,6,FALSE)</f>
        <v>Electrosurgical Units, Monopolar/Bipolar</v>
      </c>
      <c r="RXC111" s="179" t="s">
        <v>428</v>
      </c>
      <c r="RXD111" s="180" t="str">
        <f>VLOOKUP(RXC111,[13]AssetDetails_UEM!$A$3:$AH$1849,6,FALSE)</f>
        <v>Electrosurgical Units, Monopolar/Bipolar</v>
      </c>
      <c r="RXE111" s="179" t="s">
        <v>428</v>
      </c>
      <c r="RXF111" s="180" t="str">
        <f>VLOOKUP(RXE111,[13]AssetDetails_UEM!$A$3:$AH$1849,6,FALSE)</f>
        <v>Electrosurgical Units, Monopolar/Bipolar</v>
      </c>
      <c r="RXG111" s="179" t="s">
        <v>428</v>
      </c>
      <c r="RXH111" s="180" t="str">
        <f>VLOOKUP(RXG111,[13]AssetDetails_UEM!$A$3:$AH$1849,6,FALSE)</f>
        <v>Electrosurgical Units, Monopolar/Bipolar</v>
      </c>
      <c r="RXI111" s="179" t="s">
        <v>428</v>
      </c>
      <c r="RXJ111" s="180" t="str">
        <f>VLOOKUP(RXI111,[13]AssetDetails_UEM!$A$3:$AH$1849,6,FALSE)</f>
        <v>Electrosurgical Units, Monopolar/Bipolar</v>
      </c>
      <c r="RXK111" s="179" t="s">
        <v>428</v>
      </c>
      <c r="RXL111" s="180" t="str">
        <f>VLOOKUP(RXK111,[13]AssetDetails_UEM!$A$3:$AH$1849,6,FALSE)</f>
        <v>Electrosurgical Units, Monopolar/Bipolar</v>
      </c>
      <c r="RXM111" s="179" t="s">
        <v>428</v>
      </c>
      <c r="RXN111" s="180" t="str">
        <f>VLOOKUP(RXM111,[13]AssetDetails_UEM!$A$3:$AH$1849,6,FALSE)</f>
        <v>Electrosurgical Units, Monopolar/Bipolar</v>
      </c>
      <c r="RXO111" s="179" t="s">
        <v>428</v>
      </c>
      <c r="RXP111" s="180" t="str">
        <f>VLOOKUP(RXO111,[13]AssetDetails_UEM!$A$3:$AH$1849,6,FALSE)</f>
        <v>Electrosurgical Units, Monopolar/Bipolar</v>
      </c>
      <c r="RXQ111" s="179" t="s">
        <v>428</v>
      </c>
      <c r="RXR111" s="180" t="str">
        <f>VLOOKUP(RXQ111,[13]AssetDetails_UEM!$A$3:$AH$1849,6,FALSE)</f>
        <v>Electrosurgical Units, Monopolar/Bipolar</v>
      </c>
      <c r="RXS111" s="179" t="s">
        <v>428</v>
      </c>
      <c r="RXT111" s="180" t="str">
        <f>VLOOKUP(RXS111,[13]AssetDetails_UEM!$A$3:$AH$1849,6,FALSE)</f>
        <v>Electrosurgical Units, Monopolar/Bipolar</v>
      </c>
      <c r="RXU111" s="179" t="s">
        <v>428</v>
      </c>
      <c r="RXV111" s="180" t="str">
        <f>VLOOKUP(RXU111,[13]AssetDetails_UEM!$A$3:$AH$1849,6,FALSE)</f>
        <v>Electrosurgical Units, Monopolar/Bipolar</v>
      </c>
      <c r="RXW111" s="179" t="s">
        <v>428</v>
      </c>
      <c r="RXX111" s="180" t="str">
        <f>VLOOKUP(RXW111,[13]AssetDetails_UEM!$A$3:$AH$1849,6,FALSE)</f>
        <v>Electrosurgical Units, Monopolar/Bipolar</v>
      </c>
      <c r="RXY111" s="179" t="s">
        <v>428</v>
      </c>
      <c r="RXZ111" s="180" t="str">
        <f>VLOOKUP(RXY111,[13]AssetDetails_UEM!$A$3:$AH$1849,6,FALSE)</f>
        <v>Electrosurgical Units, Monopolar/Bipolar</v>
      </c>
      <c r="RYA111" s="179" t="s">
        <v>428</v>
      </c>
      <c r="RYB111" s="180" t="str">
        <f>VLOOKUP(RYA111,[13]AssetDetails_UEM!$A$3:$AH$1849,6,FALSE)</f>
        <v>Electrosurgical Units, Monopolar/Bipolar</v>
      </c>
      <c r="RYC111" s="179" t="s">
        <v>428</v>
      </c>
      <c r="RYD111" s="180" t="str">
        <f>VLOOKUP(RYC111,[13]AssetDetails_UEM!$A$3:$AH$1849,6,FALSE)</f>
        <v>Electrosurgical Units, Monopolar/Bipolar</v>
      </c>
      <c r="RYE111" s="179" t="s">
        <v>428</v>
      </c>
      <c r="RYF111" s="180" t="str">
        <f>VLOOKUP(RYE111,[13]AssetDetails_UEM!$A$3:$AH$1849,6,FALSE)</f>
        <v>Electrosurgical Units, Monopolar/Bipolar</v>
      </c>
      <c r="RYG111" s="179" t="s">
        <v>428</v>
      </c>
      <c r="RYH111" s="180" t="str">
        <f>VLOOKUP(RYG111,[13]AssetDetails_UEM!$A$3:$AH$1849,6,FALSE)</f>
        <v>Electrosurgical Units, Monopolar/Bipolar</v>
      </c>
      <c r="RYI111" s="179" t="s">
        <v>428</v>
      </c>
      <c r="RYJ111" s="180" t="str">
        <f>VLOOKUP(RYI111,[13]AssetDetails_UEM!$A$3:$AH$1849,6,FALSE)</f>
        <v>Electrosurgical Units, Monopolar/Bipolar</v>
      </c>
      <c r="RYK111" s="179" t="s">
        <v>428</v>
      </c>
      <c r="RYL111" s="180" t="str">
        <f>VLOOKUP(RYK111,[13]AssetDetails_UEM!$A$3:$AH$1849,6,FALSE)</f>
        <v>Electrosurgical Units, Monopolar/Bipolar</v>
      </c>
      <c r="RYM111" s="179" t="s">
        <v>428</v>
      </c>
      <c r="RYN111" s="180" t="str">
        <f>VLOOKUP(RYM111,[13]AssetDetails_UEM!$A$3:$AH$1849,6,FALSE)</f>
        <v>Electrosurgical Units, Monopolar/Bipolar</v>
      </c>
      <c r="RYO111" s="179" t="s">
        <v>428</v>
      </c>
      <c r="RYP111" s="180" t="str">
        <f>VLOOKUP(RYO111,[13]AssetDetails_UEM!$A$3:$AH$1849,6,FALSE)</f>
        <v>Electrosurgical Units, Monopolar/Bipolar</v>
      </c>
      <c r="RYQ111" s="179" t="s">
        <v>428</v>
      </c>
      <c r="RYR111" s="180" t="str">
        <f>VLOOKUP(RYQ111,[13]AssetDetails_UEM!$A$3:$AH$1849,6,FALSE)</f>
        <v>Electrosurgical Units, Monopolar/Bipolar</v>
      </c>
      <c r="RYS111" s="179" t="s">
        <v>428</v>
      </c>
      <c r="RYT111" s="180" t="str">
        <f>VLOOKUP(RYS111,[13]AssetDetails_UEM!$A$3:$AH$1849,6,FALSE)</f>
        <v>Electrosurgical Units, Monopolar/Bipolar</v>
      </c>
      <c r="RYU111" s="179" t="s">
        <v>428</v>
      </c>
      <c r="RYV111" s="180" t="str">
        <f>VLOOKUP(RYU111,[13]AssetDetails_UEM!$A$3:$AH$1849,6,FALSE)</f>
        <v>Electrosurgical Units, Monopolar/Bipolar</v>
      </c>
      <c r="RYW111" s="179" t="s">
        <v>428</v>
      </c>
      <c r="RYX111" s="180" t="str">
        <f>VLOOKUP(RYW111,[13]AssetDetails_UEM!$A$3:$AH$1849,6,FALSE)</f>
        <v>Electrosurgical Units, Monopolar/Bipolar</v>
      </c>
      <c r="RYY111" s="179" t="s">
        <v>428</v>
      </c>
      <c r="RYZ111" s="180" t="str">
        <f>VLOOKUP(RYY111,[13]AssetDetails_UEM!$A$3:$AH$1849,6,FALSE)</f>
        <v>Electrosurgical Units, Monopolar/Bipolar</v>
      </c>
      <c r="RZA111" s="179" t="s">
        <v>428</v>
      </c>
      <c r="RZB111" s="180" t="str">
        <f>VLOOKUP(RZA111,[13]AssetDetails_UEM!$A$3:$AH$1849,6,FALSE)</f>
        <v>Electrosurgical Units, Monopolar/Bipolar</v>
      </c>
      <c r="RZC111" s="179" t="s">
        <v>428</v>
      </c>
      <c r="RZD111" s="180" t="str">
        <f>VLOOKUP(RZC111,[13]AssetDetails_UEM!$A$3:$AH$1849,6,FALSE)</f>
        <v>Electrosurgical Units, Monopolar/Bipolar</v>
      </c>
      <c r="RZE111" s="179" t="s">
        <v>428</v>
      </c>
      <c r="RZF111" s="180" t="str">
        <f>VLOOKUP(RZE111,[13]AssetDetails_UEM!$A$3:$AH$1849,6,FALSE)</f>
        <v>Electrosurgical Units, Monopolar/Bipolar</v>
      </c>
      <c r="RZG111" s="179" t="s">
        <v>428</v>
      </c>
      <c r="RZH111" s="180" t="str">
        <f>VLOOKUP(RZG111,[13]AssetDetails_UEM!$A$3:$AH$1849,6,FALSE)</f>
        <v>Electrosurgical Units, Monopolar/Bipolar</v>
      </c>
      <c r="RZI111" s="179" t="s">
        <v>428</v>
      </c>
      <c r="RZJ111" s="180" t="str">
        <f>VLOOKUP(RZI111,[13]AssetDetails_UEM!$A$3:$AH$1849,6,FALSE)</f>
        <v>Electrosurgical Units, Monopolar/Bipolar</v>
      </c>
      <c r="RZK111" s="179" t="s">
        <v>428</v>
      </c>
      <c r="RZL111" s="180" t="str">
        <f>VLOOKUP(RZK111,[13]AssetDetails_UEM!$A$3:$AH$1849,6,FALSE)</f>
        <v>Electrosurgical Units, Monopolar/Bipolar</v>
      </c>
      <c r="RZM111" s="179" t="s">
        <v>428</v>
      </c>
      <c r="RZN111" s="180" t="str">
        <f>VLOOKUP(RZM111,[13]AssetDetails_UEM!$A$3:$AH$1849,6,FALSE)</f>
        <v>Electrosurgical Units, Monopolar/Bipolar</v>
      </c>
      <c r="RZO111" s="179" t="s">
        <v>428</v>
      </c>
      <c r="RZP111" s="180" t="str">
        <f>VLOOKUP(RZO111,[13]AssetDetails_UEM!$A$3:$AH$1849,6,FALSE)</f>
        <v>Electrosurgical Units, Monopolar/Bipolar</v>
      </c>
      <c r="RZQ111" s="179" t="s">
        <v>428</v>
      </c>
      <c r="RZR111" s="180" t="str">
        <f>VLOOKUP(RZQ111,[13]AssetDetails_UEM!$A$3:$AH$1849,6,FALSE)</f>
        <v>Electrosurgical Units, Monopolar/Bipolar</v>
      </c>
      <c r="RZS111" s="179" t="s">
        <v>428</v>
      </c>
      <c r="RZT111" s="180" t="str">
        <f>VLOOKUP(RZS111,[13]AssetDetails_UEM!$A$3:$AH$1849,6,FALSE)</f>
        <v>Electrosurgical Units, Monopolar/Bipolar</v>
      </c>
      <c r="RZU111" s="179" t="s">
        <v>428</v>
      </c>
      <c r="RZV111" s="180" t="str">
        <f>VLOOKUP(RZU111,[13]AssetDetails_UEM!$A$3:$AH$1849,6,FALSE)</f>
        <v>Electrosurgical Units, Monopolar/Bipolar</v>
      </c>
      <c r="RZW111" s="179" t="s">
        <v>428</v>
      </c>
      <c r="RZX111" s="180" t="str">
        <f>VLOOKUP(RZW111,[13]AssetDetails_UEM!$A$3:$AH$1849,6,FALSE)</f>
        <v>Electrosurgical Units, Monopolar/Bipolar</v>
      </c>
      <c r="RZY111" s="179" t="s">
        <v>428</v>
      </c>
      <c r="RZZ111" s="180" t="str">
        <f>VLOOKUP(RZY111,[13]AssetDetails_UEM!$A$3:$AH$1849,6,FALSE)</f>
        <v>Electrosurgical Units, Monopolar/Bipolar</v>
      </c>
      <c r="SAA111" s="179" t="s">
        <v>428</v>
      </c>
      <c r="SAB111" s="180" t="str">
        <f>VLOOKUP(SAA111,[13]AssetDetails_UEM!$A$3:$AH$1849,6,FALSE)</f>
        <v>Electrosurgical Units, Monopolar/Bipolar</v>
      </c>
      <c r="SAC111" s="179" t="s">
        <v>428</v>
      </c>
      <c r="SAD111" s="180" t="str">
        <f>VLOOKUP(SAC111,[13]AssetDetails_UEM!$A$3:$AH$1849,6,FALSE)</f>
        <v>Electrosurgical Units, Monopolar/Bipolar</v>
      </c>
      <c r="SAE111" s="179" t="s">
        <v>428</v>
      </c>
      <c r="SAF111" s="180" t="str">
        <f>VLOOKUP(SAE111,[13]AssetDetails_UEM!$A$3:$AH$1849,6,FALSE)</f>
        <v>Electrosurgical Units, Monopolar/Bipolar</v>
      </c>
      <c r="SAG111" s="179" t="s">
        <v>428</v>
      </c>
      <c r="SAH111" s="180" t="str">
        <f>VLOOKUP(SAG111,[13]AssetDetails_UEM!$A$3:$AH$1849,6,FALSE)</f>
        <v>Electrosurgical Units, Monopolar/Bipolar</v>
      </c>
      <c r="SAI111" s="179" t="s">
        <v>428</v>
      </c>
      <c r="SAJ111" s="180" t="str">
        <f>VLOOKUP(SAI111,[13]AssetDetails_UEM!$A$3:$AH$1849,6,FALSE)</f>
        <v>Electrosurgical Units, Monopolar/Bipolar</v>
      </c>
      <c r="SAK111" s="179" t="s">
        <v>428</v>
      </c>
      <c r="SAL111" s="180" t="str">
        <f>VLOOKUP(SAK111,[13]AssetDetails_UEM!$A$3:$AH$1849,6,FALSE)</f>
        <v>Electrosurgical Units, Monopolar/Bipolar</v>
      </c>
      <c r="SAM111" s="179" t="s">
        <v>428</v>
      </c>
      <c r="SAN111" s="180" t="str">
        <f>VLOOKUP(SAM111,[13]AssetDetails_UEM!$A$3:$AH$1849,6,FALSE)</f>
        <v>Electrosurgical Units, Monopolar/Bipolar</v>
      </c>
      <c r="SAO111" s="179" t="s">
        <v>428</v>
      </c>
      <c r="SAP111" s="180" t="str">
        <f>VLOOKUP(SAO111,[13]AssetDetails_UEM!$A$3:$AH$1849,6,FALSE)</f>
        <v>Electrosurgical Units, Monopolar/Bipolar</v>
      </c>
      <c r="SAQ111" s="179" t="s">
        <v>428</v>
      </c>
      <c r="SAR111" s="180" t="str">
        <f>VLOOKUP(SAQ111,[13]AssetDetails_UEM!$A$3:$AH$1849,6,FALSE)</f>
        <v>Electrosurgical Units, Monopolar/Bipolar</v>
      </c>
      <c r="SAS111" s="179" t="s">
        <v>428</v>
      </c>
      <c r="SAT111" s="180" t="str">
        <f>VLOOKUP(SAS111,[13]AssetDetails_UEM!$A$3:$AH$1849,6,FALSE)</f>
        <v>Electrosurgical Units, Monopolar/Bipolar</v>
      </c>
      <c r="SAU111" s="179" t="s">
        <v>428</v>
      </c>
      <c r="SAV111" s="180" t="str">
        <f>VLOOKUP(SAU111,[13]AssetDetails_UEM!$A$3:$AH$1849,6,FALSE)</f>
        <v>Electrosurgical Units, Monopolar/Bipolar</v>
      </c>
      <c r="SAW111" s="179" t="s">
        <v>428</v>
      </c>
      <c r="SAX111" s="180" t="str">
        <f>VLOOKUP(SAW111,[13]AssetDetails_UEM!$A$3:$AH$1849,6,FALSE)</f>
        <v>Electrosurgical Units, Monopolar/Bipolar</v>
      </c>
      <c r="SAY111" s="179" t="s">
        <v>428</v>
      </c>
      <c r="SAZ111" s="180" t="str">
        <f>VLOOKUP(SAY111,[13]AssetDetails_UEM!$A$3:$AH$1849,6,FALSE)</f>
        <v>Electrosurgical Units, Monopolar/Bipolar</v>
      </c>
      <c r="SBA111" s="179" t="s">
        <v>428</v>
      </c>
      <c r="SBB111" s="180" t="str">
        <f>VLOOKUP(SBA111,[13]AssetDetails_UEM!$A$3:$AH$1849,6,FALSE)</f>
        <v>Electrosurgical Units, Monopolar/Bipolar</v>
      </c>
      <c r="SBC111" s="179" t="s">
        <v>428</v>
      </c>
      <c r="SBD111" s="180" t="str">
        <f>VLOOKUP(SBC111,[13]AssetDetails_UEM!$A$3:$AH$1849,6,FALSE)</f>
        <v>Electrosurgical Units, Monopolar/Bipolar</v>
      </c>
      <c r="SBE111" s="179" t="s">
        <v>428</v>
      </c>
      <c r="SBF111" s="180" t="str">
        <f>VLOOKUP(SBE111,[13]AssetDetails_UEM!$A$3:$AH$1849,6,FALSE)</f>
        <v>Electrosurgical Units, Monopolar/Bipolar</v>
      </c>
      <c r="SBG111" s="179" t="s">
        <v>428</v>
      </c>
      <c r="SBH111" s="180" t="str">
        <f>VLOOKUP(SBG111,[13]AssetDetails_UEM!$A$3:$AH$1849,6,FALSE)</f>
        <v>Electrosurgical Units, Monopolar/Bipolar</v>
      </c>
      <c r="SBI111" s="179" t="s">
        <v>428</v>
      </c>
      <c r="SBJ111" s="180" t="str">
        <f>VLOOKUP(SBI111,[13]AssetDetails_UEM!$A$3:$AH$1849,6,FALSE)</f>
        <v>Electrosurgical Units, Monopolar/Bipolar</v>
      </c>
      <c r="SBK111" s="179" t="s">
        <v>428</v>
      </c>
      <c r="SBL111" s="180" t="str">
        <f>VLOOKUP(SBK111,[13]AssetDetails_UEM!$A$3:$AH$1849,6,FALSE)</f>
        <v>Electrosurgical Units, Monopolar/Bipolar</v>
      </c>
      <c r="SBM111" s="179" t="s">
        <v>428</v>
      </c>
      <c r="SBN111" s="180" t="str">
        <f>VLOOKUP(SBM111,[13]AssetDetails_UEM!$A$3:$AH$1849,6,FALSE)</f>
        <v>Electrosurgical Units, Monopolar/Bipolar</v>
      </c>
      <c r="SBO111" s="179" t="s">
        <v>428</v>
      </c>
      <c r="SBP111" s="180" t="str">
        <f>VLOOKUP(SBO111,[13]AssetDetails_UEM!$A$3:$AH$1849,6,FALSE)</f>
        <v>Electrosurgical Units, Monopolar/Bipolar</v>
      </c>
      <c r="SBQ111" s="179" t="s">
        <v>428</v>
      </c>
      <c r="SBR111" s="180" t="str">
        <f>VLOOKUP(SBQ111,[13]AssetDetails_UEM!$A$3:$AH$1849,6,FALSE)</f>
        <v>Electrosurgical Units, Monopolar/Bipolar</v>
      </c>
      <c r="SBS111" s="179" t="s">
        <v>428</v>
      </c>
      <c r="SBT111" s="180" t="str">
        <f>VLOOKUP(SBS111,[13]AssetDetails_UEM!$A$3:$AH$1849,6,FALSE)</f>
        <v>Electrosurgical Units, Monopolar/Bipolar</v>
      </c>
      <c r="SBU111" s="179" t="s">
        <v>428</v>
      </c>
      <c r="SBV111" s="180" t="str">
        <f>VLOOKUP(SBU111,[13]AssetDetails_UEM!$A$3:$AH$1849,6,FALSE)</f>
        <v>Electrosurgical Units, Monopolar/Bipolar</v>
      </c>
      <c r="SBW111" s="179" t="s">
        <v>428</v>
      </c>
      <c r="SBX111" s="180" t="str">
        <f>VLOOKUP(SBW111,[13]AssetDetails_UEM!$A$3:$AH$1849,6,FALSE)</f>
        <v>Electrosurgical Units, Monopolar/Bipolar</v>
      </c>
      <c r="SBY111" s="179" t="s">
        <v>428</v>
      </c>
      <c r="SBZ111" s="180" t="str">
        <f>VLOOKUP(SBY111,[13]AssetDetails_UEM!$A$3:$AH$1849,6,FALSE)</f>
        <v>Electrosurgical Units, Monopolar/Bipolar</v>
      </c>
      <c r="SCA111" s="179" t="s">
        <v>428</v>
      </c>
      <c r="SCB111" s="180" t="str">
        <f>VLOOKUP(SCA111,[13]AssetDetails_UEM!$A$3:$AH$1849,6,FALSE)</f>
        <v>Electrosurgical Units, Monopolar/Bipolar</v>
      </c>
      <c r="SCC111" s="179" t="s">
        <v>428</v>
      </c>
      <c r="SCD111" s="180" t="str">
        <f>VLOOKUP(SCC111,[13]AssetDetails_UEM!$A$3:$AH$1849,6,FALSE)</f>
        <v>Electrosurgical Units, Monopolar/Bipolar</v>
      </c>
      <c r="SCE111" s="179" t="s">
        <v>428</v>
      </c>
      <c r="SCF111" s="180" t="str">
        <f>VLOOKUP(SCE111,[13]AssetDetails_UEM!$A$3:$AH$1849,6,FALSE)</f>
        <v>Electrosurgical Units, Monopolar/Bipolar</v>
      </c>
      <c r="SCG111" s="179" t="s">
        <v>428</v>
      </c>
      <c r="SCH111" s="180" t="str">
        <f>VLOOKUP(SCG111,[13]AssetDetails_UEM!$A$3:$AH$1849,6,FALSE)</f>
        <v>Electrosurgical Units, Monopolar/Bipolar</v>
      </c>
      <c r="SCI111" s="179" t="s">
        <v>428</v>
      </c>
      <c r="SCJ111" s="180" t="str">
        <f>VLOOKUP(SCI111,[13]AssetDetails_UEM!$A$3:$AH$1849,6,FALSE)</f>
        <v>Electrosurgical Units, Monopolar/Bipolar</v>
      </c>
      <c r="SCK111" s="179" t="s">
        <v>428</v>
      </c>
      <c r="SCL111" s="180" t="str">
        <f>VLOOKUP(SCK111,[13]AssetDetails_UEM!$A$3:$AH$1849,6,FALSE)</f>
        <v>Electrosurgical Units, Monopolar/Bipolar</v>
      </c>
      <c r="SCM111" s="179" t="s">
        <v>428</v>
      </c>
      <c r="SCN111" s="180" t="str">
        <f>VLOOKUP(SCM111,[13]AssetDetails_UEM!$A$3:$AH$1849,6,FALSE)</f>
        <v>Electrosurgical Units, Monopolar/Bipolar</v>
      </c>
      <c r="SCO111" s="179" t="s">
        <v>428</v>
      </c>
      <c r="SCP111" s="180" t="str">
        <f>VLOOKUP(SCO111,[13]AssetDetails_UEM!$A$3:$AH$1849,6,FALSE)</f>
        <v>Electrosurgical Units, Monopolar/Bipolar</v>
      </c>
      <c r="SCQ111" s="179" t="s">
        <v>428</v>
      </c>
      <c r="SCR111" s="180" t="str">
        <f>VLOOKUP(SCQ111,[13]AssetDetails_UEM!$A$3:$AH$1849,6,FALSE)</f>
        <v>Electrosurgical Units, Monopolar/Bipolar</v>
      </c>
      <c r="SCS111" s="179" t="s">
        <v>428</v>
      </c>
      <c r="SCT111" s="180" t="str">
        <f>VLOOKUP(SCS111,[13]AssetDetails_UEM!$A$3:$AH$1849,6,FALSE)</f>
        <v>Electrosurgical Units, Monopolar/Bipolar</v>
      </c>
      <c r="SCU111" s="179" t="s">
        <v>428</v>
      </c>
      <c r="SCV111" s="180" t="str">
        <f>VLOOKUP(SCU111,[13]AssetDetails_UEM!$A$3:$AH$1849,6,FALSE)</f>
        <v>Electrosurgical Units, Monopolar/Bipolar</v>
      </c>
      <c r="SCW111" s="179" t="s">
        <v>428</v>
      </c>
      <c r="SCX111" s="180" t="str">
        <f>VLOOKUP(SCW111,[13]AssetDetails_UEM!$A$3:$AH$1849,6,FALSE)</f>
        <v>Electrosurgical Units, Monopolar/Bipolar</v>
      </c>
      <c r="SCY111" s="179" t="s">
        <v>428</v>
      </c>
      <c r="SCZ111" s="180" t="str">
        <f>VLOOKUP(SCY111,[13]AssetDetails_UEM!$A$3:$AH$1849,6,FALSE)</f>
        <v>Electrosurgical Units, Monopolar/Bipolar</v>
      </c>
      <c r="SDA111" s="179" t="s">
        <v>428</v>
      </c>
      <c r="SDB111" s="180" t="str">
        <f>VLOOKUP(SDA111,[13]AssetDetails_UEM!$A$3:$AH$1849,6,FALSE)</f>
        <v>Electrosurgical Units, Monopolar/Bipolar</v>
      </c>
      <c r="SDC111" s="179" t="s">
        <v>428</v>
      </c>
      <c r="SDD111" s="180" t="str">
        <f>VLOOKUP(SDC111,[13]AssetDetails_UEM!$A$3:$AH$1849,6,FALSE)</f>
        <v>Electrosurgical Units, Monopolar/Bipolar</v>
      </c>
      <c r="SDE111" s="179" t="s">
        <v>428</v>
      </c>
      <c r="SDF111" s="180" t="str">
        <f>VLOOKUP(SDE111,[13]AssetDetails_UEM!$A$3:$AH$1849,6,FALSE)</f>
        <v>Electrosurgical Units, Monopolar/Bipolar</v>
      </c>
      <c r="SDG111" s="179" t="s">
        <v>428</v>
      </c>
      <c r="SDH111" s="180" t="str">
        <f>VLOOKUP(SDG111,[13]AssetDetails_UEM!$A$3:$AH$1849,6,FALSE)</f>
        <v>Electrosurgical Units, Monopolar/Bipolar</v>
      </c>
      <c r="SDI111" s="179" t="s">
        <v>428</v>
      </c>
      <c r="SDJ111" s="180" t="str">
        <f>VLOOKUP(SDI111,[13]AssetDetails_UEM!$A$3:$AH$1849,6,FALSE)</f>
        <v>Electrosurgical Units, Monopolar/Bipolar</v>
      </c>
      <c r="SDK111" s="179" t="s">
        <v>428</v>
      </c>
      <c r="SDL111" s="180" t="str">
        <f>VLOOKUP(SDK111,[13]AssetDetails_UEM!$A$3:$AH$1849,6,FALSE)</f>
        <v>Electrosurgical Units, Monopolar/Bipolar</v>
      </c>
      <c r="SDM111" s="179" t="s">
        <v>428</v>
      </c>
      <c r="SDN111" s="180" t="str">
        <f>VLOOKUP(SDM111,[13]AssetDetails_UEM!$A$3:$AH$1849,6,FALSE)</f>
        <v>Electrosurgical Units, Monopolar/Bipolar</v>
      </c>
      <c r="SDO111" s="179" t="s">
        <v>428</v>
      </c>
      <c r="SDP111" s="180" t="str">
        <f>VLOOKUP(SDO111,[13]AssetDetails_UEM!$A$3:$AH$1849,6,FALSE)</f>
        <v>Electrosurgical Units, Monopolar/Bipolar</v>
      </c>
      <c r="SDQ111" s="179" t="s">
        <v>428</v>
      </c>
      <c r="SDR111" s="180" t="str">
        <f>VLOOKUP(SDQ111,[13]AssetDetails_UEM!$A$3:$AH$1849,6,FALSE)</f>
        <v>Electrosurgical Units, Monopolar/Bipolar</v>
      </c>
      <c r="SDS111" s="179" t="s">
        <v>428</v>
      </c>
      <c r="SDT111" s="180" t="str">
        <f>VLOOKUP(SDS111,[13]AssetDetails_UEM!$A$3:$AH$1849,6,FALSE)</f>
        <v>Electrosurgical Units, Monopolar/Bipolar</v>
      </c>
      <c r="SDU111" s="179" t="s">
        <v>428</v>
      </c>
      <c r="SDV111" s="180" t="str">
        <f>VLOOKUP(SDU111,[13]AssetDetails_UEM!$A$3:$AH$1849,6,FALSE)</f>
        <v>Electrosurgical Units, Monopolar/Bipolar</v>
      </c>
      <c r="SDW111" s="179" t="s">
        <v>428</v>
      </c>
      <c r="SDX111" s="180" t="str">
        <f>VLOOKUP(SDW111,[13]AssetDetails_UEM!$A$3:$AH$1849,6,FALSE)</f>
        <v>Electrosurgical Units, Monopolar/Bipolar</v>
      </c>
      <c r="SDY111" s="179" t="s">
        <v>428</v>
      </c>
      <c r="SDZ111" s="180" t="str">
        <f>VLOOKUP(SDY111,[13]AssetDetails_UEM!$A$3:$AH$1849,6,FALSE)</f>
        <v>Electrosurgical Units, Monopolar/Bipolar</v>
      </c>
      <c r="SEA111" s="179" t="s">
        <v>428</v>
      </c>
      <c r="SEB111" s="180" t="str">
        <f>VLOOKUP(SEA111,[13]AssetDetails_UEM!$A$3:$AH$1849,6,FALSE)</f>
        <v>Electrosurgical Units, Monopolar/Bipolar</v>
      </c>
      <c r="SEC111" s="179" t="s">
        <v>428</v>
      </c>
      <c r="SED111" s="180" t="str">
        <f>VLOOKUP(SEC111,[13]AssetDetails_UEM!$A$3:$AH$1849,6,FALSE)</f>
        <v>Electrosurgical Units, Monopolar/Bipolar</v>
      </c>
      <c r="SEE111" s="179" t="s">
        <v>428</v>
      </c>
      <c r="SEF111" s="180" t="str">
        <f>VLOOKUP(SEE111,[13]AssetDetails_UEM!$A$3:$AH$1849,6,FALSE)</f>
        <v>Electrosurgical Units, Monopolar/Bipolar</v>
      </c>
      <c r="SEG111" s="179" t="s">
        <v>428</v>
      </c>
      <c r="SEH111" s="180" t="str">
        <f>VLOOKUP(SEG111,[13]AssetDetails_UEM!$A$3:$AH$1849,6,FALSE)</f>
        <v>Electrosurgical Units, Monopolar/Bipolar</v>
      </c>
      <c r="SEI111" s="179" t="s">
        <v>428</v>
      </c>
      <c r="SEJ111" s="180" t="str">
        <f>VLOOKUP(SEI111,[13]AssetDetails_UEM!$A$3:$AH$1849,6,FALSE)</f>
        <v>Electrosurgical Units, Monopolar/Bipolar</v>
      </c>
      <c r="SEK111" s="179" t="s">
        <v>428</v>
      </c>
      <c r="SEL111" s="180" t="str">
        <f>VLOOKUP(SEK111,[13]AssetDetails_UEM!$A$3:$AH$1849,6,FALSE)</f>
        <v>Electrosurgical Units, Monopolar/Bipolar</v>
      </c>
      <c r="SEM111" s="179" t="s">
        <v>428</v>
      </c>
      <c r="SEN111" s="180" t="str">
        <f>VLOOKUP(SEM111,[13]AssetDetails_UEM!$A$3:$AH$1849,6,FALSE)</f>
        <v>Electrosurgical Units, Monopolar/Bipolar</v>
      </c>
      <c r="SEO111" s="179" t="s">
        <v>428</v>
      </c>
      <c r="SEP111" s="180" t="str">
        <f>VLOOKUP(SEO111,[13]AssetDetails_UEM!$A$3:$AH$1849,6,FALSE)</f>
        <v>Electrosurgical Units, Monopolar/Bipolar</v>
      </c>
      <c r="SEQ111" s="179" t="s">
        <v>428</v>
      </c>
      <c r="SER111" s="180" t="str">
        <f>VLOOKUP(SEQ111,[13]AssetDetails_UEM!$A$3:$AH$1849,6,FALSE)</f>
        <v>Electrosurgical Units, Monopolar/Bipolar</v>
      </c>
      <c r="SES111" s="179" t="s">
        <v>428</v>
      </c>
      <c r="SET111" s="180" t="str">
        <f>VLOOKUP(SES111,[13]AssetDetails_UEM!$A$3:$AH$1849,6,FALSE)</f>
        <v>Electrosurgical Units, Monopolar/Bipolar</v>
      </c>
      <c r="SEU111" s="179" t="s">
        <v>428</v>
      </c>
      <c r="SEV111" s="180" t="str">
        <f>VLOOKUP(SEU111,[13]AssetDetails_UEM!$A$3:$AH$1849,6,FALSE)</f>
        <v>Electrosurgical Units, Monopolar/Bipolar</v>
      </c>
      <c r="SEW111" s="179" t="s">
        <v>428</v>
      </c>
      <c r="SEX111" s="180" t="str">
        <f>VLOOKUP(SEW111,[13]AssetDetails_UEM!$A$3:$AH$1849,6,FALSE)</f>
        <v>Electrosurgical Units, Monopolar/Bipolar</v>
      </c>
      <c r="SEY111" s="179" t="s">
        <v>428</v>
      </c>
      <c r="SEZ111" s="180" t="str">
        <f>VLOOKUP(SEY111,[13]AssetDetails_UEM!$A$3:$AH$1849,6,FALSE)</f>
        <v>Electrosurgical Units, Monopolar/Bipolar</v>
      </c>
      <c r="SFA111" s="179" t="s">
        <v>428</v>
      </c>
      <c r="SFB111" s="180" t="str">
        <f>VLOOKUP(SFA111,[13]AssetDetails_UEM!$A$3:$AH$1849,6,FALSE)</f>
        <v>Electrosurgical Units, Monopolar/Bipolar</v>
      </c>
      <c r="SFC111" s="179" t="s">
        <v>428</v>
      </c>
      <c r="SFD111" s="180" t="str">
        <f>VLOOKUP(SFC111,[13]AssetDetails_UEM!$A$3:$AH$1849,6,FALSE)</f>
        <v>Electrosurgical Units, Monopolar/Bipolar</v>
      </c>
      <c r="SFE111" s="179" t="s">
        <v>428</v>
      </c>
      <c r="SFF111" s="180" t="str">
        <f>VLOOKUP(SFE111,[13]AssetDetails_UEM!$A$3:$AH$1849,6,FALSE)</f>
        <v>Electrosurgical Units, Monopolar/Bipolar</v>
      </c>
      <c r="SFG111" s="179" t="s">
        <v>428</v>
      </c>
      <c r="SFH111" s="180" t="str">
        <f>VLOOKUP(SFG111,[13]AssetDetails_UEM!$A$3:$AH$1849,6,FALSE)</f>
        <v>Electrosurgical Units, Monopolar/Bipolar</v>
      </c>
      <c r="SFI111" s="179" t="s">
        <v>428</v>
      </c>
      <c r="SFJ111" s="180" t="str">
        <f>VLOOKUP(SFI111,[13]AssetDetails_UEM!$A$3:$AH$1849,6,FALSE)</f>
        <v>Electrosurgical Units, Monopolar/Bipolar</v>
      </c>
      <c r="SFK111" s="179" t="s">
        <v>428</v>
      </c>
      <c r="SFL111" s="180" t="str">
        <f>VLOOKUP(SFK111,[13]AssetDetails_UEM!$A$3:$AH$1849,6,FALSE)</f>
        <v>Electrosurgical Units, Monopolar/Bipolar</v>
      </c>
      <c r="SFM111" s="179" t="s">
        <v>428</v>
      </c>
      <c r="SFN111" s="180" t="str">
        <f>VLOOKUP(SFM111,[13]AssetDetails_UEM!$A$3:$AH$1849,6,FALSE)</f>
        <v>Electrosurgical Units, Monopolar/Bipolar</v>
      </c>
      <c r="SFO111" s="179" t="s">
        <v>428</v>
      </c>
      <c r="SFP111" s="180" t="str">
        <f>VLOOKUP(SFO111,[13]AssetDetails_UEM!$A$3:$AH$1849,6,FALSE)</f>
        <v>Electrosurgical Units, Monopolar/Bipolar</v>
      </c>
      <c r="SFQ111" s="179" t="s">
        <v>428</v>
      </c>
      <c r="SFR111" s="180" t="str">
        <f>VLOOKUP(SFQ111,[13]AssetDetails_UEM!$A$3:$AH$1849,6,FALSE)</f>
        <v>Electrosurgical Units, Monopolar/Bipolar</v>
      </c>
      <c r="SFS111" s="179" t="s">
        <v>428</v>
      </c>
      <c r="SFT111" s="180" t="str">
        <f>VLOOKUP(SFS111,[13]AssetDetails_UEM!$A$3:$AH$1849,6,FALSE)</f>
        <v>Electrosurgical Units, Monopolar/Bipolar</v>
      </c>
      <c r="SFU111" s="179" t="s">
        <v>428</v>
      </c>
      <c r="SFV111" s="180" t="str">
        <f>VLOOKUP(SFU111,[13]AssetDetails_UEM!$A$3:$AH$1849,6,FALSE)</f>
        <v>Electrosurgical Units, Monopolar/Bipolar</v>
      </c>
      <c r="SFW111" s="179" t="s">
        <v>428</v>
      </c>
      <c r="SFX111" s="180" t="str">
        <f>VLOOKUP(SFW111,[13]AssetDetails_UEM!$A$3:$AH$1849,6,FALSE)</f>
        <v>Electrosurgical Units, Monopolar/Bipolar</v>
      </c>
      <c r="SFY111" s="179" t="s">
        <v>428</v>
      </c>
      <c r="SFZ111" s="180" t="str">
        <f>VLOOKUP(SFY111,[13]AssetDetails_UEM!$A$3:$AH$1849,6,FALSE)</f>
        <v>Electrosurgical Units, Monopolar/Bipolar</v>
      </c>
      <c r="SGA111" s="179" t="s">
        <v>428</v>
      </c>
      <c r="SGB111" s="180" t="str">
        <f>VLOOKUP(SGA111,[13]AssetDetails_UEM!$A$3:$AH$1849,6,FALSE)</f>
        <v>Electrosurgical Units, Monopolar/Bipolar</v>
      </c>
      <c r="SGC111" s="179" t="s">
        <v>428</v>
      </c>
      <c r="SGD111" s="180" t="str">
        <f>VLOOKUP(SGC111,[13]AssetDetails_UEM!$A$3:$AH$1849,6,FALSE)</f>
        <v>Electrosurgical Units, Monopolar/Bipolar</v>
      </c>
      <c r="SGE111" s="179" t="s">
        <v>428</v>
      </c>
      <c r="SGF111" s="180" t="str">
        <f>VLOOKUP(SGE111,[13]AssetDetails_UEM!$A$3:$AH$1849,6,FALSE)</f>
        <v>Electrosurgical Units, Monopolar/Bipolar</v>
      </c>
      <c r="SGG111" s="179" t="s">
        <v>428</v>
      </c>
      <c r="SGH111" s="180" t="str">
        <f>VLOOKUP(SGG111,[13]AssetDetails_UEM!$A$3:$AH$1849,6,FALSE)</f>
        <v>Electrosurgical Units, Monopolar/Bipolar</v>
      </c>
      <c r="SGI111" s="179" t="s">
        <v>428</v>
      </c>
      <c r="SGJ111" s="180" t="str">
        <f>VLOOKUP(SGI111,[13]AssetDetails_UEM!$A$3:$AH$1849,6,FALSE)</f>
        <v>Electrosurgical Units, Monopolar/Bipolar</v>
      </c>
      <c r="SGK111" s="179" t="s">
        <v>428</v>
      </c>
      <c r="SGL111" s="180" t="str">
        <f>VLOOKUP(SGK111,[13]AssetDetails_UEM!$A$3:$AH$1849,6,FALSE)</f>
        <v>Electrosurgical Units, Monopolar/Bipolar</v>
      </c>
      <c r="SGM111" s="179" t="s">
        <v>428</v>
      </c>
      <c r="SGN111" s="180" t="str">
        <f>VLOOKUP(SGM111,[13]AssetDetails_UEM!$A$3:$AH$1849,6,FALSE)</f>
        <v>Electrosurgical Units, Monopolar/Bipolar</v>
      </c>
      <c r="SGO111" s="179" t="s">
        <v>428</v>
      </c>
      <c r="SGP111" s="180" t="str">
        <f>VLOOKUP(SGO111,[13]AssetDetails_UEM!$A$3:$AH$1849,6,FALSE)</f>
        <v>Electrosurgical Units, Monopolar/Bipolar</v>
      </c>
      <c r="SGQ111" s="179" t="s">
        <v>428</v>
      </c>
      <c r="SGR111" s="180" t="str">
        <f>VLOOKUP(SGQ111,[13]AssetDetails_UEM!$A$3:$AH$1849,6,FALSE)</f>
        <v>Electrosurgical Units, Monopolar/Bipolar</v>
      </c>
      <c r="SGS111" s="179" t="s">
        <v>428</v>
      </c>
      <c r="SGT111" s="180" t="str">
        <f>VLOOKUP(SGS111,[13]AssetDetails_UEM!$A$3:$AH$1849,6,FALSE)</f>
        <v>Electrosurgical Units, Monopolar/Bipolar</v>
      </c>
      <c r="SGU111" s="179" t="s">
        <v>428</v>
      </c>
      <c r="SGV111" s="180" t="str">
        <f>VLOOKUP(SGU111,[13]AssetDetails_UEM!$A$3:$AH$1849,6,FALSE)</f>
        <v>Electrosurgical Units, Monopolar/Bipolar</v>
      </c>
      <c r="SGW111" s="179" t="s">
        <v>428</v>
      </c>
      <c r="SGX111" s="180" t="str">
        <f>VLOOKUP(SGW111,[13]AssetDetails_UEM!$A$3:$AH$1849,6,FALSE)</f>
        <v>Electrosurgical Units, Monopolar/Bipolar</v>
      </c>
      <c r="SGY111" s="179" t="s">
        <v>428</v>
      </c>
      <c r="SGZ111" s="180" t="str">
        <f>VLOOKUP(SGY111,[13]AssetDetails_UEM!$A$3:$AH$1849,6,FALSE)</f>
        <v>Electrosurgical Units, Monopolar/Bipolar</v>
      </c>
      <c r="SHA111" s="179" t="s">
        <v>428</v>
      </c>
      <c r="SHB111" s="180" t="str">
        <f>VLOOKUP(SHA111,[13]AssetDetails_UEM!$A$3:$AH$1849,6,FALSE)</f>
        <v>Electrosurgical Units, Monopolar/Bipolar</v>
      </c>
      <c r="SHC111" s="179" t="s">
        <v>428</v>
      </c>
      <c r="SHD111" s="180" t="str">
        <f>VLOOKUP(SHC111,[13]AssetDetails_UEM!$A$3:$AH$1849,6,FALSE)</f>
        <v>Electrosurgical Units, Monopolar/Bipolar</v>
      </c>
      <c r="SHE111" s="179" t="s">
        <v>428</v>
      </c>
      <c r="SHF111" s="180" t="str">
        <f>VLOOKUP(SHE111,[13]AssetDetails_UEM!$A$3:$AH$1849,6,FALSE)</f>
        <v>Electrosurgical Units, Monopolar/Bipolar</v>
      </c>
      <c r="SHG111" s="179" t="s">
        <v>428</v>
      </c>
      <c r="SHH111" s="180" t="str">
        <f>VLOOKUP(SHG111,[13]AssetDetails_UEM!$A$3:$AH$1849,6,FALSE)</f>
        <v>Electrosurgical Units, Monopolar/Bipolar</v>
      </c>
      <c r="SHI111" s="179" t="s">
        <v>428</v>
      </c>
      <c r="SHJ111" s="180" t="str">
        <f>VLOOKUP(SHI111,[13]AssetDetails_UEM!$A$3:$AH$1849,6,FALSE)</f>
        <v>Electrosurgical Units, Monopolar/Bipolar</v>
      </c>
      <c r="SHK111" s="179" t="s">
        <v>428</v>
      </c>
      <c r="SHL111" s="180" t="str">
        <f>VLOOKUP(SHK111,[13]AssetDetails_UEM!$A$3:$AH$1849,6,FALSE)</f>
        <v>Electrosurgical Units, Monopolar/Bipolar</v>
      </c>
      <c r="SHM111" s="179" t="s">
        <v>428</v>
      </c>
      <c r="SHN111" s="180" t="str">
        <f>VLOOKUP(SHM111,[13]AssetDetails_UEM!$A$3:$AH$1849,6,FALSE)</f>
        <v>Electrosurgical Units, Monopolar/Bipolar</v>
      </c>
      <c r="SHO111" s="179" t="s">
        <v>428</v>
      </c>
      <c r="SHP111" s="180" t="str">
        <f>VLOOKUP(SHO111,[13]AssetDetails_UEM!$A$3:$AH$1849,6,FALSE)</f>
        <v>Electrosurgical Units, Monopolar/Bipolar</v>
      </c>
      <c r="SHQ111" s="179" t="s">
        <v>428</v>
      </c>
      <c r="SHR111" s="180" t="str">
        <f>VLOOKUP(SHQ111,[13]AssetDetails_UEM!$A$3:$AH$1849,6,FALSE)</f>
        <v>Electrosurgical Units, Monopolar/Bipolar</v>
      </c>
      <c r="SHS111" s="179" t="s">
        <v>428</v>
      </c>
      <c r="SHT111" s="180" t="str">
        <f>VLOOKUP(SHS111,[13]AssetDetails_UEM!$A$3:$AH$1849,6,FALSE)</f>
        <v>Electrosurgical Units, Monopolar/Bipolar</v>
      </c>
      <c r="SHU111" s="179" t="s">
        <v>428</v>
      </c>
      <c r="SHV111" s="180" t="str">
        <f>VLOOKUP(SHU111,[13]AssetDetails_UEM!$A$3:$AH$1849,6,FALSE)</f>
        <v>Electrosurgical Units, Monopolar/Bipolar</v>
      </c>
      <c r="SHW111" s="179" t="s">
        <v>428</v>
      </c>
      <c r="SHX111" s="180" t="str">
        <f>VLOOKUP(SHW111,[13]AssetDetails_UEM!$A$3:$AH$1849,6,FALSE)</f>
        <v>Electrosurgical Units, Monopolar/Bipolar</v>
      </c>
      <c r="SHY111" s="179" t="s">
        <v>428</v>
      </c>
      <c r="SHZ111" s="180" t="str">
        <f>VLOOKUP(SHY111,[13]AssetDetails_UEM!$A$3:$AH$1849,6,FALSE)</f>
        <v>Electrosurgical Units, Monopolar/Bipolar</v>
      </c>
      <c r="SIA111" s="179" t="s">
        <v>428</v>
      </c>
      <c r="SIB111" s="180" t="str">
        <f>VLOOKUP(SIA111,[13]AssetDetails_UEM!$A$3:$AH$1849,6,FALSE)</f>
        <v>Electrosurgical Units, Monopolar/Bipolar</v>
      </c>
      <c r="SIC111" s="179" t="s">
        <v>428</v>
      </c>
      <c r="SID111" s="180" t="str">
        <f>VLOOKUP(SIC111,[13]AssetDetails_UEM!$A$3:$AH$1849,6,FALSE)</f>
        <v>Electrosurgical Units, Monopolar/Bipolar</v>
      </c>
      <c r="SIE111" s="179" t="s">
        <v>428</v>
      </c>
      <c r="SIF111" s="180" t="str">
        <f>VLOOKUP(SIE111,[13]AssetDetails_UEM!$A$3:$AH$1849,6,FALSE)</f>
        <v>Electrosurgical Units, Monopolar/Bipolar</v>
      </c>
      <c r="SIG111" s="179" t="s">
        <v>428</v>
      </c>
      <c r="SIH111" s="180" t="str">
        <f>VLOOKUP(SIG111,[13]AssetDetails_UEM!$A$3:$AH$1849,6,FALSE)</f>
        <v>Electrosurgical Units, Monopolar/Bipolar</v>
      </c>
      <c r="SII111" s="179" t="s">
        <v>428</v>
      </c>
      <c r="SIJ111" s="180" t="str">
        <f>VLOOKUP(SII111,[13]AssetDetails_UEM!$A$3:$AH$1849,6,FALSE)</f>
        <v>Electrosurgical Units, Monopolar/Bipolar</v>
      </c>
      <c r="SIK111" s="179" t="s">
        <v>428</v>
      </c>
      <c r="SIL111" s="180" t="str">
        <f>VLOOKUP(SIK111,[13]AssetDetails_UEM!$A$3:$AH$1849,6,FALSE)</f>
        <v>Electrosurgical Units, Monopolar/Bipolar</v>
      </c>
      <c r="SIM111" s="179" t="s">
        <v>428</v>
      </c>
      <c r="SIN111" s="180" t="str">
        <f>VLOOKUP(SIM111,[13]AssetDetails_UEM!$A$3:$AH$1849,6,FALSE)</f>
        <v>Electrosurgical Units, Monopolar/Bipolar</v>
      </c>
      <c r="SIO111" s="179" t="s">
        <v>428</v>
      </c>
      <c r="SIP111" s="180" t="str">
        <f>VLOOKUP(SIO111,[13]AssetDetails_UEM!$A$3:$AH$1849,6,FALSE)</f>
        <v>Electrosurgical Units, Monopolar/Bipolar</v>
      </c>
      <c r="SIQ111" s="179" t="s">
        <v>428</v>
      </c>
      <c r="SIR111" s="180" t="str">
        <f>VLOOKUP(SIQ111,[13]AssetDetails_UEM!$A$3:$AH$1849,6,FALSE)</f>
        <v>Electrosurgical Units, Monopolar/Bipolar</v>
      </c>
      <c r="SIS111" s="179" t="s">
        <v>428</v>
      </c>
      <c r="SIT111" s="180" t="str">
        <f>VLOOKUP(SIS111,[13]AssetDetails_UEM!$A$3:$AH$1849,6,FALSE)</f>
        <v>Electrosurgical Units, Monopolar/Bipolar</v>
      </c>
      <c r="SIU111" s="179" t="s">
        <v>428</v>
      </c>
      <c r="SIV111" s="180" t="str">
        <f>VLOOKUP(SIU111,[13]AssetDetails_UEM!$A$3:$AH$1849,6,FALSE)</f>
        <v>Electrosurgical Units, Monopolar/Bipolar</v>
      </c>
      <c r="SIW111" s="179" t="s">
        <v>428</v>
      </c>
      <c r="SIX111" s="180" t="str">
        <f>VLOOKUP(SIW111,[13]AssetDetails_UEM!$A$3:$AH$1849,6,FALSE)</f>
        <v>Electrosurgical Units, Monopolar/Bipolar</v>
      </c>
      <c r="SIY111" s="179" t="s">
        <v>428</v>
      </c>
      <c r="SIZ111" s="180" t="str">
        <f>VLOOKUP(SIY111,[13]AssetDetails_UEM!$A$3:$AH$1849,6,FALSE)</f>
        <v>Electrosurgical Units, Monopolar/Bipolar</v>
      </c>
      <c r="SJA111" s="179" t="s">
        <v>428</v>
      </c>
      <c r="SJB111" s="180" t="str">
        <f>VLOOKUP(SJA111,[13]AssetDetails_UEM!$A$3:$AH$1849,6,FALSE)</f>
        <v>Electrosurgical Units, Monopolar/Bipolar</v>
      </c>
      <c r="SJC111" s="179" t="s">
        <v>428</v>
      </c>
      <c r="SJD111" s="180" t="str">
        <f>VLOOKUP(SJC111,[13]AssetDetails_UEM!$A$3:$AH$1849,6,FALSE)</f>
        <v>Electrosurgical Units, Monopolar/Bipolar</v>
      </c>
      <c r="SJE111" s="179" t="s">
        <v>428</v>
      </c>
      <c r="SJF111" s="180" t="str">
        <f>VLOOKUP(SJE111,[13]AssetDetails_UEM!$A$3:$AH$1849,6,FALSE)</f>
        <v>Electrosurgical Units, Monopolar/Bipolar</v>
      </c>
      <c r="SJG111" s="179" t="s">
        <v>428</v>
      </c>
      <c r="SJH111" s="180" t="str">
        <f>VLOOKUP(SJG111,[13]AssetDetails_UEM!$A$3:$AH$1849,6,FALSE)</f>
        <v>Electrosurgical Units, Monopolar/Bipolar</v>
      </c>
      <c r="SJI111" s="179" t="s">
        <v>428</v>
      </c>
      <c r="SJJ111" s="180" t="str">
        <f>VLOOKUP(SJI111,[13]AssetDetails_UEM!$A$3:$AH$1849,6,FALSE)</f>
        <v>Electrosurgical Units, Monopolar/Bipolar</v>
      </c>
      <c r="SJK111" s="179" t="s">
        <v>428</v>
      </c>
      <c r="SJL111" s="180" t="str">
        <f>VLOOKUP(SJK111,[13]AssetDetails_UEM!$A$3:$AH$1849,6,FALSE)</f>
        <v>Electrosurgical Units, Monopolar/Bipolar</v>
      </c>
      <c r="SJM111" s="179" t="s">
        <v>428</v>
      </c>
      <c r="SJN111" s="180" t="str">
        <f>VLOOKUP(SJM111,[13]AssetDetails_UEM!$A$3:$AH$1849,6,FALSE)</f>
        <v>Electrosurgical Units, Monopolar/Bipolar</v>
      </c>
      <c r="SJO111" s="179" t="s">
        <v>428</v>
      </c>
      <c r="SJP111" s="180" t="str">
        <f>VLOOKUP(SJO111,[13]AssetDetails_UEM!$A$3:$AH$1849,6,FALSE)</f>
        <v>Electrosurgical Units, Monopolar/Bipolar</v>
      </c>
      <c r="SJQ111" s="179" t="s">
        <v>428</v>
      </c>
      <c r="SJR111" s="180" t="str">
        <f>VLOOKUP(SJQ111,[13]AssetDetails_UEM!$A$3:$AH$1849,6,FALSE)</f>
        <v>Electrosurgical Units, Monopolar/Bipolar</v>
      </c>
      <c r="SJS111" s="179" t="s">
        <v>428</v>
      </c>
      <c r="SJT111" s="180" t="str">
        <f>VLOOKUP(SJS111,[13]AssetDetails_UEM!$A$3:$AH$1849,6,FALSE)</f>
        <v>Electrosurgical Units, Monopolar/Bipolar</v>
      </c>
      <c r="SJU111" s="179" t="s">
        <v>428</v>
      </c>
      <c r="SJV111" s="180" t="str">
        <f>VLOOKUP(SJU111,[13]AssetDetails_UEM!$A$3:$AH$1849,6,FALSE)</f>
        <v>Electrosurgical Units, Monopolar/Bipolar</v>
      </c>
      <c r="SJW111" s="179" t="s">
        <v>428</v>
      </c>
      <c r="SJX111" s="180" t="str">
        <f>VLOOKUP(SJW111,[13]AssetDetails_UEM!$A$3:$AH$1849,6,FALSE)</f>
        <v>Electrosurgical Units, Monopolar/Bipolar</v>
      </c>
      <c r="SJY111" s="179" t="s">
        <v>428</v>
      </c>
      <c r="SJZ111" s="180" t="str">
        <f>VLOOKUP(SJY111,[13]AssetDetails_UEM!$A$3:$AH$1849,6,FALSE)</f>
        <v>Electrosurgical Units, Monopolar/Bipolar</v>
      </c>
      <c r="SKA111" s="179" t="s">
        <v>428</v>
      </c>
      <c r="SKB111" s="180" t="str">
        <f>VLOOKUP(SKA111,[13]AssetDetails_UEM!$A$3:$AH$1849,6,FALSE)</f>
        <v>Electrosurgical Units, Monopolar/Bipolar</v>
      </c>
      <c r="SKC111" s="179" t="s">
        <v>428</v>
      </c>
      <c r="SKD111" s="180" t="str">
        <f>VLOOKUP(SKC111,[13]AssetDetails_UEM!$A$3:$AH$1849,6,FALSE)</f>
        <v>Electrosurgical Units, Monopolar/Bipolar</v>
      </c>
      <c r="SKE111" s="179" t="s">
        <v>428</v>
      </c>
      <c r="SKF111" s="180" t="str">
        <f>VLOOKUP(SKE111,[13]AssetDetails_UEM!$A$3:$AH$1849,6,FALSE)</f>
        <v>Electrosurgical Units, Monopolar/Bipolar</v>
      </c>
      <c r="SKG111" s="179" t="s">
        <v>428</v>
      </c>
      <c r="SKH111" s="180" t="str">
        <f>VLOOKUP(SKG111,[13]AssetDetails_UEM!$A$3:$AH$1849,6,FALSE)</f>
        <v>Electrosurgical Units, Monopolar/Bipolar</v>
      </c>
      <c r="SKI111" s="179" t="s">
        <v>428</v>
      </c>
      <c r="SKJ111" s="180" t="str">
        <f>VLOOKUP(SKI111,[13]AssetDetails_UEM!$A$3:$AH$1849,6,FALSE)</f>
        <v>Electrosurgical Units, Monopolar/Bipolar</v>
      </c>
      <c r="SKK111" s="179" t="s">
        <v>428</v>
      </c>
      <c r="SKL111" s="180" t="str">
        <f>VLOOKUP(SKK111,[13]AssetDetails_UEM!$A$3:$AH$1849,6,FALSE)</f>
        <v>Electrosurgical Units, Monopolar/Bipolar</v>
      </c>
      <c r="SKM111" s="179" t="s">
        <v>428</v>
      </c>
      <c r="SKN111" s="180" t="str">
        <f>VLOOKUP(SKM111,[13]AssetDetails_UEM!$A$3:$AH$1849,6,FALSE)</f>
        <v>Electrosurgical Units, Monopolar/Bipolar</v>
      </c>
      <c r="SKO111" s="179" t="s">
        <v>428</v>
      </c>
      <c r="SKP111" s="180" t="str">
        <f>VLOOKUP(SKO111,[13]AssetDetails_UEM!$A$3:$AH$1849,6,FALSE)</f>
        <v>Electrosurgical Units, Monopolar/Bipolar</v>
      </c>
      <c r="SKQ111" s="179" t="s">
        <v>428</v>
      </c>
      <c r="SKR111" s="180" t="str">
        <f>VLOOKUP(SKQ111,[13]AssetDetails_UEM!$A$3:$AH$1849,6,FALSE)</f>
        <v>Electrosurgical Units, Monopolar/Bipolar</v>
      </c>
      <c r="SKS111" s="179" t="s">
        <v>428</v>
      </c>
      <c r="SKT111" s="180" t="str">
        <f>VLOOKUP(SKS111,[13]AssetDetails_UEM!$A$3:$AH$1849,6,FALSE)</f>
        <v>Electrosurgical Units, Monopolar/Bipolar</v>
      </c>
      <c r="SKU111" s="179" t="s">
        <v>428</v>
      </c>
      <c r="SKV111" s="180" t="str">
        <f>VLOOKUP(SKU111,[13]AssetDetails_UEM!$A$3:$AH$1849,6,FALSE)</f>
        <v>Electrosurgical Units, Monopolar/Bipolar</v>
      </c>
      <c r="SKW111" s="179" t="s">
        <v>428</v>
      </c>
      <c r="SKX111" s="180" t="str">
        <f>VLOOKUP(SKW111,[13]AssetDetails_UEM!$A$3:$AH$1849,6,FALSE)</f>
        <v>Electrosurgical Units, Monopolar/Bipolar</v>
      </c>
      <c r="SKY111" s="179" t="s">
        <v>428</v>
      </c>
      <c r="SKZ111" s="180" t="str">
        <f>VLOOKUP(SKY111,[13]AssetDetails_UEM!$A$3:$AH$1849,6,FALSE)</f>
        <v>Electrosurgical Units, Monopolar/Bipolar</v>
      </c>
      <c r="SLA111" s="179" t="s">
        <v>428</v>
      </c>
      <c r="SLB111" s="180" t="str">
        <f>VLOOKUP(SLA111,[13]AssetDetails_UEM!$A$3:$AH$1849,6,FALSE)</f>
        <v>Electrosurgical Units, Monopolar/Bipolar</v>
      </c>
      <c r="SLC111" s="179" t="s">
        <v>428</v>
      </c>
      <c r="SLD111" s="180" t="str">
        <f>VLOOKUP(SLC111,[13]AssetDetails_UEM!$A$3:$AH$1849,6,FALSE)</f>
        <v>Electrosurgical Units, Monopolar/Bipolar</v>
      </c>
      <c r="SLE111" s="179" t="s">
        <v>428</v>
      </c>
      <c r="SLF111" s="180" t="str">
        <f>VLOOKUP(SLE111,[13]AssetDetails_UEM!$A$3:$AH$1849,6,FALSE)</f>
        <v>Electrosurgical Units, Monopolar/Bipolar</v>
      </c>
      <c r="SLG111" s="179" t="s">
        <v>428</v>
      </c>
      <c r="SLH111" s="180" t="str">
        <f>VLOOKUP(SLG111,[13]AssetDetails_UEM!$A$3:$AH$1849,6,FALSE)</f>
        <v>Electrosurgical Units, Monopolar/Bipolar</v>
      </c>
      <c r="SLI111" s="179" t="s">
        <v>428</v>
      </c>
      <c r="SLJ111" s="180" t="str">
        <f>VLOOKUP(SLI111,[13]AssetDetails_UEM!$A$3:$AH$1849,6,FALSE)</f>
        <v>Electrosurgical Units, Monopolar/Bipolar</v>
      </c>
      <c r="SLK111" s="179" t="s">
        <v>428</v>
      </c>
      <c r="SLL111" s="180" t="str">
        <f>VLOOKUP(SLK111,[13]AssetDetails_UEM!$A$3:$AH$1849,6,FALSE)</f>
        <v>Electrosurgical Units, Monopolar/Bipolar</v>
      </c>
      <c r="SLM111" s="179" t="s">
        <v>428</v>
      </c>
      <c r="SLN111" s="180" t="str">
        <f>VLOOKUP(SLM111,[13]AssetDetails_UEM!$A$3:$AH$1849,6,FALSE)</f>
        <v>Electrosurgical Units, Monopolar/Bipolar</v>
      </c>
      <c r="SLO111" s="179" t="s">
        <v>428</v>
      </c>
      <c r="SLP111" s="180" t="str">
        <f>VLOOKUP(SLO111,[13]AssetDetails_UEM!$A$3:$AH$1849,6,FALSE)</f>
        <v>Electrosurgical Units, Monopolar/Bipolar</v>
      </c>
      <c r="SLQ111" s="179" t="s">
        <v>428</v>
      </c>
      <c r="SLR111" s="180" t="str">
        <f>VLOOKUP(SLQ111,[13]AssetDetails_UEM!$A$3:$AH$1849,6,FALSE)</f>
        <v>Electrosurgical Units, Monopolar/Bipolar</v>
      </c>
      <c r="SLS111" s="179" t="s">
        <v>428</v>
      </c>
      <c r="SLT111" s="180" t="str">
        <f>VLOOKUP(SLS111,[13]AssetDetails_UEM!$A$3:$AH$1849,6,FALSE)</f>
        <v>Electrosurgical Units, Monopolar/Bipolar</v>
      </c>
      <c r="SLU111" s="179" t="s">
        <v>428</v>
      </c>
      <c r="SLV111" s="180" t="str">
        <f>VLOOKUP(SLU111,[13]AssetDetails_UEM!$A$3:$AH$1849,6,FALSE)</f>
        <v>Electrosurgical Units, Monopolar/Bipolar</v>
      </c>
      <c r="SLW111" s="179" t="s">
        <v>428</v>
      </c>
      <c r="SLX111" s="180" t="str">
        <f>VLOOKUP(SLW111,[13]AssetDetails_UEM!$A$3:$AH$1849,6,FALSE)</f>
        <v>Electrosurgical Units, Monopolar/Bipolar</v>
      </c>
      <c r="SLY111" s="179" t="s">
        <v>428</v>
      </c>
      <c r="SLZ111" s="180" t="str">
        <f>VLOOKUP(SLY111,[13]AssetDetails_UEM!$A$3:$AH$1849,6,FALSE)</f>
        <v>Electrosurgical Units, Monopolar/Bipolar</v>
      </c>
      <c r="SMA111" s="179" t="s">
        <v>428</v>
      </c>
      <c r="SMB111" s="180" t="str">
        <f>VLOOKUP(SMA111,[13]AssetDetails_UEM!$A$3:$AH$1849,6,FALSE)</f>
        <v>Electrosurgical Units, Monopolar/Bipolar</v>
      </c>
      <c r="SMC111" s="179" t="s">
        <v>428</v>
      </c>
      <c r="SMD111" s="180" t="str">
        <f>VLOOKUP(SMC111,[13]AssetDetails_UEM!$A$3:$AH$1849,6,FALSE)</f>
        <v>Electrosurgical Units, Monopolar/Bipolar</v>
      </c>
      <c r="SME111" s="179" t="s">
        <v>428</v>
      </c>
      <c r="SMF111" s="180" t="str">
        <f>VLOOKUP(SME111,[13]AssetDetails_UEM!$A$3:$AH$1849,6,FALSE)</f>
        <v>Electrosurgical Units, Monopolar/Bipolar</v>
      </c>
      <c r="SMG111" s="179" t="s">
        <v>428</v>
      </c>
      <c r="SMH111" s="180" t="str">
        <f>VLOOKUP(SMG111,[13]AssetDetails_UEM!$A$3:$AH$1849,6,FALSE)</f>
        <v>Electrosurgical Units, Monopolar/Bipolar</v>
      </c>
      <c r="SMI111" s="179" t="s">
        <v>428</v>
      </c>
      <c r="SMJ111" s="180" t="str">
        <f>VLOOKUP(SMI111,[13]AssetDetails_UEM!$A$3:$AH$1849,6,FALSE)</f>
        <v>Electrosurgical Units, Monopolar/Bipolar</v>
      </c>
      <c r="SMK111" s="179" t="s">
        <v>428</v>
      </c>
      <c r="SML111" s="180" t="str">
        <f>VLOOKUP(SMK111,[13]AssetDetails_UEM!$A$3:$AH$1849,6,FALSE)</f>
        <v>Electrosurgical Units, Monopolar/Bipolar</v>
      </c>
      <c r="SMM111" s="179" t="s">
        <v>428</v>
      </c>
      <c r="SMN111" s="180" t="str">
        <f>VLOOKUP(SMM111,[13]AssetDetails_UEM!$A$3:$AH$1849,6,FALSE)</f>
        <v>Electrosurgical Units, Monopolar/Bipolar</v>
      </c>
      <c r="SMO111" s="179" t="s">
        <v>428</v>
      </c>
      <c r="SMP111" s="180" t="str">
        <f>VLOOKUP(SMO111,[13]AssetDetails_UEM!$A$3:$AH$1849,6,FALSE)</f>
        <v>Electrosurgical Units, Monopolar/Bipolar</v>
      </c>
      <c r="SMQ111" s="179" t="s">
        <v>428</v>
      </c>
      <c r="SMR111" s="180" t="str">
        <f>VLOOKUP(SMQ111,[13]AssetDetails_UEM!$A$3:$AH$1849,6,FALSE)</f>
        <v>Electrosurgical Units, Monopolar/Bipolar</v>
      </c>
      <c r="SMS111" s="179" t="s">
        <v>428</v>
      </c>
      <c r="SMT111" s="180" t="str">
        <f>VLOOKUP(SMS111,[13]AssetDetails_UEM!$A$3:$AH$1849,6,FALSE)</f>
        <v>Electrosurgical Units, Monopolar/Bipolar</v>
      </c>
      <c r="SMU111" s="179" t="s">
        <v>428</v>
      </c>
      <c r="SMV111" s="180" t="str">
        <f>VLOOKUP(SMU111,[13]AssetDetails_UEM!$A$3:$AH$1849,6,FALSE)</f>
        <v>Electrosurgical Units, Monopolar/Bipolar</v>
      </c>
      <c r="SMW111" s="179" t="s">
        <v>428</v>
      </c>
      <c r="SMX111" s="180" t="str">
        <f>VLOOKUP(SMW111,[13]AssetDetails_UEM!$A$3:$AH$1849,6,FALSE)</f>
        <v>Electrosurgical Units, Monopolar/Bipolar</v>
      </c>
      <c r="SMY111" s="179" t="s">
        <v>428</v>
      </c>
      <c r="SMZ111" s="180" t="str">
        <f>VLOOKUP(SMY111,[13]AssetDetails_UEM!$A$3:$AH$1849,6,FALSE)</f>
        <v>Electrosurgical Units, Monopolar/Bipolar</v>
      </c>
      <c r="SNA111" s="179" t="s">
        <v>428</v>
      </c>
      <c r="SNB111" s="180" t="str">
        <f>VLOOKUP(SNA111,[13]AssetDetails_UEM!$A$3:$AH$1849,6,FALSE)</f>
        <v>Electrosurgical Units, Monopolar/Bipolar</v>
      </c>
      <c r="SNC111" s="179" t="s">
        <v>428</v>
      </c>
      <c r="SND111" s="180" t="str">
        <f>VLOOKUP(SNC111,[13]AssetDetails_UEM!$A$3:$AH$1849,6,FALSE)</f>
        <v>Electrosurgical Units, Monopolar/Bipolar</v>
      </c>
      <c r="SNE111" s="179" t="s">
        <v>428</v>
      </c>
      <c r="SNF111" s="180" t="str">
        <f>VLOOKUP(SNE111,[13]AssetDetails_UEM!$A$3:$AH$1849,6,FALSE)</f>
        <v>Electrosurgical Units, Monopolar/Bipolar</v>
      </c>
      <c r="SNG111" s="179" t="s">
        <v>428</v>
      </c>
      <c r="SNH111" s="180" t="str">
        <f>VLOOKUP(SNG111,[13]AssetDetails_UEM!$A$3:$AH$1849,6,FALSE)</f>
        <v>Electrosurgical Units, Monopolar/Bipolar</v>
      </c>
      <c r="SNI111" s="179" t="s">
        <v>428</v>
      </c>
      <c r="SNJ111" s="180" t="str">
        <f>VLOOKUP(SNI111,[13]AssetDetails_UEM!$A$3:$AH$1849,6,FALSE)</f>
        <v>Electrosurgical Units, Monopolar/Bipolar</v>
      </c>
      <c r="SNK111" s="179" t="s">
        <v>428</v>
      </c>
      <c r="SNL111" s="180" t="str">
        <f>VLOOKUP(SNK111,[13]AssetDetails_UEM!$A$3:$AH$1849,6,FALSE)</f>
        <v>Electrosurgical Units, Monopolar/Bipolar</v>
      </c>
      <c r="SNM111" s="179" t="s">
        <v>428</v>
      </c>
      <c r="SNN111" s="180" t="str">
        <f>VLOOKUP(SNM111,[13]AssetDetails_UEM!$A$3:$AH$1849,6,FALSE)</f>
        <v>Electrosurgical Units, Monopolar/Bipolar</v>
      </c>
      <c r="SNO111" s="179" t="s">
        <v>428</v>
      </c>
      <c r="SNP111" s="180" t="str">
        <f>VLOOKUP(SNO111,[13]AssetDetails_UEM!$A$3:$AH$1849,6,FALSE)</f>
        <v>Electrosurgical Units, Monopolar/Bipolar</v>
      </c>
      <c r="SNQ111" s="179" t="s">
        <v>428</v>
      </c>
      <c r="SNR111" s="180" t="str">
        <f>VLOOKUP(SNQ111,[13]AssetDetails_UEM!$A$3:$AH$1849,6,FALSE)</f>
        <v>Electrosurgical Units, Monopolar/Bipolar</v>
      </c>
      <c r="SNS111" s="179" t="s">
        <v>428</v>
      </c>
      <c r="SNT111" s="180" t="str">
        <f>VLOOKUP(SNS111,[13]AssetDetails_UEM!$A$3:$AH$1849,6,FALSE)</f>
        <v>Electrosurgical Units, Monopolar/Bipolar</v>
      </c>
      <c r="SNU111" s="179" t="s">
        <v>428</v>
      </c>
      <c r="SNV111" s="180" t="str">
        <f>VLOOKUP(SNU111,[13]AssetDetails_UEM!$A$3:$AH$1849,6,FALSE)</f>
        <v>Electrosurgical Units, Monopolar/Bipolar</v>
      </c>
      <c r="SNW111" s="179" t="s">
        <v>428</v>
      </c>
      <c r="SNX111" s="180" t="str">
        <f>VLOOKUP(SNW111,[13]AssetDetails_UEM!$A$3:$AH$1849,6,FALSE)</f>
        <v>Electrosurgical Units, Monopolar/Bipolar</v>
      </c>
      <c r="SNY111" s="179" t="s">
        <v>428</v>
      </c>
      <c r="SNZ111" s="180" t="str">
        <f>VLOOKUP(SNY111,[13]AssetDetails_UEM!$A$3:$AH$1849,6,FALSE)</f>
        <v>Electrosurgical Units, Monopolar/Bipolar</v>
      </c>
      <c r="SOA111" s="179" t="s">
        <v>428</v>
      </c>
      <c r="SOB111" s="180" t="str">
        <f>VLOOKUP(SOA111,[13]AssetDetails_UEM!$A$3:$AH$1849,6,FALSE)</f>
        <v>Electrosurgical Units, Monopolar/Bipolar</v>
      </c>
      <c r="SOC111" s="179" t="s">
        <v>428</v>
      </c>
      <c r="SOD111" s="180" t="str">
        <f>VLOOKUP(SOC111,[13]AssetDetails_UEM!$A$3:$AH$1849,6,FALSE)</f>
        <v>Electrosurgical Units, Monopolar/Bipolar</v>
      </c>
      <c r="SOE111" s="179" t="s">
        <v>428</v>
      </c>
      <c r="SOF111" s="180" t="str">
        <f>VLOOKUP(SOE111,[13]AssetDetails_UEM!$A$3:$AH$1849,6,FALSE)</f>
        <v>Electrosurgical Units, Monopolar/Bipolar</v>
      </c>
      <c r="SOG111" s="179" t="s">
        <v>428</v>
      </c>
      <c r="SOH111" s="180" t="str">
        <f>VLOOKUP(SOG111,[13]AssetDetails_UEM!$A$3:$AH$1849,6,FALSE)</f>
        <v>Electrosurgical Units, Monopolar/Bipolar</v>
      </c>
      <c r="SOI111" s="179" t="s">
        <v>428</v>
      </c>
      <c r="SOJ111" s="180" t="str">
        <f>VLOOKUP(SOI111,[13]AssetDetails_UEM!$A$3:$AH$1849,6,FALSE)</f>
        <v>Electrosurgical Units, Monopolar/Bipolar</v>
      </c>
      <c r="SOK111" s="179" t="s">
        <v>428</v>
      </c>
      <c r="SOL111" s="180" t="str">
        <f>VLOOKUP(SOK111,[13]AssetDetails_UEM!$A$3:$AH$1849,6,FALSE)</f>
        <v>Electrosurgical Units, Monopolar/Bipolar</v>
      </c>
      <c r="SOM111" s="179" t="s">
        <v>428</v>
      </c>
      <c r="SON111" s="180" t="str">
        <f>VLOOKUP(SOM111,[13]AssetDetails_UEM!$A$3:$AH$1849,6,FALSE)</f>
        <v>Electrosurgical Units, Monopolar/Bipolar</v>
      </c>
      <c r="SOO111" s="179" t="s">
        <v>428</v>
      </c>
      <c r="SOP111" s="180" t="str">
        <f>VLOOKUP(SOO111,[13]AssetDetails_UEM!$A$3:$AH$1849,6,FALSE)</f>
        <v>Electrosurgical Units, Monopolar/Bipolar</v>
      </c>
      <c r="SOQ111" s="179" t="s">
        <v>428</v>
      </c>
      <c r="SOR111" s="180" t="str">
        <f>VLOOKUP(SOQ111,[13]AssetDetails_UEM!$A$3:$AH$1849,6,FALSE)</f>
        <v>Electrosurgical Units, Monopolar/Bipolar</v>
      </c>
      <c r="SOS111" s="179" t="s">
        <v>428</v>
      </c>
      <c r="SOT111" s="180" t="str">
        <f>VLOOKUP(SOS111,[13]AssetDetails_UEM!$A$3:$AH$1849,6,FALSE)</f>
        <v>Electrosurgical Units, Monopolar/Bipolar</v>
      </c>
      <c r="SOU111" s="179" t="s">
        <v>428</v>
      </c>
      <c r="SOV111" s="180" t="str">
        <f>VLOOKUP(SOU111,[13]AssetDetails_UEM!$A$3:$AH$1849,6,FALSE)</f>
        <v>Electrosurgical Units, Monopolar/Bipolar</v>
      </c>
      <c r="SOW111" s="179" t="s">
        <v>428</v>
      </c>
      <c r="SOX111" s="180" t="str">
        <f>VLOOKUP(SOW111,[13]AssetDetails_UEM!$A$3:$AH$1849,6,FALSE)</f>
        <v>Electrosurgical Units, Monopolar/Bipolar</v>
      </c>
      <c r="SOY111" s="179" t="s">
        <v>428</v>
      </c>
      <c r="SOZ111" s="180" t="str">
        <f>VLOOKUP(SOY111,[13]AssetDetails_UEM!$A$3:$AH$1849,6,FALSE)</f>
        <v>Electrosurgical Units, Monopolar/Bipolar</v>
      </c>
      <c r="SPA111" s="179" t="s">
        <v>428</v>
      </c>
      <c r="SPB111" s="180" t="str">
        <f>VLOOKUP(SPA111,[13]AssetDetails_UEM!$A$3:$AH$1849,6,FALSE)</f>
        <v>Electrosurgical Units, Monopolar/Bipolar</v>
      </c>
      <c r="SPC111" s="179" t="s">
        <v>428</v>
      </c>
      <c r="SPD111" s="180" t="str">
        <f>VLOOKUP(SPC111,[13]AssetDetails_UEM!$A$3:$AH$1849,6,FALSE)</f>
        <v>Electrosurgical Units, Monopolar/Bipolar</v>
      </c>
      <c r="SPE111" s="179" t="s">
        <v>428</v>
      </c>
      <c r="SPF111" s="180" t="str">
        <f>VLOOKUP(SPE111,[13]AssetDetails_UEM!$A$3:$AH$1849,6,FALSE)</f>
        <v>Electrosurgical Units, Monopolar/Bipolar</v>
      </c>
      <c r="SPG111" s="179" t="s">
        <v>428</v>
      </c>
      <c r="SPH111" s="180" t="str">
        <f>VLOOKUP(SPG111,[13]AssetDetails_UEM!$A$3:$AH$1849,6,FALSE)</f>
        <v>Electrosurgical Units, Monopolar/Bipolar</v>
      </c>
      <c r="SPI111" s="179" t="s">
        <v>428</v>
      </c>
      <c r="SPJ111" s="180" t="str">
        <f>VLOOKUP(SPI111,[13]AssetDetails_UEM!$A$3:$AH$1849,6,FALSE)</f>
        <v>Electrosurgical Units, Monopolar/Bipolar</v>
      </c>
      <c r="SPK111" s="179" t="s">
        <v>428</v>
      </c>
      <c r="SPL111" s="180" t="str">
        <f>VLOOKUP(SPK111,[13]AssetDetails_UEM!$A$3:$AH$1849,6,FALSE)</f>
        <v>Electrosurgical Units, Monopolar/Bipolar</v>
      </c>
      <c r="SPM111" s="179" t="s">
        <v>428</v>
      </c>
      <c r="SPN111" s="180" t="str">
        <f>VLOOKUP(SPM111,[13]AssetDetails_UEM!$A$3:$AH$1849,6,FALSE)</f>
        <v>Electrosurgical Units, Monopolar/Bipolar</v>
      </c>
      <c r="SPO111" s="179" t="s">
        <v>428</v>
      </c>
      <c r="SPP111" s="180" t="str">
        <f>VLOOKUP(SPO111,[13]AssetDetails_UEM!$A$3:$AH$1849,6,FALSE)</f>
        <v>Electrosurgical Units, Monopolar/Bipolar</v>
      </c>
      <c r="SPQ111" s="179" t="s">
        <v>428</v>
      </c>
      <c r="SPR111" s="180" t="str">
        <f>VLOOKUP(SPQ111,[13]AssetDetails_UEM!$A$3:$AH$1849,6,FALSE)</f>
        <v>Electrosurgical Units, Monopolar/Bipolar</v>
      </c>
      <c r="SPS111" s="179" t="s">
        <v>428</v>
      </c>
      <c r="SPT111" s="180" t="str">
        <f>VLOOKUP(SPS111,[13]AssetDetails_UEM!$A$3:$AH$1849,6,FALSE)</f>
        <v>Electrosurgical Units, Monopolar/Bipolar</v>
      </c>
      <c r="SPU111" s="179" t="s">
        <v>428</v>
      </c>
      <c r="SPV111" s="180" t="str">
        <f>VLOOKUP(SPU111,[13]AssetDetails_UEM!$A$3:$AH$1849,6,FALSE)</f>
        <v>Electrosurgical Units, Monopolar/Bipolar</v>
      </c>
      <c r="SPW111" s="179" t="s">
        <v>428</v>
      </c>
      <c r="SPX111" s="180" t="str">
        <f>VLOOKUP(SPW111,[13]AssetDetails_UEM!$A$3:$AH$1849,6,FALSE)</f>
        <v>Electrosurgical Units, Monopolar/Bipolar</v>
      </c>
      <c r="SPY111" s="179" t="s">
        <v>428</v>
      </c>
      <c r="SPZ111" s="180" t="str">
        <f>VLOOKUP(SPY111,[13]AssetDetails_UEM!$A$3:$AH$1849,6,FALSE)</f>
        <v>Electrosurgical Units, Monopolar/Bipolar</v>
      </c>
      <c r="SQA111" s="179" t="s">
        <v>428</v>
      </c>
      <c r="SQB111" s="180" t="str">
        <f>VLOOKUP(SQA111,[13]AssetDetails_UEM!$A$3:$AH$1849,6,FALSE)</f>
        <v>Electrosurgical Units, Monopolar/Bipolar</v>
      </c>
      <c r="SQC111" s="179" t="s">
        <v>428</v>
      </c>
      <c r="SQD111" s="180" t="str">
        <f>VLOOKUP(SQC111,[13]AssetDetails_UEM!$A$3:$AH$1849,6,FALSE)</f>
        <v>Electrosurgical Units, Monopolar/Bipolar</v>
      </c>
      <c r="SQE111" s="179" t="s">
        <v>428</v>
      </c>
      <c r="SQF111" s="180" t="str">
        <f>VLOOKUP(SQE111,[13]AssetDetails_UEM!$A$3:$AH$1849,6,FALSE)</f>
        <v>Electrosurgical Units, Monopolar/Bipolar</v>
      </c>
      <c r="SQG111" s="179" t="s">
        <v>428</v>
      </c>
      <c r="SQH111" s="180" t="str">
        <f>VLOOKUP(SQG111,[13]AssetDetails_UEM!$A$3:$AH$1849,6,FALSE)</f>
        <v>Electrosurgical Units, Monopolar/Bipolar</v>
      </c>
      <c r="SQI111" s="179" t="s">
        <v>428</v>
      </c>
      <c r="SQJ111" s="180" t="str">
        <f>VLOOKUP(SQI111,[13]AssetDetails_UEM!$A$3:$AH$1849,6,FALSE)</f>
        <v>Electrosurgical Units, Monopolar/Bipolar</v>
      </c>
      <c r="SQK111" s="179" t="s">
        <v>428</v>
      </c>
      <c r="SQL111" s="180" t="str">
        <f>VLOOKUP(SQK111,[13]AssetDetails_UEM!$A$3:$AH$1849,6,FALSE)</f>
        <v>Electrosurgical Units, Monopolar/Bipolar</v>
      </c>
      <c r="SQM111" s="179" t="s">
        <v>428</v>
      </c>
      <c r="SQN111" s="180" t="str">
        <f>VLOOKUP(SQM111,[13]AssetDetails_UEM!$A$3:$AH$1849,6,FALSE)</f>
        <v>Electrosurgical Units, Monopolar/Bipolar</v>
      </c>
      <c r="SQO111" s="179" t="s">
        <v>428</v>
      </c>
      <c r="SQP111" s="180" t="str">
        <f>VLOOKUP(SQO111,[13]AssetDetails_UEM!$A$3:$AH$1849,6,FALSE)</f>
        <v>Electrosurgical Units, Monopolar/Bipolar</v>
      </c>
      <c r="SQQ111" s="179" t="s">
        <v>428</v>
      </c>
      <c r="SQR111" s="180" t="str">
        <f>VLOOKUP(SQQ111,[13]AssetDetails_UEM!$A$3:$AH$1849,6,FALSE)</f>
        <v>Electrosurgical Units, Monopolar/Bipolar</v>
      </c>
      <c r="SQS111" s="179" t="s">
        <v>428</v>
      </c>
      <c r="SQT111" s="180" t="str">
        <f>VLOOKUP(SQS111,[13]AssetDetails_UEM!$A$3:$AH$1849,6,FALSE)</f>
        <v>Electrosurgical Units, Monopolar/Bipolar</v>
      </c>
      <c r="SQU111" s="179" t="s">
        <v>428</v>
      </c>
      <c r="SQV111" s="180" t="str">
        <f>VLOOKUP(SQU111,[13]AssetDetails_UEM!$A$3:$AH$1849,6,FALSE)</f>
        <v>Electrosurgical Units, Monopolar/Bipolar</v>
      </c>
      <c r="SQW111" s="179" t="s">
        <v>428</v>
      </c>
      <c r="SQX111" s="180" t="str">
        <f>VLOOKUP(SQW111,[13]AssetDetails_UEM!$A$3:$AH$1849,6,FALSE)</f>
        <v>Electrosurgical Units, Monopolar/Bipolar</v>
      </c>
      <c r="SQY111" s="179" t="s">
        <v>428</v>
      </c>
      <c r="SQZ111" s="180" t="str">
        <f>VLOOKUP(SQY111,[13]AssetDetails_UEM!$A$3:$AH$1849,6,FALSE)</f>
        <v>Electrosurgical Units, Monopolar/Bipolar</v>
      </c>
      <c r="SRA111" s="179" t="s">
        <v>428</v>
      </c>
      <c r="SRB111" s="180" t="str">
        <f>VLOOKUP(SRA111,[13]AssetDetails_UEM!$A$3:$AH$1849,6,FALSE)</f>
        <v>Electrosurgical Units, Monopolar/Bipolar</v>
      </c>
      <c r="SRC111" s="179" t="s">
        <v>428</v>
      </c>
      <c r="SRD111" s="180" t="str">
        <f>VLOOKUP(SRC111,[13]AssetDetails_UEM!$A$3:$AH$1849,6,FALSE)</f>
        <v>Electrosurgical Units, Monopolar/Bipolar</v>
      </c>
      <c r="SRE111" s="179" t="s">
        <v>428</v>
      </c>
      <c r="SRF111" s="180" t="str">
        <f>VLOOKUP(SRE111,[13]AssetDetails_UEM!$A$3:$AH$1849,6,FALSE)</f>
        <v>Electrosurgical Units, Monopolar/Bipolar</v>
      </c>
      <c r="SRG111" s="179" t="s">
        <v>428</v>
      </c>
      <c r="SRH111" s="180" t="str">
        <f>VLOOKUP(SRG111,[13]AssetDetails_UEM!$A$3:$AH$1849,6,FALSE)</f>
        <v>Electrosurgical Units, Monopolar/Bipolar</v>
      </c>
      <c r="SRI111" s="179" t="s">
        <v>428</v>
      </c>
      <c r="SRJ111" s="180" t="str">
        <f>VLOOKUP(SRI111,[13]AssetDetails_UEM!$A$3:$AH$1849,6,FALSE)</f>
        <v>Electrosurgical Units, Monopolar/Bipolar</v>
      </c>
      <c r="SRK111" s="179" t="s">
        <v>428</v>
      </c>
      <c r="SRL111" s="180" t="str">
        <f>VLOOKUP(SRK111,[13]AssetDetails_UEM!$A$3:$AH$1849,6,FALSE)</f>
        <v>Electrosurgical Units, Monopolar/Bipolar</v>
      </c>
      <c r="SRM111" s="179" t="s">
        <v>428</v>
      </c>
      <c r="SRN111" s="180" t="str">
        <f>VLOOKUP(SRM111,[13]AssetDetails_UEM!$A$3:$AH$1849,6,FALSE)</f>
        <v>Electrosurgical Units, Monopolar/Bipolar</v>
      </c>
      <c r="SRO111" s="179" t="s">
        <v>428</v>
      </c>
      <c r="SRP111" s="180" t="str">
        <f>VLOOKUP(SRO111,[13]AssetDetails_UEM!$A$3:$AH$1849,6,FALSE)</f>
        <v>Electrosurgical Units, Monopolar/Bipolar</v>
      </c>
      <c r="SRQ111" s="179" t="s">
        <v>428</v>
      </c>
      <c r="SRR111" s="180" t="str">
        <f>VLOOKUP(SRQ111,[13]AssetDetails_UEM!$A$3:$AH$1849,6,FALSE)</f>
        <v>Electrosurgical Units, Monopolar/Bipolar</v>
      </c>
      <c r="SRS111" s="179" t="s">
        <v>428</v>
      </c>
      <c r="SRT111" s="180" t="str">
        <f>VLOOKUP(SRS111,[13]AssetDetails_UEM!$A$3:$AH$1849,6,FALSE)</f>
        <v>Electrosurgical Units, Monopolar/Bipolar</v>
      </c>
      <c r="SRU111" s="179" t="s">
        <v>428</v>
      </c>
      <c r="SRV111" s="180" t="str">
        <f>VLOOKUP(SRU111,[13]AssetDetails_UEM!$A$3:$AH$1849,6,FALSE)</f>
        <v>Electrosurgical Units, Monopolar/Bipolar</v>
      </c>
      <c r="SRW111" s="179" t="s">
        <v>428</v>
      </c>
      <c r="SRX111" s="180" t="str">
        <f>VLOOKUP(SRW111,[13]AssetDetails_UEM!$A$3:$AH$1849,6,FALSE)</f>
        <v>Electrosurgical Units, Monopolar/Bipolar</v>
      </c>
      <c r="SRY111" s="179" t="s">
        <v>428</v>
      </c>
      <c r="SRZ111" s="180" t="str">
        <f>VLOOKUP(SRY111,[13]AssetDetails_UEM!$A$3:$AH$1849,6,FALSE)</f>
        <v>Electrosurgical Units, Monopolar/Bipolar</v>
      </c>
      <c r="SSA111" s="179" t="s">
        <v>428</v>
      </c>
      <c r="SSB111" s="180" t="str">
        <f>VLOOKUP(SSA111,[13]AssetDetails_UEM!$A$3:$AH$1849,6,FALSE)</f>
        <v>Electrosurgical Units, Monopolar/Bipolar</v>
      </c>
      <c r="SSC111" s="179" t="s">
        <v>428</v>
      </c>
      <c r="SSD111" s="180" t="str">
        <f>VLOOKUP(SSC111,[13]AssetDetails_UEM!$A$3:$AH$1849,6,FALSE)</f>
        <v>Electrosurgical Units, Monopolar/Bipolar</v>
      </c>
      <c r="SSE111" s="179" t="s">
        <v>428</v>
      </c>
      <c r="SSF111" s="180" t="str">
        <f>VLOOKUP(SSE111,[13]AssetDetails_UEM!$A$3:$AH$1849,6,FALSE)</f>
        <v>Electrosurgical Units, Monopolar/Bipolar</v>
      </c>
      <c r="SSG111" s="179" t="s">
        <v>428</v>
      </c>
      <c r="SSH111" s="180" t="str">
        <f>VLOOKUP(SSG111,[13]AssetDetails_UEM!$A$3:$AH$1849,6,FALSE)</f>
        <v>Electrosurgical Units, Monopolar/Bipolar</v>
      </c>
      <c r="SSI111" s="179" t="s">
        <v>428</v>
      </c>
      <c r="SSJ111" s="180" t="str">
        <f>VLOOKUP(SSI111,[13]AssetDetails_UEM!$A$3:$AH$1849,6,FALSE)</f>
        <v>Electrosurgical Units, Monopolar/Bipolar</v>
      </c>
      <c r="SSK111" s="179" t="s">
        <v>428</v>
      </c>
      <c r="SSL111" s="180" t="str">
        <f>VLOOKUP(SSK111,[13]AssetDetails_UEM!$A$3:$AH$1849,6,FALSE)</f>
        <v>Electrosurgical Units, Monopolar/Bipolar</v>
      </c>
      <c r="SSM111" s="179" t="s">
        <v>428</v>
      </c>
      <c r="SSN111" s="180" t="str">
        <f>VLOOKUP(SSM111,[13]AssetDetails_UEM!$A$3:$AH$1849,6,FALSE)</f>
        <v>Electrosurgical Units, Monopolar/Bipolar</v>
      </c>
      <c r="SSO111" s="179" t="s">
        <v>428</v>
      </c>
      <c r="SSP111" s="180" t="str">
        <f>VLOOKUP(SSO111,[13]AssetDetails_UEM!$A$3:$AH$1849,6,FALSE)</f>
        <v>Electrosurgical Units, Monopolar/Bipolar</v>
      </c>
      <c r="SSQ111" s="179" t="s">
        <v>428</v>
      </c>
      <c r="SSR111" s="180" t="str">
        <f>VLOOKUP(SSQ111,[13]AssetDetails_UEM!$A$3:$AH$1849,6,FALSE)</f>
        <v>Electrosurgical Units, Monopolar/Bipolar</v>
      </c>
      <c r="SSS111" s="179" t="s">
        <v>428</v>
      </c>
      <c r="SST111" s="180" t="str">
        <f>VLOOKUP(SSS111,[13]AssetDetails_UEM!$A$3:$AH$1849,6,FALSE)</f>
        <v>Electrosurgical Units, Monopolar/Bipolar</v>
      </c>
      <c r="SSU111" s="179" t="s">
        <v>428</v>
      </c>
      <c r="SSV111" s="180" t="str">
        <f>VLOOKUP(SSU111,[13]AssetDetails_UEM!$A$3:$AH$1849,6,FALSE)</f>
        <v>Electrosurgical Units, Monopolar/Bipolar</v>
      </c>
      <c r="SSW111" s="179" t="s">
        <v>428</v>
      </c>
      <c r="SSX111" s="180" t="str">
        <f>VLOOKUP(SSW111,[13]AssetDetails_UEM!$A$3:$AH$1849,6,FALSE)</f>
        <v>Electrosurgical Units, Monopolar/Bipolar</v>
      </c>
      <c r="SSY111" s="179" t="s">
        <v>428</v>
      </c>
      <c r="SSZ111" s="180" t="str">
        <f>VLOOKUP(SSY111,[13]AssetDetails_UEM!$A$3:$AH$1849,6,FALSE)</f>
        <v>Electrosurgical Units, Monopolar/Bipolar</v>
      </c>
      <c r="STA111" s="179" t="s">
        <v>428</v>
      </c>
      <c r="STB111" s="180" t="str">
        <f>VLOOKUP(STA111,[13]AssetDetails_UEM!$A$3:$AH$1849,6,FALSE)</f>
        <v>Electrosurgical Units, Monopolar/Bipolar</v>
      </c>
      <c r="STC111" s="179" t="s">
        <v>428</v>
      </c>
      <c r="STD111" s="180" t="str">
        <f>VLOOKUP(STC111,[13]AssetDetails_UEM!$A$3:$AH$1849,6,FALSE)</f>
        <v>Electrosurgical Units, Monopolar/Bipolar</v>
      </c>
      <c r="STE111" s="179" t="s">
        <v>428</v>
      </c>
      <c r="STF111" s="180" t="str">
        <f>VLOOKUP(STE111,[13]AssetDetails_UEM!$A$3:$AH$1849,6,FALSE)</f>
        <v>Electrosurgical Units, Monopolar/Bipolar</v>
      </c>
      <c r="STG111" s="179" t="s">
        <v>428</v>
      </c>
      <c r="STH111" s="180" t="str">
        <f>VLOOKUP(STG111,[13]AssetDetails_UEM!$A$3:$AH$1849,6,FALSE)</f>
        <v>Electrosurgical Units, Monopolar/Bipolar</v>
      </c>
      <c r="STI111" s="179" t="s">
        <v>428</v>
      </c>
      <c r="STJ111" s="180" t="str">
        <f>VLOOKUP(STI111,[13]AssetDetails_UEM!$A$3:$AH$1849,6,FALSE)</f>
        <v>Electrosurgical Units, Monopolar/Bipolar</v>
      </c>
      <c r="STK111" s="179" t="s">
        <v>428</v>
      </c>
      <c r="STL111" s="180" t="str">
        <f>VLOOKUP(STK111,[13]AssetDetails_UEM!$A$3:$AH$1849,6,FALSE)</f>
        <v>Electrosurgical Units, Monopolar/Bipolar</v>
      </c>
      <c r="STM111" s="179" t="s">
        <v>428</v>
      </c>
      <c r="STN111" s="180" t="str">
        <f>VLOOKUP(STM111,[13]AssetDetails_UEM!$A$3:$AH$1849,6,FALSE)</f>
        <v>Electrosurgical Units, Monopolar/Bipolar</v>
      </c>
      <c r="STO111" s="179" t="s">
        <v>428</v>
      </c>
      <c r="STP111" s="180" t="str">
        <f>VLOOKUP(STO111,[13]AssetDetails_UEM!$A$3:$AH$1849,6,FALSE)</f>
        <v>Electrosurgical Units, Monopolar/Bipolar</v>
      </c>
      <c r="STQ111" s="179" t="s">
        <v>428</v>
      </c>
      <c r="STR111" s="180" t="str">
        <f>VLOOKUP(STQ111,[13]AssetDetails_UEM!$A$3:$AH$1849,6,FALSE)</f>
        <v>Electrosurgical Units, Monopolar/Bipolar</v>
      </c>
      <c r="STS111" s="179" t="s">
        <v>428</v>
      </c>
      <c r="STT111" s="180" t="str">
        <f>VLOOKUP(STS111,[13]AssetDetails_UEM!$A$3:$AH$1849,6,FALSE)</f>
        <v>Electrosurgical Units, Monopolar/Bipolar</v>
      </c>
      <c r="STU111" s="179" t="s">
        <v>428</v>
      </c>
      <c r="STV111" s="180" t="str">
        <f>VLOOKUP(STU111,[13]AssetDetails_UEM!$A$3:$AH$1849,6,FALSE)</f>
        <v>Electrosurgical Units, Monopolar/Bipolar</v>
      </c>
      <c r="STW111" s="179" t="s">
        <v>428</v>
      </c>
      <c r="STX111" s="180" t="str">
        <f>VLOOKUP(STW111,[13]AssetDetails_UEM!$A$3:$AH$1849,6,FALSE)</f>
        <v>Electrosurgical Units, Monopolar/Bipolar</v>
      </c>
      <c r="STY111" s="179" t="s">
        <v>428</v>
      </c>
      <c r="STZ111" s="180" t="str">
        <f>VLOOKUP(STY111,[13]AssetDetails_UEM!$A$3:$AH$1849,6,FALSE)</f>
        <v>Electrosurgical Units, Monopolar/Bipolar</v>
      </c>
      <c r="SUA111" s="179" t="s">
        <v>428</v>
      </c>
      <c r="SUB111" s="180" t="str">
        <f>VLOOKUP(SUA111,[13]AssetDetails_UEM!$A$3:$AH$1849,6,FALSE)</f>
        <v>Electrosurgical Units, Monopolar/Bipolar</v>
      </c>
      <c r="SUC111" s="179" t="s">
        <v>428</v>
      </c>
      <c r="SUD111" s="180" t="str">
        <f>VLOOKUP(SUC111,[13]AssetDetails_UEM!$A$3:$AH$1849,6,FALSE)</f>
        <v>Electrosurgical Units, Monopolar/Bipolar</v>
      </c>
      <c r="SUE111" s="179" t="s">
        <v>428</v>
      </c>
      <c r="SUF111" s="180" t="str">
        <f>VLOOKUP(SUE111,[13]AssetDetails_UEM!$A$3:$AH$1849,6,FALSE)</f>
        <v>Electrosurgical Units, Monopolar/Bipolar</v>
      </c>
      <c r="SUG111" s="179" t="s">
        <v>428</v>
      </c>
      <c r="SUH111" s="180" t="str">
        <f>VLOOKUP(SUG111,[13]AssetDetails_UEM!$A$3:$AH$1849,6,FALSE)</f>
        <v>Electrosurgical Units, Monopolar/Bipolar</v>
      </c>
      <c r="SUI111" s="179" t="s">
        <v>428</v>
      </c>
      <c r="SUJ111" s="180" t="str">
        <f>VLOOKUP(SUI111,[13]AssetDetails_UEM!$A$3:$AH$1849,6,FALSE)</f>
        <v>Electrosurgical Units, Monopolar/Bipolar</v>
      </c>
      <c r="SUK111" s="179" t="s">
        <v>428</v>
      </c>
      <c r="SUL111" s="180" t="str">
        <f>VLOOKUP(SUK111,[13]AssetDetails_UEM!$A$3:$AH$1849,6,FALSE)</f>
        <v>Electrosurgical Units, Monopolar/Bipolar</v>
      </c>
      <c r="SUM111" s="179" t="s">
        <v>428</v>
      </c>
      <c r="SUN111" s="180" t="str">
        <f>VLOOKUP(SUM111,[13]AssetDetails_UEM!$A$3:$AH$1849,6,FALSE)</f>
        <v>Electrosurgical Units, Monopolar/Bipolar</v>
      </c>
      <c r="SUO111" s="179" t="s">
        <v>428</v>
      </c>
      <c r="SUP111" s="180" t="str">
        <f>VLOOKUP(SUO111,[13]AssetDetails_UEM!$A$3:$AH$1849,6,FALSE)</f>
        <v>Electrosurgical Units, Monopolar/Bipolar</v>
      </c>
      <c r="SUQ111" s="179" t="s">
        <v>428</v>
      </c>
      <c r="SUR111" s="180" t="str">
        <f>VLOOKUP(SUQ111,[13]AssetDetails_UEM!$A$3:$AH$1849,6,FALSE)</f>
        <v>Electrosurgical Units, Monopolar/Bipolar</v>
      </c>
      <c r="SUS111" s="179" t="s">
        <v>428</v>
      </c>
      <c r="SUT111" s="180" t="str">
        <f>VLOOKUP(SUS111,[13]AssetDetails_UEM!$A$3:$AH$1849,6,FALSE)</f>
        <v>Electrosurgical Units, Monopolar/Bipolar</v>
      </c>
      <c r="SUU111" s="179" t="s">
        <v>428</v>
      </c>
      <c r="SUV111" s="180" t="str">
        <f>VLOOKUP(SUU111,[13]AssetDetails_UEM!$A$3:$AH$1849,6,FALSE)</f>
        <v>Electrosurgical Units, Monopolar/Bipolar</v>
      </c>
      <c r="SUW111" s="179" t="s">
        <v>428</v>
      </c>
      <c r="SUX111" s="180" t="str">
        <f>VLOOKUP(SUW111,[13]AssetDetails_UEM!$A$3:$AH$1849,6,FALSE)</f>
        <v>Electrosurgical Units, Monopolar/Bipolar</v>
      </c>
      <c r="SUY111" s="179" t="s">
        <v>428</v>
      </c>
      <c r="SUZ111" s="180" t="str">
        <f>VLOOKUP(SUY111,[13]AssetDetails_UEM!$A$3:$AH$1849,6,FALSE)</f>
        <v>Electrosurgical Units, Monopolar/Bipolar</v>
      </c>
      <c r="SVA111" s="179" t="s">
        <v>428</v>
      </c>
      <c r="SVB111" s="180" t="str">
        <f>VLOOKUP(SVA111,[13]AssetDetails_UEM!$A$3:$AH$1849,6,FALSE)</f>
        <v>Electrosurgical Units, Monopolar/Bipolar</v>
      </c>
      <c r="SVC111" s="179" t="s">
        <v>428</v>
      </c>
      <c r="SVD111" s="180" t="str">
        <f>VLOOKUP(SVC111,[13]AssetDetails_UEM!$A$3:$AH$1849,6,FALSE)</f>
        <v>Electrosurgical Units, Monopolar/Bipolar</v>
      </c>
      <c r="SVE111" s="179" t="s">
        <v>428</v>
      </c>
      <c r="SVF111" s="180" t="str">
        <f>VLOOKUP(SVE111,[13]AssetDetails_UEM!$A$3:$AH$1849,6,FALSE)</f>
        <v>Electrosurgical Units, Monopolar/Bipolar</v>
      </c>
      <c r="SVG111" s="179" t="s">
        <v>428</v>
      </c>
      <c r="SVH111" s="180" t="str">
        <f>VLOOKUP(SVG111,[13]AssetDetails_UEM!$A$3:$AH$1849,6,FALSE)</f>
        <v>Electrosurgical Units, Monopolar/Bipolar</v>
      </c>
      <c r="SVI111" s="179" t="s">
        <v>428</v>
      </c>
      <c r="SVJ111" s="180" t="str">
        <f>VLOOKUP(SVI111,[13]AssetDetails_UEM!$A$3:$AH$1849,6,FALSE)</f>
        <v>Electrosurgical Units, Monopolar/Bipolar</v>
      </c>
      <c r="SVK111" s="179" t="s">
        <v>428</v>
      </c>
      <c r="SVL111" s="180" t="str">
        <f>VLOOKUP(SVK111,[13]AssetDetails_UEM!$A$3:$AH$1849,6,FALSE)</f>
        <v>Electrosurgical Units, Monopolar/Bipolar</v>
      </c>
      <c r="SVM111" s="179" t="s">
        <v>428</v>
      </c>
      <c r="SVN111" s="180" t="str">
        <f>VLOOKUP(SVM111,[13]AssetDetails_UEM!$A$3:$AH$1849,6,FALSE)</f>
        <v>Electrosurgical Units, Monopolar/Bipolar</v>
      </c>
      <c r="SVO111" s="179" t="s">
        <v>428</v>
      </c>
      <c r="SVP111" s="180" t="str">
        <f>VLOOKUP(SVO111,[13]AssetDetails_UEM!$A$3:$AH$1849,6,FALSE)</f>
        <v>Electrosurgical Units, Monopolar/Bipolar</v>
      </c>
      <c r="SVQ111" s="179" t="s">
        <v>428</v>
      </c>
      <c r="SVR111" s="180" t="str">
        <f>VLOOKUP(SVQ111,[13]AssetDetails_UEM!$A$3:$AH$1849,6,FALSE)</f>
        <v>Electrosurgical Units, Monopolar/Bipolar</v>
      </c>
      <c r="SVS111" s="179" t="s">
        <v>428</v>
      </c>
      <c r="SVT111" s="180" t="str">
        <f>VLOOKUP(SVS111,[13]AssetDetails_UEM!$A$3:$AH$1849,6,FALSE)</f>
        <v>Electrosurgical Units, Monopolar/Bipolar</v>
      </c>
      <c r="SVU111" s="179" t="s">
        <v>428</v>
      </c>
      <c r="SVV111" s="180" t="str">
        <f>VLOOKUP(SVU111,[13]AssetDetails_UEM!$A$3:$AH$1849,6,FALSE)</f>
        <v>Electrosurgical Units, Monopolar/Bipolar</v>
      </c>
      <c r="SVW111" s="179" t="s">
        <v>428</v>
      </c>
      <c r="SVX111" s="180" t="str">
        <f>VLOOKUP(SVW111,[13]AssetDetails_UEM!$A$3:$AH$1849,6,FALSE)</f>
        <v>Electrosurgical Units, Monopolar/Bipolar</v>
      </c>
      <c r="SVY111" s="179" t="s">
        <v>428</v>
      </c>
      <c r="SVZ111" s="180" t="str">
        <f>VLOOKUP(SVY111,[13]AssetDetails_UEM!$A$3:$AH$1849,6,FALSE)</f>
        <v>Electrosurgical Units, Monopolar/Bipolar</v>
      </c>
      <c r="SWA111" s="179" t="s">
        <v>428</v>
      </c>
      <c r="SWB111" s="180" t="str">
        <f>VLOOKUP(SWA111,[13]AssetDetails_UEM!$A$3:$AH$1849,6,FALSE)</f>
        <v>Electrosurgical Units, Monopolar/Bipolar</v>
      </c>
      <c r="SWC111" s="179" t="s">
        <v>428</v>
      </c>
      <c r="SWD111" s="180" t="str">
        <f>VLOOKUP(SWC111,[13]AssetDetails_UEM!$A$3:$AH$1849,6,FALSE)</f>
        <v>Electrosurgical Units, Monopolar/Bipolar</v>
      </c>
      <c r="SWE111" s="179" t="s">
        <v>428</v>
      </c>
      <c r="SWF111" s="180" t="str">
        <f>VLOOKUP(SWE111,[13]AssetDetails_UEM!$A$3:$AH$1849,6,FALSE)</f>
        <v>Electrosurgical Units, Monopolar/Bipolar</v>
      </c>
      <c r="SWG111" s="179" t="s">
        <v>428</v>
      </c>
      <c r="SWH111" s="180" t="str">
        <f>VLOOKUP(SWG111,[13]AssetDetails_UEM!$A$3:$AH$1849,6,FALSE)</f>
        <v>Electrosurgical Units, Monopolar/Bipolar</v>
      </c>
      <c r="SWI111" s="179" t="s">
        <v>428</v>
      </c>
      <c r="SWJ111" s="180" t="str">
        <f>VLOOKUP(SWI111,[13]AssetDetails_UEM!$A$3:$AH$1849,6,FALSE)</f>
        <v>Electrosurgical Units, Monopolar/Bipolar</v>
      </c>
      <c r="SWK111" s="179" t="s">
        <v>428</v>
      </c>
      <c r="SWL111" s="180" t="str">
        <f>VLOOKUP(SWK111,[13]AssetDetails_UEM!$A$3:$AH$1849,6,FALSE)</f>
        <v>Electrosurgical Units, Monopolar/Bipolar</v>
      </c>
      <c r="SWM111" s="179" t="s">
        <v>428</v>
      </c>
      <c r="SWN111" s="180" t="str">
        <f>VLOOKUP(SWM111,[13]AssetDetails_UEM!$A$3:$AH$1849,6,FALSE)</f>
        <v>Electrosurgical Units, Monopolar/Bipolar</v>
      </c>
      <c r="SWO111" s="179" t="s">
        <v>428</v>
      </c>
      <c r="SWP111" s="180" t="str">
        <f>VLOOKUP(SWO111,[13]AssetDetails_UEM!$A$3:$AH$1849,6,FALSE)</f>
        <v>Electrosurgical Units, Monopolar/Bipolar</v>
      </c>
      <c r="SWQ111" s="179" t="s">
        <v>428</v>
      </c>
      <c r="SWR111" s="180" t="str">
        <f>VLOOKUP(SWQ111,[13]AssetDetails_UEM!$A$3:$AH$1849,6,FALSE)</f>
        <v>Electrosurgical Units, Monopolar/Bipolar</v>
      </c>
      <c r="SWS111" s="179" t="s">
        <v>428</v>
      </c>
      <c r="SWT111" s="180" t="str">
        <f>VLOOKUP(SWS111,[13]AssetDetails_UEM!$A$3:$AH$1849,6,FALSE)</f>
        <v>Electrosurgical Units, Monopolar/Bipolar</v>
      </c>
      <c r="SWU111" s="179" t="s">
        <v>428</v>
      </c>
      <c r="SWV111" s="180" t="str">
        <f>VLOOKUP(SWU111,[13]AssetDetails_UEM!$A$3:$AH$1849,6,FALSE)</f>
        <v>Electrosurgical Units, Monopolar/Bipolar</v>
      </c>
      <c r="SWW111" s="179" t="s">
        <v>428</v>
      </c>
      <c r="SWX111" s="180" t="str">
        <f>VLOOKUP(SWW111,[13]AssetDetails_UEM!$A$3:$AH$1849,6,FALSE)</f>
        <v>Electrosurgical Units, Monopolar/Bipolar</v>
      </c>
      <c r="SWY111" s="179" t="s">
        <v>428</v>
      </c>
      <c r="SWZ111" s="180" t="str">
        <f>VLOOKUP(SWY111,[13]AssetDetails_UEM!$A$3:$AH$1849,6,FALSE)</f>
        <v>Electrosurgical Units, Monopolar/Bipolar</v>
      </c>
      <c r="SXA111" s="179" t="s">
        <v>428</v>
      </c>
      <c r="SXB111" s="180" t="str">
        <f>VLOOKUP(SXA111,[13]AssetDetails_UEM!$A$3:$AH$1849,6,FALSE)</f>
        <v>Electrosurgical Units, Monopolar/Bipolar</v>
      </c>
      <c r="SXC111" s="179" t="s">
        <v>428</v>
      </c>
      <c r="SXD111" s="180" t="str">
        <f>VLOOKUP(SXC111,[13]AssetDetails_UEM!$A$3:$AH$1849,6,FALSE)</f>
        <v>Electrosurgical Units, Monopolar/Bipolar</v>
      </c>
      <c r="SXE111" s="179" t="s">
        <v>428</v>
      </c>
      <c r="SXF111" s="180" t="str">
        <f>VLOOKUP(SXE111,[13]AssetDetails_UEM!$A$3:$AH$1849,6,FALSE)</f>
        <v>Electrosurgical Units, Monopolar/Bipolar</v>
      </c>
      <c r="SXG111" s="179" t="s">
        <v>428</v>
      </c>
      <c r="SXH111" s="180" t="str">
        <f>VLOOKUP(SXG111,[13]AssetDetails_UEM!$A$3:$AH$1849,6,FALSE)</f>
        <v>Electrosurgical Units, Monopolar/Bipolar</v>
      </c>
      <c r="SXI111" s="179" t="s">
        <v>428</v>
      </c>
      <c r="SXJ111" s="180" t="str">
        <f>VLOOKUP(SXI111,[13]AssetDetails_UEM!$A$3:$AH$1849,6,FALSE)</f>
        <v>Electrosurgical Units, Monopolar/Bipolar</v>
      </c>
      <c r="SXK111" s="179" t="s">
        <v>428</v>
      </c>
      <c r="SXL111" s="180" t="str">
        <f>VLOOKUP(SXK111,[13]AssetDetails_UEM!$A$3:$AH$1849,6,FALSE)</f>
        <v>Electrosurgical Units, Monopolar/Bipolar</v>
      </c>
      <c r="SXM111" s="179" t="s">
        <v>428</v>
      </c>
      <c r="SXN111" s="180" t="str">
        <f>VLOOKUP(SXM111,[13]AssetDetails_UEM!$A$3:$AH$1849,6,FALSE)</f>
        <v>Electrosurgical Units, Monopolar/Bipolar</v>
      </c>
      <c r="SXO111" s="179" t="s">
        <v>428</v>
      </c>
      <c r="SXP111" s="180" t="str">
        <f>VLOOKUP(SXO111,[13]AssetDetails_UEM!$A$3:$AH$1849,6,FALSE)</f>
        <v>Electrosurgical Units, Monopolar/Bipolar</v>
      </c>
      <c r="SXQ111" s="179" t="s">
        <v>428</v>
      </c>
      <c r="SXR111" s="180" t="str">
        <f>VLOOKUP(SXQ111,[13]AssetDetails_UEM!$A$3:$AH$1849,6,FALSE)</f>
        <v>Electrosurgical Units, Monopolar/Bipolar</v>
      </c>
      <c r="SXS111" s="179" t="s">
        <v>428</v>
      </c>
      <c r="SXT111" s="180" t="str">
        <f>VLOOKUP(SXS111,[13]AssetDetails_UEM!$A$3:$AH$1849,6,FALSE)</f>
        <v>Electrosurgical Units, Monopolar/Bipolar</v>
      </c>
      <c r="SXU111" s="179" t="s">
        <v>428</v>
      </c>
      <c r="SXV111" s="180" t="str">
        <f>VLOOKUP(SXU111,[13]AssetDetails_UEM!$A$3:$AH$1849,6,FALSE)</f>
        <v>Electrosurgical Units, Monopolar/Bipolar</v>
      </c>
      <c r="SXW111" s="179" t="s">
        <v>428</v>
      </c>
      <c r="SXX111" s="180" t="str">
        <f>VLOOKUP(SXW111,[13]AssetDetails_UEM!$A$3:$AH$1849,6,FALSE)</f>
        <v>Electrosurgical Units, Monopolar/Bipolar</v>
      </c>
      <c r="SXY111" s="179" t="s">
        <v>428</v>
      </c>
      <c r="SXZ111" s="180" t="str">
        <f>VLOOKUP(SXY111,[13]AssetDetails_UEM!$A$3:$AH$1849,6,FALSE)</f>
        <v>Electrosurgical Units, Monopolar/Bipolar</v>
      </c>
      <c r="SYA111" s="179" t="s">
        <v>428</v>
      </c>
      <c r="SYB111" s="180" t="str">
        <f>VLOOKUP(SYA111,[13]AssetDetails_UEM!$A$3:$AH$1849,6,FALSE)</f>
        <v>Electrosurgical Units, Monopolar/Bipolar</v>
      </c>
      <c r="SYC111" s="179" t="s">
        <v>428</v>
      </c>
      <c r="SYD111" s="180" t="str">
        <f>VLOOKUP(SYC111,[13]AssetDetails_UEM!$A$3:$AH$1849,6,FALSE)</f>
        <v>Electrosurgical Units, Monopolar/Bipolar</v>
      </c>
      <c r="SYE111" s="179" t="s">
        <v>428</v>
      </c>
      <c r="SYF111" s="180" t="str">
        <f>VLOOKUP(SYE111,[13]AssetDetails_UEM!$A$3:$AH$1849,6,FALSE)</f>
        <v>Electrosurgical Units, Monopolar/Bipolar</v>
      </c>
      <c r="SYG111" s="179" t="s">
        <v>428</v>
      </c>
      <c r="SYH111" s="180" t="str">
        <f>VLOOKUP(SYG111,[13]AssetDetails_UEM!$A$3:$AH$1849,6,FALSE)</f>
        <v>Electrosurgical Units, Monopolar/Bipolar</v>
      </c>
      <c r="SYI111" s="179" t="s">
        <v>428</v>
      </c>
      <c r="SYJ111" s="180" t="str">
        <f>VLOOKUP(SYI111,[13]AssetDetails_UEM!$A$3:$AH$1849,6,FALSE)</f>
        <v>Electrosurgical Units, Monopolar/Bipolar</v>
      </c>
      <c r="SYK111" s="179" t="s">
        <v>428</v>
      </c>
      <c r="SYL111" s="180" t="str">
        <f>VLOOKUP(SYK111,[13]AssetDetails_UEM!$A$3:$AH$1849,6,FALSE)</f>
        <v>Electrosurgical Units, Monopolar/Bipolar</v>
      </c>
      <c r="SYM111" s="179" t="s">
        <v>428</v>
      </c>
      <c r="SYN111" s="180" t="str">
        <f>VLOOKUP(SYM111,[13]AssetDetails_UEM!$A$3:$AH$1849,6,FALSE)</f>
        <v>Electrosurgical Units, Monopolar/Bipolar</v>
      </c>
      <c r="SYO111" s="179" t="s">
        <v>428</v>
      </c>
      <c r="SYP111" s="180" t="str">
        <f>VLOOKUP(SYO111,[13]AssetDetails_UEM!$A$3:$AH$1849,6,FALSE)</f>
        <v>Electrosurgical Units, Monopolar/Bipolar</v>
      </c>
      <c r="SYQ111" s="179" t="s">
        <v>428</v>
      </c>
      <c r="SYR111" s="180" t="str">
        <f>VLOOKUP(SYQ111,[13]AssetDetails_UEM!$A$3:$AH$1849,6,FALSE)</f>
        <v>Electrosurgical Units, Monopolar/Bipolar</v>
      </c>
      <c r="SYS111" s="179" t="s">
        <v>428</v>
      </c>
      <c r="SYT111" s="180" t="str">
        <f>VLOOKUP(SYS111,[13]AssetDetails_UEM!$A$3:$AH$1849,6,FALSE)</f>
        <v>Electrosurgical Units, Monopolar/Bipolar</v>
      </c>
      <c r="SYU111" s="179" t="s">
        <v>428</v>
      </c>
      <c r="SYV111" s="180" t="str">
        <f>VLOOKUP(SYU111,[13]AssetDetails_UEM!$A$3:$AH$1849,6,FALSE)</f>
        <v>Electrosurgical Units, Monopolar/Bipolar</v>
      </c>
      <c r="SYW111" s="179" t="s">
        <v>428</v>
      </c>
      <c r="SYX111" s="180" t="str">
        <f>VLOOKUP(SYW111,[13]AssetDetails_UEM!$A$3:$AH$1849,6,FALSE)</f>
        <v>Electrosurgical Units, Monopolar/Bipolar</v>
      </c>
      <c r="SYY111" s="179" t="s">
        <v>428</v>
      </c>
      <c r="SYZ111" s="180" t="str">
        <f>VLOOKUP(SYY111,[13]AssetDetails_UEM!$A$3:$AH$1849,6,FALSE)</f>
        <v>Electrosurgical Units, Monopolar/Bipolar</v>
      </c>
      <c r="SZA111" s="179" t="s">
        <v>428</v>
      </c>
      <c r="SZB111" s="180" t="str">
        <f>VLOOKUP(SZA111,[13]AssetDetails_UEM!$A$3:$AH$1849,6,FALSE)</f>
        <v>Electrosurgical Units, Monopolar/Bipolar</v>
      </c>
      <c r="SZC111" s="179" t="s">
        <v>428</v>
      </c>
      <c r="SZD111" s="180" t="str">
        <f>VLOOKUP(SZC111,[13]AssetDetails_UEM!$A$3:$AH$1849,6,FALSE)</f>
        <v>Electrosurgical Units, Monopolar/Bipolar</v>
      </c>
      <c r="SZE111" s="179" t="s">
        <v>428</v>
      </c>
      <c r="SZF111" s="180" t="str">
        <f>VLOOKUP(SZE111,[13]AssetDetails_UEM!$A$3:$AH$1849,6,FALSE)</f>
        <v>Electrosurgical Units, Monopolar/Bipolar</v>
      </c>
      <c r="SZG111" s="179" t="s">
        <v>428</v>
      </c>
      <c r="SZH111" s="180" t="str">
        <f>VLOOKUP(SZG111,[13]AssetDetails_UEM!$A$3:$AH$1849,6,FALSE)</f>
        <v>Electrosurgical Units, Monopolar/Bipolar</v>
      </c>
      <c r="SZI111" s="179" t="s">
        <v>428</v>
      </c>
      <c r="SZJ111" s="180" t="str">
        <f>VLOOKUP(SZI111,[13]AssetDetails_UEM!$A$3:$AH$1849,6,FALSE)</f>
        <v>Electrosurgical Units, Monopolar/Bipolar</v>
      </c>
      <c r="SZK111" s="179" t="s">
        <v>428</v>
      </c>
      <c r="SZL111" s="180" t="str">
        <f>VLOOKUP(SZK111,[13]AssetDetails_UEM!$A$3:$AH$1849,6,FALSE)</f>
        <v>Electrosurgical Units, Monopolar/Bipolar</v>
      </c>
      <c r="SZM111" s="179" t="s">
        <v>428</v>
      </c>
      <c r="SZN111" s="180" t="str">
        <f>VLOOKUP(SZM111,[13]AssetDetails_UEM!$A$3:$AH$1849,6,FALSE)</f>
        <v>Electrosurgical Units, Monopolar/Bipolar</v>
      </c>
      <c r="SZO111" s="179" t="s">
        <v>428</v>
      </c>
      <c r="SZP111" s="180" t="str">
        <f>VLOOKUP(SZO111,[13]AssetDetails_UEM!$A$3:$AH$1849,6,FALSE)</f>
        <v>Electrosurgical Units, Monopolar/Bipolar</v>
      </c>
      <c r="SZQ111" s="179" t="s">
        <v>428</v>
      </c>
      <c r="SZR111" s="180" t="str">
        <f>VLOOKUP(SZQ111,[13]AssetDetails_UEM!$A$3:$AH$1849,6,FALSE)</f>
        <v>Electrosurgical Units, Monopolar/Bipolar</v>
      </c>
      <c r="SZS111" s="179" t="s">
        <v>428</v>
      </c>
      <c r="SZT111" s="180" t="str">
        <f>VLOOKUP(SZS111,[13]AssetDetails_UEM!$A$3:$AH$1849,6,FALSE)</f>
        <v>Electrosurgical Units, Monopolar/Bipolar</v>
      </c>
      <c r="SZU111" s="179" t="s">
        <v>428</v>
      </c>
      <c r="SZV111" s="180" t="str">
        <f>VLOOKUP(SZU111,[13]AssetDetails_UEM!$A$3:$AH$1849,6,FALSE)</f>
        <v>Electrosurgical Units, Monopolar/Bipolar</v>
      </c>
      <c r="SZW111" s="179" t="s">
        <v>428</v>
      </c>
      <c r="SZX111" s="180" t="str">
        <f>VLOOKUP(SZW111,[13]AssetDetails_UEM!$A$3:$AH$1849,6,FALSE)</f>
        <v>Electrosurgical Units, Monopolar/Bipolar</v>
      </c>
      <c r="SZY111" s="179" t="s">
        <v>428</v>
      </c>
      <c r="SZZ111" s="180" t="str">
        <f>VLOOKUP(SZY111,[13]AssetDetails_UEM!$A$3:$AH$1849,6,FALSE)</f>
        <v>Electrosurgical Units, Monopolar/Bipolar</v>
      </c>
      <c r="TAA111" s="179" t="s">
        <v>428</v>
      </c>
      <c r="TAB111" s="180" t="str">
        <f>VLOOKUP(TAA111,[13]AssetDetails_UEM!$A$3:$AH$1849,6,FALSE)</f>
        <v>Electrosurgical Units, Monopolar/Bipolar</v>
      </c>
      <c r="TAC111" s="179" t="s">
        <v>428</v>
      </c>
      <c r="TAD111" s="180" t="str">
        <f>VLOOKUP(TAC111,[13]AssetDetails_UEM!$A$3:$AH$1849,6,FALSE)</f>
        <v>Electrosurgical Units, Monopolar/Bipolar</v>
      </c>
      <c r="TAE111" s="179" t="s">
        <v>428</v>
      </c>
      <c r="TAF111" s="180" t="str">
        <f>VLOOKUP(TAE111,[13]AssetDetails_UEM!$A$3:$AH$1849,6,FALSE)</f>
        <v>Electrosurgical Units, Monopolar/Bipolar</v>
      </c>
      <c r="TAG111" s="179" t="s">
        <v>428</v>
      </c>
      <c r="TAH111" s="180" t="str">
        <f>VLOOKUP(TAG111,[13]AssetDetails_UEM!$A$3:$AH$1849,6,FALSE)</f>
        <v>Electrosurgical Units, Monopolar/Bipolar</v>
      </c>
      <c r="TAI111" s="179" t="s">
        <v>428</v>
      </c>
      <c r="TAJ111" s="180" t="str">
        <f>VLOOKUP(TAI111,[13]AssetDetails_UEM!$A$3:$AH$1849,6,FALSE)</f>
        <v>Electrosurgical Units, Monopolar/Bipolar</v>
      </c>
      <c r="TAK111" s="179" t="s">
        <v>428</v>
      </c>
      <c r="TAL111" s="180" t="str">
        <f>VLOOKUP(TAK111,[13]AssetDetails_UEM!$A$3:$AH$1849,6,FALSE)</f>
        <v>Electrosurgical Units, Monopolar/Bipolar</v>
      </c>
      <c r="TAM111" s="179" t="s">
        <v>428</v>
      </c>
      <c r="TAN111" s="180" t="str">
        <f>VLOOKUP(TAM111,[13]AssetDetails_UEM!$A$3:$AH$1849,6,FALSE)</f>
        <v>Electrosurgical Units, Monopolar/Bipolar</v>
      </c>
      <c r="TAO111" s="179" t="s">
        <v>428</v>
      </c>
      <c r="TAP111" s="180" t="str">
        <f>VLOOKUP(TAO111,[13]AssetDetails_UEM!$A$3:$AH$1849,6,FALSE)</f>
        <v>Electrosurgical Units, Monopolar/Bipolar</v>
      </c>
      <c r="TAQ111" s="179" t="s">
        <v>428</v>
      </c>
      <c r="TAR111" s="180" t="str">
        <f>VLOOKUP(TAQ111,[13]AssetDetails_UEM!$A$3:$AH$1849,6,FALSE)</f>
        <v>Electrosurgical Units, Monopolar/Bipolar</v>
      </c>
      <c r="TAS111" s="179" t="s">
        <v>428</v>
      </c>
      <c r="TAT111" s="180" t="str">
        <f>VLOOKUP(TAS111,[13]AssetDetails_UEM!$A$3:$AH$1849,6,FALSE)</f>
        <v>Electrosurgical Units, Monopolar/Bipolar</v>
      </c>
      <c r="TAU111" s="179" t="s">
        <v>428</v>
      </c>
      <c r="TAV111" s="180" t="str">
        <f>VLOOKUP(TAU111,[13]AssetDetails_UEM!$A$3:$AH$1849,6,FALSE)</f>
        <v>Electrosurgical Units, Monopolar/Bipolar</v>
      </c>
      <c r="TAW111" s="179" t="s">
        <v>428</v>
      </c>
      <c r="TAX111" s="180" t="str">
        <f>VLOOKUP(TAW111,[13]AssetDetails_UEM!$A$3:$AH$1849,6,FALSE)</f>
        <v>Electrosurgical Units, Monopolar/Bipolar</v>
      </c>
      <c r="TAY111" s="179" t="s">
        <v>428</v>
      </c>
      <c r="TAZ111" s="180" t="str">
        <f>VLOOKUP(TAY111,[13]AssetDetails_UEM!$A$3:$AH$1849,6,FALSE)</f>
        <v>Electrosurgical Units, Monopolar/Bipolar</v>
      </c>
      <c r="TBA111" s="179" t="s">
        <v>428</v>
      </c>
      <c r="TBB111" s="180" t="str">
        <f>VLOOKUP(TBA111,[13]AssetDetails_UEM!$A$3:$AH$1849,6,FALSE)</f>
        <v>Electrosurgical Units, Monopolar/Bipolar</v>
      </c>
      <c r="TBC111" s="179" t="s">
        <v>428</v>
      </c>
      <c r="TBD111" s="180" t="str">
        <f>VLOOKUP(TBC111,[13]AssetDetails_UEM!$A$3:$AH$1849,6,FALSE)</f>
        <v>Electrosurgical Units, Monopolar/Bipolar</v>
      </c>
      <c r="TBE111" s="179" t="s">
        <v>428</v>
      </c>
      <c r="TBF111" s="180" t="str">
        <f>VLOOKUP(TBE111,[13]AssetDetails_UEM!$A$3:$AH$1849,6,FALSE)</f>
        <v>Electrosurgical Units, Monopolar/Bipolar</v>
      </c>
      <c r="TBG111" s="179" t="s">
        <v>428</v>
      </c>
      <c r="TBH111" s="180" t="str">
        <f>VLOOKUP(TBG111,[13]AssetDetails_UEM!$A$3:$AH$1849,6,FALSE)</f>
        <v>Electrosurgical Units, Monopolar/Bipolar</v>
      </c>
      <c r="TBI111" s="179" t="s">
        <v>428</v>
      </c>
      <c r="TBJ111" s="180" t="str">
        <f>VLOOKUP(TBI111,[13]AssetDetails_UEM!$A$3:$AH$1849,6,FALSE)</f>
        <v>Electrosurgical Units, Monopolar/Bipolar</v>
      </c>
      <c r="TBK111" s="179" t="s">
        <v>428</v>
      </c>
      <c r="TBL111" s="180" t="str">
        <f>VLOOKUP(TBK111,[13]AssetDetails_UEM!$A$3:$AH$1849,6,FALSE)</f>
        <v>Electrosurgical Units, Monopolar/Bipolar</v>
      </c>
      <c r="TBM111" s="179" t="s">
        <v>428</v>
      </c>
      <c r="TBN111" s="180" t="str">
        <f>VLOOKUP(TBM111,[13]AssetDetails_UEM!$A$3:$AH$1849,6,FALSE)</f>
        <v>Electrosurgical Units, Monopolar/Bipolar</v>
      </c>
      <c r="TBO111" s="179" t="s">
        <v>428</v>
      </c>
      <c r="TBP111" s="180" t="str">
        <f>VLOOKUP(TBO111,[13]AssetDetails_UEM!$A$3:$AH$1849,6,FALSE)</f>
        <v>Electrosurgical Units, Monopolar/Bipolar</v>
      </c>
      <c r="TBQ111" s="179" t="s">
        <v>428</v>
      </c>
      <c r="TBR111" s="180" t="str">
        <f>VLOOKUP(TBQ111,[13]AssetDetails_UEM!$A$3:$AH$1849,6,FALSE)</f>
        <v>Electrosurgical Units, Monopolar/Bipolar</v>
      </c>
      <c r="TBS111" s="179" t="s">
        <v>428</v>
      </c>
      <c r="TBT111" s="180" t="str">
        <f>VLOOKUP(TBS111,[13]AssetDetails_UEM!$A$3:$AH$1849,6,FALSE)</f>
        <v>Electrosurgical Units, Monopolar/Bipolar</v>
      </c>
      <c r="TBU111" s="179" t="s">
        <v>428</v>
      </c>
      <c r="TBV111" s="180" t="str">
        <f>VLOOKUP(TBU111,[13]AssetDetails_UEM!$A$3:$AH$1849,6,FALSE)</f>
        <v>Electrosurgical Units, Monopolar/Bipolar</v>
      </c>
      <c r="TBW111" s="179" t="s">
        <v>428</v>
      </c>
      <c r="TBX111" s="180" t="str">
        <f>VLOOKUP(TBW111,[13]AssetDetails_UEM!$A$3:$AH$1849,6,FALSE)</f>
        <v>Electrosurgical Units, Monopolar/Bipolar</v>
      </c>
      <c r="TBY111" s="179" t="s">
        <v>428</v>
      </c>
      <c r="TBZ111" s="180" t="str">
        <f>VLOOKUP(TBY111,[13]AssetDetails_UEM!$A$3:$AH$1849,6,FALSE)</f>
        <v>Electrosurgical Units, Monopolar/Bipolar</v>
      </c>
      <c r="TCA111" s="179" t="s">
        <v>428</v>
      </c>
      <c r="TCB111" s="180" t="str">
        <f>VLOOKUP(TCA111,[13]AssetDetails_UEM!$A$3:$AH$1849,6,FALSE)</f>
        <v>Electrosurgical Units, Monopolar/Bipolar</v>
      </c>
      <c r="TCC111" s="179" t="s">
        <v>428</v>
      </c>
      <c r="TCD111" s="180" t="str">
        <f>VLOOKUP(TCC111,[13]AssetDetails_UEM!$A$3:$AH$1849,6,FALSE)</f>
        <v>Electrosurgical Units, Monopolar/Bipolar</v>
      </c>
      <c r="TCE111" s="179" t="s">
        <v>428</v>
      </c>
      <c r="TCF111" s="180" t="str">
        <f>VLOOKUP(TCE111,[13]AssetDetails_UEM!$A$3:$AH$1849,6,FALSE)</f>
        <v>Electrosurgical Units, Monopolar/Bipolar</v>
      </c>
      <c r="TCG111" s="179" t="s">
        <v>428</v>
      </c>
      <c r="TCH111" s="180" t="str">
        <f>VLOOKUP(TCG111,[13]AssetDetails_UEM!$A$3:$AH$1849,6,FALSE)</f>
        <v>Electrosurgical Units, Monopolar/Bipolar</v>
      </c>
      <c r="TCI111" s="179" t="s">
        <v>428</v>
      </c>
      <c r="TCJ111" s="180" t="str">
        <f>VLOOKUP(TCI111,[13]AssetDetails_UEM!$A$3:$AH$1849,6,FALSE)</f>
        <v>Electrosurgical Units, Monopolar/Bipolar</v>
      </c>
      <c r="TCK111" s="179" t="s">
        <v>428</v>
      </c>
      <c r="TCL111" s="180" t="str">
        <f>VLOOKUP(TCK111,[13]AssetDetails_UEM!$A$3:$AH$1849,6,FALSE)</f>
        <v>Electrosurgical Units, Monopolar/Bipolar</v>
      </c>
      <c r="TCM111" s="179" t="s">
        <v>428</v>
      </c>
      <c r="TCN111" s="180" t="str">
        <f>VLOOKUP(TCM111,[13]AssetDetails_UEM!$A$3:$AH$1849,6,FALSE)</f>
        <v>Electrosurgical Units, Monopolar/Bipolar</v>
      </c>
      <c r="TCO111" s="179" t="s">
        <v>428</v>
      </c>
      <c r="TCP111" s="180" t="str">
        <f>VLOOKUP(TCO111,[13]AssetDetails_UEM!$A$3:$AH$1849,6,FALSE)</f>
        <v>Electrosurgical Units, Monopolar/Bipolar</v>
      </c>
      <c r="TCQ111" s="179" t="s">
        <v>428</v>
      </c>
      <c r="TCR111" s="180" t="str">
        <f>VLOOKUP(TCQ111,[13]AssetDetails_UEM!$A$3:$AH$1849,6,FALSE)</f>
        <v>Electrosurgical Units, Monopolar/Bipolar</v>
      </c>
      <c r="TCS111" s="179" t="s">
        <v>428</v>
      </c>
      <c r="TCT111" s="180" t="str">
        <f>VLOOKUP(TCS111,[13]AssetDetails_UEM!$A$3:$AH$1849,6,FALSE)</f>
        <v>Electrosurgical Units, Monopolar/Bipolar</v>
      </c>
      <c r="TCU111" s="179" t="s">
        <v>428</v>
      </c>
      <c r="TCV111" s="180" t="str">
        <f>VLOOKUP(TCU111,[13]AssetDetails_UEM!$A$3:$AH$1849,6,FALSE)</f>
        <v>Electrosurgical Units, Monopolar/Bipolar</v>
      </c>
      <c r="TCW111" s="179" t="s">
        <v>428</v>
      </c>
      <c r="TCX111" s="180" t="str">
        <f>VLOOKUP(TCW111,[13]AssetDetails_UEM!$A$3:$AH$1849,6,FALSE)</f>
        <v>Electrosurgical Units, Monopolar/Bipolar</v>
      </c>
      <c r="TCY111" s="179" t="s">
        <v>428</v>
      </c>
      <c r="TCZ111" s="180" t="str">
        <f>VLOOKUP(TCY111,[13]AssetDetails_UEM!$A$3:$AH$1849,6,FALSE)</f>
        <v>Electrosurgical Units, Monopolar/Bipolar</v>
      </c>
      <c r="TDA111" s="179" t="s">
        <v>428</v>
      </c>
      <c r="TDB111" s="180" t="str">
        <f>VLOOKUP(TDA111,[13]AssetDetails_UEM!$A$3:$AH$1849,6,FALSE)</f>
        <v>Electrosurgical Units, Monopolar/Bipolar</v>
      </c>
      <c r="TDC111" s="179" t="s">
        <v>428</v>
      </c>
      <c r="TDD111" s="180" t="str">
        <f>VLOOKUP(TDC111,[13]AssetDetails_UEM!$A$3:$AH$1849,6,FALSE)</f>
        <v>Electrosurgical Units, Monopolar/Bipolar</v>
      </c>
      <c r="TDE111" s="179" t="s">
        <v>428</v>
      </c>
      <c r="TDF111" s="180" t="str">
        <f>VLOOKUP(TDE111,[13]AssetDetails_UEM!$A$3:$AH$1849,6,FALSE)</f>
        <v>Electrosurgical Units, Monopolar/Bipolar</v>
      </c>
      <c r="TDG111" s="179" t="s">
        <v>428</v>
      </c>
      <c r="TDH111" s="180" t="str">
        <f>VLOOKUP(TDG111,[13]AssetDetails_UEM!$A$3:$AH$1849,6,FALSE)</f>
        <v>Electrosurgical Units, Monopolar/Bipolar</v>
      </c>
      <c r="TDI111" s="179" t="s">
        <v>428</v>
      </c>
      <c r="TDJ111" s="180" t="str">
        <f>VLOOKUP(TDI111,[13]AssetDetails_UEM!$A$3:$AH$1849,6,FALSE)</f>
        <v>Electrosurgical Units, Monopolar/Bipolar</v>
      </c>
      <c r="TDK111" s="179" t="s">
        <v>428</v>
      </c>
      <c r="TDL111" s="180" t="str">
        <f>VLOOKUP(TDK111,[13]AssetDetails_UEM!$A$3:$AH$1849,6,FALSE)</f>
        <v>Electrosurgical Units, Monopolar/Bipolar</v>
      </c>
      <c r="TDM111" s="179" t="s">
        <v>428</v>
      </c>
      <c r="TDN111" s="180" t="str">
        <f>VLOOKUP(TDM111,[13]AssetDetails_UEM!$A$3:$AH$1849,6,FALSE)</f>
        <v>Electrosurgical Units, Monopolar/Bipolar</v>
      </c>
      <c r="TDO111" s="179" t="s">
        <v>428</v>
      </c>
      <c r="TDP111" s="180" t="str">
        <f>VLOOKUP(TDO111,[13]AssetDetails_UEM!$A$3:$AH$1849,6,FALSE)</f>
        <v>Electrosurgical Units, Monopolar/Bipolar</v>
      </c>
      <c r="TDQ111" s="179" t="s">
        <v>428</v>
      </c>
      <c r="TDR111" s="180" t="str">
        <f>VLOOKUP(TDQ111,[13]AssetDetails_UEM!$A$3:$AH$1849,6,FALSE)</f>
        <v>Electrosurgical Units, Monopolar/Bipolar</v>
      </c>
      <c r="TDS111" s="179" t="s">
        <v>428</v>
      </c>
      <c r="TDT111" s="180" t="str">
        <f>VLOOKUP(TDS111,[13]AssetDetails_UEM!$A$3:$AH$1849,6,FALSE)</f>
        <v>Electrosurgical Units, Monopolar/Bipolar</v>
      </c>
      <c r="TDU111" s="179" t="s">
        <v>428</v>
      </c>
      <c r="TDV111" s="180" t="str">
        <f>VLOOKUP(TDU111,[13]AssetDetails_UEM!$A$3:$AH$1849,6,FALSE)</f>
        <v>Electrosurgical Units, Monopolar/Bipolar</v>
      </c>
      <c r="TDW111" s="179" t="s">
        <v>428</v>
      </c>
      <c r="TDX111" s="180" t="str">
        <f>VLOOKUP(TDW111,[13]AssetDetails_UEM!$A$3:$AH$1849,6,FALSE)</f>
        <v>Electrosurgical Units, Monopolar/Bipolar</v>
      </c>
      <c r="TDY111" s="179" t="s">
        <v>428</v>
      </c>
      <c r="TDZ111" s="180" t="str">
        <f>VLOOKUP(TDY111,[13]AssetDetails_UEM!$A$3:$AH$1849,6,FALSE)</f>
        <v>Electrosurgical Units, Monopolar/Bipolar</v>
      </c>
      <c r="TEA111" s="179" t="s">
        <v>428</v>
      </c>
      <c r="TEB111" s="180" t="str">
        <f>VLOOKUP(TEA111,[13]AssetDetails_UEM!$A$3:$AH$1849,6,FALSE)</f>
        <v>Electrosurgical Units, Monopolar/Bipolar</v>
      </c>
      <c r="TEC111" s="179" t="s">
        <v>428</v>
      </c>
      <c r="TED111" s="180" t="str">
        <f>VLOOKUP(TEC111,[13]AssetDetails_UEM!$A$3:$AH$1849,6,FALSE)</f>
        <v>Electrosurgical Units, Monopolar/Bipolar</v>
      </c>
      <c r="TEE111" s="179" t="s">
        <v>428</v>
      </c>
      <c r="TEF111" s="180" t="str">
        <f>VLOOKUP(TEE111,[13]AssetDetails_UEM!$A$3:$AH$1849,6,FALSE)</f>
        <v>Electrosurgical Units, Monopolar/Bipolar</v>
      </c>
      <c r="TEG111" s="179" t="s">
        <v>428</v>
      </c>
      <c r="TEH111" s="180" t="str">
        <f>VLOOKUP(TEG111,[13]AssetDetails_UEM!$A$3:$AH$1849,6,FALSE)</f>
        <v>Electrosurgical Units, Monopolar/Bipolar</v>
      </c>
      <c r="TEI111" s="179" t="s">
        <v>428</v>
      </c>
      <c r="TEJ111" s="180" t="str">
        <f>VLOOKUP(TEI111,[13]AssetDetails_UEM!$A$3:$AH$1849,6,FALSE)</f>
        <v>Electrosurgical Units, Monopolar/Bipolar</v>
      </c>
      <c r="TEK111" s="179" t="s">
        <v>428</v>
      </c>
      <c r="TEL111" s="180" t="str">
        <f>VLOOKUP(TEK111,[13]AssetDetails_UEM!$A$3:$AH$1849,6,FALSE)</f>
        <v>Electrosurgical Units, Monopolar/Bipolar</v>
      </c>
      <c r="TEM111" s="179" t="s">
        <v>428</v>
      </c>
      <c r="TEN111" s="180" t="str">
        <f>VLOOKUP(TEM111,[13]AssetDetails_UEM!$A$3:$AH$1849,6,FALSE)</f>
        <v>Electrosurgical Units, Monopolar/Bipolar</v>
      </c>
      <c r="TEO111" s="179" t="s">
        <v>428</v>
      </c>
      <c r="TEP111" s="180" t="str">
        <f>VLOOKUP(TEO111,[13]AssetDetails_UEM!$A$3:$AH$1849,6,FALSE)</f>
        <v>Electrosurgical Units, Monopolar/Bipolar</v>
      </c>
      <c r="TEQ111" s="179" t="s">
        <v>428</v>
      </c>
      <c r="TER111" s="180" t="str">
        <f>VLOOKUP(TEQ111,[13]AssetDetails_UEM!$A$3:$AH$1849,6,FALSE)</f>
        <v>Electrosurgical Units, Monopolar/Bipolar</v>
      </c>
      <c r="TES111" s="179" t="s">
        <v>428</v>
      </c>
      <c r="TET111" s="180" t="str">
        <f>VLOOKUP(TES111,[13]AssetDetails_UEM!$A$3:$AH$1849,6,FALSE)</f>
        <v>Electrosurgical Units, Monopolar/Bipolar</v>
      </c>
      <c r="TEU111" s="179" t="s">
        <v>428</v>
      </c>
      <c r="TEV111" s="180" t="str">
        <f>VLOOKUP(TEU111,[13]AssetDetails_UEM!$A$3:$AH$1849,6,FALSE)</f>
        <v>Electrosurgical Units, Monopolar/Bipolar</v>
      </c>
      <c r="TEW111" s="179" t="s">
        <v>428</v>
      </c>
      <c r="TEX111" s="180" t="str">
        <f>VLOOKUP(TEW111,[13]AssetDetails_UEM!$A$3:$AH$1849,6,FALSE)</f>
        <v>Electrosurgical Units, Monopolar/Bipolar</v>
      </c>
      <c r="TEY111" s="179" t="s">
        <v>428</v>
      </c>
      <c r="TEZ111" s="180" t="str">
        <f>VLOOKUP(TEY111,[13]AssetDetails_UEM!$A$3:$AH$1849,6,FALSE)</f>
        <v>Electrosurgical Units, Monopolar/Bipolar</v>
      </c>
      <c r="TFA111" s="179" t="s">
        <v>428</v>
      </c>
      <c r="TFB111" s="180" t="str">
        <f>VLOOKUP(TFA111,[13]AssetDetails_UEM!$A$3:$AH$1849,6,FALSE)</f>
        <v>Electrosurgical Units, Monopolar/Bipolar</v>
      </c>
      <c r="TFC111" s="179" t="s">
        <v>428</v>
      </c>
      <c r="TFD111" s="180" t="str">
        <f>VLOOKUP(TFC111,[13]AssetDetails_UEM!$A$3:$AH$1849,6,FALSE)</f>
        <v>Electrosurgical Units, Monopolar/Bipolar</v>
      </c>
      <c r="TFE111" s="179" t="s">
        <v>428</v>
      </c>
      <c r="TFF111" s="180" t="str">
        <f>VLOOKUP(TFE111,[13]AssetDetails_UEM!$A$3:$AH$1849,6,FALSE)</f>
        <v>Electrosurgical Units, Monopolar/Bipolar</v>
      </c>
      <c r="TFG111" s="179" t="s">
        <v>428</v>
      </c>
      <c r="TFH111" s="180" t="str">
        <f>VLOOKUP(TFG111,[13]AssetDetails_UEM!$A$3:$AH$1849,6,FALSE)</f>
        <v>Electrosurgical Units, Monopolar/Bipolar</v>
      </c>
      <c r="TFI111" s="179" t="s">
        <v>428</v>
      </c>
      <c r="TFJ111" s="180" t="str">
        <f>VLOOKUP(TFI111,[13]AssetDetails_UEM!$A$3:$AH$1849,6,FALSE)</f>
        <v>Electrosurgical Units, Monopolar/Bipolar</v>
      </c>
      <c r="TFK111" s="179" t="s">
        <v>428</v>
      </c>
      <c r="TFL111" s="180" t="str">
        <f>VLOOKUP(TFK111,[13]AssetDetails_UEM!$A$3:$AH$1849,6,FALSE)</f>
        <v>Electrosurgical Units, Monopolar/Bipolar</v>
      </c>
      <c r="TFM111" s="179" t="s">
        <v>428</v>
      </c>
      <c r="TFN111" s="180" t="str">
        <f>VLOOKUP(TFM111,[13]AssetDetails_UEM!$A$3:$AH$1849,6,FALSE)</f>
        <v>Electrosurgical Units, Monopolar/Bipolar</v>
      </c>
      <c r="TFO111" s="179" t="s">
        <v>428</v>
      </c>
      <c r="TFP111" s="180" t="str">
        <f>VLOOKUP(TFO111,[13]AssetDetails_UEM!$A$3:$AH$1849,6,FALSE)</f>
        <v>Electrosurgical Units, Monopolar/Bipolar</v>
      </c>
      <c r="TFQ111" s="179" t="s">
        <v>428</v>
      </c>
      <c r="TFR111" s="180" t="str">
        <f>VLOOKUP(TFQ111,[13]AssetDetails_UEM!$A$3:$AH$1849,6,FALSE)</f>
        <v>Electrosurgical Units, Monopolar/Bipolar</v>
      </c>
      <c r="TFS111" s="179" t="s">
        <v>428</v>
      </c>
      <c r="TFT111" s="180" t="str">
        <f>VLOOKUP(TFS111,[13]AssetDetails_UEM!$A$3:$AH$1849,6,FALSE)</f>
        <v>Electrosurgical Units, Monopolar/Bipolar</v>
      </c>
      <c r="TFU111" s="179" t="s">
        <v>428</v>
      </c>
      <c r="TFV111" s="180" t="str">
        <f>VLOOKUP(TFU111,[13]AssetDetails_UEM!$A$3:$AH$1849,6,FALSE)</f>
        <v>Electrosurgical Units, Monopolar/Bipolar</v>
      </c>
      <c r="TFW111" s="179" t="s">
        <v>428</v>
      </c>
      <c r="TFX111" s="180" t="str">
        <f>VLOOKUP(TFW111,[13]AssetDetails_UEM!$A$3:$AH$1849,6,FALSE)</f>
        <v>Electrosurgical Units, Monopolar/Bipolar</v>
      </c>
      <c r="TFY111" s="179" t="s">
        <v>428</v>
      </c>
      <c r="TFZ111" s="180" t="str">
        <f>VLOOKUP(TFY111,[13]AssetDetails_UEM!$A$3:$AH$1849,6,FALSE)</f>
        <v>Electrosurgical Units, Monopolar/Bipolar</v>
      </c>
      <c r="TGA111" s="179" t="s">
        <v>428</v>
      </c>
      <c r="TGB111" s="180" t="str">
        <f>VLOOKUP(TGA111,[13]AssetDetails_UEM!$A$3:$AH$1849,6,FALSE)</f>
        <v>Electrosurgical Units, Monopolar/Bipolar</v>
      </c>
      <c r="TGC111" s="179" t="s">
        <v>428</v>
      </c>
      <c r="TGD111" s="180" t="str">
        <f>VLOOKUP(TGC111,[13]AssetDetails_UEM!$A$3:$AH$1849,6,FALSE)</f>
        <v>Electrosurgical Units, Monopolar/Bipolar</v>
      </c>
      <c r="TGE111" s="179" t="s">
        <v>428</v>
      </c>
      <c r="TGF111" s="180" t="str">
        <f>VLOOKUP(TGE111,[13]AssetDetails_UEM!$A$3:$AH$1849,6,FALSE)</f>
        <v>Electrosurgical Units, Monopolar/Bipolar</v>
      </c>
      <c r="TGG111" s="179" t="s">
        <v>428</v>
      </c>
      <c r="TGH111" s="180" t="str">
        <f>VLOOKUP(TGG111,[13]AssetDetails_UEM!$A$3:$AH$1849,6,FALSE)</f>
        <v>Electrosurgical Units, Monopolar/Bipolar</v>
      </c>
      <c r="TGI111" s="179" t="s">
        <v>428</v>
      </c>
      <c r="TGJ111" s="180" t="str">
        <f>VLOOKUP(TGI111,[13]AssetDetails_UEM!$A$3:$AH$1849,6,FALSE)</f>
        <v>Electrosurgical Units, Monopolar/Bipolar</v>
      </c>
      <c r="TGK111" s="179" t="s">
        <v>428</v>
      </c>
      <c r="TGL111" s="180" t="str">
        <f>VLOOKUP(TGK111,[13]AssetDetails_UEM!$A$3:$AH$1849,6,FALSE)</f>
        <v>Electrosurgical Units, Monopolar/Bipolar</v>
      </c>
      <c r="TGM111" s="179" t="s">
        <v>428</v>
      </c>
      <c r="TGN111" s="180" t="str">
        <f>VLOOKUP(TGM111,[13]AssetDetails_UEM!$A$3:$AH$1849,6,FALSE)</f>
        <v>Electrosurgical Units, Monopolar/Bipolar</v>
      </c>
      <c r="TGO111" s="179" t="s">
        <v>428</v>
      </c>
      <c r="TGP111" s="180" t="str">
        <f>VLOOKUP(TGO111,[13]AssetDetails_UEM!$A$3:$AH$1849,6,FALSE)</f>
        <v>Electrosurgical Units, Monopolar/Bipolar</v>
      </c>
      <c r="TGQ111" s="179" t="s">
        <v>428</v>
      </c>
      <c r="TGR111" s="180" t="str">
        <f>VLOOKUP(TGQ111,[13]AssetDetails_UEM!$A$3:$AH$1849,6,FALSE)</f>
        <v>Electrosurgical Units, Monopolar/Bipolar</v>
      </c>
      <c r="TGS111" s="179" t="s">
        <v>428</v>
      </c>
      <c r="TGT111" s="180" t="str">
        <f>VLOOKUP(TGS111,[13]AssetDetails_UEM!$A$3:$AH$1849,6,FALSE)</f>
        <v>Electrosurgical Units, Monopolar/Bipolar</v>
      </c>
      <c r="TGU111" s="179" t="s">
        <v>428</v>
      </c>
      <c r="TGV111" s="180" t="str">
        <f>VLOOKUP(TGU111,[13]AssetDetails_UEM!$A$3:$AH$1849,6,FALSE)</f>
        <v>Electrosurgical Units, Monopolar/Bipolar</v>
      </c>
      <c r="TGW111" s="179" t="s">
        <v>428</v>
      </c>
      <c r="TGX111" s="180" t="str">
        <f>VLOOKUP(TGW111,[13]AssetDetails_UEM!$A$3:$AH$1849,6,FALSE)</f>
        <v>Electrosurgical Units, Monopolar/Bipolar</v>
      </c>
      <c r="TGY111" s="179" t="s">
        <v>428</v>
      </c>
      <c r="TGZ111" s="180" t="str">
        <f>VLOOKUP(TGY111,[13]AssetDetails_UEM!$A$3:$AH$1849,6,FALSE)</f>
        <v>Electrosurgical Units, Monopolar/Bipolar</v>
      </c>
      <c r="THA111" s="179" t="s">
        <v>428</v>
      </c>
      <c r="THB111" s="180" t="str">
        <f>VLOOKUP(THA111,[13]AssetDetails_UEM!$A$3:$AH$1849,6,FALSE)</f>
        <v>Electrosurgical Units, Monopolar/Bipolar</v>
      </c>
      <c r="THC111" s="179" t="s">
        <v>428</v>
      </c>
      <c r="THD111" s="180" t="str">
        <f>VLOOKUP(THC111,[13]AssetDetails_UEM!$A$3:$AH$1849,6,FALSE)</f>
        <v>Electrosurgical Units, Monopolar/Bipolar</v>
      </c>
      <c r="THE111" s="179" t="s">
        <v>428</v>
      </c>
      <c r="THF111" s="180" t="str">
        <f>VLOOKUP(THE111,[13]AssetDetails_UEM!$A$3:$AH$1849,6,FALSE)</f>
        <v>Electrosurgical Units, Monopolar/Bipolar</v>
      </c>
      <c r="THG111" s="179" t="s">
        <v>428</v>
      </c>
      <c r="THH111" s="180" t="str">
        <f>VLOOKUP(THG111,[13]AssetDetails_UEM!$A$3:$AH$1849,6,FALSE)</f>
        <v>Electrosurgical Units, Monopolar/Bipolar</v>
      </c>
      <c r="THI111" s="179" t="s">
        <v>428</v>
      </c>
      <c r="THJ111" s="180" t="str">
        <f>VLOOKUP(THI111,[13]AssetDetails_UEM!$A$3:$AH$1849,6,FALSE)</f>
        <v>Electrosurgical Units, Monopolar/Bipolar</v>
      </c>
      <c r="THK111" s="179" t="s">
        <v>428</v>
      </c>
      <c r="THL111" s="180" t="str">
        <f>VLOOKUP(THK111,[13]AssetDetails_UEM!$A$3:$AH$1849,6,FALSE)</f>
        <v>Electrosurgical Units, Monopolar/Bipolar</v>
      </c>
      <c r="THM111" s="179" t="s">
        <v>428</v>
      </c>
      <c r="THN111" s="180" t="str">
        <f>VLOOKUP(THM111,[13]AssetDetails_UEM!$A$3:$AH$1849,6,FALSE)</f>
        <v>Electrosurgical Units, Monopolar/Bipolar</v>
      </c>
      <c r="THO111" s="179" t="s">
        <v>428</v>
      </c>
      <c r="THP111" s="180" t="str">
        <f>VLOOKUP(THO111,[13]AssetDetails_UEM!$A$3:$AH$1849,6,FALSE)</f>
        <v>Electrosurgical Units, Monopolar/Bipolar</v>
      </c>
      <c r="THQ111" s="179" t="s">
        <v>428</v>
      </c>
      <c r="THR111" s="180" t="str">
        <f>VLOOKUP(THQ111,[13]AssetDetails_UEM!$A$3:$AH$1849,6,FALSE)</f>
        <v>Electrosurgical Units, Monopolar/Bipolar</v>
      </c>
      <c r="THS111" s="179" t="s">
        <v>428</v>
      </c>
      <c r="THT111" s="180" t="str">
        <f>VLOOKUP(THS111,[13]AssetDetails_UEM!$A$3:$AH$1849,6,FALSE)</f>
        <v>Electrosurgical Units, Monopolar/Bipolar</v>
      </c>
      <c r="THU111" s="179" t="s">
        <v>428</v>
      </c>
      <c r="THV111" s="180" t="str">
        <f>VLOOKUP(THU111,[13]AssetDetails_UEM!$A$3:$AH$1849,6,FALSE)</f>
        <v>Electrosurgical Units, Monopolar/Bipolar</v>
      </c>
      <c r="THW111" s="179" t="s">
        <v>428</v>
      </c>
      <c r="THX111" s="180" t="str">
        <f>VLOOKUP(THW111,[13]AssetDetails_UEM!$A$3:$AH$1849,6,FALSE)</f>
        <v>Electrosurgical Units, Monopolar/Bipolar</v>
      </c>
      <c r="THY111" s="179" t="s">
        <v>428</v>
      </c>
      <c r="THZ111" s="180" t="str">
        <f>VLOOKUP(THY111,[13]AssetDetails_UEM!$A$3:$AH$1849,6,FALSE)</f>
        <v>Electrosurgical Units, Monopolar/Bipolar</v>
      </c>
      <c r="TIA111" s="179" t="s">
        <v>428</v>
      </c>
      <c r="TIB111" s="180" t="str">
        <f>VLOOKUP(TIA111,[13]AssetDetails_UEM!$A$3:$AH$1849,6,FALSE)</f>
        <v>Electrosurgical Units, Monopolar/Bipolar</v>
      </c>
      <c r="TIC111" s="179" t="s">
        <v>428</v>
      </c>
      <c r="TID111" s="180" t="str">
        <f>VLOOKUP(TIC111,[13]AssetDetails_UEM!$A$3:$AH$1849,6,FALSE)</f>
        <v>Electrosurgical Units, Monopolar/Bipolar</v>
      </c>
      <c r="TIE111" s="179" t="s">
        <v>428</v>
      </c>
      <c r="TIF111" s="180" t="str">
        <f>VLOOKUP(TIE111,[13]AssetDetails_UEM!$A$3:$AH$1849,6,FALSE)</f>
        <v>Electrosurgical Units, Monopolar/Bipolar</v>
      </c>
      <c r="TIG111" s="179" t="s">
        <v>428</v>
      </c>
      <c r="TIH111" s="180" t="str">
        <f>VLOOKUP(TIG111,[13]AssetDetails_UEM!$A$3:$AH$1849,6,FALSE)</f>
        <v>Electrosurgical Units, Monopolar/Bipolar</v>
      </c>
      <c r="TII111" s="179" t="s">
        <v>428</v>
      </c>
      <c r="TIJ111" s="180" t="str">
        <f>VLOOKUP(TII111,[13]AssetDetails_UEM!$A$3:$AH$1849,6,FALSE)</f>
        <v>Electrosurgical Units, Monopolar/Bipolar</v>
      </c>
      <c r="TIK111" s="179" t="s">
        <v>428</v>
      </c>
      <c r="TIL111" s="180" t="str">
        <f>VLOOKUP(TIK111,[13]AssetDetails_UEM!$A$3:$AH$1849,6,FALSE)</f>
        <v>Electrosurgical Units, Monopolar/Bipolar</v>
      </c>
      <c r="TIM111" s="179" t="s">
        <v>428</v>
      </c>
      <c r="TIN111" s="180" t="str">
        <f>VLOOKUP(TIM111,[13]AssetDetails_UEM!$A$3:$AH$1849,6,FALSE)</f>
        <v>Electrosurgical Units, Monopolar/Bipolar</v>
      </c>
      <c r="TIO111" s="179" t="s">
        <v>428</v>
      </c>
      <c r="TIP111" s="180" t="str">
        <f>VLOOKUP(TIO111,[13]AssetDetails_UEM!$A$3:$AH$1849,6,FALSE)</f>
        <v>Electrosurgical Units, Monopolar/Bipolar</v>
      </c>
      <c r="TIQ111" s="179" t="s">
        <v>428</v>
      </c>
      <c r="TIR111" s="180" t="str">
        <f>VLOOKUP(TIQ111,[13]AssetDetails_UEM!$A$3:$AH$1849,6,FALSE)</f>
        <v>Electrosurgical Units, Monopolar/Bipolar</v>
      </c>
      <c r="TIS111" s="179" t="s">
        <v>428</v>
      </c>
      <c r="TIT111" s="180" t="str">
        <f>VLOOKUP(TIS111,[13]AssetDetails_UEM!$A$3:$AH$1849,6,FALSE)</f>
        <v>Electrosurgical Units, Monopolar/Bipolar</v>
      </c>
      <c r="TIU111" s="179" t="s">
        <v>428</v>
      </c>
      <c r="TIV111" s="180" t="str">
        <f>VLOOKUP(TIU111,[13]AssetDetails_UEM!$A$3:$AH$1849,6,FALSE)</f>
        <v>Electrosurgical Units, Monopolar/Bipolar</v>
      </c>
      <c r="TIW111" s="179" t="s">
        <v>428</v>
      </c>
      <c r="TIX111" s="180" t="str">
        <f>VLOOKUP(TIW111,[13]AssetDetails_UEM!$A$3:$AH$1849,6,FALSE)</f>
        <v>Electrosurgical Units, Monopolar/Bipolar</v>
      </c>
      <c r="TIY111" s="179" t="s">
        <v>428</v>
      </c>
      <c r="TIZ111" s="180" t="str">
        <f>VLOOKUP(TIY111,[13]AssetDetails_UEM!$A$3:$AH$1849,6,FALSE)</f>
        <v>Electrosurgical Units, Monopolar/Bipolar</v>
      </c>
      <c r="TJA111" s="179" t="s">
        <v>428</v>
      </c>
      <c r="TJB111" s="180" t="str">
        <f>VLOOKUP(TJA111,[13]AssetDetails_UEM!$A$3:$AH$1849,6,FALSE)</f>
        <v>Electrosurgical Units, Monopolar/Bipolar</v>
      </c>
      <c r="TJC111" s="179" t="s">
        <v>428</v>
      </c>
      <c r="TJD111" s="180" t="str">
        <f>VLOOKUP(TJC111,[13]AssetDetails_UEM!$A$3:$AH$1849,6,FALSE)</f>
        <v>Electrosurgical Units, Monopolar/Bipolar</v>
      </c>
      <c r="TJE111" s="179" t="s">
        <v>428</v>
      </c>
      <c r="TJF111" s="180" t="str">
        <f>VLOOKUP(TJE111,[13]AssetDetails_UEM!$A$3:$AH$1849,6,FALSE)</f>
        <v>Electrosurgical Units, Monopolar/Bipolar</v>
      </c>
      <c r="TJG111" s="179" t="s">
        <v>428</v>
      </c>
      <c r="TJH111" s="180" t="str">
        <f>VLOOKUP(TJG111,[13]AssetDetails_UEM!$A$3:$AH$1849,6,FALSE)</f>
        <v>Electrosurgical Units, Monopolar/Bipolar</v>
      </c>
      <c r="TJI111" s="179" t="s">
        <v>428</v>
      </c>
      <c r="TJJ111" s="180" t="str">
        <f>VLOOKUP(TJI111,[13]AssetDetails_UEM!$A$3:$AH$1849,6,FALSE)</f>
        <v>Electrosurgical Units, Monopolar/Bipolar</v>
      </c>
      <c r="TJK111" s="179" t="s">
        <v>428</v>
      </c>
      <c r="TJL111" s="180" t="str">
        <f>VLOOKUP(TJK111,[13]AssetDetails_UEM!$A$3:$AH$1849,6,FALSE)</f>
        <v>Electrosurgical Units, Monopolar/Bipolar</v>
      </c>
      <c r="TJM111" s="179" t="s">
        <v>428</v>
      </c>
      <c r="TJN111" s="180" t="str">
        <f>VLOOKUP(TJM111,[13]AssetDetails_UEM!$A$3:$AH$1849,6,FALSE)</f>
        <v>Electrosurgical Units, Monopolar/Bipolar</v>
      </c>
      <c r="TJO111" s="179" t="s">
        <v>428</v>
      </c>
      <c r="TJP111" s="180" t="str">
        <f>VLOOKUP(TJO111,[13]AssetDetails_UEM!$A$3:$AH$1849,6,FALSE)</f>
        <v>Electrosurgical Units, Monopolar/Bipolar</v>
      </c>
      <c r="TJQ111" s="179" t="s">
        <v>428</v>
      </c>
      <c r="TJR111" s="180" t="str">
        <f>VLOOKUP(TJQ111,[13]AssetDetails_UEM!$A$3:$AH$1849,6,FALSE)</f>
        <v>Electrosurgical Units, Monopolar/Bipolar</v>
      </c>
      <c r="TJS111" s="179" t="s">
        <v>428</v>
      </c>
      <c r="TJT111" s="180" t="str">
        <f>VLOOKUP(TJS111,[13]AssetDetails_UEM!$A$3:$AH$1849,6,FALSE)</f>
        <v>Electrosurgical Units, Monopolar/Bipolar</v>
      </c>
      <c r="TJU111" s="179" t="s">
        <v>428</v>
      </c>
      <c r="TJV111" s="180" t="str">
        <f>VLOOKUP(TJU111,[13]AssetDetails_UEM!$A$3:$AH$1849,6,FALSE)</f>
        <v>Electrosurgical Units, Monopolar/Bipolar</v>
      </c>
      <c r="TJW111" s="179" t="s">
        <v>428</v>
      </c>
      <c r="TJX111" s="180" t="str">
        <f>VLOOKUP(TJW111,[13]AssetDetails_UEM!$A$3:$AH$1849,6,FALSE)</f>
        <v>Electrosurgical Units, Monopolar/Bipolar</v>
      </c>
      <c r="TJY111" s="179" t="s">
        <v>428</v>
      </c>
      <c r="TJZ111" s="180" t="str">
        <f>VLOOKUP(TJY111,[13]AssetDetails_UEM!$A$3:$AH$1849,6,FALSE)</f>
        <v>Electrosurgical Units, Monopolar/Bipolar</v>
      </c>
      <c r="TKA111" s="179" t="s">
        <v>428</v>
      </c>
      <c r="TKB111" s="180" t="str">
        <f>VLOOKUP(TKA111,[13]AssetDetails_UEM!$A$3:$AH$1849,6,FALSE)</f>
        <v>Electrosurgical Units, Monopolar/Bipolar</v>
      </c>
      <c r="TKC111" s="179" t="s">
        <v>428</v>
      </c>
      <c r="TKD111" s="180" t="str">
        <f>VLOOKUP(TKC111,[13]AssetDetails_UEM!$A$3:$AH$1849,6,FALSE)</f>
        <v>Electrosurgical Units, Monopolar/Bipolar</v>
      </c>
      <c r="TKE111" s="179" t="s">
        <v>428</v>
      </c>
      <c r="TKF111" s="180" t="str">
        <f>VLOOKUP(TKE111,[13]AssetDetails_UEM!$A$3:$AH$1849,6,FALSE)</f>
        <v>Electrosurgical Units, Monopolar/Bipolar</v>
      </c>
      <c r="TKG111" s="179" t="s">
        <v>428</v>
      </c>
      <c r="TKH111" s="180" t="str">
        <f>VLOOKUP(TKG111,[13]AssetDetails_UEM!$A$3:$AH$1849,6,FALSE)</f>
        <v>Electrosurgical Units, Monopolar/Bipolar</v>
      </c>
      <c r="TKI111" s="179" t="s">
        <v>428</v>
      </c>
      <c r="TKJ111" s="180" t="str">
        <f>VLOOKUP(TKI111,[13]AssetDetails_UEM!$A$3:$AH$1849,6,FALSE)</f>
        <v>Electrosurgical Units, Monopolar/Bipolar</v>
      </c>
      <c r="TKK111" s="179" t="s">
        <v>428</v>
      </c>
      <c r="TKL111" s="180" t="str">
        <f>VLOOKUP(TKK111,[13]AssetDetails_UEM!$A$3:$AH$1849,6,FALSE)</f>
        <v>Electrosurgical Units, Monopolar/Bipolar</v>
      </c>
      <c r="TKM111" s="179" t="s">
        <v>428</v>
      </c>
      <c r="TKN111" s="180" t="str">
        <f>VLOOKUP(TKM111,[13]AssetDetails_UEM!$A$3:$AH$1849,6,FALSE)</f>
        <v>Electrosurgical Units, Monopolar/Bipolar</v>
      </c>
      <c r="TKO111" s="179" t="s">
        <v>428</v>
      </c>
      <c r="TKP111" s="180" t="str">
        <f>VLOOKUP(TKO111,[13]AssetDetails_UEM!$A$3:$AH$1849,6,FALSE)</f>
        <v>Electrosurgical Units, Monopolar/Bipolar</v>
      </c>
      <c r="TKQ111" s="179" t="s">
        <v>428</v>
      </c>
      <c r="TKR111" s="180" t="str">
        <f>VLOOKUP(TKQ111,[13]AssetDetails_UEM!$A$3:$AH$1849,6,FALSE)</f>
        <v>Electrosurgical Units, Monopolar/Bipolar</v>
      </c>
      <c r="TKS111" s="179" t="s">
        <v>428</v>
      </c>
      <c r="TKT111" s="180" t="str">
        <f>VLOOKUP(TKS111,[13]AssetDetails_UEM!$A$3:$AH$1849,6,FALSE)</f>
        <v>Electrosurgical Units, Monopolar/Bipolar</v>
      </c>
      <c r="TKU111" s="179" t="s">
        <v>428</v>
      </c>
      <c r="TKV111" s="180" t="str">
        <f>VLOOKUP(TKU111,[13]AssetDetails_UEM!$A$3:$AH$1849,6,FALSE)</f>
        <v>Electrosurgical Units, Monopolar/Bipolar</v>
      </c>
      <c r="TKW111" s="179" t="s">
        <v>428</v>
      </c>
      <c r="TKX111" s="180" t="str">
        <f>VLOOKUP(TKW111,[13]AssetDetails_UEM!$A$3:$AH$1849,6,FALSE)</f>
        <v>Electrosurgical Units, Monopolar/Bipolar</v>
      </c>
      <c r="TKY111" s="179" t="s">
        <v>428</v>
      </c>
      <c r="TKZ111" s="180" t="str">
        <f>VLOOKUP(TKY111,[13]AssetDetails_UEM!$A$3:$AH$1849,6,FALSE)</f>
        <v>Electrosurgical Units, Monopolar/Bipolar</v>
      </c>
      <c r="TLA111" s="179" t="s">
        <v>428</v>
      </c>
      <c r="TLB111" s="180" t="str">
        <f>VLOOKUP(TLA111,[13]AssetDetails_UEM!$A$3:$AH$1849,6,FALSE)</f>
        <v>Electrosurgical Units, Monopolar/Bipolar</v>
      </c>
      <c r="TLC111" s="179" t="s">
        <v>428</v>
      </c>
      <c r="TLD111" s="180" t="str">
        <f>VLOOKUP(TLC111,[13]AssetDetails_UEM!$A$3:$AH$1849,6,FALSE)</f>
        <v>Electrosurgical Units, Monopolar/Bipolar</v>
      </c>
      <c r="TLE111" s="179" t="s">
        <v>428</v>
      </c>
      <c r="TLF111" s="180" t="str">
        <f>VLOOKUP(TLE111,[13]AssetDetails_UEM!$A$3:$AH$1849,6,FALSE)</f>
        <v>Electrosurgical Units, Monopolar/Bipolar</v>
      </c>
      <c r="TLG111" s="179" t="s">
        <v>428</v>
      </c>
      <c r="TLH111" s="180" t="str">
        <f>VLOOKUP(TLG111,[13]AssetDetails_UEM!$A$3:$AH$1849,6,FALSE)</f>
        <v>Electrosurgical Units, Monopolar/Bipolar</v>
      </c>
      <c r="TLI111" s="179" t="s">
        <v>428</v>
      </c>
      <c r="TLJ111" s="180" t="str">
        <f>VLOOKUP(TLI111,[13]AssetDetails_UEM!$A$3:$AH$1849,6,FALSE)</f>
        <v>Electrosurgical Units, Monopolar/Bipolar</v>
      </c>
      <c r="TLK111" s="179" t="s">
        <v>428</v>
      </c>
      <c r="TLL111" s="180" t="str">
        <f>VLOOKUP(TLK111,[13]AssetDetails_UEM!$A$3:$AH$1849,6,FALSE)</f>
        <v>Electrosurgical Units, Monopolar/Bipolar</v>
      </c>
      <c r="TLM111" s="179" t="s">
        <v>428</v>
      </c>
      <c r="TLN111" s="180" t="str">
        <f>VLOOKUP(TLM111,[13]AssetDetails_UEM!$A$3:$AH$1849,6,FALSE)</f>
        <v>Electrosurgical Units, Monopolar/Bipolar</v>
      </c>
      <c r="TLO111" s="179" t="s">
        <v>428</v>
      </c>
      <c r="TLP111" s="180" t="str">
        <f>VLOOKUP(TLO111,[13]AssetDetails_UEM!$A$3:$AH$1849,6,FALSE)</f>
        <v>Electrosurgical Units, Monopolar/Bipolar</v>
      </c>
      <c r="TLQ111" s="179" t="s">
        <v>428</v>
      </c>
      <c r="TLR111" s="180" t="str">
        <f>VLOOKUP(TLQ111,[13]AssetDetails_UEM!$A$3:$AH$1849,6,FALSE)</f>
        <v>Electrosurgical Units, Monopolar/Bipolar</v>
      </c>
      <c r="TLS111" s="179" t="s">
        <v>428</v>
      </c>
      <c r="TLT111" s="180" t="str">
        <f>VLOOKUP(TLS111,[13]AssetDetails_UEM!$A$3:$AH$1849,6,FALSE)</f>
        <v>Electrosurgical Units, Monopolar/Bipolar</v>
      </c>
      <c r="TLU111" s="179" t="s">
        <v>428</v>
      </c>
      <c r="TLV111" s="180" t="str">
        <f>VLOOKUP(TLU111,[13]AssetDetails_UEM!$A$3:$AH$1849,6,FALSE)</f>
        <v>Electrosurgical Units, Monopolar/Bipolar</v>
      </c>
      <c r="TLW111" s="179" t="s">
        <v>428</v>
      </c>
      <c r="TLX111" s="180" t="str">
        <f>VLOOKUP(TLW111,[13]AssetDetails_UEM!$A$3:$AH$1849,6,FALSE)</f>
        <v>Electrosurgical Units, Monopolar/Bipolar</v>
      </c>
      <c r="TLY111" s="179" t="s">
        <v>428</v>
      </c>
      <c r="TLZ111" s="180" t="str">
        <f>VLOOKUP(TLY111,[13]AssetDetails_UEM!$A$3:$AH$1849,6,FALSE)</f>
        <v>Electrosurgical Units, Monopolar/Bipolar</v>
      </c>
      <c r="TMA111" s="179" t="s">
        <v>428</v>
      </c>
      <c r="TMB111" s="180" t="str">
        <f>VLOOKUP(TMA111,[13]AssetDetails_UEM!$A$3:$AH$1849,6,FALSE)</f>
        <v>Electrosurgical Units, Monopolar/Bipolar</v>
      </c>
      <c r="TMC111" s="179" t="s">
        <v>428</v>
      </c>
      <c r="TMD111" s="180" t="str">
        <f>VLOOKUP(TMC111,[13]AssetDetails_UEM!$A$3:$AH$1849,6,FALSE)</f>
        <v>Electrosurgical Units, Monopolar/Bipolar</v>
      </c>
      <c r="TME111" s="179" t="s">
        <v>428</v>
      </c>
      <c r="TMF111" s="180" t="str">
        <f>VLOOKUP(TME111,[13]AssetDetails_UEM!$A$3:$AH$1849,6,FALSE)</f>
        <v>Electrosurgical Units, Monopolar/Bipolar</v>
      </c>
      <c r="TMG111" s="179" t="s">
        <v>428</v>
      </c>
      <c r="TMH111" s="180" t="str">
        <f>VLOOKUP(TMG111,[13]AssetDetails_UEM!$A$3:$AH$1849,6,FALSE)</f>
        <v>Electrosurgical Units, Monopolar/Bipolar</v>
      </c>
      <c r="TMI111" s="179" t="s">
        <v>428</v>
      </c>
      <c r="TMJ111" s="180" t="str">
        <f>VLOOKUP(TMI111,[13]AssetDetails_UEM!$A$3:$AH$1849,6,FALSE)</f>
        <v>Electrosurgical Units, Monopolar/Bipolar</v>
      </c>
      <c r="TMK111" s="179" t="s">
        <v>428</v>
      </c>
      <c r="TML111" s="180" t="str">
        <f>VLOOKUP(TMK111,[13]AssetDetails_UEM!$A$3:$AH$1849,6,FALSE)</f>
        <v>Electrosurgical Units, Monopolar/Bipolar</v>
      </c>
      <c r="TMM111" s="179" t="s">
        <v>428</v>
      </c>
      <c r="TMN111" s="180" t="str">
        <f>VLOOKUP(TMM111,[13]AssetDetails_UEM!$A$3:$AH$1849,6,FALSE)</f>
        <v>Electrosurgical Units, Monopolar/Bipolar</v>
      </c>
      <c r="TMO111" s="179" t="s">
        <v>428</v>
      </c>
      <c r="TMP111" s="180" t="str">
        <f>VLOOKUP(TMO111,[13]AssetDetails_UEM!$A$3:$AH$1849,6,FALSE)</f>
        <v>Electrosurgical Units, Monopolar/Bipolar</v>
      </c>
      <c r="TMQ111" s="179" t="s">
        <v>428</v>
      </c>
      <c r="TMR111" s="180" t="str">
        <f>VLOOKUP(TMQ111,[13]AssetDetails_UEM!$A$3:$AH$1849,6,FALSE)</f>
        <v>Electrosurgical Units, Monopolar/Bipolar</v>
      </c>
      <c r="TMS111" s="179" t="s">
        <v>428</v>
      </c>
      <c r="TMT111" s="180" t="str">
        <f>VLOOKUP(TMS111,[13]AssetDetails_UEM!$A$3:$AH$1849,6,FALSE)</f>
        <v>Electrosurgical Units, Monopolar/Bipolar</v>
      </c>
      <c r="TMU111" s="179" t="s">
        <v>428</v>
      </c>
      <c r="TMV111" s="180" t="str">
        <f>VLOOKUP(TMU111,[13]AssetDetails_UEM!$A$3:$AH$1849,6,FALSE)</f>
        <v>Electrosurgical Units, Monopolar/Bipolar</v>
      </c>
      <c r="TMW111" s="179" t="s">
        <v>428</v>
      </c>
      <c r="TMX111" s="180" t="str">
        <f>VLOOKUP(TMW111,[13]AssetDetails_UEM!$A$3:$AH$1849,6,FALSE)</f>
        <v>Electrosurgical Units, Monopolar/Bipolar</v>
      </c>
      <c r="TMY111" s="179" t="s">
        <v>428</v>
      </c>
      <c r="TMZ111" s="180" t="str">
        <f>VLOOKUP(TMY111,[13]AssetDetails_UEM!$A$3:$AH$1849,6,FALSE)</f>
        <v>Electrosurgical Units, Monopolar/Bipolar</v>
      </c>
      <c r="TNA111" s="179" t="s">
        <v>428</v>
      </c>
      <c r="TNB111" s="180" t="str">
        <f>VLOOKUP(TNA111,[13]AssetDetails_UEM!$A$3:$AH$1849,6,FALSE)</f>
        <v>Electrosurgical Units, Monopolar/Bipolar</v>
      </c>
      <c r="TNC111" s="179" t="s">
        <v>428</v>
      </c>
      <c r="TND111" s="180" t="str">
        <f>VLOOKUP(TNC111,[13]AssetDetails_UEM!$A$3:$AH$1849,6,FALSE)</f>
        <v>Electrosurgical Units, Monopolar/Bipolar</v>
      </c>
      <c r="TNE111" s="179" t="s">
        <v>428</v>
      </c>
      <c r="TNF111" s="180" t="str">
        <f>VLOOKUP(TNE111,[13]AssetDetails_UEM!$A$3:$AH$1849,6,FALSE)</f>
        <v>Electrosurgical Units, Monopolar/Bipolar</v>
      </c>
      <c r="TNG111" s="179" t="s">
        <v>428</v>
      </c>
      <c r="TNH111" s="180" t="str">
        <f>VLOOKUP(TNG111,[13]AssetDetails_UEM!$A$3:$AH$1849,6,FALSE)</f>
        <v>Electrosurgical Units, Monopolar/Bipolar</v>
      </c>
      <c r="TNI111" s="179" t="s">
        <v>428</v>
      </c>
      <c r="TNJ111" s="180" t="str">
        <f>VLOOKUP(TNI111,[13]AssetDetails_UEM!$A$3:$AH$1849,6,FALSE)</f>
        <v>Electrosurgical Units, Monopolar/Bipolar</v>
      </c>
      <c r="TNK111" s="179" t="s">
        <v>428</v>
      </c>
      <c r="TNL111" s="180" t="str">
        <f>VLOOKUP(TNK111,[13]AssetDetails_UEM!$A$3:$AH$1849,6,FALSE)</f>
        <v>Electrosurgical Units, Monopolar/Bipolar</v>
      </c>
      <c r="TNM111" s="179" t="s">
        <v>428</v>
      </c>
      <c r="TNN111" s="180" t="str">
        <f>VLOOKUP(TNM111,[13]AssetDetails_UEM!$A$3:$AH$1849,6,FALSE)</f>
        <v>Electrosurgical Units, Monopolar/Bipolar</v>
      </c>
      <c r="TNO111" s="179" t="s">
        <v>428</v>
      </c>
      <c r="TNP111" s="180" t="str">
        <f>VLOOKUP(TNO111,[13]AssetDetails_UEM!$A$3:$AH$1849,6,FALSE)</f>
        <v>Electrosurgical Units, Monopolar/Bipolar</v>
      </c>
      <c r="TNQ111" s="179" t="s">
        <v>428</v>
      </c>
      <c r="TNR111" s="180" t="str">
        <f>VLOOKUP(TNQ111,[13]AssetDetails_UEM!$A$3:$AH$1849,6,FALSE)</f>
        <v>Electrosurgical Units, Monopolar/Bipolar</v>
      </c>
      <c r="TNS111" s="179" t="s">
        <v>428</v>
      </c>
      <c r="TNT111" s="180" t="str">
        <f>VLOOKUP(TNS111,[13]AssetDetails_UEM!$A$3:$AH$1849,6,FALSE)</f>
        <v>Electrosurgical Units, Monopolar/Bipolar</v>
      </c>
      <c r="TNU111" s="179" t="s">
        <v>428</v>
      </c>
      <c r="TNV111" s="180" t="str">
        <f>VLOOKUP(TNU111,[13]AssetDetails_UEM!$A$3:$AH$1849,6,FALSE)</f>
        <v>Electrosurgical Units, Monopolar/Bipolar</v>
      </c>
      <c r="TNW111" s="179" t="s">
        <v>428</v>
      </c>
      <c r="TNX111" s="180" t="str">
        <f>VLOOKUP(TNW111,[13]AssetDetails_UEM!$A$3:$AH$1849,6,FALSE)</f>
        <v>Electrosurgical Units, Monopolar/Bipolar</v>
      </c>
      <c r="TNY111" s="179" t="s">
        <v>428</v>
      </c>
      <c r="TNZ111" s="180" t="str">
        <f>VLOOKUP(TNY111,[13]AssetDetails_UEM!$A$3:$AH$1849,6,FALSE)</f>
        <v>Electrosurgical Units, Monopolar/Bipolar</v>
      </c>
      <c r="TOA111" s="179" t="s">
        <v>428</v>
      </c>
      <c r="TOB111" s="180" t="str">
        <f>VLOOKUP(TOA111,[13]AssetDetails_UEM!$A$3:$AH$1849,6,FALSE)</f>
        <v>Electrosurgical Units, Monopolar/Bipolar</v>
      </c>
      <c r="TOC111" s="179" t="s">
        <v>428</v>
      </c>
      <c r="TOD111" s="180" t="str">
        <f>VLOOKUP(TOC111,[13]AssetDetails_UEM!$A$3:$AH$1849,6,FALSE)</f>
        <v>Electrosurgical Units, Monopolar/Bipolar</v>
      </c>
      <c r="TOE111" s="179" t="s">
        <v>428</v>
      </c>
      <c r="TOF111" s="180" t="str">
        <f>VLOOKUP(TOE111,[13]AssetDetails_UEM!$A$3:$AH$1849,6,FALSE)</f>
        <v>Electrosurgical Units, Monopolar/Bipolar</v>
      </c>
      <c r="TOG111" s="179" t="s">
        <v>428</v>
      </c>
      <c r="TOH111" s="180" t="str">
        <f>VLOOKUP(TOG111,[13]AssetDetails_UEM!$A$3:$AH$1849,6,FALSE)</f>
        <v>Electrosurgical Units, Monopolar/Bipolar</v>
      </c>
      <c r="TOI111" s="179" t="s">
        <v>428</v>
      </c>
      <c r="TOJ111" s="180" t="str">
        <f>VLOOKUP(TOI111,[13]AssetDetails_UEM!$A$3:$AH$1849,6,FALSE)</f>
        <v>Electrosurgical Units, Monopolar/Bipolar</v>
      </c>
      <c r="TOK111" s="179" t="s">
        <v>428</v>
      </c>
      <c r="TOL111" s="180" t="str">
        <f>VLOOKUP(TOK111,[13]AssetDetails_UEM!$A$3:$AH$1849,6,FALSE)</f>
        <v>Electrosurgical Units, Monopolar/Bipolar</v>
      </c>
      <c r="TOM111" s="179" t="s">
        <v>428</v>
      </c>
      <c r="TON111" s="180" t="str">
        <f>VLOOKUP(TOM111,[13]AssetDetails_UEM!$A$3:$AH$1849,6,FALSE)</f>
        <v>Electrosurgical Units, Monopolar/Bipolar</v>
      </c>
      <c r="TOO111" s="179" t="s">
        <v>428</v>
      </c>
      <c r="TOP111" s="180" t="str">
        <f>VLOOKUP(TOO111,[13]AssetDetails_UEM!$A$3:$AH$1849,6,FALSE)</f>
        <v>Electrosurgical Units, Monopolar/Bipolar</v>
      </c>
      <c r="TOQ111" s="179" t="s">
        <v>428</v>
      </c>
      <c r="TOR111" s="180" t="str">
        <f>VLOOKUP(TOQ111,[13]AssetDetails_UEM!$A$3:$AH$1849,6,FALSE)</f>
        <v>Electrosurgical Units, Monopolar/Bipolar</v>
      </c>
      <c r="TOS111" s="179" t="s">
        <v>428</v>
      </c>
      <c r="TOT111" s="180" t="str">
        <f>VLOOKUP(TOS111,[13]AssetDetails_UEM!$A$3:$AH$1849,6,FALSE)</f>
        <v>Electrosurgical Units, Monopolar/Bipolar</v>
      </c>
      <c r="TOU111" s="179" t="s">
        <v>428</v>
      </c>
      <c r="TOV111" s="180" t="str">
        <f>VLOOKUP(TOU111,[13]AssetDetails_UEM!$A$3:$AH$1849,6,FALSE)</f>
        <v>Electrosurgical Units, Monopolar/Bipolar</v>
      </c>
      <c r="TOW111" s="179" t="s">
        <v>428</v>
      </c>
      <c r="TOX111" s="180" t="str">
        <f>VLOOKUP(TOW111,[13]AssetDetails_UEM!$A$3:$AH$1849,6,FALSE)</f>
        <v>Electrosurgical Units, Monopolar/Bipolar</v>
      </c>
      <c r="TOY111" s="179" t="s">
        <v>428</v>
      </c>
      <c r="TOZ111" s="180" t="str">
        <f>VLOOKUP(TOY111,[13]AssetDetails_UEM!$A$3:$AH$1849,6,FALSE)</f>
        <v>Electrosurgical Units, Monopolar/Bipolar</v>
      </c>
      <c r="TPA111" s="179" t="s">
        <v>428</v>
      </c>
      <c r="TPB111" s="180" t="str">
        <f>VLOOKUP(TPA111,[13]AssetDetails_UEM!$A$3:$AH$1849,6,FALSE)</f>
        <v>Electrosurgical Units, Monopolar/Bipolar</v>
      </c>
      <c r="TPC111" s="179" t="s">
        <v>428</v>
      </c>
      <c r="TPD111" s="180" t="str">
        <f>VLOOKUP(TPC111,[13]AssetDetails_UEM!$A$3:$AH$1849,6,FALSE)</f>
        <v>Electrosurgical Units, Monopolar/Bipolar</v>
      </c>
      <c r="TPE111" s="179" t="s">
        <v>428</v>
      </c>
      <c r="TPF111" s="180" t="str">
        <f>VLOOKUP(TPE111,[13]AssetDetails_UEM!$A$3:$AH$1849,6,FALSE)</f>
        <v>Electrosurgical Units, Monopolar/Bipolar</v>
      </c>
      <c r="TPG111" s="179" t="s">
        <v>428</v>
      </c>
      <c r="TPH111" s="180" t="str">
        <f>VLOOKUP(TPG111,[13]AssetDetails_UEM!$A$3:$AH$1849,6,FALSE)</f>
        <v>Electrosurgical Units, Monopolar/Bipolar</v>
      </c>
      <c r="TPI111" s="179" t="s">
        <v>428</v>
      </c>
      <c r="TPJ111" s="180" t="str">
        <f>VLOOKUP(TPI111,[13]AssetDetails_UEM!$A$3:$AH$1849,6,FALSE)</f>
        <v>Electrosurgical Units, Monopolar/Bipolar</v>
      </c>
      <c r="TPK111" s="179" t="s">
        <v>428</v>
      </c>
      <c r="TPL111" s="180" t="str">
        <f>VLOOKUP(TPK111,[13]AssetDetails_UEM!$A$3:$AH$1849,6,FALSE)</f>
        <v>Electrosurgical Units, Monopolar/Bipolar</v>
      </c>
      <c r="TPM111" s="179" t="s">
        <v>428</v>
      </c>
      <c r="TPN111" s="180" t="str">
        <f>VLOOKUP(TPM111,[13]AssetDetails_UEM!$A$3:$AH$1849,6,FALSE)</f>
        <v>Electrosurgical Units, Monopolar/Bipolar</v>
      </c>
      <c r="TPO111" s="179" t="s">
        <v>428</v>
      </c>
      <c r="TPP111" s="180" t="str">
        <f>VLOOKUP(TPO111,[13]AssetDetails_UEM!$A$3:$AH$1849,6,FALSE)</f>
        <v>Electrosurgical Units, Monopolar/Bipolar</v>
      </c>
      <c r="TPQ111" s="179" t="s">
        <v>428</v>
      </c>
      <c r="TPR111" s="180" t="str">
        <f>VLOOKUP(TPQ111,[13]AssetDetails_UEM!$A$3:$AH$1849,6,FALSE)</f>
        <v>Electrosurgical Units, Monopolar/Bipolar</v>
      </c>
      <c r="TPS111" s="179" t="s">
        <v>428</v>
      </c>
      <c r="TPT111" s="180" t="str">
        <f>VLOOKUP(TPS111,[13]AssetDetails_UEM!$A$3:$AH$1849,6,FALSE)</f>
        <v>Electrosurgical Units, Monopolar/Bipolar</v>
      </c>
      <c r="TPU111" s="179" t="s">
        <v>428</v>
      </c>
      <c r="TPV111" s="180" t="str">
        <f>VLOOKUP(TPU111,[13]AssetDetails_UEM!$A$3:$AH$1849,6,FALSE)</f>
        <v>Electrosurgical Units, Monopolar/Bipolar</v>
      </c>
      <c r="TPW111" s="179" t="s">
        <v>428</v>
      </c>
      <c r="TPX111" s="180" t="str">
        <f>VLOOKUP(TPW111,[13]AssetDetails_UEM!$A$3:$AH$1849,6,FALSE)</f>
        <v>Electrosurgical Units, Monopolar/Bipolar</v>
      </c>
      <c r="TPY111" s="179" t="s">
        <v>428</v>
      </c>
      <c r="TPZ111" s="180" t="str">
        <f>VLOOKUP(TPY111,[13]AssetDetails_UEM!$A$3:$AH$1849,6,FALSE)</f>
        <v>Electrosurgical Units, Monopolar/Bipolar</v>
      </c>
      <c r="TQA111" s="179" t="s">
        <v>428</v>
      </c>
      <c r="TQB111" s="180" t="str">
        <f>VLOOKUP(TQA111,[13]AssetDetails_UEM!$A$3:$AH$1849,6,FALSE)</f>
        <v>Electrosurgical Units, Monopolar/Bipolar</v>
      </c>
      <c r="TQC111" s="179" t="s">
        <v>428</v>
      </c>
      <c r="TQD111" s="180" t="str">
        <f>VLOOKUP(TQC111,[13]AssetDetails_UEM!$A$3:$AH$1849,6,FALSE)</f>
        <v>Electrosurgical Units, Monopolar/Bipolar</v>
      </c>
      <c r="TQE111" s="179" t="s">
        <v>428</v>
      </c>
      <c r="TQF111" s="180" t="str">
        <f>VLOOKUP(TQE111,[13]AssetDetails_UEM!$A$3:$AH$1849,6,FALSE)</f>
        <v>Electrosurgical Units, Monopolar/Bipolar</v>
      </c>
      <c r="TQG111" s="179" t="s">
        <v>428</v>
      </c>
      <c r="TQH111" s="180" t="str">
        <f>VLOOKUP(TQG111,[13]AssetDetails_UEM!$A$3:$AH$1849,6,FALSE)</f>
        <v>Electrosurgical Units, Monopolar/Bipolar</v>
      </c>
      <c r="TQI111" s="179" t="s">
        <v>428</v>
      </c>
      <c r="TQJ111" s="180" t="str">
        <f>VLOOKUP(TQI111,[13]AssetDetails_UEM!$A$3:$AH$1849,6,FALSE)</f>
        <v>Electrosurgical Units, Monopolar/Bipolar</v>
      </c>
      <c r="TQK111" s="179" t="s">
        <v>428</v>
      </c>
      <c r="TQL111" s="180" t="str">
        <f>VLOOKUP(TQK111,[13]AssetDetails_UEM!$A$3:$AH$1849,6,FALSE)</f>
        <v>Electrosurgical Units, Monopolar/Bipolar</v>
      </c>
      <c r="TQM111" s="179" t="s">
        <v>428</v>
      </c>
      <c r="TQN111" s="180" t="str">
        <f>VLOOKUP(TQM111,[13]AssetDetails_UEM!$A$3:$AH$1849,6,FALSE)</f>
        <v>Electrosurgical Units, Monopolar/Bipolar</v>
      </c>
      <c r="TQO111" s="179" t="s">
        <v>428</v>
      </c>
      <c r="TQP111" s="180" t="str">
        <f>VLOOKUP(TQO111,[13]AssetDetails_UEM!$A$3:$AH$1849,6,FALSE)</f>
        <v>Electrosurgical Units, Monopolar/Bipolar</v>
      </c>
      <c r="TQQ111" s="179" t="s">
        <v>428</v>
      </c>
      <c r="TQR111" s="180" t="str">
        <f>VLOOKUP(TQQ111,[13]AssetDetails_UEM!$A$3:$AH$1849,6,FALSE)</f>
        <v>Electrosurgical Units, Monopolar/Bipolar</v>
      </c>
      <c r="TQS111" s="179" t="s">
        <v>428</v>
      </c>
      <c r="TQT111" s="180" t="str">
        <f>VLOOKUP(TQS111,[13]AssetDetails_UEM!$A$3:$AH$1849,6,FALSE)</f>
        <v>Electrosurgical Units, Monopolar/Bipolar</v>
      </c>
      <c r="TQU111" s="179" t="s">
        <v>428</v>
      </c>
      <c r="TQV111" s="180" t="str">
        <f>VLOOKUP(TQU111,[13]AssetDetails_UEM!$A$3:$AH$1849,6,FALSE)</f>
        <v>Electrosurgical Units, Monopolar/Bipolar</v>
      </c>
      <c r="TQW111" s="179" t="s">
        <v>428</v>
      </c>
      <c r="TQX111" s="180" t="str">
        <f>VLOOKUP(TQW111,[13]AssetDetails_UEM!$A$3:$AH$1849,6,FALSE)</f>
        <v>Electrosurgical Units, Monopolar/Bipolar</v>
      </c>
      <c r="TQY111" s="179" t="s">
        <v>428</v>
      </c>
      <c r="TQZ111" s="180" t="str">
        <f>VLOOKUP(TQY111,[13]AssetDetails_UEM!$A$3:$AH$1849,6,FALSE)</f>
        <v>Electrosurgical Units, Monopolar/Bipolar</v>
      </c>
      <c r="TRA111" s="179" t="s">
        <v>428</v>
      </c>
      <c r="TRB111" s="180" t="str">
        <f>VLOOKUP(TRA111,[13]AssetDetails_UEM!$A$3:$AH$1849,6,FALSE)</f>
        <v>Electrosurgical Units, Monopolar/Bipolar</v>
      </c>
      <c r="TRC111" s="179" t="s">
        <v>428</v>
      </c>
      <c r="TRD111" s="180" t="str">
        <f>VLOOKUP(TRC111,[13]AssetDetails_UEM!$A$3:$AH$1849,6,FALSE)</f>
        <v>Electrosurgical Units, Monopolar/Bipolar</v>
      </c>
      <c r="TRE111" s="179" t="s">
        <v>428</v>
      </c>
      <c r="TRF111" s="180" t="str">
        <f>VLOOKUP(TRE111,[13]AssetDetails_UEM!$A$3:$AH$1849,6,FALSE)</f>
        <v>Electrosurgical Units, Monopolar/Bipolar</v>
      </c>
      <c r="TRG111" s="179" t="s">
        <v>428</v>
      </c>
      <c r="TRH111" s="180" t="str">
        <f>VLOOKUP(TRG111,[13]AssetDetails_UEM!$A$3:$AH$1849,6,FALSE)</f>
        <v>Electrosurgical Units, Monopolar/Bipolar</v>
      </c>
      <c r="TRI111" s="179" t="s">
        <v>428</v>
      </c>
      <c r="TRJ111" s="180" t="str">
        <f>VLOOKUP(TRI111,[13]AssetDetails_UEM!$A$3:$AH$1849,6,FALSE)</f>
        <v>Electrosurgical Units, Monopolar/Bipolar</v>
      </c>
      <c r="TRK111" s="179" t="s">
        <v>428</v>
      </c>
      <c r="TRL111" s="180" t="str">
        <f>VLOOKUP(TRK111,[13]AssetDetails_UEM!$A$3:$AH$1849,6,FALSE)</f>
        <v>Electrosurgical Units, Monopolar/Bipolar</v>
      </c>
      <c r="TRM111" s="179" t="s">
        <v>428</v>
      </c>
      <c r="TRN111" s="180" t="str">
        <f>VLOOKUP(TRM111,[13]AssetDetails_UEM!$A$3:$AH$1849,6,FALSE)</f>
        <v>Electrosurgical Units, Monopolar/Bipolar</v>
      </c>
      <c r="TRO111" s="179" t="s">
        <v>428</v>
      </c>
      <c r="TRP111" s="180" t="str">
        <f>VLOOKUP(TRO111,[13]AssetDetails_UEM!$A$3:$AH$1849,6,FALSE)</f>
        <v>Electrosurgical Units, Monopolar/Bipolar</v>
      </c>
      <c r="TRQ111" s="179" t="s">
        <v>428</v>
      </c>
      <c r="TRR111" s="180" t="str">
        <f>VLOOKUP(TRQ111,[13]AssetDetails_UEM!$A$3:$AH$1849,6,FALSE)</f>
        <v>Electrosurgical Units, Monopolar/Bipolar</v>
      </c>
      <c r="TRS111" s="179" t="s">
        <v>428</v>
      </c>
      <c r="TRT111" s="180" t="str">
        <f>VLOOKUP(TRS111,[13]AssetDetails_UEM!$A$3:$AH$1849,6,FALSE)</f>
        <v>Electrosurgical Units, Monopolar/Bipolar</v>
      </c>
      <c r="TRU111" s="179" t="s">
        <v>428</v>
      </c>
      <c r="TRV111" s="180" t="str">
        <f>VLOOKUP(TRU111,[13]AssetDetails_UEM!$A$3:$AH$1849,6,FALSE)</f>
        <v>Electrosurgical Units, Monopolar/Bipolar</v>
      </c>
      <c r="TRW111" s="179" t="s">
        <v>428</v>
      </c>
      <c r="TRX111" s="180" t="str">
        <f>VLOOKUP(TRW111,[13]AssetDetails_UEM!$A$3:$AH$1849,6,FALSE)</f>
        <v>Electrosurgical Units, Monopolar/Bipolar</v>
      </c>
      <c r="TRY111" s="179" t="s">
        <v>428</v>
      </c>
      <c r="TRZ111" s="180" t="str">
        <f>VLOOKUP(TRY111,[13]AssetDetails_UEM!$A$3:$AH$1849,6,FALSE)</f>
        <v>Electrosurgical Units, Monopolar/Bipolar</v>
      </c>
      <c r="TSA111" s="179" t="s">
        <v>428</v>
      </c>
      <c r="TSB111" s="180" t="str">
        <f>VLOOKUP(TSA111,[13]AssetDetails_UEM!$A$3:$AH$1849,6,FALSE)</f>
        <v>Electrosurgical Units, Monopolar/Bipolar</v>
      </c>
      <c r="TSC111" s="179" t="s">
        <v>428</v>
      </c>
      <c r="TSD111" s="180" t="str">
        <f>VLOOKUP(TSC111,[13]AssetDetails_UEM!$A$3:$AH$1849,6,FALSE)</f>
        <v>Electrosurgical Units, Monopolar/Bipolar</v>
      </c>
      <c r="TSE111" s="179" t="s">
        <v>428</v>
      </c>
      <c r="TSF111" s="180" t="str">
        <f>VLOOKUP(TSE111,[13]AssetDetails_UEM!$A$3:$AH$1849,6,FALSE)</f>
        <v>Electrosurgical Units, Monopolar/Bipolar</v>
      </c>
      <c r="TSG111" s="179" t="s">
        <v>428</v>
      </c>
      <c r="TSH111" s="180" t="str">
        <f>VLOOKUP(TSG111,[13]AssetDetails_UEM!$A$3:$AH$1849,6,FALSE)</f>
        <v>Electrosurgical Units, Monopolar/Bipolar</v>
      </c>
      <c r="TSI111" s="179" t="s">
        <v>428</v>
      </c>
      <c r="TSJ111" s="180" t="str">
        <f>VLOOKUP(TSI111,[13]AssetDetails_UEM!$A$3:$AH$1849,6,FALSE)</f>
        <v>Electrosurgical Units, Monopolar/Bipolar</v>
      </c>
      <c r="TSK111" s="179" t="s">
        <v>428</v>
      </c>
      <c r="TSL111" s="180" t="str">
        <f>VLOOKUP(TSK111,[13]AssetDetails_UEM!$A$3:$AH$1849,6,FALSE)</f>
        <v>Electrosurgical Units, Monopolar/Bipolar</v>
      </c>
      <c r="TSM111" s="179" t="s">
        <v>428</v>
      </c>
      <c r="TSN111" s="180" t="str">
        <f>VLOOKUP(TSM111,[13]AssetDetails_UEM!$A$3:$AH$1849,6,FALSE)</f>
        <v>Electrosurgical Units, Monopolar/Bipolar</v>
      </c>
      <c r="TSO111" s="179" t="s">
        <v>428</v>
      </c>
      <c r="TSP111" s="180" t="str">
        <f>VLOOKUP(TSO111,[13]AssetDetails_UEM!$A$3:$AH$1849,6,FALSE)</f>
        <v>Electrosurgical Units, Monopolar/Bipolar</v>
      </c>
      <c r="TSQ111" s="179" t="s">
        <v>428</v>
      </c>
      <c r="TSR111" s="180" t="str">
        <f>VLOOKUP(TSQ111,[13]AssetDetails_UEM!$A$3:$AH$1849,6,FALSE)</f>
        <v>Electrosurgical Units, Monopolar/Bipolar</v>
      </c>
      <c r="TSS111" s="179" t="s">
        <v>428</v>
      </c>
      <c r="TST111" s="180" t="str">
        <f>VLOOKUP(TSS111,[13]AssetDetails_UEM!$A$3:$AH$1849,6,FALSE)</f>
        <v>Electrosurgical Units, Monopolar/Bipolar</v>
      </c>
      <c r="TSU111" s="179" t="s">
        <v>428</v>
      </c>
      <c r="TSV111" s="180" t="str">
        <f>VLOOKUP(TSU111,[13]AssetDetails_UEM!$A$3:$AH$1849,6,FALSE)</f>
        <v>Electrosurgical Units, Monopolar/Bipolar</v>
      </c>
      <c r="TSW111" s="179" t="s">
        <v>428</v>
      </c>
      <c r="TSX111" s="180" t="str">
        <f>VLOOKUP(TSW111,[13]AssetDetails_UEM!$A$3:$AH$1849,6,FALSE)</f>
        <v>Electrosurgical Units, Monopolar/Bipolar</v>
      </c>
      <c r="TSY111" s="179" t="s">
        <v>428</v>
      </c>
      <c r="TSZ111" s="180" t="str">
        <f>VLOOKUP(TSY111,[13]AssetDetails_UEM!$A$3:$AH$1849,6,FALSE)</f>
        <v>Electrosurgical Units, Monopolar/Bipolar</v>
      </c>
      <c r="TTA111" s="179" t="s">
        <v>428</v>
      </c>
      <c r="TTB111" s="180" t="str">
        <f>VLOOKUP(TTA111,[13]AssetDetails_UEM!$A$3:$AH$1849,6,FALSE)</f>
        <v>Electrosurgical Units, Monopolar/Bipolar</v>
      </c>
      <c r="TTC111" s="179" t="s">
        <v>428</v>
      </c>
      <c r="TTD111" s="180" t="str">
        <f>VLOOKUP(TTC111,[13]AssetDetails_UEM!$A$3:$AH$1849,6,FALSE)</f>
        <v>Electrosurgical Units, Monopolar/Bipolar</v>
      </c>
      <c r="TTE111" s="179" t="s">
        <v>428</v>
      </c>
      <c r="TTF111" s="180" t="str">
        <f>VLOOKUP(TTE111,[13]AssetDetails_UEM!$A$3:$AH$1849,6,FALSE)</f>
        <v>Electrosurgical Units, Monopolar/Bipolar</v>
      </c>
      <c r="TTG111" s="179" t="s">
        <v>428</v>
      </c>
      <c r="TTH111" s="180" t="str">
        <f>VLOOKUP(TTG111,[13]AssetDetails_UEM!$A$3:$AH$1849,6,FALSE)</f>
        <v>Electrosurgical Units, Monopolar/Bipolar</v>
      </c>
      <c r="TTI111" s="179" t="s">
        <v>428</v>
      </c>
      <c r="TTJ111" s="180" t="str">
        <f>VLOOKUP(TTI111,[13]AssetDetails_UEM!$A$3:$AH$1849,6,FALSE)</f>
        <v>Electrosurgical Units, Monopolar/Bipolar</v>
      </c>
      <c r="TTK111" s="179" t="s">
        <v>428</v>
      </c>
      <c r="TTL111" s="180" t="str">
        <f>VLOOKUP(TTK111,[13]AssetDetails_UEM!$A$3:$AH$1849,6,FALSE)</f>
        <v>Electrosurgical Units, Monopolar/Bipolar</v>
      </c>
      <c r="TTM111" s="179" t="s">
        <v>428</v>
      </c>
      <c r="TTN111" s="180" t="str">
        <f>VLOOKUP(TTM111,[13]AssetDetails_UEM!$A$3:$AH$1849,6,FALSE)</f>
        <v>Electrosurgical Units, Monopolar/Bipolar</v>
      </c>
      <c r="TTO111" s="179" t="s">
        <v>428</v>
      </c>
      <c r="TTP111" s="180" t="str">
        <f>VLOOKUP(TTO111,[13]AssetDetails_UEM!$A$3:$AH$1849,6,FALSE)</f>
        <v>Electrosurgical Units, Monopolar/Bipolar</v>
      </c>
      <c r="TTQ111" s="179" t="s">
        <v>428</v>
      </c>
      <c r="TTR111" s="180" t="str">
        <f>VLOOKUP(TTQ111,[13]AssetDetails_UEM!$A$3:$AH$1849,6,FALSE)</f>
        <v>Electrosurgical Units, Monopolar/Bipolar</v>
      </c>
      <c r="TTS111" s="179" t="s">
        <v>428</v>
      </c>
      <c r="TTT111" s="180" t="str">
        <f>VLOOKUP(TTS111,[13]AssetDetails_UEM!$A$3:$AH$1849,6,FALSE)</f>
        <v>Electrosurgical Units, Monopolar/Bipolar</v>
      </c>
      <c r="TTU111" s="179" t="s">
        <v>428</v>
      </c>
      <c r="TTV111" s="180" t="str">
        <f>VLOOKUP(TTU111,[13]AssetDetails_UEM!$A$3:$AH$1849,6,FALSE)</f>
        <v>Electrosurgical Units, Monopolar/Bipolar</v>
      </c>
      <c r="TTW111" s="179" t="s">
        <v>428</v>
      </c>
      <c r="TTX111" s="180" t="str">
        <f>VLOOKUP(TTW111,[13]AssetDetails_UEM!$A$3:$AH$1849,6,FALSE)</f>
        <v>Electrosurgical Units, Monopolar/Bipolar</v>
      </c>
      <c r="TTY111" s="179" t="s">
        <v>428</v>
      </c>
      <c r="TTZ111" s="180" t="str">
        <f>VLOOKUP(TTY111,[13]AssetDetails_UEM!$A$3:$AH$1849,6,FALSE)</f>
        <v>Electrosurgical Units, Monopolar/Bipolar</v>
      </c>
      <c r="TUA111" s="179" t="s">
        <v>428</v>
      </c>
      <c r="TUB111" s="180" t="str">
        <f>VLOOKUP(TUA111,[13]AssetDetails_UEM!$A$3:$AH$1849,6,FALSE)</f>
        <v>Electrosurgical Units, Monopolar/Bipolar</v>
      </c>
      <c r="TUC111" s="179" t="s">
        <v>428</v>
      </c>
      <c r="TUD111" s="180" t="str">
        <f>VLOOKUP(TUC111,[13]AssetDetails_UEM!$A$3:$AH$1849,6,FALSE)</f>
        <v>Electrosurgical Units, Monopolar/Bipolar</v>
      </c>
      <c r="TUE111" s="179" t="s">
        <v>428</v>
      </c>
      <c r="TUF111" s="180" t="str">
        <f>VLOOKUP(TUE111,[13]AssetDetails_UEM!$A$3:$AH$1849,6,FALSE)</f>
        <v>Electrosurgical Units, Monopolar/Bipolar</v>
      </c>
      <c r="TUG111" s="179" t="s">
        <v>428</v>
      </c>
      <c r="TUH111" s="180" t="str">
        <f>VLOOKUP(TUG111,[13]AssetDetails_UEM!$A$3:$AH$1849,6,FALSE)</f>
        <v>Electrosurgical Units, Monopolar/Bipolar</v>
      </c>
      <c r="TUI111" s="179" t="s">
        <v>428</v>
      </c>
      <c r="TUJ111" s="180" t="str">
        <f>VLOOKUP(TUI111,[13]AssetDetails_UEM!$A$3:$AH$1849,6,FALSE)</f>
        <v>Electrosurgical Units, Monopolar/Bipolar</v>
      </c>
      <c r="TUK111" s="179" t="s">
        <v>428</v>
      </c>
      <c r="TUL111" s="180" t="str">
        <f>VLOOKUP(TUK111,[13]AssetDetails_UEM!$A$3:$AH$1849,6,FALSE)</f>
        <v>Electrosurgical Units, Monopolar/Bipolar</v>
      </c>
      <c r="TUM111" s="179" t="s">
        <v>428</v>
      </c>
      <c r="TUN111" s="180" t="str">
        <f>VLOOKUP(TUM111,[13]AssetDetails_UEM!$A$3:$AH$1849,6,FALSE)</f>
        <v>Electrosurgical Units, Monopolar/Bipolar</v>
      </c>
      <c r="TUO111" s="179" t="s">
        <v>428</v>
      </c>
      <c r="TUP111" s="180" t="str">
        <f>VLOOKUP(TUO111,[13]AssetDetails_UEM!$A$3:$AH$1849,6,FALSE)</f>
        <v>Electrosurgical Units, Monopolar/Bipolar</v>
      </c>
      <c r="TUQ111" s="179" t="s">
        <v>428</v>
      </c>
      <c r="TUR111" s="180" t="str">
        <f>VLOOKUP(TUQ111,[13]AssetDetails_UEM!$A$3:$AH$1849,6,FALSE)</f>
        <v>Electrosurgical Units, Monopolar/Bipolar</v>
      </c>
      <c r="TUS111" s="179" t="s">
        <v>428</v>
      </c>
      <c r="TUT111" s="180" t="str">
        <f>VLOOKUP(TUS111,[13]AssetDetails_UEM!$A$3:$AH$1849,6,FALSE)</f>
        <v>Electrosurgical Units, Monopolar/Bipolar</v>
      </c>
      <c r="TUU111" s="179" t="s">
        <v>428</v>
      </c>
      <c r="TUV111" s="180" t="str">
        <f>VLOOKUP(TUU111,[13]AssetDetails_UEM!$A$3:$AH$1849,6,FALSE)</f>
        <v>Electrosurgical Units, Monopolar/Bipolar</v>
      </c>
      <c r="TUW111" s="179" t="s">
        <v>428</v>
      </c>
      <c r="TUX111" s="180" t="str">
        <f>VLOOKUP(TUW111,[13]AssetDetails_UEM!$A$3:$AH$1849,6,FALSE)</f>
        <v>Electrosurgical Units, Monopolar/Bipolar</v>
      </c>
      <c r="TUY111" s="179" t="s">
        <v>428</v>
      </c>
      <c r="TUZ111" s="180" t="str">
        <f>VLOOKUP(TUY111,[13]AssetDetails_UEM!$A$3:$AH$1849,6,FALSE)</f>
        <v>Electrosurgical Units, Monopolar/Bipolar</v>
      </c>
      <c r="TVA111" s="179" t="s">
        <v>428</v>
      </c>
      <c r="TVB111" s="180" t="str">
        <f>VLOOKUP(TVA111,[13]AssetDetails_UEM!$A$3:$AH$1849,6,FALSE)</f>
        <v>Electrosurgical Units, Monopolar/Bipolar</v>
      </c>
      <c r="TVC111" s="179" t="s">
        <v>428</v>
      </c>
      <c r="TVD111" s="180" t="str">
        <f>VLOOKUP(TVC111,[13]AssetDetails_UEM!$A$3:$AH$1849,6,FALSE)</f>
        <v>Electrosurgical Units, Monopolar/Bipolar</v>
      </c>
      <c r="TVE111" s="179" t="s">
        <v>428</v>
      </c>
      <c r="TVF111" s="180" t="str">
        <f>VLOOKUP(TVE111,[13]AssetDetails_UEM!$A$3:$AH$1849,6,FALSE)</f>
        <v>Electrosurgical Units, Monopolar/Bipolar</v>
      </c>
      <c r="TVG111" s="179" t="s">
        <v>428</v>
      </c>
      <c r="TVH111" s="180" t="str">
        <f>VLOOKUP(TVG111,[13]AssetDetails_UEM!$A$3:$AH$1849,6,FALSE)</f>
        <v>Electrosurgical Units, Monopolar/Bipolar</v>
      </c>
      <c r="TVI111" s="179" t="s">
        <v>428</v>
      </c>
      <c r="TVJ111" s="180" t="str">
        <f>VLOOKUP(TVI111,[13]AssetDetails_UEM!$A$3:$AH$1849,6,FALSE)</f>
        <v>Electrosurgical Units, Monopolar/Bipolar</v>
      </c>
      <c r="TVK111" s="179" t="s">
        <v>428</v>
      </c>
      <c r="TVL111" s="180" t="str">
        <f>VLOOKUP(TVK111,[13]AssetDetails_UEM!$A$3:$AH$1849,6,FALSE)</f>
        <v>Electrosurgical Units, Monopolar/Bipolar</v>
      </c>
      <c r="TVM111" s="179" t="s">
        <v>428</v>
      </c>
      <c r="TVN111" s="180" t="str">
        <f>VLOOKUP(TVM111,[13]AssetDetails_UEM!$A$3:$AH$1849,6,FALSE)</f>
        <v>Electrosurgical Units, Monopolar/Bipolar</v>
      </c>
      <c r="TVO111" s="179" t="s">
        <v>428</v>
      </c>
      <c r="TVP111" s="180" t="str">
        <f>VLOOKUP(TVO111,[13]AssetDetails_UEM!$A$3:$AH$1849,6,FALSE)</f>
        <v>Electrosurgical Units, Monopolar/Bipolar</v>
      </c>
      <c r="TVQ111" s="179" t="s">
        <v>428</v>
      </c>
      <c r="TVR111" s="180" t="str">
        <f>VLOOKUP(TVQ111,[13]AssetDetails_UEM!$A$3:$AH$1849,6,FALSE)</f>
        <v>Electrosurgical Units, Monopolar/Bipolar</v>
      </c>
      <c r="TVS111" s="179" t="s">
        <v>428</v>
      </c>
      <c r="TVT111" s="180" t="str">
        <f>VLOOKUP(TVS111,[13]AssetDetails_UEM!$A$3:$AH$1849,6,FALSE)</f>
        <v>Electrosurgical Units, Monopolar/Bipolar</v>
      </c>
      <c r="TVU111" s="179" t="s">
        <v>428</v>
      </c>
      <c r="TVV111" s="180" t="str">
        <f>VLOOKUP(TVU111,[13]AssetDetails_UEM!$A$3:$AH$1849,6,FALSE)</f>
        <v>Electrosurgical Units, Monopolar/Bipolar</v>
      </c>
      <c r="TVW111" s="179" t="s">
        <v>428</v>
      </c>
      <c r="TVX111" s="180" t="str">
        <f>VLOOKUP(TVW111,[13]AssetDetails_UEM!$A$3:$AH$1849,6,FALSE)</f>
        <v>Electrosurgical Units, Monopolar/Bipolar</v>
      </c>
      <c r="TVY111" s="179" t="s">
        <v>428</v>
      </c>
      <c r="TVZ111" s="180" t="str">
        <f>VLOOKUP(TVY111,[13]AssetDetails_UEM!$A$3:$AH$1849,6,FALSE)</f>
        <v>Electrosurgical Units, Monopolar/Bipolar</v>
      </c>
      <c r="TWA111" s="179" t="s">
        <v>428</v>
      </c>
      <c r="TWB111" s="180" t="str">
        <f>VLOOKUP(TWA111,[13]AssetDetails_UEM!$A$3:$AH$1849,6,FALSE)</f>
        <v>Electrosurgical Units, Monopolar/Bipolar</v>
      </c>
      <c r="TWC111" s="179" t="s">
        <v>428</v>
      </c>
      <c r="TWD111" s="180" t="str">
        <f>VLOOKUP(TWC111,[13]AssetDetails_UEM!$A$3:$AH$1849,6,FALSE)</f>
        <v>Electrosurgical Units, Monopolar/Bipolar</v>
      </c>
      <c r="TWE111" s="179" t="s">
        <v>428</v>
      </c>
      <c r="TWF111" s="180" t="str">
        <f>VLOOKUP(TWE111,[13]AssetDetails_UEM!$A$3:$AH$1849,6,FALSE)</f>
        <v>Electrosurgical Units, Monopolar/Bipolar</v>
      </c>
      <c r="TWG111" s="179" t="s">
        <v>428</v>
      </c>
      <c r="TWH111" s="180" t="str">
        <f>VLOOKUP(TWG111,[13]AssetDetails_UEM!$A$3:$AH$1849,6,FALSE)</f>
        <v>Electrosurgical Units, Monopolar/Bipolar</v>
      </c>
      <c r="TWI111" s="179" t="s">
        <v>428</v>
      </c>
      <c r="TWJ111" s="180" t="str">
        <f>VLOOKUP(TWI111,[13]AssetDetails_UEM!$A$3:$AH$1849,6,FALSE)</f>
        <v>Electrosurgical Units, Monopolar/Bipolar</v>
      </c>
      <c r="TWK111" s="179" t="s">
        <v>428</v>
      </c>
      <c r="TWL111" s="180" t="str">
        <f>VLOOKUP(TWK111,[13]AssetDetails_UEM!$A$3:$AH$1849,6,FALSE)</f>
        <v>Electrosurgical Units, Monopolar/Bipolar</v>
      </c>
      <c r="TWM111" s="179" t="s">
        <v>428</v>
      </c>
      <c r="TWN111" s="180" t="str">
        <f>VLOOKUP(TWM111,[13]AssetDetails_UEM!$A$3:$AH$1849,6,FALSE)</f>
        <v>Electrosurgical Units, Monopolar/Bipolar</v>
      </c>
      <c r="TWO111" s="179" t="s">
        <v>428</v>
      </c>
      <c r="TWP111" s="180" t="str">
        <f>VLOOKUP(TWO111,[13]AssetDetails_UEM!$A$3:$AH$1849,6,FALSE)</f>
        <v>Electrosurgical Units, Monopolar/Bipolar</v>
      </c>
      <c r="TWQ111" s="179" t="s">
        <v>428</v>
      </c>
      <c r="TWR111" s="180" t="str">
        <f>VLOOKUP(TWQ111,[13]AssetDetails_UEM!$A$3:$AH$1849,6,FALSE)</f>
        <v>Electrosurgical Units, Monopolar/Bipolar</v>
      </c>
      <c r="TWS111" s="179" t="s">
        <v>428</v>
      </c>
      <c r="TWT111" s="180" t="str">
        <f>VLOOKUP(TWS111,[13]AssetDetails_UEM!$A$3:$AH$1849,6,FALSE)</f>
        <v>Electrosurgical Units, Monopolar/Bipolar</v>
      </c>
      <c r="TWU111" s="179" t="s">
        <v>428</v>
      </c>
      <c r="TWV111" s="180" t="str">
        <f>VLOOKUP(TWU111,[13]AssetDetails_UEM!$A$3:$AH$1849,6,FALSE)</f>
        <v>Electrosurgical Units, Monopolar/Bipolar</v>
      </c>
      <c r="TWW111" s="179" t="s">
        <v>428</v>
      </c>
      <c r="TWX111" s="180" t="str">
        <f>VLOOKUP(TWW111,[13]AssetDetails_UEM!$A$3:$AH$1849,6,FALSE)</f>
        <v>Electrosurgical Units, Monopolar/Bipolar</v>
      </c>
      <c r="TWY111" s="179" t="s">
        <v>428</v>
      </c>
      <c r="TWZ111" s="180" t="str">
        <f>VLOOKUP(TWY111,[13]AssetDetails_UEM!$A$3:$AH$1849,6,FALSE)</f>
        <v>Electrosurgical Units, Monopolar/Bipolar</v>
      </c>
      <c r="TXA111" s="179" t="s">
        <v>428</v>
      </c>
      <c r="TXB111" s="180" t="str">
        <f>VLOOKUP(TXA111,[13]AssetDetails_UEM!$A$3:$AH$1849,6,FALSE)</f>
        <v>Electrosurgical Units, Monopolar/Bipolar</v>
      </c>
      <c r="TXC111" s="179" t="s">
        <v>428</v>
      </c>
      <c r="TXD111" s="180" t="str">
        <f>VLOOKUP(TXC111,[13]AssetDetails_UEM!$A$3:$AH$1849,6,FALSE)</f>
        <v>Electrosurgical Units, Monopolar/Bipolar</v>
      </c>
      <c r="TXE111" s="179" t="s">
        <v>428</v>
      </c>
      <c r="TXF111" s="180" t="str">
        <f>VLOOKUP(TXE111,[13]AssetDetails_UEM!$A$3:$AH$1849,6,FALSE)</f>
        <v>Electrosurgical Units, Monopolar/Bipolar</v>
      </c>
      <c r="TXG111" s="179" t="s">
        <v>428</v>
      </c>
      <c r="TXH111" s="180" t="str">
        <f>VLOOKUP(TXG111,[13]AssetDetails_UEM!$A$3:$AH$1849,6,FALSE)</f>
        <v>Electrosurgical Units, Monopolar/Bipolar</v>
      </c>
      <c r="TXI111" s="179" t="s">
        <v>428</v>
      </c>
      <c r="TXJ111" s="180" t="str">
        <f>VLOOKUP(TXI111,[13]AssetDetails_UEM!$A$3:$AH$1849,6,FALSE)</f>
        <v>Electrosurgical Units, Monopolar/Bipolar</v>
      </c>
      <c r="TXK111" s="179" t="s">
        <v>428</v>
      </c>
      <c r="TXL111" s="180" t="str">
        <f>VLOOKUP(TXK111,[13]AssetDetails_UEM!$A$3:$AH$1849,6,FALSE)</f>
        <v>Electrosurgical Units, Monopolar/Bipolar</v>
      </c>
      <c r="TXM111" s="179" t="s">
        <v>428</v>
      </c>
      <c r="TXN111" s="180" t="str">
        <f>VLOOKUP(TXM111,[13]AssetDetails_UEM!$A$3:$AH$1849,6,FALSE)</f>
        <v>Electrosurgical Units, Monopolar/Bipolar</v>
      </c>
      <c r="TXO111" s="179" t="s">
        <v>428</v>
      </c>
      <c r="TXP111" s="180" t="str">
        <f>VLOOKUP(TXO111,[13]AssetDetails_UEM!$A$3:$AH$1849,6,FALSE)</f>
        <v>Electrosurgical Units, Monopolar/Bipolar</v>
      </c>
      <c r="TXQ111" s="179" t="s">
        <v>428</v>
      </c>
      <c r="TXR111" s="180" t="str">
        <f>VLOOKUP(TXQ111,[13]AssetDetails_UEM!$A$3:$AH$1849,6,FALSE)</f>
        <v>Electrosurgical Units, Monopolar/Bipolar</v>
      </c>
      <c r="TXS111" s="179" t="s">
        <v>428</v>
      </c>
      <c r="TXT111" s="180" t="str">
        <f>VLOOKUP(TXS111,[13]AssetDetails_UEM!$A$3:$AH$1849,6,FALSE)</f>
        <v>Electrosurgical Units, Monopolar/Bipolar</v>
      </c>
      <c r="TXU111" s="179" t="s">
        <v>428</v>
      </c>
      <c r="TXV111" s="180" t="str">
        <f>VLOOKUP(TXU111,[13]AssetDetails_UEM!$A$3:$AH$1849,6,FALSE)</f>
        <v>Electrosurgical Units, Monopolar/Bipolar</v>
      </c>
      <c r="TXW111" s="179" t="s">
        <v>428</v>
      </c>
      <c r="TXX111" s="180" t="str">
        <f>VLOOKUP(TXW111,[13]AssetDetails_UEM!$A$3:$AH$1849,6,FALSE)</f>
        <v>Electrosurgical Units, Monopolar/Bipolar</v>
      </c>
      <c r="TXY111" s="179" t="s">
        <v>428</v>
      </c>
      <c r="TXZ111" s="180" t="str">
        <f>VLOOKUP(TXY111,[13]AssetDetails_UEM!$A$3:$AH$1849,6,FALSE)</f>
        <v>Electrosurgical Units, Monopolar/Bipolar</v>
      </c>
      <c r="TYA111" s="179" t="s">
        <v>428</v>
      </c>
      <c r="TYB111" s="180" t="str">
        <f>VLOOKUP(TYA111,[13]AssetDetails_UEM!$A$3:$AH$1849,6,FALSE)</f>
        <v>Electrosurgical Units, Monopolar/Bipolar</v>
      </c>
      <c r="TYC111" s="179" t="s">
        <v>428</v>
      </c>
      <c r="TYD111" s="180" t="str">
        <f>VLOOKUP(TYC111,[13]AssetDetails_UEM!$A$3:$AH$1849,6,FALSE)</f>
        <v>Electrosurgical Units, Monopolar/Bipolar</v>
      </c>
      <c r="TYE111" s="179" t="s">
        <v>428</v>
      </c>
      <c r="TYF111" s="180" t="str">
        <f>VLOOKUP(TYE111,[13]AssetDetails_UEM!$A$3:$AH$1849,6,FALSE)</f>
        <v>Electrosurgical Units, Monopolar/Bipolar</v>
      </c>
      <c r="TYG111" s="179" t="s">
        <v>428</v>
      </c>
      <c r="TYH111" s="180" t="str">
        <f>VLOOKUP(TYG111,[13]AssetDetails_UEM!$A$3:$AH$1849,6,FALSE)</f>
        <v>Electrosurgical Units, Monopolar/Bipolar</v>
      </c>
      <c r="TYI111" s="179" t="s">
        <v>428</v>
      </c>
      <c r="TYJ111" s="180" t="str">
        <f>VLOOKUP(TYI111,[13]AssetDetails_UEM!$A$3:$AH$1849,6,FALSE)</f>
        <v>Electrosurgical Units, Monopolar/Bipolar</v>
      </c>
      <c r="TYK111" s="179" t="s">
        <v>428</v>
      </c>
      <c r="TYL111" s="180" t="str">
        <f>VLOOKUP(TYK111,[13]AssetDetails_UEM!$A$3:$AH$1849,6,FALSE)</f>
        <v>Electrosurgical Units, Monopolar/Bipolar</v>
      </c>
      <c r="TYM111" s="179" t="s">
        <v>428</v>
      </c>
      <c r="TYN111" s="180" t="str">
        <f>VLOOKUP(TYM111,[13]AssetDetails_UEM!$A$3:$AH$1849,6,FALSE)</f>
        <v>Electrosurgical Units, Monopolar/Bipolar</v>
      </c>
      <c r="TYO111" s="179" t="s">
        <v>428</v>
      </c>
      <c r="TYP111" s="180" t="str">
        <f>VLOOKUP(TYO111,[13]AssetDetails_UEM!$A$3:$AH$1849,6,FALSE)</f>
        <v>Electrosurgical Units, Monopolar/Bipolar</v>
      </c>
      <c r="TYQ111" s="179" t="s">
        <v>428</v>
      </c>
      <c r="TYR111" s="180" t="str">
        <f>VLOOKUP(TYQ111,[13]AssetDetails_UEM!$A$3:$AH$1849,6,FALSE)</f>
        <v>Electrosurgical Units, Monopolar/Bipolar</v>
      </c>
      <c r="TYS111" s="179" t="s">
        <v>428</v>
      </c>
      <c r="TYT111" s="180" t="str">
        <f>VLOOKUP(TYS111,[13]AssetDetails_UEM!$A$3:$AH$1849,6,FALSE)</f>
        <v>Electrosurgical Units, Monopolar/Bipolar</v>
      </c>
      <c r="TYU111" s="179" t="s">
        <v>428</v>
      </c>
      <c r="TYV111" s="180" t="str">
        <f>VLOOKUP(TYU111,[13]AssetDetails_UEM!$A$3:$AH$1849,6,FALSE)</f>
        <v>Electrosurgical Units, Monopolar/Bipolar</v>
      </c>
      <c r="TYW111" s="179" t="s">
        <v>428</v>
      </c>
      <c r="TYX111" s="180" t="str">
        <f>VLOOKUP(TYW111,[13]AssetDetails_UEM!$A$3:$AH$1849,6,FALSE)</f>
        <v>Electrosurgical Units, Monopolar/Bipolar</v>
      </c>
      <c r="TYY111" s="179" t="s">
        <v>428</v>
      </c>
      <c r="TYZ111" s="180" t="str">
        <f>VLOOKUP(TYY111,[13]AssetDetails_UEM!$A$3:$AH$1849,6,FALSE)</f>
        <v>Electrosurgical Units, Monopolar/Bipolar</v>
      </c>
      <c r="TZA111" s="179" t="s">
        <v>428</v>
      </c>
      <c r="TZB111" s="180" t="str">
        <f>VLOOKUP(TZA111,[13]AssetDetails_UEM!$A$3:$AH$1849,6,FALSE)</f>
        <v>Electrosurgical Units, Monopolar/Bipolar</v>
      </c>
      <c r="TZC111" s="179" t="s">
        <v>428</v>
      </c>
      <c r="TZD111" s="180" t="str">
        <f>VLOOKUP(TZC111,[13]AssetDetails_UEM!$A$3:$AH$1849,6,FALSE)</f>
        <v>Electrosurgical Units, Monopolar/Bipolar</v>
      </c>
      <c r="TZE111" s="179" t="s">
        <v>428</v>
      </c>
      <c r="TZF111" s="180" t="str">
        <f>VLOOKUP(TZE111,[13]AssetDetails_UEM!$A$3:$AH$1849,6,FALSE)</f>
        <v>Electrosurgical Units, Monopolar/Bipolar</v>
      </c>
      <c r="TZG111" s="179" t="s">
        <v>428</v>
      </c>
      <c r="TZH111" s="180" t="str">
        <f>VLOOKUP(TZG111,[13]AssetDetails_UEM!$A$3:$AH$1849,6,FALSE)</f>
        <v>Electrosurgical Units, Monopolar/Bipolar</v>
      </c>
      <c r="TZI111" s="179" t="s">
        <v>428</v>
      </c>
      <c r="TZJ111" s="180" t="str">
        <f>VLOOKUP(TZI111,[13]AssetDetails_UEM!$A$3:$AH$1849,6,FALSE)</f>
        <v>Electrosurgical Units, Monopolar/Bipolar</v>
      </c>
      <c r="TZK111" s="179" t="s">
        <v>428</v>
      </c>
      <c r="TZL111" s="180" t="str">
        <f>VLOOKUP(TZK111,[13]AssetDetails_UEM!$A$3:$AH$1849,6,FALSE)</f>
        <v>Electrosurgical Units, Monopolar/Bipolar</v>
      </c>
      <c r="TZM111" s="179" t="s">
        <v>428</v>
      </c>
      <c r="TZN111" s="180" t="str">
        <f>VLOOKUP(TZM111,[13]AssetDetails_UEM!$A$3:$AH$1849,6,FALSE)</f>
        <v>Electrosurgical Units, Monopolar/Bipolar</v>
      </c>
      <c r="TZO111" s="179" t="s">
        <v>428</v>
      </c>
      <c r="TZP111" s="180" t="str">
        <f>VLOOKUP(TZO111,[13]AssetDetails_UEM!$A$3:$AH$1849,6,FALSE)</f>
        <v>Electrosurgical Units, Monopolar/Bipolar</v>
      </c>
      <c r="TZQ111" s="179" t="s">
        <v>428</v>
      </c>
      <c r="TZR111" s="180" t="str">
        <f>VLOOKUP(TZQ111,[13]AssetDetails_UEM!$A$3:$AH$1849,6,FALSE)</f>
        <v>Electrosurgical Units, Monopolar/Bipolar</v>
      </c>
      <c r="TZS111" s="179" t="s">
        <v>428</v>
      </c>
      <c r="TZT111" s="180" t="str">
        <f>VLOOKUP(TZS111,[13]AssetDetails_UEM!$A$3:$AH$1849,6,FALSE)</f>
        <v>Electrosurgical Units, Monopolar/Bipolar</v>
      </c>
      <c r="TZU111" s="179" t="s">
        <v>428</v>
      </c>
      <c r="TZV111" s="180" t="str">
        <f>VLOOKUP(TZU111,[13]AssetDetails_UEM!$A$3:$AH$1849,6,FALSE)</f>
        <v>Electrosurgical Units, Monopolar/Bipolar</v>
      </c>
      <c r="TZW111" s="179" t="s">
        <v>428</v>
      </c>
      <c r="TZX111" s="180" t="str">
        <f>VLOOKUP(TZW111,[13]AssetDetails_UEM!$A$3:$AH$1849,6,FALSE)</f>
        <v>Electrosurgical Units, Monopolar/Bipolar</v>
      </c>
      <c r="TZY111" s="179" t="s">
        <v>428</v>
      </c>
      <c r="TZZ111" s="180" t="str">
        <f>VLOOKUP(TZY111,[13]AssetDetails_UEM!$A$3:$AH$1849,6,FALSE)</f>
        <v>Electrosurgical Units, Monopolar/Bipolar</v>
      </c>
      <c r="UAA111" s="179" t="s">
        <v>428</v>
      </c>
      <c r="UAB111" s="180" t="str">
        <f>VLOOKUP(UAA111,[13]AssetDetails_UEM!$A$3:$AH$1849,6,FALSE)</f>
        <v>Electrosurgical Units, Monopolar/Bipolar</v>
      </c>
      <c r="UAC111" s="179" t="s">
        <v>428</v>
      </c>
      <c r="UAD111" s="180" t="str">
        <f>VLOOKUP(UAC111,[13]AssetDetails_UEM!$A$3:$AH$1849,6,FALSE)</f>
        <v>Electrosurgical Units, Monopolar/Bipolar</v>
      </c>
      <c r="UAE111" s="179" t="s">
        <v>428</v>
      </c>
      <c r="UAF111" s="180" t="str">
        <f>VLOOKUP(UAE111,[13]AssetDetails_UEM!$A$3:$AH$1849,6,FALSE)</f>
        <v>Electrosurgical Units, Monopolar/Bipolar</v>
      </c>
      <c r="UAG111" s="179" t="s">
        <v>428</v>
      </c>
      <c r="UAH111" s="180" t="str">
        <f>VLOOKUP(UAG111,[13]AssetDetails_UEM!$A$3:$AH$1849,6,FALSE)</f>
        <v>Electrosurgical Units, Monopolar/Bipolar</v>
      </c>
      <c r="UAI111" s="179" t="s">
        <v>428</v>
      </c>
      <c r="UAJ111" s="180" t="str">
        <f>VLOOKUP(UAI111,[13]AssetDetails_UEM!$A$3:$AH$1849,6,FALSE)</f>
        <v>Electrosurgical Units, Monopolar/Bipolar</v>
      </c>
      <c r="UAK111" s="179" t="s">
        <v>428</v>
      </c>
      <c r="UAL111" s="180" t="str">
        <f>VLOOKUP(UAK111,[13]AssetDetails_UEM!$A$3:$AH$1849,6,FALSE)</f>
        <v>Electrosurgical Units, Monopolar/Bipolar</v>
      </c>
      <c r="UAM111" s="179" t="s">
        <v>428</v>
      </c>
      <c r="UAN111" s="180" t="str">
        <f>VLOOKUP(UAM111,[13]AssetDetails_UEM!$A$3:$AH$1849,6,FALSE)</f>
        <v>Electrosurgical Units, Monopolar/Bipolar</v>
      </c>
      <c r="UAO111" s="179" t="s">
        <v>428</v>
      </c>
      <c r="UAP111" s="180" t="str">
        <f>VLOOKUP(UAO111,[13]AssetDetails_UEM!$A$3:$AH$1849,6,FALSE)</f>
        <v>Electrosurgical Units, Monopolar/Bipolar</v>
      </c>
      <c r="UAQ111" s="179" t="s">
        <v>428</v>
      </c>
      <c r="UAR111" s="180" t="str">
        <f>VLOOKUP(UAQ111,[13]AssetDetails_UEM!$A$3:$AH$1849,6,FALSE)</f>
        <v>Electrosurgical Units, Monopolar/Bipolar</v>
      </c>
      <c r="UAS111" s="179" t="s">
        <v>428</v>
      </c>
      <c r="UAT111" s="180" t="str">
        <f>VLOOKUP(UAS111,[13]AssetDetails_UEM!$A$3:$AH$1849,6,FALSE)</f>
        <v>Electrosurgical Units, Monopolar/Bipolar</v>
      </c>
      <c r="UAU111" s="179" t="s">
        <v>428</v>
      </c>
      <c r="UAV111" s="180" t="str">
        <f>VLOOKUP(UAU111,[13]AssetDetails_UEM!$A$3:$AH$1849,6,FALSE)</f>
        <v>Electrosurgical Units, Monopolar/Bipolar</v>
      </c>
      <c r="UAW111" s="179" t="s">
        <v>428</v>
      </c>
      <c r="UAX111" s="180" t="str">
        <f>VLOOKUP(UAW111,[13]AssetDetails_UEM!$A$3:$AH$1849,6,FALSE)</f>
        <v>Electrosurgical Units, Monopolar/Bipolar</v>
      </c>
      <c r="UAY111" s="179" t="s">
        <v>428</v>
      </c>
      <c r="UAZ111" s="180" t="str">
        <f>VLOOKUP(UAY111,[13]AssetDetails_UEM!$A$3:$AH$1849,6,FALSE)</f>
        <v>Electrosurgical Units, Monopolar/Bipolar</v>
      </c>
      <c r="UBA111" s="179" t="s">
        <v>428</v>
      </c>
      <c r="UBB111" s="180" t="str">
        <f>VLOOKUP(UBA111,[13]AssetDetails_UEM!$A$3:$AH$1849,6,FALSE)</f>
        <v>Electrosurgical Units, Monopolar/Bipolar</v>
      </c>
      <c r="UBC111" s="179" t="s">
        <v>428</v>
      </c>
      <c r="UBD111" s="180" t="str">
        <f>VLOOKUP(UBC111,[13]AssetDetails_UEM!$A$3:$AH$1849,6,FALSE)</f>
        <v>Electrosurgical Units, Monopolar/Bipolar</v>
      </c>
      <c r="UBE111" s="179" t="s">
        <v>428</v>
      </c>
      <c r="UBF111" s="180" t="str">
        <f>VLOOKUP(UBE111,[13]AssetDetails_UEM!$A$3:$AH$1849,6,FALSE)</f>
        <v>Electrosurgical Units, Monopolar/Bipolar</v>
      </c>
      <c r="UBG111" s="179" t="s">
        <v>428</v>
      </c>
      <c r="UBH111" s="180" t="str">
        <f>VLOOKUP(UBG111,[13]AssetDetails_UEM!$A$3:$AH$1849,6,FALSE)</f>
        <v>Electrosurgical Units, Monopolar/Bipolar</v>
      </c>
      <c r="UBI111" s="179" t="s">
        <v>428</v>
      </c>
      <c r="UBJ111" s="180" t="str">
        <f>VLOOKUP(UBI111,[13]AssetDetails_UEM!$A$3:$AH$1849,6,FALSE)</f>
        <v>Electrosurgical Units, Monopolar/Bipolar</v>
      </c>
      <c r="UBK111" s="179" t="s">
        <v>428</v>
      </c>
      <c r="UBL111" s="180" t="str">
        <f>VLOOKUP(UBK111,[13]AssetDetails_UEM!$A$3:$AH$1849,6,FALSE)</f>
        <v>Electrosurgical Units, Monopolar/Bipolar</v>
      </c>
      <c r="UBM111" s="179" t="s">
        <v>428</v>
      </c>
      <c r="UBN111" s="180" t="str">
        <f>VLOOKUP(UBM111,[13]AssetDetails_UEM!$A$3:$AH$1849,6,FALSE)</f>
        <v>Electrosurgical Units, Monopolar/Bipolar</v>
      </c>
      <c r="UBO111" s="179" t="s">
        <v>428</v>
      </c>
      <c r="UBP111" s="180" t="str">
        <f>VLOOKUP(UBO111,[13]AssetDetails_UEM!$A$3:$AH$1849,6,FALSE)</f>
        <v>Electrosurgical Units, Monopolar/Bipolar</v>
      </c>
      <c r="UBQ111" s="179" t="s">
        <v>428</v>
      </c>
      <c r="UBR111" s="180" t="str">
        <f>VLOOKUP(UBQ111,[13]AssetDetails_UEM!$A$3:$AH$1849,6,FALSE)</f>
        <v>Electrosurgical Units, Monopolar/Bipolar</v>
      </c>
      <c r="UBS111" s="179" t="s">
        <v>428</v>
      </c>
      <c r="UBT111" s="180" t="str">
        <f>VLOOKUP(UBS111,[13]AssetDetails_UEM!$A$3:$AH$1849,6,FALSE)</f>
        <v>Electrosurgical Units, Monopolar/Bipolar</v>
      </c>
      <c r="UBU111" s="179" t="s">
        <v>428</v>
      </c>
      <c r="UBV111" s="180" t="str">
        <f>VLOOKUP(UBU111,[13]AssetDetails_UEM!$A$3:$AH$1849,6,FALSE)</f>
        <v>Electrosurgical Units, Monopolar/Bipolar</v>
      </c>
      <c r="UBW111" s="179" t="s">
        <v>428</v>
      </c>
      <c r="UBX111" s="180" t="str">
        <f>VLOOKUP(UBW111,[13]AssetDetails_UEM!$A$3:$AH$1849,6,FALSE)</f>
        <v>Electrosurgical Units, Monopolar/Bipolar</v>
      </c>
      <c r="UBY111" s="179" t="s">
        <v>428</v>
      </c>
      <c r="UBZ111" s="180" t="str">
        <f>VLOOKUP(UBY111,[13]AssetDetails_UEM!$A$3:$AH$1849,6,FALSE)</f>
        <v>Electrosurgical Units, Monopolar/Bipolar</v>
      </c>
      <c r="UCA111" s="179" t="s">
        <v>428</v>
      </c>
      <c r="UCB111" s="180" t="str">
        <f>VLOOKUP(UCA111,[13]AssetDetails_UEM!$A$3:$AH$1849,6,FALSE)</f>
        <v>Electrosurgical Units, Monopolar/Bipolar</v>
      </c>
      <c r="UCC111" s="179" t="s">
        <v>428</v>
      </c>
      <c r="UCD111" s="180" t="str">
        <f>VLOOKUP(UCC111,[13]AssetDetails_UEM!$A$3:$AH$1849,6,FALSE)</f>
        <v>Electrosurgical Units, Monopolar/Bipolar</v>
      </c>
      <c r="UCE111" s="179" t="s">
        <v>428</v>
      </c>
      <c r="UCF111" s="180" t="str">
        <f>VLOOKUP(UCE111,[13]AssetDetails_UEM!$A$3:$AH$1849,6,FALSE)</f>
        <v>Electrosurgical Units, Monopolar/Bipolar</v>
      </c>
      <c r="UCG111" s="179" t="s">
        <v>428</v>
      </c>
      <c r="UCH111" s="180" t="str">
        <f>VLOOKUP(UCG111,[13]AssetDetails_UEM!$A$3:$AH$1849,6,FALSE)</f>
        <v>Electrosurgical Units, Monopolar/Bipolar</v>
      </c>
      <c r="UCI111" s="179" t="s">
        <v>428</v>
      </c>
      <c r="UCJ111" s="180" t="str">
        <f>VLOOKUP(UCI111,[13]AssetDetails_UEM!$A$3:$AH$1849,6,FALSE)</f>
        <v>Electrosurgical Units, Monopolar/Bipolar</v>
      </c>
      <c r="UCK111" s="179" t="s">
        <v>428</v>
      </c>
      <c r="UCL111" s="180" t="str">
        <f>VLOOKUP(UCK111,[13]AssetDetails_UEM!$A$3:$AH$1849,6,FALSE)</f>
        <v>Electrosurgical Units, Monopolar/Bipolar</v>
      </c>
      <c r="UCM111" s="179" t="s">
        <v>428</v>
      </c>
      <c r="UCN111" s="180" t="str">
        <f>VLOOKUP(UCM111,[13]AssetDetails_UEM!$A$3:$AH$1849,6,FALSE)</f>
        <v>Electrosurgical Units, Monopolar/Bipolar</v>
      </c>
      <c r="UCO111" s="179" t="s">
        <v>428</v>
      </c>
      <c r="UCP111" s="180" t="str">
        <f>VLOOKUP(UCO111,[13]AssetDetails_UEM!$A$3:$AH$1849,6,FALSE)</f>
        <v>Electrosurgical Units, Monopolar/Bipolar</v>
      </c>
      <c r="UCQ111" s="179" t="s">
        <v>428</v>
      </c>
      <c r="UCR111" s="180" t="str">
        <f>VLOOKUP(UCQ111,[13]AssetDetails_UEM!$A$3:$AH$1849,6,FALSE)</f>
        <v>Electrosurgical Units, Monopolar/Bipolar</v>
      </c>
      <c r="UCS111" s="179" t="s">
        <v>428</v>
      </c>
      <c r="UCT111" s="180" t="str">
        <f>VLOOKUP(UCS111,[13]AssetDetails_UEM!$A$3:$AH$1849,6,FALSE)</f>
        <v>Electrosurgical Units, Monopolar/Bipolar</v>
      </c>
      <c r="UCU111" s="179" t="s">
        <v>428</v>
      </c>
      <c r="UCV111" s="180" t="str">
        <f>VLOOKUP(UCU111,[13]AssetDetails_UEM!$A$3:$AH$1849,6,FALSE)</f>
        <v>Electrosurgical Units, Monopolar/Bipolar</v>
      </c>
      <c r="UCW111" s="179" t="s">
        <v>428</v>
      </c>
      <c r="UCX111" s="180" t="str">
        <f>VLOOKUP(UCW111,[13]AssetDetails_UEM!$A$3:$AH$1849,6,FALSE)</f>
        <v>Electrosurgical Units, Monopolar/Bipolar</v>
      </c>
      <c r="UCY111" s="179" t="s">
        <v>428</v>
      </c>
      <c r="UCZ111" s="180" t="str">
        <f>VLOOKUP(UCY111,[13]AssetDetails_UEM!$A$3:$AH$1849,6,FALSE)</f>
        <v>Electrosurgical Units, Monopolar/Bipolar</v>
      </c>
      <c r="UDA111" s="179" t="s">
        <v>428</v>
      </c>
      <c r="UDB111" s="180" t="str">
        <f>VLOOKUP(UDA111,[13]AssetDetails_UEM!$A$3:$AH$1849,6,FALSE)</f>
        <v>Electrosurgical Units, Monopolar/Bipolar</v>
      </c>
      <c r="UDC111" s="179" t="s">
        <v>428</v>
      </c>
      <c r="UDD111" s="180" t="str">
        <f>VLOOKUP(UDC111,[13]AssetDetails_UEM!$A$3:$AH$1849,6,FALSE)</f>
        <v>Electrosurgical Units, Monopolar/Bipolar</v>
      </c>
      <c r="UDE111" s="179" t="s">
        <v>428</v>
      </c>
      <c r="UDF111" s="180" t="str">
        <f>VLOOKUP(UDE111,[13]AssetDetails_UEM!$A$3:$AH$1849,6,FALSE)</f>
        <v>Electrosurgical Units, Monopolar/Bipolar</v>
      </c>
      <c r="UDG111" s="179" t="s">
        <v>428</v>
      </c>
      <c r="UDH111" s="180" t="str">
        <f>VLOOKUP(UDG111,[13]AssetDetails_UEM!$A$3:$AH$1849,6,FALSE)</f>
        <v>Electrosurgical Units, Monopolar/Bipolar</v>
      </c>
      <c r="UDI111" s="179" t="s">
        <v>428</v>
      </c>
      <c r="UDJ111" s="180" t="str">
        <f>VLOOKUP(UDI111,[13]AssetDetails_UEM!$A$3:$AH$1849,6,FALSE)</f>
        <v>Electrosurgical Units, Monopolar/Bipolar</v>
      </c>
      <c r="UDK111" s="179" t="s">
        <v>428</v>
      </c>
      <c r="UDL111" s="180" t="str">
        <f>VLOOKUP(UDK111,[13]AssetDetails_UEM!$A$3:$AH$1849,6,FALSE)</f>
        <v>Electrosurgical Units, Monopolar/Bipolar</v>
      </c>
      <c r="UDM111" s="179" t="s">
        <v>428</v>
      </c>
      <c r="UDN111" s="180" t="str">
        <f>VLOOKUP(UDM111,[13]AssetDetails_UEM!$A$3:$AH$1849,6,FALSE)</f>
        <v>Electrosurgical Units, Monopolar/Bipolar</v>
      </c>
      <c r="UDO111" s="179" t="s">
        <v>428</v>
      </c>
      <c r="UDP111" s="180" t="str">
        <f>VLOOKUP(UDO111,[13]AssetDetails_UEM!$A$3:$AH$1849,6,FALSE)</f>
        <v>Electrosurgical Units, Monopolar/Bipolar</v>
      </c>
      <c r="UDQ111" s="179" t="s">
        <v>428</v>
      </c>
      <c r="UDR111" s="180" t="str">
        <f>VLOOKUP(UDQ111,[13]AssetDetails_UEM!$A$3:$AH$1849,6,FALSE)</f>
        <v>Electrosurgical Units, Monopolar/Bipolar</v>
      </c>
      <c r="UDS111" s="179" t="s">
        <v>428</v>
      </c>
      <c r="UDT111" s="180" t="str">
        <f>VLOOKUP(UDS111,[13]AssetDetails_UEM!$A$3:$AH$1849,6,FALSE)</f>
        <v>Electrosurgical Units, Monopolar/Bipolar</v>
      </c>
      <c r="UDU111" s="179" t="s">
        <v>428</v>
      </c>
      <c r="UDV111" s="180" t="str">
        <f>VLOOKUP(UDU111,[13]AssetDetails_UEM!$A$3:$AH$1849,6,FALSE)</f>
        <v>Electrosurgical Units, Monopolar/Bipolar</v>
      </c>
      <c r="UDW111" s="179" t="s">
        <v>428</v>
      </c>
      <c r="UDX111" s="180" t="str">
        <f>VLOOKUP(UDW111,[13]AssetDetails_UEM!$A$3:$AH$1849,6,FALSE)</f>
        <v>Electrosurgical Units, Monopolar/Bipolar</v>
      </c>
      <c r="UDY111" s="179" t="s">
        <v>428</v>
      </c>
      <c r="UDZ111" s="180" t="str">
        <f>VLOOKUP(UDY111,[13]AssetDetails_UEM!$A$3:$AH$1849,6,FALSE)</f>
        <v>Electrosurgical Units, Monopolar/Bipolar</v>
      </c>
      <c r="UEA111" s="179" t="s">
        <v>428</v>
      </c>
      <c r="UEB111" s="180" t="str">
        <f>VLOOKUP(UEA111,[13]AssetDetails_UEM!$A$3:$AH$1849,6,FALSE)</f>
        <v>Electrosurgical Units, Monopolar/Bipolar</v>
      </c>
      <c r="UEC111" s="179" t="s">
        <v>428</v>
      </c>
      <c r="UED111" s="180" t="str">
        <f>VLOOKUP(UEC111,[13]AssetDetails_UEM!$A$3:$AH$1849,6,FALSE)</f>
        <v>Electrosurgical Units, Monopolar/Bipolar</v>
      </c>
      <c r="UEE111" s="179" t="s">
        <v>428</v>
      </c>
      <c r="UEF111" s="180" t="str">
        <f>VLOOKUP(UEE111,[13]AssetDetails_UEM!$A$3:$AH$1849,6,FALSE)</f>
        <v>Electrosurgical Units, Monopolar/Bipolar</v>
      </c>
      <c r="UEG111" s="179" t="s">
        <v>428</v>
      </c>
      <c r="UEH111" s="180" t="str">
        <f>VLOOKUP(UEG111,[13]AssetDetails_UEM!$A$3:$AH$1849,6,FALSE)</f>
        <v>Electrosurgical Units, Monopolar/Bipolar</v>
      </c>
      <c r="UEI111" s="179" t="s">
        <v>428</v>
      </c>
      <c r="UEJ111" s="180" t="str">
        <f>VLOOKUP(UEI111,[13]AssetDetails_UEM!$A$3:$AH$1849,6,FALSE)</f>
        <v>Electrosurgical Units, Monopolar/Bipolar</v>
      </c>
      <c r="UEK111" s="179" t="s">
        <v>428</v>
      </c>
      <c r="UEL111" s="180" t="str">
        <f>VLOOKUP(UEK111,[13]AssetDetails_UEM!$A$3:$AH$1849,6,FALSE)</f>
        <v>Electrosurgical Units, Monopolar/Bipolar</v>
      </c>
      <c r="UEM111" s="179" t="s">
        <v>428</v>
      </c>
      <c r="UEN111" s="180" t="str">
        <f>VLOOKUP(UEM111,[13]AssetDetails_UEM!$A$3:$AH$1849,6,FALSE)</f>
        <v>Electrosurgical Units, Monopolar/Bipolar</v>
      </c>
      <c r="UEO111" s="179" t="s">
        <v>428</v>
      </c>
      <c r="UEP111" s="180" t="str">
        <f>VLOOKUP(UEO111,[13]AssetDetails_UEM!$A$3:$AH$1849,6,FALSE)</f>
        <v>Electrosurgical Units, Monopolar/Bipolar</v>
      </c>
      <c r="UEQ111" s="179" t="s">
        <v>428</v>
      </c>
      <c r="UER111" s="180" t="str">
        <f>VLOOKUP(UEQ111,[13]AssetDetails_UEM!$A$3:$AH$1849,6,FALSE)</f>
        <v>Electrosurgical Units, Monopolar/Bipolar</v>
      </c>
      <c r="UES111" s="179" t="s">
        <v>428</v>
      </c>
      <c r="UET111" s="180" t="str">
        <f>VLOOKUP(UES111,[13]AssetDetails_UEM!$A$3:$AH$1849,6,FALSE)</f>
        <v>Electrosurgical Units, Monopolar/Bipolar</v>
      </c>
      <c r="UEU111" s="179" t="s">
        <v>428</v>
      </c>
      <c r="UEV111" s="180" t="str">
        <f>VLOOKUP(UEU111,[13]AssetDetails_UEM!$A$3:$AH$1849,6,FALSE)</f>
        <v>Electrosurgical Units, Monopolar/Bipolar</v>
      </c>
      <c r="UEW111" s="179" t="s">
        <v>428</v>
      </c>
      <c r="UEX111" s="180" t="str">
        <f>VLOOKUP(UEW111,[13]AssetDetails_UEM!$A$3:$AH$1849,6,FALSE)</f>
        <v>Electrosurgical Units, Monopolar/Bipolar</v>
      </c>
      <c r="UEY111" s="179" t="s">
        <v>428</v>
      </c>
      <c r="UEZ111" s="180" t="str">
        <f>VLOOKUP(UEY111,[13]AssetDetails_UEM!$A$3:$AH$1849,6,FALSE)</f>
        <v>Electrosurgical Units, Monopolar/Bipolar</v>
      </c>
      <c r="UFA111" s="179" t="s">
        <v>428</v>
      </c>
      <c r="UFB111" s="180" t="str">
        <f>VLOOKUP(UFA111,[13]AssetDetails_UEM!$A$3:$AH$1849,6,FALSE)</f>
        <v>Electrosurgical Units, Monopolar/Bipolar</v>
      </c>
      <c r="UFC111" s="179" t="s">
        <v>428</v>
      </c>
      <c r="UFD111" s="180" t="str">
        <f>VLOOKUP(UFC111,[13]AssetDetails_UEM!$A$3:$AH$1849,6,FALSE)</f>
        <v>Electrosurgical Units, Monopolar/Bipolar</v>
      </c>
      <c r="UFE111" s="179" t="s">
        <v>428</v>
      </c>
      <c r="UFF111" s="180" t="str">
        <f>VLOOKUP(UFE111,[13]AssetDetails_UEM!$A$3:$AH$1849,6,FALSE)</f>
        <v>Electrosurgical Units, Monopolar/Bipolar</v>
      </c>
      <c r="UFG111" s="179" t="s">
        <v>428</v>
      </c>
      <c r="UFH111" s="180" t="str">
        <f>VLOOKUP(UFG111,[13]AssetDetails_UEM!$A$3:$AH$1849,6,FALSE)</f>
        <v>Electrosurgical Units, Monopolar/Bipolar</v>
      </c>
      <c r="UFI111" s="179" t="s">
        <v>428</v>
      </c>
      <c r="UFJ111" s="180" t="str">
        <f>VLOOKUP(UFI111,[13]AssetDetails_UEM!$A$3:$AH$1849,6,FALSE)</f>
        <v>Electrosurgical Units, Monopolar/Bipolar</v>
      </c>
      <c r="UFK111" s="179" t="s">
        <v>428</v>
      </c>
      <c r="UFL111" s="180" t="str">
        <f>VLOOKUP(UFK111,[13]AssetDetails_UEM!$A$3:$AH$1849,6,FALSE)</f>
        <v>Electrosurgical Units, Monopolar/Bipolar</v>
      </c>
      <c r="UFM111" s="179" t="s">
        <v>428</v>
      </c>
      <c r="UFN111" s="180" t="str">
        <f>VLOOKUP(UFM111,[13]AssetDetails_UEM!$A$3:$AH$1849,6,FALSE)</f>
        <v>Electrosurgical Units, Monopolar/Bipolar</v>
      </c>
      <c r="UFO111" s="179" t="s">
        <v>428</v>
      </c>
      <c r="UFP111" s="180" t="str">
        <f>VLOOKUP(UFO111,[13]AssetDetails_UEM!$A$3:$AH$1849,6,FALSE)</f>
        <v>Electrosurgical Units, Monopolar/Bipolar</v>
      </c>
      <c r="UFQ111" s="179" t="s">
        <v>428</v>
      </c>
      <c r="UFR111" s="180" t="str">
        <f>VLOOKUP(UFQ111,[13]AssetDetails_UEM!$A$3:$AH$1849,6,FALSE)</f>
        <v>Electrosurgical Units, Monopolar/Bipolar</v>
      </c>
      <c r="UFS111" s="179" t="s">
        <v>428</v>
      </c>
      <c r="UFT111" s="180" t="str">
        <f>VLOOKUP(UFS111,[13]AssetDetails_UEM!$A$3:$AH$1849,6,FALSE)</f>
        <v>Electrosurgical Units, Monopolar/Bipolar</v>
      </c>
      <c r="UFU111" s="179" t="s">
        <v>428</v>
      </c>
      <c r="UFV111" s="180" t="str">
        <f>VLOOKUP(UFU111,[13]AssetDetails_UEM!$A$3:$AH$1849,6,FALSE)</f>
        <v>Electrosurgical Units, Monopolar/Bipolar</v>
      </c>
      <c r="UFW111" s="179" t="s">
        <v>428</v>
      </c>
      <c r="UFX111" s="180" t="str">
        <f>VLOOKUP(UFW111,[13]AssetDetails_UEM!$A$3:$AH$1849,6,FALSE)</f>
        <v>Electrosurgical Units, Monopolar/Bipolar</v>
      </c>
      <c r="UFY111" s="179" t="s">
        <v>428</v>
      </c>
      <c r="UFZ111" s="180" t="str">
        <f>VLOOKUP(UFY111,[13]AssetDetails_UEM!$A$3:$AH$1849,6,FALSE)</f>
        <v>Electrosurgical Units, Monopolar/Bipolar</v>
      </c>
      <c r="UGA111" s="179" t="s">
        <v>428</v>
      </c>
      <c r="UGB111" s="180" t="str">
        <f>VLOOKUP(UGA111,[13]AssetDetails_UEM!$A$3:$AH$1849,6,FALSE)</f>
        <v>Electrosurgical Units, Monopolar/Bipolar</v>
      </c>
      <c r="UGC111" s="179" t="s">
        <v>428</v>
      </c>
      <c r="UGD111" s="180" t="str">
        <f>VLOOKUP(UGC111,[13]AssetDetails_UEM!$A$3:$AH$1849,6,FALSE)</f>
        <v>Electrosurgical Units, Monopolar/Bipolar</v>
      </c>
      <c r="UGE111" s="179" t="s">
        <v>428</v>
      </c>
      <c r="UGF111" s="180" t="str">
        <f>VLOOKUP(UGE111,[13]AssetDetails_UEM!$A$3:$AH$1849,6,FALSE)</f>
        <v>Electrosurgical Units, Monopolar/Bipolar</v>
      </c>
      <c r="UGG111" s="179" t="s">
        <v>428</v>
      </c>
      <c r="UGH111" s="180" t="str">
        <f>VLOOKUP(UGG111,[13]AssetDetails_UEM!$A$3:$AH$1849,6,FALSE)</f>
        <v>Electrosurgical Units, Monopolar/Bipolar</v>
      </c>
      <c r="UGI111" s="179" t="s">
        <v>428</v>
      </c>
      <c r="UGJ111" s="180" t="str">
        <f>VLOOKUP(UGI111,[13]AssetDetails_UEM!$A$3:$AH$1849,6,FALSE)</f>
        <v>Electrosurgical Units, Monopolar/Bipolar</v>
      </c>
      <c r="UGK111" s="179" t="s">
        <v>428</v>
      </c>
      <c r="UGL111" s="180" t="str">
        <f>VLOOKUP(UGK111,[13]AssetDetails_UEM!$A$3:$AH$1849,6,FALSE)</f>
        <v>Electrosurgical Units, Monopolar/Bipolar</v>
      </c>
      <c r="UGM111" s="179" t="s">
        <v>428</v>
      </c>
      <c r="UGN111" s="180" t="str">
        <f>VLOOKUP(UGM111,[13]AssetDetails_UEM!$A$3:$AH$1849,6,FALSE)</f>
        <v>Electrosurgical Units, Monopolar/Bipolar</v>
      </c>
      <c r="UGO111" s="179" t="s">
        <v>428</v>
      </c>
      <c r="UGP111" s="180" t="str">
        <f>VLOOKUP(UGO111,[13]AssetDetails_UEM!$A$3:$AH$1849,6,FALSE)</f>
        <v>Electrosurgical Units, Monopolar/Bipolar</v>
      </c>
      <c r="UGQ111" s="179" t="s">
        <v>428</v>
      </c>
      <c r="UGR111" s="180" t="str">
        <f>VLOOKUP(UGQ111,[13]AssetDetails_UEM!$A$3:$AH$1849,6,FALSE)</f>
        <v>Electrosurgical Units, Monopolar/Bipolar</v>
      </c>
      <c r="UGS111" s="179" t="s">
        <v>428</v>
      </c>
      <c r="UGT111" s="180" t="str">
        <f>VLOOKUP(UGS111,[13]AssetDetails_UEM!$A$3:$AH$1849,6,FALSE)</f>
        <v>Electrosurgical Units, Monopolar/Bipolar</v>
      </c>
      <c r="UGU111" s="179" t="s">
        <v>428</v>
      </c>
      <c r="UGV111" s="180" t="str">
        <f>VLOOKUP(UGU111,[13]AssetDetails_UEM!$A$3:$AH$1849,6,FALSE)</f>
        <v>Electrosurgical Units, Monopolar/Bipolar</v>
      </c>
      <c r="UGW111" s="179" t="s">
        <v>428</v>
      </c>
      <c r="UGX111" s="180" t="str">
        <f>VLOOKUP(UGW111,[13]AssetDetails_UEM!$A$3:$AH$1849,6,FALSE)</f>
        <v>Electrosurgical Units, Monopolar/Bipolar</v>
      </c>
      <c r="UGY111" s="179" t="s">
        <v>428</v>
      </c>
      <c r="UGZ111" s="180" t="str">
        <f>VLOOKUP(UGY111,[13]AssetDetails_UEM!$A$3:$AH$1849,6,FALSE)</f>
        <v>Electrosurgical Units, Monopolar/Bipolar</v>
      </c>
      <c r="UHA111" s="179" t="s">
        <v>428</v>
      </c>
      <c r="UHB111" s="180" t="str">
        <f>VLOOKUP(UHA111,[13]AssetDetails_UEM!$A$3:$AH$1849,6,FALSE)</f>
        <v>Electrosurgical Units, Monopolar/Bipolar</v>
      </c>
      <c r="UHC111" s="179" t="s">
        <v>428</v>
      </c>
      <c r="UHD111" s="180" t="str">
        <f>VLOOKUP(UHC111,[13]AssetDetails_UEM!$A$3:$AH$1849,6,FALSE)</f>
        <v>Electrosurgical Units, Monopolar/Bipolar</v>
      </c>
      <c r="UHE111" s="179" t="s">
        <v>428</v>
      </c>
      <c r="UHF111" s="180" t="str">
        <f>VLOOKUP(UHE111,[13]AssetDetails_UEM!$A$3:$AH$1849,6,FALSE)</f>
        <v>Electrosurgical Units, Monopolar/Bipolar</v>
      </c>
      <c r="UHG111" s="179" t="s">
        <v>428</v>
      </c>
      <c r="UHH111" s="180" t="str">
        <f>VLOOKUP(UHG111,[13]AssetDetails_UEM!$A$3:$AH$1849,6,FALSE)</f>
        <v>Electrosurgical Units, Monopolar/Bipolar</v>
      </c>
      <c r="UHI111" s="179" t="s">
        <v>428</v>
      </c>
      <c r="UHJ111" s="180" t="str">
        <f>VLOOKUP(UHI111,[13]AssetDetails_UEM!$A$3:$AH$1849,6,FALSE)</f>
        <v>Electrosurgical Units, Monopolar/Bipolar</v>
      </c>
      <c r="UHK111" s="179" t="s">
        <v>428</v>
      </c>
      <c r="UHL111" s="180" t="str">
        <f>VLOOKUP(UHK111,[13]AssetDetails_UEM!$A$3:$AH$1849,6,FALSE)</f>
        <v>Electrosurgical Units, Monopolar/Bipolar</v>
      </c>
      <c r="UHM111" s="179" t="s">
        <v>428</v>
      </c>
      <c r="UHN111" s="180" t="str">
        <f>VLOOKUP(UHM111,[13]AssetDetails_UEM!$A$3:$AH$1849,6,FALSE)</f>
        <v>Electrosurgical Units, Monopolar/Bipolar</v>
      </c>
      <c r="UHO111" s="179" t="s">
        <v>428</v>
      </c>
      <c r="UHP111" s="180" t="str">
        <f>VLOOKUP(UHO111,[13]AssetDetails_UEM!$A$3:$AH$1849,6,FALSE)</f>
        <v>Electrosurgical Units, Monopolar/Bipolar</v>
      </c>
      <c r="UHQ111" s="179" t="s">
        <v>428</v>
      </c>
      <c r="UHR111" s="180" t="str">
        <f>VLOOKUP(UHQ111,[13]AssetDetails_UEM!$A$3:$AH$1849,6,FALSE)</f>
        <v>Electrosurgical Units, Monopolar/Bipolar</v>
      </c>
      <c r="UHS111" s="179" t="s">
        <v>428</v>
      </c>
      <c r="UHT111" s="180" t="str">
        <f>VLOOKUP(UHS111,[13]AssetDetails_UEM!$A$3:$AH$1849,6,FALSE)</f>
        <v>Electrosurgical Units, Monopolar/Bipolar</v>
      </c>
      <c r="UHU111" s="179" t="s">
        <v>428</v>
      </c>
      <c r="UHV111" s="180" t="str">
        <f>VLOOKUP(UHU111,[13]AssetDetails_UEM!$A$3:$AH$1849,6,FALSE)</f>
        <v>Electrosurgical Units, Monopolar/Bipolar</v>
      </c>
      <c r="UHW111" s="179" t="s">
        <v>428</v>
      </c>
      <c r="UHX111" s="180" t="str">
        <f>VLOOKUP(UHW111,[13]AssetDetails_UEM!$A$3:$AH$1849,6,FALSE)</f>
        <v>Electrosurgical Units, Monopolar/Bipolar</v>
      </c>
      <c r="UHY111" s="179" t="s">
        <v>428</v>
      </c>
      <c r="UHZ111" s="180" t="str">
        <f>VLOOKUP(UHY111,[13]AssetDetails_UEM!$A$3:$AH$1849,6,FALSE)</f>
        <v>Electrosurgical Units, Monopolar/Bipolar</v>
      </c>
      <c r="UIA111" s="179" t="s">
        <v>428</v>
      </c>
      <c r="UIB111" s="180" t="str">
        <f>VLOOKUP(UIA111,[13]AssetDetails_UEM!$A$3:$AH$1849,6,FALSE)</f>
        <v>Electrosurgical Units, Monopolar/Bipolar</v>
      </c>
      <c r="UIC111" s="179" t="s">
        <v>428</v>
      </c>
      <c r="UID111" s="180" t="str">
        <f>VLOOKUP(UIC111,[13]AssetDetails_UEM!$A$3:$AH$1849,6,FALSE)</f>
        <v>Electrosurgical Units, Monopolar/Bipolar</v>
      </c>
      <c r="UIE111" s="179" t="s">
        <v>428</v>
      </c>
      <c r="UIF111" s="180" t="str">
        <f>VLOOKUP(UIE111,[13]AssetDetails_UEM!$A$3:$AH$1849,6,FALSE)</f>
        <v>Electrosurgical Units, Monopolar/Bipolar</v>
      </c>
      <c r="UIG111" s="179" t="s">
        <v>428</v>
      </c>
      <c r="UIH111" s="180" t="str">
        <f>VLOOKUP(UIG111,[13]AssetDetails_UEM!$A$3:$AH$1849,6,FALSE)</f>
        <v>Electrosurgical Units, Monopolar/Bipolar</v>
      </c>
      <c r="UII111" s="179" t="s">
        <v>428</v>
      </c>
      <c r="UIJ111" s="180" t="str">
        <f>VLOOKUP(UII111,[13]AssetDetails_UEM!$A$3:$AH$1849,6,FALSE)</f>
        <v>Electrosurgical Units, Monopolar/Bipolar</v>
      </c>
      <c r="UIK111" s="179" t="s">
        <v>428</v>
      </c>
      <c r="UIL111" s="180" t="str">
        <f>VLOOKUP(UIK111,[13]AssetDetails_UEM!$A$3:$AH$1849,6,FALSE)</f>
        <v>Electrosurgical Units, Monopolar/Bipolar</v>
      </c>
      <c r="UIM111" s="179" t="s">
        <v>428</v>
      </c>
      <c r="UIN111" s="180" t="str">
        <f>VLOOKUP(UIM111,[13]AssetDetails_UEM!$A$3:$AH$1849,6,FALSE)</f>
        <v>Electrosurgical Units, Monopolar/Bipolar</v>
      </c>
      <c r="UIO111" s="179" t="s">
        <v>428</v>
      </c>
      <c r="UIP111" s="180" t="str">
        <f>VLOOKUP(UIO111,[13]AssetDetails_UEM!$A$3:$AH$1849,6,FALSE)</f>
        <v>Electrosurgical Units, Monopolar/Bipolar</v>
      </c>
      <c r="UIQ111" s="179" t="s">
        <v>428</v>
      </c>
      <c r="UIR111" s="180" t="str">
        <f>VLOOKUP(UIQ111,[13]AssetDetails_UEM!$A$3:$AH$1849,6,FALSE)</f>
        <v>Electrosurgical Units, Monopolar/Bipolar</v>
      </c>
      <c r="UIS111" s="179" t="s">
        <v>428</v>
      </c>
      <c r="UIT111" s="180" t="str">
        <f>VLOOKUP(UIS111,[13]AssetDetails_UEM!$A$3:$AH$1849,6,FALSE)</f>
        <v>Electrosurgical Units, Monopolar/Bipolar</v>
      </c>
      <c r="UIU111" s="179" t="s">
        <v>428</v>
      </c>
      <c r="UIV111" s="180" t="str">
        <f>VLOOKUP(UIU111,[13]AssetDetails_UEM!$A$3:$AH$1849,6,FALSE)</f>
        <v>Electrosurgical Units, Monopolar/Bipolar</v>
      </c>
      <c r="UIW111" s="179" t="s">
        <v>428</v>
      </c>
      <c r="UIX111" s="180" t="str">
        <f>VLOOKUP(UIW111,[13]AssetDetails_UEM!$A$3:$AH$1849,6,FALSE)</f>
        <v>Electrosurgical Units, Monopolar/Bipolar</v>
      </c>
      <c r="UIY111" s="179" t="s">
        <v>428</v>
      </c>
      <c r="UIZ111" s="180" t="str">
        <f>VLOOKUP(UIY111,[13]AssetDetails_UEM!$A$3:$AH$1849,6,FALSE)</f>
        <v>Electrosurgical Units, Monopolar/Bipolar</v>
      </c>
      <c r="UJA111" s="179" t="s">
        <v>428</v>
      </c>
      <c r="UJB111" s="180" t="str">
        <f>VLOOKUP(UJA111,[13]AssetDetails_UEM!$A$3:$AH$1849,6,FALSE)</f>
        <v>Electrosurgical Units, Monopolar/Bipolar</v>
      </c>
      <c r="UJC111" s="179" t="s">
        <v>428</v>
      </c>
      <c r="UJD111" s="180" t="str">
        <f>VLOOKUP(UJC111,[13]AssetDetails_UEM!$A$3:$AH$1849,6,FALSE)</f>
        <v>Electrosurgical Units, Monopolar/Bipolar</v>
      </c>
      <c r="UJE111" s="179" t="s">
        <v>428</v>
      </c>
      <c r="UJF111" s="180" t="str">
        <f>VLOOKUP(UJE111,[13]AssetDetails_UEM!$A$3:$AH$1849,6,FALSE)</f>
        <v>Electrosurgical Units, Monopolar/Bipolar</v>
      </c>
      <c r="UJG111" s="179" t="s">
        <v>428</v>
      </c>
      <c r="UJH111" s="180" t="str">
        <f>VLOOKUP(UJG111,[13]AssetDetails_UEM!$A$3:$AH$1849,6,FALSE)</f>
        <v>Electrosurgical Units, Monopolar/Bipolar</v>
      </c>
      <c r="UJI111" s="179" t="s">
        <v>428</v>
      </c>
      <c r="UJJ111" s="180" t="str">
        <f>VLOOKUP(UJI111,[13]AssetDetails_UEM!$A$3:$AH$1849,6,FALSE)</f>
        <v>Electrosurgical Units, Monopolar/Bipolar</v>
      </c>
      <c r="UJK111" s="179" t="s">
        <v>428</v>
      </c>
      <c r="UJL111" s="180" t="str">
        <f>VLOOKUP(UJK111,[13]AssetDetails_UEM!$A$3:$AH$1849,6,FALSE)</f>
        <v>Electrosurgical Units, Monopolar/Bipolar</v>
      </c>
      <c r="UJM111" s="179" t="s">
        <v>428</v>
      </c>
      <c r="UJN111" s="180" t="str">
        <f>VLOOKUP(UJM111,[13]AssetDetails_UEM!$A$3:$AH$1849,6,FALSE)</f>
        <v>Electrosurgical Units, Monopolar/Bipolar</v>
      </c>
      <c r="UJO111" s="179" t="s">
        <v>428</v>
      </c>
      <c r="UJP111" s="180" t="str">
        <f>VLOOKUP(UJO111,[13]AssetDetails_UEM!$A$3:$AH$1849,6,FALSE)</f>
        <v>Electrosurgical Units, Monopolar/Bipolar</v>
      </c>
      <c r="UJQ111" s="179" t="s">
        <v>428</v>
      </c>
      <c r="UJR111" s="180" t="str">
        <f>VLOOKUP(UJQ111,[13]AssetDetails_UEM!$A$3:$AH$1849,6,FALSE)</f>
        <v>Electrosurgical Units, Monopolar/Bipolar</v>
      </c>
      <c r="UJS111" s="179" t="s">
        <v>428</v>
      </c>
      <c r="UJT111" s="180" t="str">
        <f>VLOOKUP(UJS111,[13]AssetDetails_UEM!$A$3:$AH$1849,6,FALSE)</f>
        <v>Electrosurgical Units, Monopolar/Bipolar</v>
      </c>
      <c r="UJU111" s="179" t="s">
        <v>428</v>
      </c>
      <c r="UJV111" s="180" t="str">
        <f>VLOOKUP(UJU111,[13]AssetDetails_UEM!$A$3:$AH$1849,6,FALSE)</f>
        <v>Electrosurgical Units, Monopolar/Bipolar</v>
      </c>
      <c r="UJW111" s="179" t="s">
        <v>428</v>
      </c>
      <c r="UJX111" s="180" t="str">
        <f>VLOOKUP(UJW111,[13]AssetDetails_UEM!$A$3:$AH$1849,6,FALSE)</f>
        <v>Electrosurgical Units, Monopolar/Bipolar</v>
      </c>
      <c r="UJY111" s="179" t="s">
        <v>428</v>
      </c>
      <c r="UJZ111" s="180" t="str">
        <f>VLOOKUP(UJY111,[13]AssetDetails_UEM!$A$3:$AH$1849,6,FALSE)</f>
        <v>Electrosurgical Units, Monopolar/Bipolar</v>
      </c>
      <c r="UKA111" s="179" t="s">
        <v>428</v>
      </c>
      <c r="UKB111" s="180" t="str">
        <f>VLOOKUP(UKA111,[13]AssetDetails_UEM!$A$3:$AH$1849,6,FALSE)</f>
        <v>Electrosurgical Units, Monopolar/Bipolar</v>
      </c>
      <c r="UKC111" s="179" t="s">
        <v>428</v>
      </c>
      <c r="UKD111" s="180" t="str">
        <f>VLOOKUP(UKC111,[13]AssetDetails_UEM!$A$3:$AH$1849,6,FALSE)</f>
        <v>Electrosurgical Units, Monopolar/Bipolar</v>
      </c>
      <c r="UKE111" s="179" t="s">
        <v>428</v>
      </c>
      <c r="UKF111" s="180" t="str">
        <f>VLOOKUP(UKE111,[13]AssetDetails_UEM!$A$3:$AH$1849,6,FALSE)</f>
        <v>Electrosurgical Units, Monopolar/Bipolar</v>
      </c>
      <c r="UKG111" s="179" t="s">
        <v>428</v>
      </c>
      <c r="UKH111" s="180" t="str">
        <f>VLOOKUP(UKG111,[13]AssetDetails_UEM!$A$3:$AH$1849,6,FALSE)</f>
        <v>Electrosurgical Units, Monopolar/Bipolar</v>
      </c>
      <c r="UKI111" s="179" t="s">
        <v>428</v>
      </c>
      <c r="UKJ111" s="180" t="str">
        <f>VLOOKUP(UKI111,[13]AssetDetails_UEM!$A$3:$AH$1849,6,FALSE)</f>
        <v>Electrosurgical Units, Monopolar/Bipolar</v>
      </c>
      <c r="UKK111" s="179" t="s">
        <v>428</v>
      </c>
      <c r="UKL111" s="180" t="str">
        <f>VLOOKUP(UKK111,[13]AssetDetails_UEM!$A$3:$AH$1849,6,FALSE)</f>
        <v>Electrosurgical Units, Monopolar/Bipolar</v>
      </c>
      <c r="UKM111" s="179" t="s">
        <v>428</v>
      </c>
      <c r="UKN111" s="180" t="str">
        <f>VLOOKUP(UKM111,[13]AssetDetails_UEM!$A$3:$AH$1849,6,FALSE)</f>
        <v>Electrosurgical Units, Monopolar/Bipolar</v>
      </c>
      <c r="UKO111" s="179" t="s">
        <v>428</v>
      </c>
      <c r="UKP111" s="180" t="str">
        <f>VLOOKUP(UKO111,[13]AssetDetails_UEM!$A$3:$AH$1849,6,FALSE)</f>
        <v>Electrosurgical Units, Monopolar/Bipolar</v>
      </c>
      <c r="UKQ111" s="179" t="s">
        <v>428</v>
      </c>
      <c r="UKR111" s="180" t="str">
        <f>VLOOKUP(UKQ111,[13]AssetDetails_UEM!$A$3:$AH$1849,6,FALSE)</f>
        <v>Electrosurgical Units, Monopolar/Bipolar</v>
      </c>
      <c r="UKS111" s="179" t="s">
        <v>428</v>
      </c>
      <c r="UKT111" s="180" t="str">
        <f>VLOOKUP(UKS111,[13]AssetDetails_UEM!$A$3:$AH$1849,6,FALSE)</f>
        <v>Electrosurgical Units, Monopolar/Bipolar</v>
      </c>
      <c r="UKU111" s="179" t="s">
        <v>428</v>
      </c>
      <c r="UKV111" s="180" t="str">
        <f>VLOOKUP(UKU111,[13]AssetDetails_UEM!$A$3:$AH$1849,6,FALSE)</f>
        <v>Electrosurgical Units, Monopolar/Bipolar</v>
      </c>
      <c r="UKW111" s="179" t="s">
        <v>428</v>
      </c>
      <c r="UKX111" s="180" t="str">
        <f>VLOOKUP(UKW111,[13]AssetDetails_UEM!$A$3:$AH$1849,6,FALSE)</f>
        <v>Electrosurgical Units, Monopolar/Bipolar</v>
      </c>
      <c r="UKY111" s="179" t="s">
        <v>428</v>
      </c>
      <c r="UKZ111" s="180" t="str">
        <f>VLOOKUP(UKY111,[13]AssetDetails_UEM!$A$3:$AH$1849,6,FALSE)</f>
        <v>Electrosurgical Units, Monopolar/Bipolar</v>
      </c>
      <c r="ULA111" s="179" t="s">
        <v>428</v>
      </c>
      <c r="ULB111" s="180" t="str">
        <f>VLOOKUP(ULA111,[13]AssetDetails_UEM!$A$3:$AH$1849,6,FALSE)</f>
        <v>Electrosurgical Units, Monopolar/Bipolar</v>
      </c>
      <c r="ULC111" s="179" t="s">
        <v>428</v>
      </c>
      <c r="ULD111" s="180" t="str">
        <f>VLOOKUP(ULC111,[13]AssetDetails_UEM!$A$3:$AH$1849,6,FALSE)</f>
        <v>Electrosurgical Units, Monopolar/Bipolar</v>
      </c>
      <c r="ULE111" s="179" t="s">
        <v>428</v>
      </c>
      <c r="ULF111" s="180" t="str">
        <f>VLOOKUP(ULE111,[13]AssetDetails_UEM!$A$3:$AH$1849,6,FALSE)</f>
        <v>Electrosurgical Units, Monopolar/Bipolar</v>
      </c>
      <c r="ULG111" s="179" t="s">
        <v>428</v>
      </c>
      <c r="ULH111" s="180" t="str">
        <f>VLOOKUP(ULG111,[13]AssetDetails_UEM!$A$3:$AH$1849,6,FALSE)</f>
        <v>Electrosurgical Units, Monopolar/Bipolar</v>
      </c>
      <c r="ULI111" s="179" t="s">
        <v>428</v>
      </c>
      <c r="ULJ111" s="180" t="str">
        <f>VLOOKUP(ULI111,[13]AssetDetails_UEM!$A$3:$AH$1849,6,FALSE)</f>
        <v>Electrosurgical Units, Monopolar/Bipolar</v>
      </c>
      <c r="ULK111" s="179" t="s">
        <v>428</v>
      </c>
      <c r="ULL111" s="180" t="str">
        <f>VLOOKUP(ULK111,[13]AssetDetails_UEM!$A$3:$AH$1849,6,FALSE)</f>
        <v>Electrosurgical Units, Monopolar/Bipolar</v>
      </c>
      <c r="ULM111" s="179" t="s">
        <v>428</v>
      </c>
      <c r="ULN111" s="180" t="str">
        <f>VLOOKUP(ULM111,[13]AssetDetails_UEM!$A$3:$AH$1849,6,FALSE)</f>
        <v>Electrosurgical Units, Monopolar/Bipolar</v>
      </c>
      <c r="ULO111" s="179" t="s">
        <v>428</v>
      </c>
      <c r="ULP111" s="180" t="str">
        <f>VLOOKUP(ULO111,[13]AssetDetails_UEM!$A$3:$AH$1849,6,FALSE)</f>
        <v>Electrosurgical Units, Monopolar/Bipolar</v>
      </c>
      <c r="ULQ111" s="179" t="s">
        <v>428</v>
      </c>
      <c r="ULR111" s="180" t="str">
        <f>VLOOKUP(ULQ111,[13]AssetDetails_UEM!$A$3:$AH$1849,6,FALSE)</f>
        <v>Electrosurgical Units, Monopolar/Bipolar</v>
      </c>
      <c r="ULS111" s="179" t="s">
        <v>428</v>
      </c>
      <c r="ULT111" s="180" t="str">
        <f>VLOOKUP(ULS111,[13]AssetDetails_UEM!$A$3:$AH$1849,6,FALSE)</f>
        <v>Electrosurgical Units, Monopolar/Bipolar</v>
      </c>
      <c r="ULU111" s="179" t="s">
        <v>428</v>
      </c>
      <c r="ULV111" s="180" t="str">
        <f>VLOOKUP(ULU111,[13]AssetDetails_UEM!$A$3:$AH$1849,6,FALSE)</f>
        <v>Electrosurgical Units, Monopolar/Bipolar</v>
      </c>
      <c r="ULW111" s="179" t="s">
        <v>428</v>
      </c>
      <c r="ULX111" s="180" t="str">
        <f>VLOOKUP(ULW111,[13]AssetDetails_UEM!$A$3:$AH$1849,6,FALSE)</f>
        <v>Electrosurgical Units, Monopolar/Bipolar</v>
      </c>
      <c r="ULY111" s="179" t="s">
        <v>428</v>
      </c>
      <c r="ULZ111" s="180" t="str">
        <f>VLOOKUP(ULY111,[13]AssetDetails_UEM!$A$3:$AH$1849,6,FALSE)</f>
        <v>Electrosurgical Units, Monopolar/Bipolar</v>
      </c>
      <c r="UMA111" s="179" t="s">
        <v>428</v>
      </c>
      <c r="UMB111" s="180" t="str">
        <f>VLOOKUP(UMA111,[13]AssetDetails_UEM!$A$3:$AH$1849,6,FALSE)</f>
        <v>Electrosurgical Units, Monopolar/Bipolar</v>
      </c>
      <c r="UMC111" s="179" t="s">
        <v>428</v>
      </c>
      <c r="UMD111" s="180" t="str">
        <f>VLOOKUP(UMC111,[13]AssetDetails_UEM!$A$3:$AH$1849,6,FALSE)</f>
        <v>Electrosurgical Units, Monopolar/Bipolar</v>
      </c>
      <c r="UME111" s="179" t="s">
        <v>428</v>
      </c>
      <c r="UMF111" s="180" t="str">
        <f>VLOOKUP(UME111,[13]AssetDetails_UEM!$A$3:$AH$1849,6,FALSE)</f>
        <v>Electrosurgical Units, Monopolar/Bipolar</v>
      </c>
      <c r="UMG111" s="179" t="s">
        <v>428</v>
      </c>
      <c r="UMH111" s="180" t="str">
        <f>VLOOKUP(UMG111,[13]AssetDetails_UEM!$A$3:$AH$1849,6,FALSE)</f>
        <v>Electrosurgical Units, Monopolar/Bipolar</v>
      </c>
      <c r="UMI111" s="179" t="s">
        <v>428</v>
      </c>
      <c r="UMJ111" s="180" t="str">
        <f>VLOOKUP(UMI111,[13]AssetDetails_UEM!$A$3:$AH$1849,6,FALSE)</f>
        <v>Electrosurgical Units, Monopolar/Bipolar</v>
      </c>
      <c r="UMK111" s="179" t="s">
        <v>428</v>
      </c>
      <c r="UML111" s="180" t="str">
        <f>VLOOKUP(UMK111,[13]AssetDetails_UEM!$A$3:$AH$1849,6,FALSE)</f>
        <v>Electrosurgical Units, Monopolar/Bipolar</v>
      </c>
      <c r="UMM111" s="179" t="s">
        <v>428</v>
      </c>
      <c r="UMN111" s="180" t="str">
        <f>VLOOKUP(UMM111,[13]AssetDetails_UEM!$A$3:$AH$1849,6,FALSE)</f>
        <v>Electrosurgical Units, Monopolar/Bipolar</v>
      </c>
      <c r="UMO111" s="179" t="s">
        <v>428</v>
      </c>
      <c r="UMP111" s="180" t="str">
        <f>VLOOKUP(UMO111,[13]AssetDetails_UEM!$A$3:$AH$1849,6,FALSE)</f>
        <v>Electrosurgical Units, Monopolar/Bipolar</v>
      </c>
      <c r="UMQ111" s="179" t="s">
        <v>428</v>
      </c>
      <c r="UMR111" s="180" t="str">
        <f>VLOOKUP(UMQ111,[13]AssetDetails_UEM!$A$3:$AH$1849,6,FALSE)</f>
        <v>Electrosurgical Units, Monopolar/Bipolar</v>
      </c>
      <c r="UMS111" s="179" t="s">
        <v>428</v>
      </c>
      <c r="UMT111" s="180" t="str">
        <f>VLOOKUP(UMS111,[13]AssetDetails_UEM!$A$3:$AH$1849,6,FALSE)</f>
        <v>Electrosurgical Units, Monopolar/Bipolar</v>
      </c>
      <c r="UMU111" s="179" t="s">
        <v>428</v>
      </c>
      <c r="UMV111" s="180" t="str">
        <f>VLOOKUP(UMU111,[13]AssetDetails_UEM!$A$3:$AH$1849,6,FALSE)</f>
        <v>Electrosurgical Units, Monopolar/Bipolar</v>
      </c>
      <c r="UMW111" s="179" t="s">
        <v>428</v>
      </c>
      <c r="UMX111" s="180" t="str">
        <f>VLOOKUP(UMW111,[13]AssetDetails_UEM!$A$3:$AH$1849,6,FALSE)</f>
        <v>Electrosurgical Units, Monopolar/Bipolar</v>
      </c>
      <c r="UMY111" s="179" t="s">
        <v>428</v>
      </c>
      <c r="UMZ111" s="180" t="str">
        <f>VLOOKUP(UMY111,[13]AssetDetails_UEM!$A$3:$AH$1849,6,FALSE)</f>
        <v>Electrosurgical Units, Monopolar/Bipolar</v>
      </c>
      <c r="UNA111" s="179" t="s">
        <v>428</v>
      </c>
      <c r="UNB111" s="180" t="str">
        <f>VLOOKUP(UNA111,[13]AssetDetails_UEM!$A$3:$AH$1849,6,FALSE)</f>
        <v>Electrosurgical Units, Monopolar/Bipolar</v>
      </c>
      <c r="UNC111" s="179" t="s">
        <v>428</v>
      </c>
      <c r="UND111" s="180" t="str">
        <f>VLOOKUP(UNC111,[13]AssetDetails_UEM!$A$3:$AH$1849,6,FALSE)</f>
        <v>Electrosurgical Units, Monopolar/Bipolar</v>
      </c>
      <c r="UNE111" s="179" t="s">
        <v>428</v>
      </c>
      <c r="UNF111" s="180" t="str">
        <f>VLOOKUP(UNE111,[13]AssetDetails_UEM!$A$3:$AH$1849,6,FALSE)</f>
        <v>Electrosurgical Units, Monopolar/Bipolar</v>
      </c>
      <c r="UNG111" s="179" t="s">
        <v>428</v>
      </c>
      <c r="UNH111" s="180" t="str">
        <f>VLOOKUP(UNG111,[13]AssetDetails_UEM!$A$3:$AH$1849,6,FALSE)</f>
        <v>Electrosurgical Units, Monopolar/Bipolar</v>
      </c>
      <c r="UNI111" s="179" t="s">
        <v>428</v>
      </c>
      <c r="UNJ111" s="180" t="str">
        <f>VLOOKUP(UNI111,[13]AssetDetails_UEM!$A$3:$AH$1849,6,FALSE)</f>
        <v>Electrosurgical Units, Monopolar/Bipolar</v>
      </c>
      <c r="UNK111" s="179" t="s">
        <v>428</v>
      </c>
      <c r="UNL111" s="180" t="str">
        <f>VLOOKUP(UNK111,[13]AssetDetails_UEM!$A$3:$AH$1849,6,FALSE)</f>
        <v>Electrosurgical Units, Monopolar/Bipolar</v>
      </c>
      <c r="UNM111" s="179" t="s">
        <v>428</v>
      </c>
      <c r="UNN111" s="180" t="str">
        <f>VLOOKUP(UNM111,[13]AssetDetails_UEM!$A$3:$AH$1849,6,FALSE)</f>
        <v>Electrosurgical Units, Monopolar/Bipolar</v>
      </c>
      <c r="UNO111" s="179" t="s">
        <v>428</v>
      </c>
      <c r="UNP111" s="180" t="str">
        <f>VLOOKUP(UNO111,[13]AssetDetails_UEM!$A$3:$AH$1849,6,FALSE)</f>
        <v>Electrosurgical Units, Monopolar/Bipolar</v>
      </c>
      <c r="UNQ111" s="179" t="s">
        <v>428</v>
      </c>
      <c r="UNR111" s="180" t="str">
        <f>VLOOKUP(UNQ111,[13]AssetDetails_UEM!$A$3:$AH$1849,6,FALSE)</f>
        <v>Electrosurgical Units, Monopolar/Bipolar</v>
      </c>
      <c r="UNS111" s="179" t="s">
        <v>428</v>
      </c>
      <c r="UNT111" s="180" t="str">
        <f>VLOOKUP(UNS111,[13]AssetDetails_UEM!$A$3:$AH$1849,6,FALSE)</f>
        <v>Electrosurgical Units, Monopolar/Bipolar</v>
      </c>
      <c r="UNU111" s="179" t="s">
        <v>428</v>
      </c>
      <c r="UNV111" s="180" t="str">
        <f>VLOOKUP(UNU111,[13]AssetDetails_UEM!$A$3:$AH$1849,6,FALSE)</f>
        <v>Electrosurgical Units, Monopolar/Bipolar</v>
      </c>
      <c r="UNW111" s="179" t="s">
        <v>428</v>
      </c>
      <c r="UNX111" s="180" t="str">
        <f>VLOOKUP(UNW111,[13]AssetDetails_UEM!$A$3:$AH$1849,6,FALSE)</f>
        <v>Electrosurgical Units, Monopolar/Bipolar</v>
      </c>
      <c r="UNY111" s="179" t="s">
        <v>428</v>
      </c>
      <c r="UNZ111" s="180" t="str">
        <f>VLOOKUP(UNY111,[13]AssetDetails_UEM!$A$3:$AH$1849,6,FALSE)</f>
        <v>Electrosurgical Units, Monopolar/Bipolar</v>
      </c>
      <c r="UOA111" s="179" t="s">
        <v>428</v>
      </c>
      <c r="UOB111" s="180" t="str">
        <f>VLOOKUP(UOA111,[13]AssetDetails_UEM!$A$3:$AH$1849,6,FALSE)</f>
        <v>Electrosurgical Units, Monopolar/Bipolar</v>
      </c>
      <c r="UOC111" s="179" t="s">
        <v>428</v>
      </c>
      <c r="UOD111" s="180" t="str">
        <f>VLOOKUP(UOC111,[13]AssetDetails_UEM!$A$3:$AH$1849,6,FALSE)</f>
        <v>Electrosurgical Units, Monopolar/Bipolar</v>
      </c>
      <c r="UOE111" s="179" t="s">
        <v>428</v>
      </c>
      <c r="UOF111" s="180" t="str">
        <f>VLOOKUP(UOE111,[13]AssetDetails_UEM!$A$3:$AH$1849,6,FALSE)</f>
        <v>Electrosurgical Units, Monopolar/Bipolar</v>
      </c>
      <c r="UOG111" s="179" t="s">
        <v>428</v>
      </c>
      <c r="UOH111" s="180" t="str">
        <f>VLOOKUP(UOG111,[13]AssetDetails_UEM!$A$3:$AH$1849,6,FALSE)</f>
        <v>Electrosurgical Units, Monopolar/Bipolar</v>
      </c>
      <c r="UOI111" s="179" t="s">
        <v>428</v>
      </c>
      <c r="UOJ111" s="180" t="str">
        <f>VLOOKUP(UOI111,[13]AssetDetails_UEM!$A$3:$AH$1849,6,FALSE)</f>
        <v>Electrosurgical Units, Monopolar/Bipolar</v>
      </c>
      <c r="UOK111" s="179" t="s">
        <v>428</v>
      </c>
      <c r="UOL111" s="180" t="str">
        <f>VLOOKUP(UOK111,[13]AssetDetails_UEM!$A$3:$AH$1849,6,FALSE)</f>
        <v>Electrosurgical Units, Monopolar/Bipolar</v>
      </c>
      <c r="UOM111" s="179" t="s">
        <v>428</v>
      </c>
      <c r="UON111" s="180" t="str">
        <f>VLOOKUP(UOM111,[13]AssetDetails_UEM!$A$3:$AH$1849,6,FALSE)</f>
        <v>Electrosurgical Units, Monopolar/Bipolar</v>
      </c>
      <c r="UOO111" s="179" t="s">
        <v>428</v>
      </c>
      <c r="UOP111" s="180" t="str">
        <f>VLOOKUP(UOO111,[13]AssetDetails_UEM!$A$3:$AH$1849,6,FALSE)</f>
        <v>Electrosurgical Units, Monopolar/Bipolar</v>
      </c>
      <c r="UOQ111" s="179" t="s">
        <v>428</v>
      </c>
      <c r="UOR111" s="180" t="str">
        <f>VLOOKUP(UOQ111,[13]AssetDetails_UEM!$A$3:$AH$1849,6,FALSE)</f>
        <v>Electrosurgical Units, Monopolar/Bipolar</v>
      </c>
      <c r="UOS111" s="179" t="s">
        <v>428</v>
      </c>
      <c r="UOT111" s="180" t="str">
        <f>VLOOKUP(UOS111,[13]AssetDetails_UEM!$A$3:$AH$1849,6,FALSE)</f>
        <v>Electrosurgical Units, Monopolar/Bipolar</v>
      </c>
      <c r="UOU111" s="179" t="s">
        <v>428</v>
      </c>
      <c r="UOV111" s="180" t="str">
        <f>VLOOKUP(UOU111,[13]AssetDetails_UEM!$A$3:$AH$1849,6,FALSE)</f>
        <v>Electrosurgical Units, Monopolar/Bipolar</v>
      </c>
      <c r="UOW111" s="179" t="s">
        <v>428</v>
      </c>
      <c r="UOX111" s="180" t="str">
        <f>VLOOKUP(UOW111,[13]AssetDetails_UEM!$A$3:$AH$1849,6,FALSE)</f>
        <v>Electrosurgical Units, Monopolar/Bipolar</v>
      </c>
      <c r="UOY111" s="179" t="s">
        <v>428</v>
      </c>
      <c r="UOZ111" s="180" t="str">
        <f>VLOOKUP(UOY111,[13]AssetDetails_UEM!$A$3:$AH$1849,6,FALSE)</f>
        <v>Electrosurgical Units, Monopolar/Bipolar</v>
      </c>
      <c r="UPA111" s="179" t="s">
        <v>428</v>
      </c>
      <c r="UPB111" s="180" t="str">
        <f>VLOOKUP(UPA111,[13]AssetDetails_UEM!$A$3:$AH$1849,6,FALSE)</f>
        <v>Electrosurgical Units, Monopolar/Bipolar</v>
      </c>
      <c r="UPC111" s="179" t="s">
        <v>428</v>
      </c>
      <c r="UPD111" s="180" t="str">
        <f>VLOOKUP(UPC111,[13]AssetDetails_UEM!$A$3:$AH$1849,6,FALSE)</f>
        <v>Electrosurgical Units, Monopolar/Bipolar</v>
      </c>
      <c r="UPE111" s="179" t="s">
        <v>428</v>
      </c>
      <c r="UPF111" s="180" t="str">
        <f>VLOOKUP(UPE111,[13]AssetDetails_UEM!$A$3:$AH$1849,6,FALSE)</f>
        <v>Electrosurgical Units, Monopolar/Bipolar</v>
      </c>
      <c r="UPG111" s="179" t="s">
        <v>428</v>
      </c>
      <c r="UPH111" s="180" t="str">
        <f>VLOOKUP(UPG111,[13]AssetDetails_UEM!$A$3:$AH$1849,6,FALSE)</f>
        <v>Electrosurgical Units, Monopolar/Bipolar</v>
      </c>
      <c r="UPI111" s="179" t="s">
        <v>428</v>
      </c>
      <c r="UPJ111" s="180" t="str">
        <f>VLOOKUP(UPI111,[13]AssetDetails_UEM!$A$3:$AH$1849,6,FALSE)</f>
        <v>Electrosurgical Units, Monopolar/Bipolar</v>
      </c>
      <c r="UPK111" s="179" t="s">
        <v>428</v>
      </c>
      <c r="UPL111" s="180" t="str">
        <f>VLOOKUP(UPK111,[13]AssetDetails_UEM!$A$3:$AH$1849,6,FALSE)</f>
        <v>Electrosurgical Units, Monopolar/Bipolar</v>
      </c>
      <c r="UPM111" s="179" t="s">
        <v>428</v>
      </c>
      <c r="UPN111" s="180" t="str">
        <f>VLOOKUP(UPM111,[13]AssetDetails_UEM!$A$3:$AH$1849,6,FALSE)</f>
        <v>Electrosurgical Units, Monopolar/Bipolar</v>
      </c>
      <c r="UPO111" s="179" t="s">
        <v>428</v>
      </c>
      <c r="UPP111" s="180" t="str">
        <f>VLOOKUP(UPO111,[13]AssetDetails_UEM!$A$3:$AH$1849,6,FALSE)</f>
        <v>Electrosurgical Units, Monopolar/Bipolar</v>
      </c>
      <c r="UPQ111" s="179" t="s">
        <v>428</v>
      </c>
      <c r="UPR111" s="180" t="str">
        <f>VLOOKUP(UPQ111,[13]AssetDetails_UEM!$A$3:$AH$1849,6,FALSE)</f>
        <v>Electrosurgical Units, Monopolar/Bipolar</v>
      </c>
      <c r="UPS111" s="179" t="s">
        <v>428</v>
      </c>
      <c r="UPT111" s="180" t="str">
        <f>VLOOKUP(UPS111,[13]AssetDetails_UEM!$A$3:$AH$1849,6,FALSE)</f>
        <v>Electrosurgical Units, Monopolar/Bipolar</v>
      </c>
      <c r="UPU111" s="179" t="s">
        <v>428</v>
      </c>
      <c r="UPV111" s="180" t="str">
        <f>VLOOKUP(UPU111,[13]AssetDetails_UEM!$A$3:$AH$1849,6,FALSE)</f>
        <v>Electrosurgical Units, Monopolar/Bipolar</v>
      </c>
      <c r="UPW111" s="179" t="s">
        <v>428</v>
      </c>
      <c r="UPX111" s="180" t="str">
        <f>VLOOKUP(UPW111,[13]AssetDetails_UEM!$A$3:$AH$1849,6,FALSE)</f>
        <v>Electrosurgical Units, Monopolar/Bipolar</v>
      </c>
      <c r="UPY111" s="179" t="s">
        <v>428</v>
      </c>
      <c r="UPZ111" s="180" t="str">
        <f>VLOOKUP(UPY111,[13]AssetDetails_UEM!$A$3:$AH$1849,6,FALSE)</f>
        <v>Electrosurgical Units, Monopolar/Bipolar</v>
      </c>
      <c r="UQA111" s="179" t="s">
        <v>428</v>
      </c>
      <c r="UQB111" s="180" t="str">
        <f>VLOOKUP(UQA111,[13]AssetDetails_UEM!$A$3:$AH$1849,6,FALSE)</f>
        <v>Electrosurgical Units, Monopolar/Bipolar</v>
      </c>
      <c r="UQC111" s="179" t="s">
        <v>428</v>
      </c>
      <c r="UQD111" s="180" t="str">
        <f>VLOOKUP(UQC111,[13]AssetDetails_UEM!$A$3:$AH$1849,6,FALSE)</f>
        <v>Electrosurgical Units, Monopolar/Bipolar</v>
      </c>
      <c r="UQE111" s="179" t="s">
        <v>428</v>
      </c>
      <c r="UQF111" s="180" t="str">
        <f>VLOOKUP(UQE111,[13]AssetDetails_UEM!$A$3:$AH$1849,6,FALSE)</f>
        <v>Electrosurgical Units, Monopolar/Bipolar</v>
      </c>
      <c r="UQG111" s="179" t="s">
        <v>428</v>
      </c>
      <c r="UQH111" s="180" t="str">
        <f>VLOOKUP(UQG111,[13]AssetDetails_UEM!$A$3:$AH$1849,6,FALSE)</f>
        <v>Electrosurgical Units, Monopolar/Bipolar</v>
      </c>
      <c r="UQI111" s="179" t="s">
        <v>428</v>
      </c>
      <c r="UQJ111" s="180" t="str">
        <f>VLOOKUP(UQI111,[13]AssetDetails_UEM!$A$3:$AH$1849,6,FALSE)</f>
        <v>Electrosurgical Units, Monopolar/Bipolar</v>
      </c>
      <c r="UQK111" s="179" t="s">
        <v>428</v>
      </c>
      <c r="UQL111" s="180" t="str">
        <f>VLOOKUP(UQK111,[13]AssetDetails_UEM!$A$3:$AH$1849,6,FALSE)</f>
        <v>Electrosurgical Units, Monopolar/Bipolar</v>
      </c>
      <c r="UQM111" s="179" t="s">
        <v>428</v>
      </c>
      <c r="UQN111" s="180" t="str">
        <f>VLOOKUP(UQM111,[13]AssetDetails_UEM!$A$3:$AH$1849,6,FALSE)</f>
        <v>Electrosurgical Units, Monopolar/Bipolar</v>
      </c>
      <c r="UQO111" s="179" t="s">
        <v>428</v>
      </c>
      <c r="UQP111" s="180" t="str">
        <f>VLOOKUP(UQO111,[13]AssetDetails_UEM!$A$3:$AH$1849,6,FALSE)</f>
        <v>Electrosurgical Units, Monopolar/Bipolar</v>
      </c>
      <c r="UQQ111" s="179" t="s">
        <v>428</v>
      </c>
      <c r="UQR111" s="180" t="str">
        <f>VLOOKUP(UQQ111,[13]AssetDetails_UEM!$A$3:$AH$1849,6,FALSE)</f>
        <v>Electrosurgical Units, Monopolar/Bipolar</v>
      </c>
      <c r="UQS111" s="179" t="s">
        <v>428</v>
      </c>
      <c r="UQT111" s="180" t="str">
        <f>VLOOKUP(UQS111,[13]AssetDetails_UEM!$A$3:$AH$1849,6,FALSE)</f>
        <v>Electrosurgical Units, Monopolar/Bipolar</v>
      </c>
      <c r="UQU111" s="179" t="s">
        <v>428</v>
      </c>
      <c r="UQV111" s="180" t="str">
        <f>VLOOKUP(UQU111,[13]AssetDetails_UEM!$A$3:$AH$1849,6,FALSE)</f>
        <v>Electrosurgical Units, Monopolar/Bipolar</v>
      </c>
      <c r="UQW111" s="179" t="s">
        <v>428</v>
      </c>
      <c r="UQX111" s="180" t="str">
        <f>VLOOKUP(UQW111,[13]AssetDetails_UEM!$A$3:$AH$1849,6,FALSE)</f>
        <v>Electrosurgical Units, Monopolar/Bipolar</v>
      </c>
      <c r="UQY111" s="179" t="s">
        <v>428</v>
      </c>
      <c r="UQZ111" s="180" t="str">
        <f>VLOOKUP(UQY111,[13]AssetDetails_UEM!$A$3:$AH$1849,6,FALSE)</f>
        <v>Electrosurgical Units, Monopolar/Bipolar</v>
      </c>
      <c r="URA111" s="179" t="s">
        <v>428</v>
      </c>
      <c r="URB111" s="180" t="str">
        <f>VLOOKUP(URA111,[13]AssetDetails_UEM!$A$3:$AH$1849,6,FALSE)</f>
        <v>Electrosurgical Units, Monopolar/Bipolar</v>
      </c>
      <c r="URC111" s="179" t="s">
        <v>428</v>
      </c>
      <c r="URD111" s="180" t="str">
        <f>VLOOKUP(URC111,[13]AssetDetails_UEM!$A$3:$AH$1849,6,FALSE)</f>
        <v>Electrosurgical Units, Monopolar/Bipolar</v>
      </c>
      <c r="URE111" s="179" t="s">
        <v>428</v>
      </c>
      <c r="URF111" s="180" t="str">
        <f>VLOOKUP(URE111,[13]AssetDetails_UEM!$A$3:$AH$1849,6,FALSE)</f>
        <v>Electrosurgical Units, Monopolar/Bipolar</v>
      </c>
      <c r="URG111" s="179" t="s">
        <v>428</v>
      </c>
      <c r="URH111" s="180" t="str">
        <f>VLOOKUP(URG111,[13]AssetDetails_UEM!$A$3:$AH$1849,6,FALSE)</f>
        <v>Electrosurgical Units, Monopolar/Bipolar</v>
      </c>
      <c r="URI111" s="179" t="s">
        <v>428</v>
      </c>
      <c r="URJ111" s="180" t="str">
        <f>VLOOKUP(URI111,[13]AssetDetails_UEM!$A$3:$AH$1849,6,FALSE)</f>
        <v>Electrosurgical Units, Monopolar/Bipolar</v>
      </c>
      <c r="URK111" s="179" t="s">
        <v>428</v>
      </c>
      <c r="URL111" s="180" t="str">
        <f>VLOOKUP(URK111,[13]AssetDetails_UEM!$A$3:$AH$1849,6,FALSE)</f>
        <v>Electrosurgical Units, Monopolar/Bipolar</v>
      </c>
      <c r="URM111" s="179" t="s">
        <v>428</v>
      </c>
      <c r="URN111" s="180" t="str">
        <f>VLOOKUP(URM111,[13]AssetDetails_UEM!$A$3:$AH$1849,6,FALSE)</f>
        <v>Electrosurgical Units, Monopolar/Bipolar</v>
      </c>
      <c r="URO111" s="179" t="s">
        <v>428</v>
      </c>
      <c r="URP111" s="180" t="str">
        <f>VLOOKUP(URO111,[13]AssetDetails_UEM!$A$3:$AH$1849,6,FALSE)</f>
        <v>Electrosurgical Units, Monopolar/Bipolar</v>
      </c>
      <c r="URQ111" s="179" t="s">
        <v>428</v>
      </c>
      <c r="URR111" s="180" t="str">
        <f>VLOOKUP(URQ111,[13]AssetDetails_UEM!$A$3:$AH$1849,6,FALSE)</f>
        <v>Electrosurgical Units, Monopolar/Bipolar</v>
      </c>
      <c r="URS111" s="179" t="s">
        <v>428</v>
      </c>
      <c r="URT111" s="180" t="str">
        <f>VLOOKUP(URS111,[13]AssetDetails_UEM!$A$3:$AH$1849,6,FALSE)</f>
        <v>Electrosurgical Units, Monopolar/Bipolar</v>
      </c>
      <c r="URU111" s="179" t="s">
        <v>428</v>
      </c>
      <c r="URV111" s="180" t="str">
        <f>VLOOKUP(URU111,[13]AssetDetails_UEM!$A$3:$AH$1849,6,FALSE)</f>
        <v>Electrosurgical Units, Monopolar/Bipolar</v>
      </c>
      <c r="URW111" s="179" t="s">
        <v>428</v>
      </c>
      <c r="URX111" s="180" t="str">
        <f>VLOOKUP(URW111,[13]AssetDetails_UEM!$A$3:$AH$1849,6,FALSE)</f>
        <v>Electrosurgical Units, Monopolar/Bipolar</v>
      </c>
      <c r="URY111" s="179" t="s">
        <v>428</v>
      </c>
      <c r="URZ111" s="180" t="str">
        <f>VLOOKUP(URY111,[13]AssetDetails_UEM!$A$3:$AH$1849,6,FALSE)</f>
        <v>Electrosurgical Units, Monopolar/Bipolar</v>
      </c>
      <c r="USA111" s="179" t="s">
        <v>428</v>
      </c>
      <c r="USB111" s="180" t="str">
        <f>VLOOKUP(USA111,[13]AssetDetails_UEM!$A$3:$AH$1849,6,FALSE)</f>
        <v>Electrosurgical Units, Monopolar/Bipolar</v>
      </c>
      <c r="USC111" s="179" t="s">
        <v>428</v>
      </c>
      <c r="USD111" s="180" t="str">
        <f>VLOOKUP(USC111,[13]AssetDetails_UEM!$A$3:$AH$1849,6,FALSE)</f>
        <v>Electrosurgical Units, Monopolar/Bipolar</v>
      </c>
      <c r="USE111" s="179" t="s">
        <v>428</v>
      </c>
      <c r="USF111" s="180" t="str">
        <f>VLOOKUP(USE111,[13]AssetDetails_UEM!$A$3:$AH$1849,6,FALSE)</f>
        <v>Electrosurgical Units, Monopolar/Bipolar</v>
      </c>
      <c r="USG111" s="179" t="s">
        <v>428</v>
      </c>
      <c r="USH111" s="180" t="str">
        <f>VLOOKUP(USG111,[13]AssetDetails_UEM!$A$3:$AH$1849,6,FALSE)</f>
        <v>Electrosurgical Units, Monopolar/Bipolar</v>
      </c>
      <c r="USI111" s="179" t="s">
        <v>428</v>
      </c>
      <c r="USJ111" s="180" t="str">
        <f>VLOOKUP(USI111,[13]AssetDetails_UEM!$A$3:$AH$1849,6,FALSE)</f>
        <v>Electrosurgical Units, Monopolar/Bipolar</v>
      </c>
      <c r="USK111" s="179" t="s">
        <v>428</v>
      </c>
      <c r="USL111" s="180" t="str">
        <f>VLOOKUP(USK111,[13]AssetDetails_UEM!$A$3:$AH$1849,6,FALSE)</f>
        <v>Electrosurgical Units, Monopolar/Bipolar</v>
      </c>
      <c r="USM111" s="179" t="s">
        <v>428</v>
      </c>
      <c r="USN111" s="180" t="str">
        <f>VLOOKUP(USM111,[13]AssetDetails_UEM!$A$3:$AH$1849,6,FALSE)</f>
        <v>Electrosurgical Units, Monopolar/Bipolar</v>
      </c>
      <c r="USO111" s="179" t="s">
        <v>428</v>
      </c>
      <c r="USP111" s="180" t="str">
        <f>VLOOKUP(USO111,[13]AssetDetails_UEM!$A$3:$AH$1849,6,FALSE)</f>
        <v>Electrosurgical Units, Monopolar/Bipolar</v>
      </c>
      <c r="USQ111" s="179" t="s">
        <v>428</v>
      </c>
      <c r="USR111" s="180" t="str">
        <f>VLOOKUP(USQ111,[13]AssetDetails_UEM!$A$3:$AH$1849,6,FALSE)</f>
        <v>Electrosurgical Units, Monopolar/Bipolar</v>
      </c>
      <c r="USS111" s="179" t="s">
        <v>428</v>
      </c>
      <c r="UST111" s="180" t="str">
        <f>VLOOKUP(USS111,[13]AssetDetails_UEM!$A$3:$AH$1849,6,FALSE)</f>
        <v>Electrosurgical Units, Monopolar/Bipolar</v>
      </c>
      <c r="USU111" s="179" t="s">
        <v>428</v>
      </c>
      <c r="USV111" s="180" t="str">
        <f>VLOOKUP(USU111,[13]AssetDetails_UEM!$A$3:$AH$1849,6,FALSE)</f>
        <v>Electrosurgical Units, Monopolar/Bipolar</v>
      </c>
      <c r="USW111" s="179" t="s">
        <v>428</v>
      </c>
      <c r="USX111" s="180" t="str">
        <f>VLOOKUP(USW111,[13]AssetDetails_UEM!$A$3:$AH$1849,6,FALSE)</f>
        <v>Electrosurgical Units, Monopolar/Bipolar</v>
      </c>
      <c r="USY111" s="179" t="s">
        <v>428</v>
      </c>
      <c r="USZ111" s="180" t="str">
        <f>VLOOKUP(USY111,[13]AssetDetails_UEM!$A$3:$AH$1849,6,FALSE)</f>
        <v>Electrosurgical Units, Monopolar/Bipolar</v>
      </c>
      <c r="UTA111" s="179" t="s">
        <v>428</v>
      </c>
      <c r="UTB111" s="180" t="str">
        <f>VLOOKUP(UTA111,[13]AssetDetails_UEM!$A$3:$AH$1849,6,FALSE)</f>
        <v>Electrosurgical Units, Monopolar/Bipolar</v>
      </c>
      <c r="UTC111" s="179" t="s">
        <v>428</v>
      </c>
      <c r="UTD111" s="180" t="str">
        <f>VLOOKUP(UTC111,[13]AssetDetails_UEM!$A$3:$AH$1849,6,FALSE)</f>
        <v>Electrosurgical Units, Monopolar/Bipolar</v>
      </c>
      <c r="UTE111" s="179" t="s">
        <v>428</v>
      </c>
      <c r="UTF111" s="180" t="str">
        <f>VLOOKUP(UTE111,[13]AssetDetails_UEM!$A$3:$AH$1849,6,FALSE)</f>
        <v>Electrosurgical Units, Monopolar/Bipolar</v>
      </c>
      <c r="UTG111" s="179" t="s">
        <v>428</v>
      </c>
      <c r="UTH111" s="180" t="str">
        <f>VLOOKUP(UTG111,[13]AssetDetails_UEM!$A$3:$AH$1849,6,FALSE)</f>
        <v>Electrosurgical Units, Monopolar/Bipolar</v>
      </c>
      <c r="UTI111" s="179" t="s">
        <v>428</v>
      </c>
      <c r="UTJ111" s="180" t="str">
        <f>VLOOKUP(UTI111,[13]AssetDetails_UEM!$A$3:$AH$1849,6,FALSE)</f>
        <v>Electrosurgical Units, Monopolar/Bipolar</v>
      </c>
      <c r="UTK111" s="179" t="s">
        <v>428</v>
      </c>
      <c r="UTL111" s="180" t="str">
        <f>VLOOKUP(UTK111,[13]AssetDetails_UEM!$A$3:$AH$1849,6,FALSE)</f>
        <v>Electrosurgical Units, Monopolar/Bipolar</v>
      </c>
      <c r="UTM111" s="179" t="s">
        <v>428</v>
      </c>
      <c r="UTN111" s="180" t="str">
        <f>VLOOKUP(UTM111,[13]AssetDetails_UEM!$A$3:$AH$1849,6,FALSE)</f>
        <v>Electrosurgical Units, Monopolar/Bipolar</v>
      </c>
      <c r="UTO111" s="179" t="s">
        <v>428</v>
      </c>
      <c r="UTP111" s="180" t="str">
        <f>VLOOKUP(UTO111,[13]AssetDetails_UEM!$A$3:$AH$1849,6,FALSE)</f>
        <v>Electrosurgical Units, Monopolar/Bipolar</v>
      </c>
      <c r="UTQ111" s="179" t="s">
        <v>428</v>
      </c>
      <c r="UTR111" s="180" t="str">
        <f>VLOOKUP(UTQ111,[13]AssetDetails_UEM!$A$3:$AH$1849,6,FALSE)</f>
        <v>Electrosurgical Units, Monopolar/Bipolar</v>
      </c>
      <c r="UTS111" s="179" t="s">
        <v>428</v>
      </c>
      <c r="UTT111" s="180" t="str">
        <f>VLOOKUP(UTS111,[13]AssetDetails_UEM!$A$3:$AH$1849,6,FALSE)</f>
        <v>Electrosurgical Units, Monopolar/Bipolar</v>
      </c>
      <c r="UTU111" s="179" t="s">
        <v>428</v>
      </c>
      <c r="UTV111" s="180" t="str">
        <f>VLOOKUP(UTU111,[13]AssetDetails_UEM!$A$3:$AH$1849,6,FALSE)</f>
        <v>Electrosurgical Units, Monopolar/Bipolar</v>
      </c>
      <c r="UTW111" s="179" t="s">
        <v>428</v>
      </c>
      <c r="UTX111" s="180" t="str">
        <f>VLOOKUP(UTW111,[13]AssetDetails_UEM!$A$3:$AH$1849,6,FALSE)</f>
        <v>Electrosurgical Units, Monopolar/Bipolar</v>
      </c>
      <c r="UTY111" s="179" t="s">
        <v>428</v>
      </c>
      <c r="UTZ111" s="180" t="str">
        <f>VLOOKUP(UTY111,[13]AssetDetails_UEM!$A$3:$AH$1849,6,FALSE)</f>
        <v>Electrosurgical Units, Monopolar/Bipolar</v>
      </c>
      <c r="UUA111" s="179" t="s">
        <v>428</v>
      </c>
      <c r="UUB111" s="180" t="str">
        <f>VLOOKUP(UUA111,[13]AssetDetails_UEM!$A$3:$AH$1849,6,FALSE)</f>
        <v>Electrosurgical Units, Monopolar/Bipolar</v>
      </c>
      <c r="UUC111" s="179" t="s">
        <v>428</v>
      </c>
      <c r="UUD111" s="180" t="str">
        <f>VLOOKUP(UUC111,[13]AssetDetails_UEM!$A$3:$AH$1849,6,FALSE)</f>
        <v>Electrosurgical Units, Monopolar/Bipolar</v>
      </c>
      <c r="UUE111" s="179" t="s">
        <v>428</v>
      </c>
      <c r="UUF111" s="180" t="str">
        <f>VLOOKUP(UUE111,[13]AssetDetails_UEM!$A$3:$AH$1849,6,FALSE)</f>
        <v>Electrosurgical Units, Monopolar/Bipolar</v>
      </c>
      <c r="UUG111" s="179" t="s">
        <v>428</v>
      </c>
      <c r="UUH111" s="180" t="str">
        <f>VLOOKUP(UUG111,[13]AssetDetails_UEM!$A$3:$AH$1849,6,FALSE)</f>
        <v>Electrosurgical Units, Monopolar/Bipolar</v>
      </c>
      <c r="UUI111" s="179" t="s">
        <v>428</v>
      </c>
      <c r="UUJ111" s="180" t="str">
        <f>VLOOKUP(UUI111,[13]AssetDetails_UEM!$A$3:$AH$1849,6,FALSE)</f>
        <v>Electrosurgical Units, Monopolar/Bipolar</v>
      </c>
      <c r="UUK111" s="179" t="s">
        <v>428</v>
      </c>
      <c r="UUL111" s="180" t="str">
        <f>VLOOKUP(UUK111,[13]AssetDetails_UEM!$A$3:$AH$1849,6,FALSE)</f>
        <v>Electrosurgical Units, Monopolar/Bipolar</v>
      </c>
      <c r="UUM111" s="179" t="s">
        <v>428</v>
      </c>
      <c r="UUN111" s="180" t="str">
        <f>VLOOKUP(UUM111,[13]AssetDetails_UEM!$A$3:$AH$1849,6,FALSE)</f>
        <v>Electrosurgical Units, Monopolar/Bipolar</v>
      </c>
      <c r="UUO111" s="179" t="s">
        <v>428</v>
      </c>
      <c r="UUP111" s="180" t="str">
        <f>VLOOKUP(UUO111,[13]AssetDetails_UEM!$A$3:$AH$1849,6,FALSE)</f>
        <v>Electrosurgical Units, Monopolar/Bipolar</v>
      </c>
      <c r="UUQ111" s="179" t="s">
        <v>428</v>
      </c>
      <c r="UUR111" s="180" t="str">
        <f>VLOOKUP(UUQ111,[13]AssetDetails_UEM!$A$3:$AH$1849,6,FALSE)</f>
        <v>Electrosurgical Units, Monopolar/Bipolar</v>
      </c>
      <c r="UUS111" s="179" t="s">
        <v>428</v>
      </c>
      <c r="UUT111" s="180" t="str">
        <f>VLOOKUP(UUS111,[13]AssetDetails_UEM!$A$3:$AH$1849,6,FALSE)</f>
        <v>Electrosurgical Units, Monopolar/Bipolar</v>
      </c>
      <c r="UUU111" s="179" t="s">
        <v>428</v>
      </c>
      <c r="UUV111" s="180" t="str">
        <f>VLOOKUP(UUU111,[13]AssetDetails_UEM!$A$3:$AH$1849,6,FALSE)</f>
        <v>Electrosurgical Units, Monopolar/Bipolar</v>
      </c>
      <c r="UUW111" s="179" t="s">
        <v>428</v>
      </c>
      <c r="UUX111" s="180" t="str">
        <f>VLOOKUP(UUW111,[13]AssetDetails_UEM!$A$3:$AH$1849,6,FALSE)</f>
        <v>Electrosurgical Units, Monopolar/Bipolar</v>
      </c>
      <c r="UUY111" s="179" t="s">
        <v>428</v>
      </c>
      <c r="UUZ111" s="180" t="str">
        <f>VLOOKUP(UUY111,[13]AssetDetails_UEM!$A$3:$AH$1849,6,FALSE)</f>
        <v>Electrosurgical Units, Monopolar/Bipolar</v>
      </c>
      <c r="UVA111" s="179" t="s">
        <v>428</v>
      </c>
      <c r="UVB111" s="180" t="str">
        <f>VLOOKUP(UVA111,[13]AssetDetails_UEM!$A$3:$AH$1849,6,FALSE)</f>
        <v>Electrosurgical Units, Monopolar/Bipolar</v>
      </c>
      <c r="UVC111" s="179" t="s">
        <v>428</v>
      </c>
      <c r="UVD111" s="180" t="str">
        <f>VLOOKUP(UVC111,[13]AssetDetails_UEM!$A$3:$AH$1849,6,FALSE)</f>
        <v>Electrosurgical Units, Monopolar/Bipolar</v>
      </c>
      <c r="UVE111" s="179" t="s">
        <v>428</v>
      </c>
      <c r="UVF111" s="180" t="str">
        <f>VLOOKUP(UVE111,[13]AssetDetails_UEM!$A$3:$AH$1849,6,FALSE)</f>
        <v>Electrosurgical Units, Monopolar/Bipolar</v>
      </c>
      <c r="UVG111" s="179" t="s">
        <v>428</v>
      </c>
      <c r="UVH111" s="180" t="str">
        <f>VLOOKUP(UVG111,[13]AssetDetails_UEM!$A$3:$AH$1849,6,FALSE)</f>
        <v>Electrosurgical Units, Monopolar/Bipolar</v>
      </c>
      <c r="UVI111" s="179" t="s">
        <v>428</v>
      </c>
      <c r="UVJ111" s="180" t="str">
        <f>VLOOKUP(UVI111,[13]AssetDetails_UEM!$A$3:$AH$1849,6,FALSE)</f>
        <v>Electrosurgical Units, Monopolar/Bipolar</v>
      </c>
      <c r="UVK111" s="179" t="s">
        <v>428</v>
      </c>
      <c r="UVL111" s="180" t="str">
        <f>VLOOKUP(UVK111,[13]AssetDetails_UEM!$A$3:$AH$1849,6,FALSE)</f>
        <v>Electrosurgical Units, Monopolar/Bipolar</v>
      </c>
      <c r="UVM111" s="179" t="s">
        <v>428</v>
      </c>
      <c r="UVN111" s="180" t="str">
        <f>VLOOKUP(UVM111,[13]AssetDetails_UEM!$A$3:$AH$1849,6,FALSE)</f>
        <v>Electrosurgical Units, Monopolar/Bipolar</v>
      </c>
      <c r="UVO111" s="179" t="s">
        <v>428</v>
      </c>
      <c r="UVP111" s="180" t="str">
        <f>VLOOKUP(UVO111,[13]AssetDetails_UEM!$A$3:$AH$1849,6,FALSE)</f>
        <v>Electrosurgical Units, Monopolar/Bipolar</v>
      </c>
      <c r="UVQ111" s="179" t="s">
        <v>428</v>
      </c>
      <c r="UVR111" s="180" t="str">
        <f>VLOOKUP(UVQ111,[13]AssetDetails_UEM!$A$3:$AH$1849,6,FALSE)</f>
        <v>Electrosurgical Units, Monopolar/Bipolar</v>
      </c>
      <c r="UVS111" s="179" t="s">
        <v>428</v>
      </c>
      <c r="UVT111" s="180" t="str">
        <f>VLOOKUP(UVS111,[13]AssetDetails_UEM!$A$3:$AH$1849,6,FALSE)</f>
        <v>Electrosurgical Units, Monopolar/Bipolar</v>
      </c>
      <c r="UVU111" s="179" t="s">
        <v>428</v>
      </c>
      <c r="UVV111" s="180" t="str">
        <f>VLOOKUP(UVU111,[13]AssetDetails_UEM!$A$3:$AH$1849,6,FALSE)</f>
        <v>Electrosurgical Units, Monopolar/Bipolar</v>
      </c>
      <c r="UVW111" s="179" t="s">
        <v>428</v>
      </c>
      <c r="UVX111" s="180" t="str">
        <f>VLOOKUP(UVW111,[13]AssetDetails_UEM!$A$3:$AH$1849,6,FALSE)</f>
        <v>Electrosurgical Units, Monopolar/Bipolar</v>
      </c>
      <c r="UVY111" s="179" t="s">
        <v>428</v>
      </c>
      <c r="UVZ111" s="180" t="str">
        <f>VLOOKUP(UVY111,[13]AssetDetails_UEM!$A$3:$AH$1849,6,FALSE)</f>
        <v>Electrosurgical Units, Monopolar/Bipolar</v>
      </c>
      <c r="UWA111" s="179" t="s">
        <v>428</v>
      </c>
      <c r="UWB111" s="180" t="str">
        <f>VLOOKUP(UWA111,[13]AssetDetails_UEM!$A$3:$AH$1849,6,FALSE)</f>
        <v>Electrosurgical Units, Monopolar/Bipolar</v>
      </c>
      <c r="UWC111" s="179" t="s">
        <v>428</v>
      </c>
      <c r="UWD111" s="180" t="str">
        <f>VLOOKUP(UWC111,[13]AssetDetails_UEM!$A$3:$AH$1849,6,FALSE)</f>
        <v>Electrosurgical Units, Monopolar/Bipolar</v>
      </c>
      <c r="UWE111" s="179" t="s">
        <v>428</v>
      </c>
      <c r="UWF111" s="180" t="str">
        <f>VLOOKUP(UWE111,[13]AssetDetails_UEM!$A$3:$AH$1849,6,FALSE)</f>
        <v>Electrosurgical Units, Monopolar/Bipolar</v>
      </c>
      <c r="UWG111" s="179" t="s">
        <v>428</v>
      </c>
      <c r="UWH111" s="180" t="str">
        <f>VLOOKUP(UWG111,[13]AssetDetails_UEM!$A$3:$AH$1849,6,FALSE)</f>
        <v>Electrosurgical Units, Monopolar/Bipolar</v>
      </c>
      <c r="UWI111" s="179" t="s">
        <v>428</v>
      </c>
      <c r="UWJ111" s="180" t="str">
        <f>VLOOKUP(UWI111,[13]AssetDetails_UEM!$A$3:$AH$1849,6,FALSE)</f>
        <v>Electrosurgical Units, Monopolar/Bipolar</v>
      </c>
      <c r="UWK111" s="179" t="s">
        <v>428</v>
      </c>
      <c r="UWL111" s="180" t="str">
        <f>VLOOKUP(UWK111,[13]AssetDetails_UEM!$A$3:$AH$1849,6,FALSE)</f>
        <v>Electrosurgical Units, Monopolar/Bipolar</v>
      </c>
      <c r="UWM111" s="179" t="s">
        <v>428</v>
      </c>
      <c r="UWN111" s="180" t="str">
        <f>VLOOKUP(UWM111,[13]AssetDetails_UEM!$A$3:$AH$1849,6,FALSE)</f>
        <v>Electrosurgical Units, Monopolar/Bipolar</v>
      </c>
      <c r="UWO111" s="179" t="s">
        <v>428</v>
      </c>
      <c r="UWP111" s="180" t="str">
        <f>VLOOKUP(UWO111,[13]AssetDetails_UEM!$A$3:$AH$1849,6,FALSE)</f>
        <v>Electrosurgical Units, Monopolar/Bipolar</v>
      </c>
      <c r="UWQ111" s="179" t="s">
        <v>428</v>
      </c>
      <c r="UWR111" s="180" t="str">
        <f>VLOOKUP(UWQ111,[13]AssetDetails_UEM!$A$3:$AH$1849,6,FALSE)</f>
        <v>Electrosurgical Units, Monopolar/Bipolar</v>
      </c>
      <c r="UWS111" s="179" t="s">
        <v>428</v>
      </c>
      <c r="UWT111" s="180" t="str">
        <f>VLOOKUP(UWS111,[13]AssetDetails_UEM!$A$3:$AH$1849,6,FALSE)</f>
        <v>Electrosurgical Units, Monopolar/Bipolar</v>
      </c>
      <c r="UWU111" s="179" t="s">
        <v>428</v>
      </c>
      <c r="UWV111" s="180" t="str">
        <f>VLOOKUP(UWU111,[13]AssetDetails_UEM!$A$3:$AH$1849,6,FALSE)</f>
        <v>Electrosurgical Units, Monopolar/Bipolar</v>
      </c>
      <c r="UWW111" s="179" t="s">
        <v>428</v>
      </c>
      <c r="UWX111" s="180" t="str">
        <f>VLOOKUP(UWW111,[13]AssetDetails_UEM!$A$3:$AH$1849,6,FALSE)</f>
        <v>Electrosurgical Units, Monopolar/Bipolar</v>
      </c>
      <c r="UWY111" s="179" t="s">
        <v>428</v>
      </c>
      <c r="UWZ111" s="180" t="str">
        <f>VLOOKUP(UWY111,[13]AssetDetails_UEM!$A$3:$AH$1849,6,FALSE)</f>
        <v>Electrosurgical Units, Monopolar/Bipolar</v>
      </c>
      <c r="UXA111" s="179" t="s">
        <v>428</v>
      </c>
      <c r="UXB111" s="180" t="str">
        <f>VLOOKUP(UXA111,[13]AssetDetails_UEM!$A$3:$AH$1849,6,FALSE)</f>
        <v>Electrosurgical Units, Monopolar/Bipolar</v>
      </c>
      <c r="UXC111" s="179" t="s">
        <v>428</v>
      </c>
      <c r="UXD111" s="180" t="str">
        <f>VLOOKUP(UXC111,[13]AssetDetails_UEM!$A$3:$AH$1849,6,FALSE)</f>
        <v>Electrosurgical Units, Monopolar/Bipolar</v>
      </c>
      <c r="UXE111" s="179" t="s">
        <v>428</v>
      </c>
      <c r="UXF111" s="180" t="str">
        <f>VLOOKUP(UXE111,[13]AssetDetails_UEM!$A$3:$AH$1849,6,FALSE)</f>
        <v>Electrosurgical Units, Monopolar/Bipolar</v>
      </c>
      <c r="UXG111" s="179" t="s">
        <v>428</v>
      </c>
      <c r="UXH111" s="180" t="str">
        <f>VLOOKUP(UXG111,[13]AssetDetails_UEM!$A$3:$AH$1849,6,FALSE)</f>
        <v>Electrosurgical Units, Monopolar/Bipolar</v>
      </c>
      <c r="UXI111" s="179" t="s">
        <v>428</v>
      </c>
      <c r="UXJ111" s="180" t="str">
        <f>VLOOKUP(UXI111,[13]AssetDetails_UEM!$A$3:$AH$1849,6,FALSE)</f>
        <v>Electrosurgical Units, Monopolar/Bipolar</v>
      </c>
      <c r="UXK111" s="179" t="s">
        <v>428</v>
      </c>
      <c r="UXL111" s="180" t="str">
        <f>VLOOKUP(UXK111,[13]AssetDetails_UEM!$A$3:$AH$1849,6,FALSE)</f>
        <v>Electrosurgical Units, Monopolar/Bipolar</v>
      </c>
      <c r="UXM111" s="179" t="s">
        <v>428</v>
      </c>
      <c r="UXN111" s="180" t="str">
        <f>VLOOKUP(UXM111,[13]AssetDetails_UEM!$A$3:$AH$1849,6,FALSE)</f>
        <v>Electrosurgical Units, Monopolar/Bipolar</v>
      </c>
      <c r="UXO111" s="179" t="s">
        <v>428</v>
      </c>
      <c r="UXP111" s="180" t="str">
        <f>VLOOKUP(UXO111,[13]AssetDetails_UEM!$A$3:$AH$1849,6,FALSE)</f>
        <v>Electrosurgical Units, Monopolar/Bipolar</v>
      </c>
      <c r="UXQ111" s="179" t="s">
        <v>428</v>
      </c>
      <c r="UXR111" s="180" t="str">
        <f>VLOOKUP(UXQ111,[13]AssetDetails_UEM!$A$3:$AH$1849,6,FALSE)</f>
        <v>Electrosurgical Units, Monopolar/Bipolar</v>
      </c>
      <c r="UXS111" s="179" t="s">
        <v>428</v>
      </c>
      <c r="UXT111" s="180" t="str">
        <f>VLOOKUP(UXS111,[13]AssetDetails_UEM!$A$3:$AH$1849,6,FALSE)</f>
        <v>Electrosurgical Units, Monopolar/Bipolar</v>
      </c>
      <c r="UXU111" s="179" t="s">
        <v>428</v>
      </c>
      <c r="UXV111" s="180" t="str">
        <f>VLOOKUP(UXU111,[13]AssetDetails_UEM!$A$3:$AH$1849,6,FALSE)</f>
        <v>Electrosurgical Units, Monopolar/Bipolar</v>
      </c>
      <c r="UXW111" s="179" t="s">
        <v>428</v>
      </c>
      <c r="UXX111" s="180" t="str">
        <f>VLOOKUP(UXW111,[13]AssetDetails_UEM!$A$3:$AH$1849,6,FALSE)</f>
        <v>Electrosurgical Units, Monopolar/Bipolar</v>
      </c>
      <c r="UXY111" s="179" t="s">
        <v>428</v>
      </c>
      <c r="UXZ111" s="180" t="str">
        <f>VLOOKUP(UXY111,[13]AssetDetails_UEM!$A$3:$AH$1849,6,FALSE)</f>
        <v>Electrosurgical Units, Monopolar/Bipolar</v>
      </c>
      <c r="UYA111" s="179" t="s">
        <v>428</v>
      </c>
      <c r="UYB111" s="180" t="str">
        <f>VLOOKUP(UYA111,[13]AssetDetails_UEM!$A$3:$AH$1849,6,FALSE)</f>
        <v>Electrosurgical Units, Monopolar/Bipolar</v>
      </c>
      <c r="UYC111" s="179" t="s">
        <v>428</v>
      </c>
      <c r="UYD111" s="180" t="str">
        <f>VLOOKUP(UYC111,[13]AssetDetails_UEM!$A$3:$AH$1849,6,FALSE)</f>
        <v>Electrosurgical Units, Monopolar/Bipolar</v>
      </c>
      <c r="UYE111" s="179" t="s">
        <v>428</v>
      </c>
      <c r="UYF111" s="180" t="str">
        <f>VLOOKUP(UYE111,[13]AssetDetails_UEM!$A$3:$AH$1849,6,FALSE)</f>
        <v>Electrosurgical Units, Monopolar/Bipolar</v>
      </c>
      <c r="UYG111" s="179" t="s">
        <v>428</v>
      </c>
      <c r="UYH111" s="180" t="str">
        <f>VLOOKUP(UYG111,[13]AssetDetails_UEM!$A$3:$AH$1849,6,FALSE)</f>
        <v>Electrosurgical Units, Monopolar/Bipolar</v>
      </c>
      <c r="UYI111" s="179" t="s">
        <v>428</v>
      </c>
      <c r="UYJ111" s="180" t="str">
        <f>VLOOKUP(UYI111,[13]AssetDetails_UEM!$A$3:$AH$1849,6,FALSE)</f>
        <v>Electrosurgical Units, Monopolar/Bipolar</v>
      </c>
      <c r="UYK111" s="179" t="s">
        <v>428</v>
      </c>
      <c r="UYL111" s="180" t="str">
        <f>VLOOKUP(UYK111,[13]AssetDetails_UEM!$A$3:$AH$1849,6,FALSE)</f>
        <v>Electrosurgical Units, Monopolar/Bipolar</v>
      </c>
      <c r="UYM111" s="179" t="s">
        <v>428</v>
      </c>
      <c r="UYN111" s="180" t="str">
        <f>VLOOKUP(UYM111,[13]AssetDetails_UEM!$A$3:$AH$1849,6,FALSE)</f>
        <v>Electrosurgical Units, Monopolar/Bipolar</v>
      </c>
      <c r="UYO111" s="179" t="s">
        <v>428</v>
      </c>
      <c r="UYP111" s="180" t="str">
        <f>VLOOKUP(UYO111,[13]AssetDetails_UEM!$A$3:$AH$1849,6,FALSE)</f>
        <v>Electrosurgical Units, Monopolar/Bipolar</v>
      </c>
      <c r="UYQ111" s="179" t="s">
        <v>428</v>
      </c>
      <c r="UYR111" s="180" t="str">
        <f>VLOOKUP(UYQ111,[13]AssetDetails_UEM!$A$3:$AH$1849,6,FALSE)</f>
        <v>Electrosurgical Units, Monopolar/Bipolar</v>
      </c>
      <c r="UYS111" s="179" t="s">
        <v>428</v>
      </c>
      <c r="UYT111" s="180" t="str">
        <f>VLOOKUP(UYS111,[13]AssetDetails_UEM!$A$3:$AH$1849,6,FALSE)</f>
        <v>Electrosurgical Units, Monopolar/Bipolar</v>
      </c>
      <c r="UYU111" s="179" t="s">
        <v>428</v>
      </c>
      <c r="UYV111" s="180" t="str">
        <f>VLOOKUP(UYU111,[13]AssetDetails_UEM!$A$3:$AH$1849,6,FALSE)</f>
        <v>Electrosurgical Units, Monopolar/Bipolar</v>
      </c>
      <c r="UYW111" s="179" t="s">
        <v>428</v>
      </c>
      <c r="UYX111" s="180" t="str">
        <f>VLOOKUP(UYW111,[13]AssetDetails_UEM!$A$3:$AH$1849,6,FALSE)</f>
        <v>Electrosurgical Units, Monopolar/Bipolar</v>
      </c>
      <c r="UYY111" s="179" t="s">
        <v>428</v>
      </c>
      <c r="UYZ111" s="180" t="str">
        <f>VLOOKUP(UYY111,[13]AssetDetails_UEM!$A$3:$AH$1849,6,FALSE)</f>
        <v>Electrosurgical Units, Monopolar/Bipolar</v>
      </c>
      <c r="UZA111" s="179" t="s">
        <v>428</v>
      </c>
      <c r="UZB111" s="180" t="str">
        <f>VLOOKUP(UZA111,[13]AssetDetails_UEM!$A$3:$AH$1849,6,FALSE)</f>
        <v>Electrosurgical Units, Monopolar/Bipolar</v>
      </c>
      <c r="UZC111" s="179" t="s">
        <v>428</v>
      </c>
      <c r="UZD111" s="180" t="str">
        <f>VLOOKUP(UZC111,[13]AssetDetails_UEM!$A$3:$AH$1849,6,FALSE)</f>
        <v>Electrosurgical Units, Monopolar/Bipolar</v>
      </c>
      <c r="UZE111" s="179" t="s">
        <v>428</v>
      </c>
      <c r="UZF111" s="180" t="str">
        <f>VLOOKUP(UZE111,[13]AssetDetails_UEM!$A$3:$AH$1849,6,FALSE)</f>
        <v>Electrosurgical Units, Monopolar/Bipolar</v>
      </c>
      <c r="UZG111" s="179" t="s">
        <v>428</v>
      </c>
      <c r="UZH111" s="180" t="str">
        <f>VLOOKUP(UZG111,[13]AssetDetails_UEM!$A$3:$AH$1849,6,FALSE)</f>
        <v>Electrosurgical Units, Monopolar/Bipolar</v>
      </c>
      <c r="UZI111" s="179" t="s">
        <v>428</v>
      </c>
      <c r="UZJ111" s="180" t="str">
        <f>VLOOKUP(UZI111,[13]AssetDetails_UEM!$A$3:$AH$1849,6,FALSE)</f>
        <v>Electrosurgical Units, Monopolar/Bipolar</v>
      </c>
      <c r="UZK111" s="179" t="s">
        <v>428</v>
      </c>
      <c r="UZL111" s="180" t="str">
        <f>VLOOKUP(UZK111,[13]AssetDetails_UEM!$A$3:$AH$1849,6,FALSE)</f>
        <v>Electrosurgical Units, Monopolar/Bipolar</v>
      </c>
      <c r="UZM111" s="179" t="s">
        <v>428</v>
      </c>
      <c r="UZN111" s="180" t="str">
        <f>VLOOKUP(UZM111,[13]AssetDetails_UEM!$A$3:$AH$1849,6,FALSE)</f>
        <v>Electrosurgical Units, Monopolar/Bipolar</v>
      </c>
      <c r="UZO111" s="179" t="s">
        <v>428</v>
      </c>
      <c r="UZP111" s="180" t="str">
        <f>VLOOKUP(UZO111,[13]AssetDetails_UEM!$A$3:$AH$1849,6,FALSE)</f>
        <v>Electrosurgical Units, Monopolar/Bipolar</v>
      </c>
      <c r="UZQ111" s="179" t="s">
        <v>428</v>
      </c>
      <c r="UZR111" s="180" t="str">
        <f>VLOOKUP(UZQ111,[13]AssetDetails_UEM!$A$3:$AH$1849,6,FALSE)</f>
        <v>Electrosurgical Units, Monopolar/Bipolar</v>
      </c>
      <c r="UZS111" s="179" t="s">
        <v>428</v>
      </c>
      <c r="UZT111" s="180" t="str">
        <f>VLOOKUP(UZS111,[13]AssetDetails_UEM!$A$3:$AH$1849,6,FALSE)</f>
        <v>Electrosurgical Units, Monopolar/Bipolar</v>
      </c>
      <c r="UZU111" s="179" t="s">
        <v>428</v>
      </c>
      <c r="UZV111" s="180" t="str">
        <f>VLOOKUP(UZU111,[13]AssetDetails_UEM!$A$3:$AH$1849,6,FALSE)</f>
        <v>Electrosurgical Units, Monopolar/Bipolar</v>
      </c>
      <c r="UZW111" s="179" t="s">
        <v>428</v>
      </c>
      <c r="UZX111" s="180" t="str">
        <f>VLOOKUP(UZW111,[13]AssetDetails_UEM!$A$3:$AH$1849,6,FALSE)</f>
        <v>Electrosurgical Units, Monopolar/Bipolar</v>
      </c>
      <c r="UZY111" s="179" t="s">
        <v>428</v>
      </c>
      <c r="UZZ111" s="180" t="str">
        <f>VLOOKUP(UZY111,[13]AssetDetails_UEM!$A$3:$AH$1849,6,FALSE)</f>
        <v>Electrosurgical Units, Monopolar/Bipolar</v>
      </c>
      <c r="VAA111" s="179" t="s">
        <v>428</v>
      </c>
      <c r="VAB111" s="180" t="str">
        <f>VLOOKUP(VAA111,[13]AssetDetails_UEM!$A$3:$AH$1849,6,FALSE)</f>
        <v>Electrosurgical Units, Monopolar/Bipolar</v>
      </c>
      <c r="VAC111" s="179" t="s">
        <v>428</v>
      </c>
      <c r="VAD111" s="180" t="str">
        <f>VLOOKUP(VAC111,[13]AssetDetails_UEM!$A$3:$AH$1849,6,FALSE)</f>
        <v>Electrosurgical Units, Monopolar/Bipolar</v>
      </c>
      <c r="VAE111" s="179" t="s">
        <v>428</v>
      </c>
      <c r="VAF111" s="180" t="str">
        <f>VLOOKUP(VAE111,[13]AssetDetails_UEM!$A$3:$AH$1849,6,FALSE)</f>
        <v>Electrosurgical Units, Monopolar/Bipolar</v>
      </c>
      <c r="VAG111" s="179" t="s">
        <v>428</v>
      </c>
      <c r="VAH111" s="180" t="str">
        <f>VLOOKUP(VAG111,[13]AssetDetails_UEM!$A$3:$AH$1849,6,FALSE)</f>
        <v>Electrosurgical Units, Monopolar/Bipolar</v>
      </c>
      <c r="VAI111" s="179" t="s">
        <v>428</v>
      </c>
      <c r="VAJ111" s="180" t="str">
        <f>VLOOKUP(VAI111,[13]AssetDetails_UEM!$A$3:$AH$1849,6,FALSE)</f>
        <v>Electrosurgical Units, Monopolar/Bipolar</v>
      </c>
      <c r="VAK111" s="179" t="s">
        <v>428</v>
      </c>
      <c r="VAL111" s="180" t="str">
        <f>VLOOKUP(VAK111,[13]AssetDetails_UEM!$A$3:$AH$1849,6,FALSE)</f>
        <v>Electrosurgical Units, Monopolar/Bipolar</v>
      </c>
      <c r="VAM111" s="179" t="s">
        <v>428</v>
      </c>
      <c r="VAN111" s="180" t="str">
        <f>VLOOKUP(VAM111,[13]AssetDetails_UEM!$A$3:$AH$1849,6,FALSE)</f>
        <v>Electrosurgical Units, Monopolar/Bipolar</v>
      </c>
      <c r="VAO111" s="179" t="s">
        <v>428</v>
      </c>
      <c r="VAP111" s="180" t="str">
        <f>VLOOKUP(VAO111,[13]AssetDetails_UEM!$A$3:$AH$1849,6,FALSE)</f>
        <v>Electrosurgical Units, Monopolar/Bipolar</v>
      </c>
      <c r="VAQ111" s="179" t="s">
        <v>428</v>
      </c>
      <c r="VAR111" s="180" t="str">
        <f>VLOOKUP(VAQ111,[13]AssetDetails_UEM!$A$3:$AH$1849,6,FALSE)</f>
        <v>Electrosurgical Units, Monopolar/Bipolar</v>
      </c>
      <c r="VAS111" s="179" t="s">
        <v>428</v>
      </c>
      <c r="VAT111" s="180" t="str">
        <f>VLOOKUP(VAS111,[13]AssetDetails_UEM!$A$3:$AH$1849,6,FALSE)</f>
        <v>Electrosurgical Units, Monopolar/Bipolar</v>
      </c>
      <c r="VAU111" s="179" t="s">
        <v>428</v>
      </c>
      <c r="VAV111" s="180" t="str">
        <f>VLOOKUP(VAU111,[13]AssetDetails_UEM!$A$3:$AH$1849,6,FALSE)</f>
        <v>Electrosurgical Units, Monopolar/Bipolar</v>
      </c>
      <c r="VAW111" s="179" t="s">
        <v>428</v>
      </c>
      <c r="VAX111" s="180" t="str">
        <f>VLOOKUP(VAW111,[13]AssetDetails_UEM!$A$3:$AH$1849,6,FALSE)</f>
        <v>Electrosurgical Units, Monopolar/Bipolar</v>
      </c>
      <c r="VAY111" s="179" t="s">
        <v>428</v>
      </c>
      <c r="VAZ111" s="180" t="str">
        <f>VLOOKUP(VAY111,[13]AssetDetails_UEM!$A$3:$AH$1849,6,FALSE)</f>
        <v>Electrosurgical Units, Monopolar/Bipolar</v>
      </c>
      <c r="VBA111" s="179" t="s">
        <v>428</v>
      </c>
      <c r="VBB111" s="180" t="str">
        <f>VLOOKUP(VBA111,[13]AssetDetails_UEM!$A$3:$AH$1849,6,FALSE)</f>
        <v>Electrosurgical Units, Monopolar/Bipolar</v>
      </c>
      <c r="VBC111" s="179" t="s">
        <v>428</v>
      </c>
      <c r="VBD111" s="180" t="str">
        <f>VLOOKUP(VBC111,[13]AssetDetails_UEM!$A$3:$AH$1849,6,FALSE)</f>
        <v>Electrosurgical Units, Monopolar/Bipolar</v>
      </c>
      <c r="VBE111" s="179" t="s">
        <v>428</v>
      </c>
      <c r="VBF111" s="180" t="str">
        <f>VLOOKUP(VBE111,[13]AssetDetails_UEM!$A$3:$AH$1849,6,FALSE)</f>
        <v>Electrosurgical Units, Monopolar/Bipolar</v>
      </c>
      <c r="VBG111" s="179" t="s">
        <v>428</v>
      </c>
      <c r="VBH111" s="180" t="str">
        <f>VLOOKUP(VBG111,[13]AssetDetails_UEM!$A$3:$AH$1849,6,FALSE)</f>
        <v>Electrosurgical Units, Monopolar/Bipolar</v>
      </c>
      <c r="VBI111" s="179" t="s">
        <v>428</v>
      </c>
      <c r="VBJ111" s="180" t="str">
        <f>VLOOKUP(VBI111,[13]AssetDetails_UEM!$A$3:$AH$1849,6,FALSE)</f>
        <v>Electrosurgical Units, Monopolar/Bipolar</v>
      </c>
      <c r="VBK111" s="179" t="s">
        <v>428</v>
      </c>
      <c r="VBL111" s="180" t="str">
        <f>VLOOKUP(VBK111,[13]AssetDetails_UEM!$A$3:$AH$1849,6,FALSE)</f>
        <v>Electrosurgical Units, Monopolar/Bipolar</v>
      </c>
      <c r="VBM111" s="179" t="s">
        <v>428</v>
      </c>
      <c r="VBN111" s="180" t="str">
        <f>VLOOKUP(VBM111,[13]AssetDetails_UEM!$A$3:$AH$1849,6,FALSE)</f>
        <v>Electrosurgical Units, Monopolar/Bipolar</v>
      </c>
      <c r="VBO111" s="179" t="s">
        <v>428</v>
      </c>
      <c r="VBP111" s="180" t="str">
        <f>VLOOKUP(VBO111,[13]AssetDetails_UEM!$A$3:$AH$1849,6,FALSE)</f>
        <v>Electrosurgical Units, Monopolar/Bipolar</v>
      </c>
      <c r="VBQ111" s="179" t="s">
        <v>428</v>
      </c>
      <c r="VBR111" s="180" t="str">
        <f>VLOOKUP(VBQ111,[13]AssetDetails_UEM!$A$3:$AH$1849,6,FALSE)</f>
        <v>Electrosurgical Units, Monopolar/Bipolar</v>
      </c>
      <c r="VBS111" s="179" t="s">
        <v>428</v>
      </c>
      <c r="VBT111" s="180" t="str">
        <f>VLOOKUP(VBS111,[13]AssetDetails_UEM!$A$3:$AH$1849,6,FALSE)</f>
        <v>Electrosurgical Units, Monopolar/Bipolar</v>
      </c>
      <c r="VBU111" s="179" t="s">
        <v>428</v>
      </c>
      <c r="VBV111" s="180" t="str">
        <f>VLOOKUP(VBU111,[13]AssetDetails_UEM!$A$3:$AH$1849,6,FALSE)</f>
        <v>Electrosurgical Units, Monopolar/Bipolar</v>
      </c>
      <c r="VBW111" s="179" t="s">
        <v>428</v>
      </c>
      <c r="VBX111" s="180" t="str">
        <f>VLOOKUP(VBW111,[13]AssetDetails_UEM!$A$3:$AH$1849,6,FALSE)</f>
        <v>Electrosurgical Units, Monopolar/Bipolar</v>
      </c>
      <c r="VBY111" s="179" t="s">
        <v>428</v>
      </c>
      <c r="VBZ111" s="180" t="str">
        <f>VLOOKUP(VBY111,[13]AssetDetails_UEM!$A$3:$AH$1849,6,FALSE)</f>
        <v>Electrosurgical Units, Monopolar/Bipolar</v>
      </c>
      <c r="VCA111" s="179" t="s">
        <v>428</v>
      </c>
      <c r="VCB111" s="180" t="str">
        <f>VLOOKUP(VCA111,[13]AssetDetails_UEM!$A$3:$AH$1849,6,FALSE)</f>
        <v>Electrosurgical Units, Monopolar/Bipolar</v>
      </c>
      <c r="VCC111" s="179" t="s">
        <v>428</v>
      </c>
      <c r="VCD111" s="180" t="str">
        <f>VLOOKUP(VCC111,[13]AssetDetails_UEM!$A$3:$AH$1849,6,FALSE)</f>
        <v>Electrosurgical Units, Monopolar/Bipolar</v>
      </c>
      <c r="VCE111" s="179" t="s">
        <v>428</v>
      </c>
      <c r="VCF111" s="180" t="str">
        <f>VLOOKUP(VCE111,[13]AssetDetails_UEM!$A$3:$AH$1849,6,FALSE)</f>
        <v>Electrosurgical Units, Monopolar/Bipolar</v>
      </c>
      <c r="VCG111" s="179" t="s">
        <v>428</v>
      </c>
      <c r="VCH111" s="180" t="str">
        <f>VLOOKUP(VCG111,[13]AssetDetails_UEM!$A$3:$AH$1849,6,FALSE)</f>
        <v>Electrosurgical Units, Monopolar/Bipolar</v>
      </c>
      <c r="VCI111" s="179" t="s">
        <v>428</v>
      </c>
      <c r="VCJ111" s="180" t="str">
        <f>VLOOKUP(VCI111,[13]AssetDetails_UEM!$A$3:$AH$1849,6,FALSE)</f>
        <v>Electrosurgical Units, Monopolar/Bipolar</v>
      </c>
      <c r="VCK111" s="179" t="s">
        <v>428</v>
      </c>
      <c r="VCL111" s="180" t="str">
        <f>VLOOKUP(VCK111,[13]AssetDetails_UEM!$A$3:$AH$1849,6,FALSE)</f>
        <v>Electrosurgical Units, Monopolar/Bipolar</v>
      </c>
      <c r="VCM111" s="179" t="s">
        <v>428</v>
      </c>
      <c r="VCN111" s="180" t="str">
        <f>VLOOKUP(VCM111,[13]AssetDetails_UEM!$A$3:$AH$1849,6,FALSE)</f>
        <v>Electrosurgical Units, Monopolar/Bipolar</v>
      </c>
      <c r="VCO111" s="179" t="s">
        <v>428</v>
      </c>
      <c r="VCP111" s="180" t="str">
        <f>VLOOKUP(VCO111,[13]AssetDetails_UEM!$A$3:$AH$1849,6,FALSE)</f>
        <v>Electrosurgical Units, Monopolar/Bipolar</v>
      </c>
      <c r="VCQ111" s="179" t="s">
        <v>428</v>
      </c>
      <c r="VCR111" s="180" t="str">
        <f>VLOOKUP(VCQ111,[13]AssetDetails_UEM!$A$3:$AH$1849,6,FALSE)</f>
        <v>Electrosurgical Units, Monopolar/Bipolar</v>
      </c>
      <c r="VCS111" s="179" t="s">
        <v>428</v>
      </c>
      <c r="VCT111" s="180" t="str">
        <f>VLOOKUP(VCS111,[13]AssetDetails_UEM!$A$3:$AH$1849,6,FALSE)</f>
        <v>Electrosurgical Units, Monopolar/Bipolar</v>
      </c>
      <c r="VCU111" s="179" t="s">
        <v>428</v>
      </c>
      <c r="VCV111" s="180" t="str">
        <f>VLOOKUP(VCU111,[13]AssetDetails_UEM!$A$3:$AH$1849,6,FALSE)</f>
        <v>Electrosurgical Units, Monopolar/Bipolar</v>
      </c>
      <c r="VCW111" s="179" t="s">
        <v>428</v>
      </c>
      <c r="VCX111" s="180" t="str">
        <f>VLOOKUP(VCW111,[13]AssetDetails_UEM!$A$3:$AH$1849,6,FALSE)</f>
        <v>Electrosurgical Units, Monopolar/Bipolar</v>
      </c>
      <c r="VCY111" s="179" t="s">
        <v>428</v>
      </c>
      <c r="VCZ111" s="180" t="str">
        <f>VLOOKUP(VCY111,[13]AssetDetails_UEM!$A$3:$AH$1849,6,FALSE)</f>
        <v>Electrosurgical Units, Monopolar/Bipolar</v>
      </c>
      <c r="VDA111" s="179" t="s">
        <v>428</v>
      </c>
      <c r="VDB111" s="180" t="str">
        <f>VLOOKUP(VDA111,[13]AssetDetails_UEM!$A$3:$AH$1849,6,FALSE)</f>
        <v>Electrosurgical Units, Monopolar/Bipolar</v>
      </c>
      <c r="VDC111" s="179" t="s">
        <v>428</v>
      </c>
      <c r="VDD111" s="180" t="str">
        <f>VLOOKUP(VDC111,[13]AssetDetails_UEM!$A$3:$AH$1849,6,FALSE)</f>
        <v>Electrosurgical Units, Monopolar/Bipolar</v>
      </c>
      <c r="VDE111" s="179" t="s">
        <v>428</v>
      </c>
      <c r="VDF111" s="180" t="str">
        <f>VLOOKUP(VDE111,[13]AssetDetails_UEM!$A$3:$AH$1849,6,FALSE)</f>
        <v>Electrosurgical Units, Monopolar/Bipolar</v>
      </c>
      <c r="VDG111" s="179" t="s">
        <v>428</v>
      </c>
      <c r="VDH111" s="180" t="str">
        <f>VLOOKUP(VDG111,[13]AssetDetails_UEM!$A$3:$AH$1849,6,FALSE)</f>
        <v>Electrosurgical Units, Monopolar/Bipolar</v>
      </c>
      <c r="VDI111" s="179" t="s">
        <v>428</v>
      </c>
      <c r="VDJ111" s="180" t="str">
        <f>VLOOKUP(VDI111,[13]AssetDetails_UEM!$A$3:$AH$1849,6,FALSE)</f>
        <v>Electrosurgical Units, Monopolar/Bipolar</v>
      </c>
      <c r="VDK111" s="179" t="s">
        <v>428</v>
      </c>
      <c r="VDL111" s="180" t="str">
        <f>VLOOKUP(VDK111,[13]AssetDetails_UEM!$A$3:$AH$1849,6,FALSE)</f>
        <v>Electrosurgical Units, Monopolar/Bipolar</v>
      </c>
      <c r="VDM111" s="179" t="s">
        <v>428</v>
      </c>
      <c r="VDN111" s="180" t="str">
        <f>VLOOKUP(VDM111,[13]AssetDetails_UEM!$A$3:$AH$1849,6,FALSE)</f>
        <v>Electrosurgical Units, Monopolar/Bipolar</v>
      </c>
      <c r="VDO111" s="179" t="s">
        <v>428</v>
      </c>
      <c r="VDP111" s="180" t="str">
        <f>VLOOKUP(VDO111,[13]AssetDetails_UEM!$A$3:$AH$1849,6,FALSE)</f>
        <v>Electrosurgical Units, Monopolar/Bipolar</v>
      </c>
      <c r="VDQ111" s="179" t="s">
        <v>428</v>
      </c>
      <c r="VDR111" s="180" t="str">
        <f>VLOOKUP(VDQ111,[13]AssetDetails_UEM!$A$3:$AH$1849,6,FALSE)</f>
        <v>Electrosurgical Units, Monopolar/Bipolar</v>
      </c>
      <c r="VDS111" s="179" t="s">
        <v>428</v>
      </c>
      <c r="VDT111" s="180" t="str">
        <f>VLOOKUP(VDS111,[13]AssetDetails_UEM!$A$3:$AH$1849,6,FALSE)</f>
        <v>Electrosurgical Units, Monopolar/Bipolar</v>
      </c>
      <c r="VDU111" s="179" t="s">
        <v>428</v>
      </c>
      <c r="VDV111" s="180" t="str">
        <f>VLOOKUP(VDU111,[13]AssetDetails_UEM!$A$3:$AH$1849,6,FALSE)</f>
        <v>Electrosurgical Units, Monopolar/Bipolar</v>
      </c>
      <c r="VDW111" s="179" t="s">
        <v>428</v>
      </c>
      <c r="VDX111" s="180" t="str">
        <f>VLOOKUP(VDW111,[13]AssetDetails_UEM!$A$3:$AH$1849,6,FALSE)</f>
        <v>Electrosurgical Units, Monopolar/Bipolar</v>
      </c>
      <c r="VDY111" s="179" t="s">
        <v>428</v>
      </c>
      <c r="VDZ111" s="180" t="str">
        <f>VLOOKUP(VDY111,[13]AssetDetails_UEM!$A$3:$AH$1849,6,FALSE)</f>
        <v>Electrosurgical Units, Monopolar/Bipolar</v>
      </c>
      <c r="VEA111" s="179" t="s">
        <v>428</v>
      </c>
      <c r="VEB111" s="180" t="str">
        <f>VLOOKUP(VEA111,[13]AssetDetails_UEM!$A$3:$AH$1849,6,FALSE)</f>
        <v>Electrosurgical Units, Monopolar/Bipolar</v>
      </c>
      <c r="VEC111" s="179" t="s">
        <v>428</v>
      </c>
      <c r="VED111" s="180" t="str">
        <f>VLOOKUP(VEC111,[13]AssetDetails_UEM!$A$3:$AH$1849,6,FALSE)</f>
        <v>Electrosurgical Units, Monopolar/Bipolar</v>
      </c>
      <c r="VEE111" s="179" t="s">
        <v>428</v>
      </c>
      <c r="VEF111" s="180" t="str">
        <f>VLOOKUP(VEE111,[13]AssetDetails_UEM!$A$3:$AH$1849,6,FALSE)</f>
        <v>Electrosurgical Units, Monopolar/Bipolar</v>
      </c>
      <c r="VEG111" s="179" t="s">
        <v>428</v>
      </c>
      <c r="VEH111" s="180" t="str">
        <f>VLOOKUP(VEG111,[13]AssetDetails_UEM!$A$3:$AH$1849,6,FALSE)</f>
        <v>Electrosurgical Units, Monopolar/Bipolar</v>
      </c>
      <c r="VEI111" s="179" t="s">
        <v>428</v>
      </c>
      <c r="VEJ111" s="180" t="str">
        <f>VLOOKUP(VEI111,[13]AssetDetails_UEM!$A$3:$AH$1849,6,FALSE)</f>
        <v>Electrosurgical Units, Monopolar/Bipolar</v>
      </c>
      <c r="VEK111" s="179" t="s">
        <v>428</v>
      </c>
      <c r="VEL111" s="180" t="str">
        <f>VLOOKUP(VEK111,[13]AssetDetails_UEM!$A$3:$AH$1849,6,FALSE)</f>
        <v>Electrosurgical Units, Monopolar/Bipolar</v>
      </c>
      <c r="VEM111" s="179" t="s">
        <v>428</v>
      </c>
      <c r="VEN111" s="180" t="str">
        <f>VLOOKUP(VEM111,[13]AssetDetails_UEM!$A$3:$AH$1849,6,FALSE)</f>
        <v>Electrosurgical Units, Monopolar/Bipolar</v>
      </c>
      <c r="VEO111" s="179" t="s">
        <v>428</v>
      </c>
      <c r="VEP111" s="180" t="str">
        <f>VLOOKUP(VEO111,[13]AssetDetails_UEM!$A$3:$AH$1849,6,FALSE)</f>
        <v>Electrosurgical Units, Monopolar/Bipolar</v>
      </c>
      <c r="VEQ111" s="179" t="s">
        <v>428</v>
      </c>
      <c r="VER111" s="180" t="str">
        <f>VLOOKUP(VEQ111,[13]AssetDetails_UEM!$A$3:$AH$1849,6,FALSE)</f>
        <v>Electrosurgical Units, Monopolar/Bipolar</v>
      </c>
      <c r="VES111" s="179" t="s">
        <v>428</v>
      </c>
      <c r="VET111" s="180" t="str">
        <f>VLOOKUP(VES111,[13]AssetDetails_UEM!$A$3:$AH$1849,6,FALSE)</f>
        <v>Electrosurgical Units, Monopolar/Bipolar</v>
      </c>
      <c r="VEU111" s="179" t="s">
        <v>428</v>
      </c>
      <c r="VEV111" s="180" t="str">
        <f>VLOOKUP(VEU111,[13]AssetDetails_UEM!$A$3:$AH$1849,6,FALSE)</f>
        <v>Electrosurgical Units, Monopolar/Bipolar</v>
      </c>
      <c r="VEW111" s="179" t="s">
        <v>428</v>
      </c>
      <c r="VEX111" s="180" t="str">
        <f>VLOOKUP(VEW111,[13]AssetDetails_UEM!$A$3:$AH$1849,6,FALSE)</f>
        <v>Electrosurgical Units, Monopolar/Bipolar</v>
      </c>
      <c r="VEY111" s="179" t="s">
        <v>428</v>
      </c>
      <c r="VEZ111" s="180" t="str">
        <f>VLOOKUP(VEY111,[13]AssetDetails_UEM!$A$3:$AH$1849,6,FALSE)</f>
        <v>Electrosurgical Units, Monopolar/Bipolar</v>
      </c>
      <c r="VFA111" s="179" t="s">
        <v>428</v>
      </c>
      <c r="VFB111" s="180" t="str">
        <f>VLOOKUP(VFA111,[13]AssetDetails_UEM!$A$3:$AH$1849,6,FALSE)</f>
        <v>Electrosurgical Units, Monopolar/Bipolar</v>
      </c>
      <c r="VFC111" s="179" t="s">
        <v>428</v>
      </c>
      <c r="VFD111" s="180" t="str">
        <f>VLOOKUP(VFC111,[13]AssetDetails_UEM!$A$3:$AH$1849,6,FALSE)</f>
        <v>Electrosurgical Units, Monopolar/Bipolar</v>
      </c>
      <c r="VFE111" s="179" t="s">
        <v>428</v>
      </c>
      <c r="VFF111" s="180" t="str">
        <f>VLOOKUP(VFE111,[13]AssetDetails_UEM!$A$3:$AH$1849,6,FALSE)</f>
        <v>Electrosurgical Units, Monopolar/Bipolar</v>
      </c>
      <c r="VFG111" s="179" t="s">
        <v>428</v>
      </c>
      <c r="VFH111" s="180" t="str">
        <f>VLOOKUP(VFG111,[13]AssetDetails_UEM!$A$3:$AH$1849,6,FALSE)</f>
        <v>Electrosurgical Units, Monopolar/Bipolar</v>
      </c>
      <c r="VFI111" s="179" t="s">
        <v>428</v>
      </c>
      <c r="VFJ111" s="180" t="str">
        <f>VLOOKUP(VFI111,[13]AssetDetails_UEM!$A$3:$AH$1849,6,FALSE)</f>
        <v>Electrosurgical Units, Monopolar/Bipolar</v>
      </c>
      <c r="VFK111" s="179" t="s">
        <v>428</v>
      </c>
      <c r="VFL111" s="180" t="str">
        <f>VLOOKUP(VFK111,[13]AssetDetails_UEM!$A$3:$AH$1849,6,FALSE)</f>
        <v>Electrosurgical Units, Monopolar/Bipolar</v>
      </c>
      <c r="VFM111" s="179" t="s">
        <v>428</v>
      </c>
      <c r="VFN111" s="180" t="str">
        <f>VLOOKUP(VFM111,[13]AssetDetails_UEM!$A$3:$AH$1849,6,FALSE)</f>
        <v>Electrosurgical Units, Monopolar/Bipolar</v>
      </c>
      <c r="VFO111" s="179" t="s">
        <v>428</v>
      </c>
      <c r="VFP111" s="180" t="str">
        <f>VLOOKUP(VFO111,[13]AssetDetails_UEM!$A$3:$AH$1849,6,FALSE)</f>
        <v>Electrosurgical Units, Monopolar/Bipolar</v>
      </c>
      <c r="VFQ111" s="179" t="s">
        <v>428</v>
      </c>
      <c r="VFR111" s="180" t="str">
        <f>VLOOKUP(VFQ111,[13]AssetDetails_UEM!$A$3:$AH$1849,6,FALSE)</f>
        <v>Electrosurgical Units, Monopolar/Bipolar</v>
      </c>
      <c r="VFS111" s="179" t="s">
        <v>428</v>
      </c>
      <c r="VFT111" s="180" t="str">
        <f>VLOOKUP(VFS111,[13]AssetDetails_UEM!$A$3:$AH$1849,6,FALSE)</f>
        <v>Electrosurgical Units, Monopolar/Bipolar</v>
      </c>
      <c r="VFU111" s="179" t="s">
        <v>428</v>
      </c>
      <c r="VFV111" s="180" t="str">
        <f>VLOOKUP(VFU111,[13]AssetDetails_UEM!$A$3:$AH$1849,6,FALSE)</f>
        <v>Electrosurgical Units, Monopolar/Bipolar</v>
      </c>
      <c r="VFW111" s="179" t="s">
        <v>428</v>
      </c>
      <c r="VFX111" s="180" t="str">
        <f>VLOOKUP(VFW111,[13]AssetDetails_UEM!$A$3:$AH$1849,6,FALSE)</f>
        <v>Electrosurgical Units, Monopolar/Bipolar</v>
      </c>
      <c r="VFY111" s="179" t="s">
        <v>428</v>
      </c>
      <c r="VFZ111" s="180" t="str">
        <f>VLOOKUP(VFY111,[13]AssetDetails_UEM!$A$3:$AH$1849,6,FALSE)</f>
        <v>Electrosurgical Units, Monopolar/Bipolar</v>
      </c>
      <c r="VGA111" s="179" t="s">
        <v>428</v>
      </c>
      <c r="VGB111" s="180" t="str">
        <f>VLOOKUP(VGA111,[13]AssetDetails_UEM!$A$3:$AH$1849,6,FALSE)</f>
        <v>Electrosurgical Units, Monopolar/Bipolar</v>
      </c>
      <c r="VGC111" s="179" t="s">
        <v>428</v>
      </c>
      <c r="VGD111" s="180" t="str">
        <f>VLOOKUP(VGC111,[13]AssetDetails_UEM!$A$3:$AH$1849,6,FALSE)</f>
        <v>Electrosurgical Units, Monopolar/Bipolar</v>
      </c>
      <c r="VGE111" s="179" t="s">
        <v>428</v>
      </c>
      <c r="VGF111" s="180" t="str">
        <f>VLOOKUP(VGE111,[13]AssetDetails_UEM!$A$3:$AH$1849,6,FALSE)</f>
        <v>Electrosurgical Units, Monopolar/Bipolar</v>
      </c>
      <c r="VGG111" s="179" t="s">
        <v>428</v>
      </c>
      <c r="VGH111" s="180" t="str">
        <f>VLOOKUP(VGG111,[13]AssetDetails_UEM!$A$3:$AH$1849,6,FALSE)</f>
        <v>Electrosurgical Units, Monopolar/Bipolar</v>
      </c>
      <c r="VGI111" s="179" t="s">
        <v>428</v>
      </c>
      <c r="VGJ111" s="180" t="str">
        <f>VLOOKUP(VGI111,[13]AssetDetails_UEM!$A$3:$AH$1849,6,FALSE)</f>
        <v>Electrosurgical Units, Monopolar/Bipolar</v>
      </c>
      <c r="VGK111" s="179" t="s">
        <v>428</v>
      </c>
      <c r="VGL111" s="180" t="str">
        <f>VLOOKUP(VGK111,[13]AssetDetails_UEM!$A$3:$AH$1849,6,FALSE)</f>
        <v>Electrosurgical Units, Monopolar/Bipolar</v>
      </c>
      <c r="VGM111" s="179" t="s">
        <v>428</v>
      </c>
      <c r="VGN111" s="180" t="str">
        <f>VLOOKUP(VGM111,[13]AssetDetails_UEM!$A$3:$AH$1849,6,FALSE)</f>
        <v>Electrosurgical Units, Monopolar/Bipolar</v>
      </c>
      <c r="VGO111" s="179" t="s">
        <v>428</v>
      </c>
      <c r="VGP111" s="180" t="str">
        <f>VLOOKUP(VGO111,[13]AssetDetails_UEM!$A$3:$AH$1849,6,FALSE)</f>
        <v>Electrosurgical Units, Monopolar/Bipolar</v>
      </c>
      <c r="VGQ111" s="179" t="s">
        <v>428</v>
      </c>
      <c r="VGR111" s="180" t="str">
        <f>VLOOKUP(VGQ111,[13]AssetDetails_UEM!$A$3:$AH$1849,6,FALSE)</f>
        <v>Electrosurgical Units, Monopolar/Bipolar</v>
      </c>
      <c r="VGS111" s="179" t="s">
        <v>428</v>
      </c>
      <c r="VGT111" s="180" t="str">
        <f>VLOOKUP(VGS111,[13]AssetDetails_UEM!$A$3:$AH$1849,6,FALSE)</f>
        <v>Electrosurgical Units, Monopolar/Bipolar</v>
      </c>
      <c r="VGU111" s="179" t="s">
        <v>428</v>
      </c>
      <c r="VGV111" s="180" t="str">
        <f>VLOOKUP(VGU111,[13]AssetDetails_UEM!$A$3:$AH$1849,6,FALSE)</f>
        <v>Electrosurgical Units, Monopolar/Bipolar</v>
      </c>
      <c r="VGW111" s="179" t="s">
        <v>428</v>
      </c>
      <c r="VGX111" s="180" t="str">
        <f>VLOOKUP(VGW111,[13]AssetDetails_UEM!$A$3:$AH$1849,6,FALSE)</f>
        <v>Electrosurgical Units, Monopolar/Bipolar</v>
      </c>
      <c r="VGY111" s="179" t="s">
        <v>428</v>
      </c>
      <c r="VGZ111" s="180" t="str">
        <f>VLOOKUP(VGY111,[13]AssetDetails_UEM!$A$3:$AH$1849,6,FALSE)</f>
        <v>Electrosurgical Units, Monopolar/Bipolar</v>
      </c>
      <c r="VHA111" s="179" t="s">
        <v>428</v>
      </c>
      <c r="VHB111" s="180" t="str">
        <f>VLOOKUP(VHA111,[13]AssetDetails_UEM!$A$3:$AH$1849,6,FALSE)</f>
        <v>Electrosurgical Units, Monopolar/Bipolar</v>
      </c>
      <c r="VHC111" s="179" t="s">
        <v>428</v>
      </c>
      <c r="VHD111" s="180" t="str">
        <f>VLOOKUP(VHC111,[13]AssetDetails_UEM!$A$3:$AH$1849,6,FALSE)</f>
        <v>Electrosurgical Units, Monopolar/Bipolar</v>
      </c>
      <c r="VHE111" s="179" t="s">
        <v>428</v>
      </c>
      <c r="VHF111" s="180" t="str">
        <f>VLOOKUP(VHE111,[13]AssetDetails_UEM!$A$3:$AH$1849,6,FALSE)</f>
        <v>Electrosurgical Units, Monopolar/Bipolar</v>
      </c>
      <c r="VHG111" s="179" t="s">
        <v>428</v>
      </c>
      <c r="VHH111" s="180" t="str">
        <f>VLOOKUP(VHG111,[13]AssetDetails_UEM!$A$3:$AH$1849,6,FALSE)</f>
        <v>Electrosurgical Units, Monopolar/Bipolar</v>
      </c>
      <c r="VHI111" s="179" t="s">
        <v>428</v>
      </c>
      <c r="VHJ111" s="180" t="str">
        <f>VLOOKUP(VHI111,[13]AssetDetails_UEM!$A$3:$AH$1849,6,FALSE)</f>
        <v>Electrosurgical Units, Monopolar/Bipolar</v>
      </c>
      <c r="VHK111" s="179" t="s">
        <v>428</v>
      </c>
      <c r="VHL111" s="180" t="str">
        <f>VLOOKUP(VHK111,[13]AssetDetails_UEM!$A$3:$AH$1849,6,FALSE)</f>
        <v>Electrosurgical Units, Monopolar/Bipolar</v>
      </c>
      <c r="VHM111" s="179" t="s">
        <v>428</v>
      </c>
      <c r="VHN111" s="180" t="str">
        <f>VLOOKUP(VHM111,[13]AssetDetails_UEM!$A$3:$AH$1849,6,FALSE)</f>
        <v>Electrosurgical Units, Monopolar/Bipolar</v>
      </c>
      <c r="VHO111" s="179" t="s">
        <v>428</v>
      </c>
      <c r="VHP111" s="180" t="str">
        <f>VLOOKUP(VHO111,[13]AssetDetails_UEM!$A$3:$AH$1849,6,FALSE)</f>
        <v>Electrosurgical Units, Monopolar/Bipolar</v>
      </c>
      <c r="VHQ111" s="179" t="s">
        <v>428</v>
      </c>
      <c r="VHR111" s="180" t="str">
        <f>VLOOKUP(VHQ111,[13]AssetDetails_UEM!$A$3:$AH$1849,6,FALSE)</f>
        <v>Electrosurgical Units, Monopolar/Bipolar</v>
      </c>
      <c r="VHS111" s="179" t="s">
        <v>428</v>
      </c>
      <c r="VHT111" s="180" t="str">
        <f>VLOOKUP(VHS111,[13]AssetDetails_UEM!$A$3:$AH$1849,6,FALSE)</f>
        <v>Electrosurgical Units, Monopolar/Bipolar</v>
      </c>
      <c r="VHU111" s="179" t="s">
        <v>428</v>
      </c>
      <c r="VHV111" s="180" t="str">
        <f>VLOOKUP(VHU111,[13]AssetDetails_UEM!$A$3:$AH$1849,6,FALSE)</f>
        <v>Electrosurgical Units, Monopolar/Bipolar</v>
      </c>
      <c r="VHW111" s="179" t="s">
        <v>428</v>
      </c>
      <c r="VHX111" s="180" t="str">
        <f>VLOOKUP(VHW111,[13]AssetDetails_UEM!$A$3:$AH$1849,6,FALSE)</f>
        <v>Electrosurgical Units, Monopolar/Bipolar</v>
      </c>
      <c r="VHY111" s="179" t="s">
        <v>428</v>
      </c>
      <c r="VHZ111" s="180" t="str">
        <f>VLOOKUP(VHY111,[13]AssetDetails_UEM!$A$3:$AH$1849,6,FALSE)</f>
        <v>Electrosurgical Units, Monopolar/Bipolar</v>
      </c>
      <c r="VIA111" s="179" t="s">
        <v>428</v>
      </c>
      <c r="VIB111" s="180" t="str">
        <f>VLOOKUP(VIA111,[13]AssetDetails_UEM!$A$3:$AH$1849,6,FALSE)</f>
        <v>Electrosurgical Units, Monopolar/Bipolar</v>
      </c>
      <c r="VIC111" s="179" t="s">
        <v>428</v>
      </c>
      <c r="VID111" s="180" t="str">
        <f>VLOOKUP(VIC111,[13]AssetDetails_UEM!$A$3:$AH$1849,6,FALSE)</f>
        <v>Electrosurgical Units, Monopolar/Bipolar</v>
      </c>
      <c r="VIE111" s="179" t="s">
        <v>428</v>
      </c>
      <c r="VIF111" s="180" t="str">
        <f>VLOOKUP(VIE111,[13]AssetDetails_UEM!$A$3:$AH$1849,6,FALSE)</f>
        <v>Electrosurgical Units, Monopolar/Bipolar</v>
      </c>
      <c r="VIG111" s="179" t="s">
        <v>428</v>
      </c>
      <c r="VIH111" s="180" t="str">
        <f>VLOOKUP(VIG111,[13]AssetDetails_UEM!$A$3:$AH$1849,6,FALSE)</f>
        <v>Electrosurgical Units, Monopolar/Bipolar</v>
      </c>
      <c r="VII111" s="179" t="s">
        <v>428</v>
      </c>
      <c r="VIJ111" s="180" t="str">
        <f>VLOOKUP(VII111,[13]AssetDetails_UEM!$A$3:$AH$1849,6,FALSE)</f>
        <v>Electrosurgical Units, Monopolar/Bipolar</v>
      </c>
      <c r="VIK111" s="179" t="s">
        <v>428</v>
      </c>
      <c r="VIL111" s="180" t="str">
        <f>VLOOKUP(VIK111,[13]AssetDetails_UEM!$A$3:$AH$1849,6,FALSE)</f>
        <v>Electrosurgical Units, Monopolar/Bipolar</v>
      </c>
      <c r="VIM111" s="179" t="s">
        <v>428</v>
      </c>
      <c r="VIN111" s="180" t="str">
        <f>VLOOKUP(VIM111,[13]AssetDetails_UEM!$A$3:$AH$1849,6,FALSE)</f>
        <v>Electrosurgical Units, Monopolar/Bipolar</v>
      </c>
      <c r="VIO111" s="179" t="s">
        <v>428</v>
      </c>
      <c r="VIP111" s="180" t="str">
        <f>VLOOKUP(VIO111,[13]AssetDetails_UEM!$A$3:$AH$1849,6,FALSE)</f>
        <v>Electrosurgical Units, Monopolar/Bipolar</v>
      </c>
      <c r="VIQ111" s="179" t="s">
        <v>428</v>
      </c>
      <c r="VIR111" s="180" t="str">
        <f>VLOOKUP(VIQ111,[13]AssetDetails_UEM!$A$3:$AH$1849,6,FALSE)</f>
        <v>Electrosurgical Units, Monopolar/Bipolar</v>
      </c>
      <c r="VIS111" s="179" t="s">
        <v>428</v>
      </c>
      <c r="VIT111" s="180" t="str">
        <f>VLOOKUP(VIS111,[13]AssetDetails_UEM!$A$3:$AH$1849,6,FALSE)</f>
        <v>Electrosurgical Units, Monopolar/Bipolar</v>
      </c>
      <c r="VIU111" s="179" t="s">
        <v>428</v>
      </c>
      <c r="VIV111" s="180" t="str">
        <f>VLOOKUP(VIU111,[13]AssetDetails_UEM!$A$3:$AH$1849,6,FALSE)</f>
        <v>Electrosurgical Units, Monopolar/Bipolar</v>
      </c>
      <c r="VIW111" s="179" t="s">
        <v>428</v>
      </c>
      <c r="VIX111" s="180" t="str">
        <f>VLOOKUP(VIW111,[13]AssetDetails_UEM!$A$3:$AH$1849,6,FALSE)</f>
        <v>Electrosurgical Units, Monopolar/Bipolar</v>
      </c>
      <c r="VIY111" s="179" t="s">
        <v>428</v>
      </c>
      <c r="VIZ111" s="180" t="str">
        <f>VLOOKUP(VIY111,[13]AssetDetails_UEM!$A$3:$AH$1849,6,FALSE)</f>
        <v>Electrosurgical Units, Monopolar/Bipolar</v>
      </c>
      <c r="VJA111" s="179" t="s">
        <v>428</v>
      </c>
      <c r="VJB111" s="180" t="str">
        <f>VLOOKUP(VJA111,[13]AssetDetails_UEM!$A$3:$AH$1849,6,FALSE)</f>
        <v>Electrosurgical Units, Monopolar/Bipolar</v>
      </c>
      <c r="VJC111" s="179" t="s">
        <v>428</v>
      </c>
      <c r="VJD111" s="180" t="str">
        <f>VLOOKUP(VJC111,[13]AssetDetails_UEM!$A$3:$AH$1849,6,FALSE)</f>
        <v>Electrosurgical Units, Monopolar/Bipolar</v>
      </c>
      <c r="VJE111" s="179" t="s">
        <v>428</v>
      </c>
      <c r="VJF111" s="180" t="str">
        <f>VLOOKUP(VJE111,[13]AssetDetails_UEM!$A$3:$AH$1849,6,FALSE)</f>
        <v>Electrosurgical Units, Monopolar/Bipolar</v>
      </c>
      <c r="VJG111" s="179" t="s">
        <v>428</v>
      </c>
      <c r="VJH111" s="180" t="str">
        <f>VLOOKUP(VJG111,[13]AssetDetails_UEM!$A$3:$AH$1849,6,FALSE)</f>
        <v>Electrosurgical Units, Monopolar/Bipolar</v>
      </c>
      <c r="VJI111" s="179" t="s">
        <v>428</v>
      </c>
      <c r="VJJ111" s="180" t="str">
        <f>VLOOKUP(VJI111,[13]AssetDetails_UEM!$A$3:$AH$1849,6,FALSE)</f>
        <v>Electrosurgical Units, Monopolar/Bipolar</v>
      </c>
      <c r="VJK111" s="179" t="s">
        <v>428</v>
      </c>
      <c r="VJL111" s="180" t="str">
        <f>VLOOKUP(VJK111,[13]AssetDetails_UEM!$A$3:$AH$1849,6,FALSE)</f>
        <v>Electrosurgical Units, Monopolar/Bipolar</v>
      </c>
      <c r="VJM111" s="179" t="s">
        <v>428</v>
      </c>
      <c r="VJN111" s="180" t="str">
        <f>VLOOKUP(VJM111,[13]AssetDetails_UEM!$A$3:$AH$1849,6,FALSE)</f>
        <v>Electrosurgical Units, Monopolar/Bipolar</v>
      </c>
      <c r="VJO111" s="179" t="s">
        <v>428</v>
      </c>
      <c r="VJP111" s="180" t="str">
        <f>VLOOKUP(VJO111,[13]AssetDetails_UEM!$A$3:$AH$1849,6,FALSE)</f>
        <v>Electrosurgical Units, Monopolar/Bipolar</v>
      </c>
      <c r="VJQ111" s="179" t="s">
        <v>428</v>
      </c>
      <c r="VJR111" s="180" t="str">
        <f>VLOOKUP(VJQ111,[13]AssetDetails_UEM!$A$3:$AH$1849,6,FALSE)</f>
        <v>Electrosurgical Units, Monopolar/Bipolar</v>
      </c>
      <c r="VJS111" s="179" t="s">
        <v>428</v>
      </c>
      <c r="VJT111" s="180" t="str">
        <f>VLOOKUP(VJS111,[13]AssetDetails_UEM!$A$3:$AH$1849,6,FALSE)</f>
        <v>Electrosurgical Units, Monopolar/Bipolar</v>
      </c>
      <c r="VJU111" s="179" t="s">
        <v>428</v>
      </c>
      <c r="VJV111" s="180" t="str">
        <f>VLOOKUP(VJU111,[13]AssetDetails_UEM!$A$3:$AH$1849,6,FALSE)</f>
        <v>Electrosurgical Units, Monopolar/Bipolar</v>
      </c>
      <c r="VJW111" s="179" t="s">
        <v>428</v>
      </c>
      <c r="VJX111" s="180" t="str">
        <f>VLOOKUP(VJW111,[13]AssetDetails_UEM!$A$3:$AH$1849,6,FALSE)</f>
        <v>Electrosurgical Units, Monopolar/Bipolar</v>
      </c>
      <c r="VJY111" s="179" t="s">
        <v>428</v>
      </c>
      <c r="VJZ111" s="180" t="str">
        <f>VLOOKUP(VJY111,[13]AssetDetails_UEM!$A$3:$AH$1849,6,FALSE)</f>
        <v>Electrosurgical Units, Monopolar/Bipolar</v>
      </c>
      <c r="VKA111" s="179" t="s">
        <v>428</v>
      </c>
      <c r="VKB111" s="180" t="str">
        <f>VLOOKUP(VKA111,[13]AssetDetails_UEM!$A$3:$AH$1849,6,FALSE)</f>
        <v>Electrosurgical Units, Monopolar/Bipolar</v>
      </c>
      <c r="VKC111" s="179" t="s">
        <v>428</v>
      </c>
      <c r="VKD111" s="180" t="str">
        <f>VLOOKUP(VKC111,[13]AssetDetails_UEM!$A$3:$AH$1849,6,FALSE)</f>
        <v>Electrosurgical Units, Monopolar/Bipolar</v>
      </c>
      <c r="VKE111" s="179" t="s">
        <v>428</v>
      </c>
      <c r="VKF111" s="180" t="str">
        <f>VLOOKUP(VKE111,[13]AssetDetails_UEM!$A$3:$AH$1849,6,FALSE)</f>
        <v>Electrosurgical Units, Monopolar/Bipolar</v>
      </c>
      <c r="VKG111" s="179" t="s">
        <v>428</v>
      </c>
      <c r="VKH111" s="180" t="str">
        <f>VLOOKUP(VKG111,[13]AssetDetails_UEM!$A$3:$AH$1849,6,FALSE)</f>
        <v>Electrosurgical Units, Monopolar/Bipolar</v>
      </c>
      <c r="VKI111" s="179" t="s">
        <v>428</v>
      </c>
      <c r="VKJ111" s="180" t="str">
        <f>VLOOKUP(VKI111,[13]AssetDetails_UEM!$A$3:$AH$1849,6,FALSE)</f>
        <v>Electrosurgical Units, Monopolar/Bipolar</v>
      </c>
      <c r="VKK111" s="179" t="s">
        <v>428</v>
      </c>
      <c r="VKL111" s="180" t="str">
        <f>VLOOKUP(VKK111,[13]AssetDetails_UEM!$A$3:$AH$1849,6,FALSE)</f>
        <v>Electrosurgical Units, Monopolar/Bipolar</v>
      </c>
      <c r="VKM111" s="179" t="s">
        <v>428</v>
      </c>
      <c r="VKN111" s="180" t="str">
        <f>VLOOKUP(VKM111,[13]AssetDetails_UEM!$A$3:$AH$1849,6,FALSE)</f>
        <v>Electrosurgical Units, Monopolar/Bipolar</v>
      </c>
      <c r="VKO111" s="179" t="s">
        <v>428</v>
      </c>
      <c r="VKP111" s="180" t="str">
        <f>VLOOKUP(VKO111,[13]AssetDetails_UEM!$A$3:$AH$1849,6,FALSE)</f>
        <v>Electrosurgical Units, Monopolar/Bipolar</v>
      </c>
      <c r="VKQ111" s="179" t="s">
        <v>428</v>
      </c>
      <c r="VKR111" s="180" t="str">
        <f>VLOOKUP(VKQ111,[13]AssetDetails_UEM!$A$3:$AH$1849,6,FALSE)</f>
        <v>Electrosurgical Units, Monopolar/Bipolar</v>
      </c>
      <c r="VKS111" s="179" t="s">
        <v>428</v>
      </c>
      <c r="VKT111" s="180" t="str">
        <f>VLOOKUP(VKS111,[13]AssetDetails_UEM!$A$3:$AH$1849,6,FALSE)</f>
        <v>Electrosurgical Units, Monopolar/Bipolar</v>
      </c>
      <c r="VKU111" s="179" t="s">
        <v>428</v>
      </c>
      <c r="VKV111" s="180" t="str">
        <f>VLOOKUP(VKU111,[13]AssetDetails_UEM!$A$3:$AH$1849,6,FALSE)</f>
        <v>Electrosurgical Units, Monopolar/Bipolar</v>
      </c>
      <c r="VKW111" s="179" t="s">
        <v>428</v>
      </c>
      <c r="VKX111" s="180" t="str">
        <f>VLOOKUP(VKW111,[13]AssetDetails_UEM!$A$3:$AH$1849,6,FALSE)</f>
        <v>Electrosurgical Units, Monopolar/Bipolar</v>
      </c>
      <c r="VKY111" s="179" t="s">
        <v>428</v>
      </c>
      <c r="VKZ111" s="180" t="str">
        <f>VLOOKUP(VKY111,[13]AssetDetails_UEM!$A$3:$AH$1849,6,FALSE)</f>
        <v>Electrosurgical Units, Monopolar/Bipolar</v>
      </c>
      <c r="VLA111" s="179" t="s">
        <v>428</v>
      </c>
      <c r="VLB111" s="180" t="str">
        <f>VLOOKUP(VLA111,[13]AssetDetails_UEM!$A$3:$AH$1849,6,FALSE)</f>
        <v>Electrosurgical Units, Monopolar/Bipolar</v>
      </c>
      <c r="VLC111" s="179" t="s">
        <v>428</v>
      </c>
      <c r="VLD111" s="180" t="str">
        <f>VLOOKUP(VLC111,[13]AssetDetails_UEM!$A$3:$AH$1849,6,FALSE)</f>
        <v>Electrosurgical Units, Monopolar/Bipolar</v>
      </c>
      <c r="VLE111" s="179" t="s">
        <v>428</v>
      </c>
      <c r="VLF111" s="180" t="str">
        <f>VLOOKUP(VLE111,[13]AssetDetails_UEM!$A$3:$AH$1849,6,FALSE)</f>
        <v>Electrosurgical Units, Monopolar/Bipolar</v>
      </c>
      <c r="VLG111" s="179" t="s">
        <v>428</v>
      </c>
      <c r="VLH111" s="180" t="str">
        <f>VLOOKUP(VLG111,[13]AssetDetails_UEM!$A$3:$AH$1849,6,FALSE)</f>
        <v>Electrosurgical Units, Monopolar/Bipolar</v>
      </c>
      <c r="VLI111" s="179" t="s">
        <v>428</v>
      </c>
      <c r="VLJ111" s="180" t="str">
        <f>VLOOKUP(VLI111,[13]AssetDetails_UEM!$A$3:$AH$1849,6,FALSE)</f>
        <v>Electrosurgical Units, Monopolar/Bipolar</v>
      </c>
      <c r="VLK111" s="179" t="s">
        <v>428</v>
      </c>
      <c r="VLL111" s="180" t="str">
        <f>VLOOKUP(VLK111,[13]AssetDetails_UEM!$A$3:$AH$1849,6,FALSE)</f>
        <v>Electrosurgical Units, Monopolar/Bipolar</v>
      </c>
      <c r="VLM111" s="179" t="s">
        <v>428</v>
      </c>
      <c r="VLN111" s="180" t="str">
        <f>VLOOKUP(VLM111,[13]AssetDetails_UEM!$A$3:$AH$1849,6,FALSE)</f>
        <v>Electrosurgical Units, Monopolar/Bipolar</v>
      </c>
      <c r="VLO111" s="179" t="s">
        <v>428</v>
      </c>
      <c r="VLP111" s="180" t="str">
        <f>VLOOKUP(VLO111,[13]AssetDetails_UEM!$A$3:$AH$1849,6,FALSE)</f>
        <v>Electrosurgical Units, Monopolar/Bipolar</v>
      </c>
      <c r="VLQ111" s="179" t="s">
        <v>428</v>
      </c>
      <c r="VLR111" s="180" t="str">
        <f>VLOOKUP(VLQ111,[13]AssetDetails_UEM!$A$3:$AH$1849,6,FALSE)</f>
        <v>Electrosurgical Units, Monopolar/Bipolar</v>
      </c>
      <c r="VLS111" s="179" t="s">
        <v>428</v>
      </c>
      <c r="VLT111" s="180" t="str">
        <f>VLOOKUP(VLS111,[13]AssetDetails_UEM!$A$3:$AH$1849,6,FALSE)</f>
        <v>Electrosurgical Units, Monopolar/Bipolar</v>
      </c>
      <c r="VLU111" s="179" t="s">
        <v>428</v>
      </c>
      <c r="VLV111" s="180" t="str">
        <f>VLOOKUP(VLU111,[13]AssetDetails_UEM!$A$3:$AH$1849,6,FALSE)</f>
        <v>Electrosurgical Units, Monopolar/Bipolar</v>
      </c>
      <c r="VLW111" s="179" t="s">
        <v>428</v>
      </c>
      <c r="VLX111" s="180" t="str">
        <f>VLOOKUP(VLW111,[13]AssetDetails_UEM!$A$3:$AH$1849,6,FALSE)</f>
        <v>Electrosurgical Units, Monopolar/Bipolar</v>
      </c>
      <c r="VLY111" s="179" t="s">
        <v>428</v>
      </c>
      <c r="VLZ111" s="180" t="str">
        <f>VLOOKUP(VLY111,[13]AssetDetails_UEM!$A$3:$AH$1849,6,FALSE)</f>
        <v>Electrosurgical Units, Monopolar/Bipolar</v>
      </c>
      <c r="VMA111" s="179" t="s">
        <v>428</v>
      </c>
      <c r="VMB111" s="180" t="str">
        <f>VLOOKUP(VMA111,[13]AssetDetails_UEM!$A$3:$AH$1849,6,FALSE)</f>
        <v>Electrosurgical Units, Monopolar/Bipolar</v>
      </c>
      <c r="VMC111" s="179" t="s">
        <v>428</v>
      </c>
      <c r="VMD111" s="180" t="str">
        <f>VLOOKUP(VMC111,[13]AssetDetails_UEM!$A$3:$AH$1849,6,FALSE)</f>
        <v>Electrosurgical Units, Monopolar/Bipolar</v>
      </c>
      <c r="VME111" s="179" t="s">
        <v>428</v>
      </c>
      <c r="VMF111" s="180" t="str">
        <f>VLOOKUP(VME111,[13]AssetDetails_UEM!$A$3:$AH$1849,6,FALSE)</f>
        <v>Electrosurgical Units, Monopolar/Bipolar</v>
      </c>
      <c r="VMG111" s="179" t="s">
        <v>428</v>
      </c>
      <c r="VMH111" s="180" t="str">
        <f>VLOOKUP(VMG111,[13]AssetDetails_UEM!$A$3:$AH$1849,6,FALSE)</f>
        <v>Electrosurgical Units, Monopolar/Bipolar</v>
      </c>
      <c r="VMI111" s="179" t="s">
        <v>428</v>
      </c>
      <c r="VMJ111" s="180" t="str">
        <f>VLOOKUP(VMI111,[13]AssetDetails_UEM!$A$3:$AH$1849,6,FALSE)</f>
        <v>Electrosurgical Units, Monopolar/Bipolar</v>
      </c>
      <c r="VMK111" s="179" t="s">
        <v>428</v>
      </c>
      <c r="VML111" s="180" t="str">
        <f>VLOOKUP(VMK111,[13]AssetDetails_UEM!$A$3:$AH$1849,6,FALSE)</f>
        <v>Electrosurgical Units, Monopolar/Bipolar</v>
      </c>
      <c r="VMM111" s="179" t="s">
        <v>428</v>
      </c>
      <c r="VMN111" s="180" t="str">
        <f>VLOOKUP(VMM111,[13]AssetDetails_UEM!$A$3:$AH$1849,6,FALSE)</f>
        <v>Electrosurgical Units, Monopolar/Bipolar</v>
      </c>
      <c r="VMO111" s="179" t="s">
        <v>428</v>
      </c>
      <c r="VMP111" s="180" t="str">
        <f>VLOOKUP(VMO111,[13]AssetDetails_UEM!$A$3:$AH$1849,6,FALSE)</f>
        <v>Electrosurgical Units, Monopolar/Bipolar</v>
      </c>
      <c r="VMQ111" s="179" t="s">
        <v>428</v>
      </c>
      <c r="VMR111" s="180" t="str">
        <f>VLOOKUP(VMQ111,[13]AssetDetails_UEM!$A$3:$AH$1849,6,FALSE)</f>
        <v>Electrosurgical Units, Monopolar/Bipolar</v>
      </c>
      <c r="VMS111" s="179" t="s">
        <v>428</v>
      </c>
      <c r="VMT111" s="180" t="str">
        <f>VLOOKUP(VMS111,[13]AssetDetails_UEM!$A$3:$AH$1849,6,FALSE)</f>
        <v>Electrosurgical Units, Monopolar/Bipolar</v>
      </c>
      <c r="VMU111" s="179" t="s">
        <v>428</v>
      </c>
      <c r="VMV111" s="180" t="str">
        <f>VLOOKUP(VMU111,[13]AssetDetails_UEM!$A$3:$AH$1849,6,FALSE)</f>
        <v>Electrosurgical Units, Monopolar/Bipolar</v>
      </c>
      <c r="VMW111" s="179" t="s">
        <v>428</v>
      </c>
      <c r="VMX111" s="180" t="str">
        <f>VLOOKUP(VMW111,[13]AssetDetails_UEM!$A$3:$AH$1849,6,FALSE)</f>
        <v>Electrosurgical Units, Monopolar/Bipolar</v>
      </c>
      <c r="VMY111" s="179" t="s">
        <v>428</v>
      </c>
      <c r="VMZ111" s="180" t="str">
        <f>VLOOKUP(VMY111,[13]AssetDetails_UEM!$A$3:$AH$1849,6,FALSE)</f>
        <v>Electrosurgical Units, Monopolar/Bipolar</v>
      </c>
      <c r="VNA111" s="179" t="s">
        <v>428</v>
      </c>
      <c r="VNB111" s="180" t="str">
        <f>VLOOKUP(VNA111,[13]AssetDetails_UEM!$A$3:$AH$1849,6,FALSE)</f>
        <v>Electrosurgical Units, Monopolar/Bipolar</v>
      </c>
      <c r="VNC111" s="179" t="s">
        <v>428</v>
      </c>
      <c r="VND111" s="180" t="str">
        <f>VLOOKUP(VNC111,[13]AssetDetails_UEM!$A$3:$AH$1849,6,FALSE)</f>
        <v>Electrosurgical Units, Monopolar/Bipolar</v>
      </c>
      <c r="VNE111" s="179" t="s">
        <v>428</v>
      </c>
      <c r="VNF111" s="180" t="str">
        <f>VLOOKUP(VNE111,[13]AssetDetails_UEM!$A$3:$AH$1849,6,FALSE)</f>
        <v>Electrosurgical Units, Monopolar/Bipolar</v>
      </c>
      <c r="VNG111" s="179" t="s">
        <v>428</v>
      </c>
      <c r="VNH111" s="180" t="str">
        <f>VLOOKUP(VNG111,[13]AssetDetails_UEM!$A$3:$AH$1849,6,FALSE)</f>
        <v>Electrosurgical Units, Monopolar/Bipolar</v>
      </c>
      <c r="VNI111" s="179" t="s">
        <v>428</v>
      </c>
      <c r="VNJ111" s="180" t="str">
        <f>VLOOKUP(VNI111,[13]AssetDetails_UEM!$A$3:$AH$1849,6,FALSE)</f>
        <v>Electrosurgical Units, Monopolar/Bipolar</v>
      </c>
      <c r="VNK111" s="179" t="s">
        <v>428</v>
      </c>
      <c r="VNL111" s="180" t="str">
        <f>VLOOKUP(VNK111,[13]AssetDetails_UEM!$A$3:$AH$1849,6,FALSE)</f>
        <v>Electrosurgical Units, Monopolar/Bipolar</v>
      </c>
      <c r="VNM111" s="179" t="s">
        <v>428</v>
      </c>
      <c r="VNN111" s="180" t="str">
        <f>VLOOKUP(VNM111,[13]AssetDetails_UEM!$A$3:$AH$1849,6,FALSE)</f>
        <v>Electrosurgical Units, Monopolar/Bipolar</v>
      </c>
      <c r="VNO111" s="179" t="s">
        <v>428</v>
      </c>
      <c r="VNP111" s="180" t="str">
        <f>VLOOKUP(VNO111,[13]AssetDetails_UEM!$A$3:$AH$1849,6,FALSE)</f>
        <v>Electrosurgical Units, Monopolar/Bipolar</v>
      </c>
      <c r="VNQ111" s="179" t="s">
        <v>428</v>
      </c>
      <c r="VNR111" s="180" t="str">
        <f>VLOOKUP(VNQ111,[13]AssetDetails_UEM!$A$3:$AH$1849,6,FALSE)</f>
        <v>Electrosurgical Units, Monopolar/Bipolar</v>
      </c>
      <c r="VNS111" s="179" t="s">
        <v>428</v>
      </c>
      <c r="VNT111" s="180" t="str">
        <f>VLOOKUP(VNS111,[13]AssetDetails_UEM!$A$3:$AH$1849,6,FALSE)</f>
        <v>Electrosurgical Units, Monopolar/Bipolar</v>
      </c>
      <c r="VNU111" s="179" t="s">
        <v>428</v>
      </c>
      <c r="VNV111" s="180" t="str">
        <f>VLOOKUP(VNU111,[13]AssetDetails_UEM!$A$3:$AH$1849,6,FALSE)</f>
        <v>Electrosurgical Units, Monopolar/Bipolar</v>
      </c>
      <c r="VNW111" s="179" t="s">
        <v>428</v>
      </c>
      <c r="VNX111" s="180" t="str">
        <f>VLOOKUP(VNW111,[13]AssetDetails_UEM!$A$3:$AH$1849,6,FALSE)</f>
        <v>Electrosurgical Units, Monopolar/Bipolar</v>
      </c>
      <c r="VNY111" s="179" t="s">
        <v>428</v>
      </c>
      <c r="VNZ111" s="180" t="str">
        <f>VLOOKUP(VNY111,[13]AssetDetails_UEM!$A$3:$AH$1849,6,FALSE)</f>
        <v>Electrosurgical Units, Monopolar/Bipolar</v>
      </c>
      <c r="VOA111" s="179" t="s">
        <v>428</v>
      </c>
      <c r="VOB111" s="180" t="str">
        <f>VLOOKUP(VOA111,[13]AssetDetails_UEM!$A$3:$AH$1849,6,FALSE)</f>
        <v>Electrosurgical Units, Monopolar/Bipolar</v>
      </c>
      <c r="VOC111" s="179" t="s">
        <v>428</v>
      </c>
      <c r="VOD111" s="180" t="str">
        <f>VLOOKUP(VOC111,[13]AssetDetails_UEM!$A$3:$AH$1849,6,FALSE)</f>
        <v>Electrosurgical Units, Monopolar/Bipolar</v>
      </c>
      <c r="VOE111" s="179" t="s">
        <v>428</v>
      </c>
      <c r="VOF111" s="180" t="str">
        <f>VLOOKUP(VOE111,[13]AssetDetails_UEM!$A$3:$AH$1849,6,FALSE)</f>
        <v>Electrosurgical Units, Monopolar/Bipolar</v>
      </c>
      <c r="VOG111" s="179" t="s">
        <v>428</v>
      </c>
      <c r="VOH111" s="180" t="str">
        <f>VLOOKUP(VOG111,[13]AssetDetails_UEM!$A$3:$AH$1849,6,FALSE)</f>
        <v>Electrosurgical Units, Monopolar/Bipolar</v>
      </c>
      <c r="VOI111" s="179" t="s">
        <v>428</v>
      </c>
      <c r="VOJ111" s="180" t="str">
        <f>VLOOKUP(VOI111,[13]AssetDetails_UEM!$A$3:$AH$1849,6,FALSE)</f>
        <v>Electrosurgical Units, Monopolar/Bipolar</v>
      </c>
      <c r="VOK111" s="179" t="s">
        <v>428</v>
      </c>
      <c r="VOL111" s="180" t="str">
        <f>VLOOKUP(VOK111,[13]AssetDetails_UEM!$A$3:$AH$1849,6,FALSE)</f>
        <v>Electrosurgical Units, Monopolar/Bipolar</v>
      </c>
      <c r="VOM111" s="179" t="s">
        <v>428</v>
      </c>
      <c r="VON111" s="180" t="str">
        <f>VLOOKUP(VOM111,[13]AssetDetails_UEM!$A$3:$AH$1849,6,FALSE)</f>
        <v>Electrosurgical Units, Monopolar/Bipolar</v>
      </c>
      <c r="VOO111" s="179" t="s">
        <v>428</v>
      </c>
      <c r="VOP111" s="180" t="str">
        <f>VLOOKUP(VOO111,[13]AssetDetails_UEM!$A$3:$AH$1849,6,FALSE)</f>
        <v>Electrosurgical Units, Monopolar/Bipolar</v>
      </c>
      <c r="VOQ111" s="179" t="s">
        <v>428</v>
      </c>
      <c r="VOR111" s="180" t="str">
        <f>VLOOKUP(VOQ111,[13]AssetDetails_UEM!$A$3:$AH$1849,6,FALSE)</f>
        <v>Electrosurgical Units, Monopolar/Bipolar</v>
      </c>
      <c r="VOS111" s="179" t="s">
        <v>428</v>
      </c>
      <c r="VOT111" s="180" t="str">
        <f>VLOOKUP(VOS111,[13]AssetDetails_UEM!$A$3:$AH$1849,6,FALSE)</f>
        <v>Electrosurgical Units, Monopolar/Bipolar</v>
      </c>
      <c r="VOU111" s="179" t="s">
        <v>428</v>
      </c>
      <c r="VOV111" s="180" t="str">
        <f>VLOOKUP(VOU111,[13]AssetDetails_UEM!$A$3:$AH$1849,6,FALSE)</f>
        <v>Electrosurgical Units, Monopolar/Bipolar</v>
      </c>
      <c r="VOW111" s="179" t="s">
        <v>428</v>
      </c>
      <c r="VOX111" s="180" t="str">
        <f>VLOOKUP(VOW111,[13]AssetDetails_UEM!$A$3:$AH$1849,6,FALSE)</f>
        <v>Electrosurgical Units, Monopolar/Bipolar</v>
      </c>
      <c r="VOY111" s="179" t="s">
        <v>428</v>
      </c>
      <c r="VOZ111" s="180" t="str">
        <f>VLOOKUP(VOY111,[13]AssetDetails_UEM!$A$3:$AH$1849,6,FALSE)</f>
        <v>Electrosurgical Units, Monopolar/Bipolar</v>
      </c>
      <c r="VPA111" s="179" t="s">
        <v>428</v>
      </c>
      <c r="VPB111" s="180" t="str">
        <f>VLOOKUP(VPA111,[13]AssetDetails_UEM!$A$3:$AH$1849,6,FALSE)</f>
        <v>Electrosurgical Units, Monopolar/Bipolar</v>
      </c>
      <c r="VPC111" s="179" t="s">
        <v>428</v>
      </c>
      <c r="VPD111" s="180" t="str">
        <f>VLOOKUP(VPC111,[13]AssetDetails_UEM!$A$3:$AH$1849,6,FALSE)</f>
        <v>Electrosurgical Units, Monopolar/Bipolar</v>
      </c>
      <c r="VPE111" s="179" t="s">
        <v>428</v>
      </c>
      <c r="VPF111" s="180" t="str">
        <f>VLOOKUP(VPE111,[13]AssetDetails_UEM!$A$3:$AH$1849,6,FALSE)</f>
        <v>Electrosurgical Units, Monopolar/Bipolar</v>
      </c>
      <c r="VPG111" s="179" t="s">
        <v>428</v>
      </c>
      <c r="VPH111" s="180" t="str">
        <f>VLOOKUP(VPG111,[13]AssetDetails_UEM!$A$3:$AH$1849,6,FALSE)</f>
        <v>Electrosurgical Units, Monopolar/Bipolar</v>
      </c>
      <c r="VPI111" s="179" t="s">
        <v>428</v>
      </c>
      <c r="VPJ111" s="180" t="str">
        <f>VLOOKUP(VPI111,[13]AssetDetails_UEM!$A$3:$AH$1849,6,FALSE)</f>
        <v>Electrosurgical Units, Monopolar/Bipolar</v>
      </c>
      <c r="VPK111" s="179" t="s">
        <v>428</v>
      </c>
      <c r="VPL111" s="180" t="str">
        <f>VLOOKUP(VPK111,[13]AssetDetails_UEM!$A$3:$AH$1849,6,FALSE)</f>
        <v>Electrosurgical Units, Monopolar/Bipolar</v>
      </c>
      <c r="VPM111" s="179" t="s">
        <v>428</v>
      </c>
      <c r="VPN111" s="180" t="str">
        <f>VLOOKUP(VPM111,[13]AssetDetails_UEM!$A$3:$AH$1849,6,FALSE)</f>
        <v>Electrosurgical Units, Monopolar/Bipolar</v>
      </c>
      <c r="VPO111" s="179" t="s">
        <v>428</v>
      </c>
      <c r="VPP111" s="180" t="str">
        <f>VLOOKUP(VPO111,[13]AssetDetails_UEM!$A$3:$AH$1849,6,FALSE)</f>
        <v>Electrosurgical Units, Monopolar/Bipolar</v>
      </c>
      <c r="VPQ111" s="179" t="s">
        <v>428</v>
      </c>
      <c r="VPR111" s="180" t="str">
        <f>VLOOKUP(VPQ111,[13]AssetDetails_UEM!$A$3:$AH$1849,6,FALSE)</f>
        <v>Electrosurgical Units, Monopolar/Bipolar</v>
      </c>
      <c r="VPS111" s="179" t="s">
        <v>428</v>
      </c>
      <c r="VPT111" s="180" t="str">
        <f>VLOOKUP(VPS111,[13]AssetDetails_UEM!$A$3:$AH$1849,6,FALSE)</f>
        <v>Electrosurgical Units, Monopolar/Bipolar</v>
      </c>
      <c r="VPU111" s="179" t="s">
        <v>428</v>
      </c>
      <c r="VPV111" s="180" t="str">
        <f>VLOOKUP(VPU111,[13]AssetDetails_UEM!$A$3:$AH$1849,6,FALSE)</f>
        <v>Electrosurgical Units, Monopolar/Bipolar</v>
      </c>
      <c r="VPW111" s="179" t="s">
        <v>428</v>
      </c>
      <c r="VPX111" s="180" t="str">
        <f>VLOOKUP(VPW111,[13]AssetDetails_UEM!$A$3:$AH$1849,6,FALSE)</f>
        <v>Electrosurgical Units, Monopolar/Bipolar</v>
      </c>
      <c r="VPY111" s="179" t="s">
        <v>428</v>
      </c>
      <c r="VPZ111" s="180" t="str">
        <f>VLOOKUP(VPY111,[13]AssetDetails_UEM!$A$3:$AH$1849,6,FALSE)</f>
        <v>Electrosurgical Units, Monopolar/Bipolar</v>
      </c>
      <c r="VQA111" s="179" t="s">
        <v>428</v>
      </c>
      <c r="VQB111" s="180" t="str">
        <f>VLOOKUP(VQA111,[13]AssetDetails_UEM!$A$3:$AH$1849,6,FALSE)</f>
        <v>Electrosurgical Units, Monopolar/Bipolar</v>
      </c>
      <c r="VQC111" s="179" t="s">
        <v>428</v>
      </c>
      <c r="VQD111" s="180" t="str">
        <f>VLOOKUP(VQC111,[13]AssetDetails_UEM!$A$3:$AH$1849,6,FALSE)</f>
        <v>Electrosurgical Units, Monopolar/Bipolar</v>
      </c>
      <c r="VQE111" s="179" t="s">
        <v>428</v>
      </c>
      <c r="VQF111" s="180" t="str">
        <f>VLOOKUP(VQE111,[13]AssetDetails_UEM!$A$3:$AH$1849,6,FALSE)</f>
        <v>Electrosurgical Units, Monopolar/Bipolar</v>
      </c>
      <c r="VQG111" s="179" t="s">
        <v>428</v>
      </c>
      <c r="VQH111" s="180" t="str">
        <f>VLOOKUP(VQG111,[13]AssetDetails_UEM!$A$3:$AH$1849,6,FALSE)</f>
        <v>Electrosurgical Units, Monopolar/Bipolar</v>
      </c>
      <c r="VQI111" s="179" t="s">
        <v>428</v>
      </c>
      <c r="VQJ111" s="180" t="str">
        <f>VLOOKUP(VQI111,[13]AssetDetails_UEM!$A$3:$AH$1849,6,FALSE)</f>
        <v>Electrosurgical Units, Monopolar/Bipolar</v>
      </c>
      <c r="VQK111" s="179" t="s">
        <v>428</v>
      </c>
      <c r="VQL111" s="180" t="str">
        <f>VLOOKUP(VQK111,[13]AssetDetails_UEM!$A$3:$AH$1849,6,FALSE)</f>
        <v>Electrosurgical Units, Monopolar/Bipolar</v>
      </c>
      <c r="VQM111" s="179" t="s">
        <v>428</v>
      </c>
      <c r="VQN111" s="180" t="str">
        <f>VLOOKUP(VQM111,[13]AssetDetails_UEM!$A$3:$AH$1849,6,FALSE)</f>
        <v>Electrosurgical Units, Monopolar/Bipolar</v>
      </c>
      <c r="VQO111" s="179" t="s">
        <v>428</v>
      </c>
      <c r="VQP111" s="180" t="str">
        <f>VLOOKUP(VQO111,[13]AssetDetails_UEM!$A$3:$AH$1849,6,FALSE)</f>
        <v>Electrosurgical Units, Monopolar/Bipolar</v>
      </c>
      <c r="VQQ111" s="179" t="s">
        <v>428</v>
      </c>
      <c r="VQR111" s="180" t="str">
        <f>VLOOKUP(VQQ111,[13]AssetDetails_UEM!$A$3:$AH$1849,6,FALSE)</f>
        <v>Electrosurgical Units, Monopolar/Bipolar</v>
      </c>
      <c r="VQS111" s="179" t="s">
        <v>428</v>
      </c>
      <c r="VQT111" s="180" t="str">
        <f>VLOOKUP(VQS111,[13]AssetDetails_UEM!$A$3:$AH$1849,6,FALSE)</f>
        <v>Electrosurgical Units, Monopolar/Bipolar</v>
      </c>
      <c r="VQU111" s="179" t="s">
        <v>428</v>
      </c>
      <c r="VQV111" s="180" t="str">
        <f>VLOOKUP(VQU111,[13]AssetDetails_UEM!$A$3:$AH$1849,6,FALSE)</f>
        <v>Electrosurgical Units, Monopolar/Bipolar</v>
      </c>
      <c r="VQW111" s="179" t="s">
        <v>428</v>
      </c>
      <c r="VQX111" s="180" t="str">
        <f>VLOOKUP(VQW111,[13]AssetDetails_UEM!$A$3:$AH$1849,6,FALSE)</f>
        <v>Electrosurgical Units, Monopolar/Bipolar</v>
      </c>
      <c r="VQY111" s="179" t="s">
        <v>428</v>
      </c>
      <c r="VQZ111" s="180" t="str">
        <f>VLOOKUP(VQY111,[13]AssetDetails_UEM!$A$3:$AH$1849,6,FALSE)</f>
        <v>Electrosurgical Units, Monopolar/Bipolar</v>
      </c>
      <c r="VRA111" s="179" t="s">
        <v>428</v>
      </c>
      <c r="VRB111" s="180" t="str">
        <f>VLOOKUP(VRA111,[13]AssetDetails_UEM!$A$3:$AH$1849,6,FALSE)</f>
        <v>Electrosurgical Units, Monopolar/Bipolar</v>
      </c>
      <c r="VRC111" s="179" t="s">
        <v>428</v>
      </c>
      <c r="VRD111" s="180" t="str">
        <f>VLOOKUP(VRC111,[13]AssetDetails_UEM!$A$3:$AH$1849,6,FALSE)</f>
        <v>Electrosurgical Units, Monopolar/Bipolar</v>
      </c>
      <c r="VRE111" s="179" t="s">
        <v>428</v>
      </c>
      <c r="VRF111" s="180" t="str">
        <f>VLOOKUP(VRE111,[13]AssetDetails_UEM!$A$3:$AH$1849,6,FALSE)</f>
        <v>Electrosurgical Units, Monopolar/Bipolar</v>
      </c>
      <c r="VRG111" s="179" t="s">
        <v>428</v>
      </c>
      <c r="VRH111" s="180" t="str">
        <f>VLOOKUP(VRG111,[13]AssetDetails_UEM!$A$3:$AH$1849,6,FALSE)</f>
        <v>Electrosurgical Units, Monopolar/Bipolar</v>
      </c>
      <c r="VRI111" s="179" t="s">
        <v>428</v>
      </c>
      <c r="VRJ111" s="180" t="str">
        <f>VLOOKUP(VRI111,[13]AssetDetails_UEM!$A$3:$AH$1849,6,FALSE)</f>
        <v>Electrosurgical Units, Monopolar/Bipolar</v>
      </c>
      <c r="VRK111" s="179" t="s">
        <v>428</v>
      </c>
      <c r="VRL111" s="180" t="str">
        <f>VLOOKUP(VRK111,[13]AssetDetails_UEM!$A$3:$AH$1849,6,FALSE)</f>
        <v>Electrosurgical Units, Monopolar/Bipolar</v>
      </c>
      <c r="VRM111" s="179" t="s">
        <v>428</v>
      </c>
      <c r="VRN111" s="180" t="str">
        <f>VLOOKUP(VRM111,[13]AssetDetails_UEM!$A$3:$AH$1849,6,FALSE)</f>
        <v>Electrosurgical Units, Monopolar/Bipolar</v>
      </c>
      <c r="VRO111" s="179" t="s">
        <v>428</v>
      </c>
      <c r="VRP111" s="180" t="str">
        <f>VLOOKUP(VRO111,[13]AssetDetails_UEM!$A$3:$AH$1849,6,FALSE)</f>
        <v>Electrosurgical Units, Monopolar/Bipolar</v>
      </c>
      <c r="VRQ111" s="179" t="s">
        <v>428</v>
      </c>
      <c r="VRR111" s="180" t="str">
        <f>VLOOKUP(VRQ111,[13]AssetDetails_UEM!$A$3:$AH$1849,6,FALSE)</f>
        <v>Electrosurgical Units, Monopolar/Bipolar</v>
      </c>
      <c r="VRS111" s="179" t="s">
        <v>428</v>
      </c>
      <c r="VRT111" s="180" t="str">
        <f>VLOOKUP(VRS111,[13]AssetDetails_UEM!$A$3:$AH$1849,6,FALSE)</f>
        <v>Electrosurgical Units, Monopolar/Bipolar</v>
      </c>
      <c r="VRU111" s="179" t="s">
        <v>428</v>
      </c>
      <c r="VRV111" s="180" t="str">
        <f>VLOOKUP(VRU111,[13]AssetDetails_UEM!$A$3:$AH$1849,6,FALSE)</f>
        <v>Electrosurgical Units, Monopolar/Bipolar</v>
      </c>
      <c r="VRW111" s="179" t="s">
        <v>428</v>
      </c>
      <c r="VRX111" s="180" t="str">
        <f>VLOOKUP(VRW111,[13]AssetDetails_UEM!$A$3:$AH$1849,6,FALSE)</f>
        <v>Electrosurgical Units, Monopolar/Bipolar</v>
      </c>
      <c r="VRY111" s="179" t="s">
        <v>428</v>
      </c>
      <c r="VRZ111" s="180" t="str">
        <f>VLOOKUP(VRY111,[13]AssetDetails_UEM!$A$3:$AH$1849,6,FALSE)</f>
        <v>Electrosurgical Units, Monopolar/Bipolar</v>
      </c>
      <c r="VSA111" s="179" t="s">
        <v>428</v>
      </c>
      <c r="VSB111" s="180" t="str">
        <f>VLOOKUP(VSA111,[13]AssetDetails_UEM!$A$3:$AH$1849,6,FALSE)</f>
        <v>Electrosurgical Units, Monopolar/Bipolar</v>
      </c>
      <c r="VSC111" s="179" t="s">
        <v>428</v>
      </c>
      <c r="VSD111" s="180" t="str">
        <f>VLOOKUP(VSC111,[13]AssetDetails_UEM!$A$3:$AH$1849,6,FALSE)</f>
        <v>Electrosurgical Units, Monopolar/Bipolar</v>
      </c>
      <c r="VSE111" s="179" t="s">
        <v>428</v>
      </c>
      <c r="VSF111" s="180" t="str">
        <f>VLOOKUP(VSE111,[13]AssetDetails_UEM!$A$3:$AH$1849,6,FALSE)</f>
        <v>Electrosurgical Units, Monopolar/Bipolar</v>
      </c>
      <c r="VSG111" s="179" t="s">
        <v>428</v>
      </c>
      <c r="VSH111" s="180" t="str">
        <f>VLOOKUP(VSG111,[13]AssetDetails_UEM!$A$3:$AH$1849,6,FALSE)</f>
        <v>Electrosurgical Units, Monopolar/Bipolar</v>
      </c>
      <c r="VSI111" s="179" t="s">
        <v>428</v>
      </c>
      <c r="VSJ111" s="180" t="str">
        <f>VLOOKUP(VSI111,[13]AssetDetails_UEM!$A$3:$AH$1849,6,FALSE)</f>
        <v>Electrosurgical Units, Monopolar/Bipolar</v>
      </c>
      <c r="VSK111" s="179" t="s">
        <v>428</v>
      </c>
      <c r="VSL111" s="180" t="str">
        <f>VLOOKUP(VSK111,[13]AssetDetails_UEM!$A$3:$AH$1849,6,FALSE)</f>
        <v>Electrosurgical Units, Monopolar/Bipolar</v>
      </c>
      <c r="VSM111" s="179" t="s">
        <v>428</v>
      </c>
      <c r="VSN111" s="180" t="str">
        <f>VLOOKUP(VSM111,[13]AssetDetails_UEM!$A$3:$AH$1849,6,FALSE)</f>
        <v>Electrosurgical Units, Monopolar/Bipolar</v>
      </c>
      <c r="VSO111" s="179" t="s">
        <v>428</v>
      </c>
      <c r="VSP111" s="180" t="str">
        <f>VLOOKUP(VSO111,[13]AssetDetails_UEM!$A$3:$AH$1849,6,FALSE)</f>
        <v>Electrosurgical Units, Monopolar/Bipolar</v>
      </c>
      <c r="VSQ111" s="179" t="s">
        <v>428</v>
      </c>
      <c r="VSR111" s="180" t="str">
        <f>VLOOKUP(VSQ111,[13]AssetDetails_UEM!$A$3:$AH$1849,6,FALSE)</f>
        <v>Electrosurgical Units, Monopolar/Bipolar</v>
      </c>
      <c r="VSS111" s="179" t="s">
        <v>428</v>
      </c>
      <c r="VST111" s="180" t="str">
        <f>VLOOKUP(VSS111,[13]AssetDetails_UEM!$A$3:$AH$1849,6,FALSE)</f>
        <v>Electrosurgical Units, Monopolar/Bipolar</v>
      </c>
      <c r="VSU111" s="179" t="s">
        <v>428</v>
      </c>
      <c r="VSV111" s="180" t="str">
        <f>VLOOKUP(VSU111,[13]AssetDetails_UEM!$A$3:$AH$1849,6,FALSE)</f>
        <v>Electrosurgical Units, Monopolar/Bipolar</v>
      </c>
      <c r="VSW111" s="179" t="s">
        <v>428</v>
      </c>
      <c r="VSX111" s="180" t="str">
        <f>VLOOKUP(VSW111,[13]AssetDetails_UEM!$A$3:$AH$1849,6,FALSE)</f>
        <v>Electrosurgical Units, Monopolar/Bipolar</v>
      </c>
      <c r="VSY111" s="179" t="s">
        <v>428</v>
      </c>
      <c r="VSZ111" s="180" t="str">
        <f>VLOOKUP(VSY111,[13]AssetDetails_UEM!$A$3:$AH$1849,6,FALSE)</f>
        <v>Electrosurgical Units, Monopolar/Bipolar</v>
      </c>
      <c r="VTA111" s="179" t="s">
        <v>428</v>
      </c>
      <c r="VTB111" s="180" t="str">
        <f>VLOOKUP(VTA111,[13]AssetDetails_UEM!$A$3:$AH$1849,6,FALSE)</f>
        <v>Electrosurgical Units, Monopolar/Bipolar</v>
      </c>
      <c r="VTC111" s="179" t="s">
        <v>428</v>
      </c>
      <c r="VTD111" s="180" t="str">
        <f>VLOOKUP(VTC111,[13]AssetDetails_UEM!$A$3:$AH$1849,6,FALSE)</f>
        <v>Electrosurgical Units, Monopolar/Bipolar</v>
      </c>
      <c r="VTE111" s="179" t="s">
        <v>428</v>
      </c>
      <c r="VTF111" s="180" t="str">
        <f>VLOOKUP(VTE111,[13]AssetDetails_UEM!$A$3:$AH$1849,6,FALSE)</f>
        <v>Electrosurgical Units, Monopolar/Bipolar</v>
      </c>
      <c r="VTG111" s="179" t="s">
        <v>428</v>
      </c>
      <c r="VTH111" s="180" t="str">
        <f>VLOOKUP(VTG111,[13]AssetDetails_UEM!$A$3:$AH$1849,6,FALSE)</f>
        <v>Electrosurgical Units, Monopolar/Bipolar</v>
      </c>
      <c r="VTI111" s="179" t="s">
        <v>428</v>
      </c>
      <c r="VTJ111" s="180" t="str">
        <f>VLOOKUP(VTI111,[13]AssetDetails_UEM!$A$3:$AH$1849,6,FALSE)</f>
        <v>Electrosurgical Units, Monopolar/Bipolar</v>
      </c>
      <c r="VTK111" s="179" t="s">
        <v>428</v>
      </c>
      <c r="VTL111" s="180" t="str">
        <f>VLOOKUP(VTK111,[13]AssetDetails_UEM!$A$3:$AH$1849,6,FALSE)</f>
        <v>Electrosurgical Units, Monopolar/Bipolar</v>
      </c>
      <c r="VTM111" s="179" t="s">
        <v>428</v>
      </c>
      <c r="VTN111" s="180" t="str">
        <f>VLOOKUP(VTM111,[13]AssetDetails_UEM!$A$3:$AH$1849,6,FALSE)</f>
        <v>Electrosurgical Units, Monopolar/Bipolar</v>
      </c>
      <c r="VTO111" s="179" t="s">
        <v>428</v>
      </c>
      <c r="VTP111" s="180" t="str">
        <f>VLOOKUP(VTO111,[13]AssetDetails_UEM!$A$3:$AH$1849,6,FALSE)</f>
        <v>Electrosurgical Units, Monopolar/Bipolar</v>
      </c>
      <c r="VTQ111" s="179" t="s">
        <v>428</v>
      </c>
      <c r="VTR111" s="180" t="str">
        <f>VLOOKUP(VTQ111,[13]AssetDetails_UEM!$A$3:$AH$1849,6,FALSE)</f>
        <v>Electrosurgical Units, Monopolar/Bipolar</v>
      </c>
      <c r="VTS111" s="179" t="s">
        <v>428</v>
      </c>
      <c r="VTT111" s="180" t="str">
        <f>VLOOKUP(VTS111,[13]AssetDetails_UEM!$A$3:$AH$1849,6,FALSE)</f>
        <v>Electrosurgical Units, Monopolar/Bipolar</v>
      </c>
      <c r="VTU111" s="179" t="s">
        <v>428</v>
      </c>
      <c r="VTV111" s="180" t="str">
        <f>VLOOKUP(VTU111,[13]AssetDetails_UEM!$A$3:$AH$1849,6,FALSE)</f>
        <v>Electrosurgical Units, Monopolar/Bipolar</v>
      </c>
      <c r="VTW111" s="179" t="s">
        <v>428</v>
      </c>
      <c r="VTX111" s="180" t="str">
        <f>VLOOKUP(VTW111,[13]AssetDetails_UEM!$A$3:$AH$1849,6,FALSE)</f>
        <v>Electrosurgical Units, Monopolar/Bipolar</v>
      </c>
      <c r="VTY111" s="179" t="s">
        <v>428</v>
      </c>
      <c r="VTZ111" s="180" t="str">
        <f>VLOOKUP(VTY111,[13]AssetDetails_UEM!$A$3:$AH$1849,6,FALSE)</f>
        <v>Electrosurgical Units, Monopolar/Bipolar</v>
      </c>
      <c r="VUA111" s="179" t="s">
        <v>428</v>
      </c>
      <c r="VUB111" s="180" t="str">
        <f>VLOOKUP(VUA111,[13]AssetDetails_UEM!$A$3:$AH$1849,6,FALSE)</f>
        <v>Electrosurgical Units, Monopolar/Bipolar</v>
      </c>
      <c r="VUC111" s="179" t="s">
        <v>428</v>
      </c>
      <c r="VUD111" s="180" t="str">
        <f>VLOOKUP(VUC111,[13]AssetDetails_UEM!$A$3:$AH$1849,6,FALSE)</f>
        <v>Electrosurgical Units, Monopolar/Bipolar</v>
      </c>
      <c r="VUE111" s="179" t="s">
        <v>428</v>
      </c>
      <c r="VUF111" s="180" t="str">
        <f>VLOOKUP(VUE111,[13]AssetDetails_UEM!$A$3:$AH$1849,6,FALSE)</f>
        <v>Electrosurgical Units, Monopolar/Bipolar</v>
      </c>
      <c r="VUG111" s="179" t="s">
        <v>428</v>
      </c>
      <c r="VUH111" s="180" t="str">
        <f>VLOOKUP(VUG111,[13]AssetDetails_UEM!$A$3:$AH$1849,6,FALSE)</f>
        <v>Electrosurgical Units, Monopolar/Bipolar</v>
      </c>
      <c r="VUI111" s="179" t="s">
        <v>428</v>
      </c>
      <c r="VUJ111" s="180" t="str">
        <f>VLOOKUP(VUI111,[13]AssetDetails_UEM!$A$3:$AH$1849,6,FALSE)</f>
        <v>Electrosurgical Units, Monopolar/Bipolar</v>
      </c>
      <c r="VUK111" s="179" t="s">
        <v>428</v>
      </c>
      <c r="VUL111" s="180" t="str">
        <f>VLOOKUP(VUK111,[13]AssetDetails_UEM!$A$3:$AH$1849,6,FALSE)</f>
        <v>Electrosurgical Units, Monopolar/Bipolar</v>
      </c>
      <c r="VUM111" s="179" t="s">
        <v>428</v>
      </c>
      <c r="VUN111" s="180" t="str">
        <f>VLOOKUP(VUM111,[13]AssetDetails_UEM!$A$3:$AH$1849,6,FALSE)</f>
        <v>Electrosurgical Units, Monopolar/Bipolar</v>
      </c>
      <c r="VUO111" s="179" t="s">
        <v>428</v>
      </c>
      <c r="VUP111" s="180" t="str">
        <f>VLOOKUP(VUO111,[13]AssetDetails_UEM!$A$3:$AH$1849,6,FALSE)</f>
        <v>Electrosurgical Units, Monopolar/Bipolar</v>
      </c>
      <c r="VUQ111" s="179" t="s">
        <v>428</v>
      </c>
      <c r="VUR111" s="180" t="str">
        <f>VLOOKUP(VUQ111,[13]AssetDetails_UEM!$A$3:$AH$1849,6,FALSE)</f>
        <v>Electrosurgical Units, Monopolar/Bipolar</v>
      </c>
      <c r="VUS111" s="179" t="s">
        <v>428</v>
      </c>
      <c r="VUT111" s="180" t="str">
        <f>VLOOKUP(VUS111,[13]AssetDetails_UEM!$A$3:$AH$1849,6,FALSE)</f>
        <v>Electrosurgical Units, Monopolar/Bipolar</v>
      </c>
      <c r="VUU111" s="179" t="s">
        <v>428</v>
      </c>
      <c r="VUV111" s="180" t="str">
        <f>VLOOKUP(VUU111,[13]AssetDetails_UEM!$A$3:$AH$1849,6,FALSE)</f>
        <v>Electrosurgical Units, Monopolar/Bipolar</v>
      </c>
      <c r="VUW111" s="179" t="s">
        <v>428</v>
      </c>
      <c r="VUX111" s="180" t="str">
        <f>VLOOKUP(VUW111,[13]AssetDetails_UEM!$A$3:$AH$1849,6,FALSE)</f>
        <v>Electrosurgical Units, Monopolar/Bipolar</v>
      </c>
      <c r="VUY111" s="179" t="s">
        <v>428</v>
      </c>
      <c r="VUZ111" s="180" t="str">
        <f>VLOOKUP(VUY111,[13]AssetDetails_UEM!$A$3:$AH$1849,6,FALSE)</f>
        <v>Electrosurgical Units, Monopolar/Bipolar</v>
      </c>
      <c r="VVA111" s="179" t="s">
        <v>428</v>
      </c>
      <c r="VVB111" s="180" t="str">
        <f>VLOOKUP(VVA111,[13]AssetDetails_UEM!$A$3:$AH$1849,6,FALSE)</f>
        <v>Electrosurgical Units, Monopolar/Bipolar</v>
      </c>
      <c r="VVC111" s="179" t="s">
        <v>428</v>
      </c>
      <c r="VVD111" s="180" t="str">
        <f>VLOOKUP(VVC111,[13]AssetDetails_UEM!$A$3:$AH$1849,6,FALSE)</f>
        <v>Electrosurgical Units, Monopolar/Bipolar</v>
      </c>
      <c r="VVE111" s="179" t="s">
        <v>428</v>
      </c>
      <c r="VVF111" s="180" t="str">
        <f>VLOOKUP(VVE111,[13]AssetDetails_UEM!$A$3:$AH$1849,6,FALSE)</f>
        <v>Electrosurgical Units, Monopolar/Bipolar</v>
      </c>
      <c r="VVG111" s="179" t="s">
        <v>428</v>
      </c>
      <c r="VVH111" s="180" t="str">
        <f>VLOOKUP(VVG111,[13]AssetDetails_UEM!$A$3:$AH$1849,6,FALSE)</f>
        <v>Electrosurgical Units, Monopolar/Bipolar</v>
      </c>
      <c r="VVI111" s="179" t="s">
        <v>428</v>
      </c>
      <c r="VVJ111" s="180" t="str">
        <f>VLOOKUP(VVI111,[13]AssetDetails_UEM!$A$3:$AH$1849,6,FALSE)</f>
        <v>Electrosurgical Units, Monopolar/Bipolar</v>
      </c>
      <c r="VVK111" s="179" t="s">
        <v>428</v>
      </c>
      <c r="VVL111" s="180" t="str">
        <f>VLOOKUP(VVK111,[13]AssetDetails_UEM!$A$3:$AH$1849,6,FALSE)</f>
        <v>Electrosurgical Units, Monopolar/Bipolar</v>
      </c>
      <c r="VVM111" s="179" t="s">
        <v>428</v>
      </c>
      <c r="VVN111" s="180" t="str">
        <f>VLOOKUP(VVM111,[13]AssetDetails_UEM!$A$3:$AH$1849,6,FALSE)</f>
        <v>Electrosurgical Units, Monopolar/Bipolar</v>
      </c>
      <c r="VVO111" s="179" t="s">
        <v>428</v>
      </c>
      <c r="VVP111" s="180" t="str">
        <f>VLOOKUP(VVO111,[13]AssetDetails_UEM!$A$3:$AH$1849,6,FALSE)</f>
        <v>Electrosurgical Units, Monopolar/Bipolar</v>
      </c>
      <c r="VVQ111" s="179" t="s">
        <v>428</v>
      </c>
      <c r="VVR111" s="180" t="str">
        <f>VLOOKUP(VVQ111,[13]AssetDetails_UEM!$A$3:$AH$1849,6,FALSE)</f>
        <v>Electrosurgical Units, Monopolar/Bipolar</v>
      </c>
      <c r="VVS111" s="179" t="s">
        <v>428</v>
      </c>
      <c r="VVT111" s="180" t="str">
        <f>VLOOKUP(VVS111,[13]AssetDetails_UEM!$A$3:$AH$1849,6,FALSE)</f>
        <v>Electrosurgical Units, Monopolar/Bipolar</v>
      </c>
      <c r="VVU111" s="179" t="s">
        <v>428</v>
      </c>
      <c r="VVV111" s="180" t="str">
        <f>VLOOKUP(VVU111,[13]AssetDetails_UEM!$A$3:$AH$1849,6,FALSE)</f>
        <v>Electrosurgical Units, Monopolar/Bipolar</v>
      </c>
      <c r="VVW111" s="179" t="s">
        <v>428</v>
      </c>
      <c r="VVX111" s="180" t="str">
        <f>VLOOKUP(VVW111,[13]AssetDetails_UEM!$A$3:$AH$1849,6,FALSE)</f>
        <v>Electrosurgical Units, Monopolar/Bipolar</v>
      </c>
      <c r="VVY111" s="179" t="s">
        <v>428</v>
      </c>
      <c r="VVZ111" s="180" t="str">
        <f>VLOOKUP(VVY111,[13]AssetDetails_UEM!$A$3:$AH$1849,6,FALSE)</f>
        <v>Electrosurgical Units, Monopolar/Bipolar</v>
      </c>
      <c r="VWA111" s="179" t="s">
        <v>428</v>
      </c>
      <c r="VWB111" s="180" t="str">
        <f>VLOOKUP(VWA111,[13]AssetDetails_UEM!$A$3:$AH$1849,6,FALSE)</f>
        <v>Electrosurgical Units, Monopolar/Bipolar</v>
      </c>
      <c r="VWC111" s="179" t="s">
        <v>428</v>
      </c>
      <c r="VWD111" s="180" t="str">
        <f>VLOOKUP(VWC111,[13]AssetDetails_UEM!$A$3:$AH$1849,6,FALSE)</f>
        <v>Electrosurgical Units, Monopolar/Bipolar</v>
      </c>
      <c r="VWE111" s="179" t="s">
        <v>428</v>
      </c>
      <c r="VWF111" s="180" t="str">
        <f>VLOOKUP(VWE111,[13]AssetDetails_UEM!$A$3:$AH$1849,6,FALSE)</f>
        <v>Electrosurgical Units, Monopolar/Bipolar</v>
      </c>
      <c r="VWG111" s="179" t="s">
        <v>428</v>
      </c>
      <c r="VWH111" s="180" t="str">
        <f>VLOOKUP(VWG111,[13]AssetDetails_UEM!$A$3:$AH$1849,6,FALSE)</f>
        <v>Electrosurgical Units, Monopolar/Bipolar</v>
      </c>
      <c r="VWI111" s="179" t="s">
        <v>428</v>
      </c>
      <c r="VWJ111" s="180" t="str">
        <f>VLOOKUP(VWI111,[13]AssetDetails_UEM!$A$3:$AH$1849,6,FALSE)</f>
        <v>Electrosurgical Units, Monopolar/Bipolar</v>
      </c>
      <c r="VWK111" s="179" t="s">
        <v>428</v>
      </c>
      <c r="VWL111" s="180" t="str">
        <f>VLOOKUP(VWK111,[13]AssetDetails_UEM!$A$3:$AH$1849,6,FALSE)</f>
        <v>Electrosurgical Units, Monopolar/Bipolar</v>
      </c>
      <c r="VWM111" s="179" t="s">
        <v>428</v>
      </c>
      <c r="VWN111" s="180" t="str">
        <f>VLOOKUP(VWM111,[13]AssetDetails_UEM!$A$3:$AH$1849,6,FALSE)</f>
        <v>Electrosurgical Units, Monopolar/Bipolar</v>
      </c>
      <c r="VWO111" s="179" t="s">
        <v>428</v>
      </c>
      <c r="VWP111" s="180" t="str">
        <f>VLOOKUP(VWO111,[13]AssetDetails_UEM!$A$3:$AH$1849,6,FALSE)</f>
        <v>Electrosurgical Units, Monopolar/Bipolar</v>
      </c>
      <c r="VWQ111" s="179" t="s">
        <v>428</v>
      </c>
      <c r="VWR111" s="180" t="str">
        <f>VLOOKUP(VWQ111,[13]AssetDetails_UEM!$A$3:$AH$1849,6,FALSE)</f>
        <v>Electrosurgical Units, Monopolar/Bipolar</v>
      </c>
      <c r="VWS111" s="179" t="s">
        <v>428</v>
      </c>
      <c r="VWT111" s="180" t="str">
        <f>VLOOKUP(VWS111,[13]AssetDetails_UEM!$A$3:$AH$1849,6,FALSE)</f>
        <v>Electrosurgical Units, Monopolar/Bipolar</v>
      </c>
      <c r="VWU111" s="179" t="s">
        <v>428</v>
      </c>
      <c r="VWV111" s="180" t="str">
        <f>VLOOKUP(VWU111,[13]AssetDetails_UEM!$A$3:$AH$1849,6,FALSE)</f>
        <v>Electrosurgical Units, Monopolar/Bipolar</v>
      </c>
      <c r="VWW111" s="179" t="s">
        <v>428</v>
      </c>
      <c r="VWX111" s="180" t="str">
        <f>VLOOKUP(VWW111,[13]AssetDetails_UEM!$A$3:$AH$1849,6,FALSE)</f>
        <v>Electrosurgical Units, Monopolar/Bipolar</v>
      </c>
      <c r="VWY111" s="179" t="s">
        <v>428</v>
      </c>
      <c r="VWZ111" s="180" t="str">
        <f>VLOOKUP(VWY111,[13]AssetDetails_UEM!$A$3:$AH$1849,6,FALSE)</f>
        <v>Electrosurgical Units, Monopolar/Bipolar</v>
      </c>
      <c r="VXA111" s="179" t="s">
        <v>428</v>
      </c>
      <c r="VXB111" s="180" t="str">
        <f>VLOOKUP(VXA111,[13]AssetDetails_UEM!$A$3:$AH$1849,6,FALSE)</f>
        <v>Electrosurgical Units, Monopolar/Bipolar</v>
      </c>
      <c r="VXC111" s="179" t="s">
        <v>428</v>
      </c>
      <c r="VXD111" s="180" t="str">
        <f>VLOOKUP(VXC111,[13]AssetDetails_UEM!$A$3:$AH$1849,6,FALSE)</f>
        <v>Electrosurgical Units, Monopolar/Bipolar</v>
      </c>
      <c r="VXE111" s="179" t="s">
        <v>428</v>
      </c>
      <c r="VXF111" s="180" t="str">
        <f>VLOOKUP(VXE111,[13]AssetDetails_UEM!$A$3:$AH$1849,6,FALSE)</f>
        <v>Electrosurgical Units, Monopolar/Bipolar</v>
      </c>
      <c r="VXG111" s="179" t="s">
        <v>428</v>
      </c>
      <c r="VXH111" s="180" t="str">
        <f>VLOOKUP(VXG111,[13]AssetDetails_UEM!$A$3:$AH$1849,6,FALSE)</f>
        <v>Electrosurgical Units, Monopolar/Bipolar</v>
      </c>
      <c r="VXI111" s="179" t="s">
        <v>428</v>
      </c>
      <c r="VXJ111" s="180" t="str">
        <f>VLOOKUP(VXI111,[13]AssetDetails_UEM!$A$3:$AH$1849,6,FALSE)</f>
        <v>Electrosurgical Units, Monopolar/Bipolar</v>
      </c>
      <c r="VXK111" s="179" t="s">
        <v>428</v>
      </c>
      <c r="VXL111" s="180" t="str">
        <f>VLOOKUP(VXK111,[13]AssetDetails_UEM!$A$3:$AH$1849,6,FALSE)</f>
        <v>Electrosurgical Units, Monopolar/Bipolar</v>
      </c>
      <c r="VXM111" s="179" t="s">
        <v>428</v>
      </c>
      <c r="VXN111" s="180" t="str">
        <f>VLOOKUP(VXM111,[13]AssetDetails_UEM!$A$3:$AH$1849,6,FALSE)</f>
        <v>Electrosurgical Units, Monopolar/Bipolar</v>
      </c>
      <c r="VXO111" s="179" t="s">
        <v>428</v>
      </c>
      <c r="VXP111" s="180" t="str">
        <f>VLOOKUP(VXO111,[13]AssetDetails_UEM!$A$3:$AH$1849,6,FALSE)</f>
        <v>Electrosurgical Units, Monopolar/Bipolar</v>
      </c>
      <c r="VXQ111" s="179" t="s">
        <v>428</v>
      </c>
      <c r="VXR111" s="180" t="str">
        <f>VLOOKUP(VXQ111,[13]AssetDetails_UEM!$A$3:$AH$1849,6,FALSE)</f>
        <v>Electrosurgical Units, Monopolar/Bipolar</v>
      </c>
      <c r="VXS111" s="179" t="s">
        <v>428</v>
      </c>
      <c r="VXT111" s="180" t="str">
        <f>VLOOKUP(VXS111,[13]AssetDetails_UEM!$A$3:$AH$1849,6,FALSE)</f>
        <v>Electrosurgical Units, Monopolar/Bipolar</v>
      </c>
      <c r="VXU111" s="179" t="s">
        <v>428</v>
      </c>
      <c r="VXV111" s="180" t="str">
        <f>VLOOKUP(VXU111,[13]AssetDetails_UEM!$A$3:$AH$1849,6,FALSE)</f>
        <v>Electrosurgical Units, Monopolar/Bipolar</v>
      </c>
      <c r="VXW111" s="179" t="s">
        <v>428</v>
      </c>
      <c r="VXX111" s="180" t="str">
        <f>VLOOKUP(VXW111,[13]AssetDetails_UEM!$A$3:$AH$1849,6,FALSE)</f>
        <v>Electrosurgical Units, Monopolar/Bipolar</v>
      </c>
      <c r="VXY111" s="179" t="s">
        <v>428</v>
      </c>
      <c r="VXZ111" s="180" t="str">
        <f>VLOOKUP(VXY111,[13]AssetDetails_UEM!$A$3:$AH$1849,6,FALSE)</f>
        <v>Electrosurgical Units, Monopolar/Bipolar</v>
      </c>
      <c r="VYA111" s="179" t="s">
        <v>428</v>
      </c>
      <c r="VYB111" s="180" t="str">
        <f>VLOOKUP(VYA111,[13]AssetDetails_UEM!$A$3:$AH$1849,6,FALSE)</f>
        <v>Electrosurgical Units, Monopolar/Bipolar</v>
      </c>
      <c r="VYC111" s="179" t="s">
        <v>428</v>
      </c>
      <c r="VYD111" s="180" t="str">
        <f>VLOOKUP(VYC111,[13]AssetDetails_UEM!$A$3:$AH$1849,6,FALSE)</f>
        <v>Electrosurgical Units, Monopolar/Bipolar</v>
      </c>
      <c r="VYE111" s="179" t="s">
        <v>428</v>
      </c>
      <c r="VYF111" s="180" t="str">
        <f>VLOOKUP(VYE111,[13]AssetDetails_UEM!$A$3:$AH$1849,6,FALSE)</f>
        <v>Electrosurgical Units, Monopolar/Bipolar</v>
      </c>
      <c r="VYG111" s="179" t="s">
        <v>428</v>
      </c>
      <c r="VYH111" s="180" t="str">
        <f>VLOOKUP(VYG111,[13]AssetDetails_UEM!$A$3:$AH$1849,6,FALSE)</f>
        <v>Electrosurgical Units, Monopolar/Bipolar</v>
      </c>
      <c r="VYI111" s="179" t="s">
        <v>428</v>
      </c>
      <c r="VYJ111" s="180" t="str">
        <f>VLOOKUP(VYI111,[13]AssetDetails_UEM!$A$3:$AH$1849,6,FALSE)</f>
        <v>Electrosurgical Units, Monopolar/Bipolar</v>
      </c>
      <c r="VYK111" s="179" t="s">
        <v>428</v>
      </c>
      <c r="VYL111" s="180" t="str">
        <f>VLOOKUP(VYK111,[13]AssetDetails_UEM!$A$3:$AH$1849,6,FALSE)</f>
        <v>Electrosurgical Units, Monopolar/Bipolar</v>
      </c>
      <c r="VYM111" s="179" t="s">
        <v>428</v>
      </c>
      <c r="VYN111" s="180" t="str">
        <f>VLOOKUP(VYM111,[13]AssetDetails_UEM!$A$3:$AH$1849,6,FALSE)</f>
        <v>Electrosurgical Units, Monopolar/Bipolar</v>
      </c>
      <c r="VYO111" s="179" t="s">
        <v>428</v>
      </c>
      <c r="VYP111" s="180" t="str">
        <f>VLOOKUP(VYO111,[13]AssetDetails_UEM!$A$3:$AH$1849,6,FALSE)</f>
        <v>Electrosurgical Units, Monopolar/Bipolar</v>
      </c>
      <c r="VYQ111" s="179" t="s">
        <v>428</v>
      </c>
      <c r="VYR111" s="180" t="str">
        <f>VLOOKUP(VYQ111,[13]AssetDetails_UEM!$A$3:$AH$1849,6,FALSE)</f>
        <v>Electrosurgical Units, Monopolar/Bipolar</v>
      </c>
      <c r="VYS111" s="179" t="s">
        <v>428</v>
      </c>
      <c r="VYT111" s="180" t="str">
        <f>VLOOKUP(VYS111,[13]AssetDetails_UEM!$A$3:$AH$1849,6,FALSE)</f>
        <v>Electrosurgical Units, Monopolar/Bipolar</v>
      </c>
      <c r="VYU111" s="179" t="s">
        <v>428</v>
      </c>
      <c r="VYV111" s="180" t="str">
        <f>VLOOKUP(VYU111,[13]AssetDetails_UEM!$A$3:$AH$1849,6,FALSE)</f>
        <v>Electrosurgical Units, Monopolar/Bipolar</v>
      </c>
      <c r="VYW111" s="179" t="s">
        <v>428</v>
      </c>
      <c r="VYX111" s="180" t="str">
        <f>VLOOKUP(VYW111,[13]AssetDetails_UEM!$A$3:$AH$1849,6,FALSE)</f>
        <v>Electrosurgical Units, Monopolar/Bipolar</v>
      </c>
      <c r="VYY111" s="179" t="s">
        <v>428</v>
      </c>
      <c r="VYZ111" s="180" t="str">
        <f>VLOOKUP(VYY111,[13]AssetDetails_UEM!$A$3:$AH$1849,6,FALSE)</f>
        <v>Electrosurgical Units, Monopolar/Bipolar</v>
      </c>
      <c r="VZA111" s="179" t="s">
        <v>428</v>
      </c>
      <c r="VZB111" s="180" t="str">
        <f>VLOOKUP(VZA111,[13]AssetDetails_UEM!$A$3:$AH$1849,6,FALSE)</f>
        <v>Electrosurgical Units, Monopolar/Bipolar</v>
      </c>
      <c r="VZC111" s="179" t="s">
        <v>428</v>
      </c>
      <c r="VZD111" s="180" t="str">
        <f>VLOOKUP(VZC111,[13]AssetDetails_UEM!$A$3:$AH$1849,6,FALSE)</f>
        <v>Electrosurgical Units, Monopolar/Bipolar</v>
      </c>
      <c r="VZE111" s="179" t="s">
        <v>428</v>
      </c>
      <c r="VZF111" s="180" t="str">
        <f>VLOOKUP(VZE111,[13]AssetDetails_UEM!$A$3:$AH$1849,6,FALSE)</f>
        <v>Electrosurgical Units, Monopolar/Bipolar</v>
      </c>
      <c r="VZG111" s="179" t="s">
        <v>428</v>
      </c>
      <c r="VZH111" s="180" t="str">
        <f>VLOOKUP(VZG111,[13]AssetDetails_UEM!$A$3:$AH$1849,6,FALSE)</f>
        <v>Electrosurgical Units, Monopolar/Bipolar</v>
      </c>
      <c r="VZI111" s="179" t="s">
        <v>428</v>
      </c>
      <c r="VZJ111" s="180" t="str">
        <f>VLOOKUP(VZI111,[13]AssetDetails_UEM!$A$3:$AH$1849,6,FALSE)</f>
        <v>Electrosurgical Units, Monopolar/Bipolar</v>
      </c>
      <c r="VZK111" s="179" t="s">
        <v>428</v>
      </c>
      <c r="VZL111" s="180" t="str">
        <f>VLOOKUP(VZK111,[13]AssetDetails_UEM!$A$3:$AH$1849,6,FALSE)</f>
        <v>Electrosurgical Units, Monopolar/Bipolar</v>
      </c>
      <c r="VZM111" s="179" t="s">
        <v>428</v>
      </c>
      <c r="VZN111" s="180" t="str">
        <f>VLOOKUP(VZM111,[13]AssetDetails_UEM!$A$3:$AH$1849,6,FALSE)</f>
        <v>Electrosurgical Units, Monopolar/Bipolar</v>
      </c>
      <c r="VZO111" s="179" t="s">
        <v>428</v>
      </c>
      <c r="VZP111" s="180" t="str">
        <f>VLOOKUP(VZO111,[13]AssetDetails_UEM!$A$3:$AH$1849,6,FALSE)</f>
        <v>Electrosurgical Units, Monopolar/Bipolar</v>
      </c>
      <c r="VZQ111" s="179" t="s">
        <v>428</v>
      </c>
      <c r="VZR111" s="180" t="str">
        <f>VLOOKUP(VZQ111,[13]AssetDetails_UEM!$A$3:$AH$1849,6,FALSE)</f>
        <v>Electrosurgical Units, Monopolar/Bipolar</v>
      </c>
      <c r="VZS111" s="179" t="s">
        <v>428</v>
      </c>
      <c r="VZT111" s="180" t="str">
        <f>VLOOKUP(VZS111,[13]AssetDetails_UEM!$A$3:$AH$1849,6,FALSE)</f>
        <v>Electrosurgical Units, Monopolar/Bipolar</v>
      </c>
      <c r="VZU111" s="179" t="s">
        <v>428</v>
      </c>
      <c r="VZV111" s="180" t="str">
        <f>VLOOKUP(VZU111,[13]AssetDetails_UEM!$A$3:$AH$1849,6,FALSE)</f>
        <v>Electrosurgical Units, Monopolar/Bipolar</v>
      </c>
      <c r="VZW111" s="179" t="s">
        <v>428</v>
      </c>
      <c r="VZX111" s="180" t="str">
        <f>VLOOKUP(VZW111,[13]AssetDetails_UEM!$A$3:$AH$1849,6,FALSE)</f>
        <v>Electrosurgical Units, Monopolar/Bipolar</v>
      </c>
      <c r="VZY111" s="179" t="s">
        <v>428</v>
      </c>
      <c r="VZZ111" s="180" t="str">
        <f>VLOOKUP(VZY111,[13]AssetDetails_UEM!$A$3:$AH$1849,6,FALSE)</f>
        <v>Electrosurgical Units, Monopolar/Bipolar</v>
      </c>
      <c r="WAA111" s="179" t="s">
        <v>428</v>
      </c>
      <c r="WAB111" s="180" t="str">
        <f>VLOOKUP(WAA111,[13]AssetDetails_UEM!$A$3:$AH$1849,6,FALSE)</f>
        <v>Electrosurgical Units, Monopolar/Bipolar</v>
      </c>
      <c r="WAC111" s="179" t="s">
        <v>428</v>
      </c>
      <c r="WAD111" s="180" t="str">
        <f>VLOOKUP(WAC111,[13]AssetDetails_UEM!$A$3:$AH$1849,6,FALSE)</f>
        <v>Electrosurgical Units, Monopolar/Bipolar</v>
      </c>
      <c r="WAE111" s="179" t="s">
        <v>428</v>
      </c>
      <c r="WAF111" s="180" t="str">
        <f>VLOOKUP(WAE111,[13]AssetDetails_UEM!$A$3:$AH$1849,6,FALSE)</f>
        <v>Electrosurgical Units, Monopolar/Bipolar</v>
      </c>
      <c r="WAG111" s="179" t="s">
        <v>428</v>
      </c>
      <c r="WAH111" s="180" t="str">
        <f>VLOOKUP(WAG111,[13]AssetDetails_UEM!$A$3:$AH$1849,6,FALSE)</f>
        <v>Electrosurgical Units, Monopolar/Bipolar</v>
      </c>
      <c r="WAI111" s="179" t="s">
        <v>428</v>
      </c>
      <c r="WAJ111" s="180" t="str">
        <f>VLOOKUP(WAI111,[13]AssetDetails_UEM!$A$3:$AH$1849,6,FALSE)</f>
        <v>Electrosurgical Units, Monopolar/Bipolar</v>
      </c>
      <c r="WAK111" s="179" t="s">
        <v>428</v>
      </c>
      <c r="WAL111" s="180" t="str">
        <f>VLOOKUP(WAK111,[13]AssetDetails_UEM!$A$3:$AH$1849,6,FALSE)</f>
        <v>Electrosurgical Units, Monopolar/Bipolar</v>
      </c>
      <c r="WAM111" s="179" t="s">
        <v>428</v>
      </c>
      <c r="WAN111" s="180" t="str">
        <f>VLOOKUP(WAM111,[13]AssetDetails_UEM!$A$3:$AH$1849,6,FALSE)</f>
        <v>Electrosurgical Units, Monopolar/Bipolar</v>
      </c>
      <c r="WAO111" s="179" t="s">
        <v>428</v>
      </c>
      <c r="WAP111" s="180" t="str">
        <f>VLOOKUP(WAO111,[13]AssetDetails_UEM!$A$3:$AH$1849,6,FALSE)</f>
        <v>Electrosurgical Units, Monopolar/Bipolar</v>
      </c>
      <c r="WAQ111" s="179" t="s">
        <v>428</v>
      </c>
      <c r="WAR111" s="180" t="str">
        <f>VLOOKUP(WAQ111,[13]AssetDetails_UEM!$A$3:$AH$1849,6,FALSE)</f>
        <v>Electrosurgical Units, Monopolar/Bipolar</v>
      </c>
      <c r="WAS111" s="179" t="s">
        <v>428</v>
      </c>
      <c r="WAT111" s="180" t="str">
        <f>VLOOKUP(WAS111,[13]AssetDetails_UEM!$A$3:$AH$1849,6,FALSE)</f>
        <v>Electrosurgical Units, Monopolar/Bipolar</v>
      </c>
      <c r="WAU111" s="179" t="s">
        <v>428</v>
      </c>
      <c r="WAV111" s="180" t="str">
        <f>VLOOKUP(WAU111,[13]AssetDetails_UEM!$A$3:$AH$1849,6,FALSE)</f>
        <v>Electrosurgical Units, Monopolar/Bipolar</v>
      </c>
      <c r="WAW111" s="179" t="s">
        <v>428</v>
      </c>
      <c r="WAX111" s="180" t="str">
        <f>VLOOKUP(WAW111,[13]AssetDetails_UEM!$A$3:$AH$1849,6,FALSE)</f>
        <v>Electrosurgical Units, Monopolar/Bipolar</v>
      </c>
      <c r="WAY111" s="179" t="s">
        <v>428</v>
      </c>
      <c r="WAZ111" s="180" t="str">
        <f>VLOOKUP(WAY111,[13]AssetDetails_UEM!$A$3:$AH$1849,6,FALSE)</f>
        <v>Electrosurgical Units, Monopolar/Bipolar</v>
      </c>
      <c r="WBA111" s="179" t="s">
        <v>428</v>
      </c>
      <c r="WBB111" s="180" t="str">
        <f>VLOOKUP(WBA111,[13]AssetDetails_UEM!$A$3:$AH$1849,6,FALSE)</f>
        <v>Electrosurgical Units, Monopolar/Bipolar</v>
      </c>
      <c r="WBC111" s="179" t="s">
        <v>428</v>
      </c>
      <c r="WBD111" s="180" t="str">
        <f>VLOOKUP(WBC111,[13]AssetDetails_UEM!$A$3:$AH$1849,6,FALSE)</f>
        <v>Electrosurgical Units, Monopolar/Bipolar</v>
      </c>
      <c r="WBE111" s="179" t="s">
        <v>428</v>
      </c>
      <c r="WBF111" s="180" t="str">
        <f>VLOOKUP(WBE111,[13]AssetDetails_UEM!$A$3:$AH$1849,6,FALSE)</f>
        <v>Electrosurgical Units, Monopolar/Bipolar</v>
      </c>
      <c r="WBG111" s="179" t="s">
        <v>428</v>
      </c>
      <c r="WBH111" s="180" t="str">
        <f>VLOOKUP(WBG111,[13]AssetDetails_UEM!$A$3:$AH$1849,6,FALSE)</f>
        <v>Electrosurgical Units, Monopolar/Bipolar</v>
      </c>
      <c r="WBI111" s="179" t="s">
        <v>428</v>
      </c>
      <c r="WBJ111" s="180" t="str">
        <f>VLOOKUP(WBI111,[13]AssetDetails_UEM!$A$3:$AH$1849,6,FALSE)</f>
        <v>Electrosurgical Units, Monopolar/Bipolar</v>
      </c>
      <c r="WBK111" s="179" t="s">
        <v>428</v>
      </c>
      <c r="WBL111" s="180" t="str">
        <f>VLOOKUP(WBK111,[13]AssetDetails_UEM!$A$3:$AH$1849,6,FALSE)</f>
        <v>Electrosurgical Units, Monopolar/Bipolar</v>
      </c>
      <c r="WBM111" s="179" t="s">
        <v>428</v>
      </c>
      <c r="WBN111" s="180" t="str">
        <f>VLOOKUP(WBM111,[13]AssetDetails_UEM!$A$3:$AH$1849,6,FALSE)</f>
        <v>Electrosurgical Units, Monopolar/Bipolar</v>
      </c>
      <c r="WBO111" s="179" t="s">
        <v>428</v>
      </c>
      <c r="WBP111" s="180" t="str">
        <f>VLOOKUP(WBO111,[13]AssetDetails_UEM!$A$3:$AH$1849,6,FALSE)</f>
        <v>Electrosurgical Units, Monopolar/Bipolar</v>
      </c>
      <c r="WBQ111" s="179" t="s">
        <v>428</v>
      </c>
      <c r="WBR111" s="180" t="str">
        <f>VLOOKUP(WBQ111,[13]AssetDetails_UEM!$A$3:$AH$1849,6,FALSE)</f>
        <v>Electrosurgical Units, Monopolar/Bipolar</v>
      </c>
      <c r="WBS111" s="179" t="s">
        <v>428</v>
      </c>
      <c r="WBT111" s="180" t="str">
        <f>VLOOKUP(WBS111,[13]AssetDetails_UEM!$A$3:$AH$1849,6,FALSE)</f>
        <v>Electrosurgical Units, Monopolar/Bipolar</v>
      </c>
      <c r="WBU111" s="179" t="s">
        <v>428</v>
      </c>
      <c r="WBV111" s="180" t="str">
        <f>VLOOKUP(WBU111,[13]AssetDetails_UEM!$A$3:$AH$1849,6,FALSE)</f>
        <v>Electrosurgical Units, Monopolar/Bipolar</v>
      </c>
      <c r="WBW111" s="179" t="s">
        <v>428</v>
      </c>
      <c r="WBX111" s="180" t="str">
        <f>VLOOKUP(WBW111,[13]AssetDetails_UEM!$A$3:$AH$1849,6,FALSE)</f>
        <v>Electrosurgical Units, Monopolar/Bipolar</v>
      </c>
      <c r="WBY111" s="179" t="s">
        <v>428</v>
      </c>
      <c r="WBZ111" s="180" t="str">
        <f>VLOOKUP(WBY111,[13]AssetDetails_UEM!$A$3:$AH$1849,6,FALSE)</f>
        <v>Electrosurgical Units, Monopolar/Bipolar</v>
      </c>
      <c r="WCA111" s="179" t="s">
        <v>428</v>
      </c>
      <c r="WCB111" s="180" t="str">
        <f>VLOOKUP(WCA111,[13]AssetDetails_UEM!$A$3:$AH$1849,6,FALSE)</f>
        <v>Electrosurgical Units, Monopolar/Bipolar</v>
      </c>
      <c r="WCC111" s="179" t="s">
        <v>428</v>
      </c>
      <c r="WCD111" s="180" t="str">
        <f>VLOOKUP(WCC111,[13]AssetDetails_UEM!$A$3:$AH$1849,6,FALSE)</f>
        <v>Electrosurgical Units, Monopolar/Bipolar</v>
      </c>
      <c r="WCE111" s="179" t="s">
        <v>428</v>
      </c>
      <c r="WCF111" s="180" t="str">
        <f>VLOOKUP(WCE111,[13]AssetDetails_UEM!$A$3:$AH$1849,6,FALSE)</f>
        <v>Electrosurgical Units, Monopolar/Bipolar</v>
      </c>
      <c r="WCG111" s="179" t="s">
        <v>428</v>
      </c>
      <c r="WCH111" s="180" t="str">
        <f>VLOOKUP(WCG111,[13]AssetDetails_UEM!$A$3:$AH$1849,6,FALSE)</f>
        <v>Electrosurgical Units, Monopolar/Bipolar</v>
      </c>
      <c r="WCI111" s="179" t="s">
        <v>428</v>
      </c>
      <c r="WCJ111" s="180" t="str">
        <f>VLOOKUP(WCI111,[13]AssetDetails_UEM!$A$3:$AH$1849,6,FALSE)</f>
        <v>Electrosurgical Units, Monopolar/Bipolar</v>
      </c>
      <c r="WCK111" s="179" t="s">
        <v>428</v>
      </c>
      <c r="WCL111" s="180" t="str">
        <f>VLOOKUP(WCK111,[13]AssetDetails_UEM!$A$3:$AH$1849,6,FALSE)</f>
        <v>Electrosurgical Units, Monopolar/Bipolar</v>
      </c>
      <c r="WCM111" s="179" t="s">
        <v>428</v>
      </c>
      <c r="WCN111" s="180" t="str">
        <f>VLOOKUP(WCM111,[13]AssetDetails_UEM!$A$3:$AH$1849,6,FALSE)</f>
        <v>Electrosurgical Units, Monopolar/Bipolar</v>
      </c>
      <c r="WCO111" s="179" t="s">
        <v>428</v>
      </c>
      <c r="WCP111" s="180" t="str">
        <f>VLOOKUP(WCO111,[13]AssetDetails_UEM!$A$3:$AH$1849,6,FALSE)</f>
        <v>Electrosurgical Units, Monopolar/Bipolar</v>
      </c>
      <c r="WCQ111" s="179" t="s">
        <v>428</v>
      </c>
      <c r="WCR111" s="180" t="str">
        <f>VLOOKUP(WCQ111,[13]AssetDetails_UEM!$A$3:$AH$1849,6,FALSE)</f>
        <v>Electrosurgical Units, Monopolar/Bipolar</v>
      </c>
      <c r="WCS111" s="179" t="s">
        <v>428</v>
      </c>
      <c r="WCT111" s="180" t="str">
        <f>VLOOKUP(WCS111,[13]AssetDetails_UEM!$A$3:$AH$1849,6,FALSE)</f>
        <v>Electrosurgical Units, Monopolar/Bipolar</v>
      </c>
      <c r="WCU111" s="179" t="s">
        <v>428</v>
      </c>
      <c r="WCV111" s="180" t="str">
        <f>VLOOKUP(WCU111,[13]AssetDetails_UEM!$A$3:$AH$1849,6,FALSE)</f>
        <v>Electrosurgical Units, Monopolar/Bipolar</v>
      </c>
      <c r="WCW111" s="179" t="s">
        <v>428</v>
      </c>
      <c r="WCX111" s="180" t="str">
        <f>VLOOKUP(WCW111,[13]AssetDetails_UEM!$A$3:$AH$1849,6,FALSE)</f>
        <v>Electrosurgical Units, Monopolar/Bipolar</v>
      </c>
      <c r="WCY111" s="179" t="s">
        <v>428</v>
      </c>
      <c r="WCZ111" s="180" t="str">
        <f>VLOOKUP(WCY111,[13]AssetDetails_UEM!$A$3:$AH$1849,6,FALSE)</f>
        <v>Electrosurgical Units, Monopolar/Bipolar</v>
      </c>
      <c r="WDA111" s="179" t="s">
        <v>428</v>
      </c>
      <c r="WDB111" s="180" t="str">
        <f>VLOOKUP(WDA111,[13]AssetDetails_UEM!$A$3:$AH$1849,6,FALSE)</f>
        <v>Electrosurgical Units, Monopolar/Bipolar</v>
      </c>
      <c r="WDC111" s="179" t="s">
        <v>428</v>
      </c>
      <c r="WDD111" s="180" t="str">
        <f>VLOOKUP(WDC111,[13]AssetDetails_UEM!$A$3:$AH$1849,6,FALSE)</f>
        <v>Electrosurgical Units, Monopolar/Bipolar</v>
      </c>
      <c r="WDE111" s="179" t="s">
        <v>428</v>
      </c>
      <c r="WDF111" s="180" t="str">
        <f>VLOOKUP(WDE111,[13]AssetDetails_UEM!$A$3:$AH$1849,6,FALSE)</f>
        <v>Electrosurgical Units, Monopolar/Bipolar</v>
      </c>
      <c r="WDG111" s="179" t="s">
        <v>428</v>
      </c>
      <c r="WDH111" s="180" t="str">
        <f>VLOOKUP(WDG111,[13]AssetDetails_UEM!$A$3:$AH$1849,6,FALSE)</f>
        <v>Electrosurgical Units, Monopolar/Bipolar</v>
      </c>
      <c r="WDI111" s="179" t="s">
        <v>428</v>
      </c>
      <c r="WDJ111" s="180" t="str">
        <f>VLOOKUP(WDI111,[13]AssetDetails_UEM!$A$3:$AH$1849,6,FALSE)</f>
        <v>Electrosurgical Units, Monopolar/Bipolar</v>
      </c>
      <c r="WDK111" s="179" t="s">
        <v>428</v>
      </c>
      <c r="WDL111" s="180" t="str">
        <f>VLOOKUP(WDK111,[13]AssetDetails_UEM!$A$3:$AH$1849,6,FALSE)</f>
        <v>Electrosurgical Units, Monopolar/Bipolar</v>
      </c>
      <c r="WDM111" s="179" t="s">
        <v>428</v>
      </c>
      <c r="WDN111" s="180" t="str">
        <f>VLOOKUP(WDM111,[13]AssetDetails_UEM!$A$3:$AH$1849,6,FALSE)</f>
        <v>Electrosurgical Units, Monopolar/Bipolar</v>
      </c>
      <c r="WDO111" s="179" t="s">
        <v>428</v>
      </c>
      <c r="WDP111" s="180" t="str">
        <f>VLOOKUP(WDO111,[13]AssetDetails_UEM!$A$3:$AH$1849,6,FALSE)</f>
        <v>Electrosurgical Units, Monopolar/Bipolar</v>
      </c>
      <c r="WDQ111" s="179" t="s">
        <v>428</v>
      </c>
      <c r="WDR111" s="180" t="str">
        <f>VLOOKUP(WDQ111,[13]AssetDetails_UEM!$A$3:$AH$1849,6,FALSE)</f>
        <v>Electrosurgical Units, Monopolar/Bipolar</v>
      </c>
      <c r="WDS111" s="179" t="s">
        <v>428</v>
      </c>
      <c r="WDT111" s="180" t="str">
        <f>VLOOKUP(WDS111,[13]AssetDetails_UEM!$A$3:$AH$1849,6,FALSE)</f>
        <v>Electrosurgical Units, Monopolar/Bipolar</v>
      </c>
      <c r="WDU111" s="179" t="s">
        <v>428</v>
      </c>
      <c r="WDV111" s="180" t="str">
        <f>VLOOKUP(WDU111,[13]AssetDetails_UEM!$A$3:$AH$1849,6,FALSE)</f>
        <v>Electrosurgical Units, Monopolar/Bipolar</v>
      </c>
      <c r="WDW111" s="179" t="s">
        <v>428</v>
      </c>
      <c r="WDX111" s="180" t="str">
        <f>VLOOKUP(WDW111,[13]AssetDetails_UEM!$A$3:$AH$1849,6,FALSE)</f>
        <v>Electrosurgical Units, Monopolar/Bipolar</v>
      </c>
      <c r="WDY111" s="179" t="s">
        <v>428</v>
      </c>
      <c r="WDZ111" s="180" t="str">
        <f>VLOOKUP(WDY111,[13]AssetDetails_UEM!$A$3:$AH$1849,6,FALSE)</f>
        <v>Electrosurgical Units, Monopolar/Bipolar</v>
      </c>
      <c r="WEA111" s="179" t="s">
        <v>428</v>
      </c>
      <c r="WEB111" s="180" t="str">
        <f>VLOOKUP(WEA111,[13]AssetDetails_UEM!$A$3:$AH$1849,6,FALSE)</f>
        <v>Electrosurgical Units, Monopolar/Bipolar</v>
      </c>
      <c r="WEC111" s="179" t="s">
        <v>428</v>
      </c>
      <c r="WED111" s="180" t="str">
        <f>VLOOKUP(WEC111,[13]AssetDetails_UEM!$A$3:$AH$1849,6,FALSE)</f>
        <v>Electrosurgical Units, Monopolar/Bipolar</v>
      </c>
      <c r="WEE111" s="179" t="s">
        <v>428</v>
      </c>
      <c r="WEF111" s="180" t="str">
        <f>VLOOKUP(WEE111,[13]AssetDetails_UEM!$A$3:$AH$1849,6,FALSE)</f>
        <v>Electrosurgical Units, Monopolar/Bipolar</v>
      </c>
      <c r="WEG111" s="179" t="s">
        <v>428</v>
      </c>
      <c r="WEH111" s="180" t="str">
        <f>VLOOKUP(WEG111,[13]AssetDetails_UEM!$A$3:$AH$1849,6,FALSE)</f>
        <v>Electrosurgical Units, Monopolar/Bipolar</v>
      </c>
      <c r="WEI111" s="179" t="s">
        <v>428</v>
      </c>
      <c r="WEJ111" s="180" t="str">
        <f>VLOOKUP(WEI111,[13]AssetDetails_UEM!$A$3:$AH$1849,6,FALSE)</f>
        <v>Electrosurgical Units, Monopolar/Bipolar</v>
      </c>
      <c r="WEK111" s="179" t="s">
        <v>428</v>
      </c>
      <c r="WEL111" s="180" t="str">
        <f>VLOOKUP(WEK111,[13]AssetDetails_UEM!$A$3:$AH$1849,6,FALSE)</f>
        <v>Electrosurgical Units, Monopolar/Bipolar</v>
      </c>
      <c r="WEM111" s="179" t="s">
        <v>428</v>
      </c>
      <c r="WEN111" s="180" t="str">
        <f>VLOOKUP(WEM111,[13]AssetDetails_UEM!$A$3:$AH$1849,6,FALSE)</f>
        <v>Electrosurgical Units, Monopolar/Bipolar</v>
      </c>
      <c r="WEO111" s="179" t="s">
        <v>428</v>
      </c>
      <c r="WEP111" s="180" t="str">
        <f>VLOOKUP(WEO111,[13]AssetDetails_UEM!$A$3:$AH$1849,6,FALSE)</f>
        <v>Electrosurgical Units, Monopolar/Bipolar</v>
      </c>
      <c r="WEQ111" s="179" t="s">
        <v>428</v>
      </c>
      <c r="WER111" s="180" t="str">
        <f>VLOOKUP(WEQ111,[13]AssetDetails_UEM!$A$3:$AH$1849,6,FALSE)</f>
        <v>Electrosurgical Units, Monopolar/Bipolar</v>
      </c>
      <c r="WES111" s="179" t="s">
        <v>428</v>
      </c>
      <c r="WET111" s="180" t="str">
        <f>VLOOKUP(WES111,[13]AssetDetails_UEM!$A$3:$AH$1849,6,FALSE)</f>
        <v>Electrosurgical Units, Monopolar/Bipolar</v>
      </c>
      <c r="WEU111" s="179" t="s">
        <v>428</v>
      </c>
      <c r="WEV111" s="180" t="str">
        <f>VLOOKUP(WEU111,[13]AssetDetails_UEM!$A$3:$AH$1849,6,FALSE)</f>
        <v>Electrosurgical Units, Monopolar/Bipolar</v>
      </c>
      <c r="WEW111" s="179" t="s">
        <v>428</v>
      </c>
      <c r="WEX111" s="180" t="str">
        <f>VLOOKUP(WEW111,[13]AssetDetails_UEM!$A$3:$AH$1849,6,FALSE)</f>
        <v>Electrosurgical Units, Monopolar/Bipolar</v>
      </c>
      <c r="WEY111" s="179" t="s">
        <v>428</v>
      </c>
      <c r="WEZ111" s="180" t="str">
        <f>VLOOKUP(WEY111,[13]AssetDetails_UEM!$A$3:$AH$1849,6,FALSE)</f>
        <v>Electrosurgical Units, Monopolar/Bipolar</v>
      </c>
      <c r="WFA111" s="179" t="s">
        <v>428</v>
      </c>
      <c r="WFB111" s="180" t="str">
        <f>VLOOKUP(WFA111,[13]AssetDetails_UEM!$A$3:$AH$1849,6,FALSE)</f>
        <v>Electrosurgical Units, Monopolar/Bipolar</v>
      </c>
      <c r="WFC111" s="179" t="s">
        <v>428</v>
      </c>
      <c r="WFD111" s="180" t="str">
        <f>VLOOKUP(WFC111,[13]AssetDetails_UEM!$A$3:$AH$1849,6,FALSE)</f>
        <v>Electrosurgical Units, Monopolar/Bipolar</v>
      </c>
      <c r="WFE111" s="179" t="s">
        <v>428</v>
      </c>
      <c r="WFF111" s="180" t="str">
        <f>VLOOKUP(WFE111,[13]AssetDetails_UEM!$A$3:$AH$1849,6,FALSE)</f>
        <v>Electrosurgical Units, Monopolar/Bipolar</v>
      </c>
      <c r="WFG111" s="179" t="s">
        <v>428</v>
      </c>
      <c r="WFH111" s="180" t="str">
        <f>VLOOKUP(WFG111,[13]AssetDetails_UEM!$A$3:$AH$1849,6,FALSE)</f>
        <v>Electrosurgical Units, Monopolar/Bipolar</v>
      </c>
      <c r="WFI111" s="179" t="s">
        <v>428</v>
      </c>
      <c r="WFJ111" s="180" t="str">
        <f>VLOOKUP(WFI111,[13]AssetDetails_UEM!$A$3:$AH$1849,6,FALSE)</f>
        <v>Electrosurgical Units, Monopolar/Bipolar</v>
      </c>
      <c r="WFK111" s="179" t="s">
        <v>428</v>
      </c>
      <c r="WFL111" s="180" t="str">
        <f>VLOOKUP(WFK111,[13]AssetDetails_UEM!$A$3:$AH$1849,6,FALSE)</f>
        <v>Electrosurgical Units, Monopolar/Bipolar</v>
      </c>
      <c r="WFM111" s="179" t="s">
        <v>428</v>
      </c>
      <c r="WFN111" s="180" t="str">
        <f>VLOOKUP(WFM111,[13]AssetDetails_UEM!$A$3:$AH$1849,6,FALSE)</f>
        <v>Electrosurgical Units, Monopolar/Bipolar</v>
      </c>
      <c r="WFO111" s="179" t="s">
        <v>428</v>
      </c>
      <c r="WFP111" s="180" t="str">
        <f>VLOOKUP(WFO111,[13]AssetDetails_UEM!$A$3:$AH$1849,6,FALSE)</f>
        <v>Electrosurgical Units, Monopolar/Bipolar</v>
      </c>
      <c r="WFQ111" s="179" t="s">
        <v>428</v>
      </c>
      <c r="WFR111" s="180" t="str">
        <f>VLOOKUP(WFQ111,[13]AssetDetails_UEM!$A$3:$AH$1849,6,FALSE)</f>
        <v>Electrosurgical Units, Monopolar/Bipolar</v>
      </c>
      <c r="WFS111" s="179" t="s">
        <v>428</v>
      </c>
      <c r="WFT111" s="180" t="str">
        <f>VLOOKUP(WFS111,[13]AssetDetails_UEM!$A$3:$AH$1849,6,FALSE)</f>
        <v>Electrosurgical Units, Monopolar/Bipolar</v>
      </c>
      <c r="WFU111" s="179" t="s">
        <v>428</v>
      </c>
      <c r="WFV111" s="180" t="str">
        <f>VLOOKUP(WFU111,[13]AssetDetails_UEM!$A$3:$AH$1849,6,FALSE)</f>
        <v>Electrosurgical Units, Monopolar/Bipolar</v>
      </c>
      <c r="WFW111" s="179" t="s">
        <v>428</v>
      </c>
      <c r="WFX111" s="180" t="str">
        <f>VLOOKUP(WFW111,[13]AssetDetails_UEM!$A$3:$AH$1849,6,FALSE)</f>
        <v>Electrosurgical Units, Monopolar/Bipolar</v>
      </c>
      <c r="WFY111" s="179" t="s">
        <v>428</v>
      </c>
      <c r="WFZ111" s="180" t="str">
        <f>VLOOKUP(WFY111,[13]AssetDetails_UEM!$A$3:$AH$1849,6,FALSE)</f>
        <v>Electrosurgical Units, Monopolar/Bipolar</v>
      </c>
      <c r="WGA111" s="179" t="s">
        <v>428</v>
      </c>
      <c r="WGB111" s="180" t="str">
        <f>VLOOKUP(WGA111,[13]AssetDetails_UEM!$A$3:$AH$1849,6,FALSE)</f>
        <v>Electrosurgical Units, Monopolar/Bipolar</v>
      </c>
      <c r="WGC111" s="179" t="s">
        <v>428</v>
      </c>
      <c r="WGD111" s="180" t="str">
        <f>VLOOKUP(WGC111,[13]AssetDetails_UEM!$A$3:$AH$1849,6,FALSE)</f>
        <v>Electrosurgical Units, Monopolar/Bipolar</v>
      </c>
      <c r="WGE111" s="179" t="s">
        <v>428</v>
      </c>
      <c r="WGF111" s="180" t="str">
        <f>VLOOKUP(WGE111,[13]AssetDetails_UEM!$A$3:$AH$1849,6,FALSE)</f>
        <v>Electrosurgical Units, Monopolar/Bipolar</v>
      </c>
      <c r="WGG111" s="179" t="s">
        <v>428</v>
      </c>
      <c r="WGH111" s="180" t="str">
        <f>VLOOKUP(WGG111,[13]AssetDetails_UEM!$A$3:$AH$1849,6,FALSE)</f>
        <v>Electrosurgical Units, Monopolar/Bipolar</v>
      </c>
      <c r="WGI111" s="179" t="s">
        <v>428</v>
      </c>
      <c r="WGJ111" s="180" t="str">
        <f>VLOOKUP(WGI111,[13]AssetDetails_UEM!$A$3:$AH$1849,6,FALSE)</f>
        <v>Electrosurgical Units, Monopolar/Bipolar</v>
      </c>
      <c r="WGK111" s="179" t="s">
        <v>428</v>
      </c>
      <c r="WGL111" s="180" t="str">
        <f>VLOOKUP(WGK111,[13]AssetDetails_UEM!$A$3:$AH$1849,6,FALSE)</f>
        <v>Electrosurgical Units, Monopolar/Bipolar</v>
      </c>
      <c r="WGM111" s="179" t="s">
        <v>428</v>
      </c>
      <c r="WGN111" s="180" t="str">
        <f>VLOOKUP(WGM111,[13]AssetDetails_UEM!$A$3:$AH$1849,6,FALSE)</f>
        <v>Electrosurgical Units, Monopolar/Bipolar</v>
      </c>
      <c r="WGO111" s="179" t="s">
        <v>428</v>
      </c>
      <c r="WGP111" s="180" t="str">
        <f>VLOOKUP(WGO111,[13]AssetDetails_UEM!$A$3:$AH$1849,6,FALSE)</f>
        <v>Electrosurgical Units, Monopolar/Bipolar</v>
      </c>
      <c r="WGQ111" s="179" t="s">
        <v>428</v>
      </c>
      <c r="WGR111" s="180" t="str">
        <f>VLOOKUP(WGQ111,[13]AssetDetails_UEM!$A$3:$AH$1849,6,FALSE)</f>
        <v>Electrosurgical Units, Monopolar/Bipolar</v>
      </c>
      <c r="WGS111" s="179" t="s">
        <v>428</v>
      </c>
      <c r="WGT111" s="180" t="str">
        <f>VLOOKUP(WGS111,[13]AssetDetails_UEM!$A$3:$AH$1849,6,FALSE)</f>
        <v>Electrosurgical Units, Monopolar/Bipolar</v>
      </c>
      <c r="WGU111" s="179" t="s">
        <v>428</v>
      </c>
      <c r="WGV111" s="180" t="str">
        <f>VLOOKUP(WGU111,[13]AssetDetails_UEM!$A$3:$AH$1849,6,FALSE)</f>
        <v>Electrosurgical Units, Monopolar/Bipolar</v>
      </c>
      <c r="WGW111" s="179" t="s">
        <v>428</v>
      </c>
      <c r="WGX111" s="180" t="str">
        <f>VLOOKUP(WGW111,[13]AssetDetails_UEM!$A$3:$AH$1849,6,FALSE)</f>
        <v>Electrosurgical Units, Monopolar/Bipolar</v>
      </c>
      <c r="WGY111" s="179" t="s">
        <v>428</v>
      </c>
      <c r="WGZ111" s="180" t="str">
        <f>VLOOKUP(WGY111,[13]AssetDetails_UEM!$A$3:$AH$1849,6,FALSE)</f>
        <v>Electrosurgical Units, Monopolar/Bipolar</v>
      </c>
      <c r="WHA111" s="179" t="s">
        <v>428</v>
      </c>
      <c r="WHB111" s="180" t="str">
        <f>VLOOKUP(WHA111,[13]AssetDetails_UEM!$A$3:$AH$1849,6,FALSE)</f>
        <v>Electrosurgical Units, Monopolar/Bipolar</v>
      </c>
      <c r="WHC111" s="179" t="s">
        <v>428</v>
      </c>
      <c r="WHD111" s="180" t="str">
        <f>VLOOKUP(WHC111,[13]AssetDetails_UEM!$A$3:$AH$1849,6,FALSE)</f>
        <v>Electrosurgical Units, Monopolar/Bipolar</v>
      </c>
      <c r="WHE111" s="179" t="s">
        <v>428</v>
      </c>
      <c r="WHF111" s="180" t="str">
        <f>VLOOKUP(WHE111,[13]AssetDetails_UEM!$A$3:$AH$1849,6,FALSE)</f>
        <v>Electrosurgical Units, Monopolar/Bipolar</v>
      </c>
      <c r="WHG111" s="179" t="s">
        <v>428</v>
      </c>
      <c r="WHH111" s="180" t="str">
        <f>VLOOKUP(WHG111,[13]AssetDetails_UEM!$A$3:$AH$1849,6,FALSE)</f>
        <v>Electrosurgical Units, Monopolar/Bipolar</v>
      </c>
      <c r="WHI111" s="179" t="s">
        <v>428</v>
      </c>
      <c r="WHJ111" s="180" t="str">
        <f>VLOOKUP(WHI111,[13]AssetDetails_UEM!$A$3:$AH$1849,6,FALSE)</f>
        <v>Electrosurgical Units, Monopolar/Bipolar</v>
      </c>
      <c r="WHK111" s="179" t="s">
        <v>428</v>
      </c>
      <c r="WHL111" s="180" t="str">
        <f>VLOOKUP(WHK111,[13]AssetDetails_UEM!$A$3:$AH$1849,6,FALSE)</f>
        <v>Electrosurgical Units, Monopolar/Bipolar</v>
      </c>
      <c r="WHM111" s="179" t="s">
        <v>428</v>
      </c>
      <c r="WHN111" s="180" t="str">
        <f>VLOOKUP(WHM111,[13]AssetDetails_UEM!$A$3:$AH$1849,6,FALSE)</f>
        <v>Electrosurgical Units, Monopolar/Bipolar</v>
      </c>
      <c r="WHO111" s="179" t="s">
        <v>428</v>
      </c>
      <c r="WHP111" s="180" t="str">
        <f>VLOOKUP(WHO111,[13]AssetDetails_UEM!$A$3:$AH$1849,6,FALSE)</f>
        <v>Electrosurgical Units, Monopolar/Bipolar</v>
      </c>
      <c r="WHQ111" s="179" t="s">
        <v>428</v>
      </c>
      <c r="WHR111" s="180" t="str">
        <f>VLOOKUP(WHQ111,[13]AssetDetails_UEM!$A$3:$AH$1849,6,FALSE)</f>
        <v>Electrosurgical Units, Monopolar/Bipolar</v>
      </c>
      <c r="WHS111" s="179" t="s">
        <v>428</v>
      </c>
      <c r="WHT111" s="180" t="str">
        <f>VLOOKUP(WHS111,[13]AssetDetails_UEM!$A$3:$AH$1849,6,FALSE)</f>
        <v>Electrosurgical Units, Monopolar/Bipolar</v>
      </c>
      <c r="WHU111" s="179" t="s">
        <v>428</v>
      </c>
      <c r="WHV111" s="180" t="str">
        <f>VLOOKUP(WHU111,[13]AssetDetails_UEM!$A$3:$AH$1849,6,FALSE)</f>
        <v>Electrosurgical Units, Monopolar/Bipolar</v>
      </c>
      <c r="WHW111" s="179" t="s">
        <v>428</v>
      </c>
      <c r="WHX111" s="180" t="str">
        <f>VLOOKUP(WHW111,[13]AssetDetails_UEM!$A$3:$AH$1849,6,FALSE)</f>
        <v>Electrosurgical Units, Monopolar/Bipolar</v>
      </c>
      <c r="WHY111" s="179" t="s">
        <v>428</v>
      </c>
      <c r="WHZ111" s="180" t="str">
        <f>VLOOKUP(WHY111,[13]AssetDetails_UEM!$A$3:$AH$1849,6,FALSE)</f>
        <v>Electrosurgical Units, Monopolar/Bipolar</v>
      </c>
      <c r="WIA111" s="179" t="s">
        <v>428</v>
      </c>
      <c r="WIB111" s="180" t="str">
        <f>VLOOKUP(WIA111,[13]AssetDetails_UEM!$A$3:$AH$1849,6,FALSE)</f>
        <v>Electrosurgical Units, Monopolar/Bipolar</v>
      </c>
      <c r="WIC111" s="179" t="s">
        <v>428</v>
      </c>
      <c r="WID111" s="180" t="str">
        <f>VLOOKUP(WIC111,[13]AssetDetails_UEM!$A$3:$AH$1849,6,FALSE)</f>
        <v>Electrosurgical Units, Monopolar/Bipolar</v>
      </c>
      <c r="WIE111" s="179" t="s">
        <v>428</v>
      </c>
      <c r="WIF111" s="180" t="str">
        <f>VLOOKUP(WIE111,[13]AssetDetails_UEM!$A$3:$AH$1849,6,FALSE)</f>
        <v>Electrosurgical Units, Monopolar/Bipolar</v>
      </c>
      <c r="WIG111" s="179" t="s">
        <v>428</v>
      </c>
      <c r="WIH111" s="180" t="str">
        <f>VLOOKUP(WIG111,[13]AssetDetails_UEM!$A$3:$AH$1849,6,FALSE)</f>
        <v>Electrosurgical Units, Monopolar/Bipolar</v>
      </c>
      <c r="WII111" s="179" t="s">
        <v>428</v>
      </c>
      <c r="WIJ111" s="180" t="str">
        <f>VLOOKUP(WII111,[13]AssetDetails_UEM!$A$3:$AH$1849,6,FALSE)</f>
        <v>Electrosurgical Units, Monopolar/Bipolar</v>
      </c>
      <c r="WIK111" s="179" t="s">
        <v>428</v>
      </c>
      <c r="WIL111" s="180" t="str">
        <f>VLOOKUP(WIK111,[13]AssetDetails_UEM!$A$3:$AH$1849,6,FALSE)</f>
        <v>Electrosurgical Units, Monopolar/Bipolar</v>
      </c>
      <c r="WIM111" s="179" t="s">
        <v>428</v>
      </c>
      <c r="WIN111" s="180" t="str">
        <f>VLOOKUP(WIM111,[13]AssetDetails_UEM!$A$3:$AH$1849,6,FALSE)</f>
        <v>Electrosurgical Units, Monopolar/Bipolar</v>
      </c>
      <c r="WIO111" s="179" t="s">
        <v>428</v>
      </c>
      <c r="WIP111" s="180" t="str">
        <f>VLOOKUP(WIO111,[13]AssetDetails_UEM!$A$3:$AH$1849,6,FALSE)</f>
        <v>Electrosurgical Units, Monopolar/Bipolar</v>
      </c>
      <c r="WIQ111" s="179" t="s">
        <v>428</v>
      </c>
      <c r="WIR111" s="180" t="str">
        <f>VLOOKUP(WIQ111,[13]AssetDetails_UEM!$A$3:$AH$1849,6,FALSE)</f>
        <v>Electrosurgical Units, Monopolar/Bipolar</v>
      </c>
      <c r="WIS111" s="179" t="s">
        <v>428</v>
      </c>
      <c r="WIT111" s="180" t="str">
        <f>VLOOKUP(WIS111,[13]AssetDetails_UEM!$A$3:$AH$1849,6,FALSE)</f>
        <v>Electrosurgical Units, Monopolar/Bipolar</v>
      </c>
      <c r="WIU111" s="179" t="s">
        <v>428</v>
      </c>
      <c r="WIV111" s="180" t="str">
        <f>VLOOKUP(WIU111,[13]AssetDetails_UEM!$A$3:$AH$1849,6,FALSE)</f>
        <v>Electrosurgical Units, Monopolar/Bipolar</v>
      </c>
      <c r="WIW111" s="179" t="s">
        <v>428</v>
      </c>
      <c r="WIX111" s="180" t="str">
        <f>VLOOKUP(WIW111,[13]AssetDetails_UEM!$A$3:$AH$1849,6,FALSE)</f>
        <v>Electrosurgical Units, Monopolar/Bipolar</v>
      </c>
      <c r="WIY111" s="179" t="s">
        <v>428</v>
      </c>
      <c r="WIZ111" s="180" t="str">
        <f>VLOOKUP(WIY111,[13]AssetDetails_UEM!$A$3:$AH$1849,6,FALSE)</f>
        <v>Electrosurgical Units, Monopolar/Bipolar</v>
      </c>
      <c r="WJA111" s="179" t="s">
        <v>428</v>
      </c>
      <c r="WJB111" s="180" t="str">
        <f>VLOOKUP(WJA111,[13]AssetDetails_UEM!$A$3:$AH$1849,6,FALSE)</f>
        <v>Electrosurgical Units, Monopolar/Bipolar</v>
      </c>
      <c r="WJC111" s="179" t="s">
        <v>428</v>
      </c>
      <c r="WJD111" s="180" t="str">
        <f>VLOOKUP(WJC111,[13]AssetDetails_UEM!$A$3:$AH$1849,6,FALSE)</f>
        <v>Electrosurgical Units, Monopolar/Bipolar</v>
      </c>
      <c r="WJE111" s="179" t="s">
        <v>428</v>
      </c>
      <c r="WJF111" s="180" t="str">
        <f>VLOOKUP(WJE111,[13]AssetDetails_UEM!$A$3:$AH$1849,6,FALSE)</f>
        <v>Electrosurgical Units, Monopolar/Bipolar</v>
      </c>
      <c r="WJG111" s="179" t="s">
        <v>428</v>
      </c>
      <c r="WJH111" s="180" t="str">
        <f>VLOOKUP(WJG111,[13]AssetDetails_UEM!$A$3:$AH$1849,6,FALSE)</f>
        <v>Electrosurgical Units, Monopolar/Bipolar</v>
      </c>
      <c r="WJI111" s="179" t="s">
        <v>428</v>
      </c>
      <c r="WJJ111" s="180" t="str">
        <f>VLOOKUP(WJI111,[13]AssetDetails_UEM!$A$3:$AH$1849,6,FALSE)</f>
        <v>Electrosurgical Units, Monopolar/Bipolar</v>
      </c>
      <c r="WJK111" s="179" t="s">
        <v>428</v>
      </c>
      <c r="WJL111" s="180" t="str">
        <f>VLOOKUP(WJK111,[13]AssetDetails_UEM!$A$3:$AH$1849,6,FALSE)</f>
        <v>Electrosurgical Units, Monopolar/Bipolar</v>
      </c>
      <c r="WJM111" s="179" t="s">
        <v>428</v>
      </c>
      <c r="WJN111" s="180" t="str">
        <f>VLOOKUP(WJM111,[13]AssetDetails_UEM!$A$3:$AH$1849,6,FALSE)</f>
        <v>Electrosurgical Units, Monopolar/Bipolar</v>
      </c>
      <c r="WJO111" s="179" t="s">
        <v>428</v>
      </c>
      <c r="WJP111" s="180" t="str">
        <f>VLOOKUP(WJO111,[13]AssetDetails_UEM!$A$3:$AH$1849,6,FALSE)</f>
        <v>Electrosurgical Units, Monopolar/Bipolar</v>
      </c>
      <c r="WJQ111" s="179" t="s">
        <v>428</v>
      </c>
      <c r="WJR111" s="180" t="str">
        <f>VLOOKUP(WJQ111,[13]AssetDetails_UEM!$A$3:$AH$1849,6,FALSE)</f>
        <v>Electrosurgical Units, Monopolar/Bipolar</v>
      </c>
      <c r="WJS111" s="179" t="s">
        <v>428</v>
      </c>
      <c r="WJT111" s="180" t="str">
        <f>VLOOKUP(WJS111,[13]AssetDetails_UEM!$A$3:$AH$1849,6,FALSE)</f>
        <v>Electrosurgical Units, Monopolar/Bipolar</v>
      </c>
      <c r="WJU111" s="179" t="s">
        <v>428</v>
      </c>
      <c r="WJV111" s="180" t="str">
        <f>VLOOKUP(WJU111,[13]AssetDetails_UEM!$A$3:$AH$1849,6,FALSE)</f>
        <v>Electrosurgical Units, Monopolar/Bipolar</v>
      </c>
      <c r="WJW111" s="179" t="s">
        <v>428</v>
      </c>
      <c r="WJX111" s="180" t="str">
        <f>VLOOKUP(WJW111,[13]AssetDetails_UEM!$A$3:$AH$1849,6,FALSE)</f>
        <v>Electrosurgical Units, Monopolar/Bipolar</v>
      </c>
      <c r="WJY111" s="179" t="s">
        <v>428</v>
      </c>
      <c r="WJZ111" s="180" t="str">
        <f>VLOOKUP(WJY111,[13]AssetDetails_UEM!$A$3:$AH$1849,6,FALSE)</f>
        <v>Electrosurgical Units, Monopolar/Bipolar</v>
      </c>
      <c r="WKA111" s="179" t="s">
        <v>428</v>
      </c>
      <c r="WKB111" s="180" t="str">
        <f>VLOOKUP(WKA111,[13]AssetDetails_UEM!$A$3:$AH$1849,6,FALSE)</f>
        <v>Electrosurgical Units, Monopolar/Bipolar</v>
      </c>
      <c r="WKC111" s="179" t="s">
        <v>428</v>
      </c>
      <c r="WKD111" s="180" t="str">
        <f>VLOOKUP(WKC111,[13]AssetDetails_UEM!$A$3:$AH$1849,6,FALSE)</f>
        <v>Electrosurgical Units, Monopolar/Bipolar</v>
      </c>
      <c r="WKE111" s="179" t="s">
        <v>428</v>
      </c>
      <c r="WKF111" s="180" t="str">
        <f>VLOOKUP(WKE111,[13]AssetDetails_UEM!$A$3:$AH$1849,6,FALSE)</f>
        <v>Electrosurgical Units, Monopolar/Bipolar</v>
      </c>
      <c r="WKG111" s="179" t="s">
        <v>428</v>
      </c>
      <c r="WKH111" s="180" t="str">
        <f>VLOOKUP(WKG111,[13]AssetDetails_UEM!$A$3:$AH$1849,6,FALSE)</f>
        <v>Electrosurgical Units, Monopolar/Bipolar</v>
      </c>
      <c r="WKI111" s="179" t="s">
        <v>428</v>
      </c>
      <c r="WKJ111" s="180" t="str">
        <f>VLOOKUP(WKI111,[13]AssetDetails_UEM!$A$3:$AH$1849,6,FALSE)</f>
        <v>Electrosurgical Units, Monopolar/Bipolar</v>
      </c>
      <c r="WKK111" s="179" t="s">
        <v>428</v>
      </c>
      <c r="WKL111" s="180" t="str">
        <f>VLOOKUP(WKK111,[13]AssetDetails_UEM!$A$3:$AH$1849,6,FALSE)</f>
        <v>Electrosurgical Units, Monopolar/Bipolar</v>
      </c>
      <c r="WKM111" s="179" t="s">
        <v>428</v>
      </c>
      <c r="WKN111" s="180" t="str">
        <f>VLOOKUP(WKM111,[13]AssetDetails_UEM!$A$3:$AH$1849,6,FALSE)</f>
        <v>Electrosurgical Units, Monopolar/Bipolar</v>
      </c>
      <c r="WKO111" s="179" t="s">
        <v>428</v>
      </c>
      <c r="WKP111" s="180" t="str">
        <f>VLOOKUP(WKO111,[13]AssetDetails_UEM!$A$3:$AH$1849,6,FALSE)</f>
        <v>Electrosurgical Units, Monopolar/Bipolar</v>
      </c>
      <c r="WKQ111" s="179" t="s">
        <v>428</v>
      </c>
      <c r="WKR111" s="180" t="str">
        <f>VLOOKUP(WKQ111,[13]AssetDetails_UEM!$A$3:$AH$1849,6,FALSE)</f>
        <v>Electrosurgical Units, Monopolar/Bipolar</v>
      </c>
      <c r="WKS111" s="179" t="s">
        <v>428</v>
      </c>
      <c r="WKT111" s="180" t="str">
        <f>VLOOKUP(WKS111,[13]AssetDetails_UEM!$A$3:$AH$1849,6,FALSE)</f>
        <v>Electrosurgical Units, Monopolar/Bipolar</v>
      </c>
      <c r="WKU111" s="179" t="s">
        <v>428</v>
      </c>
      <c r="WKV111" s="180" t="str">
        <f>VLOOKUP(WKU111,[13]AssetDetails_UEM!$A$3:$AH$1849,6,FALSE)</f>
        <v>Electrosurgical Units, Monopolar/Bipolar</v>
      </c>
      <c r="WKW111" s="179" t="s">
        <v>428</v>
      </c>
      <c r="WKX111" s="180" t="str">
        <f>VLOOKUP(WKW111,[13]AssetDetails_UEM!$A$3:$AH$1849,6,FALSE)</f>
        <v>Electrosurgical Units, Monopolar/Bipolar</v>
      </c>
      <c r="WKY111" s="179" t="s">
        <v>428</v>
      </c>
      <c r="WKZ111" s="180" t="str">
        <f>VLOOKUP(WKY111,[13]AssetDetails_UEM!$A$3:$AH$1849,6,FALSE)</f>
        <v>Electrosurgical Units, Monopolar/Bipolar</v>
      </c>
      <c r="WLA111" s="179" t="s">
        <v>428</v>
      </c>
      <c r="WLB111" s="180" t="str">
        <f>VLOOKUP(WLA111,[13]AssetDetails_UEM!$A$3:$AH$1849,6,FALSE)</f>
        <v>Electrosurgical Units, Monopolar/Bipolar</v>
      </c>
      <c r="WLC111" s="179" t="s">
        <v>428</v>
      </c>
      <c r="WLD111" s="180" t="str">
        <f>VLOOKUP(WLC111,[13]AssetDetails_UEM!$A$3:$AH$1849,6,FALSE)</f>
        <v>Electrosurgical Units, Monopolar/Bipolar</v>
      </c>
      <c r="WLE111" s="179" t="s">
        <v>428</v>
      </c>
      <c r="WLF111" s="180" t="str">
        <f>VLOOKUP(WLE111,[13]AssetDetails_UEM!$A$3:$AH$1849,6,FALSE)</f>
        <v>Electrosurgical Units, Monopolar/Bipolar</v>
      </c>
      <c r="WLG111" s="179" t="s">
        <v>428</v>
      </c>
      <c r="WLH111" s="180" t="str">
        <f>VLOOKUP(WLG111,[13]AssetDetails_UEM!$A$3:$AH$1849,6,FALSE)</f>
        <v>Electrosurgical Units, Monopolar/Bipolar</v>
      </c>
      <c r="WLI111" s="179" t="s">
        <v>428</v>
      </c>
      <c r="WLJ111" s="180" t="str">
        <f>VLOOKUP(WLI111,[13]AssetDetails_UEM!$A$3:$AH$1849,6,FALSE)</f>
        <v>Electrosurgical Units, Monopolar/Bipolar</v>
      </c>
      <c r="WLK111" s="179" t="s">
        <v>428</v>
      </c>
      <c r="WLL111" s="180" t="str">
        <f>VLOOKUP(WLK111,[13]AssetDetails_UEM!$A$3:$AH$1849,6,FALSE)</f>
        <v>Electrosurgical Units, Monopolar/Bipolar</v>
      </c>
      <c r="WLM111" s="179" t="s">
        <v>428</v>
      </c>
      <c r="WLN111" s="180" t="str">
        <f>VLOOKUP(WLM111,[13]AssetDetails_UEM!$A$3:$AH$1849,6,FALSE)</f>
        <v>Electrosurgical Units, Monopolar/Bipolar</v>
      </c>
      <c r="WLO111" s="179" t="s">
        <v>428</v>
      </c>
      <c r="WLP111" s="180" t="str">
        <f>VLOOKUP(WLO111,[13]AssetDetails_UEM!$A$3:$AH$1849,6,FALSE)</f>
        <v>Electrosurgical Units, Monopolar/Bipolar</v>
      </c>
      <c r="WLQ111" s="179" t="s">
        <v>428</v>
      </c>
      <c r="WLR111" s="180" t="str">
        <f>VLOOKUP(WLQ111,[13]AssetDetails_UEM!$A$3:$AH$1849,6,FALSE)</f>
        <v>Electrosurgical Units, Monopolar/Bipolar</v>
      </c>
      <c r="WLS111" s="179" t="s">
        <v>428</v>
      </c>
      <c r="WLT111" s="180" t="str">
        <f>VLOOKUP(WLS111,[13]AssetDetails_UEM!$A$3:$AH$1849,6,FALSE)</f>
        <v>Electrosurgical Units, Monopolar/Bipolar</v>
      </c>
      <c r="WLU111" s="179" t="s">
        <v>428</v>
      </c>
      <c r="WLV111" s="180" t="str">
        <f>VLOOKUP(WLU111,[13]AssetDetails_UEM!$A$3:$AH$1849,6,FALSE)</f>
        <v>Electrosurgical Units, Monopolar/Bipolar</v>
      </c>
      <c r="WLW111" s="179" t="s">
        <v>428</v>
      </c>
      <c r="WLX111" s="180" t="str">
        <f>VLOOKUP(WLW111,[13]AssetDetails_UEM!$A$3:$AH$1849,6,FALSE)</f>
        <v>Electrosurgical Units, Monopolar/Bipolar</v>
      </c>
      <c r="WLY111" s="179" t="s">
        <v>428</v>
      </c>
      <c r="WLZ111" s="180" t="str">
        <f>VLOOKUP(WLY111,[13]AssetDetails_UEM!$A$3:$AH$1849,6,FALSE)</f>
        <v>Electrosurgical Units, Monopolar/Bipolar</v>
      </c>
      <c r="WMA111" s="179" t="s">
        <v>428</v>
      </c>
      <c r="WMB111" s="180" t="str">
        <f>VLOOKUP(WMA111,[13]AssetDetails_UEM!$A$3:$AH$1849,6,FALSE)</f>
        <v>Electrosurgical Units, Monopolar/Bipolar</v>
      </c>
      <c r="WMC111" s="179" t="s">
        <v>428</v>
      </c>
      <c r="WMD111" s="180" t="str">
        <f>VLOOKUP(WMC111,[13]AssetDetails_UEM!$A$3:$AH$1849,6,FALSE)</f>
        <v>Electrosurgical Units, Monopolar/Bipolar</v>
      </c>
      <c r="WME111" s="179" t="s">
        <v>428</v>
      </c>
      <c r="WMF111" s="180" t="str">
        <f>VLOOKUP(WME111,[13]AssetDetails_UEM!$A$3:$AH$1849,6,FALSE)</f>
        <v>Electrosurgical Units, Monopolar/Bipolar</v>
      </c>
      <c r="WMG111" s="179" t="s">
        <v>428</v>
      </c>
      <c r="WMH111" s="180" t="str">
        <f>VLOOKUP(WMG111,[13]AssetDetails_UEM!$A$3:$AH$1849,6,FALSE)</f>
        <v>Electrosurgical Units, Monopolar/Bipolar</v>
      </c>
      <c r="WMI111" s="179" t="s">
        <v>428</v>
      </c>
      <c r="WMJ111" s="180" t="str">
        <f>VLOOKUP(WMI111,[13]AssetDetails_UEM!$A$3:$AH$1849,6,FALSE)</f>
        <v>Electrosurgical Units, Monopolar/Bipolar</v>
      </c>
      <c r="WMK111" s="179" t="s">
        <v>428</v>
      </c>
      <c r="WML111" s="180" t="str">
        <f>VLOOKUP(WMK111,[13]AssetDetails_UEM!$A$3:$AH$1849,6,FALSE)</f>
        <v>Electrosurgical Units, Monopolar/Bipolar</v>
      </c>
      <c r="WMM111" s="179" t="s">
        <v>428</v>
      </c>
      <c r="WMN111" s="180" t="str">
        <f>VLOOKUP(WMM111,[13]AssetDetails_UEM!$A$3:$AH$1849,6,FALSE)</f>
        <v>Electrosurgical Units, Monopolar/Bipolar</v>
      </c>
      <c r="WMO111" s="179" t="s">
        <v>428</v>
      </c>
      <c r="WMP111" s="180" t="str">
        <f>VLOOKUP(WMO111,[13]AssetDetails_UEM!$A$3:$AH$1849,6,FALSE)</f>
        <v>Electrosurgical Units, Monopolar/Bipolar</v>
      </c>
      <c r="WMQ111" s="179" t="s">
        <v>428</v>
      </c>
      <c r="WMR111" s="180" t="str">
        <f>VLOOKUP(WMQ111,[13]AssetDetails_UEM!$A$3:$AH$1849,6,FALSE)</f>
        <v>Electrosurgical Units, Monopolar/Bipolar</v>
      </c>
      <c r="WMS111" s="179" t="s">
        <v>428</v>
      </c>
      <c r="WMT111" s="180" t="str">
        <f>VLOOKUP(WMS111,[13]AssetDetails_UEM!$A$3:$AH$1849,6,FALSE)</f>
        <v>Electrosurgical Units, Monopolar/Bipolar</v>
      </c>
      <c r="WMU111" s="179" t="s">
        <v>428</v>
      </c>
      <c r="WMV111" s="180" t="str">
        <f>VLOOKUP(WMU111,[13]AssetDetails_UEM!$A$3:$AH$1849,6,FALSE)</f>
        <v>Electrosurgical Units, Monopolar/Bipolar</v>
      </c>
      <c r="WMW111" s="179" t="s">
        <v>428</v>
      </c>
      <c r="WMX111" s="180" t="str">
        <f>VLOOKUP(WMW111,[13]AssetDetails_UEM!$A$3:$AH$1849,6,FALSE)</f>
        <v>Electrosurgical Units, Monopolar/Bipolar</v>
      </c>
      <c r="WMY111" s="179" t="s">
        <v>428</v>
      </c>
      <c r="WMZ111" s="180" t="str">
        <f>VLOOKUP(WMY111,[13]AssetDetails_UEM!$A$3:$AH$1849,6,FALSE)</f>
        <v>Electrosurgical Units, Monopolar/Bipolar</v>
      </c>
      <c r="WNA111" s="179" t="s">
        <v>428</v>
      </c>
      <c r="WNB111" s="180" t="str">
        <f>VLOOKUP(WNA111,[13]AssetDetails_UEM!$A$3:$AH$1849,6,FALSE)</f>
        <v>Electrosurgical Units, Monopolar/Bipolar</v>
      </c>
      <c r="WNC111" s="179" t="s">
        <v>428</v>
      </c>
      <c r="WND111" s="180" t="str">
        <f>VLOOKUP(WNC111,[13]AssetDetails_UEM!$A$3:$AH$1849,6,FALSE)</f>
        <v>Electrosurgical Units, Monopolar/Bipolar</v>
      </c>
      <c r="WNE111" s="179" t="s">
        <v>428</v>
      </c>
      <c r="WNF111" s="180" t="str">
        <f>VLOOKUP(WNE111,[13]AssetDetails_UEM!$A$3:$AH$1849,6,FALSE)</f>
        <v>Electrosurgical Units, Monopolar/Bipolar</v>
      </c>
      <c r="WNG111" s="179" t="s">
        <v>428</v>
      </c>
      <c r="WNH111" s="180" t="str">
        <f>VLOOKUP(WNG111,[13]AssetDetails_UEM!$A$3:$AH$1849,6,FALSE)</f>
        <v>Electrosurgical Units, Monopolar/Bipolar</v>
      </c>
      <c r="WNI111" s="179" t="s">
        <v>428</v>
      </c>
      <c r="WNJ111" s="180" t="str">
        <f>VLOOKUP(WNI111,[13]AssetDetails_UEM!$A$3:$AH$1849,6,FALSE)</f>
        <v>Electrosurgical Units, Monopolar/Bipolar</v>
      </c>
      <c r="WNK111" s="179" t="s">
        <v>428</v>
      </c>
      <c r="WNL111" s="180" t="str">
        <f>VLOOKUP(WNK111,[13]AssetDetails_UEM!$A$3:$AH$1849,6,FALSE)</f>
        <v>Electrosurgical Units, Monopolar/Bipolar</v>
      </c>
      <c r="WNM111" s="179" t="s">
        <v>428</v>
      </c>
      <c r="WNN111" s="180" t="str">
        <f>VLOOKUP(WNM111,[13]AssetDetails_UEM!$A$3:$AH$1849,6,FALSE)</f>
        <v>Electrosurgical Units, Monopolar/Bipolar</v>
      </c>
      <c r="WNO111" s="179" t="s">
        <v>428</v>
      </c>
      <c r="WNP111" s="180" t="str">
        <f>VLOOKUP(WNO111,[13]AssetDetails_UEM!$A$3:$AH$1849,6,FALSE)</f>
        <v>Electrosurgical Units, Monopolar/Bipolar</v>
      </c>
      <c r="WNQ111" s="179" t="s">
        <v>428</v>
      </c>
      <c r="WNR111" s="180" t="str">
        <f>VLOOKUP(WNQ111,[13]AssetDetails_UEM!$A$3:$AH$1849,6,FALSE)</f>
        <v>Electrosurgical Units, Monopolar/Bipolar</v>
      </c>
      <c r="WNS111" s="179" t="s">
        <v>428</v>
      </c>
      <c r="WNT111" s="180" t="str">
        <f>VLOOKUP(WNS111,[13]AssetDetails_UEM!$A$3:$AH$1849,6,FALSE)</f>
        <v>Electrosurgical Units, Monopolar/Bipolar</v>
      </c>
      <c r="WNU111" s="179" t="s">
        <v>428</v>
      </c>
      <c r="WNV111" s="180" t="str">
        <f>VLOOKUP(WNU111,[13]AssetDetails_UEM!$A$3:$AH$1849,6,FALSE)</f>
        <v>Electrosurgical Units, Monopolar/Bipolar</v>
      </c>
      <c r="WNW111" s="179" t="s">
        <v>428</v>
      </c>
      <c r="WNX111" s="180" t="str">
        <f>VLOOKUP(WNW111,[13]AssetDetails_UEM!$A$3:$AH$1849,6,FALSE)</f>
        <v>Electrosurgical Units, Monopolar/Bipolar</v>
      </c>
      <c r="WNY111" s="179" t="s">
        <v>428</v>
      </c>
      <c r="WNZ111" s="180" t="str">
        <f>VLOOKUP(WNY111,[13]AssetDetails_UEM!$A$3:$AH$1849,6,FALSE)</f>
        <v>Electrosurgical Units, Monopolar/Bipolar</v>
      </c>
      <c r="WOA111" s="179" t="s">
        <v>428</v>
      </c>
      <c r="WOB111" s="180" t="str">
        <f>VLOOKUP(WOA111,[13]AssetDetails_UEM!$A$3:$AH$1849,6,FALSE)</f>
        <v>Electrosurgical Units, Monopolar/Bipolar</v>
      </c>
      <c r="WOC111" s="179" t="s">
        <v>428</v>
      </c>
      <c r="WOD111" s="180" t="str">
        <f>VLOOKUP(WOC111,[13]AssetDetails_UEM!$A$3:$AH$1849,6,FALSE)</f>
        <v>Electrosurgical Units, Monopolar/Bipolar</v>
      </c>
      <c r="WOE111" s="179" t="s">
        <v>428</v>
      </c>
      <c r="WOF111" s="180" t="str">
        <f>VLOOKUP(WOE111,[13]AssetDetails_UEM!$A$3:$AH$1849,6,FALSE)</f>
        <v>Electrosurgical Units, Monopolar/Bipolar</v>
      </c>
      <c r="WOG111" s="179" t="s">
        <v>428</v>
      </c>
      <c r="WOH111" s="180" t="str">
        <f>VLOOKUP(WOG111,[13]AssetDetails_UEM!$A$3:$AH$1849,6,FALSE)</f>
        <v>Electrosurgical Units, Monopolar/Bipolar</v>
      </c>
      <c r="WOI111" s="179" t="s">
        <v>428</v>
      </c>
      <c r="WOJ111" s="180" t="str">
        <f>VLOOKUP(WOI111,[13]AssetDetails_UEM!$A$3:$AH$1849,6,FALSE)</f>
        <v>Electrosurgical Units, Monopolar/Bipolar</v>
      </c>
      <c r="WOK111" s="179" t="s">
        <v>428</v>
      </c>
      <c r="WOL111" s="180" t="str">
        <f>VLOOKUP(WOK111,[13]AssetDetails_UEM!$A$3:$AH$1849,6,FALSE)</f>
        <v>Electrosurgical Units, Monopolar/Bipolar</v>
      </c>
      <c r="WOM111" s="179" t="s">
        <v>428</v>
      </c>
      <c r="WON111" s="180" t="str">
        <f>VLOOKUP(WOM111,[13]AssetDetails_UEM!$A$3:$AH$1849,6,FALSE)</f>
        <v>Electrosurgical Units, Monopolar/Bipolar</v>
      </c>
      <c r="WOO111" s="179" t="s">
        <v>428</v>
      </c>
      <c r="WOP111" s="180" t="str">
        <f>VLOOKUP(WOO111,[13]AssetDetails_UEM!$A$3:$AH$1849,6,FALSE)</f>
        <v>Electrosurgical Units, Monopolar/Bipolar</v>
      </c>
      <c r="WOQ111" s="179" t="s">
        <v>428</v>
      </c>
      <c r="WOR111" s="180" t="str">
        <f>VLOOKUP(WOQ111,[13]AssetDetails_UEM!$A$3:$AH$1849,6,FALSE)</f>
        <v>Electrosurgical Units, Monopolar/Bipolar</v>
      </c>
      <c r="WOS111" s="179" t="s">
        <v>428</v>
      </c>
      <c r="WOT111" s="180" t="str">
        <f>VLOOKUP(WOS111,[13]AssetDetails_UEM!$A$3:$AH$1849,6,FALSE)</f>
        <v>Electrosurgical Units, Monopolar/Bipolar</v>
      </c>
      <c r="WOU111" s="179" t="s">
        <v>428</v>
      </c>
      <c r="WOV111" s="180" t="str">
        <f>VLOOKUP(WOU111,[13]AssetDetails_UEM!$A$3:$AH$1849,6,FALSE)</f>
        <v>Electrosurgical Units, Monopolar/Bipolar</v>
      </c>
      <c r="WOW111" s="179" t="s">
        <v>428</v>
      </c>
      <c r="WOX111" s="180" t="str">
        <f>VLOOKUP(WOW111,[13]AssetDetails_UEM!$A$3:$AH$1849,6,FALSE)</f>
        <v>Electrosurgical Units, Monopolar/Bipolar</v>
      </c>
      <c r="WOY111" s="179" t="s">
        <v>428</v>
      </c>
      <c r="WOZ111" s="180" t="str">
        <f>VLOOKUP(WOY111,[13]AssetDetails_UEM!$A$3:$AH$1849,6,FALSE)</f>
        <v>Electrosurgical Units, Monopolar/Bipolar</v>
      </c>
      <c r="WPA111" s="179" t="s">
        <v>428</v>
      </c>
      <c r="WPB111" s="180" t="str">
        <f>VLOOKUP(WPA111,[13]AssetDetails_UEM!$A$3:$AH$1849,6,FALSE)</f>
        <v>Electrosurgical Units, Monopolar/Bipolar</v>
      </c>
      <c r="WPC111" s="179" t="s">
        <v>428</v>
      </c>
      <c r="WPD111" s="180" t="str">
        <f>VLOOKUP(WPC111,[13]AssetDetails_UEM!$A$3:$AH$1849,6,FALSE)</f>
        <v>Electrosurgical Units, Monopolar/Bipolar</v>
      </c>
      <c r="WPE111" s="179" t="s">
        <v>428</v>
      </c>
      <c r="WPF111" s="180" t="str">
        <f>VLOOKUP(WPE111,[13]AssetDetails_UEM!$A$3:$AH$1849,6,FALSE)</f>
        <v>Electrosurgical Units, Monopolar/Bipolar</v>
      </c>
      <c r="WPG111" s="179" t="s">
        <v>428</v>
      </c>
      <c r="WPH111" s="180" t="str">
        <f>VLOOKUP(WPG111,[13]AssetDetails_UEM!$A$3:$AH$1849,6,FALSE)</f>
        <v>Electrosurgical Units, Monopolar/Bipolar</v>
      </c>
      <c r="WPI111" s="179" t="s">
        <v>428</v>
      </c>
      <c r="WPJ111" s="180" t="str">
        <f>VLOOKUP(WPI111,[13]AssetDetails_UEM!$A$3:$AH$1849,6,FALSE)</f>
        <v>Electrosurgical Units, Monopolar/Bipolar</v>
      </c>
      <c r="WPK111" s="179" t="s">
        <v>428</v>
      </c>
      <c r="WPL111" s="180" t="str">
        <f>VLOOKUP(WPK111,[13]AssetDetails_UEM!$A$3:$AH$1849,6,FALSE)</f>
        <v>Electrosurgical Units, Monopolar/Bipolar</v>
      </c>
      <c r="WPM111" s="179" t="s">
        <v>428</v>
      </c>
      <c r="WPN111" s="180" t="str">
        <f>VLOOKUP(WPM111,[13]AssetDetails_UEM!$A$3:$AH$1849,6,FALSE)</f>
        <v>Electrosurgical Units, Monopolar/Bipolar</v>
      </c>
      <c r="WPO111" s="179" t="s">
        <v>428</v>
      </c>
      <c r="WPP111" s="180" t="str">
        <f>VLOOKUP(WPO111,[13]AssetDetails_UEM!$A$3:$AH$1849,6,FALSE)</f>
        <v>Electrosurgical Units, Monopolar/Bipolar</v>
      </c>
      <c r="WPQ111" s="179" t="s">
        <v>428</v>
      </c>
      <c r="WPR111" s="180" t="str">
        <f>VLOOKUP(WPQ111,[13]AssetDetails_UEM!$A$3:$AH$1849,6,FALSE)</f>
        <v>Electrosurgical Units, Monopolar/Bipolar</v>
      </c>
      <c r="WPS111" s="179" t="s">
        <v>428</v>
      </c>
      <c r="WPT111" s="180" t="str">
        <f>VLOOKUP(WPS111,[13]AssetDetails_UEM!$A$3:$AH$1849,6,FALSE)</f>
        <v>Electrosurgical Units, Monopolar/Bipolar</v>
      </c>
      <c r="WPU111" s="179" t="s">
        <v>428</v>
      </c>
      <c r="WPV111" s="180" t="str">
        <f>VLOOKUP(WPU111,[13]AssetDetails_UEM!$A$3:$AH$1849,6,FALSE)</f>
        <v>Electrosurgical Units, Monopolar/Bipolar</v>
      </c>
      <c r="WPW111" s="179" t="s">
        <v>428</v>
      </c>
      <c r="WPX111" s="180" t="str">
        <f>VLOOKUP(WPW111,[13]AssetDetails_UEM!$A$3:$AH$1849,6,FALSE)</f>
        <v>Electrosurgical Units, Monopolar/Bipolar</v>
      </c>
      <c r="WPY111" s="179" t="s">
        <v>428</v>
      </c>
      <c r="WPZ111" s="180" t="str">
        <f>VLOOKUP(WPY111,[13]AssetDetails_UEM!$A$3:$AH$1849,6,FALSE)</f>
        <v>Electrosurgical Units, Monopolar/Bipolar</v>
      </c>
      <c r="WQA111" s="179" t="s">
        <v>428</v>
      </c>
      <c r="WQB111" s="180" t="str">
        <f>VLOOKUP(WQA111,[13]AssetDetails_UEM!$A$3:$AH$1849,6,FALSE)</f>
        <v>Electrosurgical Units, Monopolar/Bipolar</v>
      </c>
      <c r="WQC111" s="179" t="s">
        <v>428</v>
      </c>
      <c r="WQD111" s="180" t="str">
        <f>VLOOKUP(WQC111,[13]AssetDetails_UEM!$A$3:$AH$1849,6,FALSE)</f>
        <v>Electrosurgical Units, Monopolar/Bipolar</v>
      </c>
      <c r="WQE111" s="179" t="s">
        <v>428</v>
      </c>
      <c r="WQF111" s="180" t="str">
        <f>VLOOKUP(WQE111,[13]AssetDetails_UEM!$A$3:$AH$1849,6,FALSE)</f>
        <v>Electrosurgical Units, Monopolar/Bipolar</v>
      </c>
      <c r="WQG111" s="179" t="s">
        <v>428</v>
      </c>
      <c r="WQH111" s="180" t="str">
        <f>VLOOKUP(WQG111,[13]AssetDetails_UEM!$A$3:$AH$1849,6,FALSE)</f>
        <v>Electrosurgical Units, Monopolar/Bipolar</v>
      </c>
      <c r="WQI111" s="179" t="s">
        <v>428</v>
      </c>
      <c r="WQJ111" s="180" t="str">
        <f>VLOOKUP(WQI111,[13]AssetDetails_UEM!$A$3:$AH$1849,6,FALSE)</f>
        <v>Electrosurgical Units, Monopolar/Bipolar</v>
      </c>
      <c r="WQK111" s="179" t="s">
        <v>428</v>
      </c>
      <c r="WQL111" s="180" t="str">
        <f>VLOOKUP(WQK111,[13]AssetDetails_UEM!$A$3:$AH$1849,6,FALSE)</f>
        <v>Electrosurgical Units, Monopolar/Bipolar</v>
      </c>
      <c r="WQM111" s="179" t="s">
        <v>428</v>
      </c>
      <c r="WQN111" s="180" t="str">
        <f>VLOOKUP(WQM111,[13]AssetDetails_UEM!$A$3:$AH$1849,6,FALSE)</f>
        <v>Electrosurgical Units, Monopolar/Bipolar</v>
      </c>
      <c r="WQO111" s="179" t="s">
        <v>428</v>
      </c>
      <c r="WQP111" s="180" t="str">
        <f>VLOOKUP(WQO111,[13]AssetDetails_UEM!$A$3:$AH$1849,6,FALSE)</f>
        <v>Electrosurgical Units, Monopolar/Bipolar</v>
      </c>
      <c r="WQQ111" s="179" t="s">
        <v>428</v>
      </c>
      <c r="WQR111" s="180" t="str">
        <f>VLOOKUP(WQQ111,[13]AssetDetails_UEM!$A$3:$AH$1849,6,FALSE)</f>
        <v>Electrosurgical Units, Monopolar/Bipolar</v>
      </c>
      <c r="WQS111" s="179" t="s">
        <v>428</v>
      </c>
      <c r="WQT111" s="180" t="str">
        <f>VLOOKUP(WQS111,[13]AssetDetails_UEM!$A$3:$AH$1849,6,FALSE)</f>
        <v>Electrosurgical Units, Monopolar/Bipolar</v>
      </c>
      <c r="WQU111" s="179" t="s">
        <v>428</v>
      </c>
      <c r="WQV111" s="180" t="str">
        <f>VLOOKUP(WQU111,[13]AssetDetails_UEM!$A$3:$AH$1849,6,FALSE)</f>
        <v>Electrosurgical Units, Monopolar/Bipolar</v>
      </c>
      <c r="WQW111" s="179" t="s">
        <v>428</v>
      </c>
      <c r="WQX111" s="180" t="str">
        <f>VLOOKUP(WQW111,[13]AssetDetails_UEM!$A$3:$AH$1849,6,FALSE)</f>
        <v>Electrosurgical Units, Monopolar/Bipolar</v>
      </c>
      <c r="WQY111" s="179" t="s">
        <v>428</v>
      </c>
      <c r="WQZ111" s="180" t="str">
        <f>VLOOKUP(WQY111,[13]AssetDetails_UEM!$A$3:$AH$1849,6,FALSE)</f>
        <v>Electrosurgical Units, Monopolar/Bipolar</v>
      </c>
      <c r="WRA111" s="179" t="s">
        <v>428</v>
      </c>
      <c r="WRB111" s="180" t="str">
        <f>VLOOKUP(WRA111,[13]AssetDetails_UEM!$A$3:$AH$1849,6,FALSE)</f>
        <v>Electrosurgical Units, Monopolar/Bipolar</v>
      </c>
      <c r="WRC111" s="179" t="s">
        <v>428</v>
      </c>
      <c r="WRD111" s="180" t="str">
        <f>VLOOKUP(WRC111,[13]AssetDetails_UEM!$A$3:$AH$1849,6,FALSE)</f>
        <v>Electrosurgical Units, Monopolar/Bipolar</v>
      </c>
      <c r="WRE111" s="179" t="s">
        <v>428</v>
      </c>
      <c r="WRF111" s="180" t="str">
        <f>VLOOKUP(WRE111,[13]AssetDetails_UEM!$A$3:$AH$1849,6,FALSE)</f>
        <v>Electrosurgical Units, Monopolar/Bipolar</v>
      </c>
      <c r="WRG111" s="179" t="s">
        <v>428</v>
      </c>
      <c r="WRH111" s="180" t="str">
        <f>VLOOKUP(WRG111,[13]AssetDetails_UEM!$A$3:$AH$1849,6,FALSE)</f>
        <v>Electrosurgical Units, Monopolar/Bipolar</v>
      </c>
      <c r="WRI111" s="179" t="s">
        <v>428</v>
      </c>
      <c r="WRJ111" s="180" t="str">
        <f>VLOOKUP(WRI111,[13]AssetDetails_UEM!$A$3:$AH$1849,6,FALSE)</f>
        <v>Electrosurgical Units, Monopolar/Bipolar</v>
      </c>
      <c r="WRK111" s="179" t="s">
        <v>428</v>
      </c>
      <c r="WRL111" s="180" t="str">
        <f>VLOOKUP(WRK111,[13]AssetDetails_UEM!$A$3:$AH$1849,6,FALSE)</f>
        <v>Electrosurgical Units, Monopolar/Bipolar</v>
      </c>
      <c r="WRM111" s="179" t="s">
        <v>428</v>
      </c>
      <c r="WRN111" s="180" t="str">
        <f>VLOOKUP(WRM111,[13]AssetDetails_UEM!$A$3:$AH$1849,6,FALSE)</f>
        <v>Electrosurgical Units, Monopolar/Bipolar</v>
      </c>
      <c r="WRO111" s="179" t="s">
        <v>428</v>
      </c>
      <c r="WRP111" s="180" t="str">
        <f>VLOOKUP(WRO111,[13]AssetDetails_UEM!$A$3:$AH$1849,6,FALSE)</f>
        <v>Electrosurgical Units, Monopolar/Bipolar</v>
      </c>
      <c r="WRQ111" s="179" t="s">
        <v>428</v>
      </c>
      <c r="WRR111" s="180" t="str">
        <f>VLOOKUP(WRQ111,[13]AssetDetails_UEM!$A$3:$AH$1849,6,FALSE)</f>
        <v>Electrosurgical Units, Monopolar/Bipolar</v>
      </c>
      <c r="WRS111" s="179" t="s">
        <v>428</v>
      </c>
      <c r="WRT111" s="180" t="str">
        <f>VLOOKUP(WRS111,[13]AssetDetails_UEM!$A$3:$AH$1849,6,FALSE)</f>
        <v>Electrosurgical Units, Monopolar/Bipolar</v>
      </c>
      <c r="WRU111" s="179" t="s">
        <v>428</v>
      </c>
      <c r="WRV111" s="180" t="str">
        <f>VLOOKUP(WRU111,[13]AssetDetails_UEM!$A$3:$AH$1849,6,FALSE)</f>
        <v>Electrosurgical Units, Monopolar/Bipolar</v>
      </c>
      <c r="WRW111" s="179" t="s">
        <v>428</v>
      </c>
      <c r="WRX111" s="180" t="str">
        <f>VLOOKUP(WRW111,[13]AssetDetails_UEM!$A$3:$AH$1849,6,FALSE)</f>
        <v>Electrosurgical Units, Monopolar/Bipolar</v>
      </c>
      <c r="WRY111" s="179" t="s">
        <v>428</v>
      </c>
      <c r="WRZ111" s="180" t="str">
        <f>VLOOKUP(WRY111,[13]AssetDetails_UEM!$A$3:$AH$1849,6,FALSE)</f>
        <v>Electrosurgical Units, Monopolar/Bipolar</v>
      </c>
      <c r="WSA111" s="179" t="s">
        <v>428</v>
      </c>
      <c r="WSB111" s="180" t="str">
        <f>VLOOKUP(WSA111,[13]AssetDetails_UEM!$A$3:$AH$1849,6,FALSE)</f>
        <v>Electrosurgical Units, Monopolar/Bipolar</v>
      </c>
      <c r="WSC111" s="179" t="s">
        <v>428</v>
      </c>
      <c r="WSD111" s="180" t="str">
        <f>VLOOKUP(WSC111,[13]AssetDetails_UEM!$A$3:$AH$1849,6,FALSE)</f>
        <v>Electrosurgical Units, Monopolar/Bipolar</v>
      </c>
      <c r="WSE111" s="179" t="s">
        <v>428</v>
      </c>
      <c r="WSF111" s="180" t="str">
        <f>VLOOKUP(WSE111,[13]AssetDetails_UEM!$A$3:$AH$1849,6,FALSE)</f>
        <v>Electrosurgical Units, Monopolar/Bipolar</v>
      </c>
      <c r="WSG111" s="179" t="s">
        <v>428</v>
      </c>
      <c r="WSH111" s="180" t="str">
        <f>VLOOKUP(WSG111,[13]AssetDetails_UEM!$A$3:$AH$1849,6,FALSE)</f>
        <v>Electrosurgical Units, Monopolar/Bipolar</v>
      </c>
      <c r="WSI111" s="179" t="s">
        <v>428</v>
      </c>
      <c r="WSJ111" s="180" t="str">
        <f>VLOOKUP(WSI111,[13]AssetDetails_UEM!$A$3:$AH$1849,6,FALSE)</f>
        <v>Electrosurgical Units, Monopolar/Bipolar</v>
      </c>
      <c r="WSK111" s="179" t="s">
        <v>428</v>
      </c>
      <c r="WSL111" s="180" t="str">
        <f>VLOOKUP(WSK111,[13]AssetDetails_UEM!$A$3:$AH$1849,6,FALSE)</f>
        <v>Electrosurgical Units, Monopolar/Bipolar</v>
      </c>
      <c r="WSM111" s="179" t="s">
        <v>428</v>
      </c>
      <c r="WSN111" s="180" t="str">
        <f>VLOOKUP(WSM111,[13]AssetDetails_UEM!$A$3:$AH$1849,6,FALSE)</f>
        <v>Electrosurgical Units, Monopolar/Bipolar</v>
      </c>
      <c r="WSO111" s="179" t="s">
        <v>428</v>
      </c>
      <c r="WSP111" s="180" t="str">
        <f>VLOOKUP(WSO111,[13]AssetDetails_UEM!$A$3:$AH$1849,6,FALSE)</f>
        <v>Electrosurgical Units, Monopolar/Bipolar</v>
      </c>
      <c r="WSQ111" s="179" t="s">
        <v>428</v>
      </c>
      <c r="WSR111" s="180" t="str">
        <f>VLOOKUP(WSQ111,[13]AssetDetails_UEM!$A$3:$AH$1849,6,FALSE)</f>
        <v>Electrosurgical Units, Monopolar/Bipolar</v>
      </c>
      <c r="WSS111" s="179" t="s">
        <v>428</v>
      </c>
      <c r="WST111" s="180" t="str">
        <f>VLOOKUP(WSS111,[13]AssetDetails_UEM!$A$3:$AH$1849,6,FALSE)</f>
        <v>Electrosurgical Units, Monopolar/Bipolar</v>
      </c>
      <c r="WSU111" s="179" t="s">
        <v>428</v>
      </c>
      <c r="WSV111" s="180" t="str">
        <f>VLOOKUP(WSU111,[13]AssetDetails_UEM!$A$3:$AH$1849,6,FALSE)</f>
        <v>Electrosurgical Units, Monopolar/Bipolar</v>
      </c>
      <c r="WSW111" s="179" t="s">
        <v>428</v>
      </c>
      <c r="WSX111" s="180" t="str">
        <f>VLOOKUP(WSW111,[13]AssetDetails_UEM!$A$3:$AH$1849,6,FALSE)</f>
        <v>Electrosurgical Units, Monopolar/Bipolar</v>
      </c>
      <c r="WSY111" s="179" t="s">
        <v>428</v>
      </c>
      <c r="WSZ111" s="180" t="str">
        <f>VLOOKUP(WSY111,[13]AssetDetails_UEM!$A$3:$AH$1849,6,FALSE)</f>
        <v>Electrosurgical Units, Monopolar/Bipolar</v>
      </c>
      <c r="WTA111" s="179" t="s">
        <v>428</v>
      </c>
      <c r="WTB111" s="180" t="str">
        <f>VLOOKUP(WTA111,[13]AssetDetails_UEM!$A$3:$AH$1849,6,FALSE)</f>
        <v>Electrosurgical Units, Monopolar/Bipolar</v>
      </c>
      <c r="WTC111" s="179" t="s">
        <v>428</v>
      </c>
      <c r="WTD111" s="180" t="str">
        <f>VLOOKUP(WTC111,[13]AssetDetails_UEM!$A$3:$AH$1849,6,FALSE)</f>
        <v>Electrosurgical Units, Monopolar/Bipolar</v>
      </c>
      <c r="WTE111" s="179" t="s">
        <v>428</v>
      </c>
      <c r="WTF111" s="180" t="str">
        <f>VLOOKUP(WTE111,[13]AssetDetails_UEM!$A$3:$AH$1849,6,FALSE)</f>
        <v>Electrosurgical Units, Monopolar/Bipolar</v>
      </c>
      <c r="WTG111" s="179" t="s">
        <v>428</v>
      </c>
      <c r="WTH111" s="180" t="str">
        <f>VLOOKUP(WTG111,[13]AssetDetails_UEM!$A$3:$AH$1849,6,FALSE)</f>
        <v>Electrosurgical Units, Monopolar/Bipolar</v>
      </c>
      <c r="WTI111" s="179" t="s">
        <v>428</v>
      </c>
      <c r="WTJ111" s="180" t="str">
        <f>VLOOKUP(WTI111,[13]AssetDetails_UEM!$A$3:$AH$1849,6,FALSE)</f>
        <v>Electrosurgical Units, Monopolar/Bipolar</v>
      </c>
      <c r="WTK111" s="179" t="s">
        <v>428</v>
      </c>
      <c r="WTL111" s="180" t="str">
        <f>VLOOKUP(WTK111,[13]AssetDetails_UEM!$A$3:$AH$1849,6,FALSE)</f>
        <v>Electrosurgical Units, Monopolar/Bipolar</v>
      </c>
      <c r="WTM111" s="179" t="s">
        <v>428</v>
      </c>
      <c r="WTN111" s="180" t="str">
        <f>VLOOKUP(WTM111,[13]AssetDetails_UEM!$A$3:$AH$1849,6,FALSE)</f>
        <v>Electrosurgical Units, Monopolar/Bipolar</v>
      </c>
      <c r="WTO111" s="179" t="s">
        <v>428</v>
      </c>
      <c r="WTP111" s="180" t="str">
        <f>VLOOKUP(WTO111,[13]AssetDetails_UEM!$A$3:$AH$1849,6,FALSE)</f>
        <v>Electrosurgical Units, Monopolar/Bipolar</v>
      </c>
      <c r="WTQ111" s="179" t="s">
        <v>428</v>
      </c>
      <c r="WTR111" s="180" t="str">
        <f>VLOOKUP(WTQ111,[13]AssetDetails_UEM!$A$3:$AH$1849,6,FALSE)</f>
        <v>Electrosurgical Units, Monopolar/Bipolar</v>
      </c>
      <c r="WTS111" s="179" t="s">
        <v>428</v>
      </c>
      <c r="WTT111" s="180" t="str">
        <f>VLOOKUP(WTS111,[13]AssetDetails_UEM!$A$3:$AH$1849,6,FALSE)</f>
        <v>Electrosurgical Units, Monopolar/Bipolar</v>
      </c>
      <c r="WTU111" s="179" t="s">
        <v>428</v>
      </c>
      <c r="WTV111" s="180" t="str">
        <f>VLOOKUP(WTU111,[13]AssetDetails_UEM!$A$3:$AH$1849,6,FALSE)</f>
        <v>Electrosurgical Units, Monopolar/Bipolar</v>
      </c>
      <c r="WTW111" s="179" t="s">
        <v>428</v>
      </c>
      <c r="WTX111" s="180" t="str">
        <f>VLOOKUP(WTW111,[13]AssetDetails_UEM!$A$3:$AH$1849,6,FALSE)</f>
        <v>Electrosurgical Units, Monopolar/Bipolar</v>
      </c>
      <c r="WTY111" s="179" t="s">
        <v>428</v>
      </c>
      <c r="WTZ111" s="180" t="str">
        <f>VLOOKUP(WTY111,[13]AssetDetails_UEM!$A$3:$AH$1849,6,FALSE)</f>
        <v>Electrosurgical Units, Monopolar/Bipolar</v>
      </c>
      <c r="WUA111" s="179" t="s">
        <v>428</v>
      </c>
      <c r="WUB111" s="180" t="str">
        <f>VLOOKUP(WUA111,[13]AssetDetails_UEM!$A$3:$AH$1849,6,FALSE)</f>
        <v>Electrosurgical Units, Monopolar/Bipolar</v>
      </c>
      <c r="WUC111" s="179" t="s">
        <v>428</v>
      </c>
      <c r="WUD111" s="180" t="str">
        <f>VLOOKUP(WUC111,[13]AssetDetails_UEM!$A$3:$AH$1849,6,FALSE)</f>
        <v>Electrosurgical Units, Monopolar/Bipolar</v>
      </c>
      <c r="WUE111" s="179" t="s">
        <v>428</v>
      </c>
      <c r="WUF111" s="180" t="str">
        <f>VLOOKUP(WUE111,[13]AssetDetails_UEM!$A$3:$AH$1849,6,FALSE)</f>
        <v>Electrosurgical Units, Monopolar/Bipolar</v>
      </c>
      <c r="WUG111" s="179" t="s">
        <v>428</v>
      </c>
      <c r="WUH111" s="180" t="str">
        <f>VLOOKUP(WUG111,[13]AssetDetails_UEM!$A$3:$AH$1849,6,FALSE)</f>
        <v>Electrosurgical Units, Monopolar/Bipolar</v>
      </c>
      <c r="WUI111" s="179" t="s">
        <v>428</v>
      </c>
      <c r="WUJ111" s="180" t="str">
        <f>VLOOKUP(WUI111,[13]AssetDetails_UEM!$A$3:$AH$1849,6,FALSE)</f>
        <v>Electrosurgical Units, Monopolar/Bipolar</v>
      </c>
      <c r="WUK111" s="179" t="s">
        <v>428</v>
      </c>
      <c r="WUL111" s="180" t="str">
        <f>VLOOKUP(WUK111,[13]AssetDetails_UEM!$A$3:$AH$1849,6,FALSE)</f>
        <v>Electrosurgical Units, Monopolar/Bipolar</v>
      </c>
      <c r="WUM111" s="179" t="s">
        <v>428</v>
      </c>
      <c r="WUN111" s="180" t="str">
        <f>VLOOKUP(WUM111,[13]AssetDetails_UEM!$A$3:$AH$1849,6,FALSE)</f>
        <v>Electrosurgical Units, Monopolar/Bipolar</v>
      </c>
      <c r="WUO111" s="179" t="s">
        <v>428</v>
      </c>
      <c r="WUP111" s="180" t="str">
        <f>VLOOKUP(WUO111,[13]AssetDetails_UEM!$A$3:$AH$1849,6,FALSE)</f>
        <v>Electrosurgical Units, Monopolar/Bipolar</v>
      </c>
      <c r="WUQ111" s="179" t="s">
        <v>428</v>
      </c>
      <c r="WUR111" s="180" t="str">
        <f>VLOOKUP(WUQ111,[13]AssetDetails_UEM!$A$3:$AH$1849,6,FALSE)</f>
        <v>Electrosurgical Units, Monopolar/Bipolar</v>
      </c>
      <c r="WUS111" s="179" t="s">
        <v>428</v>
      </c>
      <c r="WUT111" s="180" t="str">
        <f>VLOOKUP(WUS111,[13]AssetDetails_UEM!$A$3:$AH$1849,6,FALSE)</f>
        <v>Electrosurgical Units, Monopolar/Bipolar</v>
      </c>
      <c r="WUU111" s="179" t="s">
        <v>428</v>
      </c>
      <c r="WUV111" s="180" t="str">
        <f>VLOOKUP(WUU111,[13]AssetDetails_UEM!$A$3:$AH$1849,6,FALSE)</f>
        <v>Electrosurgical Units, Monopolar/Bipolar</v>
      </c>
      <c r="WUW111" s="179" t="s">
        <v>428</v>
      </c>
      <c r="WUX111" s="180" t="str">
        <f>VLOOKUP(WUW111,[13]AssetDetails_UEM!$A$3:$AH$1849,6,FALSE)</f>
        <v>Electrosurgical Units, Monopolar/Bipolar</v>
      </c>
      <c r="WUY111" s="179" t="s">
        <v>428</v>
      </c>
      <c r="WUZ111" s="180" t="str">
        <f>VLOOKUP(WUY111,[13]AssetDetails_UEM!$A$3:$AH$1849,6,FALSE)</f>
        <v>Electrosurgical Units, Monopolar/Bipolar</v>
      </c>
      <c r="WVA111" s="179" t="s">
        <v>428</v>
      </c>
      <c r="WVB111" s="180" t="str">
        <f>VLOOKUP(WVA111,[13]AssetDetails_UEM!$A$3:$AH$1849,6,FALSE)</f>
        <v>Electrosurgical Units, Monopolar/Bipolar</v>
      </c>
      <c r="WVC111" s="179" t="s">
        <v>428</v>
      </c>
      <c r="WVD111" s="180" t="str">
        <f>VLOOKUP(WVC111,[13]AssetDetails_UEM!$A$3:$AH$1849,6,FALSE)</f>
        <v>Electrosurgical Units, Monopolar/Bipolar</v>
      </c>
      <c r="WVE111" s="179" t="s">
        <v>428</v>
      </c>
      <c r="WVF111" s="180" t="str">
        <f>VLOOKUP(WVE111,[13]AssetDetails_UEM!$A$3:$AH$1849,6,FALSE)</f>
        <v>Electrosurgical Units, Monopolar/Bipolar</v>
      </c>
      <c r="WVG111" s="179" t="s">
        <v>428</v>
      </c>
      <c r="WVH111" s="180" t="str">
        <f>VLOOKUP(WVG111,[13]AssetDetails_UEM!$A$3:$AH$1849,6,FALSE)</f>
        <v>Electrosurgical Units, Monopolar/Bipolar</v>
      </c>
      <c r="WVI111" s="179" t="s">
        <v>428</v>
      </c>
      <c r="WVJ111" s="180" t="str">
        <f>VLOOKUP(WVI111,[13]AssetDetails_UEM!$A$3:$AH$1849,6,FALSE)</f>
        <v>Electrosurgical Units, Monopolar/Bipolar</v>
      </c>
      <c r="WVK111" s="179" t="s">
        <v>428</v>
      </c>
      <c r="WVL111" s="180" t="str">
        <f>VLOOKUP(WVK111,[13]AssetDetails_UEM!$A$3:$AH$1849,6,FALSE)</f>
        <v>Electrosurgical Units, Monopolar/Bipolar</v>
      </c>
      <c r="WVM111" s="179" t="s">
        <v>428</v>
      </c>
      <c r="WVN111" s="180" t="str">
        <f>VLOOKUP(WVM111,[13]AssetDetails_UEM!$A$3:$AH$1849,6,FALSE)</f>
        <v>Electrosurgical Units, Monopolar/Bipolar</v>
      </c>
      <c r="WVO111" s="179" t="s">
        <v>428</v>
      </c>
      <c r="WVP111" s="180" t="str">
        <f>VLOOKUP(WVO111,[13]AssetDetails_UEM!$A$3:$AH$1849,6,FALSE)</f>
        <v>Electrosurgical Units, Monopolar/Bipolar</v>
      </c>
      <c r="WVQ111" s="179" t="s">
        <v>428</v>
      </c>
      <c r="WVR111" s="180" t="str">
        <f>VLOOKUP(WVQ111,[13]AssetDetails_UEM!$A$3:$AH$1849,6,FALSE)</f>
        <v>Electrosurgical Units, Monopolar/Bipolar</v>
      </c>
      <c r="WVS111" s="179" t="s">
        <v>428</v>
      </c>
      <c r="WVT111" s="180" t="str">
        <f>VLOOKUP(WVS111,[13]AssetDetails_UEM!$A$3:$AH$1849,6,FALSE)</f>
        <v>Electrosurgical Units, Monopolar/Bipolar</v>
      </c>
      <c r="WVU111" s="179" t="s">
        <v>428</v>
      </c>
      <c r="WVV111" s="180" t="str">
        <f>VLOOKUP(WVU111,[13]AssetDetails_UEM!$A$3:$AH$1849,6,FALSE)</f>
        <v>Electrosurgical Units, Monopolar/Bipolar</v>
      </c>
      <c r="WVW111" s="179" t="s">
        <v>428</v>
      </c>
      <c r="WVX111" s="180" t="str">
        <f>VLOOKUP(WVW111,[13]AssetDetails_UEM!$A$3:$AH$1849,6,FALSE)</f>
        <v>Electrosurgical Units, Monopolar/Bipolar</v>
      </c>
      <c r="WVY111" s="179" t="s">
        <v>428</v>
      </c>
      <c r="WVZ111" s="180" t="str">
        <f>VLOOKUP(WVY111,[13]AssetDetails_UEM!$A$3:$AH$1849,6,FALSE)</f>
        <v>Electrosurgical Units, Monopolar/Bipolar</v>
      </c>
      <c r="WWA111" s="179" t="s">
        <v>428</v>
      </c>
      <c r="WWB111" s="180" t="str">
        <f>VLOOKUP(WWA111,[13]AssetDetails_UEM!$A$3:$AH$1849,6,FALSE)</f>
        <v>Electrosurgical Units, Monopolar/Bipolar</v>
      </c>
      <c r="WWC111" s="179" t="s">
        <v>428</v>
      </c>
      <c r="WWD111" s="180" t="str">
        <f>VLOOKUP(WWC111,[13]AssetDetails_UEM!$A$3:$AH$1849,6,FALSE)</f>
        <v>Electrosurgical Units, Monopolar/Bipolar</v>
      </c>
      <c r="WWE111" s="179" t="s">
        <v>428</v>
      </c>
      <c r="WWF111" s="180" t="str">
        <f>VLOOKUP(WWE111,[13]AssetDetails_UEM!$A$3:$AH$1849,6,FALSE)</f>
        <v>Electrosurgical Units, Monopolar/Bipolar</v>
      </c>
      <c r="WWG111" s="179" t="s">
        <v>428</v>
      </c>
      <c r="WWH111" s="180" t="str">
        <f>VLOOKUP(WWG111,[13]AssetDetails_UEM!$A$3:$AH$1849,6,FALSE)</f>
        <v>Electrosurgical Units, Monopolar/Bipolar</v>
      </c>
      <c r="WWI111" s="179" t="s">
        <v>428</v>
      </c>
      <c r="WWJ111" s="180" t="str">
        <f>VLOOKUP(WWI111,[13]AssetDetails_UEM!$A$3:$AH$1849,6,FALSE)</f>
        <v>Electrosurgical Units, Monopolar/Bipolar</v>
      </c>
      <c r="WWK111" s="179" t="s">
        <v>428</v>
      </c>
      <c r="WWL111" s="180" t="str">
        <f>VLOOKUP(WWK111,[13]AssetDetails_UEM!$A$3:$AH$1849,6,FALSE)</f>
        <v>Electrosurgical Units, Monopolar/Bipolar</v>
      </c>
      <c r="WWM111" s="179" t="s">
        <v>428</v>
      </c>
      <c r="WWN111" s="180" t="str">
        <f>VLOOKUP(WWM111,[13]AssetDetails_UEM!$A$3:$AH$1849,6,FALSE)</f>
        <v>Electrosurgical Units, Monopolar/Bipolar</v>
      </c>
      <c r="WWO111" s="179" t="s">
        <v>428</v>
      </c>
      <c r="WWP111" s="180" t="str">
        <f>VLOOKUP(WWO111,[13]AssetDetails_UEM!$A$3:$AH$1849,6,FALSE)</f>
        <v>Electrosurgical Units, Monopolar/Bipolar</v>
      </c>
      <c r="WWQ111" s="179" t="s">
        <v>428</v>
      </c>
      <c r="WWR111" s="180" t="str">
        <f>VLOOKUP(WWQ111,[13]AssetDetails_UEM!$A$3:$AH$1849,6,FALSE)</f>
        <v>Electrosurgical Units, Monopolar/Bipolar</v>
      </c>
      <c r="WWS111" s="179" t="s">
        <v>428</v>
      </c>
      <c r="WWT111" s="180" t="str">
        <f>VLOOKUP(WWS111,[13]AssetDetails_UEM!$A$3:$AH$1849,6,FALSE)</f>
        <v>Electrosurgical Units, Monopolar/Bipolar</v>
      </c>
      <c r="WWU111" s="179" t="s">
        <v>428</v>
      </c>
      <c r="WWV111" s="180" t="str">
        <f>VLOOKUP(WWU111,[13]AssetDetails_UEM!$A$3:$AH$1849,6,FALSE)</f>
        <v>Electrosurgical Units, Monopolar/Bipolar</v>
      </c>
      <c r="WWW111" s="179" t="s">
        <v>428</v>
      </c>
      <c r="WWX111" s="180" t="str">
        <f>VLOOKUP(WWW111,[13]AssetDetails_UEM!$A$3:$AH$1849,6,FALSE)</f>
        <v>Electrosurgical Units, Monopolar/Bipolar</v>
      </c>
      <c r="WWY111" s="179" t="s">
        <v>428</v>
      </c>
      <c r="WWZ111" s="180" t="str">
        <f>VLOOKUP(WWY111,[13]AssetDetails_UEM!$A$3:$AH$1849,6,FALSE)</f>
        <v>Electrosurgical Units, Monopolar/Bipolar</v>
      </c>
      <c r="WXA111" s="179" t="s">
        <v>428</v>
      </c>
      <c r="WXB111" s="180" t="str">
        <f>VLOOKUP(WXA111,[13]AssetDetails_UEM!$A$3:$AH$1849,6,FALSE)</f>
        <v>Electrosurgical Units, Monopolar/Bipolar</v>
      </c>
      <c r="WXC111" s="179" t="s">
        <v>428</v>
      </c>
      <c r="WXD111" s="180" t="str">
        <f>VLOOKUP(WXC111,[13]AssetDetails_UEM!$A$3:$AH$1849,6,FALSE)</f>
        <v>Electrosurgical Units, Monopolar/Bipolar</v>
      </c>
      <c r="WXE111" s="179" t="s">
        <v>428</v>
      </c>
      <c r="WXF111" s="180" t="str">
        <f>VLOOKUP(WXE111,[13]AssetDetails_UEM!$A$3:$AH$1849,6,FALSE)</f>
        <v>Electrosurgical Units, Monopolar/Bipolar</v>
      </c>
      <c r="WXG111" s="179" t="s">
        <v>428</v>
      </c>
      <c r="WXH111" s="180" t="str">
        <f>VLOOKUP(WXG111,[13]AssetDetails_UEM!$A$3:$AH$1849,6,FALSE)</f>
        <v>Electrosurgical Units, Monopolar/Bipolar</v>
      </c>
      <c r="WXI111" s="179" t="s">
        <v>428</v>
      </c>
      <c r="WXJ111" s="180" t="str">
        <f>VLOOKUP(WXI111,[13]AssetDetails_UEM!$A$3:$AH$1849,6,FALSE)</f>
        <v>Electrosurgical Units, Monopolar/Bipolar</v>
      </c>
      <c r="WXK111" s="179" t="s">
        <v>428</v>
      </c>
      <c r="WXL111" s="180" t="str">
        <f>VLOOKUP(WXK111,[13]AssetDetails_UEM!$A$3:$AH$1849,6,FALSE)</f>
        <v>Electrosurgical Units, Monopolar/Bipolar</v>
      </c>
      <c r="WXM111" s="179" t="s">
        <v>428</v>
      </c>
      <c r="WXN111" s="180" t="str">
        <f>VLOOKUP(WXM111,[13]AssetDetails_UEM!$A$3:$AH$1849,6,FALSE)</f>
        <v>Electrosurgical Units, Monopolar/Bipolar</v>
      </c>
      <c r="WXO111" s="179" t="s">
        <v>428</v>
      </c>
      <c r="WXP111" s="180" t="str">
        <f>VLOOKUP(WXO111,[13]AssetDetails_UEM!$A$3:$AH$1849,6,FALSE)</f>
        <v>Electrosurgical Units, Monopolar/Bipolar</v>
      </c>
      <c r="WXQ111" s="179" t="s">
        <v>428</v>
      </c>
      <c r="WXR111" s="180" t="str">
        <f>VLOOKUP(WXQ111,[13]AssetDetails_UEM!$A$3:$AH$1849,6,FALSE)</f>
        <v>Electrosurgical Units, Monopolar/Bipolar</v>
      </c>
      <c r="WXS111" s="179" t="s">
        <v>428</v>
      </c>
      <c r="WXT111" s="180" t="str">
        <f>VLOOKUP(WXS111,[13]AssetDetails_UEM!$A$3:$AH$1849,6,FALSE)</f>
        <v>Electrosurgical Units, Monopolar/Bipolar</v>
      </c>
      <c r="WXU111" s="179" t="s">
        <v>428</v>
      </c>
      <c r="WXV111" s="180" t="str">
        <f>VLOOKUP(WXU111,[13]AssetDetails_UEM!$A$3:$AH$1849,6,FALSE)</f>
        <v>Electrosurgical Units, Monopolar/Bipolar</v>
      </c>
      <c r="WXW111" s="179" t="s">
        <v>428</v>
      </c>
      <c r="WXX111" s="180" t="str">
        <f>VLOOKUP(WXW111,[13]AssetDetails_UEM!$A$3:$AH$1849,6,FALSE)</f>
        <v>Electrosurgical Units, Monopolar/Bipolar</v>
      </c>
      <c r="WXY111" s="179" t="s">
        <v>428</v>
      </c>
      <c r="WXZ111" s="180" t="str">
        <f>VLOOKUP(WXY111,[13]AssetDetails_UEM!$A$3:$AH$1849,6,FALSE)</f>
        <v>Electrosurgical Units, Monopolar/Bipolar</v>
      </c>
      <c r="WYA111" s="179" t="s">
        <v>428</v>
      </c>
      <c r="WYB111" s="180" t="str">
        <f>VLOOKUP(WYA111,[13]AssetDetails_UEM!$A$3:$AH$1849,6,FALSE)</f>
        <v>Electrosurgical Units, Monopolar/Bipolar</v>
      </c>
      <c r="WYC111" s="179" t="s">
        <v>428</v>
      </c>
      <c r="WYD111" s="180" t="str">
        <f>VLOOKUP(WYC111,[13]AssetDetails_UEM!$A$3:$AH$1849,6,FALSE)</f>
        <v>Electrosurgical Units, Monopolar/Bipolar</v>
      </c>
      <c r="WYE111" s="179" t="s">
        <v>428</v>
      </c>
      <c r="WYF111" s="180" t="str">
        <f>VLOOKUP(WYE111,[13]AssetDetails_UEM!$A$3:$AH$1849,6,FALSE)</f>
        <v>Electrosurgical Units, Monopolar/Bipolar</v>
      </c>
      <c r="WYG111" s="179" t="s">
        <v>428</v>
      </c>
      <c r="WYH111" s="180" t="str">
        <f>VLOOKUP(WYG111,[13]AssetDetails_UEM!$A$3:$AH$1849,6,FALSE)</f>
        <v>Electrosurgical Units, Monopolar/Bipolar</v>
      </c>
      <c r="WYI111" s="179" t="s">
        <v>428</v>
      </c>
      <c r="WYJ111" s="180" t="str">
        <f>VLOOKUP(WYI111,[13]AssetDetails_UEM!$A$3:$AH$1849,6,FALSE)</f>
        <v>Electrosurgical Units, Monopolar/Bipolar</v>
      </c>
      <c r="WYK111" s="179" t="s">
        <v>428</v>
      </c>
      <c r="WYL111" s="180" t="str">
        <f>VLOOKUP(WYK111,[13]AssetDetails_UEM!$A$3:$AH$1849,6,FALSE)</f>
        <v>Electrosurgical Units, Monopolar/Bipolar</v>
      </c>
      <c r="WYM111" s="179" t="s">
        <v>428</v>
      </c>
      <c r="WYN111" s="180" t="str">
        <f>VLOOKUP(WYM111,[13]AssetDetails_UEM!$A$3:$AH$1849,6,FALSE)</f>
        <v>Electrosurgical Units, Monopolar/Bipolar</v>
      </c>
      <c r="WYO111" s="179" t="s">
        <v>428</v>
      </c>
      <c r="WYP111" s="180" t="str">
        <f>VLOOKUP(WYO111,[13]AssetDetails_UEM!$A$3:$AH$1849,6,FALSE)</f>
        <v>Electrosurgical Units, Monopolar/Bipolar</v>
      </c>
      <c r="WYQ111" s="179" t="s">
        <v>428</v>
      </c>
      <c r="WYR111" s="180" t="str">
        <f>VLOOKUP(WYQ111,[13]AssetDetails_UEM!$A$3:$AH$1849,6,FALSE)</f>
        <v>Electrosurgical Units, Monopolar/Bipolar</v>
      </c>
      <c r="WYS111" s="179" t="s">
        <v>428</v>
      </c>
      <c r="WYT111" s="180" t="str">
        <f>VLOOKUP(WYS111,[13]AssetDetails_UEM!$A$3:$AH$1849,6,FALSE)</f>
        <v>Electrosurgical Units, Monopolar/Bipolar</v>
      </c>
      <c r="WYU111" s="179" t="s">
        <v>428</v>
      </c>
      <c r="WYV111" s="180" t="str">
        <f>VLOOKUP(WYU111,[13]AssetDetails_UEM!$A$3:$AH$1849,6,FALSE)</f>
        <v>Electrosurgical Units, Monopolar/Bipolar</v>
      </c>
      <c r="WYW111" s="179" t="s">
        <v>428</v>
      </c>
      <c r="WYX111" s="180" t="str">
        <f>VLOOKUP(WYW111,[13]AssetDetails_UEM!$A$3:$AH$1849,6,FALSE)</f>
        <v>Electrosurgical Units, Monopolar/Bipolar</v>
      </c>
      <c r="WYY111" s="179" t="s">
        <v>428</v>
      </c>
      <c r="WYZ111" s="180" t="str">
        <f>VLOOKUP(WYY111,[13]AssetDetails_UEM!$A$3:$AH$1849,6,FALSE)</f>
        <v>Electrosurgical Units, Monopolar/Bipolar</v>
      </c>
      <c r="WZA111" s="179" t="s">
        <v>428</v>
      </c>
      <c r="WZB111" s="180" t="str">
        <f>VLOOKUP(WZA111,[13]AssetDetails_UEM!$A$3:$AH$1849,6,FALSE)</f>
        <v>Electrosurgical Units, Monopolar/Bipolar</v>
      </c>
      <c r="WZC111" s="179" t="s">
        <v>428</v>
      </c>
      <c r="WZD111" s="180" t="str">
        <f>VLOOKUP(WZC111,[13]AssetDetails_UEM!$A$3:$AH$1849,6,FALSE)</f>
        <v>Electrosurgical Units, Monopolar/Bipolar</v>
      </c>
      <c r="WZE111" s="179" t="s">
        <v>428</v>
      </c>
      <c r="WZF111" s="180" t="str">
        <f>VLOOKUP(WZE111,[13]AssetDetails_UEM!$A$3:$AH$1849,6,FALSE)</f>
        <v>Electrosurgical Units, Monopolar/Bipolar</v>
      </c>
      <c r="WZG111" s="179" t="s">
        <v>428</v>
      </c>
      <c r="WZH111" s="180" t="str">
        <f>VLOOKUP(WZG111,[13]AssetDetails_UEM!$A$3:$AH$1849,6,FALSE)</f>
        <v>Electrosurgical Units, Monopolar/Bipolar</v>
      </c>
      <c r="WZI111" s="179" t="s">
        <v>428</v>
      </c>
      <c r="WZJ111" s="180" t="str">
        <f>VLOOKUP(WZI111,[13]AssetDetails_UEM!$A$3:$AH$1849,6,FALSE)</f>
        <v>Electrosurgical Units, Monopolar/Bipolar</v>
      </c>
      <c r="WZK111" s="179" t="s">
        <v>428</v>
      </c>
      <c r="WZL111" s="180" t="str">
        <f>VLOOKUP(WZK111,[13]AssetDetails_UEM!$A$3:$AH$1849,6,FALSE)</f>
        <v>Electrosurgical Units, Monopolar/Bipolar</v>
      </c>
      <c r="WZM111" s="179" t="s">
        <v>428</v>
      </c>
      <c r="WZN111" s="180" t="str">
        <f>VLOOKUP(WZM111,[13]AssetDetails_UEM!$A$3:$AH$1849,6,FALSE)</f>
        <v>Electrosurgical Units, Monopolar/Bipolar</v>
      </c>
      <c r="WZO111" s="179" t="s">
        <v>428</v>
      </c>
      <c r="WZP111" s="180" t="str">
        <f>VLOOKUP(WZO111,[13]AssetDetails_UEM!$A$3:$AH$1849,6,FALSE)</f>
        <v>Electrosurgical Units, Monopolar/Bipolar</v>
      </c>
      <c r="WZQ111" s="179" t="s">
        <v>428</v>
      </c>
      <c r="WZR111" s="180" t="str">
        <f>VLOOKUP(WZQ111,[13]AssetDetails_UEM!$A$3:$AH$1849,6,FALSE)</f>
        <v>Electrosurgical Units, Monopolar/Bipolar</v>
      </c>
      <c r="WZS111" s="179" t="s">
        <v>428</v>
      </c>
      <c r="WZT111" s="180" t="str">
        <f>VLOOKUP(WZS111,[13]AssetDetails_UEM!$A$3:$AH$1849,6,FALSE)</f>
        <v>Electrosurgical Units, Monopolar/Bipolar</v>
      </c>
      <c r="WZU111" s="179" t="s">
        <v>428</v>
      </c>
      <c r="WZV111" s="180" t="str">
        <f>VLOOKUP(WZU111,[13]AssetDetails_UEM!$A$3:$AH$1849,6,FALSE)</f>
        <v>Electrosurgical Units, Monopolar/Bipolar</v>
      </c>
      <c r="WZW111" s="179" t="s">
        <v>428</v>
      </c>
      <c r="WZX111" s="180" t="str">
        <f>VLOOKUP(WZW111,[13]AssetDetails_UEM!$A$3:$AH$1849,6,FALSE)</f>
        <v>Electrosurgical Units, Monopolar/Bipolar</v>
      </c>
    </row>
    <row r="112" spans="1:16384" s="99" customFormat="1" ht="65.099999999999994" customHeight="1">
      <c r="A112" s="102"/>
      <c r="B112" s="102"/>
      <c r="C112" s="103"/>
      <c r="D112" s="102"/>
      <c r="E112" s="103"/>
      <c r="F112" s="102"/>
      <c r="G112" s="103"/>
      <c r="H112" s="103"/>
      <c r="I112" s="104"/>
      <c r="J112" s="104"/>
      <c r="K112" s="103"/>
      <c r="L112" s="103"/>
      <c r="M112" s="103"/>
      <c r="N112" s="103"/>
      <c r="O112" s="103"/>
      <c r="P112" s="103"/>
      <c r="Q112" s="103"/>
      <c r="R112" s="103"/>
      <c r="S112" s="103"/>
      <c r="T112" s="103"/>
      <c r="U112" s="103"/>
      <c r="V112" s="103"/>
      <c r="W112" s="103"/>
      <c r="X112" s="103"/>
      <c r="Y112" s="103"/>
      <c r="Z112" s="103"/>
      <c r="AA112" s="105"/>
      <c r="AB112" s="102"/>
      <c r="AC112" s="181"/>
      <c r="AD112" s="182"/>
      <c r="AE112" s="181"/>
      <c r="AF112" s="182"/>
      <c r="AG112" s="181"/>
      <c r="AH112" s="182"/>
      <c r="AI112" s="181"/>
      <c r="AJ112" s="182"/>
      <c r="AK112" s="181"/>
      <c r="AL112" s="182"/>
      <c r="AM112" s="181"/>
      <c r="AN112" s="182"/>
      <c r="AO112" s="181"/>
      <c r="AP112" s="182"/>
      <c r="AQ112" s="181"/>
      <c r="AR112" s="182"/>
      <c r="AS112" s="181"/>
      <c r="AT112" s="182"/>
      <c r="AU112" s="181"/>
      <c r="AV112" s="182"/>
      <c r="AW112" s="181"/>
      <c r="AX112" s="182"/>
      <c r="AY112" s="181"/>
      <c r="AZ112" s="182"/>
      <c r="BA112" s="181"/>
      <c r="BB112" s="182"/>
      <c r="BC112" s="181"/>
      <c r="BD112" s="182"/>
      <c r="BE112" s="181"/>
      <c r="BF112" s="182"/>
      <c r="BG112" s="181"/>
      <c r="BH112" s="182"/>
      <c r="BI112" s="181"/>
      <c r="BJ112" s="182"/>
      <c r="BK112" s="181"/>
      <c r="BL112" s="182"/>
      <c r="BM112" s="181"/>
      <c r="BN112" s="182"/>
      <c r="BO112" s="181"/>
      <c r="BP112" s="182"/>
      <c r="BQ112" s="181"/>
      <c r="BR112" s="182"/>
      <c r="BS112" s="181"/>
      <c r="BT112" s="182"/>
      <c r="BU112" s="181"/>
      <c r="BV112" s="182"/>
      <c r="BW112" s="181"/>
      <c r="BX112" s="182"/>
      <c r="BY112" s="181"/>
      <c r="BZ112" s="182"/>
      <c r="CA112" s="181"/>
      <c r="CB112" s="182"/>
      <c r="CC112" s="181"/>
      <c r="CD112" s="182"/>
      <c r="CE112" s="181"/>
      <c r="CF112" s="182"/>
      <c r="CG112" s="181"/>
      <c r="CH112" s="182"/>
      <c r="CI112" s="181"/>
      <c r="CJ112" s="182"/>
      <c r="CK112" s="181"/>
      <c r="CL112" s="182"/>
      <c r="CM112" s="181"/>
      <c r="CN112" s="182"/>
      <c r="CO112" s="181"/>
      <c r="CP112" s="182"/>
      <c r="CQ112" s="181"/>
      <c r="CR112" s="182"/>
      <c r="CS112" s="181"/>
      <c r="CT112" s="182"/>
      <c r="CU112" s="181"/>
      <c r="CV112" s="182"/>
      <c r="CW112" s="181"/>
      <c r="CX112" s="182"/>
      <c r="CY112" s="181"/>
      <c r="CZ112" s="182"/>
      <c r="DA112" s="181"/>
      <c r="DB112" s="182"/>
      <c r="DC112" s="181"/>
      <c r="DD112" s="182"/>
      <c r="DE112" s="181"/>
      <c r="DF112" s="182"/>
      <c r="DG112" s="181"/>
      <c r="DH112" s="182"/>
      <c r="DI112" s="181"/>
      <c r="DJ112" s="182"/>
      <c r="DK112" s="181"/>
      <c r="DL112" s="182"/>
      <c r="DM112" s="181"/>
      <c r="DN112" s="182"/>
      <c r="DO112" s="181"/>
      <c r="DP112" s="182"/>
      <c r="DQ112" s="181"/>
      <c r="DR112" s="182"/>
      <c r="DS112" s="181"/>
      <c r="DT112" s="182"/>
      <c r="DU112" s="181"/>
      <c r="DV112" s="182"/>
      <c r="DW112" s="181"/>
      <c r="DX112" s="182"/>
      <c r="DY112" s="181"/>
      <c r="DZ112" s="182"/>
      <c r="EA112" s="181"/>
      <c r="EB112" s="182"/>
      <c r="EC112" s="181"/>
      <c r="ED112" s="182"/>
      <c r="EE112" s="181"/>
      <c r="EF112" s="182"/>
      <c r="EG112" s="181"/>
      <c r="EH112" s="182"/>
      <c r="EI112" s="181"/>
      <c r="EJ112" s="182"/>
      <c r="EK112" s="181"/>
      <c r="EL112" s="182"/>
      <c r="EM112" s="181"/>
      <c r="EN112" s="182"/>
      <c r="EO112" s="181"/>
      <c r="EP112" s="182"/>
      <c r="EQ112" s="181"/>
      <c r="ER112" s="182"/>
      <c r="ES112" s="181"/>
      <c r="ET112" s="182"/>
      <c r="EU112" s="181"/>
      <c r="EV112" s="182"/>
      <c r="EW112" s="181"/>
      <c r="EX112" s="182"/>
      <c r="EY112" s="181"/>
      <c r="EZ112" s="182"/>
      <c r="FA112" s="181"/>
      <c r="FB112" s="182"/>
      <c r="FC112" s="181"/>
      <c r="FD112" s="182"/>
      <c r="FE112" s="181"/>
      <c r="FF112" s="182"/>
      <c r="FG112" s="181"/>
      <c r="FH112" s="182"/>
      <c r="FI112" s="181"/>
      <c r="FJ112" s="182"/>
      <c r="FK112" s="181"/>
      <c r="FL112" s="182"/>
      <c r="FM112" s="181"/>
      <c r="FN112" s="182"/>
      <c r="FO112" s="181"/>
      <c r="FP112" s="182"/>
      <c r="FQ112" s="181"/>
      <c r="FR112" s="182"/>
      <c r="FS112" s="181"/>
      <c r="FT112" s="182"/>
      <c r="FU112" s="181"/>
      <c r="FV112" s="182"/>
      <c r="FW112" s="181"/>
      <c r="FX112" s="182"/>
      <c r="FY112" s="181"/>
      <c r="FZ112" s="182"/>
      <c r="GA112" s="181"/>
      <c r="GB112" s="182"/>
      <c r="GC112" s="181"/>
      <c r="GD112" s="182"/>
      <c r="GE112" s="181"/>
      <c r="GF112" s="182"/>
      <c r="GG112" s="181"/>
      <c r="GH112" s="182"/>
      <c r="GI112" s="181"/>
      <c r="GJ112" s="182"/>
      <c r="GK112" s="181"/>
      <c r="GL112" s="182"/>
      <c r="GM112" s="181"/>
      <c r="GN112" s="182"/>
      <c r="GO112" s="181"/>
      <c r="GP112" s="182"/>
      <c r="GQ112" s="181"/>
      <c r="GR112" s="182"/>
      <c r="GS112" s="181"/>
      <c r="GT112" s="182"/>
      <c r="GU112" s="181"/>
      <c r="GV112" s="182"/>
      <c r="GW112" s="181"/>
      <c r="GX112" s="182"/>
      <c r="GY112" s="181"/>
      <c r="GZ112" s="182"/>
      <c r="HA112" s="181"/>
      <c r="HB112" s="182"/>
      <c r="HC112" s="181"/>
      <c r="HD112" s="182"/>
      <c r="HE112" s="181"/>
      <c r="HF112" s="182"/>
      <c r="HG112" s="181"/>
      <c r="HH112" s="182"/>
      <c r="HI112" s="181"/>
      <c r="HJ112" s="182"/>
      <c r="HK112" s="181"/>
      <c r="HL112" s="182"/>
      <c r="HM112" s="181"/>
      <c r="HN112" s="182"/>
      <c r="HO112" s="181"/>
      <c r="HP112" s="182"/>
      <c r="HQ112" s="181"/>
      <c r="HR112" s="182"/>
      <c r="HS112" s="181"/>
      <c r="HT112" s="182"/>
      <c r="HU112" s="181"/>
      <c r="HV112" s="182"/>
      <c r="HW112" s="181"/>
      <c r="HX112" s="182"/>
      <c r="HY112" s="181"/>
      <c r="HZ112" s="182"/>
      <c r="IA112" s="181"/>
      <c r="IB112" s="182"/>
      <c r="IC112" s="181"/>
      <c r="ID112" s="182"/>
      <c r="IE112" s="181"/>
      <c r="IF112" s="182"/>
      <c r="IG112" s="181"/>
      <c r="IH112" s="182"/>
      <c r="II112" s="181"/>
      <c r="IJ112" s="182"/>
      <c r="IK112" s="181"/>
      <c r="IL112" s="182"/>
      <c r="IM112" s="181"/>
      <c r="IN112" s="182"/>
      <c r="IO112" s="181"/>
      <c r="IP112" s="182"/>
      <c r="IQ112" s="181"/>
      <c r="IR112" s="182"/>
      <c r="IS112" s="181"/>
      <c r="IT112" s="182"/>
      <c r="IU112" s="181"/>
      <c r="IV112" s="182"/>
      <c r="IW112" s="181"/>
      <c r="IX112" s="182"/>
      <c r="IY112" s="181"/>
      <c r="IZ112" s="182"/>
      <c r="JA112" s="181"/>
      <c r="JB112" s="182"/>
      <c r="JC112" s="181"/>
      <c r="JD112" s="182"/>
      <c r="JE112" s="181"/>
      <c r="JF112" s="182"/>
      <c r="JG112" s="181"/>
      <c r="JH112" s="182"/>
      <c r="JI112" s="181"/>
      <c r="JJ112" s="182"/>
      <c r="JK112" s="181"/>
      <c r="JL112" s="182"/>
      <c r="JM112" s="181"/>
      <c r="JN112" s="182"/>
      <c r="JO112" s="181"/>
      <c r="JP112" s="182"/>
      <c r="JQ112" s="181"/>
      <c r="JR112" s="182"/>
      <c r="JS112" s="181"/>
      <c r="JT112" s="182"/>
      <c r="JU112" s="181"/>
      <c r="JV112" s="182"/>
      <c r="JW112" s="181"/>
      <c r="JX112" s="182"/>
      <c r="JY112" s="181"/>
      <c r="JZ112" s="182"/>
      <c r="KA112" s="181"/>
      <c r="KB112" s="182"/>
      <c r="KC112" s="181"/>
      <c r="KD112" s="182"/>
      <c r="KE112" s="181"/>
      <c r="KF112" s="182"/>
      <c r="KG112" s="181"/>
      <c r="KH112" s="182"/>
      <c r="KI112" s="181"/>
      <c r="KJ112" s="182"/>
      <c r="KK112" s="181"/>
      <c r="KL112" s="182"/>
      <c r="KM112" s="181"/>
      <c r="KN112" s="182"/>
      <c r="KO112" s="181"/>
      <c r="KP112" s="182"/>
      <c r="KQ112" s="181"/>
      <c r="KR112" s="182"/>
      <c r="KS112" s="181"/>
      <c r="KT112" s="182"/>
      <c r="KU112" s="181"/>
      <c r="KV112" s="182"/>
      <c r="KW112" s="181"/>
      <c r="KX112" s="182"/>
      <c r="KY112" s="181"/>
      <c r="KZ112" s="182"/>
      <c r="LA112" s="181"/>
      <c r="LB112" s="182"/>
      <c r="LC112" s="181"/>
      <c r="LD112" s="182"/>
      <c r="LE112" s="181"/>
      <c r="LF112" s="182"/>
      <c r="LG112" s="181"/>
      <c r="LH112" s="182"/>
      <c r="LI112" s="181"/>
      <c r="LJ112" s="182"/>
      <c r="LK112" s="181"/>
      <c r="LL112" s="182"/>
      <c r="LM112" s="181"/>
      <c r="LN112" s="182"/>
      <c r="LO112" s="181"/>
      <c r="LP112" s="182"/>
      <c r="LQ112" s="181"/>
      <c r="LR112" s="182"/>
      <c r="LS112" s="181"/>
      <c r="LT112" s="182"/>
      <c r="LU112" s="181"/>
      <c r="LV112" s="182"/>
      <c r="LW112" s="181"/>
      <c r="LX112" s="182"/>
      <c r="LY112" s="181"/>
      <c r="LZ112" s="182"/>
      <c r="MA112" s="181"/>
      <c r="MB112" s="182"/>
      <c r="MC112" s="181"/>
      <c r="MD112" s="182"/>
      <c r="ME112" s="181"/>
      <c r="MF112" s="182"/>
      <c r="MG112" s="181"/>
      <c r="MH112" s="182"/>
      <c r="MI112" s="181"/>
      <c r="MJ112" s="182"/>
      <c r="MK112" s="181"/>
      <c r="ML112" s="182"/>
      <c r="MM112" s="181"/>
      <c r="MN112" s="182"/>
      <c r="MO112" s="181"/>
      <c r="MP112" s="182"/>
      <c r="MQ112" s="181"/>
      <c r="MR112" s="182"/>
      <c r="MS112" s="181"/>
      <c r="MT112" s="182"/>
      <c r="MU112" s="181"/>
      <c r="MV112" s="182"/>
      <c r="MW112" s="181"/>
      <c r="MX112" s="182"/>
      <c r="MY112" s="181"/>
      <c r="MZ112" s="182"/>
      <c r="NA112" s="181"/>
      <c r="NB112" s="182"/>
      <c r="NC112" s="181"/>
      <c r="ND112" s="182"/>
      <c r="NE112" s="181"/>
      <c r="NF112" s="182"/>
      <c r="NG112" s="181"/>
      <c r="NH112" s="182"/>
      <c r="NI112" s="181"/>
      <c r="NJ112" s="182"/>
      <c r="NK112" s="181"/>
      <c r="NL112" s="182"/>
      <c r="NM112" s="181"/>
      <c r="NN112" s="182"/>
      <c r="NO112" s="181"/>
      <c r="NP112" s="182"/>
      <c r="NQ112" s="181"/>
      <c r="NR112" s="182"/>
      <c r="NS112" s="181"/>
      <c r="NT112" s="182"/>
      <c r="NU112" s="181"/>
      <c r="NV112" s="182"/>
      <c r="NW112" s="181"/>
      <c r="NX112" s="182"/>
      <c r="NY112" s="181"/>
      <c r="NZ112" s="182"/>
      <c r="OA112" s="181"/>
      <c r="OB112" s="182"/>
      <c r="OC112" s="181"/>
      <c r="OD112" s="182"/>
      <c r="OE112" s="181"/>
      <c r="OF112" s="182"/>
      <c r="OG112" s="181"/>
      <c r="OH112" s="182"/>
      <c r="OI112" s="181"/>
      <c r="OJ112" s="182"/>
      <c r="OK112" s="181"/>
      <c r="OL112" s="182"/>
      <c r="OM112" s="181"/>
      <c r="ON112" s="182"/>
      <c r="OO112" s="181"/>
      <c r="OP112" s="182"/>
      <c r="OQ112" s="181"/>
      <c r="OR112" s="182"/>
      <c r="OS112" s="181"/>
      <c r="OT112" s="182"/>
      <c r="OU112" s="181"/>
      <c r="OV112" s="182"/>
      <c r="OW112" s="181"/>
      <c r="OX112" s="182"/>
      <c r="OY112" s="181"/>
      <c r="OZ112" s="182"/>
      <c r="PA112" s="181"/>
      <c r="PB112" s="182"/>
      <c r="PC112" s="181"/>
      <c r="PD112" s="182"/>
      <c r="PE112" s="181"/>
      <c r="PF112" s="182"/>
      <c r="PG112" s="181"/>
      <c r="PH112" s="182"/>
      <c r="PI112" s="181"/>
      <c r="PJ112" s="182"/>
      <c r="PK112" s="181"/>
      <c r="PL112" s="182"/>
      <c r="PM112" s="181"/>
      <c r="PN112" s="182"/>
      <c r="PO112" s="181"/>
      <c r="PP112" s="182"/>
      <c r="PQ112" s="181"/>
      <c r="PR112" s="182"/>
      <c r="PS112" s="181"/>
      <c r="PT112" s="182"/>
      <c r="PU112" s="181"/>
      <c r="PV112" s="182"/>
      <c r="PW112" s="181"/>
      <c r="PX112" s="182"/>
      <c r="PY112" s="181"/>
      <c r="PZ112" s="182"/>
      <c r="QA112" s="181"/>
      <c r="QB112" s="182"/>
      <c r="QC112" s="181"/>
      <c r="QD112" s="182"/>
      <c r="QE112" s="181"/>
      <c r="QF112" s="182"/>
      <c r="QG112" s="181"/>
      <c r="QH112" s="182"/>
      <c r="QI112" s="181"/>
      <c r="QJ112" s="182"/>
      <c r="QK112" s="181"/>
      <c r="QL112" s="182"/>
      <c r="QM112" s="181"/>
      <c r="QN112" s="182"/>
      <c r="QO112" s="181"/>
      <c r="QP112" s="182"/>
      <c r="QQ112" s="181"/>
      <c r="QR112" s="182"/>
      <c r="QS112" s="181"/>
      <c r="QT112" s="182"/>
      <c r="QU112" s="181"/>
      <c r="QV112" s="182"/>
      <c r="QW112" s="181"/>
      <c r="QX112" s="182"/>
      <c r="QY112" s="181"/>
      <c r="QZ112" s="182"/>
      <c r="RA112" s="181"/>
      <c r="RB112" s="182"/>
      <c r="RC112" s="181"/>
      <c r="RD112" s="182"/>
      <c r="RE112" s="181"/>
      <c r="RF112" s="182"/>
      <c r="RG112" s="181"/>
      <c r="RH112" s="182"/>
      <c r="RI112" s="181"/>
      <c r="RJ112" s="182"/>
      <c r="RK112" s="181"/>
      <c r="RL112" s="182"/>
      <c r="RM112" s="181"/>
      <c r="RN112" s="182"/>
      <c r="RO112" s="181"/>
      <c r="RP112" s="182"/>
      <c r="RQ112" s="181"/>
      <c r="RR112" s="182"/>
      <c r="RS112" s="181"/>
      <c r="RT112" s="182"/>
      <c r="RU112" s="181"/>
      <c r="RV112" s="182"/>
      <c r="RW112" s="181"/>
      <c r="RX112" s="182"/>
      <c r="RY112" s="181"/>
      <c r="RZ112" s="182"/>
      <c r="SA112" s="181"/>
      <c r="SB112" s="182"/>
      <c r="SC112" s="181"/>
      <c r="SD112" s="182"/>
      <c r="SE112" s="181"/>
      <c r="SF112" s="182"/>
      <c r="SG112" s="181"/>
      <c r="SH112" s="182"/>
      <c r="SI112" s="181"/>
      <c r="SJ112" s="182"/>
      <c r="SK112" s="181"/>
      <c r="SL112" s="182"/>
      <c r="SM112" s="181"/>
      <c r="SN112" s="182"/>
      <c r="SO112" s="181"/>
      <c r="SP112" s="182"/>
      <c r="SQ112" s="181"/>
      <c r="SR112" s="182"/>
      <c r="SS112" s="181"/>
      <c r="ST112" s="182"/>
      <c r="SU112" s="181"/>
      <c r="SV112" s="182"/>
      <c r="SW112" s="181"/>
      <c r="SX112" s="182"/>
      <c r="SY112" s="181"/>
      <c r="SZ112" s="182"/>
      <c r="TA112" s="181"/>
      <c r="TB112" s="182"/>
      <c r="TC112" s="181"/>
      <c r="TD112" s="182"/>
      <c r="TE112" s="181"/>
      <c r="TF112" s="182"/>
      <c r="TG112" s="181"/>
      <c r="TH112" s="182"/>
      <c r="TI112" s="181"/>
      <c r="TJ112" s="182"/>
      <c r="TK112" s="181"/>
      <c r="TL112" s="182"/>
      <c r="TM112" s="181"/>
      <c r="TN112" s="182"/>
      <c r="TO112" s="181"/>
      <c r="TP112" s="182"/>
      <c r="TQ112" s="181"/>
      <c r="TR112" s="182"/>
      <c r="TS112" s="181"/>
      <c r="TT112" s="182"/>
      <c r="TU112" s="181"/>
      <c r="TV112" s="182"/>
      <c r="TW112" s="181"/>
      <c r="TX112" s="182"/>
      <c r="TY112" s="181"/>
      <c r="TZ112" s="182"/>
      <c r="UA112" s="181"/>
      <c r="UB112" s="182"/>
      <c r="UC112" s="181"/>
      <c r="UD112" s="182"/>
      <c r="UE112" s="181"/>
      <c r="UF112" s="182"/>
      <c r="UG112" s="181"/>
      <c r="UH112" s="182"/>
      <c r="UI112" s="181"/>
      <c r="UJ112" s="182"/>
      <c r="UK112" s="181"/>
      <c r="UL112" s="182"/>
      <c r="UM112" s="181"/>
      <c r="UN112" s="182"/>
      <c r="UO112" s="181"/>
      <c r="UP112" s="182"/>
      <c r="UQ112" s="181"/>
      <c r="UR112" s="182"/>
      <c r="US112" s="181"/>
      <c r="UT112" s="182"/>
      <c r="UU112" s="181"/>
      <c r="UV112" s="182"/>
      <c r="UW112" s="181"/>
      <c r="UX112" s="182"/>
      <c r="UY112" s="181"/>
      <c r="UZ112" s="182"/>
      <c r="VA112" s="181"/>
      <c r="VB112" s="182"/>
      <c r="VC112" s="181"/>
      <c r="VD112" s="182"/>
      <c r="VE112" s="181"/>
      <c r="VF112" s="182"/>
      <c r="VG112" s="181"/>
      <c r="VH112" s="182"/>
      <c r="VI112" s="181"/>
      <c r="VJ112" s="182"/>
      <c r="VK112" s="181"/>
      <c r="VL112" s="182"/>
      <c r="VM112" s="181"/>
      <c r="VN112" s="182"/>
      <c r="VO112" s="181"/>
      <c r="VP112" s="182"/>
      <c r="VQ112" s="181"/>
      <c r="VR112" s="182"/>
      <c r="VS112" s="181"/>
      <c r="VT112" s="182"/>
      <c r="VU112" s="181"/>
      <c r="VV112" s="182"/>
      <c r="VW112" s="181"/>
      <c r="VX112" s="182"/>
      <c r="VY112" s="181"/>
      <c r="VZ112" s="182"/>
      <c r="WA112" s="181"/>
      <c r="WB112" s="182"/>
      <c r="WC112" s="181"/>
      <c r="WD112" s="182"/>
      <c r="WE112" s="181"/>
      <c r="WF112" s="182"/>
      <c r="WG112" s="181"/>
      <c r="WH112" s="182"/>
      <c r="WI112" s="181"/>
      <c r="WJ112" s="182"/>
      <c r="WK112" s="181"/>
      <c r="WL112" s="182"/>
      <c r="WM112" s="181"/>
      <c r="WN112" s="182"/>
      <c r="WO112" s="181"/>
      <c r="WP112" s="182"/>
      <c r="WQ112" s="181"/>
      <c r="WR112" s="182"/>
      <c r="WS112" s="181"/>
      <c r="WT112" s="182"/>
      <c r="WU112" s="181"/>
      <c r="WV112" s="182"/>
      <c r="WW112" s="181"/>
      <c r="WX112" s="182"/>
      <c r="WY112" s="181"/>
      <c r="WZ112" s="182"/>
      <c r="XA112" s="181"/>
      <c r="XB112" s="182"/>
      <c r="XC112" s="181"/>
      <c r="XD112" s="182"/>
      <c r="XE112" s="181"/>
      <c r="XF112" s="182"/>
      <c r="XG112" s="181"/>
      <c r="XH112" s="182"/>
      <c r="XI112" s="181"/>
      <c r="XJ112" s="182"/>
      <c r="XK112" s="181"/>
      <c r="XL112" s="182"/>
      <c r="XM112" s="181"/>
      <c r="XN112" s="182"/>
      <c r="XO112" s="181"/>
      <c r="XP112" s="182"/>
      <c r="XQ112" s="181"/>
      <c r="XR112" s="182"/>
      <c r="XS112" s="181"/>
      <c r="XT112" s="182"/>
      <c r="XU112" s="181"/>
      <c r="XV112" s="182"/>
      <c r="XW112" s="181"/>
      <c r="XX112" s="182"/>
      <c r="XY112" s="181"/>
      <c r="XZ112" s="182"/>
      <c r="YA112" s="181"/>
      <c r="YB112" s="182"/>
      <c r="YC112" s="181"/>
      <c r="YD112" s="182"/>
      <c r="YE112" s="181"/>
      <c r="YF112" s="182"/>
      <c r="YG112" s="181"/>
      <c r="YH112" s="182"/>
      <c r="YI112" s="181"/>
      <c r="YJ112" s="182"/>
      <c r="YK112" s="181"/>
      <c r="YL112" s="182"/>
      <c r="YM112" s="181"/>
      <c r="YN112" s="182"/>
      <c r="YO112" s="181"/>
      <c r="YP112" s="182"/>
      <c r="YQ112" s="181"/>
      <c r="YR112" s="182"/>
      <c r="YS112" s="181"/>
      <c r="YT112" s="182"/>
      <c r="YU112" s="181"/>
      <c r="YV112" s="182"/>
      <c r="YW112" s="181"/>
      <c r="YX112" s="182"/>
      <c r="YY112" s="181"/>
      <c r="YZ112" s="182"/>
      <c r="ZA112" s="181"/>
      <c r="ZB112" s="182"/>
      <c r="ZC112" s="181"/>
      <c r="ZD112" s="182"/>
      <c r="ZE112" s="181"/>
      <c r="ZF112" s="182"/>
      <c r="ZG112" s="181"/>
      <c r="ZH112" s="182"/>
      <c r="ZI112" s="181"/>
      <c r="ZJ112" s="182"/>
      <c r="ZK112" s="181"/>
      <c r="ZL112" s="182"/>
      <c r="ZM112" s="181"/>
      <c r="ZN112" s="182"/>
      <c r="ZO112" s="181"/>
      <c r="ZP112" s="182"/>
      <c r="ZQ112" s="181"/>
      <c r="ZR112" s="182"/>
      <c r="ZS112" s="181"/>
      <c r="ZT112" s="182"/>
      <c r="ZU112" s="181"/>
      <c r="ZV112" s="182"/>
      <c r="ZW112" s="181"/>
      <c r="ZX112" s="182"/>
      <c r="ZY112" s="181"/>
      <c r="ZZ112" s="182"/>
      <c r="AAA112" s="181"/>
      <c r="AAB112" s="182"/>
      <c r="AAC112" s="181"/>
      <c r="AAD112" s="182"/>
      <c r="AAE112" s="181"/>
      <c r="AAF112" s="182"/>
      <c r="AAG112" s="181"/>
      <c r="AAH112" s="182"/>
      <c r="AAI112" s="181"/>
      <c r="AAJ112" s="182"/>
      <c r="AAK112" s="181"/>
      <c r="AAL112" s="182"/>
      <c r="AAM112" s="181"/>
      <c r="AAN112" s="182"/>
      <c r="AAO112" s="181"/>
      <c r="AAP112" s="182"/>
      <c r="AAQ112" s="181"/>
      <c r="AAR112" s="182"/>
      <c r="AAS112" s="181"/>
      <c r="AAT112" s="182"/>
      <c r="AAU112" s="181"/>
      <c r="AAV112" s="182"/>
      <c r="AAW112" s="181"/>
      <c r="AAX112" s="182"/>
      <c r="AAY112" s="181"/>
      <c r="AAZ112" s="182"/>
      <c r="ABA112" s="181"/>
      <c r="ABB112" s="182"/>
      <c r="ABC112" s="181"/>
      <c r="ABD112" s="182"/>
      <c r="ABE112" s="181"/>
      <c r="ABF112" s="182"/>
      <c r="ABG112" s="181"/>
      <c r="ABH112" s="182"/>
      <c r="ABI112" s="181"/>
      <c r="ABJ112" s="182"/>
      <c r="ABK112" s="181"/>
      <c r="ABL112" s="182"/>
      <c r="ABM112" s="181"/>
      <c r="ABN112" s="182"/>
      <c r="ABO112" s="181"/>
      <c r="ABP112" s="182"/>
      <c r="ABQ112" s="181"/>
      <c r="ABR112" s="182"/>
      <c r="ABS112" s="181"/>
      <c r="ABT112" s="182"/>
      <c r="ABU112" s="181"/>
      <c r="ABV112" s="182"/>
      <c r="ABW112" s="181"/>
      <c r="ABX112" s="182"/>
      <c r="ABY112" s="181"/>
      <c r="ABZ112" s="182"/>
      <c r="ACA112" s="181"/>
      <c r="ACB112" s="182"/>
      <c r="ACC112" s="181"/>
      <c r="ACD112" s="182"/>
      <c r="ACE112" s="181"/>
      <c r="ACF112" s="182"/>
      <c r="ACG112" s="181"/>
      <c r="ACH112" s="182"/>
      <c r="ACI112" s="181"/>
      <c r="ACJ112" s="182"/>
      <c r="ACK112" s="181"/>
      <c r="ACL112" s="182"/>
      <c r="ACM112" s="181"/>
      <c r="ACN112" s="182"/>
      <c r="ACO112" s="181"/>
      <c r="ACP112" s="182"/>
      <c r="ACQ112" s="181"/>
      <c r="ACR112" s="182"/>
      <c r="ACS112" s="181"/>
      <c r="ACT112" s="182"/>
      <c r="ACU112" s="181"/>
      <c r="ACV112" s="182"/>
      <c r="ACW112" s="181"/>
      <c r="ACX112" s="182"/>
      <c r="ACY112" s="181"/>
      <c r="ACZ112" s="182"/>
      <c r="ADA112" s="181"/>
      <c r="ADB112" s="182"/>
      <c r="ADC112" s="181"/>
      <c r="ADD112" s="182"/>
      <c r="ADE112" s="181"/>
      <c r="ADF112" s="182"/>
      <c r="ADG112" s="181"/>
      <c r="ADH112" s="182"/>
      <c r="ADI112" s="181"/>
      <c r="ADJ112" s="182"/>
      <c r="ADK112" s="181"/>
      <c r="ADL112" s="182"/>
      <c r="ADM112" s="181"/>
      <c r="ADN112" s="182"/>
      <c r="ADO112" s="181"/>
      <c r="ADP112" s="182"/>
      <c r="ADQ112" s="181"/>
      <c r="ADR112" s="182"/>
      <c r="ADS112" s="181"/>
      <c r="ADT112" s="182"/>
      <c r="ADU112" s="181"/>
      <c r="ADV112" s="182"/>
      <c r="ADW112" s="181"/>
      <c r="ADX112" s="182"/>
      <c r="ADY112" s="181"/>
      <c r="ADZ112" s="182"/>
      <c r="AEA112" s="181"/>
      <c r="AEB112" s="182"/>
      <c r="AEC112" s="181"/>
      <c r="AED112" s="182"/>
      <c r="AEE112" s="181"/>
      <c r="AEF112" s="182"/>
      <c r="AEG112" s="181"/>
      <c r="AEH112" s="182"/>
      <c r="AEI112" s="181"/>
      <c r="AEJ112" s="182"/>
      <c r="AEK112" s="181"/>
      <c r="AEL112" s="182"/>
      <c r="AEM112" s="181"/>
      <c r="AEN112" s="182"/>
      <c r="AEO112" s="181"/>
      <c r="AEP112" s="182"/>
      <c r="AEQ112" s="181"/>
      <c r="AER112" s="182"/>
      <c r="AES112" s="181"/>
      <c r="AET112" s="182"/>
      <c r="AEU112" s="181"/>
      <c r="AEV112" s="182"/>
      <c r="AEW112" s="181"/>
      <c r="AEX112" s="182"/>
      <c r="AEY112" s="181"/>
      <c r="AEZ112" s="182"/>
      <c r="AFA112" s="181"/>
      <c r="AFB112" s="182"/>
      <c r="AFC112" s="181"/>
      <c r="AFD112" s="182"/>
      <c r="AFE112" s="181"/>
      <c r="AFF112" s="182"/>
      <c r="AFG112" s="181"/>
      <c r="AFH112" s="182"/>
      <c r="AFI112" s="181"/>
      <c r="AFJ112" s="182"/>
      <c r="AFK112" s="181"/>
      <c r="AFL112" s="182"/>
      <c r="AFM112" s="181"/>
      <c r="AFN112" s="182"/>
      <c r="AFO112" s="181"/>
      <c r="AFP112" s="182"/>
      <c r="AFQ112" s="181"/>
      <c r="AFR112" s="182"/>
      <c r="AFS112" s="181"/>
      <c r="AFT112" s="182"/>
      <c r="AFU112" s="181"/>
      <c r="AFV112" s="182"/>
      <c r="AFW112" s="181"/>
      <c r="AFX112" s="182"/>
      <c r="AFY112" s="181"/>
      <c r="AFZ112" s="182"/>
      <c r="AGA112" s="181"/>
      <c r="AGB112" s="182"/>
      <c r="AGC112" s="181"/>
      <c r="AGD112" s="182"/>
      <c r="AGE112" s="181"/>
      <c r="AGF112" s="182"/>
      <c r="AGG112" s="181"/>
      <c r="AGH112" s="182"/>
      <c r="AGI112" s="181"/>
      <c r="AGJ112" s="182"/>
      <c r="AGK112" s="181"/>
      <c r="AGL112" s="182"/>
      <c r="AGM112" s="181"/>
      <c r="AGN112" s="182"/>
      <c r="AGO112" s="181"/>
      <c r="AGP112" s="182"/>
      <c r="AGQ112" s="181"/>
      <c r="AGR112" s="182"/>
      <c r="AGS112" s="181"/>
      <c r="AGT112" s="182"/>
      <c r="AGU112" s="181"/>
      <c r="AGV112" s="182"/>
      <c r="AGW112" s="181"/>
      <c r="AGX112" s="182"/>
      <c r="AGY112" s="181"/>
      <c r="AGZ112" s="182"/>
      <c r="AHA112" s="181"/>
      <c r="AHB112" s="182"/>
      <c r="AHC112" s="181"/>
      <c r="AHD112" s="182"/>
      <c r="AHE112" s="181"/>
      <c r="AHF112" s="182"/>
      <c r="AHG112" s="181"/>
      <c r="AHH112" s="182"/>
      <c r="AHI112" s="181"/>
      <c r="AHJ112" s="182"/>
      <c r="AHK112" s="181"/>
      <c r="AHL112" s="182"/>
      <c r="AHM112" s="181"/>
      <c r="AHN112" s="182"/>
      <c r="AHO112" s="181"/>
      <c r="AHP112" s="182"/>
      <c r="AHQ112" s="181"/>
      <c r="AHR112" s="182"/>
      <c r="AHS112" s="181"/>
      <c r="AHT112" s="182"/>
      <c r="AHU112" s="181"/>
      <c r="AHV112" s="182"/>
      <c r="AHW112" s="181"/>
      <c r="AHX112" s="182"/>
      <c r="AHY112" s="181"/>
      <c r="AHZ112" s="182"/>
      <c r="AIA112" s="181"/>
      <c r="AIB112" s="182"/>
      <c r="AIC112" s="181"/>
      <c r="AID112" s="182"/>
      <c r="AIE112" s="181"/>
      <c r="AIF112" s="182"/>
      <c r="AIG112" s="181"/>
      <c r="AIH112" s="182"/>
      <c r="AII112" s="181"/>
      <c r="AIJ112" s="182"/>
      <c r="AIK112" s="181"/>
      <c r="AIL112" s="182"/>
      <c r="AIM112" s="181"/>
      <c r="AIN112" s="182"/>
      <c r="AIO112" s="181"/>
      <c r="AIP112" s="182"/>
      <c r="AIQ112" s="181"/>
      <c r="AIR112" s="182"/>
      <c r="AIS112" s="181"/>
      <c r="AIT112" s="182"/>
      <c r="AIU112" s="181"/>
      <c r="AIV112" s="182"/>
      <c r="AIW112" s="181"/>
      <c r="AIX112" s="182"/>
      <c r="AIY112" s="181"/>
      <c r="AIZ112" s="182"/>
      <c r="AJA112" s="181"/>
      <c r="AJB112" s="182"/>
      <c r="AJC112" s="181"/>
      <c r="AJD112" s="182"/>
      <c r="AJE112" s="181"/>
      <c r="AJF112" s="182"/>
      <c r="AJG112" s="181"/>
      <c r="AJH112" s="182"/>
      <c r="AJI112" s="181"/>
      <c r="AJJ112" s="182"/>
      <c r="AJK112" s="181"/>
      <c r="AJL112" s="182"/>
      <c r="AJM112" s="181"/>
      <c r="AJN112" s="182"/>
      <c r="AJO112" s="181"/>
      <c r="AJP112" s="182"/>
      <c r="AJQ112" s="181"/>
      <c r="AJR112" s="182"/>
      <c r="AJS112" s="181"/>
      <c r="AJT112" s="182"/>
      <c r="AJU112" s="181"/>
      <c r="AJV112" s="182"/>
      <c r="AJW112" s="181"/>
      <c r="AJX112" s="182"/>
      <c r="AJY112" s="181"/>
      <c r="AJZ112" s="182"/>
      <c r="AKA112" s="181"/>
      <c r="AKB112" s="182"/>
      <c r="AKC112" s="181"/>
      <c r="AKD112" s="182"/>
      <c r="AKE112" s="181"/>
      <c r="AKF112" s="182"/>
      <c r="AKG112" s="181"/>
      <c r="AKH112" s="182"/>
      <c r="AKI112" s="181"/>
      <c r="AKJ112" s="182"/>
      <c r="AKK112" s="181"/>
      <c r="AKL112" s="182"/>
      <c r="AKM112" s="181"/>
      <c r="AKN112" s="182"/>
      <c r="AKO112" s="181"/>
      <c r="AKP112" s="182"/>
      <c r="AKQ112" s="181"/>
      <c r="AKR112" s="182"/>
      <c r="AKS112" s="181"/>
      <c r="AKT112" s="182"/>
      <c r="AKU112" s="181"/>
      <c r="AKV112" s="182"/>
      <c r="AKW112" s="181"/>
      <c r="AKX112" s="182"/>
      <c r="AKY112" s="181"/>
      <c r="AKZ112" s="182"/>
      <c r="ALA112" s="181"/>
      <c r="ALB112" s="182"/>
      <c r="ALC112" s="181"/>
      <c r="ALD112" s="182"/>
      <c r="ALE112" s="181"/>
      <c r="ALF112" s="182"/>
      <c r="ALG112" s="181"/>
      <c r="ALH112" s="182"/>
      <c r="ALI112" s="181"/>
      <c r="ALJ112" s="182"/>
      <c r="ALK112" s="181"/>
      <c r="ALL112" s="182"/>
      <c r="ALM112" s="181"/>
      <c r="ALN112" s="182"/>
      <c r="ALO112" s="181"/>
      <c r="ALP112" s="182"/>
      <c r="ALQ112" s="181"/>
      <c r="ALR112" s="182"/>
      <c r="ALS112" s="181"/>
      <c r="ALT112" s="182"/>
      <c r="ALU112" s="181"/>
      <c r="ALV112" s="182"/>
      <c r="ALW112" s="181"/>
      <c r="ALX112" s="182"/>
      <c r="ALY112" s="181"/>
      <c r="ALZ112" s="182"/>
      <c r="AMA112" s="181"/>
      <c r="AMB112" s="182"/>
      <c r="AMC112" s="181"/>
      <c r="AMD112" s="182"/>
      <c r="AME112" s="181"/>
      <c r="AMF112" s="182"/>
      <c r="AMG112" s="181"/>
      <c r="AMH112" s="182"/>
      <c r="AMI112" s="181"/>
      <c r="AMJ112" s="182"/>
      <c r="AMK112" s="181"/>
      <c r="AML112" s="182"/>
      <c r="AMM112" s="181"/>
      <c r="AMN112" s="182"/>
      <c r="AMO112" s="181"/>
      <c r="AMP112" s="182"/>
      <c r="AMQ112" s="181"/>
      <c r="AMR112" s="182"/>
      <c r="AMS112" s="181"/>
      <c r="AMT112" s="182"/>
      <c r="AMU112" s="181"/>
      <c r="AMV112" s="182"/>
      <c r="AMW112" s="181"/>
      <c r="AMX112" s="182"/>
      <c r="AMY112" s="181"/>
      <c r="AMZ112" s="182"/>
      <c r="ANA112" s="181"/>
      <c r="ANB112" s="182"/>
      <c r="ANC112" s="181"/>
      <c r="AND112" s="182"/>
      <c r="ANE112" s="181"/>
      <c r="ANF112" s="182"/>
      <c r="ANG112" s="181"/>
      <c r="ANH112" s="182"/>
      <c r="ANI112" s="181"/>
      <c r="ANJ112" s="182"/>
      <c r="ANK112" s="181"/>
      <c r="ANL112" s="182"/>
      <c r="ANM112" s="181"/>
      <c r="ANN112" s="182"/>
      <c r="ANO112" s="181"/>
      <c r="ANP112" s="182"/>
      <c r="ANQ112" s="181"/>
      <c r="ANR112" s="182"/>
      <c r="ANS112" s="181"/>
      <c r="ANT112" s="182"/>
      <c r="ANU112" s="181"/>
      <c r="ANV112" s="182"/>
      <c r="ANW112" s="181"/>
      <c r="ANX112" s="182"/>
      <c r="ANY112" s="181"/>
      <c r="ANZ112" s="182"/>
      <c r="AOA112" s="181"/>
      <c r="AOB112" s="182"/>
      <c r="AOC112" s="181"/>
      <c r="AOD112" s="182"/>
      <c r="AOE112" s="181"/>
      <c r="AOF112" s="182"/>
      <c r="AOG112" s="181"/>
      <c r="AOH112" s="182"/>
      <c r="AOI112" s="181"/>
      <c r="AOJ112" s="182"/>
      <c r="AOK112" s="181"/>
      <c r="AOL112" s="182"/>
      <c r="AOM112" s="181"/>
      <c r="AON112" s="182"/>
      <c r="AOO112" s="181"/>
      <c r="AOP112" s="182"/>
      <c r="AOQ112" s="181"/>
      <c r="AOR112" s="182"/>
      <c r="AOS112" s="181"/>
      <c r="AOT112" s="182"/>
      <c r="AOU112" s="181"/>
      <c r="AOV112" s="182"/>
      <c r="AOW112" s="181"/>
      <c r="AOX112" s="182"/>
      <c r="AOY112" s="181"/>
      <c r="AOZ112" s="182"/>
      <c r="APA112" s="181"/>
      <c r="APB112" s="182"/>
      <c r="APC112" s="181"/>
      <c r="APD112" s="182"/>
      <c r="APE112" s="181"/>
      <c r="APF112" s="182"/>
      <c r="APG112" s="181"/>
      <c r="APH112" s="182"/>
      <c r="API112" s="181"/>
      <c r="APJ112" s="182"/>
      <c r="APK112" s="181"/>
      <c r="APL112" s="182"/>
      <c r="APM112" s="181"/>
      <c r="APN112" s="182"/>
      <c r="APO112" s="181"/>
      <c r="APP112" s="182"/>
      <c r="APQ112" s="181"/>
      <c r="APR112" s="182"/>
      <c r="APS112" s="181"/>
      <c r="APT112" s="182"/>
      <c r="APU112" s="181"/>
      <c r="APV112" s="182"/>
      <c r="APW112" s="181"/>
      <c r="APX112" s="182"/>
      <c r="APY112" s="181"/>
      <c r="APZ112" s="182"/>
      <c r="AQA112" s="181"/>
      <c r="AQB112" s="182"/>
      <c r="AQC112" s="181"/>
      <c r="AQD112" s="182"/>
      <c r="AQE112" s="181"/>
      <c r="AQF112" s="182"/>
      <c r="AQG112" s="181"/>
      <c r="AQH112" s="182"/>
      <c r="AQI112" s="181"/>
      <c r="AQJ112" s="182"/>
      <c r="AQK112" s="181"/>
      <c r="AQL112" s="182"/>
      <c r="AQM112" s="181"/>
      <c r="AQN112" s="182"/>
      <c r="AQO112" s="181"/>
      <c r="AQP112" s="182"/>
      <c r="AQQ112" s="181"/>
      <c r="AQR112" s="182"/>
      <c r="AQS112" s="181"/>
      <c r="AQT112" s="182"/>
      <c r="AQU112" s="181"/>
      <c r="AQV112" s="182"/>
      <c r="AQW112" s="181"/>
      <c r="AQX112" s="182"/>
      <c r="AQY112" s="181"/>
      <c r="AQZ112" s="182"/>
      <c r="ARA112" s="181"/>
      <c r="ARB112" s="182"/>
      <c r="ARC112" s="181"/>
      <c r="ARD112" s="182"/>
      <c r="ARE112" s="181"/>
      <c r="ARF112" s="182"/>
      <c r="ARG112" s="181"/>
      <c r="ARH112" s="182"/>
      <c r="ARI112" s="181"/>
      <c r="ARJ112" s="182"/>
      <c r="ARK112" s="181"/>
      <c r="ARL112" s="182"/>
      <c r="ARM112" s="181"/>
      <c r="ARN112" s="182"/>
      <c r="ARO112" s="181"/>
      <c r="ARP112" s="182"/>
      <c r="ARQ112" s="181"/>
      <c r="ARR112" s="182"/>
      <c r="ARS112" s="181"/>
      <c r="ART112" s="182"/>
      <c r="ARU112" s="181"/>
      <c r="ARV112" s="182"/>
      <c r="ARW112" s="181"/>
      <c r="ARX112" s="182"/>
      <c r="ARY112" s="181"/>
      <c r="ARZ112" s="182"/>
      <c r="ASA112" s="181"/>
      <c r="ASB112" s="182"/>
      <c r="ASC112" s="181"/>
      <c r="ASD112" s="182"/>
      <c r="ASE112" s="181"/>
      <c r="ASF112" s="182"/>
      <c r="ASG112" s="181"/>
      <c r="ASH112" s="182"/>
      <c r="ASI112" s="181"/>
      <c r="ASJ112" s="182"/>
      <c r="ASK112" s="181"/>
      <c r="ASL112" s="182"/>
      <c r="ASM112" s="181"/>
      <c r="ASN112" s="182"/>
      <c r="ASO112" s="181"/>
      <c r="ASP112" s="182"/>
      <c r="ASQ112" s="181"/>
      <c r="ASR112" s="182"/>
      <c r="ASS112" s="181"/>
      <c r="AST112" s="182"/>
      <c r="ASU112" s="181"/>
      <c r="ASV112" s="182"/>
      <c r="ASW112" s="181"/>
      <c r="ASX112" s="182"/>
      <c r="ASY112" s="181"/>
      <c r="ASZ112" s="182"/>
      <c r="ATA112" s="181"/>
      <c r="ATB112" s="182"/>
      <c r="ATC112" s="181"/>
      <c r="ATD112" s="182"/>
      <c r="ATE112" s="181"/>
      <c r="ATF112" s="182"/>
      <c r="ATG112" s="181"/>
      <c r="ATH112" s="182"/>
      <c r="ATI112" s="181"/>
      <c r="ATJ112" s="182"/>
      <c r="ATK112" s="181"/>
      <c r="ATL112" s="182"/>
      <c r="ATM112" s="181"/>
      <c r="ATN112" s="182"/>
      <c r="ATO112" s="181"/>
      <c r="ATP112" s="182"/>
      <c r="ATQ112" s="181"/>
      <c r="ATR112" s="182"/>
      <c r="ATS112" s="181"/>
      <c r="ATT112" s="182"/>
      <c r="ATU112" s="181"/>
      <c r="ATV112" s="182"/>
      <c r="ATW112" s="181"/>
      <c r="ATX112" s="182"/>
      <c r="ATY112" s="181"/>
      <c r="ATZ112" s="182"/>
      <c r="AUA112" s="181"/>
      <c r="AUB112" s="182"/>
      <c r="AUC112" s="181"/>
      <c r="AUD112" s="182"/>
      <c r="AUE112" s="181"/>
      <c r="AUF112" s="182"/>
      <c r="AUG112" s="181"/>
      <c r="AUH112" s="182"/>
      <c r="AUI112" s="181"/>
      <c r="AUJ112" s="182"/>
      <c r="AUK112" s="181"/>
      <c r="AUL112" s="182"/>
      <c r="AUM112" s="181"/>
      <c r="AUN112" s="182"/>
      <c r="AUO112" s="181"/>
      <c r="AUP112" s="182"/>
      <c r="AUQ112" s="181"/>
      <c r="AUR112" s="182"/>
      <c r="AUS112" s="181"/>
      <c r="AUT112" s="182"/>
      <c r="AUU112" s="181"/>
      <c r="AUV112" s="182"/>
      <c r="AUW112" s="181"/>
      <c r="AUX112" s="182"/>
      <c r="AUY112" s="181"/>
      <c r="AUZ112" s="182"/>
      <c r="AVA112" s="181"/>
      <c r="AVB112" s="182"/>
      <c r="AVC112" s="181"/>
      <c r="AVD112" s="182"/>
      <c r="AVE112" s="181"/>
      <c r="AVF112" s="182"/>
      <c r="AVG112" s="181"/>
      <c r="AVH112" s="182"/>
      <c r="AVI112" s="181"/>
      <c r="AVJ112" s="182"/>
      <c r="AVK112" s="181"/>
      <c r="AVL112" s="182"/>
      <c r="AVM112" s="181"/>
      <c r="AVN112" s="182"/>
      <c r="AVO112" s="181"/>
      <c r="AVP112" s="182"/>
      <c r="AVQ112" s="181"/>
      <c r="AVR112" s="182"/>
      <c r="AVS112" s="181"/>
      <c r="AVT112" s="182"/>
      <c r="AVU112" s="181"/>
      <c r="AVV112" s="182"/>
      <c r="AVW112" s="181"/>
      <c r="AVX112" s="182"/>
      <c r="AVY112" s="181"/>
      <c r="AVZ112" s="182"/>
      <c r="AWA112" s="181"/>
      <c r="AWB112" s="182"/>
      <c r="AWC112" s="181"/>
      <c r="AWD112" s="182"/>
      <c r="AWE112" s="181"/>
      <c r="AWF112" s="182"/>
      <c r="AWG112" s="181"/>
      <c r="AWH112" s="182"/>
      <c r="AWI112" s="181"/>
      <c r="AWJ112" s="182"/>
      <c r="AWK112" s="181"/>
      <c r="AWL112" s="182"/>
      <c r="AWM112" s="181"/>
      <c r="AWN112" s="182"/>
      <c r="AWO112" s="181"/>
      <c r="AWP112" s="182"/>
      <c r="AWQ112" s="181"/>
      <c r="AWR112" s="182"/>
      <c r="AWS112" s="181"/>
      <c r="AWT112" s="182"/>
      <c r="AWU112" s="181"/>
      <c r="AWV112" s="182"/>
      <c r="AWW112" s="181"/>
      <c r="AWX112" s="182"/>
      <c r="AWY112" s="181"/>
      <c r="AWZ112" s="182"/>
      <c r="AXA112" s="181"/>
      <c r="AXB112" s="182"/>
      <c r="AXC112" s="181"/>
      <c r="AXD112" s="182"/>
      <c r="AXE112" s="181"/>
      <c r="AXF112" s="182"/>
      <c r="AXG112" s="181"/>
      <c r="AXH112" s="182"/>
      <c r="AXI112" s="181"/>
      <c r="AXJ112" s="182"/>
      <c r="AXK112" s="181"/>
      <c r="AXL112" s="182"/>
      <c r="AXM112" s="181"/>
      <c r="AXN112" s="182"/>
      <c r="AXO112" s="181"/>
      <c r="AXP112" s="182"/>
      <c r="AXQ112" s="181"/>
      <c r="AXR112" s="182"/>
      <c r="AXS112" s="181"/>
      <c r="AXT112" s="182"/>
      <c r="AXU112" s="181"/>
      <c r="AXV112" s="182"/>
      <c r="AXW112" s="181"/>
      <c r="AXX112" s="182"/>
      <c r="AXY112" s="181"/>
      <c r="AXZ112" s="182"/>
      <c r="AYA112" s="181"/>
      <c r="AYB112" s="182"/>
      <c r="AYC112" s="181"/>
      <c r="AYD112" s="182"/>
      <c r="AYE112" s="181"/>
      <c r="AYF112" s="182"/>
      <c r="AYG112" s="181"/>
      <c r="AYH112" s="182"/>
      <c r="AYI112" s="181"/>
      <c r="AYJ112" s="182"/>
      <c r="AYK112" s="181"/>
      <c r="AYL112" s="182"/>
      <c r="AYM112" s="181"/>
      <c r="AYN112" s="182"/>
      <c r="AYO112" s="181"/>
      <c r="AYP112" s="182"/>
      <c r="AYQ112" s="181"/>
      <c r="AYR112" s="182"/>
      <c r="AYS112" s="181"/>
      <c r="AYT112" s="182"/>
      <c r="AYU112" s="181"/>
      <c r="AYV112" s="182"/>
      <c r="AYW112" s="181"/>
      <c r="AYX112" s="182"/>
      <c r="AYY112" s="181"/>
      <c r="AYZ112" s="182"/>
      <c r="AZA112" s="181"/>
      <c r="AZB112" s="182"/>
      <c r="AZC112" s="181"/>
      <c r="AZD112" s="182"/>
      <c r="AZE112" s="181"/>
      <c r="AZF112" s="182"/>
      <c r="AZG112" s="181"/>
      <c r="AZH112" s="182"/>
      <c r="AZI112" s="181"/>
      <c r="AZJ112" s="182"/>
      <c r="AZK112" s="181"/>
      <c r="AZL112" s="182"/>
      <c r="AZM112" s="181"/>
      <c r="AZN112" s="182"/>
      <c r="AZO112" s="181"/>
      <c r="AZP112" s="182"/>
      <c r="AZQ112" s="181"/>
      <c r="AZR112" s="182"/>
      <c r="AZS112" s="181"/>
      <c r="AZT112" s="182"/>
      <c r="AZU112" s="181"/>
      <c r="AZV112" s="182"/>
      <c r="AZW112" s="181"/>
      <c r="AZX112" s="182"/>
      <c r="AZY112" s="181"/>
      <c r="AZZ112" s="182"/>
      <c r="BAA112" s="181"/>
      <c r="BAB112" s="182"/>
      <c r="BAC112" s="181"/>
      <c r="BAD112" s="182"/>
      <c r="BAE112" s="181"/>
      <c r="BAF112" s="182"/>
      <c r="BAG112" s="181"/>
      <c r="BAH112" s="182"/>
      <c r="BAI112" s="181"/>
      <c r="BAJ112" s="182"/>
      <c r="BAK112" s="181"/>
      <c r="BAL112" s="182"/>
      <c r="BAM112" s="181"/>
      <c r="BAN112" s="182"/>
      <c r="BAO112" s="181"/>
      <c r="BAP112" s="182"/>
      <c r="BAQ112" s="181"/>
      <c r="BAR112" s="182"/>
      <c r="BAS112" s="181"/>
      <c r="BAT112" s="182"/>
      <c r="BAU112" s="181"/>
      <c r="BAV112" s="182"/>
      <c r="BAW112" s="181"/>
      <c r="BAX112" s="182"/>
      <c r="BAY112" s="181"/>
      <c r="BAZ112" s="182"/>
      <c r="BBA112" s="181"/>
      <c r="BBB112" s="182"/>
      <c r="BBC112" s="181"/>
      <c r="BBD112" s="182"/>
      <c r="BBE112" s="181"/>
      <c r="BBF112" s="182"/>
      <c r="BBG112" s="181"/>
      <c r="BBH112" s="182"/>
      <c r="BBI112" s="181"/>
      <c r="BBJ112" s="182"/>
      <c r="BBK112" s="181"/>
      <c r="BBL112" s="182"/>
      <c r="BBM112" s="181"/>
      <c r="BBN112" s="182"/>
      <c r="BBO112" s="181"/>
      <c r="BBP112" s="182"/>
      <c r="BBQ112" s="181"/>
      <c r="BBR112" s="182"/>
      <c r="BBS112" s="181"/>
      <c r="BBT112" s="182"/>
      <c r="BBU112" s="181"/>
      <c r="BBV112" s="182"/>
      <c r="BBW112" s="181"/>
      <c r="BBX112" s="182"/>
      <c r="BBY112" s="181"/>
      <c r="BBZ112" s="182"/>
      <c r="BCA112" s="181"/>
      <c r="BCB112" s="182"/>
      <c r="BCC112" s="181"/>
      <c r="BCD112" s="182"/>
      <c r="BCE112" s="181"/>
      <c r="BCF112" s="182"/>
      <c r="BCG112" s="181"/>
      <c r="BCH112" s="182"/>
      <c r="BCI112" s="181"/>
      <c r="BCJ112" s="182"/>
      <c r="BCK112" s="181"/>
      <c r="BCL112" s="182"/>
      <c r="BCM112" s="181"/>
      <c r="BCN112" s="182"/>
      <c r="BCO112" s="181"/>
      <c r="BCP112" s="182"/>
      <c r="BCQ112" s="181"/>
      <c r="BCR112" s="182"/>
      <c r="BCS112" s="181"/>
      <c r="BCT112" s="182"/>
      <c r="BCU112" s="181"/>
      <c r="BCV112" s="182"/>
      <c r="BCW112" s="181"/>
      <c r="BCX112" s="182"/>
      <c r="BCY112" s="181"/>
      <c r="BCZ112" s="182"/>
      <c r="BDA112" s="181"/>
      <c r="BDB112" s="182"/>
      <c r="BDC112" s="181"/>
      <c r="BDD112" s="182"/>
      <c r="BDE112" s="181"/>
      <c r="BDF112" s="182"/>
      <c r="BDG112" s="181"/>
      <c r="BDH112" s="182"/>
      <c r="BDI112" s="181"/>
      <c r="BDJ112" s="182"/>
      <c r="BDK112" s="181"/>
      <c r="BDL112" s="182"/>
      <c r="BDM112" s="181"/>
      <c r="BDN112" s="182"/>
      <c r="BDO112" s="181"/>
      <c r="BDP112" s="182"/>
      <c r="BDQ112" s="181"/>
      <c r="BDR112" s="182"/>
      <c r="BDS112" s="181"/>
      <c r="BDT112" s="182"/>
      <c r="BDU112" s="181"/>
      <c r="BDV112" s="182"/>
      <c r="BDW112" s="181"/>
      <c r="BDX112" s="182"/>
      <c r="BDY112" s="181"/>
      <c r="BDZ112" s="182"/>
      <c r="BEA112" s="181"/>
      <c r="BEB112" s="182"/>
      <c r="BEC112" s="181"/>
      <c r="BED112" s="182"/>
      <c r="BEE112" s="181"/>
      <c r="BEF112" s="182"/>
      <c r="BEG112" s="181"/>
      <c r="BEH112" s="182"/>
      <c r="BEI112" s="181"/>
      <c r="BEJ112" s="182"/>
      <c r="BEK112" s="181"/>
      <c r="BEL112" s="182"/>
      <c r="BEM112" s="181"/>
      <c r="BEN112" s="182"/>
      <c r="BEO112" s="181"/>
      <c r="BEP112" s="182"/>
      <c r="BEQ112" s="181"/>
      <c r="BER112" s="182"/>
      <c r="BES112" s="181"/>
      <c r="BET112" s="182"/>
      <c r="BEU112" s="181"/>
      <c r="BEV112" s="182"/>
      <c r="BEW112" s="181"/>
      <c r="BEX112" s="182"/>
      <c r="BEY112" s="181"/>
      <c r="BEZ112" s="182"/>
      <c r="BFA112" s="181"/>
      <c r="BFB112" s="182"/>
      <c r="BFC112" s="181"/>
      <c r="BFD112" s="182"/>
      <c r="BFE112" s="181"/>
      <c r="BFF112" s="182"/>
      <c r="BFG112" s="181"/>
      <c r="BFH112" s="182"/>
      <c r="BFI112" s="181"/>
      <c r="BFJ112" s="182"/>
      <c r="BFK112" s="181"/>
      <c r="BFL112" s="182"/>
      <c r="BFM112" s="181"/>
      <c r="BFN112" s="182"/>
      <c r="BFO112" s="181"/>
      <c r="BFP112" s="182"/>
      <c r="BFQ112" s="181"/>
      <c r="BFR112" s="182"/>
      <c r="BFS112" s="181"/>
      <c r="BFT112" s="182"/>
      <c r="BFU112" s="181"/>
      <c r="BFV112" s="182"/>
      <c r="BFW112" s="181"/>
      <c r="BFX112" s="182"/>
      <c r="BFY112" s="181"/>
      <c r="BFZ112" s="182"/>
      <c r="BGA112" s="181"/>
      <c r="BGB112" s="182"/>
      <c r="BGC112" s="181"/>
      <c r="BGD112" s="182"/>
      <c r="BGE112" s="181"/>
      <c r="BGF112" s="182"/>
      <c r="BGG112" s="181"/>
      <c r="BGH112" s="182"/>
      <c r="BGI112" s="181"/>
      <c r="BGJ112" s="182"/>
      <c r="BGK112" s="181"/>
      <c r="BGL112" s="182"/>
      <c r="BGM112" s="181"/>
      <c r="BGN112" s="182"/>
      <c r="BGO112" s="181"/>
      <c r="BGP112" s="182"/>
      <c r="BGQ112" s="181"/>
      <c r="BGR112" s="182"/>
      <c r="BGS112" s="181"/>
      <c r="BGT112" s="182"/>
      <c r="BGU112" s="181"/>
      <c r="BGV112" s="182"/>
      <c r="BGW112" s="181"/>
      <c r="BGX112" s="182"/>
      <c r="BGY112" s="181"/>
      <c r="BGZ112" s="182"/>
      <c r="BHA112" s="181"/>
      <c r="BHB112" s="182"/>
      <c r="BHC112" s="181"/>
      <c r="BHD112" s="182"/>
      <c r="BHE112" s="181"/>
      <c r="BHF112" s="182"/>
      <c r="BHG112" s="181"/>
      <c r="BHH112" s="182"/>
      <c r="BHI112" s="181"/>
      <c r="BHJ112" s="182"/>
      <c r="BHK112" s="181"/>
      <c r="BHL112" s="182"/>
      <c r="BHM112" s="181"/>
      <c r="BHN112" s="182"/>
      <c r="BHO112" s="181"/>
      <c r="BHP112" s="182"/>
      <c r="BHQ112" s="181"/>
      <c r="BHR112" s="182"/>
      <c r="BHS112" s="181"/>
      <c r="BHT112" s="182"/>
      <c r="BHU112" s="181"/>
      <c r="BHV112" s="182"/>
      <c r="BHW112" s="181"/>
      <c r="BHX112" s="182"/>
      <c r="BHY112" s="181"/>
      <c r="BHZ112" s="182"/>
      <c r="BIA112" s="181"/>
      <c r="BIB112" s="182"/>
      <c r="BIC112" s="181"/>
      <c r="BID112" s="182"/>
      <c r="BIE112" s="181"/>
      <c r="BIF112" s="182"/>
      <c r="BIG112" s="181"/>
      <c r="BIH112" s="182"/>
      <c r="BII112" s="181"/>
      <c r="BIJ112" s="182"/>
      <c r="BIK112" s="181"/>
      <c r="BIL112" s="182"/>
      <c r="BIM112" s="181"/>
      <c r="BIN112" s="182"/>
      <c r="BIO112" s="181"/>
      <c r="BIP112" s="182"/>
      <c r="BIQ112" s="181"/>
      <c r="BIR112" s="182"/>
      <c r="BIS112" s="181"/>
      <c r="BIT112" s="182"/>
      <c r="BIU112" s="181"/>
      <c r="BIV112" s="182"/>
      <c r="BIW112" s="181"/>
      <c r="BIX112" s="182"/>
      <c r="BIY112" s="181"/>
      <c r="BIZ112" s="182"/>
      <c r="BJA112" s="181"/>
      <c r="BJB112" s="182"/>
      <c r="BJC112" s="181"/>
      <c r="BJD112" s="182"/>
      <c r="BJE112" s="181"/>
      <c r="BJF112" s="182"/>
      <c r="BJG112" s="181"/>
      <c r="BJH112" s="182"/>
      <c r="BJI112" s="181"/>
      <c r="BJJ112" s="182"/>
      <c r="BJK112" s="181"/>
      <c r="BJL112" s="182"/>
      <c r="BJM112" s="181"/>
      <c r="BJN112" s="182"/>
      <c r="BJO112" s="181"/>
      <c r="BJP112" s="182"/>
      <c r="BJQ112" s="181"/>
      <c r="BJR112" s="182"/>
      <c r="BJS112" s="181"/>
      <c r="BJT112" s="182"/>
      <c r="BJU112" s="181"/>
      <c r="BJV112" s="182"/>
      <c r="BJW112" s="181"/>
      <c r="BJX112" s="182"/>
      <c r="BJY112" s="181"/>
      <c r="BJZ112" s="182"/>
      <c r="BKA112" s="181"/>
      <c r="BKB112" s="182"/>
      <c r="BKC112" s="181"/>
      <c r="BKD112" s="182"/>
      <c r="BKE112" s="181"/>
      <c r="BKF112" s="182"/>
      <c r="BKG112" s="181"/>
      <c r="BKH112" s="182"/>
      <c r="BKI112" s="181"/>
      <c r="BKJ112" s="182"/>
      <c r="BKK112" s="181"/>
      <c r="BKL112" s="182"/>
      <c r="BKM112" s="181"/>
      <c r="BKN112" s="182"/>
      <c r="BKO112" s="181"/>
      <c r="BKP112" s="182"/>
      <c r="BKQ112" s="181"/>
      <c r="BKR112" s="182"/>
      <c r="BKS112" s="181"/>
      <c r="BKT112" s="182"/>
      <c r="BKU112" s="181"/>
      <c r="BKV112" s="182"/>
      <c r="BKW112" s="181"/>
      <c r="BKX112" s="182"/>
      <c r="BKY112" s="181"/>
      <c r="BKZ112" s="182"/>
      <c r="BLA112" s="181"/>
      <c r="BLB112" s="182"/>
      <c r="BLC112" s="181"/>
      <c r="BLD112" s="182"/>
      <c r="BLE112" s="181"/>
      <c r="BLF112" s="182"/>
      <c r="BLG112" s="181"/>
      <c r="BLH112" s="182"/>
      <c r="BLI112" s="181"/>
      <c r="BLJ112" s="182"/>
      <c r="BLK112" s="181"/>
      <c r="BLL112" s="182"/>
      <c r="BLM112" s="181"/>
      <c r="BLN112" s="182"/>
      <c r="BLO112" s="181"/>
      <c r="BLP112" s="182"/>
      <c r="BLQ112" s="181"/>
      <c r="BLR112" s="182"/>
      <c r="BLS112" s="181"/>
      <c r="BLT112" s="182"/>
      <c r="BLU112" s="181"/>
      <c r="BLV112" s="182"/>
      <c r="BLW112" s="181"/>
      <c r="BLX112" s="182"/>
      <c r="BLY112" s="181"/>
      <c r="BLZ112" s="182"/>
      <c r="BMA112" s="181"/>
      <c r="BMB112" s="182"/>
      <c r="BMC112" s="181"/>
      <c r="BMD112" s="182"/>
      <c r="BME112" s="181"/>
      <c r="BMF112" s="182"/>
      <c r="BMG112" s="181"/>
      <c r="BMH112" s="182"/>
      <c r="BMI112" s="181"/>
      <c r="BMJ112" s="182"/>
      <c r="BMK112" s="181"/>
      <c r="BML112" s="182"/>
      <c r="BMM112" s="181"/>
      <c r="BMN112" s="182"/>
      <c r="BMO112" s="181"/>
      <c r="BMP112" s="182"/>
      <c r="BMQ112" s="181"/>
      <c r="BMR112" s="182"/>
      <c r="BMS112" s="181"/>
      <c r="BMT112" s="182"/>
      <c r="BMU112" s="181"/>
      <c r="BMV112" s="182"/>
      <c r="BMW112" s="181"/>
      <c r="BMX112" s="182"/>
      <c r="BMY112" s="181"/>
      <c r="BMZ112" s="182"/>
      <c r="BNA112" s="181"/>
      <c r="BNB112" s="182"/>
      <c r="BNC112" s="181"/>
      <c r="BND112" s="182"/>
      <c r="BNE112" s="181"/>
      <c r="BNF112" s="182"/>
      <c r="BNG112" s="181"/>
      <c r="BNH112" s="182"/>
      <c r="BNI112" s="181"/>
      <c r="BNJ112" s="182"/>
      <c r="BNK112" s="181"/>
      <c r="BNL112" s="182"/>
      <c r="BNM112" s="181"/>
      <c r="BNN112" s="182"/>
      <c r="BNO112" s="181"/>
      <c r="BNP112" s="182"/>
      <c r="BNQ112" s="181"/>
      <c r="BNR112" s="182"/>
      <c r="BNS112" s="181"/>
      <c r="BNT112" s="182"/>
      <c r="BNU112" s="181"/>
      <c r="BNV112" s="182"/>
      <c r="BNW112" s="181"/>
      <c r="BNX112" s="182"/>
      <c r="BNY112" s="181"/>
      <c r="BNZ112" s="182"/>
      <c r="BOA112" s="181"/>
      <c r="BOB112" s="182"/>
      <c r="BOC112" s="181"/>
      <c r="BOD112" s="182"/>
      <c r="BOE112" s="181"/>
      <c r="BOF112" s="182"/>
      <c r="BOG112" s="181"/>
      <c r="BOH112" s="182"/>
      <c r="BOI112" s="181"/>
      <c r="BOJ112" s="182"/>
      <c r="BOK112" s="181"/>
      <c r="BOL112" s="182"/>
      <c r="BOM112" s="181"/>
      <c r="BON112" s="182"/>
      <c r="BOO112" s="181"/>
      <c r="BOP112" s="182"/>
      <c r="BOQ112" s="181"/>
      <c r="BOR112" s="182"/>
      <c r="BOS112" s="181"/>
      <c r="BOT112" s="182"/>
      <c r="BOU112" s="181"/>
      <c r="BOV112" s="182"/>
      <c r="BOW112" s="181"/>
      <c r="BOX112" s="182"/>
      <c r="BOY112" s="181"/>
      <c r="BOZ112" s="182"/>
      <c r="BPA112" s="181"/>
      <c r="BPB112" s="182"/>
      <c r="BPC112" s="181"/>
      <c r="BPD112" s="182"/>
      <c r="BPE112" s="181"/>
      <c r="BPF112" s="182"/>
      <c r="BPG112" s="181"/>
      <c r="BPH112" s="182"/>
      <c r="BPI112" s="181"/>
      <c r="BPJ112" s="182"/>
      <c r="BPK112" s="181"/>
      <c r="BPL112" s="182"/>
      <c r="BPM112" s="181"/>
      <c r="BPN112" s="182"/>
      <c r="BPO112" s="181"/>
      <c r="BPP112" s="182"/>
      <c r="BPQ112" s="181"/>
      <c r="BPR112" s="182"/>
      <c r="BPS112" s="181"/>
      <c r="BPT112" s="182"/>
      <c r="BPU112" s="181"/>
      <c r="BPV112" s="182"/>
      <c r="BPW112" s="181"/>
      <c r="BPX112" s="182"/>
      <c r="BPY112" s="181"/>
      <c r="BPZ112" s="182"/>
      <c r="BQA112" s="181"/>
      <c r="BQB112" s="182"/>
      <c r="BQC112" s="181"/>
      <c r="BQD112" s="182"/>
      <c r="BQE112" s="181"/>
      <c r="BQF112" s="182"/>
      <c r="BQG112" s="181"/>
      <c r="BQH112" s="182"/>
      <c r="BQI112" s="181"/>
      <c r="BQJ112" s="182"/>
      <c r="BQK112" s="181"/>
      <c r="BQL112" s="182"/>
      <c r="BQM112" s="181"/>
      <c r="BQN112" s="182"/>
      <c r="BQO112" s="181"/>
      <c r="BQP112" s="182"/>
      <c r="BQQ112" s="181"/>
      <c r="BQR112" s="182"/>
      <c r="BQS112" s="181"/>
      <c r="BQT112" s="182"/>
      <c r="BQU112" s="181"/>
      <c r="BQV112" s="182"/>
      <c r="BQW112" s="181"/>
      <c r="BQX112" s="182"/>
      <c r="BQY112" s="181"/>
      <c r="BQZ112" s="182"/>
      <c r="BRA112" s="181"/>
      <c r="BRB112" s="182"/>
      <c r="BRC112" s="181"/>
      <c r="BRD112" s="182"/>
      <c r="BRE112" s="181"/>
      <c r="BRF112" s="182"/>
      <c r="BRG112" s="181"/>
      <c r="BRH112" s="182"/>
      <c r="BRI112" s="181"/>
      <c r="BRJ112" s="182"/>
      <c r="BRK112" s="181"/>
      <c r="BRL112" s="182"/>
      <c r="BRM112" s="181"/>
      <c r="BRN112" s="182"/>
      <c r="BRO112" s="181"/>
      <c r="BRP112" s="182"/>
      <c r="BRQ112" s="181"/>
      <c r="BRR112" s="182"/>
      <c r="BRS112" s="181"/>
      <c r="BRT112" s="182"/>
      <c r="BRU112" s="181"/>
      <c r="BRV112" s="182"/>
      <c r="BRW112" s="181"/>
      <c r="BRX112" s="182"/>
      <c r="BRY112" s="181"/>
      <c r="BRZ112" s="182"/>
      <c r="BSA112" s="181"/>
      <c r="BSB112" s="182"/>
      <c r="BSC112" s="181"/>
      <c r="BSD112" s="182"/>
      <c r="BSE112" s="181"/>
      <c r="BSF112" s="182"/>
      <c r="BSG112" s="181"/>
      <c r="BSH112" s="182"/>
      <c r="BSI112" s="181"/>
      <c r="BSJ112" s="182"/>
      <c r="BSK112" s="181"/>
      <c r="BSL112" s="182"/>
      <c r="BSM112" s="181"/>
      <c r="BSN112" s="182"/>
      <c r="BSO112" s="181"/>
      <c r="BSP112" s="182"/>
      <c r="BSQ112" s="181"/>
      <c r="BSR112" s="182"/>
      <c r="BSS112" s="181"/>
      <c r="BST112" s="182"/>
      <c r="BSU112" s="181"/>
      <c r="BSV112" s="182"/>
      <c r="BSW112" s="181"/>
      <c r="BSX112" s="182"/>
      <c r="BSY112" s="181"/>
      <c r="BSZ112" s="182"/>
      <c r="BTA112" s="181"/>
      <c r="BTB112" s="182"/>
      <c r="BTC112" s="181"/>
      <c r="BTD112" s="182"/>
      <c r="BTE112" s="181"/>
      <c r="BTF112" s="182"/>
      <c r="BTG112" s="181"/>
      <c r="BTH112" s="182"/>
      <c r="BTI112" s="181"/>
      <c r="BTJ112" s="182"/>
      <c r="BTK112" s="181"/>
      <c r="BTL112" s="182"/>
      <c r="BTM112" s="181"/>
      <c r="BTN112" s="182"/>
      <c r="BTO112" s="181"/>
      <c r="BTP112" s="182"/>
      <c r="BTQ112" s="181"/>
      <c r="BTR112" s="182"/>
      <c r="BTS112" s="181"/>
      <c r="BTT112" s="182"/>
      <c r="BTU112" s="181"/>
      <c r="BTV112" s="182"/>
      <c r="BTW112" s="181"/>
      <c r="BTX112" s="182"/>
      <c r="BTY112" s="181"/>
      <c r="BTZ112" s="182"/>
      <c r="BUA112" s="181"/>
      <c r="BUB112" s="182"/>
      <c r="BUC112" s="181"/>
      <c r="BUD112" s="182"/>
      <c r="BUE112" s="181"/>
      <c r="BUF112" s="182"/>
      <c r="BUG112" s="181"/>
      <c r="BUH112" s="182"/>
      <c r="BUI112" s="181"/>
      <c r="BUJ112" s="182"/>
      <c r="BUK112" s="181"/>
      <c r="BUL112" s="182"/>
      <c r="BUM112" s="181"/>
      <c r="BUN112" s="182"/>
      <c r="BUO112" s="181"/>
      <c r="BUP112" s="182"/>
      <c r="BUQ112" s="181"/>
      <c r="BUR112" s="182"/>
      <c r="BUS112" s="181"/>
      <c r="BUT112" s="182"/>
      <c r="BUU112" s="181"/>
      <c r="BUV112" s="182"/>
      <c r="BUW112" s="181"/>
      <c r="BUX112" s="182"/>
      <c r="BUY112" s="181"/>
      <c r="BUZ112" s="182"/>
      <c r="BVA112" s="181"/>
      <c r="BVB112" s="182"/>
      <c r="BVC112" s="181"/>
      <c r="BVD112" s="182"/>
      <c r="BVE112" s="181"/>
      <c r="BVF112" s="182"/>
      <c r="BVG112" s="181"/>
      <c r="BVH112" s="182"/>
      <c r="BVI112" s="181"/>
      <c r="BVJ112" s="182"/>
      <c r="BVK112" s="181"/>
      <c r="BVL112" s="182"/>
      <c r="BVM112" s="181"/>
      <c r="BVN112" s="182"/>
      <c r="BVO112" s="181"/>
      <c r="BVP112" s="182"/>
      <c r="BVQ112" s="181"/>
      <c r="BVR112" s="182"/>
      <c r="BVS112" s="181"/>
      <c r="BVT112" s="182"/>
      <c r="BVU112" s="181"/>
      <c r="BVV112" s="182"/>
      <c r="BVW112" s="181"/>
      <c r="BVX112" s="182"/>
      <c r="BVY112" s="181"/>
      <c r="BVZ112" s="182"/>
      <c r="BWA112" s="181"/>
      <c r="BWB112" s="182"/>
      <c r="BWC112" s="181"/>
      <c r="BWD112" s="182"/>
      <c r="BWE112" s="181"/>
      <c r="BWF112" s="182"/>
      <c r="BWG112" s="181"/>
      <c r="BWH112" s="182"/>
      <c r="BWI112" s="181"/>
      <c r="BWJ112" s="182"/>
      <c r="BWK112" s="181"/>
      <c r="BWL112" s="182"/>
      <c r="BWM112" s="181"/>
      <c r="BWN112" s="182"/>
      <c r="BWO112" s="181"/>
      <c r="BWP112" s="182"/>
      <c r="BWQ112" s="181"/>
      <c r="BWR112" s="182"/>
      <c r="BWS112" s="181"/>
      <c r="BWT112" s="182"/>
      <c r="BWU112" s="181"/>
      <c r="BWV112" s="182"/>
      <c r="BWW112" s="181"/>
      <c r="BWX112" s="182"/>
      <c r="BWY112" s="181"/>
      <c r="BWZ112" s="182"/>
      <c r="BXA112" s="181"/>
      <c r="BXB112" s="182"/>
      <c r="BXC112" s="181"/>
      <c r="BXD112" s="182"/>
      <c r="BXE112" s="181"/>
      <c r="BXF112" s="182"/>
      <c r="BXG112" s="181"/>
      <c r="BXH112" s="182"/>
      <c r="BXI112" s="181"/>
      <c r="BXJ112" s="182"/>
      <c r="BXK112" s="181"/>
      <c r="BXL112" s="182"/>
      <c r="BXM112" s="181"/>
      <c r="BXN112" s="182"/>
      <c r="BXO112" s="181"/>
      <c r="BXP112" s="182"/>
      <c r="BXQ112" s="181"/>
      <c r="BXR112" s="182"/>
      <c r="BXS112" s="181"/>
      <c r="BXT112" s="182"/>
      <c r="BXU112" s="181"/>
      <c r="BXV112" s="182"/>
      <c r="BXW112" s="181"/>
      <c r="BXX112" s="182"/>
      <c r="BXY112" s="181"/>
      <c r="BXZ112" s="182"/>
      <c r="BYA112" s="181"/>
      <c r="BYB112" s="182"/>
      <c r="BYC112" s="181"/>
      <c r="BYD112" s="182"/>
      <c r="BYE112" s="181"/>
      <c r="BYF112" s="182"/>
      <c r="BYG112" s="181"/>
      <c r="BYH112" s="182"/>
      <c r="BYI112" s="181"/>
      <c r="BYJ112" s="182"/>
      <c r="BYK112" s="181"/>
      <c r="BYL112" s="182"/>
      <c r="BYM112" s="181"/>
      <c r="BYN112" s="182"/>
      <c r="BYO112" s="181"/>
      <c r="BYP112" s="182"/>
      <c r="BYQ112" s="181"/>
      <c r="BYR112" s="182"/>
      <c r="BYS112" s="181"/>
      <c r="BYT112" s="182"/>
      <c r="BYU112" s="181"/>
      <c r="BYV112" s="182"/>
      <c r="BYW112" s="181"/>
      <c r="BYX112" s="182"/>
      <c r="BYY112" s="181"/>
      <c r="BYZ112" s="182"/>
      <c r="BZA112" s="181"/>
      <c r="BZB112" s="182"/>
      <c r="BZC112" s="181"/>
      <c r="BZD112" s="182"/>
      <c r="BZE112" s="181"/>
      <c r="BZF112" s="182"/>
      <c r="BZG112" s="181"/>
      <c r="BZH112" s="182"/>
      <c r="BZI112" s="181"/>
      <c r="BZJ112" s="182"/>
      <c r="BZK112" s="181"/>
      <c r="BZL112" s="182"/>
      <c r="BZM112" s="181"/>
      <c r="BZN112" s="182"/>
      <c r="BZO112" s="181"/>
      <c r="BZP112" s="182"/>
      <c r="BZQ112" s="181"/>
      <c r="BZR112" s="182"/>
      <c r="BZS112" s="181"/>
      <c r="BZT112" s="182"/>
      <c r="BZU112" s="181"/>
      <c r="BZV112" s="182"/>
      <c r="BZW112" s="181"/>
      <c r="BZX112" s="182"/>
      <c r="BZY112" s="181"/>
      <c r="BZZ112" s="182"/>
      <c r="CAA112" s="181"/>
      <c r="CAB112" s="182"/>
      <c r="CAC112" s="181"/>
      <c r="CAD112" s="182"/>
      <c r="CAE112" s="181"/>
      <c r="CAF112" s="182"/>
      <c r="CAG112" s="181"/>
      <c r="CAH112" s="182"/>
      <c r="CAI112" s="181"/>
      <c r="CAJ112" s="182"/>
      <c r="CAK112" s="181"/>
      <c r="CAL112" s="182"/>
      <c r="CAM112" s="181"/>
      <c r="CAN112" s="182"/>
      <c r="CAO112" s="181"/>
      <c r="CAP112" s="182"/>
      <c r="CAQ112" s="181"/>
      <c r="CAR112" s="182"/>
      <c r="CAS112" s="181"/>
      <c r="CAT112" s="182"/>
      <c r="CAU112" s="181"/>
      <c r="CAV112" s="182"/>
      <c r="CAW112" s="181"/>
      <c r="CAX112" s="182"/>
      <c r="CAY112" s="181"/>
      <c r="CAZ112" s="182"/>
      <c r="CBA112" s="181"/>
      <c r="CBB112" s="182"/>
      <c r="CBC112" s="181"/>
      <c r="CBD112" s="182"/>
      <c r="CBE112" s="181"/>
      <c r="CBF112" s="182"/>
      <c r="CBG112" s="181"/>
      <c r="CBH112" s="182"/>
      <c r="CBI112" s="181"/>
      <c r="CBJ112" s="182"/>
      <c r="CBK112" s="181"/>
      <c r="CBL112" s="182"/>
      <c r="CBM112" s="181"/>
      <c r="CBN112" s="182"/>
      <c r="CBO112" s="181"/>
      <c r="CBP112" s="182"/>
      <c r="CBQ112" s="181"/>
      <c r="CBR112" s="182"/>
      <c r="CBS112" s="181"/>
      <c r="CBT112" s="182"/>
      <c r="CBU112" s="181"/>
      <c r="CBV112" s="182"/>
      <c r="CBW112" s="181"/>
      <c r="CBX112" s="182"/>
      <c r="CBY112" s="181"/>
      <c r="CBZ112" s="182"/>
      <c r="CCA112" s="181"/>
      <c r="CCB112" s="182"/>
      <c r="CCC112" s="181"/>
      <c r="CCD112" s="182"/>
      <c r="CCE112" s="181"/>
      <c r="CCF112" s="182"/>
      <c r="CCG112" s="181"/>
      <c r="CCH112" s="182"/>
      <c r="CCI112" s="181"/>
      <c r="CCJ112" s="182"/>
      <c r="CCK112" s="181"/>
      <c r="CCL112" s="182"/>
      <c r="CCM112" s="181"/>
      <c r="CCN112" s="182"/>
      <c r="CCO112" s="181"/>
      <c r="CCP112" s="182"/>
      <c r="CCQ112" s="181"/>
      <c r="CCR112" s="182"/>
      <c r="CCS112" s="181"/>
      <c r="CCT112" s="182"/>
      <c r="CCU112" s="181"/>
      <c r="CCV112" s="182"/>
      <c r="CCW112" s="181"/>
      <c r="CCX112" s="182"/>
      <c r="CCY112" s="181"/>
      <c r="CCZ112" s="182"/>
      <c r="CDA112" s="181"/>
      <c r="CDB112" s="182"/>
      <c r="CDC112" s="181"/>
      <c r="CDD112" s="182"/>
      <c r="CDE112" s="181"/>
      <c r="CDF112" s="182"/>
      <c r="CDG112" s="181"/>
      <c r="CDH112" s="182"/>
      <c r="CDI112" s="181"/>
      <c r="CDJ112" s="182"/>
      <c r="CDK112" s="181"/>
      <c r="CDL112" s="182"/>
      <c r="CDM112" s="181"/>
      <c r="CDN112" s="182"/>
      <c r="CDO112" s="181"/>
      <c r="CDP112" s="182"/>
      <c r="CDQ112" s="181"/>
      <c r="CDR112" s="182"/>
      <c r="CDS112" s="181"/>
      <c r="CDT112" s="182"/>
      <c r="CDU112" s="181"/>
      <c r="CDV112" s="182"/>
      <c r="CDW112" s="181"/>
      <c r="CDX112" s="182"/>
      <c r="CDY112" s="181"/>
      <c r="CDZ112" s="182"/>
      <c r="CEA112" s="181"/>
      <c r="CEB112" s="182"/>
      <c r="CEC112" s="181"/>
      <c r="CED112" s="182"/>
      <c r="CEE112" s="181"/>
      <c r="CEF112" s="182"/>
      <c r="CEG112" s="181"/>
      <c r="CEH112" s="182"/>
      <c r="CEI112" s="181"/>
      <c r="CEJ112" s="182"/>
      <c r="CEK112" s="181"/>
      <c r="CEL112" s="182"/>
      <c r="CEM112" s="181"/>
      <c r="CEN112" s="182"/>
      <c r="CEO112" s="181"/>
      <c r="CEP112" s="182"/>
      <c r="CEQ112" s="181"/>
      <c r="CER112" s="182"/>
      <c r="CES112" s="181"/>
      <c r="CET112" s="182"/>
      <c r="CEU112" s="181"/>
      <c r="CEV112" s="182"/>
      <c r="CEW112" s="181"/>
      <c r="CEX112" s="182"/>
      <c r="CEY112" s="181"/>
      <c r="CEZ112" s="182"/>
      <c r="CFA112" s="181"/>
      <c r="CFB112" s="182"/>
      <c r="CFC112" s="181"/>
      <c r="CFD112" s="182"/>
      <c r="CFE112" s="181"/>
      <c r="CFF112" s="182"/>
      <c r="CFG112" s="181"/>
      <c r="CFH112" s="182"/>
      <c r="CFI112" s="181"/>
      <c r="CFJ112" s="182"/>
      <c r="CFK112" s="181"/>
      <c r="CFL112" s="182"/>
      <c r="CFM112" s="181"/>
      <c r="CFN112" s="182"/>
      <c r="CFO112" s="181"/>
      <c r="CFP112" s="182"/>
      <c r="CFQ112" s="181"/>
      <c r="CFR112" s="182"/>
      <c r="CFS112" s="181"/>
      <c r="CFT112" s="182"/>
      <c r="CFU112" s="181"/>
      <c r="CFV112" s="182"/>
      <c r="CFW112" s="181"/>
      <c r="CFX112" s="182"/>
      <c r="CFY112" s="181"/>
      <c r="CFZ112" s="182"/>
      <c r="CGA112" s="181"/>
      <c r="CGB112" s="182"/>
      <c r="CGC112" s="181"/>
      <c r="CGD112" s="182"/>
      <c r="CGE112" s="181"/>
      <c r="CGF112" s="182"/>
      <c r="CGG112" s="181"/>
      <c r="CGH112" s="182"/>
      <c r="CGI112" s="181"/>
      <c r="CGJ112" s="182"/>
      <c r="CGK112" s="181"/>
      <c r="CGL112" s="182"/>
      <c r="CGM112" s="181"/>
      <c r="CGN112" s="182"/>
      <c r="CGO112" s="181"/>
      <c r="CGP112" s="182"/>
      <c r="CGQ112" s="181"/>
      <c r="CGR112" s="182"/>
      <c r="CGS112" s="181"/>
      <c r="CGT112" s="182"/>
      <c r="CGU112" s="181"/>
      <c r="CGV112" s="182"/>
      <c r="CGW112" s="181"/>
      <c r="CGX112" s="182"/>
      <c r="CGY112" s="181"/>
      <c r="CGZ112" s="182"/>
      <c r="CHA112" s="181"/>
      <c r="CHB112" s="182"/>
      <c r="CHC112" s="181"/>
      <c r="CHD112" s="182"/>
      <c r="CHE112" s="181"/>
      <c r="CHF112" s="182"/>
      <c r="CHG112" s="181"/>
      <c r="CHH112" s="182"/>
      <c r="CHI112" s="181"/>
      <c r="CHJ112" s="182"/>
      <c r="CHK112" s="181"/>
      <c r="CHL112" s="182"/>
      <c r="CHM112" s="181"/>
      <c r="CHN112" s="182"/>
      <c r="CHO112" s="181"/>
      <c r="CHP112" s="182"/>
      <c r="CHQ112" s="181"/>
      <c r="CHR112" s="182"/>
      <c r="CHS112" s="181"/>
      <c r="CHT112" s="182"/>
      <c r="CHU112" s="181"/>
      <c r="CHV112" s="182"/>
      <c r="CHW112" s="181"/>
      <c r="CHX112" s="182"/>
      <c r="CHY112" s="181"/>
      <c r="CHZ112" s="182"/>
      <c r="CIA112" s="181"/>
      <c r="CIB112" s="182"/>
      <c r="CIC112" s="181"/>
      <c r="CID112" s="182"/>
      <c r="CIE112" s="181"/>
      <c r="CIF112" s="182"/>
      <c r="CIG112" s="181"/>
      <c r="CIH112" s="182"/>
      <c r="CII112" s="181"/>
      <c r="CIJ112" s="182"/>
      <c r="CIK112" s="181"/>
      <c r="CIL112" s="182"/>
      <c r="CIM112" s="181"/>
      <c r="CIN112" s="182"/>
      <c r="CIO112" s="181"/>
      <c r="CIP112" s="182"/>
      <c r="CIQ112" s="181"/>
      <c r="CIR112" s="182"/>
      <c r="CIS112" s="181"/>
      <c r="CIT112" s="182"/>
      <c r="CIU112" s="181"/>
      <c r="CIV112" s="182"/>
      <c r="CIW112" s="181"/>
      <c r="CIX112" s="182"/>
      <c r="CIY112" s="181"/>
      <c r="CIZ112" s="182"/>
      <c r="CJA112" s="181"/>
      <c r="CJB112" s="182"/>
      <c r="CJC112" s="181"/>
      <c r="CJD112" s="182"/>
      <c r="CJE112" s="181"/>
      <c r="CJF112" s="182"/>
      <c r="CJG112" s="181"/>
      <c r="CJH112" s="182"/>
      <c r="CJI112" s="181"/>
      <c r="CJJ112" s="182"/>
      <c r="CJK112" s="181"/>
      <c r="CJL112" s="182"/>
      <c r="CJM112" s="181"/>
      <c r="CJN112" s="182"/>
      <c r="CJO112" s="181"/>
      <c r="CJP112" s="182"/>
      <c r="CJQ112" s="181"/>
      <c r="CJR112" s="182"/>
      <c r="CJS112" s="181"/>
      <c r="CJT112" s="182"/>
      <c r="CJU112" s="181"/>
      <c r="CJV112" s="182"/>
      <c r="CJW112" s="181"/>
      <c r="CJX112" s="182"/>
      <c r="CJY112" s="181"/>
      <c r="CJZ112" s="182"/>
      <c r="CKA112" s="181"/>
      <c r="CKB112" s="182"/>
      <c r="CKC112" s="181"/>
      <c r="CKD112" s="182"/>
      <c r="CKE112" s="181"/>
      <c r="CKF112" s="182"/>
      <c r="CKG112" s="181"/>
      <c r="CKH112" s="182"/>
      <c r="CKI112" s="181"/>
      <c r="CKJ112" s="182"/>
      <c r="CKK112" s="181"/>
      <c r="CKL112" s="182"/>
      <c r="CKM112" s="181"/>
      <c r="CKN112" s="182"/>
      <c r="CKO112" s="181"/>
      <c r="CKP112" s="182"/>
      <c r="CKQ112" s="181"/>
      <c r="CKR112" s="182"/>
      <c r="CKS112" s="181"/>
      <c r="CKT112" s="182"/>
      <c r="CKU112" s="181"/>
      <c r="CKV112" s="182"/>
      <c r="CKW112" s="181"/>
      <c r="CKX112" s="182"/>
      <c r="CKY112" s="181"/>
      <c r="CKZ112" s="182"/>
      <c r="CLA112" s="181"/>
      <c r="CLB112" s="182"/>
      <c r="CLC112" s="181"/>
      <c r="CLD112" s="182"/>
      <c r="CLE112" s="181"/>
      <c r="CLF112" s="182"/>
      <c r="CLG112" s="181"/>
      <c r="CLH112" s="182"/>
      <c r="CLI112" s="181"/>
      <c r="CLJ112" s="182"/>
      <c r="CLK112" s="181"/>
      <c r="CLL112" s="182"/>
      <c r="CLM112" s="181"/>
      <c r="CLN112" s="182"/>
      <c r="CLO112" s="181"/>
      <c r="CLP112" s="182"/>
      <c r="CLQ112" s="181"/>
      <c r="CLR112" s="182"/>
      <c r="CLS112" s="181"/>
      <c r="CLT112" s="182"/>
      <c r="CLU112" s="181"/>
      <c r="CLV112" s="182"/>
      <c r="CLW112" s="181"/>
      <c r="CLX112" s="182"/>
      <c r="CLY112" s="181"/>
      <c r="CLZ112" s="182"/>
      <c r="CMA112" s="181"/>
      <c r="CMB112" s="182"/>
      <c r="CMC112" s="181"/>
      <c r="CMD112" s="182"/>
      <c r="CME112" s="181"/>
      <c r="CMF112" s="182"/>
      <c r="CMG112" s="181"/>
      <c r="CMH112" s="182"/>
      <c r="CMI112" s="181"/>
      <c r="CMJ112" s="182"/>
      <c r="CMK112" s="181"/>
      <c r="CML112" s="182"/>
      <c r="CMM112" s="181"/>
      <c r="CMN112" s="182"/>
      <c r="CMO112" s="181"/>
      <c r="CMP112" s="182"/>
      <c r="CMQ112" s="181"/>
      <c r="CMR112" s="182"/>
      <c r="CMS112" s="181"/>
      <c r="CMT112" s="182"/>
      <c r="CMU112" s="181"/>
      <c r="CMV112" s="182"/>
      <c r="CMW112" s="181"/>
      <c r="CMX112" s="182"/>
      <c r="CMY112" s="181"/>
      <c r="CMZ112" s="182"/>
      <c r="CNA112" s="181"/>
      <c r="CNB112" s="182"/>
      <c r="CNC112" s="181"/>
      <c r="CND112" s="182"/>
      <c r="CNE112" s="181"/>
      <c r="CNF112" s="182"/>
      <c r="CNG112" s="181"/>
      <c r="CNH112" s="182"/>
      <c r="CNI112" s="181"/>
      <c r="CNJ112" s="182"/>
      <c r="CNK112" s="181"/>
      <c r="CNL112" s="182"/>
      <c r="CNM112" s="181"/>
      <c r="CNN112" s="182"/>
      <c r="CNO112" s="181"/>
      <c r="CNP112" s="182"/>
      <c r="CNQ112" s="181"/>
      <c r="CNR112" s="182"/>
      <c r="CNS112" s="181"/>
      <c r="CNT112" s="182"/>
      <c r="CNU112" s="181"/>
      <c r="CNV112" s="182"/>
      <c r="CNW112" s="181"/>
      <c r="CNX112" s="182"/>
      <c r="CNY112" s="181"/>
      <c r="CNZ112" s="182"/>
      <c r="COA112" s="181"/>
      <c r="COB112" s="182"/>
      <c r="COC112" s="181"/>
      <c r="COD112" s="182"/>
      <c r="COE112" s="181"/>
      <c r="COF112" s="182"/>
      <c r="COG112" s="181"/>
      <c r="COH112" s="182"/>
      <c r="COI112" s="181"/>
      <c r="COJ112" s="182"/>
      <c r="COK112" s="181"/>
      <c r="COL112" s="182"/>
      <c r="COM112" s="181"/>
      <c r="CON112" s="182"/>
      <c r="COO112" s="181"/>
      <c r="COP112" s="182"/>
      <c r="COQ112" s="181"/>
      <c r="COR112" s="182"/>
      <c r="COS112" s="181"/>
      <c r="COT112" s="182"/>
      <c r="COU112" s="181"/>
      <c r="COV112" s="182"/>
      <c r="COW112" s="181"/>
      <c r="COX112" s="182"/>
      <c r="COY112" s="181"/>
      <c r="COZ112" s="182"/>
      <c r="CPA112" s="181"/>
      <c r="CPB112" s="182"/>
      <c r="CPC112" s="181"/>
      <c r="CPD112" s="182"/>
      <c r="CPE112" s="181"/>
      <c r="CPF112" s="182"/>
      <c r="CPG112" s="181"/>
      <c r="CPH112" s="182"/>
      <c r="CPI112" s="181"/>
      <c r="CPJ112" s="182"/>
      <c r="CPK112" s="181"/>
      <c r="CPL112" s="182"/>
      <c r="CPM112" s="181"/>
      <c r="CPN112" s="182"/>
      <c r="CPO112" s="181"/>
      <c r="CPP112" s="182"/>
      <c r="CPQ112" s="181"/>
      <c r="CPR112" s="182"/>
      <c r="CPS112" s="181"/>
      <c r="CPT112" s="182"/>
      <c r="CPU112" s="181"/>
      <c r="CPV112" s="182"/>
      <c r="CPW112" s="181"/>
      <c r="CPX112" s="182"/>
      <c r="CPY112" s="181"/>
      <c r="CPZ112" s="182"/>
      <c r="CQA112" s="181"/>
      <c r="CQB112" s="182"/>
      <c r="CQC112" s="181"/>
      <c r="CQD112" s="182"/>
      <c r="CQE112" s="181"/>
      <c r="CQF112" s="182"/>
      <c r="CQG112" s="181"/>
      <c r="CQH112" s="182"/>
      <c r="CQI112" s="181"/>
      <c r="CQJ112" s="182"/>
      <c r="CQK112" s="181"/>
      <c r="CQL112" s="182"/>
      <c r="CQM112" s="181"/>
      <c r="CQN112" s="182"/>
      <c r="CQO112" s="181"/>
      <c r="CQP112" s="182"/>
      <c r="CQQ112" s="181"/>
      <c r="CQR112" s="182"/>
      <c r="CQS112" s="181"/>
      <c r="CQT112" s="182"/>
      <c r="CQU112" s="181"/>
      <c r="CQV112" s="182"/>
      <c r="CQW112" s="181"/>
      <c r="CQX112" s="182"/>
      <c r="CQY112" s="181"/>
      <c r="CQZ112" s="182"/>
      <c r="CRA112" s="181"/>
      <c r="CRB112" s="182"/>
      <c r="CRC112" s="181"/>
      <c r="CRD112" s="182"/>
      <c r="CRE112" s="181"/>
      <c r="CRF112" s="182"/>
      <c r="CRG112" s="181"/>
      <c r="CRH112" s="182"/>
      <c r="CRI112" s="181"/>
      <c r="CRJ112" s="182"/>
      <c r="CRK112" s="181"/>
      <c r="CRL112" s="182"/>
      <c r="CRM112" s="181"/>
      <c r="CRN112" s="182"/>
      <c r="CRO112" s="181"/>
      <c r="CRP112" s="182"/>
      <c r="CRQ112" s="181"/>
      <c r="CRR112" s="182"/>
      <c r="CRS112" s="181"/>
      <c r="CRT112" s="182"/>
      <c r="CRU112" s="181"/>
      <c r="CRV112" s="182"/>
      <c r="CRW112" s="181"/>
      <c r="CRX112" s="182"/>
      <c r="CRY112" s="181"/>
      <c r="CRZ112" s="182"/>
      <c r="CSA112" s="181"/>
      <c r="CSB112" s="182"/>
      <c r="CSC112" s="181"/>
      <c r="CSD112" s="182"/>
      <c r="CSE112" s="181"/>
      <c r="CSF112" s="182"/>
      <c r="CSG112" s="181"/>
      <c r="CSH112" s="182"/>
      <c r="CSI112" s="181"/>
      <c r="CSJ112" s="182"/>
      <c r="CSK112" s="181"/>
      <c r="CSL112" s="182"/>
      <c r="CSM112" s="181"/>
      <c r="CSN112" s="182"/>
      <c r="CSO112" s="181"/>
      <c r="CSP112" s="182"/>
      <c r="CSQ112" s="181"/>
      <c r="CSR112" s="182"/>
      <c r="CSS112" s="181"/>
      <c r="CST112" s="182"/>
      <c r="CSU112" s="181"/>
      <c r="CSV112" s="182"/>
      <c r="CSW112" s="181"/>
      <c r="CSX112" s="182"/>
      <c r="CSY112" s="181"/>
      <c r="CSZ112" s="182"/>
      <c r="CTA112" s="181"/>
      <c r="CTB112" s="182"/>
      <c r="CTC112" s="181"/>
      <c r="CTD112" s="182"/>
      <c r="CTE112" s="181"/>
      <c r="CTF112" s="182"/>
      <c r="CTG112" s="181"/>
      <c r="CTH112" s="182"/>
      <c r="CTI112" s="181"/>
      <c r="CTJ112" s="182"/>
      <c r="CTK112" s="181"/>
      <c r="CTL112" s="182"/>
      <c r="CTM112" s="181"/>
      <c r="CTN112" s="182"/>
      <c r="CTO112" s="181"/>
      <c r="CTP112" s="182"/>
      <c r="CTQ112" s="181"/>
      <c r="CTR112" s="182"/>
      <c r="CTS112" s="181"/>
      <c r="CTT112" s="182"/>
      <c r="CTU112" s="181"/>
      <c r="CTV112" s="182"/>
      <c r="CTW112" s="181"/>
      <c r="CTX112" s="182"/>
      <c r="CTY112" s="181"/>
      <c r="CTZ112" s="182"/>
      <c r="CUA112" s="181"/>
      <c r="CUB112" s="182"/>
      <c r="CUC112" s="181"/>
      <c r="CUD112" s="182"/>
      <c r="CUE112" s="181"/>
      <c r="CUF112" s="182"/>
      <c r="CUG112" s="181"/>
      <c r="CUH112" s="182"/>
      <c r="CUI112" s="181"/>
      <c r="CUJ112" s="182"/>
      <c r="CUK112" s="181"/>
      <c r="CUL112" s="182"/>
      <c r="CUM112" s="181"/>
      <c r="CUN112" s="182"/>
      <c r="CUO112" s="181"/>
      <c r="CUP112" s="182"/>
      <c r="CUQ112" s="181"/>
      <c r="CUR112" s="182"/>
      <c r="CUS112" s="181"/>
      <c r="CUT112" s="182"/>
      <c r="CUU112" s="181"/>
      <c r="CUV112" s="182"/>
      <c r="CUW112" s="181"/>
      <c r="CUX112" s="182"/>
      <c r="CUY112" s="181"/>
      <c r="CUZ112" s="182"/>
      <c r="CVA112" s="181"/>
      <c r="CVB112" s="182"/>
      <c r="CVC112" s="181"/>
      <c r="CVD112" s="182"/>
      <c r="CVE112" s="181"/>
      <c r="CVF112" s="182"/>
      <c r="CVG112" s="181"/>
      <c r="CVH112" s="182"/>
      <c r="CVI112" s="181"/>
      <c r="CVJ112" s="182"/>
      <c r="CVK112" s="181"/>
      <c r="CVL112" s="182"/>
      <c r="CVM112" s="181"/>
      <c r="CVN112" s="182"/>
      <c r="CVO112" s="181"/>
      <c r="CVP112" s="182"/>
      <c r="CVQ112" s="181"/>
      <c r="CVR112" s="182"/>
      <c r="CVS112" s="181"/>
      <c r="CVT112" s="182"/>
      <c r="CVU112" s="181"/>
      <c r="CVV112" s="182"/>
      <c r="CVW112" s="181"/>
      <c r="CVX112" s="182"/>
      <c r="CVY112" s="181"/>
      <c r="CVZ112" s="182"/>
      <c r="CWA112" s="181"/>
      <c r="CWB112" s="182"/>
      <c r="CWC112" s="181"/>
      <c r="CWD112" s="182"/>
      <c r="CWE112" s="181"/>
      <c r="CWF112" s="182"/>
      <c r="CWG112" s="181"/>
      <c r="CWH112" s="182"/>
      <c r="CWI112" s="181"/>
      <c r="CWJ112" s="182"/>
      <c r="CWK112" s="181"/>
      <c r="CWL112" s="182"/>
      <c r="CWM112" s="181"/>
      <c r="CWN112" s="182"/>
      <c r="CWO112" s="181"/>
      <c r="CWP112" s="182"/>
      <c r="CWQ112" s="181"/>
      <c r="CWR112" s="182"/>
      <c r="CWS112" s="181"/>
      <c r="CWT112" s="182"/>
      <c r="CWU112" s="181"/>
      <c r="CWV112" s="182"/>
      <c r="CWW112" s="181"/>
      <c r="CWX112" s="182"/>
      <c r="CWY112" s="181"/>
      <c r="CWZ112" s="182"/>
      <c r="CXA112" s="181"/>
      <c r="CXB112" s="182"/>
      <c r="CXC112" s="181"/>
      <c r="CXD112" s="182"/>
      <c r="CXE112" s="181"/>
      <c r="CXF112" s="182"/>
      <c r="CXG112" s="181"/>
      <c r="CXH112" s="182"/>
      <c r="CXI112" s="181"/>
      <c r="CXJ112" s="182"/>
      <c r="CXK112" s="181"/>
      <c r="CXL112" s="182"/>
      <c r="CXM112" s="181"/>
      <c r="CXN112" s="182"/>
      <c r="CXO112" s="181"/>
      <c r="CXP112" s="182"/>
      <c r="CXQ112" s="181"/>
      <c r="CXR112" s="182"/>
      <c r="CXS112" s="181"/>
      <c r="CXT112" s="182"/>
      <c r="CXU112" s="181"/>
      <c r="CXV112" s="182"/>
      <c r="CXW112" s="181"/>
      <c r="CXX112" s="182"/>
      <c r="CXY112" s="181"/>
      <c r="CXZ112" s="182"/>
      <c r="CYA112" s="181"/>
      <c r="CYB112" s="182"/>
      <c r="CYC112" s="181"/>
      <c r="CYD112" s="182"/>
      <c r="CYE112" s="181"/>
      <c r="CYF112" s="182"/>
      <c r="CYG112" s="181"/>
      <c r="CYH112" s="182"/>
      <c r="CYI112" s="181"/>
      <c r="CYJ112" s="182"/>
      <c r="CYK112" s="181"/>
      <c r="CYL112" s="182"/>
      <c r="CYM112" s="181"/>
      <c r="CYN112" s="182"/>
      <c r="CYO112" s="181"/>
      <c r="CYP112" s="182"/>
      <c r="CYQ112" s="181"/>
      <c r="CYR112" s="182"/>
      <c r="CYS112" s="181"/>
      <c r="CYT112" s="182"/>
      <c r="CYU112" s="181"/>
      <c r="CYV112" s="182"/>
      <c r="CYW112" s="181"/>
      <c r="CYX112" s="182"/>
      <c r="CYY112" s="181"/>
      <c r="CYZ112" s="182"/>
      <c r="CZA112" s="181"/>
      <c r="CZB112" s="182"/>
      <c r="CZC112" s="181"/>
      <c r="CZD112" s="182"/>
      <c r="CZE112" s="181"/>
      <c r="CZF112" s="182"/>
      <c r="CZG112" s="181"/>
      <c r="CZH112" s="182"/>
      <c r="CZI112" s="181"/>
      <c r="CZJ112" s="182"/>
      <c r="CZK112" s="181"/>
      <c r="CZL112" s="182"/>
      <c r="CZM112" s="181"/>
      <c r="CZN112" s="182"/>
      <c r="CZO112" s="181"/>
      <c r="CZP112" s="182"/>
      <c r="CZQ112" s="181"/>
      <c r="CZR112" s="182"/>
      <c r="CZS112" s="181"/>
      <c r="CZT112" s="182"/>
      <c r="CZU112" s="181"/>
      <c r="CZV112" s="182"/>
      <c r="CZW112" s="181"/>
      <c r="CZX112" s="182"/>
      <c r="CZY112" s="181"/>
      <c r="CZZ112" s="182"/>
      <c r="DAA112" s="181"/>
      <c r="DAB112" s="182"/>
      <c r="DAC112" s="181"/>
      <c r="DAD112" s="182"/>
      <c r="DAE112" s="181"/>
      <c r="DAF112" s="182"/>
      <c r="DAG112" s="181"/>
      <c r="DAH112" s="182"/>
      <c r="DAI112" s="181"/>
      <c r="DAJ112" s="182"/>
      <c r="DAK112" s="181"/>
      <c r="DAL112" s="182"/>
      <c r="DAM112" s="181"/>
      <c r="DAN112" s="182"/>
      <c r="DAO112" s="181"/>
      <c r="DAP112" s="182"/>
      <c r="DAQ112" s="181"/>
      <c r="DAR112" s="182"/>
      <c r="DAS112" s="181"/>
      <c r="DAT112" s="182"/>
      <c r="DAU112" s="181"/>
      <c r="DAV112" s="182"/>
      <c r="DAW112" s="181"/>
      <c r="DAX112" s="182"/>
      <c r="DAY112" s="181"/>
      <c r="DAZ112" s="182"/>
      <c r="DBA112" s="181"/>
      <c r="DBB112" s="182"/>
      <c r="DBC112" s="181"/>
      <c r="DBD112" s="182"/>
      <c r="DBE112" s="181"/>
      <c r="DBF112" s="182"/>
      <c r="DBG112" s="181"/>
      <c r="DBH112" s="182"/>
      <c r="DBI112" s="181"/>
      <c r="DBJ112" s="182"/>
      <c r="DBK112" s="181"/>
      <c r="DBL112" s="182"/>
      <c r="DBM112" s="181"/>
      <c r="DBN112" s="182"/>
      <c r="DBO112" s="181"/>
      <c r="DBP112" s="182"/>
      <c r="DBQ112" s="181"/>
      <c r="DBR112" s="182"/>
      <c r="DBS112" s="181"/>
      <c r="DBT112" s="182"/>
      <c r="DBU112" s="181"/>
      <c r="DBV112" s="182"/>
      <c r="DBW112" s="181"/>
      <c r="DBX112" s="182"/>
      <c r="DBY112" s="181"/>
      <c r="DBZ112" s="182"/>
      <c r="DCA112" s="181"/>
      <c r="DCB112" s="182"/>
      <c r="DCC112" s="181"/>
      <c r="DCD112" s="182"/>
      <c r="DCE112" s="181"/>
      <c r="DCF112" s="182"/>
      <c r="DCG112" s="181"/>
      <c r="DCH112" s="182"/>
      <c r="DCI112" s="181"/>
      <c r="DCJ112" s="182"/>
      <c r="DCK112" s="181"/>
      <c r="DCL112" s="182"/>
      <c r="DCM112" s="181"/>
      <c r="DCN112" s="182"/>
      <c r="DCO112" s="181"/>
      <c r="DCP112" s="182"/>
      <c r="DCQ112" s="181"/>
      <c r="DCR112" s="182"/>
      <c r="DCS112" s="181"/>
      <c r="DCT112" s="182"/>
      <c r="DCU112" s="181"/>
      <c r="DCV112" s="182"/>
      <c r="DCW112" s="181"/>
      <c r="DCX112" s="182"/>
      <c r="DCY112" s="181"/>
      <c r="DCZ112" s="182"/>
      <c r="DDA112" s="181"/>
      <c r="DDB112" s="182"/>
      <c r="DDC112" s="181"/>
      <c r="DDD112" s="182"/>
      <c r="DDE112" s="181"/>
      <c r="DDF112" s="182"/>
      <c r="DDG112" s="181"/>
      <c r="DDH112" s="182"/>
      <c r="DDI112" s="181"/>
      <c r="DDJ112" s="182"/>
      <c r="DDK112" s="181"/>
      <c r="DDL112" s="182"/>
      <c r="DDM112" s="181"/>
      <c r="DDN112" s="182"/>
      <c r="DDO112" s="181"/>
      <c r="DDP112" s="182"/>
      <c r="DDQ112" s="181"/>
      <c r="DDR112" s="182"/>
      <c r="DDS112" s="181"/>
      <c r="DDT112" s="182"/>
      <c r="DDU112" s="181"/>
      <c r="DDV112" s="182"/>
      <c r="DDW112" s="181"/>
      <c r="DDX112" s="182"/>
      <c r="DDY112" s="181"/>
      <c r="DDZ112" s="182"/>
      <c r="DEA112" s="181"/>
      <c r="DEB112" s="182"/>
      <c r="DEC112" s="181"/>
      <c r="DED112" s="182"/>
      <c r="DEE112" s="181"/>
      <c r="DEF112" s="182"/>
      <c r="DEG112" s="181"/>
      <c r="DEH112" s="182"/>
      <c r="DEI112" s="181"/>
      <c r="DEJ112" s="182"/>
      <c r="DEK112" s="181"/>
      <c r="DEL112" s="182"/>
      <c r="DEM112" s="181"/>
      <c r="DEN112" s="182"/>
      <c r="DEO112" s="181"/>
      <c r="DEP112" s="182"/>
      <c r="DEQ112" s="181"/>
      <c r="DER112" s="182"/>
      <c r="DES112" s="181"/>
      <c r="DET112" s="182"/>
      <c r="DEU112" s="181"/>
      <c r="DEV112" s="182"/>
      <c r="DEW112" s="181"/>
      <c r="DEX112" s="182"/>
      <c r="DEY112" s="181"/>
      <c r="DEZ112" s="182"/>
      <c r="DFA112" s="181"/>
      <c r="DFB112" s="182"/>
      <c r="DFC112" s="181"/>
      <c r="DFD112" s="182"/>
      <c r="DFE112" s="181"/>
      <c r="DFF112" s="182"/>
      <c r="DFG112" s="181"/>
      <c r="DFH112" s="182"/>
      <c r="DFI112" s="181"/>
      <c r="DFJ112" s="182"/>
      <c r="DFK112" s="181"/>
      <c r="DFL112" s="182"/>
      <c r="DFM112" s="181"/>
      <c r="DFN112" s="182"/>
      <c r="DFO112" s="181"/>
      <c r="DFP112" s="182"/>
      <c r="DFQ112" s="181"/>
      <c r="DFR112" s="182"/>
      <c r="DFS112" s="181"/>
      <c r="DFT112" s="182"/>
      <c r="DFU112" s="181"/>
      <c r="DFV112" s="182"/>
      <c r="DFW112" s="181"/>
      <c r="DFX112" s="182"/>
      <c r="DFY112" s="181"/>
      <c r="DFZ112" s="182"/>
      <c r="DGA112" s="181"/>
      <c r="DGB112" s="182"/>
      <c r="DGC112" s="181"/>
      <c r="DGD112" s="182"/>
      <c r="DGE112" s="181"/>
      <c r="DGF112" s="182"/>
      <c r="DGG112" s="181"/>
      <c r="DGH112" s="182"/>
      <c r="DGI112" s="181"/>
      <c r="DGJ112" s="182"/>
      <c r="DGK112" s="181"/>
      <c r="DGL112" s="182"/>
      <c r="DGM112" s="181"/>
      <c r="DGN112" s="182"/>
      <c r="DGO112" s="181"/>
      <c r="DGP112" s="182"/>
      <c r="DGQ112" s="181"/>
      <c r="DGR112" s="182"/>
      <c r="DGS112" s="181"/>
      <c r="DGT112" s="182"/>
      <c r="DGU112" s="181"/>
      <c r="DGV112" s="182"/>
      <c r="DGW112" s="181"/>
      <c r="DGX112" s="182"/>
      <c r="DGY112" s="181"/>
      <c r="DGZ112" s="182"/>
      <c r="DHA112" s="181"/>
      <c r="DHB112" s="182"/>
      <c r="DHC112" s="181"/>
      <c r="DHD112" s="182"/>
      <c r="DHE112" s="181"/>
      <c r="DHF112" s="182"/>
      <c r="DHG112" s="181"/>
      <c r="DHH112" s="182"/>
      <c r="DHI112" s="181"/>
      <c r="DHJ112" s="182"/>
      <c r="DHK112" s="181"/>
      <c r="DHL112" s="182"/>
      <c r="DHM112" s="181"/>
      <c r="DHN112" s="182"/>
      <c r="DHO112" s="181"/>
      <c r="DHP112" s="182"/>
      <c r="DHQ112" s="181"/>
      <c r="DHR112" s="182"/>
      <c r="DHS112" s="181"/>
      <c r="DHT112" s="182"/>
      <c r="DHU112" s="181"/>
      <c r="DHV112" s="182"/>
      <c r="DHW112" s="181"/>
      <c r="DHX112" s="182"/>
      <c r="DHY112" s="181"/>
      <c r="DHZ112" s="182"/>
      <c r="DIA112" s="181"/>
      <c r="DIB112" s="182"/>
      <c r="DIC112" s="181"/>
      <c r="DID112" s="182"/>
      <c r="DIE112" s="181"/>
      <c r="DIF112" s="182"/>
      <c r="DIG112" s="181"/>
      <c r="DIH112" s="182"/>
      <c r="DII112" s="181"/>
      <c r="DIJ112" s="182"/>
      <c r="DIK112" s="181"/>
      <c r="DIL112" s="182"/>
      <c r="DIM112" s="181"/>
      <c r="DIN112" s="182"/>
      <c r="DIO112" s="181"/>
      <c r="DIP112" s="182"/>
      <c r="DIQ112" s="181"/>
      <c r="DIR112" s="182"/>
      <c r="DIS112" s="181"/>
      <c r="DIT112" s="182"/>
      <c r="DIU112" s="181"/>
      <c r="DIV112" s="182"/>
      <c r="DIW112" s="181"/>
      <c r="DIX112" s="182"/>
      <c r="DIY112" s="181"/>
      <c r="DIZ112" s="182"/>
      <c r="DJA112" s="181"/>
      <c r="DJB112" s="182"/>
      <c r="DJC112" s="181"/>
      <c r="DJD112" s="182"/>
      <c r="DJE112" s="181"/>
      <c r="DJF112" s="182"/>
      <c r="DJG112" s="181"/>
      <c r="DJH112" s="182"/>
      <c r="DJI112" s="181"/>
      <c r="DJJ112" s="182"/>
      <c r="DJK112" s="181"/>
      <c r="DJL112" s="182"/>
      <c r="DJM112" s="181"/>
      <c r="DJN112" s="182"/>
      <c r="DJO112" s="181"/>
      <c r="DJP112" s="182"/>
      <c r="DJQ112" s="181"/>
      <c r="DJR112" s="182"/>
      <c r="DJS112" s="181"/>
      <c r="DJT112" s="182"/>
      <c r="DJU112" s="181"/>
      <c r="DJV112" s="182"/>
      <c r="DJW112" s="181"/>
      <c r="DJX112" s="182"/>
      <c r="DJY112" s="181"/>
      <c r="DJZ112" s="182"/>
      <c r="DKA112" s="181"/>
      <c r="DKB112" s="182"/>
      <c r="DKC112" s="181"/>
      <c r="DKD112" s="182"/>
      <c r="DKE112" s="181"/>
      <c r="DKF112" s="182"/>
      <c r="DKG112" s="181"/>
      <c r="DKH112" s="182"/>
      <c r="DKI112" s="181"/>
      <c r="DKJ112" s="182"/>
      <c r="DKK112" s="181"/>
      <c r="DKL112" s="182"/>
      <c r="DKM112" s="181"/>
      <c r="DKN112" s="182"/>
      <c r="DKO112" s="181"/>
      <c r="DKP112" s="182"/>
      <c r="DKQ112" s="181"/>
      <c r="DKR112" s="182"/>
      <c r="DKS112" s="181"/>
      <c r="DKT112" s="182"/>
      <c r="DKU112" s="181"/>
      <c r="DKV112" s="182"/>
      <c r="DKW112" s="181"/>
      <c r="DKX112" s="182"/>
      <c r="DKY112" s="181"/>
      <c r="DKZ112" s="182"/>
      <c r="DLA112" s="181"/>
      <c r="DLB112" s="182"/>
      <c r="DLC112" s="181"/>
      <c r="DLD112" s="182"/>
      <c r="DLE112" s="181"/>
      <c r="DLF112" s="182"/>
      <c r="DLG112" s="181"/>
      <c r="DLH112" s="182"/>
      <c r="DLI112" s="181"/>
      <c r="DLJ112" s="182"/>
      <c r="DLK112" s="181"/>
      <c r="DLL112" s="182"/>
      <c r="DLM112" s="181"/>
      <c r="DLN112" s="182"/>
      <c r="DLO112" s="181"/>
      <c r="DLP112" s="182"/>
      <c r="DLQ112" s="181"/>
      <c r="DLR112" s="182"/>
      <c r="DLS112" s="181"/>
      <c r="DLT112" s="182"/>
      <c r="DLU112" s="181"/>
      <c r="DLV112" s="182"/>
      <c r="DLW112" s="181"/>
      <c r="DLX112" s="182"/>
      <c r="DLY112" s="181"/>
      <c r="DLZ112" s="182"/>
      <c r="DMA112" s="181"/>
      <c r="DMB112" s="182"/>
      <c r="DMC112" s="181"/>
      <c r="DMD112" s="182"/>
      <c r="DME112" s="181"/>
      <c r="DMF112" s="182"/>
      <c r="DMG112" s="181"/>
      <c r="DMH112" s="182"/>
      <c r="DMI112" s="181"/>
      <c r="DMJ112" s="182"/>
      <c r="DMK112" s="181"/>
      <c r="DML112" s="182"/>
      <c r="DMM112" s="181"/>
      <c r="DMN112" s="182"/>
      <c r="DMO112" s="181"/>
      <c r="DMP112" s="182"/>
      <c r="DMQ112" s="181"/>
      <c r="DMR112" s="182"/>
      <c r="DMS112" s="181"/>
      <c r="DMT112" s="182"/>
      <c r="DMU112" s="181"/>
      <c r="DMV112" s="182"/>
      <c r="DMW112" s="181"/>
      <c r="DMX112" s="182"/>
      <c r="DMY112" s="181"/>
      <c r="DMZ112" s="182"/>
      <c r="DNA112" s="181"/>
      <c r="DNB112" s="182"/>
      <c r="DNC112" s="181"/>
      <c r="DND112" s="182"/>
      <c r="DNE112" s="181"/>
      <c r="DNF112" s="182"/>
      <c r="DNG112" s="181"/>
      <c r="DNH112" s="182"/>
      <c r="DNI112" s="181"/>
      <c r="DNJ112" s="182"/>
      <c r="DNK112" s="181"/>
      <c r="DNL112" s="182"/>
      <c r="DNM112" s="181"/>
      <c r="DNN112" s="182"/>
      <c r="DNO112" s="181"/>
      <c r="DNP112" s="182"/>
      <c r="DNQ112" s="181"/>
      <c r="DNR112" s="182"/>
      <c r="DNS112" s="181"/>
      <c r="DNT112" s="182"/>
      <c r="DNU112" s="181"/>
      <c r="DNV112" s="182"/>
      <c r="DNW112" s="181"/>
      <c r="DNX112" s="182"/>
      <c r="DNY112" s="181"/>
      <c r="DNZ112" s="182"/>
      <c r="DOA112" s="181"/>
      <c r="DOB112" s="182"/>
      <c r="DOC112" s="181"/>
      <c r="DOD112" s="182"/>
      <c r="DOE112" s="181"/>
      <c r="DOF112" s="182"/>
      <c r="DOG112" s="181"/>
      <c r="DOH112" s="182"/>
      <c r="DOI112" s="181"/>
      <c r="DOJ112" s="182"/>
      <c r="DOK112" s="181"/>
      <c r="DOL112" s="182"/>
      <c r="DOM112" s="181"/>
      <c r="DON112" s="182"/>
      <c r="DOO112" s="181"/>
      <c r="DOP112" s="182"/>
      <c r="DOQ112" s="181"/>
      <c r="DOR112" s="182"/>
      <c r="DOS112" s="181"/>
      <c r="DOT112" s="182"/>
      <c r="DOU112" s="181"/>
      <c r="DOV112" s="182"/>
      <c r="DOW112" s="181"/>
      <c r="DOX112" s="182"/>
      <c r="DOY112" s="181"/>
      <c r="DOZ112" s="182"/>
      <c r="DPA112" s="181"/>
      <c r="DPB112" s="182"/>
      <c r="DPC112" s="181"/>
      <c r="DPD112" s="182"/>
      <c r="DPE112" s="181"/>
      <c r="DPF112" s="182"/>
      <c r="DPG112" s="181"/>
      <c r="DPH112" s="182"/>
      <c r="DPI112" s="181"/>
      <c r="DPJ112" s="182"/>
      <c r="DPK112" s="181"/>
      <c r="DPL112" s="182"/>
      <c r="DPM112" s="181"/>
      <c r="DPN112" s="182"/>
      <c r="DPO112" s="181"/>
      <c r="DPP112" s="182"/>
      <c r="DPQ112" s="181"/>
      <c r="DPR112" s="182"/>
      <c r="DPS112" s="181"/>
      <c r="DPT112" s="182"/>
      <c r="DPU112" s="181"/>
      <c r="DPV112" s="182"/>
      <c r="DPW112" s="181"/>
      <c r="DPX112" s="182"/>
      <c r="DPY112" s="181"/>
      <c r="DPZ112" s="182"/>
      <c r="DQA112" s="181"/>
      <c r="DQB112" s="182"/>
      <c r="DQC112" s="181"/>
      <c r="DQD112" s="182"/>
      <c r="DQE112" s="181"/>
      <c r="DQF112" s="182"/>
      <c r="DQG112" s="181"/>
      <c r="DQH112" s="182"/>
      <c r="DQI112" s="181"/>
      <c r="DQJ112" s="182"/>
      <c r="DQK112" s="181"/>
      <c r="DQL112" s="182"/>
      <c r="DQM112" s="181"/>
      <c r="DQN112" s="182"/>
      <c r="DQO112" s="181"/>
      <c r="DQP112" s="182"/>
      <c r="DQQ112" s="181"/>
      <c r="DQR112" s="182"/>
      <c r="DQS112" s="181"/>
      <c r="DQT112" s="182"/>
      <c r="DQU112" s="181"/>
      <c r="DQV112" s="182"/>
      <c r="DQW112" s="181"/>
      <c r="DQX112" s="182"/>
      <c r="DQY112" s="181"/>
      <c r="DQZ112" s="182"/>
      <c r="DRA112" s="181"/>
      <c r="DRB112" s="182"/>
      <c r="DRC112" s="181"/>
      <c r="DRD112" s="182"/>
      <c r="DRE112" s="181"/>
      <c r="DRF112" s="182"/>
      <c r="DRG112" s="181"/>
      <c r="DRH112" s="182"/>
      <c r="DRI112" s="181"/>
      <c r="DRJ112" s="182"/>
      <c r="DRK112" s="181"/>
      <c r="DRL112" s="182"/>
      <c r="DRM112" s="181"/>
      <c r="DRN112" s="182"/>
      <c r="DRO112" s="181"/>
      <c r="DRP112" s="182"/>
      <c r="DRQ112" s="181"/>
      <c r="DRR112" s="182"/>
      <c r="DRS112" s="181"/>
      <c r="DRT112" s="182"/>
      <c r="DRU112" s="181"/>
      <c r="DRV112" s="182"/>
      <c r="DRW112" s="181"/>
      <c r="DRX112" s="182"/>
      <c r="DRY112" s="181"/>
      <c r="DRZ112" s="182"/>
      <c r="DSA112" s="181"/>
      <c r="DSB112" s="182"/>
      <c r="DSC112" s="181"/>
      <c r="DSD112" s="182"/>
      <c r="DSE112" s="181"/>
      <c r="DSF112" s="182"/>
      <c r="DSG112" s="181"/>
      <c r="DSH112" s="182"/>
      <c r="DSI112" s="181"/>
      <c r="DSJ112" s="182"/>
      <c r="DSK112" s="181"/>
      <c r="DSL112" s="182"/>
      <c r="DSM112" s="181"/>
      <c r="DSN112" s="182"/>
      <c r="DSO112" s="181"/>
      <c r="DSP112" s="182"/>
      <c r="DSQ112" s="181"/>
      <c r="DSR112" s="182"/>
      <c r="DSS112" s="181"/>
      <c r="DST112" s="182"/>
      <c r="DSU112" s="181"/>
      <c r="DSV112" s="182"/>
      <c r="DSW112" s="181"/>
      <c r="DSX112" s="182"/>
      <c r="DSY112" s="181"/>
      <c r="DSZ112" s="182"/>
      <c r="DTA112" s="181"/>
      <c r="DTB112" s="182"/>
      <c r="DTC112" s="181"/>
      <c r="DTD112" s="182"/>
      <c r="DTE112" s="181"/>
      <c r="DTF112" s="182"/>
      <c r="DTG112" s="181"/>
      <c r="DTH112" s="182"/>
      <c r="DTI112" s="181"/>
      <c r="DTJ112" s="182"/>
      <c r="DTK112" s="181"/>
      <c r="DTL112" s="182"/>
      <c r="DTM112" s="181"/>
      <c r="DTN112" s="182"/>
      <c r="DTO112" s="181"/>
      <c r="DTP112" s="182"/>
      <c r="DTQ112" s="181"/>
      <c r="DTR112" s="182"/>
      <c r="DTS112" s="181"/>
      <c r="DTT112" s="182"/>
      <c r="DTU112" s="181"/>
      <c r="DTV112" s="182"/>
      <c r="DTW112" s="181"/>
      <c r="DTX112" s="182"/>
      <c r="DTY112" s="181"/>
      <c r="DTZ112" s="182"/>
      <c r="DUA112" s="181"/>
      <c r="DUB112" s="182"/>
      <c r="DUC112" s="181"/>
      <c r="DUD112" s="182"/>
      <c r="DUE112" s="181"/>
      <c r="DUF112" s="182"/>
      <c r="DUG112" s="181"/>
      <c r="DUH112" s="182"/>
      <c r="DUI112" s="181"/>
      <c r="DUJ112" s="182"/>
      <c r="DUK112" s="181"/>
      <c r="DUL112" s="182"/>
      <c r="DUM112" s="181"/>
      <c r="DUN112" s="182"/>
      <c r="DUO112" s="181"/>
      <c r="DUP112" s="182"/>
      <c r="DUQ112" s="181"/>
      <c r="DUR112" s="182"/>
      <c r="DUS112" s="181"/>
      <c r="DUT112" s="182"/>
      <c r="DUU112" s="181"/>
      <c r="DUV112" s="182"/>
      <c r="DUW112" s="181"/>
      <c r="DUX112" s="182"/>
      <c r="DUY112" s="181"/>
      <c r="DUZ112" s="182"/>
      <c r="DVA112" s="181"/>
      <c r="DVB112" s="182"/>
      <c r="DVC112" s="181"/>
      <c r="DVD112" s="182"/>
      <c r="DVE112" s="181"/>
      <c r="DVF112" s="182"/>
      <c r="DVG112" s="181"/>
      <c r="DVH112" s="182"/>
      <c r="DVI112" s="181"/>
      <c r="DVJ112" s="182"/>
      <c r="DVK112" s="181"/>
      <c r="DVL112" s="182"/>
      <c r="DVM112" s="181"/>
      <c r="DVN112" s="182"/>
      <c r="DVO112" s="181"/>
      <c r="DVP112" s="182"/>
      <c r="DVQ112" s="181"/>
      <c r="DVR112" s="182"/>
      <c r="DVS112" s="181"/>
      <c r="DVT112" s="182"/>
      <c r="DVU112" s="181"/>
      <c r="DVV112" s="182"/>
      <c r="DVW112" s="181"/>
      <c r="DVX112" s="182"/>
      <c r="DVY112" s="181"/>
      <c r="DVZ112" s="182"/>
      <c r="DWA112" s="181"/>
      <c r="DWB112" s="182"/>
      <c r="DWC112" s="181"/>
      <c r="DWD112" s="182"/>
      <c r="DWE112" s="181"/>
      <c r="DWF112" s="182"/>
      <c r="DWG112" s="181"/>
      <c r="DWH112" s="182"/>
      <c r="DWI112" s="181"/>
      <c r="DWJ112" s="182"/>
      <c r="DWK112" s="181"/>
      <c r="DWL112" s="182"/>
      <c r="DWM112" s="181"/>
      <c r="DWN112" s="182"/>
      <c r="DWO112" s="181"/>
      <c r="DWP112" s="182"/>
      <c r="DWQ112" s="181"/>
      <c r="DWR112" s="182"/>
      <c r="DWS112" s="181"/>
      <c r="DWT112" s="182"/>
      <c r="DWU112" s="181"/>
      <c r="DWV112" s="182"/>
      <c r="DWW112" s="181"/>
      <c r="DWX112" s="182"/>
      <c r="DWY112" s="181"/>
      <c r="DWZ112" s="182"/>
      <c r="DXA112" s="181"/>
      <c r="DXB112" s="182"/>
      <c r="DXC112" s="181"/>
      <c r="DXD112" s="182"/>
      <c r="DXE112" s="181"/>
      <c r="DXF112" s="182"/>
      <c r="DXG112" s="181"/>
      <c r="DXH112" s="182"/>
      <c r="DXI112" s="181"/>
      <c r="DXJ112" s="182"/>
      <c r="DXK112" s="181"/>
      <c r="DXL112" s="182"/>
      <c r="DXM112" s="181"/>
      <c r="DXN112" s="182"/>
      <c r="DXO112" s="181"/>
      <c r="DXP112" s="182"/>
      <c r="DXQ112" s="181"/>
      <c r="DXR112" s="182"/>
      <c r="DXS112" s="181"/>
      <c r="DXT112" s="182"/>
      <c r="DXU112" s="181"/>
      <c r="DXV112" s="182"/>
      <c r="DXW112" s="181"/>
      <c r="DXX112" s="182"/>
      <c r="DXY112" s="181"/>
      <c r="DXZ112" s="182"/>
      <c r="DYA112" s="181"/>
      <c r="DYB112" s="182"/>
      <c r="DYC112" s="181"/>
      <c r="DYD112" s="182"/>
      <c r="DYE112" s="181"/>
      <c r="DYF112" s="182"/>
      <c r="DYG112" s="181"/>
      <c r="DYH112" s="182"/>
      <c r="DYI112" s="181"/>
      <c r="DYJ112" s="182"/>
      <c r="DYK112" s="181"/>
      <c r="DYL112" s="182"/>
      <c r="DYM112" s="181"/>
      <c r="DYN112" s="182"/>
      <c r="DYO112" s="181"/>
      <c r="DYP112" s="182"/>
      <c r="DYQ112" s="181"/>
      <c r="DYR112" s="182"/>
      <c r="DYS112" s="181"/>
      <c r="DYT112" s="182"/>
      <c r="DYU112" s="181"/>
      <c r="DYV112" s="182"/>
      <c r="DYW112" s="181"/>
      <c r="DYX112" s="182"/>
      <c r="DYY112" s="181"/>
      <c r="DYZ112" s="182"/>
      <c r="DZA112" s="181"/>
      <c r="DZB112" s="182"/>
      <c r="DZC112" s="181"/>
      <c r="DZD112" s="182"/>
      <c r="DZE112" s="181"/>
      <c r="DZF112" s="182"/>
      <c r="DZG112" s="181"/>
      <c r="DZH112" s="182"/>
      <c r="DZI112" s="181"/>
      <c r="DZJ112" s="182"/>
      <c r="DZK112" s="181"/>
      <c r="DZL112" s="182"/>
      <c r="DZM112" s="181"/>
      <c r="DZN112" s="182"/>
      <c r="DZO112" s="181"/>
      <c r="DZP112" s="182"/>
      <c r="DZQ112" s="181"/>
      <c r="DZR112" s="182"/>
      <c r="DZS112" s="181"/>
      <c r="DZT112" s="182"/>
      <c r="DZU112" s="181"/>
      <c r="DZV112" s="182"/>
      <c r="DZW112" s="181"/>
      <c r="DZX112" s="182"/>
      <c r="DZY112" s="181"/>
      <c r="DZZ112" s="182"/>
      <c r="EAA112" s="181"/>
      <c r="EAB112" s="182"/>
      <c r="EAC112" s="181"/>
      <c r="EAD112" s="182"/>
      <c r="EAE112" s="181"/>
      <c r="EAF112" s="182"/>
      <c r="EAG112" s="181"/>
      <c r="EAH112" s="182"/>
      <c r="EAI112" s="181"/>
      <c r="EAJ112" s="182"/>
      <c r="EAK112" s="181"/>
      <c r="EAL112" s="182"/>
      <c r="EAM112" s="181"/>
      <c r="EAN112" s="182"/>
      <c r="EAO112" s="181"/>
      <c r="EAP112" s="182"/>
      <c r="EAQ112" s="181"/>
      <c r="EAR112" s="182"/>
      <c r="EAS112" s="181"/>
      <c r="EAT112" s="182"/>
      <c r="EAU112" s="181"/>
      <c r="EAV112" s="182"/>
      <c r="EAW112" s="181"/>
      <c r="EAX112" s="182"/>
      <c r="EAY112" s="181"/>
      <c r="EAZ112" s="182"/>
      <c r="EBA112" s="181"/>
      <c r="EBB112" s="182"/>
      <c r="EBC112" s="181"/>
      <c r="EBD112" s="182"/>
      <c r="EBE112" s="181"/>
      <c r="EBF112" s="182"/>
      <c r="EBG112" s="181"/>
      <c r="EBH112" s="182"/>
      <c r="EBI112" s="181"/>
      <c r="EBJ112" s="182"/>
      <c r="EBK112" s="181"/>
      <c r="EBL112" s="182"/>
      <c r="EBM112" s="181"/>
      <c r="EBN112" s="182"/>
      <c r="EBO112" s="181"/>
      <c r="EBP112" s="182"/>
      <c r="EBQ112" s="181"/>
      <c r="EBR112" s="182"/>
      <c r="EBS112" s="181"/>
      <c r="EBT112" s="182"/>
      <c r="EBU112" s="181"/>
      <c r="EBV112" s="182"/>
      <c r="EBW112" s="181"/>
      <c r="EBX112" s="182"/>
      <c r="EBY112" s="181"/>
      <c r="EBZ112" s="182"/>
      <c r="ECA112" s="181"/>
      <c r="ECB112" s="182"/>
      <c r="ECC112" s="181"/>
      <c r="ECD112" s="182"/>
      <c r="ECE112" s="181"/>
      <c r="ECF112" s="182"/>
      <c r="ECG112" s="181"/>
      <c r="ECH112" s="182"/>
      <c r="ECI112" s="181"/>
      <c r="ECJ112" s="182"/>
      <c r="ECK112" s="181"/>
      <c r="ECL112" s="182"/>
      <c r="ECM112" s="181"/>
      <c r="ECN112" s="182"/>
      <c r="ECO112" s="181"/>
      <c r="ECP112" s="182"/>
      <c r="ECQ112" s="181"/>
      <c r="ECR112" s="182"/>
      <c r="ECS112" s="181"/>
      <c r="ECT112" s="182"/>
      <c r="ECU112" s="181"/>
      <c r="ECV112" s="182"/>
      <c r="ECW112" s="181"/>
      <c r="ECX112" s="182"/>
      <c r="ECY112" s="181"/>
      <c r="ECZ112" s="182"/>
      <c r="EDA112" s="181"/>
      <c r="EDB112" s="182"/>
      <c r="EDC112" s="181"/>
      <c r="EDD112" s="182"/>
      <c r="EDE112" s="181"/>
      <c r="EDF112" s="182"/>
      <c r="EDG112" s="181"/>
      <c r="EDH112" s="182"/>
      <c r="EDI112" s="181"/>
      <c r="EDJ112" s="182"/>
      <c r="EDK112" s="181"/>
      <c r="EDL112" s="182"/>
      <c r="EDM112" s="181"/>
      <c r="EDN112" s="182"/>
      <c r="EDO112" s="181"/>
      <c r="EDP112" s="182"/>
      <c r="EDQ112" s="181"/>
      <c r="EDR112" s="182"/>
      <c r="EDS112" s="181"/>
      <c r="EDT112" s="182"/>
      <c r="EDU112" s="181"/>
      <c r="EDV112" s="182"/>
      <c r="EDW112" s="181"/>
      <c r="EDX112" s="182"/>
      <c r="EDY112" s="181"/>
      <c r="EDZ112" s="182"/>
      <c r="EEA112" s="181"/>
      <c r="EEB112" s="182"/>
      <c r="EEC112" s="181"/>
      <c r="EED112" s="182"/>
      <c r="EEE112" s="181"/>
      <c r="EEF112" s="182"/>
      <c r="EEG112" s="181"/>
      <c r="EEH112" s="182"/>
      <c r="EEI112" s="181"/>
      <c r="EEJ112" s="182"/>
      <c r="EEK112" s="181"/>
      <c r="EEL112" s="182"/>
      <c r="EEM112" s="181"/>
      <c r="EEN112" s="182"/>
      <c r="EEO112" s="181"/>
      <c r="EEP112" s="182"/>
      <c r="EEQ112" s="181"/>
      <c r="EER112" s="182"/>
      <c r="EES112" s="181"/>
      <c r="EET112" s="182"/>
      <c r="EEU112" s="181"/>
      <c r="EEV112" s="182"/>
      <c r="EEW112" s="181"/>
      <c r="EEX112" s="182"/>
      <c r="EEY112" s="181"/>
      <c r="EEZ112" s="182"/>
      <c r="EFA112" s="181"/>
      <c r="EFB112" s="182"/>
      <c r="EFC112" s="181"/>
      <c r="EFD112" s="182"/>
      <c r="EFE112" s="181"/>
      <c r="EFF112" s="182"/>
      <c r="EFG112" s="181"/>
      <c r="EFH112" s="182"/>
      <c r="EFI112" s="181"/>
      <c r="EFJ112" s="182"/>
      <c r="EFK112" s="181"/>
      <c r="EFL112" s="182"/>
      <c r="EFM112" s="181"/>
      <c r="EFN112" s="182"/>
      <c r="EFO112" s="181"/>
      <c r="EFP112" s="182"/>
      <c r="EFQ112" s="181"/>
      <c r="EFR112" s="182"/>
      <c r="EFS112" s="181"/>
      <c r="EFT112" s="182"/>
      <c r="EFU112" s="181"/>
      <c r="EFV112" s="182"/>
      <c r="EFW112" s="181"/>
      <c r="EFX112" s="182"/>
      <c r="EFY112" s="181"/>
      <c r="EFZ112" s="182"/>
      <c r="EGA112" s="181"/>
      <c r="EGB112" s="182"/>
      <c r="EGC112" s="181"/>
      <c r="EGD112" s="182"/>
      <c r="EGE112" s="181"/>
      <c r="EGF112" s="182"/>
      <c r="EGG112" s="181"/>
      <c r="EGH112" s="182"/>
      <c r="EGI112" s="181"/>
      <c r="EGJ112" s="182"/>
      <c r="EGK112" s="181"/>
      <c r="EGL112" s="182"/>
      <c r="EGM112" s="181"/>
      <c r="EGN112" s="182"/>
      <c r="EGO112" s="181"/>
      <c r="EGP112" s="182"/>
      <c r="EGQ112" s="181"/>
      <c r="EGR112" s="182"/>
      <c r="EGS112" s="181"/>
      <c r="EGT112" s="182"/>
      <c r="EGU112" s="181"/>
      <c r="EGV112" s="182"/>
      <c r="EGW112" s="181"/>
      <c r="EGX112" s="182"/>
      <c r="EGY112" s="181"/>
      <c r="EGZ112" s="182"/>
      <c r="EHA112" s="181"/>
      <c r="EHB112" s="182"/>
      <c r="EHC112" s="181"/>
      <c r="EHD112" s="182"/>
      <c r="EHE112" s="181"/>
      <c r="EHF112" s="182"/>
      <c r="EHG112" s="181"/>
      <c r="EHH112" s="182"/>
      <c r="EHI112" s="181"/>
      <c r="EHJ112" s="182"/>
      <c r="EHK112" s="181"/>
      <c r="EHL112" s="182"/>
      <c r="EHM112" s="181"/>
      <c r="EHN112" s="182"/>
      <c r="EHO112" s="181"/>
      <c r="EHP112" s="182"/>
      <c r="EHQ112" s="181"/>
      <c r="EHR112" s="182"/>
      <c r="EHS112" s="181"/>
      <c r="EHT112" s="182"/>
      <c r="EHU112" s="181"/>
      <c r="EHV112" s="182"/>
      <c r="EHW112" s="181"/>
      <c r="EHX112" s="182"/>
      <c r="EHY112" s="181"/>
      <c r="EHZ112" s="182"/>
      <c r="EIA112" s="181"/>
      <c r="EIB112" s="182"/>
      <c r="EIC112" s="181"/>
      <c r="EID112" s="182"/>
      <c r="EIE112" s="181"/>
      <c r="EIF112" s="182"/>
      <c r="EIG112" s="181"/>
      <c r="EIH112" s="182"/>
      <c r="EII112" s="181"/>
      <c r="EIJ112" s="182"/>
      <c r="EIK112" s="181"/>
      <c r="EIL112" s="182"/>
      <c r="EIM112" s="181"/>
      <c r="EIN112" s="182"/>
      <c r="EIO112" s="181"/>
      <c r="EIP112" s="182"/>
      <c r="EIQ112" s="181"/>
      <c r="EIR112" s="182"/>
      <c r="EIS112" s="181"/>
      <c r="EIT112" s="182"/>
      <c r="EIU112" s="181"/>
      <c r="EIV112" s="182"/>
      <c r="EIW112" s="181"/>
      <c r="EIX112" s="182"/>
      <c r="EIY112" s="181"/>
      <c r="EIZ112" s="182"/>
      <c r="EJA112" s="181"/>
      <c r="EJB112" s="182"/>
      <c r="EJC112" s="181"/>
      <c r="EJD112" s="182"/>
      <c r="EJE112" s="181"/>
      <c r="EJF112" s="182"/>
      <c r="EJG112" s="181"/>
      <c r="EJH112" s="182"/>
      <c r="EJI112" s="181"/>
      <c r="EJJ112" s="182"/>
      <c r="EJK112" s="181"/>
      <c r="EJL112" s="182"/>
      <c r="EJM112" s="181"/>
      <c r="EJN112" s="182"/>
      <c r="EJO112" s="181"/>
      <c r="EJP112" s="182"/>
      <c r="EJQ112" s="181"/>
      <c r="EJR112" s="182"/>
      <c r="EJS112" s="181"/>
      <c r="EJT112" s="182"/>
      <c r="EJU112" s="181"/>
      <c r="EJV112" s="182"/>
      <c r="EJW112" s="181"/>
      <c r="EJX112" s="182"/>
      <c r="EJY112" s="181"/>
      <c r="EJZ112" s="182"/>
      <c r="EKA112" s="181"/>
      <c r="EKB112" s="182"/>
      <c r="EKC112" s="181"/>
      <c r="EKD112" s="182"/>
      <c r="EKE112" s="181"/>
      <c r="EKF112" s="182"/>
      <c r="EKG112" s="181"/>
      <c r="EKH112" s="182"/>
      <c r="EKI112" s="181"/>
      <c r="EKJ112" s="182"/>
      <c r="EKK112" s="181"/>
      <c r="EKL112" s="182"/>
      <c r="EKM112" s="181"/>
      <c r="EKN112" s="182"/>
      <c r="EKO112" s="181"/>
      <c r="EKP112" s="182"/>
      <c r="EKQ112" s="181"/>
      <c r="EKR112" s="182"/>
      <c r="EKS112" s="181"/>
      <c r="EKT112" s="182"/>
      <c r="EKU112" s="181"/>
      <c r="EKV112" s="182"/>
      <c r="EKW112" s="181"/>
      <c r="EKX112" s="182"/>
      <c r="EKY112" s="181"/>
      <c r="EKZ112" s="182"/>
      <c r="ELA112" s="181"/>
      <c r="ELB112" s="182"/>
      <c r="ELC112" s="181"/>
      <c r="ELD112" s="182"/>
      <c r="ELE112" s="181"/>
      <c r="ELF112" s="182"/>
      <c r="ELG112" s="181"/>
      <c r="ELH112" s="182"/>
      <c r="ELI112" s="181"/>
      <c r="ELJ112" s="182"/>
      <c r="ELK112" s="181"/>
      <c r="ELL112" s="182"/>
      <c r="ELM112" s="181"/>
      <c r="ELN112" s="182"/>
      <c r="ELO112" s="181"/>
      <c r="ELP112" s="182"/>
      <c r="ELQ112" s="181"/>
      <c r="ELR112" s="182"/>
      <c r="ELS112" s="181"/>
      <c r="ELT112" s="182"/>
      <c r="ELU112" s="181"/>
      <c r="ELV112" s="182"/>
      <c r="ELW112" s="181"/>
      <c r="ELX112" s="182"/>
      <c r="ELY112" s="181"/>
      <c r="ELZ112" s="182"/>
      <c r="EMA112" s="181"/>
      <c r="EMB112" s="182"/>
      <c r="EMC112" s="181"/>
      <c r="EMD112" s="182"/>
      <c r="EME112" s="181"/>
      <c r="EMF112" s="182"/>
      <c r="EMG112" s="181"/>
      <c r="EMH112" s="182"/>
      <c r="EMI112" s="181"/>
      <c r="EMJ112" s="182"/>
      <c r="EMK112" s="181"/>
      <c r="EML112" s="182"/>
      <c r="EMM112" s="181"/>
      <c r="EMN112" s="182"/>
      <c r="EMO112" s="181"/>
      <c r="EMP112" s="182"/>
      <c r="EMQ112" s="181"/>
      <c r="EMR112" s="182"/>
      <c r="EMS112" s="181"/>
      <c r="EMT112" s="182"/>
      <c r="EMU112" s="181"/>
      <c r="EMV112" s="182"/>
      <c r="EMW112" s="181"/>
      <c r="EMX112" s="182"/>
      <c r="EMY112" s="181"/>
      <c r="EMZ112" s="182"/>
      <c r="ENA112" s="181"/>
      <c r="ENB112" s="182"/>
      <c r="ENC112" s="181"/>
      <c r="END112" s="182"/>
      <c r="ENE112" s="181"/>
      <c r="ENF112" s="182"/>
      <c r="ENG112" s="181"/>
      <c r="ENH112" s="182"/>
      <c r="ENI112" s="181"/>
      <c r="ENJ112" s="182"/>
      <c r="ENK112" s="181"/>
      <c r="ENL112" s="182"/>
      <c r="ENM112" s="181"/>
      <c r="ENN112" s="182"/>
      <c r="ENO112" s="181"/>
      <c r="ENP112" s="182"/>
      <c r="ENQ112" s="181"/>
      <c r="ENR112" s="182"/>
      <c r="ENS112" s="181"/>
      <c r="ENT112" s="182"/>
      <c r="ENU112" s="181"/>
      <c r="ENV112" s="182"/>
      <c r="ENW112" s="181"/>
      <c r="ENX112" s="182"/>
      <c r="ENY112" s="181"/>
      <c r="ENZ112" s="182"/>
      <c r="EOA112" s="181"/>
      <c r="EOB112" s="182"/>
      <c r="EOC112" s="181"/>
      <c r="EOD112" s="182"/>
      <c r="EOE112" s="181"/>
      <c r="EOF112" s="182"/>
      <c r="EOG112" s="181"/>
      <c r="EOH112" s="182"/>
      <c r="EOI112" s="181"/>
      <c r="EOJ112" s="182"/>
      <c r="EOK112" s="181"/>
      <c r="EOL112" s="182"/>
      <c r="EOM112" s="181"/>
      <c r="EON112" s="182"/>
      <c r="EOO112" s="181"/>
      <c r="EOP112" s="182"/>
      <c r="EOQ112" s="181"/>
      <c r="EOR112" s="182"/>
      <c r="EOS112" s="181"/>
      <c r="EOT112" s="182"/>
      <c r="EOU112" s="181"/>
      <c r="EOV112" s="182"/>
      <c r="EOW112" s="181"/>
      <c r="EOX112" s="182"/>
      <c r="EOY112" s="181"/>
      <c r="EOZ112" s="182"/>
      <c r="EPA112" s="181"/>
      <c r="EPB112" s="182"/>
      <c r="EPC112" s="181"/>
      <c r="EPD112" s="182"/>
      <c r="EPE112" s="181"/>
      <c r="EPF112" s="182"/>
      <c r="EPG112" s="181"/>
      <c r="EPH112" s="182"/>
      <c r="EPI112" s="181"/>
      <c r="EPJ112" s="182"/>
      <c r="EPK112" s="181"/>
      <c r="EPL112" s="182"/>
      <c r="EPM112" s="181"/>
      <c r="EPN112" s="182"/>
      <c r="EPO112" s="181"/>
      <c r="EPP112" s="182"/>
      <c r="EPQ112" s="181"/>
      <c r="EPR112" s="182"/>
      <c r="EPS112" s="181"/>
      <c r="EPT112" s="182"/>
      <c r="EPU112" s="181"/>
      <c r="EPV112" s="182"/>
      <c r="EPW112" s="181"/>
      <c r="EPX112" s="182"/>
      <c r="EPY112" s="181"/>
      <c r="EPZ112" s="182"/>
      <c r="EQA112" s="181"/>
      <c r="EQB112" s="182"/>
      <c r="EQC112" s="181"/>
      <c r="EQD112" s="182"/>
      <c r="EQE112" s="181"/>
      <c r="EQF112" s="182"/>
      <c r="EQG112" s="181"/>
      <c r="EQH112" s="182"/>
      <c r="EQI112" s="181"/>
      <c r="EQJ112" s="182"/>
      <c r="EQK112" s="181"/>
      <c r="EQL112" s="182"/>
      <c r="EQM112" s="181"/>
      <c r="EQN112" s="182"/>
      <c r="EQO112" s="181"/>
      <c r="EQP112" s="182"/>
      <c r="EQQ112" s="181"/>
      <c r="EQR112" s="182"/>
      <c r="EQS112" s="181"/>
      <c r="EQT112" s="182"/>
      <c r="EQU112" s="181"/>
      <c r="EQV112" s="182"/>
      <c r="EQW112" s="181"/>
      <c r="EQX112" s="182"/>
      <c r="EQY112" s="181"/>
      <c r="EQZ112" s="182"/>
      <c r="ERA112" s="181"/>
      <c r="ERB112" s="182"/>
      <c r="ERC112" s="181"/>
      <c r="ERD112" s="182"/>
      <c r="ERE112" s="181"/>
      <c r="ERF112" s="182"/>
      <c r="ERG112" s="181"/>
      <c r="ERH112" s="182"/>
      <c r="ERI112" s="181"/>
      <c r="ERJ112" s="182"/>
      <c r="ERK112" s="181"/>
      <c r="ERL112" s="182"/>
      <c r="ERM112" s="181"/>
      <c r="ERN112" s="182"/>
      <c r="ERO112" s="181"/>
      <c r="ERP112" s="182"/>
      <c r="ERQ112" s="181"/>
      <c r="ERR112" s="182"/>
      <c r="ERS112" s="181"/>
      <c r="ERT112" s="182"/>
      <c r="ERU112" s="181"/>
      <c r="ERV112" s="182"/>
      <c r="ERW112" s="181"/>
      <c r="ERX112" s="182"/>
      <c r="ERY112" s="181"/>
      <c r="ERZ112" s="182"/>
      <c r="ESA112" s="181"/>
      <c r="ESB112" s="182"/>
      <c r="ESC112" s="181"/>
      <c r="ESD112" s="182"/>
      <c r="ESE112" s="181"/>
      <c r="ESF112" s="182"/>
      <c r="ESG112" s="181"/>
      <c r="ESH112" s="182"/>
      <c r="ESI112" s="181"/>
      <c r="ESJ112" s="182"/>
      <c r="ESK112" s="181"/>
      <c r="ESL112" s="182"/>
      <c r="ESM112" s="181"/>
      <c r="ESN112" s="182"/>
      <c r="ESO112" s="181"/>
      <c r="ESP112" s="182"/>
      <c r="ESQ112" s="181"/>
      <c r="ESR112" s="182"/>
      <c r="ESS112" s="181"/>
      <c r="EST112" s="182"/>
      <c r="ESU112" s="181"/>
      <c r="ESV112" s="182"/>
      <c r="ESW112" s="181"/>
      <c r="ESX112" s="182"/>
      <c r="ESY112" s="181"/>
      <c r="ESZ112" s="182"/>
      <c r="ETA112" s="181"/>
      <c r="ETB112" s="182"/>
      <c r="ETC112" s="181"/>
      <c r="ETD112" s="182"/>
      <c r="ETE112" s="181"/>
      <c r="ETF112" s="182"/>
      <c r="ETG112" s="181"/>
      <c r="ETH112" s="182"/>
      <c r="ETI112" s="181"/>
      <c r="ETJ112" s="182"/>
      <c r="ETK112" s="181"/>
      <c r="ETL112" s="182"/>
      <c r="ETM112" s="181"/>
      <c r="ETN112" s="182"/>
      <c r="ETO112" s="181"/>
      <c r="ETP112" s="182"/>
      <c r="ETQ112" s="181"/>
      <c r="ETR112" s="182"/>
      <c r="ETS112" s="181"/>
      <c r="ETT112" s="182"/>
      <c r="ETU112" s="181"/>
      <c r="ETV112" s="182"/>
      <c r="ETW112" s="181"/>
      <c r="ETX112" s="182"/>
      <c r="ETY112" s="181"/>
      <c r="ETZ112" s="182"/>
      <c r="EUA112" s="181"/>
      <c r="EUB112" s="182"/>
      <c r="EUC112" s="181"/>
      <c r="EUD112" s="182"/>
      <c r="EUE112" s="181"/>
      <c r="EUF112" s="182"/>
      <c r="EUG112" s="181"/>
      <c r="EUH112" s="182"/>
      <c r="EUI112" s="181"/>
      <c r="EUJ112" s="182"/>
      <c r="EUK112" s="181"/>
      <c r="EUL112" s="182"/>
      <c r="EUM112" s="181"/>
      <c r="EUN112" s="182"/>
      <c r="EUO112" s="181"/>
      <c r="EUP112" s="182"/>
      <c r="EUQ112" s="181"/>
      <c r="EUR112" s="182"/>
      <c r="EUS112" s="181"/>
      <c r="EUT112" s="182"/>
      <c r="EUU112" s="181"/>
      <c r="EUV112" s="182"/>
      <c r="EUW112" s="181"/>
      <c r="EUX112" s="182"/>
      <c r="EUY112" s="181"/>
      <c r="EUZ112" s="182"/>
      <c r="EVA112" s="181"/>
      <c r="EVB112" s="182"/>
      <c r="EVC112" s="181"/>
      <c r="EVD112" s="182"/>
      <c r="EVE112" s="181"/>
      <c r="EVF112" s="182"/>
      <c r="EVG112" s="181"/>
      <c r="EVH112" s="182"/>
      <c r="EVI112" s="181"/>
      <c r="EVJ112" s="182"/>
      <c r="EVK112" s="181"/>
      <c r="EVL112" s="182"/>
      <c r="EVM112" s="181"/>
      <c r="EVN112" s="182"/>
      <c r="EVO112" s="181"/>
      <c r="EVP112" s="182"/>
      <c r="EVQ112" s="181"/>
      <c r="EVR112" s="182"/>
      <c r="EVS112" s="181"/>
      <c r="EVT112" s="182"/>
      <c r="EVU112" s="181"/>
      <c r="EVV112" s="182"/>
      <c r="EVW112" s="181"/>
      <c r="EVX112" s="182"/>
      <c r="EVY112" s="181"/>
      <c r="EVZ112" s="182"/>
      <c r="EWA112" s="181"/>
      <c r="EWB112" s="182"/>
      <c r="EWC112" s="181"/>
      <c r="EWD112" s="182"/>
      <c r="EWE112" s="181"/>
      <c r="EWF112" s="182"/>
      <c r="EWG112" s="181"/>
      <c r="EWH112" s="182"/>
      <c r="EWI112" s="181"/>
      <c r="EWJ112" s="182"/>
      <c r="EWK112" s="181"/>
      <c r="EWL112" s="182"/>
      <c r="EWM112" s="181"/>
      <c r="EWN112" s="182"/>
      <c r="EWO112" s="181"/>
      <c r="EWP112" s="182"/>
      <c r="EWQ112" s="181"/>
      <c r="EWR112" s="182"/>
      <c r="EWS112" s="181"/>
      <c r="EWT112" s="182"/>
      <c r="EWU112" s="181"/>
      <c r="EWV112" s="182"/>
      <c r="EWW112" s="181"/>
      <c r="EWX112" s="182"/>
      <c r="EWY112" s="181"/>
      <c r="EWZ112" s="182"/>
      <c r="EXA112" s="181"/>
      <c r="EXB112" s="182"/>
      <c r="EXC112" s="181"/>
      <c r="EXD112" s="182"/>
      <c r="EXE112" s="181"/>
      <c r="EXF112" s="182"/>
      <c r="EXG112" s="181"/>
      <c r="EXH112" s="182"/>
      <c r="EXI112" s="181"/>
      <c r="EXJ112" s="182"/>
      <c r="EXK112" s="181"/>
      <c r="EXL112" s="182"/>
      <c r="EXM112" s="181"/>
      <c r="EXN112" s="182"/>
      <c r="EXO112" s="181"/>
      <c r="EXP112" s="182"/>
      <c r="EXQ112" s="181"/>
      <c r="EXR112" s="182"/>
      <c r="EXS112" s="181"/>
      <c r="EXT112" s="182"/>
      <c r="EXU112" s="181"/>
      <c r="EXV112" s="182"/>
      <c r="EXW112" s="181"/>
      <c r="EXX112" s="182"/>
      <c r="EXY112" s="181"/>
      <c r="EXZ112" s="182"/>
      <c r="EYA112" s="181"/>
      <c r="EYB112" s="182"/>
      <c r="EYC112" s="181"/>
      <c r="EYD112" s="182"/>
      <c r="EYE112" s="181"/>
      <c r="EYF112" s="182"/>
      <c r="EYG112" s="181"/>
      <c r="EYH112" s="182"/>
      <c r="EYI112" s="181"/>
      <c r="EYJ112" s="182"/>
      <c r="EYK112" s="181"/>
      <c r="EYL112" s="182"/>
      <c r="EYM112" s="181"/>
      <c r="EYN112" s="182"/>
      <c r="EYO112" s="181"/>
      <c r="EYP112" s="182"/>
      <c r="EYQ112" s="181"/>
      <c r="EYR112" s="182"/>
      <c r="EYS112" s="181"/>
      <c r="EYT112" s="182"/>
      <c r="EYU112" s="181"/>
      <c r="EYV112" s="182"/>
      <c r="EYW112" s="181"/>
      <c r="EYX112" s="182"/>
      <c r="EYY112" s="181"/>
      <c r="EYZ112" s="182"/>
      <c r="EZA112" s="181"/>
      <c r="EZB112" s="182"/>
      <c r="EZC112" s="181"/>
      <c r="EZD112" s="182"/>
      <c r="EZE112" s="181"/>
      <c r="EZF112" s="182"/>
      <c r="EZG112" s="181"/>
      <c r="EZH112" s="182"/>
      <c r="EZI112" s="181"/>
      <c r="EZJ112" s="182"/>
      <c r="EZK112" s="181"/>
      <c r="EZL112" s="182"/>
      <c r="EZM112" s="181"/>
      <c r="EZN112" s="182"/>
      <c r="EZO112" s="181"/>
      <c r="EZP112" s="182"/>
      <c r="EZQ112" s="181"/>
      <c r="EZR112" s="182"/>
      <c r="EZS112" s="181"/>
      <c r="EZT112" s="182"/>
      <c r="EZU112" s="181"/>
      <c r="EZV112" s="182"/>
      <c r="EZW112" s="181"/>
      <c r="EZX112" s="182"/>
      <c r="EZY112" s="181"/>
      <c r="EZZ112" s="182"/>
      <c r="FAA112" s="181"/>
      <c r="FAB112" s="182"/>
      <c r="FAC112" s="181"/>
      <c r="FAD112" s="182"/>
      <c r="FAE112" s="181"/>
      <c r="FAF112" s="182"/>
      <c r="FAG112" s="181"/>
      <c r="FAH112" s="182"/>
      <c r="FAI112" s="181"/>
      <c r="FAJ112" s="182"/>
      <c r="FAK112" s="181"/>
      <c r="FAL112" s="182"/>
      <c r="FAM112" s="181"/>
      <c r="FAN112" s="182"/>
      <c r="FAO112" s="181"/>
      <c r="FAP112" s="182"/>
      <c r="FAQ112" s="181"/>
      <c r="FAR112" s="182"/>
      <c r="FAS112" s="181"/>
      <c r="FAT112" s="182"/>
      <c r="FAU112" s="181"/>
      <c r="FAV112" s="182"/>
      <c r="FAW112" s="181"/>
      <c r="FAX112" s="182"/>
      <c r="FAY112" s="181"/>
      <c r="FAZ112" s="182"/>
      <c r="FBA112" s="181"/>
      <c r="FBB112" s="182"/>
      <c r="FBC112" s="181"/>
      <c r="FBD112" s="182"/>
      <c r="FBE112" s="181"/>
      <c r="FBF112" s="182"/>
      <c r="FBG112" s="181"/>
      <c r="FBH112" s="182"/>
      <c r="FBI112" s="181"/>
      <c r="FBJ112" s="182"/>
      <c r="FBK112" s="181"/>
      <c r="FBL112" s="182"/>
      <c r="FBM112" s="181"/>
      <c r="FBN112" s="182"/>
      <c r="FBO112" s="181"/>
      <c r="FBP112" s="182"/>
      <c r="FBQ112" s="181"/>
      <c r="FBR112" s="182"/>
      <c r="FBS112" s="181"/>
      <c r="FBT112" s="182"/>
      <c r="FBU112" s="181"/>
      <c r="FBV112" s="182"/>
      <c r="FBW112" s="181"/>
      <c r="FBX112" s="182"/>
      <c r="FBY112" s="181"/>
      <c r="FBZ112" s="182"/>
      <c r="FCA112" s="181"/>
      <c r="FCB112" s="182"/>
      <c r="FCC112" s="181"/>
      <c r="FCD112" s="182"/>
      <c r="FCE112" s="181"/>
      <c r="FCF112" s="182"/>
      <c r="FCG112" s="181"/>
      <c r="FCH112" s="182"/>
      <c r="FCI112" s="181"/>
      <c r="FCJ112" s="182"/>
      <c r="FCK112" s="181"/>
      <c r="FCL112" s="182"/>
      <c r="FCM112" s="181"/>
      <c r="FCN112" s="182"/>
      <c r="FCO112" s="181"/>
      <c r="FCP112" s="182"/>
      <c r="FCQ112" s="181"/>
      <c r="FCR112" s="182"/>
      <c r="FCS112" s="181"/>
      <c r="FCT112" s="182"/>
      <c r="FCU112" s="181"/>
      <c r="FCV112" s="182"/>
      <c r="FCW112" s="181"/>
      <c r="FCX112" s="182"/>
      <c r="FCY112" s="181"/>
      <c r="FCZ112" s="182"/>
      <c r="FDA112" s="181"/>
      <c r="FDB112" s="182"/>
      <c r="FDC112" s="181"/>
      <c r="FDD112" s="182"/>
      <c r="FDE112" s="181"/>
      <c r="FDF112" s="182"/>
      <c r="FDG112" s="181"/>
      <c r="FDH112" s="182"/>
      <c r="FDI112" s="181"/>
      <c r="FDJ112" s="182"/>
      <c r="FDK112" s="181"/>
      <c r="FDL112" s="182"/>
      <c r="FDM112" s="181"/>
      <c r="FDN112" s="182"/>
      <c r="FDO112" s="181"/>
      <c r="FDP112" s="182"/>
      <c r="FDQ112" s="181"/>
      <c r="FDR112" s="182"/>
      <c r="FDS112" s="181"/>
      <c r="FDT112" s="182"/>
      <c r="FDU112" s="181"/>
      <c r="FDV112" s="182"/>
      <c r="FDW112" s="181"/>
      <c r="FDX112" s="182"/>
      <c r="FDY112" s="181"/>
      <c r="FDZ112" s="182"/>
      <c r="FEA112" s="181"/>
      <c r="FEB112" s="182"/>
      <c r="FEC112" s="181"/>
      <c r="FED112" s="182"/>
      <c r="FEE112" s="181"/>
      <c r="FEF112" s="182"/>
      <c r="FEG112" s="181"/>
      <c r="FEH112" s="182"/>
      <c r="FEI112" s="181"/>
      <c r="FEJ112" s="182"/>
      <c r="FEK112" s="181"/>
      <c r="FEL112" s="182"/>
      <c r="FEM112" s="181"/>
      <c r="FEN112" s="182"/>
      <c r="FEO112" s="181"/>
      <c r="FEP112" s="182"/>
      <c r="FEQ112" s="181"/>
      <c r="FER112" s="182"/>
      <c r="FES112" s="181"/>
      <c r="FET112" s="182"/>
      <c r="FEU112" s="181"/>
      <c r="FEV112" s="182"/>
      <c r="FEW112" s="181"/>
      <c r="FEX112" s="182"/>
      <c r="FEY112" s="181"/>
      <c r="FEZ112" s="182"/>
      <c r="FFA112" s="181"/>
      <c r="FFB112" s="182"/>
      <c r="FFC112" s="181"/>
      <c r="FFD112" s="182"/>
      <c r="FFE112" s="181"/>
      <c r="FFF112" s="182"/>
      <c r="FFG112" s="181"/>
      <c r="FFH112" s="182"/>
      <c r="FFI112" s="181"/>
      <c r="FFJ112" s="182"/>
      <c r="FFK112" s="181"/>
      <c r="FFL112" s="182"/>
      <c r="FFM112" s="181"/>
      <c r="FFN112" s="182"/>
      <c r="FFO112" s="181"/>
      <c r="FFP112" s="182"/>
      <c r="FFQ112" s="181"/>
      <c r="FFR112" s="182"/>
      <c r="FFS112" s="181"/>
      <c r="FFT112" s="182"/>
      <c r="FFU112" s="181"/>
      <c r="FFV112" s="182"/>
      <c r="FFW112" s="181"/>
      <c r="FFX112" s="182"/>
      <c r="FFY112" s="181"/>
      <c r="FFZ112" s="182"/>
      <c r="FGA112" s="181"/>
      <c r="FGB112" s="182"/>
      <c r="FGC112" s="181"/>
      <c r="FGD112" s="182"/>
      <c r="FGE112" s="181"/>
      <c r="FGF112" s="182"/>
      <c r="FGG112" s="181"/>
      <c r="FGH112" s="182"/>
      <c r="FGI112" s="181"/>
      <c r="FGJ112" s="182"/>
      <c r="FGK112" s="181"/>
      <c r="FGL112" s="182"/>
      <c r="FGM112" s="181"/>
      <c r="FGN112" s="182"/>
      <c r="FGO112" s="181"/>
      <c r="FGP112" s="182"/>
      <c r="FGQ112" s="181"/>
      <c r="FGR112" s="182"/>
      <c r="FGS112" s="181"/>
      <c r="FGT112" s="182"/>
      <c r="FGU112" s="181"/>
      <c r="FGV112" s="182"/>
      <c r="FGW112" s="181"/>
      <c r="FGX112" s="182"/>
      <c r="FGY112" s="181"/>
      <c r="FGZ112" s="182"/>
      <c r="FHA112" s="181"/>
      <c r="FHB112" s="182"/>
      <c r="FHC112" s="181"/>
      <c r="FHD112" s="182"/>
      <c r="FHE112" s="181"/>
      <c r="FHF112" s="182"/>
      <c r="FHG112" s="181"/>
      <c r="FHH112" s="182"/>
      <c r="FHI112" s="181"/>
      <c r="FHJ112" s="182"/>
      <c r="FHK112" s="181"/>
      <c r="FHL112" s="182"/>
      <c r="FHM112" s="181"/>
      <c r="FHN112" s="182"/>
      <c r="FHO112" s="181"/>
      <c r="FHP112" s="182"/>
      <c r="FHQ112" s="181"/>
      <c r="FHR112" s="182"/>
      <c r="FHS112" s="181"/>
      <c r="FHT112" s="182"/>
      <c r="FHU112" s="181"/>
      <c r="FHV112" s="182"/>
      <c r="FHW112" s="181"/>
      <c r="FHX112" s="182"/>
      <c r="FHY112" s="181"/>
      <c r="FHZ112" s="182"/>
      <c r="FIA112" s="181"/>
      <c r="FIB112" s="182"/>
      <c r="FIC112" s="181"/>
      <c r="FID112" s="182"/>
      <c r="FIE112" s="181"/>
      <c r="FIF112" s="182"/>
      <c r="FIG112" s="181"/>
      <c r="FIH112" s="182"/>
      <c r="FII112" s="181"/>
      <c r="FIJ112" s="182"/>
      <c r="FIK112" s="181"/>
      <c r="FIL112" s="182"/>
      <c r="FIM112" s="181"/>
      <c r="FIN112" s="182"/>
      <c r="FIO112" s="181"/>
      <c r="FIP112" s="182"/>
      <c r="FIQ112" s="181"/>
      <c r="FIR112" s="182"/>
      <c r="FIS112" s="181"/>
      <c r="FIT112" s="182"/>
      <c r="FIU112" s="181"/>
      <c r="FIV112" s="182"/>
      <c r="FIW112" s="181"/>
      <c r="FIX112" s="182"/>
      <c r="FIY112" s="181"/>
      <c r="FIZ112" s="182"/>
      <c r="FJA112" s="181"/>
      <c r="FJB112" s="182"/>
      <c r="FJC112" s="181"/>
      <c r="FJD112" s="182"/>
      <c r="FJE112" s="181"/>
      <c r="FJF112" s="182"/>
      <c r="FJG112" s="181"/>
      <c r="FJH112" s="182"/>
      <c r="FJI112" s="181"/>
      <c r="FJJ112" s="182"/>
      <c r="FJK112" s="181"/>
      <c r="FJL112" s="182"/>
      <c r="FJM112" s="181"/>
      <c r="FJN112" s="182"/>
      <c r="FJO112" s="181"/>
      <c r="FJP112" s="182"/>
      <c r="FJQ112" s="181"/>
      <c r="FJR112" s="182"/>
      <c r="FJS112" s="181"/>
      <c r="FJT112" s="182"/>
      <c r="FJU112" s="181"/>
      <c r="FJV112" s="182"/>
      <c r="FJW112" s="181"/>
      <c r="FJX112" s="182"/>
      <c r="FJY112" s="181"/>
      <c r="FJZ112" s="182"/>
      <c r="FKA112" s="181"/>
      <c r="FKB112" s="182"/>
      <c r="FKC112" s="181"/>
      <c r="FKD112" s="182"/>
      <c r="FKE112" s="181"/>
      <c r="FKF112" s="182"/>
      <c r="FKG112" s="181"/>
      <c r="FKH112" s="182"/>
      <c r="FKI112" s="181"/>
      <c r="FKJ112" s="182"/>
      <c r="FKK112" s="181"/>
      <c r="FKL112" s="182"/>
      <c r="FKM112" s="181"/>
      <c r="FKN112" s="182"/>
      <c r="FKO112" s="181"/>
      <c r="FKP112" s="182"/>
      <c r="FKQ112" s="181"/>
      <c r="FKR112" s="182"/>
      <c r="FKS112" s="181"/>
      <c r="FKT112" s="182"/>
      <c r="FKU112" s="181"/>
      <c r="FKV112" s="182"/>
      <c r="FKW112" s="181"/>
      <c r="FKX112" s="182"/>
      <c r="FKY112" s="181"/>
      <c r="FKZ112" s="182"/>
      <c r="FLA112" s="181"/>
      <c r="FLB112" s="182"/>
      <c r="FLC112" s="181"/>
      <c r="FLD112" s="182"/>
      <c r="FLE112" s="181"/>
      <c r="FLF112" s="182"/>
      <c r="FLG112" s="181"/>
      <c r="FLH112" s="182"/>
      <c r="FLI112" s="181"/>
      <c r="FLJ112" s="182"/>
      <c r="FLK112" s="181"/>
      <c r="FLL112" s="182"/>
      <c r="FLM112" s="181"/>
      <c r="FLN112" s="182"/>
      <c r="FLO112" s="181"/>
      <c r="FLP112" s="182"/>
      <c r="FLQ112" s="181"/>
      <c r="FLR112" s="182"/>
      <c r="FLS112" s="181"/>
      <c r="FLT112" s="182"/>
      <c r="FLU112" s="181"/>
      <c r="FLV112" s="182"/>
      <c r="FLW112" s="181"/>
      <c r="FLX112" s="182"/>
      <c r="FLY112" s="181"/>
      <c r="FLZ112" s="182"/>
      <c r="FMA112" s="181"/>
      <c r="FMB112" s="182"/>
      <c r="FMC112" s="181"/>
      <c r="FMD112" s="182"/>
      <c r="FME112" s="181"/>
      <c r="FMF112" s="182"/>
      <c r="FMG112" s="181"/>
      <c r="FMH112" s="182"/>
      <c r="FMI112" s="181"/>
      <c r="FMJ112" s="182"/>
      <c r="FMK112" s="181"/>
      <c r="FML112" s="182"/>
      <c r="FMM112" s="181"/>
      <c r="FMN112" s="182"/>
      <c r="FMO112" s="181"/>
      <c r="FMP112" s="182"/>
      <c r="FMQ112" s="181"/>
      <c r="FMR112" s="182"/>
      <c r="FMS112" s="181"/>
      <c r="FMT112" s="182"/>
      <c r="FMU112" s="181"/>
      <c r="FMV112" s="182"/>
      <c r="FMW112" s="181"/>
      <c r="FMX112" s="182"/>
      <c r="FMY112" s="181"/>
      <c r="FMZ112" s="182"/>
      <c r="FNA112" s="181"/>
      <c r="FNB112" s="182"/>
      <c r="FNC112" s="181"/>
      <c r="FND112" s="182"/>
      <c r="FNE112" s="181"/>
      <c r="FNF112" s="182"/>
      <c r="FNG112" s="181"/>
      <c r="FNH112" s="182"/>
      <c r="FNI112" s="181"/>
      <c r="FNJ112" s="182"/>
      <c r="FNK112" s="181"/>
      <c r="FNL112" s="182"/>
      <c r="FNM112" s="181"/>
      <c r="FNN112" s="182"/>
      <c r="FNO112" s="181"/>
      <c r="FNP112" s="182"/>
      <c r="FNQ112" s="181"/>
      <c r="FNR112" s="182"/>
      <c r="FNS112" s="181"/>
      <c r="FNT112" s="182"/>
      <c r="FNU112" s="181"/>
      <c r="FNV112" s="182"/>
      <c r="FNW112" s="181"/>
      <c r="FNX112" s="182"/>
      <c r="FNY112" s="181"/>
      <c r="FNZ112" s="182"/>
      <c r="FOA112" s="181"/>
      <c r="FOB112" s="182"/>
      <c r="FOC112" s="181"/>
      <c r="FOD112" s="182"/>
      <c r="FOE112" s="181"/>
      <c r="FOF112" s="182"/>
      <c r="FOG112" s="181"/>
      <c r="FOH112" s="182"/>
      <c r="FOI112" s="181"/>
      <c r="FOJ112" s="182"/>
      <c r="FOK112" s="181"/>
      <c r="FOL112" s="182"/>
      <c r="FOM112" s="181"/>
      <c r="FON112" s="182"/>
      <c r="FOO112" s="181"/>
      <c r="FOP112" s="182"/>
      <c r="FOQ112" s="181"/>
      <c r="FOR112" s="182"/>
      <c r="FOS112" s="181"/>
      <c r="FOT112" s="182"/>
      <c r="FOU112" s="181"/>
      <c r="FOV112" s="182"/>
      <c r="FOW112" s="181"/>
      <c r="FOX112" s="182"/>
      <c r="FOY112" s="181"/>
      <c r="FOZ112" s="182"/>
      <c r="FPA112" s="181"/>
      <c r="FPB112" s="182"/>
      <c r="FPC112" s="181"/>
      <c r="FPD112" s="182"/>
      <c r="FPE112" s="181"/>
      <c r="FPF112" s="182"/>
      <c r="FPG112" s="181"/>
      <c r="FPH112" s="182"/>
      <c r="FPI112" s="181"/>
      <c r="FPJ112" s="182"/>
      <c r="FPK112" s="181"/>
      <c r="FPL112" s="182"/>
      <c r="FPM112" s="181"/>
      <c r="FPN112" s="182"/>
      <c r="FPO112" s="181"/>
      <c r="FPP112" s="182"/>
      <c r="FPQ112" s="181"/>
      <c r="FPR112" s="182"/>
      <c r="FPS112" s="181"/>
      <c r="FPT112" s="182"/>
      <c r="FPU112" s="181"/>
      <c r="FPV112" s="182"/>
      <c r="FPW112" s="181"/>
      <c r="FPX112" s="182"/>
      <c r="FPY112" s="181"/>
      <c r="FPZ112" s="182"/>
      <c r="FQA112" s="181"/>
      <c r="FQB112" s="182"/>
      <c r="FQC112" s="181"/>
      <c r="FQD112" s="182"/>
      <c r="FQE112" s="181"/>
      <c r="FQF112" s="182"/>
      <c r="FQG112" s="181"/>
      <c r="FQH112" s="182"/>
      <c r="FQI112" s="181"/>
      <c r="FQJ112" s="182"/>
      <c r="FQK112" s="181"/>
      <c r="FQL112" s="182"/>
      <c r="FQM112" s="181"/>
      <c r="FQN112" s="182"/>
      <c r="FQO112" s="181"/>
      <c r="FQP112" s="182"/>
      <c r="FQQ112" s="181"/>
      <c r="FQR112" s="182"/>
      <c r="FQS112" s="181"/>
      <c r="FQT112" s="182"/>
      <c r="FQU112" s="181"/>
      <c r="FQV112" s="182"/>
      <c r="FQW112" s="181"/>
      <c r="FQX112" s="182"/>
      <c r="FQY112" s="181"/>
      <c r="FQZ112" s="182"/>
      <c r="FRA112" s="181"/>
      <c r="FRB112" s="182"/>
      <c r="FRC112" s="181"/>
      <c r="FRD112" s="182"/>
      <c r="FRE112" s="181"/>
      <c r="FRF112" s="182"/>
      <c r="FRG112" s="181"/>
      <c r="FRH112" s="182"/>
      <c r="FRI112" s="181"/>
      <c r="FRJ112" s="182"/>
      <c r="FRK112" s="181"/>
      <c r="FRL112" s="182"/>
      <c r="FRM112" s="181"/>
      <c r="FRN112" s="182"/>
      <c r="FRO112" s="181"/>
      <c r="FRP112" s="182"/>
      <c r="FRQ112" s="181"/>
      <c r="FRR112" s="182"/>
      <c r="FRS112" s="181"/>
      <c r="FRT112" s="182"/>
      <c r="FRU112" s="181"/>
      <c r="FRV112" s="182"/>
      <c r="FRW112" s="181"/>
      <c r="FRX112" s="182"/>
      <c r="FRY112" s="181"/>
      <c r="FRZ112" s="182"/>
      <c r="FSA112" s="181"/>
      <c r="FSB112" s="182"/>
      <c r="FSC112" s="181"/>
      <c r="FSD112" s="182"/>
      <c r="FSE112" s="181"/>
      <c r="FSF112" s="182"/>
      <c r="FSG112" s="181"/>
      <c r="FSH112" s="182"/>
      <c r="FSI112" s="181"/>
      <c r="FSJ112" s="182"/>
      <c r="FSK112" s="181"/>
      <c r="FSL112" s="182"/>
      <c r="FSM112" s="181"/>
      <c r="FSN112" s="182"/>
      <c r="FSO112" s="181"/>
      <c r="FSP112" s="182"/>
      <c r="FSQ112" s="181"/>
      <c r="FSR112" s="182"/>
      <c r="FSS112" s="181"/>
      <c r="FST112" s="182"/>
      <c r="FSU112" s="181"/>
      <c r="FSV112" s="182"/>
      <c r="FSW112" s="181"/>
      <c r="FSX112" s="182"/>
      <c r="FSY112" s="181"/>
      <c r="FSZ112" s="182"/>
      <c r="FTA112" s="181"/>
      <c r="FTB112" s="182"/>
      <c r="FTC112" s="181"/>
      <c r="FTD112" s="182"/>
      <c r="FTE112" s="181"/>
      <c r="FTF112" s="182"/>
      <c r="FTG112" s="181"/>
      <c r="FTH112" s="182"/>
      <c r="FTI112" s="181"/>
      <c r="FTJ112" s="182"/>
      <c r="FTK112" s="181"/>
      <c r="FTL112" s="182"/>
      <c r="FTM112" s="181"/>
      <c r="FTN112" s="182"/>
      <c r="FTO112" s="181"/>
      <c r="FTP112" s="182"/>
      <c r="FTQ112" s="181"/>
      <c r="FTR112" s="182"/>
      <c r="FTS112" s="181"/>
      <c r="FTT112" s="182"/>
      <c r="FTU112" s="181"/>
      <c r="FTV112" s="182"/>
      <c r="FTW112" s="181"/>
      <c r="FTX112" s="182"/>
      <c r="FTY112" s="181"/>
      <c r="FTZ112" s="182"/>
      <c r="FUA112" s="181"/>
      <c r="FUB112" s="182"/>
      <c r="FUC112" s="181"/>
      <c r="FUD112" s="182"/>
      <c r="FUE112" s="181"/>
      <c r="FUF112" s="182"/>
      <c r="FUG112" s="181"/>
      <c r="FUH112" s="182"/>
      <c r="FUI112" s="181"/>
      <c r="FUJ112" s="182"/>
      <c r="FUK112" s="181"/>
      <c r="FUL112" s="182"/>
      <c r="FUM112" s="181"/>
      <c r="FUN112" s="182"/>
      <c r="FUO112" s="181"/>
      <c r="FUP112" s="182"/>
      <c r="FUQ112" s="181"/>
      <c r="FUR112" s="182"/>
      <c r="FUS112" s="181"/>
      <c r="FUT112" s="182"/>
      <c r="FUU112" s="181"/>
      <c r="FUV112" s="182"/>
      <c r="FUW112" s="181"/>
      <c r="FUX112" s="182"/>
      <c r="FUY112" s="181"/>
      <c r="FUZ112" s="182"/>
      <c r="FVA112" s="181"/>
      <c r="FVB112" s="182"/>
      <c r="FVC112" s="181"/>
      <c r="FVD112" s="182"/>
      <c r="FVE112" s="181"/>
      <c r="FVF112" s="182"/>
      <c r="FVG112" s="181"/>
      <c r="FVH112" s="182"/>
      <c r="FVI112" s="181"/>
      <c r="FVJ112" s="182"/>
      <c r="FVK112" s="181"/>
      <c r="FVL112" s="182"/>
      <c r="FVM112" s="181"/>
      <c r="FVN112" s="182"/>
      <c r="FVO112" s="181"/>
      <c r="FVP112" s="182"/>
      <c r="FVQ112" s="181"/>
      <c r="FVR112" s="182"/>
      <c r="FVS112" s="181"/>
      <c r="FVT112" s="182"/>
      <c r="FVU112" s="181"/>
      <c r="FVV112" s="182"/>
      <c r="FVW112" s="181"/>
      <c r="FVX112" s="182"/>
      <c r="FVY112" s="181"/>
      <c r="FVZ112" s="182"/>
      <c r="FWA112" s="181"/>
      <c r="FWB112" s="182"/>
      <c r="FWC112" s="181"/>
      <c r="FWD112" s="182"/>
      <c r="FWE112" s="181"/>
      <c r="FWF112" s="182"/>
      <c r="FWG112" s="181"/>
      <c r="FWH112" s="182"/>
      <c r="FWI112" s="181"/>
      <c r="FWJ112" s="182"/>
      <c r="FWK112" s="181"/>
      <c r="FWL112" s="182"/>
      <c r="FWM112" s="181"/>
      <c r="FWN112" s="182"/>
      <c r="FWO112" s="181"/>
      <c r="FWP112" s="182"/>
      <c r="FWQ112" s="181"/>
      <c r="FWR112" s="182"/>
      <c r="FWS112" s="181"/>
      <c r="FWT112" s="182"/>
      <c r="FWU112" s="181"/>
      <c r="FWV112" s="182"/>
      <c r="FWW112" s="181"/>
      <c r="FWX112" s="182"/>
      <c r="FWY112" s="181"/>
      <c r="FWZ112" s="182"/>
      <c r="FXA112" s="181"/>
      <c r="FXB112" s="182"/>
      <c r="FXC112" s="181"/>
      <c r="FXD112" s="182"/>
      <c r="FXE112" s="181"/>
      <c r="FXF112" s="182"/>
      <c r="FXG112" s="181"/>
      <c r="FXH112" s="182"/>
      <c r="FXI112" s="181"/>
      <c r="FXJ112" s="182"/>
      <c r="FXK112" s="181"/>
      <c r="FXL112" s="182"/>
      <c r="FXM112" s="181"/>
      <c r="FXN112" s="182"/>
      <c r="FXO112" s="181"/>
      <c r="FXP112" s="182"/>
      <c r="FXQ112" s="181"/>
      <c r="FXR112" s="182"/>
      <c r="FXS112" s="181"/>
      <c r="FXT112" s="182"/>
      <c r="FXU112" s="181"/>
      <c r="FXV112" s="182"/>
      <c r="FXW112" s="181"/>
      <c r="FXX112" s="182"/>
      <c r="FXY112" s="181"/>
      <c r="FXZ112" s="182"/>
      <c r="FYA112" s="181"/>
      <c r="FYB112" s="182"/>
      <c r="FYC112" s="181"/>
      <c r="FYD112" s="182"/>
      <c r="FYE112" s="181"/>
      <c r="FYF112" s="182"/>
      <c r="FYG112" s="181"/>
      <c r="FYH112" s="182"/>
      <c r="FYI112" s="181"/>
      <c r="FYJ112" s="182"/>
      <c r="FYK112" s="181"/>
      <c r="FYL112" s="182"/>
      <c r="FYM112" s="181"/>
      <c r="FYN112" s="182"/>
      <c r="FYO112" s="181"/>
      <c r="FYP112" s="182"/>
      <c r="FYQ112" s="181"/>
      <c r="FYR112" s="182"/>
      <c r="FYS112" s="181"/>
      <c r="FYT112" s="182"/>
      <c r="FYU112" s="181"/>
      <c r="FYV112" s="182"/>
      <c r="FYW112" s="181"/>
      <c r="FYX112" s="182"/>
      <c r="FYY112" s="181"/>
      <c r="FYZ112" s="182"/>
      <c r="FZA112" s="181"/>
      <c r="FZB112" s="182"/>
      <c r="FZC112" s="181"/>
      <c r="FZD112" s="182"/>
      <c r="FZE112" s="181"/>
      <c r="FZF112" s="182"/>
      <c r="FZG112" s="181"/>
      <c r="FZH112" s="182"/>
      <c r="FZI112" s="181"/>
      <c r="FZJ112" s="182"/>
      <c r="FZK112" s="181"/>
      <c r="FZL112" s="182"/>
      <c r="FZM112" s="181"/>
      <c r="FZN112" s="182"/>
      <c r="FZO112" s="181"/>
      <c r="FZP112" s="182"/>
      <c r="FZQ112" s="181"/>
      <c r="FZR112" s="182"/>
      <c r="FZS112" s="181"/>
      <c r="FZT112" s="182"/>
      <c r="FZU112" s="181"/>
      <c r="FZV112" s="182"/>
      <c r="FZW112" s="181"/>
      <c r="FZX112" s="182"/>
      <c r="FZY112" s="181"/>
      <c r="FZZ112" s="182"/>
      <c r="GAA112" s="181"/>
      <c r="GAB112" s="182"/>
      <c r="GAC112" s="181"/>
      <c r="GAD112" s="182"/>
      <c r="GAE112" s="181"/>
      <c r="GAF112" s="182"/>
      <c r="GAG112" s="181"/>
      <c r="GAH112" s="182"/>
      <c r="GAI112" s="181"/>
      <c r="GAJ112" s="182"/>
      <c r="GAK112" s="181"/>
      <c r="GAL112" s="182"/>
      <c r="GAM112" s="181"/>
      <c r="GAN112" s="182"/>
      <c r="GAO112" s="181"/>
      <c r="GAP112" s="182"/>
      <c r="GAQ112" s="181"/>
      <c r="GAR112" s="182"/>
      <c r="GAS112" s="181"/>
      <c r="GAT112" s="182"/>
      <c r="GAU112" s="181"/>
      <c r="GAV112" s="182"/>
      <c r="GAW112" s="181"/>
      <c r="GAX112" s="182"/>
      <c r="GAY112" s="181"/>
      <c r="GAZ112" s="182"/>
      <c r="GBA112" s="181"/>
      <c r="GBB112" s="182"/>
      <c r="GBC112" s="181"/>
      <c r="GBD112" s="182"/>
      <c r="GBE112" s="181"/>
      <c r="GBF112" s="182"/>
      <c r="GBG112" s="181"/>
      <c r="GBH112" s="182"/>
      <c r="GBI112" s="181"/>
      <c r="GBJ112" s="182"/>
      <c r="GBK112" s="181"/>
      <c r="GBL112" s="182"/>
      <c r="GBM112" s="181"/>
      <c r="GBN112" s="182"/>
      <c r="GBO112" s="181"/>
      <c r="GBP112" s="182"/>
      <c r="GBQ112" s="181"/>
      <c r="GBR112" s="182"/>
      <c r="GBS112" s="181"/>
      <c r="GBT112" s="182"/>
      <c r="GBU112" s="181"/>
      <c r="GBV112" s="182"/>
      <c r="GBW112" s="181"/>
      <c r="GBX112" s="182"/>
      <c r="GBY112" s="181"/>
      <c r="GBZ112" s="182"/>
      <c r="GCA112" s="181"/>
      <c r="GCB112" s="182"/>
      <c r="GCC112" s="181"/>
      <c r="GCD112" s="182"/>
      <c r="GCE112" s="181"/>
      <c r="GCF112" s="182"/>
      <c r="GCG112" s="181"/>
      <c r="GCH112" s="182"/>
      <c r="GCI112" s="181"/>
      <c r="GCJ112" s="182"/>
      <c r="GCK112" s="181"/>
      <c r="GCL112" s="182"/>
      <c r="GCM112" s="181"/>
      <c r="GCN112" s="182"/>
      <c r="GCO112" s="181"/>
      <c r="GCP112" s="182"/>
      <c r="GCQ112" s="181"/>
      <c r="GCR112" s="182"/>
      <c r="GCS112" s="181"/>
      <c r="GCT112" s="182"/>
      <c r="GCU112" s="181"/>
      <c r="GCV112" s="182"/>
      <c r="GCW112" s="181"/>
      <c r="GCX112" s="182"/>
      <c r="GCY112" s="181"/>
      <c r="GCZ112" s="182"/>
      <c r="GDA112" s="181"/>
      <c r="GDB112" s="182"/>
      <c r="GDC112" s="181"/>
      <c r="GDD112" s="182"/>
      <c r="GDE112" s="181"/>
      <c r="GDF112" s="182"/>
      <c r="GDG112" s="181"/>
      <c r="GDH112" s="182"/>
      <c r="GDI112" s="181"/>
      <c r="GDJ112" s="182"/>
      <c r="GDK112" s="181"/>
      <c r="GDL112" s="182"/>
      <c r="GDM112" s="181"/>
      <c r="GDN112" s="182"/>
      <c r="GDO112" s="181"/>
      <c r="GDP112" s="182"/>
      <c r="GDQ112" s="181"/>
      <c r="GDR112" s="182"/>
      <c r="GDS112" s="181"/>
      <c r="GDT112" s="182"/>
      <c r="GDU112" s="181"/>
      <c r="GDV112" s="182"/>
      <c r="GDW112" s="181"/>
      <c r="GDX112" s="182"/>
      <c r="GDY112" s="181"/>
      <c r="GDZ112" s="182"/>
      <c r="GEA112" s="181"/>
      <c r="GEB112" s="182"/>
      <c r="GEC112" s="181"/>
      <c r="GED112" s="182"/>
      <c r="GEE112" s="181"/>
      <c r="GEF112" s="182"/>
      <c r="GEG112" s="181"/>
      <c r="GEH112" s="182"/>
      <c r="GEI112" s="181"/>
      <c r="GEJ112" s="182"/>
      <c r="GEK112" s="181"/>
      <c r="GEL112" s="182"/>
      <c r="GEM112" s="181"/>
      <c r="GEN112" s="182"/>
      <c r="GEO112" s="181"/>
      <c r="GEP112" s="182"/>
      <c r="GEQ112" s="181"/>
      <c r="GER112" s="182"/>
      <c r="GES112" s="181"/>
      <c r="GET112" s="182"/>
      <c r="GEU112" s="181"/>
      <c r="GEV112" s="182"/>
      <c r="GEW112" s="181"/>
      <c r="GEX112" s="182"/>
      <c r="GEY112" s="181"/>
      <c r="GEZ112" s="182"/>
      <c r="GFA112" s="181"/>
      <c r="GFB112" s="182"/>
      <c r="GFC112" s="181"/>
      <c r="GFD112" s="182"/>
      <c r="GFE112" s="181"/>
      <c r="GFF112" s="182"/>
      <c r="GFG112" s="181"/>
      <c r="GFH112" s="182"/>
      <c r="GFI112" s="181"/>
      <c r="GFJ112" s="182"/>
      <c r="GFK112" s="181"/>
      <c r="GFL112" s="182"/>
      <c r="GFM112" s="181"/>
      <c r="GFN112" s="182"/>
      <c r="GFO112" s="181"/>
      <c r="GFP112" s="182"/>
      <c r="GFQ112" s="181"/>
      <c r="GFR112" s="182"/>
      <c r="GFS112" s="181"/>
      <c r="GFT112" s="182"/>
      <c r="GFU112" s="181"/>
      <c r="GFV112" s="182"/>
      <c r="GFW112" s="181"/>
      <c r="GFX112" s="182"/>
      <c r="GFY112" s="181"/>
      <c r="GFZ112" s="182"/>
      <c r="GGA112" s="181"/>
      <c r="GGB112" s="182"/>
      <c r="GGC112" s="181"/>
      <c r="GGD112" s="182"/>
      <c r="GGE112" s="181"/>
      <c r="GGF112" s="182"/>
      <c r="GGG112" s="181"/>
      <c r="GGH112" s="182"/>
      <c r="GGI112" s="181"/>
      <c r="GGJ112" s="182"/>
      <c r="GGK112" s="181"/>
      <c r="GGL112" s="182"/>
      <c r="GGM112" s="181"/>
      <c r="GGN112" s="182"/>
      <c r="GGO112" s="181"/>
      <c r="GGP112" s="182"/>
      <c r="GGQ112" s="181"/>
      <c r="GGR112" s="182"/>
      <c r="GGS112" s="181"/>
      <c r="GGT112" s="182"/>
      <c r="GGU112" s="181"/>
      <c r="GGV112" s="182"/>
      <c r="GGW112" s="181"/>
      <c r="GGX112" s="182"/>
      <c r="GGY112" s="181"/>
      <c r="GGZ112" s="182"/>
      <c r="GHA112" s="181"/>
      <c r="GHB112" s="182"/>
      <c r="GHC112" s="181"/>
      <c r="GHD112" s="182"/>
      <c r="GHE112" s="181"/>
      <c r="GHF112" s="182"/>
      <c r="GHG112" s="181"/>
      <c r="GHH112" s="182"/>
      <c r="GHI112" s="181"/>
      <c r="GHJ112" s="182"/>
      <c r="GHK112" s="181"/>
      <c r="GHL112" s="182"/>
      <c r="GHM112" s="181"/>
      <c r="GHN112" s="182"/>
      <c r="GHO112" s="181"/>
      <c r="GHP112" s="182"/>
      <c r="GHQ112" s="181"/>
      <c r="GHR112" s="182"/>
      <c r="GHS112" s="181"/>
      <c r="GHT112" s="182"/>
      <c r="GHU112" s="181"/>
      <c r="GHV112" s="182"/>
      <c r="GHW112" s="181"/>
      <c r="GHX112" s="182"/>
      <c r="GHY112" s="181"/>
      <c r="GHZ112" s="182"/>
      <c r="GIA112" s="181"/>
      <c r="GIB112" s="182"/>
      <c r="GIC112" s="181"/>
      <c r="GID112" s="182"/>
      <c r="GIE112" s="181"/>
      <c r="GIF112" s="182"/>
      <c r="GIG112" s="181"/>
      <c r="GIH112" s="182"/>
      <c r="GII112" s="181"/>
      <c r="GIJ112" s="182"/>
      <c r="GIK112" s="181"/>
      <c r="GIL112" s="182"/>
      <c r="GIM112" s="181"/>
      <c r="GIN112" s="182"/>
      <c r="GIO112" s="181"/>
      <c r="GIP112" s="182"/>
      <c r="GIQ112" s="181"/>
      <c r="GIR112" s="182"/>
      <c r="GIS112" s="181"/>
      <c r="GIT112" s="182"/>
      <c r="GIU112" s="181"/>
      <c r="GIV112" s="182"/>
      <c r="GIW112" s="181"/>
      <c r="GIX112" s="182"/>
      <c r="GIY112" s="181"/>
      <c r="GIZ112" s="182"/>
      <c r="GJA112" s="181"/>
      <c r="GJB112" s="182"/>
      <c r="GJC112" s="181"/>
      <c r="GJD112" s="182"/>
      <c r="GJE112" s="181"/>
      <c r="GJF112" s="182"/>
      <c r="GJG112" s="181"/>
      <c r="GJH112" s="182"/>
      <c r="GJI112" s="181"/>
      <c r="GJJ112" s="182"/>
      <c r="GJK112" s="181"/>
      <c r="GJL112" s="182"/>
      <c r="GJM112" s="181"/>
      <c r="GJN112" s="182"/>
      <c r="GJO112" s="181"/>
      <c r="GJP112" s="182"/>
      <c r="GJQ112" s="181"/>
      <c r="GJR112" s="182"/>
      <c r="GJS112" s="181"/>
      <c r="GJT112" s="182"/>
      <c r="GJU112" s="181"/>
      <c r="GJV112" s="182"/>
      <c r="GJW112" s="181"/>
      <c r="GJX112" s="182"/>
      <c r="GJY112" s="181"/>
      <c r="GJZ112" s="182"/>
      <c r="GKA112" s="181"/>
      <c r="GKB112" s="182"/>
      <c r="GKC112" s="181"/>
      <c r="GKD112" s="182"/>
      <c r="GKE112" s="181"/>
      <c r="GKF112" s="182"/>
      <c r="GKG112" s="181"/>
      <c r="GKH112" s="182"/>
      <c r="GKI112" s="181"/>
      <c r="GKJ112" s="182"/>
      <c r="GKK112" s="181"/>
      <c r="GKL112" s="182"/>
      <c r="GKM112" s="181"/>
      <c r="GKN112" s="182"/>
      <c r="GKO112" s="181"/>
      <c r="GKP112" s="182"/>
      <c r="GKQ112" s="181"/>
      <c r="GKR112" s="182"/>
      <c r="GKS112" s="181"/>
      <c r="GKT112" s="182"/>
      <c r="GKU112" s="181"/>
      <c r="GKV112" s="182"/>
      <c r="GKW112" s="181"/>
      <c r="GKX112" s="182"/>
      <c r="GKY112" s="181"/>
      <c r="GKZ112" s="182"/>
      <c r="GLA112" s="181"/>
      <c r="GLB112" s="182"/>
      <c r="GLC112" s="181"/>
      <c r="GLD112" s="182"/>
      <c r="GLE112" s="181"/>
      <c r="GLF112" s="182"/>
      <c r="GLG112" s="181"/>
      <c r="GLH112" s="182"/>
      <c r="GLI112" s="181"/>
      <c r="GLJ112" s="182"/>
      <c r="GLK112" s="181"/>
      <c r="GLL112" s="182"/>
      <c r="GLM112" s="181"/>
      <c r="GLN112" s="182"/>
      <c r="GLO112" s="181"/>
      <c r="GLP112" s="182"/>
      <c r="GLQ112" s="181"/>
      <c r="GLR112" s="182"/>
      <c r="GLS112" s="181"/>
      <c r="GLT112" s="182"/>
      <c r="GLU112" s="181"/>
      <c r="GLV112" s="182"/>
      <c r="GLW112" s="181"/>
      <c r="GLX112" s="182"/>
      <c r="GLY112" s="181"/>
      <c r="GLZ112" s="182"/>
      <c r="GMA112" s="181"/>
      <c r="GMB112" s="182"/>
      <c r="GMC112" s="181"/>
      <c r="GMD112" s="182"/>
      <c r="GME112" s="181"/>
      <c r="GMF112" s="182"/>
      <c r="GMG112" s="181"/>
      <c r="GMH112" s="182"/>
      <c r="GMI112" s="181"/>
      <c r="GMJ112" s="182"/>
      <c r="GMK112" s="181"/>
      <c r="GML112" s="182"/>
      <c r="GMM112" s="181"/>
      <c r="GMN112" s="182"/>
      <c r="GMO112" s="181"/>
      <c r="GMP112" s="182"/>
      <c r="GMQ112" s="181"/>
      <c r="GMR112" s="182"/>
      <c r="GMS112" s="181"/>
      <c r="GMT112" s="182"/>
      <c r="GMU112" s="181"/>
      <c r="GMV112" s="182"/>
      <c r="GMW112" s="181"/>
      <c r="GMX112" s="182"/>
      <c r="GMY112" s="181"/>
      <c r="GMZ112" s="182"/>
      <c r="GNA112" s="181"/>
      <c r="GNB112" s="182"/>
      <c r="GNC112" s="181"/>
      <c r="GND112" s="182"/>
      <c r="GNE112" s="181"/>
      <c r="GNF112" s="182"/>
      <c r="GNG112" s="181"/>
      <c r="GNH112" s="182"/>
      <c r="GNI112" s="181"/>
      <c r="GNJ112" s="182"/>
      <c r="GNK112" s="181"/>
      <c r="GNL112" s="182"/>
      <c r="GNM112" s="181"/>
      <c r="GNN112" s="182"/>
      <c r="GNO112" s="181"/>
      <c r="GNP112" s="182"/>
      <c r="GNQ112" s="181"/>
      <c r="GNR112" s="182"/>
      <c r="GNS112" s="181"/>
      <c r="GNT112" s="182"/>
      <c r="GNU112" s="181"/>
      <c r="GNV112" s="182"/>
      <c r="GNW112" s="181"/>
      <c r="GNX112" s="182"/>
      <c r="GNY112" s="181"/>
      <c r="GNZ112" s="182"/>
      <c r="GOA112" s="181"/>
      <c r="GOB112" s="182"/>
      <c r="GOC112" s="181"/>
      <c r="GOD112" s="182"/>
      <c r="GOE112" s="181"/>
      <c r="GOF112" s="182"/>
      <c r="GOG112" s="181"/>
      <c r="GOH112" s="182"/>
      <c r="GOI112" s="181"/>
      <c r="GOJ112" s="182"/>
      <c r="GOK112" s="181"/>
      <c r="GOL112" s="182"/>
      <c r="GOM112" s="181"/>
      <c r="GON112" s="182"/>
      <c r="GOO112" s="181"/>
      <c r="GOP112" s="182"/>
      <c r="GOQ112" s="181"/>
      <c r="GOR112" s="182"/>
      <c r="GOS112" s="181"/>
      <c r="GOT112" s="182"/>
      <c r="GOU112" s="181"/>
      <c r="GOV112" s="182"/>
      <c r="GOW112" s="181"/>
      <c r="GOX112" s="182"/>
      <c r="GOY112" s="181"/>
      <c r="GOZ112" s="182"/>
      <c r="GPA112" s="181"/>
      <c r="GPB112" s="182"/>
      <c r="GPC112" s="181"/>
      <c r="GPD112" s="182"/>
      <c r="GPE112" s="181"/>
      <c r="GPF112" s="182"/>
      <c r="GPG112" s="181"/>
      <c r="GPH112" s="182"/>
      <c r="GPI112" s="181"/>
      <c r="GPJ112" s="182"/>
      <c r="GPK112" s="181"/>
      <c r="GPL112" s="182"/>
      <c r="GPM112" s="181"/>
      <c r="GPN112" s="182"/>
      <c r="GPO112" s="181"/>
      <c r="GPP112" s="182"/>
      <c r="GPQ112" s="181"/>
      <c r="GPR112" s="182"/>
      <c r="GPS112" s="181"/>
      <c r="GPT112" s="182"/>
      <c r="GPU112" s="181"/>
      <c r="GPV112" s="182"/>
      <c r="GPW112" s="181"/>
      <c r="GPX112" s="182"/>
      <c r="GPY112" s="181"/>
      <c r="GPZ112" s="182"/>
      <c r="GQA112" s="181"/>
      <c r="GQB112" s="182"/>
      <c r="GQC112" s="181"/>
      <c r="GQD112" s="182"/>
      <c r="GQE112" s="181"/>
      <c r="GQF112" s="182"/>
      <c r="GQG112" s="181"/>
      <c r="GQH112" s="182"/>
      <c r="GQI112" s="181"/>
      <c r="GQJ112" s="182"/>
      <c r="GQK112" s="181"/>
      <c r="GQL112" s="182"/>
      <c r="GQM112" s="181"/>
      <c r="GQN112" s="182"/>
      <c r="GQO112" s="181"/>
      <c r="GQP112" s="182"/>
      <c r="GQQ112" s="181"/>
      <c r="GQR112" s="182"/>
      <c r="GQS112" s="181"/>
      <c r="GQT112" s="182"/>
      <c r="GQU112" s="181"/>
      <c r="GQV112" s="182"/>
      <c r="GQW112" s="181"/>
      <c r="GQX112" s="182"/>
      <c r="GQY112" s="181"/>
      <c r="GQZ112" s="182"/>
      <c r="GRA112" s="181"/>
      <c r="GRB112" s="182"/>
      <c r="GRC112" s="181"/>
      <c r="GRD112" s="182"/>
      <c r="GRE112" s="181"/>
      <c r="GRF112" s="182"/>
      <c r="GRG112" s="181"/>
      <c r="GRH112" s="182"/>
      <c r="GRI112" s="181"/>
      <c r="GRJ112" s="182"/>
      <c r="GRK112" s="181"/>
      <c r="GRL112" s="182"/>
      <c r="GRM112" s="181"/>
      <c r="GRN112" s="182"/>
      <c r="GRO112" s="181"/>
      <c r="GRP112" s="182"/>
      <c r="GRQ112" s="181"/>
      <c r="GRR112" s="182"/>
      <c r="GRS112" s="181"/>
      <c r="GRT112" s="182"/>
      <c r="GRU112" s="181"/>
      <c r="GRV112" s="182"/>
      <c r="GRW112" s="181"/>
      <c r="GRX112" s="182"/>
      <c r="GRY112" s="181"/>
      <c r="GRZ112" s="182"/>
      <c r="GSA112" s="181"/>
      <c r="GSB112" s="182"/>
      <c r="GSC112" s="181"/>
      <c r="GSD112" s="182"/>
      <c r="GSE112" s="181"/>
      <c r="GSF112" s="182"/>
      <c r="GSG112" s="181"/>
      <c r="GSH112" s="182"/>
      <c r="GSI112" s="181"/>
      <c r="GSJ112" s="182"/>
      <c r="GSK112" s="181"/>
      <c r="GSL112" s="182"/>
      <c r="GSM112" s="181"/>
      <c r="GSN112" s="182"/>
      <c r="GSO112" s="181"/>
      <c r="GSP112" s="182"/>
      <c r="GSQ112" s="181"/>
      <c r="GSR112" s="182"/>
      <c r="GSS112" s="181"/>
      <c r="GST112" s="182"/>
      <c r="GSU112" s="181"/>
      <c r="GSV112" s="182"/>
      <c r="GSW112" s="181"/>
      <c r="GSX112" s="182"/>
      <c r="GSY112" s="181"/>
      <c r="GSZ112" s="182"/>
      <c r="GTA112" s="181"/>
      <c r="GTB112" s="182"/>
      <c r="GTC112" s="181"/>
      <c r="GTD112" s="182"/>
      <c r="GTE112" s="181"/>
      <c r="GTF112" s="182"/>
      <c r="GTG112" s="181"/>
      <c r="GTH112" s="182"/>
      <c r="GTI112" s="181"/>
      <c r="GTJ112" s="182"/>
      <c r="GTK112" s="181"/>
      <c r="GTL112" s="182"/>
      <c r="GTM112" s="181"/>
      <c r="GTN112" s="182"/>
      <c r="GTO112" s="181"/>
      <c r="GTP112" s="182"/>
      <c r="GTQ112" s="181"/>
      <c r="GTR112" s="182"/>
      <c r="GTS112" s="181"/>
      <c r="GTT112" s="182"/>
      <c r="GTU112" s="181"/>
      <c r="GTV112" s="182"/>
      <c r="GTW112" s="181"/>
      <c r="GTX112" s="182"/>
      <c r="GTY112" s="181"/>
      <c r="GTZ112" s="182"/>
      <c r="GUA112" s="181"/>
      <c r="GUB112" s="182"/>
      <c r="GUC112" s="181"/>
      <c r="GUD112" s="182"/>
      <c r="GUE112" s="181"/>
      <c r="GUF112" s="182"/>
      <c r="GUG112" s="181"/>
      <c r="GUH112" s="182"/>
      <c r="GUI112" s="181"/>
      <c r="GUJ112" s="182"/>
      <c r="GUK112" s="181"/>
      <c r="GUL112" s="182"/>
      <c r="GUM112" s="181"/>
      <c r="GUN112" s="182"/>
      <c r="GUO112" s="181"/>
      <c r="GUP112" s="182"/>
      <c r="GUQ112" s="181"/>
      <c r="GUR112" s="182"/>
      <c r="GUS112" s="181"/>
      <c r="GUT112" s="182"/>
      <c r="GUU112" s="181"/>
      <c r="GUV112" s="182"/>
      <c r="GUW112" s="181"/>
      <c r="GUX112" s="182"/>
      <c r="GUY112" s="181"/>
      <c r="GUZ112" s="182"/>
      <c r="GVA112" s="181"/>
      <c r="GVB112" s="182"/>
      <c r="GVC112" s="181"/>
      <c r="GVD112" s="182"/>
      <c r="GVE112" s="181"/>
      <c r="GVF112" s="182"/>
      <c r="GVG112" s="181"/>
      <c r="GVH112" s="182"/>
      <c r="GVI112" s="181"/>
      <c r="GVJ112" s="182"/>
      <c r="GVK112" s="181"/>
      <c r="GVL112" s="182"/>
      <c r="GVM112" s="181"/>
      <c r="GVN112" s="182"/>
      <c r="GVO112" s="181"/>
      <c r="GVP112" s="182"/>
      <c r="GVQ112" s="181"/>
      <c r="GVR112" s="182"/>
      <c r="GVS112" s="181"/>
      <c r="GVT112" s="182"/>
      <c r="GVU112" s="181"/>
      <c r="GVV112" s="182"/>
      <c r="GVW112" s="181"/>
      <c r="GVX112" s="182"/>
      <c r="GVY112" s="181"/>
      <c r="GVZ112" s="182"/>
      <c r="GWA112" s="181"/>
      <c r="GWB112" s="182"/>
      <c r="GWC112" s="181"/>
      <c r="GWD112" s="182"/>
      <c r="GWE112" s="181"/>
      <c r="GWF112" s="182"/>
      <c r="GWG112" s="181"/>
      <c r="GWH112" s="182"/>
      <c r="GWI112" s="181"/>
      <c r="GWJ112" s="182"/>
      <c r="GWK112" s="181"/>
      <c r="GWL112" s="182"/>
      <c r="GWM112" s="181"/>
      <c r="GWN112" s="182"/>
      <c r="GWO112" s="181"/>
      <c r="GWP112" s="182"/>
      <c r="GWQ112" s="181"/>
      <c r="GWR112" s="182"/>
      <c r="GWS112" s="181"/>
      <c r="GWT112" s="182"/>
      <c r="GWU112" s="181"/>
      <c r="GWV112" s="182"/>
      <c r="GWW112" s="181"/>
      <c r="GWX112" s="182"/>
      <c r="GWY112" s="181"/>
      <c r="GWZ112" s="182"/>
      <c r="GXA112" s="181"/>
      <c r="GXB112" s="182"/>
      <c r="GXC112" s="181"/>
      <c r="GXD112" s="182"/>
      <c r="GXE112" s="181"/>
      <c r="GXF112" s="182"/>
      <c r="GXG112" s="181"/>
      <c r="GXH112" s="182"/>
      <c r="GXI112" s="181"/>
      <c r="GXJ112" s="182"/>
      <c r="GXK112" s="181"/>
      <c r="GXL112" s="182"/>
      <c r="GXM112" s="181"/>
      <c r="GXN112" s="182"/>
      <c r="GXO112" s="181"/>
      <c r="GXP112" s="182"/>
      <c r="GXQ112" s="181"/>
      <c r="GXR112" s="182"/>
      <c r="GXS112" s="181"/>
      <c r="GXT112" s="182"/>
      <c r="GXU112" s="181"/>
      <c r="GXV112" s="182"/>
      <c r="GXW112" s="181"/>
      <c r="GXX112" s="182"/>
      <c r="GXY112" s="181"/>
      <c r="GXZ112" s="182"/>
      <c r="GYA112" s="181"/>
      <c r="GYB112" s="182"/>
      <c r="GYC112" s="181"/>
      <c r="GYD112" s="182"/>
      <c r="GYE112" s="181"/>
      <c r="GYF112" s="182"/>
      <c r="GYG112" s="181"/>
      <c r="GYH112" s="182"/>
      <c r="GYI112" s="181"/>
      <c r="GYJ112" s="182"/>
      <c r="GYK112" s="181"/>
      <c r="GYL112" s="182"/>
      <c r="GYM112" s="181"/>
      <c r="GYN112" s="182"/>
      <c r="GYO112" s="181"/>
      <c r="GYP112" s="182"/>
      <c r="GYQ112" s="181"/>
      <c r="GYR112" s="182"/>
      <c r="GYS112" s="181"/>
      <c r="GYT112" s="182"/>
      <c r="GYU112" s="181"/>
      <c r="GYV112" s="182"/>
      <c r="GYW112" s="181"/>
      <c r="GYX112" s="182"/>
      <c r="GYY112" s="181"/>
      <c r="GYZ112" s="182"/>
      <c r="GZA112" s="181"/>
      <c r="GZB112" s="182"/>
      <c r="GZC112" s="181"/>
      <c r="GZD112" s="182"/>
      <c r="GZE112" s="181"/>
      <c r="GZF112" s="182"/>
      <c r="GZG112" s="181"/>
      <c r="GZH112" s="182"/>
      <c r="GZI112" s="181"/>
      <c r="GZJ112" s="182"/>
      <c r="GZK112" s="181"/>
      <c r="GZL112" s="182"/>
      <c r="GZM112" s="181"/>
      <c r="GZN112" s="182"/>
      <c r="GZO112" s="181"/>
      <c r="GZP112" s="182"/>
      <c r="GZQ112" s="181"/>
      <c r="GZR112" s="182"/>
      <c r="GZS112" s="181"/>
      <c r="GZT112" s="182"/>
      <c r="GZU112" s="181"/>
      <c r="GZV112" s="182"/>
      <c r="GZW112" s="181"/>
      <c r="GZX112" s="182"/>
      <c r="GZY112" s="181"/>
      <c r="GZZ112" s="182"/>
      <c r="HAA112" s="181"/>
      <c r="HAB112" s="182"/>
      <c r="HAC112" s="181"/>
      <c r="HAD112" s="182"/>
      <c r="HAE112" s="181"/>
      <c r="HAF112" s="182"/>
      <c r="HAG112" s="181"/>
      <c r="HAH112" s="182"/>
      <c r="HAI112" s="181"/>
      <c r="HAJ112" s="182"/>
      <c r="HAK112" s="181"/>
      <c r="HAL112" s="182"/>
      <c r="HAM112" s="181"/>
      <c r="HAN112" s="182"/>
      <c r="HAO112" s="181"/>
      <c r="HAP112" s="182"/>
      <c r="HAQ112" s="181"/>
      <c r="HAR112" s="182"/>
      <c r="HAS112" s="181"/>
      <c r="HAT112" s="182"/>
      <c r="HAU112" s="181"/>
      <c r="HAV112" s="182"/>
      <c r="HAW112" s="181"/>
      <c r="HAX112" s="182"/>
      <c r="HAY112" s="181"/>
      <c r="HAZ112" s="182"/>
      <c r="HBA112" s="181"/>
      <c r="HBB112" s="182"/>
      <c r="HBC112" s="181"/>
      <c r="HBD112" s="182"/>
      <c r="HBE112" s="181"/>
      <c r="HBF112" s="182"/>
      <c r="HBG112" s="181"/>
      <c r="HBH112" s="182"/>
      <c r="HBI112" s="181"/>
      <c r="HBJ112" s="182"/>
      <c r="HBK112" s="181"/>
      <c r="HBL112" s="182"/>
      <c r="HBM112" s="181"/>
      <c r="HBN112" s="182"/>
      <c r="HBO112" s="181"/>
      <c r="HBP112" s="182"/>
      <c r="HBQ112" s="181"/>
      <c r="HBR112" s="182"/>
      <c r="HBS112" s="181"/>
      <c r="HBT112" s="182"/>
      <c r="HBU112" s="181"/>
      <c r="HBV112" s="182"/>
      <c r="HBW112" s="181"/>
      <c r="HBX112" s="182"/>
      <c r="HBY112" s="181"/>
      <c r="HBZ112" s="182"/>
      <c r="HCA112" s="181"/>
      <c r="HCB112" s="182"/>
      <c r="HCC112" s="181"/>
      <c r="HCD112" s="182"/>
      <c r="HCE112" s="181"/>
      <c r="HCF112" s="182"/>
      <c r="HCG112" s="181"/>
      <c r="HCH112" s="182"/>
      <c r="HCI112" s="181"/>
      <c r="HCJ112" s="182"/>
      <c r="HCK112" s="181"/>
      <c r="HCL112" s="182"/>
      <c r="HCM112" s="181"/>
      <c r="HCN112" s="182"/>
      <c r="HCO112" s="181"/>
      <c r="HCP112" s="182"/>
      <c r="HCQ112" s="181"/>
      <c r="HCR112" s="182"/>
      <c r="HCS112" s="181"/>
      <c r="HCT112" s="182"/>
      <c r="HCU112" s="181"/>
      <c r="HCV112" s="182"/>
      <c r="HCW112" s="181"/>
      <c r="HCX112" s="182"/>
      <c r="HCY112" s="181"/>
      <c r="HCZ112" s="182"/>
      <c r="HDA112" s="181"/>
      <c r="HDB112" s="182"/>
      <c r="HDC112" s="181"/>
      <c r="HDD112" s="182"/>
      <c r="HDE112" s="181"/>
      <c r="HDF112" s="182"/>
      <c r="HDG112" s="181"/>
      <c r="HDH112" s="182"/>
      <c r="HDI112" s="181"/>
      <c r="HDJ112" s="182"/>
      <c r="HDK112" s="181"/>
      <c r="HDL112" s="182"/>
      <c r="HDM112" s="181"/>
      <c r="HDN112" s="182"/>
      <c r="HDO112" s="181"/>
      <c r="HDP112" s="182"/>
      <c r="HDQ112" s="181"/>
      <c r="HDR112" s="182"/>
      <c r="HDS112" s="181"/>
      <c r="HDT112" s="182"/>
      <c r="HDU112" s="181"/>
      <c r="HDV112" s="182"/>
      <c r="HDW112" s="181"/>
      <c r="HDX112" s="182"/>
      <c r="HDY112" s="181"/>
      <c r="HDZ112" s="182"/>
      <c r="HEA112" s="181"/>
      <c r="HEB112" s="182"/>
      <c r="HEC112" s="181"/>
      <c r="HED112" s="182"/>
      <c r="HEE112" s="181"/>
      <c r="HEF112" s="182"/>
      <c r="HEG112" s="181"/>
      <c r="HEH112" s="182"/>
      <c r="HEI112" s="181"/>
      <c r="HEJ112" s="182"/>
      <c r="HEK112" s="181"/>
      <c r="HEL112" s="182"/>
      <c r="HEM112" s="181"/>
      <c r="HEN112" s="182"/>
      <c r="HEO112" s="181"/>
      <c r="HEP112" s="182"/>
      <c r="HEQ112" s="181"/>
      <c r="HER112" s="182"/>
      <c r="HES112" s="181"/>
      <c r="HET112" s="182"/>
      <c r="HEU112" s="181"/>
      <c r="HEV112" s="182"/>
      <c r="HEW112" s="181"/>
      <c r="HEX112" s="182"/>
      <c r="HEY112" s="181"/>
      <c r="HEZ112" s="182"/>
      <c r="HFA112" s="181"/>
      <c r="HFB112" s="182"/>
      <c r="HFC112" s="181"/>
      <c r="HFD112" s="182"/>
      <c r="HFE112" s="181"/>
      <c r="HFF112" s="182"/>
      <c r="HFG112" s="181"/>
      <c r="HFH112" s="182"/>
      <c r="HFI112" s="181"/>
      <c r="HFJ112" s="182"/>
      <c r="HFK112" s="181"/>
      <c r="HFL112" s="182"/>
      <c r="HFM112" s="181"/>
      <c r="HFN112" s="182"/>
      <c r="HFO112" s="181"/>
      <c r="HFP112" s="182"/>
      <c r="HFQ112" s="181"/>
      <c r="HFR112" s="182"/>
      <c r="HFS112" s="181"/>
      <c r="HFT112" s="182"/>
      <c r="HFU112" s="181"/>
      <c r="HFV112" s="182"/>
      <c r="HFW112" s="181"/>
      <c r="HFX112" s="182"/>
      <c r="HFY112" s="181"/>
      <c r="HFZ112" s="182"/>
      <c r="HGA112" s="181"/>
      <c r="HGB112" s="182"/>
      <c r="HGC112" s="181"/>
      <c r="HGD112" s="182"/>
      <c r="HGE112" s="181"/>
      <c r="HGF112" s="182"/>
      <c r="HGG112" s="181"/>
      <c r="HGH112" s="182"/>
      <c r="HGI112" s="181"/>
      <c r="HGJ112" s="182"/>
      <c r="HGK112" s="181"/>
      <c r="HGL112" s="182"/>
      <c r="HGM112" s="181"/>
      <c r="HGN112" s="182"/>
      <c r="HGO112" s="181"/>
      <c r="HGP112" s="182"/>
      <c r="HGQ112" s="181"/>
      <c r="HGR112" s="182"/>
      <c r="HGS112" s="181"/>
      <c r="HGT112" s="182"/>
      <c r="HGU112" s="181"/>
      <c r="HGV112" s="182"/>
      <c r="HGW112" s="181"/>
      <c r="HGX112" s="182"/>
      <c r="HGY112" s="181"/>
      <c r="HGZ112" s="182"/>
      <c r="HHA112" s="181"/>
      <c r="HHB112" s="182"/>
      <c r="HHC112" s="181"/>
      <c r="HHD112" s="182"/>
      <c r="HHE112" s="181"/>
      <c r="HHF112" s="182"/>
      <c r="HHG112" s="181"/>
      <c r="HHH112" s="182"/>
      <c r="HHI112" s="181"/>
      <c r="HHJ112" s="182"/>
      <c r="HHK112" s="181"/>
      <c r="HHL112" s="182"/>
      <c r="HHM112" s="181"/>
      <c r="HHN112" s="182"/>
      <c r="HHO112" s="181"/>
      <c r="HHP112" s="182"/>
      <c r="HHQ112" s="181"/>
      <c r="HHR112" s="182"/>
      <c r="HHS112" s="181"/>
      <c r="HHT112" s="182"/>
      <c r="HHU112" s="181"/>
      <c r="HHV112" s="182"/>
      <c r="HHW112" s="181"/>
      <c r="HHX112" s="182"/>
      <c r="HHY112" s="181"/>
      <c r="HHZ112" s="182"/>
      <c r="HIA112" s="181"/>
      <c r="HIB112" s="182"/>
      <c r="HIC112" s="181"/>
      <c r="HID112" s="182"/>
      <c r="HIE112" s="181"/>
      <c r="HIF112" s="182"/>
      <c r="HIG112" s="181"/>
      <c r="HIH112" s="182"/>
      <c r="HII112" s="181"/>
      <c r="HIJ112" s="182"/>
      <c r="HIK112" s="181"/>
      <c r="HIL112" s="182"/>
      <c r="HIM112" s="181"/>
      <c r="HIN112" s="182"/>
      <c r="HIO112" s="181"/>
      <c r="HIP112" s="182"/>
      <c r="HIQ112" s="181"/>
      <c r="HIR112" s="182"/>
      <c r="HIS112" s="181"/>
      <c r="HIT112" s="182"/>
      <c r="HIU112" s="181"/>
      <c r="HIV112" s="182"/>
      <c r="HIW112" s="181"/>
      <c r="HIX112" s="182"/>
      <c r="HIY112" s="181"/>
      <c r="HIZ112" s="182"/>
      <c r="HJA112" s="181"/>
      <c r="HJB112" s="182"/>
      <c r="HJC112" s="181"/>
      <c r="HJD112" s="182"/>
      <c r="HJE112" s="181"/>
      <c r="HJF112" s="182"/>
      <c r="HJG112" s="181"/>
      <c r="HJH112" s="182"/>
      <c r="HJI112" s="181"/>
      <c r="HJJ112" s="182"/>
      <c r="HJK112" s="181"/>
      <c r="HJL112" s="182"/>
      <c r="HJM112" s="181"/>
      <c r="HJN112" s="182"/>
      <c r="HJO112" s="181"/>
      <c r="HJP112" s="182"/>
      <c r="HJQ112" s="181"/>
      <c r="HJR112" s="182"/>
      <c r="HJS112" s="181"/>
      <c r="HJT112" s="182"/>
      <c r="HJU112" s="181"/>
      <c r="HJV112" s="182"/>
      <c r="HJW112" s="181"/>
      <c r="HJX112" s="182"/>
      <c r="HJY112" s="181"/>
      <c r="HJZ112" s="182"/>
      <c r="HKA112" s="181"/>
      <c r="HKB112" s="182"/>
      <c r="HKC112" s="181"/>
      <c r="HKD112" s="182"/>
      <c r="HKE112" s="181"/>
      <c r="HKF112" s="182"/>
      <c r="HKG112" s="181"/>
      <c r="HKH112" s="182"/>
      <c r="HKI112" s="181"/>
      <c r="HKJ112" s="182"/>
      <c r="HKK112" s="181"/>
      <c r="HKL112" s="182"/>
      <c r="HKM112" s="181"/>
      <c r="HKN112" s="182"/>
      <c r="HKO112" s="181"/>
      <c r="HKP112" s="182"/>
      <c r="HKQ112" s="181"/>
      <c r="HKR112" s="182"/>
      <c r="HKS112" s="181"/>
      <c r="HKT112" s="182"/>
      <c r="HKU112" s="181"/>
      <c r="HKV112" s="182"/>
      <c r="HKW112" s="181"/>
      <c r="HKX112" s="182"/>
      <c r="HKY112" s="181"/>
      <c r="HKZ112" s="182"/>
      <c r="HLA112" s="181"/>
      <c r="HLB112" s="182"/>
      <c r="HLC112" s="181"/>
      <c r="HLD112" s="182"/>
      <c r="HLE112" s="181"/>
      <c r="HLF112" s="182"/>
      <c r="HLG112" s="181"/>
      <c r="HLH112" s="182"/>
      <c r="HLI112" s="181"/>
      <c r="HLJ112" s="182"/>
      <c r="HLK112" s="181"/>
      <c r="HLL112" s="182"/>
      <c r="HLM112" s="181"/>
      <c r="HLN112" s="182"/>
      <c r="HLO112" s="181"/>
      <c r="HLP112" s="182"/>
      <c r="HLQ112" s="181"/>
      <c r="HLR112" s="182"/>
      <c r="HLS112" s="181"/>
      <c r="HLT112" s="182"/>
      <c r="HLU112" s="181"/>
      <c r="HLV112" s="182"/>
      <c r="HLW112" s="181"/>
      <c r="HLX112" s="182"/>
      <c r="HLY112" s="181"/>
      <c r="HLZ112" s="182"/>
      <c r="HMA112" s="181"/>
      <c r="HMB112" s="182"/>
      <c r="HMC112" s="181"/>
      <c r="HMD112" s="182"/>
      <c r="HME112" s="181"/>
      <c r="HMF112" s="182"/>
      <c r="HMG112" s="181"/>
      <c r="HMH112" s="182"/>
      <c r="HMI112" s="181"/>
      <c r="HMJ112" s="182"/>
      <c r="HMK112" s="181"/>
      <c r="HML112" s="182"/>
      <c r="HMM112" s="181"/>
      <c r="HMN112" s="182"/>
      <c r="HMO112" s="181"/>
      <c r="HMP112" s="182"/>
      <c r="HMQ112" s="181"/>
      <c r="HMR112" s="182"/>
      <c r="HMS112" s="181"/>
      <c r="HMT112" s="182"/>
      <c r="HMU112" s="181"/>
      <c r="HMV112" s="182"/>
      <c r="HMW112" s="181"/>
      <c r="HMX112" s="182"/>
      <c r="HMY112" s="181"/>
      <c r="HMZ112" s="182"/>
      <c r="HNA112" s="181"/>
      <c r="HNB112" s="182"/>
      <c r="HNC112" s="181"/>
      <c r="HND112" s="182"/>
      <c r="HNE112" s="181"/>
      <c r="HNF112" s="182"/>
      <c r="HNG112" s="181"/>
      <c r="HNH112" s="182"/>
      <c r="HNI112" s="181"/>
      <c r="HNJ112" s="182"/>
      <c r="HNK112" s="181"/>
      <c r="HNL112" s="182"/>
      <c r="HNM112" s="181"/>
      <c r="HNN112" s="182"/>
      <c r="HNO112" s="181"/>
      <c r="HNP112" s="182"/>
      <c r="HNQ112" s="181"/>
      <c r="HNR112" s="182"/>
      <c r="HNS112" s="181"/>
      <c r="HNT112" s="182"/>
      <c r="HNU112" s="181"/>
      <c r="HNV112" s="182"/>
      <c r="HNW112" s="181"/>
      <c r="HNX112" s="182"/>
      <c r="HNY112" s="181"/>
      <c r="HNZ112" s="182"/>
      <c r="HOA112" s="181"/>
      <c r="HOB112" s="182"/>
      <c r="HOC112" s="181"/>
      <c r="HOD112" s="182"/>
      <c r="HOE112" s="181"/>
      <c r="HOF112" s="182"/>
      <c r="HOG112" s="181"/>
      <c r="HOH112" s="182"/>
      <c r="HOI112" s="181"/>
      <c r="HOJ112" s="182"/>
      <c r="HOK112" s="181"/>
      <c r="HOL112" s="182"/>
      <c r="HOM112" s="181"/>
      <c r="HON112" s="182"/>
      <c r="HOO112" s="181"/>
      <c r="HOP112" s="182"/>
      <c r="HOQ112" s="181"/>
      <c r="HOR112" s="182"/>
      <c r="HOS112" s="181"/>
      <c r="HOT112" s="182"/>
      <c r="HOU112" s="181"/>
      <c r="HOV112" s="182"/>
      <c r="HOW112" s="181"/>
      <c r="HOX112" s="182"/>
      <c r="HOY112" s="181"/>
      <c r="HOZ112" s="182"/>
      <c r="HPA112" s="181"/>
      <c r="HPB112" s="182"/>
      <c r="HPC112" s="181"/>
      <c r="HPD112" s="182"/>
      <c r="HPE112" s="181"/>
      <c r="HPF112" s="182"/>
      <c r="HPG112" s="181"/>
      <c r="HPH112" s="182"/>
      <c r="HPI112" s="181"/>
      <c r="HPJ112" s="182"/>
      <c r="HPK112" s="181"/>
      <c r="HPL112" s="182"/>
      <c r="HPM112" s="181"/>
      <c r="HPN112" s="182"/>
      <c r="HPO112" s="181"/>
      <c r="HPP112" s="182"/>
      <c r="HPQ112" s="181"/>
      <c r="HPR112" s="182"/>
      <c r="HPS112" s="181"/>
      <c r="HPT112" s="182"/>
      <c r="HPU112" s="181"/>
      <c r="HPV112" s="182"/>
      <c r="HPW112" s="181"/>
      <c r="HPX112" s="182"/>
      <c r="HPY112" s="181"/>
      <c r="HPZ112" s="182"/>
      <c r="HQA112" s="181"/>
      <c r="HQB112" s="182"/>
      <c r="HQC112" s="181"/>
      <c r="HQD112" s="182"/>
      <c r="HQE112" s="181"/>
      <c r="HQF112" s="182"/>
      <c r="HQG112" s="181"/>
      <c r="HQH112" s="182"/>
      <c r="HQI112" s="181"/>
      <c r="HQJ112" s="182"/>
      <c r="HQK112" s="181"/>
      <c r="HQL112" s="182"/>
      <c r="HQM112" s="181"/>
      <c r="HQN112" s="182"/>
      <c r="HQO112" s="181"/>
      <c r="HQP112" s="182"/>
      <c r="HQQ112" s="181"/>
      <c r="HQR112" s="182"/>
      <c r="HQS112" s="181"/>
      <c r="HQT112" s="182"/>
      <c r="HQU112" s="181"/>
      <c r="HQV112" s="182"/>
      <c r="HQW112" s="181"/>
      <c r="HQX112" s="182"/>
      <c r="HQY112" s="181"/>
      <c r="HQZ112" s="182"/>
      <c r="HRA112" s="181"/>
      <c r="HRB112" s="182"/>
      <c r="HRC112" s="181"/>
      <c r="HRD112" s="182"/>
      <c r="HRE112" s="181"/>
      <c r="HRF112" s="182"/>
      <c r="HRG112" s="181"/>
      <c r="HRH112" s="182"/>
      <c r="HRI112" s="181"/>
      <c r="HRJ112" s="182"/>
      <c r="HRK112" s="181"/>
      <c r="HRL112" s="182"/>
      <c r="HRM112" s="181"/>
      <c r="HRN112" s="182"/>
      <c r="HRO112" s="181"/>
      <c r="HRP112" s="182"/>
      <c r="HRQ112" s="181"/>
      <c r="HRR112" s="182"/>
      <c r="HRS112" s="181"/>
      <c r="HRT112" s="182"/>
      <c r="HRU112" s="181"/>
      <c r="HRV112" s="182"/>
      <c r="HRW112" s="181"/>
      <c r="HRX112" s="182"/>
      <c r="HRY112" s="181"/>
      <c r="HRZ112" s="182"/>
      <c r="HSA112" s="181"/>
      <c r="HSB112" s="182"/>
      <c r="HSC112" s="181"/>
      <c r="HSD112" s="182"/>
      <c r="HSE112" s="181"/>
      <c r="HSF112" s="182"/>
      <c r="HSG112" s="181"/>
      <c r="HSH112" s="182"/>
      <c r="HSI112" s="181"/>
      <c r="HSJ112" s="182"/>
      <c r="HSK112" s="181"/>
      <c r="HSL112" s="182"/>
      <c r="HSM112" s="181"/>
      <c r="HSN112" s="182"/>
      <c r="HSO112" s="181"/>
      <c r="HSP112" s="182"/>
      <c r="HSQ112" s="181"/>
      <c r="HSR112" s="182"/>
      <c r="HSS112" s="181"/>
      <c r="HST112" s="182"/>
      <c r="HSU112" s="181"/>
      <c r="HSV112" s="182"/>
      <c r="HSW112" s="181"/>
      <c r="HSX112" s="182"/>
      <c r="HSY112" s="181"/>
      <c r="HSZ112" s="182"/>
      <c r="HTA112" s="181"/>
      <c r="HTB112" s="182"/>
      <c r="HTC112" s="181"/>
      <c r="HTD112" s="182"/>
      <c r="HTE112" s="181"/>
      <c r="HTF112" s="182"/>
      <c r="HTG112" s="181"/>
      <c r="HTH112" s="182"/>
      <c r="HTI112" s="181"/>
      <c r="HTJ112" s="182"/>
      <c r="HTK112" s="181"/>
      <c r="HTL112" s="182"/>
      <c r="HTM112" s="181"/>
      <c r="HTN112" s="182"/>
      <c r="HTO112" s="181"/>
      <c r="HTP112" s="182"/>
      <c r="HTQ112" s="181"/>
      <c r="HTR112" s="182"/>
      <c r="HTS112" s="181"/>
      <c r="HTT112" s="182"/>
      <c r="HTU112" s="181"/>
      <c r="HTV112" s="182"/>
      <c r="HTW112" s="181"/>
      <c r="HTX112" s="182"/>
      <c r="HTY112" s="181"/>
      <c r="HTZ112" s="182"/>
      <c r="HUA112" s="181"/>
      <c r="HUB112" s="182"/>
      <c r="HUC112" s="181"/>
      <c r="HUD112" s="182"/>
      <c r="HUE112" s="181"/>
      <c r="HUF112" s="182"/>
      <c r="HUG112" s="181"/>
      <c r="HUH112" s="182"/>
      <c r="HUI112" s="181"/>
      <c r="HUJ112" s="182"/>
      <c r="HUK112" s="181"/>
      <c r="HUL112" s="182"/>
      <c r="HUM112" s="181"/>
      <c r="HUN112" s="182"/>
      <c r="HUO112" s="181"/>
      <c r="HUP112" s="182"/>
      <c r="HUQ112" s="181"/>
      <c r="HUR112" s="182"/>
      <c r="HUS112" s="181"/>
      <c r="HUT112" s="182"/>
      <c r="HUU112" s="181"/>
      <c r="HUV112" s="182"/>
      <c r="HUW112" s="181"/>
      <c r="HUX112" s="182"/>
      <c r="HUY112" s="181"/>
      <c r="HUZ112" s="182"/>
      <c r="HVA112" s="181"/>
      <c r="HVB112" s="182"/>
      <c r="HVC112" s="181"/>
      <c r="HVD112" s="182"/>
      <c r="HVE112" s="181"/>
      <c r="HVF112" s="182"/>
      <c r="HVG112" s="181"/>
      <c r="HVH112" s="182"/>
      <c r="HVI112" s="181"/>
      <c r="HVJ112" s="182"/>
      <c r="HVK112" s="181"/>
      <c r="HVL112" s="182"/>
      <c r="HVM112" s="181"/>
      <c r="HVN112" s="182"/>
      <c r="HVO112" s="181"/>
      <c r="HVP112" s="182"/>
      <c r="HVQ112" s="181"/>
      <c r="HVR112" s="182"/>
      <c r="HVS112" s="181"/>
      <c r="HVT112" s="182"/>
      <c r="HVU112" s="181"/>
      <c r="HVV112" s="182"/>
      <c r="HVW112" s="181"/>
      <c r="HVX112" s="182"/>
      <c r="HVY112" s="181"/>
      <c r="HVZ112" s="182"/>
      <c r="HWA112" s="181"/>
      <c r="HWB112" s="182"/>
      <c r="HWC112" s="181"/>
      <c r="HWD112" s="182"/>
      <c r="HWE112" s="181"/>
      <c r="HWF112" s="182"/>
      <c r="HWG112" s="181"/>
      <c r="HWH112" s="182"/>
      <c r="HWI112" s="181"/>
      <c r="HWJ112" s="182"/>
      <c r="HWK112" s="181"/>
      <c r="HWL112" s="182"/>
      <c r="HWM112" s="181"/>
      <c r="HWN112" s="182"/>
      <c r="HWO112" s="181"/>
      <c r="HWP112" s="182"/>
      <c r="HWQ112" s="181"/>
      <c r="HWR112" s="182"/>
      <c r="HWS112" s="181"/>
      <c r="HWT112" s="182"/>
      <c r="HWU112" s="181"/>
      <c r="HWV112" s="182"/>
      <c r="HWW112" s="181"/>
      <c r="HWX112" s="182"/>
      <c r="HWY112" s="181"/>
      <c r="HWZ112" s="182"/>
      <c r="HXA112" s="181"/>
      <c r="HXB112" s="182"/>
      <c r="HXC112" s="181"/>
      <c r="HXD112" s="182"/>
      <c r="HXE112" s="181"/>
      <c r="HXF112" s="182"/>
      <c r="HXG112" s="181"/>
      <c r="HXH112" s="182"/>
      <c r="HXI112" s="181"/>
      <c r="HXJ112" s="182"/>
      <c r="HXK112" s="181"/>
      <c r="HXL112" s="182"/>
      <c r="HXM112" s="181"/>
      <c r="HXN112" s="182"/>
      <c r="HXO112" s="181"/>
      <c r="HXP112" s="182"/>
      <c r="HXQ112" s="181"/>
      <c r="HXR112" s="182"/>
      <c r="HXS112" s="181"/>
      <c r="HXT112" s="182"/>
      <c r="HXU112" s="181"/>
      <c r="HXV112" s="182"/>
      <c r="HXW112" s="181"/>
      <c r="HXX112" s="182"/>
      <c r="HXY112" s="181"/>
      <c r="HXZ112" s="182"/>
      <c r="HYA112" s="181"/>
      <c r="HYB112" s="182"/>
      <c r="HYC112" s="181"/>
      <c r="HYD112" s="182"/>
      <c r="HYE112" s="181"/>
      <c r="HYF112" s="182"/>
      <c r="HYG112" s="181"/>
      <c r="HYH112" s="182"/>
      <c r="HYI112" s="181"/>
      <c r="HYJ112" s="182"/>
      <c r="HYK112" s="181"/>
      <c r="HYL112" s="182"/>
      <c r="HYM112" s="181"/>
      <c r="HYN112" s="182"/>
      <c r="HYO112" s="181"/>
      <c r="HYP112" s="182"/>
      <c r="HYQ112" s="181"/>
      <c r="HYR112" s="182"/>
      <c r="HYS112" s="181"/>
      <c r="HYT112" s="182"/>
      <c r="HYU112" s="181"/>
      <c r="HYV112" s="182"/>
      <c r="HYW112" s="181"/>
      <c r="HYX112" s="182"/>
      <c r="HYY112" s="181"/>
      <c r="HYZ112" s="182"/>
      <c r="HZA112" s="181"/>
      <c r="HZB112" s="182"/>
      <c r="HZC112" s="181"/>
      <c r="HZD112" s="182"/>
      <c r="HZE112" s="181"/>
      <c r="HZF112" s="182"/>
      <c r="HZG112" s="181"/>
      <c r="HZH112" s="182"/>
      <c r="HZI112" s="181"/>
      <c r="HZJ112" s="182"/>
      <c r="HZK112" s="181"/>
      <c r="HZL112" s="182"/>
      <c r="HZM112" s="181"/>
      <c r="HZN112" s="182"/>
      <c r="HZO112" s="181"/>
      <c r="HZP112" s="182"/>
      <c r="HZQ112" s="181"/>
      <c r="HZR112" s="182"/>
      <c r="HZS112" s="181"/>
      <c r="HZT112" s="182"/>
      <c r="HZU112" s="181"/>
      <c r="HZV112" s="182"/>
      <c r="HZW112" s="181"/>
      <c r="HZX112" s="182"/>
      <c r="HZY112" s="181"/>
      <c r="HZZ112" s="182"/>
      <c r="IAA112" s="181"/>
      <c r="IAB112" s="182"/>
      <c r="IAC112" s="181"/>
      <c r="IAD112" s="182"/>
      <c r="IAE112" s="181"/>
      <c r="IAF112" s="182"/>
      <c r="IAG112" s="181"/>
      <c r="IAH112" s="182"/>
      <c r="IAI112" s="181"/>
      <c r="IAJ112" s="182"/>
      <c r="IAK112" s="181"/>
      <c r="IAL112" s="182"/>
      <c r="IAM112" s="181"/>
      <c r="IAN112" s="182"/>
      <c r="IAO112" s="181"/>
      <c r="IAP112" s="182"/>
      <c r="IAQ112" s="181"/>
      <c r="IAR112" s="182"/>
      <c r="IAS112" s="181"/>
      <c r="IAT112" s="182"/>
      <c r="IAU112" s="181"/>
      <c r="IAV112" s="182"/>
      <c r="IAW112" s="181"/>
      <c r="IAX112" s="182"/>
      <c r="IAY112" s="181"/>
      <c r="IAZ112" s="182"/>
      <c r="IBA112" s="181"/>
      <c r="IBB112" s="182"/>
      <c r="IBC112" s="181"/>
      <c r="IBD112" s="182"/>
      <c r="IBE112" s="181"/>
      <c r="IBF112" s="182"/>
      <c r="IBG112" s="181"/>
      <c r="IBH112" s="182"/>
      <c r="IBI112" s="181"/>
      <c r="IBJ112" s="182"/>
      <c r="IBK112" s="181"/>
      <c r="IBL112" s="182"/>
      <c r="IBM112" s="181"/>
      <c r="IBN112" s="182"/>
      <c r="IBO112" s="181"/>
      <c r="IBP112" s="182"/>
      <c r="IBQ112" s="181"/>
      <c r="IBR112" s="182"/>
      <c r="IBS112" s="181"/>
      <c r="IBT112" s="182"/>
      <c r="IBU112" s="181"/>
      <c r="IBV112" s="182"/>
      <c r="IBW112" s="181"/>
      <c r="IBX112" s="182"/>
      <c r="IBY112" s="181"/>
      <c r="IBZ112" s="182"/>
      <c r="ICA112" s="181"/>
      <c r="ICB112" s="182"/>
      <c r="ICC112" s="181"/>
      <c r="ICD112" s="182"/>
      <c r="ICE112" s="181"/>
      <c r="ICF112" s="182"/>
      <c r="ICG112" s="181"/>
      <c r="ICH112" s="182"/>
      <c r="ICI112" s="181"/>
      <c r="ICJ112" s="182"/>
      <c r="ICK112" s="181"/>
      <c r="ICL112" s="182"/>
      <c r="ICM112" s="181"/>
      <c r="ICN112" s="182"/>
      <c r="ICO112" s="181"/>
      <c r="ICP112" s="182"/>
      <c r="ICQ112" s="181"/>
      <c r="ICR112" s="182"/>
      <c r="ICS112" s="181"/>
      <c r="ICT112" s="182"/>
      <c r="ICU112" s="181"/>
      <c r="ICV112" s="182"/>
      <c r="ICW112" s="181"/>
      <c r="ICX112" s="182"/>
      <c r="ICY112" s="181"/>
      <c r="ICZ112" s="182"/>
      <c r="IDA112" s="181"/>
      <c r="IDB112" s="182"/>
      <c r="IDC112" s="181"/>
      <c r="IDD112" s="182"/>
      <c r="IDE112" s="181"/>
      <c r="IDF112" s="182"/>
      <c r="IDG112" s="181"/>
      <c r="IDH112" s="182"/>
      <c r="IDI112" s="181"/>
      <c r="IDJ112" s="182"/>
      <c r="IDK112" s="181"/>
      <c r="IDL112" s="182"/>
      <c r="IDM112" s="181"/>
      <c r="IDN112" s="182"/>
      <c r="IDO112" s="181"/>
      <c r="IDP112" s="182"/>
      <c r="IDQ112" s="181"/>
      <c r="IDR112" s="182"/>
      <c r="IDS112" s="181"/>
      <c r="IDT112" s="182"/>
      <c r="IDU112" s="181"/>
      <c r="IDV112" s="182"/>
      <c r="IDW112" s="181"/>
      <c r="IDX112" s="182"/>
      <c r="IDY112" s="181"/>
      <c r="IDZ112" s="182"/>
      <c r="IEA112" s="181"/>
      <c r="IEB112" s="182"/>
      <c r="IEC112" s="181"/>
      <c r="IED112" s="182"/>
      <c r="IEE112" s="181"/>
      <c r="IEF112" s="182"/>
      <c r="IEG112" s="181"/>
      <c r="IEH112" s="182"/>
      <c r="IEI112" s="181"/>
      <c r="IEJ112" s="182"/>
      <c r="IEK112" s="181"/>
      <c r="IEL112" s="182"/>
      <c r="IEM112" s="181"/>
      <c r="IEN112" s="182"/>
      <c r="IEO112" s="181"/>
      <c r="IEP112" s="182"/>
      <c r="IEQ112" s="181"/>
      <c r="IER112" s="182"/>
      <c r="IES112" s="181"/>
      <c r="IET112" s="182"/>
      <c r="IEU112" s="181"/>
      <c r="IEV112" s="182"/>
      <c r="IEW112" s="181"/>
      <c r="IEX112" s="182"/>
      <c r="IEY112" s="181"/>
      <c r="IEZ112" s="182"/>
      <c r="IFA112" s="181"/>
      <c r="IFB112" s="182"/>
      <c r="IFC112" s="181"/>
      <c r="IFD112" s="182"/>
      <c r="IFE112" s="181"/>
      <c r="IFF112" s="182"/>
      <c r="IFG112" s="181"/>
      <c r="IFH112" s="182"/>
      <c r="IFI112" s="181"/>
      <c r="IFJ112" s="182"/>
      <c r="IFK112" s="181"/>
      <c r="IFL112" s="182"/>
      <c r="IFM112" s="181"/>
      <c r="IFN112" s="182"/>
      <c r="IFO112" s="181"/>
      <c r="IFP112" s="182"/>
      <c r="IFQ112" s="181"/>
      <c r="IFR112" s="182"/>
      <c r="IFS112" s="181"/>
      <c r="IFT112" s="182"/>
      <c r="IFU112" s="181"/>
      <c r="IFV112" s="182"/>
      <c r="IFW112" s="181"/>
      <c r="IFX112" s="182"/>
      <c r="IFY112" s="181"/>
      <c r="IFZ112" s="182"/>
      <c r="IGA112" s="181"/>
      <c r="IGB112" s="182"/>
      <c r="IGC112" s="181"/>
      <c r="IGD112" s="182"/>
      <c r="IGE112" s="181"/>
      <c r="IGF112" s="182"/>
      <c r="IGG112" s="181"/>
      <c r="IGH112" s="182"/>
      <c r="IGI112" s="181"/>
      <c r="IGJ112" s="182"/>
      <c r="IGK112" s="181"/>
      <c r="IGL112" s="182"/>
      <c r="IGM112" s="181"/>
      <c r="IGN112" s="182"/>
      <c r="IGO112" s="181"/>
      <c r="IGP112" s="182"/>
      <c r="IGQ112" s="181"/>
      <c r="IGR112" s="182"/>
      <c r="IGS112" s="181"/>
      <c r="IGT112" s="182"/>
      <c r="IGU112" s="181"/>
      <c r="IGV112" s="182"/>
      <c r="IGW112" s="181"/>
      <c r="IGX112" s="182"/>
      <c r="IGY112" s="181"/>
      <c r="IGZ112" s="182"/>
      <c r="IHA112" s="181"/>
      <c r="IHB112" s="182"/>
      <c r="IHC112" s="181"/>
      <c r="IHD112" s="182"/>
      <c r="IHE112" s="181"/>
      <c r="IHF112" s="182"/>
      <c r="IHG112" s="181"/>
      <c r="IHH112" s="182"/>
      <c r="IHI112" s="181"/>
      <c r="IHJ112" s="182"/>
      <c r="IHK112" s="181"/>
      <c r="IHL112" s="182"/>
      <c r="IHM112" s="181"/>
      <c r="IHN112" s="182"/>
      <c r="IHO112" s="181"/>
      <c r="IHP112" s="182"/>
      <c r="IHQ112" s="181"/>
      <c r="IHR112" s="182"/>
      <c r="IHS112" s="181"/>
      <c r="IHT112" s="182"/>
      <c r="IHU112" s="181"/>
      <c r="IHV112" s="182"/>
      <c r="IHW112" s="181"/>
      <c r="IHX112" s="182"/>
      <c r="IHY112" s="181"/>
      <c r="IHZ112" s="182"/>
      <c r="IIA112" s="181"/>
      <c r="IIB112" s="182"/>
      <c r="IIC112" s="181"/>
      <c r="IID112" s="182"/>
      <c r="IIE112" s="181"/>
      <c r="IIF112" s="182"/>
      <c r="IIG112" s="181"/>
      <c r="IIH112" s="182"/>
      <c r="III112" s="181"/>
      <c r="IIJ112" s="182"/>
      <c r="IIK112" s="181"/>
      <c r="IIL112" s="182"/>
      <c r="IIM112" s="181"/>
      <c r="IIN112" s="182"/>
      <c r="IIO112" s="181"/>
      <c r="IIP112" s="182"/>
      <c r="IIQ112" s="181"/>
      <c r="IIR112" s="182"/>
      <c r="IIS112" s="181"/>
      <c r="IIT112" s="182"/>
      <c r="IIU112" s="181"/>
      <c r="IIV112" s="182"/>
      <c r="IIW112" s="181"/>
      <c r="IIX112" s="182"/>
      <c r="IIY112" s="181"/>
      <c r="IIZ112" s="182"/>
      <c r="IJA112" s="181"/>
      <c r="IJB112" s="182"/>
      <c r="IJC112" s="181"/>
      <c r="IJD112" s="182"/>
      <c r="IJE112" s="181"/>
      <c r="IJF112" s="182"/>
      <c r="IJG112" s="181"/>
      <c r="IJH112" s="182"/>
      <c r="IJI112" s="181"/>
      <c r="IJJ112" s="182"/>
      <c r="IJK112" s="181"/>
      <c r="IJL112" s="182"/>
      <c r="IJM112" s="181"/>
      <c r="IJN112" s="182"/>
      <c r="IJO112" s="181"/>
      <c r="IJP112" s="182"/>
      <c r="IJQ112" s="181"/>
      <c r="IJR112" s="182"/>
      <c r="IJS112" s="181"/>
      <c r="IJT112" s="182"/>
      <c r="IJU112" s="181"/>
      <c r="IJV112" s="182"/>
      <c r="IJW112" s="181"/>
      <c r="IJX112" s="182"/>
      <c r="IJY112" s="181"/>
      <c r="IJZ112" s="182"/>
      <c r="IKA112" s="181"/>
      <c r="IKB112" s="182"/>
      <c r="IKC112" s="181"/>
      <c r="IKD112" s="182"/>
      <c r="IKE112" s="181"/>
      <c r="IKF112" s="182"/>
      <c r="IKG112" s="181"/>
      <c r="IKH112" s="182"/>
      <c r="IKI112" s="181"/>
      <c r="IKJ112" s="182"/>
      <c r="IKK112" s="181"/>
      <c r="IKL112" s="182"/>
      <c r="IKM112" s="181"/>
      <c r="IKN112" s="182"/>
      <c r="IKO112" s="181"/>
      <c r="IKP112" s="182"/>
      <c r="IKQ112" s="181"/>
      <c r="IKR112" s="182"/>
      <c r="IKS112" s="181"/>
      <c r="IKT112" s="182"/>
      <c r="IKU112" s="181"/>
      <c r="IKV112" s="182"/>
      <c r="IKW112" s="181"/>
      <c r="IKX112" s="182"/>
      <c r="IKY112" s="181"/>
      <c r="IKZ112" s="182"/>
      <c r="ILA112" s="181"/>
      <c r="ILB112" s="182"/>
      <c r="ILC112" s="181"/>
      <c r="ILD112" s="182"/>
      <c r="ILE112" s="181"/>
      <c r="ILF112" s="182"/>
      <c r="ILG112" s="181"/>
      <c r="ILH112" s="182"/>
      <c r="ILI112" s="181"/>
      <c r="ILJ112" s="182"/>
      <c r="ILK112" s="181"/>
      <c r="ILL112" s="182"/>
      <c r="ILM112" s="181"/>
      <c r="ILN112" s="182"/>
      <c r="ILO112" s="181"/>
      <c r="ILP112" s="182"/>
      <c r="ILQ112" s="181"/>
      <c r="ILR112" s="182"/>
      <c r="ILS112" s="181"/>
      <c r="ILT112" s="182"/>
      <c r="ILU112" s="181"/>
      <c r="ILV112" s="182"/>
      <c r="ILW112" s="181"/>
      <c r="ILX112" s="182"/>
      <c r="ILY112" s="181"/>
      <c r="ILZ112" s="182"/>
      <c r="IMA112" s="181"/>
      <c r="IMB112" s="182"/>
      <c r="IMC112" s="181"/>
      <c r="IMD112" s="182"/>
      <c r="IME112" s="181"/>
      <c r="IMF112" s="182"/>
      <c r="IMG112" s="181"/>
      <c r="IMH112" s="182"/>
      <c r="IMI112" s="181"/>
      <c r="IMJ112" s="182"/>
      <c r="IMK112" s="181"/>
      <c r="IML112" s="182"/>
      <c r="IMM112" s="181"/>
      <c r="IMN112" s="182"/>
      <c r="IMO112" s="181"/>
      <c r="IMP112" s="182"/>
      <c r="IMQ112" s="181"/>
      <c r="IMR112" s="182"/>
      <c r="IMS112" s="181"/>
      <c r="IMT112" s="182"/>
      <c r="IMU112" s="181"/>
      <c r="IMV112" s="182"/>
      <c r="IMW112" s="181"/>
      <c r="IMX112" s="182"/>
      <c r="IMY112" s="181"/>
      <c r="IMZ112" s="182"/>
      <c r="INA112" s="181"/>
      <c r="INB112" s="182"/>
      <c r="INC112" s="181"/>
      <c r="IND112" s="182"/>
      <c r="INE112" s="181"/>
      <c r="INF112" s="182"/>
      <c r="ING112" s="181"/>
      <c r="INH112" s="182"/>
      <c r="INI112" s="181"/>
      <c r="INJ112" s="182"/>
      <c r="INK112" s="181"/>
      <c r="INL112" s="182"/>
      <c r="INM112" s="181"/>
      <c r="INN112" s="182"/>
      <c r="INO112" s="181"/>
      <c r="INP112" s="182"/>
      <c r="INQ112" s="181"/>
      <c r="INR112" s="182"/>
      <c r="INS112" s="181"/>
      <c r="INT112" s="182"/>
      <c r="INU112" s="181"/>
      <c r="INV112" s="182"/>
      <c r="INW112" s="181"/>
      <c r="INX112" s="182"/>
      <c r="INY112" s="181"/>
      <c r="INZ112" s="182"/>
      <c r="IOA112" s="181"/>
      <c r="IOB112" s="182"/>
      <c r="IOC112" s="181"/>
      <c r="IOD112" s="182"/>
      <c r="IOE112" s="181"/>
      <c r="IOF112" s="182"/>
      <c r="IOG112" s="181"/>
      <c r="IOH112" s="182"/>
      <c r="IOI112" s="181"/>
      <c r="IOJ112" s="182"/>
      <c r="IOK112" s="181"/>
      <c r="IOL112" s="182"/>
      <c r="IOM112" s="181"/>
      <c r="ION112" s="182"/>
      <c r="IOO112" s="181"/>
      <c r="IOP112" s="182"/>
      <c r="IOQ112" s="181"/>
      <c r="IOR112" s="182"/>
      <c r="IOS112" s="181"/>
      <c r="IOT112" s="182"/>
      <c r="IOU112" s="181"/>
      <c r="IOV112" s="182"/>
      <c r="IOW112" s="181"/>
      <c r="IOX112" s="182"/>
      <c r="IOY112" s="181"/>
      <c r="IOZ112" s="182"/>
      <c r="IPA112" s="181"/>
      <c r="IPB112" s="182"/>
      <c r="IPC112" s="181"/>
      <c r="IPD112" s="182"/>
      <c r="IPE112" s="181"/>
      <c r="IPF112" s="182"/>
      <c r="IPG112" s="181"/>
      <c r="IPH112" s="182"/>
      <c r="IPI112" s="181"/>
      <c r="IPJ112" s="182"/>
      <c r="IPK112" s="181"/>
      <c r="IPL112" s="182"/>
      <c r="IPM112" s="181"/>
      <c r="IPN112" s="182"/>
      <c r="IPO112" s="181"/>
      <c r="IPP112" s="182"/>
      <c r="IPQ112" s="181"/>
      <c r="IPR112" s="182"/>
      <c r="IPS112" s="181"/>
      <c r="IPT112" s="182"/>
      <c r="IPU112" s="181"/>
      <c r="IPV112" s="182"/>
      <c r="IPW112" s="181"/>
      <c r="IPX112" s="182"/>
      <c r="IPY112" s="181"/>
      <c r="IPZ112" s="182"/>
      <c r="IQA112" s="181"/>
      <c r="IQB112" s="182"/>
      <c r="IQC112" s="181"/>
      <c r="IQD112" s="182"/>
      <c r="IQE112" s="181"/>
      <c r="IQF112" s="182"/>
      <c r="IQG112" s="181"/>
      <c r="IQH112" s="182"/>
      <c r="IQI112" s="181"/>
      <c r="IQJ112" s="182"/>
      <c r="IQK112" s="181"/>
      <c r="IQL112" s="182"/>
      <c r="IQM112" s="181"/>
      <c r="IQN112" s="182"/>
      <c r="IQO112" s="181"/>
      <c r="IQP112" s="182"/>
      <c r="IQQ112" s="181"/>
      <c r="IQR112" s="182"/>
      <c r="IQS112" s="181"/>
      <c r="IQT112" s="182"/>
      <c r="IQU112" s="181"/>
      <c r="IQV112" s="182"/>
      <c r="IQW112" s="181"/>
      <c r="IQX112" s="182"/>
      <c r="IQY112" s="181"/>
      <c r="IQZ112" s="182"/>
      <c r="IRA112" s="181"/>
      <c r="IRB112" s="182"/>
      <c r="IRC112" s="181"/>
      <c r="IRD112" s="182"/>
      <c r="IRE112" s="181"/>
      <c r="IRF112" s="182"/>
      <c r="IRG112" s="181"/>
      <c r="IRH112" s="182"/>
      <c r="IRI112" s="181"/>
      <c r="IRJ112" s="182"/>
      <c r="IRK112" s="181"/>
      <c r="IRL112" s="182"/>
      <c r="IRM112" s="181"/>
      <c r="IRN112" s="182"/>
      <c r="IRO112" s="181"/>
      <c r="IRP112" s="182"/>
      <c r="IRQ112" s="181"/>
      <c r="IRR112" s="182"/>
      <c r="IRS112" s="181"/>
      <c r="IRT112" s="182"/>
      <c r="IRU112" s="181"/>
      <c r="IRV112" s="182"/>
      <c r="IRW112" s="181"/>
      <c r="IRX112" s="182"/>
      <c r="IRY112" s="181"/>
      <c r="IRZ112" s="182"/>
      <c r="ISA112" s="181"/>
      <c r="ISB112" s="182"/>
      <c r="ISC112" s="181"/>
      <c r="ISD112" s="182"/>
      <c r="ISE112" s="181"/>
      <c r="ISF112" s="182"/>
      <c r="ISG112" s="181"/>
      <c r="ISH112" s="182"/>
      <c r="ISI112" s="181"/>
      <c r="ISJ112" s="182"/>
      <c r="ISK112" s="181"/>
      <c r="ISL112" s="182"/>
      <c r="ISM112" s="181"/>
      <c r="ISN112" s="182"/>
      <c r="ISO112" s="181"/>
      <c r="ISP112" s="182"/>
      <c r="ISQ112" s="181"/>
      <c r="ISR112" s="182"/>
      <c r="ISS112" s="181"/>
      <c r="IST112" s="182"/>
      <c r="ISU112" s="181"/>
      <c r="ISV112" s="182"/>
      <c r="ISW112" s="181"/>
      <c r="ISX112" s="182"/>
      <c r="ISY112" s="181"/>
      <c r="ISZ112" s="182"/>
      <c r="ITA112" s="181"/>
      <c r="ITB112" s="182"/>
      <c r="ITC112" s="181"/>
      <c r="ITD112" s="182"/>
      <c r="ITE112" s="181"/>
      <c r="ITF112" s="182"/>
      <c r="ITG112" s="181"/>
      <c r="ITH112" s="182"/>
      <c r="ITI112" s="181"/>
      <c r="ITJ112" s="182"/>
      <c r="ITK112" s="181"/>
      <c r="ITL112" s="182"/>
      <c r="ITM112" s="181"/>
      <c r="ITN112" s="182"/>
      <c r="ITO112" s="181"/>
      <c r="ITP112" s="182"/>
      <c r="ITQ112" s="181"/>
      <c r="ITR112" s="182"/>
      <c r="ITS112" s="181"/>
      <c r="ITT112" s="182"/>
      <c r="ITU112" s="181"/>
      <c r="ITV112" s="182"/>
      <c r="ITW112" s="181"/>
      <c r="ITX112" s="182"/>
      <c r="ITY112" s="181"/>
      <c r="ITZ112" s="182"/>
      <c r="IUA112" s="181"/>
      <c r="IUB112" s="182"/>
      <c r="IUC112" s="181"/>
      <c r="IUD112" s="182"/>
      <c r="IUE112" s="181"/>
      <c r="IUF112" s="182"/>
      <c r="IUG112" s="181"/>
      <c r="IUH112" s="182"/>
      <c r="IUI112" s="181"/>
      <c r="IUJ112" s="182"/>
      <c r="IUK112" s="181"/>
      <c r="IUL112" s="182"/>
      <c r="IUM112" s="181"/>
      <c r="IUN112" s="182"/>
      <c r="IUO112" s="181"/>
      <c r="IUP112" s="182"/>
      <c r="IUQ112" s="181"/>
      <c r="IUR112" s="182"/>
      <c r="IUS112" s="181"/>
      <c r="IUT112" s="182"/>
      <c r="IUU112" s="181"/>
      <c r="IUV112" s="182"/>
      <c r="IUW112" s="181"/>
      <c r="IUX112" s="182"/>
      <c r="IUY112" s="181"/>
      <c r="IUZ112" s="182"/>
      <c r="IVA112" s="181"/>
      <c r="IVB112" s="182"/>
      <c r="IVC112" s="181"/>
      <c r="IVD112" s="182"/>
      <c r="IVE112" s="181"/>
      <c r="IVF112" s="182"/>
      <c r="IVG112" s="181"/>
      <c r="IVH112" s="182"/>
      <c r="IVI112" s="181"/>
      <c r="IVJ112" s="182"/>
      <c r="IVK112" s="181"/>
      <c r="IVL112" s="182"/>
      <c r="IVM112" s="181"/>
      <c r="IVN112" s="182"/>
      <c r="IVO112" s="181"/>
      <c r="IVP112" s="182"/>
      <c r="IVQ112" s="181"/>
      <c r="IVR112" s="182"/>
      <c r="IVS112" s="181"/>
      <c r="IVT112" s="182"/>
      <c r="IVU112" s="181"/>
      <c r="IVV112" s="182"/>
      <c r="IVW112" s="181"/>
      <c r="IVX112" s="182"/>
      <c r="IVY112" s="181"/>
      <c r="IVZ112" s="182"/>
      <c r="IWA112" s="181"/>
      <c r="IWB112" s="182"/>
      <c r="IWC112" s="181"/>
      <c r="IWD112" s="182"/>
      <c r="IWE112" s="181"/>
      <c r="IWF112" s="182"/>
      <c r="IWG112" s="181"/>
      <c r="IWH112" s="182"/>
      <c r="IWI112" s="181"/>
      <c r="IWJ112" s="182"/>
      <c r="IWK112" s="181"/>
      <c r="IWL112" s="182"/>
      <c r="IWM112" s="181"/>
      <c r="IWN112" s="182"/>
      <c r="IWO112" s="181"/>
      <c r="IWP112" s="182"/>
      <c r="IWQ112" s="181"/>
      <c r="IWR112" s="182"/>
      <c r="IWS112" s="181"/>
      <c r="IWT112" s="182"/>
      <c r="IWU112" s="181"/>
      <c r="IWV112" s="182"/>
      <c r="IWW112" s="181"/>
      <c r="IWX112" s="182"/>
      <c r="IWY112" s="181"/>
      <c r="IWZ112" s="182"/>
      <c r="IXA112" s="181"/>
      <c r="IXB112" s="182"/>
      <c r="IXC112" s="181"/>
      <c r="IXD112" s="182"/>
      <c r="IXE112" s="181"/>
      <c r="IXF112" s="182"/>
      <c r="IXG112" s="181"/>
      <c r="IXH112" s="182"/>
      <c r="IXI112" s="181"/>
      <c r="IXJ112" s="182"/>
      <c r="IXK112" s="181"/>
      <c r="IXL112" s="182"/>
      <c r="IXM112" s="181"/>
      <c r="IXN112" s="182"/>
      <c r="IXO112" s="181"/>
      <c r="IXP112" s="182"/>
      <c r="IXQ112" s="181"/>
      <c r="IXR112" s="182"/>
      <c r="IXS112" s="181"/>
      <c r="IXT112" s="182"/>
      <c r="IXU112" s="181"/>
      <c r="IXV112" s="182"/>
      <c r="IXW112" s="181"/>
      <c r="IXX112" s="182"/>
      <c r="IXY112" s="181"/>
      <c r="IXZ112" s="182"/>
      <c r="IYA112" s="181"/>
      <c r="IYB112" s="182"/>
      <c r="IYC112" s="181"/>
      <c r="IYD112" s="182"/>
      <c r="IYE112" s="181"/>
      <c r="IYF112" s="182"/>
      <c r="IYG112" s="181"/>
      <c r="IYH112" s="182"/>
      <c r="IYI112" s="181"/>
      <c r="IYJ112" s="182"/>
      <c r="IYK112" s="181"/>
      <c r="IYL112" s="182"/>
      <c r="IYM112" s="181"/>
      <c r="IYN112" s="182"/>
      <c r="IYO112" s="181"/>
      <c r="IYP112" s="182"/>
      <c r="IYQ112" s="181"/>
      <c r="IYR112" s="182"/>
      <c r="IYS112" s="181"/>
      <c r="IYT112" s="182"/>
      <c r="IYU112" s="181"/>
      <c r="IYV112" s="182"/>
      <c r="IYW112" s="181"/>
      <c r="IYX112" s="182"/>
      <c r="IYY112" s="181"/>
      <c r="IYZ112" s="182"/>
      <c r="IZA112" s="181"/>
      <c r="IZB112" s="182"/>
      <c r="IZC112" s="181"/>
      <c r="IZD112" s="182"/>
      <c r="IZE112" s="181"/>
      <c r="IZF112" s="182"/>
      <c r="IZG112" s="181"/>
      <c r="IZH112" s="182"/>
      <c r="IZI112" s="181"/>
      <c r="IZJ112" s="182"/>
      <c r="IZK112" s="181"/>
      <c r="IZL112" s="182"/>
      <c r="IZM112" s="181"/>
      <c r="IZN112" s="182"/>
      <c r="IZO112" s="181"/>
      <c r="IZP112" s="182"/>
      <c r="IZQ112" s="181"/>
      <c r="IZR112" s="182"/>
      <c r="IZS112" s="181"/>
      <c r="IZT112" s="182"/>
      <c r="IZU112" s="181"/>
      <c r="IZV112" s="182"/>
      <c r="IZW112" s="181"/>
      <c r="IZX112" s="182"/>
      <c r="IZY112" s="181"/>
      <c r="IZZ112" s="182"/>
      <c r="JAA112" s="181"/>
      <c r="JAB112" s="182"/>
      <c r="JAC112" s="181"/>
      <c r="JAD112" s="182"/>
      <c r="JAE112" s="181"/>
      <c r="JAF112" s="182"/>
      <c r="JAG112" s="181"/>
      <c r="JAH112" s="182"/>
      <c r="JAI112" s="181"/>
      <c r="JAJ112" s="182"/>
      <c r="JAK112" s="181"/>
      <c r="JAL112" s="182"/>
      <c r="JAM112" s="181"/>
      <c r="JAN112" s="182"/>
      <c r="JAO112" s="181"/>
      <c r="JAP112" s="182"/>
      <c r="JAQ112" s="181"/>
      <c r="JAR112" s="182"/>
      <c r="JAS112" s="181"/>
      <c r="JAT112" s="182"/>
      <c r="JAU112" s="181"/>
      <c r="JAV112" s="182"/>
      <c r="JAW112" s="181"/>
      <c r="JAX112" s="182"/>
      <c r="JAY112" s="181"/>
      <c r="JAZ112" s="182"/>
      <c r="JBA112" s="181"/>
      <c r="JBB112" s="182"/>
      <c r="JBC112" s="181"/>
      <c r="JBD112" s="182"/>
      <c r="JBE112" s="181"/>
      <c r="JBF112" s="182"/>
      <c r="JBG112" s="181"/>
      <c r="JBH112" s="182"/>
      <c r="JBI112" s="181"/>
      <c r="JBJ112" s="182"/>
      <c r="JBK112" s="181"/>
      <c r="JBL112" s="182"/>
      <c r="JBM112" s="181"/>
      <c r="JBN112" s="182"/>
      <c r="JBO112" s="181"/>
      <c r="JBP112" s="182"/>
      <c r="JBQ112" s="181"/>
      <c r="JBR112" s="182"/>
      <c r="JBS112" s="181"/>
      <c r="JBT112" s="182"/>
      <c r="JBU112" s="181"/>
      <c r="JBV112" s="182"/>
      <c r="JBW112" s="181"/>
      <c r="JBX112" s="182"/>
      <c r="JBY112" s="181"/>
      <c r="JBZ112" s="182"/>
      <c r="JCA112" s="181"/>
      <c r="JCB112" s="182"/>
      <c r="JCC112" s="181"/>
      <c r="JCD112" s="182"/>
      <c r="JCE112" s="181"/>
      <c r="JCF112" s="182"/>
      <c r="JCG112" s="181"/>
      <c r="JCH112" s="182"/>
      <c r="JCI112" s="181"/>
      <c r="JCJ112" s="182"/>
      <c r="JCK112" s="181"/>
      <c r="JCL112" s="182"/>
      <c r="JCM112" s="181"/>
      <c r="JCN112" s="182"/>
      <c r="JCO112" s="181"/>
      <c r="JCP112" s="182"/>
      <c r="JCQ112" s="181"/>
      <c r="JCR112" s="182"/>
      <c r="JCS112" s="181"/>
      <c r="JCT112" s="182"/>
      <c r="JCU112" s="181"/>
      <c r="JCV112" s="182"/>
      <c r="JCW112" s="181"/>
      <c r="JCX112" s="182"/>
      <c r="JCY112" s="181"/>
      <c r="JCZ112" s="182"/>
      <c r="JDA112" s="181"/>
      <c r="JDB112" s="182"/>
      <c r="JDC112" s="181"/>
      <c r="JDD112" s="182"/>
      <c r="JDE112" s="181"/>
      <c r="JDF112" s="182"/>
      <c r="JDG112" s="181"/>
      <c r="JDH112" s="182"/>
      <c r="JDI112" s="181"/>
      <c r="JDJ112" s="182"/>
      <c r="JDK112" s="181"/>
      <c r="JDL112" s="182"/>
      <c r="JDM112" s="181"/>
      <c r="JDN112" s="182"/>
      <c r="JDO112" s="181"/>
      <c r="JDP112" s="182"/>
      <c r="JDQ112" s="181"/>
      <c r="JDR112" s="182"/>
      <c r="JDS112" s="181"/>
      <c r="JDT112" s="182"/>
      <c r="JDU112" s="181"/>
      <c r="JDV112" s="182"/>
      <c r="JDW112" s="181"/>
      <c r="JDX112" s="182"/>
      <c r="JDY112" s="181"/>
      <c r="JDZ112" s="182"/>
      <c r="JEA112" s="181"/>
      <c r="JEB112" s="182"/>
      <c r="JEC112" s="181"/>
      <c r="JED112" s="182"/>
      <c r="JEE112" s="181"/>
      <c r="JEF112" s="182"/>
      <c r="JEG112" s="181"/>
      <c r="JEH112" s="182"/>
      <c r="JEI112" s="181"/>
      <c r="JEJ112" s="182"/>
      <c r="JEK112" s="181"/>
      <c r="JEL112" s="182"/>
      <c r="JEM112" s="181"/>
      <c r="JEN112" s="182"/>
      <c r="JEO112" s="181"/>
      <c r="JEP112" s="182"/>
      <c r="JEQ112" s="181"/>
      <c r="JER112" s="182"/>
      <c r="JES112" s="181"/>
      <c r="JET112" s="182"/>
      <c r="JEU112" s="181"/>
      <c r="JEV112" s="182"/>
      <c r="JEW112" s="181"/>
      <c r="JEX112" s="182"/>
      <c r="JEY112" s="181"/>
      <c r="JEZ112" s="182"/>
      <c r="JFA112" s="181"/>
      <c r="JFB112" s="182"/>
      <c r="JFC112" s="181"/>
      <c r="JFD112" s="182"/>
      <c r="JFE112" s="181"/>
      <c r="JFF112" s="182"/>
      <c r="JFG112" s="181"/>
      <c r="JFH112" s="182"/>
      <c r="JFI112" s="181"/>
      <c r="JFJ112" s="182"/>
      <c r="JFK112" s="181"/>
      <c r="JFL112" s="182"/>
      <c r="JFM112" s="181"/>
      <c r="JFN112" s="182"/>
      <c r="JFO112" s="181"/>
      <c r="JFP112" s="182"/>
      <c r="JFQ112" s="181"/>
      <c r="JFR112" s="182"/>
      <c r="JFS112" s="181"/>
      <c r="JFT112" s="182"/>
      <c r="JFU112" s="181"/>
      <c r="JFV112" s="182"/>
      <c r="JFW112" s="181"/>
      <c r="JFX112" s="182"/>
      <c r="JFY112" s="181"/>
      <c r="JFZ112" s="182"/>
      <c r="JGA112" s="181"/>
      <c r="JGB112" s="182"/>
      <c r="JGC112" s="181"/>
      <c r="JGD112" s="182"/>
      <c r="JGE112" s="181"/>
      <c r="JGF112" s="182"/>
      <c r="JGG112" s="181"/>
      <c r="JGH112" s="182"/>
      <c r="JGI112" s="181"/>
      <c r="JGJ112" s="182"/>
      <c r="JGK112" s="181"/>
      <c r="JGL112" s="182"/>
      <c r="JGM112" s="181"/>
      <c r="JGN112" s="182"/>
      <c r="JGO112" s="181"/>
      <c r="JGP112" s="182"/>
      <c r="JGQ112" s="181"/>
      <c r="JGR112" s="182"/>
      <c r="JGS112" s="181"/>
      <c r="JGT112" s="182"/>
      <c r="JGU112" s="181"/>
      <c r="JGV112" s="182"/>
      <c r="JGW112" s="181"/>
      <c r="JGX112" s="182"/>
      <c r="JGY112" s="181"/>
      <c r="JGZ112" s="182"/>
      <c r="JHA112" s="181"/>
      <c r="JHB112" s="182"/>
      <c r="JHC112" s="181"/>
      <c r="JHD112" s="182"/>
      <c r="JHE112" s="181"/>
      <c r="JHF112" s="182"/>
      <c r="JHG112" s="181"/>
      <c r="JHH112" s="182"/>
      <c r="JHI112" s="181"/>
      <c r="JHJ112" s="182"/>
      <c r="JHK112" s="181"/>
      <c r="JHL112" s="182"/>
      <c r="JHM112" s="181"/>
      <c r="JHN112" s="182"/>
      <c r="JHO112" s="181"/>
      <c r="JHP112" s="182"/>
      <c r="JHQ112" s="181"/>
      <c r="JHR112" s="182"/>
      <c r="JHS112" s="181"/>
      <c r="JHT112" s="182"/>
      <c r="JHU112" s="181"/>
      <c r="JHV112" s="182"/>
      <c r="JHW112" s="181"/>
      <c r="JHX112" s="182"/>
      <c r="JHY112" s="181"/>
      <c r="JHZ112" s="182"/>
      <c r="JIA112" s="181"/>
      <c r="JIB112" s="182"/>
      <c r="JIC112" s="181"/>
      <c r="JID112" s="182"/>
      <c r="JIE112" s="181"/>
      <c r="JIF112" s="182"/>
      <c r="JIG112" s="181"/>
      <c r="JIH112" s="182"/>
      <c r="JII112" s="181"/>
      <c r="JIJ112" s="182"/>
      <c r="JIK112" s="181"/>
      <c r="JIL112" s="182"/>
      <c r="JIM112" s="181"/>
      <c r="JIN112" s="182"/>
      <c r="JIO112" s="181"/>
      <c r="JIP112" s="182"/>
      <c r="JIQ112" s="181"/>
      <c r="JIR112" s="182"/>
      <c r="JIS112" s="181"/>
      <c r="JIT112" s="182"/>
      <c r="JIU112" s="181"/>
      <c r="JIV112" s="182"/>
      <c r="JIW112" s="181"/>
      <c r="JIX112" s="182"/>
      <c r="JIY112" s="181"/>
      <c r="JIZ112" s="182"/>
      <c r="JJA112" s="181"/>
      <c r="JJB112" s="182"/>
      <c r="JJC112" s="181"/>
      <c r="JJD112" s="182"/>
      <c r="JJE112" s="181"/>
      <c r="JJF112" s="182"/>
      <c r="JJG112" s="181"/>
      <c r="JJH112" s="182"/>
      <c r="JJI112" s="181"/>
      <c r="JJJ112" s="182"/>
      <c r="JJK112" s="181"/>
      <c r="JJL112" s="182"/>
      <c r="JJM112" s="181"/>
      <c r="JJN112" s="182"/>
      <c r="JJO112" s="181"/>
      <c r="JJP112" s="182"/>
      <c r="JJQ112" s="181"/>
      <c r="JJR112" s="182"/>
      <c r="JJS112" s="181"/>
      <c r="JJT112" s="182"/>
      <c r="JJU112" s="181"/>
      <c r="JJV112" s="182"/>
      <c r="JJW112" s="181"/>
      <c r="JJX112" s="182"/>
      <c r="JJY112" s="181"/>
      <c r="JJZ112" s="182"/>
      <c r="JKA112" s="181"/>
      <c r="JKB112" s="182"/>
      <c r="JKC112" s="181"/>
      <c r="JKD112" s="182"/>
      <c r="JKE112" s="181"/>
      <c r="JKF112" s="182"/>
      <c r="JKG112" s="181"/>
      <c r="JKH112" s="182"/>
      <c r="JKI112" s="181"/>
      <c r="JKJ112" s="182"/>
      <c r="JKK112" s="181"/>
      <c r="JKL112" s="182"/>
      <c r="JKM112" s="181"/>
      <c r="JKN112" s="182"/>
      <c r="JKO112" s="181"/>
      <c r="JKP112" s="182"/>
      <c r="JKQ112" s="181"/>
      <c r="JKR112" s="182"/>
      <c r="JKS112" s="181"/>
      <c r="JKT112" s="182"/>
      <c r="JKU112" s="181"/>
      <c r="JKV112" s="182"/>
      <c r="JKW112" s="181"/>
      <c r="JKX112" s="182"/>
      <c r="JKY112" s="181"/>
      <c r="JKZ112" s="182"/>
      <c r="JLA112" s="181"/>
      <c r="JLB112" s="182"/>
      <c r="JLC112" s="181"/>
      <c r="JLD112" s="182"/>
      <c r="JLE112" s="181"/>
      <c r="JLF112" s="182"/>
      <c r="JLG112" s="181"/>
      <c r="JLH112" s="182"/>
      <c r="JLI112" s="181"/>
      <c r="JLJ112" s="182"/>
      <c r="JLK112" s="181"/>
      <c r="JLL112" s="182"/>
      <c r="JLM112" s="181"/>
      <c r="JLN112" s="182"/>
      <c r="JLO112" s="181"/>
      <c r="JLP112" s="182"/>
      <c r="JLQ112" s="181"/>
      <c r="JLR112" s="182"/>
      <c r="JLS112" s="181"/>
      <c r="JLT112" s="182"/>
      <c r="JLU112" s="181"/>
      <c r="JLV112" s="182"/>
      <c r="JLW112" s="181"/>
      <c r="JLX112" s="182"/>
      <c r="JLY112" s="181"/>
      <c r="JLZ112" s="182"/>
      <c r="JMA112" s="181"/>
      <c r="JMB112" s="182"/>
      <c r="JMC112" s="181"/>
      <c r="JMD112" s="182"/>
      <c r="JME112" s="181"/>
      <c r="JMF112" s="182"/>
      <c r="JMG112" s="181"/>
      <c r="JMH112" s="182"/>
      <c r="JMI112" s="181"/>
      <c r="JMJ112" s="182"/>
      <c r="JMK112" s="181"/>
      <c r="JML112" s="182"/>
      <c r="JMM112" s="181"/>
      <c r="JMN112" s="182"/>
      <c r="JMO112" s="181"/>
      <c r="JMP112" s="182"/>
      <c r="JMQ112" s="181"/>
      <c r="JMR112" s="182"/>
      <c r="JMS112" s="181"/>
      <c r="JMT112" s="182"/>
      <c r="JMU112" s="181"/>
      <c r="JMV112" s="182"/>
      <c r="JMW112" s="181"/>
      <c r="JMX112" s="182"/>
      <c r="JMY112" s="181"/>
      <c r="JMZ112" s="182"/>
      <c r="JNA112" s="181"/>
      <c r="JNB112" s="182"/>
      <c r="JNC112" s="181"/>
      <c r="JND112" s="182"/>
      <c r="JNE112" s="181"/>
      <c r="JNF112" s="182"/>
      <c r="JNG112" s="181"/>
      <c r="JNH112" s="182"/>
      <c r="JNI112" s="181"/>
      <c r="JNJ112" s="182"/>
      <c r="JNK112" s="181"/>
      <c r="JNL112" s="182"/>
      <c r="JNM112" s="181"/>
      <c r="JNN112" s="182"/>
      <c r="JNO112" s="181"/>
      <c r="JNP112" s="182"/>
      <c r="JNQ112" s="181"/>
      <c r="JNR112" s="182"/>
      <c r="JNS112" s="181"/>
      <c r="JNT112" s="182"/>
      <c r="JNU112" s="181"/>
      <c r="JNV112" s="182"/>
      <c r="JNW112" s="181"/>
      <c r="JNX112" s="182"/>
      <c r="JNY112" s="181"/>
      <c r="JNZ112" s="182"/>
      <c r="JOA112" s="181"/>
      <c r="JOB112" s="182"/>
      <c r="JOC112" s="181"/>
      <c r="JOD112" s="182"/>
      <c r="JOE112" s="181"/>
      <c r="JOF112" s="182"/>
      <c r="JOG112" s="181"/>
      <c r="JOH112" s="182"/>
      <c r="JOI112" s="181"/>
      <c r="JOJ112" s="182"/>
      <c r="JOK112" s="181"/>
      <c r="JOL112" s="182"/>
      <c r="JOM112" s="181"/>
      <c r="JON112" s="182"/>
      <c r="JOO112" s="181"/>
      <c r="JOP112" s="182"/>
      <c r="JOQ112" s="181"/>
      <c r="JOR112" s="182"/>
      <c r="JOS112" s="181"/>
      <c r="JOT112" s="182"/>
      <c r="JOU112" s="181"/>
      <c r="JOV112" s="182"/>
      <c r="JOW112" s="181"/>
      <c r="JOX112" s="182"/>
      <c r="JOY112" s="181"/>
      <c r="JOZ112" s="182"/>
      <c r="JPA112" s="181"/>
      <c r="JPB112" s="182"/>
      <c r="JPC112" s="181"/>
      <c r="JPD112" s="182"/>
      <c r="JPE112" s="181"/>
      <c r="JPF112" s="182"/>
      <c r="JPG112" s="181"/>
      <c r="JPH112" s="182"/>
      <c r="JPI112" s="181"/>
      <c r="JPJ112" s="182"/>
      <c r="JPK112" s="181"/>
      <c r="JPL112" s="182"/>
      <c r="JPM112" s="181"/>
      <c r="JPN112" s="182"/>
      <c r="JPO112" s="181"/>
      <c r="JPP112" s="182"/>
      <c r="JPQ112" s="181"/>
      <c r="JPR112" s="182"/>
      <c r="JPS112" s="181"/>
      <c r="JPT112" s="182"/>
      <c r="JPU112" s="181"/>
      <c r="JPV112" s="182"/>
      <c r="JPW112" s="181"/>
      <c r="JPX112" s="182"/>
      <c r="JPY112" s="181"/>
      <c r="JPZ112" s="182"/>
      <c r="JQA112" s="181"/>
      <c r="JQB112" s="182"/>
      <c r="JQC112" s="181"/>
      <c r="JQD112" s="182"/>
      <c r="JQE112" s="181"/>
      <c r="JQF112" s="182"/>
      <c r="JQG112" s="181"/>
      <c r="JQH112" s="182"/>
      <c r="JQI112" s="181"/>
      <c r="JQJ112" s="182"/>
      <c r="JQK112" s="181"/>
      <c r="JQL112" s="182"/>
      <c r="JQM112" s="181"/>
      <c r="JQN112" s="182"/>
      <c r="JQO112" s="181"/>
      <c r="JQP112" s="182"/>
      <c r="JQQ112" s="181"/>
      <c r="JQR112" s="182"/>
      <c r="JQS112" s="181"/>
      <c r="JQT112" s="182"/>
      <c r="JQU112" s="181"/>
      <c r="JQV112" s="182"/>
      <c r="JQW112" s="181"/>
      <c r="JQX112" s="182"/>
      <c r="JQY112" s="181"/>
      <c r="JQZ112" s="182"/>
      <c r="JRA112" s="181"/>
      <c r="JRB112" s="182"/>
      <c r="JRC112" s="181"/>
      <c r="JRD112" s="182"/>
      <c r="JRE112" s="181"/>
      <c r="JRF112" s="182"/>
      <c r="JRG112" s="181"/>
      <c r="JRH112" s="182"/>
      <c r="JRI112" s="181"/>
      <c r="JRJ112" s="182"/>
      <c r="JRK112" s="181"/>
      <c r="JRL112" s="182"/>
      <c r="JRM112" s="181"/>
      <c r="JRN112" s="182"/>
      <c r="JRO112" s="181"/>
      <c r="JRP112" s="182"/>
      <c r="JRQ112" s="181"/>
      <c r="JRR112" s="182"/>
      <c r="JRS112" s="181"/>
      <c r="JRT112" s="182"/>
      <c r="JRU112" s="181"/>
      <c r="JRV112" s="182"/>
      <c r="JRW112" s="181"/>
      <c r="JRX112" s="182"/>
      <c r="JRY112" s="181"/>
      <c r="JRZ112" s="182"/>
      <c r="JSA112" s="181"/>
      <c r="JSB112" s="182"/>
      <c r="JSC112" s="181"/>
      <c r="JSD112" s="182"/>
      <c r="JSE112" s="181"/>
      <c r="JSF112" s="182"/>
      <c r="JSG112" s="181"/>
      <c r="JSH112" s="182"/>
      <c r="JSI112" s="181"/>
      <c r="JSJ112" s="182"/>
      <c r="JSK112" s="181"/>
      <c r="JSL112" s="182"/>
      <c r="JSM112" s="181"/>
      <c r="JSN112" s="182"/>
      <c r="JSO112" s="181"/>
      <c r="JSP112" s="182"/>
      <c r="JSQ112" s="181"/>
      <c r="JSR112" s="182"/>
      <c r="JSS112" s="181"/>
      <c r="JST112" s="182"/>
      <c r="JSU112" s="181"/>
      <c r="JSV112" s="182"/>
      <c r="JSW112" s="181"/>
      <c r="JSX112" s="182"/>
      <c r="JSY112" s="181"/>
      <c r="JSZ112" s="182"/>
      <c r="JTA112" s="181"/>
      <c r="JTB112" s="182"/>
      <c r="JTC112" s="181"/>
      <c r="JTD112" s="182"/>
      <c r="JTE112" s="181"/>
      <c r="JTF112" s="182"/>
      <c r="JTG112" s="181"/>
      <c r="JTH112" s="182"/>
      <c r="JTI112" s="181"/>
      <c r="JTJ112" s="182"/>
      <c r="JTK112" s="181"/>
      <c r="JTL112" s="182"/>
      <c r="JTM112" s="181"/>
      <c r="JTN112" s="182"/>
      <c r="JTO112" s="181"/>
      <c r="JTP112" s="182"/>
      <c r="JTQ112" s="181"/>
      <c r="JTR112" s="182"/>
      <c r="JTS112" s="181"/>
      <c r="JTT112" s="182"/>
      <c r="JTU112" s="181"/>
      <c r="JTV112" s="182"/>
      <c r="JTW112" s="181"/>
      <c r="JTX112" s="182"/>
      <c r="JTY112" s="181"/>
      <c r="JTZ112" s="182"/>
      <c r="JUA112" s="181"/>
      <c r="JUB112" s="182"/>
      <c r="JUC112" s="181"/>
      <c r="JUD112" s="182"/>
      <c r="JUE112" s="181"/>
      <c r="JUF112" s="182"/>
      <c r="JUG112" s="181"/>
      <c r="JUH112" s="182"/>
      <c r="JUI112" s="181"/>
      <c r="JUJ112" s="182"/>
      <c r="JUK112" s="181"/>
      <c r="JUL112" s="182"/>
      <c r="JUM112" s="181"/>
      <c r="JUN112" s="182"/>
      <c r="JUO112" s="181"/>
      <c r="JUP112" s="182"/>
      <c r="JUQ112" s="181"/>
      <c r="JUR112" s="182"/>
      <c r="JUS112" s="181"/>
      <c r="JUT112" s="182"/>
      <c r="JUU112" s="181"/>
      <c r="JUV112" s="182"/>
      <c r="JUW112" s="181"/>
      <c r="JUX112" s="182"/>
      <c r="JUY112" s="181"/>
      <c r="JUZ112" s="182"/>
      <c r="JVA112" s="181"/>
      <c r="JVB112" s="182"/>
      <c r="JVC112" s="181"/>
      <c r="JVD112" s="182"/>
      <c r="JVE112" s="181"/>
      <c r="JVF112" s="182"/>
      <c r="JVG112" s="181"/>
      <c r="JVH112" s="182"/>
      <c r="JVI112" s="181"/>
      <c r="JVJ112" s="182"/>
      <c r="JVK112" s="181"/>
      <c r="JVL112" s="182"/>
      <c r="JVM112" s="181"/>
      <c r="JVN112" s="182"/>
      <c r="JVO112" s="181"/>
      <c r="JVP112" s="182"/>
      <c r="JVQ112" s="181"/>
      <c r="JVR112" s="182"/>
      <c r="JVS112" s="181"/>
      <c r="JVT112" s="182"/>
      <c r="JVU112" s="181"/>
      <c r="JVV112" s="182"/>
      <c r="JVW112" s="181"/>
      <c r="JVX112" s="182"/>
      <c r="JVY112" s="181"/>
      <c r="JVZ112" s="182"/>
      <c r="JWA112" s="181"/>
      <c r="JWB112" s="182"/>
      <c r="JWC112" s="181"/>
      <c r="JWD112" s="182"/>
      <c r="JWE112" s="181"/>
      <c r="JWF112" s="182"/>
      <c r="JWG112" s="181"/>
      <c r="JWH112" s="182"/>
      <c r="JWI112" s="181"/>
      <c r="JWJ112" s="182"/>
      <c r="JWK112" s="181"/>
      <c r="JWL112" s="182"/>
      <c r="JWM112" s="181"/>
      <c r="JWN112" s="182"/>
      <c r="JWO112" s="181"/>
      <c r="JWP112" s="182"/>
      <c r="JWQ112" s="181"/>
      <c r="JWR112" s="182"/>
      <c r="JWS112" s="181"/>
      <c r="JWT112" s="182"/>
      <c r="JWU112" s="181"/>
      <c r="JWV112" s="182"/>
      <c r="JWW112" s="181"/>
      <c r="JWX112" s="182"/>
      <c r="JWY112" s="181"/>
      <c r="JWZ112" s="182"/>
      <c r="JXA112" s="181"/>
      <c r="JXB112" s="182"/>
      <c r="JXC112" s="181"/>
      <c r="JXD112" s="182"/>
      <c r="JXE112" s="181"/>
      <c r="JXF112" s="182"/>
      <c r="JXG112" s="181"/>
      <c r="JXH112" s="182"/>
      <c r="JXI112" s="181"/>
      <c r="JXJ112" s="182"/>
      <c r="JXK112" s="181"/>
      <c r="JXL112" s="182"/>
      <c r="JXM112" s="181"/>
      <c r="JXN112" s="182"/>
      <c r="JXO112" s="181"/>
      <c r="JXP112" s="182"/>
      <c r="JXQ112" s="181"/>
      <c r="JXR112" s="182"/>
      <c r="JXS112" s="181"/>
      <c r="JXT112" s="182"/>
      <c r="JXU112" s="181"/>
      <c r="JXV112" s="182"/>
      <c r="JXW112" s="181"/>
      <c r="JXX112" s="182"/>
      <c r="JXY112" s="181"/>
      <c r="JXZ112" s="182"/>
      <c r="JYA112" s="181"/>
      <c r="JYB112" s="182"/>
      <c r="JYC112" s="181"/>
      <c r="JYD112" s="182"/>
      <c r="JYE112" s="181"/>
      <c r="JYF112" s="182"/>
      <c r="JYG112" s="181"/>
      <c r="JYH112" s="182"/>
      <c r="JYI112" s="181"/>
      <c r="JYJ112" s="182"/>
      <c r="JYK112" s="181"/>
      <c r="JYL112" s="182"/>
      <c r="JYM112" s="181"/>
      <c r="JYN112" s="182"/>
      <c r="JYO112" s="181"/>
      <c r="JYP112" s="182"/>
      <c r="JYQ112" s="181"/>
      <c r="JYR112" s="182"/>
      <c r="JYS112" s="181"/>
      <c r="JYT112" s="182"/>
      <c r="JYU112" s="181"/>
      <c r="JYV112" s="182"/>
      <c r="JYW112" s="181"/>
      <c r="JYX112" s="182"/>
      <c r="JYY112" s="181"/>
      <c r="JYZ112" s="182"/>
      <c r="JZA112" s="181"/>
      <c r="JZB112" s="182"/>
      <c r="JZC112" s="181"/>
      <c r="JZD112" s="182"/>
      <c r="JZE112" s="181"/>
      <c r="JZF112" s="182"/>
      <c r="JZG112" s="181"/>
      <c r="JZH112" s="182"/>
      <c r="JZI112" s="181"/>
      <c r="JZJ112" s="182"/>
      <c r="JZK112" s="181"/>
      <c r="JZL112" s="182"/>
      <c r="JZM112" s="181"/>
      <c r="JZN112" s="182"/>
      <c r="JZO112" s="181"/>
      <c r="JZP112" s="182"/>
      <c r="JZQ112" s="181"/>
      <c r="JZR112" s="182"/>
      <c r="JZS112" s="181"/>
      <c r="JZT112" s="182"/>
      <c r="JZU112" s="181"/>
      <c r="JZV112" s="182"/>
      <c r="JZW112" s="181"/>
      <c r="JZX112" s="182"/>
      <c r="JZY112" s="181"/>
      <c r="JZZ112" s="182"/>
      <c r="KAA112" s="181"/>
      <c r="KAB112" s="182"/>
      <c r="KAC112" s="181"/>
      <c r="KAD112" s="182"/>
      <c r="KAE112" s="181"/>
      <c r="KAF112" s="182"/>
      <c r="KAG112" s="181"/>
      <c r="KAH112" s="182"/>
      <c r="KAI112" s="181"/>
      <c r="KAJ112" s="182"/>
      <c r="KAK112" s="181"/>
      <c r="KAL112" s="182"/>
      <c r="KAM112" s="181"/>
      <c r="KAN112" s="182"/>
      <c r="KAO112" s="181"/>
      <c r="KAP112" s="182"/>
      <c r="KAQ112" s="181"/>
      <c r="KAR112" s="182"/>
      <c r="KAS112" s="181"/>
      <c r="KAT112" s="182"/>
      <c r="KAU112" s="181"/>
      <c r="KAV112" s="182"/>
      <c r="KAW112" s="181"/>
      <c r="KAX112" s="182"/>
      <c r="KAY112" s="181"/>
      <c r="KAZ112" s="182"/>
      <c r="KBA112" s="181"/>
      <c r="KBB112" s="182"/>
      <c r="KBC112" s="181"/>
      <c r="KBD112" s="182"/>
      <c r="KBE112" s="181"/>
      <c r="KBF112" s="182"/>
      <c r="KBG112" s="181"/>
      <c r="KBH112" s="182"/>
      <c r="KBI112" s="181"/>
      <c r="KBJ112" s="182"/>
      <c r="KBK112" s="181"/>
      <c r="KBL112" s="182"/>
      <c r="KBM112" s="181"/>
      <c r="KBN112" s="182"/>
      <c r="KBO112" s="181"/>
      <c r="KBP112" s="182"/>
      <c r="KBQ112" s="181"/>
      <c r="KBR112" s="182"/>
      <c r="KBS112" s="181"/>
      <c r="KBT112" s="182"/>
      <c r="KBU112" s="181"/>
      <c r="KBV112" s="182"/>
      <c r="KBW112" s="181"/>
      <c r="KBX112" s="182"/>
      <c r="KBY112" s="181"/>
      <c r="KBZ112" s="182"/>
      <c r="KCA112" s="181"/>
      <c r="KCB112" s="182"/>
      <c r="KCC112" s="181"/>
      <c r="KCD112" s="182"/>
      <c r="KCE112" s="181"/>
      <c r="KCF112" s="182"/>
      <c r="KCG112" s="181"/>
      <c r="KCH112" s="182"/>
      <c r="KCI112" s="181"/>
      <c r="KCJ112" s="182"/>
      <c r="KCK112" s="181"/>
      <c r="KCL112" s="182"/>
      <c r="KCM112" s="181"/>
      <c r="KCN112" s="182"/>
      <c r="KCO112" s="181"/>
      <c r="KCP112" s="182"/>
      <c r="KCQ112" s="181"/>
      <c r="KCR112" s="182"/>
      <c r="KCS112" s="181"/>
      <c r="KCT112" s="182"/>
      <c r="KCU112" s="181"/>
      <c r="KCV112" s="182"/>
      <c r="KCW112" s="181"/>
      <c r="KCX112" s="182"/>
      <c r="KCY112" s="181"/>
      <c r="KCZ112" s="182"/>
      <c r="KDA112" s="181"/>
      <c r="KDB112" s="182"/>
      <c r="KDC112" s="181"/>
      <c r="KDD112" s="182"/>
      <c r="KDE112" s="181"/>
      <c r="KDF112" s="182"/>
      <c r="KDG112" s="181"/>
      <c r="KDH112" s="182"/>
      <c r="KDI112" s="181"/>
      <c r="KDJ112" s="182"/>
      <c r="KDK112" s="181"/>
      <c r="KDL112" s="182"/>
      <c r="KDM112" s="181"/>
      <c r="KDN112" s="182"/>
      <c r="KDO112" s="181"/>
      <c r="KDP112" s="182"/>
      <c r="KDQ112" s="181"/>
      <c r="KDR112" s="182"/>
      <c r="KDS112" s="181"/>
      <c r="KDT112" s="182"/>
      <c r="KDU112" s="181"/>
      <c r="KDV112" s="182"/>
      <c r="KDW112" s="181"/>
      <c r="KDX112" s="182"/>
      <c r="KDY112" s="181"/>
      <c r="KDZ112" s="182"/>
      <c r="KEA112" s="181"/>
      <c r="KEB112" s="182"/>
      <c r="KEC112" s="181"/>
      <c r="KED112" s="182"/>
      <c r="KEE112" s="181"/>
      <c r="KEF112" s="182"/>
      <c r="KEG112" s="181"/>
      <c r="KEH112" s="182"/>
      <c r="KEI112" s="181"/>
      <c r="KEJ112" s="182"/>
      <c r="KEK112" s="181"/>
      <c r="KEL112" s="182"/>
      <c r="KEM112" s="181"/>
      <c r="KEN112" s="182"/>
      <c r="KEO112" s="181"/>
      <c r="KEP112" s="182"/>
      <c r="KEQ112" s="181"/>
      <c r="KER112" s="182"/>
      <c r="KES112" s="181"/>
      <c r="KET112" s="182"/>
      <c r="KEU112" s="181"/>
      <c r="KEV112" s="182"/>
      <c r="KEW112" s="181"/>
      <c r="KEX112" s="182"/>
      <c r="KEY112" s="181"/>
      <c r="KEZ112" s="182"/>
      <c r="KFA112" s="181"/>
      <c r="KFB112" s="182"/>
      <c r="KFC112" s="181"/>
      <c r="KFD112" s="182"/>
      <c r="KFE112" s="181"/>
      <c r="KFF112" s="182"/>
      <c r="KFG112" s="181"/>
      <c r="KFH112" s="182"/>
      <c r="KFI112" s="181"/>
      <c r="KFJ112" s="182"/>
      <c r="KFK112" s="181"/>
      <c r="KFL112" s="182"/>
      <c r="KFM112" s="181"/>
      <c r="KFN112" s="182"/>
      <c r="KFO112" s="181"/>
      <c r="KFP112" s="182"/>
      <c r="KFQ112" s="181"/>
      <c r="KFR112" s="182"/>
      <c r="KFS112" s="181"/>
      <c r="KFT112" s="182"/>
      <c r="KFU112" s="181"/>
      <c r="KFV112" s="182"/>
      <c r="KFW112" s="181"/>
      <c r="KFX112" s="182"/>
      <c r="KFY112" s="181"/>
      <c r="KFZ112" s="182"/>
      <c r="KGA112" s="181"/>
      <c r="KGB112" s="182"/>
      <c r="KGC112" s="181"/>
      <c r="KGD112" s="182"/>
      <c r="KGE112" s="181"/>
      <c r="KGF112" s="182"/>
      <c r="KGG112" s="181"/>
      <c r="KGH112" s="182"/>
      <c r="KGI112" s="181"/>
      <c r="KGJ112" s="182"/>
      <c r="KGK112" s="181"/>
      <c r="KGL112" s="182"/>
      <c r="KGM112" s="181"/>
      <c r="KGN112" s="182"/>
      <c r="KGO112" s="181"/>
      <c r="KGP112" s="182"/>
      <c r="KGQ112" s="181"/>
      <c r="KGR112" s="182"/>
      <c r="KGS112" s="181"/>
      <c r="KGT112" s="182"/>
      <c r="KGU112" s="181"/>
      <c r="KGV112" s="182"/>
      <c r="KGW112" s="181"/>
      <c r="KGX112" s="182"/>
      <c r="KGY112" s="181"/>
      <c r="KGZ112" s="182"/>
      <c r="KHA112" s="181"/>
      <c r="KHB112" s="182"/>
      <c r="KHC112" s="181"/>
      <c r="KHD112" s="182"/>
      <c r="KHE112" s="181"/>
      <c r="KHF112" s="182"/>
      <c r="KHG112" s="181"/>
      <c r="KHH112" s="182"/>
      <c r="KHI112" s="181"/>
      <c r="KHJ112" s="182"/>
      <c r="KHK112" s="181"/>
      <c r="KHL112" s="182"/>
      <c r="KHM112" s="181"/>
      <c r="KHN112" s="182"/>
      <c r="KHO112" s="181"/>
      <c r="KHP112" s="182"/>
      <c r="KHQ112" s="181"/>
      <c r="KHR112" s="182"/>
      <c r="KHS112" s="181"/>
      <c r="KHT112" s="182"/>
      <c r="KHU112" s="181"/>
      <c r="KHV112" s="182"/>
      <c r="KHW112" s="181"/>
      <c r="KHX112" s="182"/>
      <c r="KHY112" s="181"/>
      <c r="KHZ112" s="182"/>
      <c r="KIA112" s="181"/>
      <c r="KIB112" s="182"/>
      <c r="KIC112" s="181"/>
      <c r="KID112" s="182"/>
      <c r="KIE112" s="181"/>
      <c r="KIF112" s="182"/>
      <c r="KIG112" s="181"/>
      <c r="KIH112" s="182"/>
      <c r="KII112" s="181"/>
      <c r="KIJ112" s="182"/>
      <c r="KIK112" s="181"/>
      <c r="KIL112" s="182"/>
      <c r="KIM112" s="181"/>
      <c r="KIN112" s="182"/>
      <c r="KIO112" s="181"/>
      <c r="KIP112" s="182"/>
      <c r="KIQ112" s="181"/>
      <c r="KIR112" s="182"/>
      <c r="KIS112" s="181"/>
      <c r="KIT112" s="182"/>
      <c r="KIU112" s="181"/>
      <c r="KIV112" s="182"/>
      <c r="KIW112" s="181"/>
      <c r="KIX112" s="182"/>
      <c r="KIY112" s="181"/>
      <c r="KIZ112" s="182"/>
      <c r="KJA112" s="181"/>
      <c r="KJB112" s="182"/>
      <c r="KJC112" s="181"/>
      <c r="KJD112" s="182"/>
      <c r="KJE112" s="181"/>
      <c r="KJF112" s="182"/>
      <c r="KJG112" s="181"/>
      <c r="KJH112" s="182"/>
      <c r="KJI112" s="181"/>
      <c r="KJJ112" s="182"/>
      <c r="KJK112" s="181"/>
      <c r="KJL112" s="182"/>
      <c r="KJM112" s="181"/>
      <c r="KJN112" s="182"/>
      <c r="KJO112" s="181"/>
      <c r="KJP112" s="182"/>
      <c r="KJQ112" s="181"/>
      <c r="KJR112" s="182"/>
      <c r="KJS112" s="181"/>
      <c r="KJT112" s="182"/>
      <c r="KJU112" s="181"/>
      <c r="KJV112" s="182"/>
      <c r="KJW112" s="181"/>
      <c r="KJX112" s="182"/>
      <c r="KJY112" s="181"/>
      <c r="KJZ112" s="182"/>
      <c r="KKA112" s="181"/>
      <c r="KKB112" s="182"/>
      <c r="KKC112" s="181"/>
      <c r="KKD112" s="182"/>
      <c r="KKE112" s="181"/>
      <c r="KKF112" s="182"/>
      <c r="KKG112" s="181"/>
      <c r="KKH112" s="182"/>
      <c r="KKI112" s="181"/>
      <c r="KKJ112" s="182"/>
      <c r="KKK112" s="181"/>
      <c r="KKL112" s="182"/>
      <c r="KKM112" s="181"/>
      <c r="KKN112" s="182"/>
      <c r="KKO112" s="181"/>
      <c r="KKP112" s="182"/>
      <c r="KKQ112" s="181"/>
      <c r="KKR112" s="182"/>
      <c r="KKS112" s="181"/>
      <c r="KKT112" s="182"/>
      <c r="KKU112" s="181"/>
      <c r="KKV112" s="182"/>
      <c r="KKW112" s="181"/>
      <c r="KKX112" s="182"/>
      <c r="KKY112" s="181"/>
      <c r="KKZ112" s="182"/>
      <c r="KLA112" s="181"/>
      <c r="KLB112" s="182"/>
      <c r="KLC112" s="181"/>
      <c r="KLD112" s="182"/>
      <c r="KLE112" s="181"/>
      <c r="KLF112" s="182"/>
      <c r="KLG112" s="181"/>
      <c r="KLH112" s="182"/>
      <c r="KLI112" s="181"/>
      <c r="KLJ112" s="182"/>
      <c r="KLK112" s="181"/>
      <c r="KLL112" s="182"/>
      <c r="KLM112" s="181"/>
      <c r="KLN112" s="182"/>
      <c r="KLO112" s="181"/>
      <c r="KLP112" s="182"/>
      <c r="KLQ112" s="181"/>
      <c r="KLR112" s="182"/>
      <c r="KLS112" s="181"/>
      <c r="KLT112" s="182"/>
      <c r="KLU112" s="181"/>
      <c r="KLV112" s="182"/>
      <c r="KLW112" s="181"/>
      <c r="KLX112" s="182"/>
      <c r="KLY112" s="181"/>
      <c r="KLZ112" s="182"/>
      <c r="KMA112" s="181"/>
      <c r="KMB112" s="182"/>
      <c r="KMC112" s="181"/>
      <c r="KMD112" s="182"/>
      <c r="KME112" s="181"/>
      <c r="KMF112" s="182"/>
      <c r="KMG112" s="181"/>
      <c r="KMH112" s="182"/>
      <c r="KMI112" s="181"/>
      <c r="KMJ112" s="182"/>
      <c r="KMK112" s="181"/>
      <c r="KML112" s="182"/>
      <c r="KMM112" s="181"/>
      <c r="KMN112" s="182"/>
      <c r="KMO112" s="181"/>
      <c r="KMP112" s="182"/>
      <c r="KMQ112" s="181"/>
      <c r="KMR112" s="182"/>
      <c r="KMS112" s="181"/>
      <c r="KMT112" s="182"/>
      <c r="KMU112" s="181"/>
      <c r="KMV112" s="182"/>
      <c r="KMW112" s="181"/>
      <c r="KMX112" s="182"/>
      <c r="KMY112" s="181"/>
      <c r="KMZ112" s="182"/>
      <c r="KNA112" s="181"/>
      <c r="KNB112" s="182"/>
      <c r="KNC112" s="181"/>
      <c r="KND112" s="182"/>
      <c r="KNE112" s="181"/>
      <c r="KNF112" s="182"/>
      <c r="KNG112" s="181"/>
      <c r="KNH112" s="182"/>
      <c r="KNI112" s="181"/>
      <c r="KNJ112" s="182"/>
      <c r="KNK112" s="181"/>
      <c r="KNL112" s="182"/>
      <c r="KNM112" s="181"/>
      <c r="KNN112" s="182"/>
      <c r="KNO112" s="181"/>
      <c r="KNP112" s="182"/>
      <c r="KNQ112" s="181"/>
      <c r="KNR112" s="182"/>
      <c r="KNS112" s="181"/>
      <c r="KNT112" s="182"/>
      <c r="KNU112" s="181"/>
      <c r="KNV112" s="182"/>
      <c r="KNW112" s="181"/>
      <c r="KNX112" s="182"/>
      <c r="KNY112" s="181"/>
      <c r="KNZ112" s="182"/>
      <c r="KOA112" s="181"/>
      <c r="KOB112" s="182"/>
      <c r="KOC112" s="181"/>
      <c r="KOD112" s="182"/>
      <c r="KOE112" s="181"/>
      <c r="KOF112" s="182"/>
      <c r="KOG112" s="181"/>
      <c r="KOH112" s="182"/>
      <c r="KOI112" s="181"/>
      <c r="KOJ112" s="182"/>
      <c r="KOK112" s="181"/>
      <c r="KOL112" s="182"/>
      <c r="KOM112" s="181"/>
      <c r="KON112" s="182"/>
      <c r="KOO112" s="181"/>
      <c r="KOP112" s="182"/>
      <c r="KOQ112" s="181"/>
      <c r="KOR112" s="182"/>
      <c r="KOS112" s="181"/>
      <c r="KOT112" s="182"/>
      <c r="KOU112" s="181"/>
      <c r="KOV112" s="182"/>
      <c r="KOW112" s="181"/>
      <c r="KOX112" s="182"/>
      <c r="KOY112" s="181"/>
      <c r="KOZ112" s="182"/>
      <c r="KPA112" s="181"/>
      <c r="KPB112" s="182"/>
      <c r="KPC112" s="181"/>
      <c r="KPD112" s="182"/>
      <c r="KPE112" s="181"/>
      <c r="KPF112" s="182"/>
      <c r="KPG112" s="181"/>
      <c r="KPH112" s="182"/>
      <c r="KPI112" s="181"/>
      <c r="KPJ112" s="182"/>
      <c r="KPK112" s="181"/>
      <c r="KPL112" s="182"/>
      <c r="KPM112" s="181"/>
      <c r="KPN112" s="182"/>
      <c r="KPO112" s="181"/>
      <c r="KPP112" s="182"/>
      <c r="KPQ112" s="181"/>
      <c r="KPR112" s="182"/>
      <c r="KPS112" s="181"/>
      <c r="KPT112" s="182"/>
      <c r="KPU112" s="181"/>
      <c r="KPV112" s="182"/>
      <c r="KPW112" s="181"/>
      <c r="KPX112" s="182"/>
      <c r="KPY112" s="181"/>
      <c r="KPZ112" s="182"/>
      <c r="KQA112" s="181"/>
      <c r="KQB112" s="182"/>
      <c r="KQC112" s="181"/>
      <c r="KQD112" s="182"/>
      <c r="KQE112" s="181"/>
      <c r="KQF112" s="182"/>
      <c r="KQG112" s="181"/>
      <c r="KQH112" s="182"/>
      <c r="KQI112" s="181"/>
      <c r="KQJ112" s="182"/>
      <c r="KQK112" s="181"/>
      <c r="KQL112" s="182"/>
      <c r="KQM112" s="181"/>
      <c r="KQN112" s="182"/>
      <c r="KQO112" s="181"/>
      <c r="KQP112" s="182"/>
      <c r="KQQ112" s="181"/>
      <c r="KQR112" s="182"/>
      <c r="KQS112" s="181"/>
      <c r="KQT112" s="182"/>
      <c r="KQU112" s="181"/>
      <c r="KQV112" s="182"/>
      <c r="KQW112" s="181"/>
      <c r="KQX112" s="182"/>
      <c r="KQY112" s="181"/>
      <c r="KQZ112" s="182"/>
      <c r="KRA112" s="181"/>
      <c r="KRB112" s="182"/>
      <c r="KRC112" s="181"/>
      <c r="KRD112" s="182"/>
      <c r="KRE112" s="181"/>
      <c r="KRF112" s="182"/>
      <c r="KRG112" s="181"/>
      <c r="KRH112" s="182"/>
      <c r="KRI112" s="181"/>
      <c r="KRJ112" s="182"/>
      <c r="KRK112" s="181"/>
      <c r="KRL112" s="182"/>
      <c r="KRM112" s="181"/>
      <c r="KRN112" s="182"/>
      <c r="KRO112" s="181"/>
      <c r="KRP112" s="182"/>
      <c r="KRQ112" s="181"/>
      <c r="KRR112" s="182"/>
      <c r="KRS112" s="181"/>
      <c r="KRT112" s="182"/>
      <c r="KRU112" s="181"/>
      <c r="KRV112" s="182"/>
      <c r="KRW112" s="181"/>
      <c r="KRX112" s="182"/>
      <c r="KRY112" s="181"/>
      <c r="KRZ112" s="182"/>
      <c r="KSA112" s="181"/>
      <c r="KSB112" s="182"/>
      <c r="KSC112" s="181"/>
      <c r="KSD112" s="182"/>
      <c r="KSE112" s="181"/>
      <c r="KSF112" s="182"/>
      <c r="KSG112" s="181"/>
      <c r="KSH112" s="182"/>
      <c r="KSI112" s="181"/>
      <c r="KSJ112" s="182"/>
      <c r="KSK112" s="181"/>
      <c r="KSL112" s="182"/>
      <c r="KSM112" s="181"/>
      <c r="KSN112" s="182"/>
      <c r="KSO112" s="181"/>
      <c r="KSP112" s="182"/>
      <c r="KSQ112" s="181"/>
      <c r="KSR112" s="182"/>
      <c r="KSS112" s="181"/>
      <c r="KST112" s="182"/>
      <c r="KSU112" s="181"/>
      <c r="KSV112" s="182"/>
      <c r="KSW112" s="181"/>
      <c r="KSX112" s="182"/>
      <c r="KSY112" s="181"/>
      <c r="KSZ112" s="182"/>
      <c r="KTA112" s="181"/>
      <c r="KTB112" s="182"/>
      <c r="KTC112" s="181"/>
      <c r="KTD112" s="182"/>
      <c r="KTE112" s="181"/>
      <c r="KTF112" s="182"/>
      <c r="KTG112" s="181"/>
      <c r="KTH112" s="182"/>
      <c r="KTI112" s="181"/>
      <c r="KTJ112" s="182"/>
      <c r="KTK112" s="181"/>
      <c r="KTL112" s="182"/>
      <c r="KTM112" s="181"/>
      <c r="KTN112" s="182"/>
      <c r="KTO112" s="181"/>
      <c r="KTP112" s="182"/>
      <c r="KTQ112" s="181"/>
      <c r="KTR112" s="182"/>
      <c r="KTS112" s="181"/>
      <c r="KTT112" s="182"/>
      <c r="KTU112" s="181"/>
      <c r="KTV112" s="182"/>
      <c r="KTW112" s="181"/>
      <c r="KTX112" s="182"/>
      <c r="KTY112" s="181"/>
      <c r="KTZ112" s="182"/>
      <c r="KUA112" s="181"/>
      <c r="KUB112" s="182"/>
      <c r="KUC112" s="181"/>
      <c r="KUD112" s="182"/>
      <c r="KUE112" s="181"/>
      <c r="KUF112" s="182"/>
      <c r="KUG112" s="181"/>
      <c r="KUH112" s="182"/>
      <c r="KUI112" s="181"/>
      <c r="KUJ112" s="182"/>
      <c r="KUK112" s="181"/>
      <c r="KUL112" s="182"/>
      <c r="KUM112" s="181"/>
      <c r="KUN112" s="182"/>
      <c r="KUO112" s="181"/>
      <c r="KUP112" s="182"/>
      <c r="KUQ112" s="181"/>
      <c r="KUR112" s="182"/>
      <c r="KUS112" s="181"/>
      <c r="KUT112" s="182"/>
      <c r="KUU112" s="181"/>
      <c r="KUV112" s="182"/>
      <c r="KUW112" s="181"/>
      <c r="KUX112" s="182"/>
      <c r="KUY112" s="181"/>
      <c r="KUZ112" s="182"/>
      <c r="KVA112" s="181"/>
      <c r="KVB112" s="182"/>
      <c r="KVC112" s="181"/>
      <c r="KVD112" s="182"/>
      <c r="KVE112" s="181"/>
      <c r="KVF112" s="182"/>
      <c r="KVG112" s="181"/>
      <c r="KVH112" s="182"/>
      <c r="KVI112" s="181"/>
      <c r="KVJ112" s="182"/>
      <c r="KVK112" s="181"/>
      <c r="KVL112" s="182"/>
      <c r="KVM112" s="181"/>
      <c r="KVN112" s="182"/>
      <c r="KVO112" s="181"/>
      <c r="KVP112" s="182"/>
      <c r="KVQ112" s="181"/>
      <c r="KVR112" s="182"/>
      <c r="KVS112" s="181"/>
      <c r="KVT112" s="182"/>
      <c r="KVU112" s="181"/>
      <c r="KVV112" s="182"/>
      <c r="KVW112" s="181"/>
      <c r="KVX112" s="182"/>
      <c r="KVY112" s="181"/>
      <c r="KVZ112" s="182"/>
      <c r="KWA112" s="181"/>
      <c r="KWB112" s="182"/>
      <c r="KWC112" s="181"/>
      <c r="KWD112" s="182"/>
      <c r="KWE112" s="181"/>
      <c r="KWF112" s="182"/>
      <c r="KWG112" s="181"/>
      <c r="KWH112" s="182"/>
      <c r="KWI112" s="181"/>
      <c r="KWJ112" s="182"/>
      <c r="KWK112" s="181"/>
      <c r="KWL112" s="182"/>
      <c r="KWM112" s="181"/>
      <c r="KWN112" s="182"/>
      <c r="KWO112" s="181"/>
      <c r="KWP112" s="182"/>
      <c r="KWQ112" s="181"/>
      <c r="KWR112" s="182"/>
      <c r="KWS112" s="181"/>
      <c r="KWT112" s="182"/>
      <c r="KWU112" s="181"/>
      <c r="KWV112" s="182"/>
      <c r="KWW112" s="181"/>
      <c r="KWX112" s="182"/>
      <c r="KWY112" s="181"/>
      <c r="KWZ112" s="182"/>
      <c r="KXA112" s="181"/>
      <c r="KXB112" s="182"/>
      <c r="KXC112" s="181"/>
      <c r="KXD112" s="182"/>
      <c r="KXE112" s="181"/>
      <c r="KXF112" s="182"/>
      <c r="KXG112" s="181"/>
      <c r="KXH112" s="182"/>
      <c r="KXI112" s="181"/>
      <c r="KXJ112" s="182"/>
      <c r="KXK112" s="181"/>
      <c r="KXL112" s="182"/>
      <c r="KXM112" s="181"/>
      <c r="KXN112" s="182"/>
      <c r="KXO112" s="181"/>
      <c r="KXP112" s="182"/>
      <c r="KXQ112" s="181"/>
      <c r="KXR112" s="182"/>
      <c r="KXS112" s="181"/>
      <c r="KXT112" s="182"/>
      <c r="KXU112" s="181"/>
      <c r="KXV112" s="182"/>
      <c r="KXW112" s="181"/>
      <c r="KXX112" s="182"/>
      <c r="KXY112" s="181"/>
      <c r="KXZ112" s="182"/>
      <c r="KYA112" s="181"/>
      <c r="KYB112" s="182"/>
      <c r="KYC112" s="181"/>
      <c r="KYD112" s="182"/>
      <c r="KYE112" s="181"/>
      <c r="KYF112" s="182"/>
      <c r="KYG112" s="181"/>
      <c r="KYH112" s="182"/>
      <c r="KYI112" s="181"/>
      <c r="KYJ112" s="182"/>
      <c r="KYK112" s="181"/>
      <c r="KYL112" s="182"/>
      <c r="KYM112" s="181"/>
      <c r="KYN112" s="182"/>
      <c r="KYO112" s="181"/>
      <c r="KYP112" s="182"/>
      <c r="KYQ112" s="181"/>
      <c r="KYR112" s="182"/>
      <c r="KYS112" s="181"/>
      <c r="KYT112" s="182"/>
      <c r="KYU112" s="181"/>
      <c r="KYV112" s="182"/>
      <c r="KYW112" s="181"/>
      <c r="KYX112" s="182"/>
      <c r="KYY112" s="181"/>
      <c r="KYZ112" s="182"/>
      <c r="KZA112" s="181"/>
      <c r="KZB112" s="182"/>
      <c r="KZC112" s="181"/>
      <c r="KZD112" s="182"/>
      <c r="KZE112" s="181"/>
      <c r="KZF112" s="182"/>
      <c r="KZG112" s="181"/>
      <c r="KZH112" s="182"/>
      <c r="KZI112" s="181"/>
      <c r="KZJ112" s="182"/>
      <c r="KZK112" s="181"/>
      <c r="KZL112" s="182"/>
      <c r="KZM112" s="181"/>
      <c r="KZN112" s="182"/>
      <c r="KZO112" s="181"/>
      <c r="KZP112" s="182"/>
      <c r="KZQ112" s="181"/>
      <c r="KZR112" s="182"/>
      <c r="KZS112" s="181"/>
      <c r="KZT112" s="182"/>
      <c r="KZU112" s="181"/>
      <c r="KZV112" s="182"/>
      <c r="KZW112" s="181"/>
      <c r="KZX112" s="182"/>
      <c r="KZY112" s="181"/>
      <c r="KZZ112" s="182"/>
      <c r="LAA112" s="181"/>
      <c r="LAB112" s="182"/>
      <c r="LAC112" s="181"/>
      <c r="LAD112" s="182"/>
      <c r="LAE112" s="181"/>
      <c r="LAF112" s="182"/>
      <c r="LAG112" s="181"/>
      <c r="LAH112" s="182"/>
      <c r="LAI112" s="181"/>
      <c r="LAJ112" s="182"/>
      <c r="LAK112" s="181"/>
      <c r="LAL112" s="182"/>
      <c r="LAM112" s="181"/>
      <c r="LAN112" s="182"/>
      <c r="LAO112" s="181"/>
      <c r="LAP112" s="182"/>
      <c r="LAQ112" s="181"/>
      <c r="LAR112" s="182"/>
      <c r="LAS112" s="181"/>
      <c r="LAT112" s="182"/>
      <c r="LAU112" s="181"/>
      <c r="LAV112" s="182"/>
      <c r="LAW112" s="181"/>
      <c r="LAX112" s="182"/>
      <c r="LAY112" s="181"/>
      <c r="LAZ112" s="182"/>
      <c r="LBA112" s="181"/>
      <c r="LBB112" s="182"/>
      <c r="LBC112" s="181"/>
      <c r="LBD112" s="182"/>
      <c r="LBE112" s="181"/>
      <c r="LBF112" s="182"/>
      <c r="LBG112" s="181"/>
      <c r="LBH112" s="182"/>
      <c r="LBI112" s="181"/>
      <c r="LBJ112" s="182"/>
      <c r="LBK112" s="181"/>
      <c r="LBL112" s="182"/>
      <c r="LBM112" s="181"/>
      <c r="LBN112" s="182"/>
      <c r="LBO112" s="181"/>
      <c r="LBP112" s="182"/>
      <c r="LBQ112" s="181"/>
      <c r="LBR112" s="182"/>
      <c r="LBS112" s="181"/>
      <c r="LBT112" s="182"/>
      <c r="LBU112" s="181"/>
      <c r="LBV112" s="182"/>
      <c r="LBW112" s="181"/>
      <c r="LBX112" s="182"/>
      <c r="LBY112" s="181"/>
      <c r="LBZ112" s="182"/>
      <c r="LCA112" s="181"/>
      <c r="LCB112" s="182"/>
      <c r="LCC112" s="181"/>
      <c r="LCD112" s="182"/>
      <c r="LCE112" s="181"/>
      <c r="LCF112" s="182"/>
      <c r="LCG112" s="181"/>
      <c r="LCH112" s="182"/>
      <c r="LCI112" s="181"/>
      <c r="LCJ112" s="182"/>
      <c r="LCK112" s="181"/>
      <c r="LCL112" s="182"/>
      <c r="LCM112" s="181"/>
      <c r="LCN112" s="182"/>
      <c r="LCO112" s="181"/>
      <c r="LCP112" s="182"/>
      <c r="LCQ112" s="181"/>
      <c r="LCR112" s="182"/>
      <c r="LCS112" s="181"/>
      <c r="LCT112" s="182"/>
      <c r="LCU112" s="181"/>
      <c r="LCV112" s="182"/>
      <c r="LCW112" s="181"/>
      <c r="LCX112" s="182"/>
      <c r="LCY112" s="181"/>
      <c r="LCZ112" s="182"/>
      <c r="LDA112" s="181"/>
      <c r="LDB112" s="182"/>
      <c r="LDC112" s="181"/>
      <c r="LDD112" s="182"/>
      <c r="LDE112" s="181"/>
      <c r="LDF112" s="182"/>
      <c r="LDG112" s="181"/>
      <c r="LDH112" s="182"/>
      <c r="LDI112" s="181"/>
      <c r="LDJ112" s="182"/>
      <c r="LDK112" s="181"/>
      <c r="LDL112" s="182"/>
      <c r="LDM112" s="181"/>
      <c r="LDN112" s="182"/>
      <c r="LDO112" s="181"/>
      <c r="LDP112" s="182"/>
      <c r="LDQ112" s="181"/>
      <c r="LDR112" s="182"/>
      <c r="LDS112" s="181"/>
      <c r="LDT112" s="182"/>
      <c r="LDU112" s="181"/>
      <c r="LDV112" s="182"/>
      <c r="LDW112" s="181"/>
      <c r="LDX112" s="182"/>
      <c r="LDY112" s="181"/>
      <c r="LDZ112" s="182"/>
      <c r="LEA112" s="181"/>
      <c r="LEB112" s="182"/>
      <c r="LEC112" s="181"/>
      <c r="LED112" s="182"/>
      <c r="LEE112" s="181"/>
      <c r="LEF112" s="182"/>
      <c r="LEG112" s="181"/>
      <c r="LEH112" s="182"/>
      <c r="LEI112" s="181"/>
      <c r="LEJ112" s="182"/>
      <c r="LEK112" s="181"/>
      <c r="LEL112" s="182"/>
      <c r="LEM112" s="181"/>
      <c r="LEN112" s="182"/>
      <c r="LEO112" s="181"/>
      <c r="LEP112" s="182"/>
      <c r="LEQ112" s="181"/>
      <c r="LER112" s="182"/>
      <c r="LES112" s="181"/>
      <c r="LET112" s="182"/>
      <c r="LEU112" s="181"/>
      <c r="LEV112" s="182"/>
      <c r="LEW112" s="181"/>
      <c r="LEX112" s="182"/>
      <c r="LEY112" s="181"/>
      <c r="LEZ112" s="182"/>
      <c r="LFA112" s="181"/>
      <c r="LFB112" s="182"/>
      <c r="LFC112" s="181"/>
      <c r="LFD112" s="182"/>
      <c r="LFE112" s="181"/>
      <c r="LFF112" s="182"/>
      <c r="LFG112" s="181"/>
      <c r="LFH112" s="182"/>
      <c r="LFI112" s="181"/>
      <c r="LFJ112" s="182"/>
      <c r="LFK112" s="181"/>
      <c r="LFL112" s="182"/>
      <c r="LFM112" s="181"/>
      <c r="LFN112" s="182"/>
      <c r="LFO112" s="181"/>
      <c r="LFP112" s="182"/>
      <c r="LFQ112" s="181"/>
      <c r="LFR112" s="182"/>
      <c r="LFS112" s="181"/>
      <c r="LFT112" s="182"/>
      <c r="LFU112" s="181"/>
      <c r="LFV112" s="182"/>
      <c r="LFW112" s="181"/>
      <c r="LFX112" s="182"/>
      <c r="LFY112" s="181"/>
      <c r="LFZ112" s="182"/>
      <c r="LGA112" s="181"/>
      <c r="LGB112" s="182"/>
      <c r="LGC112" s="181"/>
      <c r="LGD112" s="182"/>
      <c r="LGE112" s="181"/>
      <c r="LGF112" s="182"/>
      <c r="LGG112" s="181"/>
      <c r="LGH112" s="182"/>
      <c r="LGI112" s="181"/>
      <c r="LGJ112" s="182"/>
      <c r="LGK112" s="181"/>
      <c r="LGL112" s="182"/>
      <c r="LGM112" s="181"/>
      <c r="LGN112" s="182"/>
      <c r="LGO112" s="181"/>
      <c r="LGP112" s="182"/>
      <c r="LGQ112" s="181"/>
      <c r="LGR112" s="182"/>
      <c r="LGS112" s="181"/>
      <c r="LGT112" s="182"/>
      <c r="LGU112" s="181"/>
      <c r="LGV112" s="182"/>
      <c r="LGW112" s="181"/>
      <c r="LGX112" s="182"/>
      <c r="LGY112" s="181"/>
      <c r="LGZ112" s="182"/>
      <c r="LHA112" s="181"/>
      <c r="LHB112" s="182"/>
      <c r="LHC112" s="181"/>
      <c r="LHD112" s="182"/>
      <c r="LHE112" s="181"/>
      <c r="LHF112" s="182"/>
      <c r="LHG112" s="181"/>
      <c r="LHH112" s="182"/>
      <c r="LHI112" s="181"/>
      <c r="LHJ112" s="182"/>
      <c r="LHK112" s="181"/>
      <c r="LHL112" s="182"/>
      <c r="LHM112" s="181"/>
      <c r="LHN112" s="182"/>
      <c r="LHO112" s="181"/>
      <c r="LHP112" s="182"/>
      <c r="LHQ112" s="181"/>
      <c r="LHR112" s="182"/>
      <c r="LHS112" s="181"/>
      <c r="LHT112" s="182"/>
      <c r="LHU112" s="181"/>
      <c r="LHV112" s="182"/>
      <c r="LHW112" s="181"/>
      <c r="LHX112" s="182"/>
      <c r="LHY112" s="181"/>
      <c r="LHZ112" s="182"/>
      <c r="LIA112" s="181"/>
      <c r="LIB112" s="182"/>
      <c r="LIC112" s="181"/>
      <c r="LID112" s="182"/>
      <c r="LIE112" s="181"/>
      <c r="LIF112" s="182"/>
      <c r="LIG112" s="181"/>
      <c r="LIH112" s="182"/>
      <c r="LII112" s="181"/>
      <c r="LIJ112" s="182"/>
      <c r="LIK112" s="181"/>
      <c r="LIL112" s="182"/>
      <c r="LIM112" s="181"/>
      <c r="LIN112" s="182"/>
      <c r="LIO112" s="181"/>
      <c r="LIP112" s="182"/>
      <c r="LIQ112" s="181"/>
      <c r="LIR112" s="182"/>
      <c r="LIS112" s="181"/>
      <c r="LIT112" s="182"/>
      <c r="LIU112" s="181"/>
      <c r="LIV112" s="182"/>
      <c r="LIW112" s="181"/>
      <c r="LIX112" s="182"/>
      <c r="LIY112" s="181"/>
      <c r="LIZ112" s="182"/>
      <c r="LJA112" s="181"/>
      <c r="LJB112" s="182"/>
      <c r="LJC112" s="181"/>
      <c r="LJD112" s="182"/>
      <c r="LJE112" s="181"/>
      <c r="LJF112" s="182"/>
      <c r="LJG112" s="181"/>
      <c r="LJH112" s="182"/>
      <c r="LJI112" s="181"/>
      <c r="LJJ112" s="182"/>
      <c r="LJK112" s="181"/>
      <c r="LJL112" s="182"/>
      <c r="LJM112" s="181"/>
      <c r="LJN112" s="182"/>
      <c r="LJO112" s="181"/>
      <c r="LJP112" s="182"/>
      <c r="LJQ112" s="181"/>
      <c r="LJR112" s="182"/>
      <c r="LJS112" s="181"/>
      <c r="LJT112" s="182"/>
      <c r="LJU112" s="181"/>
      <c r="LJV112" s="182"/>
      <c r="LJW112" s="181"/>
      <c r="LJX112" s="182"/>
      <c r="LJY112" s="181"/>
      <c r="LJZ112" s="182"/>
      <c r="LKA112" s="181"/>
      <c r="LKB112" s="182"/>
      <c r="LKC112" s="181"/>
      <c r="LKD112" s="182"/>
      <c r="LKE112" s="181"/>
      <c r="LKF112" s="182"/>
      <c r="LKG112" s="181"/>
      <c r="LKH112" s="182"/>
      <c r="LKI112" s="181"/>
      <c r="LKJ112" s="182"/>
      <c r="LKK112" s="181"/>
      <c r="LKL112" s="182"/>
      <c r="LKM112" s="181"/>
      <c r="LKN112" s="182"/>
      <c r="LKO112" s="181"/>
      <c r="LKP112" s="182"/>
      <c r="LKQ112" s="181"/>
      <c r="LKR112" s="182"/>
      <c r="LKS112" s="181"/>
      <c r="LKT112" s="182"/>
      <c r="LKU112" s="181"/>
      <c r="LKV112" s="182"/>
      <c r="LKW112" s="181"/>
      <c r="LKX112" s="182"/>
      <c r="LKY112" s="181"/>
      <c r="LKZ112" s="182"/>
      <c r="LLA112" s="181"/>
      <c r="LLB112" s="182"/>
      <c r="LLC112" s="181"/>
      <c r="LLD112" s="182"/>
      <c r="LLE112" s="181"/>
      <c r="LLF112" s="182"/>
      <c r="LLG112" s="181"/>
      <c r="LLH112" s="182"/>
      <c r="LLI112" s="181"/>
      <c r="LLJ112" s="182"/>
      <c r="LLK112" s="181"/>
      <c r="LLL112" s="182"/>
      <c r="LLM112" s="181"/>
      <c r="LLN112" s="182"/>
      <c r="LLO112" s="181"/>
      <c r="LLP112" s="182"/>
      <c r="LLQ112" s="181"/>
      <c r="LLR112" s="182"/>
      <c r="LLS112" s="181"/>
      <c r="LLT112" s="182"/>
      <c r="LLU112" s="181"/>
      <c r="LLV112" s="182"/>
      <c r="LLW112" s="181"/>
      <c r="LLX112" s="182"/>
      <c r="LLY112" s="181"/>
      <c r="LLZ112" s="182"/>
      <c r="LMA112" s="181"/>
      <c r="LMB112" s="182"/>
      <c r="LMC112" s="181"/>
      <c r="LMD112" s="182"/>
      <c r="LME112" s="181"/>
      <c r="LMF112" s="182"/>
      <c r="LMG112" s="181"/>
      <c r="LMH112" s="182"/>
      <c r="LMI112" s="181"/>
      <c r="LMJ112" s="182"/>
      <c r="LMK112" s="181"/>
      <c r="LML112" s="182"/>
      <c r="LMM112" s="181"/>
      <c r="LMN112" s="182"/>
      <c r="LMO112" s="181"/>
      <c r="LMP112" s="182"/>
      <c r="LMQ112" s="181"/>
      <c r="LMR112" s="182"/>
      <c r="LMS112" s="181"/>
      <c r="LMT112" s="182"/>
      <c r="LMU112" s="181"/>
      <c r="LMV112" s="182"/>
      <c r="LMW112" s="181"/>
      <c r="LMX112" s="182"/>
      <c r="LMY112" s="181"/>
      <c r="LMZ112" s="182"/>
      <c r="LNA112" s="181"/>
      <c r="LNB112" s="182"/>
      <c r="LNC112" s="181"/>
      <c r="LND112" s="182"/>
      <c r="LNE112" s="181"/>
      <c r="LNF112" s="182"/>
      <c r="LNG112" s="181"/>
      <c r="LNH112" s="182"/>
      <c r="LNI112" s="181"/>
      <c r="LNJ112" s="182"/>
      <c r="LNK112" s="181"/>
      <c r="LNL112" s="182"/>
      <c r="LNM112" s="181"/>
      <c r="LNN112" s="182"/>
      <c r="LNO112" s="181"/>
      <c r="LNP112" s="182"/>
      <c r="LNQ112" s="181"/>
      <c r="LNR112" s="182"/>
      <c r="LNS112" s="181"/>
      <c r="LNT112" s="182"/>
      <c r="LNU112" s="181"/>
      <c r="LNV112" s="182"/>
      <c r="LNW112" s="181"/>
      <c r="LNX112" s="182"/>
      <c r="LNY112" s="181"/>
      <c r="LNZ112" s="182"/>
      <c r="LOA112" s="181"/>
      <c r="LOB112" s="182"/>
      <c r="LOC112" s="181"/>
      <c r="LOD112" s="182"/>
      <c r="LOE112" s="181"/>
      <c r="LOF112" s="182"/>
      <c r="LOG112" s="181"/>
      <c r="LOH112" s="182"/>
      <c r="LOI112" s="181"/>
      <c r="LOJ112" s="182"/>
      <c r="LOK112" s="181"/>
      <c r="LOL112" s="182"/>
      <c r="LOM112" s="181"/>
      <c r="LON112" s="182"/>
      <c r="LOO112" s="181"/>
      <c r="LOP112" s="182"/>
      <c r="LOQ112" s="181"/>
      <c r="LOR112" s="182"/>
      <c r="LOS112" s="181"/>
      <c r="LOT112" s="182"/>
      <c r="LOU112" s="181"/>
      <c r="LOV112" s="182"/>
      <c r="LOW112" s="181"/>
      <c r="LOX112" s="182"/>
      <c r="LOY112" s="181"/>
      <c r="LOZ112" s="182"/>
      <c r="LPA112" s="181"/>
      <c r="LPB112" s="182"/>
      <c r="LPC112" s="181"/>
      <c r="LPD112" s="182"/>
      <c r="LPE112" s="181"/>
      <c r="LPF112" s="182"/>
      <c r="LPG112" s="181"/>
      <c r="LPH112" s="182"/>
      <c r="LPI112" s="181"/>
      <c r="LPJ112" s="182"/>
      <c r="LPK112" s="181"/>
      <c r="LPL112" s="182"/>
      <c r="LPM112" s="181"/>
      <c r="LPN112" s="182"/>
      <c r="LPO112" s="181"/>
      <c r="LPP112" s="182"/>
      <c r="LPQ112" s="181"/>
      <c r="LPR112" s="182"/>
      <c r="LPS112" s="181"/>
      <c r="LPT112" s="182"/>
      <c r="LPU112" s="181"/>
      <c r="LPV112" s="182"/>
      <c r="LPW112" s="181"/>
      <c r="LPX112" s="182"/>
      <c r="LPY112" s="181"/>
      <c r="LPZ112" s="182"/>
      <c r="LQA112" s="181"/>
      <c r="LQB112" s="182"/>
      <c r="LQC112" s="181"/>
      <c r="LQD112" s="182"/>
      <c r="LQE112" s="181"/>
      <c r="LQF112" s="182"/>
      <c r="LQG112" s="181"/>
      <c r="LQH112" s="182"/>
      <c r="LQI112" s="181"/>
      <c r="LQJ112" s="182"/>
      <c r="LQK112" s="181"/>
      <c r="LQL112" s="182"/>
      <c r="LQM112" s="181"/>
      <c r="LQN112" s="182"/>
      <c r="LQO112" s="181"/>
      <c r="LQP112" s="182"/>
      <c r="LQQ112" s="181"/>
      <c r="LQR112" s="182"/>
      <c r="LQS112" s="181"/>
      <c r="LQT112" s="182"/>
      <c r="LQU112" s="181"/>
      <c r="LQV112" s="182"/>
      <c r="LQW112" s="181"/>
      <c r="LQX112" s="182"/>
      <c r="LQY112" s="181"/>
      <c r="LQZ112" s="182"/>
      <c r="LRA112" s="181"/>
      <c r="LRB112" s="182"/>
      <c r="LRC112" s="181"/>
      <c r="LRD112" s="182"/>
      <c r="LRE112" s="181"/>
      <c r="LRF112" s="182"/>
      <c r="LRG112" s="181"/>
      <c r="LRH112" s="182"/>
      <c r="LRI112" s="181"/>
      <c r="LRJ112" s="182"/>
      <c r="LRK112" s="181"/>
      <c r="LRL112" s="182"/>
      <c r="LRM112" s="181"/>
      <c r="LRN112" s="182"/>
      <c r="LRO112" s="181"/>
      <c r="LRP112" s="182"/>
      <c r="LRQ112" s="181"/>
      <c r="LRR112" s="182"/>
      <c r="LRS112" s="181"/>
      <c r="LRT112" s="182"/>
      <c r="LRU112" s="181"/>
      <c r="LRV112" s="182"/>
      <c r="LRW112" s="181"/>
      <c r="LRX112" s="182"/>
      <c r="LRY112" s="181"/>
      <c r="LRZ112" s="182"/>
      <c r="LSA112" s="181"/>
      <c r="LSB112" s="182"/>
      <c r="LSC112" s="181"/>
      <c r="LSD112" s="182"/>
      <c r="LSE112" s="181"/>
      <c r="LSF112" s="182"/>
      <c r="LSG112" s="181"/>
      <c r="LSH112" s="182"/>
      <c r="LSI112" s="181"/>
      <c r="LSJ112" s="182"/>
      <c r="LSK112" s="181"/>
      <c r="LSL112" s="182"/>
      <c r="LSM112" s="181"/>
      <c r="LSN112" s="182"/>
      <c r="LSO112" s="181"/>
      <c r="LSP112" s="182"/>
      <c r="LSQ112" s="181"/>
      <c r="LSR112" s="182"/>
      <c r="LSS112" s="181"/>
      <c r="LST112" s="182"/>
      <c r="LSU112" s="181"/>
      <c r="LSV112" s="182"/>
      <c r="LSW112" s="181"/>
      <c r="LSX112" s="182"/>
      <c r="LSY112" s="181"/>
      <c r="LSZ112" s="182"/>
      <c r="LTA112" s="181"/>
      <c r="LTB112" s="182"/>
      <c r="LTC112" s="181"/>
      <c r="LTD112" s="182"/>
      <c r="LTE112" s="181"/>
      <c r="LTF112" s="182"/>
      <c r="LTG112" s="181"/>
      <c r="LTH112" s="182"/>
      <c r="LTI112" s="181"/>
      <c r="LTJ112" s="182"/>
      <c r="LTK112" s="181"/>
      <c r="LTL112" s="182"/>
      <c r="LTM112" s="181"/>
      <c r="LTN112" s="182"/>
      <c r="LTO112" s="181"/>
      <c r="LTP112" s="182"/>
      <c r="LTQ112" s="181"/>
      <c r="LTR112" s="182"/>
      <c r="LTS112" s="181"/>
      <c r="LTT112" s="182"/>
      <c r="LTU112" s="181"/>
      <c r="LTV112" s="182"/>
      <c r="LTW112" s="181"/>
      <c r="LTX112" s="182"/>
      <c r="LTY112" s="181"/>
      <c r="LTZ112" s="182"/>
      <c r="LUA112" s="181"/>
      <c r="LUB112" s="182"/>
      <c r="LUC112" s="181"/>
      <c r="LUD112" s="182"/>
      <c r="LUE112" s="181"/>
      <c r="LUF112" s="182"/>
      <c r="LUG112" s="181"/>
      <c r="LUH112" s="182"/>
      <c r="LUI112" s="181"/>
      <c r="LUJ112" s="182"/>
      <c r="LUK112" s="181"/>
      <c r="LUL112" s="182"/>
      <c r="LUM112" s="181"/>
      <c r="LUN112" s="182"/>
      <c r="LUO112" s="181"/>
      <c r="LUP112" s="182"/>
      <c r="LUQ112" s="181"/>
      <c r="LUR112" s="182"/>
      <c r="LUS112" s="181"/>
      <c r="LUT112" s="182"/>
      <c r="LUU112" s="181"/>
      <c r="LUV112" s="182"/>
      <c r="LUW112" s="181"/>
      <c r="LUX112" s="182"/>
      <c r="LUY112" s="181"/>
      <c r="LUZ112" s="182"/>
      <c r="LVA112" s="181"/>
      <c r="LVB112" s="182"/>
      <c r="LVC112" s="181"/>
      <c r="LVD112" s="182"/>
      <c r="LVE112" s="181"/>
      <c r="LVF112" s="182"/>
      <c r="LVG112" s="181"/>
      <c r="LVH112" s="182"/>
      <c r="LVI112" s="181"/>
      <c r="LVJ112" s="182"/>
      <c r="LVK112" s="181"/>
      <c r="LVL112" s="182"/>
      <c r="LVM112" s="181"/>
      <c r="LVN112" s="182"/>
      <c r="LVO112" s="181"/>
      <c r="LVP112" s="182"/>
      <c r="LVQ112" s="181"/>
      <c r="LVR112" s="182"/>
      <c r="LVS112" s="181"/>
      <c r="LVT112" s="182"/>
      <c r="LVU112" s="181"/>
      <c r="LVV112" s="182"/>
      <c r="LVW112" s="181"/>
      <c r="LVX112" s="182"/>
      <c r="LVY112" s="181"/>
      <c r="LVZ112" s="182"/>
      <c r="LWA112" s="181"/>
      <c r="LWB112" s="182"/>
      <c r="LWC112" s="181"/>
      <c r="LWD112" s="182"/>
      <c r="LWE112" s="181"/>
      <c r="LWF112" s="182"/>
      <c r="LWG112" s="181"/>
      <c r="LWH112" s="182"/>
      <c r="LWI112" s="181"/>
      <c r="LWJ112" s="182"/>
      <c r="LWK112" s="181"/>
      <c r="LWL112" s="182"/>
      <c r="LWM112" s="181"/>
      <c r="LWN112" s="182"/>
      <c r="LWO112" s="181"/>
      <c r="LWP112" s="182"/>
      <c r="LWQ112" s="181"/>
      <c r="LWR112" s="182"/>
      <c r="LWS112" s="181"/>
      <c r="LWT112" s="182"/>
      <c r="LWU112" s="181"/>
      <c r="LWV112" s="182"/>
      <c r="LWW112" s="181"/>
      <c r="LWX112" s="182"/>
      <c r="LWY112" s="181"/>
      <c r="LWZ112" s="182"/>
      <c r="LXA112" s="181"/>
      <c r="LXB112" s="182"/>
      <c r="LXC112" s="181"/>
      <c r="LXD112" s="182"/>
      <c r="LXE112" s="181"/>
      <c r="LXF112" s="182"/>
      <c r="LXG112" s="181"/>
      <c r="LXH112" s="182"/>
      <c r="LXI112" s="181"/>
      <c r="LXJ112" s="182"/>
      <c r="LXK112" s="181"/>
      <c r="LXL112" s="182"/>
      <c r="LXM112" s="181"/>
      <c r="LXN112" s="182"/>
      <c r="LXO112" s="181"/>
      <c r="LXP112" s="182"/>
      <c r="LXQ112" s="181"/>
      <c r="LXR112" s="182"/>
      <c r="LXS112" s="181"/>
      <c r="LXT112" s="182"/>
      <c r="LXU112" s="181"/>
      <c r="LXV112" s="182"/>
      <c r="LXW112" s="181"/>
      <c r="LXX112" s="182"/>
      <c r="LXY112" s="181"/>
      <c r="LXZ112" s="182"/>
      <c r="LYA112" s="181"/>
      <c r="LYB112" s="182"/>
      <c r="LYC112" s="181"/>
      <c r="LYD112" s="182"/>
      <c r="LYE112" s="181"/>
      <c r="LYF112" s="182"/>
      <c r="LYG112" s="181"/>
      <c r="LYH112" s="182"/>
      <c r="LYI112" s="181"/>
      <c r="LYJ112" s="182"/>
      <c r="LYK112" s="181"/>
      <c r="LYL112" s="182"/>
      <c r="LYM112" s="181"/>
      <c r="LYN112" s="182"/>
      <c r="LYO112" s="181"/>
      <c r="LYP112" s="182"/>
      <c r="LYQ112" s="181"/>
      <c r="LYR112" s="182"/>
      <c r="LYS112" s="181"/>
      <c r="LYT112" s="182"/>
      <c r="LYU112" s="181"/>
      <c r="LYV112" s="182"/>
      <c r="LYW112" s="181"/>
      <c r="LYX112" s="182"/>
      <c r="LYY112" s="181"/>
      <c r="LYZ112" s="182"/>
      <c r="LZA112" s="181"/>
      <c r="LZB112" s="182"/>
      <c r="LZC112" s="181"/>
      <c r="LZD112" s="182"/>
      <c r="LZE112" s="181"/>
      <c r="LZF112" s="182"/>
      <c r="LZG112" s="181"/>
      <c r="LZH112" s="182"/>
      <c r="LZI112" s="181"/>
      <c r="LZJ112" s="182"/>
      <c r="LZK112" s="181"/>
      <c r="LZL112" s="182"/>
      <c r="LZM112" s="181"/>
      <c r="LZN112" s="182"/>
      <c r="LZO112" s="181"/>
      <c r="LZP112" s="182"/>
      <c r="LZQ112" s="181"/>
      <c r="LZR112" s="182"/>
      <c r="LZS112" s="181"/>
      <c r="LZT112" s="182"/>
      <c r="LZU112" s="181"/>
      <c r="LZV112" s="182"/>
      <c r="LZW112" s="181"/>
      <c r="LZX112" s="182"/>
      <c r="LZY112" s="181"/>
      <c r="LZZ112" s="182"/>
      <c r="MAA112" s="181"/>
      <c r="MAB112" s="182"/>
      <c r="MAC112" s="181"/>
      <c r="MAD112" s="182"/>
      <c r="MAE112" s="181"/>
      <c r="MAF112" s="182"/>
      <c r="MAG112" s="181"/>
      <c r="MAH112" s="182"/>
      <c r="MAI112" s="181"/>
      <c r="MAJ112" s="182"/>
      <c r="MAK112" s="181"/>
      <c r="MAL112" s="182"/>
      <c r="MAM112" s="181"/>
      <c r="MAN112" s="182"/>
      <c r="MAO112" s="181"/>
      <c r="MAP112" s="182"/>
      <c r="MAQ112" s="181"/>
      <c r="MAR112" s="182"/>
      <c r="MAS112" s="181"/>
      <c r="MAT112" s="182"/>
      <c r="MAU112" s="181"/>
      <c r="MAV112" s="182"/>
      <c r="MAW112" s="181"/>
      <c r="MAX112" s="182"/>
      <c r="MAY112" s="181"/>
      <c r="MAZ112" s="182"/>
      <c r="MBA112" s="181"/>
      <c r="MBB112" s="182"/>
      <c r="MBC112" s="181"/>
      <c r="MBD112" s="182"/>
      <c r="MBE112" s="181"/>
      <c r="MBF112" s="182"/>
      <c r="MBG112" s="181"/>
      <c r="MBH112" s="182"/>
      <c r="MBI112" s="181"/>
      <c r="MBJ112" s="182"/>
      <c r="MBK112" s="181"/>
      <c r="MBL112" s="182"/>
      <c r="MBM112" s="181"/>
      <c r="MBN112" s="182"/>
      <c r="MBO112" s="181"/>
      <c r="MBP112" s="182"/>
      <c r="MBQ112" s="181"/>
      <c r="MBR112" s="182"/>
      <c r="MBS112" s="181"/>
      <c r="MBT112" s="182"/>
      <c r="MBU112" s="181"/>
      <c r="MBV112" s="182"/>
      <c r="MBW112" s="181"/>
      <c r="MBX112" s="182"/>
      <c r="MBY112" s="181"/>
      <c r="MBZ112" s="182"/>
      <c r="MCA112" s="181"/>
      <c r="MCB112" s="182"/>
      <c r="MCC112" s="181"/>
      <c r="MCD112" s="182"/>
      <c r="MCE112" s="181"/>
      <c r="MCF112" s="182"/>
      <c r="MCG112" s="181"/>
      <c r="MCH112" s="182"/>
      <c r="MCI112" s="181"/>
      <c r="MCJ112" s="182"/>
      <c r="MCK112" s="181"/>
      <c r="MCL112" s="182"/>
      <c r="MCM112" s="181"/>
      <c r="MCN112" s="182"/>
      <c r="MCO112" s="181"/>
      <c r="MCP112" s="182"/>
      <c r="MCQ112" s="181"/>
      <c r="MCR112" s="182"/>
      <c r="MCS112" s="181"/>
      <c r="MCT112" s="182"/>
      <c r="MCU112" s="181"/>
      <c r="MCV112" s="182"/>
      <c r="MCW112" s="181"/>
      <c r="MCX112" s="182"/>
      <c r="MCY112" s="181"/>
      <c r="MCZ112" s="182"/>
      <c r="MDA112" s="181"/>
      <c r="MDB112" s="182"/>
      <c r="MDC112" s="181"/>
      <c r="MDD112" s="182"/>
      <c r="MDE112" s="181"/>
      <c r="MDF112" s="182"/>
      <c r="MDG112" s="181"/>
      <c r="MDH112" s="182"/>
      <c r="MDI112" s="181"/>
      <c r="MDJ112" s="182"/>
      <c r="MDK112" s="181"/>
      <c r="MDL112" s="182"/>
      <c r="MDM112" s="181"/>
      <c r="MDN112" s="182"/>
      <c r="MDO112" s="181"/>
      <c r="MDP112" s="182"/>
      <c r="MDQ112" s="181"/>
      <c r="MDR112" s="182"/>
      <c r="MDS112" s="181"/>
      <c r="MDT112" s="182"/>
      <c r="MDU112" s="181"/>
      <c r="MDV112" s="182"/>
      <c r="MDW112" s="181"/>
      <c r="MDX112" s="182"/>
      <c r="MDY112" s="181"/>
      <c r="MDZ112" s="182"/>
      <c r="MEA112" s="181"/>
      <c r="MEB112" s="182"/>
      <c r="MEC112" s="181"/>
      <c r="MED112" s="182"/>
      <c r="MEE112" s="181"/>
      <c r="MEF112" s="182"/>
      <c r="MEG112" s="181"/>
      <c r="MEH112" s="182"/>
      <c r="MEI112" s="181"/>
      <c r="MEJ112" s="182"/>
      <c r="MEK112" s="181"/>
      <c r="MEL112" s="182"/>
      <c r="MEM112" s="181"/>
      <c r="MEN112" s="182"/>
      <c r="MEO112" s="181"/>
      <c r="MEP112" s="182"/>
      <c r="MEQ112" s="181"/>
      <c r="MER112" s="182"/>
      <c r="MES112" s="181"/>
      <c r="MET112" s="182"/>
      <c r="MEU112" s="181"/>
      <c r="MEV112" s="182"/>
      <c r="MEW112" s="181"/>
      <c r="MEX112" s="182"/>
      <c r="MEY112" s="181"/>
      <c r="MEZ112" s="182"/>
      <c r="MFA112" s="181"/>
      <c r="MFB112" s="182"/>
      <c r="MFC112" s="181"/>
      <c r="MFD112" s="182"/>
      <c r="MFE112" s="181"/>
      <c r="MFF112" s="182"/>
      <c r="MFG112" s="181"/>
      <c r="MFH112" s="182"/>
      <c r="MFI112" s="181"/>
      <c r="MFJ112" s="182"/>
      <c r="MFK112" s="181"/>
      <c r="MFL112" s="182"/>
      <c r="MFM112" s="181"/>
      <c r="MFN112" s="182"/>
      <c r="MFO112" s="181"/>
      <c r="MFP112" s="182"/>
      <c r="MFQ112" s="181"/>
      <c r="MFR112" s="182"/>
      <c r="MFS112" s="181"/>
      <c r="MFT112" s="182"/>
      <c r="MFU112" s="181"/>
      <c r="MFV112" s="182"/>
      <c r="MFW112" s="181"/>
      <c r="MFX112" s="182"/>
      <c r="MFY112" s="181"/>
      <c r="MFZ112" s="182"/>
      <c r="MGA112" s="181"/>
      <c r="MGB112" s="182"/>
      <c r="MGC112" s="181"/>
      <c r="MGD112" s="182"/>
      <c r="MGE112" s="181"/>
      <c r="MGF112" s="182"/>
      <c r="MGG112" s="181"/>
      <c r="MGH112" s="182"/>
      <c r="MGI112" s="181"/>
      <c r="MGJ112" s="182"/>
      <c r="MGK112" s="181"/>
      <c r="MGL112" s="182"/>
      <c r="MGM112" s="181"/>
      <c r="MGN112" s="182"/>
      <c r="MGO112" s="181"/>
      <c r="MGP112" s="182"/>
      <c r="MGQ112" s="181"/>
      <c r="MGR112" s="182"/>
      <c r="MGS112" s="181"/>
      <c r="MGT112" s="182"/>
      <c r="MGU112" s="181"/>
      <c r="MGV112" s="182"/>
      <c r="MGW112" s="181"/>
      <c r="MGX112" s="182"/>
      <c r="MGY112" s="181"/>
      <c r="MGZ112" s="182"/>
      <c r="MHA112" s="181"/>
      <c r="MHB112" s="182"/>
      <c r="MHC112" s="181"/>
      <c r="MHD112" s="182"/>
      <c r="MHE112" s="181"/>
      <c r="MHF112" s="182"/>
      <c r="MHG112" s="181"/>
      <c r="MHH112" s="182"/>
      <c r="MHI112" s="181"/>
      <c r="MHJ112" s="182"/>
      <c r="MHK112" s="181"/>
      <c r="MHL112" s="182"/>
      <c r="MHM112" s="181"/>
      <c r="MHN112" s="182"/>
      <c r="MHO112" s="181"/>
      <c r="MHP112" s="182"/>
      <c r="MHQ112" s="181"/>
      <c r="MHR112" s="182"/>
      <c r="MHS112" s="181"/>
      <c r="MHT112" s="182"/>
      <c r="MHU112" s="181"/>
      <c r="MHV112" s="182"/>
      <c r="MHW112" s="181"/>
      <c r="MHX112" s="182"/>
      <c r="MHY112" s="181"/>
      <c r="MHZ112" s="182"/>
      <c r="MIA112" s="181"/>
      <c r="MIB112" s="182"/>
      <c r="MIC112" s="181"/>
      <c r="MID112" s="182"/>
      <c r="MIE112" s="181"/>
      <c r="MIF112" s="182"/>
      <c r="MIG112" s="181"/>
      <c r="MIH112" s="182"/>
      <c r="MII112" s="181"/>
      <c r="MIJ112" s="182"/>
      <c r="MIK112" s="181"/>
      <c r="MIL112" s="182"/>
      <c r="MIM112" s="181"/>
      <c r="MIN112" s="182"/>
      <c r="MIO112" s="181"/>
      <c r="MIP112" s="182"/>
      <c r="MIQ112" s="181"/>
      <c r="MIR112" s="182"/>
      <c r="MIS112" s="181"/>
      <c r="MIT112" s="182"/>
      <c r="MIU112" s="181"/>
      <c r="MIV112" s="182"/>
      <c r="MIW112" s="181"/>
      <c r="MIX112" s="182"/>
      <c r="MIY112" s="181"/>
      <c r="MIZ112" s="182"/>
      <c r="MJA112" s="181"/>
      <c r="MJB112" s="182"/>
      <c r="MJC112" s="181"/>
      <c r="MJD112" s="182"/>
      <c r="MJE112" s="181"/>
      <c r="MJF112" s="182"/>
      <c r="MJG112" s="181"/>
      <c r="MJH112" s="182"/>
      <c r="MJI112" s="181"/>
      <c r="MJJ112" s="182"/>
      <c r="MJK112" s="181"/>
      <c r="MJL112" s="182"/>
      <c r="MJM112" s="181"/>
      <c r="MJN112" s="182"/>
      <c r="MJO112" s="181"/>
      <c r="MJP112" s="182"/>
      <c r="MJQ112" s="181"/>
      <c r="MJR112" s="182"/>
      <c r="MJS112" s="181"/>
      <c r="MJT112" s="182"/>
      <c r="MJU112" s="181"/>
      <c r="MJV112" s="182"/>
      <c r="MJW112" s="181"/>
      <c r="MJX112" s="182"/>
      <c r="MJY112" s="181"/>
      <c r="MJZ112" s="182"/>
      <c r="MKA112" s="181"/>
      <c r="MKB112" s="182"/>
      <c r="MKC112" s="181"/>
      <c r="MKD112" s="182"/>
      <c r="MKE112" s="181"/>
      <c r="MKF112" s="182"/>
      <c r="MKG112" s="181"/>
      <c r="MKH112" s="182"/>
      <c r="MKI112" s="181"/>
      <c r="MKJ112" s="182"/>
      <c r="MKK112" s="181"/>
      <c r="MKL112" s="182"/>
      <c r="MKM112" s="181"/>
      <c r="MKN112" s="182"/>
      <c r="MKO112" s="181"/>
      <c r="MKP112" s="182"/>
      <c r="MKQ112" s="181"/>
      <c r="MKR112" s="182"/>
      <c r="MKS112" s="181"/>
      <c r="MKT112" s="182"/>
      <c r="MKU112" s="181"/>
      <c r="MKV112" s="182"/>
      <c r="MKW112" s="181"/>
      <c r="MKX112" s="182"/>
      <c r="MKY112" s="181"/>
      <c r="MKZ112" s="182"/>
      <c r="MLA112" s="181"/>
      <c r="MLB112" s="182"/>
      <c r="MLC112" s="181"/>
      <c r="MLD112" s="182"/>
      <c r="MLE112" s="181"/>
      <c r="MLF112" s="182"/>
      <c r="MLG112" s="181"/>
      <c r="MLH112" s="182"/>
      <c r="MLI112" s="181"/>
      <c r="MLJ112" s="182"/>
      <c r="MLK112" s="181"/>
      <c r="MLL112" s="182"/>
      <c r="MLM112" s="181"/>
      <c r="MLN112" s="182"/>
      <c r="MLO112" s="181"/>
      <c r="MLP112" s="182"/>
      <c r="MLQ112" s="181"/>
      <c r="MLR112" s="182"/>
      <c r="MLS112" s="181"/>
      <c r="MLT112" s="182"/>
      <c r="MLU112" s="181"/>
      <c r="MLV112" s="182"/>
      <c r="MLW112" s="181"/>
      <c r="MLX112" s="182"/>
      <c r="MLY112" s="181"/>
      <c r="MLZ112" s="182"/>
      <c r="MMA112" s="181"/>
      <c r="MMB112" s="182"/>
      <c r="MMC112" s="181"/>
      <c r="MMD112" s="182"/>
      <c r="MME112" s="181"/>
      <c r="MMF112" s="182"/>
      <c r="MMG112" s="181"/>
      <c r="MMH112" s="182"/>
      <c r="MMI112" s="181"/>
      <c r="MMJ112" s="182"/>
      <c r="MMK112" s="181"/>
      <c r="MML112" s="182"/>
      <c r="MMM112" s="181"/>
      <c r="MMN112" s="182"/>
      <c r="MMO112" s="181"/>
      <c r="MMP112" s="182"/>
      <c r="MMQ112" s="181"/>
      <c r="MMR112" s="182"/>
      <c r="MMS112" s="181"/>
      <c r="MMT112" s="182"/>
      <c r="MMU112" s="181"/>
      <c r="MMV112" s="182"/>
      <c r="MMW112" s="181"/>
      <c r="MMX112" s="182"/>
      <c r="MMY112" s="181"/>
      <c r="MMZ112" s="182"/>
      <c r="MNA112" s="181"/>
      <c r="MNB112" s="182"/>
      <c r="MNC112" s="181"/>
      <c r="MND112" s="182"/>
      <c r="MNE112" s="181"/>
      <c r="MNF112" s="182"/>
      <c r="MNG112" s="181"/>
      <c r="MNH112" s="182"/>
      <c r="MNI112" s="181"/>
      <c r="MNJ112" s="182"/>
      <c r="MNK112" s="181"/>
      <c r="MNL112" s="182"/>
      <c r="MNM112" s="181"/>
      <c r="MNN112" s="182"/>
      <c r="MNO112" s="181"/>
      <c r="MNP112" s="182"/>
      <c r="MNQ112" s="181"/>
      <c r="MNR112" s="182"/>
      <c r="MNS112" s="181"/>
      <c r="MNT112" s="182"/>
      <c r="MNU112" s="181"/>
      <c r="MNV112" s="182"/>
      <c r="MNW112" s="181"/>
      <c r="MNX112" s="182"/>
      <c r="MNY112" s="181"/>
      <c r="MNZ112" s="182"/>
      <c r="MOA112" s="181"/>
      <c r="MOB112" s="182"/>
      <c r="MOC112" s="181"/>
      <c r="MOD112" s="182"/>
      <c r="MOE112" s="181"/>
      <c r="MOF112" s="182"/>
      <c r="MOG112" s="181"/>
      <c r="MOH112" s="182"/>
      <c r="MOI112" s="181"/>
      <c r="MOJ112" s="182"/>
      <c r="MOK112" s="181"/>
      <c r="MOL112" s="182"/>
      <c r="MOM112" s="181"/>
      <c r="MON112" s="182"/>
      <c r="MOO112" s="181"/>
      <c r="MOP112" s="182"/>
      <c r="MOQ112" s="181"/>
      <c r="MOR112" s="182"/>
      <c r="MOS112" s="181"/>
      <c r="MOT112" s="182"/>
      <c r="MOU112" s="181"/>
      <c r="MOV112" s="182"/>
      <c r="MOW112" s="181"/>
      <c r="MOX112" s="182"/>
      <c r="MOY112" s="181"/>
      <c r="MOZ112" s="182"/>
      <c r="MPA112" s="181"/>
      <c r="MPB112" s="182"/>
      <c r="MPC112" s="181"/>
      <c r="MPD112" s="182"/>
      <c r="MPE112" s="181"/>
      <c r="MPF112" s="182"/>
      <c r="MPG112" s="181"/>
      <c r="MPH112" s="182"/>
      <c r="MPI112" s="181"/>
      <c r="MPJ112" s="182"/>
      <c r="MPK112" s="181"/>
      <c r="MPL112" s="182"/>
      <c r="MPM112" s="181"/>
      <c r="MPN112" s="182"/>
      <c r="MPO112" s="181"/>
      <c r="MPP112" s="182"/>
      <c r="MPQ112" s="181"/>
      <c r="MPR112" s="182"/>
      <c r="MPS112" s="181"/>
      <c r="MPT112" s="182"/>
      <c r="MPU112" s="181"/>
      <c r="MPV112" s="182"/>
      <c r="MPW112" s="181"/>
      <c r="MPX112" s="182"/>
      <c r="MPY112" s="181"/>
      <c r="MPZ112" s="182"/>
      <c r="MQA112" s="181"/>
      <c r="MQB112" s="182"/>
      <c r="MQC112" s="181"/>
      <c r="MQD112" s="182"/>
      <c r="MQE112" s="181"/>
      <c r="MQF112" s="182"/>
      <c r="MQG112" s="181"/>
      <c r="MQH112" s="182"/>
      <c r="MQI112" s="181"/>
      <c r="MQJ112" s="182"/>
      <c r="MQK112" s="181"/>
      <c r="MQL112" s="182"/>
      <c r="MQM112" s="181"/>
      <c r="MQN112" s="182"/>
      <c r="MQO112" s="181"/>
      <c r="MQP112" s="182"/>
      <c r="MQQ112" s="181"/>
      <c r="MQR112" s="182"/>
      <c r="MQS112" s="181"/>
      <c r="MQT112" s="182"/>
      <c r="MQU112" s="181"/>
      <c r="MQV112" s="182"/>
      <c r="MQW112" s="181"/>
      <c r="MQX112" s="182"/>
      <c r="MQY112" s="181"/>
      <c r="MQZ112" s="182"/>
      <c r="MRA112" s="181"/>
      <c r="MRB112" s="182"/>
      <c r="MRC112" s="181"/>
      <c r="MRD112" s="182"/>
      <c r="MRE112" s="181"/>
      <c r="MRF112" s="182"/>
      <c r="MRG112" s="181"/>
      <c r="MRH112" s="182"/>
      <c r="MRI112" s="181"/>
      <c r="MRJ112" s="182"/>
      <c r="MRK112" s="181"/>
      <c r="MRL112" s="182"/>
      <c r="MRM112" s="181"/>
      <c r="MRN112" s="182"/>
      <c r="MRO112" s="181"/>
      <c r="MRP112" s="182"/>
      <c r="MRQ112" s="181"/>
      <c r="MRR112" s="182"/>
      <c r="MRS112" s="181"/>
      <c r="MRT112" s="182"/>
      <c r="MRU112" s="181"/>
      <c r="MRV112" s="182"/>
      <c r="MRW112" s="181"/>
      <c r="MRX112" s="182"/>
      <c r="MRY112" s="181"/>
      <c r="MRZ112" s="182"/>
      <c r="MSA112" s="181"/>
      <c r="MSB112" s="182"/>
      <c r="MSC112" s="181"/>
      <c r="MSD112" s="182"/>
      <c r="MSE112" s="181"/>
      <c r="MSF112" s="182"/>
      <c r="MSG112" s="181"/>
      <c r="MSH112" s="182"/>
      <c r="MSI112" s="181"/>
      <c r="MSJ112" s="182"/>
      <c r="MSK112" s="181"/>
      <c r="MSL112" s="182"/>
      <c r="MSM112" s="181"/>
      <c r="MSN112" s="182"/>
      <c r="MSO112" s="181"/>
      <c r="MSP112" s="182"/>
      <c r="MSQ112" s="181"/>
      <c r="MSR112" s="182"/>
      <c r="MSS112" s="181"/>
      <c r="MST112" s="182"/>
      <c r="MSU112" s="181"/>
      <c r="MSV112" s="182"/>
      <c r="MSW112" s="181"/>
      <c r="MSX112" s="182"/>
      <c r="MSY112" s="181"/>
      <c r="MSZ112" s="182"/>
      <c r="MTA112" s="181"/>
      <c r="MTB112" s="182"/>
      <c r="MTC112" s="181"/>
      <c r="MTD112" s="182"/>
      <c r="MTE112" s="181"/>
      <c r="MTF112" s="182"/>
      <c r="MTG112" s="181"/>
      <c r="MTH112" s="182"/>
      <c r="MTI112" s="181"/>
      <c r="MTJ112" s="182"/>
      <c r="MTK112" s="181"/>
      <c r="MTL112" s="182"/>
      <c r="MTM112" s="181"/>
      <c r="MTN112" s="182"/>
      <c r="MTO112" s="181"/>
      <c r="MTP112" s="182"/>
      <c r="MTQ112" s="181"/>
      <c r="MTR112" s="182"/>
      <c r="MTS112" s="181"/>
      <c r="MTT112" s="182"/>
      <c r="MTU112" s="181"/>
      <c r="MTV112" s="182"/>
      <c r="MTW112" s="181"/>
      <c r="MTX112" s="182"/>
      <c r="MTY112" s="181"/>
      <c r="MTZ112" s="182"/>
      <c r="MUA112" s="181"/>
      <c r="MUB112" s="182"/>
      <c r="MUC112" s="181"/>
      <c r="MUD112" s="182"/>
      <c r="MUE112" s="181"/>
      <c r="MUF112" s="182"/>
      <c r="MUG112" s="181"/>
      <c r="MUH112" s="182"/>
      <c r="MUI112" s="181"/>
      <c r="MUJ112" s="182"/>
      <c r="MUK112" s="181"/>
      <c r="MUL112" s="182"/>
      <c r="MUM112" s="181"/>
      <c r="MUN112" s="182"/>
      <c r="MUO112" s="181"/>
      <c r="MUP112" s="182"/>
      <c r="MUQ112" s="181"/>
      <c r="MUR112" s="182"/>
      <c r="MUS112" s="181"/>
      <c r="MUT112" s="182"/>
      <c r="MUU112" s="181"/>
      <c r="MUV112" s="182"/>
      <c r="MUW112" s="181"/>
      <c r="MUX112" s="182"/>
      <c r="MUY112" s="181"/>
      <c r="MUZ112" s="182"/>
      <c r="MVA112" s="181"/>
      <c r="MVB112" s="182"/>
      <c r="MVC112" s="181"/>
      <c r="MVD112" s="182"/>
      <c r="MVE112" s="181"/>
      <c r="MVF112" s="182"/>
      <c r="MVG112" s="181"/>
      <c r="MVH112" s="182"/>
      <c r="MVI112" s="181"/>
      <c r="MVJ112" s="182"/>
      <c r="MVK112" s="181"/>
      <c r="MVL112" s="182"/>
      <c r="MVM112" s="181"/>
      <c r="MVN112" s="182"/>
      <c r="MVO112" s="181"/>
      <c r="MVP112" s="182"/>
      <c r="MVQ112" s="181"/>
      <c r="MVR112" s="182"/>
      <c r="MVS112" s="181"/>
      <c r="MVT112" s="182"/>
      <c r="MVU112" s="181"/>
      <c r="MVV112" s="182"/>
      <c r="MVW112" s="181"/>
      <c r="MVX112" s="182"/>
      <c r="MVY112" s="181"/>
      <c r="MVZ112" s="182"/>
      <c r="MWA112" s="181"/>
      <c r="MWB112" s="182"/>
      <c r="MWC112" s="181"/>
      <c r="MWD112" s="182"/>
      <c r="MWE112" s="181"/>
      <c r="MWF112" s="182"/>
      <c r="MWG112" s="181"/>
      <c r="MWH112" s="182"/>
      <c r="MWI112" s="181"/>
      <c r="MWJ112" s="182"/>
      <c r="MWK112" s="181"/>
      <c r="MWL112" s="182"/>
      <c r="MWM112" s="181"/>
      <c r="MWN112" s="182"/>
      <c r="MWO112" s="181"/>
      <c r="MWP112" s="182"/>
      <c r="MWQ112" s="181"/>
      <c r="MWR112" s="182"/>
      <c r="MWS112" s="181"/>
      <c r="MWT112" s="182"/>
      <c r="MWU112" s="181"/>
      <c r="MWV112" s="182"/>
      <c r="MWW112" s="181"/>
      <c r="MWX112" s="182"/>
      <c r="MWY112" s="181"/>
      <c r="MWZ112" s="182"/>
      <c r="MXA112" s="181"/>
      <c r="MXB112" s="182"/>
      <c r="MXC112" s="181"/>
      <c r="MXD112" s="182"/>
      <c r="MXE112" s="181"/>
      <c r="MXF112" s="182"/>
      <c r="MXG112" s="181"/>
      <c r="MXH112" s="182"/>
      <c r="MXI112" s="181"/>
      <c r="MXJ112" s="182"/>
      <c r="MXK112" s="181"/>
      <c r="MXL112" s="182"/>
      <c r="MXM112" s="181"/>
      <c r="MXN112" s="182"/>
      <c r="MXO112" s="181"/>
      <c r="MXP112" s="182"/>
      <c r="MXQ112" s="181"/>
      <c r="MXR112" s="182"/>
      <c r="MXS112" s="181"/>
      <c r="MXT112" s="182"/>
      <c r="MXU112" s="181"/>
      <c r="MXV112" s="182"/>
      <c r="MXW112" s="181"/>
      <c r="MXX112" s="182"/>
      <c r="MXY112" s="181"/>
      <c r="MXZ112" s="182"/>
      <c r="MYA112" s="181"/>
      <c r="MYB112" s="182"/>
      <c r="MYC112" s="181"/>
      <c r="MYD112" s="182"/>
      <c r="MYE112" s="181"/>
      <c r="MYF112" s="182"/>
      <c r="MYG112" s="181"/>
      <c r="MYH112" s="182"/>
      <c r="MYI112" s="181"/>
      <c r="MYJ112" s="182"/>
      <c r="MYK112" s="181"/>
      <c r="MYL112" s="182"/>
      <c r="MYM112" s="181"/>
      <c r="MYN112" s="182"/>
      <c r="MYO112" s="181"/>
      <c r="MYP112" s="182"/>
      <c r="MYQ112" s="181"/>
      <c r="MYR112" s="182"/>
      <c r="MYS112" s="181"/>
      <c r="MYT112" s="182"/>
      <c r="MYU112" s="181"/>
      <c r="MYV112" s="182"/>
      <c r="MYW112" s="181"/>
      <c r="MYX112" s="182"/>
      <c r="MYY112" s="181"/>
      <c r="MYZ112" s="182"/>
      <c r="MZA112" s="181"/>
      <c r="MZB112" s="182"/>
      <c r="MZC112" s="181"/>
      <c r="MZD112" s="182"/>
      <c r="MZE112" s="181"/>
      <c r="MZF112" s="182"/>
      <c r="MZG112" s="181"/>
      <c r="MZH112" s="182"/>
      <c r="MZI112" s="181"/>
      <c r="MZJ112" s="182"/>
      <c r="MZK112" s="181"/>
      <c r="MZL112" s="182"/>
      <c r="MZM112" s="181"/>
      <c r="MZN112" s="182"/>
      <c r="MZO112" s="181"/>
      <c r="MZP112" s="182"/>
      <c r="MZQ112" s="181"/>
      <c r="MZR112" s="182"/>
      <c r="MZS112" s="181"/>
      <c r="MZT112" s="182"/>
      <c r="MZU112" s="181"/>
      <c r="MZV112" s="182"/>
      <c r="MZW112" s="181"/>
      <c r="MZX112" s="182"/>
      <c r="MZY112" s="181"/>
      <c r="MZZ112" s="182"/>
      <c r="NAA112" s="181"/>
      <c r="NAB112" s="182"/>
      <c r="NAC112" s="181"/>
      <c r="NAD112" s="182"/>
      <c r="NAE112" s="181"/>
      <c r="NAF112" s="182"/>
      <c r="NAG112" s="181"/>
      <c r="NAH112" s="182"/>
      <c r="NAI112" s="181"/>
      <c r="NAJ112" s="182"/>
      <c r="NAK112" s="181"/>
      <c r="NAL112" s="182"/>
      <c r="NAM112" s="181"/>
      <c r="NAN112" s="182"/>
      <c r="NAO112" s="181"/>
      <c r="NAP112" s="182"/>
      <c r="NAQ112" s="181"/>
      <c r="NAR112" s="182"/>
      <c r="NAS112" s="181"/>
      <c r="NAT112" s="182"/>
      <c r="NAU112" s="181"/>
      <c r="NAV112" s="182"/>
      <c r="NAW112" s="181"/>
      <c r="NAX112" s="182"/>
      <c r="NAY112" s="181"/>
      <c r="NAZ112" s="182"/>
      <c r="NBA112" s="181"/>
      <c r="NBB112" s="182"/>
      <c r="NBC112" s="181"/>
      <c r="NBD112" s="182"/>
      <c r="NBE112" s="181"/>
      <c r="NBF112" s="182"/>
      <c r="NBG112" s="181"/>
      <c r="NBH112" s="182"/>
      <c r="NBI112" s="181"/>
      <c r="NBJ112" s="182"/>
      <c r="NBK112" s="181"/>
      <c r="NBL112" s="182"/>
      <c r="NBM112" s="181"/>
      <c r="NBN112" s="182"/>
      <c r="NBO112" s="181"/>
      <c r="NBP112" s="182"/>
      <c r="NBQ112" s="181"/>
      <c r="NBR112" s="182"/>
      <c r="NBS112" s="181"/>
      <c r="NBT112" s="182"/>
      <c r="NBU112" s="181"/>
      <c r="NBV112" s="182"/>
      <c r="NBW112" s="181"/>
      <c r="NBX112" s="182"/>
      <c r="NBY112" s="181"/>
      <c r="NBZ112" s="182"/>
      <c r="NCA112" s="181"/>
      <c r="NCB112" s="182"/>
      <c r="NCC112" s="181"/>
      <c r="NCD112" s="182"/>
      <c r="NCE112" s="181"/>
      <c r="NCF112" s="182"/>
      <c r="NCG112" s="181"/>
      <c r="NCH112" s="182"/>
      <c r="NCI112" s="181"/>
      <c r="NCJ112" s="182"/>
      <c r="NCK112" s="181"/>
      <c r="NCL112" s="182"/>
      <c r="NCM112" s="181"/>
      <c r="NCN112" s="182"/>
      <c r="NCO112" s="181"/>
      <c r="NCP112" s="182"/>
      <c r="NCQ112" s="181"/>
      <c r="NCR112" s="182"/>
      <c r="NCS112" s="181"/>
      <c r="NCT112" s="182"/>
      <c r="NCU112" s="181"/>
      <c r="NCV112" s="182"/>
      <c r="NCW112" s="181"/>
      <c r="NCX112" s="182"/>
      <c r="NCY112" s="181"/>
      <c r="NCZ112" s="182"/>
      <c r="NDA112" s="181"/>
      <c r="NDB112" s="182"/>
      <c r="NDC112" s="181"/>
      <c r="NDD112" s="182"/>
      <c r="NDE112" s="181"/>
      <c r="NDF112" s="182"/>
      <c r="NDG112" s="181"/>
      <c r="NDH112" s="182"/>
      <c r="NDI112" s="181"/>
      <c r="NDJ112" s="182"/>
      <c r="NDK112" s="181"/>
      <c r="NDL112" s="182"/>
      <c r="NDM112" s="181"/>
      <c r="NDN112" s="182"/>
      <c r="NDO112" s="181"/>
      <c r="NDP112" s="182"/>
      <c r="NDQ112" s="181"/>
      <c r="NDR112" s="182"/>
      <c r="NDS112" s="181"/>
      <c r="NDT112" s="182"/>
      <c r="NDU112" s="181"/>
      <c r="NDV112" s="182"/>
      <c r="NDW112" s="181"/>
      <c r="NDX112" s="182"/>
      <c r="NDY112" s="181"/>
      <c r="NDZ112" s="182"/>
      <c r="NEA112" s="181"/>
      <c r="NEB112" s="182"/>
      <c r="NEC112" s="181"/>
      <c r="NED112" s="182"/>
      <c r="NEE112" s="181"/>
      <c r="NEF112" s="182"/>
      <c r="NEG112" s="181"/>
      <c r="NEH112" s="182"/>
      <c r="NEI112" s="181"/>
      <c r="NEJ112" s="182"/>
      <c r="NEK112" s="181"/>
      <c r="NEL112" s="182"/>
      <c r="NEM112" s="181"/>
      <c r="NEN112" s="182"/>
      <c r="NEO112" s="181"/>
      <c r="NEP112" s="182"/>
      <c r="NEQ112" s="181"/>
      <c r="NER112" s="182"/>
      <c r="NES112" s="181"/>
      <c r="NET112" s="182"/>
      <c r="NEU112" s="181"/>
      <c r="NEV112" s="182"/>
      <c r="NEW112" s="181"/>
      <c r="NEX112" s="182"/>
      <c r="NEY112" s="181"/>
      <c r="NEZ112" s="182"/>
      <c r="NFA112" s="181"/>
      <c r="NFB112" s="182"/>
      <c r="NFC112" s="181"/>
      <c r="NFD112" s="182"/>
      <c r="NFE112" s="181"/>
      <c r="NFF112" s="182"/>
      <c r="NFG112" s="181"/>
      <c r="NFH112" s="182"/>
      <c r="NFI112" s="181"/>
      <c r="NFJ112" s="182"/>
      <c r="NFK112" s="181"/>
      <c r="NFL112" s="182"/>
      <c r="NFM112" s="181"/>
      <c r="NFN112" s="182"/>
      <c r="NFO112" s="181"/>
      <c r="NFP112" s="182"/>
      <c r="NFQ112" s="181"/>
      <c r="NFR112" s="182"/>
      <c r="NFS112" s="181"/>
      <c r="NFT112" s="182"/>
      <c r="NFU112" s="181"/>
      <c r="NFV112" s="182"/>
      <c r="NFW112" s="181"/>
      <c r="NFX112" s="182"/>
      <c r="NFY112" s="181"/>
      <c r="NFZ112" s="182"/>
      <c r="NGA112" s="181"/>
      <c r="NGB112" s="182"/>
      <c r="NGC112" s="181"/>
      <c r="NGD112" s="182"/>
      <c r="NGE112" s="181"/>
      <c r="NGF112" s="182"/>
      <c r="NGG112" s="181"/>
      <c r="NGH112" s="182"/>
      <c r="NGI112" s="181"/>
      <c r="NGJ112" s="182"/>
      <c r="NGK112" s="181"/>
      <c r="NGL112" s="182"/>
      <c r="NGM112" s="181"/>
      <c r="NGN112" s="182"/>
      <c r="NGO112" s="181"/>
      <c r="NGP112" s="182"/>
      <c r="NGQ112" s="181"/>
      <c r="NGR112" s="182"/>
      <c r="NGS112" s="181"/>
      <c r="NGT112" s="182"/>
      <c r="NGU112" s="181"/>
      <c r="NGV112" s="182"/>
      <c r="NGW112" s="181"/>
      <c r="NGX112" s="182"/>
      <c r="NGY112" s="181"/>
      <c r="NGZ112" s="182"/>
      <c r="NHA112" s="181"/>
      <c r="NHB112" s="182"/>
      <c r="NHC112" s="181"/>
      <c r="NHD112" s="182"/>
      <c r="NHE112" s="181"/>
      <c r="NHF112" s="182"/>
      <c r="NHG112" s="181"/>
      <c r="NHH112" s="182"/>
      <c r="NHI112" s="181"/>
      <c r="NHJ112" s="182"/>
      <c r="NHK112" s="181"/>
      <c r="NHL112" s="182"/>
      <c r="NHM112" s="181"/>
      <c r="NHN112" s="182"/>
      <c r="NHO112" s="181"/>
      <c r="NHP112" s="182"/>
      <c r="NHQ112" s="181"/>
      <c r="NHR112" s="182"/>
      <c r="NHS112" s="181"/>
      <c r="NHT112" s="182"/>
      <c r="NHU112" s="181"/>
      <c r="NHV112" s="182"/>
      <c r="NHW112" s="181"/>
      <c r="NHX112" s="182"/>
      <c r="NHY112" s="181"/>
      <c r="NHZ112" s="182"/>
      <c r="NIA112" s="181"/>
      <c r="NIB112" s="182"/>
      <c r="NIC112" s="181"/>
      <c r="NID112" s="182"/>
      <c r="NIE112" s="181"/>
      <c r="NIF112" s="182"/>
      <c r="NIG112" s="181"/>
      <c r="NIH112" s="182"/>
      <c r="NII112" s="181"/>
      <c r="NIJ112" s="182"/>
      <c r="NIK112" s="181"/>
      <c r="NIL112" s="182"/>
      <c r="NIM112" s="181"/>
      <c r="NIN112" s="182"/>
      <c r="NIO112" s="181"/>
      <c r="NIP112" s="182"/>
      <c r="NIQ112" s="181"/>
      <c r="NIR112" s="182"/>
      <c r="NIS112" s="181"/>
      <c r="NIT112" s="182"/>
      <c r="NIU112" s="181"/>
      <c r="NIV112" s="182"/>
      <c r="NIW112" s="181"/>
      <c r="NIX112" s="182"/>
      <c r="NIY112" s="181"/>
      <c r="NIZ112" s="182"/>
      <c r="NJA112" s="181"/>
      <c r="NJB112" s="182"/>
      <c r="NJC112" s="181"/>
      <c r="NJD112" s="182"/>
      <c r="NJE112" s="181"/>
      <c r="NJF112" s="182"/>
      <c r="NJG112" s="181"/>
      <c r="NJH112" s="182"/>
      <c r="NJI112" s="181"/>
      <c r="NJJ112" s="182"/>
      <c r="NJK112" s="181"/>
      <c r="NJL112" s="182"/>
      <c r="NJM112" s="181"/>
      <c r="NJN112" s="182"/>
      <c r="NJO112" s="181"/>
      <c r="NJP112" s="182"/>
      <c r="NJQ112" s="181"/>
      <c r="NJR112" s="182"/>
      <c r="NJS112" s="181"/>
      <c r="NJT112" s="182"/>
      <c r="NJU112" s="181"/>
      <c r="NJV112" s="182"/>
      <c r="NJW112" s="181"/>
      <c r="NJX112" s="182"/>
      <c r="NJY112" s="181"/>
      <c r="NJZ112" s="182"/>
      <c r="NKA112" s="181"/>
      <c r="NKB112" s="182"/>
      <c r="NKC112" s="181"/>
      <c r="NKD112" s="182"/>
      <c r="NKE112" s="181"/>
      <c r="NKF112" s="182"/>
      <c r="NKG112" s="181"/>
      <c r="NKH112" s="182"/>
      <c r="NKI112" s="181"/>
      <c r="NKJ112" s="182"/>
      <c r="NKK112" s="181"/>
      <c r="NKL112" s="182"/>
      <c r="NKM112" s="181"/>
      <c r="NKN112" s="182"/>
      <c r="NKO112" s="181"/>
      <c r="NKP112" s="182"/>
      <c r="NKQ112" s="181"/>
      <c r="NKR112" s="182"/>
      <c r="NKS112" s="181"/>
      <c r="NKT112" s="182"/>
      <c r="NKU112" s="181"/>
      <c r="NKV112" s="182"/>
      <c r="NKW112" s="181"/>
      <c r="NKX112" s="182"/>
      <c r="NKY112" s="181"/>
      <c r="NKZ112" s="182"/>
      <c r="NLA112" s="181"/>
      <c r="NLB112" s="182"/>
      <c r="NLC112" s="181"/>
      <c r="NLD112" s="182"/>
      <c r="NLE112" s="181"/>
      <c r="NLF112" s="182"/>
      <c r="NLG112" s="181"/>
      <c r="NLH112" s="182"/>
      <c r="NLI112" s="181"/>
      <c r="NLJ112" s="182"/>
      <c r="NLK112" s="181"/>
      <c r="NLL112" s="182"/>
      <c r="NLM112" s="181"/>
      <c r="NLN112" s="182"/>
      <c r="NLO112" s="181"/>
      <c r="NLP112" s="182"/>
      <c r="NLQ112" s="181"/>
      <c r="NLR112" s="182"/>
      <c r="NLS112" s="181"/>
      <c r="NLT112" s="182"/>
      <c r="NLU112" s="181"/>
      <c r="NLV112" s="182"/>
      <c r="NLW112" s="181"/>
      <c r="NLX112" s="182"/>
      <c r="NLY112" s="181"/>
      <c r="NLZ112" s="182"/>
      <c r="NMA112" s="181"/>
      <c r="NMB112" s="182"/>
      <c r="NMC112" s="181"/>
      <c r="NMD112" s="182"/>
      <c r="NME112" s="181"/>
      <c r="NMF112" s="182"/>
      <c r="NMG112" s="181"/>
      <c r="NMH112" s="182"/>
      <c r="NMI112" s="181"/>
      <c r="NMJ112" s="182"/>
      <c r="NMK112" s="181"/>
      <c r="NML112" s="182"/>
      <c r="NMM112" s="181"/>
      <c r="NMN112" s="182"/>
      <c r="NMO112" s="181"/>
      <c r="NMP112" s="182"/>
      <c r="NMQ112" s="181"/>
      <c r="NMR112" s="182"/>
      <c r="NMS112" s="181"/>
      <c r="NMT112" s="182"/>
      <c r="NMU112" s="181"/>
      <c r="NMV112" s="182"/>
      <c r="NMW112" s="181"/>
      <c r="NMX112" s="182"/>
      <c r="NMY112" s="181"/>
      <c r="NMZ112" s="182"/>
      <c r="NNA112" s="181"/>
      <c r="NNB112" s="182"/>
      <c r="NNC112" s="181"/>
      <c r="NND112" s="182"/>
      <c r="NNE112" s="181"/>
      <c r="NNF112" s="182"/>
      <c r="NNG112" s="181"/>
      <c r="NNH112" s="182"/>
      <c r="NNI112" s="181"/>
      <c r="NNJ112" s="182"/>
      <c r="NNK112" s="181"/>
      <c r="NNL112" s="182"/>
      <c r="NNM112" s="181"/>
      <c r="NNN112" s="182"/>
      <c r="NNO112" s="181"/>
      <c r="NNP112" s="182"/>
      <c r="NNQ112" s="181"/>
      <c r="NNR112" s="182"/>
      <c r="NNS112" s="181"/>
      <c r="NNT112" s="182"/>
      <c r="NNU112" s="181"/>
      <c r="NNV112" s="182"/>
      <c r="NNW112" s="181"/>
      <c r="NNX112" s="182"/>
      <c r="NNY112" s="181"/>
      <c r="NNZ112" s="182"/>
      <c r="NOA112" s="181"/>
      <c r="NOB112" s="182"/>
      <c r="NOC112" s="181"/>
      <c r="NOD112" s="182"/>
      <c r="NOE112" s="181"/>
      <c r="NOF112" s="182"/>
      <c r="NOG112" s="181"/>
      <c r="NOH112" s="182"/>
      <c r="NOI112" s="181"/>
      <c r="NOJ112" s="182"/>
      <c r="NOK112" s="181"/>
      <c r="NOL112" s="182"/>
      <c r="NOM112" s="181"/>
      <c r="NON112" s="182"/>
      <c r="NOO112" s="181"/>
      <c r="NOP112" s="182"/>
      <c r="NOQ112" s="181"/>
      <c r="NOR112" s="182"/>
      <c r="NOS112" s="181"/>
      <c r="NOT112" s="182"/>
      <c r="NOU112" s="181"/>
      <c r="NOV112" s="182"/>
      <c r="NOW112" s="181"/>
      <c r="NOX112" s="182"/>
      <c r="NOY112" s="181"/>
      <c r="NOZ112" s="182"/>
      <c r="NPA112" s="181"/>
      <c r="NPB112" s="182"/>
      <c r="NPC112" s="181"/>
      <c r="NPD112" s="182"/>
      <c r="NPE112" s="181"/>
      <c r="NPF112" s="182"/>
      <c r="NPG112" s="181"/>
      <c r="NPH112" s="182"/>
      <c r="NPI112" s="181"/>
      <c r="NPJ112" s="182"/>
      <c r="NPK112" s="181"/>
      <c r="NPL112" s="182"/>
      <c r="NPM112" s="181"/>
      <c r="NPN112" s="182"/>
      <c r="NPO112" s="181"/>
      <c r="NPP112" s="182"/>
      <c r="NPQ112" s="181"/>
      <c r="NPR112" s="182"/>
      <c r="NPS112" s="181"/>
      <c r="NPT112" s="182"/>
      <c r="NPU112" s="181"/>
      <c r="NPV112" s="182"/>
      <c r="NPW112" s="181"/>
      <c r="NPX112" s="182"/>
      <c r="NPY112" s="181"/>
      <c r="NPZ112" s="182"/>
      <c r="NQA112" s="181"/>
      <c r="NQB112" s="182"/>
      <c r="NQC112" s="181"/>
      <c r="NQD112" s="182"/>
      <c r="NQE112" s="181"/>
      <c r="NQF112" s="182"/>
      <c r="NQG112" s="181"/>
      <c r="NQH112" s="182"/>
      <c r="NQI112" s="181"/>
      <c r="NQJ112" s="182"/>
      <c r="NQK112" s="181"/>
      <c r="NQL112" s="182"/>
      <c r="NQM112" s="181"/>
      <c r="NQN112" s="182"/>
      <c r="NQO112" s="181"/>
      <c r="NQP112" s="182"/>
      <c r="NQQ112" s="181"/>
      <c r="NQR112" s="182"/>
      <c r="NQS112" s="181"/>
      <c r="NQT112" s="182"/>
      <c r="NQU112" s="181"/>
      <c r="NQV112" s="182"/>
      <c r="NQW112" s="181"/>
      <c r="NQX112" s="182"/>
      <c r="NQY112" s="181"/>
      <c r="NQZ112" s="182"/>
      <c r="NRA112" s="181"/>
      <c r="NRB112" s="182"/>
      <c r="NRC112" s="181"/>
      <c r="NRD112" s="182"/>
      <c r="NRE112" s="181"/>
      <c r="NRF112" s="182"/>
      <c r="NRG112" s="181"/>
      <c r="NRH112" s="182"/>
      <c r="NRI112" s="181"/>
      <c r="NRJ112" s="182"/>
      <c r="NRK112" s="181"/>
      <c r="NRL112" s="182"/>
      <c r="NRM112" s="181"/>
      <c r="NRN112" s="182"/>
      <c r="NRO112" s="181"/>
      <c r="NRP112" s="182"/>
      <c r="NRQ112" s="181"/>
      <c r="NRR112" s="182"/>
      <c r="NRS112" s="181"/>
      <c r="NRT112" s="182"/>
      <c r="NRU112" s="181"/>
      <c r="NRV112" s="182"/>
      <c r="NRW112" s="181"/>
      <c r="NRX112" s="182"/>
      <c r="NRY112" s="181"/>
      <c r="NRZ112" s="182"/>
      <c r="NSA112" s="181"/>
      <c r="NSB112" s="182"/>
      <c r="NSC112" s="181"/>
      <c r="NSD112" s="182"/>
      <c r="NSE112" s="181"/>
      <c r="NSF112" s="182"/>
      <c r="NSG112" s="181"/>
      <c r="NSH112" s="182"/>
      <c r="NSI112" s="181"/>
      <c r="NSJ112" s="182"/>
      <c r="NSK112" s="181"/>
      <c r="NSL112" s="182"/>
      <c r="NSM112" s="181"/>
      <c r="NSN112" s="182"/>
      <c r="NSO112" s="181"/>
      <c r="NSP112" s="182"/>
      <c r="NSQ112" s="181"/>
      <c r="NSR112" s="182"/>
      <c r="NSS112" s="181"/>
      <c r="NST112" s="182"/>
      <c r="NSU112" s="181"/>
      <c r="NSV112" s="182"/>
      <c r="NSW112" s="181"/>
      <c r="NSX112" s="182"/>
      <c r="NSY112" s="181"/>
      <c r="NSZ112" s="182"/>
      <c r="NTA112" s="181"/>
      <c r="NTB112" s="182"/>
      <c r="NTC112" s="181"/>
      <c r="NTD112" s="182"/>
      <c r="NTE112" s="181"/>
      <c r="NTF112" s="182"/>
      <c r="NTG112" s="181"/>
      <c r="NTH112" s="182"/>
      <c r="NTI112" s="181"/>
      <c r="NTJ112" s="182"/>
      <c r="NTK112" s="181"/>
      <c r="NTL112" s="182"/>
      <c r="NTM112" s="181"/>
      <c r="NTN112" s="182"/>
      <c r="NTO112" s="181"/>
      <c r="NTP112" s="182"/>
      <c r="NTQ112" s="181"/>
      <c r="NTR112" s="182"/>
      <c r="NTS112" s="181"/>
      <c r="NTT112" s="182"/>
      <c r="NTU112" s="181"/>
      <c r="NTV112" s="182"/>
      <c r="NTW112" s="181"/>
      <c r="NTX112" s="182"/>
      <c r="NTY112" s="181"/>
      <c r="NTZ112" s="182"/>
      <c r="NUA112" s="181"/>
      <c r="NUB112" s="182"/>
      <c r="NUC112" s="181"/>
      <c r="NUD112" s="182"/>
      <c r="NUE112" s="181"/>
      <c r="NUF112" s="182"/>
      <c r="NUG112" s="181"/>
      <c r="NUH112" s="182"/>
      <c r="NUI112" s="181"/>
      <c r="NUJ112" s="182"/>
      <c r="NUK112" s="181"/>
      <c r="NUL112" s="182"/>
      <c r="NUM112" s="181"/>
      <c r="NUN112" s="182"/>
      <c r="NUO112" s="181"/>
      <c r="NUP112" s="182"/>
      <c r="NUQ112" s="181"/>
      <c r="NUR112" s="182"/>
      <c r="NUS112" s="181"/>
      <c r="NUT112" s="182"/>
      <c r="NUU112" s="181"/>
      <c r="NUV112" s="182"/>
      <c r="NUW112" s="181"/>
      <c r="NUX112" s="182"/>
      <c r="NUY112" s="181"/>
      <c r="NUZ112" s="182"/>
      <c r="NVA112" s="181"/>
      <c r="NVB112" s="182"/>
      <c r="NVC112" s="181"/>
      <c r="NVD112" s="182"/>
      <c r="NVE112" s="181"/>
      <c r="NVF112" s="182"/>
      <c r="NVG112" s="181"/>
      <c r="NVH112" s="182"/>
      <c r="NVI112" s="181"/>
      <c r="NVJ112" s="182"/>
      <c r="NVK112" s="181"/>
      <c r="NVL112" s="182"/>
      <c r="NVM112" s="181"/>
      <c r="NVN112" s="182"/>
      <c r="NVO112" s="181"/>
      <c r="NVP112" s="182"/>
      <c r="NVQ112" s="181"/>
      <c r="NVR112" s="182"/>
      <c r="NVS112" s="181"/>
      <c r="NVT112" s="182"/>
      <c r="NVU112" s="181"/>
      <c r="NVV112" s="182"/>
      <c r="NVW112" s="181"/>
      <c r="NVX112" s="182"/>
      <c r="NVY112" s="181"/>
      <c r="NVZ112" s="182"/>
      <c r="NWA112" s="181"/>
      <c r="NWB112" s="182"/>
      <c r="NWC112" s="181"/>
      <c r="NWD112" s="182"/>
      <c r="NWE112" s="181"/>
      <c r="NWF112" s="182"/>
      <c r="NWG112" s="181"/>
      <c r="NWH112" s="182"/>
      <c r="NWI112" s="181"/>
      <c r="NWJ112" s="182"/>
      <c r="NWK112" s="181"/>
      <c r="NWL112" s="182"/>
      <c r="NWM112" s="181"/>
      <c r="NWN112" s="182"/>
      <c r="NWO112" s="181"/>
      <c r="NWP112" s="182"/>
      <c r="NWQ112" s="181"/>
      <c r="NWR112" s="182"/>
      <c r="NWS112" s="181"/>
      <c r="NWT112" s="182"/>
      <c r="NWU112" s="181"/>
      <c r="NWV112" s="182"/>
      <c r="NWW112" s="181"/>
      <c r="NWX112" s="182"/>
      <c r="NWY112" s="181"/>
      <c r="NWZ112" s="182"/>
      <c r="NXA112" s="181"/>
      <c r="NXB112" s="182"/>
      <c r="NXC112" s="181"/>
      <c r="NXD112" s="182"/>
      <c r="NXE112" s="181"/>
      <c r="NXF112" s="182"/>
      <c r="NXG112" s="181"/>
      <c r="NXH112" s="182"/>
      <c r="NXI112" s="181"/>
      <c r="NXJ112" s="182"/>
      <c r="NXK112" s="181"/>
      <c r="NXL112" s="182"/>
      <c r="NXM112" s="181"/>
      <c r="NXN112" s="182"/>
      <c r="NXO112" s="181"/>
      <c r="NXP112" s="182"/>
      <c r="NXQ112" s="181"/>
      <c r="NXR112" s="182"/>
      <c r="NXS112" s="181"/>
      <c r="NXT112" s="182"/>
      <c r="NXU112" s="181"/>
      <c r="NXV112" s="182"/>
      <c r="NXW112" s="181"/>
      <c r="NXX112" s="182"/>
      <c r="NXY112" s="181"/>
      <c r="NXZ112" s="182"/>
      <c r="NYA112" s="181"/>
      <c r="NYB112" s="182"/>
      <c r="NYC112" s="181"/>
      <c r="NYD112" s="182"/>
      <c r="NYE112" s="181"/>
      <c r="NYF112" s="182"/>
      <c r="NYG112" s="181"/>
      <c r="NYH112" s="182"/>
      <c r="NYI112" s="181"/>
      <c r="NYJ112" s="182"/>
      <c r="NYK112" s="181"/>
      <c r="NYL112" s="182"/>
      <c r="NYM112" s="181"/>
      <c r="NYN112" s="182"/>
      <c r="NYO112" s="181"/>
      <c r="NYP112" s="182"/>
      <c r="NYQ112" s="181"/>
      <c r="NYR112" s="182"/>
      <c r="NYS112" s="181"/>
      <c r="NYT112" s="182"/>
      <c r="NYU112" s="181"/>
      <c r="NYV112" s="182"/>
      <c r="NYW112" s="181"/>
      <c r="NYX112" s="182"/>
      <c r="NYY112" s="181"/>
      <c r="NYZ112" s="182"/>
      <c r="NZA112" s="181"/>
      <c r="NZB112" s="182"/>
      <c r="NZC112" s="181"/>
      <c r="NZD112" s="182"/>
      <c r="NZE112" s="181"/>
      <c r="NZF112" s="182"/>
      <c r="NZG112" s="181"/>
      <c r="NZH112" s="182"/>
      <c r="NZI112" s="181"/>
      <c r="NZJ112" s="182"/>
      <c r="NZK112" s="181"/>
      <c r="NZL112" s="182"/>
      <c r="NZM112" s="181"/>
      <c r="NZN112" s="182"/>
      <c r="NZO112" s="181"/>
      <c r="NZP112" s="182"/>
      <c r="NZQ112" s="181"/>
      <c r="NZR112" s="182"/>
      <c r="NZS112" s="181"/>
      <c r="NZT112" s="182"/>
      <c r="NZU112" s="181"/>
      <c r="NZV112" s="182"/>
      <c r="NZW112" s="181"/>
      <c r="NZX112" s="182"/>
      <c r="NZY112" s="181"/>
      <c r="NZZ112" s="182"/>
      <c r="OAA112" s="181"/>
      <c r="OAB112" s="182"/>
      <c r="OAC112" s="181"/>
      <c r="OAD112" s="182"/>
      <c r="OAE112" s="181"/>
      <c r="OAF112" s="182"/>
      <c r="OAG112" s="181"/>
      <c r="OAH112" s="182"/>
      <c r="OAI112" s="181"/>
      <c r="OAJ112" s="182"/>
      <c r="OAK112" s="181"/>
      <c r="OAL112" s="182"/>
      <c r="OAM112" s="181"/>
      <c r="OAN112" s="182"/>
      <c r="OAO112" s="181"/>
      <c r="OAP112" s="182"/>
      <c r="OAQ112" s="181"/>
      <c r="OAR112" s="182"/>
      <c r="OAS112" s="181"/>
      <c r="OAT112" s="182"/>
      <c r="OAU112" s="181"/>
      <c r="OAV112" s="182"/>
      <c r="OAW112" s="181"/>
      <c r="OAX112" s="182"/>
      <c r="OAY112" s="181"/>
      <c r="OAZ112" s="182"/>
      <c r="OBA112" s="181"/>
      <c r="OBB112" s="182"/>
      <c r="OBC112" s="181"/>
      <c r="OBD112" s="182"/>
      <c r="OBE112" s="181"/>
      <c r="OBF112" s="182"/>
      <c r="OBG112" s="181"/>
      <c r="OBH112" s="182"/>
      <c r="OBI112" s="181"/>
      <c r="OBJ112" s="182"/>
      <c r="OBK112" s="181"/>
      <c r="OBL112" s="182"/>
      <c r="OBM112" s="181"/>
      <c r="OBN112" s="182"/>
      <c r="OBO112" s="181"/>
      <c r="OBP112" s="182"/>
      <c r="OBQ112" s="181"/>
      <c r="OBR112" s="182"/>
      <c r="OBS112" s="181"/>
      <c r="OBT112" s="182"/>
      <c r="OBU112" s="181"/>
      <c r="OBV112" s="182"/>
      <c r="OBW112" s="181"/>
      <c r="OBX112" s="182"/>
      <c r="OBY112" s="181"/>
      <c r="OBZ112" s="182"/>
      <c r="OCA112" s="181"/>
      <c r="OCB112" s="182"/>
      <c r="OCC112" s="181"/>
      <c r="OCD112" s="182"/>
      <c r="OCE112" s="181"/>
      <c r="OCF112" s="182"/>
      <c r="OCG112" s="181"/>
      <c r="OCH112" s="182"/>
      <c r="OCI112" s="181"/>
      <c r="OCJ112" s="182"/>
      <c r="OCK112" s="181"/>
      <c r="OCL112" s="182"/>
      <c r="OCM112" s="181"/>
      <c r="OCN112" s="182"/>
      <c r="OCO112" s="181"/>
      <c r="OCP112" s="182"/>
      <c r="OCQ112" s="181"/>
      <c r="OCR112" s="182"/>
      <c r="OCS112" s="181"/>
      <c r="OCT112" s="182"/>
      <c r="OCU112" s="181"/>
      <c r="OCV112" s="182"/>
      <c r="OCW112" s="181"/>
      <c r="OCX112" s="182"/>
      <c r="OCY112" s="181"/>
      <c r="OCZ112" s="182"/>
      <c r="ODA112" s="181"/>
      <c r="ODB112" s="182"/>
      <c r="ODC112" s="181"/>
      <c r="ODD112" s="182"/>
      <c r="ODE112" s="181"/>
      <c r="ODF112" s="182"/>
      <c r="ODG112" s="181"/>
      <c r="ODH112" s="182"/>
      <c r="ODI112" s="181"/>
      <c r="ODJ112" s="182"/>
      <c r="ODK112" s="181"/>
      <c r="ODL112" s="182"/>
      <c r="ODM112" s="181"/>
      <c r="ODN112" s="182"/>
      <c r="ODO112" s="181"/>
      <c r="ODP112" s="182"/>
      <c r="ODQ112" s="181"/>
      <c r="ODR112" s="182"/>
      <c r="ODS112" s="181"/>
      <c r="ODT112" s="182"/>
      <c r="ODU112" s="181"/>
      <c r="ODV112" s="182"/>
      <c r="ODW112" s="181"/>
      <c r="ODX112" s="182"/>
      <c r="ODY112" s="181"/>
      <c r="ODZ112" s="182"/>
      <c r="OEA112" s="181"/>
      <c r="OEB112" s="182"/>
      <c r="OEC112" s="181"/>
      <c r="OED112" s="182"/>
      <c r="OEE112" s="181"/>
      <c r="OEF112" s="182"/>
      <c r="OEG112" s="181"/>
      <c r="OEH112" s="182"/>
      <c r="OEI112" s="181"/>
      <c r="OEJ112" s="182"/>
      <c r="OEK112" s="181"/>
      <c r="OEL112" s="182"/>
      <c r="OEM112" s="181"/>
      <c r="OEN112" s="182"/>
      <c r="OEO112" s="181"/>
      <c r="OEP112" s="182"/>
      <c r="OEQ112" s="181"/>
      <c r="OER112" s="182"/>
      <c r="OES112" s="181"/>
      <c r="OET112" s="182"/>
      <c r="OEU112" s="181"/>
      <c r="OEV112" s="182"/>
      <c r="OEW112" s="181"/>
      <c r="OEX112" s="182"/>
      <c r="OEY112" s="181"/>
      <c r="OEZ112" s="182"/>
      <c r="OFA112" s="181"/>
      <c r="OFB112" s="182"/>
      <c r="OFC112" s="181"/>
      <c r="OFD112" s="182"/>
      <c r="OFE112" s="181"/>
      <c r="OFF112" s="182"/>
      <c r="OFG112" s="181"/>
      <c r="OFH112" s="182"/>
      <c r="OFI112" s="181"/>
      <c r="OFJ112" s="182"/>
      <c r="OFK112" s="181"/>
      <c r="OFL112" s="182"/>
      <c r="OFM112" s="181"/>
      <c r="OFN112" s="182"/>
      <c r="OFO112" s="181"/>
      <c r="OFP112" s="182"/>
      <c r="OFQ112" s="181"/>
      <c r="OFR112" s="182"/>
      <c r="OFS112" s="181"/>
      <c r="OFT112" s="182"/>
      <c r="OFU112" s="181"/>
      <c r="OFV112" s="182"/>
      <c r="OFW112" s="181"/>
      <c r="OFX112" s="182"/>
      <c r="OFY112" s="181"/>
      <c r="OFZ112" s="182"/>
      <c r="OGA112" s="181"/>
      <c r="OGB112" s="182"/>
      <c r="OGC112" s="181"/>
      <c r="OGD112" s="182"/>
      <c r="OGE112" s="181"/>
      <c r="OGF112" s="182"/>
      <c r="OGG112" s="181"/>
      <c r="OGH112" s="182"/>
      <c r="OGI112" s="181"/>
      <c r="OGJ112" s="182"/>
      <c r="OGK112" s="181"/>
      <c r="OGL112" s="182"/>
      <c r="OGM112" s="181"/>
      <c r="OGN112" s="182"/>
      <c r="OGO112" s="181"/>
      <c r="OGP112" s="182"/>
      <c r="OGQ112" s="181"/>
      <c r="OGR112" s="182"/>
      <c r="OGS112" s="181"/>
      <c r="OGT112" s="182"/>
      <c r="OGU112" s="181"/>
      <c r="OGV112" s="182"/>
      <c r="OGW112" s="181"/>
      <c r="OGX112" s="182"/>
      <c r="OGY112" s="181"/>
      <c r="OGZ112" s="182"/>
      <c r="OHA112" s="181"/>
      <c r="OHB112" s="182"/>
      <c r="OHC112" s="181"/>
      <c r="OHD112" s="182"/>
      <c r="OHE112" s="181"/>
      <c r="OHF112" s="182"/>
      <c r="OHG112" s="181"/>
      <c r="OHH112" s="182"/>
      <c r="OHI112" s="181"/>
      <c r="OHJ112" s="182"/>
      <c r="OHK112" s="181"/>
      <c r="OHL112" s="182"/>
      <c r="OHM112" s="181"/>
      <c r="OHN112" s="182"/>
      <c r="OHO112" s="181"/>
      <c r="OHP112" s="182"/>
      <c r="OHQ112" s="181"/>
      <c r="OHR112" s="182"/>
      <c r="OHS112" s="181"/>
      <c r="OHT112" s="182"/>
      <c r="OHU112" s="181"/>
      <c r="OHV112" s="182"/>
      <c r="OHW112" s="181"/>
      <c r="OHX112" s="182"/>
      <c r="OHY112" s="181"/>
      <c r="OHZ112" s="182"/>
      <c r="OIA112" s="181"/>
      <c r="OIB112" s="182"/>
      <c r="OIC112" s="181"/>
      <c r="OID112" s="182"/>
      <c r="OIE112" s="181"/>
      <c r="OIF112" s="182"/>
      <c r="OIG112" s="181"/>
      <c r="OIH112" s="182"/>
      <c r="OII112" s="181"/>
      <c r="OIJ112" s="182"/>
      <c r="OIK112" s="181"/>
      <c r="OIL112" s="182"/>
      <c r="OIM112" s="181"/>
      <c r="OIN112" s="182"/>
      <c r="OIO112" s="181"/>
      <c r="OIP112" s="182"/>
      <c r="OIQ112" s="181"/>
      <c r="OIR112" s="182"/>
      <c r="OIS112" s="181"/>
      <c r="OIT112" s="182"/>
      <c r="OIU112" s="181"/>
      <c r="OIV112" s="182"/>
      <c r="OIW112" s="181"/>
      <c r="OIX112" s="182"/>
      <c r="OIY112" s="181"/>
      <c r="OIZ112" s="182"/>
      <c r="OJA112" s="181"/>
      <c r="OJB112" s="182"/>
      <c r="OJC112" s="181"/>
      <c r="OJD112" s="182"/>
      <c r="OJE112" s="181"/>
      <c r="OJF112" s="182"/>
      <c r="OJG112" s="181"/>
      <c r="OJH112" s="182"/>
      <c r="OJI112" s="181"/>
      <c r="OJJ112" s="182"/>
      <c r="OJK112" s="181"/>
      <c r="OJL112" s="182"/>
      <c r="OJM112" s="181"/>
      <c r="OJN112" s="182"/>
      <c r="OJO112" s="181"/>
      <c r="OJP112" s="182"/>
      <c r="OJQ112" s="181"/>
      <c r="OJR112" s="182"/>
      <c r="OJS112" s="181"/>
      <c r="OJT112" s="182"/>
      <c r="OJU112" s="181"/>
      <c r="OJV112" s="182"/>
      <c r="OJW112" s="181"/>
      <c r="OJX112" s="182"/>
      <c r="OJY112" s="181"/>
      <c r="OJZ112" s="182"/>
      <c r="OKA112" s="181"/>
      <c r="OKB112" s="182"/>
      <c r="OKC112" s="181"/>
      <c r="OKD112" s="182"/>
      <c r="OKE112" s="181"/>
      <c r="OKF112" s="182"/>
      <c r="OKG112" s="181"/>
      <c r="OKH112" s="182"/>
      <c r="OKI112" s="181"/>
      <c r="OKJ112" s="182"/>
      <c r="OKK112" s="181"/>
      <c r="OKL112" s="182"/>
      <c r="OKM112" s="181"/>
      <c r="OKN112" s="182"/>
      <c r="OKO112" s="181"/>
      <c r="OKP112" s="182"/>
      <c r="OKQ112" s="181"/>
      <c r="OKR112" s="182"/>
      <c r="OKS112" s="181"/>
      <c r="OKT112" s="182"/>
      <c r="OKU112" s="181"/>
      <c r="OKV112" s="182"/>
      <c r="OKW112" s="181"/>
      <c r="OKX112" s="182"/>
      <c r="OKY112" s="181"/>
      <c r="OKZ112" s="182"/>
      <c r="OLA112" s="181"/>
      <c r="OLB112" s="182"/>
      <c r="OLC112" s="181"/>
      <c r="OLD112" s="182"/>
      <c r="OLE112" s="181"/>
      <c r="OLF112" s="182"/>
      <c r="OLG112" s="181"/>
      <c r="OLH112" s="182"/>
      <c r="OLI112" s="181"/>
      <c r="OLJ112" s="182"/>
      <c r="OLK112" s="181"/>
      <c r="OLL112" s="182"/>
      <c r="OLM112" s="181"/>
      <c r="OLN112" s="182"/>
      <c r="OLO112" s="181"/>
      <c r="OLP112" s="182"/>
      <c r="OLQ112" s="181"/>
      <c r="OLR112" s="182"/>
      <c r="OLS112" s="181"/>
      <c r="OLT112" s="182"/>
      <c r="OLU112" s="181"/>
      <c r="OLV112" s="182"/>
      <c r="OLW112" s="181"/>
      <c r="OLX112" s="182"/>
      <c r="OLY112" s="181"/>
      <c r="OLZ112" s="182"/>
      <c r="OMA112" s="181"/>
      <c r="OMB112" s="182"/>
      <c r="OMC112" s="181"/>
      <c r="OMD112" s="182"/>
      <c r="OME112" s="181"/>
      <c r="OMF112" s="182"/>
      <c r="OMG112" s="181"/>
      <c r="OMH112" s="182"/>
      <c r="OMI112" s="181"/>
      <c r="OMJ112" s="182"/>
      <c r="OMK112" s="181"/>
      <c r="OML112" s="182"/>
      <c r="OMM112" s="181"/>
      <c r="OMN112" s="182"/>
      <c r="OMO112" s="181"/>
      <c r="OMP112" s="182"/>
      <c r="OMQ112" s="181"/>
      <c r="OMR112" s="182"/>
      <c r="OMS112" s="181"/>
      <c r="OMT112" s="182"/>
      <c r="OMU112" s="181"/>
      <c r="OMV112" s="182"/>
      <c r="OMW112" s="181"/>
      <c r="OMX112" s="182"/>
      <c r="OMY112" s="181"/>
      <c r="OMZ112" s="182"/>
      <c r="ONA112" s="181"/>
      <c r="ONB112" s="182"/>
      <c r="ONC112" s="181"/>
      <c r="OND112" s="182"/>
      <c r="ONE112" s="181"/>
      <c r="ONF112" s="182"/>
      <c r="ONG112" s="181"/>
      <c r="ONH112" s="182"/>
      <c r="ONI112" s="181"/>
      <c r="ONJ112" s="182"/>
      <c r="ONK112" s="181"/>
      <c r="ONL112" s="182"/>
      <c r="ONM112" s="181"/>
      <c r="ONN112" s="182"/>
      <c r="ONO112" s="181"/>
      <c r="ONP112" s="182"/>
      <c r="ONQ112" s="181"/>
      <c r="ONR112" s="182"/>
      <c r="ONS112" s="181"/>
      <c r="ONT112" s="182"/>
      <c r="ONU112" s="181"/>
      <c r="ONV112" s="182"/>
      <c r="ONW112" s="181"/>
      <c r="ONX112" s="182"/>
      <c r="ONY112" s="181"/>
      <c r="ONZ112" s="182"/>
      <c r="OOA112" s="181"/>
      <c r="OOB112" s="182"/>
      <c r="OOC112" s="181"/>
      <c r="OOD112" s="182"/>
      <c r="OOE112" s="181"/>
      <c r="OOF112" s="182"/>
      <c r="OOG112" s="181"/>
      <c r="OOH112" s="182"/>
      <c r="OOI112" s="181"/>
      <c r="OOJ112" s="182"/>
      <c r="OOK112" s="181"/>
      <c r="OOL112" s="182"/>
      <c r="OOM112" s="181"/>
      <c r="OON112" s="182"/>
      <c r="OOO112" s="181"/>
      <c r="OOP112" s="182"/>
      <c r="OOQ112" s="181"/>
      <c r="OOR112" s="182"/>
      <c r="OOS112" s="181"/>
      <c r="OOT112" s="182"/>
      <c r="OOU112" s="181"/>
      <c r="OOV112" s="182"/>
      <c r="OOW112" s="181"/>
      <c r="OOX112" s="182"/>
      <c r="OOY112" s="181"/>
      <c r="OOZ112" s="182"/>
      <c r="OPA112" s="181"/>
      <c r="OPB112" s="182"/>
      <c r="OPC112" s="181"/>
      <c r="OPD112" s="182"/>
      <c r="OPE112" s="181"/>
      <c r="OPF112" s="182"/>
      <c r="OPG112" s="181"/>
      <c r="OPH112" s="182"/>
      <c r="OPI112" s="181"/>
      <c r="OPJ112" s="182"/>
      <c r="OPK112" s="181"/>
      <c r="OPL112" s="182"/>
      <c r="OPM112" s="181"/>
      <c r="OPN112" s="182"/>
      <c r="OPO112" s="181"/>
      <c r="OPP112" s="182"/>
      <c r="OPQ112" s="181"/>
      <c r="OPR112" s="182"/>
      <c r="OPS112" s="181"/>
      <c r="OPT112" s="182"/>
      <c r="OPU112" s="181"/>
      <c r="OPV112" s="182"/>
      <c r="OPW112" s="181"/>
      <c r="OPX112" s="182"/>
      <c r="OPY112" s="181"/>
      <c r="OPZ112" s="182"/>
      <c r="OQA112" s="181"/>
      <c r="OQB112" s="182"/>
      <c r="OQC112" s="181"/>
      <c r="OQD112" s="182"/>
      <c r="OQE112" s="181"/>
      <c r="OQF112" s="182"/>
      <c r="OQG112" s="181"/>
      <c r="OQH112" s="182"/>
      <c r="OQI112" s="181"/>
      <c r="OQJ112" s="182"/>
      <c r="OQK112" s="181"/>
      <c r="OQL112" s="182"/>
      <c r="OQM112" s="181"/>
      <c r="OQN112" s="182"/>
      <c r="OQO112" s="181"/>
      <c r="OQP112" s="182"/>
      <c r="OQQ112" s="181"/>
      <c r="OQR112" s="182"/>
      <c r="OQS112" s="181"/>
      <c r="OQT112" s="182"/>
      <c r="OQU112" s="181"/>
      <c r="OQV112" s="182"/>
      <c r="OQW112" s="181"/>
      <c r="OQX112" s="182"/>
      <c r="OQY112" s="181"/>
      <c r="OQZ112" s="182"/>
      <c r="ORA112" s="181"/>
      <c r="ORB112" s="182"/>
      <c r="ORC112" s="181"/>
      <c r="ORD112" s="182"/>
      <c r="ORE112" s="181"/>
      <c r="ORF112" s="182"/>
      <c r="ORG112" s="181"/>
      <c r="ORH112" s="182"/>
      <c r="ORI112" s="181"/>
      <c r="ORJ112" s="182"/>
      <c r="ORK112" s="181"/>
      <c r="ORL112" s="182"/>
      <c r="ORM112" s="181"/>
      <c r="ORN112" s="182"/>
      <c r="ORO112" s="181"/>
      <c r="ORP112" s="182"/>
      <c r="ORQ112" s="181"/>
      <c r="ORR112" s="182"/>
      <c r="ORS112" s="181"/>
      <c r="ORT112" s="182"/>
      <c r="ORU112" s="181"/>
      <c r="ORV112" s="182"/>
      <c r="ORW112" s="181"/>
      <c r="ORX112" s="182"/>
      <c r="ORY112" s="181"/>
      <c r="ORZ112" s="182"/>
      <c r="OSA112" s="181"/>
      <c r="OSB112" s="182"/>
      <c r="OSC112" s="181"/>
      <c r="OSD112" s="182"/>
      <c r="OSE112" s="181"/>
      <c r="OSF112" s="182"/>
      <c r="OSG112" s="181"/>
      <c r="OSH112" s="182"/>
      <c r="OSI112" s="181"/>
      <c r="OSJ112" s="182"/>
      <c r="OSK112" s="181"/>
      <c r="OSL112" s="182"/>
      <c r="OSM112" s="181"/>
      <c r="OSN112" s="182"/>
      <c r="OSO112" s="181"/>
      <c r="OSP112" s="182"/>
      <c r="OSQ112" s="181"/>
      <c r="OSR112" s="182"/>
      <c r="OSS112" s="181"/>
      <c r="OST112" s="182"/>
      <c r="OSU112" s="181"/>
      <c r="OSV112" s="182"/>
      <c r="OSW112" s="181"/>
      <c r="OSX112" s="182"/>
      <c r="OSY112" s="181"/>
      <c r="OSZ112" s="182"/>
      <c r="OTA112" s="181"/>
      <c r="OTB112" s="182"/>
      <c r="OTC112" s="181"/>
      <c r="OTD112" s="182"/>
      <c r="OTE112" s="181"/>
      <c r="OTF112" s="182"/>
      <c r="OTG112" s="181"/>
      <c r="OTH112" s="182"/>
      <c r="OTI112" s="181"/>
      <c r="OTJ112" s="182"/>
      <c r="OTK112" s="181"/>
      <c r="OTL112" s="182"/>
      <c r="OTM112" s="181"/>
      <c r="OTN112" s="182"/>
      <c r="OTO112" s="181"/>
      <c r="OTP112" s="182"/>
      <c r="OTQ112" s="181"/>
      <c r="OTR112" s="182"/>
      <c r="OTS112" s="181"/>
      <c r="OTT112" s="182"/>
      <c r="OTU112" s="181"/>
      <c r="OTV112" s="182"/>
      <c r="OTW112" s="181"/>
      <c r="OTX112" s="182"/>
      <c r="OTY112" s="181"/>
      <c r="OTZ112" s="182"/>
      <c r="OUA112" s="181"/>
      <c r="OUB112" s="182"/>
      <c r="OUC112" s="181"/>
      <c r="OUD112" s="182"/>
      <c r="OUE112" s="181"/>
      <c r="OUF112" s="182"/>
      <c r="OUG112" s="181"/>
      <c r="OUH112" s="182"/>
      <c r="OUI112" s="181"/>
      <c r="OUJ112" s="182"/>
      <c r="OUK112" s="181"/>
      <c r="OUL112" s="182"/>
      <c r="OUM112" s="181"/>
      <c r="OUN112" s="182"/>
      <c r="OUO112" s="181"/>
      <c r="OUP112" s="182"/>
      <c r="OUQ112" s="181"/>
      <c r="OUR112" s="182"/>
      <c r="OUS112" s="181"/>
      <c r="OUT112" s="182"/>
      <c r="OUU112" s="181"/>
      <c r="OUV112" s="182"/>
      <c r="OUW112" s="181"/>
      <c r="OUX112" s="182"/>
      <c r="OUY112" s="181"/>
      <c r="OUZ112" s="182"/>
      <c r="OVA112" s="181"/>
      <c r="OVB112" s="182"/>
      <c r="OVC112" s="181"/>
      <c r="OVD112" s="182"/>
      <c r="OVE112" s="181"/>
      <c r="OVF112" s="182"/>
      <c r="OVG112" s="181"/>
      <c r="OVH112" s="182"/>
      <c r="OVI112" s="181"/>
      <c r="OVJ112" s="182"/>
      <c r="OVK112" s="181"/>
      <c r="OVL112" s="182"/>
      <c r="OVM112" s="181"/>
      <c r="OVN112" s="182"/>
      <c r="OVO112" s="181"/>
      <c r="OVP112" s="182"/>
      <c r="OVQ112" s="181"/>
      <c r="OVR112" s="182"/>
      <c r="OVS112" s="181"/>
      <c r="OVT112" s="182"/>
      <c r="OVU112" s="181"/>
      <c r="OVV112" s="182"/>
      <c r="OVW112" s="181"/>
      <c r="OVX112" s="182"/>
      <c r="OVY112" s="181"/>
      <c r="OVZ112" s="182"/>
      <c r="OWA112" s="181"/>
      <c r="OWB112" s="182"/>
      <c r="OWC112" s="181"/>
      <c r="OWD112" s="182"/>
      <c r="OWE112" s="181"/>
      <c r="OWF112" s="182"/>
      <c r="OWG112" s="181"/>
      <c r="OWH112" s="182"/>
      <c r="OWI112" s="181"/>
      <c r="OWJ112" s="182"/>
      <c r="OWK112" s="181"/>
      <c r="OWL112" s="182"/>
      <c r="OWM112" s="181"/>
      <c r="OWN112" s="182"/>
      <c r="OWO112" s="181"/>
      <c r="OWP112" s="182"/>
      <c r="OWQ112" s="181"/>
      <c r="OWR112" s="182"/>
      <c r="OWS112" s="181"/>
      <c r="OWT112" s="182"/>
      <c r="OWU112" s="181"/>
      <c r="OWV112" s="182"/>
      <c r="OWW112" s="181"/>
      <c r="OWX112" s="182"/>
      <c r="OWY112" s="181"/>
      <c r="OWZ112" s="182"/>
      <c r="OXA112" s="181"/>
      <c r="OXB112" s="182"/>
      <c r="OXC112" s="181"/>
      <c r="OXD112" s="182"/>
      <c r="OXE112" s="181"/>
      <c r="OXF112" s="182"/>
      <c r="OXG112" s="181"/>
      <c r="OXH112" s="182"/>
      <c r="OXI112" s="181"/>
      <c r="OXJ112" s="182"/>
      <c r="OXK112" s="181"/>
      <c r="OXL112" s="182"/>
      <c r="OXM112" s="181"/>
      <c r="OXN112" s="182"/>
      <c r="OXO112" s="181"/>
      <c r="OXP112" s="182"/>
      <c r="OXQ112" s="181"/>
      <c r="OXR112" s="182"/>
      <c r="OXS112" s="181"/>
      <c r="OXT112" s="182"/>
      <c r="OXU112" s="181"/>
      <c r="OXV112" s="182"/>
      <c r="OXW112" s="181"/>
      <c r="OXX112" s="182"/>
      <c r="OXY112" s="181"/>
      <c r="OXZ112" s="182"/>
      <c r="OYA112" s="181"/>
      <c r="OYB112" s="182"/>
      <c r="OYC112" s="181"/>
      <c r="OYD112" s="182"/>
      <c r="OYE112" s="181"/>
      <c r="OYF112" s="182"/>
      <c r="OYG112" s="181"/>
      <c r="OYH112" s="182"/>
      <c r="OYI112" s="181"/>
      <c r="OYJ112" s="182"/>
      <c r="OYK112" s="181"/>
      <c r="OYL112" s="182"/>
      <c r="OYM112" s="181"/>
      <c r="OYN112" s="182"/>
      <c r="OYO112" s="181"/>
      <c r="OYP112" s="182"/>
      <c r="OYQ112" s="181"/>
      <c r="OYR112" s="182"/>
      <c r="OYS112" s="181"/>
      <c r="OYT112" s="182"/>
      <c r="OYU112" s="181"/>
      <c r="OYV112" s="182"/>
      <c r="OYW112" s="181"/>
      <c r="OYX112" s="182"/>
      <c r="OYY112" s="181"/>
      <c r="OYZ112" s="182"/>
      <c r="OZA112" s="181"/>
      <c r="OZB112" s="182"/>
      <c r="OZC112" s="181"/>
      <c r="OZD112" s="182"/>
      <c r="OZE112" s="181"/>
      <c r="OZF112" s="182"/>
      <c r="OZG112" s="181"/>
      <c r="OZH112" s="182"/>
      <c r="OZI112" s="181"/>
      <c r="OZJ112" s="182"/>
      <c r="OZK112" s="181"/>
      <c r="OZL112" s="182"/>
      <c r="OZM112" s="181"/>
      <c r="OZN112" s="182"/>
      <c r="OZO112" s="181"/>
      <c r="OZP112" s="182"/>
      <c r="OZQ112" s="181"/>
      <c r="OZR112" s="182"/>
      <c r="OZS112" s="181"/>
      <c r="OZT112" s="182"/>
      <c r="OZU112" s="181"/>
      <c r="OZV112" s="182"/>
      <c r="OZW112" s="181"/>
      <c r="OZX112" s="182"/>
      <c r="OZY112" s="181"/>
      <c r="OZZ112" s="182"/>
      <c r="PAA112" s="181"/>
      <c r="PAB112" s="182"/>
      <c r="PAC112" s="181"/>
      <c r="PAD112" s="182"/>
      <c r="PAE112" s="181"/>
      <c r="PAF112" s="182"/>
      <c r="PAG112" s="181"/>
      <c r="PAH112" s="182"/>
      <c r="PAI112" s="181"/>
      <c r="PAJ112" s="182"/>
      <c r="PAK112" s="181"/>
      <c r="PAL112" s="182"/>
      <c r="PAM112" s="181"/>
      <c r="PAN112" s="182"/>
      <c r="PAO112" s="181"/>
      <c r="PAP112" s="182"/>
      <c r="PAQ112" s="181"/>
      <c r="PAR112" s="182"/>
      <c r="PAS112" s="181"/>
      <c r="PAT112" s="182"/>
      <c r="PAU112" s="181"/>
      <c r="PAV112" s="182"/>
      <c r="PAW112" s="181"/>
      <c r="PAX112" s="182"/>
      <c r="PAY112" s="181"/>
      <c r="PAZ112" s="182"/>
      <c r="PBA112" s="181"/>
      <c r="PBB112" s="182"/>
      <c r="PBC112" s="181"/>
      <c r="PBD112" s="182"/>
      <c r="PBE112" s="181"/>
      <c r="PBF112" s="182"/>
      <c r="PBG112" s="181"/>
      <c r="PBH112" s="182"/>
      <c r="PBI112" s="181"/>
      <c r="PBJ112" s="182"/>
      <c r="PBK112" s="181"/>
      <c r="PBL112" s="182"/>
      <c r="PBM112" s="181"/>
      <c r="PBN112" s="182"/>
      <c r="PBO112" s="181"/>
      <c r="PBP112" s="182"/>
      <c r="PBQ112" s="181"/>
      <c r="PBR112" s="182"/>
      <c r="PBS112" s="181"/>
      <c r="PBT112" s="182"/>
      <c r="PBU112" s="181"/>
      <c r="PBV112" s="182"/>
      <c r="PBW112" s="181"/>
      <c r="PBX112" s="182"/>
      <c r="PBY112" s="181"/>
      <c r="PBZ112" s="182"/>
      <c r="PCA112" s="181"/>
      <c r="PCB112" s="182"/>
      <c r="PCC112" s="181"/>
      <c r="PCD112" s="182"/>
      <c r="PCE112" s="181"/>
      <c r="PCF112" s="182"/>
      <c r="PCG112" s="181"/>
      <c r="PCH112" s="182"/>
      <c r="PCI112" s="181"/>
      <c r="PCJ112" s="182"/>
      <c r="PCK112" s="181"/>
      <c r="PCL112" s="182"/>
      <c r="PCM112" s="181"/>
      <c r="PCN112" s="182"/>
      <c r="PCO112" s="181"/>
      <c r="PCP112" s="182"/>
      <c r="PCQ112" s="181"/>
      <c r="PCR112" s="182"/>
      <c r="PCS112" s="181"/>
      <c r="PCT112" s="182"/>
      <c r="PCU112" s="181"/>
      <c r="PCV112" s="182"/>
      <c r="PCW112" s="181"/>
      <c r="PCX112" s="182"/>
      <c r="PCY112" s="181"/>
      <c r="PCZ112" s="182"/>
      <c r="PDA112" s="181"/>
      <c r="PDB112" s="182"/>
      <c r="PDC112" s="181"/>
      <c r="PDD112" s="182"/>
      <c r="PDE112" s="181"/>
      <c r="PDF112" s="182"/>
      <c r="PDG112" s="181"/>
      <c r="PDH112" s="182"/>
      <c r="PDI112" s="181"/>
      <c r="PDJ112" s="182"/>
      <c r="PDK112" s="181"/>
      <c r="PDL112" s="182"/>
      <c r="PDM112" s="181"/>
      <c r="PDN112" s="182"/>
      <c r="PDO112" s="181"/>
      <c r="PDP112" s="182"/>
      <c r="PDQ112" s="181"/>
      <c r="PDR112" s="182"/>
      <c r="PDS112" s="181"/>
      <c r="PDT112" s="182"/>
      <c r="PDU112" s="181"/>
      <c r="PDV112" s="182"/>
      <c r="PDW112" s="181"/>
      <c r="PDX112" s="182"/>
      <c r="PDY112" s="181"/>
      <c r="PDZ112" s="182"/>
      <c r="PEA112" s="181"/>
      <c r="PEB112" s="182"/>
      <c r="PEC112" s="181"/>
      <c r="PED112" s="182"/>
      <c r="PEE112" s="181"/>
      <c r="PEF112" s="182"/>
      <c r="PEG112" s="181"/>
      <c r="PEH112" s="182"/>
      <c r="PEI112" s="181"/>
      <c r="PEJ112" s="182"/>
      <c r="PEK112" s="181"/>
      <c r="PEL112" s="182"/>
      <c r="PEM112" s="181"/>
      <c r="PEN112" s="182"/>
      <c r="PEO112" s="181"/>
      <c r="PEP112" s="182"/>
      <c r="PEQ112" s="181"/>
      <c r="PER112" s="182"/>
      <c r="PES112" s="181"/>
      <c r="PET112" s="182"/>
      <c r="PEU112" s="181"/>
      <c r="PEV112" s="182"/>
      <c r="PEW112" s="181"/>
      <c r="PEX112" s="182"/>
      <c r="PEY112" s="181"/>
      <c r="PEZ112" s="182"/>
      <c r="PFA112" s="181"/>
      <c r="PFB112" s="182"/>
      <c r="PFC112" s="181"/>
      <c r="PFD112" s="182"/>
      <c r="PFE112" s="181"/>
      <c r="PFF112" s="182"/>
      <c r="PFG112" s="181"/>
      <c r="PFH112" s="182"/>
      <c r="PFI112" s="181"/>
      <c r="PFJ112" s="182"/>
      <c r="PFK112" s="181"/>
      <c r="PFL112" s="182"/>
      <c r="PFM112" s="181"/>
      <c r="PFN112" s="182"/>
      <c r="PFO112" s="181"/>
      <c r="PFP112" s="182"/>
      <c r="PFQ112" s="181"/>
      <c r="PFR112" s="182"/>
      <c r="PFS112" s="181"/>
      <c r="PFT112" s="182"/>
      <c r="PFU112" s="181"/>
      <c r="PFV112" s="182"/>
      <c r="PFW112" s="181"/>
      <c r="PFX112" s="182"/>
      <c r="PFY112" s="181"/>
      <c r="PFZ112" s="182"/>
      <c r="PGA112" s="181"/>
      <c r="PGB112" s="182"/>
      <c r="PGC112" s="181"/>
      <c r="PGD112" s="182"/>
      <c r="PGE112" s="181"/>
      <c r="PGF112" s="182"/>
      <c r="PGG112" s="181"/>
      <c r="PGH112" s="182"/>
      <c r="PGI112" s="181"/>
      <c r="PGJ112" s="182"/>
      <c r="PGK112" s="181"/>
      <c r="PGL112" s="182"/>
      <c r="PGM112" s="181"/>
      <c r="PGN112" s="182"/>
      <c r="PGO112" s="181"/>
      <c r="PGP112" s="182"/>
      <c r="PGQ112" s="181"/>
      <c r="PGR112" s="182"/>
      <c r="PGS112" s="181"/>
      <c r="PGT112" s="182"/>
      <c r="PGU112" s="181"/>
      <c r="PGV112" s="182"/>
      <c r="PGW112" s="181"/>
      <c r="PGX112" s="182"/>
      <c r="PGY112" s="181"/>
      <c r="PGZ112" s="182"/>
      <c r="PHA112" s="181"/>
      <c r="PHB112" s="182"/>
      <c r="PHC112" s="181"/>
      <c r="PHD112" s="182"/>
      <c r="PHE112" s="181"/>
      <c r="PHF112" s="182"/>
      <c r="PHG112" s="181"/>
      <c r="PHH112" s="182"/>
      <c r="PHI112" s="181"/>
      <c r="PHJ112" s="182"/>
      <c r="PHK112" s="181"/>
      <c r="PHL112" s="182"/>
      <c r="PHM112" s="181"/>
      <c r="PHN112" s="182"/>
      <c r="PHO112" s="181"/>
      <c r="PHP112" s="182"/>
      <c r="PHQ112" s="181"/>
      <c r="PHR112" s="182"/>
      <c r="PHS112" s="181"/>
      <c r="PHT112" s="182"/>
      <c r="PHU112" s="181"/>
      <c r="PHV112" s="182"/>
      <c r="PHW112" s="181"/>
      <c r="PHX112" s="182"/>
      <c r="PHY112" s="181"/>
      <c r="PHZ112" s="182"/>
      <c r="PIA112" s="181"/>
      <c r="PIB112" s="182"/>
      <c r="PIC112" s="181"/>
      <c r="PID112" s="182"/>
      <c r="PIE112" s="181"/>
      <c r="PIF112" s="182"/>
      <c r="PIG112" s="181"/>
      <c r="PIH112" s="182"/>
      <c r="PII112" s="181"/>
      <c r="PIJ112" s="182"/>
      <c r="PIK112" s="181"/>
      <c r="PIL112" s="182"/>
      <c r="PIM112" s="181"/>
      <c r="PIN112" s="182"/>
      <c r="PIO112" s="181"/>
      <c r="PIP112" s="182"/>
      <c r="PIQ112" s="181"/>
      <c r="PIR112" s="182"/>
      <c r="PIS112" s="181"/>
      <c r="PIT112" s="182"/>
      <c r="PIU112" s="181"/>
      <c r="PIV112" s="182"/>
      <c r="PIW112" s="181"/>
      <c r="PIX112" s="182"/>
      <c r="PIY112" s="181"/>
      <c r="PIZ112" s="182"/>
      <c r="PJA112" s="181"/>
      <c r="PJB112" s="182"/>
      <c r="PJC112" s="181"/>
      <c r="PJD112" s="182"/>
      <c r="PJE112" s="181"/>
      <c r="PJF112" s="182"/>
      <c r="PJG112" s="181"/>
      <c r="PJH112" s="182"/>
      <c r="PJI112" s="181"/>
      <c r="PJJ112" s="182"/>
      <c r="PJK112" s="181"/>
      <c r="PJL112" s="182"/>
      <c r="PJM112" s="181"/>
      <c r="PJN112" s="182"/>
      <c r="PJO112" s="181"/>
      <c r="PJP112" s="182"/>
      <c r="PJQ112" s="181"/>
      <c r="PJR112" s="182"/>
      <c r="PJS112" s="181"/>
      <c r="PJT112" s="182"/>
      <c r="PJU112" s="181"/>
      <c r="PJV112" s="182"/>
      <c r="PJW112" s="181"/>
      <c r="PJX112" s="182"/>
      <c r="PJY112" s="181"/>
      <c r="PJZ112" s="182"/>
      <c r="PKA112" s="181"/>
      <c r="PKB112" s="182"/>
      <c r="PKC112" s="181"/>
      <c r="PKD112" s="182"/>
      <c r="PKE112" s="181"/>
      <c r="PKF112" s="182"/>
      <c r="PKG112" s="181"/>
      <c r="PKH112" s="182"/>
      <c r="PKI112" s="181"/>
      <c r="PKJ112" s="182"/>
      <c r="PKK112" s="181"/>
      <c r="PKL112" s="182"/>
      <c r="PKM112" s="181"/>
      <c r="PKN112" s="182"/>
      <c r="PKO112" s="181"/>
      <c r="PKP112" s="182"/>
      <c r="PKQ112" s="181"/>
      <c r="PKR112" s="182"/>
      <c r="PKS112" s="181"/>
      <c r="PKT112" s="182"/>
      <c r="PKU112" s="181"/>
      <c r="PKV112" s="182"/>
      <c r="PKW112" s="181"/>
      <c r="PKX112" s="182"/>
      <c r="PKY112" s="181"/>
      <c r="PKZ112" s="182"/>
      <c r="PLA112" s="181"/>
      <c r="PLB112" s="182"/>
      <c r="PLC112" s="181"/>
      <c r="PLD112" s="182"/>
      <c r="PLE112" s="181"/>
      <c r="PLF112" s="182"/>
      <c r="PLG112" s="181"/>
      <c r="PLH112" s="182"/>
      <c r="PLI112" s="181"/>
      <c r="PLJ112" s="182"/>
      <c r="PLK112" s="181"/>
      <c r="PLL112" s="182"/>
      <c r="PLM112" s="181"/>
      <c r="PLN112" s="182"/>
      <c r="PLO112" s="181"/>
      <c r="PLP112" s="182"/>
      <c r="PLQ112" s="181"/>
      <c r="PLR112" s="182"/>
      <c r="PLS112" s="181"/>
      <c r="PLT112" s="182"/>
      <c r="PLU112" s="181"/>
      <c r="PLV112" s="182"/>
      <c r="PLW112" s="181"/>
      <c r="PLX112" s="182"/>
      <c r="PLY112" s="181"/>
      <c r="PLZ112" s="182"/>
      <c r="PMA112" s="181"/>
      <c r="PMB112" s="182"/>
      <c r="PMC112" s="181"/>
      <c r="PMD112" s="182"/>
      <c r="PME112" s="181"/>
      <c r="PMF112" s="182"/>
      <c r="PMG112" s="181"/>
      <c r="PMH112" s="182"/>
      <c r="PMI112" s="181"/>
      <c r="PMJ112" s="182"/>
      <c r="PMK112" s="181"/>
      <c r="PML112" s="182"/>
      <c r="PMM112" s="181"/>
      <c r="PMN112" s="182"/>
      <c r="PMO112" s="181"/>
      <c r="PMP112" s="182"/>
      <c r="PMQ112" s="181"/>
      <c r="PMR112" s="182"/>
      <c r="PMS112" s="181"/>
      <c r="PMT112" s="182"/>
      <c r="PMU112" s="181"/>
      <c r="PMV112" s="182"/>
      <c r="PMW112" s="181"/>
      <c r="PMX112" s="182"/>
      <c r="PMY112" s="181"/>
      <c r="PMZ112" s="182"/>
      <c r="PNA112" s="181"/>
      <c r="PNB112" s="182"/>
      <c r="PNC112" s="181"/>
      <c r="PND112" s="182"/>
      <c r="PNE112" s="181"/>
      <c r="PNF112" s="182"/>
      <c r="PNG112" s="181"/>
      <c r="PNH112" s="182"/>
      <c r="PNI112" s="181"/>
      <c r="PNJ112" s="182"/>
      <c r="PNK112" s="181"/>
      <c r="PNL112" s="182"/>
      <c r="PNM112" s="181"/>
      <c r="PNN112" s="182"/>
      <c r="PNO112" s="181"/>
      <c r="PNP112" s="182"/>
      <c r="PNQ112" s="181"/>
      <c r="PNR112" s="182"/>
      <c r="PNS112" s="181"/>
      <c r="PNT112" s="182"/>
      <c r="PNU112" s="181"/>
      <c r="PNV112" s="182"/>
      <c r="PNW112" s="181"/>
      <c r="PNX112" s="182"/>
      <c r="PNY112" s="181"/>
      <c r="PNZ112" s="182"/>
      <c r="POA112" s="181"/>
      <c r="POB112" s="182"/>
      <c r="POC112" s="181"/>
      <c r="POD112" s="182"/>
      <c r="POE112" s="181"/>
      <c r="POF112" s="182"/>
      <c r="POG112" s="181"/>
      <c r="POH112" s="182"/>
      <c r="POI112" s="181"/>
      <c r="POJ112" s="182"/>
      <c r="POK112" s="181"/>
      <c r="POL112" s="182"/>
      <c r="POM112" s="181"/>
      <c r="PON112" s="182"/>
      <c r="POO112" s="181"/>
      <c r="POP112" s="182"/>
      <c r="POQ112" s="181"/>
      <c r="POR112" s="182"/>
      <c r="POS112" s="181"/>
      <c r="POT112" s="182"/>
      <c r="POU112" s="181"/>
      <c r="POV112" s="182"/>
      <c r="POW112" s="181"/>
      <c r="POX112" s="182"/>
      <c r="POY112" s="181"/>
      <c r="POZ112" s="182"/>
      <c r="PPA112" s="181"/>
      <c r="PPB112" s="182"/>
      <c r="PPC112" s="181"/>
      <c r="PPD112" s="182"/>
      <c r="PPE112" s="181"/>
      <c r="PPF112" s="182"/>
      <c r="PPG112" s="181"/>
      <c r="PPH112" s="182"/>
      <c r="PPI112" s="181"/>
      <c r="PPJ112" s="182"/>
      <c r="PPK112" s="181"/>
      <c r="PPL112" s="182"/>
      <c r="PPM112" s="181"/>
      <c r="PPN112" s="182"/>
      <c r="PPO112" s="181"/>
      <c r="PPP112" s="182"/>
      <c r="PPQ112" s="181"/>
      <c r="PPR112" s="182"/>
      <c r="PPS112" s="181"/>
      <c r="PPT112" s="182"/>
      <c r="PPU112" s="181"/>
      <c r="PPV112" s="182"/>
      <c r="PPW112" s="181"/>
      <c r="PPX112" s="182"/>
      <c r="PPY112" s="181"/>
      <c r="PPZ112" s="182"/>
      <c r="PQA112" s="181"/>
      <c r="PQB112" s="182"/>
      <c r="PQC112" s="181"/>
      <c r="PQD112" s="182"/>
      <c r="PQE112" s="181"/>
      <c r="PQF112" s="182"/>
      <c r="PQG112" s="181"/>
      <c r="PQH112" s="182"/>
      <c r="PQI112" s="181"/>
      <c r="PQJ112" s="182"/>
      <c r="PQK112" s="181"/>
      <c r="PQL112" s="182"/>
      <c r="PQM112" s="181"/>
      <c r="PQN112" s="182"/>
      <c r="PQO112" s="181"/>
      <c r="PQP112" s="182"/>
      <c r="PQQ112" s="181"/>
      <c r="PQR112" s="182"/>
      <c r="PQS112" s="181"/>
      <c r="PQT112" s="182"/>
      <c r="PQU112" s="181"/>
      <c r="PQV112" s="182"/>
      <c r="PQW112" s="181"/>
      <c r="PQX112" s="182"/>
      <c r="PQY112" s="181"/>
      <c r="PQZ112" s="182"/>
      <c r="PRA112" s="181"/>
      <c r="PRB112" s="182"/>
      <c r="PRC112" s="181"/>
      <c r="PRD112" s="182"/>
      <c r="PRE112" s="181"/>
      <c r="PRF112" s="182"/>
      <c r="PRG112" s="181"/>
      <c r="PRH112" s="182"/>
      <c r="PRI112" s="181"/>
      <c r="PRJ112" s="182"/>
      <c r="PRK112" s="181"/>
      <c r="PRL112" s="182"/>
      <c r="PRM112" s="181"/>
      <c r="PRN112" s="182"/>
      <c r="PRO112" s="181"/>
      <c r="PRP112" s="182"/>
      <c r="PRQ112" s="181"/>
      <c r="PRR112" s="182"/>
      <c r="PRS112" s="181"/>
      <c r="PRT112" s="182"/>
      <c r="PRU112" s="181"/>
      <c r="PRV112" s="182"/>
      <c r="PRW112" s="181"/>
      <c r="PRX112" s="182"/>
      <c r="PRY112" s="181"/>
      <c r="PRZ112" s="182"/>
      <c r="PSA112" s="181"/>
      <c r="PSB112" s="182"/>
      <c r="PSC112" s="181"/>
      <c r="PSD112" s="182"/>
      <c r="PSE112" s="181"/>
      <c r="PSF112" s="182"/>
      <c r="PSG112" s="181"/>
      <c r="PSH112" s="182"/>
      <c r="PSI112" s="181"/>
      <c r="PSJ112" s="182"/>
      <c r="PSK112" s="181"/>
      <c r="PSL112" s="182"/>
      <c r="PSM112" s="181"/>
      <c r="PSN112" s="182"/>
      <c r="PSO112" s="181"/>
      <c r="PSP112" s="182"/>
      <c r="PSQ112" s="181"/>
      <c r="PSR112" s="182"/>
      <c r="PSS112" s="181"/>
      <c r="PST112" s="182"/>
      <c r="PSU112" s="181"/>
      <c r="PSV112" s="182"/>
      <c r="PSW112" s="181"/>
      <c r="PSX112" s="182"/>
      <c r="PSY112" s="181"/>
      <c r="PSZ112" s="182"/>
      <c r="PTA112" s="181"/>
      <c r="PTB112" s="182"/>
      <c r="PTC112" s="181"/>
      <c r="PTD112" s="182"/>
      <c r="PTE112" s="181"/>
      <c r="PTF112" s="182"/>
      <c r="PTG112" s="181"/>
      <c r="PTH112" s="182"/>
      <c r="PTI112" s="181"/>
      <c r="PTJ112" s="182"/>
      <c r="PTK112" s="181"/>
      <c r="PTL112" s="182"/>
      <c r="PTM112" s="181"/>
      <c r="PTN112" s="182"/>
      <c r="PTO112" s="181"/>
      <c r="PTP112" s="182"/>
      <c r="PTQ112" s="181"/>
      <c r="PTR112" s="182"/>
      <c r="PTS112" s="181"/>
      <c r="PTT112" s="182"/>
      <c r="PTU112" s="181"/>
      <c r="PTV112" s="182"/>
      <c r="PTW112" s="181"/>
      <c r="PTX112" s="182"/>
      <c r="PTY112" s="181"/>
      <c r="PTZ112" s="182"/>
      <c r="PUA112" s="181"/>
      <c r="PUB112" s="182"/>
      <c r="PUC112" s="181"/>
      <c r="PUD112" s="182"/>
      <c r="PUE112" s="181"/>
      <c r="PUF112" s="182"/>
      <c r="PUG112" s="181"/>
      <c r="PUH112" s="182"/>
      <c r="PUI112" s="181"/>
      <c r="PUJ112" s="182"/>
      <c r="PUK112" s="181"/>
      <c r="PUL112" s="182"/>
      <c r="PUM112" s="181"/>
      <c r="PUN112" s="182"/>
      <c r="PUO112" s="181"/>
      <c r="PUP112" s="182"/>
      <c r="PUQ112" s="181"/>
      <c r="PUR112" s="182"/>
      <c r="PUS112" s="181"/>
      <c r="PUT112" s="182"/>
      <c r="PUU112" s="181"/>
      <c r="PUV112" s="182"/>
      <c r="PUW112" s="181"/>
      <c r="PUX112" s="182"/>
      <c r="PUY112" s="181"/>
      <c r="PUZ112" s="182"/>
      <c r="PVA112" s="181"/>
      <c r="PVB112" s="182"/>
      <c r="PVC112" s="181"/>
      <c r="PVD112" s="182"/>
      <c r="PVE112" s="181"/>
      <c r="PVF112" s="182"/>
      <c r="PVG112" s="181"/>
      <c r="PVH112" s="182"/>
      <c r="PVI112" s="181"/>
      <c r="PVJ112" s="182"/>
      <c r="PVK112" s="181"/>
      <c r="PVL112" s="182"/>
      <c r="PVM112" s="181"/>
      <c r="PVN112" s="182"/>
      <c r="PVO112" s="181"/>
      <c r="PVP112" s="182"/>
      <c r="PVQ112" s="181"/>
      <c r="PVR112" s="182"/>
      <c r="PVS112" s="181"/>
      <c r="PVT112" s="182"/>
      <c r="PVU112" s="181"/>
      <c r="PVV112" s="182"/>
      <c r="PVW112" s="181"/>
      <c r="PVX112" s="182"/>
      <c r="PVY112" s="181"/>
      <c r="PVZ112" s="182"/>
      <c r="PWA112" s="181"/>
      <c r="PWB112" s="182"/>
      <c r="PWC112" s="181"/>
      <c r="PWD112" s="182"/>
      <c r="PWE112" s="181"/>
      <c r="PWF112" s="182"/>
      <c r="PWG112" s="181"/>
      <c r="PWH112" s="182"/>
      <c r="PWI112" s="181"/>
      <c r="PWJ112" s="182"/>
      <c r="PWK112" s="181"/>
      <c r="PWL112" s="182"/>
      <c r="PWM112" s="181"/>
      <c r="PWN112" s="182"/>
      <c r="PWO112" s="181"/>
      <c r="PWP112" s="182"/>
      <c r="PWQ112" s="181"/>
      <c r="PWR112" s="182"/>
      <c r="PWS112" s="181"/>
      <c r="PWT112" s="182"/>
      <c r="PWU112" s="181"/>
      <c r="PWV112" s="182"/>
      <c r="PWW112" s="181"/>
      <c r="PWX112" s="182"/>
      <c r="PWY112" s="181"/>
      <c r="PWZ112" s="182"/>
      <c r="PXA112" s="181"/>
      <c r="PXB112" s="182"/>
      <c r="PXC112" s="181"/>
      <c r="PXD112" s="182"/>
      <c r="PXE112" s="181"/>
      <c r="PXF112" s="182"/>
      <c r="PXG112" s="181"/>
      <c r="PXH112" s="182"/>
      <c r="PXI112" s="181"/>
      <c r="PXJ112" s="182"/>
      <c r="PXK112" s="181"/>
      <c r="PXL112" s="182"/>
      <c r="PXM112" s="181"/>
      <c r="PXN112" s="182"/>
      <c r="PXO112" s="181"/>
      <c r="PXP112" s="182"/>
      <c r="PXQ112" s="181"/>
      <c r="PXR112" s="182"/>
      <c r="PXS112" s="181"/>
      <c r="PXT112" s="182"/>
      <c r="PXU112" s="181"/>
      <c r="PXV112" s="182"/>
      <c r="PXW112" s="181"/>
      <c r="PXX112" s="182"/>
      <c r="PXY112" s="181"/>
      <c r="PXZ112" s="182"/>
      <c r="PYA112" s="181"/>
      <c r="PYB112" s="182"/>
      <c r="PYC112" s="181"/>
      <c r="PYD112" s="182"/>
      <c r="PYE112" s="181"/>
      <c r="PYF112" s="182"/>
      <c r="PYG112" s="181"/>
      <c r="PYH112" s="182"/>
      <c r="PYI112" s="181"/>
      <c r="PYJ112" s="182"/>
      <c r="PYK112" s="181"/>
      <c r="PYL112" s="182"/>
      <c r="PYM112" s="181"/>
      <c r="PYN112" s="182"/>
      <c r="PYO112" s="181"/>
      <c r="PYP112" s="182"/>
      <c r="PYQ112" s="181"/>
      <c r="PYR112" s="182"/>
      <c r="PYS112" s="181"/>
      <c r="PYT112" s="182"/>
      <c r="PYU112" s="181"/>
      <c r="PYV112" s="182"/>
      <c r="PYW112" s="181"/>
      <c r="PYX112" s="182"/>
      <c r="PYY112" s="181"/>
      <c r="PYZ112" s="182"/>
      <c r="PZA112" s="181"/>
      <c r="PZB112" s="182"/>
      <c r="PZC112" s="181"/>
      <c r="PZD112" s="182"/>
      <c r="PZE112" s="181"/>
      <c r="PZF112" s="182"/>
      <c r="PZG112" s="181"/>
      <c r="PZH112" s="182"/>
      <c r="PZI112" s="181"/>
      <c r="PZJ112" s="182"/>
      <c r="PZK112" s="181"/>
      <c r="PZL112" s="182"/>
      <c r="PZM112" s="181"/>
      <c r="PZN112" s="182"/>
      <c r="PZO112" s="181"/>
      <c r="PZP112" s="182"/>
      <c r="PZQ112" s="181"/>
      <c r="PZR112" s="182"/>
      <c r="PZS112" s="181"/>
      <c r="PZT112" s="182"/>
      <c r="PZU112" s="181"/>
      <c r="PZV112" s="182"/>
      <c r="PZW112" s="181"/>
      <c r="PZX112" s="182"/>
      <c r="PZY112" s="181"/>
      <c r="PZZ112" s="182"/>
      <c r="QAA112" s="181"/>
      <c r="QAB112" s="182"/>
      <c r="QAC112" s="181"/>
      <c r="QAD112" s="182"/>
      <c r="QAE112" s="181"/>
      <c r="QAF112" s="182"/>
      <c r="QAG112" s="181"/>
      <c r="QAH112" s="182"/>
      <c r="QAI112" s="181"/>
      <c r="QAJ112" s="182"/>
      <c r="QAK112" s="181"/>
      <c r="QAL112" s="182"/>
      <c r="QAM112" s="181"/>
      <c r="QAN112" s="182"/>
      <c r="QAO112" s="181"/>
      <c r="QAP112" s="182"/>
      <c r="QAQ112" s="181"/>
      <c r="QAR112" s="182"/>
      <c r="QAS112" s="181"/>
      <c r="QAT112" s="182"/>
      <c r="QAU112" s="181"/>
      <c r="QAV112" s="182"/>
      <c r="QAW112" s="181"/>
      <c r="QAX112" s="182"/>
      <c r="QAY112" s="181"/>
      <c r="QAZ112" s="182"/>
      <c r="QBA112" s="181"/>
      <c r="QBB112" s="182"/>
      <c r="QBC112" s="181"/>
      <c r="QBD112" s="182"/>
      <c r="QBE112" s="181"/>
      <c r="QBF112" s="182"/>
      <c r="QBG112" s="181"/>
      <c r="QBH112" s="182"/>
      <c r="QBI112" s="181"/>
      <c r="QBJ112" s="182"/>
      <c r="QBK112" s="181"/>
      <c r="QBL112" s="182"/>
      <c r="QBM112" s="181"/>
      <c r="QBN112" s="182"/>
      <c r="QBO112" s="181"/>
      <c r="QBP112" s="182"/>
      <c r="QBQ112" s="181"/>
      <c r="QBR112" s="182"/>
      <c r="QBS112" s="181"/>
      <c r="QBT112" s="182"/>
      <c r="QBU112" s="181"/>
      <c r="QBV112" s="182"/>
      <c r="QBW112" s="181"/>
      <c r="QBX112" s="182"/>
      <c r="QBY112" s="181"/>
      <c r="QBZ112" s="182"/>
      <c r="QCA112" s="181"/>
      <c r="QCB112" s="182"/>
      <c r="QCC112" s="181"/>
      <c r="QCD112" s="182"/>
      <c r="QCE112" s="181"/>
      <c r="QCF112" s="182"/>
      <c r="QCG112" s="181"/>
      <c r="QCH112" s="182"/>
      <c r="QCI112" s="181"/>
      <c r="QCJ112" s="182"/>
      <c r="QCK112" s="181"/>
      <c r="QCL112" s="182"/>
      <c r="QCM112" s="181"/>
      <c r="QCN112" s="182"/>
      <c r="QCO112" s="181"/>
      <c r="QCP112" s="182"/>
      <c r="QCQ112" s="181"/>
      <c r="QCR112" s="182"/>
      <c r="QCS112" s="181"/>
      <c r="QCT112" s="182"/>
      <c r="QCU112" s="181"/>
      <c r="QCV112" s="182"/>
      <c r="QCW112" s="181"/>
      <c r="QCX112" s="182"/>
      <c r="QCY112" s="181"/>
      <c r="QCZ112" s="182"/>
      <c r="QDA112" s="181"/>
      <c r="QDB112" s="182"/>
      <c r="QDC112" s="181"/>
      <c r="QDD112" s="182"/>
      <c r="QDE112" s="181"/>
      <c r="QDF112" s="182"/>
      <c r="QDG112" s="181"/>
      <c r="QDH112" s="182"/>
      <c r="QDI112" s="181"/>
      <c r="QDJ112" s="182"/>
      <c r="QDK112" s="181"/>
      <c r="QDL112" s="182"/>
      <c r="QDM112" s="181"/>
      <c r="QDN112" s="182"/>
      <c r="QDO112" s="181"/>
      <c r="QDP112" s="182"/>
      <c r="QDQ112" s="181"/>
      <c r="QDR112" s="182"/>
      <c r="QDS112" s="181"/>
      <c r="QDT112" s="182"/>
      <c r="QDU112" s="181"/>
      <c r="QDV112" s="182"/>
      <c r="QDW112" s="181"/>
      <c r="QDX112" s="182"/>
      <c r="QDY112" s="181"/>
      <c r="QDZ112" s="182"/>
      <c r="QEA112" s="181"/>
      <c r="QEB112" s="182"/>
      <c r="QEC112" s="181"/>
      <c r="QED112" s="182"/>
      <c r="QEE112" s="181"/>
      <c r="QEF112" s="182"/>
      <c r="QEG112" s="181"/>
      <c r="QEH112" s="182"/>
      <c r="QEI112" s="181"/>
      <c r="QEJ112" s="182"/>
      <c r="QEK112" s="181"/>
      <c r="QEL112" s="182"/>
      <c r="QEM112" s="181"/>
      <c r="QEN112" s="182"/>
      <c r="QEO112" s="181"/>
      <c r="QEP112" s="182"/>
      <c r="QEQ112" s="181"/>
      <c r="QER112" s="182"/>
      <c r="QES112" s="181"/>
      <c r="QET112" s="182"/>
      <c r="QEU112" s="181"/>
      <c r="QEV112" s="182"/>
      <c r="QEW112" s="181"/>
      <c r="QEX112" s="182"/>
      <c r="QEY112" s="181"/>
      <c r="QEZ112" s="182"/>
      <c r="QFA112" s="181"/>
      <c r="QFB112" s="182"/>
      <c r="QFC112" s="181"/>
      <c r="QFD112" s="182"/>
      <c r="QFE112" s="181"/>
      <c r="QFF112" s="182"/>
      <c r="QFG112" s="181"/>
      <c r="QFH112" s="182"/>
      <c r="QFI112" s="181"/>
      <c r="QFJ112" s="182"/>
      <c r="QFK112" s="181"/>
      <c r="QFL112" s="182"/>
      <c r="QFM112" s="181"/>
      <c r="QFN112" s="182"/>
      <c r="QFO112" s="181"/>
      <c r="QFP112" s="182"/>
      <c r="QFQ112" s="181"/>
      <c r="QFR112" s="182"/>
      <c r="QFS112" s="181"/>
      <c r="QFT112" s="182"/>
      <c r="QFU112" s="181"/>
      <c r="QFV112" s="182"/>
      <c r="QFW112" s="181"/>
      <c r="QFX112" s="182"/>
      <c r="QFY112" s="181"/>
      <c r="QFZ112" s="182"/>
      <c r="QGA112" s="181"/>
      <c r="QGB112" s="182"/>
      <c r="QGC112" s="181"/>
      <c r="QGD112" s="182"/>
      <c r="QGE112" s="181"/>
      <c r="QGF112" s="182"/>
      <c r="QGG112" s="181"/>
      <c r="QGH112" s="182"/>
      <c r="QGI112" s="181"/>
      <c r="QGJ112" s="182"/>
      <c r="QGK112" s="181"/>
      <c r="QGL112" s="182"/>
      <c r="QGM112" s="181"/>
      <c r="QGN112" s="182"/>
      <c r="QGO112" s="181"/>
      <c r="QGP112" s="182"/>
      <c r="QGQ112" s="181"/>
      <c r="QGR112" s="182"/>
      <c r="QGS112" s="181"/>
      <c r="QGT112" s="182"/>
      <c r="QGU112" s="181"/>
      <c r="QGV112" s="182"/>
      <c r="QGW112" s="181"/>
      <c r="QGX112" s="182"/>
      <c r="QGY112" s="181"/>
      <c r="QGZ112" s="182"/>
      <c r="QHA112" s="181"/>
      <c r="QHB112" s="182"/>
      <c r="QHC112" s="181"/>
      <c r="QHD112" s="182"/>
      <c r="QHE112" s="181"/>
      <c r="QHF112" s="182"/>
      <c r="QHG112" s="181"/>
      <c r="QHH112" s="182"/>
      <c r="QHI112" s="181"/>
      <c r="QHJ112" s="182"/>
      <c r="QHK112" s="181"/>
      <c r="QHL112" s="182"/>
      <c r="QHM112" s="181"/>
      <c r="QHN112" s="182"/>
      <c r="QHO112" s="181"/>
      <c r="QHP112" s="182"/>
      <c r="QHQ112" s="181"/>
      <c r="QHR112" s="182"/>
      <c r="QHS112" s="181"/>
      <c r="QHT112" s="182"/>
      <c r="QHU112" s="181"/>
      <c r="QHV112" s="182"/>
      <c r="QHW112" s="181"/>
      <c r="QHX112" s="182"/>
      <c r="QHY112" s="181"/>
      <c r="QHZ112" s="182"/>
      <c r="QIA112" s="181"/>
      <c r="QIB112" s="182"/>
      <c r="QIC112" s="181"/>
      <c r="QID112" s="182"/>
      <c r="QIE112" s="181"/>
      <c r="QIF112" s="182"/>
      <c r="QIG112" s="181"/>
      <c r="QIH112" s="182"/>
      <c r="QII112" s="181"/>
      <c r="QIJ112" s="182"/>
      <c r="QIK112" s="181"/>
      <c r="QIL112" s="182"/>
      <c r="QIM112" s="181"/>
      <c r="QIN112" s="182"/>
      <c r="QIO112" s="181"/>
      <c r="QIP112" s="182"/>
      <c r="QIQ112" s="181"/>
      <c r="QIR112" s="182"/>
      <c r="QIS112" s="181"/>
      <c r="QIT112" s="182"/>
      <c r="QIU112" s="181"/>
      <c r="QIV112" s="182"/>
      <c r="QIW112" s="181"/>
      <c r="QIX112" s="182"/>
      <c r="QIY112" s="181"/>
      <c r="QIZ112" s="182"/>
      <c r="QJA112" s="181"/>
      <c r="QJB112" s="182"/>
      <c r="QJC112" s="181"/>
      <c r="QJD112" s="182"/>
      <c r="QJE112" s="181"/>
      <c r="QJF112" s="182"/>
      <c r="QJG112" s="181"/>
      <c r="QJH112" s="182"/>
      <c r="QJI112" s="181"/>
      <c r="QJJ112" s="182"/>
      <c r="QJK112" s="181"/>
      <c r="QJL112" s="182"/>
      <c r="QJM112" s="181"/>
      <c r="QJN112" s="182"/>
      <c r="QJO112" s="181"/>
      <c r="QJP112" s="182"/>
      <c r="QJQ112" s="181"/>
      <c r="QJR112" s="182"/>
      <c r="QJS112" s="181"/>
      <c r="QJT112" s="182"/>
      <c r="QJU112" s="181"/>
      <c r="QJV112" s="182"/>
      <c r="QJW112" s="181"/>
      <c r="QJX112" s="182"/>
      <c r="QJY112" s="181"/>
      <c r="QJZ112" s="182"/>
      <c r="QKA112" s="181"/>
      <c r="QKB112" s="182"/>
      <c r="QKC112" s="181"/>
      <c r="QKD112" s="182"/>
      <c r="QKE112" s="181"/>
      <c r="QKF112" s="182"/>
      <c r="QKG112" s="181"/>
      <c r="QKH112" s="182"/>
      <c r="QKI112" s="181"/>
      <c r="QKJ112" s="182"/>
      <c r="QKK112" s="181"/>
      <c r="QKL112" s="182"/>
      <c r="QKM112" s="181"/>
      <c r="QKN112" s="182"/>
      <c r="QKO112" s="181"/>
      <c r="QKP112" s="182"/>
      <c r="QKQ112" s="181"/>
      <c r="QKR112" s="182"/>
      <c r="QKS112" s="181"/>
      <c r="QKT112" s="182"/>
      <c r="QKU112" s="181"/>
      <c r="QKV112" s="182"/>
      <c r="QKW112" s="181"/>
      <c r="QKX112" s="182"/>
      <c r="QKY112" s="181"/>
      <c r="QKZ112" s="182"/>
      <c r="QLA112" s="181"/>
      <c r="QLB112" s="182"/>
      <c r="QLC112" s="181"/>
      <c r="QLD112" s="182"/>
      <c r="QLE112" s="181"/>
      <c r="QLF112" s="182"/>
      <c r="QLG112" s="181"/>
      <c r="QLH112" s="182"/>
      <c r="QLI112" s="181"/>
      <c r="QLJ112" s="182"/>
      <c r="QLK112" s="181"/>
      <c r="QLL112" s="182"/>
      <c r="QLM112" s="181"/>
      <c r="QLN112" s="182"/>
      <c r="QLO112" s="181"/>
      <c r="QLP112" s="182"/>
      <c r="QLQ112" s="181"/>
      <c r="QLR112" s="182"/>
      <c r="QLS112" s="181"/>
      <c r="QLT112" s="182"/>
      <c r="QLU112" s="181"/>
      <c r="QLV112" s="182"/>
      <c r="QLW112" s="181"/>
      <c r="QLX112" s="182"/>
      <c r="QLY112" s="181"/>
      <c r="QLZ112" s="182"/>
      <c r="QMA112" s="181"/>
      <c r="QMB112" s="182"/>
      <c r="QMC112" s="181"/>
      <c r="QMD112" s="182"/>
      <c r="QME112" s="181"/>
      <c r="QMF112" s="182"/>
      <c r="QMG112" s="181"/>
      <c r="QMH112" s="182"/>
      <c r="QMI112" s="181"/>
      <c r="QMJ112" s="182"/>
      <c r="QMK112" s="181"/>
      <c r="QML112" s="182"/>
      <c r="QMM112" s="181"/>
      <c r="QMN112" s="182"/>
      <c r="QMO112" s="181"/>
      <c r="QMP112" s="182"/>
      <c r="QMQ112" s="181"/>
      <c r="QMR112" s="182"/>
      <c r="QMS112" s="181"/>
      <c r="QMT112" s="182"/>
      <c r="QMU112" s="181"/>
      <c r="QMV112" s="182"/>
      <c r="QMW112" s="181"/>
      <c r="QMX112" s="182"/>
      <c r="QMY112" s="181"/>
      <c r="QMZ112" s="182"/>
      <c r="QNA112" s="181"/>
      <c r="QNB112" s="182"/>
      <c r="QNC112" s="181"/>
      <c r="QND112" s="182"/>
      <c r="QNE112" s="181"/>
      <c r="QNF112" s="182"/>
      <c r="QNG112" s="181"/>
      <c r="QNH112" s="182"/>
      <c r="QNI112" s="181"/>
      <c r="QNJ112" s="182"/>
      <c r="QNK112" s="181"/>
      <c r="QNL112" s="182"/>
      <c r="QNM112" s="181"/>
      <c r="QNN112" s="182"/>
      <c r="QNO112" s="181"/>
      <c r="QNP112" s="182"/>
      <c r="QNQ112" s="181"/>
      <c r="QNR112" s="182"/>
      <c r="QNS112" s="181"/>
      <c r="QNT112" s="182"/>
      <c r="QNU112" s="181"/>
      <c r="QNV112" s="182"/>
      <c r="QNW112" s="181"/>
      <c r="QNX112" s="182"/>
      <c r="QNY112" s="181"/>
      <c r="QNZ112" s="182"/>
      <c r="QOA112" s="181"/>
      <c r="QOB112" s="182"/>
      <c r="QOC112" s="181"/>
      <c r="QOD112" s="182"/>
      <c r="QOE112" s="181"/>
      <c r="QOF112" s="182"/>
      <c r="QOG112" s="181"/>
      <c r="QOH112" s="182"/>
      <c r="QOI112" s="181"/>
      <c r="QOJ112" s="182"/>
      <c r="QOK112" s="181"/>
      <c r="QOL112" s="182"/>
      <c r="QOM112" s="181"/>
      <c r="QON112" s="182"/>
      <c r="QOO112" s="181"/>
      <c r="QOP112" s="182"/>
      <c r="QOQ112" s="181"/>
      <c r="QOR112" s="182"/>
      <c r="QOS112" s="181"/>
      <c r="QOT112" s="182"/>
      <c r="QOU112" s="181"/>
      <c r="QOV112" s="182"/>
      <c r="QOW112" s="181"/>
      <c r="QOX112" s="182"/>
      <c r="QOY112" s="181"/>
      <c r="QOZ112" s="182"/>
      <c r="QPA112" s="181"/>
      <c r="QPB112" s="182"/>
      <c r="QPC112" s="181"/>
      <c r="QPD112" s="182"/>
      <c r="QPE112" s="181"/>
      <c r="QPF112" s="182"/>
      <c r="QPG112" s="181"/>
      <c r="QPH112" s="182"/>
      <c r="QPI112" s="181"/>
      <c r="QPJ112" s="182"/>
      <c r="QPK112" s="181"/>
      <c r="QPL112" s="182"/>
      <c r="QPM112" s="181"/>
      <c r="QPN112" s="182"/>
      <c r="QPO112" s="181"/>
      <c r="QPP112" s="182"/>
      <c r="QPQ112" s="181"/>
      <c r="QPR112" s="182"/>
      <c r="QPS112" s="181"/>
      <c r="QPT112" s="182"/>
      <c r="QPU112" s="181"/>
      <c r="QPV112" s="182"/>
      <c r="QPW112" s="181"/>
      <c r="QPX112" s="182"/>
      <c r="QPY112" s="181"/>
      <c r="QPZ112" s="182"/>
      <c r="QQA112" s="181"/>
      <c r="QQB112" s="182"/>
      <c r="QQC112" s="181"/>
      <c r="QQD112" s="182"/>
      <c r="QQE112" s="181"/>
      <c r="QQF112" s="182"/>
      <c r="QQG112" s="181"/>
      <c r="QQH112" s="182"/>
      <c r="QQI112" s="181"/>
      <c r="QQJ112" s="182"/>
      <c r="QQK112" s="181"/>
      <c r="QQL112" s="182"/>
      <c r="QQM112" s="181"/>
      <c r="QQN112" s="182"/>
      <c r="QQO112" s="181"/>
      <c r="QQP112" s="182"/>
      <c r="QQQ112" s="181"/>
      <c r="QQR112" s="182"/>
      <c r="QQS112" s="181"/>
      <c r="QQT112" s="182"/>
      <c r="QQU112" s="181"/>
      <c r="QQV112" s="182"/>
      <c r="QQW112" s="181"/>
      <c r="QQX112" s="182"/>
      <c r="QQY112" s="181"/>
      <c r="QQZ112" s="182"/>
      <c r="QRA112" s="181"/>
      <c r="QRB112" s="182"/>
      <c r="QRC112" s="181"/>
      <c r="QRD112" s="182"/>
      <c r="QRE112" s="181"/>
      <c r="QRF112" s="182"/>
      <c r="QRG112" s="181"/>
      <c r="QRH112" s="182"/>
      <c r="QRI112" s="181"/>
      <c r="QRJ112" s="182"/>
      <c r="QRK112" s="181"/>
      <c r="QRL112" s="182"/>
      <c r="QRM112" s="181"/>
      <c r="QRN112" s="182"/>
      <c r="QRO112" s="181"/>
      <c r="QRP112" s="182"/>
      <c r="QRQ112" s="181"/>
      <c r="QRR112" s="182"/>
      <c r="QRS112" s="181"/>
      <c r="QRT112" s="182"/>
      <c r="QRU112" s="181"/>
      <c r="QRV112" s="182"/>
      <c r="QRW112" s="181"/>
      <c r="QRX112" s="182"/>
      <c r="QRY112" s="181"/>
      <c r="QRZ112" s="182"/>
      <c r="QSA112" s="181"/>
      <c r="QSB112" s="182"/>
      <c r="QSC112" s="181"/>
      <c r="QSD112" s="182"/>
      <c r="QSE112" s="181"/>
      <c r="QSF112" s="182"/>
      <c r="QSG112" s="181"/>
      <c r="QSH112" s="182"/>
      <c r="QSI112" s="181"/>
      <c r="QSJ112" s="182"/>
      <c r="QSK112" s="181"/>
      <c r="QSL112" s="182"/>
      <c r="QSM112" s="181"/>
      <c r="QSN112" s="182"/>
      <c r="QSO112" s="181"/>
      <c r="QSP112" s="182"/>
      <c r="QSQ112" s="181"/>
      <c r="QSR112" s="182"/>
      <c r="QSS112" s="181"/>
      <c r="QST112" s="182"/>
      <c r="QSU112" s="181"/>
      <c r="QSV112" s="182"/>
      <c r="QSW112" s="181"/>
      <c r="QSX112" s="182"/>
      <c r="QSY112" s="181"/>
      <c r="QSZ112" s="182"/>
      <c r="QTA112" s="181"/>
      <c r="QTB112" s="182"/>
      <c r="QTC112" s="181"/>
      <c r="QTD112" s="182"/>
      <c r="QTE112" s="181"/>
      <c r="QTF112" s="182"/>
      <c r="QTG112" s="181"/>
      <c r="QTH112" s="182"/>
      <c r="QTI112" s="181"/>
      <c r="QTJ112" s="182"/>
      <c r="QTK112" s="181"/>
      <c r="QTL112" s="182"/>
      <c r="QTM112" s="181"/>
      <c r="QTN112" s="182"/>
      <c r="QTO112" s="181"/>
      <c r="QTP112" s="182"/>
      <c r="QTQ112" s="181"/>
      <c r="QTR112" s="182"/>
      <c r="QTS112" s="181"/>
      <c r="QTT112" s="182"/>
      <c r="QTU112" s="181"/>
      <c r="QTV112" s="182"/>
      <c r="QTW112" s="181"/>
      <c r="QTX112" s="182"/>
      <c r="QTY112" s="181"/>
      <c r="QTZ112" s="182"/>
      <c r="QUA112" s="181"/>
      <c r="QUB112" s="182"/>
      <c r="QUC112" s="181"/>
      <c r="QUD112" s="182"/>
      <c r="QUE112" s="181"/>
      <c r="QUF112" s="182"/>
      <c r="QUG112" s="181"/>
      <c r="QUH112" s="182"/>
      <c r="QUI112" s="181"/>
      <c r="QUJ112" s="182"/>
      <c r="QUK112" s="181"/>
      <c r="QUL112" s="182"/>
      <c r="QUM112" s="181"/>
      <c r="QUN112" s="182"/>
      <c r="QUO112" s="181"/>
      <c r="QUP112" s="182"/>
      <c r="QUQ112" s="181"/>
      <c r="QUR112" s="182"/>
      <c r="QUS112" s="181"/>
      <c r="QUT112" s="182"/>
      <c r="QUU112" s="181"/>
      <c r="QUV112" s="182"/>
      <c r="QUW112" s="181"/>
      <c r="QUX112" s="182"/>
      <c r="QUY112" s="181"/>
      <c r="QUZ112" s="182"/>
      <c r="QVA112" s="181"/>
      <c r="QVB112" s="182"/>
      <c r="QVC112" s="181"/>
      <c r="QVD112" s="182"/>
      <c r="QVE112" s="181"/>
      <c r="QVF112" s="182"/>
      <c r="QVG112" s="181"/>
      <c r="QVH112" s="182"/>
      <c r="QVI112" s="181"/>
      <c r="QVJ112" s="182"/>
      <c r="QVK112" s="181"/>
      <c r="QVL112" s="182"/>
      <c r="QVM112" s="181"/>
      <c r="QVN112" s="182"/>
      <c r="QVO112" s="181"/>
      <c r="QVP112" s="182"/>
      <c r="QVQ112" s="181"/>
      <c r="QVR112" s="182"/>
      <c r="QVS112" s="181"/>
      <c r="QVT112" s="182"/>
      <c r="QVU112" s="181"/>
      <c r="QVV112" s="182"/>
      <c r="QVW112" s="181"/>
      <c r="QVX112" s="182"/>
      <c r="QVY112" s="181"/>
      <c r="QVZ112" s="182"/>
      <c r="QWA112" s="181"/>
      <c r="QWB112" s="182"/>
      <c r="QWC112" s="181"/>
      <c r="QWD112" s="182"/>
      <c r="QWE112" s="181"/>
      <c r="QWF112" s="182"/>
      <c r="QWG112" s="181"/>
      <c r="QWH112" s="182"/>
      <c r="QWI112" s="181"/>
      <c r="QWJ112" s="182"/>
      <c r="QWK112" s="181"/>
      <c r="QWL112" s="182"/>
      <c r="QWM112" s="181"/>
      <c r="QWN112" s="182"/>
      <c r="QWO112" s="181"/>
      <c r="QWP112" s="182"/>
      <c r="QWQ112" s="181"/>
      <c r="QWR112" s="182"/>
      <c r="QWS112" s="181"/>
      <c r="QWT112" s="182"/>
      <c r="QWU112" s="181"/>
      <c r="QWV112" s="182"/>
      <c r="QWW112" s="181"/>
      <c r="QWX112" s="182"/>
      <c r="QWY112" s="181"/>
      <c r="QWZ112" s="182"/>
      <c r="QXA112" s="181"/>
      <c r="QXB112" s="182"/>
      <c r="QXC112" s="181"/>
      <c r="QXD112" s="182"/>
      <c r="QXE112" s="181"/>
      <c r="QXF112" s="182"/>
      <c r="QXG112" s="181"/>
      <c r="QXH112" s="182"/>
      <c r="QXI112" s="181"/>
      <c r="QXJ112" s="182"/>
      <c r="QXK112" s="181"/>
      <c r="QXL112" s="182"/>
      <c r="QXM112" s="181"/>
      <c r="QXN112" s="182"/>
      <c r="QXO112" s="181"/>
      <c r="QXP112" s="182"/>
      <c r="QXQ112" s="181"/>
      <c r="QXR112" s="182"/>
      <c r="QXS112" s="181"/>
      <c r="QXT112" s="182"/>
      <c r="QXU112" s="181"/>
      <c r="QXV112" s="182"/>
      <c r="QXW112" s="181"/>
      <c r="QXX112" s="182"/>
      <c r="QXY112" s="181"/>
      <c r="QXZ112" s="182"/>
      <c r="QYA112" s="181"/>
      <c r="QYB112" s="182"/>
      <c r="QYC112" s="181"/>
      <c r="QYD112" s="182"/>
      <c r="QYE112" s="181"/>
      <c r="QYF112" s="182"/>
      <c r="QYG112" s="181"/>
      <c r="QYH112" s="182"/>
      <c r="QYI112" s="181"/>
      <c r="QYJ112" s="182"/>
      <c r="QYK112" s="181"/>
      <c r="QYL112" s="182"/>
      <c r="QYM112" s="181"/>
      <c r="QYN112" s="182"/>
      <c r="QYO112" s="181"/>
      <c r="QYP112" s="182"/>
      <c r="QYQ112" s="181"/>
      <c r="QYR112" s="182"/>
      <c r="QYS112" s="181"/>
      <c r="QYT112" s="182"/>
      <c r="QYU112" s="181"/>
      <c r="QYV112" s="182"/>
      <c r="QYW112" s="181"/>
      <c r="QYX112" s="182"/>
      <c r="QYY112" s="181"/>
      <c r="QYZ112" s="182"/>
      <c r="QZA112" s="181"/>
      <c r="QZB112" s="182"/>
      <c r="QZC112" s="181"/>
      <c r="QZD112" s="182"/>
      <c r="QZE112" s="181"/>
      <c r="QZF112" s="182"/>
      <c r="QZG112" s="181"/>
      <c r="QZH112" s="182"/>
      <c r="QZI112" s="181"/>
      <c r="QZJ112" s="182"/>
      <c r="QZK112" s="181"/>
      <c r="QZL112" s="182"/>
      <c r="QZM112" s="181"/>
      <c r="QZN112" s="182"/>
      <c r="QZO112" s="181"/>
      <c r="QZP112" s="182"/>
      <c r="QZQ112" s="181"/>
      <c r="QZR112" s="182"/>
      <c r="QZS112" s="181"/>
      <c r="QZT112" s="182"/>
      <c r="QZU112" s="181"/>
      <c r="QZV112" s="182"/>
      <c r="QZW112" s="181"/>
      <c r="QZX112" s="182"/>
      <c r="QZY112" s="181"/>
      <c r="QZZ112" s="182"/>
      <c r="RAA112" s="181"/>
      <c r="RAB112" s="182"/>
      <c r="RAC112" s="181"/>
      <c r="RAD112" s="182"/>
      <c r="RAE112" s="181"/>
      <c r="RAF112" s="182"/>
      <c r="RAG112" s="181"/>
      <c r="RAH112" s="182"/>
      <c r="RAI112" s="181"/>
      <c r="RAJ112" s="182"/>
      <c r="RAK112" s="181"/>
      <c r="RAL112" s="182"/>
      <c r="RAM112" s="181"/>
      <c r="RAN112" s="182"/>
      <c r="RAO112" s="181"/>
      <c r="RAP112" s="182"/>
      <c r="RAQ112" s="181"/>
      <c r="RAR112" s="182"/>
      <c r="RAS112" s="181"/>
      <c r="RAT112" s="182"/>
      <c r="RAU112" s="181"/>
      <c r="RAV112" s="182"/>
      <c r="RAW112" s="181"/>
      <c r="RAX112" s="182"/>
      <c r="RAY112" s="181"/>
      <c r="RAZ112" s="182"/>
      <c r="RBA112" s="181"/>
      <c r="RBB112" s="182"/>
      <c r="RBC112" s="181"/>
      <c r="RBD112" s="182"/>
      <c r="RBE112" s="181"/>
      <c r="RBF112" s="182"/>
      <c r="RBG112" s="181"/>
      <c r="RBH112" s="182"/>
      <c r="RBI112" s="181"/>
      <c r="RBJ112" s="182"/>
      <c r="RBK112" s="181"/>
      <c r="RBL112" s="182"/>
      <c r="RBM112" s="181"/>
      <c r="RBN112" s="182"/>
      <c r="RBO112" s="181"/>
      <c r="RBP112" s="182"/>
      <c r="RBQ112" s="181"/>
      <c r="RBR112" s="182"/>
      <c r="RBS112" s="181"/>
      <c r="RBT112" s="182"/>
      <c r="RBU112" s="181"/>
      <c r="RBV112" s="182"/>
      <c r="RBW112" s="181"/>
      <c r="RBX112" s="182"/>
      <c r="RBY112" s="181"/>
      <c r="RBZ112" s="182"/>
      <c r="RCA112" s="181"/>
      <c r="RCB112" s="182"/>
      <c r="RCC112" s="181"/>
      <c r="RCD112" s="182"/>
      <c r="RCE112" s="181"/>
      <c r="RCF112" s="182"/>
      <c r="RCG112" s="181"/>
      <c r="RCH112" s="182"/>
      <c r="RCI112" s="181"/>
      <c r="RCJ112" s="182"/>
      <c r="RCK112" s="181"/>
      <c r="RCL112" s="182"/>
      <c r="RCM112" s="181"/>
      <c r="RCN112" s="182"/>
      <c r="RCO112" s="181"/>
      <c r="RCP112" s="182"/>
      <c r="RCQ112" s="181"/>
      <c r="RCR112" s="182"/>
      <c r="RCS112" s="181"/>
      <c r="RCT112" s="182"/>
      <c r="RCU112" s="181"/>
      <c r="RCV112" s="182"/>
      <c r="RCW112" s="181"/>
      <c r="RCX112" s="182"/>
      <c r="RCY112" s="181"/>
      <c r="RCZ112" s="182"/>
      <c r="RDA112" s="181"/>
      <c r="RDB112" s="182"/>
      <c r="RDC112" s="181"/>
      <c r="RDD112" s="182"/>
      <c r="RDE112" s="181"/>
      <c r="RDF112" s="182"/>
      <c r="RDG112" s="181"/>
      <c r="RDH112" s="182"/>
      <c r="RDI112" s="181"/>
      <c r="RDJ112" s="182"/>
      <c r="RDK112" s="181"/>
      <c r="RDL112" s="182"/>
      <c r="RDM112" s="181"/>
      <c r="RDN112" s="182"/>
      <c r="RDO112" s="181"/>
      <c r="RDP112" s="182"/>
      <c r="RDQ112" s="181"/>
      <c r="RDR112" s="182"/>
      <c r="RDS112" s="181"/>
      <c r="RDT112" s="182"/>
      <c r="RDU112" s="181"/>
      <c r="RDV112" s="182"/>
      <c r="RDW112" s="181"/>
      <c r="RDX112" s="182"/>
      <c r="RDY112" s="181"/>
      <c r="RDZ112" s="182"/>
      <c r="REA112" s="181"/>
      <c r="REB112" s="182"/>
      <c r="REC112" s="181"/>
      <c r="RED112" s="182"/>
      <c r="REE112" s="181"/>
      <c r="REF112" s="182"/>
      <c r="REG112" s="181"/>
      <c r="REH112" s="182"/>
      <c r="REI112" s="181"/>
      <c r="REJ112" s="182"/>
      <c r="REK112" s="181"/>
      <c r="REL112" s="182"/>
      <c r="REM112" s="181"/>
      <c r="REN112" s="182"/>
      <c r="REO112" s="181"/>
      <c r="REP112" s="182"/>
      <c r="REQ112" s="181"/>
      <c r="RER112" s="182"/>
      <c r="RES112" s="181"/>
      <c r="RET112" s="182"/>
      <c r="REU112" s="181"/>
      <c r="REV112" s="182"/>
      <c r="REW112" s="181"/>
      <c r="REX112" s="182"/>
      <c r="REY112" s="181"/>
      <c r="REZ112" s="182"/>
      <c r="RFA112" s="181"/>
      <c r="RFB112" s="182"/>
      <c r="RFC112" s="181"/>
      <c r="RFD112" s="182"/>
      <c r="RFE112" s="181"/>
      <c r="RFF112" s="182"/>
      <c r="RFG112" s="181"/>
      <c r="RFH112" s="182"/>
      <c r="RFI112" s="181"/>
      <c r="RFJ112" s="182"/>
      <c r="RFK112" s="181"/>
      <c r="RFL112" s="182"/>
      <c r="RFM112" s="181"/>
      <c r="RFN112" s="182"/>
      <c r="RFO112" s="181"/>
      <c r="RFP112" s="182"/>
      <c r="RFQ112" s="181"/>
      <c r="RFR112" s="182"/>
      <c r="RFS112" s="181"/>
      <c r="RFT112" s="182"/>
      <c r="RFU112" s="181"/>
      <c r="RFV112" s="182"/>
      <c r="RFW112" s="181"/>
      <c r="RFX112" s="182"/>
      <c r="RFY112" s="181"/>
      <c r="RFZ112" s="182"/>
      <c r="RGA112" s="181"/>
      <c r="RGB112" s="182"/>
      <c r="RGC112" s="181"/>
      <c r="RGD112" s="182"/>
      <c r="RGE112" s="181"/>
      <c r="RGF112" s="182"/>
      <c r="RGG112" s="181"/>
      <c r="RGH112" s="182"/>
      <c r="RGI112" s="181"/>
      <c r="RGJ112" s="182"/>
      <c r="RGK112" s="181"/>
      <c r="RGL112" s="182"/>
      <c r="RGM112" s="181"/>
      <c r="RGN112" s="182"/>
      <c r="RGO112" s="181"/>
      <c r="RGP112" s="182"/>
      <c r="RGQ112" s="181"/>
      <c r="RGR112" s="182"/>
      <c r="RGS112" s="181"/>
      <c r="RGT112" s="182"/>
      <c r="RGU112" s="181"/>
      <c r="RGV112" s="182"/>
      <c r="RGW112" s="181"/>
      <c r="RGX112" s="182"/>
      <c r="RGY112" s="181"/>
      <c r="RGZ112" s="182"/>
      <c r="RHA112" s="181"/>
      <c r="RHB112" s="182"/>
      <c r="RHC112" s="181"/>
      <c r="RHD112" s="182"/>
      <c r="RHE112" s="181"/>
      <c r="RHF112" s="182"/>
      <c r="RHG112" s="181"/>
      <c r="RHH112" s="182"/>
      <c r="RHI112" s="181"/>
      <c r="RHJ112" s="182"/>
      <c r="RHK112" s="181"/>
      <c r="RHL112" s="182"/>
      <c r="RHM112" s="181"/>
      <c r="RHN112" s="182"/>
      <c r="RHO112" s="181"/>
      <c r="RHP112" s="182"/>
      <c r="RHQ112" s="181"/>
      <c r="RHR112" s="182"/>
      <c r="RHS112" s="181"/>
      <c r="RHT112" s="182"/>
      <c r="RHU112" s="181"/>
      <c r="RHV112" s="182"/>
      <c r="RHW112" s="181"/>
      <c r="RHX112" s="182"/>
      <c r="RHY112" s="181"/>
      <c r="RHZ112" s="182"/>
      <c r="RIA112" s="181"/>
      <c r="RIB112" s="182"/>
      <c r="RIC112" s="181"/>
      <c r="RID112" s="182"/>
      <c r="RIE112" s="181"/>
      <c r="RIF112" s="182"/>
      <c r="RIG112" s="181"/>
      <c r="RIH112" s="182"/>
      <c r="RII112" s="181"/>
      <c r="RIJ112" s="182"/>
      <c r="RIK112" s="181"/>
      <c r="RIL112" s="182"/>
      <c r="RIM112" s="181"/>
      <c r="RIN112" s="182"/>
      <c r="RIO112" s="181"/>
      <c r="RIP112" s="182"/>
      <c r="RIQ112" s="181"/>
      <c r="RIR112" s="182"/>
      <c r="RIS112" s="181"/>
      <c r="RIT112" s="182"/>
      <c r="RIU112" s="181"/>
      <c r="RIV112" s="182"/>
      <c r="RIW112" s="181"/>
      <c r="RIX112" s="182"/>
      <c r="RIY112" s="181"/>
      <c r="RIZ112" s="182"/>
      <c r="RJA112" s="181"/>
      <c r="RJB112" s="182"/>
      <c r="RJC112" s="181"/>
      <c r="RJD112" s="182"/>
      <c r="RJE112" s="181"/>
      <c r="RJF112" s="182"/>
      <c r="RJG112" s="181"/>
      <c r="RJH112" s="182"/>
      <c r="RJI112" s="181"/>
      <c r="RJJ112" s="182"/>
      <c r="RJK112" s="181"/>
      <c r="RJL112" s="182"/>
      <c r="RJM112" s="181"/>
      <c r="RJN112" s="182"/>
      <c r="RJO112" s="181"/>
      <c r="RJP112" s="182"/>
      <c r="RJQ112" s="181"/>
      <c r="RJR112" s="182"/>
      <c r="RJS112" s="181"/>
      <c r="RJT112" s="182"/>
      <c r="RJU112" s="181"/>
      <c r="RJV112" s="182"/>
      <c r="RJW112" s="181"/>
      <c r="RJX112" s="182"/>
      <c r="RJY112" s="181"/>
      <c r="RJZ112" s="182"/>
      <c r="RKA112" s="181"/>
      <c r="RKB112" s="182"/>
      <c r="RKC112" s="181"/>
      <c r="RKD112" s="182"/>
      <c r="RKE112" s="181"/>
      <c r="RKF112" s="182"/>
      <c r="RKG112" s="181"/>
      <c r="RKH112" s="182"/>
      <c r="RKI112" s="181"/>
      <c r="RKJ112" s="182"/>
      <c r="RKK112" s="181"/>
      <c r="RKL112" s="182"/>
      <c r="RKM112" s="181"/>
      <c r="RKN112" s="182"/>
      <c r="RKO112" s="181"/>
      <c r="RKP112" s="182"/>
      <c r="RKQ112" s="181"/>
      <c r="RKR112" s="182"/>
      <c r="RKS112" s="181"/>
      <c r="RKT112" s="182"/>
      <c r="RKU112" s="181"/>
      <c r="RKV112" s="182"/>
      <c r="RKW112" s="181"/>
      <c r="RKX112" s="182"/>
      <c r="RKY112" s="181"/>
      <c r="RKZ112" s="182"/>
      <c r="RLA112" s="181"/>
      <c r="RLB112" s="182"/>
      <c r="RLC112" s="181"/>
      <c r="RLD112" s="182"/>
      <c r="RLE112" s="181"/>
      <c r="RLF112" s="182"/>
      <c r="RLG112" s="181"/>
      <c r="RLH112" s="182"/>
      <c r="RLI112" s="181"/>
      <c r="RLJ112" s="182"/>
      <c r="RLK112" s="181"/>
      <c r="RLL112" s="182"/>
      <c r="RLM112" s="181"/>
      <c r="RLN112" s="182"/>
      <c r="RLO112" s="181"/>
      <c r="RLP112" s="182"/>
      <c r="RLQ112" s="181"/>
      <c r="RLR112" s="182"/>
      <c r="RLS112" s="181"/>
      <c r="RLT112" s="182"/>
      <c r="RLU112" s="181"/>
      <c r="RLV112" s="182"/>
      <c r="RLW112" s="181"/>
      <c r="RLX112" s="182"/>
      <c r="RLY112" s="181"/>
      <c r="RLZ112" s="182"/>
      <c r="RMA112" s="181"/>
      <c r="RMB112" s="182"/>
      <c r="RMC112" s="181"/>
      <c r="RMD112" s="182"/>
      <c r="RME112" s="181"/>
      <c r="RMF112" s="182"/>
      <c r="RMG112" s="181"/>
      <c r="RMH112" s="182"/>
      <c r="RMI112" s="181"/>
      <c r="RMJ112" s="182"/>
      <c r="RMK112" s="181"/>
      <c r="RML112" s="182"/>
      <c r="RMM112" s="181"/>
      <c r="RMN112" s="182"/>
      <c r="RMO112" s="181"/>
      <c r="RMP112" s="182"/>
      <c r="RMQ112" s="181"/>
      <c r="RMR112" s="182"/>
      <c r="RMS112" s="181"/>
      <c r="RMT112" s="182"/>
      <c r="RMU112" s="181"/>
      <c r="RMV112" s="182"/>
      <c r="RMW112" s="181"/>
      <c r="RMX112" s="182"/>
      <c r="RMY112" s="181"/>
      <c r="RMZ112" s="182"/>
      <c r="RNA112" s="181"/>
      <c r="RNB112" s="182"/>
      <c r="RNC112" s="181"/>
      <c r="RND112" s="182"/>
      <c r="RNE112" s="181"/>
      <c r="RNF112" s="182"/>
      <c r="RNG112" s="181"/>
      <c r="RNH112" s="182"/>
      <c r="RNI112" s="181"/>
      <c r="RNJ112" s="182"/>
      <c r="RNK112" s="181"/>
      <c r="RNL112" s="182"/>
      <c r="RNM112" s="181"/>
      <c r="RNN112" s="182"/>
      <c r="RNO112" s="181"/>
      <c r="RNP112" s="182"/>
      <c r="RNQ112" s="181"/>
      <c r="RNR112" s="182"/>
      <c r="RNS112" s="181"/>
      <c r="RNT112" s="182"/>
      <c r="RNU112" s="181"/>
      <c r="RNV112" s="182"/>
      <c r="RNW112" s="181"/>
      <c r="RNX112" s="182"/>
      <c r="RNY112" s="181"/>
      <c r="RNZ112" s="182"/>
      <c r="ROA112" s="181"/>
      <c r="ROB112" s="182"/>
      <c r="ROC112" s="181"/>
      <c r="ROD112" s="182"/>
      <c r="ROE112" s="181"/>
      <c r="ROF112" s="182"/>
      <c r="ROG112" s="181"/>
      <c r="ROH112" s="182"/>
      <c r="ROI112" s="181"/>
      <c r="ROJ112" s="182"/>
      <c r="ROK112" s="181"/>
      <c r="ROL112" s="182"/>
      <c r="ROM112" s="181"/>
      <c r="RON112" s="182"/>
      <c r="ROO112" s="181"/>
      <c r="ROP112" s="182"/>
      <c r="ROQ112" s="181"/>
      <c r="ROR112" s="182"/>
      <c r="ROS112" s="181"/>
      <c r="ROT112" s="182"/>
      <c r="ROU112" s="181"/>
      <c r="ROV112" s="182"/>
      <c r="ROW112" s="181"/>
      <c r="ROX112" s="182"/>
      <c r="ROY112" s="181"/>
      <c r="ROZ112" s="182"/>
      <c r="RPA112" s="181"/>
      <c r="RPB112" s="182"/>
      <c r="RPC112" s="181"/>
      <c r="RPD112" s="182"/>
      <c r="RPE112" s="181"/>
      <c r="RPF112" s="182"/>
      <c r="RPG112" s="181"/>
      <c r="RPH112" s="182"/>
      <c r="RPI112" s="181"/>
      <c r="RPJ112" s="182"/>
      <c r="RPK112" s="181"/>
      <c r="RPL112" s="182"/>
      <c r="RPM112" s="181"/>
      <c r="RPN112" s="182"/>
      <c r="RPO112" s="181"/>
      <c r="RPP112" s="182"/>
      <c r="RPQ112" s="181"/>
      <c r="RPR112" s="182"/>
      <c r="RPS112" s="181"/>
      <c r="RPT112" s="182"/>
      <c r="RPU112" s="181"/>
      <c r="RPV112" s="182"/>
      <c r="RPW112" s="181"/>
      <c r="RPX112" s="182"/>
      <c r="RPY112" s="181"/>
      <c r="RPZ112" s="182"/>
      <c r="RQA112" s="181"/>
      <c r="RQB112" s="182"/>
      <c r="RQC112" s="181"/>
      <c r="RQD112" s="182"/>
      <c r="RQE112" s="181"/>
      <c r="RQF112" s="182"/>
      <c r="RQG112" s="181"/>
      <c r="RQH112" s="182"/>
      <c r="RQI112" s="181"/>
      <c r="RQJ112" s="182"/>
      <c r="RQK112" s="181"/>
      <c r="RQL112" s="182"/>
      <c r="RQM112" s="181"/>
      <c r="RQN112" s="182"/>
      <c r="RQO112" s="181"/>
      <c r="RQP112" s="182"/>
      <c r="RQQ112" s="181"/>
      <c r="RQR112" s="182"/>
      <c r="RQS112" s="181"/>
      <c r="RQT112" s="182"/>
      <c r="RQU112" s="181"/>
      <c r="RQV112" s="182"/>
      <c r="RQW112" s="181"/>
      <c r="RQX112" s="182"/>
      <c r="RQY112" s="181"/>
      <c r="RQZ112" s="182"/>
      <c r="RRA112" s="181"/>
      <c r="RRB112" s="182"/>
      <c r="RRC112" s="181"/>
      <c r="RRD112" s="182"/>
      <c r="RRE112" s="181"/>
      <c r="RRF112" s="182"/>
      <c r="RRG112" s="181"/>
      <c r="RRH112" s="182"/>
      <c r="RRI112" s="181"/>
      <c r="RRJ112" s="182"/>
      <c r="RRK112" s="181"/>
      <c r="RRL112" s="182"/>
      <c r="RRM112" s="181"/>
      <c r="RRN112" s="182"/>
      <c r="RRO112" s="181"/>
      <c r="RRP112" s="182"/>
      <c r="RRQ112" s="181"/>
      <c r="RRR112" s="182"/>
      <c r="RRS112" s="181"/>
      <c r="RRT112" s="182"/>
      <c r="RRU112" s="181"/>
      <c r="RRV112" s="182"/>
      <c r="RRW112" s="181"/>
      <c r="RRX112" s="182"/>
      <c r="RRY112" s="181"/>
      <c r="RRZ112" s="182"/>
      <c r="RSA112" s="181"/>
      <c r="RSB112" s="182"/>
      <c r="RSC112" s="181"/>
      <c r="RSD112" s="182"/>
      <c r="RSE112" s="181"/>
      <c r="RSF112" s="182"/>
      <c r="RSG112" s="181"/>
      <c r="RSH112" s="182"/>
      <c r="RSI112" s="181"/>
      <c r="RSJ112" s="182"/>
      <c r="RSK112" s="181"/>
      <c r="RSL112" s="182"/>
      <c r="RSM112" s="181"/>
      <c r="RSN112" s="182"/>
      <c r="RSO112" s="181"/>
      <c r="RSP112" s="182"/>
      <c r="RSQ112" s="181"/>
      <c r="RSR112" s="182"/>
      <c r="RSS112" s="181"/>
      <c r="RST112" s="182"/>
      <c r="RSU112" s="181"/>
      <c r="RSV112" s="182"/>
      <c r="RSW112" s="181"/>
      <c r="RSX112" s="182"/>
      <c r="RSY112" s="181"/>
      <c r="RSZ112" s="182"/>
      <c r="RTA112" s="181"/>
      <c r="RTB112" s="182"/>
      <c r="RTC112" s="181"/>
      <c r="RTD112" s="182"/>
      <c r="RTE112" s="181"/>
      <c r="RTF112" s="182"/>
      <c r="RTG112" s="181"/>
      <c r="RTH112" s="182"/>
      <c r="RTI112" s="181"/>
      <c r="RTJ112" s="182"/>
      <c r="RTK112" s="181"/>
      <c r="RTL112" s="182"/>
      <c r="RTM112" s="181"/>
      <c r="RTN112" s="182"/>
      <c r="RTO112" s="181"/>
      <c r="RTP112" s="182"/>
      <c r="RTQ112" s="181"/>
      <c r="RTR112" s="182"/>
      <c r="RTS112" s="181"/>
      <c r="RTT112" s="182"/>
      <c r="RTU112" s="181"/>
      <c r="RTV112" s="182"/>
      <c r="RTW112" s="181"/>
      <c r="RTX112" s="182"/>
      <c r="RTY112" s="181"/>
      <c r="RTZ112" s="182"/>
      <c r="RUA112" s="181"/>
      <c r="RUB112" s="182"/>
      <c r="RUC112" s="181"/>
      <c r="RUD112" s="182"/>
      <c r="RUE112" s="181"/>
      <c r="RUF112" s="182"/>
      <c r="RUG112" s="181"/>
      <c r="RUH112" s="182"/>
      <c r="RUI112" s="181"/>
      <c r="RUJ112" s="182"/>
      <c r="RUK112" s="181"/>
      <c r="RUL112" s="182"/>
      <c r="RUM112" s="181"/>
      <c r="RUN112" s="182"/>
      <c r="RUO112" s="181"/>
      <c r="RUP112" s="182"/>
      <c r="RUQ112" s="181"/>
      <c r="RUR112" s="182"/>
      <c r="RUS112" s="181"/>
      <c r="RUT112" s="182"/>
      <c r="RUU112" s="181"/>
      <c r="RUV112" s="182"/>
      <c r="RUW112" s="181"/>
      <c r="RUX112" s="182"/>
      <c r="RUY112" s="181"/>
      <c r="RUZ112" s="182"/>
      <c r="RVA112" s="181"/>
      <c r="RVB112" s="182"/>
      <c r="RVC112" s="181"/>
      <c r="RVD112" s="182"/>
      <c r="RVE112" s="181"/>
      <c r="RVF112" s="182"/>
      <c r="RVG112" s="181"/>
      <c r="RVH112" s="182"/>
      <c r="RVI112" s="181"/>
      <c r="RVJ112" s="182"/>
      <c r="RVK112" s="181"/>
      <c r="RVL112" s="182"/>
      <c r="RVM112" s="181"/>
      <c r="RVN112" s="182"/>
      <c r="RVO112" s="181"/>
      <c r="RVP112" s="182"/>
      <c r="RVQ112" s="181"/>
      <c r="RVR112" s="182"/>
      <c r="RVS112" s="181"/>
      <c r="RVT112" s="182"/>
      <c r="RVU112" s="181"/>
      <c r="RVV112" s="182"/>
      <c r="RVW112" s="181"/>
      <c r="RVX112" s="182"/>
      <c r="RVY112" s="181"/>
      <c r="RVZ112" s="182"/>
      <c r="RWA112" s="181"/>
      <c r="RWB112" s="182"/>
      <c r="RWC112" s="181"/>
      <c r="RWD112" s="182"/>
      <c r="RWE112" s="181"/>
      <c r="RWF112" s="182"/>
      <c r="RWG112" s="181"/>
      <c r="RWH112" s="182"/>
      <c r="RWI112" s="181"/>
      <c r="RWJ112" s="182"/>
      <c r="RWK112" s="181"/>
      <c r="RWL112" s="182"/>
      <c r="RWM112" s="181"/>
      <c r="RWN112" s="182"/>
      <c r="RWO112" s="181"/>
      <c r="RWP112" s="182"/>
      <c r="RWQ112" s="181"/>
      <c r="RWR112" s="182"/>
      <c r="RWS112" s="181"/>
      <c r="RWT112" s="182"/>
      <c r="RWU112" s="181"/>
      <c r="RWV112" s="182"/>
      <c r="RWW112" s="181"/>
      <c r="RWX112" s="182"/>
      <c r="RWY112" s="181"/>
      <c r="RWZ112" s="182"/>
      <c r="RXA112" s="181"/>
      <c r="RXB112" s="182"/>
      <c r="RXC112" s="181"/>
      <c r="RXD112" s="182"/>
      <c r="RXE112" s="181"/>
      <c r="RXF112" s="182"/>
      <c r="RXG112" s="181"/>
      <c r="RXH112" s="182"/>
      <c r="RXI112" s="181"/>
      <c r="RXJ112" s="182"/>
      <c r="RXK112" s="181"/>
      <c r="RXL112" s="182"/>
      <c r="RXM112" s="181"/>
      <c r="RXN112" s="182"/>
      <c r="RXO112" s="181"/>
      <c r="RXP112" s="182"/>
      <c r="RXQ112" s="181"/>
      <c r="RXR112" s="182"/>
      <c r="RXS112" s="181"/>
      <c r="RXT112" s="182"/>
      <c r="RXU112" s="181"/>
      <c r="RXV112" s="182"/>
      <c r="RXW112" s="181"/>
      <c r="RXX112" s="182"/>
      <c r="RXY112" s="181"/>
      <c r="RXZ112" s="182"/>
      <c r="RYA112" s="181"/>
      <c r="RYB112" s="182"/>
      <c r="RYC112" s="181"/>
      <c r="RYD112" s="182"/>
      <c r="RYE112" s="181"/>
      <c r="RYF112" s="182"/>
      <c r="RYG112" s="181"/>
      <c r="RYH112" s="182"/>
      <c r="RYI112" s="181"/>
      <c r="RYJ112" s="182"/>
      <c r="RYK112" s="181"/>
      <c r="RYL112" s="182"/>
      <c r="RYM112" s="181"/>
      <c r="RYN112" s="182"/>
      <c r="RYO112" s="181"/>
      <c r="RYP112" s="182"/>
      <c r="RYQ112" s="181"/>
      <c r="RYR112" s="182"/>
      <c r="RYS112" s="181"/>
      <c r="RYT112" s="182"/>
      <c r="RYU112" s="181"/>
      <c r="RYV112" s="182"/>
      <c r="RYW112" s="181"/>
      <c r="RYX112" s="182"/>
      <c r="RYY112" s="181"/>
      <c r="RYZ112" s="182"/>
      <c r="RZA112" s="181"/>
      <c r="RZB112" s="182"/>
      <c r="RZC112" s="181"/>
      <c r="RZD112" s="182"/>
      <c r="RZE112" s="181"/>
      <c r="RZF112" s="182"/>
      <c r="RZG112" s="181"/>
      <c r="RZH112" s="182"/>
      <c r="RZI112" s="181"/>
      <c r="RZJ112" s="182"/>
      <c r="RZK112" s="181"/>
      <c r="RZL112" s="182"/>
      <c r="RZM112" s="181"/>
      <c r="RZN112" s="182"/>
      <c r="RZO112" s="181"/>
      <c r="RZP112" s="182"/>
      <c r="RZQ112" s="181"/>
      <c r="RZR112" s="182"/>
      <c r="RZS112" s="181"/>
      <c r="RZT112" s="182"/>
      <c r="RZU112" s="181"/>
      <c r="RZV112" s="182"/>
      <c r="RZW112" s="181"/>
      <c r="RZX112" s="182"/>
      <c r="RZY112" s="181"/>
      <c r="RZZ112" s="182"/>
      <c r="SAA112" s="181"/>
      <c r="SAB112" s="182"/>
      <c r="SAC112" s="181"/>
      <c r="SAD112" s="182"/>
      <c r="SAE112" s="181"/>
      <c r="SAF112" s="182"/>
      <c r="SAG112" s="181"/>
      <c r="SAH112" s="182"/>
      <c r="SAI112" s="181"/>
      <c r="SAJ112" s="182"/>
      <c r="SAK112" s="181"/>
      <c r="SAL112" s="182"/>
      <c r="SAM112" s="181"/>
      <c r="SAN112" s="182"/>
      <c r="SAO112" s="181"/>
      <c r="SAP112" s="182"/>
      <c r="SAQ112" s="181"/>
      <c r="SAR112" s="182"/>
      <c r="SAS112" s="181"/>
      <c r="SAT112" s="182"/>
      <c r="SAU112" s="181"/>
      <c r="SAV112" s="182"/>
      <c r="SAW112" s="181"/>
      <c r="SAX112" s="182"/>
      <c r="SAY112" s="181"/>
      <c r="SAZ112" s="182"/>
      <c r="SBA112" s="181"/>
      <c r="SBB112" s="182"/>
      <c r="SBC112" s="181"/>
      <c r="SBD112" s="182"/>
      <c r="SBE112" s="181"/>
      <c r="SBF112" s="182"/>
      <c r="SBG112" s="181"/>
      <c r="SBH112" s="182"/>
      <c r="SBI112" s="181"/>
      <c r="SBJ112" s="182"/>
      <c r="SBK112" s="181"/>
      <c r="SBL112" s="182"/>
      <c r="SBM112" s="181"/>
      <c r="SBN112" s="182"/>
      <c r="SBO112" s="181"/>
      <c r="SBP112" s="182"/>
      <c r="SBQ112" s="181"/>
      <c r="SBR112" s="182"/>
      <c r="SBS112" s="181"/>
      <c r="SBT112" s="182"/>
      <c r="SBU112" s="181"/>
      <c r="SBV112" s="182"/>
      <c r="SBW112" s="181"/>
      <c r="SBX112" s="182"/>
      <c r="SBY112" s="181"/>
      <c r="SBZ112" s="182"/>
      <c r="SCA112" s="181"/>
      <c r="SCB112" s="182"/>
      <c r="SCC112" s="181"/>
      <c r="SCD112" s="182"/>
      <c r="SCE112" s="181"/>
      <c r="SCF112" s="182"/>
      <c r="SCG112" s="181"/>
      <c r="SCH112" s="182"/>
      <c r="SCI112" s="181"/>
      <c r="SCJ112" s="182"/>
      <c r="SCK112" s="181"/>
      <c r="SCL112" s="182"/>
      <c r="SCM112" s="181"/>
      <c r="SCN112" s="182"/>
      <c r="SCO112" s="181"/>
      <c r="SCP112" s="182"/>
      <c r="SCQ112" s="181"/>
      <c r="SCR112" s="182"/>
      <c r="SCS112" s="181"/>
      <c r="SCT112" s="182"/>
      <c r="SCU112" s="181"/>
      <c r="SCV112" s="182"/>
      <c r="SCW112" s="181"/>
      <c r="SCX112" s="182"/>
      <c r="SCY112" s="181"/>
      <c r="SCZ112" s="182"/>
      <c r="SDA112" s="181"/>
      <c r="SDB112" s="182"/>
      <c r="SDC112" s="181"/>
      <c r="SDD112" s="182"/>
      <c r="SDE112" s="181"/>
      <c r="SDF112" s="182"/>
      <c r="SDG112" s="181"/>
      <c r="SDH112" s="182"/>
      <c r="SDI112" s="181"/>
      <c r="SDJ112" s="182"/>
      <c r="SDK112" s="181"/>
      <c r="SDL112" s="182"/>
      <c r="SDM112" s="181"/>
      <c r="SDN112" s="182"/>
      <c r="SDO112" s="181"/>
      <c r="SDP112" s="182"/>
      <c r="SDQ112" s="181"/>
      <c r="SDR112" s="182"/>
      <c r="SDS112" s="181"/>
      <c r="SDT112" s="182"/>
      <c r="SDU112" s="181"/>
      <c r="SDV112" s="182"/>
      <c r="SDW112" s="181"/>
      <c r="SDX112" s="182"/>
      <c r="SDY112" s="181"/>
      <c r="SDZ112" s="182"/>
      <c r="SEA112" s="181"/>
      <c r="SEB112" s="182"/>
      <c r="SEC112" s="181"/>
      <c r="SED112" s="182"/>
      <c r="SEE112" s="181"/>
      <c r="SEF112" s="182"/>
      <c r="SEG112" s="181"/>
      <c r="SEH112" s="182"/>
      <c r="SEI112" s="181"/>
      <c r="SEJ112" s="182"/>
      <c r="SEK112" s="181"/>
      <c r="SEL112" s="182"/>
      <c r="SEM112" s="181"/>
      <c r="SEN112" s="182"/>
      <c r="SEO112" s="181"/>
      <c r="SEP112" s="182"/>
      <c r="SEQ112" s="181"/>
      <c r="SER112" s="182"/>
      <c r="SES112" s="181"/>
      <c r="SET112" s="182"/>
      <c r="SEU112" s="181"/>
      <c r="SEV112" s="182"/>
      <c r="SEW112" s="181"/>
      <c r="SEX112" s="182"/>
      <c r="SEY112" s="181"/>
      <c r="SEZ112" s="182"/>
      <c r="SFA112" s="181"/>
      <c r="SFB112" s="182"/>
      <c r="SFC112" s="181"/>
      <c r="SFD112" s="182"/>
      <c r="SFE112" s="181"/>
      <c r="SFF112" s="182"/>
      <c r="SFG112" s="181"/>
      <c r="SFH112" s="182"/>
      <c r="SFI112" s="181"/>
      <c r="SFJ112" s="182"/>
      <c r="SFK112" s="181"/>
      <c r="SFL112" s="182"/>
      <c r="SFM112" s="181"/>
      <c r="SFN112" s="182"/>
      <c r="SFO112" s="181"/>
      <c r="SFP112" s="182"/>
      <c r="SFQ112" s="181"/>
      <c r="SFR112" s="182"/>
      <c r="SFS112" s="181"/>
      <c r="SFT112" s="182"/>
      <c r="SFU112" s="181"/>
      <c r="SFV112" s="182"/>
      <c r="SFW112" s="181"/>
      <c r="SFX112" s="182"/>
      <c r="SFY112" s="181"/>
      <c r="SFZ112" s="182"/>
      <c r="SGA112" s="181"/>
      <c r="SGB112" s="182"/>
      <c r="SGC112" s="181"/>
      <c r="SGD112" s="182"/>
      <c r="SGE112" s="181"/>
      <c r="SGF112" s="182"/>
      <c r="SGG112" s="181"/>
      <c r="SGH112" s="182"/>
      <c r="SGI112" s="181"/>
      <c r="SGJ112" s="182"/>
      <c r="SGK112" s="181"/>
      <c r="SGL112" s="182"/>
      <c r="SGM112" s="181"/>
      <c r="SGN112" s="182"/>
      <c r="SGO112" s="181"/>
      <c r="SGP112" s="182"/>
      <c r="SGQ112" s="181"/>
      <c r="SGR112" s="182"/>
      <c r="SGS112" s="181"/>
      <c r="SGT112" s="182"/>
      <c r="SGU112" s="181"/>
      <c r="SGV112" s="182"/>
      <c r="SGW112" s="181"/>
      <c r="SGX112" s="182"/>
      <c r="SGY112" s="181"/>
      <c r="SGZ112" s="182"/>
      <c r="SHA112" s="181"/>
      <c r="SHB112" s="182"/>
      <c r="SHC112" s="181"/>
      <c r="SHD112" s="182"/>
      <c r="SHE112" s="181"/>
      <c r="SHF112" s="182"/>
      <c r="SHG112" s="181"/>
      <c r="SHH112" s="182"/>
      <c r="SHI112" s="181"/>
      <c r="SHJ112" s="182"/>
      <c r="SHK112" s="181"/>
      <c r="SHL112" s="182"/>
      <c r="SHM112" s="181"/>
      <c r="SHN112" s="182"/>
      <c r="SHO112" s="181"/>
      <c r="SHP112" s="182"/>
      <c r="SHQ112" s="181"/>
      <c r="SHR112" s="182"/>
      <c r="SHS112" s="181"/>
      <c r="SHT112" s="182"/>
      <c r="SHU112" s="181"/>
      <c r="SHV112" s="182"/>
      <c r="SHW112" s="181"/>
      <c r="SHX112" s="182"/>
      <c r="SHY112" s="181"/>
      <c r="SHZ112" s="182"/>
      <c r="SIA112" s="181"/>
      <c r="SIB112" s="182"/>
      <c r="SIC112" s="181"/>
      <c r="SID112" s="182"/>
      <c r="SIE112" s="181"/>
      <c r="SIF112" s="182"/>
      <c r="SIG112" s="181"/>
      <c r="SIH112" s="182"/>
      <c r="SII112" s="181"/>
      <c r="SIJ112" s="182"/>
      <c r="SIK112" s="181"/>
      <c r="SIL112" s="182"/>
      <c r="SIM112" s="181"/>
      <c r="SIN112" s="182"/>
      <c r="SIO112" s="181"/>
      <c r="SIP112" s="182"/>
      <c r="SIQ112" s="181"/>
      <c r="SIR112" s="182"/>
      <c r="SIS112" s="181"/>
      <c r="SIT112" s="182"/>
      <c r="SIU112" s="181"/>
      <c r="SIV112" s="182"/>
      <c r="SIW112" s="181"/>
      <c r="SIX112" s="182"/>
      <c r="SIY112" s="181"/>
      <c r="SIZ112" s="182"/>
      <c r="SJA112" s="181"/>
      <c r="SJB112" s="182"/>
      <c r="SJC112" s="181"/>
      <c r="SJD112" s="182"/>
      <c r="SJE112" s="181"/>
      <c r="SJF112" s="182"/>
      <c r="SJG112" s="181"/>
      <c r="SJH112" s="182"/>
      <c r="SJI112" s="181"/>
      <c r="SJJ112" s="182"/>
      <c r="SJK112" s="181"/>
      <c r="SJL112" s="182"/>
      <c r="SJM112" s="181"/>
      <c r="SJN112" s="182"/>
      <c r="SJO112" s="181"/>
      <c r="SJP112" s="182"/>
      <c r="SJQ112" s="181"/>
      <c r="SJR112" s="182"/>
      <c r="SJS112" s="181"/>
      <c r="SJT112" s="182"/>
      <c r="SJU112" s="181"/>
      <c r="SJV112" s="182"/>
      <c r="SJW112" s="181"/>
      <c r="SJX112" s="182"/>
      <c r="SJY112" s="181"/>
      <c r="SJZ112" s="182"/>
      <c r="SKA112" s="181"/>
      <c r="SKB112" s="182"/>
      <c r="SKC112" s="181"/>
      <c r="SKD112" s="182"/>
      <c r="SKE112" s="181"/>
      <c r="SKF112" s="182"/>
      <c r="SKG112" s="181"/>
      <c r="SKH112" s="182"/>
      <c r="SKI112" s="181"/>
      <c r="SKJ112" s="182"/>
      <c r="SKK112" s="181"/>
      <c r="SKL112" s="182"/>
      <c r="SKM112" s="181"/>
      <c r="SKN112" s="182"/>
      <c r="SKO112" s="181"/>
      <c r="SKP112" s="182"/>
      <c r="SKQ112" s="181"/>
      <c r="SKR112" s="182"/>
      <c r="SKS112" s="181"/>
      <c r="SKT112" s="182"/>
      <c r="SKU112" s="181"/>
      <c r="SKV112" s="182"/>
      <c r="SKW112" s="181"/>
      <c r="SKX112" s="182"/>
      <c r="SKY112" s="181"/>
      <c r="SKZ112" s="182"/>
      <c r="SLA112" s="181"/>
      <c r="SLB112" s="182"/>
      <c r="SLC112" s="181"/>
      <c r="SLD112" s="182"/>
      <c r="SLE112" s="181"/>
      <c r="SLF112" s="182"/>
      <c r="SLG112" s="181"/>
      <c r="SLH112" s="182"/>
      <c r="SLI112" s="181"/>
      <c r="SLJ112" s="182"/>
      <c r="SLK112" s="181"/>
      <c r="SLL112" s="182"/>
      <c r="SLM112" s="181"/>
      <c r="SLN112" s="182"/>
      <c r="SLO112" s="181"/>
      <c r="SLP112" s="182"/>
      <c r="SLQ112" s="181"/>
      <c r="SLR112" s="182"/>
      <c r="SLS112" s="181"/>
      <c r="SLT112" s="182"/>
      <c r="SLU112" s="181"/>
      <c r="SLV112" s="182"/>
      <c r="SLW112" s="181"/>
      <c r="SLX112" s="182"/>
      <c r="SLY112" s="181"/>
      <c r="SLZ112" s="182"/>
      <c r="SMA112" s="181"/>
      <c r="SMB112" s="182"/>
      <c r="SMC112" s="181"/>
      <c r="SMD112" s="182"/>
      <c r="SME112" s="181"/>
      <c r="SMF112" s="182"/>
      <c r="SMG112" s="181"/>
      <c r="SMH112" s="182"/>
      <c r="SMI112" s="181"/>
      <c r="SMJ112" s="182"/>
      <c r="SMK112" s="181"/>
      <c r="SML112" s="182"/>
      <c r="SMM112" s="181"/>
      <c r="SMN112" s="182"/>
      <c r="SMO112" s="181"/>
      <c r="SMP112" s="182"/>
      <c r="SMQ112" s="181"/>
      <c r="SMR112" s="182"/>
      <c r="SMS112" s="181"/>
      <c r="SMT112" s="182"/>
      <c r="SMU112" s="181"/>
      <c r="SMV112" s="182"/>
      <c r="SMW112" s="181"/>
      <c r="SMX112" s="182"/>
      <c r="SMY112" s="181"/>
      <c r="SMZ112" s="182"/>
      <c r="SNA112" s="181"/>
      <c r="SNB112" s="182"/>
      <c r="SNC112" s="181"/>
      <c r="SND112" s="182"/>
      <c r="SNE112" s="181"/>
      <c r="SNF112" s="182"/>
      <c r="SNG112" s="181"/>
      <c r="SNH112" s="182"/>
      <c r="SNI112" s="181"/>
      <c r="SNJ112" s="182"/>
      <c r="SNK112" s="181"/>
      <c r="SNL112" s="182"/>
      <c r="SNM112" s="181"/>
      <c r="SNN112" s="182"/>
      <c r="SNO112" s="181"/>
      <c r="SNP112" s="182"/>
      <c r="SNQ112" s="181"/>
      <c r="SNR112" s="182"/>
      <c r="SNS112" s="181"/>
      <c r="SNT112" s="182"/>
      <c r="SNU112" s="181"/>
      <c r="SNV112" s="182"/>
      <c r="SNW112" s="181"/>
      <c r="SNX112" s="182"/>
      <c r="SNY112" s="181"/>
      <c r="SNZ112" s="182"/>
      <c r="SOA112" s="181"/>
      <c r="SOB112" s="182"/>
      <c r="SOC112" s="181"/>
      <c r="SOD112" s="182"/>
      <c r="SOE112" s="181"/>
      <c r="SOF112" s="182"/>
      <c r="SOG112" s="181"/>
      <c r="SOH112" s="182"/>
      <c r="SOI112" s="181"/>
      <c r="SOJ112" s="182"/>
      <c r="SOK112" s="181"/>
      <c r="SOL112" s="182"/>
      <c r="SOM112" s="181"/>
      <c r="SON112" s="182"/>
      <c r="SOO112" s="181"/>
      <c r="SOP112" s="182"/>
      <c r="SOQ112" s="181"/>
      <c r="SOR112" s="182"/>
      <c r="SOS112" s="181"/>
      <c r="SOT112" s="182"/>
      <c r="SOU112" s="181"/>
      <c r="SOV112" s="182"/>
      <c r="SOW112" s="181"/>
      <c r="SOX112" s="182"/>
      <c r="SOY112" s="181"/>
      <c r="SOZ112" s="182"/>
      <c r="SPA112" s="181"/>
      <c r="SPB112" s="182"/>
      <c r="SPC112" s="181"/>
      <c r="SPD112" s="182"/>
      <c r="SPE112" s="181"/>
      <c r="SPF112" s="182"/>
      <c r="SPG112" s="181"/>
      <c r="SPH112" s="182"/>
      <c r="SPI112" s="181"/>
      <c r="SPJ112" s="182"/>
      <c r="SPK112" s="181"/>
      <c r="SPL112" s="182"/>
      <c r="SPM112" s="181"/>
      <c r="SPN112" s="182"/>
      <c r="SPO112" s="181"/>
      <c r="SPP112" s="182"/>
      <c r="SPQ112" s="181"/>
      <c r="SPR112" s="182"/>
      <c r="SPS112" s="181"/>
      <c r="SPT112" s="182"/>
      <c r="SPU112" s="181"/>
      <c r="SPV112" s="182"/>
      <c r="SPW112" s="181"/>
      <c r="SPX112" s="182"/>
      <c r="SPY112" s="181"/>
      <c r="SPZ112" s="182"/>
      <c r="SQA112" s="181"/>
      <c r="SQB112" s="182"/>
      <c r="SQC112" s="181"/>
      <c r="SQD112" s="182"/>
      <c r="SQE112" s="181"/>
      <c r="SQF112" s="182"/>
      <c r="SQG112" s="181"/>
      <c r="SQH112" s="182"/>
      <c r="SQI112" s="181"/>
      <c r="SQJ112" s="182"/>
      <c r="SQK112" s="181"/>
      <c r="SQL112" s="182"/>
      <c r="SQM112" s="181"/>
      <c r="SQN112" s="182"/>
      <c r="SQO112" s="181"/>
      <c r="SQP112" s="182"/>
      <c r="SQQ112" s="181"/>
      <c r="SQR112" s="182"/>
      <c r="SQS112" s="181"/>
      <c r="SQT112" s="182"/>
      <c r="SQU112" s="181"/>
      <c r="SQV112" s="182"/>
      <c r="SQW112" s="181"/>
      <c r="SQX112" s="182"/>
      <c r="SQY112" s="181"/>
      <c r="SQZ112" s="182"/>
      <c r="SRA112" s="181"/>
      <c r="SRB112" s="182"/>
      <c r="SRC112" s="181"/>
      <c r="SRD112" s="182"/>
      <c r="SRE112" s="181"/>
      <c r="SRF112" s="182"/>
      <c r="SRG112" s="181"/>
      <c r="SRH112" s="182"/>
      <c r="SRI112" s="181"/>
      <c r="SRJ112" s="182"/>
      <c r="SRK112" s="181"/>
      <c r="SRL112" s="182"/>
      <c r="SRM112" s="181"/>
      <c r="SRN112" s="182"/>
      <c r="SRO112" s="181"/>
      <c r="SRP112" s="182"/>
      <c r="SRQ112" s="181"/>
      <c r="SRR112" s="182"/>
      <c r="SRS112" s="181"/>
      <c r="SRT112" s="182"/>
      <c r="SRU112" s="181"/>
      <c r="SRV112" s="182"/>
      <c r="SRW112" s="181"/>
      <c r="SRX112" s="182"/>
      <c r="SRY112" s="181"/>
      <c r="SRZ112" s="182"/>
      <c r="SSA112" s="181"/>
      <c r="SSB112" s="182"/>
      <c r="SSC112" s="181"/>
      <c r="SSD112" s="182"/>
      <c r="SSE112" s="181"/>
      <c r="SSF112" s="182"/>
      <c r="SSG112" s="181"/>
      <c r="SSH112" s="182"/>
      <c r="SSI112" s="181"/>
      <c r="SSJ112" s="182"/>
      <c r="SSK112" s="181"/>
      <c r="SSL112" s="182"/>
      <c r="SSM112" s="181"/>
      <c r="SSN112" s="182"/>
      <c r="SSO112" s="181"/>
      <c r="SSP112" s="182"/>
      <c r="SSQ112" s="181"/>
      <c r="SSR112" s="182"/>
      <c r="SSS112" s="181"/>
      <c r="SST112" s="182"/>
      <c r="SSU112" s="181"/>
      <c r="SSV112" s="182"/>
      <c r="SSW112" s="181"/>
      <c r="SSX112" s="182"/>
      <c r="SSY112" s="181"/>
      <c r="SSZ112" s="182"/>
      <c r="STA112" s="181"/>
      <c r="STB112" s="182"/>
      <c r="STC112" s="181"/>
      <c r="STD112" s="182"/>
      <c r="STE112" s="181"/>
      <c r="STF112" s="182"/>
      <c r="STG112" s="181"/>
      <c r="STH112" s="182"/>
      <c r="STI112" s="181"/>
      <c r="STJ112" s="182"/>
      <c r="STK112" s="181"/>
      <c r="STL112" s="182"/>
      <c r="STM112" s="181"/>
      <c r="STN112" s="182"/>
      <c r="STO112" s="181"/>
      <c r="STP112" s="182"/>
      <c r="STQ112" s="181"/>
      <c r="STR112" s="182"/>
      <c r="STS112" s="181"/>
      <c r="STT112" s="182"/>
      <c r="STU112" s="181"/>
      <c r="STV112" s="182"/>
      <c r="STW112" s="181"/>
      <c r="STX112" s="182"/>
      <c r="STY112" s="181"/>
      <c r="STZ112" s="182"/>
      <c r="SUA112" s="181"/>
      <c r="SUB112" s="182"/>
      <c r="SUC112" s="181"/>
      <c r="SUD112" s="182"/>
      <c r="SUE112" s="181"/>
      <c r="SUF112" s="182"/>
      <c r="SUG112" s="181"/>
      <c r="SUH112" s="182"/>
      <c r="SUI112" s="181"/>
      <c r="SUJ112" s="182"/>
      <c r="SUK112" s="181"/>
      <c r="SUL112" s="182"/>
      <c r="SUM112" s="181"/>
      <c r="SUN112" s="182"/>
      <c r="SUO112" s="181"/>
      <c r="SUP112" s="182"/>
      <c r="SUQ112" s="181"/>
      <c r="SUR112" s="182"/>
      <c r="SUS112" s="181"/>
      <c r="SUT112" s="182"/>
      <c r="SUU112" s="181"/>
      <c r="SUV112" s="182"/>
      <c r="SUW112" s="181"/>
      <c r="SUX112" s="182"/>
      <c r="SUY112" s="181"/>
      <c r="SUZ112" s="182"/>
      <c r="SVA112" s="181"/>
      <c r="SVB112" s="182"/>
      <c r="SVC112" s="181"/>
      <c r="SVD112" s="182"/>
      <c r="SVE112" s="181"/>
      <c r="SVF112" s="182"/>
      <c r="SVG112" s="181"/>
      <c r="SVH112" s="182"/>
      <c r="SVI112" s="181"/>
      <c r="SVJ112" s="182"/>
      <c r="SVK112" s="181"/>
      <c r="SVL112" s="182"/>
      <c r="SVM112" s="181"/>
      <c r="SVN112" s="182"/>
      <c r="SVO112" s="181"/>
      <c r="SVP112" s="182"/>
      <c r="SVQ112" s="181"/>
      <c r="SVR112" s="182"/>
      <c r="SVS112" s="181"/>
      <c r="SVT112" s="182"/>
      <c r="SVU112" s="181"/>
      <c r="SVV112" s="182"/>
      <c r="SVW112" s="181"/>
      <c r="SVX112" s="182"/>
      <c r="SVY112" s="181"/>
      <c r="SVZ112" s="182"/>
      <c r="SWA112" s="181"/>
      <c r="SWB112" s="182"/>
      <c r="SWC112" s="181"/>
      <c r="SWD112" s="182"/>
      <c r="SWE112" s="181"/>
      <c r="SWF112" s="182"/>
      <c r="SWG112" s="181"/>
      <c r="SWH112" s="182"/>
      <c r="SWI112" s="181"/>
      <c r="SWJ112" s="182"/>
      <c r="SWK112" s="181"/>
      <c r="SWL112" s="182"/>
      <c r="SWM112" s="181"/>
      <c r="SWN112" s="182"/>
      <c r="SWO112" s="181"/>
      <c r="SWP112" s="182"/>
      <c r="SWQ112" s="181"/>
      <c r="SWR112" s="182"/>
      <c r="SWS112" s="181"/>
      <c r="SWT112" s="182"/>
      <c r="SWU112" s="181"/>
      <c r="SWV112" s="182"/>
      <c r="SWW112" s="181"/>
      <c r="SWX112" s="182"/>
      <c r="SWY112" s="181"/>
      <c r="SWZ112" s="182"/>
      <c r="SXA112" s="181"/>
      <c r="SXB112" s="182"/>
      <c r="SXC112" s="181"/>
      <c r="SXD112" s="182"/>
      <c r="SXE112" s="181"/>
      <c r="SXF112" s="182"/>
      <c r="SXG112" s="181"/>
      <c r="SXH112" s="182"/>
      <c r="SXI112" s="181"/>
      <c r="SXJ112" s="182"/>
      <c r="SXK112" s="181"/>
      <c r="SXL112" s="182"/>
      <c r="SXM112" s="181"/>
      <c r="SXN112" s="182"/>
      <c r="SXO112" s="181"/>
      <c r="SXP112" s="182"/>
      <c r="SXQ112" s="181"/>
      <c r="SXR112" s="182"/>
      <c r="SXS112" s="181"/>
      <c r="SXT112" s="182"/>
      <c r="SXU112" s="181"/>
      <c r="SXV112" s="182"/>
      <c r="SXW112" s="181"/>
      <c r="SXX112" s="182"/>
      <c r="SXY112" s="181"/>
      <c r="SXZ112" s="182"/>
      <c r="SYA112" s="181"/>
      <c r="SYB112" s="182"/>
      <c r="SYC112" s="181"/>
      <c r="SYD112" s="182"/>
      <c r="SYE112" s="181"/>
      <c r="SYF112" s="182"/>
      <c r="SYG112" s="181"/>
      <c r="SYH112" s="182"/>
      <c r="SYI112" s="181"/>
      <c r="SYJ112" s="182"/>
      <c r="SYK112" s="181"/>
      <c r="SYL112" s="182"/>
      <c r="SYM112" s="181"/>
      <c r="SYN112" s="182"/>
      <c r="SYO112" s="181"/>
      <c r="SYP112" s="182"/>
      <c r="SYQ112" s="181"/>
      <c r="SYR112" s="182"/>
      <c r="SYS112" s="181"/>
      <c r="SYT112" s="182"/>
      <c r="SYU112" s="181"/>
      <c r="SYV112" s="182"/>
      <c r="SYW112" s="181"/>
      <c r="SYX112" s="182"/>
      <c r="SYY112" s="181"/>
      <c r="SYZ112" s="182"/>
      <c r="SZA112" s="181"/>
      <c r="SZB112" s="182"/>
      <c r="SZC112" s="181"/>
      <c r="SZD112" s="182"/>
      <c r="SZE112" s="181"/>
      <c r="SZF112" s="182"/>
      <c r="SZG112" s="181"/>
      <c r="SZH112" s="182"/>
      <c r="SZI112" s="181"/>
      <c r="SZJ112" s="182"/>
      <c r="SZK112" s="181"/>
      <c r="SZL112" s="182"/>
      <c r="SZM112" s="181"/>
      <c r="SZN112" s="182"/>
      <c r="SZO112" s="181"/>
      <c r="SZP112" s="182"/>
      <c r="SZQ112" s="181"/>
      <c r="SZR112" s="182"/>
      <c r="SZS112" s="181"/>
      <c r="SZT112" s="182"/>
      <c r="SZU112" s="181"/>
      <c r="SZV112" s="182"/>
      <c r="SZW112" s="181"/>
      <c r="SZX112" s="182"/>
      <c r="SZY112" s="181"/>
      <c r="SZZ112" s="182"/>
      <c r="TAA112" s="181"/>
      <c r="TAB112" s="182"/>
      <c r="TAC112" s="181"/>
      <c r="TAD112" s="182"/>
      <c r="TAE112" s="181"/>
      <c r="TAF112" s="182"/>
      <c r="TAG112" s="181"/>
      <c r="TAH112" s="182"/>
      <c r="TAI112" s="181"/>
      <c r="TAJ112" s="182"/>
      <c r="TAK112" s="181"/>
      <c r="TAL112" s="182"/>
      <c r="TAM112" s="181"/>
      <c r="TAN112" s="182"/>
      <c r="TAO112" s="181"/>
      <c r="TAP112" s="182"/>
      <c r="TAQ112" s="181"/>
      <c r="TAR112" s="182"/>
      <c r="TAS112" s="181"/>
      <c r="TAT112" s="182"/>
      <c r="TAU112" s="181"/>
      <c r="TAV112" s="182"/>
      <c r="TAW112" s="181"/>
      <c r="TAX112" s="182"/>
      <c r="TAY112" s="181"/>
      <c r="TAZ112" s="182"/>
      <c r="TBA112" s="181"/>
      <c r="TBB112" s="182"/>
      <c r="TBC112" s="181"/>
      <c r="TBD112" s="182"/>
      <c r="TBE112" s="181"/>
      <c r="TBF112" s="182"/>
      <c r="TBG112" s="181"/>
      <c r="TBH112" s="182"/>
      <c r="TBI112" s="181"/>
      <c r="TBJ112" s="182"/>
      <c r="TBK112" s="181"/>
      <c r="TBL112" s="182"/>
      <c r="TBM112" s="181"/>
      <c r="TBN112" s="182"/>
      <c r="TBO112" s="181"/>
      <c r="TBP112" s="182"/>
      <c r="TBQ112" s="181"/>
      <c r="TBR112" s="182"/>
      <c r="TBS112" s="181"/>
      <c r="TBT112" s="182"/>
      <c r="TBU112" s="181"/>
      <c r="TBV112" s="182"/>
      <c r="TBW112" s="181"/>
      <c r="TBX112" s="182"/>
      <c r="TBY112" s="181"/>
      <c r="TBZ112" s="182"/>
      <c r="TCA112" s="181"/>
      <c r="TCB112" s="182"/>
      <c r="TCC112" s="181"/>
      <c r="TCD112" s="182"/>
      <c r="TCE112" s="181"/>
      <c r="TCF112" s="182"/>
      <c r="TCG112" s="181"/>
      <c r="TCH112" s="182"/>
      <c r="TCI112" s="181"/>
      <c r="TCJ112" s="182"/>
      <c r="TCK112" s="181"/>
      <c r="TCL112" s="182"/>
      <c r="TCM112" s="181"/>
      <c r="TCN112" s="182"/>
      <c r="TCO112" s="181"/>
      <c r="TCP112" s="182"/>
      <c r="TCQ112" s="181"/>
      <c r="TCR112" s="182"/>
      <c r="TCS112" s="181"/>
      <c r="TCT112" s="182"/>
      <c r="TCU112" s="181"/>
      <c r="TCV112" s="182"/>
      <c r="TCW112" s="181"/>
      <c r="TCX112" s="182"/>
      <c r="TCY112" s="181"/>
      <c r="TCZ112" s="182"/>
      <c r="TDA112" s="181"/>
      <c r="TDB112" s="182"/>
      <c r="TDC112" s="181"/>
      <c r="TDD112" s="182"/>
      <c r="TDE112" s="181"/>
      <c r="TDF112" s="182"/>
      <c r="TDG112" s="181"/>
      <c r="TDH112" s="182"/>
      <c r="TDI112" s="181"/>
      <c r="TDJ112" s="182"/>
      <c r="TDK112" s="181"/>
      <c r="TDL112" s="182"/>
      <c r="TDM112" s="181"/>
      <c r="TDN112" s="182"/>
      <c r="TDO112" s="181"/>
      <c r="TDP112" s="182"/>
      <c r="TDQ112" s="181"/>
      <c r="TDR112" s="182"/>
      <c r="TDS112" s="181"/>
      <c r="TDT112" s="182"/>
      <c r="TDU112" s="181"/>
      <c r="TDV112" s="182"/>
      <c r="TDW112" s="181"/>
      <c r="TDX112" s="182"/>
      <c r="TDY112" s="181"/>
      <c r="TDZ112" s="182"/>
      <c r="TEA112" s="181"/>
      <c r="TEB112" s="182"/>
      <c r="TEC112" s="181"/>
      <c r="TED112" s="182"/>
      <c r="TEE112" s="181"/>
      <c r="TEF112" s="182"/>
      <c r="TEG112" s="181"/>
      <c r="TEH112" s="182"/>
      <c r="TEI112" s="181"/>
      <c r="TEJ112" s="182"/>
      <c r="TEK112" s="181"/>
      <c r="TEL112" s="182"/>
      <c r="TEM112" s="181"/>
      <c r="TEN112" s="182"/>
      <c r="TEO112" s="181"/>
      <c r="TEP112" s="182"/>
      <c r="TEQ112" s="181"/>
      <c r="TER112" s="182"/>
      <c r="TES112" s="181"/>
      <c r="TET112" s="182"/>
      <c r="TEU112" s="181"/>
      <c r="TEV112" s="182"/>
      <c r="TEW112" s="181"/>
      <c r="TEX112" s="182"/>
      <c r="TEY112" s="181"/>
      <c r="TEZ112" s="182"/>
      <c r="TFA112" s="181"/>
      <c r="TFB112" s="182"/>
      <c r="TFC112" s="181"/>
      <c r="TFD112" s="182"/>
      <c r="TFE112" s="181"/>
      <c r="TFF112" s="182"/>
      <c r="TFG112" s="181"/>
      <c r="TFH112" s="182"/>
      <c r="TFI112" s="181"/>
      <c r="TFJ112" s="182"/>
      <c r="TFK112" s="181"/>
      <c r="TFL112" s="182"/>
      <c r="TFM112" s="181"/>
      <c r="TFN112" s="182"/>
      <c r="TFO112" s="181"/>
      <c r="TFP112" s="182"/>
      <c r="TFQ112" s="181"/>
      <c r="TFR112" s="182"/>
      <c r="TFS112" s="181"/>
      <c r="TFT112" s="182"/>
      <c r="TFU112" s="181"/>
      <c r="TFV112" s="182"/>
      <c r="TFW112" s="181"/>
      <c r="TFX112" s="182"/>
      <c r="TFY112" s="181"/>
      <c r="TFZ112" s="182"/>
      <c r="TGA112" s="181"/>
      <c r="TGB112" s="182"/>
      <c r="TGC112" s="181"/>
      <c r="TGD112" s="182"/>
      <c r="TGE112" s="181"/>
      <c r="TGF112" s="182"/>
      <c r="TGG112" s="181"/>
      <c r="TGH112" s="182"/>
      <c r="TGI112" s="181"/>
      <c r="TGJ112" s="182"/>
      <c r="TGK112" s="181"/>
      <c r="TGL112" s="182"/>
      <c r="TGM112" s="181"/>
      <c r="TGN112" s="182"/>
      <c r="TGO112" s="181"/>
      <c r="TGP112" s="182"/>
      <c r="TGQ112" s="181"/>
      <c r="TGR112" s="182"/>
      <c r="TGS112" s="181"/>
      <c r="TGT112" s="182"/>
      <c r="TGU112" s="181"/>
      <c r="TGV112" s="182"/>
      <c r="TGW112" s="181"/>
      <c r="TGX112" s="182"/>
      <c r="TGY112" s="181"/>
      <c r="TGZ112" s="182"/>
      <c r="THA112" s="181"/>
      <c r="THB112" s="182"/>
      <c r="THC112" s="181"/>
      <c r="THD112" s="182"/>
      <c r="THE112" s="181"/>
      <c r="THF112" s="182"/>
      <c r="THG112" s="181"/>
      <c r="THH112" s="182"/>
      <c r="THI112" s="181"/>
      <c r="THJ112" s="182"/>
      <c r="THK112" s="181"/>
      <c r="THL112" s="182"/>
      <c r="THM112" s="181"/>
      <c r="THN112" s="182"/>
      <c r="THO112" s="181"/>
      <c r="THP112" s="182"/>
      <c r="THQ112" s="181"/>
      <c r="THR112" s="182"/>
      <c r="THS112" s="181"/>
      <c r="THT112" s="182"/>
      <c r="THU112" s="181"/>
      <c r="THV112" s="182"/>
      <c r="THW112" s="181"/>
      <c r="THX112" s="182"/>
      <c r="THY112" s="181"/>
      <c r="THZ112" s="182"/>
      <c r="TIA112" s="181"/>
      <c r="TIB112" s="182"/>
      <c r="TIC112" s="181"/>
      <c r="TID112" s="182"/>
      <c r="TIE112" s="181"/>
      <c r="TIF112" s="182"/>
      <c r="TIG112" s="181"/>
      <c r="TIH112" s="182"/>
      <c r="TII112" s="181"/>
      <c r="TIJ112" s="182"/>
      <c r="TIK112" s="181"/>
      <c r="TIL112" s="182"/>
      <c r="TIM112" s="181"/>
      <c r="TIN112" s="182"/>
      <c r="TIO112" s="181"/>
      <c r="TIP112" s="182"/>
      <c r="TIQ112" s="181"/>
      <c r="TIR112" s="182"/>
      <c r="TIS112" s="181"/>
      <c r="TIT112" s="182"/>
      <c r="TIU112" s="181"/>
      <c r="TIV112" s="182"/>
      <c r="TIW112" s="181"/>
      <c r="TIX112" s="182"/>
      <c r="TIY112" s="181"/>
      <c r="TIZ112" s="182"/>
      <c r="TJA112" s="181"/>
      <c r="TJB112" s="182"/>
      <c r="TJC112" s="181"/>
      <c r="TJD112" s="182"/>
      <c r="TJE112" s="181"/>
      <c r="TJF112" s="182"/>
      <c r="TJG112" s="181"/>
      <c r="TJH112" s="182"/>
      <c r="TJI112" s="181"/>
      <c r="TJJ112" s="182"/>
      <c r="TJK112" s="181"/>
      <c r="TJL112" s="182"/>
      <c r="TJM112" s="181"/>
      <c r="TJN112" s="182"/>
      <c r="TJO112" s="181"/>
      <c r="TJP112" s="182"/>
      <c r="TJQ112" s="181"/>
      <c r="TJR112" s="182"/>
      <c r="TJS112" s="181"/>
      <c r="TJT112" s="182"/>
      <c r="TJU112" s="181"/>
      <c r="TJV112" s="182"/>
      <c r="TJW112" s="181"/>
      <c r="TJX112" s="182"/>
      <c r="TJY112" s="181"/>
      <c r="TJZ112" s="182"/>
      <c r="TKA112" s="181"/>
      <c r="TKB112" s="182"/>
      <c r="TKC112" s="181"/>
      <c r="TKD112" s="182"/>
      <c r="TKE112" s="181"/>
      <c r="TKF112" s="182"/>
      <c r="TKG112" s="181"/>
      <c r="TKH112" s="182"/>
      <c r="TKI112" s="181"/>
      <c r="TKJ112" s="182"/>
      <c r="TKK112" s="181"/>
      <c r="TKL112" s="182"/>
      <c r="TKM112" s="181"/>
      <c r="TKN112" s="182"/>
      <c r="TKO112" s="181"/>
      <c r="TKP112" s="182"/>
      <c r="TKQ112" s="181"/>
      <c r="TKR112" s="182"/>
      <c r="TKS112" s="181"/>
      <c r="TKT112" s="182"/>
      <c r="TKU112" s="181"/>
      <c r="TKV112" s="182"/>
      <c r="TKW112" s="181"/>
      <c r="TKX112" s="182"/>
      <c r="TKY112" s="181"/>
      <c r="TKZ112" s="182"/>
      <c r="TLA112" s="181"/>
      <c r="TLB112" s="182"/>
      <c r="TLC112" s="181"/>
      <c r="TLD112" s="182"/>
      <c r="TLE112" s="181"/>
      <c r="TLF112" s="182"/>
      <c r="TLG112" s="181"/>
      <c r="TLH112" s="182"/>
      <c r="TLI112" s="181"/>
      <c r="TLJ112" s="182"/>
      <c r="TLK112" s="181"/>
      <c r="TLL112" s="182"/>
      <c r="TLM112" s="181"/>
      <c r="TLN112" s="182"/>
      <c r="TLO112" s="181"/>
      <c r="TLP112" s="182"/>
      <c r="TLQ112" s="181"/>
      <c r="TLR112" s="182"/>
      <c r="TLS112" s="181"/>
      <c r="TLT112" s="182"/>
      <c r="TLU112" s="181"/>
      <c r="TLV112" s="182"/>
      <c r="TLW112" s="181"/>
      <c r="TLX112" s="182"/>
      <c r="TLY112" s="181"/>
      <c r="TLZ112" s="182"/>
      <c r="TMA112" s="181"/>
      <c r="TMB112" s="182"/>
      <c r="TMC112" s="181"/>
      <c r="TMD112" s="182"/>
      <c r="TME112" s="181"/>
      <c r="TMF112" s="182"/>
      <c r="TMG112" s="181"/>
      <c r="TMH112" s="182"/>
      <c r="TMI112" s="181"/>
      <c r="TMJ112" s="182"/>
      <c r="TMK112" s="181"/>
      <c r="TML112" s="182"/>
      <c r="TMM112" s="181"/>
      <c r="TMN112" s="182"/>
      <c r="TMO112" s="181"/>
      <c r="TMP112" s="182"/>
      <c r="TMQ112" s="181"/>
      <c r="TMR112" s="182"/>
      <c r="TMS112" s="181"/>
      <c r="TMT112" s="182"/>
      <c r="TMU112" s="181"/>
      <c r="TMV112" s="182"/>
      <c r="TMW112" s="181"/>
      <c r="TMX112" s="182"/>
      <c r="TMY112" s="181"/>
      <c r="TMZ112" s="182"/>
      <c r="TNA112" s="181"/>
      <c r="TNB112" s="182"/>
      <c r="TNC112" s="181"/>
      <c r="TND112" s="182"/>
      <c r="TNE112" s="181"/>
      <c r="TNF112" s="182"/>
      <c r="TNG112" s="181"/>
      <c r="TNH112" s="182"/>
      <c r="TNI112" s="181"/>
      <c r="TNJ112" s="182"/>
      <c r="TNK112" s="181"/>
      <c r="TNL112" s="182"/>
      <c r="TNM112" s="181"/>
      <c r="TNN112" s="182"/>
      <c r="TNO112" s="181"/>
      <c r="TNP112" s="182"/>
      <c r="TNQ112" s="181"/>
      <c r="TNR112" s="182"/>
      <c r="TNS112" s="181"/>
      <c r="TNT112" s="182"/>
      <c r="TNU112" s="181"/>
      <c r="TNV112" s="182"/>
      <c r="TNW112" s="181"/>
      <c r="TNX112" s="182"/>
      <c r="TNY112" s="181"/>
      <c r="TNZ112" s="182"/>
      <c r="TOA112" s="181"/>
      <c r="TOB112" s="182"/>
      <c r="TOC112" s="181"/>
      <c r="TOD112" s="182"/>
      <c r="TOE112" s="181"/>
      <c r="TOF112" s="182"/>
      <c r="TOG112" s="181"/>
      <c r="TOH112" s="182"/>
      <c r="TOI112" s="181"/>
      <c r="TOJ112" s="182"/>
      <c r="TOK112" s="181"/>
      <c r="TOL112" s="182"/>
      <c r="TOM112" s="181"/>
      <c r="TON112" s="182"/>
      <c r="TOO112" s="181"/>
      <c r="TOP112" s="182"/>
      <c r="TOQ112" s="181"/>
      <c r="TOR112" s="182"/>
      <c r="TOS112" s="181"/>
      <c r="TOT112" s="182"/>
      <c r="TOU112" s="181"/>
      <c r="TOV112" s="182"/>
      <c r="TOW112" s="181"/>
      <c r="TOX112" s="182"/>
      <c r="TOY112" s="181"/>
      <c r="TOZ112" s="182"/>
      <c r="TPA112" s="181"/>
      <c r="TPB112" s="182"/>
      <c r="TPC112" s="181"/>
      <c r="TPD112" s="182"/>
      <c r="TPE112" s="181"/>
      <c r="TPF112" s="182"/>
      <c r="TPG112" s="181"/>
      <c r="TPH112" s="182"/>
      <c r="TPI112" s="181"/>
      <c r="TPJ112" s="182"/>
      <c r="TPK112" s="181"/>
      <c r="TPL112" s="182"/>
      <c r="TPM112" s="181"/>
      <c r="TPN112" s="182"/>
      <c r="TPO112" s="181"/>
      <c r="TPP112" s="182"/>
      <c r="TPQ112" s="181"/>
      <c r="TPR112" s="182"/>
      <c r="TPS112" s="181"/>
      <c r="TPT112" s="182"/>
      <c r="TPU112" s="181"/>
      <c r="TPV112" s="182"/>
      <c r="TPW112" s="181"/>
      <c r="TPX112" s="182"/>
      <c r="TPY112" s="181"/>
      <c r="TPZ112" s="182"/>
      <c r="TQA112" s="181"/>
      <c r="TQB112" s="182"/>
      <c r="TQC112" s="181"/>
      <c r="TQD112" s="182"/>
      <c r="TQE112" s="181"/>
      <c r="TQF112" s="182"/>
      <c r="TQG112" s="181"/>
      <c r="TQH112" s="182"/>
      <c r="TQI112" s="181"/>
      <c r="TQJ112" s="182"/>
      <c r="TQK112" s="181"/>
      <c r="TQL112" s="182"/>
      <c r="TQM112" s="181"/>
      <c r="TQN112" s="182"/>
      <c r="TQO112" s="181"/>
      <c r="TQP112" s="182"/>
      <c r="TQQ112" s="181"/>
      <c r="TQR112" s="182"/>
      <c r="TQS112" s="181"/>
      <c r="TQT112" s="182"/>
      <c r="TQU112" s="181"/>
      <c r="TQV112" s="182"/>
      <c r="TQW112" s="181"/>
      <c r="TQX112" s="182"/>
      <c r="TQY112" s="181"/>
      <c r="TQZ112" s="182"/>
      <c r="TRA112" s="181"/>
      <c r="TRB112" s="182"/>
      <c r="TRC112" s="181"/>
      <c r="TRD112" s="182"/>
      <c r="TRE112" s="181"/>
      <c r="TRF112" s="182"/>
      <c r="TRG112" s="181"/>
      <c r="TRH112" s="182"/>
      <c r="TRI112" s="181"/>
      <c r="TRJ112" s="182"/>
      <c r="TRK112" s="181"/>
      <c r="TRL112" s="182"/>
      <c r="TRM112" s="181"/>
      <c r="TRN112" s="182"/>
      <c r="TRO112" s="181"/>
      <c r="TRP112" s="182"/>
      <c r="TRQ112" s="181"/>
      <c r="TRR112" s="182"/>
      <c r="TRS112" s="181"/>
      <c r="TRT112" s="182"/>
      <c r="TRU112" s="181"/>
      <c r="TRV112" s="182"/>
      <c r="TRW112" s="181"/>
      <c r="TRX112" s="182"/>
      <c r="TRY112" s="181"/>
      <c r="TRZ112" s="182"/>
      <c r="TSA112" s="181"/>
      <c r="TSB112" s="182"/>
      <c r="TSC112" s="181"/>
      <c r="TSD112" s="182"/>
      <c r="TSE112" s="181"/>
      <c r="TSF112" s="182"/>
      <c r="TSG112" s="181"/>
      <c r="TSH112" s="182"/>
      <c r="TSI112" s="181"/>
      <c r="TSJ112" s="182"/>
      <c r="TSK112" s="181"/>
      <c r="TSL112" s="182"/>
      <c r="TSM112" s="181"/>
      <c r="TSN112" s="182"/>
      <c r="TSO112" s="181"/>
      <c r="TSP112" s="182"/>
      <c r="TSQ112" s="181"/>
      <c r="TSR112" s="182"/>
      <c r="TSS112" s="181"/>
      <c r="TST112" s="182"/>
      <c r="TSU112" s="181"/>
      <c r="TSV112" s="182"/>
      <c r="TSW112" s="181"/>
      <c r="TSX112" s="182"/>
      <c r="TSY112" s="181"/>
      <c r="TSZ112" s="182"/>
      <c r="TTA112" s="181"/>
      <c r="TTB112" s="182"/>
      <c r="TTC112" s="181"/>
      <c r="TTD112" s="182"/>
      <c r="TTE112" s="181"/>
      <c r="TTF112" s="182"/>
      <c r="TTG112" s="181"/>
      <c r="TTH112" s="182"/>
      <c r="TTI112" s="181"/>
      <c r="TTJ112" s="182"/>
      <c r="TTK112" s="181"/>
      <c r="TTL112" s="182"/>
      <c r="TTM112" s="181"/>
      <c r="TTN112" s="182"/>
      <c r="TTO112" s="181"/>
      <c r="TTP112" s="182"/>
      <c r="TTQ112" s="181"/>
      <c r="TTR112" s="182"/>
      <c r="TTS112" s="181"/>
      <c r="TTT112" s="182"/>
      <c r="TTU112" s="181"/>
      <c r="TTV112" s="182"/>
      <c r="TTW112" s="181"/>
      <c r="TTX112" s="182"/>
      <c r="TTY112" s="181"/>
      <c r="TTZ112" s="182"/>
      <c r="TUA112" s="181"/>
      <c r="TUB112" s="182"/>
      <c r="TUC112" s="181"/>
      <c r="TUD112" s="182"/>
      <c r="TUE112" s="181"/>
      <c r="TUF112" s="182"/>
      <c r="TUG112" s="181"/>
      <c r="TUH112" s="182"/>
      <c r="TUI112" s="181"/>
      <c r="TUJ112" s="182"/>
      <c r="TUK112" s="181"/>
      <c r="TUL112" s="182"/>
      <c r="TUM112" s="181"/>
      <c r="TUN112" s="182"/>
      <c r="TUO112" s="181"/>
      <c r="TUP112" s="182"/>
      <c r="TUQ112" s="181"/>
      <c r="TUR112" s="182"/>
      <c r="TUS112" s="181"/>
      <c r="TUT112" s="182"/>
      <c r="TUU112" s="181"/>
      <c r="TUV112" s="182"/>
      <c r="TUW112" s="181"/>
      <c r="TUX112" s="182"/>
      <c r="TUY112" s="181"/>
      <c r="TUZ112" s="182"/>
      <c r="TVA112" s="181"/>
      <c r="TVB112" s="182"/>
      <c r="TVC112" s="181"/>
      <c r="TVD112" s="182"/>
      <c r="TVE112" s="181"/>
      <c r="TVF112" s="182"/>
      <c r="TVG112" s="181"/>
      <c r="TVH112" s="182"/>
      <c r="TVI112" s="181"/>
      <c r="TVJ112" s="182"/>
      <c r="TVK112" s="181"/>
      <c r="TVL112" s="182"/>
      <c r="TVM112" s="181"/>
      <c r="TVN112" s="182"/>
      <c r="TVO112" s="181"/>
      <c r="TVP112" s="182"/>
      <c r="TVQ112" s="181"/>
      <c r="TVR112" s="182"/>
      <c r="TVS112" s="181"/>
      <c r="TVT112" s="182"/>
      <c r="TVU112" s="181"/>
      <c r="TVV112" s="182"/>
      <c r="TVW112" s="181"/>
      <c r="TVX112" s="182"/>
      <c r="TVY112" s="181"/>
      <c r="TVZ112" s="182"/>
      <c r="TWA112" s="181"/>
      <c r="TWB112" s="182"/>
      <c r="TWC112" s="181"/>
      <c r="TWD112" s="182"/>
      <c r="TWE112" s="181"/>
      <c r="TWF112" s="182"/>
      <c r="TWG112" s="181"/>
      <c r="TWH112" s="182"/>
      <c r="TWI112" s="181"/>
      <c r="TWJ112" s="182"/>
      <c r="TWK112" s="181"/>
      <c r="TWL112" s="182"/>
      <c r="TWM112" s="181"/>
      <c r="TWN112" s="182"/>
      <c r="TWO112" s="181"/>
      <c r="TWP112" s="182"/>
      <c r="TWQ112" s="181"/>
      <c r="TWR112" s="182"/>
      <c r="TWS112" s="181"/>
      <c r="TWT112" s="182"/>
      <c r="TWU112" s="181"/>
      <c r="TWV112" s="182"/>
      <c r="TWW112" s="181"/>
      <c r="TWX112" s="182"/>
      <c r="TWY112" s="181"/>
      <c r="TWZ112" s="182"/>
      <c r="TXA112" s="181"/>
      <c r="TXB112" s="182"/>
      <c r="TXC112" s="181"/>
      <c r="TXD112" s="182"/>
      <c r="TXE112" s="181"/>
      <c r="TXF112" s="182"/>
      <c r="TXG112" s="181"/>
      <c r="TXH112" s="182"/>
      <c r="TXI112" s="181"/>
      <c r="TXJ112" s="182"/>
      <c r="TXK112" s="181"/>
      <c r="TXL112" s="182"/>
      <c r="TXM112" s="181"/>
      <c r="TXN112" s="182"/>
      <c r="TXO112" s="181"/>
      <c r="TXP112" s="182"/>
      <c r="TXQ112" s="181"/>
      <c r="TXR112" s="182"/>
      <c r="TXS112" s="181"/>
      <c r="TXT112" s="182"/>
      <c r="TXU112" s="181"/>
      <c r="TXV112" s="182"/>
      <c r="TXW112" s="181"/>
      <c r="TXX112" s="182"/>
      <c r="TXY112" s="181"/>
      <c r="TXZ112" s="182"/>
      <c r="TYA112" s="181"/>
      <c r="TYB112" s="182"/>
      <c r="TYC112" s="181"/>
      <c r="TYD112" s="182"/>
      <c r="TYE112" s="181"/>
      <c r="TYF112" s="182"/>
      <c r="TYG112" s="181"/>
      <c r="TYH112" s="182"/>
      <c r="TYI112" s="181"/>
      <c r="TYJ112" s="182"/>
      <c r="TYK112" s="181"/>
      <c r="TYL112" s="182"/>
      <c r="TYM112" s="181"/>
      <c r="TYN112" s="182"/>
      <c r="TYO112" s="181"/>
      <c r="TYP112" s="182"/>
      <c r="TYQ112" s="181"/>
      <c r="TYR112" s="182"/>
      <c r="TYS112" s="181"/>
      <c r="TYT112" s="182"/>
      <c r="TYU112" s="181"/>
      <c r="TYV112" s="182"/>
      <c r="TYW112" s="181"/>
      <c r="TYX112" s="182"/>
      <c r="TYY112" s="181"/>
      <c r="TYZ112" s="182"/>
      <c r="TZA112" s="181"/>
      <c r="TZB112" s="182"/>
      <c r="TZC112" s="181"/>
      <c r="TZD112" s="182"/>
      <c r="TZE112" s="181"/>
      <c r="TZF112" s="182"/>
      <c r="TZG112" s="181"/>
      <c r="TZH112" s="182"/>
      <c r="TZI112" s="181"/>
      <c r="TZJ112" s="182"/>
      <c r="TZK112" s="181"/>
      <c r="TZL112" s="182"/>
      <c r="TZM112" s="181"/>
      <c r="TZN112" s="182"/>
      <c r="TZO112" s="181"/>
      <c r="TZP112" s="182"/>
      <c r="TZQ112" s="181"/>
      <c r="TZR112" s="182"/>
      <c r="TZS112" s="181"/>
      <c r="TZT112" s="182"/>
      <c r="TZU112" s="181"/>
      <c r="TZV112" s="182"/>
      <c r="TZW112" s="181"/>
      <c r="TZX112" s="182"/>
      <c r="TZY112" s="181"/>
      <c r="TZZ112" s="182"/>
      <c r="UAA112" s="181"/>
      <c r="UAB112" s="182"/>
      <c r="UAC112" s="181"/>
      <c r="UAD112" s="182"/>
      <c r="UAE112" s="181"/>
      <c r="UAF112" s="182"/>
      <c r="UAG112" s="181"/>
      <c r="UAH112" s="182"/>
      <c r="UAI112" s="181"/>
      <c r="UAJ112" s="182"/>
      <c r="UAK112" s="181"/>
      <c r="UAL112" s="182"/>
      <c r="UAM112" s="181"/>
      <c r="UAN112" s="182"/>
      <c r="UAO112" s="181"/>
      <c r="UAP112" s="182"/>
      <c r="UAQ112" s="181"/>
      <c r="UAR112" s="182"/>
      <c r="UAS112" s="181"/>
      <c r="UAT112" s="182"/>
      <c r="UAU112" s="181"/>
      <c r="UAV112" s="182"/>
      <c r="UAW112" s="181"/>
      <c r="UAX112" s="182"/>
      <c r="UAY112" s="181"/>
      <c r="UAZ112" s="182"/>
      <c r="UBA112" s="181"/>
      <c r="UBB112" s="182"/>
      <c r="UBC112" s="181"/>
      <c r="UBD112" s="182"/>
      <c r="UBE112" s="181"/>
      <c r="UBF112" s="182"/>
      <c r="UBG112" s="181"/>
      <c r="UBH112" s="182"/>
      <c r="UBI112" s="181"/>
      <c r="UBJ112" s="182"/>
      <c r="UBK112" s="181"/>
      <c r="UBL112" s="182"/>
      <c r="UBM112" s="181"/>
      <c r="UBN112" s="182"/>
      <c r="UBO112" s="181"/>
      <c r="UBP112" s="182"/>
      <c r="UBQ112" s="181"/>
      <c r="UBR112" s="182"/>
      <c r="UBS112" s="181"/>
      <c r="UBT112" s="182"/>
      <c r="UBU112" s="181"/>
      <c r="UBV112" s="182"/>
      <c r="UBW112" s="181"/>
      <c r="UBX112" s="182"/>
      <c r="UBY112" s="181"/>
      <c r="UBZ112" s="182"/>
      <c r="UCA112" s="181"/>
      <c r="UCB112" s="182"/>
      <c r="UCC112" s="181"/>
      <c r="UCD112" s="182"/>
      <c r="UCE112" s="181"/>
      <c r="UCF112" s="182"/>
      <c r="UCG112" s="181"/>
      <c r="UCH112" s="182"/>
      <c r="UCI112" s="181"/>
      <c r="UCJ112" s="182"/>
      <c r="UCK112" s="181"/>
      <c r="UCL112" s="182"/>
      <c r="UCM112" s="181"/>
      <c r="UCN112" s="182"/>
      <c r="UCO112" s="181"/>
      <c r="UCP112" s="182"/>
      <c r="UCQ112" s="181"/>
      <c r="UCR112" s="182"/>
      <c r="UCS112" s="181"/>
      <c r="UCT112" s="182"/>
      <c r="UCU112" s="181"/>
      <c r="UCV112" s="182"/>
      <c r="UCW112" s="181"/>
      <c r="UCX112" s="182"/>
      <c r="UCY112" s="181"/>
      <c r="UCZ112" s="182"/>
      <c r="UDA112" s="181"/>
      <c r="UDB112" s="182"/>
      <c r="UDC112" s="181"/>
      <c r="UDD112" s="182"/>
      <c r="UDE112" s="181"/>
      <c r="UDF112" s="182"/>
      <c r="UDG112" s="181"/>
      <c r="UDH112" s="182"/>
      <c r="UDI112" s="181"/>
      <c r="UDJ112" s="182"/>
      <c r="UDK112" s="181"/>
      <c r="UDL112" s="182"/>
      <c r="UDM112" s="181"/>
      <c r="UDN112" s="182"/>
      <c r="UDO112" s="181"/>
      <c r="UDP112" s="182"/>
      <c r="UDQ112" s="181"/>
      <c r="UDR112" s="182"/>
      <c r="UDS112" s="181"/>
      <c r="UDT112" s="182"/>
      <c r="UDU112" s="181"/>
      <c r="UDV112" s="182"/>
      <c r="UDW112" s="181"/>
      <c r="UDX112" s="182"/>
      <c r="UDY112" s="181"/>
      <c r="UDZ112" s="182"/>
      <c r="UEA112" s="181"/>
      <c r="UEB112" s="182"/>
      <c r="UEC112" s="181"/>
      <c r="UED112" s="182"/>
      <c r="UEE112" s="181"/>
      <c r="UEF112" s="182"/>
      <c r="UEG112" s="181"/>
      <c r="UEH112" s="182"/>
      <c r="UEI112" s="181"/>
      <c r="UEJ112" s="182"/>
      <c r="UEK112" s="181"/>
      <c r="UEL112" s="182"/>
      <c r="UEM112" s="181"/>
      <c r="UEN112" s="182"/>
      <c r="UEO112" s="181"/>
      <c r="UEP112" s="182"/>
      <c r="UEQ112" s="181"/>
      <c r="UER112" s="182"/>
      <c r="UES112" s="181"/>
      <c r="UET112" s="182"/>
      <c r="UEU112" s="181"/>
      <c r="UEV112" s="182"/>
      <c r="UEW112" s="181"/>
      <c r="UEX112" s="182"/>
      <c r="UEY112" s="181"/>
      <c r="UEZ112" s="182"/>
      <c r="UFA112" s="181"/>
      <c r="UFB112" s="182"/>
      <c r="UFC112" s="181"/>
      <c r="UFD112" s="182"/>
      <c r="UFE112" s="181"/>
      <c r="UFF112" s="182"/>
      <c r="UFG112" s="181"/>
      <c r="UFH112" s="182"/>
      <c r="UFI112" s="181"/>
      <c r="UFJ112" s="182"/>
      <c r="UFK112" s="181"/>
      <c r="UFL112" s="182"/>
      <c r="UFM112" s="181"/>
      <c r="UFN112" s="182"/>
      <c r="UFO112" s="181"/>
      <c r="UFP112" s="182"/>
      <c r="UFQ112" s="181"/>
      <c r="UFR112" s="182"/>
      <c r="UFS112" s="181"/>
      <c r="UFT112" s="182"/>
      <c r="UFU112" s="181"/>
      <c r="UFV112" s="182"/>
      <c r="UFW112" s="181"/>
      <c r="UFX112" s="182"/>
      <c r="UFY112" s="181"/>
      <c r="UFZ112" s="182"/>
      <c r="UGA112" s="181"/>
      <c r="UGB112" s="182"/>
      <c r="UGC112" s="181"/>
      <c r="UGD112" s="182"/>
      <c r="UGE112" s="181"/>
      <c r="UGF112" s="182"/>
      <c r="UGG112" s="181"/>
      <c r="UGH112" s="182"/>
      <c r="UGI112" s="181"/>
      <c r="UGJ112" s="182"/>
      <c r="UGK112" s="181"/>
      <c r="UGL112" s="182"/>
      <c r="UGM112" s="181"/>
      <c r="UGN112" s="182"/>
      <c r="UGO112" s="181"/>
      <c r="UGP112" s="182"/>
      <c r="UGQ112" s="181"/>
      <c r="UGR112" s="182"/>
      <c r="UGS112" s="181"/>
      <c r="UGT112" s="182"/>
      <c r="UGU112" s="181"/>
      <c r="UGV112" s="182"/>
      <c r="UGW112" s="181"/>
      <c r="UGX112" s="182"/>
      <c r="UGY112" s="181"/>
      <c r="UGZ112" s="182"/>
      <c r="UHA112" s="181"/>
      <c r="UHB112" s="182"/>
      <c r="UHC112" s="181"/>
      <c r="UHD112" s="182"/>
      <c r="UHE112" s="181"/>
      <c r="UHF112" s="182"/>
      <c r="UHG112" s="181"/>
      <c r="UHH112" s="182"/>
      <c r="UHI112" s="181"/>
      <c r="UHJ112" s="182"/>
      <c r="UHK112" s="181"/>
      <c r="UHL112" s="182"/>
      <c r="UHM112" s="181"/>
      <c r="UHN112" s="182"/>
      <c r="UHO112" s="181"/>
      <c r="UHP112" s="182"/>
      <c r="UHQ112" s="181"/>
      <c r="UHR112" s="182"/>
      <c r="UHS112" s="181"/>
      <c r="UHT112" s="182"/>
      <c r="UHU112" s="181"/>
      <c r="UHV112" s="182"/>
      <c r="UHW112" s="181"/>
      <c r="UHX112" s="182"/>
      <c r="UHY112" s="181"/>
      <c r="UHZ112" s="182"/>
      <c r="UIA112" s="181"/>
      <c r="UIB112" s="182"/>
      <c r="UIC112" s="181"/>
      <c r="UID112" s="182"/>
      <c r="UIE112" s="181"/>
      <c r="UIF112" s="182"/>
      <c r="UIG112" s="181"/>
      <c r="UIH112" s="182"/>
      <c r="UII112" s="181"/>
      <c r="UIJ112" s="182"/>
      <c r="UIK112" s="181"/>
      <c r="UIL112" s="182"/>
      <c r="UIM112" s="181"/>
      <c r="UIN112" s="182"/>
      <c r="UIO112" s="181"/>
      <c r="UIP112" s="182"/>
      <c r="UIQ112" s="181"/>
      <c r="UIR112" s="182"/>
      <c r="UIS112" s="181"/>
      <c r="UIT112" s="182"/>
      <c r="UIU112" s="181"/>
      <c r="UIV112" s="182"/>
      <c r="UIW112" s="181"/>
      <c r="UIX112" s="182"/>
      <c r="UIY112" s="181"/>
      <c r="UIZ112" s="182"/>
      <c r="UJA112" s="181"/>
      <c r="UJB112" s="182"/>
      <c r="UJC112" s="181"/>
      <c r="UJD112" s="182"/>
      <c r="UJE112" s="181"/>
      <c r="UJF112" s="182"/>
      <c r="UJG112" s="181"/>
      <c r="UJH112" s="182"/>
      <c r="UJI112" s="181"/>
      <c r="UJJ112" s="182"/>
      <c r="UJK112" s="181"/>
      <c r="UJL112" s="182"/>
      <c r="UJM112" s="181"/>
      <c r="UJN112" s="182"/>
      <c r="UJO112" s="181"/>
      <c r="UJP112" s="182"/>
      <c r="UJQ112" s="181"/>
      <c r="UJR112" s="182"/>
      <c r="UJS112" s="181"/>
      <c r="UJT112" s="182"/>
      <c r="UJU112" s="181"/>
      <c r="UJV112" s="182"/>
      <c r="UJW112" s="181"/>
      <c r="UJX112" s="182"/>
      <c r="UJY112" s="181"/>
      <c r="UJZ112" s="182"/>
      <c r="UKA112" s="181"/>
      <c r="UKB112" s="182"/>
      <c r="UKC112" s="181"/>
      <c r="UKD112" s="182"/>
      <c r="UKE112" s="181"/>
      <c r="UKF112" s="182"/>
      <c r="UKG112" s="181"/>
      <c r="UKH112" s="182"/>
      <c r="UKI112" s="181"/>
      <c r="UKJ112" s="182"/>
      <c r="UKK112" s="181"/>
      <c r="UKL112" s="182"/>
      <c r="UKM112" s="181"/>
      <c r="UKN112" s="182"/>
      <c r="UKO112" s="181"/>
      <c r="UKP112" s="182"/>
      <c r="UKQ112" s="181"/>
      <c r="UKR112" s="182"/>
      <c r="UKS112" s="181"/>
      <c r="UKT112" s="182"/>
      <c r="UKU112" s="181"/>
      <c r="UKV112" s="182"/>
      <c r="UKW112" s="181"/>
      <c r="UKX112" s="182"/>
      <c r="UKY112" s="181"/>
      <c r="UKZ112" s="182"/>
      <c r="ULA112" s="181"/>
      <c r="ULB112" s="182"/>
      <c r="ULC112" s="181"/>
      <c r="ULD112" s="182"/>
      <c r="ULE112" s="181"/>
      <c r="ULF112" s="182"/>
      <c r="ULG112" s="181"/>
      <c r="ULH112" s="182"/>
      <c r="ULI112" s="181"/>
      <c r="ULJ112" s="182"/>
      <c r="ULK112" s="181"/>
      <c r="ULL112" s="182"/>
      <c r="ULM112" s="181"/>
      <c r="ULN112" s="182"/>
      <c r="ULO112" s="181"/>
      <c r="ULP112" s="182"/>
      <c r="ULQ112" s="181"/>
      <c r="ULR112" s="182"/>
      <c r="ULS112" s="181"/>
      <c r="ULT112" s="182"/>
      <c r="ULU112" s="181"/>
      <c r="ULV112" s="182"/>
      <c r="ULW112" s="181"/>
      <c r="ULX112" s="182"/>
      <c r="ULY112" s="181"/>
      <c r="ULZ112" s="182"/>
      <c r="UMA112" s="181"/>
      <c r="UMB112" s="182"/>
      <c r="UMC112" s="181"/>
      <c r="UMD112" s="182"/>
      <c r="UME112" s="181"/>
      <c r="UMF112" s="182"/>
      <c r="UMG112" s="181"/>
      <c r="UMH112" s="182"/>
      <c r="UMI112" s="181"/>
      <c r="UMJ112" s="182"/>
      <c r="UMK112" s="181"/>
      <c r="UML112" s="182"/>
      <c r="UMM112" s="181"/>
      <c r="UMN112" s="182"/>
      <c r="UMO112" s="181"/>
      <c r="UMP112" s="182"/>
      <c r="UMQ112" s="181"/>
      <c r="UMR112" s="182"/>
      <c r="UMS112" s="181"/>
      <c r="UMT112" s="182"/>
      <c r="UMU112" s="181"/>
      <c r="UMV112" s="182"/>
      <c r="UMW112" s="181"/>
      <c r="UMX112" s="182"/>
      <c r="UMY112" s="181"/>
      <c r="UMZ112" s="182"/>
      <c r="UNA112" s="181"/>
      <c r="UNB112" s="182"/>
      <c r="UNC112" s="181"/>
      <c r="UND112" s="182"/>
      <c r="UNE112" s="181"/>
      <c r="UNF112" s="182"/>
      <c r="UNG112" s="181"/>
      <c r="UNH112" s="182"/>
      <c r="UNI112" s="181"/>
      <c r="UNJ112" s="182"/>
      <c r="UNK112" s="181"/>
      <c r="UNL112" s="182"/>
      <c r="UNM112" s="181"/>
      <c r="UNN112" s="182"/>
      <c r="UNO112" s="181"/>
      <c r="UNP112" s="182"/>
      <c r="UNQ112" s="181"/>
      <c r="UNR112" s="182"/>
      <c r="UNS112" s="181"/>
      <c r="UNT112" s="182"/>
      <c r="UNU112" s="181"/>
      <c r="UNV112" s="182"/>
      <c r="UNW112" s="181"/>
      <c r="UNX112" s="182"/>
      <c r="UNY112" s="181"/>
      <c r="UNZ112" s="182"/>
      <c r="UOA112" s="181"/>
      <c r="UOB112" s="182"/>
      <c r="UOC112" s="181"/>
      <c r="UOD112" s="182"/>
      <c r="UOE112" s="181"/>
      <c r="UOF112" s="182"/>
      <c r="UOG112" s="181"/>
      <c r="UOH112" s="182"/>
      <c r="UOI112" s="181"/>
      <c r="UOJ112" s="182"/>
      <c r="UOK112" s="181"/>
      <c r="UOL112" s="182"/>
      <c r="UOM112" s="181"/>
      <c r="UON112" s="182"/>
      <c r="UOO112" s="181"/>
      <c r="UOP112" s="182"/>
      <c r="UOQ112" s="181"/>
      <c r="UOR112" s="182"/>
      <c r="UOS112" s="181"/>
      <c r="UOT112" s="182"/>
      <c r="UOU112" s="181"/>
      <c r="UOV112" s="182"/>
      <c r="UOW112" s="181"/>
      <c r="UOX112" s="182"/>
      <c r="UOY112" s="181"/>
      <c r="UOZ112" s="182"/>
      <c r="UPA112" s="181"/>
      <c r="UPB112" s="182"/>
      <c r="UPC112" s="181"/>
      <c r="UPD112" s="182"/>
      <c r="UPE112" s="181"/>
      <c r="UPF112" s="182"/>
      <c r="UPG112" s="181"/>
      <c r="UPH112" s="182"/>
      <c r="UPI112" s="181"/>
      <c r="UPJ112" s="182"/>
      <c r="UPK112" s="181"/>
      <c r="UPL112" s="182"/>
      <c r="UPM112" s="181"/>
      <c r="UPN112" s="182"/>
      <c r="UPO112" s="181"/>
      <c r="UPP112" s="182"/>
      <c r="UPQ112" s="181"/>
      <c r="UPR112" s="182"/>
      <c r="UPS112" s="181"/>
      <c r="UPT112" s="182"/>
      <c r="UPU112" s="181"/>
      <c r="UPV112" s="182"/>
      <c r="UPW112" s="181"/>
      <c r="UPX112" s="182"/>
      <c r="UPY112" s="181"/>
      <c r="UPZ112" s="182"/>
      <c r="UQA112" s="181"/>
      <c r="UQB112" s="182"/>
      <c r="UQC112" s="181"/>
      <c r="UQD112" s="182"/>
      <c r="UQE112" s="181"/>
      <c r="UQF112" s="182"/>
      <c r="UQG112" s="181"/>
      <c r="UQH112" s="182"/>
      <c r="UQI112" s="181"/>
      <c r="UQJ112" s="182"/>
      <c r="UQK112" s="181"/>
      <c r="UQL112" s="182"/>
      <c r="UQM112" s="181"/>
      <c r="UQN112" s="182"/>
      <c r="UQO112" s="181"/>
      <c r="UQP112" s="182"/>
      <c r="UQQ112" s="181"/>
      <c r="UQR112" s="182"/>
      <c r="UQS112" s="181"/>
      <c r="UQT112" s="182"/>
      <c r="UQU112" s="181"/>
      <c r="UQV112" s="182"/>
      <c r="UQW112" s="181"/>
      <c r="UQX112" s="182"/>
      <c r="UQY112" s="181"/>
      <c r="UQZ112" s="182"/>
      <c r="URA112" s="181"/>
      <c r="URB112" s="182"/>
      <c r="URC112" s="181"/>
      <c r="URD112" s="182"/>
      <c r="URE112" s="181"/>
      <c r="URF112" s="182"/>
      <c r="URG112" s="181"/>
      <c r="URH112" s="182"/>
      <c r="URI112" s="181"/>
      <c r="URJ112" s="182"/>
      <c r="URK112" s="181"/>
      <c r="URL112" s="182"/>
      <c r="URM112" s="181"/>
      <c r="URN112" s="182"/>
      <c r="URO112" s="181"/>
      <c r="URP112" s="182"/>
      <c r="URQ112" s="181"/>
      <c r="URR112" s="182"/>
      <c r="URS112" s="181"/>
      <c r="URT112" s="182"/>
      <c r="URU112" s="181"/>
      <c r="URV112" s="182"/>
      <c r="URW112" s="181"/>
      <c r="URX112" s="182"/>
      <c r="URY112" s="181"/>
      <c r="URZ112" s="182"/>
      <c r="USA112" s="181"/>
      <c r="USB112" s="182"/>
      <c r="USC112" s="181"/>
      <c r="USD112" s="182"/>
      <c r="USE112" s="181"/>
      <c r="USF112" s="182"/>
      <c r="USG112" s="181"/>
      <c r="USH112" s="182"/>
      <c r="USI112" s="181"/>
      <c r="USJ112" s="182"/>
      <c r="USK112" s="181"/>
      <c r="USL112" s="182"/>
      <c r="USM112" s="181"/>
      <c r="USN112" s="182"/>
      <c r="USO112" s="181"/>
      <c r="USP112" s="182"/>
      <c r="USQ112" s="181"/>
      <c r="USR112" s="182"/>
      <c r="USS112" s="181"/>
      <c r="UST112" s="182"/>
      <c r="USU112" s="181"/>
      <c r="USV112" s="182"/>
      <c r="USW112" s="181"/>
      <c r="USX112" s="182"/>
      <c r="USY112" s="181"/>
      <c r="USZ112" s="182"/>
      <c r="UTA112" s="181"/>
      <c r="UTB112" s="182"/>
      <c r="UTC112" s="181"/>
      <c r="UTD112" s="182"/>
      <c r="UTE112" s="181"/>
      <c r="UTF112" s="182"/>
      <c r="UTG112" s="181"/>
      <c r="UTH112" s="182"/>
      <c r="UTI112" s="181"/>
      <c r="UTJ112" s="182"/>
      <c r="UTK112" s="181"/>
      <c r="UTL112" s="182"/>
      <c r="UTM112" s="181"/>
      <c r="UTN112" s="182"/>
      <c r="UTO112" s="181"/>
      <c r="UTP112" s="182"/>
      <c r="UTQ112" s="181"/>
      <c r="UTR112" s="182"/>
      <c r="UTS112" s="181"/>
      <c r="UTT112" s="182"/>
      <c r="UTU112" s="181"/>
      <c r="UTV112" s="182"/>
      <c r="UTW112" s="181"/>
      <c r="UTX112" s="182"/>
      <c r="UTY112" s="181"/>
      <c r="UTZ112" s="182"/>
      <c r="UUA112" s="181"/>
      <c r="UUB112" s="182"/>
      <c r="UUC112" s="181"/>
      <c r="UUD112" s="182"/>
      <c r="UUE112" s="181"/>
      <c r="UUF112" s="182"/>
      <c r="UUG112" s="181"/>
      <c r="UUH112" s="182"/>
      <c r="UUI112" s="181"/>
      <c r="UUJ112" s="182"/>
      <c r="UUK112" s="181"/>
      <c r="UUL112" s="182"/>
      <c r="UUM112" s="181"/>
      <c r="UUN112" s="182"/>
      <c r="UUO112" s="181"/>
      <c r="UUP112" s="182"/>
      <c r="UUQ112" s="181"/>
      <c r="UUR112" s="182"/>
      <c r="UUS112" s="181"/>
      <c r="UUT112" s="182"/>
      <c r="UUU112" s="181"/>
      <c r="UUV112" s="182"/>
      <c r="UUW112" s="181"/>
      <c r="UUX112" s="182"/>
      <c r="UUY112" s="181"/>
      <c r="UUZ112" s="182"/>
      <c r="UVA112" s="181"/>
      <c r="UVB112" s="182"/>
      <c r="UVC112" s="181"/>
      <c r="UVD112" s="182"/>
      <c r="UVE112" s="181"/>
      <c r="UVF112" s="182"/>
      <c r="UVG112" s="181"/>
      <c r="UVH112" s="182"/>
      <c r="UVI112" s="181"/>
      <c r="UVJ112" s="182"/>
      <c r="UVK112" s="181"/>
      <c r="UVL112" s="182"/>
      <c r="UVM112" s="181"/>
      <c r="UVN112" s="182"/>
      <c r="UVO112" s="181"/>
      <c r="UVP112" s="182"/>
      <c r="UVQ112" s="181"/>
      <c r="UVR112" s="182"/>
      <c r="UVS112" s="181"/>
      <c r="UVT112" s="182"/>
      <c r="UVU112" s="181"/>
      <c r="UVV112" s="182"/>
      <c r="UVW112" s="181"/>
      <c r="UVX112" s="182"/>
      <c r="UVY112" s="181"/>
      <c r="UVZ112" s="182"/>
      <c r="UWA112" s="181"/>
      <c r="UWB112" s="182"/>
      <c r="UWC112" s="181"/>
      <c r="UWD112" s="182"/>
      <c r="UWE112" s="181"/>
      <c r="UWF112" s="182"/>
      <c r="UWG112" s="181"/>
      <c r="UWH112" s="182"/>
      <c r="UWI112" s="181"/>
      <c r="UWJ112" s="182"/>
      <c r="UWK112" s="181"/>
      <c r="UWL112" s="182"/>
      <c r="UWM112" s="181"/>
      <c r="UWN112" s="182"/>
      <c r="UWO112" s="181"/>
      <c r="UWP112" s="182"/>
      <c r="UWQ112" s="181"/>
      <c r="UWR112" s="182"/>
      <c r="UWS112" s="181"/>
      <c r="UWT112" s="182"/>
      <c r="UWU112" s="181"/>
      <c r="UWV112" s="182"/>
      <c r="UWW112" s="181"/>
      <c r="UWX112" s="182"/>
      <c r="UWY112" s="181"/>
      <c r="UWZ112" s="182"/>
      <c r="UXA112" s="181"/>
      <c r="UXB112" s="182"/>
      <c r="UXC112" s="181"/>
      <c r="UXD112" s="182"/>
      <c r="UXE112" s="181"/>
      <c r="UXF112" s="182"/>
      <c r="UXG112" s="181"/>
      <c r="UXH112" s="182"/>
      <c r="UXI112" s="181"/>
      <c r="UXJ112" s="182"/>
      <c r="UXK112" s="181"/>
      <c r="UXL112" s="182"/>
      <c r="UXM112" s="181"/>
      <c r="UXN112" s="182"/>
      <c r="UXO112" s="181"/>
      <c r="UXP112" s="182"/>
      <c r="UXQ112" s="181"/>
      <c r="UXR112" s="182"/>
      <c r="UXS112" s="181"/>
      <c r="UXT112" s="182"/>
      <c r="UXU112" s="181"/>
      <c r="UXV112" s="182"/>
      <c r="UXW112" s="181"/>
      <c r="UXX112" s="182"/>
      <c r="UXY112" s="181"/>
      <c r="UXZ112" s="182"/>
      <c r="UYA112" s="181"/>
      <c r="UYB112" s="182"/>
      <c r="UYC112" s="181"/>
      <c r="UYD112" s="182"/>
      <c r="UYE112" s="181"/>
      <c r="UYF112" s="182"/>
      <c r="UYG112" s="181"/>
      <c r="UYH112" s="182"/>
      <c r="UYI112" s="181"/>
      <c r="UYJ112" s="182"/>
      <c r="UYK112" s="181"/>
      <c r="UYL112" s="182"/>
      <c r="UYM112" s="181"/>
      <c r="UYN112" s="182"/>
      <c r="UYO112" s="181"/>
      <c r="UYP112" s="182"/>
      <c r="UYQ112" s="181"/>
      <c r="UYR112" s="182"/>
      <c r="UYS112" s="181"/>
      <c r="UYT112" s="182"/>
      <c r="UYU112" s="181"/>
      <c r="UYV112" s="182"/>
      <c r="UYW112" s="181"/>
      <c r="UYX112" s="182"/>
      <c r="UYY112" s="181"/>
      <c r="UYZ112" s="182"/>
      <c r="UZA112" s="181"/>
      <c r="UZB112" s="182"/>
      <c r="UZC112" s="181"/>
      <c r="UZD112" s="182"/>
      <c r="UZE112" s="181"/>
      <c r="UZF112" s="182"/>
      <c r="UZG112" s="181"/>
      <c r="UZH112" s="182"/>
      <c r="UZI112" s="181"/>
      <c r="UZJ112" s="182"/>
      <c r="UZK112" s="181"/>
      <c r="UZL112" s="182"/>
      <c r="UZM112" s="181"/>
      <c r="UZN112" s="182"/>
      <c r="UZO112" s="181"/>
      <c r="UZP112" s="182"/>
      <c r="UZQ112" s="181"/>
      <c r="UZR112" s="182"/>
      <c r="UZS112" s="181"/>
      <c r="UZT112" s="182"/>
      <c r="UZU112" s="181"/>
      <c r="UZV112" s="182"/>
      <c r="UZW112" s="181"/>
      <c r="UZX112" s="182"/>
      <c r="UZY112" s="181"/>
      <c r="UZZ112" s="182"/>
      <c r="VAA112" s="181"/>
      <c r="VAB112" s="182"/>
      <c r="VAC112" s="181"/>
      <c r="VAD112" s="182"/>
      <c r="VAE112" s="181"/>
      <c r="VAF112" s="182"/>
      <c r="VAG112" s="181"/>
      <c r="VAH112" s="182"/>
      <c r="VAI112" s="181"/>
      <c r="VAJ112" s="182"/>
      <c r="VAK112" s="181"/>
      <c r="VAL112" s="182"/>
      <c r="VAM112" s="181"/>
      <c r="VAN112" s="182"/>
      <c r="VAO112" s="181"/>
      <c r="VAP112" s="182"/>
      <c r="VAQ112" s="181"/>
      <c r="VAR112" s="182"/>
      <c r="VAS112" s="181"/>
      <c r="VAT112" s="182"/>
      <c r="VAU112" s="181"/>
      <c r="VAV112" s="182"/>
      <c r="VAW112" s="181"/>
      <c r="VAX112" s="182"/>
      <c r="VAY112" s="181"/>
      <c r="VAZ112" s="182"/>
      <c r="VBA112" s="181"/>
      <c r="VBB112" s="182"/>
      <c r="VBC112" s="181"/>
      <c r="VBD112" s="182"/>
      <c r="VBE112" s="181"/>
      <c r="VBF112" s="182"/>
      <c r="VBG112" s="181"/>
      <c r="VBH112" s="182"/>
      <c r="VBI112" s="181"/>
      <c r="VBJ112" s="182"/>
      <c r="VBK112" s="181"/>
      <c r="VBL112" s="182"/>
      <c r="VBM112" s="181"/>
      <c r="VBN112" s="182"/>
      <c r="VBO112" s="181"/>
      <c r="VBP112" s="182"/>
      <c r="VBQ112" s="181"/>
      <c r="VBR112" s="182"/>
      <c r="VBS112" s="181"/>
      <c r="VBT112" s="182"/>
      <c r="VBU112" s="181"/>
      <c r="VBV112" s="182"/>
      <c r="VBW112" s="181"/>
      <c r="VBX112" s="182"/>
      <c r="VBY112" s="181"/>
      <c r="VBZ112" s="182"/>
      <c r="VCA112" s="181"/>
      <c r="VCB112" s="182"/>
      <c r="VCC112" s="181"/>
      <c r="VCD112" s="182"/>
      <c r="VCE112" s="181"/>
      <c r="VCF112" s="182"/>
      <c r="VCG112" s="181"/>
      <c r="VCH112" s="182"/>
      <c r="VCI112" s="181"/>
      <c r="VCJ112" s="182"/>
      <c r="VCK112" s="181"/>
      <c r="VCL112" s="182"/>
      <c r="VCM112" s="181"/>
      <c r="VCN112" s="182"/>
      <c r="VCO112" s="181"/>
      <c r="VCP112" s="182"/>
      <c r="VCQ112" s="181"/>
      <c r="VCR112" s="182"/>
      <c r="VCS112" s="181"/>
      <c r="VCT112" s="182"/>
      <c r="VCU112" s="181"/>
      <c r="VCV112" s="182"/>
      <c r="VCW112" s="181"/>
      <c r="VCX112" s="182"/>
      <c r="VCY112" s="181"/>
      <c r="VCZ112" s="182"/>
      <c r="VDA112" s="181"/>
      <c r="VDB112" s="182"/>
      <c r="VDC112" s="181"/>
      <c r="VDD112" s="182"/>
      <c r="VDE112" s="181"/>
      <c r="VDF112" s="182"/>
      <c r="VDG112" s="181"/>
      <c r="VDH112" s="182"/>
      <c r="VDI112" s="181"/>
      <c r="VDJ112" s="182"/>
      <c r="VDK112" s="181"/>
      <c r="VDL112" s="182"/>
      <c r="VDM112" s="181"/>
      <c r="VDN112" s="182"/>
      <c r="VDO112" s="181"/>
      <c r="VDP112" s="182"/>
      <c r="VDQ112" s="181"/>
      <c r="VDR112" s="182"/>
      <c r="VDS112" s="181"/>
      <c r="VDT112" s="182"/>
      <c r="VDU112" s="181"/>
      <c r="VDV112" s="182"/>
      <c r="VDW112" s="181"/>
      <c r="VDX112" s="182"/>
      <c r="VDY112" s="181"/>
      <c r="VDZ112" s="182"/>
      <c r="VEA112" s="181"/>
      <c r="VEB112" s="182"/>
      <c r="VEC112" s="181"/>
      <c r="VED112" s="182"/>
      <c r="VEE112" s="181"/>
      <c r="VEF112" s="182"/>
      <c r="VEG112" s="181"/>
      <c r="VEH112" s="182"/>
      <c r="VEI112" s="181"/>
      <c r="VEJ112" s="182"/>
      <c r="VEK112" s="181"/>
      <c r="VEL112" s="182"/>
      <c r="VEM112" s="181"/>
      <c r="VEN112" s="182"/>
      <c r="VEO112" s="181"/>
      <c r="VEP112" s="182"/>
      <c r="VEQ112" s="181"/>
      <c r="VER112" s="182"/>
      <c r="VES112" s="181"/>
      <c r="VET112" s="182"/>
      <c r="VEU112" s="181"/>
      <c r="VEV112" s="182"/>
      <c r="VEW112" s="181"/>
      <c r="VEX112" s="182"/>
      <c r="VEY112" s="181"/>
      <c r="VEZ112" s="182"/>
      <c r="VFA112" s="181"/>
      <c r="VFB112" s="182"/>
      <c r="VFC112" s="181"/>
      <c r="VFD112" s="182"/>
      <c r="VFE112" s="181"/>
      <c r="VFF112" s="182"/>
      <c r="VFG112" s="181"/>
      <c r="VFH112" s="182"/>
      <c r="VFI112" s="181"/>
      <c r="VFJ112" s="182"/>
      <c r="VFK112" s="181"/>
      <c r="VFL112" s="182"/>
      <c r="VFM112" s="181"/>
      <c r="VFN112" s="182"/>
      <c r="VFO112" s="181"/>
      <c r="VFP112" s="182"/>
      <c r="VFQ112" s="181"/>
      <c r="VFR112" s="182"/>
      <c r="VFS112" s="181"/>
      <c r="VFT112" s="182"/>
      <c r="VFU112" s="181"/>
      <c r="VFV112" s="182"/>
      <c r="VFW112" s="181"/>
      <c r="VFX112" s="182"/>
      <c r="VFY112" s="181"/>
      <c r="VFZ112" s="182"/>
      <c r="VGA112" s="181"/>
      <c r="VGB112" s="182"/>
      <c r="VGC112" s="181"/>
      <c r="VGD112" s="182"/>
      <c r="VGE112" s="181"/>
      <c r="VGF112" s="182"/>
      <c r="VGG112" s="181"/>
      <c r="VGH112" s="182"/>
      <c r="VGI112" s="181"/>
      <c r="VGJ112" s="182"/>
      <c r="VGK112" s="181"/>
      <c r="VGL112" s="182"/>
      <c r="VGM112" s="181"/>
      <c r="VGN112" s="182"/>
      <c r="VGO112" s="181"/>
      <c r="VGP112" s="182"/>
      <c r="VGQ112" s="181"/>
      <c r="VGR112" s="182"/>
      <c r="VGS112" s="181"/>
      <c r="VGT112" s="182"/>
      <c r="VGU112" s="181"/>
      <c r="VGV112" s="182"/>
      <c r="VGW112" s="181"/>
      <c r="VGX112" s="182"/>
      <c r="VGY112" s="181"/>
      <c r="VGZ112" s="182"/>
      <c r="VHA112" s="181"/>
      <c r="VHB112" s="182"/>
      <c r="VHC112" s="181"/>
      <c r="VHD112" s="182"/>
      <c r="VHE112" s="181"/>
      <c r="VHF112" s="182"/>
      <c r="VHG112" s="181"/>
      <c r="VHH112" s="182"/>
      <c r="VHI112" s="181"/>
      <c r="VHJ112" s="182"/>
      <c r="VHK112" s="181"/>
      <c r="VHL112" s="182"/>
      <c r="VHM112" s="181"/>
      <c r="VHN112" s="182"/>
      <c r="VHO112" s="181"/>
      <c r="VHP112" s="182"/>
      <c r="VHQ112" s="181"/>
      <c r="VHR112" s="182"/>
      <c r="VHS112" s="181"/>
      <c r="VHT112" s="182"/>
      <c r="VHU112" s="181"/>
      <c r="VHV112" s="182"/>
      <c r="VHW112" s="181"/>
      <c r="VHX112" s="182"/>
      <c r="VHY112" s="181"/>
      <c r="VHZ112" s="182"/>
      <c r="VIA112" s="181"/>
      <c r="VIB112" s="182"/>
      <c r="VIC112" s="181"/>
      <c r="VID112" s="182"/>
      <c r="VIE112" s="181"/>
      <c r="VIF112" s="182"/>
      <c r="VIG112" s="181"/>
      <c r="VIH112" s="182"/>
      <c r="VII112" s="181"/>
      <c r="VIJ112" s="182"/>
      <c r="VIK112" s="181"/>
      <c r="VIL112" s="182"/>
      <c r="VIM112" s="181"/>
      <c r="VIN112" s="182"/>
      <c r="VIO112" s="181"/>
      <c r="VIP112" s="182"/>
      <c r="VIQ112" s="181"/>
      <c r="VIR112" s="182"/>
      <c r="VIS112" s="181"/>
      <c r="VIT112" s="182"/>
      <c r="VIU112" s="181"/>
      <c r="VIV112" s="182"/>
      <c r="VIW112" s="181"/>
      <c r="VIX112" s="182"/>
      <c r="VIY112" s="181"/>
      <c r="VIZ112" s="182"/>
      <c r="VJA112" s="181"/>
      <c r="VJB112" s="182"/>
      <c r="VJC112" s="181"/>
      <c r="VJD112" s="182"/>
      <c r="VJE112" s="181"/>
      <c r="VJF112" s="182"/>
      <c r="VJG112" s="181"/>
      <c r="VJH112" s="182"/>
      <c r="VJI112" s="181"/>
      <c r="VJJ112" s="182"/>
      <c r="VJK112" s="181"/>
      <c r="VJL112" s="182"/>
      <c r="VJM112" s="181"/>
      <c r="VJN112" s="182"/>
      <c r="VJO112" s="181"/>
      <c r="VJP112" s="182"/>
      <c r="VJQ112" s="181"/>
      <c r="VJR112" s="182"/>
      <c r="VJS112" s="181"/>
      <c r="VJT112" s="182"/>
      <c r="VJU112" s="181"/>
      <c r="VJV112" s="182"/>
      <c r="VJW112" s="181"/>
      <c r="VJX112" s="182"/>
      <c r="VJY112" s="181"/>
      <c r="VJZ112" s="182"/>
      <c r="VKA112" s="181"/>
      <c r="VKB112" s="182"/>
      <c r="VKC112" s="181"/>
      <c r="VKD112" s="182"/>
      <c r="VKE112" s="181"/>
      <c r="VKF112" s="182"/>
      <c r="VKG112" s="181"/>
      <c r="VKH112" s="182"/>
      <c r="VKI112" s="181"/>
      <c r="VKJ112" s="182"/>
      <c r="VKK112" s="181"/>
      <c r="VKL112" s="182"/>
      <c r="VKM112" s="181"/>
      <c r="VKN112" s="182"/>
      <c r="VKO112" s="181"/>
      <c r="VKP112" s="182"/>
      <c r="VKQ112" s="181"/>
      <c r="VKR112" s="182"/>
      <c r="VKS112" s="181"/>
      <c r="VKT112" s="182"/>
      <c r="VKU112" s="181"/>
      <c r="VKV112" s="182"/>
      <c r="VKW112" s="181"/>
      <c r="VKX112" s="182"/>
      <c r="VKY112" s="181"/>
      <c r="VKZ112" s="182"/>
      <c r="VLA112" s="181"/>
      <c r="VLB112" s="182"/>
      <c r="VLC112" s="181"/>
      <c r="VLD112" s="182"/>
      <c r="VLE112" s="181"/>
      <c r="VLF112" s="182"/>
      <c r="VLG112" s="181"/>
      <c r="VLH112" s="182"/>
      <c r="VLI112" s="181"/>
      <c r="VLJ112" s="182"/>
      <c r="VLK112" s="181"/>
      <c r="VLL112" s="182"/>
      <c r="VLM112" s="181"/>
      <c r="VLN112" s="182"/>
      <c r="VLO112" s="181"/>
      <c r="VLP112" s="182"/>
      <c r="VLQ112" s="181"/>
      <c r="VLR112" s="182"/>
      <c r="VLS112" s="181"/>
      <c r="VLT112" s="182"/>
      <c r="VLU112" s="181"/>
      <c r="VLV112" s="182"/>
      <c r="VLW112" s="181"/>
      <c r="VLX112" s="182"/>
      <c r="VLY112" s="181"/>
      <c r="VLZ112" s="182"/>
      <c r="VMA112" s="181"/>
      <c r="VMB112" s="182"/>
      <c r="VMC112" s="181"/>
      <c r="VMD112" s="182"/>
      <c r="VME112" s="181"/>
      <c r="VMF112" s="182"/>
      <c r="VMG112" s="181"/>
      <c r="VMH112" s="182"/>
      <c r="VMI112" s="181"/>
      <c r="VMJ112" s="182"/>
      <c r="VMK112" s="181"/>
      <c r="VML112" s="182"/>
      <c r="VMM112" s="181"/>
      <c r="VMN112" s="182"/>
      <c r="VMO112" s="181"/>
      <c r="VMP112" s="182"/>
      <c r="VMQ112" s="181"/>
      <c r="VMR112" s="182"/>
      <c r="VMS112" s="181"/>
      <c r="VMT112" s="182"/>
      <c r="VMU112" s="181"/>
      <c r="VMV112" s="182"/>
      <c r="VMW112" s="181"/>
      <c r="VMX112" s="182"/>
      <c r="VMY112" s="181"/>
      <c r="VMZ112" s="182"/>
      <c r="VNA112" s="181"/>
      <c r="VNB112" s="182"/>
      <c r="VNC112" s="181"/>
      <c r="VND112" s="182"/>
      <c r="VNE112" s="181"/>
      <c r="VNF112" s="182"/>
      <c r="VNG112" s="181"/>
      <c r="VNH112" s="182"/>
      <c r="VNI112" s="181"/>
      <c r="VNJ112" s="182"/>
      <c r="VNK112" s="181"/>
      <c r="VNL112" s="182"/>
      <c r="VNM112" s="181"/>
      <c r="VNN112" s="182"/>
      <c r="VNO112" s="181"/>
      <c r="VNP112" s="182"/>
      <c r="VNQ112" s="181"/>
      <c r="VNR112" s="182"/>
      <c r="VNS112" s="181"/>
      <c r="VNT112" s="182"/>
      <c r="VNU112" s="181"/>
      <c r="VNV112" s="182"/>
      <c r="VNW112" s="181"/>
      <c r="VNX112" s="182"/>
      <c r="VNY112" s="181"/>
      <c r="VNZ112" s="182"/>
      <c r="VOA112" s="181"/>
      <c r="VOB112" s="182"/>
      <c r="VOC112" s="181"/>
      <c r="VOD112" s="182"/>
      <c r="VOE112" s="181"/>
      <c r="VOF112" s="182"/>
      <c r="VOG112" s="181"/>
      <c r="VOH112" s="182"/>
      <c r="VOI112" s="181"/>
      <c r="VOJ112" s="182"/>
      <c r="VOK112" s="181"/>
      <c r="VOL112" s="182"/>
      <c r="VOM112" s="181"/>
      <c r="VON112" s="182"/>
      <c r="VOO112" s="181"/>
      <c r="VOP112" s="182"/>
      <c r="VOQ112" s="181"/>
      <c r="VOR112" s="182"/>
      <c r="VOS112" s="181"/>
      <c r="VOT112" s="182"/>
      <c r="VOU112" s="181"/>
      <c r="VOV112" s="182"/>
      <c r="VOW112" s="181"/>
      <c r="VOX112" s="182"/>
      <c r="VOY112" s="181"/>
      <c r="VOZ112" s="182"/>
      <c r="VPA112" s="181"/>
      <c r="VPB112" s="182"/>
      <c r="VPC112" s="181"/>
      <c r="VPD112" s="182"/>
      <c r="VPE112" s="181"/>
      <c r="VPF112" s="182"/>
      <c r="VPG112" s="181"/>
      <c r="VPH112" s="182"/>
      <c r="VPI112" s="181"/>
      <c r="VPJ112" s="182"/>
      <c r="VPK112" s="181"/>
      <c r="VPL112" s="182"/>
      <c r="VPM112" s="181"/>
      <c r="VPN112" s="182"/>
      <c r="VPO112" s="181"/>
      <c r="VPP112" s="182"/>
      <c r="VPQ112" s="181"/>
      <c r="VPR112" s="182"/>
      <c r="VPS112" s="181"/>
      <c r="VPT112" s="182"/>
      <c r="VPU112" s="181"/>
      <c r="VPV112" s="182"/>
      <c r="VPW112" s="181"/>
      <c r="VPX112" s="182"/>
      <c r="VPY112" s="181"/>
      <c r="VPZ112" s="182"/>
      <c r="VQA112" s="181"/>
      <c r="VQB112" s="182"/>
      <c r="VQC112" s="181"/>
      <c r="VQD112" s="182"/>
      <c r="VQE112" s="181"/>
      <c r="VQF112" s="182"/>
      <c r="VQG112" s="181"/>
      <c r="VQH112" s="182"/>
      <c r="VQI112" s="181"/>
      <c r="VQJ112" s="182"/>
      <c r="VQK112" s="181"/>
      <c r="VQL112" s="182"/>
      <c r="VQM112" s="181"/>
      <c r="VQN112" s="182"/>
      <c r="VQO112" s="181"/>
      <c r="VQP112" s="182"/>
      <c r="VQQ112" s="181"/>
      <c r="VQR112" s="182"/>
      <c r="VQS112" s="181"/>
      <c r="VQT112" s="182"/>
      <c r="VQU112" s="181"/>
      <c r="VQV112" s="182"/>
      <c r="VQW112" s="181"/>
      <c r="VQX112" s="182"/>
      <c r="VQY112" s="181"/>
      <c r="VQZ112" s="182"/>
      <c r="VRA112" s="181"/>
      <c r="VRB112" s="182"/>
      <c r="VRC112" s="181"/>
      <c r="VRD112" s="182"/>
      <c r="VRE112" s="181"/>
      <c r="VRF112" s="182"/>
      <c r="VRG112" s="181"/>
      <c r="VRH112" s="182"/>
      <c r="VRI112" s="181"/>
      <c r="VRJ112" s="182"/>
      <c r="VRK112" s="181"/>
      <c r="VRL112" s="182"/>
      <c r="VRM112" s="181"/>
      <c r="VRN112" s="182"/>
      <c r="VRO112" s="181"/>
      <c r="VRP112" s="182"/>
      <c r="VRQ112" s="181"/>
      <c r="VRR112" s="182"/>
      <c r="VRS112" s="181"/>
      <c r="VRT112" s="182"/>
      <c r="VRU112" s="181"/>
      <c r="VRV112" s="182"/>
      <c r="VRW112" s="181"/>
      <c r="VRX112" s="182"/>
      <c r="VRY112" s="181"/>
      <c r="VRZ112" s="182"/>
      <c r="VSA112" s="181"/>
      <c r="VSB112" s="182"/>
      <c r="VSC112" s="181"/>
      <c r="VSD112" s="182"/>
      <c r="VSE112" s="181"/>
      <c r="VSF112" s="182"/>
      <c r="VSG112" s="181"/>
      <c r="VSH112" s="182"/>
      <c r="VSI112" s="181"/>
      <c r="VSJ112" s="182"/>
      <c r="VSK112" s="181"/>
      <c r="VSL112" s="182"/>
      <c r="VSM112" s="181"/>
      <c r="VSN112" s="182"/>
      <c r="VSO112" s="181"/>
      <c r="VSP112" s="182"/>
      <c r="VSQ112" s="181"/>
      <c r="VSR112" s="182"/>
      <c r="VSS112" s="181"/>
      <c r="VST112" s="182"/>
      <c r="VSU112" s="181"/>
      <c r="VSV112" s="182"/>
      <c r="VSW112" s="181"/>
      <c r="VSX112" s="182"/>
      <c r="VSY112" s="181"/>
      <c r="VSZ112" s="182"/>
      <c r="VTA112" s="181"/>
      <c r="VTB112" s="182"/>
      <c r="VTC112" s="181"/>
      <c r="VTD112" s="182"/>
      <c r="VTE112" s="181"/>
      <c r="VTF112" s="182"/>
      <c r="VTG112" s="181"/>
      <c r="VTH112" s="182"/>
      <c r="VTI112" s="181"/>
      <c r="VTJ112" s="182"/>
      <c r="VTK112" s="181"/>
      <c r="VTL112" s="182"/>
      <c r="VTM112" s="181"/>
      <c r="VTN112" s="182"/>
      <c r="VTO112" s="181"/>
      <c r="VTP112" s="182"/>
      <c r="VTQ112" s="181"/>
      <c r="VTR112" s="182"/>
      <c r="VTS112" s="181"/>
      <c r="VTT112" s="182"/>
      <c r="VTU112" s="181"/>
      <c r="VTV112" s="182"/>
      <c r="VTW112" s="181"/>
      <c r="VTX112" s="182"/>
      <c r="VTY112" s="181"/>
      <c r="VTZ112" s="182"/>
      <c r="VUA112" s="181"/>
      <c r="VUB112" s="182"/>
      <c r="VUC112" s="181"/>
      <c r="VUD112" s="182"/>
      <c r="VUE112" s="181"/>
      <c r="VUF112" s="182"/>
      <c r="VUG112" s="181"/>
      <c r="VUH112" s="182"/>
      <c r="VUI112" s="181"/>
      <c r="VUJ112" s="182"/>
      <c r="VUK112" s="181"/>
      <c r="VUL112" s="182"/>
      <c r="VUM112" s="181"/>
      <c r="VUN112" s="182"/>
      <c r="VUO112" s="181"/>
      <c r="VUP112" s="182"/>
      <c r="VUQ112" s="181"/>
      <c r="VUR112" s="182"/>
      <c r="VUS112" s="181"/>
      <c r="VUT112" s="182"/>
      <c r="VUU112" s="181"/>
      <c r="VUV112" s="182"/>
      <c r="VUW112" s="181"/>
      <c r="VUX112" s="182"/>
      <c r="VUY112" s="181"/>
      <c r="VUZ112" s="182"/>
      <c r="VVA112" s="181"/>
      <c r="VVB112" s="182"/>
      <c r="VVC112" s="181"/>
      <c r="VVD112" s="182"/>
      <c r="VVE112" s="181"/>
      <c r="VVF112" s="182"/>
      <c r="VVG112" s="181"/>
      <c r="VVH112" s="182"/>
      <c r="VVI112" s="181"/>
      <c r="VVJ112" s="182"/>
      <c r="VVK112" s="181"/>
      <c r="VVL112" s="182"/>
      <c r="VVM112" s="181"/>
      <c r="VVN112" s="182"/>
      <c r="VVO112" s="181"/>
      <c r="VVP112" s="182"/>
      <c r="VVQ112" s="181"/>
      <c r="VVR112" s="182"/>
      <c r="VVS112" s="181"/>
      <c r="VVT112" s="182"/>
      <c r="VVU112" s="181"/>
      <c r="VVV112" s="182"/>
      <c r="VVW112" s="181"/>
      <c r="VVX112" s="182"/>
      <c r="VVY112" s="181"/>
      <c r="VVZ112" s="182"/>
      <c r="VWA112" s="181"/>
      <c r="VWB112" s="182"/>
      <c r="VWC112" s="181"/>
      <c r="VWD112" s="182"/>
      <c r="VWE112" s="181"/>
      <c r="VWF112" s="182"/>
      <c r="VWG112" s="181"/>
      <c r="VWH112" s="182"/>
      <c r="VWI112" s="181"/>
      <c r="VWJ112" s="182"/>
      <c r="VWK112" s="181"/>
      <c r="VWL112" s="182"/>
      <c r="VWM112" s="181"/>
      <c r="VWN112" s="182"/>
      <c r="VWO112" s="181"/>
      <c r="VWP112" s="182"/>
      <c r="VWQ112" s="181"/>
      <c r="VWR112" s="182"/>
      <c r="VWS112" s="181"/>
      <c r="VWT112" s="182"/>
      <c r="VWU112" s="181"/>
      <c r="VWV112" s="182"/>
      <c r="VWW112" s="181"/>
      <c r="VWX112" s="182"/>
      <c r="VWY112" s="181"/>
      <c r="VWZ112" s="182"/>
      <c r="VXA112" s="181"/>
      <c r="VXB112" s="182"/>
      <c r="VXC112" s="181"/>
      <c r="VXD112" s="182"/>
      <c r="VXE112" s="181"/>
      <c r="VXF112" s="182"/>
      <c r="VXG112" s="181"/>
      <c r="VXH112" s="182"/>
      <c r="VXI112" s="181"/>
      <c r="VXJ112" s="182"/>
      <c r="VXK112" s="181"/>
      <c r="VXL112" s="182"/>
      <c r="VXM112" s="181"/>
      <c r="VXN112" s="182"/>
      <c r="VXO112" s="181"/>
      <c r="VXP112" s="182"/>
      <c r="VXQ112" s="181"/>
      <c r="VXR112" s="182"/>
      <c r="VXS112" s="181"/>
      <c r="VXT112" s="182"/>
      <c r="VXU112" s="181"/>
      <c r="VXV112" s="182"/>
      <c r="VXW112" s="181"/>
      <c r="VXX112" s="182"/>
      <c r="VXY112" s="181"/>
      <c r="VXZ112" s="182"/>
      <c r="VYA112" s="181"/>
      <c r="VYB112" s="182"/>
      <c r="VYC112" s="181"/>
      <c r="VYD112" s="182"/>
      <c r="VYE112" s="181"/>
      <c r="VYF112" s="182"/>
      <c r="VYG112" s="181"/>
      <c r="VYH112" s="182"/>
      <c r="VYI112" s="181"/>
      <c r="VYJ112" s="182"/>
      <c r="VYK112" s="181"/>
      <c r="VYL112" s="182"/>
      <c r="VYM112" s="181"/>
      <c r="VYN112" s="182"/>
      <c r="VYO112" s="181"/>
      <c r="VYP112" s="182"/>
      <c r="VYQ112" s="181"/>
      <c r="VYR112" s="182"/>
      <c r="VYS112" s="181"/>
      <c r="VYT112" s="182"/>
      <c r="VYU112" s="181"/>
      <c r="VYV112" s="182"/>
      <c r="VYW112" s="181"/>
      <c r="VYX112" s="182"/>
      <c r="VYY112" s="181"/>
      <c r="VYZ112" s="182"/>
      <c r="VZA112" s="181"/>
      <c r="VZB112" s="182"/>
      <c r="VZC112" s="181"/>
      <c r="VZD112" s="182"/>
      <c r="VZE112" s="181"/>
      <c r="VZF112" s="182"/>
      <c r="VZG112" s="181"/>
      <c r="VZH112" s="182"/>
      <c r="VZI112" s="181"/>
      <c r="VZJ112" s="182"/>
      <c r="VZK112" s="181"/>
      <c r="VZL112" s="182"/>
      <c r="VZM112" s="181"/>
      <c r="VZN112" s="182"/>
      <c r="VZO112" s="181"/>
      <c r="VZP112" s="182"/>
      <c r="VZQ112" s="181"/>
      <c r="VZR112" s="182"/>
      <c r="VZS112" s="181"/>
      <c r="VZT112" s="182"/>
      <c r="VZU112" s="181"/>
      <c r="VZV112" s="182"/>
      <c r="VZW112" s="181"/>
      <c r="VZX112" s="182"/>
      <c r="VZY112" s="181"/>
      <c r="VZZ112" s="182"/>
      <c r="WAA112" s="181"/>
      <c r="WAB112" s="182"/>
      <c r="WAC112" s="181"/>
      <c r="WAD112" s="182"/>
      <c r="WAE112" s="181"/>
      <c r="WAF112" s="182"/>
      <c r="WAG112" s="181"/>
      <c r="WAH112" s="182"/>
      <c r="WAI112" s="181"/>
      <c r="WAJ112" s="182"/>
      <c r="WAK112" s="181"/>
      <c r="WAL112" s="182"/>
      <c r="WAM112" s="181"/>
      <c r="WAN112" s="182"/>
      <c r="WAO112" s="181"/>
      <c r="WAP112" s="182"/>
      <c r="WAQ112" s="181"/>
      <c r="WAR112" s="182"/>
      <c r="WAS112" s="181"/>
      <c r="WAT112" s="182"/>
      <c r="WAU112" s="181"/>
      <c r="WAV112" s="182"/>
      <c r="WAW112" s="181"/>
      <c r="WAX112" s="182"/>
      <c r="WAY112" s="181"/>
      <c r="WAZ112" s="182"/>
      <c r="WBA112" s="181"/>
      <c r="WBB112" s="182"/>
      <c r="WBC112" s="181"/>
      <c r="WBD112" s="182"/>
      <c r="WBE112" s="181"/>
      <c r="WBF112" s="182"/>
      <c r="WBG112" s="181"/>
      <c r="WBH112" s="182"/>
      <c r="WBI112" s="181"/>
      <c r="WBJ112" s="182"/>
      <c r="WBK112" s="181"/>
      <c r="WBL112" s="182"/>
      <c r="WBM112" s="181"/>
      <c r="WBN112" s="182"/>
      <c r="WBO112" s="181"/>
      <c r="WBP112" s="182"/>
      <c r="WBQ112" s="181"/>
      <c r="WBR112" s="182"/>
      <c r="WBS112" s="181"/>
      <c r="WBT112" s="182"/>
      <c r="WBU112" s="181"/>
      <c r="WBV112" s="182"/>
      <c r="WBW112" s="181"/>
      <c r="WBX112" s="182"/>
      <c r="WBY112" s="181"/>
      <c r="WBZ112" s="182"/>
      <c r="WCA112" s="181"/>
      <c r="WCB112" s="182"/>
      <c r="WCC112" s="181"/>
      <c r="WCD112" s="182"/>
      <c r="WCE112" s="181"/>
      <c r="WCF112" s="182"/>
      <c r="WCG112" s="181"/>
      <c r="WCH112" s="182"/>
      <c r="WCI112" s="181"/>
      <c r="WCJ112" s="182"/>
      <c r="WCK112" s="181"/>
      <c r="WCL112" s="182"/>
      <c r="WCM112" s="181"/>
      <c r="WCN112" s="182"/>
      <c r="WCO112" s="181"/>
      <c r="WCP112" s="182"/>
      <c r="WCQ112" s="181"/>
      <c r="WCR112" s="182"/>
      <c r="WCS112" s="181"/>
      <c r="WCT112" s="182"/>
      <c r="WCU112" s="181"/>
      <c r="WCV112" s="182"/>
      <c r="WCW112" s="181"/>
      <c r="WCX112" s="182"/>
      <c r="WCY112" s="181"/>
      <c r="WCZ112" s="182"/>
      <c r="WDA112" s="181"/>
      <c r="WDB112" s="182"/>
      <c r="WDC112" s="181"/>
      <c r="WDD112" s="182"/>
      <c r="WDE112" s="181"/>
      <c r="WDF112" s="182"/>
      <c r="WDG112" s="181"/>
      <c r="WDH112" s="182"/>
      <c r="WDI112" s="181"/>
      <c r="WDJ112" s="182"/>
      <c r="WDK112" s="181"/>
      <c r="WDL112" s="182"/>
      <c r="WDM112" s="181"/>
      <c r="WDN112" s="182"/>
      <c r="WDO112" s="181"/>
      <c r="WDP112" s="182"/>
      <c r="WDQ112" s="181"/>
      <c r="WDR112" s="182"/>
      <c r="WDS112" s="181"/>
      <c r="WDT112" s="182"/>
      <c r="WDU112" s="181"/>
      <c r="WDV112" s="182"/>
      <c r="WDW112" s="181"/>
      <c r="WDX112" s="182"/>
      <c r="WDY112" s="181"/>
      <c r="WDZ112" s="182"/>
      <c r="WEA112" s="181"/>
      <c r="WEB112" s="182"/>
      <c r="WEC112" s="181"/>
      <c r="WED112" s="182"/>
      <c r="WEE112" s="181"/>
      <c r="WEF112" s="182"/>
      <c r="WEG112" s="181"/>
      <c r="WEH112" s="182"/>
      <c r="WEI112" s="181"/>
      <c r="WEJ112" s="182"/>
      <c r="WEK112" s="181"/>
      <c r="WEL112" s="182"/>
      <c r="WEM112" s="181"/>
      <c r="WEN112" s="182"/>
      <c r="WEO112" s="181"/>
      <c r="WEP112" s="182"/>
      <c r="WEQ112" s="181"/>
      <c r="WER112" s="182"/>
      <c r="WES112" s="181"/>
      <c r="WET112" s="182"/>
      <c r="WEU112" s="181"/>
      <c r="WEV112" s="182"/>
      <c r="WEW112" s="181"/>
      <c r="WEX112" s="182"/>
      <c r="WEY112" s="181"/>
      <c r="WEZ112" s="182"/>
      <c r="WFA112" s="181"/>
      <c r="WFB112" s="182"/>
      <c r="WFC112" s="181"/>
      <c r="WFD112" s="182"/>
      <c r="WFE112" s="181"/>
      <c r="WFF112" s="182"/>
      <c r="WFG112" s="181"/>
      <c r="WFH112" s="182"/>
      <c r="WFI112" s="181"/>
      <c r="WFJ112" s="182"/>
      <c r="WFK112" s="181"/>
      <c r="WFL112" s="182"/>
      <c r="WFM112" s="181"/>
      <c r="WFN112" s="182"/>
      <c r="WFO112" s="181"/>
      <c r="WFP112" s="182"/>
      <c r="WFQ112" s="181"/>
      <c r="WFR112" s="182"/>
      <c r="WFS112" s="181"/>
      <c r="WFT112" s="182"/>
      <c r="WFU112" s="181"/>
      <c r="WFV112" s="182"/>
      <c r="WFW112" s="181"/>
      <c r="WFX112" s="182"/>
      <c r="WFY112" s="181"/>
      <c r="WFZ112" s="182"/>
      <c r="WGA112" s="181"/>
      <c r="WGB112" s="182"/>
      <c r="WGC112" s="181"/>
      <c r="WGD112" s="182"/>
      <c r="WGE112" s="181"/>
      <c r="WGF112" s="182"/>
      <c r="WGG112" s="181"/>
      <c r="WGH112" s="182"/>
      <c r="WGI112" s="181"/>
      <c r="WGJ112" s="182"/>
      <c r="WGK112" s="181"/>
      <c r="WGL112" s="182"/>
      <c r="WGM112" s="181"/>
      <c r="WGN112" s="182"/>
      <c r="WGO112" s="181"/>
      <c r="WGP112" s="182"/>
      <c r="WGQ112" s="181"/>
      <c r="WGR112" s="182"/>
      <c r="WGS112" s="181"/>
      <c r="WGT112" s="182"/>
      <c r="WGU112" s="181"/>
      <c r="WGV112" s="182"/>
      <c r="WGW112" s="181"/>
      <c r="WGX112" s="182"/>
      <c r="WGY112" s="181"/>
      <c r="WGZ112" s="182"/>
      <c r="WHA112" s="181"/>
      <c r="WHB112" s="182"/>
      <c r="WHC112" s="181"/>
      <c r="WHD112" s="182"/>
      <c r="WHE112" s="181"/>
      <c r="WHF112" s="182"/>
      <c r="WHG112" s="181"/>
      <c r="WHH112" s="182"/>
      <c r="WHI112" s="181"/>
      <c r="WHJ112" s="182"/>
      <c r="WHK112" s="181"/>
      <c r="WHL112" s="182"/>
      <c r="WHM112" s="181"/>
      <c r="WHN112" s="182"/>
      <c r="WHO112" s="181"/>
      <c r="WHP112" s="182"/>
      <c r="WHQ112" s="181"/>
      <c r="WHR112" s="182"/>
      <c r="WHS112" s="181"/>
      <c r="WHT112" s="182"/>
      <c r="WHU112" s="181"/>
      <c r="WHV112" s="182"/>
      <c r="WHW112" s="181"/>
      <c r="WHX112" s="182"/>
      <c r="WHY112" s="181"/>
      <c r="WHZ112" s="182"/>
      <c r="WIA112" s="181"/>
      <c r="WIB112" s="182"/>
      <c r="WIC112" s="181"/>
      <c r="WID112" s="182"/>
      <c r="WIE112" s="181"/>
      <c r="WIF112" s="182"/>
      <c r="WIG112" s="181"/>
      <c r="WIH112" s="182"/>
      <c r="WII112" s="181"/>
      <c r="WIJ112" s="182"/>
      <c r="WIK112" s="181"/>
      <c r="WIL112" s="182"/>
      <c r="WIM112" s="181"/>
      <c r="WIN112" s="182"/>
      <c r="WIO112" s="181"/>
      <c r="WIP112" s="182"/>
      <c r="WIQ112" s="181"/>
      <c r="WIR112" s="182"/>
      <c r="WIS112" s="181"/>
      <c r="WIT112" s="182"/>
      <c r="WIU112" s="181"/>
      <c r="WIV112" s="182"/>
      <c r="WIW112" s="181"/>
      <c r="WIX112" s="182"/>
      <c r="WIY112" s="181"/>
      <c r="WIZ112" s="182"/>
      <c r="WJA112" s="181"/>
      <c r="WJB112" s="182"/>
      <c r="WJC112" s="181"/>
      <c r="WJD112" s="182"/>
      <c r="WJE112" s="181"/>
      <c r="WJF112" s="182"/>
      <c r="WJG112" s="181"/>
      <c r="WJH112" s="182"/>
      <c r="WJI112" s="181"/>
      <c r="WJJ112" s="182"/>
      <c r="WJK112" s="181"/>
      <c r="WJL112" s="182"/>
      <c r="WJM112" s="181"/>
      <c r="WJN112" s="182"/>
      <c r="WJO112" s="181"/>
      <c r="WJP112" s="182"/>
      <c r="WJQ112" s="181"/>
      <c r="WJR112" s="182"/>
      <c r="WJS112" s="181"/>
      <c r="WJT112" s="182"/>
      <c r="WJU112" s="181"/>
      <c r="WJV112" s="182"/>
      <c r="WJW112" s="181"/>
      <c r="WJX112" s="182"/>
      <c r="WJY112" s="181"/>
      <c r="WJZ112" s="182"/>
      <c r="WKA112" s="181"/>
      <c r="WKB112" s="182"/>
      <c r="WKC112" s="181"/>
      <c r="WKD112" s="182"/>
      <c r="WKE112" s="181"/>
      <c r="WKF112" s="182"/>
      <c r="WKG112" s="181"/>
      <c r="WKH112" s="182"/>
      <c r="WKI112" s="181"/>
      <c r="WKJ112" s="182"/>
      <c r="WKK112" s="181"/>
      <c r="WKL112" s="182"/>
      <c r="WKM112" s="181"/>
      <c r="WKN112" s="182"/>
      <c r="WKO112" s="181"/>
      <c r="WKP112" s="182"/>
      <c r="WKQ112" s="181"/>
      <c r="WKR112" s="182"/>
      <c r="WKS112" s="181"/>
      <c r="WKT112" s="182"/>
      <c r="WKU112" s="181"/>
      <c r="WKV112" s="182"/>
      <c r="WKW112" s="181"/>
      <c r="WKX112" s="182"/>
      <c r="WKY112" s="181"/>
      <c r="WKZ112" s="182"/>
      <c r="WLA112" s="181"/>
      <c r="WLB112" s="182"/>
      <c r="WLC112" s="181"/>
      <c r="WLD112" s="182"/>
      <c r="WLE112" s="181"/>
      <c r="WLF112" s="182"/>
      <c r="WLG112" s="181"/>
      <c r="WLH112" s="182"/>
      <c r="WLI112" s="181"/>
      <c r="WLJ112" s="182"/>
      <c r="WLK112" s="181"/>
      <c r="WLL112" s="182"/>
      <c r="WLM112" s="181"/>
      <c r="WLN112" s="182"/>
      <c r="WLO112" s="181"/>
      <c r="WLP112" s="182"/>
      <c r="WLQ112" s="181"/>
      <c r="WLR112" s="182"/>
      <c r="WLS112" s="181"/>
      <c r="WLT112" s="182"/>
      <c r="WLU112" s="181"/>
      <c r="WLV112" s="182"/>
      <c r="WLW112" s="181"/>
      <c r="WLX112" s="182"/>
      <c r="WLY112" s="181"/>
      <c r="WLZ112" s="182"/>
      <c r="WMA112" s="181"/>
      <c r="WMB112" s="182"/>
      <c r="WMC112" s="181"/>
      <c r="WMD112" s="182"/>
      <c r="WME112" s="181"/>
      <c r="WMF112" s="182"/>
      <c r="WMG112" s="181"/>
      <c r="WMH112" s="182"/>
      <c r="WMI112" s="181"/>
      <c r="WMJ112" s="182"/>
      <c r="WMK112" s="181"/>
      <c r="WML112" s="182"/>
      <c r="WMM112" s="181"/>
      <c r="WMN112" s="182"/>
      <c r="WMO112" s="181"/>
      <c r="WMP112" s="182"/>
      <c r="WMQ112" s="181"/>
      <c r="WMR112" s="182"/>
      <c r="WMS112" s="181"/>
      <c r="WMT112" s="182"/>
      <c r="WMU112" s="181"/>
      <c r="WMV112" s="182"/>
      <c r="WMW112" s="181"/>
      <c r="WMX112" s="182"/>
      <c r="WMY112" s="181"/>
      <c r="WMZ112" s="182"/>
      <c r="WNA112" s="181"/>
      <c r="WNB112" s="182"/>
      <c r="WNC112" s="181"/>
      <c r="WND112" s="182"/>
      <c r="WNE112" s="181"/>
      <c r="WNF112" s="182"/>
      <c r="WNG112" s="181"/>
      <c r="WNH112" s="182"/>
      <c r="WNI112" s="181"/>
      <c r="WNJ112" s="182"/>
      <c r="WNK112" s="181"/>
      <c r="WNL112" s="182"/>
      <c r="WNM112" s="181"/>
      <c r="WNN112" s="182"/>
      <c r="WNO112" s="181"/>
      <c r="WNP112" s="182"/>
      <c r="WNQ112" s="181"/>
      <c r="WNR112" s="182"/>
      <c r="WNS112" s="181"/>
      <c r="WNT112" s="182"/>
      <c r="WNU112" s="181"/>
      <c r="WNV112" s="182"/>
      <c r="WNW112" s="181"/>
      <c r="WNX112" s="182"/>
      <c r="WNY112" s="181"/>
      <c r="WNZ112" s="182"/>
      <c r="WOA112" s="181"/>
      <c r="WOB112" s="182"/>
      <c r="WOC112" s="181"/>
      <c r="WOD112" s="182"/>
      <c r="WOE112" s="181"/>
      <c r="WOF112" s="182"/>
      <c r="WOG112" s="181"/>
      <c r="WOH112" s="182"/>
      <c r="WOI112" s="181"/>
      <c r="WOJ112" s="182"/>
      <c r="WOK112" s="181"/>
      <c r="WOL112" s="182"/>
      <c r="WOM112" s="181"/>
      <c r="WON112" s="182"/>
      <c r="WOO112" s="181"/>
      <c r="WOP112" s="182"/>
      <c r="WOQ112" s="181"/>
      <c r="WOR112" s="182"/>
      <c r="WOS112" s="181"/>
      <c r="WOT112" s="182"/>
      <c r="WOU112" s="181"/>
      <c r="WOV112" s="182"/>
      <c r="WOW112" s="181"/>
      <c r="WOX112" s="182"/>
      <c r="WOY112" s="181"/>
      <c r="WOZ112" s="182"/>
      <c r="WPA112" s="181"/>
      <c r="WPB112" s="182"/>
      <c r="WPC112" s="181"/>
      <c r="WPD112" s="182"/>
      <c r="WPE112" s="181"/>
      <c r="WPF112" s="182"/>
      <c r="WPG112" s="181"/>
      <c r="WPH112" s="182"/>
      <c r="WPI112" s="181"/>
      <c r="WPJ112" s="182"/>
      <c r="WPK112" s="181"/>
      <c r="WPL112" s="182"/>
      <c r="WPM112" s="181"/>
      <c r="WPN112" s="182"/>
      <c r="WPO112" s="181"/>
      <c r="WPP112" s="182"/>
      <c r="WPQ112" s="181"/>
      <c r="WPR112" s="182"/>
      <c r="WPS112" s="181"/>
      <c r="WPT112" s="182"/>
      <c r="WPU112" s="181"/>
      <c r="WPV112" s="182"/>
      <c r="WPW112" s="181"/>
      <c r="WPX112" s="182"/>
      <c r="WPY112" s="181"/>
      <c r="WPZ112" s="182"/>
      <c r="WQA112" s="181"/>
      <c r="WQB112" s="182"/>
      <c r="WQC112" s="181"/>
      <c r="WQD112" s="182"/>
      <c r="WQE112" s="181"/>
      <c r="WQF112" s="182"/>
      <c r="WQG112" s="181"/>
      <c r="WQH112" s="182"/>
      <c r="WQI112" s="181"/>
      <c r="WQJ112" s="182"/>
      <c r="WQK112" s="181"/>
      <c r="WQL112" s="182"/>
      <c r="WQM112" s="181"/>
      <c r="WQN112" s="182"/>
      <c r="WQO112" s="181"/>
      <c r="WQP112" s="182"/>
      <c r="WQQ112" s="181"/>
      <c r="WQR112" s="182"/>
      <c r="WQS112" s="181"/>
      <c r="WQT112" s="182"/>
      <c r="WQU112" s="181"/>
      <c r="WQV112" s="182"/>
      <c r="WQW112" s="181"/>
      <c r="WQX112" s="182"/>
      <c r="WQY112" s="181"/>
      <c r="WQZ112" s="182"/>
      <c r="WRA112" s="181"/>
      <c r="WRB112" s="182"/>
      <c r="WRC112" s="181"/>
      <c r="WRD112" s="182"/>
      <c r="WRE112" s="181"/>
      <c r="WRF112" s="182"/>
      <c r="WRG112" s="181"/>
      <c r="WRH112" s="182"/>
      <c r="WRI112" s="181"/>
      <c r="WRJ112" s="182"/>
      <c r="WRK112" s="181"/>
      <c r="WRL112" s="182"/>
      <c r="WRM112" s="181"/>
      <c r="WRN112" s="182"/>
      <c r="WRO112" s="181"/>
      <c r="WRP112" s="182"/>
      <c r="WRQ112" s="181"/>
      <c r="WRR112" s="182"/>
      <c r="WRS112" s="181"/>
      <c r="WRT112" s="182"/>
      <c r="WRU112" s="181"/>
      <c r="WRV112" s="182"/>
      <c r="WRW112" s="181"/>
      <c r="WRX112" s="182"/>
      <c r="WRY112" s="181"/>
      <c r="WRZ112" s="182"/>
      <c r="WSA112" s="181"/>
      <c r="WSB112" s="182"/>
      <c r="WSC112" s="181"/>
      <c r="WSD112" s="182"/>
      <c r="WSE112" s="181"/>
      <c r="WSF112" s="182"/>
      <c r="WSG112" s="181"/>
      <c r="WSH112" s="182"/>
      <c r="WSI112" s="181"/>
      <c r="WSJ112" s="182"/>
      <c r="WSK112" s="181"/>
      <c r="WSL112" s="182"/>
      <c r="WSM112" s="181"/>
      <c r="WSN112" s="182"/>
      <c r="WSO112" s="181"/>
      <c r="WSP112" s="182"/>
      <c r="WSQ112" s="181"/>
      <c r="WSR112" s="182"/>
      <c r="WSS112" s="181"/>
      <c r="WST112" s="182"/>
      <c r="WSU112" s="181"/>
      <c r="WSV112" s="182"/>
      <c r="WSW112" s="181"/>
      <c r="WSX112" s="182"/>
      <c r="WSY112" s="181"/>
      <c r="WSZ112" s="182"/>
      <c r="WTA112" s="181"/>
      <c r="WTB112" s="182"/>
      <c r="WTC112" s="181"/>
      <c r="WTD112" s="182"/>
      <c r="WTE112" s="181"/>
      <c r="WTF112" s="182"/>
      <c r="WTG112" s="181"/>
      <c r="WTH112" s="182"/>
      <c r="WTI112" s="181"/>
      <c r="WTJ112" s="182"/>
      <c r="WTK112" s="181"/>
      <c r="WTL112" s="182"/>
      <c r="WTM112" s="181"/>
      <c r="WTN112" s="182"/>
      <c r="WTO112" s="181"/>
      <c r="WTP112" s="182"/>
      <c r="WTQ112" s="181"/>
      <c r="WTR112" s="182"/>
      <c r="WTS112" s="181"/>
      <c r="WTT112" s="182"/>
      <c r="WTU112" s="181"/>
      <c r="WTV112" s="182"/>
      <c r="WTW112" s="181"/>
      <c r="WTX112" s="182"/>
      <c r="WTY112" s="181"/>
      <c r="WTZ112" s="182"/>
      <c r="WUA112" s="181"/>
      <c r="WUB112" s="182"/>
      <c r="WUC112" s="181"/>
      <c r="WUD112" s="182"/>
      <c r="WUE112" s="181"/>
      <c r="WUF112" s="182"/>
      <c r="WUG112" s="181"/>
      <c r="WUH112" s="182"/>
      <c r="WUI112" s="181"/>
      <c r="WUJ112" s="182"/>
      <c r="WUK112" s="181"/>
      <c r="WUL112" s="182"/>
      <c r="WUM112" s="181"/>
      <c r="WUN112" s="182"/>
      <c r="WUO112" s="181"/>
      <c r="WUP112" s="182"/>
      <c r="WUQ112" s="181"/>
      <c r="WUR112" s="182"/>
      <c r="WUS112" s="181"/>
      <c r="WUT112" s="182"/>
      <c r="WUU112" s="181"/>
      <c r="WUV112" s="182"/>
      <c r="WUW112" s="181"/>
      <c r="WUX112" s="182"/>
      <c r="WUY112" s="181"/>
      <c r="WUZ112" s="182"/>
      <c r="WVA112" s="181"/>
      <c r="WVB112" s="182"/>
      <c r="WVC112" s="181"/>
      <c r="WVD112" s="182"/>
      <c r="WVE112" s="181"/>
      <c r="WVF112" s="182"/>
      <c r="WVG112" s="181"/>
      <c r="WVH112" s="182"/>
      <c r="WVI112" s="181"/>
      <c r="WVJ112" s="182"/>
      <c r="WVK112" s="181"/>
      <c r="WVL112" s="182"/>
      <c r="WVM112" s="181"/>
      <c r="WVN112" s="182"/>
      <c r="WVO112" s="181"/>
      <c r="WVP112" s="182"/>
      <c r="WVQ112" s="181"/>
      <c r="WVR112" s="182"/>
      <c r="WVS112" s="181"/>
      <c r="WVT112" s="182"/>
      <c r="WVU112" s="181"/>
      <c r="WVV112" s="182"/>
      <c r="WVW112" s="181"/>
      <c r="WVX112" s="182"/>
      <c r="WVY112" s="181"/>
      <c r="WVZ112" s="182"/>
      <c r="WWA112" s="181"/>
      <c r="WWB112" s="182"/>
      <c r="WWC112" s="181"/>
      <c r="WWD112" s="182"/>
      <c r="WWE112" s="181"/>
      <c r="WWF112" s="182"/>
      <c r="WWG112" s="181"/>
      <c r="WWH112" s="182"/>
      <c r="WWI112" s="181"/>
      <c r="WWJ112" s="182"/>
      <c r="WWK112" s="181"/>
      <c r="WWL112" s="182"/>
      <c r="WWM112" s="181"/>
      <c r="WWN112" s="182"/>
      <c r="WWO112" s="181"/>
      <c r="WWP112" s="182"/>
      <c r="WWQ112" s="181"/>
      <c r="WWR112" s="182"/>
      <c r="WWS112" s="181"/>
      <c r="WWT112" s="182"/>
      <c r="WWU112" s="181"/>
      <c r="WWV112" s="182"/>
      <c r="WWW112" s="181"/>
      <c r="WWX112" s="182"/>
      <c r="WWY112" s="181"/>
      <c r="WWZ112" s="182"/>
      <c r="WXA112" s="181"/>
      <c r="WXB112" s="182"/>
      <c r="WXC112" s="181"/>
      <c r="WXD112" s="182"/>
      <c r="WXE112" s="181"/>
      <c r="WXF112" s="182"/>
      <c r="WXG112" s="181"/>
      <c r="WXH112" s="182"/>
      <c r="WXI112" s="181"/>
      <c r="WXJ112" s="182"/>
      <c r="WXK112" s="181"/>
      <c r="WXL112" s="182"/>
      <c r="WXM112" s="181"/>
      <c r="WXN112" s="182"/>
      <c r="WXO112" s="181"/>
      <c r="WXP112" s="182"/>
      <c r="WXQ112" s="181"/>
      <c r="WXR112" s="182"/>
      <c r="WXS112" s="181"/>
      <c r="WXT112" s="182"/>
      <c r="WXU112" s="181"/>
      <c r="WXV112" s="182"/>
      <c r="WXW112" s="181"/>
      <c r="WXX112" s="182"/>
      <c r="WXY112" s="181"/>
      <c r="WXZ112" s="182"/>
      <c r="WYA112" s="181"/>
      <c r="WYB112" s="182"/>
      <c r="WYC112" s="181"/>
      <c r="WYD112" s="182"/>
      <c r="WYE112" s="181"/>
      <c r="WYF112" s="182"/>
      <c r="WYG112" s="181"/>
      <c r="WYH112" s="182"/>
      <c r="WYI112" s="181"/>
      <c r="WYJ112" s="182"/>
      <c r="WYK112" s="181"/>
      <c r="WYL112" s="182"/>
      <c r="WYM112" s="181"/>
      <c r="WYN112" s="182"/>
      <c r="WYO112" s="181"/>
      <c r="WYP112" s="182"/>
      <c r="WYQ112" s="181"/>
      <c r="WYR112" s="182"/>
      <c r="WYS112" s="181"/>
      <c r="WYT112" s="182"/>
      <c r="WYU112" s="181"/>
      <c r="WYV112" s="182"/>
      <c r="WYW112" s="181"/>
      <c r="WYX112" s="182"/>
      <c r="WYY112" s="181"/>
      <c r="WYZ112" s="182"/>
      <c r="WZA112" s="181"/>
      <c r="WZB112" s="182"/>
      <c r="WZC112" s="181"/>
      <c r="WZD112" s="182"/>
      <c r="WZE112" s="181"/>
      <c r="WZF112" s="182"/>
      <c r="WZG112" s="181"/>
      <c r="WZH112" s="182"/>
      <c r="WZI112" s="181"/>
      <c r="WZJ112" s="182"/>
      <c r="WZK112" s="181"/>
      <c r="WZL112" s="182"/>
      <c r="WZM112" s="181"/>
      <c r="WZN112" s="182"/>
      <c r="WZO112" s="181"/>
      <c r="WZP112" s="182"/>
      <c r="WZQ112" s="181"/>
      <c r="WZR112" s="182"/>
      <c r="WZS112" s="181"/>
      <c r="WZT112" s="182"/>
      <c r="WZU112" s="181"/>
      <c r="WZV112" s="182"/>
      <c r="WZW112" s="181"/>
      <c r="WZX112" s="182"/>
      <c r="WZY112" s="181"/>
      <c r="WZZ112" s="182"/>
      <c r="XAA112" s="181"/>
      <c r="XAB112" s="182"/>
      <c r="XAC112" s="181"/>
      <c r="XAD112" s="182"/>
      <c r="XAE112" s="181"/>
      <c r="XAF112" s="182"/>
      <c r="XAG112" s="181"/>
      <c r="XAH112" s="182"/>
      <c r="XAI112" s="181"/>
      <c r="XAJ112" s="182"/>
      <c r="XAK112" s="181"/>
      <c r="XAL112" s="182"/>
      <c r="XAM112" s="181"/>
      <c r="XAN112" s="182"/>
      <c r="XAO112" s="181"/>
      <c r="XAP112" s="182"/>
      <c r="XAQ112" s="181"/>
      <c r="XAR112" s="182"/>
      <c r="XAS112" s="181"/>
      <c r="XAT112" s="182"/>
      <c r="XAU112" s="181"/>
      <c r="XAV112" s="182"/>
      <c r="XAW112" s="181"/>
      <c r="XAX112" s="182"/>
      <c r="XAY112" s="181"/>
      <c r="XAZ112" s="182"/>
      <c r="XBA112" s="181"/>
      <c r="XBB112" s="182"/>
      <c r="XBC112" s="181"/>
      <c r="XBD112" s="182"/>
      <c r="XBE112" s="181"/>
      <c r="XBF112" s="182"/>
      <c r="XBG112" s="181"/>
      <c r="XBH112" s="182"/>
      <c r="XBI112" s="181"/>
      <c r="XBJ112" s="182"/>
      <c r="XBK112" s="181"/>
      <c r="XBL112" s="182"/>
      <c r="XBM112" s="181"/>
      <c r="XBN112" s="182"/>
      <c r="XBO112" s="181"/>
      <c r="XBP112" s="182"/>
      <c r="XBQ112" s="181"/>
      <c r="XBR112" s="182"/>
      <c r="XBS112" s="181"/>
      <c r="XBT112" s="182"/>
      <c r="XBU112" s="181"/>
      <c r="XBV112" s="182"/>
      <c r="XBW112" s="181"/>
      <c r="XBX112" s="182"/>
      <c r="XBY112" s="181"/>
      <c r="XBZ112" s="182"/>
      <c r="XCA112" s="181"/>
      <c r="XCB112" s="182"/>
      <c r="XCC112" s="181"/>
      <c r="XCD112" s="182"/>
      <c r="XCE112" s="181"/>
      <c r="XCF112" s="182"/>
      <c r="XCG112" s="181"/>
      <c r="XCH112" s="182"/>
      <c r="XCI112" s="181"/>
      <c r="XCJ112" s="182"/>
      <c r="XCK112" s="181"/>
      <c r="XCL112" s="182"/>
      <c r="XCM112" s="181"/>
      <c r="XCN112" s="182"/>
      <c r="XCO112" s="181"/>
      <c r="XCP112" s="182"/>
      <c r="XCQ112" s="181"/>
      <c r="XCR112" s="182"/>
      <c r="XCS112" s="181"/>
      <c r="XCT112" s="182"/>
      <c r="XCU112" s="181"/>
      <c r="XCV112" s="182"/>
      <c r="XCW112" s="181"/>
      <c r="XCX112" s="182"/>
      <c r="XCY112" s="181"/>
      <c r="XCZ112" s="182"/>
      <c r="XDA112" s="181"/>
      <c r="XDB112" s="182"/>
      <c r="XDC112" s="181"/>
      <c r="XDD112" s="182"/>
      <c r="XDE112" s="181"/>
      <c r="XDF112" s="182"/>
      <c r="XDG112" s="181"/>
      <c r="XDH112" s="182"/>
      <c r="XDI112" s="181"/>
      <c r="XDJ112" s="182"/>
      <c r="XDK112" s="181"/>
      <c r="XDL112" s="182"/>
      <c r="XDM112" s="181"/>
      <c r="XDN112" s="182"/>
      <c r="XDO112" s="181"/>
      <c r="XDP112" s="182"/>
      <c r="XDQ112" s="181"/>
      <c r="XDR112" s="182"/>
      <c r="XDS112" s="181"/>
      <c r="XDT112" s="182"/>
      <c r="XDU112" s="181"/>
      <c r="XDV112" s="182"/>
      <c r="XDW112" s="181"/>
      <c r="XDX112" s="182"/>
      <c r="XDY112" s="181"/>
      <c r="XDZ112" s="182"/>
      <c r="XEA112" s="181"/>
      <c r="XEB112" s="182"/>
      <c r="XEC112" s="181"/>
      <c r="XED112" s="182"/>
      <c r="XEE112" s="181"/>
      <c r="XEF112" s="182"/>
      <c r="XEG112" s="181"/>
      <c r="XEH112" s="182"/>
      <c r="XEI112" s="181"/>
      <c r="XEJ112" s="182"/>
      <c r="XEK112" s="181"/>
      <c r="XEL112" s="182"/>
      <c r="XEM112" s="181"/>
      <c r="XEN112" s="182"/>
      <c r="XEO112" s="181"/>
      <c r="XEP112" s="182"/>
      <c r="XEQ112" s="181"/>
      <c r="XER112" s="182"/>
      <c r="XES112" s="181"/>
      <c r="XET112" s="182"/>
      <c r="XEU112" s="181"/>
      <c r="XEV112" s="182"/>
      <c r="XEW112" s="181"/>
      <c r="XEX112" s="182"/>
      <c r="XEY112" s="181"/>
      <c r="XEZ112" s="182"/>
      <c r="XFA112" s="181"/>
      <c r="XFB112" s="182"/>
      <c r="XFC112" s="181"/>
      <c r="XFD112" s="182"/>
    </row>
    <row r="113" spans="1:16384" s="99" customFormat="1" ht="65.099999999999994" customHeight="1">
      <c r="A113" s="102"/>
      <c r="B113" s="102"/>
      <c r="C113" s="103"/>
      <c r="D113" s="102"/>
      <c r="E113" s="103"/>
      <c r="F113" s="102"/>
      <c r="G113" s="103"/>
      <c r="H113" s="103"/>
      <c r="I113" s="104"/>
      <c r="J113" s="104"/>
      <c r="K113" s="103"/>
      <c r="L113" s="103"/>
      <c r="M113" s="103"/>
      <c r="N113" s="103"/>
      <c r="O113" s="103"/>
      <c r="P113" s="103"/>
      <c r="Q113" s="103"/>
      <c r="R113" s="103"/>
      <c r="S113" s="103"/>
      <c r="T113" s="103"/>
      <c r="U113" s="103"/>
      <c r="V113" s="103"/>
      <c r="W113" s="103"/>
      <c r="X113" s="103"/>
      <c r="Y113" s="103"/>
      <c r="Z113" s="103"/>
      <c r="AA113" s="105"/>
      <c r="AB113" s="102"/>
      <c r="AC113" s="181"/>
      <c r="AD113" s="182"/>
      <c r="AE113" s="181"/>
      <c r="AF113" s="182"/>
      <c r="AG113" s="181"/>
      <c r="AH113" s="182"/>
      <c r="AI113" s="181"/>
      <c r="AJ113" s="182"/>
      <c r="AK113" s="181"/>
      <c r="AL113" s="182"/>
      <c r="AM113" s="181"/>
      <c r="AN113" s="182"/>
      <c r="AO113" s="181"/>
      <c r="AP113" s="182"/>
      <c r="AQ113" s="181"/>
      <c r="AR113" s="182"/>
      <c r="AS113" s="181"/>
      <c r="AT113" s="182"/>
      <c r="AU113" s="181"/>
      <c r="AV113" s="182"/>
      <c r="AW113" s="181"/>
      <c r="AX113" s="182"/>
      <c r="AY113" s="181"/>
      <c r="AZ113" s="182"/>
      <c r="BA113" s="181"/>
      <c r="BB113" s="182"/>
      <c r="BC113" s="181"/>
      <c r="BD113" s="182"/>
      <c r="BE113" s="181"/>
      <c r="BF113" s="182"/>
      <c r="BG113" s="181"/>
      <c r="BH113" s="182"/>
      <c r="BI113" s="181"/>
      <c r="BJ113" s="182"/>
      <c r="BK113" s="181"/>
      <c r="BL113" s="182"/>
      <c r="BM113" s="181"/>
      <c r="BN113" s="182"/>
      <c r="BO113" s="181"/>
      <c r="BP113" s="182"/>
      <c r="BQ113" s="181"/>
      <c r="BR113" s="182"/>
      <c r="BS113" s="181"/>
      <c r="BT113" s="182"/>
      <c r="BU113" s="181"/>
      <c r="BV113" s="182"/>
      <c r="BW113" s="181"/>
      <c r="BX113" s="182"/>
      <c r="BY113" s="181"/>
      <c r="BZ113" s="182"/>
      <c r="CA113" s="181"/>
      <c r="CB113" s="182"/>
      <c r="CC113" s="181"/>
      <c r="CD113" s="182"/>
      <c r="CE113" s="181"/>
      <c r="CF113" s="182"/>
      <c r="CG113" s="181"/>
      <c r="CH113" s="182"/>
      <c r="CI113" s="181"/>
      <c r="CJ113" s="182"/>
      <c r="CK113" s="181"/>
      <c r="CL113" s="182"/>
      <c r="CM113" s="181"/>
      <c r="CN113" s="182"/>
      <c r="CO113" s="181"/>
      <c r="CP113" s="182"/>
      <c r="CQ113" s="181"/>
      <c r="CR113" s="182"/>
      <c r="CS113" s="181"/>
      <c r="CT113" s="182"/>
      <c r="CU113" s="181"/>
      <c r="CV113" s="182"/>
      <c r="CW113" s="181"/>
      <c r="CX113" s="182"/>
      <c r="CY113" s="181"/>
      <c r="CZ113" s="182"/>
      <c r="DA113" s="181"/>
      <c r="DB113" s="182"/>
      <c r="DC113" s="181"/>
      <c r="DD113" s="182"/>
      <c r="DE113" s="181"/>
      <c r="DF113" s="182"/>
      <c r="DG113" s="181"/>
      <c r="DH113" s="182"/>
      <c r="DI113" s="181"/>
      <c r="DJ113" s="182"/>
      <c r="DK113" s="181"/>
      <c r="DL113" s="182"/>
      <c r="DM113" s="181"/>
      <c r="DN113" s="182"/>
      <c r="DO113" s="181"/>
      <c r="DP113" s="182"/>
      <c r="DQ113" s="181"/>
      <c r="DR113" s="182"/>
      <c r="DS113" s="181"/>
      <c r="DT113" s="182"/>
      <c r="DU113" s="181"/>
      <c r="DV113" s="182"/>
      <c r="DW113" s="181"/>
      <c r="DX113" s="182"/>
      <c r="DY113" s="181"/>
      <c r="DZ113" s="182"/>
      <c r="EA113" s="181"/>
      <c r="EB113" s="182"/>
      <c r="EC113" s="181"/>
      <c r="ED113" s="182"/>
      <c r="EE113" s="181"/>
      <c r="EF113" s="182"/>
      <c r="EG113" s="181"/>
      <c r="EH113" s="182"/>
      <c r="EI113" s="181"/>
      <c r="EJ113" s="182"/>
      <c r="EK113" s="181"/>
      <c r="EL113" s="182"/>
      <c r="EM113" s="181"/>
      <c r="EN113" s="182"/>
      <c r="EO113" s="181"/>
      <c r="EP113" s="182"/>
      <c r="EQ113" s="181"/>
      <c r="ER113" s="182"/>
      <c r="ES113" s="181"/>
      <c r="ET113" s="182"/>
      <c r="EU113" s="181"/>
      <c r="EV113" s="182"/>
      <c r="EW113" s="181"/>
      <c r="EX113" s="182"/>
      <c r="EY113" s="181"/>
      <c r="EZ113" s="182"/>
      <c r="FA113" s="181"/>
      <c r="FB113" s="182"/>
      <c r="FC113" s="181"/>
      <c r="FD113" s="182"/>
      <c r="FE113" s="181"/>
      <c r="FF113" s="182"/>
      <c r="FG113" s="181"/>
      <c r="FH113" s="182"/>
      <c r="FI113" s="181"/>
      <c r="FJ113" s="182"/>
      <c r="FK113" s="181"/>
      <c r="FL113" s="182"/>
      <c r="FM113" s="181"/>
      <c r="FN113" s="182"/>
      <c r="FO113" s="181"/>
      <c r="FP113" s="182"/>
      <c r="FQ113" s="181"/>
      <c r="FR113" s="182"/>
      <c r="FS113" s="181"/>
      <c r="FT113" s="182"/>
      <c r="FU113" s="181"/>
      <c r="FV113" s="182"/>
      <c r="FW113" s="181"/>
      <c r="FX113" s="182"/>
      <c r="FY113" s="181"/>
      <c r="FZ113" s="182"/>
      <c r="GA113" s="181"/>
      <c r="GB113" s="182"/>
      <c r="GC113" s="181"/>
      <c r="GD113" s="182"/>
      <c r="GE113" s="181"/>
      <c r="GF113" s="182"/>
      <c r="GG113" s="181"/>
      <c r="GH113" s="182"/>
      <c r="GI113" s="181"/>
      <c r="GJ113" s="182"/>
      <c r="GK113" s="181"/>
      <c r="GL113" s="182"/>
      <c r="GM113" s="181"/>
      <c r="GN113" s="182"/>
      <c r="GO113" s="181"/>
      <c r="GP113" s="182"/>
      <c r="GQ113" s="181"/>
      <c r="GR113" s="182"/>
      <c r="GS113" s="181"/>
      <c r="GT113" s="182"/>
      <c r="GU113" s="181"/>
      <c r="GV113" s="182"/>
      <c r="GW113" s="181"/>
      <c r="GX113" s="182"/>
      <c r="GY113" s="181"/>
      <c r="GZ113" s="182"/>
      <c r="HA113" s="181"/>
      <c r="HB113" s="182"/>
      <c r="HC113" s="181"/>
      <c r="HD113" s="182"/>
      <c r="HE113" s="181"/>
      <c r="HF113" s="182"/>
      <c r="HG113" s="181"/>
      <c r="HH113" s="182"/>
      <c r="HI113" s="181"/>
      <c r="HJ113" s="182"/>
      <c r="HK113" s="181"/>
      <c r="HL113" s="182"/>
      <c r="HM113" s="181"/>
      <c r="HN113" s="182"/>
      <c r="HO113" s="181"/>
      <c r="HP113" s="182"/>
      <c r="HQ113" s="181"/>
      <c r="HR113" s="182"/>
      <c r="HS113" s="181"/>
      <c r="HT113" s="182"/>
      <c r="HU113" s="181"/>
      <c r="HV113" s="182"/>
      <c r="HW113" s="181"/>
      <c r="HX113" s="182"/>
      <c r="HY113" s="181"/>
      <c r="HZ113" s="182"/>
      <c r="IA113" s="181"/>
      <c r="IB113" s="182"/>
      <c r="IC113" s="181"/>
      <c r="ID113" s="182"/>
      <c r="IE113" s="181"/>
      <c r="IF113" s="182"/>
      <c r="IG113" s="181"/>
      <c r="IH113" s="182"/>
      <c r="II113" s="181"/>
      <c r="IJ113" s="182"/>
      <c r="IK113" s="181"/>
      <c r="IL113" s="182"/>
      <c r="IM113" s="181"/>
      <c r="IN113" s="182"/>
      <c r="IO113" s="181"/>
      <c r="IP113" s="182"/>
      <c r="IQ113" s="181"/>
      <c r="IR113" s="182"/>
      <c r="IS113" s="181"/>
      <c r="IT113" s="182"/>
      <c r="IU113" s="181"/>
      <c r="IV113" s="182"/>
      <c r="IW113" s="181"/>
      <c r="IX113" s="182"/>
      <c r="IY113" s="181"/>
      <c r="IZ113" s="182"/>
      <c r="JA113" s="181"/>
      <c r="JB113" s="182"/>
      <c r="JC113" s="181"/>
      <c r="JD113" s="182"/>
      <c r="JE113" s="181"/>
      <c r="JF113" s="182"/>
      <c r="JG113" s="181"/>
      <c r="JH113" s="182"/>
      <c r="JI113" s="181"/>
      <c r="JJ113" s="182"/>
      <c r="JK113" s="181"/>
      <c r="JL113" s="182"/>
      <c r="JM113" s="181"/>
      <c r="JN113" s="182"/>
      <c r="JO113" s="181"/>
      <c r="JP113" s="182"/>
      <c r="JQ113" s="181"/>
      <c r="JR113" s="182"/>
      <c r="JS113" s="181"/>
      <c r="JT113" s="182"/>
      <c r="JU113" s="181"/>
      <c r="JV113" s="182"/>
      <c r="JW113" s="181"/>
      <c r="JX113" s="182"/>
      <c r="JY113" s="181"/>
      <c r="JZ113" s="182"/>
      <c r="KA113" s="181"/>
      <c r="KB113" s="182"/>
      <c r="KC113" s="181"/>
      <c r="KD113" s="182"/>
      <c r="KE113" s="181"/>
      <c r="KF113" s="182"/>
      <c r="KG113" s="181"/>
      <c r="KH113" s="182"/>
      <c r="KI113" s="181"/>
      <c r="KJ113" s="182"/>
      <c r="KK113" s="181"/>
      <c r="KL113" s="182"/>
      <c r="KM113" s="181"/>
      <c r="KN113" s="182"/>
      <c r="KO113" s="181"/>
      <c r="KP113" s="182"/>
      <c r="KQ113" s="181"/>
      <c r="KR113" s="182"/>
      <c r="KS113" s="181"/>
      <c r="KT113" s="182"/>
      <c r="KU113" s="181"/>
      <c r="KV113" s="182"/>
      <c r="KW113" s="181"/>
      <c r="KX113" s="182"/>
      <c r="KY113" s="181"/>
      <c r="KZ113" s="182"/>
      <c r="LA113" s="181"/>
      <c r="LB113" s="182"/>
      <c r="LC113" s="181"/>
      <c r="LD113" s="182"/>
      <c r="LE113" s="181"/>
      <c r="LF113" s="182"/>
      <c r="LG113" s="181"/>
      <c r="LH113" s="182"/>
      <c r="LI113" s="181"/>
      <c r="LJ113" s="182"/>
      <c r="LK113" s="181"/>
      <c r="LL113" s="182"/>
      <c r="LM113" s="181"/>
      <c r="LN113" s="182"/>
      <c r="LO113" s="181"/>
      <c r="LP113" s="182"/>
      <c r="LQ113" s="181"/>
      <c r="LR113" s="182"/>
      <c r="LS113" s="181"/>
      <c r="LT113" s="182"/>
      <c r="LU113" s="181"/>
      <c r="LV113" s="182"/>
      <c r="LW113" s="181"/>
      <c r="LX113" s="182"/>
      <c r="LY113" s="181"/>
      <c r="LZ113" s="182"/>
      <c r="MA113" s="181"/>
      <c r="MB113" s="182"/>
      <c r="MC113" s="181"/>
      <c r="MD113" s="182"/>
      <c r="ME113" s="181"/>
      <c r="MF113" s="182"/>
      <c r="MG113" s="181"/>
      <c r="MH113" s="182"/>
      <c r="MI113" s="181"/>
      <c r="MJ113" s="182"/>
      <c r="MK113" s="181"/>
      <c r="ML113" s="182"/>
      <c r="MM113" s="181"/>
      <c r="MN113" s="182"/>
      <c r="MO113" s="181"/>
      <c r="MP113" s="182"/>
      <c r="MQ113" s="181"/>
      <c r="MR113" s="182"/>
      <c r="MS113" s="181"/>
      <c r="MT113" s="182"/>
      <c r="MU113" s="181"/>
      <c r="MV113" s="182"/>
      <c r="MW113" s="181"/>
      <c r="MX113" s="182"/>
      <c r="MY113" s="181"/>
      <c r="MZ113" s="182"/>
      <c r="NA113" s="181"/>
      <c r="NB113" s="182"/>
      <c r="NC113" s="181"/>
      <c r="ND113" s="182"/>
      <c r="NE113" s="181"/>
      <c r="NF113" s="182"/>
      <c r="NG113" s="181"/>
      <c r="NH113" s="182"/>
      <c r="NI113" s="181"/>
      <c r="NJ113" s="182"/>
      <c r="NK113" s="181"/>
      <c r="NL113" s="182"/>
      <c r="NM113" s="181"/>
      <c r="NN113" s="182"/>
      <c r="NO113" s="181"/>
      <c r="NP113" s="182"/>
      <c r="NQ113" s="181"/>
      <c r="NR113" s="182"/>
      <c r="NS113" s="181"/>
      <c r="NT113" s="182"/>
      <c r="NU113" s="181"/>
      <c r="NV113" s="182"/>
      <c r="NW113" s="181"/>
      <c r="NX113" s="182"/>
      <c r="NY113" s="181"/>
      <c r="NZ113" s="182"/>
      <c r="OA113" s="181"/>
      <c r="OB113" s="182"/>
      <c r="OC113" s="181"/>
      <c r="OD113" s="182"/>
      <c r="OE113" s="181"/>
      <c r="OF113" s="182"/>
      <c r="OG113" s="181"/>
      <c r="OH113" s="182"/>
      <c r="OI113" s="181"/>
      <c r="OJ113" s="182"/>
      <c r="OK113" s="181"/>
      <c r="OL113" s="182"/>
      <c r="OM113" s="181"/>
      <c r="ON113" s="182"/>
      <c r="OO113" s="181"/>
      <c r="OP113" s="182"/>
      <c r="OQ113" s="181"/>
      <c r="OR113" s="182"/>
      <c r="OS113" s="181"/>
      <c r="OT113" s="182"/>
      <c r="OU113" s="181"/>
      <c r="OV113" s="182"/>
      <c r="OW113" s="181"/>
      <c r="OX113" s="182"/>
      <c r="OY113" s="181"/>
      <c r="OZ113" s="182"/>
      <c r="PA113" s="181"/>
      <c r="PB113" s="182"/>
      <c r="PC113" s="181"/>
      <c r="PD113" s="182"/>
      <c r="PE113" s="181"/>
      <c r="PF113" s="182"/>
      <c r="PG113" s="181"/>
      <c r="PH113" s="182"/>
      <c r="PI113" s="181"/>
      <c r="PJ113" s="182"/>
      <c r="PK113" s="181"/>
      <c r="PL113" s="182"/>
      <c r="PM113" s="181"/>
      <c r="PN113" s="182"/>
      <c r="PO113" s="181"/>
      <c r="PP113" s="182"/>
      <c r="PQ113" s="181"/>
      <c r="PR113" s="182"/>
      <c r="PS113" s="181"/>
      <c r="PT113" s="182"/>
      <c r="PU113" s="181"/>
      <c r="PV113" s="182"/>
      <c r="PW113" s="181"/>
      <c r="PX113" s="182"/>
      <c r="PY113" s="181"/>
      <c r="PZ113" s="182"/>
      <c r="QA113" s="181"/>
      <c r="QB113" s="182"/>
      <c r="QC113" s="181"/>
      <c r="QD113" s="182"/>
      <c r="QE113" s="181"/>
      <c r="QF113" s="182"/>
      <c r="QG113" s="181"/>
      <c r="QH113" s="182"/>
      <c r="QI113" s="181"/>
      <c r="QJ113" s="182"/>
      <c r="QK113" s="181"/>
      <c r="QL113" s="182"/>
      <c r="QM113" s="181"/>
      <c r="QN113" s="182"/>
      <c r="QO113" s="181"/>
      <c r="QP113" s="182"/>
      <c r="QQ113" s="181"/>
      <c r="QR113" s="182"/>
      <c r="QS113" s="181"/>
      <c r="QT113" s="182"/>
      <c r="QU113" s="181"/>
      <c r="QV113" s="182"/>
      <c r="QW113" s="181"/>
      <c r="QX113" s="182"/>
      <c r="QY113" s="181"/>
      <c r="QZ113" s="182"/>
      <c r="RA113" s="181"/>
      <c r="RB113" s="182"/>
      <c r="RC113" s="181"/>
      <c r="RD113" s="182"/>
      <c r="RE113" s="181"/>
      <c r="RF113" s="182"/>
      <c r="RG113" s="181"/>
      <c r="RH113" s="182"/>
      <c r="RI113" s="181"/>
      <c r="RJ113" s="182"/>
      <c r="RK113" s="181"/>
      <c r="RL113" s="182"/>
      <c r="RM113" s="181"/>
      <c r="RN113" s="182"/>
      <c r="RO113" s="181"/>
      <c r="RP113" s="182"/>
      <c r="RQ113" s="181"/>
      <c r="RR113" s="182"/>
      <c r="RS113" s="181"/>
      <c r="RT113" s="182"/>
      <c r="RU113" s="181"/>
      <c r="RV113" s="182"/>
      <c r="RW113" s="181"/>
      <c r="RX113" s="182"/>
      <c r="RY113" s="181"/>
      <c r="RZ113" s="182"/>
      <c r="SA113" s="181"/>
      <c r="SB113" s="182"/>
      <c r="SC113" s="181"/>
      <c r="SD113" s="182"/>
      <c r="SE113" s="181"/>
      <c r="SF113" s="182"/>
      <c r="SG113" s="181"/>
      <c r="SH113" s="182"/>
      <c r="SI113" s="181"/>
      <c r="SJ113" s="182"/>
      <c r="SK113" s="181"/>
      <c r="SL113" s="182"/>
      <c r="SM113" s="181"/>
      <c r="SN113" s="182"/>
      <c r="SO113" s="181"/>
      <c r="SP113" s="182"/>
      <c r="SQ113" s="181"/>
      <c r="SR113" s="182"/>
      <c r="SS113" s="181"/>
      <c r="ST113" s="182"/>
      <c r="SU113" s="181"/>
      <c r="SV113" s="182"/>
      <c r="SW113" s="181"/>
      <c r="SX113" s="182"/>
      <c r="SY113" s="181"/>
      <c r="SZ113" s="182"/>
      <c r="TA113" s="181"/>
      <c r="TB113" s="182"/>
      <c r="TC113" s="181"/>
      <c r="TD113" s="182"/>
      <c r="TE113" s="181"/>
      <c r="TF113" s="182"/>
      <c r="TG113" s="181"/>
      <c r="TH113" s="182"/>
      <c r="TI113" s="181"/>
      <c r="TJ113" s="182"/>
      <c r="TK113" s="181"/>
      <c r="TL113" s="182"/>
      <c r="TM113" s="181"/>
      <c r="TN113" s="182"/>
      <c r="TO113" s="181"/>
      <c r="TP113" s="182"/>
      <c r="TQ113" s="181"/>
      <c r="TR113" s="182"/>
      <c r="TS113" s="181"/>
      <c r="TT113" s="182"/>
      <c r="TU113" s="181"/>
      <c r="TV113" s="182"/>
      <c r="TW113" s="181"/>
      <c r="TX113" s="182"/>
      <c r="TY113" s="181"/>
      <c r="TZ113" s="182"/>
      <c r="UA113" s="181"/>
      <c r="UB113" s="182"/>
      <c r="UC113" s="181"/>
      <c r="UD113" s="182"/>
      <c r="UE113" s="181"/>
      <c r="UF113" s="182"/>
      <c r="UG113" s="181"/>
      <c r="UH113" s="182"/>
      <c r="UI113" s="181"/>
      <c r="UJ113" s="182"/>
      <c r="UK113" s="181"/>
      <c r="UL113" s="182"/>
      <c r="UM113" s="181"/>
      <c r="UN113" s="182"/>
      <c r="UO113" s="181"/>
      <c r="UP113" s="182"/>
      <c r="UQ113" s="181"/>
      <c r="UR113" s="182"/>
      <c r="US113" s="181"/>
      <c r="UT113" s="182"/>
      <c r="UU113" s="181"/>
      <c r="UV113" s="182"/>
      <c r="UW113" s="181"/>
      <c r="UX113" s="182"/>
      <c r="UY113" s="181"/>
      <c r="UZ113" s="182"/>
      <c r="VA113" s="181"/>
      <c r="VB113" s="182"/>
      <c r="VC113" s="181"/>
      <c r="VD113" s="182"/>
      <c r="VE113" s="181"/>
      <c r="VF113" s="182"/>
      <c r="VG113" s="181"/>
      <c r="VH113" s="182"/>
      <c r="VI113" s="181"/>
      <c r="VJ113" s="182"/>
      <c r="VK113" s="181"/>
      <c r="VL113" s="182"/>
      <c r="VM113" s="181"/>
      <c r="VN113" s="182"/>
      <c r="VO113" s="181"/>
      <c r="VP113" s="182"/>
      <c r="VQ113" s="181"/>
      <c r="VR113" s="182"/>
      <c r="VS113" s="181"/>
      <c r="VT113" s="182"/>
      <c r="VU113" s="181"/>
      <c r="VV113" s="182"/>
      <c r="VW113" s="181"/>
      <c r="VX113" s="182"/>
      <c r="VY113" s="181"/>
      <c r="VZ113" s="182"/>
      <c r="WA113" s="181"/>
      <c r="WB113" s="182"/>
      <c r="WC113" s="181"/>
      <c r="WD113" s="182"/>
      <c r="WE113" s="181"/>
      <c r="WF113" s="182"/>
      <c r="WG113" s="181"/>
      <c r="WH113" s="182"/>
      <c r="WI113" s="181"/>
      <c r="WJ113" s="182"/>
      <c r="WK113" s="181"/>
      <c r="WL113" s="182"/>
      <c r="WM113" s="181"/>
      <c r="WN113" s="182"/>
      <c r="WO113" s="181"/>
      <c r="WP113" s="182"/>
      <c r="WQ113" s="181"/>
      <c r="WR113" s="182"/>
      <c r="WS113" s="181"/>
      <c r="WT113" s="182"/>
      <c r="WU113" s="181"/>
      <c r="WV113" s="182"/>
      <c r="WW113" s="181"/>
      <c r="WX113" s="182"/>
      <c r="WY113" s="181"/>
      <c r="WZ113" s="182"/>
      <c r="XA113" s="181"/>
      <c r="XB113" s="182"/>
      <c r="XC113" s="181"/>
      <c r="XD113" s="182"/>
      <c r="XE113" s="181"/>
      <c r="XF113" s="182"/>
      <c r="XG113" s="181"/>
      <c r="XH113" s="182"/>
      <c r="XI113" s="181"/>
      <c r="XJ113" s="182"/>
      <c r="XK113" s="181"/>
      <c r="XL113" s="182"/>
      <c r="XM113" s="181"/>
      <c r="XN113" s="182"/>
      <c r="XO113" s="181"/>
      <c r="XP113" s="182"/>
      <c r="XQ113" s="181"/>
      <c r="XR113" s="182"/>
      <c r="XS113" s="181"/>
      <c r="XT113" s="182"/>
      <c r="XU113" s="181"/>
      <c r="XV113" s="182"/>
      <c r="XW113" s="181"/>
      <c r="XX113" s="182"/>
      <c r="XY113" s="181"/>
      <c r="XZ113" s="182"/>
      <c r="YA113" s="181"/>
      <c r="YB113" s="182"/>
      <c r="YC113" s="181"/>
      <c r="YD113" s="182"/>
      <c r="YE113" s="181"/>
      <c r="YF113" s="182"/>
      <c r="YG113" s="181"/>
      <c r="YH113" s="182"/>
      <c r="YI113" s="181"/>
      <c r="YJ113" s="182"/>
      <c r="YK113" s="181"/>
      <c r="YL113" s="182"/>
      <c r="YM113" s="181"/>
      <c r="YN113" s="182"/>
      <c r="YO113" s="181"/>
      <c r="YP113" s="182"/>
      <c r="YQ113" s="181"/>
      <c r="YR113" s="182"/>
      <c r="YS113" s="181"/>
      <c r="YT113" s="182"/>
      <c r="YU113" s="181"/>
      <c r="YV113" s="182"/>
      <c r="YW113" s="181"/>
      <c r="YX113" s="182"/>
      <c r="YY113" s="181"/>
      <c r="YZ113" s="182"/>
      <c r="ZA113" s="181"/>
      <c r="ZB113" s="182"/>
      <c r="ZC113" s="181"/>
      <c r="ZD113" s="182"/>
      <c r="ZE113" s="181"/>
      <c r="ZF113" s="182"/>
      <c r="ZG113" s="181"/>
      <c r="ZH113" s="182"/>
      <c r="ZI113" s="181"/>
      <c r="ZJ113" s="182"/>
      <c r="ZK113" s="181"/>
      <c r="ZL113" s="182"/>
      <c r="ZM113" s="181"/>
      <c r="ZN113" s="182"/>
      <c r="ZO113" s="181"/>
      <c r="ZP113" s="182"/>
      <c r="ZQ113" s="181"/>
      <c r="ZR113" s="182"/>
      <c r="ZS113" s="181"/>
      <c r="ZT113" s="182"/>
      <c r="ZU113" s="181"/>
      <c r="ZV113" s="182"/>
      <c r="ZW113" s="181"/>
      <c r="ZX113" s="182"/>
      <c r="ZY113" s="181"/>
      <c r="ZZ113" s="182"/>
      <c r="AAA113" s="181"/>
      <c r="AAB113" s="182"/>
      <c r="AAC113" s="181"/>
      <c r="AAD113" s="182"/>
      <c r="AAE113" s="181"/>
      <c r="AAF113" s="182"/>
      <c r="AAG113" s="181"/>
      <c r="AAH113" s="182"/>
      <c r="AAI113" s="181"/>
      <c r="AAJ113" s="182"/>
      <c r="AAK113" s="181"/>
      <c r="AAL113" s="182"/>
      <c r="AAM113" s="181"/>
      <c r="AAN113" s="182"/>
      <c r="AAO113" s="181"/>
      <c r="AAP113" s="182"/>
      <c r="AAQ113" s="181"/>
      <c r="AAR113" s="182"/>
      <c r="AAS113" s="181"/>
      <c r="AAT113" s="182"/>
      <c r="AAU113" s="181"/>
      <c r="AAV113" s="182"/>
      <c r="AAW113" s="181"/>
      <c r="AAX113" s="182"/>
      <c r="AAY113" s="181"/>
      <c r="AAZ113" s="182"/>
      <c r="ABA113" s="181"/>
      <c r="ABB113" s="182"/>
      <c r="ABC113" s="181"/>
      <c r="ABD113" s="182"/>
      <c r="ABE113" s="181"/>
      <c r="ABF113" s="182"/>
      <c r="ABG113" s="181"/>
      <c r="ABH113" s="182"/>
      <c r="ABI113" s="181"/>
      <c r="ABJ113" s="182"/>
      <c r="ABK113" s="181"/>
      <c r="ABL113" s="182"/>
      <c r="ABM113" s="181"/>
      <c r="ABN113" s="182"/>
      <c r="ABO113" s="181"/>
      <c r="ABP113" s="182"/>
      <c r="ABQ113" s="181"/>
      <c r="ABR113" s="182"/>
      <c r="ABS113" s="181"/>
      <c r="ABT113" s="182"/>
      <c r="ABU113" s="181"/>
      <c r="ABV113" s="182"/>
      <c r="ABW113" s="181"/>
      <c r="ABX113" s="182"/>
      <c r="ABY113" s="181"/>
      <c r="ABZ113" s="182"/>
      <c r="ACA113" s="181"/>
      <c r="ACB113" s="182"/>
      <c r="ACC113" s="181"/>
      <c r="ACD113" s="182"/>
      <c r="ACE113" s="181"/>
      <c r="ACF113" s="182"/>
      <c r="ACG113" s="181"/>
      <c r="ACH113" s="182"/>
      <c r="ACI113" s="181"/>
      <c r="ACJ113" s="182"/>
      <c r="ACK113" s="181"/>
      <c r="ACL113" s="182"/>
      <c r="ACM113" s="181"/>
      <c r="ACN113" s="182"/>
      <c r="ACO113" s="181"/>
      <c r="ACP113" s="182"/>
      <c r="ACQ113" s="181"/>
      <c r="ACR113" s="182"/>
      <c r="ACS113" s="181"/>
      <c r="ACT113" s="182"/>
      <c r="ACU113" s="181"/>
      <c r="ACV113" s="182"/>
      <c r="ACW113" s="181"/>
      <c r="ACX113" s="182"/>
      <c r="ACY113" s="181"/>
      <c r="ACZ113" s="182"/>
      <c r="ADA113" s="181"/>
      <c r="ADB113" s="182"/>
      <c r="ADC113" s="181"/>
      <c r="ADD113" s="182"/>
      <c r="ADE113" s="181"/>
      <c r="ADF113" s="182"/>
      <c r="ADG113" s="181"/>
      <c r="ADH113" s="182"/>
      <c r="ADI113" s="181"/>
      <c r="ADJ113" s="182"/>
      <c r="ADK113" s="181"/>
      <c r="ADL113" s="182"/>
      <c r="ADM113" s="181"/>
      <c r="ADN113" s="182"/>
      <c r="ADO113" s="181"/>
      <c r="ADP113" s="182"/>
      <c r="ADQ113" s="181"/>
      <c r="ADR113" s="182"/>
      <c r="ADS113" s="181"/>
      <c r="ADT113" s="182"/>
      <c r="ADU113" s="181"/>
      <c r="ADV113" s="182"/>
      <c r="ADW113" s="181"/>
      <c r="ADX113" s="182"/>
      <c r="ADY113" s="181"/>
      <c r="ADZ113" s="182"/>
      <c r="AEA113" s="181"/>
      <c r="AEB113" s="182"/>
      <c r="AEC113" s="181"/>
      <c r="AED113" s="182"/>
      <c r="AEE113" s="181"/>
      <c r="AEF113" s="182"/>
      <c r="AEG113" s="181"/>
      <c r="AEH113" s="182"/>
      <c r="AEI113" s="181"/>
      <c r="AEJ113" s="182"/>
      <c r="AEK113" s="181"/>
      <c r="AEL113" s="182"/>
      <c r="AEM113" s="181"/>
      <c r="AEN113" s="182"/>
      <c r="AEO113" s="181"/>
      <c r="AEP113" s="182"/>
      <c r="AEQ113" s="181"/>
      <c r="AER113" s="182"/>
      <c r="AES113" s="181"/>
      <c r="AET113" s="182"/>
      <c r="AEU113" s="181"/>
      <c r="AEV113" s="182"/>
      <c r="AEW113" s="181"/>
      <c r="AEX113" s="182"/>
      <c r="AEY113" s="181"/>
      <c r="AEZ113" s="182"/>
      <c r="AFA113" s="181"/>
      <c r="AFB113" s="182"/>
      <c r="AFC113" s="181"/>
      <c r="AFD113" s="182"/>
      <c r="AFE113" s="181"/>
      <c r="AFF113" s="182"/>
      <c r="AFG113" s="181"/>
      <c r="AFH113" s="182"/>
      <c r="AFI113" s="181"/>
      <c r="AFJ113" s="182"/>
      <c r="AFK113" s="181"/>
      <c r="AFL113" s="182"/>
      <c r="AFM113" s="181"/>
      <c r="AFN113" s="182"/>
      <c r="AFO113" s="181"/>
      <c r="AFP113" s="182"/>
      <c r="AFQ113" s="181"/>
      <c r="AFR113" s="182"/>
      <c r="AFS113" s="181"/>
      <c r="AFT113" s="182"/>
      <c r="AFU113" s="181"/>
      <c r="AFV113" s="182"/>
      <c r="AFW113" s="181"/>
      <c r="AFX113" s="182"/>
      <c r="AFY113" s="181"/>
      <c r="AFZ113" s="182"/>
      <c r="AGA113" s="181"/>
      <c r="AGB113" s="182"/>
      <c r="AGC113" s="181"/>
      <c r="AGD113" s="182"/>
      <c r="AGE113" s="181"/>
      <c r="AGF113" s="182"/>
      <c r="AGG113" s="181"/>
      <c r="AGH113" s="182"/>
      <c r="AGI113" s="181"/>
      <c r="AGJ113" s="182"/>
      <c r="AGK113" s="181"/>
      <c r="AGL113" s="182"/>
      <c r="AGM113" s="181"/>
      <c r="AGN113" s="182"/>
      <c r="AGO113" s="181"/>
      <c r="AGP113" s="182"/>
      <c r="AGQ113" s="181"/>
      <c r="AGR113" s="182"/>
      <c r="AGS113" s="181"/>
      <c r="AGT113" s="182"/>
      <c r="AGU113" s="181"/>
      <c r="AGV113" s="182"/>
      <c r="AGW113" s="181"/>
      <c r="AGX113" s="182"/>
      <c r="AGY113" s="181"/>
      <c r="AGZ113" s="182"/>
      <c r="AHA113" s="181"/>
      <c r="AHB113" s="182"/>
      <c r="AHC113" s="181"/>
      <c r="AHD113" s="182"/>
      <c r="AHE113" s="181"/>
      <c r="AHF113" s="182"/>
      <c r="AHG113" s="181"/>
      <c r="AHH113" s="182"/>
      <c r="AHI113" s="181"/>
      <c r="AHJ113" s="182"/>
      <c r="AHK113" s="181"/>
      <c r="AHL113" s="182"/>
      <c r="AHM113" s="181"/>
      <c r="AHN113" s="182"/>
      <c r="AHO113" s="181"/>
      <c r="AHP113" s="182"/>
      <c r="AHQ113" s="181"/>
      <c r="AHR113" s="182"/>
      <c r="AHS113" s="181"/>
      <c r="AHT113" s="182"/>
      <c r="AHU113" s="181"/>
      <c r="AHV113" s="182"/>
      <c r="AHW113" s="181"/>
      <c r="AHX113" s="182"/>
      <c r="AHY113" s="181"/>
      <c r="AHZ113" s="182"/>
      <c r="AIA113" s="181"/>
      <c r="AIB113" s="182"/>
      <c r="AIC113" s="181"/>
      <c r="AID113" s="182"/>
      <c r="AIE113" s="181"/>
      <c r="AIF113" s="182"/>
      <c r="AIG113" s="181"/>
      <c r="AIH113" s="182"/>
      <c r="AII113" s="181"/>
      <c r="AIJ113" s="182"/>
      <c r="AIK113" s="181"/>
      <c r="AIL113" s="182"/>
      <c r="AIM113" s="181"/>
      <c r="AIN113" s="182"/>
      <c r="AIO113" s="181"/>
      <c r="AIP113" s="182"/>
      <c r="AIQ113" s="181"/>
      <c r="AIR113" s="182"/>
      <c r="AIS113" s="181"/>
      <c r="AIT113" s="182"/>
      <c r="AIU113" s="181"/>
      <c r="AIV113" s="182"/>
      <c r="AIW113" s="181"/>
      <c r="AIX113" s="182"/>
      <c r="AIY113" s="181"/>
      <c r="AIZ113" s="182"/>
      <c r="AJA113" s="181"/>
      <c r="AJB113" s="182"/>
      <c r="AJC113" s="181"/>
      <c r="AJD113" s="182"/>
      <c r="AJE113" s="181"/>
      <c r="AJF113" s="182"/>
      <c r="AJG113" s="181"/>
      <c r="AJH113" s="182"/>
      <c r="AJI113" s="181"/>
      <c r="AJJ113" s="182"/>
      <c r="AJK113" s="181"/>
      <c r="AJL113" s="182"/>
      <c r="AJM113" s="181"/>
      <c r="AJN113" s="182"/>
      <c r="AJO113" s="181"/>
      <c r="AJP113" s="182"/>
      <c r="AJQ113" s="181"/>
      <c r="AJR113" s="182"/>
      <c r="AJS113" s="181"/>
      <c r="AJT113" s="182"/>
      <c r="AJU113" s="181"/>
      <c r="AJV113" s="182"/>
      <c r="AJW113" s="181"/>
      <c r="AJX113" s="182"/>
      <c r="AJY113" s="181"/>
      <c r="AJZ113" s="182"/>
      <c r="AKA113" s="181"/>
      <c r="AKB113" s="182"/>
      <c r="AKC113" s="181"/>
      <c r="AKD113" s="182"/>
      <c r="AKE113" s="181"/>
      <c r="AKF113" s="182"/>
      <c r="AKG113" s="181"/>
      <c r="AKH113" s="182"/>
      <c r="AKI113" s="181"/>
      <c r="AKJ113" s="182"/>
      <c r="AKK113" s="181"/>
      <c r="AKL113" s="182"/>
      <c r="AKM113" s="181"/>
      <c r="AKN113" s="182"/>
      <c r="AKO113" s="181"/>
      <c r="AKP113" s="182"/>
      <c r="AKQ113" s="181"/>
      <c r="AKR113" s="182"/>
      <c r="AKS113" s="181"/>
      <c r="AKT113" s="182"/>
      <c r="AKU113" s="181"/>
      <c r="AKV113" s="182"/>
      <c r="AKW113" s="181"/>
      <c r="AKX113" s="182"/>
      <c r="AKY113" s="181"/>
      <c r="AKZ113" s="182"/>
      <c r="ALA113" s="181"/>
      <c r="ALB113" s="182"/>
      <c r="ALC113" s="181"/>
      <c r="ALD113" s="182"/>
      <c r="ALE113" s="181"/>
      <c r="ALF113" s="182"/>
      <c r="ALG113" s="181"/>
      <c r="ALH113" s="182"/>
      <c r="ALI113" s="181"/>
      <c r="ALJ113" s="182"/>
      <c r="ALK113" s="181"/>
      <c r="ALL113" s="182"/>
      <c r="ALM113" s="181"/>
      <c r="ALN113" s="182"/>
      <c r="ALO113" s="181"/>
      <c r="ALP113" s="182"/>
      <c r="ALQ113" s="181"/>
      <c r="ALR113" s="182"/>
      <c r="ALS113" s="181"/>
      <c r="ALT113" s="182"/>
      <c r="ALU113" s="181"/>
      <c r="ALV113" s="182"/>
      <c r="ALW113" s="181"/>
      <c r="ALX113" s="182"/>
      <c r="ALY113" s="181"/>
      <c r="ALZ113" s="182"/>
      <c r="AMA113" s="181"/>
      <c r="AMB113" s="182"/>
      <c r="AMC113" s="181"/>
      <c r="AMD113" s="182"/>
      <c r="AME113" s="181"/>
      <c r="AMF113" s="182"/>
      <c r="AMG113" s="181"/>
      <c r="AMH113" s="182"/>
      <c r="AMI113" s="181"/>
      <c r="AMJ113" s="182"/>
      <c r="AMK113" s="181"/>
      <c r="AML113" s="182"/>
      <c r="AMM113" s="181"/>
      <c r="AMN113" s="182"/>
      <c r="AMO113" s="181"/>
      <c r="AMP113" s="182"/>
      <c r="AMQ113" s="181"/>
      <c r="AMR113" s="182"/>
      <c r="AMS113" s="181"/>
      <c r="AMT113" s="182"/>
      <c r="AMU113" s="181"/>
      <c r="AMV113" s="182"/>
      <c r="AMW113" s="181"/>
      <c r="AMX113" s="182"/>
      <c r="AMY113" s="181"/>
      <c r="AMZ113" s="182"/>
      <c r="ANA113" s="181"/>
      <c r="ANB113" s="182"/>
      <c r="ANC113" s="181"/>
      <c r="AND113" s="182"/>
      <c r="ANE113" s="181"/>
      <c r="ANF113" s="182"/>
      <c r="ANG113" s="181"/>
      <c r="ANH113" s="182"/>
      <c r="ANI113" s="181"/>
      <c r="ANJ113" s="182"/>
      <c r="ANK113" s="181"/>
      <c r="ANL113" s="182"/>
      <c r="ANM113" s="181"/>
      <c r="ANN113" s="182"/>
      <c r="ANO113" s="181"/>
      <c r="ANP113" s="182"/>
      <c r="ANQ113" s="181"/>
      <c r="ANR113" s="182"/>
      <c r="ANS113" s="181"/>
      <c r="ANT113" s="182"/>
      <c r="ANU113" s="181"/>
      <c r="ANV113" s="182"/>
      <c r="ANW113" s="181"/>
      <c r="ANX113" s="182"/>
      <c r="ANY113" s="181"/>
      <c r="ANZ113" s="182"/>
      <c r="AOA113" s="181"/>
      <c r="AOB113" s="182"/>
      <c r="AOC113" s="181"/>
      <c r="AOD113" s="182"/>
      <c r="AOE113" s="181"/>
      <c r="AOF113" s="182"/>
      <c r="AOG113" s="181"/>
      <c r="AOH113" s="182"/>
      <c r="AOI113" s="181"/>
      <c r="AOJ113" s="182"/>
      <c r="AOK113" s="181"/>
      <c r="AOL113" s="182"/>
      <c r="AOM113" s="181"/>
      <c r="AON113" s="182"/>
      <c r="AOO113" s="181"/>
      <c r="AOP113" s="182"/>
      <c r="AOQ113" s="181"/>
      <c r="AOR113" s="182"/>
      <c r="AOS113" s="181"/>
      <c r="AOT113" s="182"/>
      <c r="AOU113" s="181"/>
      <c r="AOV113" s="182"/>
      <c r="AOW113" s="181"/>
      <c r="AOX113" s="182"/>
      <c r="AOY113" s="181"/>
      <c r="AOZ113" s="182"/>
      <c r="APA113" s="181"/>
      <c r="APB113" s="182"/>
      <c r="APC113" s="181"/>
      <c r="APD113" s="182"/>
      <c r="APE113" s="181"/>
      <c r="APF113" s="182"/>
      <c r="APG113" s="181"/>
      <c r="APH113" s="182"/>
      <c r="API113" s="181"/>
      <c r="APJ113" s="182"/>
      <c r="APK113" s="181"/>
      <c r="APL113" s="182"/>
      <c r="APM113" s="181"/>
      <c r="APN113" s="182"/>
      <c r="APO113" s="181"/>
      <c r="APP113" s="182"/>
      <c r="APQ113" s="181"/>
      <c r="APR113" s="182"/>
      <c r="APS113" s="181"/>
      <c r="APT113" s="182"/>
      <c r="APU113" s="181"/>
      <c r="APV113" s="182"/>
      <c r="APW113" s="181"/>
      <c r="APX113" s="182"/>
      <c r="APY113" s="181"/>
      <c r="APZ113" s="182"/>
      <c r="AQA113" s="181"/>
      <c r="AQB113" s="182"/>
      <c r="AQC113" s="181"/>
      <c r="AQD113" s="182"/>
      <c r="AQE113" s="181"/>
      <c r="AQF113" s="182"/>
      <c r="AQG113" s="181"/>
      <c r="AQH113" s="182"/>
      <c r="AQI113" s="181"/>
      <c r="AQJ113" s="182"/>
      <c r="AQK113" s="181"/>
      <c r="AQL113" s="182"/>
      <c r="AQM113" s="181"/>
      <c r="AQN113" s="182"/>
      <c r="AQO113" s="181"/>
      <c r="AQP113" s="182"/>
      <c r="AQQ113" s="181"/>
      <c r="AQR113" s="182"/>
      <c r="AQS113" s="181"/>
      <c r="AQT113" s="182"/>
      <c r="AQU113" s="181"/>
      <c r="AQV113" s="182"/>
      <c r="AQW113" s="181"/>
      <c r="AQX113" s="182"/>
      <c r="AQY113" s="181"/>
      <c r="AQZ113" s="182"/>
      <c r="ARA113" s="181"/>
      <c r="ARB113" s="182"/>
      <c r="ARC113" s="181"/>
      <c r="ARD113" s="182"/>
      <c r="ARE113" s="181"/>
      <c r="ARF113" s="182"/>
      <c r="ARG113" s="181"/>
      <c r="ARH113" s="182"/>
      <c r="ARI113" s="181"/>
      <c r="ARJ113" s="182"/>
      <c r="ARK113" s="181"/>
      <c r="ARL113" s="182"/>
      <c r="ARM113" s="181"/>
      <c r="ARN113" s="182"/>
      <c r="ARO113" s="181"/>
      <c r="ARP113" s="182"/>
      <c r="ARQ113" s="181"/>
      <c r="ARR113" s="182"/>
      <c r="ARS113" s="181"/>
      <c r="ART113" s="182"/>
      <c r="ARU113" s="181"/>
      <c r="ARV113" s="182"/>
      <c r="ARW113" s="181"/>
      <c r="ARX113" s="182"/>
      <c r="ARY113" s="181"/>
      <c r="ARZ113" s="182"/>
      <c r="ASA113" s="181"/>
      <c r="ASB113" s="182"/>
      <c r="ASC113" s="181"/>
      <c r="ASD113" s="182"/>
      <c r="ASE113" s="181"/>
      <c r="ASF113" s="182"/>
      <c r="ASG113" s="181"/>
      <c r="ASH113" s="182"/>
      <c r="ASI113" s="181"/>
      <c r="ASJ113" s="182"/>
      <c r="ASK113" s="181"/>
      <c r="ASL113" s="182"/>
      <c r="ASM113" s="181"/>
      <c r="ASN113" s="182"/>
      <c r="ASO113" s="181"/>
      <c r="ASP113" s="182"/>
      <c r="ASQ113" s="181"/>
      <c r="ASR113" s="182"/>
      <c r="ASS113" s="181"/>
      <c r="AST113" s="182"/>
      <c r="ASU113" s="181"/>
      <c r="ASV113" s="182"/>
      <c r="ASW113" s="181"/>
      <c r="ASX113" s="182"/>
      <c r="ASY113" s="181"/>
      <c r="ASZ113" s="182"/>
      <c r="ATA113" s="181"/>
      <c r="ATB113" s="182"/>
      <c r="ATC113" s="181"/>
      <c r="ATD113" s="182"/>
      <c r="ATE113" s="181"/>
      <c r="ATF113" s="182"/>
      <c r="ATG113" s="181"/>
      <c r="ATH113" s="182"/>
      <c r="ATI113" s="181"/>
      <c r="ATJ113" s="182"/>
      <c r="ATK113" s="181"/>
      <c r="ATL113" s="182"/>
      <c r="ATM113" s="181"/>
      <c r="ATN113" s="182"/>
      <c r="ATO113" s="181"/>
      <c r="ATP113" s="182"/>
      <c r="ATQ113" s="181"/>
      <c r="ATR113" s="182"/>
      <c r="ATS113" s="181"/>
      <c r="ATT113" s="182"/>
      <c r="ATU113" s="181"/>
      <c r="ATV113" s="182"/>
      <c r="ATW113" s="181"/>
      <c r="ATX113" s="182"/>
      <c r="ATY113" s="181"/>
      <c r="ATZ113" s="182"/>
      <c r="AUA113" s="181"/>
      <c r="AUB113" s="182"/>
      <c r="AUC113" s="181"/>
      <c r="AUD113" s="182"/>
      <c r="AUE113" s="181"/>
      <c r="AUF113" s="182"/>
      <c r="AUG113" s="181"/>
      <c r="AUH113" s="182"/>
      <c r="AUI113" s="181"/>
      <c r="AUJ113" s="182"/>
      <c r="AUK113" s="181"/>
      <c r="AUL113" s="182"/>
      <c r="AUM113" s="181"/>
      <c r="AUN113" s="182"/>
      <c r="AUO113" s="181"/>
      <c r="AUP113" s="182"/>
      <c r="AUQ113" s="181"/>
      <c r="AUR113" s="182"/>
      <c r="AUS113" s="181"/>
      <c r="AUT113" s="182"/>
      <c r="AUU113" s="181"/>
      <c r="AUV113" s="182"/>
      <c r="AUW113" s="181"/>
      <c r="AUX113" s="182"/>
      <c r="AUY113" s="181"/>
      <c r="AUZ113" s="182"/>
      <c r="AVA113" s="181"/>
      <c r="AVB113" s="182"/>
      <c r="AVC113" s="181"/>
      <c r="AVD113" s="182"/>
      <c r="AVE113" s="181"/>
      <c r="AVF113" s="182"/>
      <c r="AVG113" s="181"/>
      <c r="AVH113" s="182"/>
      <c r="AVI113" s="181"/>
      <c r="AVJ113" s="182"/>
      <c r="AVK113" s="181"/>
      <c r="AVL113" s="182"/>
      <c r="AVM113" s="181"/>
      <c r="AVN113" s="182"/>
      <c r="AVO113" s="181"/>
      <c r="AVP113" s="182"/>
      <c r="AVQ113" s="181"/>
      <c r="AVR113" s="182"/>
      <c r="AVS113" s="181"/>
      <c r="AVT113" s="182"/>
      <c r="AVU113" s="181"/>
      <c r="AVV113" s="182"/>
      <c r="AVW113" s="181"/>
      <c r="AVX113" s="182"/>
      <c r="AVY113" s="181"/>
      <c r="AVZ113" s="182"/>
      <c r="AWA113" s="181"/>
      <c r="AWB113" s="182"/>
      <c r="AWC113" s="181"/>
      <c r="AWD113" s="182"/>
      <c r="AWE113" s="181"/>
      <c r="AWF113" s="182"/>
      <c r="AWG113" s="181"/>
      <c r="AWH113" s="182"/>
      <c r="AWI113" s="181"/>
      <c r="AWJ113" s="182"/>
      <c r="AWK113" s="181"/>
      <c r="AWL113" s="182"/>
      <c r="AWM113" s="181"/>
      <c r="AWN113" s="182"/>
      <c r="AWO113" s="181"/>
      <c r="AWP113" s="182"/>
      <c r="AWQ113" s="181"/>
      <c r="AWR113" s="182"/>
      <c r="AWS113" s="181"/>
      <c r="AWT113" s="182"/>
      <c r="AWU113" s="181"/>
      <c r="AWV113" s="182"/>
      <c r="AWW113" s="181"/>
      <c r="AWX113" s="182"/>
      <c r="AWY113" s="181"/>
      <c r="AWZ113" s="182"/>
      <c r="AXA113" s="181"/>
      <c r="AXB113" s="182"/>
      <c r="AXC113" s="181"/>
      <c r="AXD113" s="182"/>
      <c r="AXE113" s="181"/>
      <c r="AXF113" s="182"/>
      <c r="AXG113" s="181"/>
      <c r="AXH113" s="182"/>
      <c r="AXI113" s="181"/>
      <c r="AXJ113" s="182"/>
      <c r="AXK113" s="181"/>
      <c r="AXL113" s="182"/>
      <c r="AXM113" s="181"/>
      <c r="AXN113" s="182"/>
      <c r="AXO113" s="181"/>
      <c r="AXP113" s="182"/>
      <c r="AXQ113" s="181"/>
      <c r="AXR113" s="182"/>
      <c r="AXS113" s="181"/>
      <c r="AXT113" s="182"/>
      <c r="AXU113" s="181"/>
      <c r="AXV113" s="182"/>
      <c r="AXW113" s="181"/>
      <c r="AXX113" s="182"/>
      <c r="AXY113" s="181"/>
      <c r="AXZ113" s="182"/>
      <c r="AYA113" s="181"/>
      <c r="AYB113" s="182"/>
      <c r="AYC113" s="181"/>
      <c r="AYD113" s="182"/>
      <c r="AYE113" s="181"/>
      <c r="AYF113" s="182"/>
      <c r="AYG113" s="181"/>
      <c r="AYH113" s="182"/>
      <c r="AYI113" s="181"/>
      <c r="AYJ113" s="182"/>
      <c r="AYK113" s="181"/>
      <c r="AYL113" s="182"/>
      <c r="AYM113" s="181"/>
      <c r="AYN113" s="182"/>
      <c r="AYO113" s="181"/>
      <c r="AYP113" s="182"/>
      <c r="AYQ113" s="181"/>
      <c r="AYR113" s="182"/>
      <c r="AYS113" s="181"/>
      <c r="AYT113" s="182"/>
      <c r="AYU113" s="181"/>
      <c r="AYV113" s="182"/>
      <c r="AYW113" s="181"/>
      <c r="AYX113" s="182"/>
      <c r="AYY113" s="181"/>
      <c r="AYZ113" s="182"/>
      <c r="AZA113" s="181"/>
      <c r="AZB113" s="182"/>
      <c r="AZC113" s="181"/>
      <c r="AZD113" s="182"/>
      <c r="AZE113" s="181"/>
      <c r="AZF113" s="182"/>
      <c r="AZG113" s="181"/>
      <c r="AZH113" s="182"/>
      <c r="AZI113" s="181"/>
      <c r="AZJ113" s="182"/>
      <c r="AZK113" s="181"/>
      <c r="AZL113" s="182"/>
      <c r="AZM113" s="181"/>
      <c r="AZN113" s="182"/>
      <c r="AZO113" s="181"/>
      <c r="AZP113" s="182"/>
      <c r="AZQ113" s="181"/>
      <c r="AZR113" s="182"/>
      <c r="AZS113" s="181"/>
      <c r="AZT113" s="182"/>
      <c r="AZU113" s="181"/>
      <c r="AZV113" s="182"/>
      <c r="AZW113" s="181"/>
      <c r="AZX113" s="182"/>
      <c r="AZY113" s="181"/>
      <c r="AZZ113" s="182"/>
      <c r="BAA113" s="181"/>
      <c r="BAB113" s="182"/>
      <c r="BAC113" s="181"/>
      <c r="BAD113" s="182"/>
      <c r="BAE113" s="181"/>
      <c r="BAF113" s="182"/>
      <c r="BAG113" s="181"/>
      <c r="BAH113" s="182"/>
      <c r="BAI113" s="181"/>
      <c r="BAJ113" s="182"/>
      <c r="BAK113" s="181"/>
      <c r="BAL113" s="182"/>
      <c r="BAM113" s="181"/>
      <c r="BAN113" s="182"/>
      <c r="BAO113" s="181"/>
      <c r="BAP113" s="182"/>
      <c r="BAQ113" s="181"/>
      <c r="BAR113" s="182"/>
      <c r="BAS113" s="181"/>
      <c r="BAT113" s="182"/>
      <c r="BAU113" s="181"/>
      <c r="BAV113" s="182"/>
      <c r="BAW113" s="181"/>
      <c r="BAX113" s="182"/>
      <c r="BAY113" s="181"/>
      <c r="BAZ113" s="182"/>
      <c r="BBA113" s="181"/>
      <c r="BBB113" s="182"/>
      <c r="BBC113" s="181"/>
      <c r="BBD113" s="182"/>
      <c r="BBE113" s="181"/>
      <c r="BBF113" s="182"/>
      <c r="BBG113" s="181"/>
      <c r="BBH113" s="182"/>
      <c r="BBI113" s="181"/>
      <c r="BBJ113" s="182"/>
      <c r="BBK113" s="181"/>
      <c r="BBL113" s="182"/>
      <c r="BBM113" s="181"/>
      <c r="BBN113" s="182"/>
      <c r="BBO113" s="181"/>
      <c r="BBP113" s="182"/>
      <c r="BBQ113" s="181"/>
      <c r="BBR113" s="182"/>
      <c r="BBS113" s="181"/>
      <c r="BBT113" s="182"/>
      <c r="BBU113" s="181"/>
      <c r="BBV113" s="182"/>
      <c r="BBW113" s="181"/>
      <c r="BBX113" s="182"/>
      <c r="BBY113" s="181"/>
      <c r="BBZ113" s="182"/>
      <c r="BCA113" s="181"/>
      <c r="BCB113" s="182"/>
      <c r="BCC113" s="181"/>
      <c r="BCD113" s="182"/>
      <c r="BCE113" s="181"/>
      <c r="BCF113" s="182"/>
      <c r="BCG113" s="181"/>
      <c r="BCH113" s="182"/>
      <c r="BCI113" s="181"/>
      <c r="BCJ113" s="182"/>
      <c r="BCK113" s="181"/>
      <c r="BCL113" s="182"/>
      <c r="BCM113" s="181"/>
      <c r="BCN113" s="182"/>
      <c r="BCO113" s="181"/>
      <c r="BCP113" s="182"/>
      <c r="BCQ113" s="181"/>
      <c r="BCR113" s="182"/>
      <c r="BCS113" s="181"/>
      <c r="BCT113" s="182"/>
      <c r="BCU113" s="181"/>
      <c r="BCV113" s="182"/>
      <c r="BCW113" s="181"/>
      <c r="BCX113" s="182"/>
      <c r="BCY113" s="181"/>
      <c r="BCZ113" s="182"/>
      <c r="BDA113" s="181"/>
      <c r="BDB113" s="182"/>
      <c r="BDC113" s="181"/>
      <c r="BDD113" s="182"/>
      <c r="BDE113" s="181"/>
      <c r="BDF113" s="182"/>
      <c r="BDG113" s="181"/>
      <c r="BDH113" s="182"/>
      <c r="BDI113" s="181"/>
      <c r="BDJ113" s="182"/>
      <c r="BDK113" s="181"/>
      <c r="BDL113" s="182"/>
      <c r="BDM113" s="181"/>
      <c r="BDN113" s="182"/>
      <c r="BDO113" s="181"/>
      <c r="BDP113" s="182"/>
      <c r="BDQ113" s="181"/>
      <c r="BDR113" s="182"/>
      <c r="BDS113" s="181"/>
      <c r="BDT113" s="182"/>
      <c r="BDU113" s="181"/>
      <c r="BDV113" s="182"/>
      <c r="BDW113" s="181"/>
      <c r="BDX113" s="182"/>
      <c r="BDY113" s="181"/>
      <c r="BDZ113" s="182"/>
      <c r="BEA113" s="181"/>
      <c r="BEB113" s="182"/>
      <c r="BEC113" s="181"/>
      <c r="BED113" s="182"/>
      <c r="BEE113" s="181"/>
      <c r="BEF113" s="182"/>
      <c r="BEG113" s="181"/>
      <c r="BEH113" s="182"/>
      <c r="BEI113" s="181"/>
      <c r="BEJ113" s="182"/>
      <c r="BEK113" s="181"/>
      <c r="BEL113" s="182"/>
      <c r="BEM113" s="181"/>
      <c r="BEN113" s="182"/>
      <c r="BEO113" s="181"/>
      <c r="BEP113" s="182"/>
      <c r="BEQ113" s="181"/>
      <c r="BER113" s="182"/>
      <c r="BES113" s="181"/>
      <c r="BET113" s="182"/>
      <c r="BEU113" s="181"/>
      <c r="BEV113" s="182"/>
      <c r="BEW113" s="181"/>
      <c r="BEX113" s="182"/>
      <c r="BEY113" s="181"/>
      <c r="BEZ113" s="182"/>
      <c r="BFA113" s="181"/>
      <c r="BFB113" s="182"/>
      <c r="BFC113" s="181"/>
      <c r="BFD113" s="182"/>
      <c r="BFE113" s="181"/>
      <c r="BFF113" s="182"/>
      <c r="BFG113" s="181"/>
      <c r="BFH113" s="182"/>
      <c r="BFI113" s="181"/>
      <c r="BFJ113" s="182"/>
      <c r="BFK113" s="181"/>
      <c r="BFL113" s="182"/>
      <c r="BFM113" s="181"/>
      <c r="BFN113" s="182"/>
      <c r="BFO113" s="181"/>
      <c r="BFP113" s="182"/>
      <c r="BFQ113" s="181"/>
      <c r="BFR113" s="182"/>
      <c r="BFS113" s="181"/>
      <c r="BFT113" s="182"/>
      <c r="BFU113" s="181"/>
      <c r="BFV113" s="182"/>
      <c r="BFW113" s="181"/>
      <c r="BFX113" s="182"/>
      <c r="BFY113" s="181"/>
      <c r="BFZ113" s="182"/>
      <c r="BGA113" s="181"/>
      <c r="BGB113" s="182"/>
      <c r="BGC113" s="181"/>
      <c r="BGD113" s="182"/>
      <c r="BGE113" s="181"/>
      <c r="BGF113" s="182"/>
      <c r="BGG113" s="181"/>
      <c r="BGH113" s="182"/>
      <c r="BGI113" s="181"/>
      <c r="BGJ113" s="182"/>
      <c r="BGK113" s="181"/>
      <c r="BGL113" s="182"/>
      <c r="BGM113" s="181"/>
      <c r="BGN113" s="182"/>
      <c r="BGO113" s="181"/>
      <c r="BGP113" s="182"/>
      <c r="BGQ113" s="181"/>
      <c r="BGR113" s="182"/>
      <c r="BGS113" s="181"/>
      <c r="BGT113" s="182"/>
      <c r="BGU113" s="181"/>
      <c r="BGV113" s="182"/>
      <c r="BGW113" s="181"/>
      <c r="BGX113" s="182"/>
      <c r="BGY113" s="181"/>
      <c r="BGZ113" s="182"/>
      <c r="BHA113" s="181"/>
      <c r="BHB113" s="182"/>
      <c r="BHC113" s="181"/>
      <c r="BHD113" s="182"/>
      <c r="BHE113" s="181"/>
      <c r="BHF113" s="182"/>
      <c r="BHG113" s="181"/>
      <c r="BHH113" s="182"/>
      <c r="BHI113" s="181"/>
      <c r="BHJ113" s="182"/>
      <c r="BHK113" s="181"/>
      <c r="BHL113" s="182"/>
      <c r="BHM113" s="181"/>
      <c r="BHN113" s="182"/>
      <c r="BHO113" s="181"/>
      <c r="BHP113" s="182"/>
      <c r="BHQ113" s="181"/>
      <c r="BHR113" s="182"/>
      <c r="BHS113" s="181"/>
      <c r="BHT113" s="182"/>
      <c r="BHU113" s="181"/>
      <c r="BHV113" s="182"/>
      <c r="BHW113" s="181"/>
      <c r="BHX113" s="182"/>
      <c r="BHY113" s="181"/>
      <c r="BHZ113" s="182"/>
      <c r="BIA113" s="181"/>
      <c r="BIB113" s="182"/>
      <c r="BIC113" s="181"/>
      <c r="BID113" s="182"/>
      <c r="BIE113" s="181"/>
      <c r="BIF113" s="182"/>
      <c r="BIG113" s="181"/>
      <c r="BIH113" s="182"/>
      <c r="BII113" s="181"/>
      <c r="BIJ113" s="182"/>
      <c r="BIK113" s="181"/>
      <c r="BIL113" s="182"/>
      <c r="BIM113" s="181"/>
      <c r="BIN113" s="182"/>
      <c r="BIO113" s="181"/>
      <c r="BIP113" s="182"/>
      <c r="BIQ113" s="181"/>
      <c r="BIR113" s="182"/>
      <c r="BIS113" s="181"/>
      <c r="BIT113" s="182"/>
      <c r="BIU113" s="181"/>
      <c r="BIV113" s="182"/>
      <c r="BIW113" s="181"/>
      <c r="BIX113" s="182"/>
      <c r="BIY113" s="181"/>
      <c r="BIZ113" s="182"/>
      <c r="BJA113" s="181"/>
      <c r="BJB113" s="182"/>
      <c r="BJC113" s="181"/>
      <c r="BJD113" s="182"/>
      <c r="BJE113" s="181"/>
      <c r="BJF113" s="182"/>
      <c r="BJG113" s="181"/>
      <c r="BJH113" s="182"/>
      <c r="BJI113" s="181"/>
      <c r="BJJ113" s="182"/>
      <c r="BJK113" s="181"/>
      <c r="BJL113" s="182"/>
      <c r="BJM113" s="181"/>
      <c r="BJN113" s="182"/>
      <c r="BJO113" s="181"/>
      <c r="BJP113" s="182"/>
      <c r="BJQ113" s="181"/>
      <c r="BJR113" s="182"/>
      <c r="BJS113" s="181"/>
      <c r="BJT113" s="182"/>
      <c r="BJU113" s="181"/>
      <c r="BJV113" s="182"/>
      <c r="BJW113" s="181"/>
      <c r="BJX113" s="182"/>
      <c r="BJY113" s="181"/>
      <c r="BJZ113" s="182"/>
      <c r="BKA113" s="181"/>
      <c r="BKB113" s="182"/>
      <c r="BKC113" s="181"/>
      <c r="BKD113" s="182"/>
      <c r="BKE113" s="181"/>
      <c r="BKF113" s="182"/>
      <c r="BKG113" s="181"/>
      <c r="BKH113" s="182"/>
      <c r="BKI113" s="181"/>
      <c r="BKJ113" s="182"/>
      <c r="BKK113" s="181"/>
      <c r="BKL113" s="182"/>
      <c r="BKM113" s="181"/>
      <c r="BKN113" s="182"/>
      <c r="BKO113" s="181"/>
      <c r="BKP113" s="182"/>
      <c r="BKQ113" s="181"/>
      <c r="BKR113" s="182"/>
      <c r="BKS113" s="181"/>
      <c r="BKT113" s="182"/>
      <c r="BKU113" s="181"/>
      <c r="BKV113" s="182"/>
      <c r="BKW113" s="181"/>
      <c r="BKX113" s="182"/>
      <c r="BKY113" s="181"/>
      <c r="BKZ113" s="182"/>
      <c r="BLA113" s="181"/>
      <c r="BLB113" s="182"/>
      <c r="BLC113" s="181"/>
      <c r="BLD113" s="182"/>
      <c r="BLE113" s="181"/>
      <c r="BLF113" s="182"/>
      <c r="BLG113" s="181"/>
      <c r="BLH113" s="182"/>
      <c r="BLI113" s="181"/>
      <c r="BLJ113" s="182"/>
      <c r="BLK113" s="181"/>
      <c r="BLL113" s="182"/>
      <c r="BLM113" s="181"/>
      <c r="BLN113" s="182"/>
      <c r="BLO113" s="181"/>
      <c r="BLP113" s="182"/>
      <c r="BLQ113" s="181"/>
      <c r="BLR113" s="182"/>
      <c r="BLS113" s="181"/>
      <c r="BLT113" s="182"/>
      <c r="BLU113" s="181"/>
      <c r="BLV113" s="182"/>
      <c r="BLW113" s="181"/>
      <c r="BLX113" s="182"/>
      <c r="BLY113" s="181"/>
      <c r="BLZ113" s="182"/>
      <c r="BMA113" s="181"/>
      <c r="BMB113" s="182"/>
      <c r="BMC113" s="181"/>
      <c r="BMD113" s="182"/>
      <c r="BME113" s="181"/>
      <c r="BMF113" s="182"/>
      <c r="BMG113" s="181"/>
      <c r="BMH113" s="182"/>
      <c r="BMI113" s="181"/>
      <c r="BMJ113" s="182"/>
      <c r="BMK113" s="181"/>
      <c r="BML113" s="182"/>
      <c r="BMM113" s="181"/>
      <c r="BMN113" s="182"/>
      <c r="BMO113" s="181"/>
      <c r="BMP113" s="182"/>
      <c r="BMQ113" s="181"/>
      <c r="BMR113" s="182"/>
      <c r="BMS113" s="181"/>
      <c r="BMT113" s="182"/>
      <c r="BMU113" s="181"/>
      <c r="BMV113" s="182"/>
      <c r="BMW113" s="181"/>
      <c r="BMX113" s="182"/>
      <c r="BMY113" s="181"/>
      <c r="BMZ113" s="182"/>
      <c r="BNA113" s="181"/>
      <c r="BNB113" s="182"/>
      <c r="BNC113" s="181"/>
      <c r="BND113" s="182"/>
      <c r="BNE113" s="181"/>
      <c r="BNF113" s="182"/>
      <c r="BNG113" s="181"/>
      <c r="BNH113" s="182"/>
      <c r="BNI113" s="181"/>
      <c r="BNJ113" s="182"/>
      <c r="BNK113" s="181"/>
      <c r="BNL113" s="182"/>
      <c r="BNM113" s="181"/>
      <c r="BNN113" s="182"/>
      <c r="BNO113" s="181"/>
      <c r="BNP113" s="182"/>
      <c r="BNQ113" s="181"/>
      <c r="BNR113" s="182"/>
      <c r="BNS113" s="181"/>
      <c r="BNT113" s="182"/>
      <c r="BNU113" s="181"/>
      <c r="BNV113" s="182"/>
      <c r="BNW113" s="181"/>
      <c r="BNX113" s="182"/>
      <c r="BNY113" s="181"/>
      <c r="BNZ113" s="182"/>
      <c r="BOA113" s="181"/>
      <c r="BOB113" s="182"/>
      <c r="BOC113" s="181"/>
      <c r="BOD113" s="182"/>
      <c r="BOE113" s="181"/>
      <c r="BOF113" s="182"/>
      <c r="BOG113" s="181"/>
      <c r="BOH113" s="182"/>
      <c r="BOI113" s="181"/>
      <c r="BOJ113" s="182"/>
      <c r="BOK113" s="181"/>
      <c r="BOL113" s="182"/>
      <c r="BOM113" s="181"/>
      <c r="BON113" s="182"/>
      <c r="BOO113" s="181"/>
      <c r="BOP113" s="182"/>
      <c r="BOQ113" s="181"/>
      <c r="BOR113" s="182"/>
      <c r="BOS113" s="181"/>
      <c r="BOT113" s="182"/>
      <c r="BOU113" s="181"/>
      <c r="BOV113" s="182"/>
      <c r="BOW113" s="181"/>
      <c r="BOX113" s="182"/>
      <c r="BOY113" s="181"/>
      <c r="BOZ113" s="182"/>
      <c r="BPA113" s="181"/>
      <c r="BPB113" s="182"/>
      <c r="BPC113" s="181"/>
      <c r="BPD113" s="182"/>
      <c r="BPE113" s="181"/>
      <c r="BPF113" s="182"/>
      <c r="BPG113" s="181"/>
      <c r="BPH113" s="182"/>
      <c r="BPI113" s="181"/>
      <c r="BPJ113" s="182"/>
      <c r="BPK113" s="181"/>
      <c r="BPL113" s="182"/>
      <c r="BPM113" s="181"/>
      <c r="BPN113" s="182"/>
      <c r="BPO113" s="181"/>
      <c r="BPP113" s="182"/>
      <c r="BPQ113" s="181"/>
      <c r="BPR113" s="182"/>
      <c r="BPS113" s="181"/>
      <c r="BPT113" s="182"/>
      <c r="BPU113" s="181"/>
      <c r="BPV113" s="182"/>
      <c r="BPW113" s="181"/>
      <c r="BPX113" s="182"/>
      <c r="BPY113" s="181"/>
      <c r="BPZ113" s="182"/>
      <c r="BQA113" s="181"/>
      <c r="BQB113" s="182"/>
      <c r="BQC113" s="181"/>
      <c r="BQD113" s="182"/>
      <c r="BQE113" s="181"/>
      <c r="BQF113" s="182"/>
      <c r="BQG113" s="181"/>
      <c r="BQH113" s="182"/>
      <c r="BQI113" s="181"/>
      <c r="BQJ113" s="182"/>
      <c r="BQK113" s="181"/>
      <c r="BQL113" s="182"/>
      <c r="BQM113" s="181"/>
      <c r="BQN113" s="182"/>
      <c r="BQO113" s="181"/>
      <c r="BQP113" s="182"/>
      <c r="BQQ113" s="181"/>
      <c r="BQR113" s="182"/>
      <c r="BQS113" s="181"/>
      <c r="BQT113" s="182"/>
      <c r="BQU113" s="181"/>
      <c r="BQV113" s="182"/>
      <c r="BQW113" s="181"/>
      <c r="BQX113" s="182"/>
      <c r="BQY113" s="181"/>
      <c r="BQZ113" s="182"/>
      <c r="BRA113" s="181"/>
      <c r="BRB113" s="182"/>
      <c r="BRC113" s="181"/>
      <c r="BRD113" s="182"/>
      <c r="BRE113" s="181"/>
      <c r="BRF113" s="182"/>
      <c r="BRG113" s="181"/>
      <c r="BRH113" s="182"/>
      <c r="BRI113" s="181"/>
      <c r="BRJ113" s="182"/>
      <c r="BRK113" s="181"/>
      <c r="BRL113" s="182"/>
      <c r="BRM113" s="181"/>
      <c r="BRN113" s="182"/>
      <c r="BRO113" s="181"/>
      <c r="BRP113" s="182"/>
      <c r="BRQ113" s="181"/>
      <c r="BRR113" s="182"/>
      <c r="BRS113" s="181"/>
      <c r="BRT113" s="182"/>
      <c r="BRU113" s="181"/>
      <c r="BRV113" s="182"/>
      <c r="BRW113" s="181"/>
      <c r="BRX113" s="182"/>
      <c r="BRY113" s="181"/>
      <c r="BRZ113" s="182"/>
      <c r="BSA113" s="181"/>
      <c r="BSB113" s="182"/>
      <c r="BSC113" s="181"/>
      <c r="BSD113" s="182"/>
      <c r="BSE113" s="181"/>
      <c r="BSF113" s="182"/>
      <c r="BSG113" s="181"/>
      <c r="BSH113" s="182"/>
      <c r="BSI113" s="181"/>
      <c r="BSJ113" s="182"/>
      <c r="BSK113" s="181"/>
      <c r="BSL113" s="182"/>
      <c r="BSM113" s="181"/>
      <c r="BSN113" s="182"/>
      <c r="BSO113" s="181"/>
      <c r="BSP113" s="182"/>
      <c r="BSQ113" s="181"/>
      <c r="BSR113" s="182"/>
      <c r="BSS113" s="181"/>
      <c r="BST113" s="182"/>
      <c r="BSU113" s="181"/>
      <c r="BSV113" s="182"/>
      <c r="BSW113" s="181"/>
      <c r="BSX113" s="182"/>
      <c r="BSY113" s="181"/>
      <c r="BSZ113" s="182"/>
      <c r="BTA113" s="181"/>
      <c r="BTB113" s="182"/>
      <c r="BTC113" s="181"/>
      <c r="BTD113" s="182"/>
      <c r="BTE113" s="181"/>
      <c r="BTF113" s="182"/>
      <c r="BTG113" s="181"/>
      <c r="BTH113" s="182"/>
      <c r="BTI113" s="181"/>
      <c r="BTJ113" s="182"/>
      <c r="BTK113" s="181"/>
      <c r="BTL113" s="182"/>
      <c r="BTM113" s="181"/>
      <c r="BTN113" s="182"/>
      <c r="BTO113" s="181"/>
      <c r="BTP113" s="182"/>
      <c r="BTQ113" s="181"/>
      <c r="BTR113" s="182"/>
      <c r="BTS113" s="181"/>
      <c r="BTT113" s="182"/>
      <c r="BTU113" s="181"/>
      <c r="BTV113" s="182"/>
      <c r="BTW113" s="181"/>
      <c r="BTX113" s="182"/>
      <c r="BTY113" s="181"/>
      <c r="BTZ113" s="182"/>
      <c r="BUA113" s="181"/>
      <c r="BUB113" s="182"/>
      <c r="BUC113" s="181"/>
      <c r="BUD113" s="182"/>
      <c r="BUE113" s="181"/>
      <c r="BUF113" s="182"/>
      <c r="BUG113" s="181"/>
      <c r="BUH113" s="182"/>
      <c r="BUI113" s="181"/>
      <c r="BUJ113" s="182"/>
      <c r="BUK113" s="181"/>
      <c r="BUL113" s="182"/>
      <c r="BUM113" s="181"/>
      <c r="BUN113" s="182"/>
      <c r="BUO113" s="181"/>
      <c r="BUP113" s="182"/>
      <c r="BUQ113" s="181"/>
      <c r="BUR113" s="182"/>
      <c r="BUS113" s="181"/>
      <c r="BUT113" s="182"/>
      <c r="BUU113" s="181"/>
      <c r="BUV113" s="182"/>
      <c r="BUW113" s="181"/>
      <c r="BUX113" s="182"/>
      <c r="BUY113" s="181"/>
      <c r="BUZ113" s="182"/>
      <c r="BVA113" s="181"/>
      <c r="BVB113" s="182"/>
      <c r="BVC113" s="181"/>
      <c r="BVD113" s="182"/>
      <c r="BVE113" s="181"/>
      <c r="BVF113" s="182"/>
      <c r="BVG113" s="181"/>
      <c r="BVH113" s="182"/>
      <c r="BVI113" s="181"/>
      <c r="BVJ113" s="182"/>
      <c r="BVK113" s="181"/>
      <c r="BVL113" s="182"/>
      <c r="BVM113" s="181"/>
      <c r="BVN113" s="182"/>
      <c r="BVO113" s="181"/>
      <c r="BVP113" s="182"/>
      <c r="BVQ113" s="181"/>
      <c r="BVR113" s="182"/>
      <c r="BVS113" s="181"/>
      <c r="BVT113" s="182"/>
      <c r="BVU113" s="181"/>
      <c r="BVV113" s="182"/>
      <c r="BVW113" s="181"/>
      <c r="BVX113" s="182"/>
      <c r="BVY113" s="181"/>
      <c r="BVZ113" s="182"/>
      <c r="BWA113" s="181"/>
      <c r="BWB113" s="182"/>
      <c r="BWC113" s="181"/>
      <c r="BWD113" s="182"/>
      <c r="BWE113" s="181"/>
      <c r="BWF113" s="182"/>
      <c r="BWG113" s="181"/>
      <c r="BWH113" s="182"/>
      <c r="BWI113" s="181"/>
      <c r="BWJ113" s="182"/>
      <c r="BWK113" s="181"/>
      <c r="BWL113" s="182"/>
      <c r="BWM113" s="181"/>
      <c r="BWN113" s="182"/>
      <c r="BWO113" s="181"/>
      <c r="BWP113" s="182"/>
      <c r="BWQ113" s="181"/>
      <c r="BWR113" s="182"/>
      <c r="BWS113" s="181"/>
      <c r="BWT113" s="182"/>
      <c r="BWU113" s="181"/>
      <c r="BWV113" s="182"/>
      <c r="BWW113" s="181"/>
      <c r="BWX113" s="182"/>
      <c r="BWY113" s="181"/>
      <c r="BWZ113" s="182"/>
      <c r="BXA113" s="181"/>
      <c r="BXB113" s="182"/>
      <c r="BXC113" s="181"/>
      <c r="BXD113" s="182"/>
      <c r="BXE113" s="181"/>
      <c r="BXF113" s="182"/>
      <c r="BXG113" s="181"/>
      <c r="BXH113" s="182"/>
      <c r="BXI113" s="181"/>
      <c r="BXJ113" s="182"/>
      <c r="BXK113" s="181"/>
      <c r="BXL113" s="182"/>
      <c r="BXM113" s="181"/>
      <c r="BXN113" s="182"/>
      <c r="BXO113" s="181"/>
      <c r="BXP113" s="182"/>
      <c r="BXQ113" s="181"/>
      <c r="BXR113" s="182"/>
      <c r="BXS113" s="181"/>
      <c r="BXT113" s="182"/>
      <c r="BXU113" s="181"/>
      <c r="BXV113" s="182"/>
      <c r="BXW113" s="181"/>
      <c r="BXX113" s="182"/>
      <c r="BXY113" s="181"/>
      <c r="BXZ113" s="182"/>
      <c r="BYA113" s="181"/>
      <c r="BYB113" s="182"/>
      <c r="BYC113" s="181"/>
      <c r="BYD113" s="182"/>
      <c r="BYE113" s="181"/>
      <c r="BYF113" s="182"/>
      <c r="BYG113" s="181"/>
      <c r="BYH113" s="182"/>
      <c r="BYI113" s="181"/>
      <c r="BYJ113" s="182"/>
      <c r="BYK113" s="181"/>
      <c r="BYL113" s="182"/>
      <c r="BYM113" s="181"/>
      <c r="BYN113" s="182"/>
      <c r="BYO113" s="181"/>
      <c r="BYP113" s="182"/>
      <c r="BYQ113" s="181"/>
      <c r="BYR113" s="182"/>
      <c r="BYS113" s="181"/>
      <c r="BYT113" s="182"/>
      <c r="BYU113" s="181"/>
      <c r="BYV113" s="182"/>
      <c r="BYW113" s="181"/>
      <c r="BYX113" s="182"/>
      <c r="BYY113" s="181"/>
      <c r="BYZ113" s="182"/>
      <c r="BZA113" s="181"/>
      <c r="BZB113" s="182"/>
      <c r="BZC113" s="181"/>
      <c r="BZD113" s="182"/>
      <c r="BZE113" s="181"/>
      <c r="BZF113" s="182"/>
      <c r="BZG113" s="181"/>
      <c r="BZH113" s="182"/>
      <c r="BZI113" s="181"/>
      <c r="BZJ113" s="182"/>
      <c r="BZK113" s="181"/>
      <c r="BZL113" s="182"/>
      <c r="BZM113" s="181"/>
      <c r="BZN113" s="182"/>
      <c r="BZO113" s="181"/>
      <c r="BZP113" s="182"/>
      <c r="BZQ113" s="181"/>
      <c r="BZR113" s="182"/>
      <c r="BZS113" s="181"/>
      <c r="BZT113" s="182"/>
      <c r="BZU113" s="181"/>
      <c r="BZV113" s="182"/>
      <c r="BZW113" s="181"/>
      <c r="BZX113" s="182"/>
      <c r="BZY113" s="181"/>
      <c r="BZZ113" s="182"/>
      <c r="CAA113" s="181"/>
      <c r="CAB113" s="182"/>
      <c r="CAC113" s="181"/>
      <c r="CAD113" s="182"/>
      <c r="CAE113" s="181"/>
      <c r="CAF113" s="182"/>
      <c r="CAG113" s="181"/>
      <c r="CAH113" s="182"/>
      <c r="CAI113" s="181"/>
      <c r="CAJ113" s="182"/>
      <c r="CAK113" s="181"/>
      <c r="CAL113" s="182"/>
      <c r="CAM113" s="181"/>
      <c r="CAN113" s="182"/>
      <c r="CAO113" s="181"/>
      <c r="CAP113" s="182"/>
      <c r="CAQ113" s="181"/>
      <c r="CAR113" s="182"/>
      <c r="CAS113" s="181"/>
      <c r="CAT113" s="182"/>
      <c r="CAU113" s="181"/>
      <c r="CAV113" s="182"/>
      <c r="CAW113" s="181"/>
      <c r="CAX113" s="182"/>
      <c r="CAY113" s="181"/>
      <c r="CAZ113" s="182"/>
      <c r="CBA113" s="181"/>
      <c r="CBB113" s="182"/>
      <c r="CBC113" s="181"/>
      <c r="CBD113" s="182"/>
      <c r="CBE113" s="181"/>
      <c r="CBF113" s="182"/>
      <c r="CBG113" s="181"/>
      <c r="CBH113" s="182"/>
      <c r="CBI113" s="181"/>
      <c r="CBJ113" s="182"/>
      <c r="CBK113" s="181"/>
      <c r="CBL113" s="182"/>
      <c r="CBM113" s="181"/>
      <c r="CBN113" s="182"/>
      <c r="CBO113" s="181"/>
      <c r="CBP113" s="182"/>
      <c r="CBQ113" s="181"/>
      <c r="CBR113" s="182"/>
      <c r="CBS113" s="181"/>
      <c r="CBT113" s="182"/>
      <c r="CBU113" s="181"/>
      <c r="CBV113" s="182"/>
      <c r="CBW113" s="181"/>
      <c r="CBX113" s="182"/>
      <c r="CBY113" s="181"/>
      <c r="CBZ113" s="182"/>
      <c r="CCA113" s="181"/>
      <c r="CCB113" s="182"/>
      <c r="CCC113" s="181"/>
      <c r="CCD113" s="182"/>
      <c r="CCE113" s="181"/>
      <c r="CCF113" s="182"/>
      <c r="CCG113" s="181"/>
      <c r="CCH113" s="182"/>
      <c r="CCI113" s="181"/>
      <c r="CCJ113" s="182"/>
      <c r="CCK113" s="181"/>
      <c r="CCL113" s="182"/>
      <c r="CCM113" s="181"/>
      <c r="CCN113" s="182"/>
      <c r="CCO113" s="181"/>
      <c r="CCP113" s="182"/>
      <c r="CCQ113" s="181"/>
      <c r="CCR113" s="182"/>
      <c r="CCS113" s="181"/>
      <c r="CCT113" s="182"/>
      <c r="CCU113" s="181"/>
      <c r="CCV113" s="182"/>
      <c r="CCW113" s="181"/>
      <c r="CCX113" s="182"/>
      <c r="CCY113" s="181"/>
      <c r="CCZ113" s="182"/>
      <c r="CDA113" s="181"/>
      <c r="CDB113" s="182"/>
      <c r="CDC113" s="181"/>
      <c r="CDD113" s="182"/>
      <c r="CDE113" s="181"/>
      <c r="CDF113" s="182"/>
      <c r="CDG113" s="181"/>
      <c r="CDH113" s="182"/>
      <c r="CDI113" s="181"/>
      <c r="CDJ113" s="182"/>
      <c r="CDK113" s="181"/>
      <c r="CDL113" s="182"/>
      <c r="CDM113" s="181"/>
      <c r="CDN113" s="182"/>
      <c r="CDO113" s="181"/>
      <c r="CDP113" s="182"/>
      <c r="CDQ113" s="181"/>
      <c r="CDR113" s="182"/>
      <c r="CDS113" s="181"/>
      <c r="CDT113" s="182"/>
      <c r="CDU113" s="181"/>
      <c r="CDV113" s="182"/>
      <c r="CDW113" s="181"/>
      <c r="CDX113" s="182"/>
      <c r="CDY113" s="181"/>
      <c r="CDZ113" s="182"/>
      <c r="CEA113" s="181"/>
      <c r="CEB113" s="182"/>
      <c r="CEC113" s="181"/>
      <c r="CED113" s="182"/>
      <c r="CEE113" s="181"/>
      <c r="CEF113" s="182"/>
      <c r="CEG113" s="181"/>
      <c r="CEH113" s="182"/>
      <c r="CEI113" s="181"/>
      <c r="CEJ113" s="182"/>
      <c r="CEK113" s="181"/>
      <c r="CEL113" s="182"/>
      <c r="CEM113" s="181"/>
      <c r="CEN113" s="182"/>
      <c r="CEO113" s="181"/>
      <c r="CEP113" s="182"/>
      <c r="CEQ113" s="181"/>
      <c r="CER113" s="182"/>
      <c r="CES113" s="181"/>
      <c r="CET113" s="182"/>
      <c r="CEU113" s="181"/>
      <c r="CEV113" s="182"/>
      <c r="CEW113" s="181"/>
      <c r="CEX113" s="182"/>
      <c r="CEY113" s="181"/>
      <c r="CEZ113" s="182"/>
      <c r="CFA113" s="181"/>
      <c r="CFB113" s="182"/>
      <c r="CFC113" s="181"/>
      <c r="CFD113" s="182"/>
      <c r="CFE113" s="181"/>
      <c r="CFF113" s="182"/>
      <c r="CFG113" s="181"/>
      <c r="CFH113" s="182"/>
      <c r="CFI113" s="181"/>
      <c r="CFJ113" s="182"/>
      <c r="CFK113" s="181"/>
      <c r="CFL113" s="182"/>
      <c r="CFM113" s="181"/>
      <c r="CFN113" s="182"/>
      <c r="CFO113" s="181"/>
      <c r="CFP113" s="182"/>
      <c r="CFQ113" s="181"/>
      <c r="CFR113" s="182"/>
      <c r="CFS113" s="181"/>
      <c r="CFT113" s="182"/>
      <c r="CFU113" s="181"/>
      <c r="CFV113" s="182"/>
      <c r="CFW113" s="181"/>
      <c r="CFX113" s="182"/>
      <c r="CFY113" s="181"/>
      <c r="CFZ113" s="182"/>
      <c r="CGA113" s="181"/>
      <c r="CGB113" s="182"/>
      <c r="CGC113" s="181"/>
      <c r="CGD113" s="182"/>
      <c r="CGE113" s="181"/>
      <c r="CGF113" s="182"/>
      <c r="CGG113" s="181"/>
      <c r="CGH113" s="182"/>
      <c r="CGI113" s="181"/>
      <c r="CGJ113" s="182"/>
      <c r="CGK113" s="181"/>
      <c r="CGL113" s="182"/>
      <c r="CGM113" s="181"/>
      <c r="CGN113" s="182"/>
      <c r="CGO113" s="181"/>
      <c r="CGP113" s="182"/>
      <c r="CGQ113" s="181"/>
      <c r="CGR113" s="182"/>
      <c r="CGS113" s="181"/>
      <c r="CGT113" s="182"/>
      <c r="CGU113" s="181"/>
      <c r="CGV113" s="182"/>
      <c r="CGW113" s="181"/>
      <c r="CGX113" s="182"/>
      <c r="CGY113" s="181"/>
      <c r="CGZ113" s="182"/>
      <c r="CHA113" s="181"/>
      <c r="CHB113" s="182"/>
      <c r="CHC113" s="181"/>
      <c r="CHD113" s="182"/>
      <c r="CHE113" s="181"/>
      <c r="CHF113" s="182"/>
      <c r="CHG113" s="181"/>
      <c r="CHH113" s="182"/>
      <c r="CHI113" s="181"/>
      <c r="CHJ113" s="182"/>
      <c r="CHK113" s="181"/>
      <c r="CHL113" s="182"/>
      <c r="CHM113" s="181"/>
      <c r="CHN113" s="182"/>
      <c r="CHO113" s="181"/>
      <c r="CHP113" s="182"/>
      <c r="CHQ113" s="181"/>
      <c r="CHR113" s="182"/>
      <c r="CHS113" s="181"/>
      <c r="CHT113" s="182"/>
      <c r="CHU113" s="181"/>
      <c r="CHV113" s="182"/>
      <c r="CHW113" s="181"/>
      <c r="CHX113" s="182"/>
      <c r="CHY113" s="181"/>
      <c r="CHZ113" s="182"/>
      <c r="CIA113" s="181"/>
      <c r="CIB113" s="182"/>
      <c r="CIC113" s="181"/>
      <c r="CID113" s="182"/>
      <c r="CIE113" s="181"/>
      <c r="CIF113" s="182"/>
      <c r="CIG113" s="181"/>
      <c r="CIH113" s="182"/>
      <c r="CII113" s="181"/>
      <c r="CIJ113" s="182"/>
      <c r="CIK113" s="181"/>
      <c r="CIL113" s="182"/>
      <c r="CIM113" s="181"/>
      <c r="CIN113" s="182"/>
      <c r="CIO113" s="181"/>
      <c r="CIP113" s="182"/>
      <c r="CIQ113" s="181"/>
      <c r="CIR113" s="182"/>
      <c r="CIS113" s="181"/>
      <c r="CIT113" s="182"/>
      <c r="CIU113" s="181"/>
      <c r="CIV113" s="182"/>
      <c r="CIW113" s="181"/>
      <c r="CIX113" s="182"/>
      <c r="CIY113" s="181"/>
      <c r="CIZ113" s="182"/>
      <c r="CJA113" s="181"/>
      <c r="CJB113" s="182"/>
      <c r="CJC113" s="181"/>
      <c r="CJD113" s="182"/>
      <c r="CJE113" s="181"/>
      <c r="CJF113" s="182"/>
      <c r="CJG113" s="181"/>
      <c r="CJH113" s="182"/>
      <c r="CJI113" s="181"/>
      <c r="CJJ113" s="182"/>
      <c r="CJK113" s="181"/>
      <c r="CJL113" s="182"/>
      <c r="CJM113" s="181"/>
      <c r="CJN113" s="182"/>
      <c r="CJO113" s="181"/>
      <c r="CJP113" s="182"/>
      <c r="CJQ113" s="181"/>
      <c r="CJR113" s="182"/>
      <c r="CJS113" s="181"/>
      <c r="CJT113" s="182"/>
      <c r="CJU113" s="181"/>
      <c r="CJV113" s="182"/>
      <c r="CJW113" s="181"/>
      <c r="CJX113" s="182"/>
      <c r="CJY113" s="181"/>
      <c r="CJZ113" s="182"/>
      <c r="CKA113" s="181"/>
      <c r="CKB113" s="182"/>
      <c r="CKC113" s="181"/>
      <c r="CKD113" s="182"/>
      <c r="CKE113" s="181"/>
      <c r="CKF113" s="182"/>
      <c r="CKG113" s="181"/>
      <c r="CKH113" s="182"/>
      <c r="CKI113" s="181"/>
      <c r="CKJ113" s="182"/>
      <c r="CKK113" s="181"/>
      <c r="CKL113" s="182"/>
      <c r="CKM113" s="181"/>
      <c r="CKN113" s="182"/>
      <c r="CKO113" s="181"/>
      <c r="CKP113" s="182"/>
      <c r="CKQ113" s="181"/>
      <c r="CKR113" s="182"/>
      <c r="CKS113" s="181"/>
      <c r="CKT113" s="182"/>
      <c r="CKU113" s="181"/>
      <c r="CKV113" s="182"/>
      <c r="CKW113" s="181"/>
      <c r="CKX113" s="182"/>
      <c r="CKY113" s="181"/>
      <c r="CKZ113" s="182"/>
      <c r="CLA113" s="181"/>
      <c r="CLB113" s="182"/>
      <c r="CLC113" s="181"/>
      <c r="CLD113" s="182"/>
      <c r="CLE113" s="181"/>
      <c r="CLF113" s="182"/>
      <c r="CLG113" s="181"/>
      <c r="CLH113" s="182"/>
      <c r="CLI113" s="181"/>
      <c r="CLJ113" s="182"/>
      <c r="CLK113" s="181"/>
      <c r="CLL113" s="182"/>
      <c r="CLM113" s="181"/>
      <c r="CLN113" s="182"/>
      <c r="CLO113" s="181"/>
      <c r="CLP113" s="182"/>
      <c r="CLQ113" s="181"/>
      <c r="CLR113" s="182"/>
      <c r="CLS113" s="181"/>
      <c r="CLT113" s="182"/>
      <c r="CLU113" s="181"/>
      <c r="CLV113" s="182"/>
      <c r="CLW113" s="181"/>
      <c r="CLX113" s="182"/>
      <c r="CLY113" s="181"/>
      <c r="CLZ113" s="182"/>
      <c r="CMA113" s="181"/>
      <c r="CMB113" s="182"/>
      <c r="CMC113" s="181"/>
      <c r="CMD113" s="182"/>
      <c r="CME113" s="181"/>
      <c r="CMF113" s="182"/>
      <c r="CMG113" s="181"/>
      <c r="CMH113" s="182"/>
      <c r="CMI113" s="181"/>
      <c r="CMJ113" s="182"/>
      <c r="CMK113" s="181"/>
      <c r="CML113" s="182"/>
      <c r="CMM113" s="181"/>
      <c r="CMN113" s="182"/>
      <c r="CMO113" s="181"/>
      <c r="CMP113" s="182"/>
      <c r="CMQ113" s="181"/>
      <c r="CMR113" s="182"/>
      <c r="CMS113" s="181"/>
      <c r="CMT113" s="182"/>
      <c r="CMU113" s="181"/>
      <c r="CMV113" s="182"/>
      <c r="CMW113" s="181"/>
      <c r="CMX113" s="182"/>
      <c r="CMY113" s="181"/>
      <c r="CMZ113" s="182"/>
      <c r="CNA113" s="181"/>
      <c r="CNB113" s="182"/>
      <c r="CNC113" s="181"/>
      <c r="CND113" s="182"/>
      <c r="CNE113" s="181"/>
      <c r="CNF113" s="182"/>
      <c r="CNG113" s="181"/>
      <c r="CNH113" s="182"/>
      <c r="CNI113" s="181"/>
      <c r="CNJ113" s="182"/>
      <c r="CNK113" s="181"/>
      <c r="CNL113" s="182"/>
      <c r="CNM113" s="181"/>
      <c r="CNN113" s="182"/>
      <c r="CNO113" s="181"/>
      <c r="CNP113" s="182"/>
      <c r="CNQ113" s="181"/>
      <c r="CNR113" s="182"/>
      <c r="CNS113" s="181"/>
      <c r="CNT113" s="182"/>
      <c r="CNU113" s="181"/>
      <c r="CNV113" s="182"/>
      <c r="CNW113" s="181"/>
      <c r="CNX113" s="182"/>
      <c r="CNY113" s="181"/>
      <c r="CNZ113" s="182"/>
      <c r="COA113" s="181"/>
      <c r="COB113" s="182"/>
      <c r="COC113" s="181"/>
      <c r="COD113" s="182"/>
      <c r="COE113" s="181"/>
      <c r="COF113" s="182"/>
      <c r="COG113" s="181"/>
      <c r="COH113" s="182"/>
      <c r="COI113" s="181"/>
      <c r="COJ113" s="182"/>
      <c r="COK113" s="181"/>
      <c r="COL113" s="182"/>
      <c r="COM113" s="181"/>
      <c r="CON113" s="182"/>
      <c r="COO113" s="181"/>
      <c r="COP113" s="182"/>
      <c r="COQ113" s="181"/>
      <c r="COR113" s="182"/>
      <c r="COS113" s="181"/>
      <c r="COT113" s="182"/>
      <c r="COU113" s="181"/>
      <c r="COV113" s="182"/>
      <c r="COW113" s="181"/>
      <c r="COX113" s="182"/>
      <c r="COY113" s="181"/>
      <c r="COZ113" s="182"/>
      <c r="CPA113" s="181"/>
      <c r="CPB113" s="182"/>
      <c r="CPC113" s="181"/>
      <c r="CPD113" s="182"/>
      <c r="CPE113" s="181"/>
      <c r="CPF113" s="182"/>
      <c r="CPG113" s="181"/>
      <c r="CPH113" s="182"/>
      <c r="CPI113" s="181"/>
      <c r="CPJ113" s="182"/>
      <c r="CPK113" s="181"/>
      <c r="CPL113" s="182"/>
      <c r="CPM113" s="181"/>
      <c r="CPN113" s="182"/>
      <c r="CPO113" s="181"/>
      <c r="CPP113" s="182"/>
      <c r="CPQ113" s="181"/>
      <c r="CPR113" s="182"/>
      <c r="CPS113" s="181"/>
      <c r="CPT113" s="182"/>
      <c r="CPU113" s="181"/>
      <c r="CPV113" s="182"/>
      <c r="CPW113" s="181"/>
      <c r="CPX113" s="182"/>
      <c r="CPY113" s="181"/>
      <c r="CPZ113" s="182"/>
      <c r="CQA113" s="181"/>
      <c r="CQB113" s="182"/>
      <c r="CQC113" s="181"/>
      <c r="CQD113" s="182"/>
      <c r="CQE113" s="181"/>
      <c r="CQF113" s="182"/>
      <c r="CQG113" s="181"/>
      <c r="CQH113" s="182"/>
      <c r="CQI113" s="181"/>
      <c r="CQJ113" s="182"/>
      <c r="CQK113" s="181"/>
      <c r="CQL113" s="182"/>
      <c r="CQM113" s="181"/>
      <c r="CQN113" s="182"/>
      <c r="CQO113" s="181"/>
      <c r="CQP113" s="182"/>
      <c r="CQQ113" s="181"/>
      <c r="CQR113" s="182"/>
      <c r="CQS113" s="181"/>
      <c r="CQT113" s="182"/>
      <c r="CQU113" s="181"/>
      <c r="CQV113" s="182"/>
      <c r="CQW113" s="181"/>
      <c r="CQX113" s="182"/>
      <c r="CQY113" s="181"/>
      <c r="CQZ113" s="182"/>
      <c r="CRA113" s="181"/>
      <c r="CRB113" s="182"/>
      <c r="CRC113" s="181"/>
      <c r="CRD113" s="182"/>
      <c r="CRE113" s="181"/>
      <c r="CRF113" s="182"/>
      <c r="CRG113" s="181"/>
      <c r="CRH113" s="182"/>
      <c r="CRI113" s="181"/>
      <c r="CRJ113" s="182"/>
      <c r="CRK113" s="181"/>
      <c r="CRL113" s="182"/>
      <c r="CRM113" s="181"/>
      <c r="CRN113" s="182"/>
      <c r="CRO113" s="181"/>
      <c r="CRP113" s="182"/>
      <c r="CRQ113" s="181"/>
      <c r="CRR113" s="182"/>
      <c r="CRS113" s="181"/>
      <c r="CRT113" s="182"/>
      <c r="CRU113" s="181"/>
      <c r="CRV113" s="182"/>
      <c r="CRW113" s="181"/>
      <c r="CRX113" s="182"/>
      <c r="CRY113" s="181"/>
      <c r="CRZ113" s="182"/>
      <c r="CSA113" s="181"/>
      <c r="CSB113" s="182"/>
      <c r="CSC113" s="181"/>
      <c r="CSD113" s="182"/>
      <c r="CSE113" s="181"/>
      <c r="CSF113" s="182"/>
      <c r="CSG113" s="181"/>
      <c r="CSH113" s="182"/>
      <c r="CSI113" s="181"/>
      <c r="CSJ113" s="182"/>
      <c r="CSK113" s="181"/>
      <c r="CSL113" s="182"/>
      <c r="CSM113" s="181"/>
      <c r="CSN113" s="182"/>
      <c r="CSO113" s="181"/>
      <c r="CSP113" s="182"/>
      <c r="CSQ113" s="181"/>
      <c r="CSR113" s="182"/>
      <c r="CSS113" s="181"/>
      <c r="CST113" s="182"/>
      <c r="CSU113" s="181"/>
      <c r="CSV113" s="182"/>
      <c r="CSW113" s="181"/>
      <c r="CSX113" s="182"/>
      <c r="CSY113" s="181"/>
      <c r="CSZ113" s="182"/>
      <c r="CTA113" s="181"/>
      <c r="CTB113" s="182"/>
      <c r="CTC113" s="181"/>
      <c r="CTD113" s="182"/>
      <c r="CTE113" s="181"/>
      <c r="CTF113" s="182"/>
      <c r="CTG113" s="181"/>
      <c r="CTH113" s="182"/>
      <c r="CTI113" s="181"/>
      <c r="CTJ113" s="182"/>
      <c r="CTK113" s="181"/>
      <c r="CTL113" s="182"/>
      <c r="CTM113" s="181"/>
      <c r="CTN113" s="182"/>
      <c r="CTO113" s="181"/>
      <c r="CTP113" s="182"/>
      <c r="CTQ113" s="181"/>
      <c r="CTR113" s="182"/>
      <c r="CTS113" s="181"/>
      <c r="CTT113" s="182"/>
      <c r="CTU113" s="181"/>
      <c r="CTV113" s="182"/>
      <c r="CTW113" s="181"/>
      <c r="CTX113" s="182"/>
      <c r="CTY113" s="181"/>
      <c r="CTZ113" s="182"/>
      <c r="CUA113" s="181"/>
      <c r="CUB113" s="182"/>
      <c r="CUC113" s="181"/>
      <c r="CUD113" s="182"/>
      <c r="CUE113" s="181"/>
      <c r="CUF113" s="182"/>
      <c r="CUG113" s="181"/>
      <c r="CUH113" s="182"/>
      <c r="CUI113" s="181"/>
      <c r="CUJ113" s="182"/>
      <c r="CUK113" s="181"/>
      <c r="CUL113" s="182"/>
      <c r="CUM113" s="181"/>
      <c r="CUN113" s="182"/>
      <c r="CUO113" s="181"/>
      <c r="CUP113" s="182"/>
      <c r="CUQ113" s="181"/>
      <c r="CUR113" s="182"/>
      <c r="CUS113" s="181"/>
      <c r="CUT113" s="182"/>
      <c r="CUU113" s="181"/>
      <c r="CUV113" s="182"/>
      <c r="CUW113" s="181"/>
      <c r="CUX113" s="182"/>
      <c r="CUY113" s="181"/>
      <c r="CUZ113" s="182"/>
      <c r="CVA113" s="181"/>
      <c r="CVB113" s="182"/>
      <c r="CVC113" s="181"/>
      <c r="CVD113" s="182"/>
      <c r="CVE113" s="181"/>
      <c r="CVF113" s="182"/>
      <c r="CVG113" s="181"/>
      <c r="CVH113" s="182"/>
      <c r="CVI113" s="181"/>
      <c r="CVJ113" s="182"/>
      <c r="CVK113" s="181"/>
      <c r="CVL113" s="182"/>
      <c r="CVM113" s="181"/>
      <c r="CVN113" s="182"/>
      <c r="CVO113" s="181"/>
      <c r="CVP113" s="182"/>
      <c r="CVQ113" s="181"/>
      <c r="CVR113" s="182"/>
      <c r="CVS113" s="181"/>
      <c r="CVT113" s="182"/>
      <c r="CVU113" s="181"/>
      <c r="CVV113" s="182"/>
      <c r="CVW113" s="181"/>
      <c r="CVX113" s="182"/>
      <c r="CVY113" s="181"/>
      <c r="CVZ113" s="182"/>
      <c r="CWA113" s="181"/>
      <c r="CWB113" s="182"/>
      <c r="CWC113" s="181"/>
      <c r="CWD113" s="182"/>
      <c r="CWE113" s="181"/>
      <c r="CWF113" s="182"/>
      <c r="CWG113" s="181"/>
      <c r="CWH113" s="182"/>
      <c r="CWI113" s="181"/>
      <c r="CWJ113" s="182"/>
      <c r="CWK113" s="181"/>
      <c r="CWL113" s="182"/>
      <c r="CWM113" s="181"/>
      <c r="CWN113" s="182"/>
      <c r="CWO113" s="181"/>
      <c r="CWP113" s="182"/>
      <c r="CWQ113" s="181"/>
      <c r="CWR113" s="182"/>
      <c r="CWS113" s="181"/>
      <c r="CWT113" s="182"/>
      <c r="CWU113" s="181"/>
      <c r="CWV113" s="182"/>
      <c r="CWW113" s="181"/>
      <c r="CWX113" s="182"/>
      <c r="CWY113" s="181"/>
      <c r="CWZ113" s="182"/>
      <c r="CXA113" s="181"/>
      <c r="CXB113" s="182"/>
      <c r="CXC113" s="181"/>
      <c r="CXD113" s="182"/>
      <c r="CXE113" s="181"/>
      <c r="CXF113" s="182"/>
      <c r="CXG113" s="181"/>
      <c r="CXH113" s="182"/>
      <c r="CXI113" s="181"/>
      <c r="CXJ113" s="182"/>
      <c r="CXK113" s="181"/>
      <c r="CXL113" s="182"/>
      <c r="CXM113" s="181"/>
      <c r="CXN113" s="182"/>
      <c r="CXO113" s="181"/>
      <c r="CXP113" s="182"/>
      <c r="CXQ113" s="181"/>
      <c r="CXR113" s="182"/>
      <c r="CXS113" s="181"/>
      <c r="CXT113" s="182"/>
      <c r="CXU113" s="181"/>
      <c r="CXV113" s="182"/>
      <c r="CXW113" s="181"/>
      <c r="CXX113" s="182"/>
      <c r="CXY113" s="181"/>
      <c r="CXZ113" s="182"/>
      <c r="CYA113" s="181"/>
      <c r="CYB113" s="182"/>
      <c r="CYC113" s="181"/>
      <c r="CYD113" s="182"/>
      <c r="CYE113" s="181"/>
      <c r="CYF113" s="182"/>
      <c r="CYG113" s="181"/>
      <c r="CYH113" s="182"/>
      <c r="CYI113" s="181"/>
      <c r="CYJ113" s="182"/>
      <c r="CYK113" s="181"/>
      <c r="CYL113" s="182"/>
      <c r="CYM113" s="181"/>
      <c r="CYN113" s="182"/>
      <c r="CYO113" s="181"/>
      <c r="CYP113" s="182"/>
      <c r="CYQ113" s="181"/>
      <c r="CYR113" s="182"/>
      <c r="CYS113" s="181"/>
      <c r="CYT113" s="182"/>
      <c r="CYU113" s="181"/>
      <c r="CYV113" s="182"/>
      <c r="CYW113" s="181"/>
      <c r="CYX113" s="182"/>
      <c r="CYY113" s="181"/>
      <c r="CYZ113" s="182"/>
      <c r="CZA113" s="181"/>
      <c r="CZB113" s="182"/>
      <c r="CZC113" s="181"/>
      <c r="CZD113" s="182"/>
      <c r="CZE113" s="181"/>
      <c r="CZF113" s="182"/>
      <c r="CZG113" s="181"/>
      <c r="CZH113" s="182"/>
      <c r="CZI113" s="181"/>
      <c r="CZJ113" s="182"/>
      <c r="CZK113" s="181"/>
      <c r="CZL113" s="182"/>
      <c r="CZM113" s="181"/>
      <c r="CZN113" s="182"/>
      <c r="CZO113" s="181"/>
      <c r="CZP113" s="182"/>
      <c r="CZQ113" s="181"/>
      <c r="CZR113" s="182"/>
      <c r="CZS113" s="181"/>
      <c r="CZT113" s="182"/>
      <c r="CZU113" s="181"/>
      <c r="CZV113" s="182"/>
      <c r="CZW113" s="181"/>
      <c r="CZX113" s="182"/>
      <c r="CZY113" s="181"/>
      <c r="CZZ113" s="182"/>
      <c r="DAA113" s="181"/>
      <c r="DAB113" s="182"/>
      <c r="DAC113" s="181"/>
      <c r="DAD113" s="182"/>
      <c r="DAE113" s="181"/>
      <c r="DAF113" s="182"/>
      <c r="DAG113" s="181"/>
      <c r="DAH113" s="182"/>
      <c r="DAI113" s="181"/>
      <c r="DAJ113" s="182"/>
      <c r="DAK113" s="181"/>
      <c r="DAL113" s="182"/>
      <c r="DAM113" s="181"/>
      <c r="DAN113" s="182"/>
      <c r="DAO113" s="181"/>
      <c r="DAP113" s="182"/>
      <c r="DAQ113" s="181"/>
      <c r="DAR113" s="182"/>
      <c r="DAS113" s="181"/>
      <c r="DAT113" s="182"/>
      <c r="DAU113" s="181"/>
      <c r="DAV113" s="182"/>
      <c r="DAW113" s="181"/>
      <c r="DAX113" s="182"/>
      <c r="DAY113" s="181"/>
      <c r="DAZ113" s="182"/>
      <c r="DBA113" s="181"/>
      <c r="DBB113" s="182"/>
      <c r="DBC113" s="181"/>
      <c r="DBD113" s="182"/>
      <c r="DBE113" s="181"/>
      <c r="DBF113" s="182"/>
      <c r="DBG113" s="181"/>
      <c r="DBH113" s="182"/>
      <c r="DBI113" s="181"/>
      <c r="DBJ113" s="182"/>
      <c r="DBK113" s="181"/>
      <c r="DBL113" s="182"/>
      <c r="DBM113" s="181"/>
      <c r="DBN113" s="182"/>
      <c r="DBO113" s="181"/>
      <c r="DBP113" s="182"/>
      <c r="DBQ113" s="181"/>
      <c r="DBR113" s="182"/>
      <c r="DBS113" s="181"/>
      <c r="DBT113" s="182"/>
      <c r="DBU113" s="181"/>
      <c r="DBV113" s="182"/>
      <c r="DBW113" s="181"/>
      <c r="DBX113" s="182"/>
      <c r="DBY113" s="181"/>
      <c r="DBZ113" s="182"/>
      <c r="DCA113" s="181"/>
      <c r="DCB113" s="182"/>
      <c r="DCC113" s="181"/>
      <c r="DCD113" s="182"/>
      <c r="DCE113" s="181"/>
      <c r="DCF113" s="182"/>
      <c r="DCG113" s="181"/>
      <c r="DCH113" s="182"/>
      <c r="DCI113" s="181"/>
      <c r="DCJ113" s="182"/>
      <c r="DCK113" s="181"/>
      <c r="DCL113" s="182"/>
      <c r="DCM113" s="181"/>
      <c r="DCN113" s="182"/>
      <c r="DCO113" s="181"/>
      <c r="DCP113" s="182"/>
      <c r="DCQ113" s="181"/>
      <c r="DCR113" s="182"/>
      <c r="DCS113" s="181"/>
      <c r="DCT113" s="182"/>
      <c r="DCU113" s="181"/>
      <c r="DCV113" s="182"/>
      <c r="DCW113" s="181"/>
      <c r="DCX113" s="182"/>
      <c r="DCY113" s="181"/>
      <c r="DCZ113" s="182"/>
      <c r="DDA113" s="181"/>
      <c r="DDB113" s="182"/>
      <c r="DDC113" s="181"/>
      <c r="DDD113" s="182"/>
      <c r="DDE113" s="181"/>
      <c r="DDF113" s="182"/>
      <c r="DDG113" s="181"/>
      <c r="DDH113" s="182"/>
      <c r="DDI113" s="181"/>
      <c r="DDJ113" s="182"/>
      <c r="DDK113" s="181"/>
      <c r="DDL113" s="182"/>
      <c r="DDM113" s="181"/>
      <c r="DDN113" s="182"/>
      <c r="DDO113" s="181"/>
      <c r="DDP113" s="182"/>
      <c r="DDQ113" s="181"/>
      <c r="DDR113" s="182"/>
      <c r="DDS113" s="181"/>
      <c r="DDT113" s="182"/>
      <c r="DDU113" s="181"/>
      <c r="DDV113" s="182"/>
      <c r="DDW113" s="181"/>
      <c r="DDX113" s="182"/>
      <c r="DDY113" s="181"/>
      <c r="DDZ113" s="182"/>
      <c r="DEA113" s="181"/>
      <c r="DEB113" s="182"/>
      <c r="DEC113" s="181"/>
      <c r="DED113" s="182"/>
      <c r="DEE113" s="181"/>
      <c r="DEF113" s="182"/>
      <c r="DEG113" s="181"/>
      <c r="DEH113" s="182"/>
      <c r="DEI113" s="181"/>
      <c r="DEJ113" s="182"/>
      <c r="DEK113" s="181"/>
      <c r="DEL113" s="182"/>
      <c r="DEM113" s="181"/>
      <c r="DEN113" s="182"/>
      <c r="DEO113" s="181"/>
      <c r="DEP113" s="182"/>
      <c r="DEQ113" s="181"/>
      <c r="DER113" s="182"/>
      <c r="DES113" s="181"/>
      <c r="DET113" s="182"/>
      <c r="DEU113" s="181"/>
      <c r="DEV113" s="182"/>
      <c r="DEW113" s="181"/>
      <c r="DEX113" s="182"/>
      <c r="DEY113" s="181"/>
      <c r="DEZ113" s="182"/>
      <c r="DFA113" s="181"/>
      <c r="DFB113" s="182"/>
      <c r="DFC113" s="181"/>
      <c r="DFD113" s="182"/>
      <c r="DFE113" s="181"/>
      <c r="DFF113" s="182"/>
      <c r="DFG113" s="181"/>
      <c r="DFH113" s="182"/>
      <c r="DFI113" s="181"/>
      <c r="DFJ113" s="182"/>
      <c r="DFK113" s="181"/>
      <c r="DFL113" s="182"/>
      <c r="DFM113" s="181"/>
      <c r="DFN113" s="182"/>
      <c r="DFO113" s="181"/>
      <c r="DFP113" s="182"/>
      <c r="DFQ113" s="181"/>
      <c r="DFR113" s="182"/>
      <c r="DFS113" s="181"/>
      <c r="DFT113" s="182"/>
      <c r="DFU113" s="181"/>
      <c r="DFV113" s="182"/>
      <c r="DFW113" s="181"/>
      <c r="DFX113" s="182"/>
      <c r="DFY113" s="181"/>
      <c r="DFZ113" s="182"/>
      <c r="DGA113" s="181"/>
      <c r="DGB113" s="182"/>
      <c r="DGC113" s="181"/>
      <c r="DGD113" s="182"/>
      <c r="DGE113" s="181"/>
      <c r="DGF113" s="182"/>
      <c r="DGG113" s="181"/>
      <c r="DGH113" s="182"/>
      <c r="DGI113" s="181"/>
      <c r="DGJ113" s="182"/>
      <c r="DGK113" s="181"/>
      <c r="DGL113" s="182"/>
      <c r="DGM113" s="181"/>
      <c r="DGN113" s="182"/>
      <c r="DGO113" s="181"/>
      <c r="DGP113" s="182"/>
      <c r="DGQ113" s="181"/>
      <c r="DGR113" s="182"/>
      <c r="DGS113" s="181"/>
      <c r="DGT113" s="182"/>
      <c r="DGU113" s="181"/>
      <c r="DGV113" s="182"/>
      <c r="DGW113" s="181"/>
      <c r="DGX113" s="182"/>
      <c r="DGY113" s="181"/>
      <c r="DGZ113" s="182"/>
      <c r="DHA113" s="181"/>
      <c r="DHB113" s="182"/>
      <c r="DHC113" s="181"/>
      <c r="DHD113" s="182"/>
      <c r="DHE113" s="181"/>
      <c r="DHF113" s="182"/>
      <c r="DHG113" s="181"/>
      <c r="DHH113" s="182"/>
      <c r="DHI113" s="181"/>
      <c r="DHJ113" s="182"/>
      <c r="DHK113" s="181"/>
      <c r="DHL113" s="182"/>
      <c r="DHM113" s="181"/>
      <c r="DHN113" s="182"/>
      <c r="DHO113" s="181"/>
      <c r="DHP113" s="182"/>
      <c r="DHQ113" s="181"/>
      <c r="DHR113" s="182"/>
      <c r="DHS113" s="181"/>
      <c r="DHT113" s="182"/>
      <c r="DHU113" s="181"/>
      <c r="DHV113" s="182"/>
      <c r="DHW113" s="181"/>
      <c r="DHX113" s="182"/>
      <c r="DHY113" s="181"/>
      <c r="DHZ113" s="182"/>
      <c r="DIA113" s="181"/>
      <c r="DIB113" s="182"/>
      <c r="DIC113" s="181"/>
      <c r="DID113" s="182"/>
      <c r="DIE113" s="181"/>
      <c r="DIF113" s="182"/>
      <c r="DIG113" s="181"/>
      <c r="DIH113" s="182"/>
      <c r="DII113" s="181"/>
      <c r="DIJ113" s="182"/>
      <c r="DIK113" s="181"/>
      <c r="DIL113" s="182"/>
      <c r="DIM113" s="181"/>
      <c r="DIN113" s="182"/>
      <c r="DIO113" s="181"/>
      <c r="DIP113" s="182"/>
      <c r="DIQ113" s="181"/>
      <c r="DIR113" s="182"/>
      <c r="DIS113" s="181"/>
      <c r="DIT113" s="182"/>
      <c r="DIU113" s="181"/>
      <c r="DIV113" s="182"/>
      <c r="DIW113" s="181"/>
      <c r="DIX113" s="182"/>
      <c r="DIY113" s="181"/>
      <c r="DIZ113" s="182"/>
      <c r="DJA113" s="181"/>
      <c r="DJB113" s="182"/>
      <c r="DJC113" s="181"/>
      <c r="DJD113" s="182"/>
      <c r="DJE113" s="181"/>
      <c r="DJF113" s="182"/>
      <c r="DJG113" s="181"/>
      <c r="DJH113" s="182"/>
      <c r="DJI113" s="181"/>
      <c r="DJJ113" s="182"/>
      <c r="DJK113" s="181"/>
      <c r="DJL113" s="182"/>
      <c r="DJM113" s="181"/>
      <c r="DJN113" s="182"/>
      <c r="DJO113" s="181"/>
      <c r="DJP113" s="182"/>
      <c r="DJQ113" s="181"/>
      <c r="DJR113" s="182"/>
      <c r="DJS113" s="181"/>
      <c r="DJT113" s="182"/>
      <c r="DJU113" s="181"/>
      <c r="DJV113" s="182"/>
      <c r="DJW113" s="181"/>
      <c r="DJX113" s="182"/>
      <c r="DJY113" s="181"/>
      <c r="DJZ113" s="182"/>
      <c r="DKA113" s="181"/>
      <c r="DKB113" s="182"/>
      <c r="DKC113" s="181"/>
      <c r="DKD113" s="182"/>
      <c r="DKE113" s="181"/>
      <c r="DKF113" s="182"/>
      <c r="DKG113" s="181"/>
      <c r="DKH113" s="182"/>
      <c r="DKI113" s="181"/>
      <c r="DKJ113" s="182"/>
      <c r="DKK113" s="181"/>
      <c r="DKL113" s="182"/>
      <c r="DKM113" s="181"/>
      <c r="DKN113" s="182"/>
      <c r="DKO113" s="181"/>
      <c r="DKP113" s="182"/>
      <c r="DKQ113" s="181"/>
      <c r="DKR113" s="182"/>
      <c r="DKS113" s="181"/>
      <c r="DKT113" s="182"/>
      <c r="DKU113" s="181"/>
      <c r="DKV113" s="182"/>
      <c r="DKW113" s="181"/>
      <c r="DKX113" s="182"/>
      <c r="DKY113" s="181"/>
      <c r="DKZ113" s="182"/>
      <c r="DLA113" s="181"/>
      <c r="DLB113" s="182"/>
      <c r="DLC113" s="181"/>
      <c r="DLD113" s="182"/>
      <c r="DLE113" s="181"/>
      <c r="DLF113" s="182"/>
      <c r="DLG113" s="181"/>
      <c r="DLH113" s="182"/>
      <c r="DLI113" s="181"/>
      <c r="DLJ113" s="182"/>
      <c r="DLK113" s="181"/>
      <c r="DLL113" s="182"/>
      <c r="DLM113" s="181"/>
      <c r="DLN113" s="182"/>
      <c r="DLO113" s="181"/>
      <c r="DLP113" s="182"/>
      <c r="DLQ113" s="181"/>
      <c r="DLR113" s="182"/>
      <c r="DLS113" s="181"/>
      <c r="DLT113" s="182"/>
      <c r="DLU113" s="181"/>
      <c r="DLV113" s="182"/>
      <c r="DLW113" s="181"/>
      <c r="DLX113" s="182"/>
      <c r="DLY113" s="181"/>
      <c r="DLZ113" s="182"/>
      <c r="DMA113" s="181"/>
      <c r="DMB113" s="182"/>
      <c r="DMC113" s="181"/>
      <c r="DMD113" s="182"/>
      <c r="DME113" s="181"/>
      <c r="DMF113" s="182"/>
      <c r="DMG113" s="181"/>
      <c r="DMH113" s="182"/>
      <c r="DMI113" s="181"/>
      <c r="DMJ113" s="182"/>
      <c r="DMK113" s="181"/>
      <c r="DML113" s="182"/>
      <c r="DMM113" s="181"/>
      <c r="DMN113" s="182"/>
      <c r="DMO113" s="181"/>
      <c r="DMP113" s="182"/>
      <c r="DMQ113" s="181"/>
      <c r="DMR113" s="182"/>
      <c r="DMS113" s="181"/>
      <c r="DMT113" s="182"/>
      <c r="DMU113" s="181"/>
      <c r="DMV113" s="182"/>
      <c r="DMW113" s="181"/>
      <c r="DMX113" s="182"/>
      <c r="DMY113" s="181"/>
      <c r="DMZ113" s="182"/>
      <c r="DNA113" s="181"/>
      <c r="DNB113" s="182"/>
      <c r="DNC113" s="181"/>
      <c r="DND113" s="182"/>
      <c r="DNE113" s="181"/>
      <c r="DNF113" s="182"/>
      <c r="DNG113" s="181"/>
      <c r="DNH113" s="182"/>
      <c r="DNI113" s="181"/>
      <c r="DNJ113" s="182"/>
      <c r="DNK113" s="181"/>
      <c r="DNL113" s="182"/>
      <c r="DNM113" s="181"/>
      <c r="DNN113" s="182"/>
      <c r="DNO113" s="181"/>
      <c r="DNP113" s="182"/>
      <c r="DNQ113" s="181"/>
      <c r="DNR113" s="182"/>
      <c r="DNS113" s="181"/>
      <c r="DNT113" s="182"/>
      <c r="DNU113" s="181"/>
      <c r="DNV113" s="182"/>
      <c r="DNW113" s="181"/>
      <c r="DNX113" s="182"/>
      <c r="DNY113" s="181"/>
      <c r="DNZ113" s="182"/>
      <c r="DOA113" s="181"/>
      <c r="DOB113" s="182"/>
      <c r="DOC113" s="181"/>
      <c r="DOD113" s="182"/>
      <c r="DOE113" s="181"/>
      <c r="DOF113" s="182"/>
      <c r="DOG113" s="181"/>
      <c r="DOH113" s="182"/>
      <c r="DOI113" s="181"/>
      <c r="DOJ113" s="182"/>
      <c r="DOK113" s="181"/>
      <c r="DOL113" s="182"/>
      <c r="DOM113" s="181"/>
      <c r="DON113" s="182"/>
      <c r="DOO113" s="181"/>
      <c r="DOP113" s="182"/>
      <c r="DOQ113" s="181"/>
      <c r="DOR113" s="182"/>
      <c r="DOS113" s="181"/>
      <c r="DOT113" s="182"/>
      <c r="DOU113" s="181"/>
      <c r="DOV113" s="182"/>
      <c r="DOW113" s="181"/>
      <c r="DOX113" s="182"/>
      <c r="DOY113" s="181"/>
      <c r="DOZ113" s="182"/>
      <c r="DPA113" s="181"/>
      <c r="DPB113" s="182"/>
      <c r="DPC113" s="181"/>
      <c r="DPD113" s="182"/>
      <c r="DPE113" s="181"/>
      <c r="DPF113" s="182"/>
      <c r="DPG113" s="181"/>
      <c r="DPH113" s="182"/>
      <c r="DPI113" s="181"/>
      <c r="DPJ113" s="182"/>
      <c r="DPK113" s="181"/>
      <c r="DPL113" s="182"/>
      <c r="DPM113" s="181"/>
      <c r="DPN113" s="182"/>
      <c r="DPO113" s="181"/>
      <c r="DPP113" s="182"/>
      <c r="DPQ113" s="181"/>
      <c r="DPR113" s="182"/>
      <c r="DPS113" s="181"/>
      <c r="DPT113" s="182"/>
      <c r="DPU113" s="181"/>
      <c r="DPV113" s="182"/>
      <c r="DPW113" s="181"/>
      <c r="DPX113" s="182"/>
      <c r="DPY113" s="181"/>
      <c r="DPZ113" s="182"/>
      <c r="DQA113" s="181"/>
      <c r="DQB113" s="182"/>
      <c r="DQC113" s="181"/>
      <c r="DQD113" s="182"/>
      <c r="DQE113" s="181"/>
      <c r="DQF113" s="182"/>
      <c r="DQG113" s="181"/>
      <c r="DQH113" s="182"/>
      <c r="DQI113" s="181"/>
      <c r="DQJ113" s="182"/>
      <c r="DQK113" s="181"/>
      <c r="DQL113" s="182"/>
      <c r="DQM113" s="181"/>
      <c r="DQN113" s="182"/>
      <c r="DQO113" s="181"/>
      <c r="DQP113" s="182"/>
      <c r="DQQ113" s="181"/>
      <c r="DQR113" s="182"/>
      <c r="DQS113" s="181"/>
      <c r="DQT113" s="182"/>
      <c r="DQU113" s="181"/>
      <c r="DQV113" s="182"/>
      <c r="DQW113" s="181"/>
      <c r="DQX113" s="182"/>
      <c r="DQY113" s="181"/>
      <c r="DQZ113" s="182"/>
      <c r="DRA113" s="181"/>
      <c r="DRB113" s="182"/>
      <c r="DRC113" s="181"/>
      <c r="DRD113" s="182"/>
      <c r="DRE113" s="181"/>
      <c r="DRF113" s="182"/>
      <c r="DRG113" s="181"/>
      <c r="DRH113" s="182"/>
      <c r="DRI113" s="181"/>
      <c r="DRJ113" s="182"/>
      <c r="DRK113" s="181"/>
      <c r="DRL113" s="182"/>
      <c r="DRM113" s="181"/>
      <c r="DRN113" s="182"/>
      <c r="DRO113" s="181"/>
      <c r="DRP113" s="182"/>
      <c r="DRQ113" s="181"/>
      <c r="DRR113" s="182"/>
      <c r="DRS113" s="181"/>
      <c r="DRT113" s="182"/>
      <c r="DRU113" s="181"/>
      <c r="DRV113" s="182"/>
      <c r="DRW113" s="181"/>
      <c r="DRX113" s="182"/>
      <c r="DRY113" s="181"/>
      <c r="DRZ113" s="182"/>
      <c r="DSA113" s="181"/>
      <c r="DSB113" s="182"/>
      <c r="DSC113" s="181"/>
      <c r="DSD113" s="182"/>
      <c r="DSE113" s="181"/>
      <c r="DSF113" s="182"/>
      <c r="DSG113" s="181"/>
      <c r="DSH113" s="182"/>
      <c r="DSI113" s="181"/>
      <c r="DSJ113" s="182"/>
      <c r="DSK113" s="181"/>
      <c r="DSL113" s="182"/>
      <c r="DSM113" s="181"/>
      <c r="DSN113" s="182"/>
      <c r="DSO113" s="181"/>
      <c r="DSP113" s="182"/>
      <c r="DSQ113" s="181"/>
      <c r="DSR113" s="182"/>
      <c r="DSS113" s="181"/>
      <c r="DST113" s="182"/>
      <c r="DSU113" s="181"/>
      <c r="DSV113" s="182"/>
      <c r="DSW113" s="181"/>
      <c r="DSX113" s="182"/>
      <c r="DSY113" s="181"/>
      <c r="DSZ113" s="182"/>
      <c r="DTA113" s="181"/>
      <c r="DTB113" s="182"/>
      <c r="DTC113" s="181"/>
      <c r="DTD113" s="182"/>
      <c r="DTE113" s="181"/>
      <c r="DTF113" s="182"/>
      <c r="DTG113" s="181"/>
      <c r="DTH113" s="182"/>
      <c r="DTI113" s="181"/>
      <c r="DTJ113" s="182"/>
      <c r="DTK113" s="181"/>
      <c r="DTL113" s="182"/>
      <c r="DTM113" s="181"/>
      <c r="DTN113" s="182"/>
      <c r="DTO113" s="181"/>
      <c r="DTP113" s="182"/>
      <c r="DTQ113" s="181"/>
      <c r="DTR113" s="182"/>
      <c r="DTS113" s="181"/>
      <c r="DTT113" s="182"/>
      <c r="DTU113" s="181"/>
      <c r="DTV113" s="182"/>
      <c r="DTW113" s="181"/>
      <c r="DTX113" s="182"/>
      <c r="DTY113" s="181"/>
      <c r="DTZ113" s="182"/>
      <c r="DUA113" s="181"/>
      <c r="DUB113" s="182"/>
      <c r="DUC113" s="181"/>
      <c r="DUD113" s="182"/>
      <c r="DUE113" s="181"/>
      <c r="DUF113" s="182"/>
      <c r="DUG113" s="181"/>
      <c r="DUH113" s="182"/>
      <c r="DUI113" s="181"/>
      <c r="DUJ113" s="182"/>
      <c r="DUK113" s="181"/>
      <c r="DUL113" s="182"/>
      <c r="DUM113" s="181"/>
      <c r="DUN113" s="182"/>
      <c r="DUO113" s="181"/>
      <c r="DUP113" s="182"/>
      <c r="DUQ113" s="181"/>
      <c r="DUR113" s="182"/>
      <c r="DUS113" s="181"/>
      <c r="DUT113" s="182"/>
      <c r="DUU113" s="181"/>
      <c r="DUV113" s="182"/>
      <c r="DUW113" s="181"/>
      <c r="DUX113" s="182"/>
      <c r="DUY113" s="181"/>
      <c r="DUZ113" s="182"/>
      <c r="DVA113" s="181"/>
      <c r="DVB113" s="182"/>
      <c r="DVC113" s="181"/>
      <c r="DVD113" s="182"/>
      <c r="DVE113" s="181"/>
      <c r="DVF113" s="182"/>
      <c r="DVG113" s="181"/>
      <c r="DVH113" s="182"/>
      <c r="DVI113" s="181"/>
      <c r="DVJ113" s="182"/>
      <c r="DVK113" s="181"/>
      <c r="DVL113" s="182"/>
      <c r="DVM113" s="181"/>
      <c r="DVN113" s="182"/>
      <c r="DVO113" s="181"/>
      <c r="DVP113" s="182"/>
      <c r="DVQ113" s="181"/>
      <c r="DVR113" s="182"/>
      <c r="DVS113" s="181"/>
      <c r="DVT113" s="182"/>
      <c r="DVU113" s="181"/>
      <c r="DVV113" s="182"/>
      <c r="DVW113" s="181"/>
      <c r="DVX113" s="182"/>
      <c r="DVY113" s="181"/>
      <c r="DVZ113" s="182"/>
      <c r="DWA113" s="181"/>
      <c r="DWB113" s="182"/>
      <c r="DWC113" s="181"/>
      <c r="DWD113" s="182"/>
      <c r="DWE113" s="181"/>
      <c r="DWF113" s="182"/>
      <c r="DWG113" s="181"/>
      <c r="DWH113" s="182"/>
      <c r="DWI113" s="181"/>
      <c r="DWJ113" s="182"/>
      <c r="DWK113" s="181"/>
      <c r="DWL113" s="182"/>
      <c r="DWM113" s="181"/>
      <c r="DWN113" s="182"/>
      <c r="DWO113" s="181"/>
      <c r="DWP113" s="182"/>
      <c r="DWQ113" s="181"/>
      <c r="DWR113" s="182"/>
      <c r="DWS113" s="181"/>
      <c r="DWT113" s="182"/>
      <c r="DWU113" s="181"/>
      <c r="DWV113" s="182"/>
      <c r="DWW113" s="181"/>
      <c r="DWX113" s="182"/>
      <c r="DWY113" s="181"/>
      <c r="DWZ113" s="182"/>
      <c r="DXA113" s="181"/>
      <c r="DXB113" s="182"/>
      <c r="DXC113" s="181"/>
      <c r="DXD113" s="182"/>
      <c r="DXE113" s="181"/>
      <c r="DXF113" s="182"/>
      <c r="DXG113" s="181"/>
      <c r="DXH113" s="182"/>
      <c r="DXI113" s="181"/>
      <c r="DXJ113" s="182"/>
      <c r="DXK113" s="181"/>
      <c r="DXL113" s="182"/>
      <c r="DXM113" s="181"/>
      <c r="DXN113" s="182"/>
      <c r="DXO113" s="181"/>
      <c r="DXP113" s="182"/>
      <c r="DXQ113" s="181"/>
      <c r="DXR113" s="182"/>
      <c r="DXS113" s="181"/>
      <c r="DXT113" s="182"/>
      <c r="DXU113" s="181"/>
      <c r="DXV113" s="182"/>
      <c r="DXW113" s="181"/>
      <c r="DXX113" s="182"/>
      <c r="DXY113" s="181"/>
      <c r="DXZ113" s="182"/>
      <c r="DYA113" s="181"/>
      <c r="DYB113" s="182"/>
      <c r="DYC113" s="181"/>
      <c r="DYD113" s="182"/>
      <c r="DYE113" s="181"/>
      <c r="DYF113" s="182"/>
      <c r="DYG113" s="181"/>
      <c r="DYH113" s="182"/>
      <c r="DYI113" s="181"/>
      <c r="DYJ113" s="182"/>
      <c r="DYK113" s="181"/>
      <c r="DYL113" s="182"/>
      <c r="DYM113" s="181"/>
      <c r="DYN113" s="182"/>
      <c r="DYO113" s="181"/>
      <c r="DYP113" s="182"/>
      <c r="DYQ113" s="181"/>
      <c r="DYR113" s="182"/>
      <c r="DYS113" s="181"/>
      <c r="DYT113" s="182"/>
      <c r="DYU113" s="181"/>
      <c r="DYV113" s="182"/>
      <c r="DYW113" s="181"/>
      <c r="DYX113" s="182"/>
      <c r="DYY113" s="181"/>
      <c r="DYZ113" s="182"/>
      <c r="DZA113" s="181"/>
      <c r="DZB113" s="182"/>
      <c r="DZC113" s="181"/>
      <c r="DZD113" s="182"/>
      <c r="DZE113" s="181"/>
      <c r="DZF113" s="182"/>
      <c r="DZG113" s="181"/>
      <c r="DZH113" s="182"/>
      <c r="DZI113" s="181"/>
      <c r="DZJ113" s="182"/>
      <c r="DZK113" s="181"/>
      <c r="DZL113" s="182"/>
      <c r="DZM113" s="181"/>
      <c r="DZN113" s="182"/>
      <c r="DZO113" s="181"/>
      <c r="DZP113" s="182"/>
      <c r="DZQ113" s="181"/>
      <c r="DZR113" s="182"/>
      <c r="DZS113" s="181"/>
      <c r="DZT113" s="182"/>
      <c r="DZU113" s="181"/>
      <c r="DZV113" s="182"/>
      <c r="DZW113" s="181"/>
      <c r="DZX113" s="182"/>
      <c r="DZY113" s="181"/>
      <c r="DZZ113" s="182"/>
      <c r="EAA113" s="181"/>
      <c r="EAB113" s="182"/>
      <c r="EAC113" s="181"/>
      <c r="EAD113" s="182"/>
      <c r="EAE113" s="181"/>
      <c r="EAF113" s="182"/>
      <c r="EAG113" s="181"/>
      <c r="EAH113" s="182"/>
      <c r="EAI113" s="181"/>
      <c r="EAJ113" s="182"/>
      <c r="EAK113" s="181"/>
      <c r="EAL113" s="182"/>
      <c r="EAM113" s="181"/>
      <c r="EAN113" s="182"/>
      <c r="EAO113" s="181"/>
      <c r="EAP113" s="182"/>
      <c r="EAQ113" s="181"/>
      <c r="EAR113" s="182"/>
      <c r="EAS113" s="181"/>
      <c r="EAT113" s="182"/>
      <c r="EAU113" s="181"/>
      <c r="EAV113" s="182"/>
      <c r="EAW113" s="181"/>
      <c r="EAX113" s="182"/>
      <c r="EAY113" s="181"/>
      <c r="EAZ113" s="182"/>
      <c r="EBA113" s="181"/>
      <c r="EBB113" s="182"/>
      <c r="EBC113" s="181"/>
      <c r="EBD113" s="182"/>
      <c r="EBE113" s="181"/>
      <c r="EBF113" s="182"/>
      <c r="EBG113" s="181"/>
      <c r="EBH113" s="182"/>
      <c r="EBI113" s="181"/>
      <c r="EBJ113" s="182"/>
      <c r="EBK113" s="181"/>
      <c r="EBL113" s="182"/>
      <c r="EBM113" s="181"/>
      <c r="EBN113" s="182"/>
      <c r="EBO113" s="181"/>
      <c r="EBP113" s="182"/>
      <c r="EBQ113" s="181"/>
      <c r="EBR113" s="182"/>
      <c r="EBS113" s="181"/>
      <c r="EBT113" s="182"/>
      <c r="EBU113" s="181"/>
      <c r="EBV113" s="182"/>
      <c r="EBW113" s="181"/>
      <c r="EBX113" s="182"/>
      <c r="EBY113" s="181"/>
      <c r="EBZ113" s="182"/>
      <c r="ECA113" s="181"/>
      <c r="ECB113" s="182"/>
      <c r="ECC113" s="181"/>
      <c r="ECD113" s="182"/>
      <c r="ECE113" s="181"/>
      <c r="ECF113" s="182"/>
      <c r="ECG113" s="181"/>
      <c r="ECH113" s="182"/>
      <c r="ECI113" s="181"/>
      <c r="ECJ113" s="182"/>
      <c r="ECK113" s="181"/>
      <c r="ECL113" s="182"/>
      <c r="ECM113" s="181"/>
      <c r="ECN113" s="182"/>
      <c r="ECO113" s="181"/>
      <c r="ECP113" s="182"/>
      <c r="ECQ113" s="181"/>
      <c r="ECR113" s="182"/>
      <c r="ECS113" s="181"/>
      <c r="ECT113" s="182"/>
      <c r="ECU113" s="181"/>
      <c r="ECV113" s="182"/>
      <c r="ECW113" s="181"/>
      <c r="ECX113" s="182"/>
      <c r="ECY113" s="181"/>
      <c r="ECZ113" s="182"/>
      <c r="EDA113" s="181"/>
      <c r="EDB113" s="182"/>
      <c r="EDC113" s="181"/>
      <c r="EDD113" s="182"/>
      <c r="EDE113" s="181"/>
      <c r="EDF113" s="182"/>
      <c r="EDG113" s="181"/>
      <c r="EDH113" s="182"/>
      <c r="EDI113" s="181"/>
      <c r="EDJ113" s="182"/>
      <c r="EDK113" s="181"/>
      <c r="EDL113" s="182"/>
      <c r="EDM113" s="181"/>
      <c r="EDN113" s="182"/>
      <c r="EDO113" s="181"/>
      <c r="EDP113" s="182"/>
      <c r="EDQ113" s="181"/>
      <c r="EDR113" s="182"/>
      <c r="EDS113" s="181"/>
      <c r="EDT113" s="182"/>
      <c r="EDU113" s="181"/>
      <c r="EDV113" s="182"/>
      <c r="EDW113" s="181"/>
      <c r="EDX113" s="182"/>
      <c r="EDY113" s="181"/>
      <c r="EDZ113" s="182"/>
      <c r="EEA113" s="181"/>
      <c r="EEB113" s="182"/>
      <c r="EEC113" s="181"/>
      <c r="EED113" s="182"/>
      <c r="EEE113" s="181"/>
      <c r="EEF113" s="182"/>
      <c r="EEG113" s="181"/>
      <c r="EEH113" s="182"/>
      <c r="EEI113" s="181"/>
      <c r="EEJ113" s="182"/>
      <c r="EEK113" s="181"/>
      <c r="EEL113" s="182"/>
      <c r="EEM113" s="181"/>
      <c r="EEN113" s="182"/>
      <c r="EEO113" s="181"/>
      <c r="EEP113" s="182"/>
      <c r="EEQ113" s="181"/>
      <c r="EER113" s="182"/>
      <c r="EES113" s="181"/>
      <c r="EET113" s="182"/>
      <c r="EEU113" s="181"/>
      <c r="EEV113" s="182"/>
      <c r="EEW113" s="181"/>
      <c r="EEX113" s="182"/>
      <c r="EEY113" s="181"/>
      <c r="EEZ113" s="182"/>
      <c r="EFA113" s="181"/>
      <c r="EFB113" s="182"/>
      <c r="EFC113" s="181"/>
      <c r="EFD113" s="182"/>
      <c r="EFE113" s="181"/>
      <c r="EFF113" s="182"/>
      <c r="EFG113" s="181"/>
      <c r="EFH113" s="182"/>
      <c r="EFI113" s="181"/>
      <c r="EFJ113" s="182"/>
      <c r="EFK113" s="181"/>
      <c r="EFL113" s="182"/>
      <c r="EFM113" s="181"/>
      <c r="EFN113" s="182"/>
      <c r="EFO113" s="181"/>
      <c r="EFP113" s="182"/>
      <c r="EFQ113" s="181"/>
      <c r="EFR113" s="182"/>
      <c r="EFS113" s="181"/>
      <c r="EFT113" s="182"/>
      <c r="EFU113" s="181"/>
      <c r="EFV113" s="182"/>
      <c r="EFW113" s="181"/>
      <c r="EFX113" s="182"/>
      <c r="EFY113" s="181"/>
      <c r="EFZ113" s="182"/>
      <c r="EGA113" s="181"/>
      <c r="EGB113" s="182"/>
      <c r="EGC113" s="181"/>
      <c r="EGD113" s="182"/>
      <c r="EGE113" s="181"/>
      <c r="EGF113" s="182"/>
      <c r="EGG113" s="181"/>
      <c r="EGH113" s="182"/>
      <c r="EGI113" s="181"/>
      <c r="EGJ113" s="182"/>
      <c r="EGK113" s="181"/>
      <c r="EGL113" s="182"/>
      <c r="EGM113" s="181"/>
      <c r="EGN113" s="182"/>
      <c r="EGO113" s="181"/>
      <c r="EGP113" s="182"/>
      <c r="EGQ113" s="181"/>
      <c r="EGR113" s="182"/>
      <c r="EGS113" s="181"/>
      <c r="EGT113" s="182"/>
      <c r="EGU113" s="181"/>
      <c r="EGV113" s="182"/>
      <c r="EGW113" s="181"/>
      <c r="EGX113" s="182"/>
      <c r="EGY113" s="181"/>
      <c r="EGZ113" s="182"/>
      <c r="EHA113" s="181"/>
      <c r="EHB113" s="182"/>
      <c r="EHC113" s="181"/>
      <c r="EHD113" s="182"/>
      <c r="EHE113" s="181"/>
      <c r="EHF113" s="182"/>
      <c r="EHG113" s="181"/>
      <c r="EHH113" s="182"/>
      <c r="EHI113" s="181"/>
      <c r="EHJ113" s="182"/>
      <c r="EHK113" s="181"/>
      <c r="EHL113" s="182"/>
      <c r="EHM113" s="181"/>
      <c r="EHN113" s="182"/>
      <c r="EHO113" s="181"/>
      <c r="EHP113" s="182"/>
      <c r="EHQ113" s="181"/>
      <c r="EHR113" s="182"/>
      <c r="EHS113" s="181"/>
      <c r="EHT113" s="182"/>
      <c r="EHU113" s="181"/>
      <c r="EHV113" s="182"/>
      <c r="EHW113" s="181"/>
      <c r="EHX113" s="182"/>
      <c r="EHY113" s="181"/>
      <c r="EHZ113" s="182"/>
      <c r="EIA113" s="181"/>
      <c r="EIB113" s="182"/>
      <c r="EIC113" s="181"/>
      <c r="EID113" s="182"/>
      <c r="EIE113" s="181"/>
      <c r="EIF113" s="182"/>
      <c r="EIG113" s="181"/>
      <c r="EIH113" s="182"/>
      <c r="EII113" s="181"/>
      <c r="EIJ113" s="182"/>
      <c r="EIK113" s="181"/>
      <c r="EIL113" s="182"/>
      <c r="EIM113" s="181"/>
      <c r="EIN113" s="182"/>
      <c r="EIO113" s="181"/>
      <c r="EIP113" s="182"/>
      <c r="EIQ113" s="181"/>
      <c r="EIR113" s="182"/>
      <c r="EIS113" s="181"/>
      <c r="EIT113" s="182"/>
      <c r="EIU113" s="181"/>
      <c r="EIV113" s="182"/>
      <c r="EIW113" s="181"/>
      <c r="EIX113" s="182"/>
      <c r="EIY113" s="181"/>
      <c r="EIZ113" s="182"/>
      <c r="EJA113" s="181"/>
      <c r="EJB113" s="182"/>
      <c r="EJC113" s="181"/>
      <c r="EJD113" s="182"/>
      <c r="EJE113" s="181"/>
      <c r="EJF113" s="182"/>
      <c r="EJG113" s="181"/>
      <c r="EJH113" s="182"/>
      <c r="EJI113" s="181"/>
      <c r="EJJ113" s="182"/>
      <c r="EJK113" s="181"/>
      <c r="EJL113" s="182"/>
      <c r="EJM113" s="181"/>
      <c r="EJN113" s="182"/>
      <c r="EJO113" s="181"/>
      <c r="EJP113" s="182"/>
      <c r="EJQ113" s="181"/>
      <c r="EJR113" s="182"/>
      <c r="EJS113" s="181"/>
      <c r="EJT113" s="182"/>
      <c r="EJU113" s="181"/>
      <c r="EJV113" s="182"/>
      <c r="EJW113" s="181"/>
      <c r="EJX113" s="182"/>
      <c r="EJY113" s="181"/>
      <c r="EJZ113" s="182"/>
      <c r="EKA113" s="181"/>
      <c r="EKB113" s="182"/>
      <c r="EKC113" s="181"/>
      <c r="EKD113" s="182"/>
      <c r="EKE113" s="181"/>
      <c r="EKF113" s="182"/>
      <c r="EKG113" s="181"/>
      <c r="EKH113" s="182"/>
      <c r="EKI113" s="181"/>
      <c r="EKJ113" s="182"/>
      <c r="EKK113" s="181"/>
      <c r="EKL113" s="182"/>
      <c r="EKM113" s="181"/>
      <c r="EKN113" s="182"/>
      <c r="EKO113" s="181"/>
      <c r="EKP113" s="182"/>
      <c r="EKQ113" s="181"/>
      <c r="EKR113" s="182"/>
      <c r="EKS113" s="181"/>
      <c r="EKT113" s="182"/>
      <c r="EKU113" s="181"/>
      <c r="EKV113" s="182"/>
      <c r="EKW113" s="181"/>
      <c r="EKX113" s="182"/>
      <c r="EKY113" s="181"/>
      <c r="EKZ113" s="182"/>
      <c r="ELA113" s="181"/>
      <c r="ELB113" s="182"/>
      <c r="ELC113" s="181"/>
      <c r="ELD113" s="182"/>
      <c r="ELE113" s="181"/>
      <c r="ELF113" s="182"/>
      <c r="ELG113" s="181"/>
      <c r="ELH113" s="182"/>
      <c r="ELI113" s="181"/>
      <c r="ELJ113" s="182"/>
      <c r="ELK113" s="181"/>
      <c r="ELL113" s="182"/>
      <c r="ELM113" s="181"/>
      <c r="ELN113" s="182"/>
      <c r="ELO113" s="181"/>
      <c r="ELP113" s="182"/>
      <c r="ELQ113" s="181"/>
      <c r="ELR113" s="182"/>
      <c r="ELS113" s="181"/>
      <c r="ELT113" s="182"/>
      <c r="ELU113" s="181"/>
      <c r="ELV113" s="182"/>
      <c r="ELW113" s="181"/>
      <c r="ELX113" s="182"/>
      <c r="ELY113" s="181"/>
      <c r="ELZ113" s="182"/>
      <c r="EMA113" s="181"/>
      <c r="EMB113" s="182"/>
      <c r="EMC113" s="181"/>
      <c r="EMD113" s="182"/>
      <c r="EME113" s="181"/>
      <c r="EMF113" s="182"/>
      <c r="EMG113" s="181"/>
      <c r="EMH113" s="182"/>
      <c r="EMI113" s="181"/>
      <c r="EMJ113" s="182"/>
      <c r="EMK113" s="181"/>
      <c r="EML113" s="182"/>
      <c r="EMM113" s="181"/>
      <c r="EMN113" s="182"/>
      <c r="EMO113" s="181"/>
      <c r="EMP113" s="182"/>
      <c r="EMQ113" s="181"/>
      <c r="EMR113" s="182"/>
      <c r="EMS113" s="181"/>
      <c r="EMT113" s="182"/>
      <c r="EMU113" s="181"/>
      <c r="EMV113" s="182"/>
      <c r="EMW113" s="181"/>
      <c r="EMX113" s="182"/>
      <c r="EMY113" s="181"/>
      <c r="EMZ113" s="182"/>
      <c r="ENA113" s="181"/>
      <c r="ENB113" s="182"/>
      <c r="ENC113" s="181"/>
      <c r="END113" s="182"/>
      <c r="ENE113" s="181"/>
      <c r="ENF113" s="182"/>
      <c r="ENG113" s="181"/>
      <c r="ENH113" s="182"/>
      <c r="ENI113" s="181"/>
      <c r="ENJ113" s="182"/>
      <c r="ENK113" s="181"/>
      <c r="ENL113" s="182"/>
      <c r="ENM113" s="181"/>
      <c r="ENN113" s="182"/>
      <c r="ENO113" s="181"/>
      <c r="ENP113" s="182"/>
      <c r="ENQ113" s="181"/>
      <c r="ENR113" s="182"/>
      <c r="ENS113" s="181"/>
      <c r="ENT113" s="182"/>
      <c r="ENU113" s="181"/>
      <c r="ENV113" s="182"/>
      <c r="ENW113" s="181"/>
      <c r="ENX113" s="182"/>
      <c r="ENY113" s="181"/>
      <c r="ENZ113" s="182"/>
      <c r="EOA113" s="181"/>
      <c r="EOB113" s="182"/>
      <c r="EOC113" s="181"/>
      <c r="EOD113" s="182"/>
      <c r="EOE113" s="181"/>
      <c r="EOF113" s="182"/>
      <c r="EOG113" s="181"/>
      <c r="EOH113" s="182"/>
      <c r="EOI113" s="181"/>
      <c r="EOJ113" s="182"/>
      <c r="EOK113" s="181"/>
      <c r="EOL113" s="182"/>
      <c r="EOM113" s="181"/>
      <c r="EON113" s="182"/>
      <c r="EOO113" s="181"/>
      <c r="EOP113" s="182"/>
      <c r="EOQ113" s="181"/>
      <c r="EOR113" s="182"/>
      <c r="EOS113" s="181"/>
      <c r="EOT113" s="182"/>
      <c r="EOU113" s="181"/>
      <c r="EOV113" s="182"/>
      <c r="EOW113" s="181"/>
      <c r="EOX113" s="182"/>
      <c r="EOY113" s="181"/>
      <c r="EOZ113" s="182"/>
      <c r="EPA113" s="181"/>
      <c r="EPB113" s="182"/>
      <c r="EPC113" s="181"/>
      <c r="EPD113" s="182"/>
      <c r="EPE113" s="181"/>
      <c r="EPF113" s="182"/>
      <c r="EPG113" s="181"/>
      <c r="EPH113" s="182"/>
      <c r="EPI113" s="181"/>
      <c r="EPJ113" s="182"/>
      <c r="EPK113" s="181"/>
      <c r="EPL113" s="182"/>
      <c r="EPM113" s="181"/>
      <c r="EPN113" s="182"/>
      <c r="EPO113" s="181"/>
      <c r="EPP113" s="182"/>
      <c r="EPQ113" s="181"/>
      <c r="EPR113" s="182"/>
      <c r="EPS113" s="181"/>
      <c r="EPT113" s="182"/>
      <c r="EPU113" s="181"/>
      <c r="EPV113" s="182"/>
      <c r="EPW113" s="181"/>
      <c r="EPX113" s="182"/>
      <c r="EPY113" s="181"/>
      <c r="EPZ113" s="182"/>
      <c r="EQA113" s="181"/>
      <c r="EQB113" s="182"/>
      <c r="EQC113" s="181"/>
      <c r="EQD113" s="182"/>
      <c r="EQE113" s="181"/>
      <c r="EQF113" s="182"/>
      <c r="EQG113" s="181"/>
      <c r="EQH113" s="182"/>
      <c r="EQI113" s="181"/>
      <c r="EQJ113" s="182"/>
      <c r="EQK113" s="181"/>
      <c r="EQL113" s="182"/>
      <c r="EQM113" s="181"/>
      <c r="EQN113" s="182"/>
      <c r="EQO113" s="181"/>
      <c r="EQP113" s="182"/>
      <c r="EQQ113" s="181"/>
      <c r="EQR113" s="182"/>
      <c r="EQS113" s="181"/>
      <c r="EQT113" s="182"/>
      <c r="EQU113" s="181"/>
      <c r="EQV113" s="182"/>
      <c r="EQW113" s="181"/>
      <c r="EQX113" s="182"/>
      <c r="EQY113" s="181"/>
      <c r="EQZ113" s="182"/>
      <c r="ERA113" s="181"/>
      <c r="ERB113" s="182"/>
      <c r="ERC113" s="181"/>
      <c r="ERD113" s="182"/>
      <c r="ERE113" s="181"/>
      <c r="ERF113" s="182"/>
      <c r="ERG113" s="181"/>
      <c r="ERH113" s="182"/>
      <c r="ERI113" s="181"/>
      <c r="ERJ113" s="182"/>
      <c r="ERK113" s="181"/>
      <c r="ERL113" s="182"/>
      <c r="ERM113" s="181"/>
      <c r="ERN113" s="182"/>
      <c r="ERO113" s="181"/>
      <c r="ERP113" s="182"/>
      <c r="ERQ113" s="181"/>
      <c r="ERR113" s="182"/>
      <c r="ERS113" s="181"/>
      <c r="ERT113" s="182"/>
      <c r="ERU113" s="181"/>
      <c r="ERV113" s="182"/>
      <c r="ERW113" s="181"/>
      <c r="ERX113" s="182"/>
      <c r="ERY113" s="181"/>
      <c r="ERZ113" s="182"/>
      <c r="ESA113" s="181"/>
      <c r="ESB113" s="182"/>
      <c r="ESC113" s="181"/>
      <c r="ESD113" s="182"/>
      <c r="ESE113" s="181"/>
      <c r="ESF113" s="182"/>
      <c r="ESG113" s="181"/>
      <c r="ESH113" s="182"/>
      <c r="ESI113" s="181"/>
      <c r="ESJ113" s="182"/>
      <c r="ESK113" s="181"/>
      <c r="ESL113" s="182"/>
      <c r="ESM113" s="181"/>
      <c r="ESN113" s="182"/>
      <c r="ESO113" s="181"/>
      <c r="ESP113" s="182"/>
      <c r="ESQ113" s="181"/>
      <c r="ESR113" s="182"/>
      <c r="ESS113" s="181"/>
      <c r="EST113" s="182"/>
      <c r="ESU113" s="181"/>
      <c r="ESV113" s="182"/>
      <c r="ESW113" s="181"/>
      <c r="ESX113" s="182"/>
      <c r="ESY113" s="181"/>
      <c r="ESZ113" s="182"/>
      <c r="ETA113" s="181"/>
      <c r="ETB113" s="182"/>
      <c r="ETC113" s="181"/>
      <c r="ETD113" s="182"/>
      <c r="ETE113" s="181"/>
      <c r="ETF113" s="182"/>
      <c r="ETG113" s="181"/>
      <c r="ETH113" s="182"/>
      <c r="ETI113" s="181"/>
      <c r="ETJ113" s="182"/>
      <c r="ETK113" s="181"/>
      <c r="ETL113" s="182"/>
      <c r="ETM113" s="181"/>
      <c r="ETN113" s="182"/>
      <c r="ETO113" s="181"/>
      <c r="ETP113" s="182"/>
      <c r="ETQ113" s="181"/>
      <c r="ETR113" s="182"/>
      <c r="ETS113" s="181"/>
      <c r="ETT113" s="182"/>
      <c r="ETU113" s="181"/>
      <c r="ETV113" s="182"/>
      <c r="ETW113" s="181"/>
      <c r="ETX113" s="182"/>
      <c r="ETY113" s="181"/>
      <c r="ETZ113" s="182"/>
      <c r="EUA113" s="181"/>
      <c r="EUB113" s="182"/>
      <c r="EUC113" s="181"/>
      <c r="EUD113" s="182"/>
      <c r="EUE113" s="181"/>
      <c r="EUF113" s="182"/>
      <c r="EUG113" s="181"/>
      <c r="EUH113" s="182"/>
      <c r="EUI113" s="181"/>
      <c r="EUJ113" s="182"/>
      <c r="EUK113" s="181"/>
      <c r="EUL113" s="182"/>
      <c r="EUM113" s="181"/>
      <c r="EUN113" s="182"/>
      <c r="EUO113" s="181"/>
      <c r="EUP113" s="182"/>
      <c r="EUQ113" s="181"/>
      <c r="EUR113" s="182"/>
      <c r="EUS113" s="181"/>
      <c r="EUT113" s="182"/>
      <c r="EUU113" s="181"/>
      <c r="EUV113" s="182"/>
      <c r="EUW113" s="181"/>
      <c r="EUX113" s="182"/>
      <c r="EUY113" s="181"/>
      <c r="EUZ113" s="182"/>
      <c r="EVA113" s="181"/>
      <c r="EVB113" s="182"/>
      <c r="EVC113" s="181"/>
      <c r="EVD113" s="182"/>
      <c r="EVE113" s="181"/>
      <c r="EVF113" s="182"/>
      <c r="EVG113" s="181"/>
      <c r="EVH113" s="182"/>
      <c r="EVI113" s="181"/>
      <c r="EVJ113" s="182"/>
      <c r="EVK113" s="181"/>
      <c r="EVL113" s="182"/>
      <c r="EVM113" s="181"/>
      <c r="EVN113" s="182"/>
      <c r="EVO113" s="181"/>
      <c r="EVP113" s="182"/>
      <c r="EVQ113" s="181"/>
      <c r="EVR113" s="182"/>
      <c r="EVS113" s="181"/>
      <c r="EVT113" s="182"/>
      <c r="EVU113" s="181"/>
      <c r="EVV113" s="182"/>
      <c r="EVW113" s="181"/>
      <c r="EVX113" s="182"/>
      <c r="EVY113" s="181"/>
      <c r="EVZ113" s="182"/>
      <c r="EWA113" s="181"/>
      <c r="EWB113" s="182"/>
      <c r="EWC113" s="181"/>
      <c r="EWD113" s="182"/>
      <c r="EWE113" s="181"/>
      <c r="EWF113" s="182"/>
      <c r="EWG113" s="181"/>
      <c r="EWH113" s="182"/>
      <c r="EWI113" s="181"/>
      <c r="EWJ113" s="182"/>
      <c r="EWK113" s="181"/>
      <c r="EWL113" s="182"/>
      <c r="EWM113" s="181"/>
      <c r="EWN113" s="182"/>
      <c r="EWO113" s="181"/>
      <c r="EWP113" s="182"/>
      <c r="EWQ113" s="181"/>
      <c r="EWR113" s="182"/>
      <c r="EWS113" s="181"/>
      <c r="EWT113" s="182"/>
      <c r="EWU113" s="181"/>
      <c r="EWV113" s="182"/>
      <c r="EWW113" s="181"/>
      <c r="EWX113" s="182"/>
      <c r="EWY113" s="181"/>
      <c r="EWZ113" s="182"/>
      <c r="EXA113" s="181"/>
      <c r="EXB113" s="182"/>
      <c r="EXC113" s="181"/>
      <c r="EXD113" s="182"/>
      <c r="EXE113" s="181"/>
      <c r="EXF113" s="182"/>
      <c r="EXG113" s="181"/>
      <c r="EXH113" s="182"/>
      <c r="EXI113" s="181"/>
      <c r="EXJ113" s="182"/>
      <c r="EXK113" s="181"/>
      <c r="EXL113" s="182"/>
      <c r="EXM113" s="181"/>
      <c r="EXN113" s="182"/>
      <c r="EXO113" s="181"/>
      <c r="EXP113" s="182"/>
      <c r="EXQ113" s="181"/>
      <c r="EXR113" s="182"/>
      <c r="EXS113" s="181"/>
      <c r="EXT113" s="182"/>
      <c r="EXU113" s="181"/>
      <c r="EXV113" s="182"/>
      <c r="EXW113" s="181"/>
      <c r="EXX113" s="182"/>
      <c r="EXY113" s="181"/>
      <c r="EXZ113" s="182"/>
      <c r="EYA113" s="181"/>
      <c r="EYB113" s="182"/>
      <c r="EYC113" s="181"/>
      <c r="EYD113" s="182"/>
      <c r="EYE113" s="181"/>
      <c r="EYF113" s="182"/>
      <c r="EYG113" s="181"/>
      <c r="EYH113" s="182"/>
      <c r="EYI113" s="181"/>
      <c r="EYJ113" s="182"/>
      <c r="EYK113" s="181"/>
      <c r="EYL113" s="182"/>
      <c r="EYM113" s="181"/>
      <c r="EYN113" s="182"/>
      <c r="EYO113" s="181"/>
      <c r="EYP113" s="182"/>
      <c r="EYQ113" s="181"/>
      <c r="EYR113" s="182"/>
      <c r="EYS113" s="181"/>
      <c r="EYT113" s="182"/>
      <c r="EYU113" s="181"/>
      <c r="EYV113" s="182"/>
      <c r="EYW113" s="181"/>
      <c r="EYX113" s="182"/>
      <c r="EYY113" s="181"/>
      <c r="EYZ113" s="182"/>
      <c r="EZA113" s="181"/>
      <c r="EZB113" s="182"/>
      <c r="EZC113" s="181"/>
      <c r="EZD113" s="182"/>
      <c r="EZE113" s="181"/>
      <c r="EZF113" s="182"/>
      <c r="EZG113" s="181"/>
      <c r="EZH113" s="182"/>
      <c r="EZI113" s="181"/>
      <c r="EZJ113" s="182"/>
      <c r="EZK113" s="181"/>
      <c r="EZL113" s="182"/>
      <c r="EZM113" s="181"/>
      <c r="EZN113" s="182"/>
      <c r="EZO113" s="181"/>
      <c r="EZP113" s="182"/>
      <c r="EZQ113" s="181"/>
      <c r="EZR113" s="182"/>
      <c r="EZS113" s="181"/>
      <c r="EZT113" s="182"/>
      <c r="EZU113" s="181"/>
      <c r="EZV113" s="182"/>
      <c r="EZW113" s="181"/>
      <c r="EZX113" s="182"/>
      <c r="EZY113" s="181"/>
      <c r="EZZ113" s="182"/>
      <c r="FAA113" s="181"/>
      <c r="FAB113" s="182"/>
      <c r="FAC113" s="181"/>
      <c r="FAD113" s="182"/>
      <c r="FAE113" s="181"/>
      <c r="FAF113" s="182"/>
      <c r="FAG113" s="181"/>
      <c r="FAH113" s="182"/>
      <c r="FAI113" s="181"/>
      <c r="FAJ113" s="182"/>
      <c r="FAK113" s="181"/>
      <c r="FAL113" s="182"/>
      <c r="FAM113" s="181"/>
      <c r="FAN113" s="182"/>
      <c r="FAO113" s="181"/>
      <c r="FAP113" s="182"/>
      <c r="FAQ113" s="181"/>
      <c r="FAR113" s="182"/>
      <c r="FAS113" s="181"/>
      <c r="FAT113" s="182"/>
      <c r="FAU113" s="181"/>
      <c r="FAV113" s="182"/>
      <c r="FAW113" s="181"/>
      <c r="FAX113" s="182"/>
      <c r="FAY113" s="181"/>
      <c r="FAZ113" s="182"/>
      <c r="FBA113" s="181"/>
      <c r="FBB113" s="182"/>
      <c r="FBC113" s="181"/>
      <c r="FBD113" s="182"/>
      <c r="FBE113" s="181"/>
      <c r="FBF113" s="182"/>
      <c r="FBG113" s="181"/>
      <c r="FBH113" s="182"/>
      <c r="FBI113" s="181"/>
      <c r="FBJ113" s="182"/>
      <c r="FBK113" s="181"/>
      <c r="FBL113" s="182"/>
      <c r="FBM113" s="181"/>
      <c r="FBN113" s="182"/>
      <c r="FBO113" s="181"/>
      <c r="FBP113" s="182"/>
      <c r="FBQ113" s="181"/>
      <c r="FBR113" s="182"/>
      <c r="FBS113" s="181"/>
      <c r="FBT113" s="182"/>
      <c r="FBU113" s="181"/>
      <c r="FBV113" s="182"/>
      <c r="FBW113" s="181"/>
      <c r="FBX113" s="182"/>
      <c r="FBY113" s="181"/>
      <c r="FBZ113" s="182"/>
      <c r="FCA113" s="181"/>
      <c r="FCB113" s="182"/>
      <c r="FCC113" s="181"/>
      <c r="FCD113" s="182"/>
      <c r="FCE113" s="181"/>
      <c r="FCF113" s="182"/>
      <c r="FCG113" s="181"/>
      <c r="FCH113" s="182"/>
      <c r="FCI113" s="181"/>
      <c r="FCJ113" s="182"/>
      <c r="FCK113" s="181"/>
      <c r="FCL113" s="182"/>
      <c r="FCM113" s="181"/>
      <c r="FCN113" s="182"/>
      <c r="FCO113" s="181"/>
      <c r="FCP113" s="182"/>
      <c r="FCQ113" s="181"/>
      <c r="FCR113" s="182"/>
      <c r="FCS113" s="181"/>
      <c r="FCT113" s="182"/>
      <c r="FCU113" s="181"/>
      <c r="FCV113" s="182"/>
      <c r="FCW113" s="181"/>
      <c r="FCX113" s="182"/>
      <c r="FCY113" s="181"/>
      <c r="FCZ113" s="182"/>
      <c r="FDA113" s="181"/>
      <c r="FDB113" s="182"/>
      <c r="FDC113" s="181"/>
      <c r="FDD113" s="182"/>
      <c r="FDE113" s="181"/>
      <c r="FDF113" s="182"/>
      <c r="FDG113" s="181"/>
      <c r="FDH113" s="182"/>
      <c r="FDI113" s="181"/>
      <c r="FDJ113" s="182"/>
      <c r="FDK113" s="181"/>
      <c r="FDL113" s="182"/>
      <c r="FDM113" s="181"/>
      <c r="FDN113" s="182"/>
      <c r="FDO113" s="181"/>
      <c r="FDP113" s="182"/>
      <c r="FDQ113" s="181"/>
      <c r="FDR113" s="182"/>
      <c r="FDS113" s="181"/>
      <c r="FDT113" s="182"/>
      <c r="FDU113" s="181"/>
      <c r="FDV113" s="182"/>
      <c r="FDW113" s="181"/>
      <c r="FDX113" s="182"/>
      <c r="FDY113" s="181"/>
      <c r="FDZ113" s="182"/>
      <c r="FEA113" s="181"/>
      <c r="FEB113" s="182"/>
      <c r="FEC113" s="181"/>
      <c r="FED113" s="182"/>
      <c r="FEE113" s="181"/>
      <c r="FEF113" s="182"/>
      <c r="FEG113" s="181"/>
      <c r="FEH113" s="182"/>
      <c r="FEI113" s="181"/>
      <c r="FEJ113" s="182"/>
      <c r="FEK113" s="181"/>
      <c r="FEL113" s="182"/>
      <c r="FEM113" s="181"/>
      <c r="FEN113" s="182"/>
      <c r="FEO113" s="181"/>
      <c r="FEP113" s="182"/>
      <c r="FEQ113" s="181"/>
      <c r="FER113" s="182"/>
      <c r="FES113" s="181"/>
      <c r="FET113" s="182"/>
      <c r="FEU113" s="181"/>
      <c r="FEV113" s="182"/>
      <c r="FEW113" s="181"/>
      <c r="FEX113" s="182"/>
      <c r="FEY113" s="181"/>
      <c r="FEZ113" s="182"/>
      <c r="FFA113" s="181"/>
      <c r="FFB113" s="182"/>
      <c r="FFC113" s="181"/>
      <c r="FFD113" s="182"/>
      <c r="FFE113" s="181"/>
      <c r="FFF113" s="182"/>
      <c r="FFG113" s="181"/>
      <c r="FFH113" s="182"/>
      <c r="FFI113" s="181"/>
      <c r="FFJ113" s="182"/>
      <c r="FFK113" s="181"/>
      <c r="FFL113" s="182"/>
      <c r="FFM113" s="181"/>
      <c r="FFN113" s="182"/>
      <c r="FFO113" s="181"/>
      <c r="FFP113" s="182"/>
      <c r="FFQ113" s="181"/>
      <c r="FFR113" s="182"/>
      <c r="FFS113" s="181"/>
      <c r="FFT113" s="182"/>
      <c r="FFU113" s="181"/>
      <c r="FFV113" s="182"/>
      <c r="FFW113" s="181"/>
      <c r="FFX113" s="182"/>
      <c r="FFY113" s="181"/>
      <c r="FFZ113" s="182"/>
      <c r="FGA113" s="181"/>
      <c r="FGB113" s="182"/>
      <c r="FGC113" s="181"/>
      <c r="FGD113" s="182"/>
      <c r="FGE113" s="181"/>
      <c r="FGF113" s="182"/>
      <c r="FGG113" s="181"/>
      <c r="FGH113" s="182"/>
      <c r="FGI113" s="181"/>
      <c r="FGJ113" s="182"/>
      <c r="FGK113" s="181"/>
      <c r="FGL113" s="182"/>
      <c r="FGM113" s="181"/>
      <c r="FGN113" s="182"/>
      <c r="FGO113" s="181"/>
      <c r="FGP113" s="182"/>
      <c r="FGQ113" s="181"/>
      <c r="FGR113" s="182"/>
      <c r="FGS113" s="181"/>
      <c r="FGT113" s="182"/>
      <c r="FGU113" s="181"/>
      <c r="FGV113" s="182"/>
      <c r="FGW113" s="181"/>
      <c r="FGX113" s="182"/>
      <c r="FGY113" s="181"/>
      <c r="FGZ113" s="182"/>
      <c r="FHA113" s="181"/>
      <c r="FHB113" s="182"/>
      <c r="FHC113" s="181"/>
      <c r="FHD113" s="182"/>
      <c r="FHE113" s="181"/>
      <c r="FHF113" s="182"/>
      <c r="FHG113" s="181"/>
      <c r="FHH113" s="182"/>
      <c r="FHI113" s="181"/>
      <c r="FHJ113" s="182"/>
      <c r="FHK113" s="181"/>
      <c r="FHL113" s="182"/>
      <c r="FHM113" s="181"/>
      <c r="FHN113" s="182"/>
      <c r="FHO113" s="181"/>
      <c r="FHP113" s="182"/>
      <c r="FHQ113" s="181"/>
      <c r="FHR113" s="182"/>
      <c r="FHS113" s="181"/>
      <c r="FHT113" s="182"/>
      <c r="FHU113" s="181"/>
      <c r="FHV113" s="182"/>
      <c r="FHW113" s="181"/>
      <c r="FHX113" s="182"/>
      <c r="FHY113" s="181"/>
      <c r="FHZ113" s="182"/>
      <c r="FIA113" s="181"/>
      <c r="FIB113" s="182"/>
      <c r="FIC113" s="181"/>
      <c r="FID113" s="182"/>
      <c r="FIE113" s="181"/>
      <c r="FIF113" s="182"/>
      <c r="FIG113" s="181"/>
      <c r="FIH113" s="182"/>
      <c r="FII113" s="181"/>
      <c r="FIJ113" s="182"/>
      <c r="FIK113" s="181"/>
      <c r="FIL113" s="182"/>
      <c r="FIM113" s="181"/>
      <c r="FIN113" s="182"/>
      <c r="FIO113" s="181"/>
      <c r="FIP113" s="182"/>
      <c r="FIQ113" s="181"/>
      <c r="FIR113" s="182"/>
      <c r="FIS113" s="181"/>
      <c r="FIT113" s="182"/>
      <c r="FIU113" s="181"/>
      <c r="FIV113" s="182"/>
      <c r="FIW113" s="181"/>
      <c r="FIX113" s="182"/>
      <c r="FIY113" s="181"/>
      <c r="FIZ113" s="182"/>
      <c r="FJA113" s="181"/>
      <c r="FJB113" s="182"/>
      <c r="FJC113" s="181"/>
      <c r="FJD113" s="182"/>
      <c r="FJE113" s="181"/>
      <c r="FJF113" s="182"/>
      <c r="FJG113" s="181"/>
      <c r="FJH113" s="182"/>
      <c r="FJI113" s="181"/>
      <c r="FJJ113" s="182"/>
      <c r="FJK113" s="181"/>
      <c r="FJL113" s="182"/>
      <c r="FJM113" s="181"/>
      <c r="FJN113" s="182"/>
      <c r="FJO113" s="181"/>
      <c r="FJP113" s="182"/>
      <c r="FJQ113" s="181"/>
      <c r="FJR113" s="182"/>
      <c r="FJS113" s="181"/>
      <c r="FJT113" s="182"/>
      <c r="FJU113" s="181"/>
      <c r="FJV113" s="182"/>
      <c r="FJW113" s="181"/>
      <c r="FJX113" s="182"/>
      <c r="FJY113" s="181"/>
      <c r="FJZ113" s="182"/>
      <c r="FKA113" s="181"/>
      <c r="FKB113" s="182"/>
      <c r="FKC113" s="181"/>
      <c r="FKD113" s="182"/>
      <c r="FKE113" s="181"/>
      <c r="FKF113" s="182"/>
      <c r="FKG113" s="181"/>
      <c r="FKH113" s="182"/>
      <c r="FKI113" s="181"/>
      <c r="FKJ113" s="182"/>
      <c r="FKK113" s="181"/>
      <c r="FKL113" s="182"/>
      <c r="FKM113" s="181"/>
      <c r="FKN113" s="182"/>
      <c r="FKO113" s="181"/>
      <c r="FKP113" s="182"/>
      <c r="FKQ113" s="181"/>
      <c r="FKR113" s="182"/>
      <c r="FKS113" s="181"/>
      <c r="FKT113" s="182"/>
      <c r="FKU113" s="181"/>
      <c r="FKV113" s="182"/>
      <c r="FKW113" s="181"/>
      <c r="FKX113" s="182"/>
      <c r="FKY113" s="181"/>
      <c r="FKZ113" s="182"/>
      <c r="FLA113" s="181"/>
      <c r="FLB113" s="182"/>
      <c r="FLC113" s="181"/>
      <c r="FLD113" s="182"/>
      <c r="FLE113" s="181"/>
      <c r="FLF113" s="182"/>
      <c r="FLG113" s="181"/>
      <c r="FLH113" s="182"/>
      <c r="FLI113" s="181"/>
      <c r="FLJ113" s="182"/>
      <c r="FLK113" s="181"/>
      <c r="FLL113" s="182"/>
      <c r="FLM113" s="181"/>
      <c r="FLN113" s="182"/>
      <c r="FLO113" s="181"/>
      <c r="FLP113" s="182"/>
      <c r="FLQ113" s="181"/>
      <c r="FLR113" s="182"/>
      <c r="FLS113" s="181"/>
      <c r="FLT113" s="182"/>
      <c r="FLU113" s="181"/>
      <c r="FLV113" s="182"/>
      <c r="FLW113" s="181"/>
      <c r="FLX113" s="182"/>
      <c r="FLY113" s="181"/>
      <c r="FLZ113" s="182"/>
      <c r="FMA113" s="181"/>
      <c r="FMB113" s="182"/>
      <c r="FMC113" s="181"/>
      <c r="FMD113" s="182"/>
      <c r="FME113" s="181"/>
      <c r="FMF113" s="182"/>
      <c r="FMG113" s="181"/>
      <c r="FMH113" s="182"/>
      <c r="FMI113" s="181"/>
      <c r="FMJ113" s="182"/>
      <c r="FMK113" s="181"/>
      <c r="FML113" s="182"/>
      <c r="FMM113" s="181"/>
      <c r="FMN113" s="182"/>
      <c r="FMO113" s="181"/>
      <c r="FMP113" s="182"/>
      <c r="FMQ113" s="181"/>
      <c r="FMR113" s="182"/>
      <c r="FMS113" s="181"/>
      <c r="FMT113" s="182"/>
      <c r="FMU113" s="181"/>
      <c r="FMV113" s="182"/>
      <c r="FMW113" s="181"/>
      <c r="FMX113" s="182"/>
      <c r="FMY113" s="181"/>
      <c r="FMZ113" s="182"/>
      <c r="FNA113" s="181"/>
      <c r="FNB113" s="182"/>
      <c r="FNC113" s="181"/>
      <c r="FND113" s="182"/>
      <c r="FNE113" s="181"/>
      <c r="FNF113" s="182"/>
      <c r="FNG113" s="181"/>
      <c r="FNH113" s="182"/>
      <c r="FNI113" s="181"/>
      <c r="FNJ113" s="182"/>
      <c r="FNK113" s="181"/>
      <c r="FNL113" s="182"/>
      <c r="FNM113" s="181"/>
      <c r="FNN113" s="182"/>
      <c r="FNO113" s="181"/>
      <c r="FNP113" s="182"/>
      <c r="FNQ113" s="181"/>
      <c r="FNR113" s="182"/>
      <c r="FNS113" s="181"/>
      <c r="FNT113" s="182"/>
      <c r="FNU113" s="181"/>
      <c r="FNV113" s="182"/>
      <c r="FNW113" s="181"/>
      <c r="FNX113" s="182"/>
      <c r="FNY113" s="181"/>
      <c r="FNZ113" s="182"/>
      <c r="FOA113" s="181"/>
      <c r="FOB113" s="182"/>
      <c r="FOC113" s="181"/>
      <c r="FOD113" s="182"/>
      <c r="FOE113" s="181"/>
      <c r="FOF113" s="182"/>
      <c r="FOG113" s="181"/>
      <c r="FOH113" s="182"/>
      <c r="FOI113" s="181"/>
      <c r="FOJ113" s="182"/>
      <c r="FOK113" s="181"/>
      <c r="FOL113" s="182"/>
      <c r="FOM113" s="181"/>
      <c r="FON113" s="182"/>
      <c r="FOO113" s="181"/>
      <c r="FOP113" s="182"/>
      <c r="FOQ113" s="181"/>
      <c r="FOR113" s="182"/>
      <c r="FOS113" s="181"/>
      <c r="FOT113" s="182"/>
      <c r="FOU113" s="181"/>
      <c r="FOV113" s="182"/>
      <c r="FOW113" s="181"/>
      <c r="FOX113" s="182"/>
      <c r="FOY113" s="181"/>
      <c r="FOZ113" s="182"/>
      <c r="FPA113" s="181"/>
      <c r="FPB113" s="182"/>
      <c r="FPC113" s="181"/>
      <c r="FPD113" s="182"/>
      <c r="FPE113" s="181"/>
      <c r="FPF113" s="182"/>
      <c r="FPG113" s="181"/>
      <c r="FPH113" s="182"/>
      <c r="FPI113" s="181"/>
      <c r="FPJ113" s="182"/>
      <c r="FPK113" s="181"/>
      <c r="FPL113" s="182"/>
      <c r="FPM113" s="181"/>
      <c r="FPN113" s="182"/>
      <c r="FPO113" s="181"/>
      <c r="FPP113" s="182"/>
      <c r="FPQ113" s="181"/>
      <c r="FPR113" s="182"/>
      <c r="FPS113" s="181"/>
      <c r="FPT113" s="182"/>
      <c r="FPU113" s="181"/>
      <c r="FPV113" s="182"/>
      <c r="FPW113" s="181"/>
      <c r="FPX113" s="182"/>
      <c r="FPY113" s="181"/>
      <c r="FPZ113" s="182"/>
      <c r="FQA113" s="181"/>
      <c r="FQB113" s="182"/>
      <c r="FQC113" s="181"/>
      <c r="FQD113" s="182"/>
      <c r="FQE113" s="181"/>
      <c r="FQF113" s="182"/>
      <c r="FQG113" s="181"/>
      <c r="FQH113" s="182"/>
      <c r="FQI113" s="181"/>
      <c r="FQJ113" s="182"/>
      <c r="FQK113" s="181"/>
      <c r="FQL113" s="182"/>
      <c r="FQM113" s="181"/>
      <c r="FQN113" s="182"/>
      <c r="FQO113" s="181"/>
      <c r="FQP113" s="182"/>
      <c r="FQQ113" s="181"/>
      <c r="FQR113" s="182"/>
      <c r="FQS113" s="181"/>
      <c r="FQT113" s="182"/>
      <c r="FQU113" s="181"/>
      <c r="FQV113" s="182"/>
      <c r="FQW113" s="181"/>
      <c r="FQX113" s="182"/>
      <c r="FQY113" s="181"/>
      <c r="FQZ113" s="182"/>
      <c r="FRA113" s="181"/>
      <c r="FRB113" s="182"/>
      <c r="FRC113" s="181"/>
      <c r="FRD113" s="182"/>
      <c r="FRE113" s="181"/>
      <c r="FRF113" s="182"/>
      <c r="FRG113" s="181"/>
      <c r="FRH113" s="182"/>
      <c r="FRI113" s="181"/>
      <c r="FRJ113" s="182"/>
      <c r="FRK113" s="181"/>
      <c r="FRL113" s="182"/>
      <c r="FRM113" s="181"/>
      <c r="FRN113" s="182"/>
      <c r="FRO113" s="181"/>
      <c r="FRP113" s="182"/>
      <c r="FRQ113" s="181"/>
      <c r="FRR113" s="182"/>
      <c r="FRS113" s="181"/>
      <c r="FRT113" s="182"/>
      <c r="FRU113" s="181"/>
      <c r="FRV113" s="182"/>
      <c r="FRW113" s="181"/>
      <c r="FRX113" s="182"/>
      <c r="FRY113" s="181"/>
      <c r="FRZ113" s="182"/>
      <c r="FSA113" s="181"/>
      <c r="FSB113" s="182"/>
      <c r="FSC113" s="181"/>
      <c r="FSD113" s="182"/>
      <c r="FSE113" s="181"/>
      <c r="FSF113" s="182"/>
      <c r="FSG113" s="181"/>
      <c r="FSH113" s="182"/>
      <c r="FSI113" s="181"/>
      <c r="FSJ113" s="182"/>
      <c r="FSK113" s="181"/>
      <c r="FSL113" s="182"/>
      <c r="FSM113" s="181"/>
      <c r="FSN113" s="182"/>
      <c r="FSO113" s="181"/>
      <c r="FSP113" s="182"/>
      <c r="FSQ113" s="181"/>
      <c r="FSR113" s="182"/>
      <c r="FSS113" s="181"/>
      <c r="FST113" s="182"/>
      <c r="FSU113" s="181"/>
      <c r="FSV113" s="182"/>
      <c r="FSW113" s="181"/>
      <c r="FSX113" s="182"/>
      <c r="FSY113" s="181"/>
      <c r="FSZ113" s="182"/>
      <c r="FTA113" s="181"/>
      <c r="FTB113" s="182"/>
      <c r="FTC113" s="181"/>
      <c r="FTD113" s="182"/>
      <c r="FTE113" s="181"/>
      <c r="FTF113" s="182"/>
      <c r="FTG113" s="181"/>
      <c r="FTH113" s="182"/>
      <c r="FTI113" s="181"/>
      <c r="FTJ113" s="182"/>
      <c r="FTK113" s="181"/>
      <c r="FTL113" s="182"/>
      <c r="FTM113" s="181"/>
      <c r="FTN113" s="182"/>
      <c r="FTO113" s="181"/>
      <c r="FTP113" s="182"/>
      <c r="FTQ113" s="181"/>
      <c r="FTR113" s="182"/>
      <c r="FTS113" s="181"/>
      <c r="FTT113" s="182"/>
      <c r="FTU113" s="181"/>
      <c r="FTV113" s="182"/>
      <c r="FTW113" s="181"/>
      <c r="FTX113" s="182"/>
      <c r="FTY113" s="181"/>
      <c r="FTZ113" s="182"/>
      <c r="FUA113" s="181"/>
      <c r="FUB113" s="182"/>
      <c r="FUC113" s="181"/>
      <c r="FUD113" s="182"/>
      <c r="FUE113" s="181"/>
      <c r="FUF113" s="182"/>
      <c r="FUG113" s="181"/>
      <c r="FUH113" s="182"/>
      <c r="FUI113" s="181"/>
      <c r="FUJ113" s="182"/>
      <c r="FUK113" s="181"/>
      <c r="FUL113" s="182"/>
      <c r="FUM113" s="181"/>
      <c r="FUN113" s="182"/>
      <c r="FUO113" s="181"/>
      <c r="FUP113" s="182"/>
      <c r="FUQ113" s="181"/>
      <c r="FUR113" s="182"/>
      <c r="FUS113" s="181"/>
      <c r="FUT113" s="182"/>
      <c r="FUU113" s="181"/>
      <c r="FUV113" s="182"/>
      <c r="FUW113" s="181"/>
      <c r="FUX113" s="182"/>
      <c r="FUY113" s="181"/>
      <c r="FUZ113" s="182"/>
      <c r="FVA113" s="181"/>
      <c r="FVB113" s="182"/>
      <c r="FVC113" s="181"/>
      <c r="FVD113" s="182"/>
      <c r="FVE113" s="181"/>
      <c r="FVF113" s="182"/>
      <c r="FVG113" s="181"/>
      <c r="FVH113" s="182"/>
      <c r="FVI113" s="181"/>
      <c r="FVJ113" s="182"/>
      <c r="FVK113" s="181"/>
      <c r="FVL113" s="182"/>
      <c r="FVM113" s="181"/>
      <c r="FVN113" s="182"/>
      <c r="FVO113" s="181"/>
      <c r="FVP113" s="182"/>
      <c r="FVQ113" s="181"/>
      <c r="FVR113" s="182"/>
      <c r="FVS113" s="181"/>
      <c r="FVT113" s="182"/>
      <c r="FVU113" s="181"/>
      <c r="FVV113" s="182"/>
      <c r="FVW113" s="181"/>
      <c r="FVX113" s="182"/>
      <c r="FVY113" s="181"/>
      <c r="FVZ113" s="182"/>
      <c r="FWA113" s="181"/>
      <c r="FWB113" s="182"/>
      <c r="FWC113" s="181"/>
      <c r="FWD113" s="182"/>
      <c r="FWE113" s="181"/>
      <c r="FWF113" s="182"/>
      <c r="FWG113" s="181"/>
      <c r="FWH113" s="182"/>
      <c r="FWI113" s="181"/>
      <c r="FWJ113" s="182"/>
      <c r="FWK113" s="181"/>
      <c r="FWL113" s="182"/>
      <c r="FWM113" s="181"/>
      <c r="FWN113" s="182"/>
      <c r="FWO113" s="181"/>
      <c r="FWP113" s="182"/>
      <c r="FWQ113" s="181"/>
      <c r="FWR113" s="182"/>
      <c r="FWS113" s="181"/>
      <c r="FWT113" s="182"/>
      <c r="FWU113" s="181"/>
      <c r="FWV113" s="182"/>
      <c r="FWW113" s="181"/>
      <c r="FWX113" s="182"/>
      <c r="FWY113" s="181"/>
      <c r="FWZ113" s="182"/>
      <c r="FXA113" s="181"/>
      <c r="FXB113" s="182"/>
      <c r="FXC113" s="181"/>
      <c r="FXD113" s="182"/>
      <c r="FXE113" s="181"/>
      <c r="FXF113" s="182"/>
      <c r="FXG113" s="181"/>
      <c r="FXH113" s="182"/>
      <c r="FXI113" s="181"/>
      <c r="FXJ113" s="182"/>
      <c r="FXK113" s="181"/>
      <c r="FXL113" s="182"/>
      <c r="FXM113" s="181"/>
      <c r="FXN113" s="182"/>
      <c r="FXO113" s="181"/>
      <c r="FXP113" s="182"/>
      <c r="FXQ113" s="181"/>
      <c r="FXR113" s="182"/>
      <c r="FXS113" s="181"/>
      <c r="FXT113" s="182"/>
      <c r="FXU113" s="181"/>
      <c r="FXV113" s="182"/>
      <c r="FXW113" s="181"/>
      <c r="FXX113" s="182"/>
      <c r="FXY113" s="181"/>
      <c r="FXZ113" s="182"/>
      <c r="FYA113" s="181"/>
      <c r="FYB113" s="182"/>
      <c r="FYC113" s="181"/>
      <c r="FYD113" s="182"/>
      <c r="FYE113" s="181"/>
      <c r="FYF113" s="182"/>
      <c r="FYG113" s="181"/>
      <c r="FYH113" s="182"/>
      <c r="FYI113" s="181"/>
      <c r="FYJ113" s="182"/>
      <c r="FYK113" s="181"/>
      <c r="FYL113" s="182"/>
      <c r="FYM113" s="181"/>
      <c r="FYN113" s="182"/>
      <c r="FYO113" s="181"/>
      <c r="FYP113" s="182"/>
      <c r="FYQ113" s="181"/>
      <c r="FYR113" s="182"/>
      <c r="FYS113" s="181"/>
      <c r="FYT113" s="182"/>
      <c r="FYU113" s="181"/>
      <c r="FYV113" s="182"/>
      <c r="FYW113" s="181"/>
      <c r="FYX113" s="182"/>
      <c r="FYY113" s="181"/>
      <c r="FYZ113" s="182"/>
      <c r="FZA113" s="181"/>
      <c r="FZB113" s="182"/>
      <c r="FZC113" s="181"/>
      <c r="FZD113" s="182"/>
      <c r="FZE113" s="181"/>
      <c r="FZF113" s="182"/>
      <c r="FZG113" s="181"/>
      <c r="FZH113" s="182"/>
      <c r="FZI113" s="181"/>
      <c r="FZJ113" s="182"/>
      <c r="FZK113" s="181"/>
      <c r="FZL113" s="182"/>
      <c r="FZM113" s="181"/>
      <c r="FZN113" s="182"/>
      <c r="FZO113" s="181"/>
      <c r="FZP113" s="182"/>
      <c r="FZQ113" s="181"/>
      <c r="FZR113" s="182"/>
      <c r="FZS113" s="181"/>
      <c r="FZT113" s="182"/>
      <c r="FZU113" s="181"/>
      <c r="FZV113" s="182"/>
      <c r="FZW113" s="181"/>
      <c r="FZX113" s="182"/>
      <c r="FZY113" s="181"/>
      <c r="FZZ113" s="182"/>
      <c r="GAA113" s="181"/>
      <c r="GAB113" s="182"/>
      <c r="GAC113" s="181"/>
      <c r="GAD113" s="182"/>
      <c r="GAE113" s="181"/>
      <c r="GAF113" s="182"/>
      <c r="GAG113" s="181"/>
      <c r="GAH113" s="182"/>
      <c r="GAI113" s="181"/>
      <c r="GAJ113" s="182"/>
      <c r="GAK113" s="181"/>
      <c r="GAL113" s="182"/>
      <c r="GAM113" s="181"/>
      <c r="GAN113" s="182"/>
      <c r="GAO113" s="181"/>
      <c r="GAP113" s="182"/>
      <c r="GAQ113" s="181"/>
      <c r="GAR113" s="182"/>
      <c r="GAS113" s="181"/>
      <c r="GAT113" s="182"/>
      <c r="GAU113" s="181"/>
      <c r="GAV113" s="182"/>
      <c r="GAW113" s="181"/>
      <c r="GAX113" s="182"/>
      <c r="GAY113" s="181"/>
      <c r="GAZ113" s="182"/>
      <c r="GBA113" s="181"/>
      <c r="GBB113" s="182"/>
      <c r="GBC113" s="181"/>
      <c r="GBD113" s="182"/>
      <c r="GBE113" s="181"/>
      <c r="GBF113" s="182"/>
      <c r="GBG113" s="181"/>
      <c r="GBH113" s="182"/>
      <c r="GBI113" s="181"/>
      <c r="GBJ113" s="182"/>
      <c r="GBK113" s="181"/>
      <c r="GBL113" s="182"/>
      <c r="GBM113" s="181"/>
      <c r="GBN113" s="182"/>
      <c r="GBO113" s="181"/>
      <c r="GBP113" s="182"/>
      <c r="GBQ113" s="181"/>
      <c r="GBR113" s="182"/>
      <c r="GBS113" s="181"/>
      <c r="GBT113" s="182"/>
      <c r="GBU113" s="181"/>
      <c r="GBV113" s="182"/>
      <c r="GBW113" s="181"/>
      <c r="GBX113" s="182"/>
      <c r="GBY113" s="181"/>
      <c r="GBZ113" s="182"/>
      <c r="GCA113" s="181"/>
      <c r="GCB113" s="182"/>
      <c r="GCC113" s="181"/>
      <c r="GCD113" s="182"/>
      <c r="GCE113" s="181"/>
      <c r="GCF113" s="182"/>
      <c r="GCG113" s="181"/>
      <c r="GCH113" s="182"/>
      <c r="GCI113" s="181"/>
      <c r="GCJ113" s="182"/>
      <c r="GCK113" s="181"/>
      <c r="GCL113" s="182"/>
      <c r="GCM113" s="181"/>
      <c r="GCN113" s="182"/>
      <c r="GCO113" s="181"/>
      <c r="GCP113" s="182"/>
      <c r="GCQ113" s="181"/>
      <c r="GCR113" s="182"/>
      <c r="GCS113" s="181"/>
      <c r="GCT113" s="182"/>
      <c r="GCU113" s="181"/>
      <c r="GCV113" s="182"/>
      <c r="GCW113" s="181"/>
      <c r="GCX113" s="182"/>
      <c r="GCY113" s="181"/>
      <c r="GCZ113" s="182"/>
      <c r="GDA113" s="181"/>
      <c r="GDB113" s="182"/>
      <c r="GDC113" s="181"/>
      <c r="GDD113" s="182"/>
      <c r="GDE113" s="181"/>
      <c r="GDF113" s="182"/>
      <c r="GDG113" s="181"/>
      <c r="GDH113" s="182"/>
      <c r="GDI113" s="181"/>
      <c r="GDJ113" s="182"/>
      <c r="GDK113" s="181"/>
      <c r="GDL113" s="182"/>
      <c r="GDM113" s="181"/>
      <c r="GDN113" s="182"/>
      <c r="GDO113" s="181"/>
      <c r="GDP113" s="182"/>
      <c r="GDQ113" s="181"/>
      <c r="GDR113" s="182"/>
      <c r="GDS113" s="181"/>
      <c r="GDT113" s="182"/>
      <c r="GDU113" s="181"/>
      <c r="GDV113" s="182"/>
      <c r="GDW113" s="181"/>
      <c r="GDX113" s="182"/>
      <c r="GDY113" s="181"/>
      <c r="GDZ113" s="182"/>
      <c r="GEA113" s="181"/>
      <c r="GEB113" s="182"/>
      <c r="GEC113" s="181"/>
      <c r="GED113" s="182"/>
      <c r="GEE113" s="181"/>
      <c r="GEF113" s="182"/>
      <c r="GEG113" s="181"/>
      <c r="GEH113" s="182"/>
      <c r="GEI113" s="181"/>
      <c r="GEJ113" s="182"/>
      <c r="GEK113" s="181"/>
      <c r="GEL113" s="182"/>
      <c r="GEM113" s="181"/>
      <c r="GEN113" s="182"/>
      <c r="GEO113" s="181"/>
      <c r="GEP113" s="182"/>
      <c r="GEQ113" s="181"/>
      <c r="GER113" s="182"/>
      <c r="GES113" s="181"/>
      <c r="GET113" s="182"/>
      <c r="GEU113" s="181"/>
      <c r="GEV113" s="182"/>
      <c r="GEW113" s="181"/>
      <c r="GEX113" s="182"/>
      <c r="GEY113" s="181"/>
      <c r="GEZ113" s="182"/>
      <c r="GFA113" s="181"/>
      <c r="GFB113" s="182"/>
      <c r="GFC113" s="181"/>
      <c r="GFD113" s="182"/>
      <c r="GFE113" s="181"/>
      <c r="GFF113" s="182"/>
      <c r="GFG113" s="181"/>
      <c r="GFH113" s="182"/>
      <c r="GFI113" s="181"/>
      <c r="GFJ113" s="182"/>
      <c r="GFK113" s="181"/>
      <c r="GFL113" s="182"/>
      <c r="GFM113" s="181"/>
      <c r="GFN113" s="182"/>
      <c r="GFO113" s="181"/>
      <c r="GFP113" s="182"/>
      <c r="GFQ113" s="181"/>
      <c r="GFR113" s="182"/>
      <c r="GFS113" s="181"/>
      <c r="GFT113" s="182"/>
      <c r="GFU113" s="181"/>
      <c r="GFV113" s="182"/>
      <c r="GFW113" s="181"/>
      <c r="GFX113" s="182"/>
      <c r="GFY113" s="181"/>
      <c r="GFZ113" s="182"/>
      <c r="GGA113" s="181"/>
      <c r="GGB113" s="182"/>
      <c r="GGC113" s="181"/>
      <c r="GGD113" s="182"/>
      <c r="GGE113" s="181"/>
      <c r="GGF113" s="182"/>
      <c r="GGG113" s="181"/>
      <c r="GGH113" s="182"/>
      <c r="GGI113" s="181"/>
      <c r="GGJ113" s="182"/>
      <c r="GGK113" s="181"/>
      <c r="GGL113" s="182"/>
      <c r="GGM113" s="181"/>
      <c r="GGN113" s="182"/>
      <c r="GGO113" s="181"/>
      <c r="GGP113" s="182"/>
      <c r="GGQ113" s="181"/>
      <c r="GGR113" s="182"/>
      <c r="GGS113" s="181"/>
      <c r="GGT113" s="182"/>
      <c r="GGU113" s="181"/>
      <c r="GGV113" s="182"/>
      <c r="GGW113" s="181"/>
      <c r="GGX113" s="182"/>
      <c r="GGY113" s="181"/>
      <c r="GGZ113" s="182"/>
      <c r="GHA113" s="181"/>
      <c r="GHB113" s="182"/>
      <c r="GHC113" s="181"/>
      <c r="GHD113" s="182"/>
      <c r="GHE113" s="181"/>
      <c r="GHF113" s="182"/>
      <c r="GHG113" s="181"/>
      <c r="GHH113" s="182"/>
      <c r="GHI113" s="181"/>
      <c r="GHJ113" s="182"/>
      <c r="GHK113" s="181"/>
      <c r="GHL113" s="182"/>
      <c r="GHM113" s="181"/>
      <c r="GHN113" s="182"/>
      <c r="GHO113" s="181"/>
      <c r="GHP113" s="182"/>
      <c r="GHQ113" s="181"/>
      <c r="GHR113" s="182"/>
      <c r="GHS113" s="181"/>
      <c r="GHT113" s="182"/>
      <c r="GHU113" s="181"/>
      <c r="GHV113" s="182"/>
      <c r="GHW113" s="181"/>
      <c r="GHX113" s="182"/>
      <c r="GHY113" s="181"/>
      <c r="GHZ113" s="182"/>
      <c r="GIA113" s="181"/>
      <c r="GIB113" s="182"/>
      <c r="GIC113" s="181"/>
      <c r="GID113" s="182"/>
      <c r="GIE113" s="181"/>
      <c r="GIF113" s="182"/>
      <c r="GIG113" s="181"/>
      <c r="GIH113" s="182"/>
      <c r="GII113" s="181"/>
      <c r="GIJ113" s="182"/>
      <c r="GIK113" s="181"/>
      <c r="GIL113" s="182"/>
      <c r="GIM113" s="181"/>
      <c r="GIN113" s="182"/>
      <c r="GIO113" s="181"/>
      <c r="GIP113" s="182"/>
      <c r="GIQ113" s="181"/>
      <c r="GIR113" s="182"/>
      <c r="GIS113" s="181"/>
      <c r="GIT113" s="182"/>
      <c r="GIU113" s="181"/>
      <c r="GIV113" s="182"/>
      <c r="GIW113" s="181"/>
      <c r="GIX113" s="182"/>
      <c r="GIY113" s="181"/>
      <c r="GIZ113" s="182"/>
      <c r="GJA113" s="181"/>
      <c r="GJB113" s="182"/>
      <c r="GJC113" s="181"/>
      <c r="GJD113" s="182"/>
      <c r="GJE113" s="181"/>
      <c r="GJF113" s="182"/>
      <c r="GJG113" s="181"/>
      <c r="GJH113" s="182"/>
      <c r="GJI113" s="181"/>
      <c r="GJJ113" s="182"/>
      <c r="GJK113" s="181"/>
      <c r="GJL113" s="182"/>
      <c r="GJM113" s="181"/>
      <c r="GJN113" s="182"/>
      <c r="GJO113" s="181"/>
      <c r="GJP113" s="182"/>
      <c r="GJQ113" s="181"/>
      <c r="GJR113" s="182"/>
      <c r="GJS113" s="181"/>
      <c r="GJT113" s="182"/>
      <c r="GJU113" s="181"/>
      <c r="GJV113" s="182"/>
      <c r="GJW113" s="181"/>
      <c r="GJX113" s="182"/>
      <c r="GJY113" s="181"/>
      <c r="GJZ113" s="182"/>
      <c r="GKA113" s="181"/>
      <c r="GKB113" s="182"/>
      <c r="GKC113" s="181"/>
      <c r="GKD113" s="182"/>
      <c r="GKE113" s="181"/>
      <c r="GKF113" s="182"/>
      <c r="GKG113" s="181"/>
      <c r="GKH113" s="182"/>
      <c r="GKI113" s="181"/>
      <c r="GKJ113" s="182"/>
      <c r="GKK113" s="181"/>
      <c r="GKL113" s="182"/>
      <c r="GKM113" s="181"/>
      <c r="GKN113" s="182"/>
      <c r="GKO113" s="181"/>
      <c r="GKP113" s="182"/>
      <c r="GKQ113" s="181"/>
      <c r="GKR113" s="182"/>
      <c r="GKS113" s="181"/>
      <c r="GKT113" s="182"/>
      <c r="GKU113" s="181"/>
      <c r="GKV113" s="182"/>
      <c r="GKW113" s="181"/>
      <c r="GKX113" s="182"/>
      <c r="GKY113" s="181"/>
      <c r="GKZ113" s="182"/>
      <c r="GLA113" s="181"/>
      <c r="GLB113" s="182"/>
      <c r="GLC113" s="181"/>
      <c r="GLD113" s="182"/>
      <c r="GLE113" s="181"/>
      <c r="GLF113" s="182"/>
      <c r="GLG113" s="181"/>
      <c r="GLH113" s="182"/>
      <c r="GLI113" s="181"/>
      <c r="GLJ113" s="182"/>
      <c r="GLK113" s="181"/>
      <c r="GLL113" s="182"/>
      <c r="GLM113" s="181"/>
      <c r="GLN113" s="182"/>
      <c r="GLO113" s="181"/>
      <c r="GLP113" s="182"/>
      <c r="GLQ113" s="181"/>
      <c r="GLR113" s="182"/>
      <c r="GLS113" s="181"/>
      <c r="GLT113" s="182"/>
      <c r="GLU113" s="181"/>
      <c r="GLV113" s="182"/>
      <c r="GLW113" s="181"/>
      <c r="GLX113" s="182"/>
      <c r="GLY113" s="181"/>
      <c r="GLZ113" s="182"/>
      <c r="GMA113" s="181"/>
      <c r="GMB113" s="182"/>
      <c r="GMC113" s="181"/>
      <c r="GMD113" s="182"/>
      <c r="GME113" s="181"/>
      <c r="GMF113" s="182"/>
      <c r="GMG113" s="181"/>
      <c r="GMH113" s="182"/>
      <c r="GMI113" s="181"/>
      <c r="GMJ113" s="182"/>
      <c r="GMK113" s="181"/>
      <c r="GML113" s="182"/>
      <c r="GMM113" s="181"/>
      <c r="GMN113" s="182"/>
      <c r="GMO113" s="181"/>
      <c r="GMP113" s="182"/>
      <c r="GMQ113" s="181"/>
      <c r="GMR113" s="182"/>
      <c r="GMS113" s="181"/>
      <c r="GMT113" s="182"/>
      <c r="GMU113" s="181"/>
      <c r="GMV113" s="182"/>
      <c r="GMW113" s="181"/>
      <c r="GMX113" s="182"/>
      <c r="GMY113" s="181"/>
      <c r="GMZ113" s="182"/>
      <c r="GNA113" s="181"/>
      <c r="GNB113" s="182"/>
      <c r="GNC113" s="181"/>
      <c r="GND113" s="182"/>
      <c r="GNE113" s="181"/>
      <c r="GNF113" s="182"/>
      <c r="GNG113" s="181"/>
      <c r="GNH113" s="182"/>
      <c r="GNI113" s="181"/>
      <c r="GNJ113" s="182"/>
      <c r="GNK113" s="181"/>
      <c r="GNL113" s="182"/>
      <c r="GNM113" s="181"/>
      <c r="GNN113" s="182"/>
      <c r="GNO113" s="181"/>
      <c r="GNP113" s="182"/>
      <c r="GNQ113" s="181"/>
      <c r="GNR113" s="182"/>
      <c r="GNS113" s="181"/>
      <c r="GNT113" s="182"/>
      <c r="GNU113" s="181"/>
      <c r="GNV113" s="182"/>
      <c r="GNW113" s="181"/>
      <c r="GNX113" s="182"/>
      <c r="GNY113" s="181"/>
      <c r="GNZ113" s="182"/>
      <c r="GOA113" s="181"/>
      <c r="GOB113" s="182"/>
      <c r="GOC113" s="181"/>
      <c r="GOD113" s="182"/>
      <c r="GOE113" s="181"/>
      <c r="GOF113" s="182"/>
      <c r="GOG113" s="181"/>
      <c r="GOH113" s="182"/>
      <c r="GOI113" s="181"/>
      <c r="GOJ113" s="182"/>
      <c r="GOK113" s="181"/>
      <c r="GOL113" s="182"/>
      <c r="GOM113" s="181"/>
      <c r="GON113" s="182"/>
      <c r="GOO113" s="181"/>
      <c r="GOP113" s="182"/>
      <c r="GOQ113" s="181"/>
      <c r="GOR113" s="182"/>
      <c r="GOS113" s="181"/>
      <c r="GOT113" s="182"/>
      <c r="GOU113" s="181"/>
      <c r="GOV113" s="182"/>
      <c r="GOW113" s="181"/>
      <c r="GOX113" s="182"/>
      <c r="GOY113" s="181"/>
      <c r="GOZ113" s="182"/>
      <c r="GPA113" s="181"/>
      <c r="GPB113" s="182"/>
      <c r="GPC113" s="181"/>
      <c r="GPD113" s="182"/>
      <c r="GPE113" s="181"/>
      <c r="GPF113" s="182"/>
      <c r="GPG113" s="181"/>
      <c r="GPH113" s="182"/>
      <c r="GPI113" s="181"/>
      <c r="GPJ113" s="182"/>
      <c r="GPK113" s="181"/>
      <c r="GPL113" s="182"/>
      <c r="GPM113" s="181"/>
      <c r="GPN113" s="182"/>
      <c r="GPO113" s="181"/>
      <c r="GPP113" s="182"/>
      <c r="GPQ113" s="181"/>
      <c r="GPR113" s="182"/>
      <c r="GPS113" s="181"/>
      <c r="GPT113" s="182"/>
      <c r="GPU113" s="181"/>
      <c r="GPV113" s="182"/>
      <c r="GPW113" s="181"/>
      <c r="GPX113" s="182"/>
      <c r="GPY113" s="181"/>
      <c r="GPZ113" s="182"/>
      <c r="GQA113" s="181"/>
      <c r="GQB113" s="182"/>
      <c r="GQC113" s="181"/>
      <c r="GQD113" s="182"/>
      <c r="GQE113" s="181"/>
      <c r="GQF113" s="182"/>
      <c r="GQG113" s="181"/>
      <c r="GQH113" s="182"/>
      <c r="GQI113" s="181"/>
      <c r="GQJ113" s="182"/>
      <c r="GQK113" s="181"/>
      <c r="GQL113" s="182"/>
      <c r="GQM113" s="181"/>
      <c r="GQN113" s="182"/>
      <c r="GQO113" s="181"/>
      <c r="GQP113" s="182"/>
      <c r="GQQ113" s="181"/>
      <c r="GQR113" s="182"/>
      <c r="GQS113" s="181"/>
      <c r="GQT113" s="182"/>
      <c r="GQU113" s="181"/>
      <c r="GQV113" s="182"/>
      <c r="GQW113" s="181"/>
      <c r="GQX113" s="182"/>
      <c r="GQY113" s="181"/>
      <c r="GQZ113" s="182"/>
      <c r="GRA113" s="181"/>
      <c r="GRB113" s="182"/>
      <c r="GRC113" s="181"/>
      <c r="GRD113" s="182"/>
      <c r="GRE113" s="181"/>
      <c r="GRF113" s="182"/>
      <c r="GRG113" s="181"/>
      <c r="GRH113" s="182"/>
      <c r="GRI113" s="181"/>
      <c r="GRJ113" s="182"/>
      <c r="GRK113" s="181"/>
      <c r="GRL113" s="182"/>
      <c r="GRM113" s="181"/>
      <c r="GRN113" s="182"/>
      <c r="GRO113" s="181"/>
      <c r="GRP113" s="182"/>
      <c r="GRQ113" s="181"/>
      <c r="GRR113" s="182"/>
      <c r="GRS113" s="181"/>
      <c r="GRT113" s="182"/>
      <c r="GRU113" s="181"/>
      <c r="GRV113" s="182"/>
      <c r="GRW113" s="181"/>
      <c r="GRX113" s="182"/>
      <c r="GRY113" s="181"/>
      <c r="GRZ113" s="182"/>
      <c r="GSA113" s="181"/>
      <c r="GSB113" s="182"/>
      <c r="GSC113" s="181"/>
      <c r="GSD113" s="182"/>
      <c r="GSE113" s="181"/>
      <c r="GSF113" s="182"/>
      <c r="GSG113" s="181"/>
      <c r="GSH113" s="182"/>
      <c r="GSI113" s="181"/>
      <c r="GSJ113" s="182"/>
      <c r="GSK113" s="181"/>
      <c r="GSL113" s="182"/>
      <c r="GSM113" s="181"/>
      <c r="GSN113" s="182"/>
      <c r="GSO113" s="181"/>
      <c r="GSP113" s="182"/>
      <c r="GSQ113" s="181"/>
      <c r="GSR113" s="182"/>
      <c r="GSS113" s="181"/>
      <c r="GST113" s="182"/>
      <c r="GSU113" s="181"/>
      <c r="GSV113" s="182"/>
      <c r="GSW113" s="181"/>
      <c r="GSX113" s="182"/>
      <c r="GSY113" s="181"/>
      <c r="GSZ113" s="182"/>
      <c r="GTA113" s="181"/>
      <c r="GTB113" s="182"/>
      <c r="GTC113" s="181"/>
      <c r="GTD113" s="182"/>
      <c r="GTE113" s="181"/>
      <c r="GTF113" s="182"/>
      <c r="GTG113" s="181"/>
      <c r="GTH113" s="182"/>
      <c r="GTI113" s="181"/>
      <c r="GTJ113" s="182"/>
      <c r="GTK113" s="181"/>
      <c r="GTL113" s="182"/>
      <c r="GTM113" s="181"/>
      <c r="GTN113" s="182"/>
      <c r="GTO113" s="181"/>
      <c r="GTP113" s="182"/>
      <c r="GTQ113" s="181"/>
      <c r="GTR113" s="182"/>
      <c r="GTS113" s="181"/>
      <c r="GTT113" s="182"/>
      <c r="GTU113" s="181"/>
      <c r="GTV113" s="182"/>
      <c r="GTW113" s="181"/>
      <c r="GTX113" s="182"/>
      <c r="GTY113" s="181"/>
      <c r="GTZ113" s="182"/>
      <c r="GUA113" s="181"/>
      <c r="GUB113" s="182"/>
      <c r="GUC113" s="181"/>
      <c r="GUD113" s="182"/>
      <c r="GUE113" s="181"/>
      <c r="GUF113" s="182"/>
      <c r="GUG113" s="181"/>
      <c r="GUH113" s="182"/>
      <c r="GUI113" s="181"/>
      <c r="GUJ113" s="182"/>
      <c r="GUK113" s="181"/>
      <c r="GUL113" s="182"/>
      <c r="GUM113" s="181"/>
      <c r="GUN113" s="182"/>
      <c r="GUO113" s="181"/>
      <c r="GUP113" s="182"/>
      <c r="GUQ113" s="181"/>
      <c r="GUR113" s="182"/>
      <c r="GUS113" s="181"/>
      <c r="GUT113" s="182"/>
      <c r="GUU113" s="181"/>
      <c r="GUV113" s="182"/>
      <c r="GUW113" s="181"/>
      <c r="GUX113" s="182"/>
      <c r="GUY113" s="181"/>
      <c r="GUZ113" s="182"/>
      <c r="GVA113" s="181"/>
      <c r="GVB113" s="182"/>
      <c r="GVC113" s="181"/>
      <c r="GVD113" s="182"/>
      <c r="GVE113" s="181"/>
      <c r="GVF113" s="182"/>
      <c r="GVG113" s="181"/>
      <c r="GVH113" s="182"/>
      <c r="GVI113" s="181"/>
      <c r="GVJ113" s="182"/>
      <c r="GVK113" s="181"/>
      <c r="GVL113" s="182"/>
      <c r="GVM113" s="181"/>
      <c r="GVN113" s="182"/>
      <c r="GVO113" s="181"/>
      <c r="GVP113" s="182"/>
      <c r="GVQ113" s="181"/>
      <c r="GVR113" s="182"/>
      <c r="GVS113" s="181"/>
      <c r="GVT113" s="182"/>
      <c r="GVU113" s="181"/>
      <c r="GVV113" s="182"/>
      <c r="GVW113" s="181"/>
      <c r="GVX113" s="182"/>
      <c r="GVY113" s="181"/>
      <c r="GVZ113" s="182"/>
      <c r="GWA113" s="181"/>
      <c r="GWB113" s="182"/>
      <c r="GWC113" s="181"/>
      <c r="GWD113" s="182"/>
      <c r="GWE113" s="181"/>
      <c r="GWF113" s="182"/>
      <c r="GWG113" s="181"/>
      <c r="GWH113" s="182"/>
      <c r="GWI113" s="181"/>
      <c r="GWJ113" s="182"/>
      <c r="GWK113" s="181"/>
      <c r="GWL113" s="182"/>
      <c r="GWM113" s="181"/>
      <c r="GWN113" s="182"/>
      <c r="GWO113" s="181"/>
      <c r="GWP113" s="182"/>
      <c r="GWQ113" s="181"/>
      <c r="GWR113" s="182"/>
      <c r="GWS113" s="181"/>
      <c r="GWT113" s="182"/>
      <c r="GWU113" s="181"/>
      <c r="GWV113" s="182"/>
      <c r="GWW113" s="181"/>
      <c r="GWX113" s="182"/>
      <c r="GWY113" s="181"/>
      <c r="GWZ113" s="182"/>
      <c r="GXA113" s="181"/>
      <c r="GXB113" s="182"/>
      <c r="GXC113" s="181"/>
      <c r="GXD113" s="182"/>
      <c r="GXE113" s="181"/>
      <c r="GXF113" s="182"/>
      <c r="GXG113" s="181"/>
      <c r="GXH113" s="182"/>
      <c r="GXI113" s="181"/>
      <c r="GXJ113" s="182"/>
      <c r="GXK113" s="181"/>
      <c r="GXL113" s="182"/>
      <c r="GXM113" s="181"/>
      <c r="GXN113" s="182"/>
      <c r="GXO113" s="181"/>
      <c r="GXP113" s="182"/>
      <c r="GXQ113" s="181"/>
      <c r="GXR113" s="182"/>
      <c r="GXS113" s="181"/>
      <c r="GXT113" s="182"/>
      <c r="GXU113" s="181"/>
      <c r="GXV113" s="182"/>
      <c r="GXW113" s="181"/>
      <c r="GXX113" s="182"/>
      <c r="GXY113" s="181"/>
      <c r="GXZ113" s="182"/>
      <c r="GYA113" s="181"/>
      <c r="GYB113" s="182"/>
      <c r="GYC113" s="181"/>
      <c r="GYD113" s="182"/>
      <c r="GYE113" s="181"/>
      <c r="GYF113" s="182"/>
      <c r="GYG113" s="181"/>
      <c r="GYH113" s="182"/>
      <c r="GYI113" s="181"/>
      <c r="GYJ113" s="182"/>
      <c r="GYK113" s="181"/>
      <c r="GYL113" s="182"/>
      <c r="GYM113" s="181"/>
      <c r="GYN113" s="182"/>
      <c r="GYO113" s="181"/>
      <c r="GYP113" s="182"/>
      <c r="GYQ113" s="181"/>
      <c r="GYR113" s="182"/>
      <c r="GYS113" s="181"/>
      <c r="GYT113" s="182"/>
      <c r="GYU113" s="181"/>
      <c r="GYV113" s="182"/>
      <c r="GYW113" s="181"/>
      <c r="GYX113" s="182"/>
      <c r="GYY113" s="181"/>
      <c r="GYZ113" s="182"/>
      <c r="GZA113" s="181"/>
      <c r="GZB113" s="182"/>
      <c r="GZC113" s="181"/>
      <c r="GZD113" s="182"/>
      <c r="GZE113" s="181"/>
      <c r="GZF113" s="182"/>
      <c r="GZG113" s="181"/>
      <c r="GZH113" s="182"/>
      <c r="GZI113" s="181"/>
      <c r="GZJ113" s="182"/>
      <c r="GZK113" s="181"/>
      <c r="GZL113" s="182"/>
      <c r="GZM113" s="181"/>
      <c r="GZN113" s="182"/>
      <c r="GZO113" s="181"/>
      <c r="GZP113" s="182"/>
      <c r="GZQ113" s="181"/>
      <c r="GZR113" s="182"/>
      <c r="GZS113" s="181"/>
      <c r="GZT113" s="182"/>
      <c r="GZU113" s="181"/>
      <c r="GZV113" s="182"/>
      <c r="GZW113" s="181"/>
      <c r="GZX113" s="182"/>
      <c r="GZY113" s="181"/>
      <c r="GZZ113" s="182"/>
      <c r="HAA113" s="181"/>
      <c r="HAB113" s="182"/>
      <c r="HAC113" s="181"/>
      <c r="HAD113" s="182"/>
      <c r="HAE113" s="181"/>
      <c r="HAF113" s="182"/>
      <c r="HAG113" s="181"/>
      <c r="HAH113" s="182"/>
      <c r="HAI113" s="181"/>
      <c r="HAJ113" s="182"/>
      <c r="HAK113" s="181"/>
      <c r="HAL113" s="182"/>
      <c r="HAM113" s="181"/>
      <c r="HAN113" s="182"/>
      <c r="HAO113" s="181"/>
      <c r="HAP113" s="182"/>
      <c r="HAQ113" s="181"/>
      <c r="HAR113" s="182"/>
      <c r="HAS113" s="181"/>
      <c r="HAT113" s="182"/>
      <c r="HAU113" s="181"/>
      <c r="HAV113" s="182"/>
      <c r="HAW113" s="181"/>
      <c r="HAX113" s="182"/>
      <c r="HAY113" s="181"/>
      <c r="HAZ113" s="182"/>
      <c r="HBA113" s="181"/>
      <c r="HBB113" s="182"/>
      <c r="HBC113" s="181"/>
      <c r="HBD113" s="182"/>
      <c r="HBE113" s="181"/>
      <c r="HBF113" s="182"/>
      <c r="HBG113" s="181"/>
      <c r="HBH113" s="182"/>
      <c r="HBI113" s="181"/>
      <c r="HBJ113" s="182"/>
      <c r="HBK113" s="181"/>
      <c r="HBL113" s="182"/>
      <c r="HBM113" s="181"/>
      <c r="HBN113" s="182"/>
      <c r="HBO113" s="181"/>
      <c r="HBP113" s="182"/>
      <c r="HBQ113" s="181"/>
      <c r="HBR113" s="182"/>
      <c r="HBS113" s="181"/>
      <c r="HBT113" s="182"/>
      <c r="HBU113" s="181"/>
      <c r="HBV113" s="182"/>
      <c r="HBW113" s="181"/>
      <c r="HBX113" s="182"/>
      <c r="HBY113" s="181"/>
      <c r="HBZ113" s="182"/>
      <c r="HCA113" s="181"/>
      <c r="HCB113" s="182"/>
      <c r="HCC113" s="181"/>
      <c r="HCD113" s="182"/>
      <c r="HCE113" s="181"/>
      <c r="HCF113" s="182"/>
      <c r="HCG113" s="181"/>
      <c r="HCH113" s="182"/>
      <c r="HCI113" s="181"/>
      <c r="HCJ113" s="182"/>
      <c r="HCK113" s="181"/>
      <c r="HCL113" s="182"/>
      <c r="HCM113" s="181"/>
      <c r="HCN113" s="182"/>
      <c r="HCO113" s="181"/>
      <c r="HCP113" s="182"/>
      <c r="HCQ113" s="181"/>
      <c r="HCR113" s="182"/>
      <c r="HCS113" s="181"/>
      <c r="HCT113" s="182"/>
      <c r="HCU113" s="181"/>
      <c r="HCV113" s="182"/>
      <c r="HCW113" s="181"/>
      <c r="HCX113" s="182"/>
      <c r="HCY113" s="181"/>
      <c r="HCZ113" s="182"/>
      <c r="HDA113" s="181"/>
      <c r="HDB113" s="182"/>
      <c r="HDC113" s="181"/>
      <c r="HDD113" s="182"/>
      <c r="HDE113" s="181"/>
      <c r="HDF113" s="182"/>
      <c r="HDG113" s="181"/>
      <c r="HDH113" s="182"/>
      <c r="HDI113" s="181"/>
      <c r="HDJ113" s="182"/>
      <c r="HDK113" s="181"/>
      <c r="HDL113" s="182"/>
      <c r="HDM113" s="181"/>
      <c r="HDN113" s="182"/>
      <c r="HDO113" s="181"/>
      <c r="HDP113" s="182"/>
      <c r="HDQ113" s="181"/>
      <c r="HDR113" s="182"/>
      <c r="HDS113" s="181"/>
      <c r="HDT113" s="182"/>
      <c r="HDU113" s="181"/>
      <c r="HDV113" s="182"/>
      <c r="HDW113" s="181"/>
      <c r="HDX113" s="182"/>
      <c r="HDY113" s="181"/>
      <c r="HDZ113" s="182"/>
      <c r="HEA113" s="181"/>
      <c r="HEB113" s="182"/>
      <c r="HEC113" s="181"/>
      <c r="HED113" s="182"/>
      <c r="HEE113" s="181"/>
      <c r="HEF113" s="182"/>
      <c r="HEG113" s="181"/>
      <c r="HEH113" s="182"/>
      <c r="HEI113" s="181"/>
      <c r="HEJ113" s="182"/>
      <c r="HEK113" s="181"/>
      <c r="HEL113" s="182"/>
      <c r="HEM113" s="181"/>
      <c r="HEN113" s="182"/>
      <c r="HEO113" s="181"/>
      <c r="HEP113" s="182"/>
      <c r="HEQ113" s="181"/>
      <c r="HER113" s="182"/>
      <c r="HES113" s="181"/>
      <c r="HET113" s="182"/>
      <c r="HEU113" s="181"/>
      <c r="HEV113" s="182"/>
      <c r="HEW113" s="181"/>
      <c r="HEX113" s="182"/>
      <c r="HEY113" s="181"/>
      <c r="HEZ113" s="182"/>
      <c r="HFA113" s="181"/>
      <c r="HFB113" s="182"/>
      <c r="HFC113" s="181"/>
      <c r="HFD113" s="182"/>
      <c r="HFE113" s="181"/>
      <c r="HFF113" s="182"/>
      <c r="HFG113" s="181"/>
      <c r="HFH113" s="182"/>
      <c r="HFI113" s="181"/>
      <c r="HFJ113" s="182"/>
      <c r="HFK113" s="181"/>
      <c r="HFL113" s="182"/>
      <c r="HFM113" s="181"/>
      <c r="HFN113" s="182"/>
      <c r="HFO113" s="181"/>
      <c r="HFP113" s="182"/>
      <c r="HFQ113" s="181"/>
      <c r="HFR113" s="182"/>
      <c r="HFS113" s="181"/>
      <c r="HFT113" s="182"/>
      <c r="HFU113" s="181"/>
      <c r="HFV113" s="182"/>
      <c r="HFW113" s="181"/>
      <c r="HFX113" s="182"/>
      <c r="HFY113" s="181"/>
      <c r="HFZ113" s="182"/>
      <c r="HGA113" s="181"/>
      <c r="HGB113" s="182"/>
      <c r="HGC113" s="181"/>
      <c r="HGD113" s="182"/>
      <c r="HGE113" s="181"/>
      <c r="HGF113" s="182"/>
      <c r="HGG113" s="181"/>
      <c r="HGH113" s="182"/>
      <c r="HGI113" s="181"/>
      <c r="HGJ113" s="182"/>
      <c r="HGK113" s="181"/>
      <c r="HGL113" s="182"/>
      <c r="HGM113" s="181"/>
      <c r="HGN113" s="182"/>
      <c r="HGO113" s="181"/>
      <c r="HGP113" s="182"/>
      <c r="HGQ113" s="181"/>
      <c r="HGR113" s="182"/>
      <c r="HGS113" s="181"/>
      <c r="HGT113" s="182"/>
      <c r="HGU113" s="181"/>
      <c r="HGV113" s="182"/>
      <c r="HGW113" s="181"/>
      <c r="HGX113" s="182"/>
      <c r="HGY113" s="181"/>
      <c r="HGZ113" s="182"/>
      <c r="HHA113" s="181"/>
      <c r="HHB113" s="182"/>
      <c r="HHC113" s="181"/>
      <c r="HHD113" s="182"/>
      <c r="HHE113" s="181"/>
      <c r="HHF113" s="182"/>
      <c r="HHG113" s="181"/>
      <c r="HHH113" s="182"/>
      <c r="HHI113" s="181"/>
      <c r="HHJ113" s="182"/>
      <c r="HHK113" s="181"/>
      <c r="HHL113" s="182"/>
      <c r="HHM113" s="181"/>
      <c r="HHN113" s="182"/>
      <c r="HHO113" s="181"/>
      <c r="HHP113" s="182"/>
      <c r="HHQ113" s="181"/>
      <c r="HHR113" s="182"/>
      <c r="HHS113" s="181"/>
      <c r="HHT113" s="182"/>
      <c r="HHU113" s="181"/>
      <c r="HHV113" s="182"/>
      <c r="HHW113" s="181"/>
      <c r="HHX113" s="182"/>
      <c r="HHY113" s="181"/>
      <c r="HHZ113" s="182"/>
      <c r="HIA113" s="181"/>
      <c r="HIB113" s="182"/>
      <c r="HIC113" s="181"/>
      <c r="HID113" s="182"/>
      <c r="HIE113" s="181"/>
      <c r="HIF113" s="182"/>
      <c r="HIG113" s="181"/>
      <c r="HIH113" s="182"/>
      <c r="HII113" s="181"/>
      <c r="HIJ113" s="182"/>
      <c r="HIK113" s="181"/>
      <c r="HIL113" s="182"/>
      <c r="HIM113" s="181"/>
      <c r="HIN113" s="182"/>
      <c r="HIO113" s="181"/>
      <c r="HIP113" s="182"/>
      <c r="HIQ113" s="181"/>
      <c r="HIR113" s="182"/>
      <c r="HIS113" s="181"/>
      <c r="HIT113" s="182"/>
      <c r="HIU113" s="181"/>
      <c r="HIV113" s="182"/>
      <c r="HIW113" s="181"/>
      <c r="HIX113" s="182"/>
      <c r="HIY113" s="181"/>
      <c r="HIZ113" s="182"/>
      <c r="HJA113" s="181"/>
      <c r="HJB113" s="182"/>
      <c r="HJC113" s="181"/>
      <c r="HJD113" s="182"/>
      <c r="HJE113" s="181"/>
      <c r="HJF113" s="182"/>
      <c r="HJG113" s="181"/>
      <c r="HJH113" s="182"/>
      <c r="HJI113" s="181"/>
      <c r="HJJ113" s="182"/>
      <c r="HJK113" s="181"/>
      <c r="HJL113" s="182"/>
      <c r="HJM113" s="181"/>
      <c r="HJN113" s="182"/>
      <c r="HJO113" s="181"/>
      <c r="HJP113" s="182"/>
      <c r="HJQ113" s="181"/>
      <c r="HJR113" s="182"/>
      <c r="HJS113" s="181"/>
      <c r="HJT113" s="182"/>
      <c r="HJU113" s="181"/>
      <c r="HJV113" s="182"/>
      <c r="HJW113" s="181"/>
      <c r="HJX113" s="182"/>
      <c r="HJY113" s="181"/>
      <c r="HJZ113" s="182"/>
      <c r="HKA113" s="181"/>
      <c r="HKB113" s="182"/>
      <c r="HKC113" s="181"/>
      <c r="HKD113" s="182"/>
      <c r="HKE113" s="181"/>
      <c r="HKF113" s="182"/>
      <c r="HKG113" s="181"/>
      <c r="HKH113" s="182"/>
      <c r="HKI113" s="181"/>
      <c r="HKJ113" s="182"/>
      <c r="HKK113" s="181"/>
      <c r="HKL113" s="182"/>
      <c r="HKM113" s="181"/>
      <c r="HKN113" s="182"/>
      <c r="HKO113" s="181"/>
      <c r="HKP113" s="182"/>
      <c r="HKQ113" s="181"/>
      <c r="HKR113" s="182"/>
      <c r="HKS113" s="181"/>
      <c r="HKT113" s="182"/>
      <c r="HKU113" s="181"/>
      <c r="HKV113" s="182"/>
      <c r="HKW113" s="181"/>
      <c r="HKX113" s="182"/>
      <c r="HKY113" s="181"/>
      <c r="HKZ113" s="182"/>
      <c r="HLA113" s="181"/>
      <c r="HLB113" s="182"/>
      <c r="HLC113" s="181"/>
      <c r="HLD113" s="182"/>
      <c r="HLE113" s="181"/>
      <c r="HLF113" s="182"/>
      <c r="HLG113" s="181"/>
      <c r="HLH113" s="182"/>
      <c r="HLI113" s="181"/>
      <c r="HLJ113" s="182"/>
      <c r="HLK113" s="181"/>
      <c r="HLL113" s="182"/>
      <c r="HLM113" s="181"/>
      <c r="HLN113" s="182"/>
      <c r="HLO113" s="181"/>
      <c r="HLP113" s="182"/>
      <c r="HLQ113" s="181"/>
      <c r="HLR113" s="182"/>
      <c r="HLS113" s="181"/>
      <c r="HLT113" s="182"/>
      <c r="HLU113" s="181"/>
      <c r="HLV113" s="182"/>
      <c r="HLW113" s="181"/>
      <c r="HLX113" s="182"/>
      <c r="HLY113" s="181"/>
      <c r="HLZ113" s="182"/>
      <c r="HMA113" s="181"/>
      <c r="HMB113" s="182"/>
      <c r="HMC113" s="181"/>
      <c r="HMD113" s="182"/>
      <c r="HME113" s="181"/>
      <c r="HMF113" s="182"/>
      <c r="HMG113" s="181"/>
      <c r="HMH113" s="182"/>
      <c r="HMI113" s="181"/>
      <c r="HMJ113" s="182"/>
      <c r="HMK113" s="181"/>
      <c r="HML113" s="182"/>
      <c r="HMM113" s="181"/>
      <c r="HMN113" s="182"/>
      <c r="HMO113" s="181"/>
      <c r="HMP113" s="182"/>
      <c r="HMQ113" s="181"/>
      <c r="HMR113" s="182"/>
      <c r="HMS113" s="181"/>
      <c r="HMT113" s="182"/>
      <c r="HMU113" s="181"/>
      <c r="HMV113" s="182"/>
      <c r="HMW113" s="181"/>
      <c r="HMX113" s="182"/>
      <c r="HMY113" s="181"/>
      <c r="HMZ113" s="182"/>
      <c r="HNA113" s="181"/>
      <c r="HNB113" s="182"/>
      <c r="HNC113" s="181"/>
      <c r="HND113" s="182"/>
      <c r="HNE113" s="181"/>
      <c r="HNF113" s="182"/>
      <c r="HNG113" s="181"/>
      <c r="HNH113" s="182"/>
      <c r="HNI113" s="181"/>
      <c r="HNJ113" s="182"/>
      <c r="HNK113" s="181"/>
      <c r="HNL113" s="182"/>
      <c r="HNM113" s="181"/>
      <c r="HNN113" s="182"/>
      <c r="HNO113" s="181"/>
      <c r="HNP113" s="182"/>
      <c r="HNQ113" s="181"/>
      <c r="HNR113" s="182"/>
      <c r="HNS113" s="181"/>
      <c r="HNT113" s="182"/>
      <c r="HNU113" s="181"/>
      <c r="HNV113" s="182"/>
      <c r="HNW113" s="181"/>
      <c r="HNX113" s="182"/>
      <c r="HNY113" s="181"/>
      <c r="HNZ113" s="182"/>
      <c r="HOA113" s="181"/>
      <c r="HOB113" s="182"/>
      <c r="HOC113" s="181"/>
      <c r="HOD113" s="182"/>
      <c r="HOE113" s="181"/>
      <c r="HOF113" s="182"/>
      <c r="HOG113" s="181"/>
      <c r="HOH113" s="182"/>
      <c r="HOI113" s="181"/>
      <c r="HOJ113" s="182"/>
      <c r="HOK113" s="181"/>
      <c r="HOL113" s="182"/>
      <c r="HOM113" s="181"/>
      <c r="HON113" s="182"/>
      <c r="HOO113" s="181"/>
      <c r="HOP113" s="182"/>
      <c r="HOQ113" s="181"/>
      <c r="HOR113" s="182"/>
      <c r="HOS113" s="181"/>
      <c r="HOT113" s="182"/>
      <c r="HOU113" s="181"/>
      <c r="HOV113" s="182"/>
      <c r="HOW113" s="181"/>
      <c r="HOX113" s="182"/>
      <c r="HOY113" s="181"/>
      <c r="HOZ113" s="182"/>
      <c r="HPA113" s="181"/>
      <c r="HPB113" s="182"/>
      <c r="HPC113" s="181"/>
      <c r="HPD113" s="182"/>
      <c r="HPE113" s="181"/>
      <c r="HPF113" s="182"/>
      <c r="HPG113" s="181"/>
      <c r="HPH113" s="182"/>
      <c r="HPI113" s="181"/>
      <c r="HPJ113" s="182"/>
      <c r="HPK113" s="181"/>
      <c r="HPL113" s="182"/>
      <c r="HPM113" s="181"/>
      <c r="HPN113" s="182"/>
      <c r="HPO113" s="181"/>
      <c r="HPP113" s="182"/>
      <c r="HPQ113" s="181"/>
      <c r="HPR113" s="182"/>
      <c r="HPS113" s="181"/>
      <c r="HPT113" s="182"/>
      <c r="HPU113" s="181"/>
      <c r="HPV113" s="182"/>
      <c r="HPW113" s="181"/>
      <c r="HPX113" s="182"/>
      <c r="HPY113" s="181"/>
      <c r="HPZ113" s="182"/>
      <c r="HQA113" s="181"/>
      <c r="HQB113" s="182"/>
      <c r="HQC113" s="181"/>
      <c r="HQD113" s="182"/>
      <c r="HQE113" s="181"/>
      <c r="HQF113" s="182"/>
      <c r="HQG113" s="181"/>
      <c r="HQH113" s="182"/>
      <c r="HQI113" s="181"/>
      <c r="HQJ113" s="182"/>
      <c r="HQK113" s="181"/>
      <c r="HQL113" s="182"/>
      <c r="HQM113" s="181"/>
      <c r="HQN113" s="182"/>
      <c r="HQO113" s="181"/>
      <c r="HQP113" s="182"/>
      <c r="HQQ113" s="181"/>
      <c r="HQR113" s="182"/>
      <c r="HQS113" s="181"/>
      <c r="HQT113" s="182"/>
      <c r="HQU113" s="181"/>
      <c r="HQV113" s="182"/>
      <c r="HQW113" s="181"/>
      <c r="HQX113" s="182"/>
      <c r="HQY113" s="181"/>
      <c r="HQZ113" s="182"/>
      <c r="HRA113" s="181"/>
      <c r="HRB113" s="182"/>
      <c r="HRC113" s="181"/>
      <c r="HRD113" s="182"/>
      <c r="HRE113" s="181"/>
      <c r="HRF113" s="182"/>
      <c r="HRG113" s="181"/>
      <c r="HRH113" s="182"/>
      <c r="HRI113" s="181"/>
      <c r="HRJ113" s="182"/>
      <c r="HRK113" s="181"/>
      <c r="HRL113" s="182"/>
      <c r="HRM113" s="181"/>
      <c r="HRN113" s="182"/>
      <c r="HRO113" s="181"/>
      <c r="HRP113" s="182"/>
      <c r="HRQ113" s="181"/>
      <c r="HRR113" s="182"/>
      <c r="HRS113" s="181"/>
      <c r="HRT113" s="182"/>
      <c r="HRU113" s="181"/>
      <c r="HRV113" s="182"/>
      <c r="HRW113" s="181"/>
      <c r="HRX113" s="182"/>
      <c r="HRY113" s="181"/>
      <c r="HRZ113" s="182"/>
      <c r="HSA113" s="181"/>
      <c r="HSB113" s="182"/>
      <c r="HSC113" s="181"/>
      <c r="HSD113" s="182"/>
      <c r="HSE113" s="181"/>
      <c r="HSF113" s="182"/>
      <c r="HSG113" s="181"/>
      <c r="HSH113" s="182"/>
      <c r="HSI113" s="181"/>
      <c r="HSJ113" s="182"/>
      <c r="HSK113" s="181"/>
      <c r="HSL113" s="182"/>
      <c r="HSM113" s="181"/>
      <c r="HSN113" s="182"/>
      <c r="HSO113" s="181"/>
      <c r="HSP113" s="182"/>
      <c r="HSQ113" s="181"/>
      <c r="HSR113" s="182"/>
      <c r="HSS113" s="181"/>
      <c r="HST113" s="182"/>
      <c r="HSU113" s="181"/>
      <c r="HSV113" s="182"/>
      <c r="HSW113" s="181"/>
      <c r="HSX113" s="182"/>
      <c r="HSY113" s="181"/>
      <c r="HSZ113" s="182"/>
      <c r="HTA113" s="181"/>
      <c r="HTB113" s="182"/>
      <c r="HTC113" s="181"/>
      <c r="HTD113" s="182"/>
      <c r="HTE113" s="181"/>
      <c r="HTF113" s="182"/>
      <c r="HTG113" s="181"/>
      <c r="HTH113" s="182"/>
      <c r="HTI113" s="181"/>
      <c r="HTJ113" s="182"/>
      <c r="HTK113" s="181"/>
      <c r="HTL113" s="182"/>
      <c r="HTM113" s="181"/>
      <c r="HTN113" s="182"/>
      <c r="HTO113" s="181"/>
      <c r="HTP113" s="182"/>
      <c r="HTQ113" s="181"/>
      <c r="HTR113" s="182"/>
      <c r="HTS113" s="181"/>
      <c r="HTT113" s="182"/>
      <c r="HTU113" s="181"/>
      <c r="HTV113" s="182"/>
      <c r="HTW113" s="181"/>
      <c r="HTX113" s="182"/>
      <c r="HTY113" s="181"/>
      <c r="HTZ113" s="182"/>
      <c r="HUA113" s="181"/>
      <c r="HUB113" s="182"/>
      <c r="HUC113" s="181"/>
      <c r="HUD113" s="182"/>
      <c r="HUE113" s="181"/>
      <c r="HUF113" s="182"/>
      <c r="HUG113" s="181"/>
      <c r="HUH113" s="182"/>
      <c r="HUI113" s="181"/>
      <c r="HUJ113" s="182"/>
      <c r="HUK113" s="181"/>
      <c r="HUL113" s="182"/>
      <c r="HUM113" s="181"/>
      <c r="HUN113" s="182"/>
      <c r="HUO113" s="181"/>
      <c r="HUP113" s="182"/>
      <c r="HUQ113" s="181"/>
      <c r="HUR113" s="182"/>
      <c r="HUS113" s="181"/>
      <c r="HUT113" s="182"/>
      <c r="HUU113" s="181"/>
      <c r="HUV113" s="182"/>
      <c r="HUW113" s="181"/>
      <c r="HUX113" s="182"/>
      <c r="HUY113" s="181"/>
      <c r="HUZ113" s="182"/>
      <c r="HVA113" s="181"/>
      <c r="HVB113" s="182"/>
      <c r="HVC113" s="181"/>
      <c r="HVD113" s="182"/>
      <c r="HVE113" s="181"/>
      <c r="HVF113" s="182"/>
      <c r="HVG113" s="181"/>
      <c r="HVH113" s="182"/>
      <c r="HVI113" s="181"/>
      <c r="HVJ113" s="182"/>
      <c r="HVK113" s="181"/>
      <c r="HVL113" s="182"/>
      <c r="HVM113" s="181"/>
      <c r="HVN113" s="182"/>
      <c r="HVO113" s="181"/>
      <c r="HVP113" s="182"/>
      <c r="HVQ113" s="181"/>
      <c r="HVR113" s="182"/>
      <c r="HVS113" s="181"/>
      <c r="HVT113" s="182"/>
      <c r="HVU113" s="181"/>
      <c r="HVV113" s="182"/>
      <c r="HVW113" s="181"/>
      <c r="HVX113" s="182"/>
      <c r="HVY113" s="181"/>
      <c r="HVZ113" s="182"/>
      <c r="HWA113" s="181"/>
      <c r="HWB113" s="182"/>
      <c r="HWC113" s="181"/>
      <c r="HWD113" s="182"/>
      <c r="HWE113" s="181"/>
      <c r="HWF113" s="182"/>
      <c r="HWG113" s="181"/>
      <c r="HWH113" s="182"/>
      <c r="HWI113" s="181"/>
      <c r="HWJ113" s="182"/>
      <c r="HWK113" s="181"/>
      <c r="HWL113" s="182"/>
      <c r="HWM113" s="181"/>
      <c r="HWN113" s="182"/>
      <c r="HWO113" s="181"/>
      <c r="HWP113" s="182"/>
      <c r="HWQ113" s="181"/>
      <c r="HWR113" s="182"/>
      <c r="HWS113" s="181"/>
      <c r="HWT113" s="182"/>
      <c r="HWU113" s="181"/>
      <c r="HWV113" s="182"/>
      <c r="HWW113" s="181"/>
      <c r="HWX113" s="182"/>
      <c r="HWY113" s="181"/>
      <c r="HWZ113" s="182"/>
      <c r="HXA113" s="181"/>
      <c r="HXB113" s="182"/>
      <c r="HXC113" s="181"/>
      <c r="HXD113" s="182"/>
      <c r="HXE113" s="181"/>
      <c r="HXF113" s="182"/>
      <c r="HXG113" s="181"/>
      <c r="HXH113" s="182"/>
      <c r="HXI113" s="181"/>
      <c r="HXJ113" s="182"/>
      <c r="HXK113" s="181"/>
      <c r="HXL113" s="182"/>
      <c r="HXM113" s="181"/>
      <c r="HXN113" s="182"/>
      <c r="HXO113" s="181"/>
      <c r="HXP113" s="182"/>
      <c r="HXQ113" s="181"/>
      <c r="HXR113" s="182"/>
      <c r="HXS113" s="181"/>
      <c r="HXT113" s="182"/>
      <c r="HXU113" s="181"/>
      <c r="HXV113" s="182"/>
      <c r="HXW113" s="181"/>
      <c r="HXX113" s="182"/>
      <c r="HXY113" s="181"/>
      <c r="HXZ113" s="182"/>
      <c r="HYA113" s="181"/>
      <c r="HYB113" s="182"/>
      <c r="HYC113" s="181"/>
      <c r="HYD113" s="182"/>
      <c r="HYE113" s="181"/>
      <c r="HYF113" s="182"/>
      <c r="HYG113" s="181"/>
      <c r="HYH113" s="182"/>
      <c r="HYI113" s="181"/>
      <c r="HYJ113" s="182"/>
      <c r="HYK113" s="181"/>
      <c r="HYL113" s="182"/>
      <c r="HYM113" s="181"/>
      <c r="HYN113" s="182"/>
      <c r="HYO113" s="181"/>
      <c r="HYP113" s="182"/>
      <c r="HYQ113" s="181"/>
      <c r="HYR113" s="182"/>
      <c r="HYS113" s="181"/>
      <c r="HYT113" s="182"/>
      <c r="HYU113" s="181"/>
      <c r="HYV113" s="182"/>
      <c r="HYW113" s="181"/>
      <c r="HYX113" s="182"/>
      <c r="HYY113" s="181"/>
      <c r="HYZ113" s="182"/>
      <c r="HZA113" s="181"/>
      <c r="HZB113" s="182"/>
      <c r="HZC113" s="181"/>
      <c r="HZD113" s="182"/>
      <c r="HZE113" s="181"/>
      <c r="HZF113" s="182"/>
      <c r="HZG113" s="181"/>
      <c r="HZH113" s="182"/>
      <c r="HZI113" s="181"/>
      <c r="HZJ113" s="182"/>
      <c r="HZK113" s="181"/>
      <c r="HZL113" s="182"/>
      <c r="HZM113" s="181"/>
      <c r="HZN113" s="182"/>
      <c r="HZO113" s="181"/>
      <c r="HZP113" s="182"/>
      <c r="HZQ113" s="181"/>
      <c r="HZR113" s="182"/>
      <c r="HZS113" s="181"/>
      <c r="HZT113" s="182"/>
      <c r="HZU113" s="181"/>
      <c r="HZV113" s="182"/>
      <c r="HZW113" s="181"/>
      <c r="HZX113" s="182"/>
      <c r="HZY113" s="181"/>
      <c r="HZZ113" s="182"/>
      <c r="IAA113" s="181"/>
      <c r="IAB113" s="182"/>
      <c r="IAC113" s="181"/>
      <c r="IAD113" s="182"/>
      <c r="IAE113" s="181"/>
      <c r="IAF113" s="182"/>
      <c r="IAG113" s="181"/>
      <c r="IAH113" s="182"/>
      <c r="IAI113" s="181"/>
      <c r="IAJ113" s="182"/>
      <c r="IAK113" s="181"/>
      <c r="IAL113" s="182"/>
      <c r="IAM113" s="181"/>
      <c r="IAN113" s="182"/>
      <c r="IAO113" s="181"/>
      <c r="IAP113" s="182"/>
      <c r="IAQ113" s="181"/>
      <c r="IAR113" s="182"/>
      <c r="IAS113" s="181"/>
      <c r="IAT113" s="182"/>
      <c r="IAU113" s="181"/>
      <c r="IAV113" s="182"/>
      <c r="IAW113" s="181"/>
      <c r="IAX113" s="182"/>
      <c r="IAY113" s="181"/>
      <c r="IAZ113" s="182"/>
      <c r="IBA113" s="181"/>
      <c r="IBB113" s="182"/>
      <c r="IBC113" s="181"/>
      <c r="IBD113" s="182"/>
      <c r="IBE113" s="181"/>
      <c r="IBF113" s="182"/>
      <c r="IBG113" s="181"/>
      <c r="IBH113" s="182"/>
      <c r="IBI113" s="181"/>
      <c r="IBJ113" s="182"/>
      <c r="IBK113" s="181"/>
      <c r="IBL113" s="182"/>
      <c r="IBM113" s="181"/>
      <c r="IBN113" s="182"/>
      <c r="IBO113" s="181"/>
      <c r="IBP113" s="182"/>
      <c r="IBQ113" s="181"/>
      <c r="IBR113" s="182"/>
      <c r="IBS113" s="181"/>
      <c r="IBT113" s="182"/>
      <c r="IBU113" s="181"/>
      <c r="IBV113" s="182"/>
      <c r="IBW113" s="181"/>
      <c r="IBX113" s="182"/>
      <c r="IBY113" s="181"/>
      <c r="IBZ113" s="182"/>
      <c r="ICA113" s="181"/>
      <c r="ICB113" s="182"/>
      <c r="ICC113" s="181"/>
      <c r="ICD113" s="182"/>
      <c r="ICE113" s="181"/>
      <c r="ICF113" s="182"/>
      <c r="ICG113" s="181"/>
      <c r="ICH113" s="182"/>
      <c r="ICI113" s="181"/>
      <c r="ICJ113" s="182"/>
      <c r="ICK113" s="181"/>
      <c r="ICL113" s="182"/>
      <c r="ICM113" s="181"/>
      <c r="ICN113" s="182"/>
      <c r="ICO113" s="181"/>
      <c r="ICP113" s="182"/>
      <c r="ICQ113" s="181"/>
      <c r="ICR113" s="182"/>
      <c r="ICS113" s="181"/>
      <c r="ICT113" s="182"/>
      <c r="ICU113" s="181"/>
      <c r="ICV113" s="182"/>
      <c r="ICW113" s="181"/>
      <c r="ICX113" s="182"/>
      <c r="ICY113" s="181"/>
      <c r="ICZ113" s="182"/>
      <c r="IDA113" s="181"/>
      <c r="IDB113" s="182"/>
      <c r="IDC113" s="181"/>
      <c r="IDD113" s="182"/>
      <c r="IDE113" s="181"/>
      <c r="IDF113" s="182"/>
      <c r="IDG113" s="181"/>
      <c r="IDH113" s="182"/>
      <c r="IDI113" s="181"/>
      <c r="IDJ113" s="182"/>
      <c r="IDK113" s="181"/>
      <c r="IDL113" s="182"/>
      <c r="IDM113" s="181"/>
      <c r="IDN113" s="182"/>
      <c r="IDO113" s="181"/>
      <c r="IDP113" s="182"/>
      <c r="IDQ113" s="181"/>
      <c r="IDR113" s="182"/>
      <c r="IDS113" s="181"/>
      <c r="IDT113" s="182"/>
      <c r="IDU113" s="181"/>
      <c r="IDV113" s="182"/>
      <c r="IDW113" s="181"/>
      <c r="IDX113" s="182"/>
      <c r="IDY113" s="181"/>
      <c r="IDZ113" s="182"/>
      <c r="IEA113" s="181"/>
      <c r="IEB113" s="182"/>
      <c r="IEC113" s="181"/>
      <c r="IED113" s="182"/>
      <c r="IEE113" s="181"/>
      <c r="IEF113" s="182"/>
      <c r="IEG113" s="181"/>
      <c r="IEH113" s="182"/>
      <c r="IEI113" s="181"/>
      <c r="IEJ113" s="182"/>
      <c r="IEK113" s="181"/>
      <c r="IEL113" s="182"/>
      <c r="IEM113" s="181"/>
      <c r="IEN113" s="182"/>
      <c r="IEO113" s="181"/>
      <c r="IEP113" s="182"/>
      <c r="IEQ113" s="181"/>
      <c r="IER113" s="182"/>
      <c r="IES113" s="181"/>
      <c r="IET113" s="182"/>
      <c r="IEU113" s="181"/>
      <c r="IEV113" s="182"/>
      <c r="IEW113" s="181"/>
      <c r="IEX113" s="182"/>
      <c r="IEY113" s="181"/>
      <c r="IEZ113" s="182"/>
      <c r="IFA113" s="181"/>
      <c r="IFB113" s="182"/>
      <c r="IFC113" s="181"/>
      <c r="IFD113" s="182"/>
      <c r="IFE113" s="181"/>
      <c r="IFF113" s="182"/>
      <c r="IFG113" s="181"/>
      <c r="IFH113" s="182"/>
      <c r="IFI113" s="181"/>
      <c r="IFJ113" s="182"/>
      <c r="IFK113" s="181"/>
      <c r="IFL113" s="182"/>
      <c r="IFM113" s="181"/>
      <c r="IFN113" s="182"/>
      <c r="IFO113" s="181"/>
      <c r="IFP113" s="182"/>
      <c r="IFQ113" s="181"/>
      <c r="IFR113" s="182"/>
      <c r="IFS113" s="181"/>
      <c r="IFT113" s="182"/>
      <c r="IFU113" s="181"/>
      <c r="IFV113" s="182"/>
      <c r="IFW113" s="181"/>
      <c r="IFX113" s="182"/>
      <c r="IFY113" s="181"/>
      <c r="IFZ113" s="182"/>
      <c r="IGA113" s="181"/>
      <c r="IGB113" s="182"/>
      <c r="IGC113" s="181"/>
      <c r="IGD113" s="182"/>
      <c r="IGE113" s="181"/>
      <c r="IGF113" s="182"/>
      <c r="IGG113" s="181"/>
      <c r="IGH113" s="182"/>
      <c r="IGI113" s="181"/>
      <c r="IGJ113" s="182"/>
      <c r="IGK113" s="181"/>
      <c r="IGL113" s="182"/>
      <c r="IGM113" s="181"/>
      <c r="IGN113" s="182"/>
      <c r="IGO113" s="181"/>
      <c r="IGP113" s="182"/>
      <c r="IGQ113" s="181"/>
      <c r="IGR113" s="182"/>
      <c r="IGS113" s="181"/>
      <c r="IGT113" s="182"/>
      <c r="IGU113" s="181"/>
      <c r="IGV113" s="182"/>
      <c r="IGW113" s="181"/>
      <c r="IGX113" s="182"/>
      <c r="IGY113" s="181"/>
      <c r="IGZ113" s="182"/>
      <c r="IHA113" s="181"/>
      <c r="IHB113" s="182"/>
      <c r="IHC113" s="181"/>
      <c r="IHD113" s="182"/>
      <c r="IHE113" s="181"/>
      <c r="IHF113" s="182"/>
      <c r="IHG113" s="181"/>
      <c r="IHH113" s="182"/>
      <c r="IHI113" s="181"/>
      <c r="IHJ113" s="182"/>
      <c r="IHK113" s="181"/>
      <c r="IHL113" s="182"/>
      <c r="IHM113" s="181"/>
      <c r="IHN113" s="182"/>
      <c r="IHO113" s="181"/>
      <c r="IHP113" s="182"/>
      <c r="IHQ113" s="181"/>
      <c r="IHR113" s="182"/>
      <c r="IHS113" s="181"/>
      <c r="IHT113" s="182"/>
      <c r="IHU113" s="181"/>
      <c r="IHV113" s="182"/>
      <c r="IHW113" s="181"/>
      <c r="IHX113" s="182"/>
      <c r="IHY113" s="181"/>
      <c r="IHZ113" s="182"/>
      <c r="IIA113" s="181"/>
      <c r="IIB113" s="182"/>
      <c r="IIC113" s="181"/>
      <c r="IID113" s="182"/>
      <c r="IIE113" s="181"/>
      <c r="IIF113" s="182"/>
      <c r="IIG113" s="181"/>
      <c r="IIH113" s="182"/>
      <c r="III113" s="181"/>
      <c r="IIJ113" s="182"/>
      <c r="IIK113" s="181"/>
      <c r="IIL113" s="182"/>
      <c r="IIM113" s="181"/>
      <c r="IIN113" s="182"/>
      <c r="IIO113" s="181"/>
      <c r="IIP113" s="182"/>
      <c r="IIQ113" s="181"/>
      <c r="IIR113" s="182"/>
      <c r="IIS113" s="181"/>
      <c r="IIT113" s="182"/>
      <c r="IIU113" s="181"/>
      <c r="IIV113" s="182"/>
      <c r="IIW113" s="181"/>
      <c r="IIX113" s="182"/>
      <c r="IIY113" s="181"/>
      <c r="IIZ113" s="182"/>
      <c r="IJA113" s="181"/>
      <c r="IJB113" s="182"/>
      <c r="IJC113" s="181"/>
      <c r="IJD113" s="182"/>
      <c r="IJE113" s="181"/>
      <c r="IJF113" s="182"/>
      <c r="IJG113" s="181"/>
      <c r="IJH113" s="182"/>
      <c r="IJI113" s="181"/>
      <c r="IJJ113" s="182"/>
      <c r="IJK113" s="181"/>
      <c r="IJL113" s="182"/>
      <c r="IJM113" s="181"/>
      <c r="IJN113" s="182"/>
      <c r="IJO113" s="181"/>
      <c r="IJP113" s="182"/>
      <c r="IJQ113" s="181"/>
      <c r="IJR113" s="182"/>
      <c r="IJS113" s="181"/>
      <c r="IJT113" s="182"/>
      <c r="IJU113" s="181"/>
      <c r="IJV113" s="182"/>
      <c r="IJW113" s="181"/>
      <c r="IJX113" s="182"/>
      <c r="IJY113" s="181"/>
      <c r="IJZ113" s="182"/>
      <c r="IKA113" s="181"/>
      <c r="IKB113" s="182"/>
      <c r="IKC113" s="181"/>
      <c r="IKD113" s="182"/>
      <c r="IKE113" s="181"/>
      <c r="IKF113" s="182"/>
      <c r="IKG113" s="181"/>
      <c r="IKH113" s="182"/>
      <c r="IKI113" s="181"/>
      <c r="IKJ113" s="182"/>
      <c r="IKK113" s="181"/>
      <c r="IKL113" s="182"/>
      <c r="IKM113" s="181"/>
      <c r="IKN113" s="182"/>
      <c r="IKO113" s="181"/>
      <c r="IKP113" s="182"/>
      <c r="IKQ113" s="181"/>
      <c r="IKR113" s="182"/>
      <c r="IKS113" s="181"/>
      <c r="IKT113" s="182"/>
      <c r="IKU113" s="181"/>
      <c r="IKV113" s="182"/>
      <c r="IKW113" s="181"/>
      <c r="IKX113" s="182"/>
      <c r="IKY113" s="181"/>
      <c r="IKZ113" s="182"/>
      <c r="ILA113" s="181"/>
      <c r="ILB113" s="182"/>
      <c r="ILC113" s="181"/>
      <c r="ILD113" s="182"/>
      <c r="ILE113" s="181"/>
      <c r="ILF113" s="182"/>
      <c r="ILG113" s="181"/>
      <c r="ILH113" s="182"/>
      <c r="ILI113" s="181"/>
      <c r="ILJ113" s="182"/>
      <c r="ILK113" s="181"/>
      <c r="ILL113" s="182"/>
      <c r="ILM113" s="181"/>
      <c r="ILN113" s="182"/>
      <c r="ILO113" s="181"/>
      <c r="ILP113" s="182"/>
      <c r="ILQ113" s="181"/>
      <c r="ILR113" s="182"/>
      <c r="ILS113" s="181"/>
      <c r="ILT113" s="182"/>
      <c r="ILU113" s="181"/>
      <c r="ILV113" s="182"/>
      <c r="ILW113" s="181"/>
      <c r="ILX113" s="182"/>
      <c r="ILY113" s="181"/>
      <c r="ILZ113" s="182"/>
      <c r="IMA113" s="181"/>
      <c r="IMB113" s="182"/>
      <c r="IMC113" s="181"/>
      <c r="IMD113" s="182"/>
      <c r="IME113" s="181"/>
      <c r="IMF113" s="182"/>
      <c r="IMG113" s="181"/>
      <c r="IMH113" s="182"/>
      <c r="IMI113" s="181"/>
      <c r="IMJ113" s="182"/>
      <c r="IMK113" s="181"/>
      <c r="IML113" s="182"/>
      <c r="IMM113" s="181"/>
      <c r="IMN113" s="182"/>
      <c r="IMO113" s="181"/>
      <c r="IMP113" s="182"/>
      <c r="IMQ113" s="181"/>
      <c r="IMR113" s="182"/>
      <c r="IMS113" s="181"/>
      <c r="IMT113" s="182"/>
      <c r="IMU113" s="181"/>
      <c r="IMV113" s="182"/>
      <c r="IMW113" s="181"/>
      <c r="IMX113" s="182"/>
      <c r="IMY113" s="181"/>
      <c r="IMZ113" s="182"/>
      <c r="INA113" s="181"/>
      <c r="INB113" s="182"/>
      <c r="INC113" s="181"/>
      <c r="IND113" s="182"/>
      <c r="INE113" s="181"/>
      <c r="INF113" s="182"/>
      <c r="ING113" s="181"/>
      <c r="INH113" s="182"/>
      <c r="INI113" s="181"/>
      <c r="INJ113" s="182"/>
      <c r="INK113" s="181"/>
      <c r="INL113" s="182"/>
      <c r="INM113" s="181"/>
      <c r="INN113" s="182"/>
      <c r="INO113" s="181"/>
      <c r="INP113" s="182"/>
      <c r="INQ113" s="181"/>
      <c r="INR113" s="182"/>
      <c r="INS113" s="181"/>
      <c r="INT113" s="182"/>
      <c r="INU113" s="181"/>
      <c r="INV113" s="182"/>
      <c r="INW113" s="181"/>
      <c r="INX113" s="182"/>
      <c r="INY113" s="181"/>
      <c r="INZ113" s="182"/>
      <c r="IOA113" s="181"/>
      <c r="IOB113" s="182"/>
      <c r="IOC113" s="181"/>
      <c r="IOD113" s="182"/>
      <c r="IOE113" s="181"/>
      <c r="IOF113" s="182"/>
      <c r="IOG113" s="181"/>
      <c r="IOH113" s="182"/>
      <c r="IOI113" s="181"/>
      <c r="IOJ113" s="182"/>
      <c r="IOK113" s="181"/>
      <c r="IOL113" s="182"/>
      <c r="IOM113" s="181"/>
      <c r="ION113" s="182"/>
      <c r="IOO113" s="181"/>
      <c r="IOP113" s="182"/>
      <c r="IOQ113" s="181"/>
      <c r="IOR113" s="182"/>
      <c r="IOS113" s="181"/>
      <c r="IOT113" s="182"/>
      <c r="IOU113" s="181"/>
      <c r="IOV113" s="182"/>
      <c r="IOW113" s="181"/>
      <c r="IOX113" s="182"/>
      <c r="IOY113" s="181"/>
      <c r="IOZ113" s="182"/>
      <c r="IPA113" s="181"/>
      <c r="IPB113" s="182"/>
      <c r="IPC113" s="181"/>
      <c r="IPD113" s="182"/>
      <c r="IPE113" s="181"/>
      <c r="IPF113" s="182"/>
      <c r="IPG113" s="181"/>
      <c r="IPH113" s="182"/>
      <c r="IPI113" s="181"/>
      <c r="IPJ113" s="182"/>
      <c r="IPK113" s="181"/>
      <c r="IPL113" s="182"/>
      <c r="IPM113" s="181"/>
      <c r="IPN113" s="182"/>
      <c r="IPO113" s="181"/>
      <c r="IPP113" s="182"/>
      <c r="IPQ113" s="181"/>
      <c r="IPR113" s="182"/>
      <c r="IPS113" s="181"/>
      <c r="IPT113" s="182"/>
      <c r="IPU113" s="181"/>
      <c r="IPV113" s="182"/>
      <c r="IPW113" s="181"/>
      <c r="IPX113" s="182"/>
      <c r="IPY113" s="181"/>
      <c r="IPZ113" s="182"/>
      <c r="IQA113" s="181"/>
      <c r="IQB113" s="182"/>
      <c r="IQC113" s="181"/>
      <c r="IQD113" s="182"/>
      <c r="IQE113" s="181"/>
      <c r="IQF113" s="182"/>
      <c r="IQG113" s="181"/>
      <c r="IQH113" s="182"/>
      <c r="IQI113" s="181"/>
      <c r="IQJ113" s="182"/>
      <c r="IQK113" s="181"/>
      <c r="IQL113" s="182"/>
      <c r="IQM113" s="181"/>
      <c r="IQN113" s="182"/>
      <c r="IQO113" s="181"/>
      <c r="IQP113" s="182"/>
      <c r="IQQ113" s="181"/>
      <c r="IQR113" s="182"/>
      <c r="IQS113" s="181"/>
      <c r="IQT113" s="182"/>
      <c r="IQU113" s="181"/>
      <c r="IQV113" s="182"/>
      <c r="IQW113" s="181"/>
      <c r="IQX113" s="182"/>
      <c r="IQY113" s="181"/>
      <c r="IQZ113" s="182"/>
      <c r="IRA113" s="181"/>
      <c r="IRB113" s="182"/>
      <c r="IRC113" s="181"/>
      <c r="IRD113" s="182"/>
      <c r="IRE113" s="181"/>
      <c r="IRF113" s="182"/>
      <c r="IRG113" s="181"/>
      <c r="IRH113" s="182"/>
      <c r="IRI113" s="181"/>
      <c r="IRJ113" s="182"/>
      <c r="IRK113" s="181"/>
      <c r="IRL113" s="182"/>
      <c r="IRM113" s="181"/>
      <c r="IRN113" s="182"/>
      <c r="IRO113" s="181"/>
      <c r="IRP113" s="182"/>
      <c r="IRQ113" s="181"/>
      <c r="IRR113" s="182"/>
      <c r="IRS113" s="181"/>
      <c r="IRT113" s="182"/>
      <c r="IRU113" s="181"/>
      <c r="IRV113" s="182"/>
      <c r="IRW113" s="181"/>
      <c r="IRX113" s="182"/>
      <c r="IRY113" s="181"/>
      <c r="IRZ113" s="182"/>
      <c r="ISA113" s="181"/>
      <c r="ISB113" s="182"/>
      <c r="ISC113" s="181"/>
      <c r="ISD113" s="182"/>
      <c r="ISE113" s="181"/>
      <c r="ISF113" s="182"/>
      <c r="ISG113" s="181"/>
      <c r="ISH113" s="182"/>
      <c r="ISI113" s="181"/>
      <c r="ISJ113" s="182"/>
      <c r="ISK113" s="181"/>
      <c r="ISL113" s="182"/>
      <c r="ISM113" s="181"/>
      <c r="ISN113" s="182"/>
      <c r="ISO113" s="181"/>
      <c r="ISP113" s="182"/>
      <c r="ISQ113" s="181"/>
      <c r="ISR113" s="182"/>
      <c r="ISS113" s="181"/>
      <c r="IST113" s="182"/>
      <c r="ISU113" s="181"/>
      <c r="ISV113" s="182"/>
      <c r="ISW113" s="181"/>
      <c r="ISX113" s="182"/>
      <c r="ISY113" s="181"/>
      <c r="ISZ113" s="182"/>
      <c r="ITA113" s="181"/>
      <c r="ITB113" s="182"/>
      <c r="ITC113" s="181"/>
      <c r="ITD113" s="182"/>
      <c r="ITE113" s="181"/>
      <c r="ITF113" s="182"/>
      <c r="ITG113" s="181"/>
      <c r="ITH113" s="182"/>
      <c r="ITI113" s="181"/>
      <c r="ITJ113" s="182"/>
      <c r="ITK113" s="181"/>
      <c r="ITL113" s="182"/>
      <c r="ITM113" s="181"/>
      <c r="ITN113" s="182"/>
      <c r="ITO113" s="181"/>
      <c r="ITP113" s="182"/>
      <c r="ITQ113" s="181"/>
      <c r="ITR113" s="182"/>
      <c r="ITS113" s="181"/>
      <c r="ITT113" s="182"/>
      <c r="ITU113" s="181"/>
      <c r="ITV113" s="182"/>
      <c r="ITW113" s="181"/>
      <c r="ITX113" s="182"/>
      <c r="ITY113" s="181"/>
      <c r="ITZ113" s="182"/>
      <c r="IUA113" s="181"/>
      <c r="IUB113" s="182"/>
      <c r="IUC113" s="181"/>
      <c r="IUD113" s="182"/>
      <c r="IUE113" s="181"/>
      <c r="IUF113" s="182"/>
      <c r="IUG113" s="181"/>
      <c r="IUH113" s="182"/>
      <c r="IUI113" s="181"/>
      <c r="IUJ113" s="182"/>
      <c r="IUK113" s="181"/>
      <c r="IUL113" s="182"/>
      <c r="IUM113" s="181"/>
      <c r="IUN113" s="182"/>
      <c r="IUO113" s="181"/>
      <c r="IUP113" s="182"/>
      <c r="IUQ113" s="181"/>
      <c r="IUR113" s="182"/>
      <c r="IUS113" s="181"/>
      <c r="IUT113" s="182"/>
      <c r="IUU113" s="181"/>
      <c r="IUV113" s="182"/>
      <c r="IUW113" s="181"/>
      <c r="IUX113" s="182"/>
      <c r="IUY113" s="181"/>
      <c r="IUZ113" s="182"/>
      <c r="IVA113" s="181"/>
      <c r="IVB113" s="182"/>
      <c r="IVC113" s="181"/>
      <c r="IVD113" s="182"/>
      <c r="IVE113" s="181"/>
      <c r="IVF113" s="182"/>
      <c r="IVG113" s="181"/>
      <c r="IVH113" s="182"/>
      <c r="IVI113" s="181"/>
      <c r="IVJ113" s="182"/>
      <c r="IVK113" s="181"/>
      <c r="IVL113" s="182"/>
      <c r="IVM113" s="181"/>
      <c r="IVN113" s="182"/>
      <c r="IVO113" s="181"/>
      <c r="IVP113" s="182"/>
      <c r="IVQ113" s="181"/>
      <c r="IVR113" s="182"/>
      <c r="IVS113" s="181"/>
      <c r="IVT113" s="182"/>
      <c r="IVU113" s="181"/>
      <c r="IVV113" s="182"/>
      <c r="IVW113" s="181"/>
      <c r="IVX113" s="182"/>
      <c r="IVY113" s="181"/>
      <c r="IVZ113" s="182"/>
      <c r="IWA113" s="181"/>
      <c r="IWB113" s="182"/>
      <c r="IWC113" s="181"/>
      <c r="IWD113" s="182"/>
      <c r="IWE113" s="181"/>
      <c r="IWF113" s="182"/>
      <c r="IWG113" s="181"/>
      <c r="IWH113" s="182"/>
      <c r="IWI113" s="181"/>
      <c r="IWJ113" s="182"/>
      <c r="IWK113" s="181"/>
      <c r="IWL113" s="182"/>
      <c r="IWM113" s="181"/>
      <c r="IWN113" s="182"/>
      <c r="IWO113" s="181"/>
      <c r="IWP113" s="182"/>
      <c r="IWQ113" s="181"/>
      <c r="IWR113" s="182"/>
      <c r="IWS113" s="181"/>
      <c r="IWT113" s="182"/>
      <c r="IWU113" s="181"/>
      <c r="IWV113" s="182"/>
      <c r="IWW113" s="181"/>
      <c r="IWX113" s="182"/>
      <c r="IWY113" s="181"/>
      <c r="IWZ113" s="182"/>
      <c r="IXA113" s="181"/>
      <c r="IXB113" s="182"/>
      <c r="IXC113" s="181"/>
      <c r="IXD113" s="182"/>
      <c r="IXE113" s="181"/>
      <c r="IXF113" s="182"/>
      <c r="IXG113" s="181"/>
      <c r="IXH113" s="182"/>
      <c r="IXI113" s="181"/>
      <c r="IXJ113" s="182"/>
      <c r="IXK113" s="181"/>
      <c r="IXL113" s="182"/>
      <c r="IXM113" s="181"/>
      <c r="IXN113" s="182"/>
      <c r="IXO113" s="181"/>
      <c r="IXP113" s="182"/>
      <c r="IXQ113" s="181"/>
      <c r="IXR113" s="182"/>
      <c r="IXS113" s="181"/>
      <c r="IXT113" s="182"/>
      <c r="IXU113" s="181"/>
      <c r="IXV113" s="182"/>
      <c r="IXW113" s="181"/>
      <c r="IXX113" s="182"/>
      <c r="IXY113" s="181"/>
      <c r="IXZ113" s="182"/>
      <c r="IYA113" s="181"/>
      <c r="IYB113" s="182"/>
      <c r="IYC113" s="181"/>
      <c r="IYD113" s="182"/>
      <c r="IYE113" s="181"/>
      <c r="IYF113" s="182"/>
      <c r="IYG113" s="181"/>
      <c r="IYH113" s="182"/>
      <c r="IYI113" s="181"/>
      <c r="IYJ113" s="182"/>
      <c r="IYK113" s="181"/>
      <c r="IYL113" s="182"/>
      <c r="IYM113" s="181"/>
      <c r="IYN113" s="182"/>
      <c r="IYO113" s="181"/>
      <c r="IYP113" s="182"/>
      <c r="IYQ113" s="181"/>
      <c r="IYR113" s="182"/>
      <c r="IYS113" s="181"/>
      <c r="IYT113" s="182"/>
      <c r="IYU113" s="181"/>
      <c r="IYV113" s="182"/>
      <c r="IYW113" s="181"/>
      <c r="IYX113" s="182"/>
      <c r="IYY113" s="181"/>
      <c r="IYZ113" s="182"/>
      <c r="IZA113" s="181"/>
      <c r="IZB113" s="182"/>
      <c r="IZC113" s="181"/>
      <c r="IZD113" s="182"/>
      <c r="IZE113" s="181"/>
      <c r="IZF113" s="182"/>
      <c r="IZG113" s="181"/>
      <c r="IZH113" s="182"/>
      <c r="IZI113" s="181"/>
      <c r="IZJ113" s="182"/>
      <c r="IZK113" s="181"/>
      <c r="IZL113" s="182"/>
      <c r="IZM113" s="181"/>
      <c r="IZN113" s="182"/>
      <c r="IZO113" s="181"/>
      <c r="IZP113" s="182"/>
      <c r="IZQ113" s="181"/>
      <c r="IZR113" s="182"/>
      <c r="IZS113" s="181"/>
      <c r="IZT113" s="182"/>
      <c r="IZU113" s="181"/>
      <c r="IZV113" s="182"/>
      <c r="IZW113" s="181"/>
      <c r="IZX113" s="182"/>
      <c r="IZY113" s="181"/>
      <c r="IZZ113" s="182"/>
      <c r="JAA113" s="181"/>
      <c r="JAB113" s="182"/>
      <c r="JAC113" s="181"/>
      <c r="JAD113" s="182"/>
      <c r="JAE113" s="181"/>
      <c r="JAF113" s="182"/>
      <c r="JAG113" s="181"/>
      <c r="JAH113" s="182"/>
      <c r="JAI113" s="181"/>
      <c r="JAJ113" s="182"/>
      <c r="JAK113" s="181"/>
      <c r="JAL113" s="182"/>
      <c r="JAM113" s="181"/>
      <c r="JAN113" s="182"/>
      <c r="JAO113" s="181"/>
      <c r="JAP113" s="182"/>
      <c r="JAQ113" s="181"/>
      <c r="JAR113" s="182"/>
      <c r="JAS113" s="181"/>
      <c r="JAT113" s="182"/>
      <c r="JAU113" s="181"/>
      <c r="JAV113" s="182"/>
      <c r="JAW113" s="181"/>
      <c r="JAX113" s="182"/>
      <c r="JAY113" s="181"/>
      <c r="JAZ113" s="182"/>
      <c r="JBA113" s="181"/>
      <c r="JBB113" s="182"/>
      <c r="JBC113" s="181"/>
      <c r="JBD113" s="182"/>
      <c r="JBE113" s="181"/>
      <c r="JBF113" s="182"/>
      <c r="JBG113" s="181"/>
      <c r="JBH113" s="182"/>
      <c r="JBI113" s="181"/>
      <c r="JBJ113" s="182"/>
      <c r="JBK113" s="181"/>
      <c r="JBL113" s="182"/>
      <c r="JBM113" s="181"/>
      <c r="JBN113" s="182"/>
      <c r="JBO113" s="181"/>
      <c r="JBP113" s="182"/>
      <c r="JBQ113" s="181"/>
      <c r="JBR113" s="182"/>
      <c r="JBS113" s="181"/>
      <c r="JBT113" s="182"/>
      <c r="JBU113" s="181"/>
      <c r="JBV113" s="182"/>
      <c r="JBW113" s="181"/>
      <c r="JBX113" s="182"/>
      <c r="JBY113" s="181"/>
      <c r="JBZ113" s="182"/>
      <c r="JCA113" s="181"/>
      <c r="JCB113" s="182"/>
      <c r="JCC113" s="181"/>
      <c r="JCD113" s="182"/>
      <c r="JCE113" s="181"/>
      <c r="JCF113" s="182"/>
      <c r="JCG113" s="181"/>
      <c r="JCH113" s="182"/>
      <c r="JCI113" s="181"/>
      <c r="JCJ113" s="182"/>
      <c r="JCK113" s="181"/>
      <c r="JCL113" s="182"/>
      <c r="JCM113" s="181"/>
      <c r="JCN113" s="182"/>
      <c r="JCO113" s="181"/>
      <c r="JCP113" s="182"/>
      <c r="JCQ113" s="181"/>
      <c r="JCR113" s="182"/>
      <c r="JCS113" s="181"/>
      <c r="JCT113" s="182"/>
      <c r="JCU113" s="181"/>
      <c r="JCV113" s="182"/>
      <c r="JCW113" s="181"/>
      <c r="JCX113" s="182"/>
      <c r="JCY113" s="181"/>
      <c r="JCZ113" s="182"/>
      <c r="JDA113" s="181"/>
      <c r="JDB113" s="182"/>
      <c r="JDC113" s="181"/>
      <c r="JDD113" s="182"/>
      <c r="JDE113" s="181"/>
      <c r="JDF113" s="182"/>
      <c r="JDG113" s="181"/>
      <c r="JDH113" s="182"/>
      <c r="JDI113" s="181"/>
      <c r="JDJ113" s="182"/>
      <c r="JDK113" s="181"/>
      <c r="JDL113" s="182"/>
      <c r="JDM113" s="181"/>
      <c r="JDN113" s="182"/>
      <c r="JDO113" s="181"/>
      <c r="JDP113" s="182"/>
      <c r="JDQ113" s="181"/>
      <c r="JDR113" s="182"/>
      <c r="JDS113" s="181"/>
      <c r="JDT113" s="182"/>
      <c r="JDU113" s="181"/>
      <c r="JDV113" s="182"/>
      <c r="JDW113" s="181"/>
      <c r="JDX113" s="182"/>
      <c r="JDY113" s="181"/>
      <c r="JDZ113" s="182"/>
      <c r="JEA113" s="181"/>
      <c r="JEB113" s="182"/>
      <c r="JEC113" s="181"/>
      <c r="JED113" s="182"/>
      <c r="JEE113" s="181"/>
      <c r="JEF113" s="182"/>
      <c r="JEG113" s="181"/>
      <c r="JEH113" s="182"/>
      <c r="JEI113" s="181"/>
      <c r="JEJ113" s="182"/>
      <c r="JEK113" s="181"/>
      <c r="JEL113" s="182"/>
      <c r="JEM113" s="181"/>
      <c r="JEN113" s="182"/>
      <c r="JEO113" s="181"/>
      <c r="JEP113" s="182"/>
      <c r="JEQ113" s="181"/>
      <c r="JER113" s="182"/>
      <c r="JES113" s="181"/>
      <c r="JET113" s="182"/>
      <c r="JEU113" s="181"/>
      <c r="JEV113" s="182"/>
      <c r="JEW113" s="181"/>
      <c r="JEX113" s="182"/>
      <c r="JEY113" s="181"/>
      <c r="JEZ113" s="182"/>
      <c r="JFA113" s="181"/>
      <c r="JFB113" s="182"/>
      <c r="JFC113" s="181"/>
      <c r="JFD113" s="182"/>
      <c r="JFE113" s="181"/>
      <c r="JFF113" s="182"/>
      <c r="JFG113" s="181"/>
      <c r="JFH113" s="182"/>
      <c r="JFI113" s="181"/>
      <c r="JFJ113" s="182"/>
      <c r="JFK113" s="181"/>
      <c r="JFL113" s="182"/>
      <c r="JFM113" s="181"/>
      <c r="JFN113" s="182"/>
      <c r="JFO113" s="181"/>
      <c r="JFP113" s="182"/>
      <c r="JFQ113" s="181"/>
      <c r="JFR113" s="182"/>
      <c r="JFS113" s="181"/>
      <c r="JFT113" s="182"/>
      <c r="JFU113" s="181"/>
      <c r="JFV113" s="182"/>
      <c r="JFW113" s="181"/>
      <c r="JFX113" s="182"/>
      <c r="JFY113" s="181"/>
      <c r="JFZ113" s="182"/>
      <c r="JGA113" s="181"/>
      <c r="JGB113" s="182"/>
      <c r="JGC113" s="181"/>
      <c r="JGD113" s="182"/>
      <c r="JGE113" s="181"/>
      <c r="JGF113" s="182"/>
      <c r="JGG113" s="181"/>
      <c r="JGH113" s="182"/>
      <c r="JGI113" s="181"/>
      <c r="JGJ113" s="182"/>
      <c r="JGK113" s="181"/>
      <c r="JGL113" s="182"/>
      <c r="JGM113" s="181"/>
      <c r="JGN113" s="182"/>
      <c r="JGO113" s="181"/>
      <c r="JGP113" s="182"/>
      <c r="JGQ113" s="181"/>
      <c r="JGR113" s="182"/>
      <c r="JGS113" s="181"/>
      <c r="JGT113" s="182"/>
      <c r="JGU113" s="181"/>
      <c r="JGV113" s="182"/>
      <c r="JGW113" s="181"/>
      <c r="JGX113" s="182"/>
      <c r="JGY113" s="181"/>
      <c r="JGZ113" s="182"/>
      <c r="JHA113" s="181"/>
      <c r="JHB113" s="182"/>
      <c r="JHC113" s="181"/>
      <c r="JHD113" s="182"/>
      <c r="JHE113" s="181"/>
      <c r="JHF113" s="182"/>
      <c r="JHG113" s="181"/>
      <c r="JHH113" s="182"/>
      <c r="JHI113" s="181"/>
      <c r="JHJ113" s="182"/>
      <c r="JHK113" s="181"/>
      <c r="JHL113" s="182"/>
      <c r="JHM113" s="181"/>
      <c r="JHN113" s="182"/>
      <c r="JHO113" s="181"/>
      <c r="JHP113" s="182"/>
      <c r="JHQ113" s="181"/>
      <c r="JHR113" s="182"/>
      <c r="JHS113" s="181"/>
      <c r="JHT113" s="182"/>
      <c r="JHU113" s="181"/>
      <c r="JHV113" s="182"/>
      <c r="JHW113" s="181"/>
      <c r="JHX113" s="182"/>
      <c r="JHY113" s="181"/>
      <c r="JHZ113" s="182"/>
      <c r="JIA113" s="181"/>
      <c r="JIB113" s="182"/>
      <c r="JIC113" s="181"/>
      <c r="JID113" s="182"/>
      <c r="JIE113" s="181"/>
      <c r="JIF113" s="182"/>
      <c r="JIG113" s="181"/>
      <c r="JIH113" s="182"/>
      <c r="JII113" s="181"/>
      <c r="JIJ113" s="182"/>
      <c r="JIK113" s="181"/>
      <c r="JIL113" s="182"/>
      <c r="JIM113" s="181"/>
      <c r="JIN113" s="182"/>
      <c r="JIO113" s="181"/>
      <c r="JIP113" s="182"/>
      <c r="JIQ113" s="181"/>
      <c r="JIR113" s="182"/>
      <c r="JIS113" s="181"/>
      <c r="JIT113" s="182"/>
      <c r="JIU113" s="181"/>
      <c r="JIV113" s="182"/>
      <c r="JIW113" s="181"/>
      <c r="JIX113" s="182"/>
      <c r="JIY113" s="181"/>
      <c r="JIZ113" s="182"/>
      <c r="JJA113" s="181"/>
      <c r="JJB113" s="182"/>
      <c r="JJC113" s="181"/>
      <c r="JJD113" s="182"/>
      <c r="JJE113" s="181"/>
      <c r="JJF113" s="182"/>
      <c r="JJG113" s="181"/>
      <c r="JJH113" s="182"/>
      <c r="JJI113" s="181"/>
      <c r="JJJ113" s="182"/>
      <c r="JJK113" s="181"/>
      <c r="JJL113" s="182"/>
      <c r="JJM113" s="181"/>
      <c r="JJN113" s="182"/>
      <c r="JJO113" s="181"/>
      <c r="JJP113" s="182"/>
      <c r="JJQ113" s="181"/>
      <c r="JJR113" s="182"/>
      <c r="JJS113" s="181"/>
      <c r="JJT113" s="182"/>
      <c r="JJU113" s="181"/>
      <c r="JJV113" s="182"/>
      <c r="JJW113" s="181"/>
      <c r="JJX113" s="182"/>
      <c r="JJY113" s="181"/>
      <c r="JJZ113" s="182"/>
      <c r="JKA113" s="181"/>
      <c r="JKB113" s="182"/>
      <c r="JKC113" s="181"/>
      <c r="JKD113" s="182"/>
      <c r="JKE113" s="181"/>
      <c r="JKF113" s="182"/>
      <c r="JKG113" s="181"/>
      <c r="JKH113" s="182"/>
      <c r="JKI113" s="181"/>
      <c r="JKJ113" s="182"/>
      <c r="JKK113" s="181"/>
      <c r="JKL113" s="182"/>
      <c r="JKM113" s="181"/>
      <c r="JKN113" s="182"/>
      <c r="JKO113" s="181"/>
      <c r="JKP113" s="182"/>
      <c r="JKQ113" s="181"/>
      <c r="JKR113" s="182"/>
      <c r="JKS113" s="181"/>
      <c r="JKT113" s="182"/>
      <c r="JKU113" s="181"/>
      <c r="JKV113" s="182"/>
      <c r="JKW113" s="181"/>
      <c r="JKX113" s="182"/>
      <c r="JKY113" s="181"/>
      <c r="JKZ113" s="182"/>
      <c r="JLA113" s="181"/>
      <c r="JLB113" s="182"/>
      <c r="JLC113" s="181"/>
      <c r="JLD113" s="182"/>
      <c r="JLE113" s="181"/>
      <c r="JLF113" s="182"/>
      <c r="JLG113" s="181"/>
      <c r="JLH113" s="182"/>
      <c r="JLI113" s="181"/>
      <c r="JLJ113" s="182"/>
      <c r="JLK113" s="181"/>
      <c r="JLL113" s="182"/>
      <c r="JLM113" s="181"/>
      <c r="JLN113" s="182"/>
      <c r="JLO113" s="181"/>
      <c r="JLP113" s="182"/>
      <c r="JLQ113" s="181"/>
      <c r="JLR113" s="182"/>
      <c r="JLS113" s="181"/>
      <c r="JLT113" s="182"/>
      <c r="JLU113" s="181"/>
      <c r="JLV113" s="182"/>
      <c r="JLW113" s="181"/>
      <c r="JLX113" s="182"/>
      <c r="JLY113" s="181"/>
      <c r="JLZ113" s="182"/>
      <c r="JMA113" s="181"/>
      <c r="JMB113" s="182"/>
      <c r="JMC113" s="181"/>
      <c r="JMD113" s="182"/>
      <c r="JME113" s="181"/>
      <c r="JMF113" s="182"/>
      <c r="JMG113" s="181"/>
      <c r="JMH113" s="182"/>
      <c r="JMI113" s="181"/>
      <c r="JMJ113" s="182"/>
      <c r="JMK113" s="181"/>
      <c r="JML113" s="182"/>
      <c r="JMM113" s="181"/>
      <c r="JMN113" s="182"/>
      <c r="JMO113" s="181"/>
      <c r="JMP113" s="182"/>
      <c r="JMQ113" s="181"/>
      <c r="JMR113" s="182"/>
      <c r="JMS113" s="181"/>
      <c r="JMT113" s="182"/>
      <c r="JMU113" s="181"/>
      <c r="JMV113" s="182"/>
      <c r="JMW113" s="181"/>
      <c r="JMX113" s="182"/>
      <c r="JMY113" s="181"/>
      <c r="JMZ113" s="182"/>
      <c r="JNA113" s="181"/>
      <c r="JNB113" s="182"/>
      <c r="JNC113" s="181"/>
      <c r="JND113" s="182"/>
      <c r="JNE113" s="181"/>
      <c r="JNF113" s="182"/>
      <c r="JNG113" s="181"/>
      <c r="JNH113" s="182"/>
      <c r="JNI113" s="181"/>
      <c r="JNJ113" s="182"/>
      <c r="JNK113" s="181"/>
      <c r="JNL113" s="182"/>
      <c r="JNM113" s="181"/>
      <c r="JNN113" s="182"/>
      <c r="JNO113" s="181"/>
      <c r="JNP113" s="182"/>
      <c r="JNQ113" s="181"/>
      <c r="JNR113" s="182"/>
      <c r="JNS113" s="181"/>
      <c r="JNT113" s="182"/>
      <c r="JNU113" s="181"/>
      <c r="JNV113" s="182"/>
      <c r="JNW113" s="181"/>
      <c r="JNX113" s="182"/>
      <c r="JNY113" s="181"/>
      <c r="JNZ113" s="182"/>
      <c r="JOA113" s="181"/>
      <c r="JOB113" s="182"/>
      <c r="JOC113" s="181"/>
      <c r="JOD113" s="182"/>
      <c r="JOE113" s="181"/>
      <c r="JOF113" s="182"/>
      <c r="JOG113" s="181"/>
      <c r="JOH113" s="182"/>
      <c r="JOI113" s="181"/>
      <c r="JOJ113" s="182"/>
      <c r="JOK113" s="181"/>
      <c r="JOL113" s="182"/>
      <c r="JOM113" s="181"/>
      <c r="JON113" s="182"/>
      <c r="JOO113" s="181"/>
      <c r="JOP113" s="182"/>
      <c r="JOQ113" s="181"/>
      <c r="JOR113" s="182"/>
      <c r="JOS113" s="181"/>
      <c r="JOT113" s="182"/>
      <c r="JOU113" s="181"/>
      <c r="JOV113" s="182"/>
      <c r="JOW113" s="181"/>
      <c r="JOX113" s="182"/>
      <c r="JOY113" s="181"/>
      <c r="JOZ113" s="182"/>
      <c r="JPA113" s="181"/>
      <c r="JPB113" s="182"/>
      <c r="JPC113" s="181"/>
      <c r="JPD113" s="182"/>
      <c r="JPE113" s="181"/>
      <c r="JPF113" s="182"/>
      <c r="JPG113" s="181"/>
      <c r="JPH113" s="182"/>
      <c r="JPI113" s="181"/>
      <c r="JPJ113" s="182"/>
      <c r="JPK113" s="181"/>
      <c r="JPL113" s="182"/>
      <c r="JPM113" s="181"/>
      <c r="JPN113" s="182"/>
      <c r="JPO113" s="181"/>
      <c r="JPP113" s="182"/>
      <c r="JPQ113" s="181"/>
      <c r="JPR113" s="182"/>
      <c r="JPS113" s="181"/>
      <c r="JPT113" s="182"/>
      <c r="JPU113" s="181"/>
      <c r="JPV113" s="182"/>
      <c r="JPW113" s="181"/>
      <c r="JPX113" s="182"/>
      <c r="JPY113" s="181"/>
      <c r="JPZ113" s="182"/>
      <c r="JQA113" s="181"/>
      <c r="JQB113" s="182"/>
      <c r="JQC113" s="181"/>
      <c r="JQD113" s="182"/>
      <c r="JQE113" s="181"/>
      <c r="JQF113" s="182"/>
      <c r="JQG113" s="181"/>
      <c r="JQH113" s="182"/>
      <c r="JQI113" s="181"/>
      <c r="JQJ113" s="182"/>
      <c r="JQK113" s="181"/>
      <c r="JQL113" s="182"/>
      <c r="JQM113" s="181"/>
      <c r="JQN113" s="182"/>
      <c r="JQO113" s="181"/>
      <c r="JQP113" s="182"/>
      <c r="JQQ113" s="181"/>
      <c r="JQR113" s="182"/>
      <c r="JQS113" s="181"/>
      <c r="JQT113" s="182"/>
      <c r="JQU113" s="181"/>
      <c r="JQV113" s="182"/>
      <c r="JQW113" s="181"/>
      <c r="JQX113" s="182"/>
      <c r="JQY113" s="181"/>
      <c r="JQZ113" s="182"/>
      <c r="JRA113" s="181"/>
      <c r="JRB113" s="182"/>
      <c r="JRC113" s="181"/>
      <c r="JRD113" s="182"/>
      <c r="JRE113" s="181"/>
      <c r="JRF113" s="182"/>
      <c r="JRG113" s="181"/>
      <c r="JRH113" s="182"/>
      <c r="JRI113" s="181"/>
      <c r="JRJ113" s="182"/>
      <c r="JRK113" s="181"/>
      <c r="JRL113" s="182"/>
      <c r="JRM113" s="181"/>
      <c r="JRN113" s="182"/>
      <c r="JRO113" s="181"/>
      <c r="JRP113" s="182"/>
      <c r="JRQ113" s="181"/>
      <c r="JRR113" s="182"/>
      <c r="JRS113" s="181"/>
      <c r="JRT113" s="182"/>
      <c r="JRU113" s="181"/>
      <c r="JRV113" s="182"/>
      <c r="JRW113" s="181"/>
      <c r="JRX113" s="182"/>
      <c r="JRY113" s="181"/>
      <c r="JRZ113" s="182"/>
      <c r="JSA113" s="181"/>
      <c r="JSB113" s="182"/>
      <c r="JSC113" s="181"/>
      <c r="JSD113" s="182"/>
      <c r="JSE113" s="181"/>
      <c r="JSF113" s="182"/>
      <c r="JSG113" s="181"/>
      <c r="JSH113" s="182"/>
      <c r="JSI113" s="181"/>
      <c r="JSJ113" s="182"/>
      <c r="JSK113" s="181"/>
      <c r="JSL113" s="182"/>
      <c r="JSM113" s="181"/>
      <c r="JSN113" s="182"/>
      <c r="JSO113" s="181"/>
      <c r="JSP113" s="182"/>
      <c r="JSQ113" s="181"/>
      <c r="JSR113" s="182"/>
      <c r="JSS113" s="181"/>
      <c r="JST113" s="182"/>
      <c r="JSU113" s="181"/>
      <c r="JSV113" s="182"/>
      <c r="JSW113" s="181"/>
      <c r="JSX113" s="182"/>
      <c r="JSY113" s="181"/>
      <c r="JSZ113" s="182"/>
      <c r="JTA113" s="181"/>
      <c r="JTB113" s="182"/>
      <c r="JTC113" s="181"/>
      <c r="JTD113" s="182"/>
      <c r="JTE113" s="181"/>
      <c r="JTF113" s="182"/>
      <c r="JTG113" s="181"/>
      <c r="JTH113" s="182"/>
      <c r="JTI113" s="181"/>
      <c r="JTJ113" s="182"/>
      <c r="JTK113" s="181"/>
      <c r="JTL113" s="182"/>
      <c r="JTM113" s="181"/>
      <c r="JTN113" s="182"/>
      <c r="JTO113" s="181"/>
      <c r="JTP113" s="182"/>
      <c r="JTQ113" s="181"/>
      <c r="JTR113" s="182"/>
      <c r="JTS113" s="181"/>
      <c r="JTT113" s="182"/>
      <c r="JTU113" s="181"/>
      <c r="JTV113" s="182"/>
      <c r="JTW113" s="181"/>
      <c r="JTX113" s="182"/>
      <c r="JTY113" s="181"/>
      <c r="JTZ113" s="182"/>
      <c r="JUA113" s="181"/>
      <c r="JUB113" s="182"/>
      <c r="JUC113" s="181"/>
      <c r="JUD113" s="182"/>
      <c r="JUE113" s="181"/>
      <c r="JUF113" s="182"/>
      <c r="JUG113" s="181"/>
      <c r="JUH113" s="182"/>
      <c r="JUI113" s="181"/>
      <c r="JUJ113" s="182"/>
      <c r="JUK113" s="181"/>
      <c r="JUL113" s="182"/>
      <c r="JUM113" s="181"/>
      <c r="JUN113" s="182"/>
      <c r="JUO113" s="181"/>
      <c r="JUP113" s="182"/>
      <c r="JUQ113" s="181"/>
      <c r="JUR113" s="182"/>
      <c r="JUS113" s="181"/>
      <c r="JUT113" s="182"/>
      <c r="JUU113" s="181"/>
      <c r="JUV113" s="182"/>
      <c r="JUW113" s="181"/>
      <c r="JUX113" s="182"/>
      <c r="JUY113" s="181"/>
      <c r="JUZ113" s="182"/>
      <c r="JVA113" s="181"/>
      <c r="JVB113" s="182"/>
      <c r="JVC113" s="181"/>
      <c r="JVD113" s="182"/>
      <c r="JVE113" s="181"/>
      <c r="JVF113" s="182"/>
      <c r="JVG113" s="181"/>
      <c r="JVH113" s="182"/>
      <c r="JVI113" s="181"/>
      <c r="JVJ113" s="182"/>
      <c r="JVK113" s="181"/>
      <c r="JVL113" s="182"/>
      <c r="JVM113" s="181"/>
      <c r="JVN113" s="182"/>
      <c r="JVO113" s="181"/>
      <c r="JVP113" s="182"/>
      <c r="JVQ113" s="181"/>
      <c r="JVR113" s="182"/>
      <c r="JVS113" s="181"/>
      <c r="JVT113" s="182"/>
      <c r="JVU113" s="181"/>
      <c r="JVV113" s="182"/>
      <c r="JVW113" s="181"/>
      <c r="JVX113" s="182"/>
      <c r="JVY113" s="181"/>
      <c r="JVZ113" s="182"/>
      <c r="JWA113" s="181"/>
      <c r="JWB113" s="182"/>
      <c r="JWC113" s="181"/>
      <c r="JWD113" s="182"/>
      <c r="JWE113" s="181"/>
      <c r="JWF113" s="182"/>
      <c r="JWG113" s="181"/>
      <c r="JWH113" s="182"/>
      <c r="JWI113" s="181"/>
      <c r="JWJ113" s="182"/>
      <c r="JWK113" s="181"/>
      <c r="JWL113" s="182"/>
      <c r="JWM113" s="181"/>
      <c r="JWN113" s="182"/>
      <c r="JWO113" s="181"/>
      <c r="JWP113" s="182"/>
      <c r="JWQ113" s="181"/>
      <c r="JWR113" s="182"/>
      <c r="JWS113" s="181"/>
      <c r="JWT113" s="182"/>
      <c r="JWU113" s="181"/>
      <c r="JWV113" s="182"/>
      <c r="JWW113" s="181"/>
      <c r="JWX113" s="182"/>
      <c r="JWY113" s="181"/>
      <c r="JWZ113" s="182"/>
      <c r="JXA113" s="181"/>
      <c r="JXB113" s="182"/>
      <c r="JXC113" s="181"/>
      <c r="JXD113" s="182"/>
      <c r="JXE113" s="181"/>
      <c r="JXF113" s="182"/>
      <c r="JXG113" s="181"/>
      <c r="JXH113" s="182"/>
      <c r="JXI113" s="181"/>
      <c r="JXJ113" s="182"/>
      <c r="JXK113" s="181"/>
      <c r="JXL113" s="182"/>
      <c r="JXM113" s="181"/>
      <c r="JXN113" s="182"/>
      <c r="JXO113" s="181"/>
      <c r="JXP113" s="182"/>
      <c r="JXQ113" s="181"/>
      <c r="JXR113" s="182"/>
      <c r="JXS113" s="181"/>
      <c r="JXT113" s="182"/>
      <c r="JXU113" s="181"/>
      <c r="JXV113" s="182"/>
      <c r="JXW113" s="181"/>
      <c r="JXX113" s="182"/>
      <c r="JXY113" s="181"/>
      <c r="JXZ113" s="182"/>
      <c r="JYA113" s="181"/>
      <c r="JYB113" s="182"/>
      <c r="JYC113" s="181"/>
      <c r="JYD113" s="182"/>
      <c r="JYE113" s="181"/>
      <c r="JYF113" s="182"/>
      <c r="JYG113" s="181"/>
      <c r="JYH113" s="182"/>
      <c r="JYI113" s="181"/>
      <c r="JYJ113" s="182"/>
      <c r="JYK113" s="181"/>
      <c r="JYL113" s="182"/>
      <c r="JYM113" s="181"/>
      <c r="JYN113" s="182"/>
      <c r="JYO113" s="181"/>
      <c r="JYP113" s="182"/>
      <c r="JYQ113" s="181"/>
      <c r="JYR113" s="182"/>
      <c r="JYS113" s="181"/>
      <c r="JYT113" s="182"/>
      <c r="JYU113" s="181"/>
      <c r="JYV113" s="182"/>
      <c r="JYW113" s="181"/>
      <c r="JYX113" s="182"/>
      <c r="JYY113" s="181"/>
      <c r="JYZ113" s="182"/>
      <c r="JZA113" s="181"/>
      <c r="JZB113" s="182"/>
      <c r="JZC113" s="181"/>
      <c r="JZD113" s="182"/>
      <c r="JZE113" s="181"/>
      <c r="JZF113" s="182"/>
      <c r="JZG113" s="181"/>
      <c r="JZH113" s="182"/>
      <c r="JZI113" s="181"/>
      <c r="JZJ113" s="182"/>
      <c r="JZK113" s="181"/>
      <c r="JZL113" s="182"/>
      <c r="JZM113" s="181"/>
      <c r="JZN113" s="182"/>
      <c r="JZO113" s="181"/>
      <c r="JZP113" s="182"/>
      <c r="JZQ113" s="181"/>
      <c r="JZR113" s="182"/>
      <c r="JZS113" s="181"/>
      <c r="JZT113" s="182"/>
      <c r="JZU113" s="181"/>
      <c r="JZV113" s="182"/>
      <c r="JZW113" s="181"/>
      <c r="JZX113" s="182"/>
      <c r="JZY113" s="181"/>
      <c r="JZZ113" s="182"/>
      <c r="KAA113" s="181"/>
      <c r="KAB113" s="182"/>
      <c r="KAC113" s="181"/>
      <c r="KAD113" s="182"/>
      <c r="KAE113" s="181"/>
      <c r="KAF113" s="182"/>
      <c r="KAG113" s="181"/>
      <c r="KAH113" s="182"/>
      <c r="KAI113" s="181"/>
      <c r="KAJ113" s="182"/>
      <c r="KAK113" s="181"/>
      <c r="KAL113" s="182"/>
      <c r="KAM113" s="181"/>
      <c r="KAN113" s="182"/>
      <c r="KAO113" s="181"/>
      <c r="KAP113" s="182"/>
      <c r="KAQ113" s="181"/>
      <c r="KAR113" s="182"/>
      <c r="KAS113" s="181"/>
      <c r="KAT113" s="182"/>
      <c r="KAU113" s="181"/>
      <c r="KAV113" s="182"/>
      <c r="KAW113" s="181"/>
      <c r="KAX113" s="182"/>
      <c r="KAY113" s="181"/>
      <c r="KAZ113" s="182"/>
      <c r="KBA113" s="181"/>
      <c r="KBB113" s="182"/>
      <c r="KBC113" s="181"/>
      <c r="KBD113" s="182"/>
      <c r="KBE113" s="181"/>
      <c r="KBF113" s="182"/>
      <c r="KBG113" s="181"/>
      <c r="KBH113" s="182"/>
      <c r="KBI113" s="181"/>
      <c r="KBJ113" s="182"/>
      <c r="KBK113" s="181"/>
      <c r="KBL113" s="182"/>
      <c r="KBM113" s="181"/>
      <c r="KBN113" s="182"/>
      <c r="KBO113" s="181"/>
      <c r="KBP113" s="182"/>
      <c r="KBQ113" s="181"/>
      <c r="KBR113" s="182"/>
      <c r="KBS113" s="181"/>
      <c r="KBT113" s="182"/>
      <c r="KBU113" s="181"/>
      <c r="KBV113" s="182"/>
      <c r="KBW113" s="181"/>
      <c r="KBX113" s="182"/>
      <c r="KBY113" s="181"/>
      <c r="KBZ113" s="182"/>
      <c r="KCA113" s="181"/>
      <c r="KCB113" s="182"/>
      <c r="KCC113" s="181"/>
      <c r="KCD113" s="182"/>
      <c r="KCE113" s="181"/>
      <c r="KCF113" s="182"/>
      <c r="KCG113" s="181"/>
      <c r="KCH113" s="182"/>
      <c r="KCI113" s="181"/>
      <c r="KCJ113" s="182"/>
      <c r="KCK113" s="181"/>
      <c r="KCL113" s="182"/>
      <c r="KCM113" s="181"/>
      <c r="KCN113" s="182"/>
      <c r="KCO113" s="181"/>
      <c r="KCP113" s="182"/>
      <c r="KCQ113" s="181"/>
      <c r="KCR113" s="182"/>
      <c r="KCS113" s="181"/>
      <c r="KCT113" s="182"/>
      <c r="KCU113" s="181"/>
      <c r="KCV113" s="182"/>
      <c r="KCW113" s="181"/>
      <c r="KCX113" s="182"/>
      <c r="KCY113" s="181"/>
      <c r="KCZ113" s="182"/>
      <c r="KDA113" s="181"/>
      <c r="KDB113" s="182"/>
      <c r="KDC113" s="181"/>
      <c r="KDD113" s="182"/>
      <c r="KDE113" s="181"/>
      <c r="KDF113" s="182"/>
      <c r="KDG113" s="181"/>
      <c r="KDH113" s="182"/>
      <c r="KDI113" s="181"/>
      <c r="KDJ113" s="182"/>
      <c r="KDK113" s="181"/>
      <c r="KDL113" s="182"/>
      <c r="KDM113" s="181"/>
      <c r="KDN113" s="182"/>
      <c r="KDO113" s="181"/>
      <c r="KDP113" s="182"/>
      <c r="KDQ113" s="181"/>
      <c r="KDR113" s="182"/>
      <c r="KDS113" s="181"/>
      <c r="KDT113" s="182"/>
      <c r="KDU113" s="181"/>
      <c r="KDV113" s="182"/>
      <c r="KDW113" s="181"/>
      <c r="KDX113" s="182"/>
      <c r="KDY113" s="181"/>
      <c r="KDZ113" s="182"/>
      <c r="KEA113" s="181"/>
      <c r="KEB113" s="182"/>
      <c r="KEC113" s="181"/>
      <c r="KED113" s="182"/>
      <c r="KEE113" s="181"/>
      <c r="KEF113" s="182"/>
      <c r="KEG113" s="181"/>
      <c r="KEH113" s="182"/>
      <c r="KEI113" s="181"/>
      <c r="KEJ113" s="182"/>
      <c r="KEK113" s="181"/>
      <c r="KEL113" s="182"/>
      <c r="KEM113" s="181"/>
      <c r="KEN113" s="182"/>
      <c r="KEO113" s="181"/>
      <c r="KEP113" s="182"/>
      <c r="KEQ113" s="181"/>
      <c r="KER113" s="182"/>
      <c r="KES113" s="181"/>
      <c r="KET113" s="182"/>
      <c r="KEU113" s="181"/>
      <c r="KEV113" s="182"/>
      <c r="KEW113" s="181"/>
      <c r="KEX113" s="182"/>
      <c r="KEY113" s="181"/>
      <c r="KEZ113" s="182"/>
      <c r="KFA113" s="181"/>
      <c r="KFB113" s="182"/>
      <c r="KFC113" s="181"/>
      <c r="KFD113" s="182"/>
      <c r="KFE113" s="181"/>
      <c r="KFF113" s="182"/>
      <c r="KFG113" s="181"/>
      <c r="KFH113" s="182"/>
      <c r="KFI113" s="181"/>
      <c r="KFJ113" s="182"/>
      <c r="KFK113" s="181"/>
      <c r="KFL113" s="182"/>
      <c r="KFM113" s="181"/>
      <c r="KFN113" s="182"/>
      <c r="KFO113" s="181"/>
      <c r="KFP113" s="182"/>
      <c r="KFQ113" s="181"/>
      <c r="KFR113" s="182"/>
      <c r="KFS113" s="181"/>
      <c r="KFT113" s="182"/>
      <c r="KFU113" s="181"/>
      <c r="KFV113" s="182"/>
      <c r="KFW113" s="181"/>
      <c r="KFX113" s="182"/>
      <c r="KFY113" s="181"/>
      <c r="KFZ113" s="182"/>
      <c r="KGA113" s="181"/>
      <c r="KGB113" s="182"/>
      <c r="KGC113" s="181"/>
      <c r="KGD113" s="182"/>
      <c r="KGE113" s="181"/>
      <c r="KGF113" s="182"/>
      <c r="KGG113" s="181"/>
      <c r="KGH113" s="182"/>
      <c r="KGI113" s="181"/>
      <c r="KGJ113" s="182"/>
      <c r="KGK113" s="181"/>
      <c r="KGL113" s="182"/>
      <c r="KGM113" s="181"/>
      <c r="KGN113" s="182"/>
      <c r="KGO113" s="181"/>
      <c r="KGP113" s="182"/>
      <c r="KGQ113" s="181"/>
      <c r="KGR113" s="182"/>
      <c r="KGS113" s="181"/>
      <c r="KGT113" s="182"/>
      <c r="KGU113" s="181"/>
      <c r="KGV113" s="182"/>
      <c r="KGW113" s="181"/>
      <c r="KGX113" s="182"/>
      <c r="KGY113" s="181"/>
      <c r="KGZ113" s="182"/>
      <c r="KHA113" s="181"/>
      <c r="KHB113" s="182"/>
      <c r="KHC113" s="181"/>
      <c r="KHD113" s="182"/>
      <c r="KHE113" s="181"/>
      <c r="KHF113" s="182"/>
      <c r="KHG113" s="181"/>
      <c r="KHH113" s="182"/>
      <c r="KHI113" s="181"/>
      <c r="KHJ113" s="182"/>
      <c r="KHK113" s="181"/>
      <c r="KHL113" s="182"/>
      <c r="KHM113" s="181"/>
      <c r="KHN113" s="182"/>
      <c r="KHO113" s="181"/>
      <c r="KHP113" s="182"/>
      <c r="KHQ113" s="181"/>
      <c r="KHR113" s="182"/>
      <c r="KHS113" s="181"/>
      <c r="KHT113" s="182"/>
      <c r="KHU113" s="181"/>
      <c r="KHV113" s="182"/>
      <c r="KHW113" s="181"/>
      <c r="KHX113" s="182"/>
      <c r="KHY113" s="181"/>
      <c r="KHZ113" s="182"/>
      <c r="KIA113" s="181"/>
      <c r="KIB113" s="182"/>
      <c r="KIC113" s="181"/>
      <c r="KID113" s="182"/>
      <c r="KIE113" s="181"/>
      <c r="KIF113" s="182"/>
      <c r="KIG113" s="181"/>
      <c r="KIH113" s="182"/>
      <c r="KII113" s="181"/>
      <c r="KIJ113" s="182"/>
      <c r="KIK113" s="181"/>
      <c r="KIL113" s="182"/>
      <c r="KIM113" s="181"/>
      <c r="KIN113" s="182"/>
      <c r="KIO113" s="181"/>
      <c r="KIP113" s="182"/>
      <c r="KIQ113" s="181"/>
      <c r="KIR113" s="182"/>
      <c r="KIS113" s="181"/>
      <c r="KIT113" s="182"/>
      <c r="KIU113" s="181"/>
      <c r="KIV113" s="182"/>
      <c r="KIW113" s="181"/>
      <c r="KIX113" s="182"/>
      <c r="KIY113" s="181"/>
      <c r="KIZ113" s="182"/>
      <c r="KJA113" s="181"/>
      <c r="KJB113" s="182"/>
      <c r="KJC113" s="181"/>
      <c r="KJD113" s="182"/>
      <c r="KJE113" s="181"/>
      <c r="KJF113" s="182"/>
      <c r="KJG113" s="181"/>
      <c r="KJH113" s="182"/>
      <c r="KJI113" s="181"/>
      <c r="KJJ113" s="182"/>
      <c r="KJK113" s="181"/>
      <c r="KJL113" s="182"/>
      <c r="KJM113" s="181"/>
      <c r="KJN113" s="182"/>
      <c r="KJO113" s="181"/>
      <c r="KJP113" s="182"/>
      <c r="KJQ113" s="181"/>
      <c r="KJR113" s="182"/>
      <c r="KJS113" s="181"/>
      <c r="KJT113" s="182"/>
      <c r="KJU113" s="181"/>
      <c r="KJV113" s="182"/>
      <c r="KJW113" s="181"/>
      <c r="KJX113" s="182"/>
      <c r="KJY113" s="181"/>
      <c r="KJZ113" s="182"/>
      <c r="KKA113" s="181"/>
      <c r="KKB113" s="182"/>
      <c r="KKC113" s="181"/>
      <c r="KKD113" s="182"/>
      <c r="KKE113" s="181"/>
      <c r="KKF113" s="182"/>
      <c r="KKG113" s="181"/>
      <c r="KKH113" s="182"/>
      <c r="KKI113" s="181"/>
      <c r="KKJ113" s="182"/>
      <c r="KKK113" s="181"/>
      <c r="KKL113" s="182"/>
      <c r="KKM113" s="181"/>
      <c r="KKN113" s="182"/>
      <c r="KKO113" s="181"/>
      <c r="KKP113" s="182"/>
      <c r="KKQ113" s="181"/>
      <c r="KKR113" s="182"/>
      <c r="KKS113" s="181"/>
      <c r="KKT113" s="182"/>
      <c r="KKU113" s="181"/>
      <c r="KKV113" s="182"/>
      <c r="KKW113" s="181"/>
      <c r="KKX113" s="182"/>
      <c r="KKY113" s="181"/>
      <c r="KKZ113" s="182"/>
      <c r="KLA113" s="181"/>
      <c r="KLB113" s="182"/>
      <c r="KLC113" s="181"/>
      <c r="KLD113" s="182"/>
      <c r="KLE113" s="181"/>
      <c r="KLF113" s="182"/>
      <c r="KLG113" s="181"/>
      <c r="KLH113" s="182"/>
      <c r="KLI113" s="181"/>
      <c r="KLJ113" s="182"/>
      <c r="KLK113" s="181"/>
      <c r="KLL113" s="182"/>
      <c r="KLM113" s="181"/>
      <c r="KLN113" s="182"/>
      <c r="KLO113" s="181"/>
      <c r="KLP113" s="182"/>
      <c r="KLQ113" s="181"/>
      <c r="KLR113" s="182"/>
      <c r="KLS113" s="181"/>
      <c r="KLT113" s="182"/>
      <c r="KLU113" s="181"/>
      <c r="KLV113" s="182"/>
      <c r="KLW113" s="181"/>
      <c r="KLX113" s="182"/>
      <c r="KLY113" s="181"/>
      <c r="KLZ113" s="182"/>
      <c r="KMA113" s="181"/>
      <c r="KMB113" s="182"/>
      <c r="KMC113" s="181"/>
      <c r="KMD113" s="182"/>
      <c r="KME113" s="181"/>
      <c r="KMF113" s="182"/>
      <c r="KMG113" s="181"/>
      <c r="KMH113" s="182"/>
      <c r="KMI113" s="181"/>
      <c r="KMJ113" s="182"/>
      <c r="KMK113" s="181"/>
      <c r="KML113" s="182"/>
      <c r="KMM113" s="181"/>
      <c r="KMN113" s="182"/>
      <c r="KMO113" s="181"/>
      <c r="KMP113" s="182"/>
      <c r="KMQ113" s="181"/>
      <c r="KMR113" s="182"/>
      <c r="KMS113" s="181"/>
      <c r="KMT113" s="182"/>
      <c r="KMU113" s="181"/>
      <c r="KMV113" s="182"/>
      <c r="KMW113" s="181"/>
      <c r="KMX113" s="182"/>
      <c r="KMY113" s="181"/>
      <c r="KMZ113" s="182"/>
      <c r="KNA113" s="181"/>
      <c r="KNB113" s="182"/>
      <c r="KNC113" s="181"/>
      <c r="KND113" s="182"/>
      <c r="KNE113" s="181"/>
      <c r="KNF113" s="182"/>
      <c r="KNG113" s="181"/>
      <c r="KNH113" s="182"/>
      <c r="KNI113" s="181"/>
      <c r="KNJ113" s="182"/>
      <c r="KNK113" s="181"/>
      <c r="KNL113" s="182"/>
      <c r="KNM113" s="181"/>
      <c r="KNN113" s="182"/>
      <c r="KNO113" s="181"/>
      <c r="KNP113" s="182"/>
      <c r="KNQ113" s="181"/>
      <c r="KNR113" s="182"/>
      <c r="KNS113" s="181"/>
      <c r="KNT113" s="182"/>
      <c r="KNU113" s="181"/>
      <c r="KNV113" s="182"/>
      <c r="KNW113" s="181"/>
      <c r="KNX113" s="182"/>
      <c r="KNY113" s="181"/>
      <c r="KNZ113" s="182"/>
      <c r="KOA113" s="181"/>
      <c r="KOB113" s="182"/>
      <c r="KOC113" s="181"/>
      <c r="KOD113" s="182"/>
      <c r="KOE113" s="181"/>
      <c r="KOF113" s="182"/>
      <c r="KOG113" s="181"/>
      <c r="KOH113" s="182"/>
      <c r="KOI113" s="181"/>
      <c r="KOJ113" s="182"/>
      <c r="KOK113" s="181"/>
      <c r="KOL113" s="182"/>
      <c r="KOM113" s="181"/>
      <c r="KON113" s="182"/>
      <c r="KOO113" s="181"/>
      <c r="KOP113" s="182"/>
      <c r="KOQ113" s="181"/>
      <c r="KOR113" s="182"/>
      <c r="KOS113" s="181"/>
      <c r="KOT113" s="182"/>
      <c r="KOU113" s="181"/>
      <c r="KOV113" s="182"/>
      <c r="KOW113" s="181"/>
      <c r="KOX113" s="182"/>
      <c r="KOY113" s="181"/>
      <c r="KOZ113" s="182"/>
      <c r="KPA113" s="181"/>
      <c r="KPB113" s="182"/>
      <c r="KPC113" s="181"/>
      <c r="KPD113" s="182"/>
      <c r="KPE113" s="181"/>
      <c r="KPF113" s="182"/>
      <c r="KPG113" s="181"/>
      <c r="KPH113" s="182"/>
      <c r="KPI113" s="181"/>
      <c r="KPJ113" s="182"/>
      <c r="KPK113" s="181"/>
      <c r="KPL113" s="182"/>
      <c r="KPM113" s="181"/>
      <c r="KPN113" s="182"/>
      <c r="KPO113" s="181"/>
      <c r="KPP113" s="182"/>
      <c r="KPQ113" s="181"/>
      <c r="KPR113" s="182"/>
      <c r="KPS113" s="181"/>
      <c r="KPT113" s="182"/>
      <c r="KPU113" s="181"/>
      <c r="KPV113" s="182"/>
      <c r="KPW113" s="181"/>
      <c r="KPX113" s="182"/>
      <c r="KPY113" s="181"/>
      <c r="KPZ113" s="182"/>
      <c r="KQA113" s="181"/>
      <c r="KQB113" s="182"/>
      <c r="KQC113" s="181"/>
      <c r="KQD113" s="182"/>
      <c r="KQE113" s="181"/>
      <c r="KQF113" s="182"/>
      <c r="KQG113" s="181"/>
      <c r="KQH113" s="182"/>
      <c r="KQI113" s="181"/>
      <c r="KQJ113" s="182"/>
      <c r="KQK113" s="181"/>
      <c r="KQL113" s="182"/>
      <c r="KQM113" s="181"/>
      <c r="KQN113" s="182"/>
      <c r="KQO113" s="181"/>
      <c r="KQP113" s="182"/>
      <c r="KQQ113" s="181"/>
      <c r="KQR113" s="182"/>
      <c r="KQS113" s="181"/>
      <c r="KQT113" s="182"/>
      <c r="KQU113" s="181"/>
      <c r="KQV113" s="182"/>
      <c r="KQW113" s="181"/>
      <c r="KQX113" s="182"/>
      <c r="KQY113" s="181"/>
      <c r="KQZ113" s="182"/>
      <c r="KRA113" s="181"/>
      <c r="KRB113" s="182"/>
      <c r="KRC113" s="181"/>
      <c r="KRD113" s="182"/>
      <c r="KRE113" s="181"/>
      <c r="KRF113" s="182"/>
      <c r="KRG113" s="181"/>
      <c r="KRH113" s="182"/>
      <c r="KRI113" s="181"/>
      <c r="KRJ113" s="182"/>
      <c r="KRK113" s="181"/>
      <c r="KRL113" s="182"/>
      <c r="KRM113" s="181"/>
      <c r="KRN113" s="182"/>
      <c r="KRO113" s="181"/>
      <c r="KRP113" s="182"/>
      <c r="KRQ113" s="181"/>
      <c r="KRR113" s="182"/>
      <c r="KRS113" s="181"/>
      <c r="KRT113" s="182"/>
      <c r="KRU113" s="181"/>
      <c r="KRV113" s="182"/>
      <c r="KRW113" s="181"/>
      <c r="KRX113" s="182"/>
      <c r="KRY113" s="181"/>
      <c r="KRZ113" s="182"/>
      <c r="KSA113" s="181"/>
      <c r="KSB113" s="182"/>
      <c r="KSC113" s="181"/>
      <c r="KSD113" s="182"/>
      <c r="KSE113" s="181"/>
      <c r="KSF113" s="182"/>
      <c r="KSG113" s="181"/>
      <c r="KSH113" s="182"/>
      <c r="KSI113" s="181"/>
      <c r="KSJ113" s="182"/>
      <c r="KSK113" s="181"/>
      <c r="KSL113" s="182"/>
      <c r="KSM113" s="181"/>
      <c r="KSN113" s="182"/>
      <c r="KSO113" s="181"/>
      <c r="KSP113" s="182"/>
      <c r="KSQ113" s="181"/>
      <c r="KSR113" s="182"/>
      <c r="KSS113" s="181"/>
      <c r="KST113" s="182"/>
      <c r="KSU113" s="181"/>
      <c r="KSV113" s="182"/>
      <c r="KSW113" s="181"/>
      <c r="KSX113" s="182"/>
      <c r="KSY113" s="181"/>
      <c r="KSZ113" s="182"/>
      <c r="KTA113" s="181"/>
      <c r="KTB113" s="182"/>
      <c r="KTC113" s="181"/>
      <c r="KTD113" s="182"/>
      <c r="KTE113" s="181"/>
      <c r="KTF113" s="182"/>
      <c r="KTG113" s="181"/>
      <c r="KTH113" s="182"/>
      <c r="KTI113" s="181"/>
      <c r="KTJ113" s="182"/>
      <c r="KTK113" s="181"/>
      <c r="KTL113" s="182"/>
      <c r="KTM113" s="181"/>
      <c r="KTN113" s="182"/>
      <c r="KTO113" s="181"/>
      <c r="KTP113" s="182"/>
      <c r="KTQ113" s="181"/>
      <c r="KTR113" s="182"/>
      <c r="KTS113" s="181"/>
      <c r="KTT113" s="182"/>
      <c r="KTU113" s="181"/>
      <c r="KTV113" s="182"/>
      <c r="KTW113" s="181"/>
      <c r="KTX113" s="182"/>
      <c r="KTY113" s="181"/>
      <c r="KTZ113" s="182"/>
      <c r="KUA113" s="181"/>
      <c r="KUB113" s="182"/>
      <c r="KUC113" s="181"/>
      <c r="KUD113" s="182"/>
      <c r="KUE113" s="181"/>
      <c r="KUF113" s="182"/>
      <c r="KUG113" s="181"/>
      <c r="KUH113" s="182"/>
      <c r="KUI113" s="181"/>
      <c r="KUJ113" s="182"/>
      <c r="KUK113" s="181"/>
      <c r="KUL113" s="182"/>
      <c r="KUM113" s="181"/>
      <c r="KUN113" s="182"/>
      <c r="KUO113" s="181"/>
      <c r="KUP113" s="182"/>
      <c r="KUQ113" s="181"/>
      <c r="KUR113" s="182"/>
      <c r="KUS113" s="181"/>
      <c r="KUT113" s="182"/>
      <c r="KUU113" s="181"/>
      <c r="KUV113" s="182"/>
      <c r="KUW113" s="181"/>
      <c r="KUX113" s="182"/>
      <c r="KUY113" s="181"/>
      <c r="KUZ113" s="182"/>
      <c r="KVA113" s="181"/>
      <c r="KVB113" s="182"/>
      <c r="KVC113" s="181"/>
      <c r="KVD113" s="182"/>
      <c r="KVE113" s="181"/>
      <c r="KVF113" s="182"/>
      <c r="KVG113" s="181"/>
      <c r="KVH113" s="182"/>
      <c r="KVI113" s="181"/>
      <c r="KVJ113" s="182"/>
      <c r="KVK113" s="181"/>
      <c r="KVL113" s="182"/>
      <c r="KVM113" s="181"/>
      <c r="KVN113" s="182"/>
      <c r="KVO113" s="181"/>
      <c r="KVP113" s="182"/>
      <c r="KVQ113" s="181"/>
      <c r="KVR113" s="182"/>
      <c r="KVS113" s="181"/>
      <c r="KVT113" s="182"/>
      <c r="KVU113" s="181"/>
      <c r="KVV113" s="182"/>
      <c r="KVW113" s="181"/>
      <c r="KVX113" s="182"/>
      <c r="KVY113" s="181"/>
      <c r="KVZ113" s="182"/>
      <c r="KWA113" s="181"/>
      <c r="KWB113" s="182"/>
      <c r="KWC113" s="181"/>
      <c r="KWD113" s="182"/>
      <c r="KWE113" s="181"/>
      <c r="KWF113" s="182"/>
      <c r="KWG113" s="181"/>
      <c r="KWH113" s="182"/>
      <c r="KWI113" s="181"/>
      <c r="KWJ113" s="182"/>
      <c r="KWK113" s="181"/>
      <c r="KWL113" s="182"/>
      <c r="KWM113" s="181"/>
      <c r="KWN113" s="182"/>
      <c r="KWO113" s="181"/>
      <c r="KWP113" s="182"/>
      <c r="KWQ113" s="181"/>
      <c r="KWR113" s="182"/>
      <c r="KWS113" s="181"/>
      <c r="KWT113" s="182"/>
      <c r="KWU113" s="181"/>
      <c r="KWV113" s="182"/>
      <c r="KWW113" s="181"/>
      <c r="KWX113" s="182"/>
      <c r="KWY113" s="181"/>
      <c r="KWZ113" s="182"/>
      <c r="KXA113" s="181"/>
      <c r="KXB113" s="182"/>
      <c r="KXC113" s="181"/>
      <c r="KXD113" s="182"/>
      <c r="KXE113" s="181"/>
      <c r="KXF113" s="182"/>
      <c r="KXG113" s="181"/>
      <c r="KXH113" s="182"/>
      <c r="KXI113" s="181"/>
      <c r="KXJ113" s="182"/>
      <c r="KXK113" s="181"/>
      <c r="KXL113" s="182"/>
      <c r="KXM113" s="181"/>
      <c r="KXN113" s="182"/>
      <c r="KXO113" s="181"/>
      <c r="KXP113" s="182"/>
      <c r="KXQ113" s="181"/>
      <c r="KXR113" s="182"/>
      <c r="KXS113" s="181"/>
      <c r="KXT113" s="182"/>
      <c r="KXU113" s="181"/>
      <c r="KXV113" s="182"/>
      <c r="KXW113" s="181"/>
      <c r="KXX113" s="182"/>
      <c r="KXY113" s="181"/>
      <c r="KXZ113" s="182"/>
      <c r="KYA113" s="181"/>
      <c r="KYB113" s="182"/>
      <c r="KYC113" s="181"/>
      <c r="KYD113" s="182"/>
      <c r="KYE113" s="181"/>
      <c r="KYF113" s="182"/>
      <c r="KYG113" s="181"/>
      <c r="KYH113" s="182"/>
      <c r="KYI113" s="181"/>
      <c r="KYJ113" s="182"/>
      <c r="KYK113" s="181"/>
      <c r="KYL113" s="182"/>
      <c r="KYM113" s="181"/>
      <c r="KYN113" s="182"/>
      <c r="KYO113" s="181"/>
      <c r="KYP113" s="182"/>
      <c r="KYQ113" s="181"/>
      <c r="KYR113" s="182"/>
      <c r="KYS113" s="181"/>
      <c r="KYT113" s="182"/>
      <c r="KYU113" s="181"/>
      <c r="KYV113" s="182"/>
      <c r="KYW113" s="181"/>
      <c r="KYX113" s="182"/>
      <c r="KYY113" s="181"/>
      <c r="KYZ113" s="182"/>
      <c r="KZA113" s="181"/>
      <c r="KZB113" s="182"/>
      <c r="KZC113" s="181"/>
      <c r="KZD113" s="182"/>
      <c r="KZE113" s="181"/>
      <c r="KZF113" s="182"/>
      <c r="KZG113" s="181"/>
      <c r="KZH113" s="182"/>
      <c r="KZI113" s="181"/>
      <c r="KZJ113" s="182"/>
      <c r="KZK113" s="181"/>
      <c r="KZL113" s="182"/>
      <c r="KZM113" s="181"/>
      <c r="KZN113" s="182"/>
      <c r="KZO113" s="181"/>
      <c r="KZP113" s="182"/>
      <c r="KZQ113" s="181"/>
      <c r="KZR113" s="182"/>
      <c r="KZS113" s="181"/>
      <c r="KZT113" s="182"/>
      <c r="KZU113" s="181"/>
      <c r="KZV113" s="182"/>
      <c r="KZW113" s="181"/>
      <c r="KZX113" s="182"/>
      <c r="KZY113" s="181"/>
      <c r="KZZ113" s="182"/>
      <c r="LAA113" s="181"/>
      <c r="LAB113" s="182"/>
      <c r="LAC113" s="181"/>
      <c r="LAD113" s="182"/>
      <c r="LAE113" s="181"/>
      <c r="LAF113" s="182"/>
      <c r="LAG113" s="181"/>
      <c r="LAH113" s="182"/>
      <c r="LAI113" s="181"/>
      <c r="LAJ113" s="182"/>
      <c r="LAK113" s="181"/>
      <c r="LAL113" s="182"/>
      <c r="LAM113" s="181"/>
      <c r="LAN113" s="182"/>
      <c r="LAO113" s="181"/>
      <c r="LAP113" s="182"/>
      <c r="LAQ113" s="181"/>
      <c r="LAR113" s="182"/>
      <c r="LAS113" s="181"/>
      <c r="LAT113" s="182"/>
      <c r="LAU113" s="181"/>
      <c r="LAV113" s="182"/>
      <c r="LAW113" s="181"/>
      <c r="LAX113" s="182"/>
      <c r="LAY113" s="181"/>
      <c r="LAZ113" s="182"/>
      <c r="LBA113" s="181"/>
      <c r="LBB113" s="182"/>
      <c r="LBC113" s="181"/>
      <c r="LBD113" s="182"/>
      <c r="LBE113" s="181"/>
      <c r="LBF113" s="182"/>
      <c r="LBG113" s="181"/>
      <c r="LBH113" s="182"/>
      <c r="LBI113" s="181"/>
      <c r="LBJ113" s="182"/>
      <c r="LBK113" s="181"/>
      <c r="LBL113" s="182"/>
      <c r="LBM113" s="181"/>
      <c r="LBN113" s="182"/>
      <c r="LBO113" s="181"/>
      <c r="LBP113" s="182"/>
      <c r="LBQ113" s="181"/>
      <c r="LBR113" s="182"/>
      <c r="LBS113" s="181"/>
      <c r="LBT113" s="182"/>
      <c r="LBU113" s="181"/>
      <c r="LBV113" s="182"/>
      <c r="LBW113" s="181"/>
      <c r="LBX113" s="182"/>
      <c r="LBY113" s="181"/>
      <c r="LBZ113" s="182"/>
      <c r="LCA113" s="181"/>
      <c r="LCB113" s="182"/>
      <c r="LCC113" s="181"/>
      <c r="LCD113" s="182"/>
      <c r="LCE113" s="181"/>
      <c r="LCF113" s="182"/>
      <c r="LCG113" s="181"/>
      <c r="LCH113" s="182"/>
      <c r="LCI113" s="181"/>
      <c r="LCJ113" s="182"/>
      <c r="LCK113" s="181"/>
      <c r="LCL113" s="182"/>
      <c r="LCM113" s="181"/>
      <c r="LCN113" s="182"/>
      <c r="LCO113" s="181"/>
      <c r="LCP113" s="182"/>
      <c r="LCQ113" s="181"/>
      <c r="LCR113" s="182"/>
      <c r="LCS113" s="181"/>
      <c r="LCT113" s="182"/>
      <c r="LCU113" s="181"/>
      <c r="LCV113" s="182"/>
      <c r="LCW113" s="181"/>
      <c r="LCX113" s="182"/>
      <c r="LCY113" s="181"/>
      <c r="LCZ113" s="182"/>
      <c r="LDA113" s="181"/>
      <c r="LDB113" s="182"/>
      <c r="LDC113" s="181"/>
      <c r="LDD113" s="182"/>
      <c r="LDE113" s="181"/>
      <c r="LDF113" s="182"/>
      <c r="LDG113" s="181"/>
      <c r="LDH113" s="182"/>
      <c r="LDI113" s="181"/>
      <c r="LDJ113" s="182"/>
      <c r="LDK113" s="181"/>
      <c r="LDL113" s="182"/>
      <c r="LDM113" s="181"/>
      <c r="LDN113" s="182"/>
      <c r="LDO113" s="181"/>
      <c r="LDP113" s="182"/>
      <c r="LDQ113" s="181"/>
      <c r="LDR113" s="182"/>
      <c r="LDS113" s="181"/>
      <c r="LDT113" s="182"/>
      <c r="LDU113" s="181"/>
      <c r="LDV113" s="182"/>
      <c r="LDW113" s="181"/>
      <c r="LDX113" s="182"/>
      <c r="LDY113" s="181"/>
      <c r="LDZ113" s="182"/>
      <c r="LEA113" s="181"/>
      <c r="LEB113" s="182"/>
      <c r="LEC113" s="181"/>
      <c r="LED113" s="182"/>
      <c r="LEE113" s="181"/>
      <c r="LEF113" s="182"/>
      <c r="LEG113" s="181"/>
      <c r="LEH113" s="182"/>
      <c r="LEI113" s="181"/>
      <c r="LEJ113" s="182"/>
      <c r="LEK113" s="181"/>
      <c r="LEL113" s="182"/>
      <c r="LEM113" s="181"/>
      <c r="LEN113" s="182"/>
      <c r="LEO113" s="181"/>
      <c r="LEP113" s="182"/>
      <c r="LEQ113" s="181"/>
      <c r="LER113" s="182"/>
      <c r="LES113" s="181"/>
      <c r="LET113" s="182"/>
      <c r="LEU113" s="181"/>
      <c r="LEV113" s="182"/>
      <c r="LEW113" s="181"/>
      <c r="LEX113" s="182"/>
      <c r="LEY113" s="181"/>
      <c r="LEZ113" s="182"/>
      <c r="LFA113" s="181"/>
      <c r="LFB113" s="182"/>
      <c r="LFC113" s="181"/>
      <c r="LFD113" s="182"/>
      <c r="LFE113" s="181"/>
      <c r="LFF113" s="182"/>
      <c r="LFG113" s="181"/>
      <c r="LFH113" s="182"/>
      <c r="LFI113" s="181"/>
      <c r="LFJ113" s="182"/>
      <c r="LFK113" s="181"/>
      <c r="LFL113" s="182"/>
      <c r="LFM113" s="181"/>
      <c r="LFN113" s="182"/>
      <c r="LFO113" s="181"/>
      <c r="LFP113" s="182"/>
      <c r="LFQ113" s="181"/>
      <c r="LFR113" s="182"/>
      <c r="LFS113" s="181"/>
      <c r="LFT113" s="182"/>
      <c r="LFU113" s="181"/>
      <c r="LFV113" s="182"/>
      <c r="LFW113" s="181"/>
      <c r="LFX113" s="182"/>
      <c r="LFY113" s="181"/>
      <c r="LFZ113" s="182"/>
      <c r="LGA113" s="181"/>
      <c r="LGB113" s="182"/>
      <c r="LGC113" s="181"/>
      <c r="LGD113" s="182"/>
      <c r="LGE113" s="181"/>
      <c r="LGF113" s="182"/>
      <c r="LGG113" s="181"/>
      <c r="LGH113" s="182"/>
      <c r="LGI113" s="181"/>
      <c r="LGJ113" s="182"/>
      <c r="LGK113" s="181"/>
      <c r="LGL113" s="182"/>
      <c r="LGM113" s="181"/>
      <c r="LGN113" s="182"/>
      <c r="LGO113" s="181"/>
      <c r="LGP113" s="182"/>
      <c r="LGQ113" s="181"/>
      <c r="LGR113" s="182"/>
      <c r="LGS113" s="181"/>
      <c r="LGT113" s="182"/>
      <c r="LGU113" s="181"/>
      <c r="LGV113" s="182"/>
      <c r="LGW113" s="181"/>
      <c r="LGX113" s="182"/>
      <c r="LGY113" s="181"/>
      <c r="LGZ113" s="182"/>
      <c r="LHA113" s="181"/>
      <c r="LHB113" s="182"/>
      <c r="LHC113" s="181"/>
      <c r="LHD113" s="182"/>
      <c r="LHE113" s="181"/>
      <c r="LHF113" s="182"/>
      <c r="LHG113" s="181"/>
      <c r="LHH113" s="182"/>
      <c r="LHI113" s="181"/>
      <c r="LHJ113" s="182"/>
      <c r="LHK113" s="181"/>
      <c r="LHL113" s="182"/>
      <c r="LHM113" s="181"/>
      <c r="LHN113" s="182"/>
      <c r="LHO113" s="181"/>
      <c r="LHP113" s="182"/>
      <c r="LHQ113" s="181"/>
      <c r="LHR113" s="182"/>
      <c r="LHS113" s="181"/>
      <c r="LHT113" s="182"/>
      <c r="LHU113" s="181"/>
      <c r="LHV113" s="182"/>
      <c r="LHW113" s="181"/>
      <c r="LHX113" s="182"/>
      <c r="LHY113" s="181"/>
      <c r="LHZ113" s="182"/>
      <c r="LIA113" s="181"/>
      <c r="LIB113" s="182"/>
      <c r="LIC113" s="181"/>
      <c r="LID113" s="182"/>
      <c r="LIE113" s="181"/>
      <c r="LIF113" s="182"/>
      <c r="LIG113" s="181"/>
      <c r="LIH113" s="182"/>
      <c r="LII113" s="181"/>
      <c r="LIJ113" s="182"/>
      <c r="LIK113" s="181"/>
      <c r="LIL113" s="182"/>
      <c r="LIM113" s="181"/>
      <c r="LIN113" s="182"/>
      <c r="LIO113" s="181"/>
      <c r="LIP113" s="182"/>
      <c r="LIQ113" s="181"/>
      <c r="LIR113" s="182"/>
      <c r="LIS113" s="181"/>
      <c r="LIT113" s="182"/>
      <c r="LIU113" s="181"/>
      <c r="LIV113" s="182"/>
      <c r="LIW113" s="181"/>
      <c r="LIX113" s="182"/>
      <c r="LIY113" s="181"/>
      <c r="LIZ113" s="182"/>
      <c r="LJA113" s="181"/>
      <c r="LJB113" s="182"/>
      <c r="LJC113" s="181"/>
      <c r="LJD113" s="182"/>
      <c r="LJE113" s="181"/>
      <c r="LJF113" s="182"/>
      <c r="LJG113" s="181"/>
      <c r="LJH113" s="182"/>
      <c r="LJI113" s="181"/>
      <c r="LJJ113" s="182"/>
      <c r="LJK113" s="181"/>
      <c r="LJL113" s="182"/>
      <c r="LJM113" s="181"/>
      <c r="LJN113" s="182"/>
      <c r="LJO113" s="181"/>
      <c r="LJP113" s="182"/>
      <c r="LJQ113" s="181"/>
      <c r="LJR113" s="182"/>
      <c r="LJS113" s="181"/>
      <c r="LJT113" s="182"/>
      <c r="LJU113" s="181"/>
      <c r="LJV113" s="182"/>
      <c r="LJW113" s="181"/>
      <c r="LJX113" s="182"/>
      <c r="LJY113" s="181"/>
      <c r="LJZ113" s="182"/>
      <c r="LKA113" s="181"/>
      <c r="LKB113" s="182"/>
      <c r="LKC113" s="181"/>
      <c r="LKD113" s="182"/>
      <c r="LKE113" s="181"/>
      <c r="LKF113" s="182"/>
      <c r="LKG113" s="181"/>
      <c r="LKH113" s="182"/>
      <c r="LKI113" s="181"/>
      <c r="LKJ113" s="182"/>
      <c r="LKK113" s="181"/>
      <c r="LKL113" s="182"/>
      <c r="LKM113" s="181"/>
      <c r="LKN113" s="182"/>
      <c r="LKO113" s="181"/>
      <c r="LKP113" s="182"/>
      <c r="LKQ113" s="181"/>
      <c r="LKR113" s="182"/>
      <c r="LKS113" s="181"/>
      <c r="LKT113" s="182"/>
      <c r="LKU113" s="181"/>
      <c r="LKV113" s="182"/>
      <c r="LKW113" s="181"/>
      <c r="LKX113" s="182"/>
      <c r="LKY113" s="181"/>
      <c r="LKZ113" s="182"/>
      <c r="LLA113" s="181"/>
      <c r="LLB113" s="182"/>
      <c r="LLC113" s="181"/>
      <c r="LLD113" s="182"/>
      <c r="LLE113" s="181"/>
      <c r="LLF113" s="182"/>
      <c r="LLG113" s="181"/>
      <c r="LLH113" s="182"/>
      <c r="LLI113" s="181"/>
      <c r="LLJ113" s="182"/>
      <c r="LLK113" s="181"/>
      <c r="LLL113" s="182"/>
      <c r="LLM113" s="181"/>
      <c r="LLN113" s="182"/>
      <c r="LLO113" s="181"/>
      <c r="LLP113" s="182"/>
      <c r="LLQ113" s="181"/>
      <c r="LLR113" s="182"/>
      <c r="LLS113" s="181"/>
      <c r="LLT113" s="182"/>
      <c r="LLU113" s="181"/>
      <c r="LLV113" s="182"/>
      <c r="LLW113" s="181"/>
      <c r="LLX113" s="182"/>
      <c r="LLY113" s="181"/>
      <c r="LLZ113" s="182"/>
      <c r="LMA113" s="181"/>
      <c r="LMB113" s="182"/>
      <c r="LMC113" s="181"/>
      <c r="LMD113" s="182"/>
      <c r="LME113" s="181"/>
      <c r="LMF113" s="182"/>
      <c r="LMG113" s="181"/>
      <c r="LMH113" s="182"/>
      <c r="LMI113" s="181"/>
      <c r="LMJ113" s="182"/>
      <c r="LMK113" s="181"/>
      <c r="LML113" s="182"/>
      <c r="LMM113" s="181"/>
      <c r="LMN113" s="182"/>
      <c r="LMO113" s="181"/>
      <c r="LMP113" s="182"/>
      <c r="LMQ113" s="181"/>
      <c r="LMR113" s="182"/>
      <c r="LMS113" s="181"/>
      <c r="LMT113" s="182"/>
      <c r="LMU113" s="181"/>
      <c r="LMV113" s="182"/>
      <c r="LMW113" s="181"/>
      <c r="LMX113" s="182"/>
      <c r="LMY113" s="181"/>
      <c r="LMZ113" s="182"/>
      <c r="LNA113" s="181"/>
      <c r="LNB113" s="182"/>
      <c r="LNC113" s="181"/>
      <c r="LND113" s="182"/>
      <c r="LNE113" s="181"/>
      <c r="LNF113" s="182"/>
      <c r="LNG113" s="181"/>
      <c r="LNH113" s="182"/>
      <c r="LNI113" s="181"/>
      <c r="LNJ113" s="182"/>
      <c r="LNK113" s="181"/>
      <c r="LNL113" s="182"/>
      <c r="LNM113" s="181"/>
      <c r="LNN113" s="182"/>
      <c r="LNO113" s="181"/>
      <c r="LNP113" s="182"/>
      <c r="LNQ113" s="181"/>
      <c r="LNR113" s="182"/>
      <c r="LNS113" s="181"/>
      <c r="LNT113" s="182"/>
      <c r="LNU113" s="181"/>
      <c r="LNV113" s="182"/>
      <c r="LNW113" s="181"/>
      <c r="LNX113" s="182"/>
      <c r="LNY113" s="181"/>
      <c r="LNZ113" s="182"/>
      <c r="LOA113" s="181"/>
      <c r="LOB113" s="182"/>
      <c r="LOC113" s="181"/>
      <c r="LOD113" s="182"/>
      <c r="LOE113" s="181"/>
      <c r="LOF113" s="182"/>
      <c r="LOG113" s="181"/>
      <c r="LOH113" s="182"/>
      <c r="LOI113" s="181"/>
      <c r="LOJ113" s="182"/>
      <c r="LOK113" s="181"/>
      <c r="LOL113" s="182"/>
      <c r="LOM113" s="181"/>
      <c r="LON113" s="182"/>
      <c r="LOO113" s="181"/>
      <c r="LOP113" s="182"/>
      <c r="LOQ113" s="181"/>
      <c r="LOR113" s="182"/>
      <c r="LOS113" s="181"/>
      <c r="LOT113" s="182"/>
      <c r="LOU113" s="181"/>
      <c r="LOV113" s="182"/>
      <c r="LOW113" s="181"/>
      <c r="LOX113" s="182"/>
      <c r="LOY113" s="181"/>
      <c r="LOZ113" s="182"/>
      <c r="LPA113" s="181"/>
      <c r="LPB113" s="182"/>
      <c r="LPC113" s="181"/>
      <c r="LPD113" s="182"/>
      <c r="LPE113" s="181"/>
      <c r="LPF113" s="182"/>
      <c r="LPG113" s="181"/>
      <c r="LPH113" s="182"/>
      <c r="LPI113" s="181"/>
      <c r="LPJ113" s="182"/>
      <c r="LPK113" s="181"/>
      <c r="LPL113" s="182"/>
      <c r="LPM113" s="181"/>
      <c r="LPN113" s="182"/>
      <c r="LPO113" s="181"/>
      <c r="LPP113" s="182"/>
      <c r="LPQ113" s="181"/>
      <c r="LPR113" s="182"/>
      <c r="LPS113" s="181"/>
      <c r="LPT113" s="182"/>
      <c r="LPU113" s="181"/>
      <c r="LPV113" s="182"/>
      <c r="LPW113" s="181"/>
      <c r="LPX113" s="182"/>
      <c r="LPY113" s="181"/>
      <c r="LPZ113" s="182"/>
      <c r="LQA113" s="181"/>
      <c r="LQB113" s="182"/>
      <c r="LQC113" s="181"/>
      <c r="LQD113" s="182"/>
      <c r="LQE113" s="181"/>
      <c r="LQF113" s="182"/>
      <c r="LQG113" s="181"/>
      <c r="LQH113" s="182"/>
      <c r="LQI113" s="181"/>
      <c r="LQJ113" s="182"/>
      <c r="LQK113" s="181"/>
      <c r="LQL113" s="182"/>
      <c r="LQM113" s="181"/>
      <c r="LQN113" s="182"/>
      <c r="LQO113" s="181"/>
      <c r="LQP113" s="182"/>
      <c r="LQQ113" s="181"/>
      <c r="LQR113" s="182"/>
      <c r="LQS113" s="181"/>
      <c r="LQT113" s="182"/>
      <c r="LQU113" s="181"/>
      <c r="LQV113" s="182"/>
      <c r="LQW113" s="181"/>
      <c r="LQX113" s="182"/>
      <c r="LQY113" s="181"/>
      <c r="LQZ113" s="182"/>
      <c r="LRA113" s="181"/>
      <c r="LRB113" s="182"/>
      <c r="LRC113" s="181"/>
      <c r="LRD113" s="182"/>
      <c r="LRE113" s="181"/>
      <c r="LRF113" s="182"/>
      <c r="LRG113" s="181"/>
      <c r="LRH113" s="182"/>
      <c r="LRI113" s="181"/>
      <c r="LRJ113" s="182"/>
      <c r="LRK113" s="181"/>
      <c r="LRL113" s="182"/>
      <c r="LRM113" s="181"/>
      <c r="LRN113" s="182"/>
      <c r="LRO113" s="181"/>
      <c r="LRP113" s="182"/>
      <c r="LRQ113" s="181"/>
      <c r="LRR113" s="182"/>
      <c r="LRS113" s="181"/>
      <c r="LRT113" s="182"/>
      <c r="LRU113" s="181"/>
      <c r="LRV113" s="182"/>
      <c r="LRW113" s="181"/>
      <c r="LRX113" s="182"/>
      <c r="LRY113" s="181"/>
      <c r="LRZ113" s="182"/>
      <c r="LSA113" s="181"/>
      <c r="LSB113" s="182"/>
      <c r="LSC113" s="181"/>
      <c r="LSD113" s="182"/>
      <c r="LSE113" s="181"/>
      <c r="LSF113" s="182"/>
      <c r="LSG113" s="181"/>
      <c r="LSH113" s="182"/>
      <c r="LSI113" s="181"/>
      <c r="LSJ113" s="182"/>
      <c r="LSK113" s="181"/>
      <c r="LSL113" s="182"/>
      <c r="LSM113" s="181"/>
      <c r="LSN113" s="182"/>
      <c r="LSO113" s="181"/>
      <c r="LSP113" s="182"/>
      <c r="LSQ113" s="181"/>
      <c r="LSR113" s="182"/>
      <c r="LSS113" s="181"/>
      <c r="LST113" s="182"/>
      <c r="LSU113" s="181"/>
      <c r="LSV113" s="182"/>
      <c r="LSW113" s="181"/>
      <c r="LSX113" s="182"/>
      <c r="LSY113" s="181"/>
      <c r="LSZ113" s="182"/>
      <c r="LTA113" s="181"/>
      <c r="LTB113" s="182"/>
      <c r="LTC113" s="181"/>
      <c r="LTD113" s="182"/>
      <c r="LTE113" s="181"/>
      <c r="LTF113" s="182"/>
      <c r="LTG113" s="181"/>
      <c r="LTH113" s="182"/>
      <c r="LTI113" s="181"/>
      <c r="LTJ113" s="182"/>
      <c r="LTK113" s="181"/>
      <c r="LTL113" s="182"/>
      <c r="LTM113" s="181"/>
      <c r="LTN113" s="182"/>
      <c r="LTO113" s="181"/>
      <c r="LTP113" s="182"/>
      <c r="LTQ113" s="181"/>
      <c r="LTR113" s="182"/>
      <c r="LTS113" s="181"/>
      <c r="LTT113" s="182"/>
      <c r="LTU113" s="181"/>
      <c r="LTV113" s="182"/>
      <c r="LTW113" s="181"/>
      <c r="LTX113" s="182"/>
      <c r="LTY113" s="181"/>
      <c r="LTZ113" s="182"/>
      <c r="LUA113" s="181"/>
      <c r="LUB113" s="182"/>
      <c r="LUC113" s="181"/>
      <c r="LUD113" s="182"/>
      <c r="LUE113" s="181"/>
      <c r="LUF113" s="182"/>
      <c r="LUG113" s="181"/>
      <c r="LUH113" s="182"/>
      <c r="LUI113" s="181"/>
      <c r="LUJ113" s="182"/>
      <c r="LUK113" s="181"/>
      <c r="LUL113" s="182"/>
      <c r="LUM113" s="181"/>
      <c r="LUN113" s="182"/>
      <c r="LUO113" s="181"/>
      <c r="LUP113" s="182"/>
      <c r="LUQ113" s="181"/>
      <c r="LUR113" s="182"/>
      <c r="LUS113" s="181"/>
      <c r="LUT113" s="182"/>
      <c r="LUU113" s="181"/>
      <c r="LUV113" s="182"/>
      <c r="LUW113" s="181"/>
      <c r="LUX113" s="182"/>
      <c r="LUY113" s="181"/>
      <c r="LUZ113" s="182"/>
      <c r="LVA113" s="181"/>
      <c r="LVB113" s="182"/>
      <c r="LVC113" s="181"/>
      <c r="LVD113" s="182"/>
      <c r="LVE113" s="181"/>
      <c r="LVF113" s="182"/>
      <c r="LVG113" s="181"/>
      <c r="LVH113" s="182"/>
      <c r="LVI113" s="181"/>
      <c r="LVJ113" s="182"/>
      <c r="LVK113" s="181"/>
      <c r="LVL113" s="182"/>
      <c r="LVM113" s="181"/>
      <c r="LVN113" s="182"/>
      <c r="LVO113" s="181"/>
      <c r="LVP113" s="182"/>
      <c r="LVQ113" s="181"/>
      <c r="LVR113" s="182"/>
      <c r="LVS113" s="181"/>
      <c r="LVT113" s="182"/>
      <c r="LVU113" s="181"/>
      <c r="LVV113" s="182"/>
      <c r="LVW113" s="181"/>
      <c r="LVX113" s="182"/>
      <c r="LVY113" s="181"/>
      <c r="LVZ113" s="182"/>
      <c r="LWA113" s="181"/>
      <c r="LWB113" s="182"/>
      <c r="LWC113" s="181"/>
      <c r="LWD113" s="182"/>
      <c r="LWE113" s="181"/>
      <c r="LWF113" s="182"/>
      <c r="LWG113" s="181"/>
      <c r="LWH113" s="182"/>
      <c r="LWI113" s="181"/>
      <c r="LWJ113" s="182"/>
      <c r="LWK113" s="181"/>
      <c r="LWL113" s="182"/>
      <c r="LWM113" s="181"/>
      <c r="LWN113" s="182"/>
      <c r="LWO113" s="181"/>
      <c r="LWP113" s="182"/>
      <c r="LWQ113" s="181"/>
      <c r="LWR113" s="182"/>
      <c r="LWS113" s="181"/>
      <c r="LWT113" s="182"/>
      <c r="LWU113" s="181"/>
      <c r="LWV113" s="182"/>
      <c r="LWW113" s="181"/>
      <c r="LWX113" s="182"/>
      <c r="LWY113" s="181"/>
      <c r="LWZ113" s="182"/>
      <c r="LXA113" s="181"/>
      <c r="LXB113" s="182"/>
      <c r="LXC113" s="181"/>
      <c r="LXD113" s="182"/>
      <c r="LXE113" s="181"/>
      <c r="LXF113" s="182"/>
      <c r="LXG113" s="181"/>
      <c r="LXH113" s="182"/>
      <c r="LXI113" s="181"/>
      <c r="LXJ113" s="182"/>
      <c r="LXK113" s="181"/>
      <c r="LXL113" s="182"/>
      <c r="LXM113" s="181"/>
      <c r="LXN113" s="182"/>
      <c r="LXO113" s="181"/>
      <c r="LXP113" s="182"/>
      <c r="LXQ113" s="181"/>
      <c r="LXR113" s="182"/>
      <c r="LXS113" s="181"/>
      <c r="LXT113" s="182"/>
      <c r="LXU113" s="181"/>
      <c r="LXV113" s="182"/>
      <c r="LXW113" s="181"/>
      <c r="LXX113" s="182"/>
      <c r="LXY113" s="181"/>
      <c r="LXZ113" s="182"/>
      <c r="LYA113" s="181"/>
      <c r="LYB113" s="182"/>
      <c r="LYC113" s="181"/>
      <c r="LYD113" s="182"/>
      <c r="LYE113" s="181"/>
      <c r="LYF113" s="182"/>
      <c r="LYG113" s="181"/>
      <c r="LYH113" s="182"/>
      <c r="LYI113" s="181"/>
      <c r="LYJ113" s="182"/>
      <c r="LYK113" s="181"/>
      <c r="LYL113" s="182"/>
      <c r="LYM113" s="181"/>
      <c r="LYN113" s="182"/>
      <c r="LYO113" s="181"/>
      <c r="LYP113" s="182"/>
      <c r="LYQ113" s="181"/>
      <c r="LYR113" s="182"/>
      <c r="LYS113" s="181"/>
      <c r="LYT113" s="182"/>
      <c r="LYU113" s="181"/>
      <c r="LYV113" s="182"/>
      <c r="LYW113" s="181"/>
      <c r="LYX113" s="182"/>
      <c r="LYY113" s="181"/>
      <c r="LYZ113" s="182"/>
      <c r="LZA113" s="181"/>
      <c r="LZB113" s="182"/>
      <c r="LZC113" s="181"/>
      <c r="LZD113" s="182"/>
      <c r="LZE113" s="181"/>
      <c r="LZF113" s="182"/>
      <c r="LZG113" s="181"/>
      <c r="LZH113" s="182"/>
      <c r="LZI113" s="181"/>
      <c r="LZJ113" s="182"/>
      <c r="LZK113" s="181"/>
      <c r="LZL113" s="182"/>
      <c r="LZM113" s="181"/>
      <c r="LZN113" s="182"/>
      <c r="LZO113" s="181"/>
      <c r="LZP113" s="182"/>
      <c r="LZQ113" s="181"/>
      <c r="LZR113" s="182"/>
      <c r="LZS113" s="181"/>
      <c r="LZT113" s="182"/>
      <c r="LZU113" s="181"/>
      <c r="LZV113" s="182"/>
      <c r="LZW113" s="181"/>
      <c r="LZX113" s="182"/>
      <c r="LZY113" s="181"/>
      <c r="LZZ113" s="182"/>
      <c r="MAA113" s="181"/>
      <c r="MAB113" s="182"/>
      <c r="MAC113" s="181"/>
      <c r="MAD113" s="182"/>
      <c r="MAE113" s="181"/>
      <c r="MAF113" s="182"/>
      <c r="MAG113" s="181"/>
      <c r="MAH113" s="182"/>
      <c r="MAI113" s="181"/>
      <c r="MAJ113" s="182"/>
      <c r="MAK113" s="181"/>
      <c r="MAL113" s="182"/>
      <c r="MAM113" s="181"/>
      <c r="MAN113" s="182"/>
      <c r="MAO113" s="181"/>
      <c r="MAP113" s="182"/>
      <c r="MAQ113" s="181"/>
      <c r="MAR113" s="182"/>
      <c r="MAS113" s="181"/>
      <c r="MAT113" s="182"/>
      <c r="MAU113" s="181"/>
      <c r="MAV113" s="182"/>
      <c r="MAW113" s="181"/>
      <c r="MAX113" s="182"/>
      <c r="MAY113" s="181"/>
      <c r="MAZ113" s="182"/>
      <c r="MBA113" s="181"/>
      <c r="MBB113" s="182"/>
      <c r="MBC113" s="181"/>
      <c r="MBD113" s="182"/>
      <c r="MBE113" s="181"/>
      <c r="MBF113" s="182"/>
      <c r="MBG113" s="181"/>
      <c r="MBH113" s="182"/>
      <c r="MBI113" s="181"/>
      <c r="MBJ113" s="182"/>
      <c r="MBK113" s="181"/>
      <c r="MBL113" s="182"/>
      <c r="MBM113" s="181"/>
      <c r="MBN113" s="182"/>
      <c r="MBO113" s="181"/>
      <c r="MBP113" s="182"/>
      <c r="MBQ113" s="181"/>
      <c r="MBR113" s="182"/>
      <c r="MBS113" s="181"/>
      <c r="MBT113" s="182"/>
      <c r="MBU113" s="181"/>
      <c r="MBV113" s="182"/>
      <c r="MBW113" s="181"/>
      <c r="MBX113" s="182"/>
      <c r="MBY113" s="181"/>
      <c r="MBZ113" s="182"/>
      <c r="MCA113" s="181"/>
      <c r="MCB113" s="182"/>
      <c r="MCC113" s="181"/>
      <c r="MCD113" s="182"/>
      <c r="MCE113" s="181"/>
      <c r="MCF113" s="182"/>
      <c r="MCG113" s="181"/>
      <c r="MCH113" s="182"/>
      <c r="MCI113" s="181"/>
      <c r="MCJ113" s="182"/>
      <c r="MCK113" s="181"/>
      <c r="MCL113" s="182"/>
      <c r="MCM113" s="181"/>
      <c r="MCN113" s="182"/>
      <c r="MCO113" s="181"/>
      <c r="MCP113" s="182"/>
      <c r="MCQ113" s="181"/>
      <c r="MCR113" s="182"/>
      <c r="MCS113" s="181"/>
      <c r="MCT113" s="182"/>
      <c r="MCU113" s="181"/>
      <c r="MCV113" s="182"/>
      <c r="MCW113" s="181"/>
      <c r="MCX113" s="182"/>
      <c r="MCY113" s="181"/>
      <c r="MCZ113" s="182"/>
      <c r="MDA113" s="181"/>
      <c r="MDB113" s="182"/>
      <c r="MDC113" s="181"/>
      <c r="MDD113" s="182"/>
      <c r="MDE113" s="181"/>
      <c r="MDF113" s="182"/>
      <c r="MDG113" s="181"/>
      <c r="MDH113" s="182"/>
      <c r="MDI113" s="181"/>
      <c r="MDJ113" s="182"/>
      <c r="MDK113" s="181"/>
      <c r="MDL113" s="182"/>
      <c r="MDM113" s="181"/>
      <c r="MDN113" s="182"/>
      <c r="MDO113" s="181"/>
      <c r="MDP113" s="182"/>
      <c r="MDQ113" s="181"/>
      <c r="MDR113" s="182"/>
      <c r="MDS113" s="181"/>
      <c r="MDT113" s="182"/>
      <c r="MDU113" s="181"/>
      <c r="MDV113" s="182"/>
      <c r="MDW113" s="181"/>
      <c r="MDX113" s="182"/>
      <c r="MDY113" s="181"/>
      <c r="MDZ113" s="182"/>
      <c r="MEA113" s="181"/>
      <c r="MEB113" s="182"/>
      <c r="MEC113" s="181"/>
      <c r="MED113" s="182"/>
      <c r="MEE113" s="181"/>
      <c r="MEF113" s="182"/>
      <c r="MEG113" s="181"/>
      <c r="MEH113" s="182"/>
      <c r="MEI113" s="181"/>
      <c r="MEJ113" s="182"/>
      <c r="MEK113" s="181"/>
      <c r="MEL113" s="182"/>
      <c r="MEM113" s="181"/>
      <c r="MEN113" s="182"/>
      <c r="MEO113" s="181"/>
      <c r="MEP113" s="182"/>
      <c r="MEQ113" s="181"/>
      <c r="MER113" s="182"/>
      <c r="MES113" s="181"/>
      <c r="MET113" s="182"/>
      <c r="MEU113" s="181"/>
      <c r="MEV113" s="182"/>
      <c r="MEW113" s="181"/>
      <c r="MEX113" s="182"/>
      <c r="MEY113" s="181"/>
      <c r="MEZ113" s="182"/>
      <c r="MFA113" s="181"/>
      <c r="MFB113" s="182"/>
      <c r="MFC113" s="181"/>
      <c r="MFD113" s="182"/>
      <c r="MFE113" s="181"/>
      <c r="MFF113" s="182"/>
      <c r="MFG113" s="181"/>
      <c r="MFH113" s="182"/>
      <c r="MFI113" s="181"/>
      <c r="MFJ113" s="182"/>
      <c r="MFK113" s="181"/>
      <c r="MFL113" s="182"/>
      <c r="MFM113" s="181"/>
      <c r="MFN113" s="182"/>
      <c r="MFO113" s="181"/>
      <c r="MFP113" s="182"/>
      <c r="MFQ113" s="181"/>
      <c r="MFR113" s="182"/>
      <c r="MFS113" s="181"/>
      <c r="MFT113" s="182"/>
      <c r="MFU113" s="181"/>
      <c r="MFV113" s="182"/>
      <c r="MFW113" s="181"/>
      <c r="MFX113" s="182"/>
      <c r="MFY113" s="181"/>
      <c r="MFZ113" s="182"/>
      <c r="MGA113" s="181"/>
      <c r="MGB113" s="182"/>
      <c r="MGC113" s="181"/>
      <c r="MGD113" s="182"/>
      <c r="MGE113" s="181"/>
      <c r="MGF113" s="182"/>
      <c r="MGG113" s="181"/>
      <c r="MGH113" s="182"/>
      <c r="MGI113" s="181"/>
      <c r="MGJ113" s="182"/>
      <c r="MGK113" s="181"/>
      <c r="MGL113" s="182"/>
      <c r="MGM113" s="181"/>
      <c r="MGN113" s="182"/>
      <c r="MGO113" s="181"/>
      <c r="MGP113" s="182"/>
      <c r="MGQ113" s="181"/>
      <c r="MGR113" s="182"/>
      <c r="MGS113" s="181"/>
      <c r="MGT113" s="182"/>
      <c r="MGU113" s="181"/>
      <c r="MGV113" s="182"/>
      <c r="MGW113" s="181"/>
      <c r="MGX113" s="182"/>
      <c r="MGY113" s="181"/>
      <c r="MGZ113" s="182"/>
      <c r="MHA113" s="181"/>
      <c r="MHB113" s="182"/>
      <c r="MHC113" s="181"/>
      <c r="MHD113" s="182"/>
      <c r="MHE113" s="181"/>
      <c r="MHF113" s="182"/>
      <c r="MHG113" s="181"/>
      <c r="MHH113" s="182"/>
      <c r="MHI113" s="181"/>
      <c r="MHJ113" s="182"/>
      <c r="MHK113" s="181"/>
      <c r="MHL113" s="182"/>
      <c r="MHM113" s="181"/>
      <c r="MHN113" s="182"/>
      <c r="MHO113" s="181"/>
      <c r="MHP113" s="182"/>
      <c r="MHQ113" s="181"/>
      <c r="MHR113" s="182"/>
      <c r="MHS113" s="181"/>
      <c r="MHT113" s="182"/>
      <c r="MHU113" s="181"/>
      <c r="MHV113" s="182"/>
      <c r="MHW113" s="181"/>
      <c r="MHX113" s="182"/>
      <c r="MHY113" s="181"/>
      <c r="MHZ113" s="182"/>
      <c r="MIA113" s="181"/>
      <c r="MIB113" s="182"/>
      <c r="MIC113" s="181"/>
      <c r="MID113" s="182"/>
      <c r="MIE113" s="181"/>
      <c r="MIF113" s="182"/>
      <c r="MIG113" s="181"/>
      <c r="MIH113" s="182"/>
      <c r="MII113" s="181"/>
      <c r="MIJ113" s="182"/>
      <c r="MIK113" s="181"/>
      <c r="MIL113" s="182"/>
      <c r="MIM113" s="181"/>
      <c r="MIN113" s="182"/>
      <c r="MIO113" s="181"/>
      <c r="MIP113" s="182"/>
      <c r="MIQ113" s="181"/>
      <c r="MIR113" s="182"/>
      <c r="MIS113" s="181"/>
      <c r="MIT113" s="182"/>
      <c r="MIU113" s="181"/>
      <c r="MIV113" s="182"/>
      <c r="MIW113" s="181"/>
      <c r="MIX113" s="182"/>
      <c r="MIY113" s="181"/>
      <c r="MIZ113" s="182"/>
      <c r="MJA113" s="181"/>
      <c r="MJB113" s="182"/>
      <c r="MJC113" s="181"/>
      <c r="MJD113" s="182"/>
      <c r="MJE113" s="181"/>
      <c r="MJF113" s="182"/>
      <c r="MJG113" s="181"/>
      <c r="MJH113" s="182"/>
      <c r="MJI113" s="181"/>
      <c r="MJJ113" s="182"/>
      <c r="MJK113" s="181"/>
      <c r="MJL113" s="182"/>
      <c r="MJM113" s="181"/>
      <c r="MJN113" s="182"/>
      <c r="MJO113" s="181"/>
      <c r="MJP113" s="182"/>
      <c r="MJQ113" s="181"/>
      <c r="MJR113" s="182"/>
      <c r="MJS113" s="181"/>
      <c r="MJT113" s="182"/>
      <c r="MJU113" s="181"/>
      <c r="MJV113" s="182"/>
      <c r="MJW113" s="181"/>
      <c r="MJX113" s="182"/>
      <c r="MJY113" s="181"/>
      <c r="MJZ113" s="182"/>
      <c r="MKA113" s="181"/>
      <c r="MKB113" s="182"/>
      <c r="MKC113" s="181"/>
      <c r="MKD113" s="182"/>
      <c r="MKE113" s="181"/>
      <c r="MKF113" s="182"/>
      <c r="MKG113" s="181"/>
      <c r="MKH113" s="182"/>
      <c r="MKI113" s="181"/>
      <c r="MKJ113" s="182"/>
      <c r="MKK113" s="181"/>
      <c r="MKL113" s="182"/>
      <c r="MKM113" s="181"/>
      <c r="MKN113" s="182"/>
      <c r="MKO113" s="181"/>
      <c r="MKP113" s="182"/>
      <c r="MKQ113" s="181"/>
      <c r="MKR113" s="182"/>
      <c r="MKS113" s="181"/>
      <c r="MKT113" s="182"/>
      <c r="MKU113" s="181"/>
      <c r="MKV113" s="182"/>
      <c r="MKW113" s="181"/>
      <c r="MKX113" s="182"/>
      <c r="MKY113" s="181"/>
      <c r="MKZ113" s="182"/>
      <c r="MLA113" s="181"/>
      <c r="MLB113" s="182"/>
      <c r="MLC113" s="181"/>
      <c r="MLD113" s="182"/>
      <c r="MLE113" s="181"/>
      <c r="MLF113" s="182"/>
      <c r="MLG113" s="181"/>
      <c r="MLH113" s="182"/>
      <c r="MLI113" s="181"/>
      <c r="MLJ113" s="182"/>
      <c r="MLK113" s="181"/>
      <c r="MLL113" s="182"/>
      <c r="MLM113" s="181"/>
      <c r="MLN113" s="182"/>
      <c r="MLO113" s="181"/>
      <c r="MLP113" s="182"/>
      <c r="MLQ113" s="181"/>
      <c r="MLR113" s="182"/>
      <c r="MLS113" s="181"/>
      <c r="MLT113" s="182"/>
      <c r="MLU113" s="181"/>
      <c r="MLV113" s="182"/>
      <c r="MLW113" s="181"/>
      <c r="MLX113" s="182"/>
      <c r="MLY113" s="181"/>
      <c r="MLZ113" s="182"/>
      <c r="MMA113" s="181"/>
      <c r="MMB113" s="182"/>
      <c r="MMC113" s="181"/>
      <c r="MMD113" s="182"/>
      <c r="MME113" s="181"/>
      <c r="MMF113" s="182"/>
      <c r="MMG113" s="181"/>
      <c r="MMH113" s="182"/>
      <c r="MMI113" s="181"/>
      <c r="MMJ113" s="182"/>
      <c r="MMK113" s="181"/>
      <c r="MML113" s="182"/>
      <c r="MMM113" s="181"/>
      <c r="MMN113" s="182"/>
      <c r="MMO113" s="181"/>
      <c r="MMP113" s="182"/>
      <c r="MMQ113" s="181"/>
      <c r="MMR113" s="182"/>
      <c r="MMS113" s="181"/>
      <c r="MMT113" s="182"/>
      <c r="MMU113" s="181"/>
      <c r="MMV113" s="182"/>
      <c r="MMW113" s="181"/>
      <c r="MMX113" s="182"/>
      <c r="MMY113" s="181"/>
      <c r="MMZ113" s="182"/>
      <c r="MNA113" s="181"/>
      <c r="MNB113" s="182"/>
      <c r="MNC113" s="181"/>
      <c r="MND113" s="182"/>
      <c r="MNE113" s="181"/>
      <c r="MNF113" s="182"/>
      <c r="MNG113" s="181"/>
      <c r="MNH113" s="182"/>
      <c r="MNI113" s="181"/>
      <c r="MNJ113" s="182"/>
      <c r="MNK113" s="181"/>
      <c r="MNL113" s="182"/>
      <c r="MNM113" s="181"/>
      <c r="MNN113" s="182"/>
      <c r="MNO113" s="181"/>
      <c r="MNP113" s="182"/>
      <c r="MNQ113" s="181"/>
      <c r="MNR113" s="182"/>
      <c r="MNS113" s="181"/>
      <c r="MNT113" s="182"/>
      <c r="MNU113" s="181"/>
      <c r="MNV113" s="182"/>
      <c r="MNW113" s="181"/>
      <c r="MNX113" s="182"/>
      <c r="MNY113" s="181"/>
      <c r="MNZ113" s="182"/>
      <c r="MOA113" s="181"/>
      <c r="MOB113" s="182"/>
      <c r="MOC113" s="181"/>
      <c r="MOD113" s="182"/>
      <c r="MOE113" s="181"/>
      <c r="MOF113" s="182"/>
      <c r="MOG113" s="181"/>
      <c r="MOH113" s="182"/>
      <c r="MOI113" s="181"/>
      <c r="MOJ113" s="182"/>
      <c r="MOK113" s="181"/>
      <c r="MOL113" s="182"/>
      <c r="MOM113" s="181"/>
      <c r="MON113" s="182"/>
      <c r="MOO113" s="181"/>
      <c r="MOP113" s="182"/>
      <c r="MOQ113" s="181"/>
      <c r="MOR113" s="182"/>
      <c r="MOS113" s="181"/>
      <c r="MOT113" s="182"/>
      <c r="MOU113" s="181"/>
      <c r="MOV113" s="182"/>
      <c r="MOW113" s="181"/>
      <c r="MOX113" s="182"/>
      <c r="MOY113" s="181"/>
      <c r="MOZ113" s="182"/>
      <c r="MPA113" s="181"/>
      <c r="MPB113" s="182"/>
      <c r="MPC113" s="181"/>
      <c r="MPD113" s="182"/>
      <c r="MPE113" s="181"/>
      <c r="MPF113" s="182"/>
      <c r="MPG113" s="181"/>
      <c r="MPH113" s="182"/>
      <c r="MPI113" s="181"/>
      <c r="MPJ113" s="182"/>
      <c r="MPK113" s="181"/>
      <c r="MPL113" s="182"/>
      <c r="MPM113" s="181"/>
      <c r="MPN113" s="182"/>
      <c r="MPO113" s="181"/>
      <c r="MPP113" s="182"/>
      <c r="MPQ113" s="181"/>
      <c r="MPR113" s="182"/>
      <c r="MPS113" s="181"/>
      <c r="MPT113" s="182"/>
      <c r="MPU113" s="181"/>
      <c r="MPV113" s="182"/>
      <c r="MPW113" s="181"/>
      <c r="MPX113" s="182"/>
      <c r="MPY113" s="181"/>
      <c r="MPZ113" s="182"/>
      <c r="MQA113" s="181"/>
      <c r="MQB113" s="182"/>
      <c r="MQC113" s="181"/>
      <c r="MQD113" s="182"/>
      <c r="MQE113" s="181"/>
      <c r="MQF113" s="182"/>
      <c r="MQG113" s="181"/>
      <c r="MQH113" s="182"/>
      <c r="MQI113" s="181"/>
      <c r="MQJ113" s="182"/>
      <c r="MQK113" s="181"/>
      <c r="MQL113" s="182"/>
      <c r="MQM113" s="181"/>
      <c r="MQN113" s="182"/>
      <c r="MQO113" s="181"/>
      <c r="MQP113" s="182"/>
      <c r="MQQ113" s="181"/>
      <c r="MQR113" s="182"/>
      <c r="MQS113" s="181"/>
      <c r="MQT113" s="182"/>
      <c r="MQU113" s="181"/>
      <c r="MQV113" s="182"/>
      <c r="MQW113" s="181"/>
      <c r="MQX113" s="182"/>
      <c r="MQY113" s="181"/>
      <c r="MQZ113" s="182"/>
      <c r="MRA113" s="181"/>
      <c r="MRB113" s="182"/>
      <c r="MRC113" s="181"/>
      <c r="MRD113" s="182"/>
      <c r="MRE113" s="181"/>
      <c r="MRF113" s="182"/>
      <c r="MRG113" s="181"/>
      <c r="MRH113" s="182"/>
      <c r="MRI113" s="181"/>
      <c r="MRJ113" s="182"/>
      <c r="MRK113" s="181"/>
      <c r="MRL113" s="182"/>
      <c r="MRM113" s="181"/>
      <c r="MRN113" s="182"/>
      <c r="MRO113" s="181"/>
      <c r="MRP113" s="182"/>
      <c r="MRQ113" s="181"/>
      <c r="MRR113" s="182"/>
      <c r="MRS113" s="181"/>
      <c r="MRT113" s="182"/>
      <c r="MRU113" s="181"/>
      <c r="MRV113" s="182"/>
      <c r="MRW113" s="181"/>
      <c r="MRX113" s="182"/>
      <c r="MRY113" s="181"/>
      <c r="MRZ113" s="182"/>
      <c r="MSA113" s="181"/>
      <c r="MSB113" s="182"/>
      <c r="MSC113" s="181"/>
      <c r="MSD113" s="182"/>
      <c r="MSE113" s="181"/>
      <c r="MSF113" s="182"/>
      <c r="MSG113" s="181"/>
      <c r="MSH113" s="182"/>
      <c r="MSI113" s="181"/>
      <c r="MSJ113" s="182"/>
      <c r="MSK113" s="181"/>
      <c r="MSL113" s="182"/>
      <c r="MSM113" s="181"/>
      <c r="MSN113" s="182"/>
      <c r="MSO113" s="181"/>
      <c r="MSP113" s="182"/>
      <c r="MSQ113" s="181"/>
      <c r="MSR113" s="182"/>
      <c r="MSS113" s="181"/>
      <c r="MST113" s="182"/>
      <c r="MSU113" s="181"/>
      <c r="MSV113" s="182"/>
      <c r="MSW113" s="181"/>
      <c r="MSX113" s="182"/>
      <c r="MSY113" s="181"/>
      <c r="MSZ113" s="182"/>
      <c r="MTA113" s="181"/>
      <c r="MTB113" s="182"/>
      <c r="MTC113" s="181"/>
      <c r="MTD113" s="182"/>
      <c r="MTE113" s="181"/>
      <c r="MTF113" s="182"/>
      <c r="MTG113" s="181"/>
      <c r="MTH113" s="182"/>
      <c r="MTI113" s="181"/>
      <c r="MTJ113" s="182"/>
      <c r="MTK113" s="181"/>
      <c r="MTL113" s="182"/>
      <c r="MTM113" s="181"/>
      <c r="MTN113" s="182"/>
      <c r="MTO113" s="181"/>
      <c r="MTP113" s="182"/>
      <c r="MTQ113" s="181"/>
      <c r="MTR113" s="182"/>
      <c r="MTS113" s="181"/>
      <c r="MTT113" s="182"/>
      <c r="MTU113" s="181"/>
      <c r="MTV113" s="182"/>
      <c r="MTW113" s="181"/>
      <c r="MTX113" s="182"/>
      <c r="MTY113" s="181"/>
      <c r="MTZ113" s="182"/>
      <c r="MUA113" s="181"/>
      <c r="MUB113" s="182"/>
      <c r="MUC113" s="181"/>
      <c r="MUD113" s="182"/>
      <c r="MUE113" s="181"/>
      <c r="MUF113" s="182"/>
      <c r="MUG113" s="181"/>
      <c r="MUH113" s="182"/>
      <c r="MUI113" s="181"/>
      <c r="MUJ113" s="182"/>
      <c r="MUK113" s="181"/>
      <c r="MUL113" s="182"/>
      <c r="MUM113" s="181"/>
      <c r="MUN113" s="182"/>
      <c r="MUO113" s="181"/>
      <c r="MUP113" s="182"/>
      <c r="MUQ113" s="181"/>
      <c r="MUR113" s="182"/>
      <c r="MUS113" s="181"/>
      <c r="MUT113" s="182"/>
      <c r="MUU113" s="181"/>
      <c r="MUV113" s="182"/>
      <c r="MUW113" s="181"/>
      <c r="MUX113" s="182"/>
      <c r="MUY113" s="181"/>
      <c r="MUZ113" s="182"/>
      <c r="MVA113" s="181"/>
      <c r="MVB113" s="182"/>
      <c r="MVC113" s="181"/>
      <c r="MVD113" s="182"/>
      <c r="MVE113" s="181"/>
      <c r="MVF113" s="182"/>
      <c r="MVG113" s="181"/>
      <c r="MVH113" s="182"/>
      <c r="MVI113" s="181"/>
      <c r="MVJ113" s="182"/>
      <c r="MVK113" s="181"/>
      <c r="MVL113" s="182"/>
      <c r="MVM113" s="181"/>
      <c r="MVN113" s="182"/>
      <c r="MVO113" s="181"/>
      <c r="MVP113" s="182"/>
      <c r="MVQ113" s="181"/>
      <c r="MVR113" s="182"/>
      <c r="MVS113" s="181"/>
      <c r="MVT113" s="182"/>
      <c r="MVU113" s="181"/>
      <c r="MVV113" s="182"/>
      <c r="MVW113" s="181"/>
      <c r="MVX113" s="182"/>
      <c r="MVY113" s="181"/>
      <c r="MVZ113" s="182"/>
      <c r="MWA113" s="181"/>
      <c r="MWB113" s="182"/>
      <c r="MWC113" s="181"/>
      <c r="MWD113" s="182"/>
      <c r="MWE113" s="181"/>
      <c r="MWF113" s="182"/>
      <c r="MWG113" s="181"/>
      <c r="MWH113" s="182"/>
      <c r="MWI113" s="181"/>
      <c r="MWJ113" s="182"/>
      <c r="MWK113" s="181"/>
      <c r="MWL113" s="182"/>
      <c r="MWM113" s="181"/>
      <c r="MWN113" s="182"/>
      <c r="MWO113" s="181"/>
      <c r="MWP113" s="182"/>
      <c r="MWQ113" s="181"/>
      <c r="MWR113" s="182"/>
      <c r="MWS113" s="181"/>
      <c r="MWT113" s="182"/>
      <c r="MWU113" s="181"/>
      <c r="MWV113" s="182"/>
      <c r="MWW113" s="181"/>
      <c r="MWX113" s="182"/>
      <c r="MWY113" s="181"/>
      <c r="MWZ113" s="182"/>
      <c r="MXA113" s="181"/>
      <c r="MXB113" s="182"/>
      <c r="MXC113" s="181"/>
      <c r="MXD113" s="182"/>
      <c r="MXE113" s="181"/>
      <c r="MXF113" s="182"/>
      <c r="MXG113" s="181"/>
      <c r="MXH113" s="182"/>
      <c r="MXI113" s="181"/>
      <c r="MXJ113" s="182"/>
      <c r="MXK113" s="181"/>
      <c r="MXL113" s="182"/>
      <c r="MXM113" s="181"/>
      <c r="MXN113" s="182"/>
      <c r="MXO113" s="181"/>
      <c r="MXP113" s="182"/>
      <c r="MXQ113" s="181"/>
      <c r="MXR113" s="182"/>
      <c r="MXS113" s="181"/>
      <c r="MXT113" s="182"/>
      <c r="MXU113" s="181"/>
      <c r="MXV113" s="182"/>
      <c r="MXW113" s="181"/>
      <c r="MXX113" s="182"/>
      <c r="MXY113" s="181"/>
      <c r="MXZ113" s="182"/>
      <c r="MYA113" s="181"/>
      <c r="MYB113" s="182"/>
      <c r="MYC113" s="181"/>
      <c r="MYD113" s="182"/>
      <c r="MYE113" s="181"/>
      <c r="MYF113" s="182"/>
      <c r="MYG113" s="181"/>
      <c r="MYH113" s="182"/>
      <c r="MYI113" s="181"/>
      <c r="MYJ113" s="182"/>
      <c r="MYK113" s="181"/>
      <c r="MYL113" s="182"/>
      <c r="MYM113" s="181"/>
      <c r="MYN113" s="182"/>
      <c r="MYO113" s="181"/>
      <c r="MYP113" s="182"/>
      <c r="MYQ113" s="181"/>
      <c r="MYR113" s="182"/>
      <c r="MYS113" s="181"/>
      <c r="MYT113" s="182"/>
      <c r="MYU113" s="181"/>
      <c r="MYV113" s="182"/>
      <c r="MYW113" s="181"/>
      <c r="MYX113" s="182"/>
      <c r="MYY113" s="181"/>
      <c r="MYZ113" s="182"/>
      <c r="MZA113" s="181"/>
      <c r="MZB113" s="182"/>
      <c r="MZC113" s="181"/>
      <c r="MZD113" s="182"/>
      <c r="MZE113" s="181"/>
      <c r="MZF113" s="182"/>
      <c r="MZG113" s="181"/>
      <c r="MZH113" s="182"/>
      <c r="MZI113" s="181"/>
      <c r="MZJ113" s="182"/>
      <c r="MZK113" s="181"/>
      <c r="MZL113" s="182"/>
      <c r="MZM113" s="181"/>
      <c r="MZN113" s="182"/>
      <c r="MZO113" s="181"/>
      <c r="MZP113" s="182"/>
      <c r="MZQ113" s="181"/>
      <c r="MZR113" s="182"/>
      <c r="MZS113" s="181"/>
      <c r="MZT113" s="182"/>
      <c r="MZU113" s="181"/>
      <c r="MZV113" s="182"/>
      <c r="MZW113" s="181"/>
      <c r="MZX113" s="182"/>
      <c r="MZY113" s="181"/>
      <c r="MZZ113" s="182"/>
      <c r="NAA113" s="181"/>
      <c r="NAB113" s="182"/>
      <c r="NAC113" s="181"/>
      <c r="NAD113" s="182"/>
      <c r="NAE113" s="181"/>
      <c r="NAF113" s="182"/>
      <c r="NAG113" s="181"/>
      <c r="NAH113" s="182"/>
      <c r="NAI113" s="181"/>
      <c r="NAJ113" s="182"/>
      <c r="NAK113" s="181"/>
      <c r="NAL113" s="182"/>
      <c r="NAM113" s="181"/>
      <c r="NAN113" s="182"/>
      <c r="NAO113" s="181"/>
      <c r="NAP113" s="182"/>
      <c r="NAQ113" s="181"/>
      <c r="NAR113" s="182"/>
      <c r="NAS113" s="181"/>
      <c r="NAT113" s="182"/>
      <c r="NAU113" s="181"/>
      <c r="NAV113" s="182"/>
      <c r="NAW113" s="181"/>
      <c r="NAX113" s="182"/>
      <c r="NAY113" s="181"/>
      <c r="NAZ113" s="182"/>
      <c r="NBA113" s="181"/>
      <c r="NBB113" s="182"/>
      <c r="NBC113" s="181"/>
      <c r="NBD113" s="182"/>
      <c r="NBE113" s="181"/>
      <c r="NBF113" s="182"/>
      <c r="NBG113" s="181"/>
      <c r="NBH113" s="182"/>
      <c r="NBI113" s="181"/>
      <c r="NBJ113" s="182"/>
      <c r="NBK113" s="181"/>
      <c r="NBL113" s="182"/>
      <c r="NBM113" s="181"/>
      <c r="NBN113" s="182"/>
      <c r="NBO113" s="181"/>
      <c r="NBP113" s="182"/>
      <c r="NBQ113" s="181"/>
      <c r="NBR113" s="182"/>
      <c r="NBS113" s="181"/>
      <c r="NBT113" s="182"/>
      <c r="NBU113" s="181"/>
      <c r="NBV113" s="182"/>
      <c r="NBW113" s="181"/>
      <c r="NBX113" s="182"/>
      <c r="NBY113" s="181"/>
      <c r="NBZ113" s="182"/>
      <c r="NCA113" s="181"/>
      <c r="NCB113" s="182"/>
      <c r="NCC113" s="181"/>
      <c r="NCD113" s="182"/>
      <c r="NCE113" s="181"/>
      <c r="NCF113" s="182"/>
      <c r="NCG113" s="181"/>
      <c r="NCH113" s="182"/>
      <c r="NCI113" s="181"/>
      <c r="NCJ113" s="182"/>
      <c r="NCK113" s="181"/>
      <c r="NCL113" s="182"/>
      <c r="NCM113" s="181"/>
      <c r="NCN113" s="182"/>
      <c r="NCO113" s="181"/>
      <c r="NCP113" s="182"/>
      <c r="NCQ113" s="181"/>
      <c r="NCR113" s="182"/>
      <c r="NCS113" s="181"/>
      <c r="NCT113" s="182"/>
      <c r="NCU113" s="181"/>
      <c r="NCV113" s="182"/>
      <c r="NCW113" s="181"/>
      <c r="NCX113" s="182"/>
      <c r="NCY113" s="181"/>
      <c r="NCZ113" s="182"/>
      <c r="NDA113" s="181"/>
      <c r="NDB113" s="182"/>
      <c r="NDC113" s="181"/>
      <c r="NDD113" s="182"/>
      <c r="NDE113" s="181"/>
      <c r="NDF113" s="182"/>
      <c r="NDG113" s="181"/>
      <c r="NDH113" s="182"/>
      <c r="NDI113" s="181"/>
      <c r="NDJ113" s="182"/>
      <c r="NDK113" s="181"/>
      <c r="NDL113" s="182"/>
      <c r="NDM113" s="181"/>
      <c r="NDN113" s="182"/>
      <c r="NDO113" s="181"/>
      <c r="NDP113" s="182"/>
      <c r="NDQ113" s="181"/>
      <c r="NDR113" s="182"/>
      <c r="NDS113" s="181"/>
      <c r="NDT113" s="182"/>
      <c r="NDU113" s="181"/>
      <c r="NDV113" s="182"/>
      <c r="NDW113" s="181"/>
      <c r="NDX113" s="182"/>
      <c r="NDY113" s="181"/>
      <c r="NDZ113" s="182"/>
      <c r="NEA113" s="181"/>
      <c r="NEB113" s="182"/>
      <c r="NEC113" s="181"/>
      <c r="NED113" s="182"/>
      <c r="NEE113" s="181"/>
      <c r="NEF113" s="182"/>
      <c r="NEG113" s="181"/>
      <c r="NEH113" s="182"/>
      <c r="NEI113" s="181"/>
      <c r="NEJ113" s="182"/>
      <c r="NEK113" s="181"/>
      <c r="NEL113" s="182"/>
      <c r="NEM113" s="181"/>
      <c r="NEN113" s="182"/>
      <c r="NEO113" s="181"/>
      <c r="NEP113" s="182"/>
      <c r="NEQ113" s="181"/>
      <c r="NER113" s="182"/>
      <c r="NES113" s="181"/>
      <c r="NET113" s="182"/>
      <c r="NEU113" s="181"/>
      <c r="NEV113" s="182"/>
      <c r="NEW113" s="181"/>
      <c r="NEX113" s="182"/>
      <c r="NEY113" s="181"/>
      <c r="NEZ113" s="182"/>
      <c r="NFA113" s="181"/>
      <c r="NFB113" s="182"/>
      <c r="NFC113" s="181"/>
      <c r="NFD113" s="182"/>
      <c r="NFE113" s="181"/>
      <c r="NFF113" s="182"/>
      <c r="NFG113" s="181"/>
      <c r="NFH113" s="182"/>
      <c r="NFI113" s="181"/>
      <c r="NFJ113" s="182"/>
      <c r="NFK113" s="181"/>
      <c r="NFL113" s="182"/>
      <c r="NFM113" s="181"/>
      <c r="NFN113" s="182"/>
      <c r="NFO113" s="181"/>
      <c r="NFP113" s="182"/>
      <c r="NFQ113" s="181"/>
      <c r="NFR113" s="182"/>
      <c r="NFS113" s="181"/>
      <c r="NFT113" s="182"/>
      <c r="NFU113" s="181"/>
      <c r="NFV113" s="182"/>
      <c r="NFW113" s="181"/>
      <c r="NFX113" s="182"/>
      <c r="NFY113" s="181"/>
      <c r="NFZ113" s="182"/>
      <c r="NGA113" s="181"/>
      <c r="NGB113" s="182"/>
      <c r="NGC113" s="181"/>
      <c r="NGD113" s="182"/>
      <c r="NGE113" s="181"/>
      <c r="NGF113" s="182"/>
      <c r="NGG113" s="181"/>
      <c r="NGH113" s="182"/>
      <c r="NGI113" s="181"/>
      <c r="NGJ113" s="182"/>
      <c r="NGK113" s="181"/>
      <c r="NGL113" s="182"/>
      <c r="NGM113" s="181"/>
      <c r="NGN113" s="182"/>
      <c r="NGO113" s="181"/>
      <c r="NGP113" s="182"/>
      <c r="NGQ113" s="181"/>
      <c r="NGR113" s="182"/>
      <c r="NGS113" s="181"/>
      <c r="NGT113" s="182"/>
      <c r="NGU113" s="181"/>
      <c r="NGV113" s="182"/>
      <c r="NGW113" s="181"/>
      <c r="NGX113" s="182"/>
      <c r="NGY113" s="181"/>
      <c r="NGZ113" s="182"/>
      <c r="NHA113" s="181"/>
      <c r="NHB113" s="182"/>
      <c r="NHC113" s="181"/>
      <c r="NHD113" s="182"/>
      <c r="NHE113" s="181"/>
      <c r="NHF113" s="182"/>
      <c r="NHG113" s="181"/>
      <c r="NHH113" s="182"/>
      <c r="NHI113" s="181"/>
      <c r="NHJ113" s="182"/>
      <c r="NHK113" s="181"/>
      <c r="NHL113" s="182"/>
      <c r="NHM113" s="181"/>
      <c r="NHN113" s="182"/>
      <c r="NHO113" s="181"/>
      <c r="NHP113" s="182"/>
      <c r="NHQ113" s="181"/>
      <c r="NHR113" s="182"/>
      <c r="NHS113" s="181"/>
      <c r="NHT113" s="182"/>
      <c r="NHU113" s="181"/>
      <c r="NHV113" s="182"/>
      <c r="NHW113" s="181"/>
      <c r="NHX113" s="182"/>
      <c r="NHY113" s="181"/>
      <c r="NHZ113" s="182"/>
      <c r="NIA113" s="181"/>
      <c r="NIB113" s="182"/>
      <c r="NIC113" s="181"/>
      <c r="NID113" s="182"/>
      <c r="NIE113" s="181"/>
      <c r="NIF113" s="182"/>
      <c r="NIG113" s="181"/>
      <c r="NIH113" s="182"/>
      <c r="NII113" s="181"/>
      <c r="NIJ113" s="182"/>
      <c r="NIK113" s="181"/>
      <c r="NIL113" s="182"/>
      <c r="NIM113" s="181"/>
      <c r="NIN113" s="182"/>
      <c r="NIO113" s="181"/>
      <c r="NIP113" s="182"/>
      <c r="NIQ113" s="181"/>
      <c r="NIR113" s="182"/>
      <c r="NIS113" s="181"/>
      <c r="NIT113" s="182"/>
      <c r="NIU113" s="181"/>
      <c r="NIV113" s="182"/>
      <c r="NIW113" s="181"/>
      <c r="NIX113" s="182"/>
      <c r="NIY113" s="181"/>
      <c r="NIZ113" s="182"/>
      <c r="NJA113" s="181"/>
      <c r="NJB113" s="182"/>
      <c r="NJC113" s="181"/>
      <c r="NJD113" s="182"/>
      <c r="NJE113" s="181"/>
      <c r="NJF113" s="182"/>
      <c r="NJG113" s="181"/>
      <c r="NJH113" s="182"/>
      <c r="NJI113" s="181"/>
      <c r="NJJ113" s="182"/>
      <c r="NJK113" s="181"/>
      <c r="NJL113" s="182"/>
      <c r="NJM113" s="181"/>
      <c r="NJN113" s="182"/>
      <c r="NJO113" s="181"/>
      <c r="NJP113" s="182"/>
      <c r="NJQ113" s="181"/>
      <c r="NJR113" s="182"/>
      <c r="NJS113" s="181"/>
      <c r="NJT113" s="182"/>
      <c r="NJU113" s="181"/>
      <c r="NJV113" s="182"/>
      <c r="NJW113" s="181"/>
      <c r="NJX113" s="182"/>
      <c r="NJY113" s="181"/>
      <c r="NJZ113" s="182"/>
      <c r="NKA113" s="181"/>
      <c r="NKB113" s="182"/>
      <c r="NKC113" s="181"/>
      <c r="NKD113" s="182"/>
      <c r="NKE113" s="181"/>
      <c r="NKF113" s="182"/>
      <c r="NKG113" s="181"/>
      <c r="NKH113" s="182"/>
      <c r="NKI113" s="181"/>
      <c r="NKJ113" s="182"/>
      <c r="NKK113" s="181"/>
      <c r="NKL113" s="182"/>
      <c r="NKM113" s="181"/>
      <c r="NKN113" s="182"/>
      <c r="NKO113" s="181"/>
      <c r="NKP113" s="182"/>
      <c r="NKQ113" s="181"/>
      <c r="NKR113" s="182"/>
      <c r="NKS113" s="181"/>
      <c r="NKT113" s="182"/>
      <c r="NKU113" s="181"/>
      <c r="NKV113" s="182"/>
      <c r="NKW113" s="181"/>
      <c r="NKX113" s="182"/>
      <c r="NKY113" s="181"/>
      <c r="NKZ113" s="182"/>
      <c r="NLA113" s="181"/>
      <c r="NLB113" s="182"/>
      <c r="NLC113" s="181"/>
      <c r="NLD113" s="182"/>
      <c r="NLE113" s="181"/>
      <c r="NLF113" s="182"/>
      <c r="NLG113" s="181"/>
      <c r="NLH113" s="182"/>
      <c r="NLI113" s="181"/>
      <c r="NLJ113" s="182"/>
      <c r="NLK113" s="181"/>
      <c r="NLL113" s="182"/>
      <c r="NLM113" s="181"/>
      <c r="NLN113" s="182"/>
      <c r="NLO113" s="181"/>
      <c r="NLP113" s="182"/>
      <c r="NLQ113" s="181"/>
      <c r="NLR113" s="182"/>
      <c r="NLS113" s="181"/>
      <c r="NLT113" s="182"/>
      <c r="NLU113" s="181"/>
      <c r="NLV113" s="182"/>
      <c r="NLW113" s="181"/>
      <c r="NLX113" s="182"/>
      <c r="NLY113" s="181"/>
      <c r="NLZ113" s="182"/>
      <c r="NMA113" s="181"/>
      <c r="NMB113" s="182"/>
      <c r="NMC113" s="181"/>
      <c r="NMD113" s="182"/>
      <c r="NME113" s="181"/>
      <c r="NMF113" s="182"/>
      <c r="NMG113" s="181"/>
      <c r="NMH113" s="182"/>
      <c r="NMI113" s="181"/>
      <c r="NMJ113" s="182"/>
      <c r="NMK113" s="181"/>
      <c r="NML113" s="182"/>
      <c r="NMM113" s="181"/>
      <c r="NMN113" s="182"/>
      <c r="NMO113" s="181"/>
      <c r="NMP113" s="182"/>
      <c r="NMQ113" s="181"/>
      <c r="NMR113" s="182"/>
      <c r="NMS113" s="181"/>
      <c r="NMT113" s="182"/>
      <c r="NMU113" s="181"/>
      <c r="NMV113" s="182"/>
      <c r="NMW113" s="181"/>
      <c r="NMX113" s="182"/>
      <c r="NMY113" s="181"/>
      <c r="NMZ113" s="182"/>
      <c r="NNA113" s="181"/>
      <c r="NNB113" s="182"/>
      <c r="NNC113" s="181"/>
      <c r="NND113" s="182"/>
      <c r="NNE113" s="181"/>
      <c r="NNF113" s="182"/>
      <c r="NNG113" s="181"/>
      <c r="NNH113" s="182"/>
      <c r="NNI113" s="181"/>
      <c r="NNJ113" s="182"/>
      <c r="NNK113" s="181"/>
      <c r="NNL113" s="182"/>
      <c r="NNM113" s="181"/>
      <c r="NNN113" s="182"/>
      <c r="NNO113" s="181"/>
      <c r="NNP113" s="182"/>
      <c r="NNQ113" s="181"/>
      <c r="NNR113" s="182"/>
      <c r="NNS113" s="181"/>
      <c r="NNT113" s="182"/>
      <c r="NNU113" s="181"/>
      <c r="NNV113" s="182"/>
      <c r="NNW113" s="181"/>
      <c r="NNX113" s="182"/>
      <c r="NNY113" s="181"/>
      <c r="NNZ113" s="182"/>
      <c r="NOA113" s="181"/>
      <c r="NOB113" s="182"/>
      <c r="NOC113" s="181"/>
      <c r="NOD113" s="182"/>
      <c r="NOE113" s="181"/>
      <c r="NOF113" s="182"/>
      <c r="NOG113" s="181"/>
      <c r="NOH113" s="182"/>
      <c r="NOI113" s="181"/>
      <c r="NOJ113" s="182"/>
      <c r="NOK113" s="181"/>
      <c r="NOL113" s="182"/>
      <c r="NOM113" s="181"/>
      <c r="NON113" s="182"/>
      <c r="NOO113" s="181"/>
      <c r="NOP113" s="182"/>
      <c r="NOQ113" s="181"/>
      <c r="NOR113" s="182"/>
      <c r="NOS113" s="181"/>
      <c r="NOT113" s="182"/>
      <c r="NOU113" s="181"/>
      <c r="NOV113" s="182"/>
      <c r="NOW113" s="181"/>
      <c r="NOX113" s="182"/>
      <c r="NOY113" s="181"/>
      <c r="NOZ113" s="182"/>
      <c r="NPA113" s="181"/>
      <c r="NPB113" s="182"/>
      <c r="NPC113" s="181"/>
      <c r="NPD113" s="182"/>
      <c r="NPE113" s="181"/>
      <c r="NPF113" s="182"/>
      <c r="NPG113" s="181"/>
      <c r="NPH113" s="182"/>
      <c r="NPI113" s="181"/>
      <c r="NPJ113" s="182"/>
      <c r="NPK113" s="181"/>
      <c r="NPL113" s="182"/>
      <c r="NPM113" s="181"/>
      <c r="NPN113" s="182"/>
      <c r="NPO113" s="181"/>
      <c r="NPP113" s="182"/>
      <c r="NPQ113" s="181"/>
      <c r="NPR113" s="182"/>
      <c r="NPS113" s="181"/>
      <c r="NPT113" s="182"/>
      <c r="NPU113" s="181"/>
      <c r="NPV113" s="182"/>
      <c r="NPW113" s="181"/>
      <c r="NPX113" s="182"/>
      <c r="NPY113" s="181"/>
      <c r="NPZ113" s="182"/>
      <c r="NQA113" s="181"/>
      <c r="NQB113" s="182"/>
      <c r="NQC113" s="181"/>
      <c r="NQD113" s="182"/>
      <c r="NQE113" s="181"/>
      <c r="NQF113" s="182"/>
      <c r="NQG113" s="181"/>
      <c r="NQH113" s="182"/>
      <c r="NQI113" s="181"/>
      <c r="NQJ113" s="182"/>
      <c r="NQK113" s="181"/>
      <c r="NQL113" s="182"/>
      <c r="NQM113" s="181"/>
      <c r="NQN113" s="182"/>
      <c r="NQO113" s="181"/>
      <c r="NQP113" s="182"/>
      <c r="NQQ113" s="181"/>
      <c r="NQR113" s="182"/>
      <c r="NQS113" s="181"/>
      <c r="NQT113" s="182"/>
      <c r="NQU113" s="181"/>
      <c r="NQV113" s="182"/>
      <c r="NQW113" s="181"/>
      <c r="NQX113" s="182"/>
      <c r="NQY113" s="181"/>
      <c r="NQZ113" s="182"/>
      <c r="NRA113" s="181"/>
      <c r="NRB113" s="182"/>
      <c r="NRC113" s="181"/>
      <c r="NRD113" s="182"/>
      <c r="NRE113" s="181"/>
      <c r="NRF113" s="182"/>
      <c r="NRG113" s="181"/>
      <c r="NRH113" s="182"/>
      <c r="NRI113" s="181"/>
      <c r="NRJ113" s="182"/>
      <c r="NRK113" s="181"/>
      <c r="NRL113" s="182"/>
      <c r="NRM113" s="181"/>
      <c r="NRN113" s="182"/>
      <c r="NRO113" s="181"/>
      <c r="NRP113" s="182"/>
      <c r="NRQ113" s="181"/>
      <c r="NRR113" s="182"/>
      <c r="NRS113" s="181"/>
      <c r="NRT113" s="182"/>
      <c r="NRU113" s="181"/>
      <c r="NRV113" s="182"/>
      <c r="NRW113" s="181"/>
      <c r="NRX113" s="182"/>
      <c r="NRY113" s="181"/>
      <c r="NRZ113" s="182"/>
      <c r="NSA113" s="181"/>
      <c r="NSB113" s="182"/>
      <c r="NSC113" s="181"/>
      <c r="NSD113" s="182"/>
      <c r="NSE113" s="181"/>
      <c r="NSF113" s="182"/>
      <c r="NSG113" s="181"/>
      <c r="NSH113" s="182"/>
      <c r="NSI113" s="181"/>
      <c r="NSJ113" s="182"/>
      <c r="NSK113" s="181"/>
      <c r="NSL113" s="182"/>
      <c r="NSM113" s="181"/>
      <c r="NSN113" s="182"/>
      <c r="NSO113" s="181"/>
      <c r="NSP113" s="182"/>
      <c r="NSQ113" s="181"/>
      <c r="NSR113" s="182"/>
      <c r="NSS113" s="181"/>
      <c r="NST113" s="182"/>
      <c r="NSU113" s="181"/>
      <c r="NSV113" s="182"/>
      <c r="NSW113" s="181"/>
      <c r="NSX113" s="182"/>
      <c r="NSY113" s="181"/>
      <c r="NSZ113" s="182"/>
      <c r="NTA113" s="181"/>
      <c r="NTB113" s="182"/>
      <c r="NTC113" s="181"/>
      <c r="NTD113" s="182"/>
      <c r="NTE113" s="181"/>
      <c r="NTF113" s="182"/>
      <c r="NTG113" s="181"/>
      <c r="NTH113" s="182"/>
      <c r="NTI113" s="181"/>
      <c r="NTJ113" s="182"/>
      <c r="NTK113" s="181"/>
      <c r="NTL113" s="182"/>
      <c r="NTM113" s="181"/>
      <c r="NTN113" s="182"/>
      <c r="NTO113" s="181"/>
      <c r="NTP113" s="182"/>
      <c r="NTQ113" s="181"/>
      <c r="NTR113" s="182"/>
      <c r="NTS113" s="181"/>
      <c r="NTT113" s="182"/>
      <c r="NTU113" s="181"/>
      <c r="NTV113" s="182"/>
      <c r="NTW113" s="181"/>
      <c r="NTX113" s="182"/>
      <c r="NTY113" s="181"/>
      <c r="NTZ113" s="182"/>
      <c r="NUA113" s="181"/>
      <c r="NUB113" s="182"/>
      <c r="NUC113" s="181"/>
      <c r="NUD113" s="182"/>
      <c r="NUE113" s="181"/>
      <c r="NUF113" s="182"/>
      <c r="NUG113" s="181"/>
      <c r="NUH113" s="182"/>
      <c r="NUI113" s="181"/>
      <c r="NUJ113" s="182"/>
      <c r="NUK113" s="181"/>
      <c r="NUL113" s="182"/>
      <c r="NUM113" s="181"/>
      <c r="NUN113" s="182"/>
      <c r="NUO113" s="181"/>
      <c r="NUP113" s="182"/>
      <c r="NUQ113" s="181"/>
      <c r="NUR113" s="182"/>
      <c r="NUS113" s="181"/>
      <c r="NUT113" s="182"/>
      <c r="NUU113" s="181"/>
      <c r="NUV113" s="182"/>
      <c r="NUW113" s="181"/>
      <c r="NUX113" s="182"/>
      <c r="NUY113" s="181"/>
      <c r="NUZ113" s="182"/>
      <c r="NVA113" s="181"/>
      <c r="NVB113" s="182"/>
      <c r="NVC113" s="181"/>
      <c r="NVD113" s="182"/>
      <c r="NVE113" s="181"/>
      <c r="NVF113" s="182"/>
      <c r="NVG113" s="181"/>
      <c r="NVH113" s="182"/>
      <c r="NVI113" s="181"/>
      <c r="NVJ113" s="182"/>
      <c r="NVK113" s="181"/>
      <c r="NVL113" s="182"/>
      <c r="NVM113" s="181"/>
      <c r="NVN113" s="182"/>
      <c r="NVO113" s="181"/>
      <c r="NVP113" s="182"/>
      <c r="NVQ113" s="181"/>
      <c r="NVR113" s="182"/>
      <c r="NVS113" s="181"/>
      <c r="NVT113" s="182"/>
      <c r="NVU113" s="181"/>
      <c r="NVV113" s="182"/>
      <c r="NVW113" s="181"/>
      <c r="NVX113" s="182"/>
      <c r="NVY113" s="181"/>
      <c r="NVZ113" s="182"/>
      <c r="NWA113" s="181"/>
      <c r="NWB113" s="182"/>
      <c r="NWC113" s="181"/>
      <c r="NWD113" s="182"/>
      <c r="NWE113" s="181"/>
      <c r="NWF113" s="182"/>
      <c r="NWG113" s="181"/>
      <c r="NWH113" s="182"/>
      <c r="NWI113" s="181"/>
      <c r="NWJ113" s="182"/>
      <c r="NWK113" s="181"/>
      <c r="NWL113" s="182"/>
      <c r="NWM113" s="181"/>
      <c r="NWN113" s="182"/>
      <c r="NWO113" s="181"/>
      <c r="NWP113" s="182"/>
      <c r="NWQ113" s="181"/>
      <c r="NWR113" s="182"/>
      <c r="NWS113" s="181"/>
      <c r="NWT113" s="182"/>
      <c r="NWU113" s="181"/>
      <c r="NWV113" s="182"/>
      <c r="NWW113" s="181"/>
      <c r="NWX113" s="182"/>
      <c r="NWY113" s="181"/>
      <c r="NWZ113" s="182"/>
      <c r="NXA113" s="181"/>
      <c r="NXB113" s="182"/>
      <c r="NXC113" s="181"/>
      <c r="NXD113" s="182"/>
      <c r="NXE113" s="181"/>
      <c r="NXF113" s="182"/>
      <c r="NXG113" s="181"/>
      <c r="NXH113" s="182"/>
      <c r="NXI113" s="181"/>
      <c r="NXJ113" s="182"/>
      <c r="NXK113" s="181"/>
      <c r="NXL113" s="182"/>
      <c r="NXM113" s="181"/>
      <c r="NXN113" s="182"/>
      <c r="NXO113" s="181"/>
      <c r="NXP113" s="182"/>
      <c r="NXQ113" s="181"/>
      <c r="NXR113" s="182"/>
      <c r="NXS113" s="181"/>
      <c r="NXT113" s="182"/>
      <c r="NXU113" s="181"/>
      <c r="NXV113" s="182"/>
      <c r="NXW113" s="181"/>
      <c r="NXX113" s="182"/>
      <c r="NXY113" s="181"/>
      <c r="NXZ113" s="182"/>
      <c r="NYA113" s="181"/>
      <c r="NYB113" s="182"/>
      <c r="NYC113" s="181"/>
      <c r="NYD113" s="182"/>
      <c r="NYE113" s="181"/>
      <c r="NYF113" s="182"/>
      <c r="NYG113" s="181"/>
      <c r="NYH113" s="182"/>
      <c r="NYI113" s="181"/>
      <c r="NYJ113" s="182"/>
      <c r="NYK113" s="181"/>
      <c r="NYL113" s="182"/>
      <c r="NYM113" s="181"/>
      <c r="NYN113" s="182"/>
      <c r="NYO113" s="181"/>
      <c r="NYP113" s="182"/>
      <c r="NYQ113" s="181"/>
      <c r="NYR113" s="182"/>
      <c r="NYS113" s="181"/>
      <c r="NYT113" s="182"/>
      <c r="NYU113" s="181"/>
      <c r="NYV113" s="182"/>
      <c r="NYW113" s="181"/>
      <c r="NYX113" s="182"/>
      <c r="NYY113" s="181"/>
      <c r="NYZ113" s="182"/>
      <c r="NZA113" s="181"/>
      <c r="NZB113" s="182"/>
      <c r="NZC113" s="181"/>
      <c r="NZD113" s="182"/>
      <c r="NZE113" s="181"/>
      <c r="NZF113" s="182"/>
      <c r="NZG113" s="181"/>
      <c r="NZH113" s="182"/>
      <c r="NZI113" s="181"/>
      <c r="NZJ113" s="182"/>
      <c r="NZK113" s="181"/>
      <c r="NZL113" s="182"/>
      <c r="NZM113" s="181"/>
      <c r="NZN113" s="182"/>
      <c r="NZO113" s="181"/>
      <c r="NZP113" s="182"/>
      <c r="NZQ113" s="181"/>
      <c r="NZR113" s="182"/>
      <c r="NZS113" s="181"/>
      <c r="NZT113" s="182"/>
      <c r="NZU113" s="181"/>
      <c r="NZV113" s="182"/>
      <c r="NZW113" s="181"/>
      <c r="NZX113" s="182"/>
      <c r="NZY113" s="181"/>
      <c r="NZZ113" s="182"/>
      <c r="OAA113" s="181"/>
      <c r="OAB113" s="182"/>
      <c r="OAC113" s="181"/>
      <c r="OAD113" s="182"/>
      <c r="OAE113" s="181"/>
      <c r="OAF113" s="182"/>
      <c r="OAG113" s="181"/>
      <c r="OAH113" s="182"/>
      <c r="OAI113" s="181"/>
      <c r="OAJ113" s="182"/>
      <c r="OAK113" s="181"/>
      <c r="OAL113" s="182"/>
      <c r="OAM113" s="181"/>
      <c r="OAN113" s="182"/>
      <c r="OAO113" s="181"/>
      <c r="OAP113" s="182"/>
      <c r="OAQ113" s="181"/>
      <c r="OAR113" s="182"/>
      <c r="OAS113" s="181"/>
      <c r="OAT113" s="182"/>
      <c r="OAU113" s="181"/>
      <c r="OAV113" s="182"/>
      <c r="OAW113" s="181"/>
      <c r="OAX113" s="182"/>
      <c r="OAY113" s="181"/>
      <c r="OAZ113" s="182"/>
      <c r="OBA113" s="181"/>
      <c r="OBB113" s="182"/>
      <c r="OBC113" s="181"/>
      <c r="OBD113" s="182"/>
      <c r="OBE113" s="181"/>
      <c r="OBF113" s="182"/>
      <c r="OBG113" s="181"/>
      <c r="OBH113" s="182"/>
      <c r="OBI113" s="181"/>
      <c r="OBJ113" s="182"/>
      <c r="OBK113" s="181"/>
      <c r="OBL113" s="182"/>
      <c r="OBM113" s="181"/>
      <c r="OBN113" s="182"/>
      <c r="OBO113" s="181"/>
      <c r="OBP113" s="182"/>
      <c r="OBQ113" s="181"/>
      <c r="OBR113" s="182"/>
      <c r="OBS113" s="181"/>
      <c r="OBT113" s="182"/>
      <c r="OBU113" s="181"/>
      <c r="OBV113" s="182"/>
      <c r="OBW113" s="181"/>
      <c r="OBX113" s="182"/>
      <c r="OBY113" s="181"/>
      <c r="OBZ113" s="182"/>
      <c r="OCA113" s="181"/>
      <c r="OCB113" s="182"/>
      <c r="OCC113" s="181"/>
      <c r="OCD113" s="182"/>
      <c r="OCE113" s="181"/>
      <c r="OCF113" s="182"/>
      <c r="OCG113" s="181"/>
      <c r="OCH113" s="182"/>
      <c r="OCI113" s="181"/>
      <c r="OCJ113" s="182"/>
      <c r="OCK113" s="181"/>
      <c r="OCL113" s="182"/>
      <c r="OCM113" s="181"/>
      <c r="OCN113" s="182"/>
      <c r="OCO113" s="181"/>
      <c r="OCP113" s="182"/>
      <c r="OCQ113" s="181"/>
      <c r="OCR113" s="182"/>
      <c r="OCS113" s="181"/>
      <c r="OCT113" s="182"/>
      <c r="OCU113" s="181"/>
      <c r="OCV113" s="182"/>
      <c r="OCW113" s="181"/>
      <c r="OCX113" s="182"/>
      <c r="OCY113" s="181"/>
      <c r="OCZ113" s="182"/>
      <c r="ODA113" s="181"/>
      <c r="ODB113" s="182"/>
      <c r="ODC113" s="181"/>
      <c r="ODD113" s="182"/>
      <c r="ODE113" s="181"/>
      <c r="ODF113" s="182"/>
      <c r="ODG113" s="181"/>
      <c r="ODH113" s="182"/>
      <c r="ODI113" s="181"/>
      <c r="ODJ113" s="182"/>
      <c r="ODK113" s="181"/>
      <c r="ODL113" s="182"/>
      <c r="ODM113" s="181"/>
      <c r="ODN113" s="182"/>
      <c r="ODO113" s="181"/>
      <c r="ODP113" s="182"/>
      <c r="ODQ113" s="181"/>
      <c r="ODR113" s="182"/>
      <c r="ODS113" s="181"/>
      <c r="ODT113" s="182"/>
      <c r="ODU113" s="181"/>
      <c r="ODV113" s="182"/>
      <c r="ODW113" s="181"/>
      <c r="ODX113" s="182"/>
      <c r="ODY113" s="181"/>
      <c r="ODZ113" s="182"/>
      <c r="OEA113" s="181"/>
      <c r="OEB113" s="182"/>
      <c r="OEC113" s="181"/>
      <c r="OED113" s="182"/>
      <c r="OEE113" s="181"/>
      <c r="OEF113" s="182"/>
      <c r="OEG113" s="181"/>
      <c r="OEH113" s="182"/>
      <c r="OEI113" s="181"/>
      <c r="OEJ113" s="182"/>
      <c r="OEK113" s="181"/>
      <c r="OEL113" s="182"/>
      <c r="OEM113" s="181"/>
      <c r="OEN113" s="182"/>
      <c r="OEO113" s="181"/>
      <c r="OEP113" s="182"/>
      <c r="OEQ113" s="181"/>
      <c r="OER113" s="182"/>
      <c r="OES113" s="181"/>
      <c r="OET113" s="182"/>
      <c r="OEU113" s="181"/>
      <c r="OEV113" s="182"/>
      <c r="OEW113" s="181"/>
      <c r="OEX113" s="182"/>
      <c r="OEY113" s="181"/>
      <c r="OEZ113" s="182"/>
      <c r="OFA113" s="181"/>
      <c r="OFB113" s="182"/>
      <c r="OFC113" s="181"/>
      <c r="OFD113" s="182"/>
      <c r="OFE113" s="181"/>
      <c r="OFF113" s="182"/>
      <c r="OFG113" s="181"/>
      <c r="OFH113" s="182"/>
      <c r="OFI113" s="181"/>
      <c r="OFJ113" s="182"/>
      <c r="OFK113" s="181"/>
      <c r="OFL113" s="182"/>
      <c r="OFM113" s="181"/>
      <c r="OFN113" s="182"/>
      <c r="OFO113" s="181"/>
      <c r="OFP113" s="182"/>
      <c r="OFQ113" s="181"/>
      <c r="OFR113" s="182"/>
      <c r="OFS113" s="181"/>
      <c r="OFT113" s="182"/>
      <c r="OFU113" s="181"/>
      <c r="OFV113" s="182"/>
      <c r="OFW113" s="181"/>
      <c r="OFX113" s="182"/>
      <c r="OFY113" s="181"/>
      <c r="OFZ113" s="182"/>
      <c r="OGA113" s="181"/>
      <c r="OGB113" s="182"/>
      <c r="OGC113" s="181"/>
      <c r="OGD113" s="182"/>
      <c r="OGE113" s="181"/>
      <c r="OGF113" s="182"/>
      <c r="OGG113" s="181"/>
      <c r="OGH113" s="182"/>
      <c r="OGI113" s="181"/>
      <c r="OGJ113" s="182"/>
      <c r="OGK113" s="181"/>
      <c r="OGL113" s="182"/>
      <c r="OGM113" s="181"/>
      <c r="OGN113" s="182"/>
      <c r="OGO113" s="181"/>
      <c r="OGP113" s="182"/>
      <c r="OGQ113" s="181"/>
      <c r="OGR113" s="182"/>
      <c r="OGS113" s="181"/>
      <c r="OGT113" s="182"/>
      <c r="OGU113" s="181"/>
      <c r="OGV113" s="182"/>
      <c r="OGW113" s="181"/>
      <c r="OGX113" s="182"/>
      <c r="OGY113" s="181"/>
      <c r="OGZ113" s="182"/>
      <c r="OHA113" s="181"/>
      <c r="OHB113" s="182"/>
      <c r="OHC113" s="181"/>
      <c r="OHD113" s="182"/>
      <c r="OHE113" s="181"/>
      <c r="OHF113" s="182"/>
      <c r="OHG113" s="181"/>
      <c r="OHH113" s="182"/>
      <c r="OHI113" s="181"/>
      <c r="OHJ113" s="182"/>
      <c r="OHK113" s="181"/>
      <c r="OHL113" s="182"/>
      <c r="OHM113" s="181"/>
      <c r="OHN113" s="182"/>
      <c r="OHO113" s="181"/>
      <c r="OHP113" s="182"/>
      <c r="OHQ113" s="181"/>
      <c r="OHR113" s="182"/>
      <c r="OHS113" s="181"/>
      <c r="OHT113" s="182"/>
      <c r="OHU113" s="181"/>
      <c r="OHV113" s="182"/>
      <c r="OHW113" s="181"/>
      <c r="OHX113" s="182"/>
      <c r="OHY113" s="181"/>
      <c r="OHZ113" s="182"/>
      <c r="OIA113" s="181"/>
      <c r="OIB113" s="182"/>
      <c r="OIC113" s="181"/>
      <c r="OID113" s="182"/>
      <c r="OIE113" s="181"/>
      <c r="OIF113" s="182"/>
      <c r="OIG113" s="181"/>
      <c r="OIH113" s="182"/>
      <c r="OII113" s="181"/>
      <c r="OIJ113" s="182"/>
      <c r="OIK113" s="181"/>
      <c r="OIL113" s="182"/>
      <c r="OIM113" s="181"/>
      <c r="OIN113" s="182"/>
      <c r="OIO113" s="181"/>
      <c r="OIP113" s="182"/>
      <c r="OIQ113" s="181"/>
      <c r="OIR113" s="182"/>
      <c r="OIS113" s="181"/>
      <c r="OIT113" s="182"/>
      <c r="OIU113" s="181"/>
      <c r="OIV113" s="182"/>
      <c r="OIW113" s="181"/>
      <c r="OIX113" s="182"/>
      <c r="OIY113" s="181"/>
      <c r="OIZ113" s="182"/>
      <c r="OJA113" s="181"/>
      <c r="OJB113" s="182"/>
      <c r="OJC113" s="181"/>
      <c r="OJD113" s="182"/>
      <c r="OJE113" s="181"/>
      <c r="OJF113" s="182"/>
      <c r="OJG113" s="181"/>
      <c r="OJH113" s="182"/>
      <c r="OJI113" s="181"/>
      <c r="OJJ113" s="182"/>
      <c r="OJK113" s="181"/>
      <c r="OJL113" s="182"/>
      <c r="OJM113" s="181"/>
      <c r="OJN113" s="182"/>
      <c r="OJO113" s="181"/>
      <c r="OJP113" s="182"/>
      <c r="OJQ113" s="181"/>
      <c r="OJR113" s="182"/>
      <c r="OJS113" s="181"/>
      <c r="OJT113" s="182"/>
      <c r="OJU113" s="181"/>
      <c r="OJV113" s="182"/>
      <c r="OJW113" s="181"/>
      <c r="OJX113" s="182"/>
      <c r="OJY113" s="181"/>
      <c r="OJZ113" s="182"/>
      <c r="OKA113" s="181"/>
      <c r="OKB113" s="182"/>
      <c r="OKC113" s="181"/>
      <c r="OKD113" s="182"/>
      <c r="OKE113" s="181"/>
      <c r="OKF113" s="182"/>
      <c r="OKG113" s="181"/>
      <c r="OKH113" s="182"/>
      <c r="OKI113" s="181"/>
      <c r="OKJ113" s="182"/>
      <c r="OKK113" s="181"/>
      <c r="OKL113" s="182"/>
      <c r="OKM113" s="181"/>
      <c r="OKN113" s="182"/>
      <c r="OKO113" s="181"/>
      <c r="OKP113" s="182"/>
      <c r="OKQ113" s="181"/>
      <c r="OKR113" s="182"/>
      <c r="OKS113" s="181"/>
      <c r="OKT113" s="182"/>
      <c r="OKU113" s="181"/>
      <c r="OKV113" s="182"/>
      <c r="OKW113" s="181"/>
      <c r="OKX113" s="182"/>
      <c r="OKY113" s="181"/>
      <c r="OKZ113" s="182"/>
      <c r="OLA113" s="181"/>
      <c r="OLB113" s="182"/>
      <c r="OLC113" s="181"/>
      <c r="OLD113" s="182"/>
      <c r="OLE113" s="181"/>
      <c r="OLF113" s="182"/>
      <c r="OLG113" s="181"/>
      <c r="OLH113" s="182"/>
      <c r="OLI113" s="181"/>
      <c r="OLJ113" s="182"/>
      <c r="OLK113" s="181"/>
      <c r="OLL113" s="182"/>
      <c r="OLM113" s="181"/>
      <c r="OLN113" s="182"/>
      <c r="OLO113" s="181"/>
      <c r="OLP113" s="182"/>
      <c r="OLQ113" s="181"/>
      <c r="OLR113" s="182"/>
      <c r="OLS113" s="181"/>
      <c r="OLT113" s="182"/>
      <c r="OLU113" s="181"/>
      <c r="OLV113" s="182"/>
      <c r="OLW113" s="181"/>
      <c r="OLX113" s="182"/>
      <c r="OLY113" s="181"/>
      <c r="OLZ113" s="182"/>
      <c r="OMA113" s="181"/>
      <c r="OMB113" s="182"/>
      <c r="OMC113" s="181"/>
      <c r="OMD113" s="182"/>
      <c r="OME113" s="181"/>
      <c r="OMF113" s="182"/>
      <c r="OMG113" s="181"/>
      <c r="OMH113" s="182"/>
      <c r="OMI113" s="181"/>
      <c r="OMJ113" s="182"/>
      <c r="OMK113" s="181"/>
      <c r="OML113" s="182"/>
      <c r="OMM113" s="181"/>
      <c r="OMN113" s="182"/>
      <c r="OMO113" s="181"/>
      <c r="OMP113" s="182"/>
      <c r="OMQ113" s="181"/>
      <c r="OMR113" s="182"/>
      <c r="OMS113" s="181"/>
      <c r="OMT113" s="182"/>
      <c r="OMU113" s="181"/>
      <c r="OMV113" s="182"/>
      <c r="OMW113" s="181"/>
      <c r="OMX113" s="182"/>
      <c r="OMY113" s="181"/>
      <c r="OMZ113" s="182"/>
      <c r="ONA113" s="181"/>
      <c r="ONB113" s="182"/>
      <c r="ONC113" s="181"/>
      <c r="OND113" s="182"/>
      <c r="ONE113" s="181"/>
      <c r="ONF113" s="182"/>
      <c r="ONG113" s="181"/>
      <c r="ONH113" s="182"/>
      <c r="ONI113" s="181"/>
      <c r="ONJ113" s="182"/>
      <c r="ONK113" s="181"/>
      <c r="ONL113" s="182"/>
      <c r="ONM113" s="181"/>
      <c r="ONN113" s="182"/>
      <c r="ONO113" s="181"/>
      <c r="ONP113" s="182"/>
      <c r="ONQ113" s="181"/>
      <c r="ONR113" s="182"/>
      <c r="ONS113" s="181"/>
      <c r="ONT113" s="182"/>
      <c r="ONU113" s="181"/>
      <c r="ONV113" s="182"/>
      <c r="ONW113" s="181"/>
      <c r="ONX113" s="182"/>
      <c r="ONY113" s="181"/>
      <c r="ONZ113" s="182"/>
      <c r="OOA113" s="181"/>
      <c r="OOB113" s="182"/>
      <c r="OOC113" s="181"/>
      <c r="OOD113" s="182"/>
      <c r="OOE113" s="181"/>
      <c r="OOF113" s="182"/>
      <c r="OOG113" s="181"/>
      <c r="OOH113" s="182"/>
      <c r="OOI113" s="181"/>
      <c r="OOJ113" s="182"/>
      <c r="OOK113" s="181"/>
      <c r="OOL113" s="182"/>
      <c r="OOM113" s="181"/>
      <c r="OON113" s="182"/>
      <c r="OOO113" s="181"/>
      <c r="OOP113" s="182"/>
      <c r="OOQ113" s="181"/>
      <c r="OOR113" s="182"/>
      <c r="OOS113" s="181"/>
      <c r="OOT113" s="182"/>
      <c r="OOU113" s="181"/>
      <c r="OOV113" s="182"/>
      <c r="OOW113" s="181"/>
      <c r="OOX113" s="182"/>
      <c r="OOY113" s="181"/>
      <c r="OOZ113" s="182"/>
      <c r="OPA113" s="181"/>
      <c r="OPB113" s="182"/>
      <c r="OPC113" s="181"/>
      <c r="OPD113" s="182"/>
      <c r="OPE113" s="181"/>
      <c r="OPF113" s="182"/>
      <c r="OPG113" s="181"/>
      <c r="OPH113" s="182"/>
      <c r="OPI113" s="181"/>
      <c r="OPJ113" s="182"/>
      <c r="OPK113" s="181"/>
      <c r="OPL113" s="182"/>
      <c r="OPM113" s="181"/>
      <c r="OPN113" s="182"/>
      <c r="OPO113" s="181"/>
      <c r="OPP113" s="182"/>
      <c r="OPQ113" s="181"/>
      <c r="OPR113" s="182"/>
      <c r="OPS113" s="181"/>
      <c r="OPT113" s="182"/>
      <c r="OPU113" s="181"/>
      <c r="OPV113" s="182"/>
      <c r="OPW113" s="181"/>
      <c r="OPX113" s="182"/>
      <c r="OPY113" s="181"/>
      <c r="OPZ113" s="182"/>
      <c r="OQA113" s="181"/>
      <c r="OQB113" s="182"/>
      <c r="OQC113" s="181"/>
      <c r="OQD113" s="182"/>
      <c r="OQE113" s="181"/>
      <c r="OQF113" s="182"/>
      <c r="OQG113" s="181"/>
      <c r="OQH113" s="182"/>
      <c r="OQI113" s="181"/>
      <c r="OQJ113" s="182"/>
      <c r="OQK113" s="181"/>
      <c r="OQL113" s="182"/>
      <c r="OQM113" s="181"/>
      <c r="OQN113" s="182"/>
      <c r="OQO113" s="181"/>
      <c r="OQP113" s="182"/>
      <c r="OQQ113" s="181"/>
      <c r="OQR113" s="182"/>
      <c r="OQS113" s="181"/>
      <c r="OQT113" s="182"/>
      <c r="OQU113" s="181"/>
      <c r="OQV113" s="182"/>
      <c r="OQW113" s="181"/>
      <c r="OQX113" s="182"/>
      <c r="OQY113" s="181"/>
      <c r="OQZ113" s="182"/>
      <c r="ORA113" s="181"/>
      <c r="ORB113" s="182"/>
      <c r="ORC113" s="181"/>
      <c r="ORD113" s="182"/>
      <c r="ORE113" s="181"/>
      <c r="ORF113" s="182"/>
      <c r="ORG113" s="181"/>
      <c r="ORH113" s="182"/>
      <c r="ORI113" s="181"/>
      <c r="ORJ113" s="182"/>
      <c r="ORK113" s="181"/>
      <c r="ORL113" s="182"/>
      <c r="ORM113" s="181"/>
      <c r="ORN113" s="182"/>
      <c r="ORO113" s="181"/>
      <c r="ORP113" s="182"/>
      <c r="ORQ113" s="181"/>
      <c r="ORR113" s="182"/>
      <c r="ORS113" s="181"/>
      <c r="ORT113" s="182"/>
      <c r="ORU113" s="181"/>
      <c r="ORV113" s="182"/>
      <c r="ORW113" s="181"/>
      <c r="ORX113" s="182"/>
      <c r="ORY113" s="181"/>
      <c r="ORZ113" s="182"/>
      <c r="OSA113" s="181"/>
      <c r="OSB113" s="182"/>
      <c r="OSC113" s="181"/>
      <c r="OSD113" s="182"/>
      <c r="OSE113" s="181"/>
      <c r="OSF113" s="182"/>
      <c r="OSG113" s="181"/>
      <c r="OSH113" s="182"/>
      <c r="OSI113" s="181"/>
      <c r="OSJ113" s="182"/>
      <c r="OSK113" s="181"/>
      <c r="OSL113" s="182"/>
      <c r="OSM113" s="181"/>
      <c r="OSN113" s="182"/>
      <c r="OSO113" s="181"/>
      <c r="OSP113" s="182"/>
      <c r="OSQ113" s="181"/>
      <c r="OSR113" s="182"/>
      <c r="OSS113" s="181"/>
      <c r="OST113" s="182"/>
      <c r="OSU113" s="181"/>
      <c r="OSV113" s="182"/>
      <c r="OSW113" s="181"/>
      <c r="OSX113" s="182"/>
      <c r="OSY113" s="181"/>
      <c r="OSZ113" s="182"/>
      <c r="OTA113" s="181"/>
      <c r="OTB113" s="182"/>
      <c r="OTC113" s="181"/>
      <c r="OTD113" s="182"/>
      <c r="OTE113" s="181"/>
      <c r="OTF113" s="182"/>
      <c r="OTG113" s="181"/>
      <c r="OTH113" s="182"/>
      <c r="OTI113" s="181"/>
      <c r="OTJ113" s="182"/>
      <c r="OTK113" s="181"/>
      <c r="OTL113" s="182"/>
      <c r="OTM113" s="181"/>
      <c r="OTN113" s="182"/>
      <c r="OTO113" s="181"/>
      <c r="OTP113" s="182"/>
      <c r="OTQ113" s="181"/>
      <c r="OTR113" s="182"/>
      <c r="OTS113" s="181"/>
      <c r="OTT113" s="182"/>
      <c r="OTU113" s="181"/>
      <c r="OTV113" s="182"/>
      <c r="OTW113" s="181"/>
      <c r="OTX113" s="182"/>
      <c r="OTY113" s="181"/>
      <c r="OTZ113" s="182"/>
      <c r="OUA113" s="181"/>
      <c r="OUB113" s="182"/>
      <c r="OUC113" s="181"/>
      <c r="OUD113" s="182"/>
      <c r="OUE113" s="181"/>
      <c r="OUF113" s="182"/>
      <c r="OUG113" s="181"/>
      <c r="OUH113" s="182"/>
      <c r="OUI113" s="181"/>
      <c r="OUJ113" s="182"/>
      <c r="OUK113" s="181"/>
      <c r="OUL113" s="182"/>
      <c r="OUM113" s="181"/>
      <c r="OUN113" s="182"/>
      <c r="OUO113" s="181"/>
      <c r="OUP113" s="182"/>
      <c r="OUQ113" s="181"/>
      <c r="OUR113" s="182"/>
      <c r="OUS113" s="181"/>
      <c r="OUT113" s="182"/>
      <c r="OUU113" s="181"/>
      <c r="OUV113" s="182"/>
      <c r="OUW113" s="181"/>
      <c r="OUX113" s="182"/>
      <c r="OUY113" s="181"/>
      <c r="OUZ113" s="182"/>
      <c r="OVA113" s="181"/>
      <c r="OVB113" s="182"/>
      <c r="OVC113" s="181"/>
      <c r="OVD113" s="182"/>
      <c r="OVE113" s="181"/>
      <c r="OVF113" s="182"/>
      <c r="OVG113" s="181"/>
      <c r="OVH113" s="182"/>
      <c r="OVI113" s="181"/>
      <c r="OVJ113" s="182"/>
      <c r="OVK113" s="181"/>
      <c r="OVL113" s="182"/>
      <c r="OVM113" s="181"/>
      <c r="OVN113" s="182"/>
      <c r="OVO113" s="181"/>
      <c r="OVP113" s="182"/>
      <c r="OVQ113" s="181"/>
      <c r="OVR113" s="182"/>
      <c r="OVS113" s="181"/>
      <c r="OVT113" s="182"/>
      <c r="OVU113" s="181"/>
      <c r="OVV113" s="182"/>
      <c r="OVW113" s="181"/>
      <c r="OVX113" s="182"/>
      <c r="OVY113" s="181"/>
      <c r="OVZ113" s="182"/>
      <c r="OWA113" s="181"/>
      <c r="OWB113" s="182"/>
      <c r="OWC113" s="181"/>
      <c r="OWD113" s="182"/>
      <c r="OWE113" s="181"/>
      <c r="OWF113" s="182"/>
      <c r="OWG113" s="181"/>
      <c r="OWH113" s="182"/>
      <c r="OWI113" s="181"/>
      <c r="OWJ113" s="182"/>
      <c r="OWK113" s="181"/>
      <c r="OWL113" s="182"/>
      <c r="OWM113" s="181"/>
      <c r="OWN113" s="182"/>
      <c r="OWO113" s="181"/>
      <c r="OWP113" s="182"/>
      <c r="OWQ113" s="181"/>
      <c r="OWR113" s="182"/>
      <c r="OWS113" s="181"/>
      <c r="OWT113" s="182"/>
      <c r="OWU113" s="181"/>
      <c r="OWV113" s="182"/>
      <c r="OWW113" s="181"/>
      <c r="OWX113" s="182"/>
      <c r="OWY113" s="181"/>
      <c r="OWZ113" s="182"/>
      <c r="OXA113" s="181"/>
      <c r="OXB113" s="182"/>
      <c r="OXC113" s="181"/>
      <c r="OXD113" s="182"/>
      <c r="OXE113" s="181"/>
      <c r="OXF113" s="182"/>
      <c r="OXG113" s="181"/>
      <c r="OXH113" s="182"/>
      <c r="OXI113" s="181"/>
      <c r="OXJ113" s="182"/>
      <c r="OXK113" s="181"/>
      <c r="OXL113" s="182"/>
      <c r="OXM113" s="181"/>
      <c r="OXN113" s="182"/>
      <c r="OXO113" s="181"/>
      <c r="OXP113" s="182"/>
      <c r="OXQ113" s="181"/>
      <c r="OXR113" s="182"/>
      <c r="OXS113" s="181"/>
      <c r="OXT113" s="182"/>
      <c r="OXU113" s="181"/>
      <c r="OXV113" s="182"/>
      <c r="OXW113" s="181"/>
      <c r="OXX113" s="182"/>
      <c r="OXY113" s="181"/>
      <c r="OXZ113" s="182"/>
      <c r="OYA113" s="181"/>
      <c r="OYB113" s="182"/>
      <c r="OYC113" s="181"/>
      <c r="OYD113" s="182"/>
      <c r="OYE113" s="181"/>
      <c r="OYF113" s="182"/>
      <c r="OYG113" s="181"/>
      <c r="OYH113" s="182"/>
      <c r="OYI113" s="181"/>
      <c r="OYJ113" s="182"/>
      <c r="OYK113" s="181"/>
      <c r="OYL113" s="182"/>
      <c r="OYM113" s="181"/>
      <c r="OYN113" s="182"/>
      <c r="OYO113" s="181"/>
      <c r="OYP113" s="182"/>
      <c r="OYQ113" s="181"/>
      <c r="OYR113" s="182"/>
      <c r="OYS113" s="181"/>
      <c r="OYT113" s="182"/>
      <c r="OYU113" s="181"/>
      <c r="OYV113" s="182"/>
      <c r="OYW113" s="181"/>
      <c r="OYX113" s="182"/>
      <c r="OYY113" s="181"/>
      <c r="OYZ113" s="182"/>
      <c r="OZA113" s="181"/>
      <c r="OZB113" s="182"/>
      <c r="OZC113" s="181"/>
      <c r="OZD113" s="182"/>
      <c r="OZE113" s="181"/>
      <c r="OZF113" s="182"/>
      <c r="OZG113" s="181"/>
      <c r="OZH113" s="182"/>
      <c r="OZI113" s="181"/>
      <c r="OZJ113" s="182"/>
      <c r="OZK113" s="181"/>
      <c r="OZL113" s="182"/>
      <c r="OZM113" s="181"/>
      <c r="OZN113" s="182"/>
      <c r="OZO113" s="181"/>
      <c r="OZP113" s="182"/>
      <c r="OZQ113" s="181"/>
      <c r="OZR113" s="182"/>
      <c r="OZS113" s="181"/>
      <c r="OZT113" s="182"/>
      <c r="OZU113" s="181"/>
      <c r="OZV113" s="182"/>
      <c r="OZW113" s="181"/>
      <c r="OZX113" s="182"/>
      <c r="OZY113" s="181"/>
      <c r="OZZ113" s="182"/>
      <c r="PAA113" s="181"/>
      <c r="PAB113" s="182"/>
      <c r="PAC113" s="181"/>
      <c r="PAD113" s="182"/>
      <c r="PAE113" s="181"/>
      <c r="PAF113" s="182"/>
      <c r="PAG113" s="181"/>
      <c r="PAH113" s="182"/>
      <c r="PAI113" s="181"/>
      <c r="PAJ113" s="182"/>
      <c r="PAK113" s="181"/>
      <c r="PAL113" s="182"/>
      <c r="PAM113" s="181"/>
      <c r="PAN113" s="182"/>
      <c r="PAO113" s="181"/>
      <c r="PAP113" s="182"/>
      <c r="PAQ113" s="181"/>
      <c r="PAR113" s="182"/>
      <c r="PAS113" s="181"/>
      <c r="PAT113" s="182"/>
      <c r="PAU113" s="181"/>
      <c r="PAV113" s="182"/>
      <c r="PAW113" s="181"/>
      <c r="PAX113" s="182"/>
      <c r="PAY113" s="181"/>
      <c r="PAZ113" s="182"/>
      <c r="PBA113" s="181"/>
      <c r="PBB113" s="182"/>
      <c r="PBC113" s="181"/>
      <c r="PBD113" s="182"/>
      <c r="PBE113" s="181"/>
      <c r="PBF113" s="182"/>
      <c r="PBG113" s="181"/>
      <c r="PBH113" s="182"/>
      <c r="PBI113" s="181"/>
      <c r="PBJ113" s="182"/>
      <c r="PBK113" s="181"/>
      <c r="PBL113" s="182"/>
      <c r="PBM113" s="181"/>
      <c r="PBN113" s="182"/>
      <c r="PBO113" s="181"/>
      <c r="PBP113" s="182"/>
      <c r="PBQ113" s="181"/>
      <c r="PBR113" s="182"/>
      <c r="PBS113" s="181"/>
      <c r="PBT113" s="182"/>
      <c r="PBU113" s="181"/>
      <c r="PBV113" s="182"/>
      <c r="PBW113" s="181"/>
      <c r="PBX113" s="182"/>
      <c r="PBY113" s="181"/>
      <c r="PBZ113" s="182"/>
      <c r="PCA113" s="181"/>
      <c r="PCB113" s="182"/>
      <c r="PCC113" s="181"/>
      <c r="PCD113" s="182"/>
      <c r="PCE113" s="181"/>
      <c r="PCF113" s="182"/>
      <c r="PCG113" s="181"/>
      <c r="PCH113" s="182"/>
      <c r="PCI113" s="181"/>
      <c r="PCJ113" s="182"/>
      <c r="PCK113" s="181"/>
      <c r="PCL113" s="182"/>
      <c r="PCM113" s="181"/>
      <c r="PCN113" s="182"/>
      <c r="PCO113" s="181"/>
      <c r="PCP113" s="182"/>
      <c r="PCQ113" s="181"/>
      <c r="PCR113" s="182"/>
      <c r="PCS113" s="181"/>
      <c r="PCT113" s="182"/>
      <c r="PCU113" s="181"/>
      <c r="PCV113" s="182"/>
      <c r="PCW113" s="181"/>
      <c r="PCX113" s="182"/>
      <c r="PCY113" s="181"/>
      <c r="PCZ113" s="182"/>
      <c r="PDA113" s="181"/>
      <c r="PDB113" s="182"/>
      <c r="PDC113" s="181"/>
      <c r="PDD113" s="182"/>
      <c r="PDE113" s="181"/>
      <c r="PDF113" s="182"/>
      <c r="PDG113" s="181"/>
      <c r="PDH113" s="182"/>
      <c r="PDI113" s="181"/>
      <c r="PDJ113" s="182"/>
      <c r="PDK113" s="181"/>
      <c r="PDL113" s="182"/>
      <c r="PDM113" s="181"/>
      <c r="PDN113" s="182"/>
      <c r="PDO113" s="181"/>
      <c r="PDP113" s="182"/>
      <c r="PDQ113" s="181"/>
      <c r="PDR113" s="182"/>
      <c r="PDS113" s="181"/>
      <c r="PDT113" s="182"/>
      <c r="PDU113" s="181"/>
      <c r="PDV113" s="182"/>
      <c r="PDW113" s="181"/>
      <c r="PDX113" s="182"/>
      <c r="PDY113" s="181"/>
      <c r="PDZ113" s="182"/>
      <c r="PEA113" s="181"/>
      <c r="PEB113" s="182"/>
      <c r="PEC113" s="181"/>
      <c r="PED113" s="182"/>
      <c r="PEE113" s="181"/>
      <c r="PEF113" s="182"/>
      <c r="PEG113" s="181"/>
      <c r="PEH113" s="182"/>
      <c r="PEI113" s="181"/>
      <c r="PEJ113" s="182"/>
      <c r="PEK113" s="181"/>
      <c r="PEL113" s="182"/>
      <c r="PEM113" s="181"/>
      <c r="PEN113" s="182"/>
      <c r="PEO113" s="181"/>
      <c r="PEP113" s="182"/>
      <c r="PEQ113" s="181"/>
      <c r="PER113" s="182"/>
      <c r="PES113" s="181"/>
      <c r="PET113" s="182"/>
      <c r="PEU113" s="181"/>
      <c r="PEV113" s="182"/>
      <c r="PEW113" s="181"/>
      <c r="PEX113" s="182"/>
      <c r="PEY113" s="181"/>
      <c r="PEZ113" s="182"/>
      <c r="PFA113" s="181"/>
      <c r="PFB113" s="182"/>
      <c r="PFC113" s="181"/>
      <c r="PFD113" s="182"/>
      <c r="PFE113" s="181"/>
      <c r="PFF113" s="182"/>
      <c r="PFG113" s="181"/>
      <c r="PFH113" s="182"/>
      <c r="PFI113" s="181"/>
      <c r="PFJ113" s="182"/>
      <c r="PFK113" s="181"/>
      <c r="PFL113" s="182"/>
      <c r="PFM113" s="181"/>
      <c r="PFN113" s="182"/>
      <c r="PFO113" s="181"/>
      <c r="PFP113" s="182"/>
      <c r="PFQ113" s="181"/>
      <c r="PFR113" s="182"/>
      <c r="PFS113" s="181"/>
      <c r="PFT113" s="182"/>
      <c r="PFU113" s="181"/>
      <c r="PFV113" s="182"/>
      <c r="PFW113" s="181"/>
      <c r="PFX113" s="182"/>
      <c r="PFY113" s="181"/>
      <c r="PFZ113" s="182"/>
      <c r="PGA113" s="181"/>
      <c r="PGB113" s="182"/>
      <c r="PGC113" s="181"/>
      <c r="PGD113" s="182"/>
      <c r="PGE113" s="181"/>
      <c r="PGF113" s="182"/>
      <c r="PGG113" s="181"/>
      <c r="PGH113" s="182"/>
      <c r="PGI113" s="181"/>
      <c r="PGJ113" s="182"/>
      <c r="PGK113" s="181"/>
      <c r="PGL113" s="182"/>
      <c r="PGM113" s="181"/>
      <c r="PGN113" s="182"/>
      <c r="PGO113" s="181"/>
      <c r="PGP113" s="182"/>
      <c r="PGQ113" s="181"/>
      <c r="PGR113" s="182"/>
      <c r="PGS113" s="181"/>
      <c r="PGT113" s="182"/>
      <c r="PGU113" s="181"/>
      <c r="PGV113" s="182"/>
      <c r="PGW113" s="181"/>
      <c r="PGX113" s="182"/>
      <c r="PGY113" s="181"/>
      <c r="PGZ113" s="182"/>
      <c r="PHA113" s="181"/>
      <c r="PHB113" s="182"/>
      <c r="PHC113" s="181"/>
      <c r="PHD113" s="182"/>
      <c r="PHE113" s="181"/>
      <c r="PHF113" s="182"/>
      <c r="PHG113" s="181"/>
      <c r="PHH113" s="182"/>
      <c r="PHI113" s="181"/>
      <c r="PHJ113" s="182"/>
      <c r="PHK113" s="181"/>
      <c r="PHL113" s="182"/>
      <c r="PHM113" s="181"/>
      <c r="PHN113" s="182"/>
      <c r="PHO113" s="181"/>
      <c r="PHP113" s="182"/>
      <c r="PHQ113" s="181"/>
      <c r="PHR113" s="182"/>
      <c r="PHS113" s="181"/>
      <c r="PHT113" s="182"/>
      <c r="PHU113" s="181"/>
      <c r="PHV113" s="182"/>
      <c r="PHW113" s="181"/>
      <c r="PHX113" s="182"/>
      <c r="PHY113" s="181"/>
      <c r="PHZ113" s="182"/>
      <c r="PIA113" s="181"/>
      <c r="PIB113" s="182"/>
      <c r="PIC113" s="181"/>
      <c r="PID113" s="182"/>
      <c r="PIE113" s="181"/>
      <c r="PIF113" s="182"/>
      <c r="PIG113" s="181"/>
      <c r="PIH113" s="182"/>
      <c r="PII113" s="181"/>
      <c r="PIJ113" s="182"/>
      <c r="PIK113" s="181"/>
      <c r="PIL113" s="182"/>
      <c r="PIM113" s="181"/>
      <c r="PIN113" s="182"/>
      <c r="PIO113" s="181"/>
      <c r="PIP113" s="182"/>
      <c r="PIQ113" s="181"/>
      <c r="PIR113" s="182"/>
      <c r="PIS113" s="181"/>
      <c r="PIT113" s="182"/>
      <c r="PIU113" s="181"/>
      <c r="PIV113" s="182"/>
      <c r="PIW113" s="181"/>
      <c r="PIX113" s="182"/>
      <c r="PIY113" s="181"/>
      <c r="PIZ113" s="182"/>
      <c r="PJA113" s="181"/>
      <c r="PJB113" s="182"/>
      <c r="PJC113" s="181"/>
      <c r="PJD113" s="182"/>
      <c r="PJE113" s="181"/>
      <c r="PJF113" s="182"/>
      <c r="PJG113" s="181"/>
      <c r="PJH113" s="182"/>
      <c r="PJI113" s="181"/>
      <c r="PJJ113" s="182"/>
      <c r="PJK113" s="181"/>
      <c r="PJL113" s="182"/>
      <c r="PJM113" s="181"/>
      <c r="PJN113" s="182"/>
      <c r="PJO113" s="181"/>
      <c r="PJP113" s="182"/>
      <c r="PJQ113" s="181"/>
      <c r="PJR113" s="182"/>
      <c r="PJS113" s="181"/>
      <c r="PJT113" s="182"/>
      <c r="PJU113" s="181"/>
      <c r="PJV113" s="182"/>
      <c r="PJW113" s="181"/>
      <c r="PJX113" s="182"/>
      <c r="PJY113" s="181"/>
      <c r="PJZ113" s="182"/>
      <c r="PKA113" s="181"/>
      <c r="PKB113" s="182"/>
      <c r="PKC113" s="181"/>
      <c r="PKD113" s="182"/>
      <c r="PKE113" s="181"/>
      <c r="PKF113" s="182"/>
      <c r="PKG113" s="181"/>
      <c r="PKH113" s="182"/>
      <c r="PKI113" s="181"/>
      <c r="PKJ113" s="182"/>
      <c r="PKK113" s="181"/>
      <c r="PKL113" s="182"/>
      <c r="PKM113" s="181"/>
      <c r="PKN113" s="182"/>
      <c r="PKO113" s="181"/>
      <c r="PKP113" s="182"/>
      <c r="PKQ113" s="181"/>
      <c r="PKR113" s="182"/>
      <c r="PKS113" s="181"/>
      <c r="PKT113" s="182"/>
      <c r="PKU113" s="181"/>
      <c r="PKV113" s="182"/>
      <c r="PKW113" s="181"/>
      <c r="PKX113" s="182"/>
      <c r="PKY113" s="181"/>
      <c r="PKZ113" s="182"/>
      <c r="PLA113" s="181"/>
      <c r="PLB113" s="182"/>
      <c r="PLC113" s="181"/>
      <c r="PLD113" s="182"/>
      <c r="PLE113" s="181"/>
      <c r="PLF113" s="182"/>
      <c r="PLG113" s="181"/>
      <c r="PLH113" s="182"/>
      <c r="PLI113" s="181"/>
      <c r="PLJ113" s="182"/>
      <c r="PLK113" s="181"/>
      <c r="PLL113" s="182"/>
      <c r="PLM113" s="181"/>
      <c r="PLN113" s="182"/>
      <c r="PLO113" s="181"/>
      <c r="PLP113" s="182"/>
      <c r="PLQ113" s="181"/>
      <c r="PLR113" s="182"/>
      <c r="PLS113" s="181"/>
      <c r="PLT113" s="182"/>
      <c r="PLU113" s="181"/>
      <c r="PLV113" s="182"/>
      <c r="PLW113" s="181"/>
      <c r="PLX113" s="182"/>
      <c r="PLY113" s="181"/>
      <c r="PLZ113" s="182"/>
      <c r="PMA113" s="181"/>
      <c r="PMB113" s="182"/>
      <c r="PMC113" s="181"/>
      <c r="PMD113" s="182"/>
      <c r="PME113" s="181"/>
      <c r="PMF113" s="182"/>
      <c r="PMG113" s="181"/>
      <c r="PMH113" s="182"/>
      <c r="PMI113" s="181"/>
      <c r="PMJ113" s="182"/>
      <c r="PMK113" s="181"/>
      <c r="PML113" s="182"/>
      <c r="PMM113" s="181"/>
      <c r="PMN113" s="182"/>
      <c r="PMO113" s="181"/>
      <c r="PMP113" s="182"/>
      <c r="PMQ113" s="181"/>
      <c r="PMR113" s="182"/>
      <c r="PMS113" s="181"/>
      <c r="PMT113" s="182"/>
      <c r="PMU113" s="181"/>
      <c r="PMV113" s="182"/>
      <c r="PMW113" s="181"/>
      <c r="PMX113" s="182"/>
      <c r="PMY113" s="181"/>
      <c r="PMZ113" s="182"/>
      <c r="PNA113" s="181"/>
      <c r="PNB113" s="182"/>
      <c r="PNC113" s="181"/>
      <c r="PND113" s="182"/>
      <c r="PNE113" s="181"/>
      <c r="PNF113" s="182"/>
      <c r="PNG113" s="181"/>
      <c r="PNH113" s="182"/>
      <c r="PNI113" s="181"/>
      <c r="PNJ113" s="182"/>
      <c r="PNK113" s="181"/>
      <c r="PNL113" s="182"/>
      <c r="PNM113" s="181"/>
      <c r="PNN113" s="182"/>
      <c r="PNO113" s="181"/>
      <c r="PNP113" s="182"/>
      <c r="PNQ113" s="181"/>
      <c r="PNR113" s="182"/>
      <c r="PNS113" s="181"/>
      <c r="PNT113" s="182"/>
      <c r="PNU113" s="181"/>
      <c r="PNV113" s="182"/>
      <c r="PNW113" s="181"/>
      <c r="PNX113" s="182"/>
      <c r="PNY113" s="181"/>
      <c r="PNZ113" s="182"/>
      <c r="POA113" s="181"/>
      <c r="POB113" s="182"/>
      <c r="POC113" s="181"/>
      <c r="POD113" s="182"/>
      <c r="POE113" s="181"/>
      <c r="POF113" s="182"/>
      <c r="POG113" s="181"/>
      <c r="POH113" s="182"/>
      <c r="POI113" s="181"/>
      <c r="POJ113" s="182"/>
      <c r="POK113" s="181"/>
      <c r="POL113" s="182"/>
      <c r="POM113" s="181"/>
      <c r="PON113" s="182"/>
      <c r="POO113" s="181"/>
      <c r="POP113" s="182"/>
      <c r="POQ113" s="181"/>
      <c r="POR113" s="182"/>
      <c r="POS113" s="181"/>
      <c r="POT113" s="182"/>
      <c r="POU113" s="181"/>
      <c r="POV113" s="182"/>
      <c r="POW113" s="181"/>
      <c r="POX113" s="182"/>
      <c r="POY113" s="181"/>
      <c r="POZ113" s="182"/>
      <c r="PPA113" s="181"/>
      <c r="PPB113" s="182"/>
      <c r="PPC113" s="181"/>
      <c r="PPD113" s="182"/>
      <c r="PPE113" s="181"/>
      <c r="PPF113" s="182"/>
      <c r="PPG113" s="181"/>
      <c r="PPH113" s="182"/>
      <c r="PPI113" s="181"/>
      <c r="PPJ113" s="182"/>
      <c r="PPK113" s="181"/>
      <c r="PPL113" s="182"/>
      <c r="PPM113" s="181"/>
      <c r="PPN113" s="182"/>
      <c r="PPO113" s="181"/>
      <c r="PPP113" s="182"/>
      <c r="PPQ113" s="181"/>
      <c r="PPR113" s="182"/>
      <c r="PPS113" s="181"/>
      <c r="PPT113" s="182"/>
      <c r="PPU113" s="181"/>
      <c r="PPV113" s="182"/>
      <c r="PPW113" s="181"/>
      <c r="PPX113" s="182"/>
      <c r="PPY113" s="181"/>
      <c r="PPZ113" s="182"/>
      <c r="PQA113" s="181"/>
      <c r="PQB113" s="182"/>
      <c r="PQC113" s="181"/>
      <c r="PQD113" s="182"/>
      <c r="PQE113" s="181"/>
      <c r="PQF113" s="182"/>
      <c r="PQG113" s="181"/>
      <c r="PQH113" s="182"/>
      <c r="PQI113" s="181"/>
      <c r="PQJ113" s="182"/>
      <c r="PQK113" s="181"/>
      <c r="PQL113" s="182"/>
      <c r="PQM113" s="181"/>
      <c r="PQN113" s="182"/>
      <c r="PQO113" s="181"/>
      <c r="PQP113" s="182"/>
      <c r="PQQ113" s="181"/>
      <c r="PQR113" s="182"/>
      <c r="PQS113" s="181"/>
      <c r="PQT113" s="182"/>
      <c r="PQU113" s="181"/>
      <c r="PQV113" s="182"/>
      <c r="PQW113" s="181"/>
      <c r="PQX113" s="182"/>
      <c r="PQY113" s="181"/>
      <c r="PQZ113" s="182"/>
      <c r="PRA113" s="181"/>
      <c r="PRB113" s="182"/>
      <c r="PRC113" s="181"/>
      <c r="PRD113" s="182"/>
      <c r="PRE113" s="181"/>
      <c r="PRF113" s="182"/>
      <c r="PRG113" s="181"/>
      <c r="PRH113" s="182"/>
      <c r="PRI113" s="181"/>
      <c r="PRJ113" s="182"/>
      <c r="PRK113" s="181"/>
      <c r="PRL113" s="182"/>
      <c r="PRM113" s="181"/>
      <c r="PRN113" s="182"/>
      <c r="PRO113" s="181"/>
      <c r="PRP113" s="182"/>
      <c r="PRQ113" s="181"/>
      <c r="PRR113" s="182"/>
      <c r="PRS113" s="181"/>
      <c r="PRT113" s="182"/>
      <c r="PRU113" s="181"/>
      <c r="PRV113" s="182"/>
      <c r="PRW113" s="181"/>
      <c r="PRX113" s="182"/>
      <c r="PRY113" s="181"/>
      <c r="PRZ113" s="182"/>
      <c r="PSA113" s="181"/>
      <c r="PSB113" s="182"/>
      <c r="PSC113" s="181"/>
      <c r="PSD113" s="182"/>
      <c r="PSE113" s="181"/>
      <c r="PSF113" s="182"/>
      <c r="PSG113" s="181"/>
      <c r="PSH113" s="182"/>
      <c r="PSI113" s="181"/>
      <c r="PSJ113" s="182"/>
      <c r="PSK113" s="181"/>
      <c r="PSL113" s="182"/>
      <c r="PSM113" s="181"/>
      <c r="PSN113" s="182"/>
      <c r="PSO113" s="181"/>
      <c r="PSP113" s="182"/>
      <c r="PSQ113" s="181"/>
      <c r="PSR113" s="182"/>
      <c r="PSS113" s="181"/>
      <c r="PST113" s="182"/>
      <c r="PSU113" s="181"/>
      <c r="PSV113" s="182"/>
      <c r="PSW113" s="181"/>
      <c r="PSX113" s="182"/>
      <c r="PSY113" s="181"/>
      <c r="PSZ113" s="182"/>
      <c r="PTA113" s="181"/>
      <c r="PTB113" s="182"/>
      <c r="PTC113" s="181"/>
      <c r="PTD113" s="182"/>
      <c r="PTE113" s="181"/>
      <c r="PTF113" s="182"/>
      <c r="PTG113" s="181"/>
      <c r="PTH113" s="182"/>
      <c r="PTI113" s="181"/>
      <c r="PTJ113" s="182"/>
      <c r="PTK113" s="181"/>
      <c r="PTL113" s="182"/>
      <c r="PTM113" s="181"/>
      <c r="PTN113" s="182"/>
      <c r="PTO113" s="181"/>
      <c r="PTP113" s="182"/>
      <c r="PTQ113" s="181"/>
      <c r="PTR113" s="182"/>
      <c r="PTS113" s="181"/>
      <c r="PTT113" s="182"/>
      <c r="PTU113" s="181"/>
      <c r="PTV113" s="182"/>
      <c r="PTW113" s="181"/>
      <c r="PTX113" s="182"/>
      <c r="PTY113" s="181"/>
      <c r="PTZ113" s="182"/>
      <c r="PUA113" s="181"/>
      <c r="PUB113" s="182"/>
      <c r="PUC113" s="181"/>
      <c r="PUD113" s="182"/>
      <c r="PUE113" s="181"/>
      <c r="PUF113" s="182"/>
      <c r="PUG113" s="181"/>
      <c r="PUH113" s="182"/>
      <c r="PUI113" s="181"/>
      <c r="PUJ113" s="182"/>
      <c r="PUK113" s="181"/>
      <c r="PUL113" s="182"/>
      <c r="PUM113" s="181"/>
      <c r="PUN113" s="182"/>
      <c r="PUO113" s="181"/>
      <c r="PUP113" s="182"/>
      <c r="PUQ113" s="181"/>
      <c r="PUR113" s="182"/>
      <c r="PUS113" s="181"/>
      <c r="PUT113" s="182"/>
      <c r="PUU113" s="181"/>
      <c r="PUV113" s="182"/>
      <c r="PUW113" s="181"/>
      <c r="PUX113" s="182"/>
      <c r="PUY113" s="181"/>
      <c r="PUZ113" s="182"/>
      <c r="PVA113" s="181"/>
      <c r="PVB113" s="182"/>
      <c r="PVC113" s="181"/>
      <c r="PVD113" s="182"/>
      <c r="PVE113" s="181"/>
      <c r="PVF113" s="182"/>
      <c r="PVG113" s="181"/>
      <c r="PVH113" s="182"/>
      <c r="PVI113" s="181"/>
      <c r="PVJ113" s="182"/>
      <c r="PVK113" s="181"/>
      <c r="PVL113" s="182"/>
      <c r="PVM113" s="181"/>
      <c r="PVN113" s="182"/>
      <c r="PVO113" s="181"/>
      <c r="PVP113" s="182"/>
      <c r="PVQ113" s="181"/>
      <c r="PVR113" s="182"/>
      <c r="PVS113" s="181"/>
      <c r="PVT113" s="182"/>
      <c r="PVU113" s="181"/>
      <c r="PVV113" s="182"/>
      <c r="PVW113" s="181"/>
      <c r="PVX113" s="182"/>
      <c r="PVY113" s="181"/>
      <c r="PVZ113" s="182"/>
      <c r="PWA113" s="181"/>
      <c r="PWB113" s="182"/>
      <c r="PWC113" s="181"/>
      <c r="PWD113" s="182"/>
      <c r="PWE113" s="181"/>
      <c r="PWF113" s="182"/>
      <c r="PWG113" s="181"/>
      <c r="PWH113" s="182"/>
      <c r="PWI113" s="181"/>
      <c r="PWJ113" s="182"/>
      <c r="PWK113" s="181"/>
      <c r="PWL113" s="182"/>
      <c r="PWM113" s="181"/>
      <c r="PWN113" s="182"/>
      <c r="PWO113" s="181"/>
      <c r="PWP113" s="182"/>
      <c r="PWQ113" s="181"/>
      <c r="PWR113" s="182"/>
      <c r="PWS113" s="181"/>
      <c r="PWT113" s="182"/>
      <c r="PWU113" s="181"/>
      <c r="PWV113" s="182"/>
      <c r="PWW113" s="181"/>
      <c r="PWX113" s="182"/>
      <c r="PWY113" s="181"/>
      <c r="PWZ113" s="182"/>
      <c r="PXA113" s="181"/>
      <c r="PXB113" s="182"/>
      <c r="PXC113" s="181"/>
      <c r="PXD113" s="182"/>
      <c r="PXE113" s="181"/>
      <c r="PXF113" s="182"/>
      <c r="PXG113" s="181"/>
      <c r="PXH113" s="182"/>
      <c r="PXI113" s="181"/>
      <c r="PXJ113" s="182"/>
      <c r="PXK113" s="181"/>
      <c r="PXL113" s="182"/>
      <c r="PXM113" s="181"/>
      <c r="PXN113" s="182"/>
      <c r="PXO113" s="181"/>
      <c r="PXP113" s="182"/>
      <c r="PXQ113" s="181"/>
      <c r="PXR113" s="182"/>
      <c r="PXS113" s="181"/>
      <c r="PXT113" s="182"/>
      <c r="PXU113" s="181"/>
      <c r="PXV113" s="182"/>
      <c r="PXW113" s="181"/>
      <c r="PXX113" s="182"/>
      <c r="PXY113" s="181"/>
      <c r="PXZ113" s="182"/>
      <c r="PYA113" s="181"/>
      <c r="PYB113" s="182"/>
      <c r="PYC113" s="181"/>
      <c r="PYD113" s="182"/>
      <c r="PYE113" s="181"/>
      <c r="PYF113" s="182"/>
      <c r="PYG113" s="181"/>
      <c r="PYH113" s="182"/>
      <c r="PYI113" s="181"/>
      <c r="PYJ113" s="182"/>
      <c r="PYK113" s="181"/>
      <c r="PYL113" s="182"/>
      <c r="PYM113" s="181"/>
      <c r="PYN113" s="182"/>
      <c r="PYO113" s="181"/>
      <c r="PYP113" s="182"/>
      <c r="PYQ113" s="181"/>
      <c r="PYR113" s="182"/>
      <c r="PYS113" s="181"/>
      <c r="PYT113" s="182"/>
      <c r="PYU113" s="181"/>
      <c r="PYV113" s="182"/>
      <c r="PYW113" s="181"/>
      <c r="PYX113" s="182"/>
      <c r="PYY113" s="181"/>
      <c r="PYZ113" s="182"/>
      <c r="PZA113" s="181"/>
      <c r="PZB113" s="182"/>
      <c r="PZC113" s="181"/>
      <c r="PZD113" s="182"/>
      <c r="PZE113" s="181"/>
      <c r="PZF113" s="182"/>
      <c r="PZG113" s="181"/>
      <c r="PZH113" s="182"/>
      <c r="PZI113" s="181"/>
      <c r="PZJ113" s="182"/>
      <c r="PZK113" s="181"/>
      <c r="PZL113" s="182"/>
      <c r="PZM113" s="181"/>
      <c r="PZN113" s="182"/>
      <c r="PZO113" s="181"/>
      <c r="PZP113" s="182"/>
      <c r="PZQ113" s="181"/>
      <c r="PZR113" s="182"/>
      <c r="PZS113" s="181"/>
      <c r="PZT113" s="182"/>
      <c r="PZU113" s="181"/>
      <c r="PZV113" s="182"/>
      <c r="PZW113" s="181"/>
      <c r="PZX113" s="182"/>
      <c r="PZY113" s="181"/>
      <c r="PZZ113" s="182"/>
      <c r="QAA113" s="181"/>
      <c r="QAB113" s="182"/>
      <c r="QAC113" s="181"/>
      <c r="QAD113" s="182"/>
      <c r="QAE113" s="181"/>
      <c r="QAF113" s="182"/>
      <c r="QAG113" s="181"/>
      <c r="QAH113" s="182"/>
      <c r="QAI113" s="181"/>
      <c r="QAJ113" s="182"/>
      <c r="QAK113" s="181"/>
      <c r="QAL113" s="182"/>
      <c r="QAM113" s="181"/>
      <c r="QAN113" s="182"/>
      <c r="QAO113" s="181"/>
      <c r="QAP113" s="182"/>
      <c r="QAQ113" s="181"/>
      <c r="QAR113" s="182"/>
      <c r="QAS113" s="181"/>
      <c r="QAT113" s="182"/>
      <c r="QAU113" s="181"/>
      <c r="QAV113" s="182"/>
      <c r="QAW113" s="181"/>
      <c r="QAX113" s="182"/>
      <c r="QAY113" s="181"/>
      <c r="QAZ113" s="182"/>
      <c r="QBA113" s="181"/>
      <c r="QBB113" s="182"/>
      <c r="QBC113" s="181"/>
      <c r="QBD113" s="182"/>
      <c r="QBE113" s="181"/>
      <c r="QBF113" s="182"/>
      <c r="QBG113" s="181"/>
      <c r="QBH113" s="182"/>
      <c r="QBI113" s="181"/>
      <c r="QBJ113" s="182"/>
      <c r="QBK113" s="181"/>
      <c r="QBL113" s="182"/>
      <c r="QBM113" s="181"/>
      <c r="QBN113" s="182"/>
      <c r="QBO113" s="181"/>
      <c r="QBP113" s="182"/>
      <c r="QBQ113" s="181"/>
      <c r="QBR113" s="182"/>
      <c r="QBS113" s="181"/>
      <c r="QBT113" s="182"/>
      <c r="QBU113" s="181"/>
      <c r="QBV113" s="182"/>
      <c r="QBW113" s="181"/>
      <c r="QBX113" s="182"/>
      <c r="QBY113" s="181"/>
      <c r="QBZ113" s="182"/>
      <c r="QCA113" s="181"/>
      <c r="QCB113" s="182"/>
      <c r="QCC113" s="181"/>
      <c r="QCD113" s="182"/>
      <c r="QCE113" s="181"/>
      <c r="QCF113" s="182"/>
      <c r="QCG113" s="181"/>
      <c r="QCH113" s="182"/>
      <c r="QCI113" s="181"/>
      <c r="QCJ113" s="182"/>
      <c r="QCK113" s="181"/>
      <c r="QCL113" s="182"/>
      <c r="QCM113" s="181"/>
      <c r="QCN113" s="182"/>
      <c r="QCO113" s="181"/>
      <c r="QCP113" s="182"/>
      <c r="QCQ113" s="181"/>
      <c r="QCR113" s="182"/>
      <c r="QCS113" s="181"/>
      <c r="QCT113" s="182"/>
      <c r="QCU113" s="181"/>
      <c r="QCV113" s="182"/>
      <c r="QCW113" s="181"/>
      <c r="QCX113" s="182"/>
      <c r="QCY113" s="181"/>
      <c r="QCZ113" s="182"/>
      <c r="QDA113" s="181"/>
      <c r="QDB113" s="182"/>
      <c r="QDC113" s="181"/>
      <c r="QDD113" s="182"/>
      <c r="QDE113" s="181"/>
      <c r="QDF113" s="182"/>
      <c r="QDG113" s="181"/>
      <c r="QDH113" s="182"/>
      <c r="QDI113" s="181"/>
      <c r="QDJ113" s="182"/>
      <c r="QDK113" s="181"/>
      <c r="QDL113" s="182"/>
      <c r="QDM113" s="181"/>
      <c r="QDN113" s="182"/>
      <c r="QDO113" s="181"/>
      <c r="QDP113" s="182"/>
      <c r="QDQ113" s="181"/>
      <c r="QDR113" s="182"/>
      <c r="QDS113" s="181"/>
      <c r="QDT113" s="182"/>
      <c r="QDU113" s="181"/>
      <c r="QDV113" s="182"/>
      <c r="QDW113" s="181"/>
      <c r="QDX113" s="182"/>
      <c r="QDY113" s="181"/>
      <c r="QDZ113" s="182"/>
      <c r="QEA113" s="181"/>
      <c r="QEB113" s="182"/>
      <c r="QEC113" s="181"/>
      <c r="QED113" s="182"/>
      <c r="QEE113" s="181"/>
      <c r="QEF113" s="182"/>
      <c r="QEG113" s="181"/>
      <c r="QEH113" s="182"/>
      <c r="QEI113" s="181"/>
      <c r="QEJ113" s="182"/>
      <c r="QEK113" s="181"/>
      <c r="QEL113" s="182"/>
      <c r="QEM113" s="181"/>
      <c r="QEN113" s="182"/>
      <c r="QEO113" s="181"/>
      <c r="QEP113" s="182"/>
      <c r="QEQ113" s="181"/>
      <c r="QER113" s="182"/>
      <c r="QES113" s="181"/>
      <c r="QET113" s="182"/>
      <c r="QEU113" s="181"/>
      <c r="QEV113" s="182"/>
      <c r="QEW113" s="181"/>
      <c r="QEX113" s="182"/>
      <c r="QEY113" s="181"/>
      <c r="QEZ113" s="182"/>
      <c r="QFA113" s="181"/>
      <c r="QFB113" s="182"/>
      <c r="QFC113" s="181"/>
      <c r="QFD113" s="182"/>
      <c r="QFE113" s="181"/>
      <c r="QFF113" s="182"/>
      <c r="QFG113" s="181"/>
      <c r="QFH113" s="182"/>
      <c r="QFI113" s="181"/>
      <c r="QFJ113" s="182"/>
      <c r="QFK113" s="181"/>
      <c r="QFL113" s="182"/>
      <c r="QFM113" s="181"/>
      <c r="QFN113" s="182"/>
      <c r="QFO113" s="181"/>
      <c r="QFP113" s="182"/>
      <c r="QFQ113" s="181"/>
      <c r="QFR113" s="182"/>
      <c r="QFS113" s="181"/>
      <c r="QFT113" s="182"/>
      <c r="QFU113" s="181"/>
      <c r="QFV113" s="182"/>
      <c r="QFW113" s="181"/>
      <c r="QFX113" s="182"/>
      <c r="QFY113" s="181"/>
      <c r="QFZ113" s="182"/>
      <c r="QGA113" s="181"/>
      <c r="QGB113" s="182"/>
      <c r="QGC113" s="181"/>
      <c r="QGD113" s="182"/>
      <c r="QGE113" s="181"/>
      <c r="QGF113" s="182"/>
      <c r="QGG113" s="181"/>
      <c r="QGH113" s="182"/>
      <c r="QGI113" s="181"/>
      <c r="QGJ113" s="182"/>
      <c r="QGK113" s="181"/>
      <c r="QGL113" s="182"/>
      <c r="QGM113" s="181"/>
      <c r="QGN113" s="182"/>
      <c r="QGO113" s="181"/>
      <c r="QGP113" s="182"/>
      <c r="QGQ113" s="181"/>
      <c r="QGR113" s="182"/>
      <c r="QGS113" s="181"/>
      <c r="QGT113" s="182"/>
      <c r="QGU113" s="181"/>
      <c r="QGV113" s="182"/>
      <c r="QGW113" s="181"/>
      <c r="QGX113" s="182"/>
      <c r="QGY113" s="181"/>
      <c r="QGZ113" s="182"/>
      <c r="QHA113" s="181"/>
      <c r="QHB113" s="182"/>
      <c r="QHC113" s="181"/>
      <c r="QHD113" s="182"/>
      <c r="QHE113" s="181"/>
      <c r="QHF113" s="182"/>
      <c r="QHG113" s="181"/>
      <c r="QHH113" s="182"/>
      <c r="QHI113" s="181"/>
      <c r="QHJ113" s="182"/>
      <c r="QHK113" s="181"/>
      <c r="QHL113" s="182"/>
      <c r="QHM113" s="181"/>
      <c r="QHN113" s="182"/>
      <c r="QHO113" s="181"/>
      <c r="QHP113" s="182"/>
      <c r="QHQ113" s="181"/>
      <c r="QHR113" s="182"/>
      <c r="QHS113" s="181"/>
      <c r="QHT113" s="182"/>
      <c r="QHU113" s="181"/>
      <c r="QHV113" s="182"/>
      <c r="QHW113" s="181"/>
      <c r="QHX113" s="182"/>
      <c r="QHY113" s="181"/>
      <c r="QHZ113" s="182"/>
      <c r="QIA113" s="181"/>
      <c r="QIB113" s="182"/>
      <c r="QIC113" s="181"/>
      <c r="QID113" s="182"/>
      <c r="QIE113" s="181"/>
      <c r="QIF113" s="182"/>
      <c r="QIG113" s="181"/>
      <c r="QIH113" s="182"/>
      <c r="QII113" s="181"/>
      <c r="QIJ113" s="182"/>
      <c r="QIK113" s="181"/>
      <c r="QIL113" s="182"/>
      <c r="QIM113" s="181"/>
      <c r="QIN113" s="182"/>
      <c r="QIO113" s="181"/>
      <c r="QIP113" s="182"/>
      <c r="QIQ113" s="181"/>
      <c r="QIR113" s="182"/>
      <c r="QIS113" s="181"/>
      <c r="QIT113" s="182"/>
      <c r="QIU113" s="181"/>
      <c r="QIV113" s="182"/>
      <c r="QIW113" s="181"/>
      <c r="QIX113" s="182"/>
      <c r="QIY113" s="181"/>
      <c r="QIZ113" s="182"/>
      <c r="QJA113" s="181"/>
      <c r="QJB113" s="182"/>
      <c r="QJC113" s="181"/>
      <c r="QJD113" s="182"/>
      <c r="QJE113" s="181"/>
      <c r="QJF113" s="182"/>
      <c r="QJG113" s="181"/>
      <c r="QJH113" s="182"/>
      <c r="QJI113" s="181"/>
      <c r="QJJ113" s="182"/>
      <c r="QJK113" s="181"/>
      <c r="QJL113" s="182"/>
      <c r="QJM113" s="181"/>
      <c r="QJN113" s="182"/>
      <c r="QJO113" s="181"/>
      <c r="QJP113" s="182"/>
      <c r="QJQ113" s="181"/>
      <c r="QJR113" s="182"/>
      <c r="QJS113" s="181"/>
      <c r="QJT113" s="182"/>
      <c r="QJU113" s="181"/>
      <c r="QJV113" s="182"/>
      <c r="QJW113" s="181"/>
      <c r="QJX113" s="182"/>
      <c r="QJY113" s="181"/>
      <c r="QJZ113" s="182"/>
      <c r="QKA113" s="181"/>
      <c r="QKB113" s="182"/>
      <c r="QKC113" s="181"/>
      <c r="QKD113" s="182"/>
      <c r="QKE113" s="181"/>
      <c r="QKF113" s="182"/>
      <c r="QKG113" s="181"/>
      <c r="QKH113" s="182"/>
      <c r="QKI113" s="181"/>
      <c r="QKJ113" s="182"/>
      <c r="QKK113" s="181"/>
      <c r="QKL113" s="182"/>
      <c r="QKM113" s="181"/>
      <c r="QKN113" s="182"/>
      <c r="QKO113" s="181"/>
      <c r="QKP113" s="182"/>
      <c r="QKQ113" s="181"/>
      <c r="QKR113" s="182"/>
      <c r="QKS113" s="181"/>
      <c r="QKT113" s="182"/>
      <c r="QKU113" s="181"/>
      <c r="QKV113" s="182"/>
      <c r="QKW113" s="181"/>
      <c r="QKX113" s="182"/>
      <c r="QKY113" s="181"/>
      <c r="QKZ113" s="182"/>
      <c r="QLA113" s="181"/>
      <c r="QLB113" s="182"/>
      <c r="QLC113" s="181"/>
      <c r="QLD113" s="182"/>
      <c r="QLE113" s="181"/>
      <c r="QLF113" s="182"/>
      <c r="QLG113" s="181"/>
      <c r="QLH113" s="182"/>
      <c r="QLI113" s="181"/>
      <c r="QLJ113" s="182"/>
      <c r="QLK113" s="181"/>
      <c r="QLL113" s="182"/>
      <c r="QLM113" s="181"/>
      <c r="QLN113" s="182"/>
      <c r="QLO113" s="181"/>
      <c r="QLP113" s="182"/>
      <c r="QLQ113" s="181"/>
      <c r="QLR113" s="182"/>
      <c r="QLS113" s="181"/>
      <c r="QLT113" s="182"/>
      <c r="QLU113" s="181"/>
      <c r="QLV113" s="182"/>
      <c r="QLW113" s="181"/>
      <c r="QLX113" s="182"/>
      <c r="QLY113" s="181"/>
      <c r="QLZ113" s="182"/>
      <c r="QMA113" s="181"/>
      <c r="QMB113" s="182"/>
      <c r="QMC113" s="181"/>
      <c r="QMD113" s="182"/>
      <c r="QME113" s="181"/>
      <c r="QMF113" s="182"/>
      <c r="QMG113" s="181"/>
      <c r="QMH113" s="182"/>
      <c r="QMI113" s="181"/>
      <c r="QMJ113" s="182"/>
      <c r="QMK113" s="181"/>
      <c r="QML113" s="182"/>
      <c r="QMM113" s="181"/>
      <c r="QMN113" s="182"/>
      <c r="QMO113" s="181"/>
      <c r="QMP113" s="182"/>
      <c r="QMQ113" s="181"/>
      <c r="QMR113" s="182"/>
      <c r="QMS113" s="181"/>
      <c r="QMT113" s="182"/>
      <c r="QMU113" s="181"/>
      <c r="QMV113" s="182"/>
      <c r="QMW113" s="181"/>
      <c r="QMX113" s="182"/>
      <c r="QMY113" s="181"/>
      <c r="QMZ113" s="182"/>
      <c r="QNA113" s="181"/>
      <c r="QNB113" s="182"/>
      <c r="QNC113" s="181"/>
      <c r="QND113" s="182"/>
      <c r="QNE113" s="181"/>
      <c r="QNF113" s="182"/>
      <c r="QNG113" s="181"/>
      <c r="QNH113" s="182"/>
      <c r="QNI113" s="181"/>
      <c r="QNJ113" s="182"/>
      <c r="QNK113" s="181"/>
      <c r="QNL113" s="182"/>
      <c r="QNM113" s="181"/>
      <c r="QNN113" s="182"/>
      <c r="QNO113" s="181"/>
      <c r="QNP113" s="182"/>
      <c r="QNQ113" s="181"/>
      <c r="QNR113" s="182"/>
      <c r="QNS113" s="181"/>
      <c r="QNT113" s="182"/>
      <c r="QNU113" s="181"/>
      <c r="QNV113" s="182"/>
      <c r="QNW113" s="181"/>
      <c r="QNX113" s="182"/>
      <c r="QNY113" s="181"/>
      <c r="QNZ113" s="182"/>
      <c r="QOA113" s="181"/>
      <c r="QOB113" s="182"/>
      <c r="QOC113" s="181"/>
      <c r="QOD113" s="182"/>
      <c r="QOE113" s="181"/>
      <c r="QOF113" s="182"/>
      <c r="QOG113" s="181"/>
      <c r="QOH113" s="182"/>
      <c r="QOI113" s="181"/>
      <c r="QOJ113" s="182"/>
      <c r="QOK113" s="181"/>
      <c r="QOL113" s="182"/>
      <c r="QOM113" s="181"/>
      <c r="QON113" s="182"/>
      <c r="QOO113" s="181"/>
      <c r="QOP113" s="182"/>
      <c r="QOQ113" s="181"/>
      <c r="QOR113" s="182"/>
      <c r="QOS113" s="181"/>
      <c r="QOT113" s="182"/>
      <c r="QOU113" s="181"/>
      <c r="QOV113" s="182"/>
      <c r="QOW113" s="181"/>
      <c r="QOX113" s="182"/>
      <c r="QOY113" s="181"/>
      <c r="QOZ113" s="182"/>
      <c r="QPA113" s="181"/>
      <c r="QPB113" s="182"/>
      <c r="QPC113" s="181"/>
      <c r="QPD113" s="182"/>
      <c r="QPE113" s="181"/>
      <c r="QPF113" s="182"/>
      <c r="QPG113" s="181"/>
      <c r="QPH113" s="182"/>
      <c r="QPI113" s="181"/>
      <c r="QPJ113" s="182"/>
      <c r="QPK113" s="181"/>
      <c r="QPL113" s="182"/>
      <c r="QPM113" s="181"/>
      <c r="QPN113" s="182"/>
      <c r="QPO113" s="181"/>
      <c r="QPP113" s="182"/>
      <c r="QPQ113" s="181"/>
      <c r="QPR113" s="182"/>
      <c r="QPS113" s="181"/>
      <c r="QPT113" s="182"/>
      <c r="QPU113" s="181"/>
      <c r="QPV113" s="182"/>
      <c r="QPW113" s="181"/>
      <c r="QPX113" s="182"/>
      <c r="QPY113" s="181"/>
      <c r="QPZ113" s="182"/>
      <c r="QQA113" s="181"/>
      <c r="QQB113" s="182"/>
      <c r="QQC113" s="181"/>
      <c r="QQD113" s="182"/>
      <c r="QQE113" s="181"/>
      <c r="QQF113" s="182"/>
      <c r="QQG113" s="181"/>
      <c r="QQH113" s="182"/>
      <c r="QQI113" s="181"/>
      <c r="QQJ113" s="182"/>
      <c r="QQK113" s="181"/>
      <c r="QQL113" s="182"/>
      <c r="QQM113" s="181"/>
      <c r="QQN113" s="182"/>
      <c r="QQO113" s="181"/>
      <c r="QQP113" s="182"/>
      <c r="QQQ113" s="181"/>
      <c r="QQR113" s="182"/>
      <c r="QQS113" s="181"/>
      <c r="QQT113" s="182"/>
      <c r="QQU113" s="181"/>
      <c r="QQV113" s="182"/>
      <c r="QQW113" s="181"/>
      <c r="QQX113" s="182"/>
      <c r="QQY113" s="181"/>
      <c r="QQZ113" s="182"/>
      <c r="QRA113" s="181"/>
      <c r="QRB113" s="182"/>
      <c r="QRC113" s="181"/>
      <c r="QRD113" s="182"/>
      <c r="QRE113" s="181"/>
      <c r="QRF113" s="182"/>
      <c r="QRG113" s="181"/>
      <c r="QRH113" s="182"/>
      <c r="QRI113" s="181"/>
      <c r="QRJ113" s="182"/>
      <c r="QRK113" s="181"/>
      <c r="QRL113" s="182"/>
      <c r="QRM113" s="181"/>
      <c r="QRN113" s="182"/>
      <c r="QRO113" s="181"/>
      <c r="QRP113" s="182"/>
      <c r="QRQ113" s="181"/>
      <c r="QRR113" s="182"/>
      <c r="QRS113" s="181"/>
      <c r="QRT113" s="182"/>
      <c r="QRU113" s="181"/>
      <c r="QRV113" s="182"/>
      <c r="QRW113" s="181"/>
      <c r="QRX113" s="182"/>
      <c r="QRY113" s="181"/>
      <c r="QRZ113" s="182"/>
      <c r="QSA113" s="181"/>
      <c r="QSB113" s="182"/>
      <c r="QSC113" s="181"/>
      <c r="QSD113" s="182"/>
      <c r="QSE113" s="181"/>
      <c r="QSF113" s="182"/>
      <c r="QSG113" s="181"/>
      <c r="QSH113" s="182"/>
      <c r="QSI113" s="181"/>
      <c r="QSJ113" s="182"/>
      <c r="QSK113" s="181"/>
      <c r="QSL113" s="182"/>
      <c r="QSM113" s="181"/>
      <c r="QSN113" s="182"/>
      <c r="QSO113" s="181"/>
      <c r="QSP113" s="182"/>
      <c r="QSQ113" s="181"/>
      <c r="QSR113" s="182"/>
      <c r="QSS113" s="181"/>
      <c r="QST113" s="182"/>
      <c r="QSU113" s="181"/>
      <c r="QSV113" s="182"/>
      <c r="QSW113" s="181"/>
      <c r="QSX113" s="182"/>
      <c r="QSY113" s="181"/>
      <c r="QSZ113" s="182"/>
      <c r="QTA113" s="181"/>
      <c r="QTB113" s="182"/>
      <c r="QTC113" s="181"/>
      <c r="QTD113" s="182"/>
      <c r="QTE113" s="181"/>
      <c r="QTF113" s="182"/>
      <c r="QTG113" s="181"/>
      <c r="QTH113" s="182"/>
      <c r="QTI113" s="181"/>
      <c r="QTJ113" s="182"/>
      <c r="QTK113" s="181"/>
      <c r="QTL113" s="182"/>
      <c r="QTM113" s="181"/>
      <c r="QTN113" s="182"/>
      <c r="QTO113" s="181"/>
      <c r="QTP113" s="182"/>
      <c r="QTQ113" s="181"/>
      <c r="QTR113" s="182"/>
      <c r="QTS113" s="181"/>
      <c r="QTT113" s="182"/>
      <c r="QTU113" s="181"/>
      <c r="QTV113" s="182"/>
      <c r="QTW113" s="181"/>
      <c r="QTX113" s="182"/>
      <c r="QTY113" s="181"/>
      <c r="QTZ113" s="182"/>
      <c r="QUA113" s="181"/>
      <c r="QUB113" s="182"/>
      <c r="QUC113" s="181"/>
      <c r="QUD113" s="182"/>
      <c r="QUE113" s="181"/>
      <c r="QUF113" s="182"/>
      <c r="QUG113" s="181"/>
      <c r="QUH113" s="182"/>
      <c r="QUI113" s="181"/>
      <c r="QUJ113" s="182"/>
      <c r="QUK113" s="181"/>
      <c r="QUL113" s="182"/>
      <c r="QUM113" s="181"/>
      <c r="QUN113" s="182"/>
      <c r="QUO113" s="181"/>
      <c r="QUP113" s="182"/>
      <c r="QUQ113" s="181"/>
      <c r="QUR113" s="182"/>
      <c r="QUS113" s="181"/>
      <c r="QUT113" s="182"/>
      <c r="QUU113" s="181"/>
      <c r="QUV113" s="182"/>
      <c r="QUW113" s="181"/>
      <c r="QUX113" s="182"/>
      <c r="QUY113" s="181"/>
      <c r="QUZ113" s="182"/>
      <c r="QVA113" s="181"/>
      <c r="QVB113" s="182"/>
      <c r="QVC113" s="181"/>
      <c r="QVD113" s="182"/>
      <c r="QVE113" s="181"/>
      <c r="QVF113" s="182"/>
      <c r="QVG113" s="181"/>
      <c r="QVH113" s="182"/>
      <c r="QVI113" s="181"/>
      <c r="QVJ113" s="182"/>
      <c r="QVK113" s="181"/>
      <c r="QVL113" s="182"/>
      <c r="QVM113" s="181"/>
      <c r="QVN113" s="182"/>
      <c r="QVO113" s="181"/>
      <c r="QVP113" s="182"/>
      <c r="QVQ113" s="181"/>
      <c r="QVR113" s="182"/>
      <c r="QVS113" s="181"/>
      <c r="QVT113" s="182"/>
      <c r="QVU113" s="181"/>
      <c r="QVV113" s="182"/>
      <c r="QVW113" s="181"/>
      <c r="QVX113" s="182"/>
      <c r="QVY113" s="181"/>
      <c r="QVZ113" s="182"/>
      <c r="QWA113" s="181"/>
      <c r="QWB113" s="182"/>
      <c r="QWC113" s="181"/>
      <c r="QWD113" s="182"/>
      <c r="QWE113" s="181"/>
      <c r="QWF113" s="182"/>
      <c r="QWG113" s="181"/>
      <c r="QWH113" s="182"/>
      <c r="QWI113" s="181"/>
      <c r="QWJ113" s="182"/>
      <c r="QWK113" s="181"/>
      <c r="QWL113" s="182"/>
      <c r="QWM113" s="181"/>
      <c r="QWN113" s="182"/>
      <c r="QWO113" s="181"/>
      <c r="QWP113" s="182"/>
      <c r="QWQ113" s="181"/>
      <c r="QWR113" s="182"/>
      <c r="QWS113" s="181"/>
      <c r="QWT113" s="182"/>
      <c r="QWU113" s="181"/>
      <c r="QWV113" s="182"/>
      <c r="QWW113" s="181"/>
      <c r="QWX113" s="182"/>
      <c r="QWY113" s="181"/>
      <c r="QWZ113" s="182"/>
      <c r="QXA113" s="181"/>
      <c r="QXB113" s="182"/>
      <c r="QXC113" s="181"/>
      <c r="QXD113" s="182"/>
      <c r="QXE113" s="181"/>
      <c r="QXF113" s="182"/>
      <c r="QXG113" s="181"/>
      <c r="QXH113" s="182"/>
      <c r="QXI113" s="181"/>
      <c r="QXJ113" s="182"/>
      <c r="QXK113" s="181"/>
      <c r="QXL113" s="182"/>
      <c r="QXM113" s="181"/>
      <c r="QXN113" s="182"/>
      <c r="QXO113" s="181"/>
      <c r="QXP113" s="182"/>
      <c r="QXQ113" s="181"/>
      <c r="QXR113" s="182"/>
      <c r="QXS113" s="181"/>
      <c r="QXT113" s="182"/>
      <c r="QXU113" s="181"/>
      <c r="QXV113" s="182"/>
      <c r="QXW113" s="181"/>
      <c r="QXX113" s="182"/>
      <c r="QXY113" s="181"/>
      <c r="QXZ113" s="182"/>
      <c r="QYA113" s="181"/>
      <c r="QYB113" s="182"/>
      <c r="QYC113" s="181"/>
      <c r="QYD113" s="182"/>
      <c r="QYE113" s="181"/>
      <c r="QYF113" s="182"/>
      <c r="QYG113" s="181"/>
      <c r="QYH113" s="182"/>
      <c r="QYI113" s="181"/>
      <c r="QYJ113" s="182"/>
      <c r="QYK113" s="181"/>
      <c r="QYL113" s="182"/>
      <c r="QYM113" s="181"/>
      <c r="QYN113" s="182"/>
      <c r="QYO113" s="181"/>
      <c r="QYP113" s="182"/>
      <c r="QYQ113" s="181"/>
      <c r="QYR113" s="182"/>
      <c r="QYS113" s="181"/>
      <c r="QYT113" s="182"/>
      <c r="QYU113" s="181"/>
      <c r="QYV113" s="182"/>
      <c r="QYW113" s="181"/>
      <c r="QYX113" s="182"/>
      <c r="QYY113" s="181"/>
      <c r="QYZ113" s="182"/>
      <c r="QZA113" s="181"/>
      <c r="QZB113" s="182"/>
      <c r="QZC113" s="181"/>
      <c r="QZD113" s="182"/>
      <c r="QZE113" s="181"/>
      <c r="QZF113" s="182"/>
      <c r="QZG113" s="181"/>
      <c r="QZH113" s="182"/>
      <c r="QZI113" s="181"/>
      <c r="QZJ113" s="182"/>
      <c r="QZK113" s="181"/>
      <c r="QZL113" s="182"/>
      <c r="QZM113" s="181"/>
      <c r="QZN113" s="182"/>
      <c r="QZO113" s="181"/>
      <c r="QZP113" s="182"/>
      <c r="QZQ113" s="181"/>
      <c r="QZR113" s="182"/>
      <c r="QZS113" s="181"/>
      <c r="QZT113" s="182"/>
      <c r="QZU113" s="181"/>
      <c r="QZV113" s="182"/>
      <c r="QZW113" s="181"/>
      <c r="QZX113" s="182"/>
      <c r="QZY113" s="181"/>
      <c r="QZZ113" s="182"/>
      <c r="RAA113" s="181"/>
      <c r="RAB113" s="182"/>
      <c r="RAC113" s="181"/>
      <c r="RAD113" s="182"/>
      <c r="RAE113" s="181"/>
      <c r="RAF113" s="182"/>
      <c r="RAG113" s="181"/>
      <c r="RAH113" s="182"/>
      <c r="RAI113" s="181"/>
      <c r="RAJ113" s="182"/>
      <c r="RAK113" s="181"/>
      <c r="RAL113" s="182"/>
      <c r="RAM113" s="181"/>
      <c r="RAN113" s="182"/>
      <c r="RAO113" s="181"/>
      <c r="RAP113" s="182"/>
      <c r="RAQ113" s="181"/>
      <c r="RAR113" s="182"/>
      <c r="RAS113" s="181"/>
      <c r="RAT113" s="182"/>
      <c r="RAU113" s="181"/>
      <c r="RAV113" s="182"/>
      <c r="RAW113" s="181"/>
      <c r="RAX113" s="182"/>
      <c r="RAY113" s="181"/>
      <c r="RAZ113" s="182"/>
      <c r="RBA113" s="181"/>
      <c r="RBB113" s="182"/>
      <c r="RBC113" s="181"/>
      <c r="RBD113" s="182"/>
      <c r="RBE113" s="181"/>
      <c r="RBF113" s="182"/>
      <c r="RBG113" s="181"/>
      <c r="RBH113" s="182"/>
      <c r="RBI113" s="181"/>
      <c r="RBJ113" s="182"/>
      <c r="RBK113" s="181"/>
      <c r="RBL113" s="182"/>
      <c r="RBM113" s="181"/>
      <c r="RBN113" s="182"/>
      <c r="RBO113" s="181"/>
      <c r="RBP113" s="182"/>
      <c r="RBQ113" s="181"/>
      <c r="RBR113" s="182"/>
      <c r="RBS113" s="181"/>
      <c r="RBT113" s="182"/>
      <c r="RBU113" s="181"/>
      <c r="RBV113" s="182"/>
      <c r="RBW113" s="181"/>
      <c r="RBX113" s="182"/>
      <c r="RBY113" s="181"/>
      <c r="RBZ113" s="182"/>
      <c r="RCA113" s="181"/>
      <c r="RCB113" s="182"/>
      <c r="RCC113" s="181"/>
      <c r="RCD113" s="182"/>
      <c r="RCE113" s="181"/>
      <c r="RCF113" s="182"/>
      <c r="RCG113" s="181"/>
      <c r="RCH113" s="182"/>
      <c r="RCI113" s="181"/>
      <c r="RCJ113" s="182"/>
      <c r="RCK113" s="181"/>
      <c r="RCL113" s="182"/>
      <c r="RCM113" s="181"/>
      <c r="RCN113" s="182"/>
      <c r="RCO113" s="181"/>
      <c r="RCP113" s="182"/>
      <c r="RCQ113" s="181"/>
      <c r="RCR113" s="182"/>
      <c r="RCS113" s="181"/>
      <c r="RCT113" s="182"/>
      <c r="RCU113" s="181"/>
      <c r="RCV113" s="182"/>
      <c r="RCW113" s="181"/>
      <c r="RCX113" s="182"/>
      <c r="RCY113" s="181"/>
      <c r="RCZ113" s="182"/>
      <c r="RDA113" s="181"/>
      <c r="RDB113" s="182"/>
      <c r="RDC113" s="181"/>
      <c r="RDD113" s="182"/>
      <c r="RDE113" s="181"/>
      <c r="RDF113" s="182"/>
      <c r="RDG113" s="181"/>
      <c r="RDH113" s="182"/>
      <c r="RDI113" s="181"/>
      <c r="RDJ113" s="182"/>
      <c r="RDK113" s="181"/>
      <c r="RDL113" s="182"/>
      <c r="RDM113" s="181"/>
      <c r="RDN113" s="182"/>
      <c r="RDO113" s="181"/>
      <c r="RDP113" s="182"/>
      <c r="RDQ113" s="181"/>
      <c r="RDR113" s="182"/>
      <c r="RDS113" s="181"/>
      <c r="RDT113" s="182"/>
      <c r="RDU113" s="181"/>
      <c r="RDV113" s="182"/>
      <c r="RDW113" s="181"/>
      <c r="RDX113" s="182"/>
      <c r="RDY113" s="181"/>
      <c r="RDZ113" s="182"/>
      <c r="REA113" s="181"/>
      <c r="REB113" s="182"/>
      <c r="REC113" s="181"/>
      <c r="RED113" s="182"/>
      <c r="REE113" s="181"/>
      <c r="REF113" s="182"/>
      <c r="REG113" s="181"/>
      <c r="REH113" s="182"/>
      <c r="REI113" s="181"/>
      <c r="REJ113" s="182"/>
      <c r="REK113" s="181"/>
      <c r="REL113" s="182"/>
      <c r="REM113" s="181"/>
      <c r="REN113" s="182"/>
      <c r="REO113" s="181"/>
      <c r="REP113" s="182"/>
      <c r="REQ113" s="181"/>
      <c r="RER113" s="182"/>
      <c r="RES113" s="181"/>
      <c r="RET113" s="182"/>
      <c r="REU113" s="181"/>
      <c r="REV113" s="182"/>
      <c r="REW113" s="181"/>
      <c r="REX113" s="182"/>
      <c r="REY113" s="181"/>
      <c r="REZ113" s="182"/>
      <c r="RFA113" s="181"/>
      <c r="RFB113" s="182"/>
      <c r="RFC113" s="181"/>
      <c r="RFD113" s="182"/>
      <c r="RFE113" s="181"/>
      <c r="RFF113" s="182"/>
      <c r="RFG113" s="181"/>
      <c r="RFH113" s="182"/>
      <c r="RFI113" s="181"/>
      <c r="RFJ113" s="182"/>
      <c r="RFK113" s="181"/>
      <c r="RFL113" s="182"/>
      <c r="RFM113" s="181"/>
      <c r="RFN113" s="182"/>
      <c r="RFO113" s="181"/>
      <c r="RFP113" s="182"/>
      <c r="RFQ113" s="181"/>
      <c r="RFR113" s="182"/>
      <c r="RFS113" s="181"/>
      <c r="RFT113" s="182"/>
      <c r="RFU113" s="181"/>
      <c r="RFV113" s="182"/>
      <c r="RFW113" s="181"/>
      <c r="RFX113" s="182"/>
      <c r="RFY113" s="181"/>
      <c r="RFZ113" s="182"/>
      <c r="RGA113" s="181"/>
      <c r="RGB113" s="182"/>
      <c r="RGC113" s="181"/>
      <c r="RGD113" s="182"/>
      <c r="RGE113" s="181"/>
      <c r="RGF113" s="182"/>
      <c r="RGG113" s="181"/>
      <c r="RGH113" s="182"/>
      <c r="RGI113" s="181"/>
      <c r="RGJ113" s="182"/>
      <c r="RGK113" s="181"/>
      <c r="RGL113" s="182"/>
      <c r="RGM113" s="181"/>
      <c r="RGN113" s="182"/>
      <c r="RGO113" s="181"/>
      <c r="RGP113" s="182"/>
      <c r="RGQ113" s="181"/>
      <c r="RGR113" s="182"/>
      <c r="RGS113" s="181"/>
      <c r="RGT113" s="182"/>
      <c r="RGU113" s="181"/>
      <c r="RGV113" s="182"/>
      <c r="RGW113" s="181"/>
      <c r="RGX113" s="182"/>
      <c r="RGY113" s="181"/>
      <c r="RGZ113" s="182"/>
      <c r="RHA113" s="181"/>
      <c r="RHB113" s="182"/>
      <c r="RHC113" s="181"/>
      <c r="RHD113" s="182"/>
      <c r="RHE113" s="181"/>
      <c r="RHF113" s="182"/>
      <c r="RHG113" s="181"/>
      <c r="RHH113" s="182"/>
      <c r="RHI113" s="181"/>
      <c r="RHJ113" s="182"/>
      <c r="RHK113" s="181"/>
      <c r="RHL113" s="182"/>
      <c r="RHM113" s="181"/>
      <c r="RHN113" s="182"/>
      <c r="RHO113" s="181"/>
      <c r="RHP113" s="182"/>
      <c r="RHQ113" s="181"/>
      <c r="RHR113" s="182"/>
      <c r="RHS113" s="181"/>
      <c r="RHT113" s="182"/>
      <c r="RHU113" s="181"/>
      <c r="RHV113" s="182"/>
      <c r="RHW113" s="181"/>
      <c r="RHX113" s="182"/>
      <c r="RHY113" s="181"/>
      <c r="RHZ113" s="182"/>
      <c r="RIA113" s="181"/>
      <c r="RIB113" s="182"/>
      <c r="RIC113" s="181"/>
      <c r="RID113" s="182"/>
      <c r="RIE113" s="181"/>
      <c r="RIF113" s="182"/>
      <c r="RIG113" s="181"/>
      <c r="RIH113" s="182"/>
      <c r="RII113" s="181"/>
      <c r="RIJ113" s="182"/>
      <c r="RIK113" s="181"/>
      <c r="RIL113" s="182"/>
      <c r="RIM113" s="181"/>
      <c r="RIN113" s="182"/>
      <c r="RIO113" s="181"/>
      <c r="RIP113" s="182"/>
      <c r="RIQ113" s="181"/>
      <c r="RIR113" s="182"/>
      <c r="RIS113" s="181"/>
      <c r="RIT113" s="182"/>
      <c r="RIU113" s="181"/>
      <c r="RIV113" s="182"/>
      <c r="RIW113" s="181"/>
      <c r="RIX113" s="182"/>
      <c r="RIY113" s="181"/>
      <c r="RIZ113" s="182"/>
      <c r="RJA113" s="181"/>
      <c r="RJB113" s="182"/>
      <c r="RJC113" s="181"/>
      <c r="RJD113" s="182"/>
      <c r="RJE113" s="181"/>
      <c r="RJF113" s="182"/>
      <c r="RJG113" s="181"/>
      <c r="RJH113" s="182"/>
      <c r="RJI113" s="181"/>
      <c r="RJJ113" s="182"/>
      <c r="RJK113" s="181"/>
      <c r="RJL113" s="182"/>
      <c r="RJM113" s="181"/>
      <c r="RJN113" s="182"/>
      <c r="RJO113" s="181"/>
      <c r="RJP113" s="182"/>
      <c r="RJQ113" s="181"/>
      <c r="RJR113" s="182"/>
      <c r="RJS113" s="181"/>
      <c r="RJT113" s="182"/>
      <c r="RJU113" s="181"/>
      <c r="RJV113" s="182"/>
      <c r="RJW113" s="181"/>
      <c r="RJX113" s="182"/>
      <c r="RJY113" s="181"/>
      <c r="RJZ113" s="182"/>
      <c r="RKA113" s="181"/>
      <c r="RKB113" s="182"/>
      <c r="RKC113" s="181"/>
      <c r="RKD113" s="182"/>
      <c r="RKE113" s="181"/>
      <c r="RKF113" s="182"/>
      <c r="RKG113" s="181"/>
      <c r="RKH113" s="182"/>
      <c r="RKI113" s="181"/>
      <c r="RKJ113" s="182"/>
      <c r="RKK113" s="181"/>
      <c r="RKL113" s="182"/>
      <c r="RKM113" s="181"/>
      <c r="RKN113" s="182"/>
      <c r="RKO113" s="181"/>
      <c r="RKP113" s="182"/>
      <c r="RKQ113" s="181"/>
      <c r="RKR113" s="182"/>
      <c r="RKS113" s="181"/>
      <c r="RKT113" s="182"/>
      <c r="RKU113" s="181"/>
      <c r="RKV113" s="182"/>
      <c r="RKW113" s="181"/>
      <c r="RKX113" s="182"/>
      <c r="RKY113" s="181"/>
      <c r="RKZ113" s="182"/>
      <c r="RLA113" s="181"/>
      <c r="RLB113" s="182"/>
      <c r="RLC113" s="181"/>
      <c r="RLD113" s="182"/>
      <c r="RLE113" s="181"/>
      <c r="RLF113" s="182"/>
      <c r="RLG113" s="181"/>
      <c r="RLH113" s="182"/>
      <c r="RLI113" s="181"/>
      <c r="RLJ113" s="182"/>
      <c r="RLK113" s="181"/>
      <c r="RLL113" s="182"/>
      <c r="RLM113" s="181"/>
      <c r="RLN113" s="182"/>
      <c r="RLO113" s="181"/>
      <c r="RLP113" s="182"/>
      <c r="RLQ113" s="181"/>
      <c r="RLR113" s="182"/>
      <c r="RLS113" s="181"/>
      <c r="RLT113" s="182"/>
      <c r="RLU113" s="181"/>
      <c r="RLV113" s="182"/>
      <c r="RLW113" s="181"/>
      <c r="RLX113" s="182"/>
      <c r="RLY113" s="181"/>
      <c r="RLZ113" s="182"/>
      <c r="RMA113" s="181"/>
      <c r="RMB113" s="182"/>
      <c r="RMC113" s="181"/>
      <c r="RMD113" s="182"/>
      <c r="RME113" s="181"/>
      <c r="RMF113" s="182"/>
      <c r="RMG113" s="181"/>
      <c r="RMH113" s="182"/>
      <c r="RMI113" s="181"/>
      <c r="RMJ113" s="182"/>
      <c r="RMK113" s="181"/>
      <c r="RML113" s="182"/>
      <c r="RMM113" s="181"/>
      <c r="RMN113" s="182"/>
      <c r="RMO113" s="181"/>
      <c r="RMP113" s="182"/>
      <c r="RMQ113" s="181"/>
      <c r="RMR113" s="182"/>
      <c r="RMS113" s="181"/>
      <c r="RMT113" s="182"/>
      <c r="RMU113" s="181"/>
      <c r="RMV113" s="182"/>
      <c r="RMW113" s="181"/>
      <c r="RMX113" s="182"/>
      <c r="RMY113" s="181"/>
      <c r="RMZ113" s="182"/>
      <c r="RNA113" s="181"/>
      <c r="RNB113" s="182"/>
      <c r="RNC113" s="181"/>
      <c r="RND113" s="182"/>
      <c r="RNE113" s="181"/>
      <c r="RNF113" s="182"/>
      <c r="RNG113" s="181"/>
      <c r="RNH113" s="182"/>
      <c r="RNI113" s="181"/>
      <c r="RNJ113" s="182"/>
      <c r="RNK113" s="181"/>
      <c r="RNL113" s="182"/>
      <c r="RNM113" s="181"/>
      <c r="RNN113" s="182"/>
      <c r="RNO113" s="181"/>
      <c r="RNP113" s="182"/>
      <c r="RNQ113" s="181"/>
      <c r="RNR113" s="182"/>
      <c r="RNS113" s="181"/>
      <c r="RNT113" s="182"/>
      <c r="RNU113" s="181"/>
      <c r="RNV113" s="182"/>
      <c r="RNW113" s="181"/>
      <c r="RNX113" s="182"/>
      <c r="RNY113" s="181"/>
      <c r="RNZ113" s="182"/>
      <c r="ROA113" s="181"/>
      <c r="ROB113" s="182"/>
      <c r="ROC113" s="181"/>
      <c r="ROD113" s="182"/>
      <c r="ROE113" s="181"/>
      <c r="ROF113" s="182"/>
      <c r="ROG113" s="181"/>
      <c r="ROH113" s="182"/>
      <c r="ROI113" s="181"/>
      <c r="ROJ113" s="182"/>
      <c r="ROK113" s="181"/>
      <c r="ROL113" s="182"/>
      <c r="ROM113" s="181"/>
      <c r="RON113" s="182"/>
      <c r="ROO113" s="181"/>
      <c r="ROP113" s="182"/>
      <c r="ROQ113" s="181"/>
      <c r="ROR113" s="182"/>
      <c r="ROS113" s="181"/>
      <c r="ROT113" s="182"/>
      <c r="ROU113" s="181"/>
      <c r="ROV113" s="182"/>
      <c r="ROW113" s="181"/>
      <c r="ROX113" s="182"/>
      <c r="ROY113" s="181"/>
      <c r="ROZ113" s="182"/>
      <c r="RPA113" s="181"/>
      <c r="RPB113" s="182"/>
      <c r="RPC113" s="181"/>
      <c r="RPD113" s="182"/>
      <c r="RPE113" s="181"/>
      <c r="RPF113" s="182"/>
      <c r="RPG113" s="181"/>
      <c r="RPH113" s="182"/>
      <c r="RPI113" s="181"/>
      <c r="RPJ113" s="182"/>
      <c r="RPK113" s="181"/>
      <c r="RPL113" s="182"/>
      <c r="RPM113" s="181"/>
      <c r="RPN113" s="182"/>
      <c r="RPO113" s="181"/>
      <c r="RPP113" s="182"/>
      <c r="RPQ113" s="181"/>
      <c r="RPR113" s="182"/>
      <c r="RPS113" s="181"/>
      <c r="RPT113" s="182"/>
      <c r="RPU113" s="181"/>
      <c r="RPV113" s="182"/>
      <c r="RPW113" s="181"/>
      <c r="RPX113" s="182"/>
      <c r="RPY113" s="181"/>
      <c r="RPZ113" s="182"/>
      <c r="RQA113" s="181"/>
      <c r="RQB113" s="182"/>
      <c r="RQC113" s="181"/>
      <c r="RQD113" s="182"/>
      <c r="RQE113" s="181"/>
      <c r="RQF113" s="182"/>
      <c r="RQG113" s="181"/>
      <c r="RQH113" s="182"/>
      <c r="RQI113" s="181"/>
      <c r="RQJ113" s="182"/>
      <c r="RQK113" s="181"/>
      <c r="RQL113" s="182"/>
      <c r="RQM113" s="181"/>
      <c r="RQN113" s="182"/>
      <c r="RQO113" s="181"/>
      <c r="RQP113" s="182"/>
      <c r="RQQ113" s="181"/>
      <c r="RQR113" s="182"/>
      <c r="RQS113" s="181"/>
      <c r="RQT113" s="182"/>
      <c r="RQU113" s="181"/>
      <c r="RQV113" s="182"/>
      <c r="RQW113" s="181"/>
      <c r="RQX113" s="182"/>
      <c r="RQY113" s="181"/>
      <c r="RQZ113" s="182"/>
      <c r="RRA113" s="181"/>
      <c r="RRB113" s="182"/>
      <c r="RRC113" s="181"/>
      <c r="RRD113" s="182"/>
      <c r="RRE113" s="181"/>
      <c r="RRF113" s="182"/>
      <c r="RRG113" s="181"/>
      <c r="RRH113" s="182"/>
      <c r="RRI113" s="181"/>
      <c r="RRJ113" s="182"/>
      <c r="RRK113" s="181"/>
      <c r="RRL113" s="182"/>
      <c r="RRM113" s="181"/>
      <c r="RRN113" s="182"/>
      <c r="RRO113" s="181"/>
      <c r="RRP113" s="182"/>
      <c r="RRQ113" s="181"/>
      <c r="RRR113" s="182"/>
      <c r="RRS113" s="181"/>
      <c r="RRT113" s="182"/>
      <c r="RRU113" s="181"/>
      <c r="RRV113" s="182"/>
      <c r="RRW113" s="181"/>
      <c r="RRX113" s="182"/>
      <c r="RRY113" s="181"/>
      <c r="RRZ113" s="182"/>
      <c r="RSA113" s="181"/>
      <c r="RSB113" s="182"/>
      <c r="RSC113" s="181"/>
      <c r="RSD113" s="182"/>
      <c r="RSE113" s="181"/>
      <c r="RSF113" s="182"/>
      <c r="RSG113" s="181"/>
      <c r="RSH113" s="182"/>
      <c r="RSI113" s="181"/>
      <c r="RSJ113" s="182"/>
      <c r="RSK113" s="181"/>
      <c r="RSL113" s="182"/>
      <c r="RSM113" s="181"/>
      <c r="RSN113" s="182"/>
      <c r="RSO113" s="181"/>
      <c r="RSP113" s="182"/>
      <c r="RSQ113" s="181"/>
      <c r="RSR113" s="182"/>
      <c r="RSS113" s="181"/>
      <c r="RST113" s="182"/>
      <c r="RSU113" s="181"/>
      <c r="RSV113" s="182"/>
      <c r="RSW113" s="181"/>
      <c r="RSX113" s="182"/>
      <c r="RSY113" s="181"/>
      <c r="RSZ113" s="182"/>
      <c r="RTA113" s="181"/>
      <c r="RTB113" s="182"/>
      <c r="RTC113" s="181"/>
      <c r="RTD113" s="182"/>
      <c r="RTE113" s="181"/>
      <c r="RTF113" s="182"/>
      <c r="RTG113" s="181"/>
      <c r="RTH113" s="182"/>
      <c r="RTI113" s="181"/>
      <c r="RTJ113" s="182"/>
      <c r="RTK113" s="181"/>
      <c r="RTL113" s="182"/>
      <c r="RTM113" s="181"/>
      <c r="RTN113" s="182"/>
      <c r="RTO113" s="181"/>
      <c r="RTP113" s="182"/>
      <c r="RTQ113" s="181"/>
      <c r="RTR113" s="182"/>
      <c r="RTS113" s="181"/>
      <c r="RTT113" s="182"/>
      <c r="RTU113" s="181"/>
      <c r="RTV113" s="182"/>
      <c r="RTW113" s="181"/>
      <c r="RTX113" s="182"/>
      <c r="RTY113" s="181"/>
      <c r="RTZ113" s="182"/>
      <c r="RUA113" s="181"/>
      <c r="RUB113" s="182"/>
      <c r="RUC113" s="181"/>
      <c r="RUD113" s="182"/>
      <c r="RUE113" s="181"/>
      <c r="RUF113" s="182"/>
      <c r="RUG113" s="181"/>
      <c r="RUH113" s="182"/>
      <c r="RUI113" s="181"/>
      <c r="RUJ113" s="182"/>
      <c r="RUK113" s="181"/>
      <c r="RUL113" s="182"/>
      <c r="RUM113" s="181"/>
      <c r="RUN113" s="182"/>
      <c r="RUO113" s="181"/>
      <c r="RUP113" s="182"/>
      <c r="RUQ113" s="181"/>
      <c r="RUR113" s="182"/>
      <c r="RUS113" s="181"/>
      <c r="RUT113" s="182"/>
      <c r="RUU113" s="181"/>
      <c r="RUV113" s="182"/>
      <c r="RUW113" s="181"/>
      <c r="RUX113" s="182"/>
      <c r="RUY113" s="181"/>
      <c r="RUZ113" s="182"/>
      <c r="RVA113" s="181"/>
      <c r="RVB113" s="182"/>
      <c r="RVC113" s="181"/>
      <c r="RVD113" s="182"/>
      <c r="RVE113" s="181"/>
      <c r="RVF113" s="182"/>
      <c r="RVG113" s="181"/>
      <c r="RVH113" s="182"/>
      <c r="RVI113" s="181"/>
      <c r="RVJ113" s="182"/>
      <c r="RVK113" s="181"/>
      <c r="RVL113" s="182"/>
      <c r="RVM113" s="181"/>
      <c r="RVN113" s="182"/>
      <c r="RVO113" s="181"/>
      <c r="RVP113" s="182"/>
      <c r="RVQ113" s="181"/>
      <c r="RVR113" s="182"/>
      <c r="RVS113" s="181"/>
      <c r="RVT113" s="182"/>
      <c r="RVU113" s="181"/>
      <c r="RVV113" s="182"/>
      <c r="RVW113" s="181"/>
      <c r="RVX113" s="182"/>
      <c r="RVY113" s="181"/>
      <c r="RVZ113" s="182"/>
      <c r="RWA113" s="181"/>
      <c r="RWB113" s="182"/>
      <c r="RWC113" s="181"/>
      <c r="RWD113" s="182"/>
      <c r="RWE113" s="181"/>
      <c r="RWF113" s="182"/>
      <c r="RWG113" s="181"/>
      <c r="RWH113" s="182"/>
      <c r="RWI113" s="181"/>
      <c r="RWJ113" s="182"/>
      <c r="RWK113" s="181"/>
      <c r="RWL113" s="182"/>
      <c r="RWM113" s="181"/>
      <c r="RWN113" s="182"/>
      <c r="RWO113" s="181"/>
      <c r="RWP113" s="182"/>
      <c r="RWQ113" s="181"/>
      <c r="RWR113" s="182"/>
      <c r="RWS113" s="181"/>
      <c r="RWT113" s="182"/>
      <c r="RWU113" s="181"/>
      <c r="RWV113" s="182"/>
      <c r="RWW113" s="181"/>
      <c r="RWX113" s="182"/>
      <c r="RWY113" s="181"/>
      <c r="RWZ113" s="182"/>
      <c r="RXA113" s="181"/>
      <c r="RXB113" s="182"/>
      <c r="RXC113" s="181"/>
      <c r="RXD113" s="182"/>
      <c r="RXE113" s="181"/>
      <c r="RXF113" s="182"/>
      <c r="RXG113" s="181"/>
      <c r="RXH113" s="182"/>
      <c r="RXI113" s="181"/>
      <c r="RXJ113" s="182"/>
      <c r="RXK113" s="181"/>
      <c r="RXL113" s="182"/>
      <c r="RXM113" s="181"/>
      <c r="RXN113" s="182"/>
      <c r="RXO113" s="181"/>
      <c r="RXP113" s="182"/>
      <c r="RXQ113" s="181"/>
      <c r="RXR113" s="182"/>
      <c r="RXS113" s="181"/>
      <c r="RXT113" s="182"/>
      <c r="RXU113" s="181"/>
      <c r="RXV113" s="182"/>
      <c r="RXW113" s="181"/>
      <c r="RXX113" s="182"/>
      <c r="RXY113" s="181"/>
      <c r="RXZ113" s="182"/>
      <c r="RYA113" s="181"/>
      <c r="RYB113" s="182"/>
      <c r="RYC113" s="181"/>
      <c r="RYD113" s="182"/>
      <c r="RYE113" s="181"/>
      <c r="RYF113" s="182"/>
      <c r="RYG113" s="181"/>
      <c r="RYH113" s="182"/>
      <c r="RYI113" s="181"/>
      <c r="RYJ113" s="182"/>
      <c r="RYK113" s="181"/>
      <c r="RYL113" s="182"/>
      <c r="RYM113" s="181"/>
      <c r="RYN113" s="182"/>
      <c r="RYO113" s="181"/>
      <c r="RYP113" s="182"/>
      <c r="RYQ113" s="181"/>
      <c r="RYR113" s="182"/>
      <c r="RYS113" s="181"/>
      <c r="RYT113" s="182"/>
      <c r="RYU113" s="181"/>
      <c r="RYV113" s="182"/>
      <c r="RYW113" s="181"/>
      <c r="RYX113" s="182"/>
      <c r="RYY113" s="181"/>
      <c r="RYZ113" s="182"/>
      <c r="RZA113" s="181"/>
      <c r="RZB113" s="182"/>
      <c r="RZC113" s="181"/>
      <c r="RZD113" s="182"/>
      <c r="RZE113" s="181"/>
      <c r="RZF113" s="182"/>
      <c r="RZG113" s="181"/>
      <c r="RZH113" s="182"/>
      <c r="RZI113" s="181"/>
      <c r="RZJ113" s="182"/>
      <c r="RZK113" s="181"/>
      <c r="RZL113" s="182"/>
      <c r="RZM113" s="181"/>
      <c r="RZN113" s="182"/>
      <c r="RZO113" s="181"/>
      <c r="RZP113" s="182"/>
      <c r="RZQ113" s="181"/>
      <c r="RZR113" s="182"/>
      <c r="RZS113" s="181"/>
      <c r="RZT113" s="182"/>
      <c r="RZU113" s="181"/>
      <c r="RZV113" s="182"/>
      <c r="RZW113" s="181"/>
      <c r="RZX113" s="182"/>
      <c r="RZY113" s="181"/>
      <c r="RZZ113" s="182"/>
      <c r="SAA113" s="181"/>
      <c r="SAB113" s="182"/>
      <c r="SAC113" s="181"/>
      <c r="SAD113" s="182"/>
      <c r="SAE113" s="181"/>
      <c r="SAF113" s="182"/>
      <c r="SAG113" s="181"/>
      <c r="SAH113" s="182"/>
      <c r="SAI113" s="181"/>
      <c r="SAJ113" s="182"/>
      <c r="SAK113" s="181"/>
      <c r="SAL113" s="182"/>
      <c r="SAM113" s="181"/>
      <c r="SAN113" s="182"/>
      <c r="SAO113" s="181"/>
      <c r="SAP113" s="182"/>
      <c r="SAQ113" s="181"/>
      <c r="SAR113" s="182"/>
      <c r="SAS113" s="181"/>
      <c r="SAT113" s="182"/>
      <c r="SAU113" s="181"/>
      <c r="SAV113" s="182"/>
      <c r="SAW113" s="181"/>
      <c r="SAX113" s="182"/>
      <c r="SAY113" s="181"/>
      <c r="SAZ113" s="182"/>
      <c r="SBA113" s="181"/>
      <c r="SBB113" s="182"/>
      <c r="SBC113" s="181"/>
      <c r="SBD113" s="182"/>
      <c r="SBE113" s="181"/>
      <c r="SBF113" s="182"/>
      <c r="SBG113" s="181"/>
      <c r="SBH113" s="182"/>
      <c r="SBI113" s="181"/>
      <c r="SBJ113" s="182"/>
      <c r="SBK113" s="181"/>
      <c r="SBL113" s="182"/>
      <c r="SBM113" s="181"/>
      <c r="SBN113" s="182"/>
      <c r="SBO113" s="181"/>
      <c r="SBP113" s="182"/>
      <c r="SBQ113" s="181"/>
      <c r="SBR113" s="182"/>
      <c r="SBS113" s="181"/>
      <c r="SBT113" s="182"/>
      <c r="SBU113" s="181"/>
      <c r="SBV113" s="182"/>
      <c r="SBW113" s="181"/>
      <c r="SBX113" s="182"/>
      <c r="SBY113" s="181"/>
      <c r="SBZ113" s="182"/>
      <c r="SCA113" s="181"/>
      <c r="SCB113" s="182"/>
      <c r="SCC113" s="181"/>
      <c r="SCD113" s="182"/>
      <c r="SCE113" s="181"/>
      <c r="SCF113" s="182"/>
      <c r="SCG113" s="181"/>
      <c r="SCH113" s="182"/>
      <c r="SCI113" s="181"/>
      <c r="SCJ113" s="182"/>
      <c r="SCK113" s="181"/>
      <c r="SCL113" s="182"/>
      <c r="SCM113" s="181"/>
      <c r="SCN113" s="182"/>
      <c r="SCO113" s="181"/>
      <c r="SCP113" s="182"/>
      <c r="SCQ113" s="181"/>
      <c r="SCR113" s="182"/>
      <c r="SCS113" s="181"/>
      <c r="SCT113" s="182"/>
      <c r="SCU113" s="181"/>
      <c r="SCV113" s="182"/>
      <c r="SCW113" s="181"/>
      <c r="SCX113" s="182"/>
      <c r="SCY113" s="181"/>
      <c r="SCZ113" s="182"/>
      <c r="SDA113" s="181"/>
      <c r="SDB113" s="182"/>
      <c r="SDC113" s="181"/>
      <c r="SDD113" s="182"/>
      <c r="SDE113" s="181"/>
      <c r="SDF113" s="182"/>
      <c r="SDG113" s="181"/>
      <c r="SDH113" s="182"/>
      <c r="SDI113" s="181"/>
      <c r="SDJ113" s="182"/>
      <c r="SDK113" s="181"/>
      <c r="SDL113" s="182"/>
      <c r="SDM113" s="181"/>
      <c r="SDN113" s="182"/>
      <c r="SDO113" s="181"/>
      <c r="SDP113" s="182"/>
      <c r="SDQ113" s="181"/>
      <c r="SDR113" s="182"/>
      <c r="SDS113" s="181"/>
      <c r="SDT113" s="182"/>
      <c r="SDU113" s="181"/>
      <c r="SDV113" s="182"/>
      <c r="SDW113" s="181"/>
      <c r="SDX113" s="182"/>
      <c r="SDY113" s="181"/>
      <c r="SDZ113" s="182"/>
      <c r="SEA113" s="181"/>
      <c r="SEB113" s="182"/>
      <c r="SEC113" s="181"/>
      <c r="SED113" s="182"/>
      <c r="SEE113" s="181"/>
      <c r="SEF113" s="182"/>
      <c r="SEG113" s="181"/>
      <c r="SEH113" s="182"/>
      <c r="SEI113" s="181"/>
      <c r="SEJ113" s="182"/>
      <c r="SEK113" s="181"/>
      <c r="SEL113" s="182"/>
      <c r="SEM113" s="181"/>
      <c r="SEN113" s="182"/>
      <c r="SEO113" s="181"/>
      <c r="SEP113" s="182"/>
      <c r="SEQ113" s="181"/>
      <c r="SER113" s="182"/>
      <c r="SES113" s="181"/>
      <c r="SET113" s="182"/>
      <c r="SEU113" s="181"/>
      <c r="SEV113" s="182"/>
      <c r="SEW113" s="181"/>
      <c r="SEX113" s="182"/>
      <c r="SEY113" s="181"/>
      <c r="SEZ113" s="182"/>
      <c r="SFA113" s="181"/>
      <c r="SFB113" s="182"/>
      <c r="SFC113" s="181"/>
      <c r="SFD113" s="182"/>
      <c r="SFE113" s="181"/>
      <c r="SFF113" s="182"/>
      <c r="SFG113" s="181"/>
      <c r="SFH113" s="182"/>
      <c r="SFI113" s="181"/>
      <c r="SFJ113" s="182"/>
      <c r="SFK113" s="181"/>
      <c r="SFL113" s="182"/>
      <c r="SFM113" s="181"/>
      <c r="SFN113" s="182"/>
      <c r="SFO113" s="181"/>
      <c r="SFP113" s="182"/>
      <c r="SFQ113" s="181"/>
      <c r="SFR113" s="182"/>
      <c r="SFS113" s="181"/>
      <c r="SFT113" s="182"/>
      <c r="SFU113" s="181"/>
      <c r="SFV113" s="182"/>
      <c r="SFW113" s="181"/>
      <c r="SFX113" s="182"/>
      <c r="SFY113" s="181"/>
      <c r="SFZ113" s="182"/>
      <c r="SGA113" s="181"/>
      <c r="SGB113" s="182"/>
      <c r="SGC113" s="181"/>
      <c r="SGD113" s="182"/>
      <c r="SGE113" s="181"/>
      <c r="SGF113" s="182"/>
      <c r="SGG113" s="181"/>
      <c r="SGH113" s="182"/>
      <c r="SGI113" s="181"/>
      <c r="SGJ113" s="182"/>
      <c r="SGK113" s="181"/>
      <c r="SGL113" s="182"/>
      <c r="SGM113" s="181"/>
      <c r="SGN113" s="182"/>
      <c r="SGO113" s="181"/>
      <c r="SGP113" s="182"/>
      <c r="SGQ113" s="181"/>
      <c r="SGR113" s="182"/>
      <c r="SGS113" s="181"/>
      <c r="SGT113" s="182"/>
      <c r="SGU113" s="181"/>
      <c r="SGV113" s="182"/>
      <c r="SGW113" s="181"/>
      <c r="SGX113" s="182"/>
      <c r="SGY113" s="181"/>
      <c r="SGZ113" s="182"/>
      <c r="SHA113" s="181"/>
      <c r="SHB113" s="182"/>
      <c r="SHC113" s="181"/>
      <c r="SHD113" s="182"/>
      <c r="SHE113" s="181"/>
      <c r="SHF113" s="182"/>
      <c r="SHG113" s="181"/>
      <c r="SHH113" s="182"/>
      <c r="SHI113" s="181"/>
      <c r="SHJ113" s="182"/>
      <c r="SHK113" s="181"/>
      <c r="SHL113" s="182"/>
      <c r="SHM113" s="181"/>
      <c r="SHN113" s="182"/>
      <c r="SHO113" s="181"/>
      <c r="SHP113" s="182"/>
      <c r="SHQ113" s="181"/>
      <c r="SHR113" s="182"/>
      <c r="SHS113" s="181"/>
      <c r="SHT113" s="182"/>
      <c r="SHU113" s="181"/>
      <c r="SHV113" s="182"/>
      <c r="SHW113" s="181"/>
      <c r="SHX113" s="182"/>
      <c r="SHY113" s="181"/>
      <c r="SHZ113" s="182"/>
      <c r="SIA113" s="181"/>
      <c r="SIB113" s="182"/>
      <c r="SIC113" s="181"/>
      <c r="SID113" s="182"/>
      <c r="SIE113" s="181"/>
      <c r="SIF113" s="182"/>
      <c r="SIG113" s="181"/>
      <c r="SIH113" s="182"/>
      <c r="SII113" s="181"/>
      <c r="SIJ113" s="182"/>
      <c r="SIK113" s="181"/>
      <c r="SIL113" s="182"/>
      <c r="SIM113" s="181"/>
      <c r="SIN113" s="182"/>
      <c r="SIO113" s="181"/>
      <c r="SIP113" s="182"/>
      <c r="SIQ113" s="181"/>
      <c r="SIR113" s="182"/>
      <c r="SIS113" s="181"/>
      <c r="SIT113" s="182"/>
      <c r="SIU113" s="181"/>
      <c r="SIV113" s="182"/>
      <c r="SIW113" s="181"/>
      <c r="SIX113" s="182"/>
      <c r="SIY113" s="181"/>
      <c r="SIZ113" s="182"/>
      <c r="SJA113" s="181"/>
      <c r="SJB113" s="182"/>
      <c r="SJC113" s="181"/>
      <c r="SJD113" s="182"/>
      <c r="SJE113" s="181"/>
      <c r="SJF113" s="182"/>
      <c r="SJG113" s="181"/>
      <c r="SJH113" s="182"/>
      <c r="SJI113" s="181"/>
      <c r="SJJ113" s="182"/>
      <c r="SJK113" s="181"/>
      <c r="SJL113" s="182"/>
      <c r="SJM113" s="181"/>
      <c r="SJN113" s="182"/>
      <c r="SJO113" s="181"/>
      <c r="SJP113" s="182"/>
      <c r="SJQ113" s="181"/>
      <c r="SJR113" s="182"/>
      <c r="SJS113" s="181"/>
      <c r="SJT113" s="182"/>
      <c r="SJU113" s="181"/>
      <c r="SJV113" s="182"/>
      <c r="SJW113" s="181"/>
      <c r="SJX113" s="182"/>
      <c r="SJY113" s="181"/>
      <c r="SJZ113" s="182"/>
      <c r="SKA113" s="181"/>
      <c r="SKB113" s="182"/>
      <c r="SKC113" s="181"/>
      <c r="SKD113" s="182"/>
      <c r="SKE113" s="181"/>
      <c r="SKF113" s="182"/>
      <c r="SKG113" s="181"/>
      <c r="SKH113" s="182"/>
      <c r="SKI113" s="181"/>
      <c r="SKJ113" s="182"/>
      <c r="SKK113" s="181"/>
      <c r="SKL113" s="182"/>
      <c r="SKM113" s="181"/>
      <c r="SKN113" s="182"/>
      <c r="SKO113" s="181"/>
      <c r="SKP113" s="182"/>
      <c r="SKQ113" s="181"/>
      <c r="SKR113" s="182"/>
      <c r="SKS113" s="181"/>
      <c r="SKT113" s="182"/>
      <c r="SKU113" s="181"/>
      <c r="SKV113" s="182"/>
      <c r="SKW113" s="181"/>
      <c r="SKX113" s="182"/>
      <c r="SKY113" s="181"/>
      <c r="SKZ113" s="182"/>
      <c r="SLA113" s="181"/>
      <c r="SLB113" s="182"/>
      <c r="SLC113" s="181"/>
      <c r="SLD113" s="182"/>
      <c r="SLE113" s="181"/>
      <c r="SLF113" s="182"/>
      <c r="SLG113" s="181"/>
      <c r="SLH113" s="182"/>
      <c r="SLI113" s="181"/>
      <c r="SLJ113" s="182"/>
      <c r="SLK113" s="181"/>
      <c r="SLL113" s="182"/>
      <c r="SLM113" s="181"/>
      <c r="SLN113" s="182"/>
      <c r="SLO113" s="181"/>
      <c r="SLP113" s="182"/>
      <c r="SLQ113" s="181"/>
      <c r="SLR113" s="182"/>
      <c r="SLS113" s="181"/>
      <c r="SLT113" s="182"/>
      <c r="SLU113" s="181"/>
      <c r="SLV113" s="182"/>
      <c r="SLW113" s="181"/>
      <c r="SLX113" s="182"/>
      <c r="SLY113" s="181"/>
      <c r="SLZ113" s="182"/>
      <c r="SMA113" s="181"/>
      <c r="SMB113" s="182"/>
      <c r="SMC113" s="181"/>
      <c r="SMD113" s="182"/>
      <c r="SME113" s="181"/>
      <c r="SMF113" s="182"/>
      <c r="SMG113" s="181"/>
      <c r="SMH113" s="182"/>
      <c r="SMI113" s="181"/>
      <c r="SMJ113" s="182"/>
      <c r="SMK113" s="181"/>
      <c r="SML113" s="182"/>
      <c r="SMM113" s="181"/>
      <c r="SMN113" s="182"/>
      <c r="SMO113" s="181"/>
      <c r="SMP113" s="182"/>
      <c r="SMQ113" s="181"/>
      <c r="SMR113" s="182"/>
      <c r="SMS113" s="181"/>
      <c r="SMT113" s="182"/>
      <c r="SMU113" s="181"/>
      <c r="SMV113" s="182"/>
      <c r="SMW113" s="181"/>
      <c r="SMX113" s="182"/>
      <c r="SMY113" s="181"/>
      <c r="SMZ113" s="182"/>
      <c r="SNA113" s="181"/>
      <c r="SNB113" s="182"/>
      <c r="SNC113" s="181"/>
      <c r="SND113" s="182"/>
      <c r="SNE113" s="181"/>
      <c r="SNF113" s="182"/>
      <c r="SNG113" s="181"/>
      <c r="SNH113" s="182"/>
      <c r="SNI113" s="181"/>
      <c r="SNJ113" s="182"/>
      <c r="SNK113" s="181"/>
      <c r="SNL113" s="182"/>
      <c r="SNM113" s="181"/>
      <c r="SNN113" s="182"/>
      <c r="SNO113" s="181"/>
      <c r="SNP113" s="182"/>
      <c r="SNQ113" s="181"/>
      <c r="SNR113" s="182"/>
      <c r="SNS113" s="181"/>
      <c r="SNT113" s="182"/>
      <c r="SNU113" s="181"/>
      <c r="SNV113" s="182"/>
      <c r="SNW113" s="181"/>
      <c r="SNX113" s="182"/>
      <c r="SNY113" s="181"/>
      <c r="SNZ113" s="182"/>
      <c r="SOA113" s="181"/>
      <c r="SOB113" s="182"/>
      <c r="SOC113" s="181"/>
      <c r="SOD113" s="182"/>
      <c r="SOE113" s="181"/>
      <c r="SOF113" s="182"/>
      <c r="SOG113" s="181"/>
      <c r="SOH113" s="182"/>
      <c r="SOI113" s="181"/>
      <c r="SOJ113" s="182"/>
      <c r="SOK113" s="181"/>
      <c r="SOL113" s="182"/>
      <c r="SOM113" s="181"/>
      <c r="SON113" s="182"/>
      <c r="SOO113" s="181"/>
      <c r="SOP113" s="182"/>
      <c r="SOQ113" s="181"/>
      <c r="SOR113" s="182"/>
      <c r="SOS113" s="181"/>
      <c r="SOT113" s="182"/>
      <c r="SOU113" s="181"/>
      <c r="SOV113" s="182"/>
      <c r="SOW113" s="181"/>
      <c r="SOX113" s="182"/>
      <c r="SOY113" s="181"/>
      <c r="SOZ113" s="182"/>
      <c r="SPA113" s="181"/>
      <c r="SPB113" s="182"/>
      <c r="SPC113" s="181"/>
      <c r="SPD113" s="182"/>
      <c r="SPE113" s="181"/>
      <c r="SPF113" s="182"/>
      <c r="SPG113" s="181"/>
      <c r="SPH113" s="182"/>
      <c r="SPI113" s="181"/>
      <c r="SPJ113" s="182"/>
      <c r="SPK113" s="181"/>
      <c r="SPL113" s="182"/>
      <c r="SPM113" s="181"/>
      <c r="SPN113" s="182"/>
      <c r="SPO113" s="181"/>
      <c r="SPP113" s="182"/>
      <c r="SPQ113" s="181"/>
      <c r="SPR113" s="182"/>
      <c r="SPS113" s="181"/>
      <c r="SPT113" s="182"/>
      <c r="SPU113" s="181"/>
      <c r="SPV113" s="182"/>
      <c r="SPW113" s="181"/>
      <c r="SPX113" s="182"/>
      <c r="SPY113" s="181"/>
      <c r="SPZ113" s="182"/>
      <c r="SQA113" s="181"/>
      <c r="SQB113" s="182"/>
      <c r="SQC113" s="181"/>
      <c r="SQD113" s="182"/>
      <c r="SQE113" s="181"/>
      <c r="SQF113" s="182"/>
      <c r="SQG113" s="181"/>
      <c r="SQH113" s="182"/>
      <c r="SQI113" s="181"/>
      <c r="SQJ113" s="182"/>
      <c r="SQK113" s="181"/>
      <c r="SQL113" s="182"/>
      <c r="SQM113" s="181"/>
      <c r="SQN113" s="182"/>
      <c r="SQO113" s="181"/>
      <c r="SQP113" s="182"/>
      <c r="SQQ113" s="181"/>
      <c r="SQR113" s="182"/>
      <c r="SQS113" s="181"/>
      <c r="SQT113" s="182"/>
      <c r="SQU113" s="181"/>
      <c r="SQV113" s="182"/>
      <c r="SQW113" s="181"/>
      <c r="SQX113" s="182"/>
      <c r="SQY113" s="181"/>
      <c r="SQZ113" s="182"/>
      <c r="SRA113" s="181"/>
      <c r="SRB113" s="182"/>
      <c r="SRC113" s="181"/>
      <c r="SRD113" s="182"/>
      <c r="SRE113" s="181"/>
      <c r="SRF113" s="182"/>
      <c r="SRG113" s="181"/>
      <c r="SRH113" s="182"/>
      <c r="SRI113" s="181"/>
      <c r="SRJ113" s="182"/>
      <c r="SRK113" s="181"/>
      <c r="SRL113" s="182"/>
      <c r="SRM113" s="181"/>
      <c r="SRN113" s="182"/>
      <c r="SRO113" s="181"/>
      <c r="SRP113" s="182"/>
      <c r="SRQ113" s="181"/>
      <c r="SRR113" s="182"/>
      <c r="SRS113" s="181"/>
      <c r="SRT113" s="182"/>
      <c r="SRU113" s="181"/>
      <c r="SRV113" s="182"/>
      <c r="SRW113" s="181"/>
      <c r="SRX113" s="182"/>
      <c r="SRY113" s="181"/>
      <c r="SRZ113" s="182"/>
      <c r="SSA113" s="181"/>
      <c r="SSB113" s="182"/>
      <c r="SSC113" s="181"/>
      <c r="SSD113" s="182"/>
      <c r="SSE113" s="181"/>
      <c r="SSF113" s="182"/>
      <c r="SSG113" s="181"/>
      <c r="SSH113" s="182"/>
      <c r="SSI113" s="181"/>
      <c r="SSJ113" s="182"/>
      <c r="SSK113" s="181"/>
      <c r="SSL113" s="182"/>
      <c r="SSM113" s="181"/>
      <c r="SSN113" s="182"/>
      <c r="SSO113" s="181"/>
      <c r="SSP113" s="182"/>
      <c r="SSQ113" s="181"/>
      <c r="SSR113" s="182"/>
      <c r="SSS113" s="181"/>
      <c r="SST113" s="182"/>
      <c r="SSU113" s="181"/>
      <c r="SSV113" s="182"/>
      <c r="SSW113" s="181"/>
      <c r="SSX113" s="182"/>
      <c r="SSY113" s="181"/>
      <c r="SSZ113" s="182"/>
      <c r="STA113" s="181"/>
      <c r="STB113" s="182"/>
      <c r="STC113" s="181"/>
      <c r="STD113" s="182"/>
      <c r="STE113" s="181"/>
      <c r="STF113" s="182"/>
      <c r="STG113" s="181"/>
      <c r="STH113" s="182"/>
      <c r="STI113" s="181"/>
      <c r="STJ113" s="182"/>
      <c r="STK113" s="181"/>
      <c r="STL113" s="182"/>
      <c r="STM113" s="181"/>
      <c r="STN113" s="182"/>
      <c r="STO113" s="181"/>
      <c r="STP113" s="182"/>
      <c r="STQ113" s="181"/>
      <c r="STR113" s="182"/>
      <c r="STS113" s="181"/>
      <c r="STT113" s="182"/>
      <c r="STU113" s="181"/>
      <c r="STV113" s="182"/>
      <c r="STW113" s="181"/>
      <c r="STX113" s="182"/>
      <c r="STY113" s="181"/>
      <c r="STZ113" s="182"/>
      <c r="SUA113" s="181"/>
      <c r="SUB113" s="182"/>
      <c r="SUC113" s="181"/>
      <c r="SUD113" s="182"/>
      <c r="SUE113" s="181"/>
      <c r="SUF113" s="182"/>
      <c r="SUG113" s="181"/>
      <c r="SUH113" s="182"/>
      <c r="SUI113" s="181"/>
      <c r="SUJ113" s="182"/>
      <c r="SUK113" s="181"/>
      <c r="SUL113" s="182"/>
      <c r="SUM113" s="181"/>
      <c r="SUN113" s="182"/>
      <c r="SUO113" s="181"/>
      <c r="SUP113" s="182"/>
      <c r="SUQ113" s="181"/>
      <c r="SUR113" s="182"/>
      <c r="SUS113" s="181"/>
      <c r="SUT113" s="182"/>
      <c r="SUU113" s="181"/>
      <c r="SUV113" s="182"/>
      <c r="SUW113" s="181"/>
      <c r="SUX113" s="182"/>
      <c r="SUY113" s="181"/>
      <c r="SUZ113" s="182"/>
      <c r="SVA113" s="181"/>
      <c r="SVB113" s="182"/>
      <c r="SVC113" s="181"/>
      <c r="SVD113" s="182"/>
      <c r="SVE113" s="181"/>
      <c r="SVF113" s="182"/>
      <c r="SVG113" s="181"/>
      <c r="SVH113" s="182"/>
      <c r="SVI113" s="181"/>
      <c r="SVJ113" s="182"/>
      <c r="SVK113" s="181"/>
      <c r="SVL113" s="182"/>
      <c r="SVM113" s="181"/>
      <c r="SVN113" s="182"/>
      <c r="SVO113" s="181"/>
      <c r="SVP113" s="182"/>
      <c r="SVQ113" s="181"/>
      <c r="SVR113" s="182"/>
      <c r="SVS113" s="181"/>
      <c r="SVT113" s="182"/>
      <c r="SVU113" s="181"/>
      <c r="SVV113" s="182"/>
      <c r="SVW113" s="181"/>
      <c r="SVX113" s="182"/>
      <c r="SVY113" s="181"/>
      <c r="SVZ113" s="182"/>
      <c r="SWA113" s="181"/>
      <c r="SWB113" s="182"/>
      <c r="SWC113" s="181"/>
      <c r="SWD113" s="182"/>
      <c r="SWE113" s="181"/>
      <c r="SWF113" s="182"/>
      <c r="SWG113" s="181"/>
      <c r="SWH113" s="182"/>
      <c r="SWI113" s="181"/>
      <c r="SWJ113" s="182"/>
      <c r="SWK113" s="181"/>
      <c r="SWL113" s="182"/>
      <c r="SWM113" s="181"/>
      <c r="SWN113" s="182"/>
      <c r="SWO113" s="181"/>
      <c r="SWP113" s="182"/>
      <c r="SWQ113" s="181"/>
      <c r="SWR113" s="182"/>
      <c r="SWS113" s="181"/>
      <c r="SWT113" s="182"/>
      <c r="SWU113" s="181"/>
      <c r="SWV113" s="182"/>
      <c r="SWW113" s="181"/>
      <c r="SWX113" s="182"/>
      <c r="SWY113" s="181"/>
      <c r="SWZ113" s="182"/>
      <c r="SXA113" s="181"/>
      <c r="SXB113" s="182"/>
      <c r="SXC113" s="181"/>
      <c r="SXD113" s="182"/>
      <c r="SXE113" s="181"/>
      <c r="SXF113" s="182"/>
      <c r="SXG113" s="181"/>
      <c r="SXH113" s="182"/>
      <c r="SXI113" s="181"/>
      <c r="SXJ113" s="182"/>
      <c r="SXK113" s="181"/>
      <c r="SXL113" s="182"/>
      <c r="SXM113" s="181"/>
      <c r="SXN113" s="182"/>
      <c r="SXO113" s="181"/>
      <c r="SXP113" s="182"/>
      <c r="SXQ113" s="181"/>
      <c r="SXR113" s="182"/>
      <c r="SXS113" s="181"/>
      <c r="SXT113" s="182"/>
      <c r="SXU113" s="181"/>
      <c r="SXV113" s="182"/>
      <c r="SXW113" s="181"/>
      <c r="SXX113" s="182"/>
      <c r="SXY113" s="181"/>
      <c r="SXZ113" s="182"/>
      <c r="SYA113" s="181"/>
      <c r="SYB113" s="182"/>
      <c r="SYC113" s="181"/>
      <c r="SYD113" s="182"/>
      <c r="SYE113" s="181"/>
      <c r="SYF113" s="182"/>
      <c r="SYG113" s="181"/>
      <c r="SYH113" s="182"/>
      <c r="SYI113" s="181"/>
      <c r="SYJ113" s="182"/>
      <c r="SYK113" s="181"/>
      <c r="SYL113" s="182"/>
      <c r="SYM113" s="181"/>
      <c r="SYN113" s="182"/>
      <c r="SYO113" s="181"/>
      <c r="SYP113" s="182"/>
      <c r="SYQ113" s="181"/>
      <c r="SYR113" s="182"/>
      <c r="SYS113" s="181"/>
      <c r="SYT113" s="182"/>
      <c r="SYU113" s="181"/>
      <c r="SYV113" s="182"/>
      <c r="SYW113" s="181"/>
      <c r="SYX113" s="182"/>
      <c r="SYY113" s="181"/>
      <c r="SYZ113" s="182"/>
      <c r="SZA113" s="181"/>
      <c r="SZB113" s="182"/>
      <c r="SZC113" s="181"/>
      <c r="SZD113" s="182"/>
      <c r="SZE113" s="181"/>
      <c r="SZF113" s="182"/>
      <c r="SZG113" s="181"/>
      <c r="SZH113" s="182"/>
      <c r="SZI113" s="181"/>
      <c r="SZJ113" s="182"/>
      <c r="SZK113" s="181"/>
      <c r="SZL113" s="182"/>
      <c r="SZM113" s="181"/>
      <c r="SZN113" s="182"/>
      <c r="SZO113" s="181"/>
      <c r="SZP113" s="182"/>
      <c r="SZQ113" s="181"/>
      <c r="SZR113" s="182"/>
      <c r="SZS113" s="181"/>
      <c r="SZT113" s="182"/>
      <c r="SZU113" s="181"/>
      <c r="SZV113" s="182"/>
      <c r="SZW113" s="181"/>
      <c r="SZX113" s="182"/>
      <c r="SZY113" s="181"/>
      <c r="SZZ113" s="182"/>
      <c r="TAA113" s="181"/>
      <c r="TAB113" s="182"/>
      <c r="TAC113" s="181"/>
      <c r="TAD113" s="182"/>
      <c r="TAE113" s="181"/>
      <c r="TAF113" s="182"/>
      <c r="TAG113" s="181"/>
      <c r="TAH113" s="182"/>
      <c r="TAI113" s="181"/>
      <c r="TAJ113" s="182"/>
      <c r="TAK113" s="181"/>
      <c r="TAL113" s="182"/>
      <c r="TAM113" s="181"/>
      <c r="TAN113" s="182"/>
      <c r="TAO113" s="181"/>
      <c r="TAP113" s="182"/>
      <c r="TAQ113" s="181"/>
      <c r="TAR113" s="182"/>
      <c r="TAS113" s="181"/>
      <c r="TAT113" s="182"/>
      <c r="TAU113" s="181"/>
      <c r="TAV113" s="182"/>
      <c r="TAW113" s="181"/>
      <c r="TAX113" s="182"/>
      <c r="TAY113" s="181"/>
      <c r="TAZ113" s="182"/>
      <c r="TBA113" s="181"/>
      <c r="TBB113" s="182"/>
      <c r="TBC113" s="181"/>
      <c r="TBD113" s="182"/>
      <c r="TBE113" s="181"/>
      <c r="TBF113" s="182"/>
      <c r="TBG113" s="181"/>
      <c r="TBH113" s="182"/>
      <c r="TBI113" s="181"/>
      <c r="TBJ113" s="182"/>
      <c r="TBK113" s="181"/>
      <c r="TBL113" s="182"/>
      <c r="TBM113" s="181"/>
      <c r="TBN113" s="182"/>
      <c r="TBO113" s="181"/>
      <c r="TBP113" s="182"/>
      <c r="TBQ113" s="181"/>
      <c r="TBR113" s="182"/>
      <c r="TBS113" s="181"/>
      <c r="TBT113" s="182"/>
      <c r="TBU113" s="181"/>
      <c r="TBV113" s="182"/>
      <c r="TBW113" s="181"/>
      <c r="TBX113" s="182"/>
      <c r="TBY113" s="181"/>
      <c r="TBZ113" s="182"/>
      <c r="TCA113" s="181"/>
      <c r="TCB113" s="182"/>
      <c r="TCC113" s="181"/>
      <c r="TCD113" s="182"/>
      <c r="TCE113" s="181"/>
      <c r="TCF113" s="182"/>
      <c r="TCG113" s="181"/>
      <c r="TCH113" s="182"/>
      <c r="TCI113" s="181"/>
      <c r="TCJ113" s="182"/>
      <c r="TCK113" s="181"/>
      <c r="TCL113" s="182"/>
      <c r="TCM113" s="181"/>
      <c r="TCN113" s="182"/>
      <c r="TCO113" s="181"/>
      <c r="TCP113" s="182"/>
      <c r="TCQ113" s="181"/>
      <c r="TCR113" s="182"/>
      <c r="TCS113" s="181"/>
      <c r="TCT113" s="182"/>
      <c r="TCU113" s="181"/>
      <c r="TCV113" s="182"/>
      <c r="TCW113" s="181"/>
      <c r="TCX113" s="182"/>
      <c r="TCY113" s="181"/>
      <c r="TCZ113" s="182"/>
      <c r="TDA113" s="181"/>
      <c r="TDB113" s="182"/>
      <c r="TDC113" s="181"/>
      <c r="TDD113" s="182"/>
      <c r="TDE113" s="181"/>
      <c r="TDF113" s="182"/>
      <c r="TDG113" s="181"/>
      <c r="TDH113" s="182"/>
      <c r="TDI113" s="181"/>
      <c r="TDJ113" s="182"/>
      <c r="TDK113" s="181"/>
      <c r="TDL113" s="182"/>
      <c r="TDM113" s="181"/>
      <c r="TDN113" s="182"/>
      <c r="TDO113" s="181"/>
      <c r="TDP113" s="182"/>
      <c r="TDQ113" s="181"/>
      <c r="TDR113" s="182"/>
      <c r="TDS113" s="181"/>
      <c r="TDT113" s="182"/>
      <c r="TDU113" s="181"/>
      <c r="TDV113" s="182"/>
      <c r="TDW113" s="181"/>
      <c r="TDX113" s="182"/>
      <c r="TDY113" s="181"/>
      <c r="TDZ113" s="182"/>
      <c r="TEA113" s="181"/>
      <c r="TEB113" s="182"/>
      <c r="TEC113" s="181"/>
      <c r="TED113" s="182"/>
      <c r="TEE113" s="181"/>
      <c r="TEF113" s="182"/>
      <c r="TEG113" s="181"/>
      <c r="TEH113" s="182"/>
      <c r="TEI113" s="181"/>
      <c r="TEJ113" s="182"/>
      <c r="TEK113" s="181"/>
      <c r="TEL113" s="182"/>
      <c r="TEM113" s="181"/>
      <c r="TEN113" s="182"/>
      <c r="TEO113" s="181"/>
      <c r="TEP113" s="182"/>
      <c r="TEQ113" s="181"/>
      <c r="TER113" s="182"/>
      <c r="TES113" s="181"/>
      <c r="TET113" s="182"/>
      <c r="TEU113" s="181"/>
      <c r="TEV113" s="182"/>
      <c r="TEW113" s="181"/>
      <c r="TEX113" s="182"/>
      <c r="TEY113" s="181"/>
      <c r="TEZ113" s="182"/>
      <c r="TFA113" s="181"/>
      <c r="TFB113" s="182"/>
      <c r="TFC113" s="181"/>
      <c r="TFD113" s="182"/>
      <c r="TFE113" s="181"/>
      <c r="TFF113" s="182"/>
      <c r="TFG113" s="181"/>
      <c r="TFH113" s="182"/>
      <c r="TFI113" s="181"/>
      <c r="TFJ113" s="182"/>
      <c r="TFK113" s="181"/>
      <c r="TFL113" s="182"/>
      <c r="TFM113" s="181"/>
      <c r="TFN113" s="182"/>
      <c r="TFO113" s="181"/>
      <c r="TFP113" s="182"/>
      <c r="TFQ113" s="181"/>
      <c r="TFR113" s="182"/>
      <c r="TFS113" s="181"/>
      <c r="TFT113" s="182"/>
      <c r="TFU113" s="181"/>
      <c r="TFV113" s="182"/>
      <c r="TFW113" s="181"/>
      <c r="TFX113" s="182"/>
      <c r="TFY113" s="181"/>
      <c r="TFZ113" s="182"/>
      <c r="TGA113" s="181"/>
      <c r="TGB113" s="182"/>
      <c r="TGC113" s="181"/>
      <c r="TGD113" s="182"/>
      <c r="TGE113" s="181"/>
      <c r="TGF113" s="182"/>
      <c r="TGG113" s="181"/>
      <c r="TGH113" s="182"/>
      <c r="TGI113" s="181"/>
      <c r="TGJ113" s="182"/>
      <c r="TGK113" s="181"/>
      <c r="TGL113" s="182"/>
      <c r="TGM113" s="181"/>
      <c r="TGN113" s="182"/>
      <c r="TGO113" s="181"/>
      <c r="TGP113" s="182"/>
      <c r="TGQ113" s="181"/>
      <c r="TGR113" s="182"/>
      <c r="TGS113" s="181"/>
      <c r="TGT113" s="182"/>
      <c r="TGU113" s="181"/>
      <c r="TGV113" s="182"/>
      <c r="TGW113" s="181"/>
      <c r="TGX113" s="182"/>
      <c r="TGY113" s="181"/>
      <c r="TGZ113" s="182"/>
      <c r="THA113" s="181"/>
      <c r="THB113" s="182"/>
      <c r="THC113" s="181"/>
      <c r="THD113" s="182"/>
      <c r="THE113" s="181"/>
      <c r="THF113" s="182"/>
      <c r="THG113" s="181"/>
      <c r="THH113" s="182"/>
      <c r="THI113" s="181"/>
      <c r="THJ113" s="182"/>
      <c r="THK113" s="181"/>
      <c r="THL113" s="182"/>
      <c r="THM113" s="181"/>
      <c r="THN113" s="182"/>
      <c r="THO113" s="181"/>
      <c r="THP113" s="182"/>
      <c r="THQ113" s="181"/>
      <c r="THR113" s="182"/>
      <c r="THS113" s="181"/>
      <c r="THT113" s="182"/>
      <c r="THU113" s="181"/>
      <c r="THV113" s="182"/>
      <c r="THW113" s="181"/>
      <c r="THX113" s="182"/>
      <c r="THY113" s="181"/>
      <c r="THZ113" s="182"/>
      <c r="TIA113" s="181"/>
      <c r="TIB113" s="182"/>
      <c r="TIC113" s="181"/>
      <c r="TID113" s="182"/>
      <c r="TIE113" s="181"/>
      <c r="TIF113" s="182"/>
      <c r="TIG113" s="181"/>
      <c r="TIH113" s="182"/>
      <c r="TII113" s="181"/>
      <c r="TIJ113" s="182"/>
      <c r="TIK113" s="181"/>
      <c r="TIL113" s="182"/>
      <c r="TIM113" s="181"/>
      <c r="TIN113" s="182"/>
      <c r="TIO113" s="181"/>
      <c r="TIP113" s="182"/>
      <c r="TIQ113" s="181"/>
      <c r="TIR113" s="182"/>
      <c r="TIS113" s="181"/>
      <c r="TIT113" s="182"/>
      <c r="TIU113" s="181"/>
      <c r="TIV113" s="182"/>
      <c r="TIW113" s="181"/>
      <c r="TIX113" s="182"/>
      <c r="TIY113" s="181"/>
      <c r="TIZ113" s="182"/>
      <c r="TJA113" s="181"/>
      <c r="TJB113" s="182"/>
      <c r="TJC113" s="181"/>
      <c r="TJD113" s="182"/>
      <c r="TJE113" s="181"/>
      <c r="TJF113" s="182"/>
      <c r="TJG113" s="181"/>
      <c r="TJH113" s="182"/>
      <c r="TJI113" s="181"/>
      <c r="TJJ113" s="182"/>
      <c r="TJK113" s="181"/>
      <c r="TJL113" s="182"/>
      <c r="TJM113" s="181"/>
      <c r="TJN113" s="182"/>
      <c r="TJO113" s="181"/>
      <c r="TJP113" s="182"/>
      <c r="TJQ113" s="181"/>
      <c r="TJR113" s="182"/>
      <c r="TJS113" s="181"/>
      <c r="TJT113" s="182"/>
      <c r="TJU113" s="181"/>
      <c r="TJV113" s="182"/>
      <c r="TJW113" s="181"/>
      <c r="TJX113" s="182"/>
      <c r="TJY113" s="181"/>
      <c r="TJZ113" s="182"/>
      <c r="TKA113" s="181"/>
      <c r="TKB113" s="182"/>
      <c r="TKC113" s="181"/>
      <c r="TKD113" s="182"/>
      <c r="TKE113" s="181"/>
      <c r="TKF113" s="182"/>
      <c r="TKG113" s="181"/>
      <c r="TKH113" s="182"/>
      <c r="TKI113" s="181"/>
      <c r="TKJ113" s="182"/>
      <c r="TKK113" s="181"/>
      <c r="TKL113" s="182"/>
      <c r="TKM113" s="181"/>
      <c r="TKN113" s="182"/>
      <c r="TKO113" s="181"/>
      <c r="TKP113" s="182"/>
      <c r="TKQ113" s="181"/>
      <c r="TKR113" s="182"/>
      <c r="TKS113" s="181"/>
      <c r="TKT113" s="182"/>
      <c r="TKU113" s="181"/>
      <c r="TKV113" s="182"/>
      <c r="TKW113" s="181"/>
      <c r="TKX113" s="182"/>
      <c r="TKY113" s="181"/>
      <c r="TKZ113" s="182"/>
      <c r="TLA113" s="181"/>
      <c r="TLB113" s="182"/>
      <c r="TLC113" s="181"/>
      <c r="TLD113" s="182"/>
      <c r="TLE113" s="181"/>
      <c r="TLF113" s="182"/>
      <c r="TLG113" s="181"/>
      <c r="TLH113" s="182"/>
      <c r="TLI113" s="181"/>
      <c r="TLJ113" s="182"/>
      <c r="TLK113" s="181"/>
      <c r="TLL113" s="182"/>
      <c r="TLM113" s="181"/>
      <c r="TLN113" s="182"/>
      <c r="TLO113" s="181"/>
      <c r="TLP113" s="182"/>
      <c r="TLQ113" s="181"/>
      <c r="TLR113" s="182"/>
      <c r="TLS113" s="181"/>
      <c r="TLT113" s="182"/>
      <c r="TLU113" s="181"/>
      <c r="TLV113" s="182"/>
      <c r="TLW113" s="181"/>
      <c r="TLX113" s="182"/>
      <c r="TLY113" s="181"/>
      <c r="TLZ113" s="182"/>
      <c r="TMA113" s="181"/>
      <c r="TMB113" s="182"/>
      <c r="TMC113" s="181"/>
      <c r="TMD113" s="182"/>
      <c r="TME113" s="181"/>
      <c r="TMF113" s="182"/>
      <c r="TMG113" s="181"/>
      <c r="TMH113" s="182"/>
      <c r="TMI113" s="181"/>
      <c r="TMJ113" s="182"/>
      <c r="TMK113" s="181"/>
      <c r="TML113" s="182"/>
      <c r="TMM113" s="181"/>
      <c r="TMN113" s="182"/>
      <c r="TMO113" s="181"/>
      <c r="TMP113" s="182"/>
      <c r="TMQ113" s="181"/>
      <c r="TMR113" s="182"/>
      <c r="TMS113" s="181"/>
      <c r="TMT113" s="182"/>
      <c r="TMU113" s="181"/>
      <c r="TMV113" s="182"/>
      <c r="TMW113" s="181"/>
      <c r="TMX113" s="182"/>
      <c r="TMY113" s="181"/>
      <c r="TMZ113" s="182"/>
      <c r="TNA113" s="181"/>
      <c r="TNB113" s="182"/>
      <c r="TNC113" s="181"/>
      <c r="TND113" s="182"/>
      <c r="TNE113" s="181"/>
      <c r="TNF113" s="182"/>
      <c r="TNG113" s="181"/>
      <c r="TNH113" s="182"/>
      <c r="TNI113" s="181"/>
      <c r="TNJ113" s="182"/>
      <c r="TNK113" s="181"/>
      <c r="TNL113" s="182"/>
      <c r="TNM113" s="181"/>
      <c r="TNN113" s="182"/>
      <c r="TNO113" s="181"/>
      <c r="TNP113" s="182"/>
      <c r="TNQ113" s="181"/>
      <c r="TNR113" s="182"/>
      <c r="TNS113" s="181"/>
      <c r="TNT113" s="182"/>
      <c r="TNU113" s="181"/>
      <c r="TNV113" s="182"/>
      <c r="TNW113" s="181"/>
      <c r="TNX113" s="182"/>
      <c r="TNY113" s="181"/>
      <c r="TNZ113" s="182"/>
      <c r="TOA113" s="181"/>
      <c r="TOB113" s="182"/>
      <c r="TOC113" s="181"/>
      <c r="TOD113" s="182"/>
      <c r="TOE113" s="181"/>
      <c r="TOF113" s="182"/>
      <c r="TOG113" s="181"/>
      <c r="TOH113" s="182"/>
      <c r="TOI113" s="181"/>
      <c r="TOJ113" s="182"/>
      <c r="TOK113" s="181"/>
      <c r="TOL113" s="182"/>
      <c r="TOM113" s="181"/>
      <c r="TON113" s="182"/>
      <c r="TOO113" s="181"/>
      <c r="TOP113" s="182"/>
      <c r="TOQ113" s="181"/>
      <c r="TOR113" s="182"/>
      <c r="TOS113" s="181"/>
      <c r="TOT113" s="182"/>
      <c r="TOU113" s="181"/>
      <c r="TOV113" s="182"/>
      <c r="TOW113" s="181"/>
      <c r="TOX113" s="182"/>
      <c r="TOY113" s="181"/>
      <c r="TOZ113" s="182"/>
      <c r="TPA113" s="181"/>
      <c r="TPB113" s="182"/>
      <c r="TPC113" s="181"/>
      <c r="TPD113" s="182"/>
      <c r="TPE113" s="181"/>
      <c r="TPF113" s="182"/>
      <c r="TPG113" s="181"/>
      <c r="TPH113" s="182"/>
      <c r="TPI113" s="181"/>
      <c r="TPJ113" s="182"/>
      <c r="TPK113" s="181"/>
      <c r="TPL113" s="182"/>
      <c r="TPM113" s="181"/>
      <c r="TPN113" s="182"/>
      <c r="TPO113" s="181"/>
      <c r="TPP113" s="182"/>
      <c r="TPQ113" s="181"/>
      <c r="TPR113" s="182"/>
      <c r="TPS113" s="181"/>
      <c r="TPT113" s="182"/>
      <c r="TPU113" s="181"/>
      <c r="TPV113" s="182"/>
      <c r="TPW113" s="181"/>
      <c r="TPX113" s="182"/>
      <c r="TPY113" s="181"/>
      <c r="TPZ113" s="182"/>
      <c r="TQA113" s="181"/>
      <c r="TQB113" s="182"/>
      <c r="TQC113" s="181"/>
      <c r="TQD113" s="182"/>
      <c r="TQE113" s="181"/>
      <c r="TQF113" s="182"/>
      <c r="TQG113" s="181"/>
      <c r="TQH113" s="182"/>
      <c r="TQI113" s="181"/>
      <c r="TQJ113" s="182"/>
      <c r="TQK113" s="181"/>
      <c r="TQL113" s="182"/>
      <c r="TQM113" s="181"/>
      <c r="TQN113" s="182"/>
      <c r="TQO113" s="181"/>
      <c r="TQP113" s="182"/>
      <c r="TQQ113" s="181"/>
      <c r="TQR113" s="182"/>
      <c r="TQS113" s="181"/>
      <c r="TQT113" s="182"/>
      <c r="TQU113" s="181"/>
      <c r="TQV113" s="182"/>
      <c r="TQW113" s="181"/>
      <c r="TQX113" s="182"/>
      <c r="TQY113" s="181"/>
      <c r="TQZ113" s="182"/>
      <c r="TRA113" s="181"/>
      <c r="TRB113" s="182"/>
      <c r="TRC113" s="181"/>
      <c r="TRD113" s="182"/>
      <c r="TRE113" s="181"/>
      <c r="TRF113" s="182"/>
      <c r="TRG113" s="181"/>
      <c r="TRH113" s="182"/>
      <c r="TRI113" s="181"/>
      <c r="TRJ113" s="182"/>
      <c r="TRK113" s="181"/>
      <c r="TRL113" s="182"/>
      <c r="TRM113" s="181"/>
      <c r="TRN113" s="182"/>
      <c r="TRO113" s="181"/>
      <c r="TRP113" s="182"/>
      <c r="TRQ113" s="181"/>
      <c r="TRR113" s="182"/>
      <c r="TRS113" s="181"/>
      <c r="TRT113" s="182"/>
      <c r="TRU113" s="181"/>
      <c r="TRV113" s="182"/>
      <c r="TRW113" s="181"/>
      <c r="TRX113" s="182"/>
      <c r="TRY113" s="181"/>
      <c r="TRZ113" s="182"/>
      <c r="TSA113" s="181"/>
      <c r="TSB113" s="182"/>
      <c r="TSC113" s="181"/>
      <c r="TSD113" s="182"/>
      <c r="TSE113" s="181"/>
      <c r="TSF113" s="182"/>
      <c r="TSG113" s="181"/>
      <c r="TSH113" s="182"/>
      <c r="TSI113" s="181"/>
      <c r="TSJ113" s="182"/>
      <c r="TSK113" s="181"/>
      <c r="TSL113" s="182"/>
      <c r="TSM113" s="181"/>
      <c r="TSN113" s="182"/>
      <c r="TSO113" s="181"/>
      <c r="TSP113" s="182"/>
      <c r="TSQ113" s="181"/>
      <c r="TSR113" s="182"/>
      <c r="TSS113" s="181"/>
      <c r="TST113" s="182"/>
      <c r="TSU113" s="181"/>
      <c r="TSV113" s="182"/>
      <c r="TSW113" s="181"/>
      <c r="TSX113" s="182"/>
      <c r="TSY113" s="181"/>
      <c r="TSZ113" s="182"/>
      <c r="TTA113" s="181"/>
      <c r="TTB113" s="182"/>
      <c r="TTC113" s="181"/>
      <c r="TTD113" s="182"/>
      <c r="TTE113" s="181"/>
      <c r="TTF113" s="182"/>
      <c r="TTG113" s="181"/>
      <c r="TTH113" s="182"/>
      <c r="TTI113" s="181"/>
      <c r="TTJ113" s="182"/>
      <c r="TTK113" s="181"/>
      <c r="TTL113" s="182"/>
      <c r="TTM113" s="181"/>
      <c r="TTN113" s="182"/>
      <c r="TTO113" s="181"/>
      <c r="TTP113" s="182"/>
      <c r="TTQ113" s="181"/>
      <c r="TTR113" s="182"/>
      <c r="TTS113" s="181"/>
      <c r="TTT113" s="182"/>
      <c r="TTU113" s="181"/>
      <c r="TTV113" s="182"/>
      <c r="TTW113" s="181"/>
      <c r="TTX113" s="182"/>
      <c r="TTY113" s="181"/>
      <c r="TTZ113" s="182"/>
      <c r="TUA113" s="181"/>
      <c r="TUB113" s="182"/>
      <c r="TUC113" s="181"/>
      <c r="TUD113" s="182"/>
      <c r="TUE113" s="181"/>
      <c r="TUF113" s="182"/>
      <c r="TUG113" s="181"/>
      <c r="TUH113" s="182"/>
      <c r="TUI113" s="181"/>
      <c r="TUJ113" s="182"/>
      <c r="TUK113" s="181"/>
      <c r="TUL113" s="182"/>
      <c r="TUM113" s="181"/>
      <c r="TUN113" s="182"/>
      <c r="TUO113" s="181"/>
      <c r="TUP113" s="182"/>
      <c r="TUQ113" s="181"/>
      <c r="TUR113" s="182"/>
      <c r="TUS113" s="181"/>
      <c r="TUT113" s="182"/>
      <c r="TUU113" s="181"/>
      <c r="TUV113" s="182"/>
      <c r="TUW113" s="181"/>
      <c r="TUX113" s="182"/>
      <c r="TUY113" s="181"/>
      <c r="TUZ113" s="182"/>
      <c r="TVA113" s="181"/>
      <c r="TVB113" s="182"/>
      <c r="TVC113" s="181"/>
      <c r="TVD113" s="182"/>
      <c r="TVE113" s="181"/>
      <c r="TVF113" s="182"/>
      <c r="TVG113" s="181"/>
      <c r="TVH113" s="182"/>
      <c r="TVI113" s="181"/>
      <c r="TVJ113" s="182"/>
      <c r="TVK113" s="181"/>
      <c r="TVL113" s="182"/>
      <c r="TVM113" s="181"/>
      <c r="TVN113" s="182"/>
      <c r="TVO113" s="181"/>
      <c r="TVP113" s="182"/>
      <c r="TVQ113" s="181"/>
      <c r="TVR113" s="182"/>
      <c r="TVS113" s="181"/>
      <c r="TVT113" s="182"/>
      <c r="TVU113" s="181"/>
      <c r="TVV113" s="182"/>
      <c r="TVW113" s="181"/>
      <c r="TVX113" s="182"/>
      <c r="TVY113" s="181"/>
      <c r="TVZ113" s="182"/>
      <c r="TWA113" s="181"/>
      <c r="TWB113" s="182"/>
      <c r="TWC113" s="181"/>
      <c r="TWD113" s="182"/>
      <c r="TWE113" s="181"/>
      <c r="TWF113" s="182"/>
      <c r="TWG113" s="181"/>
      <c r="TWH113" s="182"/>
      <c r="TWI113" s="181"/>
      <c r="TWJ113" s="182"/>
      <c r="TWK113" s="181"/>
      <c r="TWL113" s="182"/>
      <c r="TWM113" s="181"/>
      <c r="TWN113" s="182"/>
      <c r="TWO113" s="181"/>
      <c r="TWP113" s="182"/>
      <c r="TWQ113" s="181"/>
      <c r="TWR113" s="182"/>
      <c r="TWS113" s="181"/>
      <c r="TWT113" s="182"/>
      <c r="TWU113" s="181"/>
      <c r="TWV113" s="182"/>
      <c r="TWW113" s="181"/>
      <c r="TWX113" s="182"/>
      <c r="TWY113" s="181"/>
      <c r="TWZ113" s="182"/>
      <c r="TXA113" s="181"/>
      <c r="TXB113" s="182"/>
      <c r="TXC113" s="181"/>
      <c r="TXD113" s="182"/>
      <c r="TXE113" s="181"/>
      <c r="TXF113" s="182"/>
      <c r="TXG113" s="181"/>
      <c r="TXH113" s="182"/>
      <c r="TXI113" s="181"/>
      <c r="TXJ113" s="182"/>
      <c r="TXK113" s="181"/>
      <c r="TXL113" s="182"/>
      <c r="TXM113" s="181"/>
      <c r="TXN113" s="182"/>
      <c r="TXO113" s="181"/>
      <c r="TXP113" s="182"/>
      <c r="TXQ113" s="181"/>
      <c r="TXR113" s="182"/>
      <c r="TXS113" s="181"/>
      <c r="TXT113" s="182"/>
      <c r="TXU113" s="181"/>
      <c r="TXV113" s="182"/>
      <c r="TXW113" s="181"/>
      <c r="TXX113" s="182"/>
      <c r="TXY113" s="181"/>
      <c r="TXZ113" s="182"/>
      <c r="TYA113" s="181"/>
      <c r="TYB113" s="182"/>
      <c r="TYC113" s="181"/>
      <c r="TYD113" s="182"/>
      <c r="TYE113" s="181"/>
      <c r="TYF113" s="182"/>
      <c r="TYG113" s="181"/>
      <c r="TYH113" s="182"/>
      <c r="TYI113" s="181"/>
      <c r="TYJ113" s="182"/>
      <c r="TYK113" s="181"/>
      <c r="TYL113" s="182"/>
      <c r="TYM113" s="181"/>
      <c r="TYN113" s="182"/>
      <c r="TYO113" s="181"/>
      <c r="TYP113" s="182"/>
      <c r="TYQ113" s="181"/>
      <c r="TYR113" s="182"/>
      <c r="TYS113" s="181"/>
      <c r="TYT113" s="182"/>
      <c r="TYU113" s="181"/>
      <c r="TYV113" s="182"/>
      <c r="TYW113" s="181"/>
      <c r="TYX113" s="182"/>
      <c r="TYY113" s="181"/>
      <c r="TYZ113" s="182"/>
      <c r="TZA113" s="181"/>
      <c r="TZB113" s="182"/>
      <c r="TZC113" s="181"/>
      <c r="TZD113" s="182"/>
      <c r="TZE113" s="181"/>
      <c r="TZF113" s="182"/>
      <c r="TZG113" s="181"/>
      <c r="TZH113" s="182"/>
      <c r="TZI113" s="181"/>
      <c r="TZJ113" s="182"/>
      <c r="TZK113" s="181"/>
      <c r="TZL113" s="182"/>
      <c r="TZM113" s="181"/>
      <c r="TZN113" s="182"/>
      <c r="TZO113" s="181"/>
      <c r="TZP113" s="182"/>
      <c r="TZQ113" s="181"/>
      <c r="TZR113" s="182"/>
      <c r="TZS113" s="181"/>
      <c r="TZT113" s="182"/>
      <c r="TZU113" s="181"/>
      <c r="TZV113" s="182"/>
      <c r="TZW113" s="181"/>
      <c r="TZX113" s="182"/>
      <c r="TZY113" s="181"/>
      <c r="TZZ113" s="182"/>
      <c r="UAA113" s="181"/>
      <c r="UAB113" s="182"/>
      <c r="UAC113" s="181"/>
      <c r="UAD113" s="182"/>
      <c r="UAE113" s="181"/>
      <c r="UAF113" s="182"/>
      <c r="UAG113" s="181"/>
      <c r="UAH113" s="182"/>
      <c r="UAI113" s="181"/>
      <c r="UAJ113" s="182"/>
      <c r="UAK113" s="181"/>
      <c r="UAL113" s="182"/>
      <c r="UAM113" s="181"/>
      <c r="UAN113" s="182"/>
      <c r="UAO113" s="181"/>
      <c r="UAP113" s="182"/>
      <c r="UAQ113" s="181"/>
      <c r="UAR113" s="182"/>
      <c r="UAS113" s="181"/>
      <c r="UAT113" s="182"/>
      <c r="UAU113" s="181"/>
      <c r="UAV113" s="182"/>
      <c r="UAW113" s="181"/>
      <c r="UAX113" s="182"/>
      <c r="UAY113" s="181"/>
      <c r="UAZ113" s="182"/>
      <c r="UBA113" s="181"/>
      <c r="UBB113" s="182"/>
      <c r="UBC113" s="181"/>
      <c r="UBD113" s="182"/>
      <c r="UBE113" s="181"/>
      <c r="UBF113" s="182"/>
      <c r="UBG113" s="181"/>
      <c r="UBH113" s="182"/>
      <c r="UBI113" s="181"/>
      <c r="UBJ113" s="182"/>
      <c r="UBK113" s="181"/>
      <c r="UBL113" s="182"/>
      <c r="UBM113" s="181"/>
      <c r="UBN113" s="182"/>
      <c r="UBO113" s="181"/>
      <c r="UBP113" s="182"/>
      <c r="UBQ113" s="181"/>
      <c r="UBR113" s="182"/>
      <c r="UBS113" s="181"/>
      <c r="UBT113" s="182"/>
      <c r="UBU113" s="181"/>
      <c r="UBV113" s="182"/>
      <c r="UBW113" s="181"/>
      <c r="UBX113" s="182"/>
      <c r="UBY113" s="181"/>
      <c r="UBZ113" s="182"/>
      <c r="UCA113" s="181"/>
      <c r="UCB113" s="182"/>
      <c r="UCC113" s="181"/>
      <c r="UCD113" s="182"/>
      <c r="UCE113" s="181"/>
      <c r="UCF113" s="182"/>
      <c r="UCG113" s="181"/>
      <c r="UCH113" s="182"/>
      <c r="UCI113" s="181"/>
      <c r="UCJ113" s="182"/>
      <c r="UCK113" s="181"/>
      <c r="UCL113" s="182"/>
      <c r="UCM113" s="181"/>
      <c r="UCN113" s="182"/>
      <c r="UCO113" s="181"/>
      <c r="UCP113" s="182"/>
      <c r="UCQ113" s="181"/>
      <c r="UCR113" s="182"/>
      <c r="UCS113" s="181"/>
      <c r="UCT113" s="182"/>
      <c r="UCU113" s="181"/>
      <c r="UCV113" s="182"/>
      <c r="UCW113" s="181"/>
      <c r="UCX113" s="182"/>
      <c r="UCY113" s="181"/>
      <c r="UCZ113" s="182"/>
      <c r="UDA113" s="181"/>
      <c r="UDB113" s="182"/>
      <c r="UDC113" s="181"/>
      <c r="UDD113" s="182"/>
      <c r="UDE113" s="181"/>
      <c r="UDF113" s="182"/>
      <c r="UDG113" s="181"/>
      <c r="UDH113" s="182"/>
      <c r="UDI113" s="181"/>
      <c r="UDJ113" s="182"/>
      <c r="UDK113" s="181"/>
      <c r="UDL113" s="182"/>
      <c r="UDM113" s="181"/>
      <c r="UDN113" s="182"/>
      <c r="UDO113" s="181"/>
      <c r="UDP113" s="182"/>
      <c r="UDQ113" s="181"/>
      <c r="UDR113" s="182"/>
      <c r="UDS113" s="181"/>
      <c r="UDT113" s="182"/>
      <c r="UDU113" s="181"/>
      <c r="UDV113" s="182"/>
      <c r="UDW113" s="181"/>
      <c r="UDX113" s="182"/>
      <c r="UDY113" s="181"/>
      <c r="UDZ113" s="182"/>
      <c r="UEA113" s="181"/>
      <c r="UEB113" s="182"/>
      <c r="UEC113" s="181"/>
      <c r="UED113" s="182"/>
      <c r="UEE113" s="181"/>
      <c r="UEF113" s="182"/>
      <c r="UEG113" s="181"/>
      <c r="UEH113" s="182"/>
      <c r="UEI113" s="181"/>
      <c r="UEJ113" s="182"/>
      <c r="UEK113" s="181"/>
      <c r="UEL113" s="182"/>
      <c r="UEM113" s="181"/>
      <c r="UEN113" s="182"/>
      <c r="UEO113" s="181"/>
      <c r="UEP113" s="182"/>
      <c r="UEQ113" s="181"/>
      <c r="UER113" s="182"/>
      <c r="UES113" s="181"/>
      <c r="UET113" s="182"/>
      <c r="UEU113" s="181"/>
      <c r="UEV113" s="182"/>
      <c r="UEW113" s="181"/>
      <c r="UEX113" s="182"/>
      <c r="UEY113" s="181"/>
      <c r="UEZ113" s="182"/>
      <c r="UFA113" s="181"/>
      <c r="UFB113" s="182"/>
      <c r="UFC113" s="181"/>
      <c r="UFD113" s="182"/>
      <c r="UFE113" s="181"/>
      <c r="UFF113" s="182"/>
      <c r="UFG113" s="181"/>
      <c r="UFH113" s="182"/>
      <c r="UFI113" s="181"/>
      <c r="UFJ113" s="182"/>
      <c r="UFK113" s="181"/>
      <c r="UFL113" s="182"/>
      <c r="UFM113" s="181"/>
      <c r="UFN113" s="182"/>
      <c r="UFO113" s="181"/>
      <c r="UFP113" s="182"/>
      <c r="UFQ113" s="181"/>
      <c r="UFR113" s="182"/>
      <c r="UFS113" s="181"/>
      <c r="UFT113" s="182"/>
      <c r="UFU113" s="181"/>
      <c r="UFV113" s="182"/>
      <c r="UFW113" s="181"/>
      <c r="UFX113" s="182"/>
      <c r="UFY113" s="181"/>
      <c r="UFZ113" s="182"/>
      <c r="UGA113" s="181"/>
      <c r="UGB113" s="182"/>
      <c r="UGC113" s="181"/>
      <c r="UGD113" s="182"/>
      <c r="UGE113" s="181"/>
      <c r="UGF113" s="182"/>
      <c r="UGG113" s="181"/>
      <c r="UGH113" s="182"/>
      <c r="UGI113" s="181"/>
      <c r="UGJ113" s="182"/>
      <c r="UGK113" s="181"/>
      <c r="UGL113" s="182"/>
      <c r="UGM113" s="181"/>
      <c r="UGN113" s="182"/>
      <c r="UGO113" s="181"/>
      <c r="UGP113" s="182"/>
      <c r="UGQ113" s="181"/>
      <c r="UGR113" s="182"/>
      <c r="UGS113" s="181"/>
      <c r="UGT113" s="182"/>
      <c r="UGU113" s="181"/>
      <c r="UGV113" s="182"/>
      <c r="UGW113" s="181"/>
      <c r="UGX113" s="182"/>
      <c r="UGY113" s="181"/>
      <c r="UGZ113" s="182"/>
      <c r="UHA113" s="181"/>
      <c r="UHB113" s="182"/>
      <c r="UHC113" s="181"/>
      <c r="UHD113" s="182"/>
      <c r="UHE113" s="181"/>
      <c r="UHF113" s="182"/>
      <c r="UHG113" s="181"/>
      <c r="UHH113" s="182"/>
      <c r="UHI113" s="181"/>
      <c r="UHJ113" s="182"/>
      <c r="UHK113" s="181"/>
      <c r="UHL113" s="182"/>
      <c r="UHM113" s="181"/>
      <c r="UHN113" s="182"/>
      <c r="UHO113" s="181"/>
      <c r="UHP113" s="182"/>
      <c r="UHQ113" s="181"/>
      <c r="UHR113" s="182"/>
      <c r="UHS113" s="181"/>
      <c r="UHT113" s="182"/>
      <c r="UHU113" s="181"/>
      <c r="UHV113" s="182"/>
      <c r="UHW113" s="181"/>
      <c r="UHX113" s="182"/>
      <c r="UHY113" s="181"/>
      <c r="UHZ113" s="182"/>
      <c r="UIA113" s="181"/>
      <c r="UIB113" s="182"/>
      <c r="UIC113" s="181"/>
      <c r="UID113" s="182"/>
      <c r="UIE113" s="181"/>
      <c r="UIF113" s="182"/>
      <c r="UIG113" s="181"/>
      <c r="UIH113" s="182"/>
      <c r="UII113" s="181"/>
      <c r="UIJ113" s="182"/>
      <c r="UIK113" s="181"/>
      <c r="UIL113" s="182"/>
      <c r="UIM113" s="181"/>
      <c r="UIN113" s="182"/>
      <c r="UIO113" s="181"/>
      <c r="UIP113" s="182"/>
      <c r="UIQ113" s="181"/>
      <c r="UIR113" s="182"/>
      <c r="UIS113" s="181"/>
      <c r="UIT113" s="182"/>
      <c r="UIU113" s="181"/>
      <c r="UIV113" s="182"/>
      <c r="UIW113" s="181"/>
      <c r="UIX113" s="182"/>
      <c r="UIY113" s="181"/>
      <c r="UIZ113" s="182"/>
      <c r="UJA113" s="181"/>
      <c r="UJB113" s="182"/>
      <c r="UJC113" s="181"/>
      <c r="UJD113" s="182"/>
      <c r="UJE113" s="181"/>
      <c r="UJF113" s="182"/>
      <c r="UJG113" s="181"/>
      <c r="UJH113" s="182"/>
      <c r="UJI113" s="181"/>
      <c r="UJJ113" s="182"/>
      <c r="UJK113" s="181"/>
      <c r="UJL113" s="182"/>
      <c r="UJM113" s="181"/>
      <c r="UJN113" s="182"/>
      <c r="UJO113" s="181"/>
      <c r="UJP113" s="182"/>
      <c r="UJQ113" s="181"/>
      <c r="UJR113" s="182"/>
      <c r="UJS113" s="181"/>
      <c r="UJT113" s="182"/>
      <c r="UJU113" s="181"/>
      <c r="UJV113" s="182"/>
      <c r="UJW113" s="181"/>
      <c r="UJX113" s="182"/>
      <c r="UJY113" s="181"/>
      <c r="UJZ113" s="182"/>
      <c r="UKA113" s="181"/>
      <c r="UKB113" s="182"/>
      <c r="UKC113" s="181"/>
      <c r="UKD113" s="182"/>
      <c r="UKE113" s="181"/>
      <c r="UKF113" s="182"/>
      <c r="UKG113" s="181"/>
      <c r="UKH113" s="182"/>
      <c r="UKI113" s="181"/>
      <c r="UKJ113" s="182"/>
      <c r="UKK113" s="181"/>
      <c r="UKL113" s="182"/>
      <c r="UKM113" s="181"/>
      <c r="UKN113" s="182"/>
      <c r="UKO113" s="181"/>
      <c r="UKP113" s="182"/>
      <c r="UKQ113" s="181"/>
      <c r="UKR113" s="182"/>
      <c r="UKS113" s="181"/>
      <c r="UKT113" s="182"/>
      <c r="UKU113" s="181"/>
      <c r="UKV113" s="182"/>
      <c r="UKW113" s="181"/>
      <c r="UKX113" s="182"/>
      <c r="UKY113" s="181"/>
      <c r="UKZ113" s="182"/>
      <c r="ULA113" s="181"/>
      <c r="ULB113" s="182"/>
      <c r="ULC113" s="181"/>
      <c r="ULD113" s="182"/>
      <c r="ULE113" s="181"/>
      <c r="ULF113" s="182"/>
      <c r="ULG113" s="181"/>
      <c r="ULH113" s="182"/>
      <c r="ULI113" s="181"/>
      <c r="ULJ113" s="182"/>
      <c r="ULK113" s="181"/>
      <c r="ULL113" s="182"/>
      <c r="ULM113" s="181"/>
      <c r="ULN113" s="182"/>
      <c r="ULO113" s="181"/>
      <c r="ULP113" s="182"/>
      <c r="ULQ113" s="181"/>
      <c r="ULR113" s="182"/>
      <c r="ULS113" s="181"/>
      <c r="ULT113" s="182"/>
      <c r="ULU113" s="181"/>
      <c r="ULV113" s="182"/>
      <c r="ULW113" s="181"/>
      <c r="ULX113" s="182"/>
      <c r="ULY113" s="181"/>
      <c r="ULZ113" s="182"/>
      <c r="UMA113" s="181"/>
      <c r="UMB113" s="182"/>
      <c r="UMC113" s="181"/>
      <c r="UMD113" s="182"/>
      <c r="UME113" s="181"/>
      <c r="UMF113" s="182"/>
      <c r="UMG113" s="181"/>
      <c r="UMH113" s="182"/>
      <c r="UMI113" s="181"/>
      <c r="UMJ113" s="182"/>
      <c r="UMK113" s="181"/>
      <c r="UML113" s="182"/>
      <c r="UMM113" s="181"/>
      <c r="UMN113" s="182"/>
      <c r="UMO113" s="181"/>
      <c r="UMP113" s="182"/>
      <c r="UMQ113" s="181"/>
      <c r="UMR113" s="182"/>
      <c r="UMS113" s="181"/>
      <c r="UMT113" s="182"/>
      <c r="UMU113" s="181"/>
      <c r="UMV113" s="182"/>
      <c r="UMW113" s="181"/>
      <c r="UMX113" s="182"/>
      <c r="UMY113" s="181"/>
      <c r="UMZ113" s="182"/>
      <c r="UNA113" s="181"/>
      <c r="UNB113" s="182"/>
      <c r="UNC113" s="181"/>
      <c r="UND113" s="182"/>
      <c r="UNE113" s="181"/>
      <c r="UNF113" s="182"/>
      <c r="UNG113" s="181"/>
      <c r="UNH113" s="182"/>
      <c r="UNI113" s="181"/>
      <c r="UNJ113" s="182"/>
      <c r="UNK113" s="181"/>
      <c r="UNL113" s="182"/>
      <c r="UNM113" s="181"/>
      <c r="UNN113" s="182"/>
      <c r="UNO113" s="181"/>
      <c r="UNP113" s="182"/>
      <c r="UNQ113" s="181"/>
      <c r="UNR113" s="182"/>
      <c r="UNS113" s="181"/>
      <c r="UNT113" s="182"/>
      <c r="UNU113" s="181"/>
      <c r="UNV113" s="182"/>
      <c r="UNW113" s="181"/>
      <c r="UNX113" s="182"/>
      <c r="UNY113" s="181"/>
      <c r="UNZ113" s="182"/>
      <c r="UOA113" s="181"/>
      <c r="UOB113" s="182"/>
      <c r="UOC113" s="181"/>
      <c r="UOD113" s="182"/>
      <c r="UOE113" s="181"/>
      <c r="UOF113" s="182"/>
      <c r="UOG113" s="181"/>
      <c r="UOH113" s="182"/>
      <c r="UOI113" s="181"/>
      <c r="UOJ113" s="182"/>
      <c r="UOK113" s="181"/>
      <c r="UOL113" s="182"/>
      <c r="UOM113" s="181"/>
      <c r="UON113" s="182"/>
      <c r="UOO113" s="181"/>
      <c r="UOP113" s="182"/>
      <c r="UOQ113" s="181"/>
      <c r="UOR113" s="182"/>
      <c r="UOS113" s="181"/>
      <c r="UOT113" s="182"/>
      <c r="UOU113" s="181"/>
      <c r="UOV113" s="182"/>
      <c r="UOW113" s="181"/>
      <c r="UOX113" s="182"/>
      <c r="UOY113" s="181"/>
      <c r="UOZ113" s="182"/>
      <c r="UPA113" s="181"/>
      <c r="UPB113" s="182"/>
      <c r="UPC113" s="181"/>
      <c r="UPD113" s="182"/>
      <c r="UPE113" s="181"/>
      <c r="UPF113" s="182"/>
      <c r="UPG113" s="181"/>
      <c r="UPH113" s="182"/>
      <c r="UPI113" s="181"/>
      <c r="UPJ113" s="182"/>
      <c r="UPK113" s="181"/>
      <c r="UPL113" s="182"/>
      <c r="UPM113" s="181"/>
      <c r="UPN113" s="182"/>
      <c r="UPO113" s="181"/>
      <c r="UPP113" s="182"/>
      <c r="UPQ113" s="181"/>
      <c r="UPR113" s="182"/>
      <c r="UPS113" s="181"/>
      <c r="UPT113" s="182"/>
      <c r="UPU113" s="181"/>
      <c r="UPV113" s="182"/>
      <c r="UPW113" s="181"/>
      <c r="UPX113" s="182"/>
      <c r="UPY113" s="181"/>
      <c r="UPZ113" s="182"/>
      <c r="UQA113" s="181"/>
      <c r="UQB113" s="182"/>
      <c r="UQC113" s="181"/>
      <c r="UQD113" s="182"/>
      <c r="UQE113" s="181"/>
      <c r="UQF113" s="182"/>
      <c r="UQG113" s="181"/>
      <c r="UQH113" s="182"/>
      <c r="UQI113" s="181"/>
      <c r="UQJ113" s="182"/>
      <c r="UQK113" s="181"/>
      <c r="UQL113" s="182"/>
      <c r="UQM113" s="181"/>
      <c r="UQN113" s="182"/>
      <c r="UQO113" s="181"/>
      <c r="UQP113" s="182"/>
      <c r="UQQ113" s="181"/>
      <c r="UQR113" s="182"/>
      <c r="UQS113" s="181"/>
      <c r="UQT113" s="182"/>
      <c r="UQU113" s="181"/>
      <c r="UQV113" s="182"/>
      <c r="UQW113" s="181"/>
      <c r="UQX113" s="182"/>
      <c r="UQY113" s="181"/>
      <c r="UQZ113" s="182"/>
      <c r="URA113" s="181"/>
      <c r="URB113" s="182"/>
      <c r="URC113" s="181"/>
      <c r="URD113" s="182"/>
      <c r="URE113" s="181"/>
      <c r="URF113" s="182"/>
      <c r="URG113" s="181"/>
      <c r="URH113" s="182"/>
      <c r="URI113" s="181"/>
      <c r="URJ113" s="182"/>
      <c r="URK113" s="181"/>
      <c r="URL113" s="182"/>
      <c r="URM113" s="181"/>
      <c r="URN113" s="182"/>
      <c r="URO113" s="181"/>
      <c r="URP113" s="182"/>
      <c r="URQ113" s="181"/>
      <c r="URR113" s="182"/>
      <c r="URS113" s="181"/>
      <c r="URT113" s="182"/>
      <c r="URU113" s="181"/>
      <c r="URV113" s="182"/>
      <c r="URW113" s="181"/>
      <c r="URX113" s="182"/>
      <c r="URY113" s="181"/>
      <c r="URZ113" s="182"/>
      <c r="USA113" s="181"/>
      <c r="USB113" s="182"/>
      <c r="USC113" s="181"/>
      <c r="USD113" s="182"/>
      <c r="USE113" s="181"/>
      <c r="USF113" s="182"/>
      <c r="USG113" s="181"/>
      <c r="USH113" s="182"/>
      <c r="USI113" s="181"/>
      <c r="USJ113" s="182"/>
      <c r="USK113" s="181"/>
      <c r="USL113" s="182"/>
      <c r="USM113" s="181"/>
      <c r="USN113" s="182"/>
      <c r="USO113" s="181"/>
      <c r="USP113" s="182"/>
      <c r="USQ113" s="181"/>
      <c r="USR113" s="182"/>
      <c r="USS113" s="181"/>
      <c r="UST113" s="182"/>
      <c r="USU113" s="181"/>
      <c r="USV113" s="182"/>
      <c r="USW113" s="181"/>
      <c r="USX113" s="182"/>
      <c r="USY113" s="181"/>
      <c r="USZ113" s="182"/>
      <c r="UTA113" s="181"/>
      <c r="UTB113" s="182"/>
      <c r="UTC113" s="181"/>
      <c r="UTD113" s="182"/>
      <c r="UTE113" s="181"/>
      <c r="UTF113" s="182"/>
      <c r="UTG113" s="181"/>
      <c r="UTH113" s="182"/>
      <c r="UTI113" s="181"/>
      <c r="UTJ113" s="182"/>
      <c r="UTK113" s="181"/>
      <c r="UTL113" s="182"/>
      <c r="UTM113" s="181"/>
      <c r="UTN113" s="182"/>
      <c r="UTO113" s="181"/>
      <c r="UTP113" s="182"/>
      <c r="UTQ113" s="181"/>
      <c r="UTR113" s="182"/>
      <c r="UTS113" s="181"/>
      <c r="UTT113" s="182"/>
      <c r="UTU113" s="181"/>
      <c r="UTV113" s="182"/>
      <c r="UTW113" s="181"/>
      <c r="UTX113" s="182"/>
      <c r="UTY113" s="181"/>
      <c r="UTZ113" s="182"/>
      <c r="UUA113" s="181"/>
      <c r="UUB113" s="182"/>
      <c r="UUC113" s="181"/>
      <c r="UUD113" s="182"/>
      <c r="UUE113" s="181"/>
      <c r="UUF113" s="182"/>
      <c r="UUG113" s="181"/>
      <c r="UUH113" s="182"/>
      <c r="UUI113" s="181"/>
      <c r="UUJ113" s="182"/>
      <c r="UUK113" s="181"/>
      <c r="UUL113" s="182"/>
      <c r="UUM113" s="181"/>
      <c r="UUN113" s="182"/>
      <c r="UUO113" s="181"/>
      <c r="UUP113" s="182"/>
      <c r="UUQ113" s="181"/>
      <c r="UUR113" s="182"/>
      <c r="UUS113" s="181"/>
      <c r="UUT113" s="182"/>
      <c r="UUU113" s="181"/>
      <c r="UUV113" s="182"/>
      <c r="UUW113" s="181"/>
      <c r="UUX113" s="182"/>
      <c r="UUY113" s="181"/>
      <c r="UUZ113" s="182"/>
      <c r="UVA113" s="181"/>
      <c r="UVB113" s="182"/>
      <c r="UVC113" s="181"/>
      <c r="UVD113" s="182"/>
      <c r="UVE113" s="181"/>
      <c r="UVF113" s="182"/>
      <c r="UVG113" s="181"/>
      <c r="UVH113" s="182"/>
      <c r="UVI113" s="181"/>
      <c r="UVJ113" s="182"/>
      <c r="UVK113" s="181"/>
      <c r="UVL113" s="182"/>
      <c r="UVM113" s="181"/>
      <c r="UVN113" s="182"/>
      <c r="UVO113" s="181"/>
      <c r="UVP113" s="182"/>
      <c r="UVQ113" s="181"/>
      <c r="UVR113" s="182"/>
      <c r="UVS113" s="181"/>
      <c r="UVT113" s="182"/>
      <c r="UVU113" s="181"/>
      <c r="UVV113" s="182"/>
      <c r="UVW113" s="181"/>
      <c r="UVX113" s="182"/>
      <c r="UVY113" s="181"/>
      <c r="UVZ113" s="182"/>
      <c r="UWA113" s="181"/>
      <c r="UWB113" s="182"/>
      <c r="UWC113" s="181"/>
      <c r="UWD113" s="182"/>
      <c r="UWE113" s="181"/>
      <c r="UWF113" s="182"/>
      <c r="UWG113" s="181"/>
      <c r="UWH113" s="182"/>
      <c r="UWI113" s="181"/>
      <c r="UWJ113" s="182"/>
      <c r="UWK113" s="181"/>
      <c r="UWL113" s="182"/>
      <c r="UWM113" s="181"/>
      <c r="UWN113" s="182"/>
      <c r="UWO113" s="181"/>
      <c r="UWP113" s="182"/>
      <c r="UWQ113" s="181"/>
      <c r="UWR113" s="182"/>
      <c r="UWS113" s="181"/>
      <c r="UWT113" s="182"/>
      <c r="UWU113" s="181"/>
      <c r="UWV113" s="182"/>
      <c r="UWW113" s="181"/>
      <c r="UWX113" s="182"/>
      <c r="UWY113" s="181"/>
      <c r="UWZ113" s="182"/>
      <c r="UXA113" s="181"/>
      <c r="UXB113" s="182"/>
      <c r="UXC113" s="181"/>
      <c r="UXD113" s="182"/>
      <c r="UXE113" s="181"/>
      <c r="UXF113" s="182"/>
      <c r="UXG113" s="181"/>
      <c r="UXH113" s="182"/>
      <c r="UXI113" s="181"/>
      <c r="UXJ113" s="182"/>
      <c r="UXK113" s="181"/>
      <c r="UXL113" s="182"/>
      <c r="UXM113" s="181"/>
      <c r="UXN113" s="182"/>
      <c r="UXO113" s="181"/>
      <c r="UXP113" s="182"/>
      <c r="UXQ113" s="181"/>
      <c r="UXR113" s="182"/>
      <c r="UXS113" s="181"/>
      <c r="UXT113" s="182"/>
      <c r="UXU113" s="181"/>
      <c r="UXV113" s="182"/>
      <c r="UXW113" s="181"/>
      <c r="UXX113" s="182"/>
      <c r="UXY113" s="181"/>
      <c r="UXZ113" s="182"/>
      <c r="UYA113" s="181"/>
      <c r="UYB113" s="182"/>
      <c r="UYC113" s="181"/>
      <c r="UYD113" s="182"/>
      <c r="UYE113" s="181"/>
      <c r="UYF113" s="182"/>
      <c r="UYG113" s="181"/>
      <c r="UYH113" s="182"/>
      <c r="UYI113" s="181"/>
      <c r="UYJ113" s="182"/>
      <c r="UYK113" s="181"/>
      <c r="UYL113" s="182"/>
      <c r="UYM113" s="181"/>
      <c r="UYN113" s="182"/>
      <c r="UYO113" s="181"/>
      <c r="UYP113" s="182"/>
      <c r="UYQ113" s="181"/>
      <c r="UYR113" s="182"/>
      <c r="UYS113" s="181"/>
      <c r="UYT113" s="182"/>
      <c r="UYU113" s="181"/>
      <c r="UYV113" s="182"/>
      <c r="UYW113" s="181"/>
      <c r="UYX113" s="182"/>
      <c r="UYY113" s="181"/>
      <c r="UYZ113" s="182"/>
      <c r="UZA113" s="181"/>
      <c r="UZB113" s="182"/>
      <c r="UZC113" s="181"/>
      <c r="UZD113" s="182"/>
      <c r="UZE113" s="181"/>
      <c r="UZF113" s="182"/>
      <c r="UZG113" s="181"/>
      <c r="UZH113" s="182"/>
      <c r="UZI113" s="181"/>
      <c r="UZJ113" s="182"/>
      <c r="UZK113" s="181"/>
      <c r="UZL113" s="182"/>
      <c r="UZM113" s="181"/>
      <c r="UZN113" s="182"/>
      <c r="UZO113" s="181"/>
      <c r="UZP113" s="182"/>
      <c r="UZQ113" s="181"/>
      <c r="UZR113" s="182"/>
      <c r="UZS113" s="181"/>
      <c r="UZT113" s="182"/>
      <c r="UZU113" s="181"/>
      <c r="UZV113" s="182"/>
      <c r="UZW113" s="181"/>
      <c r="UZX113" s="182"/>
      <c r="UZY113" s="181"/>
      <c r="UZZ113" s="182"/>
      <c r="VAA113" s="181"/>
      <c r="VAB113" s="182"/>
      <c r="VAC113" s="181"/>
      <c r="VAD113" s="182"/>
      <c r="VAE113" s="181"/>
      <c r="VAF113" s="182"/>
      <c r="VAG113" s="181"/>
      <c r="VAH113" s="182"/>
      <c r="VAI113" s="181"/>
      <c r="VAJ113" s="182"/>
      <c r="VAK113" s="181"/>
      <c r="VAL113" s="182"/>
      <c r="VAM113" s="181"/>
      <c r="VAN113" s="182"/>
      <c r="VAO113" s="181"/>
      <c r="VAP113" s="182"/>
      <c r="VAQ113" s="181"/>
      <c r="VAR113" s="182"/>
      <c r="VAS113" s="181"/>
      <c r="VAT113" s="182"/>
      <c r="VAU113" s="181"/>
      <c r="VAV113" s="182"/>
      <c r="VAW113" s="181"/>
      <c r="VAX113" s="182"/>
      <c r="VAY113" s="181"/>
      <c r="VAZ113" s="182"/>
      <c r="VBA113" s="181"/>
      <c r="VBB113" s="182"/>
      <c r="VBC113" s="181"/>
      <c r="VBD113" s="182"/>
      <c r="VBE113" s="181"/>
      <c r="VBF113" s="182"/>
      <c r="VBG113" s="181"/>
      <c r="VBH113" s="182"/>
      <c r="VBI113" s="181"/>
      <c r="VBJ113" s="182"/>
      <c r="VBK113" s="181"/>
      <c r="VBL113" s="182"/>
      <c r="VBM113" s="181"/>
      <c r="VBN113" s="182"/>
      <c r="VBO113" s="181"/>
      <c r="VBP113" s="182"/>
      <c r="VBQ113" s="181"/>
      <c r="VBR113" s="182"/>
      <c r="VBS113" s="181"/>
      <c r="VBT113" s="182"/>
      <c r="VBU113" s="181"/>
      <c r="VBV113" s="182"/>
      <c r="VBW113" s="181"/>
      <c r="VBX113" s="182"/>
      <c r="VBY113" s="181"/>
      <c r="VBZ113" s="182"/>
      <c r="VCA113" s="181"/>
      <c r="VCB113" s="182"/>
      <c r="VCC113" s="181"/>
      <c r="VCD113" s="182"/>
      <c r="VCE113" s="181"/>
      <c r="VCF113" s="182"/>
      <c r="VCG113" s="181"/>
      <c r="VCH113" s="182"/>
      <c r="VCI113" s="181"/>
      <c r="VCJ113" s="182"/>
      <c r="VCK113" s="181"/>
      <c r="VCL113" s="182"/>
      <c r="VCM113" s="181"/>
      <c r="VCN113" s="182"/>
      <c r="VCO113" s="181"/>
      <c r="VCP113" s="182"/>
      <c r="VCQ113" s="181"/>
      <c r="VCR113" s="182"/>
      <c r="VCS113" s="181"/>
      <c r="VCT113" s="182"/>
      <c r="VCU113" s="181"/>
      <c r="VCV113" s="182"/>
      <c r="VCW113" s="181"/>
      <c r="VCX113" s="182"/>
      <c r="VCY113" s="181"/>
      <c r="VCZ113" s="182"/>
      <c r="VDA113" s="181"/>
      <c r="VDB113" s="182"/>
      <c r="VDC113" s="181"/>
      <c r="VDD113" s="182"/>
      <c r="VDE113" s="181"/>
      <c r="VDF113" s="182"/>
      <c r="VDG113" s="181"/>
      <c r="VDH113" s="182"/>
      <c r="VDI113" s="181"/>
      <c r="VDJ113" s="182"/>
      <c r="VDK113" s="181"/>
      <c r="VDL113" s="182"/>
      <c r="VDM113" s="181"/>
      <c r="VDN113" s="182"/>
      <c r="VDO113" s="181"/>
      <c r="VDP113" s="182"/>
      <c r="VDQ113" s="181"/>
      <c r="VDR113" s="182"/>
      <c r="VDS113" s="181"/>
      <c r="VDT113" s="182"/>
      <c r="VDU113" s="181"/>
      <c r="VDV113" s="182"/>
      <c r="VDW113" s="181"/>
      <c r="VDX113" s="182"/>
      <c r="VDY113" s="181"/>
      <c r="VDZ113" s="182"/>
      <c r="VEA113" s="181"/>
      <c r="VEB113" s="182"/>
      <c r="VEC113" s="181"/>
      <c r="VED113" s="182"/>
      <c r="VEE113" s="181"/>
      <c r="VEF113" s="182"/>
      <c r="VEG113" s="181"/>
      <c r="VEH113" s="182"/>
      <c r="VEI113" s="181"/>
      <c r="VEJ113" s="182"/>
      <c r="VEK113" s="181"/>
      <c r="VEL113" s="182"/>
      <c r="VEM113" s="181"/>
      <c r="VEN113" s="182"/>
      <c r="VEO113" s="181"/>
      <c r="VEP113" s="182"/>
      <c r="VEQ113" s="181"/>
      <c r="VER113" s="182"/>
      <c r="VES113" s="181"/>
      <c r="VET113" s="182"/>
      <c r="VEU113" s="181"/>
      <c r="VEV113" s="182"/>
      <c r="VEW113" s="181"/>
      <c r="VEX113" s="182"/>
      <c r="VEY113" s="181"/>
      <c r="VEZ113" s="182"/>
      <c r="VFA113" s="181"/>
      <c r="VFB113" s="182"/>
      <c r="VFC113" s="181"/>
      <c r="VFD113" s="182"/>
      <c r="VFE113" s="181"/>
      <c r="VFF113" s="182"/>
      <c r="VFG113" s="181"/>
      <c r="VFH113" s="182"/>
      <c r="VFI113" s="181"/>
      <c r="VFJ113" s="182"/>
      <c r="VFK113" s="181"/>
      <c r="VFL113" s="182"/>
      <c r="VFM113" s="181"/>
      <c r="VFN113" s="182"/>
      <c r="VFO113" s="181"/>
      <c r="VFP113" s="182"/>
      <c r="VFQ113" s="181"/>
      <c r="VFR113" s="182"/>
      <c r="VFS113" s="181"/>
      <c r="VFT113" s="182"/>
      <c r="VFU113" s="181"/>
      <c r="VFV113" s="182"/>
      <c r="VFW113" s="181"/>
      <c r="VFX113" s="182"/>
      <c r="VFY113" s="181"/>
      <c r="VFZ113" s="182"/>
      <c r="VGA113" s="181"/>
      <c r="VGB113" s="182"/>
      <c r="VGC113" s="181"/>
      <c r="VGD113" s="182"/>
      <c r="VGE113" s="181"/>
      <c r="VGF113" s="182"/>
      <c r="VGG113" s="181"/>
      <c r="VGH113" s="182"/>
      <c r="VGI113" s="181"/>
      <c r="VGJ113" s="182"/>
      <c r="VGK113" s="181"/>
      <c r="VGL113" s="182"/>
      <c r="VGM113" s="181"/>
      <c r="VGN113" s="182"/>
      <c r="VGO113" s="181"/>
      <c r="VGP113" s="182"/>
      <c r="VGQ113" s="181"/>
      <c r="VGR113" s="182"/>
      <c r="VGS113" s="181"/>
      <c r="VGT113" s="182"/>
      <c r="VGU113" s="181"/>
      <c r="VGV113" s="182"/>
      <c r="VGW113" s="181"/>
      <c r="VGX113" s="182"/>
      <c r="VGY113" s="181"/>
      <c r="VGZ113" s="182"/>
      <c r="VHA113" s="181"/>
      <c r="VHB113" s="182"/>
      <c r="VHC113" s="181"/>
      <c r="VHD113" s="182"/>
      <c r="VHE113" s="181"/>
      <c r="VHF113" s="182"/>
      <c r="VHG113" s="181"/>
      <c r="VHH113" s="182"/>
      <c r="VHI113" s="181"/>
      <c r="VHJ113" s="182"/>
      <c r="VHK113" s="181"/>
      <c r="VHL113" s="182"/>
      <c r="VHM113" s="181"/>
      <c r="VHN113" s="182"/>
      <c r="VHO113" s="181"/>
      <c r="VHP113" s="182"/>
      <c r="VHQ113" s="181"/>
      <c r="VHR113" s="182"/>
      <c r="VHS113" s="181"/>
      <c r="VHT113" s="182"/>
      <c r="VHU113" s="181"/>
      <c r="VHV113" s="182"/>
      <c r="VHW113" s="181"/>
      <c r="VHX113" s="182"/>
      <c r="VHY113" s="181"/>
      <c r="VHZ113" s="182"/>
      <c r="VIA113" s="181"/>
      <c r="VIB113" s="182"/>
      <c r="VIC113" s="181"/>
      <c r="VID113" s="182"/>
      <c r="VIE113" s="181"/>
      <c r="VIF113" s="182"/>
      <c r="VIG113" s="181"/>
      <c r="VIH113" s="182"/>
      <c r="VII113" s="181"/>
      <c r="VIJ113" s="182"/>
      <c r="VIK113" s="181"/>
      <c r="VIL113" s="182"/>
      <c r="VIM113" s="181"/>
      <c r="VIN113" s="182"/>
      <c r="VIO113" s="181"/>
      <c r="VIP113" s="182"/>
      <c r="VIQ113" s="181"/>
      <c r="VIR113" s="182"/>
      <c r="VIS113" s="181"/>
      <c r="VIT113" s="182"/>
      <c r="VIU113" s="181"/>
      <c r="VIV113" s="182"/>
      <c r="VIW113" s="181"/>
      <c r="VIX113" s="182"/>
      <c r="VIY113" s="181"/>
      <c r="VIZ113" s="182"/>
      <c r="VJA113" s="181"/>
      <c r="VJB113" s="182"/>
      <c r="VJC113" s="181"/>
      <c r="VJD113" s="182"/>
      <c r="VJE113" s="181"/>
      <c r="VJF113" s="182"/>
      <c r="VJG113" s="181"/>
      <c r="VJH113" s="182"/>
      <c r="VJI113" s="181"/>
      <c r="VJJ113" s="182"/>
      <c r="VJK113" s="181"/>
      <c r="VJL113" s="182"/>
      <c r="VJM113" s="181"/>
      <c r="VJN113" s="182"/>
      <c r="VJO113" s="181"/>
      <c r="VJP113" s="182"/>
      <c r="VJQ113" s="181"/>
      <c r="VJR113" s="182"/>
      <c r="VJS113" s="181"/>
      <c r="VJT113" s="182"/>
      <c r="VJU113" s="181"/>
      <c r="VJV113" s="182"/>
      <c r="VJW113" s="181"/>
      <c r="VJX113" s="182"/>
      <c r="VJY113" s="181"/>
      <c r="VJZ113" s="182"/>
      <c r="VKA113" s="181"/>
      <c r="VKB113" s="182"/>
      <c r="VKC113" s="181"/>
      <c r="VKD113" s="182"/>
      <c r="VKE113" s="181"/>
      <c r="VKF113" s="182"/>
      <c r="VKG113" s="181"/>
      <c r="VKH113" s="182"/>
      <c r="VKI113" s="181"/>
      <c r="VKJ113" s="182"/>
      <c r="VKK113" s="181"/>
      <c r="VKL113" s="182"/>
      <c r="VKM113" s="181"/>
      <c r="VKN113" s="182"/>
      <c r="VKO113" s="181"/>
      <c r="VKP113" s="182"/>
      <c r="VKQ113" s="181"/>
      <c r="VKR113" s="182"/>
      <c r="VKS113" s="181"/>
      <c r="VKT113" s="182"/>
      <c r="VKU113" s="181"/>
      <c r="VKV113" s="182"/>
      <c r="VKW113" s="181"/>
      <c r="VKX113" s="182"/>
      <c r="VKY113" s="181"/>
      <c r="VKZ113" s="182"/>
      <c r="VLA113" s="181"/>
      <c r="VLB113" s="182"/>
      <c r="VLC113" s="181"/>
      <c r="VLD113" s="182"/>
      <c r="VLE113" s="181"/>
      <c r="VLF113" s="182"/>
      <c r="VLG113" s="181"/>
      <c r="VLH113" s="182"/>
      <c r="VLI113" s="181"/>
      <c r="VLJ113" s="182"/>
      <c r="VLK113" s="181"/>
      <c r="VLL113" s="182"/>
      <c r="VLM113" s="181"/>
      <c r="VLN113" s="182"/>
      <c r="VLO113" s="181"/>
      <c r="VLP113" s="182"/>
      <c r="VLQ113" s="181"/>
      <c r="VLR113" s="182"/>
      <c r="VLS113" s="181"/>
      <c r="VLT113" s="182"/>
      <c r="VLU113" s="181"/>
      <c r="VLV113" s="182"/>
      <c r="VLW113" s="181"/>
      <c r="VLX113" s="182"/>
      <c r="VLY113" s="181"/>
      <c r="VLZ113" s="182"/>
      <c r="VMA113" s="181"/>
      <c r="VMB113" s="182"/>
      <c r="VMC113" s="181"/>
      <c r="VMD113" s="182"/>
      <c r="VME113" s="181"/>
      <c r="VMF113" s="182"/>
      <c r="VMG113" s="181"/>
      <c r="VMH113" s="182"/>
      <c r="VMI113" s="181"/>
      <c r="VMJ113" s="182"/>
      <c r="VMK113" s="181"/>
      <c r="VML113" s="182"/>
      <c r="VMM113" s="181"/>
      <c r="VMN113" s="182"/>
      <c r="VMO113" s="181"/>
      <c r="VMP113" s="182"/>
      <c r="VMQ113" s="181"/>
      <c r="VMR113" s="182"/>
      <c r="VMS113" s="181"/>
      <c r="VMT113" s="182"/>
      <c r="VMU113" s="181"/>
      <c r="VMV113" s="182"/>
      <c r="VMW113" s="181"/>
      <c r="VMX113" s="182"/>
      <c r="VMY113" s="181"/>
      <c r="VMZ113" s="182"/>
      <c r="VNA113" s="181"/>
      <c r="VNB113" s="182"/>
      <c r="VNC113" s="181"/>
      <c r="VND113" s="182"/>
      <c r="VNE113" s="181"/>
      <c r="VNF113" s="182"/>
      <c r="VNG113" s="181"/>
      <c r="VNH113" s="182"/>
      <c r="VNI113" s="181"/>
      <c r="VNJ113" s="182"/>
      <c r="VNK113" s="181"/>
      <c r="VNL113" s="182"/>
      <c r="VNM113" s="181"/>
      <c r="VNN113" s="182"/>
      <c r="VNO113" s="181"/>
      <c r="VNP113" s="182"/>
      <c r="VNQ113" s="181"/>
      <c r="VNR113" s="182"/>
      <c r="VNS113" s="181"/>
      <c r="VNT113" s="182"/>
      <c r="VNU113" s="181"/>
      <c r="VNV113" s="182"/>
      <c r="VNW113" s="181"/>
      <c r="VNX113" s="182"/>
      <c r="VNY113" s="181"/>
      <c r="VNZ113" s="182"/>
      <c r="VOA113" s="181"/>
      <c r="VOB113" s="182"/>
      <c r="VOC113" s="181"/>
      <c r="VOD113" s="182"/>
      <c r="VOE113" s="181"/>
      <c r="VOF113" s="182"/>
      <c r="VOG113" s="181"/>
      <c r="VOH113" s="182"/>
      <c r="VOI113" s="181"/>
      <c r="VOJ113" s="182"/>
      <c r="VOK113" s="181"/>
      <c r="VOL113" s="182"/>
      <c r="VOM113" s="181"/>
      <c r="VON113" s="182"/>
      <c r="VOO113" s="181"/>
      <c r="VOP113" s="182"/>
      <c r="VOQ113" s="181"/>
      <c r="VOR113" s="182"/>
      <c r="VOS113" s="181"/>
      <c r="VOT113" s="182"/>
      <c r="VOU113" s="181"/>
      <c r="VOV113" s="182"/>
      <c r="VOW113" s="181"/>
      <c r="VOX113" s="182"/>
      <c r="VOY113" s="181"/>
      <c r="VOZ113" s="182"/>
      <c r="VPA113" s="181"/>
      <c r="VPB113" s="182"/>
      <c r="VPC113" s="181"/>
      <c r="VPD113" s="182"/>
      <c r="VPE113" s="181"/>
      <c r="VPF113" s="182"/>
      <c r="VPG113" s="181"/>
      <c r="VPH113" s="182"/>
      <c r="VPI113" s="181"/>
      <c r="VPJ113" s="182"/>
      <c r="VPK113" s="181"/>
      <c r="VPL113" s="182"/>
      <c r="VPM113" s="181"/>
      <c r="VPN113" s="182"/>
      <c r="VPO113" s="181"/>
      <c r="VPP113" s="182"/>
      <c r="VPQ113" s="181"/>
      <c r="VPR113" s="182"/>
      <c r="VPS113" s="181"/>
      <c r="VPT113" s="182"/>
      <c r="VPU113" s="181"/>
      <c r="VPV113" s="182"/>
      <c r="VPW113" s="181"/>
      <c r="VPX113" s="182"/>
      <c r="VPY113" s="181"/>
      <c r="VPZ113" s="182"/>
      <c r="VQA113" s="181"/>
      <c r="VQB113" s="182"/>
      <c r="VQC113" s="181"/>
      <c r="VQD113" s="182"/>
      <c r="VQE113" s="181"/>
      <c r="VQF113" s="182"/>
      <c r="VQG113" s="181"/>
      <c r="VQH113" s="182"/>
      <c r="VQI113" s="181"/>
      <c r="VQJ113" s="182"/>
      <c r="VQK113" s="181"/>
      <c r="VQL113" s="182"/>
      <c r="VQM113" s="181"/>
      <c r="VQN113" s="182"/>
      <c r="VQO113" s="181"/>
      <c r="VQP113" s="182"/>
      <c r="VQQ113" s="181"/>
      <c r="VQR113" s="182"/>
      <c r="VQS113" s="181"/>
      <c r="VQT113" s="182"/>
      <c r="VQU113" s="181"/>
      <c r="VQV113" s="182"/>
      <c r="VQW113" s="181"/>
      <c r="VQX113" s="182"/>
      <c r="VQY113" s="181"/>
      <c r="VQZ113" s="182"/>
      <c r="VRA113" s="181"/>
      <c r="VRB113" s="182"/>
      <c r="VRC113" s="181"/>
      <c r="VRD113" s="182"/>
      <c r="VRE113" s="181"/>
      <c r="VRF113" s="182"/>
      <c r="VRG113" s="181"/>
      <c r="VRH113" s="182"/>
      <c r="VRI113" s="181"/>
      <c r="VRJ113" s="182"/>
      <c r="VRK113" s="181"/>
      <c r="VRL113" s="182"/>
      <c r="VRM113" s="181"/>
      <c r="VRN113" s="182"/>
      <c r="VRO113" s="181"/>
      <c r="VRP113" s="182"/>
      <c r="VRQ113" s="181"/>
      <c r="VRR113" s="182"/>
      <c r="VRS113" s="181"/>
      <c r="VRT113" s="182"/>
      <c r="VRU113" s="181"/>
      <c r="VRV113" s="182"/>
      <c r="VRW113" s="181"/>
      <c r="VRX113" s="182"/>
      <c r="VRY113" s="181"/>
      <c r="VRZ113" s="182"/>
      <c r="VSA113" s="181"/>
      <c r="VSB113" s="182"/>
      <c r="VSC113" s="181"/>
      <c r="VSD113" s="182"/>
      <c r="VSE113" s="181"/>
      <c r="VSF113" s="182"/>
      <c r="VSG113" s="181"/>
      <c r="VSH113" s="182"/>
      <c r="VSI113" s="181"/>
      <c r="VSJ113" s="182"/>
      <c r="VSK113" s="181"/>
      <c r="VSL113" s="182"/>
      <c r="VSM113" s="181"/>
      <c r="VSN113" s="182"/>
      <c r="VSO113" s="181"/>
      <c r="VSP113" s="182"/>
      <c r="VSQ113" s="181"/>
      <c r="VSR113" s="182"/>
      <c r="VSS113" s="181"/>
      <c r="VST113" s="182"/>
      <c r="VSU113" s="181"/>
      <c r="VSV113" s="182"/>
      <c r="VSW113" s="181"/>
      <c r="VSX113" s="182"/>
      <c r="VSY113" s="181"/>
      <c r="VSZ113" s="182"/>
      <c r="VTA113" s="181"/>
      <c r="VTB113" s="182"/>
      <c r="VTC113" s="181"/>
      <c r="VTD113" s="182"/>
      <c r="VTE113" s="181"/>
      <c r="VTF113" s="182"/>
      <c r="VTG113" s="181"/>
      <c r="VTH113" s="182"/>
      <c r="VTI113" s="181"/>
      <c r="VTJ113" s="182"/>
      <c r="VTK113" s="181"/>
      <c r="VTL113" s="182"/>
      <c r="VTM113" s="181"/>
      <c r="VTN113" s="182"/>
      <c r="VTO113" s="181"/>
      <c r="VTP113" s="182"/>
      <c r="VTQ113" s="181"/>
      <c r="VTR113" s="182"/>
      <c r="VTS113" s="181"/>
      <c r="VTT113" s="182"/>
      <c r="VTU113" s="181"/>
      <c r="VTV113" s="182"/>
      <c r="VTW113" s="181"/>
      <c r="VTX113" s="182"/>
      <c r="VTY113" s="181"/>
      <c r="VTZ113" s="182"/>
      <c r="VUA113" s="181"/>
      <c r="VUB113" s="182"/>
      <c r="VUC113" s="181"/>
      <c r="VUD113" s="182"/>
      <c r="VUE113" s="181"/>
      <c r="VUF113" s="182"/>
      <c r="VUG113" s="181"/>
      <c r="VUH113" s="182"/>
      <c r="VUI113" s="181"/>
      <c r="VUJ113" s="182"/>
      <c r="VUK113" s="181"/>
      <c r="VUL113" s="182"/>
      <c r="VUM113" s="181"/>
      <c r="VUN113" s="182"/>
      <c r="VUO113" s="181"/>
      <c r="VUP113" s="182"/>
      <c r="VUQ113" s="181"/>
      <c r="VUR113" s="182"/>
      <c r="VUS113" s="181"/>
      <c r="VUT113" s="182"/>
      <c r="VUU113" s="181"/>
      <c r="VUV113" s="182"/>
      <c r="VUW113" s="181"/>
      <c r="VUX113" s="182"/>
      <c r="VUY113" s="181"/>
      <c r="VUZ113" s="182"/>
      <c r="VVA113" s="181"/>
      <c r="VVB113" s="182"/>
      <c r="VVC113" s="181"/>
      <c r="VVD113" s="182"/>
      <c r="VVE113" s="181"/>
      <c r="VVF113" s="182"/>
      <c r="VVG113" s="181"/>
      <c r="VVH113" s="182"/>
      <c r="VVI113" s="181"/>
      <c r="VVJ113" s="182"/>
      <c r="VVK113" s="181"/>
      <c r="VVL113" s="182"/>
      <c r="VVM113" s="181"/>
      <c r="VVN113" s="182"/>
      <c r="VVO113" s="181"/>
      <c r="VVP113" s="182"/>
      <c r="VVQ113" s="181"/>
      <c r="VVR113" s="182"/>
      <c r="VVS113" s="181"/>
      <c r="VVT113" s="182"/>
      <c r="VVU113" s="181"/>
      <c r="VVV113" s="182"/>
      <c r="VVW113" s="181"/>
      <c r="VVX113" s="182"/>
      <c r="VVY113" s="181"/>
      <c r="VVZ113" s="182"/>
      <c r="VWA113" s="181"/>
      <c r="VWB113" s="182"/>
      <c r="VWC113" s="181"/>
      <c r="VWD113" s="182"/>
      <c r="VWE113" s="181"/>
      <c r="VWF113" s="182"/>
      <c r="VWG113" s="181"/>
      <c r="VWH113" s="182"/>
      <c r="VWI113" s="181"/>
      <c r="VWJ113" s="182"/>
      <c r="VWK113" s="181"/>
      <c r="VWL113" s="182"/>
      <c r="VWM113" s="181"/>
      <c r="VWN113" s="182"/>
      <c r="VWO113" s="181"/>
      <c r="VWP113" s="182"/>
      <c r="VWQ113" s="181"/>
      <c r="VWR113" s="182"/>
      <c r="VWS113" s="181"/>
      <c r="VWT113" s="182"/>
      <c r="VWU113" s="181"/>
      <c r="VWV113" s="182"/>
      <c r="VWW113" s="181"/>
      <c r="VWX113" s="182"/>
      <c r="VWY113" s="181"/>
      <c r="VWZ113" s="182"/>
      <c r="VXA113" s="181"/>
      <c r="VXB113" s="182"/>
      <c r="VXC113" s="181"/>
      <c r="VXD113" s="182"/>
      <c r="VXE113" s="181"/>
      <c r="VXF113" s="182"/>
      <c r="VXG113" s="181"/>
      <c r="VXH113" s="182"/>
      <c r="VXI113" s="181"/>
      <c r="VXJ113" s="182"/>
      <c r="VXK113" s="181"/>
      <c r="VXL113" s="182"/>
      <c r="VXM113" s="181"/>
      <c r="VXN113" s="182"/>
      <c r="VXO113" s="181"/>
      <c r="VXP113" s="182"/>
      <c r="VXQ113" s="181"/>
      <c r="VXR113" s="182"/>
      <c r="VXS113" s="181"/>
      <c r="VXT113" s="182"/>
      <c r="VXU113" s="181"/>
      <c r="VXV113" s="182"/>
      <c r="VXW113" s="181"/>
      <c r="VXX113" s="182"/>
      <c r="VXY113" s="181"/>
      <c r="VXZ113" s="182"/>
      <c r="VYA113" s="181"/>
      <c r="VYB113" s="182"/>
      <c r="VYC113" s="181"/>
      <c r="VYD113" s="182"/>
      <c r="VYE113" s="181"/>
      <c r="VYF113" s="182"/>
      <c r="VYG113" s="181"/>
      <c r="VYH113" s="182"/>
      <c r="VYI113" s="181"/>
      <c r="VYJ113" s="182"/>
      <c r="VYK113" s="181"/>
      <c r="VYL113" s="182"/>
      <c r="VYM113" s="181"/>
      <c r="VYN113" s="182"/>
      <c r="VYO113" s="181"/>
      <c r="VYP113" s="182"/>
      <c r="VYQ113" s="181"/>
      <c r="VYR113" s="182"/>
      <c r="VYS113" s="181"/>
      <c r="VYT113" s="182"/>
      <c r="VYU113" s="181"/>
      <c r="VYV113" s="182"/>
      <c r="VYW113" s="181"/>
      <c r="VYX113" s="182"/>
      <c r="VYY113" s="181"/>
      <c r="VYZ113" s="182"/>
      <c r="VZA113" s="181"/>
      <c r="VZB113" s="182"/>
      <c r="VZC113" s="181"/>
      <c r="VZD113" s="182"/>
      <c r="VZE113" s="181"/>
      <c r="VZF113" s="182"/>
      <c r="VZG113" s="181"/>
      <c r="VZH113" s="182"/>
      <c r="VZI113" s="181"/>
      <c r="VZJ113" s="182"/>
      <c r="VZK113" s="181"/>
      <c r="VZL113" s="182"/>
      <c r="VZM113" s="181"/>
      <c r="VZN113" s="182"/>
      <c r="VZO113" s="181"/>
      <c r="VZP113" s="182"/>
      <c r="VZQ113" s="181"/>
      <c r="VZR113" s="182"/>
      <c r="VZS113" s="181"/>
      <c r="VZT113" s="182"/>
      <c r="VZU113" s="181"/>
      <c r="VZV113" s="182"/>
      <c r="VZW113" s="181"/>
      <c r="VZX113" s="182"/>
      <c r="VZY113" s="181"/>
      <c r="VZZ113" s="182"/>
      <c r="WAA113" s="181"/>
      <c r="WAB113" s="182"/>
      <c r="WAC113" s="181"/>
      <c r="WAD113" s="182"/>
      <c r="WAE113" s="181"/>
      <c r="WAF113" s="182"/>
      <c r="WAG113" s="181"/>
      <c r="WAH113" s="182"/>
      <c r="WAI113" s="181"/>
      <c r="WAJ113" s="182"/>
      <c r="WAK113" s="181"/>
      <c r="WAL113" s="182"/>
      <c r="WAM113" s="181"/>
      <c r="WAN113" s="182"/>
      <c r="WAO113" s="181"/>
      <c r="WAP113" s="182"/>
      <c r="WAQ113" s="181"/>
      <c r="WAR113" s="182"/>
      <c r="WAS113" s="181"/>
      <c r="WAT113" s="182"/>
      <c r="WAU113" s="181"/>
      <c r="WAV113" s="182"/>
      <c r="WAW113" s="181"/>
      <c r="WAX113" s="182"/>
      <c r="WAY113" s="181"/>
      <c r="WAZ113" s="182"/>
      <c r="WBA113" s="181"/>
      <c r="WBB113" s="182"/>
      <c r="WBC113" s="181"/>
      <c r="WBD113" s="182"/>
      <c r="WBE113" s="181"/>
      <c r="WBF113" s="182"/>
      <c r="WBG113" s="181"/>
      <c r="WBH113" s="182"/>
      <c r="WBI113" s="181"/>
      <c r="WBJ113" s="182"/>
      <c r="WBK113" s="181"/>
      <c r="WBL113" s="182"/>
      <c r="WBM113" s="181"/>
      <c r="WBN113" s="182"/>
      <c r="WBO113" s="181"/>
      <c r="WBP113" s="182"/>
      <c r="WBQ113" s="181"/>
      <c r="WBR113" s="182"/>
      <c r="WBS113" s="181"/>
      <c r="WBT113" s="182"/>
      <c r="WBU113" s="181"/>
      <c r="WBV113" s="182"/>
      <c r="WBW113" s="181"/>
      <c r="WBX113" s="182"/>
      <c r="WBY113" s="181"/>
      <c r="WBZ113" s="182"/>
      <c r="WCA113" s="181"/>
      <c r="WCB113" s="182"/>
      <c r="WCC113" s="181"/>
      <c r="WCD113" s="182"/>
      <c r="WCE113" s="181"/>
      <c r="WCF113" s="182"/>
      <c r="WCG113" s="181"/>
      <c r="WCH113" s="182"/>
      <c r="WCI113" s="181"/>
      <c r="WCJ113" s="182"/>
      <c r="WCK113" s="181"/>
      <c r="WCL113" s="182"/>
      <c r="WCM113" s="181"/>
      <c r="WCN113" s="182"/>
      <c r="WCO113" s="181"/>
      <c r="WCP113" s="182"/>
      <c r="WCQ113" s="181"/>
      <c r="WCR113" s="182"/>
      <c r="WCS113" s="181"/>
      <c r="WCT113" s="182"/>
      <c r="WCU113" s="181"/>
      <c r="WCV113" s="182"/>
      <c r="WCW113" s="181"/>
      <c r="WCX113" s="182"/>
      <c r="WCY113" s="181"/>
      <c r="WCZ113" s="182"/>
      <c r="WDA113" s="181"/>
      <c r="WDB113" s="182"/>
      <c r="WDC113" s="181"/>
      <c r="WDD113" s="182"/>
      <c r="WDE113" s="181"/>
      <c r="WDF113" s="182"/>
      <c r="WDG113" s="181"/>
      <c r="WDH113" s="182"/>
      <c r="WDI113" s="181"/>
      <c r="WDJ113" s="182"/>
      <c r="WDK113" s="181"/>
      <c r="WDL113" s="182"/>
      <c r="WDM113" s="181"/>
      <c r="WDN113" s="182"/>
      <c r="WDO113" s="181"/>
      <c r="WDP113" s="182"/>
      <c r="WDQ113" s="181"/>
      <c r="WDR113" s="182"/>
      <c r="WDS113" s="181"/>
      <c r="WDT113" s="182"/>
      <c r="WDU113" s="181"/>
      <c r="WDV113" s="182"/>
      <c r="WDW113" s="181"/>
      <c r="WDX113" s="182"/>
      <c r="WDY113" s="181"/>
      <c r="WDZ113" s="182"/>
      <c r="WEA113" s="181"/>
      <c r="WEB113" s="182"/>
      <c r="WEC113" s="181"/>
      <c r="WED113" s="182"/>
      <c r="WEE113" s="181"/>
      <c r="WEF113" s="182"/>
      <c r="WEG113" s="181"/>
      <c r="WEH113" s="182"/>
      <c r="WEI113" s="181"/>
      <c r="WEJ113" s="182"/>
      <c r="WEK113" s="181"/>
      <c r="WEL113" s="182"/>
      <c r="WEM113" s="181"/>
      <c r="WEN113" s="182"/>
      <c r="WEO113" s="181"/>
      <c r="WEP113" s="182"/>
      <c r="WEQ113" s="181"/>
      <c r="WER113" s="182"/>
      <c r="WES113" s="181"/>
      <c r="WET113" s="182"/>
      <c r="WEU113" s="181"/>
      <c r="WEV113" s="182"/>
      <c r="WEW113" s="181"/>
      <c r="WEX113" s="182"/>
      <c r="WEY113" s="181"/>
      <c r="WEZ113" s="182"/>
      <c r="WFA113" s="181"/>
      <c r="WFB113" s="182"/>
      <c r="WFC113" s="181"/>
      <c r="WFD113" s="182"/>
      <c r="WFE113" s="181"/>
      <c r="WFF113" s="182"/>
      <c r="WFG113" s="181"/>
      <c r="WFH113" s="182"/>
      <c r="WFI113" s="181"/>
      <c r="WFJ113" s="182"/>
      <c r="WFK113" s="181"/>
      <c r="WFL113" s="182"/>
      <c r="WFM113" s="181"/>
      <c r="WFN113" s="182"/>
      <c r="WFO113" s="181"/>
      <c r="WFP113" s="182"/>
      <c r="WFQ113" s="181"/>
      <c r="WFR113" s="182"/>
      <c r="WFS113" s="181"/>
      <c r="WFT113" s="182"/>
      <c r="WFU113" s="181"/>
      <c r="WFV113" s="182"/>
      <c r="WFW113" s="181"/>
      <c r="WFX113" s="182"/>
      <c r="WFY113" s="181"/>
      <c r="WFZ113" s="182"/>
      <c r="WGA113" s="181"/>
      <c r="WGB113" s="182"/>
      <c r="WGC113" s="181"/>
      <c r="WGD113" s="182"/>
      <c r="WGE113" s="181"/>
      <c r="WGF113" s="182"/>
      <c r="WGG113" s="181"/>
      <c r="WGH113" s="182"/>
      <c r="WGI113" s="181"/>
      <c r="WGJ113" s="182"/>
      <c r="WGK113" s="181"/>
      <c r="WGL113" s="182"/>
      <c r="WGM113" s="181"/>
      <c r="WGN113" s="182"/>
      <c r="WGO113" s="181"/>
      <c r="WGP113" s="182"/>
      <c r="WGQ113" s="181"/>
      <c r="WGR113" s="182"/>
      <c r="WGS113" s="181"/>
      <c r="WGT113" s="182"/>
      <c r="WGU113" s="181"/>
      <c r="WGV113" s="182"/>
      <c r="WGW113" s="181"/>
      <c r="WGX113" s="182"/>
      <c r="WGY113" s="181"/>
      <c r="WGZ113" s="182"/>
      <c r="WHA113" s="181"/>
      <c r="WHB113" s="182"/>
      <c r="WHC113" s="181"/>
      <c r="WHD113" s="182"/>
      <c r="WHE113" s="181"/>
      <c r="WHF113" s="182"/>
      <c r="WHG113" s="181"/>
      <c r="WHH113" s="182"/>
      <c r="WHI113" s="181"/>
      <c r="WHJ113" s="182"/>
      <c r="WHK113" s="181"/>
      <c r="WHL113" s="182"/>
      <c r="WHM113" s="181"/>
      <c r="WHN113" s="182"/>
      <c r="WHO113" s="181"/>
      <c r="WHP113" s="182"/>
      <c r="WHQ113" s="181"/>
      <c r="WHR113" s="182"/>
      <c r="WHS113" s="181"/>
      <c r="WHT113" s="182"/>
      <c r="WHU113" s="181"/>
      <c r="WHV113" s="182"/>
      <c r="WHW113" s="181"/>
      <c r="WHX113" s="182"/>
      <c r="WHY113" s="181"/>
      <c r="WHZ113" s="182"/>
      <c r="WIA113" s="181"/>
      <c r="WIB113" s="182"/>
      <c r="WIC113" s="181"/>
      <c r="WID113" s="182"/>
      <c r="WIE113" s="181"/>
      <c r="WIF113" s="182"/>
      <c r="WIG113" s="181"/>
      <c r="WIH113" s="182"/>
      <c r="WII113" s="181"/>
      <c r="WIJ113" s="182"/>
      <c r="WIK113" s="181"/>
      <c r="WIL113" s="182"/>
      <c r="WIM113" s="181"/>
      <c r="WIN113" s="182"/>
      <c r="WIO113" s="181"/>
      <c r="WIP113" s="182"/>
      <c r="WIQ113" s="181"/>
      <c r="WIR113" s="182"/>
      <c r="WIS113" s="181"/>
      <c r="WIT113" s="182"/>
      <c r="WIU113" s="181"/>
      <c r="WIV113" s="182"/>
      <c r="WIW113" s="181"/>
      <c r="WIX113" s="182"/>
      <c r="WIY113" s="181"/>
      <c r="WIZ113" s="182"/>
      <c r="WJA113" s="181"/>
      <c r="WJB113" s="182"/>
      <c r="WJC113" s="181"/>
      <c r="WJD113" s="182"/>
      <c r="WJE113" s="181"/>
      <c r="WJF113" s="182"/>
      <c r="WJG113" s="181"/>
      <c r="WJH113" s="182"/>
      <c r="WJI113" s="181"/>
      <c r="WJJ113" s="182"/>
      <c r="WJK113" s="181"/>
      <c r="WJL113" s="182"/>
      <c r="WJM113" s="181"/>
      <c r="WJN113" s="182"/>
      <c r="WJO113" s="181"/>
      <c r="WJP113" s="182"/>
      <c r="WJQ113" s="181"/>
      <c r="WJR113" s="182"/>
      <c r="WJS113" s="181"/>
      <c r="WJT113" s="182"/>
      <c r="WJU113" s="181"/>
      <c r="WJV113" s="182"/>
      <c r="WJW113" s="181"/>
      <c r="WJX113" s="182"/>
      <c r="WJY113" s="181"/>
      <c r="WJZ113" s="182"/>
      <c r="WKA113" s="181"/>
      <c r="WKB113" s="182"/>
      <c r="WKC113" s="181"/>
      <c r="WKD113" s="182"/>
      <c r="WKE113" s="181"/>
      <c r="WKF113" s="182"/>
      <c r="WKG113" s="181"/>
      <c r="WKH113" s="182"/>
      <c r="WKI113" s="181"/>
      <c r="WKJ113" s="182"/>
      <c r="WKK113" s="181"/>
      <c r="WKL113" s="182"/>
      <c r="WKM113" s="181"/>
      <c r="WKN113" s="182"/>
      <c r="WKO113" s="181"/>
      <c r="WKP113" s="182"/>
      <c r="WKQ113" s="181"/>
      <c r="WKR113" s="182"/>
      <c r="WKS113" s="181"/>
      <c r="WKT113" s="182"/>
      <c r="WKU113" s="181"/>
      <c r="WKV113" s="182"/>
      <c r="WKW113" s="181"/>
      <c r="WKX113" s="182"/>
      <c r="WKY113" s="181"/>
      <c r="WKZ113" s="182"/>
      <c r="WLA113" s="181"/>
      <c r="WLB113" s="182"/>
      <c r="WLC113" s="181"/>
      <c r="WLD113" s="182"/>
      <c r="WLE113" s="181"/>
      <c r="WLF113" s="182"/>
      <c r="WLG113" s="181"/>
      <c r="WLH113" s="182"/>
      <c r="WLI113" s="181"/>
      <c r="WLJ113" s="182"/>
      <c r="WLK113" s="181"/>
      <c r="WLL113" s="182"/>
      <c r="WLM113" s="181"/>
      <c r="WLN113" s="182"/>
      <c r="WLO113" s="181"/>
      <c r="WLP113" s="182"/>
      <c r="WLQ113" s="181"/>
      <c r="WLR113" s="182"/>
      <c r="WLS113" s="181"/>
      <c r="WLT113" s="182"/>
      <c r="WLU113" s="181"/>
      <c r="WLV113" s="182"/>
      <c r="WLW113" s="181"/>
      <c r="WLX113" s="182"/>
      <c r="WLY113" s="181"/>
      <c r="WLZ113" s="182"/>
      <c r="WMA113" s="181"/>
      <c r="WMB113" s="182"/>
      <c r="WMC113" s="181"/>
      <c r="WMD113" s="182"/>
      <c r="WME113" s="181"/>
      <c r="WMF113" s="182"/>
      <c r="WMG113" s="181"/>
      <c r="WMH113" s="182"/>
      <c r="WMI113" s="181"/>
      <c r="WMJ113" s="182"/>
      <c r="WMK113" s="181"/>
      <c r="WML113" s="182"/>
      <c r="WMM113" s="181"/>
      <c r="WMN113" s="182"/>
      <c r="WMO113" s="181"/>
      <c r="WMP113" s="182"/>
      <c r="WMQ113" s="181"/>
      <c r="WMR113" s="182"/>
      <c r="WMS113" s="181"/>
      <c r="WMT113" s="182"/>
      <c r="WMU113" s="181"/>
      <c r="WMV113" s="182"/>
      <c r="WMW113" s="181"/>
      <c r="WMX113" s="182"/>
      <c r="WMY113" s="181"/>
      <c r="WMZ113" s="182"/>
      <c r="WNA113" s="181"/>
      <c r="WNB113" s="182"/>
      <c r="WNC113" s="181"/>
      <c r="WND113" s="182"/>
      <c r="WNE113" s="181"/>
      <c r="WNF113" s="182"/>
      <c r="WNG113" s="181"/>
      <c r="WNH113" s="182"/>
      <c r="WNI113" s="181"/>
      <c r="WNJ113" s="182"/>
      <c r="WNK113" s="181"/>
      <c r="WNL113" s="182"/>
      <c r="WNM113" s="181"/>
      <c r="WNN113" s="182"/>
      <c r="WNO113" s="181"/>
      <c r="WNP113" s="182"/>
      <c r="WNQ113" s="181"/>
      <c r="WNR113" s="182"/>
      <c r="WNS113" s="181"/>
      <c r="WNT113" s="182"/>
      <c r="WNU113" s="181"/>
      <c r="WNV113" s="182"/>
      <c r="WNW113" s="181"/>
      <c r="WNX113" s="182"/>
      <c r="WNY113" s="181"/>
      <c r="WNZ113" s="182"/>
      <c r="WOA113" s="181"/>
      <c r="WOB113" s="182"/>
      <c r="WOC113" s="181"/>
      <c r="WOD113" s="182"/>
      <c r="WOE113" s="181"/>
      <c r="WOF113" s="182"/>
      <c r="WOG113" s="181"/>
      <c r="WOH113" s="182"/>
      <c r="WOI113" s="181"/>
      <c r="WOJ113" s="182"/>
      <c r="WOK113" s="181"/>
      <c r="WOL113" s="182"/>
      <c r="WOM113" s="181"/>
      <c r="WON113" s="182"/>
      <c r="WOO113" s="181"/>
      <c r="WOP113" s="182"/>
      <c r="WOQ113" s="181"/>
      <c r="WOR113" s="182"/>
      <c r="WOS113" s="181"/>
      <c r="WOT113" s="182"/>
      <c r="WOU113" s="181"/>
      <c r="WOV113" s="182"/>
      <c r="WOW113" s="181"/>
      <c r="WOX113" s="182"/>
      <c r="WOY113" s="181"/>
      <c r="WOZ113" s="182"/>
      <c r="WPA113" s="181"/>
      <c r="WPB113" s="182"/>
      <c r="WPC113" s="181"/>
      <c r="WPD113" s="182"/>
      <c r="WPE113" s="181"/>
      <c r="WPF113" s="182"/>
      <c r="WPG113" s="181"/>
      <c r="WPH113" s="182"/>
      <c r="WPI113" s="181"/>
      <c r="WPJ113" s="182"/>
      <c r="WPK113" s="181"/>
      <c r="WPL113" s="182"/>
      <c r="WPM113" s="181"/>
      <c r="WPN113" s="182"/>
      <c r="WPO113" s="181"/>
      <c r="WPP113" s="182"/>
      <c r="WPQ113" s="181"/>
      <c r="WPR113" s="182"/>
      <c r="WPS113" s="181"/>
      <c r="WPT113" s="182"/>
      <c r="WPU113" s="181"/>
      <c r="WPV113" s="182"/>
      <c r="WPW113" s="181"/>
      <c r="WPX113" s="182"/>
      <c r="WPY113" s="181"/>
      <c r="WPZ113" s="182"/>
      <c r="WQA113" s="181"/>
      <c r="WQB113" s="182"/>
      <c r="WQC113" s="181"/>
      <c r="WQD113" s="182"/>
      <c r="WQE113" s="181"/>
      <c r="WQF113" s="182"/>
      <c r="WQG113" s="181"/>
      <c r="WQH113" s="182"/>
      <c r="WQI113" s="181"/>
      <c r="WQJ113" s="182"/>
      <c r="WQK113" s="181"/>
      <c r="WQL113" s="182"/>
      <c r="WQM113" s="181"/>
      <c r="WQN113" s="182"/>
      <c r="WQO113" s="181"/>
      <c r="WQP113" s="182"/>
      <c r="WQQ113" s="181"/>
      <c r="WQR113" s="182"/>
      <c r="WQS113" s="181"/>
      <c r="WQT113" s="182"/>
      <c r="WQU113" s="181"/>
      <c r="WQV113" s="182"/>
      <c r="WQW113" s="181"/>
      <c r="WQX113" s="182"/>
      <c r="WQY113" s="181"/>
      <c r="WQZ113" s="182"/>
      <c r="WRA113" s="181"/>
      <c r="WRB113" s="182"/>
      <c r="WRC113" s="181"/>
      <c r="WRD113" s="182"/>
      <c r="WRE113" s="181"/>
      <c r="WRF113" s="182"/>
      <c r="WRG113" s="181"/>
      <c r="WRH113" s="182"/>
      <c r="WRI113" s="181"/>
      <c r="WRJ113" s="182"/>
      <c r="WRK113" s="181"/>
      <c r="WRL113" s="182"/>
      <c r="WRM113" s="181"/>
      <c r="WRN113" s="182"/>
      <c r="WRO113" s="181"/>
      <c r="WRP113" s="182"/>
      <c r="WRQ113" s="181"/>
      <c r="WRR113" s="182"/>
      <c r="WRS113" s="181"/>
      <c r="WRT113" s="182"/>
      <c r="WRU113" s="181"/>
      <c r="WRV113" s="182"/>
      <c r="WRW113" s="181"/>
      <c r="WRX113" s="182"/>
      <c r="WRY113" s="181"/>
      <c r="WRZ113" s="182"/>
      <c r="WSA113" s="181"/>
      <c r="WSB113" s="182"/>
      <c r="WSC113" s="181"/>
      <c r="WSD113" s="182"/>
      <c r="WSE113" s="181"/>
      <c r="WSF113" s="182"/>
      <c r="WSG113" s="181"/>
      <c r="WSH113" s="182"/>
      <c r="WSI113" s="181"/>
      <c r="WSJ113" s="182"/>
      <c r="WSK113" s="181"/>
      <c r="WSL113" s="182"/>
      <c r="WSM113" s="181"/>
      <c r="WSN113" s="182"/>
      <c r="WSO113" s="181"/>
      <c r="WSP113" s="182"/>
      <c r="WSQ113" s="181"/>
      <c r="WSR113" s="182"/>
      <c r="WSS113" s="181"/>
      <c r="WST113" s="182"/>
      <c r="WSU113" s="181"/>
      <c r="WSV113" s="182"/>
      <c r="WSW113" s="181"/>
      <c r="WSX113" s="182"/>
      <c r="WSY113" s="181"/>
      <c r="WSZ113" s="182"/>
      <c r="WTA113" s="181"/>
      <c r="WTB113" s="182"/>
      <c r="WTC113" s="181"/>
      <c r="WTD113" s="182"/>
      <c r="WTE113" s="181"/>
      <c r="WTF113" s="182"/>
      <c r="WTG113" s="181"/>
      <c r="WTH113" s="182"/>
      <c r="WTI113" s="181"/>
      <c r="WTJ113" s="182"/>
      <c r="WTK113" s="181"/>
      <c r="WTL113" s="182"/>
      <c r="WTM113" s="181"/>
      <c r="WTN113" s="182"/>
      <c r="WTO113" s="181"/>
      <c r="WTP113" s="182"/>
      <c r="WTQ113" s="181"/>
      <c r="WTR113" s="182"/>
      <c r="WTS113" s="181"/>
      <c r="WTT113" s="182"/>
      <c r="WTU113" s="181"/>
      <c r="WTV113" s="182"/>
      <c r="WTW113" s="181"/>
      <c r="WTX113" s="182"/>
      <c r="WTY113" s="181"/>
      <c r="WTZ113" s="182"/>
      <c r="WUA113" s="181"/>
      <c r="WUB113" s="182"/>
      <c r="WUC113" s="181"/>
      <c r="WUD113" s="182"/>
      <c r="WUE113" s="181"/>
      <c r="WUF113" s="182"/>
      <c r="WUG113" s="181"/>
      <c r="WUH113" s="182"/>
      <c r="WUI113" s="181"/>
      <c r="WUJ113" s="182"/>
      <c r="WUK113" s="181"/>
      <c r="WUL113" s="182"/>
      <c r="WUM113" s="181"/>
      <c r="WUN113" s="182"/>
      <c r="WUO113" s="181"/>
      <c r="WUP113" s="182"/>
      <c r="WUQ113" s="181"/>
      <c r="WUR113" s="182"/>
      <c r="WUS113" s="181"/>
      <c r="WUT113" s="182"/>
      <c r="WUU113" s="181"/>
      <c r="WUV113" s="182"/>
      <c r="WUW113" s="181"/>
      <c r="WUX113" s="182"/>
      <c r="WUY113" s="181"/>
      <c r="WUZ113" s="182"/>
      <c r="WVA113" s="181"/>
      <c r="WVB113" s="182"/>
      <c r="WVC113" s="181"/>
      <c r="WVD113" s="182"/>
      <c r="WVE113" s="181"/>
      <c r="WVF113" s="182"/>
      <c r="WVG113" s="181"/>
      <c r="WVH113" s="182"/>
      <c r="WVI113" s="181"/>
      <c r="WVJ113" s="182"/>
      <c r="WVK113" s="181"/>
      <c r="WVL113" s="182"/>
      <c r="WVM113" s="181"/>
      <c r="WVN113" s="182"/>
      <c r="WVO113" s="181"/>
      <c r="WVP113" s="182"/>
      <c r="WVQ113" s="181"/>
      <c r="WVR113" s="182"/>
      <c r="WVS113" s="181"/>
      <c r="WVT113" s="182"/>
      <c r="WVU113" s="181"/>
      <c r="WVV113" s="182"/>
      <c r="WVW113" s="181"/>
      <c r="WVX113" s="182"/>
      <c r="WVY113" s="181"/>
      <c r="WVZ113" s="182"/>
      <c r="WWA113" s="181"/>
      <c r="WWB113" s="182"/>
      <c r="WWC113" s="181"/>
      <c r="WWD113" s="182"/>
      <c r="WWE113" s="181"/>
      <c r="WWF113" s="182"/>
      <c r="WWG113" s="181"/>
      <c r="WWH113" s="182"/>
      <c r="WWI113" s="181"/>
      <c r="WWJ113" s="182"/>
      <c r="WWK113" s="181"/>
      <c r="WWL113" s="182"/>
      <c r="WWM113" s="181"/>
      <c r="WWN113" s="182"/>
      <c r="WWO113" s="181"/>
      <c r="WWP113" s="182"/>
      <c r="WWQ113" s="181"/>
      <c r="WWR113" s="182"/>
      <c r="WWS113" s="181"/>
      <c r="WWT113" s="182"/>
      <c r="WWU113" s="181"/>
      <c r="WWV113" s="182"/>
      <c r="WWW113" s="181"/>
      <c r="WWX113" s="182"/>
      <c r="WWY113" s="181"/>
      <c r="WWZ113" s="182"/>
      <c r="WXA113" s="181"/>
      <c r="WXB113" s="182"/>
      <c r="WXC113" s="181"/>
      <c r="WXD113" s="182"/>
      <c r="WXE113" s="181"/>
      <c r="WXF113" s="182"/>
      <c r="WXG113" s="181"/>
      <c r="WXH113" s="182"/>
      <c r="WXI113" s="181"/>
      <c r="WXJ113" s="182"/>
      <c r="WXK113" s="181"/>
      <c r="WXL113" s="182"/>
      <c r="WXM113" s="181"/>
      <c r="WXN113" s="182"/>
      <c r="WXO113" s="181"/>
      <c r="WXP113" s="182"/>
      <c r="WXQ113" s="181"/>
      <c r="WXR113" s="182"/>
      <c r="WXS113" s="181"/>
      <c r="WXT113" s="182"/>
      <c r="WXU113" s="181"/>
      <c r="WXV113" s="182"/>
      <c r="WXW113" s="181"/>
      <c r="WXX113" s="182"/>
      <c r="WXY113" s="181"/>
      <c r="WXZ113" s="182"/>
      <c r="WYA113" s="181"/>
      <c r="WYB113" s="182"/>
      <c r="WYC113" s="181"/>
      <c r="WYD113" s="182"/>
      <c r="WYE113" s="181"/>
      <c r="WYF113" s="182"/>
      <c r="WYG113" s="181"/>
      <c r="WYH113" s="182"/>
      <c r="WYI113" s="181"/>
      <c r="WYJ113" s="182"/>
      <c r="WYK113" s="181"/>
      <c r="WYL113" s="182"/>
      <c r="WYM113" s="181"/>
      <c r="WYN113" s="182"/>
      <c r="WYO113" s="181"/>
      <c r="WYP113" s="182"/>
      <c r="WYQ113" s="181"/>
      <c r="WYR113" s="182"/>
      <c r="WYS113" s="181"/>
      <c r="WYT113" s="182"/>
      <c r="WYU113" s="181"/>
      <c r="WYV113" s="182"/>
      <c r="WYW113" s="181"/>
      <c r="WYX113" s="182"/>
      <c r="WYY113" s="181"/>
      <c r="WYZ113" s="182"/>
      <c r="WZA113" s="181"/>
      <c r="WZB113" s="182"/>
      <c r="WZC113" s="181"/>
      <c r="WZD113" s="182"/>
      <c r="WZE113" s="181"/>
      <c r="WZF113" s="182"/>
      <c r="WZG113" s="181"/>
      <c r="WZH113" s="182"/>
      <c r="WZI113" s="181"/>
      <c r="WZJ113" s="182"/>
      <c r="WZK113" s="181"/>
      <c r="WZL113" s="182"/>
      <c r="WZM113" s="181"/>
      <c r="WZN113" s="182"/>
      <c r="WZO113" s="181"/>
      <c r="WZP113" s="182"/>
      <c r="WZQ113" s="181"/>
      <c r="WZR113" s="182"/>
      <c r="WZS113" s="181"/>
      <c r="WZT113" s="182"/>
      <c r="WZU113" s="181"/>
      <c r="WZV113" s="182"/>
      <c r="WZW113" s="181"/>
      <c r="WZX113" s="182"/>
      <c r="WZY113" s="181"/>
      <c r="WZZ113" s="182"/>
      <c r="XAA113" s="181"/>
      <c r="XAB113" s="182"/>
      <c r="XAC113" s="181"/>
      <c r="XAD113" s="182"/>
      <c r="XAE113" s="181"/>
      <c r="XAF113" s="182"/>
      <c r="XAG113" s="181"/>
      <c r="XAH113" s="182"/>
      <c r="XAI113" s="181"/>
      <c r="XAJ113" s="182"/>
      <c r="XAK113" s="181"/>
      <c r="XAL113" s="182"/>
      <c r="XAM113" s="181"/>
      <c r="XAN113" s="182"/>
      <c r="XAO113" s="181"/>
      <c r="XAP113" s="182"/>
      <c r="XAQ113" s="181"/>
      <c r="XAR113" s="182"/>
      <c r="XAS113" s="181"/>
      <c r="XAT113" s="182"/>
      <c r="XAU113" s="181"/>
      <c r="XAV113" s="182"/>
      <c r="XAW113" s="181"/>
      <c r="XAX113" s="182"/>
      <c r="XAY113" s="181"/>
      <c r="XAZ113" s="182"/>
      <c r="XBA113" s="181"/>
      <c r="XBB113" s="182"/>
      <c r="XBC113" s="181"/>
      <c r="XBD113" s="182"/>
      <c r="XBE113" s="181"/>
      <c r="XBF113" s="182"/>
      <c r="XBG113" s="181"/>
      <c r="XBH113" s="182"/>
      <c r="XBI113" s="181"/>
      <c r="XBJ113" s="182"/>
      <c r="XBK113" s="181"/>
      <c r="XBL113" s="182"/>
      <c r="XBM113" s="181"/>
      <c r="XBN113" s="182"/>
      <c r="XBO113" s="181"/>
      <c r="XBP113" s="182"/>
      <c r="XBQ113" s="181"/>
      <c r="XBR113" s="182"/>
      <c r="XBS113" s="181"/>
      <c r="XBT113" s="182"/>
      <c r="XBU113" s="181"/>
      <c r="XBV113" s="182"/>
      <c r="XBW113" s="181"/>
      <c r="XBX113" s="182"/>
      <c r="XBY113" s="181"/>
      <c r="XBZ113" s="182"/>
      <c r="XCA113" s="181"/>
      <c r="XCB113" s="182"/>
      <c r="XCC113" s="181"/>
      <c r="XCD113" s="182"/>
      <c r="XCE113" s="181"/>
      <c r="XCF113" s="182"/>
      <c r="XCG113" s="181"/>
      <c r="XCH113" s="182"/>
      <c r="XCI113" s="181"/>
      <c r="XCJ113" s="182"/>
      <c r="XCK113" s="181"/>
      <c r="XCL113" s="182"/>
      <c r="XCM113" s="181"/>
      <c r="XCN113" s="182"/>
      <c r="XCO113" s="181"/>
      <c r="XCP113" s="182"/>
      <c r="XCQ113" s="181"/>
      <c r="XCR113" s="182"/>
      <c r="XCS113" s="181"/>
      <c r="XCT113" s="182"/>
      <c r="XCU113" s="181"/>
      <c r="XCV113" s="182"/>
      <c r="XCW113" s="181"/>
      <c r="XCX113" s="182"/>
      <c r="XCY113" s="181"/>
      <c r="XCZ113" s="182"/>
      <c r="XDA113" s="181"/>
      <c r="XDB113" s="182"/>
      <c r="XDC113" s="181"/>
      <c r="XDD113" s="182"/>
      <c r="XDE113" s="181"/>
      <c r="XDF113" s="182"/>
      <c r="XDG113" s="181"/>
      <c r="XDH113" s="182"/>
      <c r="XDI113" s="181"/>
      <c r="XDJ113" s="182"/>
      <c r="XDK113" s="181"/>
      <c r="XDL113" s="182"/>
      <c r="XDM113" s="181"/>
      <c r="XDN113" s="182"/>
      <c r="XDO113" s="181"/>
      <c r="XDP113" s="182"/>
      <c r="XDQ113" s="181"/>
      <c r="XDR113" s="182"/>
      <c r="XDS113" s="181"/>
      <c r="XDT113" s="182"/>
      <c r="XDU113" s="181"/>
      <c r="XDV113" s="182"/>
      <c r="XDW113" s="181"/>
      <c r="XDX113" s="182"/>
      <c r="XDY113" s="181"/>
      <c r="XDZ113" s="182"/>
      <c r="XEA113" s="181"/>
      <c r="XEB113" s="182"/>
      <c r="XEC113" s="181"/>
      <c r="XED113" s="182"/>
      <c r="XEE113" s="181"/>
      <c r="XEF113" s="182"/>
      <c r="XEG113" s="181"/>
      <c r="XEH113" s="182"/>
      <c r="XEI113" s="181"/>
      <c r="XEJ113" s="182"/>
      <c r="XEK113" s="181"/>
      <c r="XEL113" s="182"/>
      <c r="XEM113" s="181"/>
      <c r="XEN113" s="182"/>
      <c r="XEO113" s="181"/>
      <c r="XEP113" s="182"/>
      <c r="XEQ113" s="181"/>
      <c r="XER113" s="182"/>
      <c r="XES113" s="181"/>
      <c r="XET113" s="182"/>
      <c r="XEU113" s="181"/>
      <c r="XEV113" s="182"/>
      <c r="XEW113" s="181"/>
      <c r="XEX113" s="182"/>
      <c r="XEY113" s="181"/>
      <c r="XEZ113" s="182"/>
      <c r="XFA113" s="181"/>
      <c r="XFB113" s="182"/>
      <c r="XFC113" s="181"/>
      <c r="XFD113" s="182"/>
    </row>
    <row r="114" spans="1:16384" s="99" customFormat="1" ht="65.099999999999994" customHeight="1">
      <c r="A114" s="102"/>
      <c r="B114" s="102"/>
      <c r="C114" s="103"/>
      <c r="D114" s="102"/>
      <c r="E114" s="103"/>
      <c r="F114" s="102"/>
      <c r="G114" s="103"/>
      <c r="H114" s="103"/>
      <c r="I114" s="104"/>
      <c r="J114" s="104"/>
      <c r="K114" s="103"/>
      <c r="L114" s="103"/>
      <c r="M114" s="103"/>
      <c r="N114" s="103"/>
      <c r="O114" s="103"/>
      <c r="P114" s="103"/>
      <c r="Q114" s="103"/>
      <c r="R114" s="103"/>
      <c r="S114" s="103"/>
      <c r="T114" s="103"/>
      <c r="U114" s="103"/>
      <c r="V114" s="103"/>
      <c r="W114" s="103"/>
      <c r="X114" s="103"/>
      <c r="Y114" s="103"/>
      <c r="Z114" s="103"/>
      <c r="AA114" s="105"/>
      <c r="AB114" s="102"/>
      <c r="AC114" s="181"/>
      <c r="AD114" s="182"/>
      <c r="AE114" s="181"/>
      <c r="AF114" s="182"/>
      <c r="AG114" s="181"/>
      <c r="AH114" s="182"/>
      <c r="AI114" s="181"/>
      <c r="AJ114" s="182"/>
      <c r="AK114" s="181"/>
      <c r="AL114" s="182"/>
      <c r="AM114" s="181"/>
      <c r="AN114" s="182"/>
      <c r="AO114" s="181"/>
      <c r="AP114" s="182"/>
      <c r="AQ114" s="181"/>
      <c r="AR114" s="182"/>
      <c r="AS114" s="181"/>
      <c r="AT114" s="182"/>
      <c r="AU114" s="181"/>
      <c r="AV114" s="182"/>
      <c r="AW114" s="181"/>
      <c r="AX114" s="182"/>
      <c r="AY114" s="181"/>
      <c r="AZ114" s="182"/>
      <c r="BA114" s="181"/>
      <c r="BB114" s="182"/>
      <c r="BC114" s="181"/>
      <c r="BD114" s="182"/>
      <c r="BE114" s="181"/>
      <c r="BF114" s="182"/>
      <c r="BG114" s="181"/>
      <c r="BH114" s="182"/>
      <c r="BI114" s="181"/>
      <c r="BJ114" s="182"/>
      <c r="BK114" s="181"/>
      <c r="BL114" s="182"/>
      <c r="BM114" s="181"/>
      <c r="BN114" s="182"/>
      <c r="BO114" s="181"/>
      <c r="BP114" s="182"/>
      <c r="BQ114" s="181"/>
      <c r="BR114" s="182"/>
      <c r="BS114" s="181"/>
      <c r="BT114" s="182"/>
      <c r="BU114" s="181"/>
      <c r="BV114" s="182"/>
      <c r="BW114" s="181"/>
      <c r="BX114" s="182"/>
      <c r="BY114" s="181"/>
      <c r="BZ114" s="182"/>
      <c r="CA114" s="181"/>
      <c r="CB114" s="182"/>
      <c r="CC114" s="181"/>
      <c r="CD114" s="182"/>
      <c r="CE114" s="181"/>
      <c r="CF114" s="182"/>
      <c r="CG114" s="181"/>
      <c r="CH114" s="182"/>
      <c r="CI114" s="181"/>
      <c r="CJ114" s="182"/>
      <c r="CK114" s="181"/>
      <c r="CL114" s="182"/>
      <c r="CM114" s="181"/>
      <c r="CN114" s="182"/>
      <c r="CO114" s="181"/>
      <c r="CP114" s="182"/>
      <c r="CQ114" s="181"/>
      <c r="CR114" s="182"/>
      <c r="CS114" s="181"/>
      <c r="CT114" s="182"/>
      <c r="CU114" s="181"/>
      <c r="CV114" s="182"/>
      <c r="CW114" s="181"/>
      <c r="CX114" s="182"/>
      <c r="CY114" s="181"/>
      <c r="CZ114" s="182"/>
      <c r="DA114" s="181"/>
      <c r="DB114" s="182"/>
      <c r="DC114" s="181"/>
      <c r="DD114" s="182"/>
      <c r="DE114" s="181"/>
      <c r="DF114" s="182"/>
      <c r="DG114" s="181"/>
      <c r="DH114" s="182"/>
      <c r="DI114" s="181"/>
      <c r="DJ114" s="182"/>
      <c r="DK114" s="181"/>
      <c r="DL114" s="182"/>
      <c r="DM114" s="181"/>
      <c r="DN114" s="182"/>
      <c r="DO114" s="181"/>
      <c r="DP114" s="182"/>
      <c r="DQ114" s="181"/>
      <c r="DR114" s="182"/>
      <c r="DS114" s="181"/>
      <c r="DT114" s="182"/>
      <c r="DU114" s="181"/>
      <c r="DV114" s="182"/>
      <c r="DW114" s="181"/>
      <c r="DX114" s="182"/>
      <c r="DY114" s="181"/>
      <c r="DZ114" s="182"/>
      <c r="EA114" s="181"/>
      <c r="EB114" s="182"/>
      <c r="EC114" s="181"/>
      <c r="ED114" s="182"/>
      <c r="EE114" s="181"/>
      <c r="EF114" s="182"/>
      <c r="EG114" s="181"/>
      <c r="EH114" s="182"/>
      <c r="EI114" s="181"/>
      <c r="EJ114" s="182"/>
      <c r="EK114" s="181"/>
      <c r="EL114" s="182"/>
      <c r="EM114" s="181"/>
      <c r="EN114" s="182"/>
      <c r="EO114" s="181"/>
      <c r="EP114" s="182"/>
      <c r="EQ114" s="181"/>
      <c r="ER114" s="182"/>
      <c r="ES114" s="181"/>
      <c r="ET114" s="182"/>
      <c r="EU114" s="181"/>
      <c r="EV114" s="182"/>
      <c r="EW114" s="181"/>
      <c r="EX114" s="182"/>
      <c r="EY114" s="181"/>
      <c r="EZ114" s="182"/>
      <c r="FA114" s="181"/>
      <c r="FB114" s="182"/>
      <c r="FC114" s="181"/>
      <c r="FD114" s="182"/>
      <c r="FE114" s="181"/>
      <c r="FF114" s="182"/>
      <c r="FG114" s="181"/>
      <c r="FH114" s="182"/>
      <c r="FI114" s="181"/>
      <c r="FJ114" s="182"/>
      <c r="FK114" s="181"/>
      <c r="FL114" s="182"/>
      <c r="FM114" s="181"/>
      <c r="FN114" s="182"/>
      <c r="FO114" s="181"/>
      <c r="FP114" s="182"/>
      <c r="FQ114" s="181"/>
      <c r="FR114" s="182"/>
      <c r="FS114" s="181"/>
      <c r="FT114" s="182"/>
      <c r="FU114" s="181"/>
      <c r="FV114" s="182"/>
      <c r="FW114" s="181"/>
      <c r="FX114" s="182"/>
      <c r="FY114" s="181"/>
      <c r="FZ114" s="182"/>
      <c r="GA114" s="181"/>
      <c r="GB114" s="182"/>
      <c r="GC114" s="181"/>
      <c r="GD114" s="182"/>
      <c r="GE114" s="181"/>
      <c r="GF114" s="182"/>
      <c r="GG114" s="181"/>
      <c r="GH114" s="182"/>
      <c r="GI114" s="181"/>
      <c r="GJ114" s="182"/>
      <c r="GK114" s="181"/>
      <c r="GL114" s="182"/>
      <c r="GM114" s="181"/>
      <c r="GN114" s="182"/>
      <c r="GO114" s="181"/>
      <c r="GP114" s="182"/>
      <c r="GQ114" s="181"/>
      <c r="GR114" s="182"/>
      <c r="GS114" s="181"/>
      <c r="GT114" s="182"/>
      <c r="GU114" s="181"/>
      <c r="GV114" s="182"/>
      <c r="GW114" s="181"/>
      <c r="GX114" s="182"/>
      <c r="GY114" s="181"/>
      <c r="GZ114" s="182"/>
      <c r="HA114" s="181"/>
      <c r="HB114" s="182"/>
      <c r="HC114" s="181"/>
      <c r="HD114" s="182"/>
      <c r="HE114" s="181"/>
      <c r="HF114" s="182"/>
      <c r="HG114" s="181"/>
      <c r="HH114" s="182"/>
      <c r="HI114" s="181"/>
      <c r="HJ114" s="182"/>
      <c r="HK114" s="181"/>
      <c r="HL114" s="182"/>
      <c r="HM114" s="181"/>
      <c r="HN114" s="182"/>
      <c r="HO114" s="181"/>
      <c r="HP114" s="182"/>
      <c r="HQ114" s="181"/>
      <c r="HR114" s="182"/>
      <c r="HS114" s="181"/>
      <c r="HT114" s="182"/>
      <c r="HU114" s="181"/>
      <c r="HV114" s="182"/>
      <c r="HW114" s="181"/>
      <c r="HX114" s="182"/>
      <c r="HY114" s="181"/>
      <c r="HZ114" s="182"/>
      <c r="IA114" s="181"/>
      <c r="IB114" s="182"/>
      <c r="IC114" s="181"/>
      <c r="ID114" s="182"/>
      <c r="IE114" s="181"/>
      <c r="IF114" s="182"/>
      <c r="IG114" s="181"/>
      <c r="IH114" s="182"/>
      <c r="II114" s="181"/>
      <c r="IJ114" s="182"/>
      <c r="IK114" s="181"/>
      <c r="IL114" s="182"/>
      <c r="IM114" s="181"/>
      <c r="IN114" s="182"/>
      <c r="IO114" s="181"/>
      <c r="IP114" s="182"/>
      <c r="IQ114" s="181"/>
      <c r="IR114" s="182"/>
      <c r="IS114" s="181"/>
      <c r="IT114" s="182"/>
      <c r="IU114" s="181"/>
      <c r="IV114" s="182"/>
      <c r="IW114" s="181"/>
      <c r="IX114" s="182"/>
      <c r="IY114" s="181"/>
      <c r="IZ114" s="182"/>
      <c r="JA114" s="181"/>
      <c r="JB114" s="182"/>
      <c r="JC114" s="181"/>
      <c r="JD114" s="182"/>
      <c r="JE114" s="181"/>
      <c r="JF114" s="182"/>
      <c r="JG114" s="181"/>
      <c r="JH114" s="182"/>
      <c r="JI114" s="181"/>
      <c r="JJ114" s="182"/>
      <c r="JK114" s="181"/>
      <c r="JL114" s="182"/>
      <c r="JM114" s="181"/>
      <c r="JN114" s="182"/>
      <c r="JO114" s="181"/>
      <c r="JP114" s="182"/>
      <c r="JQ114" s="181"/>
      <c r="JR114" s="182"/>
      <c r="JS114" s="181"/>
      <c r="JT114" s="182"/>
      <c r="JU114" s="181"/>
      <c r="JV114" s="182"/>
      <c r="JW114" s="181"/>
      <c r="JX114" s="182"/>
      <c r="JY114" s="181"/>
      <c r="JZ114" s="182"/>
      <c r="KA114" s="181"/>
      <c r="KB114" s="182"/>
      <c r="KC114" s="181"/>
      <c r="KD114" s="182"/>
      <c r="KE114" s="181"/>
      <c r="KF114" s="182"/>
      <c r="KG114" s="181"/>
      <c r="KH114" s="182"/>
      <c r="KI114" s="181"/>
      <c r="KJ114" s="182"/>
      <c r="KK114" s="181"/>
      <c r="KL114" s="182"/>
      <c r="KM114" s="181"/>
      <c r="KN114" s="182"/>
      <c r="KO114" s="181"/>
      <c r="KP114" s="182"/>
      <c r="KQ114" s="181"/>
      <c r="KR114" s="182"/>
      <c r="KS114" s="181"/>
      <c r="KT114" s="182"/>
      <c r="KU114" s="181"/>
      <c r="KV114" s="182"/>
      <c r="KW114" s="181"/>
      <c r="KX114" s="182"/>
      <c r="KY114" s="181"/>
      <c r="KZ114" s="182"/>
      <c r="LA114" s="181"/>
      <c r="LB114" s="182"/>
      <c r="LC114" s="181"/>
      <c r="LD114" s="182"/>
      <c r="LE114" s="181"/>
      <c r="LF114" s="182"/>
      <c r="LG114" s="181"/>
      <c r="LH114" s="182"/>
      <c r="LI114" s="181"/>
      <c r="LJ114" s="182"/>
      <c r="LK114" s="181"/>
      <c r="LL114" s="182"/>
      <c r="LM114" s="181"/>
      <c r="LN114" s="182"/>
      <c r="LO114" s="181"/>
      <c r="LP114" s="182"/>
      <c r="LQ114" s="181"/>
      <c r="LR114" s="182"/>
      <c r="LS114" s="181"/>
      <c r="LT114" s="182"/>
      <c r="LU114" s="181"/>
      <c r="LV114" s="182"/>
      <c r="LW114" s="181"/>
      <c r="LX114" s="182"/>
      <c r="LY114" s="181"/>
      <c r="LZ114" s="182"/>
      <c r="MA114" s="181"/>
      <c r="MB114" s="182"/>
      <c r="MC114" s="181"/>
      <c r="MD114" s="182"/>
      <c r="ME114" s="181"/>
      <c r="MF114" s="182"/>
      <c r="MG114" s="181"/>
      <c r="MH114" s="182"/>
      <c r="MI114" s="181"/>
      <c r="MJ114" s="182"/>
      <c r="MK114" s="181"/>
      <c r="ML114" s="182"/>
      <c r="MM114" s="181"/>
      <c r="MN114" s="182"/>
      <c r="MO114" s="181"/>
      <c r="MP114" s="182"/>
      <c r="MQ114" s="181"/>
      <c r="MR114" s="182"/>
      <c r="MS114" s="181"/>
      <c r="MT114" s="182"/>
      <c r="MU114" s="181"/>
      <c r="MV114" s="182"/>
      <c r="MW114" s="181"/>
      <c r="MX114" s="182"/>
      <c r="MY114" s="181"/>
      <c r="MZ114" s="182"/>
      <c r="NA114" s="181"/>
      <c r="NB114" s="182"/>
      <c r="NC114" s="181"/>
      <c r="ND114" s="182"/>
      <c r="NE114" s="181"/>
      <c r="NF114" s="182"/>
      <c r="NG114" s="181"/>
      <c r="NH114" s="182"/>
      <c r="NI114" s="181"/>
      <c r="NJ114" s="182"/>
      <c r="NK114" s="181"/>
      <c r="NL114" s="182"/>
      <c r="NM114" s="181"/>
      <c r="NN114" s="182"/>
      <c r="NO114" s="181"/>
      <c r="NP114" s="182"/>
      <c r="NQ114" s="181"/>
      <c r="NR114" s="182"/>
      <c r="NS114" s="181"/>
      <c r="NT114" s="182"/>
      <c r="NU114" s="181"/>
      <c r="NV114" s="182"/>
      <c r="NW114" s="181"/>
      <c r="NX114" s="182"/>
      <c r="NY114" s="181"/>
      <c r="NZ114" s="182"/>
      <c r="OA114" s="181"/>
      <c r="OB114" s="182"/>
      <c r="OC114" s="181"/>
      <c r="OD114" s="182"/>
      <c r="OE114" s="181"/>
      <c r="OF114" s="182"/>
      <c r="OG114" s="181"/>
      <c r="OH114" s="182"/>
      <c r="OI114" s="181"/>
      <c r="OJ114" s="182"/>
      <c r="OK114" s="181"/>
      <c r="OL114" s="182"/>
      <c r="OM114" s="181"/>
      <c r="ON114" s="182"/>
      <c r="OO114" s="181"/>
      <c r="OP114" s="182"/>
      <c r="OQ114" s="181"/>
      <c r="OR114" s="182"/>
      <c r="OS114" s="181"/>
      <c r="OT114" s="182"/>
      <c r="OU114" s="181"/>
      <c r="OV114" s="182"/>
      <c r="OW114" s="181"/>
      <c r="OX114" s="182"/>
      <c r="OY114" s="181"/>
      <c r="OZ114" s="182"/>
      <c r="PA114" s="181"/>
      <c r="PB114" s="182"/>
      <c r="PC114" s="181"/>
      <c r="PD114" s="182"/>
      <c r="PE114" s="181"/>
      <c r="PF114" s="182"/>
      <c r="PG114" s="181"/>
      <c r="PH114" s="182"/>
      <c r="PI114" s="181"/>
      <c r="PJ114" s="182"/>
      <c r="PK114" s="181"/>
      <c r="PL114" s="182"/>
      <c r="PM114" s="181"/>
      <c r="PN114" s="182"/>
      <c r="PO114" s="181"/>
      <c r="PP114" s="182"/>
      <c r="PQ114" s="181"/>
      <c r="PR114" s="182"/>
      <c r="PS114" s="181"/>
      <c r="PT114" s="182"/>
      <c r="PU114" s="181"/>
      <c r="PV114" s="182"/>
      <c r="PW114" s="181"/>
      <c r="PX114" s="182"/>
      <c r="PY114" s="181"/>
      <c r="PZ114" s="182"/>
      <c r="QA114" s="181"/>
      <c r="QB114" s="182"/>
      <c r="QC114" s="181"/>
      <c r="QD114" s="182"/>
      <c r="QE114" s="181"/>
      <c r="QF114" s="182"/>
      <c r="QG114" s="181"/>
      <c r="QH114" s="182"/>
      <c r="QI114" s="181"/>
      <c r="QJ114" s="182"/>
      <c r="QK114" s="181"/>
      <c r="QL114" s="182"/>
      <c r="QM114" s="181"/>
      <c r="QN114" s="182"/>
      <c r="QO114" s="181"/>
      <c r="QP114" s="182"/>
      <c r="QQ114" s="181"/>
      <c r="QR114" s="182"/>
      <c r="QS114" s="181"/>
      <c r="QT114" s="182"/>
      <c r="QU114" s="181"/>
      <c r="QV114" s="182"/>
      <c r="QW114" s="181"/>
      <c r="QX114" s="182"/>
      <c r="QY114" s="181"/>
      <c r="QZ114" s="182"/>
      <c r="RA114" s="181"/>
      <c r="RB114" s="182"/>
      <c r="RC114" s="181"/>
      <c r="RD114" s="182"/>
      <c r="RE114" s="181"/>
      <c r="RF114" s="182"/>
      <c r="RG114" s="181"/>
      <c r="RH114" s="182"/>
      <c r="RI114" s="181"/>
      <c r="RJ114" s="182"/>
      <c r="RK114" s="181"/>
      <c r="RL114" s="182"/>
      <c r="RM114" s="181"/>
      <c r="RN114" s="182"/>
      <c r="RO114" s="181"/>
      <c r="RP114" s="182"/>
      <c r="RQ114" s="181"/>
      <c r="RR114" s="182"/>
      <c r="RS114" s="181"/>
      <c r="RT114" s="182"/>
      <c r="RU114" s="181"/>
      <c r="RV114" s="182"/>
      <c r="RW114" s="181"/>
      <c r="RX114" s="182"/>
      <c r="RY114" s="181"/>
      <c r="RZ114" s="182"/>
      <c r="SA114" s="181"/>
      <c r="SB114" s="182"/>
      <c r="SC114" s="181"/>
      <c r="SD114" s="182"/>
      <c r="SE114" s="181"/>
      <c r="SF114" s="182"/>
      <c r="SG114" s="181"/>
      <c r="SH114" s="182"/>
      <c r="SI114" s="181"/>
      <c r="SJ114" s="182"/>
      <c r="SK114" s="181"/>
      <c r="SL114" s="182"/>
      <c r="SM114" s="181"/>
      <c r="SN114" s="182"/>
      <c r="SO114" s="181"/>
      <c r="SP114" s="182"/>
      <c r="SQ114" s="181"/>
      <c r="SR114" s="182"/>
      <c r="SS114" s="181"/>
      <c r="ST114" s="182"/>
      <c r="SU114" s="181"/>
      <c r="SV114" s="182"/>
      <c r="SW114" s="181"/>
      <c r="SX114" s="182"/>
      <c r="SY114" s="181"/>
      <c r="SZ114" s="182"/>
      <c r="TA114" s="181"/>
      <c r="TB114" s="182"/>
      <c r="TC114" s="181"/>
      <c r="TD114" s="182"/>
      <c r="TE114" s="181"/>
      <c r="TF114" s="182"/>
      <c r="TG114" s="181"/>
      <c r="TH114" s="182"/>
      <c r="TI114" s="181"/>
      <c r="TJ114" s="182"/>
      <c r="TK114" s="181"/>
      <c r="TL114" s="182"/>
      <c r="TM114" s="181"/>
      <c r="TN114" s="182"/>
      <c r="TO114" s="181"/>
      <c r="TP114" s="182"/>
      <c r="TQ114" s="181"/>
      <c r="TR114" s="182"/>
      <c r="TS114" s="181"/>
      <c r="TT114" s="182"/>
      <c r="TU114" s="181"/>
      <c r="TV114" s="182"/>
      <c r="TW114" s="181"/>
      <c r="TX114" s="182"/>
      <c r="TY114" s="181"/>
      <c r="TZ114" s="182"/>
      <c r="UA114" s="181"/>
      <c r="UB114" s="182"/>
      <c r="UC114" s="181"/>
      <c r="UD114" s="182"/>
      <c r="UE114" s="181"/>
      <c r="UF114" s="182"/>
      <c r="UG114" s="181"/>
      <c r="UH114" s="182"/>
      <c r="UI114" s="181"/>
      <c r="UJ114" s="182"/>
      <c r="UK114" s="181"/>
      <c r="UL114" s="182"/>
      <c r="UM114" s="181"/>
      <c r="UN114" s="182"/>
      <c r="UO114" s="181"/>
      <c r="UP114" s="182"/>
      <c r="UQ114" s="181"/>
      <c r="UR114" s="182"/>
      <c r="US114" s="181"/>
      <c r="UT114" s="182"/>
      <c r="UU114" s="181"/>
      <c r="UV114" s="182"/>
      <c r="UW114" s="181"/>
      <c r="UX114" s="182"/>
      <c r="UY114" s="181"/>
      <c r="UZ114" s="182"/>
      <c r="VA114" s="181"/>
      <c r="VB114" s="182"/>
      <c r="VC114" s="181"/>
      <c r="VD114" s="182"/>
      <c r="VE114" s="181"/>
      <c r="VF114" s="182"/>
      <c r="VG114" s="181"/>
      <c r="VH114" s="182"/>
      <c r="VI114" s="181"/>
      <c r="VJ114" s="182"/>
      <c r="VK114" s="181"/>
      <c r="VL114" s="182"/>
      <c r="VM114" s="181"/>
      <c r="VN114" s="182"/>
      <c r="VO114" s="181"/>
      <c r="VP114" s="182"/>
      <c r="VQ114" s="181"/>
      <c r="VR114" s="182"/>
      <c r="VS114" s="181"/>
      <c r="VT114" s="182"/>
      <c r="VU114" s="181"/>
      <c r="VV114" s="182"/>
      <c r="VW114" s="181"/>
      <c r="VX114" s="182"/>
      <c r="VY114" s="181"/>
      <c r="VZ114" s="182"/>
      <c r="WA114" s="181"/>
      <c r="WB114" s="182"/>
      <c r="WC114" s="181"/>
      <c r="WD114" s="182"/>
      <c r="WE114" s="181"/>
      <c r="WF114" s="182"/>
      <c r="WG114" s="181"/>
      <c r="WH114" s="182"/>
      <c r="WI114" s="181"/>
      <c r="WJ114" s="182"/>
      <c r="WK114" s="181"/>
      <c r="WL114" s="182"/>
      <c r="WM114" s="181"/>
      <c r="WN114" s="182"/>
      <c r="WO114" s="181"/>
      <c r="WP114" s="182"/>
      <c r="WQ114" s="181"/>
      <c r="WR114" s="182"/>
      <c r="WS114" s="181"/>
      <c r="WT114" s="182"/>
      <c r="WU114" s="181"/>
      <c r="WV114" s="182"/>
      <c r="WW114" s="181"/>
      <c r="WX114" s="182"/>
      <c r="WY114" s="181"/>
      <c r="WZ114" s="182"/>
      <c r="XA114" s="181"/>
      <c r="XB114" s="182"/>
      <c r="XC114" s="181"/>
      <c r="XD114" s="182"/>
      <c r="XE114" s="181"/>
      <c r="XF114" s="182"/>
      <c r="XG114" s="181"/>
      <c r="XH114" s="182"/>
      <c r="XI114" s="181"/>
      <c r="XJ114" s="182"/>
      <c r="XK114" s="181"/>
      <c r="XL114" s="182"/>
      <c r="XM114" s="181"/>
      <c r="XN114" s="182"/>
      <c r="XO114" s="181"/>
      <c r="XP114" s="182"/>
      <c r="XQ114" s="181"/>
      <c r="XR114" s="182"/>
      <c r="XS114" s="181"/>
      <c r="XT114" s="182"/>
      <c r="XU114" s="181"/>
      <c r="XV114" s="182"/>
      <c r="XW114" s="181"/>
      <c r="XX114" s="182"/>
      <c r="XY114" s="181"/>
      <c r="XZ114" s="182"/>
      <c r="YA114" s="181"/>
      <c r="YB114" s="182"/>
      <c r="YC114" s="181"/>
      <c r="YD114" s="182"/>
      <c r="YE114" s="181"/>
      <c r="YF114" s="182"/>
      <c r="YG114" s="181"/>
      <c r="YH114" s="182"/>
      <c r="YI114" s="181"/>
      <c r="YJ114" s="182"/>
      <c r="YK114" s="181"/>
      <c r="YL114" s="182"/>
      <c r="YM114" s="181"/>
      <c r="YN114" s="182"/>
      <c r="YO114" s="181"/>
      <c r="YP114" s="182"/>
      <c r="YQ114" s="181"/>
      <c r="YR114" s="182"/>
      <c r="YS114" s="181"/>
      <c r="YT114" s="182"/>
      <c r="YU114" s="181"/>
      <c r="YV114" s="182"/>
      <c r="YW114" s="181"/>
      <c r="YX114" s="182"/>
      <c r="YY114" s="181"/>
      <c r="YZ114" s="182"/>
      <c r="ZA114" s="181"/>
      <c r="ZB114" s="182"/>
      <c r="ZC114" s="181"/>
      <c r="ZD114" s="182"/>
      <c r="ZE114" s="181"/>
      <c r="ZF114" s="182"/>
      <c r="ZG114" s="181"/>
      <c r="ZH114" s="182"/>
      <c r="ZI114" s="181"/>
      <c r="ZJ114" s="182"/>
      <c r="ZK114" s="181"/>
      <c r="ZL114" s="182"/>
      <c r="ZM114" s="181"/>
      <c r="ZN114" s="182"/>
      <c r="ZO114" s="181"/>
      <c r="ZP114" s="182"/>
      <c r="ZQ114" s="181"/>
      <c r="ZR114" s="182"/>
      <c r="ZS114" s="181"/>
      <c r="ZT114" s="182"/>
      <c r="ZU114" s="181"/>
      <c r="ZV114" s="182"/>
      <c r="ZW114" s="181"/>
      <c r="ZX114" s="182"/>
      <c r="ZY114" s="181"/>
      <c r="ZZ114" s="182"/>
      <c r="AAA114" s="181"/>
      <c r="AAB114" s="182"/>
      <c r="AAC114" s="181"/>
      <c r="AAD114" s="182"/>
      <c r="AAE114" s="181"/>
      <c r="AAF114" s="182"/>
      <c r="AAG114" s="181"/>
      <c r="AAH114" s="182"/>
      <c r="AAI114" s="181"/>
      <c r="AAJ114" s="182"/>
      <c r="AAK114" s="181"/>
      <c r="AAL114" s="182"/>
      <c r="AAM114" s="181"/>
      <c r="AAN114" s="182"/>
      <c r="AAO114" s="181"/>
      <c r="AAP114" s="182"/>
      <c r="AAQ114" s="181"/>
      <c r="AAR114" s="182"/>
      <c r="AAS114" s="181"/>
      <c r="AAT114" s="182"/>
      <c r="AAU114" s="181"/>
      <c r="AAV114" s="182"/>
      <c r="AAW114" s="181"/>
      <c r="AAX114" s="182"/>
      <c r="AAY114" s="181"/>
      <c r="AAZ114" s="182"/>
      <c r="ABA114" s="181"/>
      <c r="ABB114" s="182"/>
      <c r="ABC114" s="181"/>
      <c r="ABD114" s="182"/>
      <c r="ABE114" s="181"/>
      <c r="ABF114" s="182"/>
      <c r="ABG114" s="181"/>
      <c r="ABH114" s="182"/>
      <c r="ABI114" s="181"/>
      <c r="ABJ114" s="182"/>
      <c r="ABK114" s="181"/>
      <c r="ABL114" s="182"/>
      <c r="ABM114" s="181"/>
      <c r="ABN114" s="182"/>
      <c r="ABO114" s="181"/>
      <c r="ABP114" s="182"/>
      <c r="ABQ114" s="181"/>
      <c r="ABR114" s="182"/>
      <c r="ABS114" s="181"/>
      <c r="ABT114" s="182"/>
      <c r="ABU114" s="181"/>
      <c r="ABV114" s="182"/>
      <c r="ABW114" s="181"/>
      <c r="ABX114" s="182"/>
      <c r="ABY114" s="181"/>
      <c r="ABZ114" s="182"/>
      <c r="ACA114" s="181"/>
      <c r="ACB114" s="182"/>
      <c r="ACC114" s="181"/>
      <c r="ACD114" s="182"/>
      <c r="ACE114" s="181"/>
      <c r="ACF114" s="182"/>
      <c r="ACG114" s="181"/>
      <c r="ACH114" s="182"/>
      <c r="ACI114" s="181"/>
      <c r="ACJ114" s="182"/>
      <c r="ACK114" s="181"/>
      <c r="ACL114" s="182"/>
      <c r="ACM114" s="181"/>
      <c r="ACN114" s="182"/>
      <c r="ACO114" s="181"/>
      <c r="ACP114" s="182"/>
      <c r="ACQ114" s="181"/>
      <c r="ACR114" s="182"/>
      <c r="ACS114" s="181"/>
      <c r="ACT114" s="182"/>
      <c r="ACU114" s="181"/>
      <c r="ACV114" s="182"/>
      <c r="ACW114" s="181"/>
      <c r="ACX114" s="182"/>
      <c r="ACY114" s="181"/>
      <c r="ACZ114" s="182"/>
      <c r="ADA114" s="181"/>
      <c r="ADB114" s="182"/>
      <c r="ADC114" s="181"/>
      <c r="ADD114" s="182"/>
      <c r="ADE114" s="181"/>
      <c r="ADF114" s="182"/>
      <c r="ADG114" s="181"/>
      <c r="ADH114" s="182"/>
      <c r="ADI114" s="181"/>
      <c r="ADJ114" s="182"/>
      <c r="ADK114" s="181"/>
      <c r="ADL114" s="182"/>
      <c r="ADM114" s="181"/>
      <c r="ADN114" s="182"/>
      <c r="ADO114" s="181"/>
      <c r="ADP114" s="182"/>
      <c r="ADQ114" s="181"/>
      <c r="ADR114" s="182"/>
      <c r="ADS114" s="181"/>
      <c r="ADT114" s="182"/>
      <c r="ADU114" s="181"/>
      <c r="ADV114" s="182"/>
      <c r="ADW114" s="181"/>
      <c r="ADX114" s="182"/>
      <c r="ADY114" s="181"/>
      <c r="ADZ114" s="182"/>
      <c r="AEA114" s="181"/>
      <c r="AEB114" s="182"/>
      <c r="AEC114" s="181"/>
      <c r="AED114" s="182"/>
      <c r="AEE114" s="181"/>
      <c r="AEF114" s="182"/>
      <c r="AEG114" s="181"/>
      <c r="AEH114" s="182"/>
      <c r="AEI114" s="181"/>
      <c r="AEJ114" s="182"/>
      <c r="AEK114" s="181"/>
      <c r="AEL114" s="182"/>
      <c r="AEM114" s="181"/>
      <c r="AEN114" s="182"/>
      <c r="AEO114" s="181"/>
      <c r="AEP114" s="182"/>
      <c r="AEQ114" s="181"/>
      <c r="AER114" s="182"/>
      <c r="AES114" s="181"/>
      <c r="AET114" s="182"/>
      <c r="AEU114" s="181"/>
      <c r="AEV114" s="182"/>
      <c r="AEW114" s="181"/>
      <c r="AEX114" s="182"/>
      <c r="AEY114" s="181"/>
      <c r="AEZ114" s="182"/>
      <c r="AFA114" s="181"/>
      <c r="AFB114" s="182"/>
      <c r="AFC114" s="181"/>
      <c r="AFD114" s="182"/>
      <c r="AFE114" s="181"/>
      <c r="AFF114" s="182"/>
      <c r="AFG114" s="181"/>
      <c r="AFH114" s="182"/>
      <c r="AFI114" s="181"/>
      <c r="AFJ114" s="182"/>
      <c r="AFK114" s="181"/>
      <c r="AFL114" s="182"/>
      <c r="AFM114" s="181"/>
      <c r="AFN114" s="182"/>
      <c r="AFO114" s="181"/>
      <c r="AFP114" s="182"/>
      <c r="AFQ114" s="181"/>
      <c r="AFR114" s="182"/>
      <c r="AFS114" s="181"/>
      <c r="AFT114" s="182"/>
      <c r="AFU114" s="181"/>
      <c r="AFV114" s="182"/>
      <c r="AFW114" s="181"/>
      <c r="AFX114" s="182"/>
      <c r="AFY114" s="181"/>
      <c r="AFZ114" s="182"/>
      <c r="AGA114" s="181"/>
      <c r="AGB114" s="182"/>
      <c r="AGC114" s="181"/>
      <c r="AGD114" s="182"/>
      <c r="AGE114" s="181"/>
      <c r="AGF114" s="182"/>
      <c r="AGG114" s="181"/>
      <c r="AGH114" s="182"/>
      <c r="AGI114" s="181"/>
      <c r="AGJ114" s="182"/>
      <c r="AGK114" s="181"/>
      <c r="AGL114" s="182"/>
      <c r="AGM114" s="181"/>
      <c r="AGN114" s="182"/>
      <c r="AGO114" s="181"/>
      <c r="AGP114" s="182"/>
      <c r="AGQ114" s="181"/>
      <c r="AGR114" s="182"/>
      <c r="AGS114" s="181"/>
      <c r="AGT114" s="182"/>
      <c r="AGU114" s="181"/>
      <c r="AGV114" s="182"/>
      <c r="AGW114" s="181"/>
      <c r="AGX114" s="182"/>
      <c r="AGY114" s="181"/>
      <c r="AGZ114" s="182"/>
      <c r="AHA114" s="181"/>
      <c r="AHB114" s="182"/>
      <c r="AHC114" s="181"/>
      <c r="AHD114" s="182"/>
      <c r="AHE114" s="181"/>
      <c r="AHF114" s="182"/>
      <c r="AHG114" s="181"/>
      <c r="AHH114" s="182"/>
      <c r="AHI114" s="181"/>
      <c r="AHJ114" s="182"/>
      <c r="AHK114" s="181"/>
      <c r="AHL114" s="182"/>
      <c r="AHM114" s="181"/>
      <c r="AHN114" s="182"/>
      <c r="AHO114" s="181"/>
      <c r="AHP114" s="182"/>
      <c r="AHQ114" s="181"/>
      <c r="AHR114" s="182"/>
      <c r="AHS114" s="181"/>
      <c r="AHT114" s="182"/>
      <c r="AHU114" s="181"/>
      <c r="AHV114" s="182"/>
      <c r="AHW114" s="181"/>
      <c r="AHX114" s="182"/>
      <c r="AHY114" s="181"/>
      <c r="AHZ114" s="182"/>
      <c r="AIA114" s="181"/>
      <c r="AIB114" s="182"/>
      <c r="AIC114" s="181"/>
      <c r="AID114" s="182"/>
      <c r="AIE114" s="181"/>
      <c r="AIF114" s="182"/>
      <c r="AIG114" s="181"/>
      <c r="AIH114" s="182"/>
      <c r="AII114" s="181"/>
      <c r="AIJ114" s="182"/>
      <c r="AIK114" s="181"/>
      <c r="AIL114" s="182"/>
      <c r="AIM114" s="181"/>
      <c r="AIN114" s="182"/>
      <c r="AIO114" s="181"/>
      <c r="AIP114" s="182"/>
      <c r="AIQ114" s="181"/>
      <c r="AIR114" s="182"/>
      <c r="AIS114" s="181"/>
      <c r="AIT114" s="182"/>
      <c r="AIU114" s="181"/>
      <c r="AIV114" s="182"/>
      <c r="AIW114" s="181"/>
      <c r="AIX114" s="182"/>
      <c r="AIY114" s="181"/>
      <c r="AIZ114" s="182"/>
      <c r="AJA114" s="181"/>
      <c r="AJB114" s="182"/>
      <c r="AJC114" s="181"/>
      <c r="AJD114" s="182"/>
      <c r="AJE114" s="181"/>
      <c r="AJF114" s="182"/>
      <c r="AJG114" s="181"/>
      <c r="AJH114" s="182"/>
      <c r="AJI114" s="181"/>
      <c r="AJJ114" s="182"/>
      <c r="AJK114" s="181"/>
      <c r="AJL114" s="182"/>
      <c r="AJM114" s="181"/>
      <c r="AJN114" s="182"/>
      <c r="AJO114" s="181"/>
      <c r="AJP114" s="182"/>
      <c r="AJQ114" s="181"/>
      <c r="AJR114" s="182"/>
      <c r="AJS114" s="181"/>
      <c r="AJT114" s="182"/>
      <c r="AJU114" s="181"/>
      <c r="AJV114" s="182"/>
      <c r="AJW114" s="181"/>
      <c r="AJX114" s="182"/>
      <c r="AJY114" s="181"/>
      <c r="AJZ114" s="182"/>
      <c r="AKA114" s="181"/>
      <c r="AKB114" s="182"/>
      <c r="AKC114" s="181"/>
      <c r="AKD114" s="182"/>
      <c r="AKE114" s="181"/>
      <c r="AKF114" s="182"/>
      <c r="AKG114" s="181"/>
      <c r="AKH114" s="182"/>
      <c r="AKI114" s="181"/>
      <c r="AKJ114" s="182"/>
      <c r="AKK114" s="181"/>
      <c r="AKL114" s="182"/>
      <c r="AKM114" s="181"/>
      <c r="AKN114" s="182"/>
      <c r="AKO114" s="181"/>
      <c r="AKP114" s="182"/>
      <c r="AKQ114" s="181"/>
      <c r="AKR114" s="182"/>
      <c r="AKS114" s="181"/>
      <c r="AKT114" s="182"/>
      <c r="AKU114" s="181"/>
      <c r="AKV114" s="182"/>
      <c r="AKW114" s="181"/>
      <c r="AKX114" s="182"/>
      <c r="AKY114" s="181"/>
      <c r="AKZ114" s="182"/>
      <c r="ALA114" s="181"/>
      <c r="ALB114" s="182"/>
      <c r="ALC114" s="181"/>
      <c r="ALD114" s="182"/>
      <c r="ALE114" s="181"/>
      <c r="ALF114" s="182"/>
      <c r="ALG114" s="181"/>
      <c r="ALH114" s="182"/>
      <c r="ALI114" s="181"/>
      <c r="ALJ114" s="182"/>
      <c r="ALK114" s="181"/>
      <c r="ALL114" s="182"/>
      <c r="ALM114" s="181"/>
      <c r="ALN114" s="182"/>
      <c r="ALO114" s="181"/>
      <c r="ALP114" s="182"/>
      <c r="ALQ114" s="181"/>
      <c r="ALR114" s="182"/>
      <c r="ALS114" s="181"/>
      <c r="ALT114" s="182"/>
      <c r="ALU114" s="181"/>
      <c r="ALV114" s="182"/>
      <c r="ALW114" s="181"/>
      <c r="ALX114" s="182"/>
      <c r="ALY114" s="181"/>
      <c r="ALZ114" s="182"/>
      <c r="AMA114" s="181"/>
      <c r="AMB114" s="182"/>
      <c r="AMC114" s="181"/>
      <c r="AMD114" s="182"/>
      <c r="AME114" s="181"/>
      <c r="AMF114" s="182"/>
      <c r="AMG114" s="181"/>
      <c r="AMH114" s="182"/>
      <c r="AMI114" s="181"/>
      <c r="AMJ114" s="182"/>
      <c r="AMK114" s="181"/>
      <c r="AML114" s="182"/>
      <c r="AMM114" s="181"/>
      <c r="AMN114" s="182"/>
      <c r="AMO114" s="181"/>
      <c r="AMP114" s="182"/>
      <c r="AMQ114" s="181"/>
      <c r="AMR114" s="182"/>
      <c r="AMS114" s="181"/>
      <c r="AMT114" s="182"/>
      <c r="AMU114" s="181"/>
      <c r="AMV114" s="182"/>
      <c r="AMW114" s="181"/>
      <c r="AMX114" s="182"/>
      <c r="AMY114" s="181"/>
      <c r="AMZ114" s="182"/>
      <c r="ANA114" s="181"/>
      <c r="ANB114" s="182"/>
      <c r="ANC114" s="181"/>
      <c r="AND114" s="182"/>
      <c r="ANE114" s="181"/>
      <c r="ANF114" s="182"/>
      <c r="ANG114" s="181"/>
      <c r="ANH114" s="182"/>
      <c r="ANI114" s="181"/>
      <c r="ANJ114" s="182"/>
      <c r="ANK114" s="181"/>
      <c r="ANL114" s="182"/>
      <c r="ANM114" s="181"/>
      <c r="ANN114" s="182"/>
      <c r="ANO114" s="181"/>
      <c r="ANP114" s="182"/>
      <c r="ANQ114" s="181"/>
      <c r="ANR114" s="182"/>
      <c r="ANS114" s="181"/>
      <c r="ANT114" s="182"/>
      <c r="ANU114" s="181"/>
      <c r="ANV114" s="182"/>
      <c r="ANW114" s="181"/>
      <c r="ANX114" s="182"/>
      <c r="ANY114" s="181"/>
      <c r="ANZ114" s="182"/>
      <c r="AOA114" s="181"/>
      <c r="AOB114" s="182"/>
      <c r="AOC114" s="181"/>
      <c r="AOD114" s="182"/>
      <c r="AOE114" s="181"/>
      <c r="AOF114" s="182"/>
      <c r="AOG114" s="181"/>
      <c r="AOH114" s="182"/>
      <c r="AOI114" s="181"/>
      <c r="AOJ114" s="182"/>
      <c r="AOK114" s="181"/>
      <c r="AOL114" s="182"/>
      <c r="AOM114" s="181"/>
      <c r="AON114" s="182"/>
      <c r="AOO114" s="181"/>
      <c r="AOP114" s="182"/>
      <c r="AOQ114" s="181"/>
      <c r="AOR114" s="182"/>
      <c r="AOS114" s="181"/>
      <c r="AOT114" s="182"/>
      <c r="AOU114" s="181"/>
      <c r="AOV114" s="182"/>
      <c r="AOW114" s="181"/>
      <c r="AOX114" s="182"/>
      <c r="AOY114" s="181"/>
      <c r="AOZ114" s="182"/>
      <c r="APA114" s="181"/>
      <c r="APB114" s="182"/>
      <c r="APC114" s="181"/>
      <c r="APD114" s="182"/>
      <c r="APE114" s="181"/>
      <c r="APF114" s="182"/>
      <c r="APG114" s="181"/>
      <c r="APH114" s="182"/>
      <c r="API114" s="181"/>
      <c r="APJ114" s="182"/>
      <c r="APK114" s="181"/>
      <c r="APL114" s="182"/>
      <c r="APM114" s="181"/>
      <c r="APN114" s="182"/>
      <c r="APO114" s="181"/>
      <c r="APP114" s="182"/>
      <c r="APQ114" s="181"/>
      <c r="APR114" s="182"/>
      <c r="APS114" s="181"/>
      <c r="APT114" s="182"/>
      <c r="APU114" s="181"/>
      <c r="APV114" s="182"/>
      <c r="APW114" s="181"/>
      <c r="APX114" s="182"/>
      <c r="APY114" s="181"/>
      <c r="APZ114" s="182"/>
      <c r="AQA114" s="181"/>
      <c r="AQB114" s="182"/>
      <c r="AQC114" s="181"/>
      <c r="AQD114" s="182"/>
      <c r="AQE114" s="181"/>
      <c r="AQF114" s="182"/>
      <c r="AQG114" s="181"/>
      <c r="AQH114" s="182"/>
      <c r="AQI114" s="181"/>
      <c r="AQJ114" s="182"/>
      <c r="AQK114" s="181"/>
      <c r="AQL114" s="182"/>
      <c r="AQM114" s="181"/>
      <c r="AQN114" s="182"/>
      <c r="AQO114" s="181"/>
      <c r="AQP114" s="182"/>
      <c r="AQQ114" s="181"/>
      <c r="AQR114" s="182"/>
      <c r="AQS114" s="181"/>
      <c r="AQT114" s="182"/>
      <c r="AQU114" s="181"/>
      <c r="AQV114" s="182"/>
      <c r="AQW114" s="181"/>
      <c r="AQX114" s="182"/>
      <c r="AQY114" s="181"/>
      <c r="AQZ114" s="182"/>
      <c r="ARA114" s="181"/>
      <c r="ARB114" s="182"/>
      <c r="ARC114" s="181"/>
      <c r="ARD114" s="182"/>
      <c r="ARE114" s="181"/>
      <c r="ARF114" s="182"/>
      <c r="ARG114" s="181"/>
      <c r="ARH114" s="182"/>
      <c r="ARI114" s="181"/>
      <c r="ARJ114" s="182"/>
      <c r="ARK114" s="181"/>
      <c r="ARL114" s="182"/>
      <c r="ARM114" s="181"/>
      <c r="ARN114" s="182"/>
      <c r="ARO114" s="181"/>
      <c r="ARP114" s="182"/>
      <c r="ARQ114" s="181"/>
      <c r="ARR114" s="182"/>
      <c r="ARS114" s="181"/>
      <c r="ART114" s="182"/>
      <c r="ARU114" s="181"/>
      <c r="ARV114" s="182"/>
      <c r="ARW114" s="181"/>
      <c r="ARX114" s="182"/>
      <c r="ARY114" s="181"/>
      <c r="ARZ114" s="182"/>
      <c r="ASA114" s="181"/>
      <c r="ASB114" s="182"/>
      <c r="ASC114" s="181"/>
      <c r="ASD114" s="182"/>
      <c r="ASE114" s="181"/>
      <c r="ASF114" s="182"/>
      <c r="ASG114" s="181"/>
      <c r="ASH114" s="182"/>
      <c r="ASI114" s="181"/>
      <c r="ASJ114" s="182"/>
      <c r="ASK114" s="181"/>
      <c r="ASL114" s="182"/>
      <c r="ASM114" s="181"/>
      <c r="ASN114" s="182"/>
      <c r="ASO114" s="181"/>
      <c r="ASP114" s="182"/>
      <c r="ASQ114" s="181"/>
      <c r="ASR114" s="182"/>
      <c r="ASS114" s="181"/>
      <c r="AST114" s="182"/>
      <c r="ASU114" s="181"/>
      <c r="ASV114" s="182"/>
      <c r="ASW114" s="181"/>
      <c r="ASX114" s="182"/>
      <c r="ASY114" s="181"/>
      <c r="ASZ114" s="182"/>
      <c r="ATA114" s="181"/>
      <c r="ATB114" s="182"/>
      <c r="ATC114" s="181"/>
      <c r="ATD114" s="182"/>
      <c r="ATE114" s="181"/>
      <c r="ATF114" s="182"/>
      <c r="ATG114" s="181"/>
      <c r="ATH114" s="182"/>
      <c r="ATI114" s="181"/>
      <c r="ATJ114" s="182"/>
      <c r="ATK114" s="181"/>
      <c r="ATL114" s="182"/>
      <c r="ATM114" s="181"/>
      <c r="ATN114" s="182"/>
      <c r="ATO114" s="181"/>
      <c r="ATP114" s="182"/>
      <c r="ATQ114" s="181"/>
      <c r="ATR114" s="182"/>
      <c r="ATS114" s="181"/>
      <c r="ATT114" s="182"/>
      <c r="ATU114" s="181"/>
      <c r="ATV114" s="182"/>
      <c r="ATW114" s="181"/>
      <c r="ATX114" s="182"/>
      <c r="ATY114" s="181"/>
      <c r="ATZ114" s="182"/>
      <c r="AUA114" s="181"/>
      <c r="AUB114" s="182"/>
      <c r="AUC114" s="181"/>
      <c r="AUD114" s="182"/>
      <c r="AUE114" s="181"/>
      <c r="AUF114" s="182"/>
      <c r="AUG114" s="181"/>
      <c r="AUH114" s="182"/>
      <c r="AUI114" s="181"/>
      <c r="AUJ114" s="182"/>
      <c r="AUK114" s="181"/>
      <c r="AUL114" s="182"/>
      <c r="AUM114" s="181"/>
      <c r="AUN114" s="182"/>
      <c r="AUO114" s="181"/>
      <c r="AUP114" s="182"/>
      <c r="AUQ114" s="181"/>
      <c r="AUR114" s="182"/>
      <c r="AUS114" s="181"/>
      <c r="AUT114" s="182"/>
      <c r="AUU114" s="181"/>
      <c r="AUV114" s="182"/>
      <c r="AUW114" s="181"/>
      <c r="AUX114" s="182"/>
      <c r="AUY114" s="181"/>
      <c r="AUZ114" s="182"/>
      <c r="AVA114" s="181"/>
      <c r="AVB114" s="182"/>
      <c r="AVC114" s="181"/>
      <c r="AVD114" s="182"/>
      <c r="AVE114" s="181"/>
      <c r="AVF114" s="182"/>
      <c r="AVG114" s="181"/>
      <c r="AVH114" s="182"/>
      <c r="AVI114" s="181"/>
      <c r="AVJ114" s="182"/>
      <c r="AVK114" s="181"/>
      <c r="AVL114" s="182"/>
      <c r="AVM114" s="181"/>
      <c r="AVN114" s="182"/>
      <c r="AVO114" s="181"/>
      <c r="AVP114" s="182"/>
      <c r="AVQ114" s="181"/>
      <c r="AVR114" s="182"/>
      <c r="AVS114" s="181"/>
      <c r="AVT114" s="182"/>
      <c r="AVU114" s="181"/>
      <c r="AVV114" s="182"/>
      <c r="AVW114" s="181"/>
      <c r="AVX114" s="182"/>
      <c r="AVY114" s="181"/>
      <c r="AVZ114" s="182"/>
      <c r="AWA114" s="181"/>
      <c r="AWB114" s="182"/>
      <c r="AWC114" s="181"/>
      <c r="AWD114" s="182"/>
      <c r="AWE114" s="181"/>
      <c r="AWF114" s="182"/>
      <c r="AWG114" s="181"/>
      <c r="AWH114" s="182"/>
      <c r="AWI114" s="181"/>
      <c r="AWJ114" s="182"/>
      <c r="AWK114" s="181"/>
      <c r="AWL114" s="182"/>
      <c r="AWM114" s="181"/>
      <c r="AWN114" s="182"/>
      <c r="AWO114" s="181"/>
      <c r="AWP114" s="182"/>
      <c r="AWQ114" s="181"/>
      <c r="AWR114" s="182"/>
      <c r="AWS114" s="181"/>
      <c r="AWT114" s="182"/>
      <c r="AWU114" s="181"/>
      <c r="AWV114" s="182"/>
      <c r="AWW114" s="181"/>
      <c r="AWX114" s="182"/>
      <c r="AWY114" s="181"/>
      <c r="AWZ114" s="182"/>
      <c r="AXA114" s="181"/>
      <c r="AXB114" s="182"/>
      <c r="AXC114" s="181"/>
      <c r="AXD114" s="182"/>
      <c r="AXE114" s="181"/>
      <c r="AXF114" s="182"/>
      <c r="AXG114" s="181"/>
      <c r="AXH114" s="182"/>
      <c r="AXI114" s="181"/>
      <c r="AXJ114" s="182"/>
      <c r="AXK114" s="181"/>
      <c r="AXL114" s="182"/>
      <c r="AXM114" s="181"/>
      <c r="AXN114" s="182"/>
      <c r="AXO114" s="181"/>
      <c r="AXP114" s="182"/>
      <c r="AXQ114" s="181"/>
      <c r="AXR114" s="182"/>
      <c r="AXS114" s="181"/>
      <c r="AXT114" s="182"/>
      <c r="AXU114" s="181"/>
      <c r="AXV114" s="182"/>
      <c r="AXW114" s="181"/>
      <c r="AXX114" s="182"/>
      <c r="AXY114" s="181"/>
      <c r="AXZ114" s="182"/>
      <c r="AYA114" s="181"/>
      <c r="AYB114" s="182"/>
      <c r="AYC114" s="181"/>
      <c r="AYD114" s="182"/>
      <c r="AYE114" s="181"/>
      <c r="AYF114" s="182"/>
      <c r="AYG114" s="181"/>
      <c r="AYH114" s="182"/>
      <c r="AYI114" s="181"/>
      <c r="AYJ114" s="182"/>
      <c r="AYK114" s="181"/>
      <c r="AYL114" s="182"/>
      <c r="AYM114" s="181"/>
      <c r="AYN114" s="182"/>
      <c r="AYO114" s="181"/>
      <c r="AYP114" s="182"/>
      <c r="AYQ114" s="181"/>
      <c r="AYR114" s="182"/>
      <c r="AYS114" s="181"/>
      <c r="AYT114" s="182"/>
      <c r="AYU114" s="181"/>
      <c r="AYV114" s="182"/>
      <c r="AYW114" s="181"/>
      <c r="AYX114" s="182"/>
      <c r="AYY114" s="181"/>
      <c r="AYZ114" s="182"/>
      <c r="AZA114" s="181"/>
      <c r="AZB114" s="182"/>
      <c r="AZC114" s="181"/>
      <c r="AZD114" s="182"/>
      <c r="AZE114" s="181"/>
      <c r="AZF114" s="182"/>
      <c r="AZG114" s="181"/>
      <c r="AZH114" s="182"/>
      <c r="AZI114" s="181"/>
      <c r="AZJ114" s="182"/>
      <c r="AZK114" s="181"/>
      <c r="AZL114" s="182"/>
      <c r="AZM114" s="181"/>
      <c r="AZN114" s="182"/>
      <c r="AZO114" s="181"/>
      <c r="AZP114" s="182"/>
      <c r="AZQ114" s="181"/>
      <c r="AZR114" s="182"/>
      <c r="AZS114" s="181"/>
      <c r="AZT114" s="182"/>
      <c r="AZU114" s="181"/>
      <c r="AZV114" s="182"/>
      <c r="AZW114" s="181"/>
      <c r="AZX114" s="182"/>
      <c r="AZY114" s="181"/>
      <c r="AZZ114" s="182"/>
      <c r="BAA114" s="181"/>
      <c r="BAB114" s="182"/>
      <c r="BAC114" s="181"/>
      <c r="BAD114" s="182"/>
      <c r="BAE114" s="181"/>
      <c r="BAF114" s="182"/>
      <c r="BAG114" s="181"/>
      <c r="BAH114" s="182"/>
      <c r="BAI114" s="181"/>
      <c r="BAJ114" s="182"/>
      <c r="BAK114" s="181"/>
      <c r="BAL114" s="182"/>
      <c r="BAM114" s="181"/>
      <c r="BAN114" s="182"/>
      <c r="BAO114" s="181"/>
      <c r="BAP114" s="182"/>
      <c r="BAQ114" s="181"/>
      <c r="BAR114" s="182"/>
      <c r="BAS114" s="181"/>
      <c r="BAT114" s="182"/>
      <c r="BAU114" s="181"/>
      <c r="BAV114" s="182"/>
      <c r="BAW114" s="181"/>
      <c r="BAX114" s="182"/>
      <c r="BAY114" s="181"/>
      <c r="BAZ114" s="182"/>
      <c r="BBA114" s="181"/>
      <c r="BBB114" s="182"/>
      <c r="BBC114" s="181"/>
      <c r="BBD114" s="182"/>
      <c r="BBE114" s="181"/>
      <c r="BBF114" s="182"/>
      <c r="BBG114" s="181"/>
      <c r="BBH114" s="182"/>
      <c r="BBI114" s="181"/>
      <c r="BBJ114" s="182"/>
      <c r="BBK114" s="181"/>
      <c r="BBL114" s="182"/>
      <c r="BBM114" s="181"/>
      <c r="BBN114" s="182"/>
      <c r="BBO114" s="181"/>
      <c r="BBP114" s="182"/>
      <c r="BBQ114" s="181"/>
      <c r="BBR114" s="182"/>
      <c r="BBS114" s="181"/>
      <c r="BBT114" s="182"/>
      <c r="BBU114" s="181"/>
      <c r="BBV114" s="182"/>
      <c r="BBW114" s="181"/>
      <c r="BBX114" s="182"/>
      <c r="BBY114" s="181"/>
      <c r="BBZ114" s="182"/>
      <c r="BCA114" s="181"/>
      <c r="BCB114" s="182"/>
      <c r="BCC114" s="181"/>
      <c r="BCD114" s="182"/>
      <c r="BCE114" s="181"/>
      <c r="BCF114" s="182"/>
      <c r="BCG114" s="181"/>
      <c r="BCH114" s="182"/>
      <c r="BCI114" s="181"/>
      <c r="BCJ114" s="182"/>
      <c r="BCK114" s="181"/>
      <c r="BCL114" s="182"/>
      <c r="BCM114" s="181"/>
      <c r="BCN114" s="182"/>
      <c r="BCO114" s="181"/>
      <c r="BCP114" s="182"/>
      <c r="BCQ114" s="181"/>
      <c r="BCR114" s="182"/>
      <c r="BCS114" s="181"/>
      <c r="BCT114" s="182"/>
      <c r="BCU114" s="181"/>
      <c r="BCV114" s="182"/>
      <c r="BCW114" s="181"/>
      <c r="BCX114" s="182"/>
      <c r="BCY114" s="181"/>
      <c r="BCZ114" s="182"/>
      <c r="BDA114" s="181"/>
      <c r="BDB114" s="182"/>
      <c r="BDC114" s="181"/>
      <c r="BDD114" s="182"/>
      <c r="BDE114" s="181"/>
      <c r="BDF114" s="182"/>
      <c r="BDG114" s="181"/>
      <c r="BDH114" s="182"/>
      <c r="BDI114" s="181"/>
      <c r="BDJ114" s="182"/>
      <c r="BDK114" s="181"/>
      <c r="BDL114" s="182"/>
      <c r="BDM114" s="181"/>
      <c r="BDN114" s="182"/>
      <c r="BDO114" s="181"/>
      <c r="BDP114" s="182"/>
      <c r="BDQ114" s="181"/>
      <c r="BDR114" s="182"/>
      <c r="BDS114" s="181"/>
      <c r="BDT114" s="182"/>
      <c r="BDU114" s="181"/>
      <c r="BDV114" s="182"/>
      <c r="BDW114" s="181"/>
      <c r="BDX114" s="182"/>
      <c r="BDY114" s="181"/>
      <c r="BDZ114" s="182"/>
      <c r="BEA114" s="181"/>
      <c r="BEB114" s="182"/>
      <c r="BEC114" s="181"/>
      <c r="BED114" s="182"/>
      <c r="BEE114" s="181"/>
      <c r="BEF114" s="182"/>
      <c r="BEG114" s="181"/>
      <c r="BEH114" s="182"/>
      <c r="BEI114" s="181"/>
      <c r="BEJ114" s="182"/>
      <c r="BEK114" s="181"/>
      <c r="BEL114" s="182"/>
      <c r="BEM114" s="181"/>
      <c r="BEN114" s="182"/>
      <c r="BEO114" s="181"/>
      <c r="BEP114" s="182"/>
      <c r="BEQ114" s="181"/>
      <c r="BER114" s="182"/>
      <c r="BES114" s="181"/>
      <c r="BET114" s="182"/>
      <c r="BEU114" s="181"/>
      <c r="BEV114" s="182"/>
      <c r="BEW114" s="181"/>
      <c r="BEX114" s="182"/>
      <c r="BEY114" s="181"/>
      <c r="BEZ114" s="182"/>
      <c r="BFA114" s="181"/>
      <c r="BFB114" s="182"/>
      <c r="BFC114" s="181"/>
      <c r="BFD114" s="182"/>
      <c r="BFE114" s="181"/>
      <c r="BFF114" s="182"/>
      <c r="BFG114" s="181"/>
      <c r="BFH114" s="182"/>
      <c r="BFI114" s="181"/>
      <c r="BFJ114" s="182"/>
      <c r="BFK114" s="181"/>
      <c r="BFL114" s="182"/>
      <c r="BFM114" s="181"/>
      <c r="BFN114" s="182"/>
      <c r="BFO114" s="181"/>
      <c r="BFP114" s="182"/>
      <c r="BFQ114" s="181"/>
      <c r="BFR114" s="182"/>
      <c r="BFS114" s="181"/>
      <c r="BFT114" s="182"/>
      <c r="BFU114" s="181"/>
      <c r="BFV114" s="182"/>
      <c r="BFW114" s="181"/>
      <c r="BFX114" s="182"/>
      <c r="BFY114" s="181"/>
      <c r="BFZ114" s="182"/>
      <c r="BGA114" s="181"/>
      <c r="BGB114" s="182"/>
      <c r="BGC114" s="181"/>
      <c r="BGD114" s="182"/>
      <c r="BGE114" s="181"/>
      <c r="BGF114" s="182"/>
      <c r="BGG114" s="181"/>
      <c r="BGH114" s="182"/>
      <c r="BGI114" s="181"/>
      <c r="BGJ114" s="182"/>
      <c r="BGK114" s="181"/>
      <c r="BGL114" s="182"/>
      <c r="BGM114" s="181"/>
      <c r="BGN114" s="182"/>
      <c r="BGO114" s="181"/>
      <c r="BGP114" s="182"/>
      <c r="BGQ114" s="181"/>
      <c r="BGR114" s="182"/>
      <c r="BGS114" s="181"/>
      <c r="BGT114" s="182"/>
      <c r="BGU114" s="181"/>
      <c r="BGV114" s="182"/>
      <c r="BGW114" s="181"/>
      <c r="BGX114" s="182"/>
      <c r="BGY114" s="181"/>
      <c r="BGZ114" s="182"/>
      <c r="BHA114" s="181"/>
      <c r="BHB114" s="182"/>
      <c r="BHC114" s="181"/>
      <c r="BHD114" s="182"/>
      <c r="BHE114" s="181"/>
      <c r="BHF114" s="182"/>
      <c r="BHG114" s="181"/>
      <c r="BHH114" s="182"/>
      <c r="BHI114" s="181"/>
      <c r="BHJ114" s="182"/>
      <c r="BHK114" s="181"/>
      <c r="BHL114" s="182"/>
      <c r="BHM114" s="181"/>
      <c r="BHN114" s="182"/>
      <c r="BHO114" s="181"/>
      <c r="BHP114" s="182"/>
      <c r="BHQ114" s="181"/>
      <c r="BHR114" s="182"/>
      <c r="BHS114" s="181"/>
      <c r="BHT114" s="182"/>
      <c r="BHU114" s="181"/>
      <c r="BHV114" s="182"/>
      <c r="BHW114" s="181"/>
      <c r="BHX114" s="182"/>
      <c r="BHY114" s="181"/>
      <c r="BHZ114" s="182"/>
      <c r="BIA114" s="181"/>
      <c r="BIB114" s="182"/>
      <c r="BIC114" s="181"/>
      <c r="BID114" s="182"/>
      <c r="BIE114" s="181"/>
      <c r="BIF114" s="182"/>
      <c r="BIG114" s="181"/>
      <c r="BIH114" s="182"/>
      <c r="BII114" s="181"/>
      <c r="BIJ114" s="182"/>
      <c r="BIK114" s="181"/>
      <c r="BIL114" s="182"/>
      <c r="BIM114" s="181"/>
      <c r="BIN114" s="182"/>
      <c r="BIO114" s="181"/>
      <c r="BIP114" s="182"/>
      <c r="BIQ114" s="181"/>
      <c r="BIR114" s="182"/>
      <c r="BIS114" s="181"/>
      <c r="BIT114" s="182"/>
      <c r="BIU114" s="181"/>
      <c r="BIV114" s="182"/>
      <c r="BIW114" s="181"/>
      <c r="BIX114" s="182"/>
      <c r="BIY114" s="181"/>
      <c r="BIZ114" s="182"/>
      <c r="BJA114" s="181"/>
      <c r="BJB114" s="182"/>
      <c r="BJC114" s="181"/>
      <c r="BJD114" s="182"/>
      <c r="BJE114" s="181"/>
      <c r="BJF114" s="182"/>
      <c r="BJG114" s="181"/>
      <c r="BJH114" s="182"/>
      <c r="BJI114" s="181"/>
      <c r="BJJ114" s="182"/>
      <c r="BJK114" s="181"/>
      <c r="BJL114" s="182"/>
      <c r="BJM114" s="181"/>
      <c r="BJN114" s="182"/>
      <c r="BJO114" s="181"/>
      <c r="BJP114" s="182"/>
      <c r="BJQ114" s="181"/>
      <c r="BJR114" s="182"/>
      <c r="BJS114" s="181"/>
      <c r="BJT114" s="182"/>
      <c r="BJU114" s="181"/>
      <c r="BJV114" s="182"/>
      <c r="BJW114" s="181"/>
      <c r="BJX114" s="182"/>
      <c r="BJY114" s="181"/>
      <c r="BJZ114" s="182"/>
      <c r="BKA114" s="181"/>
      <c r="BKB114" s="182"/>
      <c r="BKC114" s="181"/>
      <c r="BKD114" s="182"/>
      <c r="BKE114" s="181"/>
      <c r="BKF114" s="182"/>
      <c r="BKG114" s="181"/>
      <c r="BKH114" s="182"/>
      <c r="BKI114" s="181"/>
      <c r="BKJ114" s="182"/>
      <c r="BKK114" s="181"/>
      <c r="BKL114" s="182"/>
      <c r="BKM114" s="181"/>
      <c r="BKN114" s="182"/>
      <c r="BKO114" s="181"/>
      <c r="BKP114" s="182"/>
      <c r="BKQ114" s="181"/>
      <c r="BKR114" s="182"/>
      <c r="BKS114" s="181"/>
      <c r="BKT114" s="182"/>
      <c r="BKU114" s="181"/>
      <c r="BKV114" s="182"/>
      <c r="BKW114" s="181"/>
      <c r="BKX114" s="182"/>
      <c r="BKY114" s="181"/>
      <c r="BKZ114" s="182"/>
      <c r="BLA114" s="181"/>
      <c r="BLB114" s="182"/>
      <c r="BLC114" s="181"/>
      <c r="BLD114" s="182"/>
      <c r="BLE114" s="181"/>
      <c r="BLF114" s="182"/>
      <c r="BLG114" s="181"/>
      <c r="BLH114" s="182"/>
      <c r="BLI114" s="181"/>
      <c r="BLJ114" s="182"/>
      <c r="BLK114" s="181"/>
      <c r="BLL114" s="182"/>
      <c r="BLM114" s="181"/>
      <c r="BLN114" s="182"/>
      <c r="BLO114" s="181"/>
      <c r="BLP114" s="182"/>
      <c r="BLQ114" s="181"/>
      <c r="BLR114" s="182"/>
      <c r="BLS114" s="181"/>
      <c r="BLT114" s="182"/>
      <c r="BLU114" s="181"/>
      <c r="BLV114" s="182"/>
      <c r="BLW114" s="181"/>
      <c r="BLX114" s="182"/>
      <c r="BLY114" s="181"/>
      <c r="BLZ114" s="182"/>
      <c r="BMA114" s="181"/>
      <c r="BMB114" s="182"/>
      <c r="BMC114" s="181"/>
      <c r="BMD114" s="182"/>
      <c r="BME114" s="181"/>
      <c r="BMF114" s="182"/>
      <c r="BMG114" s="181"/>
      <c r="BMH114" s="182"/>
      <c r="BMI114" s="181"/>
      <c r="BMJ114" s="182"/>
      <c r="BMK114" s="181"/>
      <c r="BML114" s="182"/>
      <c r="BMM114" s="181"/>
      <c r="BMN114" s="182"/>
      <c r="BMO114" s="181"/>
      <c r="BMP114" s="182"/>
      <c r="BMQ114" s="181"/>
      <c r="BMR114" s="182"/>
      <c r="BMS114" s="181"/>
      <c r="BMT114" s="182"/>
      <c r="BMU114" s="181"/>
      <c r="BMV114" s="182"/>
      <c r="BMW114" s="181"/>
      <c r="BMX114" s="182"/>
      <c r="BMY114" s="181"/>
      <c r="BMZ114" s="182"/>
      <c r="BNA114" s="181"/>
      <c r="BNB114" s="182"/>
      <c r="BNC114" s="181"/>
      <c r="BND114" s="182"/>
      <c r="BNE114" s="181"/>
      <c r="BNF114" s="182"/>
      <c r="BNG114" s="181"/>
      <c r="BNH114" s="182"/>
      <c r="BNI114" s="181"/>
      <c r="BNJ114" s="182"/>
      <c r="BNK114" s="181"/>
      <c r="BNL114" s="182"/>
      <c r="BNM114" s="181"/>
      <c r="BNN114" s="182"/>
      <c r="BNO114" s="181"/>
      <c r="BNP114" s="182"/>
      <c r="BNQ114" s="181"/>
      <c r="BNR114" s="182"/>
      <c r="BNS114" s="181"/>
      <c r="BNT114" s="182"/>
      <c r="BNU114" s="181"/>
      <c r="BNV114" s="182"/>
      <c r="BNW114" s="181"/>
      <c r="BNX114" s="182"/>
      <c r="BNY114" s="181"/>
      <c r="BNZ114" s="182"/>
      <c r="BOA114" s="181"/>
      <c r="BOB114" s="182"/>
      <c r="BOC114" s="181"/>
      <c r="BOD114" s="182"/>
      <c r="BOE114" s="181"/>
      <c r="BOF114" s="182"/>
      <c r="BOG114" s="181"/>
      <c r="BOH114" s="182"/>
      <c r="BOI114" s="181"/>
      <c r="BOJ114" s="182"/>
      <c r="BOK114" s="181"/>
      <c r="BOL114" s="182"/>
      <c r="BOM114" s="181"/>
      <c r="BON114" s="182"/>
      <c r="BOO114" s="181"/>
      <c r="BOP114" s="182"/>
      <c r="BOQ114" s="181"/>
      <c r="BOR114" s="182"/>
      <c r="BOS114" s="181"/>
      <c r="BOT114" s="182"/>
      <c r="BOU114" s="181"/>
      <c r="BOV114" s="182"/>
      <c r="BOW114" s="181"/>
      <c r="BOX114" s="182"/>
      <c r="BOY114" s="181"/>
      <c r="BOZ114" s="182"/>
      <c r="BPA114" s="181"/>
      <c r="BPB114" s="182"/>
      <c r="BPC114" s="181"/>
      <c r="BPD114" s="182"/>
      <c r="BPE114" s="181"/>
      <c r="BPF114" s="182"/>
      <c r="BPG114" s="181"/>
      <c r="BPH114" s="182"/>
      <c r="BPI114" s="181"/>
      <c r="BPJ114" s="182"/>
      <c r="BPK114" s="181"/>
      <c r="BPL114" s="182"/>
      <c r="BPM114" s="181"/>
      <c r="BPN114" s="182"/>
      <c r="BPO114" s="181"/>
      <c r="BPP114" s="182"/>
      <c r="BPQ114" s="181"/>
      <c r="BPR114" s="182"/>
      <c r="BPS114" s="181"/>
      <c r="BPT114" s="182"/>
      <c r="BPU114" s="181"/>
      <c r="BPV114" s="182"/>
      <c r="BPW114" s="181"/>
      <c r="BPX114" s="182"/>
      <c r="BPY114" s="181"/>
      <c r="BPZ114" s="182"/>
      <c r="BQA114" s="181"/>
      <c r="BQB114" s="182"/>
      <c r="BQC114" s="181"/>
      <c r="BQD114" s="182"/>
      <c r="BQE114" s="181"/>
      <c r="BQF114" s="182"/>
      <c r="BQG114" s="181"/>
      <c r="BQH114" s="182"/>
      <c r="BQI114" s="181"/>
      <c r="BQJ114" s="182"/>
      <c r="BQK114" s="181"/>
      <c r="BQL114" s="182"/>
      <c r="BQM114" s="181"/>
      <c r="BQN114" s="182"/>
      <c r="BQO114" s="181"/>
      <c r="BQP114" s="182"/>
      <c r="BQQ114" s="181"/>
      <c r="BQR114" s="182"/>
      <c r="BQS114" s="181"/>
      <c r="BQT114" s="182"/>
      <c r="BQU114" s="181"/>
      <c r="BQV114" s="182"/>
      <c r="BQW114" s="181"/>
      <c r="BQX114" s="182"/>
      <c r="BQY114" s="181"/>
      <c r="BQZ114" s="182"/>
      <c r="BRA114" s="181"/>
      <c r="BRB114" s="182"/>
      <c r="BRC114" s="181"/>
      <c r="BRD114" s="182"/>
      <c r="BRE114" s="181"/>
      <c r="BRF114" s="182"/>
      <c r="BRG114" s="181"/>
      <c r="BRH114" s="182"/>
      <c r="BRI114" s="181"/>
      <c r="BRJ114" s="182"/>
      <c r="BRK114" s="181"/>
      <c r="BRL114" s="182"/>
      <c r="BRM114" s="181"/>
      <c r="BRN114" s="182"/>
      <c r="BRO114" s="181"/>
      <c r="BRP114" s="182"/>
      <c r="BRQ114" s="181"/>
      <c r="BRR114" s="182"/>
      <c r="BRS114" s="181"/>
      <c r="BRT114" s="182"/>
      <c r="BRU114" s="181"/>
      <c r="BRV114" s="182"/>
      <c r="BRW114" s="181"/>
      <c r="BRX114" s="182"/>
      <c r="BRY114" s="181"/>
      <c r="BRZ114" s="182"/>
      <c r="BSA114" s="181"/>
      <c r="BSB114" s="182"/>
      <c r="BSC114" s="181"/>
      <c r="BSD114" s="182"/>
      <c r="BSE114" s="181"/>
      <c r="BSF114" s="182"/>
      <c r="BSG114" s="181"/>
      <c r="BSH114" s="182"/>
      <c r="BSI114" s="181"/>
      <c r="BSJ114" s="182"/>
      <c r="BSK114" s="181"/>
      <c r="BSL114" s="182"/>
      <c r="BSM114" s="181"/>
      <c r="BSN114" s="182"/>
      <c r="BSO114" s="181"/>
      <c r="BSP114" s="182"/>
      <c r="BSQ114" s="181"/>
      <c r="BSR114" s="182"/>
      <c r="BSS114" s="181"/>
      <c r="BST114" s="182"/>
      <c r="BSU114" s="181"/>
      <c r="BSV114" s="182"/>
      <c r="BSW114" s="181"/>
      <c r="BSX114" s="182"/>
      <c r="BSY114" s="181"/>
      <c r="BSZ114" s="182"/>
      <c r="BTA114" s="181"/>
      <c r="BTB114" s="182"/>
      <c r="BTC114" s="181"/>
      <c r="BTD114" s="182"/>
      <c r="BTE114" s="181"/>
      <c r="BTF114" s="182"/>
      <c r="BTG114" s="181"/>
      <c r="BTH114" s="182"/>
      <c r="BTI114" s="181"/>
      <c r="BTJ114" s="182"/>
      <c r="BTK114" s="181"/>
      <c r="BTL114" s="182"/>
      <c r="BTM114" s="181"/>
      <c r="BTN114" s="182"/>
      <c r="BTO114" s="181"/>
      <c r="BTP114" s="182"/>
      <c r="BTQ114" s="181"/>
      <c r="BTR114" s="182"/>
      <c r="BTS114" s="181"/>
      <c r="BTT114" s="182"/>
      <c r="BTU114" s="181"/>
      <c r="BTV114" s="182"/>
      <c r="BTW114" s="181"/>
      <c r="BTX114" s="182"/>
      <c r="BTY114" s="181"/>
      <c r="BTZ114" s="182"/>
      <c r="BUA114" s="181"/>
      <c r="BUB114" s="182"/>
      <c r="BUC114" s="181"/>
      <c r="BUD114" s="182"/>
      <c r="BUE114" s="181"/>
      <c r="BUF114" s="182"/>
      <c r="BUG114" s="181"/>
      <c r="BUH114" s="182"/>
      <c r="BUI114" s="181"/>
      <c r="BUJ114" s="182"/>
      <c r="BUK114" s="181"/>
      <c r="BUL114" s="182"/>
      <c r="BUM114" s="181"/>
      <c r="BUN114" s="182"/>
      <c r="BUO114" s="181"/>
      <c r="BUP114" s="182"/>
      <c r="BUQ114" s="181"/>
      <c r="BUR114" s="182"/>
      <c r="BUS114" s="181"/>
      <c r="BUT114" s="182"/>
      <c r="BUU114" s="181"/>
      <c r="BUV114" s="182"/>
      <c r="BUW114" s="181"/>
      <c r="BUX114" s="182"/>
      <c r="BUY114" s="181"/>
      <c r="BUZ114" s="182"/>
      <c r="BVA114" s="181"/>
      <c r="BVB114" s="182"/>
      <c r="BVC114" s="181"/>
      <c r="BVD114" s="182"/>
      <c r="BVE114" s="181"/>
      <c r="BVF114" s="182"/>
      <c r="BVG114" s="181"/>
      <c r="BVH114" s="182"/>
      <c r="BVI114" s="181"/>
      <c r="BVJ114" s="182"/>
      <c r="BVK114" s="181"/>
      <c r="BVL114" s="182"/>
      <c r="BVM114" s="181"/>
      <c r="BVN114" s="182"/>
      <c r="BVO114" s="181"/>
      <c r="BVP114" s="182"/>
      <c r="BVQ114" s="181"/>
      <c r="BVR114" s="182"/>
      <c r="BVS114" s="181"/>
      <c r="BVT114" s="182"/>
      <c r="BVU114" s="181"/>
      <c r="BVV114" s="182"/>
      <c r="BVW114" s="181"/>
      <c r="BVX114" s="182"/>
      <c r="BVY114" s="181"/>
      <c r="BVZ114" s="182"/>
      <c r="BWA114" s="181"/>
      <c r="BWB114" s="182"/>
      <c r="BWC114" s="181"/>
      <c r="BWD114" s="182"/>
      <c r="BWE114" s="181"/>
      <c r="BWF114" s="182"/>
      <c r="BWG114" s="181"/>
      <c r="BWH114" s="182"/>
      <c r="BWI114" s="181"/>
      <c r="BWJ114" s="182"/>
      <c r="BWK114" s="181"/>
      <c r="BWL114" s="182"/>
      <c r="BWM114" s="181"/>
      <c r="BWN114" s="182"/>
      <c r="BWO114" s="181"/>
      <c r="BWP114" s="182"/>
      <c r="BWQ114" s="181"/>
      <c r="BWR114" s="182"/>
      <c r="BWS114" s="181"/>
      <c r="BWT114" s="182"/>
      <c r="BWU114" s="181"/>
      <c r="BWV114" s="182"/>
      <c r="BWW114" s="181"/>
      <c r="BWX114" s="182"/>
      <c r="BWY114" s="181"/>
      <c r="BWZ114" s="182"/>
      <c r="BXA114" s="181"/>
      <c r="BXB114" s="182"/>
      <c r="BXC114" s="181"/>
      <c r="BXD114" s="182"/>
      <c r="BXE114" s="181"/>
      <c r="BXF114" s="182"/>
      <c r="BXG114" s="181"/>
      <c r="BXH114" s="182"/>
      <c r="BXI114" s="181"/>
      <c r="BXJ114" s="182"/>
      <c r="BXK114" s="181"/>
      <c r="BXL114" s="182"/>
      <c r="BXM114" s="181"/>
      <c r="BXN114" s="182"/>
      <c r="BXO114" s="181"/>
      <c r="BXP114" s="182"/>
      <c r="BXQ114" s="181"/>
      <c r="BXR114" s="182"/>
      <c r="BXS114" s="181"/>
      <c r="BXT114" s="182"/>
      <c r="BXU114" s="181"/>
      <c r="BXV114" s="182"/>
      <c r="BXW114" s="181"/>
      <c r="BXX114" s="182"/>
      <c r="BXY114" s="181"/>
      <c r="BXZ114" s="182"/>
      <c r="BYA114" s="181"/>
      <c r="BYB114" s="182"/>
      <c r="BYC114" s="181"/>
      <c r="BYD114" s="182"/>
      <c r="BYE114" s="181"/>
      <c r="BYF114" s="182"/>
      <c r="BYG114" s="181"/>
      <c r="BYH114" s="182"/>
      <c r="BYI114" s="181"/>
      <c r="BYJ114" s="182"/>
      <c r="BYK114" s="181"/>
      <c r="BYL114" s="182"/>
      <c r="BYM114" s="181"/>
      <c r="BYN114" s="182"/>
      <c r="BYO114" s="181"/>
      <c r="BYP114" s="182"/>
      <c r="BYQ114" s="181"/>
      <c r="BYR114" s="182"/>
      <c r="BYS114" s="181"/>
      <c r="BYT114" s="182"/>
      <c r="BYU114" s="181"/>
      <c r="BYV114" s="182"/>
      <c r="BYW114" s="181"/>
      <c r="BYX114" s="182"/>
      <c r="BYY114" s="181"/>
      <c r="BYZ114" s="182"/>
      <c r="BZA114" s="181"/>
      <c r="BZB114" s="182"/>
      <c r="BZC114" s="181"/>
      <c r="BZD114" s="182"/>
      <c r="BZE114" s="181"/>
      <c r="BZF114" s="182"/>
      <c r="BZG114" s="181"/>
      <c r="BZH114" s="182"/>
      <c r="BZI114" s="181"/>
      <c r="BZJ114" s="182"/>
      <c r="BZK114" s="181"/>
      <c r="BZL114" s="182"/>
      <c r="BZM114" s="181"/>
      <c r="BZN114" s="182"/>
      <c r="BZO114" s="181"/>
      <c r="BZP114" s="182"/>
      <c r="BZQ114" s="181"/>
      <c r="BZR114" s="182"/>
      <c r="BZS114" s="181"/>
      <c r="BZT114" s="182"/>
      <c r="BZU114" s="181"/>
      <c r="BZV114" s="182"/>
      <c r="BZW114" s="181"/>
      <c r="BZX114" s="182"/>
      <c r="BZY114" s="181"/>
      <c r="BZZ114" s="182"/>
      <c r="CAA114" s="181"/>
      <c r="CAB114" s="182"/>
      <c r="CAC114" s="181"/>
      <c r="CAD114" s="182"/>
      <c r="CAE114" s="181"/>
      <c r="CAF114" s="182"/>
      <c r="CAG114" s="181"/>
      <c r="CAH114" s="182"/>
      <c r="CAI114" s="181"/>
      <c r="CAJ114" s="182"/>
      <c r="CAK114" s="181"/>
      <c r="CAL114" s="182"/>
      <c r="CAM114" s="181"/>
      <c r="CAN114" s="182"/>
      <c r="CAO114" s="181"/>
      <c r="CAP114" s="182"/>
      <c r="CAQ114" s="181"/>
      <c r="CAR114" s="182"/>
      <c r="CAS114" s="181"/>
      <c r="CAT114" s="182"/>
      <c r="CAU114" s="181"/>
      <c r="CAV114" s="182"/>
      <c r="CAW114" s="181"/>
      <c r="CAX114" s="182"/>
      <c r="CAY114" s="181"/>
      <c r="CAZ114" s="182"/>
      <c r="CBA114" s="181"/>
      <c r="CBB114" s="182"/>
      <c r="CBC114" s="181"/>
      <c r="CBD114" s="182"/>
      <c r="CBE114" s="181"/>
      <c r="CBF114" s="182"/>
      <c r="CBG114" s="181"/>
      <c r="CBH114" s="182"/>
      <c r="CBI114" s="181"/>
      <c r="CBJ114" s="182"/>
      <c r="CBK114" s="181"/>
      <c r="CBL114" s="182"/>
      <c r="CBM114" s="181"/>
      <c r="CBN114" s="182"/>
      <c r="CBO114" s="181"/>
      <c r="CBP114" s="182"/>
      <c r="CBQ114" s="181"/>
      <c r="CBR114" s="182"/>
      <c r="CBS114" s="181"/>
      <c r="CBT114" s="182"/>
      <c r="CBU114" s="181"/>
      <c r="CBV114" s="182"/>
      <c r="CBW114" s="181"/>
      <c r="CBX114" s="182"/>
      <c r="CBY114" s="181"/>
      <c r="CBZ114" s="182"/>
      <c r="CCA114" s="181"/>
      <c r="CCB114" s="182"/>
      <c r="CCC114" s="181"/>
      <c r="CCD114" s="182"/>
      <c r="CCE114" s="181"/>
      <c r="CCF114" s="182"/>
      <c r="CCG114" s="181"/>
      <c r="CCH114" s="182"/>
      <c r="CCI114" s="181"/>
      <c r="CCJ114" s="182"/>
      <c r="CCK114" s="181"/>
      <c r="CCL114" s="182"/>
      <c r="CCM114" s="181"/>
      <c r="CCN114" s="182"/>
      <c r="CCO114" s="181"/>
      <c r="CCP114" s="182"/>
      <c r="CCQ114" s="181"/>
      <c r="CCR114" s="182"/>
      <c r="CCS114" s="181"/>
      <c r="CCT114" s="182"/>
      <c r="CCU114" s="181"/>
      <c r="CCV114" s="182"/>
      <c r="CCW114" s="181"/>
      <c r="CCX114" s="182"/>
      <c r="CCY114" s="181"/>
      <c r="CCZ114" s="182"/>
      <c r="CDA114" s="181"/>
      <c r="CDB114" s="182"/>
      <c r="CDC114" s="181"/>
      <c r="CDD114" s="182"/>
      <c r="CDE114" s="181"/>
      <c r="CDF114" s="182"/>
      <c r="CDG114" s="181"/>
      <c r="CDH114" s="182"/>
      <c r="CDI114" s="181"/>
      <c r="CDJ114" s="182"/>
      <c r="CDK114" s="181"/>
      <c r="CDL114" s="182"/>
      <c r="CDM114" s="181"/>
      <c r="CDN114" s="182"/>
      <c r="CDO114" s="181"/>
      <c r="CDP114" s="182"/>
      <c r="CDQ114" s="181"/>
      <c r="CDR114" s="182"/>
      <c r="CDS114" s="181"/>
      <c r="CDT114" s="182"/>
      <c r="CDU114" s="181"/>
      <c r="CDV114" s="182"/>
      <c r="CDW114" s="181"/>
      <c r="CDX114" s="182"/>
      <c r="CDY114" s="181"/>
      <c r="CDZ114" s="182"/>
      <c r="CEA114" s="181"/>
      <c r="CEB114" s="182"/>
      <c r="CEC114" s="181"/>
      <c r="CED114" s="182"/>
      <c r="CEE114" s="181"/>
      <c r="CEF114" s="182"/>
      <c r="CEG114" s="181"/>
      <c r="CEH114" s="182"/>
      <c r="CEI114" s="181"/>
      <c r="CEJ114" s="182"/>
      <c r="CEK114" s="181"/>
      <c r="CEL114" s="182"/>
      <c r="CEM114" s="181"/>
      <c r="CEN114" s="182"/>
      <c r="CEO114" s="181"/>
      <c r="CEP114" s="182"/>
      <c r="CEQ114" s="181"/>
      <c r="CER114" s="182"/>
      <c r="CES114" s="181"/>
      <c r="CET114" s="182"/>
      <c r="CEU114" s="181"/>
      <c r="CEV114" s="182"/>
      <c r="CEW114" s="181"/>
      <c r="CEX114" s="182"/>
      <c r="CEY114" s="181"/>
      <c r="CEZ114" s="182"/>
      <c r="CFA114" s="181"/>
      <c r="CFB114" s="182"/>
      <c r="CFC114" s="181"/>
      <c r="CFD114" s="182"/>
      <c r="CFE114" s="181"/>
      <c r="CFF114" s="182"/>
      <c r="CFG114" s="181"/>
      <c r="CFH114" s="182"/>
      <c r="CFI114" s="181"/>
      <c r="CFJ114" s="182"/>
      <c r="CFK114" s="181"/>
      <c r="CFL114" s="182"/>
      <c r="CFM114" s="181"/>
      <c r="CFN114" s="182"/>
      <c r="CFO114" s="181"/>
      <c r="CFP114" s="182"/>
      <c r="CFQ114" s="181"/>
      <c r="CFR114" s="182"/>
      <c r="CFS114" s="181"/>
      <c r="CFT114" s="182"/>
      <c r="CFU114" s="181"/>
      <c r="CFV114" s="182"/>
      <c r="CFW114" s="181"/>
      <c r="CFX114" s="182"/>
      <c r="CFY114" s="181"/>
      <c r="CFZ114" s="182"/>
      <c r="CGA114" s="181"/>
      <c r="CGB114" s="182"/>
      <c r="CGC114" s="181"/>
      <c r="CGD114" s="182"/>
      <c r="CGE114" s="181"/>
      <c r="CGF114" s="182"/>
      <c r="CGG114" s="181"/>
      <c r="CGH114" s="182"/>
      <c r="CGI114" s="181"/>
      <c r="CGJ114" s="182"/>
      <c r="CGK114" s="181"/>
      <c r="CGL114" s="182"/>
      <c r="CGM114" s="181"/>
      <c r="CGN114" s="182"/>
      <c r="CGO114" s="181"/>
      <c r="CGP114" s="182"/>
      <c r="CGQ114" s="181"/>
      <c r="CGR114" s="182"/>
      <c r="CGS114" s="181"/>
      <c r="CGT114" s="182"/>
      <c r="CGU114" s="181"/>
      <c r="CGV114" s="182"/>
      <c r="CGW114" s="181"/>
      <c r="CGX114" s="182"/>
      <c r="CGY114" s="181"/>
      <c r="CGZ114" s="182"/>
      <c r="CHA114" s="181"/>
      <c r="CHB114" s="182"/>
      <c r="CHC114" s="181"/>
      <c r="CHD114" s="182"/>
      <c r="CHE114" s="181"/>
      <c r="CHF114" s="182"/>
      <c r="CHG114" s="181"/>
      <c r="CHH114" s="182"/>
      <c r="CHI114" s="181"/>
      <c r="CHJ114" s="182"/>
      <c r="CHK114" s="181"/>
      <c r="CHL114" s="182"/>
      <c r="CHM114" s="181"/>
      <c r="CHN114" s="182"/>
      <c r="CHO114" s="181"/>
      <c r="CHP114" s="182"/>
      <c r="CHQ114" s="181"/>
      <c r="CHR114" s="182"/>
      <c r="CHS114" s="181"/>
      <c r="CHT114" s="182"/>
      <c r="CHU114" s="181"/>
      <c r="CHV114" s="182"/>
      <c r="CHW114" s="181"/>
      <c r="CHX114" s="182"/>
      <c r="CHY114" s="181"/>
      <c r="CHZ114" s="182"/>
      <c r="CIA114" s="181"/>
      <c r="CIB114" s="182"/>
      <c r="CIC114" s="181"/>
      <c r="CID114" s="182"/>
      <c r="CIE114" s="181"/>
      <c r="CIF114" s="182"/>
      <c r="CIG114" s="181"/>
      <c r="CIH114" s="182"/>
      <c r="CII114" s="181"/>
      <c r="CIJ114" s="182"/>
      <c r="CIK114" s="181"/>
      <c r="CIL114" s="182"/>
      <c r="CIM114" s="181"/>
      <c r="CIN114" s="182"/>
      <c r="CIO114" s="181"/>
      <c r="CIP114" s="182"/>
      <c r="CIQ114" s="181"/>
      <c r="CIR114" s="182"/>
      <c r="CIS114" s="181"/>
      <c r="CIT114" s="182"/>
      <c r="CIU114" s="181"/>
      <c r="CIV114" s="182"/>
      <c r="CIW114" s="181"/>
      <c r="CIX114" s="182"/>
      <c r="CIY114" s="181"/>
      <c r="CIZ114" s="182"/>
      <c r="CJA114" s="181"/>
      <c r="CJB114" s="182"/>
      <c r="CJC114" s="181"/>
      <c r="CJD114" s="182"/>
      <c r="CJE114" s="181"/>
      <c r="CJF114" s="182"/>
      <c r="CJG114" s="181"/>
      <c r="CJH114" s="182"/>
      <c r="CJI114" s="181"/>
      <c r="CJJ114" s="182"/>
      <c r="CJK114" s="181"/>
      <c r="CJL114" s="182"/>
      <c r="CJM114" s="181"/>
      <c r="CJN114" s="182"/>
      <c r="CJO114" s="181"/>
      <c r="CJP114" s="182"/>
      <c r="CJQ114" s="181"/>
      <c r="CJR114" s="182"/>
      <c r="CJS114" s="181"/>
      <c r="CJT114" s="182"/>
      <c r="CJU114" s="181"/>
      <c r="CJV114" s="182"/>
      <c r="CJW114" s="181"/>
      <c r="CJX114" s="182"/>
      <c r="CJY114" s="181"/>
      <c r="CJZ114" s="182"/>
      <c r="CKA114" s="181"/>
      <c r="CKB114" s="182"/>
      <c r="CKC114" s="181"/>
      <c r="CKD114" s="182"/>
      <c r="CKE114" s="181"/>
      <c r="CKF114" s="182"/>
      <c r="CKG114" s="181"/>
      <c r="CKH114" s="182"/>
      <c r="CKI114" s="181"/>
      <c r="CKJ114" s="182"/>
      <c r="CKK114" s="181"/>
      <c r="CKL114" s="182"/>
      <c r="CKM114" s="181"/>
      <c r="CKN114" s="182"/>
      <c r="CKO114" s="181"/>
      <c r="CKP114" s="182"/>
      <c r="CKQ114" s="181"/>
      <c r="CKR114" s="182"/>
      <c r="CKS114" s="181"/>
      <c r="CKT114" s="182"/>
      <c r="CKU114" s="181"/>
      <c r="CKV114" s="182"/>
      <c r="CKW114" s="181"/>
      <c r="CKX114" s="182"/>
      <c r="CKY114" s="181"/>
      <c r="CKZ114" s="182"/>
      <c r="CLA114" s="181"/>
      <c r="CLB114" s="182"/>
      <c r="CLC114" s="181"/>
      <c r="CLD114" s="182"/>
      <c r="CLE114" s="181"/>
      <c r="CLF114" s="182"/>
      <c r="CLG114" s="181"/>
      <c r="CLH114" s="182"/>
      <c r="CLI114" s="181"/>
      <c r="CLJ114" s="182"/>
      <c r="CLK114" s="181"/>
      <c r="CLL114" s="182"/>
      <c r="CLM114" s="181"/>
      <c r="CLN114" s="182"/>
      <c r="CLO114" s="181"/>
      <c r="CLP114" s="182"/>
      <c r="CLQ114" s="181"/>
      <c r="CLR114" s="182"/>
      <c r="CLS114" s="181"/>
      <c r="CLT114" s="182"/>
      <c r="CLU114" s="181"/>
      <c r="CLV114" s="182"/>
      <c r="CLW114" s="181"/>
      <c r="CLX114" s="182"/>
      <c r="CLY114" s="181"/>
      <c r="CLZ114" s="182"/>
      <c r="CMA114" s="181"/>
      <c r="CMB114" s="182"/>
      <c r="CMC114" s="181"/>
      <c r="CMD114" s="182"/>
      <c r="CME114" s="181"/>
      <c r="CMF114" s="182"/>
      <c r="CMG114" s="181"/>
      <c r="CMH114" s="182"/>
      <c r="CMI114" s="181"/>
      <c r="CMJ114" s="182"/>
      <c r="CMK114" s="181"/>
      <c r="CML114" s="182"/>
      <c r="CMM114" s="181"/>
      <c r="CMN114" s="182"/>
      <c r="CMO114" s="181"/>
      <c r="CMP114" s="182"/>
      <c r="CMQ114" s="181"/>
      <c r="CMR114" s="182"/>
      <c r="CMS114" s="181"/>
      <c r="CMT114" s="182"/>
      <c r="CMU114" s="181"/>
      <c r="CMV114" s="182"/>
      <c r="CMW114" s="181"/>
      <c r="CMX114" s="182"/>
      <c r="CMY114" s="181"/>
      <c r="CMZ114" s="182"/>
      <c r="CNA114" s="181"/>
      <c r="CNB114" s="182"/>
      <c r="CNC114" s="181"/>
      <c r="CND114" s="182"/>
      <c r="CNE114" s="181"/>
      <c r="CNF114" s="182"/>
      <c r="CNG114" s="181"/>
      <c r="CNH114" s="182"/>
      <c r="CNI114" s="181"/>
      <c r="CNJ114" s="182"/>
      <c r="CNK114" s="181"/>
      <c r="CNL114" s="182"/>
      <c r="CNM114" s="181"/>
      <c r="CNN114" s="182"/>
      <c r="CNO114" s="181"/>
      <c r="CNP114" s="182"/>
      <c r="CNQ114" s="181"/>
      <c r="CNR114" s="182"/>
      <c r="CNS114" s="181"/>
      <c r="CNT114" s="182"/>
      <c r="CNU114" s="181"/>
      <c r="CNV114" s="182"/>
      <c r="CNW114" s="181"/>
      <c r="CNX114" s="182"/>
      <c r="CNY114" s="181"/>
      <c r="CNZ114" s="182"/>
      <c r="COA114" s="181"/>
      <c r="COB114" s="182"/>
      <c r="COC114" s="181"/>
      <c r="COD114" s="182"/>
      <c r="COE114" s="181"/>
      <c r="COF114" s="182"/>
      <c r="COG114" s="181"/>
      <c r="COH114" s="182"/>
      <c r="COI114" s="181"/>
      <c r="COJ114" s="182"/>
      <c r="COK114" s="181"/>
      <c r="COL114" s="182"/>
      <c r="COM114" s="181"/>
      <c r="CON114" s="182"/>
      <c r="COO114" s="181"/>
      <c r="COP114" s="182"/>
      <c r="COQ114" s="181"/>
      <c r="COR114" s="182"/>
      <c r="COS114" s="181"/>
      <c r="COT114" s="182"/>
      <c r="COU114" s="181"/>
      <c r="COV114" s="182"/>
      <c r="COW114" s="181"/>
      <c r="COX114" s="182"/>
      <c r="COY114" s="181"/>
      <c r="COZ114" s="182"/>
      <c r="CPA114" s="181"/>
      <c r="CPB114" s="182"/>
      <c r="CPC114" s="181"/>
      <c r="CPD114" s="182"/>
      <c r="CPE114" s="181"/>
      <c r="CPF114" s="182"/>
      <c r="CPG114" s="181"/>
      <c r="CPH114" s="182"/>
      <c r="CPI114" s="181"/>
      <c r="CPJ114" s="182"/>
      <c r="CPK114" s="181"/>
      <c r="CPL114" s="182"/>
      <c r="CPM114" s="181"/>
      <c r="CPN114" s="182"/>
      <c r="CPO114" s="181"/>
      <c r="CPP114" s="182"/>
      <c r="CPQ114" s="181"/>
      <c r="CPR114" s="182"/>
      <c r="CPS114" s="181"/>
      <c r="CPT114" s="182"/>
      <c r="CPU114" s="181"/>
      <c r="CPV114" s="182"/>
      <c r="CPW114" s="181"/>
      <c r="CPX114" s="182"/>
      <c r="CPY114" s="181"/>
      <c r="CPZ114" s="182"/>
      <c r="CQA114" s="181"/>
      <c r="CQB114" s="182"/>
      <c r="CQC114" s="181"/>
      <c r="CQD114" s="182"/>
      <c r="CQE114" s="181"/>
      <c r="CQF114" s="182"/>
      <c r="CQG114" s="181"/>
      <c r="CQH114" s="182"/>
      <c r="CQI114" s="181"/>
      <c r="CQJ114" s="182"/>
      <c r="CQK114" s="181"/>
      <c r="CQL114" s="182"/>
      <c r="CQM114" s="181"/>
      <c r="CQN114" s="182"/>
      <c r="CQO114" s="181"/>
      <c r="CQP114" s="182"/>
      <c r="CQQ114" s="181"/>
      <c r="CQR114" s="182"/>
      <c r="CQS114" s="181"/>
      <c r="CQT114" s="182"/>
      <c r="CQU114" s="181"/>
      <c r="CQV114" s="182"/>
      <c r="CQW114" s="181"/>
      <c r="CQX114" s="182"/>
      <c r="CQY114" s="181"/>
      <c r="CQZ114" s="182"/>
      <c r="CRA114" s="181"/>
      <c r="CRB114" s="182"/>
      <c r="CRC114" s="181"/>
      <c r="CRD114" s="182"/>
      <c r="CRE114" s="181"/>
      <c r="CRF114" s="182"/>
      <c r="CRG114" s="181"/>
      <c r="CRH114" s="182"/>
      <c r="CRI114" s="181"/>
      <c r="CRJ114" s="182"/>
      <c r="CRK114" s="181"/>
      <c r="CRL114" s="182"/>
      <c r="CRM114" s="181"/>
      <c r="CRN114" s="182"/>
      <c r="CRO114" s="181"/>
      <c r="CRP114" s="182"/>
      <c r="CRQ114" s="181"/>
      <c r="CRR114" s="182"/>
      <c r="CRS114" s="181"/>
      <c r="CRT114" s="182"/>
      <c r="CRU114" s="181"/>
      <c r="CRV114" s="182"/>
      <c r="CRW114" s="181"/>
      <c r="CRX114" s="182"/>
      <c r="CRY114" s="181"/>
      <c r="CRZ114" s="182"/>
      <c r="CSA114" s="181"/>
      <c r="CSB114" s="182"/>
      <c r="CSC114" s="181"/>
      <c r="CSD114" s="182"/>
      <c r="CSE114" s="181"/>
      <c r="CSF114" s="182"/>
      <c r="CSG114" s="181"/>
      <c r="CSH114" s="182"/>
      <c r="CSI114" s="181"/>
      <c r="CSJ114" s="182"/>
      <c r="CSK114" s="181"/>
      <c r="CSL114" s="182"/>
      <c r="CSM114" s="181"/>
      <c r="CSN114" s="182"/>
      <c r="CSO114" s="181"/>
      <c r="CSP114" s="182"/>
      <c r="CSQ114" s="181"/>
      <c r="CSR114" s="182"/>
      <c r="CSS114" s="181"/>
      <c r="CST114" s="182"/>
      <c r="CSU114" s="181"/>
      <c r="CSV114" s="182"/>
      <c r="CSW114" s="181"/>
      <c r="CSX114" s="182"/>
      <c r="CSY114" s="181"/>
      <c r="CSZ114" s="182"/>
      <c r="CTA114" s="181"/>
      <c r="CTB114" s="182"/>
      <c r="CTC114" s="181"/>
      <c r="CTD114" s="182"/>
      <c r="CTE114" s="181"/>
      <c r="CTF114" s="182"/>
      <c r="CTG114" s="181"/>
      <c r="CTH114" s="182"/>
      <c r="CTI114" s="181"/>
      <c r="CTJ114" s="182"/>
      <c r="CTK114" s="181"/>
      <c r="CTL114" s="182"/>
      <c r="CTM114" s="181"/>
      <c r="CTN114" s="182"/>
      <c r="CTO114" s="181"/>
      <c r="CTP114" s="182"/>
      <c r="CTQ114" s="181"/>
      <c r="CTR114" s="182"/>
      <c r="CTS114" s="181"/>
      <c r="CTT114" s="182"/>
      <c r="CTU114" s="181"/>
      <c r="CTV114" s="182"/>
      <c r="CTW114" s="181"/>
      <c r="CTX114" s="182"/>
      <c r="CTY114" s="181"/>
      <c r="CTZ114" s="182"/>
      <c r="CUA114" s="181"/>
      <c r="CUB114" s="182"/>
      <c r="CUC114" s="181"/>
      <c r="CUD114" s="182"/>
      <c r="CUE114" s="181"/>
      <c r="CUF114" s="182"/>
      <c r="CUG114" s="181"/>
      <c r="CUH114" s="182"/>
      <c r="CUI114" s="181"/>
      <c r="CUJ114" s="182"/>
      <c r="CUK114" s="181"/>
      <c r="CUL114" s="182"/>
      <c r="CUM114" s="181"/>
      <c r="CUN114" s="182"/>
      <c r="CUO114" s="181"/>
      <c r="CUP114" s="182"/>
      <c r="CUQ114" s="181"/>
      <c r="CUR114" s="182"/>
      <c r="CUS114" s="181"/>
      <c r="CUT114" s="182"/>
      <c r="CUU114" s="181"/>
      <c r="CUV114" s="182"/>
      <c r="CUW114" s="181"/>
      <c r="CUX114" s="182"/>
      <c r="CUY114" s="181"/>
      <c r="CUZ114" s="182"/>
      <c r="CVA114" s="181"/>
      <c r="CVB114" s="182"/>
      <c r="CVC114" s="181"/>
      <c r="CVD114" s="182"/>
      <c r="CVE114" s="181"/>
      <c r="CVF114" s="182"/>
      <c r="CVG114" s="181"/>
      <c r="CVH114" s="182"/>
      <c r="CVI114" s="181"/>
      <c r="CVJ114" s="182"/>
      <c r="CVK114" s="181"/>
      <c r="CVL114" s="182"/>
      <c r="CVM114" s="181"/>
      <c r="CVN114" s="182"/>
      <c r="CVO114" s="181"/>
      <c r="CVP114" s="182"/>
      <c r="CVQ114" s="181"/>
      <c r="CVR114" s="182"/>
      <c r="CVS114" s="181"/>
      <c r="CVT114" s="182"/>
      <c r="CVU114" s="181"/>
      <c r="CVV114" s="182"/>
      <c r="CVW114" s="181"/>
      <c r="CVX114" s="182"/>
      <c r="CVY114" s="181"/>
      <c r="CVZ114" s="182"/>
      <c r="CWA114" s="181"/>
      <c r="CWB114" s="182"/>
      <c r="CWC114" s="181"/>
      <c r="CWD114" s="182"/>
      <c r="CWE114" s="181"/>
      <c r="CWF114" s="182"/>
      <c r="CWG114" s="181"/>
      <c r="CWH114" s="182"/>
      <c r="CWI114" s="181"/>
      <c r="CWJ114" s="182"/>
      <c r="CWK114" s="181"/>
      <c r="CWL114" s="182"/>
      <c r="CWM114" s="181"/>
      <c r="CWN114" s="182"/>
      <c r="CWO114" s="181"/>
      <c r="CWP114" s="182"/>
      <c r="CWQ114" s="181"/>
      <c r="CWR114" s="182"/>
      <c r="CWS114" s="181"/>
      <c r="CWT114" s="182"/>
      <c r="CWU114" s="181"/>
      <c r="CWV114" s="182"/>
      <c r="CWW114" s="181"/>
      <c r="CWX114" s="182"/>
      <c r="CWY114" s="181"/>
      <c r="CWZ114" s="182"/>
      <c r="CXA114" s="181"/>
      <c r="CXB114" s="182"/>
      <c r="CXC114" s="181"/>
      <c r="CXD114" s="182"/>
      <c r="CXE114" s="181"/>
      <c r="CXF114" s="182"/>
      <c r="CXG114" s="181"/>
      <c r="CXH114" s="182"/>
      <c r="CXI114" s="181"/>
      <c r="CXJ114" s="182"/>
      <c r="CXK114" s="181"/>
      <c r="CXL114" s="182"/>
      <c r="CXM114" s="181"/>
      <c r="CXN114" s="182"/>
      <c r="CXO114" s="181"/>
      <c r="CXP114" s="182"/>
      <c r="CXQ114" s="181"/>
      <c r="CXR114" s="182"/>
      <c r="CXS114" s="181"/>
      <c r="CXT114" s="182"/>
      <c r="CXU114" s="181"/>
      <c r="CXV114" s="182"/>
      <c r="CXW114" s="181"/>
      <c r="CXX114" s="182"/>
      <c r="CXY114" s="181"/>
      <c r="CXZ114" s="182"/>
      <c r="CYA114" s="181"/>
      <c r="CYB114" s="182"/>
      <c r="CYC114" s="181"/>
      <c r="CYD114" s="182"/>
      <c r="CYE114" s="181"/>
      <c r="CYF114" s="182"/>
      <c r="CYG114" s="181"/>
      <c r="CYH114" s="182"/>
      <c r="CYI114" s="181"/>
      <c r="CYJ114" s="182"/>
      <c r="CYK114" s="181"/>
      <c r="CYL114" s="182"/>
      <c r="CYM114" s="181"/>
      <c r="CYN114" s="182"/>
      <c r="CYO114" s="181"/>
      <c r="CYP114" s="182"/>
      <c r="CYQ114" s="181"/>
      <c r="CYR114" s="182"/>
      <c r="CYS114" s="181"/>
      <c r="CYT114" s="182"/>
      <c r="CYU114" s="181"/>
      <c r="CYV114" s="182"/>
      <c r="CYW114" s="181"/>
      <c r="CYX114" s="182"/>
      <c r="CYY114" s="181"/>
      <c r="CYZ114" s="182"/>
      <c r="CZA114" s="181"/>
      <c r="CZB114" s="182"/>
      <c r="CZC114" s="181"/>
      <c r="CZD114" s="182"/>
      <c r="CZE114" s="181"/>
      <c r="CZF114" s="182"/>
      <c r="CZG114" s="181"/>
      <c r="CZH114" s="182"/>
      <c r="CZI114" s="181"/>
      <c r="CZJ114" s="182"/>
      <c r="CZK114" s="181"/>
      <c r="CZL114" s="182"/>
      <c r="CZM114" s="181"/>
      <c r="CZN114" s="182"/>
      <c r="CZO114" s="181"/>
      <c r="CZP114" s="182"/>
      <c r="CZQ114" s="181"/>
      <c r="CZR114" s="182"/>
      <c r="CZS114" s="181"/>
      <c r="CZT114" s="182"/>
      <c r="CZU114" s="181"/>
      <c r="CZV114" s="182"/>
      <c r="CZW114" s="181"/>
      <c r="CZX114" s="182"/>
      <c r="CZY114" s="181"/>
      <c r="CZZ114" s="182"/>
      <c r="DAA114" s="181"/>
      <c r="DAB114" s="182"/>
      <c r="DAC114" s="181"/>
      <c r="DAD114" s="182"/>
      <c r="DAE114" s="181"/>
      <c r="DAF114" s="182"/>
      <c r="DAG114" s="181"/>
      <c r="DAH114" s="182"/>
      <c r="DAI114" s="181"/>
      <c r="DAJ114" s="182"/>
      <c r="DAK114" s="181"/>
      <c r="DAL114" s="182"/>
      <c r="DAM114" s="181"/>
      <c r="DAN114" s="182"/>
      <c r="DAO114" s="181"/>
      <c r="DAP114" s="182"/>
      <c r="DAQ114" s="181"/>
      <c r="DAR114" s="182"/>
      <c r="DAS114" s="181"/>
      <c r="DAT114" s="182"/>
      <c r="DAU114" s="181"/>
      <c r="DAV114" s="182"/>
      <c r="DAW114" s="181"/>
      <c r="DAX114" s="182"/>
      <c r="DAY114" s="181"/>
      <c r="DAZ114" s="182"/>
      <c r="DBA114" s="181"/>
      <c r="DBB114" s="182"/>
      <c r="DBC114" s="181"/>
      <c r="DBD114" s="182"/>
      <c r="DBE114" s="181"/>
      <c r="DBF114" s="182"/>
      <c r="DBG114" s="181"/>
      <c r="DBH114" s="182"/>
      <c r="DBI114" s="181"/>
      <c r="DBJ114" s="182"/>
      <c r="DBK114" s="181"/>
      <c r="DBL114" s="182"/>
      <c r="DBM114" s="181"/>
      <c r="DBN114" s="182"/>
      <c r="DBO114" s="181"/>
      <c r="DBP114" s="182"/>
      <c r="DBQ114" s="181"/>
      <c r="DBR114" s="182"/>
      <c r="DBS114" s="181"/>
      <c r="DBT114" s="182"/>
      <c r="DBU114" s="181"/>
      <c r="DBV114" s="182"/>
      <c r="DBW114" s="181"/>
      <c r="DBX114" s="182"/>
      <c r="DBY114" s="181"/>
      <c r="DBZ114" s="182"/>
      <c r="DCA114" s="181"/>
      <c r="DCB114" s="182"/>
      <c r="DCC114" s="181"/>
      <c r="DCD114" s="182"/>
      <c r="DCE114" s="181"/>
      <c r="DCF114" s="182"/>
      <c r="DCG114" s="181"/>
      <c r="DCH114" s="182"/>
      <c r="DCI114" s="181"/>
      <c r="DCJ114" s="182"/>
      <c r="DCK114" s="181"/>
      <c r="DCL114" s="182"/>
      <c r="DCM114" s="181"/>
      <c r="DCN114" s="182"/>
      <c r="DCO114" s="181"/>
      <c r="DCP114" s="182"/>
      <c r="DCQ114" s="181"/>
      <c r="DCR114" s="182"/>
      <c r="DCS114" s="181"/>
      <c r="DCT114" s="182"/>
      <c r="DCU114" s="181"/>
      <c r="DCV114" s="182"/>
      <c r="DCW114" s="181"/>
      <c r="DCX114" s="182"/>
      <c r="DCY114" s="181"/>
      <c r="DCZ114" s="182"/>
      <c r="DDA114" s="181"/>
      <c r="DDB114" s="182"/>
      <c r="DDC114" s="181"/>
      <c r="DDD114" s="182"/>
      <c r="DDE114" s="181"/>
      <c r="DDF114" s="182"/>
      <c r="DDG114" s="181"/>
      <c r="DDH114" s="182"/>
      <c r="DDI114" s="181"/>
      <c r="DDJ114" s="182"/>
      <c r="DDK114" s="181"/>
      <c r="DDL114" s="182"/>
      <c r="DDM114" s="181"/>
      <c r="DDN114" s="182"/>
      <c r="DDO114" s="181"/>
      <c r="DDP114" s="182"/>
      <c r="DDQ114" s="181"/>
      <c r="DDR114" s="182"/>
      <c r="DDS114" s="181"/>
      <c r="DDT114" s="182"/>
      <c r="DDU114" s="181"/>
      <c r="DDV114" s="182"/>
      <c r="DDW114" s="181"/>
      <c r="DDX114" s="182"/>
      <c r="DDY114" s="181"/>
      <c r="DDZ114" s="182"/>
      <c r="DEA114" s="181"/>
      <c r="DEB114" s="182"/>
      <c r="DEC114" s="181"/>
      <c r="DED114" s="182"/>
      <c r="DEE114" s="181"/>
      <c r="DEF114" s="182"/>
      <c r="DEG114" s="181"/>
      <c r="DEH114" s="182"/>
      <c r="DEI114" s="181"/>
      <c r="DEJ114" s="182"/>
      <c r="DEK114" s="181"/>
      <c r="DEL114" s="182"/>
      <c r="DEM114" s="181"/>
      <c r="DEN114" s="182"/>
      <c r="DEO114" s="181"/>
      <c r="DEP114" s="182"/>
      <c r="DEQ114" s="181"/>
      <c r="DER114" s="182"/>
      <c r="DES114" s="181"/>
      <c r="DET114" s="182"/>
      <c r="DEU114" s="181"/>
      <c r="DEV114" s="182"/>
      <c r="DEW114" s="181"/>
      <c r="DEX114" s="182"/>
      <c r="DEY114" s="181"/>
      <c r="DEZ114" s="182"/>
      <c r="DFA114" s="181"/>
      <c r="DFB114" s="182"/>
      <c r="DFC114" s="181"/>
      <c r="DFD114" s="182"/>
      <c r="DFE114" s="181"/>
      <c r="DFF114" s="182"/>
      <c r="DFG114" s="181"/>
      <c r="DFH114" s="182"/>
      <c r="DFI114" s="181"/>
      <c r="DFJ114" s="182"/>
      <c r="DFK114" s="181"/>
      <c r="DFL114" s="182"/>
      <c r="DFM114" s="181"/>
      <c r="DFN114" s="182"/>
      <c r="DFO114" s="181"/>
      <c r="DFP114" s="182"/>
      <c r="DFQ114" s="181"/>
      <c r="DFR114" s="182"/>
      <c r="DFS114" s="181"/>
      <c r="DFT114" s="182"/>
      <c r="DFU114" s="181"/>
      <c r="DFV114" s="182"/>
      <c r="DFW114" s="181"/>
      <c r="DFX114" s="182"/>
      <c r="DFY114" s="181"/>
      <c r="DFZ114" s="182"/>
      <c r="DGA114" s="181"/>
      <c r="DGB114" s="182"/>
      <c r="DGC114" s="181"/>
      <c r="DGD114" s="182"/>
      <c r="DGE114" s="181"/>
      <c r="DGF114" s="182"/>
      <c r="DGG114" s="181"/>
      <c r="DGH114" s="182"/>
      <c r="DGI114" s="181"/>
      <c r="DGJ114" s="182"/>
      <c r="DGK114" s="181"/>
      <c r="DGL114" s="182"/>
      <c r="DGM114" s="181"/>
      <c r="DGN114" s="182"/>
      <c r="DGO114" s="181"/>
      <c r="DGP114" s="182"/>
      <c r="DGQ114" s="181"/>
      <c r="DGR114" s="182"/>
      <c r="DGS114" s="181"/>
      <c r="DGT114" s="182"/>
      <c r="DGU114" s="181"/>
      <c r="DGV114" s="182"/>
      <c r="DGW114" s="181"/>
      <c r="DGX114" s="182"/>
      <c r="DGY114" s="181"/>
      <c r="DGZ114" s="182"/>
      <c r="DHA114" s="181"/>
      <c r="DHB114" s="182"/>
      <c r="DHC114" s="181"/>
      <c r="DHD114" s="182"/>
      <c r="DHE114" s="181"/>
      <c r="DHF114" s="182"/>
      <c r="DHG114" s="181"/>
      <c r="DHH114" s="182"/>
      <c r="DHI114" s="181"/>
      <c r="DHJ114" s="182"/>
      <c r="DHK114" s="181"/>
      <c r="DHL114" s="182"/>
      <c r="DHM114" s="181"/>
      <c r="DHN114" s="182"/>
      <c r="DHO114" s="181"/>
      <c r="DHP114" s="182"/>
      <c r="DHQ114" s="181"/>
      <c r="DHR114" s="182"/>
      <c r="DHS114" s="181"/>
      <c r="DHT114" s="182"/>
      <c r="DHU114" s="181"/>
      <c r="DHV114" s="182"/>
      <c r="DHW114" s="181"/>
      <c r="DHX114" s="182"/>
      <c r="DHY114" s="181"/>
      <c r="DHZ114" s="182"/>
      <c r="DIA114" s="181"/>
      <c r="DIB114" s="182"/>
      <c r="DIC114" s="181"/>
      <c r="DID114" s="182"/>
      <c r="DIE114" s="181"/>
      <c r="DIF114" s="182"/>
      <c r="DIG114" s="181"/>
      <c r="DIH114" s="182"/>
      <c r="DII114" s="181"/>
      <c r="DIJ114" s="182"/>
      <c r="DIK114" s="181"/>
      <c r="DIL114" s="182"/>
      <c r="DIM114" s="181"/>
      <c r="DIN114" s="182"/>
      <c r="DIO114" s="181"/>
      <c r="DIP114" s="182"/>
      <c r="DIQ114" s="181"/>
      <c r="DIR114" s="182"/>
      <c r="DIS114" s="181"/>
      <c r="DIT114" s="182"/>
      <c r="DIU114" s="181"/>
      <c r="DIV114" s="182"/>
      <c r="DIW114" s="181"/>
      <c r="DIX114" s="182"/>
      <c r="DIY114" s="181"/>
      <c r="DIZ114" s="182"/>
      <c r="DJA114" s="181"/>
      <c r="DJB114" s="182"/>
      <c r="DJC114" s="181"/>
      <c r="DJD114" s="182"/>
      <c r="DJE114" s="181"/>
      <c r="DJF114" s="182"/>
      <c r="DJG114" s="181"/>
      <c r="DJH114" s="182"/>
      <c r="DJI114" s="181"/>
      <c r="DJJ114" s="182"/>
      <c r="DJK114" s="181"/>
      <c r="DJL114" s="182"/>
      <c r="DJM114" s="181"/>
      <c r="DJN114" s="182"/>
      <c r="DJO114" s="181"/>
      <c r="DJP114" s="182"/>
      <c r="DJQ114" s="181"/>
      <c r="DJR114" s="182"/>
      <c r="DJS114" s="181"/>
      <c r="DJT114" s="182"/>
      <c r="DJU114" s="181"/>
      <c r="DJV114" s="182"/>
      <c r="DJW114" s="181"/>
      <c r="DJX114" s="182"/>
      <c r="DJY114" s="181"/>
      <c r="DJZ114" s="182"/>
      <c r="DKA114" s="181"/>
      <c r="DKB114" s="182"/>
      <c r="DKC114" s="181"/>
      <c r="DKD114" s="182"/>
      <c r="DKE114" s="181"/>
      <c r="DKF114" s="182"/>
      <c r="DKG114" s="181"/>
      <c r="DKH114" s="182"/>
      <c r="DKI114" s="181"/>
      <c r="DKJ114" s="182"/>
      <c r="DKK114" s="181"/>
      <c r="DKL114" s="182"/>
      <c r="DKM114" s="181"/>
      <c r="DKN114" s="182"/>
      <c r="DKO114" s="181"/>
      <c r="DKP114" s="182"/>
      <c r="DKQ114" s="181"/>
      <c r="DKR114" s="182"/>
      <c r="DKS114" s="181"/>
      <c r="DKT114" s="182"/>
      <c r="DKU114" s="181"/>
      <c r="DKV114" s="182"/>
      <c r="DKW114" s="181"/>
      <c r="DKX114" s="182"/>
      <c r="DKY114" s="181"/>
      <c r="DKZ114" s="182"/>
      <c r="DLA114" s="181"/>
      <c r="DLB114" s="182"/>
      <c r="DLC114" s="181"/>
      <c r="DLD114" s="182"/>
      <c r="DLE114" s="181"/>
      <c r="DLF114" s="182"/>
      <c r="DLG114" s="181"/>
      <c r="DLH114" s="182"/>
      <c r="DLI114" s="181"/>
      <c r="DLJ114" s="182"/>
      <c r="DLK114" s="181"/>
      <c r="DLL114" s="182"/>
      <c r="DLM114" s="181"/>
      <c r="DLN114" s="182"/>
      <c r="DLO114" s="181"/>
      <c r="DLP114" s="182"/>
      <c r="DLQ114" s="181"/>
      <c r="DLR114" s="182"/>
      <c r="DLS114" s="181"/>
      <c r="DLT114" s="182"/>
      <c r="DLU114" s="181"/>
      <c r="DLV114" s="182"/>
      <c r="DLW114" s="181"/>
      <c r="DLX114" s="182"/>
      <c r="DLY114" s="181"/>
      <c r="DLZ114" s="182"/>
      <c r="DMA114" s="181"/>
      <c r="DMB114" s="182"/>
      <c r="DMC114" s="181"/>
      <c r="DMD114" s="182"/>
      <c r="DME114" s="181"/>
      <c r="DMF114" s="182"/>
      <c r="DMG114" s="181"/>
      <c r="DMH114" s="182"/>
      <c r="DMI114" s="181"/>
      <c r="DMJ114" s="182"/>
      <c r="DMK114" s="181"/>
      <c r="DML114" s="182"/>
      <c r="DMM114" s="181"/>
      <c r="DMN114" s="182"/>
      <c r="DMO114" s="181"/>
      <c r="DMP114" s="182"/>
      <c r="DMQ114" s="181"/>
      <c r="DMR114" s="182"/>
      <c r="DMS114" s="181"/>
      <c r="DMT114" s="182"/>
      <c r="DMU114" s="181"/>
      <c r="DMV114" s="182"/>
      <c r="DMW114" s="181"/>
      <c r="DMX114" s="182"/>
      <c r="DMY114" s="181"/>
      <c r="DMZ114" s="182"/>
      <c r="DNA114" s="181"/>
      <c r="DNB114" s="182"/>
      <c r="DNC114" s="181"/>
      <c r="DND114" s="182"/>
      <c r="DNE114" s="181"/>
      <c r="DNF114" s="182"/>
      <c r="DNG114" s="181"/>
      <c r="DNH114" s="182"/>
      <c r="DNI114" s="181"/>
      <c r="DNJ114" s="182"/>
      <c r="DNK114" s="181"/>
      <c r="DNL114" s="182"/>
      <c r="DNM114" s="181"/>
      <c r="DNN114" s="182"/>
      <c r="DNO114" s="181"/>
      <c r="DNP114" s="182"/>
      <c r="DNQ114" s="181"/>
      <c r="DNR114" s="182"/>
      <c r="DNS114" s="181"/>
      <c r="DNT114" s="182"/>
      <c r="DNU114" s="181"/>
      <c r="DNV114" s="182"/>
      <c r="DNW114" s="181"/>
      <c r="DNX114" s="182"/>
      <c r="DNY114" s="181"/>
      <c r="DNZ114" s="182"/>
      <c r="DOA114" s="181"/>
      <c r="DOB114" s="182"/>
      <c r="DOC114" s="181"/>
      <c r="DOD114" s="182"/>
      <c r="DOE114" s="181"/>
      <c r="DOF114" s="182"/>
      <c r="DOG114" s="181"/>
      <c r="DOH114" s="182"/>
      <c r="DOI114" s="181"/>
      <c r="DOJ114" s="182"/>
      <c r="DOK114" s="181"/>
      <c r="DOL114" s="182"/>
      <c r="DOM114" s="181"/>
      <c r="DON114" s="182"/>
      <c r="DOO114" s="181"/>
      <c r="DOP114" s="182"/>
      <c r="DOQ114" s="181"/>
      <c r="DOR114" s="182"/>
      <c r="DOS114" s="181"/>
      <c r="DOT114" s="182"/>
      <c r="DOU114" s="181"/>
      <c r="DOV114" s="182"/>
      <c r="DOW114" s="181"/>
      <c r="DOX114" s="182"/>
      <c r="DOY114" s="181"/>
      <c r="DOZ114" s="182"/>
      <c r="DPA114" s="181"/>
      <c r="DPB114" s="182"/>
      <c r="DPC114" s="181"/>
      <c r="DPD114" s="182"/>
      <c r="DPE114" s="181"/>
      <c r="DPF114" s="182"/>
      <c r="DPG114" s="181"/>
      <c r="DPH114" s="182"/>
      <c r="DPI114" s="181"/>
      <c r="DPJ114" s="182"/>
      <c r="DPK114" s="181"/>
      <c r="DPL114" s="182"/>
      <c r="DPM114" s="181"/>
      <c r="DPN114" s="182"/>
      <c r="DPO114" s="181"/>
      <c r="DPP114" s="182"/>
      <c r="DPQ114" s="181"/>
      <c r="DPR114" s="182"/>
      <c r="DPS114" s="181"/>
      <c r="DPT114" s="182"/>
      <c r="DPU114" s="181"/>
      <c r="DPV114" s="182"/>
      <c r="DPW114" s="181"/>
      <c r="DPX114" s="182"/>
      <c r="DPY114" s="181"/>
      <c r="DPZ114" s="182"/>
      <c r="DQA114" s="181"/>
      <c r="DQB114" s="182"/>
      <c r="DQC114" s="181"/>
      <c r="DQD114" s="182"/>
      <c r="DQE114" s="181"/>
      <c r="DQF114" s="182"/>
      <c r="DQG114" s="181"/>
      <c r="DQH114" s="182"/>
      <c r="DQI114" s="181"/>
      <c r="DQJ114" s="182"/>
      <c r="DQK114" s="181"/>
      <c r="DQL114" s="182"/>
      <c r="DQM114" s="181"/>
      <c r="DQN114" s="182"/>
      <c r="DQO114" s="181"/>
      <c r="DQP114" s="182"/>
      <c r="DQQ114" s="181"/>
      <c r="DQR114" s="182"/>
      <c r="DQS114" s="181"/>
      <c r="DQT114" s="182"/>
      <c r="DQU114" s="181"/>
      <c r="DQV114" s="182"/>
      <c r="DQW114" s="181"/>
      <c r="DQX114" s="182"/>
      <c r="DQY114" s="181"/>
      <c r="DQZ114" s="182"/>
      <c r="DRA114" s="181"/>
      <c r="DRB114" s="182"/>
      <c r="DRC114" s="181"/>
      <c r="DRD114" s="182"/>
      <c r="DRE114" s="181"/>
      <c r="DRF114" s="182"/>
      <c r="DRG114" s="181"/>
      <c r="DRH114" s="182"/>
      <c r="DRI114" s="181"/>
      <c r="DRJ114" s="182"/>
      <c r="DRK114" s="181"/>
      <c r="DRL114" s="182"/>
      <c r="DRM114" s="181"/>
      <c r="DRN114" s="182"/>
      <c r="DRO114" s="181"/>
      <c r="DRP114" s="182"/>
      <c r="DRQ114" s="181"/>
      <c r="DRR114" s="182"/>
      <c r="DRS114" s="181"/>
      <c r="DRT114" s="182"/>
      <c r="DRU114" s="181"/>
      <c r="DRV114" s="182"/>
      <c r="DRW114" s="181"/>
      <c r="DRX114" s="182"/>
      <c r="DRY114" s="181"/>
      <c r="DRZ114" s="182"/>
      <c r="DSA114" s="181"/>
      <c r="DSB114" s="182"/>
      <c r="DSC114" s="181"/>
      <c r="DSD114" s="182"/>
      <c r="DSE114" s="181"/>
      <c r="DSF114" s="182"/>
      <c r="DSG114" s="181"/>
      <c r="DSH114" s="182"/>
      <c r="DSI114" s="181"/>
      <c r="DSJ114" s="182"/>
      <c r="DSK114" s="181"/>
      <c r="DSL114" s="182"/>
      <c r="DSM114" s="181"/>
      <c r="DSN114" s="182"/>
      <c r="DSO114" s="181"/>
      <c r="DSP114" s="182"/>
      <c r="DSQ114" s="181"/>
      <c r="DSR114" s="182"/>
      <c r="DSS114" s="181"/>
      <c r="DST114" s="182"/>
      <c r="DSU114" s="181"/>
      <c r="DSV114" s="182"/>
      <c r="DSW114" s="181"/>
      <c r="DSX114" s="182"/>
      <c r="DSY114" s="181"/>
      <c r="DSZ114" s="182"/>
      <c r="DTA114" s="181"/>
      <c r="DTB114" s="182"/>
      <c r="DTC114" s="181"/>
      <c r="DTD114" s="182"/>
      <c r="DTE114" s="181"/>
      <c r="DTF114" s="182"/>
      <c r="DTG114" s="181"/>
      <c r="DTH114" s="182"/>
      <c r="DTI114" s="181"/>
      <c r="DTJ114" s="182"/>
      <c r="DTK114" s="181"/>
      <c r="DTL114" s="182"/>
      <c r="DTM114" s="181"/>
      <c r="DTN114" s="182"/>
      <c r="DTO114" s="181"/>
      <c r="DTP114" s="182"/>
      <c r="DTQ114" s="181"/>
      <c r="DTR114" s="182"/>
      <c r="DTS114" s="181"/>
      <c r="DTT114" s="182"/>
      <c r="DTU114" s="181"/>
      <c r="DTV114" s="182"/>
      <c r="DTW114" s="181"/>
      <c r="DTX114" s="182"/>
      <c r="DTY114" s="181"/>
      <c r="DTZ114" s="182"/>
      <c r="DUA114" s="181"/>
      <c r="DUB114" s="182"/>
      <c r="DUC114" s="181"/>
      <c r="DUD114" s="182"/>
      <c r="DUE114" s="181"/>
      <c r="DUF114" s="182"/>
      <c r="DUG114" s="181"/>
      <c r="DUH114" s="182"/>
      <c r="DUI114" s="181"/>
      <c r="DUJ114" s="182"/>
      <c r="DUK114" s="181"/>
      <c r="DUL114" s="182"/>
      <c r="DUM114" s="181"/>
      <c r="DUN114" s="182"/>
      <c r="DUO114" s="181"/>
      <c r="DUP114" s="182"/>
      <c r="DUQ114" s="181"/>
      <c r="DUR114" s="182"/>
      <c r="DUS114" s="181"/>
      <c r="DUT114" s="182"/>
      <c r="DUU114" s="181"/>
      <c r="DUV114" s="182"/>
      <c r="DUW114" s="181"/>
      <c r="DUX114" s="182"/>
      <c r="DUY114" s="181"/>
      <c r="DUZ114" s="182"/>
      <c r="DVA114" s="181"/>
      <c r="DVB114" s="182"/>
      <c r="DVC114" s="181"/>
      <c r="DVD114" s="182"/>
      <c r="DVE114" s="181"/>
      <c r="DVF114" s="182"/>
      <c r="DVG114" s="181"/>
      <c r="DVH114" s="182"/>
      <c r="DVI114" s="181"/>
      <c r="DVJ114" s="182"/>
      <c r="DVK114" s="181"/>
      <c r="DVL114" s="182"/>
      <c r="DVM114" s="181"/>
      <c r="DVN114" s="182"/>
      <c r="DVO114" s="181"/>
      <c r="DVP114" s="182"/>
      <c r="DVQ114" s="181"/>
      <c r="DVR114" s="182"/>
      <c r="DVS114" s="181"/>
      <c r="DVT114" s="182"/>
      <c r="DVU114" s="181"/>
      <c r="DVV114" s="182"/>
      <c r="DVW114" s="181"/>
      <c r="DVX114" s="182"/>
      <c r="DVY114" s="181"/>
      <c r="DVZ114" s="182"/>
      <c r="DWA114" s="181"/>
      <c r="DWB114" s="182"/>
      <c r="DWC114" s="181"/>
      <c r="DWD114" s="182"/>
      <c r="DWE114" s="181"/>
      <c r="DWF114" s="182"/>
      <c r="DWG114" s="181"/>
      <c r="DWH114" s="182"/>
      <c r="DWI114" s="181"/>
      <c r="DWJ114" s="182"/>
      <c r="DWK114" s="181"/>
      <c r="DWL114" s="182"/>
      <c r="DWM114" s="181"/>
      <c r="DWN114" s="182"/>
      <c r="DWO114" s="181"/>
      <c r="DWP114" s="182"/>
      <c r="DWQ114" s="181"/>
      <c r="DWR114" s="182"/>
      <c r="DWS114" s="181"/>
      <c r="DWT114" s="182"/>
      <c r="DWU114" s="181"/>
      <c r="DWV114" s="182"/>
      <c r="DWW114" s="181"/>
      <c r="DWX114" s="182"/>
      <c r="DWY114" s="181"/>
      <c r="DWZ114" s="182"/>
      <c r="DXA114" s="181"/>
      <c r="DXB114" s="182"/>
      <c r="DXC114" s="181"/>
      <c r="DXD114" s="182"/>
      <c r="DXE114" s="181"/>
      <c r="DXF114" s="182"/>
      <c r="DXG114" s="181"/>
      <c r="DXH114" s="182"/>
      <c r="DXI114" s="181"/>
      <c r="DXJ114" s="182"/>
      <c r="DXK114" s="181"/>
      <c r="DXL114" s="182"/>
      <c r="DXM114" s="181"/>
      <c r="DXN114" s="182"/>
      <c r="DXO114" s="181"/>
      <c r="DXP114" s="182"/>
      <c r="DXQ114" s="181"/>
      <c r="DXR114" s="182"/>
      <c r="DXS114" s="181"/>
      <c r="DXT114" s="182"/>
      <c r="DXU114" s="181"/>
      <c r="DXV114" s="182"/>
      <c r="DXW114" s="181"/>
      <c r="DXX114" s="182"/>
      <c r="DXY114" s="181"/>
      <c r="DXZ114" s="182"/>
      <c r="DYA114" s="181"/>
      <c r="DYB114" s="182"/>
      <c r="DYC114" s="181"/>
      <c r="DYD114" s="182"/>
      <c r="DYE114" s="181"/>
      <c r="DYF114" s="182"/>
      <c r="DYG114" s="181"/>
      <c r="DYH114" s="182"/>
      <c r="DYI114" s="181"/>
      <c r="DYJ114" s="182"/>
      <c r="DYK114" s="181"/>
      <c r="DYL114" s="182"/>
      <c r="DYM114" s="181"/>
      <c r="DYN114" s="182"/>
      <c r="DYO114" s="181"/>
      <c r="DYP114" s="182"/>
      <c r="DYQ114" s="181"/>
      <c r="DYR114" s="182"/>
      <c r="DYS114" s="181"/>
      <c r="DYT114" s="182"/>
      <c r="DYU114" s="181"/>
      <c r="DYV114" s="182"/>
      <c r="DYW114" s="181"/>
      <c r="DYX114" s="182"/>
      <c r="DYY114" s="181"/>
      <c r="DYZ114" s="182"/>
      <c r="DZA114" s="181"/>
      <c r="DZB114" s="182"/>
      <c r="DZC114" s="181"/>
      <c r="DZD114" s="182"/>
      <c r="DZE114" s="181"/>
      <c r="DZF114" s="182"/>
      <c r="DZG114" s="181"/>
      <c r="DZH114" s="182"/>
      <c r="DZI114" s="181"/>
      <c r="DZJ114" s="182"/>
      <c r="DZK114" s="181"/>
      <c r="DZL114" s="182"/>
      <c r="DZM114" s="181"/>
      <c r="DZN114" s="182"/>
      <c r="DZO114" s="181"/>
      <c r="DZP114" s="182"/>
      <c r="DZQ114" s="181"/>
      <c r="DZR114" s="182"/>
      <c r="DZS114" s="181"/>
      <c r="DZT114" s="182"/>
      <c r="DZU114" s="181"/>
      <c r="DZV114" s="182"/>
      <c r="DZW114" s="181"/>
      <c r="DZX114" s="182"/>
      <c r="DZY114" s="181"/>
      <c r="DZZ114" s="182"/>
      <c r="EAA114" s="181"/>
      <c r="EAB114" s="182"/>
      <c r="EAC114" s="181"/>
      <c r="EAD114" s="182"/>
      <c r="EAE114" s="181"/>
      <c r="EAF114" s="182"/>
      <c r="EAG114" s="181"/>
      <c r="EAH114" s="182"/>
      <c r="EAI114" s="181"/>
      <c r="EAJ114" s="182"/>
      <c r="EAK114" s="181"/>
      <c r="EAL114" s="182"/>
      <c r="EAM114" s="181"/>
      <c r="EAN114" s="182"/>
      <c r="EAO114" s="181"/>
      <c r="EAP114" s="182"/>
      <c r="EAQ114" s="181"/>
      <c r="EAR114" s="182"/>
      <c r="EAS114" s="181"/>
      <c r="EAT114" s="182"/>
      <c r="EAU114" s="181"/>
      <c r="EAV114" s="182"/>
      <c r="EAW114" s="181"/>
      <c r="EAX114" s="182"/>
      <c r="EAY114" s="181"/>
      <c r="EAZ114" s="182"/>
      <c r="EBA114" s="181"/>
      <c r="EBB114" s="182"/>
      <c r="EBC114" s="181"/>
      <c r="EBD114" s="182"/>
      <c r="EBE114" s="181"/>
      <c r="EBF114" s="182"/>
      <c r="EBG114" s="181"/>
      <c r="EBH114" s="182"/>
      <c r="EBI114" s="181"/>
      <c r="EBJ114" s="182"/>
      <c r="EBK114" s="181"/>
      <c r="EBL114" s="182"/>
      <c r="EBM114" s="181"/>
      <c r="EBN114" s="182"/>
      <c r="EBO114" s="181"/>
      <c r="EBP114" s="182"/>
      <c r="EBQ114" s="181"/>
      <c r="EBR114" s="182"/>
      <c r="EBS114" s="181"/>
      <c r="EBT114" s="182"/>
      <c r="EBU114" s="181"/>
      <c r="EBV114" s="182"/>
      <c r="EBW114" s="181"/>
      <c r="EBX114" s="182"/>
      <c r="EBY114" s="181"/>
      <c r="EBZ114" s="182"/>
      <c r="ECA114" s="181"/>
      <c r="ECB114" s="182"/>
      <c r="ECC114" s="181"/>
      <c r="ECD114" s="182"/>
      <c r="ECE114" s="181"/>
      <c r="ECF114" s="182"/>
      <c r="ECG114" s="181"/>
      <c r="ECH114" s="182"/>
      <c r="ECI114" s="181"/>
      <c r="ECJ114" s="182"/>
      <c r="ECK114" s="181"/>
      <c r="ECL114" s="182"/>
      <c r="ECM114" s="181"/>
      <c r="ECN114" s="182"/>
      <c r="ECO114" s="181"/>
      <c r="ECP114" s="182"/>
      <c r="ECQ114" s="181"/>
      <c r="ECR114" s="182"/>
      <c r="ECS114" s="181"/>
      <c r="ECT114" s="182"/>
      <c r="ECU114" s="181"/>
      <c r="ECV114" s="182"/>
      <c r="ECW114" s="181"/>
      <c r="ECX114" s="182"/>
      <c r="ECY114" s="181"/>
      <c r="ECZ114" s="182"/>
      <c r="EDA114" s="181"/>
      <c r="EDB114" s="182"/>
      <c r="EDC114" s="181"/>
      <c r="EDD114" s="182"/>
      <c r="EDE114" s="181"/>
      <c r="EDF114" s="182"/>
      <c r="EDG114" s="181"/>
      <c r="EDH114" s="182"/>
      <c r="EDI114" s="181"/>
      <c r="EDJ114" s="182"/>
      <c r="EDK114" s="181"/>
      <c r="EDL114" s="182"/>
      <c r="EDM114" s="181"/>
      <c r="EDN114" s="182"/>
      <c r="EDO114" s="181"/>
      <c r="EDP114" s="182"/>
      <c r="EDQ114" s="181"/>
      <c r="EDR114" s="182"/>
      <c r="EDS114" s="181"/>
      <c r="EDT114" s="182"/>
      <c r="EDU114" s="181"/>
      <c r="EDV114" s="182"/>
      <c r="EDW114" s="181"/>
      <c r="EDX114" s="182"/>
      <c r="EDY114" s="181"/>
      <c r="EDZ114" s="182"/>
      <c r="EEA114" s="181"/>
      <c r="EEB114" s="182"/>
      <c r="EEC114" s="181"/>
      <c r="EED114" s="182"/>
      <c r="EEE114" s="181"/>
      <c r="EEF114" s="182"/>
      <c r="EEG114" s="181"/>
      <c r="EEH114" s="182"/>
      <c r="EEI114" s="181"/>
      <c r="EEJ114" s="182"/>
      <c r="EEK114" s="181"/>
      <c r="EEL114" s="182"/>
      <c r="EEM114" s="181"/>
      <c r="EEN114" s="182"/>
      <c r="EEO114" s="181"/>
      <c r="EEP114" s="182"/>
      <c r="EEQ114" s="181"/>
      <c r="EER114" s="182"/>
      <c r="EES114" s="181"/>
      <c r="EET114" s="182"/>
      <c r="EEU114" s="181"/>
      <c r="EEV114" s="182"/>
      <c r="EEW114" s="181"/>
      <c r="EEX114" s="182"/>
      <c r="EEY114" s="181"/>
      <c r="EEZ114" s="182"/>
      <c r="EFA114" s="181"/>
      <c r="EFB114" s="182"/>
      <c r="EFC114" s="181"/>
      <c r="EFD114" s="182"/>
      <c r="EFE114" s="181"/>
      <c r="EFF114" s="182"/>
      <c r="EFG114" s="181"/>
      <c r="EFH114" s="182"/>
      <c r="EFI114" s="181"/>
      <c r="EFJ114" s="182"/>
      <c r="EFK114" s="181"/>
      <c r="EFL114" s="182"/>
      <c r="EFM114" s="181"/>
      <c r="EFN114" s="182"/>
      <c r="EFO114" s="181"/>
      <c r="EFP114" s="182"/>
      <c r="EFQ114" s="181"/>
      <c r="EFR114" s="182"/>
      <c r="EFS114" s="181"/>
      <c r="EFT114" s="182"/>
      <c r="EFU114" s="181"/>
      <c r="EFV114" s="182"/>
      <c r="EFW114" s="181"/>
      <c r="EFX114" s="182"/>
      <c r="EFY114" s="181"/>
      <c r="EFZ114" s="182"/>
      <c r="EGA114" s="181"/>
      <c r="EGB114" s="182"/>
      <c r="EGC114" s="181"/>
      <c r="EGD114" s="182"/>
      <c r="EGE114" s="181"/>
      <c r="EGF114" s="182"/>
      <c r="EGG114" s="181"/>
      <c r="EGH114" s="182"/>
      <c r="EGI114" s="181"/>
      <c r="EGJ114" s="182"/>
      <c r="EGK114" s="181"/>
      <c r="EGL114" s="182"/>
      <c r="EGM114" s="181"/>
      <c r="EGN114" s="182"/>
      <c r="EGO114" s="181"/>
      <c r="EGP114" s="182"/>
      <c r="EGQ114" s="181"/>
      <c r="EGR114" s="182"/>
      <c r="EGS114" s="181"/>
      <c r="EGT114" s="182"/>
      <c r="EGU114" s="181"/>
      <c r="EGV114" s="182"/>
      <c r="EGW114" s="181"/>
      <c r="EGX114" s="182"/>
      <c r="EGY114" s="181"/>
      <c r="EGZ114" s="182"/>
      <c r="EHA114" s="181"/>
      <c r="EHB114" s="182"/>
      <c r="EHC114" s="181"/>
      <c r="EHD114" s="182"/>
      <c r="EHE114" s="181"/>
      <c r="EHF114" s="182"/>
      <c r="EHG114" s="181"/>
      <c r="EHH114" s="182"/>
      <c r="EHI114" s="181"/>
      <c r="EHJ114" s="182"/>
      <c r="EHK114" s="181"/>
      <c r="EHL114" s="182"/>
      <c r="EHM114" s="181"/>
      <c r="EHN114" s="182"/>
      <c r="EHO114" s="181"/>
      <c r="EHP114" s="182"/>
      <c r="EHQ114" s="181"/>
      <c r="EHR114" s="182"/>
      <c r="EHS114" s="181"/>
      <c r="EHT114" s="182"/>
      <c r="EHU114" s="181"/>
      <c r="EHV114" s="182"/>
      <c r="EHW114" s="181"/>
      <c r="EHX114" s="182"/>
      <c r="EHY114" s="181"/>
      <c r="EHZ114" s="182"/>
      <c r="EIA114" s="181"/>
      <c r="EIB114" s="182"/>
      <c r="EIC114" s="181"/>
      <c r="EID114" s="182"/>
      <c r="EIE114" s="181"/>
      <c r="EIF114" s="182"/>
      <c r="EIG114" s="181"/>
      <c r="EIH114" s="182"/>
      <c r="EII114" s="181"/>
      <c r="EIJ114" s="182"/>
      <c r="EIK114" s="181"/>
      <c r="EIL114" s="182"/>
      <c r="EIM114" s="181"/>
      <c r="EIN114" s="182"/>
      <c r="EIO114" s="181"/>
      <c r="EIP114" s="182"/>
      <c r="EIQ114" s="181"/>
      <c r="EIR114" s="182"/>
      <c r="EIS114" s="181"/>
      <c r="EIT114" s="182"/>
      <c r="EIU114" s="181"/>
      <c r="EIV114" s="182"/>
      <c r="EIW114" s="181"/>
      <c r="EIX114" s="182"/>
      <c r="EIY114" s="181"/>
      <c r="EIZ114" s="182"/>
      <c r="EJA114" s="181"/>
      <c r="EJB114" s="182"/>
      <c r="EJC114" s="181"/>
      <c r="EJD114" s="182"/>
      <c r="EJE114" s="181"/>
      <c r="EJF114" s="182"/>
      <c r="EJG114" s="181"/>
      <c r="EJH114" s="182"/>
      <c r="EJI114" s="181"/>
      <c r="EJJ114" s="182"/>
      <c r="EJK114" s="181"/>
      <c r="EJL114" s="182"/>
      <c r="EJM114" s="181"/>
      <c r="EJN114" s="182"/>
      <c r="EJO114" s="181"/>
      <c r="EJP114" s="182"/>
      <c r="EJQ114" s="181"/>
      <c r="EJR114" s="182"/>
      <c r="EJS114" s="181"/>
      <c r="EJT114" s="182"/>
      <c r="EJU114" s="181"/>
      <c r="EJV114" s="182"/>
      <c r="EJW114" s="181"/>
      <c r="EJX114" s="182"/>
      <c r="EJY114" s="181"/>
      <c r="EJZ114" s="182"/>
      <c r="EKA114" s="181"/>
      <c r="EKB114" s="182"/>
      <c r="EKC114" s="181"/>
      <c r="EKD114" s="182"/>
      <c r="EKE114" s="181"/>
      <c r="EKF114" s="182"/>
      <c r="EKG114" s="181"/>
      <c r="EKH114" s="182"/>
      <c r="EKI114" s="181"/>
      <c r="EKJ114" s="182"/>
      <c r="EKK114" s="181"/>
      <c r="EKL114" s="182"/>
      <c r="EKM114" s="181"/>
      <c r="EKN114" s="182"/>
      <c r="EKO114" s="181"/>
      <c r="EKP114" s="182"/>
      <c r="EKQ114" s="181"/>
      <c r="EKR114" s="182"/>
      <c r="EKS114" s="181"/>
      <c r="EKT114" s="182"/>
      <c r="EKU114" s="181"/>
      <c r="EKV114" s="182"/>
      <c r="EKW114" s="181"/>
      <c r="EKX114" s="182"/>
      <c r="EKY114" s="181"/>
      <c r="EKZ114" s="182"/>
      <c r="ELA114" s="181"/>
      <c r="ELB114" s="182"/>
      <c r="ELC114" s="181"/>
      <c r="ELD114" s="182"/>
      <c r="ELE114" s="181"/>
      <c r="ELF114" s="182"/>
      <c r="ELG114" s="181"/>
      <c r="ELH114" s="182"/>
      <c r="ELI114" s="181"/>
      <c r="ELJ114" s="182"/>
      <c r="ELK114" s="181"/>
      <c r="ELL114" s="182"/>
      <c r="ELM114" s="181"/>
      <c r="ELN114" s="182"/>
      <c r="ELO114" s="181"/>
      <c r="ELP114" s="182"/>
      <c r="ELQ114" s="181"/>
      <c r="ELR114" s="182"/>
      <c r="ELS114" s="181"/>
      <c r="ELT114" s="182"/>
      <c r="ELU114" s="181"/>
      <c r="ELV114" s="182"/>
      <c r="ELW114" s="181"/>
      <c r="ELX114" s="182"/>
      <c r="ELY114" s="181"/>
      <c r="ELZ114" s="182"/>
      <c r="EMA114" s="181"/>
      <c r="EMB114" s="182"/>
      <c r="EMC114" s="181"/>
      <c r="EMD114" s="182"/>
      <c r="EME114" s="181"/>
      <c r="EMF114" s="182"/>
      <c r="EMG114" s="181"/>
      <c r="EMH114" s="182"/>
      <c r="EMI114" s="181"/>
      <c r="EMJ114" s="182"/>
      <c r="EMK114" s="181"/>
      <c r="EML114" s="182"/>
      <c r="EMM114" s="181"/>
      <c r="EMN114" s="182"/>
      <c r="EMO114" s="181"/>
      <c r="EMP114" s="182"/>
      <c r="EMQ114" s="181"/>
      <c r="EMR114" s="182"/>
      <c r="EMS114" s="181"/>
      <c r="EMT114" s="182"/>
      <c r="EMU114" s="181"/>
      <c r="EMV114" s="182"/>
      <c r="EMW114" s="181"/>
      <c r="EMX114" s="182"/>
      <c r="EMY114" s="181"/>
      <c r="EMZ114" s="182"/>
      <c r="ENA114" s="181"/>
      <c r="ENB114" s="182"/>
      <c r="ENC114" s="181"/>
      <c r="END114" s="182"/>
      <c r="ENE114" s="181"/>
      <c r="ENF114" s="182"/>
      <c r="ENG114" s="181"/>
      <c r="ENH114" s="182"/>
      <c r="ENI114" s="181"/>
      <c r="ENJ114" s="182"/>
      <c r="ENK114" s="181"/>
      <c r="ENL114" s="182"/>
      <c r="ENM114" s="181"/>
      <c r="ENN114" s="182"/>
      <c r="ENO114" s="181"/>
      <c r="ENP114" s="182"/>
      <c r="ENQ114" s="181"/>
      <c r="ENR114" s="182"/>
      <c r="ENS114" s="181"/>
      <c r="ENT114" s="182"/>
      <c r="ENU114" s="181"/>
      <c r="ENV114" s="182"/>
      <c r="ENW114" s="181"/>
      <c r="ENX114" s="182"/>
      <c r="ENY114" s="181"/>
      <c r="ENZ114" s="182"/>
      <c r="EOA114" s="181"/>
      <c r="EOB114" s="182"/>
      <c r="EOC114" s="181"/>
      <c r="EOD114" s="182"/>
      <c r="EOE114" s="181"/>
      <c r="EOF114" s="182"/>
      <c r="EOG114" s="181"/>
      <c r="EOH114" s="182"/>
      <c r="EOI114" s="181"/>
      <c r="EOJ114" s="182"/>
      <c r="EOK114" s="181"/>
      <c r="EOL114" s="182"/>
      <c r="EOM114" s="181"/>
      <c r="EON114" s="182"/>
      <c r="EOO114" s="181"/>
      <c r="EOP114" s="182"/>
      <c r="EOQ114" s="181"/>
      <c r="EOR114" s="182"/>
      <c r="EOS114" s="181"/>
      <c r="EOT114" s="182"/>
      <c r="EOU114" s="181"/>
      <c r="EOV114" s="182"/>
      <c r="EOW114" s="181"/>
      <c r="EOX114" s="182"/>
      <c r="EOY114" s="181"/>
      <c r="EOZ114" s="182"/>
      <c r="EPA114" s="181"/>
      <c r="EPB114" s="182"/>
      <c r="EPC114" s="181"/>
      <c r="EPD114" s="182"/>
      <c r="EPE114" s="181"/>
      <c r="EPF114" s="182"/>
      <c r="EPG114" s="181"/>
      <c r="EPH114" s="182"/>
      <c r="EPI114" s="181"/>
      <c r="EPJ114" s="182"/>
      <c r="EPK114" s="181"/>
      <c r="EPL114" s="182"/>
      <c r="EPM114" s="181"/>
      <c r="EPN114" s="182"/>
      <c r="EPO114" s="181"/>
      <c r="EPP114" s="182"/>
      <c r="EPQ114" s="181"/>
      <c r="EPR114" s="182"/>
      <c r="EPS114" s="181"/>
      <c r="EPT114" s="182"/>
      <c r="EPU114" s="181"/>
      <c r="EPV114" s="182"/>
      <c r="EPW114" s="181"/>
      <c r="EPX114" s="182"/>
      <c r="EPY114" s="181"/>
      <c r="EPZ114" s="182"/>
      <c r="EQA114" s="181"/>
      <c r="EQB114" s="182"/>
      <c r="EQC114" s="181"/>
      <c r="EQD114" s="182"/>
      <c r="EQE114" s="181"/>
      <c r="EQF114" s="182"/>
      <c r="EQG114" s="181"/>
      <c r="EQH114" s="182"/>
      <c r="EQI114" s="181"/>
      <c r="EQJ114" s="182"/>
      <c r="EQK114" s="181"/>
      <c r="EQL114" s="182"/>
      <c r="EQM114" s="181"/>
      <c r="EQN114" s="182"/>
      <c r="EQO114" s="181"/>
      <c r="EQP114" s="182"/>
      <c r="EQQ114" s="181"/>
      <c r="EQR114" s="182"/>
      <c r="EQS114" s="181"/>
      <c r="EQT114" s="182"/>
      <c r="EQU114" s="181"/>
      <c r="EQV114" s="182"/>
      <c r="EQW114" s="181"/>
      <c r="EQX114" s="182"/>
      <c r="EQY114" s="181"/>
      <c r="EQZ114" s="182"/>
      <c r="ERA114" s="181"/>
      <c r="ERB114" s="182"/>
      <c r="ERC114" s="181"/>
      <c r="ERD114" s="182"/>
      <c r="ERE114" s="181"/>
      <c r="ERF114" s="182"/>
      <c r="ERG114" s="181"/>
      <c r="ERH114" s="182"/>
      <c r="ERI114" s="181"/>
      <c r="ERJ114" s="182"/>
      <c r="ERK114" s="181"/>
      <c r="ERL114" s="182"/>
      <c r="ERM114" s="181"/>
      <c r="ERN114" s="182"/>
      <c r="ERO114" s="181"/>
      <c r="ERP114" s="182"/>
      <c r="ERQ114" s="181"/>
      <c r="ERR114" s="182"/>
      <c r="ERS114" s="181"/>
      <c r="ERT114" s="182"/>
      <c r="ERU114" s="181"/>
      <c r="ERV114" s="182"/>
      <c r="ERW114" s="181"/>
      <c r="ERX114" s="182"/>
      <c r="ERY114" s="181"/>
      <c r="ERZ114" s="182"/>
      <c r="ESA114" s="181"/>
      <c r="ESB114" s="182"/>
      <c r="ESC114" s="181"/>
      <c r="ESD114" s="182"/>
      <c r="ESE114" s="181"/>
      <c r="ESF114" s="182"/>
      <c r="ESG114" s="181"/>
      <c r="ESH114" s="182"/>
      <c r="ESI114" s="181"/>
      <c r="ESJ114" s="182"/>
      <c r="ESK114" s="181"/>
      <c r="ESL114" s="182"/>
      <c r="ESM114" s="181"/>
      <c r="ESN114" s="182"/>
      <c r="ESO114" s="181"/>
      <c r="ESP114" s="182"/>
      <c r="ESQ114" s="181"/>
      <c r="ESR114" s="182"/>
      <c r="ESS114" s="181"/>
      <c r="EST114" s="182"/>
      <c r="ESU114" s="181"/>
      <c r="ESV114" s="182"/>
      <c r="ESW114" s="181"/>
      <c r="ESX114" s="182"/>
      <c r="ESY114" s="181"/>
      <c r="ESZ114" s="182"/>
      <c r="ETA114" s="181"/>
      <c r="ETB114" s="182"/>
      <c r="ETC114" s="181"/>
      <c r="ETD114" s="182"/>
      <c r="ETE114" s="181"/>
      <c r="ETF114" s="182"/>
      <c r="ETG114" s="181"/>
      <c r="ETH114" s="182"/>
      <c r="ETI114" s="181"/>
      <c r="ETJ114" s="182"/>
      <c r="ETK114" s="181"/>
      <c r="ETL114" s="182"/>
      <c r="ETM114" s="181"/>
      <c r="ETN114" s="182"/>
      <c r="ETO114" s="181"/>
      <c r="ETP114" s="182"/>
      <c r="ETQ114" s="181"/>
      <c r="ETR114" s="182"/>
      <c r="ETS114" s="181"/>
      <c r="ETT114" s="182"/>
      <c r="ETU114" s="181"/>
      <c r="ETV114" s="182"/>
      <c r="ETW114" s="181"/>
      <c r="ETX114" s="182"/>
      <c r="ETY114" s="181"/>
      <c r="ETZ114" s="182"/>
      <c r="EUA114" s="181"/>
      <c r="EUB114" s="182"/>
      <c r="EUC114" s="181"/>
      <c r="EUD114" s="182"/>
      <c r="EUE114" s="181"/>
      <c r="EUF114" s="182"/>
      <c r="EUG114" s="181"/>
      <c r="EUH114" s="182"/>
      <c r="EUI114" s="181"/>
      <c r="EUJ114" s="182"/>
      <c r="EUK114" s="181"/>
      <c r="EUL114" s="182"/>
      <c r="EUM114" s="181"/>
      <c r="EUN114" s="182"/>
      <c r="EUO114" s="181"/>
      <c r="EUP114" s="182"/>
      <c r="EUQ114" s="181"/>
      <c r="EUR114" s="182"/>
      <c r="EUS114" s="181"/>
      <c r="EUT114" s="182"/>
      <c r="EUU114" s="181"/>
      <c r="EUV114" s="182"/>
      <c r="EUW114" s="181"/>
      <c r="EUX114" s="182"/>
      <c r="EUY114" s="181"/>
      <c r="EUZ114" s="182"/>
      <c r="EVA114" s="181"/>
      <c r="EVB114" s="182"/>
      <c r="EVC114" s="181"/>
      <c r="EVD114" s="182"/>
      <c r="EVE114" s="181"/>
      <c r="EVF114" s="182"/>
      <c r="EVG114" s="181"/>
      <c r="EVH114" s="182"/>
      <c r="EVI114" s="181"/>
      <c r="EVJ114" s="182"/>
      <c r="EVK114" s="181"/>
      <c r="EVL114" s="182"/>
      <c r="EVM114" s="181"/>
      <c r="EVN114" s="182"/>
      <c r="EVO114" s="181"/>
      <c r="EVP114" s="182"/>
      <c r="EVQ114" s="181"/>
      <c r="EVR114" s="182"/>
      <c r="EVS114" s="181"/>
      <c r="EVT114" s="182"/>
      <c r="EVU114" s="181"/>
      <c r="EVV114" s="182"/>
      <c r="EVW114" s="181"/>
      <c r="EVX114" s="182"/>
      <c r="EVY114" s="181"/>
      <c r="EVZ114" s="182"/>
      <c r="EWA114" s="181"/>
      <c r="EWB114" s="182"/>
      <c r="EWC114" s="181"/>
      <c r="EWD114" s="182"/>
      <c r="EWE114" s="181"/>
      <c r="EWF114" s="182"/>
      <c r="EWG114" s="181"/>
      <c r="EWH114" s="182"/>
      <c r="EWI114" s="181"/>
      <c r="EWJ114" s="182"/>
      <c r="EWK114" s="181"/>
      <c r="EWL114" s="182"/>
      <c r="EWM114" s="181"/>
      <c r="EWN114" s="182"/>
      <c r="EWO114" s="181"/>
      <c r="EWP114" s="182"/>
      <c r="EWQ114" s="181"/>
      <c r="EWR114" s="182"/>
      <c r="EWS114" s="181"/>
      <c r="EWT114" s="182"/>
      <c r="EWU114" s="181"/>
      <c r="EWV114" s="182"/>
      <c r="EWW114" s="181"/>
      <c r="EWX114" s="182"/>
      <c r="EWY114" s="181"/>
      <c r="EWZ114" s="182"/>
      <c r="EXA114" s="181"/>
      <c r="EXB114" s="182"/>
      <c r="EXC114" s="181"/>
      <c r="EXD114" s="182"/>
      <c r="EXE114" s="181"/>
      <c r="EXF114" s="182"/>
      <c r="EXG114" s="181"/>
      <c r="EXH114" s="182"/>
      <c r="EXI114" s="181"/>
      <c r="EXJ114" s="182"/>
      <c r="EXK114" s="181"/>
      <c r="EXL114" s="182"/>
      <c r="EXM114" s="181"/>
      <c r="EXN114" s="182"/>
      <c r="EXO114" s="181"/>
      <c r="EXP114" s="182"/>
      <c r="EXQ114" s="181"/>
      <c r="EXR114" s="182"/>
      <c r="EXS114" s="181"/>
      <c r="EXT114" s="182"/>
      <c r="EXU114" s="181"/>
      <c r="EXV114" s="182"/>
      <c r="EXW114" s="181"/>
      <c r="EXX114" s="182"/>
      <c r="EXY114" s="181"/>
      <c r="EXZ114" s="182"/>
      <c r="EYA114" s="181"/>
      <c r="EYB114" s="182"/>
      <c r="EYC114" s="181"/>
      <c r="EYD114" s="182"/>
      <c r="EYE114" s="181"/>
      <c r="EYF114" s="182"/>
      <c r="EYG114" s="181"/>
      <c r="EYH114" s="182"/>
      <c r="EYI114" s="181"/>
      <c r="EYJ114" s="182"/>
      <c r="EYK114" s="181"/>
      <c r="EYL114" s="182"/>
      <c r="EYM114" s="181"/>
      <c r="EYN114" s="182"/>
      <c r="EYO114" s="181"/>
      <c r="EYP114" s="182"/>
      <c r="EYQ114" s="181"/>
      <c r="EYR114" s="182"/>
      <c r="EYS114" s="181"/>
      <c r="EYT114" s="182"/>
      <c r="EYU114" s="181"/>
      <c r="EYV114" s="182"/>
      <c r="EYW114" s="181"/>
      <c r="EYX114" s="182"/>
      <c r="EYY114" s="181"/>
      <c r="EYZ114" s="182"/>
      <c r="EZA114" s="181"/>
      <c r="EZB114" s="182"/>
      <c r="EZC114" s="181"/>
      <c r="EZD114" s="182"/>
      <c r="EZE114" s="181"/>
      <c r="EZF114" s="182"/>
      <c r="EZG114" s="181"/>
      <c r="EZH114" s="182"/>
      <c r="EZI114" s="181"/>
      <c r="EZJ114" s="182"/>
      <c r="EZK114" s="181"/>
      <c r="EZL114" s="182"/>
      <c r="EZM114" s="181"/>
      <c r="EZN114" s="182"/>
      <c r="EZO114" s="181"/>
      <c r="EZP114" s="182"/>
      <c r="EZQ114" s="181"/>
      <c r="EZR114" s="182"/>
      <c r="EZS114" s="181"/>
      <c r="EZT114" s="182"/>
      <c r="EZU114" s="181"/>
      <c r="EZV114" s="182"/>
      <c r="EZW114" s="181"/>
      <c r="EZX114" s="182"/>
      <c r="EZY114" s="181"/>
      <c r="EZZ114" s="182"/>
      <c r="FAA114" s="181"/>
      <c r="FAB114" s="182"/>
      <c r="FAC114" s="181"/>
      <c r="FAD114" s="182"/>
      <c r="FAE114" s="181"/>
      <c r="FAF114" s="182"/>
      <c r="FAG114" s="181"/>
      <c r="FAH114" s="182"/>
      <c r="FAI114" s="181"/>
      <c r="FAJ114" s="182"/>
      <c r="FAK114" s="181"/>
      <c r="FAL114" s="182"/>
      <c r="FAM114" s="181"/>
      <c r="FAN114" s="182"/>
      <c r="FAO114" s="181"/>
      <c r="FAP114" s="182"/>
      <c r="FAQ114" s="181"/>
      <c r="FAR114" s="182"/>
      <c r="FAS114" s="181"/>
      <c r="FAT114" s="182"/>
      <c r="FAU114" s="181"/>
      <c r="FAV114" s="182"/>
      <c r="FAW114" s="181"/>
      <c r="FAX114" s="182"/>
      <c r="FAY114" s="181"/>
      <c r="FAZ114" s="182"/>
      <c r="FBA114" s="181"/>
      <c r="FBB114" s="182"/>
      <c r="FBC114" s="181"/>
      <c r="FBD114" s="182"/>
      <c r="FBE114" s="181"/>
      <c r="FBF114" s="182"/>
      <c r="FBG114" s="181"/>
      <c r="FBH114" s="182"/>
      <c r="FBI114" s="181"/>
      <c r="FBJ114" s="182"/>
      <c r="FBK114" s="181"/>
      <c r="FBL114" s="182"/>
      <c r="FBM114" s="181"/>
      <c r="FBN114" s="182"/>
      <c r="FBO114" s="181"/>
      <c r="FBP114" s="182"/>
      <c r="FBQ114" s="181"/>
      <c r="FBR114" s="182"/>
      <c r="FBS114" s="181"/>
      <c r="FBT114" s="182"/>
      <c r="FBU114" s="181"/>
      <c r="FBV114" s="182"/>
      <c r="FBW114" s="181"/>
      <c r="FBX114" s="182"/>
      <c r="FBY114" s="181"/>
      <c r="FBZ114" s="182"/>
      <c r="FCA114" s="181"/>
      <c r="FCB114" s="182"/>
      <c r="FCC114" s="181"/>
      <c r="FCD114" s="182"/>
      <c r="FCE114" s="181"/>
      <c r="FCF114" s="182"/>
      <c r="FCG114" s="181"/>
      <c r="FCH114" s="182"/>
      <c r="FCI114" s="181"/>
      <c r="FCJ114" s="182"/>
      <c r="FCK114" s="181"/>
      <c r="FCL114" s="182"/>
      <c r="FCM114" s="181"/>
      <c r="FCN114" s="182"/>
      <c r="FCO114" s="181"/>
      <c r="FCP114" s="182"/>
      <c r="FCQ114" s="181"/>
      <c r="FCR114" s="182"/>
      <c r="FCS114" s="181"/>
      <c r="FCT114" s="182"/>
      <c r="FCU114" s="181"/>
      <c r="FCV114" s="182"/>
      <c r="FCW114" s="181"/>
      <c r="FCX114" s="182"/>
      <c r="FCY114" s="181"/>
      <c r="FCZ114" s="182"/>
      <c r="FDA114" s="181"/>
      <c r="FDB114" s="182"/>
      <c r="FDC114" s="181"/>
      <c r="FDD114" s="182"/>
      <c r="FDE114" s="181"/>
      <c r="FDF114" s="182"/>
      <c r="FDG114" s="181"/>
      <c r="FDH114" s="182"/>
      <c r="FDI114" s="181"/>
      <c r="FDJ114" s="182"/>
      <c r="FDK114" s="181"/>
      <c r="FDL114" s="182"/>
      <c r="FDM114" s="181"/>
      <c r="FDN114" s="182"/>
      <c r="FDO114" s="181"/>
      <c r="FDP114" s="182"/>
      <c r="FDQ114" s="181"/>
      <c r="FDR114" s="182"/>
      <c r="FDS114" s="181"/>
      <c r="FDT114" s="182"/>
      <c r="FDU114" s="181"/>
      <c r="FDV114" s="182"/>
      <c r="FDW114" s="181"/>
      <c r="FDX114" s="182"/>
      <c r="FDY114" s="181"/>
      <c r="FDZ114" s="182"/>
      <c r="FEA114" s="181"/>
      <c r="FEB114" s="182"/>
      <c r="FEC114" s="181"/>
      <c r="FED114" s="182"/>
      <c r="FEE114" s="181"/>
      <c r="FEF114" s="182"/>
      <c r="FEG114" s="181"/>
      <c r="FEH114" s="182"/>
      <c r="FEI114" s="181"/>
      <c r="FEJ114" s="182"/>
      <c r="FEK114" s="181"/>
      <c r="FEL114" s="182"/>
      <c r="FEM114" s="181"/>
      <c r="FEN114" s="182"/>
      <c r="FEO114" s="181"/>
      <c r="FEP114" s="182"/>
      <c r="FEQ114" s="181"/>
      <c r="FER114" s="182"/>
      <c r="FES114" s="181"/>
      <c r="FET114" s="182"/>
      <c r="FEU114" s="181"/>
      <c r="FEV114" s="182"/>
      <c r="FEW114" s="181"/>
      <c r="FEX114" s="182"/>
      <c r="FEY114" s="181"/>
      <c r="FEZ114" s="182"/>
      <c r="FFA114" s="181"/>
      <c r="FFB114" s="182"/>
      <c r="FFC114" s="181"/>
      <c r="FFD114" s="182"/>
      <c r="FFE114" s="181"/>
      <c r="FFF114" s="182"/>
      <c r="FFG114" s="181"/>
      <c r="FFH114" s="182"/>
      <c r="FFI114" s="181"/>
      <c r="FFJ114" s="182"/>
      <c r="FFK114" s="181"/>
      <c r="FFL114" s="182"/>
      <c r="FFM114" s="181"/>
      <c r="FFN114" s="182"/>
      <c r="FFO114" s="181"/>
      <c r="FFP114" s="182"/>
      <c r="FFQ114" s="181"/>
      <c r="FFR114" s="182"/>
      <c r="FFS114" s="181"/>
      <c r="FFT114" s="182"/>
      <c r="FFU114" s="181"/>
      <c r="FFV114" s="182"/>
      <c r="FFW114" s="181"/>
      <c r="FFX114" s="182"/>
      <c r="FFY114" s="181"/>
      <c r="FFZ114" s="182"/>
      <c r="FGA114" s="181"/>
      <c r="FGB114" s="182"/>
      <c r="FGC114" s="181"/>
      <c r="FGD114" s="182"/>
      <c r="FGE114" s="181"/>
      <c r="FGF114" s="182"/>
      <c r="FGG114" s="181"/>
      <c r="FGH114" s="182"/>
      <c r="FGI114" s="181"/>
      <c r="FGJ114" s="182"/>
      <c r="FGK114" s="181"/>
      <c r="FGL114" s="182"/>
      <c r="FGM114" s="181"/>
      <c r="FGN114" s="182"/>
      <c r="FGO114" s="181"/>
      <c r="FGP114" s="182"/>
      <c r="FGQ114" s="181"/>
      <c r="FGR114" s="182"/>
      <c r="FGS114" s="181"/>
      <c r="FGT114" s="182"/>
      <c r="FGU114" s="181"/>
      <c r="FGV114" s="182"/>
      <c r="FGW114" s="181"/>
      <c r="FGX114" s="182"/>
      <c r="FGY114" s="181"/>
      <c r="FGZ114" s="182"/>
      <c r="FHA114" s="181"/>
      <c r="FHB114" s="182"/>
      <c r="FHC114" s="181"/>
      <c r="FHD114" s="182"/>
      <c r="FHE114" s="181"/>
      <c r="FHF114" s="182"/>
      <c r="FHG114" s="181"/>
      <c r="FHH114" s="182"/>
      <c r="FHI114" s="181"/>
      <c r="FHJ114" s="182"/>
      <c r="FHK114" s="181"/>
      <c r="FHL114" s="182"/>
      <c r="FHM114" s="181"/>
      <c r="FHN114" s="182"/>
      <c r="FHO114" s="181"/>
      <c r="FHP114" s="182"/>
      <c r="FHQ114" s="181"/>
      <c r="FHR114" s="182"/>
      <c r="FHS114" s="181"/>
      <c r="FHT114" s="182"/>
      <c r="FHU114" s="181"/>
      <c r="FHV114" s="182"/>
      <c r="FHW114" s="181"/>
      <c r="FHX114" s="182"/>
      <c r="FHY114" s="181"/>
      <c r="FHZ114" s="182"/>
      <c r="FIA114" s="181"/>
      <c r="FIB114" s="182"/>
      <c r="FIC114" s="181"/>
      <c r="FID114" s="182"/>
      <c r="FIE114" s="181"/>
      <c r="FIF114" s="182"/>
      <c r="FIG114" s="181"/>
      <c r="FIH114" s="182"/>
      <c r="FII114" s="181"/>
      <c r="FIJ114" s="182"/>
      <c r="FIK114" s="181"/>
      <c r="FIL114" s="182"/>
      <c r="FIM114" s="181"/>
      <c r="FIN114" s="182"/>
      <c r="FIO114" s="181"/>
      <c r="FIP114" s="182"/>
      <c r="FIQ114" s="181"/>
      <c r="FIR114" s="182"/>
      <c r="FIS114" s="181"/>
      <c r="FIT114" s="182"/>
      <c r="FIU114" s="181"/>
      <c r="FIV114" s="182"/>
      <c r="FIW114" s="181"/>
      <c r="FIX114" s="182"/>
      <c r="FIY114" s="181"/>
      <c r="FIZ114" s="182"/>
      <c r="FJA114" s="181"/>
      <c r="FJB114" s="182"/>
      <c r="FJC114" s="181"/>
      <c r="FJD114" s="182"/>
      <c r="FJE114" s="181"/>
      <c r="FJF114" s="182"/>
      <c r="FJG114" s="181"/>
      <c r="FJH114" s="182"/>
      <c r="FJI114" s="181"/>
      <c r="FJJ114" s="182"/>
      <c r="FJK114" s="181"/>
      <c r="FJL114" s="182"/>
      <c r="FJM114" s="181"/>
      <c r="FJN114" s="182"/>
      <c r="FJO114" s="181"/>
      <c r="FJP114" s="182"/>
      <c r="FJQ114" s="181"/>
      <c r="FJR114" s="182"/>
      <c r="FJS114" s="181"/>
      <c r="FJT114" s="182"/>
      <c r="FJU114" s="181"/>
      <c r="FJV114" s="182"/>
      <c r="FJW114" s="181"/>
      <c r="FJX114" s="182"/>
      <c r="FJY114" s="181"/>
      <c r="FJZ114" s="182"/>
      <c r="FKA114" s="181"/>
      <c r="FKB114" s="182"/>
      <c r="FKC114" s="181"/>
      <c r="FKD114" s="182"/>
      <c r="FKE114" s="181"/>
      <c r="FKF114" s="182"/>
      <c r="FKG114" s="181"/>
      <c r="FKH114" s="182"/>
      <c r="FKI114" s="181"/>
      <c r="FKJ114" s="182"/>
      <c r="FKK114" s="181"/>
      <c r="FKL114" s="182"/>
      <c r="FKM114" s="181"/>
      <c r="FKN114" s="182"/>
      <c r="FKO114" s="181"/>
      <c r="FKP114" s="182"/>
      <c r="FKQ114" s="181"/>
      <c r="FKR114" s="182"/>
      <c r="FKS114" s="181"/>
      <c r="FKT114" s="182"/>
      <c r="FKU114" s="181"/>
      <c r="FKV114" s="182"/>
      <c r="FKW114" s="181"/>
      <c r="FKX114" s="182"/>
      <c r="FKY114" s="181"/>
      <c r="FKZ114" s="182"/>
      <c r="FLA114" s="181"/>
      <c r="FLB114" s="182"/>
      <c r="FLC114" s="181"/>
      <c r="FLD114" s="182"/>
      <c r="FLE114" s="181"/>
      <c r="FLF114" s="182"/>
      <c r="FLG114" s="181"/>
      <c r="FLH114" s="182"/>
      <c r="FLI114" s="181"/>
      <c r="FLJ114" s="182"/>
      <c r="FLK114" s="181"/>
      <c r="FLL114" s="182"/>
      <c r="FLM114" s="181"/>
      <c r="FLN114" s="182"/>
      <c r="FLO114" s="181"/>
      <c r="FLP114" s="182"/>
      <c r="FLQ114" s="181"/>
      <c r="FLR114" s="182"/>
      <c r="FLS114" s="181"/>
      <c r="FLT114" s="182"/>
      <c r="FLU114" s="181"/>
      <c r="FLV114" s="182"/>
      <c r="FLW114" s="181"/>
      <c r="FLX114" s="182"/>
      <c r="FLY114" s="181"/>
      <c r="FLZ114" s="182"/>
      <c r="FMA114" s="181"/>
      <c r="FMB114" s="182"/>
      <c r="FMC114" s="181"/>
      <c r="FMD114" s="182"/>
      <c r="FME114" s="181"/>
      <c r="FMF114" s="182"/>
      <c r="FMG114" s="181"/>
      <c r="FMH114" s="182"/>
      <c r="FMI114" s="181"/>
      <c r="FMJ114" s="182"/>
      <c r="FMK114" s="181"/>
      <c r="FML114" s="182"/>
      <c r="FMM114" s="181"/>
      <c r="FMN114" s="182"/>
      <c r="FMO114" s="181"/>
      <c r="FMP114" s="182"/>
      <c r="FMQ114" s="181"/>
      <c r="FMR114" s="182"/>
      <c r="FMS114" s="181"/>
      <c r="FMT114" s="182"/>
      <c r="FMU114" s="181"/>
      <c r="FMV114" s="182"/>
      <c r="FMW114" s="181"/>
      <c r="FMX114" s="182"/>
      <c r="FMY114" s="181"/>
      <c r="FMZ114" s="182"/>
      <c r="FNA114" s="181"/>
      <c r="FNB114" s="182"/>
      <c r="FNC114" s="181"/>
      <c r="FND114" s="182"/>
      <c r="FNE114" s="181"/>
      <c r="FNF114" s="182"/>
      <c r="FNG114" s="181"/>
      <c r="FNH114" s="182"/>
      <c r="FNI114" s="181"/>
      <c r="FNJ114" s="182"/>
      <c r="FNK114" s="181"/>
      <c r="FNL114" s="182"/>
      <c r="FNM114" s="181"/>
      <c r="FNN114" s="182"/>
      <c r="FNO114" s="181"/>
      <c r="FNP114" s="182"/>
      <c r="FNQ114" s="181"/>
      <c r="FNR114" s="182"/>
      <c r="FNS114" s="181"/>
      <c r="FNT114" s="182"/>
      <c r="FNU114" s="181"/>
      <c r="FNV114" s="182"/>
      <c r="FNW114" s="181"/>
      <c r="FNX114" s="182"/>
      <c r="FNY114" s="181"/>
      <c r="FNZ114" s="182"/>
      <c r="FOA114" s="181"/>
      <c r="FOB114" s="182"/>
      <c r="FOC114" s="181"/>
      <c r="FOD114" s="182"/>
      <c r="FOE114" s="181"/>
      <c r="FOF114" s="182"/>
      <c r="FOG114" s="181"/>
      <c r="FOH114" s="182"/>
      <c r="FOI114" s="181"/>
      <c r="FOJ114" s="182"/>
      <c r="FOK114" s="181"/>
      <c r="FOL114" s="182"/>
      <c r="FOM114" s="181"/>
      <c r="FON114" s="182"/>
      <c r="FOO114" s="181"/>
      <c r="FOP114" s="182"/>
      <c r="FOQ114" s="181"/>
      <c r="FOR114" s="182"/>
      <c r="FOS114" s="181"/>
      <c r="FOT114" s="182"/>
      <c r="FOU114" s="181"/>
      <c r="FOV114" s="182"/>
      <c r="FOW114" s="181"/>
      <c r="FOX114" s="182"/>
      <c r="FOY114" s="181"/>
      <c r="FOZ114" s="182"/>
      <c r="FPA114" s="181"/>
      <c r="FPB114" s="182"/>
      <c r="FPC114" s="181"/>
      <c r="FPD114" s="182"/>
      <c r="FPE114" s="181"/>
      <c r="FPF114" s="182"/>
      <c r="FPG114" s="181"/>
      <c r="FPH114" s="182"/>
      <c r="FPI114" s="181"/>
      <c r="FPJ114" s="182"/>
      <c r="FPK114" s="181"/>
      <c r="FPL114" s="182"/>
      <c r="FPM114" s="181"/>
      <c r="FPN114" s="182"/>
      <c r="FPO114" s="181"/>
      <c r="FPP114" s="182"/>
      <c r="FPQ114" s="181"/>
      <c r="FPR114" s="182"/>
      <c r="FPS114" s="181"/>
      <c r="FPT114" s="182"/>
      <c r="FPU114" s="181"/>
      <c r="FPV114" s="182"/>
      <c r="FPW114" s="181"/>
      <c r="FPX114" s="182"/>
      <c r="FPY114" s="181"/>
      <c r="FPZ114" s="182"/>
      <c r="FQA114" s="181"/>
      <c r="FQB114" s="182"/>
      <c r="FQC114" s="181"/>
      <c r="FQD114" s="182"/>
      <c r="FQE114" s="181"/>
      <c r="FQF114" s="182"/>
      <c r="FQG114" s="181"/>
      <c r="FQH114" s="182"/>
      <c r="FQI114" s="181"/>
      <c r="FQJ114" s="182"/>
      <c r="FQK114" s="181"/>
      <c r="FQL114" s="182"/>
      <c r="FQM114" s="181"/>
      <c r="FQN114" s="182"/>
      <c r="FQO114" s="181"/>
      <c r="FQP114" s="182"/>
      <c r="FQQ114" s="181"/>
      <c r="FQR114" s="182"/>
      <c r="FQS114" s="181"/>
      <c r="FQT114" s="182"/>
      <c r="FQU114" s="181"/>
      <c r="FQV114" s="182"/>
      <c r="FQW114" s="181"/>
      <c r="FQX114" s="182"/>
      <c r="FQY114" s="181"/>
      <c r="FQZ114" s="182"/>
      <c r="FRA114" s="181"/>
      <c r="FRB114" s="182"/>
      <c r="FRC114" s="181"/>
      <c r="FRD114" s="182"/>
      <c r="FRE114" s="181"/>
      <c r="FRF114" s="182"/>
      <c r="FRG114" s="181"/>
      <c r="FRH114" s="182"/>
      <c r="FRI114" s="181"/>
      <c r="FRJ114" s="182"/>
      <c r="FRK114" s="181"/>
      <c r="FRL114" s="182"/>
      <c r="FRM114" s="181"/>
      <c r="FRN114" s="182"/>
      <c r="FRO114" s="181"/>
      <c r="FRP114" s="182"/>
      <c r="FRQ114" s="181"/>
      <c r="FRR114" s="182"/>
      <c r="FRS114" s="181"/>
      <c r="FRT114" s="182"/>
      <c r="FRU114" s="181"/>
      <c r="FRV114" s="182"/>
      <c r="FRW114" s="181"/>
      <c r="FRX114" s="182"/>
      <c r="FRY114" s="181"/>
      <c r="FRZ114" s="182"/>
      <c r="FSA114" s="181"/>
      <c r="FSB114" s="182"/>
      <c r="FSC114" s="181"/>
      <c r="FSD114" s="182"/>
      <c r="FSE114" s="181"/>
      <c r="FSF114" s="182"/>
      <c r="FSG114" s="181"/>
      <c r="FSH114" s="182"/>
      <c r="FSI114" s="181"/>
      <c r="FSJ114" s="182"/>
      <c r="FSK114" s="181"/>
      <c r="FSL114" s="182"/>
      <c r="FSM114" s="181"/>
      <c r="FSN114" s="182"/>
      <c r="FSO114" s="181"/>
      <c r="FSP114" s="182"/>
      <c r="FSQ114" s="181"/>
      <c r="FSR114" s="182"/>
      <c r="FSS114" s="181"/>
      <c r="FST114" s="182"/>
      <c r="FSU114" s="181"/>
      <c r="FSV114" s="182"/>
      <c r="FSW114" s="181"/>
      <c r="FSX114" s="182"/>
      <c r="FSY114" s="181"/>
      <c r="FSZ114" s="182"/>
      <c r="FTA114" s="181"/>
      <c r="FTB114" s="182"/>
      <c r="FTC114" s="181"/>
      <c r="FTD114" s="182"/>
      <c r="FTE114" s="181"/>
      <c r="FTF114" s="182"/>
      <c r="FTG114" s="181"/>
      <c r="FTH114" s="182"/>
      <c r="FTI114" s="181"/>
      <c r="FTJ114" s="182"/>
      <c r="FTK114" s="181"/>
      <c r="FTL114" s="182"/>
      <c r="FTM114" s="181"/>
      <c r="FTN114" s="182"/>
      <c r="FTO114" s="181"/>
      <c r="FTP114" s="182"/>
      <c r="FTQ114" s="181"/>
      <c r="FTR114" s="182"/>
      <c r="FTS114" s="181"/>
      <c r="FTT114" s="182"/>
      <c r="FTU114" s="181"/>
      <c r="FTV114" s="182"/>
      <c r="FTW114" s="181"/>
      <c r="FTX114" s="182"/>
      <c r="FTY114" s="181"/>
      <c r="FTZ114" s="182"/>
      <c r="FUA114" s="181"/>
      <c r="FUB114" s="182"/>
      <c r="FUC114" s="181"/>
      <c r="FUD114" s="182"/>
      <c r="FUE114" s="181"/>
      <c r="FUF114" s="182"/>
      <c r="FUG114" s="181"/>
      <c r="FUH114" s="182"/>
      <c r="FUI114" s="181"/>
      <c r="FUJ114" s="182"/>
      <c r="FUK114" s="181"/>
      <c r="FUL114" s="182"/>
      <c r="FUM114" s="181"/>
      <c r="FUN114" s="182"/>
      <c r="FUO114" s="181"/>
      <c r="FUP114" s="182"/>
      <c r="FUQ114" s="181"/>
      <c r="FUR114" s="182"/>
      <c r="FUS114" s="181"/>
      <c r="FUT114" s="182"/>
      <c r="FUU114" s="181"/>
      <c r="FUV114" s="182"/>
      <c r="FUW114" s="181"/>
      <c r="FUX114" s="182"/>
      <c r="FUY114" s="181"/>
      <c r="FUZ114" s="182"/>
      <c r="FVA114" s="181"/>
      <c r="FVB114" s="182"/>
      <c r="FVC114" s="181"/>
      <c r="FVD114" s="182"/>
      <c r="FVE114" s="181"/>
      <c r="FVF114" s="182"/>
      <c r="FVG114" s="181"/>
      <c r="FVH114" s="182"/>
      <c r="FVI114" s="181"/>
      <c r="FVJ114" s="182"/>
      <c r="FVK114" s="181"/>
      <c r="FVL114" s="182"/>
      <c r="FVM114" s="181"/>
      <c r="FVN114" s="182"/>
      <c r="FVO114" s="181"/>
      <c r="FVP114" s="182"/>
      <c r="FVQ114" s="181"/>
      <c r="FVR114" s="182"/>
      <c r="FVS114" s="181"/>
      <c r="FVT114" s="182"/>
      <c r="FVU114" s="181"/>
      <c r="FVV114" s="182"/>
      <c r="FVW114" s="181"/>
      <c r="FVX114" s="182"/>
      <c r="FVY114" s="181"/>
      <c r="FVZ114" s="182"/>
      <c r="FWA114" s="181"/>
      <c r="FWB114" s="182"/>
      <c r="FWC114" s="181"/>
      <c r="FWD114" s="182"/>
      <c r="FWE114" s="181"/>
      <c r="FWF114" s="182"/>
      <c r="FWG114" s="181"/>
      <c r="FWH114" s="182"/>
      <c r="FWI114" s="181"/>
      <c r="FWJ114" s="182"/>
      <c r="FWK114" s="181"/>
      <c r="FWL114" s="182"/>
      <c r="FWM114" s="181"/>
      <c r="FWN114" s="182"/>
      <c r="FWO114" s="181"/>
      <c r="FWP114" s="182"/>
      <c r="FWQ114" s="181"/>
      <c r="FWR114" s="182"/>
      <c r="FWS114" s="181"/>
      <c r="FWT114" s="182"/>
      <c r="FWU114" s="181"/>
      <c r="FWV114" s="182"/>
      <c r="FWW114" s="181"/>
      <c r="FWX114" s="182"/>
      <c r="FWY114" s="181"/>
      <c r="FWZ114" s="182"/>
      <c r="FXA114" s="181"/>
      <c r="FXB114" s="182"/>
      <c r="FXC114" s="181"/>
      <c r="FXD114" s="182"/>
      <c r="FXE114" s="181"/>
      <c r="FXF114" s="182"/>
      <c r="FXG114" s="181"/>
      <c r="FXH114" s="182"/>
      <c r="FXI114" s="181"/>
      <c r="FXJ114" s="182"/>
      <c r="FXK114" s="181"/>
      <c r="FXL114" s="182"/>
      <c r="FXM114" s="181"/>
      <c r="FXN114" s="182"/>
      <c r="FXO114" s="181"/>
      <c r="FXP114" s="182"/>
      <c r="FXQ114" s="181"/>
      <c r="FXR114" s="182"/>
      <c r="FXS114" s="181"/>
      <c r="FXT114" s="182"/>
      <c r="FXU114" s="181"/>
      <c r="FXV114" s="182"/>
      <c r="FXW114" s="181"/>
      <c r="FXX114" s="182"/>
      <c r="FXY114" s="181"/>
      <c r="FXZ114" s="182"/>
      <c r="FYA114" s="181"/>
      <c r="FYB114" s="182"/>
      <c r="FYC114" s="181"/>
      <c r="FYD114" s="182"/>
      <c r="FYE114" s="181"/>
      <c r="FYF114" s="182"/>
      <c r="FYG114" s="181"/>
      <c r="FYH114" s="182"/>
      <c r="FYI114" s="181"/>
      <c r="FYJ114" s="182"/>
      <c r="FYK114" s="181"/>
      <c r="FYL114" s="182"/>
      <c r="FYM114" s="181"/>
      <c r="FYN114" s="182"/>
      <c r="FYO114" s="181"/>
      <c r="FYP114" s="182"/>
      <c r="FYQ114" s="181"/>
      <c r="FYR114" s="182"/>
      <c r="FYS114" s="181"/>
      <c r="FYT114" s="182"/>
      <c r="FYU114" s="181"/>
      <c r="FYV114" s="182"/>
      <c r="FYW114" s="181"/>
      <c r="FYX114" s="182"/>
      <c r="FYY114" s="181"/>
      <c r="FYZ114" s="182"/>
      <c r="FZA114" s="181"/>
      <c r="FZB114" s="182"/>
      <c r="FZC114" s="181"/>
      <c r="FZD114" s="182"/>
      <c r="FZE114" s="181"/>
      <c r="FZF114" s="182"/>
      <c r="FZG114" s="181"/>
      <c r="FZH114" s="182"/>
      <c r="FZI114" s="181"/>
      <c r="FZJ114" s="182"/>
      <c r="FZK114" s="181"/>
      <c r="FZL114" s="182"/>
      <c r="FZM114" s="181"/>
      <c r="FZN114" s="182"/>
      <c r="FZO114" s="181"/>
      <c r="FZP114" s="182"/>
      <c r="FZQ114" s="181"/>
      <c r="FZR114" s="182"/>
      <c r="FZS114" s="181"/>
      <c r="FZT114" s="182"/>
      <c r="FZU114" s="181"/>
      <c r="FZV114" s="182"/>
      <c r="FZW114" s="181"/>
      <c r="FZX114" s="182"/>
      <c r="FZY114" s="181"/>
      <c r="FZZ114" s="182"/>
      <c r="GAA114" s="181"/>
      <c r="GAB114" s="182"/>
      <c r="GAC114" s="181"/>
      <c r="GAD114" s="182"/>
      <c r="GAE114" s="181"/>
      <c r="GAF114" s="182"/>
      <c r="GAG114" s="181"/>
      <c r="GAH114" s="182"/>
      <c r="GAI114" s="181"/>
      <c r="GAJ114" s="182"/>
      <c r="GAK114" s="181"/>
      <c r="GAL114" s="182"/>
      <c r="GAM114" s="181"/>
      <c r="GAN114" s="182"/>
      <c r="GAO114" s="181"/>
      <c r="GAP114" s="182"/>
      <c r="GAQ114" s="181"/>
      <c r="GAR114" s="182"/>
      <c r="GAS114" s="181"/>
      <c r="GAT114" s="182"/>
      <c r="GAU114" s="181"/>
      <c r="GAV114" s="182"/>
      <c r="GAW114" s="181"/>
      <c r="GAX114" s="182"/>
      <c r="GAY114" s="181"/>
      <c r="GAZ114" s="182"/>
      <c r="GBA114" s="181"/>
      <c r="GBB114" s="182"/>
      <c r="GBC114" s="181"/>
      <c r="GBD114" s="182"/>
      <c r="GBE114" s="181"/>
      <c r="GBF114" s="182"/>
      <c r="GBG114" s="181"/>
      <c r="GBH114" s="182"/>
      <c r="GBI114" s="181"/>
      <c r="GBJ114" s="182"/>
      <c r="GBK114" s="181"/>
      <c r="GBL114" s="182"/>
      <c r="GBM114" s="181"/>
      <c r="GBN114" s="182"/>
      <c r="GBO114" s="181"/>
      <c r="GBP114" s="182"/>
      <c r="GBQ114" s="181"/>
      <c r="GBR114" s="182"/>
      <c r="GBS114" s="181"/>
      <c r="GBT114" s="182"/>
      <c r="GBU114" s="181"/>
      <c r="GBV114" s="182"/>
      <c r="GBW114" s="181"/>
      <c r="GBX114" s="182"/>
      <c r="GBY114" s="181"/>
      <c r="GBZ114" s="182"/>
      <c r="GCA114" s="181"/>
      <c r="GCB114" s="182"/>
      <c r="GCC114" s="181"/>
      <c r="GCD114" s="182"/>
      <c r="GCE114" s="181"/>
      <c r="GCF114" s="182"/>
      <c r="GCG114" s="181"/>
      <c r="GCH114" s="182"/>
      <c r="GCI114" s="181"/>
      <c r="GCJ114" s="182"/>
      <c r="GCK114" s="181"/>
      <c r="GCL114" s="182"/>
      <c r="GCM114" s="181"/>
      <c r="GCN114" s="182"/>
      <c r="GCO114" s="181"/>
      <c r="GCP114" s="182"/>
      <c r="GCQ114" s="181"/>
      <c r="GCR114" s="182"/>
      <c r="GCS114" s="181"/>
      <c r="GCT114" s="182"/>
      <c r="GCU114" s="181"/>
      <c r="GCV114" s="182"/>
      <c r="GCW114" s="181"/>
      <c r="GCX114" s="182"/>
      <c r="GCY114" s="181"/>
      <c r="GCZ114" s="182"/>
      <c r="GDA114" s="181"/>
      <c r="GDB114" s="182"/>
      <c r="GDC114" s="181"/>
      <c r="GDD114" s="182"/>
      <c r="GDE114" s="181"/>
      <c r="GDF114" s="182"/>
      <c r="GDG114" s="181"/>
      <c r="GDH114" s="182"/>
      <c r="GDI114" s="181"/>
      <c r="GDJ114" s="182"/>
      <c r="GDK114" s="181"/>
      <c r="GDL114" s="182"/>
      <c r="GDM114" s="181"/>
      <c r="GDN114" s="182"/>
      <c r="GDO114" s="181"/>
      <c r="GDP114" s="182"/>
      <c r="GDQ114" s="181"/>
      <c r="GDR114" s="182"/>
      <c r="GDS114" s="181"/>
      <c r="GDT114" s="182"/>
      <c r="GDU114" s="181"/>
      <c r="GDV114" s="182"/>
      <c r="GDW114" s="181"/>
      <c r="GDX114" s="182"/>
      <c r="GDY114" s="181"/>
      <c r="GDZ114" s="182"/>
      <c r="GEA114" s="181"/>
      <c r="GEB114" s="182"/>
      <c r="GEC114" s="181"/>
      <c r="GED114" s="182"/>
      <c r="GEE114" s="181"/>
      <c r="GEF114" s="182"/>
      <c r="GEG114" s="181"/>
      <c r="GEH114" s="182"/>
      <c r="GEI114" s="181"/>
      <c r="GEJ114" s="182"/>
      <c r="GEK114" s="181"/>
      <c r="GEL114" s="182"/>
      <c r="GEM114" s="181"/>
      <c r="GEN114" s="182"/>
      <c r="GEO114" s="181"/>
      <c r="GEP114" s="182"/>
      <c r="GEQ114" s="181"/>
      <c r="GER114" s="182"/>
      <c r="GES114" s="181"/>
      <c r="GET114" s="182"/>
      <c r="GEU114" s="181"/>
      <c r="GEV114" s="182"/>
      <c r="GEW114" s="181"/>
      <c r="GEX114" s="182"/>
      <c r="GEY114" s="181"/>
      <c r="GEZ114" s="182"/>
      <c r="GFA114" s="181"/>
      <c r="GFB114" s="182"/>
      <c r="GFC114" s="181"/>
      <c r="GFD114" s="182"/>
      <c r="GFE114" s="181"/>
      <c r="GFF114" s="182"/>
      <c r="GFG114" s="181"/>
      <c r="GFH114" s="182"/>
      <c r="GFI114" s="181"/>
      <c r="GFJ114" s="182"/>
      <c r="GFK114" s="181"/>
      <c r="GFL114" s="182"/>
      <c r="GFM114" s="181"/>
      <c r="GFN114" s="182"/>
      <c r="GFO114" s="181"/>
      <c r="GFP114" s="182"/>
      <c r="GFQ114" s="181"/>
      <c r="GFR114" s="182"/>
      <c r="GFS114" s="181"/>
      <c r="GFT114" s="182"/>
      <c r="GFU114" s="181"/>
      <c r="GFV114" s="182"/>
      <c r="GFW114" s="181"/>
      <c r="GFX114" s="182"/>
      <c r="GFY114" s="181"/>
      <c r="GFZ114" s="182"/>
      <c r="GGA114" s="181"/>
      <c r="GGB114" s="182"/>
      <c r="GGC114" s="181"/>
      <c r="GGD114" s="182"/>
      <c r="GGE114" s="181"/>
      <c r="GGF114" s="182"/>
      <c r="GGG114" s="181"/>
      <c r="GGH114" s="182"/>
      <c r="GGI114" s="181"/>
      <c r="GGJ114" s="182"/>
      <c r="GGK114" s="181"/>
      <c r="GGL114" s="182"/>
      <c r="GGM114" s="181"/>
      <c r="GGN114" s="182"/>
      <c r="GGO114" s="181"/>
      <c r="GGP114" s="182"/>
      <c r="GGQ114" s="181"/>
      <c r="GGR114" s="182"/>
      <c r="GGS114" s="181"/>
      <c r="GGT114" s="182"/>
      <c r="GGU114" s="181"/>
      <c r="GGV114" s="182"/>
      <c r="GGW114" s="181"/>
      <c r="GGX114" s="182"/>
      <c r="GGY114" s="181"/>
      <c r="GGZ114" s="182"/>
      <c r="GHA114" s="181"/>
      <c r="GHB114" s="182"/>
      <c r="GHC114" s="181"/>
      <c r="GHD114" s="182"/>
      <c r="GHE114" s="181"/>
      <c r="GHF114" s="182"/>
      <c r="GHG114" s="181"/>
      <c r="GHH114" s="182"/>
      <c r="GHI114" s="181"/>
      <c r="GHJ114" s="182"/>
      <c r="GHK114" s="181"/>
      <c r="GHL114" s="182"/>
      <c r="GHM114" s="181"/>
      <c r="GHN114" s="182"/>
      <c r="GHO114" s="181"/>
      <c r="GHP114" s="182"/>
      <c r="GHQ114" s="181"/>
      <c r="GHR114" s="182"/>
      <c r="GHS114" s="181"/>
      <c r="GHT114" s="182"/>
      <c r="GHU114" s="181"/>
      <c r="GHV114" s="182"/>
      <c r="GHW114" s="181"/>
      <c r="GHX114" s="182"/>
      <c r="GHY114" s="181"/>
      <c r="GHZ114" s="182"/>
      <c r="GIA114" s="181"/>
      <c r="GIB114" s="182"/>
      <c r="GIC114" s="181"/>
      <c r="GID114" s="182"/>
      <c r="GIE114" s="181"/>
      <c r="GIF114" s="182"/>
      <c r="GIG114" s="181"/>
      <c r="GIH114" s="182"/>
      <c r="GII114" s="181"/>
      <c r="GIJ114" s="182"/>
      <c r="GIK114" s="181"/>
      <c r="GIL114" s="182"/>
      <c r="GIM114" s="181"/>
      <c r="GIN114" s="182"/>
      <c r="GIO114" s="181"/>
      <c r="GIP114" s="182"/>
      <c r="GIQ114" s="181"/>
      <c r="GIR114" s="182"/>
      <c r="GIS114" s="181"/>
      <c r="GIT114" s="182"/>
      <c r="GIU114" s="181"/>
      <c r="GIV114" s="182"/>
      <c r="GIW114" s="181"/>
      <c r="GIX114" s="182"/>
      <c r="GIY114" s="181"/>
      <c r="GIZ114" s="182"/>
      <c r="GJA114" s="181"/>
      <c r="GJB114" s="182"/>
      <c r="GJC114" s="181"/>
      <c r="GJD114" s="182"/>
      <c r="GJE114" s="181"/>
      <c r="GJF114" s="182"/>
      <c r="GJG114" s="181"/>
      <c r="GJH114" s="182"/>
      <c r="GJI114" s="181"/>
      <c r="GJJ114" s="182"/>
      <c r="GJK114" s="181"/>
      <c r="GJL114" s="182"/>
      <c r="GJM114" s="181"/>
      <c r="GJN114" s="182"/>
      <c r="GJO114" s="181"/>
      <c r="GJP114" s="182"/>
      <c r="GJQ114" s="181"/>
      <c r="GJR114" s="182"/>
      <c r="GJS114" s="181"/>
      <c r="GJT114" s="182"/>
      <c r="GJU114" s="181"/>
      <c r="GJV114" s="182"/>
      <c r="GJW114" s="181"/>
      <c r="GJX114" s="182"/>
      <c r="GJY114" s="181"/>
      <c r="GJZ114" s="182"/>
      <c r="GKA114" s="181"/>
      <c r="GKB114" s="182"/>
      <c r="GKC114" s="181"/>
      <c r="GKD114" s="182"/>
      <c r="GKE114" s="181"/>
      <c r="GKF114" s="182"/>
      <c r="GKG114" s="181"/>
      <c r="GKH114" s="182"/>
      <c r="GKI114" s="181"/>
      <c r="GKJ114" s="182"/>
      <c r="GKK114" s="181"/>
      <c r="GKL114" s="182"/>
      <c r="GKM114" s="181"/>
      <c r="GKN114" s="182"/>
      <c r="GKO114" s="181"/>
      <c r="GKP114" s="182"/>
      <c r="GKQ114" s="181"/>
      <c r="GKR114" s="182"/>
      <c r="GKS114" s="181"/>
      <c r="GKT114" s="182"/>
      <c r="GKU114" s="181"/>
      <c r="GKV114" s="182"/>
      <c r="GKW114" s="181"/>
      <c r="GKX114" s="182"/>
      <c r="GKY114" s="181"/>
      <c r="GKZ114" s="182"/>
      <c r="GLA114" s="181"/>
      <c r="GLB114" s="182"/>
      <c r="GLC114" s="181"/>
      <c r="GLD114" s="182"/>
      <c r="GLE114" s="181"/>
      <c r="GLF114" s="182"/>
      <c r="GLG114" s="181"/>
      <c r="GLH114" s="182"/>
      <c r="GLI114" s="181"/>
      <c r="GLJ114" s="182"/>
      <c r="GLK114" s="181"/>
      <c r="GLL114" s="182"/>
      <c r="GLM114" s="181"/>
      <c r="GLN114" s="182"/>
      <c r="GLO114" s="181"/>
      <c r="GLP114" s="182"/>
      <c r="GLQ114" s="181"/>
      <c r="GLR114" s="182"/>
      <c r="GLS114" s="181"/>
      <c r="GLT114" s="182"/>
      <c r="GLU114" s="181"/>
      <c r="GLV114" s="182"/>
      <c r="GLW114" s="181"/>
      <c r="GLX114" s="182"/>
      <c r="GLY114" s="181"/>
      <c r="GLZ114" s="182"/>
      <c r="GMA114" s="181"/>
      <c r="GMB114" s="182"/>
      <c r="GMC114" s="181"/>
      <c r="GMD114" s="182"/>
      <c r="GME114" s="181"/>
      <c r="GMF114" s="182"/>
      <c r="GMG114" s="181"/>
      <c r="GMH114" s="182"/>
      <c r="GMI114" s="181"/>
      <c r="GMJ114" s="182"/>
      <c r="GMK114" s="181"/>
      <c r="GML114" s="182"/>
      <c r="GMM114" s="181"/>
      <c r="GMN114" s="182"/>
      <c r="GMO114" s="181"/>
      <c r="GMP114" s="182"/>
      <c r="GMQ114" s="181"/>
      <c r="GMR114" s="182"/>
      <c r="GMS114" s="181"/>
      <c r="GMT114" s="182"/>
      <c r="GMU114" s="181"/>
      <c r="GMV114" s="182"/>
      <c r="GMW114" s="181"/>
      <c r="GMX114" s="182"/>
      <c r="GMY114" s="181"/>
      <c r="GMZ114" s="182"/>
      <c r="GNA114" s="181"/>
      <c r="GNB114" s="182"/>
      <c r="GNC114" s="181"/>
      <c r="GND114" s="182"/>
      <c r="GNE114" s="181"/>
      <c r="GNF114" s="182"/>
      <c r="GNG114" s="181"/>
      <c r="GNH114" s="182"/>
      <c r="GNI114" s="181"/>
      <c r="GNJ114" s="182"/>
      <c r="GNK114" s="181"/>
      <c r="GNL114" s="182"/>
      <c r="GNM114" s="181"/>
      <c r="GNN114" s="182"/>
      <c r="GNO114" s="181"/>
      <c r="GNP114" s="182"/>
      <c r="GNQ114" s="181"/>
      <c r="GNR114" s="182"/>
      <c r="GNS114" s="181"/>
      <c r="GNT114" s="182"/>
      <c r="GNU114" s="181"/>
      <c r="GNV114" s="182"/>
      <c r="GNW114" s="181"/>
      <c r="GNX114" s="182"/>
      <c r="GNY114" s="181"/>
      <c r="GNZ114" s="182"/>
      <c r="GOA114" s="181"/>
      <c r="GOB114" s="182"/>
      <c r="GOC114" s="181"/>
      <c r="GOD114" s="182"/>
      <c r="GOE114" s="181"/>
      <c r="GOF114" s="182"/>
      <c r="GOG114" s="181"/>
      <c r="GOH114" s="182"/>
      <c r="GOI114" s="181"/>
      <c r="GOJ114" s="182"/>
      <c r="GOK114" s="181"/>
      <c r="GOL114" s="182"/>
      <c r="GOM114" s="181"/>
      <c r="GON114" s="182"/>
      <c r="GOO114" s="181"/>
      <c r="GOP114" s="182"/>
      <c r="GOQ114" s="181"/>
      <c r="GOR114" s="182"/>
      <c r="GOS114" s="181"/>
      <c r="GOT114" s="182"/>
      <c r="GOU114" s="181"/>
      <c r="GOV114" s="182"/>
      <c r="GOW114" s="181"/>
      <c r="GOX114" s="182"/>
      <c r="GOY114" s="181"/>
      <c r="GOZ114" s="182"/>
      <c r="GPA114" s="181"/>
      <c r="GPB114" s="182"/>
      <c r="GPC114" s="181"/>
      <c r="GPD114" s="182"/>
      <c r="GPE114" s="181"/>
      <c r="GPF114" s="182"/>
      <c r="GPG114" s="181"/>
      <c r="GPH114" s="182"/>
      <c r="GPI114" s="181"/>
      <c r="GPJ114" s="182"/>
      <c r="GPK114" s="181"/>
      <c r="GPL114" s="182"/>
      <c r="GPM114" s="181"/>
      <c r="GPN114" s="182"/>
      <c r="GPO114" s="181"/>
      <c r="GPP114" s="182"/>
      <c r="GPQ114" s="181"/>
      <c r="GPR114" s="182"/>
      <c r="GPS114" s="181"/>
      <c r="GPT114" s="182"/>
      <c r="GPU114" s="181"/>
      <c r="GPV114" s="182"/>
      <c r="GPW114" s="181"/>
      <c r="GPX114" s="182"/>
      <c r="GPY114" s="181"/>
      <c r="GPZ114" s="182"/>
      <c r="GQA114" s="181"/>
      <c r="GQB114" s="182"/>
      <c r="GQC114" s="181"/>
      <c r="GQD114" s="182"/>
      <c r="GQE114" s="181"/>
      <c r="GQF114" s="182"/>
      <c r="GQG114" s="181"/>
      <c r="GQH114" s="182"/>
      <c r="GQI114" s="181"/>
      <c r="GQJ114" s="182"/>
      <c r="GQK114" s="181"/>
      <c r="GQL114" s="182"/>
      <c r="GQM114" s="181"/>
      <c r="GQN114" s="182"/>
      <c r="GQO114" s="181"/>
      <c r="GQP114" s="182"/>
      <c r="GQQ114" s="181"/>
      <c r="GQR114" s="182"/>
      <c r="GQS114" s="181"/>
      <c r="GQT114" s="182"/>
      <c r="GQU114" s="181"/>
      <c r="GQV114" s="182"/>
      <c r="GQW114" s="181"/>
      <c r="GQX114" s="182"/>
      <c r="GQY114" s="181"/>
      <c r="GQZ114" s="182"/>
      <c r="GRA114" s="181"/>
      <c r="GRB114" s="182"/>
      <c r="GRC114" s="181"/>
      <c r="GRD114" s="182"/>
      <c r="GRE114" s="181"/>
      <c r="GRF114" s="182"/>
      <c r="GRG114" s="181"/>
      <c r="GRH114" s="182"/>
      <c r="GRI114" s="181"/>
      <c r="GRJ114" s="182"/>
      <c r="GRK114" s="181"/>
      <c r="GRL114" s="182"/>
      <c r="GRM114" s="181"/>
      <c r="GRN114" s="182"/>
      <c r="GRO114" s="181"/>
      <c r="GRP114" s="182"/>
      <c r="GRQ114" s="181"/>
      <c r="GRR114" s="182"/>
      <c r="GRS114" s="181"/>
      <c r="GRT114" s="182"/>
      <c r="GRU114" s="181"/>
      <c r="GRV114" s="182"/>
      <c r="GRW114" s="181"/>
      <c r="GRX114" s="182"/>
      <c r="GRY114" s="181"/>
      <c r="GRZ114" s="182"/>
      <c r="GSA114" s="181"/>
      <c r="GSB114" s="182"/>
      <c r="GSC114" s="181"/>
      <c r="GSD114" s="182"/>
      <c r="GSE114" s="181"/>
      <c r="GSF114" s="182"/>
      <c r="GSG114" s="181"/>
      <c r="GSH114" s="182"/>
      <c r="GSI114" s="181"/>
      <c r="GSJ114" s="182"/>
      <c r="GSK114" s="181"/>
      <c r="GSL114" s="182"/>
      <c r="GSM114" s="181"/>
      <c r="GSN114" s="182"/>
      <c r="GSO114" s="181"/>
      <c r="GSP114" s="182"/>
      <c r="GSQ114" s="181"/>
      <c r="GSR114" s="182"/>
      <c r="GSS114" s="181"/>
      <c r="GST114" s="182"/>
      <c r="GSU114" s="181"/>
      <c r="GSV114" s="182"/>
      <c r="GSW114" s="181"/>
      <c r="GSX114" s="182"/>
      <c r="GSY114" s="181"/>
      <c r="GSZ114" s="182"/>
      <c r="GTA114" s="181"/>
      <c r="GTB114" s="182"/>
      <c r="GTC114" s="181"/>
      <c r="GTD114" s="182"/>
      <c r="GTE114" s="181"/>
      <c r="GTF114" s="182"/>
      <c r="GTG114" s="181"/>
      <c r="GTH114" s="182"/>
      <c r="GTI114" s="181"/>
      <c r="GTJ114" s="182"/>
      <c r="GTK114" s="181"/>
      <c r="GTL114" s="182"/>
      <c r="GTM114" s="181"/>
      <c r="GTN114" s="182"/>
      <c r="GTO114" s="181"/>
      <c r="GTP114" s="182"/>
      <c r="GTQ114" s="181"/>
      <c r="GTR114" s="182"/>
      <c r="GTS114" s="181"/>
      <c r="GTT114" s="182"/>
      <c r="GTU114" s="181"/>
      <c r="GTV114" s="182"/>
      <c r="GTW114" s="181"/>
      <c r="GTX114" s="182"/>
      <c r="GTY114" s="181"/>
      <c r="GTZ114" s="182"/>
      <c r="GUA114" s="181"/>
      <c r="GUB114" s="182"/>
      <c r="GUC114" s="181"/>
      <c r="GUD114" s="182"/>
      <c r="GUE114" s="181"/>
      <c r="GUF114" s="182"/>
      <c r="GUG114" s="181"/>
      <c r="GUH114" s="182"/>
      <c r="GUI114" s="181"/>
      <c r="GUJ114" s="182"/>
      <c r="GUK114" s="181"/>
      <c r="GUL114" s="182"/>
      <c r="GUM114" s="181"/>
      <c r="GUN114" s="182"/>
      <c r="GUO114" s="181"/>
      <c r="GUP114" s="182"/>
      <c r="GUQ114" s="181"/>
      <c r="GUR114" s="182"/>
      <c r="GUS114" s="181"/>
      <c r="GUT114" s="182"/>
      <c r="GUU114" s="181"/>
      <c r="GUV114" s="182"/>
      <c r="GUW114" s="181"/>
      <c r="GUX114" s="182"/>
      <c r="GUY114" s="181"/>
      <c r="GUZ114" s="182"/>
      <c r="GVA114" s="181"/>
      <c r="GVB114" s="182"/>
      <c r="GVC114" s="181"/>
      <c r="GVD114" s="182"/>
      <c r="GVE114" s="181"/>
      <c r="GVF114" s="182"/>
      <c r="GVG114" s="181"/>
      <c r="GVH114" s="182"/>
      <c r="GVI114" s="181"/>
      <c r="GVJ114" s="182"/>
      <c r="GVK114" s="181"/>
      <c r="GVL114" s="182"/>
      <c r="GVM114" s="181"/>
      <c r="GVN114" s="182"/>
      <c r="GVO114" s="181"/>
      <c r="GVP114" s="182"/>
      <c r="GVQ114" s="181"/>
      <c r="GVR114" s="182"/>
      <c r="GVS114" s="181"/>
      <c r="GVT114" s="182"/>
      <c r="GVU114" s="181"/>
      <c r="GVV114" s="182"/>
      <c r="GVW114" s="181"/>
      <c r="GVX114" s="182"/>
      <c r="GVY114" s="181"/>
      <c r="GVZ114" s="182"/>
      <c r="GWA114" s="181"/>
      <c r="GWB114" s="182"/>
      <c r="GWC114" s="181"/>
      <c r="GWD114" s="182"/>
      <c r="GWE114" s="181"/>
      <c r="GWF114" s="182"/>
      <c r="GWG114" s="181"/>
      <c r="GWH114" s="182"/>
      <c r="GWI114" s="181"/>
      <c r="GWJ114" s="182"/>
      <c r="GWK114" s="181"/>
      <c r="GWL114" s="182"/>
      <c r="GWM114" s="181"/>
      <c r="GWN114" s="182"/>
      <c r="GWO114" s="181"/>
      <c r="GWP114" s="182"/>
      <c r="GWQ114" s="181"/>
      <c r="GWR114" s="182"/>
      <c r="GWS114" s="181"/>
      <c r="GWT114" s="182"/>
      <c r="GWU114" s="181"/>
      <c r="GWV114" s="182"/>
      <c r="GWW114" s="181"/>
      <c r="GWX114" s="182"/>
      <c r="GWY114" s="181"/>
      <c r="GWZ114" s="182"/>
      <c r="GXA114" s="181"/>
      <c r="GXB114" s="182"/>
      <c r="GXC114" s="181"/>
      <c r="GXD114" s="182"/>
      <c r="GXE114" s="181"/>
      <c r="GXF114" s="182"/>
      <c r="GXG114" s="181"/>
      <c r="GXH114" s="182"/>
      <c r="GXI114" s="181"/>
      <c r="GXJ114" s="182"/>
      <c r="GXK114" s="181"/>
      <c r="GXL114" s="182"/>
      <c r="GXM114" s="181"/>
      <c r="GXN114" s="182"/>
      <c r="GXO114" s="181"/>
      <c r="GXP114" s="182"/>
      <c r="GXQ114" s="181"/>
      <c r="GXR114" s="182"/>
      <c r="GXS114" s="181"/>
      <c r="GXT114" s="182"/>
      <c r="GXU114" s="181"/>
      <c r="GXV114" s="182"/>
      <c r="GXW114" s="181"/>
      <c r="GXX114" s="182"/>
      <c r="GXY114" s="181"/>
      <c r="GXZ114" s="182"/>
      <c r="GYA114" s="181"/>
      <c r="GYB114" s="182"/>
      <c r="GYC114" s="181"/>
      <c r="GYD114" s="182"/>
      <c r="GYE114" s="181"/>
      <c r="GYF114" s="182"/>
      <c r="GYG114" s="181"/>
      <c r="GYH114" s="182"/>
      <c r="GYI114" s="181"/>
      <c r="GYJ114" s="182"/>
      <c r="GYK114" s="181"/>
      <c r="GYL114" s="182"/>
      <c r="GYM114" s="181"/>
      <c r="GYN114" s="182"/>
      <c r="GYO114" s="181"/>
      <c r="GYP114" s="182"/>
      <c r="GYQ114" s="181"/>
      <c r="GYR114" s="182"/>
      <c r="GYS114" s="181"/>
      <c r="GYT114" s="182"/>
      <c r="GYU114" s="181"/>
      <c r="GYV114" s="182"/>
      <c r="GYW114" s="181"/>
      <c r="GYX114" s="182"/>
      <c r="GYY114" s="181"/>
      <c r="GYZ114" s="182"/>
      <c r="GZA114" s="181"/>
      <c r="GZB114" s="182"/>
      <c r="GZC114" s="181"/>
      <c r="GZD114" s="182"/>
      <c r="GZE114" s="181"/>
      <c r="GZF114" s="182"/>
      <c r="GZG114" s="181"/>
      <c r="GZH114" s="182"/>
      <c r="GZI114" s="181"/>
      <c r="GZJ114" s="182"/>
      <c r="GZK114" s="181"/>
      <c r="GZL114" s="182"/>
      <c r="GZM114" s="181"/>
      <c r="GZN114" s="182"/>
      <c r="GZO114" s="181"/>
      <c r="GZP114" s="182"/>
      <c r="GZQ114" s="181"/>
      <c r="GZR114" s="182"/>
      <c r="GZS114" s="181"/>
      <c r="GZT114" s="182"/>
      <c r="GZU114" s="181"/>
      <c r="GZV114" s="182"/>
      <c r="GZW114" s="181"/>
      <c r="GZX114" s="182"/>
      <c r="GZY114" s="181"/>
      <c r="GZZ114" s="182"/>
      <c r="HAA114" s="181"/>
      <c r="HAB114" s="182"/>
      <c r="HAC114" s="181"/>
      <c r="HAD114" s="182"/>
      <c r="HAE114" s="181"/>
      <c r="HAF114" s="182"/>
      <c r="HAG114" s="181"/>
      <c r="HAH114" s="182"/>
      <c r="HAI114" s="181"/>
      <c r="HAJ114" s="182"/>
      <c r="HAK114" s="181"/>
      <c r="HAL114" s="182"/>
      <c r="HAM114" s="181"/>
      <c r="HAN114" s="182"/>
      <c r="HAO114" s="181"/>
      <c r="HAP114" s="182"/>
      <c r="HAQ114" s="181"/>
      <c r="HAR114" s="182"/>
      <c r="HAS114" s="181"/>
      <c r="HAT114" s="182"/>
      <c r="HAU114" s="181"/>
      <c r="HAV114" s="182"/>
      <c r="HAW114" s="181"/>
      <c r="HAX114" s="182"/>
      <c r="HAY114" s="181"/>
      <c r="HAZ114" s="182"/>
      <c r="HBA114" s="181"/>
      <c r="HBB114" s="182"/>
      <c r="HBC114" s="181"/>
      <c r="HBD114" s="182"/>
      <c r="HBE114" s="181"/>
      <c r="HBF114" s="182"/>
      <c r="HBG114" s="181"/>
      <c r="HBH114" s="182"/>
      <c r="HBI114" s="181"/>
      <c r="HBJ114" s="182"/>
      <c r="HBK114" s="181"/>
      <c r="HBL114" s="182"/>
      <c r="HBM114" s="181"/>
      <c r="HBN114" s="182"/>
      <c r="HBO114" s="181"/>
      <c r="HBP114" s="182"/>
      <c r="HBQ114" s="181"/>
      <c r="HBR114" s="182"/>
      <c r="HBS114" s="181"/>
      <c r="HBT114" s="182"/>
      <c r="HBU114" s="181"/>
      <c r="HBV114" s="182"/>
      <c r="HBW114" s="181"/>
      <c r="HBX114" s="182"/>
      <c r="HBY114" s="181"/>
      <c r="HBZ114" s="182"/>
      <c r="HCA114" s="181"/>
      <c r="HCB114" s="182"/>
      <c r="HCC114" s="181"/>
      <c r="HCD114" s="182"/>
      <c r="HCE114" s="181"/>
      <c r="HCF114" s="182"/>
      <c r="HCG114" s="181"/>
      <c r="HCH114" s="182"/>
      <c r="HCI114" s="181"/>
      <c r="HCJ114" s="182"/>
      <c r="HCK114" s="181"/>
      <c r="HCL114" s="182"/>
      <c r="HCM114" s="181"/>
      <c r="HCN114" s="182"/>
      <c r="HCO114" s="181"/>
      <c r="HCP114" s="182"/>
      <c r="HCQ114" s="181"/>
      <c r="HCR114" s="182"/>
      <c r="HCS114" s="181"/>
      <c r="HCT114" s="182"/>
      <c r="HCU114" s="181"/>
      <c r="HCV114" s="182"/>
      <c r="HCW114" s="181"/>
      <c r="HCX114" s="182"/>
      <c r="HCY114" s="181"/>
      <c r="HCZ114" s="182"/>
      <c r="HDA114" s="181"/>
      <c r="HDB114" s="182"/>
      <c r="HDC114" s="181"/>
      <c r="HDD114" s="182"/>
      <c r="HDE114" s="181"/>
      <c r="HDF114" s="182"/>
      <c r="HDG114" s="181"/>
      <c r="HDH114" s="182"/>
      <c r="HDI114" s="181"/>
      <c r="HDJ114" s="182"/>
      <c r="HDK114" s="181"/>
      <c r="HDL114" s="182"/>
      <c r="HDM114" s="181"/>
      <c r="HDN114" s="182"/>
      <c r="HDO114" s="181"/>
      <c r="HDP114" s="182"/>
      <c r="HDQ114" s="181"/>
      <c r="HDR114" s="182"/>
      <c r="HDS114" s="181"/>
      <c r="HDT114" s="182"/>
      <c r="HDU114" s="181"/>
      <c r="HDV114" s="182"/>
      <c r="HDW114" s="181"/>
      <c r="HDX114" s="182"/>
      <c r="HDY114" s="181"/>
      <c r="HDZ114" s="182"/>
      <c r="HEA114" s="181"/>
      <c r="HEB114" s="182"/>
      <c r="HEC114" s="181"/>
      <c r="HED114" s="182"/>
      <c r="HEE114" s="181"/>
      <c r="HEF114" s="182"/>
      <c r="HEG114" s="181"/>
      <c r="HEH114" s="182"/>
      <c r="HEI114" s="181"/>
      <c r="HEJ114" s="182"/>
      <c r="HEK114" s="181"/>
      <c r="HEL114" s="182"/>
      <c r="HEM114" s="181"/>
      <c r="HEN114" s="182"/>
      <c r="HEO114" s="181"/>
      <c r="HEP114" s="182"/>
      <c r="HEQ114" s="181"/>
      <c r="HER114" s="182"/>
      <c r="HES114" s="181"/>
      <c r="HET114" s="182"/>
      <c r="HEU114" s="181"/>
      <c r="HEV114" s="182"/>
      <c r="HEW114" s="181"/>
      <c r="HEX114" s="182"/>
      <c r="HEY114" s="181"/>
      <c r="HEZ114" s="182"/>
      <c r="HFA114" s="181"/>
      <c r="HFB114" s="182"/>
      <c r="HFC114" s="181"/>
      <c r="HFD114" s="182"/>
      <c r="HFE114" s="181"/>
      <c r="HFF114" s="182"/>
      <c r="HFG114" s="181"/>
      <c r="HFH114" s="182"/>
      <c r="HFI114" s="181"/>
      <c r="HFJ114" s="182"/>
      <c r="HFK114" s="181"/>
      <c r="HFL114" s="182"/>
      <c r="HFM114" s="181"/>
      <c r="HFN114" s="182"/>
      <c r="HFO114" s="181"/>
      <c r="HFP114" s="182"/>
      <c r="HFQ114" s="181"/>
      <c r="HFR114" s="182"/>
      <c r="HFS114" s="181"/>
      <c r="HFT114" s="182"/>
      <c r="HFU114" s="181"/>
      <c r="HFV114" s="182"/>
      <c r="HFW114" s="181"/>
      <c r="HFX114" s="182"/>
      <c r="HFY114" s="181"/>
      <c r="HFZ114" s="182"/>
      <c r="HGA114" s="181"/>
      <c r="HGB114" s="182"/>
      <c r="HGC114" s="181"/>
      <c r="HGD114" s="182"/>
      <c r="HGE114" s="181"/>
      <c r="HGF114" s="182"/>
      <c r="HGG114" s="181"/>
      <c r="HGH114" s="182"/>
      <c r="HGI114" s="181"/>
      <c r="HGJ114" s="182"/>
      <c r="HGK114" s="181"/>
      <c r="HGL114" s="182"/>
      <c r="HGM114" s="181"/>
      <c r="HGN114" s="182"/>
      <c r="HGO114" s="181"/>
      <c r="HGP114" s="182"/>
      <c r="HGQ114" s="181"/>
      <c r="HGR114" s="182"/>
      <c r="HGS114" s="181"/>
      <c r="HGT114" s="182"/>
      <c r="HGU114" s="181"/>
      <c r="HGV114" s="182"/>
      <c r="HGW114" s="181"/>
      <c r="HGX114" s="182"/>
      <c r="HGY114" s="181"/>
      <c r="HGZ114" s="182"/>
      <c r="HHA114" s="181"/>
      <c r="HHB114" s="182"/>
      <c r="HHC114" s="181"/>
      <c r="HHD114" s="182"/>
      <c r="HHE114" s="181"/>
      <c r="HHF114" s="182"/>
      <c r="HHG114" s="181"/>
      <c r="HHH114" s="182"/>
      <c r="HHI114" s="181"/>
      <c r="HHJ114" s="182"/>
      <c r="HHK114" s="181"/>
      <c r="HHL114" s="182"/>
      <c r="HHM114" s="181"/>
      <c r="HHN114" s="182"/>
      <c r="HHO114" s="181"/>
      <c r="HHP114" s="182"/>
      <c r="HHQ114" s="181"/>
      <c r="HHR114" s="182"/>
      <c r="HHS114" s="181"/>
      <c r="HHT114" s="182"/>
      <c r="HHU114" s="181"/>
      <c r="HHV114" s="182"/>
      <c r="HHW114" s="181"/>
      <c r="HHX114" s="182"/>
      <c r="HHY114" s="181"/>
      <c r="HHZ114" s="182"/>
      <c r="HIA114" s="181"/>
      <c r="HIB114" s="182"/>
      <c r="HIC114" s="181"/>
      <c r="HID114" s="182"/>
      <c r="HIE114" s="181"/>
      <c r="HIF114" s="182"/>
      <c r="HIG114" s="181"/>
      <c r="HIH114" s="182"/>
      <c r="HII114" s="181"/>
      <c r="HIJ114" s="182"/>
      <c r="HIK114" s="181"/>
      <c r="HIL114" s="182"/>
      <c r="HIM114" s="181"/>
      <c r="HIN114" s="182"/>
      <c r="HIO114" s="181"/>
      <c r="HIP114" s="182"/>
      <c r="HIQ114" s="181"/>
      <c r="HIR114" s="182"/>
      <c r="HIS114" s="181"/>
      <c r="HIT114" s="182"/>
      <c r="HIU114" s="181"/>
      <c r="HIV114" s="182"/>
      <c r="HIW114" s="181"/>
      <c r="HIX114" s="182"/>
      <c r="HIY114" s="181"/>
      <c r="HIZ114" s="182"/>
      <c r="HJA114" s="181"/>
      <c r="HJB114" s="182"/>
      <c r="HJC114" s="181"/>
      <c r="HJD114" s="182"/>
      <c r="HJE114" s="181"/>
      <c r="HJF114" s="182"/>
      <c r="HJG114" s="181"/>
      <c r="HJH114" s="182"/>
      <c r="HJI114" s="181"/>
      <c r="HJJ114" s="182"/>
      <c r="HJK114" s="181"/>
      <c r="HJL114" s="182"/>
      <c r="HJM114" s="181"/>
      <c r="HJN114" s="182"/>
      <c r="HJO114" s="181"/>
      <c r="HJP114" s="182"/>
      <c r="HJQ114" s="181"/>
      <c r="HJR114" s="182"/>
      <c r="HJS114" s="181"/>
      <c r="HJT114" s="182"/>
      <c r="HJU114" s="181"/>
      <c r="HJV114" s="182"/>
      <c r="HJW114" s="181"/>
      <c r="HJX114" s="182"/>
      <c r="HJY114" s="181"/>
      <c r="HJZ114" s="182"/>
      <c r="HKA114" s="181"/>
      <c r="HKB114" s="182"/>
      <c r="HKC114" s="181"/>
      <c r="HKD114" s="182"/>
      <c r="HKE114" s="181"/>
      <c r="HKF114" s="182"/>
      <c r="HKG114" s="181"/>
      <c r="HKH114" s="182"/>
      <c r="HKI114" s="181"/>
      <c r="HKJ114" s="182"/>
      <c r="HKK114" s="181"/>
      <c r="HKL114" s="182"/>
      <c r="HKM114" s="181"/>
      <c r="HKN114" s="182"/>
      <c r="HKO114" s="181"/>
      <c r="HKP114" s="182"/>
      <c r="HKQ114" s="181"/>
      <c r="HKR114" s="182"/>
      <c r="HKS114" s="181"/>
      <c r="HKT114" s="182"/>
      <c r="HKU114" s="181"/>
      <c r="HKV114" s="182"/>
      <c r="HKW114" s="181"/>
      <c r="HKX114" s="182"/>
      <c r="HKY114" s="181"/>
      <c r="HKZ114" s="182"/>
      <c r="HLA114" s="181"/>
      <c r="HLB114" s="182"/>
      <c r="HLC114" s="181"/>
      <c r="HLD114" s="182"/>
      <c r="HLE114" s="181"/>
      <c r="HLF114" s="182"/>
      <c r="HLG114" s="181"/>
      <c r="HLH114" s="182"/>
      <c r="HLI114" s="181"/>
      <c r="HLJ114" s="182"/>
      <c r="HLK114" s="181"/>
      <c r="HLL114" s="182"/>
      <c r="HLM114" s="181"/>
      <c r="HLN114" s="182"/>
      <c r="HLO114" s="181"/>
      <c r="HLP114" s="182"/>
      <c r="HLQ114" s="181"/>
      <c r="HLR114" s="182"/>
      <c r="HLS114" s="181"/>
      <c r="HLT114" s="182"/>
      <c r="HLU114" s="181"/>
      <c r="HLV114" s="182"/>
      <c r="HLW114" s="181"/>
      <c r="HLX114" s="182"/>
      <c r="HLY114" s="181"/>
      <c r="HLZ114" s="182"/>
      <c r="HMA114" s="181"/>
      <c r="HMB114" s="182"/>
      <c r="HMC114" s="181"/>
      <c r="HMD114" s="182"/>
      <c r="HME114" s="181"/>
      <c r="HMF114" s="182"/>
      <c r="HMG114" s="181"/>
      <c r="HMH114" s="182"/>
      <c r="HMI114" s="181"/>
      <c r="HMJ114" s="182"/>
      <c r="HMK114" s="181"/>
      <c r="HML114" s="182"/>
      <c r="HMM114" s="181"/>
      <c r="HMN114" s="182"/>
      <c r="HMO114" s="181"/>
      <c r="HMP114" s="182"/>
      <c r="HMQ114" s="181"/>
      <c r="HMR114" s="182"/>
      <c r="HMS114" s="181"/>
      <c r="HMT114" s="182"/>
      <c r="HMU114" s="181"/>
      <c r="HMV114" s="182"/>
      <c r="HMW114" s="181"/>
      <c r="HMX114" s="182"/>
      <c r="HMY114" s="181"/>
      <c r="HMZ114" s="182"/>
      <c r="HNA114" s="181"/>
      <c r="HNB114" s="182"/>
      <c r="HNC114" s="181"/>
      <c r="HND114" s="182"/>
      <c r="HNE114" s="181"/>
      <c r="HNF114" s="182"/>
      <c r="HNG114" s="181"/>
      <c r="HNH114" s="182"/>
      <c r="HNI114" s="181"/>
      <c r="HNJ114" s="182"/>
      <c r="HNK114" s="181"/>
      <c r="HNL114" s="182"/>
      <c r="HNM114" s="181"/>
      <c r="HNN114" s="182"/>
      <c r="HNO114" s="181"/>
      <c r="HNP114" s="182"/>
      <c r="HNQ114" s="181"/>
      <c r="HNR114" s="182"/>
      <c r="HNS114" s="181"/>
      <c r="HNT114" s="182"/>
      <c r="HNU114" s="181"/>
      <c r="HNV114" s="182"/>
      <c r="HNW114" s="181"/>
      <c r="HNX114" s="182"/>
      <c r="HNY114" s="181"/>
      <c r="HNZ114" s="182"/>
      <c r="HOA114" s="181"/>
      <c r="HOB114" s="182"/>
      <c r="HOC114" s="181"/>
      <c r="HOD114" s="182"/>
      <c r="HOE114" s="181"/>
      <c r="HOF114" s="182"/>
      <c r="HOG114" s="181"/>
      <c r="HOH114" s="182"/>
      <c r="HOI114" s="181"/>
      <c r="HOJ114" s="182"/>
      <c r="HOK114" s="181"/>
      <c r="HOL114" s="182"/>
      <c r="HOM114" s="181"/>
      <c r="HON114" s="182"/>
      <c r="HOO114" s="181"/>
      <c r="HOP114" s="182"/>
      <c r="HOQ114" s="181"/>
      <c r="HOR114" s="182"/>
      <c r="HOS114" s="181"/>
      <c r="HOT114" s="182"/>
      <c r="HOU114" s="181"/>
      <c r="HOV114" s="182"/>
      <c r="HOW114" s="181"/>
      <c r="HOX114" s="182"/>
      <c r="HOY114" s="181"/>
      <c r="HOZ114" s="182"/>
      <c r="HPA114" s="181"/>
      <c r="HPB114" s="182"/>
      <c r="HPC114" s="181"/>
      <c r="HPD114" s="182"/>
      <c r="HPE114" s="181"/>
      <c r="HPF114" s="182"/>
      <c r="HPG114" s="181"/>
      <c r="HPH114" s="182"/>
      <c r="HPI114" s="181"/>
      <c r="HPJ114" s="182"/>
      <c r="HPK114" s="181"/>
      <c r="HPL114" s="182"/>
      <c r="HPM114" s="181"/>
      <c r="HPN114" s="182"/>
      <c r="HPO114" s="181"/>
      <c r="HPP114" s="182"/>
      <c r="HPQ114" s="181"/>
      <c r="HPR114" s="182"/>
      <c r="HPS114" s="181"/>
      <c r="HPT114" s="182"/>
      <c r="HPU114" s="181"/>
      <c r="HPV114" s="182"/>
      <c r="HPW114" s="181"/>
      <c r="HPX114" s="182"/>
      <c r="HPY114" s="181"/>
      <c r="HPZ114" s="182"/>
      <c r="HQA114" s="181"/>
      <c r="HQB114" s="182"/>
      <c r="HQC114" s="181"/>
      <c r="HQD114" s="182"/>
      <c r="HQE114" s="181"/>
      <c r="HQF114" s="182"/>
      <c r="HQG114" s="181"/>
      <c r="HQH114" s="182"/>
      <c r="HQI114" s="181"/>
      <c r="HQJ114" s="182"/>
      <c r="HQK114" s="181"/>
      <c r="HQL114" s="182"/>
      <c r="HQM114" s="181"/>
      <c r="HQN114" s="182"/>
      <c r="HQO114" s="181"/>
      <c r="HQP114" s="182"/>
      <c r="HQQ114" s="181"/>
      <c r="HQR114" s="182"/>
      <c r="HQS114" s="181"/>
      <c r="HQT114" s="182"/>
      <c r="HQU114" s="181"/>
      <c r="HQV114" s="182"/>
      <c r="HQW114" s="181"/>
      <c r="HQX114" s="182"/>
      <c r="HQY114" s="181"/>
      <c r="HQZ114" s="182"/>
      <c r="HRA114" s="181"/>
      <c r="HRB114" s="182"/>
      <c r="HRC114" s="181"/>
      <c r="HRD114" s="182"/>
      <c r="HRE114" s="181"/>
      <c r="HRF114" s="182"/>
      <c r="HRG114" s="181"/>
      <c r="HRH114" s="182"/>
      <c r="HRI114" s="181"/>
      <c r="HRJ114" s="182"/>
      <c r="HRK114" s="181"/>
      <c r="HRL114" s="182"/>
      <c r="HRM114" s="181"/>
      <c r="HRN114" s="182"/>
      <c r="HRO114" s="181"/>
      <c r="HRP114" s="182"/>
      <c r="HRQ114" s="181"/>
      <c r="HRR114" s="182"/>
      <c r="HRS114" s="181"/>
      <c r="HRT114" s="182"/>
      <c r="HRU114" s="181"/>
      <c r="HRV114" s="182"/>
      <c r="HRW114" s="181"/>
      <c r="HRX114" s="182"/>
      <c r="HRY114" s="181"/>
      <c r="HRZ114" s="182"/>
      <c r="HSA114" s="181"/>
      <c r="HSB114" s="182"/>
      <c r="HSC114" s="181"/>
      <c r="HSD114" s="182"/>
      <c r="HSE114" s="181"/>
      <c r="HSF114" s="182"/>
      <c r="HSG114" s="181"/>
      <c r="HSH114" s="182"/>
      <c r="HSI114" s="181"/>
      <c r="HSJ114" s="182"/>
      <c r="HSK114" s="181"/>
      <c r="HSL114" s="182"/>
      <c r="HSM114" s="181"/>
      <c r="HSN114" s="182"/>
      <c r="HSO114" s="181"/>
      <c r="HSP114" s="182"/>
      <c r="HSQ114" s="181"/>
      <c r="HSR114" s="182"/>
      <c r="HSS114" s="181"/>
      <c r="HST114" s="182"/>
      <c r="HSU114" s="181"/>
      <c r="HSV114" s="182"/>
      <c r="HSW114" s="181"/>
      <c r="HSX114" s="182"/>
      <c r="HSY114" s="181"/>
      <c r="HSZ114" s="182"/>
      <c r="HTA114" s="181"/>
      <c r="HTB114" s="182"/>
      <c r="HTC114" s="181"/>
      <c r="HTD114" s="182"/>
      <c r="HTE114" s="181"/>
      <c r="HTF114" s="182"/>
      <c r="HTG114" s="181"/>
      <c r="HTH114" s="182"/>
      <c r="HTI114" s="181"/>
      <c r="HTJ114" s="182"/>
      <c r="HTK114" s="181"/>
      <c r="HTL114" s="182"/>
      <c r="HTM114" s="181"/>
      <c r="HTN114" s="182"/>
      <c r="HTO114" s="181"/>
      <c r="HTP114" s="182"/>
      <c r="HTQ114" s="181"/>
      <c r="HTR114" s="182"/>
      <c r="HTS114" s="181"/>
      <c r="HTT114" s="182"/>
      <c r="HTU114" s="181"/>
      <c r="HTV114" s="182"/>
      <c r="HTW114" s="181"/>
      <c r="HTX114" s="182"/>
      <c r="HTY114" s="181"/>
      <c r="HTZ114" s="182"/>
      <c r="HUA114" s="181"/>
      <c r="HUB114" s="182"/>
      <c r="HUC114" s="181"/>
      <c r="HUD114" s="182"/>
      <c r="HUE114" s="181"/>
      <c r="HUF114" s="182"/>
      <c r="HUG114" s="181"/>
      <c r="HUH114" s="182"/>
      <c r="HUI114" s="181"/>
      <c r="HUJ114" s="182"/>
      <c r="HUK114" s="181"/>
      <c r="HUL114" s="182"/>
      <c r="HUM114" s="181"/>
      <c r="HUN114" s="182"/>
      <c r="HUO114" s="181"/>
      <c r="HUP114" s="182"/>
      <c r="HUQ114" s="181"/>
      <c r="HUR114" s="182"/>
      <c r="HUS114" s="181"/>
      <c r="HUT114" s="182"/>
      <c r="HUU114" s="181"/>
      <c r="HUV114" s="182"/>
      <c r="HUW114" s="181"/>
      <c r="HUX114" s="182"/>
      <c r="HUY114" s="181"/>
      <c r="HUZ114" s="182"/>
      <c r="HVA114" s="181"/>
      <c r="HVB114" s="182"/>
      <c r="HVC114" s="181"/>
      <c r="HVD114" s="182"/>
      <c r="HVE114" s="181"/>
      <c r="HVF114" s="182"/>
      <c r="HVG114" s="181"/>
      <c r="HVH114" s="182"/>
      <c r="HVI114" s="181"/>
      <c r="HVJ114" s="182"/>
      <c r="HVK114" s="181"/>
      <c r="HVL114" s="182"/>
      <c r="HVM114" s="181"/>
      <c r="HVN114" s="182"/>
      <c r="HVO114" s="181"/>
      <c r="HVP114" s="182"/>
      <c r="HVQ114" s="181"/>
      <c r="HVR114" s="182"/>
      <c r="HVS114" s="181"/>
      <c r="HVT114" s="182"/>
      <c r="HVU114" s="181"/>
      <c r="HVV114" s="182"/>
      <c r="HVW114" s="181"/>
      <c r="HVX114" s="182"/>
      <c r="HVY114" s="181"/>
      <c r="HVZ114" s="182"/>
      <c r="HWA114" s="181"/>
      <c r="HWB114" s="182"/>
      <c r="HWC114" s="181"/>
      <c r="HWD114" s="182"/>
      <c r="HWE114" s="181"/>
      <c r="HWF114" s="182"/>
      <c r="HWG114" s="181"/>
      <c r="HWH114" s="182"/>
      <c r="HWI114" s="181"/>
      <c r="HWJ114" s="182"/>
      <c r="HWK114" s="181"/>
      <c r="HWL114" s="182"/>
      <c r="HWM114" s="181"/>
      <c r="HWN114" s="182"/>
      <c r="HWO114" s="181"/>
      <c r="HWP114" s="182"/>
      <c r="HWQ114" s="181"/>
      <c r="HWR114" s="182"/>
      <c r="HWS114" s="181"/>
      <c r="HWT114" s="182"/>
      <c r="HWU114" s="181"/>
      <c r="HWV114" s="182"/>
      <c r="HWW114" s="181"/>
      <c r="HWX114" s="182"/>
      <c r="HWY114" s="181"/>
      <c r="HWZ114" s="182"/>
      <c r="HXA114" s="181"/>
      <c r="HXB114" s="182"/>
      <c r="HXC114" s="181"/>
      <c r="HXD114" s="182"/>
      <c r="HXE114" s="181"/>
      <c r="HXF114" s="182"/>
      <c r="HXG114" s="181"/>
      <c r="HXH114" s="182"/>
      <c r="HXI114" s="181"/>
      <c r="HXJ114" s="182"/>
      <c r="HXK114" s="181"/>
      <c r="HXL114" s="182"/>
      <c r="HXM114" s="181"/>
      <c r="HXN114" s="182"/>
      <c r="HXO114" s="181"/>
      <c r="HXP114" s="182"/>
      <c r="HXQ114" s="181"/>
      <c r="HXR114" s="182"/>
      <c r="HXS114" s="181"/>
      <c r="HXT114" s="182"/>
      <c r="HXU114" s="181"/>
      <c r="HXV114" s="182"/>
      <c r="HXW114" s="181"/>
      <c r="HXX114" s="182"/>
      <c r="HXY114" s="181"/>
      <c r="HXZ114" s="182"/>
      <c r="HYA114" s="181"/>
      <c r="HYB114" s="182"/>
      <c r="HYC114" s="181"/>
      <c r="HYD114" s="182"/>
      <c r="HYE114" s="181"/>
      <c r="HYF114" s="182"/>
      <c r="HYG114" s="181"/>
      <c r="HYH114" s="182"/>
      <c r="HYI114" s="181"/>
      <c r="HYJ114" s="182"/>
      <c r="HYK114" s="181"/>
      <c r="HYL114" s="182"/>
      <c r="HYM114" s="181"/>
      <c r="HYN114" s="182"/>
      <c r="HYO114" s="181"/>
      <c r="HYP114" s="182"/>
      <c r="HYQ114" s="181"/>
      <c r="HYR114" s="182"/>
      <c r="HYS114" s="181"/>
      <c r="HYT114" s="182"/>
      <c r="HYU114" s="181"/>
      <c r="HYV114" s="182"/>
      <c r="HYW114" s="181"/>
      <c r="HYX114" s="182"/>
      <c r="HYY114" s="181"/>
      <c r="HYZ114" s="182"/>
      <c r="HZA114" s="181"/>
      <c r="HZB114" s="182"/>
      <c r="HZC114" s="181"/>
      <c r="HZD114" s="182"/>
      <c r="HZE114" s="181"/>
      <c r="HZF114" s="182"/>
      <c r="HZG114" s="181"/>
      <c r="HZH114" s="182"/>
      <c r="HZI114" s="181"/>
      <c r="HZJ114" s="182"/>
      <c r="HZK114" s="181"/>
      <c r="HZL114" s="182"/>
      <c r="HZM114" s="181"/>
      <c r="HZN114" s="182"/>
      <c r="HZO114" s="181"/>
      <c r="HZP114" s="182"/>
      <c r="HZQ114" s="181"/>
      <c r="HZR114" s="182"/>
      <c r="HZS114" s="181"/>
      <c r="HZT114" s="182"/>
      <c r="HZU114" s="181"/>
      <c r="HZV114" s="182"/>
      <c r="HZW114" s="181"/>
      <c r="HZX114" s="182"/>
      <c r="HZY114" s="181"/>
      <c r="HZZ114" s="182"/>
      <c r="IAA114" s="181"/>
      <c r="IAB114" s="182"/>
      <c r="IAC114" s="181"/>
      <c r="IAD114" s="182"/>
      <c r="IAE114" s="181"/>
      <c r="IAF114" s="182"/>
      <c r="IAG114" s="181"/>
      <c r="IAH114" s="182"/>
      <c r="IAI114" s="181"/>
      <c r="IAJ114" s="182"/>
      <c r="IAK114" s="181"/>
      <c r="IAL114" s="182"/>
      <c r="IAM114" s="181"/>
      <c r="IAN114" s="182"/>
      <c r="IAO114" s="181"/>
      <c r="IAP114" s="182"/>
      <c r="IAQ114" s="181"/>
      <c r="IAR114" s="182"/>
      <c r="IAS114" s="181"/>
      <c r="IAT114" s="182"/>
      <c r="IAU114" s="181"/>
      <c r="IAV114" s="182"/>
      <c r="IAW114" s="181"/>
      <c r="IAX114" s="182"/>
      <c r="IAY114" s="181"/>
      <c r="IAZ114" s="182"/>
      <c r="IBA114" s="181"/>
      <c r="IBB114" s="182"/>
      <c r="IBC114" s="181"/>
      <c r="IBD114" s="182"/>
      <c r="IBE114" s="181"/>
      <c r="IBF114" s="182"/>
      <c r="IBG114" s="181"/>
      <c r="IBH114" s="182"/>
      <c r="IBI114" s="181"/>
      <c r="IBJ114" s="182"/>
      <c r="IBK114" s="181"/>
      <c r="IBL114" s="182"/>
      <c r="IBM114" s="181"/>
      <c r="IBN114" s="182"/>
      <c r="IBO114" s="181"/>
      <c r="IBP114" s="182"/>
      <c r="IBQ114" s="181"/>
      <c r="IBR114" s="182"/>
      <c r="IBS114" s="181"/>
      <c r="IBT114" s="182"/>
      <c r="IBU114" s="181"/>
      <c r="IBV114" s="182"/>
      <c r="IBW114" s="181"/>
      <c r="IBX114" s="182"/>
      <c r="IBY114" s="181"/>
      <c r="IBZ114" s="182"/>
      <c r="ICA114" s="181"/>
      <c r="ICB114" s="182"/>
      <c r="ICC114" s="181"/>
      <c r="ICD114" s="182"/>
      <c r="ICE114" s="181"/>
      <c r="ICF114" s="182"/>
      <c r="ICG114" s="181"/>
      <c r="ICH114" s="182"/>
      <c r="ICI114" s="181"/>
      <c r="ICJ114" s="182"/>
      <c r="ICK114" s="181"/>
      <c r="ICL114" s="182"/>
      <c r="ICM114" s="181"/>
      <c r="ICN114" s="182"/>
      <c r="ICO114" s="181"/>
      <c r="ICP114" s="182"/>
      <c r="ICQ114" s="181"/>
      <c r="ICR114" s="182"/>
      <c r="ICS114" s="181"/>
      <c r="ICT114" s="182"/>
      <c r="ICU114" s="181"/>
      <c r="ICV114" s="182"/>
      <c r="ICW114" s="181"/>
      <c r="ICX114" s="182"/>
      <c r="ICY114" s="181"/>
      <c r="ICZ114" s="182"/>
      <c r="IDA114" s="181"/>
      <c r="IDB114" s="182"/>
      <c r="IDC114" s="181"/>
      <c r="IDD114" s="182"/>
      <c r="IDE114" s="181"/>
      <c r="IDF114" s="182"/>
      <c r="IDG114" s="181"/>
      <c r="IDH114" s="182"/>
      <c r="IDI114" s="181"/>
      <c r="IDJ114" s="182"/>
      <c r="IDK114" s="181"/>
      <c r="IDL114" s="182"/>
      <c r="IDM114" s="181"/>
      <c r="IDN114" s="182"/>
      <c r="IDO114" s="181"/>
      <c r="IDP114" s="182"/>
      <c r="IDQ114" s="181"/>
      <c r="IDR114" s="182"/>
      <c r="IDS114" s="181"/>
      <c r="IDT114" s="182"/>
      <c r="IDU114" s="181"/>
      <c r="IDV114" s="182"/>
      <c r="IDW114" s="181"/>
      <c r="IDX114" s="182"/>
      <c r="IDY114" s="181"/>
      <c r="IDZ114" s="182"/>
      <c r="IEA114" s="181"/>
      <c r="IEB114" s="182"/>
      <c r="IEC114" s="181"/>
      <c r="IED114" s="182"/>
      <c r="IEE114" s="181"/>
      <c r="IEF114" s="182"/>
      <c r="IEG114" s="181"/>
      <c r="IEH114" s="182"/>
      <c r="IEI114" s="181"/>
      <c r="IEJ114" s="182"/>
      <c r="IEK114" s="181"/>
      <c r="IEL114" s="182"/>
      <c r="IEM114" s="181"/>
      <c r="IEN114" s="182"/>
      <c r="IEO114" s="181"/>
      <c r="IEP114" s="182"/>
      <c r="IEQ114" s="181"/>
      <c r="IER114" s="182"/>
      <c r="IES114" s="181"/>
      <c r="IET114" s="182"/>
      <c r="IEU114" s="181"/>
      <c r="IEV114" s="182"/>
      <c r="IEW114" s="181"/>
      <c r="IEX114" s="182"/>
      <c r="IEY114" s="181"/>
      <c r="IEZ114" s="182"/>
      <c r="IFA114" s="181"/>
      <c r="IFB114" s="182"/>
      <c r="IFC114" s="181"/>
      <c r="IFD114" s="182"/>
      <c r="IFE114" s="181"/>
      <c r="IFF114" s="182"/>
      <c r="IFG114" s="181"/>
      <c r="IFH114" s="182"/>
      <c r="IFI114" s="181"/>
      <c r="IFJ114" s="182"/>
      <c r="IFK114" s="181"/>
      <c r="IFL114" s="182"/>
      <c r="IFM114" s="181"/>
      <c r="IFN114" s="182"/>
      <c r="IFO114" s="181"/>
      <c r="IFP114" s="182"/>
      <c r="IFQ114" s="181"/>
      <c r="IFR114" s="182"/>
      <c r="IFS114" s="181"/>
      <c r="IFT114" s="182"/>
      <c r="IFU114" s="181"/>
      <c r="IFV114" s="182"/>
      <c r="IFW114" s="181"/>
      <c r="IFX114" s="182"/>
      <c r="IFY114" s="181"/>
      <c r="IFZ114" s="182"/>
      <c r="IGA114" s="181"/>
      <c r="IGB114" s="182"/>
      <c r="IGC114" s="181"/>
      <c r="IGD114" s="182"/>
      <c r="IGE114" s="181"/>
      <c r="IGF114" s="182"/>
      <c r="IGG114" s="181"/>
      <c r="IGH114" s="182"/>
      <c r="IGI114" s="181"/>
      <c r="IGJ114" s="182"/>
      <c r="IGK114" s="181"/>
      <c r="IGL114" s="182"/>
      <c r="IGM114" s="181"/>
      <c r="IGN114" s="182"/>
      <c r="IGO114" s="181"/>
      <c r="IGP114" s="182"/>
      <c r="IGQ114" s="181"/>
      <c r="IGR114" s="182"/>
      <c r="IGS114" s="181"/>
      <c r="IGT114" s="182"/>
      <c r="IGU114" s="181"/>
      <c r="IGV114" s="182"/>
      <c r="IGW114" s="181"/>
      <c r="IGX114" s="182"/>
      <c r="IGY114" s="181"/>
      <c r="IGZ114" s="182"/>
      <c r="IHA114" s="181"/>
      <c r="IHB114" s="182"/>
      <c r="IHC114" s="181"/>
      <c r="IHD114" s="182"/>
      <c r="IHE114" s="181"/>
      <c r="IHF114" s="182"/>
      <c r="IHG114" s="181"/>
      <c r="IHH114" s="182"/>
      <c r="IHI114" s="181"/>
      <c r="IHJ114" s="182"/>
      <c r="IHK114" s="181"/>
      <c r="IHL114" s="182"/>
      <c r="IHM114" s="181"/>
      <c r="IHN114" s="182"/>
      <c r="IHO114" s="181"/>
      <c r="IHP114" s="182"/>
      <c r="IHQ114" s="181"/>
      <c r="IHR114" s="182"/>
      <c r="IHS114" s="181"/>
      <c r="IHT114" s="182"/>
      <c r="IHU114" s="181"/>
      <c r="IHV114" s="182"/>
      <c r="IHW114" s="181"/>
      <c r="IHX114" s="182"/>
      <c r="IHY114" s="181"/>
      <c r="IHZ114" s="182"/>
      <c r="IIA114" s="181"/>
      <c r="IIB114" s="182"/>
      <c r="IIC114" s="181"/>
      <c r="IID114" s="182"/>
      <c r="IIE114" s="181"/>
      <c r="IIF114" s="182"/>
      <c r="IIG114" s="181"/>
      <c r="IIH114" s="182"/>
      <c r="III114" s="181"/>
      <c r="IIJ114" s="182"/>
      <c r="IIK114" s="181"/>
      <c r="IIL114" s="182"/>
      <c r="IIM114" s="181"/>
      <c r="IIN114" s="182"/>
      <c r="IIO114" s="181"/>
      <c r="IIP114" s="182"/>
      <c r="IIQ114" s="181"/>
      <c r="IIR114" s="182"/>
      <c r="IIS114" s="181"/>
      <c r="IIT114" s="182"/>
      <c r="IIU114" s="181"/>
      <c r="IIV114" s="182"/>
      <c r="IIW114" s="181"/>
      <c r="IIX114" s="182"/>
      <c r="IIY114" s="181"/>
      <c r="IIZ114" s="182"/>
      <c r="IJA114" s="181"/>
      <c r="IJB114" s="182"/>
      <c r="IJC114" s="181"/>
      <c r="IJD114" s="182"/>
      <c r="IJE114" s="181"/>
      <c r="IJF114" s="182"/>
      <c r="IJG114" s="181"/>
      <c r="IJH114" s="182"/>
      <c r="IJI114" s="181"/>
      <c r="IJJ114" s="182"/>
      <c r="IJK114" s="181"/>
      <c r="IJL114" s="182"/>
      <c r="IJM114" s="181"/>
      <c r="IJN114" s="182"/>
      <c r="IJO114" s="181"/>
      <c r="IJP114" s="182"/>
      <c r="IJQ114" s="181"/>
      <c r="IJR114" s="182"/>
      <c r="IJS114" s="181"/>
      <c r="IJT114" s="182"/>
      <c r="IJU114" s="181"/>
      <c r="IJV114" s="182"/>
      <c r="IJW114" s="181"/>
      <c r="IJX114" s="182"/>
      <c r="IJY114" s="181"/>
      <c r="IJZ114" s="182"/>
      <c r="IKA114" s="181"/>
      <c r="IKB114" s="182"/>
      <c r="IKC114" s="181"/>
      <c r="IKD114" s="182"/>
      <c r="IKE114" s="181"/>
      <c r="IKF114" s="182"/>
      <c r="IKG114" s="181"/>
      <c r="IKH114" s="182"/>
      <c r="IKI114" s="181"/>
      <c r="IKJ114" s="182"/>
      <c r="IKK114" s="181"/>
      <c r="IKL114" s="182"/>
      <c r="IKM114" s="181"/>
      <c r="IKN114" s="182"/>
      <c r="IKO114" s="181"/>
      <c r="IKP114" s="182"/>
      <c r="IKQ114" s="181"/>
      <c r="IKR114" s="182"/>
      <c r="IKS114" s="181"/>
      <c r="IKT114" s="182"/>
      <c r="IKU114" s="181"/>
      <c r="IKV114" s="182"/>
      <c r="IKW114" s="181"/>
      <c r="IKX114" s="182"/>
      <c r="IKY114" s="181"/>
      <c r="IKZ114" s="182"/>
      <c r="ILA114" s="181"/>
      <c r="ILB114" s="182"/>
      <c r="ILC114" s="181"/>
      <c r="ILD114" s="182"/>
      <c r="ILE114" s="181"/>
      <c r="ILF114" s="182"/>
      <c r="ILG114" s="181"/>
      <c r="ILH114" s="182"/>
      <c r="ILI114" s="181"/>
      <c r="ILJ114" s="182"/>
      <c r="ILK114" s="181"/>
      <c r="ILL114" s="182"/>
      <c r="ILM114" s="181"/>
      <c r="ILN114" s="182"/>
      <c r="ILO114" s="181"/>
      <c r="ILP114" s="182"/>
      <c r="ILQ114" s="181"/>
      <c r="ILR114" s="182"/>
      <c r="ILS114" s="181"/>
      <c r="ILT114" s="182"/>
      <c r="ILU114" s="181"/>
      <c r="ILV114" s="182"/>
      <c r="ILW114" s="181"/>
      <c r="ILX114" s="182"/>
      <c r="ILY114" s="181"/>
      <c r="ILZ114" s="182"/>
      <c r="IMA114" s="181"/>
      <c r="IMB114" s="182"/>
      <c r="IMC114" s="181"/>
      <c r="IMD114" s="182"/>
      <c r="IME114" s="181"/>
      <c r="IMF114" s="182"/>
      <c r="IMG114" s="181"/>
      <c r="IMH114" s="182"/>
      <c r="IMI114" s="181"/>
      <c r="IMJ114" s="182"/>
      <c r="IMK114" s="181"/>
      <c r="IML114" s="182"/>
      <c r="IMM114" s="181"/>
      <c r="IMN114" s="182"/>
      <c r="IMO114" s="181"/>
      <c r="IMP114" s="182"/>
      <c r="IMQ114" s="181"/>
      <c r="IMR114" s="182"/>
      <c r="IMS114" s="181"/>
      <c r="IMT114" s="182"/>
      <c r="IMU114" s="181"/>
      <c r="IMV114" s="182"/>
      <c r="IMW114" s="181"/>
      <c r="IMX114" s="182"/>
      <c r="IMY114" s="181"/>
      <c r="IMZ114" s="182"/>
      <c r="INA114" s="181"/>
      <c r="INB114" s="182"/>
      <c r="INC114" s="181"/>
      <c r="IND114" s="182"/>
      <c r="INE114" s="181"/>
      <c r="INF114" s="182"/>
      <c r="ING114" s="181"/>
      <c r="INH114" s="182"/>
      <c r="INI114" s="181"/>
      <c r="INJ114" s="182"/>
      <c r="INK114" s="181"/>
      <c r="INL114" s="182"/>
      <c r="INM114" s="181"/>
      <c r="INN114" s="182"/>
      <c r="INO114" s="181"/>
      <c r="INP114" s="182"/>
      <c r="INQ114" s="181"/>
      <c r="INR114" s="182"/>
      <c r="INS114" s="181"/>
      <c r="INT114" s="182"/>
      <c r="INU114" s="181"/>
      <c r="INV114" s="182"/>
      <c r="INW114" s="181"/>
      <c r="INX114" s="182"/>
      <c r="INY114" s="181"/>
      <c r="INZ114" s="182"/>
      <c r="IOA114" s="181"/>
      <c r="IOB114" s="182"/>
      <c r="IOC114" s="181"/>
      <c r="IOD114" s="182"/>
      <c r="IOE114" s="181"/>
      <c r="IOF114" s="182"/>
      <c r="IOG114" s="181"/>
      <c r="IOH114" s="182"/>
      <c r="IOI114" s="181"/>
      <c r="IOJ114" s="182"/>
      <c r="IOK114" s="181"/>
      <c r="IOL114" s="182"/>
      <c r="IOM114" s="181"/>
      <c r="ION114" s="182"/>
      <c r="IOO114" s="181"/>
      <c r="IOP114" s="182"/>
      <c r="IOQ114" s="181"/>
      <c r="IOR114" s="182"/>
      <c r="IOS114" s="181"/>
      <c r="IOT114" s="182"/>
      <c r="IOU114" s="181"/>
      <c r="IOV114" s="182"/>
      <c r="IOW114" s="181"/>
      <c r="IOX114" s="182"/>
      <c r="IOY114" s="181"/>
      <c r="IOZ114" s="182"/>
      <c r="IPA114" s="181"/>
      <c r="IPB114" s="182"/>
      <c r="IPC114" s="181"/>
      <c r="IPD114" s="182"/>
      <c r="IPE114" s="181"/>
      <c r="IPF114" s="182"/>
      <c r="IPG114" s="181"/>
      <c r="IPH114" s="182"/>
      <c r="IPI114" s="181"/>
      <c r="IPJ114" s="182"/>
      <c r="IPK114" s="181"/>
      <c r="IPL114" s="182"/>
      <c r="IPM114" s="181"/>
      <c r="IPN114" s="182"/>
      <c r="IPO114" s="181"/>
      <c r="IPP114" s="182"/>
      <c r="IPQ114" s="181"/>
      <c r="IPR114" s="182"/>
      <c r="IPS114" s="181"/>
      <c r="IPT114" s="182"/>
      <c r="IPU114" s="181"/>
      <c r="IPV114" s="182"/>
      <c r="IPW114" s="181"/>
      <c r="IPX114" s="182"/>
      <c r="IPY114" s="181"/>
      <c r="IPZ114" s="182"/>
      <c r="IQA114" s="181"/>
      <c r="IQB114" s="182"/>
      <c r="IQC114" s="181"/>
      <c r="IQD114" s="182"/>
      <c r="IQE114" s="181"/>
      <c r="IQF114" s="182"/>
      <c r="IQG114" s="181"/>
      <c r="IQH114" s="182"/>
      <c r="IQI114" s="181"/>
      <c r="IQJ114" s="182"/>
      <c r="IQK114" s="181"/>
      <c r="IQL114" s="182"/>
      <c r="IQM114" s="181"/>
      <c r="IQN114" s="182"/>
      <c r="IQO114" s="181"/>
      <c r="IQP114" s="182"/>
      <c r="IQQ114" s="181"/>
      <c r="IQR114" s="182"/>
      <c r="IQS114" s="181"/>
      <c r="IQT114" s="182"/>
      <c r="IQU114" s="181"/>
      <c r="IQV114" s="182"/>
      <c r="IQW114" s="181"/>
      <c r="IQX114" s="182"/>
      <c r="IQY114" s="181"/>
      <c r="IQZ114" s="182"/>
      <c r="IRA114" s="181"/>
      <c r="IRB114" s="182"/>
      <c r="IRC114" s="181"/>
      <c r="IRD114" s="182"/>
      <c r="IRE114" s="181"/>
      <c r="IRF114" s="182"/>
      <c r="IRG114" s="181"/>
      <c r="IRH114" s="182"/>
      <c r="IRI114" s="181"/>
      <c r="IRJ114" s="182"/>
      <c r="IRK114" s="181"/>
      <c r="IRL114" s="182"/>
      <c r="IRM114" s="181"/>
      <c r="IRN114" s="182"/>
      <c r="IRO114" s="181"/>
      <c r="IRP114" s="182"/>
      <c r="IRQ114" s="181"/>
      <c r="IRR114" s="182"/>
      <c r="IRS114" s="181"/>
      <c r="IRT114" s="182"/>
      <c r="IRU114" s="181"/>
      <c r="IRV114" s="182"/>
      <c r="IRW114" s="181"/>
      <c r="IRX114" s="182"/>
      <c r="IRY114" s="181"/>
      <c r="IRZ114" s="182"/>
      <c r="ISA114" s="181"/>
      <c r="ISB114" s="182"/>
      <c r="ISC114" s="181"/>
      <c r="ISD114" s="182"/>
      <c r="ISE114" s="181"/>
      <c r="ISF114" s="182"/>
      <c r="ISG114" s="181"/>
      <c r="ISH114" s="182"/>
      <c r="ISI114" s="181"/>
      <c r="ISJ114" s="182"/>
      <c r="ISK114" s="181"/>
      <c r="ISL114" s="182"/>
      <c r="ISM114" s="181"/>
      <c r="ISN114" s="182"/>
      <c r="ISO114" s="181"/>
      <c r="ISP114" s="182"/>
      <c r="ISQ114" s="181"/>
      <c r="ISR114" s="182"/>
      <c r="ISS114" s="181"/>
      <c r="IST114" s="182"/>
      <c r="ISU114" s="181"/>
      <c r="ISV114" s="182"/>
      <c r="ISW114" s="181"/>
      <c r="ISX114" s="182"/>
      <c r="ISY114" s="181"/>
      <c r="ISZ114" s="182"/>
      <c r="ITA114" s="181"/>
      <c r="ITB114" s="182"/>
      <c r="ITC114" s="181"/>
      <c r="ITD114" s="182"/>
      <c r="ITE114" s="181"/>
      <c r="ITF114" s="182"/>
      <c r="ITG114" s="181"/>
      <c r="ITH114" s="182"/>
      <c r="ITI114" s="181"/>
      <c r="ITJ114" s="182"/>
      <c r="ITK114" s="181"/>
      <c r="ITL114" s="182"/>
      <c r="ITM114" s="181"/>
      <c r="ITN114" s="182"/>
      <c r="ITO114" s="181"/>
      <c r="ITP114" s="182"/>
      <c r="ITQ114" s="181"/>
      <c r="ITR114" s="182"/>
      <c r="ITS114" s="181"/>
      <c r="ITT114" s="182"/>
      <c r="ITU114" s="181"/>
      <c r="ITV114" s="182"/>
      <c r="ITW114" s="181"/>
      <c r="ITX114" s="182"/>
      <c r="ITY114" s="181"/>
      <c r="ITZ114" s="182"/>
      <c r="IUA114" s="181"/>
      <c r="IUB114" s="182"/>
      <c r="IUC114" s="181"/>
      <c r="IUD114" s="182"/>
      <c r="IUE114" s="181"/>
      <c r="IUF114" s="182"/>
      <c r="IUG114" s="181"/>
      <c r="IUH114" s="182"/>
      <c r="IUI114" s="181"/>
      <c r="IUJ114" s="182"/>
      <c r="IUK114" s="181"/>
      <c r="IUL114" s="182"/>
      <c r="IUM114" s="181"/>
      <c r="IUN114" s="182"/>
      <c r="IUO114" s="181"/>
      <c r="IUP114" s="182"/>
      <c r="IUQ114" s="181"/>
      <c r="IUR114" s="182"/>
      <c r="IUS114" s="181"/>
      <c r="IUT114" s="182"/>
      <c r="IUU114" s="181"/>
      <c r="IUV114" s="182"/>
      <c r="IUW114" s="181"/>
      <c r="IUX114" s="182"/>
      <c r="IUY114" s="181"/>
      <c r="IUZ114" s="182"/>
      <c r="IVA114" s="181"/>
      <c r="IVB114" s="182"/>
      <c r="IVC114" s="181"/>
      <c r="IVD114" s="182"/>
      <c r="IVE114" s="181"/>
      <c r="IVF114" s="182"/>
      <c r="IVG114" s="181"/>
      <c r="IVH114" s="182"/>
      <c r="IVI114" s="181"/>
      <c r="IVJ114" s="182"/>
      <c r="IVK114" s="181"/>
      <c r="IVL114" s="182"/>
      <c r="IVM114" s="181"/>
      <c r="IVN114" s="182"/>
      <c r="IVO114" s="181"/>
      <c r="IVP114" s="182"/>
      <c r="IVQ114" s="181"/>
      <c r="IVR114" s="182"/>
      <c r="IVS114" s="181"/>
      <c r="IVT114" s="182"/>
      <c r="IVU114" s="181"/>
      <c r="IVV114" s="182"/>
      <c r="IVW114" s="181"/>
      <c r="IVX114" s="182"/>
      <c r="IVY114" s="181"/>
      <c r="IVZ114" s="182"/>
      <c r="IWA114" s="181"/>
      <c r="IWB114" s="182"/>
      <c r="IWC114" s="181"/>
      <c r="IWD114" s="182"/>
      <c r="IWE114" s="181"/>
      <c r="IWF114" s="182"/>
      <c r="IWG114" s="181"/>
      <c r="IWH114" s="182"/>
      <c r="IWI114" s="181"/>
      <c r="IWJ114" s="182"/>
      <c r="IWK114" s="181"/>
      <c r="IWL114" s="182"/>
      <c r="IWM114" s="181"/>
      <c r="IWN114" s="182"/>
      <c r="IWO114" s="181"/>
      <c r="IWP114" s="182"/>
      <c r="IWQ114" s="181"/>
      <c r="IWR114" s="182"/>
      <c r="IWS114" s="181"/>
      <c r="IWT114" s="182"/>
      <c r="IWU114" s="181"/>
      <c r="IWV114" s="182"/>
      <c r="IWW114" s="181"/>
      <c r="IWX114" s="182"/>
      <c r="IWY114" s="181"/>
      <c r="IWZ114" s="182"/>
      <c r="IXA114" s="181"/>
      <c r="IXB114" s="182"/>
      <c r="IXC114" s="181"/>
      <c r="IXD114" s="182"/>
      <c r="IXE114" s="181"/>
      <c r="IXF114" s="182"/>
      <c r="IXG114" s="181"/>
      <c r="IXH114" s="182"/>
      <c r="IXI114" s="181"/>
      <c r="IXJ114" s="182"/>
      <c r="IXK114" s="181"/>
      <c r="IXL114" s="182"/>
      <c r="IXM114" s="181"/>
      <c r="IXN114" s="182"/>
      <c r="IXO114" s="181"/>
      <c r="IXP114" s="182"/>
      <c r="IXQ114" s="181"/>
      <c r="IXR114" s="182"/>
      <c r="IXS114" s="181"/>
      <c r="IXT114" s="182"/>
      <c r="IXU114" s="181"/>
      <c r="IXV114" s="182"/>
      <c r="IXW114" s="181"/>
      <c r="IXX114" s="182"/>
      <c r="IXY114" s="181"/>
      <c r="IXZ114" s="182"/>
      <c r="IYA114" s="181"/>
      <c r="IYB114" s="182"/>
      <c r="IYC114" s="181"/>
      <c r="IYD114" s="182"/>
      <c r="IYE114" s="181"/>
      <c r="IYF114" s="182"/>
      <c r="IYG114" s="181"/>
      <c r="IYH114" s="182"/>
      <c r="IYI114" s="181"/>
      <c r="IYJ114" s="182"/>
      <c r="IYK114" s="181"/>
      <c r="IYL114" s="182"/>
      <c r="IYM114" s="181"/>
      <c r="IYN114" s="182"/>
      <c r="IYO114" s="181"/>
      <c r="IYP114" s="182"/>
      <c r="IYQ114" s="181"/>
      <c r="IYR114" s="182"/>
      <c r="IYS114" s="181"/>
      <c r="IYT114" s="182"/>
      <c r="IYU114" s="181"/>
      <c r="IYV114" s="182"/>
      <c r="IYW114" s="181"/>
      <c r="IYX114" s="182"/>
      <c r="IYY114" s="181"/>
      <c r="IYZ114" s="182"/>
      <c r="IZA114" s="181"/>
      <c r="IZB114" s="182"/>
      <c r="IZC114" s="181"/>
      <c r="IZD114" s="182"/>
      <c r="IZE114" s="181"/>
      <c r="IZF114" s="182"/>
      <c r="IZG114" s="181"/>
      <c r="IZH114" s="182"/>
      <c r="IZI114" s="181"/>
      <c r="IZJ114" s="182"/>
      <c r="IZK114" s="181"/>
      <c r="IZL114" s="182"/>
      <c r="IZM114" s="181"/>
      <c r="IZN114" s="182"/>
      <c r="IZO114" s="181"/>
      <c r="IZP114" s="182"/>
      <c r="IZQ114" s="181"/>
      <c r="IZR114" s="182"/>
      <c r="IZS114" s="181"/>
      <c r="IZT114" s="182"/>
      <c r="IZU114" s="181"/>
      <c r="IZV114" s="182"/>
      <c r="IZW114" s="181"/>
      <c r="IZX114" s="182"/>
      <c r="IZY114" s="181"/>
      <c r="IZZ114" s="182"/>
      <c r="JAA114" s="181"/>
      <c r="JAB114" s="182"/>
      <c r="JAC114" s="181"/>
      <c r="JAD114" s="182"/>
      <c r="JAE114" s="181"/>
      <c r="JAF114" s="182"/>
      <c r="JAG114" s="181"/>
      <c r="JAH114" s="182"/>
      <c r="JAI114" s="181"/>
      <c r="JAJ114" s="182"/>
      <c r="JAK114" s="181"/>
      <c r="JAL114" s="182"/>
      <c r="JAM114" s="181"/>
      <c r="JAN114" s="182"/>
      <c r="JAO114" s="181"/>
      <c r="JAP114" s="182"/>
      <c r="JAQ114" s="181"/>
      <c r="JAR114" s="182"/>
      <c r="JAS114" s="181"/>
      <c r="JAT114" s="182"/>
      <c r="JAU114" s="181"/>
      <c r="JAV114" s="182"/>
      <c r="JAW114" s="181"/>
      <c r="JAX114" s="182"/>
      <c r="JAY114" s="181"/>
      <c r="JAZ114" s="182"/>
      <c r="JBA114" s="181"/>
      <c r="JBB114" s="182"/>
      <c r="JBC114" s="181"/>
      <c r="JBD114" s="182"/>
      <c r="JBE114" s="181"/>
      <c r="JBF114" s="182"/>
      <c r="JBG114" s="181"/>
      <c r="JBH114" s="182"/>
      <c r="JBI114" s="181"/>
      <c r="JBJ114" s="182"/>
      <c r="JBK114" s="181"/>
      <c r="JBL114" s="182"/>
      <c r="JBM114" s="181"/>
      <c r="JBN114" s="182"/>
      <c r="JBO114" s="181"/>
      <c r="JBP114" s="182"/>
      <c r="JBQ114" s="181"/>
      <c r="JBR114" s="182"/>
      <c r="JBS114" s="181"/>
      <c r="JBT114" s="182"/>
      <c r="JBU114" s="181"/>
      <c r="JBV114" s="182"/>
      <c r="JBW114" s="181"/>
      <c r="JBX114" s="182"/>
      <c r="JBY114" s="181"/>
      <c r="JBZ114" s="182"/>
      <c r="JCA114" s="181"/>
      <c r="JCB114" s="182"/>
      <c r="JCC114" s="181"/>
      <c r="JCD114" s="182"/>
      <c r="JCE114" s="181"/>
      <c r="JCF114" s="182"/>
      <c r="JCG114" s="181"/>
      <c r="JCH114" s="182"/>
      <c r="JCI114" s="181"/>
      <c r="JCJ114" s="182"/>
      <c r="JCK114" s="181"/>
      <c r="JCL114" s="182"/>
      <c r="JCM114" s="181"/>
      <c r="JCN114" s="182"/>
      <c r="JCO114" s="181"/>
      <c r="JCP114" s="182"/>
      <c r="JCQ114" s="181"/>
      <c r="JCR114" s="182"/>
      <c r="JCS114" s="181"/>
      <c r="JCT114" s="182"/>
      <c r="JCU114" s="181"/>
      <c r="JCV114" s="182"/>
      <c r="JCW114" s="181"/>
      <c r="JCX114" s="182"/>
      <c r="JCY114" s="181"/>
      <c r="JCZ114" s="182"/>
      <c r="JDA114" s="181"/>
      <c r="JDB114" s="182"/>
      <c r="JDC114" s="181"/>
      <c r="JDD114" s="182"/>
      <c r="JDE114" s="181"/>
      <c r="JDF114" s="182"/>
      <c r="JDG114" s="181"/>
      <c r="JDH114" s="182"/>
      <c r="JDI114" s="181"/>
      <c r="JDJ114" s="182"/>
      <c r="JDK114" s="181"/>
      <c r="JDL114" s="182"/>
      <c r="JDM114" s="181"/>
      <c r="JDN114" s="182"/>
      <c r="JDO114" s="181"/>
      <c r="JDP114" s="182"/>
      <c r="JDQ114" s="181"/>
      <c r="JDR114" s="182"/>
      <c r="JDS114" s="181"/>
      <c r="JDT114" s="182"/>
      <c r="JDU114" s="181"/>
      <c r="JDV114" s="182"/>
      <c r="JDW114" s="181"/>
      <c r="JDX114" s="182"/>
      <c r="JDY114" s="181"/>
      <c r="JDZ114" s="182"/>
      <c r="JEA114" s="181"/>
      <c r="JEB114" s="182"/>
      <c r="JEC114" s="181"/>
      <c r="JED114" s="182"/>
      <c r="JEE114" s="181"/>
      <c r="JEF114" s="182"/>
      <c r="JEG114" s="181"/>
      <c r="JEH114" s="182"/>
      <c r="JEI114" s="181"/>
      <c r="JEJ114" s="182"/>
      <c r="JEK114" s="181"/>
      <c r="JEL114" s="182"/>
      <c r="JEM114" s="181"/>
      <c r="JEN114" s="182"/>
      <c r="JEO114" s="181"/>
      <c r="JEP114" s="182"/>
      <c r="JEQ114" s="181"/>
      <c r="JER114" s="182"/>
      <c r="JES114" s="181"/>
      <c r="JET114" s="182"/>
      <c r="JEU114" s="181"/>
      <c r="JEV114" s="182"/>
      <c r="JEW114" s="181"/>
      <c r="JEX114" s="182"/>
      <c r="JEY114" s="181"/>
      <c r="JEZ114" s="182"/>
      <c r="JFA114" s="181"/>
      <c r="JFB114" s="182"/>
      <c r="JFC114" s="181"/>
      <c r="JFD114" s="182"/>
      <c r="JFE114" s="181"/>
      <c r="JFF114" s="182"/>
      <c r="JFG114" s="181"/>
      <c r="JFH114" s="182"/>
      <c r="JFI114" s="181"/>
      <c r="JFJ114" s="182"/>
      <c r="JFK114" s="181"/>
      <c r="JFL114" s="182"/>
      <c r="JFM114" s="181"/>
      <c r="JFN114" s="182"/>
      <c r="JFO114" s="181"/>
      <c r="JFP114" s="182"/>
      <c r="JFQ114" s="181"/>
      <c r="JFR114" s="182"/>
      <c r="JFS114" s="181"/>
      <c r="JFT114" s="182"/>
      <c r="JFU114" s="181"/>
      <c r="JFV114" s="182"/>
      <c r="JFW114" s="181"/>
      <c r="JFX114" s="182"/>
      <c r="JFY114" s="181"/>
      <c r="JFZ114" s="182"/>
      <c r="JGA114" s="181"/>
      <c r="JGB114" s="182"/>
      <c r="JGC114" s="181"/>
      <c r="JGD114" s="182"/>
      <c r="JGE114" s="181"/>
      <c r="JGF114" s="182"/>
      <c r="JGG114" s="181"/>
      <c r="JGH114" s="182"/>
      <c r="JGI114" s="181"/>
      <c r="JGJ114" s="182"/>
      <c r="JGK114" s="181"/>
      <c r="JGL114" s="182"/>
      <c r="JGM114" s="181"/>
      <c r="JGN114" s="182"/>
      <c r="JGO114" s="181"/>
      <c r="JGP114" s="182"/>
      <c r="JGQ114" s="181"/>
      <c r="JGR114" s="182"/>
      <c r="JGS114" s="181"/>
      <c r="JGT114" s="182"/>
      <c r="JGU114" s="181"/>
      <c r="JGV114" s="182"/>
      <c r="JGW114" s="181"/>
      <c r="JGX114" s="182"/>
      <c r="JGY114" s="181"/>
      <c r="JGZ114" s="182"/>
      <c r="JHA114" s="181"/>
      <c r="JHB114" s="182"/>
      <c r="JHC114" s="181"/>
      <c r="JHD114" s="182"/>
      <c r="JHE114" s="181"/>
      <c r="JHF114" s="182"/>
      <c r="JHG114" s="181"/>
      <c r="JHH114" s="182"/>
      <c r="JHI114" s="181"/>
      <c r="JHJ114" s="182"/>
      <c r="JHK114" s="181"/>
      <c r="JHL114" s="182"/>
      <c r="JHM114" s="181"/>
      <c r="JHN114" s="182"/>
      <c r="JHO114" s="181"/>
      <c r="JHP114" s="182"/>
      <c r="JHQ114" s="181"/>
      <c r="JHR114" s="182"/>
      <c r="JHS114" s="181"/>
      <c r="JHT114" s="182"/>
      <c r="JHU114" s="181"/>
      <c r="JHV114" s="182"/>
      <c r="JHW114" s="181"/>
      <c r="JHX114" s="182"/>
      <c r="JHY114" s="181"/>
      <c r="JHZ114" s="182"/>
      <c r="JIA114" s="181"/>
      <c r="JIB114" s="182"/>
      <c r="JIC114" s="181"/>
      <c r="JID114" s="182"/>
      <c r="JIE114" s="181"/>
      <c r="JIF114" s="182"/>
      <c r="JIG114" s="181"/>
      <c r="JIH114" s="182"/>
      <c r="JII114" s="181"/>
      <c r="JIJ114" s="182"/>
      <c r="JIK114" s="181"/>
      <c r="JIL114" s="182"/>
      <c r="JIM114" s="181"/>
      <c r="JIN114" s="182"/>
      <c r="JIO114" s="181"/>
      <c r="JIP114" s="182"/>
      <c r="JIQ114" s="181"/>
      <c r="JIR114" s="182"/>
      <c r="JIS114" s="181"/>
      <c r="JIT114" s="182"/>
      <c r="JIU114" s="181"/>
      <c r="JIV114" s="182"/>
      <c r="JIW114" s="181"/>
      <c r="JIX114" s="182"/>
      <c r="JIY114" s="181"/>
      <c r="JIZ114" s="182"/>
      <c r="JJA114" s="181"/>
      <c r="JJB114" s="182"/>
      <c r="JJC114" s="181"/>
      <c r="JJD114" s="182"/>
      <c r="JJE114" s="181"/>
      <c r="JJF114" s="182"/>
      <c r="JJG114" s="181"/>
      <c r="JJH114" s="182"/>
      <c r="JJI114" s="181"/>
      <c r="JJJ114" s="182"/>
      <c r="JJK114" s="181"/>
      <c r="JJL114" s="182"/>
      <c r="JJM114" s="181"/>
      <c r="JJN114" s="182"/>
      <c r="JJO114" s="181"/>
      <c r="JJP114" s="182"/>
      <c r="JJQ114" s="181"/>
      <c r="JJR114" s="182"/>
      <c r="JJS114" s="181"/>
      <c r="JJT114" s="182"/>
      <c r="JJU114" s="181"/>
      <c r="JJV114" s="182"/>
      <c r="JJW114" s="181"/>
      <c r="JJX114" s="182"/>
      <c r="JJY114" s="181"/>
      <c r="JJZ114" s="182"/>
      <c r="JKA114" s="181"/>
      <c r="JKB114" s="182"/>
      <c r="JKC114" s="181"/>
      <c r="JKD114" s="182"/>
      <c r="JKE114" s="181"/>
      <c r="JKF114" s="182"/>
      <c r="JKG114" s="181"/>
      <c r="JKH114" s="182"/>
      <c r="JKI114" s="181"/>
      <c r="JKJ114" s="182"/>
      <c r="JKK114" s="181"/>
      <c r="JKL114" s="182"/>
      <c r="JKM114" s="181"/>
      <c r="JKN114" s="182"/>
      <c r="JKO114" s="181"/>
      <c r="JKP114" s="182"/>
      <c r="JKQ114" s="181"/>
      <c r="JKR114" s="182"/>
      <c r="JKS114" s="181"/>
      <c r="JKT114" s="182"/>
      <c r="JKU114" s="181"/>
      <c r="JKV114" s="182"/>
      <c r="JKW114" s="181"/>
      <c r="JKX114" s="182"/>
      <c r="JKY114" s="181"/>
      <c r="JKZ114" s="182"/>
      <c r="JLA114" s="181"/>
      <c r="JLB114" s="182"/>
      <c r="JLC114" s="181"/>
      <c r="JLD114" s="182"/>
      <c r="JLE114" s="181"/>
      <c r="JLF114" s="182"/>
      <c r="JLG114" s="181"/>
      <c r="JLH114" s="182"/>
      <c r="JLI114" s="181"/>
      <c r="JLJ114" s="182"/>
      <c r="JLK114" s="181"/>
      <c r="JLL114" s="182"/>
      <c r="JLM114" s="181"/>
      <c r="JLN114" s="182"/>
      <c r="JLO114" s="181"/>
      <c r="JLP114" s="182"/>
      <c r="JLQ114" s="181"/>
      <c r="JLR114" s="182"/>
      <c r="JLS114" s="181"/>
      <c r="JLT114" s="182"/>
      <c r="JLU114" s="181"/>
      <c r="JLV114" s="182"/>
      <c r="JLW114" s="181"/>
      <c r="JLX114" s="182"/>
      <c r="JLY114" s="181"/>
      <c r="JLZ114" s="182"/>
      <c r="JMA114" s="181"/>
      <c r="JMB114" s="182"/>
      <c r="JMC114" s="181"/>
      <c r="JMD114" s="182"/>
      <c r="JME114" s="181"/>
      <c r="JMF114" s="182"/>
      <c r="JMG114" s="181"/>
      <c r="JMH114" s="182"/>
      <c r="JMI114" s="181"/>
      <c r="JMJ114" s="182"/>
      <c r="JMK114" s="181"/>
      <c r="JML114" s="182"/>
      <c r="JMM114" s="181"/>
      <c r="JMN114" s="182"/>
      <c r="JMO114" s="181"/>
      <c r="JMP114" s="182"/>
      <c r="JMQ114" s="181"/>
      <c r="JMR114" s="182"/>
      <c r="JMS114" s="181"/>
      <c r="JMT114" s="182"/>
      <c r="JMU114" s="181"/>
      <c r="JMV114" s="182"/>
      <c r="JMW114" s="181"/>
      <c r="JMX114" s="182"/>
      <c r="JMY114" s="181"/>
      <c r="JMZ114" s="182"/>
      <c r="JNA114" s="181"/>
      <c r="JNB114" s="182"/>
      <c r="JNC114" s="181"/>
      <c r="JND114" s="182"/>
      <c r="JNE114" s="181"/>
      <c r="JNF114" s="182"/>
      <c r="JNG114" s="181"/>
      <c r="JNH114" s="182"/>
      <c r="JNI114" s="181"/>
      <c r="JNJ114" s="182"/>
      <c r="JNK114" s="181"/>
      <c r="JNL114" s="182"/>
      <c r="JNM114" s="181"/>
      <c r="JNN114" s="182"/>
      <c r="JNO114" s="181"/>
      <c r="JNP114" s="182"/>
      <c r="JNQ114" s="181"/>
      <c r="JNR114" s="182"/>
      <c r="JNS114" s="181"/>
      <c r="JNT114" s="182"/>
      <c r="JNU114" s="181"/>
      <c r="JNV114" s="182"/>
      <c r="JNW114" s="181"/>
      <c r="JNX114" s="182"/>
      <c r="JNY114" s="181"/>
      <c r="JNZ114" s="182"/>
      <c r="JOA114" s="181"/>
      <c r="JOB114" s="182"/>
      <c r="JOC114" s="181"/>
      <c r="JOD114" s="182"/>
      <c r="JOE114" s="181"/>
      <c r="JOF114" s="182"/>
      <c r="JOG114" s="181"/>
      <c r="JOH114" s="182"/>
      <c r="JOI114" s="181"/>
      <c r="JOJ114" s="182"/>
      <c r="JOK114" s="181"/>
      <c r="JOL114" s="182"/>
      <c r="JOM114" s="181"/>
      <c r="JON114" s="182"/>
      <c r="JOO114" s="181"/>
      <c r="JOP114" s="182"/>
      <c r="JOQ114" s="181"/>
      <c r="JOR114" s="182"/>
      <c r="JOS114" s="181"/>
      <c r="JOT114" s="182"/>
      <c r="JOU114" s="181"/>
      <c r="JOV114" s="182"/>
      <c r="JOW114" s="181"/>
      <c r="JOX114" s="182"/>
      <c r="JOY114" s="181"/>
      <c r="JOZ114" s="182"/>
      <c r="JPA114" s="181"/>
      <c r="JPB114" s="182"/>
      <c r="JPC114" s="181"/>
      <c r="JPD114" s="182"/>
      <c r="JPE114" s="181"/>
      <c r="JPF114" s="182"/>
      <c r="JPG114" s="181"/>
      <c r="JPH114" s="182"/>
      <c r="JPI114" s="181"/>
      <c r="JPJ114" s="182"/>
      <c r="JPK114" s="181"/>
      <c r="JPL114" s="182"/>
      <c r="JPM114" s="181"/>
      <c r="JPN114" s="182"/>
      <c r="JPO114" s="181"/>
      <c r="JPP114" s="182"/>
      <c r="JPQ114" s="181"/>
      <c r="JPR114" s="182"/>
      <c r="JPS114" s="181"/>
      <c r="JPT114" s="182"/>
      <c r="JPU114" s="181"/>
      <c r="JPV114" s="182"/>
      <c r="JPW114" s="181"/>
      <c r="JPX114" s="182"/>
      <c r="JPY114" s="181"/>
      <c r="JPZ114" s="182"/>
      <c r="JQA114" s="181"/>
      <c r="JQB114" s="182"/>
      <c r="JQC114" s="181"/>
      <c r="JQD114" s="182"/>
      <c r="JQE114" s="181"/>
      <c r="JQF114" s="182"/>
      <c r="JQG114" s="181"/>
      <c r="JQH114" s="182"/>
      <c r="JQI114" s="181"/>
      <c r="JQJ114" s="182"/>
      <c r="JQK114" s="181"/>
      <c r="JQL114" s="182"/>
      <c r="JQM114" s="181"/>
      <c r="JQN114" s="182"/>
      <c r="JQO114" s="181"/>
      <c r="JQP114" s="182"/>
      <c r="JQQ114" s="181"/>
      <c r="JQR114" s="182"/>
      <c r="JQS114" s="181"/>
      <c r="JQT114" s="182"/>
      <c r="JQU114" s="181"/>
      <c r="JQV114" s="182"/>
      <c r="JQW114" s="181"/>
      <c r="JQX114" s="182"/>
      <c r="JQY114" s="181"/>
      <c r="JQZ114" s="182"/>
      <c r="JRA114" s="181"/>
      <c r="JRB114" s="182"/>
      <c r="JRC114" s="181"/>
      <c r="JRD114" s="182"/>
      <c r="JRE114" s="181"/>
      <c r="JRF114" s="182"/>
      <c r="JRG114" s="181"/>
      <c r="JRH114" s="182"/>
      <c r="JRI114" s="181"/>
      <c r="JRJ114" s="182"/>
      <c r="JRK114" s="181"/>
      <c r="JRL114" s="182"/>
      <c r="JRM114" s="181"/>
      <c r="JRN114" s="182"/>
      <c r="JRO114" s="181"/>
      <c r="JRP114" s="182"/>
      <c r="JRQ114" s="181"/>
      <c r="JRR114" s="182"/>
      <c r="JRS114" s="181"/>
      <c r="JRT114" s="182"/>
      <c r="JRU114" s="181"/>
      <c r="JRV114" s="182"/>
      <c r="JRW114" s="181"/>
      <c r="JRX114" s="182"/>
      <c r="JRY114" s="181"/>
      <c r="JRZ114" s="182"/>
      <c r="JSA114" s="181"/>
      <c r="JSB114" s="182"/>
      <c r="JSC114" s="181"/>
      <c r="JSD114" s="182"/>
      <c r="JSE114" s="181"/>
      <c r="JSF114" s="182"/>
      <c r="JSG114" s="181"/>
      <c r="JSH114" s="182"/>
      <c r="JSI114" s="181"/>
      <c r="JSJ114" s="182"/>
      <c r="JSK114" s="181"/>
      <c r="JSL114" s="182"/>
      <c r="JSM114" s="181"/>
      <c r="JSN114" s="182"/>
      <c r="JSO114" s="181"/>
      <c r="JSP114" s="182"/>
      <c r="JSQ114" s="181"/>
      <c r="JSR114" s="182"/>
      <c r="JSS114" s="181"/>
      <c r="JST114" s="182"/>
      <c r="JSU114" s="181"/>
      <c r="JSV114" s="182"/>
      <c r="JSW114" s="181"/>
      <c r="JSX114" s="182"/>
      <c r="JSY114" s="181"/>
      <c r="JSZ114" s="182"/>
      <c r="JTA114" s="181"/>
      <c r="JTB114" s="182"/>
      <c r="JTC114" s="181"/>
      <c r="JTD114" s="182"/>
      <c r="JTE114" s="181"/>
      <c r="JTF114" s="182"/>
      <c r="JTG114" s="181"/>
      <c r="JTH114" s="182"/>
      <c r="JTI114" s="181"/>
      <c r="JTJ114" s="182"/>
      <c r="JTK114" s="181"/>
      <c r="JTL114" s="182"/>
      <c r="JTM114" s="181"/>
      <c r="JTN114" s="182"/>
      <c r="JTO114" s="181"/>
      <c r="JTP114" s="182"/>
      <c r="JTQ114" s="181"/>
      <c r="JTR114" s="182"/>
      <c r="JTS114" s="181"/>
      <c r="JTT114" s="182"/>
      <c r="JTU114" s="181"/>
      <c r="JTV114" s="182"/>
      <c r="JTW114" s="181"/>
      <c r="JTX114" s="182"/>
      <c r="JTY114" s="181"/>
      <c r="JTZ114" s="182"/>
      <c r="JUA114" s="181"/>
      <c r="JUB114" s="182"/>
      <c r="JUC114" s="181"/>
      <c r="JUD114" s="182"/>
      <c r="JUE114" s="181"/>
      <c r="JUF114" s="182"/>
      <c r="JUG114" s="181"/>
      <c r="JUH114" s="182"/>
      <c r="JUI114" s="181"/>
      <c r="JUJ114" s="182"/>
      <c r="JUK114" s="181"/>
      <c r="JUL114" s="182"/>
      <c r="JUM114" s="181"/>
      <c r="JUN114" s="182"/>
      <c r="JUO114" s="181"/>
      <c r="JUP114" s="182"/>
      <c r="JUQ114" s="181"/>
      <c r="JUR114" s="182"/>
      <c r="JUS114" s="181"/>
      <c r="JUT114" s="182"/>
      <c r="JUU114" s="181"/>
      <c r="JUV114" s="182"/>
      <c r="JUW114" s="181"/>
      <c r="JUX114" s="182"/>
      <c r="JUY114" s="181"/>
      <c r="JUZ114" s="182"/>
      <c r="JVA114" s="181"/>
      <c r="JVB114" s="182"/>
      <c r="JVC114" s="181"/>
      <c r="JVD114" s="182"/>
      <c r="JVE114" s="181"/>
      <c r="JVF114" s="182"/>
      <c r="JVG114" s="181"/>
      <c r="JVH114" s="182"/>
      <c r="JVI114" s="181"/>
      <c r="JVJ114" s="182"/>
      <c r="JVK114" s="181"/>
      <c r="JVL114" s="182"/>
      <c r="JVM114" s="181"/>
      <c r="JVN114" s="182"/>
      <c r="JVO114" s="181"/>
      <c r="JVP114" s="182"/>
      <c r="JVQ114" s="181"/>
      <c r="JVR114" s="182"/>
      <c r="JVS114" s="181"/>
      <c r="JVT114" s="182"/>
      <c r="JVU114" s="181"/>
      <c r="JVV114" s="182"/>
      <c r="JVW114" s="181"/>
      <c r="JVX114" s="182"/>
      <c r="JVY114" s="181"/>
      <c r="JVZ114" s="182"/>
      <c r="JWA114" s="181"/>
      <c r="JWB114" s="182"/>
      <c r="JWC114" s="181"/>
      <c r="JWD114" s="182"/>
      <c r="JWE114" s="181"/>
      <c r="JWF114" s="182"/>
      <c r="JWG114" s="181"/>
      <c r="JWH114" s="182"/>
      <c r="JWI114" s="181"/>
      <c r="JWJ114" s="182"/>
      <c r="JWK114" s="181"/>
      <c r="JWL114" s="182"/>
      <c r="JWM114" s="181"/>
      <c r="JWN114" s="182"/>
      <c r="JWO114" s="181"/>
      <c r="JWP114" s="182"/>
      <c r="JWQ114" s="181"/>
      <c r="JWR114" s="182"/>
      <c r="JWS114" s="181"/>
      <c r="JWT114" s="182"/>
      <c r="JWU114" s="181"/>
      <c r="JWV114" s="182"/>
      <c r="JWW114" s="181"/>
      <c r="JWX114" s="182"/>
      <c r="JWY114" s="181"/>
      <c r="JWZ114" s="182"/>
      <c r="JXA114" s="181"/>
      <c r="JXB114" s="182"/>
      <c r="JXC114" s="181"/>
      <c r="JXD114" s="182"/>
      <c r="JXE114" s="181"/>
      <c r="JXF114" s="182"/>
      <c r="JXG114" s="181"/>
      <c r="JXH114" s="182"/>
      <c r="JXI114" s="181"/>
      <c r="JXJ114" s="182"/>
      <c r="JXK114" s="181"/>
      <c r="JXL114" s="182"/>
      <c r="JXM114" s="181"/>
      <c r="JXN114" s="182"/>
      <c r="JXO114" s="181"/>
      <c r="JXP114" s="182"/>
      <c r="JXQ114" s="181"/>
      <c r="JXR114" s="182"/>
      <c r="JXS114" s="181"/>
      <c r="JXT114" s="182"/>
      <c r="JXU114" s="181"/>
      <c r="JXV114" s="182"/>
      <c r="JXW114" s="181"/>
      <c r="JXX114" s="182"/>
      <c r="JXY114" s="181"/>
      <c r="JXZ114" s="182"/>
      <c r="JYA114" s="181"/>
      <c r="JYB114" s="182"/>
      <c r="JYC114" s="181"/>
      <c r="JYD114" s="182"/>
      <c r="JYE114" s="181"/>
      <c r="JYF114" s="182"/>
      <c r="JYG114" s="181"/>
      <c r="JYH114" s="182"/>
      <c r="JYI114" s="181"/>
      <c r="JYJ114" s="182"/>
      <c r="JYK114" s="181"/>
      <c r="JYL114" s="182"/>
      <c r="JYM114" s="181"/>
      <c r="JYN114" s="182"/>
      <c r="JYO114" s="181"/>
      <c r="JYP114" s="182"/>
      <c r="JYQ114" s="181"/>
      <c r="JYR114" s="182"/>
      <c r="JYS114" s="181"/>
      <c r="JYT114" s="182"/>
      <c r="JYU114" s="181"/>
      <c r="JYV114" s="182"/>
      <c r="JYW114" s="181"/>
      <c r="JYX114" s="182"/>
      <c r="JYY114" s="181"/>
      <c r="JYZ114" s="182"/>
      <c r="JZA114" s="181"/>
      <c r="JZB114" s="182"/>
      <c r="JZC114" s="181"/>
      <c r="JZD114" s="182"/>
      <c r="JZE114" s="181"/>
      <c r="JZF114" s="182"/>
      <c r="JZG114" s="181"/>
      <c r="JZH114" s="182"/>
      <c r="JZI114" s="181"/>
      <c r="JZJ114" s="182"/>
      <c r="JZK114" s="181"/>
      <c r="JZL114" s="182"/>
      <c r="JZM114" s="181"/>
      <c r="JZN114" s="182"/>
      <c r="JZO114" s="181"/>
      <c r="JZP114" s="182"/>
      <c r="JZQ114" s="181"/>
      <c r="JZR114" s="182"/>
      <c r="JZS114" s="181"/>
      <c r="JZT114" s="182"/>
      <c r="JZU114" s="181"/>
      <c r="JZV114" s="182"/>
      <c r="JZW114" s="181"/>
      <c r="JZX114" s="182"/>
      <c r="JZY114" s="181"/>
      <c r="JZZ114" s="182"/>
      <c r="KAA114" s="181"/>
      <c r="KAB114" s="182"/>
      <c r="KAC114" s="181"/>
      <c r="KAD114" s="182"/>
      <c r="KAE114" s="181"/>
      <c r="KAF114" s="182"/>
      <c r="KAG114" s="181"/>
      <c r="KAH114" s="182"/>
      <c r="KAI114" s="181"/>
      <c r="KAJ114" s="182"/>
      <c r="KAK114" s="181"/>
      <c r="KAL114" s="182"/>
      <c r="KAM114" s="181"/>
      <c r="KAN114" s="182"/>
      <c r="KAO114" s="181"/>
      <c r="KAP114" s="182"/>
      <c r="KAQ114" s="181"/>
      <c r="KAR114" s="182"/>
      <c r="KAS114" s="181"/>
      <c r="KAT114" s="182"/>
      <c r="KAU114" s="181"/>
      <c r="KAV114" s="182"/>
      <c r="KAW114" s="181"/>
      <c r="KAX114" s="182"/>
      <c r="KAY114" s="181"/>
      <c r="KAZ114" s="182"/>
      <c r="KBA114" s="181"/>
      <c r="KBB114" s="182"/>
      <c r="KBC114" s="181"/>
      <c r="KBD114" s="182"/>
      <c r="KBE114" s="181"/>
      <c r="KBF114" s="182"/>
      <c r="KBG114" s="181"/>
      <c r="KBH114" s="182"/>
      <c r="KBI114" s="181"/>
      <c r="KBJ114" s="182"/>
      <c r="KBK114" s="181"/>
      <c r="KBL114" s="182"/>
      <c r="KBM114" s="181"/>
      <c r="KBN114" s="182"/>
      <c r="KBO114" s="181"/>
      <c r="KBP114" s="182"/>
      <c r="KBQ114" s="181"/>
      <c r="KBR114" s="182"/>
      <c r="KBS114" s="181"/>
      <c r="KBT114" s="182"/>
      <c r="KBU114" s="181"/>
      <c r="KBV114" s="182"/>
      <c r="KBW114" s="181"/>
      <c r="KBX114" s="182"/>
      <c r="KBY114" s="181"/>
      <c r="KBZ114" s="182"/>
      <c r="KCA114" s="181"/>
      <c r="KCB114" s="182"/>
      <c r="KCC114" s="181"/>
      <c r="KCD114" s="182"/>
      <c r="KCE114" s="181"/>
      <c r="KCF114" s="182"/>
      <c r="KCG114" s="181"/>
      <c r="KCH114" s="182"/>
      <c r="KCI114" s="181"/>
      <c r="KCJ114" s="182"/>
      <c r="KCK114" s="181"/>
      <c r="KCL114" s="182"/>
      <c r="KCM114" s="181"/>
      <c r="KCN114" s="182"/>
      <c r="KCO114" s="181"/>
      <c r="KCP114" s="182"/>
      <c r="KCQ114" s="181"/>
      <c r="KCR114" s="182"/>
      <c r="KCS114" s="181"/>
      <c r="KCT114" s="182"/>
      <c r="KCU114" s="181"/>
      <c r="KCV114" s="182"/>
      <c r="KCW114" s="181"/>
      <c r="KCX114" s="182"/>
      <c r="KCY114" s="181"/>
      <c r="KCZ114" s="182"/>
      <c r="KDA114" s="181"/>
      <c r="KDB114" s="182"/>
      <c r="KDC114" s="181"/>
      <c r="KDD114" s="182"/>
      <c r="KDE114" s="181"/>
      <c r="KDF114" s="182"/>
      <c r="KDG114" s="181"/>
      <c r="KDH114" s="182"/>
      <c r="KDI114" s="181"/>
      <c r="KDJ114" s="182"/>
      <c r="KDK114" s="181"/>
      <c r="KDL114" s="182"/>
      <c r="KDM114" s="181"/>
      <c r="KDN114" s="182"/>
      <c r="KDO114" s="181"/>
      <c r="KDP114" s="182"/>
      <c r="KDQ114" s="181"/>
      <c r="KDR114" s="182"/>
      <c r="KDS114" s="181"/>
      <c r="KDT114" s="182"/>
      <c r="KDU114" s="181"/>
      <c r="KDV114" s="182"/>
      <c r="KDW114" s="181"/>
      <c r="KDX114" s="182"/>
      <c r="KDY114" s="181"/>
      <c r="KDZ114" s="182"/>
      <c r="KEA114" s="181"/>
      <c r="KEB114" s="182"/>
      <c r="KEC114" s="181"/>
      <c r="KED114" s="182"/>
      <c r="KEE114" s="181"/>
      <c r="KEF114" s="182"/>
      <c r="KEG114" s="181"/>
      <c r="KEH114" s="182"/>
      <c r="KEI114" s="181"/>
      <c r="KEJ114" s="182"/>
      <c r="KEK114" s="181"/>
      <c r="KEL114" s="182"/>
      <c r="KEM114" s="181"/>
      <c r="KEN114" s="182"/>
      <c r="KEO114" s="181"/>
      <c r="KEP114" s="182"/>
      <c r="KEQ114" s="181"/>
      <c r="KER114" s="182"/>
      <c r="KES114" s="181"/>
      <c r="KET114" s="182"/>
      <c r="KEU114" s="181"/>
      <c r="KEV114" s="182"/>
      <c r="KEW114" s="181"/>
      <c r="KEX114" s="182"/>
      <c r="KEY114" s="181"/>
      <c r="KEZ114" s="182"/>
      <c r="KFA114" s="181"/>
      <c r="KFB114" s="182"/>
      <c r="KFC114" s="181"/>
      <c r="KFD114" s="182"/>
      <c r="KFE114" s="181"/>
      <c r="KFF114" s="182"/>
      <c r="KFG114" s="181"/>
      <c r="KFH114" s="182"/>
      <c r="KFI114" s="181"/>
      <c r="KFJ114" s="182"/>
      <c r="KFK114" s="181"/>
      <c r="KFL114" s="182"/>
      <c r="KFM114" s="181"/>
      <c r="KFN114" s="182"/>
      <c r="KFO114" s="181"/>
      <c r="KFP114" s="182"/>
      <c r="KFQ114" s="181"/>
      <c r="KFR114" s="182"/>
      <c r="KFS114" s="181"/>
      <c r="KFT114" s="182"/>
      <c r="KFU114" s="181"/>
      <c r="KFV114" s="182"/>
      <c r="KFW114" s="181"/>
      <c r="KFX114" s="182"/>
      <c r="KFY114" s="181"/>
      <c r="KFZ114" s="182"/>
      <c r="KGA114" s="181"/>
      <c r="KGB114" s="182"/>
      <c r="KGC114" s="181"/>
      <c r="KGD114" s="182"/>
      <c r="KGE114" s="181"/>
      <c r="KGF114" s="182"/>
      <c r="KGG114" s="181"/>
      <c r="KGH114" s="182"/>
      <c r="KGI114" s="181"/>
      <c r="KGJ114" s="182"/>
      <c r="KGK114" s="181"/>
      <c r="KGL114" s="182"/>
      <c r="KGM114" s="181"/>
      <c r="KGN114" s="182"/>
      <c r="KGO114" s="181"/>
      <c r="KGP114" s="182"/>
      <c r="KGQ114" s="181"/>
      <c r="KGR114" s="182"/>
      <c r="KGS114" s="181"/>
      <c r="KGT114" s="182"/>
      <c r="KGU114" s="181"/>
      <c r="KGV114" s="182"/>
      <c r="KGW114" s="181"/>
      <c r="KGX114" s="182"/>
      <c r="KGY114" s="181"/>
      <c r="KGZ114" s="182"/>
      <c r="KHA114" s="181"/>
      <c r="KHB114" s="182"/>
      <c r="KHC114" s="181"/>
      <c r="KHD114" s="182"/>
      <c r="KHE114" s="181"/>
      <c r="KHF114" s="182"/>
      <c r="KHG114" s="181"/>
      <c r="KHH114" s="182"/>
      <c r="KHI114" s="181"/>
      <c r="KHJ114" s="182"/>
      <c r="KHK114" s="181"/>
      <c r="KHL114" s="182"/>
      <c r="KHM114" s="181"/>
      <c r="KHN114" s="182"/>
      <c r="KHO114" s="181"/>
      <c r="KHP114" s="182"/>
      <c r="KHQ114" s="181"/>
      <c r="KHR114" s="182"/>
      <c r="KHS114" s="181"/>
      <c r="KHT114" s="182"/>
      <c r="KHU114" s="181"/>
      <c r="KHV114" s="182"/>
      <c r="KHW114" s="181"/>
      <c r="KHX114" s="182"/>
      <c r="KHY114" s="181"/>
      <c r="KHZ114" s="182"/>
      <c r="KIA114" s="181"/>
      <c r="KIB114" s="182"/>
      <c r="KIC114" s="181"/>
      <c r="KID114" s="182"/>
      <c r="KIE114" s="181"/>
      <c r="KIF114" s="182"/>
      <c r="KIG114" s="181"/>
      <c r="KIH114" s="182"/>
      <c r="KII114" s="181"/>
      <c r="KIJ114" s="182"/>
      <c r="KIK114" s="181"/>
      <c r="KIL114" s="182"/>
      <c r="KIM114" s="181"/>
      <c r="KIN114" s="182"/>
      <c r="KIO114" s="181"/>
      <c r="KIP114" s="182"/>
      <c r="KIQ114" s="181"/>
      <c r="KIR114" s="182"/>
      <c r="KIS114" s="181"/>
      <c r="KIT114" s="182"/>
      <c r="KIU114" s="181"/>
      <c r="KIV114" s="182"/>
      <c r="KIW114" s="181"/>
      <c r="KIX114" s="182"/>
      <c r="KIY114" s="181"/>
      <c r="KIZ114" s="182"/>
      <c r="KJA114" s="181"/>
      <c r="KJB114" s="182"/>
      <c r="KJC114" s="181"/>
      <c r="KJD114" s="182"/>
      <c r="KJE114" s="181"/>
      <c r="KJF114" s="182"/>
      <c r="KJG114" s="181"/>
      <c r="KJH114" s="182"/>
      <c r="KJI114" s="181"/>
      <c r="KJJ114" s="182"/>
      <c r="KJK114" s="181"/>
      <c r="KJL114" s="182"/>
      <c r="KJM114" s="181"/>
      <c r="KJN114" s="182"/>
      <c r="KJO114" s="181"/>
      <c r="KJP114" s="182"/>
      <c r="KJQ114" s="181"/>
      <c r="KJR114" s="182"/>
      <c r="KJS114" s="181"/>
      <c r="KJT114" s="182"/>
      <c r="KJU114" s="181"/>
      <c r="KJV114" s="182"/>
      <c r="KJW114" s="181"/>
      <c r="KJX114" s="182"/>
      <c r="KJY114" s="181"/>
      <c r="KJZ114" s="182"/>
      <c r="KKA114" s="181"/>
      <c r="KKB114" s="182"/>
      <c r="KKC114" s="181"/>
      <c r="KKD114" s="182"/>
      <c r="KKE114" s="181"/>
      <c r="KKF114" s="182"/>
      <c r="KKG114" s="181"/>
      <c r="KKH114" s="182"/>
      <c r="KKI114" s="181"/>
      <c r="KKJ114" s="182"/>
      <c r="KKK114" s="181"/>
      <c r="KKL114" s="182"/>
      <c r="KKM114" s="181"/>
      <c r="KKN114" s="182"/>
      <c r="KKO114" s="181"/>
      <c r="KKP114" s="182"/>
      <c r="KKQ114" s="181"/>
      <c r="KKR114" s="182"/>
      <c r="KKS114" s="181"/>
      <c r="KKT114" s="182"/>
      <c r="KKU114" s="181"/>
      <c r="KKV114" s="182"/>
      <c r="KKW114" s="181"/>
      <c r="KKX114" s="182"/>
      <c r="KKY114" s="181"/>
      <c r="KKZ114" s="182"/>
      <c r="KLA114" s="181"/>
      <c r="KLB114" s="182"/>
      <c r="KLC114" s="181"/>
      <c r="KLD114" s="182"/>
      <c r="KLE114" s="181"/>
      <c r="KLF114" s="182"/>
      <c r="KLG114" s="181"/>
      <c r="KLH114" s="182"/>
      <c r="KLI114" s="181"/>
      <c r="KLJ114" s="182"/>
      <c r="KLK114" s="181"/>
      <c r="KLL114" s="182"/>
      <c r="KLM114" s="181"/>
      <c r="KLN114" s="182"/>
      <c r="KLO114" s="181"/>
      <c r="KLP114" s="182"/>
      <c r="KLQ114" s="181"/>
      <c r="KLR114" s="182"/>
      <c r="KLS114" s="181"/>
      <c r="KLT114" s="182"/>
      <c r="KLU114" s="181"/>
      <c r="KLV114" s="182"/>
      <c r="KLW114" s="181"/>
      <c r="KLX114" s="182"/>
      <c r="KLY114" s="181"/>
      <c r="KLZ114" s="182"/>
      <c r="KMA114" s="181"/>
      <c r="KMB114" s="182"/>
      <c r="KMC114" s="181"/>
      <c r="KMD114" s="182"/>
      <c r="KME114" s="181"/>
      <c r="KMF114" s="182"/>
      <c r="KMG114" s="181"/>
      <c r="KMH114" s="182"/>
      <c r="KMI114" s="181"/>
      <c r="KMJ114" s="182"/>
      <c r="KMK114" s="181"/>
      <c r="KML114" s="182"/>
      <c r="KMM114" s="181"/>
      <c r="KMN114" s="182"/>
      <c r="KMO114" s="181"/>
      <c r="KMP114" s="182"/>
      <c r="KMQ114" s="181"/>
      <c r="KMR114" s="182"/>
      <c r="KMS114" s="181"/>
      <c r="KMT114" s="182"/>
      <c r="KMU114" s="181"/>
      <c r="KMV114" s="182"/>
      <c r="KMW114" s="181"/>
      <c r="KMX114" s="182"/>
      <c r="KMY114" s="181"/>
      <c r="KMZ114" s="182"/>
      <c r="KNA114" s="181"/>
      <c r="KNB114" s="182"/>
      <c r="KNC114" s="181"/>
      <c r="KND114" s="182"/>
      <c r="KNE114" s="181"/>
      <c r="KNF114" s="182"/>
      <c r="KNG114" s="181"/>
      <c r="KNH114" s="182"/>
      <c r="KNI114" s="181"/>
      <c r="KNJ114" s="182"/>
      <c r="KNK114" s="181"/>
      <c r="KNL114" s="182"/>
      <c r="KNM114" s="181"/>
      <c r="KNN114" s="182"/>
      <c r="KNO114" s="181"/>
      <c r="KNP114" s="182"/>
      <c r="KNQ114" s="181"/>
      <c r="KNR114" s="182"/>
      <c r="KNS114" s="181"/>
      <c r="KNT114" s="182"/>
      <c r="KNU114" s="181"/>
      <c r="KNV114" s="182"/>
      <c r="KNW114" s="181"/>
      <c r="KNX114" s="182"/>
      <c r="KNY114" s="181"/>
      <c r="KNZ114" s="182"/>
      <c r="KOA114" s="181"/>
      <c r="KOB114" s="182"/>
      <c r="KOC114" s="181"/>
      <c r="KOD114" s="182"/>
      <c r="KOE114" s="181"/>
      <c r="KOF114" s="182"/>
      <c r="KOG114" s="181"/>
      <c r="KOH114" s="182"/>
      <c r="KOI114" s="181"/>
      <c r="KOJ114" s="182"/>
      <c r="KOK114" s="181"/>
      <c r="KOL114" s="182"/>
      <c r="KOM114" s="181"/>
      <c r="KON114" s="182"/>
      <c r="KOO114" s="181"/>
      <c r="KOP114" s="182"/>
      <c r="KOQ114" s="181"/>
      <c r="KOR114" s="182"/>
      <c r="KOS114" s="181"/>
      <c r="KOT114" s="182"/>
      <c r="KOU114" s="181"/>
      <c r="KOV114" s="182"/>
      <c r="KOW114" s="181"/>
      <c r="KOX114" s="182"/>
      <c r="KOY114" s="181"/>
      <c r="KOZ114" s="182"/>
      <c r="KPA114" s="181"/>
      <c r="KPB114" s="182"/>
      <c r="KPC114" s="181"/>
      <c r="KPD114" s="182"/>
      <c r="KPE114" s="181"/>
      <c r="KPF114" s="182"/>
      <c r="KPG114" s="181"/>
      <c r="KPH114" s="182"/>
      <c r="KPI114" s="181"/>
      <c r="KPJ114" s="182"/>
      <c r="KPK114" s="181"/>
      <c r="KPL114" s="182"/>
      <c r="KPM114" s="181"/>
      <c r="KPN114" s="182"/>
      <c r="KPO114" s="181"/>
      <c r="KPP114" s="182"/>
      <c r="KPQ114" s="181"/>
      <c r="KPR114" s="182"/>
      <c r="KPS114" s="181"/>
      <c r="KPT114" s="182"/>
      <c r="KPU114" s="181"/>
      <c r="KPV114" s="182"/>
      <c r="KPW114" s="181"/>
      <c r="KPX114" s="182"/>
      <c r="KPY114" s="181"/>
      <c r="KPZ114" s="182"/>
      <c r="KQA114" s="181"/>
      <c r="KQB114" s="182"/>
      <c r="KQC114" s="181"/>
      <c r="KQD114" s="182"/>
      <c r="KQE114" s="181"/>
      <c r="KQF114" s="182"/>
      <c r="KQG114" s="181"/>
      <c r="KQH114" s="182"/>
      <c r="KQI114" s="181"/>
      <c r="KQJ114" s="182"/>
      <c r="KQK114" s="181"/>
      <c r="KQL114" s="182"/>
      <c r="KQM114" s="181"/>
      <c r="KQN114" s="182"/>
      <c r="KQO114" s="181"/>
      <c r="KQP114" s="182"/>
      <c r="KQQ114" s="181"/>
      <c r="KQR114" s="182"/>
      <c r="KQS114" s="181"/>
      <c r="KQT114" s="182"/>
      <c r="KQU114" s="181"/>
      <c r="KQV114" s="182"/>
      <c r="KQW114" s="181"/>
      <c r="KQX114" s="182"/>
      <c r="KQY114" s="181"/>
      <c r="KQZ114" s="182"/>
      <c r="KRA114" s="181"/>
      <c r="KRB114" s="182"/>
      <c r="KRC114" s="181"/>
      <c r="KRD114" s="182"/>
      <c r="KRE114" s="181"/>
      <c r="KRF114" s="182"/>
      <c r="KRG114" s="181"/>
      <c r="KRH114" s="182"/>
      <c r="KRI114" s="181"/>
      <c r="KRJ114" s="182"/>
      <c r="KRK114" s="181"/>
      <c r="KRL114" s="182"/>
      <c r="KRM114" s="181"/>
      <c r="KRN114" s="182"/>
      <c r="KRO114" s="181"/>
      <c r="KRP114" s="182"/>
      <c r="KRQ114" s="181"/>
      <c r="KRR114" s="182"/>
      <c r="KRS114" s="181"/>
      <c r="KRT114" s="182"/>
      <c r="KRU114" s="181"/>
      <c r="KRV114" s="182"/>
      <c r="KRW114" s="181"/>
      <c r="KRX114" s="182"/>
      <c r="KRY114" s="181"/>
      <c r="KRZ114" s="182"/>
      <c r="KSA114" s="181"/>
      <c r="KSB114" s="182"/>
      <c r="KSC114" s="181"/>
      <c r="KSD114" s="182"/>
      <c r="KSE114" s="181"/>
      <c r="KSF114" s="182"/>
      <c r="KSG114" s="181"/>
      <c r="KSH114" s="182"/>
      <c r="KSI114" s="181"/>
      <c r="KSJ114" s="182"/>
      <c r="KSK114" s="181"/>
      <c r="KSL114" s="182"/>
      <c r="KSM114" s="181"/>
      <c r="KSN114" s="182"/>
      <c r="KSO114" s="181"/>
      <c r="KSP114" s="182"/>
      <c r="KSQ114" s="181"/>
      <c r="KSR114" s="182"/>
      <c r="KSS114" s="181"/>
      <c r="KST114" s="182"/>
      <c r="KSU114" s="181"/>
      <c r="KSV114" s="182"/>
      <c r="KSW114" s="181"/>
      <c r="KSX114" s="182"/>
      <c r="KSY114" s="181"/>
      <c r="KSZ114" s="182"/>
      <c r="KTA114" s="181"/>
      <c r="KTB114" s="182"/>
      <c r="KTC114" s="181"/>
      <c r="KTD114" s="182"/>
      <c r="KTE114" s="181"/>
      <c r="KTF114" s="182"/>
      <c r="KTG114" s="181"/>
      <c r="KTH114" s="182"/>
      <c r="KTI114" s="181"/>
      <c r="KTJ114" s="182"/>
      <c r="KTK114" s="181"/>
      <c r="KTL114" s="182"/>
      <c r="KTM114" s="181"/>
      <c r="KTN114" s="182"/>
      <c r="KTO114" s="181"/>
      <c r="KTP114" s="182"/>
      <c r="KTQ114" s="181"/>
      <c r="KTR114" s="182"/>
      <c r="KTS114" s="181"/>
      <c r="KTT114" s="182"/>
      <c r="KTU114" s="181"/>
      <c r="KTV114" s="182"/>
      <c r="KTW114" s="181"/>
      <c r="KTX114" s="182"/>
      <c r="KTY114" s="181"/>
      <c r="KTZ114" s="182"/>
      <c r="KUA114" s="181"/>
      <c r="KUB114" s="182"/>
      <c r="KUC114" s="181"/>
      <c r="KUD114" s="182"/>
      <c r="KUE114" s="181"/>
      <c r="KUF114" s="182"/>
      <c r="KUG114" s="181"/>
      <c r="KUH114" s="182"/>
      <c r="KUI114" s="181"/>
      <c r="KUJ114" s="182"/>
      <c r="KUK114" s="181"/>
      <c r="KUL114" s="182"/>
      <c r="KUM114" s="181"/>
      <c r="KUN114" s="182"/>
      <c r="KUO114" s="181"/>
      <c r="KUP114" s="182"/>
      <c r="KUQ114" s="181"/>
      <c r="KUR114" s="182"/>
      <c r="KUS114" s="181"/>
      <c r="KUT114" s="182"/>
      <c r="KUU114" s="181"/>
      <c r="KUV114" s="182"/>
      <c r="KUW114" s="181"/>
      <c r="KUX114" s="182"/>
      <c r="KUY114" s="181"/>
      <c r="KUZ114" s="182"/>
      <c r="KVA114" s="181"/>
      <c r="KVB114" s="182"/>
      <c r="KVC114" s="181"/>
      <c r="KVD114" s="182"/>
      <c r="KVE114" s="181"/>
      <c r="KVF114" s="182"/>
      <c r="KVG114" s="181"/>
      <c r="KVH114" s="182"/>
      <c r="KVI114" s="181"/>
      <c r="KVJ114" s="182"/>
      <c r="KVK114" s="181"/>
      <c r="KVL114" s="182"/>
      <c r="KVM114" s="181"/>
      <c r="KVN114" s="182"/>
      <c r="KVO114" s="181"/>
      <c r="KVP114" s="182"/>
      <c r="KVQ114" s="181"/>
      <c r="KVR114" s="182"/>
      <c r="KVS114" s="181"/>
      <c r="KVT114" s="182"/>
      <c r="KVU114" s="181"/>
      <c r="KVV114" s="182"/>
      <c r="KVW114" s="181"/>
      <c r="KVX114" s="182"/>
      <c r="KVY114" s="181"/>
      <c r="KVZ114" s="182"/>
      <c r="KWA114" s="181"/>
      <c r="KWB114" s="182"/>
      <c r="KWC114" s="181"/>
      <c r="KWD114" s="182"/>
      <c r="KWE114" s="181"/>
      <c r="KWF114" s="182"/>
      <c r="KWG114" s="181"/>
      <c r="KWH114" s="182"/>
      <c r="KWI114" s="181"/>
      <c r="KWJ114" s="182"/>
      <c r="KWK114" s="181"/>
      <c r="KWL114" s="182"/>
      <c r="KWM114" s="181"/>
      <c r="KWN114" s="182"/>
      <c r="KWO114" s="181"/>
      <c r="KWP114" s="182"/>
      <c r="KWQ114" s="181"/>
      <c r="KWR114" s="182"/>
      <c r="KWS114" s="181"/>
      <c r="KWT114" s="182"/>
      <c r="KWU114" s="181"/>
      <c r="KWV114" s="182"/>
      <c r="KWW114" s="181"/>
      <c r="KWX114" s="182"/>
      <c r="KWY114" s="181"/>
      <c r="KWZ114" s="182"/>
      <c r="KXA114" s="181"/>
      <c r="KXB114" s="182"/>
      <c r="KXC114" s="181"/>
      <c r="KXD114" s="182"/>
      <c r="KXE114" s="181"/>
      <c r="KXF114" s="182"/>
      <c r="KXG114" s="181"/>
      <c r="KXH114" s="182"/>
      <c r="KXI114" s="181"/>
      <c r="KXJ114" s="182"/>
      <c r="KXK114" s="181"/>
      <c r="KXL114" s="182"/>
      <c r="KXM114" s="181"/>
      <c r="KXN114" s="182"/>
      <c r="KXO114" s="181"/>
      <c r="KXP114" s="182"/>
      <c r="KXQ114" s="181"/>
      <c r="KXR114" s="182"/>
      <c r="KXS114" s="181"/>
      <c r="KXT114" s="182"/>
      <c r="KXU114" s="181"/>
      <c r="KXV114" s="182"/>
      <c r="KXW114" s="181"/>
      <c r="KXX114" s="182"/>
      <c r="KXY114" s="181"/>
      <c r="KXZ114" s="182"/>
      <c r="KYA114" s="181"/>
      <c r="KYB114" s="182"/>
      <c r="KYC114" s="181"/>
      <c r="KYD114" s="182"/>
      <c r="KYE114" s="181"/>
      <c r="KYF114" s="182"/>
      <c r="KYG114" s="181"/>
      <c r="KYH114" s="182"/>
      <c r="KYI114" s="181"/>
      <c r="KYJ114" s="182"/>
      <c r="KYK114" s="181"/>
      <c r="KYL114" s="182"/>
      <c r="KYM114" s="181"/>
      <c r="KYN114" s="182"/>
      <c r="KYO114" s="181"/>
      <c r="KYP114" s="182"/>
      <c r="KYQ114" s="181"/>
      <c r="KYR114" s="182"/>
      <c r="KYS114" s="181"/>
      <c r="KYT114" s="182"/>
      <c r="KYU114" s="181"/>
      <c r="KYV114" s="182"/>
      <c r="KYW114" s="181"/>
      <c r="KYX114" s="182"/>
      <c r="KYY114" s="181"/>
      <c r="KYZ114" s="182"/>
      <c r="KZA114" s="181"/>
      <c r="KZB114" s="182"/>
      <c r="KZC114" s="181"/>
      <c r="KZD114" s="182"/>
      <c r="KZE114" s="181"/>
      <c r="KZF114" s="182"/>
      <c r="KZG114" s="181"/>
      <c r="KZH114" s="182"/>
      <c r="KZI114" s="181"/>
      <c r="KZJ114" s="182"/>
      <c r="KZK114" s="181"/>
      <c r="KZL114" s="182"/>
      <c r="KZM114" s="181"/>
      <c r="KZN114" s="182"/>
      <c r="KZO114" s="181"/>
      <c r="KZP114" s="182"/>
      <c r="KZQ114" s="181"/>
      <c r="KZR114" s="182"/>
      <c r="KZS114" s="181"/>
      <c r="KZT114" s="182"/>
      <c r="KZU114" s="181"/>
      <c r="KZV114" s="182"/>
      <c r="KZW114" s="181"/>
      <c r="KZX114" s="182"/>
      <c r="KZY114" s="181"/>
      <c r="KZZ114" s="182"/>
      <c r="LAA114" s="181"/>
      <c r="LAB114" s="182"/>
      <c r="LAC114" s="181"/>
      <c r="LAD114" s="182"/>
      <c r="LAE114" s="181"/>
      <c r="LAF114" s="182"/>
      <c r="LAG114" s="181"/>
      <c r="LAH114" s="182"/>
      <c r="LAI114" s="181"/>
      <c r="LAJ114" s="182"/>
      <c r="LAK114" s="181"/>
      <c r="LAL114" s="182"/>
      <c r="LAM114" s="181"/>
      <c r="LAN114" s="182"/>
      <c r="LAO114" s="181"/>
      <c r="LAP114" s="182"/>
      <c r="LAQ114" s="181"/>
      <c r="LAR114" s="182"/>
      <c r="LAS114" s="181"/>
      <c r="LAT114" s="182"/>
      <c r="LAU114" s="181"/>
      <c r="LAV114" s="182"/>
      <c r="LAW114" s="181"/>
      <c r="LAX114" s="182"/>
      <c r="LAY114" s="181"/>
      <c r="LAZ114" s="182"/>
      <c r="LBA114" s="181"/>
      <c r="LBB114" s="182"/>
      <c r="LBC114" s="181"/>
      <c r="LBD114" s="182"/>
      <c r="LBE114" s="181"/>
      <c r="LBF114" s="182"/>
      <c r="LBG114" s="181"/>
      <c r="LBH114" s="182"/>
      <c r="LBI114" s="181"/>
      <c r="LBJ114" s="182"/>
      <c r="LBK114" s="181"/>
      <c r="LBL114" s="182"/>
      <c r="LBM114" s="181"/>
      <c r="LBN114" s="182"/>
      <c r="LBO114" s="181"/>
      <c r="LBP114" s="182"/>
      <c r="LBQ114" s="181"/>
      <c r="LBR114" s="182"/>
      <c r="LBS114" s="181"/>
      <c r="LBT114" s="182"/>
      <c r="LBU114" s="181"/>
      <c r="LBV114" s="182"/>
      <c r="LBW114" s="181"/>
      <c r="LBX114" s="182"/>
      <c r="LBY114" s="181"/>
      <c r="LBZ114" s="182"/>
      <c r="LCA114" s="181"/>
      <c r="LCB114" s="182"/>
      <c r="LCC114" s="181"/>
      <c r="LCD114" s="182"/>
      <c r="LCE114" s="181"/>
      <c r="LCF114" s="182"/>
      <c r="LCG114" s="181"/>
      <c r="LCH114" s="182"/>
      <c r="LCI114" s="181"/>
      <c r="LCJ114" s="182"/>
      <c r="LCK114" s="181"/>
      <c r="LCL114" s="182"/>
      <c r="LCM114" s="181"/>
      <c r="LCN114" s="182"/>
      <c r="LCO114" s="181"/>
      <c r="LCP114" s="182"/>
      <c r="LCQ114" s="181"/>
      <c r="LCR114" s="182"/>
      <c r="LCS114" s="181"/>
      <c r="LCT114" s="182"/>
      <c r="LCU114" s="181"/>
      <c r="LCV114" s="182"/>
      <c r="LCW114" s="181"/>
      <c r="LCX114" s="182"/>
      <c r="LCY114" s="181"/>
      <c r="LCZ114" s="182"/>
      <c r="LDA114" s="181"/>
      <c r="LDB114" s="182"/>
      <c r="LDC114" s="181"/>
      <c r="LDD114" s="182"/>
      <c r="LDE114" s="181"/>
      <c r="LDF114" s="182"/>
      <c r="LDG114" s="181"/>
      <c r="LDH114" s="182"/>
      <c r="LDI114" s="181"/>
      <c r="LDJ114" s="182"/>
      <c r="LDK114" s="181"/>
      <c r="LDL114" s="182"/>
      <c r="LDM114" s="181"/>
      <c r="LDN114" s="182"/>
      <c r="LDO114" s="181"/>
      <c r="LDP114" s="182"/>
      <c r="LDQ114" s="181"/>
      <c r="LDR114" s="182"/>
      <c r="LDS114" s="181"/>
      <c r="LDT114" s="182"/>
      <c r="LDU114" s="181"/>
      <c r="LDV114" s="182"/>
      <c r="LDW114" s="181"/>
      <c r="LDX114" s="182"/>
      <c r="LDY114" s="181"/>
      <c r="LDZ114" s="182"/>
      <c r="LEA114" s="181"/>
      <c r="LEB114" s="182"/>
      <c r="LEC114" s="181"/>
      <c r="LED114" s="182"/>
      <c r="LEE114" s="181"/>
      <c r="LEF114" s="182"/>
      <c r="LEG114" s="181"/>
      <c r="LEH114" s="182"/>
      <c r="LEI114" s="181"/>
      <c r="LEJ114" s="182"/>
      <c r="LEK114" s="181"/>
      <c r="LEL114" s="182"/>
      <c r="LEM114" s="181"/>
      <c r="LEN114" s="182"/>
      <c r="LEO114" s="181"/>
      <c r="LEP114" s="182"/>
      <c r="LEQ114" s="181"/>
      <c r="LER114" s="182"/>
      <c r="LES114" s="181"/>
      <c r="LET114" s="182"/>
      <c r="LEU114" s="181"/>
      <c r="LEV114" s="182"/>
      <c r="LEW114" s="181"/>
      <c r="LEX114" s="182"/>
      <c r="LEY114" s="181"/>
      <c r="LEZ114" s="182"/>
      <c r="LFA114" s="181"/>
      <c r="LFB114" s="182"/>
      <c r="LFC114" s="181"/>
      <c r="LFD114" s="182"/>
      <c r="LFE114" s="181"/>
      <c r="LFF114" s="182"/>
      <c r="LFG114" s="181"/>
      <c r="LFH114" s="182"/>
      <c r="LFI114" s="181"/>
      <c r="LFJ114" s="182"/>
      <c r="LFK114" s="181"/>
      <c r="LFL114" s="182"/>
      <c r="LFM114" s="181"/>
      <c r="LFN114" s="182"/>
      <c r="LFO114" s="181"/>
      <c r="LFP114" s="182"/>
      <c r="LFQ114" s="181"/>
      <c r="LFR114" s="182"/>
      <c r="LFS114" s="181"/>
      <c r="LFT114" s="182"/>
      <c r="LFU114" s="181"/>
      <c r="LFV114" s="182"/>
      <c r="LFW114" s="181"/>
      <c r="LFX114" s="182"/>
      <c r="LFY114" s="181"/>
      <c r="LFZ114" s="182"/>
      <c r="LGA114" s="181"/>
      <c r="LGB114" s="182"/>
      <c r="LGC114" s="181"/>
      <c r="LGD114" s="182"/>
      <c r="LGE114" s="181"/>
      <c r="LGF114" s="182"/>
      <c r="LGG114" s="181"/>
      <c r="LGH114" s="182"/>
      <c r="LGI114" s="181"/>
      <c r="LGJ114" s="182"/>
      <c r="LGK114" s="181"/>
      <c r="LGL114" s="182"/>
      <c r="LGM114" s="181"/>
      <c r="LGN114" s="182"/>
      <c r="LGO114" s="181"/>
      <c r="LGP114" s="182"/>
      <c r="LGQ114" s="181"/>
      <c r="LGR114" s="182"/>
      <c r="LGS114" s="181"/>
      <c r="LGT114" s="182"/>
      <c r="LGU114" s="181"/>
      <c r="LGV114" s="182"/>
      <c r="LGW114" s="181"/>
      <c r="LGX114" s="182"/>
      <c r="LGY114" s="181"/>
      <c r="LGZ114" s="182"/>
      <c r="LHA114" s="181"/>
      <c r="LHB114" s="182"/>
      <c r="LHC114" s="181"/>
      <c r="LHD114" s="182"/>
      <c r="LHE114" s="181"/>
      <c r="LHF114" s="182"/>
      <c r="LHG114" s="181"/>
      <c r="LHH114" s="182"/>
      <c r="LHI114" s="181"/>
      <c r="LHJ114" s="182"/>
      <c r="LHK114" s="181"/>
      <c r="LHL114" s="182"/>
      <c r="LHM114" s="181"/>
      <c r="LHN114" s="182"/>
      <c r="LHO114" s="181"/>
      <c r="LHP114" s="182"/>
      <c r="LHQ114" s="181"/>
      <c r="LHR114" s="182"/>
      <c r="LHS114" s="181"/>
      <c r="LHT114" s="182"/>
      <c r="LHU114" s="181"/>
      <c r="LHV114" s="182"/>
      <c r="LHW114" s="181"/>
      <c r="LHX114" s="182"/>
      <c r="LHY114" s="181"/>
      <c r="LHZ114" s="182"/>
      <c r="LIA114" s="181"/>
      <c r="LIB114" s="182"/>
      <c r="LIC114" s="181"/>
      <c r="LID114" s="182"/>
      <c r="LIE114" s="181"/>
      <c r="LIF114" s="182"/>
      <c r="LIG114" s="181"/>
      <c r="LIH114" s="182"/>
      <c r="LII114" s="181"/>
      <c r="LIJ114" s="182"/>
      <c r="LIK114" s="181"/>
      <c r="LIL114" s="182"/>
      <c r="LIM114" s="181"/>
      <c r="LIN114" s="182"/>
      <c r="LIO114" s="181"/>
      <c r="LIP114" s="182"/>
      <c r="LIQ114" s="181"/>
      <c r="LIR114" s="182"/>
      <c r="LIS114" s="181"/>
      <c r="LIT114" s="182"/>
      <c r="LIU114" s="181"/>
      <c r="LIV114" s="182"/>
      <c r="LIW114" s="181"/>
      <c r="LIX114" s="182"/>
      <c r="LIY114" s="181"/>
      <c r="LIZ114" s="182"/>
      <c r="LJA114" s="181"/>
      <c r="LJB114" s="182"/>
      <c r="LJC114" s="181"/>
      <c r="LJD114" s="182"/>
      <c r="LJE114" s="181"/>
      <c r="LJF114" s="182"/>
      <c r="LJG114" s="181"/>
      <c r="LJH114" s="182"/>
      <c r="LJI114" s="181"/>
      <c r="LJJ114" s="182"/>
      <c r="LJK114" s="181"/>
      <c r="LJL114" s="182"/>
      <c r="LJM114" s="181"/>
      <c r="LJN114" s="182"/>
      <c r="LJO114" s="181"/>
      <c r="LJP114" s="182"/>
      <c r="LJQ114" s="181"/>
      <c r="LJR114" s="182"/>
      <c r="LJS114" s="181"/>
      <c r="LJT114" s="182"/>
      <c r="LJU114" s="181"/>
      <c r="LJV114" s="182"/>
      <c r="LJW114" s="181"/>
      <c r="LJX114" s="182"/>
      <c r="LJY114" s="181"/>
      <c r="LJZ114" s="182"/>
      <c r="LKA114" s="181"/>
      <c r="LKB114" s="182"/>
      <c r="LKC114" s="181"/>
      <c r="LKD114" s="182"/>
      <c r="LKE114" s="181"/>
      <c r="LKF114" s="182"/>
      <c r="LKG114" s="181"/>
      <c r="LKH114" s="182"/>
      <c r="LKI114" s="181"/>
      <c r="LKJ114" s="182"/>
      <c r="LKK114" s="181"/>
      <c r="LKL114" s="182"/>
      <c r="LKM114" s="181"/>
      <c r="LKN114" s="182"/>
      <c r="LKO114" s="181"/>
      <c r="LKP114" s="182"/>
      <c r="LKQ114" s="181"/>
      <c r="LKR114" s="182"/>
      <c r="LKS114" s="181"/>
      <c r="LKT114" s="182"/>
      <c r="LKU114" s="181"/>
      <c r="LKV114" s="182"/>
      <c r="LKW114" s="181"/>
      <c r="LKX114" s="182"/>
      <c r="LKY114" s="181"/>
      <c r="LKZ114" s="182"/>
      <c r="LLA114" s="181"/>
      <c r="LLB114" s="182"/>
      <c r="LLC114" s="181"/>
      <c r="LLD114" s="182"/>
      <c r="LLE114" s="181"/>
      <c r="LLF114" s="182"/>
      <c r="LLG114" s="181"/>
      <c r="LLH114" s="182"/>
      <c r="LLI114" s="181"/>
      <c r="LLJ114" s="182"/>
      <c r="LLK114" s="181"/>
      <c r="LLL114" s="182"/>
      <c r="LLM114" s="181"/>
      <c r="LLN114" s="182"/>
      <c r="LLO114" s="181"/>
      <c r="LLP114" s="182"/>
      <c r="LLQ114" s="181"/>
      <c r="LLR114" s="182"/>
      <c r="LLS114" s="181"/>
      <c r="LLT114" s="182"/>
      <c r="LLU114" s="181"/>
      <c r="LLV114" s="182"/>
      <c r="LLW114" s="181"/>
      <c r="LLX114" s="182"/>
      <c r="LLY114" s="181"/>
      <c r="LLZ114" s="182"/>
      <c r="LMA114" s="181"/>
      <c r="LMB114" s="182"/>
      <c r="LMC114" s="181"/>
      <c r="LMD114" s="182"/>
      <c r="LME114" s="181"/>
      <c r="LMF114" s="182"/>
      <c r="LMG114" s="181"/>
      <c r="LMH114" s="182"/>
      <c r="LMI114" s="181"/>
      <c r="LMJ114" s="182"/>
      <c r="LMK114" s="181"/>
      <c r="LML114" s="182"/>
      <c r="LMM114" s="181"/>
      <c r="LMN114" s="182"/>
      <c r="LMO114" s="181"/>
      <c r="LMP114" s="182"/>
      <c r="LMQ114" s="181"/>
      <c r="LMR114" s="182"/>
      <c r="LMS114" s="181"/>
      <c r="LMT114" s="182"/>
      <c r="LMU114" s="181"/>
      <c r="LMV114" s="182"/>
      <c r="LMW114" s="181"/>
      <c r="LMX114" s="182"/>
      <c r="LMY114" s="181"/>
      <c r="LMZ114" s="182"/>
      <c r="LNA114" s="181"/>
      <c r="LNB114" s="182"/>
      <c r="LNC114" s="181"/>
      <c r="LND114" s="182"/>
      <c r="LNE114" s="181"/>
      <c r="LNF114" s="182"/>
      <c r="LNG114" s="181"/>
      <c r="LNH114" s="182"/>
      <c r="LNI114" s="181"/>
      <c r="LNJ114" s="182"/>
      <c r="LNK114" s="181"/>
      <c r="LNL114" s="182"/>
      <c r="LNM114" s="181"/>
      <c r="LNN114" s="182"/>
      <c r="LNO114" s="181"/>
      <c r="LNP114" s="182"/>
      <c r="LNQ114" s="181"/>
      <c r="LNR114" s="182"/>
      <c r="LNS114" s="181"/>
      <c r="LNT114" s="182"/>
      <c r="LNU114" s="181"/>
      <c r="LNV114" s="182"/>
      <c r="LNW114" s="181"/>
      <c r="LNX114" s="182"/>
      <c r="LNY114" s="181"/>
      <c r="LNZ114" s="182"/>
      <c r="LOA114" s="181"/>
      <c r="LOB114" s="182"/>
      <c r="LOC114" s="181"/>
      <c r="LOD114" s="182"/>
      <c r="LOE114" s="181"/>
      <c r="LOF114" s="182"/>
      <c r="LOG114" s="181"/>
      <c r="LOH114" s="182"/>
      <c r="LOI114" s="181"/>
      <c r="LOJ114" s="182"/>
      <c r="LOK114" s="181"/>
      <c r="LOL114" s="182"/>
      <c r="LOM114" s="181"/>
      <c r="LON114" s="182"/>
      <c r="LOO114" s="181"/>
      <c r="LOP114" s="182"/>
      <c r="LOQ114" s="181"/>
      <c r="LOR114" s="182"/>
      <c r="LOS114" s="181"/>
      <c r="LOT114" s="182"/>
      <c r="LOU114" s="181"/>
      <c r="LOV114" s="182"/>
      <c r="LOW114" s="181"/>
      <c r="LOX114" s="182"/>
      <c r="LOY114" s="181"/>
      <c r="LOZ114" s="182"/>
      <c r="LPA114" s="181"/>
      <c r="LPB114" s="182"/>
      <c r="LPC114" s="181"/>
      <c r="LPD114" s="182"/>
      <c r="LPE114" s="181"/>
      <c r="LPF114" s="182"/>
      <c r="LPG114" s="181"/>
      <c r="LPH114" s="182"/>
      <c r="LPI114" s="181"/>
      <c r="LPJ114" s="182"/>
      <c r="LPK114" s="181"/>
      <c r="LPL114" s="182"/>
      <c r="LPM114" s="181"/>
      <c r="LPN114" s="182"/>
      <c r="LPO114" s="181"/>
      <c r="LPP114" s="182"/>
      <c r="LPQ114" s="181"/>
      <c r="LPR114" s="182"/>
      <c r="LPS114" s="181"/>
      <c r="LPT114" s="182"/>
      <c r="LPU114" s="181"/>
      <c r="LPV114" s="182"/>
      <c r="LPW114" s="181"/>
      <c r="LPX114" s="182"/>
      <c r="LPY114" s="181"/>
      <c r="LPZ114" s="182"/>
      <c r="LQA114" s="181"/>
      <c r="LQB114" s="182"/>
      <c r="LQC114" s="181"/>
      <c r="LQD114" s="182"/>
      <c r="LQE114" s="181"/>
      <c r="LQF114" s="182"/>
      <c r="LQG114" s="181"/>
      <c r="LQH114" s="182"/>
      <c r="LQI114" s="181"/>
      <c r="LQJ114" s="182"/>
      <c r="LQK114" s="181"/>
      <c r="LQL114" s="182"/>
      <c r="LQM114" s="181"/>
      <c r="LQN114" s="182"/>
      <c r="LQO114" s="181"/>
      <c r="LQP114" s="182"/>
      <c r="LQQ114" s="181"/>
      <c r="LQR114" s="182"/>
      <c r="LQS114" s="181"/>
      <c r="LQT114" s="182"/>
      <c r="LQU114" s="181"/>
      <c r="LQV114" s="182"/>
      <c r="LQW114" s="181"/>
      <c r="LQX114" s="182"/>
      <c r="LQY114" s="181"/>
      <c r="LQZ114" s="182"/>
      <c r="LRA114" s="181"/>
      <c r="LRB114" s="182"/>
      <c r="LRC114" s="181"/>
      <c r="LRD114" s="182"/>
      <c r="LRE114" s="181"/>
      <c r="LRF114" s="182"/>
      <c r="LRG114" s="181"/>
      <c r="LRH114" s="182"/>
      <c r="LRI114" s="181"/>
      <c r="LRJ114" s="182"/>
      <c r="LRK114" s="181"/>
      <c r="LRL114" s="182"/>
      <c r="LRM114" s="181"/>
      <c r="LRN114" s="182"/>
      <c r="LRO114" s="181"/>
      <c r="LRP114" s="182"/>
      <c r="LRQ114" s="181"/>
      <c r="LRR114" s="182"/>
      <c r="LRS114" s="181"/>
      <c r="LRT114" s="182"/>
      <c r="LRU114" s="181"/>
      <c r="LRV114" s="182"/>
      <c r="LRW114" s="181"/>
      <c r="LRX114" s="182"/>
      <c r="LRY114" s="181"/>
      <c r="LRZ114" s="182"/>
      <c r="LSA114" s="181"/>
      <c r="LSB114" s="182"/>
      <c r="LSC114" s="181"/>
      <c r="LSD114" s="182"/>
      <c r="LSE114" s="181"/>
      <c r="LSF114" s="182"/>
      <c r="LSG114" s="181"/>
      <c r="LSH114" s="182"/>
      <c r="LSI114" s="181"/>
      <c r="LSJ114" s="182"/>
      <c r="LSK114" s="181"/>
      <c r="LSL114" s="182"/>
      <c r="LSM114" s="181"/>
      <c r="LSN114" s="182"/>
      <c r="LSO114" s="181"/>
      <c r="LSP114" s="182"/>
      <c r="LSQ114" s="181"/>
      <c r="LSR114" s="182"/>
      <c r="LSS114" s="181"/>
      <c r="LST114" s="182"/>
      <c r="LSU114" s="181"/>
      <c r="LSV114" s="182"/>
      <c r="LSW114" s="181"/>
      <c r="LSX114" s="182"/>
      <c r="LSY114" s="181"/>
      <c r="LSZ114" s="182"/>
      <c r="LTA114" s="181"/>
      <c r="LTB114" s="182"/>
      <c r="LTC114" s="181"/>
      <c r="LTD114" s="182"/>
      <c r="LTE114" s="181"/>
      <c r="LTF114" s="182"/>
      <c r="LTG114" s="181"/>
      <c r="LTH114" s="182"/>
      <c r="LTI114" s="181"/>
      <c r="LTJ114" s="182"/>
      <c r="LTK114" s="181"/>
      <c r="LTL114" s="182"/>
      <c r="LTM114" s="181"/>
      <c r="LTN114" s="182"/>
      <c r="LTO114" s="181"/>
      <c r="LTP114" s="182"/>
      <c r="LTQ114" s="181"/>
      <c r="LTR114" s="182"/>
      <c r="LTS114" s="181"/>
      <c r="LTT114" s="182"/>
      <c r="LTU114" s="181"/>
      <c r="LTV114" s="182"/>
      <c r="LTW114" s="181"/>
      <c r="LTX114" s="182"/>
      <c r="LTY114" s="181"/>
      <c r="LTZ114" s="182"/>
      <c r="LUA114" s="181"/>
      <c r="LUB114" s="182"/>
      <c r="LUC114" s="181"/>
      <c r="LUD114" s="182"/>
      <c r="LUE114" s="181"/>
      <c r="LUF114" s="182"/>
      <c r="LUG114" s="181"/>
      <c r="LUH114" s="182"/>
      <c r="LUI114" s="181"/>
      <c r="LUJ114" s="182"/>
      <c r="LUK114" s="181"/>
      <c r="LUL114" s="182"/>
      <c r="LUM114" s="181"/>
      <c r="LUN114" s="182"/>
      <c r="LUO114" s="181"/>
      <c r="LUP114" s="182"/>
      <c r="LUQ114" s="181"/>
      <c r="LUR114" s="182"/>
      <c r="LUS114" s="181"/>
      <c r="LUT114" s="182"/>
      <c r="LUU114" s="181"/>
      <c r="LUV114" s="182"/>
      <c r="LUW114" s="181"/>
      <c r="LUX114" s="182"/>
      <c r="LUY114" s="181"/>
      <c r="LUZ114" s="182"/>
      <c r="LVA114" s="181"/>
      <c r="LVB114" s="182"/>
      <c r="LVC114" s="181"/>
      <c r="LVD114" s="182"/>
      <c r="LVE114" s="181"/>
      <c r="LVF114" s="182"/>
      <c r="LVG114" s="181"/>
      <c r="LVH114" s="182"/>
      <c r="LVI114" s="181"/>
      <c r="LVJ114" s="182"/>
      <c r="LVK114" s="181"/>
      <c r="LVL114" s="182"/>
      <c r="LVM114" s="181"/>
      <c r="LVN114" s="182"/>
      <c r="LVO114" s="181"/>
      <c r="LVP114" s="182"/>
      <c r="LVQ114" s="181"/>
      <c r="LVR114" s="182"/>
      <c r="LVS114" s="181"/>
      <c r="LVT114" s="182"/>
      <c r="LVU114" s="181"/>
      <c r="LVV114" s="182"/>
      <c r="LVW114" s="181"/>
      <c r="LVX114" s="182"/>
      <c r="LVY114" s="181"/>
      <c r="LVZ114" s="182"/>
      <c r="LWA114" s="181"/>
      <c r="LWB114" s="182"/>
      <c r="LWC114" s="181"/>
      <c r="LWD114" s="182"/>
      <c r="LWE114" s="181"/>
      <c r="LWF114" s="182"/>
      <c r="LWG114" s="181"/>
      <c r="LWH114" s="182"/>
      <c r="LWI114" s="181"/>
      <c r="LWJ114" s="182"/>
      <c r="LWK114" s="181"/>
      <c r="LWL114" s="182"/>
      <c r="LWM114" s="181"/>
      <c r="LWN114" s="182"/>
      <c r="LWO114" s="181"/>
      <c r="LWP114" s="182"/>
      <c r="LWQ114" s="181"/>
      <c r="LWR114" s="182"/>
      <c r="LWS114" s="181"/>
      <c r="LWT114" s="182"/>
      <c r="LWU114" s="181"/>
      <c r="LWV114" s="182"/>
      <c r="LWW114" s="181"/>
      <c r="LWX114" s="182"/>
      <c r="LWY114" s="181"/>
      <c r="LWZ114" s="182"/>
      <c r="LXA114" s="181"/>
      <c r="LXB114" s="182"/>
      <c r="LXC114" s="181"/>
      <c r="LXD114" s="182"/>
      <c r="LXE114" s="181"/>
      <c r="LXF114" s="182"/>
      <c r="LXG114" s="181"/>
      <c r="LXH114" s="182"/>
      <c r="LXI114" s="181"/>
      <c r="LXJ114" s="182"/>
      <c r="LXK114" s="181"/>
      <c r="LXL114" s="182"/>
      <c r="LXM114" s="181"/>
      <c r="LXN114" s="182"/>
      <c r="LXO114" s="181"/>
      <c r="LXP114" s="182"/>
      <c r="LXQ114" s="181"/>
      <c r="LXR114" s="182"/>
      <c r="LXS114" s="181"/>
      <c r="LXT114" s="182"/>
      <c r="LXU114" s="181"/>
      <c r="LXV114" s="182"/>
      <c r="LXW114" s="181"/>
      <c r="LXX114" s="182"/>
      <c r="LXY114" s="181"/>
      <c r="LXZ114" s="182"/>
      <c r="LYA114" s="181"/>
      <c r="LYB114" s="182"/>
      <c r="LYC114" s="181"/>
      <c r="LYD114" s="182"/>
      <c r="LYE114" s="181"/>
      <c r="LYF114" s="182"/>
      <c r="LYG114" s="181"/>
      <c r="LYH114" s="182"/>
      <c r="LYI114" s="181"/>
      <c r="LYJ114" s="182"/>
      <c r="LYK114" s="181"/>
      <c r="LYL114" s="182"/>
      <c r="LYM114" s="181"/>
      <c r="LYN114" s="182"/>
      <c r="LYO114" s="181"/>
      <c r="LYP114" s="182"/>
      <c r="LYQ114" s="181"/>
      <c r="LYR114" s="182"/>
      <c r="LYS114" s="181"/>
      <c r="LYT114" s="182"/>
      <c r="LYU114" s="181"/>
      <c r="LYV114" s="182"/>
      <c r="LYW114" s="181"/>
      <c r="LYX114" s="182"/>
      <c r="LYY114" s="181"/>
      <c r="LYZ114" s="182"/>
      <c r="LZA114" s="181"/>
      <c r="LZB114" s="182"/>
      <c r="LZC114" s="181"/>
      <c r="LZD114" s="182"/>
      <c r="LZE114" s="181"/>
      <c r="LZF114" s="182"/>
      <c r="LZG114" s="181"/>
      <c r="LZH114" s="182"/>
      <c r="LZI114" s="181"/>
      <c r="LZJ114" s="182"/>
      <c r="LZK114" s="181"/>
      <c r="LZL114" s="182"/>
      <c r="LZM114" s="181"/>
      <c r="LZN114" s="182"/>
      <c r="LZO114" s="181"/>
      <c r="LZP114" s="182"/>
      <c r="LZQ114" s="181"/>
      <c r="LZR114" s="182"/>
      <c r="LZS114" s="181"/>
      <c r="LZT114" s="182"/>
      <c r="LZU114" s="181"/>
      <c r="LZV114" s="182"/>
      <c r="LZW114" s="181"/>
      <c r="LZX114" s="182"/>
      <c r="LZY114" s="181"/>
      <c r="LZZ114" s="182"/>
      <c r="MAA114" s="181"/>
      <c r="MAB114" s="182"/>
      <c r="MAC114" s="181"/>
      <c r="MAD114" s="182"/>
      <c r="MAE114" s="181"/>
      <c r="MAF114" s="182"/>
      <c r="MAG114" s="181"/>
      <c r="MAH114" s="182"/>
      <c r="MAI114" s="181"/>
      <c r="MAJ114" s="182"/>
      <c r="MAK114" s="181"/>
      <c r="MAL114" s="182"/>
      <c r="MAM114" s="181"/>
      <c r="MAN114" s="182"/>
      <c r="MAO114" s="181"/>
      <c r="MAP114" s="182"/>
      <c r="MAQ114" s="181"/>
      <c r="MAR114" s="182"/>
      <c r="MAS114" s="181"/>
      <c r="MAT114" s="182"/>
      <c r="MAU114" s="181"/>
      <c r="MAV114" s="182"/>
      <c r="MAW114" s="181"/>
      <c r="MAX114" s="182"/>
      <c r="MAY114" s="181"/>
      <c r="MAZ114" s="182"/>
      <c r="MBA114" s="181"/>
      <c r="MBB114" s="182"/>
      <c r="MBC114" s="181"/>
      <c r="MBD114" s="182"/>
      <c r="MBE114" s="181"/>
      <c r="MBF114" s="182"/>
      <c r="MBG114" s="181"/>
      <c r="MBH114" s="182"/>
      <c r="MBI114" s="181"/>
      <c r="MBJ114" s="182"/>
      <c r="MBK114" s="181"/>
      <c r="MBL114" s="182"/>
      <c r="MBM114" s="181"/>
      <c r="MBN114" s="182"/>
      <c r="MBO114" s="181"/>
      <c r="MBP114" s="182"/>
      <c r="MBQ114" s="181"/>
      <c r="MBR114" s="182"/>
      <c r="MBS114" s="181"/>
      <c r="MBT114" s="182"/>
      <c r="MBU114" s="181"/>
      <c r="MBV114" s="182"/>
      <c r="MBW114" s="181"/>
      <c r="MBX114" s="182"/>
      <c r="MBY114" s="181"/>
      <c r="MBZ114" s="182"/>
      <c r="MCA114" s="181"/>
      <c r="MCB114" s="182"/>
      <c r="MCC114" s="181"/>
      <c r="MCD114" s="182"/>
      <c r="MCE114" s="181"/>
      <c r="MCF114" s="182"/>
      <c r="MCG114" s="181"/>
      <c r="MCH114" s="182"/>
      <c r="MCI114" s="181"/>
      <c r="MCJ114" s="182"/>
      <c r="MCK114" s="181"/>
      <c r="MCL114" s="182"/>
      <c r="MCM114" s="181"/>
      <c r="MCN114" s="182"/>
      <c r="MCO114" s="181"/>
      <c r="MCP114" s="182"/>
      <c r="MCQ114" s="181"/>
      <c r="MCR114" s="182"/>
      <c r="MCS114" s="181"/>
      <c r="MCT114" s="182"/>
      <c r="MCU114" s="181"/>
      <c r="MCV114" s="182"/>
      <c r="MCW114" s="181"/>
      <c r="MCX114" s="182"/>
      <c r="MCY114" s="181"/>
      <c r="MCZ114" s="182"/>
      <c r="MDA114" s="181"/>
      <c r="MDB114" s="182"/>
      <c r="MDC114" s="181"/>
      <c r="MDD114" s="182"/>
      <c r="MDE114" s="181"/>
      <c r="MDF114" s="182"/>
      <c r="MDG114" s="181"/>
      <c r="MDH114" s="182"/>
      <c r="MDI114" s="181"/>
      <c r="MDJ114" s="182"/>
      <c r="MDK114" s="181"/>
      <c r="MDL114" s="182"/>
      <c r="MDM114" s="181"/>
      <c r="MDN114" s="182"/>
      <c r="MDO114" s="181"/>
      <c r="MDP114" s="182"/>
      <c r="MDQ114" s="181"/>
      <c r="MDR114" s="182"/>
      <c r="MDS114" s="181"/>
      <c r="MDT114" s="182"/>
      <c r="MDU114" s="181"/>
      <c r="MDV114" s="182"/>
      <c r="MDW114" s="181"/>
      <c r="MDX114" s="182"/>
      <c r="MDY114" s="181"/>
      <c r="MDZ114" s="182"/>
      <c r="MEA114" s="181"/>
      <c r="MEB114" s="182"/>
      <c r="MEC114" s="181"/>
      <c r="MED114" s="182"/>
      <c r="MEE114" s="181"/>
      <c r="MEF114" s="182"/>
      <c r="MEG114" s="181"/>
      <c r="MEH114" s="182"/>
      <c r="MEI114" s="181"/>
      <c r="MEJ114" s="182"/>
      <c r="MEK114" s="181"/>
      <c r="MEL114" s="182"/>
      <c r="MEM114" s="181"/>
      <c r="MEN114" s="182"/>
      <c r="MEO114" s="181"/>
      <c r="MEP114" s="182"/>
      <c r="MEQ114" s="181"/>
      <c r="MER114" s="182"/>
      <c r="MES114" s="181"/>
      <c r="MET114" s="182"/>
      <c r="MEU114" s="181"/>
      <c r="MEV114" s="182"/>
      <c r="MEW114" s="181"/>
      <c r="MEX114" s="182"/>
      <c r="MEY114" s="181"/>
      <c r="MEZ114" s="182"/>
      <c r="MFA114" s="181"/>
      <c r="MFB114" s="182"/>
      <c r="MFC114" s="181"/>
      <c r="MFD114" s="182"/>
      <c r="MFE114" s="181"/>
      <c r="MFF114" s="182"/>
      <c r="MFG114" s="181"/>
      <c r="MFH114" s="182"/>
      <c r="MFI114" s="181"/>
      <c r="MFJ114" s="182"/>
      <c r="MFK114" s="181"/>
      <c r="MFL114" s="182"/>
      <c r="MFM114" s="181"/>
      <c r="MFN114" s="182"/>
      <c r="MFO114" s="181"/>
      <c r="MFP114" s="182"/>
      <c r="MFQ114" s="181"/>
      <c r="MFR114" s="182"/>
      <c r="MFS114" s="181"/>
      <c r="MFT114" s="182"/>
      <c r="MFU114" s="181"/>
      <c r="MFV114" s="182"/>
      <c r="MFW114" s="181"/>
      <c r="MFX114" s="182"/>
      <c r="MFY114" s="181"/>
      <c r="MFZ114" s="182"/>
      <c r="MGA114" s="181"/>
      <c r="MGB114" s="182"/>
      <c r="MGC114" s="181"/>
      <c r="MGD114" s="182"/>
      <c r="MGE114" s="181"/>
      <c r="MGF114" s="182"/>
      <c r="MGG114" s="181"/>
      <c r="MGH114" s="182"/>
      <c r="MGI114" s="181"/>
      <c r="MGJ114" s="182"/>
      <c r="MGK114" s="181"/>
      <c r="MGL114" s="182"/>
      <c r="MGM114" s="181"/>
      <c r="MGN114" s="182"/>
      <c r="MGO114" s="181"/>
      <c r="MGP114" s="182"/>
      <c r="MGQ114" s="181"/>
      <c r="MGR114" s="182"/>
      <c r="MGS114" s="181"/>
      <c r="MGT114" s="182"/>
      <c r="MGU114" s="181"/>
      <c r="MGV114" s="182"/>
      <c r="MGW114" s="181"/>
      <c r="MGX114" s="182"/>
      <c r="MGY114" s="181"/>
      <c r="MGZ114" s="182"/>
      <c r="MHA114" s="181"/>
      <c r="MHB114" s="182"/>
      <c r="MHC114" s="181"/>
      <c r="MHD114" s="182"/>
      <c r="MHE114" s="181"/>
      <c r="MHF114" s="182"/>
      <c r="MHG114" s="181"/>
      <c r="MHH114" s="182"/>
      <c r="MHI114" s="181"/>
      <c r="MHJ114" s="182"/>
      <c r="MHK114" s="181"/>
      <c r="MHL114" s="182"/>
      <c r="MHM114" s="181"/>
      <c r="MHN114" s="182"/>
      <c r="MHO114" s="181"/>
      <c r="MHP114" s="182"/>
      <c r="MHQ114" s="181"/>
      <c r="MHR114" s="182"/>
      <c r="MHS114" s="181"/>
      <c r="MHT114" s="182"/>
      <c r="MHU114" s="181"/>
      <c r="MHV114" s="182"/>
      <c r="MHW114" s="181"/>
      <c r="MHX114" s="182"/>
      <c r="MHY114" s="181"/>
      <c r="MHZ114" s="182"/>
      <c r="MIA114" s="181"/>
      <c r="MIB114" s="182"/>
      <c r="MIC114" s="181"/>
      <c r="MID114" s="182"/>
      <c r="MIE114" s="181"/>
      <c r="MIF114" s="182"/>
      <c r="MIG114" s="181"/>
      <c r="MIH114" s="182"/>
      <c r="MII114" s="181"/>
      <c r="MIJ114" s="182"/>
      <c r="MIK114" s="181"/>
      <c r="MIL114" s="182"/>
      <c r="MIM114" s="181"/>
      <c r="MIN114" s="182"/>
      <c r="MIO114" s="181"/>
      <c r="MIP114" s="182"/>
      <c r="MIQ114" s="181"/>
      <c r="MIR114" s="182"/>
      <c r="MIS114" s="181"/>
      <c r="MIT114" s="182"/>
      <c r="MIU114" s="181"/>
      <c r="MIV114" s="182"/>
      <c r="MIW114" s="181"/>
      <c r="MIX114" s="182"/>
      <c r="MIY114" s="181"/>
      <c r="MIZ114" s="182"/>
      <c r="MJA114" s="181"/>
      <c r="MJB114" s="182"/>
      <c r="MJC114" s="181"/>
      <c r="MJD114" s="182"/>
      <c r="MJE114" s="181"/>
      <c r="MJF114" s="182"/>
      <c r="MJG114" s="181"/>
      <c r="MJH114" s="182"/>
      <c r="MJI114" s="181"/>
      <c r="MJJ114" s="182"/>
      <c r="MJK114" s="181"/>
      <c r="MJL114" s="182"/>
      <c r="MJM114" s="181"/>
      <c r="MJN114" s="182"/>
      <c r="MJO114" s="181"/>
      <c r="MJP114" s="182"/>
      <c r="MJQ114" s="181"/>
      <c r="MJR114" s="182"/>
      <c r="MJS114" s="181"/>
      <c r="MJT114" s="182"/>
      <c r="MJU114" s="181"/>
      <c r="MJV114" s="182"/>
      <c r="MJW114" s="181"/>
      <c r="MJX114" s="182"/>
      <c r="MJY114" s="181"/>
      <c r="MJZ114" s="182"/>
      <c r="MKA114" s="181"/>
      <c r="MKB114" s="182"/>
      <c r="MKC114" s="181"/>
      <c r="MKD114" s="182"/>
      <c r="MKE114" s="181"/>
      <c r="MKF114" s="182"/>
      <c r="MKG114" s="181"/>
      <c r="MKH114" s="182"/>
      <c r="MKI114" s="181"/>
      <c r="MKJ114" s="182"/>
      <c r="MKK114" s="181"/>
      <c r="MKL114" s="182"/>
      <c r="MKM114" s="181"/>
      <c r="MKN114" s="182"/>
      <c r="MKO114" s="181"/>
      <c r="MKP114" s="182"/>
      <c r="MKQ114" s="181"/>
      <c r="MKR114" s="182"/>
      <c r="MKS114" s="181"/>
      <c r="MKT114" s="182"/>
      <c r="MKU114" s="181"/>
      <c r="MKV114" s="182"/>
      <c r="MKW114" s="181"/>
      <c r="MKX114" s="182"/>
      <c r="MKY114" s="181"/>
      <c r="MKZ114" s="182"/>
      <c r="MLA114" s="181"/>
      <c r="MLB114" s="182"/>
      <c r="MLC114" s="181"/>
      <c r="MLD114" s="182"/>
      <c r="MLE114" s="181"/>
      <c r="MLF114" s="182"/>
      <c r="MLG114" s="181"/>
      <c r="MLH114" s="182"/>
      <c r="MLI114" s="181"/>
      <c r="MLJ114" s="182"/>
      <c r="MLK114" s="181"/>
      <c r="MLL114" s="182"/>
      <c r="MLM114" s="181"/>
      <c r="MLN114" s="182"/>
      <c r="MLO114" s="181"/>
      <c r="MLP114" s="182"/>
      <c r="MLQ114" s="181"/>
      <c r="MLR114" s="182"/>
      <c r="MLS114" s="181"/>
      <c r="MLT114" s="182"/>
      <c r="MLU114" s="181"/>
      <c r="MLV114" s="182"/>
      <c r="MLW114" s="181"/>
      <c r="MLX114" s="182"/>
      <c r="MLY114" s="181"/>
      <c r="MLZ114" s="182"/>
      <c r="MMA114" s="181"/>
      <c r="MMB114" s="182"/>
      <c r="MMC114" s="181"/>
      <c r="MMD114" s="182"/>
      <c r="MME114" s="181"/>
      <c r="MMF114" s="182"/>
      <c r="MMG114" s="181"/>
      <c r="MMH114" s="182"/>
      <c r="MMI114" s="181"/>
      <c r="MMJ114" s="182"/>
      <c r="MMK114" s="181"/>
      <c r="MML114" s="182"/>
      <c r="MMM114" s="181"/>
      <c r="MMN114" s="182"/>
      <c r="MMO114" s="181"/>
      <c r="MMP114" s="182"/>
      <c r="MMQ114" s="181"/>
      <c r="MMR114" s="182"/>
      <c r="MMS114" s="181"/>
      <c r="MMT114" s="182"/>
      <c r="MMU114" s="181"/>
      <c r="MMV114" s="182"/>
      <c r="MMW114" s="181"/>
      <c r="MMX114" s="182"/>
      <c r="MMY114" s="181"/>
      <c r="MMZ114" s="182"/>
      <c r="MNA114" s="181"/>
      <c r="MNB114" s="182"/>
      <c r="MNC114" s="181"/>
      <c r="MND114" s="182"/>
      <c r="MNE114" s="181"/>
      <c r="MNF114" s="182"/>
      <c r="MNG114" s="181"/>
      <c r="MNH114" s="182"/>
      <c r="MNI114" s="181"/>
      <c r="MNJ114" s="182"/>
      <c r="MNK114" s="181"/>
      <c r="MNL114" s="182"/>
      <c r="MNM114" s="181"/>
      <c r="MNN114" s="182"/>
      <c r="MNO114" s="181"/>
      <c r="MNP114" s="182"/>
      <c r="MNQ114" s="181"/>
      <c r="MNR114" s="182"/>
      <c r="MNS114" s="181"/>
      <c r="MNT114" s="182"/>
      <c r="MNU114" s="181"/>
      <c r="MNV114" s="182"/>
      <c r="MNW114" s="181"/>
      <c r="MNX114" s="182"/>
      <c r="MNY114" s="181"/>
      <c r="MNZ114" s="182"/>
      <c r="MOA114" s="181"/>
      <c r="MOB114" s="182"/>
      <c r="MOC114" s="181"/>
      <c r="MOD114" s="182"/>
      <c r="MOE114" s="181"/>
      <c r="MOF114" s="182"/>
      <c r="MOG114" s="181"/>
      <c r="MOH114" s="182"/>
      <c r="MOI114" s="181"/>
      <c r="MOJ114" s="182"/>
      <c r="MOK114" s="181"/>
      <c r="MOL114" s="182"/>
      <c r="MOM114" s="181"/>
      <c r="MON114" s="182"/>
      <c r="MOO114" s="181"/>
      <c r="MOP114" s="182"/>
      <c r="MOQ114" s="181"/>
      <c r="MOR114" s="182"/>
      <c r="MOS114" s="181"/>
      <c r="MOT114" s="182"/>
      <c r="MOU114" s="181"/>
      <c r="MOV114" s="182"/>
      <c r="MOW114" s="181"/>
      <c r="MOX114" s="182"/>
      <c r="MOY114" s="181"/>
      <c r="MOZ114" s="182"/>
      <c r="MPA114" s="181"/>
      <c r="MPB114" s="182"/>
      <c r="MPC114" s="181"/>
      <c r="MPD114" s="182"/>
      <c r="MPE114" s="181"/>
      <c r="MPF114" s="182"/>
      <c r="MPG114" s="181"/>
      <c r="MPH114" s="182"/>
      <c r="MPI114" s="181"/>
      <c r="MPJ114" s="182"/>
      <c r="MPK114" s="181"/>
      <c r="MPL114" s="182"/>
      <c r="MPM114" s="181"/>
      <c r="MPN114" s="182"/>
      <c r="MPO114" s="181"/>
      <c r="MPP114" s="182"/>
      <c r="MPQ114" s="181"/>
      <c r="MPR114" s="182"/>
      <c r="MPS114" s="181"/>
      <c r="MPT114" s="182"/>
      <c r="MPU114" s="181"/>
      <c r="MPV114" s="182"/>
      <c r="MPW114" s="181"/>
      <c r="MPX114" s="182"/>
      <c r="MPY114" s="181"/>
      <c r="MPZ114" s="182"/>
      <c r="MQA114" s="181"/>
      <c r="MQB114" s="182"/>
      <c r="MQC114" s="181"/>
      <c r="MQD114" s="182"/>
      <c r="MQE114" s="181"/>
      <c r="MQF114" s="182"/>
      <c r="MQG114" s="181"/>
      <c r="MQH114" s="182"/>
      <c r="MQI114" s="181"/>
      <c r="MQJ114" s="182"/>
      <c r="MQK114" s="181"/>
      <c r="MQL114" s="182"/>
      <c r="MQM114" s="181"/>
      <c r="MQN114" s="182"/>
      <c r="MQO114" s="181"/>
      <c r="MQP114" s="182"/>
      <c r="MQQ114" s="181"/>
      <c r="MQR114" s="182"/>
      <c r="MQS114" s="181"/>
      <c r="MQT114" s="182"/>
      <c r="MQU114" s="181"/>
      <c r="MQV114" s="182"/>
      <c r="MQW114" s="181"/>
      <c r="MQX114" s="182"/>
      <c r="MQY114" s="181"/>
      <c r="MQZ114" s="182"/>
      <c r="MRA114" s="181"/>
      <c r="MRB114" s="182"/>
      <c r="MRC114" s="181"/>
      <c r="MRD114" s="182"/>
      <c r="MRE114" s="181"/>
      <c r="MRF114" s="182"/>
      <c r="MRG114" s="181"/>
      <c r="MRH114" s="182"/>
      <c r="MRI114" s="181"/>
      <c r="MRJ114" s="182"/>
      <c r="MRK114" s="181"/>
      <c r="MRL114" s="182"/>
      <c r="MRM114" s="181"/>
      <c r="MRN114" s="182"/>
      <c r="MRO114" s="181"/>
      <c r="MRP114" s="182"/>
      <c r="MRQ114" s="181"/>
      <c r="MRR114" s="182"/>
      <c r="MRS114" s="181"/>
      <c r="MRT114" s="182"/>
      <c r="MRU114" s="181"/>
      <c r="MRV114" s="182"/>
      <c r="MRW114" s="181"/>
      <c r="MRX114" s="182"/>
      <c r="MRY114" s="181"/>
      <c r="MRZ114" s="182"/>
      <c r="MSA114" s="181"/>
      <c r="MSB114" s="182"/>
      <c r="MSC114" s="181"/>
      <c r="MSD114" s="182"/>
      <c r="MSE114" s="181"/>
      <c r="MSF114" s="182"/>
      <c r="MSG114" s="181"/>
      <c r="MSH114" s="182"/>
      <c r="MSI114" s="181"/>
      <c r="MSJ114" s="182"/>
      <c r="MSK114" s="181"/>
      <c r="MSL114" s="182"/>
      <c r="MSM114" s="181"/>
      <c r="MSN114" s="182"/>
      <c r="MSO114" s="181"/>
      <c r="MSP114" s="182"/>
      <c r="MSQ114" s="181"/>
      <c r="MSR114" s="182"/>
      <c r="MSS114" s="181"/>
      <c r="MST114" s="182"/>
      <c r="MSU114" s="181"/>
      <c r="MSV114" s="182"/>
      <c r="MSW114" s="181"/>
      <c r="MSX114" s="182"/>
      <c r="MSY114" s="181"/>
      <c r="MSZ114" s="182"/>
      <c r="MTA114" s="181"/>
      <c r="MTB114" s="182"/>
      <c r="MTC114" s="181"/>
      <c r="MTD114" s="182"/>
      <c r="MTE114" s="181"/>
      <c r="MTF114" s="182"/>
      <c r="MTG114" s="181"/>
      <c r="MTH114" s="182"/>
      <c r="MTI114" s="181"/>
      <c r="MTJ114" s="182"/>
      <c r="MTK114" s="181"/>
      <c r="MTL114" s="182"/>
      <c r="MTM114" s="181"/>
      <c r="MTN114" s="182"/>
      <c r="MTO114" s="181"/>
      <c r="MTP114" s="182"/>
      <c r="MTQ114" s="181"/>
      <c r="MTR114" s="182"/>
      <c r="MTS114" s="181"/>
      <c r="MTT114" s="182"/>
      <c r="MTU114" s="181"/>
      <c r="MTV114" s="182"/>
      <c r="MTW114" s="181"/>
      <c r="MTX114" s="182"/>
      <c r="MTY114" s="181"/>
      <c r="MTZ114" s="182"/>
      <c r="MUA114" s="181"/>
      <c r="MUB114" s="182"/>
      <c r="MUC114" s="181"/>
      <c r="MUD114" s="182"/>
      <c r="MUE114" s="181"/>
      <c r="MUF114" s="182"/>
      <c r="MUG114" s="181"/>
      <c r="MUH114" s="182"/>
      <c r="MUI114" s="181"/>
      <c r="MUJ114" s="182"/>
      <c r="MUK114" s="181"/>
      <c r="MUL114" s="182"/>
      <c r="MUM114" s="181"/>
      <c r="MUN114" s="182"/>
      <c r="MUO114" s="181"/>
      <c r="MUP114" s="182"/>
      <c r="MUQ114" s="181"/>
      <c r="MUR114" s="182"/>
      <c r="MUS114" s="181"/>
      <c r="MUT114" s="182"/>
      <c r="MUU114" s="181"/>
      <c r="MUV114" s="182"/>
      <c r="MUW114" s="181"/>
      <c r="MUX114" s="182"/>
      <c r="MUY114" s="181"/>
      <c r="MUZ114" s="182"/>
      <c r="MVA114" s="181"/>
      <c r="MVB114" s="182"/>
      <c r="MVC114" s="181"/>
      <c r="MVD114" s="182"/>
      <c r="MVE114" s="181"/>
      <c r="MVF114" s="182"/>
      <c r="MVG114" s="181"/>
      <c r="MVH114" s="182"/>
      <c r="MVI114" s="181"/>
      <c r="MVJ114" s="182"/>
      <c r="MVK114" s="181"/>
      <c r="MVL114" s="182"/>
      <c r="MVM114" s="181"/>
      <c r="MVN114" s="182"/>
      <c r="MVO114" s="181"/>
      <c r="MVP114" s="182"/>
      <c r="MVQ114" s="181"/>
      <c r="MVR114" s="182"/>
      <c r="MVS114" s="181"/>
      <c r="MVT114" s="182"/>
      <c r="MVU114" s="181"/>
      <c r="MVV114" s="182"/>
      <c r="MVW114" s="181"/>
      <c r="MVX114" s="182"/>
      <c r="MVY114" s="181"/>
      <c r="MVZ114" s="182"/>
      <c r="MWA114" s="181"/>
      <c r="MWB114" s="182"/>
      <c r="MWC114" s="181"/>
      <c r="MWD114" s="182"/>
      <c r="MWE114" s="181"/>
      <c r="MWF114" s="182"/>
      <c r="MWG114" s="181"/>
      <c r="MWH114" s="182"/>
      <c r="MWI114" s="181"/>
      <c r="MWJ114" s="182"/>
      <c r="MWK114" s="181"/>
      <c r="MWL114" s="182"/>
      <c r="MWM114" s="181"/>
      <c r="MWN114" s="182"/>
      <c r="MWO114" s="181"/>
      <c r="MWP114" s="182"/>
      <c r="MWQ114" s="181"/>
      <c r="MWR114" s="182"/>
      <c r="MWS114" s="181"/>
      <c r="MWT114" s="182"/>
      <c r="MWU114" s="181"/>
      <c r="MWV114" s="182"/>
      <c r="MWW114" s="181"/>
      <c r="MWX114" s="182"/>
      <c r="MWY114" s="181"/>
      <c r="MWZ114" s="182"/>
      <c r="MXA114" s="181"/>
      <c r="MXB114" s="182"/>
      <c r="MXC114" s="181"/>
      <c r="MXD114" s="182"/>
      <c r="MXE114" s="181"/>
      <c r="MXF114" s="182"/>
      <c r="MXG114" s="181"/>
      <c r="MXH114" s="182"/>
      <c r="MXI114" s="181"/>
      <c r="MXJ114" s="182"/>
      <c r="MXK114" s="181"/>
      <c r="MXL114" s="182"/>
      <c r="MXM114" s="181"/>
      <c r="MXN114" s="182"/>
      <c r="MXO114" s="181"/>
      <c r="MXP114" s="182"/>
      <c r="MXQ114" s="181"/>
      <c r="MXR114" s="182"/>
      <c r="MXS114" s="181"/>
      <c r="MXT114" s="182"/>
      <c r="MXU114" s="181"/>
      <c r="MXV114" s="182"/>
      <c r="MXW114" s="181"/>
      <c r="MXX114" s="182"/>
      <c r="MXY114" s="181"/>
      <c r="MXZ114" s="182"/>
      <c r="MYA114" s="181"/>
      <c r="MYB114" s="182"/>
      <c r="MYC114" s="181"/>
      <c r="MYD114" s="182"/>
      <c r="MYE114" s="181"/>
      <c r="MYF114" s="182"/>
      <c r="MYG114" s="181"/>
      <c r="MYH114" s="182"/>
      <c r="MYI114" s="181"/>
      <c r="MYJ114" s="182"/>
      <c r="MYK114" s="181"/>
      <c r="MYL114" s="182"/>
      <c r="MYM114" s="181"/>
      <c r="MYN114" s="182"/>
      <c r="MYO114" s="181"/>
      <c r="MYP114" s="182"/>
      <c r="MYQ114" s="181"/>
      <c r="MYR114" s="182"/>
      <c r="MYS114" s="181"/>
      <c r="MYT114" s="182"/>
      <c r="MYU114" s="181"/>
      <c r="MYV114" s="182"/>
      <c r="MYW114" s="181"/>
      <c r="MYX114" s="182"/>
      <c r="MYY114" s="181"/>
      <c r="MYZ114" s="182"/>
      <c r="MZA114" s="181"/>
      <c r="MZB114" s="182"/>
      <c r="MZC114" s="181"/>
      <c r="MZD114" s="182"/>
      <c r="MZE114" s="181"/>
      <c r="MZF114" s="182"/>
      <c r="MZG114" s="181"/>
      <c r="MZH114" s="182"/>
      <c r="MZI114" s="181"/>
      <c r="MZJ114" s="182"/>
      <c r="MZK114" s="181"/>
      <c r="MZL114" s="182"/>
      <c r="MZM114" s="181"/>
      <c r="MZN114" s="182"/>
      <c r="MZO114" s="181"/>
      <c r="MZP114" s="182"/>
      <c r="MZQ114" s="181"/>
      <c r="MZR114" s="182"/>
      <c r="MZS114" s="181"/>
      <c r="MZT114" s="182"/>
      <c r="MZU114" s="181"/>
      <c r="MZV114" s="182"/>
      <c r="MZW114" s="181"/>
      <c r="MZX114" s="182"/>
      <c r="MZY114" s="181"/>
      <c r="MZZ114" s="182"/>
      <c r="NAA114" s="181"/>
      <c r="NAB114" s="182"/>
      <c r="NAC114" s="181"/>
      <c r="NAD114" s="182"/>
      <c r="NAE114" s="181"/>
      <c r="NAF114" s="182"/>
      <c r="NAG114" s="181"/>
      <c r="NAH114" s="182"/>
      <c r="NAI114" s="181"/>
      <c r="NAJ114" s="182"/>
      <c r="NAK114" s="181"/>
      <c r="NAL114" s="182"/>
      <c r="NAM114" s="181"/>
      <c r="NAN114" s="182"/>
      <c r="NAO114" s="181"/>
      <c r="NAP114" s="182"/>
      <c r="NAQ114" s="181"/>
      <c r="NAR114" s="182"/>
      <c r="NAS114" s="181"/>
      <c r="NAT114" s="182"/>
      <c r="NAU114" s="181"/>
      <c r="NAV114" s="182"/>
      <c r="NAW114" s="181"/>
      <c r="NAX114" s="182"/>
      <c r="NAY114" s="181"/>
      <c r="NAZ114" s="182"/>
      <c r="NBA114" s="181"/>
      <c r="NBB114" s="182"/>
      <c r="NBC114" s="181"/>
      <c r="NBD114" s="182"/>
      <c r="NBE114" s="181"/>
      <c r="NBF114" s="182"/>
      <c r="NBG114" s="181"/>
      <c r="NBH114" s="182"/>
      <c r="NBI114" s="181"/>
      <c r="NBJ114" s="182"/>
      <c r="NBK114" s="181"/>
      <c r="NBL114" s="182"/>
      <c r="NBM114" s="181"/>
      <c r="NBN114" s="182"/>
      <c r="NBO114" s="181"/>
      <c r="NBP114" s="182"/>
      <c r="NBQ114" s="181"/>
      <c r="NBR114" s="182"/>
      <c r="NBS114" s="181"/>
      <c r="NBT114" s="182"/>
      <c r="NBU114" s="181"/>
      <c r="NBV114" s="182"/>
      <c r="NBW114" s="181"/>
      <c r="NBX114" s="182"/>
      <c r="NBY114" s="181"/>
      <c r="NBZ114" s="182"/>
      <c r="NCA114" s="181"/>
      <c r="NCB114" s="182"/>
      <c r="NCC114" s="181"/>
      <c r="NCD114" s="182"/>
      <c r="NCE114" s="181"/>
      <c r="NCF114" s="182"/>
      <c r="NCG114" s="181"/>
      <c r="NCH114" s="182"/>
      <c r="NCI114" s="181"/>
      <c r="NCJ114" s="182"/>
      <c r="NCK114" s="181"/>
      <c r="NCL114" s="182"/>
      <c r="NCM114" s="181"/>
      <c r="NCN114" s="182"/>
      <c r="NCO114" s="181"/>
      <c r="NCP114" s="182"/>
      <c r="NCQ114" s="181"/>
      <c r="NCR114" s="182"/>
      <c r="NCS114" s="181"/>
      <c r="NCT114" s="182"/>
      <c r="NCU114" s="181"/>
      <c r="NCV114" s="182"/>
      <c r="NCW114" s="181"/>
      <c r="NCX114" s="182"/>
      <c r="NCY114" s="181"/>
      <c r="NCZ114" s="182"/>
      <c r="NDA114" s="181"/>
      <c r="NDB114" s="182"/>
      <c r="NDC114" s="181"/>
      <c r="NDD114" s="182"/>
      <c r="NDE114" s="181"/>
      <c r="NDF114" s="182"/>
      <c r="NDG114" s="181"/>
      <c r="NDH114" s="182"/>
      <c r="NDI114" s="181"/>
      <c r="NDJ114" s="182"/>
      <c r="NDK114" s="181"/>
      <c r="NDL114" s="182"/>
      <c r="NDM114" s="181"/>
      <c r="NDN114" s="182"/>
      <c r="NDO114" s="181"/>
      <c r="NDP114" s="182"/>
      <c r="NDQ114" s="181"/>
      <c r="NDR114" s="182"/>
      <c r="NDS114" s="181"/>
      <c r="NDT114" s="182"/>
      <c r="NDU114" s="181"/>
      <c r="NDV114" s="182"/>
      <c r="NDW114" s="181"/>
      <c r="NDX114" s="182"/>
      <c r="NDY114" s="181"/>
      <c r="NDZ114" s="182"/>
      <c r="NEA114" s="181"/>
      <c r="NEB114" s="182"/>
      <c r="NEC114" s="181"/>
      <c r="NED114" s="182"/>
      <c r="NEE114" s="181"/>
      <c r="NEF114" s="182"/>
      <c r="NEG114" s="181"/>
      <c r="NEH114" s="182"/>
      <c r="NEI114" s="181"/>
      <c r="NEJ114" s="182"/>
      <c r="NEK114" s="181"/>
      <c r="NEL114" s="182"/>
      <c r="NEM114" s="181"/>
      <c r="NEN114" s="182"/>
      <c r="NEO114" s="181"/>
      <c r="NEP114" s="182"/>
      <c r="NEQ114" s="181"/>
      <c r="NER114" s="182"/>
      <c r="NES114" s="181"/>
      <c r="NET114" s="182"/>
      <c r="NEU114" s="181"/>
      <c r="NEV114" s="182"/>
      <c r="NEW114" s="181"/>
      <c r="NEX114" s="182"/>
      <c r="NEY114" s="181"/>
      <c r="NEZ114" s="182"/>
      <c r="NFA114" s="181"/>
      <c r="NFB114" s="182"/>
      <c r="NFC114" s="181"/>
      <c r="NFD114" s="182"/>
      <c r="NFE114" s="181"/>
      <c r="NFF114" s="182"/>
      <c r="NFG114" s="181"/>
      <c r="NFH114" s="182"/>
      <c r="NFI114" s="181"/>
      <c r="NFJ114" s="182"/>
      <c r="NFK114" s="181"/>
      <c r="NFL114" s="182"/>
      <c r="NFM114" s="181"/>
      <c r="NFN114" s="182"/>
      <c r="NFO114" s="181"/>
      <c r="NFP114" s="182"/>
      <c r="NFQ114" s="181"/>
      <c r="NFR114" s="182"/>
      <c r="NFS114" s="181"/>
      <c r="NFT114" s="182"/>
      <c r="NFU114" s="181"/>
      <c r="NFV114" s="182"/>
      <c r="NFW114" s="181"/>
      <c r="NFX114" s="182"/>
      <c r="NFY114" s="181"/>
      <c r="NFZ114" s="182"/>
      <c r="NGA114" s="181"/>
      <c r="NGB114" s="182"/>
      <c r="NGC114" s="181"/>
      <c r="NGD114" s="182"/>
      <c r="NGE114" s="181"/>
      <c r="NGF114" s="182"/>
      <c r="NGG114" s="181"/>
      <c r="NGH114" s="182"/>
      <c r="NGI114" s="181"/>
      <c r="NGJ114" s="182"/>
      <c r="NGK114" s="181"/>
      <c r="NGL114" s="182"/>
      <c r="NGM114" s="181"/>
      <c r="NGN114" s="182"/>
      <c r="NGO114" s="181"/>
      <c r="NGP114" s="182"/>
      <c r="NGQ114" s="181"/>
      <c r="NGR114" s="182"/>
      <c r="NGS114" s="181"/>
      <c r="NGT114" s="182"/>
      <c r="NGU114" s="181"/>
      <c r="NGV114" s="182"/>
      <c r="NGW114" s="181"/>
      <c r="NGX114" s="182"/>
      <c r="NGY114" s="181"/>
      <c r="NGZ114" s="182"/>
      <c r="NHA114" s="181"/>
      <c r="NHB114" s="182"/>
      <c r="NHC114" s="181"/>
      <c r="NHD114" s="182"/>
      <c r="NHE114" s="181"/>
      <c r="NHF114" s="182"/>
      <c r="NHG114" s="181"/>
      <c r="NHH114" s="182"/>
      <c r="NHI114" s="181"/>
      <c r="NHJ114" s="182"/>
      <c r="NHK114" s="181"/>
      <c r="NHL114" s="182"/>
      <c r="NHM114" s="181"/>
      <c r="NHN114" s="182"/>
      <c r="NHO114" s="181"/>
      <c r="NHP114" s="182"/>
      <c r="NHQ114" s="181"/>
      <c r="NHR114" s="182"/>
      <c r="NHS114" s="181"/>
      <c r="NHT114" s="182"/>
      <c r="NHU114" s="181"/>
      <c r="NHV114" s="182"/>
      <c r="NHW114" s="181"/>
      <c r="NHX114" s="182"/>
      <c r="NHY114" s="181"/>
      <c r="NHZ114" s="182"/>
      <c r="NIA114" s="181"/>
      <c r="NIB114" s="182"/>
      <c r="NIC114" s="181"/>
      <c r="NID114" s="182"/>
      <c r="NIE114" s="181"/>
      <c r="NIF114" s="182"/>
      <c r="NIG114" s="181"/>
      <c r="NIH114" s="182"/>
      <c r="NII114" s="181"/>
      <c r="NIJ114" s="182"/>
      <c r="NIK114" s="181"/>
      <c r="NIL114" s="182"/>
      <c r="NIM114" s="181"/>
      <c r="NIN114" s="182"/>
      <c r="NIO114" s="181"/>
      <c r="NIP114" s="182"/>
      <c r="NIQ114" s="181"/>
      <c r="NIR114" s="182"/>
      <c r="NIS114" s="181"/>
      <c r="NIT114" s="182"/>
      <c r="NIU114" s="181"/>
      <c r="NIV114" s="182"/>
      <c r="NIW114" s="181"/>
      <c r="NIX114" s="182"/>
      <c r="NIY114" s="181"/>
      <c r="NIZ114" s="182"/>
      <c r="NJA114" s="181"/>
      <c r="NJB114" s="182"/>
      <c r="NJC114" s="181"/>
      <c r="NJD114" s="182"/>
      <c r="NJE114" s="181"/>
      <c r="NJF114" s="182"/>
      <c r="NJG114" s="181"/>
      <c r="NJH114" s="182"/>
      <c r="NJI114" s="181"/>
      <c r="NJJ114" s="182"/>
      <c r="NJK114" s="181"/>
      <c r="NJL114" s="182"/>
      <c r="NJM114" s="181"/>
      <c r="NJN114" s="182"/>
      <c r="NJO114" s="181"/>
      <c r="NJP114" s="182"/>
      <c r="NJQ114" s="181"/>
      <c r="NJR114" s="182"/>
      <c r="NJS114" s="181"/>
      <c r="NJT114" s="182"/>
      <c r="NJU114" s="181"/>
      <c r="NJV114" s="182"/>
      <c r="NJW114" s="181"/>
      <c r="NJX114" s="182"/>
      <c r="NJY114" s="181"/>
      <c r="NJZ114" s="182"/>
      <c r="NKA114" s="181"/>
      <c r="NKB114" s="182"/>
      <c r="NKC114" s="181"/>
      <c r="NKD114" s="182"/>
      <c r="NKE114" s="181"/>
      <c r="NKF114" s="182"/>
      <c r="NKG114" s="181"/>
      <c r="NKH114" s="182"/>
      <c r="NKI114" s="181"/>
      <c r="NKJ114" s="182"/>
      <c r="NKK114" s="181"/>
      <c r="NKL114" s="182"/>
      <c r="NKM114" s="181"/>
      <c r="NKN114" s="182"/>
      <c r="NKO114" s="181"/>
      <c r="NKP114" s="182"/>
      <c r="NKQ114" s="181"/>
      <c r="NKR114" s="182"/>
      <c r="NKS114" s="181"/>
      <c r="NKT114" s="182"/>
      <c r="NKU114" s="181"/>
      <c r="NKV114" s="182"/>
      <c r="NKW114" s="181"/>
      <c r="NKX114" s="182"/>
      <c r="NKY114" s="181"/>
      <c r="NKZ114" s="182"/>
      <c r="NLA114" s="181"/>
      <c r="NLB114" s="182"/>
      <c r="NLC114" s="181"/>
      <c r="NLD114" s="182"/>
      <c r="NLE114" s="181"/>
      <c r="NLF114" s="182"/>
      <c r="NLG114" s="181"/>
      <c r="NLH114" s="182"/>
      <c r="NLI114" s="181"/>
      <c r="NLJ114" s="182"/>
      <c r="NLK114" s="181"/>
      <c r="NLL114" s="182"/>
      <c r="NLM114" s="181"/>
      <c r="NLN114" s="182"/>
      <c r="NLO114" s="181"/>
      <c r="NLP114" s="182"/>
      <c r="NLQ114" s="181"/>
      <c r="NLR114" s="182"/>
      <c r="NLS114" s="181"/>
      <c r="NLT114" s="182"/>
      <c r="NLU114" s="181"/>
      <c r="NLV114" s="182"/>
      <c r="NLW114" s="181"/>
      <c r="NLX114" s="182"/>
      <c r="NLY114" s="181"/>
      <c r="NLZ114" s="182"/>
      <c r="NMA114" s="181"/>
      <c r="NMB114" s="182"/>
      <c r="NMC114" s="181"/>
      <c r="NMD114" s="182"/>
      <c r="NME114" s="181"/>
      <c r="NMF114" s="182"/>
      <c r="NMG114" s="181"/>
      <c r="NMH114" s="182"/>
      <c r="NMI114" s="181"/>
      <c r="NMJ114" s="182"/>
      <c r="NMK114" s="181"/>
      <c r="NML114" s="182"/>
      <c r="NMM114" s="181"/>
      <c r="NMN114" s="182"/>
      <c r="NMO114" s="181"/>
      <c r="NMP114" s="182"/>
      <c r="NMQ114" s="181"/>
      <c r="NMR114" s="182"/>
      <c r="NMS114" s="181"/>
      <c r="NMT114" s="182"/>
      <c r="NMU114" s="181"/>
      <c r="NMV114" s="182"/>
      <c r="NMW114" s="181"/>
      <c r="NMX114" s="182"/>
      <c r="NMY114" s="181"/>
      <c r="NMZ114" s="182"/>
      <c r="NNA114" s="181"/>
      <c r="NNB114" s="182"/>
      <c r="NNC114" s="181"/>
      <c r="NND114" s="182"/>
      <c r="NNE114" s="181"/>
      <c r="NNF114" s="182"/>
      <c r="NNG114" s="181"/>
      <c r="NNH114" s="182"/>
      <c r="NNI114" s="181"/>
      <c r="NNJ114" s="182"/>
      <c r="NNK114" s="181"/>
      <c r="NNL114" s="182"/>
      <c r="NNM114" s="181"/>
      <c r="NNN114" s="182"/>
      <c r="NNO114" s="181"/>
      <c r="NNP114" s="182"/>
      <c r="NNQ114" s="181"/>
      <c r="NNR114" s="182"/>
      <c r="NNS114" s="181"/>
      <c r="NNT114" s="182"/>
      <c r="NNU114" s="181"/>
      <c r="NNV114" s="182"/>
      <c r="NNW114" s="181"/>
      <c r="NNX114" s="182"/>
      <c r="NNY114" s="181"/>
      <c r="NNZ114" s="182"/>
      <c r="NOA114" s="181"/>
      <c r="NOB114" s="182"/>
      <c r="NOC114" s="181"/>
      <c r="NOD114" s="182"/>
      <c r="NOE114" s="181"/>
      <c r="NOF114" s="182"/>
      <c r="NOG114" s="181"/>
      <c r="NOH114" s="182"/>
      <c r="NOI114" s="181"/>
      <c r="NOJ114" s="182"/>
      <c r="NOK114" s="181"/>
      <c r="NOL114" s="182"/>
      <c r="NOM114" s="181"/>
      <c r="NON114" s="182"/>
      <c r="NOO114" s="181"/>
      <c r="NOP114" s="182"/>
      <c r="NOQ114" s="181"/>
      <c r="NOR114" s="182"/>
      <c r="NOS114" s="181"/>
      <c r="NOT114" s="182"/>
      <c r="NOU114" s="181"/>
      <c r="NOV114" s="182"/>
      <c r="NOW114" s="181"/>
      <c r="NOX114" s="182"/>
      <c r="NOY114" s="181"/>
      <c r="NOZ114" s="182"/>
      <c r="NPA114" s="181"/>
      <c r="NPB114" s="182"/>
      <c r="NPC114" s="181"/>
      <c r="NPD114" s="182"/>
      <c r="NPE114" s="181"/>
      <c r="NPF114" s="182"/>
      <c r="NPG114" s="181"/>
      <c r="NPH114" s="182"/>
      <c r="NPI114" s="181"/>
      <c r="NPJ114" s="182"/>
      <c r="NPK114" s="181"/>
      <c r="NPL114" s="182"/>
      <c r="NPM114" s="181"/>
      <c r="NPN114" s="182"/>
      <c r="NPO114" s="181"/>
      <c r="NPP114" s="182"/>
      <c r="NPQ114" s="181"/>
      <c r="NPR114" s="182"/>
      <c r="NPS114" s="181"/>
      <c r="NPT114" s="182"/>
      <c r="NPU114" s="181"/>
      <c r="NPV114" s="182"/>
      <c r="NPW114" s="181"/>
      <c r="NPX114" s="182"/>
      <c r="NPY114" s="181"/>
      <c r="NPZ114" s="182"/>
      <c r="NQA114" s="181"/>
      <c r="NQB114" s="182"/>
      <c r="NQC114" s="181"/>
      <c r="NQD114" s="182"/>
      <c r="NQE114" s="181"/>
      <c r="NQF114" s="182"/>
      <c r="NQG114" s="181"/>
      <c r="NQH114" s="182"/>
      <c r="NQI114" s="181"/>
      <c r="NQJ114" s="182"/>
      <c r="NQK114" s="181"/>
      <c r="NQL114" s="182"/>
      <c r="NQM114" s="181"/>
      <c r="NQN114" s="182"/>
      <c r="NQO114" s="181"/>
      <c r="NQP114" s="182"/>
      <c r="NQQ114" s="181"/>
      <c r="NQR114" s="182"/>
      <c r="NQS114" s="181"/>
      <c r="NQT114" s="182"/>
      <c r="NQU114" s="181"/>
      <c r="NQV114" s="182"/>
      <c r="NQW114" s="181"/>
      <c r="NQX114" s="182"/>
      <c r="NQY114" s="181"/>
      <c r="NQZ114" s="182"/>
      <c r="NRA114" s="181"/>
      <c r="NRB114" s="182"/>
      <c r="NRC114" s="181"/>
      <c r="NRD114" s="182"/>
      <c r="NRE114" s="181"/>
      <c r="NRF114" s="182"/>
      <c r="NRG114" s="181"/>
      <c r="NRH114" s="182"/>
      <c r="NRI114" s="181"/>
      <c r="NRJ114" s="182"/>
      <c r="NRK114" s="181"/>
      <c r="NRL114" s="182"/>
      <c r="NRM114" s="181"/>
      <c r="NRN114" s="182"/>
      <c r="NRO114" s="181"/>
      <c r="NRP114" s="182"/>
      <c r="NRQ114" s="181"/>
      <c r="NRR114" s="182"/>
      <c r="NRS114" s="181"/>
      <c r="NRT114" s="182"/>
      <c r="NRU114" s="181"/>
      <c r="NRV114" s="182"/>
      <c r="NRW114" s="181"/>
      <c r="NRX114" s="182"/>
      <c r="NRY114" s="181"/>
      <c r="NRZ114" s="182"/>
      <c r="NSA114" s="181"/>
      <c r="NSB114" s="182"/>
      <c r="NSC114" s="181"/>
      <c r="NSD114" s="182"/>
      <c r="NSE114" s="181"/>
      <c r="NSF114" s="182"/>
      <c r="NSG114" s="181"/>
      <c r="NSH114" s="182"/>
      <c r="NSI114" s="181"/>
      <c r="NSJ114" s="182"/>
      <c r="NSK114" s="181"/>
      <c r="NSL114" s="182"/>
      <c r="NSM114" s="181"/>
      <c r="NSN114" s="182"/>
      <c r="NSO114" s="181"/>
      <c r="NSP114" s="182"/>
      <c r="NSQ114" s="181"/>
      <c r="NSR114" s="182"/>
      <c r="NSS114" s="181"/>
      <c r="NST114" s="182"/>
      <c r="NSU114" s="181"/>
      <c r="NSV114" s="182"/>
      <c r="NSW114" s="181"/>
      <c r="NSX114" s="182"/>
      <c r="NSY114" s="181"/>
      <c r="NSZ114" s="182"/>
      <c r="NTA114" s="181"/>
      <c r="NTB114" s="182"/>
      <c r="NTC114" s="181"/>
      <c r="NTD114" s="182"/>
      <c r="NTE114" s="181"/>
      <c r="NTF114" s="182"/>
      <c r="NTG114" s="181"/>
      <c r="NTH114" s="182"/>
      <c r="NTI114" s="181"/>
      <c r="NTJ114" s="182"/>
      <c r="NTK114" s="181"/>
      <c r="NTL114" s="182"/>
      <c r="NTM114" s="181"/>
      <c r="NTN114" s="182"/>
      <c r="NTO114" s="181"/>
      <c r="NTP114" s="182"/>
      <c r="NTQ114" s="181"/>
      <c r="NTR114" s="182"/>
      <c r="NTS114" s="181"/>
      <c r="NTT114" s="182"/>
      <c r="NTU114" s="181"/>
      <c r="NTV114" s="182"/>
      <c r="NTW114" s="181"/>
      <c r="NTX114" s="182"/>
      <c r="NTY114" s="181"/>
      <c r="NTZ114" s="182"/>
      <c r="NUA114" s="181"/>
      <c r="NUB114" s="182"/>
      <c r="NUC114" s="181"/>
      <c r="NUD114" s="182"/>
      <c r="NUE114" s="181"/>
      <c r="NUF114" s="182"/>
      <c r="NUG114" s="181"/>
      <c r="NUH114" s="182"/>
      <c r="NUI114" s="181"/>
      <c r="NUJ114" s="182"/>
      <c r="NUK114" s="181"/>
      <c r="NUL114" s="182"/>
      <c r="NUM114" s="181"/>
      <c r="NUN114" s="182"/>
      <c r="NUO114" s="181"/>
      <c r="NUP114" s="182"/>
      <c r="NUQ114" s="181"/>
      <c r="NUR114" s="182"/>
      <c r="NUS114" s="181"/>
      <c r="NUT114" s="182"/>
      <c r="NUU114" s="181"/>
      <c r="NUV114" s="182"/>
      <c r="NUW114" s="181"/>
      <c r="NUX114" s="182"/>
      <c r="NUY114" s="181"/>
      <c r="NUZ114" s="182"/>
      <c r="NVA114" s="181"/>
      <c r="NVB114" s="182"/>
      <c r="NVC114" s="181"/>
      <c r="NVD114" s="182"/>
      <c r="NVE114" s="181"/>
      <c r="NVF114" s="182"/>
      <c r="NVG114" s="181"/>
      <c r="NVH114" s="182"/>
      <c r="NVI114" s="181"/>
      <c r="NVJ114" s="182"/>
      <c r="NVK114" s="181"/>
      <c r="NVL114" s="182"/>
      <c r="NVM114" s="181"/>
      <c r="NVN114" s="182"/>
      <c r="NVO114" s="181"/>
      <c r="NVP114" s="182"/>
      <c r="NVQ114" s="181"/>
      <c r="NVR114" s="182"/>
      <c r="NVS114" s="181"/>
      <c r="NVT114" s="182"/>
      <c r="NVU114" s="181"/>
      <c r="NVV114" s="182"/>
      <c r="NVW114" s="181"/>
      <c r="NVX114" s="182"/>
      <c r="NVY114" s="181"/>
      <c r="NVZ114" s="182"/>
      <c r="NWA114" s="181"/>
      <c r="NWB114" s="182"/>
      <c r="NWC114" s="181"/>
      <c r="NWD114" s="182"/>
      <c r="NWE114" s="181"/>
      <c r="NWF114" s="182"/>
      <c r="NWG114" s="181"/>
      <c r="NWH114" s="182"/>
      <c r="NWI114" s="181"/>
      <c r="NWJ114" s="182"/>
      <c r="NWK114" s="181"/>
      <c r="NWL114" s="182"/>
      <c r="NWM114" s="181"/>
      <c r="NWN114" s="182"/>
      <c r="NWO114" s="181"/>
      <c r="NWP114" s="182"/>
      <c r="NWQ114" s="181"/>
      <c r="NWR114" s="182"/>
      <c r="NWS114" s="181"/>
      <c r="NWT114" s="182"/>
      <c r="NWU114" s="181"/>
      <c r="NWV114" s="182"/>
      <c r="NWW114" s="181"/>
      <c r="NWX114" s="182"/>
      <c r="NWY114" s="181"/>
      <c r="NWZ114" s="182"/>
      <c r="NXA114" s="181"/>
      <c r="NXB114" s="182"/>
      <c r="NXC114" s="181"/>
      <c r="NXD114" s="182"/>
      <c r="NXE114" s="181"/>
      <c r="NXF114" s="182"/>
      <c r="NXG114" s="181"/>
      <c r="NXH114" s="182"/>
      <c r="NXI114" s="181"/>
      <c r="NXJ114" s="182"/>
      <c r="NXK114" s="181"/>
      <c r="NXL114" s="182"/>
      <c r="NXM114" s="181"/>
      <c r="NXN114" s="182"/>
      <c r="NXO114" s="181"/>
      <c r="NXP114" s="182"/>
      <c r="NXQ114" s="181"/>
      <c r="NXR114" s="182"/>
      <c r="NXS114" s="181"/>
      <c r="NXT114" s="182"/>
      <c r="NXU114" s="181"/>
      <c r="NXV114" s="182"/>
      <c r="NXW114" s="181"/>
      <c r="NXX114" s="182"/>
      <c r="NXY114" s="181"/>
      <c r="NXZ114" s="182"/>
      <c r="NYA114" s="181"/>
      <c r="NYB114" s="182"/>
      <c r="NYC114" s="181"/>
      <c r="NYD114" s="182"/>
      <c r="NYE114" s="181"/>
      <c r="NYF114" s="182"/>
      <c r="NYG114" s="181"/>
      <c r="NYH114" s="182"/>
      <c r="NYI114" s="181"/>
      <c r="NYJ114" s="182"/>
      <c r="NYK114" s="181"/>
      <c r="NYL114" s="182"/>
      <c r="NYM114" s="181"/>
      <c r="NYN114" s="182"/>
      <c r="NYO114" s="181"/>
      <c r="NYP114" s="182"/>
      <c r="NYQ114" s="181"/>
      <c r="NYR114" s="182"/>
      <c r="NYS114" s="181"/>
      <c r="NYT114" s="182"/>
      <c r="NYU114" s="181"/>
      <c r="NYV114" s="182"/>
      <c r="NYW114" s="181"/>
      <c r="NYX114" s="182"/>
      <c r="NYY114" s="181"/>
      <c r="NYZ114" s="182"/>
      <c r="NZA114" s="181"/>
      <c r="NZB114" s="182"/>
      <c r="NZC114" s="181"/>
      <c r="NZD114" s="182"/>
      <c r="NZE114" s="181"/>
      <c r="NZF114" s="182"/>
      <c r="NZG114" s="181"/>
      <c r="NZH114" s="182"/>
      <c r="NZI114" s="181"/>
      <c r="NZJ114" s="182"/>
      <c r="NZK114" s="181"/>
      <c r="NZL114" s="182"/>
      <c r="NZM114" s="181"/>
      <c r="NZN114" s="182"/>
      <c r="NZO114" s="181"/>
      <c r="NZP114" s="182"/>
      <c r="NZQ114" s="181"/>
      <c r="NZR114" s="182"/>
      <c r="NZS114" s="181"/>
      <c r="NZT114" s="182"/>
      <c r="NZU114" s="181"/>
      <c r="NZV114" s="182"/>
      <c r="NZW114" s="181"/>
      <c r="NZX114" s="182"/>
      <c r="NZY114" s="181"/>
      <c r="NZZ114" s="182"/>
      <c r="OAA114" s="181"/>
      <c r="OAB114" s="182"/>
      <c r="OAC114" s="181"/>
      <c r="OAD114" s="182"/>
      <c r="OAE114" s="181"/>
      <c r="OAF114" s="182"/>
      <c r="OAG114" s="181"/>
      <c r="OAH114" s="182"/>
      <c r="OAI114" s="181"/>
      <c r="OAJ114" s="182"/>
      <c r="OAK114" s="181"/>
      <c r="OAL114" s="182"/>
      <c r="OAM114" s="181"/>
      <c r="OAN114" s="182"/>
      <c r="OAO114" s="181"/>
      <c r="OAP114" s="182"/>
      <c r="OAQ114" s="181"/>
      <c r="OAR114" s="182"/>
      <c r="OAS114" s="181"/>
      <c r="OAT114" s="182"/>
      <c r="OAU114" s="181"/>
      <c r="OAV114" s="182"/>
      <c r="OAW114" s="181"/>
      <c r="OAX114" s="182"/>
      <c r="OAY114" s="181"/>
      <c r="OAZ114" s="182"/>
      <c r="OBA114" s="181"/>
      <c r="OBB114" s="182"/>
      <c r="OBC114" s="181"/>
      <c r="OBD114" s="182"/>
      <c r="OBE114" s="181"/>
      <c r="OBF114" s="182"/>
      <c r="OBG114" s="181"/>
      <c r="OBH114" s="182"/>
      <c r="OBI114" s="181"/>
      <c r="OBJ114" s="182"/>
      <c r="OBK114" s="181"/>
      <c r="OBL114" s="182"/>
      <c r="OBM114" s="181"/>
      <c r="OBN114" s="182"/>
      <c r="OBO114" s="181"/>
      <c r="OBP114" s="182"/>
      <c r="OBQ114" s="181"/>
      <c r="OBR114" s="182"/>
      <c r="OBS114" s="181"/>
      <c r="OBT114" s="182"/>
      <c r="OBU114" s="181"/>
      <c r="OBV114" s="182"/>
      <c r="OBW114" s="181"/>
      <c r="OBX114" s="182"/>
      <c r="OBY114" s="181"/>
      <c r="OBZ114" s="182"/>
      <c r="OCA114" s="181"/>
      <c r="OCB114" s="182"/>
      <c r="OCC114" s="181"/>
      <c r="OCD114" s="182"/>
      <c r="OCE114" s="181"/>
      <c r="OCF114" s="182"/>
      <c r="OCG114" s="181"/>
      <c r="OCH114" s="182"/>
      <c r="OCI114" s="181"/>
      <c r="OCJ114" s="182"/>
      <c r="OCK114" s="181"/>
      <c r="OCL114" s="182"/>
      <c r="OCM114" s="181"/>
      <c r="OCN114" s="182"/>
      <c r="OCO114" s="181"/>
      <c r="OCP114" s="182"/>
      <c r="OCQ114" s="181"/>
      <c r="OCR114" s="182"/>
      <c r="OCS114" s="181"/>
      <c r="OCT114" s="182"/>
      <c r="OCU114" s="181"/>
      <c r="OCV114" s="182"/>
      <c r="OCW114" s="181"/>
      <c r="OCX114" s="182"/>
      <c r="OCY114" s="181"/>
      <c r="OCZ114" s="182"/>
      <c r="ODA114" s="181"/>
      <c r="ODB114" s="182"/>
      <c r="ODC114" s="181"/>
      <c r="ODD114" s="182"/>
      <c r="ODE114" s="181"/>
      <c r="ODF114" s="182"/>
      <c r="ODG114" s="181"/>
      <c r="ODH114" s="182"/>
      <c r="ODI114" s="181"/>
      <c r="ODJ114" s="182"/>
      <c r="ODK114" s="181"/>
      <c r="ODL114" s="182"/>
      <c r="ODM114" s="181"/>
      <c r="ODN114" s="182"/>
      <c r="ODO114" s="181"/>
      <c r="ODP114" s="182"/>
      <c r="ODQ114" s="181"/>
      <c r="ODR114" s="182"/>
      <c r="ODS114" s="181"/>
      <c r="ODT114" s="182"/>
      <c r="ODU114" s="181"/>
      <c r="ODV114" s="182"/>
      <c r="ODW114" s="181"/>
      <c r="ODX114" s="182"/>
      <c r="ODY114" s="181"/>
      <c r="ODZ114" s="182"/>
      <c r="OEA114" s="181"/>
      <c r="OEB114" s="182"/>
      <c r="OEC114" s="181"/>
      <c r="OED114" s="182"/>
      <c r="OEE114" s="181"/>
      <c r="OEF114" s="182"/>
      <c r="OEG114" s="181"/>
      <c r="OEH114" s="182"/>
      <c r="OEI114" s="181"/>
      <c r="OEJ114" s="182"/>
      <c r="OEK114" s="181"/>
      <c r="OEL114" s="182"/>
      <c r="OEM114" s="181"/>
      <c r="OEN114" s="182"/>
      <c r="OEO114" s="181"/>
      <c r="OEP114" s="182"/>
      <c r="OEQ114" s="181"/>
      <c r="OER114" s="182"/>
      <c r="OES114" s="181"/>
      <c r="OET114" s="182"/>
      <c r="OEU114" s="181"/>
      <c r="OEV114" s="182"/>
      <c r="OEW114" s="181"/>
      <c r="OEX114" s="182"/>
      <c r="OEY114" s="181"/>
      <c r="OEZ114" s="182"/>
      <c r="OFA114" s="181"/>
      <c r="OFB114" s="182"/>
      <c r="OFC114" s="181"/>
      <c r="OFD114" s="182"/>
      <c r="OFE114" s="181"/>
      <c r="OFF114" s="182"/>
      <c r="OFG114" s="181"/>
      <c r="OFH114" s="182"/>
      <c r="OFI114" s="181"/>
      <c r="OFJ114" s="182"/>
      <c r="OFK114" s="181"/>
      <c r="OFL114" s="182"/>
      <c r="OFM114" s="181"/>
      <c r="OFN114" s="182"/>
      <c r="OFO114" s="181"/>
      <c r="OFP114" s="182"/>
      <c r="OFQ114" s="181"/>
      <c r="OFR114" s="182"/>
      <c r="OFS114" s="181"/>
      <c r="OFT114" s="182"/>
      <c r="OFU114" s="181"/>
      <c r="OFV114" s="182"/>
      <c r="OFW114" s="181"/>
      <c r="OFX114" s="182"/>
      <c r="OFY114" s="181"/>
      <c r="OFZ114" s="182"/>
      <c r="OGA114" s="181"/>
      <c r="OGB114" s="182"/>
      <c r="OGC114" s="181"/>
      <c r="OGD114" s="182"/>
      <c r="OGE114" s="181"/>
      <c r="OGF114" s="182"/>
      <c r="OGG114" s="181"/>
      <c r="OGH114" s="182"/>
      <c r="OGI114" s="181"/>
      <c r="OGJ114" s="182"/>
      <c r="OGK114" s="181"/>
      <c r="OGL114" s="182"/>
      <c r="OGM114" s="181"/>
      <c r="OGN114" s="182"/>
      <c r="OGO114" s="181"/>
      <c r="OGP114" s="182"/>
      <c r="OGQ114" s="181"/>
      <c r="OGR114" s="182"/>
      <c r="OGS114" s="181"/>
      <c r="OGT114" s="182"/>
      <c r="OGU114" s="181"/>
      <c r="OGV114" s="182"/>
      <c r="OGW114" s="181"/>
      <c r="OGX114" s="182"/>
      <c r="OGY114" s="181"/>
      <c r="OGZ114" s="182"/>
      <c r="OHA114" s="181"/>
      <c r="OHB114" s="182"/>
      <c r="OHC114" s="181"/>
      <c r="OHD114" s="182"/>
      <c r="OHE114" s="181"/>
      <c r="OHF114" s="182"/>
      <c r="OHG114" s="181"/>
      <c r="OHH114" s="182"/>
      <c r="OHI114" s="181"/>
      <c r="OHJ114" s="182"/>
      <c r="OHK114" s="181"/>
      <c r="OHL114" s="182"/>
      <c r="OHM114" s="181"/>
      <c r="OHN114" s="182"/>
      <c r="OHO114" s="181"/>
      <c r="OHP114" s="182"/>
      <c r="OHQ114" s="181"/>
      <c r="OHR114" s="182"/>
      <c r="OHS114" s="181"/>
      <c r="OHT114" s="182"/>
      <c r="OHU114" s="181"/>
      <c r="OHV114" s="182"/>
      <c r="OHW114" s="181"/>
      <c r="OHX114" s="182"/>
      <c r="OHY114" s="181"/>
      <c r="OHZ114" s="182"/>
      <c r="OIA114" s="181"/>
      <c r="OIB114" s="182"/>
      <c r="OIC114" s="181"/>
      <c r="OID114" s="182"/>
      <c r="OIE114" s="181"/>
      <c r="OIF114" s="182"/>
      <c r="OIG114" s="181"/>
      <c r="OIH114" s="182"/>
      <c r="OII114" s="181"/>
      <c r="OIJ114" s="182"/>
      <c r="OIK114" s="181"/>
      <c r="OIL114" s="182"/>
      <c r="OIM114" s="181"/>
      <c r="OIN114" s="182"/>
      <c r="OIO114" s="181"/>
      <c r="OIP114" s="182"/>
      <c r="OIQ114" s="181"/>
      <c r="OIR114" s="182"/>
      <c r="OIS114" s="181"/>
      <c r="OIT114" s="182"/>
      <c r="OIU114" s="181"/>
      <c r="OIV114" s="182"/>
      <c r="OIW114" s="181"/>
      <c r="OIX114" s="182"/>
      <c r="OIY114" s="181"/>
      <c r="OIZ114" s="182"/>
      <c r="OJA114" s="181"/>
      <c r="OJB114" s="182"/>
      <c r="OJC114" s="181"/>
      <c r="OJD114" s="182"/>
      <c r="OJE114" s="181"/>
      <c r="OJF114" s="182"/>
      <c r="OJG114" s="181"/>
      <c r="OJH114" s="182"/>
      <c r="OJI114" s="181"/>
      <c r="OJJ114" s="182"/>
      <c r="OJK114" s="181"/>
      <c r="OJL114" s="182"/>
      <c r="OJM114" s="181"/>
      <c r="OJN114" s="182"/>
      <c r="OJO114" s="181"/>
      <c r="OJP114" s="182"/>
      <c r="OJQ114" s="181"/>
      <c r="OJR114" s="182"/>
      <c r="OJS114" s="181"/>
      <c r="OJT114" s="182"/>
      <c r="OJU114" s="181"/>
      <c r="OJV114" s="182"/>
      <c r="OJW114" s="181"/>
      <c r="OJX114" s="182"/>
      <c r="OJY114" s="181"/>
      <c r="OJZ114" s="182"/>
      <c r="OKA114" s="181"/>
      <c r="OKB114" s="182"/>
      <c r="OKC114" s="181"/>
      <c r="OKD114" s="182"/>
      <c r="OKE114" s="181"/>
      <c r="OKF114" s="182"/>
      <c r="OKG114" s="181"/>
      <c r="OKH114" s="182"/>
      <c r="OKI114" s="181"/>
      <c r="OKJ114" s="182"/>
      <c r="OKK114" s="181"/>
      <c r="OKL114" s="182"/>
      <c r="OKM114" s="181"/>
      <c r="OKN114" s="182"/>
      <c r="OKO114" s="181"/>
      <c r="OKP114" s="182"/>
      <c r="OKQ114" s="181"/>
      <c r="OKR114" s="182"/>
      <c r="OKS114" s="181"/>
      <c r="OKT114" s="182"/>
      <c r="OKU114" s="181"/>
      <c r="OKV114" s="182"/>
      <c r="OKW114" s="181"/>
      <c r="OKX114" s="182"/>
      <c r="OKY114" s="181"/>
      <c r="OKZ114" s="182"/>
      <c r="OLA114" s="181"/>
      <c r="OLB114" s="182"/>
      <c r="OLC114" s="181"/>
      <c r="OLD114" s="182"/>
      <c r="OLE114" s="181"/>
      <c r="OLF114" s="182"/>
      <c r="OLG114" s="181"/>
      <c r="OLH114" s="182"/>
      <c r="OLI114" s="181"/>
      <c r="OLJ114" s="182"/>
      <c r="OLK114" s="181"/>
      <c r="OLL114" s="182"/>
      <c r="OLM114" s="181"/>
      <c r="OLN114" s="182"/>
      <c r="OLO114" s="181"/>
      <c r="OLP114" s="182"/>
      <c r="OLQ114" s="181"/>
      <c r="OLR114" s="182"/>
      <c r="OLS114" s="181"/>
      <c r="OLT114" s="182"/>
      <c r="OLU114" s="181"/>
      <c r="OLV114" s="182"/>
      <c r="OLW114" s="181"/>
      <c r="OLX114" s="182"/>
      <c r="OLY114" s="181"/>
      <c r="OLZ114" s="182"/>
      <c r="OMA114" s="181"/>
      <c r="OMB114" s="182"/>
      <c r="OMC114" s="181"/>
      <c r="OMD114" s="182"/>
      <c r="OME114" s="181"/>
      <c r="OMF114" s="182"/>
      <c r="OMG114" s="181"/>
      <c r="OMH114" s="182"/>
      <c r="OMI114" s="181"/>
      <c r="OMJ114" s="182"/>
      <c r="OMK114" s="181"/>
      <c r="OML114" s="182"/>
      <c r="OMM114" s="181"/>
      <c r="OMN114" s="182"/>
      <c r="OMO114" s="181"/>
      <c r="OMP114" s="182"/>
      <c r="OMQ114" s="181"/>
      <c r="OMR114" s="182"/>
      <c r="OMS114" s="181"/>
      <c r="OMT114" s="182"/>
      <c r="OMU114" s="181"/>
      <c r="OMV114" s="182"/>
      <c r="OMW114" s="181"/>
      <c r="OMX114" s="182"/>
      <c r="OMY114" s="181"/>
      <c r="OMZ114" s="182"/>
      <c r="ONA114" s="181"/>
      <c r="ONB114" s="182"/>
      <c r="ONC114" s="181"/>
      <c r="OND114" s="182"/>
      <c r="ONE114" s="181"/>
      <c r="ONF114" s="182"/>
      <c r="ONG114" s="181"/>
      <c r="ONH114" s="182"/>
      <c r="ONI114" s="181"/>
      <c r="ONJ114" s="182"/>
      <c r="ONK114" s="181"/>
      <c r="ONL114" s="182"/>
      <c r="ONM114" s="181"/>
      <c r="ONN114" s="182"/>
      <c r="ONO114" s="181"/>
      <c r="ONP114" s="182"/>
      <c r="ONQ114" s="181"/>
      <c r="ONR114" s="182"/>
      <c r="ONS114" s="181"/>
      <c r="ONT114" s="182"/>
      <c r="ONU114" s="181"/>
      <c r="ONV114" s="182"/>
      <c r="ONW114" s="181"/>
      <c r="ONX114" s="182"/>
      <c r="ONY114" s="181"/>
      <c r="ONZ114" s="182"/>
      <c r="OOA114" s="181"/>
      <c r="OOB114" s="182"/>
      <c r="OOC114" s="181"/>
      <c r="OOD114" s="182"/>
      <c r="OOE114" s="181"/>
      <c r="OOF114" s="182"/>
      <c r="OOG114" s="181"/>
      <c r="OOH114" s="182"/>
      <c r="OOI114" s="181"/>
      <c r="OOJ114" s="182"/>
      <c r="OOK114" s="181"/>
      <c r="OOL114" s="182"/>
      <c r="OOM114" s="181"/>
      <c r="OON114" s="182"/>
      <c r="OOO114" s="181"/>
      <c r="OOP114" s="182"/>
      <c r="OOQ114" s="181"/>
      <c r="OOR114" s="182"/>
      <c r="OOS114" s="181"/>
      <c r="OOT114" s="182"/>
      <c r="OOU114" s="181"/>
      <c r="OOV114" s="182"/>
      <c r="OOW114" s="181"/>
      <c r="OOX114" s="182"/>
      <c r="OOY114" s="181"/>
      <c r="OOZ114" s="182"/>
      <c r="OPA114" s="181"/>
      <c r="OPB114" s="182"/>
      <c r="OPC114" s="181"/>
      <c r="OPD114" s="182"/>
      <c r="OPE114" s="181"/>
      <c r="OPF114" s="182"/>
      <c r="OPG114" s="181"/>
      <c r="OPH114" s="182"/>
      <c r="OPI114" s="181"/>
      <c r="OPJ114" s="182"/>
      <c r="OPK114" s="181"/>
      <c r="OPL114" s="182"/>
      <c r="OPM114" s="181"/>
      <c r="OPN114" s="182"/>
      <c r="OPO114" s="181"/>
      <c r="OPP114" s="182"/>
      <c r="OPQ114" s="181"/>
      <c r="OPR114" s="182"/>
      <c r="OPS114" s="181"/>
      <c r="OPT114" s="182"/>
      <c r="OPU114" s="181"/>
      <c r="OPV114" s="182"/>
      <c r="OPW114" s="181"/>
      <c r="OPX114" s="182"/>
      <c r="OPY114" s="181"/>
      <c r="OPZ114" s="182"/>
      <c r="OQA114" s="181"/>
      <c r="OQB114" s="182"/>
      <c r="OQC114" s="181"/>
      <c r="OQD114" s="182"/>
      <c r="OQE114" s="181"/>
      <c r="OQF114" s="182"/>
      <c r="OQG114" s="181"/>
      <c r="OQH114" s="182"/>
      <c r="OQI114" s="181"/>
      <c r="OQJ114" s="182"/>
      <c r="OQK114" s="181"/>
      <c r="OQL114" s="182"/>
      <c r="OQM114" s="181"/>
      <c r="OQN114" s="182"/>
      <c r="OQO114" s="181"/>
      <c r="OQP114" s="182"/>
      <c r="OQQ114" s="181"/>
      <c r="OQR114" s="182"/>
      <c r="OQS114" s="181"/>
      <c r="OQT114" s="182"/>
      <c r="OQU114" s="181"/>
      <c r="OQV114" s="182"/>
      <c r="OQW114" s="181"/>
      <c r="OQX114" s="182"/>
      <c r="OQY114" s="181"/>
      <c r="OQZ114" s="182"/>
      <c r="ORA114" s="181"/>
      <c r="ORB114" s="182"/>
      <c r="ORC114" s="181"/>
      <c r="ORD114" s="182"/>
      <c r="ORE114" s="181"/>
      <c r="ORF114" s="182"/>
      <c r="ORG114" s="181"/>
      <c r="ORH114" s="182"/>
      <c r="ORI114" s="181"/>
      <c r="ORJ114" s="182"/>
      <c r="ORK114" s="181"/>
      <c r="ORL114" s="182"/>
      <c r="ORM114" s="181"/>
      <c r="ORN114" s="182"/>
      <c r="ORO114" s="181"/>
      <c r="ORP114" s="182"/>
      <c r="ORQ114" s="181"/>
      <c r="ORR114" s="182"/>
      <c r="ORS114" s="181"/>
      <c r="ORT114" s="182"/>
      <c r="ORU114" s="181"/>
      <c r="ORV114" s="182"/>
      <c r="ORW114" s="181"/>
      <c r="ORX114" s="182"/>
      <c r="ORY114" s="181"/>
      <c r="ORZ114" s="182"/>
      <c r="OSA114" s="181"/>
      <c r="OSB114" s="182"/>
      <c r="OSC114" s="181"/>
      <c r="OSD114" s="182"/>
      <c r="OSE114" s="181"/>
      <c r="OSF114" s="182"/>
      <c r="OSG114" s="181"/>
      <c r="OSH114" s="182"/>
      <c r="OSI114" s="181"/>
      <c r="OSJ114" s="182"/>
      <c r="OSK114" s="181"/>
      <c r="OSL114" s="182"/>
      <c r="OSM114" s="181"/>
      <c r="OSN114" s="182"/>
      <c r="OSO114" s="181"/>
      <c r="OSP114" s="182"/>
      <c r="OSQ114" s="181"/>
      <c r="OSR114" s="182"/>
      <c r="OSS114" s="181"/>
      <c r="OST114" s="182"/>
      <c r="OSU114" s="181"/>
      <c r="OSV114" s="182"/>
      <c r="OSW114" s="181"/>
      <c r="OSX114" s="182"/>
      <c r="OSY114" s="181"/>
      <c r="OSZ114" s="182"/>
      <c r="OTA114" s="181"/>
      <c r="OTB114" s="182"/>
      <c r="OTC114" s="181"/>
      <c r="OTD114" s="182"/>
      <c r="OTE114" s="181"/>
      <c r="OTF114" s="182"/>
      <c r="OTG114" s="181"/>
      <c r="OTH114" s="182"/>
      <c r="OTI114" s="181"/>
      <c r="OTJ114" s="182"/>
      <c r="OTK114" s="181"/>
      <c r="OTL114" s="182"/>
      <c r="OTM114" s="181"/>
      <c r="OTN114" s="182"/>
      <c r="OTO114" s="181"/>
      <c r="OTP114" s="182"/>
      <c r="OTQ114" s="181"/>
      <c r="OTR114" s="182"/>
      <c r="OTS114" s="181"/>
      <c r="OTT114" s="182"/>
      <c r="OTU114" s="181"/>
      <c r="OTV114" s="182"/>
      <c r="OTW114" s="181"/>
      <c r="OTX114" s="182"/>
      <c r="OTY114" s="181"/>
      <c r="OTZ114" s="182"/>
      <c r="OUA114" s="181"/>
      <c r="OUB114" s="182"/>
      <c r="OUC114" s="181"/>
      <c r="OUD114" s="182"/>
      <c r="OUE114" s="181"/>
      <c r="OUF114" s="182"/>
      <c r="OUG114" s="181"/>
      <c r="OUH114" s="182"/>
      <c r="OUI114" s="181"/>
      <c r="OUJ114" s="182"/>
      <c r="OUK114" s="181"/>
      <c r="OUL114" s="182"/>
      <c r="OUM114" s="181"/>
      <c r="OUN114" s="182"/>
      <c r="OUO114" s="181"/>
      <c r="OUP114" s="182"/>
      <c r="OUQ114" s="181"/>
      <c r="OUR114" s="182"/>
      <c r="OUS114" s="181"/>
      <c r="OUT114" s="182"/>
      <c r="OUU114" s="181"/>
      <c r="OUV114" s="182"/>
      <c r="OUW114" s="181"/>
      <c r="OUX114" s="182"/>
      <c r="OUY114" s="181"/>
      <c r="OUZ114" s="182"/>
      <c r="OVA114" s="181"/>
      <c r="OVB114" s="182"/>
      <c r="OVC114" s="181"/>
      <c r="OVD114" s="182"/>
      <c r="OVE114" s="181"/>
      <c r="OVF114" s="182"/>
      <c r="OVG114" s="181"/>
      <c r="OVH114" s="182"/>
      <c r="OVI114" s="181"/>
      <c r="OVJ114" s="182"/>
      <c r="OVK114" s="181"/>
      <c r="OVL114" s="182"/>
      <c r="OVM114" s="181"/>
      <c r="OVN114" s="182"/>
      <c r="OVO114" s="181"/>
      <c r="OVP114" s="182"/>
      <c r="OVQ114" s="181"/>
      <c r="OVR114" s="182"/>
      <c r="OVS114" s="181"/>
      <c r="OVT114" s="182"/>
      <c r="OVU114" s="181"/>
      <c r="OVV114" s="182"/>
      <c r="OVW114" s="181"/>
      <c r="OVX114" s="182"/>
      <c r="OVY114" s="181"/>
      <c r="OVZ114" s="182"/>
      <c r="OWA114" s="181"/>
      <c r="OWB114" s="182"/>
      <c r="OWC114" s="181"/>
      <c r="OWD114" s="182"/>
      <c r="OWE114" s="181"/>
      <c r="OWF114" s="182"/>
      <c r="OWG114" s="181"/>
      <c r="OWH114" s="182"/>
      <c r="OWI114" s="181"/>
      <c r="OWJ114" s="182"/>
      <c r="OWK114" s="181"/>
      <c r="OWL114" s="182"/>
      <c r="OWM114" s="181"/>
      <c r="OWN114" s="182"/>
      <c r="OWO114" s="181"/>
      <c r="OWP114" s="182"/>
      <c r="OWQ114" s="181"/>
      <c r="OWR114" s="182"/>
      <c r="OWS114" s="181"/>
      <c r="OWT114" s="182"/>
      <c r="OWU114" s="181"/>
      <c r="OWV114" s="182"/>
      <c r="OWW114" s="181"/>
      <c r="OWX114" s="182"/>
      <c r="OWY114" s="181"/>
      <c r="OWZ114" s="182"/>
      <c r="OXA114" s="181"/>
      <c r="OXB114" s="182"/>
      <c r="OXC114" s="181"/>
      <c r="OXD114" s="182"/>
      <c r="OXE114" s="181"/>
      <c r="OXF114" s="182"/>
      <c r="OXG114" s="181"/>
      <c r="OXH114" s="182"/>
      <c r="OXI114" s="181"/>
      <c r="OXJ114" s="182"/>
      <c r="OXK114" s="181"/>
      <c r="OXL114" s="182"/>
      <c r="OXM114" s="181"/>
      <c r="OXN114" s="182"/>
      <c r="OXO114" s="181"/>
      <c r="OXP114" s="182"/>
      <c r="OXQ114" s="181"/>
      <c r="OXR114" s="182"/>
      <c r="OXS114" s="181"/>
      <c r="OXT114" s="182"/>
      <c r="OXU114" s="181"/>
      <c r="OXV114" s="182"/>
      <c r="OXW114" s="181"/>
      <c r="OXX114" s="182"/>
      <c r="OXY114" s="181"/>
      <c r="OXZ114" s="182"/>
      <c r="OYA114" s="181"/>
      <c r="OYB114" s="182"/>
      <c r="OYC114" s="181"/>
      <c r="OYD114" s="182"/>
      <c r="OYE114" s="181"/>
      <c r="OYF114" s="182"/>
      <c r="OYG114" s="181"/>
      <c r="OYH114" s="182"/>
      <c r="OYI114" s="181"/>
      <c r="OYJ114" s="182"/>
      <c r="OYK114" s="181"/>
      <c r="OYL114" s="182"/>
      <c r="OYM114" s="181"/>
      <c r="OYN114" s="182"/>
      <c r="OYO114" s="181"/>
      <c r="OYP114" s="182"/>
      <c r="OYQ114" s="181"/>
      <c r="OYR114" s="182"/>
      <c r="OYS114" s="181"/>
      <c r="OYT114" s="182"/>
      <c r="OYU114" s="181"/>
      <c r="OYV114" s="182"/>
      <c r="OYW114" s="181"/>
      <c r="OYX114" s="182"/>
      <c r="OYY114" s="181"/>
      <c r="OYZ114" s="182"/>
      <c r="OZA114" s="181"/>
      <c r="OZB114" s="182"/>
      <c r="OZC114" s="181"/>
      <c r="OZD114" s="182"/>
      <c r="OZE114" s="181"/>
      <c r="OZF114" s="182"/>
      <c r="OZG114" s="181"/>
      <c r="OZH114" s="182"/>
      <c r="OZI114" s="181"/>
      <c r="OZJ114" s="182"/>
      <c r="OZK114" s="181"/>
      <c r="OZL114" s="182"/>
      <c r="OZM114" s="181"/>
      <c r="OZN114" s="182"/>
      <c r="OZO114" s="181"/>
      <c r="OZP114" s="182"/>
      <c r="OZQ114" s="181"/>
      <c r="OZR114" s="182"/>
      <c r="OZS114" s="181"/>
      <c r="OZT114" s="182"/>
      <c r="OZU114" s="181"/>
      <c r="OZV114" s="182"/>
      <c r="OZW114" s="181"/>
      <c r="OZX114" s="182"/>
      <c r="OZY114" s="181"/>
      <c r="OZZ114" s="182"/>
      <c r="PAA114" s="181"/>
      <c r="PAB114" s="182"/>
      <c r="PAC114" s="181"/>
      <c r="PAD114" s="182"/>
      <c r="PAE114" s="181"/>
      <c r="PAF114" s="182"/>
      <c r="PAG114" s="181"/>
      <c r="PAH114" s="182"/>
      <c r="PAI114" s="181"/>
      <c r="PAJ114" s="182"/>
      <c r="PAK114" s="181"/>
      <c r="PAL114" s="182"/>
      <c r="PAM114" s="181"/>
      <c r="PAN114" s="182"/>
      <c r="PAO114" s="181"/>
      <c r="PAP114" s="182"/>
      <c r="PAQ114" s="181"/>
      <c r="PAR114" s="182"/>
      <c r="PAS114" s="181"/>
      <c r="PAT114" s="182"/>
      <c r="PAU114" s="181"/>
      <c r="PAV114" s="182"/>
      <c r="PAW114" s="181"/>
      <c r="PAX114" s="182"/>
      <c r="PAY114" s="181"/>
      <c r="PAZ114" s="182"/>
      <c r="PBA114" s="181"/>
      <c r="PBB114" s="182"/>
      <c r="PBC114" s="181"/>
      <c r="PBD114" s="182"/>
      <c r="PBE114" s="181"/>
      <c r="PBF114" s="182"/>
      <c r="PBG114" s="181"/>
      <c r="PBH114" s="182"/>
      <c r="PBI114" s="181"/>
      <c r="PBJ114" s="182"/>
      <c r="PBK114" s="181"/>
      <c r="PBL114" s="182"/>
      <c r="PBM114" s="181"/>
      <c r="PBN114" s="182"/>
      <c r="PBO114" s="181"/>
      <c r="PBP114" s="182"/>
      <c r="PBQ114" s="181"/>
      <c r="PBR114" s="182"/>
      <c r="PBS114" s="181"/>
      <c r="PBT114" s="182"/>
      <c r="PBU114" s="181"/>
      <c r="PBV114" s="182"/>
      <c r="PBW114" s="181"/>
      <c r="PBX114" s="182"/>
      <c r="PBY114" s="181"/>
      <c r="PBZ114" s="182"/>
      <c r="PCA114" s="181"/>
      <c r="PCB114" s="182"/>
      <c r="PCC114" s="181"/>
      <c r="PCD114" s="182"/>
      <c r="PCE114" s="181"/>
      <c r="PCF114" s="182"/>
      <c r="PCG114" s="181"/>
      <c r="PCH114" s="182"/>
      <c r="PCI114" s="181"/>
      <c r="PCJ114" s="182"/>
      <c r="PCK114" s="181"/>
      <c r="PCL114" s="182"/>
      <c r="PCM114" s="181"/>
      <c r="PCN114" s="182"/>
      <c r="PCO114" s="181"/>
      <c r="PCP114" s="182"/>
      <c r="PCQ114" s="181"/>
      <c r="PCR114" s="182"/>
      <c r="PCS114" s="181"/>
      <c r="PCT114" s="182"/>
      <c r="PCU114" s="181"/>
      <c r="PCV114" s="182"/>
      <c r="PCW114" s="181"/>
      <c r="PCX114" s="182"/>
      <c r="PCY114" s="181"/>
      <c r="PCZ114" s="182"/>
      <c r="PDA114" s="181"/>
      <c r="PDB114" s="182"/>
      <c r="PDC114" s="181"/>
      <c r="PDD114" s="182"/>
      <c r="PDE114" s="181"/>
      <c r="PDF114" s="182"/>
      <c r="PDG114" s="181"/>
      <c r="PDH114" s="182"/>
      <c r="PDI114" s="181"/>
      <c r="PDJ114" s="182"/>
      <c r="PDK114" s="181"/>
      <c r="PDL114" s="182"/>
      <c r="PDM114" s="181"/>
      <c r="PDN114" s="182"/>
      <c r="PDO114" s="181"/>
      <c r="PDP114" s="182"/>
      <c r="PDQ114" s="181"/>
      <c r="PDR114" s="182"/>
      <c r="PDS114" s="181"/>
      <c r="PDT114" s="182"/>
      <c r="PDU114" s="181"/>
      <c r="PDV114" s="182"/>
      <c r="PDW114" s="181"/>
      <c r="PDX114" s="182"/>
      <c r="PDY114" s="181"/>
      <c r="PDZ114" s="182"/>
      <c r="PEA114" s="181"/>
      <c r="PEB114" s="182"/>
      <c r="PEC114" s="181"/>
      <c r="PED114" s="182"/>
      <c r="PEE114" s="181"/>
      <c r="PEF114" s="182"/>
      <c r="PEG114" s="181"/>
      <c r="PEH114" s="182"/>
      <c r="PEI114" s="181"/>
      <c r="PEJ114" s="182"/>
      <c r="PEK114" s="181"/>
      <c r="PEL114" s="182"/>
      <c r="PEM114" s="181"/>
      <c r="PEN114" s="182"/>
      <c r="PEO114" s="181"/>
      <c r="PEP114" s="182"/>
      <c r="PEQ114" s="181"/>
      <c r="PER114" s="182"/>
      <c r="PES114" s="181"/>
      <c r="PET114" s="182"/>
      <c r="PEU114" s="181"/>
      <c r="PEV114" s="182"/>
      <c r="PEW114" s="181"/>
      <c r="PEX114" s="182"/>
      <c r="PEY114" s="181"/>
      <c r="PEZ114" s="182"/>
      <c r="PFA114" s="181"/>
      <c r="PFB114" s="182"/>
      <c r="PFC114" s="181"/>
      <c r="PFD114" s="182"/>
      <c r="PFE114" s="181"/>
      <c r="PFF114" s="182"/>
      <c r="PFG114" s="181"/>
      <c r="PFH114" s="182"/>
      <c r="PFI114" s="181"/>
      <c r="PFJ114" s="182"/>
      <c r="PFK114" s="181"/>
      <c r="PFL114" s="182"/>
      <c r="PFM114" s="181"/>
      <c r="PFN114" s="182"/>
      <c r="PFO114" s="181"/>
      <c r="PFP114" s="182"/>
      <c r="PFQ114" s="181"/>
      <c r="PFR114" s="182"/>
      <c r="PFS114" s="181"/>
      <c r="PFT114" s="182"/>
      <c r="PFU114" s="181"/>
      <c r="PFV114" s="182"/>
      <c r="PFW114" s="181"/>
      <c r="PFX114" s="182"/>
      <c r="PFY114" s="181"/>
      <c r="PFZ114" s="182"/>
      <c r="PGA114" s="181"/>
      <c r="PGB114" s="182"/>
      <c r="PGC114" s="181"/>
      <c r="PGD114" s="182"/>
      <c r="PGE114" s="181"/>
      <c r="PGF114" s="182"/>
      <c r="PGG114" s="181"/>
      <c r="PGH114" s="182"/>
      <c r="PGI114" s="181"/>
      <c r="PGJ114" s="182"/>
      <c r="PGK114" s="181"/>
      <c r="PGL114" s="182"/>
      <c r="PGM114" s="181"/>
      <c r="PGN114" s="182"/>
      <c r="PGO114" s="181"/>
      <c r="PGP114" s="182"/>
      <c r="PGQ114" s="181"/>
      <c r="PGR114" s="182"/>
      <c r="PGS114" s="181"/>
      <c r="PGT114" s="182"/>
      <c r="PGU114" s="181"/>
      <c r="PGV114" s="182"/>
      <c r="PGW114" s="181"/>
      <c r="PGX114" s="182"/>
      <c r="PGY114" s="181"/>
      <c r="PGZ114" s="182"/>
      <c r="PHA114" s="181"/>
      <c r="PHB114" s="182"/>
      <c r="PHC114" s="181"/>
      <c r="PHD114" s="182"/>
      <c r="PHE114" s="181"/>
      <c r="PHF114" s="182"/>
      <c r="PHG114" s="181"/>
      <c r="PHH114" s="182"/>
      <c r="PHI114" s="181"/>
      <c r="PHJ114" s="182"/>
      <c r="PHK114" s="181"/>
      <c r="PHL114" s="182"/>
      <c r="PHM114" s="181"/>
      <c r="PHN114" s="182"/>
      <c r="PHO114" s="181"/>
      <c r="PHP114" s="182"/>
      <c r="PHQ114" s="181"/>
      <c r="PHR114" s="182"/>
      <c r="PHS114" s="181"/>
      <c r="PHT114" s="182"/>
      <c r="PHU114" s="181"/>
      <c r="PHV114" s="182"/>
      <c r="PHW114" s="181"/>
      <c r="PHX114" s="182"/>
      <c r="PHY114" s="181"/>
      <c r="PHZ114" s="182"/>
      <c r="PIA114" s="181"/>
      <c r="PIB114" s="182"/>
      <c r="PIC114" s="181"/>
      <c r="PID114" s="182"/>
      <c r="PIE114" s="181"/>
      <c r="PIF114" s="182"/>
      <c r="PIG114" s="181"/>
      <c r="PIH114" s="182"/>
      <c r="PII114" s="181"/>
      <c r="PIJ114" s="182"/>
      <c r="PIK114" s="181"/>
      <c r="PIL114" s="182"/>
      <c r="PIM114" s="181"/>
      <c r="PIN114" s="182"/>
      <c r="PIO114" s="181"/>
      <c r="PIP114" s="182"/>
      <c r="PIQ114" s="181"/>
      <c r="PIR114" s="182"/>
      <c r="PIS114" s="181"/>
      <c r="PIT114" s="182"/>
      <c r="PIU114" s="181"/>
      <c r="PIV114" s="182"/>
      <c r="PIW114" s="181"/>
      <c r="PIX114" s="182"/>
      <c r="PIY114" s="181"/>
      <c r="PIZ114" s="182"/>
      <c r="PJA114" s="181"/>
      <c r="PJB114" s="182"/>
      <c r="PJC114" s="181"/>
      <c r="PJD114" s="182"/>
      <c r="PJE114" s="181"/>
      <c r="PJF114" s="182"/>
      <c r="PJG114" s="181"/>
      <c r="PJH114" s="182"/>
      <c r="PJI114" s="181"/>
      <c r="PJJ114" s="182"/>
      <c r="PJK114" s="181"/>
      <c r="PJL114" s="182"/>
      <c r="PJM114" s="181"/>
      <c r="PJN114" s="182"/>
      <c r="PJO114" s="181"/>
      <c r="PJP114" s="182"/>
      <c r="PJQ114" s="181"/>
      <c r="PJR114" s="182"/>
      <c r="PJS114" s="181"/>
      <c r="PJT114" s="182"/>
      <c r="PJU114" s="181"/>
      <c r="PJV114" s="182"/>
      <c r="PJW114" s="181"/>
      <c r="PJX114" s="182"/>
      <c r="PJY114" s="181"/>
      <c r="PJZ114" s="182"/>
      <c r="PKA114" s="181"/>
      <c r="PKB114" s="182"/>
      <c r="PKC114" s="181"/>
      <c r="PKD114" s="182"/>
      <c r="PKE114" s="181"/>
      <c r="PKF114" s="182"/>
      <c r="PKG114" s="181"/>
      <c r="PKH114" s="182"/>
      <c r="PKI114" s="181"/>
      <c r="PKJ114" s="182"/>
      <c r="PKK114" s="181"/>
      <c r="PKL114" s="182"/>
      <c r="PKM114" s="181"/>
      <c r="PKN114" s="182"/>
      <c r="PKO114" s="181"/>
      <c r="PKP114" s="182"/>
      <c r="PKQ114" s="181"/>
      <c r="PKR114" s="182"/>
      <c r="PKS114" s="181"/>
      <c r="PKT114" s="182"/>
      <c r="PKU114" s="181"/>
      <c r="PKV114" s="182"/>
      <c r="PKW114" s="181"/>
      <c r="PKX114" s="182"/>
      <c r="PKY114" s="181"/>
      <c r="PKZ114" s="182"/>
      <c r="PLA114" s="181"/>
      <c r="PLB114" s="182"/>
      <c r="PLC114" s="181"/>
      <c r="PLD114" s="182"/>
      <c r="PLE114" s="181"/>
      <c r="PLF114" s="182"/>
      <c r="PLG114" s="181"/>
      <c r="PLH114" s="182"/>
      <c r="PLI114" s="181"/>
      <c r="PLJ114" s="182"/>
      <c r="PLK114" s="181"/>
      <c r="PLL114" s="182"/>
      <c r="PLM114" s="181"/>
      <c r="PLN114" s="182"/>
      <c r="PLO114" s="181"/>
      <c r="PLP114" s="182"/>
      <c r="PLQ114" s="181"/>
      <c r="PLR114" s="182"/>
      <c r="PLS114" s="181"/>
      <c r="PLT114" s="182"/>
      <c r="PLU114" s="181"/>
      <c r="PLV114" s="182"/>
      <c r="PLW114" s="181"/>
      <c r="PLX114" s="182"/>
      <c r="PLY114" s="181"/>
      <c r="PLZ114" s="182"/>
      <c r="PMA114" s="181"/>
      <c r="PMB114" s="182"/>
      <c r="PMC114" s="181"/>
      <c r="PMD114" s="182"/>
      <c r="PME114" s="181"/>
      <c r="PMF114" s="182"/>
      <c r="PMG114" s="181"/>
      <c r="PMH114" s="182"/>
      <c r="PMI114" s="181"/>
      <c r="PMJ114" s="182"/>
      <c r="PMK114" s="181"/>
      <c r="PML114" s="182"/>
      <c r="PMM114" s="181"/>
      <c r="PMN114" s="182"/>
      <c r="PMO114" s="181"/>
      <c r="PMP114" s="182"/>
      <c r="PMQ114" s="181"/>
      <c r="PMR114" s="182"/>
      <c r="PMS114" s="181"/>
      <c r="PMT114" s="182"/>
      <c r="PMU114" s="181"/>
      <c r="PMV114" s="182"/>
      <c r="PMW114" s="181"/>
      <c r="PMX114" s="182"/>
      <c r="PMY114" s="181"/>
      <c r="PMZ114" s="182"/>
      <c r="PNA114" s="181"/>
      <c r="PNB114" s="182"/>
      <c r="PNC114" s="181"/>
      <c r="PND114" s="182"/>
      <c r="PNE114" s="181"/>
      <c r="PNF114" s="182"/>
      <c r="PNG114" s="181"/>
      <c r="PNH114" s="182"/>
      <c r="PNI114" s="181"/>
      <c r="PNJ114" s="182"/>
      <c r="PNK114" s="181"/>
      <c r="PNL114" s="182"/>
      <c r="PNM114" s="181"/>
      <c r="PNN114" s="182"/>
      <c r="PNO114" s="181"/>
      <c r="PNP114" s="182"/>
      <c r="PNQ114" s="181"/>
      <c r="PNR114" s="182"/>
      <c r="PNS114" s="181"/>
      <c r="PNT114" s="182"/>
      <c r="PNU114" s="181"/>
      <c r="PNV114" s="182"/>
      <c r="PNW114" s="181"/>
      <c r="PNX114" s="182"/>
      <c r="PNY114" s="181"/>
      <c r="PNZ114" s="182"/>
      <c r="POA114" s="181"/>
      <c r="POB114" s="182"/>
      <c r="POC114" s="181"/>
      <c r="POD114" s="182"/>
      <c r="POE114" s="181"/>
      <c r="POF114" s="182"/>
      <c r="POG114" s="181"/>
      <c r="POH114" s="182"/>
      <c r="POI114" s="181"/>
      <c r="POJ114" s="182"/>
      <c r="POK114" s="181"/>
      <c r="POL114" s="182"/>
      <c r="POM114" s="181"/>
      <c r="PON114" s="182"/>
      <c r="POO114" s="181"/>
      <c r="POP114" s="182"/>
      <c r="POQ114" s="181"/>
      <c r="POR114" s="182"/>
      <c r="POS114" s="181"/>
      <c r="POT114" s="182"/>
      <c r="POU114" s="181"/>
      <c r="POV114" s="182"/>
      <c r="POW114" s="181"/>
      <c r="POX114" s="182"/>
      <c r="POY114" s="181"/>
      <c r="POZ114" s="182"/>
      <c r="PPA114" s="181"/>
      <c r="PPB114" s="182"/>
      <c r="PPC114" s="181"/>
      <c r="PPD114" s="182"/>
      <c r="PPE114" s="181"/>
      <c r="PPF114" s="182"/>
      <c r="PPG114" s="181"/>
      <c r="PPH114" s="182"/>
      <c r="PPI114" s="181"/>
      <c r="PPJ114" s="182"/>
      <c r="PPK114" s="181"/>
      <c r="PPL114" s="182"/>
      <c r="PPM114" s="181"/>
      <c r="PPN114" s="182"/>
      <c r="PPO114" s="181"/>
      <c r="PPP114" s="182"/>
      <c r="PPQ114" s="181"/>
      <c r="PPR114" s="182"/>
      <c r="PPS114" s="181"/>
      <c r="PPT114" s="182"/>
      <c r="PPU114" s="181"/>
      <c r="PPV114" s="182"/>
      <c r="PPW114" s="181"/>
      <c r="PPX114" s="182"/>
      <c r="PPY114" s="181"/>
      <c r="PPZ114" s="182"/>
      <c r="PQA114" s="181"/>
      <c r="PQB114" s="182"/>
      <c r="PQC114" s="181"/>
      <c r="PQD114" s="182"/>
      <c r="PQE114" s="181"/>
      <c r="PQF114" s="182"/>
      <c r="PQG114" s="181"/>
      <c r="PQH114" s="182"/>
      <c r="PQI114" s="181"/>
      <c r="PQJ114" s="182"/>
      <c r="PQK114" s="181"/>
      <c r="PQL114" s="182"/>
      <c r="PQM114" s="181"/>
      <c r="PQN114" s="182"/>
      <c r="PQO114" s="181"/>
      <c r="PQP114" s="182"/>
      <c r="PQQ114" s="181"/>
      <c r="PQR114" s="182"/>
      <c r="PQS114" s="181"/>
      <c r="PQT114" s="182"/>
      <c r="PQU114" s="181"/>
      <c r="PQV114" s="182"/>
      <c r="PQW114" s="181"/>
      <c r="PQX114" s="182"/>
      <c r="PQY114" s="181"/>
      <c r="PQZ114" s="182"/>
      <c r="PRA114" s="181"/>
      <c r="PRB114" s="182"/>
      <c r="PRC114" s="181"/>
      <c r="PRD114" s="182"/>
      <c r="PRE114" s="181"/>
      <c r="PRF114" s="182"/>
      <c r="PRG114" s="181"/>
      <c r="PRH114" s="182"/>
      <c r="PRI114" s="181"/>
      <c r="PRJ114" s="182"/>
      <c r="PRK114" s="181"/>
      <c r="PRL114" s="182"/>
      <c r="PRM114" s="181"/>
      <c r="PRN114" s="182"/>
      <c r="PRO114" s="181"/>
      <c r="PRP114" s="182"/>
      <c r="PRQ114" s="181"/>
      <c r="PRR114" s="182"/>
      <c r="PRS114" s="181"/>
      <c r="PRT114" s="182"/>
      <c r="PRU114" s="181"/>
      <c r="PRV114" s="182"/>
      <c r="PRW114" s="181"/>
      <c r="PRX114" s="182"/>
      <c r="PRY114" s="181"/>
      <c r="PRZ114" s="182"/>
      <c r="PSA114" s="181"/>
      <c r="PSB114" s="182"/>
      <c r="PSC114" s="181"/>
      <c r="PSD114" s="182"/>
      <c r="PSE114" s="181"/>
      <c r="PSF114" s="182"/>
      <c r="PSG114" s="181"/>
      <c r="PSH114" s="182"/>
      <c r="PSI114" s="181"/>
      <c r="PSJ114" s="182"/>
      <c r="PSK114" s="181"/>
      <c r="PSL114" s="182"/>
      <c r="PSM114" s="181"/>
      <c r="PSN114" s="182"/>
      <c r="PSO114" s="181"/>
      <c r="PSP114" s="182"/>
      <c r="PSQ114" s="181"/>
      <c r="PSR114" s="182"/>
      <c r="PSS114" s="181"/>
      <c r="PST114" s="182"/>
      <c r="PSU114" s="181"/>
      <c r="PSV114" s="182"/>
      <c r="PSW114" s="181"/>
      <c r="PSX114" s="182"/>
      <c r="PSY114" s="181"/>
      <c r="PSZ114" s="182"/>
      <c r="PTA114" s="181"/>
      <c r="PTB114" s="182"/>
      <c r="PTC114" s="181"/>
      <c r="PTD114" s="182"/>
      <c r="PTE114" s="181"/>
      <c r="PTF114" s="182"/>
      <c r="PTG114" s="181"/>
      <c r="PTH114" s="182"/>
      <c r="PTI114" s="181"/>
      <c r="PTJ114" s="182"/>
      <c r="PTK114" s="181"/>
      <c r="PTL114" s="182"/>
      <c r="PTM114" s="181"/>
      <c r="PTN114" s="182"/>
      <c r="PTO114" s="181"/>
      <c r="PTP114" s="182"/>
      <c r="PTQ114" s="181"/>
      <c r="PTR114" s="182"/>
      <c r="PTS114" s="181"/>
      <c r="PTT114" s="182"/>
      <c r="PTU114" s="181"/>
      <c r="PTV114" s="182"/>
      <c r="PTW114" s="181"/>
      <c r="PTX114" s="182"/>
      <c r="PTY114" s="181"/>
      <c r="PTZ114" s="182"/>
      <c r="PUA114" s="181"/>
      <c r="PUB114" s="182"/>
      <c r="PUC114" s="181"/>
      <c r="PUD114" s="182"/>
      <c r="PUE114" s="181"/>
      <c r="PUF114" s="182"/>
      <c r="PUG114" s="181"/>
      <c r="PUH114" s="182"/>
      <c r="PUI114" s="181"/>
      <c r="PUJ114" s="182"/>
      <c r="PUK114" s="181"/>
      <c r="PUL114" s="182"/>
      <c r="PUM114" s="181"/>
      <c r="PUN114" s="182"/>
      <c r="PUO114" s="181"/>
      <c r="PUP114" s="182"/>
      <c r="PUQ114" s="181"/>
      <c r="PUR114" s="182"/>
      <c r="PUS114" s="181"/>
      <c r="PUT114" s="182"/>
      <c r="PUU114" s="181"/>
      <c r="PUV114" s="182"/>
      <c r="PUW114" s="181"/>
      <c r="PUX114" s="182"/>
      <c r="PUY114" s="181"/>
      <c r="PUZ114" s="182"/>
      <c r="PVA114" s="181"/>
      <c r="PVB114" s="182"/>
      <c r="PVC114" s="181"/>
      <c r="PVD114" s="182"/>
      <c r="PVE114" s="181"/>
      <c r="PVF114" s="182"/>
      <c r="PVG114" s="181"/>
      <c r="PVH114" s="182"/>
      <c r="PVI114" s="181"/>
      <c r="PVJ114" s="182"/>
      <c r="PVK114" s="181"/>
      <c r="PVL114" s="182"/>
      <c r="PVM114" s="181"/>
      <c r="PVN114" s="182"/>
      <c r="PVO114" s="181"/>
      <c r="PVP114" s="182"/>
      <c r="PVQ114" s="181"/>
      <c r="PVR114" s="182"/>
      <c r="PVS114" s="181"/>
      <c r="PVT114" s="182"/>
      <c r="PVU114" s="181"/>
      <c r="PVV114" s="182"/>
      <c r="PVW114" s="181"/>
      <c r="PVX114" s="182"/>
      <c r="PVY114" s="181"/>
      <c r="PVZ114" s="182"/>
      <c r="PWA114" s="181"/>
      <c r="PWB114" s="182"/>
      <c r="PWC114" s="181"/>
      <c r="PWD114" s="182"/>
      <c r="PWE114" s="181"/>
      <c r="PWF114" s="182"/>
      <c r="PWG114" s="181"/>
      <c r="PWH114" s="182"/>
      <c r="PWI114" s="181"/>
      <c r="PWJ114" s="182"/>
      <c r="PWK114" s="181"/>
      <c r="PWL114" s="182"/>
      <c r="PWM114" s="181"/>
      <c r="PWN114" s="182"/>
      <c r="PWO114" s="181"/>
      <c r="PWP114" s="182"/>
      <c r="PWQ114" s="181"/>
      <c r="PWR114" s="182"/>
      <c r="PWS114" s="181"/>
      <c r="PWT114" s="182"/>
      <c r="PWU114" s="181"/>
      <c r="PWV114" s="182"/>
      <c r="PWW114" s="181"/>
      <c r="PWX114" s="182"/>
      <c r="PWY114" s="181"/>
      <c r="PWZ114" s="182"/>
      <c r="PXA114" s="181"/>
      <c r="PXB114" s="182"/>
      <c r="PXC114" s="181"/>
      <c r="PXD114" s="182"/>
      <c r="PXE114" s="181"/>
      <c r="PXF114" s="182"/>
      <c r="PXG114" s="181"/>
      <c r="PXH114" s="182"/>
      <c r="PXI114" s="181"/>
      <c r="PXJ114" s="182"/>
      <c r="PXK114" s="181"/>
      <c r="PXL114" s="182"/>
      <c r="PXM114" s="181"/>
      <c r="PXN114" s="182"/>
      <c r="PXO114" s="181"/>
      <c r="PXP114" s="182"/>
      <c r="PXQ114" s="181"/>
      <c r="PXR114" s="182"/>
      <c r="PXS114" s="181"/>
      <c r="PXT114" s="182"/>
      <c r="PXU114" s="181"/>
      <c r="PXV114" s="182"/>
      <c r="PXW114" s="181"/>
      <c r="PXX114" s="182"/>
      <c r="PXY114" s="181"/>
      <c r="PXZ114" s="182"/>
      <c r="PYA114" s="181"/>
      <c r="PYB114" s="182"/>
      <c r="PYC114" s="181"/>
      <c r="PYD114" s="182"/>
      <c r="PYE114" s="181"/>
      <c r="PYF114" s="182"/>
      <c r="PYG114" s="181"/>
      <c r="PYH114" s="182"/>
      <c r="PYI114" s="181"/>
      <c r="PYJ114" s="182"/>
      <c r="PYK114" s="181"/>
      <c r="PYL114" s="182"/>
      <c r="PYM114" s="181"/>
      <c r="PYN114" s="182"/>
      <c r="PYO114" s="181"/>
      <c r="PYP114" s="182"/>
      <c r="PYQ114" s="181"/>
      <c r="PYR114" s="182"/>
      <c r="PYS114" s="181"/>
      <c r="PYT114" s="182"/>
      <c r="PYU114" s="181"/>
      <c r="PYV114" s="182"/>
      <c r="PYW114" s="181"/>
      <c r="PYX114" s="182"/>
      <c r="PYY114" s="181"/>
      <c r="PYZ114" s="182"/>
      <c r="PZA114" s="181"/>
      <c r="PZB114" s="182"/>
      <c r="PZC114" s="181"/>
      <c r="PZD114" s="182"/>
      <c r="PZE114" s="181"/>
      <c r="PZF114" s="182"/>
      <c r="PZG114" s="181"/>
      <c r="PZH114" s="182"/>
      <c r="PZI114" s="181"/>
      <c r="PZJ114" s="182"/>
      <c r="PZK114" s="181"/>
      <c r="PZL114" s="182"/>
      <c r="PZM114" s="181"/>
      <c r="PZN114" s="182"/>
      <c r="PZO114" s="181"/>
      <c r="PZP114" s="182"/>
      <c r="PZQ114" s="181"/>
      <c r="PZR114" s="182"/>
      <c r="PZS114" s="181"/>
      <c r="PZT114" s="182"/>
      <c r="PZU114" s="181"/>
      <c r="PZV114" s="182"/>
      <c r="PZW114" s="181"/>
      <c r="PZX114" s="182"/>
      <c r="PZY114" s="181"/>
      <c r="PZZ114" s="182"/>
      <c r="QAA114" s="181"/>
      <c r="QAB114" s="182"/>
      <c r="QAC114" s="181"/>
      <c r="QAD114" s="182"/>
      <c r="QAE114" s="181"/>
      <c r="QAF114" s="182"/>
      <c r="QAG114" s="181"/>
      <c r="QAH114" s="182"/>
      <c r="QAI114" s="181"/>
      <c r="QAJ114" s="182"/>
      <c r="QAK114" s="181"/>
      <c r="QAL114" s="182"/>
      <c r="QAM114" s="181"/>
      <c r="QAN114" s="182"/>
      <c r="QAO114" s="181"/>
      <c r="QAP114" s="182"/>
      <c r="QAQ114" s="181"/>
      <c r="QAR114" s="182"/>
      <c r="QAS114" s="181"/>
      <c r="QAT114" s="182"/>
      <c r="QAU114" s="181"/>
      <c r="QAV114" s="182"/>
      <c r="QAW114" s="181"/>
      <c r="QAX114" s="182"/>
      <c r="QAY114" s="181"/>
      <c r="QAZ114" s="182"/>
      <c r="QBA114" s="181"/>
      <c r="QBB114" s="182"/>
      <c r="QBC114" s="181"/>
      <c r="QBD114" s="182"/>
      <c r="QBE114" s="181"/>
      <c r="QBF114" s="182"/>
      <c r="QBG114" s="181"/>
      <c r="QBH114" s="182"/>
      <c r="QBI114" s="181"/>
      <c r="QBJ114" s="182"/>
      <c r="QBK114" s="181"/>
      <c r="QBL114" s="182"/>
      <c r="QBM114" s="181"/>
      <c r="QBN114" s="182"/>
      <c r="QBO114" s="181"/>
      <c r="QBP114" s="182"/>
      <c r="QBQ114" s="181"/>
      <c r="QBR114" s="182"/>
      <c r="QBS114" s="181"/>
      <c r="QBT114" s="182"/>
      <c r="QBU114" s="181"/>
      <c r="QBV114" s="182"/>
      <c r="QBW114" s="181"/>
      <c r="QBX114" s="182"/>
      <c r="QBY114" s="181"/>
      <c r="QBZ114" s="182"/>
      <c r="QCA114" s="181"/>
      <c r="QCB114" s="182"/>
      <c r="QCC114" s="181"/>
      <c r="QCD114" s="182"/>
      <c r="QCE114" s="181"/>
      <c r="QCF114" s="182"/>
      <c r="QCG114" s="181"/>
      <c r="QCH114" s="182"/>
      <c r="QCI114" s="181"/>
      <c r="QCJ114" s="182"/>
      <c r="QCK114" s="181"/>
      <c r="QCL114" s="182"/>
      <c r="QCM114" s="181"/>
      <c r="QCN114" s="182"/>
      <c r="QCO114" s="181"/>
      <c r="QCP114" s="182"/>
      <c r="QCQ114" s="181"/>
      <c r="QCR114" s="182"/>
      <c r="QCS114" s="181"/>
      <c r="QCT114" s="182"/>
      <c r="QCU114" s="181"/>
      <c r="QCV114" s="182"/>
      <c r="QCW114" s="181"/>
      <c r="QCX114" s="182"/>
      <c r="QCY114" s="181"/>
      <c r="QCZ114" s="182"/>
      <c r="QDA114" s="181"/>
      <c r="QDB114" s="182"/>
      <c r="QDC114" s="181"/>
      <c r="QDD114" s="182"/>
      <c r="QDE114" s="181"/>
      <c r="QDF114" s="182"/>
      <c r="QDG114" s="181"/>
      <c r="QDH114" s="182"/>
      <c r="QDI114" s="181"/>
      <c r="QDJ114" s="182"/>
      <c r="QDK114" s="181"/>
      <c r="QDL114" s="182"/>
      <c r="QDM114" s="181"/>
      <c r="QDN114" s="182"/>
      <c r="QDO114" s="181"/>
      <c r="QDP114" s="182"/>
      <c r="QDQ114" s="181"/>
      <c r="QDR114" s="182"/>
      <c r="QDS114" s="181"/>
      <c r="QDT114" s="182"/>
      <c r="QDU114" s="181"/>
      <c r="QDV114" s="182"/>
      <c r="QDW114" s="181"/>
      <c r="QDX114" s="182"/>
      <c r="QDY114" s="181"/>
      <c r="QDZ114" s="182"/>
      <c r="QEA114" s="181"/>
      <c r="QEB114" s="182"/>
      <c r="QEC114" s="181"/>
      <c r="QED114" s="182"/>
      <c r="QEE114" s="181"/>
      <c r="QEF114" s="182"/>
      <c r="QEG114" s="181"/>
      <c r="QEH114" s="182"/>
      <c r="QEI114" s="181"/>
      <c r="QEJ114" s="182"/>
      <c r="QEK114" s="181"/>
      <c r="QEL114" s="182"/>
      <c r="QEM114" s="181"/>
      <c r="QEN114" s="182"/>
      <c r="QEO114" s="181"/>
      <c r="QEP114" s="182"/>
      <c r="QEQ114" s="181"/>
      <c r="QER114" s="182"/>
      <c r="QES114" s="181"/>
      <c r="QET114" s="182"/>
      <c r="QEU114" s="181"/>
      <c r="QEV114" s="182"/>
      <c r="QEW114" s="181"/>
      <c r="QEX114" s="182"/>
      <c r="QEY114" s="181"/>
      <c r="QEZ114" s="182"/>
      <c r="QFA114" s="181"/>
      <c r="QFB114" s="182"/>
      <c r="QFC114" s="181"/>
      <c r="QFD114" s="182"/>
      <c r="QFE114" s="181"/>
      <c r="QFF114" s="182"/>
      <c r="QFG114" s="181"/>
      <c r="QFH114" s="182"/>
      <c r="QFI114" s="181"/>
      <c r="QFJ114" s="182"/>
      <c r="QFK114" s="181"/>
      <c r="QFL114" s="182"/>
      <c r="QFM114" s="181"/>
      <c r="QFN114" s="182"/>
      <c r="QFO114" s="181"/>
      <c r="QFP114" s="182"/>
      <c r="QFQ114" s="181"/>
      <c r="QFR114" s="182"/>
      <c r="QFS114" s="181"/>
      <c r="QFT114" s="182"/>
      <c r="QFU114" s="181"/>
      <c r="QFV114" s="182"/>
      <c r="QFW114" s="181"/>
      <c r="QFX114" s="182"/>
      <c r="QFY114" s="181"/>
      <c r="QFZ114" s="182"/>
      <c r="QGA114" s="181"/>
      <c r="QGB114" s="182"/>
      <c r="QGC114" s="181"/>
      <c r="QGD114" s="182"/>
      <c r="QGE114" s="181"/>
      <c r="QGF114" s="182"/>
      <c r="QGG114" s="181"/>
      <c r="QGH114" s="182"/>
      <c r="QGI114" s="181"/>
      <c r="QGJ114" s="182"/>
      <c r="QGK114" s="181"/>
      <c r="QGL114" s="182"/>
      <c r="QGM114" s="181"/>
      <c r="QGN114" s="182"/>
      <c r="QGO114" s="181"/>
      <c r="QGP114" s="182"/>
      <c r="QGQ114" s="181"/>
      <c r="QGR114" s="182"/>
      <c r="QGS114" s="181"/>
      <c r="QGT114" s="182"/>
      <c r="QGU114" s="181"/>
      <c r="QGV114" s="182"/>
      <c r="QGW114" s="181"/>
      <c r="QGX114" s="182"/>
      <c r="QGY114" s="181"/>
      <c r="QGZ114" s="182"/>
      <c r="QHA114" s="181"/>
      <c r="QHB114" s="182"/>
      <c r="QHC114" s="181"/>
      <c r="QHD114" s="182"/>
      <c r="QHE114" s="181"/>
      <c r="QHF114" s="182"/>
      <c r="QHG114" s="181"/>
      <c r="QHH114" s="182"/>
      <c r="QHI114" s="181"/>
      <c r="QHJ114" s="182"/>
      <c r="QHK114" s="181"/>
      <c r="QHL114" s="182"/>
      <c r="QHM114" s="181"/>
      <c r="QHN114" s="182"/>
      <c r="QHO114" s="181"/>
      <c r="QHP114" s="182"/>
      <c r="QHQ114" s="181"/>
      <c r="QHR114" s="182"/>
      <c r="QHS114" s="181"/>
      <c r="QHT114" s="182"/>
      <c r="QHU114" s="181"/>
      <c r="QHV114" s="182"/>
      <c r="QHW114" s="181"/>
      <c r="QHX114" s="182"/>
      <c r="QHY114" s="181"/>
      <c r="QHZ114" s="182"/>
      <c r="QIA114" s="181"/>
      <c r="QIB114" s="182"/>
      <c r="QIC114" s="181"/>
      <c r="QID114" s="182"/>
      <c r="QIE114" s="181"/>
      <c r="QIF114" s="182"/>
      <c r="QIG114" s="181"/>
      <c r="QIH114" s="182"/>
      <c r="QII114" s="181"/>
      <c r="QIJ114" s="182"/>
      <c r="QIK114" s="181"/>
      <c r="QIL114" s="182"/>
      <c r="QIM114" s="181"/>
      <c r="QIN114" s="182"/>
      <c r="QIO114" s="181"/>
      <c r="QIP114" s="182"/>
      <c r="QIQ114" s="181"/>
      <c r="QIR114" s="182"/>
      <c r="QIS114" s="181"/>
      <c r="QIT114" s="182"/>
      <c r="QIU114" s="181"/>
      <c r="QIV114" s="182"/>
      <c r="QIW114" s="181"/>
      <c r="QIX114" s="182"/>
      <c r="QIY114" s="181"/>
      <c r="QIZ114" s="182"/>
      <c r="QJA114" s="181"/>
      <c r="QJB114" s="182"/>
      <c r="QJC114" s="181"/>
      <c r="QJD114" s="182"/>
      <c r="QJE114" s="181"/>
      <c r="QJF114" s="182"/>
      <c r="QJG114" s="181"/>
      <c r="QJH114" s="182"/>
      <c r="QJI114" s="181"/>
      <c r="QJJ114" s="182"/>
      <c r="QJK114" s="181"/>
      <c r="QJL114" s="182"/>
      <c r="QJM114" s="181"/>
      <c r="QJN114" s="182"/>
      <c r="QJO114" s="181"/>
      <c r="QJP114" s="182"/>
      <c r="QJQ114" s="181"/>
      <c r="QJR114" s="182"/>
      <c r="QJS114" s="181"/>
      <c r="QJT114" s="182"/>
      <c r="QJU114" s="181"/>
      <c r="QJV114" s="182"/>
      <c r="QJW114" s="181"/>
      <c r="QJX114" s="182"/>
      <c r="QJY114" s="181"/>
      <c r="QJZ114" s="182"/>
      <c r="QKA114" s="181"/>
      <c r="QKB114" s="182"/>
      <c r="QKC114" s="181"/>
      <c r="QKD114" s="182"/>
      <c r="QKE114" s="181"/>
      <c r="QKF114" s="182"/>
      <c r="QKG114" s="181"/>
      <c r="QKH114" s="182"/>
      <c r="QKI114" s="181"/>
      <c r="QKJ114" s="182"/>
      <c r="QKK114" s="181"/>
      <c r="QKL114" s="182"/>
      <c r="QKM114" s="181"/>
      <c r="QKN114" s="182"/>
      <c r="QKO114" s="181"/>
      <c r="QKP114" s="182"/>
      <c r="QKQ114" s="181"/>
      <c r="QKR114" s="182"/>
      <c r="QKS114" s="181"/>
      <c r="QKT114" s="182"/>
      <c r="QKU114" s="181"/>
      <c r="QKV114" s="182"/>
      <c r="QKW114" s="181"/>
      <c r="QKX114" s="182"/>
      <c r="QKY114" s="181"/>
      <c r="QKZ114" s="182"/>
      <c r="QLA114" s="181"/>
      <c r="QLB114" s="182"/>
      <c r="QLC114" s="181"/>
      <c r="QLD114" s="182"/>
      <c r="QLE114" s="181"/>
      <c r="QLF114" s="182"/>
      <c r="QLG114" s="181"/>
      <c r="QLH114" s="182"/>
      <c r="QLI114" s="181"/>
      <c r="QLJ114" s="182"/>
      <c r="QLK114" s="181"/>
      <c r="QLL114" s="182"/>
      <c r="QLM114" s="181"/>
      <c r="QLN114" s="182"/>
      <c r="QLO114" s="181"/>
      <c r="QLP114" s="182"/>
      <c r="QLQ114" s="181"/>
      <c r="QLR114" s="182"/>
      <c r="QLS114" s="181"/>
      <c r="QLT114" s="182"/>
      <c r="QLU114" s="181"/>
      <c r="QLV114" s="182"/>
      <c r="QLW114" s="181"/>
      <c r="QLX114" s="182"/>
      <c r="QLY114" s="181"/>
      <c r="QLZ114" s="182"/>
      <c r="QMA114" s="181"/>
      <c r="QMB114" s="182"/>
      <c r="QMC114" s="181"/>
      <c r="QMD114" s="182"/>
      <c r="QME114" s="181"/>
      <c r="QMF114" s="182"/>
      <c r="QMG114" s="181"/>
      <c r="QMH114" s="182"/>
      <c r="QMI114" s="181"/>
      <c r="QMJ114" s="182"/>
      <c r="QMK114" s="181"/>
      <c r="QML114" s="182"/>
      <c r="QMM114" s="181"/>
      <c r="QMN114" s="182"/>
      <c r="QMO114" s="181"/>
      <c r="QMP114" s="182"/>
      <c r="QMQ114" s="181"/>
      <c r="QMR114" s="182"/>
      <c r="QMS114" s="181"/>
      <c r="QMT114" s="182"/>
      <c r="QMU114" s="181"/>
      <c r="QMV114" s="182"/>
      <c r="QMW114" s="181"/>
      <c r="QMX114" s="182"/>
      <c r="QMY114" s="181"/>
      <c r="QMZ114" s="182"/>
      <c r="QNA114" s="181"/>
      <c r="QNB114" s="182"/>
      <c r="QNC114" s="181"/>
      <c r="QND114" s="182"/>
      <c r="QNE114" s="181"/>
      <c r="QNF114" s="182"/>
      <c r="QNG114" s="181"/>
      <c r="QNH114" s="182"/>
      <c r="QNI114" s="181"/>
      <c r="QNJ114" s="182"/>
      <c r="QNK114" s="181"/>
      <c r="QNL114" s="182"/>
      <c r="QNM114" s="181"/>
      <c r="QNN114" s="182"/>
      <c r="QNO114" s="181"/>
      <c r="QNP114" s="182"/>
      <c r="QNQ114" s="181"/>
      <c r="QNR114" s="182"/>
      <c r="QNS114" s="181"/>
      <c r="QNT114" s="182"/>
      <c r="QNU114" s="181"/>
      <c r="QNV114" s="182"/>
      <c r="QNW114" s="181"/>
      <c r="QNX114" s="182"/>
      <c r="QNY114" s="181"/>
      <c r="QNZ114" s="182"/>
      <c r="QOA114" s="181"/>
      <c r="QOB114" s="182"/>
      <c r="QOC114" s="181"/>
      <c r="QOD114" s="182"/>
      <c r="QOE114" s="181"/>
      <c r="QOF114" s="182"/>
      <c r="QOG114" s="181"/>
      <c r="QOH114" s="182"/>
      <c r="QOI114" s="181"/>
      <c r="QOJ114" s="182"/>
      <c r="QOK114" s="181"/>
      <c r="QOL114" s="182"/>
      <c r="QOM114" s="181"/>
      <c r="QON114" s="182"/>
      <c r="QOO114" s="181"/>
      <c r="QOP114" s="182"/>
      <c r="QOQ114" s="181"/>
      <c r="QOR114" s="182"/>
      <c r="QOS114" s="181"/>
      <c r="QOT114" s="182"/>
      <c r="QOU114" s="181"/>
      <c r="QOV114" s="182"/>
      <c r="QOW114" s="181"/>
      <c r="QOX114" s="182"/>
      <c r="QOY114" s="181"/>
      <c r="QOZ114" s="182"/>
      <c r="QPA114" s="181"/>
      <c r="QPB114" s="182"/>
      <c r="QPC114" s="181"/>
      <c r="QPD114" s="182"/>
      <c r="QPE114" s="181"/>
      <c r="QPF114" s="182"/>
      <c r="QPG114" s="181"/>
      <c r="QPH114" s="182"/>
      <c r="QPI114" s="181"/>
      <c r="QPJ114" s="182"/>
      <c r="QPK114" s="181"/>
      <c r="QPL114" s="182"/>
      <c r="QPM114" s="181"/>
      <c r="QPN114" s="182"/>
      <c r="QPO114" s="181"/>
      <c r="QPP114" s="182"/>
      <c r="QPQ114" s="181"/>
      <c r="QPR114" s="182"/>
      <c r="QPS114" s="181"/>
      <c r="QPT114" s="182"/>
      <c r="QPU114" s="181"/>
      <c r="QPV114" s="182"/>
      <c r="QPW114" s="181"/>
      <c r="QPX114" s="182"/>
      <c r="QPY114" s="181"/>
      <c r="QPZ114" s="182"/>
      <c r="QQA114" s="181"/>
      <c r="QQB114" s="182"/>
      <c r="QQC114" s="181"/>
      <c r="QQD114" s="182"/>
      <c r="QQE114" s="181"/>
      <c r="QQF114" s="182"/>
      <c r="QQG114" s="181"/>
      <c r="QQH114" s="182"/>
      <c r="QQI114" s="181"/>
      <c r="QQJ114" s="182"/>
      <c r="QQK114" s="181"/>
      <c r="QQL114" s="182"/>
      <c r="QQM114" s="181"/>
      <c r="QQN114" s="182"/>
      <c r="QQO114" s="181"/>
      <c r="QQP114" s="182"/>
      <c r="QQQ114" s="181"/>
      <c r="QQR114" s="182"/>
      <c r="QQS114" s="181"/>
      <c r="QQT114" s="182"/>
      <c r="QQU114" s="181"/>
      <c r="QQV114" s="182"/>
      <c r="QQW114" s="181"/>
      <c r="QQX114" s="182"/>
      <c r="QQY114" s="181"/>
      <c r="QQZ114" s="182"/>
      <c r="QRA114" s="181"/>
      <c r="QRB114" s="182"/>
      <c r="QRC114" s="181"/>
      <c r="QRD114" s="182"/>
      <c r="QRE114" s="181"/>
      <c r="QRF114" s="182"/>
      <c r="QRG114" s="181"/>
      <c r="QRH114" s="182"/>
      <c r="QRI114" s="181"/>
      <c r="QRJ114" s="182"/>
      <c r="QRK114" s="181"/>
      <c r="QRL114" s="182"/>
      <c r="QRM114" s="181"/>
      <c r="QRN114" s="182"/>
      <c r="QRO114" s="181"/>
      <c r="QRP114" s="182"/>
      <c r="QRQ114" s="181"/>
      <c r="QRR114" s="182"/>
      <c r="QRS114" s="181"/>
      <c r="QRT114" s="182"/>
      <c r="QRU114" s="181"/>
      <c r="QRV114" s="182"/>
      <c r="QRW114" s="181"/>
      <c r="QRX114" s="182"/>
      <c r="QRY114" s="181"/>
      <c r="QRZ114" s="182"/>
      <c r="QSA114" s="181"/>
      <c r="QSB114" s="182"/>
      <c r="QSC114" s="181"/>
      <c r="QSD114" s="182"/>
      <c r="QSE114" s="181"/>
      <c r="QSF114" s="182"/>
      <c r="QSG114" s="181"/>
      <c r="QSH114" s="182"/>
      <c r="QSI114" s="181"/>
      <c r="QSJ114" s="182"/>
      <c r="QSK114" s="181"/>
      <c r="QSL114" s="182"/>
      <c r="QSM114" s="181"/>
      <c r="QSN114" s="182"/>
      <c r="QSO114" s="181"/>
      <c r="QSP114" s="182"/>
      <c r="QSQ114" s="181"/>
      <c r="QSR114" s="182"/>
      <c r="QSS114" s="181"/>
      <c r="QST114" s="182"/>
      <c r="QSU114" s="181"/>
      <c r="QSV114" s="182"/>
      <c r="QSW114" s="181"/>
      <c r="QSX114" s="182"/>
      <c r="QSY114" s="181"/>
      <c r="QSZ114" s="182"/>
      <c r="QTA114" s="181"/>
      <c r="QTB114" s="182"/>
      <c r="QTC114" s="181"/>
      <c r="QTD114" s="182"/>
      <c r="QTE114" s="181"/>
      <c r="QTF114" s="182"/>
      <c r="QTG114" s="181"/>
      <c r="QTH114" s="182"/>
      <c r="QTI114" s="181"/>
      <c r="QTJ114" s="182"/>
      <c r="QTK114" s="181"/>
      <c r="QTL114" s="182"/>
      <c r="QTM114" s="181"/>
      <c r="QTN114" s="182"/>
      <c r="QTO114" s="181"/>
      <c r="QTP114" s="182"/>
      <c r="QTQ114" s="181"/>
      <c r="QTR114" s="182"/>
      <c r="QTS114" s="181"/>
      <c r="QTT114" s="182"/>
      <c r="QTU114" s="181"/>
      <c r="QTV114" s="182"/>
      <c r="QTW114" s="181"/>
      <c r="QTX114" s="182"/>
      <c r="QTY114" s="181"/>
      <c r="QTZ114" s="182"/>
      <c r="QUA114" s="181"/>
      <c r="QUB114" s="182"/>
      <c r="QUC114" s="181"/>
      <c r="QUD114" s="182"/>
      <c r="QUE114" s="181"/>
      <c r="QUF114" s="182"/>
      <c r="QUG114" s="181"/>
      <c r="QUH114" s="182"/>
      <c r="QUI114" s="181"/>
      <c r="QUJ114" s="182"/>
      <c r="QUK114" s="181"/>
      <c r="QUL114" s="182"/>
      <c r="QUM114" s="181"/>
      <c r="QUN114" s="182"/>
      <c r="QUO114" s="181"/>
      <c r="QUP114" s="182"/>
      <c r="QUQ114" s="181"/>
      <c r="QUR114" s="182"/>
      <c r="QUS114" s="181"/>
      <c r="QUT114" s="182"/>
      <c r="QUU114" s="181"/>
      <c r="QUV114" s="182"/>
      <c r="QUW114" s="181"/>
      <c r="QUX114" s="182"/>
      <c r="QUY114" s="181"/>
      <c r="QUZ114" s="182"/>
      <c r="QVA114" s="181"/>
      <c r="QVB114" s="182"/>
      <c r="QVC114" s="181"/>
      <c r="QVD114" s="182"/>
      <c r="QVE114" s="181"/>
      <c r="QVF114" s="182"/>
      <c r="QVG114" s="181"/>
      <c r="QVH114" s="182"/>
      <c r="QVI114" s="181"/>
      <c r="QVJ114" s="182"/>
      <c r="QVK114" s="181"/>
      <c r="QVL114" s="182"/>
      <c r="QVM114" s="181"/>
      <c r="QVN114" s="182"/>
      <c r="QVO114" s="181"/>
      <c r="QVP114" s="182"/>
      <c r="QVQ114" s="181"/>
      <c r="QVR114" s="182"/>
      <c r="QVS114" s="181"/>
      <c r="QVT114" s="182"/>
      <c r="QVU114" s="181"/>
      <c r="QVV114" s="182"/>
      <c r="QVW114" s="181"/>
      <c r="QVX114" s="182"/>
      <c r="QVY114" s="181"/>
      <c r="QVZ114" s="182"/>
      <c r="QWA114" s="181"/>
      <c r="QWB114" s="182"/>
      <c r="QWC114" s="181"/>
      <c r="QWD114" s="182"/>
      <c r="QWE114" s="181"/>
      <c r="QWF114" s="182"/>
      <c r="QWG114" s="181"/>
      <c r="QWH114" s="182"/>
      <c r="QWI114" s="181"/>
      <c r="QWJ114" s="182"/>
      <c r="QWK114" s="181"/>
      <c r="QWL114" s="182"/>
      <c r="QWM114" s="181"/>
      <c r="QWN114" s="182"/>
      <c r="QWO114" s="181"/>
      <c r="QWP114" s="182"/>
      <c r="QWQ114" s="181"/>
      <c r="QWR114" s="182"/>
      <c r="QWS114" s="181"/>
      <c r="QWT114" s="182"/>
      <c r="QWU114" s="181"/>
      <c r="QWV114" s="182"/>
      <c r="QWW114" s="181"/>
      <c r="QWX114" s="182"/>
      <c r="QWY114" s="181"/>
      <c r="QWZ114" s="182"/>
      <c r="QXA114" s="181"/>
      <c r="QXB114" s="182"/>
      <c r="QXC114" s="181"/>
      <c r="QXD114" s="182"/>
      <c r="QXE114" s="181"/>
      <c r="QXF114" s="182"/>
      <c r="QXG114" s="181"/>
      <c r="QXH114" s="182"/>
      <c r="QXI114" s="181"/>
      <c r="QXJ114" s="182"/>
      <c r="QXK114" s="181"/>
      <c r="QXL114" s="182"/>
      <c r="QXM114" s="181"/>
      <c r="QXN114" s="182"/>
      <c r="QXO114" s="181"/>
      <c r="QXP114" s="182"/>
      <c r="QXQ114" s="181"/>
      <c r="QXR114" s="182"/>
      <c r="QXS114" s="181"/>
      <c r="QXT114" s="182"/>
      <c r="QXU114" s="181"/>
      <c r="QXV114" s="182"/>
      <c r="QXW114" s="181"/>
      <c r="QXX114" s="182"/>
      <c r="QXY114" s="181"/>
      <c r="QXZ114" s="182"/>
      <c r="QYA114" s="181"/>
      <c r="QYB114" s="182"/>
      <c r="QYC114" s="181"/>
      <c r="QYD114" s="182"/>
      <c r="QYE114" s="181"/>
      <c r="QYF114" s="182"/>
      <c r="QYG114" s="181"/>
      <c r="QYH114" s="182"/>
      <c r="QYI114" s="181"/>
      <c r="QYJ114" s="182"/>
      <c r="QYK114" s="181"/>
      <c r="QYL114" s="182"/>
      <c r="QYM114" s="181"/>
      <c r="QYN114" s="182"/>
      <c r="QYO114" s="181"/>
      <c r="QYP114" s="182"/>
      <c r="QYQ114" s="181"/>
      <c r="QYR114" s="182"/>
      <c r="QYS114" s="181"/>
      <c r="QYT114" s="182"/>
      <c r="QYU114" s="181"/>
      <c r="QYV114" s="182"/>
      <c r="QYW114" s="181"/>
      <c r="QYX114" s="182"/>
      <c r="QYY114" s="181"/>
      <c r="QYZ114" s="182"/>
      <c r="QZA114" s="181"/>
      <c r="QZB114" s="182"/>
      <c r="QZC114" s="181"/>
      <c r="QZD114" s="182"/>
      <c r="QZE114" s="181"/>
      <c r="QZF114" s="182"/>
      <c r="QZG114" s="181"/>
      <c r="QZH114" s="182"/>
      <c r="QZI114" s="181"/>
      <c r="QZJ114" s="182"/>
      <c r="QZK114" s="181"/>
      <c r="QZL114" s="182"/>
      <c r="QZM114" s="181"/>
      <c r="QZN114" s="182"/>
      <c r="QZO114" s="181"/>
      <c r="QZP114" s="182"/>
      <c r="QZQ114" s="181"/>
      <c r="QZR114" s="182"/>
      <c r="QZS114" s="181"/>
      <c r="QZT114" s="182"/>
      <c r="QZU114" s="181"/>
      <c r="QZV114" s="182"/>
      <c r="QZW114" s="181"/>
      <c r="QZX114" s="182"/>
      <c r="QZY114" s="181"/>
      <c r="QZZ114" s="182"/>
      <c r="RAA114" s="181"/>
      <c r="RAB114" s="182"/>
      <c r="RAC114" s="181"/>
      <c r="RAD114" s="182"/>
      <c r="RAE114" s="181"/>
      <c r="RAF114" s="182"/>
      <c r="RAG114" s="181"/>
      <c r="RAH114" s="182"/>
      <c r="RAI114" s="181"/>
      <c r="RAJ114" s="182"/>
      <c r="RAK114" s="181"/>
      <c r="RAL114" s="182"/>
      <c r="RAM114" s="181"/>
      <c r="RAN114" s="182"/>
      <c r="RAO114" s="181"/>
      <c r="RAP114" s="182"/>
      <c r="RAQ114" s="181"/>
      <c r="RAR114" s="182"/>
      <c r="RAS114" s="181"/>
      <c r="RAT114" s="182"/>
      <c r="RAU114" s="181"/>
      <c r="RAV114" s="182"/>
      <c r="RAW114" s="181"/>
      <c r="RAX114" s="182"/>
      <c r="RAY114" s="181"/>
      <c r="RAZ114" s="182"/>
      <c r="RBA114" s="181"/>
      <c r="RBB114" s="182"/>
      <c r="RBC114" s="181"/>
      <c r="RBD114" s="182"/>
      <c r="RBE114" s="181"/>
      <c r="RBF114" s="182"/>
      <c r="RBG114" s="181"/>
      <c r="RBH114" s="182"/>
      <c r="RBI114" s="181"/>
      <c r="RBJ114" s="182"/>
      <c r="RBK114" s="181"/>
      <c r="RBL114" s="182"/>
      <c r="RBM114" s="181"/>
      <c r="RBN114" s="182"/>
      <c r="RBO114" s="181"/>
      <c r="RBP114" s="182"/>
      <c r="RBQ114" s="181"/>
      <c r="RBR114" s="182"/>
      <c r="RBS114" s="181"/>
      <c r="RBT114" s="182"/>
      <c r="RBU114" s="181"/>
      <c r="RBV114" s="182"/>
      <c r="RBW114" s="181"/>
      <c r="RBX114" s="182"/>
      <c r="RBY114" s="181"/>
      <c r="RBZ114" s="182"/>
      <c r="RCA114" s="181"/>
      <c r="RCB114" s="182"/>
      <c r="RCC114" s="181"/>
      <c r="RCD114" s="182"/>
      <c r="RCE114" s="181"/>
      <c r="RCF114" s="182"/>
      <c r="RCG114" s="181"/>
      <c r="RCH114" s="182"/>
      <c r="RCI114" s="181"/>
      <c r="RCJ114" s="182"/>
      <c r="RCK114" s="181"/>
      <c r="RCL114" s="182"/>
      <c r="RCM114" s="181"/>
      <c r="RCN114" s="182"/>
      <c r="RCO114" s="181"/>
      <c r="RCP114" s="182"/>
      <c r="RCQ114" s="181"/>
      <c r="RCR114" s="182"/>
      <c r="RCS114" s="181"/>
      <c r="RCT114" s="182"/>
      <c r="RCU114" s="181"/>
      <c r="RCV114" s="182"/>
      <c r="RCW114" s="181"/>
      <c r="RCX114" s="182"/>
      <c r="RCY114" s="181"/>
      <c r="RCZ114" s="182"/>
      <c r="RDA114" s="181"/>
      <c r="RDB114" s="182"/>
      <c r="RDC114" s="181"/>
      <c r="RDD114" s="182"/>
      <c r="RDE114" s="181"/>
      <c r="RDF114" s="182"/>
      <c r="RDG114" s="181"/>
      <c r="RDH114" s="182"/>
      <c r="RDI114" s="181"/>
      <c r="RDJ114" s="182"/>
      <c r="RDK114" s="181"/>
      <c r="RDL114" s="182"/>
      <c r="RDM114" s="181"/>
      <c r="RDN114" s="182"/>
      <c r="RDO114" s="181"/>
      <c r="RDP114" s="182"/>
      <c r="RDQ114" s="181"/>
      <c r="RDR114" s="182"/>
      <c r="RDS114" s="181"/>
      <c r="RDT114" s="182"/>
      <c r="RDU114" s="181"/>
      <c r="RDV114" s="182"/>
      <c r="RDW114" s="181"/>
      <c r="RDX114" s="182"/>
      <c r="RDY114" s="181"/>
      <c r="RDZ114" s="182"/>
      <c r="REA114" s="181"/>
      <c r="REB114" s="182"/>
      <c r="REC114" s="181"/>
      <c r="RED114" s="182"/>
      <c r="REE114" s="181"/>
      <c r="REF114" s="182"/>
      <c r="REG114" s="181"/>
      <c r="REH114" s="182"/>
      <c r="REI114" s="181"/>
      <c r="REJ114" s="182"/>
      <c r="REK114" s="181"/>
      <c r="REL114" s="182"/>
      <c r="REM114" s="181"/>
      <c r="REN114" s="182"/>
      <c r="REO114" s="181"/>
      <c r="REP114" s="182"/>
      <c r="REQ114" s="181"/>
      <c r="RER114" s="182"/>
      <c r="RES114" s="181"/>
      <c r="RET114" s="182"/>
      <c r="REU114" s="181"/>
      <c r="REV114" s="182"/>
      <c r="REW114" s="181"/>
      <c r="REX114" s="182"/>
      <c r="REY114" s="181"/>
      <c r="REZ114" s="182"/>
      <c r="RFA114" s="181"/>
      <c r="RFB114" s="182"/>
      <c r="RFC114" s="181"/>
      <c r="RFD114" s="182"/>
      <c r="RFE114" s="181"/>
      <c r="RFF114" s="182"/>
      <c r="RFG114" s="181"/>
      <c r="RFH114" s="182"/>
      <c r="RFI114" s="181"/>
      <c r="RFJ114" s="182"/>
      <c r="RFK114" s="181"/>
      <c r="RFL114" s="182"/>
      <c r="RFM114" s="181"/>
      <c r="RFN114" s="182"/>
      <c r="RFO114" s="181"/>
      <c r="RFP114" s="182"/>
      <c r="RFQ114" s="181"/>
      <c r="RFR114" s="182"/>
      <c r="RFS114" s="181"/>
      <c r="RFT114" s="182"/>
      <c r="RFU114" s="181"/>
      <c r="RFV114" s="182"/>
      <c r="RFW114" s="181"/>
      <c r="RFX114" s="182"/>
      <c r="RFY114" s="181"/>
      <c r="RFZ114" s="182"/>
      <c r="RGA114" s="181"/>
      <c r="RGB114" s="182"/>
      <c r="RGC114" s="181"/>
      <c r="RGD114" s="182"/>
      <c r="RGE114" s="181"/>
      <c r="RGF114" s="182"/>
      <c r="RGG114" s="181"/>
      <c r="RGH114" s="182"/>
      <c r="RGI114" s="181"/>
      <c r="RGJ114" s="182"/>
      <c r="RGK114" s="181"/>
      <c r="RGL114" s="182"/>
      <c r="RGM114" s="181"/>
      <c r="RGN114" s="182"/>
      <c r="RGO114" s="181"/>
      <c r="RGP114" s="182"/>
      <c r="RGQ114" s="181"/>
      <c r="RGR114" s="182"/>
      <c r="RGS114" s="181"/>
      <c r="RGT114" s="182"/>
      <c r="RGU114" s="181"/>
      <c r="RGV114" s="182"/>
      <c r="RGW114" s="181"/>
      <c r="RGX114" s="182"/>
      <c r="RGY114" s="181"/>
      <c r="RGZ114" s="182"/>
      <c r="RHA114" s="181"/>
      <c r="RHB114" s="182"/>
      <c r="RHC114" s="181"/>
      <c r="RHD114" s="182"/>
      <c r="RHE114" s="181"/>
      <c r="RHF114" s="182"/>
      <c r="RHG114" s="181"/>
      <c r="RHH114" s="182"/>
      <c r="RHI114" s="181"/>
      <c r="RHJ114" s="182"/>
      <c r="RHK114" s="181"/>
      <c r="RHL114" s="182"/>
      <c r="RHM114" s="181"/>
      <c r="RHN114" s="182"/>
      <c r="RHO114" s="181"/>
      <c r="RHP114" s="182"/>
      <c r="RHQ114" s="181"/>
      <c r="RHR114" s="182"/>
      <c r="RHS114" s="181"/>
      <c r="RHT114" s="182"/>
      <c r="RHU114" s="181"/>
      <c r="RHV114" s="182"/>
      <c r="RHW114" s="181"/>
      <c r="RHX114" s="182"/>
      <c r="RHY114" s="181"/>
      <c r="RHZ114" s="182"/>
      <c r="RIA114" s="181"/>
      <c r="RIB114" s="182"/>
      <c r="RIC114" s="181"/>
      <c r="RID114" s="182"/>
      <c r="RIE114" s="181"/>
      <c r="RIF114" s="182"/>
      <c r="RIG114" s="181"/>
      <c r="RIH114" s="182"/>
      <c r="RII114" s="181"/>
      <c r="RIJ114" s="182"/>
      <c r="RIK114" s="181"/>
      <c r="RIL114" s="182"/>
      <c r="RIM114" s="181"/>
      <c r="RIN114" s="182"/>
      <c r="RIO114" s="181"/>
      <c r="RIP114" s="182"/>
      <c r="RIQ114" s="181"/>
      <c r="RIR114" s="182"/>
      <c r="RIS114" s="181"/>
      <c r="RIT114" s="182"/>
      <c r="RIU114" s="181"/>
      <c r="RIV114" s="182"/>
      <c r="RIW114" s="181"/>
      <c r="RIX114" s="182"/>
      <c r="RIY114" s="181"/>
      <c r="RIZ114" s="182"/>
      <c r="RJA114" s="181"/>
      <c r="RJB114" s="182"/>
      <c r="RJC114" s="181"/>
      <c r="RJD114" s="182"/>
      <c r="RJE114" s="181"/>
      <c r="RJF114" s="182"/>
      <c r="RJG114" s="181"/>
      <c r="RJH114" s="182"/>
      <c r="RJI114" s="181"/>
      <c r="RJJ114" s="182"/>
      <c r="RJK114" s="181"/>
      <c r="RJL114" s="182"/>
      <c r="RJM114" s="181"/>
      <c r="RJN114" s="182"/>
      <c r="RJO114" s="181"/>
      <c r="RJP114" s="182"/>
      <c r="RJQ114" s="181"/>
      <c r="RJR114" s="182"/>
      <c r="RJS114" s="181"/>
      <c r="RJT114" s="182"/>
      <c r="RJU114" s="181"/>
      <c r="RJV114" s="182"/>
      <c r="RJW114" s="181"/>
      <c r="RJX114" s="182"/>
      <c r="RJY114" s="181"/>
      <c r="RJZ114" s="182"/>
      <c r="RKA114" s="181"/>
      <c r="RKB114" s="182"/>
      <c r="RKC114" s="181"/>
      <c r="RKD114" s="182"/>
      <c r="RKE114" s="181"/>
      <c r="RKF114" s="182"/>
      <c r="RKG114" s="181"/>
      <c r="RKH114" s="182"/>
      <c r="RKI114" s="181"/>
      <c r="RKJ114" s="182"/>
      <c r="RKK114" s="181"/>
      <c r="RKL114" s="182"/>
      <c r="RKM114" s="181"/>
      <c r="RKN114" s="182"/>
      <c r="RKO114" s="181"/>
      <c r="RKP114" s="182"/>
      <c r="RKQ114" s="181"/>
      <c r="RKR114" s="182"/>
      <c r="RKS114" s="181"/>
      <c r="RKT114" s="182"/>
      <c r="RKU114" s="181"/>
      <c r="RKV114" s="182"/>
      <c r="RKW114" s="181"/>
      <c r="RKX114" s="182"/>
      <c r="RKY114" s="181"/>
      <c r="RKZ114" s="182"/>
      <c r="RLA114" s="181"/>
      <c r="RLB114" s="182"/>
      <c r="RLC114" s="181"/>
      <c r="RLD114" s="182"/>
      <c r="RLE114" s="181"/>
      <c r="RLF114" s="182"/>
      <c r="RLG114" s="181"/>
      <c r="RLH114" s="182"/>
      <c r="RLI114" s="181"/>
      <c r="RLJ114" s="182"/>
      <c r="RLK114" s="181"/>
      <c r="RLL114" s="182"/>
      <c r="RLM114" s="181"/>
      <c r="RLN114" s="182"/>
      <c r="RLO114" s="181"/>
      <c r="RLP114" s="182"/>
      <c r="RLQ114" s="181"/>
      <c r="RLR114" s="182"/>
      <c r="RLS114" s="181"/>
      <c r="RLT114" s="182"/>
      <c r="RLU114" s="181"/>
      <c r="RLV114" s="182"/>
      <c r="RLW114" s="181"/>
      <c r="RLX114" s="182"/>
      <c r="RLY114" s="181"/>
      <c r="RLZ114" s="182"/>
      <c r="RMA114" s="181"/>
      <c r="RMB114" s="182"/>
      <c r="RMC114" s="181"/>
      <c r="RMD114" s="182"/>
      <c r="RME114" s="181"/>
      <c r="RMF114" s="182"/>
      <c r="RMG114" s="181"/>
      <c r="RMH114" s="182"/>
      <c r="RMI114" s="181"/>
      <c r="RMJ114" s="182"/>
      <c r="RMK114" s="181"/>
      <c r="RML114" s="182"/>
      <c r="RMM114" s="181"/>
      <c r="RMN114" s="182"/>
      <c r="RMO114" s="181"/>
      <c r="RMP114" s="182"/>
      <c r="RMQ114" s="181"/>
      <c r="RMR114" s="182"/>
      <c r="RMS114" s="181"/>
      <c r="RMT114" s="182"/>
      <c r="RMU114" s="181"/>
      <c r="RMV114" s="182"/>
      <c r="RMW114" s="181"/>
      <c r="RMX114" s="182"/>
      <c r="RMY114" s="181"/>
      <c r="RMZ114" s="182"/>
      <c r="RNA114" s="181"/>
      <c r="RNB114" s="182"/>
      <c r="RNC114" s="181"/>
      <c r="RND114" s="182"/>
      <c r="RNE114" s="181"/>
      <c r="RNF114" s="182"/>
      <c r="RNG114" s="181"/>
      <c r="RNH114" s="182"/>
      <c r="RNI114" s="181"/>
      <c r="RNJ114" s="182"/>
      <c r="RNK114" s="181"/>
      <c r="RNL114" s="182"/>
      <c r="RNM114" s="181"/>
      <c r="RNN114" s="182"/>
      <c r="RNO114" s="181"/>
      <c r="RNP114" s="182"/>
      <c r="RNQ114" s="181"/>
      <c r="RNR114" s="182"/>
      <c r="RNS114" s="181"/>
      <c r="RNT114" s="182"/>
      <c r="RNU114" s="181"/>
      <c r="RNV114" s="182"/>
      <c r="RNW114" s="181"/>
      <c r="RNX114" s="182"/>
      <c r="RNY114" s="181"/>
      <c r="RNZ114" s="182"/>
      <c r="ROA114" s="181"/>
      <c r="ROB114" s="182"/>
      <c r="ROC114" s="181"/>
      <c r="ROD114" s="182"/>
      <c r="ROE114" s="181"/>
      <c r="ROF114" s="182"/>
      <c r="ROG114" s="181"/>
      <c r="ROH114" s="182"/>
      <c r="ROI114" s="181"/>
      <c r="ROJ114" s="182"/>
      <c r="ROK114" s="181"/>
      <c r="ROL114" s="182"/>
      <c r="ROM114" s="181"/>
      <c r="RON114" s="182"/>
      <c r="ROO114" s="181"/>
      <c r="ROP114" s="182"/>
      <c r="ROQ114" s="181"/>
      <c r="ROR114" s="182"/>
      <c r="ROS114" s="181"/>
      <c r="ROT114" s="182"/>
      <c r="ROU114" s="181"/>
      <c r="ROV114" s="182"/>
      <c r="ROW114" s="181"/>
      <c r="ROX114" s="182"/>
      <c r="ROY114" s="181"/>
      <c r="ROZ114" s="182"/>
      <c r="RPA114" s="181"/>
      <c r="RPB114" s="182"/>
      <c r="RPC114" s="181"/>
      <c r="RPD114" s="182"/>
      <c r="RPE114" s="181"/>
      <c r="RPF114" s="182"/>
      <c r="RPG114" s="181"/>
      <c r="RPH114" s="182"/>
      <c r="RPI114" s="181"/>
      <c r="RPJ114" s="182"/>
      <c r="RPK114" s="181"/>
      <c r="RPL114" s="182"/>
      <c r="RPM114" s="181"/>
      <c r="RPN114" s="182"/>
      <c r="RPO114" s="181"/>
      <c r="RPP114" s="182"/>
      <c r="RPQ114" s="181"/>
      <c r="RPR114" s="182"/>
      <c r="RPS114" s="181"/>
      <c r="RPT114" s="182"/>
      <c r="RPU114" s="181"/>
      <c r="RPV114" s="182"/>
      <c r="RPW114" s="181"/>
      <c r="RPX114" s="182"/>
      <c r="RPY114" s="181"/>
      <c r="RPZ114" s="182"/>
      <c r="RQA114" s="181"/>
      <c r="RQB114" s="182"/>
      <c r="RQC114" s="181"/>
      <c r="RQD114" s="182"/>
      <c r="RQE114" s="181"/>
      <c r="RQF114" s="182"/>
      <c r="RQG114" s="181"/>
      <c r="RQH114" s="182"/>
      <c r="RQI114" s="181"/>
      <c r="RQJ114" s="182"/>
      <c r="RQK114" s="181"/>
      <c r="RQL114" s="182"/>
      <c r="RQM114" s="181"/>
      <c r="RQN114" s="182"/>
      <c r="RQO114" s="181"/>
      <c r="RQP114" s="182"/>
      <c r="RQQ114" s="181"/>
      <c r="RQR114" s="182"/>
      <c r="RQS114" s="181"/>
      <c r="RQT114" s="182"/>
      <c r="RQU114" s="181"/>
      <c r="RQV114" s="182"/>
      <c r="RQW114" s="181"/>
      <c r="RQX114" s="182"/>
      <c r="RQY114" s="181"/>
      <c r="RQZ114" s="182"/>
      <c r="RRA114" s="181"/>
      <c r="RRB114" s="182"/>
      <c r="RRC114" s="181"/>
      <c r="RRD114" s="182"/>
      <c r="RRE114" s="181"/>
      <c r="RRF114" s="182"/>
      <c r="RRG114" s="181"/>
      <c r="RRH114" s="182"/>
      <c r="RRI114" s="181"/>
      <c r="RRJ114" s="182"/>
      <c r="RRK114" s="181"/>
      <c r="RRL114" s="182"/>
      <c r="RRM114" s="181"/>
      <c r="RRN114" s="182"/>
      <c r="RRO114" s="181"/>
      <c r="RRP114" s="182"/>
      <c r="RRQ114" s="181"/>
      <c r="RRR114" s="182"/>
      <c r="RRS114" s="181"/>
      <c r="RRT114" s="182"/>
      <c r="RRU114" s="181"/>
      <c r="RRV114" s="182"/>
      <c r="RRW114" s="181"/>
      <c r="RRX114" s="182"/>
      <c r="RRY114" s="181"/>
      <c r="RRZ114" s="182"/>
      <c r="RSA114" s="181"/>
      <c r="RSB114" s="182"/>
      <c r="RSC114" s="181"/>
      <c r="RSD114" s="182"/>
      <c r="RSE114" s="181"/>
      <c r="RSF114" s="182"/>
      <c r="RSG114" s="181"/>
      <c r="RSH114" s="182"/>
      <c r="RSI114" s="181"/>
      <c r="RSJ114" s="182"/>
      <c r="RSK114" s="181"/>
      <c r="RSL114" s="182"/>
      <c r="RSM114" s="181"/>
      <c r="RSN114" s="182"/>
      <c r="RSO114" s="181"/>
      <c r="RSP114" s="182"/>
      <c r="RSQ114" s="181"/>
      <c r="RSR114" s="182"/>
      <c r="RSS114" s="181"/>
      <c r="RST114" s="182"/>
      <c r="RSU114" s="181"/>
      <c r="RSV114" s="182"/>
      <c r="RSW114" s="181"/>
      <c r="RSX114" s="182"/>
      <c r="RSY114" s="181"/>
      <c r="RSZ114" s="182"/>
      <c r="RTA114" s="181"/>
      <c r="RTB114" s="182"/>
      <c r="RTC114" s="181"/>
      <c r="RTD114" s="182"/>
      <c r="RTE114" s="181"/>
      <c r="RTF114" s="182"/>
      <c r="RTG114" s="181"/>
      <c r="RTH114" s="182"/>
      <c r="RTI114" s="181"/>
      <c r="RTJ114" s="182"/>
      <c r="RTK114" s="181"/>
      <c r="RTL114" s="182"/>
      <c r="RTM114" s="181"/>
      <c r="RTN114" s="182"/>
      <c r="RTO114" s="181"/>
      <c r="RTP114" s="182"/>
      <c r="RTQ114" s="181"/>
      <c r="RTR114" s="182"/>
      <c r="RTS114" s="181"/>
      <c r="RTT114" s="182"/>
      <c r="RTU114" s="181"/>
      <c r="RTV114" s="182"/>
      <c r="RTW114" s="181"/>
      <c r="RTX114" s="182"/>
      <c r="RTY114" s="181"/>
      <c r="RTZ114" s="182"/>
      <c r="RUA114" s="181"/>
      <c r="RUB114" s="182"/>
      <c r="RUC114" s="181"/>
      <c r="RUD114" s="182"/>
      <c r="RUE114" s="181"/>
      <c r="RUF114" s="182"/>
      <c r="RUG114" s="181"/>
      <c r="RUH114" s="182"/>
      <c r="RUI114" s="181"/>
      <c r="RUJ114" s="182"/>
      <c r="RUK114" s="181"/>
      <c r="RUL114" s="182"/>
      <c r="RUM114" s="181"/>
      <c r="RUN114" s="182"/>
      <c r="RUO114" s="181"/>
      <c r="RUP114" s="182"/>
      <c r="RUQ114" s="181"/>
      <c r="RUR114" s="182"/>
      <c r="RUS114" s="181"/>
      <c r="RUT114" s="182"/>
      <c r="RUU114" s="181"/>
      <c r="RUV114" s="182"/>
      <c r="RUW114" s="181"/>
      <c r="RUX114" s="182"/>
      <c r="RUY114" s="181"/>
      <c r="RUZ114" s="182"/>
      <c r="RVA114" s="181"/>
      <c r="RVB114" s="182"/>
      <c r="RVC114" s="181"/>
      <c r="RVD114" s="182"/>
      <c r="RVE114" s="181"/>
      <c r="RVF114" s="182"/>
      <c r="RVG114" s="181"/>
      <c r="RVH114" s="182"/>
      <c r="RVI114" s="181"/>
      <c r="RVJ114" s="182"/>
      <c r="RVK114" s="181"/>
      <c r="RVL114" s="182"/>
      <c r="RVM114" s="181"/>
      <c r="RVN114" s="182"/>
      <c r="RVO114" s="181"/>
      <c r="RVP114" s="182"/>
      <c r="RVQ114" s="181"/>
      <c r="RVR114" s="182"/>
      <c r="RVS114" s="181"/>
      <c r="RVT114" s="182"/>
      <c r="RVU114" s="181"/>
      <c r="RVV114" s="182"/>
      <c r="RVW114" s="181"/>
      <c r="RVX114" s="182"/>
      <c r="RVY114" s="181"/>
      <c r="RVZ114" s="182"/>
      <c r="RWA114" s="181"/>
      <c r="RWB114" s="182"/>
      <c r="RWC114" s="181"/>
      <c r="RWD114" s="182"/>
      <c r="RWE114" s="181"/>
      <c r="RWF114" s="182"/>
      <c r="RWG114" s="181"/>
      <c r="RWH114" s="182"/>
      <c r="RWI114" s="181"/>
      <c r="RWJ114" s="182"/>
      <c r="RWK114" s="181"/>
      <c r="RWL114" s="182"/>
      <c r="RWM114" s="181"/>
      <c r="RWN114" s="182"/>
      <c r="RWO114" s="181"/>
      <c r="RWP114" s="182"/>
      <c r="RWQ114" s="181"/>
      <c r="RWR114" s="182"/>
      <c r="RWS114" s="181"/>
      <c r="RWT114" s="182"/>
      <c r="RWU114" s="181"/>
      <c r="RWV114" s="182"/>
      <c r="RWW114" s="181"/>
      <c r="RWX114" s="182"/>
      <c r="RWY114" s="181"/>
      <c r="RWZ114" s="182"/>
      <c r="RXA114" s="181"/>
      <c r="RXB114" s="182"/>
      <c r="RXC114" s="181"/>
      <c r="RXD114" s="182"/>
      <c r="RXE114" s="181"/>
      <c r="RXF114" s="182"/>
      <c r="RXG114" s="181"/>
      <c r="RXH114" s="182"/>
      <c r="RXI114" s="181"/>
      <c r="RXJ114" s="182"/>
      <c r="RXK114" s="181"/>
      <c r="RXL114" s="182"/>
      <c r="RXM114" s="181"/>
      <c r="RXN114" s="182"/>
      <c r="RXO114" s="181"/>
      <c r="RXP114" s="182"/>
      <c r="RXQ114" s="181"/>
      <c r="RXR114" s="182"/>
      <c r="RXS114" s="181"/>
      <c r="RXT114" s="182"/>
      <c r="RXU114" s="181"/>
      <c r="RXV114" s="182"/>
      <c r="RXW114" s="181"/>
      <c r="RXX114" s="182"/>
      <c r="RXY114" s="181"/>
      <c r="RXZ114" s="182"/>
      <c r="RYA114" s="181"/>
      <c r="RYB114" s="182"/>
      <c r="RYC114" s="181"/>
      <c r="RYD114" s="182"/>
      <c r="RYE114" s="181"/>
      <c r="RYF114" s="182"/>
      <c r="RYG114" s="181"/>
      <c r="RYH114" s="182"/>
      <c r="RYI114" s="181"/>
      <c r="RYJ114" s="182"/>
      <c r="RYK114" s="181"/>
      <c r="RYL114" s="182"/>
      <c r="RYM114" s="181"/>
      <c r="RYN114" s="182"/>
      <c r="RYO114" s="181"/>
      <c r="RYP114" s="182"/>
      <c r="RYQ114" s="181"/>
      <c r="RYR114" s="182"/>
      <c r="RYS114" s="181"/>
      <c r="RYT114" s="182"/>
      <c r="RYU114" s="181"/>
      <c r="RYV114" s="182"/>
      <c r="RYW114" s="181"/>
      <c r="RYX114" s="182"/>
      <c r="RYY114" s="181"/>
      <c r="RYZ114" s="182"/>
      <c r="RZA114" s="181"/>
      <c r="RZB114" s="182"/>
      <c r="RZC114" s="181"/>
      <c r="RZD114" s="182"/>
      <c r="RZE114" s="181"/>
      <c r="RZF114" s="182"/>
      <c r="RZG114" s="181"/>
      <c r="RZH114" s="182"/>
      <c r="RZI114" s="181"/>
      <c r="RZJ114" s="182"/>
      <c r="RZK114" s="181"/>
      <c r="RZL114" s="182"/>
      <c r="RZM114" s="181"/>
      <c r="RZN114" s="182"/>
      <c r="RZO114" s="181"/>
      <c r="RZP114" s="182"/>
      <c r="RZQ114" s="181"/>
      <c r="RZR114" s="182"/>
      <c r="RZS114" s="181"/>
      <c r="RZT114" s="182"/>
      <c r="RZU114" s="181"/>
      <c r="RZV114" s="182"/>
      <c r="RZW114" s="181"/>
      <c r="RZX114" s="182"/>
      <c r="RZY114" s="181"/>
      <c r="RZZ114" s="182"/>
      <c r="SAA114" s="181"/>
      <c r="SAB114" s="182"/>
      <c r="SAC114" s="181"/>
      <c r="SAD114" s="182"/>
      <c r="SAE114" s="181"/>
      <c r="SAF114" s="182"/>
      <c r="SAG114" s="181"/>
      <c r="SAH114" s="182"/>
      <c r="SAI114" s="181"/>
      <c r="SAJ114" s="182"/>
      <c r="SAK114" s="181"/>
      <c r="SAL114" s="182"/>
      <c r="SAM114" s="181"/>
      <c r="SAN114" s="182"/>
      <c r="SAO114" s="181"/>
      <c r="SAP114" s="182"/>
      <c r="SAQ114" s="181"/>
      <c r="SAR114" s="182"/>
      <c r="SAS114" s="181"/>
      <c r="SAT114" s="182"/>
      <c r="SAU114" s="181"/>
      <c r="SAV114" s="182"/>
      <c r="SAW114" s="181"/>
      <c r="SAX114" s="182"/>
      <c r="SAY114" s="181"/>
      <c r="SAZ114" s="182"/>
      <c r="SBA114" s="181"/>
      <c r="SBB114" s="182"/>
      <c r="SBC114" s="181"/>
      <c r="SBD114" s="182"/>
      <c r="SBE114" s="181"/>
      <c r="SBF114" s="182"/>
      <c r="SBG114" s="181"/>
      <c r="SBH114" s="182"/>
      <c r="SBI114" s="181"/>
      <c r="SBJ114" s="182"/>
      <c r="SBK114" s="181"/>
      <c r="SBL114" s="182"/>
      <c r="SBM114" s="181"/>
      <c r="SBN114" s="182"/>
      <c r="SBO114" s="181"/>
      <c r="SBP114" s="182"/>
      <c r="SBQ114" s="181"/>
      <c r="SBR114" s="182"/>
      <c r="SBS114" s="181"/>
      <c r="SBT114" s="182"/>
      <c r="SBU114" s="181"/>
      <c r="SBV114" s="182"/>
      <c r="SBW114" s="181"/>
      <c r="SBX114" s="182"/>
      <c r="SBY114" s="181"/>
      <c r="SBZ114" s="182"/>
      <c r="SCA114" s="181"/>
      <c r="SCB114" s="182"/>
      <c r="SCC114" s="181"/>
      <c r="SCD114" s="182"/>
      <c r="SCE114" s="181"/>
      <c r="SCF114" s="182"/>
      <c r="SCG114" s="181"/>
      <c r="SCH114" s="182"/>
      <c r="SCI114" s="181"/>
      <c r="SCJ114" s="182"/>
      <c r="SCK114" s="181"/>
      <c r="SCL114" s="182"/>
      <c r="SCM114" s="181"/>
      <c r="SCN114" s="182"/>
      <c r="SCO114" s="181"/>
      <c r="SCP114" s="182"/>
      <c r="SCQ114" s="181"/>
      <c r="SCR114" s="182"/>
      <c r="SCS114" s="181"/>
      <c r="SCT114" s="182"/>
      <c r="SCU114" s="181"/>
      <c r="SCV114" s="182"/>
      <c r="SCW114" s="181"/>
      <c r="SCX114" s="182"/>
      <c r="SCY114" s="181"/>
      <c r="SCZ114" s="182"/>
      <c r="SDA114" s="181"/>
      <c r="SDB114" s="182"/>
      <c r="SDC114" s="181"/>
      <c r="SDD114" s="182"/>
      <c r="SDE114" s="181"/>
      <c r="SDF114" s="182"/>
      <c r="SDG114" s="181"/>
      <c r="SDH114" s="182"/>
      <c r="SDI114" s="181"/>
      <c r="SDJ114" s="182"/>
      <c r="SDK114" s="181"/>
      <c r="SDL114" s="182"/>
      <c r="SDM114" s="181"/>
      <c r="SDN114" s="182"/>
      <c r="SDO114" s="181"/>
      <c r="SDP114" s="182"/>
      <c r="SDQ114" s="181"/>
      <c r="SDR114" s="182"/>
      <c r="SDS114" s="181"/>
      <c r="SDT114" s="182"/>
      <c r="SDU114" s="181"/>
      <c r="SDV114" s="182"/>
      <c r="SDW114" s="181"/>
      <c r="SDX114" s="182"/>
      <c r="SDY114" s="181"/>
      <c r="SDZ114" s="182"/>
      <c r="SEA114" s="181"/>
      <c r="SEB114" s="182"/>
      <c r="SEC114" s="181"/>
      <c r="SED114" s="182"/>
      <c r="SEE114" s="181"/>
      <c r="SEF114" s="182"/>
      <c r="SEG114" s="181"/>
      <c r="SEH114" s="182"/>
      <c r="SEI114" s="181"/>
      <c r="SEJ114" s="182"/>
      <c r="SEK114" s="181"/>
      <c r="SEL114" s="182"/>
      <c r="SEM114" s="181"/>
      <c r="SEN114" s="182"/>
      <c r="SEO114" s="181"/>
      <c r="SEP114" s="182"/>
      <c r="SEQ114" s="181"/>
      <c r="SER114" s="182"/>
      <c r="SES114" s="181"/>
      <c r="SET114" s="182"/>
      <c r="SEU114" s="181"/>
      <c r="SEV114" s="182"/>
      <c r="SEW114" s="181"/>
      <c r="SEX114" s="182"/>
      <c r="SEY114" s="181"/>
      <c r="SEZ114" s="182"/>
      <c r="SFA114" s="181"/>
      <c r="SFB114" s="182"/>
      <c r="SFC114" s="181"/>
      <c r="SFD114" s="182"/>
      <c r="SFE114" s="181"/>
      <c r="SFF114" s="182"/>
      <c r="SFG114" s="181"/>
      <c r="SFH114" s="182"/>
      <c r="SFI114" s="181"/>
      <c r="SFJ114" s="182"/>
      <c r="SFK114" s="181"/>
      <c r="SFL114" s="182"/>
      <c r="SFM114" s="181"/>
      <c r="SFN114" s="182"/>
      <c r="SFO114" s="181"/>
      <c r="SFP114" s="182"/>
      <c r="SFQ114" s="181"/>
      <c r="SFR114" s="182"/>
      <c r="SFS114" s="181"/>
      <c r="SFT114" s="182"/>
      <c r="SFU114" s="181"/>
      <c r="SFV114" s="182"/>
      <c r="SFW114" s="181"/>
      <c r="SFX114" s="182"/>
      <c r="SFY114" s="181"/>
      <c r="SFZ114" s="182"/>
      <c r="SGA114" s="181"/>
      <c r="SGB114" s="182"/>
      <c r="SGC114" s="181"/>
      <c r="SGD114" s="182"/>
      <c r="SGE114" s="181"/>
      <c r="SGF114" s="182"/>
      <c r="SGG114" s="181"/>
      <c r="SGH114" s="182"/>
      <c r="SGI114" s="181"/>
      <c r="SGJ114" s="182"/>
      <c r="SGK114" s="181"/>
      <c r="SGL114" s="182"/>
      <c r="SGM114" s="181"/>
      <c r="SGN114" s="182"/>
      <c r="SGO114" s="181"/>
      <c r="SGP114" s="182"/>
      <c r="SGQ114" s="181"/>
      <c r="SGR114" s="182"/>
      <c r="SGS114" s="181"/>
      <c r="SGT114" s="182"/>
      <c r="SGU114" s="181"/>
      <c r="SGV114" s="182"/>
      <c r="SGW114" s="181"/>
      <c r="SGX114" s="182"/>
      <c r="SGY114" s="181"/>
      <c r="SGZ114" s="182"/>
      <c r="SHA114" s="181"/>
      <c r="SHB114" s="182"/>
      <c r="SHC114" s="181"/>
      <c r="SHD114" s="182"/>
      <c r="SHE114" s="181"/>
      <c r="SHF114" s="182"/>
      <c r="SHG114" s="181"/>
      <c r="SHH114" s="182"/>
      <c r="SHI114" s="181"/>
      <c r="SHJ114" s="182"/>
      <c r="SHK114" s="181"/>
      <c r="SHL114" s="182"/>
      <c r="SHM114" s="181"/>
      <c r="SHN114" s="182"/>
      <c r="SHO114" s="181"/>
      <c r="SHP114" s="182"/>
      <c r="SHQ114" s="181"/>
      <c r="SHR114" s="182"/>
      <c r="SHS114" s="181"/>
      <c r="SHT114" s="182"/>
      <c r="SHU114" s="181"/>
      <c r="SHV114" s="182"/>
      <c r="SHW114" s="181"/>
      <c r="SHX114" s="182"/>
      <c r="SHY114" s="181"/>
      <c r="SHZ114" s="182"/>
      <c r="SIA114" s="181"/>
      <c r="SIB114" s="182"/>
      <c r="SIC114" s="181"/>
      <c r="SID114" s="182"/>
      <c r="SIE114" s="181"/>
      <c r="SIF114" s="182"/>
      <c r="SIG114" s="181"/>
      <c r="SIH114" s="182"/>
      <c r="SII114" s="181"/>
      <c r="SIJ114" s="182"/>
      <c r="SIK114" s="181"/>
      <c r="SIL114" s="182"/>
      <c r="SIM114" s="181"/>
      <c r="SIN114" s="182"/>
      <c r="SIO114" s="181"/>
      <c r="SIP114" s="182"/>
      <c r="SIQ114" s="181"/>
      <c r="SIR114" s="182"/>
      <c r="SIS114" s="181"/>
      <c r="SIT114" s="182"/>
      <c r="SIU114" s="181"/>
      <c r="SIV114" s="182"/>
      <c r="SIW114" s="181"/>
      <c r="SIX114" s="182"/>
      <c r="SIY114" s="181"/>
      <c r="SIZ114" s="182"/>
      <c r="SJA114" s="181"/>
      <c r="SJB114" s="182"/>
      <c r="SJC114" s="181"/>
      <c r="SJD114" s="182"/>
      <c r="SJE114" s="181"/>
      <c r="SJF114" s="182"/>
      <c r="SJG114" s="181"/>
      <c r="SJH114" s="182"/>
      <c r="SJI114" s="181"/>
      <c r="SJJ114" s="182"/>
      <c r="SJK114" s="181"/>
      <c r="SJL114" s="182"/>
      <c r="SJM114" s="181"/>
      <c r="SJN114" s="182"/>
      <c r="SJO114" s="181"/>
      <c r="SJP114" s="182"/>
      <c r="SJQ114" s="181"/>
      <c r="SJR114" s="182"/>
      <c r="SJS114" s="181"/>
      <c r="SJT114" s="182"/>
      <c r="SJU114" s="181"/>
      <c r="SJV114" s="182"/>
      <c r="SJW114" s="181"/>
      <c r="SJX114" s="182"/>
      <c r="SJY114" s="181"/>
      <c r="SJZ114" s="182"/>
      <c r="SKA114" s="181"/>
      <c r="SKB114" s="182"/>
      <c r="SKC114" s="181"/>
      <c r="SKD114" s="182"/>
      <c r="SKE114" s="181"/>
      <c r="SKF114" s="182"/>
      <c r="SKG114" s="181"/>
      <c r="SKH114" s="182"/>
      <c r="SKI114" s="181"/>
      <c r="SKJ114" s="182"/>
      <c r="SKK114" s="181"/>
      <c r="SKL114" s="182"/>
      <c r="SKM114" s="181"/>
      <c r="SKN114" s="182"/>
      <c r="SKO114" s="181"/>
      <c r="SKP114" s="182"/>
      <c r="SKQ114" s="181"/>
      <c r="SKR114" s="182"/>
      <c r="SKS114" s="181"/>
      <c r="SKT114" s="182"/>
      <c r="SKU114" s="181"/>
      <c r="SKV114" s="182"/>
      <c r="SKW114" s="181"/>
      <c r="SKX114" s="182"/>
      <c r="SKY114" s="181"/>
      <c r="SKZ114" s="182"/>
      <c r="SLA114" s="181"/>
      <c r="SLB114" s="182"/>
      <c r="SLC114" s="181"/>
      <c r="SLD114" s="182"/>
      <c r="SLE114" s="181"/>
      <c r="SLF114" s="182"/>
      <c r="SLG114" s="181"/>
      <c r="SLH114" s="182"/>
      <c r="SLI114" s="181"/>
      <c r="SLJ114" s="182"/>
      <c r="SLK114" s="181"/>
      <c r="SLL114" s="182"/>
      <c r="SLM114" s="181"/>
      <c r="SLN114" s="182"/>
      <c r="SLO114" s="181"/>
      <c r="SLP114" s="182"/>
      <c r="SLQ114" s="181"/>
      <c r="SLR114" s="182"/>
      <c r="SLS114" s="181"/>
      <c r="SLT114" s="182"/>
      <c r="SLU114" s="181"/>
      <c r="SLV114" s="182"/>
      <c r="SLW114" s="181"/>
      <c r="SLX114" s="182"/>
      <c r="SLY114" s="181"/>
      <c r="SLZ114" s="182"/>
      <c r="SMA114" s="181"/>
      <c r="SMB114" s="182"/>
      <c r="SMC114" s="181"/>
      <c r="SMD114" s="182"/>
      <c r="SME114" s="181"/>
      <c r="SMF114" s="182"/>
      <c r="SMG114" s="181"/>
      <c r="SMH114" s="182"/>
      <c r="SMI114" s="181"/>
      <c r="SMJ114" s="182"/>
      <c r="SMK114" s="181"/>
      <c r="SML114" s="182"/>
      <c r="SMM114" s="181"/>
      <c r="SMN114" s="182"/>
      <c r="SMO114" s="181"/>
      <c r="SMP114" s="182"/>
      <c r="SMQ114" s="181"/>
      <c r="SMR114" s="182"/>
      <c r="SMS114" s="181"/>
      <c r="SMT114" s="182"/>
      <c r="SMU114" s="181"/>
      <c r="SMV114" s="182"/>
      <c r="SMW114" s="181"/>
      <c r="SMX114" s="182"/>
      <c r="SMY114" s="181"/>
      <c r="SMZ114" s="182"/>
      <c r="SNA114" s="181"/>
      <c r="SNB114" s="182"/>
      <c r="SNC114" s="181"/>
      <c r="SND114" s="182"/>
      <c r="SNE114" s="181"/>
      <c r="SNF114" s="182"/>
      <c r="SNG114" s="181"/>
      <c r="SNH114" s="182"/>
      <c r="SNI114" s="181"/>
      <c r="SNJ114" s="182"/>
      <c r="SNK114" s="181"/>
      <c r="SNL114" s="182"/>
      <c r="SNM114" s="181"/>
      <c r="SNN114" s="182"/>
      <c r="SNO114" s="181"/>
      <c r="SNP114" s="182"/>
      <c r="SNQ114" s="181"/>
      <c r="SNR114" s="182"/>
      <c r="SNS114" s="181"/>
      <c r="SNT114" s="182"/>
      <c r="SNU114" s="181"/>
      <c r="SNV114" s="182"/>
      <c r="SNW114" s="181"/>
      <c r="SNX114" s="182"/>
      <c r="SNY114" s="181"/>
      <c r="SNZ114" s="182"/>
      <c r="SOA114" s="181"/>
      <c r="SOB114" s="182"/>
      <c r="SOC114" s="181"/>
      <c r="SOD114" s="182"/>
      <c r="SOE114" s="181"/>
      <c r="SOF114" s="182"/>
      <c r="SOG114" s="181"/>
      <c r="SOH114" s="182"/>
      <c r="SOI114" s="181"/>
      <c r="SOJ114" s="182"/>
      <c r="SOK114" s="181"/>
      <c r="SOL114" s="182"/>
      <c r="SOM114" s="181"/>
      <c r="SON114" s="182"/>
      <c r="SOO114" s="181"/>
      <c r="SOP114" s="182"/>
      <c r="SOQ114" s="181"/>
      <c r="SOR114" s="182"/>
      <c r="SOS114" s="181"/>
      <c r="SOT114" s="182"/>
      <c r="SOU114" s="181"/>
      <c r="SOV114" s="182"/>
      <c r="SOW114" s="181"/>
      <c r="SOX114" s="182"/>
      <c r="SOY114" s="181"/>
      <c r="SOZ114" s="182"/>
      <c r="SPA114" s="181"/>
      <c r="SPB114" s="182"/>
      <c r="SPC114" s="181"/>
      <c r="SPD114" s="182"/>
      <c r="SPE114" s="181"/>
      <c r="SPF114" s="182"/>
      <c r="SPG114" s="181"/>
      <c r="SPH114" s="182"/>
      <c r="SPI114" s="181"/>
      <c r="SPJ114" s="182"/>
      <c r="SPK114" s="181"/>
      <c r="SPL114" s="182"/>
      <c r="SPM114" s="181"/>
      <c r="SPN114" s="182"/>
      <c r="SPO114" s="181"/>
      <c r="SPP114" s="182"/>
      <c r="SPQ114" s="181"/>
      <c r="SPR114" s="182"/>
      <c r="SPS114" s="181"/>
      <c r="SPT114" s="182"/>
      <c r="SPU114" s="181"/>
      <c r="SPV114" s="182"/>
      <c r="SPW114" s="181"/>
      <c r="SPX114" s="182"/>
      <c r="SPY114" s="181"/>
      <c r="SPZ114" s="182"/>
      <c r="SQA114" s="181"/>
      <c r="SQB114" s="182"/>
      <c r="SQC114" s="181"/>
      <c r="SQD114" s="182"/>
      <c r="SQE114" s="181"/>
      <c r="SQF114" s="182"/>
      <c r="SQG114" s="181"/>
      <c r="SQH114" s="182"/>
      <c r="SQI114" s="181"/>
      <c r="SQJ114" s="182"/>
      <c r="SQK114" s="181"/>
      <c r="SQL114" s="182"/>
      <c r="SQM114" s="181"/>
      <c r="SQN114" s="182"/>
      <c r="SQO114" s="181"/>
      <c r="SQP114" s="182"/>
      <c r="SQQ114" s="181"/>
      <c r="SQR114" s="182"/>
      <c r="SQS114" s="181"/>
      <c r="SQT114" s="182"/>
      <c r="SQU114" s="181"/>
      <c r="SQV114" s="182"/>
      <c r="SQW114" s="181"/>
      <c r="SQX114" s="182"/>
      <c r="SQY114" s="181"/>
      <c r="SQZ114" s="182"/>
      <c r="SRA114" s="181"/>
      <c r="SRB114" s="182"/>
      <c r="SRC114" s="181"/>
      <c r="SRD114" s="182"/>
      <c r="SRE114" s="181"/>
      <c r="SRF114" s="182"/>
      <c r="SRG114" s="181"/>
      <c r="SRH114" s="182"/>
      <c r="SRI114" s="181"/>
      <c r="SRJ114" s="182"/>
      <c r="SRK114" s="181"/>
      <c r="SRL114" s="182"/>
      <c r="SRM114" s="181"/>
      <c r="SRN114" s="182"/>
      <c r="SRO114" s="181"/>
      <c r="SRP114" s="182"/>
      <c r="SRQ114" s="181"/>
      <c r="SRR114" s="182"/>
      <c r="SRS114" s="181"/>
      <c r="SRT114" s="182"/>
      <c r="SRU114" s="181"/>
      <c r="SRV114" s="182"/>
      <c r="SRW114" s="181"/>
      <c r="SRX114" s="182"/>
      <c r="SRY114" s="181"/>
      <c r="SRZ114" s="182"/>
      <c r="SSA114" s="181"/>
      <c r="SSB114" s="182"/>
      <c r="SSC114" s="181"/>
      <c r="SSD114" s="182"/>
      <c r="SSE114" s="181"/>
      <c r="SSF114" s="182"/>
      <c r="SSG114" s="181"/>
      <c r="SSH114" s="182"/>
      <c r="SSI114" s="181"/>
      <c r="SSJ114" s="182"/>
      <c r="SSK114" s="181"/>
      <c r="SSL114" s="182"/>
      <c r="SSM114" s="181"/>
      <c r="SSN114" s="182"/>
      <c r="SSO114" s="181"/>
      <c r="SSP114" s="182"/>
      <c r="SSQ114" s="181"/>
      <c r="SSR114" s="182"/>
      <c r="SSS114" s="181"/>
      <c r="SST114" s="182"/>
      <c r="SSU114" s="181"/>
      <c r="SSV114" s="182"/>
      <c r="SSW114" s="181"/>
      <c r="SSX114" s="182"/>
      <c r="SSY114" s="181"/>
      <c r="SSZ114" s="182"/>
      <c r="STA114" s="181"/>
      <c r="STB114" s="182"/>
      <c r="STC114" s="181"/>
      <c r="STD114" s="182"/>
      <c r="STE114" s="181"/>
      <c r="STF114" s="182"/>
      <c r="STG114" s="181"/>
      <c r="STH114" s="182"/>
      <c r="STI114" s="181"/>
      <c r="STJ114" s="182"/>
      <c r="STK114" s="181"/>
      <c r="STL114" s="182"/>
      <c r="STM114" s="181"/>
      <c r="STN114" s="182"/>
      <c r="STO114" s="181"/>
      <c r="STP114" s="182"/>
      <c r="STQ114" s="181"/>
      <c r="STR114" s="182"/>
      <c r="STS114" s="181"/>
      <c r="STT114" s="182"/>
      <c r="STU114" s="181"/>
      <c r="STV114" s="182"/>
      <c r="STW114" s="181"/>
      <c r="STX114" s="182"/>
      <c r="STY114" s="181"/>
      <c r="STZ114" s="182"/>
      <c r="SUA114" s="181"/>
      <c r="SUB114" s="182"/>
      <c r="SUC114" s="181"/>
      <c r="SUD114" s="182"/>
      <c r="SUE114" s="181"/>
      <c r="SUF114" s="182"/>
      <c r="SUG114" s="181"/>
      <c r="SUH114" s="182"/>
      <c r="SUI114" s="181"/>
      <c r="SUJ114" s="182"/>
      <c r="SUK114" s="181"/>
      <c r="SUL114" s="182"/>
      <c r="SUM114" s="181"/>
      <c r="SUN114" s="182"/>
      <c r="SUO114" s="181"/>
      <c r="SUP114" s="182"/>
      <c r="SUQ114" s="181"/>
      <c r="SUR114" s="182"/>
      <c r="SUS114" s="181"/>
      <c r="SUT114" s="182"/>
      <c r="SUU114" s="181"/>
      <c r="SUV114" s="182"/>
      <c r="SUW114" s="181"/>
      <c r="SUX114" s="182"/>
      <c r="SUY114" s="181"/>
      <c r="SUZ114" s="182"/>
      <c r="SVA114" s="181"/>
      <c r="SVB114" s="182"/>
      <c r="SVC114" s="181"/>
      <c r="SVD114" s="182"/>
      <c r="SVE114" s="181"/>
      <c r="SVF114" s="182"/>
      <c r="SVG114" s="181"/>
      <c r="SVH114" s="182"/>
      <c r="SVI114" s="181"/>
      <c r="SVJ114" s="182"/>
      <c r="SVK114" s="181"/>
      <c r="SVL114" s="182"/>
      <c r="SVM114" s="181"/>
      <c r="SVN114" s="182"/>
      <c r="SVO114" s="181"/>
      <c r="SVP114" s="182"/>
      <c r="SVQ114" s="181"/>
      <c r="SVR114" s="182"/>
      <c r="SVS114" s="181"/>
      <c r="SVT114" s="182"/>
      <c r="SVU114" s="181"/>
      <c r="SVV114" s="182"/>
      <c r="SVW114" s="181"/>
      <c r="SVX114" s="182"/>
      <c r="SVY114" s="181"/>
      <c r="SVZ114" s="182"/>
      <c r="SWA114" s="181"/>
      <c r="SWB114" s="182"/>
      <c r="SWC114" s="181"/>
      <c r="SWD114" s="182"/>
      <c r="SWE114" s="181"/>
      <c r="SWF114" s="182"/>
      <c r="SWG114" s="181"/>
      <c r="SWH114" s="182"/>
      <c r="SWI114" s="181"/>
      <c r="SWJ114" s="182"/>
      <c r="SWK114" s="181"/>
      <c r="SWL114" s="182"/>
      <c r="SWM114" s="181"/>
      <c r="SWN114" s="182"/>
      <c r="SWO114" s="181"/>
      <c r="SWP114" s="182"/>
      <c r="SWQ114" s="181"/>
      <c r="SWR114" s="182"/>
      <c r="SWS114" s="181"/>
      <c r="SWT114" s="182"/>
      <c r="SWU114" s="181"/>
      <c r="SWV114" s="182"/>
      <c r="SWW114" s="181"/>
      <c r="SWX114" s="182"/>
      <c r="SWY114" s="181"/>
      <c r="SWZ114" s="182"/>
      <c r="SXA114" s="181"/>
      <c r="SXB114" s="182"/>
      <c r="SXC114" s="181"/>
      <c r="SXD114" s="182"/>
      <c r="SXE114" s="181"/>
      <c r="SXF114" s="182"/>
      <c r="SXG114" s="181"/>
      <c r="SXH114" s="182"/>
      <c r="SXI114" s="181"/>
      <c r="SXJ114" s="182"/>
      <c r="SXK114" s="181"/>
      <c r="SXL114" s="182"/>
      <c r="SXM114" s="181"/>
      <c r="SXN114" s="182"/>
      <c r="SXO114" s="181"/>
      <c r="SXP114" s="182"/>
      <c r="SXQ114" s="181"/>
      <c r="SXR114" s="182"/>
      <c r="SXS114" s="181"/>
      <c r="SXT114" s="182"/>
      <c r="SXU114" s="181"/>
      <c r="SXV114" s="182"/>
      <c r="SXW114" s="181"/>
      <c r="SXX114" s="182"/>
      <c r="SXY114" s="181"/>
      <c r="SXZ114" s="182"/>
      <c r="SYA114" s="181"/>
      <c r="SYB114" s="182"/>
      <c r="SYC114" s="181"/>
      <c r="SYD114" s="182"/>
      <c r="SYE114" s="181"/>
      <c r="SYF114" s="182"/>
      <c r="SYG114" s="181"/>
      <c r="SYH114" s="182"/>
      <c r="SYI114" s="181"/>
      <c r="SYJ114" s="182"/>
      <c r="SYK114" s="181"/>
      <c r="SYL114" s="182"/>
      <c r="SYM114" s="181"/>
      <c r="SYN114" s="182"/>
      <c r="SYO114" s="181"/>
      <c r="SYP114" s="182"/>
      <c r="SYQ114" s="181"/>
      <c r="SYR114" s="182"/>
      <c r="SYS114" s="181"/>
      <c r="SYT114" s="182"/>
      <c r="SYU114" s="181"/>
      <c r="SYV114" s="182"/>
      <c r="SYW114" s="181"/>
      <c r="SYX114" s="182"/>
      <c r="SYY114" s="181"/>
      <c r="SYZ114" s="182"/>
      <c r="SZA114" s="181"/>
      <c r="SZB114" s="182"/>
      <c r="SZC114" s="181"/>
      <c r="SZD114" s="182"/>
      <c r="SZE114" s="181"/>
      <c r="SZF114" s="182"/>
      <c r="SZG114" s="181"/>
      <c r="SZH114" s="182"/>
      <c r="SZI114" s="181"/>
      <c r="SZJ114" s="182"/>
      <c r="SZK114" s="181"/>
      <c r="SZL114" s="182"/>
      <c r="SZM114" s="181"/>
      <c r="SZN114" s="182"/>
      <c r="SZO114" s="181"/>
      <c r="SZP114" s="182"/>
      <c r="SZQ114" s="181"/>
      <c r="SZR114" s="182"/>
      <c r="SZS114" s="181"/>
      <c r="SZT114" s="182"/>
      <c r="SZU114" s="181"/>
      <c r="SZV114" s="182"/>
      <c r="SZW114" s="181"/>
      <c r="SZX114" s="182"/>
      <c r="SZY114" s="181"/>
      <c r="SZZ114" s="182"/>
      <c r="TAA114" s="181"/>
      <c r="TAB114" s="182"/>
      <c r="TAC114" s="181"/>
      <c r="TAD114" s="182"/>
      <c r="TAE114" s="181"/>
      <c r="TAF114" s="182"/>
      <c r="TAG114" s="181"/>
      <c r="TAH114" s="182"/>
      <c r="TAI114" s="181"/>
      <c r="TAJ114" s="182"/>
      <c r="TAK114" s="181"/>
      <c r="TAL114" s="182"/>
      <c r="TAM114" s="181"/>
      <c r="TAN114" s="182"/>
      <c r="TAO114" s="181"/>
      <c r="TAP114" s="182"/>
      <c r="TAQ114" s="181"/>
      <c r="TAR114" s="182"/>
      <c r="TAS114" s="181"/>
      <c r="TAT114" s="182"/>
      <c r="TAU114" s="181"/>
      <c r="TAV114" s="182"/>
      <c r="TAW114" s="181"/>
      <c r="TAX114" s="182"/>
      <c r="TAY114" s="181"/>
      <c r="TAZ114" s="182"/>
      <c r="TBA114" s="181"/>
      <c r="TBB114" s="182"/>
      <c r="TBC114" s="181"/>
      <c r="TBD114" s="182"/>
      <c r="TBE114" s="181"/>
      <c r="TBF114" s="182"/>
      <c r="TBG114" s="181"/>
      <c r="TBH114" s="182"/>
      <c r="TBI114" s="181"/>
      <c r="TBJ114" s="182"/>
      <c r="TBK114" s="181"/>
      <c r="TBL114" s="182"/>
      <c r="TBM114" s="181"/>
      <c r="TBN114" s="182"/>
      <c r="TBO114" s="181"/>
      <c r="TBP114" s="182"/>
      <c r="TBQ114" s="181"/>
      <c r="TBR114" s="182"/>
      <c r="TBS114" s="181"/>
      <c r="TBT114" s="182"/>
      <c r="TBU114" s="181"/>
      <c r="TBV114" s="182"/>
      <c r="TBW114" s="181"/>
      <c r="TBX114" s="182"/>
      <c r="TBY114" s="181"/>
      <c r="TBZ114" s="182"/>
      <c r="TCA114" s="181"/>
      <c r="TCB114" s="182"/>
      <c r="TCC114" s="181"/>
      <c r="TCD114" s="182"/>
      <c r="TCE114" s="181"/>
      <c r="TCF114" s="182"/>
      <c r="TCG114" s="181"/>
      <c r="TCH114" s="182"/>
      <c r="TCI114" s="181"/>
      <c r="TCJ114" s="182"/>
      <c r="TCK114" s="181"/>
      <c r="TCL114" s="182"/>
      <c r="TCM114" s="181"/>
      <c r="TCN114" s="182"/>
      <c r="TCO114" s="181"/>
      <c r="TCP114" s="182"/>
      <c r="TCQ114" s="181"/>
      <c r="TCR114" s="182"/>
      <c r="TCS114" s="181"/>
      <c r="TCT114" s="182"/>
      <c r="TCU114" s="181"/>
      <c r="TCV114" s="182"/>
      <c r="TCW114" s="181"/>
      <c r="TCX114" s="182"/>
      <c r="TCY114" s="181"/>
      <c r="TCZ114" s="182"/>
      <c r="TDA114" s="181"/>
      <c r="TDB114" s="182"/>
      <c r="TDC114" s="181"/>
      <c r="TDD114" s="182"/>
      <c r="TDE114" s="181"/>
      <c r="TDF114" s="182"/>
      <c r="TDG114" s="181"/>
      <c r="TDH114" s="182"/>
      <c r="TDI114" s="181"/>
      <c r="TDJ114" s="182"/>
      <c r="TDK114" s="181"/>
      <c r="TDL114" s="182"/>
      <c r="TDM114" s="181"/>
      <c r="TDN114" s="182"/>
      <c r="TDO114" s="181"/>
      <c r="TDP114" s="182"/>
      <c r="TDQ114" s="181"/>
      <c r="TDR114" s="182"/>
      <c r="TDS114" s="181"/>
      <c r="TDT114" s="182"/>
      <c r="TDU114" s="181"/>
      <c r="TDV114" s="182"/>
      <c r="TDW114" s="181"/>
      <c r="TDX114" s="182"/>
      <c r="TDY114" s="181"/>
      <c r="TDZ114" s="182"/>
      <c r="TEA114" s="181"/>
      <c r="TEB114" s="182"/>
      <c r="TEC114" s="181"/>
      <c r="TED114" s="182"/>
      <c r="TEE114" s="181"/>
      <c r="TEF114" s="182"/>
      <c r="TEG114" s="181"/>
      <c r="TEH114" s="182"/>
      <c r="TEI114" s="181"/>
      <c r="TEJ114" s="182"/>
      <c r="TEK114" s="181"/>
      <c r="TEL114" s="182"/>
      <c r="TEM114" s="181"/>
      <c r="TEN114" s="182"/>
      <c r="TEO114" s="181"/>
      <c r="TEP114" s="182"/>
      <c r="TEQ114" s="181"/>
      <c r="TER114" s="182"/>
      <c r="TES114" s="181"/>
      <c r="TET114" s="182"/>
      <c r="TEU114" s="181"/>
      <c r="TEV114" s="182"/>
      <c r="TEW114" s="181"/>
      <c r="TEX114" s="182"/>
      <c r="TEY114" s="181"/>
      <c r="TEZ114" s="182"/>
      <c r="TFA114" s="181"/>
      <c r="TFB114" s="182"/>
      <c r="TFC114" s="181"/>
      <c r="TFD114" s="182"/>
      <c r="TFE114" s="181"/>
      <c r="TFF114" s="182"/>
      <c r="TFG114" s="181"/>
      <c r="TFH114" s="182"/>
      <c r="TFI114" s="181"/>
      <c r="TFJ114" s="182"/>
      <c r="TFK114" s="181"/>
      <c r="TFL114" s="182"/>
      <c r="TFM114" s="181"/>
      <c r="TFN114" s="182"/>
      <c r="TFO114" s="181"/>
      <c r="TFP114" s="182"/>
      <c r="TFQ114" s="181"/>
      <c r="TFR114" s="182"/>
      <c r="TFS114" s="181"/>
      <c r="TFT114" s="182"/>
      <c r="TFU114" s="181"/>
      <c r="TFV114" s="182"/>
      <c r="TFW114" s="181"/>
      <c r="TFX114" s="182"/>
      <c r="TFY114" s="181"/>
      <c r="TFZ114" s="182"/>
      <c r="TGA114" s="181"/>
      <c r="TGB114" s="182"/>
      <c r="TGC114" s="181"/>
      <c r="TGD114" s="182"/>
      <c r="TGE114" s="181"/>
      <c r="TGF114" s="182"/>
      <c r="TGG114" s="181"/>
      <c r="TGH114" s="182"/>
      <c r="TGI114" s="181"/>
      <c r="TGJ114" s="182"/>
      <c r="TGK114" s="181"/>
      <c r="TGL114" s="182"/>
      <c r="TGM114" s="181"/>
      <c r="TGN114" s="182"/>
      <c r="TGO114" s="181"/>
      <c r="TGP114" s="182"/>
      <c r="TGQ114" s="181"/>
      <c r="TGR114" s="182"/>
      <c r="TGS114" s="181"/>
      <c r="TGT114" s="182"/>
      <c r="TGU114" s="181"/>
      <c r="TGV114" s="182"/>
      <c r="TGW114" s="181"/>
      <c r="TGX114" s="182"/>
      <c r="TGY114" s="181"/>
      <c r="TGZ114" s="182"/>
      <c r="THA114" s="181"/>
      <c r="THB114" s="182"/>
      <c r="THC114" s="181"/>
      <c r="THD114" s="182"/>
      <c r="THE114" s="181"/>
      <c r="THF114" s="182"/>
      <c r="THG114" s="181"/>
      <c r="THH114" s="182"/>
      <c r="THI114" s="181"/>
      <c r="THJ114" s="182"/>
      <c r="THK114" s="181"/>
      <c r="THL114" s="182"/>
      <c r="THM114" s="181"/>
      <c r="THN114" s="182"/>
      <c r="THO114" s="181"/>
      <c r="THP114" s="182"/>
      <c r="THQ114" s="181"/>
      <c r="THR114" s="182"/>
      <c r="THS114" s="181"/>
      <c r="THT114" s="182"/>
      <c r="THU114" s="181"/>
      <c r="THV114" s="182"/>
      <c r="THW114" s="181"/>
      <c r="THX114" s="182"/>
      <c r="THY114" s="181"/>
      <c r="THZ114" s="182"/>
      <c r="TIA114" s="181"/>
      <c r="TIB114" s="182"/>
      <c r="TIC114" s="181"/>
      <c r="TID114" s="182"/>
      <c r="TIE114" s="181"/>
      <c r="TIF114" s="182"/>
      <c r="TIG114" s="181"/>
      <c r="TIH114" s="182"/>
      <c r="TII114" s="181"/>
      <c r="TIJ114" s="182"/>
      <c r="TIK114" s="181"/>
      <c r="TIL114" s="182"/>
      <c r="TIM114" s="181"/>
      <c r="TIN114" s="182"/>
      <c r="TIO114" s="181"/>
      <c r="TIP114" s="182"/>
      <c r="TIQ114" s="181"/>
      <c r="TIR114" s="182"/>
      <c r="TIS114" s="181"/>
      <c r="TIT114" s="182"/>
      <c r="TIU114" s="181"/>
      <c r="TIV114" s="182"/>
      <c r="TIW114" s="181"/>
      <c r="TIX114" s="182"/>
      <c r="TIY114" s="181"/>
      <c r="TIZ114" s="182"/>
      <c r="TJA114" s="181"/>
      <c r="TJB114" s="182"/>
      <c r="TJC114" s="181"/>
      <c r="TJD114" s="182"/>
      <c r="TJE114" s="181"/>
      <c r="TJF114" s="182"/>
      <c r="TJG114" s="181"/>
      <c r="TJH114" s="182"/>
      <c r="TJI114" s="181"/>
      <c r="TJJ114" s="182"/>
      <c r="TJK114" s="181"/>
      <c r="TJL114" s="182"/>
      <c r="TJM114" s="181"/>
      <c r="TJN114" s="182"/>
      <c r="TJO114" s="181"/>
      <c r="TJP114" s="182"/>
      <c r="TJQ114" s="181"/>
      <c r="TJR114" s="182"/>
      <c r="TJS114" s="181"/>
      <c r="TJT114" s="182"/>
      <c r="TJU114" s="181"/>
      <c r="TJV114" s="182"/>
      <c r="TJW114" s="181"/>
      <c r="TJX114" s="182"/>
      <c r="TJY114" s="181"/>
      <c r="TJZ114" s="182"/>
      <c r="TKA114" s="181"/>
      <c r="TKB114" s="182"/>
      <c r="TKC114" s="181"/>
      <c r="TKD114" s="182"/>
      <c r="TKE114" s="181"/>
      <c r="TKF114" s="182"/>
      <c r="TKG114" s="181"/>
      <c r="TKH114" s="182"/>
      <c r="TKI114" s="181"/>
      <c r="TKJ114" s="182"/>
      <c r="TKK114" s="181"/>
      <c r="TKL114" s="182"/>
      <c r="TKM114" s="181"/>
      <c r="TKN114" s="182"/>
      <c r="TKO114" s="181"/>
      <c r="TKP114" s="182"/>
      <c r="TKQ114" s="181"/>
      <c r="TKR114" s="182"/>
      <c r="TKS114" s="181"/>
      <c r="TKT114" s="182"/>
      <c r="TKU114" s="181"/>
      <c r="TKV114" s="182"/>
      <c r="TKW114" s="181"/>
      <c r="TKX114" s="182"/>
      <c r="TKY114" s="181"/>
      <c r="TKZ114" s="182"/>
      <c r="TLA114" s="181"/>
      <c r="TLB114" s="182"/>
      <c r="TLC114" s="181"/>
      <c r="TLD114" s="182"/>
      <c r="TLE114" s="181"/>
      <c r="TLF114" s="182"/>
      <c r="TLG114" s="181"/>
      <c r="TLH114" s="182"/>
      <c r="TLI114" s="181"/>
      <c r="TLJ114" s="182"/>
      <c r="TLK114" s="181"/>
      <c r="TLL114" s="182"/>
      <c r="TLM114" s="181"/>
      <c r="TLN114" s="182"/>
      <c r="TLO114" s="181"/>
      <c r="TLP114" s="182"/>
      <c r="TLQ114" s="181"/>
      <c r="TLR114" s="182"/>
      <c r="TLS114" s="181"/>
      <c r="TLT114" s="182"/>
      <c r="TLU114" s="181"/>
      <c r="TLV114" s="182"/>
      <c r="TLW114" s="181"/>
      <c r="TLX114" s="182"/>
      <c r="TLY114" s="181"/>
      <c r="TLZ114" s="182"/>
      <c r="TMA114" s="181"/>
      <c r="TMB114" s="182"/>
      <c r="TMC114" s="181"/>
      <c r="TMD114" s="182"/>
      <c r="TME114" s="181"/>
      <c r="TMF114" s="182"/>
      <c r="TMG114" s="181"/>
      <c r="TMH114" s="182"/>
      <c r="TMI114" s="181"/>
      <c r="TMJ114" s="182"/>
      <c r="TMK114" s="181"/>
      <c r="TML114" s="182"/>
      <c r="TMM114" s="181"/>
      <c r="TMN114" s="182"/>
      <c r="TMO114" s="181"/>
      <c r="TMP114" s="182"/>
      <c r="TMQ114" s="181"/>
      <c r="TMR114" s="182"/>
      <c r="TMS114" s="181"/>
      <c r="TMT114" s="182"/>
      <c r="TMU114" s="181"/>
      <c r="TMV114" s="182"/>
      <c r="TMW114" s="181"/>
      <c r="TMX114" s="182"/>
      <c r="TMY114" s="181"/>
      <c r="TMZ114" s="182"/>
      <c r="TNA114" s="181"/>
      <c r="TNB114" s="182"/>
      <c r="TNC114" s="181"/>
      <c r="TND114" s="182"/>
      <c r="TNE114" s="181"/>
      <c r="TNF114" s="182"/>
      <c r="TNG114" s="181"/>
      <c r="TNH114" s="182"/>
      <c r="TNI114" s="181"/>
      <c r="TNJ114" s="182"/>
      <c r="TNK114" s="181"/>
      <c r="TNL114" s="182"/>
      <c r="TNM114" s="181"/>
      <c r="TNN114" s="182"/>
      <c r="TNO114" s="181"/>
      <c r="TNP114" s="182"/>
      <c r="TNQ114" s="181"/>
      <c r="TNR114" s="182"/>
      <c r="TNS114" s="181"/>
      <c r="TNT114" s="182"/>
      <c r="TNU114" s="181"/>
      <c r="TNV114" s="182"/>
      <c r="TNW114" s="181"/>
      <c r="TNX114" s="182"/>
      <c r="TNY114" s="181"/>
      <c r="TNZ114" s="182"/>
      <c r="TOA114" s="181"/>
      <c r="TOB114" s="182"/>
      <c r="TOC114" s="181"/>
      <c r="TOD114" s="182"/>
      <c r="TOE114" s="181"/>
      <c r="TOF114" s="182"/>
      <c r="TOG114" s="181"/>
      <c r="TOH114" s="182"/>
      <c r="TOI114" s="181"/>
      <c r="TOJ114" s="182"/>
      <c r="TOK114" s="181"/>
      <c r="TOL114" s="182"/>
      <c r="TOM114" s="181"/>
      <c r="TON114" s="182"/>
      <c r="TOO114" s="181"/>
      <c r="TOP114" s="182"/>
      <c r="TOQ114" s="181"/>
      <c r="TOR114" s="182"/>
      <c r="TOS114" s="181"/>
      <c r="TOT114" s="182"/>
      <c r="TOU114" s="181"/>
      <c r="TOV114" s="182"/>
      <c r="TOW114" s="181"/>
      <c r="TOX114" s="182"/>
      <c r="TOY114" s="181"/>
      <c r="TOZ114" s="182"/>
      <c r="TPA114" s="181"/>
      <c r="TPB114" s="182"/>
      <c r="TPC114" s="181"/>
      <c r="TPD114" s="182"/>
      <c r="TPE114" s="181"/>
      <c r="TPF114" s="182"/>
      <c r="TPG114" s="181"/>
      <c r="TPH114" s="182"/>
      <c r="TPI114" s="181"/>
      <c r="TPJ114" s="182"/>
      <c r="TPK114" s="181"/>
      <c r="TPL114" s="182"/>
      <c r="TPM114" s="181"/>
      <c r="TPN114" s="182"/>
      <c r="TPO114" s="181"/>
      <c r="TPP114" s="182"/>
      <c r="TPQ114" s="181"/>
      <c r="TPR114" s="182"/>
      <c r="TPS114" s="181"/>
      <c r="TPT114" s="182"/>
      <c r="TPU114" s="181"/>
      <c r="TPV114" s="182"/>
      <c r="TPW114" s="181"/>
      <c r="TPX114" s="182"/>
      <c r="TPY114" s="181"/>
      <c r="TPZ114" s="182"/>
      <c r="TQA114" s="181"/>
      <c r="TQB114" s="182"/>
      <c r="TQC114" s="181"/>
      <c r="TQD114" s="182"/>
      <c r="TQE114" s="181"/>
      <c r="TQF114" s="182"/>
      <c r="TQG114" s="181"/>
      <c r="TQH114" s="182"/>
      <c r="TQI114" s="181"/>
      <c r="TQJ114" s="182"/>
      <c r="TQK114" s="181"/>
      <c r="TQL114" s="182"/>
      <c r="TQM114" s="181"/>
      <c r="TQN114" s="182"/>
      <c r="TQO114" s="181"/>
      <c r="TQP114" s="182"/>
      <c r="TQQ114" s="181"/>
      <c r="TQR114" s="182"/>
      <c r="TQS114" s="181"/>
      <c r="TQT114" s="182"/>
      <c r="TQU114" s="181"/>
      <c r="TQV114" s="182"/>
      <c r="TQW114" s="181"/>
      <c r="TQX114" s="182"/>
      <c r="TQY114" s="181"/>
      <c r="TQZ114" s="182"/>
      <c r="TRA114" s="181"/>
      <c r="TRB114" s="182"/>
      <c r="TRC114" s="181"/>
      <c r="TRD114" s="182"/>
      <c r="TRE114" s="181"/>
      <c r="TRF114" s="182"/>
      <c r="TRG114" s="181"/>
      <c r="TRH114" s="182"/>
      <c r="TRI114" s="181"/>
      <c r="TRJ114" s="182"/>
      <c r="TRK114" s="181"/>
      <c r="TRL114" s="182"/>
      <c r="TRM114" s="181"/>
      <c r="TRN114" s="182"/>
      <c r="TRO114" s="181"/>
      <c r="TRP114" s="182"/>
      <c r="TRQ114" s="181"/>
      <c r="TRR114" s="182"/>
      <c r="TRS114" s="181"/>
      <c r="TRT114" s="182"/>
      <c r="TRU114" s="181"/>
      <c r="TRV114" s="182"/>
      <c r="TRW114" s="181"/>
      <c r="TRX114" s="182"/>
      <c r="TRY114" s="181"/>
      <c r="TRZ114" s="182"/>
      <c r="TSA114" s="181"/>
      <c r="TSB114" s="182"/>
      <c r="TSC114" s="181"/>
      <c r="TSD114" s="182"/>
      <c r="TSE114" s="181"/>
      <c r="TSF114" s="182"/>
      <c r="TSG114" s="181"/>
      <c r="TSH114" s="182"/>
      <c r="TSI114" s="181"/>
      <c r="TSJ114" s="182"/>
      <c r="TSK114" s="181"/>
      <c r="TSL114" s="182"/>
      <c r="TSM114" s="181"/>
      <c r="TSN114" s="182"/>
      <c r="TSO114" s="181"/>
      <c r="TSP114" s="182"/>
      <c r="TSQ114" s="181"/>
      <c r="TSR114" s="182"/>
      <c r="TSS114" s="181"/>
      <c r="TST114" s="182"/>
      <c r="TSU114" s="181"/>
      <c r="TSV114" s="182"/>
      <c r="TSW114" s="181"/>
      <c r="TSX114" s="182"/>
      <c r="TSY114" s="181"/>
      <c r="TSZ114" s="182"/>
      <c r="TTA114" s="181"/>
      <c r="TTB114" s="182"/>
      <c r="TTC114" s="181"/>
      <c r="TTD114" s="182"/>
      <c r="TTE114" s="181"/>
      <c r="TTF114" s="182"/>
      <c r="TTG114" s="181"/>
      <c r="TTH114" s="182"/>
      <c r="TTI114" s="181"/>
      <c r="TTJ114" s="182"/>
      <c r="TTK114" s="181"/>
      <c r="TTL114" s="182"/>
      <c r="TTM114" s="181"/>
      <c r="TTN114" s="182"/>
      <c r="TTO114" s="181"/>
      <c r="TTP114" s="182"/>
      <c r="TTQ114" s="181"/>
      <c r="TTR114" s="182"/>
      <c r="TTS114" s="181"/>
      <c r="TTT114" s="182"/>
      <c r="TTU114" s="181"/>
      <c r="TTV114" s="182"/>
      <c r="TTW114" s="181"/>
      <c r="TTX114" s="182"/>
      <c r="TTY114" s="181"/>
      <c r="TTZ114" s="182"/>
      <c r="TUA114" s="181"/>
      <c r="TUB114" s="182"/>
      <c r="TUC114" s="181"/>
      <c r="TUD114" s="182"/>
      <c r="TUE114" s="181"/>
      <c r="TUF114" s="182"/>
      <c r="TUG114" s="181"/>
      <c r="TUH114" s="182"/>
      <c r="TUI114" s="181"/>
      <c r="TUJ114" s="182"/>
      <c r="TUK114" s="181"/>
      <c r="TUL114" s="182"/>
      <c r="TUM114" s="181"/>
      <c r="TUN114" s="182"/>
      <c r="TUO114" s="181"/>
      <c r="TUP114" s="182"/>
      <c r="TUQ114" s="181"/>
      <c r="TUR114" s="182"/>
      <c r="TUS114" s="181"/>
      <c r="TUT114" s="182"/>
      <c r="TUU114" s="181"/>
      <c r="TUV114" s="182"/>
      <c r="TUW114" s="181"/>
      <c r="TUX114" s="182"/>
      <c r="TUY114" s="181"/>
      <c r="TUZ114" s="182"/>
      <c r="TVA114" s="181"/>
      <c r="TVB114" s="182"/>
      <c r="TVC114" s="181"/>
      <c r="TVD114" s="182"/>
      <c r="TVE114" s="181"/>
      <c r="TVF114" s="182"/>
      <c r="TVG114" s="181"/>
      <c r="TVH114" s="182"/>
      <c r="TVI114" s="181"/>
      <c r="TVJ114" s="182"/>
      <c r="TVK114" s="181"/>
      <c r="TVL114" s="182"/>
      <c r="TVM114" s="181"/>
      <c r="TVN114" s="182"/>
      <c r="TVO114" s="181"/>
      <c r="TVP114" s="182"/>
      <c r="TVQ114" s="181"/>
      <c r="TVR114" s="182"/>
      <c r="TVS114" s="181"/>
      <c r="TVT114" s="182"/>
      <c r="TVU114" s="181"/>
      <c r="TVV114" s="182"/>
      <c r="TVW114" s="181"/>
      <c r="TVX114" s="182"/>
      <c r="TVY114" s="181"/>
      <c r="TVZ114" s="182"/>
      <c r="TWA114" s="181"/>
      <c r="TWB114" s="182"/>
      <c r="TWC114" s="181"/>
      <c r="TWD114" s="182"/>
      <c r="TWE114" s="181"/>
      <c r="TWF114" s="182"/>
      <c r="TWG114" s="181"/>
      <c r="TWH114" s="182"/>
      <c r="TWI114" s="181"/>
      <c r="TWJ114" s="182"/>
      <c r="TWK114" s="181"/>
      <c r="TWL114" s="182"/>
      <c r="TWM114" s="181"/>
      <c r="TWN114" s="182"/>
      <c r="TWO114" s="181"/>
      <c r="TWP114" s="182"/>
      <c r="TWQ114" s="181"/>
      <c r="TWR114" s="182"/>
      <c r="TWS114" s="181"/>
      <c r="TWT114" s="182"/>
      <c r="TWU114" s="181"/>
      <c r="TWV114" s="182"/>
      <c r="TWW114" s="181"/>
      <c r="TWX114" s="182"/>
      <c r="TWY114" s="181"/>
      <c r="TWZ114" s="182"/>
      <c r="TXA114" s="181"/>
      <c r="TXB114" s="182"/>
      <c r="TXC114" s="181"/>
      <c r="TXD114" s="182"/>
      <c r="TXE114" s="181"/>
      <c r="TXF114" s="182"/>
      <c r="TXG114" s="181"/>
      <c r="TXH114" s="182"/>
      <c r="TXI114" s="181"/>
      <c r="TXJ114" s="182"/>
      <c r="TXK114" s="181"/>
      <c r="TXL114" s="182"/>
      <c r="TXM114" s="181"/>
      <c r="TXN114" s="182"/>
      <c r="TXO114" s="181"/>
      <c r="TXP114" s="182"/>
      <c r="TXQ114" s="181"/>
      <c r="TXR114" s="182"/>
      <c r="TXS114" s="181"/>
      <c r="TXT114" s="182"/>
      <c r="TXU114" s="181"/>
      <c r="TXV114" s="182"/>
      <c r="TXW114" s="181"/>
      <c r="TXX114" s="182"/>
      <c r="TXY114" s="181"/>
      <c r="TXZ114" s="182"/>
      <c r="TYA114" s="181"/>
      <c r="TYB114" s="182"/>
      <c r="TYC114" s="181"/>
      <c r="TYD114" s="182"/>
      <c r="TYE114" s="181"/>
      <c r="TYF114" s="182"/>
      <c r="TYG114" s="181"/>
      <c r="TYH114" s="182"/>
      <c r="TYI114" s="181"/>
      <c r="TYJ114" s="182"/>
      <c r="TYK114" s="181"/>
      <c r="TYL114" s="182"/>
      <c r="TYM114" s="181"/>
      <c r="TYN114" s="182"/>
      <c r="TYO114" s="181"/>
      <c r="TYP114" s="182"/>
      <c r="TYQ114" s="181"/>
      <c r="TYR114" s="182"/>
      <c r="TYS114" s="181"/>
      <c r="TYT114" s="182"/>
      <c r="TYU114" s="181"/>
      <c r="TYV114" s="182"/>
      <c r="TYW114" s="181"/>
      <c r="TYX114" s="182"/>
      <c r="TYY114" s="181"/>
      <c r="TYZ114" s="182"/>
      <c r="TZA114" s="181"/>
      <c r="TZB114" s="182"/>
      <c r="TZC114" s="181"/>
      <c r="TZD114" s="182"/>
      <c r="TZE114" s="181"/>
      <c r="TZF114" s="182"/>
      <c r="TZG114" s="181"/>
      <c r="TZH114" s="182"/>
      <c r="TZI114" s="181"/>
      <c r="TZJ114" s="182"/>
      <c r="TZK114" s="181"/>
      <c r="TZL114" s="182"/>
      <c r="TZM114" s="181"/>
      <c r="TZN114" s="182"/>
      <c r="TZO114" s="181"/>
      <c r="TZP114" s="182"/>
      <c r="TZQ114" s="181"/>
      <c r="TZR114" s="182"/>
      <c r="TZS114" s="181"/>
      <c r="TZT114" s="182"/>
      <c r="TZU114" s="181"/>
      <c r="TZV114" s="182"/>
      <c r="TZW114" s="181"/>
      <c r="TZX114" s="182"/>
      <c r="TZY114" s="181"/>
      <c r="TZZ114" s="182"/>
      <c r="UAA114" s="181"/>
      <c r="UAB114" s="182"/>
      <c r="UAC114" s="181"/>
      <c r="UAD114" s="182"/>
      <c r="UAE114" s="181"/>
      <c r="UAF114" s="182"/>
      <c r="UAG114" s="181"/>
      <c r="UAH114" s="182"/>
      <c r="UAI114" s="181"/>
      <c r="UAJ114" s="182"/>
      <c r="UAK114" s="181"/>
      <c r="UAL114" s="182"/>
      <c r="UAM114" s="181"/>
      <c r="UAN114" s="182"/>
      <c r="UAO114" s="181"/>
      <c r="UAP114" s="182"/>
      <c r="UAQ114" s="181"/>
      <c r="UAR114" s="182"/>
      <c r="UAS114" s="181"/>
      <c r="UAT114" s="182"/>
      <c r="UAU114" s="181"/>
      <c r="UAV114" s="182"/>
      <c r="UAW114" s="181"/>
      <c r="UAX114" s="182"/>
      <c r="UAY114" s="181"/>
      <c r="UAZ114" s="182"/>
      <c r="UBA114" s="181"/>
      <c r="UBB114" s="182"/>
      <c r="UBC114" s="181"/>
      <c r="UBD114" s="182"/>
      <c r="UBE114" s="181"/>
      <c r="UBF114" s="182"/>
      <c r="UBG114" s="181"/>
      <c r="UBH114" s="182"/>
      <c r="UBI114" s="181"/>
      <c r="UBJ114" s="182"/>
      <c r="UBK114" s="181"/>
      <c r="UBL114" s="182"/>
      <c r="UBM114" s="181"/>
      <c r="UBN114" s="182"/>
      <c r="UBO114" s="181"/>
      <c r="UBP114" s="182"/>
      <c r="UBQ114" s="181"/>
      <c r="UBR114" s="182"/>
      <c r="UBS114" s="181"/>
      <c r="UBT114" s="182"/>
      <c r="UBU114" s="181"/>
      <c r="UBV114" s="182"/>
      <c r="UBW114" s="181"/>
      <c r="UBX114" s="182"/>
      <c r="UBY114" s="181"/>
      <c r="UBZ114" s="182"/>
      <c r="UCA114" s="181"/>
      <c r="UCB114" s="182"/>
      <c r="UCC114" s="181"/>
      <c r="UCD114" s="182"/>
      <c r="UCE114" s="181"/>
      <c r="UCF114" s="182"/>
      <c r="UCG114" s="181"/>
      <c r="UCH114" s="182"/>
      <c r="UCI114" s="181"/>
      <c r="UCJ114" s="182"/>
      <c r="UCK114" s="181"/>
      <c r="UCL114" s="182"/>
      <c r="UCM114" s="181"/>
      <c r="UCN114" s="182"/>
      <c r="UCO114" s="181"/>
      <c r="UCP114" s="182"/>
      <c r="UCQ114" s="181"/>
      <c r="UCR114" s="182"/>
      <c r="UCS114" s="181"/>
      <c r="UCT114" s="182"/>
      <c r="UCU114" s="181"/>
      <c r="UCV114" s="182"/>
      <c r="UCW114" s="181"/>
      <c r="UCX114" s="182"/>
      <c r="UCY114" s="181"/>
      <c r="UCZ114" s="182"/>
      <c r="UDA114" s="181"/>
      <c r="UDB114" s="182"/>
      <c r="UDC114" s="181"/>
      <c r="UDD114" s="182"/>
      <c r="UDE114" s="181"/>
      <c r="UDF114" s="182"/>
      <c r="UDG114" s="181"/>
      <c r="UDH114" s="182"/>
      <c r="UDI114" s="181"/>
      <c r="UDJ114" s="182"/>
      <c r="UDK114" s="181"/>
      <c r="UDL114" s="182"/>
      <c r="UDM114" s="181"/>
      <c r="UDN114" s="182"/>
      <c r="UDO114" s="181"/>
      <c r="UDP114" s="182"/>
      <c r="UDQ114" s="181"/>
      <c r="UDR114" s="182"/>
      <c r="UDS114" s="181"/>
      <c r="UDT114" s="182"/>
      <c r="UDU114" s="181"/>
      <c r="UDV114" s="182"/>
      <c r="UDW114" s="181"/>
      <c r="UDX114" s="182"/>
      <c r="UDY114" s="181"/>
      <c r="UDZ114" s="182"/>
      <c r="UEA114" s="181"/>
      <c r="UEB114" s="182"/>
      <c r="UEC114" s="181"/>
      <c r="UED114" s="182"/>
      <c r="UEE114" s="181"/>
      <c r="UEF114" s="182"/>
      <c r="UEG114" s="181"/>
      <c r="UEH114" s="182"/>
      <c r="UEI114" s="181"/>
      <c r="UEJ114" s="182"/>
      <c r="UEK114" s="181"/>
      <c r="UEL114" s="182"/>
      <c r="UEM114" s="181"/>
      <c r="UEN114" s="182"/>
      <c r="UEO114" s="181"/>
      <c r="UEP114" s="182"/>
      <c r="UEQ114" s="181"/>
      <c r="UER114" s="182"/>
      <c r="UES114" s="181"/>
      <c r="UET114" s="182"/>
      <c r="UEU114" s="181"/>
      <c r="UEV114" s="182"/>
      <c r="UEW114" s="181"/>
      <c r="UEX114" s="182"/>
      <c r="UEY114" s="181"/>
      <c r="UEZ114" s="182"/>
      <c r="UFA114" s="181"/>
      <c r="UFB114" s="182"/>
      <c r="UFC114" s="181"/>
      <c r="UFD114" s="182"/>
      <c r="UFE114" s="181"/>
      <c r="UFF114" s="182"/>
      <c r="UFG114" s="181"/>
      <c r="UFH114" s="182"/>
      <c r="UFI114" s="181"/>
      <c r="UFJ114" s="182"/>
      <c r="UFK114" s="181"/>
      <c r="UFL114" s="182"/>
      <c r="UFM114" s="181"/>
      <c r="UFN114" s="182"/>
      <c r="UFO114" s="181"/>
      <c r="UFP114" s="182"/>
      <c r="UFQ114" s="181"/>
      <c r="UFR114" s="182"/>
      <c r="UFS114" s="181"/>
      <c r="UFT114" s="182"/>
      <c r="UFU114" s="181"/>
      <c r="UFV114" s="182"/>
      <c r="UFW114" s="181"/>
      <c r="UFX114" s="182"/>
      <c r="UFY114" s="181"/>
      <c r="UFZ114" s="182"/>
      <c r="UGA114" s="181"/>
      <c r="UGB114" s="182"/>
      <c r="UGC114" s="181"/>
      <c r="UGD114" s="182"/>
      <c r="UGE114" s="181"/>
      <c r="UGF114" s="182"/>
      <c r="UGG114" s="181"/>
      <c r="UGH114" s="182"/>
      <c r="UGI114" s="181"/>
      <c r="UGJ114" s="182"/>
      <c r="UGK114" s="181"/>
      <c r="UGL114" s="182"/>
      <c r="UGM114" s="181"/>
      <c r="UGN114" s="182"/>
      <c r="UGO114" s="181"/>
      <c r="UGP114" s="182"/>
      <c r="UGQ114" s="181"/>
      <c r="UGR114" s="182"/>
      <c r="UGS114" s="181"/>
      <c r="UGT114" s="182"/>
      <c r="UGU114" s="181"/>
      <c r="UGV114" s="182"/>
      <c r="UGW114" s="181"/>
      <c r="UGX114" s="182"/>
      <c r="UGY114" s="181"/>
      <c r="UGZ114" s="182"/>
      <c r="UHA114" s="181"/>
      <c r="UHB114" s="182"/>
      <c r="UHC114" s="181"/>
      <c r="UHD114" s="182"/>
      <c r="UHE114" s="181"/>
      <c r="UHF114" s="182"/>
      <c r="UHG114" s="181"/>
      <c r="UHH114" s="182"/>
      <c r="UHI114" s="181"/>
      <c r="UHJ114" s="182"/>
      <c r="UHK114" s="181"/>
      <c r="UHL114" s="182"/>
      <c r="UHM114" s="181"/>
      <c r="UHN114" s="182"/>
      <c r="UHO114" s="181"/>
      <c r="UHP114" s="182"/>
      <c r="UHQ114" s="181"/>
      <c r="UHR114" s="182"/>
      <c r="UHS114" s="181"/>
      <c r="UHT114" s="182"/>
      <c r="UHU114" s="181"/>
      <c r="UHV114" s="182"/>
      <c r="UHW114" s="181"/>
      <c r="UHX114" s="182"/>
      <c r="UHY114" s="181"/>
      <c r="UHZ114" s="182"/>
      <c r="UIA114" s="181"/>
      <c r="UIB114" s="182"/>
      <c r="UIC114" s="181"/>
      <c r="UID114" s="182"/>
      <c r="UIE114" s="181"/>
      <c r="UIF114" s="182"/>
      <c r="UIG114" s="181"/>
      <c r="UIH114" s="182"/>
      <c r="UII114" s="181"/>
      <c r="UIJ114" s="182"/>
      <c r="UIK114" s="181"/>
      <c r="UIL114" s="182"/>
      <c r="UIM114" s="181"/>
      <c r="UIN114" s="182"/>
      <c r="UIO114" s="181"/>
      <c r="UIP114" s="182"/>
      <c r="UIQ114" s="181"/>
      <c r="UIR114" s="182"/>
      <c r="UIS114" s="181"/>
      <c r="UIT114" s="182"/>
      <c r="UIU114" s="181"/>
      <c r="UIV114" s="182"/>
      <c r="UIW114" s="181"/>
      <c r="UIX114" s="182"/>
      <c r="UIY114" s="181"/>
      <c r="UIZ114" s="182"/>
      <c r="UJA114" s="181"/>
      <c r="UJB114" s="182"/>
      <c r="UJC114" s="181"/>
      <c r="UJD114" s="182"/>
      <c r="UJE114" s="181"/>
      <c r="UJF114" s="182"/>
      <c r="UJG114" s="181"/>
      <c r="UJH114" s="182"/>
      <c r="UJI114" s="181"/>
      <c r="UJJ114" s="182"/>
      <c r="UJK114" s="181"/>
      <c r="UJL114" s="182"/>
      <c r="UJM114" s="181"/>
      <c r="UJN114" s="182"/>
      <c r="UJO114" s="181"/>
      <c r="UJP114" s="182"/>
      <c r="UJQ114" s="181"/>
      <c r="UJR114" s="182"/>
      <c r="UJS114" s="181"/>
      <c r="UJT114" s="182"/>
      <c r="UJU114" s="181"/>
      <c r="UJV114" s="182"/>
      <c r="UJW114" s="181"/>
      <c r="UJX114" s="182"/>
      <c r="UJY114" s="181"/>
      <c r="UJZ114" s="182"/>
      <c r="UKA114" s="181"/>
      <c r="UKB114" s="182"/>
      <c r="UKC114" s="181"/>
      <c r="UKD114" s="182"/>
      <c r="UKE114" s="181"/>
      <c r="UKF114" s="182"/>
      <c r="UKG114" s="181"/>
      <c r="UKH114" s="182"/>
      <c r="UKI114" s="181"/>
      <c r="UKJ114" s="182"/>
      <c r="UKK114" s="181"/>
      <c r="UKL114" s="182"/>
      <c r="UKM114" s="181"/>
      <c r="UKN114" s="182"/>
      <c r="UKO114" s="181"/>
      <c r="UKP114" s="182"/>
      <c r="UKQ114" s="181"/>
      <c r="UKR114" s="182"/>
      <c r="UKS114" s="181"/>
      <c r="UKT114" s="182"/>
      <c r="UKU114" s="181"/>
      <c r="UKV114" s="182"/>
      <c r="UKW114" s="181"/>
      <c r="UKX114" s="182"/>
      <c r="UKY114" s="181"/>
      <c r="UKZ114" s="182"/>
      <c r="ULA114" s="181"/>
      <c r="ULB114" s="182"/>
      <c r="ULC114" s="181"/>
      <c r="ULD114" s="182"/>
      <c r="ULE114" s="181"/>
      <c r="ULF114" s="182"/>
      <c r="ULG114" s="181"/>
      <c r="ULH114" s="182"/>
      <c r="ULI114" s="181"/>
      <c r="ULJ114" s="182"/>
      <c r="ULK114" s="181"/>
      <c r="ULL114" s="182"/>
      <c r="ULM114" s="181"/>
      <c r="ULN114" s="182"/>
      <c r="ULO114" s="181"/>
      <c r="ULP114" s="182"/>
      <c r="ULQ114" s="181"/>
      <c r="ULR114" s="182"/>
      <c r="ULS114" s="181"/>
      <c r="ULT114" s="182"/>
      <c r="ULU114" s="181"/>
      <c r="ULV114" s="182"/>
      <c r="ULW114" s="181"/>
      <c r="ULX114" s="182"/>
      <c r="ULY114" s="181"/>
      <c r="ULZ114" s="182"/>
      <c r="UMA114" s="181"/>
      <c r="UMB114" s="182"/>
      <c r="UMC114" s="181"/>
      <c r="UMD114" s="182"/>
      <c r="UME114" s="181"/>
      <c r="UMF114" s="182"/>
      <c r="UMG114" s="181"/>
      <c r="UMH114" s="182"/>
      <c r="UMI114" s="181"/>
      <c r="UMJ114" s="182"/>
      <c r="UMK114" s="181"/>
      <c r="UML114" s="182"/>
      <c r="UMM114" s="181"/>
      <c r="UMN114" s="182"/>
      <c r="UMO114" s="181"/>
      <c r="UMP114" s="182"/>
      <c r="UMQ114" s="181"/>
      <c r="UMR114" s="182"/>
      <c r="UMS114" s="181"/>
      <c r="UMT114" s="182"/>
      <c r="UMU114" s="181"/>
      <c r="UMV114" s="182"/>
      <c r="UMW114" s="181"/>
      <c r="UMX114" s="182"/>
      <c r="UMY114" s="181"/>
      <c r="UMZ114" s="182"/>
      <c r="UNA114" s="181"/>
      <c r="UNB114" s="182"/>
      <c r="UNC114" s="181"/>
      <c r="UND114" s="182"/>
      <c r="UNE114" s="181"/>
      <c r="UNF114" s="182"/>
      <c r="UNG114" s="181"/>
      <c r="UNH114" s="182"/>
      <c r="UNI114" s="181"/>
      <c r="UNJ114" s="182"/>
      <c r="UNK114" s="181"/>
      <c r="UNL114" s="182"/>
      <c r="UNM114" s="181"/>
      <c r="UNN114" s="182"/>
      <c r="UNO114" s="181"/>
      <c r="UNP114" s="182"/>
      <c r="UNQ114" s="181"/>
      <c r="UNR114" s="182"/>
      <c r="UNS114" s="181"/>
      <c r="UNT114" s="182"/>
      <c r="UNU114" s="181"/>
      <c r="UNV114" s="182"/>
      <c r="UNW114" s="181"/>
      <c r="UNX114" s="182"/>
      <c r="UNY114" s="181"/>
      <c r="UNZ114" s="182"/>
      <c r="UOA114" s="181"/>
      <c r="UOB114" s="182"/>
      <c r="UOC114" s="181"/>
      <c r="UOD114" s="182"/>
      <c r="UOE114" s="181"/>
      <c r="UOF114" s="182"/>
      <c r="UOG114" s="181"/>
      <c r="UOH114" s="182"/>
      <c r="UOI114" s="181"/>
      <c r="UOJ114" s="182"/>
      <c r="UOK114" s="181"/>
      <c r="UOL114" s="182"/>
      <c r="UOM114" s="181"/>
      <c r="UON114" s="182"/>
      <c r="UOO114" s="181"/>
      <c r="UOP114" s="182"/>
      <c r="UOQ114" s="181"/>
      <c r="UOR114" s="182"/>
      <c r="UOS114" s="181"/>
      <c r="UOT114" s="182"/>
      <c r="UOU114" s="181"/>
      <c r="UOV114" s="182"/>
      <c r="UOW114" s="181"/>
      <c r="UOX114" s="182"/>
      <c r="UOY114" s="181"/>
      <c r="UOZ114" s="182"/>
      <c r="UPA114" s="181"/>
      <c r="UPB114" s="182"/>
      <c r="UPC114" s="181"/>
      <c r="UPD114" s="182"/>
      <c r="UPE114" s="181"/>
      <c r="UPF114" s="182"/>
      <c r="UPG114" s="181"/>
      <c r="UPH114" s="182"/>
      <c r="UPI114" s="181"/>
      <c r="UPJ114" s="182"/>
      <c r="UPK114" s="181"/>
      <c r="UPL114" s="182"/>
      <c r="UPM114" s="181"/>
      <c r="UPN114" s="182"/>
      <c r="UPO114" s="181"/>
      <c r="UPP114" s="182"/>
      <c r="UPQ114" s="181"/>
      <c r="UPR114" s="182"/>
      <c r="UPS114" s="181"/>
      <c r="UPT114" s="182"/>
      <c r="UPU114" s="181"/>
      <c r="UPV114" s="182"/>
      <c r="UPW114" s="181"/>
      <c r="UPX114" s="182"/>
      <c r="UPY114" s="181"/>
      <c r="UPZ114" s="182"/>
      <c r="UQA114" s="181"/>
      <c r="UQB114" s="182"/>
      <c r="UQC114" s="181"/>
      <c r="UQD114" s="182"/>
      <c r="UQE114" s="181"/>
      <c r="UQF114" s="182"/>
      <c r="UQG114" s="181"/>
      <c r="UQH114" s="182"/>
      <c r="UQI114" s="181"/>
      <c r="UQJ114" s="182"/>
      <c r="UQK114" s="181"/>
      <c r="UQL114" s="182"/>
      <c r="UQM114" s="181"/>
      <c r="UQN114" s="182"/>
      <c r="UQO114" s="181"/>
      <c r="UQP114" s="182"/>
      <c r="UQQ114" s="181"/>
      <c r="UQR114" s="182"/>
      <c r="UQS114" s="181"/>
      <c r="UQT114" s="182"/>
      <c r="UQU114" s="181"/>
      <c r="UQV114" s="182"/>
      <c r="UQW114" s="181"/>
      <c r="UQX114" s="182"/>
      <c r="UQY114" s="181"/>
      <c r="UQZ114" s="182"/>
      <c r="URA114" s="181"/>
      <c r="URB114" s="182"/>
      <c r="URC114" s="181"/>
      <c r="URD114" s="182"/>
      <c r="URE114" s="181"/>
      <c r="URF114" s="182"/>
      <c r="URG114" s="181"/>
      <c r="URH114" s="182"/>
      <c r="URI114" s="181"/>
      <c r="URJ114" s="182"/>
      <c r="URK114" s="181"/>
      <c r="URL114" s="182"/>
      <c r="URM114" s="181"/>
      <c r="URN114" s="182"/>
      <c r="URO114" s="181"/>
      <c r="URP114" s="182"/>
      <c r="URQ114" s="181"/>
      <c r="URR114" s="182"/>
      <c r="URS114" s="181"/>
      <c r="URT114" s="182"/>
      <c r="URU114" s="181"/>
      <c r="URV114" s="182"/>
      <c r="URW114" s="181"/>
      <c r="URX114" s="182"/>
      <c r="URY114" s="181"/>
      <c r="URZ114" s="182"/>
      <c r="USA114" s="181"/>
      <c r="USB114" s="182"/>
      <c r="USC114" s="181"/>
      <c r="USD114" s="182"/>
      <c r="USE114" s="181"/>
      <c r="USF114" s="182"/>
      <c r="USG114" s="181"/>
      <c r="USH114" s="182"/>
      <c r="USI114" s="181"/>
      <c r="USJ114" s="182"/>
      <c r="USK114" s="181"/>
      <c r="USL114" s="182"/>
      <c r="USM114" s="181"/>
      <c r="USN114" s="182"/>
      <c r="USO114" s="181"/>
      <c r="USP114" s="182"/>
      <c r="USQ114" s="181"/>
      <c r="USR114" s="182"/>
      <c r="USS114" s="181"/>
      <c r="UST114" s="182"/>
      <c r="USU114" s="181"/>
      <c r="USV114" s="182"/>
      <c r="USW114" s="181"/>
      <c r="USX114" s="182"/>
      <c r="USY114" s="181"/>
      <c r="USZ114" s="182"/>
      <c r="UTA114" s="181"/>
      <c r="UTB114" s="182"/>
      <c r="UTC114" s="181"/>
      <c r="UTD114" s="182"/>
      <c r="UTE114" s="181"/>
      <c r="UTF114" s="182"/>
      <c r="UTG114" s="181"/>
      <c r="UTH114" s="182"/>
      <c r="UTI114" s="181"/>
      <c r="UTJ114" s="182"/>
      <c r="UTK114" s="181"/>
      <c r="UTL114" s="182"/>
      <c r="UTM114" s="181"/>
      <c r="UTN114" s="182"/>
      <c r="UTO114" s="181"/>
      <c r="UTP114" s="182"/>
      <c r="UTQ114" s="181"/>
      <c r="UTR114" s="182"/>
      <c r="UTS114" s="181"/>
      <c r="UTT114" s="182"/>
      <c r="UTU114" s="181"/>
      <c r="UTV114" s="182"/>
      <c r="UTW114" s="181"/>
      <c r="UTX114" s="182"/>
      <c r="UTY114" s="181"/>
      <c r="UTZ114" s="182"/>
      <c r="UUA114" s="181"/>
      <c r="UUB114" s="182"/>
      <c r="UUC114" s="181"/>
      <c r="UUD114" s="182"/>
      <c r="UUE114" s="181"/>
      <c r="UUF114" s="182"/>
      <c r="UUG114" s="181"/>
      <c r="UUH114" s="182"/>
      <c r="UUI114" s="181"/>
      <c r="UUJ114" s="182"/>
      <c r="UUK114" s="181"/>
      <c r="UUL114" s="182"/>
      <c r="UUM114" s="181"/>
      <c r="UUN114" s="182"/>
      <c r="UUO114" s="181"/>
      <c r="UUP114" s="182"/>
      <c r="UUQ114" s="181"/>
      <c r="UUR114" s="182"/>
      <c r="UUS114" s="181"/>
      <c r="UUT114" s="182"/>
      <c r="UUU114" s="181"/>
      <c r="UUV114" s="182"/>
      <c r="UUW114" s="181"/>
      <c r="UUX114" s="182"/>
      <c r="UUY114" s="181"/>
      <c r="UUZ114" s="182"/>
      <c r="UVA114" s="181"/>
      <c r="UVB114" s="182"/>
      <c r="UVC114" s="181"/>
      <c r="UVD114" s="182"/>
      <c r="UVE114" s="181"/>
      <c r="UVF114" s="182"/>
      <c r="UVG114" s="181"/>
      <c r="UVH114" s="182"/>
      <c r="UVI114" s="181"/>
      <c r="UVJ114" s="182"/>
      <c r="UVK114" s="181"/>
      <c r="UVL114" s="182"/>
      <c r="UVM114" s="181"/>
      <c r="UVN114" s="182"/>
      <c r="UVO114" s="181"/>
      <c r="UVP114" s="182"/>
      <c r="UVQ114" s="181"/>
      <c r="UVR114" s="182"/>
      <c r="UVS114" s="181"/>
      <c r="UVT114" s="182"/>
      <c r="UVU114" s="181"/>
      <c r="UVV114" s="182"/>
      <c r="UVW114" s="181"/>
      <c r="UVX114" s="182"/>
      <c r="UVY114" s="181"/>
      <c r="UVZ114" s="182"/>
      <c r="UWA114" s="181"/>
      <c r="UWB114" s="182"/>
      <c r="UWC114" s="181"/>
      <c r="UWD114" s="182"/>
      <c r="UWE114" s="181"/>
      <c r="UWF114" s="182"/>
      <c r="UWG114" s="181"/>
      <c r="UWH114" s="182"/>
      <c r="UWI114" s="181"/>
      <c r="UWJ114" s="182"/>
      <c r="UWK114" s="181"/>
      <c r="UWL114" s="182"/>
      <c r="UWM114" s="181"/>
      <c r="UWN114" s="182"/>
      <c r="UWO114" s="181"/>
      <c r="UWP114" s="182"/>
      <c r="UWQ114" s="181"/>
      <c r="UWR114" s="182"/>
      <c r="UWS114" s="181"/>
      <c r="UWT114" s="182"/>
      <c r="UWU114" s="181"/>
      <c r="UWV114" s="182"/>
      <c r="UWW114" s="181"/>
      <c r="UWX114" s="182"/>
      <c r="UWY114" s="181"/>
      <c r="UWZ114" s="182"/>
      <c r="UXA114" s="181"/>
      <c r="UXB114" s="182"/>
      <c r="UXC114" s="181"/>
      <c r="UXD114" s="182"/>
      <c r="UXE114" s="181"/>
      <c r="UXF114" s="182"/>
      <c r="UXG114" s="181"/>
      <c r="UXH114" s="182"/>
      <c r="UXI114" s="181"/>
      <c r="UXJ114" s="182"/>
      <c r="UXK114" s="181"/>
      <c r="UXL114" s="182"/>
      <c r="UXM114" s="181"/>
      <c r="UXN114" s="182"/>
      <c r="UXO114" s="181"/>
      <c r="UXP114" s="182"/>
      <c r="UXQ114" s="181"/>
      <c r="UXR114" s="182"/>
      <c r="UXS114" s="181"/>
      <c r="UXT114" s="182"/>
      <c r="UXU114" s="181"/>
      <c r="UXV114" s="182"/>
      <c r="UXW114" s="181"/>
      <c r="UXX114" s="182"/>
      <c r="UXY114" s="181"/>
      <c r="UXZ114" s="182"/>
      <c r="UYA114" s="181"/>
      <c r="UYB114" s="182"/>
      <c r="UYC114" s="181"/>
      <c r="UYD114" s="182"/>
      <c r="UYE114" s="181"/>
      <c r="UYF114" s="182"/>
      <c r="UYG114" s="181"/>
      <c r="UYH114" s="182"/>
      <c r="UYI114" s="181"/>
      <c r="UYJ114" s="182"/>
      <c r="UYK114" s="181"/>
      <c r="UYL114" s="182"/>
      <c r="UYM114" s="181"/>
      <c r="UYN114" s="182"/>
      <c r="UYO114" s="181"/>
      <c r="UYP114" s="182"/>
      <c r="UYQ114" s="181"/>
      <c r="UYR114" s="182"/>
      <c r="UYS114" s="181"/>
      <c r="UYT114" s="182"/>
      <c r="UYU114" s="181"/>
      <c r="UYV114" s="182"/>
      <c r="UYW114" s="181"/>
      <c r="UYX114" s="182"/>
      <c r="UYY114" s="181"/>
      <c r="UYZ114" s="182"/>
      <c r="UZA114" s="181"/>
      <c r="UZB114" s="182"/>
      <c r="UZC114" s="181"/>
      <c r="UZD114" s="182"/>
      <c r="UZE114" s="181"/>
      <c r="UZF114" s="182"/>
      <c r="UZG114" s="181"/>
      <c r="UZH114" s="182"/>
      <c r="UZI114" s="181"/>
      <c r="UZJ114" s="182"/>
      <c r="UZK114" s="181"/>
      <c r="UZL114" s="182"/>
      <c r="UZM114" s="181"/>
      <c r="UZN114" s="182"/>
      <c r="UZO114" s="181"/>
      <c r="UZP114" s="182"/>
      <c r="UZQ114" s="181"/>
      <c r="UZR114" s="182"/>
      <c r="UZS114" s="181"/>
      <c r="UZT114" s="182"/>
      <c r="UZU114" s="181"/>
      <c r="UZV114" s="182"/>
      <c r="UZW114" s="181"/>
      <c r="UZX114" s="182"/>
      <c r="UZY114" s="181"/>
      <c r="UZZ114" s="182"/>
      <c r="VAA114" s="181"/>
      <c r="VAB114" s="182"/>
      <c r="VAC114" s="181"/>
      <c r="VAD114" s="182"/>
      <c r="VAE114" s="181"/>
      <c r="VAF114" s="182"/>
      <c r="VAG114" s="181"/>
      <c r="VAH114" s="182"/>
      <c r="VAI114" s="181"/>
      <c r="VAJ114" s="182"/>
      <c r="VAK114" s="181"/>
      <c r="VAL114" s="182"/>
      <c r="VAM114" s="181"/>
      <c r="VAN114" s="182"/>
      <c r="VAO114" s="181"/>
      <c r="VAP114" s="182"/>
      <c r="VAQ114" s="181"/>
      <c r="VAR114" s="182"/>
      <c r="VAS114" s="181"/>
      <c r="VAT114" s="182"/>
      <c r="VAU114" s="181"/>
      <c r="VAV114" s="182"/>
      <c r="VAW114" s="181"/>
      <c r="VAX114" s="182"/>
      <c r="VAY114" s="181"/>
      <c r="VAZ114" s="182"/>
      <c r="VBA114" s="181"/>
      <c r="VBB114" s="182"/>
      <c r="VBC114" s="181"/>
      <c r="VBD114" s="182"/>
      <c r="VBE114" s="181"/>
      <c r="VBF114" s="182"/>
      <c r="VBG114" s="181"/>
      <c r="VBH114" s="182"/>
      <c r="VBI114" s="181"/>
      <c r="VBJ114" s="182"/>
      <c r="VBK114" s="181"/>
      <c r="VBL114" s="182"/>
      <c r="VBM114" s="181"/>
      <c r="VBN114" s="182"/>
      <c r="VBO114" s="181"/>
      <c r="VBP114" s="182"/>
      <c r="VBQ114" s="181"/>
      <c r="VBR114" s="182"/>
      <c r="VBS114" s="181"/>
      <c r="VBT114" s="182"/>
      <c r="VBU114" s="181"/>
      <c r="VBV114" s="182"/>
      <c r="VBW114" s="181"/>
      <c r="VBX114" s="182"/>
      <c r="VBY114" s="181"/>
      <c r="VBZ114" s="182"/>
      <c r="VCA114" s="181"/>
      <c r="VCB114" s="182"/>
      <c r="VCC114" s="181"/>
      <c r="VCD114" s="182"/>
      <c r="VCE114" s="181"/>
      <c r="VCF114" s="182"/>
      <c r="VCG114" s="181"/>
      <c r="VCH114" s="182"/>
      <c r="VCI114" s="181"/>
      <c r="VCJ114" s="182"/>
      <c r="VCK114" s="181"/>
      <c r="VCL114" s="182"/>
      <c r="VCM114" s="181"/>
      <c r="VCN114" s="182"/>
      <c r="VCO114" s="181"/>
      <c r="VCP114" s="182"/>
      <c r="VCQ114" s="181"/>
      <c r="VCR114" s="182"/>
      <c r="VCS114" s="181"/>
      <c r="VCT114" s="182"/>
      <c r="VCU114" s="181"/>
      <c r="VCV114" s="182"/>
      <c r="VCW114" s="181"/>
      <c r="VCX114" s="182"/>
      <c r="VCY114" s="181"/>
      <c r="VCZ114" s="182"/>
      <c r="VDA114" s="181"/>
      <c r="VDB114" s="182"/>
      <c r="VDC114" s="181"/>
      <c r="VDD114" s="182"/>
      <c r="VDE114" s="181"/>
      <c r="VDF114" s="182"/>
      <c r="VDG114" s="181"/>
      <c r="VDH114" s="182"/>
      <c r="VDI114" s="181"/>
      <c r="VDJ114" s="182"/>
      <c r="VDK114" s="181"/>
      <c r="VDL114" s="182"/>
      <c r="VDM114" s="181"/>
      <c r="VDN114" s="182"/>
      <c r="VDO114" s="181"/>
      <c r="VDP114" s="182"/>
      <c r="VDQ114" s="181"/>
      <c r="VDR114" s="182"/>
      <c r="VDS114" s="181"/>
      <c r="VDT114" s="182"/>
      <c r="VDU114" s="181"/>
      <c r="VDV114" s="182"/>
      <c r="VDW114" s="181"/>
      <c r="VDX114" s="182"/>
      <c r="VDY114" s="181"/>
      <c r="VDZ114" s="182"/>
      <c r="VEA114" s="181"/>
      <c r="VEB114" s="182"/>
      <c r="VEC114" s="181"/>
      <c r="VED114" s="182"/>
      <c r="VEE114" s="181"/>
      <c r="VEF114" s="182"/>
      <c r="VEG114" s="181"/>
      <c r="VEH114" s="182"/>
      <c r="VEI114" s="181"/>
      <c r="VEJ114" s="182"/>
      <c r="VEK114" s="181"/>
      <c r="VEL114" s="182"/>
      <c r="VEM114" s="181"/>
      <c r="VEN114" s="182"/>
      <c r="VEO114" s="181"/>
      <c r="VEP114" s="182"/>
      <c r="VEQ114" s="181"/>
      <c r="VER114" s="182"/>
      <c r="VES114" s="181"/>
      <c r="VET114" s="182"/>
      <c r="VEU114" s="181"/>
      <c r="VEV114" s="182"/>
      <c r="VEW114" s="181"/>
      <c r="VEX114" s="182"/>
      <c r="VEY114" s="181"/>
      <c r="VEZ114" s="182"/>
      <c r="VFA114" s="181"/>
      <c r="VFB114" s="182"/>
      <c r="VFC114" s="181"/>
      <c r="VFD114" s="182"/>
      <c r="VFE114" s="181"/>
      <c r="VFF114" s="182"/>
      <c r="VFG114" s="181"/>
      <c r="VFH114" s="182"/>
      <c r="VFI114" s="181"/>
      <c r="VFJ114" s="182"/>
      <c r="VFK114" s="181"/>
      <c r="VFL114" s="182"/>
      <c r="VFM114" s="181"/>
      <c r="VFN114" s="182"/>
      <c r="VFO114" s="181"/>
      <c r="VFP114" s="182"/>
      <c r="VFQ114" s="181"/>
      <c r="VFR114" s="182"/>
      <c r="VFS114" s="181"/>
      <c r="VFT114" s="182"/>
      <c r="VFU114" s="181"/>
      <c r="VFV114" s="182"/>
      <c r="VFW114" s="181"/>
      <c r="VFX114" s="182"/>
      <c r="VFY114" s="181"/>
      <c r="VFZ114" s="182"/>
      <c r="VGA114" s="181"/>
      <c r="VGB114" s="182"/>
      <c r="VGC114" s="181"/>
      <c r="VGD114" s="182"/>
      <c r="VGE114" s="181"/>
      <c r="VGF114" s="182"/>
      <c r="VGG114" s="181"/>
      <c r="VGH114" s="182"/>
      <c r="VGI114" s="181"/>
      <c r="VGJ114" s="182"/>
      <c r="VGK114" s="181"/>
      <c r="VGL114" s="182"/>
      <c r="VGM114" s="181"/>
      <c r="VGN114" s="182"/>
      <c r="VGO114" s="181"/>
      <c r="VGP114" s="182"/>
      <c r="VGQ114" s="181"/>
      <c r="VGR114" s="182"/>
      <c r="VGS114" s="181"/>
      <c r="VGT114" s="182"/>
      <c r="VGU114" s="181"/>
      <c r="VGV114" s="182"/>
      <c r="VGW114" s="181"/>
      <c r="VGX114" s="182"/>
      <c r="VGY114" s="181"/>
      <c r="VGZ114" s="182"/>
      <c r="VHA114" s="181"/>
      <c r="VHB114" s="182"/>
      <c r="VHC114" s="181"/>
      <c r="VHD114" s="182"/>
      <c r="VHE114" s="181"/>
      <c r="VHF114" s="182"/>
      <c r="VHG114" s="181"/>
      <c r="VHH114" s="182"/>
      <c r="VHI114" s="181"/>
      <c r="VHJ114" s="182"/>
      <c r="VHK114" s="181"/>
      <c r="VHL114" s="182"/>
      <c r="VHM114" s="181"/>
      <c r="VHN114" s="182"/>
      <c r="VHO114" s="181"/>
      <c r="VHP114" s="182"/>
      <c r="VHQ114" s="181"/>
      <c r="VHR114" s="182"/>
      <c r="VHS114" s="181"/>
      <c r="VHT114" s="182"/>
      <c r="VHU114" s="181"/>
      <c r="VHV114" s="182"/>
      <c r="VHW114" s="181"/>
      <c r="VHX114" s="182"/>
      <c r="VHY114" s="181"/>
      <c r="VHZ114" s="182"/>
      <c r="VIA114" s="181"/>
      <c r="VIB114" s="182"/>
      <c r="VIC114" s="181"/>
      <c r="VID114" s="182"/>
      <c r="VIE114" s="181"/>
      <c r="VIF114" s="182"/>
      <c r="VIG114" s="181"/>
      <c r="VIH114" s="182"/>
      <c r="VII114" s="181"/>
      <c r="VIJ114" s="182"/>
      <c r="VIK114" s="181"/>
      <c r="VIL114" s="182"/>
      <c r="VIM114" s="181"/>
      <c r="VIN114" s="182"/>
      <c r="VIO114" s="181"/>
      <c r="VIP114" s="182"/>
      <c r="VIQ114" s="181"/>
      <c r="VIR114" s="182"/>
      <c r="VIS114" s="181"/>
      <c r="VIT114" s="182"/>
      <c r="VIU114" s="181"/>
      <c r="VIV114" s="182"/>
      <c r="VIW114" s="181"/>
      <c r="VIX114" s="182"/>
      <c r="VIY114" s="181"/>
      <c r="VIZ114" s="182"/>
      <c r="VJA114" s="181"/>
      <c r="VJB114" s="182"/>
      <c r="VJC114" s="181"/>
      <c r="VJD114" s="182"/>
      <c r="VJE114" s="181"/>
      <c r="VJF114" s="182"/>
      <c r="VJG114" s="181"/>
      <c r="VJH114" s="182"/>
      <c r="VJI114" s="181"/>
      <c r="VJJ114" s="182"/>
      <c r="VJK114" s="181"/>
      <c r="VJL114" s="182"/>
      <c r="VJM114" s="181"/>
      <c r="VJN114" s="182"/>
      <c r="VJO114" s="181"/>
      <c r="VJP114" s="182"/>
      <c r="VJQ114" s="181"/>
      <c r="VJR114" s="182"/>
      <c r="VJS114" s="181"/>
      <c r="VJT114" s="182"/>
      <c r="VJU114" s="181"/>
      <c r="VJV114" s="182"/>
      <c r="VJW114" s="181"/>
      <c r="VJX114" s="182"/>
      <c r="VJY114" s="181"/>
      <c r="VJZ114" s="182"/>
      <c r="VKA114" s="181"/>
      <c r="VKB114" s="182"/>
      <c r="VKC114" s="181"/>
      <c r="VKD114" s="182"/>
      <c r="VKE114" s="181"/>
      <c r="VKF114" s="182"/>
      <c r="VKG114" s="181"/>
      <c r="VKH114" s="182"/>
      <c r="VKI114" s="181"/>
      <c r="VKJ114" s="182"/>
      <c r="VKK114" s="181"/>
      <c r="VKL114" s="182"/>
      <c r="VKM114" s="181"/>
      <c r="VKN114" s="182"/>
      <c r="VKO114" s="181"/>
      <c r="VKP114" s="182"/>
      <c r="VKQ114" s="181"/>
      <c r="VKR114" s="182"/>
      <c r="VKS114" s="181"/>
      <c r="VKT114" s="182"/>
      <c r="VKU114" s="181"/>
      <c r="VKV114" s="182"/>
      <c r="VKW114" s="181"/>
      <c r="VKX114" s="182"/>
      <c r="VKY114" s="181"/>
      <c r="VKZ114" s="182"/>
      <c r="VLA114" s="181"/>
      <c r="VLB114" s="182"/>
      <c r="VLC114" s="181"/>
      <c r="VLD114" s="182"/>
      <c r="VLE114" s="181"/>
      <c r="VLF114" s="182"/>
      <c r="VLG114" s="181"/>
      <c r="VLH114" s="182"/>
      <c r="VLI114" s="181"/>
      <c r="VLJ114" s="182"/>
      <c r="VLK114" s="181"/>
      <c r="VLL114" s="182"/>
      <c r="VLM114" s="181"/>
      <c r="VLN114" s="182"/>
      <c r="VLO114" s="181"/>
      <c r="VLP114" s="182"/>
      <c r="VLQ114" s="181"/>
      <c r="VLR114" s="182"/>
      <c r="VLS114" s="181"/>
      <c r="VLT114" s="182"/>
      <c r="VLU114" s="181"/>
      <c r="VLV114" s="182"/>
      <c r="VLW114" s="181"/>
      <c r="VLX114" s="182"/>
      <c r="VLY114" s="181"/>
      <c r="VLZ114" s="182"/>
      <c r="VMA114" s="181"/>
      <c r="VMB114" s="182"/>
      <c r="VMC114" s="181"/>
      <c r="VMD114" s="182"/>
      <c r="VME114" s="181"/>
      <c r="VMF114" s="182"/>
      <c r="VMG114" s="181"/>
      <c r="VMH114" s="182"/>
      <c r="VMI114" s="181"/>
      <c r="VMJ114" s="182"/>
      <c r="VMK114" s="181"/>
      <c r="VML114" s="182"/>
      <c r="VMM114" s="181"/>
      <c r="VMN114" s="182"/>
      <c r="VMO114" s="181"/>
      <c r="VMP114" s="182"/>
      <c r="VMQ114" s="181"/>
      <c r="VMR114" s="182"/>
      <c r="VMS114" s="181"/>
      <c r="VMT114" s="182"/>
      <c r="VMU114" s="181"/>
      <c r="VMV114" s="182"/>
      <c r="VMW114" s="181"/>
      <c r="VMX114" s="182"/>
      <c r="VMY114" s="181"/>
      <c r="VMZ114" s="182"/>
      <c r="VNA114" s="181"/>
      <c r="VNB114" s="182"/>
      <c r="VNC114" s="181"/>
      <c r="VND114" s="182"/>
      <c r="VNE114" s="181"/>
      <c r="VNF114" s="182"/>
      <c r="VNG114" s="181"/>
      <c r="VNH114" s="182"/>
      <c r="VNI114" s="181"/>
      <c r="VNJ114" s="182"/>
      <c r="VNK114" s="181"/>
      <c r="VNL114" s="182"/>
      <c r="VNM114" s="181"/>
      <c r="VNN114" s="182"/>
      <c r="VNO114" s="181"/>
      <c r="VNP114" s="182"/>
      <c r="VNQ114" s="181"/>
      <c r="VNR114" s="182"/>
      <c r="VNS114" s="181"/>
      <c r="VNT114" s="182"/>
      <c r="VNU114" s="181"/>
      <c r="VNV114" s="182"/>
      <c r="VNW114" s="181"/>
      <c r="VNX114" s="182"/>
      <c r="VNY114" s="181"/>
      <c r="VNZ114" s="182"/>
      <c r="VOA114" s="181"/>
      <c r="VOB114" s="182"/>
      <c r="VOC114" s="181"/>
      <c r="VOD114" s="182"/>
      <c r="VOE114" s="181"/>
      <c r="VOF114" s="182"/>
      <c r="VOG114" s="181"/>
      <c r="VOH114" s="182"/>
      <c r="VOI114" s="181"/>
      <c r="VOJ114" s="182"/>
      <c r="VOK114" s="181"/>
      <c r="VOL114" s="182"/>
      <c r="VOM114" s="181"/>
      <c r="VON114" s="182"/>
      <c r="VOO114" s="181"/>
      <c r="VOP114" s="182"/>
      <c r="VOQ114" s="181"/>
      <c r="VOR114" s="182"/>
      <c r="VOS114" s="181"/>
      <c r="VOT114" s="182"/>
      <c r="VOU114" s="181"/>
      <c r="VOV114" s="182"/>
      <c r="VOW114" s="181"/>
      <c r="VOX114" s="182"/>
      <c r="VOY114" s="181"/>
      <c r="VOZ114" s="182"/>
      <c r="VPA114" s="181"/>
      <c r="VPB114" s="182"/>
      <c r="VPC114" s="181"/>
      <c r="VPD114" s="182"/>
      <c r="VPE114" s="181"/>
      <c r="VPF114" s="182"/>
      <c r="VPG114" s="181"/>
      <c r="VPH114" s="182"/>
      <c r="VPI114" s="181"/>
      <c r="VPJ114" s="182"/>
      <c r="VPK114" s="181"/>
      <c r="VPL114" s="182"/>
      <c r="VPM114" s="181"/>
      <c r="VPN114" s="182"/>
      <c r="VPO114" s="181"/>
      <c r="VPP114" s="182"/>
      <c r="VPQ114" s="181"/>
      <c r="VPR114" s="182"/>
      <c r="VPS114" s="181"/>
      <c r="VPT114" s="182"/>
      <c r="VPU114" s="181"/>
      <c r="VPV114" s="182"/>
      <c r="VPW114" s="181"/>
      <c r="VPX114" s="182"/>
      <c r="VPY114" s="181"/>
      <c r="VPZ114" s="182"/>
      <c r="VQA114" s="181"/>
      <c r="VQB114" s="182"/>
      <c r="VQC114" s="181"/>
      <c r="VQD114" s="182"/>
      <c r="VQE114" s="181"/>
      <c r="VQF114" s="182"/>
      <c r="VQG114" s="181"/>
      <c r="VQH114" s="182"/>
      <c r="VQI114" s="181"/>
      <c r="VQJ114" s="182"/>
      <c r="VQK114" s="181"/>
      <c r="VQL114" s="182"/>
      <c r="VQM114" s="181"/>
      <c r="VQN114" s="182"/>
      <c r="VQO114" s="181"/>
      <c r="VQP114" s="182"/>
      <c r="VQQ114" s="181"/>
      <c r="VQR114" s="182"/>
      <c r="VQS114" s="181"/>
      <c r="VQT114" s="182"/>
      <c r="VQU114" s="181"/>
      <c r="VQV114" s="182"/>
      <c r="VQW114" s="181"/>
      <c r="VQX114" s="182"/>
      <c r="VQY114" s="181"/>
      <c r="VQZ114" s="182"/>
      <c r="VRA114" s="181"/>
      <c r="VRB114" s="182"/>
      <c r="VRC114" s="181"/>
      <c r="VRD114" s="182"/>
      <c r="VRE114" s="181"/>
      <c r="VRF114" s="182"/>
      <c r="VRG114" s="181"/>
      <c r="VRH114" s="182"/>
      <c r="VRI114" s="181"/>
      <c r="VRJ114" s="182"/>
      <c r="VRK114" s="181"/>
      <c r="VRL114" s="182"/>
      <c r="VRM114" s="181"/>
      <c r="VRN114" s="182"/>
      <c r="VRO114" s="181"/>
      <c r="VRP114" s="182"/>
      <c r="VRQ114" s="181"/>
      <c r="VRR114" s="182"/>
      <c r="VRS114" s="181"/>
      <c r="VRT114" s="182"/>
      <c r="VRU114" s="181"/>
      <c r="VRV114" s="182"/>
      <c r="VRW114" s="181"/>
      <c r="VRX114" s="182"/>
      <c r="VRY114" s="181"/>
      <c r="VRZ114" s="182"/>
      <c r="VSA114" s="181"/>
      <c r="VSB114" s="182"/>
      <c r="VSC114" s="181"/>
      <c r="VSD114" s="182"/>
      <c r="VSE114" s="181"/>
      <c r="VSF114" s="182"/>
      <c r="VSG114" s="181"/>
      <c r="VSH114" s="182"/>
      <c r="VSI114" s="181"/>
      <c r="VSJ114" s="182"/>
      <c r="VSK114" s="181"/>
      <c r="VSL114" s="182"/>
      <c r="VSM114" s="181"/>
      <c r="VSN114" s="182"/>
      <c r="VSO114" s="181"/>
      <c r="VSP114" s="182"/>
      <c r="VSQ114" s="181"/>
      <c r="VSR114" s="182"/>
      <c r="VSS114" s="181"/>
      <c r="VST114" s="182"/>
      <c r="VSU114" s="181"/>
      <c r="VSV114" s="182"/>
      <c r="VSW114" s="181"/>
      <c r="VSX114" s="182"/>
      <c r="VSY114" s="181"/>
      <c r="VSZ114" s="182"/>
      <c r="VTA114" s="181"/>
      <c r="VTB114" s="182"/>
      <c r="VTC114" s="181"/>
      <c r="VTD114" s="182"/>
      <c r="VTE114" s="181"/>
      <c r="VTF114" s="182"/>
      <c r="VTG114" s="181"/>
      <c r="VTH114" s="182"/>
      <c r="VTI114" s="181"/>
      <c r="VTJ114" s="182"/>
      <c r="VTK114" s="181"/>
      <c r="VTL114" s="182"/>
      <c r="VTM114" s="181"/>
      <c r="VTN114" s="182"/>
      <c r="VTO114" s="181"/>
      <c r="VTP114" s="182"/>
      <c r="VTQ114" s="181"/>
      <c r="VTR114" s="182"/>
      <c r="VTS114" s="181"/>
      <c r="VTT114" s="182"/>
      <c r="VTU114" s="181"/>
      <c r="VTV114" s="182"/>
      <c r="VTW114" s="181"/>
      <c r="VTX114" s="182"/>
      <c r="VTY114" s="181"/>
      <c r="VTZ114" s="182"/>
      <c r="VUA114" s="181"/>
      <c r="VUB114" s="182"/>
      <c r="VUC114" s="181"/>
      <c r="VUD114" s="182"/>
      <c r="VUE114" s="181"/>
      <c r="VUF114" s="182"/>
      <c r="VUG114" s="181"/>
      <c r="VUH114" s="182"/>
      <c r="VUI114" s="181"/>
      <c r="VUJ114" s="182"/>
      <c r="VUK114" s="181"/>
      <c r="VUL114" s="182"/>
      <c r="VUM114" s="181"/>
      <c r="VUN114" s="182"/>
      <c r="VUO114" s="181"/>
      <c r="VUP114" s="182"/>
      <c r="VUQ114" s="181"/>
      <c r="VUR114" s="182"/>
      <c r="VUS114" s="181"/>
      <c r="VUT114" s="182"/>
      <c r="VUU114" s="181"/>
      <c r="VUV114" s="182"/>
      <c r="VUW114" s="181"/>
      <c r="VUX114" s="182"/>
      <c r="VUY114" s="181"/>
      <c r="VUZ114" s="182"/>
      <c r="VVA114" s="181"/>
      <c r="VVB114" s="182"/>
      <c r="VVC114" s="181"/>
      <c r="VVD114" s="182"/>
      <c r="VVE114" s="181"/>
      <c r="VVF114" s="182"/>
      <c r="VVG114" s="181"/>
      <c r="VVH114" s="182"/>
      <c r="VVI114" s="181"/>
      <c r="VVJ114" s="182"/>
      <c r="VVK114" s="181"/>
      <c r="VVL114" s="182"/>
      <c r="VVM114" s="181"/>
      <c r="VVN114" s="182"/>
      <c r="VVO114" s="181"/>
      <c r="VVP114" s="182"/>
      <c r="VVQ114" s="181"/>
      <c r="VVR114" s="182"/>
      <c r="VVS114" s="181"/>
      <c r="VVT114" s="182"/>
      <c r="VVU114" s="181"/>
      <c r="VVV114" s="182"/>
      <c r="VVW114" s="181"/>
      <c r="VVX114" s="182"/>
      <c r="VVY114" s="181"/>
      <c r="VVZ114" s="182"/>
      <c r="VWA114" s="181"/>
      <c r="VWB114" s="182"/>
      <c r="VWC114" s="181"/>
      <c r="VWD114" s="182"/>
      <c r="VWE114" s="181"/>
      <c r="VWF114" s="182"/>
      <c r="VWG114" s="181"/>
      <c r="VWH114" s="182"/>
      <c r="VWI114" s="181"/>
      <c r="VWJ114" s="182"/>
      <c r="VWK114" s="181"/>
      <c r="VWL114" s="182"/>
      <c r="VWM114" s="181"/>
      <c r="VWN114" s="182"/>
      <c r="VWO114" s="181"/>
      <c r="VWP114" s="182"/>
      <c r="VWQ114" s="181"/>
      <c r="VWR114" s="182"/>
      <c r="VWS114" s="181"/>
      <c r="VWT114" s="182"/>
      <c r="VWU114" s="181"/>
      <c r="VWV114" s="182"/>
      <c r="VWW114" s="181"/>
      <c r="VWX114" s="182"/>
      <c r="VWY114" s="181"/>
      <c r="VWZ114" s="182"/>
      <c r="VXA114" s="181"/>
      <c r="VXB114" s="182"/>
      <c r="VXC114" s="181"/>
      <c r="VXD114" s="182"/>
      <c r="VXE114" s="181"/>
      <c r="VXF114" s="182"/>
      <c r="VXG114" s="181"/>
      <c r="VXH114" s="182"/>
      <c r="VXI114" s="181"/>
      <c r="VXJ114" s="182"/>
      <c r="VXK114" s="181"/>
      <c r="VXL114" s="182"/>
      <c r="VXM114" s="181"/>
      <c r="VXN114" s="182"/>
      <c r="VXO114" s="181"/>
      <c r="VXP114" s="182"/>
      <c r="VXQ114" s="181"/>
      <c r="VXR114" s="182"/>
      <c r="VXS114" s="181"/>
      <c r="VXT114" s="182"/>
      <c r="VXU114" s="181"/>
      <c r="VXV114" s="182"/>
      <c r="VXW114" s="181"/>
      <c r="VXX114" s="182"/>
      <c r="VXY114" s="181"/>
      <c r="VXZ114" s="182"/>
      <c r="VYA114" s="181"/>
      <c r="VYB114" s="182"/>
      <c r="VYC114" s="181"/>
      <c r="VYD114" s="182"/>
      <c r="VYE114" s="181"/>
      <c r="VYF114" s="182"/>
      <c r="VYG114" s="181"/>
      <c r="VYH114" s="182"/>
      <c r="VYI114" s="181"/>
      <c r="VYJ114" s="182"/>
      <c r="VYK114" s="181"/>
      <c r="VYL114" s="182"/>
      <c r="VYM114" s="181"/>
      <c r="VYN114" s="182"/>
      <c r="VYO114" s="181"/>
      <c r="VYP114" s="182"/>
      <c r="VYQ114" s="181"/>
      <c r="VYR114" s="182"/>
      <c r="VYS114" s="181"/>
      <c r="VYT114" s="182"/>
      <c r="VYU114" s="181"/>
      <c r="VYV114" s="182"/>
      <c r="VYW114" s="181"/>
      <c r="VYX114" s="182"/>
      <c r="VYY114" s="181"/>
      <c r="VYZ114" s="182"/>
      <c r="VZA114" s="181"/>
      <c r="VZB114" s="182"/>
      <c r="VZC114" s="181"/>
      <c r="VZD114" s="182"/>
      <c r="VZE114" s="181"/>
      <c r="VZF114" s="182"/>
      <c r="VZG114" s="181"/>
      <c r="VZH114" s="182"/>
      <c r="VZI114" s="181"/>
      <c r="VZJ114" s="182"/>
      <c r="VZK114" s="181"/>
      <c r="VZL114" s="182"/>
      <c r="VZM114" s="181"/>
      <c r="VZN114" s="182"/>
      <c r="VZO114" s="181"/>
      <c r="VZP114" s="182"/>
      <c r="VZQ114" s="181"/>
      <c r="VZR114" s="182"/>
      <c r="VZS114" s="181"/>
      <c r="VZT114" s="182"/>
      <c r="VZU114" s="181"/>
      <c r="VZV114" s="182"/>
      <c r="VZW114" s="181"/>
      <c r="VZX114" s="182"/>
      <c r="VZY114" s="181"/>
      <c r="VZZ114" s="182"/>
      <c r="WAA114" s="181"/>
      <c r="WAB114" s="182"/>
      <c r="WAC114" s="181"/>
      <c r="WAD114" s="182"/>
      <c r="WAE114" s="181"/>
      <c r="WAF114" s="182"/>
      <c r="WAG114" s="181"/>
      <c r="WAH114" s="182"/>
      <c r="WAI114" s="181"/>
      <c r="WAJ114" s="182"/>
      <c r="WAK114" s="181"/>
      <c r="WAL114" s="182"/>
      <c r="WAM114" s="181"/>
      <c r="WAN114" s="182"/>
      <c r="WAO114" s="181"/>
      <c r="WAP114" s="182"/>
      <c r="WAQ114" s="181"/>
      <c r="WAR114" s="182"/>
      <c r="WAS114" s="181"/>
      <c r="WAT114" s="182"/>
      <c r="WAU114" s="181"/>
      <c r="WAV114" s="182"/>
      <c r="WAW114" s="181"/>
      <c r="WAX114" s="182"/>
      <c r="WAY114" s="181"/>
      <c r="WAZ114" s="182"/>
      <c r="WBA114" s="181"/>
      <c r="WBB114" s="182"/>
      <c r="WBC114" s="181"/>
      <c r="WBD114" s="182"/>
      <c r="WBE114" s="181"/>
      <c r="WBF114" s="182"/>
      <c r="WBG114" s="181"/>
      <c r="WBH114" s="182"/>
      <c r="WBI114" s="181"/>
      <c r="WBJ114" s="182"/>
      <c r="WBK114" s="181"/>
      <c r="WBL114" s="182"/>
      <c r="WBM114" s="181"/>
      <c r="WBN114" s="182"/>
      <c r="WBO114" s="181"/>
      <c r="WBP114" s="182"/>
      <c r="WBQ114" s="181"/>
      <c r="WBR114" s="182"/>
      <c r="WBS114" s="181"/>
      <c r="WBT114" s="182"/>
      <c r="WBU114" s="181"/>
      <c r="WBV114" s="182"/>
      <c r="WBW114" s="181"/>
      <c r="WBX114" s="182"/>
      <c r="WBY114" s="181"/>
      <c r="WBZ114" s="182"/>
      <c r="WCA114" s="181"/>
      <c r="WCB114" s="182"/>
      <c r="WCC114" s="181"/>
      <c r="WCD114" s="182"/>
      <c r="WCE114" s="181"/>
      <c r="WCF114" s="182"/>
      <c r="WCG114" s="181"/>
      <c r="WCH114" s="182"/>
      <c r="WCI114" s="181"/>
      <c r="WCJ114" s="182"/>
      <c r="WCK114" s="181"/>
      <c r="WCL114" s="182"/>
      <c r="WCM114" s="181"/>
      <c r="WCN114" s="182"/>
      <c r="WCO114" s="181"/>
      <c r="WCP114" s="182"/>
      <c r="WCQ114" s="181"/>
      <c r="WCR114" s="182"/>
      <c r="WCS114" s="181"/>
      <c r="WCT114" s="182"/>
      <c r="WCU114" s="181"/>
      <c r="WCV114" s="182"/>
      <c r="WCW114" s="181"/>
      <c r="WCX114" s="182"/>
      <c r="WCY114" s="181"/>
      <c r="WCZ114" s="182"/>
      <c r="WDA114" s="181"/>
      <c r="WDB114" s="182"/>
      <c r="WDC114" s="181"/>
      <c r="WDD114" s="182"/>
      <c r="WDE114" s="181"/>
      <c r="WDF114" s="182"/>
      <c r="WDG114" s="181"/>
      <c r="WDH114" s="182"/>
      <c r="WDI114" s="181"/>
      <c r="WDJ114" s="182"/>
      <c r="WDK114" s="181"/>
      <c r="WDL114" s="182"/>
      <c r="WDM114" s="181"/>
      <c r="WDN114" s="182"/>
      <c r="WDO114" s="181"/>
      <c r="WDP114" s="182"/>
      <c r="WDQ114" s="181"/>
      <c r="WDR114" s="182"/>
      <c r="WDS114" s="181"/>
      <c r="WDT114" s="182"/>
      <c r="WDU114" s="181"/>
      <c r="WDV114" s="182"/>
      <c r="WDW114" s="181"/>
      <c r="WDX114" s="182"/>
      <c r="WDY114" s="181"/>
      <c r="WDZ114" s="182"/>
      <c r="WEA114" s="181"/>
      <c r="WEB114" s="182"/>
      <c r="WEC114" s="181"/>
      <c r="WED114" s="182"/>
      <c r="WEE114" s="181"/>
      <c r="WEF114" s="182"/>
      <c r="WEG114" s="181"/>
      <c r="WEH114" s="182"/>
      <c r="WEI114" s="181"/>
      <c r="WEJ114" s="182"/>
      <c r="WEK114" s="181"/>
      <c r="WEL114" s="182"/>
      <c r="WEM114" s="181"/>
      <c r="WEN114" s="182"/>
      <c r="WEO114" s="181"/>
      <c r="WEP114" s="182"/>
      <c r="WEQ114" s="181"/>
      <c r="WER114" s="182"/>
      <c r="WES114" s="181"/>
      <c r="WET114" s="182"/>
      <c r="WEU114" s="181"/>
      <c r="WEV114" s="182"/>
      <c r="WEW114" s="181"/>
      <c r="WEX114" s="182"/>
      <c r="WEY114" s="181"/>
      <c r="WEZ114" s="182"/>
      <c r="WFA114" s="181"/>
      <c r="WFB114" s="182"/>
      <c r="WFC114" s="181"/>
      <c r="WFD114" s="182"/>
      <c r="WFE114" s="181"/>
      <c r="WFF114" s="182"/>
      <c r="WFG114" s="181"/>
      <c r="WFH114" s="182"/>
      <c r="WFI114" s="181"/>
      <c r="WFJ114" s="182"/>
      <c r="WFK114" s="181"/>
      <c r="WFL114" s="182"/>
      <c r="WFM114" s="181"/>
      <c r="WFN114" s="182"/>
      <c r="WFO114" s="181"/>
      <c r="WFP114" s="182"/>
      <c r="WFQ114" s="181"/>
      <c r="WFR114" s="182"/>
      <c r="WFS114" s="181"/>
      <c r="WFT114" s="182"/>
      <c r="WFU114" s="181"/>
      <c r="WFV114" s="182"/>
      <c r="WFW114" s="181"/>
      <c r="WFX114" s="182"/>
      <c r="WFY114" s="181"/>
      <c r="WFZ114" s="182"/>
      <c r="WGA114" s="181"/>
      <c r="WGB114" s="182"/>
      <c r="WGC114" s="181"/>
      <c r="WGD114" s="182"/>
      <c r="WGE114" s="181"/>
      <c r="WGF114" s="182"/>
      <c r="WGG114" s="181"/>
      <c r="WGH114" s="182"/>
      <c r="WGI114" s="181"/>
      <c r="WGJ114" s="182"/>
      <c r="WGK114" s="181"/>
      <c r="WGL114" s="182"/>
      <c r="WGM114" s="181"/>
      <c r="WGN114" s="182"/>
      <c r="WGO114" s="181"/>
      <c r="WGP114" s="182"/>
      <c r="WGQ114" s="181"/>
      <c r="WGR114" s="182"/>
      <c r="WGS114" s="181"/>
      <c r="WGT114" s="182"/>
      <c r="WGU114" s="181"/>
      <c r="WGV114" s="182"/>
      <c r="WGW114" s="181"/>
      <c r="WGX114" s="182"/>
      <c r="WGY114" s="181"/>
      <c r="WGZ114" s="182"/>
      <c r="WHA114" s="181"/>
      <c r="WHB114" s="182"/>
      <c r="WHC114" s="181"/>
      <c r="WHD114" s="182"/>
      <c r="WHE114" s="181"/>
      <c r="WHF114" s="182"/>
      <c r="WHG114" s="181"/>
      <c r="WHH114" s="182"/>
      <c r="WHI114" s="181"/>
      <c r="WHJ114" s="182"/>
      <c r="WHK114" s="181"/>
      <c r="WHL114" s="182"/>
      <c r="WHM114" s="181"/>
      <c r="WHN114" s="182"/>
      <c r="WHO114" s="181"/>
      <c r="WHP114" s="182"/>
      <c r="WHQ114" s="181"/>
      <c r="WHR114" s="182"/>
      <c r="WHS114" s="181"/>
      <c r="WHT114" s="182"/>
      <c r="WHU114" s="181"/>
      <c r="WHV114" s="182"/>
      <c r="WHW114" s="181"/>
      <c r="WHX114" s="182"/>
      <c r="WHY114" s="181"/>
      <c r="WHZ114" s="182"/>
      <c r="WIA114" s="181"/>
      <c r="WIB114" s="182"/>
      <c r="WIC114" s="181"/>
      <c r="WID114" s="182"/>
      <c r="WIE114" s="181"/>
      <c r="WIF114" s="182"/>
      <c r="WIG114" s="181"/>
      <c r="WIH114" s="182"/>
      <c r="WII114" s="181"/>
      <c r="WIJ114" s="182"/>
      <c r="WIK114" s="181"/>
      <c r="WIL114" s="182"/>
      <c r="WIM114" s="181"/>
      <c r="WIN114" s="182"/>
      <c r="WIO114" s="181"/>
      <c r="WIP114" s="182"/>
      <c r="WIQ114" s="181"/>
      <c r="WIR114" s="182"/>
      <c r="WIS114" s="181"/>
      <c r="WIT114" s="182"/>
      <c r="WIU114" s="181"/>
      <c r="WIV114" s="182"/>
      <c r="WIW114" s="181"/>
      <c r="WIX114" s="182"/>
      <c r="WIY114" s="181"/>
      <c r="WIZ114" s="182"/>
      <c r="WJA114" s="181"/>
      <c r="WJB114" s="182"/>
      <c r="WJC114" s="181"/>
      <c r="WJD114" s="182"/>
      <c r="WJE114" s="181"/>
      <c r="WJF114" s="182"/>
      <c r="WJG114" s="181"/>
      <c r="WJH114" s="182"/>
      <c r="WJI114" s="181"/>
      <c r="WJJ114" s="182"/>
      <c r="WJK114" s="181"/>
      <c r="WJL114" s="182"/>
      <c r="WJM114" s="181"/>
      <c r="WJN114" s="182"/>
      <c r="WJO114" s="181"/>
      <c r="WJP114" s="182"/>
      <c r="WJQ114" s="181"/>
      <c r="WJR114" s="182"/>
      <c r="WJS114" s="181"/>
      <c r="WJT114" s="182"/>
      <c r="WJU114" s="181"/>
      <c r="WJV114" s="182"/>
      <c r="WJW114" s="181"/>
      <c r="WJX114" s="182"/>
      <c r="WJY114" s="181"/>
      <c r="WJZ114" s="182"/>
      <c r="WKA114" s="181"/>
      <c r="WKB114" s="182"/>
      <c r="WKC114" s="181"/>
      <c r="WKD114" s="182"/>
      <c r="WKE114" s="181"/>
      <c r="WKF114" s="182"/>
      <c r="WKG114" s="181"/>
      <c r="WKH114" s="182"/>
      <c r="WKI114" s="181"/>
      <c r="WKJ114" s="182"/>
      <c r="WKK114" s="181"/>
      <c r="WKL114" s="182"/>
      <c r="WKM114" s="181"/>
      <c r="WKN114" s="182"/>
      <c r="WKO114" s="181"/>
      <c r="WKP114" s="182"/>
      <c r="WKQ114" s="181"/>
      <c r="WKR114" s="182"/>
      <c r="WKS114" s="181"/>
      <c r="WKT114" s="182"/>
      <c r="WKU114" s="181"/>
      <c r="WKV114" s="182"/>
      <c r="WKW114" s="181"/>
      <c r="WKX114" s="182"/>
      <c r="WKY114" s="181"/>
      <c r="WKZ114" s="182"/>
      <c r="WLA114" s="181"/>
      <c r="WLB114" s="182"/>
      <c r="WLC114" s="181"/>
      <c r="WLD114" s="182"/>
      <c r="WLE114" s="181"/>
      <c r="WLF114" s="182"/>
      <c r="WLG114" s="181"/>
      <c r="WLH114" s="182"/>
      <c r="WLI114" s="181"/>
      <c r="WLJ114" s="182"/>
      <c r="WLK114" s="181"/>
      <c r="WLL114" s="182"/>
      <c r="WLM114" s="181"/>
      <c r="WLN114" s="182"/>
      <c r="WLO114" s="181"/>
      <c r="WLP114" s="182"/>
      <c r="WLQ114" s="181"/>
      <c r="WLR114" s="182"/>
      <c r="WLS114" s="181"/>
      <c r="WLT114" s="182"/>
      <c r="WLU114" s="181"/>
      <c r="WLV114" s="182"/>
      <c r="WLW114" s="181"/>
      <c r="WLX114" s="182"/>
      <c r="WLY114" s="181"/>
      <c r="WLZ114" s="182"/>
      <c r="WMA114" s="181"/>
      <c r="WMB114" s="182"/>
      <c r="WMC114" s="181"/>
      <c r="WMD114" s="182"/>
      <c r="WME114" s="181"/>
      <c r="WMF114" s="182"/>
      <c r="WMG114" s="181"/>
      <c r="WMH114" s="182"/>
      <c r="WMI114" s="181"/>
      <c r="WMJ114" s="182"/>
      <c r="WMK114" s="181"/>
      <c r="WML114" s="182"/>
      <c r="WMM114" s="181"/>
      <c r="WMN114" s="182"/>
      <c r="WMO114" s="181"/>
      <c r="WMP114" s="182"/>
      <c r="WMQ114" s="181"/>
      <c r="WMR114" s="182"/>
      <c r="WMS114" s="181"/>
      <c r="WMT114" s="182"/>
      <c r="WMU114" s="181"/>
      <c r="WMV114" s="182"/>
      <c r="WMW114" s="181"/>
      <c r="WMX114" s="182"/>
      <c r="WMY114" s="181"/>
      <c r="WMZ114" s="182"/>
      <c r="WNA114" s="181"/>
      <c r="WNB114" s="182"/>
      <c r="WNC114" s="181"/>
      <c r="WND114" s="182"/>
      <c r="WNE114" s="181"/>
      <c r="WNF114" s="182"/>
      <c r="WNG114" s="181"/>
      <c r="WNH114" s="182"/>
      <c r="WNI114" s="181"/>
      <c r="WNJ114" s="182"/>
      <c r="WNK114" s="181"/>
      <c r="WNL114" s="182"/>
      <c r="WNM114" s="181"/>
      <c r="WNN114" s="182"/>
      <c r="WNO114" s="181"/>
      <c r="WNP114" s="182"/>
      <c r="WNQ114" s="181"/>
      <c r="WNR114" s="182"/>
      <c r="WNS114" s="181"/>
      <c r="WNT114" s="182"/>
      <c r="WNU114" s="181"/>
      <c r="WNV114" s="182"/>
      <c r="WNW114" s="181"/>
      <c r="WNX114" s="182"/>
      <c r="WNY114" s="181"/>
      <c r="WNZ114" s="182"/>
      <c r="WOA114" s="181"/>
      <c r="WOB114" s="182"/>
      <c r="WOC114" s="181"/>
      <c r="WOD114" s="182"/>
      <c r="WOE114" s="181"/>
      <c r="WOF114" s="182"/>
      <c r="WOG114" s="181"/>
      <c r="WOH114" s="182"/>
      <c r="WOI114" s="181"/>
      <c r="WOJ114" s="182"/>
      <c r="WOK114" s="181"/>
      <c r="WOL114" s="182"/>
      <c r="WOM114" s="181"/>
      <c r="WON114" s="182"/>
      <c r="WOO114" s="181"/>
      <c r="WOP114" s="182"/>
      <c r="WOQ114" s="181"/>
      <c r="WOR114" s="182"/>
      <c r="WOS114" s="181"/>
      <c r="WOT114" s="182"/>
      <c r="WOU114" s="181"/>
      <c r="WOV114" s="182"/>
      <c r="WOW114" s="181"/>
      <c r="WOX114" s="182"/>
      <c r="WOY114" s="181"/>
      <c r="WOZ114" s="182"/>
      <c r="WPA114" s="181"/>
      <c r="WPB114" s="182"/>
      <c r="WPC114" s="181"/>
      <c r="WPD114" s="182"/>
      <c r="WPE114" s="181"/>
      <c r="WPF114" s="182"/>
      <c r="WPG114" s="181"/>
      <c r="WPH114" s="182"/>
      <c r="WPI114" s="181"/>
      <c r="WPJ114" s="182"/>
      <c r="WPK114" s="181"/>
      <c r="WPL114" s="182"/>
      <c r="WPM114" s="181"/>
      <c r="WPN114" s="182"/>
      <c r="WPO114" s="181"/>
      <c r="WPP114" s="182"/>
      <c r="WPQ114" s="181"/>
      <c r="WPR114" s="182"/>
      <c r="WPS114" s="181"/>
      <c r="WPT114" s="182"/>
      <c r="WPU114" s="181"/>
      <c r="WPV114" s="182"/>
      <c r="WPW114" s="181"/>
      <c r="WPX114" s="182"/>
      <c r="WPY114" s="181"/>
      <c r="WPZ114" s="182"/>
      <c r="WQA114" s="181"/>
      <c r="WQB114" s="182"/>
      <c r="WQC114" s="181"/>
      <c r="WQD114" s="182"/>
      <c r="WQE114" s="181"/>
      <c r="WQF114" s="182"/>
      <c r="WQG114" s="181"/>
      <c r="WQH114" s="182"/>
      <c r="WQI114" s="181"/>
      <c r="WQJ114" s="182"/>
      <c r="WQK114" s="181"/>
      <c r="WQL114" s="182"/>
      <c r="WQM114" s="181"/>
      <c r="WQN114" s="182"/>
      <c r="WQO114" s="181"/>
      <c r="WQP114" s="182"/>
      <c r="WQQ114" s="181"/>
      <c r="WQR114" s="182"/>
      <c r="WQS114" s="181"/>
      <c r="WQT114" s="182"/>
      <c r="WQU114" s="181"/>
      <c r="WQV114" s="182"/>
      <c r="WQW114" s="181"/>
      <c r="WQX114" s="182"/>
      <c r="WQY114" s="181"/>
      <c r="WQZ114" s="182"/>
      <c r="WRA114" s="181"/>
      <c r="WRB114" s="182"/>
      <c r="WRC114" s="181"/>
      <c r="WRD114" s="182"/>
      <c r="WRE114" s="181"/>
      <c r="WRF114" s="182"/>
      <c r="WRG114" s="181"/>
      <c r="WRH114" s="182"/>
      <c r="WRI114" s="181"/>
      <c r="WRJ114" s="182"/>
      <c r="WRK114" s="181"/>
      <c r="WRL114" s="182"/>
      <c r="WRM114" s="181"/>
      <c r="WRN114" s="182"/>
      <c r="WRO114" s="181"/>
      <c r="WRP114" s="182"/>
      <c r="WRQ114" s="181"/>
      <c r="WRR114" s="182"/>
      <c r="WRS114" s="181"/>
      <c r="WRT114" s="182"/>
      <c r="WRU114" s="181"/>
      <c r="WRV114" s="182"/>
      <c r="WRW114" s="181"/>
      <c r="WRX114" s="182"/>
      <c r="WRY114" s="181"/>
      <c r="WRZ114" s="182"/>
      <c r="WSA114" s="181"/>
      <c r="WSB114" s="182"/>
      <c r="WSC114" s="181"/>
      <c r="WSD114" s="182"/>
      <c r="WSE114" s="181"/>
      <c r="WSF114" s="182"/>
      <c r="WSG114" s="181"/>
      <c r="WSH114" s="182"/>
      <c r="WSI114" s="181"/>
      <c r="WSJ114" s="182"/>
      <c r="WSK114" s="181"/>
      <c r="WSL114" s="182"/>
      <c r="WSM114" s="181"/>
      <c r="WSN114" s="182"/>
      <c r="WSO114" s="181"/>
      <c r="WSP114" s="182"/>
      <c r="WSQ114" s="181"/>
      <c r="WSR114" s="182"/>
      <c r="WSS114" s="181"/>
      <c r="WST114" s="182"/>
      <c r="WSU114" s="181"/>
      <c r="WSV114" s="182"/>
      <c r="WSW114" s="181"/>
      <c r="WSX114" s="182"/>
      <c r="WSY114" s="181"/>
      <c r="WSZ114" s="182"/>
      <c r="WTA114" s="181"/>
      <c r="WTB114" s="182"/>
      <c r="WTC114" s="181"/>
      <c r="WTD114" s="182"/>
      <c r="WTE114" s="181"/>
      <c r="WTF114" s="182"/>
      <c r="WTG114" s="181"/>
      <c r="WTH114" s="182"/>
      <c r="WTI114" s="181"/>
      <c r="WTJ114" s="182"/>
      <c r="WTK114" s="181"/>
      <c r="WTL114" s="182"/>
      <c r="WTM114" s="181"/>
      <c r="WTN114" s="182"/>
      <c r="WTO114" s="181"/>
      <c r="WTP114" s="182"/>
      <c r="WTQ114" s="181"/>
      <c r="WTR114" s="182"/>
      <c r="WTS114" s="181"/>
      <c r="WTT114" s="182"/>
      <c r="WTU114" s="181"/>
      <c r="WTV114" s="182"/>
      <c r="WTW114" s="181"/>
      <c r="WTX114" s="182"/>
      <c r="WTY114" s="181"/>
      <c r="WTZ114" s="182"/>
      <c r="WUA114" s="181"/>
      <c r="WUB114" s="182"/>
      <c r="WUC114" s="181"/>
      <c r="WUD114" s="182"/>
      <c r="WUE114" s="181"/>
      <c r="WUF114" s="182"/>
      <c r="WUG114" s="181"/>
      <c r="WUH114" s="182"/>
      <c r="WUI114" s="181"/>
      <c r="WUJ114" s="182"/>
      <c r="WUK114" s="181"/>
      <c r="WUL114" s="182"/>
      <c r="WUM114" s="181"/>
      <c r="WUN114" s="182"/>
      <c r="WUO114" s="181"/>
      <c r="WUP114" s="182"/>
      <c r="WUQ114" s="181"/>
      <c r="WUR114" s="182"/>
      <c r="WUS114" s="181"/>
      <c r="WUT114" s="182"/>
      <c r="WUU114" s="181"/>
      <c r="WUV114" s="182"/>
      <c r="WUW114" s="181"/>
      <c r="WUX114" s="182"/>
      <c r="WUY114" s="181"/>
      <c r="WUZ114" s="182"/>
      <c r="WVA114" s="181"/>
      <c r="WVB114" s="182"/>
      <c r="WVC114" s="181"/>
      <c r="WVD114" s="182"/>
      <c r="WVE114" s="181"/>
      <c r="WVF114" s="182"/>
      <c r="WVG114" s="181"/>
      <c r="WVH114" s="182"/>
      <c r="WVI114" s="181"/>
      <c r="WVJ114" s="182"/>
      <c r="WVK114" s="181"/>
      <c r="WVL114" s="182"/>
      <c r="WVM114" s="181"/>
      <c r="WVN114" s="182"/>
      <c r="WVO114" s="181"/>
      <c r="WVP114" s="182"/>
      <c r="WVQ114" s="181"/>
      <c r="WVR114" s="182"/>
      <c r="WVS114" s="181"/>
      <c r="WVT114" s="182"/>
      <c r="WVU114" s="181"/>
      <c r="WVV114" s="182"/>
      <c r="WVW114" s="181"/>
      <c r="WVX114" s="182"/>
      <c r="WVY114" s="181"/>
      <c r="WVZ114" s="182"/>
      <c r="WWA114" s="181"/>
      <c r="WWB114" s="182"/>
      <c r="WWC114" s="181"/>
      <c r="WWD114" s="182"/>
      <c r="WWE114" s="181"/>
      <c r="WWF114" s="182"/>
      <c r="WWG114" s="181"/>
      <c r="WWH114" s="182"/>
      <c r="WWI114" s="181"/>
      <c r="WWJ114" s="182"/>
      <c r="WWK114" s="181"/>
      <c r="WWL114" s="182"/>
      <c r="WWM114" s="181"/>
      <c r="WWN114" s="182"/>
      <c r="WWO114" s="181"/>
      <c r="WWP114" s="182"/>
      <c r="WWQ114" s="181"/>
      <c r="WWR114" s="182"/>
      <c r="WWS114" s="181"/>
      <c r="WWT114" s="182"/>
      <c r="WWU114" s="181"/>
      <c r="WWV114" s="182"/>
      <c r="WWW114" s="181"/>
      <c r="WWX114" s="182"/>
      <c r="WWY114" s="181"/>
      <c r="WWZ114" s="182"/>
      <c r="WXA114" s="181"/>
      <c r="WXB114" s="182"/>
      <c r="WXC114" s="181"/>
      <c r="WXD114" s="182"/>
      <c r="WXE114" s="181"/>
      <c r="WXF114" s="182"/>
      <c r="WXG114" s="181"/>
      <c r="WXH114" s="182"/>
      <c r="WXI114" s="181"/>
      <c r="WXJ114" s="182"/>
      <c r="WXK114" s="181"/>
      <c r="WXL114" s="182"/>
      <c r="WXM114" s="181"/>
      <c r="WXN114" s="182"/>
      <c r="WXO114" s="181"/>
      <c r="WXP114" s="182"/>
      <c r="WXQ114" s="181"/>
      <c r="WXR114" s="182"/>
      <c r="WXS114" s="181"/>
      <c r="WXT114" s="182"/>
      <c r="WXU114" s="181"/>
      <c r="WXV114" s="182"/>
      <c r="WXW114" s="181"/>
      <c r="WXX114" s="182"/>
      <c r="WXY114" s="181"/>
      <c r="WXZ114" s="182"/>
      <c r="WYA114" s="181"/>
      <c r="WYB114" s="182"/>
      <c r="WYC114" s="181"/>
      <c r="WYD114" s="182"/>
      <c r="WYE114" s="181"/>
      <c r="WYF114" s="182"/>
      <c r="WYG114" s="181"/>
      <c r="WYH114" s="182"/>
      <c r="WYI114" s="181"/>
      <c r="WYJ114" s="182"/>
      <c r="WYK114" s="181"/>
      <c r="WYL114" s="182"/>
      <c r="WYM114" s="181"/>
      <c r="WYN114" s="182"/>
      <c r="WYO114" s="181"/>
      <c r="WYP114" s="182"/>
      <c r="WYQ114" s="181"/>
      <c r="WYR114" s="182"/>
      <c r="WYS114" s="181"/>
      <c r="WYT114" s="182"/>
      <c r="WYU114" s="181"/>
      <c r="WYV114" s="182"/>
      <c r="WYW114" s="181"/>
      <c r="WYX114" s="182"/>
      <c r="WYY114" s="181"/>
      <c r="WYZ114" s="182"/>
      <c r="WZA114" s="181"/>
      <c r="WZB114" s="182"/>
      <c r="WZC114" s="181"/>
      <c r="WZD114" s="182"/>
      <c r="WZE114" s="181"/>
      <c r="WZF114" s="182"/>
      <c r="WZG114" s="181"/>
      <c r="WZH114" s="182"/>
      <c r="WZI114" s="181"/>
      <c r="WZJ114" s="182"/>
      <c r="WZK114" s="181"/>
      <c r="WZL114" s="182"/>
      <c r="WZM114" s="181"/>
      <c r="WZN114" s="182"/>
      <c r="WZO114" s="181"/>
      <c r="WZP114" s="182"/>
      <c r="WZQ114" s="181"/>
      <c r="WZR114" s="182"/>
      <c r="WZS114" s="181"/>
      <c r="WZT114" s="182"/>
      <c r="WZU114" s="181"/>
      <c r="WZV114" s="182"/>
      <c r="WZW114" s="181"/>
      <c r="WZX114" s="182"/>
      <c r="WZY114" s="181"/>
      <c r="WZZ114" s="182"/>
      <c r="XAA114" s="181"/>
      <c r="XAB114" s="182"/>
      <c r="XAC114" s="181"/>
      <c r="XAD114" s="182"/>
      <c r="XAE114" s="181"/>
      <c r="XAF114" s="182"/>
      <c r="XAG114" s="181"/>
      <c r="XAH114" s="182"/>
      <c r="XAI114" s="181"/>
      <c r="XAJ114" s="182"/>
      <c r="XAK114" s="181"/>
      <c r="XAL114" s="182"/>
      <c r="XAM114" s="181"/>
      <c r="XAN114" s="182"/>
      <c r="XAO114" s="181"/>
      <c r="XAP114" s="182"/>
      <c r="XAQ114" s="181"/>
      <c r="XAR114" s="182"/>
      <c r="XAS114" s="181"/>
      <c r="XAT114" s="182"/>
      <c r="XAU114" s="181"/>
      <c r="XAV114" s="182"/>
      <c r="XAW114" s="181"/>
      <c r="XAX114" s="182"/>
      <c r="XAY114" s="181"/>
      <c r="XAZ114" s="182"/>
      <c r="XBA114" s="181"/>
      <c r="XBB114" s="182"/>
      <c r="XBC114" s="181"/>
      <c r="XBD114" s="182"/>
      <c r="XBE114" s="181"/>
      <c r="XBF114" s="182"/>
      <c r="XBG114" s="181"/>
      <c r="XBH114" s="182"/>
      <c r="XBI114" s="181"/>
      <c r="XBJ114" s="182"/>
      <c r="XBK114" s="181"/>
      <c r="XBL114" s="182"/>
      <c r="XBM114" s="181"/>
      <c r="XBN114" s="182"/>
      <c r="XBO114" s="181"/>
      <c r="XBP114" s="182"/>
      <c r="XBQ114" s="181"/>
      <c r="XBR114" s="182"/>
      <c r="XBS114" s="181"/>
      <c r="XBT114" s="182"/>
      <c r="XBU114" s="181"/>
      <c r="XBV114" s="182"/>
      <c r="XBW114" s="181"/>
      <c r="XBX114" s="182"/>
      <c r="XBY114" s="181"/>
      <c r="XBZ114" s="182"/>
      <c r="XCA114" s="181"/>
      <c r="XCB114" s="182"/>
      <c r="XCC114" s="181"/>
      <c r="XCD114" s="182"/>
      <c r="XCE114" s="181"/>
      <c r="XCF114" s="182"/>
      <c r="XCG114" s="181"/>
      <c r="XCH114" s="182"/>
      <c r="XCI114" s="181"/>
      <c r="XCJ114" s="182"/>
      <c r="XCK114" s="181"/>
      <c r="XCL114" s="182"/>
      <c r="XCM114" s="181"/>
      <c r="XCN114" s="182"/>
      <c r="XCO114" s="181"/>
      <c r="XCP114" s="182"/>
      <c r="XCQ114" s="181"/>
      <c r="XCR114" s="182"/>
      <c r="XCS114" s="181"/>
      <c r="XCT114" s="182"/>
      <c r="XCU114" s="181"/>
      <c r="XCV114" s="182"/>
      <c r="XCW114" s="181"/>
      <c r="XCX114" s="182"/>
      <c r="XCY114" s="181"/>
      <c r="XCZ114" s="182"/>
      <c r="XDA114" s="181"/>
      <c r="XDB114" s="182"/>
      <c r="XDC114" s="181"/>
      <c r="XDD114" s="182"/>
      <c r="XDE114" s="181"/>
      <c r="XDF114" s="182"/>
      <c r="XDG114" s="181"/>
      <c r="XDH114" s="182"/>
      <c r="XDI114" s="181"/>
      <c r="XDJ114" s="182"/>
      <c r="XDK114" s="181"/>
      <c r="XDL114" s="182"/>
      <c r="XDM114" s="181"/>
      <c r="XDN114" s="182"/>
      <c r="XDO114" s="181"/>
      <c r="XDP114" s="182"/>
      <c r="XDQ114" s="181"/>
      <c r="XDR114" s="182"/>
      <c r="XDS114" s="181"/>
      <c r="XDT114" s="182"/>
      <c r="XDU114" s="181"/>
      <c r="XDV114" s="182"/>
      <c r="XDW114" s="181"/>
      <c r="XDX114" s="182"/>
      <c r="XDY114" s="181"/>
      <c r="XDZ114" s="182"/>
      <c r="XEA114" s="181"/>
      <c r="XEB114" s="182"/>
      <c r="XEC114" s="181"/>
      <c r="XED114" s="182"/>
      <c r="XEE114" s="181"/>
      <c r="XEF114" s="182"/>
      <c r="XEG114" s="181"/>
      <c r="XEH114" s="182"/>
      <c r="XEI114" s="181"/>
      <c r="XEJ114" s="182"/>
      <c r="XEK114" s="181"/>
      <c r="XEL114" s="182"/>
      <c r="XEM114" s="181"/>
      <c r="XEN114" s="182"/>
      <c r="XEO114" s="181"/>
      <c r="XEP114" s="182"/>
      <c r="XEQ114" s="181"/>
      <c r="XER114" s="182"/>
      <c r="XES114" s="181"/>
      <c r="XET114" s="182"/>
      <c r="XEU114" s="181"/>
      <c r="XEV114" s="182"/>
      <c r="XEW114" s="181"/>
      <c r="XEX114" s="182"/>
      <c r="XEY114" s="181"/>
      <c r="XEZ114" s="182"/>
      <c r="XFA114" s="181"/>
      <c r="XFB114" s="182"/>
      <c r="XFC114" s="181"/>
      <c r="XFD114" s="182"/>
    </row>
    <row r="115" spans="1:16384" s="99" customFormat="1" ht="65.099999999999994" customHeight="1">
      <c r="A115" s="102"/>
      <c r="B115" s="102"/>
      <c r="C115" s="103"/>
      <c r="D115" s="102"/>
      <c r="E115" s="103"/>
      <c r="F115" s="102"/>
      <c r="G115" s="103"/>
      <c r="H115" s="103"/>
      <c r="I115" s="104"/>
      <c r="J115" s="104"/>
      <c r="K115" s="103"/>
      <c r="L115" s="103"/>
      <c r="M115" s="103"/>
      <c r="N115" s="103"/>
      <c r="O115" s="103"/>
      <c r="P115" s="103"/>
      <c r="Q115" s="103"/>
      <c r="R115" s="103"/>
      <c r="S115" s="103"/>
      <c r="T115" s="103"/>
      <c r="U115" s="103"/>
      <c r="V115" s="103"/>
      <c r="W115" s="103"/>
      <c r="X115" s="103"/>
      <c r="Y115" s="103"/>
      <c r="Z115" s="103"/>
      <c r="AA115" s="105"/>
      <c r="AB115" s="102"/>
      <c r="AC115" s="181"/>
      <c r="AD115" s="182"/>
      <c r="AE115" s="181"/>
      <c r="AF115" s="182"/>
      <c r="AG115" s="181"/>
      <c r="AH115" s="182"/>
      <c r="AI115" s="181"/>
      <c r="AJ115" s="182"/>
      <c r="AK115" s="181"/>
      <c r="AL115" s="182"/>
      <c r="AM115" s="181"/>
      <c r="AN115" s="182"/>
      <c r="AO115" s="181"/>
      <c r="AP115" s="182"/>
      <c r="AQ115" s="181"/>
      <c r="AR115" s="182"/>
      <c r="AS115" s="181"/>
      <c r="AT115" s="182"/>
      <c r="AU115" s="181"/>
      <c r="AV115" s="182"/>
      <c r="AW115" s="181"/>
      <c r="AX115" s="182"/>
      <c r="AY115" s="181"/>
      <c r="AZ115" s="182"/>
      <c r="BA115" s="181"/>
      <c r="BB115" s="182"/>
      <c r="BC115" s="181"/>
      <c r="BD115" s="182"/>
      <c r="BE115" s="181"/>
      <c r="BF115" s="182"/>
      <c r="BG115" s="181"/>
      <c r="BH115" s="182"/>
      <c r="BI115" s="181"/>
      <c r="BJ115" s="182"/>
      <c r="BK115" s="181"/>
      <c r="BL115" s="182"/>
      <c r="BM115" s="181"/>
      <c r="BN115" s="182"/>
      <c r="BO115" s="181"/>
      <c r="BP115" s="182"/>
      <c r="BQ115" s="181"/>
      <c r="BR115" s="182"/>
      <c r="BS115" s="181"/>
      <c r="BT115" s="182"/>
      <c r="BU115" s="181"/>
      <c r="BV115" s="182"/>
      <c r="BW115" s="181"/>
      <c r="BX115" s="182"/>
      <c r="BY115" s="181"/>
      <c r="BZ115" s="182"/>
      <c r="CA115" s="181"/>
      <c r="CB115" s="182"/>
      <c r="CC115" s="181"/>
      <c r="CD115" s="182"/>
      <c r="CE115" s="181"/>
      <c r="CF115" s="182"/>
      <c r="CG115" s="181"/>
      <c r="CH115" s="182"/>
      <c r="CI115" s="181"/>
      <c r="CJ115" s="182"/>
      <c r="CK115" s="181"/>
      <c r="CL115" s="182"/>
      <c r="CM115" s="181"/>
      <c r="CN115" s="182"/>
      <c r="CO115" s="181"/>
      <c r="CP115" s="182"/>
      <c r="CQ115" s="181"/>
      <c r="CR115" s="182"/>
      <c r="CS115" s="181"/>
      <c r="CT115" s="182"/>
      <c r="CU115" s="181"/>
      <c r="CV115" s="182"/>
      <c r="CW115" s="181"/>
      <c r="CX115" s="182"/>
      <c r="CY115" s="181"/>
      <c r="CZ115" s="182"/>
      <c r="DA115" s="181"/>
      <c r="DB115" s="182"/>
      <c r="DC115" s="181"/>
      <c r="DD115" s="182"/>
      <c r="DE115" s="181"/>
      <c r="DF115" s="182"/>
      <c r="DG115" s="181"/>
      <c r="DH115" s="182"/>
      <c r="DI115" s="181"/>
      <c r="DJ115" s="182"/>
      <c r="DK115" s="181"/>
      <c r="DL115" s="182"/>
      <c r="DM115" s="181"/>
      <c r="DN115" s="182"/>
      <c r="DO115" s="181"/>
      <c r="DP115" s="182"/>
      <c r="DQ115" s="181"/>
      <c r="DR115" s="182"/>
      <c r="DS115" s="181"/>
      <c r="DT115" s="182"/>
      <c r="DU115" s="181"/>
      <c r="DV115" s="182"/>
      <c r="DW115" s="181"/>
      <c r="DX115" s="182"/>
      <c r="DY115" s="181"/>
      <c r="DZ115" s="182"/>
      <c r="EA115" s="181"/>
      <c r="EB115" s="182"/>
      <c r="EC115" s="181"/>
      <c r="ED115" s="182"/>
      <c r="EE115" s="181"/>
      <c r="EF115" s="182"/>
      <c r="EG115" s="181"/>
      <c r="EH115" s="182"/>
      <c r="EI115" s="181"/>
      <c r="EJ115" s="182"/>
      <c r="EK115" s="181"/>
      <c r="EL115" s="182"/>
      <c r="EM115" s="181"/>
      <c r="EN115" s="182"/>
      <c r="EO115" s="181"/>
      <c r="EP115" s="182"/>
      <c r="EQ115" s="181"/>
      <c r="ER115" s="182"/>
      <c r="ES115" s="181"/>
      <c r="ET115" s="182"/>
      <c r="EU115" s="181"/>
      <c r="EV115" s="182"/>
      <c r="EW115" s="181"/>
      <c r="EX115" s="182"/>
      <c r="EY115" s="181"/>
      <c r="EZ115" s="182"/>
      <c r="FA115" s="181"/>
      <c r="FB115" s="182"/>
      <c r="FC115" s="181"/>
      <c r="FD115" s="182"/>
      <c r="FE115" s="181"/>
      <c r="FF115" s="182"/>
      <c r="FG115" s="181"/>
      <c r="FH115" s="182"/>
      <c r="FI115" s="181"/>
      <c r="FJ115" s="182"/>
      <c r="FK115" s="181"/>
      <c r="FL115" s="182"/>
      <c r="FM115" s="181"/>
      <c r="FN115" s="182"/>
      <c r="FO115" s="181"/>
      <c r="FP115" s="182"/>
      <c r="FQ115" s="181"/>
      <c r="FR115" s="182"/>
      <c r="FS115" s="181"/>
      <c r="FT115" s="182"/>
      <c r="FU115" s="181"/>
      <c r="FV115" s="182"/>
      <c r="FW115" s="181"/>
      <c r="FX115" s="182"/>
      <c r="FY115" s="181"/>
      <c r="FZ115" s="182"/>
      <c r="GA115" s="181"/>
      <c r="GB115" s="182"/>
      <c r="GC115" s="181"/>
      <c r="GD115" s="182"/>
      <c r="GE115" s="181"/>
      <c r="GF115" s="182"/>
      <c r="GG115" s="181"/>
      <c r="GH115" s="182"/>
      <c r="GI115" s="181"/>
      <c r="GJ115" s="182"/>
      <c r="GK115" s="181"/>
      <c r="GL115" s="182"/>
      <c r="GM115" s="181"/>
      <c r="GN115" s="182"/>
      <c r="GO115" s="181"/>
      <c r="GP115" s="182"/>
      <c r="GQ115" s="181"/>
      <c r="GR115" s="182"/>
      <c r="GS115" s="181"/>
      <c r="GT115" s="182"/>
      <c r="GU115" s="181"/>
      <c r="GV115" s="182"/>
      <c r="GW115" s="181"/>
      <c r="GX115" s="182"/>
      <c r="GY115" s="181"/>
      <c r="GZ115" s="182"/>
      <c r="HA115" s="181"/>
      <c r="HB115" s="182"/>
      <c r="HC115" s="181"/>
      <c r="HD115" s="182"/>
      <c r="HE115" s="181"/>
      <c r="HF115" s="182"/>
      <c r="HG115" s="181"/>
      <c r="HH115" s="182"/>
      <c r="HI115" s="181"/>
      <c r="HJ115" s="182"/>
      <c r="HK115" s="181"/>
      <c r="HL115" s="182"/>
      <c r="HM115" s="181"/>
      <c r="HN115" s="182"/>
      <c r="HO115" s="181"/>
      <c r="HP115" s="182"/>
      <c r="HQ115" s="181"/>
      <c r="HR115" s="182"/>
      <c r="HS115" s="181"/>
      <c r="HT115" s="182"/>
      <c r="HU115" s="181"/>
      <c r="HV115" s="182"/>
      <c r="HW115" s="181"/>
      <c r="HX115" s="182"/>
      <c r="HY115" s="181"/>
      <c r="HZ115" s="182"/>
      <c r="IA115" s="181"/>
      <c r="IB115" s="182"/>
      <c r="IC115" s="181"/>
      <c r="ID115" s="182"/>
      <c r="IE115" s="181"/>
      <c r="IF115" s="182"/>
      <c r="IG115" s="181"/>
      <c r="IH115" s="182"/>
      <c r="II115" s="181"/>
      <c r="IJ115" s="182"/>
      <c r="IK115" s="181"/>
      <c r="IL115" s="182"/>
      <c r="IM115" s="181"/>
      <c r="IN115" s="182"/>
      <c r="IO115" s="181"/>
      <c r="IP115" s="182"/>
      <c r="IQ115" s="181"/>
      <c r="IR115" s="182"/>
      <c r="IS115" s="181"/>
      <c r="IT115" s="182"/>
      <c r="IU115" s="181"/>
      <c r="IV115" s="182"/>
      <c r="IW115" s="181"/>
      <c r="IX115" s="182"/>
      <c r="IY115" s="181"/>
      <c r="IZ115" s="182"/>
      <c r="JA115" s="181"/>
      <c r="JB115" s="182"/>
      <c r="JC115" s="181"/>
      <c r="JD115" s="182"/>
      <c r="JE115" s="181"/>
      <c r="JF115" s="182"/>
      <c r="JG115" s="181"/>
      <c r="JH115" s="182"/>
      <c r="JI115" s="181"/>
      <c r="JJ115" s="182"/>
      <c r="JK115" s="181"/>
      <c r="JL115" s="182"/>
      <c r="JM115" s="181"/>
      <c r="JN115" s="182"/>
      <c r="JO115" s="181"/>
      <c r="JP115" s="182"/>
      <c r="JQ115" s="181"/>
      <c r="JR115" s="182"/>
      <c r="JS115" s="181"/>
      <c r="JT115" s="182"/>
      <c r="JU115" s="181"/>
      <c r="JV115" s="182"/>
      <c r="JW115" s="181"/>
      <c r="JX115" s="182"/>
      <c r="JY115" s="181"/>
      <c r="JZ115" s="182"/>
      <c r="KA115" s="181"/>
      <c r="KB115" s="182"/>
      <c r="KC115" s="181"/>
      <c r="KD115" s="182"/>
      <c r="KE115" s="181"/>
      <c r="KF115" s="182"/>
      <c r="KG115" s="181"/>
      <c r="KH115" s="182"/>
      <c r="KI115" s="181"/>
      <c r="KJ115" s="182"/>
      <c r="KK115" s="181"/>
      <c r="KL115" s="182"/>
      <c r="KM115" s="181"/>
      <c r="KN115" s="182"/>
      <c r="KO115" s="181"/>
      <c r="KP115" s="182"/>
      <c r="KQ115" s="181"/>
      <c r="KR115" s="182"/>
      <c r="KS115" s="181"/>
      <c r="KT115" s="182"/>
      <c r="KU115" s="181"/>
      <c r="KV115" s="182"/>
      <c r="KW115" s="181"/>
      <c r="KX115" s="182"/>
      <c r="KY115" s="181"/>
      <c r="KZ115" s="182"/>
      <c r="LA115" s="181"/>
      <c r="LB115" s="182"/>
      <c r="LC115" s="181"/>
      <c r="LD115" s="182"/>
      <c r="LE115" s="181"/>
      <c r="LF115" s="182"/>
      <c r="LG115" s="181"/>
      <c r="LH115" s="182"/>
      <c r="LI115" s="181"/>
      <c r="LJ115" s="182"/>
      <c r="LK115" s="181"/>
      <c r="LL115" s="182"/>
      <c r="LM115" s="181"/>
      <c r="LN115" s="182"/>
      <c r="LO115" s="181"/>
      <c r="LP115" s="182"/>
      <c r="LQ115" s="181"/>
      <c r="LR115" s="182"/>
      <c r="LS115" s="181"/>
      <c r="LT115" s="182"/>
      <c r="LU115" s="181"/>
      <c r="LV115" s="182"/>
      <c r="LW115" s="181"/>
      <c r="LX115" s="182"/>
      <c r="LY115" s="181"/>
      <c r="LZ115" s="182"/>
      <c r="MA115" s="181"/>
      <c r="MB115" s="182"/>
      <c r="MC115" s="181"/>
      <c r="MD115" s="182"/>
      <c r="ME115" s="181"/>
      <c r="MF115" s="182"/>
      <c r="MG115" s="181"/>
      <c r="MH115" s="182"/>
      <c r="MI115" s="181"/>
      <c r="MJ115" s="182"/>
      <c r="MK115" s="181"/>
      <c r="ML115" s="182"/>
      <c r="MM115" s="181"/>
      <c r="MN115" s="182"/>
      <c r="MO115" s="181"/>
      <c r="MP115" s="182"/>
      <c r="MQ115" s="181"/>
      <c r="MR115" s="182"/>
      <c r="MS115" s="181"/>
      <c r="MT115" s="182"/>
      <c r="MU115" s="181"/>
      <c r="MV115" s="182"/>
      <c r="MW115" s="181"/>
      <c r="MX115" s="182"/>
      <c r="MY115" s="181"/>
      <c r="MZ115" s="182"/>
      <c r="NA115" s="181"/>
      <c r="NB115" s="182"/>
      <c r="NC115" s="181"/>
      <c r="ND115" s="182"/>
      <c r="NE115" s="181"/>
      <c r="NF115" s="182"/>
      <c r="NG115" s="181"/>
      <c r="NH115" s="182"/>
      <c r="NI115" s="181"/>
      <c r="NJ115" s="182"/>
      <c r="NK115" s="181"/>
      <c r="NL115" s="182"/>
      <c r="NM115" s="181"/>
      <c r="NN115" s="182"/>
      <c r="NO115" s="181"/>
      <c r="NP115" s="182"/>
      <c r="NQ115" s="181"/>
      <c r="NR115" s="182"/>
      <c r="NS115" s="181"/>
      <c r="NT115" s="182"/>
      <c r="NU115" s="181"/>
      <c r="NV115" s="182"/>
      <c r="NW115" s="181"/>
      <c r="NX115" s="182"/>
      <c r="NY115" s="181"/>
      <c r="NZ115" s="182"/>
      <c r="OA115" s="181"/>
      <c r="OB115" s="182"/>
      <c r="OC115" s="181"/>
      <c r="OD115" s="182"/>
      <c r="OE115" s="181"/>
      <c r="OF115" s="182"/>
      <c r="OG115" s="181"/>
      <c r="OH115" s="182"/>
      <c r="OI115" s="181"/>
      <c r="OJ115" s="182"/>
      <c r="OK115" s="181"/>
      <c r="OL115" s="182"/>
      <c r="OM115" s="181"/>
      <c r="ON115" s="182"/>
      <c r="OO115" s="181"/>
      <c r="OP115" s="182"/>
      <c r="OQ115" s="181"/>
      <c r="OR115" s="182"/>
      <c r="OS115" s="181"/>
      <c r="OT115" s="182"/>
      <c r="OU115" s="181"/>
      <c r="OV115" s="182"/>
      <c r="OW115" s="181"/>
      <c r="OX115" s="182"/>
      <c r="OY115" s="181"/>
      <c r="OZ115" s="182"/>
      <c r="PA115" s="181"/>
      <c r="PB115" s="182"/>
      <c r="PC115" s="181"/>
      <c r="PD115" s="182"/>
      <c r="PE115" s="181"/>
      <c r="PF115" s="182"/>
      <c r="PG115" s="181"/>
      <c r="PH115" s="182"/>
      <c r="PI115" s="181"/>
      <c r="PJ115" s="182"/>
      <c r="PK115" s="181"/>
      <c r="PL115" s="182"/>
      <c r="PM115" s="181"/>
      <c r="PN115" s="182"/>
      <c r="PO115" s="181"/>
      <c r="PP115" s="182"/>
      <c r="PQ115" s="181"/>
      <c r="PR115" s="182"/>
      <c r="PS115" s="181"/>
      <c r="PT115" s="182"/>
      <c r="PU115" s="181"/>
      <c r="PV115" s="182"/>
      <c r="PW115" s="181"/>
      <c r="PX115" s="182"/>
      <c r="PY115" s="181"/>
      <c r="PZ115" s="182"/>
      <c r="QA115" s="181"/>
      <c r="QB115" s="182"/>
      <c r="QC115" s="181"/>
      <c r="QD115" s="182"/>
      <c r="QE115" s="181"/>
      <c r="QF115" s="182"/>
      <c r="QG115" s="181"/>
      <c r="QH115" s="182"/>
      <c r="QI115" s="181"/>
      <c r="QJ115" s="182"/>
      <c r="QK115" s="181"/>
      <c r="QL115" s="182"/>
      <c r="QM115" s="181"/>
      <c r="QN115" s="182"/>
      <c r="QO115" s="181"/>
      <c r="QP115" s="182"/>
      <c r="QQ115" s="181"/>
      <c r="QR115" s="182"/>
      <c r="QS115" s="181"/>
      <c r="QT115" s="182"/>
      <c r="QU115" s="181"/>
      <c r="QV115" s="182"/>
      <c r="QW115" s="181"/>
      <c r="QX115" s="182"/>
      <c r="QY115" s="181"/>
      <c r="QZ115" s="182"/>
      <c r="RA115" s="181"/>
      <c r="RB115" s="182"/>
      <c r="RC115" s="181"/>
      <c r="RD115" s="182"/>
      <c r="RE115" s="181"/>
      <c r="RF115" s="182"/>
      <c r="RG115" s="181"/>
      <c r="RH115" s="182"/>
      <c r="RI115" s="181"/>
      <c r="RJ115" s="182"/>
      <c r="RK115" s="181"/>
      <c r="RL115" s="182"/>
      <c r="RM115" s="181"/>
      <c r="RN115" s="182"/>
      <c r="RO115" s="181"/>
      <c r="RP115" s="182"/>
      <c r="RQ115" s="181"/>
      <c r="RR115" s="182"/>
      <c r="RS115" s="181"/>
      <c r="RT115" s="182"/>
      <c r="RU115" s="181"/>
      <c r="RV115" s="182"/>
      <c r="RW115" s="181"/>
      <c r="RX115" s="182"/>
      <c r="RY115" s="181"/>
      <c r="RZ115" s="182"/>
      <c r="SA115" s="181"/>
      <c r="SB115" s="182"/>
      <c r="SC115" s="181"/>
      <c r="SD115" s="182"/>
      <c r="SE115" s="181"/>
      <c r="SF115" s="182"/>
      <c r="SG115" s="181"/>
      <c r="SH115" s="182"/>
      <c r="SI115" s="181"/>
      <c r="SJ115" s="182"/>
      <c r="SK115" s="181"/>
      <c r="SL115" s="182"/>
      <c r="SM115" s="181"/>
      <c r="SN115" s="182"/>
      <c r="SO115" s="181"/>
      <c r="SP115" s="182"/>
      <c r="SQ115" s="181"/>
      <c r="SR115" s="182"/>
      <c r="SS115" s="181"/>
      <c r="ST115" s="182"/>
      <c r="SU115" s="181"/>
      <c r="SV115" s="182"/>
      <c r="SW115" s="181"/>
      <c r="SX115" s="182"/>
      <c r="SY115" s="181"/>
      <c r="SZ115" s="182"/>
      <c r="TA115" s="181"/>
      <c r="TB115" s="182"/>
      <c r="TC115" s="181"/>
      <c r="TD115" s="182"/>
      <c r="TE115" s="181"/>
      <c r="TF115" s="182"/>
      <c r="TG115" s="181"/>
      <c r="TH115" s="182"/>
      <c r="TI115" s="181"/>
      <c r="TJ115" s="182"/>
      <c r="TK115" s="181"/>
      <c r="TL115" s="182"/>
      <c r="TM115" s="181"/>
      <c r="TN115" s="182"/>
      <c r="TO115" s="181"/>
      <c r="TP115" s="182"/>
      <c r="TQ115" s="181"/>
      <c r="TR115" s="182"/>
      <c r="TS115" s="181"/>
      <c r="TT115" s="182"/>
      <c r="TU115" s="181"/>
      <c r="TV115" s="182"/>
      <c r="TW115" s="181"/>
      <c r="TX115" s="182"/>
      <c r="TY115" s="181"/>
      <c r="TZ115" s="182"/>
      <c r="UA115" s="181"/>
      <c r="UB115" s="182"/>
      <c r="UC115" s="181"/>
      <c r="UD115" s="182"/>
      <c r="UE115" s="181"/>
      <c r="UF115" s="182"/>
      <c r="UG115" s="181"/>
      <c r="UH115" s="182"/>
      <c r="UI115" s="181"/>
      <c r="UJ115" s="182"/>
      <c r="UK115" s="181"/>
      <c r="UL115" s="182"/>
      <c r="UM115" s="181"/>
      <c r="UN115" s="182"/>
      <c r="UO115" s="181"/>
      <c r="UP115" s="182"/>
      <c r="UQ115" s="181"/>
      <c r="UR115" s="182"/>
      <c r="US115" s="181"/>
      <c r="UT115" s="182"/>
      <c r="UU115" s="181"/>
      <c r="UV115" s="182"/>
      <c r="UW115" s="181"/>
      <c r="UX115" s="182"/>
      <c r="UY115" s="181"/>
      <c r="UZ115" s="182"/>
      <c r="VA115" s="181"/>
      <c r="VB115" s="182"/>
      <c r="VC115" s="181"/>
      <c r="VD115" s="182"/>
      <c r="VE115" s="181"/>
      <c r="VF115" s="182"/>
      <c r="VG115" s="181"/>
      <c r="VH115" s="182"/>
      <c r="VI115" s="181"/>
      <c r="VJ115" s="182"/>
      <c r="VK115" s="181"/>
      <c r="VL115" s="182"/>
      <c r="VM115" s="181"/>
      <c r="VN115" s="182"/>
      <c r="VO115" s="181"/>
      <c r="VP115" s="182"/>
      <c r="VQ115" s="181"/>
      <c r="VR115" s="182"/>
      <c r="VS115" s="181"/>
      <c r="VT115" s="182"/>
      <c r="VU115" s="181"/>
      <c r="VV115" s="182"/>
      <c r="VW115" s="181"/>
      <c r="VX115" s="182"/>
      <c r="VY115" s="181"/>
      <c r="VZ115" s="182"/>
      <c r="WA115" s="181"/>
      <c r="WB115" s="182"/>
      <c r="WC115" s="181"/>
      <c r="WD115" s="182"/>
      <c r="WE115" s="181"/>
      <c r="WF115" s="182"/>
      <c r="WG115" s="181"/>
      <c r="WH115" s="182"/>
      <c r="WI115" s="181"/>
      <c r="WJ115" s="182"/>
      <c r="WK115" s="181"/>
      <c r="WL115" s="182"/>
      <c r="WM115" s="181"/>
      <c r="WN115" s="182"/>
      <c r="WO115" s="181"/>
      <c r="WP115" s="182"/>
      <c r="WQ115" s="181"/>
      <c r="WR115" s="182"/>
      <c r="WS115" s="181"/>
      <c r="WT115" s="182"/>
      <c r="WU115" s="181"/>
      <c r="WV115" s="182"/>
      <c r="WW115" s="181"/>
      <c r="WX115" s="182"/>
      <c r="WY115" s="181"/>
      <c r="WZ115" s="182"/>
      <c r="XA115" s="181"/>
      <c r="XB115" s="182"/>
      <c r="XC115" s="181"/>
      <c r="XD115" s="182"/>
      <c r="XE115" s="181"/>
      <c r="XF115" s="182"/>
      <c r="XG115" s="181"/>
      <c r="XH115" s="182"/>
      <c r="XI115" s="181"/>
      <c r="XJ115" s="182"/>
      <c r="XK115" s="181"/>
      <c r="XL115" s="182"/>
      <c r="XM115" s="181"/>
      <c r="XN115" s="182"/>
      <c r="XO115" s="181"/>
      <c r="XP115" s="182"/>
      <c r="XQ115" s="181"/>
      <c r="XR115" s="182"/>
      <c r="XS115" s="181"/>
      <c r="XT115" s="182"/>
      <c r="XU115" s="181"/>
      <c r="XV115" s="182"/>
      <c r="XW115" s="181"/>
      <c r="XX115" s="182"/>
      <c r="XY115" s="181"/>
      <c r="XZ115" s="182"/>
      <c r="YA115" s="181"/>
      <c r="YB115" s="182"/>
      <c r="YC115" s="181"/>
      <c r="YD115" s="182"/>
      <c r="YE115" s="181"/>
      <c r="YF115" s="182"/>
      <c r="YG115" s="181"/>
      <c r="YH115" s="182"/>
      <c r="YI115" s="181"/>
      <c r="YJ115" s="182"/>
      <c r="YK115" s="181"/>
      <c r="YL115" s="182"/>
      <c r="YM115" s="181"/>
      <c r="YN115" s="182"/>
      <c r="YO115" s="181"/>
      <c r="YP115" s="182"/>
      <c r="YQ115" s="181"/>
      <c r="YR115" s="182"/>
      <c r="YS115" s="181"/>
      <c r="YT115" s="182"/>
      <c r="YU115" s="181"/>
      <c r="YV115" s="182"/>
      <c r="YW115" s="181"/>
      <c r="YX115" s="182"/>
      <c r="YY115" s="181"/>
      <c r="YZ115" s="182"/>
      <c r="ZA115" s="181"/>
      <c r="ZB115" s="182"/>
      <c r="ZC115" s="181"/>
      <c r="ZD115" s="182"/>
      <c r="ZE115" s="181"/>
      <c r="ZF115" s="182"/>
      <c r="ZG115" s="181"/>
      <c r="ZH115" s="182"/>
      <c r="ZI115" s="181"/>
      <c r="ZJ115" s="182"/>
      <c r="ZK115" s="181"/>
      <c r="ZL115" s="182"/>
      <c r="ZM115" s="181"/>
      <c r="ZN115" s="182"/>
      <c r="ZO115" s="181"/>
      <c r="ZP115" s="182"/>
      <c r="ZQ115" s="181"/>
      <c r="ZR115" s="182"/>
      <c r="ZS115" s="181"/>
      <c r="ZT115" s="182"/>
      <c r="ZU115" s="181"/>
      <c r="ZV115" s="182"/>
      <c r="ZW115" s="181"/>
      <c r="ZX115" s="182"/>
      <c r="ZY115" s="181"/>
      <c r="ZZ115" s="182"/>
      <c r="AAA115" s="181"/>
      <c r="AAB115" s="182"/>
      <c r="AAC115" s="181"/>
      <c r="AAD115" s="182"/>
      <c r="AAE115" s="181"/>
      <c r="AAF115" s="182"/>
      <c r="AAG115" s="181"/>
      <c r="AAH115" s="182"/>
      <c r="AAI115" s="181"/>
      <c r="AAJ115" s="182"/>
      <c r="AAK115" s="181"/>
      <c r="AAL115" s="182"/>
      <c r="AAM115" s="181"/>
      <c r="AAN115" s="182"/>
      <c r="AAO115" s="181"/>
      <c r="AAP115" s="182"/>
      <c r="AAQ115" s="181"/>
      <c r="AAR115" s="182"/>
      <c r="AAS115" s="181"/>
      <c r="AAT115" s="182"/>
      <c r="AAU115" s="181"/>
      <c r="AAV115" s="182"/>
      <c r="AAW115" s="181"/>
      <c r="AAX115" s="182"/>
      <c r="AAY115" s="181"/>
      <c r="AAZ115" s="182"/>
      <c r="ABA115" s="181"/>
      <c r="ABB115" s="182"/>
      <c r="ABC115" s="181"/>
      <c r="ABD115" s="182"/>
      <c r="ABE115" s="181"/>
      <c r="ABF115" s="182"/>
      <c r="ABG115" s="181"/>
      <c r="ABH115" s="182"/>
      <c r="ABI115" s="181"/>
      <c r="ABJ115" s="182"/>
      <c r="ABK115" s="181"/>
      <c r="ABL115" s="182"/>
      <c r="ABM115" s="181"/>
      <c r="ABN115" s="182"/>
      <c r="ABO115" s="181"/>
      <c r="ABP115" s="182"/>
      <c r="ABQ115" s="181"/>
      <c r="ABR115" s="182"/>
      <c r="ABS115" s="181"/>
      <c r="ABT115" s="182"/>
      <c r="ABU115" s="181"/>
      <c r="ABV115" s="182"/>
      <c r="ABW115" s="181"/>
      <c r="ABX115" s="182"/>
      <c r="ABY115" s="181"/>
      <c r="ABZ115" s="182"/>
      <c r="ACA115" s="181"/>
      <c r="ACB115" s="182"/>
      <c r="ACC115" s="181"/>
      <c r="ACD115" s="182"/>
      <c r="ACE115" s="181"/>
      <c r="ACF115" s="182"/>
      <c r="ACG115" s="181"/>
      <c r="ACH115" s="182"/>
      <c r="ACI115" s="181"/>
      <c r="ACJ115" s="182"/>
      <c r="ACK115" s="181"/>
      <c r="ACL115" s="182"/>
      <c r="ACM115" s="181"/>
      <c r="ACN115" s="182"/>
      <c r="ACO115" s="181"/>
      <c r="ACP115" s="182"/>
      <c r="ACQ115" s="181"/>
      <c r="ACR115" s="182"/>
      <c r="ACS115" s="181"/>
      <c r="ACT115" s="182"/>
      <c r="ACU115" s="181"/>
      <c r="ACV115" s="182"/>
      <c r="ACW115" s="181"/>
      <c r="ACX115" s="182"/>
      <c r="ACY115" s="181"/>
      <c r="ACZ115" s="182"/>
      <c r="ADA115" s="181"/>
      <c r="ADB115" s="182"/>
      <c r="ADC115" s="181"/>
      <c r="ADD115" s="182"/>
      <c r="ADE115" s="181"/>
      <c r="ADF115" s="182"/>
      <c r="ADG115" s="181"/>
      <c r="ADH115" s="182"/>
      <c r="ADI115" s="181"/>
      <c r="ADJ115" s="182"/>
      <c r="ADK115" s="181"/>
      <c r="ADL115" s="182"/>
      <c r="ADM115" s="181"/>
      <c r="ADN115" s="182"/>
      <c r="ADO115" s="181"/>
      <c r="ADP115" s="182"/>
      <c r="ADQ115" s="181"/>
      <c r="ADR115" s="182"/>
      <c r="ADS115" s="181"/>
      <c r="ADT115" s="182"/>
      <c r="ADU115" s="181"/>
      <c r="ADV115" s="182"/>
      <c r="ADW115" s="181"/>
      <c r="ADX115" s="182"/>
      <c r="ADY115" s="181"/>
      <c r="ADZ115" s="182"/>
      <c r="AEA115" s="181"/>
      <c r="AEB115" s="182"/>
      <c r="AEC115" s="181"/>
      <c r="AED115" s="182"/>
      <c r="AEE115" s="181"/>
      <c r="AEF115" s="182"/>
      <c r="AEG115" s="181"/>
      <c r="AEH115" s="182"/>
      <c r="AEI115" s="181"/>
      <c r="AEJ115" s="182"/>
      <c r="AEK115" s="181"/>
      <c r="AEL115" s="182"/>
      <c r="AEM115" s="181"/>
      <c r="AEN115" s="182"/>
      <c r="AEO115" s="181"/>
      <c r="AEP115" s="182"/>
      <c r="AEQ115" s="181"/>
      <c r="AER115" s="182"/>
      <c r="AES115" s="181"/>
      <c r="AET115" s="182"/>
      <c r="AEU115" s="181"/>
      <c r="AEV115" s="182"/>
      <c r="AEW115" s="181"/>
      <c r="AEX115" s="182"/>
      <c r="AEY115" s="181"/>
      <c r="AEZ115" s="182"/>
      <c r="AFA115" s="181"/>
      <c r="AFB115" s="182"/>
      <c r="AFC115" s="181"/>
      <c r="AFD115" s="182"/>
      <c r="AFE115" s="181"/>
      <c r="AFF115" s="182"/>
      <c r="AFG115" s="181"/>
      <c r="AFH115" s="182"/>
      <c r="AFI115" s="181"/>
      <c r="AFJ115" s="182"/>
      <c r="AFK115" s="181"/>
      <c r="AFL115" s="182"/>
      <c r="AFM115" s="181"/>
      <c r="AFN115" s="182"/>
      <c r="AFO115" s="181"/>
      <c r="AFP115" s="182"/>
      <c r="AFQ115" s="181"/>
      <c r="AFR115" s="182"/>
      <c r="AFS115" s="181"/>
      <c r="AFT115" s="182"/>
      <c r="AFU115" s="181"/>
      <c r="AFV115" s="182"/>
      <c r="AFW115" s="181"/>
      <c r="AFX115" s="182"/>
      <c r="AFY115" s="181"/>
      <c r="AFZ115" s="182"/>
      <c r="AGA115" s="181"/>
      <c r="AGB115" s="182"/>
      <c r="AGC115" s="181"/>
      <c r="AGD115" s="182"/>
      <c r="AGE115" s="181"/>
      <c r="AGF115" s="182"/>
      <c r="AGG115" s="181"/>
      <c r="AGH115" s="182"/>
      <c r="AGI115" s="181"/>
      <c r="AGJ115" s="182"/>
      <c r="AGK115" s="181"/>
      <c r="AGL115" s="182"/>
      <c r="AGM115" s="181"/>
      <c r="AGN115" s="182"/>
      <c r="AGO115" s="181"/>
      <c r="AGP115" s="182"/>
      <c r="AGQ115" s="181"/>
      <c r="AGR115" s="182"/>
      <c r="AGS115" s="181"/>
      <c r="AGT115" s="182"/>
      <c r="AGU115" s="181"/>
      <c r="AGV115" s="182"/>
      <c r="AGW115" s="181"/>
      <c r="AGX115" s="182"/>
      <c r="AGY115" s="181"/>
      <c r="AGZ115" s="182"/>
      <c r="AHA115" s="181"/>
      <c r="AHB115" s="182"/>
      <c r="AHC115" s="181"/>
      <c r="AHD115" s="182"/>
      <c r="AHE115" s="181"/>
      <c r="AHF115" s="182"/>
      <c r="AHG115" s="181"/>
      <c r="AHH115" s="182"/>
      <c r="AHI115" s="181"/>
      <c r="AHJ115" s="182"/>
      <c r="AHK115" s="181"/>
      <c r="AHL115" s="182"/>
      <c r="AHM115" s="181"/>
      <c r="AHN115" s="182"/>
      <c r="AHO115" s="181"/>
      <c r="AHP115" s="182"/>
      <c r="AHQ115" s="181"/>
      <c r="AHR115" s="182"/>
      <c r="AHS115" s="181"/>
      <c r="AHT115" s="182"/>
      <c r="AHU115" s="181"/>
      <c r="AHV115" s="182"/>
      <c r="AHW115" s="181"/>
      <c r="AHX115" s="182"/>
      <c r="AHY115" s="181"/>
      <c r="AHZ115" s="182"/>
      <c r="AIA115" s="181"/>
      <c r="AIB115" s="182"/>
      <c r="AIC115" s="181"/>
      <c r="AID115" s="182"/>
      <c r="AIE115" s="181"/>
      <c r="AIF115" s="182"/>
      <c r="AIG115" s="181"/>
      <c r="AIH115" s="182"/>
      <c r="AII115" s="181"/>
      <c r="AIJ115" s="182"/>
      <c r="AIK115" s="181"/>
      <c r="AIL115" s="182"/>
      <c r="AIM115" s="181"/>
      <c r="AIN115" s="182"/>
      <c r="AIO115" s="181"/>
      <c r="AIP115" s="182"/>
      <c r="AIQ115" s="181"/>
      <c r="AIR115" s="182"/>
      <c r="AIS115" s="181"/>
      <c r="AIT115" s="182"/>
      <c r="AIU115" s="181"/>
      <c r="AIV115" s="182"/>
      <c r="AIW115" s="181"/>
      <c r="AIX115" s="182"/>
      <c r="AIY115" s="181"/>
      <c r="AIZ115" s="182"/>
      <c r="AJA115" s="181"/>
      <c r="AJB115" s="182"/>
      <c r="AJC115" s="181"/>
      <c r="AJD115" s="182"/>
      <c r="AJE115" s="181"/>
      <c r="AJF115" s="182"/>
      <c r="AJG115" s="181"/>
      <c r="AJH115" s="182"/>
      <c r="AJI115" s="181"/>
      <c r="AJJ115" s="182"/>
      <c r="AJK115" s="181"/>
      <c r="AJL115" s="182"/>
      <c r="AJM115" s="181"/>
      <c r="AJN115" s="182"/>
      <c r="AJO115" s="181"/>
      <c r="AJP115" s="182"/>
      <c r="AJQ115" s="181"/>
      <c r="AJR115" s="182"/>
      <c r="AJS115" s="181"/>
      <c r="AJT115" s="182"/>
      <c r="AJU115" s="181"/>
      <c r="AJV115" s="182"/>
      <c r="AJW115" s="181"/>
      <c r="AJX115" s="182"/>
      <c r="AJY115" s="181"/>
      <c r="AJZ115" s="182"/>
      <c r="AKA115" s="181"/>
      <c r="AKB115" s="182"/>
      <c r="AKC115" s="181"/>
      <c r="AKD115" s="182"/>
      <c r="AKE115" s="181"/>
      <c r="AKF115" s="182"/>
      <c r="AKG115" s="181"/>
      <c r="AKH115" s="182"/>
      <c r="AKI115" s="181"/>
      <c r="AKJ115" s="182"/>
      <c r="AKK115" s="181"/>
      <c r="AKL115" s="182"/>
      <c r="AKM115" s="181"/>
      <c r="AKN115" s="182"/>
      <c r="AKO115" s="181"/>
      <c r="AKP115" s="182"/>
      <c r="AKQ115" s="181"/>
      <c r="AKR115" s="182"/>
      <c r="AKS115" s="181"/>
      <c r="AKT115" s="182"/>
      <c r="AKU115" s="181"/>
      <c r="AKV115" s="182"/>
      <c r="AKW115" s="181"/>
      <c r="AKX115" s="182"/>
      <c r="AKY115" s="181"/>
      <c r="AKZ115" s="182"/>
      <c r="ALA115" s="181"/>
      <c r="ALB115" s="182"/>
      <c r="ALC115" s="181"/>
      <c r="ALD115" s="182"/>
      <c r="ALE115" s="181"/>
      <c r="ALF115" s="182"/>
      <c r="ALG115" s="181"/>
      <c r="ALH115" s="182"/>
      <c r="ALI115" s="181"/>
      <c r="ALJ115" s="182"/>
      <c r="ALK115" s="181"/>
      <c r="ALL115" s="182"/>
      <c r="ALM115" s="181"/>
      <c r="ALN115" s="182"/>
      <c r="ALO115" s="181"/>
      <c r="ALP115" s="182"/>
      <c r="ALQ115" s="181"/>
      <c r="ALR115" s="182"/>
      <c r="ALS115" s="181"/>
      <c r="ALT115" s="182"/>
      <c r="ALU115" s="181"/>
      <c r="ALV115" s="182"/>
      <c r="ALW115" s="181"/>
      <c r="ALX115" s="182"/>
      <c r="ALY115" s="181"/>
      <c r="ALZ115" s="182"/>
      <c r="AMA115" s="181"/>
      <c r="AMB115" s="182"/>
      <c r="AMC115" s="181"/>
      <c r="AMD115" s="182"/>
      <c r="AME115" s="181"/>
      <c r="AMF115" s="182"/>
      <c r="AMG115" s="181"/>
      <c r="AMH115" s="182"/>
      <c r="AMI115" s="181"/>
      <c r="AMJ115" s="182"/>
      <c r="AMK115" s="181"/>
      <c r="AML115" s="182"/>
      <c r="AMM115" s="181"/>
      <c r="AMN115" s="182"/>
      <c r="AMO115" s="181"/>
      <c r="AMP115" s="182"/>
      <c r="AMQ115" s="181"/>
      <c r="AMR115" s="182"/>
      <c r="AMS115" s="181"/>
      <c r="AMT115" s="182"/>
      <c r="AMU115" s="181"/>
      <c r="AMV115" s="182"/>
      <c r="AMW115" s="181"/>
      <c r="AMX115" s="182"/>
      <c r="AMY115" s="181"/>
      <c r="AMZ115" s="182"/>
      <c r="ANA115" s="181"/>
      <c r="ANB115" s="182"/>
      <c r="ANC115" s="181"/>
      <c r="AND115" s="182"/>
      <c r="ANE115" s="181"/>
      <c r="ANF115" s="182"/>
      <c r="ANG115" s="181"/>
      <c r="ANH115" s="182"/>
      <c r="ANI115" s="181"/>
      <c r="ANJ115" s="182"/>
      <c r="ANK115" s="181"/>
      <c r="ANL115" s="182"/>
      <c r="ANM115" s="181"/>
      <c r="ANN115" s="182"/>
      <c r="ANO115" s="181"/>
      <c r="ANP115" s="182"/>
      <c r="ANQ115" s="181"/>
      <c r="ANR115" s="182"/>
      <c r="ANS115" s="181"/>
      <c r="ANT115" s="182"/>
      <c r="ANU115" s="181"/>
      <c r="ANV115" s="182"/>
      <c r="ANW115" s="181"/>
      <c r="ANX115" s="182"/>
      <c r="ANY115" s="181"/>
      <c r="ANZ115" s="182"/>
      <c r="AOA115" s="181"/>
      <c r="AOB115" s="182"/>
      <c r="AOC115" s="181"/>
      <c r="AOD115" s="182"/>
      <c r="AOE115" s="181"/>
      <c r="AOF115" s="182"/>
      <c r="AOG115" s="181"/>
      <c r="AOH115" s="182"/>
      <c r="AOI115" s="181"/>
      <c r="AOJ115" s="182"/>
      <c r="AOK115" s="181"/>
      <c r="AOL115" s="182"/>
      <c r="AOM115" s="181"/>
      <c r="AON115" s="182"/>
      <c r="AOO115" s="181"/>
      <c r="AOP115" s="182"/>
      <c r="AOQ115" s="181"/>
      <c r="AOR115" s="182"/>
      <c r="AOS115" s="181"/>
      <c r="AOT115" s="182"/>
      <c r="AOU115" s="181"/>
      <c r="AOV115" s="182"/>
      <c r="AOW115" s="181"/>
      <c r="AOX115" s="182"/>
      <c r="AOY115" s="181"/>
      <c r="AOZ115" s="182"/>
      <c r="APA115" s="181"/>
      <c r="APB115" s="182"/>
      <c r="APC115" s="181"/>
      <c r="APD115" s="182"/>
      <c r="APE115" s="181"/>
      <c r="APF115" s="182"/>
      <c r="APG115" s="181"/>
      <c r="APH115" s="182"/>
      <c r="API115" s="181"/>
      <c r="APJ115" s="182"/>
      <c r="APK115" s="181"/>
      <c r="APL115" s="182"/>
      <c r="APM115" s="181"/>
      <c r="APN115" s="182"/>
      <c r="APO115" s="181"/>
      <c r="APP115" s="182"/>
      <c r="APQ115" s="181"/>
      <c r="APR115" s="182"/>
      <c r="APS115" s="181"/>
      <c r="APT115" s="182"/>
      <c r="APU115" s="181"/>
      <c r="APV115" s="182"/>
      <c r="APW115" s="181"/>
      <c r="APX115" s="182"/>
      <c r="APY115" s="181"/>
      <c r="APZ115" s="182"/>
      <c r="AQA115" s="181"/>
      <c r="AQB115" s="182"/>
      <c r="AQC115" s="181"/>
      <c r="AQD115" s="182"/>
      <c r="AQE115" s="181"/>
      <c r="AQF115" s="182"/>
      <c r="AQG115" s="181"/>
      <c r="AQH115" s="182"/>
      <c r="AQI115" s="181"/>
      <c r="AQJ115" s="182"/>
      <c r="AQK115" s="181"/>
      <c r="AQL115" s="182"/>
      <c r="AQM115" s="181"/>
      <c r="AQN115" s="182"/>
      <c r="AQO115" s="181"/>
      <c r="AQP115" s="182"/>
      <c r="AQQ115" s="181"/>
      <c r="AQR115" s="182"/>
      <c r="AQS115" s="181"/>
      <c r="AQT115" s="182"/>
      <c r="AQU115" s="181"/>
      <c r="AQV115" s="182"/>
      <c r="AQW115" s="181"/>
      <c r="AQX115" s="182"/>
      <c r="AQY115" s="181"/>
      <c r="AQZ115" s="182"/>
      <c r="ARA115" s="181"/>
      <c r="ARB115" s="182"/>
      <c r="ARC115" s="181"/>
      <c r="ARD115" s="182"/>
      <c r="ARE115" s="181"/>
      <c r="ARF115" s="182"/>
      <c r="ARG115" s="181"/>
      <c r="ARH115" s="182"/>
      <c r="ARI115" s="181"/>
      <c r="ARJ115" s="182"/>
      <c r="ARK115" s="181"/>
      <c r="ARL115" s="182"/>
      <c r="ARM115" s="181"/>
      <c r="ARN115" s="182"/>
      <c r="ARO115" s="181"/>
      <c r="ARP115" s="182"/>
      <c r="ARQ115" s="181"/>
      <c r="ARR115" s="182"/>
      <c r="ARS115" s="181"/>
      <c r="ART115" s="182"/>
      <c r="ARU115" s="181"/>
      <c r="ARV115" s="182"/>
      <c r="ARW115" s="181"/>
      <c r="ARX115" s="182"/>
      <c r="ARY115" s="181"/>
      <c r="ARZ115" s="182"/>
      <c r="ASA115" s="181"/>
      <c r="ASB115" s="182"/>
      <c r="ASC115" s="181"/>
      <c r="ASD115" s="182"/>
      <c r="ASE115" s="181"/>
      <c r="ASF115" s="182"/>
      <c r="ASG115" s="181"/>
      <c r="ASH115" s="182"/>
      <c r="ASI115" s="181"/>
      <c r="ASJ115" s="182"/>
      <c r="ASK115" s="181"/>
      <c r="ASL115" s="182"/>
      <c r="ASM115" s="181"/>
      <c r="ASN115" s="182"/>
      <c r="ASO115" s="181"/>
      <c r="ASP115" s="182"/>
      <c r="ASQ115" s="181"/>
      <c r="ASR115" s="182"/>
      <c r="ASS115" s="181"/>
      <c r="AST115" s="182"/>
      <c r="ASU115" s="181"/>
      <c r="ASV115" s="182"/>
      <c r="ASW115" s="181"/>
      <c r="ASX115" s="182"/>
      <c r="ASY115" s="181"/>
      <c r="ASZ115" s="182"/>
      <c r="ATA115" s="181"/>
      <c r="ATB115" s="182"/>
      <c r="ATC115" s="181"/>
      <c r="ATD115" s="182"/>
      <c r="ATE115" s="181"/>
      <c r="ATF115" s="182"/>
      <c r="ATG115" s="181"/>
      <c r="ATH115" s="182"/>
      <c r="ATI115" s="181"/>
      <c r="ATJ115" s="182"/>
      <c r="ATK115" s="181"/>
      <c r="ATL115" s="182"/>
      <c r="ATM115" s="181"/>
      <c r="ATN115" s="182"/>
      <c r="ATO115" s="181"/>
      <c r="ATP115" s="182"/>
      <c r="ATQ115" s="181"/>
      <c r="ATR115" s="182"/>
      <c r="ATS115" s="181"/>
      <c r="ATT115" s="182"/>
      <c r="ATU115" s="181"/>
      <c r="ATV115" s="182"/>
      <c r="ATW115" s="181"/>
      <c r="ATX115" s="182"/>
      <c r="ATY115" s="181"/>
      <c r="ATZ115" s="182"/>
      <c r="AUA115" s="181"/>
      <c r="AUB115" s="182"/>
      <c r="AUC115" s="181"/>
      <c r="AUD115" s="182"/>
      <c r="AUE115" s="181"/>
      <c r="AUF115" s="182"/>
      <c r="AUG115" s="181"/>
      <c r="AUH115" s="182"/>
      <c r="AUI115" s="181"/>
      <c r="AUJ115" s="182"/>
      <c r="AUK115" s="181"/>
      <c r="AUL115" s="182"/>
      <c r="AUM115" s="181"/>
      <c r="AUN115" s="182"/>
      <c r="AUO115" s="181"/>
      <c r="AUP115" s="182"/>
      <c r="AUQ115" s="181"/>
      <c r="AUR115" s="182"/>
      <c r="AUS115" s="181"/>
      <c r="AUT115" s="182"/>
      <c r="AUU115" s="181"/>
      <c r="AUV115" s="182"/>
      <c r="AUW115" s="181"/>
      <c r="AUX115" s="182"/>
      <c r="AUY115" s="181"/>
      <c r="AUZ115" s="182"/>
      <c r="AVA115" s="181"/>
      <c r="AVB115" s="182"/>
      <c r="AVC115" s="181"/>
      <c r="AVD115" s="182"/>
      <c r="AVE115" s="181"/>
      <c r="AVF115" s="182"/>
      <c r="AVG115" s="181"/>
      <c r="AVH115" s="182"/>
      <c r="AVI115" s="181"/>
      <c r="AVJ115" s="182"/>
      <c r="AVK115" s="181"/>
      <c r="AVL115" s="182"/>
      <c r="AVM115" s="181"/>
      <c r="AVN115" s="182"/>
      <c r="AVO115" s="181"/>
      <c r="AVP115" s="182"/>
      <c r="AVQ115" s="181"/>
      <c r="AVR115" s="182"/>
      <c r="AVS115" s="181"/>
      <c r="AVT115" s="182"/>
      <c r="AVU115" s="181"/>
      <c r="AVV115" s="182"/>
      <c r="AVW115" s="181"/>
      <c r="AVX115" s="182"/>
      <c r="AVY115" s="181"/>
      <c r="AVZ115" s="182"/>
      <c r="AWA115" s="181"/>
      <c r="AWB115" s="182"/>
      <c r="AWC115" s="181"/>
      <c r="AWD115" s="182"/>
      <c r="AWE115" s="181"/>
      <c r="AWF115" s="182"/>
      <c r="AWG115" s="181"/>
      <c r="AWH115" s="182"/>
      <c r="AWI115" s="181"/>
      <c r="AWJ115" s="182"/>
      <c r="AWK115" s="181"/>
      <c r="AWL115" s="182"/>
      <c r="AWM115" s="181"/>
      <c r="AWN115" s="182"/>
      <c r="AWO115" s="181"/>
      <c r="AWP115" s="182"/>
      <c r="AWQ115" s="181"/>
      <c r="AWR115" s="182"/>
      <c r="AWS115" s="181"/>
      <c r="AWT115" s="182"/>
      <c r="AWU115" s="181"/>
      <c r="AWV115" s="182"/>
      <c r="AWW115" s="181"/>
      <c r="AWX115" s="182"/>
      <c r="AWY115" s="181"/>
      <c r="AWZ115" s="182"/>
      <c r="AXA115" s="181"/>
      <c r="AXB115" s="182"/>
      <c r="AXC115" s="181"/>
      <c r="AXD115" s="182"/>
      <c r="AXE115" s="181"/>
      <c r="AXF115" s="182"/>
      <c r="AXG115" s="181"/>
      <c r="AXH115" s="182"/>
      <c r="AXI115" s="181"/>
      <c r="AXJ115" s="182"/>
      <c r="AXK115" s="181"/>
      <c r="AXL115" s="182"/>
      <c r="AXM115" s="181"/>
      <c r="AXN115" s="182"/>
      <c r="AXO115" s="181"/>
      <c r="AXP115" s="182"/>
      <c r="AXQ115" s="181"/>
      <c r="AXR115" s="182"/>
      <c r="AXS115" s="181"/>
      <c r="AXT115" s="182"/>
      <c r="AXU115" s="181"/>
      <c r="AXV115" s="182"/>
      <c r="AXW115" s="181"/>
      <c r="AXX115" s="182"/>
      <c r="AXY115" s="181"/>
      <c r="AXZ115" s="182"/>
      <c r="AYA115" s="181"/>
      <c r="AYB115" s="182"/>
      <c r="AYC115" s="181"/>
      <c r="AYD115" s="182"/>
      <c r="AYE115" s="181"/>
      <c r="AYF115" s="182"/>
      <c r="AYG115" s="181"/>
      <c r="AYH115" s="182"/>
      <c r="AYI115" s="181"/>
      <c r="AYJ115" s="182"/>
      <c r="AYK115" s="181"/>
      <c r="AYL115" s="182"/>
      <c r="AYM115" s="181"/>
      <c r="AYN115" s="182"/>
      <c r="AYO115" s="181"/>
      <c r="AYP115" s="182"/>
      <c r="AYQ115" s="181"/>
      <c r="AYR115" s="182"/>
      <c r="AYS115" s="181"/>
      <c r="AYT115" s="182"/>
      <c r="AYU115" s="181"/>
      <c r="AYV115" s="182"/>
      <c r="AYW115" s="181"/>
      <c r="AYX115" s="182"/>
      <c r="AYY115" s="181"/>
      <c r="AYZ115" s="182"/>
      <c r="AZA115" s="181"/>
      <c r="AZB115" s="182"/>
      <c r="AZC115" s="181"/>
      <c r="AZD115" s="182"/>
      <c r="AZE115" s="181"/>
      <c r="AZF115" s="182"/>
      <c r="AZG115" s="181"/>
      <c r="AZH115" s="182"/>
      <c r="AZI115" s="181"/>
      <c r="AZJ115" s="182"/>
      <c r="AZK115" s="181"/>
      <c r="AZL115" s="182"/>
      <c r="AZM115" s="181"/>
      <c r="AZN115" s="182"/>
      <c r="AZO115" s="181"/>
      <c r="AZP115" s="182"/>
      <c r="AZQ115" s="181"/>
      <c r="AZR115" s="182"/>
      <c r="AZS115" s="181"/>
      <c r="AZT115" s="182"/>
      <c r="AZU115" s="181"/>
      <c r="AZV115" s="182"/>
      <c r="AZW115" s="181"/>
      <c r="AZX115" s="182"/>
      <c r="AZY115" s="181"/>
      <c r="AZZ115" s="182"/>
      <c r="BAA115" s="181"/>
      <c r="BAB115" s="182"/>
      <c r="BAC115" s="181"/>
      <c r="BAD115" s="182"/>
      <c r="BAE115" s="181"/>
      <c r="BAF115" s="182"/>
      <c r="BAG115" s="181"/>
      <c r="BAH115" s="182"/>
      <c r="BAI115" s="181"/>
      <c r="BAJ115" s="182"/>
      <c r="BAK115" s="181"/>
      <c r="BAL115" s="182"/>
      <c r="BAM115" s="181"/>
      <c r="BAN115" s="182"/>
      <c r="BAO115" s="181"/>
      <c r="BAP115" s="182"/>
      <c r="BAQ115" s="181"/>
      <c r="BAR115" s="182"/>
      <c r="BAS115" s="181"/>
      <c r="BAT115" s="182"/>
      <c r="BAU115" s="181"/>
      <c r="BAV115" s="182"/>
      <c r="BAW115" s="181"/>
      <c r="BAX115" s="182"/>
      <c r="BAY115" s="181"/>
      <c r="BAZ115" s="182"/>
      <c r="BBA115" s="181"/>
      <c r="BBB115" s="182"/>
      <c r="BBC115" s="181"/>
      <c r="BBD115" s="182"/>
      <c r="BBE115" s="181"/>
      <c r="BBF115" s="182"/>
      <c r="BBG115" s="181"/>
      <c r="BBH115" s="182"/>
      <c r="BBI115" s="181"/>
      <c r="BBJ115" s="182"/>
      <c r="BBK115" s="181"/>
      <c r="BBL115" s="182"/>
      <c r="BBM115" s="181"/>
      <c r="BBN115" s="182"/>
      <c r="BBO115" s="181"/>
      <c r="BBP115" s="182"/>
      <c r="BBQ115" s="181"/>
      <c r="BBR115" s="182"/>
      <c r="BBS115" s="181"/>
      <c r="BBT115" s="182"/>
      <c r="BBU115" s="181"/>
      <c r="BBV115" s="182"/>
      <c r="BBW115" s="181"/>
      <c r="BBX115" s="182"/>
      <c r="BBY115" s="181"/>
      <c r="BBZ115" s="182"/>
      <c r="BCA115" s="181"/>
      <c r="BCB115" s="182"/>
      <c r="BCC115" s="181"/>
      <c r="BCD115" s="182"/>
      <c r="BCE115" s="181"/>
      <c r="BCF115" s="182"/>
      <c r="BCG115" s="181"/>
      <c r="BCH115" s="182"/>
      <c r="BCI115" s="181"/>
      <c r="BCJ115" s="182"/>
      <c r="BCK115" s="181"/>
      <c r="BCL115" s="182"/>
      <c r="BCM115" s="181"/>
      <c r="BCN115" s="182"/>
      <c r="BCO115" s="181"/>
      <c r="BCP115" s="182"/>
      <c r="BCQ115" s="181"/>
      <c r="BCR115" s="182"/>
      <c r="BCS115" s="181"/>
      <c r="BCT115" s="182"/>
      <c r="BCU115" s="181"/>
      <c r="BCV115" s="182"/>
      <c r="BCW115" s="181"/>
      <c r="BCX115" s="182"/>
      <c r="BCY115" s="181"/>
      <c r="BCZ115" s="182"/>
      <c r="BDA115" s="181"/>
      <c r="BDB115" s="182"/>
      <c r="BDC115" s="181"/>
      <c r="BDD115" s="182"/>
      <c r="BDE115" s="181"/>
      <c r="BDF115" s="182"/>
      <c r="BDG115" s="181"/>
      <c r="BDH115" s="182"/>
      <c r="BDI115" s="181"/>
      <c r="BDJ115" s="182"/>
      <c r="BDK115" s="181"/>
      <c r="BDL115" s="182"/>
      <c r="BDM115" s="181"/>
      <c r="BDN115" s="182"/>
      <c r="BDO115" s="181"/>
      <c r="BDP115" s="182"/>
      <c r="BDQ115" s="181"/>
      <c r="BDR115" s="182"/>
      <c r="BDS115" s="181"/>
      <c r="BDT115" s="182"/>
      <c r="BDU115" s="181"/>
      <c r="BDV115" s="182"/>
      <c r="BDW115" s="181"/>
      <c r="BDX115" s="182"/>
      <c r="BDY115" s="181"/>
      <c r="BDZ115" s="182"/>
      <c r="BEA115" s="181"/>
      <c r="BEB115" s="182"/>
      <c r="BEC115" s="181"/>
      <c r="BED115" s="182"/>
      <c r="BEE115" s="181"/>
      <c r="BEF115" s="182"/>
      <c r="BEG115" s="181"/>
      <c r="BEH115" s="182"/>
      <c r="BEI115" s="181"/>
      <c r="BEJ115" s="182"/>
      <c r="BEK115" s="181"/>
      <c r="BEL115" s="182"/>
      <c r="BEM115" s="181"/>
      <c r="BEN115" s="182"/>
      <c r="BEO115" s="181"/>
      <c r="BEP115" s="182"/>
      <c r="BEQ115" s="181"/>
      <c r="BER115" s="182"/>
      <c r="BES115" s="181"/>
      <c r="BET115" s="182"/>
      <c r="BEU115" s="181"/>
      <c r="BEV115" s="182"/>
      <c r="BEW115" s="181"/>
      <c r="BEX115" s="182"/>
      <c r="BEY115" s="181"/>
      <c r="BEZ115" s="182"/>
      <c r="BFA115" s="181"/>
      <c r="BFB115" s="182"/>
      <c r="BFC115" s="181"/>
      <c r="BFD115" s="182"/>
      <c r="BFE115" s="181"/>
      <c r="BFF115" s="182"/>
      <c r="BFG115" s="181"/>
      <c r="BFH115" s="182"/>
      <c r="BFI115" s="181"/>
      <c r="BFJ115" s="182"/>
      <c r="BFK115" s="181"/>
      <c r="BFL115" s="182"/>
      <c r="BFM115" s="181"/>
      <c r="BFN115" s="182"/>
      <c r="BFO115" s="181"/>
      <c r="BFP115" s="182"/>
      <c r="BFQ115" s="181"/>
      <c r="BFR115" s="182"/>
      <c r="BFS115" s="181"/>
      <c r="BFT115" s="182"/>
      <c r="BFU115" s="181"/>
      <c r="BFV115" s="182"/>
      <c r="BFW115" s="181"/>
      <c r="BFX115" s="182"/>
      <c r="BFY115" s="181"/>
      <c r="BFZ115" s="182"/>
      <c r="BGA115" s="181"/>
      <c r="BGB115" s="182"/>
      <c r="BGC115" s="181"/>
      <c r="BGD115" s="182"/>
      <c r="BGE115" s="181"/>
      <c r="BGF115" s="182"/>
      <c r="BGG115" s="181"/>
      <c r="BGH115" s="182"/>
      <c r="BGI115" s="181"/>
      <c r="BGJ115" s="182"/>
      <c r="BGK115" s="181"/>
      <c r="BGL115" s="182"/>
      <c r="BGM115" s="181"/>
      <c r="BGN115" s="182"/>
      <c r="BGO115" s="181"/>
      <c r="BGP115" s="182"/>
      <c r="BGQ115" s="181"/>
      <c r="BGR115" s="182"/>
      <c r="BGS115" s="181"/>
      <c r="BGT115" s="182"/>
      <c r="BGU115" s="181"/>
      <c r="BGV115" s="182"/>
      <c r="BGW115" s="181"/>
      <c r="BGX115" s="182"/>
      <c r="BGY115" s="181"/>
      <c r="BGZ115" s="182"/>
      <c r="BHA115" s="181"/>
      <c r="BHB115" s="182"/>
      <c r="BHC115" s="181"/>
      <c r="BHD115" s="182"/>
      <c r="BHE115" s="181"/>
      <c r="BHF115" s="182"/>
      <c r="BHG115" s="181"/>
      <c r="BHH115" s="182"/>
      <c r="BHI115" s="181"/>
      <c r="BHJ115" s="182"/>
      <c r="BHK115" s="181"/>
      <c r="BHL115" s="182"/>
      <c r="BHM115" s="181"/>
      <c r="BHN115" s="182"/>
      <c r="BHO115" s="181"/>
      <c r="BHP115" s="182"/>
      <c r="BHQ115" s="181"/>
      <c r="BHR115" s="182"/>
      <c r="BHS115" s="181"/>
      <c r="BHT115" s="182"/>
      <c r="BHU115" s="181"/>
      <c r="BHV115" s="182"/>
      <c r="BHW115" s="181"/>
      <c r="BHX115" s="182"/>
      <c r="BHY115" s="181"/>
      <c r="BHZ115" s="182"/>
      <c r="BIA115" s="181"/>
      <c r="BIB115" s="182"/>
      <c r="BIC115" s="181"/>
      <c r="BID115" s="182"/>
      <c r="BIE115" s="181"/>
      <c r="BIF115" s="182"/>
      <c r="BIG115" s="181"/>
      <c r="BIH115" s="182"/>
      <c r="BII115" s="181"/>
      <c r="BIJ115" s="182"/>
      <c r="BIK115" s="181"/>
      <c r="BIL115" s="182"/>
      <c r="BIM115" s="181"/>
      <c r="BIN115" s="182"/>
      <c r="BIO115" s="181"/>
      <c r="BIP115" s="182"/>
      <c r="BIQ115" s="181"/>
      <c r="BIR115" s="182"/>
      <c r="BIS115" s="181"/>
      <c r="BIT115" s="182"/>
      <c r="BIU115" s="181"/>
      <c r="BIV115" s="182"/>
      <c r="BIW115" s="181"/>
      <c r="BIX115" s="182"/>
      <c r="BIY115" s="181"/>
      <c r="BIZ115" s="182"/>
      <c r="BJA115" s="181"/>
      <c r="BJB115" s="182"/>
      <c r="BJC115" s="181"/>
      <c r="BJD115" s="182"/>
      <c r="BJE115" s="181"/>
      <c r="BJF115" s="182"/>
      <c r="BJG115" s="181"/>
      <c r="BJH115" s="182"/>
      <c r="BJI115" s="181"/>
      <c r="BJJ115" s="182"/>
      <c r="BJK115" s="181"/>
      <c r="BJL115" s="182"/>
      <c r="BJM115" s="181"/>
      <c r="BJN115" s="182"/>
      <c r="BJO115" s="181"/>
      <c r="BJP115" s="182"/>
      <c r="BJQ115" s="181"/>
      <c r="BJR115" s="182"/>
      <c r="BJS115" s="181"/>
      <c r="BJT115" s="182"/>
      <c r="BJU115" s="181"/>
      <c r="BJV115" s="182"/>
      <c r="BJW115" s="181"/>
      <c r="BJX115" s="182"/>
      <c r="BJY115" s="181"/>
      <c r="BJZ115" s="182"/>
      <c r="BKA115" s="181"/>
      <c r="BKB115" s="182"/>
      <c r="BKC115" s="181"/>
      <c r="BKD115" s="182"/>
      <c r="BKE115" s="181"/>
      <c r="BKF115" s="182"/>
      <c r="BKG115" s="181"/>
      <c r="BKH115" s="182"/>
      <c r="BKI115" s="181"/>
      <c r="BKJ115" s="182"/>
      <c r="BKK115" s="181"/>
      <c r="BKL115" s="182"/>
      <c r="BKM115" s="181"/>
      <c r="BKN115" s="182"/>
      <c r="BKO115" s="181"/>
      <c r="BKP115" s="182"/>
      <c r="BKQ115" s="181"/>
      <c r="BKR115" s="182"/>
      <c r="BKS115" s="181"/>
      <c r="BKT115" s="182"/>
      <c r="BKU115" s="181"/>
      <c r="BKV115" s="182"/>
      <c r="BKW115" s="181"/>
      <c r="BKX115" s="182"/>
      <c r="BKY115" s="181"/>
      <c r="BKZ115" s="182"/>
      <c r="BLA115" s="181"/>
      <c r="BLB115" s="182"/>
      <c r="BLC115" s="181"/>
      <c r="BLD115" s="182"/>
      <c r="BLE115" s="181"/>
      <c r="BLF115" s="182"/>
      <c r="BLG115" s="181"/>
      <c r="BLH115" s="182"/>
      <c r="BLI115" s="181"/>
      <c r="BLJ115" s="182"/>
      <c r="BLK115" s="181"/>
      <c r="BLL115" s="182"/>
      <c r="BLM115" s="181"/>
      <c r="BLN115" s="182"/>
      <c r="BLO115" s="181"/>
      <c r="BLP115" s="182"/>
      <c r="BLQ115" s="181"/>
      <c r="BLR115" s="182"/>
      <c r="BLS115" s="181"/>
      <c r="BLT115" s="182"/>
      <c r="BLU115" s="181"/>
      <c r="BLV115" s="182"/>
      <c r="BLW115" s="181"/>
      <c r="BLX115" s="182"/>
      <c r="BLY115" s="181"/>
      <c r="BLZ115" s="182"/>
      <c r="BMA115" s="181"/>
      <c r="BMB115" s="182"/>
      <c r="BMC115" s="181"/>
      <c r="BMD115" s="182"/>
      <c r="BME115" s="181"/>
      <c r="BMF115" s="182"/>
      <c r="BMG115" s="181"/>
      <c r="BMH115" s="182"/>
      <c r="BMI115" s="181"/>
      <c r="BMJ115" s="182"/>
      <c r="BMK115" s="181"/>
      <c r="BML115" s="182"/>
      <c r="BMM115" s="181"/>
      <c r="BMN115" s="182"/>
      <c r="BMO115" s="181"/>
      <c r="BMP115" s="182"/>
      <c r="BMQ115" s="181"/>
      <c r="BMR115" s="182"/>
      <c r="BMS115" s="181"/>
      <c r="BMT115" s="182"/>
      <c r="BMU115" s="181"/>
      <c r="BMV115" s="182"/>
      <c r="BMW115" s="181"/>
      <c r="BMX115" s="182"/>
      <c r="BMY115" s="181"/>
      <c r="BMZ115" s="182"/>
      <c r="BNA115" s="181"/>
      <c r="BNB115" s="182"/>
      <c r="BNC115" s="181"/>
      <c r="BND115" s="182"/>
      <c r="BNE115" s="181"/>
      <c r="BNF115" s="182"/>
      <c r="BNG115" s="181"/>
      <c r="BNH115" s="182"/>
      <c r="BNI115" s="181"/>
      <c r="BNJ115" s="182"/>
      <c r="BNK115" s="181"/>
      <c r="BNL115" s="182"/>
      <c r="BNM115" s="181"/>
      <c r="BNN115" s="182"/>
      <c r="BNO115" s="181"/>
      <c r="BNP115" s="182"/>
      <c r="BNQ115" s="181"/>
      <c r="BNR115" s="182"/>
      <c r="BNS115" s="181"/>
      <c r="BNT115" s="182"/>
      <c r="BNU115" s="181"/>
      <c r="BNV115" s="182"/>
      <c r="BNW115" s="181"/>
      <c r="BNX115" s="182"/>
      <c r="BNY115" s="181"/>
      <c r="BNZ115" s="182"/>
      <c r="BOA115" s="181"/>
      <c r="BOB115" s="182"/>
      <c r="BOC115" s="181"/>
      <c r="BOD115" s="182"/>
      <c r="BOE115" s="181"/>
      <c r="BOF115" s="182"/>
      <c r="BOG115" s="181"/>
      <c r="BOH115" s="182"/>
      <c r="BOI115" s="181"/>
      <c r="BOJ115" s="182"/>
      <c r="BOK115" s="181"/>
      <c r="BOL115" s="182"/>
      <c r="BOM115" s="181"/>
      <c r="BON115" s="182"/>
      <c r="BOO115" s="181"/>
      <c r="BOP115" s="182"/>
      <c r="BOQ115" s="181"/>
      <c r="BOR115" s="182"/>
      <c r="BOS115" s="181"/>
      <c r="BOT115" s="182"/>
      <c r="BOU115" s="181"/>
      <c r="BOV115" s="182"/>
      <c r="BOW115" s="181"/>
      <c r="BOX115" s="182"/>
      <c r="BOY115" s="181"/>
      <c r="BOZ115" s="182"/>
      <c r="BPA115" s="181"/>
      <c r="BPB115" s="182"/>
      <c r="BPC115" s="181"/>
      <c r="BPD115" s="182"/>
      <c r="BPE115" s="181"/>
      <c r="BPF115" s="182"/>
      <c r="BPG115" s="181"/>
      <c r="BPH115" s="182"/>
      <c r="BPI115" s="181"/>
      <c r="BPJ115" s="182"/>
      <c r="BPK115" s="181"/>
      <c r="BPL115" s="182"/>
      <c r="BPM115" s="181"/>
      <c r="BPN115" s="182"/>
      <c r="BPO115" s="181"/>
      <c r="BPP115" s="182"/>
      <c r="BPQ115" s="181"/>
      <c r="BPR115" s="182"/>
      <c r="BPS115" s="181"/>
      <c r="BPT115" s="182"/>
      <c r="BPU115" s="181"/>
      <c r="BPV115" s="182"/>
      <c r="BPW115" s="181"/>
      <c r="BPX115" s="182"/>
      <c r="BPY115" s="181"/>
      <c r="BPZ115" s="182"/>
      <c r="BQA115" s="181"/>
      <c r="BQB115" s="182"/>
      <c r="BQC115" s="181"/>
      <c r="BQD115" s="182"/>
      <c r="BQE115" s="181"/>
      <c r="BQF115" s="182"/>
      <c r="BQG115" s="181"/>
      <c r="BQH115" s="182"/>
      <c r="BQI115" s="181"/>
      <c r="BQJ115" s="182"/>
      <c r="BQK115" s="181"/>
      <c r="BQL115" s="182"/>
      <c r="BQM115" s="181"/>
      <c r="BQN115" s="182"/>
      <c r="BQO115" s="181"/>
      <c r="BQP115" s="182"/>
      <c r="BQQ115" s="181"/>
      <c r="BQR115" s="182"/>
      <c r="BQS115" s="181"/>
      <c r="BQT115" s="182"/>
      <c r="BQU115" s="181"/>
      <c r="BQV115" s="182"/>
      <c r="BQW115" s="181"/>
      <c r="BQX115" s="182"/>
      <c r="BQY115" s="181"/>
      <c r="BQZ115" s="182"/>
      <c r="BRA115" s="181"/>
      <c r="BRB115" s="182"/>
      <c r="BRC115" s="181"/>
      <c r="BRD115" s="182"/>
      <c r="BRE115" s="181"/>
      <c r="BRF115" s="182"/>
      <c r="BRG115" s="181"/>
      <c r="BRH115" s="182"/>
      <c r="BRI115" s="181"/>
      <c r="BRJ115" s="182"/>
      <c r="BRK115" s="181"/>
      <c r="BRL115" s="182"/>
      <c r="BRM115" s="181"/>
      <c r="BRN115" s="182"/>
      <c r="BRO115" s="181"/>
      <c r="BRP115" s="182"/>
      <c r="BRQ115" s="181"/>
      <c r="BRR115" s="182"/>
      <c r="BRS115" s="181"/>
      <c r="BRT115" s="182"/>
      <c r="BRU115" s="181"/>
      <c r="BRV115" s="182"/>
      <c r="BRW115" s="181"/>
      <c r="BRX115" s="182"/>
      <c r="BRY115" s="181"/>
      <c r="BRZ115" s="182"/>
      <c r="BSA115" s="181"/>
      <c r="BSB115" s="182"/>
      <c r="BSC115" s="181"/>
      <c r="BSD115" s="182"/>
      <c r="BSE115" s="181"/>
      <c r="BSF115" s="182"/>
      <c r="BSG115" s="181"/>
      <c r="BSH115" s="182"/>
      <c r="BSI115" s="181"/>
      <c r="BSJ115" s="182"/>
      <c r="BSK115" s="181"/>
      <c r="BSL115" s="182"/>
      <c r="BSM115" s="181"/>
      <c r="BSN115" s="182"/>
      <c r="BSO115" s="181"/>
      <c r="BSP115" s="182"/>
      <c r="BSQ115" s="181"/>
      <c r="BSR115" s="182"/>
      <c r="BSS115" s="181"/>
      <c r="BST115" s="182"/>
      <c r="BSU115" s="181"/>
      <c r="BSV115" s="182"/>
      <c r="BSW115" s="181"/>
      <c r="BSX115" s="182"/>
      <c r="BSY115" s="181"/>
      <c r="BSZ115" s="182"/>
      <c r="BTA115" s="181"/>
      <c r="BTB115" s="182"/>
      <c r="BTC115" s="181"/>
      <c r="BTD115" s="182"/>
      <c r="BTE115" s="181"/>
      <c r="BTF115" s="182"/>
      <c r="BTG115" s="181"/>
      <c r="BTH115" s="182"/>
      <c r="BTI115" s="181"/>
      <c r="BTJ115" s="182"/>
      <c r="BTK115" s="181"/>
      <c r="BTL115" s="182"/>
      <c r="BTM115" s="181"/>
      <c r="BTN115" s="182"/>
      <c r="BTO115" s="181"/>
      <c r="BTP115" s="182"/>
      <c r="BTQ115" s="181"/>
      <c r="BTR115" s="182"/>
      <c r="BTS115" s="181"/>
      <c r="BTT115" s="182"/>
      <c r="BTU115" s="181"/>
      <c r="BTV115" s="182"/>
      <c r="BTW115" s="181"/>
      <c r="BTX115" s="182"/>
      <c r="BTY115" s="181"/>
      <c r="BTZ115" s="182"/>
      <c r="BUA115" s="181"/>
      <c r="BUB115" s="182"/>
      <c r="BUC115" s="181"/>
      <c r="BUD115" s="182"/>
      <c r="BUE115" s="181"/>
      <c r="BUF115" s="182"/>
      <c r="BUG115" s="181"/>
      <c r="BUH115" s="182"/>
      <c r="BUI115" s="181"/>
      <c r="BUJ115" s="182"/>
      <c r="BUK115" s="181"/>
      <c r="BUL115" s="182"/>
      <c r="BUM115" s="181"/>
      <c r="BUN115" s="182"/>
      <c r="BUO115" s="181"/>
      <c r="BUP115" s="182"/>
      <c r="BUQ115" s="181"/>
      <c r="BUR115" s="182"/>
      <c r="BUS115" s="181"/>
      <c r="BUT115" s="182"/>
      <c r="BUU115" s="181"/>
      <c r="BUV115" s="182"/>
      <c r="BUW115" s="181"/>
      <c r="BUX115" s="182"/>
      <c r="BUY115" s="181"/>
      <c r="BUZ115" s="182"/>
      <c r="BVA115" s="181"/>
      <c r="BVB115" s="182"/>
      <c r="BVC115" s="181"/>
      <c r="BVD115" s="182"/>
      <c r="BVE115" s="181"/>
      <c r="BVF115" s="182"/>
      <c r="BVG115" s="181"/>
      <c r="BVH115" s="182"/>
      <c r="BVI115" s="181"/>
      <c r="BVJ115" s="182"/>
      <c r="BVK115" s="181"/>
      <c r="BVL115" s="182"/>
      <c r="BVM115" s="181"/>
      <c r="BVN115" s="182"/>
      <c r="BVO115" s="181"/>
      <c r="BVP115" s="182"/>
      <c r="BVQ115" s="181"/>
      <c r="BVR115" s="182"/>
      <c r="BVS115" s="181"/>
      <c r="BVT115" s="182"/>
      <c r="BVU115" s="181"/>
      <c r="BVV115" s="182"/>
      <c r="BVW115" s="181"/>
      <c r="BVX115" s="182"/>
      <c r="BVY115" s="181"/>
      <c r="BVZ115" s="182"/>
      <c r="BWA115" s="181"/>
      <c r="BWB115" s="182"/>
      <c r="BWC115" s="181"/>
      <c r="BWD115" s="182"/>
      <c r="BWE115" s="181"/>
      <c r="BWF115" s="182"/>
      <c r="BWG115" s="181"/>
      <c r="BWH115" s="182"/>
      <c r="BWI115" s="181"/>
      <c r="BWJ115" s="182"/>
      <c r="BWK115" s="181"/>
      <c r="BWL115" s="182"/>
      <c r="BWM115" s="181"/>
      <c r="BWN115" s="182"/>
      <c r="BWO115" s="181"/>
      <c r="BWP115" s="182"/>
      <c r="BWQ115" s="181"/>
      <c r="BWR115" s="182"/>
      <c r="BWS115" s="181"/>
      <c r="BWT115" s="182"/>
      <c r="BWU115" s="181"/>
      <c r="BWV115" s="182"/>
      <c r="BWW115" s="181"/>
      <c r="BWX115" s="182"/>
      <c r="BWY115" s="181"/>
      <c r="BWZ115" s="182"/>
      <c r="BXA115" s="181"/>
      <c r="BXB115" s="182"/>
      <c r="BXC115" s="181"/>
      <c r="BXD115" s="182"/>
      <c r="BXE115" s="181"/>
      <c r="BXF115" s="182"/>
      <c r="BXG115" s="181"/>
      <c r="BXH115" s="182"/>
      <c r="BXI115" s="181"/>
      <c r="BXJ115" s="182"/>
      <c r="BXK115" s="181"/>
      <c r="BXL115" s="182"/>
      <c r="BXM115" s="181"/>
      <c r="BXN115" s="182"/>
      <c r="BXO115" s="181"/>
      <c r="BXP115" s="182"/>
      <c r="BXQ115" s="181"/>
      <c r="BXR115" s="182"/>
      <c r="BXS115" s="181"/>
      <c r="BXT115" s="182"/>
      <c r="BXU115" s="181"/>
      <c r="BXV115" s="182"/>
      <c r="BXW115" s="181"/>
      <c r="BXX115" s="182"/>
      <c r="BXY115" s="181"/>
      <c r="BXZ115" s="182"/>
      <c r="BYA115" s="181"/>
      <c r="BYB115" s="182"/>
      <c r="BYC115" s="181"/>
      <c r="BYD115" s="182"/>
      <c r="BYE115" s="181"/>
      <c r="BYF115" s="182"/>
      <c r="BYG115" s="181"/>
      <c r="BYH115" s="182"/>
      <c r="BYI115" s="181"/>
      <c r="BYJ115" s="182"/>
      <c r="BYK115" s="181"/>
      <c r="BYL115" s="182"/>
      <c r="BYM115" s="181"/>
      <c r="BYN115" s="182"/>
      <c r="BYO115" s="181"/>
      <c r="BYP115" s="182"/>
      <c r="BYQ115" s="181"/>
      <c r="BYR115" s="182"/>
      <c r="BYS115" s="181"/>
      <c r="BYT115" s="182"/>
      <c r="BYU115" s="181"/>
      <c r="BYV115" s="182"/>
      <c r="BYW115" s="181"/>
      <c r="BYX115" s="182"/>
      <c r="BYY115" s="181"/>
      <c r="BYZ115" s="182"/>
      <c r="BZA115" s="181"/>
      <c r="BZB115" s="182"/>
      <c r="BZC115" s="181"/>
      <c r="BZD115" s="182"/>
      <c r="BZE115" s="181"/>
      <c r="BZF115" s="182"/>
      <c r="BZG115" s="181"/>
      <c r="BZH115" s="182"/>
      <c r="BZI115" s="181"/>
      <c r="BZJ115" s="182"/>
      <c r="BZK115" s="181"/>
      <c r="BZL115" s="182"/>
      <c r="BZM115" s="181"/>
      <c r="BZN115" s="182"/>
      <c r="BZO115" s="181"/>
      <c r="BZP115" s="182"/>
      <c r="BZQ115" s="181"/>
      <c r="BZR115" s="182"/>
      <c r="BZS115" s="181"/>
      <c r="BZT115" s="182"/>
      <c r="BZU115" s="181"/>
      <c r="BZV115" s="182"/>
      <c r="BZW115" s="181"/>
      <c r="BZX115" s="182"/>
      <c r="BZY115" s="181"/>
      <c r="BZZ115" s="182"/>
      <c r="CAA115" s="181"/>
      <c r="CAB115" s="182"/>
      <c r="CAC115" s="181"/>
      <c r="CAD115" s="182"/>
      <c r="CAE115" s="181"/>
      <c r="CAF115" s="182"/>
      <c r="CAG115" s="181"/>
      <c r="CAH115" s="182"/>
      <c r="CAI115" s="181"/>
      <c r="CAJ115" s="182"/>
      <c r="CAK115" s="181"/>
      <c r="CAL115" s="182"/>
      <c r="CAM115" s="181"/>
      <c r="CAN115" s="182"/>
      <c r="CAO115" s="181"/>
      <c r="CAP115" s="182"/>
      <c r="CAQ115" s="181"/>
      <c r="CAR115" s="182"/>
      <c r="CAS115" s="181"/>
      <c r="CAT115" s="182"/>
      <c r="CAU115" s="181"/>
      <c r="CAV115" s="182"/>
      <c r="CAW115" s="181"/>
      <c r="CAX115" s="182"/>
      <c r="CAY115" s="181"/>
      <c r="CAZ115" s="182"/>
      <c r="CBA115" s="181"/>
      <c r="CBB115" s="182"/>
      <c r="CBC115" s="181"/>
      <c r="CBD115" s="182"/>
      <c r="CBE115" s="181"/>
      <c r="CBF115" s="182"/>
      <c r="CBG115" s="181"/>
      <c r="CBH115" s="182"/>
      <c r="CBI115" s="181"/>
      <c r="CBJ115" s="182"/>
      <c r="CBK115" s="181"/>
      <c r="CBL115" s="182"/>
      <c r="CBM115" s="181"/>
      <c r="CBN115" s="182"/>
      <c r="CBO115" s="181"/>
      <c r="CBP115" s="182"/>
      <c r="CBQ115" s="181"/>
      <c r="CBR115" s="182"/>
      <c r="CBS115" s="181"/>
      <c r="CBT115" s="182"/>
      <c r="CBU115" s="181"/>
      <c r="CBV115" s="182"/>
      <c r="CBW115" s="181"/>
      <c r="CBX115" s="182"/>
      <c r="CBY115" s="181"/>
      <c r="CBZ115" s="182"/>
      <c r="CCA115" s="181"/>
      <c r="CCB115" s="182"/>
      <c r="CCC115" s="181"/>
      <c r="CCD115" s="182"/>
      <c r="CCE115" s="181"/>
      <c r="CCF115" s="182"/>
      <c r="CCG115" s="181"/>
      <c r="CCH115" s="182"/>
      <c r="CCI115" s="181"/>
      <c r="CCJ115" s="182"/>
      <c r="CCK115" s="181"/>
      <c r="CCL115" s="182"/>
      <c r="CCM115" s="181"/>
      <c r="CCN115" s="182"/>
      <c r="CCO115" s="181"/>
      <c r="CCP115" s="182"/>
      <c r="CCQ115" s="181"/>
      <c r="CCR115" s="182"/>
      <c r="CCS115" s="181"/>
      <c r="CCT115" s="182"/>
      <c r="CCU115" s="181"/>
      <c r="CCV115" s="182"/>
      <c r="CCW115" s="181"/>
      <c r="CCX115" s="182"/>
      <c r="CCY115" s="181"/>
      <c r="CCZ115" s="182"/>
      <c r="CDA115" s="181"/>
      <c r="CDB115" s="182"/>
      <c r="CDC115" s="181"/>
      <c r="CDD115" s="182"/>
      <c r="CDE115" s="181"/>
      <c r="CDF115" s="182"/>
      <c r="CDG115" s="181"/>
      <c r="CDH115" s="182"/>
      <c r="CDI115" s="181"/>
      <c r="CDJ115" s="182"/>
      <c r="CDK115" s="181"/>
      <c r="CDL115" s="182"/>
      <c r="CDM115" s="181"/>
      <c r="CDN115" s="182"/>
      <c r="CDO115" s="181"/>
      <c r="CDP115" s="182"/>
      <c r="CDQ115" s="181"/>
      <c r="CDR115" s="182"/>
      <c r="CDS115" s="181"/>
      <c r="CDT115" s="182"/>
      <c r="CDU115" s="181"/>
      <c r="CDV115" s="182"/>
      <c r="CDW115" s="181"/>
      <c r="CDX115" s="182"/>
      <c r="CDY115" s="181"/>
      <c r="CDZ115" s="182"/>
      <c r="CEA115" s="181"/>
      <c r="CEB115" s="182"/>
      <c r="CEC115" s="181"/>
      <c r="CED115" s="182"/>
      <c r="CEE115" s="181"/>
      <c r="CEF115" s="182"/>
      <c r="CEG115" s="181"/>
      <c r="CEH115" s="182"/>
      <c r="CEI115" s="181"/>
      <c r="CEJ115" s="182"/>
      <c r="CEK115" s="181"/>
      <c r="CEL115" s="182"/>
      <c r="CEM115" s="181"/>
      <c r="CEN115" s="182"/>
      <c r="CEO115" s="181"/>
      <c r="CEP115" s="182"/>
      <c r="CEQ115" s="181"/>
      <c r="CER115" s="182"/>
      <c r="CES115" s="181"/>
      <c r="CET115" s="182"/>
      <c r="CEU115" s="181"/>
      <c r="CEV115" s="182"/>
      <c r="CEW115" s="181"/>
      <c r="CEX115" s="182"/>
      <c r="CEY115" s="181"/>
      <c r="CEZ115" s="182"/>
      <c r="CFA115" s="181"/>
      <c r="CFB115" s="182"/>
      <c r="CFC115" s="181"/>
      <c r="CFD115" s="182"/>
      <c r="CFE115" s="181"/>
      <c r="CFF115" s="182"/>
      <c r="CFG115" s="181"/>
      <c r="CFH115" s="182"/>
      <c r="CFI115" s="181"/>
      <c r="CFJ115" s="182"/>
      <c r="CFK115" s="181"/>
      <c r="CFL115" s="182"/>
      <c r="CFM115" s="181"/>
      <c r="CFN115" s="182"/>
      <c r="CFO115" s="181"/>
      <c r="CFP115" s="182"/>
      <c r="CFQ115" s="181"/>
      <c r="CFR115" s="182"/>
      <c r="CFS115" s="181"/>
      <c r="CFT115" s="182"/>
      <c r="CFU115" s="181"/>
      <c r="CFV115" s="182"/>
      <c r="CFW115" s="181"/>
      <c r="CFX115" s="182"/>
      <c r="CFY115" s="181"/>
      <c r="CFZ115" s="182"/>
      <c r="CGA115" s="181"/>
      <c r="CGB115" s="182"/>
      <c r="CGC115" s="181"/>
      <c r="CGD115" s="182"/>
      <c r="CGE115" s="181"/>
      <c r="CGF115" s="182"/>
      <c r="CGG115" s="181"/>
      <c r="CGH115" s="182"/>
      <c r="CGI115" s="181"/>
      <c r="CGJ115" s="182"/>
      <c r="CGK115" s="181"/>
      <c r="CGL115" s="182"/>
      <c r="CGM115" s="181"/>
      <c r="CGN115" s="182"/>
      <c r="CGO115" s="181"/>
      <c r="CGP115" s="182"/>
      <c r="CGQ115" s="181"/>
      <c r="CGR115" s="182"/>
      <c r="CGS115" s="181"/>
      <c r="CGT115" s="182"/>
      <c r="CGU115" s="181"/>
      <c r="CGV115" s="182"/>
      <c r="CGW115" s="181"/>
      <c r="CGX115" s="182"/>
      <c r="CGY115" s="181"/>
      <c r="CGZ115" s="182"/>
      <c r="CHA115" s="181"/>
      <c r="CHB115" s="182"/>
      <c r="CHC115" s="181"/>
      <c r="CHD115" s="182"/>
      <c r="CHE115" s="181"/>
      <c r="CHF115" s="182"/>
      <c r="CHG115" s="181"/>
      <c r="CHH115" s="182"/>
      <c r="CHI115" s="181"/>
      <c r="CHJ115" s="182"/>
      <c r="CHK115" s="181"/>
      <c r="CHL115" s="182"/>
      <c r="CHM115" s="181"/>
      <c r="CHN115" s="182"/>
      <c r="CHO115" s="181"/>
      <c r="CHP115" s="182"/>
      <c r="CHQ115" s="181"/>
      <c r="CHR115" s="182"/>
      <c r="CHS115" s="181"/>
      <c r="CHT115" s="182"/>
      <c r="CHU115" s="181"/>
      <c r="CHV115" s="182"/>
      <c r="CHW115" s="181"/>
      <c r="CHX115" s="182"/>
      <c r="CHY115" s="181"/>
      <c r="CHZ115" s="182"/>
      <c r="CIA115" s="181"/>
      <c r="CIB115" s="182"/>
      <c r="CIC115" s="181"/>
      <c r="CID115" s="182"/>
      <c r="CIE115" s="181"/>
      <c r="CIF115" s="182"/>
      <c r="CIG115" s="181"/>
      <c r="CIH115" s="182"/>
      <c r="CII115" s="181"/>
      <c r="CIJ115" s="182"/>
      <c r="CIK115" s="181"/>
      <c r="CIL115" s="182"/>
      <c r="CIM115" s="181"/>
      <c r="CIN115" s="182"/>
      <c r="CIO115" s="181"/>
      <c r="CIP115" s="182"/>
      <c r="CIQ115" s="181"/>
      <c r="CIR115" s="182"/>
      <c r="CIS115" s="181"/>
      <c r="CIT115" s="182"/>
      <c r="CIU115" s="181"/>
      <c r="CIV115" s="182"/>
      <c r="CIW115" s="181"/>
      <c r="CIX115" s="182"/>
      <c r="CIY115" s="181"/>
      <c r="CIZ115" s="182"/>
      <c r="CJA115" s="181"/>
      <c r="CJB115" s="182"/>
      <c r="CJC115" s="181"/>
      <c r="CJD115" s="182"/>
      <c r="CJE115" s="181"/>
      <c r="CJF115" s="182"/>
      <c r="CJG115" s="181"/>
      <c r="CJH115" s="182"/>
      <c r="CJI115" s="181"/>
      <c r="CJJ115" s="182"/>
      <c r="CJK115" s="181"/>
      <c r="CJL115" s="182"/>
      <c r="CJM115" s="181"/>
      <c r="CJN115" s="182"/>
      <c r="CJO115" s="181"/>
      <c r="CJP115" s="182"/>
      <c r="CJQ115" s="181"/>
      <c r="CJR115" s="182"/>
      <c r="CJS115" s="181"/>
      <c r="CJT115" s="182"/>
      <c r="CJU115" s="181"/>
      <c r="CJV115" s="182"/>
      <c r="CJW115" s="181"/>
      <c r="CJX115" s="182"/>
      <c r="CJY115" s="181"/>
      <c r="CJZ115" s="182"/>
      <c r="CKA115" s="181"/>
      <c r="CKB115" s="182"/>
      <c r="CKC115" s="181"/>
      <c r="CKD115" s="182"/>
      <c r="CKE115" s="181"/>
      <c r="CKF115" s="182"/>
      <c r="CKG115" s="181"/>
      <c r="CKH115" s="182"/>
      <c r="CKI115" s="181"/>
      <c r="CKJ115" s="182"/>
      <c r="CKK115" s="181"/>
      <c r="CKL115" s="182"/>
      <c r="CKM115" s="181"/>
      <c r="CKN115" s="182"/>
      <c r="CKO115" s="181"/>
      <c r="CKP115" s="182"/>
      <c r="CKQ115" s="181"/>
      <c r="CKR115" s="182"/>
      <c r="CKS115" s="181"/>
      <c r="CKT115" s="182"/>
      <c r="CKU115" s="181"/>
      <c r="CKV115" s="182"/>
      <c r="CKW115" s="181"/>
      <c r="CKX115" s="182"/>
      <c r="CKY115" s="181"/>
      <c r="CKZ115" s="182"/>
      <c r="CLA115" s="181"/>
      <c r="CLB115" s="182"/>
      <c r="CLC115" s="181"/>
      <c r="CLD115" s="182"/>
      <c r="CLE115" s="181"/>
      <c r="CLF115" s="182"/>
      <c r="CLG115" s="181"/>
      <c r="CLH115" s="182"/>
      <c r="CLI115" s="181"/>
      <c r="CLJ115" s="182"/>
      <c r="CLK115" s="181"/>
      <c r="CLL115" s="182"/>
      <c r="CLM115" s="181"/>
      <c r="CLN115" s="182"/>
      <c r="CLO115" s="181"/>
      <c r="CLP115" s="182"/>
      <c r="CLQ115" s="181"/>
      <c r="CLR115" s="182"/>
      <c r="CLS115" s="181"/>
      <c r="CLT115" s="182"/>
      <c r="CLU115" s="181"/>
      <c r="CLV115" s="182"/>
      <c r="CLW115" s="181"/>
      <c r="CLX115" s="182"/>
      <c r="CLY115" s="181"/>
      <c r="CLZ115" s="182"/>
      <c r="CMA115" s="181"/>
      <c r="CMB115" s="182"/>
      <c r="CMC115" s="181"/>
      <c r="CMD115" s="182"/>
      <c r="CME115" s="181"/>
      <c r="CMF115" s="182"/>
      <c r="CMG115" s="181"/>
      <c r="CMH115" s="182"/>
      <c r="CMI115" s="181"/>
      <c r="CMJ115" s="182"/>
      <c r="CMK115" s="181"/>
      <c r="CML115" s="182"/>
      <c r="CMM115" s="181"/>
      <c r="CMN115" s="182"/>
      <c r="CMO115" s="181"/>
      <c r="CMP115" s="182"/>
      <c r="CMQ115" s="181"/>
      <c r="CMR115" s="182"/>
      <c r="CMS115" s="181"/>
      <c r="CMT115" s="182"/>
      <c r="CMU115" s="181"/>
      <c r="CMV115" s="182"/>
      <c r="CMW115" s="181"/>
      <c r="CMX115" s="182"/>
      <c r="CMY115" s="181"/>
      <c r="CMZ115" s="182"/>
      <c r="CNA115" s="181"/>
      <c r="CNB115" s="182"/>
      <c r="CNC115" s="181"/>
      <c r="CND115" s="182"/>
      <c r="CNE115" s="181"/>
      <c r="CNF115" s="182"/>
      <c r="CNG115" s="181"/>
      <c r="CNH115" s="182"/>
      <c r="CNI115" s="181"/>
      <c r="CNJ115" s="182"/>
      <c r="CNK115" s="181"/>
      <c r="CNL115" s="182"/>
      <c r="CNM115" s="181"/>
      <c r="CNN115" s="182"/>
      <c r="CNO115" s="181"/>
      <c r="CNP115" s="182"/>
      <c r="CNQ115" s="181"/>
      <c r="CNR115" s="182"/>
      <c r="CNS115" s="181"/>
      <c r="CNT115" s="182"/>
      <c r="CNU115" s="181"/>
      <c r="CNV115" s="182"/>
      <c r="CNW115" s="181"/>
      <c r="CNX115" s="182"/>
      <c r="CNY115" s="181"/>
      <c r="CNZ115" s="182"/>
      <c r="COA115" s="181"/>
      <c r="COB115" s="182"/>
      <c r="COC115" s="181"/>
      <c r="COD115" s="182"/>
      <c r="COE115" s="181"/>
      <c r="COF115" s="182"/>
      <c r="COG115" s="181"/>
      <c r="COH115" s="182"/>
      <c r="COI115" s="181"/>
      <c r="COJ115" s="182"/>
      <c r="COK115" s="181"/>
      <c r="COL115" s="182"/>
      <c r="COM115" s="181"/>
      <c r="CON115" s="182"/>
      <c r="COO115" s="181"/>
      <c r="COP115" s="182"/>
      <c r="COQ115" s="181"/>
      <c r="COR115" s="182"/>
      <c r="COS115" s="181"/>
      <c r="COT115" s="182"/>
      <c r="COU115" s="181"/>
      <c r="COV115" s="182"/>
      <c r="COW115" s="181"/>
      <c r="COX115" s="182"/>
      <c r="COY115" s="181"/>
      <c r="COZ115" s="182"/>
      <c r="CPA115" s="181"/>
      <c r="CPB115" s="182"/>
      <c r="CPC115" s="181"/>
      <c r="CPD115" s="182"/>
      <c r="CPE115" s="181"/>
      <c r="CPF115" s="182"/>
      <c r="CPG115" s="181"/>
      <c r="CPH115" s="182"/>
      <c r="CPI115" s="181"/>
      <c r="CPJ115" s="182"/>
      <c r="CPK115" s="181"/>
      <c r="CPL115" s="182"/>
      <c r="CPM115" s="181"/>
      <c r="CPN115" s="182"/>
      <c r="CPO115" s="181"/>
      <c r="CPP115" s="182"/>
      <c r="CPQ115" s="181"/>
      <c r="CPR115" s="182"/>
      <c r="CPS115" s="181"/>
      <c r="CPT115" s="182"/>
      <c r="CPU115" s="181"/>
      <c r="CPV115" s="182"/>
      <c r="CPW115" s="181"/>
      <c r="CPX115" s="182"/>
      <c r="CPY115" s="181"/>
      <c r="CPZ115" s="182"/>
      <c r="CQA115" s="181"/>
      <c r="CQB115" s="182"/>
      <c r="CQC115" s="181"/>
      <c r="CQD115" s="182"/>
      <c r="CQE115" s="181"/>
      <c r="CQF115" s="182"/>
      <c r="CQG115" s="181"/>
      <c r="CQH115" s="182"/>
      <c r="CQI115" s="181"/>
      <c r="CQJ115" s="182"/>
      <c r="CQK115" s="181"/>
      <c r="CQL115" s="182"/>
      <c r="CQM115" s="181"/>
      <c r="CQN115" s="182"/>
      <c r="CQO115" s="181"/>
      <c r="CQP115" s="182"/>
      <c r="CQQ115" s="181"/>
      <c r="CQR115" s="182"/>
      <c r="CQS115" s="181"/>
      <c r="CQT115" s="182"/>
      <c r="CQU115" s="181"/>
      <c r="CQV115" s="182"/>
      <c r="CQW115" s="181"/>
      <c r="CQX115" s="182"/>
      <c r="CQY115" s="181"/>
      <c r="CQZ115" s="182"/>
      <c r="CRA115" s="181"/>
      <c r="CRB115" s="182"/>
      <c r="CRC115" s="181"/>
      <c r="CRD115" s="182"/>
      <c r="CRE115" s="181"/>
      <c r="CRF115" s="182"/>
      <c r="CRG115" s="181"/>
      <c r="CRH115" s="182"/>
      <c r="CRI115" s="181"/>
      <c r="CRJ115" s="182"/>
      <c r="CRK115" s="181"/>
      <c r="CRL115" s="182"/>
      <c r="CRM115" s="181"/>
      <c r="CRN115" s="182"/>
      <c r="CRO115" s="181"/>
      <c r="CRP115" s="182"/>
      <c r="CRQ115" s="181"/>
      <c r="CRR115" s="182"/>
      <c r="CRS115" s="181"/>
      <c r="CRT115" s="182"/>
      <c r="CRU115" s="181"/>
      <c r="CRV115" s="182"/>
      <c r="CRW115" s="181"/>
      <c r="CRX115" s="182"/>
      <c r="CRY115" s="181"/>
      <c r="CRZ115" s="182"/>
      <c r="CSA115" s="181"/>
      <c r="CSB115" s="182"/>
      <c r="CSC115" s="181"/>
      <c r="CSD115" s="182"/>
      <c r="CSE115" s="181"/>
      <c r="CSF115" s="182"/>
      <c r="CSG115" s="181"/>
      <c r="CSH115" s="182"/>
      <c r="CSI115" s="181"/>
      <c r="CSJ115" s="182"/>
      <c r="CSK115" s="181"/>
      <c r="CSL115" s="182"/>
      <c r="CSM115" s="181"/>
      <c r="CSN115" s="182"/>
      <c r="CSO115" s="181"/>
      <c r="CSP115" s="182"/>
      <c r="CSQ115" s="181"/>
      <c r="CSR115" s="182"/>
      <c r="CSS115" s="181"/>
      <c r="CST115" s="182"/>
      <c r="CSU115" s="181"/>
      <c r="CSV115" s="182"/>
      <c r="CSW115" s="181"/>
      <c r="CSX115" s="182"/>
      <c r="CSY115" s="181"/>
      <c r="CSZ115" s="182"/>
      <c r="CTA115" s="181"/>
      <c r="CTB115" s="182"/>
      <c r="CTC115" s="181"/>
      <c r="CTD115" s="182"/>
      <c r="CTE115" s="181"/>
      <c r="CTF115" s="182"/>
      <c r="CTG115" s="181"/>
      <c r="CTH115" s="182"/>
      <c r="CTI115" s="181"/>
      <c r="CTJ115" s="182"/>
      <c r="CTK115" s="181"/>
      <c r="CTL115" s="182"/>
      <c r="CTM115" s="181"/>
      <c r="CTN115" s="182"/>
      <c r="CTO115" s="181"/>
      <c r="CTP115" s="182"/>
      <c r="CTQ115" s="181"/>
      <c r="CTR115" s="182"/>
      <c r="CTS115" s="181"/>
      <c r="CTT115" s="182"/>
      <c r="CTU115" s="181"/>
      <c r="CTV115" s="182"/>
      <c r="CTW115" s="181"/>
      <c r="CTX115" s="182"/>
      <c r="CTY115" s="181"/>
      <c r="CTZ115" s="182"/>
      <c r="CUA115" s="181"/>
      <c r="CUB115" s="182"/>
      <c r="CUC115" s="181"/>
      <c r="CUD115" s="182"/>
      <c r="CUE115" s="181"/>
      <c r="CUF115" s="182"/>
      <c r="CUG115" s="181"/>
      <c r="CUH115" s="182"/>
      <c r="CUI115" s="181"/>
      <c r="CUJ115" s="182"/>
      <c r="CUK115" s="181"/>
      <c r="CUL115" s="182"/>
      <c r="CUM115" s="181"/>
      <c r="CUN115" s="182"/>
      <c r="CUO115" s="181"/>
      <c r="CUP115" s="182"/>
      <c r="CUQ115" s="181"/>
      <c r="CUR115" s="182"/>
      <c r="CUS115" s="181"/>
      <c r="CUT115" s="182"/>
      <c r="CUU115" s="181"/>
      <c r="CUV115" s="182"/>
      <c r="CUW115" s="181"/>
      <c r="CUX115" s="182"/>
      <c r="CUY115" s="181"/>
      <c r="CUZ115" s="182"/>
      <c r="CVA115" s="181"/>
      <c r="CVB115" s="182"/>
      <c r="CVC115" s="181"/>
      <c r="CVD115" s="182"/>
      <c r="CVE115" s="181"/>
      <c r="CVF115" s="182"/>
      <c r="CVG115" s="181"/>
      <c r="CVH115" s="182"/>
      <c r="CVI115" s="181"/>
      <c r="CVJ115" s="182"/>
      <c r="CVK115" s="181"/>
      <c r="CVL115" s="182"/>
      <c r="CVM115" s="181"/>
      <c r="CVN115" s="182"/>
      <c r="CVO115" s="181"/>
      <c r="CVP115" s="182"/>
      <c r="CVQ115" s="181"/>
      <c r="CVR115" s="182"/>
      <c r="CVS115" s="181"/>
      <c r="CVT115" s="182"/>
      <c r="CVU115" s="181"/>
      <c r="CVV115" s="182"/>
      <c r="CVW115" s="181"/>
      <c r="CVX115" s="182"/>
      <c r="CVY115" s="181"/>
      <c r="CVZ115" s="182"/>
      <c r="CWA115" s="181"/>
      <c r="CWB115" s="182"/>
      <c r="CWC115" s="181"/>
      <c r="CWD115" s="182"/>
      <c r="CWE115" s="181"/>
      <c r="CWF115" s="182"/>
      <c r="CWG115" s="181"/>
      <c r="CWH115" s="182"/>
      <c r="CWI115" s="181"/>
      <c r="CWJ115" s="182"/>
      <c r="CWK115" s="181"/>
      <c r="CWL115" s="182"/>
      <c r="CWM115" s="181"/>
      <c r="CWN115" s="182"/>
      <c r="CWO115" s="181"/>
      <c r="CWP115" s="182"/>
      <c r="CWQ115" s="181"/>
      <c r="CWR115" s="182"/>
      <c r="CWS115" s="181"/>
      <c r="CWT115" s="182"/>
      <c r="CWU115" s="181"/>
      <c r="CWV115" s="182"/>
      <c r="CWW115" s="181"/>
      <c r="CWX115" s="182"/>
      <c r="CWY115" s="181"/>
      <c r="CWZ115" s="182"/>
      <c r="CXA115" s="181"/>
      <c r="CXB115" s="182"/>
      <c r="CXC115" s="181"/>
      <c r="CXD115" s="182"/>
      <c r="CXE115" s="181"/>
      <c r="CXF115" s="182"/>
      <c r="CXG115" s="181"/>
      <c r="CXH115" s="182"/>
      <c r="CXI115" s="181"/>
      <c r="CXJ115" s="182"/>
      <c r="CXK115" s="181"/>
      <c r="CXL115" s="182"/>
      <c r="CXM115" s="181"/>
      <c r="CXN115" s="182"/>
      <c r="CXO115" s="181"/>
      <c r="CXP115" s="182"/>
      <c r="CXQ115" s="181"/>
      <c r="CXR115" s="182"/>
      <c r="CXS115" s="181"/>
      <c r="CXT115" s="182"/>
      <c r="CXU115" s="181"/>
      <c r="CXV115" s="182"/>
      <c r="CXW115" s="181"/>
      <c r="CXX115" s="182"/>
      <c r="CXY115" s="181"/>
      <c r="CXZ115" s="182"/>
      <c r="CYA115" s="181"/>
      <c r="CYB115" s="182"/>
      <c r="CYC115" s="181"/>
      <c r="CYD115" s="182"/>
      <c r="CYE115" s="181"/>
      <c r="CYF115" s="182"/>
      <c r="CYG115" s="181"/>
      <c r="CYH115" s="182"/>
      <c r="CYI115" s="181"/>
      <c r="CYJ115" s="182"/>
      <c r="CYK115" s="181"/>
      <c r="CYL115" s="182"/>
      <c r="CYM115" s="181"/>
      <c r="CYN115" s="182"/>
      <c r="CYO115" s="181"/>
      <c r="CYP115" s="182"/>
      <c r="CYQ115" s="181"/>
      <c r="CYR115" s="182"/>
      <c r="CYS115" s="181"/>
      <c r="CYT115" s="182"/>
      <c r="CYU115" s="181"/>
      <c r="CYV115" s="182"/>
      <c r="CYW115" s="181"/>
      <c r="CYX115" s="182"/>
      <c r="CYY115" s="181"/>
      <c r="CYZ115" s="182"/>
      <c r="CZA115" s="181"/>
      <c r="CZB115" s="182"/>
      <c r="CZC115" s="181"/>
      <c r="CZD115" s="182"/>
      <c r="CZE115" s="181"/>
      <c r="CZF115" s="182"/>
      <c r="CZG115" s="181"/>
      <c r="CZH115" s="182"/>
      <c r="CZI115" s="181"/>
      <c r="CZJ115" s="182"/>
      <c r="CZK115" s="181"/>
      <c r="CZL115" s="182"/>
      <c r="CZM115" s="181"/>
      <c r="CZN115" s="182"/>
      <c r="CZO115" s="181"/>
      <c r="CZP115" s="182"/>
      <c r="CZQ115" s="181"/>
      <c r="CZR115" s="182"/>
      <c r="CZS115" s="181"/>
      <c r="CZT115" s="182"/>
      <c r="CZU115" s="181"/>
      <c r="CZV115" s="182"/>
      <c r="CZW115" s="181"/>
      <c r="CZX115" s="182"/>
      <c r="CZY115" s="181"/>
      <c r="CZZ115" s="182"/>
      <c r="DAA115" s="181"/>
      <c r="DAB115" s="182"/>
      <c r="DAC115" s="181"/>
      <c r="DAD115" s="182"/>
      <c r="DAE115" s="181"/>
      <c r="DAF115" s="182"/>
      <c r="DAG115" s="181"/>
      <c r="DAH115" s="182"/>
      <c r="DAI115" s="181"/>
      <c r="DAJ115" s="182"/>
      <c r="DAK115" s="181"/>
      <c r="DAL115" s="182"/>
      <c r="DAM115" s="181"/>
      <c r="DAN115" s="182"/>
      <c r="DAO115" s="181"/>
      <c r="DAP115" s="182"/>
      <c r="DAQ115" s="181"/>
      <c r="DAR115" s="182"/>
      <c r="DAS115" s="181"/>
      <c r="DAT115" s="182"/>
      <c r="DAU115" s="181"/>
      <c r="DAV115" s="182"/>
      <c r="DAW115" s="181"/>
      <c r="DAX115" s="182"/>
      <c r="DAY115" s="181"/>
      <c r="DAZ115" s="182"/>
      <c r="DBA115" s="181"/>
      <c r="DBB115" s="182"/>
      <c r="DBC115" s="181"/>
      <c r="DBD115" s="182"/>
      <c r="DBE115" s="181"/>
      <c r="DBF115" s="182"/>
      <c r="DBG115" s="181"/>
      <c r="DBH115" s="182"/>
      <c r="DBI115" s="181"/>
      <c r="DBJ115" s="182"/>
      <c r="DBK115" s="181"/>
      <c r="DBL115" s="182"/>
      <c r="DBM115" s="181"/>
      <c r="DBN115" s="182"/>
      <c r="DBO115" s="181"/>
      <c r="DBP115" s="182"/>
      <c r="DBQ115" s="181"/>
      <c r="DBR115" s="182"/>
      <c r="DBS115" s="181"/>
      <c r="DBT115" s="182"/>
      <c r="DBU115" s="181"/>
      <c r="DBV115" s="182"/>
      <c r="DBW115" s="181"/>
      <c r="DBX115" s="182"/>
      <c r="DBY115" s="181"/>
      <c r="DBZ115" s="182"/>
      <c r="DCA115" s="181"/>
      <c r="DCB115" s="182"/>
      <c r="DCC115" s="181"/>
      <c r="DCD115" s="182"/>
      <c r="DCE115" s="181"/>
      <c r="DCF115" s="182"/>
      <c r="DCG115" s="181"/>
      <c r="DCH115" s="182"/>
      <c r="DCI115" s="181"/>
      <c r="DCJ115" s="182"/>
      <c r="DCK115" s="181"/>
      <c r="DCL115" s="182"/>
      <c r="DCM115" s="181"/>
      <c r="DCN115" s="182"/>
      <c r="DCO115" s="181"/>
      <c r="DCP115" s="182"/>
      <c r="DCQ115" s="181"/>
      <c r="DCR115" s="182"/>
      <c r="DCS115" s="181"/>
      <c r="DCT115" s="182"/>
      <c r="DCU115" s="181"/>
      <c r="DCV115" s="182"/>
      <c r="DCW115" s="181"/>
      <c r="DCX115" s="182"/>
      <c r="DCY115" s="181"/>
      <c r="DCZ115" s="182"/>
      <c r="DDA115" s="181"/>
      <c r="DDB115" s="182"/>
      <c r="DDC115" s="181"/>
      <c r="DDD115" s="182"/>
      <c r="DDE115" s="181"/>
      <c r="DDF115" s="182"/>
      <c r="DDG115" s="181"/>
      <c r="DDH115" s="182"/>
      <c r="DDI115" s="181"/>
      <c r="DDJ115" s="182"/>
      <c r="DDK115" s="181"/>
      <c r="DDL115" s="182"/>
      <c r="DDM115" s="181"/>
      <c r="DDN115" s="182"/>
      <c r="DDO115" s="181"/>
      <c r="DDP115" s="182"/>
      <c r="DDQ115" s="181"/>
      <c r="DDR115" s="182"/>
      <c r="DDS115" s="181"/>
      <c r="DDT115" s="182"/>
      <c r="DDU115" s="181"/>
      <c r="DDV115" s="182"/>
      <c r="DDW115" s="181"/>
      <c r="DDX115" s="182"/>
      <c r="DDY115" s="181"/>
      <c r="DDZ115" s="182"/>
      <c r="DEA115" s="181"/>
      <c r="DEB115" s="182"/>
      <c r="DEC115" s="181"/>
      <c r="DED115" s="182"/>
      <c r="DEE115" s="181"/>
      <c r="DEF115" s="182"/>
      <c r="DEG115" s="181"/>
      <c r="DEH115" s="182"/>
      <c r="DEI115" s="181"/>
      <c r="DEJ115" s="182"/>
      <c r="DEK115" s="181"/>
      <c r="DEL115" s="182"/>
      <c r="DEM115" s="181"/>
      <c r="DEN115" s="182"/>
      <c r="DEO115" s="181"/>
      <c r="DEP115" s="182"/>
      <c r="DEQ115" s="181"/>
      <c r="DER115" s="182"/>
      <c r="DES115" s="181"/>
      <c r="DET115" s="182"/>
      <c r="DEU115" s="181"/>
      <c r="DEV115" s="182"/>
      <c r="DEW115" s="181"/>
      <c r="DEX115" s="182"/>
      <c r="DEY115" s="181"/>
      <c r="DEZ115" s="182"/>
      <c r="DFA115" s="181"/>
      <c r="DFB115" s="182"/>
      <c r="DFC115" s="181"/>
      <c r="DFD115" s="182"/>
      <c r="DFE115" s="181"/>
      <c r="DFF115" s="182"/>
      <c r="DFG115" s="181"/>
      <c r="DFH115" s="182"/>
      <c r="DFI115" s="181"/>
      <c r="DFJ115" s="182"/>
      <c r="DFK115" s="181"/>
      <c r="DFL115" s="182"/>
      <c r="DFM115" s="181"/>
      <c r="DFN115" s="182"/>
      <c r="DFO115" s="181"/>
      <c r="DFP115" s="182"/>
      <c r="DFQ115" s="181"/>
      <c r="DFR115" s="182"/>
      <c r="DFS115" s="181"/>
      <c r="DFT115" s="182"/>
      <c r="DFU115" s="181"/>
      <c r="DFV115" s="182"/>
      <c r="DFW115" s="181"/>
      <c r="DFX115" s="182"/>
      <c r="DFY115" s="181"/>
      <c r="DFZ115" s="182"/>
      <c r="DGA115" s="181"/>
      <c r="DGB115" s="182"/>
      <c r="DGC115" s="181"/>
      <c r="DGD115" s="182"/>
      <c r="DGE115" s="181"/>
      <c r="DGF115" s="182"/>
      <c r="DGG115" s="181"/>
      <c r="DGH115" s="182"/>
      <c r="DGI115" s="181"/>
      <c r="DGJ115" s="182"/>
      <c r="DGK115" s="181"/>
      <c r="DGL115" s="182"/>
      <c r="DGM115" s="181"/>
      <c r="DGN115" s="182"/>
      <c r="DGO115" s="181"/>
      <c r="DGP115" s="182"/>
      <c r="DGQ115" s="181"/>
      <c r="DGR115" s="182"/>
      <c r="DGS115" s="181"/>
      <c r="DGT115" s="182"/>
      <c r="DGU115" s="181"/>
      <c r="DGV115" s="182"/>
      <c r="DGW115" s="181"/>
      <c r="DGX115" s="182"/>
      <c r="DGY115" s="181"/>
      <c r="DGZ115" s="182"/>
      <c r="DHA115" s="181"/>
      <c r="DHB115" s="182"/>
      <c r="DHC115" s="181"/>
      <c r="DHD115" s="182"/>
      <c r="DHE115" s="181"/>
      <c r="DHF115" s="182"/>
      <c r="DHG115" s="181"/>
      <c r="DHH115" s="182"/>
      <c r="DHI115" s="181"/>
      <c r="DHJ115" s="182"/>
      <c r="DHK115" s="181"/>
      <c r="DHL115" s="182"/>
      <c r="DHM115" s="181"/>
      <c r="DHN115" s="182"/>
      <c r="DHO115" s="181"/>
      <c r="DHP115" s="182"/>
      <c r="DHQ115" s="181"/>
      <c r="DHR115" s="182"/>
      <c r="DHS115" s="181"/>
      <c r="DHT115" s="182"/>
      <c r="DHU115" s="181"/>
      <c r="DHV115" s="182"/>
      <c r="DHW115" s="181"/>
      <c r="DHX115" s="182"/>
      <c r="DHY115" s="181"/>
      <c r="DHZ115" s="182"/>
      <c r="DIA115" s="181"/>
      <c r="DIB115" s="182"/>
      <c r="DIC115" s="181"/>
      <c r="DID115" s="182"/>
      <c r="DIE115" s="181"/>
      <c r="DIF115" s="182"/>
      <c r="DIG115" s="181"/>
      <c r="DIH115" s="182"/>
      <c r="DII115" s="181"/>
      <c r="DIJ115" s="182"/>
      <c r="DIK115" s="181"/>
      <c r="DIL115" s="182"/>
      <c r="DIM115" s="181"/>
      <c r="DIN115" s="182"/>
      <c r="DIO115" s="181"/>
      <c r="DIP115" s="182"/>
      <c r="DIQ115" s="181"/>
      <c r="DIR115" s="182"/>
      <c r="DIS115" s="181"/>
      <c r="DIT115" s="182"/>
      <c r="DIU115" s="181"/>
      <c r="DIV115" s="182"/>
      <c r="DIW115" s="181"/>
      <c r="DIX115" s="182"/>
      <c r="DIY115" s="181"/>
      <c r="DIZ115" s="182"/>
      <c r="DJA115" s="181"/>
      <c r="DJB115" s="182"/>
      <c r="DJC115" s="181"/>
      <c r="DJD115" s="182"/>
      <c r="DJE115" s="181"/>
      <c r="DJF115" s="182"/>
      <c r="DJG115" s="181"/>
      <c r="DJH115" s="182"/>
      <c r="DJI115" s="181"/>
      <c r="DJJ115" s="182"/>
      <c r="DJK115" s="181"/>
      <c r="DJL115" s="182"/>
      <c r="DJM115" s="181"/>
      <c r="DJN115" s="182"/>
      <c r="DJO115" s="181"/>
      <c r="DJP115" s="182"/>
      <c r="DJQ115" s="181"/>
      <c r="DJR115" s="182"/>
      <c r="DJS115" s="181"/>
      <c r="DJT115" s="182"/>
      <c r="DJU115" s="181"/>
      <c r="DJV115" s="182"/>
      <c r="DJW115" s="181"/>
      <c r="DJX115" s="182"/>
      <c r="DJY115" s="181"/>
      <c r="DJZ115" s="182"/>
      <c r="DKA115" s="181"/>
      <c r="DKB115" s="182"/>
      <c r="DKC115" s="181"/>
      <c r="DKD115" s="182"/>
      <c r="DKE115" s="181"/>
      <c r="DKF115" s="182"/>
      <c r="DKG115" s="181"/>
      <c r="DKH115" s="182"/>
      <c r="DKI115" s="181"/>
      <c r="DKJ115" s="182"/>
      <c r="DKK115" s="181"/>
      <c r="DKL115" s="182"/>
      <c r="DKM115" s="181"/>
      <c r="DKN115" s="182"/>
      <c r="DKO115" s="181"/>
      <c r="DKP115" s="182"/>
      <c r="DKQ115" s="181"/>
      <c r="DKR115" s="182"/>
      <c r="DKS115" s="181"/>
      <c r="DKT115" s="182"/>
      <c r="DKU115" s="181"/>
      <c r="DKV115" s="182"/>
      <c r="DKW115" s="181"/>
      <c r="DKX115" s="182"/>
      <c r="DKY115" s="181"/>
      <c r="DKZ115" s="182"/>
      <c r="DLA115" s="181"/>
      <c r="DLB115" s="182"/>
      <c r="DLC115" s="181"/>
      <c r="DLD115" s="182"/>
      <c r="DLE115" s="181"/>
      <c r="DLF115" s="182"/>
      <c r="DLG115" s="181"/>
      <c r="DLH115" s="182"/>
      <c r="DLI115" s="181"/>
      <c r="DLJ115" s="182"/>
      <c r="DLK115" s="181"/>
      <c r="DLL115" s="182"/>
      <c r="DLM115" s="181"/>
      <c r="DLN115" s="182"/>
      <c r="DLO115" s="181"/>
      <c r="DLP115" s="182"/>
      <c r="DLQ115" s="181"/>
      <c r="DLR115" s="182"/>
      <c r="DLS115" s="181"/>
      <c r="DLT115" s="182"/>
      <c r="DLU115" s="181"/>
      <c r="DLV115" s="182"/>
      <c r="DLW115" s="181"/>
      <c r="DLX115" s="182"/>
      <c r="DLY115" s="181"/>
      <c r="DLZ115" s="182"/>
      <c r="DMA115" s="181"/>
      <c r="DMB115" s="182"/>
      <c r="DMC115" s="181"/>
      <c r="DMD115" s="182"/>
      <c r="DME115" s="181"/>
      <c r="DMF115" s="182"/>
      <c r="DMG115" s="181"/>
      <c r="DMH115" s="182"/>
      <c r="DMI115" s="181"/>
      <c r="DMJ115" s="182"/>
      <c r="DMK115" s="181"/>
      <c r="DML115" s="182"/>
      <c r="DMM115" s="181"/>
      <c r="DMN115" s="182"/>
      <c r="DMO115" s="181"/>
      <c r="DMP115" s="182"/>
      <c r="DMQ115" s="181"/>
      <c r="DMR115" s="182"/>
      <c r="DMS115" s="181"/>
      <c r="DMT115" s="182"/>
      <c r="DMU115" s="181"/>
      <c r="DMV115" s="182"/>
      <c r="DMW115" s="181"/>
      <c r="DMX115" s="182"/>
      <c r="DMY115" s="181"/>
      <c r="DMZ115" s="182"/>
      <c r="DNA115" s="181"/>
      <c r="DNB115" s="182"/>
      <c r="DNC115" s="181"/>
      <c r="DND115" s="182"/>
      <c r="DNE115" s="181"/>
      <c r="DNF115" s="182"/>
      <c r="DNG115" s="181"/>
      <c r="DNH115" s="182"/>
      <c r="DNI115" s="181"/>
      <c r="DNJ115" s="182"/>
      <c r="DNK115" s="181"/>
      <c r="DNL115" s="182"/>
      <c r="DNM115" s="181"/>
      <c r="DNN115" s="182"/>
      <c r="DNO115" s="181"/>
      <c r="DNP115" s="182"/>
      <c r="DNQ115" s="181"/>
      <c r="DNR115" s="182"/>
      <c r="DNS115" s="181"/>
      <c r="DNT115" s="182"/>
      <c r="DNU115" s="181"/>
      <c r="DNV115" s="182"/>
      <c r="DNW115" s="181"/>
      <c r="DNX115" s="182"/>
      <c r="DNY115" s="181"/>
      <c r="DNZ115" s="182"/>
      <c r="DOA115" s="181"/>
      <c r="DOB115" s="182"/>
      <c r="DOC115" s="181"/>
      <c r="DOD115" s="182"/>
      <c r="DOE115" s="181"/>
      <c r="DOF115" s="182"/>
      <c r="DOG115" s="181"/>
      <c r="DOH115" s="182"/>
      <c r="DOI115" s="181"/>
      <c r="DOJ115" s="182"/>
      <c r="DOK115" s="181"/>
      <c r="DOL115" s="182"/>
      <c r="DOM115" s="181"/>
      <c r="DON115" s="182"/>
      <c r="DOO115" s="181"/>
      <c r="DOP115" s="182"/>
      <c r="DOQ115" s="181"/>
      <c r="DOR115" s="182"/>
      <c r="DOS115" s="181"/>
      <c r="DOT115" s="182"/>
      <c r="DOU115" s="181"/>
      <c r="DOV115" s="182"/>
      <c r="DOW115" s="181"/>
      <c r="DOX115" s="182"/>
      <c r="DOY115" s="181"/>
      <c r="DOZ115" s="182"/>
      <c r="DPA115" s="181"/>
      <c r="DPB115" s="182"/>
      <c r="DPC115" s="181"/>
      <c r="DPD115" s="182"/>
      <c r="DPE115" s="181"/>
      <c r="DPF115" s="182"/>
      <c r="DPG115" s="181"/>
      <c r="DPH115" s="182"/>
      <c r="DPI115" s="181"/>
      <c r="DPJ115" s="182"/>
      <c r="DPK115" s="181"/>
      <c r="DPL115" s="182"/>
      <c r="DPM115" s="181"/>
      <c r="DPN115" s="182"/>
      <c r="DPO115" s="181"/>
      <c r="DPP115" s="182"/>
      <c r="DPQ115" s="181"/>
      <c r="DPR115" s="182"/>
      <c r="DPS115" s="181"/>
      <c r="DPT115" s="182"/>
      <c r="DPU115" s="181"/>
      <c r="DPV115" s="182"/>
      <c r="DPW115" s="181"/>
      <c r="DPX115" s="182"/>
      <c r="DPY115" s="181"/>
      <c r="DPZ115" s="182"/>
      <c r="DQA115" s="181"/>
      <c r="DQB115" s="182"/>
      <c r="DQC115" s="181"/>
      <c r="DQD115" s="182"/>
      <c r="DQE115" s="181"/>
      <c r="DQF115" s="182"/>
      <c r="DQG115" s="181"/>
      <c r="DQH115" s="182"/>
      <c r="DQI115" s="181"/>
      <c r="DQJ115" s="182"/>
      <c r="DQK115" s="181"/>
      <c r="DQL115" s="182"/>
      <c r="DQM115" s="181"/>
      <c r="DQN115" s="182"/>
      <c r="DQO115" s="181"/>
      <c r="DQP115" s="182"/>
      <c r="DQQ115" s="181"/>
      <c r="DQR115" s="182"/>
      <c r="DQS115" s="181"/>
      <c r="DQT115" s="182"/>
      <c r="DQU115" s="181"/>
      <c r="DQV115" s="182"/>
      <c r="DQW115" s="181"/>
      <c r="DQX115" s="182"/>
      <c r="DQY115" s="181"/>
      <c r="DQZ115" s="182"/>
      <c r="DRA115" s="181"/>
      <c r="DRB115" s="182"/>
      <c r="DRC115" s="181"/>
      <c r="DRD115" s="182"/>
      <c r="DRE115" s="181"/>
      <c r="DRF115" s="182"/>
      <c r="DRG115" s="181"/>
      <c r="DRH115" s="182"/>
      <c r="DRI115" s="181"/>
      <c r="DRJ115" s="182"/>
      <c r="DRK115" s="181"/>
      <c r="DRL115" s="182"/>
      <c r="DRM115" s="181"/>
      <c r="DRN115" s="182"/>
      <c r="DRO115" s="181"/>
      <c r="DRP115" s="182"/>
      <c r="DRQ115" s="181"/>
      <c r="DRR115" s="182"/>
      <c r="DRS115" s="181"/>
      <c r="DRT115" s="182"/>
      <c r="DRU115" s="181"/>
      <c r="DRV115" s="182"/>
      <c r="DRW115" s="181"/>
      <c r="DRX115" s="182"/>
      <c r="DRY115" s="181"/>
      <c r="DRZ115" s="182"/>
      <c r="DSA115" s="181"/>
      <c r="DSB115" s="182"/>
      <c r="DSC115" s="181"/>
      <c r="DSD115" s="182"/>
      <c r="DSE115" s="181"/>
      <c r="DSF115" s="182"/>
      <c r="DSG115" s="181"/>
      <c r="DSH115" s="182"/>
      <c r="DSI115" s="181"/>
      <c r="DSJ115" s="182"/>
      <c r="DSK115" s="181"/>
      <c r="DSL115" s="182"/>
      <c r="DSM115" s="181"/>
      <c r="DSN115" s="182"/>
      <c r="DSO115" s="181"/>
      <c r="DSP115" s="182"/>
      <c r="DSQ115" s="181"/>
      <c r="DSR115" s="182"/>
      <c r="DSS115" s="181"/>
      <c r="DST115" s="182"/>
      <c r="DSU115" s="181"/>
      <c r="DSV115" s="182"/>
      <c r="DSW115" s="181"/>
      <c r="DSX115" s="182"/>
      <c r="DSY115" s="181"/>
      <c r="DSZ115" s="182"/>
      <c r="DTA115" s="181"/>
      <c r="DTB115" s="182"/>
      <c r="DTC115" s="181"/>
      <c r="DTD115" s="182"/>
      <c r="DTE115" s="181"/>
      <c r="DTF115" s="182"/>
      <c r="DTG115" s="181"/>
      <c r="DTH115" s="182"/>
      <c r="DTI115" s="181"/>
      <c r="DTJ115" s="182"/>
      <c r="DTK115" s="181"/>
      <c r="DTL115" s="182"/>
      <c r="DTM115" s="181"/>
      <c r="DTN115" s="182"/>
      <c r="DTO115" s="181"/>
      <c r="DTP115" s="182"/>
      <c r="DTQ115" s="181"/>
      <c r="DTR115" s="182"/>
      <c r="DTS115" s="181"/>
      <c r="DTT115" s="182"/>
      <c r="DTU115" s="181"/>
      <c r="DTV115" s="182"/>
      <c r="DTW115" s="181"/>
      <c r="DTX115" s="182"/>
      <c r="DTY115" s="181"/>
      <c r="DTZ115" s="182"/>
      <c r="DUA115" s="181"/>
      <c r="DUB115" s="182"/>
      <c r="DUC115" s="181"/>
      <c r="DUD115" s="182"/>
      <c r="DUE115" s="181"/>
      <c r="DUF115" s="182"/>
      <c r="DUG115" s="181"/>
      <c r="DUH115" s="182"/>
      <c r="DUI115" s="181"/>
      <c r="DUJ115" s="182"/>
      <c r="DUK115" s="181"/>
      <c r="DUL115" s="182"/>
      <c r="DUM115" s="181"/>
      <c r="DUN115" s="182"/>
      <c r="DUO115" s="181"/>
      <c r="DUP115" s="182"/>
      <c r="DUQ115" s="181"/>
      <c r="DUR115" s="182"/>
      <c r="DUS115" s="181"/>
      <c r="DUT115" s="182"/>
      <c r="DUU115" s="181"/>
      <c r="DUV115" s="182"/>
      <c r="DUW115" s="181"/>
      <c r="DUX115" s="182"/>
      <c r="DUY115" s="181"/>
      <c r="DUZ115" s="182"/>
      <c r="DVA115" s="181"/>
      <c r="DVB115" s="182"/>
      <c r="DVC115" s="181"/>
      <c r="DVD115" s="182"/>
      <c r="DVE115" s="181"/>
      <c r="DVF115" s="182"/>
      <c r="DVG115" s="181"/>
      <c r="DVH115" s="182"/>
      <c r="DVI115" s="181"/>
      <c r="DVJ115" s="182"/>
      <c r="DVK115" s="181"/>
      <c r="DVL115" s="182"/>
      <c r="DVM115" s="181"/>
      <c r="DVN115" s="182"/>
      <c r="DVO115" s="181"/>
      <c r="DVP115" s="182"/>
      <c r="DVQ115" s="181"/>
      <c r="DVR115" s="182"/>
      <c r="DVS115" s="181"/>
      <c r="DVT115" s="182"/>
      <c r="DVU115" s="181"/>
      <c r="DVV115" s="182"/>
      <c r="DVW115" s="181"/>
      <c r="DVX115" s="182"/>
      <c r="DVY115" s="181"/>
      <c r="DVZ115" s="182"/>
      <c r="DWA115" s="181"/>
      <c r="DWB115" s="182"/>
      <c r="DWC115" s="181"/>
      <c r="DWD115" s="182"/>
      <c r="DWE115" s="181"/>
      <c r="DWF115" s="182"/>
      <c r="DWG115" s="181"/>
      <c r="DWH115" s="182"/>
      <c r="DWI115" s="181"/>
      <c r="DWJ115" s="182"/>
      <c r="DWK115" s="181"/>
      <c r="DWL115" s="182"/>
      <c r="DWM115" s="181"/>
      <c r="DWN115" s="182"/>
      <c r="DWO115" s="181"/>
      <c r="DWP115" s="182"/>
      <c r="DWQ115" s="181"/>
      <c r="DWR115" s="182"/>
      <c r="DWS115" s="181"/>
      <c r="DWT115" s="182"/>
      <c r="DWU115" s="181"/>
      <c r="DWV115" s="182"/>
      <c r="DWW115" s="181"/>
      <c r="DWX115" s="182"/>
      <c r="DWY115" s="181"/>
      <c r="DWZ115" s="182"/>
      <c r="DXA115" s="181"/>
      <c r="DXB115" s="182"/>
      <c r="DXC115" s="181"/>
      <c r="DXD115" s="182"/>
      <c r="DXE115" s="181"/>
      <c r="DXF115" s="182"/>
      <c r="DXG115" s="181"/>
      <c r="DXH115" s="182"/>
      <c r="DXI115" s="181"/>
      <c r="DXJ115" s="182"/>
      <c r="DXK115" s="181"/>
      <c r="DXL115" s="182"/>
      <c r="DXM115" s="181"/>
      <c r="DXN115" s="182"/>
      <c r="DXO115" s="181"/>
      <c r="DXP115" s="182"/>
      <c r="DXQ115" s="181"/>
      <c r="DXR115" s="182"/>
      <c r="DXS115" s="181"/>
      <c r="DXT115" s="182"/>
      <c r="DXU115" s="181"/>
      <c r="DXV115" s="182"/>
      <c r="DXW115" s="181"/>
      <c r="DXX115" s="182"/>
      <c r="DXY115" s="181"/>
      <c r="DXZ115" s="182"/>
      <c r="DYA115" s="181"/>
      <c r="DYB115" s="182"/>
      <c r="DYC115" s="181"/>
      <c r="DYD115" s="182"/>
      <c r="DYE115" s="181"/>
      <c r="DYF115" s="182"/>
      <c r="DYG115" s="181"/>
      <c r="DYH115" s="182"/>
      <c r="DYI115" s="181"/>
      <c r="DYJ115" s="182"/>
      <c r="DYK115" s="181"/>
      <c r="DYL115" s="182"/>
      <c r="DYM115" s="181"/>
      <c r="DYN115" s="182"/>
      <c r="DYO115" s="181"/>
      <c r="DYP115" s="182"/>
      <c r="DYQ115" s="181"/>
      <c r="DYR115" s="182"/>
      <c r="DYS115" s="181"/>
      <c r="DYT115" s="182"/>
      <c r="DYU115" s="181"/>
      <c r="DYV115" s="182"/>
      <c r="DYW115" s="181"/>
      <c r="DYX115" s="182"/>
      <c r="DYY115" s="181"/>
      <c r="DYZ115" s="182"/>
      <c r="DZA115" s="181"/>
      <c r="DZB115" s="182"/>
      <c r="DZC115" s="181"/>
      <c r="DZD115" s="182"/>
      <c r="DZE115" s="181"/>
      <c r="DZF115" s="182"/>
      <c r="DZG115" s="181"/>
      <c r="DZH115" s="182"/>
      <c r="DZI115" s="181"/>
      <c r="DZJ115" s="182"/>
      <c r="DZK115" s="181"/>
      <c r="DZL115" s="182"/>
      <c r="DZM115" s="181"/>
      <c r="DZN115" s="182"/>
      <c r="DZO115" s="181"/>
      <c r="DZP115" s="182"/>
      <c r="DZQ115" s="181"/>
      <c r="DZR115" s="182"/>
      <c r="DZS115" s="181"/>
      <c r="DZT115" s="182"/>
      <c r="DZU115" s="181"/>
      <c r="DZV115" s="182"/>
      <c r="DZW115" s="181"/>
      <c r="DZX115" s="182"/>
      <c r="DZY115" s="181"/>
      <c r="DZZ115" s="182"/>
      <c r="EAA115" s="181"/>
      <c r="EAB115" s="182"/>
      <c r="EAC115" s="181"/>
      <c r="EAD115" s="182"/>
      <c r="EAE115" s="181"/>
      <c r="EAF115" s="182"/>
      <c r="EAG115" s="181"/>
      <c r="EAH115" s="182"/>
      <c r="EAI115" s="181"/>
      <c r="EAJ115" s="182"/>
      <c r="EAK115" s="181"/>
      <c r="EAL115" s="182"/>
      <c r="EAM115" s="181"/>
      <c r="EAN115" s="182"/>
      <c r="EAO115" s="181"/>
      <c r="EAP115" s="182"/>
      <c r="EAQ115" s="181"/>
      <c r="EAR115" s="182"/>
      <c r="EAS115" s="181"/>
      <c r="EAT115" s="182"/>
      <c r="EAU115" s="181"/>
      <c r="EAV115" s="182"/>
      <c r="EAW115" s="181"/>
      <c r="EAX115" s="182"/>
      <c r="EAY115" s="181"/>
      <c r="EAZ115" s="182"/>
      <c r="EBA115" s="181"/>
      <c r="EBB115" s="182"/>
      <c r="EBC115" s="181"/>
      <c r="EBD115" s="182"/>
      <c r="EBE115" s="181"/>
      <c r="EBF115" s="182"/>
      <c r="EBG115" s="181"/>
      <c r="EBH115" s="182"/>
      <c r="EBI115" s="181"/>
      <c r="EBJ115" s="182"/>
      <c r="EBK115" s="181"/>
      <c r="EBL115" s="182"/>
      <c r="EBM115" s="181"/>
      <c r="EBN115" s="182"/>
      <c r="EBO115" s="181"/>
      <c r="EBP115" s="182"/>
      <c r="EBQ115" s="181"/>
      <c r="EBR115" s="182"/>
      <c r="EBS115" s="181"/>
      <c r="EBT115" s="182"/>
      <c r="EBU115" s="181"/>
      <c r="EBV115" s="182"/>
      <c r="EBW115" s="181"/>
      <c r="EBX115" s="182"/>
      <c r="EBY115" s="181"/>
      <c r="EBZ115" s="182"/>
      <c r="ECA115" s="181"/>
      <c r="ECB115" s="182"/>
      <c r="ECC115" s="181"/>
      <c r="ECD115" s="182"/>
      <c r="ECE115" s="181"/>
      <c r="ECF115" s="182"/>
      <c r="ECG115" s="181"/>
      <c r="ECH115" s="182"/>
      <c r="ECI115" s="181"/>
      <c r="ECJ115" s="182"/>
      <c r="ECK115" s="181"/>
      <c r="ECL115" s="182"/>
      <c r="ECM115" s="181"/>
      <c r="ECN115" s="182"/>
      <c r="ECO115" s="181"/>
      <c r="ECP115" s="182"/>
      <c r="ECQ115" s="181"/>
      <c r="ECR115" s="182"/>
      <c r="ECS115" s="181"/>
      <c r="ECT115" s="182"/>
      <c r="ECU115" s="181"/>
      <c r="ECV115" s="182"/>
      <c r="ECW115" s="181"/>
      <c r="ECX115" s="182"/>
      <c r="ECY115" s="181"/>
      <c r="ECZ115" s="182"/>
      <c r="EDA115" s="181"/>
      <c r="EDB115" s="182"/>
      <c r="EDC115" s="181"/>
      <c r="EDD115" s="182"/>
      <c r="EDE115" s="181"/>
      <c r="EDF115" s="182"/>
      <c r="EDG115" s="181"/>
      <c r="EDH115" s="182"/>
      <c r="EDI115" s="181"/>
      <c r="EDJ115" s="182"/>
      <c r="EDK115" s="181"/>
      <c r="EDL115" s="182"/>
      <c r="EDM115" s="181"/>
      <c r="EDN115" s="182"/>
      <c r="EDO115" s="181"/>
      <c r="EDP115" s="182"/>
      <c r="EDQ115" s="181"/>
      <c r="EDR115" s="182"/>
      <c r="EDS115" s="181"/>
      <c r="EDT115" s="182"/>
      <c r="EDU115" s="181"/>
      <c r="EDV115" s="182"/>
      <c r="EDW115" s="181"/>
      <c r="EDX115" s="182"/>
      <c r="EDY115" s="181"/>
      <c r="EDZ115" s="182"/>
      <c r="EEA115" s="181"/>
      <c r="EEB115" s="182"/>
      <c r="EEC115" s="181"/>
      <c r="EED115" s="182"/>
      <c r="EEE115" s="181"/>
      <c r="EEF115" s="182"/>
      <c r="EEG115" s="181"/>
      <c r="EEH115" s="182"/>
      <c r="EEI115" s="181"/>
      <c r="EEJ115" s="182"/>
      <c r="EEK115" s="181"/>
      <c r="EEL115" s="182"/>
      <c r="EEM115" s="181"/>
      <c r="EEN115" s="182"/>
      <c r="EEO115" s="181"/>
      <c r="EEP115" s="182"/>
      <c r="EEQ115" s="181"/>
      <c r="EER115" s="182"/>
      <c r="EES115" s="181"/>
      <c r="EET115" s="182"/>
      <c r="EEU115" s="181"/>
      <c r="EEV115" s="182"/>
      <c r="EEW115" s="181"/>
      <c r="EEX115" s="182"/>
      <c r="EEY115" s="181"/>
      <c r="EEZ115" s="182"/>
      <c r="EFA115" s="181"/>
      <c r="EFB115" s="182"/>
      <c r="EFC115" s="181"/>
      <c r="EFD115" s="182"/>
      <c r="EFE115" s="181"/>
      <c r="EFF115" s="182"/>
      <c r="EFG115" s="181"/>
      <c r="EFH115" s="182"/>
      <c r="EFI115" s="181"/>
      <c r="EFJ115" s="182"/>
      <c r="EFK115" s="181"/>
      <c r="EFL115" s="182"/>
      <c r="EFM115" s="181"/>
      <c r="EFN115" s="182"/>
      <c r="EFO115" s="181"/>
      <c r="EFP115" s="182"/>
      <c r="EFQ115" s="181"/>
      <c r="EFR115" s="182"/>
      <c r="EFS115" s="181"/>
      <c r="EFT115" s="182"/>
      <c r="EFU115" s="181"/>
      <c r="EFV115" s="182"/>
      <c r="EFW115" s="181"/>
      <c r="EFX115" s="182"/>
      <c r="EFY115" s="181"/>
      <c r="EFZ115" s="182"/>
      <c r="EGA115" s="181"/>
      <c r="EGB115" s="182"/>
      <c r="EGC115" s="181"/>
      <c r="EGD115" s="182"/>
      <c r="EGE115" s="181"/>
      <c r="EGF115" s="182"/>
      <c r="EGG115" s="181"/>
      <c r="EGH115" s="182"/>
      <c r="EGI115" s="181"/>
      <c r="EGJ115" s="182"/>
      <c r="EGK115" s="181"/>
      <c r="EGL115" s="182"/>
      <c r="EGM115" s="181"/>
      <c r="EGN115" s="182"/>
      <c r="EGO115" s="181"/>
      <c r="EGP115" s="182"/>
      <c r="EGQ115" s="181"/>
      <c r="EGR115" s="182"/>
      <c r="EGS115" s="181"/>
      <c r="EGT115" s="182"/>
      <c r="EGU115" s="181"/>
      <c r="EGV115" s="182"/>
      <c r="EGW115" s="181"/>
      <c r="EGX115" s="182"/>
      <c r="EGY115" s="181"/>
      <c r="EGZ115" s="182"/>
      <c r="EHA115" s="181"/>
      <c r="EHB115" s="182"/>
      <c r="EHC115" s="181"/>
      <c r="EHD115" s="182"/>
      <c r="EHE115" s="181"/>
      <c r="EHF115" s="182"/>
      <c r="EHG115" s="181"/>
      <c r="EHH115" s="182"/>
      <c r="EHI115" s="181"/>
      <c r="EHJ115" s="182"/>
      <c r="EHK115" s="181"/>
      <c r="EHL115" s="182"/>
      <c r="EHM115" s="181"/>
      <c r="EHN115" s="182"/>
      <c r="EHO115" s="181"/>
      <c r="EHP115" s="182"/>
      <c r="EHQ115" s="181"/>
      <c r="EHR115" s="182"/>
      <c r="EHS115" s="181"/>
      <c r="EHT115" s="182"/>
      <c r="EHU115" s="181"/>
      <c r="EHV115" s="182"/>
      <c r="EHW115" s="181"/>
      <c r="EHX115" s="182"/>
      <c r="EHY115" s="181"/>
      <c r="EHZ115" s="182"/>
      <c r="EIA115" s="181"/>
      <c r="EIB115" s="182"/>
      <c r="EIC115" s="181"/>
      <c r="EID115" s="182"/>
      <c r="EIE115" s="181"/>
      <c r="EIF115" s="182"/>
      <c r="EIG115" s="181"/>
      <c r="EIH115" s="182"/>
      <c r="EII115" s="181"/>
      <c r="EIJ115" s="182"/>
      <c r="EIK115" s="181"/>
      <c r="EIL115" s="182"/>
      <c r="EIM115" s="181"/>
      <c r="EIN115" s="182"/>
      <c r="EIO115" s="181"/>
      <c r="EIP115" s="182"/>
      <c r="EIQ115" s="181"/>
      <c r="EIR115" s="182"/>
      <c r="EIS115" s="181"/>
      <c r="EIT115" s="182"/>
      <c r="EIU115" s="181"/>
      <c r="EIV115" s="182"/>
      <c r="EIW115" s="181"/>
      <c r="EIX115" s="182"/>
      <c r="EIY115" s="181"/>
      <c r="EIZ115" s="182"/>
      <c r="EJA115" s="181"/>
      <c r="EJB115" s="182"/>
      <c r="EJC115" s="181"/>
      <c r="EJD115" s="182"/>
      <c r="EJE115" s="181"/>
      <c r="EJF115" s="182"/>
      <c r="EJG115" s="181"/>
      <c r="EJH115" s="182"/>
      <c r="EJI115" s="181"/>
      <c r="EJJ115" s="182"/>
      <c r="EJK115" s="181"/>
      <c r="EJL115" s="182"/>
      <c r="EJM115" s="181"/>
      <c r="EJN115" s="182"/>
      <c r="EJO115" s="181"/>
      <c r="EJP115" s="182"/>
      <c r="EJQ115" s="181"/>
      <c r="EJR115" s="182"/>
      <c r="EJS115" s="181"/>
      <c r="EJT115" s="182"/>
      <c r="EJU115" s="181"/>
      <c r="EJV115" s="182"/>
      <c r="EJW115" s="181"/>
      <c r="EJX115" s="182"/>
      <c r="EJY115" s="181"/>
      <c r="EJZ115" s="182"/>
      <c r="EKA115" s="181"/>
      <c r="EKB115" s="182"/>
      <c r="EKC115" s="181"/>
      <c r="EKD115" s="182"/>
      <c r="EKE115" s="181"/>
      <c r="EKF115" s="182"/>
      <c r="EKG115" s="181"/>
      <c r="EKH115" s="182"/>
      <c r="EKI115" s="181"/>
      <c r="EKJ115" s="182"/>
      <c r="EKK115" s="181"/>
      <c r="EKL115" s="182"/>
      <c r="EKM115" s="181"/>
      <c r="EKN115" s="182"/>
      <c r="EKO115" s="181"/>
      <c r="EKP115" s="182"/>
      <c r="EKQ115" s="181"/>
      <c r="EKR115" s="182"/>
      <c r="EKS115" s="181"/>
      <c r="EKT115" s="182"/>
      <c r="EKU115" s="181"/>
      <c r="EKV115" s="182"/>
      <c r="EKW115" s="181"/>
      <c r="EKX115" s="182"/>
      <c r="EKY115" s="181"/>
      <c r="EKZ115" s="182"/>
      <c r="ELA115" s="181"/>
      <c r="ELB115" s="182"/>
      <c r="ELC115" s="181"/>
      <c r="ELD115" s="182"/>
      <c r="ELE115" s="181"/>
      <c r="ELF115" s="182"/>
      <c r="ELG115" s="181"/>
      <c r="ELH115" s="182"/>
      <c r="ELI115" s="181"/>
      <c r="ELJ115" s="182"/>
      <c r="ELK115" s="181"/>
      <c r="ELL115" s="182"/>
      <c r="ELM115" s="181"/>
      <c r="ELN115" s="182"/>
      <c r="ELO115" s="181"/>
      <c r="ELP115" s="182"/>
      <c r="ELQ115" s="181"/>
      <c r="ELR115" s="182"/>
      <c r="ELS115" s="181"/>
      <c r="ELT115" s="182"/>
      <c r="ELU115" s="181"/>
      <c r="ELV115" s="182"/>
      <c r="ELW115" s="181"/>
      <c r="ELX115" s="182"/>
      <c r="ELY115" s="181"/>
      <c r="ELZ115" s="182"/>
      <c r="EMA115" s="181"/>
      <c r="EMB115" s="182"/>
      <c r="EMC115" s="181"/>
      <c r="EMD115" s="182"/>
      <c r="EME115" s="181"/>
      <c r="EMF115" s="182"/>
      <c r="EMG115" s="181"/>
      <c r="EMH115" s="182"/>
      <c r="EMI115" s="181"/>
      <c r="EMJ115" s="182"/>
      <c r="EMK115" s="181"/>
      <c r="EML115" s="182"/>
      <c r="EMM115" s="181"/>
      <c r="EMN115" s="182"/>
      <c r="EMO115" s="181"/>
      <c r="EMP115" s="182"/>
      <c r="EMQ115" s="181"/>
      <c r="EMR115" s="182"/>
      <c r="EMS115" s="181"/>
      <c r="EMT115" s="182"/>
      <c r="EMU115" s="181"/>
      <c r="EMV115" s="182"/>
      <c r="EMW115" s="181"/>
      <c r="EMX115" s="182"/>
      <c r="EMY115" s="181"/>
      <c r="EMZ115" s="182"/>
      <c r="ENA115" s="181"/>
      <c r="ENB115" s="182"/>
      <c r="ENC115" s="181"/>
      <c r="END115" s="182"/>
      <c r="ENE115" s="181"/>
      <c r="ENF115" s="182"/>
      <c r="ENG115" s="181"/>
      <c r="ENH115" s="182"/>
      <c r="ENI115" s="181"/>
      <c r="ENJ115" s="182"/>
      <c r="ENK115" s="181"/>
      <c r="ENL115" s="182"/>
      <c r="ENM115" s="181"/>
      <c r="ENN115" s="182"/>
      <c r="ENO115" s="181"/>
      <c r="ENP115" s="182"/>
      <c r="ENQ115" s="181"/>
      <c r="ENR115" s="182"/>
      <c r="ENS115" s="181"/>
      <c r="ENT115" s="182"/>
      <c r="ENU115" s="181"/>
      <c r="ENV115" s="182"/>
      <c r="ENW115" s="181"/>
      <c r="ENX115" s="182"/>
      <c r="ENY115" s="181"/>
      <c r="ENZ115" s="182"/>
      <c r="EOA115" s="181"/>
      <c r="EOB115" s="182"/>
      <c r="EOC115" s="181"/>
      <c r="EOD115" s="182"/>
      <c r="EOE115" s="181"/>
      <c r="EOF115" s="182"/>
      <c r="EOG115" s="181"/>
      <c r="EOH115" s="182"/>
      <c r="EOI115" s="181"/>
      <c r="EOJ115" s="182"/>
      <c r="EOK115" s="181"/>
      <c r="EOL115" s="182"/>
      <c r="EOM115" s="181"/>
      <c r="EON115" s="182"/>
      <c r="EOO115" s="181"/>
      <c r="EOP115" s="182"/>
      <c r="EOQ115" s="181"/>
      <c r="EOR115" s="182"/>
      <c r="EOS115" s="181"/>
      <c r="EOT115" s="182"/>
      <c r="EOU115" s="181"/>
      <c r="EOV115" s="182"/>
      <c r="EOW115" s="181"/>
      <c r="EOX115" s="182"/>
      <c r="EOY115" s="181"/>
      <c r="EOZ115" s="182"/>
      <c r="EPA115" s="181"/>
      <c r="EPB115" s="182"/>
      <c r="EPC115" s="181"/>
      <c r="EPD115" s="182"/>
      <c r="EPE115" s="181"/>
      <c r="EPF115" s="182"/>
      <c r="EPG115" s="181"/>
      <c r="EPH115" s="182"/>
      <c r="EPI115" s="181"/>
      <c r="EPJ115" s="182"/>
      <c r="EPK115" s="181"/>
      <c r="EPL115" s="182"/>
      <c r="EPM115" s="181"/>
      <c r="EPN115" s="182"/>
      <c r="EPO115" s="181"/>
      <c r="EPP115" s="182"/>
      <c r="EPQ115" s="181"/>
      <c r="EPR115" s="182"/>
      <c r="EPS115" s="181"/>
      <c r="EPT115" s="182"/>
      <c r="EPU115" s="181"/>
      <c r="EPV115" s="182"/>
      <c r="EPW115" s="181"/>
      <c r="EPX115" s="182"/>
      <c r="EPY115" s="181"/>
      <c r="EPZ115" s="182"/>
      <c r="EQA115" s="181"/>
      <c r="EQB115" s="182"/>
      <c r="EQC115" s="181"/>
      <c r="EQD115" s="182"/>
      <c r="EQE115" s="181"/>
      <c r="EQF115" s="182"/>
      <c r="EQG115" s="181"/>
      <c r="EQH115" s="182"/>
      <c r="EQI115" s="181"/>
      <c r="EQJ115" s="182"/>
      <c r="EQK115" s="181"/>
      <c r="EQL115" s="182"/>
      <c r="EQM115" s="181"/>
      <c r="EQN115" s="182"/>
      <c r="EQO115" s="181"/>
      <c r="EQP115" s="182"/>
      <c r="EQQ115" s="181"/>
      <c r="EQR115" s="182"/>
      <c r="EQS115" s="181"/>
      <c r="EQT115" s="182"/>
      <c r="EQU115" s="181"/>
      <c r="EQV115" s="182"/>
      <c r="EQW115" s="181"/>
      <c r="EQX115" s="182"/>
      <c r="EQY115" s="181"/>
      <c r="EQZ115" s="182"/>
      <c r="ERA115" s="181"/>
      <c r="ERB115" s="182"/>
      <c r="ERC115" s="181"/>
      <c r="ERD115" s="182"/>
      <c r="ERE115" s="181"/>
      <c r="ERF115" s="182"/>
      <c r="ERG115" s="181"/>
      <c r="ERH115" s="182"/>
      <c r="ERI115" s="181"/>
      <c r="ERJ115" s="182"/>
      <c r="ERK115" s="181"/>
      <c r="ERL115" s="182"/>
      <c r="ERM115" s="181"/>
      <c r="ERN115" s="182"/>
      <c r="ERO115" s="181"/>
      <c r="ERP115" s="182"/>
      <c r="ERQ115" s="181"/>
      <c r="ERR115" s="182"/>
      <c r="ERS115" s="181"/>
      <c r="ERT115" s="182"/>
      <c r="ERU115" s="181"/>
      <c r="ERV115" s="182"/>
      <c r="ERW115" s="181"/>
      <c r="ERX115" s="182"/>
      <c r="ERY115" s="181"/>
      <c r="ERZ115" s="182"/>
      <c r="ESA115" s="181"/>
      <c r="ESB115" s="182"/>
      <c r="ESC115" s="181"/>
      <c r="ESD115" s="182"/>
      <c r="ESE115" s="181"/>
      <c r="ESF115" s="182"/>
      <c r="ESG115" s="181"/>
      <c r="ESH115" s="182"/>
      <c r="ESI115" s="181"/>
      <c r="ESJ115" s="182"/>
      <c r="ESK115" s="181"/>
      <c r="ESL115" s="182"/>
      <c r="ESM115" s="181"/>
      <c r="ESN115" s="182"/>
      <c r="ESO115" s="181"/>
      <c r="ESP115" s="182"/>
      <c r="ESQ115" s="181"/>
      <c r="ESR115" s="182"/>
      <c r="ESS115" s="181"/>
      <c r="EST115" s="182"/>
      <c r="ESU115" s="181"/>
      <c r="ESV115" s="182"/>
      <c r="ESW115" s="181"/>
      <c r="ESX115" s="182"/>
      <c r="ESY115" s="181"/>
      <c r="ESZ115" s="182"/>
      <c r="ETA115" s="181"/>
      <c r="ETB115" s="182"/>
      <c r="ETC115" s="181"/>
      <c r="ETD115" s="182"/>
      <c r="ETE115" s="181"/>
      <c r="ETF115" s="182"/>
      <c r="ETG115" s="181"/>
      <c r="ETH115" s="182"/>
      <c r="ETI115" s="181"/>
      <c r="ETJ115" s="182"/>
      <c r="ETK115" s="181"/>
      <c r="ETL115" s="182"/>
      <c r="ETM115" s="181"/>
      <c r="ETN115" s="182"/>
      <c r="ETO115" s="181"/>
      <c r="ETP115" s="182"/>
      <c r="ETQ115" s="181"/>
      <c r="ETR115" s="182"/>
      <c r="ETS115" s="181"/>
      <c r="ETT115" s="182"/>
      <c r="ETU115" s="181"/>
      <c r="ETV115" s="182"/>
      <c r="ETW115" s="181"/>
      <c r="ETX115" s="182"/>
      <c r="ETY115" s="181"/>
      <c r="ETZ115" s="182"/>
      <c r="EUA115" s="181"/>
      <c r="EUB115" s="182"/>
      <c r="EUC115" s="181"/>
      <c r="EUD115" s="182"/>
      <c r="EUE115" s="181"/>
      <c r="EUF115" s="182"/>
      <c r="EUG115" s="181"/>
      <c r="EUH115" s="182"/>
      <c r="EUI115" s="181"/>
      <c r="EUJ115" s="182"/>
      <c r="EUK115" s="181"/>
      <c r="EUL115" s="182"/>
      <c r="EUM115" s="181"/>
      <c r="EUN115" s="182"/>
      <c r="EUO115" s="181"/>
      <c r="EUP115" s="182"/>
      <c r="EUQ115" s="181"/>
      <c r="EUR115" s="182"/>
      <c r="EUS115" s="181"/>
      <c r="EUT115" s="182"/>
      <c r="EUU115" s="181"/>
      <c r="EUV115" s="182"/>
      <c r="EUW115" s="181"/>
      <c r="EUX115" s="182"/>
      <c r="EUY115" s="181"/>
      <c r="EUZ115" s="182"/>
      <c r="EVA115" s="181"/>
      <c r="EVB115" s="182"/>
      <c r="EVC115" s="181"/>
      <c r="EVD115" s="182"/>
      <c r="EVE115" s="181"/>
      <c r="EVF115" s="182"/>
      <c r="EVG115" s="181"/>
      <c r="EVH115" s="182"/>
      <c r="EVI115" s="181"/>
      <c r="EVJ115" s="182"/>
      <c r="EVK115" s="181"/>
      <c r="EVL115" s="182"/>
      <c r="EVM115" s="181"/>
      <c r="EVN115" s="182"/>
      <c r="EVO115" s="181"/>
      <c r="EVP115" s="182"/>
      <c r="EVQ115" s="181"/>
      <c r="EVR115" s="182"/>
      <c r="EVS115" s="181"/>
      <c r="EVT115" s="182"/>
      <c r="EVU115" s="181"/>
      <c r="EVV115" s="182"/>
      <c r="EVW115" s="181"/>
      <c r="EVX115" s="182"/>
      <c r="EVY115" s="181"/>
      <c r="EVZ115" s="182"/>
      <c r="EWA115" s="181"/>
      <c r="EWB115" s="182"/>
      <c r="EWC115" s="181"/>
      <c r="EWD115" s="182"/>
      <c r="EWE115" s="181"/>
      <c r="EWF115" s="182"/>
      <c r="EWG115" s="181"/>
      <c r="EWH115" s="182"/>
      <c r="EWI115" s="181"/>
      <c r="EWJ115" s="182"/>
      <c r="EWK115" s="181"/>
      <c r="EWL115" s="182"/>
      <c r="EWM115" s="181"/>
      <c r="EWN115" s="182"/>
      <c r="EWO115" s="181"/>
      <c r="EWP115" s="182"/>
      <c r="EWQ115" s="181"/>
      <c r="EWR115" s="182"/>
      <c r="EWS115" s="181"/>
      <c r="EWT115" s="182"/>
      <c r="EWU115" s="181"/>
      <c r="EWV115" s="182"/>
      <c r="EWW115" s="181"/>
      <c r="EWX115" s="182"/>
      <c r="EWY115" s="181"/>
      <c r="EWZ115" s="182"/>
      <c r="EXA115" s="181"/>
      <c r="EXB115" s="182"/>
      <c r="EXC115" s="181"/>
      <c r="EXD115" s="182"/>
      <c r="EXE115" s="181"/>
      <c r="EXF115" s="182"/>
      <c r="EXG115" s="181"/>
      <c r="EXH115" s="182"/>
      <c r="EXI115" s="181"/>
      <c r="EXJ115" s="182"/>
      <c r="EXK115" s="181"/>
      <c r="EXL115" s="182"/>
      <c r="EXM115" s="181"/>
      <c r="EXN115" s="182"/>
      <c r="EXO115" s="181"/>
      <c r="EXP115" s="182"/>
      <c r="EXQ115" s="181"/>
      <c r="EXR115" s="182"/>
      <c r="EXS115" s="181"/>
      <c r="EXT115" s="182"/>
      <c r="EXU115" s="181"/>
      <c r="EXV115" s="182"/>
      <c r="EXW115" s="181"/>
      <c r="EXX115" s="182"/>
      <c r="EXY115" s="181"/>
      <c r="EXZ115" s="182"/>
      <c r="EYA115" s="181"/>
      <c r="EYB115" s="182"/>
      <c r="EYC115" s="181"/>
      <c r="EYD115" s="182"/>
      <c r="EYE115" s="181"/>
      <c r="EYF115" s="182"/>
      <c r="EYG115" s="181"/>
      <c r="EYH115" s="182"/>
      <c r="EYI115" s="181"/>
      <c r="EYJ115" s="182"/>
      <c r="EYK115" s="181"/>
      <c r="EYL115" s="182"/>
      <c r="EYM115" s="181"/>
      <c r="EYN115" s="182"/>
      <c r="EYO115" s="181"/>
      <c r="EYP115" s="182"/>
      <c r="EYQ115" s="181"/>
      <c r="EYR115" s="182"/>
      <c r="EYS115" s="181"/>
      <c r="EYT115" s="182"/>
      <c r="EYU115" s="181"/>
      <c r="EYV115" s="182"/>
      <c r="EYW115" s="181"/>
      <c r="EYX115" s="182"/>
      <c r="EYY115" s="181"/>
      <c r="EYZ115" s="182"/>
      <c r="EZA115" s="181"/>
      <c r="EZB115" s="182"/>
      <c r="EZC115" s="181"/>
      <c r="EZD115" s="182"/>
      <c r="EZE115" s="181"/>
      <c r="EZF115" s="182"/>
      <c r="EZG115" s="181"/>
      <c r="EZH115" s="182"/>
      <c r="EZI115" s="181"/>
      <c r="EZJ115" s="182"/>
      <c r="EZK115" s="181"/>
      <c r="EZL115" s="182"/>
      <c r="EZM115" s="181"/>
      <c r="EZN115" s="182"/>
      <c r="EZO115" s="181"/>
      <c r="EZP115" s="182"/>
      <c r="EZQ115" s="181"/>
      <c r="EZR115" s="182"/>
      <c r="EZS115" s="181"/>
      <c r="EZT115" s="182"/>
      <c r="EZU115" s="181"/>
      <c r="EZV115" s="182"/>
      <c r="EZW115" s="181"/>
      <c r="EZX115" s="182"/>
      <c r="EZY115" s="181"/>
      <c r="EZZ115" s="182"/>
      <c r="FAA115" s="181"/>
      <c r="FAB115" s="182"/>
      <c r="FAC115" s="181"/>
      <c r="FAD115" s="182"/>
      <c r="FAE115" s="181"/>
      <c r="FAF115" s="182"/>
      <c r="FAG115" s="181"/>
      <c r="FAH115" s="182"/>
      <c r="FAI115" s="181"/>
      <c r="FAJ115" s="182"/>
      <c r="FAK115" s="181"/>
      <c r="FAL115" s="182"/>
      <c r="FAM115" s="181"/>
      <c r="FAN115" s="182"/>
      <c r="FAO115" s="181"/>
      <c r="FAP115" s="182"/>
      <c r="FAQ115" s="181"/>
      <c r="FAR115" s="182"/>
      <c r="FAS115" s="181"/>
      <c r="FAT115" s="182"/>
      <c r="FAU115" s="181"/>
      <c r="FAV115" s="182"/>
      <c r="FAW115" s="181"/>
      <c r="FAX115" s="182"/>
      <c r="FAY115" s="181"/>
      <c r="FAZ115" s="182"/>
      <c r="FBA115" s="181"/>
      <c r="FBB115" s="182"/>
      <c r="FBC115" s="181"/>
      <c r="FBD115" s="182"/>
      <c r="FBE115" s="181"/>
      <c r="FBF115" s="182"/>
      <c r="FBG115" s="181"/>
      <c r="FBH115" s="182"/>
      <c r="FBI115" s="181"/>
      <c r="FBJ115" s="182"/>
      <c r="FBK115" s="181"/>
      <c r="FBL115" s="182"/>
      <c r="FBM115" s="181"/>
      <c r="FBN115" s="182"/>
      <c r="FBO115" s="181"/>
      <c r="FBP115" s="182"/>
      <c r="FBQ115" s="181"/>
      <c r="FBR115" s="182"/>
      <c r="FBS115" s="181"/>
      <c r="FBT115" s="182"/>
      <c r="FBU115" s="181"/>
      <c r="FBV115" s="182"/>
      <c r="FBW115" s="181"/>
      <c r="FBX115" s="182"/>
      <c r="FBY115" s="181"/>
      <c r="FBZ115" s="182"/>
      <c r="FCA115" s="181"/>
      <c r="FCB115" s="182"/>
      <c r="FCC115" s="181"/>
      <c r="FCD115" s="182"/>
      <c r="FCE115" s="181"/>
      <c r="FCF115" s="182"/>
      <c r="FCG115" s="181"/>
      <c r="FCH115" s="182"/>
      <c r="FCI115" s="181"/>
      <c r="FCJ115" s="182"/>
      <c r="FCK115" s="181"/>
      <c r="FCL115" s="182"/>
      <c r="FCM115" s="181"/>
      <c r="FCN115" s="182"/>
      <c r="FCO115" s="181"/>
      <c r="FCP115" s="182"/>
      <c r="FCQ115" s="181"/>
      <c r="FCR115" s="182"/>
      <c r="FCS115" s="181"/>
      <c r="FCT115" s="182"/>
      <c r="FCU115" s="181"/>
      <c r="FCV115" s="182"/>
      <c r="FCW115" s="181"/>
      <c r="FCX115" s="182"/>
      <c r="FCY115" s="181"/>
      <c r="FCZ115" s="182"/>
      <c r="FDA115" s="181"/>
      <c r="FDB115" s="182"/>
      <c r="FDC115" s="181"/>
      <c r="FDD115" s="182"/>
      <c r="FDE115" s="181"/>
      <c r="FDF115" s="182"/>
      <c r="FDG115" s="181"/>
      <c r="FDH115" s="182"/>
      <c r="FDI115" s="181"/>
      <c r="FDJ115" s="182"/>
      <c r="FDK115" s="181"/>
      <c r="FDL115" s="182"/>
      <c r="FDM115" s="181"/>
      <c r="FDN115" s="182"/>
      <c r="FDO115" s="181"/>
      <c r="FDP115" s="182"/>
      <c r="FDQ115" s="181"/>
      <c r="FDR115" s="182"/>
      <c r="FDS115" s="181"/>
      <c r="FDT115" s="182"/>
      <c r="FDU115" s="181"/>
      <c r="FDV115" s="182"/>
      <c r="FDW115" s="181"/>
      <c r="FDX115" s="182"/>
      <c r="FDY115" s="181"/>
      <c r="FDZ115" s="182"/>
      <c r="FEA115" s="181"/>
      <c r="FEB115" s="182"/>
      <c r="FEC115" s="181"/>
      <c r="FED115" s="182"/>
      <c r="FEE115" s="181"/>
      <c r="FEF115" s="182"/>
      <c r="FEG115" s="181"/>
      <c r="FEH115" s="182"/>
      <c r="FEI115" s="181"/>
      <c r="FEJ115" s="182"/>
      <c r="FEK115" s="181"/>
      <c r="FEL115" s="182"/>
      <c r="FEM115" s="181"/>
      <c r="FEN115" s="182"/>
      <c r="FEO115" s="181"/>
      <c r="FEP115" s="182"/>
      <c r="FEQ115" s="181"/>
      <c r="FER115" s="182"/>
      <c r="FES115" s="181"/>
      <c r="FET115" s="182"/>
      <c r="FEU115" s="181"/>
      <c r="FEV115" s="182"/>
      <c r="FEW115" s="181"/>
      <c r="FEX115" s="182"/>
      <c r="FEY115" s="181"/>
      <c r="FEZ115" s="182"/>
      <c r="FFA115" s="181"/>
      <c r="FFB115" s="182"/>
      <c r="FFC115" s="181"/>
      <c r="FFD115" s="182"/>
      <c r="FFE115" s="181"/>
      <c r="FFF115" s="182"/>
      <c r="FFG115" s="181"/>
      <c r="FFH115" s="182"/>
      <c r="FFI115" s="181"/>
      <c r="FFJ115" s="182"/>
      <c r="FFK115" s="181"/>
      <c r="FFL115" s="182"/>
      <c r="FFM115" s="181"/>
      <c r="FFN115" s="182"/>
      <c r="FFO115" s="181"/>
      <c r="FFP115" s="182"/>
      <c r="FFQ115" s="181"/>
      <c r="FFR115" s="182"/>
      <c r="FFS115" s="181"/>
      <c r="FFT115" s="182"/>
      <c r="FFU115" s="181"/>
      <c r="FFV115" s="182"/>
      <c r="FFW115" s="181"/>
      <c r="FFX115" s="182"/>
      <c r="FFY115" s="181"/>
      <c r="FFZ115" s="182"/>
      <c r="FGA115" s="181"/>
      <c r="FGB115" s="182"/>
      <c r="FGC115" s="181"/>
      <c r="FGD115" s="182"/>
      <c r="FGE115" s="181"/>
      <c r="FGF115" s="182"/>
      <c r="FGG115" s="181"/>
      <c r="FGH115" s="182"/>
      <c r="FGI115" s="181"/>
      <c r="FGJ115" s="182"/>
      <c r="FGK115" s="181"/>
      <c r="FGL115" s="182"/>
      <c r="FGM115" s="181"/>
      <c r="FGN115" s="182"/>
      <c r="FGO115" s="181"/>
      <c r="FGP115" s="182"/>
      <c r="FGQ115" s="181"/>
      <c r="FGR115" s="182"/>
      <c r="FGS115" s="181"/>
      <c r="FGT115" s="182"/>
      <c r="FGU115" s="181"/>
      <c r="FGV115" s="182"/>
      <c r="FGW115" s="181"/>
      <c r="FGX115" s="182"/>
      <c r="FGY115" s="181"/>
      <c r="FGZ115" s="182"/>
      <c r="FHA115" s="181"/>
      <c r="FHB115" s="182"/>
      <c r="FHC115" s="181"/>
      <c r="FHD115" s="182"/>
      <c r="FHE115" s="181"/>
      <c r="FHF115" s="182"/>
      <c r="FHG115" s="181"/>
      <c r="FHH115" s="182"/>
      <c r="FHI115" s="181"/>
      <c r="FHJ115" s="182"/>
      <c r="FHK115" s="181"/>
      <c r="FHL115" s="182"/>
      <c r="FHM115" s="181"/>
      <c r="FHN115" s="182"/>
      <c r="FHO115" s="181"/>
      <c r="FHP115" s="182"/>
      <c r="FHQ115" s="181"/>
      <c r="FHR115" s="182"/>
      <c r="FHS115" s="181"/>
      <c r="FHT115" s="182"/>
      <c r="FHU115" s="181"/>
      <c r="FHV115" s="182"/>
      <c r="FHW115" s="181"/>
      <c r="FHX115" s="182"/>
      <c r="FHY115" s="181"/>
      <c r="FHZ115" s="182"/>
      <c r="FIA115" s="181"/>
      <c r="FIB115" s="182"/>
      <c r="FIC115" s="181"/>
      <c r="FID115" s="182"/>
      <c r="FIE115" s="181"/>
      <c r="FIF115" s="182"/>
      <c r="FIG115" s="181"/>
      <c r="FIH115" s="182"/>
      <c r="FII115" s="181"/>
      <c r="FIJ115" s="182"/>
      <c r="FIK115" s="181"/>
      <c r="FIL115" s="182"/>
      <c r="FIM115" s="181"/>
      <c r="FIN115" s="182"/>
      <c r="FIO115" s="181"/>
      <c r="FIP115" s="182"/>
      <c r="FIQ115" s="181"/>
      <c r="FIR115" s="182"/>
      <c r="FIS115" s="181"/>
      <c r="FIT115" s="182"/>
      <c r="FIU115" s="181"/>
      <c r="FIV115" s="182"/>
      <c r="FIW115" s="181"/>
      <c r="FIX115" s="182"/>
      <c r="FIY115" s="181"/>
      <c r="FIZ115" s="182"/>
      <c r="FJA115" s="181"/>
      <c r="FJB115" s="182"/>
      <c r="FJC115" s="181"/>
      <c r="FJD115" s="182"/>
      <c r="FJE115" s="181"/>
      <c r="FJF115" s="182"/>
      <c r="FJG115" s="181"/>
      <c r="FJH115" s="182"/>
      <c r="FJI115" s="181"/>
      <c r="FJJ115" s="182"/>
      <c r="FJK115" s="181"/>
      <c r="FJL115" s="182"/>
      <c r="FJM115" s="181"/>
      <c r="FJN115" s="182"/>
      <c r="FJO115" s="181"/>
      <c r="FJP115" s="182"/>
      <c r="FJQ115" s="181"/>
      <c r="FJR115" s="182"/>
      <c r="FJS115" s="181"/>
      <c r="FJT115" s="182"/>
      <c r="FJU115" s="181"/>
      <c r="FJV115" s="182"/>
      <c r="FJW115" s="181"/>
      <c r="FJX115" s="182"/>
      <c r="FJY115" s="181"/>
      <c r="FJZ115" s="182"/>
      <c r="FKA115" s="181"/>
      <c r="FKB115" s="182"/>
      <c r="FKC115" s="181"/>
      <c r="FKD115" s="182"/>
      <c r="FKE115" s="181"/>
      <c r="FKF115" s="182"/>
      <c r="FKG115" s="181"/>
      <c r="FKH115" s="182"/>
      <c r="FKI115" s="181"/>
      <c r="FKJ115" s="182"/>
      <c r="FKK115" s="181"/>
      <c r="FKL115" s="182"/>
      <c r="FKM115" s="181"/>
      <c r="FKN115" s="182"/>
      <c r="FKO115" s="181"/>
      <c r="FKP115" s="182"/>
      <c r="FKQ115" s="181"/>
      <c r="FKR115" s="182"/>
      <c r="FKS115" s="181"/>
      <c r="FKT115" s="182"/>
      <c r="FKU115" s="181"/>
      <c r="FKV115" s="182"/>
      <c r="FKW115" s="181"/>
      <c r="FKX115" s="182"/>
      <c r="FKY115" s="181"/>
      <c r="FKZ115" s="182"/>
      <c r="FLA115" s="181"/>
      <c r="FLB115" s="182"/>
      <c r="FLC115" s="181"/>
      <c r="FLD115" s="182"/>
      <c r="FLE115" s="181"/>
      <c r="FLF115" s="182"/>
      <c r="FLG115" s="181"/>
      <c r="FLH115" s="182"/>
      <c r="FLI115" s="181"/>
      <c r="FLJ115" s="182"/>
      <c r="FLK115" s="181"/>
      <c r="FLL115" s="182"/>
      <c r="FLM115" s="181"/>
      <c r="FLN115" s="182"/>
      <c r="FLO115" s="181"/>
      <c r="FLP115" s="182"/>
      <c r="FLQ115" s="181"/>
      <c r="FLR115" s="182"/>
      <c r="FLS115" s="181"/>
      <c r="FLT115" s="182"/>
      <c r="FLU115" s="181"/>
      <c r="FLV115" s="182"/>
      <c r="FLW115" s="181"/>
      <c r="FLX115" s="182"/>
      <c r="FLY115" s="181"/>
      <c r="FLZ115" s="182"/>
      <c r="FMA115" s="181"/>
      <c r="FMB115" s="182"/>
      <c r="FMC115" s="181"/>
      <c r="FMD115" s="182"/>
      <c r="FME115" s="181"/>
      <c r="FMF115" s="182"/>
      <c r="FMG115" s="181"/>
      <c r="FMH115" s="182"/>
      <c r="FMI115" s="181"/>
      <c r="FMJ115" s="182"/>
      <c r="FMK115" s="181"/>
      <c r="FML115" s="182"/>
      <c r="FMM115" s="181"/>
      <c r="FMN115" s="182"/>
      <c r="FMO115" s="181"/>
      <c r="FMP115" s="182"/>
      <c r="FMQ115" s="181"/>
      <c r="FMR115" s="182"/>
      <c r="FMS115" s="181"/>
      <c r="FMT115" s="182"/>
      <c r="FMU115" s="181"/>
      <c r="FMV115" s="182"/>
      <c r="FMW115" s="181"/>
      <c r="FMX115" s="182"/>
      <c r="FMY115" s="181"/>
      <c r="FMZ115" s="182"/>
      <c r="FNA115" s="181"/>
      <c r="FNB115" s="182"/>
      <c r="FNC115" s="181"/>
      <c r="FND115" s="182"/>
      <c r="FNE115" s="181"/>
      <c r="FNF115" s="182"/>
      <c r="FNG115" s="181"/>
      <c r="FNH115" s="182"/>
      <c r="FNI115" s="181"/>
      <c r="FNJ115" s="182"/>
      <c r="FNK115" s="181"/>
      <c r="FNL115" s="182"/>
      <c r="FNM115" s="181"/>
      <c r="FNN115" s="182"/>
      <c r="FNO115" s="181"/>
      <c r="FNP115" s="182"/>
      <c r="FNQ115" s="181"/>
      <c r="FNR115" s="182"/>
      <c r="FNS115" s="181"/>
      <c r="FNT115" s="182"/>
      <c r="FNU115" s="181"/>
      <c r="FNV115" s="182"/>
      <c r="FNW115" s="181"/>
      <c r="FNX115" s="182"/>
      <c r="FNY115" s="181"/>
      <c r="FNZ115" s="182"/>
      <c r="FOA115" s="181"/>
      <c r="FOB115" s="182"/>
      <c r="FOC115" s="181"/>
      <c r="FOD115" s="182"/>
      <c r="FOE115" s="181"/>
      <c r="FOF115" s="182"/>
      <c r="FOG115" s="181"/>
      <c r="FOH115" s="182"/>
      <c r="FOI115" s="181"/>
      <c r="FOJ115" s="182"/>
      <c r="FOK115" s="181"/>
      <c r="FOL115" s="182"/>
      <c r="FOM115" s="181"/>
      <c r="FON115" s="182"/>
      <c r="FOO115" s="181"/>
      <c r="FOP115" s="182"/>
      <c r="FOQ115" s="181"/>
      <c r="FOR115" s="182"/>
      <c r="FOS115" s="181"/>
      <c r="FOT115" s="182"/>
      <c r="FOU115" s="181"/>
      <c r="FOV115" s="182"/>
      <c r="FOW115" s="181"/>
      <c r="FOX115" s="182"/>
      <c r="FOY115" s="181"/>
      <c r="FOZ115" s="182"/>
      <c r="FPA115" s="181"/>
      <c r="FPB115" s="182"/>
      <c r="FPC115" s="181"/>
      <c r="FPD115" s="182"/>
      <c r="FPE115" s="181"/>
      <c r="FPF115" s="182"/>
      <c r="FPG115" s="181"/>
      <c r="FPH115" s="182"/>
      <c r="FPI115" s="181"/>
      <c r="FPJ115" s="182"/>
      <c r="FPK115" s="181"/>
      <c r="FPL115" s="182"/>
      <c r="FPM115" s="181"/>
      <c r="FPN115" s="182"/>
      <c r="FPO115" s="181"/>
      <c r="FPP115" s="182"/>
      <c r="FPQ115" s="181"/>
      <c r="FPR115" s="182"/>
      <c r="FPS115" s="181"/>
      <c r="FPT115" s="182"/>
      <c r="FPU115" s="181"/>
      <c r="FPV115" s="182"/>
      <c r="FPW115" s="181"/>
      <c r="FPX115" s="182"/>
      <c r="FPY115" s="181"/>
      <c r="FPZ115" s="182"/>
      <c r="FQA115" s="181"/>
      <c r="FQB115" s="182"/>
      <c r="FQC115" s="181"/>
      <c r="FQD115" s="182"/>
      <c r="FQE115" s="181"/>
      <c r="FQF115" s="182"/>
      <c r="FQG115" s="181"/>
      <c r="FQH115" s="182"/>
      <c r="FQI115" s="181"/>
      <c r="FQJ115" s="182"/>
      <c r="FQK115" s="181"/>
      <c r="FQL115" s="182"/>
      <c r="FQM115" s="181"/>
      <c r="FQN115" s="182"/>
      <c r="FQO115" s="181"/>
      <c r="FQP115" s="182"/>
      <c r="FQQ115" s="181"/>
      <c r="FQR115" s="182"/>
      <c r="FQS115" s="181"/>
      <c r="FQT115" s="182"/>
      <c r="FQU115" s="181"/>
      <c r="FQV115" s="182"/>
      <c r="FQW115" s="181"/>
      <c r="FQX115" s="182"/>
      <c r="FQY115" s="181"/>
      <c r="FQZ115" s="182"/>
      <c r="FRA115" s="181"/>
      <c r="FRB115" s="182"/>
      <c r="FRC115" s="181"/>
      <c r="FRD115" s="182"/>
      <c r="FRE115" s="181"/>
      <c r="FRF115" s="182"/>
      <c r="FRG115" s="181"/>
      <c r="FRH115" s="182"/>
      <c r="FRI115" s="181"/>
      <c r="FRJ115" s="182"/>
      <c r="FRK115" s="181"/>
      <c r="FRL115" s="182"/>
      <c r="FRM115" s="181"/>
      <c r="FRN115" s="182"/>
      <c r="FRO115" s="181"/>
      <c r="FRP115" s="182"/>
      <c r="FRQ115" s="181"/>
      <c r="FRR115" s="182"/>
      <c r="FRS115" s="181"/>
      <c r="FRT115" s="182"/>
      <c r="FRU115" s="181"/>
      <c r="FRV115" s="182"/>
      <c r="FRW115" s="181"/>
      <c r="FRX115" s="182"/>
      <c r="FRY115" s="181"/>
      <c r="FRZ115" s="182"/>
      <c r="FSA115" s="181"/>
      <c r="FSB115" s="182"/>
      <c r="FSC115" s="181"/>
      <c r="FSD115" s="182"/>
      <c r="FSE115" s="181"/>
      <c r="FSF115" s="182"/>
      <c r="FSG115" s="181"/>
      <c r="FSH115" s="182"/>
      <c r="FSI115" s="181"/>
      <c r="FSJ115" s="182"/>
      <c r="FSK115" s="181"/>
      <c r="FSL115" s="182"/>
      <c r="FSM115" s="181"/>
      <c r="FSN115" s="182"/>
      <c r="FSO115" s="181"/>
      <c r="FSP115" s="182"/>
      <c r="FSQ115" s="181"/>
      <c r="FSR115" s="182"/>
      <c r="FSS115" s="181"/>
      <c r="FST115" s="182"/>
      <c r="FSU115" s="181"/>
      <c r="FSV115" s="182"/>
      <c r="FSW115" s="181"/>
      <c r="FSX115" s="182"/>
      <c r="FSY115" s="181"/>
      <c r="FSZ115" s="182"/>
      <c r="FTA115" s="181"/>
      <c r="FTB115" s="182"/>
      <c r="FTC115" s="181"/>
      <c r="FTD115" s="182"/>
      <c r="FTE115" s="181"/>
      <c r="FTF115" s="182"/>
      <c r="FTG115" s="181"/>
      <c r="FTH115" s="182"/>
      <c r="FTI115" s="181"/>
      <c r="FTJ115" s="182"/>
      <c r="FTK115" s="181"/>
      <c r="FTL115" s="182"/>
      <c r="FTM115" s="181"/>
      <c r="FTN115" s="182"/>
      <c r="FTO115" s="181"/>
      <c r="FTP115" s="182"/>
      <c r="FTQ115" s="181"/>
      <c r="FTR115" s="182"/>
      <c r="FTS115" s="181"/>
      <c r="FTT115" s="182"/>
      <c r="FTU115" s="181"/>
      <c r="FTV115" s="182"/>
      <c r="FTW115" s="181"/>
      <c r="FTX115" s="182"/>
      <c r="FTY115" s="181"/>
      <c r="FTZ115" s="182"/>
      <c r="FUA115" s="181"/>
      <c r="FUB115" s="182"/>
      <c r="FUC115" s="181"/>
      <c r="FUD115" s="182"/>
      <c r="FUE115" s="181"/>
      <c r="FUF115" s="182"/>
      <c r="FUG115" s="181"/>
      <c r="FUH115" s="182"/>
      <c r="FUI115" s="181"/>
      <c r="FUJ115" s="182"/>
      <c r="FUK115" s="181"/>
      <c r="FUL115" s="182"/>
      <c r="FUM115" s="181"/>
      <c r="FUN115" s="182"/>
      <c r="FUO115" s="181"/>
      <c r="FUP115" s="182"/>
      <c r="FUQ115" s="181"/>
      <c r="FUR115" s="182"/>
      <c r="FUS115" s="181"/>
      <c r="FUT115" s="182"/>
      <c r="FUU115" s="181"/>
      <c r="FUV115" s="182"/>
      <c r="FUW115" s="181"/>
      <c r="FUX115" s="182"/>
      <c r="FUY115" s="181"/>
      <c r="FUZ115" s="182"/>
      <c r="FVA115" s="181"/>
      <c r="FVB115" s="182"/>
      <c r="FVC115" s="181"/>
      <c r="FVD115" s="182"/>
      <c r="FVE115" s="181"/>
      <c r="FVF115" s="182"/>
      <c r="FVG115" s="181"/>
      <c r="FVH115" s="182"/>
      <c r="FVI115" s="181"/>
      <c r="FVJ115" s="182"/>
      <c r="FVK115" s="181"/>
      <c r="FVL115" s="182"/>
      <c r="FVM115" s="181"/>
      <c r="FVN115" s="182"/>
      <c r="FVO115" s="181"/>
      <c r="FVP115" s="182"/>
      <c r="FVQ115" s="181"/>
      <c r="FVR115" s="182"/>
      <c r="FVS115" s="181"/>
      <c r="FVT115" s="182"/>
      <c r="FVU115" s="181"/>
      <c r="FVV115" s="182"/>
      <c r="FVW115" s="181"/>
      <c r="FVX115" s="182"/>
      <c r="FVY115" s="181"/>
      <c r="FVZ115" s="182"/>
      <c r="FWA115" s="181"/>
      <c r="FWB115" s="182"/>
      <c r="FWC115" s="181"/>
      <c r="FWD115" s="182"/>
      <c r="FWE115" s="181"/>
      <c r="FWF115" s="182"/>
      <c r="FWG115" s="181"/>
      <c r="FWH115" s="182"/>
      <c r="FWI115" s="181"/>
      <c r="FWJ115" s="182"/>
      <c r="FWK115" s="181"/>
      <c r="FWL115" s="182"/>
      <c r="FWM115" s="181"/>
      <c r="FWN115" s="182"/>
      <c r="FWO115" s="181"/>
      <c r="FWP115" s="182"/>
      <c r="FWQ115" s="181"/>
      <c r="FWR115" s="182"/>
      <c r="FWS115" s="181"/>
      <c r="FWT115" s="182"/>
      <c r="FWU115" s="181"/>
      <c r="FWV115" s="182"/>
      <c r="FWW115" s="181"/>
      <c r="FWX115" s="182"/>
      <c r="FWY115" s="181"/>
      <c r="FWZ115" s="182"/>
      <c r="FXA115" s="181"/>
      <c r="FXB115" s="182"/>
      <c r="FXC115" s="181"/>
      <c r="FXD115" s="182"/>
      <c r="FXE115" s="181"/>
      <c r="FXF115" s="182"/>
      <c r="FXG115" s="181"/>
      <c r="FXH115" s="182"/>
      <c r="FXI115" s="181"/>
      <c r="FXJ115" s="182"/>
      <c r="FXK115" s="181"/>
      <c r="FXL115" s="182"/>
      <c r="FXM115" s="181"/>
      <c r="FXN115" s="182"/>
      <c r="FXO115" s="181"/>
      <c r="FXP115" s="182"/>
      <c r="FXQ115" s="181"/>
      <c r="FXR115" s="182"/>
      <c r="FXS115" s="181"/>
      <c r="FXT115" s="182"/>
      <c r="FXU115" s="181"/>
      <c r="FXV115" s="182"/>
      <c r="FXW115" s="181"/>
      <c r="FXX115" s="182"/>
      <c r="FXY115" s="181"/>
      <c r="FXZ115" s="182"/>
      <c r="FYA115" s="181"/>
      <c r="FYB115" s="182"/>
      <c r="FYC115" s="181"/>
      <c r="FYD115" s="182"/>
      <c r="FYE115" s="181"/>
      <c r="FYF115" s="182"/>
      <c r="FYG115" s="181"/>
      <c r="FYH115" s="182"/>
      <c r="FYI115" s="181"/>
      <c r="FYJ115" s="182"/>
      <c r="FYK115" s="181"/>
      <c r="FYL115" s="182"/>
      <c r="FYM115" s="181"/>
      <c r="FYN115" s="182"/>
      <c r="FYO115" s="181"/>
      <c r="FYP115" s="182"/>
      <c r="FYQ115" s="181"/>
      <c r="FYR115" s="182"/>
      <c r="FYS115" s="181"/>
      <c r="FYT115" s="182"/>
      <c r="FYU115" s="181"/>
      <c r="FYV115" s="182"/>
      <c r="FYW115" s="181"/>
      <c r="FYX115" s="182"/>
      <c r="FYY115" s="181"/>
      <c r="FYZ115" s="182"/>
      <c r="FZA115" s="181"/>
      <c r="FZB115" s="182"/>
      <c r="FZC115" s="181"/>
      <c r="FZD115" s="182"/>
      <c r="FZE115" s="181"/>
      <c r="FZF115" s="182"/>
      <c r="FZG115" s="181"/>
      <c r="FZH115" s="182"/>
      <c r="FZI115" s="181"/>
      <c r="FZJ115" s="182"/>
      <c r="FZK115" s="181"/>
      <c r="FZL115" s="182"/>
      <c r="FZM115" s="181"/>
      <c r="FZN115" s="182"/>
      <c r="FZO115" s="181"/>
      <c r="FZP115" s="182"/>
      <c r="FZQ115" s="181"/>
      <c r="FZR115" s="182"/>
      <c r="FZS115" s="181"/>
      <c r="FZT115" s="182"/>
      <c r="FZU115" s="181"/>
      <c r="FZV115" s="182"/>
      <c r="FZW115" s="181"/>
      <c r="FZX115" s="182"/>
      <c r="FZY115" s="181"/>
      <c r="FZZ115" s="182"/>
      <c r="GAA115" s="181"/>
      <c r="GAB115" s="182"/>
      <c r="GAC115" s="181"/>
      <c r="GAD115" s="182"/>
      <c r="GAE115" s="181"/>
      <c r="GAF115" s="182"/>
      <c r="GAG115" s="181"/>
      <c r="GAH115" s="182"/>
      <c r="GAI115" s="181"/>
      <c r="GAJ115" s="182"/>
      <c r="GAK115" s="181"/>
      <c r="GAL115" s="182"/>
      <c r="GAM115" s="181"/>
      <c r="GAN115" s="182"/>
      <c r="GAO115" s="181"/>
      <c r="GAP115" s="182"/>
      <c r="GAQ115" s="181"/>
      <c r="GAR115" s="182"/>
      <c r="GAS115" s="181"/>
      <c r="GAT115" s="182"/>
      <c r="GAU115" s="181"/>
      <c r="GAV115" s="182"/>
      <c r="GAW115" s="181"/>
      <c r="GAX115" s="182"/>
      <c r="GAY115" s="181"/>
      <c r="GAZ115" s="182"/>
      <c r="GBA115" s="181"/>
      <c r="GBB115" s="182"/>
      <c r="GBC115" s="181"/>
      <c r="GBD115" s="182"/>
      <c r="GBE115" s="181"/>
      <c r="GBF115" s="182"/>
      <c r="GBG115" s="181"/>
      <c r="GBH115" s="182"/>
      <c r="GBI115" s="181"/>
      <c r="GBJ115" s="182"/>
      <c r="GBK115" s="181"/>
      <c r="GBL115" s="182"/>
      <c r="GBM115" s="181"/>
      <c r="GBN115" s="182"/>
      <c r="GBO115" s="181"/>
      <c r="GBP115" s="182"/>
      <c r="GBQ115" s="181"/>
      <c r="GBR115" s="182"/>
      <c r="GBS115" s="181"/>
      <c r="GBT115" s="182"/>
      <c r="GBU115" s="181"/>
      <c r="GBV115" s="182"/>
      <c r="GBW115" s="181"/>
      <c r="GBX115" s="182"/>
      <c r="GBY115" s="181"/>
      <c r="GBZ115" s="182"/>
      <c r="GCA115" s="181"/>
      <c r="GCB115" s="182"/>
      <c r="GCC115" s="181"/>
      <c r="GCD115" s="182"/>
      <c r="GCE115" s="181"/>
      <c r="GCF115" s="182"/>
      <c r="GCG115" s="181"/>
      <c r="GCH115" s="182"/>
      <c r="GCI115" s="181"/>
      <c r="GCJ115" s="182"/>
      <c r="GCK115" s="181"/>
      <c r="GCL115" s="182"/>
      <c r="GCM115" s="181"/>
      <c r="GCN115" s="182"/>
      <c r="GCO115" s="181"/>
      <c r="GCP115" s="182"/>
      <c r="GCQ115" s="181"/>
      <c r="GCR115" s="182"/>
      <c r="GCS115" s="181"/>
      <c r="GCT115" s="182"/>
      <c r="GCU115" s="181"/>
      <c r="GCV115" s="182"/>
      <c r="GCW115" s="181"/>
      <c r="GCX115" s="182"/>
      <c r="GCY115" s="181"/>
      <c r="GCZ115" s="182"/>
      <c r="GDA115" s="181"/>
      <c r="GDB115" s="182"/>
      <c r="GDC115" s="181"/>
      <c r="GDD115" s="182"/>
      <c r="GDE115" s="181"/>
      <c r="GDF115" s="182"/>
      <c r="GDG115" s="181"/>
      <c r="GDH115" s="182"/>
      <c r="GDI115" s="181"/>
      <c r="GDJ115" s="182"/>
      <c r="GDK115" s="181"/>
      <c r="GDL115" s="182"/>
      <c r="GDM115" s="181"/>
      <c r="GDN115" s="182"/>
      <c r="GDO115" s="181"/>
      <c r="GDP115" s="182"/>
      <c r="GDQ115" s="181"/>
      <c r="GDR115" s="182"/>
      <c r="GDS115" s="181"/>
      <c r="GDT115" s="182"/>
      <c r="GDU115" s="181"/>
      <c r="GDV115" s="182"/>
      <c r="GDW115" s="181"/>
      <c r="GDX115" s="182"/>
      <c r="GDY115" s="181"/>
      <c r="GDZ115" s="182"/>
      <c r="GEA115" s="181"/>
      <c r="GEB115" s="182"/>
      <c r="GEC115" s="181"/>
      <c r="GED115" s="182"/>
      <c r="GEE115" s="181"/>
      <c r="GEF115" s="182"/>
      <c r="GEG115" s="181"/>
      <c r="GEH115" s="182"/>
      <c r="GEI115" s="181"/>
      <c r="GEJ115" s="182"/>
      <c r="GEK115" s="181"/>
      <c r="GEL115" s="182"/>
      <c r="GEM115" s="181"/>
      <c r="GEN115" s="182"/>
      <c r="GEO115" s="181"/>
      <c r="GEP115" s="182"/>
      <c r="GEQ115" s="181"/>
      <c r="GER115" s="182"/>
      <c r="GES115" s="181"/>
      <c r="GET115" s="182"/>
      <c r="GEU115" s="181"/>
      <c r="GEV115" s="182"/>
      <c r="GEW115" s="181"/>
      <c r="GEX115" s="182"/>
      <c r="GEY115" s="181"/>
      <c r="GEZ115" s="182"/>
      <c r="GFA115" s="181"/>
      <c r="GFB115" s="182"/>
      <c r="GFC115" s="181"/>
      <c r="GFD115" s="182"/>
      <c r="GFE115" s="181"/>
      <c r="GFF115" s="182"/>
      <c r="GFG115" s="181"/>
      <c r="GFH115" s="182"/>
      <c r="GFI115" s="181"/>
      <c r="GFJ115" s="182"/>
      <c r="GFK115" s="181"/>
      <c r="GFL115" s="182"/>
      <c r="GFM115" s="181"/>
      <c r="GFN115" s="182"/>
      <c r="GFO115" s="181"/>
      <c r="GFP115" s="182"/>
      <c r="GFQ115" s="181"/>
      <c r="GFR115" s="182"/>
      <c r="GFS115" s="181"/>
      <c r="GFT115" s="182"/>
      <c r="GFU115" s="181"/>
      <c r="GFV115" s="182"/>
      <c r="GFW115" s="181"/>
      <c r="GFX115" s="182"/>
      <c r="GFY115" s="181"/>
      <c r="GFZ115" s="182"/>
      <c r="GGA115" s="181"/>
      <c r="GGB115" s="182"/>
      <c r="GGC115" s="181"/>
      <c r="GGD115" s="182"/>
      <c r="GGE115" s="181"/>
      <c r="GGF115" s="182"/>
      <c r="GGG115" s="181"/>
      <c r="GGH115" s="182"/>
      <c r="GGI115" s="181"/>
      <c r="GGJ115" s="182"/>
      <c r="GGK115" s="181"/>
      <c r="GGL115" s="182"/>
      <c r="GGM115" s="181"/>
      <c r="GGN115" s="182"/>
      <c r="GGO115" s="181"/>
      <c r="GGP115" s="182"/>
      <c r="GGQ115" s="181"/>
      <c r="GGR115" s="182"/>
      <c r="GGS115" s="181"/>
      <c r="GGT115" s="182"/>
      <c r="GGU115" s="181"/>
      <c r="GGV115" s="182"/>
      <c r="GGW115" s="181"/>
      <c r="GGX115" s="182"/>
      <c r="GGY115" s="181"/>
      <c r="GGZ115" s="182"/>
      <c r="GHA115" s="181"/>
      <c r="GHB115" s="182"/>
      <c r="GHC115" s="181"/>
      <c r="GHD115" s="182"/>
      <c r="GHE115" s="181"/>
      <c r="GHF115" s="182"/>
      <c r="GHG115" s="181"/>
      <c r="GHH115" s="182"/>
      <c r="GHI115" s="181"/>
      <c r="GHJ115" s="182"/>
      <c r="GHK115" s="181"/>
      <c r="GHL115" s="182"/>
      <c r="GHM115" s="181"/>
      <c r="GHN115" s="182"/>
      <c r="GHO115" s="181"/>
      <c r="GHP115" s="182"/>
      <c r="GHQ115" s="181"/>
      <c r="GHR115" s="182"/>
      <c r="GHS115" s="181"/>
      <c r="GHT115" s="182"/>
      <c r="GHU115" s="181"/>
      <c r="GHV115" s="182"/>
      <c r="GHW115" s="181"/>
      <c r="GHX115" s="182"/>
      <c r="GHY115" s="181"/>
      <c r="GHZ115" s="182"/>
      <c r="GIA115" s="181"/>
      <c r="GIB115" s="182"/>
      <c r="GIC115" s="181"/>
      <c r="GID115" s="182"/>
      <c r="GIE115" s="181"/>
      <c r="GIF115" s="182"/>
      <c r="GIG115" s="181"/>
      <c r="GIH115" s="182"/>
      <c r="GII115" s="181"/>
      <c r="GIJ115" s="182"/>
      <c r="GIK115" s="181"/>
      <c r="GIL115" s="182"/>
      <c r="GIM115" s="181"/>
      <c r="GIN115" s="182"/>
      <c r="GIO115" s="181"/>
      <c r="GIP115" s="182"/>
      <c r="GIQ115" s="181"/>
      <c r="GIR115" s="182"/>
      <c r="GIS115" s="181"/>
      <c r="GIT115" s="182"/>
      <c r="GIU115" s="181"/>
      <c r="GIV115" s="182"/>
      <c r="GIW115" s="181"/>
      <c r="GIX115" s="182"/>
      <c r="GIY115" s="181"/>
      <c r="GIZ115" s="182"/>
      <c r="GJA115" s="181"/>
      <c r="GJB115" s="182"/>
      <c r="GJC115" s="181"/>
      <c r="GJD115" s="182"/>
      <c r="GJE115" s="181"/>
      <c r="GJF115" s="182"/>
      <c r="GJG115" s="181"/>
      <c r="GJH115" s="182"/>
      <c r="GJI115" s="181"/>
      <c r="GJJ115" s="182"/>
      <c r="GJK115" s="181"/>
      <c r="GJL115" s="182"/>
      <c r="GJM115" s="181"/>
      <c r="GJN115" s="182"/>
      <c r="GJO115" s="181"/>
      <c r="GJP115" s="182"/>
      <c r="GJQ115" s="181"/>
      <c r="GJR115" s="182"/>
      <c r="GJS115" s="181"/>
      <c r="GJT115" s="182"/>
      <c r="GJU115" s="181"/>
      <c r="GJV115" s="182"/>
      <c r="GJW115" s="181"/>
      <c r="GJX115" s="182"/>
      <c r="GJY115" s="181"/>
      <c r="GJZ115" s="182"/>
      <c r="GKA115" s="181"/>
      <c r="GKB115" s="182"/>
      <c r="GKC115" s="181"/>
      <c r="GKD115" s="182"/>
      <c r="GKE115" s="181"/>
      <c r="GKF115" s="182"/>
      <c r="GKG115" s="181"/>
      <c r="GKH115" s="182"/>
      <c r="GKI115" s="181"/>
      <c r="GKJ115" s="182"/>
      <c r="GKK115" s="181"/>
      <c r="GKL115" s="182"/>
      <c r="GKM115" s="181"/>
      <c r="GKN115" s="182"/>
      <c r="GKO115" s="181"/>
      <c r="GKP115" s="182"/>
      <c r="GKQ115" s="181"/>
      <c r="GKR115" s="182"/>
      <c r="GKS115" s="181"/>
      <c r="GKT115" s="182"/>
      <c r="GKU115" s="181"/>
      <c r="GKV115" s="182"/>
      <c r="GKW115" s="181"/>
      <c r="GKX115" s="182"/>
      <c r="GKY115" s="181"/>
      <c r="GKZ115" s="182"/>
      <c r="GLA115" s="181"/>
      <c r="GLB115" s="182"/>
      <c r="GLC115" s="181"/>
      <c r="GLD115" s="182"/>
      <c r="GLE115" s="181"/>
      <c r="GLF115" s="182"/>
      <c r="GLG115" s="181"/>
      <c r="GLH115" s="182"/>
      <c r="GLI115" s="181"/>
      <c r="GLJ115" s="182"/>
      <c r="GLK115" s="181"/>
      <c r="GLL115" s="182"/>
      <c r="GLM115" s="181"/>
      <c r="GLN115" s="182"/>
      <c r="GLO115" s="181"/>
      <c r="GLP115" s="182"/>
      <c r="GLQ115" s="181"/>
      <c r="GLR115" s="182"/>
      <c r="GLS115" s="181"/>
      <c r="GLT115" s="182"/>
      <c r="GLU115" s="181"/>
      <c r="GLV115" s="182"/>
      <c r="GLW115" s="181"/>
      <c r="GLX115" s="182"/>
      <c r="GLY115" s="181"/>
      <c r="GLZ115" s="182"/>
      <c r="GMA115" s="181"/>
      <c r="GMB115" s="182"/>
      <c r="GMC115" s="181"/>
      <c r="GMD115" s="182"/>
      <c r="GME115" s="181"/>
      <c r="GMF115" s="182"/>
      <c r="GMG115" s="181"/>
      <c r="GMH115" s="182"/>
      <c r="GMI115" s="181"/>
      <c r="GMJ115" s="182"/>
      <c r="GMK115" s="181"/>
      <c r="GML115" s="182"/>
      <c r="GMM115" s="181"/>
      <c r="GMN115" s="182"/>
      <c r="GMO115" s="181"/>
      <c r="GMP115" s="182"/>
      <c r="GMQ115" s="181"/>
      <c r="GMR115" s="182"/>
      <c r="GMS115" s="181"/>
      <c r="GMT115" s="182"/>
      <c r="GMU115" s="181"/>
      <c r="GMV115" s="182"/>
      <c r="GMW115" s="181"/>
      <c r="GMX115" s="182"/>
      <c r="GMY115" s="181"/>
      <c r="GMZ115" s="182"/>
      <c r="GNA115" s="181"/>
      <c r="GNB115" s="182"/>
      <c r="GNC115" s="181"/>
      <c r="GND115" s="182"/>
      <c r="GNE115" s="181"/>
      <c r="GNF115" s="182"/>
      <c r="GNG115" s="181"/>
      <c r="GNH115" s="182"/>
      <c r="GNI115" s="181"/>
      <c r="GNJ115" s="182"/>
      <c r="GNK115" s="181"/>
      <c r="GNL115" s="182"/>
      <c r="GNM115" s="181"/>
      <c r="GNN115" s="182"/>
      <c r="GNO115" s="181"/>
      <c r="GNP115" s="182"/>
      <c r="GNQ115" s="181"/>
      <c r="GNR115" s="182"/>
      <c r="GNS115" s="181"/>
      <c r="GNT115" s="182"/>
      <c r="GNU115" s="181"/>
      <c r="GNV115" s="182"/>
      <c r="GNW115" s="181"/>
      <c r="GNX115" s="182"/>
      <c r="GNY115" s="181"/>
      <c r="GNZ115" s="182"/>
      <c r="GOA115" s="181"/>
      <c r="GOB115" s="182"/>
      <c r="GOC115" s="181"/>
      <c r="GOD115" s="182"/>
      <c r="GOE115" s="181"/>
      <c r="GOF115" s="182"/>
      <c r="GOG115" s="181"/>
      <c r="GOH115" s="182"/>
      <c r="GOI115" s="181"/>
      <c r="GOJ115" s="182"/>
      <c r="GOK115" s="181"/>
      <c r="GOL115" s="182"/>
      <c r="GOM115" s="181"/>
      <c r="GON115" s="182"/>
      <c r="GOO115" s="181"/>
      <c r="GOP115" s="182"/>
      <c r="GOQ115" s="181"/>
      <c r="GOR115" s="182"/>
      <c r="GOS115" s="181"/>
      <c r="GOT115" s="182"/>
      <c r="GOU115" s="181"/>
      <c r="GOV115" s="182"/>
      <c r="GOW115" s="181"/>
      <c r="GOX115" s="182"/>
      <c r="GOY115" s="181"/>
      <c r="GOZ115" s="182"/>
      <c r="GPA115" s="181"/>
      <c r="GPB115" s="182"/>
      <c r="GPC115" s="181"/>
      <c r="GPD115" s="182"/>
      <c r="GPE115" s="181"/>
      <c r="GPF115" s="182"/>
      <c r="GPG115" s="181"/>
      <c r="GPH115" s="182"/>
      <c r="GPI115" s="181"/>
      <c r="GPJ115" s="182"/>
      <c r="GPK115" s="181"/>
      <c r="GPL115" s="182"/>
      <c r="GPM115" s="181"/>
      <c r="GPN115" s="182"/>
      <c r="GPO115" s="181"/>
      <c r="GPP115" s="182"/>
      <c r="GPQ115" s="181"/>
      <c r="GPR115" s="182"/>
      <c r="GPS115" s="181"/>
      <c r="GPT115" s="182"/>
      <c r="GPU115" s="181"/>
      <c r="GPV115" s="182"/>
      <c r="GPW115" s="181"/>
      <c r="GPX115" s="182"/>
      <c r="GPY115" s="181"/>
      <c r="GPZ115" s="182"/>
      <c r="GQA115" s="181"/>
      <c r="GQB115" s="182"/>
      <c r="GQC115" s="181"/>
      <c r="GQD115" s="182"/>
      <c r="GQE115" s="181"/>
      <c r="GQF115" s="182"/>
      <c r="GQG115" s="181"/>
      <c r="GQH115" s="182"/>
      <c r="GQI115" s="181"/>
      <c r="GQJ115" s="182"/>
      <c r="GQK115" s="181"/>
      <c r="GQL115" s="182"/>
      <c r="GQM115" s="181"/>
      <c r="GQN115" s="182"/>
      <c r="GQO115" s="181"/>
      <c r="GQP115" s="182"/>
      <c r="GQQ115" s="181"/>
      <c r="GQR115" s="182"/>
      <c r="GQS115" s="181"/>
      <c r="GQT115" s="182"/>
      <c r="GQU115" s="181"/>
      <c r="GQV115" s="182"/>
      <c r="GQW115" s="181"/>
      <c r="GQX115" s="182"/>
      <c r="GQY115" s="181"/>
      <c r="GQZ115" s="182"/>
      <c r="GRA115" s="181"/>
      <c r="GRB115" s="182"/>
      <c r="GRC115" s="181"/>
      <c r="GRD115" s="182"/>
      <c r="GRE115" s="181"/>
      <c r="GRF115" s="182"/>
      <c r="GRG115" s="181"/>
      <c r="GRH115" s="182"/>
      <c r="GRI115" s="181"/>
      <c r="GRJ115" s="182"/>
      <c r="GRK115" s="181"/>
      <c r="GRL115" s="182"/>
      <c r="GRM115" s="181"/>
      <c r="GRN115" s="182"/>
      <c r="GRO115" s="181"/>
      <c r="GRP115" s="182"/>
      <c r="GRQ115" s="181"/>
      <c r="GRR115" s="182"/>
      <c r="GRS115" s="181"/>
      <c r="GRT115" s="182"/>
      <c r="GRU115" s="181"/>
      <c r="GRV115" s="182"/>
      <c r="GRW115" s="181"/>
      <c r="GRX115" s="182"/>
      <c r="GRY115" s="181"/>
      <c r="GRZ115" s="182"/>
      <c r="GSA115" s="181"/>
      <c r="GSB115" s="182"/>
      <c r="GSC115" s="181"/>
      <c r="GSD115" s="182"/>
      <c r="GSE115" s="181"/>
      <c r="GSF115" s="182"/>
      <c r="GSG115" s="181"/>
      <c r="GSH115" s="182"/>
      <c r="GSI115" s="181"/>
      <c r="GSJ115" s="182"/>
      <c r="GSK115" s="181"/>
      <c r="GSL115" s="182"/>
      <c r="GSM115" s="181"/>
      <c r="GSN115" s="182"/>
      <c r="GSO115" s="181"/>
      <c r="GSP115" s="182"/>
      <c r="GSQ115" s="181"/>
      <c r="GSR115" s="182"/>
      <c r="GSS115" s="181"/>
      <c r="GST115" s="182"/>
      <c r="GSU115" s="181"/>
      <c r="GSV115" s="182"/>
      <c r="GSW115" s="181"/>
      <c r="GSX115" s="182"/>
      <c r="GSY115" s="181"/>
      <c r="GSZ115" s="182"/>
      <c r="GTA115" s="181"/>
      <c r="GTB115" s="182"/>
      <c r="GTC115" s="181"/>
      <c r="GTD115" s="182"/>
      <c r="GTE115" s="181"/>
      <c r="GTF115" s="182"/>
      <c r="GTG115" s="181"/>
      <c r="GTH115" s="182"/>
      <c r="GTI115" s="181"/>
      <c r="GTJ115" s="182"/>
      <c r="GTK115" s="181"/>
      <c r="GTL115" s="182"/>
      <c r="GTM115" s="181"/>
      <c r="GTN115" s="182"/>
      <c r="GTO115" s="181"/>
      <c r="GTP115" s="182"/>
      <c r="GTQ115" s="181"/>
      <c r="GTR115" s="182"/>
      <c r="GTS115" s="181"/>
      <c r="GTT115" s="182"/>
      <c r="GTU115" s="181"/>
      <c r="GTV115" s="182"/>
      <c r="GTW115" s="181"/>
      <c r="GTX115" s="182"/>
      <c r="GTY115" s="181"/>
      <c r="GTZ115" s="182"/>
      <c r="GUA115" s="181"/>
      <c r="GUB115" s="182"/>
      <c r="GUC115" s="181"/>
      <c r="GUD115" s="182"/>
      <c r="GUE115" s="181"/>
      <c r="GUF115" s="182"/>
      <c r="GUG115" s="181"/>
      <c r="GUH115" s="182"/>
      <c r="GUI115" s="181"/>
      <c r="GUJ115" s="182"/>
      <c r="GUK115" s="181"/>
      <c r="GUL115" s="182"/>
      <c r="GUM115" s="181"/>
      <c r="GUN115" s="182"/>
      <c r="GUO115" s="181"/>
      <c r="GUP115" s="182"/>
      <c r="GUQ115" s="181"/>
      <c r="GUR115" s="182"/>
      <c r="GUS115" s="181"/>
      <c r="GUT115" s="182"/>
      <c r="GUU115" s="181"/>
      <c r="GUV115" s="182"/>
      <c r="GUW115" s="181"/>
      <c r="GUX115" s="182"/>
      <c r="GUY115" s="181"/>
      <c r="GUZ115" s="182"/>
      <c r="GVA115" s="181"/>
      <c r="GVB115" s="182"/>
      <c r="GVC115" s="181"/>
      <c r="GVD115" s="182"/>
      <c r="GVE115" s="181"/>
      <c r="GVF115" s="182"/>
      <c r="GVG115" s="181"/>
      <c r="GVH115" s="182"/>
      <c r="GVI115" s="181"/>
      <c r="GVJ115" s="182"/>
      <c r="GVK115" s="181"/>
      <c r="GVL115" s="182"/>
      <c r="GVM115" s="181"/>
      <c r="GVN115" s="182"/>
      <c r="GVO115" s="181"/>
      <c r="GVP115" s="182"/>
      <c r="GVQ115" s="181"/>
      <c r="GVR115" s="182"/>
      <c r="GVS115" s="181"/>
      <c r="GVT115" s="182"/>
      <c r="GVU115" s="181"/>
      <c r="GVV115" s="182"/>
      <c r="GVW115" s="181"/>
      <c r="GVX115" s="182"/>
      <c r="GVY115" s="181"/>
      <c r="GVZ115" s="182"/>
      <c r="GWA115" s="181"/>
      <c r="GWB115" s="182"/>
      <c r="GWC115" s="181"/>
      <c r="GWD115" s="182"/>
      <c r="GWE115" s="181"/>
      <c r="GWF115" s="182"/>
      <c r="GWG115" s="181"/>
      <c r="GWH115" s="182"/>
      <c r="GWI115" s="181"/>
      <c r="GWJ115" s="182"/>
      <c r="GWK115" s="181"/>
      <c r="GWL115" s="182"/>
      <c r="GWM115" s="181"/>
      <c r="GWN115" s="182"/>
      <c r="GWO115" s="181"/>
      <c r="GWP115" s="182"/>
      <c r="GWQ115" s="181"/>
      <c r="GWR115" s="182"/>
      <c r="GWS115" s="181"/>
      <c r="GWT115" s="182"/>
      <c r="GWU115" s="181"/>
      <c r="GWV115" s="182"/>
      <c r="GWW115" s="181"/>
      <c r="GWX115" s="182"/>
      <c r="GWY115" s="181"/>
      <c r="GWZ115" s="182"/>
      <c r="GXA115" s="181"/>
      <c r="GXB115" s="182"/>
      <c r="GXC115" s="181"/>
      <c r="GXD115" s="182"/>
      <c r="GXE115" s="181"/>
      <c r="GXF115" s="182"/>
      <c r="GXG115" s="181"/>
      <c r="GXH115" s="182"/>
      <c r="GXI115" s="181"/>
      <c r="GXJ115" s="182"/>
      <c r="GXK115" s="181"/>
      <c r="GXL115" s="182"/>
      <c r="GXM115" s="181"/>
      <c r="GXN115" s="182"/>
      <c r="GXO115" s="181"/>
      <c r="GXP115" s="182"/>
      <c r="GXQ115" s="181"/>
      <c r="GXR115" s="182"/>
      <c r="GXS115" s="181"/>
      <c r="GXT115" s="182"/>
      <c r="GXU115" s="181"/>
      <c r="GXV115" s="182"/>
      <c r="GXW115" s="181"/>
      <c r="GXX115" s="182"/>
      <c r="GXY115" s="181"/>
      <c r="GXZ115" s="182"/>
      <c r="GYA115" s="181"/>
      <c r="GYB115" s="182"/>
      <c r="GYC115" s="181"/>
      <c r="GYD115" s="182"/>
      <c r="GYE115" s="181"/>
      <c r="GYF115" s="182"/>
      <c r="GYG115" s="181"/>
      <c r="GYH115" s="182"/>
      <c r="GYI115" s="181"/>
      <c r="GYJ115" s="182"/>
      <c r="GYK115" s="181"/>
      <c r="GYL115" s="182"/>
      <c r="GYM115" s="181"/>
      <c r="GYN115" s="182"/>
      <c r="GYO115" s="181"/>
      <c r="GYP115" s="182"/>
      <c r="GYQ115" s="181"/>
      <c r="GYR115" s="182"/>
      <c r="GYS115" s="181"/>
      <c r="GYT115" s="182"/>
      <c r="GYU115" s="181"/>
      <c r="GYV115" s="182"/>
      <c r="GYW115" s="181"/>
      <c r="GYX115" s="182"/>
      <c r="GYY115" s="181"/>
      <c r="GYZ115" s="182"/>
      <c r="GZA115" s="181"/>
      <c r="GZB115" s="182"/>
      <c r="GZC115" s="181"/>
      <c r="GZD115" s="182"/>
      <c r="GZE115" s="181"/>
      <c r="GZF115" s="182"/>
      <c r="GZG115" s="181"/>
      <c r="GZH115" s="182"/>
      <c r="GZI115" s="181"/>
      <c r="GZJ115" s="182"/>
      <c r="GZK115" s="181"/>
      <c r="GZL115" s="182"/>
      <c r="GZM115" s="181"/>
      <c r="GZN115" s="182"/>
      <c r="GZO115" s="181"/>
      <c r="GZP115" s="182"/>
      <c r="GZQ115" s="181"/>
      <c r="GZR115" s="182"/>
      <c r="GZS115" s="181"/>
      <c r="GZT115" s="182"/>
      <c r="GZU115" s="181"/>
      <c r="GZV115" s="182"/>
      <c r="GZW115" s="181"/>
      <c r="GZX115" s="182"/>
      <c r="GZY115" s="181"/>
      <c r="GZZ115" s="182"/>
      <c r="HAA115" s="181"/>
      <c r="HAB115" s="182"/>
      <c r="HAC115" s="181"/>
      <c r="HAD115" s="182"/>
      <c r="HAE115" s="181"/>
      <c r="HAF115" s="182"/>
      <c r="HAG115" s="181"/>
      <c r="HAH115" s="182"/>
      <c r="HAI115" s="181"/>
      <c r="HAJ115" s="182"/>
      <c r="HAK115" s="181"/>
      <c r="HAL115" s="182"/>
      <c r="HAM115" s="181"/>
      <c r="HAN115" s="182"/>
      <c r="HAO115" s="181"/>
      <c r="HAP115" s="182"/>
      <c r="HAQ115" s="181"/>
      <c r="HAR115" s="182"/>
      <c r="HAS115" s="181"/>
      <c r="HAT115" s="182"/>
      <c r="HAU115" s="181"/>
      <c r="HAV115" s="182"/>
      <c r="HAW115" s="181"/>
      <c r="HAX115" s="182"/>
      <c r="HAY115" s="181"/>
      <c r="HAZ115" s="182"/>
      <c r="HBA115" s="181"/>
      <c r="HBB115" s="182"/>
      <c r="HBC115" s="181"/>
      <c r="HBD115" s="182"/>
      <c r="HBE115" s="181"/>
      <c r="HBF115" s="182"/>
      <c r="HBG115" s="181"/>
      <c r="HBH115" s="182"/>
      <c r="HBI115" s="181"/>
      <c r="HBJ115" s="182"/>
      <c r="HBK115" s="181"/>
      <c r="HBL115" s="182"/>
      <c r="HBM115" s="181"/>
      <c r="HBN115" s="182"/>
      <c r="HBO115" s="181"/>
      <c r="HBP115" s="182"/>
      <c r="HBQ115" s="181"/>
      <c r="HBR115" s="182"/>
      <c r="HBS115" s="181"/>
      <c r="HBT115" s="182"/>
      <c r="HBU115" s="181"/>
      <c r="HBV115" s="182"/>
      <c r="HBW115" s="181"/>
      <c r="HBX115" s="182"/>
      <c r="HBY115" s="181"/>
      <c r="HBZ115" s="182"/>
      <c r="HCA115" s="181"/>
      <c r="HCB115" s="182"/>
      <c r="HCC115" s="181"/>
      <c r="HCD115" s="182"/>
      <c r="HCE115" s="181"/>
      <c r="HCF115" s="182"/>
      <c r="HCG115" s="181"/>
      <c r="HCH115" s="182"/>
      <c r="HCI115" s="181"/>
      <c r="HCJ115" s="182"/>
      <c r="HCK115" s="181"/>
      <c r="HCL115" s="182"/>
      <c r="HCM115" s="181"/>
      <c r="HCN115" s="182"/>
      <c r="HCO115" s="181"/>
      <c r="HCP115" s="182"/>
      <c r="HCQ115" s="181"/>
      <c r="HCR115" s="182"/>
      <c r="HCS115" s="181"/>
      <c r="HCT115" s="182"/>
      <c r="HCU115" s="181"/>
      <c r="HCV115" s="182"/>
      <c r="HCW115" s="181"/>
      <c r="HCX115" s="182"/>
      <c r="HCY115" s="181"/>
      <c r="HCZ115" s="182"/>
      <c r="HDA115" s="181"/>
      <c r="HDB115" s="182"/>
      <c r="HDC115" s="181"/>
      <c r="HDD115" s="182"/>
      <c r="HDE115" s="181"/>
      <c r="HDF115" s="182"/>
      <c r="HDG115" s="181"/>
      <c r="HDH115" s="182"/>
      <c r="HDI115" s="181"/>
      <c r="HDJ115" s="182"/>
      <c r="HDK115" s="181"/>
      <c r="HDL115" s="182"/>
      <c r="HDM115" s="181"/>
      <c r="HDN115" s="182"/>
      <c r="HDO115" s="181"/>
      <c r="HDP115" s="182"/>
      <c r="HDQ115" s="181"/>
      <c r="HDR115" s="182"/>
      <c r="HDS115" s="181"/>
      <c r="HDT115" s="182"/>
      <c r="HDU115" s="181"/>
      <c r="HDV115" s="182"/>
      <c r="HDW115" s="181"/>
      <c r="HDX115" s="182"/>
      <c r="HDY115" s="181"/>
      <c r="HDZ115" s="182"/>
      <c r="HEA115" s="181"/>
      <c r="HEB115" s="182"/>
      <c r="HEC115" s="181"/>
      <c r="HED115" s="182"/>
      <c r="HEE115" s="181"/>
      <c r="HEF115" s="182"/>
      <c r="HEG115" s="181"/>
      <c r="HEH115" s="182"/>
      <c r="HEI115" s="181"/>
      <c r="HEJ115" s="182"/>
      <c r="HEK115" s="181"/>
      <c r="HEL115" s="182"/>
      <c r="HEM115" s="181"/>
      <c r="HEN115" s="182"/>
      <c r="HEO115" s="181"/>
      <c r="HEP115" s="182"/>
      <c r="HEQ115" s="181"/>
      <c r="HER115" s="182"/>
      <c r="HES115" s="181"/>
      <c r="HET115" s="182"/>
      <c r="HEU115" s="181"/>
      <c r="HEV115" s="182"/>
      <c r="HEW115" s="181"/>
      <c r="HEX115" s="182"/>
      <c r="HEY115" s="181"/>
      <c r="HEZ115" s="182"/>
      <c r="HFA115" s="181"/>
      <c r="HFB115" s="182"/>
      <c r="HFC115" s="181"/>
      <c r="HFD115" s="182"/>
      <c r="HFE115" s="181"/>
      <c r="HFF115" s="182"/>
      <c r="HFG115" s="181"/>
      <c r="HFH115" s="182"/>
      <c r="HFI115" s="181"/>
      <c r="HFJ115" s="182"/>
      <c r="HFK115" s="181"/>
      <c r="HFL115" s="182"/>
      <c r="HFM115" s="181"/>
      <c r="HFN115" s="182"/>
      <c r="HFO115" s="181"/>
      <c r="HFP115" s="182"/>
      <c r="HFQ115" s="181"/>
      <c r="HFR115" s="182"/>
      <c r="HFS115" s="181"/>
      <c r="HFT115" s="182"/>
      <c r="HFU115" s="181"/>
      <c r="HFV115" s="182"/>
      <c r="HFW115" s="181"/>
      <c r="HFX115" s="182"/>
      <c r="HFY115" s="181"/>
      <c r="HFZ115" s="182"/>
      <c r="HGA115" s="181"/>
      <c r="HGB115" s="182"/>
      <c r="HGC115" s="181"/>
      <c r="HGD115" s="182"/>
      <c r="HGE115" s="181"/>
      <c r="HGF115" s="182"/>
      <c r="HGG115" s="181"/>
      <c r="HGH115" s="182"/>
      <c r="HGI115" s="181"/>
      <c r="HGJ115" s="182"/>
      <c r="HGK115" s="181"/>
      <c r="HGL115" s="182"/>
      <c r="HGM115" s="181"/>
      <c r="HGN115" s="182"/>
      <c r="HGO115" s="181"/>
      <c r="HGP115" s="182"/>
      <c r="HGQ115" s="181"/>
      <c r="HGR115" s="182"/>
      <c r="HGS115" s="181"/>
      <c r="HGT115" s="182"/>
      <c r="HGU115" s="181"/>
      <c r="HGV115" s="182"/>
      <c r="HGW115" s="181"/>
      <c r="HGX115" s="182"/>
      <c r="HGY115" s="181"/>
      <c r="HGZ115" s="182"/>
      <c r="HHA115" s="181"/>
      <c r="HHB115" s="182"/>
      <c r="HHC115" s="181"/>
      <c r="HHD115" s="182"/>
      <c r="HHE115" s="181"/>
      <c r="HHF115" s="182"/>
      <c r="HHG115" s="181"/>
      <c r="HHH115" s="182"/>
      <c r="HHI115" s="181"/>
      <c r="HHJ115" s="182"/>
      <c r="HHK115" s="181"/>
      <c r="HHL115" s="182"/>
      <c r="HHM115" s="181"/>
      <c r="HHN115" s="182"/>
      <c r="HHO115" s="181"/>
      <c r="HHP115" s="182"/>
      <c r="HHQ115" s="181"/>
      <c r="HHR115" s="182"/>
      <c r="HHS115" s="181"/>
      <c r="HHT115" s="182"/>
      <c r="HHU115" s="181"/>
      <c r="HHV115" s="182"/>
      <c r="HHW115" s="181"/>
      <c r="HHX115" s="182"/>
      <c r="HHY115" s="181"/>
      <c r="HHZ115" s="182"/>
      <c r="HIA115" s="181"/>
      <c r="HIB115" s="182"/>
      <c r="HIC115" s="181"/>
      <c r="HID115" s="182"/>
      <c r="HIE115" s="181"/>
      <c r="HIF115" s="182"/>
      <c r="HIG115" s="181"/>
      <c r="HIH115" s="182"/>
      <c r="HII115" s="181"/>
      <c r="HIJ115" s="182"/>
      <c r="HIK115" s="181"/>
      <c r="HIL115" s="182"/>
      <c r="HIM115" s="181"/>
      <c r="HIN115" s="182"/>
      <c r="HIO115" s="181"/>
      <c r="HIP115" s="182"/>
      <c r="HIQ115" s="181"/>
      <c r="HIR115" s="182"/>
      <c r="HIS115" s="181"/>
      <c r="HIT115" s="182"/>
      <c r="HIU115" s="181"/>
      <c r="HIV115" s="182"/>
      <c r="HIW115" s="181"/>
      <c r="HIX115" s="182"/>
      <c r="HIY115" s="181"/>
      <c r="HIZ115" s="182"/>
      <c r="HJA115" s="181"/>
      <c r="HJB115" s="182"/>
      <c r="HJC115" s="181"/>
      <c r="HJD115" s="182"/>
      <c r="HJE115" s="181"/>
      <c r="HJF115" s="182"/>
      <c r="HJG115" s="181"/>
      <c r="HJH115" s="182"/>
      <c r="HJI115" s="181"/>
      <c r="HJJ115" s="182"/>
      <c r="HJK115" s="181"/>
      <c r="HJL115" s="182"/>
      <c r="HJM115" s="181"/>
      <c r="HJN115" s="182"/>
      <c r="HJO115" s="181"/>
      <c r="HJP115" s="182"/>
      <c r="HJQ115" s="181"/>
      <c r="HJR115" s="182"/>
      <c r="HJS115" s="181"/>
      <c r="HJT115" s="182"/>
      <c r="HJU115" s="181"/>
      <c r="HJV115" s="182"/>
      <c r="HJW115" s="181"/>
      <c r="HJX115" s="182"/>
      <c r="HJY115" s="181"/>
      <c r="HJZ115" s="182"/>
      <c r="HKA115" s="181"/>
      <c r="HKB115" s="182"/>
      <c r="HKC115" s="181"/>
      <c r="HKD115" s="182"/>
      <c r="HKE115" s="181"/>
      <c r="HKF115" s="182"/>
      <c r="HKG115" s="181"/>
      <c r="HKH115" s="182"/>
      <c r="HKI115" s="181"/>
      <c r="HKJ115" s="182"/>
      <c r="HKK115" s="181"/>
      <c r="HKL115" s="182"/>
      <c r="HKM115" s="181"/>
      <c r="HKN115" s="182"/>
      <c r="HKO115" s="181"/>
      <c r="HKP115" s="182"/>
      <c r="HKQ115" s="181"/>
      <c r="HKR115" s="182"/>
      <c r="HKS115" s="181"/>
      <c r="HKT115" s="182"/>
      <c r="HKU115" s="181"/>
      <c r="HKV115" s="182"/>
      <c r="HKW115" s="181"/>
      <c r="HKX115" s="182"/>
      <c r="HKY115" s="181"/>
      <c r="HKZ115" s="182"/>
      <c r="HLA115" s="181"/>
      <c r="HLB115" s="182"/>
      <c r="HLC115" s="181"/>
      <c r="HLD115" s="182"/>
      <c r="HLE115" s="181"/>
      <c r="HLF115" s="182"/>
      <c r="HLG115" s="181"/>
      <c r="HLH115" s="182"/>
      <c r="HLI115" s="181"/>
      <c r="HLJ115" s="182"/>
      <c r="HLK115" s="181"/>
      <c r="HLL115" s="182"/>
      <c r="HLM115" s="181"/>
      <c r="HLN115" s="182"/>
      <c r="HLO115" s="181"/>
      <c r="HLP115" s="182"/>
      <c r="HLQ115" s="181"/>
      <c r="HLR115" s="182"/>
      <c r="HLS115" s="181"/>
      <c r="HLT115" s="182"/>
      <c r="HLU115" s="181"/>
      <c r="HLV115" s="182"/>
      <c r="HLW115" s="181"/>
      <c r="HLX115" s="182"/>
      <c r="HLY115" s="181"/>
      <c r="HLZ115" s="182"/>
      <c r="HMA115" s="181"/>
      <c r="HMB115" s="182"/>
      <c r="HMC115" s="181"/>
      <c r="HMD115" s="182"/>
      <c r="HME115" s="181"/>
      <c r="HMF115" s="182"/>
      <c r="HMG115" s="181"/>
      <c r="HMH115" s="182"/>
      <c r="HMI115" s="181"/>
      <c r="HMJ115" s="182"/>
      <c r="HMK115" s="181"/>
      <c r="HML115" s="182"/>
      <c r="HMM115" s="181"/>
      <c r="HMN115" s="182"/>
      <c r="HMO115" s="181"/>
      <c r="HMP115" s="182"/>
      <c r="HMQ115" s="181"/>
      <c r="HMR115" s="182"/>
      <c r="HMS115" s="181"/>
      <c r="HMT115" s="182"/>
      <c r="HMU115" s="181"/>
      <c r="HMV115" s="182"/>
      <c r="HMW115" s="181"/>
      <c r="HMX115" s="182"/>
      <c r="HMY115" s="181"/>
      <c r="HMZ115" s="182"/>
      <c r="HNA115" s="181"/>
      <c r="HNB115" s="182"/>
      <c r="HNC115" s="181"/>
      <c r="HND115" s="182"/>
      <c r="HNE115" s="181"/>
      <c r="HNF115" s="182"/>
      <c r="HNG115" s="181"/>
      <c r="HNH115" s="182"/>
      <c r="HNI115" s="181"/>
      <c r="HNJ115" s="182"/>
      <c r="HNK115" s="181"/>
      <c r="HNL115" s="182"/>
      <c r="HNM115" s="181"/>
      <c r="HNN115" s="182"/>
      <c r="HNO115" s="181"/>
      <c r="HNP115" s="182"/>
      <c r="HNQ115" s="181"/>
      <c r="HNR115" s="182"/>
      <c r="HNS115" s="181"/>
      <c r="HNT115" s="182"/>
      <c r="HNU115" s="181"/>
      <c r="HNV115" s="182"/>
      <c r="HNW115" s="181"/>
      <c r="HNX115" s="182"/>
      <c r="HNY115" s="181"/>
      <c r="HNZ115" s="182"/>
      <c r="HOA115" s="181"/>
      <c r="HOB115" s="182"/>
      <c r="HOC115" s="181"/>
      <c r="HOD115" s="182"/>
      <c r="HOE115" s="181"/>
      <c r="HOF115" s="182"/>
      <c r="HOG115" s="181"/>
      <c r="HOH115" s="182"/>
      <c r="HOI115" s="181"/>
      <c r="HOJ115" s="182"/>
      <c r="HOK115" s="181"/>
      <c r="HOL115" s="182"/>
      <c r="HOM115" s="181"/>
      <c r="HON115" s="182"/>
      <c r="HOO115" s="181"/>
      <c r="HOP115" s="182"/>
      <c r="HOQ115" s="181"/>
      <c r="HOR115" s="182"/>
      <c r="HOS115" s="181"/>
      <c r="HOT115" s="182"/>
      <c r="HOU115" s="181"/>
      <c r="HOV115" s="182"/>
      <c r="HOW115" s="181"/>
      <c r="HOX115" s="182"/>
      <c r="HOY115" s="181"/>
      <c r="HOZ115" s="182"/>
      <c r="HPA115" s="181"/>
      <c r="HPB115" s="182"/>
      <c r="HPC115" s="181"/>
      <c r="HPD115" s="182"/>
      <c r="HPE115" s="181"/>
      <c r="HPF115" s="182"/>
      <c r="HPG115" s="181"/>
      <c r="HPH115" s="182"/>
      <c r="HPI115" s="181"/>
      <c r="HPJ115" s="182"/>
      <c r="HPK115" s="181"/>
      <c r="HPL115" s="182"/>
      <c r="HPM115" s="181"/>
      <c r="HPN115" s="182"/>
      <c r="HPO115" s="181"/>
      <c r="HPP115" s="182"/>
      <c r="HPQ115" s="181"/>
      <c r="HPR115" s="182"/>
      <c r="HPS115" s="181"/>
      <c r="HPT115" s="182"/>
      <c r="HPU115" s="181"/>
      <c r="HPV115" s="182"/>
      <c r="HPW115" s="181"/>
      <c r="HPX115" s="182"/>
      <c r="HPY115" s="181"/>
      <c r="HPZ115" s="182"/>
      <c r="HQA115" s="181"/>
      <c r="HQB115" s="182"/>
      <c r="HQC115" s="181"/>
      <c r="HQD115" s="182"/>
      <c r="HQE115" s="181"/>
      <c r="HQF115" s="182"/>
      <c r="HQG115" s="181"/>
      <c r="HQH115" s="182"/>
      <c r="HQI115" s="181"/>
      <c r="HQJ115" s="182"/>
      <c r="HQK115" s="181"/>
      <c r="HQL115" s="182"/>
      <c r="HQM115" s="181"/>
      <c r="HQN115" s="182"/>
      <c r="HQO115" s="181"/>
      <c r="HQP115" s="182"/>
      <c r="HQQ115" s="181"/>
      <c r="HQR115" s="182"/>
      <c r="HQS115" s="181"/>
      <c r="HQT115" s="182"/>
      <c r="HQU115" s="181"/>
      <c r="HQV115" s="182"/>
      <c r="HQW115" s="181"/>
      <c r="HQX115" s="182"/>
      <c r="HQY115" s="181"/>
      <c r="HQZ115" s="182"/>
      <c r="HRA115" s="181"/>
      <c r="HRB115" s="182"/>
      <c r="HRC115" s="181"/>
      <c r="HRD115" s="182"/>
      <c r="HRE115" s="181"/>
      <c r="HRF115" s="182"/>
      <c r="HRG115" s="181"/>
      <c r="HRH115" s="182"/>
      <c r="HRI115" s="181"/>
      <c r="HRJ115" s="182"/>
      <c r="HRK115" s="181"/>
      <c r="HRL115" s="182"/>
      <c r="HRM115" s="181"/>
      <c r="HRN115" s="182"/>
      <c r="HRO115" s="181"/>
      <c r="HRP115" s="182"/>
      <c r="HRQ115" s="181"/>
      <c r="HRR115" s="182"/>
      <c r="HRS115" s="181"/>
      <c r="HRT115" s="182"/>
      <c r="HRU115" s="181"/>
      <c r="HRV115" s="182"/>
      <c r="HRW115" s="181"/>
      <c r="HRX115" s="182"/>
      <c r="HRY115" s="181"/>
      <c r="HRZ115" s="182"/>
      <c r="HSA115" s="181"/>
      <c r="HSB115" s="182"/>
      <c r="HSC115" s="181"/>
      <c r="HSD115" s="182"/>
      <c r="HSE115" s="181"/>
      <c r="HSF115" s="182"/>
      <c r="HSG115" s="181"/>
      <c r="HSH115" s="182"/>
      <c r="HSI115" s="181"/>
      <c r="HSJ115" s="182"/>
      <c r="HSK115" s="181"/>
      <c r="HSL115" s="182"/>
      <c r="HSM115" s="181"/>
      <c r="HSN115" s="182"/>
      <c r="HSO115" s="181"/>
      <c r="HSP115" s="182"/>
      <c r="HSQ115" s="181"/>
      <c r="HSR115" s="182"/>
      <c r="HSS115" s="181"/>
      <c r="HST115" s="182"/>
      <c r="HSU115" s="181"/>
      <c r="HSV115" s="182"/>
      <c r="HSW115" s="181"/>
      <c r="HSX115" s="182"/>
      <c r="HSY115" s="181"/>
      <c r="HSZ115" s="182"/>
      <c r="HTA115" s="181"/>
      <c r="HTB115" s="182"/>
      <c r="HTC115" s="181"/>
      <c r="HTD115" s="182"/>
      <c r="HTE115" s="181"/>
      <c r="HTF115" s="182"/>
      <c r="HTG115" s="181"/>
      <c r="HTH115" s="182"/>
      <c r="HTI115" s="181"/>
      <c r="HTJ115" s="182"/>
      <c r="HTK115" s="181"/>
      <c r="HTL115" s="182"/>
      <c r="HTM115" s="181"/>
      <c r="HTN115" s="182"/>
      <c r="HTO115" s="181"/>
      <c r="HTP115" s="182"/>
      <c r="HTQ115" s="181"/>
      <c r="HTR115" s="182"/>
      <c r="HTS115" s="181"/>
      <c r="HTT115" s="182"/>
      <c r="HTU115" s="181"/>
      <c r="HTV115" s="182"/>
      <c r="HTW115" s="181"/>
      <c r="HTX115" s="182"/>
      <c r="HTY115" s="181"/>
      <c r="HTZ115" s="182"/>
      <c r="HUA115" s="181"/>
      <c r="HUB115" s="182"/>
      <c r="HUC115" s="181"/>
      <c r="HUD115" s="182"/>
      <c r="HUE115" s="181"/>
      <c r="HUF115" s="182"/>
      <c r="HUG115" s="181"/>
      <c r="HUH115" s="182"/>
      <c r="HUI115" s="181"/>
      <c r="HUJ115" s="182"/>
      <c r="HUK115" s="181"/>
      <c r="HUL115" s="182"/>
      <c r="HUM115" s="181"/>
      <c r="HUN115" s="182"/>
      <c r="HUO115" s="181"/>
      <c r="HUP115" s="182"/>
      <c r="HUQ115" s="181"/>
      <c r="HUR115" s="182"/>
      <c r="HUS115" s="181"/>
      <c r="HUT115" s="182"/>
      <c r="HUU115" s="181"/>
      <c r="HUV115" s="182"/>
      <c r="HUW115" s="181"/>
      <c r="HUX115" s="182"/>
      <c r="HUY115" s="181"/>
      <c r="HUZ115" s="182"/>
      <c r="HVA115" s="181"/>
      <c r="HVB115" s="182"/>
      <c r="HVC115" s="181"/>
      <c r="HVD115" s="182"/>
      <c r="HVE115" s="181"/>
      <c r="HVF115" s="182"/>
      <c r="HVG115" s="181"/>
      <c r="HVH115" s="182"/>
      <c r="HVI115" s="181"/>
      <c r="HVJ115" s="182"/>
      <c r="HVK115" s="181"/>
      <c r="HVL115" s="182"/>
      <c r="HVM115" s="181"/>
      <c r="HVN115" s="182"/>
      <c r="HVO115" s="181"/>
      <c r="HVP115" s="182"/>
      <c r="HVQ115" s="181"/>
      <c r="HVR115" s="182"/>
      <c r="HVS115" s="181"/>
      <c r="HVT115" s="182"/>
      <c r="HVU115" s="181"/>
      <c r="HVV115" s="182"/>
      <c r="HVW115" s="181"/>
      <c r="HVX115" s="182"/>
      <c r="HVY115" s="181"/>
      <c r="HVZ115" s="182"/>
      <c r="HWA115" s="181"/>
      <c r="HWB115" s="182"/>
      <c r="HWC115" s="181"/>
      <c r="HWD115" s="182"/>
      <c r="HWE115" s="181"/>
      <c r="HWF115" s="182"/>
      <c r="HWG115" s="181"/>
      <c r="HWH115" s="182"/>
      <c r="HWI115" s="181"/>
      <c r="HWJ115" s="182"/>
      <c r="HWK115" s="181"/>
      <c r="HWL115" s="182"/>
      <c r="HWM115" s="181"/>
      <c r="HWN115" s="182"/>
      <c r="HWO115" s="181"/>
      <c r="HWP115" s="182"/>
      <c r="HWQ115" s="181"/>
      <c r="HWR115" s="182"/>
      <c r="HWS115" s="181"/>
      <c r="HWT115" s="182"/>
      <c r="HWU115" s="181"/>
      <c r="HWV115" s="182"/>
      <c r="HWW115" s="181"/>
      <c r="HWX115" s="182"/>
      <c r="HWY115" s="181"/>
      <c r="HWZ115" s="182"/>
      <c r="HXA115" s="181"/>
      <c r="HXB115" s="182"/>
      <c r="HXC115" s="181"/>
      <c r="HXD115" s="182"/>
      <c r="HXE115" s="181"/>
      <c r="HXF115" s="182"/>
      <c r="HXG115" s="181"/>
      <c r="HXH115" s="182"/>
      <c r="HXI115" s="181"/>
      <c r="HXJ115" s="182"/>
      <c r="HXK115" s="181"/>
      <c r="HXL115" s="182"/>
      <c r="HXM115" s="181"/>
      <c r="HXN115" s="182"/>
      <c r="HXO115" s="181"/>
      <c r="HXP115" s="182"/>
      <c r="HXQ115" s="181"/>
      <c r="HXR115" s="182"/>
      <c r="HXS115" s="181"/>
      <c r="HXT115" s="182"/>
      <c r="HXU115" s="181"/>
      <c r="HXV115" s="182"/>
      <c r="HXW115" s="181"/>
      <c r="HXX115" s="182"/>
      <c r="HXY115" s="181"/>
      <c r="HXZ115" s="182"/>
      <c r="HYA115" s="181"/>
      <c r="HYB115" s="182"/>
      <c r="HYC115" s="181"/>
      <c r="HYD115" s="182"/>
      <c r="HYE115" s="181"/>
      <c r="HYF115" s="182"/>
      <c r="HYG115" s="181"/>
      <c r="HYH115" s="182"/>
      <c r="HYI115" s="181"/>
      <c r="HYJ115" s="182"/>
      <c r="HYK115" s="181"/>
      <c r="HYL115" s="182"/>
      <c r="HYM115" s="181"/>
      <c r="HYN115" s="182"/>
      <c r="HYO115" s="181"/>
      <c r="HYP115" s="182"/>
      <c r="HYQ115" s="181"/>
      <c r="HYR115" s="182"/>
      <c r="HYS115" s="181"/>
      <c r="HYT115" s="182"/>
      <c r="HYU115" s="181"/>
      <c r="HYV115" s="182"/>
      <c r="HYW115" s="181"/>
      <c r="HYX115" s="182"/>
      <c r="HYY115" s="181"/>
      <c r="HYZ115" s="182"/>
      <c r="HZA115" s="181"/>
      <c r="HZB115" s="182"/>
      <c r="HZC115" s="181"/>
      <c r="HZD115" s="182"/>
      <c r="HZE115" s="181"/>
      <c r="HZF115" s="182"/>
      <c r="HZG115" s="181"/>
      <c r="HZH115" s="182"/>
      <c r="HZI115" s="181"/>
      <c r="HZJ115" s="182"/>
      <c r="HZK115" s="181"/>
      <c r="HZL115" s="182"/>
      <c r="HZM115" s="181"/>
      <c r="HZN115" s="182"/>
      <c r="HZO115" s="181"/>
      <c r="HZP115" s="182"/>
      <c r="HZQ115" s="181"/>
      <c r="HZR115" s="182"/>
      <c r="HZS115" s="181"/>
      <c r="HZT115" s="182"/>
      <c r="HZU115" s="181"/>
      <c r="HZV115" s="182"/>
      <c r="HZW115" s="181"/>
      <c r="HZX115" s="182"/>
      <c r="HZY115" s="181"/>
      <c r="HZZ115" s="182"/>
      <c r="IAA115" s="181"/>
      <c r="IAB115" s="182"/>
      <c r="IAC115" s="181"/>
      <c r="IAD115" s="182"/>
      <c r="IAE115" s="181"/>
      <c r="IAF115" s="182"/>
      <c r="IAG115" s="181"/>
      <c r="IAH115" s="182"/>
      <c r="IAI115" s="181"/>
      <c r="IAJ115" s="182"/>
      <c r="IAK115" s="181"/>
      <c r="IAL115" s="182"/>
      <c r="IAM115" s="181"/>
      <c r="IAN115" s="182"/>
      <c r="IAO115" s="181"/>
      <c r="IAP115" s="182"/>
      <c r="IAQ115" s="181"/>
      <c r="IAR115" s="182"/>
      <c r="IAS115" s="181"/>
      <c r="IAT115" s="182"/>
      <c r="IAU115" s="181"/>
      <c r="IAV115" s="182"/>
      <c r="IAW115" s="181"/>
      <c r="IAX115" s="182"/>
      <c r="IAY115" s="181"/>
      <c r="IAZ115" s="182"/>
      <c r="IBA115" s="181"/>
      <c r="IBB115" s="182"/>
      <c r="IBC115" s="181"/>
      <c r="IBD115" s="182"/>
      <c r="IBE115" s="181"/>
      <c r="IBF115" s="182"/>
      <c r="IBG115" s="181"/>
      <c r="IBH115" s="182"/>
      <c r="IBI115" s="181"/>
      <c r="IBJ115" s="182"/>
      <c r="IBK115" s="181"/>
      <c r="IBL115" s="182"/>
      <c r="IBM115" s="181"/>
      <c r="IBN115" s="182"/>
      <c r="IBO115" s="181"/>
      <c r="IBP115" s="182"/>
      <c r="IBQ115" s="181"/>
      <c r="IBR115" s="182"/>
      <c r="IBS115" s="181"/>
      <c r="IBT115" s="182"/>
      <c r="IBU115" s="181"/>
      <c r="IBV115" s="182"/>
      <c r="IBW115" s="181"/>
      <c r="IBX115" s="182"/>
      <c r="IBY115" s="181"/>
      <c r="IBZ115" s="182"/>
      <c r="ICA115" s="181"/>
      <c r="ICB115" s="182"/>
      <c r="ICC115" s="181"/>
      <c r="ICD115" s="182"/>
      <c r="ICE115" s="181"/>
      <c r="ICF115" s="182"/>
      <c r="ICG115" s="181"/>
      <c r="ICH115" s="182"/>
      <c r="ICI115" s="181"/>
      <c r="ICJ115" s="182"/>
      <c r="ICK115" s="181"/>
      <c r="ICL115" s="182"/>
      <c r="ICM115" s="181"/>
      <c r="ICN115" s="182"/>
      <c r="ICO115" s="181"/>
      <c r="ICP115" s="182"/>
      <c r="ICQ115" s="181"/>
      <c r="ICR115" s="182"/>
      <c r="ICS115" s="181"/>
      <c r="ICT115" s="182"/>
      <c r="ICU115" s="181"/>
      <c r="ICV115" s="182"/>
      <c r="ICW115" s="181"/>
      <c r="ICX115" s="182"/>
      <c r="ICY115" s="181"/>
      <c r="ICZ115" s="182"/>
      <c r="IDA115" s="181"/>
      <c r="IDB115" s="182"/>
      <c r="IDC115" s="181"/>
      <c r="IDD115" s="182"/>
      <c r="IDE115" s="181"/>
      <c r="IDF115" s="182"/>
      <c r="IDG115" s="181"/>
      <c r="IDH115" s="182"/>
      <c r="IDI115" s="181"/>
      <c r="IDJ115" s="182"/>
      <c r="IDK115" s="181"/>
      <c r="IDL115" s="182"/>
      <c r="IDM115" s="181"/>
      <c r="IDN115" s="182"/>
      <c r="IDO115" s="181"/>
      <c r="IDP115" s="182"/>
      <c r="IDQ115" s="181"/>
      <c r="IDR115" s="182"/>
      <c r="IDS115" s="181"/>
      <c r="IDT115" s="182"/>
      <c r="IDU115" s="181"/>
      <c r="IDV115" s="182"/>
      <c r="IDW115" s="181"/>
      <c r="IDX115" s="182"/>
      <c r="IDY115" s="181"/>
      <c r="IDZ115" s="182"/>
      <c r="IEA115" s="181"/>
      <c r="IEB115" s="182"/>
      <c r="IEC115" s="181"/>
      <c r="IED115" s="182"/>
      <c r="IEE115" s="181"/>
      <c r="IEF115" s="182"/>
      <c r="IEG115" s="181"/>
      <c r="IEH115" s="182"/>
      <c r="IEI115" s="181"/>
      <c r="IEJ115" s="182"/>
      <c r="IEK115" s="181"/>
      <c r="IEL115" s="182"/>
      <c r="IEM115" s="181"/>
      <c r="IEN115" s="182"/>
      <c r="IEO115" s="181"/>
      <c r="IEP115" s="182"/>
      <c r="IEQ115" s="181"/>
      <c r="IER115" s="182"/>
      <c r="IES115" s="181"/>
      <c r="IET115" s="182"/>
      <c r="IEU115" s="181"/>
      <c r="IEV115" s="182"/>
      <c r="IEW115" s="181"/>
      <c r="IEX115" s="182"/>
      <c r="IEY115" s="181"/>
      <c r="IEZ115" s="182"/>
      <c r="IFA115" s="181"/>
      <c r="IFB115" s="182"/>
      <c r="IFC115" s="181"/>
      <c r="IFD115" s="182"/>
      <c r="IFE115" s="181"/>
      <c r="IFF115" s="182"/>
      <c r="IFG115" s="181"/>
      <c r="IFH115" s="182"/>
      <c r="IFI115" s="181"/>
      <c r="IFJ115" s="182"/>
      <c r="IFK115" s="181"/>
      <c r="IFL115" s="182"/>
      <c r="IFM115" s="181"/>
      <c r="IFN115" s="182"/>
      <c r="IFO115" s="181"/>
      <c r="IFP115" s="182"/>
      <c r="IFQ115" s="181"/>
      <c r="IFR115" s="182"/>
      <c r="IFS115" s="181"/>
      <c r="IFT115" s="182"/>
      <c r="IFU115" s="181"/>
      <c r="IFV115" s="182"/>
      <c r="IFW115" s="181"/>
      <c r="IFX115" s="182"/>
      <c r="IFY115" s="181"/>
      <c r="IFZ115" s="182"/>
      <c r="IGA115" s="181"/>
      <c r="IGB115" s="182"/>
      <c r="IGC115" s="181"/>
      <c r="IGD115" s="182"/>
      <c r="IGE115" s="181"/>
      <c r="IGF115" s="182"/>
      <c r="IGG115" s="181"/>
      <c r="IGH115" s="182"/>
      <c r="IGI115" s="181"/>
      <c r="IGJ115" s="182"/>
      <c r="IGK115" s="181"/>
      <c r="IGL115" s="182"/>
      <c r="IGM115" s="181"/>
      <c r="IGN115" s="182"/>
      <c r="IGO115" s="181"/>
      <c r="IGP115" s="182"/>
      <c r="IGQ115" s="181"/>
      <c r="IGR115" s="182"/>
      <c r="IGS115" s="181"/>
      <c r="IGT115" s="182"/>
      <c r="IGU115" s="181"/>
      <c r="IGV115" s="182"/>
      <c r="IGW115" s="181"/>
      <c r="IGX115" s="182"/>
      <c r="IGY115" s="181"/>
      <c r="IGZ115" s="182"/>
      <c r="IHA115" s="181"/>
      <c r="IHB115" s="182"/>
      <c r="IHC115" s="181"/>
      <c r="IHD115" s="182"/>
      <c r="IHE115" s="181"/>
      <c r="IHF115" s="182"/>
      <c r="IHG115" s="181"/>
      <c r="IHH115" s="182"/>
      <c r="IHI115" s="181"/>
      <c r="IHJ115" s="182"/>
      <c r="IHK115" s="181"/>
      <c r="IHL115" s="182"/>
      <c r="IHM115" s="181"/>
      <c r="IHN115" s="182"/>
      <c r="IHO115" s="181"/>
      <c r="IHP115" s="182"/>
      <c r="IHQ115" s="181"/>
      <c r="IHR115" s="182"/>
      <c r="IHS115" s="181"/>
      <c r="IHT115" s="182"/>
      <c r="IHU115" s="181"/>
      <c r="IHV115" s="182"/>
      <c r="IHW115" s="181"/>
      <c r="IHX115" s="182"/>
      <c r="IHY115" s="181"/>
      <c r="IHZ115" s="182"/>
      <c r="IIA115" s="181"/>
      <c r="IIB115" s="182"/>
      <c r="IIC115" s="181"/>
      <c r="IID115" s="182"/>
      <c r="IIE115" s="181"/>
      <c r="IIF115" s="182"/>
      <c r="IIG115" s="181"/>
      <c r="IIH115" s="182"/>
      <c r="III115" s="181"/>
      <c r="IIJ115" s="182"/>
      <c r="IIK115" s="181"/>
      <c r="IIL115" s="182"/>
      <c r="IIM115" s="181"/>
      <c r="IIN115" s="182"/>
      <c r="IIO115" s="181"/>
      <c r="IIP115" s="182"/>
      <c r="IIQ115" s="181"/>
      <c r="IIR115" s="182"/>
      <c r="IIS115" s="181"/>
      <c r="IIT115" s="182"/>
      <c r="IIU115" s="181"/>
      <c r="IIV115" s="182"/>
      <c r="IIW115" s="181"/>
      <c r="IIX115" s="182"/>
      <c r="IIY115" s="181"/>
      <c r="IIZ115" s="182"/>
      <c r="IJA115" s="181"/>
      <c r="IJB115" s="182"/>
      <c r="IJC115" s="181"/>
      <c r="IJD115" s="182"/>
      <c r="IJE115" s="181"/>
      <c r="IJF115" s="182"/>
      <c r="IJG115" s="181"/>
      <c r="IJH115" s="182"/>
      <c r="IJI115" s="181"/>
      <c r="IJJ115" s="182"/>
      <c r="IJK115" s="181"/>
      <c r="IJL115" s="182"/>
      <c r="IJM115" s="181"/>
      <c r="IJN115" s="182"/>
      <c r="IJO115" s="181"/>
      <c r="IJP115" s="182"/>
      <c r="IJQ115" s="181"/>
      <c r="IJR115" s="182"/>
      <c r="IJS115" s="181"/>
      <c r="IJT115" s="182"/>
      <c r="IJU115" s="181"/>
      <c r="IJV115" s="182"/>
      <c r="IJW115" s="181"/>
      <c r="IJX115" s="182"/>
      <c r="IJY115" s="181"/>
      <c r="IJZ115" s="182"/>
      <c r="IKA115" s="181"/>
      <c r="IKB115" s="182"/>
      <c r="IKC115" s="181"/>
      <c r="IKD115" s="182"/>
      <c r="IKE115" s="181"/>
      <c r="IKF115" s="182"/>
      <c r="IKG115" s="181"/>
      <c r="IKH115" s="182"/>
      <c r="IKI115" s="181"/>
      <c r="IKJ115" s="182"/>
      <c r="IKK115" s="181"/>
      <c r="IKL115" s="182"/>
      <c r="IKM115" s="181"/>
      <c r="IKN115" s="182"/>
      <c r="IKO115" s="181"/>
      <c r="IKP115" s="182"/>
      <c r="IKQ115" s="181"/>
      <c r="IKR115" s="182"/>
      <c r="IKS115" s="181"/>
      <c r="IKT115" s="182"/>
      <c r="IKU115" s="181"/>
      <c r="IKV115" s="182"/>
      <c r="IKW115" s="181"/>
      <c r="IKX115" s="182"/>
      <c r="IKY115" s="181"/>
      <c r="IKZ115" s="182"/>
      <c r="ILA115" s="181"/>
      <c r="ILB115" s="182"/>
      <c r="ILC115" s="181"/>
      <c r="ILD115" s="182"/>
      <c r="ILE115" s="181"/>
      <c r="ILF115" s="182"/>
      <c r="ILG115" s="181"/>
      <c r="ILH115" s="182"/>
      <c r="ILI115" s="181"/>
      <c r="ILJ115" s="182"/>
      <c r="ILK115" s="181"/>
      <c r="ILL115" s="182"/>
      <c r="ILM115" s="181"/>
      <c r="ILN115" s="182"/>
      <c r="ILO115" s="181"/>
      <c r="ILP115" s="182"/>
      <c r="ILQ115" s="181"/>
      <c r="ILR115" s="182"/>
      <c r="ILS115" s="181"/>
      <c r="ILT115" s="182"/>
      <c r="ILU115" s="181"/>
      <c r="ILV115" s="182"/>
      <c r="ILW115" s="181"/>
      <c r="ILX115" s="182"/>
      <c r="ILY115" s="181"/>
      <c r="ILZ115" s="182"/>
      <c r="IMA115" s="181"/>
      <c r="IMB115" s="182"/>
      <c r="IMC115" s="181"/>
      <c r="IMD115" s="182"/>
      <c r="IME115" s="181"/>
      <c r="IMF115" s="182"/>
      <c r="IMG115" s="181"/>
      <c r="IMH115" s="182"/>
      <c r="IMI115" s="181"/>
      <c r="IMJ115" s="182"/>
      <c r="IMK115" s="181"/>
      <c r="IML115" s="182"/>
      <c r="IMM115" s="181"/>
      <c r="IMN115" s="182"/>
      <c r="IMO115" s="181"/>
      <c r="IMP115" s="182"/>
      <c r="IMQ115" s="181"/>
      <c r="IMR115" s="182"/>
      <c r="IMS115" s="181"/>
      <c r="IMT115" s="182"/>
      <c r="IMU115" s="181"/>
      <c r="IMV115" s="182"/>
      <c r="IMW115" s="181"/>
      <c r="IMX115" s="182"/>
      <c r="IMY115" s="181"/>
      <c r="IMZ115" s="182"/>
      <c r="INA115" s="181"/>
      <c r="INB115" s="182"/>
      <c r="INC115" s="181"/>
      <c r="IND115" s="182"/>
      <c r="INE115" s="181"/>
      <c r="INF115" s="182"/>
      <c r="ING115" s="181"/>
      <c r="INH115" s="182"/>
      <c r="INI115" s="181"/>
      <c r="INJ115" s="182"/>
      <c r="INK115" s="181"/>
      <c r="INL115" s="182"/>
      <c r="INM115" s="181"/>
      <c r="INN115" s="182"/>
      <c r="INO115" s="181"/>
      <c r="INP115" s="182"/>
      <c r="INQ115" s="181"/>
      <c r="INR115" s="182"/>
      <c r="INS115" s="181"/>
      <c r="INT115" s="182"/>
      <c r="INU115" s="181"/>
      <c r="INV115" s="182"/>
      <c r="INW115" s="181"/>
      <c r="INX115" s="182"/>
      <c r="INY115" s="181"/>
      <c r="INZ115" s="182"/>
      <c r="IOA115" s="181"/>
      <c r="IOB115" s="182"/>
      <c r="IOC115" s="181"/>
      <c r="IOD115" s="182"/>
      <c r="IOE115" s="181"/>
      <c r="IOF115" s="182"/>
      <c r="IOG115" s="181"/>
      <c r="IOH115" s="182"/>
      <c r="IOI115" s="181"/>
      <c r="IOJ115" s="182"/>
      <c r="IOK115" s="181"/>
      <c r="IOL115" s="182"/>
      <c r="IOM115" s="181"/>
      <c r="ION115" s="182"/>
      <c r="IOO115" s="181"/>
      <c r="IOP115" s="182"/>
      <c r="IOQ115" s="181"/>
      <c r="IOR115" s="182"/>
      <c r="IOS115" s="181"/>
      <c r="IOT115" s="182"/>
      <c r="IOU115" s="181"/>
      <c r="IOV115" s="182"/>
      <c r="IOW115" s="181"/>
      <c r="IOX115" s="182"/>
      <c r="IOY115" s="181"/>
      <c r="IOZ115" s="182"/>
      <c r="IPA115" s="181"/>
      <c r="IPB115" s="182"/>
      <c r="IPC115" s="181"/>
      <c r="IPD115" s="182"/>
      <c r="IPE115" s="181"/>
      <c r="IPF115" s="182"/>
      <c r="IPG115" s="181"/>
      <c r="IPH115" s="182"/>
      <c r="IPI115" s="181"/>
      <c r="IPJ115" s="182"/>
      <c r="IPK115" s="181"/>
      <c r="IPL115" s="182"/>
      <c r="IPM115" s="181"/>
      <c r="IPN115" s="182"/>
      <c r="IPO115" s="181"/>
      <c r="IPP115" s="182"/>
      <c r="IPQ115" s="181"/>
      <c r="IPR115" s="182"/>
      <c r="IPS115" s="181"/>
      <c r="IPT115" s="182"/>
      <c r="IPU115" s="181"/>
      <c r="IPV115" s="182"/>
      <c r="IPW115" s="181"/>
      <c r="IPX115" s="182"/>
      <c r="IPY115" s="181"/>
      <c r="IPZ115" s="182"/>
      <c r="IQA115" s="181"/>
      <c r="IQB115" s="182"/>
      <c r="IQC115" s="181"/>
      <c r="IQD115" s="182"/>
      <c r="IQE115" s="181"/>
      <c r="IQF115" s="182"/>
      <c r="IQG115" s="181"/>
      <c r="IQH115" s="182"/>
      <c r="IQI115" s="181"/>
      <c r="IQJ115" s="182"/>
      <c r="IQK115" s="181"/>
      <c r="IQL115" s="182"/>
      <c r="IQM115" s="181"/>
      <c r="IQN115" s="182"/>
      <c r="IQO115" s="181"/>
      <c r="IQP115" s="182"/>
      <c r="IQQ115" s="181"/>
      <c r="IQR115" s="182"/>
      <c r="IQS115" s="181"/>
      <c r="IQT115" s="182"/>
      <c r="IQU115" s="181"/>
      <c r="IQV115" s="182"/>
      <c r="IQW115" s="181"/>
      <c r="IQX115" s="182"/>
      <c r="IQY115" s="181"/>
      <c r="IQZ115" s="182"/>
      <c r="IRA115" s="181"/>
      <c r="IRB115" s="182"/>
      <c r="IRC115" s="181"/>
      <c r="IRD115" s="182"/>
      <c r="IRE115" s="181"/>
      <c r="IRF115" s="182"/>
      <c r="IRG115" s="181"/>
      <c r="IRH115" s="182"/>
      <c r="IRI115" s="181"/>
      <c r="IRJ115" s="182"/>
      <c r="IRK115" s="181"/>
      <c r="IRL115" s="182"/>
      <c r="IRM115" s="181"/>
      <c r="IRN115" s="182"/>
      <c r="IRO115" s="181"/>
      <c r="IRP115" s="182"/>
      <c r="IRQ115" s="181"/>
      <c r="IRR115" s="182"/>
      <c r="IRS115" s="181"/>
      <c r="IRT115" s="182"/>
      <c r="IRU115" s="181"/>
      <c r="IRV115" s="182"/>
      <c r="IRW115" s="181"/>
      <c r="IRX115" s="182"/>
      <c r="IRY115" s="181"/>
      <c r="IRZ115" s="182"/>
      <c r="ISA115" s="181"/>
      <c r="ISB115" s="182"/>
      <c r="ISC115" s="181"/>
      <c r="ISD115" s="182"/>
      <c r="ISE115" s="181"/>
      <c r="ISF115" s="182"/>
      <c r="ISG115" s="181"/>
      <c r="ISH115" s="182"/>
      <c r="ISI115" s="181"/>
      <c r="ISJ115" s="182"/>
      <c r="ISK115" s="181"/>
      <c r="ISL115" s="182"/>
      <c r="ISM115" s="181"/>
      <c r="ISN115" s="182"/>
      <c r="ISO115" s="181"/>
      <c r="ISP115" s="182"/>
      <c r="ISQ115" s="181"/>
      <c r="ISR115" s="182"/>
      <c r="ISS115" s="181"/>
      <c r="IST115" s="182"/>
      <c r="ISU115" s="181"/>
      <c r="ISV115" s="182"/>
      <c r="ISW115" s="181"/>
      <c r="ISX115" s="182"/>
      <c r="ISY115" s="181"/>
      <c r="ISZ115" s="182"/>
      <c r="ITA115" s="181"/>
      <c r="ITB115" s="182"/>
      <c r="ITC115" s="181"/>
      <c r="ITD115" s="182"/>
      <c r="ITE115" s="181"/>
      <c r="ITF115" s="182"/>
      <c r="ITG115" s="181"/>
      <c r="ITH115" s="182"/>
      <c r="ITI115" s="181"/>
      <c r="ITJ115" s="182"/>
      <c r="ITK115" s="181"/>
      <c r="ITL115" s="182"/>
      <c r="ITM115" s="181"/>
      <c r="ITN115" s="182"/>
      <c r="ITO115" s="181"/>
      <c r="ITP115" s="182"/>
      <c r="ITQ115" s="181"/>
      <c r="ITR115" s="182"/>
      <c r="ITS115" s="181"/>
      <c r="ITT115" s="182"/>
      <c r="ITU115" s="181"/>
      <c r="ITV115" s="182"/>
      <c r="ITW115" s="181"/>
      <c r="ITX115" s="182"/>
      <c r="ITY115" s="181"/>
      <c r="ITZ115" s="182"/>
      <c r="IUA115" s="181"/>
      <c r="IUB115" s="182"/>
      <c r="IUC115" s="181"/>
      <c r="IUD115" s="182"/>
      <c r="IUE115" s="181"/>
      <c r="IUF115" s="182"/>
      <c r="IUG115" s="181"/>
      <c r="IUH115" s="182"/>
      <c r="IUI115" s="181"/>
      <c r="IUJ115" s="182"/>
      <c r="IUK115" s="181"/>
      <c r="IUL115" s="182"/>
      <c r="IUM115" s="181"/>
      <c r="IUN115" s="182"/>
      <c r="IUO115" s="181"/>
      <c r="IUP115" s="182"/>
      <c r="IUQ115" s="181"/>
      <c r="IUR115" s="182"/>
      <c r="IUS115" s="181"/>
      <c r="IUT115" s="182"/>
      <c r="IUU115" s="181"/>
      <c r="IUV115" s="182"/>
      <c r="IUW115" s="181"/>
      <c r="IUX115" s="182"/>
      <c r="IUY115" s="181"/>
      <c r="IUZ115" s="182"/>
      <c r="IVA115" s="181"/>
      <c r="IVB115" s="182"/>
      <c r="IVC115" s="181"/>
      <c r="IVD115" s="182"/>
      <c r="IVE115" s="181"/>
      <c r="IVF115" s="182"/>
      <c r="IVG115" s="181"/>
      <c r="IVH115" s="182"/>
      <c r="IVI115" s="181"/>
      <c r="IVJ115" s="182"/>
      <c r="IVK115" s="181"/>
      <c r="IVL115" s="182"/>
      <c r="IVM115" s="181"/>
      <c r="IVN115" s="182"/>
      <c r="IVO115" s="181"/>
      <c r="IVP115" s="182"/>
      <c r="IVQ115" s="181"/>
      <c r="IVR115" s="182"/>
      <c r="IVS115" s="181"/>
      <c r="IVT115" s="182"/>
      <c r="IVU115" s="181"/>
      <c r="IVV115" s="182"/>
      <c r="IVW115" s="181"/>
      <c r="IVX115" s="182"/>
      <c r="IVY115" s="181"/>
      <c r="IVZ115" s="182"/>
      <c r="IWA115" s="181"/>
      <c r="IWB115" s="182"/>
      <c r="IWC115" s="181"/>
      <c r="IWD115" s="182"/>
      <c r="IWE115" s="181"/>
      <c r="IWF115" s="182"/>
      <c r="IWG115" s="181"/>
      <c r="IWH115" s="182"/>
      <c r="IWI115" s="181"/>
      <c r="IWJ115" s="182"/>
      <c r="IWK115" s="181"/>
      <c r="IWL115" s="182"/>
      <c r="IWM115" s="181"/>
      <c r="IWN115" s="182"/>
      <c r="IWO115" s="181"/>
      <c r="IWP115" s="182"/>
      <c r="IWQ115" s="181"/>
      <c r="IWR115" s="182"/>
      <c r="IWS115" s="181"/>
      <c r="IWT115" s="182"/>
      <c r="IWU115" s="181"/>
      <c r="IWV115" s="182"/>
      <c r="IWW115" s="181"/>
      <c r="IWX115" s="182"/>
      <c r="IWY115" s="181"/>
      <c r="IWZ115" s="182"/>
      <c r="IXA115" s="181"/>
      <c r="IXB115" s="182"/>
      <c r="IXC115" s="181"/>
      <c r="IXD115" s="182"/>
      <c r="IXE115" s="181"/>
      <c r="IXF115" s="182"/>
      <c r="IXG115" s="181"/>
      <c r="IXH115" s="182"/>
      <c r="IXI115" s="181"/>
      <c r="IXJ115" s="182"/>
      <c r="IXK115" s="181"/>
      <c r="IXL115" s="182"/>
      <c r="IXM115" s="181"/>
      <c r="IXN115" s="182"/>
      <c r="IXO115" s="181"/>
      <c r="IXP115" s="182"/>
      <c r="IXQ115" s="181"/>
      <c r="IXR115" s="182"/>
      <c r="IXS115" s="181"/>
      <c r="IXT115" s="182"/>
      <c r="IXU115" s="181"/>
      <c r="IXV115" s="182"/>
      <c r="IXW115" s="181"/>
      <c r="IXX115" s="182"/>
      <c r="IXY115" s="181"/>
      <c r="IXZ115" s="182"/>
      <c r="IYA115" s="181"/>
      <c r="IYB115" s="182"/>
      <c r="IYC115" s="181"/>
      <c r="IYD115" s="182"/>
      <c r="IYE115" s="181"/>
      <c r="IYF115" s="182"/>
      <c r="IYG115" s="181"/>
      <c r="IYH115" s="182"/>
      <c r="IYI115" s="181"/>
      <c r="IYJ115" s="182"/>
      <c r="IYK115" s="181"/>
      <c r="IYL115" s="182"/>
      <c r="IYM115" s="181"/>
      <c r="IYN115" s="182"/>
      <c r="IYO115" s="181"/>
      <c r="IYP115" s="182"/>
      <c r="IYQ115" s="181"/>
      <c r="IYR115" s="182"/>
      <c r="IYS115" s="181"/>
      <c r="IYT115" s="182"/>
      <c r="IYU115" s="181"/>
      <c r="IYV115" s="182"/>
      <c r="IYW115" s="181"/>
      <c r="IYX115" s="182"/>
      <c r="IYY115" s="181"/>
      <c r="IYZ115" s="182"/>
      <c r="IZA115" s="181"/>
      <c r="IZB115" s="182"/>
      <c r="IZC115" s="181"/>
      <c r="IZD115" s="182"/>
      <c r="IZE115" s="181"/>
      <c r="IZF115" s="182"/>
      <c r="IZG115" s="181"/>
      <c r="IZH115" s="182"/>
      <c r="IZI115" s="181"/>
      <c r="IZJ115" s="182"/>
      <c r="IZK115" s="181"/>
      <c r="IZL115" s="182"/>
      <c r="IZM115" s="181"/>
      <c r="IZN115" s="182"/>
      <c r="IZO115" s="181"/>
      <c r="IZP115" s="182"/>
      <c r="IZQ115" s="181"/>
      <c r="IZR115" s="182"/>
      <c r="IZS115" s="181"/>
      <c r="IZT115" s="182"/>
      <c r="IZU115" s="181"/>
      <c r="IZV115" s="182"/>
      <c r="IZW115" s="181"/>
      <c r="IZX115" s="182"/>
      <c r="IZY115" s="181"/>
      <c r="IZZ115" s="182"/>
      <c r="JAA115" s="181"/>
      <c r="JAB115" s="182"/>
      <c r="JAC115" s="181"/>
      <c r="JAD115" s="182"/>
      <c r="JAE115" s="181"/>
      <c r="JAF115" s="182"/>
      <c r="JAG115" s="181"/>
      <c r="JAH115" s="182"/>
      <c r="JAI115" s="181"/>
      <c r="JAJ115" s="182"/>
      <c r="JAK115" s="181"/>
      <c r="JAL115" s="182"/>
      <c r="JAM115" s="181"/>
      <c r="JAN115" s="182"/>
      <c r="JAO115" s="181"/>
      <c r="JAP115" s="182"/>
      <c r="JAQ115" s="181"/>
      <c r="JAR115" s="182"/>
      <c r="JAS115" s="181"/>
      <c r="JAT115" s="182"/>
      <c r="JAU115" s="181"/>
      <c r="JAV115" s="182"/>
      <c r="JAW115" s="181"/>
      <c r="JAX115" s="182"/>
      <c r="JAY115" s="181"/>
      <c r="JAZ115" s="182"/>
      <c r="JBA115" s="181"/>
      <c r="JBB115" s="182"/>
      <c r="JBC115" s="181"/>
      <c r="JBD115" s="182"/>
      <c r="JBE115" s="181"/>
      <c r="JBF115" s="182"/>
      <c r="JBG115" s="181"/>
      <c r="JBH115" s="182"/>
      <c r="JBI115" s="181"/>
      <c r="JBJ115" s="182"/>
      <c r="JBK115" s="181"/>
      <c r="JBL115" s="182"/>
      <c r="JBM115" s="181"/>
      <c r="JBN115" s="182"/>
      <c r="JBO115" s="181"/>
      <c r="JBP115" s="182"/>
      <c r="JBQ115" s="181"/>
      <c r="JBR115" s="182"/>
      <c r="JBS115" s="181"/>
      <c r="JBT115" s="182"/>
      <c r="JBU115" s="181"/>
      <c r="JBV115" s="182"/>
      <c r="JBW115" s="181"/>
      <c r="JBX115" s="182"/>
      <c r="JBY115" s="181"/>
      <c r="JBZ115" s="182"/>
      <c r="JCA115" s="181"/>
      <c r="JCB115" s="182"/>
      <c r="JCC115" s="181"/>
      <c r="JCD115" s="182"/>
      <c r="JCE115" s="181"/>
      <c r="JCF115" s="182"/>
      <c r="JCG115" s="181"/>
      <c r="JCH115" s="182"/>
      <c r="JCI115" s="181"/>
      <c r="JCJ115" s="182"/>
      <c r="JCK115" s="181"/>
      <c r="JCL115" s="182"/>
      <c r="JCM115" s="181"/>
      <c r="JCN115" s="182"/>
      <c r="JCO115" s="181"/>
      <c r="JCP115" s="182"/>
      <c r="JCQ115" s="181"/>
      <c r="JCR115" s="182"/>
      <c r="JCS115" s="181"/>
      <c r="JCT115" s="182"/>
      <c r="JCU115" s="181"/>
      <c r="JCV115" s="182"/>
      <c r="JCW115" s="181"/>
      <c r="JCX115" s="182"/>
      <c r="JCY115" s="181"/>
      <c r="JCZ115" s="182"/>
      <c r="JDA115" s="181"/>
      <c r="JDB115" s="182"/>
      <c r="JDC115" s="181"/>
      <c r="JDD115" s="182"/>
      <c r="JDE115" s="181"/>
      <c r="JDF115" s="182"/>
      <c r="JDG115" s="181"/>
      <c r="JDH115" s="182"/>
      <c r="JDI115" s="181"/>
      <c r="JDJ115" s="182"/>
      <c r="JDK115" s="181"/>
      <c r="JDL115" s="182"/>
      <c r="JDM115" s="181"/>
      <c r="JDN115" s="182"/>
      <c r="JDO115" s="181"/>
      <c r="JDP115" s="182"/>
      <c r="JDQ115" s="181"/>
      <c r="JDR115" s="182"/>
      <c r="JDS115" s="181"/>
      <c r="JDT115" s="182"/>
      <c r="JDU115" s="181"/>
      <c r="JDV115" s="182"/>
      <c r="JDW115" s="181"/>
      <c r="JDX115" s="182"/>
      <c r="JDY115" s="181"/>
      <c r="JDZ115" s="182"/>
      <c r="JEA115" s="181"/>
      <c r="JEB115" s="182"/>
      <c r="JEC115" s="181"/>
      <c r="JED115" s="182"/>
      <c r="JEE115" s="181"/>
      <c r="JEF115" s="182"/>
      <c r="JEG115" s="181"/>
      <c r="JEH115" s="182"/>
      <c r="JEI115" s="181"/>
      <c r="JEJ115" s="182"/>
      <c r="JEK115" s="181"/>
      <c r="JEL115" s="182"/>
      <c r="JEM115" s="181"/>
      <c r="JEN115" s="182"/>
      <c r="JEO115" s="181"/>
      <c r="JEP115" s="182"/>
      <c r="JEQ115" s="181"/>
      <c r="JER115" s="182"/>
      <c r="JES115" s="181"/>
      <c r="JET115" s="182"/>
      <c r="JEU115" s="181"/>
      <c r="JEV115" s="182"/>
      <c r="JEW115" s="181"/>
      <c r="JEX115" s="182"/>
      <c r="JEY115" s="181"/>
      <c r="JEZ115" s="182"/>
      <c r="JFA115" s="181"/>
      <c r="JFB115" s="182"/>
      <c r="JFC115" s="181"/>
      <c r="JFD115" s="182"/>
      <c r="JFE115" s="181"/>
      <c r="JFF115" s="182"/>
      <c r="JFG115" s="181"/>
      <c r="JFH115" s="182"/>
      <c r="JFI115" s="181"/>
      <c r="JFJ115" s="182"/>
      <c r="JFK115" s="181"/>
      <c r="JFL115" s="182"/>
      <c r="JFM115" s="181"/>
      <c r="JFN115" s="182"/>
      <c r="JFO115" s="181"/>
      <c r="JFP115" s="182"/>
      <c r="JFQ115" s="181"/>
      <c r="JFR115" s="182"/>
      <c r="JFS115" s="181"/>
      <c r="JFT115" s="182"/>
      <c r="JFU115" s="181"/>
      <c r="JFV115" s="182"/>
      <c r="JFW115" s="181"/>
      <c r="JFX115" s="182"/>
      <c r="JFY115" s="181"/>
      <c r="JFZ115" s="182"/>
      <c r="JGA115" s="181"/>
      <c r="JGB115" s="182"/>
      <c r="JGC115" s="181"/>
      <c r="JGD115" s="182"/>
      <c r="JGE115" s="181"/>
      <c r="JGF115" s="182"/>
      <c r="JGG115" s="181"/>
      <c r="JGH115" s="182"/>
      <c r="JGI115" s="181"/>
      <c r="JGJ115" s="182"/>
      <c r="JGK115" s="181"/>
      <c r="JGL115" s="182"/>
      <c r="JGM115" s="181"/>
      <c r="JGN115" s="182"/>
      <c r="JGO115" s="181"/>
      <c r="JGP115" s="182"/>
      <c r="JGQ115" s="181"/>
      <c r="JGR115" s="182"/>
      <c r="JGS115" s="181"/>
      <c r="JGT115" s="182"/>
      <c r="JGU115" s="181"/>
      <c r="JGV115" s="182"/>
      <c r="JGW115" s="181"/>
      <c r="JGX115" s="182"/>
      <c r="JGY115" s="181"/>
      <c r="JGZ115" s="182"/>
      <c r="JHA115" s="181"/>
      <c r="JHB115" s="182"/>
      <c r="JHC115" s="181"/>
      <c r="JHD115" s="182"/>
      <c r="JHE115" s="181"/>
      <c r="JHF115" s="182"/>
      <c r="JHG115" s="181"/>
      <c r="JHH115" s="182"/>
      <c r="JHI115" s="181"/>
      <c r="JHJ115" s="182"/>
      <c r="JHK115" s="181"/>
      <c r="JHL115" s="182"/>
      <c r="JHM115" s="181"/>
      <c r="JHN115" s="182"/>
      <c r="JHO115" s="181"/>
      <c r="JHP115" s="182"/>
      <c r="JHQ115" s="181"/>
      <c r="JHR115" s="182"/>
      <c r="JHS115" s="181"/>
      <c r="JHT115" s="182"/>
      <c r="JHU115" s="181"/>
      <c r="JHV115" s="182"/>
      <c r="JHW115" s="181"/>
      <c r="JHX115" s="182"/>
      <c r="JHY115" s="181"/>
      <c r="JHZ115" s="182"/>
      <c r="JIA115" s="181"/>
      <c r="JIB115" s="182"/>
      <c r="JIC115" s="181"/>
      <c r="JID115" s="182"/>
      <c r="JIE115" s="181"/>
      <c r="JIF115" s="182"/>
      <c r="JIG115" s="181"/>
      <c r="JIH115" s="182"/>
      <c r="JII115" s="181"/>
      <c r="JIJ115" s="182"/>
      <c r="JIK115" s="181"/>
      <c r="JIL115" s="182"/>
      <c r="JIM115" s="181"/>
      <c r="JIN115" s="182"/>
      <c r="JIO115" s="181"/>
      <c r="JIP115" s="182"/>
      <c r="JIQ115" s="181"/>
      <c r="JIR115" s="182"/>
      <c r="JIS115" s="181"/>
      <c r="JIT115" s="182"/>
      <c r="JIU115" s="181"/>
      <c r="JIV115" s="182"/>
      <c r="JIW115" s="181"/>
      <c r="JIX115" s="182"/>
      <c r="JIY115" s="181"/>
      <c r="JIZ115" s="182"/>
      <c r="JJA115" s="181"/>
      <c r="JJB115" s="182"/>
      <c r="JJC115" s="181"/>
      <c r="JJD115" s="182"/>
      <c r="JJE115" s="181"/>
      <c r="JJF115" s="182"/>
      <c r="JJG115" s="181"/>
      <c r="JJH115" s="182"/>
      <c r="JJI115" s="181"/>
      <c r="JJJ115" s="182"/>
      <c r="JJK115" s="181"/>
      <c r="JJL115" s="182"/>
      <c r="JJM115" s="181"/>
      <c r="JJN115" s="182"/>
      <c r="JJO115" s="181"/>
      <c r="JJP115" s="182"/>
      <c r="JJQ115" s="181"/>
      <c r="JJR115" s="182"/>
      <c r="JJS115" s="181"/>
      <c r="JJT115" s="182"/>
      <c r="JJU115" s="181"/>
      <c r="JJV115" s="182"/>
      <c r="JJW115" s="181"/>
      <c r="JJX115" s="182"/>
      <c r="JJY115" s="181"/>
      <c r="JJZ115" s="182"/>
      <c r="JKA115" s="181"/>
      <c r="JKB115" s="182"/>
      <c r="JKC115" s="181"/>
      <c r="JKD115" s="182"/>
      <c r="JKE115" s="181"/>
      <c r="JKF115" s="182"/>
      <c r="JKG115" s="181"/>
      <c r="JKH115" s="182"/>
      <c r="JKI115" s="181"/>
      <c r="JKJ115" s="182"/>
      <c r="JKK115" s="181"/>
      <c r="JKL115" s="182"/>
      <c r="JKM115" s="181"/>
      <c r="JKN115" s="182"/>
      <c r="JKO115" s="181"/>
      <c r="JKP115" s="182"/>
      <c r="JKQ115" s="181"/>
      <c r="JKR115" s="182"/>
      <c r="JKS115" s="181"/>
      <c r="JKT115" s="182"/>
      <c r="JKU115" s="181"/>
      <c r="JKV115" s="182"/>
      <c r="JKW115" s="181"/>
      <c r="JKX115" s="182"/>
      <c r="JKY115" s="181"/>
      <c r="JKZ115" s="182"/>
      <c r="JLA115" s="181"/>
      <c r="JLB115" s="182"/>
      <c r="JLC115" s="181"/>
      <c r="JLD115" s="182"/>
      <c r="JLE115" s="181"/>
      <c r="JLF115" s="182"/>
      <c r="JLG115" s="181"/>
      <c r="JLH115" s="182"/>
      <c r="JLI115" s="181"/>
      <c r="JLJ115" s="182"/>
      <c r="JLK115" s="181"/>
      <c r="JLL115" s="182"/>
      <c r="JLM115" s="181"/>
      <c r="JLN115" s="182"/>
      <c r="JLO115" s="181"/>
      <c r="JLP115" s="182"/>
      <c r="JLQ115" s="181"/>
      <c r="JLR115" s="182"/>
      <c r="JLS115" s="181"/>
      <c r="JLT115" s="182"/>
      <c r="JLU115" s="181"/>
      <c r="JLV115" s="182"/>
      <c r="JLW115" s="181"/>
      <c r="JLX115" s="182"/>
      <c r="JLY115" s="181"/>
      <c r="JLZ115" s="182"/>
      <c r="JMA115" s="181"/>
      <c r="JMB115" s="182"/>
      <c r="JMC115" s="181"/>
      <c r="JMD115" s="182"/>
      <c r="JME115" s="181"/>
      <c r="JMF115" s="182"/>
      <c r="JMG115" s="181"/>
      <c r="JMH115" s="182"/>
      <c r="JMI115" s="181"/>
      <c r="JMJ115" s="182"/>
      <c r="JMK115" s="181"/>
      <c r="JML115" s="182"/>
      <c r="JMM115" s="181"/>
      <c r="JMN115" s="182"/>
      <c r="JMO115" s="181"/>
      <c r="JMP115" s="182"/>
      <c r="JMQ115" s="181"/>
      <c r="JMR115" s="182"/>
      <c r="JMS115" s="181"/>
      <c r="JMT115" s="182"/>
      <c r="JMU115" s="181"/>
      <c r="JMV115" s="182"/>
      <c r="JMW115" s="181"/>
      <c r="JMX115" s="182"/>
      <c r="JMY115" s="181"/>
      <c r="JMZ115" s="182"/>
      <c r="JNA115" s="181"/>
      <c r="JNB115" s="182"/>
      <c r="JNC115" s="181"/>
      <c r="JND115" s="182"/>
      <c r="JNE115" s="181"/>
      <c r="JNF115" s="182"/>
      <c r="JNG115" s="181"/>
      <c r="JNH115" s="182"/>
      <c r="JNI115" s="181"/>
      <c r="JNJ115" s="182"/>
      <c r="JNK115" s="181"/>
      <c r="JNL115" s="182"/>
      <c r="JNM115" s="181"/>
      <c r="JNN115" s="182"/>
      <c r="JNO115" s="181"/>
      <c r="JNP115" s="182"/>
      <c r="JNQ115" s="181"/>
      <c r="JNR115" s="182"/>
      <c r="JNS115" s="181"/>
      <c r="JNT115" s="182"/>
      <c r="JNU115" s="181"/>
      <c r="JNV115" s="182"/>
      <c r="JNW115" s="181"/>
      <c r="JNX115" s="182"/>
      <c r="JNY115" s="181"/>
      <c r="JNZ115" s="182"/>
      <c r="JOA115" s="181"/>
      <c r="JOB115" s="182"/>
      <c r="JOC115" s="181"/>
      <c r="JOD115" s="182"/>
      <c r="JOE115" s="181"/>
      <c r="JOF115" s="182"/>
      <c r="JOG115" s="181"/>
      <c r="JOH115" s="182"/>
      <c r="JOI115" s="181"/>
      <c r="JOJ115" s="182"/>
      <c r="JOK115" s="181"/>
      <c r="JOL115" s="182"/>
      <c r="JOM115" s="181"/>
      <c r="JON115" s="182"/>
      <c r="JOO115" s="181"/>
      <c r="JOP115" s="182"/>
      <c r="JOQ115" s="181"/>
      <c r="JOR115" s="182"/>
      <c r="JOS115" s="181"/>
      <c r="JOT115" s="182"/>
      <c r="JOU115" s="181"/>
      <c r="JOV115" s="182"/>
      <c r="JOW115" s="181"/>
      <c r="JOX115" s="182"/>
      <c r="JOY115" s="181"/>
      <c r="JOZ115" s="182"/>
      <c r="JPA115" s="181"/>
      <c r="JPB115" s="182"/>
      <c r="JPC115" s="181"/>
      <c r="JPD115" s="182"/>
      <c r="JPE115" s="181"/>
      <c r="JPF115" s="182"/>
      <c r="JPG115" s="181"/>
      <c r="JPH115" s="182"/>
      <c r="JPI115" s="181"/>
      <c r="JPJ115" s="182"/>
      <c r="JPK115" s="181"/>
      <c r="JPL115" s="182"/>
      <c r="JPM115" s="181"/>
      <c r="JPN115" s="182"/>
      <c r="JPO115" s="181"/>
      <c r="JPP115" s="182"/>
      <c r="JPQ115" s="181"/>
      <c r="JPR115" s="182"/>
      <c r="JPS115" s="181"/>
      <c r="JPT115" s="182"/>
      <c r="JPU115" s="181"/>
      <c r="JPV115" s="182"/>
      <c r="JPW115" s="181"/>
      <c r="JPX115" s="182"/>
      <c r="JPY115" s="181"/>
      <c r="JPZ115" s="182"/>
      <c r="JQA115" s="181"/>
      <c r="JQB115" s="182"/>
      <c r="JQC115" s="181"/>
      <c r="JQD115" s="182"/>
      <c r="JQE115" s="181"/>
      <c r="JQF115" s="182"/>
      <c r="JQG115" s="181"/>
      <c r="JQH115" s="182"/>
      <c r="JQI115" s="181"/>
      <c r="JQJ115" s="182"/>
      <c r="JQK115" s="181"/>
      <c r="JQL115" s="182"/>
      <c r="JQM115" s="181"/>
      <c r="JQN115" s="182"/>
      <c r="JQO115" s="181"/>
      <c r="JQP115" s="182"/>
      <c r="JQQ115" s="181"/>
      <c r="JQR115" s="182"/>
      <c r="JQS115" s="181"/>
      <c r="JQT115" s="182"/>
      <c r="JQU115" s="181"/>
      <c r="JQV115" s="182"/>
      <c r="JQW115" s="181"/>
      <c r="JQX115" s="182"/>
      <c r="JQY115" s="181"/>
      <c r="JQZ115" s="182"/>
      <c r="JRA115" s="181"/>
      <c r="JRB115" s="182"/>
      <c r="JRC115" s="181"/>
      <c r="JRD115" s="182"/>
      <c r="JRE115" s="181"/>
      <c r="JRF115" s="182"/>
      <c r="JRG115" s="181"/>
      <c r="JRH115" s="182"/>
      <c r="JRI115" s="181"/>
      <c r="JRJ115" s="182"/>
      <c r="JRK115" s="181"/>
      <c r="JRL115" s="182"/>
      <c r="JRM115" s="181"/>
      <c r="JRN115" s="182"/>
      <c r="JRO115" s="181"/>
      <c r="JRP115" s="182"/>
      <c r="JRQ115" s="181"/>
      <c r="JRR115" s="182"/>
      <c r="JRS115" s="181"/>
      <c r="JRT115" s="182"/>
      <c r="JRU115" s="181"/>
      <c r="JRV115" s="182"/>
      <c r="JRW115" s="181"/>
      <c r="JRX115" s="182"/>
      <c r="JRY115" s="181"/>
      <c r="JRZ115" s="182"/>
      <c r="JSA115" s="181"/>
      <c r="JSB115" s="182"/>
      <c r="JSC115" s="181"/>
      <c r="JSD115" s="182"/>
      <c r="JSE115" s="181"/>
      <c r="JSF115" s="182"/>
      <c r="JSG115" s="181"/>
      <c r="JSH115" s="182"/>
      <c r="JSI115" s="181"/>
      <c r="JSJ115" s="182"/>
      <c r="JSK115" s="181"/>
      <c r="JSL115" s="182"/>
      <c r="JSM115" s="181"/>
      <c r="JSN115" s="182"/>
      <c r="JSO115" s="181"/>
      <c r="JSP115" s="182"/>
      <c r="JSQ115" s="181"/>
      <c r="JSR115" s="182"/>
      <c r="JSS115" s="181"/>
      <c r="JST115" s="182"/>
      <c r="JSU115" s="181"/>
      <c r="JSV115" s="182"/>
      <c r="JSW115" s="181"/>
      <c r="JSX115" s="182"/>
      <c r="JSY115" s="181"/>
      <c r="JSZ115" s="182"/>
      <c r="JTA115" s="181"/>
      <c r="JTB115" s="182"/>
      <c r="JTC115" s="181"/>
      <c r="JTD115" s="182"/>
      <c r="JTE115" s="181"/>
      <c r="JTF115" s="182"/>
      <c r="JTG115" s="181"/>
      <c r="JTH115" s="182"/>
      <c r="JTI115" s="181"/>
      <c r="JTJ115" s="182"/>
      <c r="JTK115" s="181"/>
      <c r="JTL115" s="182"/>
      <c r="JTM115" s="181"/>
      <c r="JTN115" s="182"/>
      <c r="JTO115" s="181"/>
      <c r="JTP115" s="182"/>
      <c r="JTQ115" s="181"/>
      <c r="JTR115" s="182"/>
      <c r="JTS115" s="181"/>
      <c r="JTT115" s="182"/>
      <c r="JTU115" s="181"/>
      <c r="JTV115" s="182"/>
      <c r="JTW115" s="181"/>
      <c r="JTX115" s="182"/>
      <c r="JTY115" s="181"/>
      <c r="JTZ115" s="182"/>
      <c r="JUA115" s="181"/>
      <c r="JUB115" s="182"/>
      <c r="JUC115" s="181"/>
      <c r="JUD115" s="182"/>
      <c r="JUE115" s="181"/>
      <c r="JUF115" s="182"/>
      <c r="JUG115" s="181"/>
      <c r="JUH115" s="182"/>
      <c r="JUI115" s="181"/>
      <c r="JUJ115" s="182"/>
      <c r="JUK115" s="181"/>
      <c r="JUL115" s="182"/>
      <c r="JUM115" s="181"/>
      <c r="JUN115" s="182"/>
      <c r="JUO115" s="181"/>
      <c r="JUP115" s="182"/>
      <c r="JUQ115" s="181"/>
      <c r="JUR115" s="182"/>
      <c r="JUS115" s="181"/>
      <c r="JUT115" s="182"/>
      <c r="JUU115" s="181"/>
      <c r="JUV115" s="182"/>
      <c r="JUW115" s="181"/>
      <c r="JUX115" s="182"/>
      <c r="JUY115" s="181"/>
      <c r="JUZ115" s="182"/>
      <c r="JVA115" s="181"/>
      <c r="JVB115" s="182"/>
      <c r="JVC115" s="181"/>
      <c r="JVD115" s="182"/>
      <c r="JVE115" s="181"/>
      <c r="JVF115" s="182"/>
      <c r="JVG115" s="181"/>
      <c r="JVH115" s="182"/>
      <c r="JVI115" s="181"/>
      <c r="JVJ115" s="182"/>
      <c r="JVK115" s="181"/>
      <c r="JVL115" s="182"/>
      <c r="JVM115" s="181"/>
      <c r="JVN115" s="182"/>
      <c r="JVO115" s="181"/>
      <c r="JVP115" s="182"/>
      <c r="JVQ115" s="181"/>
      <c r="JVR115" s="182"/>
      <c r="JVS115" s="181"/>
      <c r="JVT115" s="182"/>
      <c r="JVU115" s="181"/>
      <c r="JVV115" s="182"/>
      <c r="JVW115" s="181"/>
      <c r="JVX115" s="182"/>
      <c r="JVY115" s="181"/>
      <c r="JVZ115" s="182"/>
      <c r="JWA115" s="181"/>
      <c r="JWB115" s="182"/>
      <c r="JWC115" s="181"/>
      <c r="JWD115" s="182"/>
      <c r="JWE115" s="181"/>
      <c r="JWF115" s="182"/>
      <c r="JWG115" s="181"/>
      <c r="JWH115" s="182"/>
      <c r="JWI115" s="181"/>
      <c r="JWJ115" s="182"/>
      <c r="JWK115" s="181"/>
      <c r="JWL115" s="182"/>
      <c r="JWM115" s="181"/>
      <c r="JWN115" s="182"/>
      <c r="JWO115" s="181"/>
      <c r="JWP115" s="182"/>
      <c r="JWQ115" s="181"/>
      <c r="JWR115" s="182"/>
      <c r="JWS115" s="181"/>
      <c r="JWT115" s="182"/>
      <c r="JWU115" s="181"/>
      <c r="JWV115" s="182"/>
      <c r="JWW115" s="181"/>
      <c r="JWX115" s="182"/>
      <c r="JWY115" s="181"/>
      <c r="JWZ115" s="182"/>
      <c r="JXA115" s="181"/>
      <c r="JXB115" s="182"/>
      <c r="JXC115" s="181"/>
      <c r="JXD115" s="182"/>
      <c r="JXE115" s="181"/>
      <c r="JXF115" s="182"/>
      <c r="JXG115" s="181"/>
      <c r="JXH115" s="182"/>
      <c r="JXI115" s="181"/>
      <c r="JXJ115" s="182"/>
      <c r="JXK115" s="181"/>
      <c r="JXL115" s="182"/>
      <c r="JXM115" s="181"/>
      <c r="JXN115" s="182"/>
      <c r="JXO115" s="181"/>
      <c r="JXP115" s="182"/>
      <c r="JXQ115" s="181"/>
      <c r="JXR115" s="182"/>
      <c r="JXS115" s="181"/>
      <c r="JXT115" s="182"/>
      <c r="JXU115" s="181"/>
      <c r="JXV115" s="182"/>
      <c r="JXW115" s="181"/>
      <c r="JXX115" s="182"/>
      <c r="JXY115" s="181"/>
      <c r="JXZ115" s="182"/>
      <c r="JYA115" s="181"/>
      <c r="JYB115" s="182"/>
      <c r="JYC115" s="181"/>
      <c r="JYD115" s="182"/>
      <c r="JYE115" s="181"/>
      <c r="JYF115" s="182"/>
      <c r="JYG115" s="181"/>
      <c r="JYH115" s="182"/>
      <c r="JYI115" s="181"/>
      <c r="JYJ115" s="182"/>
      <c r="JYK115" s="181"/>
      <c r="JYL115" s="182"/>
      <c r="JYM115" s="181"/>
      <c r="JYN115" s="182"/>
      <c r="JYO115" s="181"/>
      <c r="JYP115" s="182"/>
      <c r="JYQ115" s="181"/>
      <c r="JYR115" s="182"/>
      <c r="JYS115" s="181"/>
      <c r="JYT115" s="182"/>
      <c r="JYU115" s="181"/>
      <c r="JYV115" s="182"/>
      <c r="JYW115" s="181"/>
      <c r="JYX115" s="182"/>
      <c r="JYY115" s="181"/>
      <c r="JYZ115" s="182"/>
      <c r="JZA115" s="181"/>
      <c r="JZB115" s="182"/>
      <c r="JZC115" s="181"/>
      <c r="JZD115" s="182"/>
      <c r="JZE115" s="181"/>
      <c r="JZF115" s="182"/>
      <c r="JZG115" s="181"/>
      <c r="JZH115" s="182"/>
      <c r="JZI115" s="181"/>
      <c r="JZJ115" s="182"/>
      <c r="JZK115" s="181"/>
      <c r="JZL115" s="182"/>
      <c r="JZM115" s="181"/>
      <c r="JZN115" s="182"/>
      <c r="JZO115" s="181"/>
      <c r="JZP115" s="182"/>
      <c r="JZQ115" s="181"/>
      <c r="JZR115" s="182"/>
      <c r="JZS115" s="181"/>
      <c r="JZT115" s="182"/>
      <c r="JZU115" s="181"/>
      <c r="JZV115" s="182"/>
      <c r="JZW115" s="181"/>
      <c r="JZX115" s="182"/>
      <c r="JZY115" s="181"/>
      <c r="JZZ115" s="182"/>
      <c r="KAA115" s="181"/>
      <c r="KAB115" s="182"/>
      <c r="KAC115" s="181"/>
      <c r="KAD115" s="182"/>
      <c r="KAE115" s="181"/>
      <c r="KAF115" s="182"/>
      <c r="KAG115" s="181"/>
      <c r="KAH115" s="182"/>
      <c r="KAI115" s="181"/>
      <c r="KAJ115" s="182"/>
      <c r="KAK115" s="181"/>
      <c r="KAL115" s="182"/>
      <c r="KAM115" s="181"/>
      <c r="KAN115" s="182"/>
      <c r="KAO115" s="181"/>
      <c r="KAP115" s="182"/>
      <c r="KAQ115" s="181"/>
      <c r="KAR115" s="182"/>
      <c r="KAS115" s="181"/>
      <c r="KAT115" s="182"/>
      <c r="KAU115" s="181"/>
      <c r="KAV115" s="182"/>
      <c r="KAW115" s="181"/>
      <c r="KAX115" s="182"/>
      <c r="KAY115" s="181"/>
      <c r="KAZ115" s="182"/>
      <c r="KBA115" s="181"/>
      <c r="KBB115" s="182"/>
      <c r="KBC115" s="181"/>
      <c r="KBD115" s="182"/>
      <c r="KBE115" s="181"/>
      <c r="KBF115" s="182"/>
      <c r="KBG115" s="181"/>
      <c r="KBH115" s="182"/>
      <c r="KBI115" s="181"/>
      <c r="KBJ115" s="182"/>
      <c r="KBK115" s="181"/>
      <c r="KBL115" s="182"/>
      <c r="KBM115" s="181"/>
      <c r="KBN115" s="182"/>
      <c r="KBO115" s="181"/>
      <c r="KBP115" s="182"/>
      <c r="KBQ115" s="181"/>
      <c r="KBR115" s="182"/>
      <c r="KBS115" s="181"/>
      <c r="KBT115" s="182"/>
      <c r="KBU115" s="181"/>
      <c r="KBV115" s="182"/>
      <c r="KBW115" s="181"/>
      <c r="KBX115" s="182"/>
      <c r="KBY115" s="181"/>
      <c r="KBZ115" s="182"/>
      <c r="KCA115" s="181"/>
      <c r="KCB115" s="182"/>
      <c r="KCC115" s="181"/>
      <c r="KCD115" s="182"/>
      <c r="KCE115" s="181"/>
      <c r="KCF115" s="182"/>
      <c r="KCG115" s="181"/>
      <c r="KCH115" s="182"/>
      <c r="KCI115" s="181"/>
      <c r="KCJ115" s="182"/>
      <c r="KCK115" s="181"/>
      <c r="KCL115" s="182"/>
      <c r="KCM115" s="181"/>
      <c r="KCN115" s="182"/>
      <c r="KCO115" s="181"/>
      <c r="KCP115" s="182"/>
      <c r="KCQ115" s="181"/>
      <c r="KCR115" s="182"/>
      <c r="KCS115" s="181"/>
      <c r="KCT115" s="182"/>
      <c r="KCU115" s="181"/>
      <c r="KCV115" s="182"/>
      <c r="KCW115" s="181"/>
      <c r="KCX115" s="182"/>
      <c r="KCY115" s="181"/>
      <c r="KCZ115" s="182"/>
      <c r="KDA115" s="181"/>
      <c r="KDB115" s="182"/>
      <c r="KDC115" s="181"/>
      <c r="KDD115" s="182"/>
      <c r="KDE115" s="181"/>
      <c r="KDF115" s="182"/>
      <c r="KDG115" s="181"/>
      <c r="KDH115" s="182"/>
      <c r="KDI115" s="181"/>
      <c r="KDJ115" s="182"/>
      <c r="KDK115" s="181"/>
      <c r="KDL115" s="182"/>
      <c r="KDM115" s="181"/>
      <c r="KDN115" s="182"/>
      <c r="KDO115" s="181"/>
      <c r="KDP115" s="182"/>
      <c r="KDQ115" s="181"/>
      <c r="KDR115" s="182"/>
      <c r="KDS115" s="181"/>
      <c r="KDT115" s="182"/>
      <c r="KDU115" s="181"/>
      <c r="KDV115" s="182"/>
      <c r="KDW115" s="181"/>
      <c r="KDX115" s="182"/>
      <c r="KDY115" s="181"/>
      <c r="KDZ115" s="182"/>
      <c r="KEA115" s="181"/>
      <c r="KEB115" s="182"/>
      <c r="KEC115" s="181"/>
      <c r="KED115" s="182"/>
      <c r="KEE115" s="181"/>
      <c r="KEF115" s="182"/>
      <c r="KEG115" s="181"/>
      <c r="KEH115" s="182"/>
      <c r="KEI115" s="181"/>
      <c r="KEJ115" s="182"/>
      <c r="KEK115" s="181"/>
      <c r="KEL115" s="182"/>
      <c r="KEM115" s="181"/>
      <c r="KEN115" s="182"/>
      <c r="KEO115" s="181"/>
      <c r="KEP115" s="182"/>
      <c r="KEQ115" s="181"/>
      <c r="KER115" s="182"/>
      <c r="KES115" s="181"/>
      <c r="KET115" s="182"/>
      <c r="KEU115" s="181"/>
      <c r="KEV115" s="182"/>
      <c r="KEW115" s="181"/>
      <c r="KEX115" s="182"/>
      <c r="KEY115" s="181"/>
      <c r="KEZ115" s="182"/>
      <c r="KFA115" s="181"/>
      <c r="KFB115" s="182"/>
      <c r="KFC115" s="181"/>
      <c r="KFD115" s="182"/>
      <c r="KFE115" s="181"/>
      <c r="KFF115" s="182"/>
      <c r="KFG115" s="181"/>
      <c r="KFH115" s="182"/>
      <c r="KFI115" s="181"/>
      <c r="KFJ115" s="182"/>
      <c r="KFK115" s="181"/>
      <c r="KFL115" s="182"/>
      <c r="KFM115" s="181"/>
      <c r="KFN115" s="182"/>
      <c r="KFO115" s="181"/>
      <c r="KFP115" s="182"/>
      <c r="KFQ115" s="181"/>
      <c r="KFR115" s="182"/>
      <c r="KFS115" s="181"/>
      <c r="KFT115" s="182"/>
      <c r="KFU115" s="181"/>
      <c r="KFV115" s="182"/>
      <c r="KFW115" s="181"/>
      <c r="KFX115" s="182"/>
      <c r="KFY115" s="181"/>
      <c r="KFZ115" s="182"/>
      <c r="KGA115" s="181"/>
      <c r="KGB115" s="182"/>
      <c r="KGC115" s="181"/>
      <c r="KGD115" s="182"/>
      <c r="KGE115" s="181"/>
      <c r="KGF115" s="182"/>
      <c r="KGG115" s="181"/>
      <c r="KGH115" s="182"/>
      <c r="KGI115" s="181"/>
      <c r="KGJ115" s="182"/>
      <c r="KGK115" s="181"/>
      <c r="KGL115" s="182"/>
      <c r="KGM115" s="181"/>
      <c r="KGN115" s="182"/>
      <c r="KGO115" s="181"/>
      <c r="KGP115" s="182"/>
      <c r="KGQ115" s="181"/>
      <c r="KGR115" s="182"/>
      <c r="KGS115" s="181"/>
      <c r="KGT115" s="182"/>
      <c r="KGU115" s="181"/>
      <c r="KGV115" s="182"/>
      <c r="KGW115" s="181"/>
      <c r="KGX115" s="182"/>
      <c r="KGY115" s="181"/>
      <c r="KGZ115" s="182"/>
      <c r="KHA115" s="181"/>
      <c r="KHB115" s="182"/>
      <c r="KHC115" s="181"/>
      <c r="KHD115" s="182"/>
      <c r="KHE115" s="181"/>
      <c r="KHF115" s="182"/>
      <c r="KHG115" s="181"/>
      <c r="KHH115" s="182"/>
      <c r="KHI115" s="181"/>
      <c r="KHJ115" s="182"/>
      <c r="KHK115" s="181"/>
      <c r="KHL115" s="182"/>
      <c r="KHM115" s="181"/>
      <c r="KHN115" s="182"/>
      <c r="KHO115" s="181"/>
      <c r="KHP115" s="182"/>
      <c r="KHQ115" s="181"/>
      <c r="KHR115" s="182"/>
      <c r="KHS115" s="181"/>
      <c r="KHT115" s="182"/>
      <c r="KHU115" s="181"/>
      <c r="KHV115" s="182"/>
      <c r="KHW115" s="181"/>
      <c r="KHX115" s="182"/>
      <c r="KHY115" s="181"/>
      <c r="KHZ115" s="182"/>
      <c r="KIA115" s="181"/>
      <c r="KIB115" s="182"/>
      <c r="KIC115" s="181"/>
      <c r="KID115" s="182"/>
      <c r="KIE115" s="181"/>
      <c r="KIF115" s="182"/>
      <c r="KIG115" s="181"/>
      <c r="KIH115" s="182"/>
      <c r="KII115" s="181"/>
      <c r="KIJ115" s="182"/>
      <c r="KIK115" s="181"/>
      <c r="KIL115" s="182"/>
      <c r="KIM115" s="181"/>
      <c r="KIN115" s="182"/>
      <c r="KIO115" s="181"/>
      <c r="KIP115" s="182"/>
      <c r="KIQ115" s="181"/>
      <c r="KIR115" s="182"/>
      <c r="KIS115" s="181"/>
      <c r="KIT115" s="182"/>
      <c r="KIU115" s="181"/>
      <c r="KIV115" s="182"/>
      <c r="KIW115" s="181"/>
      <c r="KIX115" s="182"/>
      <c r="KIY115" s="181"/>
      <c r="KIZ115" s="182"/>
      <c r="KJA115" s="181"/>
      <c r="KJB115" s="182"/>
      <c r="KJC115" s="181"/>
      <c r="KJD115" s="182"/>
      <c r="KJE115" s="181"/>
      <c r="KJF115" s="182"/>
      <c r="KJG115" s="181"/>
      <c r="KJH115" s="182"/>
      <c r="KJI115" s="181"/>
      <c r="KJJ115" s="182"/>
      <c r="KJK115" s="181"/>
      <c r="KJL115" s="182"/>
      <c r="KJM115" s="181"/>
      <c r="KJN115" s="182"/>
      <c r="KJO115" s="181"/>
      <c r="KJP115" s="182"/>
      <c r="KJQ115" s="181"/>
      <c r="KJR115" s="182"/>
      <c r="KJS115" s="181"/>
      <c r="KJT115" s="182"/>
      <c r="KJU115" s="181"/>
      <c r="KJV115" s="182"/>
      <c r="KJW115" s="181"/>
      <c r="KJX115" s="182"/>
      <c r="KJY115" s="181"/>
      <c r="KJZ115" s="182"/>
      <c r="KKA115" s="181"/>
      <c r="KKB115" s="182"/>
      <c r="KKC115" s="181"/>
      <c r="KKD115" s="182"/>
      <c r="KKE115" s="181"/>
      <c r="KKF115" s="182"/>
      <c r="KKG115" s="181"/>
      <c r="KKH115" s="182"/>
      <c r="KKI115" s="181"/>
      <c r="KKJ115" s="182"/>
      <c r="KKK115" s="181"/>
      <c r="KKL115" s="182"/>
      <c r="KKM115" s="181"/>
      <c r="KKN115" s="182"/>
      <c r="KKO115" s="181"/>
      <c r="KKP115" s="182"/>
      <c r="KKQ115" s="181"/>
      <c r="KKR115" s="182"/>
      <c r="KKS115" s="181"/>
      <c r="KKT115" s="182"/>
      <c r="KKU115" s="181"/>
      <c r="KKV115" s="182"/>
      <c r="KKW115" s="181"/>
      <c r="KKX115" s="182"/>
      <c r="KKY115" s="181"/>
      <c r="KKZ115" s="182"/>
      <c r="KLA115" s="181"/>
      <c r="KLB115" s="182"/>
      <c r="KLC115" s="181"/>
      <c r="KLD115" s="182"/>
      <c r="KLE115" s="181"/>
      <c r="KLF115" s="182"/>
      <c r="KLG115" s="181"/>
      <c r="KLH115" s="182"/>
      <c r="KLI115" s="181"/>
      <c r="KLJ115" s="182"/>
      <c r="KLK115" s="181"/>
      <c r="KLL115" s="182"/>
      <c r="KLM115" s="181"/>
      <c r="KLN115" s="182"/>
      <c r="KLO115" s="181"/>
      <c r="KLP115" s="182"/>
      <c r="KLQ115" s="181"/>
      <c r="KLR115" s="182"/>
      <c r="KLS115" s="181"/>
      <c r="KLT115" s="182"/>
      <c r="KLU115" s="181"/>
      <c r="KLV115" s="182"/>
      <c r="KLW115" s="181"/>
      <c r="KLX115" s="182"/>
      <c r="KLY115" s="181"/>
      <c r="KLZ115" s="182"/>
      <c r="KMA115" s="181"/>
      <c r="KMB115" s="182"/>
      <c r="KMC115" s="181"/>
      <c r="KMD115" s="182"/>
      <c r="KME115" s="181"/>
      <c r="KMF115" s="182"/>
      <c r="KMG115" s="181"/>
      <c r="KMH115" s="182"/>
      <c r="KMI115" s="181"/>
      <c r="KMJ115" s="182"/>
      <c r="KMK115" s="181"/>
      <c r="KML115" s="182"/>
      <c r="KMM115" s="181"/>
      <c r="KMN115" s="182"/>
      <c r="KMO115" s="181"/>
      <c r="KMP115" s="182"/>
      <c r="KMQ115" s="181"/>
      <c r="KMR115" s="182"/>
      <c r="KMS115" s="181"/>
      <c r="KMT115" s="182"/>
      <c r="KMU115" s="181"/>
      <c r="KMV115" s="182"/>
      <c r="KMW115" s="181"/>
      <c r="KMX115" s="182"/>
      <c r="KMY115" s="181"/>
      <c r="KMZ115" s="182"/>
      <c r="KNA115" s="181"/>
      <c r="KNB115" s="182"/>
      <c r="KNC115" s="181"/>
      <c r="KND115" s="182"/>
      <c r="KNE115" s="181"/>
      <c r="KNF115" s="182"/>
      <c r="KNG115" s="181"/>
      <c r="KNH115" s="182"/>
      <c r="KNI115" s="181"/>
      <c r="KNJ115" s="182"/>
      <c r="KNK115" s="181"/>
      <c r="KNL115" s="182"/>
      <c r="KNM115" s="181"/>
      <c r="KNN115" s="182"/>
      <c r="KNO115" s="181"/>
      <c r="KNP115" s="182"/>
      <c r="KNQ115" s="181"/>
      <c r="KNR115" s="182"/>
      <c r="KNS115" s="181"/>
      <c r="KNT115" s="182"/>
      <c r="KNU115" s="181"/>
      <c r="KNV115" s="182"/>
      <c r="KNW115" s="181"/>
      <c r="KNX115" s="182"/>
      <c r="KNY115" s="181"/>
      <c r="KNZ115" s="182"/>
      <c r="KOA115" s="181"/>
      <c r="KOB115" s="182"/>
      <c r="KOC115" s="181"/>
      <c r="KOD115" s="182"/>
      <c r="KOE115" s="181"/>
      <c r="KOF115" s="182"/>
      <c r="KOG115" s="181"/>
      <c r="KOH115" s="182"/>
      <c r="KOI115" s="181"/>
      <c r="KOJ115" s="182"/>
      <c r="KOK115" s="181"/>
      <c r="KOL115" s="182"/>
      <c r="KOM115" s="181"/>
      <c r="KON115" s="182"/>
      <c r="KOO115" s="181"/>
      <c r="KOP115" s="182"/>
      <c r="KOQ115" s="181"/>
      <c r="KOR115" s="182"/>
      <c r="KOS115" s="181"/>
      <c r="KOT115" s="182"/>
      <c r="KOU115" s="181"/>
      <c r="KOV115" s="182"/>
      <c r="KOW115" s="181"/>
      <c r="KOX115" s="182"/>
      <c r="KOY115" s="181"/>
      <c r="KOZ115" s="182"/>
      <c r="KPA115" s="181"/>
      <c r="KPB115" s="182"/>
      <c r="KPC115" s="181"/>
      <c r="KPD115" s="182"/>
      <c r="KPE115" s="181"/>
      <c r="KPF115" s="182"/>
      <c r="KPG115" s="181"/>
      <c r="KPH115" s="182"/>
      <c r="KPI115" s="181"/>
      <c r="KPJ115" s="182"/>
      <c r="KPK115" s="181"/>
      <c r="KPL115" s="182"/>
      <c r="KPM115" s="181"/>
      <c r="KPN115" s="182"/>
      <c r="KPO115" s="181"/>
      <c r="KPP115" s="182"/>
      <c r="KPQ115" s="181"/>
      <c r="KPR115" s="182"/>
      <c r="KPS115" s="181"/>
      <c r="KPT115" s="182"/>
      <c r="KPU115" s="181"/>
      <c r="KPV115" s="182"/>
      <c r="KPW115" s="181"/>
      <c r="KPX115" s="182"/>
      <c r="KPY115" s="181"/>
      <c r="KPZ115" s="182"/>
      <c r="KQA115" s="181"/>
      <c r="KQB115" s="182"/>
      <c r="KQC115" s="181"/>
      <c r="KQD115" s="182"/>
      <c r="KQE115" s="181"/>
      <c r="KQF115" s="182"/>
      <c r="KQG115" s="181"/>
      <c r="KQH115" s="182"/>
      <c r="KQI115" s="181"/>
      <c r="KQJ115" s="182"/>
      <c r="KQK115" s="181"/>
      <c r="KQL115" s="182"/>
      <c r="KQM115" s="181"/>
      <c r="KQN115" s="182"/>
      <c r="KQO115" s="181"/>
      <c r="KQP115" s="182"/>
      <c r="KQQ115" s="181"/>
      <c r="KQR115" s="182"/>
      <c r="KQS115" s="181"/>
      <c r="KQT115" s="182"/>
      <c r="KQU115" s="181"/>
      <c r="KQV115" s="182"/>
      <c r="KQW115" s="181"/>
      <c r="KQX115" s="182"/>
      <c r="KQY115" s="181"/>
      <c r="KQZ115" s="182"/>
      <c r="KRA115" s="181"/>
      <c r="KRB115" s="182"/>
      <c r="KRC115" s="181"/>
      <c r="KRD115" s="182"/>
      <c r="KRE115" s="181"/>
      <c r="KRF115" s="182"/>
      <c r="KRG115" s="181"/>
      <c r="KRH115" s="182"/>
      <c r="KRI115" s="181"/>
      <c r="KRJ115" s="182"/>
      <c r="KRK115" s="181"/>
      <c r="KRL115" s="182"/>
      <c r="KRM115" s="181"/>
      <c r="KRN115" s="182"/>
      <c r="KRO115" s="181"/>
      <c r="KRP115" s="182"/>
      <c r="KRQ115" s="181"/>
      <c r="KRR115" s="182"/>
      <c r="KRS115" s="181"/>
      <c r="KRT115" s="182"/>
      <c r="KRU115" s="181"/>
      <c r="KRV115" s="182"/>
      <c r="KRW115" s="181"/>
      <c r="KRX115" s="182"/>
      <c r="KRY115" s="181"/>
      <c r="KRZ115" s="182"/>
      <c r="KSA115" s="181"/>
      <c r="KSB115" s="182"/>
      <c r="KSC115" s="181"/>
      <c r="KSD115" s="182"/>
      <c r="KSE115" s="181"/>
      <c r="KSF115" s="182"/>
      <c r="KSG115" s="181"/>
      <c r="KSH115" s="182"/>
      <c r="KSI115" s="181"/>
      <c r="KSJ115" s="182"/>
      <c r="KSK115" s="181"/>
      <c r="KSL115" s="182"/>
      <c r="KSM115" s="181"/>
      <c r="KSN115" s="182"/>
      <c r="KSO115" s="181"/>
      <c r="KSP115" s="182"/>
      <c r="KSQ115" s="181"/>
      <c r="KSR115" s="182"/>
      <c r="KSS115" s="181"/>
      <c r="KST115" s="182"/>
      <c r="KSU115" s="181"/>
      <c r="KSV115" s="182"/>
      <c r="KSW115" s="181"/>
      <c r="KSX115" s="182"/>
      <c r="KSY115" s="181"/>
      <c r="KSZ115" s="182"/>
      <c r="KTA115" s="181"/>
      <c r="KTB115" s="182"/>
      <c r="KTC115" s="181"/>
      <c r="KTD115" s="182"/>
      <c r="KTE115" s="181"/>
      <c r="KTF115" s="182"/>
      <c r="KTG115" s="181"/>
      <c r="KTH115" s="182"/>
      <c r="KTI115" s="181"/>
      <c r="KTJ115" s="182"/>
      <c r="KTK115" s="181"/>
      <c r="KTL115" s="182"/>
      <c r="KTM115" s="181"/>
      <c r="KTN115" s="182"/>
      <c r="KTO115" s="181"/>
      <c r="KTP115" s="182"/>
      <c r="KTQ115" s="181"/>
      <c r="KTR115" s="182"/>
      <c r="KTS115" s="181"/>
      <c r="KTT115" s="182"/>
      <c r="KTU115" s="181"/>
      <c r="KTV115" s="182"/>
      <c r="KTW115" s="181"/>
      <c r="KTX115" s="182"/>
      <c r="KTY115" s="181"/>
      <c r="KTZ115" s="182"/>
      <c r="KUA115" s="181"/>
      <c r="KUB115" s="182"/>
      <c r="KUC115" s="181"/>
      <c r="KUD115" s="182"/>
      <c r="KUE115" s="181"/>
      <c r="KUF115" s="182"/>
      <c r="KUG115" s="181"/>
      <c r="KUH115" s="182"/>
      <c r="KUI115" s="181"/>
      <c r="KUJ115" s="182"/>
      <c r="KUK115" s="181"/>
      <c r="KUL115" s="182"/>
      <c r="KUM115" s="181"/>
      <c r="KUN115" s="182"/>
      <c r="KUO115" s="181"/>
      <c r="KUP115" s="182"/>
      <c r="KUQ115" s="181"/>
      <c r="KUR115" s="182"/>
      <c r="KUS115" s="181"/>
      <c r="KUT115" s="182"/>
      <c r="KUU115" s="181"/>
      <c r="KUV115" s="182"/>
      <c r="KUW115" s="181"/>
      <c r="KUX115" s="182"/>
      <c r="KUY115" s="181"/>
      <c r="KUZ115" s="182"/>
      <c r="KVA115" s="181"/>
      <c r="KVB115" s="182"/>
      <c r="KVC115" s="181"/>
      <c r="KVD115" s="182"/>
      <c r="KVE115" s="181"/>
      <c r="KVF115" s="182"/>
      <c r="KVG115" s="181"/>
      <c r="KVH115" s="182"/>
      <c r="KVI115" s="181"/>
      <c r="KVJ115" s="182"/>
      <c r="KVK115" s="181"/>
      <c r="KVL115" s="182"/>
      <c r="KVM115" s="181"/>
      <c r="KVN115" s="182"/>
      <c r="KVO115" s="181"/>
      <c r="KVP115" s="182"/>
      <c r="KVQ115" s="181"/>
      <c r="KVR115" s="182"/>
      <c r="KVS115" s="181"/>
      <c r="KVT115" s="182"/>
      <c r="KVU115" s="181"/>
      <c r="KVV115" s="182"/>
      <c r="KVW115" s="181"/>
      <c r="KVX115" s="182"/>
      <c r="KVY115" s="181"/>
      <c r="KVZ115" s="182"/>
      <c r="KWA115" s="181"/>
      <c r="KWB115" s="182"/>
      <c r="KWC115" s="181"/>
      <c r="KWD115" s="182"/>
      <c r="KWE115" s="181"/>
      <c r="KWF115" s="182"/>
      <c r="KWG115" s="181"/>
      <c r="KWH115" s="182"/>
      <c r="KWI115" s="181"/>
      <c r="KWJ115" s="182"/>
      <c r="KWK115" s="181"/>
      <c r="KWL115" s="182"/>
      <c r="KWM115" s="181"/>
      <c r="KWN115" s="182"/>
      <c r="KWO115" s="181"/>
      <c r="KWP115" s="182"/>
      <c r="KWQ115" s="181"/>
      <c r="KWR115" s="182"/>
      <c r="KWS115" s="181"/>
      <c r="KWT115" s="182"/>
      <c r="KWU115" s="181"/>
      <c r="KWV115" s="182"/>
      <c r="KWW115" s="181"/>
      <c r="KWX115" s="182"/>
      <c r="KWY115" s="181"/>
      <c r="KWZ115" s="182"/>
      <c r="KXA115" s="181"/>
      <c r="KXB115" s="182"/>
      <c r="KXC115" s="181"/>
      <c r="KXD115" s="182"/>
      <c r="KXE115" s="181"/>
      <c r="KXF115" s="182"/>
      <c r="KXG115" s="181"/>
      <c r="KXH115" s="182"/>
      <c r="KXI115" s="181"/>
      <c r="KXJ115" s="182"/>
      <c r="KXK115" s="181"/>
      <c r="KXL115" s="182"/>
      <c r="KXM115" s="181"/>
      <c r="KXN115" s="182"/>
      <c r="KXO115" s="181"/>
      <c r="KXP115" s="182"/>
      <c r="KXQ115" s="181"/>
      <c r="KXR115" s="182"/>
      <c r="KXS115" s="181"/>
      <c r="KXT115" s="182"/>
      <c r="KXU115" s="181"/>
      <c r="KXV115" s="182"/>
      <c r="KXW115" s="181"/>
      <c r="KXX115" s="182"/>
      <c r="KXY115" s="181"/>
      <c r="KXZ115" s="182"/>
      <c r="KYA115" s="181"/>
      <c r="KYB115" s="182"/>
      <c r="KYC115" s="181"/>
      <c r="KYD115" s="182"/>
      <c r="KYE115" s="181"/>
      <c r="KYF115" s="182"/>
      <c r="KYG115" s="181"/>
      <c r="KYH115" s="182"/>
      <c r="KYI115" s="181"/>
      <c r="KYJ115" s="182"/>
      <c r="KYK115" s="181"/>
      <c r="KYL115" s="182"/>
      <c r="KYM115" s="181"/>
      <c r="KYN115" s="182"/>
      <c r="KYO115" s="181"/>
      <c r="KYP115" s="182"/>
      <c r="KYQ115" s="181"/>
      <c r="KYR115" s="182"/>
      <c r="KYS115" s="181"/>
      <c r="KYT115" s="182"/>
      <c r="KYU115" s="181"/>
      <c r="KYV115" s="182"/>
      <c r="KYW115" s="181"/>
      <c r="KYX115" s="182"/>
      <c r="KYY115" s="181"/>
      <c r="KYZ115" s="182"/>
      <c r="KZA115" s="181"/>
      <c r="KZB115" s="182"/>
      <c r="KZC115" s="181"/>
      <c r="KZD115" s="182"/>
      <c r="KZE115" s="181"/>
      <c r="KZF115" s="182"/>
      <c r="KZG115" s="181"/>
      <c r="KZH115" s="182"/>
      <c r="KZI115" s="181"/>
      <c r="KZJ115" s="182"/>
      <c r="KZK115" s="181"/>
      <c r="KZL115" s="182"/>
      <c r="KZM115" s="181"/>
      <c r="KZN115" s="182"/>
      <c r="KZO115" s="181"/>
      <c r="KZP115" s="182"/>
      <c r="KZQ115" s="181"/>
      <c r="KZR115" s="182"/>
      <c r="KZS115" s="181"/>
      <c r="KZT115" s="182"/>
      <c r="KZU115" s="181"/>
      <c r="KZV115" s="182"/>
      <c r="KZW115" s="181"/>
      <c r="KZX115" s="182"/>
      <c r="KZY115" s="181"/>
      <c r="KZZ115" s="182"/>
      <c r="LAA115" s="181"/>
      <c r="LAB115" s="182"/>
      <c r="LAC115" s="181"/>
      <c r="LAD115" s="182"/>
      <c r="LAE115" s="181"/>
      <c r="LAF115" s="182"/>
      <c r="LAG115" s="181"/>
      <c r="LAH115" s="182"/>
      <c r="LAI115" s="181"/>
      <c r="LAJ115" s="182"/>
      <c r="LAK115" s="181"/>
      <c r="LAL115" s="182"/>
      <c r="LAM115" s="181"/>
      <c r="LAN115" s="182"/>
      <c r="LAO115" s="181"/>
      <c r="LAP115" s="182"/>
      <c r="LAQ115" s="181"/>
      <c r="LAR115" s="182"/>
      <c r="LAS115" s="181"/>
      <c r="LAT115" s="182"/>
      <c r="LAU115" s="181"/>
      <c r="LAV115" s="182"/>
      <c r="LAW115" s="181"/>
      <c r="LAX115" s="182"/>
      <c r="LAY115" s="181"/>
      <c r="LAZ115" s="182"/>
      <c r="LBA115" s="181"/>
      <c r="LBB115" s="182"/>
      <c r="LBC115" s="181"/>
      <c r="LBD115" s="182"/>
      <c r="LBE115" s="181"/>
      <c r="LBF115" s="182"/>
      <c r="LBG115" s="181"/>
      <c r="LBH115" s="182"/>
      <c r="LBI115" s="181"/>
      <c r="LBJ115" s="182"/>
      <c r="LBK115" s="181"/>
      <c r="LBL115" s="182"/>
      <c r="LBM115" s="181"/>
      <c r="LBN115" s="182"/>
      <c r="LBO115" s="181"/>
      <c r="LBP115" s="182"/>
      <c r="LBQ115" s="181"/>
      <c r="LBR115" s="182"/>
      <c r="LBS115" s="181"/>
      <c r="LBT115" s="182"/>
      <c r="LBU115" s="181"/>
      <c r="LBV115" s="182"/>
      <c r="LBW115" s="181"/>
      <c r="LBX115" s="182"/>
      <c r="LBY115" s="181"/>
      <c r="LBZ115" s="182"/>
      <c r="LCA115" s="181"/>
      <c r="LCB115" s="182"/>
      <c r="LCC115" s="181"/>
      <c r="LCD115" s="182"/>
      <c r="LCE115" s="181"/>
      <c r="LCF115" s="182"/>
      <c r="LCG115" s="181"/>
      <c r="LCH115" s="182"/>
      <c r="LCI115" s="181"/>
      <c r="LCJ115" s="182"/>
      <c r="LCK115" s="181"/>
      <c r="LCL115" s="182"/>
      <c r="LCM115" s="181"/>
      <c r="LCN115" s="182"/>
      <c r="LCO115" s="181"/>
      <c r="LCP115" s="182"/>
      <c r="LCQ115" s="181"/>
      <c r="LCR115" s="182"/>
      <c r="LCS115" s="181"/>
      <c r="LCT115" s="182"/>
      <c r="LCU115" s="181"/>
      <c r="LCV115" s="182"/>
      <c r="LCW115" s="181"/>
      <c r="LCX115" s="182"/>
      <c r="LCY115" s="181"/>
      <c r="LCZ115" s="182"/>
      <c r="LDA115" s="181"/>
      <c r="LDB115" s="182"/>
      <c r="LDC115" s="181"/>
      <c r="LDD115" s="182"/>
      <c r="LDE115" s="181"/>
      <c r="LDF115" s="182"/>
      <c r="LDG115" s="181"/>
      <c r="LDH115" s="182"/>
      <c r="LDI115" s="181"/>
      <c r="LDJ115" s="182"/>
      <c r="LDK115" s="181"/>
      <c r="LDL115" s="182"/>
      <c r="LDM115" s="181"/>
      <c r="LDN115" s="182"/>
      <c r="LDO115" s="181"/>
      <c r="LDP115" s="182"/>
      <c r="LDQ115" s="181"/>
      <c r="LDR115" s="182"/>
      <c r="LDS115" s="181"/>
      <c r="LDT115" s="182"/>
      <c r="LDU115" s="181"/>
      <c r="LDV115" s="182"/>
      <c r="LDW115" s="181"/>
      <c r="LDX115" s="182"/>
      <c r="LDY115" s="181"/>
      <c r="LDZ115" s="182"/>
      <c r="LEA115" s="181"/>
      <c r="LEB115" s="182"/>
      <c r="LEC115" s="181"/>
      <c r="LED115" s="182"/>
      <c r="LEE115" s="181"/>
      <c r="LEF115" s="182"/>
      <c r="LEG115" s="181"/>
      <c r="LEH115" s="182"/>
      <c r="LEI115" s="181"/>
      <c r="LEJ115" s="182"/>
      <c r="LEK115" s="181"/>
      <c r="LEL115" s="182"/>
      <c r="LEM115" s="181"/>
      <c r="LEN115" s="182"/>
      <c r="LEO115" s="181"/>
      <c r="LEP115" s="182"/>
      <c r="LEQ115" s="181"/>
      <c r="LER115" s="182"/>
      <c r="LES115" s="181"/>
      <c r="LET115" s="182"/>
      <c r="LEU115" s="181"/>
      <c r="LEV115" s="182"/>
      <c r="LEW115" s="181"/>
      <c r="LEX115" s="182"/>
      <c r="LEY115" s="181"/>
      <c r="LEZ115" s="182"/>
      <c r="LFA115" s="181"/>
      <c r="LFB115" s="182"/>
      <c r="LFC115" s="181"/>
      <c r="LFD115" s="182"/>
      <c r="LFE115" s="181"/>
      <c r="LFF115" s="182"/>
      <c r="LFG115" s="181"/>
      <c r="LFH115" s="182"/>
      <c r="LFI115" s="181"/>
      <c r="LFJ115" s="182"/>
      <c r="LFK115" s="181"/>
      <c r="LFL115" s="182"/>
      <c r="LFM115" s="181"/>
      <c r="LFN115" s="182"/>
      <c r="LFO115" s="181"/>
      <c r="LFP115" s="182"/>
      <c r="LFQ115" s="181"/>
      <c r="LFR115" s="182"/>
      <c r="LFS115" s="181"/>
      <c r="LFT115" s="182"/>
      <c r="LFU115" s="181"/>
      <c r="LFV115" s="182"/>
      <c r="LFW115" s="181"/>
      <c r="LFX115" s="182"/>
      <c r="LFY115" s="181"/>
      <c r="LFZ115" s="182"/>
      <c r="LGA115" s="181"/>
      <c r="LGB115" s="182"/>
      <c r="LGC115" s="181"/>
      <c r="LGD115" s="182"/>
      <c r="LGE115" s="181"/>
      <c r="LGF115" s="182"/>
      <c r="LGG115" s="181"/>
      <c r="LGH115" s="182"/>
      <c r="LGI115" s="181"/>
      <c r="LGJ115" s="182"/>
      <c r="LGK115" s="181"/>
      <c r="LGL115" s="182"/>
      <c r="LGM115" s="181"/>
      <c r="LGN115" s="182"/>
      <c r="LGO115" s="181"/>
      <c r="LGP115" s="182"/>
      <c r="LGQ115" s="181"/>
      <c r="LGR115" s="182"/>
      <c r="LGS115" s="181"/>
      <c r="LGT115" s="182"/>
      <c r="LGU115" s="181"/>
      <c r="LGV115" s="182"/>
      <c r="LGW115" s="181"/>
      <c r="LGX115" s="182"/>
      <c r="LGY115" s="181"/>
      <c r="LGZ115" s="182"/>
      <c r="LHA115" s="181"/>
      <c r="LHB115" s="182"/>
      <c r="LHC115" s="181"/>
      <c r="LHD115" s="182"/>
      <c r="LHE115" s="181"/>
      <c r="LHF115" s="182"/>
      <c r="LHG115" s="181"/>
      <c r="LHH115" s="182"/>
      <c r="LHI115" s="181"/>
      <c r="LHJ115" s="182"/>
      <c r="LHK115" s="181"/>
      <c r="LHL115" s="182"/>
      <c r="LHM115" s="181"/>
      <c r="LHN115" s="182"/>
      <c r="LHO115" s="181"/>
      <c r="LHP115" s="182"/>
      <c r="LHQ115" s="181"/>
      <c r="LHR115" s="182"/>
      <c r="LHS115" s="181"/>
      <c r="LHT115" s="182"/>
      <c r="LHU115" s="181"/>
      <c r="LHV115" s="182"/>
      <c r="LHW115" s="181"/>
      <c r="LHX115" s="182"/>
      <c r="LHY115" s="181"/>
      <c r="LHZ115" s="182"/>
      <c r="LIA115" s="181"/>
      <c r="LIB115" s="182"/>
      <c r="LIC115" s="181"/>
      <c r="LID115" s="182"/>
      <c r="LIE115" s="181"/>
      <c r="LIF115" s="182"/>
      <c r="LIG115" s="181"/>
      <c r="LIH115" s="182"/>
      <c r="LII115" s="181"/>
      <c r="LIJ115" s="182"/>
      <c r="LIK115" s="181"/>
      <c r="LIL115" s="182"/>
      <c r="LIM115" s="181"/>
      <c r="LIN115" s="182"/>
      <c r="LIO115" s="181"/>
      <c r="LIP115" s="182"/>
      <c r="LIQ115" s="181"/>
      <c r="LIR115" s="182"/>
      <c r="LIS115" s="181"/>
      <c r="LIT115" s="182"/>
      <c r="LIU115" s="181"/>
      <c r="LIV115" s="182"/>
      <c r="LIW115" s="181"/>
      <c r="LIX115" s="182"/>
      <c r="LIY115" s="181"/>
      <c r="LIZ115" s="182"/>
      <c r="LJA115" s="181"/>
      <c r="LJB115" s="182"/>
      <c r="LJC115" s="181"/>
      <c r="LJD115" s="182"/>
      <c r="LJE115" s="181"/>
      <c r="LJF115" s="182"/>
      <c r="LJG115" s="181"/>
      <c r="LJH115" s="182"/>
      <c r="LJI115" s="181"/>
      <c r="LJJ115" s="182"/>
      <c r="LJK115" s="181"/>
      <c r="LJL115" s="182"/>
      <c r="LJM115" s="181"/>
      <c r="LJN115" s="182"/>
      <c r="LJO115" s="181"/>
      <c r="LJP115" s="182"/>
      <c r="LJQ115" s="181"/>
      <c r="LJR115" s="182"/>
      <c r="LJS115" s="181"/>
      <c r="LJT115" s="182"/>
      <c r="LJU115" s="181"/>
      <c r="LJV115" s="182"/>
      <c r="LJW115" s="181"/>
      <c r="LJX115" s="182"/>
      <c r="LJY115" s="181"/>
      <c r="LJZ115" s="182"/>
      <c r="LKA115" s="181"/>
      <c r="LKB115" s="182"/>
      <c r="LKC115" s="181"/>
      <c r="LKD115" s="182"/>
      <c r="LKE115" s="181"/>
      <c r="LKF115" s="182"/>
      <c r="LKG115" s="181"/>
      <c r="LKH115" s="182"/>
      <c r="LKI115" s="181"/>
      <c r="LKJ115" s="182"/>
      <c r="LKK115" s="181"/>
      <c r="LKL115" s="182"/>
      <c r="LKM115" s="181"/>
      <c r="LKN115" s="182"/>
      <c r="LKO115" s="181"/>
      <c r="LKP115" s="182"/>
      <c r="LKQ115" s="181"/>
      <c r="LKR115" s="182"/>
      <c r="LKS115" s="181"/>
      <c r="LKT115" s="182"/>
      <c r="LKU115" s="181"/>
      <c r="LKV115" s="182"/>
      <c r="LKW115" s="181"/>
      <c r="LKX115" s="182"/>
      <c r="LKY115" s="181"/>
      <c r="LKZ115" s="182"/>
      <c r="LLA115" s="181"/>
      <c r="LLB115" s="182"/>
      <c r="LLC115" s="181"/>
      <c r="LLD115" s="182"/>
      <c r="LLE115" s="181"/>
      <c r="LLF115" s="182"/>
      <c r="LLG115" s="181"/>
      <c r="LLH115" s="182"/>
      <c r="LLI115" s="181"/>
      <c r="LLJ115" s="182"/>
      <c r="LLK115" s="181"/>
      <c r="LLL115" s="182"/>
      <c r="LLM115" s="181"/>
      <c r="LLN115" s="182"/>
      <c r="LLO115" s="181"/>
      <c r="LLP115" s="182"/>
      <c r="LLQ115" s="181"/>
      <c r="LLR115" s="182"/>
      <c r="LLS115" s="181"/>
      <c r="LLT115" s="182"/>
      <c r="LLU115" s="181"/>
      <c r="LLV115" s="182"/>
      <c r="LLW115" s="181"/>
      <c r="LLX115" s="182"/>
      <c r="LLY115" s="181"/>
      <c r="LLZ115" s="182"/>
      <c r="LMA115" s="181"/>
      <c r="LMB115" s="182"/>
      <c r="LMC115" s="181"/>
      <c r="LMD115" s="182"/>
      <c r="LME115" s="181"/>
      <c r="LMF115" s="182"/>
      <c r="LMG115" s="181"/>
      <c r="LMH115" s="182"/>
      <c r="LMI115" s="181"/>
      <c r="LMJ115" s="182"/>
      <c r="LMK115" s="181"/>
      <c r="LML115" s="182"/>
      <c r="LMM115" s="181"/>
      <c r="LMN115" s="182"/>
      <c r="LMO115" s="181"/>
      <c r="LMP115" s="182"/>
      <c r="LMQ115" s="181"/>
      <c r="LMR115" s="182"/>
      <c r="LMS115" s="181"/>
      <c r="LMT115" s="182"/>
      <c r="LMU115" s="181"/>
      <c r="LMV115" s="182"/>
      <c r="LMW115" s="181"/>
      <c r="LMX115" s="182"/>
      <c r="LMY115" s="181"/>
      <c r="LMZ115" s="182"/>
      <c r="LNA115" s="181"/>
      <c r="LNB115" s="182"/>
      <c r="LNC115" s="181"/>
      <c r="LND115" s="182"/>
      <c r="LNE115" s="181"/>
      <c r="LNF115" s="182"/>
      <c r="LNG115" s="181"/>
      <c r="LNH115" s="182"/>
      <c r="LNI115" s="181"/>
      <c r="LNJ115" s="182"/>
      <c r="LNK115" s="181"/>
      <c r="LNL115" s="182"/>
      <c r="LNM115" s="181"/>
      <c r="LNN115" s="182"/>
      <c r="LNO115" s="181"/>
      <c r="LNP115" s="182"/>
      <c r="LNQ115" s="181"/>
      <c r="LNR115" s="182"/>
      <c r="LNS115" s="181"/>
      <c r="LNT115" s="182"/>
      <c r="LNU115" s="181"/>
      <c r="LNV115" s="182"/>
      <c r="LNW115" s="181"/>
      <c r="LNX115" s="182"/>
      <c r="LNY115" s="181"/>
      <c r="LNZ115" s="182"/>
      <c r="LOA115" s="181"/>
      <c r="LOB115" s="182"/>
      <c r="LOC115" s="181"/>
      <c r="LOD115" s="182"/>
      <c r="LOE115" s="181"/>
      <c r="LOF115" s="182"/>
      <c r="LOG115" s="181"/>
      <c r="LOH115" s="182"/>
      <c r="LOI115" s="181"/>
      <c r="LOJ115" s="182"/>
      <c r="LOK115" s="181"/>
      <c r="LOL115" s="182"/>
      <c r="LOM115" s="181"/>
      <c r="LON115" s="182"/>
      <c r="LOO115" s="181"/>
      <c r="LOP115" s="182"/>
      <c r="LOQ115" s="181"/>
      <c r="LOR115" s="182"/>
      <c r="LOS115" s="181"/>
      <c r="LOT115" s="182"/>
      <c r="LOU115" s="181"/>
      <c r="LOV115" s="182"/>
      <c r="LOW115" s="181"/>
      <c r="LOX115" s="182"/>
      <c r="LOY115" s="181"/>
      <c r="LOZ115" s="182"/>
      <c r="LPA115" s="181"/>
      <c r="LPB115" s="182"/>
      <c r="LPC115" s="181"/>
      <c r="LPD115" s="182"/>
      <c r="LPE115" s="181"/>
      <c r="LPF115" s="182"/>
      <c r="LPG115" s="181"/>
      <c r="LPH115" s="182"/>
      <c r="LPI115" s="181"/>
      <c r="LPJ115" s="182"/>
      <c r="LPK115" s="181"/>
      <c r="LPL115" s="182"/>
      <c r="LPM115" s="181"/>
      <c r="LPN115" s="182"/>
      <c r="LPO115" s="181"/>
      <c r="LPP115" s="182"/>
      <c r="LPQ115" s="181"/>
      <c r="LPR115" s="182"/>
      <c r="LPS115" s="181"/>
      <c r="LPT115" s="182"/>
      <c r="LPU115" s="181"/>
      <c r="LPV115" s="182"/>
      <c r="LPW115" s="181"/>
      <c r="LPX115" s="182"/>
      <c r="LPY115" s="181"/>
      <c r="LPZ115" s="182"/>
      <c r="LQA115" s="181"/>
      <c r="LQB115" s="182"/>
      <c r="LQC115" s="181"/>
      <c r="LQD115" s="182"/>
      <c r="LQE115" s="181"/>
      <c r="LQF115" s="182"/>
      <c r="LQG115" s="181"/>
      <c r="LQH115" s="182"/>
      <c r="LQI115" s="181"/>
      <c r="LQJ115" s="182"/>
      <c r="LQK115" s="181"/>
      <c r="LQL115" s="182"/>
      <c r="LQM115" s="181"/>
      <c r="LQN115" s="182"/>
      <c r="LQO115" s="181"/>
      <c r="LQP115" s="182"/>
      <c r="LQQ115" s="181"/>
      <c r="LQR115" s="182"/>
      <c r="LQS115" s="181"/>
      <c r="LQT115" s="182"/>
      <c r="LQU115" s="181"/>
      <c r="LQV115" s="182"/>
      <c r="LQW115" s="181"/>
      <c r="LQX115" s="182"/>
      <c r="LQY115" s="181"/>
      <c r="LQZ115" s="182"/>
      <c r="LRA115" s="181"/>
      <c r="LRB115" s="182"/>
      <c r="LRC115" s="181"/>
      <c r="LRD115" s="182"/>
      <c r="LRE115" s="181"/>
      <c r="LRF115" s="182"/>
      <c r="LRG115" s="181"/>
      <c r="LRH115" s="182"/>
      <c r="LRI115" s="181"/>
      <c r="LRJ115" s="182"/>
      <c r="LRK115" s="181"/>
      <c r="LRL115" s="182"/>
      <c r="LRM115" s="181"/>
      <c r="LRN115" s="182"/>
      <c r="LRO115" s="181"/>
      <c r="LRP115" s="182"/>
      <c r="LRQ115" s="181"/>
      <c r="LRR115" s="182"/>
      <c r="LRS115" s="181"/>
      <c r="LRT115" s="182"/>
      <c r="LRU115" s="181"/>
      <c r="LRV115" s="182"/>
      <c r="LRW115" s="181"/>
      <c r="LRX115" s="182"/>
      <c r="LRY115" s="181"/>
      <c r="LRZ115" s="182"/>
      <c r="LSA115" s="181"/>
      <c r="LSB115" s="182"/>
      <c r="LSC115" s="181"/>
      <c r="LSD115" s="182"/>
      <c r="LSE115" s="181"/>
      <c r="LSF115" s="182"/>
      <c r="LSG115" s="181"/>
      <c r="LSH115" s="182"/>
      <c r="LSI115" s="181"/>
      <c r="LSJ115" s="182"/>
      <c r="LSK115" s="181"/>
      <c r="LSL115" s="182"/>
      <c r="LSM115" s="181"/>
      <c r="LSN115" s="182"/>
      <c r="LSO115" s="181"/>
      <c r="LSP115" s="182"/>
      <c r="LSQ115" s="181"/>
      <c r="LSR115" s="182"/>
      <c r="LSS115" s="181"/>
      <c r="LST115" s="182"/>
      <c r="LSU115" s="181"/>
      <c r="LSV115" s="182"/>
      <c r="LSW115" s="181"/>
      <c r="LSX115" s="182"/>
      <c r="LSY115" s="181"/>
      <c r="LSZ115" s="182"/>
      <c r="LTA115" s="181"/>
      <c r="LTB115" s="182"/>
      <c r="LTC115" s="181"/>
      <c r="LTD115" s="182"/>
      <c r="LTE115" s="181"/>
      <c r="LTF115" s="182"/>
      <c r="LTG115" s="181"/>
      <c r="LTH115" s="182"/>
      <c r="LTI115" s="181"/>
      <c r="LTJ115" s="182"/>
      <c r="LTK115" s="181"/>
      <c r="LTL115" s="182"/>
      <c r="LTM115" s="181"/>
      <c r="LTN115" s="182"/>
      <c r="LTO115" s="181"/>
      <c r="LTP115" s="182"/>
      <c r="LTQ115" s="181"/>
      <c r="LTR115" s="182"/>
      <c r="LTS115" s="181"/>
      <c r="LTT115" s="182"/>
      <c r="LTU115" s="181"/>
      <c r="LTV115" s="182"/>
      <c r="LTW115" s="181"/>
      <c r="LTX115" s="182"/>
      <c r="LTY115" s="181"/>
      <c r="LTZ115" s="182"/>
      <c r="LUA115" s="181"/>
      <c r="LUB115" s="182"/>
      <c r="LUC115" s="181"/>
      <c r="LUD115" s="182"/>
      <c r="LUE115" s="181"/>
      <c r="LUF115" s="182"/>
      <c r="LUG115" s="181"/>
      <c r="LUH115" s="182"/>
      <c r="LUI115" s="181"/>
      <c r="LUJ115" s="182"/>
      <c r="LUK115" s="181"/>
      <c r="LUL115" s="182"/>
      <c r="LUM115" s="181"/>
      <c r="LUN115" s="182"/>
      <c r="LUO115" s="181"/>
      <c r="LUP115" s="182"/>
      <c r="LUQ115" s="181"/>
      <c r="LUR115" s="182"/>
      <c r="LUS115" s="181"/>
      <c r="LUT115" s="182"/>
      <c r="LUU115" s="181"/>
      <c r="LUV115" s="182"/>
      <c r="LUW115" s="181"/>
      <c r="LUX115" s="182"/>
      <c r="LUY115" s="181"/>
      <c r="LUZ115" s="182"/>
      <c r="LVA115" s="181"/>
      <c r="LVB115" s="182"/>
      <c r="LVC115" s="181"/>
      <c r="LVD115" s="182"/>
      <c r="LVE115" s="181"/>
      <c r="LVF115" s="182"/>
      <c r="LVG115" s="181"/>
      <c r="LVH115" s="182"/>
      <c r="LVI115" s="181"/>
      <c r="LVJ115" s="182"/>
      <c r="LVK115" s="181"/>
      <c r="LVL115" s="182"/>
      <c r="LVM115" s="181"/>
      <c r="LVN115" s="182"/>
      <c r="LVO115" s="181"/>
      <c r="LVP115" s="182"/>
      <c r="LVQ115" s="181"/>
      <c r="LVR115" s="182"/>
      <c r="LVS115" s="181"/>
      <c r="LVT115" s="182"/>
      <c r="LVU115" s="181"/>
      <c r="LVV115" s="182"/>
      <c r="LVW115" s="181"/>
      <c r="LVX115" s="182"/>
      <c r="LVY115" s="181"/>
      <c r="LVZ115" s="182"/>
      <c r="LWA115" s="181"/>
      <c r="LWB115" s="182"/>
      <c r="LWC115" s="181"/>
      <c r="LWD115" s="182"/>
      <c r="LWE115" s="181"/>
      <c r="LWF115" s="182"/>
      <c r="LWG115" s="181"/>
      <c r="LWH115" s="182"/>
      <c r="LWI115" s="181"/>
      <c r="LWJ115" s="182"/>
      <c r="LWK115" s="181"/>
      <c r="LWL115" s="182"/>
      <c r="LWM115" s="181"/>
      <c r="LWN115" s="182"/>
      <c r="LWO115" s="181"/>
      <c r="LWP115" s="182"/>
      <c r="LWQ115" s="181"/>
      <c r="LWR115" s="182"/>
      <c r="LWS115" s="181"/>
      <c r="LWT115" s="182"/>
      <c r="LWU115" s="181"/>
      <c r="LWV115" s="182"/>
      <c r="LWW115" s="181"/>
      <c r="LWX115" s="182"/>
      <c r="LWY115" s="181"/>
      <c r="LWZ115" s="182"/>
      <c r="LXA115" s="181"/>
      <c r="LXB115" s="182"/>
      <c r="LXC115" s="181"/>
      <c r="LXD115" s="182"/>
      <c r="LXE115" s="181"/>
      <c r="LXF115" s="182"/>
      <c r="LXG115" s="181"/>
      <c r="LXH115" s="182"/>
      <c r="LXI115" s="181"/>
      <c r="LXJ115" s="182"/>
      <c r="LXK115" s="181"/>
      <c r="LXL115" s="182"/>
      <c r="LXM115" s="181"/>
      <c r="LXN115" s="182"/>
      <c r="LXO115" s="181"/>
      <c r="LXP115" s="182"/>
      <c r="LXQ115" s="181"/>
      <c r="LXR115" s="182"/>
      <c r="LXS115" s="181"/>
      <c r="LXT115" s="182"/>
      <c r="LXU115" s="181"/>
      <c r="LXV115" s="182"/>
      <c r="LXW115" s="181"/>
      <c r="LXX115" s="182"/>
      <c r="LXY115" s="181"/>
      <c r="LXZ115" s="182"/>
      <c r="LYA115" s="181"/>
      <c r="LYB115" s="182"/>
      <c r="LYC115" s="181"/>
      <c r="LYD115" s="182"/>
      <c r="LYE115" s="181"/>
      <c r="LYF115" s="182"/>
      <c r="LYG115" s="181"/>
      <c r="LYH115" s="182"/>
      <c r="LYI115" s="181"/>
      <c r="LYJ115" s="182"/>
      <c r="LYK115" s="181"/>
      <c r="LYL115" s="182"/>
      <c r="LYM115" s="181"/>
      <c r="LYN115" s="182"/>
      <c r="LYO115" s="181"/>
      <c r="LYP115" s="182"/>
      <c r="LYQ115" s="181"/>
      <c r="LYR115" s="182"/>
      <c r="LYS115" s="181"/>
      <c r="LYT115" s="182"/>
      <c r="LYU115" s="181"/>
      <c r="LYV115" s="182"/>
      <c r="LYW115" s="181"/>
      <c r="LYX115" s="182"/>
      <c r="LYY115" s="181"/>
      <c r="LYZ115" s="182"/>
      <c r="LZA115" s="181"/>
      <c r="LZB115" s="182"/>
      <c r="LZC115" s="181"/>
      <c r="LZD115" s="182"/>
      <c r="LZE115" s="181"/>
      <c r="LZF115" s="182"/>
      <c r="LZG115" s="181"/>
      <c r="LZH115" s="182"/>
      <c r="LZI115" s="181"/>
      <c r="LZJ115" s="182"/>
      <c r="LZK115" s="181"/>
      <c r="LZL115" s="182"/>
      <c r="LZM115" s="181"/>
      <c r="LZN115" s="182"/>
      <c r="LZO115" s="181"/>
      <c r="LZP115" s="182"/>
      <c r="LZQ115" s="181"/>
      <c r="LZR115" s="182"/>
      <c r="LZS115" s="181"/>
      <c r="LZT115" s="182"/>
      <c r="LZU115" s="181"/>
      <c r="LZV115" s="182"/>
      <c r="LZW115" s="181"/>
      <c r="LZX115" s="182"/>
      <c r="LZY115" s="181"/>
      <c r="LZZ115" s="182"/>
      <c r="MAA115" s="181"/>
      <c r="MAB115" s="182"/>
      <c r="MAC115" s="181"/>
      <c r="MAD115" s="182"/>
      <c r="MAE115" s="181"/>
      <c r="MAF115" s="182"/>
      <c r="MAG115" s="181"/>
      <c r="MAH115" s="182"/>
      <c r="MAI115" s="181"/>
      <c r="MAJ115" s="182"/>
      <c r="MAK115" s="181"/>
      <c r="MAL115" s="182"/>
      <c r="MAM115" s="181"/>
      <c r="MAN115" s="182"/>
      <c r="MAO115" s="181"/>
      <c r="MAP115" s="182"/>
      <c r="MAQ115" s="181"/>
      <c r="MAR115" s="182"/>
      <c r="MAS115" s="181"/>
      <c r="MAT115" s="182"/>
      <c r="MAU115" s="181"/>
      <c r="MAV115" s="182"/>
      <c r="MAW115" s="181"/>
      <c r="MAX115" s="182"/>
      <c r="MAY115" s="181"/>
      <c r="MAZ115" s="182"/>
      <c r="MBA115" s="181"/>
      <c r="MBB115" s="182"/>
      <c r="MBC115" s="181"/>
      <c r="MBD115" s="182"/>
      <c r="MBE115" s="181"/>
      <c r="MBF115" s="182"/>
      <c r="MBG115" s="181"/>
      <c r="MBH115" s="182"/>
      <c r="MBI115" s="181"/>
      <c r="MBJ115" s="182"/>
      <c r="MBK115" s="181"/>
      <c r="MBL115" s="182"/>
      <c r="MBM115" s="181"/>
      <c r="MBN115" s="182"/>
      <c r="MBO115" s="181"/>
      <c r="MBP115" s="182"/>
      <c r="MBQ115" s="181"/>
      <c r="MBR115" s="182"/>
      <c r="MBS115" s="181"/>
      <c r="MBT115" s="182"/>
      <c r="MBU115" s="181"/>
      <c r="MBV115" s="182"/>
      <c r="MBW115" s="181"/>
      <c r="MBX115" s="182"/>
      <c r="MBY115" s="181"/>
      <c r="MBZ115" s="182"/>
      <c r="MCA115" s="181"/>
      <c r="MCB115" s="182"/>
      <c r="MCC115" s="181"/>
      <c r="MCD115" s="182"/>
      <c r="MCE115" s="181"/>
      <c r="MCF115" s="182"/>
      <c r="MCG115" s="181"/>
      <c r="MCH115" s="182"/>
      <c r="MCI115" s="181"/>
      <c r="MCJ115" s="182"/>
      <c r="MCK115" s="181"/>
      <c r="MCL115" s="182"/>
      <c r="MCM115" s="181"/>
      <c r="MCN115" s="182"/>
      <c r="MCO115" s="181"/>
      <c r="MCP115" s="182"/>
      <c r="MCQ115" s="181"/>
      <c r="MCR115" s="182"/>
      <c r="MCS115" s="181"/>
      <c r="MCT115" s="182"/>
      <c r="MCU115" s="181"/>
      <c r="MCV115" s="182"/>
      <c r="MCW115" s="181"/>
      <c r="MCX115" s="182"/>
      <c r="MCY115" s="181"/>
      <c r="MCZ115" s="182"/>
      <c r="MDA115" s="181"/>
      <c r="MDB115" s="182"/>
      <c r="MDC115" s="181"/>
      <c r="MDD115" s="182"/>
      <c r="MDE115" s="181"/>
      <c r="MDF115" s="182"/>
      <c r="MDG115" s="181"/>
      <c r="MDH115" s="182"/>
      <c r="MDI115" s="181"/>
      <c r="MDJ115" s="182"/>
      <c r="MDK115" s="181"/>
      <c r="MDL115" s="182"/>
      <c r="MDM115" s="181"/>
      <c r="MDN115" s="182"/>
      <c r="MDO115" s="181"/>
      <c r="MDP115" s="182"/>
      <c r="MDQ115" s="181"/>
      <c r="MDR115" s="182"/>
      <c r="MDS115" s="181"/>
      <c r="MDT115" s="182"/>
      <c r="MDU115" s="181"/>
      <c r="MDV115" s="182"/>
      <c r="MDW115" s="181"/>
      <c r="MDX115" s="182"/>
      <c r="MDY115" s="181"/>
      <c r="MDZ115" s="182"/>
      <c r="MEA115" s="181"/>
      <c r="MEB115" s="182"/>
      <c r="MEC115" s="181"/>
      <c r="MED115" s="182"/>
      <c r="MEE115" s="181"/>
      <c r="MEF115" s="182"/>
      <c r="MEG115" s="181"/>
      <c r="MEH115" s="182"/>
      <c r="MEI115" s="181"/>
      <c r="MEJ115" s="182"/>
      <c r="MEK115" s="181"/>
      <c r="MEL115" s="182"/>
      <c r="MEM115" s="181"/>
      <c r="MEN115" s="182"/>
      <c r="MEO115" s="181"/>
      <c r="MEP115" s="182"/>
      <c r="MEQ115" s="181"/>
      <c r="MER115" s="182"/>
      <c r="MES115" s="181"/>
      <c r="MET115" s="182"/>
      <c r="MEU115" s="181"/>
      <c r="MEV115" s="182"/>
      <c r="MEW115" s="181"/>
      <c r="MEX115" s="182"/>
      <c r="MEY115" s="181"/>
      <c r="MEZ115" s="182"/>
      <c r="MFA115" s="181"/>
      <c r="MFB115" s="182"/>
      <c r="MFC115" s="181"/>
      <c r="MFD115" s="182"/>
      <c r="MFE115" s="181"/>
      <c r="MFF115" s="182"/>
      <c r="MFG115" s="181"/>
      <c r="MFH115" s="182"/>
      <c r="MFI115" s="181"/>
      <c r="MFJ115" s="182"/>
      <c r="MFK115" s="181"/>
      <c r="MFL115" s="182"/>
      <c r="MFM115" s="181"/>
      <c r="MFN115" s="182"/>
      <c r="MFO115" s="181"/>
      <c r="MFP115" s="182"/>
      <c r="MFQ115" s="181"/>
      <c r="MFR115" s="182"/>
      <c r="MFS115" s="181"/>
      <c r="MFT115" s="182"/>
      <c r="MFU115" s="181"/>
      <c r="MFV115" s="182"/>
      <c r="MFW115" s="181"/>
      <c r="MFX115" s="182"/>
      <c r="MFY115" s="181"/>
      <c r="MFZ115" s="182"/>
      <c r="MGA115" s="181"/>
      <c r="MGB115" s="182"/>
      <c r="MGC115" s="181"/>
      <c r="MGD115" s="182"/>
      <c r="MGE115" s="181"/>
      <c r="MGF115" s="182"/>
      <c r="MGG115" s="181"/>
      <c r="MGH115" s="182"/>
      <c r="MGI115" s="181"/>
      <c r="MGJ115" s="182"/>
      <c r="MGK115" s="181"/>
      <c r="MGL115" s="182"/>
      <c r="MGM115" s="181"/>
      <c r="MGN115" s="182"/>
      <c r="MGO115" s="181"/>
      <c r="MGP115" s="182"/>
      <c r="MGQ115" s="181"/>
      <c r="MGR115" s="182"/>
      <c r="MGS115" s="181"/>
      <c r="MGT115" s="182"/>
      <c r="MGU115" s="181"/>
      <c r="MGV115" s="182"/>
      <c r="MGW115" s="181"/>
      <c r="MGX115" s="182"/>
      <c r="MGY115" s="181"/>
      <c r="MGZ115" s="182"/>
      <c r="MHA115" s="181"/>
      <c r="MHB115" s="182"/>
      <c r="MHC115" s="181"/>
      <c r="MHD115" s="182"/>
      <c r="MHE115" s="181"/>
      <c r="MHF115" s="182"/>
      <c r="MHG115" s="181"/>
      <c r="MHH115" s="182"/>
      <c r="MHI115" s="181"/>
      <c r="MHJ115" s="182"/>
      <c r="MHK115" s="181"/>
      <c r="MHL115" s="182"/>
      <c r="MHM115" s="181"/>
      <c r="MHN115" s="182"/>
      <c r="MHO115" s="181"/>
      <c r="MHP115" s="182"/>
      <c r="MHQ115" s="181"/>
      <c r="MHR115" s="182"/>
      <c r="MHS115" s="181"/>
      <c r="MHT115" s="182"/>
      <c r="MHU115" s="181"/>
      <c r="MHV115" s="182"/>
      <c r="MHW115" s="181"/>
      <c r="MHX115" s="182"/>
      <c r="MHY115" s="181"/>
      <c r="MHZ115" s="182"/>
      <c r="MIA115" s="181"/>
      <c r="MIB115" s="182"/>
      <c r="MIC115" s="181"/>
      <c r="MID115" s="182"/>
      <c r="MIE115" s="181"/>
      <c r="MIF115" s="182"/>
      <c r="MIG115" s="181"/>
      <c r="MIH115" s="182"/>
      <c r="MII115" s="181"/>
      <c r="MIJ115" s="182"/>
      <c r="MIK115" s="181"/>
      <c r="MIL115" s="182"/>
      <c r="MIM115" s="181"/>
      <c r="MIN115" s="182"/>
      <c r="MIO115" s="181"/>
      <c r="MIP115" s="182"/>
      <c r="MIQ115" s="181"/>
      <c r="MIR115" s="182"/>
      <c r="MIS115" s="181"/>
      <c r="MIT115" s="182"/>
      <c r="MIU115" s="181"/>
      <c r="MIV115" s="182"/>
      <c r="MIW115" s="181"/>
      <c r="MIX115" s="182"/>
      <c r="MIY115" s="181"/>
      <c r="MIZ115" s="182"/>
      <c r="MJA115" s="181"/>
      <c r="MJB115" s="182"/>
      <c r="MJC115" s="181"/>
      <c r="MJD115" s="182"/>
      <c r="MJE115" s="181"/>
      <c r="MJF115" s="182"/>
      <c r="MJG115" s="181"/>
      <c r="MJH115" s="182"/>
      <c r="MJI115" s="181"/>
      <c r="MJJ115" s="182"/>
      <c r="MJK115" s="181"/>
      <c r="MJL115" s="182"/>
      <c r="MJM115" s="181"/>
      <c r="MJN115" s="182"/>
      <c r="MJO115" s="181"/>
      <c r="MJP115" s="182"/>
      <c r="MJQ115" s="181"/>
      <c r="MJR115" s="182"/>
      <c r="MJS115" s="181"/>
      <c r="MJT115" s="182"/>
      <c r="MJU115" s="181"/>
      <c r="MJV115" s="182"/>
      <c r="MJW115" s="181"/>
      <c r="MJX115" s="182"/>
      <c r="MJY115" s="181"/>
      <c r="MJZ115" s="182"/>
      <c r="MKA115" s="181"/>
      <c r="MKB115" s="182"/>
      <c r="MKC115" s="181"/>
      <c r="MKD115" s="182"/>
      <c r="MKE115" s="181"/>
      <c r="MKF115" s="182"/>
      <c r="MKG115" s="181"/>
      <c r="MKH115" s="182"/>
      <c r="MKI115" s="181"/>
      <c r="MKJ115" s="182"/>
      <c r="MKK115" s="181"/>
      <c r="MKL115" s="182"/>
      <c r="MKM115" s="181"/>
      <c r="MKN115" s="182"/>
      <c r="MKO115" s="181"/>
      <c r="MKP115" s="182"/>
      <c r="MKQ115" s="181"/>
      <c r="MKR115" s="182"/>
      <c r="MKS115" s="181"/>
      <c r="MKT115" s="182"/>
      <c r="MKU115" s="181"/>
      <c r="MKV115" s="182"/>
      <c r="MKW115" s="181"/>
      <c r="MKX115" s="182"/>
      <c r="MKY115" s="181"/>
      <c r="MKZ115" s="182"/>
      <c r="MLA115" s="181"/>
      <c r="MLB115" s="182"/>
      <c r="MLC115" s="181"/>
      <c r="MLD115" s="182"/>
      <c r="MLE115" s="181"/>
      <c r="MLF115" s="182"/>
      <c r="MLG115" s="181"/>
      <c r="MLH115" s="182"/>
      <c r="MLI115" s="181"/>
      <c r="MLJ115" s="182"/>
      <c r="MLK115" s="181"/>
      <c r="MLL115" s="182"/>
      <c r="MLM115" s="181"/>
      <c r="MLN115" s="182"/>
      <c r="MLO115" s="181"/>
      <c r="MLP115" s="182"/>
      <c r="MLQ115" s="181"/>
      <c r="MLR115" s="182"/>
      <c r="MLS115" s="181"/>
      <c r="MLT115" s="182"/>
      <c r="MLU115" s="181"/>
      <c r="MLV115" s="182"/>
      <c r="MLW115" s="181"/>
      <c r="MLX115" s="182"/>
      <c r="MLY115" s="181"/>
      <c r="MLZ115" s="182"/>
      <c r="MMA115" s="181"/>
      <c r="MMB115" s="182"/>
      <c r="MMC115" s="181"/>
      <c r="MMD115" s="182"/>
      <c r="MME115" s="181"/>
      <c r="MMF115" s="182"/>
      <c r="MMG115" s="181"/>
      <c r="MMH115" s="182"/>
      <c r="MMI115" s="181"/>
      <c r="MMJ115" s="182"/>
      <c r="MMK115" s="181"/>
      <c r="MML115" s="182"/>
      <c r="MMM115" s="181"/>
      <c r="MMN115" s="182"/>
      <c r="MMO115" s="181"/>
      <c r="MMP115" s="182"/>
      <c r="MMQ115" s="181"/>
      <c r="MMR115" s="182"/>
      <c r="MMS115" s="181"/>
      <c r="MMT115" s="182"/>
      <c r="MMU115" s="181"/>
      <c r="MMV115" s="182"/>
      <c r="MMW115" s="181"/>
      <c r="MMX115" s="182"/>
      <c r="MMY115" s="181"/>
      <c r="MMZ115" s="182"/>
      <c r="MNA115" s="181"/>
      <c r="MNB115" s="182"/>
      <c r="MNC115" s="181"/>
      <c r="MND115" s="182"/>
      <c r="MNE115" s="181"/>
      <c r="MNF115" s="182"/>
      <c r="MNG115" s="181"/>
      <c r="MNH115" s="182"/>
      <c r="MNI115" s="181"/>
      <c r="MNJ115" s="182"/>
      <c r="MNK115" s="181"/>
      <c r="MNL115" s="182"/>
      <c r="MNM115" s="181"/>
      <c r="MNN115" s="182"/>
      <c r="MNO115" s="181"/>
      <c r="MNP115" s="182"/>
      <c r="MNQ115" s="181"/>
      <c r="MNR115" s="182"/>
      <c r="MNS115" s="181"/>
      <c r="MNT115" s="182"/>
      <c r="MNU115" s="181"/>
      <c r="MNV115" s="182"/>
      <c r="MNW115" s="181"/>
      <c r="MNX115" s="182"/>
      <c r="MNY115" s="181"/>
      <c r="MNZ115" s="182"/>
      <c r="MOA115" s="181"/>
      <c r="MOB115" s="182"/>
      <c r="MOC115" s="181"/>
      <c r="MOD115" s="182"/>
      <c r="MOE115" s="181"/>
      <c r="MOF115" s="182"/>
      <c r="MOG115" s="181"/>
      <c r="MOH115" s="182"/>
      <c r="MOI115" s="181"/>
      <c r="MOJ115" s="182"/>
      <c r="MOK115" s="181"/>
      <c r="MOL115" s="182"/>
      <c r="MOM115" s="181"/>
      <c r="MON115" s="182"/>
      <c r="MOO115" s="181"/>
      <c r="MOP115" s="182"/>
      <c r="MOQ115" s="181"/>
      <c r="MOR115" s="182"/>
      <c r="MOS115" s="181"/>
      <c r="MOT115" s="182"/>
      <c r="MOU115" s="181"/>
      <c r="MOV115" s="182"/>
      <c r="MOW115" s="181"/>
      <c r="MOX115" s="182"/>
      <c r="MOY115" s="181"/>
      <c r="MOZ115" s="182"/>
      <c r="MPA115" s="181"/>
      <c r="MPB115" s="182"/>
      <c r="MPC115" s="181"/>
      <c r="MPD115" s="182"/>
      <c r="MPE115" s="181"/>
      <c r="MPF115" s="182"/>
      <c r="MPG115" s="181"/>
      <c r="MPH115" s="182"/>
      <c r="MPI115" s="181"/>
      <c r="MPJ115" s="182"/>
      <c r="MPK115" s="181"/>
      <c r="MPL115" s="182"/>
      <c r="MPM115" s="181"/>
      <c r="MPN115" s="182"/>
      <c r="MPO115" s="181"/>
      <c r="MPP115" s="182"/>
      <c r="MPQ115" s="181"/>
      <c r="MPR115" s="182"/>
      <c r="MPS115" s="181"/>
      <c r="MPT115" s="182"/>
      <c r="MPU115" s="181"/>
      <c r="MPV115" s="182"/>
      <c r="MPW115" s="181"/>
      <c r="MPX115" s="182"/>
      <c r="MPY115" s="181"/>
      <c r="MPZ115" s="182"/>
      <c r="MQA115" s="181"/>
      <c r="MQB115" s="182"/>
      <c r="MQC115" s="181"/>
      <c r="MQD115" s="182"/>
      <c r="MQE115" s="181"/>
      <c r="MQF115" s="182"/>
      <c r="MQG115" s="181"/>
      <c r="MQH115" s="182"/>
      <c r="MQI115" s="181"/>
      <c r="MQJ115" s="182"/>
      <c r="MQK115" s="181"/>
      <c r="MQL115" s="182"/>
      <c r="MQM115" s="181"/>
      <c r="MQN115" s="182"/>
      <c r="MQO115" s="181"/>
      <c r="MQP115" s="182"/>
      <c r="MQQ115" s="181"/>
      <c r="MQR115" s="182"/>
      <c r="MQS115" s="181"/>
      <c r="MQT115" s="182"/>
      <c r="MQU115" s="181"/>
      <c r="MQV115" s="182"/>
      <c r="MQW115" s="181"/>
      <c r="MQX115" s="182"/>
      <c r="MQY115" s="181"/>
      <c r="MQZ115" s="182"/>
      <c r="MRA115" s="181"/>
      <c r="MRB115" s="182"/>
      <c r="MRC115" s="181"/>
      <c r="MRD115" s="182"/>
      <c r="MRE115" s="181"/>
      <c r="MRF115" s="182"/>
      <c r="MRG115" s="181"/>
      <c r="MRH115" s="182"/>
      <c r="MRI115" s="181"/>
      <c r="MRJ115" s="182"/>
      <c r="MRK115" s="181"/>
      <c r="MRL115" s="182"/>
      <c r="MRM115" s="181"/>
      <c r="MRN115" s="182"/>
      <c r="MRO115" s="181"/>
      <c r="MRP115" s="182"/>
      <c r="MRQ115" s="181"/>
      <c r="MRR115" s="182"/>
      <c r="MRS115" s="181"/>
      <c r="MRT115" s="182"/>
      <c r="MRU115" s="181"/>
      <c r="MRV115" s="182"/>
      <c r="MRW115" s="181"/>
      <c r="MRX115" s="182"/>
      <c r="MRY115" s="181"/>
      <c r="MRZ115" s="182"/>
      <c r="MSA115" s="181"/>
      <c r="MSB115" s="182"/>
      <c r="MSC115" s="181"/>
      <c r="MSD115" s="182"/>
      <c r="MSE115" s="181"/>
      <c r="MSF115" s="182"/>
      <c r="MSG115" s="181"/>
      <c r="MSH115" s="182"/>
      <c r="MSI115" s="181"/>
      <c r="MSJ115" s="182"/>
      <c r="MSK115" s="181"/>
      <c r="MSL115" s="182"/>
      <c r="MSM115" s="181"/>
      <c r="MSN115" s="182"/>
      <c r="MSO115" s="181"/>
      <c r="MSP115" s="182"/>
      <c r="MSQ115" s="181"/>
      <c r="MSR115" s="182"/>
      <c r="MSS115" s="181"/>
      <c r="MST115" s="182"/>
      <c r="MSU115" s="181"/>
      <c r="MSV115" s="182"/>
      <c r="MSW115" s="181"/>
      <c r="MSX115" s="182"/>
      <c r="MSY115" s="181"/>
      <c r="MSZ115" s="182"/>
      <c r="MTA115" s="181"/>
      <c r="MTB115" s="182"/>
      <c r="MTC115" s="181"/>
      <c r="MTD115" s="182"/>
      <c r="MTE115" s="181"/>
      <c r="MTF115" s="182"/>
      <c r="MTG115" s="181"/>
      <c r="MTH115" s="182"/>
      <c r="MTI115" s="181"/>
      <c r="MTJ115" s="182"/>
      <c r="MTK115" s="181"/>
      <c r="MTL115" s="182"/>
      <c r="MTM115" s="181"/>
      <c r="MTN115" s="182"/>
      <c r="MTO115" s="181"/>
      <c r="MTP115" s="182"/>
      <c r="MTQ115" s="181"/>
      <c r="MTR115" s="182"/>
      <c r="MTS115" s="181"/>
      <c r="MTT115" s="182"/>
      <c r="MTU115" s="181"/>
      <c r="MTV115" s="182"/>
      <c r="MTW115" s="181"/>
      <c r="MTX115" s="182"/>
      <c r="MTY115" s="181"/>
      <c r="MTZ115" s="182"/>
      <c r="MUA115" s="181"/>
      <c r="MUB115" s="182"/>
      <c r="MUC115" s="181"/>
      <c r="MUD115" s="182"/>
      <c r="MUE115" s="181"/>
      <c r="MUF115" s="182"/>
      <c r="MUG115" s="181"/>
      <c r="MUH115" s="182"/>
      <c r="MUI115" s="181"/>
      <c r="MUJ115" s="182"/>
      <c r="MUK115" s="181"/>
      <c r="MUL115" s="182"/>
      <c r="MUM115" s="181"/>
      <c r="MUN115" s="182"/>
      <c r="MUO115" s="181"/>
      <c r="MUP115" s="182"/>
      <c r="MUQ115" s="181"/>
      <c r="MUR115" s="182"/>
      <c r="MUS115" s="181"/>
      <c r="MUT115" s="182"/>
      <c r="MUU115" s="181"/>
      <c r="MUV115" s="182"/>
      <c r="MUW115" s="181"/>
      <c r="MUX115" s="182"/>
      <c r="MUY115" s="181"/>
      <c r="MUZ115" s="182"/>
      <c r="MVA115" s="181"/>
      <c r="MVB115" s="182"/>
      <c r="MVC115" s="181"/>
      <c r="MVD115" s="182"/>
      <c r="MVE115" s="181"/>
      <c r="MVF115" s="182"/>
      <c r="MVG115" s="181"/>
      <c r="MVH115" s="182"/>
      <c r="MVI115" s="181"/>
      <c r="MVJ115" s="182"/>
      <c r="MVK115" s="181"/>
      <c r="MVL115" s="182"/>
      <c r="MVM115" s="181"/>
      <c r="MVN115" s="182"/>
      <c r="MVO115" s="181"/>
      <c r="MVP115" s="182"/>
      <c r="MVQ115" s="181"/>
      <c r="MVR115" s="182"/>
      <c r="MVS115" s="181"/>
      <c r="MVT115" s="182"/>
      <c r="MVU115" s="181"/>
      <c r="MVV115" s="182"/>
      <c r="MVW115" s="181"/>
      <c r="MVX115" s="182"/>
      <c r="MVY115" s="181"/>
      <c r="MVZ115" s="182"/>
      <c r="MWA115" s="181"/>
      <c r="MWB115" s="182"/>
      <c r="MWC115" s="181"/>
      <c r="MWD115" s="182"/>
      <c r="MWE115" s="181"/>
      <c r="MWF115" s="182"/>
      <c r="MWG115" s="181"/>
      <c r="MWH115" s="182"/>
      <c r="MWI115" s="181"/>
      <c r="MWJ115" s="182"/>
      <c r="MWK115" s="181"/>
      <c r="MWL115" s="182"/>
      <c r="MWM115" s="181"/>
      <c r="MWN115" s="182"/>
      <c r="MWO115" s="181"/>
      <c r="MWP115" s="182"/>
      <c r="MWQ115" s="181"/>
      <c r="MWR115" s="182"/>
      <c r="MWS115" s="181"/>
      <c r="MWT115" s="182"/>
      <c r="MWU115" s="181"/>
      <c r="MWV115" s="182"/>
      <c r="MWW115" s="181"/>
      <c r="MWX115" s="182"/>
      <c r="MWY115" s="181"/>
      <c r="MWZ115" s="182"/>
      <c r="MXA115" s="181"/>
      <c r="MXB115" s="182"/>
      <c r="MXC115" s="181"/>
      <c r="MXD115" s="182"/>
      <c r="MXE115" s="181"/>
      <c r="MXF115" s="182"/>
      <c r="MXG115" s="181"/>
      <c r="MXH115" s="182"/>
      <c r="MXI115" s="181"/>
      <c r="MXJ115" s="182"/>
      <c r="MXK115" s="181"/>
      <c r="MXL115" s="182"/>
      <c r="MXM115" s="181"/>
      <c r="MXN115" s="182"/>
      <c r="MXO115" s="181"/>
      <c r="MXP115" s="182"/>
      <c r="MXQ115" s="181"/>
      <c r="MXR115" s="182"/>
      <c r="MXS115" s="181"/>
      <c r="MXT115" s="182"/>
      <c r="MXU115" s="181"/>
      <c r="MXV115" s="182"/>
      <c r="MXW115" s="181"/>
      <c r="MXX115" s="182"/>
      <c r="MXY115" s="181"/>
      <c r="MXZ115" s="182"/>
      <c r="MYA115" s="181"/>
      <c r="MYB115" s="182"/>
      <c r="MYC115" s="181"/>
      <c r="MYD115" s="182"/>
      <c r="MYE115" s="181"/>
      <c r="MYF115" s="182"/>
      <c r="MYG115" s="181"/>
      <c r="MYH115" s="182"/>
      <c r="MYI115" s="181"/>
      <c r="MYJ115" s="182"/>
      <c r="MYK115" s="181"/>
      <c r="MYL115" s="182"/>
      <c r="MYM115" s="181"/>
      <c r="MYN115" s="182"/>
      <c r="MYO115" s="181"/>
      <c r="MYP115" s="182"/>
      <c r="MYQ115" s="181"/>
      <c r="MYR115" s="182"/>
      <c r="MYS115" s="181"/>
      <c r="MYT115" s="182"/>
      <c r="MYU115" s="181"/>
      <c r="MYV115" s="182"/>
      <c r="MYW115" s="181"/>
      <c r="MYX115" s="182"/>
      <c r="MYY115" s="181"/>
      <c r="MYZ115" s="182"/>
      <c r="MZA115" s="181"/>
      <c r="MZB115" s="182"/>
      <c r="MZC115" s="181"/>
      <c r="MZD115" s="182"/>
      <c r="MZE115" s="181"/>
      <c r="MZF115" s="182"/>
      <c r="MZG115" s="181"/>
      <c r="MZH115" s="182"/>
      <c r="MZI115" s="181"/>
      <c r="MZJ115" s="182"/>
      <c r="MZK115" s="181"/>
      <c r="MZL115" s="182"/>
      <c r="MZM115" s="181"/>
      <c r="MZN115" s="182"/>
      <c r="MZO115" s="181"/>
      <c r="MZP115" s="182"/>
      <c r="MZQ115" s="181"/>
      <c r="MZR115" s="182"/>
      <c r="MZS115" s="181"/>
      <c r="MZT115" s="182"/>
      <c r="MZU115" s="181"/>
      <c r="MZV115" s="182"/>
      <c r="MZW115" s="181"/>
      <c r="MZX115" s="182"/>
      <c r="MZY115" s="181"/>
      <c r="MZZ115" s="182"/>
      <c r="NAA115" s="181"/>
      <c r="NAB115" s="182"/>
      <c r="NAC115" s="181"/>
      <c r="NAD115" s="182"/>
      <c r="NAE115" s="181"/>
      <c r="NAF115" s="182"/>
      <c r="NAG115" s="181"/>
      <c r="NAH115" s="182"/>
      <c r="NAI115" s="181"/>
      <c r="NAJ115" s="182"/>
      <c r="NAK115" s="181"/>
      <c r="NAL115" s="182"/>
      <c r="NAM115" s="181"/>
      <c r="NAN115" s="182"/>
      <c r="NAO115" s="181"/>
      <c r="NAP115" s="182"/>
      <c r="NAQ115" s="181"/>
      <c r="NAR115" s="182"/>
      <c r="NAS115" s="181"/>
      <c r="NAT115" s="182"/>
      <c r="NAU115" s="181"/>
      <c r="NAV115" s="182"/>
      <c r="NAW115" s="181"/>
      <c r="NAX115" s="182"/>
      <c r="NAY115" s="181"/>
      <c r="NAZ115" s="182"/>
      <c r="NBA115" s="181"/>
      <c r="NBB115" s="182"/>
      <c r="NBC115" s="181"/>
      <c r="NBD115" s="182"/>
      <c r="NBE115" s="181"/>
      <c r="NBF115" s="182"/>
      <c r="NBG115" s="181"/>
      <c r="NBH115" s="182"/>
      <c r="NBI115" s="181"/>
      <c r="NBJ115" s="182"/>
      <c r="NBK115" s="181"/>
      <c r="NBL115" s="182"/>
      <c r="NBM115" s="181"/>
      <c r="NBN115" s="182"/>
      <c r="NBO115" s="181"/>
      <c r="NBP115" s="182"/>
      <c r="NBQ115" s="181"/>
      <c r="NBR115" s="182"/>
      <c r="NBS115" s="181"/>
      <c r="NBT115" s="182"/>
      <c r="NBU115" s="181"/>
      <c r="NBV115" s="182"/>
      <c r="NBW115" s="181"/>
      <c r="NBX115" s="182"/>
      <c r="NBY115" s="181"/>
      <c r="NBZ115" s="182"/>
      <c r="NCA115" s="181"/>
      <c r="NCB115" s="182"/>
      <c r="NCC115" s="181"/>
      <c r="NCD115" s="182"/>
      <c r="NCE115" s="181"/>
      <c r="NCF115" s="182"/>
      <c r="NCG115" s="181"/>
      <c r="NCH115" s="182"/>
      <c r="NCI115" s="181"/>
      <c r="NCJ115" s="182"/>
      <c r="NCK115" s="181"/>
      <c r="NCL115" s="182"/>
      <c r="NCM115" s="181"/>
      <c r="NCN115" s="182"/>
      <c r="NCO115" s="181"/>
      <c r="NCP115" s="182"/>
      <c r="NCQ115" s="181"/>
      <c r="NCR115" s="182"/>
      <c r="NCS115" s="181"/>
      <c r="NCT115" s="182"/>
      <c r="NCU115" s="181"/>
      <c r="NCV115" s="182"/>
      <c r="NCW115" s="181"/>
      <c r="NCX115" s="182"/>
      <c r="NCY115" s="181"/>
      <c r="NCZ115" s="182"/>
      <c r="NDA115" s="181"/>
      <c r="NDB115" s="182"/>
      <c r="NDC115" s="181"/>
      <c r="NDD115" s="182"/>
      <c r="NDE115" s="181"/>
      <c r="NDF115" s="182"/>
      <c r="NDG115" s="181"/>
      <c r="NDH115" s="182"/>
      <c r="NDI115" s="181"/>
      <c r="NDJ115" s="182"/>
      <c r="NDK115" s="181"/>
      <c r="NDL115" s="182"/>
      <c r="NDM115" s="181"/>
      <c r="NDN115" s="182"/>
      <c r="NDO115" s="181"/>
      <c r="NDP115" s="182"/>
      <c r="NDQ115" s="181"/>
      <c r="NDR115" s="182"/>
      <c r="NDS115" s="181"/>
      <c r="NDT115" s="182"/>
      <c r="NDU115" s="181"/>
      <c r="NDV115" s="182"/>
      <c r="NDW115" s="181"/>
      <c r="NDX115" s="182"/>
      <c r="NDY115" s="181"/>
      <c r="NDZ115" s="182"/>
      <c r="NEA115" s="181"/>
      <c r="NEB115" s="182"/>
      <c r="NEC115" s="181"/>
      <c r="NED115" s="182"/>
      <c r="NEE115" s="181"/>
      <c r="NEF115" s="182"/>
      <c r="NEG115" s="181"/>
      <c r="NEH115" s="182"/>
      <c r="NEI115" s="181"/>
      <c r="NEJ115" s="182"/>
      <c r="NEK115" s="181"/>
      <c r="NEL115" s="182"/>
      <c r="NEM115" s="181"/>
      <c r="NEN115" s="182"/>
      <c r="NEO115" s="181"/>
      <c r="NEP115" s="182"/>
      <c r="NEQ115" s="181"/>
      <c r="NER115" s="182"/>
      <c r="NES115" s="181"/>
      <c r="NET115" s="182"/>
      <c r="NEU115" s="181"/>
      <c r="NEV115" s="182"/>
      <c r="NEW115" s="181"/>
      <c r="NEX115" s="182"/>
      <c r="NEY115" s="181"/>
      <c r="NEZ115" s="182"/>
      <c r="NFA115" s="181"/>
      <c r="NFB115" s="182"/>
      <c r="NFC115" s="181"/>
      <c r="NFD115" s="182"/>
      <c r="NFE115" s="181"/>
      <c r="NFF115" s="182"/>
      <c r="NFG115" s="181"/>
      <c r="NFH115" s="182"/>
      <c r="NFI115" s="181"/>
      <c r="NFJ115" s="182"/>
      <c r="NFK115" s="181"/>
      <c r="NFL115" s="182"/>
      <c r="NFM115" s="181"/>
      <c r="NFN115" s="182"/>
      <c r="NFO115" s="181"/>
      <c r="NFP115" s="182"/>
      <c r="NFQ115" s="181"/>
      <c r="NFR115" s="182"/>
      <c r="NFS115" s="181"/>
      <c r="NFT115" s="182"/>
      <c r="NFU115" s="181"/>
      <c r="NFV115" s="182"/>
      <c r="NFW115" s="181"/>
      <c r="NFX115" s="182"/>
      <c r="NFY115" s="181"/>
      <c r="NFZ115" s="182"/>
      <c r="NGA115" s="181"/>
      <c r="NGB115" s="182"/>
      <c r="NGC115" s="181"/>
      <c r="NGD115" s="182"/>
      <c r="NGE115" s="181"/>
      <c r="NGF115" s="182"/>
      <c r="NGG115" s="181"/>
      <c r="NGH115" s="182"/>
      <c r="NGI115" s="181"/>
      <c r="NGJ115" s="182"/>
      <c r="NGK115" s="181"/>
      <c r="NGL115" s="182"/>
      <c r="NGM115" s="181"/>
      <c r="NGN115" s="182"/>
      <c r="NGO115" s="181"/>
      <c r="NGP115" s="182"/>
      <c r="NGQ115" s="181"/>
      <c r="NGR115" s="182"/>
      <c r="NGS115" s="181"/>
      <c r="NGT115" s="182"/>
      <c r="NGU115" s="181"/>
      <c r="NGV115" s="182"/>
      <c r="NGW115" s="181"/>
      <c r="NGX115" s="182"/>
      <c r="NGY115" s="181"/>
      <c r="NGZ115" s="182"/>
      <c r="NHA115" s="181"/>
      <c r="NHB115" s="182"/>
      <c r="NHC115" s="181"/>
      <c r="NHD115" s="182"/>
      <c r="NHE115" s="181"/>
      <c r="NHF115" s="182"/>
      <c r="NHG115" s="181"/>
      <c r="NHH115" s="182"/>
      <c r="NHI115" s="181"/>
      <c r="NHJ115" s="182"/>
      <c r="NHK115" s="181"/>
      <c r="NHL115" s="182"/>
      <c r="NHM115" s="181"/>
      <c r="NHN115" s="182"/>
      <c r="NHO115" s="181"/>
      <c r="NHP115" s="182"/>
      <c r="NHQ115" s="181"/>
      <c r="NHR115" s="182"/>
      <c r="NHS115" s="181"/>
      <c r="NHT115" s="182"/>
      <c r="NHU115" s="181"/>
      <c r="NHV115" s="182"/>
      <c r="NHW115" s="181"/>
      <c r="NHX115" s="182"/>
      <c r="NHY115" s="181"/>
      <c r="NHZ115" s="182"/>
      <c r="NIA115" s="181"/>
      <c r="NIB115" s="182"/>
      <c r="NIC115" s="181"/>
      <c r="NID115" s="182"/>
      <c r="NIE115" s="181"/>
      <c r="NIF115" s="182"/>
      <c r="NIG115" s="181"/>
      <c r="NIH115" s="182"/>
      <c r="NII115" s="181"/>
      <c r="NIJ115" s="182"/>
      <c r="NIK115" s="181"/>
      <c r="NIL115" s="182"/>
      <c r="NIM115" s="181"/>
      <c r="NIN115" s="182"/>
      <c r="NIO115" s="181"/>
      <c r="NIP115" s="182"/>
      <c r="NIQ115" s="181"/>
      <c r="NIR115" s="182"/>
      <c r="NIS115" s="181"/>
      <c r="NIT115" s="182"/>
      <c r="NIU115" s="181"/>
      <c r="NIV115" s="182"/>
      <c r="NIW115" s="181"/>
      <c r="NIX115" s="182"/>
      <c r="NIY115" s="181"/>
      <c r="NIZ115" s="182"/>
      <c r="NJA115" s="181"/>
      <c r="NJB115" s="182"/>
      <c r="NJC115" s="181"/>
      <c r="NJD115" s="182"/>
      <c r="NJE115" s="181"/>
      <c r="NJF115" s="182"/>
      <c r="NJG115" s="181"/>
      <c r="NJH115" s="182"/>
      <c r="NJI115" s="181"/>
      <c r="NJJ115" s="182"/>
      <c r="NJK115" s="181"/>
      <c r="NJL115" s="182"/>
      <c r="NJM115" s="181"/>
      <c r="NJN115" s="182"/>
      <c r="NJO115" s="181"/>
      <c r="NJP115" s="182"/>
      <c r="NJQ115" s="181"/>
      <c r="NJR115" s="182"/>
      <c r="NJS115" s="181"/>
      <c r="NJT115" s="182"/>
      <c r="NJU115" s="181"/>
      <c r="NJV115" s="182"/>
      <c r="NJW115" s="181"/>
      <c r="NJX115" s="182"/>
      <c r="NJY115" s="181"/>
      <c r="NJZ115" s="182"/>
      <c r="NKA115" s="181"/>
      <c r="NKB115" s="182"/>
      <c r="NKC115" s="181"/>
      <c r="NKD115" s="182"/>
      <c r="NKE115" s="181"/>
      <c r="NKF115" s="182"/>
      <c r="NKG115" s="181"/>
      <c r="NKH115" s="182"/>
      <c r="NKI115" s="181"/>
      <c r="NKJ115" s="182"/>
      <c r="NKK115" s="181"/>
      <c r="NKL115" s="182"/>
      <c r="NKM115" s="181"/>
      <c r="NKN115" s="182"/>
      <c r="NKO115" s="181"/>
      <c r="NKP115" s="182"/>
      <c r="NKQ115" s="181"/>
      <c r="NKR115" s="182"/>
      <c r="NKS115" s="181"/>
      <c r="NKT115" s="182"/>
      <c r="NKU115" s="181"/>
      <c r="NKV115" s="182"/>
      <c r="NKW115" s="181"/>
      <c r="NKX115" s="182"/>
      <c r="NKY115" s="181"/>
      <c r="NKZ115" s="182"/>
      <c r="NLA115" s="181"/>
      <c r="NLB115" s="182"/>
      <c r="NLC115" s="181"/>
      <c r="NLD115" s="182"/>
      <c r="NLE115" s="181"/>
      <c r="NLF115" s="182"/>
      <c r="NLG115" s="181"/>
      <c r="NLH115" s="182"/>
      <c r="NLI115" s="181"/>
      <c r="NLJ115" s="182"/>
      <c r="NLK115" s="181"/>
      <c r="NLL115" s="182"/>
      <c r="NLM115" s="181"/>
      <c r="NLN115" s="182"/>
      <c r="NLO115" s="181"/>
      <c r="NLP115" s="182"/>
      <c r="NLQ115" s="181"/>
      <c r="NLR115" s="182"/>
      <c r="NLS115" s="181"/>
      <c r="NLT115" s="182"/>
      <c r="NLU115" s="181"/>
      <c r="NLV115" s="182"/>
      <c r="NLW115" s="181"/>
      <c r="NLX115" s="182"/>
      <c r="NLY115" s="181"/>
      <c r="NLZ115" s="182"/>
      <c r="NMA115" s="181"/>
      <c r="NMB115" s="182"/>
      <c r="NMC115" s="181"/>
      <c r="NMD115" s="182"/>
      <c r="NME115" s="181"/>
      <c r="NMF115" s="182"/>
      <c r="NMG115" s="181"/>
      <c r="NMH115" s="182"/>
      <c r="NMI115" s="181"/>
      <c r="NMJ115" s="182"/>
      <c r="NMK115" s="181"/>
      <c r="NML115" s="182"/>
      <c r="NMM115" s="181"/>
      <c r="NMN115" s="182"/>
      <c r="NMO115" s="181"/>
      <c r="NMP115" s="182"/>
      <c r="NMQ115" s="181"/>
      <c r="NMR115" s="182"/>
      <c r="NMS115" s="181"/>
      <c r="NMT115" s="182"/>
      <c r="NMU115" s="181"/>
      <c r="NMV115" s="182"/>
      <c r="NMW115" s="181"/>
      <c r="NMX115" s="182"/>
      <c r="NMY115" s="181"/>
      <c r="NMZ115" s="182"/>
      <c r="NNA115" s="181"/>
      <c r="NNB115" s="182"/>
      <c r="NNC115" s="181"/>
      <c r="NND115" s="182"/>
      <c r="NNE115" s="181"/>
      <c r="NNF115" s="182"/>
      <c r="NNG115" s="181"/>
      <c r="NNH115" s="182"/>
      <c r="NNI115" s="181"/>
      <c r="NNJ115" s="182"/>
      <c r="NNK115" s="181"/>
      <c r="NNL115" s="182"/>
      <c r="NNM115" s="181"/>
      <c r="NNN115" s="182"/>
      <c r="NNO115" s="181"/>
      <c r="NNP115" s="182"/>
      <c r="NNQ115" s="181"/>
      <c r="NNR115" s="182"/>
      <c r="NNS115" s="181"/>
      <c r="NNT115" s="182"/>
      <c r="NNU115" s="181"/>
      <c r="NNV115" s="182"/>
      <c r="NNW115" s="181"/>
      <c r="NNX115" s="182"/>
      <c r="NNY115" s="181"/>
      <c r="NNZ115" s="182"/>
      <c r="NOA115" s="181"/>
      <c r="NOB115" s="182"/>
      <c r="NOC115" s="181"/>
      <c r="NOD115" s="182"/>
      <c r="NOE115" s="181"/>
      <c r="NOF115" s="182"/>
      <c r="NOG115" s="181"/>
      <c r="NOH115" s="182"/>
      <c r="NOI115" s="181"/>
      <c r="NOJ115" s="182"/>
      <c r="NOK115" s="181"/>
      <c r="NOL115" s="182"/>
      <c r="NOM115" s="181"/>
      <c r="NON115" s="182"/>
      <c r="NOO115" s="181"/>
      <c r="NOP115" s="182"/>
      <c r="NOQ115" s="181"/>
      <c r="NOR115" s="182"/>
      <c r="NOS115" s="181"/>
      <c r="NOT115" s="182"/>
      <c r="NOU115" s="181"/>
      <c r="NOV115" s="182"/>
      <c r="NOW115" s="181"/>
      <c r="NOX115" s="182"/>
      <c r="NOY115" s="181"/>
      <c r="NOZ115" s="182"/>
      <c r="NPA115" s="181"/>
      <c r="NPB115" s="182"/>
      <c r="NPC115" s="181"/>
      <c r="NPD115" s="182"/>
      <c r="NPE115" s="181"/>
      <c r="NPF115" s="182"/>
      <c r="NPG115" s="181"/>
      <c r="NPH115" s="182"/>
      <c r="NPI115" s="181"/>
      <c r="NPJ115" s="182"/>
      <c r="NPK115" s="181"/>
      <c r="NPL115" s="182"/>
      <c r="NPM115" s="181"/>
      <c r="NPN115" s="182"/>
      <c r="NPO115" s="181"/>
      <c r="NPP115" s="182"/>
      <c r="NPQ115" s="181"/>
      <c r="NPR115" s="182"/>
      <c r="NPS115" s="181"/>
      <c r="NPT115" s="182"/>
      <c r="NPU115" s="181"/>
      <c r="NPV115" s="182"/>
      <c r="NPW115" s="181"/>
      <c r="NPX115" s="182"/>
      <c r="NPY115" s="181"/>
      <c r="NPZ115" s="182"/>
      <c r="NQA115" s="181"/>
      <c r="NQB115" s="182"/>
      <c r="NQC115" s="181"/>
      <c r="NQD115" s="182"/>
      <c r="NQE115" s="181"/>
      <c r="NQF115" s="182"/>
      <c r="NQG115" s="181"/>
      <c r="NQH115" s="182"/>
      <c r="NQI115" s="181"/>
      <c r="NQJ115" s="182"/>
      <c r="NQK115" s="181"/>
      <c r="NQL115" s="182"/>
      <c r="NQM115" s="181"/>
      <c r="NQN115" s="182"/>
      <c r="NQO115" s="181"/>
      <c r="NQP115" s="182"/>
      <c r="NQQ115" s="181"/>
      <c r="NQR115" s="182"/>
      <c r="NQS115" s="181"/>
      <c r="NQT115" s="182"/>
      <c r="NQU115" s="181"/>
      <c r="NQV115" s="182"/>
      <c r="NQW115" s="181"/>
      <c r="NQX115" s="182"/>
      <c r="NQY115" s="181"/>
      <c r="NQZ115" s="182"/>
      <c r="NRA115" s="181"/>
      <c r="NRB115" s="182"/>
      <c r="NRC115" s="181"/>
      <c r="NRD115" s="182"/>
      <c r="NRE115" s="181"/>
      <c r="NRF115" s="182"/>
      <c r="NRG115" s="181"/>
      <c r="NRH115" s="182"/>
      <c r="NRI115" s="181"/>
      <c r="NRJ115" s="182"/>
      <c r="NRK115" s="181"/>
      <c r="NRL115" s="182"/>
      <c r="NRM115" s="181"/>
      <c r="NRN115" s="182"/>
      <c r="NRO115" s="181"/>
      <c r="NRP115" s="182"/>
      <c r="NRQ115" s="181"/>
      <c r="NRR115" s="182"/>
      <c r="NRS115" s="181"/>
      <c r="NRT115" s="182"/>
      <c r="NRU115" s="181"/>
      <c r="NRV115" s="182"/>
      <c r="NRW115" s="181"/>
      <c r="NRX115" s="182"/>
      <c r="NRY115" s="181"/>
      <c r="NRZ115" s="182"/>
      <c r="NSA115" s="181"/>
      <c r="NSB115" s="182"/>
      <c r="NSC115" s="181"/>
      <c r="NSD115" s="182"/>
      <c r="NSE115" s="181"/>
      <c r="NSF115" s="182"/>
      <c r="NSG115" s="181"/>
      <c r="NSH115" s="182"/>
      <c r="NSI115" s="181"/>
      <c r="NSJ115" s="182"/>
      <c r="NSK115" s="181"/>
      <c r="NSL115" s="182"/>
      <c r="NSM115" s="181"/>
      <c r="NSN115" s="182"/>
      <c r="NSO115" s="181"/>
      <c r="NSP115" s="182"/>
      <c r="NSQ115" s="181"/>
      <c r="NSR115" s="182"/>
      <c r="NSS115" s="181"/>
      <c r="NST115" s="182"/>
      <c r="NSU115" s="181"/>
      <c r="NSV115" s="182"/>
      <c r="NSW115" s="181"/>
      <c r="NSX115" s="182"/>
      <c r="NSY115" s="181"/>
      <c r="NSZ115" s="182"/>
      <c r="NTA115" s="181"/>
      <c r="NTB115" s="182"/>
      <c r="NTC115" s="181"/>
      <c r="NTD115" s="182"/>
      <c r="NTE115" s="181"/>
      <c r="NTF115" s="182"/>
      <c r="NTG115" s="181"/>
      <c r="NTH115" s="182"/>
      <c r="NTI115" s="181"/>
      <c r="NTJ115" s="182"/>
      <c r="NTK115" s="181"/>
      <c r="NTL115" s="182"/>
      <c r="NTM115" s="181"/>
      <c r="NTN115" s="182"/>
      <c r="NTO115" s="181"/>
      <c r="NTP115" s="182"/>
      <c r="NTQ115" s="181"/>
      <c r="NTR115" s="182"/>
      <c r="NTS115" s="181"/>
      <c r="NTT115" s="182"/>
      <c r="NTU115" s="181"/>
      <c r="NTV115" s="182"/>
      <c r="NTW115" s="181"/>
      <c r="NTX115" s="182"/>
      <c r="NTY115" s="181"/>
      <c r="NTZ115" s="182"/>
      <c r="NUA115" s="181"/>
      <c r="NUB115" s="182"/>
      <c r="NUC115" s="181"/>
      <c r="NUD115" s="182"/>
      <c r="NUE115" s="181"/>
      <c r="NUF115" s="182"/>
      <c r="NUG115" s="181"/>
      <c r="NUH115" s="182"/>
      <c r="NUI115" s="181"/>
      <c r="NUJ115" s="182"/>
      <c r="NUK115" s="181"/>
      <c r="NUL115" s="182"/>
      <c r="NUM115" s="181"/>
      <c r="NUN115" s="182"/>
      <c r="NUO115" s="181"/>
      <c r="NUP115" s="182"/>
      <c r="NUQ115" s="181"/>
      <c r="NUR115" s="182"/>
      <c r="NUS115" s="181"/>
      <c r="NUT115" s="182"/>
      <c r="NUU115" s="181"/>
      <c r="NUV115" s="182"/>
      <c r="NUW115" s="181"/>
      <c r="NUX115" s="182"/>
      <c r="NUY115" s="181"/>
      <c r="NUZ115" s="182"/>
      <c r="NVA115" s="181"/>
      <c r="NVB115" s="182"/>
      <c r="NVC115" s="181"/>
      <c r="NVD115" s="182"/>
      <c r="NVE115" s="181"/>
      <c r="NVF115" s="182"/>
      <c r="NVG115" s="181"/>
      <c r="NVH115" s="182"/>
      <c r="NVI115" s="181"/>
      <c r="NVJ115" s="182"/>
      <c r="NVK115" s="181"/>
      <c r="NVL115" s="182"/>
      <c r="NVM115" s="181"/>
      <c r="NVN115" s="182"/>
      <c r="NVO115" s="181"/>
      <c r="NVP115" s="182"/>
      <c r="NVQ115" s="181"/>
      <c r="NVR115" s="182"/>
      <c r="NVS115" s="181"/>
      <c r="NVT115" s="182"/>
      <c r="NVU115" s="181"/>
      <c r="NVV115" s="182"/>
      <c r="NVW115" s="181"/>
      <c r="NVX115" s="182"/>
      <c r="NVY115" s="181"/>
      <c r="NVZ115" s="182"/>
      <c r="NWA115" s="181"/>
      <c r="NWB115" s="182"/>
      <c r="NWC115" s="181"/>
      <c r="NWD115" s="182"/>
      <c r="NWE115" s="181"/>
      <c r="NWF115" s="182"/>
      <c r="NWG115" s="181"/>
      <c r="NWH115" s="182"/>
      <c r="NWI115" s="181"/>
      <c r="NWJ115" s="182"/>
      <c r="NWK115" s="181"/>
      <c r="NWL115" s="182"/>
      <c r="NWM115" s="181"/>
      <c r="NWN115" s="182"/>
      <c r="NWO115" s="181"/>
      <c r="NWP115" s="182"/>
      <c r="NWQ115" s="181"/>
      <c r="NWR115" s="182"/>
      <c r="NWS115" s="181"/>
      <c r="NWT115" s="182"/>
      <c r="NWU115" s="181"/>
      <c r="NWV115" s="182"/>
      <c r="NWW115" s="181"/>
      <c r="NWX115" s="182"/>
      <c r="NWY115" s="181"/>
      <c r="NWZ115" s="182"/>
      <c r="NXA115" s="181"/>
      <c r="NXB115" s="182"/>
      <c r="NXC115" s="181"/>
      <c r="NXD115" s="182"/>
      <c r="NXE115" s="181"/>
      <c r="NXF115" s="182"/>
      <c r="NXG115" s="181"/>
      <c r="NXH115" s="182"/>
      <c r="NXI115" s="181"/>
      <c r="NXJ115" s="182"/>
      <c r="NXK115" s="181"/>
      <c r="NXL115" s="182"/>
      <c r="NXM115" s="181"/>
      <c r="NXN115" s="182"/>
      <c r="NXO115" s="181"/>
      <c r="NXP115" s="182"/>
      <c r="NXQ115" s="181"/>
      <c r="NXR115" s="182"/>
      <c r="NXS115" s="181"/>
      <c r="NXT115" s="182"/>
      <c r="NXU115" s="181"/>
      <c r="NXV115" s="182"/>
      <c r="NXW115" s="181"/>
      <c r="NXX115" s="182"/>
      <c r="NXY115" s="181"/>
      <c r="NXZ115" s="182"/>
      <c r="NYA115" s="181"/>
      <c r="NYB115" s="182"/>
      <c r="NYC115" s="181"/>
      <c r="NYD115" s="182"/>
      <c r="NYE115" s="181"/>
      <c r="NYF115" s="182"/>
      <c r="NYG115" s="181"/>
      <c r="NYH115" s="182"/>
      <c r="NYI115" s="181"/>
      <c r="NYJ115" s="182"/>
      <c r="NYK115" s="181"/>
      <c r="NYL115" s="182"/>
      <c r="NYM115" s="181"/>
      <c r="NYN115" s="182"/>
      <c r="NYO115" s="181"/>
      <c r="NYP115" s="182"/>
      <c r="NYQ115" s="181"/>
      <c r="NYR115" s="182"/>
      <c r="NYS115" s="181"/>
      <c r="NYT115" s="182"/>
      <c r="NYU115" s="181"/>
      <c r="NYV115" s="182"/>
      <c r="NYW115" s="181"/>
      <c r="NYX115" s="182"/>
      <c r="NYY115" s="181"/>
      <c r="NYZ115" s="182"/>
      <c r="NZA115" s="181"/>
      <c r="NZB115" s="182"/>
      <c r="NZC115" s="181"/>
      <c r="NZD115" s="182"/>
      <c r="NZE115" s="181"/>
      <c r="NZF115" s="182"/>
      <c r="NZG115" s="181"/>
      <c r="NZH115" s="182"/>
      <c r="NZI115" s="181"/>
      <c r="NZJ115" s="182"/>
      <c r="NZK115" s="181"/>
      <c r="NZL115" s="182"/>
      <c r="NZM115" s="181"/>
      <c r="NZN115" s="182"/>
      <c r="NZO115" s="181"/>
      <c r="NZP115" s="182"/>
      <c r="NZQ115" s="181"/>
      <c r="NZR115" s="182"/>
      <c r="NZS115" s="181"/>
      <c r="NZT115" s="182"/>
      <c r="NZU115" s="181"/>
      <c r="NZV115" s="182"/>
      <c r="NZW115" s="181"/>
      <c r="NZX115" s="182"/>
      <c r="NZY115" s="181"/>
      <c r="NZZ115" s="182"/>
      <c r="OAA115" s="181"/>
      <c r="OAB115" s="182"/>
      <c r="OAC115" s="181"/>
      <c r="OAD115" s="182"/>
      <c r="OAE115" s="181"/>
      <c r="OAF115" s="182"/>
      <c r="OAG115" s="181"/>
      <c r="OAH115" s="182"/>
      <c r="OAI115" s="181"/>
      <c r="OAJ115" s="182"/>
      <c r="OAK115" s="181"/>
      <c r="OAL115" s="182"/>
      <c r="OAM115" s="181"/>
      <c r="OAN115" s="182"/>
      <c r="OAO115" s="181"/>
      <c r="OAP115" s="182"/>
      <c r="OAQ115" s="181"/>
      <c r="OAR115" s="182"/>
      <c r="OAS115" s="181"/>
      <c r="OAT115" s="182"/>
      <c r="OAU115" s="181"/>
      <c r="OAV115" s="182"/>
      <c r="OAW115" s="181"/>
      <c r="OAX115" s="182"/>
      <c r="OAY115" s="181"/>
      <c r="OAZ115" s="182"/>
      <c r="OBA115" s="181"/>
      <c r="OBB115" s="182"/>
      <c r="OBC115" s="181"/>
      <c r="OBD115" s="182"/>
      <c r="OBE115" s="181"/>
      <c r="OBF115" s="182"/>
      <c r="OBG115" s="181"/>
      <c r="OBH115" s="182"/>
      <c r="OBI115" s="181"/>
      <c r="OBJ115" s="182"/>
      <c r="OBK115" s="181"/>
      <c r="OBL115" s="182"/>
      <c r="OBM115" s="181"/>
      <c r="OBN115" s="182"/>
      <c r="OBO115" s="181"/>
      <c r="OBP115" s="182"/>
      <c r="OBQ115" s="181"/>
      <c r="OBR115" s="182"/>
      <c r="OBS115" s="181"/>
      <c r="OBT115" s="182"/>
      <c r="OBU115" s="181"/>
      <c r="OBV115" s="182"/>
      <c r="OBW115" s="181"/>
      <c r="OBX115" s="182"/>
      <c r="OBY115" s="181"/>
      <c r="OBZ115" s="182"/>
      <c r="OCA115" s="181"/>
      <c r="OCB115" s="182"/>
      <c r="OCC115" s="181"/>
      <c r="OCD115" s="182"/>
      <c r="OCE115" s="181"/>
      <c r="OCF115" s="182"/>
      <c r="OCG115" s="181"/>
      <c r="OCH115" s="182"/>
      <c r="OCI115" s="181"/>
      <c r="OCJ115" s="182"/>
      <c r="OCK115" s="181"/>
      <c r="OCL115" s="182"/>
      <c r="OCM115" s="181"/>
      <c r="OCN115" s="182"/>
      <c r="OCO115" s="181"/>
      <c r="OCP115" s="182"/>
      <c r="OCQ115" s="181"/>
      <c r="OCR115" s="182"/>
      <c r="OCS115" s="181"/>
      <c r="OCT115" s="182"/>
      <c r="OCU115" s="181"/>
      <c r="OCV115" s="182"/>
      <c r="OCW115" s="181"/>
      <c r="OCX115" s="182"/>
      <c r="OCY115" s="181"/>
      <c r="OCZ115" s="182"/>
      <c r="ODA115" s="181"/>
      <c r="ODB115" s="182"/>
      <c r="ODC115" s="181"/>
      <c r="ODD115" s="182"/>
      <c r="ODE115" s="181"/>
      <c r="ODF115" s="182"/>
      <c r="ODG115" s="181"/>
      <c r="ODH115" s="182"/>
      <c r="ODI115" s="181"/>
      <c r="ODJ115" s="182"/>
      <c r="ODK115" s="181"/>
      <c r="ODL115" s="182"/>
      <c r="ODM115" s="181"/>
      <c r="ODN115" s="182"/>
      <c r="ODO115" s="181"/>
      <c r="ODP115" s="182"/>
      <c r="ODQ115" s="181"/>
      <c r="ODR115" s="182"/>
      <c r="ODS115" s="181"/>
      <c r="ODT115" s="182"/>
      <c r="ODU115" s="181"/>
      <c r="ODV115" s="182"/>
      <c r="ODW115" s="181"/>
      <c r="ODX115" s="182"/>
      <c r="ODY115" s="181"/>
      <c r="ODZ115" s="182"/>
      <c r="OEA115" s="181"/>
      <c r="OEB115" s="182"/>
      <c r="OEC115" s="181"/>
      <c r="OED115" s="182"/>
      <c r="OEE115" s="181"/>
      <c r="OEF115" s="182"/>
      <c r="OEG115" s="181"/>
      <c r="OEH115" s="182"/>
      <c r="OEI115" s="181"/>
      <c r="OEJ115" s="182"/>
      <c r="OEK115" s="181"/>
      <c r="OEL115" s="182"/>
      <c r="OEM115" s="181"/>
      <c r="OEN115" s="182"/>
      <c r="OEO115" s="181"/>
      <c r="OEP115" s="182"/>
      <c r="OEQ115" s="181"/>
      <c r="OER115" s="182"/>
      <c r="OES115" s="181"/>
      <c r="OET115" s="182"/>
      <c r="OEU115" s="181"/>
      <c r="OEV115" s="182"/>
      <c r="OEW115" s="181"/>
      <c r="OEX115" s="182"/>
      <c r="OEY115" s="181"/>
      <c r="OEZ115" s="182"/>
      <c r="OFA115" s="181"/>
      <c r="OFB115" s="182"/>
      <c r="OFC115" s="181"/>
      <c r="OFD115" s="182"/>
      <c r="OFE115" s="181"/>
      <c r="OFF115" s="182"/>
      <c r="OFG115" s="181"/>
      <c r="OFH115" s="182"/>
      <c r="OFI115" s="181"/>
      <c r="OFJ115" s="182"/>
      <c r="OFK115" s="181"/>
      <c r="OFL115" s="182"/>
      <c r="OFM115" s="181"/>
      <c r="OFN115" s="182"/>
      <c r="OFO115" s="181"/>
      <c r="OFP115" s="182"/>
      <c r="OFQ115" s="181"/>
      <c r="OFR115" s="182"/>
      <c r="OFS115" s="181"/>
      <c r="OFT115" s="182"/>
      <c r="OFU115" s="181"/>
      <c r="OFV115" s="182"/>
      <c r="OFW115" s="181"/>
      <c r="OFX115" s="182"/>
      <c r="OFY115" s="181"/>
      <c r="OFZ115" s="182"/>
      <c r="OGA115" s="181"/>
      <c r="OGB115" s="182"/>
      <c r="OGC115" s="181"/>
      <c r="OGD115" s="182"/>
      <c r="OGE115" s="181"/>
      <c r="OGF115" s="182"/>
      <c r="OGG115" s="181"/>
      <c r="OGH115" s="182"/>
      <c r="OGI115" s="181"/>
      <c r="OGJ115" s="182"/>
      <c r="OGK115" s="181"/>
      <c r="OGL115" s="182"/>
      <c r="OGM115" s="181"/>
      <c r="OGN115" s="182"/>
      <c r="OGO115" s="181"/>
      <c r="OGP115" s="182"/>
      <c r="OGQ115" s="181"/>
      <c r="OGR115" s="182"/>
      <c r="OGS115" s="181"/>
      <c r="OGT115" s="182"/>
      <c r="OGU115" s="181"/>
      <c r="OGV115" s="182"/>
      <c r="OGW115" s="181"/>
      <c r="OGX115" s="182"/>
      <c r="OGY115" s="181"/>
      <c r="OGZ115" s="182"/>
      <c r="OHA115" s="181"/>
      <c r="OHB115" s="182"/>
      <c r="OHC115" s="181"/>
      <c r="OHD115" s="182"/>
      <c r="OHE115" s="181"/>
      <c r="OHF115" s="182"/>
      <c r="OHG115" s="181"/>
      <c r="OHH115" s="182"/>
      <c r="OHI115" s="181"/>
      <c r="OHJ115" s="182"/>
      <c r="OHK115" s="181"/>
      <c r="OHL115" s="182"/>
      <c r="OHM115" s="181"/>
      <c r="OHN115" s="182"/>
      <c r="OHO115" s="181"/>
      <c r="OHP115" s="182"/>
      <c r="OHQ115" s="181"/>
      <c r="OHR115" s="182"/>
      <c r="OHS115" s="181"/>
      <c r="OHT115" s="182"/>
      <c r="OHU115" s="181"/>
      <c r="OHV115" s="182"/>
      <c r="OHW115" s="181"/>
      <c r="OHX115" s="182"/>
      <c r="OHY115" s="181"/>
      <c r="OHZ115" s="182"/>
      <c r="OIA115" s="181"/>
      <c r="OIB115" s="182"/>
      <c r="OIC115" s="181"/>
      <c r="OID115" s="182"/>
      <c r="OIE115" s="181"/>
      <c r="OIF115" s="182"/>
      <c r="OIG115" s="181"/>
      <c r="OIH115" s="182"/>
      <c r="OII115" s="181"/>
      <c r="OIJ115" s="182"/>
      <c r="OIK115" s="181"/>
      <c r="OIL115" s="182"/>
      <c r="OIM115" s="181"/>
      <c r="OIN115" s="182"/>
      <c r="OIO115" s="181"/>
      <c r="OIP115" s="182"/>
      <c r="OIQ115" s="181"/>
      <c r="OIR115" s="182"/>
      <c r="OIS115" s="181"/>
      <c r="OIT115" s="182"/>
      <c r="OIU115" s="181"/>
      <c r="OIV115" s="182"/>
      <c r="OIW115" s="181"/>
      <c r="OIX115" s="182"/>
      <c r="OIY115" s="181"/>
      <c r="OIZ115" s="182"/>
      <c r="OJA115" s="181"/>
      <c r="OJB115" s="182"/>
      <c r="OJC115" s="181"/>
      <c r="OJD115" s="182"/>
      <c r="OJE115" s="181"/>
      <c r="OJF115" s="182"/>
      <c r="OJG115" s="181"/>
      <c r="OJH115" s="182"/>
      <c r="OJI115" s="181"/>
      <c r="OJJ115" s="182"/>
      <c r="OJK115" s="181"/>
      <c r="OJL115" s="182"/>
      <c r="OJM115" s="181"/>
      <c r="OJN115" s="182"/>
      <c r="OJO115" s="181"/>
      <c r="OJP115" s="182"/>
      <c r="OJQ115" s="181"/>
      <c r="OJR115" s="182"/>
      <c r="OJS115" s="181"/>
      <c r="OJT115" s="182"/>
      <c r="OJU115" s="181"/>
      <c r="OJV115" s="182"/>
      <c r="OJW115" s="181"/>
      <c r="OJX115" s="182"/>
      <c r="OJY115" s="181"/>
      <c r="OJZ115" s="182"/>
      <c r="OKA115" s="181"/>
      <c r="OKB115" s="182"/>
      <c r="OKC115" s="181"/>
      <c r="OKD115" s="182"/>
      <c r="OKE115" s="181"/>
      <c r="OKF115" s="182"/>
      <c r="OKG115" s="181"/>
      <c r="OKH115" s="182"/>
      <c r="OKI115" s="181"/>
      <c r="OKJ115" s="182"/>
      <c r="OKK115" s="181"/>
      <c r="OKL115" s="182"/>
      <c r="OKM115" s="181"/>
      <c r="OKN115" s="182"/>
      <c r="OKO115" s="181"/>
      <c r="OKP115" s="182"/>
      <c r="OKQ115" s="181"/>
      <c r="OKR115" s="182"/>
      <c r="OKS115" s="181"/>
      <c r="OKT115" s="182"/>
      <c r="OKU115" s="181"/>
      <c r="OKV115" s="182"/>
      <c r="OKW115" s="181"/>
      <c r="OKX115" s="182"/>
      <c r="OKY115" s="181"/>
      <c r="OKZ115" s="182"/>
      <c r="OLA115" s="181"/>
      <c r="OLB115" s="182"/>
      <c r="OLC115" s="181"/>
      <c r="OLD115" s="182"/>
      <c r="OLE115" s="181"/>
      <c r="OLF115" s="182"/>
      <c r="OLG115" s="181"/>
      <c r="OLH115" s="182"/>
      <c r="OLI115" s="181"/>
      <c r="OLJ115" s="182"/>
      <c r="OLK115" s="181"/>
      <c r="OLL115" s="182"/>
      <c r="OLM115" s="181"/>
      <c r="OLN115" s="182"/>
      <c r="OLO115" s="181"/>
      <c r="OLP115" s="182"/>
      <c r="OLQ115" s="181"/>
      <c r="OLR115" s="182"/>
      <c r="OLS115" s="181"/>
      <c r="OLT115" s="182"/>
      <c r="OLU115" s="181"/>
      <c r="OLV115" s="182"/>
      <c r="OLW115" s="181"/>
      <c r="OLX115" s="182"/>
      <c r="OLY115" s="181"/>
      <c r="OLZ115" s="182"/>
      <c r="OMA115" s="181"/>
      <c r="OMB115" s="182"/>
      <c r="OMC115" s="181"/>
      <c r="OMD115" s="182"/>
      <c r="OME115" s="181"/>
      <c r="OMF115" s="182"/>
      <c r="OMG115" s="181"/>
      <c r="OMH115" s="182"/>
      <c r="OMI115" s="181"/>
      <c r="OMJ115" s="182"/>
      <c r="OMK115" s="181"/>
      <c r="OML115" s="182"/>
      <c r="OMM115" s="181"/>
      <c r="OMN115" s="182"/>
      <c r="OMO115" s="181"/>
      <c r="OMP115" s="182"/>
      <c r="OMQ115" s="181"/>
      <c r="OMR115" s="182"/>
      <c r="OMS115" s="181"/>
      <c r="OMT115" s="182"/>
      <c r="OMU115" s="181"/>
      <c r="OMV115" s="182"/>
      <c r="OMW115" s="181"/>
      <c r="OMX115" s="182"/>
      <c r="OMY115" s="181"/>
      <c r="OMZ115" s="182"/>
      <c r="ONA115" s="181"/>
      <c r="ONB115" s="182"/>
      <c r="ONC115" s="181"/>
      <c r="OND115" s="182"/>
      <c r="ONE115" s="181"/>
      <c r="ONF115" s="182"/>
      <c r="ONG115" s="181"/>
      <c r="ONH115" s="182"/>
      <c r="ONI115" s="181"/>
      <c r="ONJ115" s="182"/>
      <c r="ONK115" s="181"/>
      <c r="ONL115" s="182"/>
      <c r="ONM115" s="181"/>
      <c r="ONN115" s="182"/>
      <c r="ONO115" s="181"/>
      <c r="ONP115" s="182"/>
      <c r="ONQ115" s="181"/>
      <c r="ONR115" s="182"/>
      <c r="ONS115" s="181"/>
      <c r="ONT115" s="182"/>
      <c r="ONU115" s="181"/>
      <c r="ONV115" s="182"/>
      <c r="ONW115" s="181"/>
      <c r="ONX115" s="182"/>
      <c r="ONY115" s="181"/>
      <c r="ONZ115" s="182"/>
      <c r="OOA115" s="181"/>
      <c r="OOB115" s="182"/>
      <c r="OOC115" s="181"/>
      <c r="OOD115" s="182"/>
      <c r="OOE115" s="181"/>
      <c r="OOF115" s="182"/>
      <c r="OOG115" s="181"/>
      <c r="OOH115" s="182"/>
      <c r="OOI115" s="181"/>
      <c r="OOJ115" s="182"/>
      <c r="OOK115" s="181"/>
      <c r="OOL115" s="182"/>
      <c r="OOM115" s="181"/>
      <c r="OON115" s="182"/>
      <c r="OOO115" s="181"/>
      <c r="OOP115" s="182"/>
      <c r="OOQ115" s="181"/>
      <c r="OOR115" s="182"/>
      <c r="OOS115" s="181"/>
      <c r="OOT115" s="182"/>
      <c r="OOU115" s="181"/>
      <c r="OOV115" s="182"/>
      <c r="OOW115" s="181"/>
      <c r="OOX115" s="182"/>
      <c r="OOY115" s="181"/>
      <c r="OOZ115" s="182"/>
      <c r="OPA115" s="181"/>
      <c r="OPB115" s="182"/>
      <c r="OPC115" s="181"/>
      <c r="OPD115" s="182"/>
      <c r="OPE115" s="181"/>
      <c r="OPF115" s="182"/>
      <c r="OPG115" s="181"/>
      <c r="OPH115" s="182"/>
      <c r="OPI115" s="181"/>
      <c r="OPJ115" s="182"/>
      <c r="OPK115" s="181"/>
      <c r="OPL115" s="182"/>
      <c r="OPM115" s="181"/>
      <c r="OPN115" s="182"/>
      <c r="OPO115" s="181"/>
      <c r="OPP115" s="182"/>
      <c r="OPQ115" s="181"/>
      <c r="OPR115" s="182"/>
      <c r="OPS115" s="181"/>
      <c r="OPT115" s="182"/>
      <c r="OPU115" s="181"/>
      <c r="OPV115" s="182"/>
      <c r="OPW115" s="181"/>
      <c r="OPX115" s="182"/>
      <c r="OPY115" s="181"/>
      <c r="OPZ115" s="182"/>
      <c r="OQA115" s="181"/>
      <c r="OQB115" s="182"/>
      <c r="OQC115" s="181"/>
      <c r="OQD115" s="182"/>
      <c r="OQE115" s="181"/>
      <c r="OQF115" s="182"/>
      <c r="OQG115" s="181"/>
      <c r="OQH115" s="182"/>
      <c r="OQI115" s="181"/>
      <c r="OQJ115" s="182"/>
      <c r="OQK115" s="181"/>
      <c r="OQL115" s="182"/>
      <c r="OQM115" s="181"/>
      <c r="OQN115" s="182"/>
      <c r="OQO115" s="181"/>
      <c r="OQP115" s="182"/>
      <c r="OQQ115" s="181"/>
      <c r="OQR115" s="182"/>
      <c r="OQS115" s="181"/>
      <c r="OQT115" s="182"/>
      <c r="OQU115" s="181"/>
      <c r="OQV115" s="182"/>
      <c r="OQW115" s="181"/>
      <c r="OQX115" s="182"/>
      <c r="OQY115" s="181"/>
      <c r="OQZ115" s="182"/>
      <c r="ORA115" s="181"/>
      <c r="ORB115" s="182"/>
      <c r="ORC115" s="181"/>
      <c r="ORD115" s="182"/>
      <c r="ORE115" s="181"/>
      <c r="ORF115" s="182"/>
      <c r="ORG115" s="181"/>
      <c r="ORH115" s="182"/>
      <c r="ORI115" s="181"/>
      <c r="ORJ115" s="182"/>
      <c r="ORK115" s="181"/>
      <c r="ORL115" s="182"/>
      <c r="ORM115" s="181"/>
      <c r="ORN115" s="182"/>
      <c r="ORO115" s="181"/>
      <c r="ORP115" s="182"/>
      <c r="ORQ115" s="181"/>
      <c r="ORR115" s="182"/>
      <c r="ORS115" s="181"/>
      <c r="ORT115" s="182"/>
      <c r="ORU115" s="181"/>
      <c r="ORV115" s="182"/>
      <c r="ORW115" s="181"/>
      <c r="ORX115" s="182"/>
      <c r="ORY115" s="181"/>
      <c r="ORZ115" s="182"/>
      <c r="OSA115" s="181"/>
      <c r="OSB115" s="182"/>
      <c r="OSC115" s="181"/>
      <c r="OSD115" s="182"/>
      <c r="OSE115" s="181"/>
      <c r="OSF115" s="182"/>
      <c r="OSG115" s="181"/>
      <c r="OSH115" s="182"/>
      <c r="OSI115" s="181"/>
      <c r="OSJ115" s="182"/>
      <c r="OSK115" s="181"/>
      <c r="OSL115" s="182"/>
      <c r="OSM115" s="181"/>
      <c r="OSN115" s="182"/>
      <c r="OSO115" s="181"/>
      <c r="OSP115" s="182"/>
      <c r="OSQ115" s="181"/>
      <c r="OSR115" s="182"/>
      <c r="OSS115" s="181"/>
      <c r="OST115" s="182"/>
      <c r="OSU115" s="181"/>
      <c r="OSV115" s="182"/>
      <c r="OSW115" s="181"/>
      <c r="OSX115" s="182"/>
      <c r="OSY115" s="181"/>
      <c r="OSZ115" s="182"/>
      <c r="OTA115" s="181"/>
      <c r="OTB115" s="182"/>
      <c r="OTC115" s="181"/>
      <c r="OTD115" s="182"/>
      <c r="OTE115" s="181"/>
      <c r="OTF115" s="182"/>
      <c r="OTG115" s="181"/>
      <c r="OTH115" s="182"/>
      <c r="OTI115" s="181"/>
      <c r="OTJ115" s="182"/>
      <c r="OTK115" s="181"/>
      <c r="OTL115" s="182"/>
      <c r="OTM115" s="181"/>
      <c r="OTN115" s="182"/>
      <c r="OTO115" s="181"/>
      <c r="OTP115" s="182"/>
      <c r="OTQ115" s="181"/>
      <c r="OTR115" s="182"/>
      <c r="OTS115" s="181"/>
      <c r="OTT115" s="182"/>
      <c r="OTU115" s="181"/>
      <c r="OTV115" s="182"/>
      <c r="OTW115" s="181"/>
      <c r="OTX115" s="182"/>
      <c r="OTY115" s="181"/>
      <c r="OTZ115" s="182"/>
      <c r="OUA115" s="181"/>
      <c r="OUB115" s="182"/>
      <c r="OUC115" s="181"/>
      <c r="OUD115" s="182"/>
      <c r="OUE115" s="181"/>
      <c r="OUF115" s="182"/>
      <c r="OUG115" s="181"/>
      <c r="OUH115" s="182"/>
      <c r="OUI115" s="181"/>
      <c r="OUJ115" s="182"/>
      <c r="OUK115" s="181"/>
      <c r="OUL115" s="182"/>
      <c r="OUM115" s="181"/>
      <c r="OUN115" s="182"/>
      <c r="OUO115" s="181"/>
      <c r="OUP115" s="182"/>
      <c r="OUQ115" s="181"/>
      <c r="OUR115" s="182"/>
      <c r="OUS115" s="181"/>
      <c r="OUT115" s="182"/>
      <c r="OUU115" s="181"/>
      <c r="OUV115" s="182"/>
      <c r="OUW115" s="181"/>
      <c r="OUX115" s="182"/>
      <c r="OUY115" s="181"/>
      <c r="OUZ115" s="182"/>
      <c r="OVA115" s="181"/>
      <c r="OVB115" s="182"/>
      <c r="OVC115" s="181"/>
      <c r="OVD115" s="182"/>
      <c r="OVE115" s="181"/>
      <c r="OVF115" s="182"/>
      <c r="OVG115" s="181"/>
      <c r="OVH115" s="182"/>
      <c r="OVI115" s="181"/>
      <c r="OVJ115" s="182"/>
      <c r="OVK115" s="181"/>
      <c r="OVL115" s="182"/>
      <c r="OVM115" s="181"/>
      <c r="OVN115" s="182"/>
      <c r="OVO115" s="181"/>
      <c r="OVP115" s="182"/>
      <c r="OVQ115" s="181"/>
      <c r="OVR115" s="182"/>
      <c r="OVS115" s="181"/>
      <c r="OVT115" s="182"/>
      <c r="OVU115" s="181"/>
      <c r="OVV115" s="182"/>
      <c r="OVW115" s="181"/>
      <c r="OVX115" s="182"/>
      <c r="OVY115" s="181"/>
      <c r="OVZ115" s="182"/>
      <c r="OWA115" s="181"/>
      <c r="OWB115" s="182"/>
      <c r="OWC115" s="181"/>
      <c r="OWD115" s="182"/>
      <c r="OWE115" s="181"/>
      <c r="OWF115" s="182"/>
      <c r="OWG115" s="181"/>
      <c r="OWH115" s="182"/>
      <c r="OWI115" s="181"/>
      <c r="OWJ115" s="182"/>
      <c r="OWK115" s="181"/>
      <c r="OWL115" s="182"/>
      <c r="OWM115" s="181"/>
      <c r="OWN115" s="182"/>
      <c r="OWO115" s="181"/>
      <c r="OWP115" s="182"/>
      <c r="OWQ115" s="181"/>
      <c r="OWR115" s="182"/>
      <c r="OWS115" s="181"/>
      <c r="OWT115" s="182"/>
      <c r="OWU115" s="181"/>
      <c r="OWV115" s="182"/>
      <c r="OWW115" s="181"/>
      <c r="OWX115" s="182"/>
      <c r="OWY115" s="181"/>
      <c r="OWZ115" s="182"/>
      <c r="OXA115" s="181"/>
      <c r="OXB115" s="182"/>
      <c r="OXC115" s="181"/>
      <c r="OXD115" s="182"/>
      <c r="OXE115" s="181"/>
      <c r="OXF115" s="182"/>
      <c r="OXG115" s="181"/>
      <c r="OXH115" s="182"/>
      <c r="OXI115" s="181"/>
      <c r="OXJ115" s="182"/>
      <c r="OXK115" s="181"/>
      <c r="OXL115" s="182"/>
      <c r="OXM115" s="181"/>
      <c r="OXN115" s="182"/>
      <c r="OXO115" s="181"/>
      <c r="OXP115" s="182"/>
      <c r="OXQ115" s="181"/>
      <c r="OXR115" s="182"/>
      <c r="OXS115" s="181"/>
      <c r="OXT115" s="182"/>
      <c r="OXU115" s="181"/>
      <c r="OXV115" s="182"/>
      <c r="OXW115" s="181"/>
      <c r="OXX115" s="182"/>
      <c r="OXY115" s="181"/>
      <c r="OXZ115" s="182"/>
      <c r="OYA115" s="181"/>
      <c r="OYB115" s="182"/>
      <c r="OYC115" s="181"/>
      <c r="OYD115" s="182"/>
      <c r="OYE115" s="181"/>
      <c r="OYF115" s="182"/>
      <c r="OYG115" s="181"/>
      <c r="OYH115" s="182"/>
      <c r="OYI115" s="181"/>
      <c r="OYJ115" s="182"/>
      <c r="OYK115" s="181"/>
      <c r="OYL115" s="182"/>
      <c r="OYM115" s="181"/>
      <c r="OYN115" s="182"/>
      <c r="OYO115" s="181"/>
      <c r="OYP115" s="182"/>
      <c r="OYQ115" s="181"/>
      <c r="OYR115" s="182"/>
      <c r="OYS115" s="181"/>
      <c r="OYT115" s="182"/>
      <c r="OYU115" s="181"/>
      <c r="OYV115" s="182"/>
      <c r="OYW115" s="181"/>
      <c r="OYX115" s="182"/>
      <c r="OYY115" s="181"/>
      <c r="OYZ115" s="182"/>
      <c r="OZA115" s="181"/>
      <c r="OZB115" s="182"/>
      <c r="OZC115" s="181"/>
      <c r="OZD115" s="182"/>
      <c r="OZE115" s="181"/>
      <c r="OZF115" s="182"/>
      <c r="OZG115" s="181"/>
      <c r="OZH115" s="182"/>
      <c r="OZI115" s="181"/>
      <c r="OZJ115" s="182"/>
      <c r="OZK115" s="181"/>
      <c r="OZL115" s="182"/>
      <c r="OZM115" s="181"/>
      <c r="OZN115" s="182"/>
      <c r="OZO115" s="181"/>
      <c r="OZP115" s="182"/>
      <c r="OZQ115" s="181"/>
      <c r="OZR115" s="182"/>
      <c r="OZS115" s="181"/>
      <c r="OZT115" s="182"/>
      <c r="OZU115" s="181"/>
      <c r="OZV115" s="182"/>
      <c r="OZW115" s="181"/>
      <c r="OZX115" s="182"/>
      <c r="OZY115" s="181"/>
      <c r="OZZ115" s="182"/>
      <c r="PAA115" s="181"/>
      <c r="PAB115" s="182"/>
      <c r="PAC115" s="181"/>
      <c r="PAD115" s="182"/>
      <c r="PAE115" s="181"/>
      <c r="PAF115" s="182"/>
      <c r="PAG115" s="181"/>
      <c r="PAH115" s="182"/>
      <c r="PAI115" s="181"/>
      <c r="PAJ115" s="182"/>
      <c r="PAK115" s="181"/>
      <c r="PAL115" s="182"/>
      <c r="PAM115" s="181"/>
      <c r="PAN115" s="182"/>
      <c r="PAO115" s="181"/>
      <c r="PAP115" s="182"/>
      <c r="PAQ115" s="181"/>
      <c r="PAR115" s="182"/>
      <c r="PAS115" s="181"/>
      <c r="PAT115" s="182"/>
      <c r="PAU115" s="181"/>
      <c r="PAV115" s="182"/>
      <c r="PAW115" s="181"/>
      <c r="PAX115" s="182"/>
      <c r="PAY115" s="181"/>
      <c r="PAZ115" s="182"/>
      <c r="PBA115" s="181"/>
      <c r="PBB115" s="182"/>
      <c r="PBC115" s="181"/>
      <c r="PBD115" s="182"/>
      <c r="PBE115" s="181"/>
      <c r="PBF115" s="182"/>
      <c r="PBG115" s="181"/>
      <c r="PBH115" s="182"/>
      <c r="PBI115" s="181"/>
      <c r="PBJ115" s="182"/>
      <c r="PBK115" s="181"/>
      <c r="PBL115" s="182"/>
      <c r="PBM115" s="181"/>
      <c r="PBN115" s="182"/>
      <c r="PBO115" s="181"/>
      <c r="PBP115" s="182"/>
      <c r="PBQ115" s="181"/>
      <c r="PBR115" s="182"/>
      <c r="PBS115" s="181"/>
      <c r="PBT115" s="182"/>
      <c r="PBU115" s="181"/>
      <c r="PBV115" s="182"/>
      <c r="PBW115" s="181"/>
      <c r="PBX115" s="182"/>
      <c r="PBY115" s="181"/>
      <c r="PBZ115" s="182"/>
      <c r="PCA115" s="181"/>
      <c r="PCB115" s="182"/>
      <c r="PCC115" s="181"/>
      <c r="PCD115" s="182"/>
      <c r="PCE115" s="181"/>
      <c r="PCF115" s="182"/>
      <c r="PCG115" s="181"/>
      <c r="PCH115" s="182"/>
      <c r="PCI115" s="181"/>
      <c r="PCJ115" s="182"/>
      <c r="PCK115" s="181"/>
      <c r="PCL115" s="182"/>
      <c r="PCM115" s="181"/>
      <c r="PCN115" s="182"/>
      <c r="PCO115" s="181"/>
      <c r="PCP115" s="182"/>
      <c r="PCQ115" s="181"/>
      <c r="PCR115" s="182"/>
      <c r="PCS115" s="181"/>
      <c r="PCT115" s="182"/>
      <c r="PCU115" s="181"/>
      <c r="PCV115" s="182"/>
      <c r="PCW115" s="181"/>
      <c r="PCX115" s="182"/>
      <c r="PCY115" s="181"/>
      <c r="PCZ115" s="182"/>
      <c r="PDA115" s="181"/>
      <c r="PDB115" s="182"/>
      <c r="PDC115" s="181"/>
      <c r="PDD115" s="182"/>
      <c r="PDE115" s="181"/>
      <c r="PDF115" s="182"/>
      <c r="PDG115" s="181"/>
      <c r="PDH115" s="182"/>
      <c r="PDI115" s="181"/>
      <c r="PDJ115" s="182"/>
      <c r="PDK115" s="181"/>
      <c r="PDL115" s="182"/>
      <c r="PDM115" s="181"/>
      <c r="PDN115" s="182"/>
      <c r="PDO115" s="181"/>
      <c r="PDP115" s="182"/>
      <c r="PDQ115" s="181"/>
      <c r="PDR115" s="182"/>
      <c r="PDS115" s="181"/>
      <c r="PDT115" s="182"/>
      <c r="PDU115" s="181"/>
      <c r="PDV115" s="182"/>
      <c r="PDW115" s="181"/>
      <c r="PDX115" s="182"/>
      <c r="PDY115" s="181"/>
      <c r="PDZ115" s="182"/>
      <c r="PEA115" s="181"/>
      <c r="PEB115" s="182"/>
      <c r="PEC115" s="181"/>
      <c r="PED115" s="182"/>
      <c r="PEE115" s="181"/>
      <c r="PEF115" s="182"/>
      <c r="PEG115" s="181"/>
      <c r="PEH115" s="182"/>
      <c r="PEI115" s="181"/>
      <c r="PEJ115" s="182"/>
      <c r="PEK115" s="181"/>
      <c r="PEL115" s="182"/>
      <c r="PEM115" s="181"/>
      <c r="PEN115" s="182"/>
      <c r="PEO115" s="181"/>
      <c r="PEP115" s="182"/>
      <c r="PEQ115" s="181"/>
      <c r="PER115" s="182"/>
      <c r="PES115" s="181"/>
      <c r="PET115" s="182"/>
      <c r="PEU115" s="181"/>
      <c r="PEV115" s="182"/>
      <c r="PEW115" s="181"/>
      <c r="PEX115" s="182"/>
      <c r="PEY115" s="181"/>
      <c r="PEZ115" s="182"/>
      <c r="PFA115" s="181"/>
      <c r="PFB115" s="182"/>
      <c r="PFC115" s="181"/>
      <c r="PFD115" s="182"/>
      <c r="PFE115" s="181"/>
      <c r="PFF115" s="182"/>
      <c r="PFG115" s="181"/>
      <c r="PFH115" s="182"/>
      <c r="PFI115" s="181"/>
      <c r="PFJ115" s="182"/>
      <c r="PFK115" s="181"/>
      <c r="PFL115" s="182"/>
      <c r="PFM115" s="181"/>
      <c r="PFN115" s="182"/>
      <c r="PFO115" s="181"/>
      <c r="PFP115" s="182"/>
      <c r="PFQ115" s="181"/>
      <c r="PFR115" s="182"/>
      <c r="PFS115" s="181"/>
      <c r="PFT115" s="182"/>
      <c r="PFU115" s="181"/>
      <c r="PFV115" s="182"/>
      <c r="PFW115" s="181"/>
      <c r="PFX115" s="182"/>
      <c r="PFY115" s="181"/>
      <c r="PFZ115" s="182"/>
      <c r="PGA115" s="181"/>
      <c r="PGB115" s="182"/>
      <c r="PGC115" s="181"/>
      <c r="PGD115" s="182"/>
      <c r="PGE115" s="181"/>
      <c r="PGF115" s="182"/>
      <c r="PGG115" s="181"/>
      <c r="PGH115" s="182"/>
      <c r="PGI115" s="181"/>
      <c r="PGJ115" s="182"/>
      <c r="PGK115" s="181"/>
      <c r="PGL115" s="182"/>
      <c r="PGM115" s="181"/>
      <c r="PGN115" s="182"/>
      <c r="PGO115" s="181"/>
      <c r="PGP115" s="182"/>
      <c r="PGQ115" s="181"/>
      <c r="PGR115" s="182"/>
      <c r="PGS115" s="181"/>
      <c r="PGT115" s="182"/>
      <c r="PGU115" s="181"/>
      <c r="PGV115" s="182"/>
      <c r="PGW115" s="181"/>
      <c r="PGX115" s="182"/>
      <c r="PGY115" s="181"/>
      <c r="PGZ115" s="182"/>
      <c r="PHA115" s="181"/>
      <c r="PHB115" s="182"/>
      <c r="PHC115" s="181"/>
      <c r="PHD115" s="182"/>
      <c r="PHE115" s="181"/>
      <c r="PHF115" s="182"/>
      <c r="PHG115" s="181"/>
      <c r="PHH115" s="182"/>
      <c r="PHI115" s="181"/>
      <c r="PHJ115" s="182"/>
      <c r="PHK115" s="181"/>
      <c r="PHL115" s="182"/>
      <c r="PHM115" s="181"/>
      <c r="PHN115" s="182"/>
      <c r="PHO115" s="181"/>
      <c r="PHP115" s="182"/>
      <c r="PHQ115" s="181"/>
      <c r="PHR115" s="182"/>
      <c r="PHS115" s="181"/>
      <c r="PHT115" s="182"/>
      <c r="PHU115" s="181"/>
      <c r="PHV115" s="182"/>
      <c r="PHW115" s="181"/>
      <c r="PHX115" s="182"/>
      <c r="PHY115" s="181"/>
      <c r="PHZ115" s="182"/>
      <c r="PIA115" s="181"/>
      <c r="PIB115" s="182"/>
      <c r="PIC115" s="181"/>
      <c r="PID115" s="182"/>
      <c r="PIE115" s="181"/>
      <c r="PIF115" s="182"/>
      <c r="PIG115" s="181"/>
      <c r="PIH115" s="182"/>
      <c r="PII115" s="181"/>
      <c r="PIJ115" s="182"/>
      <c r="PIK115" s="181"/>
      <c r="PIL115" s="182"/>
      <c r="PIM115" s="181"/>
      <c r="PIN115" s="182"/>
      <c r="PIO115" s="181"/>
      <c r="PIP115" s="182"/>
      <c r="PIQ115" s="181"/>
      <c r="PIR115" s="182"/>
      <c r="PIS115" s="181"/>
      <c r="PIT115" s="182"/>
      <c r="PIU115" s="181"/>
      <c r="PIV115" s="182"/>
      <c r="PIW115" s="181"/>
      <c r="PIX115" s="182"/>
      <c r="PIY115" s="181"/>
      <c r="PIZ115" s="182"/>
      <c r="PJA115" s="181"/>
      <c r="PJB115" s="182"/>
      <c r="PJC115" s="181"/>
      <c r="PJD115" s="182"/>
      <c r="PJE115" s="181"/>
      <c r="PJF115" s="182"/>
      <c r="PJG115" s="181"/>
      <c r="PJH115" s="182"/>
      <c r="PJI115" s="181"/>
      <c r="PJJ115" s="182"/>
      <c r="PJK115" s="181"/>
      <c r="PJL115" s="182"/>
      <c r="PJM115" s="181"/>
      <c r="PJN115" s="182"/>
      <c r="PJO115" s="181"/>
      <c r="PJP115" s="182"/>
      <c r="PJQ115" s="181"/>
      <c r="PJR115" s="182"/>
      <c r="PJS115" s="181"/>
      <c r="PJT115" s="182"/>
      <c r="PJU115" s="181"/>
      <c r="PJV115" s="182"/>
      <c r="PJW115" s="181"/>
      <c r="PJX115" s="182"/>
      <c r="PJY115" s="181"/>
      <c r="PJZ115" s="182"/>
      <c r="PKA115" s="181"/>
      <c r="PKB115" s="182"/>
      <c r="PKC115" s="181"/>
      <c r="PKD115" s="182"/>
      <c r="PKE115" s="181"/>
      <c r="PKF115" s="182"/>
      <c r="PKG115" s="181"/>
      <c r="PKH115" s="182"/>
      <c r="PKI115" s="181"/>
      <c r="PKJ115" s="182"/>
      <c r="PKK115" s="181"/>
      <c r="PKL115" s="182"/>
      <c r="PKM115" s="181"/>
      <c r="PKN115" s="182"/>
      <c r="PKO115" s="181"/>
      <c r="PKP115" s="182"/>
      <c r="PKQ115" s="181"/>
      <c r="PKR115" s="182"/>
      <c r="PKS115" s="181"/>
      <c r="PKT115" s="182"/>
      <c r="PKU115" s="181"/>
      <c r="PKV115" s="182"/>
      <c r="PKW115" s="181"/>
      <c r="PKX115" s="182"/>
      <c r="PKY115" s="181"/>
      <c r="PKZ115" s="182"/>
      <c r="PLA115" s="181"/>
      <c r="PLB115" s="182"/>
      <c r="PLC115" s="181"/>
      <c r="PLD115" s="182"/>
      <c r="PLE115" s="181"/>
      <c r="PLF115" s="182"/>
      <c r="PLG115" s="181"/>
      <c r="PLH115" s="182"/>
      <c r="PLI115" s="181"/>
      <c r="PLJ115" s="182"/>
      <c r="PLK115" s="181"/>
      <c r="PLL115" s="182"/>
      <c r="PLM115" s="181"/>
      <c r="PLN115" s="182"/>
      <c r="PLO115" s="181"/>
      <c r="PLP115" s="182"/>
      <c r="PLQ115" s="181"/>
      <c r="PLR115" s="182"/>
      <c r="PLS115" s="181"/>
      <c r="PLT115" s="182"/>
      <c r="PLU115" s="181"/>
      <c r="PLV115" s="182"/>
      <c r="PLW115" s="181"/>
      <c r="PLX115" s="182"/>
      <c r="PLY115" s="181"/>
      <c r="PLZ115" s="182"/>
      <c r="PMA115" s="181"/>
      <c r="PMB115" s="182"/>
      <c r="PMC115" s="181"/>
      <c r="PMD115" s="182"/>
      <c r="PME115" s="181"/>
      <c r="PMF115" s="182"/>
      <c r="PMG115" s="181"/>
      <c r="PMH115" s="182"/>
      <c r="PMI115" s="181"/>
      <c r="PMJ115" s="182"/>
      <c r="PMK115" s="181"/>
      <c r="PML115" s="182"/>
      <c r="PMM115" s="181"/>
      <c r="PMN115" s="182"/>
      <c r="PMO115" s="181"/>
      <c r="PMP115" s="182"/>
      <c r="PMQ115" s="181"/>
      <c r="PMR115" s="182"/>
      <c r="PMS115" s="181"/>
      <c r="PMT115" s="182"/>
      <c r="PMU115" s="181"/>
      <c r="PMV115" s="182"/>
      <c r="PMW115" s="181"/>
      <c r="PMX115" s="182"/>
      <c r="PMY115" s="181"/>
      <c r="PMZ115" s="182"/>
      <c r="PNA115" s="181"/>
      <c r="PNB115" s="182"/>
      <c r="PNC115" s="181"/>
      <c r="PND115" s="182"/>
      <c r="PNE115" s="181"/>
      <c r="PNF115" s="182"/>
      <c r="PNG115" s="181"/>
      <c r="PNH115" s="182"/>
      <c r="PNI115" s="181"/>
      <c r="PNJ115" s="182"/>
      <c r="PNK115" s="181"/>
      <c r="PNL115" s="182"/>
      <c r="PNM115" s="181"/>
      <c r="PNN115" s="182"/>
      <c r="PNO115" s="181"/>
      <c r="PNP115" s="182"/>
      <c r="PNQ115" s="181"/>
      <c r="PNR115" s="182"/>
      <c r="PNS115" s="181"/>
      <c r="PNT115" s="182"/>
      <c r="PNU115" s="181"/>
      <c r="PNV115" s="182"/>
      <c r="PNW115" s="181"/>
      <c r="PNX115" s="182"/>
      <c r="PNY115" s="181"/>
      <c r="PNZ115" s="182"/>
      <c r="POA115" s="181"/>
      <c r="POB115" s="182"/>
      <c r="POC115" s="181"/>
      <c r="POD115" s="182"/>
      <c r="POE115" s="181"/>
      <c r="POF115" s="182"/>
      <c r="POG115" s="181"/>
      <c r="POH115" s="182"/>
      <c r="POI115" s="181"/>
      <c r="POJ115" s="182"/>
      <c r="POK115" s="181"/>
      <c r="POL115" s="182"/>
      <c r="POM115" s="181"/>
      <c r="PON115" s="182"/>
      <c r="POO115" s="181"/>
      <c r="POP115" s="182"/>
      <c r="POQ115" s="181"/>
      <c r="POR115" s="182"/>
      <c r="POS115" s="181"/>
      <c r="POT115" s="182"/>
      <c r="POU115" s="181"/>
      <c r="POV115" s="182"/>
      <c r="POW115" s="181"/>
      <c r="POX115" s="182"/>
      <c r="POY115" s="181"/>
      <c r="POZ115" s="182"/>
      <c r="PPA115" s="181"/>
      <c r="PPB115" s="182"/>
      <c r="PPC115" s="181"/>
      <c r="PPD115" s="182"/>
      <c r="PPE115" s="181"/>
      <c r="PPF115" s="182"/>
      <c r="PPG115" s="181"/>
      <c r="PPH115" s="182"/>
      <c r="PPI115" s="181"/>
      <c r="PPJ115" s="182"/>
      <c r="PPK115" s="181"/>
      <c r="PPL115" s="182"/>
      <c r="PPM115" s="181"/>
      <c r="PPN115" s="182"/>
      <c r="PPO115" s="181"/>
      <c r="PPP115" s="182"/>
      <c r="PPQ115" s="181"/>
      <c r="PPR115" s="182"/>
      <c r="PPS115" s="181"/>
      <c r="PPT115" s="182"/>
      <c r="PPU115" s="181"/>
      <c r="PPV115" s="182"/>
      <c r="PPW115" s="181"/>
      <c r="PPX115" s="182"/>
      <c r="PPY115" s="181"/>
      <c r="PPZ115" s="182"/>
      <c r="PQA115" s="181"/>
      <c r="PQB115" s="182"/>
      <c r="PQC115" s="181"/>
      <c r="PQD115" s="182"/>
      <c r="PQE115" s="181"/>
      <c r="PQF115" s="182"/>
      <c r="PQG115" s="181"/>
      <c r="PQH115" s="182"/>
      <c r="PQI115" s="181"/>
      <c r="PQJ115" s="182"/>
      <c r="PQK115" s="181"/>
      <c r="PQL115" s="182"/>
      <c r="PQM115" s="181"/>
      <c r="PQN115" s="182"/>
      <c r="PQO115" s="181"/>
      <c r="PQP115" s="182"/>
      <c r="PQQ115" s="181"/>
      <c r="PQR115" s="182"/>
      <c r="PQS115" s="181"/>
      <c r="PQT115" s="182"/>
      <c r="PQU115" s="181"/>
      <c r="PQV115" s="182"/>
      <c r="PQW115" s="181"/>
      <c r="PQX115" s="182"/>
      <c r="PQY115" s="181"/>
      <c r="PQZ115" s="182"/>
      <c r="PRA115" s="181"/>
      <c r="PRB115" s="182"/>
      <c r="PRC115" s="181"/>
      <c r="PRD115" s="182"/>
      <c r="PRE115" s="181"/>
      <c r="PRF115" s="182"/>
      <c r="PRG115" s="181"/>
      <c r="PRH115" s="182"/>
      <c r="PRI115" s="181"/>
      <c r="PRJ115" s="182"/>
      <c r="PRK115" s="181"/>
      <c r="PRL115" s="182"/>
      <c r="PRM115" s="181"/>
      <c r="PRN115" s="182"/>
      <c r="PRO115" s="181"/>
      <c r="PRP115" s="182"/>
      <c r="PRQ115" s="181"/>
      <c r="PRR115" s="182"/>
      <c r="PRS115" s="181"/>
      <c r="PRT115" s="182"/>
      <c r="PRU115" s="181"/>
      <c r="PRV115" s="182"/>
      <c r="PRW115" s="181"/>
      <c r="PRX115" s="182"/>
      <c r="PRY115" s="181"/>
      <c r="PRZ115" s="182"/>
      <c r="PSA115" s="181"/>
      <c r="PSB115" s="182"/>
      <c r="PSC115" s="181"/>
      <c r="PSD115" s="182"/>
      <c r="PSE115" s="181"/>
      <c r="PSF115" s="182"/>
      <c r="PSG115" s="181"/>
      <c r="PSH115" s="182"/>
      <c r="PSI115" s="181"/>
      <c r="PSJ115" s="182"/>
      <c r="PSK115" s="181"/>
      <c r="PSL115" s="182"/>
      <c r="PSM115" s="181"/>
      <c r="PSN115" s="182"/>
      <c r="PSO115" s="181"/>
      <c r="PSP115" s="182"/>
      <c r="PSQ115" s="181"/>
      <c r="PSR115" s="182"/>
      <c r="PSS115" s="181"/>
      <c r="PST115" s="182"/>
      <c r="PSU115" s="181"/>
      <c r="PSV115" s="182"/>
      <c r="PSW115" s="181"/>
      <c r="PSX115" s="182"/>
      <c r="PSY115" s="181"/>
      <c r="PSZ115" s="182"/>
      <c r="PTA115" s="181"/>
      <c r="PTB115" s="182"/>
      <c r="PTC115" s="181"/>
      <c r="PTD115" s="182"/>
      <c r="PTE115" s="181"/>
      <c r="PTF115" s="182"/>
      <c r="PTG115" s="181"/>
      <c r="PTH115" s="182"/>
      <c r="PTI115" s="181"/>
      <c r="PTJ115" s="182"/>
      <c r="PTK115" s="181"/>
      <c r="PTL115" s="182"/>
      <c r="PTM115" s="181"/>
      <c r="PTN115" s="182"/>
      <c r="PTO115" s="181"/>
      <c r="PTP115" s="182"/>
      <c r="PTQ115" s="181"/>
      <c r="PTR115" s="182"/>
      <c r="PTS115" s="181"/>
      <c r="PTT115" s="182"/>
      <c r="PTU115" s="181"/>
      <c r="PTV115" s="182"/>
      <c r="PTW115" s="181"/>
      <c r="PTX115" s="182"/>
      <c r="PTY115" s="181"/>
      <c r="PTZ115" s="182"/>
      <c r="PUA115" s="181"/>
      <c r="PUB115" s="182"/>
      <c r="PUC115" s="181"/>
      <c r="PUD115" s="182"/>
      <c r="PUE115" s="181"/>
      <c r="PUF115" s="182"/>
      <c r="PUG115" s="181"/>
      <c r="PUH115" s="182"/>
      <c r="PUI115" s="181"/>
      <c r="PUJ115" s="182"/>
      <c r="PUK115" s="181"/>
      <c r="PUL115" s="182"/>
      <c r="PUM115" s="181"/>
      <c r="PUN115" s="182"/>
      <c r="PUO115" s="181"/>
      <c r="PUP115" s="182"/>
      <c r="PUQ115" s="181"/>
      <c r="PUR115" s="182"/>
      <c r="PUS115" s="181"/>
      <c r="PUT115" s="182"/>
      <c r="PUU115" s="181"/>
      <c r="PUV115" s="182"/>
      <c r="PUW115" s="181"/>
      <c r="PUX115" s="182"/>
      <c r="PUY115" s="181"/>
      <c r="PUZ115" s="182"/>
      <c r="PVA115" s="181"/>
      <c r="PVB115" s="182"/>
      <c r="PVC115" s="181"/>
      <c r="PVD115" s="182"/>
      <c r="PVE115" s="181"/>
      <c r="PVF115" s="182"/>
      <c r="PVG115" s="181"/>
      <c r="PVH115" s="182"/>
      <c r="PVI115" s="181"/>
      <c r="PVJ115" s="182"/>
      <c r="PVK115" s="181"/>
      <c r="PVL115" s="182"/>
      <c r="PVM115" s="181"/>
      <c r="PVN115" s="182"/>
      <c r="PVO115" s="181"/>
      <c r="PVP115" s="182"/>
      <c r="PVQ115" s="181"/>
      <c r="PVR115" s="182"/>
      <c r="PVS115" s="181"/>
      <c r="PVT115" s="182"/>
      <c r="PVU115" s="181"/>
      <c r="PVV115" s="182"/>
      <c r="PVW115" s="181"/>
      <c r="PVX115" s="182"/>
      <c r="PVY115" s="181"/>
      <c r="PVZ115" s="182"/>
      <c r="PWA115" s="181"/>
      <c r="PWB115" s="182"/>
      <c r="PWC115" s="181"/>
      <c r="PWD115" s="182"/>
      <c r="PWE115" s="181"/>
      <c r="PWF115" s="182"/>
      <c r="PWG115" s="181"/>
      <c r="PWH115" s="182"/>
      <c r="PWI115" s="181"/>
      <c r="PWJ115" s="182"/>
      <c r="PWK115" s="181"/>
      <c r="PWL115" s="182"/>
      <c r="PWM115" s="181"/>
      <c r="PWN115" s="182"/>
      <c r="PWO115" s="181"/>
      <c r="PWP115" s="182"/>
      <c r="PWQ115" s="181"/>
      <c r="PWR115" s="182"/>
      <c r="PWS115" s="181"/>
      <c r="PWT115" s="182"/>
      <c r="PWU115" s="181"/>
      <c r="PWV115" s="182"/>
      <c r="PWW115" s="181"/>
      <c r="PWX115" s="182"/>
      <c r="PWY115" s="181"/>
      <c r="PWZ115" s="182"/>
      <c r="PXA115" s="181"/>
      <c r="PXB115" s="182"/>
      <c r="PXC115" s="181"/>
      <c r="PXD115" s="182"/>
      <c r="PXE115" s="181"/>
      <c r="PXF115" s="182"/>
      <c r="PXG115" s="181"/>
      <c r="PXH115" s="182"/>
      <c r="PXI115" s="181"/>
      <c r="PXJ115" s="182"/>
      <c r="PXK115" s="181"/>
      <c r="PXL115" s="182"/>
      <c r="PXM115" s="181"/>
      <c r="PXN115" s="182"/>
      <c r="PXO115" s="181"/>
      <c r="PXP115" s="182"/>
      <c r="PXQ115" s="181"/>
      <c r="PXR115" s="182"/>
      <c r="PXS115" s="181"/>
      <c r="PXT115" s="182"/>
      <c r="PXU115" s="181"/>
      <c r="PXV115" s="182"/>
      <c r="PXW115" s="181"/>
      <c r="PXX115" s="182"/>
      <c r="PXY115" s="181"/>
      <c r="PXZ115" s="182"/>
      <c r="PYA115" s="181"/>
      <c r="PYB115" s="182"/>
      <c r="PYC115" s="181"/>
      <c r="PYD115" s="182"/>
      <c r="PYE115" s="181"/>
      <c r="PYF115" s="182"/>
      <c r="PYG115" s="181"/>
      <c r="PYH115" s="182"/>
      <c r="PYI115" s="181"/>
      <c r="PYJ115" s="182"/>
      <c r="PYK115" s="181"/>
      <c r="PYL115" s="182"/>
      <c r="PYM115" s="181"/>
      <c r="PYN115" s="182"/>
      <c r="PYO115" s="181"/>
      <c r="PYP115" s="182"/>
      <c r="PYQ115" s="181"/>
      <c r="PYR115" s="182"/>
      <c r="PYS115" s="181"/>
      <c r="PYT115" s="182"/>
      <c r="PYU115" s="181"/>
      <c r="PYV115" s="182"/>
      <c r="PYW115" s="181"/>
      <c r="PYX115" s="182"/>
      <c r="PYY115" s="181"/>
      <c r="PYZ115" s="182"/>
      <c r="PZA115" s="181"/>
      <c r="PZB115" s="182"/>
      <c r="PZC115" s="181"/>
      <c r="PZD115" s="182"/>
      <c r="PZE115" s="181"/>
      <c r="PZF115" s="182"/>
      <c r="PZG115" s="181"/>
      <c r="PZH115" s="182"/>
      <c r="PZI115" s="181"/>
      <c r="PZJ115" s="182"/>
      <c r="PZK115" s="181"/>
      <c r="PZL115" s="182"/>
      <c r="PZM115" s="181"/>
      <c r="PZN115" s="182"/>
      <c r="PZO115" s="181"/>
      <c r="PZP115" s="182"/>
      <c r="PZQ115" s="181"/>
      <c r="PZR115" s="182"/>
      <c r="PZS115" s="181"/>
      <c r="PZT115" s="182"/>
      <c r="PZU115" s="181"/>
      <c r="PZV115" s="182"/>
      <c r="PZW115" s="181"/>
      <c r="PZX115" s="182"/>
      <c r="PZY115" s="181"/>
      <c r="PZZ115" s="182"/>
      <c r="QAA115" s="181"/>
      <c r="QAB115" s="182"/>
      <c r="QAC115" s="181"/>
      <c r="QAD115" s="182"/>
      <c r="QAE115" s="181"/>
      <c r="QAF115" s="182"/>
      <c r="QAG115" s="181"/>
      <c r="QAH115" s="182"/>
      <c r="QAI115" s="181"/>
      <c r="QAJ115" s="182"/>
      <c r="QAK115" s="181"/>
      <c r="QAL115" s="182"/>
      <c r="QAM115" s="181"/>
      <c r="QAN115" s="182"/>
      <c r="QAO115" s="181"/>
      <c r="QAP115" s="182"/>
      <c r="QAQ115" s="181"/>
      <c r="QAR115" s="182"/>
      <c r="QAS115" s="181"/>
      <c r="QAT115" s="182"/>
      <c r="QAU115" s="181"/>
      <c r="QAV115" s="182"/>
      <c r="QAW115" s="181"/>
      <c r="QAX115" s="182"/>
      <c r="QAY115" s="181"/>
      <c r="QAZ115" s="182"/>
      <c r="QBA115" s="181"/>
      <c r="QBB115" s="182"/>
      <c r="QBC115" s="181"/>
      <c r="QBD115" s="182"/>
      <c r="QBE115" s="181"/>
      <c r="QBF115" s="182"/>
      <c r="QBG115" s="181"/>
      <c r="QBH115" s="182"/>
      <c r="QBI115" s="181"/>
      <c r="QBJ115" s="182"/>
      <c r="QBK115" s="181"/>
      <c r="QBL115" s="182"/>
      <c r="QBM115" s="181"/>
      <c r="QBN115" s="182"/>
      <c r="QBO115" s="181"/>
      <c r="QBP115" s="182"/>
      <c r="QBQ115" s="181"/>
      <c r="QBR115" s="182"/>
      <c r="QBS115" s="181"/>
      <c r="QBT115" s="182"/>
      <c r="QBU115" s="181"/>
      <c r="QBV115" s="182"/>
      <c r="QBW115" s="181"/>
      <c r="QBX115" s="182"/>
      <c r="QBY115" s="181"/>
      <c r="QBZ115" s="182"/>
      <c r="QCA115" s="181"/>
      <c r="QCB115" s="182"/>
      <c r="QCC115" s="181"/>
      <c r="QCD115" s="182"/>
      <c r="QCE115" s="181"/>
      <c r="QCF115" s="182"/>
      <c r="QCG115" s="181"/>
      <c r="QCH115" s="182"/>
      <c r="QCI115" s="181"/>
      <c r="QCJ115" s="182"/>
      <c r="QCK115" s="181"/>
      <c r="QCL115" s="182"/>
      <c r="QCM115" s="181"/>
      <c r="QCN115" s="182"/>
      <c r="QCO115" s="181"/>
      <c r="QCP115" s="182"/>
      <c r="QCQ115" s="181"/>
      <c r="QCR115" s="182"/>
      <c r="QCS115" s="181"/>
      <c r="QCT115" s="182"/>
      <c r="QCU115" s="181"/>
      <c r="QCV115" s="182"/>
      <c r="QCW115" s="181"/>
      <c r="QCX115" s="182"/>
      <c r="QCY115" s="181"/>
      <c r="QCZ115" s="182"/>
      <c r="QDA115" s="181"/>
      <c r="QDB115" s="182"/>
      <c r="QDC115" s="181"/>
      <c r="QDD115" s="182"/>
      <c r="QDE115" s="181"/>
      <c r="QDF115" s="182"/>
      <c r="QDG115" s="181"/>
      <c r="QDH115" s="182"/>
      <c r="QDI115" s="181"/>
      <c r="QDJ115" s="182"/>
      <c r="QDK115" s="181"/>
      <c r="QDL115" s="182"/>
      <c r="QDM115" s="181"/>
      <c r="QDN115" s="182"/>
      <c r="QDO115" s="181"/>
      <c r="QDP115" s="182"/>
      <c r="QDQ115" s="181"/>
      <c r="QDR115" s="182"/>
      <c r="QDS115" s="181"/>
      <c r="QDT115" s="182"/>
      <c r="QDU115" s="181"/>
      <c r="QDV115" s="182"/>
      <c r="QDW115" s="181"/>
      <c r="QDX115" s="182"/>
      <c r="QDY115" s="181"/>
      <c r="QDZ115" s="182"/>
      <c r="QEA115" s="181"/>
      <c r="QEB115" s="182"/>
      <c r="QEC115" s="181"/>
      <c r="QED115" s="182"/>
      <c r="QEE115" s="181"/>
      <c r="QEF115" s="182"/>
      <c r="QEG115" s="181"/>
      <c r="QEH115" s="182"/>
      <c r="QEI115" s="181"/>
      <c r="QEJ115" s="182"/>
      <c r="QEK115" s="181"/>
      <c r="QEL115" s="182"/>
      <c r="QEM115" s="181"/>
      <c r="QEN115" s="182"/>
      <c r="QEO115" s="181"/>
      <c r="QEP115" s="182"/>
      <c r="QEQ115" s="181"/>
      <c r="QER115" s="182"/>
      <c r="QES115" s="181"/>
      <c r="QET115" s="182"/>
      <c r="QEU115" s="181"/>
      <c r="QEV115" s="182"/>
      <c r="QEW115" s="181"/>
      <c r="QEX115" s="182"/>
      <c r="QEY115" s="181"/>
      <c r="QEZ115" s="182"/>
      <c r="QFA115" s="181"/>
      <c r="QFB115" s="182"/>
      <c r="QFC115" s="181"/>
      <c r="QFD115" s="182"/>
      <c r="QFE115" s="181"/>
      <c r="QFF115" s="182"/>
      <c r="QFG115" s="181"/>
      <c r="QFH115" s="182"/>
      <c r="QFI115" s="181"/>
      <c r="QFJ115" s="182"/>
      <c r="QFK115" s="181"/>
      <c r="QFL115" s="182"/>
      <c r="QFM115" s="181"/>
      <c r="QFN115" s="182"/>
      <c r="QFO115" s="181"/>
      <c r="QFP115" s="182"/>
      <c r="QFQ115" s="181"/>
      <c r="QFR115" s="182"/>
      <c r="QFS115" s="181"/>
      <c r="QFT115" s="182"/>
      <c r="QFU115" s="181"/>
      <c r="QFV115" s="182"/>
      <c r="QFW115" s="181"/>
      <c r="QFX115" s="182"/>
      <c r="QFY115" s="181"/>
      <c r="QFZ115" s="182"/>
      <c r="QGA115" s="181"/>
      <c r="QGB115" s="182"/>
      <c r="QGC115" s="181"/>
      <c r="QGD115" s="182"/>
      <c r="QGE115" s="181"/>
      <c r="QGF115" s="182"/>
      <c r="QGG115" s="181"/>
      <c r="QGH115" s="182"/>
      <c r="QGI115" s="181"/>
      <c r="QGJ115" s="182"/>
      <c r="QGK115" s="181"/>
      <c r="QGL115" s="182"/>
      <c r="QGM115" s="181"/>
      <c r="QGN115" s="182"/>
      <c r="QGO115" s="181"/>
      <c r="QGP115" s="182"/>
      <c r="QGQ115" s="181"/>
      <c r="QGR115" s="182"/>
      <c r="QGS115" s="181"/>
      <c r="QGT115" s="182"/>
      <c r="QGU115" s="181"/>
      <c r="QGV115" s="182"/>
      <c r="QGW115" s="181"/>
      <c r="QGX115" s="182"/>
      <c r="QGY115" s="181"/>
      <c r="QGZ115" s="182"/>
      <c r="QHA115" s="181"/>
      <c r="QHB115" s="182"/>
      <c r="QHC115" s="181"/>
      <c r="QHD115" s="182"/>
      <c r="QHE115" s="181"/>
      <c r="QHF115" s="182"/>
      <c r="QHG115" s="181"/>
      <c r="QHH115" s="182"/>
      <c r="QHI115" s="181"/>
      <c r="QHJ115" s="182"/>
      <c r="QHK115" s="181"/>
      <c r="QHL115" s="182"/>
      <c r="QHM115" s="181"/>
      <c r="QHN115" s="182"/>
      <c r="QHO115" s="181"/>
      <c r="QHP115" s="182"/>
      <c r="QHQ115" s="181"/>
      <c r="QHR115" s="182"/>
      <c r="QHS115" s="181"/>
      <c r="QHT115" s="182"/>
      <c r="QHU115" s="181"/>
      <c r="QHV115" s="182"/>
      <c r="QHW115" s="181"/>
      <c r="QHX115" s="182"/>
      <c r="QHY115" s="181"/>
      <c r="QHZ115" s="182"/>
      <c r="QIA115" s="181"/>
      <c r="QIB115" s="182"/>
      <c r="QIC115" s="181"/>
      <c r="QID115" s="182"/>
      <c r="QIE115" s="181"/>
      <c r="QIF115" s="182"/>
      <c r="QIG115" s="181"/>
      <c r="QIH115" s="182"/>
      <c r="QII115" s="181"/>
      <c r="QIJ115" s="182"/>
      <c r="QIK115" s="181"/>
      <c r="QIL115" s="182"/>
      <c r="QIM115" s="181"/>
      <c r="QIN115" s="182"/>
      <c r="QIO115" s="181"/>
      <c r="QIP115" s="182"/>
      <c r="QIQ115" s="181"/>
      <c r="QIR115" s="182"/>
      <c r="QIS115" s="181"/>
      <c r="QIT115" s="182"/>
      <c r="QIU115" s="181"/>
      <c r="QIV115" s="182"/>
      <c r="QIW115" s="181"/>
      <c r="QIX115" s="182"/>
      <c r="QIY115" s="181"/>
      <c r="QIZ115" s="182"/>
      <c r="QJA115" s="181"/>
      <c r="QJB115" s="182"/>
      <c r="QJC115" s="181"/>
      <c r="QJD115" s="182"/>
      <c r="QJE115" s="181"/>
      <c r="QJF115" s="182"/>
      <c r="QJG115" s="181"/>
      <c r="QJH115" s="182"/>
      <c r="QJI115" s="181"/>
      <c r="QJJ115" s="182"/>
      <c r="QJK115" s="181"/>
      <c r="QJL115" s="182"/>
      <c r="QJM115" s="181"/>
      <c r="QJN115" s="182"/>
      <c r="QJO115" s="181"/>
      <c r="QJP115" s="182"/>
      <c r="QJQ115" s="181"/>
      <c r="QJR115" s="182"/>
      <c r="QJS115" s="181"/>
      <c r="QJT115" s="182"/>
      <c r="QJU115" s="181"/>
      <c r="QJV115" s="182"/>
      <c r="QJW115" s="181"/>
      <c r="QJX115" s="182"/>
      <c r="QJY115" s="181"/>
      <c r="QJZ115" s="182"/>
      <c r="QKA115" s="181"/>
      <c r="QKB115" s="182"/>
      <c r="QKC115" s="181"/>
      <c r="QKD115" s="182"/>
      <c r="QKE115" s="181"/>
      <c r="QKF115" s="182"/>
      <c r="QKG115" s="181"/>
      <c r="QKH115" s="182"/>
      <c r="QKI115" s="181"/>
      <c r="QKJ115" s="182"/>
      <c r="QKK115" s="181"/>
      <c r="QKL115" s="182"/>
      <c r="QKM115" s="181"/>
      <c r="QKN115" s="182"/>
      <c r="QKO115" s="181"/>
      <c r="QKP115" s="182"/>
      <c r="QKQ115" s="181"/>
      <c r="QKR115" s="182"/>
      <c r="QKS115" s="181"/>
      <c r="QKT115" s="182"/>
      <c r="QKU115" s="181"/>
      <c r="QKV115" s="182"/>
      <c r="QKW115" s="181"/>
      <c r="QKX115" s="182"/>
      <c r="QKY115" s="181"/>
      <c r="QKZ115" s="182"/>
      <c r="QLA115" s="181"/>
      <c r="QLB115" s="182"/>
      <c r="QLC115" s="181"/>
      <c r="QLD115" s="182"/>
      <c r="QLE115" s="181"/>
      <c r="QLF115" s="182"/>
      <c r="QLG115" s="181"/>
      <c r="QLH115" s="182"/>
      <c r="QLI115" s="181"/>
      <c r="QLJ115" s="182"/>
      <c r="QLK115" s="181"/>
      <c r="QLL115" s="182"/>
      <c r="QLM115" s="181"/>
      <c r="QLN115" s="182"/>
      <c r="QLO115" s="181"/>
      <c r="QLP115" s="182"/>
      <c r="QLQ115" s="181"/>
      <c r="QLR115" s="182"/>
      <c r="QLS115" s="181"/>
      <c r="QLT115" s="182"/>
      <c r="QLU115" s="181"/>
      <c r="QLV115" s="182"/>
      <c r="QLW115" s="181"/>
      <c r="QLX115" s="182"/>
      <c r="QLY115" s="181"/>
      <c r="QLZ115" s="182"/>
      <c r="QMA115" s="181"/>
      <c r="QMB115" s="182"/>
      <c r="QMC115" s="181"/>
      <c r="QMD115" s="182"/>
      <c r="QME115" s="181"/>
      <c r="QMF115" s="182"/>
      <c r="QMG115" s="181"/>
      <c r="QMH115" s="182"/>
      <c r="QMI115" s="181"/>
      <c r="QMJ115" s="182"/>
      <c r="QMK115" s="181"/>
      <c r="QML115" s="182"/>
      <c r="QMM115" s="181"/>
      <c r="QMN115" s="182"/>
      <c r="QMO115" s="181"/>
      <c r="QMP115" s="182"/>
      <c r="QMQ115" s="181"/>
      <c r="QMR115" s="182"/>
      <c r="QMS115" s="181"/>
      <c r="QMT115" s="182"/>
      <c r="QMU115" s="181"/>
      <c r="QMV115" s="182"/>
      <c r="QMW115" s="181"/>
      <c r="QMX115" s="182"/>
      <c r="QMY115" s="181"/>
      <c r="QMZ115" s="182"/>
      <c r="QNA115" s="181"/>
      <c r="QNB115" s="182"/>
      <c r="QNC115" s="181"/>
      <c r="QND115" s="182"/>
      <c r="QNE115" s="181"/>
      <c r="QNF115" s="182"/>
      <c r="QNG115" s="181"/>
      <c r="QNH115" s="182"/>
      <c r="QNI115" s="181"/>
      <c r="QNJ115" s="182"/>
      <c r="QNK115" s="181"/>
      <c r="QNL115" s="182"/>
      <c r="QNM115" s="181"/>
      <c r="QNN115" s="182"/>
      <c r="QNO115" s="181"/>
      <c r="QNP115" s="182"/>
      <c r="QNQ115" s="181"/>
      <c r="QNR115" s="182"/>
      <c r="QNS115" s="181"/>
      <c r="QNT115" s="182"/>
      <c r="QNU115" s="181"/>
      <c r="QNV115" s="182"/>
      <c r="QNW115" s="181"/>
      <c r="QNX115" s="182"/>
      <c r="QNY115" s="181"/>
      <c r="QNZ115" s="182"/>
      <c r="QOA115" s="181"/>
      <c r="QOB115" s="182"/>
      <c r="QOC115" s="181"/>
      <c r="QOD115" s="182"/>
      <c r="QOE115" s="181"/>
      <c r="QOF115" s="182"/>
      <c r="QOG115" s="181"/>
      <c r="QOH115" s="182"/>
      <c r="QOI115" s="181"/>
      <c r="QOJ115" s="182"/>
      <c r="QOK115" s="181"/>
      <c r="QOL115" s="182"/>
      <c r="QOM115" s="181"/>
      <c r="QON115" s="182"/>
      <c r="QOO115" s="181"/>
      <c r="QOP115" s="182"/>
      <c r="QOQ115" s="181"/>
      <c r="QOR115" s="182"/>
      <c r="QOS115" s="181"/>
      <c r="QOT115" s="182"/>
      <c r="QOU115" s="181"/>
      <c r="QOV115" s="182"/>
      <c r="QOW115" s="181"/>
      <c r="QOX115" s="182"/>
      <c r="QOY115" s="181"/>
      <c r="QOZ115" s="182"/>
      <c r="QPA115" s="181"/>
      <c r="QPB115" s="182"/>
      <c r="QPC115" s="181"/>
      <c r="QPD115" s="182"/>
      <c r="QPE115" s="181"/>
      <c r="QPF115" s="182"/>
      <c r="QPG115" s="181"/>
      <c r="QPH115" s="182"/>
      <c r="QPI115" s="181"/>
      <c r="QPJ115" s="182"/>
      <c r="QPK115" s="181"/>
      <c r="QPL115" s="182"/>
      <c r="QPM115" s="181"/>
      <c r="QPN115" s="182"/>
      <c r="QPO115" s="181"/>
      <c r="QPP115" s="182"/>
      <c r="QPQ115" s="181"/>
      <c r="QPR115" s="182"/>
      <c r="QPS115" s="181"/>
      <c r="QPT115" s="182"/>
      <c r="QPU115" s="181"/>
      <c r="QPV115" s="182"/>
      <c r="QPW115" s="181"/>
      <c r="QPX115" s="182"/>
      <c r="QPY115" s="181"/>
      <c r="QPZ115" s="182"/>
      <c r="QQA115" s="181"/>
      <c r="QQB115" s="182"/>
      <c r="QQC115" s="181"/>
      <c r="QQD115" s="182"/>
      <c r="QQE115" s="181"/>
      <c r="QQF115" s="182"/>
      <c r="QQG115" s="181"/>
      <c r="QQH115" s="182"/>
      <c r="QQI115" s="181"/>
      <c r="QQJ115" s="182"/>
      <c r="QQK115" s="181"/>
      <c r="QQL115" s="182"/>
      <c r="QQM115" s="181"/>
      <c r="QQN115" s="182"/>
      <c r="QQO115" s="181"/>
      <c r="QQP115" s="182"/>
      <c r="QQQ115" s="181"/>
      <c r="QQR115" s="182"/>
      <c r="QQS115" s="181"/>
      <c r="QQT115" s="182"/>
      <c r="QQU115" s="181"/>
      <c r="QQV115" s="182"/>
      <c r="QQW115" s="181"/>
      <c r="QQX115" s="182"/>
      <c r="QQY115" s="181"/>
      <c r="QQZ115" s="182"/>
      <c r="QRA115" s="181"/>
      <c r="QRB115" s="182"/>
      <c r="QRC115" s="181"/>
      <c r="QRD115" s="182"/>
      <c r="QRE115" s="181"/>
      <c r="QRF115" s="182"/>
      <c r="QRG115" s="181"/>
      <c r="QRH115" s="182"/>
      <c r="QRI115" s="181"/>
      <c r="QRJ115" s="182"/>
      <c r="QRK115" s="181"/>
      <c r="QRL115" s="182"/>
      <c r="QRM115" s="181"/>
      <c r="QRN115" s="182"/>
      <c r="QRO115" s="181"/>
      <c r="QRP115" s="182"/>
      <c r="QRQ115" s="181"/>
      <c r="QRR115" s="182"/>
      <c r="QRS115" s="181"/>
      <c r="QRT115" s="182"/>
      <c r="QRU115" s="181"/>
      <c r="QRV115" s="182"/>
      <c r="QRW115" s="181"/>
      <c r="QRX115" s="182"/>
      <c r="QRY115" s="181"/>
      <c r="QRZ115" s="182"/>
      <c r="QSA115" s="181"/>
      <c r="QSB115" s="182"/>
      <c r="QSC115" s="181"/>
      <c r="QSD115" s="182"/>
      <c r="QSE115" s="181"/>
      <c r="QSF115" s="182"/>
      <c r="QSG115" s="181"/>
      <c r="QSH115" s="182"/>
      <c r="QSI115" s="181"/>
      <c r="QSJ115" s="182"/>
      <c r="QSK115" s="181"/>
      <c r="QSL115" s="182"/>
      <c r="QSM115" s="181"/>
      <c r="QSN115" s="182"/>
      <c r="QSO115" s="181"/>
      <c r="QSP115" s="182"/>
      <c r="QSQ115" s="181"/>
      <c r="QSR115" s="182"/>
      <c r="QSS115" s="181"/>
      <c r="QST115" s="182"/>
      <c r="QSU115" s="181"/>
      <c r="QSV115" s="182"/>
      <c r="QSW115" s="181"/>
      <c r="QSX115" s="182"/>
      <c r="QSY115" s="181"/>
      <c r="QSZ115" s="182"/>
      <c r="QTA115" s="181"/>
      <c r="QTB115" s="182"/>
      <c r="QTC115" s="181"/>
      <c r="QTD115" s="182"/>
      <c r="QTE115" s="181"/>
      <c r="QTF115" s="182"/>
      <c r="QTG115" s="181"/>
      <c r="QTH115" s="182"/>
      <c r="QTI115" s="181"/>
      <c r="QTJ115" s="182"/>
      <c r="QTK115" s="181"/>
      <c r="QTL115" s="182"/>
      <c r="QTM115" s="181"/>
      <c r="QTN115" s="182"/>
      <c r="QTO115" s="181"/>
      <c r="QTP115" s="182"/>
      <c r="QTQ115" s="181"/>
      <c r="QTR115" s="182"/>
      <c r="QTS115" s="181"/>
      <c r="QTT115" s="182"/>
      <c r="QTU115" s="181"/>
      <c r="QTV115" s="182"/>
      <c r="QTW115" s="181"/>
      <c r="QTX115" s="182"/>
      <c r="QTY115" s="181"/>
      <c r="QTZ115" s="182"/>
      <c r="QUA115" s="181"/>
      <c r="QUB115" s="182"/>
      <c r="QUC115" s="181"/>
      <c r="QUD115" s="182"/>
      <c r="QUE115" s="181"/>
      <c r="QUF115" s="182"/>
      <c r="QUG115" s="181"/>
      <c r="QUH115" s="182"/>
      <c r="QUI115" s="181"/>
      <c r="QUJ115" s="182"/>
      <c r="QUK115" s="181"/>
      <c r="QUL115" s="182"/>
      <c r="QUM115" s="181"/>
      <c r="QUN115" s="182"/>
      <c r="QUO115" s="181"/>
      <c r="QUP115" s="182"/>
      <c r="QUQ115" s="181"/>
      <c r="QUR115" s="182"/>
      <c r="QUS115" s="181"/>
      <c r="QUT115" s="182"/>
      <c r="QUU115" s="181"/>
      <c r="QUV115" s="182"/>
      <c r="QUW115" s="181"/>
      <c r="QUX115" s="182"/>
      <c r="QUY115" s="181"/>
      <c r="QUZ115" s="182"/>
      <c r="QVA115" s="181"/>
      <c r="QVB115" s="182"/>
      <c r="QVC115" s="181"/>
      <c r="QVD115" s="182"/>
      <c r="QVE115" s="181"/>
      <c r="QVF115" s="182"/>
      <c r="QVG115" s="181"/>
      <c r="QVH115" s="182"/>
      <c r="QVI115" s="181"/>
      <c r="QVJ115" s="182"/>
      <c r="QVK115" s="181"/>
      <c r="QVL115" s="182"/>
      <c r="QVM115" s="181"/>
      <c r="QVN115" s="182"/>
      <c r="QVO115" s="181"/>
      <c r="QVP115" s="182"/>
      <c r="QVQ115" s="181"/>
      <c r="QVR115" s="182"/>
      <c r="QVS115" s="181"/>
      <c r="QVT115" s="182"/>
      <c r="QVU115" s="181"/>
      <c r="QVV115" s="182"/>
      <c r="QVW115" s="181"/>
      <c r="QVX115" s="182"/>
      <c r="QVY115" s="181"/>
      <c r="QVZ115" s="182"/>
      <c r="QWA115" s="181"/>
      <c r="QWB115" s="182"/>
      <c r="QWC115" s="181"/>
      <c r="QWD115" s="182"/>
      <c r="QWE115" s="181"/>
      <c r="QWF115" s="182"/>
      <c r="QWG115" s="181"/>
      <c r="QWH115" s="182"/>
      <c r="QWI115" s="181"/>
      <c r="QWJ115" s="182"/>
      <c r="QWK115" s="181"/>
      <c r="QWL115" s="182"/>
      <c r="QWM115" s="181"/>
      <c r="QWN115" s="182"/>
      <c r="QWO115" s="181"/>
      <c r="QWP115" s="182"/>
      <c r="QWQ115" s="181"/>
      <c r="QWR115" s="182"/>
      <c r="QWS115" s="181"/>
      <c r="QWT115" s="182"/>
      <c r="QWU115" s="181"/>
      <c r="QWV115" s="182"/>
      <c r="QWW115" s="181"/>
      <c r="QWX115" s="182"/>
      <c r="QWY115" s="181"/>
      <c r="QWZ115" s="182"/>
      <c r="QXA115" s="181"/>
      <c r="QXB115" s="182"/>
      <c r="QXC115" s="181"/>
      <c r="QXD115" s="182"/>
      <c r="QXE115" s="181"/>
      <c r="QXF115" s="182"/>
      <c r="QXG115" s="181"/>
      <c r="QXH115" s="182"/>
      <c r="QXI115" s="181"/>
      <c r="QXJ115" s="182"/>
      <c r="QXK115" s="181"/>
      <c r="QXL115" s="182"/>
      <c r="QXM115" s="181"/>
      <c r="QXN115" s="182"/>
      <c r="QXO115" s="181"/>
      <c r="QXP115" s="182"/>
      <c r="QXQ115" s="181"/>
      <c r="QXR115" s="182"/>
      <c r="QXS115" s="181"/>
      <c r="QXT115" s="182"/>
      <c r="QXU115" s="181"/>
      <c r="QXV115" s="182"/>
      <c r="QXW115" s="181"/>
      <c r="QXX115" s="182"/>
      <c r="QXY115" s="181"/>
      <c r="QXZ115" s="182"/>
      <c r="QYA115" s="181"/>
      <c r="QYB115" s="182"/>
      <c r="QYC115" s="181"/>
      <c r="QYD115" s="182"/>
      <c r="QYE115" s="181"/>
      <c r="QYF115" s="182"/>
      <c r="QYG115" s="181"/>
      <c r="QYH115" s="182"/>
      <c r="QYI115" s="181"/>
      <c r="QYJ115" s="182"/>
      <c r="QYK115" s="181"/>
      <c r="QYL115" s="182"/>
      <c r="QYM115" s="181"/>
      <c r="QYN115" s="182"/>
      <c r="QYO115" s="181"/>
      <c r="QYP115" s="182"/>
      <c r="QYQ115" s="181"/>
      <c r="QYR115" s="182"/>
      <c r="QYS115" s="181"/>
      <c r="QYT115" s="182"/>
      <c r="QYU115" s="181"/>
      <c r="QYV115" s="182"/>
      <c r="QYW115" s="181"/>
      <c r="QYX115" s="182"/>
      <c r="QYY115" s="181"/>
      <c r="QYZ115" s="182"/>
      <c r="QZA115" s="181"/>
      <c r="QZB115" s="182"/>
      <c r="QZC115" s="181"/>
      <c r="QZD115" s="182"/>
      <c r="QZE115" s="181"/>
      <c r="QZF115" s="182"/>
      <c r="QZG115" s="181"/>
      <c r="QZH115" s="182"/>
      <c r="QZI115" s="181"/>
      <c r="QZJ115" s="182"/>
      <c r="QZK115" s="181"/>
      <c r="QZL115" s="182"/>
      <c r="QZM115" s="181"/>
      <c r="QZN115" s="182"/>
      <c r="QZO115" s="181"/>
      <c r="QZP115" s="182"/>
      <c r="QZQ115" s="181"/>
      <c r="QZR115" s="182"/>
      <c r="QZS115" s="181"/>
      <c r="QZT115" s="182"/>
      <c r="QZU115" s="181"/>
      <c r="QZV115" s="182"/>
      <c r="QZW115" s="181"/>
      <c r="QZX115" s="182"/>
      <c r="QZY115" s="181"/>
      <c r="QZZ115" s="182"/>
      <c r="RAA115" s="181"/>
      <c r="RAB115" s="182"/>
      <c r="RAC115" s="181"/>
      <c r="RAD115" s="182"/>
      <c r="RAE115" s="181"/>
      <c r="RAF115" s="182"/>
      <c r="RAG115" s="181"/>
      <c r="RAH115" s="182"/>
      <c r="RAI115" s="181"/>
      <c r="RAJ115" s="182"/>
      <c r="RAK115" s="181"/>
      <c r="RAL115" s="182"/>
      <c r="RAM115" s="181"/>
      <c r="RAN115" s="182"/>
      <c r="RAO115" s="181"/>
      <c r="RAP115" s="182"/>
      <c r="RAQ115" s="181"/>
      <c r="RAR115" s="182"/>
      <c r="RAS115" s="181"/>
      <c r="RAT115" s="182"/>
      <c r="RAU115" s="181"/>
      <c r="RAV115" s="182"/>
      <c r="RAW115" s="181"/>
      <c r="RAX115" s="182"/>
      <c r="RAY115" s="181"/>
      <c r="RAZ115" s="182"/>
      <c r="RBA115" s="181"/>
      <c r="RBB115" s="182"/>
      <c r="RBC115" s="181"/>
      <c r="RBD115" s="182"/>
      <c r="RBE115" s="181"/>
      <c r="RBF115" s="182"/>
      <c r="RBG115" s="181"/>
      <c r="RBH115" s="182"/>
      <c r="RBI115" s="181"/>
      <c r="RBJ115" s="182"/>
      <c r="RBK115" s="181"/>
      <c r="RBL115" s="182"/>
      <c r="RBM115" s="181"/>
      <c r="RBN115" s="182"/>
      <c r="RBO115" s="181"/>
      <c r="RBP115" s="182"/>
      <c r="RBQ115" s="181"/>
      <c r="RBR115" s="182"/>
      <c r="RBS115" s="181"/>
      <c r="RBT115" s="182"/>
      <c r="RBU115" s="181"/>
      <c r="RBV115" s="182"/>
      <c r="RBW115" s="181"/>
      <c r="RBX115" s="182"/>
      <c r="RBY115" s="181"/>
      <c r="RBZ115" s="182"/>
      <c r="RCA115" s="181"/>
      <c r="RCB115" s="182"/>
      <c r="RCC115" s="181"/>
      <c r="RCD115" s="182"/>
      <c r="RCE115" s="181"/>
      <c r="RCF115" s="182"/>
      <c r="RCG115" s="181"/>
      <c r="RCH115" s="182"/>
      <c r="RCI115" s="181"/>
      <c r="RCJ115" s="182"/>
      <c r="RCK115" s="181"/>
      <c r="RCL115" s="182"/>
      <c r="RCM115" s="181"/>
      <c r="RCN115" s="182"/>
      <c r="RCO115" s="181"/>
      <c r="RCP115" s="182"/>
      <c r="RCQ115" s="181"/>
      <c r="RCR115" s="182"/>
      <c r="RCS115" s="181"/>
      <c r="RCT115" s="182"/>
      <c r="RCU115" s="181"/>
      <c r="RCV115" s="182"/>
      <c r="RCW115" s="181"/>
      <c r="RCX115" s="182"/>
      <c r="RCY115" s="181"/>
      <c r="RCZ115" s="182"/>
      <c r="RDA115" s="181"/>
      <c r="RDB115" s="182"/>
      <c r="RDC115" s="181"/>
      <c r="RDD115" s="182"/>
      <c r="RDE115" s="181"/>
      <c r="RDF115" s="182"/>
      <c r="RDG115" s="181"/>
      <c r="RDH115" s="182"/>
      <c r="RDI115" s="181"/>
      <c r="RDJ115" s="182"/>
      <c r="RDK115" s="181"/>
      <c r="RDL115" s="182"/>
      <c r="RDM115" s="181"/>
      <c r="RDN115" s="182"/>
      <c r="RDO115" s="181"/>
      <c r="RDP115" s="182"/>
      <c r="RDQ115" s="181"/>
      <c r="RDR115" s="182"/>
      <c r="RDS115" s="181"/>
      <c r="RDT115" s="182"/>
      <c r="RDU115" s="181"/>
      <c r="RDV115" s="182"/>
      <c r="RDW115" s="181"/>
      <c r="RDX115" s="182"/>
      <c r="RDY115" s="181"/>
      <c r="RDZ115" s="182"/>
      <c r="REA115" s="181"/>
      <c r="REB115" s="182"/>
      <c r="REC115" s="181"/>
      <c r="RED115" s="182"/>
      <c r="REE115" s="181"/>
      <c r="REF115" s="182"/>
      <c r="REG115" s="181"/>
      <c r="REH115" s="182"/>
      <c r="REI115" s="181"/>
      <c r="REJ115" s="182"/>
      <c r="REK115" s="181"/>
      <c r="REL115" s="182"/>
      <c r="REM115" s="181"/>
      <c r="REN115" s="182"/>
      <c r="REO115" s="181"/>
      <c r="REP115" s="182"/>
      <c r="REQ115" s="181"/>
      <c r="RER115" s="182"/>
      <c r="RES115" s="181"/>
      <c r="RET115" s="182"/>
      <c r="REU115" s="181"/>
      <c r="REV115" s="182"/>
      <c r="REW115" s="181"/>
      <c r="REX115" s="182"/>
      <c r="REY115" s="181"/>
      <c r="REZ115" s="182"/>
      <c r="RFA115" s="181"/>
      <c r="RFB115" s="182"/>
      <c r="RFC115" s="181"/>
      <c r="RFD115" s="182"/>
      <c r="RFE115" s="181"/>
      <c r="RFF115" s="182"/>
      <c r="RFG115" s="181"/>
      <c r="RFH115" s="182"/>
      <c r="RFI115" s="181"/>
      <c r="RFJ115" s="182"/>
      <c r="RFK115" s="181"/>
      <c r="RFL115" s="182"/>
      <c r="RFM115" s="181"/>
      <c r="RFN115" s="182"/>
      <c r="RFO115" s="181"/>
      <c r="RFP115" s="182"/>
      <c r="RFQ115" s="181"/>
      <c r="RFR115" s="182"/>
      <c r="RFS115" s="181"/>
      <c r="RFT115" s="182"/>
      <c r="RFU115" s="181"/>
      <c r="RFV115" s="182"/>
      <c r="RFW115" s="181"/>
      <c r="RFX115" s="182"/>
      <c r="RFY115" s="181"/>
      <c r="RFZ115" s="182"/>
      <c r="RGA115" s="181"/>
      <c r="RGB115" s="182"/>
      <c r="RGC115" s="181"/>
      <c r="RGD115" s="182"/>
      <c r="RGE115" s="181"/>
      <c r="RGF115" s="182"/>
      <c r="RGG115" s="181"/>
      <c r="RGH115" s="182"/>
      <c r="RGI115" s="181"/>
      <c r="RGJ115" s="182"/>
      <c r="RGK115" s="181"/>
      <c r="RGL115" s="182"/>
      <c r="RGM115" s="181"/>
      <c r="RGN115" s="182"/>
      <c r="RGO115" s="181"/>
      <c r="RGP115" s="182"/>
      <c r="RGQ115" s="181"/>
      <c r="RGR115" s="182"/>
      <c r="RGS115" s="181"/>
      <c r="RGT115" s="182"/>
      <c r="RGU115" s="181"/>
      <c r="RGV115" s="182"/>
      <c r="RGW115" s="181"/>
      <c r="RGX115" s="182"/>
      <c r="RGY115" s="181"/>
      <c r="RGZ115" s="182"/>
      <c r="RHA115" s="181"/>
      <c r="RHB115" s="182"/>
      <c r="RHC115" s="181"/>
      <c r="RHD115" s="182"/>
      <c r="RHE115" s="181"/>
      <c r="RHF115" s="182"/>
      <c r="RHG115" s="181"/>
      <c r="RHH115" s="182"/>
      <c r="RHI115" s="181"/>
      <c r="RHJ115" s="182"/>
      <c r="RHK115" s="181"/>
      <c r="RHL115" s="182"/>
      <c r="RHM115" s="181"/>
      <c r="RHN115" s="182"/>
      <c r="RHO115" s="181"/>
      <c r="RHP115" s="182"/>
      <c r="RHQ115" s="181"/>
      <c r="RHR115" s="182"/>
      <c r="RHS115" s="181"/>
      <c r="RHT115" s="182"/>
      <c r="RHU115" s="181"/>
      <c r="RHV115" s="182"/>
      <c r="RHW115" s="181"/>
      <c r="RHX115" s="182"/>
      <c r="RHY115" s="181"/>
      <c r="RHZ115" s="182"/>
      <c r="RIA115" s="181"/>
      <c r="RIB115" s="182"/>
      <c r="RIC115" s="181"/>
      <c r="RID115" s="182"/>
      <c r="RIE115" s="181"/>
      <c r="RIF115" s="182"/>
      <c r="RIG115" s="181"/>
      <c r="RIH115" s="182"/>
      <c r="RII115" s="181"/>
      <c r="RIJ115" s="182"/>
      <c r="RIK115" s="181"/>
      <c r="RIL115" s="182"/>
      <c r="RIM115" s="181"/>
      <c r="RIN115" s="182"/>
      <c r="RIO115" s="181"/>
      <c r="RIP115" s="182"/>
      <c r="RIQ115" s="181"/>
      <c r="RIR115" s="182"/>
      <c r="RIS115" s="181"/>
      <c r="RIT115" s="182"/>
      <c r="RIU115" s="181"/>
      <c r="RIV115" s="182"/>
      <c r="RIW115" s="181"/>
      <c r="RIX115" s="182"/>
      <c r="RIY115" s="181"/>
      <c r="RIZ115" s="182"/>
      <c r="RJA115" s="181"/>
      <c r="RJB115" s="182"/>
      <c r="RJC115" s="181"/>
      <c r="RJD115" s="182"/>
      <c r="RJE115" s="181"/>
      <c r="RJF115" s="182"/>
      <c r="RJG115" s="181"/>
      <c r="RJH115" s="182"/>
      <c r="RJI115" s="181"/>
      <c r="RJJ115" s="182"/>
      <c r="RJK115" s="181"/>
      <c r="RJL115" s="182"/>
      <c r="RJM115" s="181"/>
      <c r="RJN115" s="182"/>
      <c r="RJO115" s="181"/>
      <c r="RJP115" s="182"/>
      <c r="RJQ115" s="181"/>
      <c r="RJR115" s="182"/>
      <c r="RJS115" s="181"/>
      <c r="RJT115" s="182"/>
      <c r="RJU115" s="181"/>
      <c r="RJV115" s="182"/>
      <c r="RJW115" s="181"/>
      <c r="RJX115" s="182"/>
      <c r="RJY115" s="181"/>
      <c r="RJZ115" s="182"/>
      <c r="RKA115" s="181"/>
      <c r="RKB115" s="182"/>
      <c r="RKC115" s="181"/>
      <c r="RKD115" s="182"/>
      <c r="RKE115" s="181"/>
      <c r="RKF115" s="182"/>
      <c r="RKG115" s="181"/>
      <c r="RKH115" s="182"/>
      <c r="RKI115" s="181"/>
      <c r="RKJ115" s="182"/>
      <c r="RKK115" s="181"/>
      <c r="RKL115" s="182"/>
      <c r="RKM115" s="181"/>
      <c r="RKN115" s="182"/>
      <c r="RKO115" s="181"/>
      <c r="RKP115" s="182"/>
      <c r="RKQ115" s="181"/>
      <c r="RKR115" s="182"/>
      <c r="RKS115" s="181"/>
      <c r="RKT115" s="182"/>
      <c r="RKU115" s="181"/>
      <c r="RKV115" s="182"/>
      <c r="RKW115" s="181"/>
      <c r="RKX115" s="182"/>
      <c r="RKY115" s="181"/>
      <c r="RKZ115" s="182"/>
      <c r="RLA115" s="181"/>
      <c r="RLB115" s="182"/>
      <c r="RLC115" s="181"/>
      <c r="RLD115" s="182"/>
      <c r="RLE115" s="181"/>
      <c r="RLF115" s="182"/>
      <c r="RLG115" s="181"/>
      <c r="RLH115" s="182"/>
      <c r="RLI115" s="181"/>
      <c r="RLJ115" s="182"/>
      <c r="RLK115" s="181"/>
      <c r="RLL115" s="182"/>
      <c r="RLM115" s="181"/>
      <c r="RLN115" s="182"/>
      <c r="RLO115" s="181"/>
      <c r="RLP115" s="182"/>
      <c r="RLQ115" s="181"/>
      <c r="RLR115" s="182"/>
      <c r="RLS115" s="181"/>
      <c r="RLT115" s="182"/>
      <c r="RLU115" s="181"/>
      <c r="RLV115" s="182"/>
      <c r="RLW115" s="181"/>
      <c r="RLX115" s="182"/>
      <c r="RLY115" s="181"/>
      <c r="RLZ115" s="182"/>
      <c r="RMA115" s="181"/>
      <c r="RMB115" s="182"/>
      <c r="RMC115" s="181"/>
      <c r="RMD115" s="182"/>
      <c r="RME115" s="181"/>
      <c r="RMF115" s="182"/>
      <c r="RMG115" s="181"/>
      <c r="RMH115" s="182"/>
      <c r="RMI115" s="181"/>
      <c r="RMJ115" s="182"/>
      <c r="RMK115" s="181"/>
      <c r="RML115" s="182"/>
      <c r="RMM115" s="181"/>
      <c r="RMN115" s="182"/>
      <c r="RMO115" s="181"/>
      <c r="RMP115" s="182"/>
      <c r="RMQ115" s="181"/>
      <c r="RMR115" s="182"/>
      <c r="RMS115" s="181"/>
      <c r="RMT115" s="182"/>
      <c r="RMU115" s="181"/>
      <c r="RMV115" s="182"/>
      <c r="RMW115" s="181"/>
      <c r="RMX115" s="182"/>
      <c r="RMY115" s="181"/>
      <c r="RMZ115" s="182"/>
      <c r="RNA115" s="181"/>
      <c r="RNB115" s="182"/>
      <c r="RNC115" s="181"/>
      <c r="RND115" s="182"/>
      <c r="RNE115" s="181"/>
      <c r="RNF115" s="182"/>
      <c r="RNG115" s="181"/>
      <c r="RNH115" s="182"/>
      <c r="RNI115" s="181"/>
      <c r="RNJ115" s="182"/>
      <c r="RNK115" s="181"/>
      <c r="RNL115" s="182"/>
      <c r="RNM115" s="181"/>
      <c r="RNN115" s="182"/>
      <c r="RNO115" s="181"/>
      <c r="RNP115" s="182"/>
      <c r="RNQ115" s="181"/>
      <c r="RNR115" s="182"/>
      <c r="RNS115" s="181"/>
      <c r="RNT115" s="182"/>
      <c r="RNU115" s="181"/>
      <c r="RNV115" s="182"/>
      <c r="RNW115" s="181"/>
      <c r="RNX115" s="182"/>
      <c r="RNY115" s="181"/>
      <c r="RNZ115" s="182"/>
      <c r="ROA115" s="181"/>
      <c r="ROB115" s="182"/>
      <c r="ROC115" s="181"/>
      <c r="ROD115" s="182"/>
      <c r="ROE115" s="181"/>
      <c r="ROF115" s="182"/>
      <c r="ROG115" s="181"/>
      <c r="ROH115" s="182"/>
      <c r="ROI115" s="181"/>
      <c r="ROJ115" s="182"/>
      <c r="ROK115" s="181"/>
      <c r="ROL115" s="182"/>
      <c r="ROM115" s="181"/>
      <c r="RON115" s="182"/>
      <c r="ROO115" s="181"/>
      <c r="ROP115" s="182"/>
      <c r="ROQ115" s="181"/>
      <c r="ROR115" s="182"/>
      <c r="ROS115" s="181"/>
      <c r="ROT115" s="182"/>
      <c r="ROU115" s="181"/>
      <c r="ROV115" s="182"/>
      <c r="ROW115" s="181"/>
      <c r="ROX115" s="182"/>
      <c r="ROY115" s="181"/>
      <c r="ROZ115" s="182"/>
      <c r="RPA115" s="181"/>
      <c r="RPB115" s="182"/>
      <c r="RPC115" s="181"/>
      <c r="RPD115" s="182"/>
      <c r="RPE115" s="181"/>
      <c r="RPF115" s="182"/>
      <c r="RPG115" s="181"/>
      <c r="RPH115" s="182"/>
      <c r="RPI115" s="181"/>
      <c r="RPJ115" s="182"/>
      <c r="RPK115" s="181"/>
      <c r="RPL115" s="182"/>
      <c r="RPM115" s="181"/>
      <c r="RPN115" s="182"/>
      <c r="RPO115" s="181"/>
      <c r="RPP115" s="182"/>
      <c r="RPQ115" s="181"/>
      <c r="RPR115" s="182"/>
      <c r="RPS115" s="181"/>
      <c r="RPT115" s="182"/>
      <c r="RPU115" s="181"/>
      <c r="RPV115" s="182"/>
      <c r="RPW115" s="181"/>
      <c r="RPX115" s="182"/>
      <c r="RPY115" s="181"/>
      <c r="RPZ115" s="182"/>
      <c r="RQA115" s="181"/>
      <c r="RQB115" s="182"/>
      <c r="RQC115" s="181"/>
      <c r="RQD115" s="182"/>
      <c r="RQE115" s="181"/>
      <c r="RQF115" s="182"/>
      <c r="RQG115" s="181"/>
      <c r="RQH115" s="182"/>
      <c r="RQI115" s="181"/>
      <c r="RQJ115" s="182"/>
      <c r="RQK115" s="181"/>
      <c r="RQL115" s="182"/>
      <c r="RQM115" s="181"/>
      <c r="RQN115" s="182"/>
      <c r="RQO115" s="181"/>
      <c r="RQP115" s="182"/>
      <c r="RQQ115" s="181"/>
      <c r="RQR115" s="182"/>
      <c r="RQS115" s="181"/>
      <c r="RQT115" s="182"/>
      <c r="RQU115" s="181"/>
      <c r="RQV115" s="182"/>
      <c r="RQW115" s="181"/>
      <c r="RQX115" s="182"/>
      <c r="RQY115" s="181"/>
      <c r="RQZ115" s="182"/>
      <c r="RRA115" s="181"/>
      <c r="RRB115" s="182"/>
      <c r="RRC115" s="181"/>
      <c r="RRD115" s="182"/>
      <c r="RRE115" s="181"/>
      <c r="RRF115" s="182"/>
      <c r="RRG115" s="181"/>
      <c r="RRH115" s="182"/>
      <c r="RRI115" s="181"/>
      <c r="RRJ115" s="182"/>
      <c r="RRK115" s="181"/>
      <c r="RRL115" s="182"/>
      <c r="RRM115" s="181"/>
      <c r="RRN115" s="182"/>
      <c r="RRO115" s="181"/>
      <c r="RRP115" s="182"/>
      <c r="RRQ115" s="181"/>
      <c r="RRR115" s="182"/>
      <c r="RRS115" s="181"/>
      <c r="RRT115" s="182"/>
      <c r="RRU115" s="181"/>
      <c r="RRV115" s="182"/>
      <c r="RRW115" s="181"/>
      <c r="RRX115" s="182"/>
      <c r="RRY115" s="181"/>
      <c r="RRZ115" s="182"/>
      <c r="RSA115" s="181"/>
      <c r="RSB115" s="182"/>
      <c r="RSC115" s="181"/>
      <c r="RSD115" s="182"/>
      <c r="RSE115" s="181"/>
      <c r="RSF115" s="182"/>
      <c r="RSG115" s="181"/>
      <c r="RSH115" s="182"/>
      <c r="RSI115" s="181"/>
      <c r="RSJ115" s="182"/>
      <c r="RSK115" s="181"/>
      <c r="RSL115" s="182"/>
      <c r="RSM115" s="181"/>
      <c r="RSN115" s="182"/>
      <c r="RSO115" s="181"/>
      <c r="RSP115" s="182"/>
      <c r="RSQ115" s="181"/>
      <c r="RSR115" s="182"/>
      <c r="RSS115" s="181"/>
      <c r="RST115" s="182"/>
      <c r="RSU115" s="181"/>
      <c r="RSV115" s="182"/>
      <c r="RSW115" s="181"/>
      <c r="RSX115" s="182"/>
      <c r="RSY115" s="181"/>
      <c r="RSZ115" s="182"/>
      <c r="RTA115" s="181"/>
      <c r="RTB115" s="182"/>
      <c r="RTC115" s="181"/>
      <c r="RTD115" s="182"/>
      <c r="RTE115" s="181"/>
      <c r="RTF115" s="182"/>
      <c r="RTG115" s="181"/>
      <c r="RTH115" s="182"/>
      <c r="RTI115" s="181"/>
      <c r="RTJ115" s="182"/>
      <c r="RTK115" s="181"/>
      <c r="RTL115" s="182"/>
      <c r="RTM115" s="181"/>
      <c r="RTN115" s="182"/>
      <c r="RTO115" s="181"/>
      <c r="RTP115" s="182"/>
      <c r="RTQ115" s="181"/>
      <c r="RTR115" s="182"/>
      <c r="RTS115" s="181"/>
      <c r="RTT115" s="182"/>
      <c r="RTU115" s="181"/>
      <c r="RTV115" s="182"/>
      <c r="RTW115" s="181"/>
      <c r="RTX115" s="182"/>
      <c r="RTY115" s="181"/>
      <c r="RTZ115" s="182"/>
      <c r="RUA115" s="181"/>
      <c r="RUB115" s="182"/>
      <c r="RUC115" s="181"/>
      <c r="RUD115" s="182"/>
      <c r="RUE115" s="181"/>
      <c r="RUF115" s="182"/>
      <c r="RUG115" s="181"/>
      <c r="RUH115" s="182"/>
      <c r="RUI115" s="181"/>
      <c r="RUJ115" s="182"/>
      <c r="RUK115" s="181"/>
      <c r="RUL115" s="182"/>
      <c r="RUM115" s="181"/>
      <c r="RUN115" s="182"/>
      <c r="RUO115" s="181"/>
      <c r="RUP115" s="182"/>
      <c r="RUQ115" s="181"/>
      <c r="RUR115" s="182"/>
      <c r="RUS115" s="181"/>
      <c r="RUT115" s="182"/>
      <c r="RUU115" s="181"/>
      <c r="RUV115" s="182"/>
      <c r="RUW115" s="181"/>
      <c r="RUX115" s="182"/>
      <c r="RUY115" s="181"/>
      <c r="RUZ115" s="182"/>
      <c r="RVA115" s="181"/>
      <c r="RVB115" s="182"/>
      <c r="RVC115" s="181"/>
      <c r="RVD115" s="182"/>
      <c r="RVE115" s="181"/>
      <c r="RVF115" s="182"/>
      <c r="RVG115" s="181"/>
      <c r="RVH115" s="182"/>
      <c r="RVI115" s="181"/>
      <c r="RVJ115" s="182"/>
      <c r="RVK115" s="181"/>
      <c r="RVL115" s="182"/>
      <c r="RVM115" s="181"/>
      <c r="RVN115" s="182"/>
      <c r="RVO115" s="181"/>
      <c r="RVP115" s="182"/>
      <c r="RVQ115" s="181"/>
      <c r="RVR115" s="182"/>
      <c r="RVS115" s="181"/>
      <c r="RVT115" s="182"/>
      <c r="RVU115" s="181"/>
      <c r="RVV115" s="182"/>
      <c r="RVW115" s="181"/>
      <c r="RVX115" s="182"/>
      <c r="RVY115" s="181"/>
      <c r="RVZ115" s="182"/>
      <c r="RWA115" s="181"/>
      <c r="RWB115" s="182"/>
      <c r="RWC115" s="181"/>
      <c r="RWD115" s="182"/>
      <c r="RWE115" s="181"/>
      <c r="RWF115" s="182"/>
      <c r="RWG115" s="181"/>
      <c r="RWH115" s="182"/>
      <c r="RWI115" s="181"/>
      <c r="RWJ115" s="182"/>
      <c r="RWK115" s="181"/>
      <c r="RWL115" s="182"/>
      <c r="RWM115" s="181"/>
      <c r="RWN115" s="182"/>
      <c r="RWO115" s="181"/>
      <c r="RWP115" s="182"/>
      <c r="RWQ115" s="181"/>
      <c r="RWR115" s="182"/>
      <c r="RWS115" s="181"/>
      <c r="RWT115" s="182"/>
      <c r="RWU115" s="181"/>
      <c r="RWV115" s="182"/>
      <c r="RWW115" s="181"/>
      <c r="RWX115" s="182"/>
      <c r="RWY115" s="181"/>
      <c r="RWZ115" s="182"/>
      <c r="RXA115" s="181"/>
      <c r="RXB115" s="182"/>
      <c r="RXC115" s="181"/>
      <c r="RXD115" s="182"/>
      <c r="RXE115" s="181"/>
      <c r="RXF115" s="182"/>
      <c r="RXG115" s="181"/>
      <c r="RXH115" s="182"/>
      <c r="RXI115" s="181"/>
      <c r="RXJ115" s="182"/>
      <c r="RXK115" s="181"/>
      <c r="RXL115" s="182"/>
      <c r="RXM115" s="181"/>
      <c r="RXN115" s="182"/>
      <c r="RXO115" s="181"/>
      <c r="RXP115" s="182"/>
      <c r="RXQ115" s="181"/>
      <c r="RXR115" s="182"/>
      <c r="RXS115" s="181"/>
      <c r="RXT115" s="182"/>
      <c r="RXU115" s="181"/>
      <c r="RXV115" s="182"/>
      <c r="RXW115" s="181"/>
      <c r="RXX115" s="182"/>
      <c r="RXY115" s="181"/>
      <c r="RXZ115" s="182"/>
      <c r="RYA115" s="181"/>
      <c r="RYB115" s="182"/>
      <c r="RYC115" s="181"/>
      <c r="RYD115" s="182"/>
      <c r="RYE115" s="181"/>
      <c r="RYF115" s="182"/>
      <c r="RYG115" s="181"/>
      <c r="RYH115" s="182"/>
      <c r="RYI115" s="181"/>
      <c r="RYJ115" s="182"/>
      <c r="RYK115" s="181"/>
      <c r="RYL115" s="182"/>
      <c r="RYM115" s="181"/>
      <c r="RYN115" s="182"/>
      <c r="RYO115" s="181"/>
      <c r="RYP115" s="182"/>
      <c r="RYQ115" s="181"/>
      <c r="RYR115" s="182"/>
      <c r="RYS115" s="181"/>
      <c r="RYT115" s="182"/>
      <c r="RYU115" s="181"/>
      <c r="RYV115" s="182"/>
      <c r="RYW115" s="181"/>
      <c r="RYX115" s="182"/>
      <c r="RYY115" s="181"/>
      <c r="RYZ115" s="182"/>
      <c r="RZA115" s="181"/>
      <c r="RZB115" s="182"/>
      <c r="RZC115" s="181"/>
      <c r="RZD115" s="182"/>
      <c r="RZE115" s="181"/>
      <c r="RZF115" s="182"/>
      <c r="RZG115" s="181"/>
      <c r="RZH115" s="182"/>
      <c r="RZI115" s="181"/>
      <c r="RZJ115" s="182"/>
      <c r="RZK115" s="181"/>
      <c r="RZL115" s="182"/>
      <c r="RZM115" s="181"/>
      <c r="RZN115" s="182"/>
      <c r="RZO115" s="181"/>
      <c r="RZP115" s="182"/>
      <c r="RZQ115" s="181"/>
      <c r="RZR115" s="182"/>
      <c r="RZS115" s="181"/>
      <c r="RZT115" s="182"/>
      <c r="RZU115" s="181"/>
      <c r="RZV115" s="182"/>
      <c r="RZW115" s="181"/>
      <c r="RZX115" s="182"/>
      <c r="RZY115" s="181"/>
      <c r="RZZ115" s="182"/>
      <c r="SAA115" s="181"/>
      <c r="SAB115" s="182"/>
      <c r="SAC115" s="181"/>
      <c r="SAD115" s="182"/>
      <c r="SAE115" s="181"/>
      <c r="SAF115" s="182"/>
      <c r="SAG115" s="181"/>
      <c r="SAH115" s="182"/>
      <c r="SAI115" s="181"/>
      <c r="SAJ115" s="182"/>
      <c r="SAK115" s="181"/>
      <c r="SAL115" s="182"/>
      <c r="SAM115" s="181"/>
      <c r="SAN115" s="182"/>
      <c r="SAO115" s="181"/>
      <c r="SAP115" s="182"/>
      <c r="SAQ115" s="181"/>
      <c r="SAR115" s="182"/>
      <c r="SAS115" s="181"/>
      <c r="SAT115" s="182"/>
      <c r="SAU115" s="181"/>
      <c r="SAV115" s="182"/>
      <c r="SAW115" s="181"/>
      <c r="SAX115" s="182"/>
      <c r="SAY115" s="181"/>
      <c r="SAZ115" s="182"/>
      <c r="SBA115" s="181"/>
      <c r="SBB115" s="182"/>
      <c r="SBC115" s="181"/>
      <c r="SBD115" s="182"/>
      <c r="SBE115" s="181"/>
      <c r="SBF115" s="182"/>
      <c r="SBG115" s="181"/>
      <c r="SBH115" s="182"/>
      <c r="SBI115" s="181"/>
      <c r="SBJ115" s="182"/>
      <c r="SBK115" s="181"/>
      <c r="SBL115" s="182"/>
      <c r="SBM115" s="181"/>
      <c r="SBN115" s="182"/>
      <c r="SBO115" s="181"/>
      <c r="SBP115" s="182"/>
      <c r="SBQ115" s="181"/>
      <c r="SBR115" s="182"/>
      <c r="SBS115" s="181"/>
      <c r="SBT115" s="182"/>
      <c r="SBU115" s="181"/>
      <c r="SBV115" s="182"/>
      <c r="SBW115" s="181"/>
      <c r="SBX115" s="182"/>
      <c r="SBY115" s="181"/>
      <c r="SBZ115" s="182"/>
      <c r="SCA115" s="181"/>
      <c r="SCB115" s="182"/>
      <c r="SCC115" s="181"/>
      <c r="SCD115" s="182"/>
      <c r="SCE115" s="181"/>
      <c r="SCF115" s="182"/>
      <c r="SCG115" s="181"/>
      <c r="SCH115" s="182"/>
      <c r="SCI115" s="181"/>
      <c r="SCJ115" s="182"/>
      <c r="SCK115" s="181"/>
      <c r="SCL115" s="182"/>
      <c r="SCM115" s="181"/>
      <c r="SCN115" s="182"/>
      <c r="SCO115" s="181"/>
      <c r="SCP115" s="182"/>
      <c r="SCQ115" s="181"/>
      <c r="SCR115" s="182"/>
      <c r="SCS115" s="181"/>
      <c r="SCT115" s="182"/>
      <c r="SCU115" s="181"/>
      <c r="SCV115" s="182"/>
      <c r="SCW115" s="181"/>
      <c r="SCX115" s="182"/>
      <c r="SCY115" s="181"/>
      <c r="SCZ115" s="182"/>
      <c r="SDA115" s="181"/>
      <c r="SDB115" s="182"/>
      <c r="SDC115" s="181"/>
      <c r="SDD115" s="182"/>
      <c r="SDE115" s="181"/>
      <c r="SDF115" s="182"/>
      <c r="SDG115" s="181"/>
      <c r="SDH115" s="182"/>
      <c r="SDI115" s="181"/>
      <c r="SDJ115" s="182"/>
      <c r="SDK115" s="181"/>
      <c r="SDL115" s="182"/>
      <c r="SDM115" s="181"/>
      <c r="SDN115" s="182"/>
      <c r="SDO115" s="181"/>
      <c r="SDP115" s="182"/>
      <c r="SDQ115" s="181"/>
      <c r="SDR115" s="182"/>
      <c r="SDS115" s="181"/>
      <c r="SDT115" s="182"/>
      <c r="SDU115" s="181"/>
      <c r="SDV115" s="182"/>
      <c r="SDW115" s="181"/>
      <c r="SDX115" s="182"/>
      <c r="SDY115" s="181"/>
      <c r="SDZ115" s="182"/>
      <c r="SEA115" s="181"/>
      <c r="SEB115" s="182"/>
      <c r="SEC115" s="181"/>
      <c r="SED115" s="182"/>
      <c r="SEE115" s="181"/>
      <c r="SEF115" s="182"/>
      <c r="SEG115" s="181"/>
      <c r="SEH115" s="182"/>
      <c r="SEI115" s="181"/>
      <c r="SEJ115" s="182"/>
      <c r="SEK115" s="181"/>
      <c r="SEL115" s="182"/>
      <c r="SEM115" s="181"/>
      <c r="SEN115" s="182"/>
      <c r="SEO115" s="181"/>
      <c r="SEP115" s="182"/>
      <c r="SEQ115" s="181"/>
      <c r="SER115" s="182"/>
      <c r="SES115" s="181"/>
      <c r="SET115" s="182"/>
      <c r="SEU115" s="181"/>
      <c r="SEV115" s="182"/>
      <c r="SEW115" s="181"/>
      <c r="SEX115" s="182"/>
      <c r="SEY115" s="181"/>
      <c r="SEZ115" s="182"/>
      <c r="SFA115" s="181"/>
      <c r="SFB115" s="182"/>
      <c r="SFC115" s="181"/>
      <c r="SFD115" s="182"/>
      <c r="SFE115" s="181"/>
      <c r="SFF115" s="182"/>
      <c r="SFG115" s="181"/>
      <c r="SFH115" s="182"/>
      <c r="SFI115" s="181"/>
      <c r="SFJ115" s="182"/>
      <c r="SFK115" s="181"/>
      <c r="SFL115" s="182"/>
      <c r="SFM115" s="181"/>
      <c r="SFN115" s="182"/>
      <c r="SFO115" s="181"/>
      <c r="SFP115" s="182"/>
      <c r="SFQ115" s="181"/>
      <c r="SFR115" s="182"/>
      <c r="SFS115" s="181"/>
      <c r="SFT115" s="182"/>
      <c r="SFU115" s="181"/>
      <c r="SFV115" s="182"/>
      <c r="SFW115" s="181"/>
      <c r="SFX115" s="182"/>
      <c r="SFY115" s="181"/>
      <c r="SFZ115" s="182"/>
      <c r="SGA115" s="181"/>
      <c r="SGB115" s="182"/>
      <c r="SGC115" s="181"/>
      <c r="SGD115" s="182"/>
      <c r="SGE115" s="181"/>
      <c r="SGF115" s="182"/>
      <c r="SGG115" s="181"/>
      <c r="SGH115" s="182"/>
      <c r="SGI115" s="181"/>
      <c r="SGJ115" s="182"/>
      <c r="SGK115" s="181"/>
      <c r="SGL115" s="182"/>
      <c r="SGM115" s="181"/>
      <c r="SGN115" s="182"/>
      <c r="SGO115" s="181"/>
      <c r="SGP115" s="182"/>
      <c r="SGQ115" s="181"/>
      <c r="SGR115" s="182"/>
      <c r="SGS115" s="181"/>
      <c r="SGT115" s="182"/>
      <c r="SGU115" s="181"/>
      <c r="SGV115" s="182"/>
      <c r="SGW115" s="181"/>
      <c r="SGX115" s="182"/>
      <c r="SGY115" s="181"/>
      <c r="SGZ115" s="182"/>
      <c r="SHA115" s="181"/>
      <c r="SHB115" s="182"/>
      <c r="SHC115" s="181"/>
      <c r="SHD115" s="182"/>
      <c r="SHE115" s="181"/>
      <c r="SHF115" s="182"/>
      <c r="SHG115" s="181"/>
      <c r="SHH115" s="182"/>
      <c r="SHI115" s="181"/>
      <c r="SHJ115" s="182"/>
      <c r="SHK115" s="181"/>
      <c r="SHL115" s="182"/>
      <c r="SHM115" s="181"/>
      <c r="SHN115" s="182"/>
      <c r="SHO115" s="181"/>
      <c r="SHP115" s="182"/>
      <c r="SHQ115" s="181"/>
      <c r="SHR115" s="182"/>
      <c r="SHS115" s="181"/>
      <c r="SHT115" s="182"/>
      <c r="SHU115" s="181"/>
      <c r="SHV115" s="182"/>
      <c r="SHW115" s="181"/>
      <c r="SHX115" s="182"/>
      <c r="SHY115" s="181"/>
      <c r="SHZ115" s="182"/>
      <c r="SIA115" s="181"/>
      <c r="SIB115" s="182"/>
      <c r="SIC115" s="181"/>
      <c r="SID115" s="182"/>
      <c r="SIE115" s="181"/>
      <c r="SIF115" s="182"/>
      <c r="SIG115" s="181"/>
      <c r="SIH115" s="182"/>
      <c r="SII115" s="181"/>
      <c r="SIJ115" s="182"/>
      <c r="SIK115" s="181"/>
      <c r="SIL115" s="182"/>
      <c r="SIM115" s="181"/>
      <c r="SIN115" s="182"/>
      <c r="SIO115" s="181"/>
      <c r="SIP115" s="182"/>
      <c r="SIQ115" s="181"/>
      <c r="SIR115" s="182"/>
      <c r="SIS115" s="181"/>
      <c r="SIT115" s="182"/>
      <c r="SIU115" s="181"/>
      <c r="SIV115" s="182"/>
      <c r="SIW115" s="181"/>
      <c r="SIX115" s="182"/>
      <c r="SIY115" s="181"/>
      <c r="SIZ115" s="182"/>
      <c r="SJA115" s="181"/>
      <c r="SJB115" s="182"/>
      <c r="SJC115" s="181"/>
      <c r="SJD115" s="182"/>
      <c r="SJE115" s="181"/>
      <c r="SJF115" s="182"/>
      <c r="SJG115" s="181"/>
      <c r="SJH115" s="182"/>
      <c r="SJI115" s="181"/>
      <c r="SJJ115" s="182"/>
      <c r="SJK115" s="181"/>
      <c r="SJL115" s="182"/>
      <c r="SJM115" s="181"/>
      <c r="SJN115" s="182"/>
      <c r="SJO115" s="181"/>
      <c r="SJP115" s="182"/>
      <c r="SJQ115" s="181"/>
      <c r="SJR115" s="182"/>
      <c r="SJS115" s="181"/>
      <c r="SJT115" s="182"/>
      <c r="SJU115" s="181"/>
      <c r="SJV115" s="182"/>
      <c r="SJW115" s="181"/>
      <c r="SJX115" s="182"/>
      <c r="SJY115" s="181"/>
      <c r="SJZ115" s="182"/>
      <c r="SKA115" s="181"/>
      <c r="SKB115" s="182"/>
      <c r="SKC115" s="181"/>
      <c r="SKD115" s="182"/>
      <c r="SKE115" s="181"/>
      <c r="SKF115" s="182"/>
      <c r="SKG115" s="181"/>
      <c r="SKH115" s="182"/>
      <c r="SKI115" s="181"/>
      <c r="SKJ115" s="182"/>
      <c r="SKK115" s="181"/>
      <c r="SKL115" s="182"/>
      <c r="SKM115" s="181"/>
      <c r="SKN115" s="182"/>
      <c r="SKO115" s="181"/>
      <c r="SKP115" s="182"/>
      <c r="SKQ115" s="181"/>
      <c r="SKR115" s="182"/>
      <c r="SKS115" s="181"/>
      <c r="SKT115" s="182"/>
      <c r="SKU115" s="181"/>
      <c r="SKV115" s="182"/>
      <c r="SKW115" s="181"/>
      <c r="SKX115" s="182"/>
      <c r="SKY115" s="181"/>
      <c r="SKZ115" s="182"/>
      <c r="SLA115" s="181"/>
      <c r="SLB115" s="182"/>
      <c r="SLC115" s="181"/>
      <c r="SLD115" s="182"/>
      <c r="SLE115" s="181"/>
      <c r="SLF115" s="182"/>
      <c r="SLG115" s="181"/>
      <c r="SLH115" s="182"/>
      <c r="SLI115" s="181"/>
      <c r="SLJ115" s="182"/>
      <c r="SLK115" s="181"/>
      <c r="SLL115" s="182"/>
      <c r="SLM115" s="181"/>
      <c r="SLN115" s="182"/>
      <c r="SLO115" s="181"/>
      <c r="SLP115" s="182"/>
      <c r="SLQ115" s="181"/>
      <c r="SLR115" s="182"/>
      <c r="SLS115" s="181"/>
      <c r="SLT115" s="182"/>
      <c r="SLU115" s="181"/>
      <c r="SLV115" s="182"/>
      <c r="SLW115" s="181"/>
      <c r="SLX115" s="182"/>
      <c r="SLY115" s="181"/>
      <c r="SLZ115" s="182"/>
      <c r="SMA115" s="181"/>
      <c r="SMB115" s="182"/>
      <c r="SMC115" s="181"/>
      <c r="SMD115" s="182"/>
      <c r="SME115" s="181"/>
      <c r="SMF115" s="182"/>
      <c r="SMG115" s="181"/>
      <c r="SMH115" s="182"/>
      <c r="SMI115" s="181"/>
      <c r="SMJ115" s="182"/>
      <c r="SMK115" s="181"/>
      <c r="SML115" s="182"/>
      <c r="SMM115" s="181"/>
      <c r="SMN115" s="182"/>
      <c r="SMO115" s="181"/>
      <c r="SMP115" s="182"/>
      <c r="SMQ115" s="181"/>
      <c r="SMR115" s="182"/>
      <c r="SMS115" s="181"/>
      <c r="SMT115" s="182"/>
      <c r="SMU115" s="181"/>
      <c r="SMV115" s="182"/>
      <c r="SMW115" s="181"/>
      <c r="SMX115" s="182"/>
      <c r="SMY115" s="181"/>
      <c r="SMZ115" s="182"/>
      <c r="SNA115" s="181"/>
      <c r="SNB115" s="182"/>
      <c r="SNC115" s="181"/>
      <c r="SND115" s="182"/>
      <c r="SNE115" s="181"/>
      <c r="SNF115" s="182"/>
      <c r="SNG115" s="181"/>
      <c r="SNH115" s="182"/>
      <c r="SNI115" s="181"/>
      <c r="SNJ115" s="182"/>
      <c r="SNK115" s="181"/>
      <c r="SNL115" s="182"/>
      <c r="SNM115" s="181"/>
      <c r="SNN115" s="182"/>
      <c r="SNO115" s="181"/>
      <c r="SNP115" s="182"/>
      <c r="SNQ115" s="181"/>
      <c r="SNR115" s="182"/>
      <c r="SNS115" s="181"/>
      <c r="SNT115" s="182"/>
      <c r="SNU115" s="181"/>
      <c r="SNV115" s="182"/>
      <c r="SNW115" s="181"/>
      <c r="SNX115" s="182"/>
      <c r="SNY115" s="181"/>
      <c r="SNZ115" s="182"/>
      <c r="SOA115" s="181"/>
      <c r="SOB115" s="182"/>
      <c r="SOC115" s="181"/>
      <c r="SOD115" s="182"/>
      <c r="SOE115" s="181"/>
      <c r="SOF115" s="182"/>
      <c r="SOG115" s="181"/>
      <c r="SOH115" s="182"/>
      <c r="SOI115" s="181"/>
      <c r="SOJ115" s="182"/>
      <c r="SOK115" s="181"/>
      <c r="SOL115" s="182"/>
      <c r="SOM115" s="181"/>
      <c r="SON115" s="182"/>
      <c r="SOO115" s="181"/>
      <c r="SOP115" s="182"/>
      <c r="SOQ115" s="181"/>
      <c r="SOR115" s="182"/>
      <c r="SOS115" s="181"/>
      <c r="SOT115" s="182"/>
      <c r="SOU115" s="181"/>
      <c r="SOV115" s="182"/>
      <c r="SOW115" s="181"/>
      <c r="SOX115" s="182"/>
      <c r="SOY115" s="181"/>
      <c r="SOZ115" s="182"/>
      <c r="SPA115" s="181"/>
      <c r="SPB115" s="182"/>
      <c r="SPC115" s="181"/>
      <c r="SPD115" s="182"/>
      <c r="SPE115" s="181"/>
      <c r="SPF115" s="182"/>
      <c r="SPG115" s="181"/>
      <c r="SPH115" s="182"/>
      <c r="SPI115" s="181"/>
      <c r="SPJ115" s="182"/>
      <c r="SPK115" s="181"/>
      <c r="SPL115" s="182"/>
      <c r="SPM115" s="181"/>
      <c r="SPN115" s="182"/>
      <c r="SPO115" s="181"/>
      <c r="SPP115" s="182"/>
      <c r="SPQ115" s="181"/>
      <c r="SPR115" s="182"/>
      <c r="SPS115" s="181"/>
      <c r="SPT115" s="182"/>
      <c r="SPU115" s="181"/>
      <c r="SPV115" s="182"/>
      <c r="SPW115" s="181"/>
      <c r="SPX115" s="182"/>
      <c r="SPY115" s="181"/>
      <c r="SPZ115" s="182"/>
      <c r="SQA115" s="181"/>
      <c r="SQB115" s="182"/>
      <c r="SQC115" s="181"/>
      <c r="SQD115" s="182"/>
      <c r="SQE115" s="181"/>
      <c r="SQF115" s="182"/>
      <c r="SQG115" s="181"/>
      <c r="SQH115" s="182"/>
      <c r="SQI115" s="181"/>
      <c r="SQJ115" s="182"/>
      <c r="SQK115" s="181"/>
      <c r="SQL115" s="182"/>
      <c r="SQM115" s="181"/>
      <c r="SQN115" s="182"/>
      <c r="SQO115" s="181"/>
      <c r="SQP115" s="182"/>
      <c r="SQQ115" s="181"/>
      <c r="SQR115" s="182"/>
      <c r="SQS115" s="181"/>
      <c r="SQT115" s="182"/>
      <c r="SQU115" s="181"/>
      <c r="SQV115" s="182"/>
      <c r="SQW115" s="181"/>
      <c r="SQX115" s="182"/>
      <c r="SQY115" s="181"/>
      <c r="SQZ115" s="182"/>
      <c r="SRA115" s="181"/>
      <c r="SRB115" s="182"/>
      <c r="SRC115" s="181"/>
      <c r="SRD115" s="182"/>
      <c r="SRE115" s="181"/>
      <c r="SRF115" s="182"/>
      <c r="SRG115" s="181"/>
      <c r="SRH115" s="182"/>
      <c r="SRI115" s="181"/>
      <c r="SRJ115" s="182"/>
      <c r="SRK115" s="181"/>
      <c r="SRL115" s="182"/>
      <c r="SRM115" s="181"/>
      <c r="SRN115" s="182"/>
      <c r="SRO115" s="181"/>
      <c r="SRP115" s="182"/>
      <c r="SRQ115" s="181"/>
      <c r="SRR115" s="182"/>
      <c r="SRS115" s="181"/>
      <c r="SRT115" s="182"/>
      <c r="SRU115" s="181"/>
      <c r="SRV115" s="182"/>
      <c r="SRW115" s="181"/>
      <c r="SRX115" s="182"/>
      <c r="SRY115" s="181"/>
      <c r="SRZ115" s="182"/>
      <c r="SSA115" s="181"/>
      <c r="SSB115" s="182"/>
      <c r="SSC115" s="181"/>
      <c r="SSD115" s="182"/>
      <c r="SSE115" s="181"/>
      <c r="SSF115" s="182"/>
      <c r="SSG115" s="181"/>
      <c r="SSH115" s="182"/>
      <c r="SSI115" s="181"/>
      <c r="SSJ115" s="182"/>
      <c r="SSK115" s="181"/>
      <c r="SSL115" s="182"/>
      <c r="SSM115" s="181"/>
      <c r="SSN115" s="182"/>
      <c r="SSO115" s="181"/>
      <c r="SSP115" s="182"/>
      <c r="SSQ115" s="181"/>
      <c r="SSR115" s="182"/>
      <c r="SSS115" s="181"/>
      <c r="SST115" s="182"/>
      <c r="SSU115" s="181"/>
      <c r="SSV115" s="182"/>
      <c r="SSW115" s="181"/>
      <c r="SSX115" s="182"/>
      <c r="SSY115" s="181"/>
      <c r="SSZ115" s="182"/>
      <c r="STA115" s="181"/>
      <c r="STB115" s="182"/>
      <c r="STC115" s="181"/>
      <c r="STD115" s="182"/>
      <c r="STE115" s="181"/>
      <c r="STF115" s="182"/>
      <c r="STG115" s="181"/>
      <c r="STH115" s="182"/>
      <c r="STI115" s="181"/>
      <c r="STJ115" s="182"/>
      <c r="STK115" s="181"/>
      <c r="STL115" s="182"/>
      <c r="STM115" s="181"/>
      <c r="STN115" s="182"/>
      <c r="STO115" s="181"/>
      <c r="STP115" s="182"/>
      <c r="STQ115" s="181"/>
      <c r="STR115" s="182"/>
      <c r="STS115" s="181"/>
      <c r="STT115" s="182"/>
      <c r="STU115" s="181"/>
      <c r="STV115" s="182"/>
      <c r="STW115" s="181"/>
      <c r="STX115" s="182"/>
      <c r="STY115" s="181"/>
      <c r="STZ115" s="182"/>
      <c r="SUA115" s="181"/>
      <c r="SUB115" s="182"/>
      <c r="SUC115" s="181"/>
      <c r="SUD115" s="182"/>
      <c r="SUE115" s="181"/>
      <c r="SUF115" s="182"/>
      <c r="SUG115" s="181"/>
      <c r="SUH115" s="182"/>
      <c r="SUI115" s="181"/>
      <c r="SUJ115" s="182"/>
      <c r="SUK115" s="181"/>
      <c r="SUL115" s="182"/>
      <c r="SUM115" s="181"/>
      <c r="SUN115" s="182"/>
      <c r="SUO115" s="181"/>
      <c r="SUP115" s="182"/>
      <c r="SUQ115" s="181"/>
      <c r="SUR115" s="182"/>
      <c r="SUS115" s="181"/>
      <c r="SUT115" s="182"/>
      <c r="SUU115" s="181"/>
      <c r="SUV115" s="182"/>
      <c r="SUW115" s="181"/>
      <c r="SUX115" s="182"/>
      <c r="SUY115" s="181"/>
      <c r="SUZ115" s="182"/>
      <c r="SVA115" s="181"/>
      <c r="SVB115" s="182"/>
      <c r="SVC115" s="181"/>
      <c r="SVD115" s="182"/>
      <c r="SVE115" s="181"/>
      <c r="SVF115" s="182"/>
      <c r="SVG115" s="181"/>
      <c r="SVH115" s="182"/>
      <c r="SVI115" s="181"/>
      <c r="SVJ115" s="182"/>
      <c r="SVK115" s="181"/>
      <c r="SVL115" s="182"/>
      <c r="SVM115" s="181"/>
      <c r="SVN115" s="182"/>
      <c r="SVO115" s="181"/>
      <c r="SVP115" s="182"/>
      <c r="SVQ115" s="181"/>
      <c r="SVR115" s="182"/>
      <c r="SVS115" s="181"/>
      <c r="SVT115" s="182"/>
      <c r="SVU115" s="181"/>
      <c r="SVV115" s="182"/>
      <c r="SVW115" s="181"/>
      <c r="SVX115" s="182"/>
      <c r="SVY115" s="181"/>
      <c r="SVZ115" s="182"/>
      <c r="SWA115" s="181"/>
      <c r="SWB115" s="182"/>
      <c r="SWC115" s="181"/>
      <c r="SWD115" s="182"/>
      <c r="SWE115" s="181"/>
      <c r="SWF115" s="182"/>
      <c r="SWG115" s="181"/>
      <c r="SWH115" s="182"/>
      <c r="SWI115" s="181"/>
      <c r="SWJ115" s="182"/>
      <c r="SWK115" s="181"/>
      <c r="SWL115" s="182"/>
      <c r="SWM115" s="181"/>
      <c r="SWN115" s="182"/>
      <c r="SWO115" s="181"/>
      <c r="SWP115" s="182"/>
      <c r="SWQ115" s="181"/>
      <c r="SWR115" s="182"/>
      <c r="SWS115" s="181"/>
      <c r="SWT115" s="182"/>
      <c r="SWU115" s="181"/>
      <c r="SWV115" s="182"/>
      <c r="SWW115" s="181"/>
      <c r="SWX115" s="182"/>
      <c r="SWY115" s="181"/>
      <c r="SWZ115" s="182"/>
      <c r="SXA115" s="181"/>
      <c r="SXB115" s="182"/>
      <c r="SXC115" s="181"/>
      <c r="SXD115" s="182"/>
      <c r="SXE115" s="181"/>
      <c r="SXF115" s="182"/>
      <c r="SXG115" s="181"/>
      <c r="SXH115" s="182"/>
      <c r="SXI115" s="181"/>
      <c r="SXJ115" s="182"/>
      <c r="SXK115" s="181"/>
      <c r="SXL115" s="182"/>
      <c r="SXM115" s="181"/>
      <c r="SXN115" s="182"/>
      <c r="SXO115" s="181"/>
      <c r="SXP115" s="182"/>
      <c r="SXQ115" s="181"/>
      <c r="SXR115" s="182"/>
      <c r="SXS115" s="181"/>
      <c r="SXT115" s="182"/>
      <c r="SXU115" s="181"/>
      <c r="SXV115" s="182"/>
      <c r="SXW115" s="181"/>
      <c r="SXX115" s="182"/>
      <c r="SXY115" s="181"/>
      <c r="SXZ115" s="182"/>
      <c r="SYA115" s="181"/>
      <c r="SYB115" s="182"/>
      <c r="SYC115" s="181"/>
      <c r="SYD115" s="182"/>
      <c r="SYE115" s="181"/>
      <c r="SYF115" s="182"/>
      <c r="SYG115" s="181"/>
      <c r="SYH115" s="182"/>
      <c r="SYI115" s="181"/>
      <c r="SYJ115" s="182"/>
      <c r="SYK115" s="181"/>
      <c r="SYL115" s="182"/>
      <c r="SYM115" s="181"/>
      <c r="SYN115" s="182"/>
      <c r="SYO115" s="181"/>
      <c r="SYP115" s="182"/>
      <c r="SYQ115" s="181"/>
      <c r="SYR115" s="182"/>
      <c r="SYS115" s="181"/>
      <c r="SYT115" s="182"/>
      <c r="SYU115" s="181"/>
      <c r="SYV115" s="182"/>
      <c r="SYW115" s="181"/>
      <c r="SYX115" s="182"/>
      <c r="SYY115" s="181"/>
      <c r="SYZ115" s="182"/>
      <c r="SZA115" s="181"/>
      <c r="SZB115" s="182"/>
      <c r="SZC115" s="181"/>
      <c r="SZD115" s="182"/>
      <c r="SZE115" s="181"/>
      <c r="SZF115" s="182"/>
      <c r="SZG115" s="181"/>
      <c r="SZH115" s="182"/>
      <c r="SZI115" s="181"/>
      <c r="SZJ115" s="182"/>
      <c r="SZK115" s="181"/>
      <c r="SZL115" s="182"/>
      <c r="SZM115" s="181"/>
      <c r="SZN115" s="182"/>
      <c r="SZO115" s="181"/>
      <c r="SZP115" s="182"/>
      <c r="SZQ115" s="181"/>
      <c r="SZR115" s="182"/>
      <c r="SZS115" s="181"/>
      <c r="SZT115" s="182"/>
      <c r="SZU115" s="181"/>
      <c r="SZV115" s="182"/>
      <c r="SZW115" s="181"/>
      <c r="SZX115" s="182"/>
      <c r="SZY115" s="181"/>
      <c r="SZZ115" s="182"/>
      <c r="TAA115" s="181"/>
      <c r="TAB115" s="182"/>
      <c r="TAC115" s="181"/>
      <c r="TAD115" s="182"/>
      <c r="TAE115" s="181"/>
      <c r="TAF115" s="182"/>
      <c r="TAG115" s="181"/>
      <c r="TAH115" s="182"/>
      <c r="TAI115" s="181"/>
      <c r="TAJ115" s="182"/>
      <c r="TAK115" s="181"/>
      <c r="TAL115" s="182"/>
      <c r="TAM115" s="181"/>
      <c r="TAN115" s="182"/>
      <c r="TAO115" s="181"/>
      <c r="TAP115" s="182"/>
      <c r="TAQ115" s="181"/>
      <c r="TAR115" s="182"/>
      <c r="TAS115" s="181"/>
      <c r="TAT115" s="182"/>
      <c r="TAU115" s="181"/>
      <c r="TAV115" s="182"/>
      <c r="TAW115" s="181"/>
      <c r="TAX115" s="182"/>
      <c r="TAY115" s="181"/>
      <c r="TAZ115" s="182"/>
      <c r="TBA115" s="181"/>
      <c r="TBB115" s="182"/>
      <c r="TBC115" s="181"/>
      <c r="TBD115" s="182"/>
      <c r="TBE115" s="181"/>
      <c r="TBF115" s="182"/>
      <c r="TBG115" s="181"/>
      <c r="TBH115" s="182"/>
      <c r="TBI115" s="181"/>
      <c r="TBJ115" s="182"/>
      <c r="TBK115" s="181"/>
      <c r="TBL115" s="182"/>
      <c r="TBM115" s="181"/>
      <c r="TBN115" s="182"/>
      <c r="TBO115" s="181"/>
      <c r="TBP115" s="182"/>
      <c r="TBQ115" s="181"/>
      <c r="TBR115" s="182"/>
      <c r="TBS115" s="181"/>
      <c r="TBT115" s="182"/>
      <c r="TBU115" s="181"/>
      <c r="TBV115" s="182"/>
      <c r="TBW115" s="181"/>
      <c r="TBX115" s="182"/>
      <c r="TBY115" s="181"/>
      <c r="TBZ115" s="182"/>
      <c r="TCA115" s="181"/>
      <c r="TCB115" s="182"/>
      <c r="TCC115" s="181"/>
      <c r="TCD115" s="182"/>
      <c r="TCE115" s="181"/>
      <c r="TCF115" s="182"/>
      <c r="TCG115" s="181"/>
      <c r="TCH115" s="182"/>
      <c r="TCI115" s="181"/>
      <c r="TCJ115" s="182"/>
      <c r="TCK115" s="181"/>
      <c r="TCL115" s="182"/>
      <c r="TCM115" s="181"/>
      <c r="TCN115" s="182"/>
      <c r="TCO115" s="181"/>
      <c r="TCP115" s="182"/>
      <c r="TCQ115" s="181"/>
      <c r="TCR115" s="182"/>
      <c r="TCS115" s="181"/>
      <c r="TCT115" s="182"/>
      <c r="TCU115" s="181"/>
      <c r="TCV115" s="182"/>
      <c r="TCW115" s="181"/>
      <c r="TCX115" s="182"/>
      <c r="TCY115" s="181"/>
      <c r="TCZ115" s="182"/>
      <c r="TDA115" s="181"/>
      <c r="TDB115" s="182"/>
      <c r="TDC115" s="181"/>
      <c r="TDD115" s="182"/>
      <c r="TDE115" s="181"/>
      <c r="TDF115" s="182"/>
      <c r="TDG115" s="181"/>
      <c r="TDH115" s="182"/>
      <c r="TDI115" s="181"/>
      <c r="TDJ115" s="182"/>
      <c r="TDK115" s="181"/>
      <c r="TDL115" s="182"/>
      <c r="TDM115" s="181"/>
      <c r="TDN115" s="182"/>
      <c r="TDO115" s="181"/>
      <c r="TDP115" s="182"/>
      <c r="TDQ115" s="181"/>
      <c r="TDR115" s="182"/>
      <c r="TDS115" s="181"/>
      <c r="TDT115" s="182"/>
      <c r="TDU115" s="181"/>
      <c r="TDV115" s="182"/>
      <c r="TDW115" s="181"/>
      <c r="TDX115" s="182"/>
      <c r="TDY115" s="181"/>
      <c r="TDZ115" s="182"/>
      <c r="TEA115" s="181"/>
      <c r="TEB115" s="182"/>
      <c r="TEC115" s="181"/>
      <c r="TED115" s="182"/>
      <c r="TEE115" s="181"/>
      <c r="TEF115" s="182"/>
      <c r="TEG115" s="181"/>
      <c r="TEH115" s="182"/>
      <c r="TEI115" s="181"/>
      <c r="TEJ115" s="182"/>
      <c r="TEK115" s="181"/>
      <c r="TEL115" s="182"/>
      <c r="TEM115" s="181"/>
      <c r="TEN115" s="182"/>
      <c r="TEO115" s="181"/>
      <c r="TEP115" s="182"/>
      <c r="TEQ115" s="181"/>
      <c r="TER115" s="182"/>
      <c r="TES115" s="181"/>
      <c r="TET115" s="182"/>
      <c r="TEU115" s="181"/>
      <c r="TEV115" s="182"/>
      <c r="TEW115" s="181"/>
      <c r="TEX115" s="182"/>
      <c r="TEY115" s="181"/>
      <c r="TEZ115" s="182"/>
      <c r="TFA115" s="181"/>
      <c r="TFB115" s="182"/>
      <c r="TFC115" s="181"/>
      <c r="TFD115" s="182"/>
      <c r="TFE115" s="181"/>
      <c r="TFF115" s="182"/>
      <c r="TFG115" s="181"/>
      <c r="TFH115" s="182"/>
      <c r="TFI115" s="181"/>
      <c r="TFJ115" s="182"/>
      <c r="TFK115" s="181"/>
      <c r="TFL115" s="182"/>
      <c r="TFM115" s="181"/>
      <c r="TFN115" s="182"/>
      <c r="TFO115" s="181"/>
      <c r="TFP115" s="182"/>
      <c r="TFQ115" s="181"/>
      <c r="TFR115" s="182"/>
      <c r="TFS115" s="181"/>
      <c r="TFT115" s="182"/>
      <c r="TFU115" s="181"/>
      <c r="TFV115" s="182"/>
      <c r="TFW115" s="181"/>
      <c r="TFX115" s="182"/>
      <c r="TFY115" s="181"/>
      <c r="TFZ115" s="182"/>
      <c r="TGA115" s="181"/>
      <c r="TGB115" s="182"/>
      <c r="TGC115" s="181"/>
      <c r="TGD115" s="182"/>
      <c r="TGE115" s="181"/>
      <c r="TGF115" s="182"/>
      <c r="TGG115" s="181"/>
      <c r="TGH115" s="182"/>
      <c r="TGI115" s="181"/>
      <c r="TGJ115" s="182"/>
      <c r="TGK115" s="181"/>
      <c r="TGL115" s="182"/>
      <c r="TGM115" s="181"/>
      <c r="TGN115" s="182"/>
      <c r="TGO115" s="181"/>
      <c r="TGP115" s="182"/>
      <c r="TGQ115" s="181"/>
      <c r="TGR115" s="182"/>
      <c r="TGS115" s="181"/>
      <c r="TGT115" s="182"/>
      <c r="TGU115" s="181"/>
      <c r="TGV115" s="182"/>
      <c r="TGW115" s="181"/>
      <c r="TGX115" s="182"/>
      <c r="TGY115" s="181"/>
      <c r="TGZ115" s="182"/>
      <c r="THA115" s="181"/>
      <c r="THB115" s="182"/>
      <c r="THC115" s="181"/>
      <c r="THD115" s="182"/>
      <c r="THE115" s="181"/>
      <c r="THF115" s="182"/>
      <c r="THG115" s="181"/>
      <c r="THH115" s="182"/>
      <c r="THI115" s="181"/>
      <c r="THJ115" s="182"/>
      <c r="THK115" s="181"/>
      <c r="THL115" s="182"/>
      <c r="THM115" s="181"/>
      <c r="THN115" s="182"/>
      <c r="THO115" s="181"/>
      <c r="THP115" s="182"/>
      <c r="THQ115" s="181"/>
      <c r="THR115" s="182"/>
      <c r="THS115" s="181"/>
      <c r="THT115" s="182"/>
      <c r="THU115" s="181"/>
      <c r="THV115" s="182"/>
      <c r="THW115" s="181"/>
      <c r="THX115" s="182"/>
      <c r="THY115" s="181"/>
      <c r="THZ115" s="182"/>
      <c r="TIA115" s="181"/>
      <c r="TIB115" s="182"/>
      <c r="TIC115" s="181"/>
      <c r="TID115" s="182"/>
      <c r="TIE115" s="181"/>
      <c r="TIF115" s="182"/>
      <c r="TIG115" s="181"/>
      <c r="TIH115" s="182"/>
      <c r="TII115" s="181"/>
      <c r="TIJ115" s="182"/>
      <c r="TIK115" s="181"/>
      <c r="TIL115" s="182"/>
      <c r="TIM115" s="181"/>
      <c r="TIN115" s="182"/>
      <c r="TIO115" s="181"/>
      <c r="TIP115" s="182"/>
      <c r="TIQ115" s="181"/>
      <c r="TIR115" s="182"/>
      <c r="TIS115" s="181"/>
      <c r="TIT115" s="182"/>
      <c r="TIU115" s="181"/>
      <c r="TIV115" s="182"/>
      <c r="TIW115" s="181"/>
      <c r="TIX115" s="182"/>
      <c r="TIY115" s="181"/>
      <c r="TIZ115" s="182"/>
      <c r="TJA115" s="181"/>
      <c r="TJB115" s="182"/>
      <c r="TJC115" s="181"/>
      <c r="TJD115" s="182"/>
      <c r="TJE115" s="181"/>
      <c r="TJF115" s="182"/>
      <c r="TJG115" s="181"/>
      <c r="TJH115" s="182"/>
      <c r="TJI115" s="181"/>
      <c r="TJJ115" s="182"/>
      <c r="TJK115" s="181"/>
      <c r="TJL115" s="182"/>
      <c r="TJM115" s="181"/>
      <c r="TJN115" s="182"/>
      <c r="TJO115" s="181"/>
      <c r="TJP115" s="182"/>
      <c r="TJQ115" s="181"/>
      <c r="TJR115" s="182"/>
      <c r="TJS115" s="181"/>
      <c r="TJT115" s="182"/>
      <c r="TJU115" s="181"/>
      <c r="TJV115" s="182"/>
      <c r="TJW115" s="181"/>
      <c r="TJX115" s="182"/>
      <c r="TJY115" s="181"/>
      <c r="TJZ115" s="182"/>
      <c r="TKA115" s="181"/>
      <c r="TKB115" s="182"/>
      <c r="TKC115" s="181"/>
      <c r="TKD115" s="182"/>
      <c r="TKE115" s="181"/>
      <c r="TKF115" s="182"/>
      <c r="TKG115" s="181"/>
      <c r="TKH115" s="182"/>
      <c r="TKI115" s="181"/>
      <c r="TKJ115" s="182"/>
      <c r="TKK115" s="181"/>
      <c r="TKL115" s="182"/>
      <c r="TKM115" s="181"/>
      <c r="TKN115" s="182"/>
      <c r="TKO115" s="181"/>
      <c r="TKP115" s="182"/>
      <c r="TKQ115" s="181"/>
      <c r="TKR115" s="182"/>
      <c r="TKS115" s="181"/>
      <c r="TKT115" s="182"/>
      <c r="TKU115" s="181"/>
      <c r="TKV115" s="182"/>
      <c r="TKW115" s="181"/>
      <c r="TKX115" s="182"/>
      <c r="TKY115" s="181"/>
      <c r="TKZ115" s="182"/>
      <c r="TLA115" s="181"/>
      <c r="TLB115" s="182"/>
      <c r="TLC115" s="181"/>
      <c r="TLD115" s="182"/>
      <c r="TLE115" s="181"/>
      <c r="TLF115" s="182"/>
      <c r="TLG115" s="181"/>
      <c r="TLH115" s="182"/>
      <c r="TLI115" s="181"/>
      <c r="TLJ115" s="182"/>
      <c r="TLK115" s="181"/>
      <c r="TLL115" s="182"/>
      <c r="TLM115" s="181"/>
      <c r="TLN115" s="182"/>
      <c r="TLO115" s="181"/>
      <c r="TLP115" s="182"/>
      <c r="TLQ115" s="181"/>
      <c r="TLR115" s="182"/>
      <c r="TLS115" s="181"/>
      <c r="TLT115" s="182"/>
      <c r="TLU115" s="181"/>
      <c r="TLV115" s="182"/>
      <c r="TLW115" s="181"/>
      <c r="TLX115" s="182"/>
      <c r="TLY115" s="181"/>
      <c r="TLZ115" s="182"/>
      <c r="TMA115" s="181"/>
      <c r="TMB115" s="182"/>
      <c r="TMC115" s="181"/>
      <c r="TMD115" s="182"/>
      <c r="TME115" s="181"/>
      <c r="TMF115" s="182"/>
      <c r="TMG115" s="181"/>
      <c r="TMH115" s="182"/>
      <c r="TMI115" s="181"/>
      <c r="TMJ115" s="182"/>
      <c r="TMK115" s="181"/>
      <c r="TML115" s="182"/>
      <c r="TMM115" s="181"/>
      <c r="TMN115" s="182"/>
      <c r="TMO115" s="181"/>
      <c r="TMP115" s="182"/>
      <c r="TMQ115" s="181"/>
      <c r="TMR115" s="182"/>
      <c r="TMS115" s="181"/>
      <c r="TMT115" s="182"/>
      <c r="TMU115" s="181"/>
      <c r="TMV115" s="182"/>
      <c r="TMW115" s="181"/>
      <c r="TMX115" s="182"/>
      <c r="TMY115" s="181"/>
      <c r="TMZ115" s="182"/>
      <c r="TNA115" s="181"/>
      <c r="TNB115" s="182"/>
      <c r="TNC115" s="181"/>
      <c r="TND115" s="182"/>
      <c r="TNE115" s="181"/>
      <c r="TNF115" s="182"/>
      <c r="TNG115" s="181"/>
      <c r="TNH115" s="182"/>
      <c r="TNI115" s="181"/>
      <c r="TNJ115" s="182"/>
      <c r="TNK115" s="181"/>
      <c r="TNL115" s="182"/>
      <c r="TNM115" s="181"/>
      <c r="TNN115" s="182"/>
      <c r="TNO115" s="181"/>
      <c r="TNP115" s="182"/>
      <c r="TNQ115" s="181"/>
      <c r="TNR115" s="182"/>
      <c r="TNS115" s="181"/>
      <c r="TNT115" s="182"/>
      <c r="TNU115" s="181"/>
      <c r="TNV115" s="182"/>
      <c r="TNW115" s="181"/>
      <c r="TNX115" s="182"/>
      <c r="TNY115" s="181"/>
      <c r="TNZ115" s="182"/>
      <c r="TOA115" s="181"/>
      <c r="TOB115" s="182"/>
      <c r="TOC115" s="181"/>
      <c r="TOD115" s="182"/>
      <c r="TOE115" s="181"/>
      <c r="TOF115" s="182"/>
      <c r="TOG115" s="181"/>
      <c r="TOH115" s="182"/>
      <c r="TOI115" s="181"/>
      <c r="TOJ115" s="182"/>
      <c r="TOK115" s="181"/>
      <c r="TOL115" s="182"/>
      <c r="TOM115" s="181"/>
      <c r="TON115" s="182"/>
      <c r="TOO115" s="181"/>
      <c r="TOP115" s="182"/>
      <c r="TOQ115" s="181"/>
      <c r="TOR115" s="182"/>
      <c r="TOS115" s="181"/>
      <c r="TOT115" s="182"/>
      <c r="TOU115" s="181"/>
      <c r="TOV115" s="182"/>
      <c r="TOW115" s="181"/>
      <c r="TOX115" s="182"/>
      <c r="TOY115" s="181"/>
      <c r="TOZ115" s="182"/>
      <c r="TPA115" s="181"/>
      <c r="TPB115" s="182"/>
      <c r="TPC115" s="181"/>
      <c r="TPD115" s="182"/>
      <c r="TPE115" s="181"/>
      <c r="TPF115" s="182"/>
      <c r="TPG115" s="181"/>
      <c r="TPH115" s="182"/>
      <c r="TPI115" s="181"/>
      <c r="TPJ115" s="182"/>
      <c r="TPK115" s="181"/>
      <c r="TPL115" s="182"/>
      <c r="TPM115" s="181"/>
      <c r="TPN115" s="182"/>
      <c r="TPO115" s="181"/>
      <c r="TPP115" s="182"/>
      <c r="TPQ115" s="181"/>
      <c r="TPR115" s="182"/>
      <c r="TPS115" s="181"/>
      <c r="TPT115" s="182"/>
      <c r="TPU115" s="181"/>
      <c r="TPV115" s="182"/>
      <c r="TPW115" s="181"/>
      <c r="TPX115" s="182"/>
      <c r="TPY115" s="181"/>
      <c r="TPZ115" s="182"/>
      <c r="TQA115" s="181"/>
      <c r="TQB115" s="182"/>
      <c r="TQC115" s="181"/>
      <c r="TQD115" s="182"/>
      <c r="TQE115" s="181"/>
      <c r="TQF115" s="182"/>
      <c r="TQG115" s="181"/>
      <c r="TQH115" s="182"/>
      <c r="TQI115" s="181"/>
      <c r="TQJ115" s="182"/>
      <c r="TQK115" s="181"/>
      <c r="TQL115" s="182"/>
      <c r="TQM115" s="181"/>
      <c r="TQN115" s="182"/>
      <c r="TQO115" s="181"/>
      <c r="TQP115" s="182"/>
      <c r="TQQ115" s="181"/>
      <c r="TQR115" s="182"/>
      <c r="TQS115" s="181"/>
      <c r="TQT115" s="182"/>
      <c r="TQU115" s="181"/>
      <c r="TQV115" s="182"/>
      <c r="TQW115" s="181"/>
      <c r="TQX115" s="182"/>
      <c r="TQY115" s="181"/>
      <c r="TQZ115" s="182"/>
      <c r="TRA115" s="181"/>
      <c r="TRB115" s="182"/>
      <c r="TRC115" s="181"/>
      <c r="TRD115" s="182"/>
      <c r="TRE115" s="181"/>
      <c r="TRF115" s="182"/>
      <c r="TRG115" s="181"/>
      <c r="TRH115" s="182"/>
      <c r="TRI115" s="181"/>
      <c r="TRJ115" s="182"/>
      <c r="TRK115" s="181"/>
      <c r="TRL115" s="182"/>
      <c r="TRM115" s="181"/>
      <c r="TRN115" s="182"/>
      <c r="TRO115" s="181"/>
      <c r="TRP115" s="182"/>
      <c r="TRQ115" s="181"/>
      <c r="TRR115" s="182"/>
      <c r="TRS115" s="181"/>
      <c r="TRT115" s="182"/>
      <c r="TRU115" s="181"/>
      <c r="TRV115" s="182"/>
      <c r="TRW115" s="181"/>
      <c r="TRX115" s="182"/>
      <c r="TRY115" s="181"/>
      <c r="TRZ115" s="182"/>
      <c r="TSA115" s="181"/>
      <c r="TSB115" s="182"/>
      <c r="TSC115" s="181"/>
      <c r="TSD115" s="182"/>
      <c r="TSE115" s="181"/>
      <c r="TSF115" s="182"/>
      <c r="TSG115" s="181"/>
      <c r="TSH115" s="182"/>
      <c r="TSI115" s="181"/>
      <c r="TSJ115" s="182"/>
      <c r="TSK115" s="181"/>
      <c r="TSL115" s="182"/>
      <c r="TSM115" s="181"/>
      <c r="TSN115" s="182"/>
      <c r="TSO115" s="181"/>
      <c r="TSP115" s="182"/>
      <c r="TSQ115" s="181"/>
      <c r="TSR115" s="182"/>
      <c r="TSS115" s="181"/>
      <c r="TST115" s="182"/>
      <c r="TSU115" s="181"/>
      <c r="TSV115" s="182"/>
      <c r="TSW115" s="181"/>
      <c r="TSX115" s="182"/>
      <c r="TSY115" s="181"/>
      <c r="TSZ115" s="182"/>
      <c r="TTA115" s="181"/>
      <c r="TTB115" s="182"/>
      <c r="TTC115" s="181"/>
      <c r="TTD115" s="182"/>
      <c r="TTE115" s="181"/>
      <c r="TTF115" s="182"/>
      <c r="TTG115" s="181"/>
      <c r="TTH115" s="182"/>
      <c r="TTI115" s="181"/>
      <c r="TTJ115" s="182"/>
      <c r="TTK115" s="181"/>
      <c r="TTL115" s="182"/>
      <c r="TTM115" s="181"/>
      <c r="TTN115" s="182"/>
      <c r="TTO115" s="181"/>
      <c r="TTP115" s="182"/>
      <c r="TTQ115" s="181"/>
      <c r="TTR115" s="182"/>
      <c r="TTS115" s="181"/>
      <c r="TTT115" s="182"/>
      <c r="TTU115" s="181"/>
      <c r="TTV115" s="182"/>
      <c r="TTW115" s="181"/>
      <c r="TTX115" s="182"/>
      <c r="TTY115" s="181"/>
      <c r="TTZ115" s="182"/>
      <c r="TUA115" s="181"/>
      <c r="TUB115" s="182"/>
      <c r="TUC115" s="181"/>
      <c r="TUD115" s="182"/>
      <c r="TUE115" s="181"/>
      <c r="TUF115" s="182"/>
      <c r="TUG115" s="181"/>
      <c r="TUH115" s="182"/>
      <c r="TUI115" s="181"/>
      <c r="TUJ115" s="182"/>
      <c r="TUK115" s="181"/>
      <c r="TUL115" s="182"/>
      <c r="TUM115" s="181"/>
      <c r="TUN115" s="182"/>
      <c r="TUO115" s="181"/>
      <c r="TUP115" s="182"/>
      <c r="TUQ115" s="181"/>
      <c r="TUR115" s="182"/>
      <c r="TUS115" s="181"/>
      <c r="TUT115" s="182"/>
      <c r="TUU115" s="181"/>
      <c r="TUV115" s="182"/>
      <c r="TUW115" s="181"/>
      <c r="TUX115" s="182"/>
      <c r="TUY115" s="181"/>
      <c r="TUZ115" s="182"/>
      <c r="TVA115" s="181"/>
      <c r="TVB115" s="182"/>
      <c r="TVC115" s="181"/>
      <c r="TVD115" s="182"/>
      <c r="TVE115" s="181"/>
      <c r="TVF115" s="182"/>
      <c r="TVG115" s="181"/>
      <c r="TVH115" s="182"/>
      <c r="TVI115" s="181"/>
      <c r="TVJ115" s="182"/>
      <c r="TVK115" s="181"/>
      <c r="TVL115" s="182"/>
      <c r="TVM115" s="181"/>
      <c r="TVN115" s="182"/>
      <c r="TVO115" s="181"/>
      <c r="TVP115" s="182"/>
      <c r="TVQ115" s="181"/>
      <c r="TVR115" s="182"/>
      <c r="TVS115" s="181"/>
      <c r="TVT115" s="182"/>
      <c r="TVU115" s="181"/>
      <c r="TVV115" s="182"/>
      <c r="TVW115" s="181"/>
      <c r="TVX115" s="182"/>
      <c r="TVY115" s="181"/>
      <c r="TVZ115" s="182"/>
      <c r="TWA115" s="181"/>
      <c r="TWB115" s="182"/>
      <c r="TWC115" s="181"/>
      <c r="TWD115" s="182"/>
      <c r="TWE115" s="181"/>
      <c r="TWF115" s="182"/>
      <c r="TWG115" s="181"/>
      <c r="TWH115" s="182"/>
      <c r="TWI115" s="181"/>
      <c r="TWJ115" s="182"/>
      <c r="TWK115" s="181"/>
      <c r="TWL115" s="182"/>
      <c r="TWM115" s="181"/>
      <c r="TWN115" s="182"/>
      <c r="TWO115" s="181"/>
      <c r="TWP115" s="182"/>
      <c r="TWQ115" s="181"/>
      <c r="TWR115" s="182"/>
      <c r="TWS115" s="181"/>
      <c r="TWT115" s="182"/>
      <c r="TWU115" s="181"/>
      <c r="TWV115" s="182"/>
      <c r="TWW115" s="181"/>
      <c r="TWX115" s="182"/>
      <c r="TWY115" s="181"/>
      <c r="TWZ115" s="182"/>
      <c r="TXA115" s="181"/>
      <c r="TXB115" s="182"/>
      <c r="TXC115" s="181"/>
      <c r="TXD115" s="182"/>
      <c r="TXE115" s="181"/>
      <c r="TXF115" s="182"/>
      <c r="TXG115" s="181"/>
      <c r="TXH115" s="182"/>
      <c r="TXI115" s="181"/>
      <c r="TXJ115" s="182"/>
      <c r="TXK115" s="181"/>
      <c r="TXL115" s="182"/>
      <c r="TXM115" s="181"/>
      <c r="TXN115" s="182"/>
      <c r="TXO115" s="181"/>
      <c r="TXP115" s="182"/>
      <c r="TXQ115" s="181"/>
      <c r="TXR115" s="182"/>
      <c r="TXS115" s="181"/>
      <c r="TXT115" s="182"/>
      <c r="TXU115" s="181"/>
      <c r="TXV115" s="182"/>
      <c r="TXW115" s="181"/>
      <c r="TXX115" s="182"/>
      <c r="TXY115" s="181"/>
      <c r="TXZ115" s="182"/>
      <c r="TYA115" s="181"/>
      <c r="TYB115" s="182"/>
      <c r="TYC115" s="181"/>
      <c r="TYD115" s="182"/>
      <c r="TYE115" s="181"/>
      <c r="TYF115" s="182"/>
      <c r="TYG115" s="181"/>
      <c r="TYH115" s="182"/>
      <c r="TYI115" s="181"/>
      <c r="TYJ115" s="182"/>
      <c r="TYK115" s="181"/>
      <c r="TYL115" s="182"/>
      <c r="TYM115" s="181"/>
      <c r="TYN115" s="182"/>
      <c r="TYO115" s="181"/>
      <c r="TYP115" s="182"/>
      <c r="TYQ115" s="181"/>
      <c r="TYR115" s="182"/>
      <c r="TYS115" s="181"/>
      <c r="TYT115" s="182"/>
      <c r="TYU115" s="181"/>
      <c r="TYV115" s="182"/>
      <c r="TYW115" s="181"/>
      <c r="TYX115" s="182"/>
      <c r="TYY115" s="181"/>
      <c r="TYZ115" s="182"/>
      <c r="TZA115" s="181"/>
      <c r="TZB115" s="182"/>
      <c r="TZC115" s="181"/>
      <c r="TZD115" s="182"/>
      <c r="TZE115" s="181"/>
      <c r="TZF115" s="182"/>
      <c r="TZG115" s="181"/>
      <c r="TZH115" s="182"/>
      <c r="TZI115" s="181"/>
      <c r="TZJ115" s="182"/>
      <c r="TZK115" s="181"/>
      <c r="TZL115" s="182"/>
      <c r="TZM115" s="181"/>
      <c r="TZN115" s="182"/>
      <c r="TZO115" s="181"/>
      <c r="TZP115" s="182"/>
      <c r="TZQ115" s="181"/>
      <c r="TZR115" s="182"/>
      <c r="TZS115" s="181"/>
      <c r="TZT115" s="182"/>
      <c r="TZU115" s="181"/>
      <c r="TZV115" s="182"/>
      <c r="TZW115" s="181"/>
      <c r="TZX115" s="182"/>
      <c r="TZY115" s="181"/>
      <c r="TZZ115" s="182"/>
      <c r="UAA115" s="181"/>
      <c r="UAB115" s="182"/>
      <c r="UAC115" s="181"/>
      <c r="UAD115" s="182"/>
      <c r="UAE115" s="181"/>
      <c r="UAF115" s="182"/>
      <c r="UAG115" s="181"/>
      <c r="UAH115" s="182"/>
      <c r="UAI115" s="181"/>
      <c r="UAJ115" s="182"/>
      <c r="UAK115" s="181"/>
      <c r="UAL115" s="182"/>
      <c r="UAM115" s="181"/>
      <c r="UAN115" s="182"/>
      <c r="UAO115" s="181"/>
      <c r="UAP115" s="182"/>
      <c r="UAQ115" s="181"/>
      <c r="UAR115" s="182"/>
      <c r="UAS115" s="181"/>
      <c r="UAT115" s="182"/>
      <c r="UAU115" s="181"/>
      <c r="UAV115" s="182"/>
      <c r="UAW115" s="181"/>
      <c r="UAX115" s="182"/>
      <c r="UAY115" s="181"/>
      <c r="UAZ115" s="182"/>
      <c r="UBA115" s="181"/>
      <c r="UBB115" s="182"/>
      <c r="UBC115" s="181"/>
      <c r="UBD115" s="182"/>
      <c r="UBE115" s="181"/>
      <c r="UBF115" s="182"/>
      <c r="UBG115" s="181"/>
      <c r="UBH115" s="182"/>
      <c r="UBI115" s="181"/>
      <c r="UBJ115" s="182"/>
      <c r="UBK115" s="181"/>
      <c r="UBL115" s="182"/>
      <c r="UBM115" s="181"/>
      <c r="UBN115" s="182"/>
      <c r="UBO115" s="181"/>
      <c r="UBP115" s="182"/>
      <c r="UBQ115" s="181"/>
      <c r="UBR115" s="182"/>
      <c r="UBS115" s="181"/>
      <c r="UBT115" s="182"/>
      <c r="UBU115" s="181"/>
      <c r="UBV115" s="182"/>
      <c r="UBW115" s="181"/>
      <c r="UBX115" s="182"/>
      <c r="UBY115" s="181"/>
      <c r="UBZ115" s="182"/>
      <c r="UCA115" s="181"/>
      <c r="UCB115" s="182"/>
      <c r="UCC115" s="181"/>
      <c r="UCD115" s="182"/>
      <c r="UCE115" s="181"/>
      <c r="UCF115" s="182"/>
      <c r="UCG115" s="181"/>
      <c r="UCH115" s="182"/>
      <c r="UCI115" s="181"/>
      <c r="UCJ115" s="182"/>
      <c r="UCK115" s="181"/>
      <c r="UCL115" s="182"/>
      <c r="UCM115" s="181"/>
      <c r="UCN115" s="182"/>
      <c r="UCO115" s="181"/>
      <c r="UCP115" s="182"/>
      <c r="UCQ115" s="181"/>
      <c r="UCR115" s="182"/>
      <c r="UCS115" s="181"/>
      <c r="UCT115" s="182"/>
      <c r="UCU115" s="181"/>
      <c r="UCV115" s="182"/>
      <c r="UCW115" s="181"/>
      <c r="UCX115" s="182"/>
      <c r="UCY115" s="181"/>
      <c r="UCZ115" s="182"/>
      <c r="UDA115" s="181"/>
      <c r="UDB115" s="182"/>
      <c r="UDC115" s="181"/>
      <c r="UDD115" s="182"/>
      <c r="UDE115" s="181"/>
      <c r="UDF115" s="182"/>
      <c r="UDG115" s="181"/>
      <c r="UDH115" s="182"/>
      <c r="UDI115" s="181"/>
      <c r="UDJ115" s="182"/>
      <c r="UDK115" s="181"/>
      <c r="UDL115" s="182"/>
      <c r="UDM115" s="181"/>
      <c r="UDN115" s="182"/>
      <c r="UDO115" s="181"/>
      <c r="UDP115" s="182"/>
      <c r="UDQ115" s="181"/>
      <c r="UDR115" s="182"/>
      <c r="UDS115" s="181"/>
      <c r="UDT115" s="182"/>
      <c r="UDU115" s="181"/>
      <c r="UDV115" s="182"/>
      <c r="UDW115" s="181"/>
      <c r="UDX115" s="182"/>
      <c r="UDY115" s="181"/>
      <c r="UDZ115" s="182"/>
      <c r="UEA115" s="181"/>
      <c r="UEB115" s="182"/>
      <c r="UEC115" s="181"/>
      <c r="UED115" s="182"/>
      <c r="UEE115" s="181"/>
      <c r="UEF115" s="182"/>
      <c r="UEG115" s="181"/>
      <c r="UEH115" s="182"/>
      <c r="UEI115" s="181"/>
      <c r="UEJ115" s="182"/>
      <c r="UEK115" s="181"/>
      <c r="UEL115" s="182"/>
      <c r="UEM115" s="181"/>
      <c r="UEN115" s="182"/>
      <c r="UEO115" s="181"/>
      <c r="UEP115" s="182"/>
      <c r="UEQ115" s="181"/>
      <c r="UER115" s="182"/>
      <c r="UES115" s="181"/>
      <c r="UET115" s="182"/>
      <c r="UEU115" s="181"/>
      <c r="UEV115" s="182"/>
      <c r="UEW115" s="181"/>
      <c r="UEX115" s="182"/>
      <c r="UEY115" s="181"/>
      <c r="UEZ115" s="182"/>
      <c r="UFA115" s="181"/>
      <c r="UFB115" s="182"/>
      <c r="UFC115" s="181"/>
      <c r="UFD115" s="182"/>
      <c r="UFE115" s="181"/>
      <c r="UFF115" s="182"/>
      <c r="UFG115" s="181"/>
      <c r="UFH115" s="182"/>
      <c r="UFI115" s="181"/>
      <c r="UFJ115" s="182"/>
      <c r="UFK115" s="181"/>
      <c r="UFL115" s="182"/>
      <c r="UFM115" s="181"/>
      <c r="UFN115" s="182"/>
      <c r="UFO115" s="181"/>
      <c r="UFP115" s="182"/>
      <c r="UFQ115" s="181"/>
      <c r="UFR115" s="182"/>
      <c r="UFS115" s="181"/>
      <c r="UFT115" s="182"/>
      <c r="UFU115" s="181"/>
      <c r="UFV115" s="182"/>
      <c r="UFW115" s="181"/>
      <c r="UFX115" s="182"/>
      <c r="UFY115" s="181"/>
      <c r="UFZ115" s="182"/>
      <c r="UGA115" s="181"/>
      <c r="UGB115" s="182"/>
      <c r="UGC115" s="181"/>
      <c r="UGD115" s="182"/>
      <c r="UGE115" s="181"/>
      <c r="UGF115" s="182"/>
      <c r="UGG115" s="181"/>
      <c r="UGH115" s="182"/>
      <c r="UGI115" s="181"/>
      <c r="UGJ115" s="182"/>
      <c r="UGK115" s="181"/>
      <c r="UGL115" s="182"/>
      <c r="UGM115" s="181"/>
      <c r="UGN115" s="182"/>
      <c r="UGO115" s="181"/>
      <c r="UGP115" s="182"/>
      <c r="UGQ115" s="181"/>
      <c r="UGR115" s="182"/>
      <c r="UGS115" s="181"/>
      <c r="UGT115" s="182"/>
      <c r="UGU115" s="181"/>
      <c r="UGV115" s="182"/>
      <c r="UGW115" s="181"/>
      <c r="UGX115" s="182"/>
      <c r="UGY115" s="181"/>
      <c r="UGZ115" s="182"/>
      <c r="UHA115" s="181"/>
      <c r="UHB115" s="182"/>
      <c r="UHC115" s="181"/>
      <c r="UHD115" s="182"/>
      <c r="UHE115" s="181"/>
      <c r="UHF115" s="182"/>
      <c r="UHG115" s="181"/>
      <c r="UHH115" s="182"/>
      <c r="UHI115" s="181"/>
      <c r="UHJ115" s="182"/>
      <c r="UHK115" s="181"/>
      <c r="UHL115" s="182"/>
      <c r="UHM115" s="181"/>
      <c r="UHN115" s="182"/>
      <c r="UHO115" s="181"/>
      <c r="UHP115" s="182"/>
      <c r="UHQ115" s="181"/>
      <c r="UHR115" s="182"/>
      <c r="UHS115" s="181"/>
      <c r="UHT115" s="182"/>
      <c r="UHU115" s="181"/>
      <c r="UHV115" s="182"/>
      <c r="UHW115" s="181"/>
      <c r="UHX115" s="182"/>
      <c r="UHY115" s="181"/>
      <c r="UHZ115" s="182"/>
      <c r="UIA115" s="181"/>
      <c r="UIB115" s="182"/>
      <c r="UIC115" s="181"/>
      <c r="UID115" s="182"/>
      <c r="UIE115" s="181"/>
      <c r="UIF115" s="182"/>
      <c r="UIG115" s="181"/>
      <c r="UIH115" s="182"/>
      <c r="UII115" s="181"/>
      <c r="UIJ115" s="182"/>
      <c r="UIK115" s="181"/>
      <c r="UIL115" s="182"/>
      <c r="UIM115" s="181"/>
      <c r="UIN115" s="182"/>
      <c r="UIO115" s="181"/>
      <c r="UIP115" s="182"/>
      <c r="UIQ115" s="181"/>
      <c r="UIR115" s="182"/>
      <c r="UIS115" s="181"/>
      <c r="UIT115" s="182"/>
      <c r="UIU115" s="181"/>
      <c r="UIV115" s="182"/>
      <c r="UIW115" s="181"/>
      <c r="UIX115" s="182"/>
      <c r="UIY115" s="181"/>
      <c r="UIZ115" s="182"/>
      <c r="UJA115" s="181"/>
      <c r="UJB115" s="182"/>
      <c r="UJC115" s="181"/>
      <c r="UJD115" s="182"/>
      <c r="UJE115" s="181"/>
      <c r="UJF115" s="182"/>
      <c r="UJG115" s="181"/>
      <c r="UJH115" s="182"/>
      <c r="UJI115" s="181"/>
      <c r="UJJ115" s="182"/>
      <c r="UJK115" s="181"/>
      <c r="UJL115" s="182"/>
      <c r="UJM115" s="181"/>
      <c r="UJN115" s="182"/>
      <c r="UJO115" s="181"/>
      <c r="UJP115" s="182"/>
      <c r="UJQ115" s="181"/>
      <c r="UJR115" s="182"/>
      <c r="UJS115" s="181"/>
      <c r="UJT115" s="182"/>
      <c r="UJU115" s="181"/>
      <c r="UJV115" s="182"/>
      <c r="UJW115" s="181"/>
      <c r="UJX115" s="182"/>
      <c r="UJY115" s="181"/>
      <c r="UJZ115" s="182"/>
      <c r="UKA115" s="181"/>
      <c r="UKB115" s="182"/>
      <c r="UKC115" s="181"/>
      <c r="UKD115" s="182"/>
      <c r="UKE115" s="181"/>
      <c r="UKF115" s="182"/>
      <c r="UKG115" s="181"/>
      <c r="UKH115" s="182"/>
      <c r="UKI115" s="181"/>
      <c r="UKJ115" s="182"/>
      <c r="UKK115" s="181"/>
      <c r="UKL115" s="182"/>
      <c r="UKM115" s="181"/>
      <c r="UKN115" s="182"/>
      <c r="UKO115" s="181"/>
      <c r="UKP115" s="182"/>
      <c r="UKQ115" s="181"/>
      <c r="UKR115" s="182"/>
      <c r="UKS115" s="181"/>
      <c r="UKT115" s="182"/>
      <c r="UKU115" s="181"/>
      <c r="UKV115" s="182"/>
      <c r="UKW115" s="181"/>
      <c r="UKX115" s="182"/>
      <c r="UKY115" s="181"/>
      <c r="UKZ115" s="182"/>
      <c r="ULA115" s="181"/>
      <c r="ULB115" s="182"/>
      <c r="ULC115" s="181"/>
      <c r="ULD115" s="182"/>
      <c r="ULE115" s="181"/>
      <c r="ULF115" s="182"/>
      <c r="ULG115" s="181"/>
      <c r="ULH115" s="182"/>
      <c r="ULI115" s="181"/>
      <c r="ULJ115" s="182"/>
      <c r="ULK115" s="181"/>
      <c r="ULL115" s="182"/>
      <c r="ULM115" s="181"/>
      <c r="ULN115" s="182"/>
      <c r="ULO115" s="181"/>
      <c r="ULP115" s="182"/>
      <c r="ULQ115" s="181"/>
      <c r="ULR115" s="182"/>
      <c r="ULS115" s="181"/>
      <c r="ULT115" s="182"/>
      <c r="ULU115" s="181"/>
      <c r="ULV115" s="182"/>
      <c r="ULW115" s="181"/>
      <c r="ULX115" s="182"/>
      <c r="ULY115" s="181"/>
      <c r="ULZ115" s="182"/>
      <c r="UMA115" s="181"/>
      <c r="UMB115" s="182"/>
      <c r="UMC115" s="181"/>
      <c r="UMD115" s="182"/>
      <c r="UME115" s="181"/>
      <c r="UMF115" s="182"/>
      <c r="UMG115" s="181"/>
      <c r="UMH115" s="182"/>
      <c r="UMI115" s="181"/>
      <c r="UMJ115" s="182"/>
      <c r="UMK115" s="181"/>
      <c r="UML115" s="182"/>
      <c r="UMM115" s="181"/>
      <c r="UMN115" s="182"/>
      <c r="UMO115" s="181"/>
      <c r="UMP115" s="182"/>
      <c r="UMQ115" s="181"/>
      <c r="UMR115" s="182"/>
      <c r="UMS115" s="181"/>
      <c r="UMT115" s="182"/>
      <c r="UMU115" s="181"/>
      <c r="UMV115" s="182"/>
      <c r="UMW115" s="181"/>
      <c r="UMX115" s="182"/>
      <c r="UMY115" s="181"/>
      <c r="UMZ115" s="182"/>
      <c r="UNA115" s="181"/>
      <c r="UNB115" s="182"/>
      <c r="UNC115" s="181"/>
      <c r="UND115" s="182"/>
      <c r="UNE115" s="181"/>
      <c r="UNF115" s="182"/>
      <c r="UNG115" s="181"/>
      <c r="UNH115" s="182"/>
      <c r="UNI115" s="181"/>
      <c r="UNJ115" s="182"/>
      <c r="UNK115" s="181"/>
      <c r="UNL115" s="182"/>
      <c r="UNM115" s="181"/>
      <c r="UNN115" s="182"/>
      <c r="UNO115" s="181"/>
      <c r="UNP115" s="182"/>
      <c r="UNQ115" s="181"/>
      <c r="UNR115" s="182"/>
      <c r="UNS115" s="181"/>
      <c r="UNT115" s="182"/>
      <c r="UNU115" s="181"/>
      <c r="UNV115" s="182"/>
      <c r="UNW115" s="181"/>
      <c r="UNX115" s="182"/>
      <c r="UNY115" s="181"/>
      <c r="UNZ115" s="182"/>
      <c r="UOA115" s="181"/>
      <c r="UOB115" s="182"/>
      <c r="UOC115" s="181"/>
      <c r="UOD115" s="182"/>
      <c r="UOE115" s="181"/>
      <c r="UOF115" s="182"/>
      <c r="UOG115" s="181"/>
      <c r="UOH115" s="182"/>
      <c r="UOI115" s="181"/>
      <c r="UOJ115" s="182"/>
      <c r="UOK115" s="181"/>
      <c r="UOL115" s="182"/>
      <c r="UOM115" s="181"/>
      <c r="UON115" s="182"/>
      <c r="UOO115" s="181"/>
      <c r="UOP115" s="182"/>
      <c r="UOQ115" s="181"/>
      <c r="UOR115" s="182"/>
      <c r="UOS115" s="181"/>
      <c r="UOT115" s="182"/>
      <c r="UOU115" s="181"/>
      <c r="UOV115" s="182"/>
      <c r="UOW115" s="181"/>
      <c r="UOX115" s="182"/>
      <c r="UOY115" s="181"/>
      <c r="UOZ115" s="182"/>
      <c r="UPA115" s="181"/>
      <c r="UPB115" s="182"/>
      <c r="UPC115" s="181"/>
      <c r="UPD115" s="182"/>
      <c r="UPE115" s="181"/>
      <c r="UPF115" s="182"/>
      <c r="UPG115" s="181"/>
      <c r="UPH115" s="182"/>
      <c r="UPI115" s="181"/>
      <c r="UPJ115" s="182"/>
      <c r="UPK115" s="181"/>
      <c r="UPL115" s="182"/>
      <c r="UPM115" s="181"/>
      <c r="UPN115" s="182"/>
      <c r="UPO115" s="181"/>
      <c r="UPP115" s="182"/>
      <c r="UPQ115" s="181"/>
      <c r="UPR115" s="182"/>
      <c r="UPS115" s="181"/>
      <c r="UPT115" s="182"/>
      <c r="UPU115" s="181"/>
      <c r="UPV115" s="182"/>
      <c r="UPW115" s="181"/>
      <c r="UPX115" s="182"/>
      <c r="UPY115" s="181"/>
      <c r="UPZ115" s="182"/>
      <c r="UQA115" s="181"/>
      <c r="UQB115" s="182"/>
      <c r="UQC115" s="181"/>
      <c r="UQD115" s="182"/>
      <c r="UQE115" s="181"/>
      <c r="UQF115" s="182"/>
      <c r="UQG115" s="181"/>
      <c r="UQH115" s="182"/>
      <c r="UQI115" s="181"/>
      <c r="UQJ115" s="182"/>
      <c r="UQK115" s="181"/>
      <c r="UQL115" s="182"/>
      <c r="UQM115" s="181"/>
      <c r="UQN115" s="182"/>
      <c r="UQO115" s="181"/>
      <c r="UQP115" s="182"/>
      <c r="UQQ115" s="181"/>
      <c r="UQR115" s="182"/>
      <c r="UQS115" s="181"/>
      <c r="UQT115" s="182"/>
      <c r="UQU115" s="181"/>
      <c r="UQV115" s="182"/>
      <c r="UQW115" s="181"/>
      <c r="UQX115" s="182"/>
      <c r="UQY115" s="181"/>
      <c r="UQZ115" s="182"/>
      <c r="URA115" s="181"/>
      <c r="URB115" s="182"/>
      <c r="URC115" s="181"/>
      <c r="URD115" s="182"/>
      <c r="URE115" s="181"/>
      <c r="URF115" s="182"/>
      <c r="URG115" s="181"/>
      <c r="URH115" s="182"/>
      <c r="URI115" s="181"/>
      <c r="URJ115" s="182"/>
      <c r="URK115" s="181"/>
      <c r="URL115" s="182"/>
      <c r="URM115" s="181"/>
      <c r="URN115" s="182"/>
      <c r="URO115" s="181"/>
      <c r="URP115" s="182"/>
      <c r="URQ115" s="181"/>
      <c r="URR115" s="182"/>
      <c r="URS115" s="181"/>
      <c r="URT115" s="182"/>
      <c r="URU115" s="181"/>
      <c r="URV115" s="182"/>
      <c r="URW115" s="181"/>
      <c r="URX115" s="182"/>
      <c r="URY115" s="181"/>
      <c r="URZ115" s="182"/>
      <c r="USA115" s="181"/>
      <c r="USB115" s="182"/>
      <c r="USC115" s="181"/>
      <c r="USD115" s="182"/>
      <c r="USE115" s="181"/>
      <c r="USF115" s="182"/>
      <c r="USG115" s="181"/>
      <c r="USH115" s="182"/>
      <c r="USI115" s="181"/>
      <c r="USJ115" s="182"/>
      <c r="USK115" s="181"/>
      <c r="USL115" s="182"/>
      <c r="USM115" s="181"/>
      <c r="USN115" s="182"/>
      <c r="USO115" s="181"/>
      <c r="USP115" s="182"/>
      <c r="USQ115" s="181"/>
      <c r="USR115" s="182"/>
      <c r="USS115" s="181"/>
      <c r="UST115" s="182"/>
      <c r="USU115" s="181"/>
      <c r="USV115" s="182"/>
      <c r="USW115" s="181"/>
      <c r="USX115" s="182"/>
      <c r="USY115" s="181"/>
      <c r="USZ115" s="182"/>
      <c r="UTA115" s="181"/>
      <c r="UTB115" s="182"/>
      <c r="UTC115" s="181"/>
      <c r="UTD115" s="182"/>
      <c r="UTE115" s="181"/>
      <c r="UTF115" s="182"/>
      <c r="UTG115" s="181"/>
      <c r="UTH115" s="182"/>
      <c r="UTI115" s="181"/>
      <c r="UTJ115" s="182"/>
      <c r="UTK115" s="181"/>
      <c r="UTL115" s="182"/>
      <c r="UTM115" s="181"/>
      <c r="UTN115" s="182"/>
      <c r="UTO115" s="181"/>
      <c r="UTP115" s="182"/>
      <c r="UTQ115" s="181"/>
      <c r="UTR115" s="182"/>
      <c r="UTS115" s="181"/>
      <c r="UTT115" s="182"/>
      <c r="UTU115" s="181"/>
      <c r="UTV115" s="182"/>
      <c r="UTW115" s="181"/>
      <c r="UTX115" s="182"/>
      <c r="UTY115" s="181"/>
      <c r="UTZ115" s="182"/>
      <c r="UUA115" s="181"/>
      <c r="UUB115" s="182"/>
      <c r="UUC115" s="181"/>
      <c r="UUD115" s="182"/>
      <c r="UUE115" s="181"/>
      <c r="UUF115" s="182"/>
      <c r="UUG115" s="181"/>
      <c r="UUH115" s="182"/>
      <c r="UUI115" s="181"/>
      <c r="UUJ115" s="182"/>
      <c r="UUK115" s="181"/>
      <c r="UUL115" s="182"/>
      <c r="UUM115" s="181"/>
      <c r="UUN115" s="182"/>
      <c r="UUO115" s="181"/>
      <c r="UUP115" s="182"/>
      <c r="UUQ115" s="181"/>
      <c r="UUR115" s="182"/>
      <c r="UUS115" s="181"/>
      <c r="UUT115" s="182"/>
      <c r="UUU115" s="181"/>
      <c r="UUV115" s="182"/>
      <c r="UUW115" s="181"/>
      <c r="UUX115" s="182"/>
      <c r="UUY115" s="181"/>
      <c r="UUZ115" s="182"/>
      <c r="UVA115" s="181"/>
      <c r="UVB115" s="182"/>
      <c r="UVC115" s="181"/>
      <c r="UVD115" s="182"/>
      <c r="UVE115" s="181"/>
      <c r="UVF115" s="182"/>
      <c r="UVG115" s="181"/>
      <c r="UVH115" s="182"/>
      <c r="UVI115" s="181"/>
      <c r="UVJ115" s="182"/>
      <c r="UVK115" s="181"/>
      <c r="UVL115" s="182"/>
      <c r="UVM115" s="181"/>
      <c r="UVN115" s="182"/>
      <c r="UVO115" s="181"/>
      <c r="UVP115" s="182"/>
      <c r="UVQ115" s="181"/>
      <c r="UVR115" s="182"/>
      <c r="UVS115" s="181"/>
      <c r="UVT115" s="182"/>
      <c r="UVU115" s="181"/>
      <c r="UVV115" s="182"/>
      <c r="UVW115" s="181"/>
      <c r="UVX115" s="182"/>
      <c r="UVY115" s="181"/>
      <c r="UVZ115" s="182"/>
      <c r="UWA115" s="181"/>
      <c r="UWB115" s="182"/>
      <c r="UWC115" s="181"/>
      <c r="UWD115" s="182"/>
      <c r="UWE115" s="181"/>
      <c r="UWF115" s="182"/>
      <c r="UWG115" s="181"/>
      <c r="UWH115" s="182"/>
      <c r="UWI115" s="181"/>
      <c r="UWJ115" s="182"/>
      <c r="UWK115" s="181"/>
      <c r="UWL115" s="182"/>
      <c r="UWM115" s="181"/>
      <c r="UWN115" s="182"/>
      <c r="UWO115" s="181"/>
      <c r="UWP115" s="182"/>
      <c r="UWQ115" s="181"/>
      <c r="UWR115" s="182"/>
      <c r="UWS115" s="181"/>
      <c r="UWT115" s="182"/>
      <c r="UWU115" s="181"/>
      <c r="UWV115" s="182"/>
      <c r="UWW115" s="181"/>
      <c r="UWX115" s="182"/>
      <c r="UWY115" s="181"/>
      <c r="UWZ115" s="182"/>
      <c r="UXA115" s="181"/>
      <c r="UXB115" s="182"/>
      <c r="UXC115" s="181"/>
      <c r="UXD115" s="182"/>
      <c r="UXE115" s="181"/>
      <c r="UXF115" s="182"/>
      <c r="UXG115" s="181"/>
      <c r="UXH115" s="182"/>
      <c r="UXI115" s="181"/>
      <c r="UXJ115" s="182"/>
      <c r="UXK115" s="181"/>
      <c r="UXL115" s="182"/>
      <c r="UXM115" s="181"/>
      <c r="UXN115" s="182"/>
      <c r="UXO115" s="181"/>
      <c r="UXP115" s="182"/>
      <c r="UXQ115" s="181"/>
      <c r="UXR115" s="182"/>
      <c r="UXS115" s="181"/>
      <c r="UXT115" s="182"/>
      <c r="UXU115" s="181"/>
      <c r="UXV115" s="182"/>
      <c r="UXW115" s="181"/>
      <c r="UXX115" s="182"/>
      <c r="UXY115" s="181"/>
      <c r="UXZ115" s="182"/>
      <c r="UYA115" s="181"/>
      <c r="UYB115" s="182"/>
      <c r="UYC115" s="181"/>
      <c r="UYD115" s="182"/>
      <c r="UYE115" s="181"/>
      <c r="UYF115" s="182"/>
      <c r="UYG115" s="181"/>
      <c r="UYH115" s="182"/>
      <c r="UYI115" s="181"/>
      <c r="UYJ115" s="182"/>
      <c r="UYK115" s="181"/>
      <c r="UYL115" s="182"/>
      <c r="UYM115" s="181"/>
      <c r="UYN115" s="182"/>
      <c r="UYO115" s="181"/>
      <c r="UYP115" s="182"/>
      <c r="UYQ115" s="181"/>
      <c r="UYR115" s="182"/>
      <c r="UYS115" s="181"/>
      <c r="UYT115" s="182"/>
      <c r="UYU115" s="181"/>
      <c r="UYV115" s="182"/>
      <c r="UYW115" s="181"/>
      <c r="UYX115" s="182"/>
      <c r="UYY115" s="181"/>
      <c r="UYZ115" s="182"/>
      <c r="UZA115" s="181"/>
      <c r="UZB115" s="182"/>
      <c r="UZC115" s="181"/>
      <c r="UZD115" s="182"/>
      <c r="UZE115" s="181"/>
      <c r="UZF115" s="182"/>
      <c r="UZG115" s="181"/>
      <c r="UZH115" s="182"/>
      <c r="UZI115" s="181"/>
      <c r="UZJ115" s="182"/>
      <c r="UZK115" s="181"/>
      <c r="UZL115" s="182"/>
      <c r="UZM115" s="181"/>
      <c r="UZN115" s="182"/>
      <c r="UZO115" s="181"/>
      <c r="UZP115" s="182"/>
      <c r="UZQ115" s="181"/>
      <c r="UZR115" s="182"/>
      <c r="UZS115" s="181"/>
      <c r="UZT115" s="182"/>
      <c r="UZU115" s="181"/>
      <c r="UZV115" s="182"/>
      <c r="UZW115" s="181"/>
      <c r="UZX115" s="182"/>
      <c r="UZY115" s="181"/>
      <c r="UZZ115" s="182"/>
      <c r="VAA115" s="181"/>
      <c r="VAB115" s="182"/>
      <c r="VAC115" s="181"/>
      <c r="VAD115" s="182"/>
      <c r="VAE115" s="181"/>
      <c r="VAF115" s="182"/>
      <c r="VAG115" s="181"/>
      <c r="VAH115" s="182"/>
      <c r="VAI115" s="181"/>
      <c r="VAJ115" s="182"/>
      <c r="VAK115" s="181"/>
      <c r="VAL115" s="182"/>
      <c r="VAM115" s="181"/>
      <c r="VAN115" s="182"/>
      <c r="VAO115" s="181"/>
      <c r="VAP115" s="182"/>
      <c r="VAQ115" s="181"/>
      <c r="VAR115" s="182"/>
      <c r="VAS115" s="181"/>
      <c r="VAT115" s="182"/>
      <c r="VAU115" s="181"/>
      <c r="VAV115" s="182"/>
      <c r="VAW115" s="181"/>
      <c r="VAX115" s="182"/>
      <c r="VAY115" s="181"/>
      <c r="VAZ115" s="182"/>
      <c r="VBA115" s="181"/>
      <c r="VBB115" s="182"/>
      <c r="VBC115" s="181"/>
      <c r="VBD115" s="182"/>
      <c r="VBE115" s="181"/>
      <c r="VBF115" s="182"/>
      <c r="VBG115" s="181"/>
      <c r="VBH115" s="182"/>
      <c r="VBI115" s="181"/>
      <c r="VBJ115" s="182"/>
      <c r="VBK115" s="181"/>
      <c r="VBL115" s="182"/>
      <c r="VBM115" s="181"/>
      <c r="VBN115" s="182"/>
      <c r="VBO115" s="181"/>
      <c r="VBP115" s="182"/>
      <c r="VBQ115" s="181"/>
      <c r="VBR115" s="182"/>
      <c r="VBS115" s="181"/>
      <c r="VBT115" s="182"/>
      <c r="VBU115" s="181"/>
      <c r="VBV115" s="182"/>
      <c r="VBW115" s="181"/>
      <c r="VBX115" s="182"/>
      <c r="VBY115" s="181"/>
      <c r="VBZ115" s="182"/>
      <c r="VCA115" s="181"/>
      <c r="VCB115" s="182"/>
      <c r="VCC115" s="181"/>
      <c r="VCD115" s="182"/>
      <c r="VCE115" s="181"/>
      <c r="VCF115" s="182"/>
      <c r="VCG115" s="181"/>
      <c r="VCH115" s="182"/>
      <c r="VCI115" s="181"/>
      <c r="VCJ115" s="182"/>
      <c r="VCK115" s="181"/>
      <c r="VCL115" s="182"/>
      <c r="VCM115" s="181"/>
      <c r="VCN115" s="182"/>
      <c r="VCO115" s="181"/>
      <c r="VCP115" s="182"/>
      <c r="VCQ115" s="181"/>
      <c r="VCR115" s="182"/>
      <c r="VCS115" s="181"/>
      <c r="VCT115" s="182"/>
      <c r="VCU115" s="181"/>
      <c r="VCV115" s="182"/>
      <c r="VCW115" s="181"/>
      <c r="VCX115" s="182"/>
      <c r="VCY115" s="181"/>
      <c r="VCZ115" s="182"/>
      <c r="VDA115" s="181"/>
      <c r="VDB115" s="182"/>
      <c r="VDC115" s="181"/>
      <c r="VDD115" s="182"/>
      <c r="VDE115" s="181"/>
      <c r="VDF115" s="182"/>
      <c r="VDG115" s="181"/>
      <c r="VDH115" s="182"/>
      <c r="VDI115" s="181"/>
      <c r="VDJ115" s="182"/>
      <c r="VDK115" s="181"/>
      <c r="VDL115" s="182"/>
      <c r="VDM115" s="181"/>
      <c r="VDN115" s="182"/>
      <c r="VDO115" s="181"/>
      <c r="VDP115" s="182"/>
      <c r="VDQ115" s="181"/>
      <c r="VDR115" s="182"/>
      <c r="VDS115" s="181"/>
      <c r="VDT115" s="182"/>
      <c r="VDU115" s="181"/>
      <c r="VDV115" s="182"/>
      <c r="VDW115" s="181"/>
      <c r="VDX115" s="182"/>
      <c r="VDY115" s="181"/>
      <c r="VDZ115" s="182"/>
      <c r="VEA115" s="181"/>
      <c r="VEB115" s="182"/>
      <c r="VEC115" s="181"/>
      <c r="VED115" s="182"/>
      <c r="VEE115" s="181"/>
      <c r="VEF115" s="182"/>
      <c r="VEG115" s="181"/>
      <c r="VEH115" s="182"/>
      <c r="VEI115" s="181"/>
      <c r="VEJ115" s="182"/>
      <c r="VEK115" s="181"/>
      <c r="VEL115" s="182"/>
      <c r="VEM115" s="181"/>
      <c r="VEN115" s="182"/>
      <c r="VEO115" s="181"/>
      <c r="VEP115" s="182"/>
      <c r="VEQ115" s="181"/>
      <c r="VER115" s="182"/>
      <c r="VES115" s="181"/>
      <c r="VET115" s="182"/>
      <c r="VEU115" s="181"/>
      <c r="VEV115" s="182"/>
      <c r="VEW115" s="181"/>
      <c r="VEX115" s="182"/>
      <c r="VEY115" s="181"/>
      <c r="VEZ115" s="182"/>
      <c r="VFA115" s="181"/>
      <c r="VFB115" s="182"/>
      <c r="VFC115" s="181"/>
      <c r="VFD115" s="182"/>
      <c r="VFE115" s="181"/>
      <c r="VFF115" s="182"/>
      <c r="VFG115" s="181"/>
      <c r="VFH115" s="182"/>
      <c r="VFI115" s="181"/>
      <c r="VFJ115" s="182"/>
      <c r="VFK115" s="181"/>
      <c r="VFL115" s="182"/>
      <c r="VFM115" s="181"/>
      <c r="VFN115" s="182"/>
      <c r="VFO115" s="181"/>
      <c r="VFP115" s="182"/>
      <c r="VFQ115" s="181"/>
      <c r="VFR115" s="182"/>
      <c r="VFS115" s="181"/>
      <c r="VFT115" s="182"/>
      <c r="VFU115" s="181"/>
      <c r="VFV115" s="182"/>
      <c r="VFW115" s="181"/>
      <c r="VFX115" s="182"/>
      <c r="VFY115" s="181"/>
      <c r="VFZ115" s="182"/>
      <c r="VGA115" s="181"/>
      <c r="VGB115" s="182"/>
      <c r="VGC115" s="181"/>
      <c r="VGD115" s="182"/>
      <c r="VGE115" s="181"/>
      <c r="VGF115" s="182"/>
      <c r="VGG115" s="181"/>
      <c r="VGH115" s="182"/>
      <c r="VGI115" s="181"/>
      <c r="VGJ115" s="182"/>
      <c r="VGK115" s="181"/>
      <c r="VGL115" s="182"/>
      <c r="VGM115" s="181"/>
      <c r="VGN115" s="182"/>
      <c r="VGO115" s="181"/>
      <c r="VGP115" s="182"/>
      <c r="VGQ115" s="181"/>
      <c r="VGR115" s="182"/>
      <c r="VGS115" s="181"/>
      <c r="VGT115" s="182"/>
      <c r="VGU115" s="181"/>
      <c r="VGV115" s="182"/>
      <c r="VGW115" s="181"/>
      <c r="VGX115" s="182"/>
      <c r="VGY115" s="181"/>
      <c r="VGZ115" s="182"/>
      <c r="VHA115" s="181"/>
      <c r="VHB115" s="182"/>
      <c r="VHC115" s="181"/>
      <c r="VHD115" s="182"/>
      <c r="VHE115" s="181"/>
      <c r="VHF115" s="182"/>
      <c r="VHG115" s="181"/>
      <c r="VHH115" s="182"/>
      <c r="VHI115" s="181"/>
      <c r="VHJ115" s="182"/>
      <c r="VHK115" s="181"/>
      <c r="VHL115" s="182"/>
      <c r="VHM115" s="181"/>
      <c r="VHN115" s="182"/>
      <c r="VHO115" s="181"/>
      <c r="VHP115" s="182"/>
      <c r="VHQ115" s="181"/>
      <c r="VHR115" s="182"/>
      <c r="VHS115" s="181"/>
      <c r="VHT115" s="182"/>
      <c r="VHU115" s="181"/>
      <c r="VHV115" s="182"/>
      <c r="VHW115" s="181"/>
      <c r="VHX115" s="182"/>
      <c r="VHY115" s="181"/>
      <c r="VHZ115" s="182"/>
      <c r="VIA115" s="181"/>
      <c r="VIB115" s="182"/>
      <c r="VIC115" s="181"/>
      <c r="VID115" s="182"/>
      <c r="VIE115" s="181"/>
      <c r="VIF115" s="182"/>
      <c r="VIG115" s="181"/>
      <c r="VIH115" s="182"/>
      <c r="VII115" s="181"/>
      <c r="VIJ115" s="182"/>
      <c r="VIK115" s="181"/>
      <c r="VIL115" s="182"/>
      <c r="VIM115" s="181"/>
      <c r="VIN115" s="182"/>
      <c r="VIO115" s="181"/>
      <c r="VIP115" s="182"/>
      <c r="VIQ115" s="181"/>
      <c r="VIR115" s="182"/>
      <c r="VIS115" s="181"/>
      <c r="VIT115" s="182"/>
      <c r="VIU115" s="181"/>
      <c r="VIV115" s="182"/>
      <c r="VIW115" s="181"/>
      <c r="VIX115" s="182"/>
      <c r="VIY115" s="181"/>
      <c r="VIZ115" s="182"/>
      <c r="VJA115" s="181"/>
      <c r="VJB115" s="182"/>
      <c r="VJC115" s="181"/>
      <c r="VJD115" s="182"/>
      <c r="VJE115" s="181"/>
      <c r="VJF115" s="182"/>
      <c r="VJG115" s="181"/>
      <c r="VJH115" s="182"/>
      <c r="VJI115" s="181"/>
      <c r="VJJ115" s="182"/>
      <c r="VJK115" s="181"/>
      <c r="VJL115" s="182"/>
      <c r="VJM115" s="181"/>
      <c r="VJN115" s="182"/>
      <c r="VJO115" s="181"/>
      <c r="VJP115" s="182"/>
      <c r="VJQ115" s="181"/>
      <c r="VJR115" s="182"/>
      <c r="VJS115" s="181"/>
      <c r="VJT115" s="182"/>
      <c r="VJU115" s="181"/>
      <c r="VJV115" s="182"/>
      <c r="VJW115" s="181"/>
      <c r="VJX115" s="182"/>
      <c r="VJY115" s="181"/>
      <c r="VJZ115" s="182"/>
      <c r="VKA115" s="181"/>
      <c r="VKB115" s="182"/>
      <c r="VKC115" s="181"/>
      <c r="VKD115" s="182"/>
      <c r="VKE115" s="181"/>
      <c r="VKF115" s="182"/>
      <c r="VKG115" s="181"/>
      <c r="VKH115" s="182"/>
      <c r="VKI115" s="181"/>
      <c r="VKJ115" s="182"/>
      <c r="VKK115" s="181"/>
      <c r="VKL115" s="182"/>
      <c r="VKM115" s="181"/>
      <c r="VKN115" s="182"/>
      <c r="VKO115" s="181"/>
      <c r="VKP115" s="182"/>
      <c r="VKQ115" s="181"/>
      <c r="VKR115" s="182"/>
      <c r="VKS115" s="181"/>
      <c r="VKT115" s="182"/>
      <c r="VKU115" s="181"/>
      <c r="VKV115" s="182"/>
      <c r="VKW115" s="181"/>
      <c r="VKX115" s="182"/>
      <c r="VKY115" s="181"/>
      <c r="VKZ115" s="182"/>
      <c r="VLA115" s="181"/>
      <c r="VLB115" s="182"/>
      <c r="VLC115" s="181"/>
      <c r="VLD115" s="182"/>
      <c r="VLE115" s="181"/>
      <c r="VLF115" s="182"/>
      <c r="VLG115" s="181"/>
      <c r="VLH115" s="182"/>
      <c r="VLI115" s="181"/>
      <c r="VLJ115" s="182"/>
      <c r="VLK115" s="181"/>
      <c r="VLL115" s="182"/>
      <c r="VLM115" s="181"/>
      <c r="VLN115" s="182"/>
      <c r="VLO115" s="181"/>
      <c r="VLP115" s="182"/>
      <c r="VLQ115" s="181"/>
      <c r="VLR115" s="182"/>
      <c r="VLS115" s="181"/>
      <c r="VLT115" s="182"/>
      <c r="VLU115" s="181"/>
      <c r="VLV115" s="182"/>
      <c r="VLW115" s="181"/>
      <c r="VLX115" s="182"/>
      <c r="VLY115" s="181"/>
      <c r="VLZ115" s="182"/>
      <c r="VMA115" s="181"/>
      <c r="VMB115" s="182"/>
      <c r="VMC115" s="181"/>
      <c r="VMD115" s="182"/>
      <c r="VME115" s="181"/>
      <c r="VMF115" s="182"/>
      <c r="VMG115" s="181"/>
      <c r="VMH115" s="182"/>
      <c r="VMI115" s="181"/>
      <c r="VMJ115" s="182"/>
      <c r="VMK115" s="181"/>
      <c r="VML115" s="182"/>
      <c r="VMM115" s="181"/>
      <c r="VMN115" s="182"/>
      <c r="VMO115" s="181"/>
      <c r="VMP115" s="182"/>
      <c r="VMQ115" s="181"/>
      <c r="VMR115" s="182"/>
      <c r="VMS115" s="181"/>
      <c r="VMT115" s="182"/>
      <c r="VMU115" s="181"/>
      <c r="VMV115" s="182"/>
      <c r="VMW115" s="181"/>
      <c r="VMX115" s="182"/>
      <c r="VMY115" s="181"/>
      <c r="VMZ115" s="182"/>
      <c r="VNA115" s="181"/>
      <c r="VNB115" s="182"/>
      <c r="VNC115" s="181"/>
      <c r="VND115" s="182"/>
      <c r="VNE115" s="181"/>
      <c r="VNF115" s="182"/>
      <c r="VNG115" s="181"/>
      <c r="VNH115" s="182"/>
      <c r="VNI115" s="181"/>
      <c r="VNJ115" s="182"/>
      <c r="VNK115" s="181"/>
      <c r="VNL115" s="182"/>
      <c r="VNM115" s="181"/>
      <c r="VNN115" s="182"/>
      <c r="VNO115" s="181"/>
      <c r="VNP115" s="182"/>
      <c r="VNQ115" s="181"/>
      <c r="VNR115" s="182"/>
      <c r="VNS115" s="181"/>
      <c r="VNT115" s="182"/>
      <c r="VNU115" s="181"/>
      <c r="VNV115" s="182"/>
      <c r="VNW115" s="181"/>
      <c r="VNX115" s="182"/>
      <c r="VNY115" s="181"/>
      <c r="VNZ115" s="182"/>
      <c r="VOA115" s="181"/>
      <c r="VOB115" s="182"/>
      <c r="VOC115" s="181"/>
      <c r="VOD115" s="182"/>
      <c r="VOE115" s="181"/>
      <c r="VOF115" s="182"/>
      <c r="VOG115" s="181"/>
      <c r="VOH115" s="182"/>
      <c r="VOI115" s="181"/>
      <c r="VOJ115" s="182"/>
      <c r="VOK115" s="181"/>
      <c r="VOL115" s="182"/>
      <c r="VOM115" s="181"/>
      <c r="VON115" s="182"/>
      <c r="VOO115" s="181"/>
      <c r="VOP115" s="182"/>
      <c r="VOQ115" s="181"/>
      <c r="VOR115" s="182"/>
      <c r="VOS115" s="181"/>
      <c r="VOT115" s="182"/>
      <c r="VOU115" s="181"/>
      <c r="VOV115" s="182"/>
      <c r="VOW115" s="181"/>
      <c r="VOX115" s="182"/>
      <c r="VOY115" s="181"/>
      <c r="VOZ115" s="182"/>
      <c r="VPA115" s="181"/>
      <c r="VPB115" s="182"/>
      <c r="VPC115" s="181"/>
      <c r="VPD115" s="182"/>
      <c r="VPE115" s="181"/>
      <c r="VPF115" s="182"/>
      <c r="VPG115" s="181"/>
      <c r="VPH115" s="182"/>
      <c r="VPI115" s="181"/>
      <c r="VPJ115" s="182"/>
      <c r="VPK115" s="181"/>
      <c r="VPL115" s="182"/>
      <c r="VPM115" s="181"/>
      <c r="VPN115" s="182"/>
      <c r="VPO115" s="181"/>
      <c r="VPP115" s="182"/>
      <c r="VPQ115" s="181"/>
      <c r="VPR115" s="182"/>
      <c r="VPS115" s="181"/>
      <c r="VPT115" s="182"/>
      <c r="VPU115" s="181"/>
      <c r="VPV115" s="182"/>
      <c r="VPW115" s="181"/>
      <c r="VPX115" s="182"/>
      <c r="VPY115" s="181"/>
      <c r="VPZ115" s="182"/>
      <c r="VQA115" s="181"/>
      <c r="VQB115" s="182"/>
      <c r="VQC115" s="181"/>
      <c r="VQD115" s="182"/>
      <c r="VQE115" s="181"/>
      <c r="VQF115" s="182"/>
      <c r="VQG115" s="181"/>
      <c r="VQH115" s="182"/>
      <c r="VQI115" s="181"/>
      <c r="VQJ115" s="182"/>
      <c r="VQK115" s="181"/>
      <c r="VQL115" s="182"/>
      <c r="VQM115" s="181"/>
      <c r="VQN115" s="182"/>
      <c r="VQO115" s="181"/>
      <c r="VQP115" s="182"/>
      <c r="VQQ115" s="181"/>
      <c r="VQR115" s="182"/>
      <c r="VQS115" s="181"/>
      <c r="VQT115" s="182"/>
      <c r="VQU115" s="181"/>
      <c r="VQV115" s="182"/>
      <c r="VQW115" s="181"/>
      <c r="VQX115" s="182"/>
      <c r="VQY115" s="181"/>
      <c r="VQZ115" s="182"/>
      <c r="VRA115" s="181"/>
      <c r="VRB115" s="182"/>
      <c r="VRC115" s="181"/>
      <c r="VRD115" s="182"/>
      <c r="VRE115" s="181"/>
      <c r="VRF115" s="182"/>
      <c r="VRG115" s="181"/>
      <c r="VRH115" s="182"/>
      <c r="VRI115" s="181"/>
      <c r="VRJ115" s="182"/>
      <c r="VRK115" s="181"/>
      <c r="VRL115" s="182"/>
      <c r="VRM115" s="181"/>
      <c r="VRN115" s="182"/>
      <c r="VRO115" s="181"/>
      <c r="VRP115" s="182"/>
      <c r="VRQ115" s="181"/>
      <c r="VRR115" s="182"/>
      <c r="VRS115" s="181"/>
      <c r="VRT115" s="182"/>
      <c r="VRU115" s="181"/>
      <c r="VRV115" s="182"/>
      <c r="VRW115" s="181"/>
      <c r="VRX115" s="182"/>
      <c r="VRY115" s="181"/>
      <c r="VRZ115" s="182"/>
      <c r="VSA115" s="181"/>
      <c r="VSB115" s="182"/>
      <c r="VSC115" s="181"/>
      <c r="VSD115" s="182"/>
      <c r="VSE115" s="181"/>
      <c r="VSF115" s="182"/>
      <c r="VSG115" s="181"/>
      <c r="VSH115" s="182"/>
      <c r="VSI115" s="181"/>
      <c r="VSJ115" s="182"/>
      <c r="VSK115" s="181"/>
      <c r="VSL115" s="182"/>
      <c r="VSM115" s="181"/>
      <c r="VSN115" s="182"/>
      <c r="VSO115" s="181"/>
      <c r="VSP115" s="182"/>
      <c r="VSQ115" s="181"/>
      <c r="VSR115" s="182"/>
      <c r="VSS115" s="181"/>
      <c r="VST115" s="182"/>
      <c r="VSU115" s="181"/>
      <c r="VSV115" s="182"/>
      <c r="VSW115" s="181"/>
      <c r="VSX115" s="182"/>
      <c r="VSY115" s="181"/>
      <c r="VSZ115" s="182"/>
      <c r="VTA115" s="181"/>
      <c r="VTB115" s="182"/>
      <c r="VTC115" s="181"/>
      <c r="VTD115" s="182"/>
      <c r="VTE115" s="181"/>
      <c r="VTF115" s="182"/>
      <c r="VTG115" s="181"/>
      <c r="VTH115" s="182"/>
      <c r="VTI115" s="181"/>
      <c r="VTJ115" s="182"/>
      <c r="VTK115" s="181"/>
      <c r="VTL115" s="182"/>
      <c r="VTM115" s="181"/>
      <c r="VTN115" s="182"/>
      <c r="VTO115" s="181"/>
      <c r="VTP115" s="182"/>
      <c r="VTQ115" s="181"/>
      <c r="VTR115" s="182"/>
      <c r="VTS115" s="181"/>
      <c r="VTT115" s="182"/>
      <c r="VTU115" s="181"/>
      <c r="VTV115" s="182"/>
      <c r="VTW115" s="181"/>
      <c r="VTX115" s="182"/>
      <c r="VTY115" s="181"/>
      <c r="VTZ115" s="182"/>
      <c r="VUA115" s="181"/>
      <c r="VUB115" s="182"/>
      <c r="VUC115" s="181"/>
      <c r="VUD115" s="182"/>
      <c r="VUE115" s="181"/>
      <c r="VUF115" s="182"/>
      <c r="VUG115" s="181"/>
      <c r="VUH115" s="182"/>
      <c r="VUI115" s="181"/>
      <c r="VUJ115" s="182"/>
      <c r="VUK115" s="181"/>
      <c r="VUL115" s="182"/>
      <c r="VUM115" s="181"/>
      <c r="VUN115" s="182"/>
      <c r="VUO115" s="181"/>
      <c r="VUP115" s="182"/>
      <c r="VUQ115" s="181"/>
      <c r="VUR115" s="182"/>
      <c r="VUS115" s="181"/>
      <c r="VUT115" s="182"/>
      <c r="VUU115" s="181"/>
      <c r="VUV115" s="182"/>
      <c r="VUW115" s="181"/>
      <c r="VUX115" s="182"/>
      <c r="VUY115" s="181"/>
      <c r="VUZ115" s="182"/>
      <c r="VVA115" s="181"/>
      <c r="VVB115" s="182"/>
      <c r="VVC115" s="181"/>
      <c r="VVD115" s="182"/>
      <c r="VVE115" s="181"/>
      <c r="VVF115" s="182"/>
      <c r="VVG115" s="181"/>
      <c r="VVH115" s="182"/>
      <c r="VVI115" s="181"/>
      <c r="VVJ115" s="182"/>
      <c r="VVK115" s="181"/>
      <c r="VVL115" s="182"/>
      <c r="VVM115" s="181"/>
      <c r="VVN115" s="182"/>
      <c r="VVO115" s="181"/>
      <c r="VVP115" s="182"/>
      <c r="VVQ115" s="181"/>
      <c r="VVR115" s="182"/>
      <c r="VVS115" s="181"/>
      <c r="VVT115" s="182"/>
      <c r="VVU115" s="181"/>
      <c r="VVV115" s="182"/>
      <c r="VVW115" s="181"/>
      <c r="VVX115" s="182"/>
      <c r="VVY115" s="181"/>
      <c r="VVZ115" s="182"/>
      <c r="VWA115" s="181"/>
      <c r="VWB115" s="182"/>
      <c r="VWC115" s="181"/>
      <c r="VWD115" s="182"/>
      <c r="VWE115" s="181"/>
      <c r="VWF115" s="182"/>
      <c r="VWG115" s="181"/>
      <c r="VWH115" s="182"/>
      <c r="VWI115" s="181"/>
      <c r="VWJ115" s="182"/>
      <c r="VWK115" s="181"/>
      <c r="VWL115" s="182"/>
      <c r="VWM115" s="181"/>
      <c r="VWN115" s="182"/>
      <c r="VWO115" s="181"/>
      <c r="VWP115" s="182"/>
      <c r="VWQ115" s="181"/>
      <c r="VWR115" s="182"/>
      <c r="VWS115" s="181"/>
      <c r="VWT115" s="182"/>
      <c r="VWU115" s="181"/>
      <c r="VWV115" s="182"/>
      <c r="VWW115" s="181"/>
      <c r="VWX115" s="182"/>
      <c r="VWY115" s="181"/>
      <c r="VWZ115" s="182"/>
      <c r="VXA115" s="181"/>
      <c r="VXB115" s="182"/>
      <c r="VXC115" s="181"/>
      <c r="VXD115" s="182"/>
      <c r="VXE115" s="181"/>
      <c r="VXF115" s="182"/>
      <c r="VXG115" s="181"/>
      <c r="VXH115" s="182"/>
      <c r="VXI115" s="181"/>
      <c r="VXJ115" s="182"/>
      <c r="VXK115" s="181"/>
      <c r="VXL115" s="182"/>
      <c r="VXM115" s="181"/>
      <c r="VXN115" s="182"/>
      <c r="VXO115" s="181"/>
      <c r="VXP115" s="182"/>
      <c r="VXQ115" s="181"/>
      <c r="VXR115" s="182"/>
      <c r="VXS115" s="181"/>
      <c r="VXT115" s="182"/>
      <c r="VXU115" s="181"/>
      <c r="VXV115" s="182"/>
      <c r="VXW115" s="181"/>
      <c r="VXX115" s="182"/>
      <c r="VXY115" s="181"/>
      <c r="VXZ115" s="182"/>
      <c r="VYA115" s="181"/>
      <c r="VYB115" s="182"/>
      <c r="VYC115" s="181"/>
      <c r="VYD115" s="182"/>
      <c r="VYE115" s="181"/>
      <c r="VYF115" s="182"/>
      <c r="VYG115" s="181"/>
      <c r="VYH115" s="182"/>
      <c r="VYI115" s="181"/>
      <c r="VYJ115" s="182"/>
      <c r="VYK115" s="181"/>
      <c r="VYL115" s="182"/>
      <c r="VYM115" s="181"/>
      <c r="VYN115" s="182"/>
      <c r="VYO115" s="181"/>
      <c r="VYP115" s="182"/>
      <c r="VYQ115" s="181"/>
      <c r="VYR115" s="182"/>
      <c r="VYS115" s="181"/>
      <c r="VYT115" s="182"/>
      <c r="VYU115" s="181"/>
      <c r="VYV115" s="182"/>
      <c r="VYW115" s="181"/>
      <c r="VYX115" s="182"/>
      <c r="VYY115" s="181"/>
      <c r="VYZ115" s="182"/>
      <c r="VZA115" s="181"/>
      <c r="VZB115" s="182"/>
      <c r="VZC115" s="181"/>
      <c r="VZD115" s="182"/>
      <c r="VZE115" s="181"/>
      <c r="VZF115" s="182"/>
      <c r="VZG115" s="181"/>
      <c r="VZH115" s="182"/>
      <c r="VZI115" s="181"/>
      <c r="VZJ115" s="182"/>
      <c r="VZK115" s="181"/>
      <c r="VZL115" s="182"/>
      <c r="VZM115" s="181"/>
      <c r="VZN115" s="182"/>
      <c r="VZO115" s="181"/>
      <c r="VZP115" s="182"/>
      <c r="VZQ115" s="181"/>
      <c r="VZR115" s="182"/>
      <c r="VZS115" s="181"/>
      <c r="VZT115" s="182"/>
      <c r="VZU115" s="181"/>
      <c r="VZV115" s="182"/>
      <c r="VZW115" s="181"/>
      <c r="VZX115" s="182"/>
      <c r="VZY115" s="181"/>
      <c r="VZZ115" s="182"/>
      <c r="WAA115" s="181"/>
      <c r="WAB115" s="182"/>
      <c r="WAC115" s="181"/>
      <c r="WAD115" s="182"/>
      <c r="WAE115" s="181"/>
      <c r="WAF115" s="182"/>
      <c r="WAG115" s="181"/>
      <c r="WAH115" s="182"/>
      <c r="WAI115" s="181"/>
      <c r="WAJ115" s="182"/>
      <c r="WAK115" s="181"/>
      <c r="WAL115" s="182"/>
      <c r="WAM115" s="181"/>
      <c r="WAN115" s="182"/>
      <c r="WAO115" s="181"/>
      <c r="WAP115" s="182"/>
      <c r="WAQ115" s="181"/>
      <c r="WAR115" s="182"/>
      <c r="WAS115" s="181"/>
      <c r="WAT115" s="182"/>
      <c r="WAU115" s="181"/>
      <c r="WAV115" s="182"/>
      <c r="WAW115" s="181"/>
      <c r="WAX115" s="182"/>
      <c r="WAY115" s="181"/>
      <c r="WAZ115" s="182"/>
      <c r="WBA115" s="181"/>
      <c r="WBB115" s="182"/>
      <c r="WBC115" s="181"/>
      <c r="WBD115" s="182"/>
      <c r="WBE115" s="181"/>
      <c r="WBF115" s="182"/>
      <c r="WBG115" s="181"/>
      <c r="WBH115" s="182"/>
      <c r="WBI115" s="181"/>
      <c r="WBJ115" s="182"/>
      <c r="WBK115" s="181"/>
      <c r="WBL115" s="182"/>
      <c r="WBM115" s="181"/>
      <c r="WBN115" s="182"/>
      <c r="WBO115" s="181"/>
      <c r="WBP115" s="182"/>
      <c r="WBQ115" s="181"/>
      <c r="WBR115" s="182"/>
      <c r="WBS115" s="181"/>
      <c r="WBT115" s="182"/>
      <c r="WBU115" s="181"/>
      <c r="WBV115" s="182"/>
      <c r="WBW115" s="181"/>
      <c r="WBX115" s="182"/>
      <c r="WBY115" s="181"/>
      <c r="WBZ115" s="182"/>
      <c r="WCA115" s="181"/>
      <c r="WCB115" s="182"/>
      <c r="WCC115" s="181"/>
      <c r="WCD115" s="182"/>
      <c r="WCE115" s="181"/>
      <c r="WCF115" s="182"/>
      <c r="WCG115" s="181"/>
      <c r="WCH115" s="182"/>
      <c r="WCI115" s="181"/>
      <c r="WCJ115" s="182"/>
      <c r="WCK115" s="181"/>
      <c r="WCL115" s="182"/>
      <c r="WCM115" s="181"/>
      <c r="WCN115" s="182"/>
      <c r="WCO115" s="181"/>
      <c r="WCP115" s="182"/>
      <c r="WCQ115" s="181"/>
      <c r="WCR115" s="182"/>
      <c r="WCS115" s="181"/>
      <c r="WCT115" s="182"/>
      <c r="WCU115" s="181"/>
      <c r="WCV115" s="182"/>
      <c r="WCW115" s="181"/>
      <c r="WCX115" s="182"/>
      <c r="WCY115" s="181"/>
      <c r="WCZ115" s="182"/>
      <c r="WDA115" s="181"/>
      <c r="WDB115" s="182"/>
      <c r="WDC115" s="181"/>
      <c r="WDD115" s="182"/>
      <c r="WDE115" s="181"/>
      <c r="WDF115" s="182"/>
      <c r="WDG115" s="181"/>
      <c r="WDH115" s="182"/>
      <c r="WDI115" s="181"/>
      <c r="WDJ115" s="182"/>
      <c r="WDK115" s="181"/>
      <c r="WDL115" s="182"/>
      <c r="WDM115" s="181"/>
      <c r="WDN115" s="182"/>
      <c r="WDO115" s="181"/>
      <c r="WDP115" s="182"/>
      <c r="WDQ115" s="181"/>
      <c r="WDR115" s="182"/>
      <c r="WDS115" s="181"/>
      <c r="WDT115" s="182"/>
      <c r="WDU115" s="181"/>
      <c r="WDV115" s="182"/>
      <c r="WDW115" s="181"/>
      <c r="WDX115" s="182"/>
      <c r="WDY115" s="181"/>
      <c r="WDZ115" s="182"/>
      <c r="WEA115" s="181"/>
      <c r="WEB115" s="182"/>
      <c r="WEC115" s="181"/>
      <c r="WED115" s="182"/>
      <c r="WEE115" s="181"/>
      <c r="WEF115" s="182"/>
      <c r="WEG115" s="181"/>
      <c r="WEH115" s="182"/>
      <c r="WEI115" s="181"/>
      <c r="WEJ115" s="182"/>
      <c r="WEK115" s="181"/>
      <c r="WEL115" s="182"/>
      <c r="WEM115" s="181"/>
      <c r="WEN115" s="182"/>
      <c r="WEO115" s="181"/>
      <c r="WEP115" s="182"/>
      <c r="WEQ115" s="181"/>
      <c r="WER115" s="182"/>
      <c r="WES115" s="181"/>
      <c r="WET115" s="182"/>
      <c r="WEU115" s="181"/>
      <c r="WEV115" s="182"/>
      <c r="WEW115" s="181"/>
      <c r="WEX115" s="182"/>
      <c r="WEY115" s="181"/>
      <c r="WEZ115" s="182"/>
      <c r="WFA115" s="181"/>
      <c r="WFB115" s="182"/>
      <c r="WFC115" s="181"/>
      <c r="WFD115" s="182"/>
      <c r="WFE115" s="181"/>
      <c r="WFF115" s="182"/>
      <c r="WFG115" s="181"/>
      <c r="WFH115" s="182"/>
      <c r="WFI115" s="181"/>
      <c r="WFJ115" s="182"/>
      <c r="WFK115" s="181"/>
      <c r="WFL115" s="182"/>
      <c r="WFM115" s="181"/>
      <c r="WFN115" s="182"/>
      <c r="WFO115" s="181"/>
      <c r="WFP115" s="182"/>
      <c r="WFQ115" s="181"/>
      <c r="WFR115" s="182"/>
      <c r="WFS115" s="181"/>
      <c r="WFT115" s="182"/>
      <c r="WFU115" s="181"/>
      <c r="WFV115" s="182"/>
      <c r="WFW115" s="181"/>
      <c r="WFX115" s="182"/>
      <c r="WFY115" s="181"/>
      <c r="WFZ115" s="182"/>
      <c r="WGA115" s="181"/>
      <c r="WGB115" s="182"/>
      <c r="WGC115" s="181"/>
      <c r="WGD115" s="182"/>
      <c r="WGE115" s="181"/>
      <c r="WGF115" s="182"/>
      <c r="WGG115" s="181"/>
      <c r="WGH115" s="182"/>
      <c r="WGI115" s="181"/>
      <c r="WGJ115" s="182"/>
      <c r="WGK115" s="181"/>
      <c r="WGL115" s="182"/>
      <c r="WGM115" s="181"/>
      <c r="WGN115" s="182"/>
      <c r="WGO115" s="181"/>
      <c r="WGP115" s="182"/>
      <c r="WGQ115" s="181"/>
      <c r="WGR115" s="182"/>
      <c r="WGS115" s="181"/>
      <c r="WGT115" s="182"/>
      <c r="WGU115" s="181"/>
      <c r="WGV115" s="182"/>
      <c r="WGW115" s="181"/>
      <c r="WGX115" s="182"/>
      <c r="WGY115" s="181"/>
      <c r="WGZ115" s="182"/>
      <c r="WHA115" s="181"/>
      <c r="WHB115" s="182"/>
      <c r="WHC115" s="181"/>
      <c r="WHD115" s="182"/>
      <c r="WHE115" s="181"/>
      <c r="WHF115" s="182"/>
      <c r="WHG115" s="181"/>
      <c r="WHH115" s="182"/>
      <c r="WHI115" s="181"/>
      <c r="WHJ115" s="182"/>
      <c r="WHK115" s="181"/>
      <c r="WHL115" s="182"/>
      <c r="WHM115" s="181"/>
      <c r="WHN115" s="182"/>
      <c r="WHO115" s="181"/>
      <c r="WHP115" s="182"/>
      <c r="WHQ115" s="181"/>
      <c r="WHR115" s="182"/>
      <c r="WHS115" s="181"/>
      <c r="WHT115" s="182"/>
      <c r="WHU115" s="181"/>
      <c r="WHV115" s="182"/>
      <c r="WHW115" s="181"/>
      <c r="WHX115" s="182"/>
      <c r="WHY115" s="181"/>
      <c r="WHZ115" s="182"/>
      <c r="WIA115" s="181"/>
      <c r="WIB115" s="182"/>
      <c r="WIC115" s="181"/>
      <c r="WID115" s="182"/>
      <c r="WIE115" s="181"/>
      <c r="WIF115" s="182"/>
      <c r="WIG115" s="181"/>
      <c r="WIH115" s="182"/>
      <c r="WII115" s="181"/>
      <c r="WIJ115" s="182"/>
      <c r="WIK115" s="181"/>
      <c r="WIL115" s="182"/>
      <c r="WIM115" s="181"/>
      <c r="WIN115" s="182"/>
      <c r="WIO115" s="181"/>
      <c r="WIP115" s="182"/>
      <c r="WIQ115" s="181"/>
      <c r="WIR115" s="182"/>
      <c r="WIS115" s="181"/>
      <c r="WIT115" s="182"/>
      <c r="WIU115" s="181"/>
      <c r="WIV115" s="182"/>
      <c r="WIW115" s="181"/>
      <c r="WIX115" s="182"/>
      <c r="WIY115" s="181"/>
      <c r="WIZ115" s="182"/>
      <c r="WJA115" s="181"/>
      <c r="WJB115" s="182"/>
      <c r="WJC115" s="181"/>
      <c r="WJD115" s="182"/>
      <c r="WJE115" s="181"/>
      <c r="WJF115" s="182"/>
      <c r="WJG115" s="181"/>
      <c r="WJH115" s="182"/>
      <c r="WJI115" s="181"/>
      <c r="WJJ115" s="182"/>
      <c r="WJK115" s="181"/>
      <c r="WJL115" s="182"/>
      <c r="WJM115" s="181"/>
      <c r="WJN115" s="182"/>
      <c r="WJO115" s="181"/>
      <c r="WJP115" s="182"/>
      <c r="WJQ115" s="181"/>
      <c r="WJR115" s="182"/>
      <c r="WJS115" s="181"/>
      <c r="WJT115" s="182"/>
      <c r="WJU115" s="181"/>
      <c r="WJV115" s="182"/>
      <c r="WJW115" s="181"/>
      <c r="WJX115" s="182"/>
      <c r="WJY115" s="181"/>
      <c r="WJZ115" s="182"/>
      <c r="WKA115" s="181"/>
      <c r="WKB115" s="182"/>
      <c r="WKC115" s="181"/>
      <c r="WKD115" s="182"/>
      <c r="WKE115" s="181"/>
      <c r="WKF115" s="182"/>
      <c r="WKG115" s="181"/>
      <c r="WKH115" s="182"/>
      <c r="WKI115" s="181"/>
      <c r="WKJ115" s="182"/>
      <c r="WKK115" s="181"/>
      <c r="WKL115" s="182"/>
      <c r="WKM115" s="181"/>
      <c r="WKN115" s="182"/>
      <c r="WKO115" s="181"/>
      <c r="WKP115" s="182"/>
      <c r="WKQ115" s="181"/>
      <c r="WKR115" s="182"/>
      <c r="WKS115" s="181"/>
      <c r="WKT115" s="182"/>
      <c r="WKU115" s="181"/>
      <c r="WKV115" s="182"/>
      <c r="WKW115" s="181"/>
      <c r="WKX115" s="182"/>
      <c r="WKY115" s="181"/>
      <c r="WKZ115" s="182"/>
      <c r="WLA115" s="181"/>
      <c r="WLB115" s="182"/>
      <c r="WLC115" s="181"/>
      <c r="WLD115" s="182"/>
      <c r="WLE115" s="181"/>
      <c r="WLF115" s="182"/>
      <c r="WLG115" s="181"/>
      <c r="WLH115" s="182"/>
      <c r="WLI115" s="181"/>
      <c r="WLJ115" s="182"/>
      <c r="WLK115" s="181"/>
      <c r="WLL115" s="182"/>
      <c r="WLM115" s="181"/>
      <c r="WLN115" s="182"/>
      <c r="WLO115" s="181"/>
      <c r="WLP115" s="182"/>
      <c r="WLQ115" s="181"/>
      <c r="WLR115" s="182"/>
      <c r="WLS115" s="181"/>
      <c r="WLT115" s="182"/>
      <c r="WLU115" s="181"/>
      <c r="WLV115" s="182"/>
      <c r="WLW115" s="181"/>
      <c r="WLX115" s="182"/>
      <c r="WLY115" s="181"/>
      <c r="WLZ115" s="182"/>
      <c r="WMA115" s="181"/>
      <c r="WMB115" s="182"/>
      <c r="WMC115" s="181"/>
      <c r="WMD115" s="182"/>
      <c r="WME115" s="181"/>
      <c r="WMF115" s="182"/>
      <c r="WMG115" s="181"/>
      <c r="WMH115" s="182"/>
      <c r="WMI115" s="181"/>
      <c r="WMJ115" s="182"/>
      <c r="WMK115" s="181"/>
      <c r="WML115" s="182"/>
      <c r="WMM115" s="181"/>
      <c r="WMN115" s="182"/>
      <c r="WMO115" s="181"/>
      <c r="WMP115" s="182"/>
      <c r="WMQ115" s="181"/>
      <c r="WMR115" s="182"/>
      <c r="WMS115" s="181"/>
      <c r="WMT115" s="182"/>
      <c r="WMU115" s="181"/>
      <c r="WMV115" s="182"/>
      <c r="WMW115" s="181"/>
      <c r="WMX115" s="182"/>
      <c r="WMY115" s="181"/>
      <c r="WMZ115" s="182"/>
      <c r="WNA115" s="181"/>
      <c r="WNB115" s="182"/>
      <c r="WNC115" s="181"/>
      <c r="WND115" s="182"/>
      <c r="WNE115" s="181"/>
      <c r="WNF115" s="182"/>
      <c r="WNG115" s="181"/>
      <c r="WNH115" s="182"/>
      <c r="WNI115" s="181"/>
      <c r="WNJ115" s="182"/>
      <c r="WNK115" s="181"/>
      <c r="WNL115" s="182"/>
      <c r="WNM115" s="181"/>
      <c r="WNN115" s="182"/>
      <c r="WNO115" s="181"/>
      <c r="WNP115" s="182"/>
      <c r="WNQ115" s="181"/>
      <c r="WNR115" s="182"/>
      <c r="WNS115" s="181"/>
      <c r="WNT115" s="182"/>
      <c r="WNU115" s="181"/>
      <c r="WNV115" s="182"/>
      <c r="WNW115" s="181"/>
      <c r="WNX115" s="182"/>
      <c r="WNY115" s="181"/>
      <c r="WNZ115" s="182"/>
      <c r="WOA115" s="181"/>
      <c r="WOB115" s="182"/>
      <c r="WOC115" s="181"/>
      <c r="WOD115" s="182"/>
      <c r="WOE115" s="181"/>
      <c r="WOF115" s="182"/>
      <c r="WOG115" s="181"/>
      <c r="WOH115" s="182"/>
      <c r="WOI115" s="181"/>
      <c r="WOJ115" s="182"/>
      <c r="WOK115" s="181"/>
      <c r="WOL115" s="182"/>
      <c r="WOM115" s="181"/>
      <c r="WON115" s="182"/>
      <c r="WOO115" s="181"/>
      <c r="WOP115" s="182"/>
      <c r="WOQ115" s="181"/>
      <c r="WOR115" s="182"/>
      <c r="WOS115" s="181"/>
      <c r="WOT115" s="182"/>
      <c r="WOU115" s="181"/>
      <c r="WOV115" s="182"/>
      <c r="WOW115" s="181"/>
      <c r="WOX115" s="182"/>
      <c r="WOY115" s="181"/>
      <c r="WOZ115" s="182"/>
      <c r="WPA115" s="181"/>
      <c r="WPB115" s="182"/>
      <c r="WPC115" s="181"/>
      <c r="WPD115" s="182"/>
      <c r="WPE115" s="181"/>
      <c r="WPF115" s="182"/>
      <c r="WPG115" s="181"/>
      <c r="WPH115" s="182"/>
      <c r="WPI115" s="181"/>
      <c r="WPJ115" s="182"/>
      <c r="WPK115" s="181"/>
      <c r="WPL115" s="182"/>
      <c r="WPM115" s="181"/>
      <c r="WPN115" s="182"/>
      <c r="WPO115" s="181"/>
      <c r="WPP115" s="182"/>
      <c r="WPQ115" s="181"/>
      <c r="WPR115" s="182"/>
      <c r="WPS115" s="181"/>
      <c r="WPT115" s="182"/>
      <c r="WPU115" s="181"/>
      <c r="WPV115" s="182"/>
      <c r="WPW115" s="181"/>
      <c r="WPX115" s="182"/>
      <c r="WPY115" s="181"/>
      <c r="WPZ115" s="182"/>
      <c r="WQA115" s="181"/>
      <c r="WQB115" s="182"/>
      <c r="WQC115" s="181"/>
      <c r="WQD115" s="182"/>
      <c r="WQE115" s="181"/>
      <c r="WQF115" s="182"/>
      <c r="WQG115" s="181"/>
      <c r="WQH115" s="182"/>
      <c r="WQI115" s="181"/>
      <c r="WQJ115" s="182"/>
      <c r="WQK115" s="181"/>
      <c r="WQL115" s="182"/>
      <c r="WQM115" s="181"/>
      <c r="WQN115" s="182"/>
      <c r="WQO115" s="181"/>
      <c r="WQP115" s="182"/>
      <c r="WQQ115" s="181"/>
      <c r="WQR115" s="182"/>
      <c r="WQS115" s="181"/>
      <c r="WQT115" s="182"/>
      <c r="WQU115" s="181"/>
      <c r="WQV115" s="182"/>
      <c r="WQW115" s="181"/>
      <c r="WQX115" s="182"/>
      <c r="WQY115" s="181"/>
      <c r="WQZ115" s="182"/>
      <c r="WRA115" s="181"/>
      <c r="WRB115" s="182"/>
      <c r="WRC115" s="181"/>
      <c r="WRD115" s="182"/>
      <c r="WRE115" s="181"/>
      <c r="WRF115" s="182"/>
      <c r="WRG115" s="181"/>
      <c r="WRH115" s="182"/>
      <c r="WRI115" s="181"/>
      <c r="WRJ115" s="182"/>
      <c r="WRK115" s="181"/>
      <c r="WRL115" s="182"/>
      <c r="WRM115" s="181"/>
      <c r="WRN115" s="182"/>
      <c r="WRO115" s="181"/>
      <c r="WRP115" s="182"/>
      <c r="WRQ115" s="181"/>
      <c r="WRR115" s="182"/>
      <c r="WRS115" s="181"/>
      <c r="WRT115" s="182"/>
      <c r="WRU115" s="181"/>
      <c r="WRV115" s="182"/>
      <c r="WRW115" s="181"/>
      <c r="WRX115" s="182"/>
      <c r="WRY115" s="181"/>
      <c r="WRZ115" s="182"/>
      <c r="WSA115" s="181"/>
      <c r="WSB115" s="182"/>
      <c r="WSC115" s="181"/>
      <c r="WSD115" s="182"/>
      <c r="WSE115" s="181"/>
      <c r="WSF115" s="182"/>
      <c r="WSG115" s="181"/>
      <c r="WSH115" s="182"/>
      <c r="WSI115" s="181"/>
      <c r="WSJ115" s="182"/>
      <c r="WSK115" s="181"/>
      <c r="WSL115" s="182"/>
      <c r="WSM115" s="181"/>
      <c r="WSN115" s="182"/>
      <c r="WSO115" s="181"/>
      <c r="WSP115" s="182"/>
      <c r="WSQ115" s="181"/>
      <c r="WSR115" s="182"/>
      <c r="WSS115" s="181"/>
      <c r="WST115" s="182"/>
      <c r="WSU115" s="181"/>
      <c r="WSV115" s="182"/>
      <c r="WSW115" s="181"/>
      <c r="WSX115" s="182"/>
      <c r="WSY115" s="181"/>
      <c r="WSZ115" s="182"/>
      <c r="WTA115" s="181"/>
      <c r="WTB115" s="182"/>
      <c r="WTC115" s="181"/>
      <c r="WTD115" s="182"/>
      <c r="WTE115" s="181"/>
      <c r="WTF115" s="182"/>
      <c r="WTG115" s="181"/>
      <c r="WTH115" s="182"/>
      <c r="WTI115" s="181"/>
      <c r="WTJ115" s="182"/>
      <c r="WTK115" s="181"/>
      <c r="WTL115" s="182"/>
      <c r="WTM115" s="181"/>
      <c r="WTN115" s="182"/>
      <c r="WTO115" s="181"/>
      <c r="WTP115" s="182"/>
      <c r="WTQ115" s="181"/>
      <c r="WTR115" s="182"/>
      <c r="WTS115" s="181"/>
      <c r="WTT115" s="182"/>
      <c r="WTU115" s="181"/>
      <c r="WTV115" s="182"/>
      <c r="WTW115" s="181"/>
      <c r="WTX115" s="182"/>
      <c r="WTY115" s="181"/>
      <c r="WTZ115" s="182"/>
      <c r="WUA115" s="181"/>
      <c r="WUB115" s="182"/>
      <c r="WUC115" s="181"/>
      <c r="WUD115" s="182"/>
      <c r="WUE115" s="181"/>
      <c r="WUF115" s="182"/>
      <c r="WUG115" s="181"/>
      <c r="WUH115" s="182"/>
      <c r="WUI115" s="181"/>
      <c r="WUJ115" s="182"/>
      <c r="WUK115" s="181"/>
      <c r="WUL115" s="182"/>
      <c r="WUM115" s="181"/>
      <c r="WUN115" s="182"/>
      <c r="WUO115" s="181"/>
      <c r="WUP115" s="182"/>
      <c r="WUQ115" s="181"/>
      <c r="WUR115" s="182"/>
      <c r="WUS115" s="181"/>
      <c r="WUT115" s="182"/>
      <c r="WUU115" s="181"/>
      <c r="WUV115" s="182"/>
      <c r="WUW115" s="181"/>
      <c r="WUX115" s="182"/>
      <c r="WUY115" s="181"/>
      <c r="WUZ115" s="182"/>
      <c r="WVA115" s="181"/>
      <c r="WVB115" s="182"/>
      <c r="WVC115" s="181"/>
      <c r="WVD115" s="182"/>
      <c r="WVE115" s="181"/>
      <c r="WVF115" s="182"/>
      <c r="WVG115" s="181"/>
      <c r="WVH115" s="182"/>
      <c r="WVI115" s="181"/>
      <c r="WVJ115" s="182"/>
      <c r="WVK115" s="181"/>
      <c r="WVL115" s="182"/>
      <c r="WVM115" s="181"/>
      <c r="WVN115" s="182"/>
      <c r="WVO115" s="181"/>
      <c r="WVP115" s="182"/>
      <c r="WVQ115" s="181"/>
      <c r="WVR115" s="182"/>
      <c r="WVS115" s="181"/>
      <c r="WVT115" s="182"/>
      <c r="WVU115" s="181"/>
      <c r="WVV115" s="182"/>
      <c r="WVW115" s="181"/>
      <c r="WVX115" s="182"/>
      <c r="WVY115" s="181"/>
      <c r="WVZ115" s="182"/>
      <c r="WWA115" s="181"/>
      <c r="WWB115" s="182"/>
      <c r="WWC115" s="181"/>
      <c r="WWD115" s="182"/>
      <c r="WWE115" s="181"/>
      <c r="WWF115" s="182"/>
      <c r="WWG115" s="181"/>
      <c r="WWH115" s="182"/>
      <c r="WWI115" s="181"/>
      <c r="WWJ115" s="182"/>
      <c r="WWK115" s="181"/>
      <c r="WWL115" s="182"/>
      <c r="WWM115" s="181"/>
      <c r="WWN115" s="182"/>
      <c r="WWO115" s="181"/>
      <c r="WWP115" s="182"/>
      <c r="WWQ115" s="181"/>
      <c r="WWR115" s="182"/>
      <c r="WWS115" s="181"/>
      <c r="WWT115" s="182"/>
      <c r="WWU115" s="181"/>
      <c r="WWV115" s="182"/>
      <c r="WWW115" s="181"/>
      <c r="WWX115" s="182"/>
      <c r="WWY115" s="181"/>
      <c r="WWZ115" s="182"/>
      <c r="WXA115" s="181"/>
      <c r="WXB115" s="182"/>
      <c r="WXC115" s="181"/>
      <c r="WXD115" s="182"/>
      <c r="WXE115" s="181"/>
      <c r="WXF115" s="182"/>
      <c r="WXG115" s="181"/>
      <c r="WXH115" s="182"/>
      <c r="WXI115" s="181"/>
      <c r="WXJ115" s="182"/>
      <c r="WXK115" s="181"/>
      <c r="WXL115" s="182"/>
      <c r="WXM115" s="181"/>
      <c r="WXN115" s="182"/>
      <c r="WXO115" s="181"/>
      <c r="WXP115" s="182"/>
      <c r="WXQ115" s="181"/>
      <c r="WXR115" s="182"/>
      <c r="WXS115" s="181"/>
      <c r="WXT115" s="182"/>
      <c r="WXU115" s="181"/>
      <c r="WXV115" s="182"/>
      <c r="WXW115" s="181"/>
      <c r="WXX115" s="182"/>
      <c r="WXY115" s="181"/>
      <c r="WXZ115" s="182"/>
      <c r="WYA115" s="181"/>
      <c r="WYB115" s="182"/>
      <c r="WYC115" s="181"/>
      <c r="WYD115" s="182"/>
      <c r="WYE115" s="181"/>
      <c r="WYF115" s="182"/>
      <c r="WYG115" s="181"/>
      <c r="WYH115" s="182"/>
      <c r="WYI115" s="181"/>
      <c r="WYJ115" s="182"/>
      <c r="WYK115" s="181"/>
      <c r="WYL115" s="182"/>
      <c r="WYM115" s="181"/>
      <c r="WYN115" s="182"/>
      <c r="WYO115" s="181"/>
      <c r="WYP115" s="182"/>
      <c r="WYQ115" s="181"/>
      <c r="WYR115" s="182"/>
      <c r="WYS115" s="181"/>
      <c r="WYT115" s="182"/>
      <c r="WYU115" s="181"/>
      <c r="WYV115" s="182"/>
      <c r="WYW115" s="181"/>
      <c r="WYX115" s="182"/>
      <c r="WYY115" s="181"/>
      <c r="WYZ115" s="182"/>
      <c r="WZA115" s="181"/>
      <c r="WZB115" s="182"/>
      <c r="WZC115" s="181"/>
      <c r="WZD115" s="182"/>
      <c r="WZE115" s="181"/>
      <c r="WZF115" s="182"/>
      <c r="WZG115" s="181"/>
      <c r="WZH115" s="182"/>
      <c r="WZI115" s="181"/>
      <c r="WZJ115" s="182"/>
      <c r="WZK115" s="181"/>
      <c r="WZL115" s="182"/>
      <c r="WZM115" s="181"/>
      <c r="WZN115" s="182"/>
      <c r="WZO115" s="181"/>
      <c r="WZP115" s="182"/>
      <c r="WZQ115" s="181"/>
      <c r="WZR115" s="182"/>
      <c r="WZS115" s="181"/>
      <c r="WZT115" s="182"/>
      <c r="WZU115" s="181"/>
      <c r="WZV115" s="182"/>
      <c r="WZW115" s="181"/>
      <c r="WZX115" s="182"/>
      <c r="WZY115" s="181"/>
      <c r="WZZ115" s="182"/>
      <c r="XAA115" s="181"/>
      <c r="XAB115" s="182"/>
      <c r="XAC115" s="181"/>
      <c r="XAD115" s="182"/>
      <c r="XAE115" s="181"/>
      <c r="XAF115" s="182"/>
      <c r="XAG115" s="181"/>
      <c r="XAH115" s="182"/>
      <c r="XAI115" s="181"/>
      <c r="XAJ115" s="182"/>
      <c r="XAK115" s="181"/>
      <c r="XAL115" s="182"/>
      <c r="XAM115" s="181"/>
      <c r="XAN115" s="182"/>
      <c r="XAO115" s="181"/>
      <c r="XAP115" s="182"/>
      <c r="XAQ115" s="181"/>
      <c r="XAR115" s="182"/>
      <c r="XAS115" s="181"/>
      <c r="XAT115" s="182"/>
      <c r="XAU115" s="181"/>
      <c r="XAV115" s="182"/>
      <c r="XAW115" s="181"/>
      <c r="XAX115" s="182"/>
      <c r="XAY115" s="181"/>
      <c r="XAZ115" s="182"/>
      <c r="XBA115" s="181"/>
      <c r="XBB115" s="182"/>
      <c r="XBC115" s="181"/>
      <c r="XBD115" s="182"/>
      <c r="XBE115" s="181"/>
      <c r="XBF115" s="182"/>
      <c r="XBG115" s="181"/>
      <c r="XBH115" s="182"/>
      <c r="XBI115" s="181"/>
      <c r="XBJ115" s="182"/>
      <c r="XBK115" s="181"/>
      <c r="XBL115" s="182"/>
      <c r="XBM115" s="181"/>
      <c r="XBN115" s="182"/>
      <c r="XBO115" s="181"/>
      <c r="XBP115" s="182"/>
      <c r="XBQ115" s="181"/>
      <c r="XBR115" s="182"/>
      <c r="XBS115" s="181"/>
      <c r="XBT115" s="182"/>
      <c r="XBU115" s="181"/>
      <c r="XBV115" s="182"/>
      <c r="XBW115" s="181"/>
      <c r="XBX115" s="182"/>
      <c r="XBY115" s="181"/>
      <c r="XBZ115" s="182"/>
      <c r="XCA115" s="181"/>
      <c r="XCB115" s="182"/>
      <c r="XCC115" s="181"/>
      <c r="XCD115" s="182"/>
      <c r="XCE115" s="181"/>
      <c r="XCF115" s="182"/>
      <c r="XCG115" s="181"/>
      <c r="XCH115" s="182"/>
      <c r="XCI115" s="181"/>
      <c r="XCJ115" s="182"/>
      <c r="XCK115" s="181"/>
      <c r="XCL115" s="182"/>
      <c r="XCM115" s="181"/>
      <c r="XCN115" s="182"/>
      <c r="XCO115" s="181"/>
      <c r="XCP115" s="182"/>
      <c r="XCQ115" s="181"/>
      <c r="XCR115" s="182"/>
      <c r="XCS115" s="181"/>
      <c r="XCT115" s="182"/>
      <c r="XCU115" s="181"/>
      <c r="XCV115" s="182"/>
      <c r="XCW115" s="181"/>
      <c r="XCX115" s="182"/>
      <c r="XCY115" s="181"/>
      <c r="XCZ115" s="182"/>
      <c r="XDA115" s="181"/>
      <c r="XDB115" s="182"/>
      <c r="XDC115" s="181"/>
      <c r="XDD115" s="182"/>
      <c r="XDE115" s="181"/>
      <c r="XDF115" s="182"/>
      <c r="XDG115" s="181"/>
      <c r="XDH115" s="182"/>
      <c r="XDI115" s="181"/>
      <c r="XDJ115" s="182"/>
      <c r="XDK115" s="181"/>
      <c r="XDL115" s="182"/>
      <c r="XDM115" s="181"/>
      <c r="XDN115" s="182"/>
      <c r="XDO115" s="181"/>
      <c r="XDP115" s="182"/>
      <c r="XDQ115" s="181"/>
      <c r="XDR115" s="182"/>
      <c r="XDS115" s="181"/>
      <c r="XDT115" s="182"/>
      <c r="XDU115" s="181"/>
      <c r="XDV115" s="182"/>
      <c r="XDW115" s="181"/>
      <c r="XDX115" s="182"/>
      <c r="XDY115" s="181"/>
      <c r="XDZ115" s="182"/>
      <c r="XEA115" s="181"/>
      <c r="XEB115" s="182"/>
      <c r="XEC115" s="181"/>
      <c r="XED115" s="182"/>
      <c r="XEE115" s="181"/>
      <c r="XEF115" s="182"/>
      <c r="XEG115" s="181"/>
      <c r="XEH115" s="182"/>
      <c r="XEI115" s="181"/>
      <c r="XEJ115" s="182"/>
      <c r="XEK115" s="181"/>
      <c r="XEL115" s="182"/>
      <c r="XEM115" s="181"/>
      <c r="XEN115" s="182"/>
      <c r="XEO115" s="181"/>
      <c r="XEP115" s="182"/>
      <c r="XEQ115" s="181"/>
      <c r="XER115" s="182"/>
      <c r="XES115" s="181"/>
      <c r="XET115" s="182"/>
      <c r="XEU115" s="181"/>
      <c r="XEV115" s="182"/>
      <c r="XEW115" s="181"/>
      <c r="XEX115" s="182"/>
      <c r="XEY115" s="181"/>
      <c r="XEZ115" s="182"/>
      <c r="XFA115" s="181"/>
      <c r="XFB115" s="182"/>
      <c r="XFC115" s="181"/>
      <c r="XFD115" s="182"/>
    </row>
    <row r="116" spans="1:16384" s="99" customFormat="1" ht="65.099999999999994" customHeight="1">
      <c r="A116" s="102"/>
      <c r="B116" s="102"/>
      <c r="C116" s="103"/>
      <c r="D116" s="102"/>
      <c r="E116" s="103"/>
      <c r="F116" s="102"/>
      <c r="G116" s="103"/>
      <c r="H116" s="103"/>
      <c r="I116" s="104"/>
      <c r="J116" s="104"/>
      <c r="K116" s="103"/>
      <c r="L116" s="103"/>
      <c r="M116" s="103"/>
      <c r="N116" s="103"/>
      <c r="O116" s="103"/>
      <c r="P116" s="103"/>
      <c r="Q116" s="103"/>
      <c r="R116" s="103"/>
      <c r="S116" s="103"/>
      <c r="T116" s="103"/>
      <c r="U116" s="103"/>
      <c r="V116" s="103"/>
      <c r="W116" s="103"/>
      <c r="X116" s="103"/>
      <c r="Y116" s="103"/>
      <c r="Z116" s="103"/>
      <c r="AA116" s="105"/>
      <c r="AB116" s="102"/>
      <c r="AC116" s="181"/>
      <c r="AD116" s="182"/>
      <c r="AE116" s="181"/>
      <c r="AF116" s="182"/>
      <c r="AG116" s="181"/>
      <c r="AH116" s="182"/>
      <c r="AI116" s="181"/>
      <c r="AJ116" s="182"/>
      <c r="AK116" s="181"/>
      <c r="AL116" s="182"/>
      <c r="AM116" s="181"/>
      <c r="AN116" s="182"/>
      <c r="AO116" s="181"/>
      <c r="AP116" s="182"/>
      <c r="AQ116" s="181"/>
      <c r="AR116" s="182"/>
      <c r="AS116" s="181"/>
      <c r="AT116" s="182"/>
      <c r="AU116" s="181"/>
      <c r="AV116" s="182"/>
      <c r="AW116" s="181"/>
      <c r="AX116" s="182"/>
      <c r="AY116" s="181"/>
      <c r="AZ116" s="182"/>
      <c r="BA116" s="181"/>
      <c r="BB116" s="182"/>
      <c r="BC116" s="181"/>
      <c r="BD116" s="182"/>
      <c r="BE116" s="181"/>
      <c r="BF116" s="182"/>
      <c r="BG116" s="181"/>
      <c r="BH116" s="182"/>
      <c r="BI116" s="181"/>
      <c r="BJ116" s="182"/>
      <c r="BK116" s="181"/>
      <c r="BL116" s="182"/>
      <c r="BM116" s="181"/>
      <c r="BN116" s="182"/>
      <c r="BO116" s="181"/>
      <c r="BP116" s="182"/>
      <c r="BQ116" s="181"/>
      <c r="BR116" s="182"/>
      <c r="BS116" s="181"/>
      <c r="BT116" s="182"/>
      <c r="BU116" s="181"/>
      <c r="BV116" s="182"/>
      <c r="BW116" s="181"/>
      <c r="BX116" s="182"/>
      <c r="BY116" s="181"/>
      <c r="BZ116" s="182"/>
      <c r="CA116" s="181"/>
      <c r="CB116" s="182"/>
      <c r="CC116" s="181"/>
      <c r="CD116" s="182"/>
      <c r="CE116" s="181"/>
      <c r="CF116" s="182"/>
      <c r="CG116" s="181"/>
      <c r="CH116" s="182"/>
      <c r="CI116" s="181"/>
      <c r="CJ116" s="182"/>
      <c r="CK116" s="181"/>
      <c r="CL116" s="182"/>
      <c r="CM116" s="181"/>
      <c r="CN116" s="182"/>
      <c r="CO116" s="181"/>
      <c r="CP116" s="182"/>
      <c r="CQ116" s="181"/>
      <c r="CR116" s="182"/>
      <c r="CS116" s="181"/>
      <c r="CT116" s="182"/>
      <c r="CU116" s="181"/>
      <c r="CV116" s="182"/>
      <c r="CW116" s="181"/>
      <c r="CX116" s="182"/>
      <c r="CY116" s="181"/>
      <c r="CZ116" s="182"/>
      <c r="DA116" s="181"/>
      <c r="DB116" s="182"/>
      <c r="DC116" s="181"/>
      <c r="DD116" s="182"/>
      <c r="DE116" s="181"/>
      <c r="DF116" s="182"/>
      <c r="DG116" s="181"/>
      <c r="DH116" s="182"/>
      <c r="DI116" s="181"/>
      <c r="DJ116" s="182"/>
      <c r="DK116" s="181"/>
      <c r="DL116" s="182"/>
      <c r="DM116" s="181"/>
      <c r="DN116" s="182"/>
      <c r="DO116" s="181"/>
      <c r="DP116" s="182"/>
      <c r="DQ116" s="181"/>
      <c r="DR116" s="182"/>
      <c r="DS116" s="181"/>
      <c r="DT116" s="182"/>
      <c r="DU116" s="181"/>
      <c r="DV116" s="182"/>
      <c r="DW116" s="181"/>
      <c r="DX116" s="182"/>
      <c r="DY116" s="181"/>
      <c r="DZ116" s="182"/>
      <c r="EA116" s="181"/>
      <c r="EB116" s="182"/>
      <c r="EC116" s="181"/>
      <c r="ED116" s="182"/>
      <c r="EE116" s="181"/>
      <c r="EF116" s="182"/>
      <c r="EG116" s="181"/>
      <c r="EH116" s="182"/>
      <c r="EI116" s="181"/>
      <c r="EJ116" s="182"/>
      <c r="EK116" s="181"/>
      <c r="EL116" s="182"/>
      <c r="EM116" s="181"/>
      <c r="EN116" s="182"/>
      <c r="EO116" s="181"/>
      <c r="EP116" s="182"/>
      <c r="EQ116" s="181"/>
      <c r="ER116" s="182"/>
      <c r="ES116" s="181"/>
      <c r="ET116" s="182"/>
      <c r="EU116" s="181"/>
      <c r="EV116" s="182"/>
      <c r="EW116" s="181"/>
      <c r="EX116" s="182"/>
      <c r="EY116" s="181"/>
      <c r="EZ116" s="182"/>
      <c r="FA116" s="181"/>
      <c r="FB116" s="182"/>
      <c r="FC116" s="181"/>
      <c r="FD116" s="182"/>
      <c r="FE116" s="181"/>
      <c r="FF116" s="182"/>
      <c r="FG116" s="181"/>
      <c r="FH116" s="182"/>
      <c r="FI116" s="181"/>
      <c r="FJ116" s="182"/>
      <c r="FK116" s="181"/>
      <c r="FL116" s="182"/>
      <c r="FM116" s="181"/>
      <c r="FN116" s="182"/>
      <c r="FO116" s="181"/>
      <c r="FP116" s="182"/>
      <c r="FQ116" s="181"/>
      <c r="FR116" s="182"/>
      <c r="FS116" s="181"/>
      <c r="FT116" s="182"/>
      <c r="FU116" s="181"/>
      <c r="FV116" s="182"/>
      <c r="FW116" s="181"/>
      <c r="FX116" s="182"/>
      <c r="FY116" s="181"/>
      <c r="FZ116" s="182"/>
      <c r="GA116" s="181"/>
      <c r="GB116" s="182"/>
      <c r="GC116" s="181"/>
      <c r="GD116" s="182"/>
      <c r="GE116" s="181"/>
      <c r="GF116" s="182"/>
      <c r="GG116" s="181"/>
      <c r="GH116" s="182"/>
      <c r="GI116" s="181"/>
      <c r="GJ116" s="182"/>
      <c r="GK116" s="181"/>
      <c r="GL116" s="182"/>
      <c r="GM116" s="181"/>
      <c r="GN116" s="182"/>
      <c r="GO116" s="181"/>
      <c r="GP116" s="182"/>
      <c r="GQ116" s="181"/>
      <c r="GR116" s="182"/>
      <c r="GS116" s="181"/>
      <c r="GT116" s="182"/>
      <c r="GU116" s="181"/>
      <c r="GV116" s="182"/>
      <c r="GW116" s="181"/>
      <c r="GX116" s="182"/>
      <c r="GY116" s="181"/>
      <c r="GZ116" s="182"/>
      <c r="HA116" s="181"/>
      <c r="HB116" s="182"/>
      <c r="HC116" s="181"/>
      <c r="HD116" s="182"/>
      <c r="HE116" s="181"/>
      <c r="HF116" s="182"/>
      <c r="HG116" s="181"/>
      <c r="HH116" s="182"/>
      <c r="HI116" s="181"/>
      <c r="HJ116" s="182"/>
      <c r="HK116" s="181"/>
      <c r="HL116" s="182"/>
      <c r="HM116" s="181"/>
      <c r="HN116" s="182"/>
      <c r="HO116" s="181"/>
      <c r="HP116" s="182"/>
      <c r="HQ116" s="181"/>
      <c r="HR116" s="182"/>
      <c r="HS116" s="181"/>
      <c r="HT116" s="182"/>
      <c r="HU116" s="181"/>
      <c r="HV116" s="182"/>
      <c r="HW116" s="181"/>
      <c r="HX116" s="182"/>
      <c r="HY116" s="181"/>
      <c r="HZ116" s="182"/>
      <c r="IA116" s="181"/>
      <c r="IB116" s="182"/>
      <c r="IC116" s="181"/>
      <c r="ID116" s="182"/>
      <c r="IE116" s="181"/>
      <c r="IF116" s="182"/>
      <c r="IG116" s="181"/>
      <c r="IH116" s="182"/>
      <c r="II116" s="181"/>
      <c r="IJ116" s="182"/>
      <c r="IK116" s="181"/>
      <c r="IL116" s="182"/>
      <c r="IM116" s="181"/>
      <c r="IN116" s="182"/>
      <c r="IO116" s="181"/>
      <c r="IP116" s="182"/>
      <c r="IQ116" s="181"/>
      <c r="IR116" s="182"/>
      <c r="IS116" s="181"/>
      <c r="IT116" s="182"/>
      <c r="IU116" s="181"/>
      <c r="IV116" s="182"/>
      <c r="IW116" s="181"/>
      <c r="IX116" s="182"/>
      <c r="IY116" s="181"/>
      <c r="IZ116" s="182"/>
      <c r="JA116" s="181"/>
      <c r="JB116" s="182"/>
      <c r="JC116" s="181"/>
      <c r="JD116" s="182"/>
      <c r="JE116" s="181"/>
      <c r="JF116" s="182"/>
      <c r="JG116" s="181"/>
      <c r="JH116" s="182"/>
      <c r="JI116" s="181"/>
      <c r="JJ116" s="182"/>
      <c r="JK116" s="181"/>
      <c r="JL116" s="182"/>
      <c r="JM116" s="181"/>
      <c r="JN116" s="182"/>
      <c r="JO116" s="181"/>
      <c r="JP116" s="182"/>
      <c r="JQ116" s="181"/>
      <c r="JR116" s="182"/>
      <c r="JS116" s="181"/>
      <c r="JT116" s="182"/>
      <c r="JU116" s="181"/>
      <c r="JV116" s="182"/>
      <c r="JW116" s="181"/>
      <c r="JX116" s="182"/>
      <c r="JY116" s="181"/>
      <c r="JZ116" s="182"/>
      <c r="KA116" s="181"/>
      <c r="KB116" s="182"/>
      <c r="KC116" s="181"/>
      <c r="KD116" s="182"/>
      <c r="KE116" s="181"/>
      <c r="KF116" s="182"/>
      <c r="KG116" s="181"/>
      <c r="KH116" s="182"/>
      <c r="KI116" s="181"/>
      <c r="KJ116" s="182"/>
      <c r="KK116" s="181"/>
      <c r="KL116" s="182"/>
      <c r="KM116" s="181"/>
      <c r="KN116" s="182"/>
      <c r="KO116" s="181"/>
      <c r="KP116" s="182"/>
      <c r="KQ116" s="181"/>
      <c r="KR116" s="182"/>
      <c r="KS116" s="181"/>
      <c r="KT116" s="182"/>
      <c r="KU116" s="181"/>
      <c r="KV116" s="182"/>
      <c r="KW116" s="181"/>
      <c r="KX116" s="182"/>
      <c r="KY116" s="181"/>
      <c r="KZ116" s="182"/>
      <c r="LA116" s="181"/>
      <c r="LB116" s="182"/>
      <c r="LC116" s="181"/>
      <c r="LD116" s="182"/>
      <c r="LE116" s="181"/>
      <c r="LF116" s="182"/>
      <c r="LG116" s="181"/>
      <c r="LH116" s="182"/>
      <c r="LI116" s="181"/>
      <c r="LJ116" s="182"/>
      <c r="LK116" s="181"/>
      <c r="LL116" s="182"/>
      <c r="LM116" s="181"/>
      <c r="LN116" s="182"/>
      <c r="LO116" s="181"/>
      <c r="LP116" s="182"/>
      <c r="LQ116" s="181"/>
      <c r="LR116" s="182"/>
      <c r="LS116" s="181"/>
      <c r="LT116" s="182"/>
      <c r="LU116" s="181"/>
      <c r="LV116" s="182"/>
      <c r="LW116" s="181"/>
      <c r="LX116" s="182"/>
      <c r="LY116" s="181"/>
      <c r="LZ116" s="182"/>
      <c r="MA116" s="181"/>
      <c r="MB116" s="182"/>
      <c r="MC116" s="181"/>
      <c r="MD116" s="182"/>
      <c r="ME116" s="181"/>
      <c r="MF116" s="182"/>
      <c r="MG116" s="181"/>
      <c r="MH116" s="182"/>
      <c r="MI116" s="181"/>
      <c r="MJ116" s="182"/>
      <c r="MK116" s="181"/>
      <c r="ML116" s="182"/>
      <c r="MM116" s="181"/>
      <c r="MN116" s="182"/>
      <c r="MO116" s="181"/>
      <c r="MP116" s="182"/>
      <c r="MQ116" s="181"/>
      <c r="MR116" s="182"/>
      <c r="MS116" s="181"/>
      <c r="MT116" s="182"/>
      <c r="MU116" s="181"/>
      <c r="MV116" s="182"/>
      <c r="MW116" s="181"/>
      <c r="MX116" s="182"/>
      <c r="MY116" s="181"/>
      <c r="MZ116" s="182"/>
      <c r="NA116" s="181"/>
      <c r="NB116" s="182"/>
      <c r="NC116" s="181"/>
      <c r="ND116" s="182"/>
      <c r="NE116" s="181"/>
      <c r="NF116" s="182"/>
      <c r="NG116" s="181"/>
      <c r="NH116" s="182"/>
      <c r="NI116" s="181"/>
      <c r="NJ116" s="182"/>
      <c r="NK116" s="181"/>
      <c r="NL116" s="182"/>
      <c r="NM116" s="181"/>
      <c r="NN116" s="182"/>
      <c r="NO116" s="181"/>
      <c r="NP116" s="182"/>
      <c r="NQ116" s="181"/>
      <c r="NR116" s="182"/>
      <c r="NS116" s="181"/>
      <c r="NT116" s="182"/>
      <c r="NU116" s="181"/>
      <c r="NV116" s="182"/>
      <c r="NW116" s="181"/>
      <c r="NX116" s="182"/>
      <c r="NY116" s="181"/>
      <c r="NZ116" s="182"/>
      <c r="OA116" s="181"/>
      <c r="OB116" s="182"/>
      <c r="OC116" s="181"/>
      <c r="OD116" s="182"/>
      <c r="OE116" s="181"/>
      <c r="OF116" s="182"/>
      <c r="OG116" s="181"/>
      <c r="OH116" s="182"/>
      <c r="OI116" s="181"/>
      <c r="OJ116" s="182"/>
      <c r="OK116" s="181"/>
      <c r="OL116" s="182"/>
      <c r="OM116" s="181"/>
      <c r="ON116" s="182"/>
      <c r="OO116" s="181"/>
      <c r="OP116" s="182"/>
      <c r="OQ116" s="181"/>
      <c r="OR116" s="182"/>
      <c r="OS116" s="181"/>
      <c r="OT116" s="182"/>
      <c r="OU116" s="181"/>
      <c r="OV116" s="182"/>
      <c r="OW116" s="181"/>
      <c r="OX116" s="182"/>
      <c r="OY116" s="181"/>
      <c r="OZ116" s="182"/>
      <c r="PA116" s="181"/>
      <c r="PB116" s="182"/>
      <c r="PC116" s="181"/>
      <c r="PD116" s="182"/>
      <c r="PE116" s="181"/>
      <c r="PF116" s="182"/>
      <c r="PG116" s="181"/>
      <c r="PH116" s="182"/>
      <c r="PI116" s="181"/>
      <c r="PJ116" s="182"/>
      <c r="PK116" s="181"/>
      <c r="PL116" s="182"/>
      <c r="PM116" s="181"/>
      <c r="PN116" s="182"/>
      <c r="PO116" s="181"/>
      <c r="PP116" s="182"/>
      <c r="PQ116" s="181"/>
      <c r="PR116" s="182"/>
      <c r="PS116" s="181"/>
      <c r="PT116" s="182"/>
      <c r="PU116" s="181"/>
      <c r="PV116" s="182"/>
      <c r="PW116" s="181"/>
      <c r="PX116" s="182"/>
      <c r="PY116" s="181"/>
      <c r="PZ116" s="182"/>
      <c r="QA116" s="181"/>
      <c r="QB116" s="182"/>
      <c r="QC116" s="181"/>
      <c r="QD116" s="182"/>
      <c r="QE116" s="181"/>
      <c r="QF116" s="182"/>
      <c r="QG116" s="181"/>
      <c r="QH116" s="182"/>
      <c r="QI116" s="181"/>
      <c r="QJ116" s="182"/>
      <c r="QK116" s="181"/>
      <c r="QL116" s="182"/>
      <c r="QM116" s="181"/>
      <c r="QN116" s="182"/>
      <c r="QO116" s="181"/>
      <c r="QP116" s="182"/>
      <c r="QQ116" s="181"/>
      <c r="QR116" s="182"/>
      <c r="QS116" s="181"/>
      <c r="QT116" s="182"/>
      <c r="QU116" s="181"/>
      <c r="QV116" s="182"/>
      <c r="QW116" s="181"/>
      <c r="QX116" s="182"/>
      <c r="QY116" s="181"/>
      <c r="QZ116" s="182"/>
      <c r="RA116" s="181"/>
      <c r="RB116" s="182"/>
      <c r="RC116" s="181"/>
      <c r="RD116" s="182"/>
      <c r="RE116" s="181"/>
      <c r="RF116" s="182"/>
      <c r="RG116" s="181"/>
      <c r="RH116" s="182"/>
      <c r="RI116" s="181"/>
      <c r="RJ116" s="182"/>
      <c r="RK116" s="181"/>
      <c r="RL116" s="182"/>
      <c r="RM116" s="181"/>
      <c r="RN116" s="182"/>
      <c r="RO116" s="181"/>
      <c r="RP116" s="182"/>
      <c r="RQ116" s="181"/>
      <c r="RR116" s="182"/>
      <c r="RS116" s="181"/>
      <c r="RT116" s="182"/>
      <c r="RU116" s="181"/>
      <c r="RV116" s="182"/>
      <c r="RW116" s="181"/>
      <c r="RX116" s="182"/>
      <c r="RY116" s="181"/>
      <c r="RZ116" s="182"/>
      <c r="SA116" s="181"/>
      <c r="SB116" s="182"/>
      <c r="SC116" s="181"/>
      <c r="SD116" s="182"/>
      <c r="SE116" s="181"/>
      <c r="SF116" s="182"/>
      <c r="SG116" s="181"/>
      <c r="SH116" s="182"/>
      <c r="SI116" s="181"/>
      <c r="SJ116" s="182"/>
      <c r="SK116" s="181"/>
      <c r="SL116" s="182"/>
      <c r="SM116" s="181"/>
      <c r="SN116" s="182"/>
      <c r="SO116" s="181"/>
      <c r="SP116" s="182"/>
      <c r="SQ116" s="181"/>
      <c r="SR116" s="182"/>
      <c r="SS116" s="181"/>
      <c r="ST116" s="182"/>
      <c r="SU116" s="181"/>
      <c r="SV116" s="182"/>
      <c r="SW116" s="181"/>
      <c r="SX116" s="182"/>
      <c r="SY116" s="181"/>
      <c r="SZ116" s="182"/>
      <c r="TA116" s="181"/>
      <c r="TB116" s="182"/>
      <c r="TC116" s="181"/>
      <c r="TD116" s="182"/>
      <c r="TE116" s="181"/>
      <c r="TF116" s="182"/>
      <c r="TG116" s="181"/>
      <c r="TH116" s="182"/>
      <c r="TI116" s="181"/>
      <c r="TJ116" s="182"/>
      <c r="TK116" s="181"/>
      <c r="TL116" s="182"/>
      <c r="TM116" s="181"/>
      <c r="TN116" s="182"/>
      <c r="TO116" s="181"/>
      <c r="TP116" s="182"/>
      <c r="TQ116" s="181"/>
      <c r="TR116" s="182"/>
      <c r="TS116" s="181"/>
      <c r="TT116" s="182"/>
      <c r="TU116" s="181"/>
      <c r="TV116" s="182"/>
      <c r="TW116" s="181"/>
      <c r="TX116" s="182"/>
      <c r="TY116" s="181"/>
      <c r="TZ116" s="182"/>
      <c r="UA116" s="181"/>
      <c r="UB116" s="182"/>
      <c r="UC116" s="181"/>
      <c r="UD116" s="182"/>
      <c r="UE116" s="181"/>
      <c r="UF116" s="182"/>
      <c r="UG116" s="181"/>
      <c r="UH116" s="182"/>
      <c r="UI116" s="181"/>
      <c r="UJ116" s="182"/>
      <c r="UK116" s="181"/>
      <c r="UL116" s="182"/>
      <c r="UM116" s="181"/>
      <c r="UN116" s="182"/>
      <c r="UO116" s="181"/>
      <c r="UP116" s="182"/>
      <c r="UQ116" s="181"/>
      <c r="UR116" s="182"/>
      <c r="US116" s="181"/>
      <c r="UT116" s="182"/>
      <c r="UU116" s="181"/>
      <c r="UV116" s="182"/>
      <c r="UW116" s="181"/>
      <c r="UX116" s="182"/>
      <c r="UY116" s="181"/>
      <c r="UZ116" s="182"/>
      <c r="VA116" s="181"/>
      <c r="VB116" s="182"/>
      <c r="VC116" s="181"/>
      <c r="VD116" s="182"/>
      <c r="VE116" s="181"/>
      <c r="VF116" s="182"/>
      <c r="VG116" s="181"/>
      <c r="VH116" s="182"/>
      <c r="VI116" s="181"/>
      <c r="VJ116" s="182"/>
      <c r="VK116" s="181"/>
      <c r="VL116" s="182"/>
      <c r="VM116" s="181"/>
      <c r="VN116" s="182"/>
      <c r="VO116" s="181"/>
      <c r="VP116" s="182"/>
      <c r="VQ116" s="181"/>
      <c r="VR116" s="182"/>
      <c r="VS116" s="181"/>
      <c r="VT116" s="182"/>
      <c r="VU116" s="181"/>
      <c r="VV116" s="182"/>
      <c r="VW116" s="181"/>
      <c r="VX116" s="182"/>
      <c r="VY116" s="181"/>
      <c r="VZ116" s="182"/>
      <c r="WA116" s="181"/>
      <c r="WB116" s="182"/>
      <c r="WC116" s="181"/>
      <c r="WD116" s="182"/>
      <c r="WE116" s="181"/>
      <c r="WF116" s="182"/>
      <c r="WG116" s="181"/>
      <c r="WH116" s="182"/>
      <c r="WI116" s="181"/>
      <c r="WJ116" s="182"/>
      <c r="WK116" s="181"/>
      <c r="WL116" s="182"/>
      <c r="WM116" s="181"/>
      <c r="WN116" s="182"/>
      <c r="WO116" s="181"/>
      <c r="WP116" s="182"/>
      <c r="WQ116" s="181"/>
      <c r="WR116" s="182"/>
      <c r="WS116" s="181"/>
      <c r="WT116" s="182"/>
      <c r="WU116" s="181"/>
      <c r="WV116" s="182"/>
      <c r="WW116" s="181"/>
      <c r="WX116" s="182"/>
      <c r="WY116" s="181"/>
      <c r="WZ116" s="182"/>
      <c r="XA116" s="181"/>
      <c r="XB116" s="182"/>
      <c r="XC116" s="181"/>
      <c r="XD116" s="182"/>
      <c r="XE116" s="181"/>
      <c r="XF116" s="182"/>
      <c r="XG116" s="181"/>
      <c r="XH116" s="182"/>
      <c r="XI116" s="181"/>
      <c r="XJ116" s="182"/>
      <c r="XK116" s="181"/>
      <c r="XL116" s="182"/>
      <c r="XM116" s="181"/>
      <c r="XN116" s="182"/>
      <c r="XO116" s="181"/>
      <c r="XP116" s="182"/>
      <c r="XQ116" s="181"/>
      <c r="XR116" s="182"/>
      <c r="XS116" s="181"/>
      <c r="XT116" s="182"/>
      <c r="XU116" s="181"/>
      <c r="XV116" s="182"/>
      <c r="XW116" s="181"/>
      <c r="XX116" s="182"/>
      <c r="XY116" s="181"/>
      <c r="XZ116" s="182"/>
      <c r="YA116" s="181"/>
      <c r="YB116" s="182"/>
      <c r="YC116" s="181"/>
      <c r="YD116" s="182"/>
      <c r="YE116" s="181"/>
      <c r="YF116" s="182"/>
      <c r="YG116" s="181"/>
      <c r="YH116" s="182"/>
      <c r="YI116" s="181"/>
      <c r="YJ116" s="182"/>
      <c r="YK116" s="181"/>
      <c r="YL116" s="182"/>
      <c r="YM116" s="181"/>
      <c r="YN116" s="182"/>
      <c r="YO116" s="181"/>
      <c r="YP116" s="182"/>
      <c r="YQ116" s="181"/>
      <c r="YR116" s="182"/>
      <c r="YS116" s="181"/>
      <c r="YT116" s="182"/>
      <c r="YU116" s="181"/>
      <c r="YV116" s="182"/>
      <c r="YW116" s="181"/>
      <c r="YX116" s="182"/>
      <c r="YY116" s="181"/>
      <c r="YZ116" s="182"/>
      <c r="ZA116" s="181"/>
      <c r="ZB116" s="182"/>
      <c r="ZC116" s="181"/>
      <c r="ZD116" s="182"/>
      <c r="ZE116" s="181"/>
      <c r="ZF116" s="182"/>
      <c r="ZG116" s="181"/>
      <c r="ZH116" s="182"/>
      <c r="ZI116" s="181"/>
      <c r="ZJ116" s="182"/>
      <c r="ZK116" s="181"/>
      <c r="ZL116" s="182"/>
      <c r="ZM116" s="181"/>
      <c r="ZN116" s="182"/>
      <c r="ZO116" s="181"/>
      <c r="ZP116" s="182"/>
      <c r="ZQ116" s="181"/>
      <c r="ZR116" s="182"/>
      <c r="ZS116" s="181"/>
      <c r="ZT116" s="182"/>
      <c r="ZU116" s="181"/>
      <c r="ZV116" s="182"/>
      <c r="ZW116" s="181"/>
      <c r="ZX116" s="182"/>
      <c r="ZY116" s="181"/>
      <c r="ZZ116" s="182"/>
      <c r="AAA116" s="181"/>
      <c r="AAB116" s="182"/>
      <c r="AAC116" s="181"/>
      <c r="AAD116" s="182"/>
      <c r="AAE116" s="181"/>
      <c r="AAF116" s="182"/>
      <c r="AAG116" s="181"/>
      <c r="AAH116" s="182"/>
      <c r="AAI116" s="181"/>
      <c r="AAJ116" s="182"/>
      <c r="AAK116" s="181"/>
      <c r="AAL116" s="182"/>
      <c r="AAM116" s="181"/>
      <c r="AAN116" s="182"/>
      <c r="AAO116" s="181"/>
      <c r="AAP116" s="182"/>
      <c r="AAQ116" s="181"/>
      <c r="AAR116" s="182"/>
      <c r="AAS116" s="181"/>
      <c r="AAT116" s="182"/>
      <c r="AAU116" s="181"/>
      <c r="AAV116" s="182"/>
      <c r="AAW116" s="181"/>
      <c r="AAX116" s="182"/>
      <c r="AAY116" s="181"/>
      <c r="AAZ116" s="182"/>
      <c r="ABA116" s="181"/>
      <c r="ABB116" s="182"/>
      <c r="ABC116" s="181"/>
      <c r="ABD116" s="182"/>
      <c r="ABE116" s="181"/>
      <c r="ABF116" s="182"/>
      <c r="ABG116" s="181"/>
      <c r="ABH116" s="182"/>
      <c r="ABI116" s="181"/>
      <c r="ABJ116" s="182"/>
      <c r="ABK116" s="181"/>
      <c r="ABL116" s="182"/>
      <c r="ABM116" s="181"/>
      <c r="ABN116" s="182"/>
      <c r="ABO116" s="181"/>
      <c r="ABP116" s="182"/>
      <c r="ABQ116" s="181"/>
      <c r="ABR116" s="182"/>
      <c r="ABS116" s="181"/>
      <c r="ABT116" s="182"/>
      <c r="ABU116" s="181"/>
      <c r="ABV116" s="182"/>
      <c r="ABW116" s="181"/>
      <c r="ABX116" s="182"/>
      <c r="ABY116" s="181"/>
      <c r="ABZ116" s="182"/>
      <c r="ACA116" s="181"/>
      <c r="ACB116" s="182"/>
      <c r="ACC116" s="181"/>
      <c r="ACD116" s="182"/>
      <c r="ACE116" s="181"/>
      <c r="ACF116" s="182"/>
      <c r="ACG116" s="181"/>
      <c r="ACH116" s="182"/>
      <c r="ACI116" s="181"/>
      <c r="ACJ116" s="182"/>
      <c r="ACK116" s="181"/>
      <c r="ACL116" s="182"/>
      <c r="ACM116" s="181"/>
      <c r="ACN116" s="182"/>
      <c r="ACO116" s="181"/>
      <c r="ACP116" s="182"/>
      <c r="ACQ116" s="181"/>
      <c r="ACR116" s="182"/>
      <c r="ACS116" s="181"/>
      <c r="ACT116" s="182"/>
      <c r="ACU116" s="181"/>
      <c r="ACV116" s="182"/>
      <c r="ACW116" s="181"/>
      <c r="ACX116" s="182"/>
      <c r="ACY116" s="181"/>
      <c r="ACZ116" s="182"/>
      <c r="ADA116" s="181"/>
      <c r="ADB116" s="182"/>
      <c r="ADC116" s="181"/>
      <c r="ADD116" s="182"/>
      <c r="ADE116" s="181"/>
      <c r="ADF116" s="182"/>
      <c r="ADG116" s="181"/>
      <c r="ADH116" s="182"/>
      <c r="ADI116" s="181"/>
      <c r="ADJ116" s="182"/>
      <c r="ADK116" s="181"/>
      <c r="ADL116" s="182"/>
      <c r="ADM116" s="181"/>
      <c r="ADN116" s="182"/>
      <c r="ADO116" s="181"/>
      <c r="ADP116" s="182"/>
      <c r="ADQ116" s="181"/>
      <c r="ADR116" s="182"/>
      <c r="ADS116" s="181"/>
      <c r="ADT116" s="182"/>
      <c r="ADU116" s="181"/>
      <c r="ADV116" s="182"/>
      <c r="ADW116" s="181"/>
      <c r="ADX116" s="182"/>
      <c r="ADY116" s="181"/>
      <c r="ADZ116" s="182"/>
      <c r="AEA116" s="181"/>
      <c r="AEB116" s="182"/>
      <c r="AEC116" s="181"/>
      <c r="AED116" s="182"/>
      <c r="AEE116" s="181"/>
      <c r="AEF116" s="182"/>
      <c r="AEG116" s="181"/>
      <c r="AEH116" s="182"/>
      <c r="AEI116" s="181"/>
      <c r="AEJ116" s="182"/>
      <c r="AEK116" s="181"/>
      <c r="AEL116" s="182"/>
      <c r="AEM116" s="181"/>
      <c r="AEN116" s="182"/>
      <c r="AEO116" s="181"/>
      <c r="AEP116" s="182"/>
      <c r="AEQ116" s="181"/>
      <c r="AER116" s="182"/>
      <c r="AES116" s="181"/>
      <c r="AET116" s="182"/>
      <c r="AEU116" s="181"/>
      <c r="AEV116" s="182"/>
      <c r="AEW116" s="181"/>
      <c r="AEX116" s="182"/>
      <c r="AEY116" s="181"/>
      <c r="AEZ116" s="182"/>
      <c r="AFA116" s="181"/>
      <c r="AFB116" s="182"/>
      <c r="AFC116" s="181"/>
      <c r="AFD116" s="182"/>
      <c r="AFE116" s="181"/>
      <c r="AFF116" s="182"/>
      <c r="AFG116" s="181"/>
      <c r="AFH116" s="182"/>
      <c r="AFI116" s="181"/>
      <c r="AFJ116" s="182"/>
      <c r="AFK116" s="181"/>
      <c r="AFL116" s="182"/>
      <c r="AFM116" s="181"/>
      <c r="AFN116" s="182"/>
      <c r="AFO116" s="181"/>
      <c r="AFP116" s="182"/>
      <c r="AFQ116" s="181"/>
      <c r="AFR116" s="182"/>
      <c r="AFS116" s="181"/>
      <c r="AFT116" s="182"/>
      <c r="AFU116" s="181"/>
      <c r="AFV116" s="182"/>
      <c r="AFW116" s="181"/>
      <c r="AFX116" s="182"/>
      <c r="AFY116" s="181"/>
      <c r="AFZ116" s="182"/>
      <c r="AGA116" s="181"/>
      <c r="AGB116" s="182"/>
      <c r="AGC116" s="181"/>
      <c r="AGD116" s="182"/>
      <c r="AGE116" s="181"/>
      <c r="AGF116" s="182"/>
      <c r="AGG116" s="181"/>
      <c r="AGH116" s="182"/>
      <c r="AGI116" s="181"/>
      <c r="AGJ116" s="182"/>
      <c r="AGK116" s="181"/>
      <c r="AGL116" s="182"/>
      <c r="AGM116" s="181"/>
      <c r="AGN116" s="182"/>
      <c r="AGO116" s="181"/>
      <c r="AGP116" s="182"/>
      <c r="AGQ116" s="181"/>
      <c r="AGR116" s="182"/>
      <c r="AGS116" s="181"/>
      <c r="AGT116" s="182"/>
      <c r="AGU116" s="181"/>
      <c r="AGV116" s="182"/>
      <c r="AGW116" s="181"/>
      <c r="AGX116" s="182"/>
      <c r="AGY116" s="181"/>
      <c r="AGZ116" s="182"/>
      <c r="AHA116" s="181"/>
      <c r="AHB116" s="182"/>
      <c r="AHC116" s="181"/>
      <c r="AHD116" s="182"/>
      <c r="AHE116" s="181"/>
      <c r="AHF116" s="182"/>
      <c r="AHG116" s="181"/>
      <c r="AHH116" s="182"/>
      <c r="AHI116" s="181"/>
      <c r="AHJ116" s="182"/>
      <c r="AHK116" s="181"/>
      <c r="AHL116" s="182"/>
      <c r="AHM116" s="181"/>
      <c r="AHN116" s="182"/>
      <c r="AHO116" s="181"/>
      <c r="AHP116" s="182"/>
      <c r="AHQ116" s="181"/>
      <c r="AHR116" s="182"/>
      <c r="AHS116" s="181"/>
      <c r="AHT116" s="182"/>
      <c r="AHU116" s="181"/>
      <c r="AHV116" s="182"/>
      <c r="AHW116" s="181"/>
      <c r="AHX116" s="182"/>
      <c r="AHY116" s="181"/>
      <c r="AHZ116" s="182"/>
      <c r="AIA116" s="181"/>
      <c r="AIB116" s="182"/>
      <c r="AIC116" s="181"/>
      <c r="AID116" s="182"/>
      <c r="AIE116" s="181"/>
      <c r="AIF116" s="182"/>
      <c r="AIG116" s="181"/>
      <c r="AIH116" s="182"/>
      <c r="AII116" s="181"/>
      <c r="AIJ116" s="182"/>
      <c r="AIK116" s="181"/>
      <c r="AIL116" s="182"/>
      <c r="AIM116" s="181"/>
      <c r="AIN116" s="182"/>
      <c r="AIO116" s="181"/>
      <c r="AIP116" s="182"/>
      <c r="AIQ116" s="181"/>
      <c r="AIR116" s="182"/>
      <c r="AIS116" s="181"/>
      <c r="AIT116" s="182"/>
      <c r="AIU116" s="181"/>
      <c r="AIV116" s="182"/>
      <c r="AIW116" s="181"/>
      <c r="AIX116" s="182"/>
      <c r="AIY116" s="181"/>
      <c r="AIZ116" s="182"/>
      <c r="AJA116" s="181"/>
      <c r="AJB116" s="182"/>
      <c r="AJC116" s="181"/>
      <c r="AJD116" s="182"/>
      <c r="AJE116" s="181"/>
      <c r="AJF116" s="182"/>
      <c r="AJG116" s="181"/>
      <c r="AJH116" s="182"/>
      <c r="AJI116" s="181"/>
      <c r="AJJ116" s="182"/>
      <c r="AJK116" s="181"/>
      <c r="AJL116" s="182"/>
      <c r="AJM116" s="181"/>
      <c r="AJN116" s="182"/>
      <c r="AJO116" s="181"/>
      <c r="AJP116" s="182"/>
      <c r="AJQ116" s="181"/>
      <c r="AJR116" s="182"/>
      <c r="AJS116" s="181"/>
      <c r="AJT116" s="182"/>
      <c r="AJU116" s="181"/>
      <c r="AJV116" s="182"/>
      <c r="AJW116" s="181"/>
      <c r="AJX116" s="182"/>
      <c r="AJY116" s="181"/>
      <c r="AJZ116" s="182"/>
      <c r="AKA116" s="181"/>
      <c r="AKB116" s="182"/>
      <c r="AKC116" s="181"/>
      <c r="AKD116" s="182"/>
      <c r="AKE116" s="181"/>
      <c r="AKF116" s="182"/>
      <c r="AKG116" s="181"/>
      <c r="AKH116" s="182"/>
      <c r="AKI116" s="181"/>
      <c r="AKJ116" s="182"/>
      <c r="AKK116" s="181"/>
      <c r="AKL116" s="182"/>
      <c r="AKM116" s="181"/>
      <c r="AKN116" s="182"/>
      <c r="AKO116" s="181"/>
      <c r="AKP116" s="182"/>
      <c r="AKQ116" s="181"/>
      <c r="AKR116" s="182"/>
      <c r="AKS116" s="181"/>
      <c r="AKT116" s="182"/>
      <c r="AKU116" s="181"/>
      <c r="AKV116" s="182"/>
      <c r="AKW116" s="181"/>
      <c r="AKX116" s="182"/>
      <c r="AKY116" s="181"/>
      <c r="AKZ116" s="182"/>
      <c r="ALA116" s="181"/>
      <c r="ALB116" s="182"/>
      <c r="ALC116" s="181"/>
      <c r="ALD116" s="182"/>
      <c r="ALE116" s="181"/>
      <c r="ALF116" s="182"/>
      <c r="ALG116" s="181"/>
      <c r="ALH116" s="182"/>
      <c r="ALI116" s="181"/>
      <c r="ALJ116" s="182"/>
      <c r="ALK116" s="181"/>
      <c r="ALL116" s="182"/>
      <c r="ALM116" s="181"/>
      <c r="ALN116" s="182"/>
      <c r="ALO116" s="181"/>
      <c r="ALP116" s="182"/>
      <c r="ALQ116" s="181"/>
      <c r="ALR116" s="182"/>
      <c r="ALS116" s="181"/>
      <c r="ALT116" s="182"/>
      <c r="ALU116" s="181"/>
      <c r="ALV116" s="182"/>
      <c r="ALW116" s="181"/>
      <c r="ALX116" s="182"/>
      <c r="ALY116" s="181"/>
      <c r="ALZ116" s="182"/>
      <c r="AMA116" s="181"/>
      <c r="AMB116" s="182"/>
      <c r="AMC116" s="181"/>
      <c r="AMD116" s="182"/>
      <c r="AME116" s="181"/>
      <c r="AMF116" s="182"/>
      <c r="AMG116" s="181"/>
      <c r="AMH116" s="182"/>
      <c r="AMI116" s="181"/>
      <c r="AMJ116" s="182"/>
      <c r="AMK116" s="181"/>
      <c r="AML116" s="182"/>
      <c r="AMM116" s="181"/>
      <c r="AMN116" s="182"/>
      <c r="AMO116" s="181"/>
      <c r="AMP116" s="182"/>
      <c r="AMQ116" s="181"/>
      <c r="AMR116" s="182"/>
      <c r="AMS116" s="181"/>
      <c r="AMT116" s="182"/>
      <c r="AMU116" s="181"/>
      <c r="AMV116" s="182"/>
      <c r="AMW116" s="181"/>
      <c r="AMX116" s="182"/>
      <c r="AMY116" s="181"/>
      <c r="AMZ116" s="182"/>
      <c r="ANA116" s="181"/>
      <c r="ANB116" s="182"/>
      <c r="ANC116" s="181"/>
      <c r="AND116" s="182"/>
      <c r="ANE116" s="181"/>
      <c r="ANF116" s="182"/>
      <c r="ANG116" s="181"/>
      <c r="ANH116" s="182"/>
      <c r="ANI116" s="181"/>
      <c r="ANJ116" s="182"/>
      <c r="ANK116" s="181"/>
      <c r="ANL116" s="182"/>
      <c r="ANM116" s="181"/>
      <c r="ANN116" s="182"/>
      <c r="ANO116" s="181"/>
      <c r="ANP116" s="182"/>
      <c r="ANQ116" s="181"/>
      <c r="ANR116" s="182"/>
      <c r="ANS116" s="181"/>
      <c r="ANT116" s="182"/>
      <c r="ANU116" s="181"/>
      <c r="ANV116" s="182"/>
      <c r="ANW116" s="181"/>
      <c r="ANX116" s="182"/>
      <c r="ANY116" s="181"/>
      <c r="ANZ116" s="182"/>
      <c r="AOA116" s="181"/>
      <c r="AOB116" s="182"/>
      <c r="AOC116" s="181"/>
      <c r="AOD116" s="182"/>
      <c r="AOE116" s="181"/>
      <c r="AOF116" s="182"/>
      <c r="AOG116" s="181"/>
      <c r="AOH116" s="182"/>
      <c r="AOI116" s="181"/>
      <c r="AOJ116" s="182"/>
      <c r="AOK116" s="181"/>
      <c r="AOL116" s="182"/>
      <c r="AOM116" s="181"/>
      <c r="AON116" s="182"/>
      <c r="AOO116" s="181"/>
      <c r="AOP116" s="182"/>
      <c r="AOQ116" s="181"/>
      <c r="AOR116" s="182"/>
      <c r="AOS116" s="181"/>
      <c r="AOT116" s="182"/>
      <c r="AOU116" s="181"/>
      <c r="AOV116" s="182"/>
      <c r="AOW116" s="181"/>
      <c r="AOX116" s="182"/>
      <c r="AOY116" s="181"/>
      <c r="AOZ116" s="182"/>
      <c r="APA116" s="181"/>
      <c r="APB116" s="182"/>
      <c r="APC116" s="181"/>
      <c r="APD116" s="182"/>
      <c r="APE116" s="181"/>
      <c r="APF116" s="182"/>
      <c r="APG116" s="181"/>
      <c r="APH116" s="182"/>
      <c r="API116" s="181"/>
      <c r="APJ116" s="182"/>
      <c r="APK116" s="181"/>
      <c r="APL116" s="182"/>
      <c r="APM116" s="181"/>
      <c r="APN116" s="182"/>
      <c r="APO116" s="181"/>
      <c r="APP116" s="182"/>
      <c r="APQ116" s="181"/>
      <c r="APR116" s="182"/>
      <c r="APS116" s="181"/>
      <c r="APT116" s="182"/>
      <c r="APU116" s="181"/>
      <c r="APV116" s="182"/>
      <c r="APW116" s="181"/>
      <c r="APX116" s="182"/>
      <c r="APY116" s="181"/>
      <c r="APZ116" s="182"/>
      <c r="AQA116" s="181"/>
      <c r="AQB116" s="182"/>
      <c r="AQC116" s="181"/>
      <c r="AQD116" s="182"/>
      <c r="AQE116" s="181"/>
      <c r="AQF116" s="182"/>
      <c r="AQG116" s="181"/>
      <c r="AQH116" s="182"/>
      <c r="AQI116" s="181"/>
      <c r="AQJ116" s="182"/>
      <c r="AQK116" s="181"/>
      <c r="AQL116" s="182"/>
      <c r="AQM116" s="181"/>
      <c r="AQN116" s="182"/>
      <c r="AQO116" s="181"/>
      <c r="AQP116" s="182"/>
      <c r="AQQ116" s="181"/>
      <c r="AQR116" s="182"/>
      <c r="AQS116" s="181"/>
      <c r="AQT116" s="182"/>
      <c r="AQU116" s="181"/>
      <c r="AQV116" s="182"/>
      <c r="AQW116" s="181"/>
      <c r="AQX116" s="182"/>
      <c r="AQY116" s="181"/>
      <c r="AQZ116" s="182"/>
      <c r="ARA116" s="181"/>
      <c r="ARB116" s="182"/>
      <c r="ARC116" s="181"/>
      <c r="ARD116" s="182"/>
      <c r="ARE116" s="181"/>
      <c r="ARF116" s="182"/>
      <c r="ARG116" s="181"/>
      <c r="ARH116" s="182"/>
      <c r="ARI116" s="181"/>
      <c r="ARJ116" s="182"/>
      <c r="ARK116" s="181"/>
      <c r="ARL116" s="182"/>
      <c r="ARM116" s="181"/>
      <c r="ARN116" s="182"/>
      <c r="ARO116" s="181"/>
      <c r="ARP116" s="182"/>
      <c r="ARQ116" s="181"/>
      <c r="ARR116" s="182"/>
      <c r="ARS116" s="181"/>
      <c r="ART116" s="182"/>
      <c r="ARU116" s="181"/>
      <c r="ARV116" s="182"/>
      <c r="ARW116" s="181"/>
      <c r="ARX116" s="182"/>
      <c r="ARY116" s="181"/>
      <c r="ARZ116" s="182"/>
      <c r="ASA116" s="181"/>
      <c r="ASB116" s="182"/>
      <c r="ASC116" s="181"/>
      <c r="ASD116" s="182"/>
      <c r="ASE116" s="181"/>
      <c r="ASF116" s="182"/>
      <c r="ASG116" s="181"/>
      <c r="ASH116" s="182"/>
      <c r="ASI116" s="181"/>
      <c r="ASJ116" s="182"/>
      <c r="ASK116" s="181"/>
      <c r="ASL116" s="182"/>
      <c r="ASM116" s="181"/>
      <c r="ASN116" s="182"/>
      <c r="ASO116" s="181"/>
      <c r="ASP116" s="182"/>
      <c r="ASQ116" s="181"/>
      <c r="ASR116" s="182"/>
      <c r="ASS116" s="181"/>
      <c r="AST116" s="182"/>
      <c r="ASU116" s="181"/>
      <c r="ASV116" s="182"/>
      <c r="ASW116" s="181"/>
      <c r="ASX116" s="182"/>
      <c r="ASY116" s="181"/>
      <c r="ASZ116" s="182"/>
      <c r="ATA116" s="181"/>
      <c r="ATB116" s="182"/>
      <c r="ATC116" s="181"/>
      <c r="ATD116" s="182"/>
      <c r="ATE116" s="181"/>
      <c r="ATF116" s="182"/>
      <c r="ATG116" s="181"/>
      <c r="ATH116" s="182"/>
      <c r="ATI116" s="181"/>
      <c r="ATJ116" s="182"/>
      <c r="ATK116" s="181"/>
      <c r="ATL116" s="182"/>
      <c r="ATM116" s="181"/>
      <c r="ATN116" s="182"/>
      <c r="ATO116" s="181"/>
      <c r="ATP116" s="182"/>
      <c r="ATQ116" s="181"/>
      <c r="ATR116" s="182"/>
      <c r="ATS116" s="181"/>
      <c r="ATT116" s="182"/>
      <c r="ATU116" s="181"/>
      <c r="ATV116" s="182"/>
      <c r="ATW116" s="181"/>
      <c r="ATX116" s="182"/>
      <c r="ATY116" s="181"/>
      <c r="ATZ116" s="182"/>
      <c r="AUA116" s="181"/>
      <c r="AUB116" s="182"/>
      <c r="AUC116" s="181"/>
      <c r="AUD116" s="182"/>
      <c r="AUE116" s="181"/>
      <c r="AUF116" s="182"/>
      <c r="AUG116" s="181"/>
      <c r="AUH116" s="182"/>
      <c r="AUI116" s="181"/>
      <c r="AUJ116" s="182"/>
      <c r="AUK116" s="181"/>
      <c r="AUL116" s="182"/>
      <c r="AUM116" s="181"/>
      <c r="AUN116" s="182"/>
      <c r="AUO116" s="181"/>
      <c r="AUP116" s="182"/>
      <c r="AUQ116" s="181"/>
      <c r="AUR116" s="182"/>
      <c r="AUS116" s="181"/>
      <c r="AUT116" s="182"/>
      <c r="AUU116" s="181"/>
      <c r="AUV116" s="182"/>
      <c r="AUW116" s="181"/>
      <c r="AUX116" s="182"/>
      <c r="AUY116" s="181"/>
      <c r="AUZ116" s="182"/>
      <c r="AVA116" s="181"/>
      <c r="AVB116" s="182"/>
      <c r="AVC116" s="181"/>
      <c r="AVD116" s="182"/>
      <c r="AVE116" s="181"/>
      <c r="AVF116" s="182"/>
      <c r="AVG116" s="181"/>
      <c r="AVH116" s="182"/>
      <c r="AVI116" s="181"/>
      <c r="AVJ116" s="182"/>
      <c r="AVK116" s="181"/>
      <c r="AVL116" s="182"/>
      <c r="AVM116" s="181"/>
      <c r="AVN116" s="182"/>
      <c r="AVO116" s="181"/>
      <c r="AVP116" s="182"/>
      <c r="AVQ116" s="181"/>
      <c r="AVR116" s="182"/>
      <c r="AVS116" s="181"/>
      <c r="AVT116" s="182"/>
      <c r="AVU116" s="181"/>
      <c r="AVV116" s="182"/>
      <c r="AVW116" s="181"/>
      <c r="AVX116" s="182"/>
      <c r="AVY116" s="181"/>
      <c r="AVZ116" s="182"/>
      <c r="AWA116" s="181"/>
      <c r="AWB116" s="182"/>
      <c r="AWC116" s="181"/>
      <c r="AWD116" s="182"/>
      <c r="AWE116" s="181"/>
      <c r="AWF116" s="182"/>
      <c r="AWG116" s="181"/>
      <c r="AWH116" s="182"/>
      <c r="AWI116" s="181"/>
      <c r="AWJ116" s="182"/>
      <c r="AWK116" s="181"/>
      <c r="AWL116" s="182"/>
      <c r="AWM116" s="181"/>
      <c r="AWN116" s="182"/>
      <c r="AWO116" s="181"/>
      <c r="AWP116" s="182"/>
      <c r="AWQ116" s="181"/>
      <c r="AWR116" s="182"/>
      <c r="AWS116" s="181"/>
      <c r="AWT116" s="182"/>
      <c r="AWU116" s="181"/>
      <c r="AWV116" s="182"/>
      <c r="AWW116" s="181"/>
      <c r="AWX116" s="182"/>
      <c r="AWY116" s="181"/>
      <c r="AWZ116" s="182"/>
      <c r="AXA116" s="181"/>
      <c r="AXB116" s="182"/>
      <c r="AXC116" s="181"/>
      <c r="AXD116" s="182"/>
      <c r="AXE116" s="181"/>
      <c r="AXF116" s="182"/>
      <c r="AXG116" s="181"/>
      <c r="AXH116" s="182"/>
      <c r="AXI116" s="181"/>
      <c r="AXJ116" s="182"/>
      <c r="AXK116" s="181"/>
      <c r="AXL116" s="182"/>
      <c r="AXM116" s="181"/>
      <c r="AXN116" s="182"/>
      <c r="AXO116" s="181"/>
      <c r="AXP116" s="182"/>
      <c r="AXQ116" s="181"/>
      <c r="AXR116" s="182"/>
      <c r="AXS116" s="181"/>
      <c r="AXT116" s="182"/>
      <c r="AXU116" s="181"/>
      <c r="AXV116" s="182"/>
      <c r="AXW116" s="181"/>
      <c r="AXX116" s="182"/>
      <c r="AXY116" s="181"/>
      <c r="AXZ116" s="182"/>
      <c r="AYA116" s="181"/>
      <c r="AYB116" s="182"/>
      <c r="AYC116" s="181"/>
      <c r="AYD116" s="182"/>
      <c r="AYE116" s="181"/>
      <c r="AYF116" s="182"/>
      <c r="AYG116" s="181"/>
      <c r="AYH116" s="182"/>
      <c r="AYI116" s="181"/>
      <c r="AYJ116" s="182"/>
      <c r="AYK116" s="181"/>
      <c r="AYL116" s="182"/>
      <c r="AYM116" s="181"/>
      <c r="AYN116" s="182"/>
      <c r="AYO116" s="181"/>
      <c r="AYP116" s="182"/>
      <c r="AYQ116" s="181"/>
      <c r="AYR116" s="182"/>
      <c r="AYS116" s="181"/>
      <c r="AYT116" s="182"/>
      <c r="AYU116" s="181"/>
      <c r="AYV116" s="182"/>
      <c r="AYW116" s="181"/>
      <c r="AYX116" s="182"/>
      <c r="AYY116" s="181"/>
      <c r="AYZ116" s="182"/>
      <c r="AZA116" s="181"/>
      <c r="AZB116" s="182"/>
      <c r="AZC116" s="181"/>
      <c r="AZD116" s="182"/>
      <c r="AZE116" s="181"/>
      <c r="AZF116" s="182"/>
      <c r="AZG116" s="181"/>
      <c r="AZH116" s="182"/>
      <c r="AZI116" s="181"/>
      <c r="AZJ116" s="182"/>
      <c r="AZK116" s="181"/>
      <c r="AZL116" s="182"/>
      <c r="AZM116" s="181"/>
      <c r="AZN116" s="182"/>
      <c r="AZO116" s="181"/>
      <c r="AZP116" s="182"/>
      <c r="AZQ116" s="181"/>
      <c r="AZR116" s="182"/>
      <c r="AZS116" s="181"/>
      <c r="AZT116" s="182"/>
      <c r="AZU116" s="181"/>
      <c r="AZV116" s="182"/>
      <c r="AZW116" s="181"/>
      <c r="AZX116" s="182"/>
      <c r="AZY116" s="181"/>
      <c r="AZZ116" s="182"/>
      <c r="BAA116" s="181"/>
      <c r="BAB116" s="182"/>
      <c r="BAC116" s="181"/>
      <c r="BAD116" s="182"/>
      <c r="BAE116" s="181"/>
      <c r="BAF116" s="182"/>
      <c r="BAG116" s="181"/>
      <c r="BAH116" s="182"/>
      <c r="BAI116" s="181"/>
      <c r="BAJ116" s="182"/>
      <c r="BAK116" s="181"/>
      <c r="BAL116" s="182"/>
      <c r="BAM116" s="181"/>
      <c r="BAN116" s="182"/>
      <c r="BAO116" s="181"/>
      <c r="BAP116" s="182"/>
      <c r="BAQ116" s="181"/>
      <c r="BAR116" s="182"/>
      <c r="BAS116" s="181"/>
      <c r="BAT116" s="182"/>
      <c r="BAU116" s="181"/>
      <c r="BAV116" s="182"/>
      <c r="BAW116" s="181"/>
      <c r="BAX116" s="182"/>
      <c r="BAY116" s="181"/>
      <c r="BAZ116" s="182"/>
      <c r="BBA116" s="181"/>
      <c r="BBB116" s="182"/>
      <c r="BBC116" s="181"/>
      <c r="BBD116" s="182"/>
      <c r="BBE116" s="181"/>
      <c r="BBF116" s="182"/>
      <c r="BBG116" s="181"/>
      <c r="BBH116" s="182"/>
      <c r="BBI116" s="181"/>
      <c r="BBJ116" s="182"/>
      <c r="BBK116" s="181"/>
      <c r="BBL116" s="182"/>
      <c r="BBM116" s="181"/>
      <c r="BBN116" s="182"/>
      <c r="BBO116" s="181"/>
      <c r="BBP116" s="182"/>
      <c r="BBQ116" s="181"/>
      <c r="BBR116" s="182"/>
      <c r="BBS116" s="181"/>
      <c r="BBT116" s="182"/>
      <c r="BBU116" s="181"/>
      <c r="BBV116" s="182"/>
      <c r="BBW116" s="181"/>
      <c r="BBX116" s="182"/>
      <c r="BBY116" s="181"/>
      <c r="BBZ116" s="182"/>
      <c r="BCA116" s="181"/>
      <c r="BCB116" s="182"/>
      <c r="BCC116" s="181"/>
      <c r="BCD116" s="182"/>
      <c r="BCE116" s="181"/>
      <c r="BCF116" s="182"/>
      <c r="BCG116" s="181"/>
      <c r="BCH116" s="182"/>
      <c r="BCI116" s="181"/>
      <c r="BCJ116" s="182"/>
      <c r="BCK116" s="181"/>
      <c r="BCL116" s="182"/>
      <c r="BCM116" s="181"/>
      <c r="BCN116" s="182"/>
      <c r="BCO116" s="181"/>
      <c r="BCP116" s="182"/>
      <c r="BCQ116" s="181"/>
      <c r="BCR116" s="182"/>
      <c r="BCS116" s="181"/>
      <c r="BCT116" s="182"/>
      <c r="BCU116" s="181"/>
      <c r="BCV116" s="182"/>
      <c r="BCW116" s="181"/>
      <c r="BCX116" s="182"/>
      <c r="BCY116" s="181"/>
      <c r="BCZ116" s="182"/>
      <c r="BDA116" s="181"/>
      <c r="BDB116" s="182"/>
      <c r="BDC116" s="181"/>
      <c r="BDD116" s="182"/>
      <c r="BDE116" s="181"/>
      <c r="BDF116" s="182"/>
      <c r="BDG116" s="181"/>
      <c r="BDH116" s="182"/>
      <c r="BDI116" s="181"/>
      <c r="BDJ116" s="182"/>
      <c r="BDK116" s="181"/>
      <c r="BDL116" s="182"/>
      <c r="BDM116" s="181"/>
      <c r="BDN116" s="182"/>
      <c r="BDO116" s="181"/>
      <c r="BDP116" s="182"/>
      <c r="BDQ116" s="181"/>
      <c r="BDR116" s="182"/>
      <c r="BDS116" s="181"/>
      <c r="BDT116" s="182"/>
      <c r="BDU116" s="181"/>
      <c r="BDV116" s="182"/>
      <c r="BDW116" s="181"/>
      <c r="BDX116" s="182"/>
      <c r="BDY116" s="181"/>
      <c r="BDZ116" s="182"/>
      <c r="BEA116" s="181"/>
      <c r="BEB116" s="182"/>
      <c r="BEC116" s="181"/>
      <c r="BED116" s="182"/>
      <c r="BEE116" s="181"/>
      <c r="BEF116" s="182"/>
      <c r="BEG116" s="181"/>
      <c r="BEH116" s="182"/>
      <c r="BEI116" s="181"/>
      <c r="BEJ116" s="182"/>
      <c r="BEK116" s="181"/>
      <c r="BEL116" s="182"/>
      <c r="BEM116" s="181"/>
      <c r="BEN116" s="182"/>
      <c r="BEO116" s="181"/>
      <c r="BEP116" s="182"/>
      <c r="BEQ116" s="181"/>
      <c r="BER116" s="182"/>
      <c r="BES116" s="181"/>
      <c r="BET116" s="182"/>
      <c r="BEU116" s="181"/>
      <c r="BEV116" s="182"/>
      <c r="BEW116" s="181"/>
      <c r="BEX116" s="182"/>
      <c r="BEY116" s="181"/>
      <c r="BEZ116" s="182"/>
      <c r="BFA116" s="181"/>
      <c r="BFB116" s="182"/>
      <c r="BFC116" s="181"/>
      <c r="BFD116" s="182"/>
      <c r="BFE116" s="181"/>
      <c r="BFF116" s="182"/>
      <c r="BFG116" s="181"/>
      <c r="BFH116" s="182"/>
      <c r="BFI116" s="181"/>
      <c r="BFJ116" s="182"/>
      <c r="BFK116" s="181"/>
      <c r="BFL116" s="182"/>
      <c r="BFM116" s="181"/>
      <c r="BFN116" s="182"/>
      <c r="BFO116" s="181"/>
      <c r="BFP116" s="182"/>
      <c r="BFQ116" s="181"/>
      <c r="BFR116" s="182"/>
      <c r="BFS116" s="181"/>
      <c r="BFT116" s="182"/>
      <c r="BFU116" s="181"/>
      <c r="BFV116" s="182"/>
      <c r="BFW116" s="181"/>
      <c r="BFX116" s="182"/>
      <c r="BFY116" s="181"/>
      <c r="BFZ116" s="182"/>
      <c r="BGA116" s="181"/>
      <c r="BGB116" s="182"/>
      <c r="BGC116" s="181"/>
      <c r="BGD116" s="182"/>
      <c r="BGE116" s="181"/>
      <c r="BGF116" s="182"/>
      <c r="BGG116" s="181"/>
      <c r="BGH116" s="182"/>
      <c r="BGI116" s="181"/>
      <c r="BGJ116" s="182"/>
      <c r="BGK116" s="181"/>
      <c r="BGL116" s="182"/>
      <c r="BGM116" s="181"/>
      <c r="BGN116" s="182"/>
      <c r="BGO116" s="181"/>
      <c r="BGP116" s="182"/>
      <c r="BGQ116" s="181"/>
      <c r="BGR116" s="182"/>
      <c r="BGS116" s="181"/>
      <c r="BGT116" s="182"/>
      <c r="BGU116" s="181"/>
      <c r="BGV116" s="182"/>
      <c r="BGW116" s="181"/>
      <c r="BGX116" s="182"/>
      <c r="BGY116" s="181"/>
      <c r="BGZ116" s="182"/>
      <c r="BHA116" s="181"/>
      <c r="BHB116" s="182"/>
      <c r="BHC116" s="181"/>
      <c r="BHD116" s="182"/>
      <c r="BHE116" s="181"/>
      <c r="BHF116" s="182"/>
      <c r="BHG116" s="181"/>
      <c r="BHH116" s="182"/>
      <c r="BHI116" s="181"/>
      <c r="BHJ116" s="182"/>
      <c r="BHK116" s="181"/>
      <c r="BHL116" s="182"/>
      <c r="BHM116" s="181"/>
      <c r="BHN116" s="182"/>
      <c r="BHO116" s="181"/>
      <c r="BHP116" s="182"/>
      <c r="BHQ116" s="181"/>
      <c r="BHR116" s="182"/>
      <c r="BHS116" s="181"/>
      <c r="BHT116" s="182"/>
      <c r="BHU116" s="181"/>
      <c r="BHV116" s="182"/>
      <c r="BHW116" s="181"/>
      <c r="BHX116" s="182"/>
      <c r="BHY116" s="181"/>
      <c r="BHZ116" s="182"/>
      <c r="BIA116" s="181"/>
      <c r="BIB116" s="182"/>
      <c r="BIC116" s="181"/>
      <c r="BID116" s="182"/>
      <c r="BIE116" s="181"/>
      <c r="BIF116" s="182"/>
      <c r="BIG116" s="181"/>
      <c r="BIH116" s="182"/>
      <c r="BII116" s="181"/>
      <c r="BIJ116" s="182"/>
      <c r="BIK116" s="181"/>
      <c r="BIL116" s="182"/>
      <c r="BIM116" s="181"/>
      <c r="BIN116" s="182"/>
      <c r="BIO116" s="181"/>
      <c r="BIP116" s="182"/>
      <c r="BIQ116" s="181"/>
      <c r="BIR116" s="182"/>
      <c r="BIS116" s="181"/>
      <c r="BIT116" s="182"/>
      <c r="BIU116" s="181"/>
      <c r="BIV116" s="182"/>
      <c r="BIW116" s="181"/>
      <c r="BIX116" s="182"/>
      <c r="BIY116" s="181"/>
      <c r="BIZ116" s="182"/>
      <c r="BJA116" s="181"/>
      <c r="BJB116" s="182"/>
      <c r="BJC116" s="181"/>
      <c r="BJD116" s="182"/>
      <c r="BJE116" s="181"/>
      <c r="BJF116" s="182"/>
      <c r="BJG116" s="181"/>
      <c r="BJH116" s="182"/>
      <c r="BJI116" s="181"/>
      <c r="BJJ116" s="182"/>
      <c r="BJK116" s="181"/>
      <c r="BJL116" s="182"/>
      <c r="BJM116" s="181"/>
      <c r="BJN116" s="182"/>
      <c r="BJO116" s="181"/>
      <c r="BJP116" s="182"/>
      <c r="BJQ116" s="181"/>
      <c r="BJR116" s="182"/>
      <c r="BJS116" s="181"/>
      <c r="BJT116" s="182"/>
      <c r="BJU116" s="181"/>
      <c r="BJV116" s="182"/>
      <c r="BJW116" s="181"/>
      <c r="BJX116" s="182"/>
      <c r="BJY116" s="181"/>
      <c r="BJZ116" s="182"/>
      <c r="BKA116" s="181"/>
      <c r="BKB116" s="182"/>
      <c r="BKC116" s="181"/>
      <c r="BKD116" s="182"/>
      <c r="BKE116" s="181"/>
      <c r="BKF116" s="182"/>
      <c r="BKG116" s="181"/>
      <c r="BKH116" s="182"/>
      <c r="BKI116" s="181"/>
      <c r="BKJ116" s="182"/>
      <c r="BKK116" s="181"/>
      <c r="BKL116" s="182"/>
      <c r="BKM116" s="181"/>
      <c r="BKN116" s="182"/>
      <c r="BKO116" s="181"/>
      <c r="BKP116" s="182"/>
      <c r="BKQ116" s="181"/>
      <c r="BKR116" s="182"/>
      <c r="BKS116" s="181"/>
      <c r="BKT116" s="182"/>
      <c r="BKU116" s="181"/>
      <c r="BKV116" s="182"/>
      <c r="BKW116" s="181"/>
      <c r="BKX116" s="182"/>
      <c r="BKY116" s="181"/>
      <c r="BKZ116" s="182"/>
      <c r="BLA116" s="181"/>
      <c r="BLB116" s="182"/>
      <c r="BLC116" s="181"/>
      <c r="BLD116" s="182"/>
      <c r="BLE116" s="181"/>
      <c r="BLF116" s="182"/>
      <c r="BLG116" s="181"/>
      <c r="BLH116" s="182"/>
      <c r="BLI116" s="181"/>
      <c r="BLJ116" s="182"/>
      <c r="BLK116" s="181"/>
      <c r="BLL116" s="182"/>
      <c r="BLM116" s="181"/>
      <c r="BLN116" s="182"/>
      <c r="BLO116" s="181"/>
      <c r="BLP116" s="182"/>
      <c r="BLQ116" s="181"/>
      <c r="BLR116" s="182"/>
      <c r="BLS116" s="181"/>
      <c r="BLT116" s="182"/>
      <c r="BLU116" s="181"/>
      <c r="BLV116" s="182"/>
      <c r="BLW116" s="181"/>
      <c r="BLX116" s="182"/>
      <c r="BLY116" s="181"/>
      <c r="BLZ116" s="182"/>
      <c r="BMA116" s="181"/>
      <c r="BMB116" s="182"/>
      <c r="BMC116" s="181"/>
      <c r="BMD116" s="182"/>
      <c r="BME116" s="181"/>
      <c r="BMF116" s="182"/>
      <c r="BMG116" s="181"/>
      <c r="BMH116" s="182"/>
      <c r="BMI116" s="181"/>
      <c r="BMJ116" s="182"/>
      <c r="BMK116" s="181"/>
      <c r="BML116" s="182"/>
      <c r="BMM116" s="181"/>
      <c r="BMN116" s="182"/>
      <c r="BMO116" s="181"/>
      <c r="BMP116" s="182"/>
      <c r="BMQ116" s="181"/>
      <c r="BMR116" s="182"/>
      <c r="BMS116" s="181"/>
      <c r="BMT116" s="182"/>
      <c r="BMU116" s="181"/>
      <c r="BMV116" s="182"/>
      <c r="BMW116" s="181"/>
      <c r="BMX116" s="182"/>
      <c r="BMY116" s="181"/>
      <c r="BMZ116" s="182"/>
      <c r="BNA116" s="181"/>
      <c r="BNB116" s="182"/>
      <c r="BNC116" s="181"/>
      <c r="BND116" s="182"/>
      <c r="BNE116" s="181"/>
      <c r="BNF116" s="182"/>
      <c r="BNG116" s="181"/>
      <c r="BNH116" s="182"/>
      <c r="BNI116" s="181"/>
      <c r="BNJ116" s="182"/>
      <c r="BNK116" s="181"/>
      <c r="BNL116" s="182"/>
      <c r="BNM116" s="181"/>
      <c r="BNN116" s="182"/>
      <c r="BNO116" s="181"/>
      <c r="BNP116" s="182"/>
      <c r="BNQ116" s="181"/>
      <c r="BNR116" s="182"/>
      <c r="BNS116" s="181"/>
      <c r="BNT116" s="182"/>
      <c r="BNU116" s="181"/>
      <c r="BNV116" s="182"/>
      <c r="BNW116" s="181"/>
      <c r="BNX116" s="182"/>
      <c r="BNY116" s="181"/>
      <c r="BNZ116" s="182"/>
      <c r="BOA116" s="181"/>
      <c r="BOB116" s="182"/>
      <c r="BOC116" s="181"/>
      <c r="BOD116" s="182"/>
      <c r="BOE116" s="181"/>
      <c r="BOF116" s="182"/>
      <c r="BOG116" s="181"/>
      <c r="BOH116" s="182"/>
      <c r="BOI116" s="181"/>
      <c r="BOJ116" s="182"/>
      <c r="BOK116" s="181"/>
      <c r="BOL116" s="182"/>
      <c r="BOM116" s="181"/>
      <c r="BON116" s="182"/>
      <c r="BOO116" s="181"/>
      <c r="BOP116" s="182"/>
      <c r="BOQ116" s="181"/>
      <c r="BOR116" s="182"/>
      <c r="BOS116" s="181"/>
      <c r="BOT116" s="182"/>
      <c r="BOU116" s="181"/>
      <c r="BOV116" s="182"/>
      <c r="BOW116" s="181"/>
      <c r="BOX116" s="182"/>
      <c r="BOY116" s="181"/>
      <c r="BOZ116" s="182"/>
      <c r="BPA116" s="181"/>
      <c r="BPB116" s="182"/>
      <c r="BPC116" s="181"/>
      <c r="BPD116" s="182"/>
      <c r="BPE116" s="181"/>
      <c r="BPF116" s="182"/>
      <c r="BPG116" s="181"/>
      <c r="BPH116" s="182"/>
      <c r="BPI116" s="181"/>
      <c r="BPJ116" s="182"/>
      <c r="BPK116" s="181"/>
      <c r="BPL116" s="182"/>
      <c r="BPM116" s="181"/>
      <c r="BPN116" s="182"/>
      <c r="BPO116" s="181"/>
      <c r="BPP116" s="182"/>
      <c r="BPQ116" s="181"/>
      <c r="BPR116" s="182"/>
      <c r="BPS116" s="181"/>
      <c r="BPT116" s="182"/>
      <c r="BPU116" s="181"/>
      <c r="BPV116" s="182"/>
      <c r="BPW116" s="181"/>
      <c r="BPX116" s="182"/>
      <c r="BPY116" s="181"/>
      <c r="BPZ116" s="182"/>
      <c r="BQA116" s="181"/>
      <c r="BQB116" s="182"/>
      <c r="BQC116" s="181"/>
      <c r="BQD116" s="182"/>
      <c r="BQE116" s="181"/>
      <c r="BQF116" s="182"/>
      <c r="BQG116" s="181"/>
      <c r="BQH116" s="182"/>
      <c r="BQI116" s="181"/>
      <c r="BQJ116" s="182"/>
      <c r="BQK116" s="181"/>
      <c r="BQL116" s="182"/>
      <c r="BQM116" s="181"/>
      <c r="BQN116" s="182"/>
      <c r="BQO116" s="181"/>
      <c r="BQP116" s="182"/>
      <c r="BQQ116" s="181"/>
      <c r="BQR116" s="182"/>
      <c r="BQS116" s="181"/>
      <c r="BQT116" s="182"/>
      <c r="BQU116" s="181"/>
      <c r="BQV116" s="182"/>
      <c r="BQW116" s="181"/>
      <c r="BQX116" s="182"/>
      <c r="BQY116" s="181"/>
      <c r="BQZ116" s="182"/>
      <c r="BRA116" s="181"/>
      <c r="BRB116" s="182"/>
      <c r="BRC116" s="181"/>
      <c r="BRD116" s="182"/>
      <c r="BRE116" s="181"/>
      <c r="BRF116" s="182"/>
      <c r="BRG116" s="181"/>
      <c r="BRH116" s="182"/>
      <c r="BRI116" s="181"/>
      <c r="BRJ116" s="182"/>
      <c r="BRK116" s="181"/>
      <c r="BRL116" s="182"/>
      <c r="BRM116" s="181"/>
      <c r="BRN116" s="182"/>
      <c r="BRO116" s="181"/>
      <c r="BRP116" s="182"/>
      <c r="BRQ116" s="181"/>
      <c r="BRR116" s="182"/>
      <c r="BRS116" s="181"/>
      <c r="BRT116" s="182"/>
      <c r="BRU116" s="181"/>
      <c r="BRV116" s="182"/>
      <c r="BRW116" s="181"/>
      <c r="BRX116" s="182"/>
      <c r="BRY116" s="181"/>
      <c r="BRZ116" s="182"/>
      <c r="BSA116" s="181"/>
      <c r="BSB116" s="182"/>
      <c r="BSC116" s="181"/>
      <c r="BSD116" s="182"/>
      <c r="BSE116" s="181"/>
      <c r="BSF116" s="182"/>
      <c r="BSG116" s="181"/>
      <c r="BSH116" s="182"/>
      <c r="BSI116" s="181"/>
      <c r="BSJ116" s="182"/>
      <c r="BSK116" s="181"/>
      <c r="BSL116" s="182"/>
      <c r="BSM116" s="181"/>
      <c r="BSN116" s="182"/>
      <c r="BSO116" s="181"/>
      <c r="BSP116" s="182"/>
      <c r="BSQ116" s="181"/>
      <c r="BSR116" s="182"/>
      <c r="BSS116" s="181"/>
      <c r="BST116" s="182"/>
      <c r="BSU116" s="181"/>
      <c r="BSV116" s="182"/>
      <c r="BSW116" s="181"/>
      <c r="BSX116" s="182"/>
      <c r="BSY116" s="181"/>
      <c r="BSZ116" s="182"/>
      <c r="BTA116" s="181"/>
      <c r="BTB116" s="182"/>
      <c r="BTC116" s="181"/>
      <c r="BTD116" s="182"/>
      <c r="BTE116" s="181"/>
      <c r="BTF116" s="182"/>
      <c r="BTG116" s="181"/>
      <c r="BTH116" s="182"/>
      <c r="BTI116" s="181"/>
      <c r="BTJ116" s="182"/>
      <c r="BTK116" s="181"/>
      <c r="BTL116" s="182"/>
      <c r="BTM116" s="181"/>
      <c r="BTN116" s="182"/>
      <c r="BTO116" s="181"/>
      <c r="BTP116" s="182"/>
      <c r="BTQ116" s="181"/>
      <c r="BTR116" s="182"/>
      <c r="BTS116" s="181"/>
      <c r="BTT116" s="182"/>
      <c r="BTU116" s="181"/>
      <c r="BTV116" s="182"/>
      <c r="BTW116" s="181"/>
      <c r="BTX116" s="182"/>
      <c r="BTY116" s="181"/>
      <c r="BTZ116" s="182"/>
      <c r="BUA116" s="181"/>
      <c r="BUB116" s="182"/>
      <c r="BUC116" s="181"/>
      <c r="BUD116" s="182"/>
      <c r="BUE116" s="181"/>
      <c r="BUF116" s="182"/>
      <c r="BUG116" s="181"/>
      <c r="BUH116" s="182"/>
      <c r="BUI116" s="181"/>
      <c r="BUJ116" s="182"/>
      <c r="BUK116" s="181"/>
      <c r="BUL116" s="182"/>
      <c r="BUM116" s="181"/>
      <c r="BUN116" s="182"/>
      <c r="BUO116" s="181"/>
      <c r="BUP116" s="182"/>
      <c r="BUQ116" s="181"/>
      <c r="BUR116" s="182"/>
      <c r="BUS116" s="181"/>
      <c r="BUT116" s="182"/>
      <c r="BUU116" s="181"/>
      <c r="BUV116" s="182"/>
      <c r="BUW116" s="181"/>
      <c r="BUX116" s="182"/>
      <c r="BUY116" s="181"/>
      <c r="BUZ116" s="182"/>
      <c r="BVA116" s="181"/>
      <c r="BVB116" s="182"/>
      <c r="BVC116" s="181"/>
      <c r="BVD116" s="182"/>
      <c r="BVE116" s="181"/>
      <c r="BVF116" s="182"/>
      <c r="BVG116" s="181"/>
      <c r="BVH116" s="182"/>
      <c r="BVI116" s="181"/>
      <c r="BVJ116" s="182"/>
      <c r="BVK116" s="181"/>
      <c r="BVL116" s="182"/>
      <c r="BVM116" s="181"/>
      <c r="BVN116" s="182"/>
      <c r="BVO116" s="181"/>
      <c r="BVP116" s="182"/>
      <c r="BVQ116" s="181"/>
      <c r="BVR116" s="182"/>
      <c r="BVS116" s="181"/>
      <c r="BVT116" s="182"/>
      <c r="BVU116" s="181"/>
      <c r="BVV116" s="182"/>
      <c r="BVW116" s="181"/>
      <c r="BVX116" s="182"/>
      <c r="BVY116" s="181"/>
      <c r="BVZ116" s="182"/>
      <c r="BWA116" s="181"/>
      <c r="BWB116" s="182"/>
      <c r="BWC116" s="181"/>
      <c r="BWD116" s="182"/>
      <c r="BWE116" s="181"/>
      <c r="BWF116" s="182"/>
      <c r="BWG116" s="181"/>
      <c r="BWH116" s="182"/>
      <c r="BWI116" s="181"/>
      <c r="BWJ116" s="182"/>
      <c r="BWK116" s="181"/>
      <c r="BWL116" s="182"/>
      <c r="BWM116" s="181"/>
      <c r="BWN116" s="182"/>
      <c r="BWO116" s="181"/>
      <c r="BWP116" s="182"/>
      <c r="BWQ116" s="181"/>
      <c r="BWR116" s="182"/>
      <c r="BWS116" s="181"/>
      <c r="BWT116" s="182"/>
      <c r="BWU116" s="181"/>
      <c r="BWV116" s="182"/>
      <c r="BWW116" s="181"/>
      <c r="BWX116" s="182"/>
      <c r="BWY116" s="181"/>
      <c r="BWZ116" s="182"/>
      <c r="BXA116" s="181"/>
      <c r="BXB116" s="182"/>
      <c r="BXC116" s="181"/>
      <c r="BXD116" s="182"/>
      <c r="BXE116" s="181"/>
      <c r="BXF116" s="182"/>
      <c r="BXG116" s="181"/>
      <c r="BXH116" s="182"/>
      <c r="BXI116" s="181"/>
      <c r="BXJ116" s="182"/>
      <c r="BXK116" s="181"/>
      <c r="BXL116" s="182"/>
      <c r="BXM116" s="181"/>
      <c r="BXN116" s="182"/>
      <c r="BXO116" s="181"/>
      <c r="BXP116" s="182"/>
      <c r="BXQ116" s="181"/>
      <c r="BXR116" s="182"/>
      <c r="BXS116" s="181"/>
      <c r="BXT116" s="182"/>
      <c r="BXU116" s="181"/>
      <c r="BXV116" s="182"/>
      <c r="BXW116" s="181"/>
      <c r="BXX116" s="182"/>
      <c r="BXY116" s="181"/>
      <c r="BXZ116" s="182"/>
      <c r="BYA116" s="181"/>
      <c r="BYB116" s="182"/>
      <c r="BYC116" s="181"/>
      <c r="BYD116" s="182"/>
      <c r="BYE116" s="181"/>
      <c r="BYF116" s="182"/>
      <c r="BYG116" s="181"/>
      <c r="BYH116" s="182"/>
      <c r="BYI116" s="181"/>
      <c r="BYJ116" s="182"/>
      <c r="BYK116" s="181"/>
      <c r="BYL116" s="182"/>
      <c r="BYM116" s="181"/>
      <c r="BYN116" s="182"/>
      <c r="BYO116" s="181"/>
      <c r="BYP116" s="182"/>
      <c r="BYQ116" s="181"/>
      <c r="BYR116" s="182"/>
      <c r="BYS116" s="181"/>
      <c r="BYT116" s="182"/>
      <c r="BYU116" s="181"/>
      <c r="BYV116" s="182"/>
      <c r="BYW116" s="181"/>
      <c r="BYX116" s="182"/>
      <c r="BYY116" s="181"/>
      <c r="BYZ116" s="182"/>
      <c r="BZA116" s="181"/>
      <c r="BZB116" s="182"/>
      <c r="BZC116" s="181"/>
      <c r="BZD116" s="182"/>
      <c r="BZE116" s="181"/>
      <c r="BZF116" s="182"/>
      <c r="BZG116" s="181"/>
      <c r="BZH116" s="182"/>
      <c r="BZI116" s="181"/>
      <c r="BZJ116" s="182"/>
      <c r="BZK116" s="181"/>
      <c r="BZL116" s="182"/>
      <c r="BZM116" s="181"/>
      <c r="BZN116" s="182"/>
      <c r="BZO116" s="181"/>
      <c r="BZP116" s="182"/>
      <c r="BZQ116" s="181"/>
      <c r="BZR116" s="182"/>
      <c r="BZS116" s="181"/>
      <c r="BZT116" s="182"/>
      <c r="BZU116" s="181"/>
      <c r="BZV116" s="182"/>
      <c r="BZW116" s="181"/>
      <c r="BZX116" s="182"/>
      <c r="BZY116" s="181"/>
      <c r="BZZ116" s="182"/>
      <c r="CAA116" s="181"/>
      <c r="CAB116" s="182"/>
      <c r="CAC116" s="181"/>
      <c r="CAD116" s="182"/>
      <c r="CAE116" s="181"/>
      <c r="CAF116" s="182"/>
      <c r="CAG116" s="181"/>
      <c r="CAH116" s="182"/>
      <c r="CAI116" s="181"/>
      <c r="CAJ116" s="182"/>
      <c r="CAK116" s="181"/>
      <c r="CAL116" s="182"/>
      <c r="CAM116" s="181"/>
      <c r="CAN116" s="182"/>
      <c r="CAO116" s="181"/>
      <c r="CAP116" s="182"/>
      <c r="CAQ116" s="181"/>
      <c r="CAR116" s="182"/>
      <c r="CAS116" s="181"/>
      <c r="CAT116" s="182"/>
      <c r="CAU116" s="181"/>
      <c r="CAV116" s="182"/>
      <c r="CAW116" s="181"/>
      <c r="CAX116" s="182"/>
      <c r="CAY116" s="181"/>
      <c r="CAZ116" s="182"/>
      <c r="CBA116" s="181"/>
      <c r="CBB116" s="182"/>
      <c r="CBC116" s="181"/>
      <c r="CBD116" s="182"/>
      <c r="CBE116" s="181"/>
      <c r="CBF116" s="182"/>
      <c r="CBG116" s="181"/>
      <c r="CBH116" s="182"/>
      <c r="CBI116" s="181"/>
      <c r="CBJ116" s="182"/>
      <c r="CBK116" s="181"/>
      <c r="CBL116" s="182"/>
      <c r="CBM116" s="181"/>
      <c r="CBN116" s="182"/>
      <c r="CBO116" s="181"/>
      <c r="CBP116" s="182"/>
      <c r="CBQ116" s="181"/>
      <c r="CBR116" s="182"/>
      <c r="CBS116" s="181"/>
      <c r="CBT116" s="182"/>
      <c r="CBU116" s="181"/>
      <c r="CBV116" s="182"/>
      <c r="CBW116" s="181"/>
      <c r="CBX116" s="182"/>
      <c r="CBY116" s="181"/>
      <c r="CBZ116" s="182"/>
      <c r="CCA116" s="181"/>
      <c r="CCB116" s="182"/>
      <c r="CCC116" s="181"/>
      <c r="CCD116" s="182"/>
      <c r="CCE116" s="181"/>
      <c r="CCF116" s="182"/>
      <c r="CCG116" s="181"/>
      <c r="CCH116" s="182"/>
      <c r="CCI116" s="181"/>
      <c r="CCJ116" s="182"/>
      <c r="CCK116" s="181"/>
      <c r="CCL116" s="182"/>
      <c r="CCM116" s="181"/>
      <c r="CCN116" s="182"/>
      <c r="CCO116" s="181"/>
      <c r="CCP116" s="182"/>
      <c r="CCQ116" s="181"/>
      <c r="CCR116" s="182"/>
      <c r="CCS116" s="181"/>
      <c r="CCT116" s="182"/>
      <c r="CCU116" s="181"/>
      <c r="CCV116" s="182"/>
      <c r="CCW116" s="181"/>
      <c r="CCX116" s="182"/>
      <c r="CCY116" s="181"/>
      <c r="CCZ116" s="182"/>
      <c r="CDA116" s="181"/>
      <c r="CDB116" s="182"/>
      <c r="CDC116" s="181"/>
      <c r="CDD116" s="182"/>
      <c r="CDE116" s="181"/>
      <c r="CDF116" s="182"/>
      <c r="CDG116" s="181"/>
      <c r="CDH116" s="182"/>
      <c r="CDI116" s="181"/>
      <c r="CDJ116" s="182"/>
      <c r="CDK116" s="181"/>
      <c r="CDL116" s="182"/>
      <c r="CDM116" s="181"/>
      <c r="CDN116" s="182"/>
      <c r="CDO116" s="181"/>
      <c r="CDP116" s="182"/>
      <c r="CDQ116" s="181"/>
      <c r="CDR116" s="182"/>
      <c r="CDS116" s="181"/>
      <c r="CDT116" s="182"/>
      <c r="CDU116" s="181"/>
      <c r="CDV116" s="182"/>
      <c r="CDW116" s="181"/>
      <c r="CDX116" s="182"/>
      <c r="CDY116" s="181"/>
      <c r="CDZ116" s="182"/>
      <c r="CEA116" s="181"/>
      <c r="CEB116" s="182"/>
      <c r="CEC116" s="181"/>
      <c r="CED116" s="182"/>
      <c r="CEE116" s="181"/>
      <c r="CEF116" s="182"/>
      <c r="CEG116" s="181"/>
      <c r="CEH116" s="182"/>
      <c r="CEI116" s="181"/>
      <c r="CEJ116" s="182"/>
      <c r="CEK116" s="181"/>
      <c r="CEL116" s="182"/>
      <c r="CEM116" s="181"/>
      <c r="CEN116" s="182"/>
      <c r="CEO116" s="181"/>
      <c r="CEP116" s="182"/>
      <c r="CEQ116" s="181"/>
      <c r="CER116" s="182"/>
      <c r="CES116" s="181"/>
      <c r="CET116" s="182"/>
      <c r="CEU116" s="181"/>
      <c r="CEV116" s="182"/>
      <c r="CEW116" s="181"/>
      <c r="CEX116" s="182"/>
      <c r="CEY116" s="181"/>
      <c r="CEZ116" s="182"/>
      <c r="CFA116" s="181"/>
      <c r="CFB116" s="182"/>
      <c r="CFC116" s="181"/>
      <c r="CFD116" s="182"/>
      <c r="CFE116" s="181"/>
      <c r="CFF116" s="182"/>
      <c r="CFG116" s="181"/>
      <c r="CFH116" s="182"/>
      <c r="CFI116" s="181"/>
      <c r="CFJ116" s="182"/>
      <c r="CFK116" s="181"/>
      <c r="CFL116" s="182"/>
      <c r="CFM116" s="181"/>
      <c r="CFN116" s="182"/>
      <c r="CFO116" s="181"/>
      <c r="CFP116" s="182"/>
      <c r="CFQ116" s="181"/>
      <c r="CFR116" s="182"/>
      <c r="CFS116" s="181"/>
      <c r="CFT116" s="182"/>
      <c r="CFU116" s="181"/>
      <c r="CFV116" s="182"/>
      <c r="CFW116" s="181"/>
      <c r="CFX116" s="182"/>
      <c r="CFY116" s="181"/>
      <c r="CFZ116" s="182"/>
      <c r="CGA116" s="181"/>
      <c r="CGB116" s="182"/>
      <c r="CGC116" s="181"/>
      <c r="CGD116" s="182"/>
      <c r="CGE116" s="181"/>
      <c r="CGF116" s="182"/>
      <c r="CGG116" s="181"/>
      <c r="CGH116" s="182"/>
      <c r="CGI116" s="181"/>
      <c r="CGJ116" s="182"/>
      <c r="CGK116" s="181"/>
      <c r="CGL116" s="182"/>
      <c r="CGM116" s="181"/>
      <c r="CGN116" s="182"/>
      <c r="CGO116" s="181"/>
      <c r="CGP116" s="182"/>
      <c r="CGQ116" s="181"/>
      <c r="CGR116" s="182"/>
      <c r="CGS116" s="181"/>
      <c r="CGT116" s="182"/>
      <c r="CGU116" s="181"/>
      <c r="CGV116" s="182"/>
      <c r="CGW116" s="181"/>
      <c r="CGX116" s="182"/>
      <c r="CGY116" s="181"/>
      <c r="CGZ116" s="182"/>
      <c r="CHA116" s="181"/>
      <c r="CHB116" s="182"/>
      <c r="CHC116" s="181"/>
      <c r="CHD116" s="182"/>
      <c r="CHE116" s="181"/>
      <c r="CHF116" s="182"/>
      <c r="CHG116" s="181"/>
      <c r="CHH116" s="182"/>
      <c r="CHI116" s="181"/>
      <c r="CHJ116" s="182"/>
      <c r="CHK116" s="181"/>
      <c r="CHL116" s="182"/>
      <c r="CHM116" s="181"/>
      <c r="CHN116" s="182"/>
      <c r="CHO116" s="181"/>
      <c r="CHP116" s="182"/>
      <c r="CHQ116" s="181"/>
      <c r="CHR116" s="182"/>
      <c r="CHS116" s="181"/>
      <c r="CHT116" s="182"/>
      <c r="CHU116" s="181"/>
      <c r="CHV116" s="182"/>
      <c r="CHW116" s="181"/>
      <c r="CHX116" s="182"/>
      <c r="CHY116" s="181"/>
      <c r="CHZ116" s="182"/>
      <c r="CIA116" s="181"/>
      <c r="CIB116" s="182"/>
      <c r="CIC116" s="181"/>
      <c r="CID116" s="182"/>
      <c r="CIE116" s="181"/>
      <c r="CIF116" s="182"/>
      <c r="CIG116" s="181"/>
      <c r="CIH116" s="182"/>
      <c r="CII116" s="181"/>
      <c r="CIJ116" s="182"/>
      <c r="CIK116" s="181"/>
      <c r="CIL116" s="182"/>
      <c r="CIM116" s="181"/>
      <c r="CIN116" s="182"/>
      <c r="CIO116" s="181"/>
      <c r="CIP116" s="182"/>
      <c r="CIQ116" s="181"/>
      <c r="CIR116" s="182"/>
      <c r="CIS116" s="181"/>
      <c r="CIT116" s="182"/>
      <c r="CIU116" s="181"/>
      <c r="CIV116" s="182"/>
      <c r="CIW116" s="181"/>
      <c r="CIX116" s="182"/>
      <c r="CIY116" s="181"/>
      <c r="CIZ116" s="182"/>
      <c r="CJA116" s="181"/>
      <c r="CJB116" s="182"/>
      <c r="CJC116" s="181"/>
      <c r="CJD116" s="182"/>
      <c r="CJE116" s="181"/>
      <c r="CJF116" s="182"/>
      <c r="CJG116" s="181"/>
      <c r="CJH116" s="182"/>
      <c r="CJI116" s="181"/>
      <c r="CJJ116" s="182"/>
      <c r="CJK116" s="181"/>
      <c r="CJL116" s="182"/>
      <c r="CJM116" s="181"/>
      <c r="CJN116" s="182"/>
      <c r="CJO116" s="181"/>
      <c r="CJP116" s="182"/>
      <c r="CJQ116" s="181"/>
      <c r="CJR116" s="182"/>
      <c r="CJS116" s="181"/>
      <c r="CJT116" s="182"/>
      <c r="CJU116" s="181"/>
      <c r="CJV116" s="182"/>
      <c r="CJW116" s="181"/>
      <c r="CJX116" s="182"/>
      <c r="CJY116" s="181"/>
      <c r="CJZ116" s="182"/>
      <c r="CKA116" s="181"/>
      <c r="CKB116" s="182"/>
      <c r="CKC116" s="181"/>
      <c r="CKD116" s="182"/>
      <c r="CKE116" s="181"/>
      <c r="CKF116" s="182"/>
      <c r="CKG116" s="181"/>
      <c r="CKH116" s="182"/>
      <c r="CKI116" s="181"/>
      <c r="CKJ116" s="182"/>
      <c r="CKK116" s="181"/>
      <c r="CKL116" s="182"/>
      <c r="CKM116" s="181"/>
      <c r="CKN116" s="182"/>
      <c r="CKO116" s="181"/>
      <c r="CKP116" s="182"/>
      <c r="CKQ116" s="181"/>
      <c r="CKR116" s="182"/>
      <c r="CKS116" s="181"/>
      <c r="CKT116" s="182"/>
      <c r="CKU116" s="181"/>
      <c r="CKV116" s="182"/>
      <c r="CKW116" s="181"/>
      <c r="CKX116" s="182"/>
      <c r="CKY116" s="181"/>
      <c r="CKZ116" s="182"/>
      <c r="CLA116" s="181"/>
      <c r="CLB116" s="182"/>
      <c r="CLC116" s="181"/>
      <c r="CLD116" s="182"/>
      <c r="CLE116" s="181"/>
      <c r="CLF116" s="182"/>
      <c r="CLG116" s="181"/>
      <c r="CLH116" s="182"/>
      <c r="CLI116" s="181"/>
      <c r="CLJ116" s="182"/>
      <c r="CLK116" s="181"/>
      <c r="CLL116" s="182"/>
      <c r="CLM116" s="181"/>
      <c r="CLN116" s="182"/>
      <c r="CLO116" s="181"/>
      <c r="CLP116" s="182"/>
      <c r="CLQ116" s="181"/>
      <c r="CLR116" s="182"/>
      <c r="CLS116" s="181"/>
      <c r="CLT116" s="182"/>
      <c r="CLU116" s="181"/>
      <c r="CLV116" s="182"/>
      <c r="CLW116" s="181"/>
      <c r="CLX116" s="182"/>
      <c r="CLY116" s="181"/>
      <c r="CLZ116" s="182"/>
      <c r="CMA116" s="181"/>
      <c r="CMB116" s="182"/>
      <c r="CMC116" s="181"/>
      <c r="CMD116" s="182"/>
      <c r="CME116" s="181"/>
      <c r="CMF116" s="182"/>
      <c r="CMG116" s="181"/>
      <c r="CMH116" s="182"/>
      <c r="CMI116" s="181"/>
      <c r="CMJ116" s="182"/>
      <c r="CMK116" s="181"/>
      <c r="CML116" s="182"/>
      <c r="CMM116" s="181"/>
      <c r="CMN116" s="182"/>
      <c r="CMO116" s="181"/>
      <c r="CMP116" s="182"/>
      <c r="CMQ116" s="181"/>
      <c r="CMR116" s="182"/>
      <c r="CMS116" s="181"/>
      <c r="CMT116" s="182"/>
      <c r="CMU116" s="181"/>
      <c r="CMV116" s="182"/>
      <c r="CMW116" s="181"/>
      <c r="CMX116" s="182"/>
      <c r="CMY116" s="181"/>
      <c r="CMZ116" s="182"/>
      <c r="CNA116" s="181"/>
      <c r="CNB116" s="182"/>
      <c r="CNC116" s="181"/>
      <c r="CND116" s="182"/>
      <c r="CNE116" s="181"/>
      <c r="CNF116" s="182"/>
      <c r="CNG116" s="181"/>
      <c r="CNH116" s="182"/>
      <c r="CNI116" s="181"/>
      <c r="CNJ116" s="182"/>
      <c r="CNK116" s="181"/>
      <c r="CNL116" s="182"/>
      <c r="CNM116" s="181"/>
      <c r="CNN116" s="182"/>
      <c r="CNO116" s="181"/>
      <c r="CNP116" s="182"/>
      <c r="CNQ116" s="181"/>
      <c r="CNR116" s="182"/>
      <c r="CNS116" s="181"/>
      <c r="CNT116" s="182"/>
      <c r="CNU116" s="181"/>
      <c r="CNV116" s="182"/>
      <c r="CNW116" s="181"/>
      <c r="CNX116" s="182"/>
      <c r="CNY116" s="181"/>
      <c r="CNZ116" s="182"/>
      <c r="COA116" s="181"/>
      <c r="COB116" s="182"/>
      <c r="COC116" s="181"/>
      <c r="COD116" s="182"/>
      <c r="COE116" s="181"/>
      <c r="COF116" s="182"/>
      <c r="COG116" s="181"/>
      <c r="COH116" s="182"/>
      <c r="COI116" s="181"/>
      <c r="COJ116" s="182"/>
      <c r="COK116" s="181"/>
      <c r="COL116" s="182"/>
      <c r="COM116" s="181"/>
      <c r="CON116" s="182"/>
      <c r="COO116" s="181"/>
      <c r="COP116" s="182"/>
      <c r="COQ116" s="181"/>
      <c r="COR116" s="182"/>
      <c r="COS116" s="181"/>
      <c r="COT116" s="182"/>
      <c r="COU116" s="181"/>
      <c r="COV116" s="182"/>
      <c r="COW116" s="181"/>
      <c r="COX116" s="182"/>
      <c r="COY116" s="181"/>
      <c r="COZ116" s="182"/>
      <c r="CPA116" s="181"/>
      <c r="CPB116" s="182"/>
      <c r="CPC116" s="181"/>
      <c r="CPD116" s="182"/>
      <c r="CPE116" s="181"/>
      <c r="CPF116" s="182"/>
      <c r="CPG116" s="181"/>
      <c r="CPH116" s="182"/>
      <c r="CPI116" s="181"/>
      <c r="CPJ116" s="182"/>
      <c r="CPK116" s="181"/>
      <c r="CPL116" s="182"/>
      <c r="CPM116" s="181"/>
      <c r="CPN116" s="182"/>
      <c r="CPO116" s="181"/>
      <c r="CPP116" s="182"/>
      <c r="CPQ116" s="181"/>
      <c r="CPR116" s="182"/>
      <c r="CPS116" s="181"/>
      <c r="CPT116" s="182"/>
      <c r="CPU116" s="181"/>
      <c r="CPV116" s="182"/>
      <c r="CPW116" s="181"/>
      <c r="CPX116" s="182"/>
      <c r="CPY116" s="181"/>
      <c r="CPZ116" s="182"/>
      <c r="CQA116" s="181"/>
      <c r="CQB116" s="182"/>
      <c r="CQC116" s="181"/>
      <c r="CQD116" s="182"/>
      <c r="CQE116" s="181"/>
      <c r="CQF116" s="182"/>
      <c r="CQG116" s="181"/>
      <c r="CQH116" s="182"/>
      <c r="CQI116" s="181"/>
      <c r="CQJ116" s="182"/>
      <c r="CQK116" s="181"/>
      <c r="CQL116" s="182"/>
      <c r="CQM116" s="181"/>
      <c r="CQN116" s="182"/>
      <c r="CQO116" s="181"/>
      <c r="CQP116" s="182"/>
      <c r="CQQ116" s="181"/>
      <c r="CQR116" s="182"/>
      <c r="CQS116" s="181"/>
      <c r="CQT116" s="182"/>
      <c r="CQU116" s="181"/>
      <c r="CQV116" s="182"/>
      <c r="CQW116" s="181"/>
      <c r="CQX116" s="182"/>
      <c r="CQY116" s="181"/>
      <c r="CQZ116" s="182"/>
      <c r="CRA116" s="181"/>
      <c r="CRB116" s="182"/>
      <c r="CRC116" s="181"/>
      <c r="CRD116" s="182"/>
      <c r="CRE116" s="181"/>
      <c r="CRF116" s="182"/>
      <c r="CRG116" s="181"/>
      <c r="CRH116" s="182"/>
      <c r="CRI116" s="181"/>
      <c r="CRJ116" s="182"/>
      <c r="CRK116" s="181"/>
      <c r="CRL116" s="182"/>
      <c r="CRM116" s="181"/>
      <c r="CRN116" s="182"/>
      <c r="CRO116" s="181"/>
      <c r="CRP116" s="182"/>
      <c r="CRQ116" s="181"/>
      <c r="CRR116" s="182"/>
      <c r="CRS116" s="181"/>
      <c r="CRT116" s="182"/>
      <c r="CRU116" s="181"/>
      <c r="CRV116" s="182"/>
      <c r="CRW116" s="181"/>
      <c r="CRX116" s="182"/>
      <c r="CRY116" s="181"/>
      <c r="CRZ116" s="182"/>
      <c r="CSA116" s="181"/>
      <c r="CSB116" s="182"/>
      <c r="CSC116" s="181"/>
      <c r="CSD116" s="182"/>
      <c r="CSE116" s="181"/>
      <c r="CSF116" s="182"/>
      <c r="CSG116" s="181"/>
      <c r="CSH116" s="182"/>
      <c r="CSI116" s="181"/>
      <c r="CSJ116" s="182"/>
      <c r="CSK116" s="181"/>
      <c r="CSL116" s="182"/>
      <c r="CSM116" s="181"/>
      <c r="CSN116" s="182"/>
      <c r="CSO116" s="181"/>
      <c r="CSP116" s="182"/>
      <c r="CSQ116" s="181"/>
      <c r="CSR116" s="182"/>
      <c r="CSS116" s="181"/>
      <c r="CST116" s="182"/>
      <c r="CSU116" s="181"/>
      <c r="CSV116" s="182"/>
      <c r="CSW116" s="181"/>
      <c r="CSX116" s="182"/>
      <c r="CSY116" s="181"/>
      <c r="CSZ116" s="182"/>
      <c r="CTA116" s="181"/>
      <c r="CTB116" s="182"/>
      <c r="CTC116" s="181"/>
      <c r="CTD116" s="182"/>
      <c r="CTE116" s="181"/>
      <c r="CTF116" s="182"/>
      <c r="CTG116" s="181"/>
      <c r="CTH116" s="182"/>
      <c r="CTI116" s="181"/>
      <c r="CTJ116" s="182"/>
      <c r="CTK116" s="181"/>
      <c r="CTL116" s="182"/>
      <c r="CTM116" s="181"/>
      <c r="CTN116" s="182"/>
      <c r="CTO116" s="181"/>
      <c r="CTP116" s="182"/>
      <c r="CTQ116" s="181"/>
      <c r="CTR116" s="182"/>
      <c r="CTS116" s="181"/>
      <c r="CTT116" s="182"/>
      <c r="CTU116" s="181"/>
      <c r="CTV116" s="182"/>
      <c r="CTW116" s="181"/>
      <c r="CTX116" s="182"/>
      <c r="CTY116" s="181"/>
      <c r="CTZ116" s="182"/>
      <c r="CUA116" s="181"/>
      <c r="CUB116" s="182"/>
      <c r="CUC116" s="181"/>
      <c r="CUD116" s="182"/>
      <c r="CUE116" s="181"/>
      <c r="CUF116" s="182"/>
      <c r="CUG116" s="181"/>
      <c r="CUH116" s="182"/>
      <c r="CUI116" s="181"/>
      <c r="CUJ116" s="182"/>
      <c r="CUK116" s="181"/>
      <c r="CUL116" s="182"/>
      <c r="CUM116" s="181"/>
      <c r="CUN116" s="182"/>
      <c r="CUO116" s="181"/>
      <c r="CUP116" s="182"/>
      <c r="CUQ116" s="181"/>
      <c r="CUR116" s="182"/>
      <c r="CUS116" s="181"/>
      <c r="CUT116" s="182"/>
      <c r="CUU116" s="181"/>
      <c r="CUV116" s="182"/>
      <c r="CUW116" s="181"/>
      <c r="CUX116" s="182"/>
      <c r="CUY116" s="181"/>
      <c r="CUZ116" s="182"/>
      <c r="CVA116" s="181"/>
      <c r="CVB116" s="182"/>
      <c r="CVC116" s="181"/>
      <c r="CVD116" s="182"/>
      <c r="CVE116" s="181"/>
      <c r="CVF116" s="182"/>
      <c r="CVG116" s="181"/>
      <c r="CVH116" s="182"/>
      <c r="CVI116" s="181"/>
      <c r="CVJ116" s="182"/>
      <c r="CVK116" s="181"/>
      <c r="CVL116" s="182"/>
      <c r="CVM116" s="181"/>
      <c r="CVN116" s="182"/>
      <c r="CVO116" s="181"/>
      <c r="CVP116" s="182"/>
      <c r="CVQ116" s="181"/>
      <c r="CVR116" s="182"/>
      <c r="CVS116" s="181"/>
      <c r="CVT116" s="182"/>
      <c r="CVU116" s="181"/>
      <c r="CVV116" s="182"/>
      <c r="CVW116" s="181"/>
      <c r="CVX116" s="182"/>
      <c r="CVY116" s="181"/>
      <c r="CVZ116" s="182"/>
      <c r="CWA116" s="181"/>
      <c r="CWB116" s="182"/>
      <c r="CWC116" s="181"/>
      <c r="CWD116" s="182"/>
      <c r="CWE116" s="181"/>
      <c r="CWF116" s="182"/>
      <c r="CWG116" s="181"/>
      <c r="CWH116" s="182"/>
      <c r="CWI116" s="181"/>
      <c r="CWJ116" s="182"/>
      <c r="CWK116" s="181"/>
      <c r="CWL116" s="182"/>
      <c r="CWM116" s="181"/>
      <c r="CWN116" s="182"/>
      <c r="CWO116" s="181"/>
      <c r="CWP116" s="182"/>
      <c r="CWQ116" s="181"/>
      <c r="CWR116" s="182"/>
      <c r="CWS116" s="181"/>
      <c r="CWT116" s="182"/>
      <c r="CWU116" s="181"/>
      <c r="CWV116" s="182"/>
      <c r="CWW116" s="181"/>
      <c r="CWX116" s="182"/>
      <c r="CWY116" s="181"/>
      <c r="CWZ116" s="182"/>
      <c r="CXA116" s="181"/>
      <c r="CXB116" s="182"/>
      <c r="CXC116" s="181"/>
      <c r="CXD116" s="182"/>
      <c r="CXE116" s="181"/>
      <c r="CXF116" s="182"/>
      <c r="CXG116" s="181"/>
      <c r="CXH116" s="182"/>
      <c r="CXI116" s="181"/>
      <c r="CXJ116" s="182"/>
      <c r="CXK116" s="181"/>
      <c r="CXL116" s="182"/>
      <c r="CXM116" s="181"/>
      <c r="CXN116" s="182"/>
      <c r="CXO116" s="181"/>
      <c r="CXP116" s="182"/>
      <c r="CXQ116" s="181"/>
      <c r="CXR116" s="182"/>
      <c r="CXS116" s="181"/>
      <c r="CXT116" s="182"/>
      <c r="CXU116" s="181"/>
      <c r="CXV116" s="182"/>
      <c r="CXW116" s="181"/>
      <c r="CXX116" s="182"/>
      <c r="CXY116" s="181"/>
      <c r="CXZ116" s="182"/>
      <c r="CYA116" s="181"/>
      <c r="CYB116" s="182"/>
      <c r="CYC116" s="181"/>
      <c r="CYD116" s="182"/>
      <c r="CYE116" s="181"/>
      <c r="CYF116" s="182"/>
      <c r="CYG116" s="181"/>
      <c r="CYH116" s="182"/>
      <c r="CYI116" s="181"/>
      <c r="CYJ116" s="182"/>
      <c r="CYK116" s="181"/>
      <c r="CYL116" s="182"/>
      <c r="CYM116" s="181"/>
      <c r="CYN116" s="182"/>
      <c r="CYO116" s="181"/>
      <c r="CYP116" s="182"/>
      <c r="CYQ116" s="181"/>
      <c r="CYR116" s="182"/>
      <c r="CYS116" s="181"/>
      <c r="CYT116" s="182"/>
      <c r="CYU116" s="181"/>
      <c r="CYV116" s="182"/>
      <c r="CYW116" s="181"/>
      <c r="CYX116" s="182"/>
      <c r="CYY116" s="181"/>
      <c r="CYZ116" s="182"/>
      <c r="CZA116" s="181"/>
      <c r="CZB116" s="182"/>
      <c r="CZC116" s="181"/>
      <c r="CZD116" s="182"/>
      <c r="CZE116" s="181"/>
      <c r="CZF116" s="182"/>
      <c r="CZG116" s="181"/>
      <c r="CZH116" s="182"/>
      <c r="CZI116" s="181"/>
      <c r="CZJ116" s="182"/>
      <c r="CZK116" s="181"/>
      <c r="CZL116" s="182"/>
      <c r="CZM116" s="181"/>
      <c r="CZN116" s="182"/>
      <c r="CZO116" s="181"/>
      <c r="CZP116" s="182"/>
      <c r="CZQ116" s="181"/>
      <c r="CZR116" s="182"/>
      <c r="CZS116" s="181"/>
      <c r="CZT116" s="182"/>
      <c r="CZU116" s="181"/>
      <c r="CZV116" s="182"/>
      <c r="CZW116" s="181"/>
      <c r="CZX116" s="182"/>
      <c r="CZY116" s="181"/>
      <c r="CZZ116" s="182"/>
      <c r="DAA116" s="181"/>
      <c r="DAB116" s="182"/>
      <c r="DAC116" s="181"/>
      <c r="DAD116" s="182"/>
      <c r="DAE116" s="181"/>
      <c r="DAF116" s="182"/>
      <c r="DAG116" s="181"/>
      <c r="DAH116" s="182"/>
      <c r="DAI116" s="181"/>
      <c r="DAJ116" s="182"/>
      <c r="DAK116" s="181"/>
      <c r="DAL116" s="182"/>
      <c r="DAM116" s="181"/>
      <c r="DAN116" s="182"/>
      <c r="DAO116" s="181"/>
      <c r="DAP116" s="182"/>
      <c r="DAQ116" s="181"/>
      <c r="DAR116" s="182"/>
      <c r="DAS116" s="181"/>
      <c r="DAT116" s="182"/>
      <c r="DAU116" s="181"/>
      <c r="DAV116" s="182"/>
      <c r="DAW116" s="181"/>
      <c r="DAX116" s="182"/>
      <c r="DAY116" s="181"/>
      <c r="DAZ116" s="182"/>
      <c r="DBA116" s="181"/>
      <c r="DBB116" s="182"/>
      <c r="DBC116" s="181"/>
      <c r="DBD116" s="182"/>
      <c r="DBE116" s="181"/>
      <c r="DBF116" s="182"/>
      <c r="DBG116" s="181"/>
      <c r="DBH116" s="182"/>
      <c r="DBI116" s="181"/>
      <c r="DBJ116" s="182"/>
      <c r="DBK116" s="181"/>
      <c r="DBL116" s="182"/>
      <c r="DBM116" s="181"/>
      <c r="DBN116" s="182"/>
      <c r="DBO116" s="181"/>
      <c r="DBP116" s="182"/>
      <c r="DBQ116" s="181"/>
      <c r="DBR116" s="182"/>
      <c r="DBS116" s="181"/>
      <c r="DBT116" s="182"/>
      <c r="DBU116" s="181"/>
      <c r="DBV116" s="182"/>
      <c r="DBW116" s="181"/>
      <c r="DBX116" s="182"/>
      <c r="DBY116" s="181"/>
      <c r="DBZ116" s="182"/>
      <c r="DCA116" s="181"/>
      <c r="DCB116" s="182"/>
      <c r="DCC116" s="181"/>
      <c r="DCD116" s="182"/>
      <c r="DCE116" s="181"/>
      <c r="DCF116" s="182"/>
      <c r="DCG116" s="181"/>
      <c r="DCH116" s="182"/>
      <c r="DCI116" s="181"/>
      <c r="DCJ116" s="182"/>
      <c r="DCK116" s="181"/>
      <c r="DCL116" s="182"/>
      <c r="DCM116" s="181"/>
      <c r="DCN116" s="182"/>
      <c r="DCO116" s="181"/>
      <c r="DCP116" s="182"/>
      <c r="DCQ116" s="181"/>
      <c r="DCR116" s="182"/>
      <c r="DCS116" s="181"/>
      <c r="DCT116" s="182"/>
      <c r="DCU116" s="181"/>
      <c r="DCV116" s="182"/>
      <c r="DCW116" s="181"/>
      <c r="DCX116" s="182"/>
      <c r="DCY116" s="181"/>
      <c r="DCZ116" s="182"/>
      <c r="DDA116" s="181"/>
      <c r="DDB116" s="182"/>
      <c r="DDC116" s="181"/>
      <c r="DDD116" s="182"/>
      <c r="DDE116" s="181"/>
      <c r="DDF116" s="182"/>
      <c r="DDG116" s="181"/>
      <c r="DDH116" s="182"/>
      <c r="DDI116" s="181"/>
      <c r="DDJ116" s="182"/>
      <c r="DDK116" s="181"/>
      <c r="DDL116" s="182"/>
      <c r="DDM116" s="181"/>
      <c r="DDN116" s="182"/>
      <c r="DDO116" s="181"/>
      <c r="DDP116" s="182"/>
      <c r="DDQ116" s="181"/>
      <c r="DDR116" s="182"/>
      <c r="DDS116" s="181"/>
      <c r="DDT116" s="182"/>
      <c r="DDU116" s="181"/>
      <c r="DDV116" s="182"/>
      <c r="DDW116" s="181"/>
      <c r="DDX116" s="182"/>
      <c r="DDY116" s="181"/>
      <c r="DDZ116" s="182"/>
      <c r="DEA116" s="181"/>
      <c r="DEB116" s="182"/>
      <c r="DEC116" s="181"/>
      <c r="DED116" s="182"/>
      <c r="DEE116" s="181"/>
      <c r="DEF116" s="182"/>
      <c r="DEG116" s="181"/>
      <c r="DEH116" s="182"/>
      <c r="DEI116" s="181"/>
      <c r="DEJ116" s="182"/>
      <c r="DEK116" s="181"/>
      <c r="DEL116" s="182"/>
      <c r="DEM116" s="181"/>
      <c r="DEN116" s="182"/>
      <c r="DEO116" s="181"/>
      <c r="DEP116" s="182"/>
      <c r="DEQ116" s="181"/>
      <c r="DER116" s="182"/>
      <c r="DES116" s="181"/>
      <c r="DET116" s="182"/>
      <c r="DEU116" s="181"/>
      <c r="DEV116" s="182"/>
      <c r="DEW116" s="181"/>
      <c r="DEX116" s="182"/>
      <c r="DEY116" s="181"/>
      <c r="DEZ116" s="182"/>
      <c r="DFA116" s="181"/>
      <c r="DFB116" s="182"/>
      <c r="DFC116" s="181"/>
      <c r="DFD116" s="182"/>
      <c r="DFE116" s="181"/>
      <c r="DFF116" s="182"/>
      <c r="DFG116" s="181"/>
      <c r="DFH116" s="182"/>
      <c r="DFI116" s="181"/>
      <c r="DFJ116" s="182"/>
      <c r="DFK116" s="181"/>
      <c r="DFL116" s="182"/>
      <c r="DFM116" s="181"/>
      <c r="DFN116" s="182"/>
      <c r="DFO116" s="181"/>
      <c r="DFP116" s="182"/>
      <c r="DFQ116" s="181"/>
      <c r="DFR116" s="182"/>
      <c r="DFS116" s="181"/>
      <c r="DFT116" s="182"/>
      <c r="DFU116" s="181"/>
      <c r="DFV116" s="182"/>
      <c r="DFW116" s="181"/>
      <c r="DFX116" s="182"/>
      <c r="DFY116" s="181"/>
      <c r="DFZ116" s="182"/>
      <c r="DGA116" s="181"/>
      <c r="DGB116" s="182"/>
      <c r="DGC116" s="181"/>
      <c r="DGD116" s="182"/>
      <c r="DGE116" s="181"/>
      <c r="DGF116" s="182"/>
      <c r="DGG116" s="181"/>
      <c r="DGH116" s="182"/>
      <c r="DGI116" s="181"/>
      <c r="DGJ116" s="182"/>
      <c r="DGK116" s="181"/>
      <c r="DGL116" s="182"/>
      <c r="DGM116" s="181"/>
      <c r="DGN116" s="182"/>
      <c r="DGO116" s="181"/>
      <c r="DGP116" s="182"/>
      <c r="DGQ116" s="181"/>
      <c r="DGR116" s="182"/>
      <c r="DGS116" s="181"/>
      <c r="DGT116" s="182"/>
      <c r="DGU116" s="181"/>
      <c r="DGV116" s="182"/>
      <c r="DGW116" s="181"/>
      <c r="DGX116" s="182"/>
      <c r="DGY116" s="181"/>
      <c r="DGZ116" s="182"/>
      <c r="DHA116" s="181"/>
      <c r="DHB116" s="182"/>
      <c r="DHC116" s="181"/>
      <c r="DHD116" s="182"/>
      <c r="DHE116" s="181"/>
      <c r="DHF116" s="182"/>
      <c r="DHG116" s="181"/>
      <c r="DHH116" s="182"/>
      <c r="DHI116" s="181"/>
      <c r="DHJ116" s="182"/>
      <c r="DHK116" s="181"/>
      <c r="DHL116" s="182"/>
      <c r="DHM116" s="181"/>
      <c r="DHN116" s="182"/>
      <c r="DHO116" s="181"/>
      <c r="DHP116" s="182"/>
      <c r="DHQ116" s="181"/>
      <c r="DHR116" s="182"/>
      <c r="DHS116" s="181"/>
      <c r="DHT116" s="182"/>
      <c r="DHU116" s="181"/>
      <c r="DHV116" s="182"/>
      <c r="DHW116" s="181"/>
      <c r="DHX116" s="182"/>
      <c r="DHY116" s="181"/>
      <c r="DHZ116" s="182"/>
      <c r="DIA116" s="181"/>
      <c r="DIB116" s="182"/>
      <c r="DIC116" s="181"/>
      <c r="DID116" s="182"/>
      <c r="DIE116" s="181"/>
      <c r="DIF116" s="182"/>
      <c r="DIG116" s="181"/>
      <c r="DIH116" s="182"/>
      <c r="DII116" s="181"/>
      <c r="DIJ116" s="182"/>
      <c r="DIK116" s="181"/>
      <c r="DIL116" s="182"/>
      <c r="DIM116" s="181"/>
      <c r="DIN116" s="182"/>
      <c r="DIO116" s="181"/>
      <c r="DIP116" s="182"/>
      <c r="DIQ116" s="181"/>
      <c r="DIR116" s="182"/>
      <c r="DIS116" s="181"/>
      <c r="DIT116" s="182"/>
      <c r="DIU116" s="181"/>
      <c r="DIV116" s="182"/>
      <c r="DIW116" s="181"/>
      <c r="DIX116" s="182"/>
      <c r="DIY116" s="181"/>
      <c r="DIZ116" s="182"/>
      <c r="DJA116" s="181"/>
      <c r="DJB116" s="182"/>
      <c r="DJC116" s="181"/>
      <c r="DJD116" s="182"/>
      <c r="DJE116" s="181"/>
      <c r="DJF116" s="182"/>
      <c r="DJG116" s="181"/>
      <c r="DJH116" s="182"/>
      <c r="DJI116" s="181"/>
      <c r="DJJ116" s="182"/>
      <c r="DJK116" s="181"/>
      <c r="DJL116" s="182"/>
      <c r="DJM116" s="181"/>
      <c r="DJN116" s="182"/>
      <c r="DJO116" s="181"/>
      <c r="DJP116" s="182"/>
      <c r="DJQ116" s="181"/>
      <c r="DJR116" s="182"/>
      <c r="DJS116" s="181"/>
      <c r="DJT116" s="182"/>
      <c r="DJU116" s="181"/>
      <c r="DJV116" s="182"/>
      <c r="DJW116" s="181"/>
      <c r="DJX116" s="182"/>
      <c r="DJY116" s="181"/>
      <c r="DJZ116" s="182"/>
      <c r="DKA116" s="181"/>
      <c r="DKB116" s="182"/>
      <c r="DKC116" s="181"/>
      <c r="DKD116" s="182"/>
      <c r="DKE116" s="181"/>
      <c r="DKF116" s="182"/>
      <c r="DKG116" s="181"/>
      <c r="DKH116" s="182"/>
      <c r="DKI116" s="181"/>
      <c r="DKJ116" s="182"/>
      <c r="DKK116" s="181"/>
      <c r="DKL116" s="182"/>
      <c r="DKM116" s="181"/>
      <c r="DKN116" s="182"/>
      <c r="DKO116" s="181"/>
      <c r="DKP116" s="182"/>
      <c r="DKQ116" s="181"/>
      <c r="DKR116" s="182"/>
      <c r="DKS116" s="181"/>
      <c r="DKT116" s="182"/>
      <c r="DKU116" s="181"/>
      <c r="DKV116" s="182"/>
      <c r="DKW116" s="181"/>
      <c r="DKX116" s="182"/>
      <c r="DKY116" s="181"/>
      <c r="DKZ116" s="182"/>
      <c r="DLA116" s="181"/>
      <c r="DLB116" s="182"/>
      <c r="DLC116" s="181"/>
      <c r="DLD116" s="182"/>
      <c r="DLE116" s="181"/>
      <c r="DLF116" s="182"/>
      <c r="DLG116" s="181"/>
      <c r="DLH116" s="182"/>
      <c r="DLI116" s="181"/>
      <c r="DLJ116" s="182"/>
      <c r="DLK116" s="181"/>
      <c r="DLL116" s="182"/>
      <c r="DLM116" s="181"/>
      <c r="DLN116" s="182"/>
      <c r="DLO116" s="181"/>
      <c r="DLP116" s="182"/>
      <c r="DLQ116" s="181"/>
      <c r="DLR116" s="182"/>
      <c r="DLS116" s="181"/>
      <c r="DLT116" s="182"/>
      <c r="DLU116" s="181"/>
      <c r="DLV116" s="182"/>
      <c r="DLW116" s="181"/>
      <c r="DLX116" s="182"/>
      <c r="DLY116" s="181"/>
      <c r="DLZ116" s="182"/>
      <c r="DMA116" s="181"/>
      <c r="DMB116" s="182"/>
      <c r="DMC116" s="181"/>
      <c r="DMD116" s="182"/>
      <c r="DME116" s="181"/>
      <c r="DMF116" s="182"/>
      <c r="DMG116" s="181"/>
      <c r="DMH116" s="182"/>
      <c r="DMI116" s="181"/>
      <c r="DMJ116" s="182"/>
      <c r="DMK116" s="181"/>
      <c r="DML116" s="182"/>
      <c r="DMM116" s="181"/>
      <c r="DMN116" s="182"/>
      <c r="DMO116" s="181"/>
      <c r="DMP116" s="182"/>
      <c r="DMQ116" s="181"/>
      <c r="DMR116" s="182"/>
      <c r="DMS116" s="181"/>
      <c r="DMT116" s="182"/>
      <c r="DMU116" s="181"/>
      <c r="DMV116" s="182"/>
      <c r="DMW116" s="181"/>
      <c r="DMX116" s="182"/>
      <c r="DMY116" s="181"/>
      <c r="DMZ116" s="182"/>
      <c r="DNA116" s="181"/>
      <c r="DNB116" s="182"/>
      <c r="DNC116" s="181"/>
      <c r="DND116" s="182"/>
      <c r="DNE116" s="181"/>
      <c r="DNF116" s="182"/>
      <c r="DNG116" s="181"/>
      <c r="DNH116" s="182"/>
      <c r="DNI116" s="181"/>
      <c r="DNJ116" s="182"/>
      <c r="DNK116" s="181"/>
      <c r="DNL116" s="182"/>
      <c r="DNM116" s="181"/>
      <c r="DNN116" s="182"/>
      <c r="DNO116" s="181"/>
      <c r="DNP116" s="182"/>
      <c r="DNQ116" s="181"/>
      <c r="DNR116" s="182"/>
      <c r="DNS116" s="181"/>
      <c r="DNT116" s="182"/>
      <c r="DNU116" s="181"/>
      <c r="DNV116" s="182"/>
      <c r="DNW116" s="181"/>
      <c r="DNX116" s="182"/>
      <c r="DNY116" s="181"/>
      <c r="DNZ116" s="182"/>
      <c r="DOA116" s="181"/>
      <c r="DOB116" s="182"/>
      <c r="DOC116" s="181"/>
      <c r="DOD116" s="182"/>
      <c r="DOE116" s="181"/>
      <c r="DOF116" s="182"/>
      <c r="DOG116" s="181"/>
      <c r="DOH116" s="182"/>
      <c r="DOI116" s="181"/>
      <c r="DOJ116" s="182"/>
      <c r="DOK116" s="181"/>
      <c r="DOL116" s="182"/>
      <c r="DOM116" s="181"/>
      <c r="DON116" s="182"/>
      <c r="DOO116" s="181"/>
      <c r="DOP116" s="182"/>
      <c r="DOQ116" s="181"/>
      <c r="DOR116" s="182"/>
      <c r="DOS116" s="181"/>
      <c r="DOT116" s="182"/>
      <c r="DOU116" s="181"/>
      <c r="DOV116" s="182"/>
      <c r="DOW116" s="181"/>
      <c r="DOX116" s="182"/>
      <c r="DOY116" s="181"/>
      <c r="DOZ116" s="182"/>
      <c r="DPA116" s="181"/>
      <c r="DPB116" s="182"/>
      <c r="DPC116" s="181"/>
      <c r="DPD116" s="182"/>
      <c r="DPE116" s="181"/>
      <c r="DPF116" s="182"/>
      <c r="DPG116" s="181"/>
      <c r="DPH116" s="182"/>
      <c r="DPI116" s="181"/>
      <c r="DPJ116" s="182"/>
      <c r="DPK116" s="181"/>
      <c r="DPL116" s="182"/>
      <c r="DPM116" s="181"/>
      <c r="DPN116" s="182"/>
      <c r="DPO116" s="181"/>
      <c r="DPP116" s="182"/>
      <c r="DPQ116" s="181"/>
      <c r="DPR116" s="182"/>
      <c r="DPS116" s="181"/>
      <c r="DPT116" s="182"/>
      <c r="DPU116" s="181"/>
      <c r="DPV116" s="182"/>
      <c r="DPW116" s="181"/>
      <c r="DPX116" s="182"/>
      <c r="DPY116" s="181"/>
      <c r="DPZ116" s="182"/>
      <c r="DQA116" s="181"/>
      <c r="DQB116" s="182"/>
      <c r="DQC116" s="181"/>
      <c r="DQD116" s="182"/>
      <c r="DQE116" s="181"/>
      <c r="DQF116" s="182"/>
      <c r="DQG116" s="181"/>
      <c r="DQH116" s="182"/>
      <c r="DQI116" s="181"/>
      <c r="DQJ116" s="182"/>
      <c r="DQK116" s="181"/>
      <c r="DQL116" s="182"/>
      <c r="DQM116" s="181"/>
      <c r="DQN116" s="182"/>
      <c r="DQO116" s="181"/>
      <c r="DQP116" s="182"/>
      <c r="DQQ116" s="181"/>
      <c r="DQR116" s="182"/>
      <c r="DQS116" s="181"/>
      <c r="DQT116" s="182"/>
      <c r="DQU116" s="181"/>
      <c r="DQV116" s="182"/>
      <c r="DQW116" s="181"/>
      <c r="DQX116" s="182"/>
      <c r="DQY116" s="181"/>
      <c r="DQZ116" s="182"/>
      <c r="DRA116" s="181"/>
      <c r="DRB116" s="182"/>
      <c r="DRC116" s="181"/>
      <c r="DRD116" s="182"/>
      <c r="DRE116" s="181"/>
      <c r="DRF116" s="182"/>
      <c r="DRG116" s="181"/>
      <c r="DRH116" s="182"/>
      <c r="DRI116" s="181"/>
      <c r="DRJ116" s="182"/>
      <c r="DRK116" s="181"/>
      <c r="DRL116" s="182"/>
      <c r="DRM116" s="181"/>
      <c r="DRN116" s="182"/>
      <c r="DRO116" s="181"/>
      <c r="DRP116" s="182"/>
      <c r="DRQ116" s="181"/>
      <c r="DRR116" s="182"/>
      <c r="DRS116" s="181"/>
      <c r="DRT116" s="182"/>
      <c r="DRU116" s="181"/>
      <c r="DRV116" s="182"/>
      <c r="DRW116" s="181"/>
      <c r="DRX116" s="182"/>
      <c r="DRY116" s="181"/>
      <c r="DRZ116" s="182"/>
      <c r="DSA116" s="181"/>
      <c r="DSB116" s="182"/>
      <c r="DSC116" s="181"/>
      <c r="DSD116" s="182"/>
      <c r="DSE116" s="181"/>
      <c r="DSF116" s="182"/>
      <c r="DSG116" s="181"/>
      <c r="DSH116" s="182"/>
      <c r="DSI116" s="181"/>
      <c r="DSJ116" s="182"/>
      <c r="DSK116" s="181"/>
      <c r="DSL116" s="182"/>
      <c r="DSM116" s="181"/>
      <c r="DSN116" s="182"/>
      <c r="DSO116" s="181"/>
      <c r="DSP116" s="182"/>
      <c r="DSQ116" s="181"/>
      <c r="DSR116" s="182"/>
      <c r="DSS116" s="181"/>
      <c r="DST116" s="182"/>
      <c r="DSU116" s="181"/>
      <c r="DSV116" s="182"/>
      <c r="DSW116" s="181"/>
      <c r="DSX116" s="182"/>
      <c r="DSY116" s="181"/>
      <c r="DSZ116" s="182"/>
      <c r="DTA116" s="181"/>
      <c r="DTB116" s="182"/>
      <c r="DTC116" s="181"/>
      <c r="DTD116" s="182"/>
      <c r="DTE116" s="181"/>
      <c r="DTF116" s="182"/>
      <c r="DTG116" s="181"/>
      <c r="DTH116" s="182"/>
      <c r="DTI116" s="181"/>
      <c r="DTJ116" s="182"/>
      <c r="DTK116" s="181"/>
      <c r="DTL116" s="182"/>
      <c r="DTM116" s="181"/>
      <c r="DTN116" s="182"/>
      <c r="DTO116" s="181"/>
      <c r="DTP116" s="182"/>
      <c r="DTQ116" s="181"/>
      <c r="DTR116" s="182"/>
      <c r="DTS116" s="181"/>
      <c r="DTT116" s="182"/>
      <c r="DTU116" s="181"/>
      <c r="DTV116" s="182"/>
      <c r="DTW116" s="181"/>
      <c r="DTX116" s="182"/>
      <c r="DTY116" s="181"/>
      <c r="DTZ116" s="182"/>
      <c r="DUA116" s="181"/>
      <c r="DUB116" s="182"/>
      <c r="DUC116" s="181"/>
      <c r="DUD116" s="182"/>
      <c r="DUE116" s="181"/>
      <c r="DUF116" s="182"/>
      <c r="DUG116" s="181"/>
      <c r="DUH116" s="182"/>
      <c r="DUI116" s="181"/>
      <c r="DUJ116" s="182"/>
      <c r="DUK116" s="181"/>
      <c r="DUL116" s="182"/>
      <c r="DUM116" s="181"/>
      <c r="DUN116" s="182"/>
      <c r="DUO116" s="181"/>
      <c r="DUP116" s="182"/>
      <c r="DUQ116" s="181"/>
      <c r="DUR116" s="182"/>
      <c r="DUS116" s="181"/>
      <c r="DUT116" s="182"/>
      <c r="DUU116" s="181"/>
      <c r="DUV116" s="182"/>
      <c r="DUW116" s="181"/>
      <c r="DUX116" s="182"/>
      <c r="DUY116" s="181"/>
      <c r="DUZ116" s="182"/>
      <c r="DVA116" s="181"/>
      <c r="DVB116" s="182"/>
      <c r="DVC116" s="181"/>
      <c r="DVD116" s="182"/>
      <c r="DVE116" s="181"/>
      <c r="DVF116" s="182"/>
      <c r="DVG116" s="181"/>
      <c r="DVH116" s="182"/>
      <c r="DVI116" s="181"/>
      <c r="DVJ116" s="182"/>
      <c r="DVK116" s="181"/>
      <c r="DVL116" s="182"/>
      <c r="DVM116" s="181"/>
      <c r="DVN116" s="182"/>
      <c r="DVO116" s="181"/>
      <c r="DVP116" s="182"/>
      <c r="DVQ116" s="181"/>
      <c r="DVR116" s="182"/>
      <c r="DVS116" s="181"/>
      <c r="DVT116" s="182"/>
      <c r="DVU116" s="181"/>
      <c r="DVV116" s="182"/>
      <c r="DVW116" s="181"/>
      <c r="DVX116" s="182"/>
      <c r="DVY116" s="181"/>
      <c r="DVZ116" s="182"/>
      <c r="DWA116" s="181"/>
      <c r="DWB116" s="182"/>
      <c r="DWC116" s="181"/>
      <c r="DWD116" s="182"/>
      <c r="DWE116" s="181"/>
      <c r="DWF116" s="182"/>
      <c r="DWG116" s="181"/>
      <c r="DWH116" s="182"/>
      <c r="DWI116" s="181"/>
      <c r="DWJ116" s="182"/>
      <c r="DWK116" s="181"/>
      <c r="DWL116" s="182"/>
      <c r="DWM116" s="181"/>
      <c r="DWN116" s="182"/>
      <c r="DWO116" s="181"/>
      <c r="DWP116" s="182"/>
      <c r="DWQ116" s="181"/>
      <c r="DWR116" s="182"/>
      <c r="DWS116" s="181"/>
      <c r="DWT116" s="182"/>
      <c r="DWU116" s="181"/>
      <c r="DWV116" s="182"/>
      <c r="DWW116" s="181"/>
      <c r="DWX116" s="182"/>
      <c r="DWY116" s="181"/>
      <c r="DWZ116" s="182"/>
      <c r="DXA116" s="181"/>
      <c r="DXB116" s="182"/>
      <c r="DXC116" s="181"/>
      <c r="DXD116" s="182"/>
      <c r="DXE116" s="181"/>
      <c r="DXF116" s="182"/>
      <c r="DXG116" s="181"/>
      <c r="DXH116" s="182"/>
      <c r="DXI116" s="181"/>
      <c r="DXJ116" s="182"/>
      <c r="DXK116" s="181"/>
      <c r="DXL116" s="182"/>
      <c r="DXM116" s="181"/>
      <c r="DXN116" s="182"/>
      <c r="DXO116" s="181"/>
      <c r="DXP116" s="182"/>
      <c r="DXQ116" s="181"/>
      <c r="DXR116" s="182"/>
      <c r="DXS116" s="181"/>
      <c r="DXT116" s="182"/>
      <c r="DXU116" s="181"/>
      <c r="DXV116" s="182"/>
      <c r="DXW116" s="181"/>
      <c r="DXX116" s="182"/>
      <c r="DXY116" s="181"/>
      <c r="DXZ116" s="182"/>
      <c r="DYA116" s="181"/>
      <c r="DYB116" s="182"/>
      <c r="DYC116" s="181"/>
      <c r="DYD116" s="182"/>
      <c r="DYE116" s="181"/>
      <c r="DYF116" s="182"/>
      <c r="DYG116" s="181"/>
      <c r="DYH116" s="182"/>
      <c r="DYI116" s="181"/>
      <c r="DYJ116" s="182"/>
      <c r="DYK116" s="181"/>
      <c r="DYL116" s="182"/>
      <c r="DYM116" s="181"/>
      <c r="DYN116" s="182"/>
      <c r="DYO116" s="181"/>
      <c r="DYP116" s="182"/>
      <c r="DYQ116" s="181"/>
      <c r="DYR116" s="182"/>
      <c r="DYS116" s="181"/>
      <c r="DYT116" s="182"/>
      <c r="DYU116" s="181"/>
      <c r="DYV116" s="182"/>
      <c r="DYW116" s="181"/>
      <c r="DYX116" s="182"/>
      <c r="DYY116" s="181"/>
      <c r="DYZ116" s="182"/>
      <c r="DZA116" s="181"/>
      <c r="DZB116" s="182"/>
      <c r="DZC116" s="181"/>
      <c r="DZD116" s="182"/>
      <c r="DZE116" s="181"/>
      <c r="DZF116" s="182"/>
      <c r="DZG116" s="181"/>
      <c r="DZH116" s="182"/>
      <c r="DZI116" s="181"/>
      <c r="DZJ116" s="182"/>
      <c r="DZK116" s="181"/>
      <c r="DZL116" s="182"/>
      <c r="DZM116" s="181"/>
      <c r="DZN116" s="182"/>
      <c r="DZO116" s="181"/>
      <c r="DZP116" s="182"/>
      <c r="DZQ116" s="181"/>
      <c r="DZR116" s="182"/>
      <c r="DZS116" s="181"/>
      <c r="DZT116" s="182"/>
      <c r="DZU116" s="181"/>
      <c r="DZV116" s="182"/>
      <c r="DZW116" s="181"/>
      <c r="DZX116" s="182"/>
      <c r="DZY116" s="181"/>
      <c r="DZZ116" s="182"/>
      <c r="EAA116" s="181"/>
      <c r="EAB116" s="182"/>
      <c r="EAC116" s="181"/>
      <c r="EAD116" s="182"/>
      <c r="EAE116" s="181"/>
      <c r="EAF116" s="182"/>
      <c r="EAG116" s="181"/>
      <c r="EAH116" s="182"/>
      <c r="EAI116" s="181"/>
      <c r="EAJ116" s="182"/>
      <c r="EAK116" s="181"/>
      <c r="EAL116" s="182"/>
      <c r="EAM116" s="181"/>
      <c r="EAN116" s="182"/>
      <c r="EAO116" s="181"/>
      <c r="EAP116" s="182"/>
      <c r="EAQ116" s="181"/>
      <c r="EAR116" s="182"/>
      <c r="EAS116" s="181"/>
      <c r="EAT116" s="182"/>
      <c r="EAU116" s="181"/>
      <c r="EAV116" s="182"/>
      <c r="EAW116" s="181"/>
      <c r="EAX116" s="182"/>
      <c r="EAY116" s="181"/>
      <c r="EAZ116" s="182"/>
      <c r="EBA116" s="181"/>
      <c r="EBB116" s="182"/>
      <c r="EBC116" s="181"/>
      <c r="EBD116" s="182"/>
      <c r="EBE116" s="181"/>
      <c r="EBF116" s="182"/>
      <c r="EBG116" s="181"/>
      <c r="EBH116" s="182"/>
      <c r="EBI116" s="181"/>
      <c r="EBJ116" s="182"/>
      <c r="EBK116" s="181"/>
      <c r="EBL116" s="182"/>
      <c r="EBM116" s="181"/>
      <c r="EBN116" s="182"/>
      <c r="EBO116" s="181"/>
      <c r="EBP116" s="182"/>
      <c r="EBQ116" s="181"/>
      <c r="EBR116" s="182"/>
      <c r="EBS116" s="181"/>
      <c r="EBT116" s="182"/>
      <c r="EBU116" s="181"/>
      <c r="EBV116" s="182"/>
      <c r="EBW116" s="181"/>
      <c r="EBX116" s="182"/>
      <c r="EBY116" s="181"/>
      <c r="EBZ116" s="182"/>
      <c r="ECA116" s="181"/>
      <c r="ECB116" s="182"/>
      <c r="ECC116" s="181"/>
      <c r="ECD116" s="182"/>
      <c r="ECE116" s="181"/>
      <c r="ECF116" s="182"/>
      <c r="ECG116" s="181"/>
      <c r="ECH116" s="182"/>
      <c r="ECI116" s="181"/>
      <c r="ECJ116" s="182"/>
      <c r="ECK116" s="181"/>
      <c r="ECL116" s="182"/>
      <c r="ECM116" s="181"/>
      <c r="ECN116" s="182"/>
      <c r="ECO116" s="181"/>
      <c r="ECP116" s="182"/>
      <c r="ECQ116" s="181"/>
      <c r="ECR116" s="182"/>
      <c r="ECS116" s="181"/>
      <c r="ECT116" s="182"/>
      <c r="ECU116" s="181"/>
      <c r="ECV116" s="182"/>
      <c r="ECW116" s="181"/>
      <c r="ECX116" s="182"/>
      <c r="ECY116" s="181"/>
      <c r="ECZ116" s="182"/>
      <c r="EDA116" s="181"/>
      <c r="EDB116" s="182"/>
      <c r="EDC116" s="181"/>
      <c r="EDD116" s="182"/>
      <c r="EDE116" s="181"/>
      <c r="EDF116" s="182"/>
      <c r="EDG116" s="181"/>
      <c r="EDH116" s="182"/>
      <c r="EDI116" s="181"/>
      <c r="EDJ116" s="182"/>
      <c r="EDK116" s="181"/>
      <c r="EDL116" s="182"/>
      <c r="EDM116" s="181"/>
      <c r="EDN116" s="182"/>
      <c r="EDO116" s="181"/>
      <c r="EDP116" s="182"/>
      <c r="EDQ116" s="181"/>
      <c r="EDR116" s="182"/>
      <c r="EDS116" s="181"/>
      <c r="EDT116" s="182"/>
      <c r="EDU116" s="181"/>
      <c r="EDV116" s="182"/>
      <c r="EDW116" s="181"/>
      <c r="EDX116" s="182"/>
      <c r="EDY116" s="181"/>
      <c r="EDZ116" s="182"/>
      <c r="EEA116" s="181"/>
      <c r="EEB116" s="182"/>
      <c r="EEC116" s="181"/>
      <c r="EED116" s="182"/>
      <c r="EEE116" s="181"/>
      <c r="EEF116" s="182"/>
      <c r="EEG116" s="181"/>
      <c r="EEH116" s="182"/>
      <c r="EEI116" s="181"/>
      <c r="EEJ116" s="182"/>
      <c r="EEK116" s="181"/>
      <c r="EEL116" s="182"/>
      <c r="EEM116" s="181"/>
      <c r="EEN116" s="182"/>
      <c r="EEO116" s="181"/>
      <c r="EEP116" s="182"/>
      <c r="EEQ116" s="181"/>
      <c r="EER116" s="182"/>
      <c r="EES116" s="181"/>
      <c r="EET116" s="182"/>
      <c r="EEU116" s="181"/>
      <c r="EEV116" s="182"/>
      <c r="EEW116" s="181"/>
      <c r="EEX116" s="182"/>
      <c r="EEY116" s="181"/>
      <c r="EEZ116" s="182"/>
      <c r="EFA116" s="181"/>
      <c r="EFB116" s="182"/>
      <c r="EFC116" s="181"/>
      <c r="EFD116" s="182"/>
      <c r="EFE116" s="181"/>
      <c r="EFF116" s="182"/>
      <c r="EFG116" s="181"/>
      <c r="EFH116" s="182"/>
      <c r="EFI116" s="181"/>
      <c r="EFJ116" s="182"/>
      <c r="EFK116" s="181"/>
      <c r="EFL116" s="182"/>
      <c r="EFM116" s="181"/>
      <c r="EFN116" s="182"/>
      <c r="EFO116" s="181"/>
      <c r="EFP116" s="182"/>
      <c r="EFQ116" s="181"/>
      <c r="EFR116" s="182"/>
      <c r="EFS116" s="181"/>
      <c r="EFT116" s="182"/>
      <c r="EFU116" s="181"/>
      <c r="EFV116" s="182"/>
      <c r="EFW116" s="181"/>
      <c r="EFX116" s="182"/>
      <c r="EFY116" s="181"/>
      <c r="EFZ116" s="182"/>
      <c r="EGA116" s="181"/>
      <c r="EGB116" s="182"/>
      <c r="EGC116" s="181"/>
      <c r="EGD116" s="182"/>
      <c r="EGE116" s="181"/>
      <c r="EGF116" s="182"/>
      <c r="EGG116" s="181"/>
      <c r="EGH116" s="182"/>
      <c r="EGI116" s="181"/>
      <c r="EGJ116" s="182"/>
      <c r="EGK116" s="181"/>
      <c r="EGL116" s="182"/>
      <c r="EGM116" s="181"/>
      <c r="EGN116" s="182"/>
      <c r="EGO116" s="181"/>
      <c r="EGP116" s="182"/>
      <c r="EGQ116" s="181"/>
      <c r="EGR116" s="182"/>
      <c r="EGS116" s="181"/>
      <c r="EGT116" s="182"/>
      <c r="EGU116" s="181"/>
      <c r="EGV116" s="182"/>
      <c r="EGW116" s="181"/>
      <c r="EGX116" s="182"/>
      <c r="EGY116" s="181"/>
      <c r="EGZ116" s="182"/>
      <c r="EHA116" s="181"/>
      <c r="EHB116" s="182"/>
      <c r="EHC116" s="181"/>
      <c r="EHD116" s="182"/>
      <c r="EHE116" s="181"/>
      <c r="EHF116" s="182"/>
      <c r="EHG116" s="181"/>
      <c r="EHH116" s="182"/>
      <c r="EHI116" s="181"/>
      <c r="EHJ116" s="182"/>
      <c r="EHK116" s="181"/>
      <c r="EHL116" s="182"/>
      <c r="EHM116" s="181"/>
      <c r="EHN116" s="182"/>
      <c r="EHO116" s="181"/>
      <c r="EHP116" s="182"/>
      <c r="EHQ116" s="181"/>
      <c r="EHR116" s="182"/>
      <c r="EHS116" s="181"/>
      <c r="EHT116" s="182"/>
      <c r="EHU116" s="181"/>
      <c r="EHV116" s="182"/>
      <c r="EHW116" s="181"/>
      <c r="EHX116" s="182"/>
      <c r="EHY116" s="181"/>
      <c r="EHZ116" s="182"/>
      <c r="EIA116" s="181"/>
      <c r="EIB116" s="182"/>
      <c r="EIC116" s="181"/>
      <c r="EID116" s="182"/>
      <c r="EIE116" s="181"/>
      <c r="EIF116" s="182"/>
      <c r="EIG116" s="181"/>
      <c r="EIH116" s="182"/>
      <c r="EII116" s="181"/>
      <c r="EIJ116" s="182"/>
      <c r="EIK116" s="181"/>
      <c r="EIL116" s="182"/>
      <c r="EIM116" s="181"/>
      <c r="EIN116" s="182"/>
      <c r="EIO116" s="181"/>
      <c r="EIP116" s="182"/>
      <c r="EIQ116" s="181"/>
      <c r="EIR116" s="182"/>
      <c r="EIS116" s="181"/>
      <c r="EIT116" s="182"/>
      <c r="EIU116" s="181"/>
      <c r="EIV116" s="182"/>
      <c r="EIW116" s="181"/>
      <c r="EIX116" s="182"/>
      <c r="EIY116" s="181"/>
      <c r="EIZ116" s="182"/>
      <c r="EJA116" s="181"/>
      <c r="EJB116" s="182"/>
      <c r="EJC116" s="181"/>
      <c r="EJD116" s="182"/>
      <c r="EJE116" s="181"/>
      <c r="EJF116" s="182"/>
      <c r="EJG116" s="181"/>
      <c r="EJH116" s="182"/>
      <c r="EJI116" s="181"/>
      <c r="EJJ116" s="182"/>
      <c r="EJK116" s="181"/>
      <c r="EJL116" s="182"/>
      <c r="EJM116" s="181"/>
      <c r="EJN116" s="182"/>
      <c r="EJO116" s="181"/>
      <c r="EJP116" s="182"/>
      <c r="EJQ116" s="181"/>
      <c r="EJR116" s="182"/>
      <c r="EJS116" s="181"/>
      <c r="EJT116" s="182"/>
      <c r="EJU116" s="181"/>
      <c r="EJV116" s="182"/>
      <c r="EJW116" s="181"/>
      <c r="EJX116" s="182"/>
      <c r="EJY116" s="181"/>
      <c r="EJZ116" s="182"/>
      <c r="EKA116" s="181"/>
      <c r="EKB116" s="182"/>
      <c r="EKC116" s="181"/>
      <c r="EKD116" s="182"/>
      <c r="EKE116" s="181"/>
      <c r="EKF116" s="182"/>
      <c r="EKG116" s="181"/>
      <c r="EKH116" s="182"/>
      <c r="EKI116" s="181"/>
      <c r="EKJ116" s="182"/>
      <c r="EKK116" s="181"/>
      <c r="EKL116" s="182"/>
      <c r="EKM116" s="181"/>
      <c r="EKN116" s="182"/>
      <c r="EKO116" s="181"/>
      <c r="EKP116" s="182"/>
      <c r="EKQ116" s="181"/>
      <c r="EKR116" s="182"/>
      <c r="EKS116" s="181"/>
      <c r="EKT116" s="182"/>
      <c r="EKU116" s="181"/>
      <c r="EKV116" s="182"/>
      <c r="EKW116" s="181"/>
      <c r="EKX116" s="182"/>
      <c r="EKY116" s="181"/>
      <c r="EKZ116" s="182"/>
      <c r="ELA116" s="181"/>
      <c r="ELB116" s="182"/>
      <c r="ELC116" s="181"/>
      <c r="ELD116" s="182"/>
      <c r="ELE116" s="181"/>
      <c r="ELF116" s="182"/>
      <c r="ELG116" s="181"/>
      <c r="ELH116" s="182"/>
      <c r="ELI116" s="181"/>
      <c r="ELJ116" s="182"/>
      <c r="ELK116" s="181"/>
      <c r="ELL116" s="182"/>
      <c r="ELM116" s="181"/>
      <c r="ELN116" s="182"/>
      <c r="ELO116" s="181"/>
      <c r="ELP116" s="182"/>
      <c r="ELQ116" s="181"/>
      <c r="ELR116" s="182"/>
      <c r="ELS116" s="181"/>
      <c r="ELT116" s="182"/>
      <c r="ELU116" s="181"/>
      <c r="ELV116" s="182"/>
      <c r="ELW116" s="181"/>
      <c r="ELX116" s="182"/>
      <c r="ELY116" s="181"/>
      <c r="ELZ116" s="182"/>
      <c r="EMA116" s="181"/>
      <c r="EMB116" s="182"/>
      <c r="EMC116" s="181"/>
      <c r="EMD116" s="182"/>
      <c r="EME116" s="181"/>
      <c r="EMF116" s="182"/>
      <c r="EMG116" s="181"/>
      <c r="EMH116" s="182"/>
      <c r="EMI116" s="181"/>
      <c r="EMJ116" s="182"/>
      <c r="EMK116" s="181"/>
      <c r="EML116" s="182"/>
      <c r="EMM116" s="181"/>
      <c r="EMN116" s="182"/>
      <c r="EMO116" s="181"/>
      <c r="EMP116" s="182"/>
      <c r="EMQ116" s="181"/>
      <c r="EMR116" s="182"/>
      <c r="EMS116" s="181"/>
      <c r="EMT116" s="182"/>
      <c r="EMU116" s="181"/>
      <c r="EMV116" s="182"/>
      <c r="EMW116" s="181"/>
      <c r="EMX116" s="182"/>
      <c r="EMY116" s="181"/>
      <c r="EMZ116" s="182"/>
      <c r="ENA116" s="181"/>
      <c r="ENB116" s="182"/>
      <c r="ENC116" s="181"/>
      <c r="END116" s="182"/>
      <c r="ENE116" s="181"/>
      <c r="ENF116" s="182"/>
      <c r="ENG116" s="181"/>
      <c r="ENH116" s="182"/>
      <c r="ENI116" s="181"/>
      <c r="ENJ116" s="182"/>
      <c r="ENK116" s="181"/>
      <c r="ENL116" s="182"/>
      <c r="ENM116" s="181"/>
      <c r="ENN116" s="182"/>
      <c r="ENO116" s="181"/>
      <c r="ENP116" s="182"/>
      <c r="ENQ116" s="181"/>
      <c r="ENR116" s="182"/>
      <c r="ENS116" s="181"/>
      <c r="ENT116" s="182"/>
      <c r="ENU116" s="181"/>
      <c r="ENV116" s="182"/>
      <c r="ENW116" s="181"/>
      <c r="ENX116" s="182"/>
      <c r="ENY116" s="181"/>
      <c r="ENZ116" s="182"/>
      <c r="EOA116" s="181"/>
      <c r="EOB116" s="182"/>
      <c r="EOC116" s="181"/>
      <c r="EOD116" s="182"/>
      <c r="EOE116" s="181"/>
      <c r="EOF116" s="182"/>
      <c r="EOG116" s="181"/>
      <c r="EOH116" s="182"/>
      <c r="EOI116" s="181"/>
      <c r="EOJ116" s="182"/>
      <c r="EOK116" s="181"/>
      <c r="EOL116" s="182"/>
      <c r="EOM116" s="181"/>
      <c r="EON116" s="182"/>
      <c r="EOO116" s="181"/>
      <c r="EOP116" s="182"/>
      <c r="EOQ116" s="181"/>
      <c r="EOR116" s="182"/>
      <c r="EOS116" s="181"/>
      <c r="EOT116" s="182"/>
      <c r="EOU116" s="181"/>
      <c r="EOV116" s="182"/>
      <c r="EOW116" s="181"/>
      <c r="EOX116" s="182"/>
      <c r="EOY116" s="181"/>
      <c r="EOZ116" s="182"/>
      <c r="EPA116" s="181"/>
      <c r="EPB116" s="182"/>
      <c r="EPC116" s="181"/>
      <c r="EPD116" s="182"/>
      <c r="EPE116" s="181"/>
      <c r="EPF116" s="182"/>
      <c r="EPG116" s="181"/>
      <c r="EPH116" s="182"/>
      <c r="EPI116" s="181"/>
      <c r="EPJ116" s="182"/>
      <c r="EPK116" s="181"/>
      <c r="EPL116" s="182"/>
      <c r="EPM116" s="181"/>
      <c r="EPN116" s="182"/>
      <c r="EPO116" s="181"/>
      <c r="EPP116" s="182"/>
      <c r="EPQ116" s="181"/>
      <c r="EPR116" s="182"/>
      <c r="EPS116" s="181"/>
      <c r="EPT116" s="182"/>
      <c r="EPU116" s="181"/>
      <c r="EPV116" s="182"/>
      <c r="EPW116" s="181"/>
      <c r="EPX116" s="182"/>
      <c r="EPY116" s="181"/>
      <c r="EPZ116" s="182"/>
      <c r="EQA116" s="181"/>
      <c r="EQB116" s="182"/>
      <c r="EQC116" s="181"/>
      <c r="EQD116" s="182"/>
      <c r="EQE116" s="181"/>
      <c r="EQF116" s="182"/>
      <c r="EQG116" s="181"/>
      <c r="EQH116" s="182"/>
      <c r="EQI116" s="181"/>
      <c r="EQJ116" s="182"/>
      <c r="EQK116" s="181"/>
      <c r="EQL116" s="182"/>
      <c r="EQM116" s="181"/>
      <c r="EQN116" s="182"/>
      <c r="EQO116" s="181"/>
      <c r="EQP116" s="182"/>
      <c r="EQQ116" s="181"/>
      <c r="EQR116" s="182"/>
      <c r="EQS116" s="181"/>
      <c r="EQT116" s="182"/>
      <c r="EQU116" s="181"/>
      <c r="EQV116" s="182"/>
      <c r="EQW116" s="181"/>
      <c r="EQX116" s="182"/>
      <c r="EQY116" s="181"/>
      <c r="EQZ116" s="182"/>
      <c r="ERA116" s="181"/>
      <c r="ERB116" s="182"/>
      <c r="ERC116" s="181"/>
      <c r="ERD116" s="182"/>
      <c r="ERE116" s="181"/>
      <c r="ERF116" s="182"/>
      <c r="ERG116" s="181"/>
      <c r="ERH116" s="182"/>
      <c r="ERI116" s="181"/>
      <c r="ERJ116" s="182"/>
      <c r="ERK116" s="181"/>
      <c r="ERL116" s="182"/>
      <c r="ERM116" s="181"/>
      <c r="ERN116" s="182"/>
      <c r="ERO116" s="181"/>
      <c r="ERP116" s="182"/>
      <c r="ERQ116" s="181"/>
      <c r="ERR116" s="182"/>
      <c r="ERS116" s="181"/>
      <c r="ERT116" s="182"/>
      <c r="ERU116" s="181"/>
      <c r="ERV116" s="182"/>
      <c r="ERW116" s="181"/>
      <c r="ERX116" s="182"/>
      <c r="ERY116" s="181"/>
      <c r="ERZ116" s="182"/>
      <c r="ESA116" s="181"/>
      <c r="ESB116" s="182"/>
      <c r="ESC116" s="181"/>
      <c r="ESD116" s="182"/>
      <c r="ESE116" s="181"/>
      <c r="ESF116" s="182"/>
      <c r="ESG116" s="181"/>
      <c r="ESH116" s="182"/>
      <c r="ESI116" s="181"/>
      <c r="ESJ116" s="182"/>
      <c r="ESK116" s="181"/>
      <c r="ESL116" s="182"/>
      <c r="ESM116" s="181"/>
      <c r="ESN116" s="182"/>
      <c r="ESO116" s="181"/>
      <c r="ESP116" s="182"/>
      <c r="ESQ116" s="181"/>
      <c r="ESR116" s="182"/>
      <c r="ESS116" s="181"/>
      <c r="EST116" s="182"/>
      <c r="ESU116" s="181"/>
      <c r="ESV116" s="182"/>
      <c r="ESW116" s="181"/>
      <c r="ESX116" s="182"/>
      <c r="ESY116" s="181"/>
      <c r="ESZ116" s="182"/>
      <c r="ETA116" s="181"/>
      <c r="ETB116" s="182"/>
      <c r="ETC116" s="181"/>
      <c r="ETD116" s="182"/>
      <c r="ETE116" s="181"/>
      <c r="ETF116" s="182"/>
      <c r="ETG116" s="181"/>
      <c r="ETH116" s="182"/>
      <c r="ETI116" s="181"/>
      <c r="ETJ116" s="182"/>
      <c r="ETK116" s="181"/>
      <c r="ETL116" s="182"/>
      <c r="ETM116" s="181"/>
      <c r="ETN116" s="182"/>
      <c r="ETO116" s="181"/>
      <c r="ETP116" s="182"/>
      <c r="ETQ116" s="181"/>
      <c r="ETR116" s="182"/>
      <c r="ETS116" s="181"/>
      <c r="ETT116" s="182"/>
      <c r="ETU116" s="181"/>
      <c r="ETV116" s="182"/>
      <c r="ETW116" s="181"/>
      <c r="ETX116" s="182"/>
      <c r="ETY116" s="181"/>
      <c r="ETZ116" s="182"/>
      <c r="EUA116" s="181"/>
      <c r="EUB116" s="182"/>
      <c r="EUC116" s="181"/>
      <c r="EUD116" s="182"/>
      <c r="EUE116" s="181"/>
      <c r="EUF116" s="182"/>
      <c r="EUG116" s="181"/>
      <c r="EUH116" s="182"/>
      <c r="EUI116" s="181"/>
      <c r="EUJ116" s="182"/>
      <c r="EUK116" s="181"/>
      <c r="EUL116" s="182"/>
      <c r="EUM116" s="181"/>
      <c r="EUN116" s="182"/>
      <c r="EUO116" s="181"/>
      <c r="EUP116" s="182"/>
      <c r="EUQ116" s="181"/>
      <c r="EUR116" s="182"/>
      <c r="EUS116" s="181"/>
      <c r="EUT116" s="182"/>
      <c r="EUU116" s="181"/>
      <c r="EUV116" s="182"/>
      <c r="EUW116" s="181"/>
      <c r="EUX116" s="182"/>
      <c r="EUY116" s="181"/>
      <c r="EUZ116" s="182"/>
      <c r="EVA116" s="181"/>
      <c r="EVB116" s="182"/>
      <c r="EVC116" s="181"/>
      <c r="EVD116" s="182"/>
      <c r="EVE116" s="181"/>
      <c r="EVF116" s="182"/>
      <c r="EVG116" s="181"/>
      <c r="EVH116" s="182"/>
      <c r="EVI116" s="181"/>
      <c r="EVJ116" s="182"/>
      <c r="EVK116" s="181"/>
      <c r="EVL116" s="182"/>
      <c r="EVM116" s="181"/>
      <c r="EVN116" s="182"/>
      <c r="EVO116" s="181"/>
      <c r="EVP116" s="182"/>
      <c r="EVQ116" s="181"/>
      <c r="EVR116" s="182"/>
      <c r="EVS116" s="181"/>
      <c r="EVT116" s="182"/>
      <c r="EVU116" s="181"/>
      <c r="EVV116" s="182"/>
      <c r="EVW116" s="181"/>
      <c r="EVX116" s="182"/>
      <c r="EVY116" s="181"/>
      <c r="EVZ116" s="182"/>
      <c r="EWA116" s="181"/>
      <c r="EWB116" s="182"/>
      <c r="EWC116" s="181"/>
      <c r="EWD116" s="182"/>
      <c r="EWE116" s="181"/>
      <c r="EWF116" s="182"/>
      <c r="EWG116" s="181"/>
      <c r="EWH116" s="182"/>
      <c r="EWI116" s="181"/>
      <c r="EWJ116" s="182"/>
      <c r="EWK116" s="181"/>
      <c r="EWL116" s="182"/>
      <c r="EWM116" s="181"/>
      <c r="EWN116" s="182"/>
      <c r="EWO116" s="181"/>
      <c r="EWP116" s="182"/>
      <c r="EWQ116" s="181"/>
      <c r="EWR116" s="182"/>
      <c r="EWS116" s="181"/>
      <c r="EWT116" s="182"/>
      <c r="EWU116" s="181"/>
      <c r="EWV116" s="182"/>
      <c r="EWW116" s="181"/>
      <c r="EWX116" s="182"/>
      <c r="EWY116" s="181"/>
      <c r="EWZ116" s="182"/>
      <c r="EXA116" s="181"/>
      <c r="EXB116" s="182"/>
      <c r="EXC116" s="181"/>
      <c r="EXD116" s="182"/>
      <c r="EXE116" s="181"/>
      <c r="EXF116" s="182"/>
      <c r="EXG116" s="181"/>
      <c r="EXH116" s="182"/>
      <c r="EXI116" s="181"/>
      <c r="EXJ116" s="182"/>
      <c r="EXK116" s="181"/>
      <c r="EXL116" s="182"/>
      <c r="EXM116" s="181"/>
      <c r="EXN116" s="182"/>
      <c r="EXO116" s="181"/>
      <c r="EXP116" s="182"/>
      <c r="EXQ116" s="181"/>
      <c r="EXR116" s="182"/>
      <c r="EXS116" s="181"/>
      <c r="EXT116" s="182"/>
      <c r="EXU116" s="181"/>
      <c r="EXV116" s="182"/>
      <c r="EXW116" s="181"/>
      <c r="EXX116" s="182"/>
      <c r="EXY116" s="181"/>
      <c r="EXZ116" s="182"/>
      <c r="EYA116" s="181"/>
      <c r="EYB116" s="182"/>
      <c r="EYC116" s="181"/>
      <c r="EYD116" s="182"/>
      <c r="EYE116" s="181"/>
      <c r="EYF116" s="182"/>
      <c r="EYG116" s="181"/>
      <c r="EYH116" s="182"/>
      <c r="EYI116" s="181"/>
      <c r="EYJ116" s="182"/>
      <c r="EYK116" s="181"/>
      <c r="EYL116" s="182"/>
      <c r="EYM116" s="181"/>
      <c r="EYN116" s="182"/>
      <c r="EYO116" s="181"/>
      <c r="EYP116" s="182"/>
      <c r="EYQ116" s="181"/>
      <c r="EYR116" s="182"/>
      <c r="EYS116" s="181"/>
      <c r="EYT116" s="182"/>
      <c r="EYU116" s="181"/>
      <c r="EYV116" s="182"/>
      <c r="EYW116" s="181"/>
      <c r="EYX116" s="182"/>
      <c r="EYY116" s="181"/>
      <c r="EYZ116" s="182"/>
      <c r="EZA116" s="181"/>
      <c r="EZB116" s="182"/>
      <c r="EZC116" s="181"/>
      <c r="EZD116" s="182"/>
      <c r="EZE116" s="181"/>
      <c r="EZF116" s="182"/>
      <c r="EZG116" s="181"/>
      <c r="EZH116" s="182"/>
      <c r="EZI116" s="181"/>
      <c r="EZJ116" s="182"/>
      <c r="EZK116" s="181"/>
      <c r="EZL116" s="182"/>
      <c r="EZM116" s="181"/>
      <c r="EZN116" s="182"/>
      <c r="EZO116" s="181"/>
      <c r="EZP116" s="182"/>
      <c r="EZQ116" s="181"/>
      <c r="EZR116" s="182"/>
      <c r="EZS116" s="181"/>
      <c r="EZT116" s="182"/>
      <c r="EZU116" s="181"/>
      <c r="EZV116" s="182"/>
      <c r="EZW116" s="181"/>
      <c r="EZX116" s="182"/>
      <c r="EZY116" s="181"/>
      <c r="EZZ116" s="182"/>
      <c r="FAA116" s="181"/>
      <c r="FAB116" s="182"/>
      <c r="FAC116" s="181"/>
      <c r="FAD116" s="182"/>
      <c r="FAE116" s="181"/>
      <c r="FAF116" s="182"/>
      <c r="FAG116" s="181"/>
      <c r="FAH116" s="182"/>
      <c r="FAI116" s="181"/>
      <c r="FAJ116" s="182"/>
      <c r="FAK116" s="181"/>
      <c r="FAL116" s="182"/>
      <c r="FAM116" s="181"/>
      <c r="FAN116" s="182"/>
      <c r="FAO116" s="181"/>
      <c r="FAP116" s="182"/>
      <c r="FAQ116" s="181"/>
      <c r="FAR116" s="182"/>
      <c r="FAS116" s="181"/>
      <c r="FAT116" s="182"/>
      <c r="FAU116" s="181"/>
      <c r="FAV116" s="182"/>
      <c r="FAW116" s="181"/>
      <c r="FAX116" s="182"/>
      <c r="FAY116" s="181"/>
      <c r="FAZ116" s="182"/>
      <c r="FBA116" s="181"/>
      <c r="FBB116" s="182"/>
      <c r="FBC116" s="181"/>
      <c r="FBD116" s="182"/>
      <c r="FBE116" s="181"/>
      <c r="FBF116" s="182"/>
      <c r="FBG116" s="181"/>
      <c r="FBH116" s="182"/>
      <c r="FBI116" s="181"/>
      <c r="FBJ116" s="182"/>
      <c r="FBK116" s="181"/>
      <c r="FBL116" s="182"/>
      <c r="FBM116" s="181"/>
      <c r="FBN116" s="182"/>
      <c r="FBO116" s="181"/>
      <c r="FBP116" s="182"/>
      <c r="FBQ116" s="181"/>
      <c r="FBR116" s="182"/>
      <c r="FBS116" s="181"/>
      <c r="FBT116" s="182"/>
      <c r="FBU116" s="181"/>
      <c r="FBV116" s="182"/>
      <c r="FBW116" s="181"/>
      <c r="FBX116" s="182"/>
      <c r="FBY116" s="181"/>
      <c r="FBZ116" s="182"/>
      <c r="FCA116" s="181"/>
      <c r="FCB116" s="182"/>
      <c r="FCC116" s="181"/>
      <c r="FCD116" s="182"/>
      <c r="FCE116" s="181"/>
      <c r="FCF116" s="182"/>
      <c r="FCG116" s="181"/>
      <c r="FCH116" s="182"/>
      <c r="FCI116" s="181"/>
      <c r="FCJ116" s="182"/>
      <c r="FCK116" s="181"/>
      <c r="FCL116" s="182"/>
      <c r="FCM116" s="181"/>
      <c r="FCN116" s="182"/>
      <c r="FCO116" s="181"/>
      <c r="FCP116" s="182"/>
      <c r="FCQ116" s="181"/>
      <c r="FCR116" s="182"/>
      <c r="FCS116" s="181"/>
      <c r="FCT116" s="182"/>
      <c r="FCU116" s="181"/>
      <c r="FCV116" s="182"/>
      <c r="FCW116" s="181"/>
      <c r="FCX116" s="182"/>
      <c r="FCY116" s="181"/>
      <c r="FCZ116" s="182"/>
      <c r="FDA116" s="181"/>
      <c r="FDB116" s="182"/>
      <c r="FDC116" s="181"/>
      <c r="FDD116" s="182"/>
      <c r="FDE116" s="181"/>
      <c r="FDF116" s="182"/>
      <c r="FDG116" s="181"/>
      <c r="FDH116" s="182"/>
      <c r="FDI116" s="181"/>
      <c r="FDJ116" s="182"/>
      <c r="FDK116" s="181"/>
      <c r="FDL116" s="182"/>
      <c r="FDM116" s="181"/>
      <c r="FDN116" s="182"/>
      <c r="FDO116" s="181"/>
      <c r="FDP116" s="182"/>
      <c r="FDQ116" s="181"/>
      <c r="FDR116" s="182"/>
      <c r="FDS116" s="181"/>
      <c r="FDT116" s="182"/>
      <c r="FDU116" s="181"/>
      <c r="FDV116" s="182"/>
      <c r="FDW116" s="181"/>
      <c r="FDX116" s="182"/>
      <c r="FDY116" s="181"/>
      <c r="FDZ116" s="182"/>
      <c r="FEA116" s="181"/>
      <c r="FEB116" s="182"/>
      <c r="FEC116" s="181"/>
      <c r="FED116" s="182"/>
      <c r="FEE116" s="181"/>
      <c r="FEF116" s="182"/>
      <c r="FEG116" s="181"/>
      <c r="FEH116" s="182"/>
      <c r="FEI116" s="181"/>
      <c r="FEJ116" s="182"/>
      <c r="FEK116" s="181"/>
      <c r="FEL116" s="182"/>
      <c r="FEM116" s="181"/>
      <c r="FEN116" s="182"/>
      <c r="FEO116" s="181"/>
      <c r="FEP116" s="182"/>
      <c r="FEQ116" s="181"/>
      <c r="FER116" s="182"/>
      <c r="FES116" s="181"/>
      <c r="FET116" s="182"/>
      <c r="FEU116" s="181"/>
      <c r="FEV116" s="182"/>
      <c r="FEW116" s="181"/>
      <c r="FEX116" s="182"/>
      <c r="FEY116" s="181"/>
      <c r="FEZ116" s="182"/>
      <c r="FFA116" s="181"/>
      <c r="FFB116" s="182"/>
      <c r="FFC116" s="181"/>
      <c r="FFD116" s="182"/>
      <c r="FFE116" s="181"/>
      <c r="FFF116" s="182"/>
      <c r="FFG116" s="181"/>
      <c r="FFH116" s="182"/>
      <c r="FFI116" s="181"/>
      <c r="FFJ116" s="182"/>
      <c r="FFK116" s="181"/>
      <c r="FFL116" s="182"/>
      <c r="FFM116" s="181"/>
      <c r="FFN116" s="182"/>
      <c r="FFO116" s="181"/>
      <c r="FFP116" s="182"/>
      <c r="FFQ116" s="181"/>
      <c r="FFR116" s="182"/>
      <c r="FFS116" s="181"/>
      <c r="FFT116" s="182"/>
      <c r="FFU116" s="181"/>
      <c r="FFV116" s="182"/>
      <c r="FFW116" s="181"/>
      <c r="FFX116" s="182"/>
      <c r="FFY116" s="181"/>
      <c r="FFZ116" s="182"/>
      <c r="FGA116" s="181"/>
      <c r="FGB116" s="182"/>
      <c r="FGC116" s="181"/>
      <c r="FGD116" s="182"/>
      <c r="FGE116" s="181"/>
      <c r="FGF116" s="182"/>
      <c r="FGG116" s="181"/>
      <c r="FGH116" s="182"/>
      <c r="FGI116" s="181"/>
      <c r="FGJ116" s="182"/>
      <c r="FGK116" s="181"/>
      <c r="FGL116" s="182"/>
      <c r="FGM116" s="181"/>
      <c r="FGN116" s="182"/>
      <c r="FGO116" s="181"/>
      <c r="FGP116" s="182"/>
      <c r="FGQ116" s="181"/>
      <c r="FGR116" s="182"/>
      <c r="FGS116" s="181"/>
      <c r="FGT116" s="182"/>
      <c r="FGU116" s="181"/>
      <c r="FGV116" s="182"/>
      <c r="FGW116" s="181"/>
      <c r="FGX116" s="182"/>
      <c r="FGY116" s="181"/>
      <c r="FGZ116" s="182"/>
      <c r="FHA116" s="181"/>
      <c r="FHB116" s="182"/>
      <c r="FHC116" s="181"/>
      <c r="FHD116" s="182"/>
      <c r="FHE116" s="181"/>
      <c r="FHF116" s="182"/>
      <c r="FHG116" s="181"/>
      <c r="FHH116" s="182"/>
      <c r="FHI116" s="181"/>
      <c r="FHJ116" s="182"/>
      <c r="FHK116" s="181"/>
      <c r="FHL116" s="182"/>
      <c r="FHM116" s="181"/>
      <c r="FHN116" s="182"/>
      <c r="FHO116" s="181"/>
      <c r="FHP116" s="182"/>
      <c r="FHQ116" s="181"/>
      <c r="FHR116" s="182"/>
      <c r="FHS116" s="181"/>
      <c r="FHT116" s="182"/>
      <c r="FHU116" s="181"/>
      <c r="FHV116" s="182"/>
      <c r="FHW116" s="181"/>
      <c r="FHX116" s="182"/>
      <c r="FHY116" s="181"/>
      <c r="FHZ116" s="182"/>
      <c r="FIA116" s="181"/>
      <c r="FIB116" s="182"/>
      <c r="FIC116" s="181"/>
      <c r="FID116" s="182"/>
      <c r="FIE116" s="181"/>
      <c r="FIF116" s="182"/>
      <c r="FIG116" s="181"/>
      <c r="FIH116" s="182"/>
      <c r="FII116" s="181"/>
      <c r="FIJ116" s="182"/>
      <c r="FIK116" s="181"/>
      <c r="FIL116" s="182"/>
      <c r="FIM116" s="181"/>
      <c r="FIN116" s="182"/>
      <c r="FIO116" s="181"/>
      <c r="FIP116" s="182"/>
      <c r="FIQ116" s="181"/>
      <c r="FIR116" s="182"/>
      <c r="FIS116" s="181"/>
      <c r="FIT116" s="182"/>
      <c r="FIU116" s="181"/>
      <c r="FIV116" s="182"/>
      <c r="FIW116" s="181"/>
      <c r="FIX116" s="182"/>
      <c r="FIY116" s="181"/>
      <c r="FIZ116" s="182"/>
      <c r="FJA116" s="181"/>
      <c r="FJB116" s="182"/>
      <c r="FJC116" s="181"/>
      <c r="FJD116" s="182"/>
      <c r="FJE116" s="181"/>
      <c r="FJF116" s="182"/>
      <c r="FJG116" s="181"/>
      <c r="FJH116" s="182"/>
      <c r="FJI116" s="181"/>
      <c r="FJJ116" s="182"/>
      <c r="FJK116" s="181"/>
      <c r="FJL116" s="182"/>
      <c r="FJM116" s="181"/>
      <c r="FJN116" s="182"/>
      <c r="FJO116" s="181"/>
      <c r="FJP116" s="182"/>
      <c r="FJQ116" s="181"/>
      <c r="FJR116" s="182"/>
      <c r="FJS116" s="181"/>
      <c r="FJT116" s="182"/>
      <c r="FJU116" s="181"/>
      <c r="FJV116" s="182"/>
      <c r="FJW116" s="181"/>
      <c r="FJX116" s="182"/>
      <c r="FJY116" s="181"/>
      <c r="FJZ116" s="182"/>
      <c r="FKA116" s="181"/>
      <c r="FKB116" s="182"/>
      <c r="FKC116" s="181"/>
      <c r="FKD116" s="182"/>
      <c r="FKE116" s="181"/>
      <c r="FKF116" s="182"/>
      <c r="FKG116" s="181"/>
      <c r="FKH116" s="182"/>
      <c r="FKI116" s="181"/>
      <c r="FKJ116" s="182"/>
      <c r="FKK116" s="181"/>
      <c r="FKL116" s="182"/>
      <c r="FKM116" s="181"/>
      <c r="FKN116" s="182"/>
      <c r="FKO116" s="181"/>
      <c r="FKP116" s="182"/>
      <c r="FKQ116" s="181"/>
      <c r="FKR116" s="182"/>
      <c r="FKS116" s="181"/>
      <c r="FKT116" s="182"/>
      <c r="FKU116" s="181"/>
      <c r="FKV116" s="182"/>
      <c r="FKW116" s="181"/>
      <c r="FKX116" s="182"/>
      <c r="FKY116" s="181"/>
      <c r="FKZ116" s="182"/>
      <c r="FLA116" s="181"/>
      <c r="FLB116" s="182"/>
      <c r="FLC116" s="181"/>
      <c r="FLD116" s="182"/>
      <c r="FLE116" s="181"/>
      <c r="FLF116" s="182"/>
      <c r="FLG116" s="181"/>
      <c r="FLH116" s="182"/>
      <c r="FLI116" s="181"/>
      <c r="FLJ116" s="182"/>
      <c r="FLK116" s="181"/>
      <c r="FLL116" s="182"/>
      <c r="FLM116" s="181"/>
      <c r="FLN116" s="182"/>
      <c r="FLO116" s="181"/>
      <c r="FLP116" s="182"/>
      <c r="FLQ116" s="181"/>
      <c r="FLR116" s="182"/>
      <c r="FLS116" s="181"/>
      <c r="FLT116" s="182"/>
      <c r="FLU116" s="181"/>
      <c r="FLV116" s="182"/>
      <c r="FLW116" s="181"/>
      <c r="FLX116" s="182"/>
      <c r="FLY116" s="181"/>
      <c r="FLZ116" s="182"/>
      <c r="FMA116" s="181"/>
      <c r="FMB116" s="182"/>
      <c r="FMC116" s="181"/>
      <c r="FMD116" s="182"/>
      <c r="FME116" s="181"/>
      <c r="FMF116" s="182"/>
      <c r="FMG116" s="181"/>
      <c r="FMH116" s="182"/>
      <c r="FMI116" s="181"/>
      <c r="FMJ116" s="182"/>
      <c r="FMK116" s="181"/>
      <c r="FML116" s="182"/>
      <c r="FMM116" s="181"/>
      <c r="FMN116" s="182"/>
      <c r="FMO116" s="181"/>
      <c r="FMP116" s="182"/>
      <c r="FMQ116" s="181"/>
      <c r="FMR116" s="182"/>
      <c r="FMS116" s="181"/>
      <c r="FMT116" s="182"/>
      <c r="FMU116" s="181"/>
      <c r="FMV116" s="182"/>
      <c r="FMW116" s="181"/>
      <c r="FMX116" s="182"/>
      <c r="FMY116" s="181"/>
      <c r="FMZ116" s="182"/>
      <c r="FNA116" s="181"/>
      <c r="FNB116" s="182"/>
      <c r="FNC116" s="181"/>
      <c r="FND116" s="182"/>
      <c r="FNE116" s="181"/>
      <c r="FNF116" s="182"/>
      <c r="FNG116" s="181"/>
      <c r="FNH116" s="182"/>
      <c r="FNI116" s="181"/>
      <c r="FNJ116" s="182"/>
      <c r="FNK116" s="181"/>
      <c r="FNL116" s="182"/>
      <c r="FNM116" s="181"/>
      <c r="FNN116" s="182"/>
      <c r="FNO116" s="181"/>
      <c r="FNP116" s="182"/>
      <c r="FNQ116" s="181"/>
      <c r="FNR116" s="182"/>
      <c r="FNS116" s="181"/>
      <c r="FNT116" s="182"/>
      <c r="FNU116" s="181"/>
      <c r="FNV116" s="182"/>
      <c r="FNW116" s="181"/>
      <c r="FNX116" s="182"/>
      <c r="FNY116" s="181"/>
      <c r="FNZ116" s="182"/>
      <c r="FOA116" s="181"/>
      <c r="FOB116" s="182"/>
      <c r="FOC116" s="181"/>
      <c r="FOD116" s="182"/>
      <c r="FOE116" s="181"/>
      <c r="FOF116" s="182"/>
      <c r="FOG116" s="181"/>
      <c r="FOH116" s="182"/>
      <c r="FOI116" s="181"/>
      <c r="FOJ116" s="182"/>
      <c r="FOK116" s="181"/>
      <c r="FOL116" s="182"/>
      <c r="FOM116" s="181"/>
      <c r="FON116" s="182"/>
      <c r="FOO116" s="181"/>
      <c r="FOP116" s="182"/>
      <c r="FOQ116" s="181"/>
      <c r="FOR116" s="182"/>
      <c r="FOS116" s="181"/>
      <c r="FOT116" s="182"/>
      <c r="FOU116" s="181"/>
      <c r="FOV116" s="182"/>
      <c r="FOW116" s="181"/>
      <c r="FOX116" s="182"/>
      <c r="FOY116" s="181"/>
      <c r="FOZ116" s="182"/>
      <c r="FPA116" s="181"/>
      <c r="FPB116" s="182"/>
      <c r="FPC116" s="181"/>
      <c r="FPD116" s="182"/>
      <c r="FPE116" s="181"/>
      <c r="FPF116" s="182"/>
      <c r="FPG116" s="181"/>
      <c r="FPH116" s="182"/>
      <c r="FPI116" s="181"/>
      <c r="FPJ116" s="182"/>
      <c r="FPK116" s="181"/>
      <c r="FPL116" s="182"/>
      <c r="FPM116" s="181"/>
      <c r="FPN116" s="182"/>
      <c r="FPO116" s="181"/>
      <c r="FPP116" s="182"/>
      <c r="FPQ116" s="181"/>
      <c r="FPR116" s="182"/>
      <c r="FPS116" s="181"/>
      <c r="FPT116" s="182"/>
      <c r="FPU116" s="181"/>
      <c r="FPV116" s="182"/>
      <c r="FPW116" s="181"/>
      <c r="FPX116" s="182"/>
      <c r="FPY116" s="181"/>
      <c r="FPZ116" s="182"/>
      <c r="FQA116" s="181"/>
      <c r="FQB116" s="182"/>
      <c r="FQC116" s="181"/>
      <c r="FQD116" s="182"/>
      <c r="FQE116" s="181"/>
      <c r="FQF116" s="182"/>
      <c r="FQG116" s="181"/>
      <c r="FQH116" s="182"/>
      <c r="FQI116" s="181"/>
      <c r="FQJ116" s="182"/>
      <c r="FQK116" s="181"/>
      <c r="FQL116" s="182"/>
      <c r="FQM116" s="181"/>
      <c r="FQN116" s="182"/>
      <c r="FQO116" s="181"/>
      <c r="FQP116" s="182"/>
      <c r="FQQ116" s="181"/>
      <c r="FQR116" s="182"/>
      <c r="FQS116" s="181"/>
      <c r="FQT116" s="182"/>
      <c r="FQU116" s="181"/>
      <c r="FQV116" s="182"/>
      <c r="FQW116" s="181"/>
      <c r="FQX116" s="182"/>
      <c r="FQY116" s="181"/>
      <c r="FQZ116" s="182"/>
      <c r="FRA116" s="181"/>
      <c r="FRB116" s="182"/>
      <c r="FRC116" s="181"/>
      <c r="FRD116" s="182"/>
      <c r="FRE116" s="181"/>
      <c r="FRF116" s="182"/>
      <c r="FRG116" s="181"/>
      <c r="FRH116" s="182"/>
      <c r="FRI116" s="181"/>
      <c r="FRJ116" s="182"/>
      <c r="FRK116" s="181"/>
      <c r="FRL116" s="182"/>
      <c r="FRM116" s="181"/>
      <c r="FRN116" s="182"/>
      <c r="FRO116" s="181"/>
      <c r="FRP116" s="182"/>
      <c r="FRQ116" s="181"/>
      <c r="FRR116" s="182"/>
      <c r="FRS116" s="181"/>
      <c r="FRT116" s="182"/>
      <c r="FRU116" s="181"/>
      <c r="FRV116" s="182"/>
      <c r="FRW116" s="181"/>
      <c r="FRX116" s="182"/>
      <c r="FRY116" s="181"/>
      <c r="FRZ116" s="182"/>
      <c r="FSA116" s="181"/>
      <c r="FSB116" s="182"/>
      <c r="FSC116" s="181"/>
      <c r="FSD116" s="182"/>
      <c r="FSE116" s="181"/>
      <c r="FSF116" s="182"/>
      <c r="FSG116" s="181"/>
      <c r="FSH116" s="182"/>
      <c r="FSI116" s="181"/>
      <c r="FSJ116" s="182"/>
      <c r="FSK116" s="181"/>
      <c r="FSL116" s="182"/>
      <c r="FSM116" s="181"/>
      <c r="FSN116" s="182"/>
      <c r="FSO116" s="181"/>
      <c r="FSP116" s="182"/>
      <c r="FSQ116" s="181"/>
      <c r="FSR116" s="182"/>
      <c r="FSS116" s="181"/>
      <c r="FST116" s="182"/>
      <c r="FSU116" s="181"/>
      <c r="FSV116" s="182"/>
      <c r="FSW116" s="181"/>
      <c r="FSX116" s="182"/>
      <c r="FSY116" s="181"/>
      <c r="FSZ116" s="182"/>
      <c r="FTA116" s="181"/>
      <c r="FTB116" s="182"/>
      <c r="FTC116" s="181"/>
      <c r="FTD116" s="182"/>
      <c r="FTE116" s="181"/>
      <c r="FTF116" s="182"/>
      <c r="FTG116" s="181"/>
      <c r="FTH116" s="182"/>
      <c r="FTI116" s="181"/>
      <c r="FTJ116" s="182"/>
      <c r="FTK116" s="181"/>
      <c r="FTL116" s="182"/>
      <c r="FTM116" s="181"/>
      <c r="FTN116" s="182"/>
      <c r="FTO116" s="181"/>
      <c r="FTP116" s="182"/>
      <c r="FTQ116" s="181"/>
      <c r="FTR116" s="182"/>
      <c r="FTS116" s="181"/>
      <c r="FTT116" s="182"/>
      <c r="FTU116" s="181"/>
      <c r="FTV116" s="182"/>
      <c r="FTW116" s="181"/>
      <c r="FTX116" s="182"/>
      <c r="FTY116" s="181"/>
      <c r="FTZ116" s="182"/>
      <c r="FUA116" s="181"/>
      <c r="FUB116" s="182"/>
      <c r="FUC116" s="181"/>
      <c r="FUD116" s="182"/>
      <c r="FUE116" s="181"/>
      <c r="FUF116" s="182"/>
      <c r="FUG116" s="181"/>
      <c r="FUH116" s="182"/>
      <c r="FUI116" s="181"/>
      <c r="FUJ116" s="182"/>
      <c r="FUK116" s="181"/>
      <c r="FUL116" s="182"/>
      <c r="FUM116" s="181"/>
      <c r="FUN116" s="182"/>
      <c r="FUO116" s="181"/>
      <c r="FUP116" s="182"/>
      <c r="FUQ116" s="181"/>
      <c r="FUR116" s="182"/>
      <c r="FUS116" s="181"/>
      <c r="FUT116" s="182"/>
      <c r="FUU116" s="181"/>
      <c r="FUV116" s="182"/>
      <c r="FUW116" s="181"/>
      <c r="FUX116" s="182"/>
      <c r="FUY116" s="181"/>
      <c r="FUZ116" s="182"/>
      <c r="FVA116" s="181"/>
      <c r="FVB116" s="182"/>
      <c r="FVC116" s="181"/>
      <c r="FVD116" s="182"/>
      <c r="FVE116" s="181"/>
      <c r="FVF116" s="182"/>
      <c r="FVG116" s="181"/>
      <c r="FVH116" s="182"/>
      <c r="FVI116" s="181"/>
      <c r="FVJ116" s="182"/>
      <c r="FVK116" s="181"/>
      <c r="FVL116" s="182"/>
      <c r="FVM116" s="181"/>
      <c r="FVN116" s="182"/>
      <c r="FVO116" s="181"/>
      <c r="FVP116" s="182"/>
      <c r="FVQ116" s="181"/>
      <c r="FVR116" s="182"/>
      <c r="FVS116" s="181"/>
      <c r="FVT116" s="182"/>
      <c r="FVU116" s="181"/>
      <c r="FVV116" s="182"/>
      <c r="FVW116" s="181"/>
      <c r="FVX116" s="182"/>
      <c r="FVY116" s="181"/>
      <c r="FVZ116" s="182"/>
      <c r="FWA116" s="181"/>
      <c r="FWB116" s="182"/>
      <c r="FWC116" s="181"/>
      <c r="FWD116" s="182"/>
      <c r="FWE116" s="181"/>
      <c r="FWF116" s="182"/>
      <c r="FWG116" s="181"/>
      <c r="FWH116" s="182"/>
      <c r="FWI116" s="181"/>
      <c r="FWJ116" s="182"/>
      <c r="FWK116" s="181"/>
      <c r="FWL116" s="182"/>
      <c r="FWM116" s="181"/>
      <c r="FWN116" s="182"/>
      <c r="FWO116" s="181"/>
      <c r="FWP116" s="182"/>
      <c r="FWQ116" s="181"/>
      <c r="FWR116" s="182"/>
      <c r="FWS116" s="181"/>
      <c r="FWT116" s="182"/>
      <c r="FWU116" s="181"/>
      <c r="FWV116" s="182"/>
      <c r="FWW116" s="181"/>
      <c r="FWX116" s="182"/>
      <c r="FWY116" s="181"/>
      <c r="FWZ116" s="182"/>
      <c r="FXA116" s="181"/>
      <c r="FXB116" s="182"/>
      <c r="FXC116" s="181"/>
      <c r="FXD116" s="182"/>
      <c r="FXE116" s="181"/>
      <c r="FXF116" s="182"/>
      <c r="FXG116" s="181"/>
      <c r="FXH116" s="182"/>
      <c r="FXI116" s="181"/>
      <c r="FXJ116" s="182"/>
      <c r="FXK116" s="181"/>
      <c r="FXL116" s="182"/>
      <c r="FXM116" s="181"/>
      <c r="FXN116" s="182"/>
      <c r="FXO116" s="181"/>
      <c r="FXP116" s="182"/>
      <c r="FXQ116" s="181"/>
      <c r="FXR116" s="182"/>
      <c r="FXS116" s="181"/>
      <c r="FXT116" s="182"/>
      <c r="FXU116" s="181"/>
      <c r="FXV116" s="182"/>
      <c r="FXW116" s="181"/>
      <c r="FXX116" s="182"/>
      <c r="FXY116" s="181"/>
      <c r="FXZ116" s="182"/>
      <c r="FYA116" s="181"/>
      <c r="FYB116" s="182"/>
      <c r="FYC116" s="181"/>
      <c r="FYD116" s="182"/>
      <c r="FYE116" s="181"/>
      <c r="FYF116" s="182"/>
      <c r="FYG116" s="181"/>
      <c r="FYH116" s="182"/>
      <c r="FYI116" s="181"/>
      <c r="FYJ116" s="182"/>
      <c r="FYK116" s="181"/>
      <c r="FYL116" s="182"/>
      <c r="FYM116" s="181"/>
      <c r="FYN116" s="182"/>
      <c r="FYO116" s="181"/>
      <c r="FYP116" s="182"/>
      <c r="FYQ116" s="181"/>
      <c r="FYR116" s="182"/>
      <c r="FYS116" s="181"/>
      <c r="FYT116" s="182"/>
      <c r="FYU116" s="181"/>
      <c r="FYV116" s="182"/>
      <c r="FYW116" s="181"/>
      <c r="FYX116" s="182"/>
      <c r="FYY116" s="181"/>
      <c r="FYZ116" s="182"/>
      <c r="FZA116" s="181"/>
      <c r="FZB116" s="182"/>
      <c r="FZC116" s="181"/>
      <c r="FZD116" s="182"/>
      <c r="FZE116" s="181"/>
      <c r="FZF116" s="182"/>
      <c r="FZG116" s="181"/>
      <c r="FZH116" s="182"/>
      <c r="FZI116" s="181"/>
      <c r="FZJ116" s="182"/>
      <c r="FZK116" s="181"/>
      <c r="FZL116" s="182"/>
      <c r="FZM116" s="181"/>
      <c r="FZN116" s="182"/>
      <c r="FZO116" s="181"/>
      <c r="FZP116" s="182"/>
      <c r="FZQ116" s="181"/>
      <c r="FZR116" s="182"/>
      <c r="FZS116" s="181"/>
      <c r="FZT116" s="182"/>
      <c r="FZU116" s="181"/>
      <c r="FZV116" s="182"/>
      <c r="FZW116" s="181"/>
      <c r="FZX116" s="182"/>
      <c r="FZY116" s="181"/>
      <c r="FZZ116" s="182"/>
      <c r="GAA116" s="181"/>
      <c r="GAB116" s="182"/>
      <c r="GAC116" s="181"/>
      <c r="GAD116" s="182"/>
      <c r="GAE116" s="181"/>
      <c r="GAF116" s="182"/>
      <c r="GAG116" s="181"/>
      <c r="GAH116" s="182"/>
      <c r="GAI116" s="181"/>
      <c r="GAJ116" s="182"/>
      <c r="GAK116" s="181"/>
      <c r="GAL116" s="182"/>
      <c r="GAM116" s="181"/>
      <c r="GAN116" s="182"/>
      <c r="GAO116" s="181"/>
      <c r="GAP116" s="182"/>
      <c r="GAQ116" s="181"/>
      <c r="GAR116" s="182"/>
      <c r="GAS116" s="181"/>
      <c r="GAT116" s="182"/>
      <c r="GAU116" s="181"/>
      <c r="GAV116" s="182"/>
      <c r="GAW116" s="181"/>
      <c r="GAX116" s="182"/>
      <c r="GAY116" s="181"/>
      <c r="GAZ116" s="182"/>
      <c r="GBA116" s="181"/>
      <c r="GBB116" s="182"/>
      <c r="GBC116" s="181"/>
      <c r="GBD116" s="182"/>
      <c r="GBE116" s="181"/>
      <c r="GBF116" s="182"/>
      <c r="GBG116" s="181"/>
      <c r="GBH116" s="182"/>
      <c r="GBI116" s="181"/>
      <c r="GBJ116" s="182"/>
      <c r="GBK116" s="181"/>
      <c r="GBL116" s="182"/>
      <c r="GBM116" s="181"/>
      <c r="GBN116" s="182"/>
      <c r="GBO116" s="181"/>
      <c r="GBP116" s="182"/>
      <c r="GBQ116" s="181"/>
      <c r="GBR116" s="182"/>
      <c r="GBS116" s="181"/>
      <c r="GBT116" s="182"/>
      <c r="GBU116" s="181"/>
      <c r="GBV116" s="182"/>
      <c r="GBW116" s="181"/>
      <c r="GBX116" s="182"/>
      <c r="GBY116" s="181"/>
      <c r="GBZ116" s="182"/>
      <c r="GCA116" s="181"/>
      <c r="GCB116" s="182"/>
      <c r="GCC116" s="181"/>
      <c r="GCD116" s="182"/>
      <c r="GCE116" s="181"/>
      <c r="GCF116" s="182"/>
      <c r="GCG116" s="181"/>
      <c r="GCH116" s="182"/>
      <c r="GCI116" s="181"/>
      <c r="GCJ116" s="182"/>
      <c r="GCK116" s="181"/>
      <c r="GCL116" s="182"/>
      <c r="GCM116" s="181"/>
      <c r="GCN116" s="182"/>
      <c r="GCO116" s="181"/>
      <c r="GCP116" s="182"/>
      <c r="GCQ116" s="181"/>
      <c r="GCR116" s="182"/>
      <c r="GCS116" s="181"/>
      <c r="GCT116" s="182"/>
      <c r="GCU116" s="181"/>
      <c r="GCV116" s="182"/>
      <c r="GCW116" s="181"/>
      <c r="GCX116" s="182"/>
      <c r="GCY116" s="181"/>
      <c r="GCZ116" s="182"/>
      <c r="GDA116" s="181"/>
      <c r="GDB116" s="182"/>
      <c r="GDC116" s="181"/>
      <c r="GDD116" s="182"/>
      <c r="GDE116" s="181"/>
      <c r="GDF116" s="182"/>
      <c r="GDG116" s="181"/>
      <c r="GDH116" s="182"/>
      <c r="GDI116" s="181"/>
      <c r="GDJ116" s="182"/>
      <c r="GDK116" s="181"/>
      <c r="GDL116" s="182"/>
      <c r="GDM116" s="181"/>
      <c r="GDN116" s="182"/>
      <c r="GDO116" s="181"/>
      <c r="GDP116" s="182"/>
      <c r="GDQ116" s="181"/>
      <c r="GDR116" s="182"/>
      <c r="GDS116" s="181"/>
      <c r="GDT116" s="182"/>
      <c r="GDU116" s="181"/>
      <c r="GDV116" s="182"/>
      <c r="GDW116" s="181"/>
      <c r="GDX116" s="182"/>
      <c r="GDY116" s="181"/>
      <c r="GDZ116" s="182"/>
      <c r="GEA116" s="181"/>
      <c r="GEB116" s="182"/>
      <c r="GEC116" s="181"/>
      <c r="GED116" s="182"/>
      <c r="GEE116" s="181"/>
      <c r="GEF116" s="182"/>
      <c r="GEG116" s="181"/>
      <c r="GEH116" s="182"/>
      <c r="GEI116" s="181"/>
      <c r="GEJ116" s="182"/>
      <c r="GEK116" s="181"/>
      <c r="GEL116" s="182"/>
      <c r="GEM116" s="181"/>
      <c r="GEN116" s="182"/>
      <c r="GEO116" s="181"/>
      <c r="GEP116" s="182"/>
      <c r="GEQ116" s="181"/>
      <c r="GER116" s="182"/>
      <c r="GES116" s="181"/>
      <c r="GET116" s="182"/>
      <c r="GEU116" s="181"/>
      <c r="GEV116" s="182"/>
      <c r="GEW116" s="181"/>
      <c r="GEX116" s="182"/>
      <c r="GEY116" s="181"/>
      <c r="GEZ116" s="182"/>
      <c r="GFA116" s="181"/>
      <c r="GFB116" s="182"/>
      <c r="GFC116" s="181"/>
      <c r="GFD116" s="182"/>
      <c r="GFE116" s="181"/>
      <c r="GFF116" s="182"/>
      <c r="GFG116" s="181"/>
      <c r="GFH116" s="182"/>
      <c r="GFI116" s="181"/>
      <c r="GFJ116" s="182"/>
      <c r="GFK116" s="181"/>
      <c r="GFL116" s="182"/>
      <c r="GFM116" s="181"/>
      <c r="GFN116" s="182"/>
      <c r="GFO116" s="181"/>
      <c r="GFP116" s="182"/>
      <c r="GFQ116" s="181"/>
      <c r="GFR116" s="182"/>
      <c r="GFS116" s="181"/>
      <c r="GFT116" s="182"/>
      <c r="GFU116" s="181"/>
      <c r="GFV116" s="182"/>
      <c r="GFW116" s="181"/>
      <c r="GFX116" s="182"/>
      <c r="GFY116" s="181"/>
      <c r="GFZ116" s="182"/>
      <c r="GGA116" s="181"/>
      <c r="GGB116" s="182"/>
      <c r="GGC116" s="181"/>
      <c r="GGD116" s="182"/>
      <c r="GGE116" s="181"/>
      <c r="GGF116" s="182"/>
      <c r="GGG116" s="181"/>
      <c r="GGH116" s="182"/>
      <c r="GGI116" s="181"/>
      <c r="GGJ116" s="182"/>
      <c r="GGK116" s="181"/>
      <c r="GGL116" s="182"/>
      <c r="GGM116" s="181"/>
      <c r="GGN116" s="182"/>
      <c r="GGO116" s="181"/>
      <c r="GGP116" s="182"/>
      <c r="GGQ116" s="181"/>
      <c r="GGR116" s="182"/>
      <c r="GGS116" s="181"/>
      <c r="GGT116" s="182"/>
      <c r="GGU116" s="181"/>
      <c r="GGV116" s="182"/>
      <c r="GGW116" s="181"/>
      <c r="GGX116" s="182"/>
      <c r="GGY116" s="181"/>
      <c r="GGZ116" s="182"/>
      <c r="GHA116" s="181"/>
      <c r="GHB116" s="182"/>
      <c r="GHC116" s="181"/>
      <c r="GHD116" s="182"/>
      <c r="GHE116" s="181"/>
      <c r="GHF116" s="182"/>
      <c r="GHG116" s="181"/>
      <c r="GHH116" s="182"/>
      <c r="GHI116" s="181"/>
      <c r="GHJ116" s="182"/>
      <c r="GHK116" s="181"/>
      <c r="GHL116" s="182"/>
      <c r="GHM116" s="181"/>
      <c r="GHN116" s="182"/>
      <c r="GHO116" s="181"/>
      <c r="GHP116" s="182"/>
      <c r="GHQ116" s="181"/>
      <c r="GHR116" s="182"/>
      <c r="GHS116" s="181"/>
      <c r="GHT116" s="182"/>
      <c r="GHU116" s="181"/>
      <c r="GHV116" s="182"/>
      <c r="GHW116" s="181"/>
      <c r="GHX116" s="182"/>
      <c r="GHY116" s="181"/>
      <c r="GHZ116" s="182"/>
      <c r="GIA116" s="181"/>
      <c r="GIB116" s="182"/>
      <c r="GIC116" s="181"/>
      <c r="GID116" s="182"/>
      <c r="GIE116" s="181"/>
      <c r="GIF116" s="182"/>
      <c r="GIG116" s="181"/>
      <c r="GIH116" s="182"/>
      <c r="GII116" s="181"/>
      <c r="GIJ116" s="182"/>
      <c r="GIK116" s="181"/>
      <c r="GIL116" s="182"/>
      <c r="GIM116" s="181"/>
      <c r="GIN116" s="182"/>
      <c r="GIO116" s="181"/>
      <c r="GIP116" s="182"/>
      <c r="GIQ116" s="181"/>
      <c r="GIR116" s="182"/>
      <c r="GIS116" s="181"/>
      <c r="GIT116" s="182"/>
      <c r="GIU116" s="181"/>
      <c r="GIV116" s="182"/>
      <c r="GIW116" s="181"/>
      <c r="GIX116" s="182"/>
      <c r="GIY116" s="181"/>
      <c r="GIZ116" s="182"/>
      <c r="GJA116" s="181"/>
      <c r="GJB116" s="182"/>
      <c r="GJC116" s="181"/>
      <c r="GJD116" s="182"/>
      <c r="GJE116" s="181"/>
      <c r="GJF116" s="182"/>
      <c r="GJG116" s="181"/>
      <c r="GJH116" s="182"/>
      <c r="GJI116" s="181"/>
      <c r="GJJ116" s="182"/>
      <c r="GJK116" s="181"/>
      <c r="GJL116" s="182"/>
      <c r="GJM116" s="181"/>
      <c r="GJN116" s="182"/>
      <c r="GJO116" s="181"/>
      <c r="GJP116" s="182"/>
      <c r="GJQ116" s="181"/>
      <c r="GJR116" s="182"/>
      <c r="GJS116" s="181"/>
      <c r="GJT116" s="182"/>
      <c r="GJU116" s="181"/>
      <c r="GJV116" s="182"/>
      <c r="GJW116" s="181"/>
      <c r="GJX116" s="182"/>
      <c r="GJY116" s="181"/>
      <c r="GJZ116" s="182"/>
      <c r="GKA116" s="181"/>
      <c r="GKB116" s="182"/>
      <c r="GKC116" s="181"/>
      <c r="GKD116" s="182"/>
      <c r="GKE116" s="181"/>
      <c r="GKF116" s="182"/>
      <c r="GKG116" s="181"/>
      <c r="GKH116" s="182"/>
      <c r="GKI116" s="181"/>
      <c r="GKJ116" s="182"/>
      <c r="GKK116" s="181"/>
      <c r="GKL116" s="182"/>
      <c r="GKM116" s="181"/>
      <c r="GKN116" s="182"/>
      <c r="GKO116" s="181"/>
      <c r="GKP116" s="182"/>
      <c r="GKQ116" s="181"/>
      <c r="GKR116" s="182"/>
      <c r="GKS116" s="181"/>
      <c r="GKT116" s="182"/>
      <c r="GKU116" s="181"/>
      <c r="GKV116" s="182"/>
      <c r="GKW116" s="181"/>
      <c r="GKX116" s="182"/>
      <c r="GKY116" s="181"/>
      <c r="GKZ116" s="182"/>
      <c r="GLA116" s="181"/>
      <c r="GLB116" s="182"/>
      <c r="GLC116" s="181"/>
      <c r="GLD116" s="182"/>
      <c r="GLE116" s="181"/>
      <c r="GLF116" s="182"/>
      <c r="GLG116" s="181"/>
      <c r="GLH116" s="182"/>
      <c r="GLI116" s="181"/>
      <c r="GLJ116" s="182"/>
      <c r="GLK116" s="181"/>
      <c r="GLL116" s="182"/>
      <c r="GLM116" s="181"/>
      <c r="GLN116" s="182"/>
      <c r="GLO116" s="181"/>
      <c r="GLP116" s="182"/>
      <c r="GLQ116" s="181"/>
      <c r="GLR116" s="182"/>
      <c r="GLS116" s="181"/>
      <c r="GLT116" s="182"/>
      <c r="GLU116" s="181"/>
      <c r="GLV116" s="182"/>
      <c r="GLW116" s="181"/>
      <c r="GLX116" s="182"/>
      <c r="GLY116" s="181"/>
      <c r="GLZ116" s="182"/>
      <c r="GMA116" s="181"/>
      <c r="GMB116" s="182"/>
      <c r="GMC116" s="181"/>
      <c r="GMD116" s="182"/>
      <c r="GME116" s="181"/>
      <c r="GMF116" s="182"/>
      <c r="GMG116" s="181"/>
      <c r="GMH116" s="182"/>
      <c r="GMI116" s="181"/>
      <c r="GMJ116" s="182"/>
      <c r="GMK116" s="181"/>
      <c r="GML116" s="182"/>
      <c r="GMM116" s="181"/>
      <c r="GMN116" s="182"/>
      <c r="GMO116" s="181"/>
      <c r="GMP116" s="182"/>
      <c r="GMQ116" s="181"/>
      <c r="GMR116" s="182"/>
      <c r="GMS116" s="181"/>
      <c r="GMT116" s="182"/>
      <c r="GMU116" s="181"/>
      <c r="GMV116" s="182"/>
      <c r="GMW116" s="181"/>
      <c r="GMX116" s="182"/>
      <c r="GMY116" s="181"/>
      <c r="GMZ116" s="182"/>
      <c r="GNA116" s="181"/>
      <c r="GNB116" s="182"/>
      <c r="GNC116" s="181"/>
      <c r="GND116" s="182"/>
      <c r="GNE116" s="181"/>
      <c r="GNF116" s="182"/>
      <c r="GNG116" s="181"/>
      <c r="GNH116" s="182"/>
      <c r="GNI116" s="181"/>
      <c r="GNJ116" s="182"/>
      <c r="GNK116" s="181"/>
      <c r="GNL116" s="182"/>
      <c r="GNM116" s="181"/>
      <c r="GNN116" s="182"/>
      <c r="GNO116" s="181"/>
      <c r="GNP116" s="182"/>
      <c r="GNQ116" s="181"/>
      <c r="GNR116" s="182"/>
      <c r="GNS116" s="181"/>
      <c r="GNT116" s="182"/>
      <c r="GNU116" s="181"/>
      <c r="GNV116" s="182"/>
      <c r="GNW116" s="181"/>
      <c r="GNX116" s="182"/>
      <c r="GNY116" s="181"/>
      <c r="GNZ116" s="182"/>
      <c r="GOA116" s="181"/>
      <c r="GOB116" s="182"/>
      <c r="GOC116" s="181"/>
      <c r="GOD116" s="182"/>
      <c r="GOE116" s="181"/>
      <c r="GOF116" s="182"/>
      <c r="GOG116" s="181"/>
      <c r="GOH116" s="182"/>
      <c r="GOI116" s="181"/>
      <c r="GOJ116" s="182"/>
      <c r="GOK116" s="181"/>
      <c r="GOL116" s="182"/>
      <c r="GOM116" s="181"/>
      <c r="GON116" s="182"/>
      <c r="GOO116" s="181"/>
      <c r="GOP116" s="182"/>
      <c r="GOQ116" s="181"/>
      <c r="GOR116" s="182"/>
      <c r="GOS116" s="181"/>
      <c r="GOT116" s="182"/>
      <c r="GOU116" s="181"/>
      <c r="GOV116" s="182"/>
      <c r="GOW116" s="181"/>
      <c r="GOX116" s="182"/>
      <c r="GOY116" s="181"/>
      <c r="GOZ116" s="182"/>
      <c r="GPA116" s="181"/>
      <c r="GPB116" s="182"/>
      <c r="GPC116" s="181"/>
      <c r="GPD116" s="182"/>
      <c r="GPE116" s="181"/>
      <c r="GPF116" s="182"/>
      <c r="GPG116" s="181"/>
      <c r="GPH116" s="182"/>
      <c r="GPI116" s="181"/>
      <c r="GPJ116" s="182"/>
      <c r="GPK116" s="181"/>
      <c r="GPL116" s="182"/>
      <c r="GPM116" s="181"/>
      <c r="GPN116" s="182"/>
      <c r="GPO116" s="181"/>
      <c r="GPP116" s="182"/>
      <c r="GPQ116" s="181"/>
      <c r="GPR116" s="182"/>
      <c r="GPS116" s="181"/>
      <c r="GPT116" s="182"/>
      <c r="GPU116" s="181"/>
      <c r="GPV116" s="182"/>
      <c r="GPW116" s="181"/>
      <c r="GPX116" s="182"/>
      <c r="GPY116" s="181"/>
      <c r="GPZ116" s="182"/>
      <c r="GQA116" s="181"/>
      <c r="GQB116" s="182"/>
      <c r="GQC116" s="181"/>
      <c r="GQD116" s="182"/>
      <c r="GQE116" s="181"/>
      <c r="GQF116" s="182"/>
      <c r="GQG116" s="181"/>
      <c r="GQH116" s="182"/>
      <c r="GQI116" s="181"/>
      <c r="GQJ116" s="182"/>
      <c r="GQK116" s="181"/>
      <c r="GQL116" s="182"/>
      <c r="GQM116" s="181"/>
      <c r="GQN116" s="182"/>
      <c r="GQO116" s="181"/>
      <c r="GQP116" s="182"/>
      <c r="GQQ116" s="181"/>
      <c r="GQR116" s="182"/>
      <c r="GQS116" s="181"/>
      <c r="GQT116" s="182"/>
      <c r="GQU116" s="181"/>
      <c r="GQV116" s="182"/>
      <c r="GQW116" s="181"/>
      <c r="GQX116" s="182"/>
      <c r="GQY116" s="181"/>
      <c r="GQZ116" s="182"/>
      <c r="GRA116" s="181"/>
      <c r="GRB116" s="182"/>
      <c r="GRC116" s="181"/>
      <c r="GRD116" s="182"/>
      <c r="GRE116" s="181"/>
      <c r="GRF116" s="182"/>
      <c r="GRG116" s="181"/>
      <c r="GRH116" s="182"/>
      <c r="GRI116" s="181"/>
      <c r="GRJ116" s="182"/>
      <c r="GRK116" s="181"/>
      <c r="GRL116" s="182"/>
      <c r="GRM116" s="181"/>
      <c r="GRN116" s="182"/>
      <c r="GRO116" s="181"/>
      <c r="GRP116" s="182"/>
      <c r="GRQ116" s="181"/>
      <c r="GRR116" s="182"/>
      <c r="GRS116" s="181"/>
      <c r="GRT116" s="182"/>
      <c r="GRU116" s="181"/>
      <c r="GRV116" s="182"/>
      <c r="GRW116" s="181"/>
      <c r="GRX116" s="182"/>
      <c r="GRY116" s="181"/>
      <c r="GRZ116" s="182"/>
      <c r="GSA116" s="181"/>
      <c r="GSB116" s="182"/>
      <c r="GSC116" s="181"/>
      <c r="GSD116" s="182"/>
      <c r="GSE116" s="181"/>
      <c r="GSF116" s="182"/>
      <c r="GSG116" s="181"/>
      <c r="GSH116" s="182"/>
      <c r="GSI116" s="181"/>
      <c r="GSJ116" s="182"/>
      <c r="GSK116" s="181"/>
      <c r="GSL116" s="182"/>
      <c r="GSM116" s="181"/>
      <c r="GSN116" s="182"/>
      <c r="GSO116" s="181"/>
      <c r="GSP116" s="182"/>
      <c r="GSQ116" s="181"/>
      <c r="GSR116" s="182"/>
      <c r="GSS116" s="181"/>
      <c r="GST116" s="182"/>
      <c r="GSU116" s="181"/>
      <c r="GSV116" s="182"/>
      <c r="GSW116" s="181"/>
      <c r="GSX116" s="182"/>
      <c r="GSY116" s="181"/>
      <c r="GSZ116" s="182"/>
      <c r="GTA116" s="181"/>
      <c r="GTB116" s="182"/>
      <c r="GTC116" s="181"/>
      <c r="GTD116" s="182"/>
      <c r="GTE116" s="181"/>
      <c r="GTF116" s="182"/>
      <c r="GTG116" s="181"/>
      <c r="GTH116" s="182"/>
      <c r="GTI116" s="181"/>
      <c r="GTJ116" s="182"/>
      <c r="GTK116" s="181"/>
      <c r="GTL116" s="182"/>
      <c r="GTM116" s="181"/>
      <c r="GTN116" s="182"/>
      <c r="GTO116" s="181"/>
      <c r="GTP116" s="182"/>
      <c r="GTQ116" s="181"/>
      <c r="GTR116" s="182"/>
      <c r="GTS116" s="181"/>
      <c r="GTT116" s="182"/>
      <c r="GTU116" s="181"/>
      <c r="GTV116" s="182"/>
      <c r="GTW116" s="181"/>
      <c r="GTX116" s="182"/>
      <c r="GTY116" s="181"/>
      <c r="GTZ116" s="182"/>
      <c r="GUA116" s="181"/>
      <c r="GUB116" s="182"/>
      <c r="GUC116" s="181"/>
      <c r="GUD116" s="182"/>
      <c r="GUE116" s="181"/>
      <c r="GUF116" s="182"/>
      <c r="GUG116" s="181"/>
      <c r="GUH116" s="182"/>
      <c r="GUI116" s="181"/>
      <c r="GUJ116" s="182"/>
      <c r="GUK116" s="181"/>
      <c r="GUL116" s="182"/>
      <c r="GUM116" s="181"/>
      <c r="GUN116" s="182"/>
      <c r="GUO116" s="181"/>
      <c r="GUP116" s="182"/>
      <c r="GUQ116" s="181"/>
      <c r="GUR116" s="182"/>
      <c r="GUS116" s="181"/>
      <c r="GUT116" s="182"/>
      <c r="GUU116" s="181"/>
      <c r="GUV116" s="182"/>
      <c r="GUW116" s="181"/>
      <c r="GUX116" s="182"/>
      <c r="GUY116" s="181"/>
      <c r="GUZ116" s="182"/>
      <c r="GVA116" s="181"/>
      <c r="GVB116" s="182"/>
      <c r="GVC116" s="181"/>
      <c r="GVD116" s="182"/>
      <c r="GVE116" s="181"/>
      <c r="GVF116" s="182"/>
      <c r="GVG116" s="181"/>
      <c r="GVH116" s="182"/>
      <c r="GVI116" s="181"/>
      <c r="GVJ116" s="182"/>
      <c r="GVK116" s="181"/>
      <c r="GVL116" s="182"/>
      <c r="GVM116" s="181"/>
      <c r="GVN116" s="182"/>
      <c r="GVO116" s="181"/>
      <c r="GVP116" s="182"/>
      <c r="GVQ116" s="181"/>
      <c r="GVR116" s="182"/>
      <c r="GVS116" s="181"/>
      <c r="GVT116" s="182"/>
      <c r="GVU116" s="181"/>
      <c r="GVV116" s="182"/>
      <c r="GVW116" s="181"/>
      <c r="GVX116" s="182"/>
      <c r="GVY116" s="181"/>
      <c r="GVZ116" s="182"/>
      <c r="GWA116" s="181"/>
      <c r="GWB116" s="182"/>
      <c r="GWC116" s="181"/>
      <c r="GWD116" s="182"/>
      <c r="GWE116" s="181"/>
      <c r="GWF116" s="182"/>
      <c r="GWG116" s="181"/>
      <c r="GWH116" s="182"/>
      <c r="GWI116" s="181"/>
      <c r="GWJ116" s="182"/>
      <c r="GWK116" s="181"/>
      <c r="GWL116" s="182"/>
      <c r="GWM116" s="181"/>
      <c r="GWN116" s="182"/>
      <c r="GWO116" s="181"/>
      <c r="GWP116" s="182"/>
      <c r="GWQ116" s="181"/>
      <c r="GWR116" s="182"/>
      <c r="GWS116" s="181"/>
      <c r="GWT116" s="182"/>
      <c r="GWU116" s="181"/>
      <c r="GWV116" s="182"/>
      <c r="GWW116" s="181"/>
      <c r="GWX116" s="182"/>
      <c r="GWY116" s="181"/>
      <c r="GWZ116" s="182"/>
      <c r="GXA116" s="181"/>
      <c r="GXB116" s="182"/>
      <c r="GXC116" s="181"/>
      <c r="GXD116" s="182"/>
      <c r="GXE116" s="181"/>
      <c r="GXF116" s="182"/>
      <c r="GXG116" s="181"/>
      <c r="GXH116" s="182"/>
      <c r="GXI116" s="181"/>
      <c r="GXJ116" s="182"/>
      <c r="GXK116" s="181"/>
      <c r="GXL116" s="182"/>
      <c r="GXM116" s="181"/>
      <c r="GXN116" s="182"/>
      <c r="GXO116" s="181"/>
      <c r="GXP116" s="182"/>
      <c r="GXQ116" s="181"/>
      <c r="GXR116" s="182"/>
      <c r="GXS116" s="181"/>
      <c r="GXT116" s="182"/>
      <c r="GXU116" s="181"/>
      <c r="GXV116" s="182"/>
      <c r="GXW116" s="181"/>
      <c r="GXX116" s="182"/>
      <c r="GXY116" s="181"/>
      <c r="GXZ116" s="182"/>
      <c r="GYA116" s="181"/>
      <c r="GYB116" s="182"/>
      <c r="GYC116" s="181"/>
      <c r="GYD116" s="182"/>
      <c r="GYE116" s="181"/>
      <c r="GYF116" s="182"/>
      <c r="GYG116" s="181"/>
      <c r="GYH116" s="182"/>
      <c r="GYI116" s="181"/>
      <c r="GYJ116" s="182"/>
      <c r="GYK116" s="181"/>
      <c r="GYL116" s="182"/>
      <c r="GYM116" s="181"/>
      <c r="GYN116" s="182"/>
      <c r="GYO116" s="181"/>
      <c r="GYP116" s="182"/>
      <c r="GYQ116" s="181"/>
      <c r="GYR116" s="182"/>
      <c r="GYS116" s="181"/>
      <c r="GYT116" s="182"/>
      <c r="GYU116" s="181"/>
      <c r="GYV116" s="182"/>
      <c r="GYW116" s="181"/>
      <c r="GYX116" s="182"/>
      <c r="GYY116" s="181"/>
      <c r="GYZ116" s="182"/>
      <c r="GZA116" s="181"/>
      <c r="GZB116" s="182"/>
      <c r="GZC116" s="181"/>
      <c r="GZD116" s="182"/>
      <c r="GZE116" s="181"/>
      <c r="GZF116" s="182"/>
      <c r="GZG116" s="181"/>
      <c r="GZH116" s="182"/>
      <c r="GZI116" s="181"/>
      <c r="GZJ116" s="182"/>
      <c r="GZK116" s="181"/>
      <c r="GZL116" s="182"/>
      <c r="GZM116" s="181"/>
      <c r="GZN116" s="182"/>
      <c r="GZO116" s="181"/>
      <c r="GZP116" s="182"/>
      <c r="GZQ116" s="181"/>
      <c r="GZR116" s="182"/>
      <c r="GZS116" s="181"/>
      <c r="GZT116" s="182"/>
      <c r="GZU116" s="181"/>
      <c r="GZV116" s="182"/>
      <c r="GZW116" s="181"/>
      <c r="GZX116" s="182"/>
      <c r="GZY116" s="181"/>
      <c r="GZZ116" s="182"/>
      <c r="HAA116" s="181"/>
      <c r="HAB116" s="182"/>
      <c r="HAC116" s="181"/>
      <c r="HAD116" s="182"/>
      <c r="HAE116" s="181"/>
      <c r="HAF116" s="182"/>
      <c r="HAG116" s="181"/>
      <c r="HAH116" s="182"/>
      <c r="HAI116" s="181"/>
      <c r="HAJ116" s="182"/>
      <c r="HAK116" s="181"/>
      <c r="HAL116" s="182"/>
      <c r="HAM116" s="181"/>
      <c r="HAN116" s="182"/>
      <c r="HAO116" s="181"/>
      <c r="HAP116" s="182"/>
      <c r="HAQ116" s="181"/>
      <c r="HAR116" s="182"/>
      <c r="HAS116" s="181"/>
      <c r="HAT116" s="182"/>
      <c r="HAU116" s="181"/>
      <c r="HAV116" s="182"/>
      <c r="HAW116" s="181"/>
      <c r="HAX116" s="182"/>
      <c r="HAY116" s="181"/>
      <c r="HAZ116" s="182"/>
      <c r="HBA116" s="181"/>
      <c r="HBB116" s="182"/>
      <c r="HBC116" s="181"/>
      <c r="HBD116" s="182"/>
      <c r="HBE116" s="181"/>
      <c r="HBF116" s="182"/>
      <c r="HBG116" s="181"/>
      <c r="HBH116" s="182"/>
      <c r="HBI116" s="181"/>
      <c r="HBJ116" s="182"/>
      <c r="HBK116" s="181"/>
      <c r="HBL116" s="182"/>
      <c r="HBM116" s="181"/>
      <c r="HBN116" s="182"/>
      <c r="HBO116" s="181"/>
      <c r="HBP116" s="182"/>
      <c r="HBQ116" s="181"/>
      <c r="HBR116" s="182"/>
      <c r="HBS116" s="181"/>
      <c r="HBT116" s="182"/>
      <c r="HBU116" s="181"/>
      <c r="HBV116" s="182"/>
      <c r="HBW116" s="181"/>
      <c r="HBX116" s="182"/>
      <c r="HBY116" s="181"/>
      <c r="HBZ116" s="182"/>
      <c r="HCA116" s="181"/>
      <c r="HCB116" s="182"/>
      <c r="HCC116" s="181"/>
      <c r="HCD116" s="182"/>
      <c r="HCE116" s="181"/>
      <c r="HCF116" s="182"/>
      <c r="HCG116" s="181"/>
      <c r="HCH116" s="182"/>
      <c r="HCI116" s="181"/>
      <c r="HCJ116" s="182"/>
      <c r="HCK116" s="181"/>
      <c r="HCL116" s="182"/>
      <c r="HCM116" s="181"/>
      <c r="HCN116" s="182"/>
      <c r="HCO116" s="181"/>
      <c r="HCP116" s="182"/>
      <c r="HCQ116" s="181"/>
      <c r="HCR116" s="182"/>
      <c r="HCS116" s="181"/>
      <c r="HCT116" s="182"/>
      <c r="HCU116" s="181"/>
      <c r="HCV116" s="182"/>
      <c r="HCW116" s="181"/>
      <c r="HCX116" s="182"/>
      <c r="HCY116" s="181"/>
      <c r="HCZ116" s="182"/>
      <c r="HDA116" s="181"/>
      <c r="HDB116" s="182"/>
      <c r="HDC116" s="181"/>
      <c r="HDD116" s="182"/>
      <c r="HDE116" s="181"/>
      <c r="HDF116" s="182"/>
      <c r="HDG116" s="181"/>
      <c r="HDH116" s="182"/>
      <c r="HDI116" s="181"/>
      <c r="HDJ116" s="182"/>
      <c r="HDK116" s="181"/>
      <c r="HDL116" s="182"/>
      <c r="HDM116" s="181"/>
      <c r="HDN116" s="182"/>
      <c r="HDO116" s="181"/>
      <c r="HDP116" s="182"/>
      <c r="HDQ116" s="181"/>
      <c r="HDR116" s="182"/>
      <c r="HDS116" s="181"/>
      <c r="HDT116" s="182"/>
      <c r="HDU116" s="181"/>
      <c r="HDV116" s="182"/>
      <c r="HDW116" s="181"/>
      <c r="HDX116" s="182"/>
      <c r="HDY116" s="181"/>
      <c r="HDZ116" s="182"/>
      <c r="HEA116" s="181"/>
      <c r="HEB116" s="182"/>
      <c r="HEC116" s="181"/>
      <c r="HED116" s="182"/>
      <c r="HEE116" s="181"/>
      <c r="HEF116" s="182"/>
      <c r="HEG116" s="181"/>
      <c r="HEH116" s="182"/>
      <c r="HEI116" s="181"/>
      <c r="HEJ116" s="182"/>
      <c r="HEK116" s="181"/>
      <c r="HEL116" s="182"/>
      <c r="HEM116" s="181"/>
      <c r="HEN116" s="182"/>
      <c r="HEO116" s="181"/>
      <c r="HEP116" s="182"/>
      <c r="HEQ116" s="181"/>
      <c r="HER116" s="182"/>
      <c r="HES116" s="181"/>
      <c r="HET116" s="182"/>
      <c r="HEU116" s="181"/>
      <c r="HEV116" s="182"/>
      <c r="HEW116" s="181"/>
      <c r="HEX116" s="182"/>
      <c r="HEY116" s="181"/>
      <c r="HEZ116" s="182"/>
      <c r="HFA116" s="181"/>
      <c r="HFB116" s="182"/>
      <c r="HFC116" s="181"/>
      <c r="HFD116" s="182"/>
      <c r="HFE116" s="181"/>
      <c r="HFF116" s="182"/>
      <c r="HFG116" s="181"/>
      <c r="HFH116" s="182"/>
      <c r="HFI116" s="181"/>
      <c r="HFJ116" s="182"/>
      <c r="HFK116" s="181"/>
      <c r="HFL116" s="182"/>
      <c r="HFM116" s="181"/>
      <c r="HFN116" s="182"/>
      <c r="HFO116" s="181"/>
      <c r="HFP116" s="182"/>
      <c r="HFQ116" s="181"/>
      <c r="HFR116" s="182"/>
      <c r="HFS116" s="181"/>
      <c r="HFT116" s="182"/>
      <c r="HFU116" s="181"/>
      <c r="HFV116" s="182"/>
      <c r="HFW116" s="181"/>
      <c r="HFX116" s="182"/>
      <c r="HFY116" s="181"/>
      <c r="HFZ116" s="182"/>
      <c r="HGA116" s="181"/>
      <c r="HGB116" s="182"/>
      <c r="HGC116" s="181"/>
      <c r="HGD116" s="182"/>
      <c r="HGE116" s="181"/>
      <c r="HGF116" s="182"/>
      <c r="HGG116" s="181"/>
      <c r="HGH116" s="182"/>
      <c r="HGI116" s="181"/>
      <c r="HGJ116" s="182"/>
      <c r="HGK116" s="181"/>
      <c r="HGL116" s="182"/>
      <c r="HGM116" s="181"/>
      <c r="HGN116" s="182"/>
      <c r="HGO116" s="181"/>
      <c r="HGP116" s="182"/>
      <c r="HGQ116" s="181"/>
      <c r="HGR116" s="182"/>
      <c r="HGS116" s="181"/>
      <c r="HGT116" s="182"/>
      <c r="HGU116" s="181"/>
      <c r="HGV116" s="182"/>
      <c r="HGW116" s="181"/>
      <c r="HGX116" s="182"/>
      <c r="HGY116" s="181"/>
      <c r="HGZ116" s="182"/>
      <c r="HHA116" s="181"/>
      <c r="HHB116" s="182"/>
      <c r="HHC116" s="181"/>
      <c r="HHD116" s="182"/>
      <c r="HHE116" s="181"/>
      <c r="HHF116" s="182"/>
      <c r="HHG116" s="181"/>
      <c r="HHH116" s="182"/>
      <c r="HHI116" s="181"/>
      <c r="HHJ116" s="182"/>
      <c r="HHK116" s="181"/>
      <c r="HHL116" s="182"/>
      <c r="HHM116" s="181"/>
      <c r="HHN116" s="182"/>
      <c r="HHO116" s="181"/>
      <c r="HHP116" s="182"/>
      <c r="HHQ116" s="181"/>
      <c r="HHR116" s="182"/>
      <c r="HHS116" s="181"/>
      <c r="HHT116" s="182"/>
      <c r="HHU116" s="181"/>
      <c r="HHV116" s="182"/>
      <c r="HHW116" s="181"/>
      <c r="HHX116" s="182"/>
      <c r="HHY116" s="181"/>
      <c r="HHZ116" s="182"/>
      <c r="HIA116" s="181"/>
      <c r="HIB116" s="182"/>
      <c r="HIC116" s="181"/>
      <c r="HID116" s="182"/>
      <c r="HIE116" s="181"/>
      <c r="HIF116" s="182"/>
      <c r="HIG116" s="181"/>
      <c r="HIH116" s="182"/>
      <c r="HII116" s="181"/>
      <c r="HIJ116" s="182"/>
      <c r="HIK116" s="181"/>
      <c r="HIL116" s="182"/>
      <c r="HIM116" s="181"/>
      <c r="HIN116" s="182"/>
      <c r="HIO116" s="181"/>
      <c r="HIP116" s="182"/>
      <c r="HIQ116" s="181"/>
      <c r="HIR116" s="182"/>
      <c r="HIS116" s="181"/>
      <c r="HIT116" s="182"/>
      <c r="HIU116" s="181"/>
      <c r="HIV116" s="182"/>
      <c r="HIW116" s="181"/>
      <c r="HIX116" s="182"/>
      <c r="HIY116" s="181"/>
      <c r="HIZ116" s="182"/>
      <c r="HJA116" s="181"/>
      <c r="HJB116" s="182"/>
      <c r="HJC116" s="181"/>
      <c r="HJD116" s="182"/>
      <c r="HJE116" s="181"/>
      <c r="HJF116" s="182"/>
      <c r="HJG116" s="181"/>
      <c r="HJH116" s="182"/>
      <c r="HJI116" s="181"/>
      <c r="HJJ116" s="182"/>
      <c r="HJK116" s="181"/>
      <c r="HJL116" s="182"/>
      <c r="HJM116" s="181"/>
      <c r="HJN116" s="182"/>
      <c r="HJO116" s="181"/>
      <c r="HJP116" s="182"/>
      <c r="HJQ116" s="181"/>
      <c r="HJR116" s="182"/>
      <c r="HJS116" s="181"/>
      <c r="HJT116" s="182"/>
      <c r="HJU116" s="181"/>
      <c r="HJV116" s="182"/>
      <c r="HJW116" s="181"/>
      <c r="HJX116" s="182"/>
      <c r="HJY116" s="181"/>
      <c r="HJZ116" s="182"/>
      <c r="HKA116" s="181"/>
      <c r="HKB116" s="182"/>
      <c r="HKC116" s="181"/>
      <c r="HKD116" s="182"/>
      <c r="HKE116" s="181"/>
      <c r="HKF116" s="182"/>
      <c r="HKG116" s="181"/>
      <c r="HKH116" s="182"/>
      <c r="HKI116" s="181"/>
      <c r="HKJ116" s="182"/>
      <c r="HKK116" s="181"/>
      <c r="HKL116" s="182"/>
      <c r="HKM116" s="181"/>
      <c r="HKN116" s="182"/>
      <c r="HKO116" s="181"/>
      <c r="HKP116" s="182"/>
      <c r="HKQ116" s="181"/>
      <c r="HKR116" s="182"/>
      <c r="HKS116" s="181"/>
      <c r="HKT116" s="182"/>
      <c r="HKU116" s="181"/>
      <c r="HKV116" s="182"/>
      <c r="HKW116" s="181"/>
      <c r="HKX116" s="182"/>
      <c r="HKY116" s="181"/>
      <c r="HKZ116" s="182"/>
      <c r="HLA116" s="181"/>
      <c r="HLB116" s="182"/>
      <c r="HLC116" s="181"/>
      <c r="HLD116" s="182"/>
      <c r="HLE116" s="181"/>
      <c r="HLF116" s="182"/>
      <c r="HLG116" s="181"/>
      <c r="HLH116" s="182"/>
      <c r="HLI116" s="181"/>
      <c r="HLJ116" s="182"/>
      <c r="HLK116" s="181"/>
      <c r="HLL116" s="182"/>
      <c r="HLM116" s="181"/>
      <c r="HLN116" s="182"/>
      <c r="HLO116" s="181"/>
      <c r="HLP116" s="182"/>
      <c r="HLQ116" s="181"/>
      <c r="HLR116" s="182"/>
      <c r="HLS116" s="181"/>
      <c r="HLT116" s="182"/>
      <c r="HLU116" s="181"/>
      <c r="HLV116" s="182"/>
      <c r="HLW116" s="181"/>
      <c r="HLX116" s="182"/>
      <c r="HLY116" s="181"/>
      <c r="HLZ116" s="182"/>
      <c r="HMA116" s="181"/>
      <c r="HMB116" s="182"/>
      <c r="HMC116" s="181"/>
      <c r="HMD116" s="182"/>
      <c r="HME116" s="181"/>
      <c r="HMF116" s="182"/>
      <c r="HMG116" s="181"/>
      <c r="HMH116" s="182"/>
      <c r="HMI116" s="181"/>
      <c r="HMJ116" s="182"/>
      <c r="HMK116" s="181"/>
      <c r="HML116" s="182"/>
      <c r="HMM116" s="181"/>
      <c r="HMN116" s="182"/>
      <c r="HMO116" s="181"/>
      <c r="HMP116" s="182"/>
      <c r="HMQ116" s="181"/>
      <c r="HMR116" s="182"/>
      <c r="HMS116" s="181"/>
      <c r="HMT116" s="182"/>
      <c r="HMU116" s="181"/>
      <c r="HMV116" s="182"/>
      <c r="HMW116" s="181"/>
      <c r="HMX116" s="182"/>
      <c r="HMY116" s="181"/>
      <c r="HMZ116" s="182"/>
      <c r="HNA116" s="181"/>
      <c r="HNB116" s="182"/>
      <c r="HNC116" s="181"/>
      <c r="HND116" s="182"/>
      <c r="HNE116" s="181"/>
      <c r="HNF116" s="182"/>
      <c r="HNG116" s="181"/>
      <c r="HNH116" s="182"/>
      <c r="HNI116" s="181"/>
      <c r="HNJ116" s="182"/>
      <c r="HNK116" s="181"/>
      <c r="HNL116" s="182"/>
      <c r="HNM116" s="181"/>
      <c r="HNN116" s="182"/>
      <c r="HNO116" s="181"/>
      <c r="HNP116" s="182"/>
      <c r="HNQ116" s="181"/>
      <c r="HNR116" s="182"/>
      <c r="HNS116" s="181"/>
      <c r="HNT116" s="182"/>
      <c r="HNU116" s="181"/>
      <c r="HNV116" s="182"/>
      <c r="HNW116" s="181"/>
      <c r="HNX116" s="182"/>
      <c r="HNY116" s="181"/>
      <c r="HNZ116" s="182"/>
      <c r="HOA116" s="181"/>
      <c r="HOB116" s="182"/>
      <c r="HOC116" s="181"/>
      <c r="HOD116" s="182"/>
      <c r="HOE116" s="181"/>
      <c r="HOF116" s="182"/>
      <c r="HOG116" s="181"/>
      <c r="HOH116" s="182"/>
      <c r="HOI116" s="181"/>
      <c r="HOJ116" s="182"/>
      <c r="HOK116" s="181"/>
      <c r="HOL116" s="182"/>
      <c r="HOM116" s="181"/>
      <c r="HON116" s="182"/>
      <c r="HOO116" s="181"/>
      <c r="HOP116" s="182"/>
      <c r="HOQ116" s="181"/>
      <c r="HOR116" s="182"/>
      <c r="HOS116" s="181"/>
      <c r="HOT116" s="182"/>
      <c r="HOU116" s="181"/>
      <c r="HOV116" s="182"/>
      <c r="HOW116" s="181"/>
      <c r="HOX116" s="182"/>
      <c r="HOY116" s="181"/>
      <c r="HOZ116" s="182"/>
      <c r="HPA116" s="181"/>
      <c r="HPB116" s="182"/>
      <c r="HPC116" s="181"/>
      <c r="HPD116" s="182"/>
      <c r="HPE116" s="181"/>
      <c r="HPF116" s="182"/>
      <c r="HPG116" s="181"/>
      <c r="HPH116" s="182"/>
      <c r="HPI116" s="181"/>
      <c r="HPJ116" s="182"/>
      <c r="HPK116" s="181"/>
      <c r="HPL116" s="182"/>
      <c r="HPM116" s="181"/>
      <c r="HPN116" s="182"/>
      <c r="HPO116" s="181"/>
      <c r="HPP116" s="182"/>
      <c r="HPQ116" s="181"/>
      <c r="HPR116" s="182"/>
      <c r="HPS116" s="181"/>
      <c r="HPT116" s="182"/>
      <c r="HPU116" s="181"/>
      <c r="HPV116" s="182"/>
      <c r="HPW116" s="181"/>
      <c r="HPX116" s="182"/>
      <c r="HPY116" s="181"/>
      <c r="HPZ116" s="182"/>
      <c r="HQA116" s="181"/>
      <c r="HQB116" s="182"/>
      <c r="HQC116" s="181"/>
      <c r="HQD116" s="182"/>
      <c r="HQE116" s="181"/>
      <c r="HQF116" s="182"/>
      <c r="HQG116" s="181"/>
      <c r="HQH116" s="182"/>
      <c r="HQI116" s="181"/>
      <c r="HQJ116" s="182"/>
      <c r="HQK116" s="181"/>
      <c r="HQL116" s="182"/>
      <c r="HQM116" s="181"/>
      <c r="HQN116" s="182"/>
      <c r="HQO116" s="181"/>
      <c r="HQP116" s="182"/>
      <c r="HQQ116" s="181"/>
      <c r="HQR116" s="182"/>
      <c r="HQS116" s="181"/>
      <c r="HQT116" s="182"/>
      <c r="HQU116" s="181"/>
      <c r="HQV116" s="182"/>
      <c r="HQW116" s="181"/>
      <c r="HQX116" s="182"/>
      <c r="HQY116" s="181"/>
      <c r="HQZ116" s="182"/>
      <c r="HRA116" s="181"/>
      <c r="HRB116" s="182"/>
      <c r="HRC116" s="181"/>
      <c r="HRD116" s="182"/>
      <c r="HRE116" s="181"/>
      <c r="HRF116" s="182"/>
      <c r="HRG116" s="181"/>
      <c r="HRH116" s="182"/>
      <c r="HRI116" s="181"/>
      <c r="HRJ116" s="182"/>
      <c r="HRK116" s="181"/>
      <c r="HRL116" s="182"/>
      <c r="HRM116" s="181"/>
      <c r="HRN116" s="182"/>
      <c r="HRO116" s="181"/>
      <c r="HRP116" s="182"/>
      <c r="HRQ116" s="181"/>
      <c r="HRR116" s="182"/>
      <c r="HRS116" s="181"/>
      <c r="HRT116" s="182"/>
      <c r="HRU116" s="181"/>
      <c r="HRV116" s="182"/>
      <c r="HRW116" s="181"/>
      <c r="HRX116" s="182"/>
      <c r="HRY116" s="181"/>
      <c r="HRZ116" s="182"/>
      <c r="HSA116" s="181"/>
      <c r="HSB116" s="182"/>
      <c r="HSC116" s="181"/>
      <c r="HSD116" s="182"/>
      <c r="HSE116" s="181"/>
      <c r="HSF116" s="182"/>
      <c r="HSG116" s="181"/>
      <c r="HSH116" s="182"/>
      <c r="HSI116" s="181"/>
      <c r="HSJ116" s="182"/>
      <c r="HSK116" s="181"/>
      <c r="HSL116" s="182"/>
      <c r="HSM116" s="181"/>
      <c r="HSN116" s="182"/>
      <c r="HSO116" s="181"/>
      <c r="HSP116" s="182"/>
      <c r="HSQ116" s="181"/>
      <c r="HSR116" s="182"/>
      <c r="HSS116" s="181"/>
      <c r="HST116" s="182"/>
      <c r="HSU116" s="181"/>
      <c r="HSV116" s="182"/>
      <c r="HSW116" s="181"/>
      <c r="HSX116" s="182"/>
      <c r="HSY116" s="181"/>
      <c r="HSZ116" s="182"/>
      <c r="HTA116" s="181"/>
      <c r="HTB116" s="182"/>
      <c r="HTC116" s="181"/>
      <c r="HTD116" s="182"/>
      <c r="HTE116" s="181"/>
      <c r="HTF116" s="182"/>
      <c r="HTG116" s="181"/>
      <c r="HTH116" s="182"/>
      <c r="HTI116" s="181"/>
      <c r="HTJ116" s="182"/>
      <c r="HTK116" s="181"/>
      <c r="HTL116" s="182"/>
      <c r="HTM116" s="181"/>
      <c r="HTN116" s="182"/>
      <c r="HTO116" s="181"/>
      <c r="HTP116" s="182"/>
      <c r="HTQ116" s="181"/>
      <c r="HTR116" s="182"/>
      <c r="HTS116" s="181"/>
      <c r="HTT116" s="182"/>
      <c r="HTU116" s="181"/>
      <c r="HTV116" s="182"/>
      <c r="HTW116" s="181"/>
      <c r="HTX116" s="182"/>
      <c r="HTY116" s="181"/>
      <c r="HTZ116" s="182"/>
      <c r="HUA116" s="181"/>
      <c r="HUB116" s="182"/>
      <c r="HUC116" s="181"/>
      <c r="HUD116" s="182"/>
      <c r="HUE116" s="181"/>
      <c r="HUF116" s="182"/>
      <c r="HUG116" s="181"/>
      <c r="HUH116" s="182"/>
      <c r="HUI116" s="181"/>
      <c r="HUJ116" s="182"/>
      <c r="HUK116" s="181"/>
      <c r="HUL116" s="182"/>
      <c r="HUM116" s="181"/>
      <c r="HUN116" s="182"/>
      <c r="HUO116" s="181"/>
      <c r="HUP116" s="182"/>
      <c r="HUQ116" s="181"/>
      <c r="HUR116" s="182"/>
      <c r="HUS116" s="181"/>
      <c r="HUT116" s="182"/>
      <c r="HUU116" s="181"/>
      <c r="HUV116" s="182"/>
      <c r="HUW116" s="181"/>
      <c r="HUX116" s="182"/>
      <c r="HUY116" s="181"/>
      <c r="HUZ116" s="182"/>
      <c r="HVA116" s="181"/>
      <c r="HVB116" s="182"/>
      <c r="HVC116" s="181"/>
      <c r="HVD116" s="182"/>
      <c r="HVE116" s="181"/>
      <c r="HVF116" s="182"/>
      <c r="HVG116" s="181"/>
      <c r="HVH116" s="182"/>
      <c r="HVI116" s="181"/>
      <c r="HVJ116" s="182"/>
      <c r="HVK116" s="181"/>
      <c r="HVL116" s="182"/>
      <c r="HVM116" s="181"/>
      <c r="HVN116" s="182"/>
      <c r="HVO116" s="181"/>
      <c r="HVP116" s="182"/>
      <c r="HVQ116" s="181"/>
      <c r="HVR116" s="182"/>
      <c r="HVS116" s="181"/>
      <c r="HVT116" s="182"/>
      <c r="HVU116" s="181"/>
      <c r="HVV116" s="182"/>
      <c r="HVW116" s="181"/>
      <c r="HVX116" s="182"/>
      <c r="HVY116" s="181"/>
      <c r="HVZ116" s="182"/>
      <c r="HWA116" s="181"/>
      <c r="HWB116" s="182"/>
      <c r="HWC116" s="181"/>
      <c r="HWD116" s="182"/>
      <c r="HWE116" s="181"/>
      <c r="HWF116" s="182"/>
      <c r="HWG116" s="181"/>
      <c r="HWH116" s="182"/>
      <c r="HWI116" s="181"/>
      <c r="HWJ116" s="182"/>
      <c r="HWK116" s="181"/>
      <c r="HWL116" s="182"/>
      <c r="HWM116" s="181"/>
      <c r="HWN116" s="182"/>
      <c r="HWO116" s="181"/>
      <c r="HWP116" s="182"/>
      <c r="HWQ116" s="181"/>
      <c r="HWR116" s="182"/>
      <c r="HWS116" s="181"/>
      <c r="HWT116" s="182"/>
      <c r="HWU116" s="181"/>
      <c r="HWV116" s="182"/>
      <c r="HWW116" s="181"/>
      <c r="HWX116" s="182"/>
      <c r="HWY116" s="181"/>
      <c r="HWZ116" s="182"/>
      <c r="HXA116" s="181"/>
      <c r="HXB116" s="182"/>
      <c r="HXC116" s="181"/>
      <c r="HXD116" s="182"/>
      <c r="HXE116" s="181"/>
      <c r="HXF116" s="182"/>
      <c r="HXG116" s="181"/>
      <c r="HXH116" s="182"/>
      <c r="HXI116" s="181"/>
      <c r="HXJ116" s="182"/>
      <c r="HXK116" s="181"/>
      <c r="HXL116" s="182"/>
      <c r="HXM116" s="181"/>
      <c r="HXN116" s="182"/>
      <c r="HXO116" s="181"/>
      <c r="HXP116" s="182"/>
      <c r="HXQ116" s="181"/>
      <c r="HXR116" s="182"/>
      <c r="HXS116" s="181"/>
      <c r="HXT116" s="182"/>
      <c r="HXU116" s="181"/>
      <c r="HXV116" s="182"/>
      <c r="HXW116" s="181"/>
      <c r="HXX116" s="182"/>
      <c r="HXY116" s="181"/>
      <c r="HXZ116" s="182"/>
      <c r="HYA116" s="181"/>
      <c r="HYB116" s="182"/>
      <c r="HYC116" s="181"/>
      <c r="HYD116" s="182"/>
      <c r="HYE116" s="181"/>
      <c r="HYF116" s="182"/>
      <c r="HYG116" s="181"/>
      <c r="HYH116" s="182"/>
      <c r="HYI116" s="181"/>
      <c r="HYJ116" s="182"/>
      <c r="HYK116" s="181"/>
      <c r="HYL116" s="182"/>
      <c r="HYM116" s="181"/>
      <c r="HYN116" s="182"/>
      <c r="HYO116" s="181"/>
      <c r="HYP116" s="182"/>
      <c r="HYQ116" s="181"/>
      <c r="HYR116" s="182"/>
      <c r="HYS116" s="181"/>
      <c r="HYT116" s="182"/>
      <c r="HYU116" s="181"/>
      <c r="HYV116" s="182"/>
      <c r="HYW116" s="181"/>
      <c r="HYX116" s="182"/>
      <c r="HYY116" s="181"/>
      <c r="HYZ116" s="182"/>
      <c r="HZA116" s="181"/>
      <c r="HZB116" s="182"/>
      <c r="HZC116" s="181"/>
      <c r="HZD116" s="182"/>
      <c r="HZE116" s="181"/>
      <c r="HZF116" s="182"/>
      <c r="HZG116" s="181"/>
      <c r="HZH116" s="182"/>
      <c r="HZI116" s="181"/>
      <c r="HZJ116" s="182"/>
      <c r="HZK116" s="181"/>
      <c r="HZL116" s="182"/>
      <c r="HZM116" s="181"/>
      <c r="HZN116" s="182"/>
      <c r="HZO116" s="181"/>
      <c r="HZP116" s="182"/>
      <c r="HZQ116" s="181"/>
      <c r="HZR116" s="182"/>
      <c r="HZS116" s="181"/>
      <c r="HZT116" s="182"/>
      <c r="HZU116" s="181"/>
      <c r="HZV116" s="182"/>
      <c r="HZW116" s="181"/>
      <c r="HZX116" s="182"/>
      <c r="HZY116" s="181"/>
      <c r="HZZ116" s="182"/>
      <c r="IAA116" s="181"/>
      <c r="IAB116" s="182"/>
      <c r="IAC116" s="181"/>
      <c r="IAD116" s="182"/>
      <c r="IAE116" s="181"/>
      <c r="IAF116" s="182"/>
      <c r="IAG116" s="181"/>
      <c r="IAH116" s="182"/>
      <c r="IAI116" s="181"/>
      <c r="IAJ116" s="182"/>
      <c r="IAK116" s="181"/>
      <c r="IAL116" s="182"/>
      <c r="IAM116" s="181"/>
      <c r="IAN116" s="182"/>
      <c r="IAO116" s="181"/>
      <c r="IAP116" s="182"/>
      <c r="IAQ116" s="181"/>
      <c r="IAR116" s="182"/>
      <c r="IAS116" s="181"/>
      <c r="IAT116" s="182"/>
      <c r="IAU116" s="181"/>
      <c r="IAV116" s="182"/>
      <c r="IAW116" s="181"/>
      <c r="IAX116" s="182"/>
      <c r="IAY116" s="181"/>
      <c r="IAZ116" s="182"/>
      <c r="IBA116" s="181"/>
      <c r="IBB116" s="182"/>
      <c r="IBC116" s="181"/>
      <c r="IBD116" s="182"/>
      <c r="IBE116" s="181"/>
      <c r="IBF116" s="182"/>
      <c r="IBG116" s="181"/>
      <c r="IBH116" s="182"/>
      <c r="IBI116" s="181"/>
      <c r="IBJ116" s="182"/>
      <c r="IBK116" s="181"/>
      <c r="IBL116" s="182"/>
      <c r="IBM116" s="181"/>
      <c r="IBN116" s="182"/>
      <c r="IBO116" s="181"/>
      <c r="IBP116" s="182"/>
      <c r="IBQ116" s="181"/>
      <c r="IBR116" s="182"/>
      <c r="IBS116" s="181"/>
      <c r="IBT116" s="182"/>
      <c r="IBU116" s="181"/>
      <c r="IBV116" s="182"/>
      <c r="IBW116" s="181"/>
      <c r="IBX116" s="182"/>
      <c r="IBY116" s="181"/>
      <c r="IBZ116" s="182"/>
      <c r="ICA116" s="181"/>
      <c r="ICB116" s="182"/>
      <c r="ICC116" s="181"/>
      <c r="ICD116" s="182"/>
      <c r="ICE116" s="181"/>
      <c r="ICF116" s="182"/>
      <c r="ICG116" s="181"/>
      <c r="ICH116" s="182"/>
      <c r="ICI116" s="181"/>
      <c r="ICJ116" s="182"/>
      <c r="ICK116" s="181"/>
      <c r="ICL116" s="182"/>
      <c r="ICM116" s="181"/>
      <c r="ICN116" s="182"/>
      <c r="ICO116" s="181"/>
      <c r="ICP116" s="182"/>
      <c r="ICQ116" s="181"/>
      <c r="ICR116" s="182"/>
      <c r="ICS116" s="181"/>
      <c r="ICT116" s="182"/>
      <c r="ICU116" s="181"/>
      <c r="ICV116" s="182"/>
      <c r="ICW116" s="181"/>
      <c r="ICX116" s="182"/>
      <c r="ICY116" s="181"/>
      <c r="ICZ116" s="182"/>
      <c r="IDA116" s="181"/>
      <c r="IDB116" s="182"/>
      <c r="IDC116" s="181"/>
      <c r="IDD116" s="182"/>
      <c r="IDE116" s="181"/>
      <c r="IDF116" s="182"/>
      <c r="IDG116" s="181"/>
      <c r="IDH116" s="182"/>
      <c r="IDI116" s="181"/>
      <c r="IDJ116" s="182"/>
      <c r="IDK116" s="181"/>
      <c r="IDL116" s="182"/>
      <c r="IDM116" s="181"/>
      <c r="IDN116" s="182"/>
      <c r="IDO116" s="181"/>
      <c r="IDP116" s="182"/>
      <c r="IDQ116" s="181"/>
      <c r="IDR116" s="182"/>
      <c r="IDS116" s="181"/>
      <c r="IDT116" s="182"/>
      <c r="IDU116" s="181"/>
      <c r="IDV116" s="182"/>
      <c r="IDW116" s="181"/>
      <c r="IDX116" s="182"/>
      <c r="IDY116" s="181"/>
      <c r="IDZ116" s="182"/>
      <c r="IEA116" s="181"/>
      <c r="IEB116" s="182"/>
      <c r="IEC116" s="181"/>
      <c r="IED116" s="182"/>
      <c r="IEE116" s="181"/>
      <c r="IEF116" s="182"/>
      <c r="IEG116" s="181"/>
      <c r="IEH116" s="182"/>
      <c r="IEI116" s="181"/>
      <c r="IEJ116" s="182"/>
      <c r="IEK116" s="181"/>
      <c r="IEL116" s="182"/>
      <c r="IEM116" s="181"/>
      <c r="IEN116" s="182"/>
      <c r="IEO116" s="181"/>
      <c r="IEP116" s="182"/>
      <c r="IEQ116" s="181"/>
      <c r="IER116" s="182"/>
      <c r="IES116" s="181"/>
      <c r="IET116" s="182"/>
      <c r="IEU116" s="181"/>
      <c r="IEV116" s="182"/>
      <c r="IEW116" s="181"/>
      <c r="IEX116" s="182"/>
      <c r="IEY116" s="181"/>
      <c r="IEZ116" s="182"/>
      <c r="IFA116" s="181"/>
      <c r="IFB116" s="182"/>
      <c r="IFC116" s="181"/>
      <c r="IFD116" s="182"/>
      <c r="IFE116" s="181"/>
      <c r="IFF116" s="182"/>
      <c r="IFG116" s="181"/>
      <c r="IFH116" s="182"/>
      <c r="IFI116" s="181"/>
      <c r="IFJ116" s="182"/>
      <c r="IFK116" s="181"/>
      <c r="IFL116" s="182"/>
      <c r="IFM116" s="181"/>
      <c r="IFN116" s="182"/>
      <c r="IFO116" s="181"/>
      <c r="IFP116" s="182"/>
      <c r="IFQ116" s="181"/>
      <c r="IFR116" s="182"/>
      <c r="IFS116" s="181"/>
      <c r="IFT116" s="182"/>
      <c r="IFU116" s="181"/>
      <c r="IFV116" s="182"/>
      <c r="IFW116" s="181"/>
      <c r="IFX116" s="182"/>
      <c r="IFY116" s="181"/>
      <c r="IFZ116" s="182"/>
      <c r="IGA116" s="181"/>
      <c r="IGB116" s="182"/>
      <c r="IGC116" s="181"/>
      <c r="IGD116" s="182"/>
      <c r="IGE116" s="181"/>
      <c r="IGF116" s="182"/>
      <c r="IGG116" s="181"/>
      <c r="IGH116" s="182"/>
      <c r="IGI116" s="181"/>
      <c r="IGJ116" s="182"/>
      <c r="IGK116" s="181"/>
      <c r="IGL116" s="182"/>
      <c r="IGM116" s="181"/>
      <c r="IGN116" s="182"/>
      <c r="IGO116" s="181"/>
      <c r="IGP116" s="182"/>
      <c r="IGQ116" s="181"/>
      <c r="IGR116" s="182"/>
      <c r="IGS116" s="181"/>
      <c r="IGT116" s="182"/>
      <c r="IGU116" s="181"/>
      <c r="IGV116" s="182"/>
      <c r="IGW116" s="181"/>
      <c r="IGX116" s="182"/>
      <c r="IGY116" s="181"/>
      <c r="IGZ116" s="182"/>
      <c r="IHA116" s="181"/>
      <c r="IHB116" s="182"/>
      <c r="IHC116" s="181"/>
      <c r="IHD116" s="182"/>
      <c r="IHE116" s="181"/>
      <c r="IHF116" s="182"/>
      <c r="IHG116" s="181"/>
      <c r="IHH116" s="182"/>
      <c r="IHI116" s="181"/>
      <c r="IHJ116" s="182"/>
      <c r="IHK116" s="181"/>
      <c r="IHL116" s="182"/>
      <c r="IHM116" s="181"/>
      <c r="IHN116" s="182"/>
      <c r="IHO116" s="181"/>
      <c r="IHP116" s="182"/>
      <c r="IHQ116" s="181"/>
      <c r="IHR116" s="182"/>
      <c r="IHS116" s="181"/>
      <c r="IHT116" s="182"/>
      <c r="IHU116" s="181"/>
      <c r="IHV116" s="182"/>
      <c r="IHW116" s="181"/>
      <c r="IHX116" s="182"/>
      <c r="IHY116" s="181"/>
      <c r="IHZ116" s="182"/>
      <c r="IIA116" s="181"/>
      <c r="IIB116" s="182"/>
      <c r="IIC116" s="181"/>
      <c r="IID116" s="182"/>
      <c r="IIE116" s="181"/>
      <c r="IIF116" s="182"/>
      <c r="IIG116" s="181"/>
      <c r="IIH116" s="182"/>
      <c r="III116" s="181"/>
      <c r="IIJ116" s="182"/>
      <c r="IIK116" s="181"/>
      <c r="IIL116" s="182"/>
      <c r="IIM116" s="181"/>
      <c r="IIN116" s="182"/>
      <c r="IIO116" s="181"/>
      <c r="IIP116" s="182"/>
      <c r="IIQ116" s="181"/>
      <c r="IIR116" s="182"/>
      <c r="IIS116" s="181"/>
      <c r="IIT116" s="182"/>
      <c r="IIU116" s="181"/>
      <c r="IIV116" s="182"/>
      <c r="IIW116" s="181"/>
      <c r="IIX116" s="182"/>
      <c r="IIY116" s="181"/>
      <c r="IIZ116" s="182"/>
      <c r="IJA116" s="181"/>
      <c r="IJB116" s="182"/>
      <c r="IJC116" s="181"/>
      <c r="IJD116" s="182"/>
      <c r="IJE116" s="181"/>
      <c r="IJF116" s="182"/>
      <c r="IJG116" s="181"/>
      <c r="IJH116" s="182"/>
      <c r="IJI116" s="181"/>
      <c r="IJJ116" s="182"/>
      <c r="IJK116" s="181"/>
      <c r="IJL116" s="182"/>
      <c r="IJM116" s="181"/>
      <c r="IJN116" s="182"/>
      <c r="IJO116" s="181"/>
      <c r="IJP116" s="182"/>
      <c r="IJQ116" s="181"/>
      <c r="IJR116" s="182"/>
      <c r="IJS116" s="181"/>
      <c r="IJT116" s="182"/>
      <c r="IJU116" s="181"/>
      <c r="IJV116" s="182"/>
      <c r="IJW116" s="181"/>
      <c r="IJX116" s="182"/>
      <c r="IJY116" s="181"/>
      <c r="IJZ116" s="182"/>
      <c r="IKA116" s="181"/>
      <c r="IKB116" s="182"/>
      <c r="IKC116" s="181"/>
      <c r="IKD116" s="182"/>
      <c r="IKE116" s="181"/>
      <c r="IKF116" s="182"/>
      <c r="IKG116" s="181"/>
      <c r="IKH116" s="182"/>
      <c r="IKI116" s="181"/>
      <c r="IKJ116" s="182"/>
      <c r="IKK116" s="181"/>
      <c r="IKL116" s="182"/>
      <c r="IKM116" s="181"/>
      <c r="IKN116" s="182"/>
      <c r="IKO116" s="181"/>
      <c r="IKP116" s="182"/>
      <c r="IKQ116" s="181"/>
      <c r="IKR116" s="182"/>
      <c r="IKS116" s="181"/>
      <c r="IKT116" s="182"/>
      <c r="IKU116" s="181"/>
      <c r="IKV116" s="182"/>
      <c r="IKW116" s="181"/>
      <c r="IKX116" s="182"/>
      <c r="IKY116" s="181"/>
      <c r="IKZ116" s="182"/>
      <c r="ILA116" s="181"/>
      <c r="ILB116" s="182"/>
      <c r="ILC116" s="181"/>
      <c r="ILD116" s="182"/>
      <c r="ILE116" s="181"/>
      <c r="ILF116" s="182"/>
      <c r="ILG116" s="181"/>
      <c r="ILH116" s="182"/>
      <c r="ILI116" s="181"/>
      <c r="ILJ116" s="182"/>
      <c r="ILK116" s="181"/>
      <c r="ILL116" s="182"/>
      <c r="ILM116" s="181"/>
      <c r="ILN116" s="182"/>
      <c r="ILO116" s="181"/>
      <c r="ILP116" s="182"/>
      <c r="ILQ116" s="181"/>
      <c r="ILR116" s="182"/>
      <c r="ILS116" s="181"/>
      <c r="ILT116" s="182"/>
      <c r="ILU116" s="181"/>
      <c r="ILV116" s="182"/>
      <c r="ILW116" s="181"/>
      <c r="ILX116" s="182"/>
      <c r="ILY116" s="181"/>
      <c r="ILZ116" s="182"/>
      <c r="IMA116" s="181"/>
      <c r="IMB116" s="182"/>
      <c r="IMC116" s="181"/>
      <c r="IMD116" s="182"/>
      <c r="IME116" s="181"/>
      <c r="IMF116" s="182"/>
      <c r="IMG116" s="181"/>
      <c r="IMH116" s="182"/>
      <c r="IMI116" s="181"/>
      <c r="IMJ116" s="182"/>
      <c r="IMK116" s="181"/>
      <c r="IML116" s="182"/>
      <c r="IMM116" s="181"/>
      <c r="IMN116" s="182"/>
      <c r="IMO116" s="181"/>
      <c r="IMP116" s="182"/>
      <c r="IMQ116" s="181"/>
      <c r="IMR116" s="182"/>
      <c r="IMS116" s="181"/>
      <c r="IMT116" s="182"/>
      <c r="IMU116" s="181"/>
      <c r="IMV116" s="182"/>
      <c r="IMW116" s="181"/>
      <c r="IMX116" s="182"/>
      <c r="IMY116" s="181"/>
      <c r="IMZ116" s="182"/>
      <c r="INA116" s="181"/>
      <c r="INB116" s="182"/>
      <c r="INC116" s="181"/>
      <c r="IND116" s="182"/>
      <c r="INE116" s="181"/>
      <c r="INF116" s="182"/>
      <c r="ING116" s="181"/>
      <c r="INH116" s="182"/>
      <c r="INI116" s="181"/>
      <c r="INJ116" s="182"/>
      <c r="INK116" s="181"/>
      <c r="INL116" s="182"/>
      <c r="INM116" s="181"/>
      <c r="INN116" s="182"/>
      <c r="INO116" s="181"/>
      <c r="INP116" s="182"/>
      <c r="INQ116" s="181"/>
      <c r="INR116" s="182"/>
      <c r="INS116" s="181"/>
      <c r="INT116" s="182"/>
      <c r="INU116" s="181"/>
      <c r="INV116" s="182"/>
      <c r="INW116" s="181"/>
      <c r="INX116" s="182"/>
      <c r="INY116" s="181"/>
      <c r="INZ116" s="182"/>
      <c r="IOA116" s="181"/>
      <c r="IOB116" s="182"/>
      <c r="IOC116" s="181"/>
      <c r="IOD116" s="182"/>
      <c r="IOE116" s="181"/>
      <c r="IOF116" s="182"/>
      <c r="IOG116" s="181"/>
      <c r="IOH116" s="182"/>
      <c r="IOI116" s="181"/>
      <c r="IOJ116" s="182"/>
      <c r="IOK116" s="181"/>
      <c r="IOL116" s="182"/>
      <c r="IOM116" s="181"/>
      <c r="ION116" s="182"/>
      <c r="IOO116" s="181"/>
      <c r="IOP116" s="182"/>
      <c r="IOQ116" s="181"/>
      <c r="IOR116" s="182"/>
      <c r="IOS116" s="181"/>
      <c r="IOT116" s="182"/>
      <c r="IOU116" s="181"/>
      <c r="IOV116" s="182"/>
      <c r="IOW116" s="181"/>
      <c r="IOX116" s="182"/>
      <c r="IOY116" s="181"/>
      <c r="IOZ116" s="182"/>
      <c r="IPA116" s="181"/>
      <c r="IPB116" s="182"/>
      <c r="IPC116" s="181"/>
      <c r="IPD116" s="182"/>
      <c r="IPE116" s="181"/>
      <c r="IPF116" s="182"/>
      <c r="IPG116" s="181"/>
      <c r="IPH116" s="182"/>
      <c r="IPI116" s="181"/>
      <c r="IPJ116" s="182"/>
      <c r="IPK116" s="181"/>
      <c r="IPL116" s="182"/>
      <c r="IPM116" s="181"/>
      <c r="IPN116" s="182"/>
      <c r="IPO116" s="181"/>
      <c r="IPP116" s="182"/>
      <c r="IPQ116" s="181"/>
      <c r="IPR116" s="182"/>
      <c r="IPS116" s="181"/>
      <c r="IPT116" s="182"/>
      <c r="IPU116" s="181"/>
      <c r="IPV116" s="182"/>
      <c r="IPW116" s="181"/>
      <c r="IPX116" s="182"/>
      <c r="IPY116" s="181"/>
      <c r="IPZ116" s="182"/>
      <c r="IQA116" s="181"/>
      <c r="IQB116" s="182"/>
      <c r="IQC116" s="181"/>
      <c r="IQD116" s="182"/>
      <c r="IQE116" s="181"/>
      <c r="IQF116" s="182"/>
      <c r="IQG116" s="181"/>
      <c r="IQH116" s="182"/>
      <c r="IQI116" s="181"/>
      <c r="IQJ116" s="182"/>
      <c r="IQK116" s="181"/>
      <c r="IQL116" s="182"/>
      <c r="IQM116" s="181"/>
      <c r="IQN116" s="182"/>
      <c r="IQO116" s="181"/>
      <c r="IQP116" s="182"/>
      <c r="IQQ116" s="181"/>
      <c r="IQR116" s="182"/>
      <c r="IQS116" s="181"/>
      <c r="IQT116" s="182"/>
      <c r="IQU116" s="181"/>
      <c r="IQV116" s="182"/>
      <c r="IQW116" s="181"/>
      <c r="IQX116" s="182"/>
      <c r="IQY116" s="181"/>
      <c r="IQZ116" s="182"/>
      <c r="IRA116" s="181"/>
      <c r="IRB116" s="182"/>
      <c r="IRC116" s="181"/>
      <c r="IRD116" s="182"/>
      <c r="IRE116" s="181"/>
      <c r="IRF116" s="182"/>
      <c r="IRG116" s="181"/>
      <c r="IRH116" s="182"/>
      <c r="IRI116" s="181"/>
      <c r="IRJ116" s="182"/>
      <c r="IRK116" s="181"/>
      <c r="IRL116" s="182"/>
      <c r="IRM116" s="181"/>
      <c r="IRN116" s="182"/>
      <c r="IRO116" s="181"/>
      <c r="IRP116" s="182"/>
      <c r="IRQ116" s="181"/>
      <c r="IRR116" s="182"/>
      <c r="IRS116" s="181"/>
      <c r="IRT116" s="182"/>
      <c r="IRU116" s="181"/>
      <c r="IRV116" s="182"/>
      <c r="IRW116" s="181"/>
      <c r="IRX116" s="182"/>
      <c r="IRY116" s="181"/>
      <c r="IRZ116" s="182"/>
      <c r="ISA116" s="181"/>
      <c r="ISB116" s="182"/>
      <c r="ISC116" s="181"/>
      <c r="ISD116" s="182"/>
      <c r="ISE116" s="181"/>
      <c r="ISF116" s="182"/>
      <c r="ISG116" s="181"/>
      <c r="ISH116" s="182"/>
      <c r="ISI116" s="181"/>
      <c r="ISJ116" s="182"/>
      <c r="ISK116" s="181"/>
      <c r="ISL116" s="182"/>
      <c r="ISM116" s="181"/>
      <c r="ISN116" s="182"/>
      <c r="ISO116" s="181"/>
      <c r="ISP116" s="182"/>
      <c r="ISQ116" s="181"/>
      <c r="ISR116" s="182"/>
      <c r="ISS116" s="181"/>
      <c r="IST116" s="182"/>
      <c r="ISU116" s="181"/>
      <c r="ISV116" s="182"/>
      <c r="ISW116" s="181"/>
      <c r="ISX116" s="182"/>
      <c r="ISY116" s="181"/>
      <c r="ISZ116" s="182"/>
      <c r="ITA116" s="181"/>
      <c r="ITB116" s="182"/>
      <c r="ITC116" s="181"/>
      <c r="ITD116" s="182"/>
      <c r="ITE116" s="181"/>
      <c r="ITF116" s="182"/>
      <c r="ITG116" s="181"/>
      <c r="ITH116" s="182"/>
      <c r="ITI116" s="181"/>
      <c r="ITJ116" s="182"/>
      <c r="ITK116" s="181"/>
      <c r="ITL116" s="182"/>
      <c r="ITM116" s="181"/>
      <c r="ITN116" s="182"/>
      <c r="ITO116" s="181"/>
      <c r="ITP116" s="182"/>
      <c r="ITQ116" s="181"/>
      <c r="ITR116" s="182"/>
      <c r="ITS116" s="181"/>
      <c r="ITT116" s="182"/>
      <c r="ITU116" s="181"/>
      <c r="ITV116" s="182"/>
      <c r="ITW116" s="181"/>
      <c r="ITX116" s="182"/>
      <c r="ITY116" s="181"/>
      <c r="ITZ116" s="182"/>
      <c r="IUA116" s="181"/>
      <c r="IUB116" s="182"/>
      <c r="IUC116" s="181"/>
      <c r="IUD116" s="182"/>
      <c r="IUE116" s="181"/>
      <c r="IUF116" s="182"/>
      <c r="IUG116" s="181"/>
      <c r="IUH116" s="182"/>
      <c r="IUI116" s="181"/>
      <c r="IUJ116" s="182"/>
      <c r="IUK116" s="181"/>
      <c r="IUL116" s="182"/>
      <c r="IUM116" s="181"/>
      <c r="IUN116" s="182"/>
      <c r="IUO116" s="181"/>
      <c r="IUP116" s="182"/>
      <c r="IUQ116" s="181"/>
      <c r="IUR116" s="182"/>
      <c r="IUS116" s="181"/>
      <c r="IUT116" s="182"/>
      <c r="IUU116" s="181"/>
      <c r="IUV116" s="182"/>
      <c r="IUW116" s="181"/>
      <c r="IUX116" s="182"/>
      <c r="IUY116" s="181"/>
      <c r="IUZ116" s="182"/>
      <c r="IVA116" s="181"/>
      <c r="IVB116" s="182"/>
      <c r="IVC116" s="181"/>
      <c r="IVD116" s="182"/>
      <c r="IVE116" s="181"/>
      <c r="IVF116" s="182"/>
      <c r="IVG116" s="181"/>
      <c r="IVH116" s="182"/>
      <c r="IVI116" s="181"/>
      <c r="IVJ116" s="182"/>
      <c r="IVK116" s="181"/>
      <c r="IVL116" s="182"/>
      <c r="IVM116" s="181"/>
      <c r="IVN116" s="182"/>
      <c r="IVO116" s="181"/>
      <c r="IVP116" s="182"/>
      <c r="IVQ116" s="181"/>
      <c r="IVR116" s="182"/>
      <c r="IVS116" s="181"/>
      <c r="IVT116" s="182"/>
      <c r="IVU116" s="181"/>
      <c r="IVV116" s="182"/>
      <c r="IVW116" s="181"/>
      <c r="IVX116" s="182"/>
      <c r="IVY116" s="181"/>
      <c r="IVZ116" s="182"/>
      <c r="IWA116" s="181"/>
      <c r="IWB116" s="182"/>
      <c r="IWC116" s="181"/>
      <c r="IWD116" s="182"/>
      <c r="IWE116" s="181"/>
      <c r="IWF116" s="182"/>
      <c r="IWG116" s="181"/>
      <c r="IWH116" s="182"/>
      <c r="IWI116" s="181"/>
      <c r="IWJ116" s="182"/>
      <c r="IWK116" s="181"/>
      <c r="IWL116" s="182"/>
      <c r="IWM116" s="181"/>
      <c r="IWN116" s="182"/>
      <c r="IWO116" s="181"/>
      <c r="IWP116" s="182"/>
      <c r="IWQ116" s="181"/>
      <c r="IWR116" s="182"/>
      <c r="IWS116" s="181"/>
      <c r="IWT116" s="182"/>
      <c r="IWU116" s="181"/>
      <c r="IWV116" s="182"/>
      <c r="IWW116" s="181"/>
      <c r="IWX116" s="182"/>
      <c r="IWY116" s="181"/>
      <c r="IWZ116" s="182"/>
      <c r="IXA116" s="181"/>
      <c r="IXB116" s="182"/>
      <c r="IXC116" s="181"/>
      <c r="IXD116" s="182"/>
      <c r="IXE116" s="181"/>
      <c r="IXF116" s="182"/>
      <c r="IXG116" s="181"/>
      <c r="IXH116" s="182"/>
      <c r="IXI116" s="181"/>
      <c r="IXJ116" s="182"/>
      <c r="IXK116" s="181"/>
      <c r="IXL116" s="182"/>
      <c r="IXM116" s="181"/>
      <c r="IXN116" s="182"/>
      <c r="IXO116" s="181"/>
      <c r="IXP116" s="182"/>
      <c r="IXQ116" s="181"/>
      <c r="IXR116" s="182"/>
      <c r="IXS116" s="181"/>
      <c r="IXT116" s="182"/>
      <c r="IXU116" s="181"/>
      <c r="IXV116" s="182"/>
      <c r="IXW116" s="181"/>
      <c r="IXX116" s="182"/>
      <c r="IXY116" s="181"/>
      <c r="IXZ116" s="182"/>
      <c r="IYA116" s="181"/>
      <c r="IYB116" s="182"/>
      <c r="IYC116" s="181"/>
      <c r="IYD116" s="182"/>
      <c r="IYE116" s="181"/>
      <c r="IYF116" s="182"/>
      <c r="IYG116" s="181"/>
      <c r="IYH116" s="182"/>
      <c r="IYI116" s="181"/>
      <c r="IYJ116" s="182"/>
      <c r="IYK116" s="181"/>
      <c r="IYL116" s="182"/>
      <c r="IYM116" s="181"/>
      <c r="IYN116" s="182"/>
      <c r="IYO116" s="181"/>
      <c r="IYP116" s="182"/>
      <c r="IYQ116" s="181"/>
      <c r="IYR116" s="182"/>
      <c r="IYS116" s="181"/>
      <c r="IYT116" s="182"/>
      <c r="IYU116" s="181"/>
      <c r="IYV116" s="182"/>
      <c r="IYW116" s="181"/>
      <c r="IYX116" s="182"/>
      <c r="IYY116" s="181"/>
      <c r="IYZ116" s="182"/>
      <c r="IZA116" s="181"/>
      <c r="IZB116" s="182"/>
      <c r="IZC116" s="181"/>
      <c r="IZD116" s="182"/>
      <c r="IZE116" s="181"/>
      <c r="IZF116" s="182"/>
      <c r="IZG116" s="181"/>
      <c r="IZH116" s="182"/>
      <c r="IZI116" s="181"/>
      <c r="IZJ116" s="182"/>
      <c r="IZK116" s="181"/>
      <c r="IZL116" s="182"/>
      <c r="IZM116" s="181"/>
      <c r="IZN116" s="182"/>
      <c r="IZO116" s="181"/>
      <c r="IZP116" s="182"/>
      <c r="IZQ116" s="181"/>
      <c r="IZR116" s="182"/>
      <c r="IZS116" s="181"/>
      <c r="IZT116" s="182"/>
      <c r="IZU116" s="181"/>
      <c r="IZV116" s="182"/>
      <c r="IZW116" s="181"/>
      <c r="IZX116" s="182"/>
      <c r="IZY116" s="181"/>
      <c r="IZZ116" s="182"/>
      <c r="JAA116" s="181"/>
      <c r="JAB116" s="182"/>
      <c r="JAC116" s="181"/>
      <c r="JAD116" s="182"/>
      <c r="JAE116" s="181"/>
      <c r="JAF116" s="182"/>
      <c r="JAG116" s="181"/>
      <c r="JAH116" s="182"/>
      <c r="JAI116" s="181"/>
      <c r="JAJ116" s="182"/>
      <c r="JAK116" s="181"/>
      <c r="JAL116" s="182"/>
      <c r="JAM116" s="181"/>
      <c r="JAN116" s="182"/>
      <c r="JAO116" s="181"/>
      <c r="JAP116" s="182"/>
      <c r="JAQ116" s="181"/>
      <c r="JAR116" s="182"/>
      <c r="JAS116" s="181"/>
      <c r="JAT116" s="182"/>
      <c r="JAU116" s="181"/>
      <c r="JAV116" s="182"/>
      <c r="JAW116" s="181"/>
      <c r="JAX116" s="182"/>
      <c r="JAY116" s="181"/>
      <c r="JAZ116" s="182"/>
      <c r="JBA116" s="181"/>
      <c r="JBB116" s="182"/>
      <c r="JBC116" s="181"/>
      <c r="JBD116" s="182"/>
      <c r="JBE116" s="181"/>
      <c r="JBF116" s="182"/>
      <c r="JBG116" s="181"/>
      <c r="JBH116" s="182"/>
      <c r="JBI116" s="181"/>
      <c r="JBJ116" s="182"/>
      <c r="JBK116" s="181"/>
      <c r="JBL116" s="182"/>
      <c r="JBM116" s="181"/>
      <c r="JBN116" s="182"/>
      <c r="JBO116" s="181"/>
      <c r="JBP116" s="182"/>
      <c r="JBQ116" s="181"/>
      <c r="JBR116" s="182"/>
      <c r="JBS116" s="181"/>
      <c r="JBT116" s="182"/>
      <c r="JBU116" s="181"/>
      <c r="JBV116" s="182"/>
      <c r="JBW116" s="181"/>
      <c r="JBX116" s="182"/>
      <c r="JBY116" s="181"/>
      <c r="JBZ116" s="182"/>
      <c r="JCA116" s="181"/>
      <c r="JCB116" s="182"/>
      <c r="JCC116" s="181"/>
      <c r="JCD116" s="182"/>
      <c r="JCE116" s="181"/>
      <c r="JCF116" s="182"/>
      <c r="JCG116" s="181"/>
      <c r="JCH116" s="182"/>
      <c r="JCI116" s="181"/>
      <c r="JCJ116" s="182"/>
      <c r="JCK116" s="181"/>
      <c r="JCL116" s="182"/>
      <c r="JCM116" s="181"/>
      <c r="JCN116" s="182"/>
      <c r="JCO116" s="181"/>
      <c r="JCP116" s="182"/>
      <c r="JCQ116" s="181"/>
      <c r="JCR116" s="182"/>
      <c r="JCS116" s="181"/>
      <c r="JCT116" s="182"/>
      <c r="JCU116" s="181"/>
      <c r="JCV116" s="182"/>
      <c r="JCW116" s="181"/>
      <c r="JCX116" s="182"/>
      <c r="JCY116" s="181"/>
      <c r="JCZ116" s="182"/>
      <c r="JDA116" s="181"/>
      <c r="JDB116" s="182"/>
      <c r="JDC116" s="181"/>
      <c r="JDD116" s="182"/>
      <c r="JDE116" s="181"/>
      <c r="JDF116" s="182"/>
      <c r="JDG116" s="181"/>
      <c r="JDH116" s="182"/>
      <c r="JDI116" s="181"/>
      <c r="JDJ116" s="182"/>
      <c r="JDK116" s="181"/>
      <c r="JDL116" s="182"/>
      <c r="JDM116" s="181"/>
      <c r="JDN116" s="182"/>
      <c r="JDO116" s="181"/>
      <c r="JDP116" s="182"/>
      <c r="JDQ116" s="181"/>
      <c r="JDR116" s="182"/>
      <c r="JDS116" s="181"/>
      <c r="JDT116" s="182"/>
      <c r="JDU116" s="181"/>
      <c r="JDV116" s="182"/>
      <c r="JDW116" s="181"/>
      <c r="JDX116" s="182"/>
      <c r="JDY116" s="181"/>
      <c r="JDZ116" s="182"/>
      <c r="JEA116" s="181"/>
      <c r="JEB116" s="182"/>
      <c r="JEC116" s="181"/>
      <c r="JED116" s="182"/>
      <c r="JEE116" s="181"/>
      <c r="JEF116" s="182"/>
      <c r="JEG116" s="181"/>
      <c r="JEH116" s="182"/>
      <c r="JEI116" s="181"/>
      <c r="JEJ116" s="182"/>
      <c r="JEK116" s="181"/>
      <c r="JEL116" s="182"/>
      <c r="JEM116" s="181"/>
      <c r="JEN116" s="182"/>
      <c r="JEO116" s="181"/>
      <c r="JEP116" s="182"/>
      <c r="JEQ116" s="181"/>
      <c r="JER116" s="182"/>
      <c r="JES116" s="181"/>
      <c r="JET116" s="182"/>
      <c r="JEU116" s="181"/>
      <c r="JEV116" s="182"/>
      <c r="JEW116" s="181"/>
      <c r="JEX116" s="182"/>
      <c r="JEY116" s="181"/>
      <c r="JEZ116" s="182"/>
      <c r="JFA116" s="181"/>
      <c r="JFB116" s="182"/>
      <c r="JFC116" s="181"/>
      <c r="JFD116" s="182"/>
      <c r="JFE116" s="181"/>
      <c r="JFF116" s="182"/>
      <c r="JFG116" s="181"/>
      <c r="JFH116" s="182"/>
      <c r="JFI116" s="181"/>
      <c r="JFJ116" s="182"/>
      <c r="JFK116" s="181"/>
      <c r="JFL116" s="182"/>
      <c r="JFM116" s="181"/>
      <c r="JFN116" s="182"/>
      <c r="JFO116" s="181"/>
      <c r="JFP116" s="182"/>
      <c r="JFQ116" s="181"/>
      <c r="JFR116" s="182"/>
      <c r="JFS116" s="181"/>
      <c r="JFT116" s="182"/>
      <c r="JFU116" s="181"/>
      <c r="JFV116" s="182"/>
      <c r="JFW116" s="181"/>
      <c r="JFX116" s="182"/>
      <c r="JFY116" s="181"/>
      <c r="JFZ116" s="182"/>
      <c r="JGA116" s="181"/>
      <c r="JGB116" s="182"/>
      <c r="JGC116" s="181"/>
      <c r="JGD116" s="182"/>
      <c r="JGE116" s="181"/>
      <c r="JGF116" s="182"/>
      <c r="JGG116" s="181"/>
      <c r="JGH116" s="182"/>
      <c r="JGI116" s="181"/>
      <c r="JGJ116" s="182"/>
      <c r="JGK116" s="181"/>
      <c r="JGL116" s="182"/>
      <c r="JGM116" s="181"/>
      <c r="JGN116" s="182"/>
      <c r="JGO116" s="181"/>
      <c r="JGP116" s="182"/>
      <c r="JGQ116" s="181"/>
      <c r="JGR116" s="182"/>
      <c r="JGS116" s="181"/>
      <c r="JGT116" s="182"/>
      <c r="JGU116" s="181"/>
      <c r="JGV116" s="182"/>
      <c r="JGW116" s="181"/>
      <c r="JGX116" s="182"/>
      <c r="JGY116" s="181"/>
      <c r="JGZ116" s="182"/>
      <c r="JHA116" s="181"/>
      <c r="JHB116" s="182"/>
      <c r="JHC116" s="181"/>
      <c r="JHD116" s="182"/>
      <c r="JHE116" s="181"/>
      <c r="JHF116" s="182"/>
      <c r="JHG116" s="181"/>
      <c r="JHH116" s="182"/>
      <c r="JHI116" s="181"/>
      <c r="JHJ116" s="182"/>
      <c r="JHK116" s="181"/>
      <c r="JHL116" s="182"/>
      <c r="JHM116" s="181"/>
      <c r="JHN116" s="182"/>
      <c r="JHO116" s="181"/>
      <c r="JHP116" s="182"/>
      <c r="JHQ116" s="181"/>
      <c r="JHR116" s="182"/>
      <c r="JHS116" s="181"/>
      <c r="JHT116" s="182"/>
      <c r="JHU116" s="181"/>
      <c r="JHV116" s="182"/>
      <c r="JHW116" s="181"/>
      <c r="JHX116" s="182"/>
      <c r="JHY116" s="181"/>
      <c r="JHZ116" s="182"/>
      <c r="JIA116" s="181"/>
      <c r="JIB116" s="182"/>
      <c r="JIC116" s="181"/>
      <c r="JID116" s="182"/>
      <c r="JIE116" s="181"/>
      <c r="JIF116" s="182"/>
      <c r="JIG116" s="181"/>
      <c r="JIH116" s="182"/>
      <c r="JII116" s="181"/>
      <c r="JIJ116" s="182"/>
      <c r="JIK116" s="181"/>
      <c r="JIL116" s="182"/>
      <c r="JIM116" s="181"/>
      <c r="JIN116" s="182"/>
      <c r="JIO116" s="181"/>
      <c r="JIP116" s="182"/>
      <c r="JIQ116" s="181"/>
      <c r="JIR116" s="182"/>
      <c r="JIS116" s="181"/>
      <c r="JIT116" s="182"/>
      <c r="JIU116" s="181"/>
      <c r="JIV116" s="182"/>
      <c r="JIW116" s="181"/>
      <c r="JIX116" s="182"/>
      <c r="JIY116" s="181"/>
      <c r="JIZ116" s="182"/>
      <c r="JJA116" s="181"/>
      <c r="JJB116" s="182"/>
      <c r="JJC116" s="181"/>
      <c r="JJD116" s="182"/>
      <c r="JJE116" s="181"/>
      <c r="JJF116" s="182"/>
      <c r="JJG116" s="181"/>
      <c r="JJH116" s="182"/>
      <c r="JJI116" s="181"/>
      <c r="JJJ116" s="182"/>
      <c r="JJK116" s="181"/>
      <c r="JJL116" s="182"/>
      <c r="JJM116" s="181"/>
      <c r="JJN116" s="182"/>
      <c r="JJO116" s="181"/>
      <c r="JJP116" s="182"/>
      <c r="JJQ116" s="181"/>
      <c r="JJR116" s="182"/>
      <c r="JJS116" s="181"/>
      <c r="JJT116" s="182"/>
      <c r="JJU116" s="181"/>
      <c r="JJV116" s="182"/>
      <c r="JJW116" s="181"/>
      <c r="JJX116" s="182"/>
      <c r="JJY116" s="181"/>
      <c r="JJZ116" s="182"/>
      <c r="JKA116" s="181"/>
      <c r="JKB116" s="182"/>
      <c r="JKC116" s="181"/>
      <c r="JKD116" s="182"/>
      <c r="JKE116" s="181"/>
      <c r="JKF116" s="182"/>
      <c r="JKG116" s="181"/>
      <c r="JKH116" s="182"/>
      <c r="JKI116" s="181"/>
      <c r="JKJ116" s="182"/>
      <c r="JKK116" s="181"/>
      <c r="JKL116" s="182"/>
      <c r="JKM116" s="181"/>
      <c r="JKN116" s="182"/>
      <c r="JKO116" s="181"/>
      <c r="JKP116" s="182"/>
      <c r="JKQ116" s="181"/>
      <c r="JKR116" s="182"/>
      <c r="JKS116" s="181"/>
      <c r="JKT116" s="182"/>
      <c r="JKU116" s="181"/>
      <c r="JKV116" s="182"/>
      <c r="JKW116" s="181"/>
      <c r="JKX116" s="182"/>
      <c r="JKY116" s="181"/>
      <c r="JKZ116" s="182"/>
      <c r="JLA116" s="181"/>
      <c r="JLB116" s="182"/>
      <c r="JLC116" s="181"/>
      <c r="JLD116" s="182"/>
      <c r="JLE116" s="181"/>
      <c r="JLF116" s="182"/>
      <c r="JLG116" s="181"/>
      <c r="JLH116" s="182"/>
      <c r="JLI116" s="181"/>
      <c r="JLJ116" s="182"/>
      <c r="JLK116" s="181"/>
      <c r="JLL116" s="182"/>
      <c r="JLM116" s="181"/>
      <c r="JLN116" s="182"/>
      <c r="JLO116" s="181"/>
      <c r="JLP116" s="182"/>
      <c r="JLQ116" s="181"/>
      <c r="JLR116" s="182"/>
      <c r="JLS116" s="181"/>
      <c r="JLT116" s="182"/>
      <c r="JLU116" s="181"/>
      <c r="JLV116" s="182"/>
      <c r="JLW116" s="181"/>
      <c r="JLX116" s="182"/>
      <c r="JLY116" s="181"/>
      <c r="JLZ116" s="182"/>
      <c r="JMA116" s="181"/>
      <c r="JMB116" s="182"/>
      <c r="JMC116" s="181"/>
      <c r="JMD116" s="182"/>
      <c r="JME116" s="181"/>
      <c r="JMF116" s="182"/>
      <c r="JMG116" s="181"/>
      <c r="JMH116" s="182"/>
      <c r="JMI116" s="181"/>
      <c r="JMJ116" s="182"/>
      <c r="JMK116" s="181"/>
      <c r="JML116" s="182"/>
      <c r="JMM116" s="181"/>
      <c r="JMN116" s="182"/>
      <c r="JMO116" s="181"/>
      <c r="JMP116" s="182"/>
      <c r="JMQ116" s="181"/>
      <c r="JMR116" s="182"/>
      <c r="JMS116" s="181"/>
      <c r="JMT116" s="182"/>
      <c r="JMU116" s="181"/>
      <c r="JMV116" s="182"/>
      <c r="JMW116" s="181"/>
      <c r="JMX116" s="182"/>
      <c r="JMY116" s="181"/>
      <c r="JMZ116" s="182"/>
      <c r="JNA116" s="181"/>
      <c r="JNB116" s="182"/>
      <c r="JNC116" s="181"/>
      <c r="JND116" s="182"/>
      <c r="JNE116" s="181"/>
      <c r="JNF116" s="182"/>
      <c r="JNG116" s="181"/>
      <c r="JNH116" s="182"/>
      <c r="JNI116" s="181"/>
      <c r="JNJ116" s="182"/>
      <c r="JNK116" s="181"/>
      <c r="JNL116" s="182"/>
      <c r="JNM116" s="181"/>
      <c r="JNN116" s="182"/>
      <c r="JNO116" s="181"/>
      <c r="JNP116" s="182"/>
      <c r="JNQ116" s="181"/>
      <c r="JNR116" s="182"/>
      <c r="JNS116" s="181"/>
      <c r="JNT116" s="182"/>
      <c r="JNU116" s="181"/>
      <c r="JNV116" s="182"/>
      <c r="JNW116" s="181"/>
      <c r="JNX116" s="182"/>
      <c r="JNY116" s="181"/>
      <c r="JNZ116" s="182"/>
      <c r="JOA116" s="181"/>
      <c r="JOB116" s="182"/>
      <c r="JOC116" s="181"/>
      <c r="JOD116" s="182"/>
      <c r="JOE116" s="181"/>
      <c r="JOF116" s="182"/>
      <c r="JOG116" s="181"/>
      <c r="JOH116" s="182"/>
      <c r="JOI116" s="181"/>
      <c r="JOJ116" s="182"/>
      <c r="JOK116" s="181"/>
      <c r="JOL116" s="182"/>
      <c r="JOM116" s="181"/>
      <c r="JON116" s="182"/>
      <c r="JOO116" s="181"/>
      <c r="JOP116" s="182"/>
      <c r="JOQ116" s="181"/>
      <c r="JOR116" s="182"/>
      <c r="JOS116" s="181"/>
      <c r="JOT116" s="182"/>
      <c r="JOU116" s="181"/>
      <c r="JOV116" s="182"/>
      <c r="JOW116" s="181"/>
      <c r="JOX116" s="182"/>
      <c r="JOY116" s="181"/>
      <c r="JOZ116" s="182"/>
      <c r="JPA116" s="181"/>
      <c r="JPB116" s="182"/>
      <c r="JPC116" s="181"/>
      <c r="JPD116" s="182"/>
      <c r="JPE116" s="181"/>
      <c r="JPF116" s="182"/>
      <c r="JPG116" s="181"/>
      <c r="JPH116" s="182"/>
      <c r="JPI116" s="181"/>
      <c r="JPJ116" s="182"/>
      <c r="JPK116" s="181"/>
      <c r="JPL116" s="182"/>
      <c r="JPM116" s="181"/>
      <c r="JPN116" s="182"/>
      <c r="JPO116" s="181"/>
      <c r="JPP116" s="182"/>
      <c r="JPQ116" s="181"/>
      <c r="JPR116" s="182"/>
      <c r="JPS116" s="181"/>
      <c r="JPT116" s="182"/>
      <c r="JPU116" s="181"/>
      <c r="JPV116" s="182"/>
      <c r="JPW116" s="181"/>
      <c r="JPX116" s="182"/>
      <c r="JPY116" s="181"/>
      <c r="JPZ116" s="182"/>
      <c r="JQA116" s="181"/>
      <c r="JQB116" s="182"/>
      <c r="JQC116" s="181"/>
      <c r="JQD116" s="182"/>
      <c r="JQE116" s="181"/>
      <c r="JQF116" s="182"/>
      <c r="JQG116" s="181"/>
      <c r="JQH116" s="182"/>
      <c r="JQI116" s="181"/>
      <c r="JQJ116" s="182"/>
      <c r="JQK116" s="181"/>
      <c r="JQL116" s="182"/>
      <c r="JQM116" s="181"/>
      <c r="JQN116" s="182"/>
      <c r="JQO116" s="181"/>
      <c r="JQP116" s="182"/>
      <c r="JQQ116" s="181"/>
      <c r="JQR116" s="182"/>
      <c r="JQS116" s="181"/>
      <c r="JQT116" s="182"/>
      <c r="JQU116" s="181"/>
      <c r="JQV116" s="182"/>
      <c r="JQW116" s="181"/>
      <c r="JQX116" s="182"/>
      <c r="JQY116" s="181"/>
      <c r="JQZ116" s="182"/>
      <c r="JRA116" s="181"/>
      <c r="JRB116" s="182"/>
      <c r="JRC116" s="181"/>
      <c r="JRD116" s="182"/>
      <c r="JRE116" s="181"/>
      <c r="JRF116" s="182"/>
      <c r="JRG116" s="181"/>
      <c r="JRH116" s="182"/>
      <c r="JRI116" s="181"/>
      <c r="JRJ116" s="182"/>
      <c r="JRK116" s="181"/>
      <c r="JRL116" s="182"/>
      <c r="JRM116" s="181"/>
      <c r="JRN116" s="182"/>
      <c r="JRO116" s="181"/>
      <c r="JRP116" s="182"/>
      <c r="JRQ116" s="181"/>
      <c r="JRR116" s="182"/>
      <c r="JRS116" s="181"/>
      <c r="JRT116" s="182"/>
      <c r="JRU116" s="181"/>
      <c r="JRV116" s="182"/>
      <c r="JRW116" s="181"/>
      <c r="JRX116" s="182"/>
      <c r="JRY116" s="181"/>
      <c r="JRZ116" s="182"/>
      <c r="JSA116" s="181"/>
      <c r="JSB116" s="182"/>
      <c r="JSC116" s="181"/>
      <c r="JSD116" s="182"/>
      <c r="JSE116" s="181"/>
      <c r="JSF116" s="182"/>
      <c r="JSG116" s="181"/>
      <c r="JSH116" s="182"/>
      <c r="JSI116" s="181"/>
      <c r="JSJ116" s="182"/>
      <c r="JSK116" s="181"/>
      <c r="JSL116" s="182"/>
      <c r="JSM116" s="181"/>
      <c r="JSN116" s="182"/>
      <c r="JSO116" s="181"/>
      <c r="JSP116" s="182"/>
      <c r="JSQ116" s="181"/>
      <c r="JSR116" s="182"/>
      <c r="JSS116" s="181"/>
      <c r="JST116" s="182"/>
      <c r="JSU116" s="181"/>
      <c r="JSV116" s="182"/>
      <c r="JSW116" s="181"/>
      <c r="JSX116" s="182"/>
      <c r="JSY116" s="181"/>
      <c r="JSZ116" s="182"/>
      <c r="JTA116" s="181"/>
      <c r="JTB116" s="182"/>
      <c r="JTC116" s="181"/>
      <c r="JTD116" s="182"/>
      <c r="JTE116" s="181"/>
      <c r="JTF116" s="182"/>
      <c r="JTG116" s="181"/>
      <c r="JTH116" s="182"/>
      <c r="JTI116" s="181"/>
      <c r="JTJ116" s="182"/>
      <c r="JTK116" s="181"/>
      <c r="JTL116" s="182"/>
      <c r="JTM116" s="181"/>
      <c r="JTN116" s="182"/>
      <c r="JTO116" s="181"/>
      <c r="JTP116" s="182"/>
      <c r="JTQ116" s="181"/>
      <c r="JTR116" s="182"/>
      <c r="JTS116" s="181"/>
      <c r="JTT116" s="182"/>
      <c r="JTU116" s="181"/>
      <c r="JTV116" s="182"/>
      <c r="JTW116" s="181"/>
      <c r="JTX116" s="182"/>
      <c r="JTY116" s="181"/>
      <c r="JTZ116" s="182"/>
      <c r="JUA116" s="181"/>
      <c r="JUB116" s="182"/>
      <c r="JUC116" s="181"/>
      <c r="JUD116" s="182"/>
      <c r="JUE116" s="181"/>
      <c r="JUF116" s="182"/>
      <c r="JUG116" s="181"/>
      <c r="JUH116" s="182"/>
      <c r="JUI116" s="181"/>
      <c r="JUJ116" s="182"/>
      <c r="JUK116" s="181"/>
      <c r="JUL116" s="182"/>
      <c r="JUM116" s="181"/>
      <c r="JUN116" s="182"/>
      <c r="JUO116" s="181"/>
      <c r="JUP116" s="182"/>
      <c r="JUQ116" s="181"/>
      <c r="JUR116" s="182"/>
      <c r="JUS116" s="181"/>
      <c r="JUT116" s="182"/>
      <c r="JUU116" s="181"/>
      <c r="JUV116" s="182"/>
      <c r="JUW116" s="181"/>
      <c r="JUX116" s="182"/>
      <c r="JUY116" s="181"/>
      <c r="JUZ116" s="182"/>
      <c r="JVA116" s="181"/>
      <c r="JVB116" s="182"/>
      <c r="JVC116" s="181"/>
      <c r="JVD116" s="182"/>
      <c r="JVE116" s="181"/>
      <c r="JVF116" s="182"/>
      <c r="JVG116" s="181"/>
      <c r="JVH116" s="182"/>
      <c r="JVI116" s="181"/>
      <c r="JVJ116" s="182"/>
      <c r="JVK116" s="181"/>
      <c r="JVL116" s="182"/>
      <c r="JVM116" s="181"/>
      <c r="JVN116" s="182"/>
      <c r="JVO116" s="181"/>
      <c r="JVP116" s="182"/>
      <c r="JVQ116" s="181"/>
      <c r="JVR116" s="182"/>
      <c r="JVS116" s="181"/>
      <c r="JVT116" s="182"/>
      <c r="JVU116" s="181"/>
      <c r="JVV116" s="182"/>
      <c r="JVW116" s="181"/>
      <c r="JVX116" s="182"/>
      <c r="JVY116" s="181"/>
      <c r="JVZ116" s="182"/>
      <c r="JWA116" s="181"/>
      <c r="JWB116" s="182"/>
      <c r="JWC116" s="181"/>
      <c r="JWD116" s="182"/>
      <c r="JWE116" s="181"/>
      <c r="JWF116" s="182"/>
      <c r="JWG116" s="181"/>
      <c r="JWH116" s="182"/>
      <c r="JWI116" s="181"/>
      <c r="JWJ116" s="182"/>
      <c r="JWK116" s="181"/>
      <c r="JWL116" s="182"/>
      <c r="JWM116" s="181"/>
      <c r="JWN116" s="182"/>
      <c r="JWO116" s="181"/>
      <c r="JWP116" s="182"/>
      <c r="JWQ116" s="181"/>
      <c r="JWR116" s="182"/>
      <c r="JWS116" s="181"/>
      <c r="JWT116" s="182"/>
      <c r="JWU116" s="181"/>
      <c r="JWV116" s="182"/>
      <c r="JWW116" s="181"/>
      <c r="JWX116" s="182"/>
      <c r="JWY116" s="181"/>
      <c r="JWZ116" s="182"/>
      <c r="JXA116" s="181"/>
      <c r="JXB116" s="182"/>
      <c r="JXC116" s="181"/>
      <c r="JXD116" s="182"/>
      <c r="JXE116" s="181"/>
      <c r="JXF116" s="182"/>
      <c r="JXG116" s="181"/>
      <c r="JXH116" s="182"/>
      <c r="JXI116" s="181"/>
      <c r="JXJ116" s="182"/>
      <c r="JXK116" s="181"/>
      <c r="JXL116" s="182"/>
      <c r="JXM116" s="181"/>
      <c r="JXN116" s="182"/>
      <c r="JXO116" s="181"/>
      <c r="JXP116" s="182"/>
      <c r="JXQ116" s="181"/>
      <c r="JXR116" s="182"/>
      <c r="JXS116" s="181"/>
      <c r="JXT116" s="182"/>
      <c r="JXU116" s="181"/>
      <c r="JXV116" s="182"/>
      <c r="JXW116" s="181"/>
      <c r="JXX116" s="182"/>
      <c r="JXY116" s="181"/>
      <c r="JXZ116" s="182"/>
      <c r="JYA116" s="181"/>
      <c r="JYB116" s="182"/>
      <c r="JYC116" s="181"/>
      <c r="JYD116" s="182"/>
      <c r="JYE116" s="181"/>
      <c r="JYF116" s="182"/>
      <c r="JYG116" s="181"/>
      <c r="JYH116" s="182"/>
      <c r="JYI116" s="181"/>
      <c r="JYJ116" s="182"/>
      <c r="JYK116" s="181"/>
      <c r="JYL116" s="182"/>
      <c r="JYM116" s="181"/>
      <c r="JYN116" s="182"/>
      <c r="JYO116" s="181"/>
      <c r="JYP116" s="182"/>
      <c r="JYQ116" s="181"/>
      <c r="JYR116" s="182"/>
      <c r="JYS116" s="181"/>
      <c r="JYT116" s="182"/>
      <c r="JYU116" s="181"/>
      <c r="JYV116" s="182"/>
      <c r="JYW116" s="181"/>
      <c r="JYX116" s="182"/>
      <c r="JYY116" s="181"/>
      <c r="JYZ116" s="182"/>
      <c r="JZA116" s="181"/>
      <c r="JZB116" s="182"/>
      <c r="JZC116" s="181"/>
      <c r="JZD116" s="182"/>
      <c r="JZE116" s="181"/>
      <c r="JZF116" s="182"/>
      <c r="JZG116" s="181"/>
      <c r="JZH116" s="182"/>
      <c r="JZI116" s="181"/>
      <c r="JZJ116" s="182"/>
      <c r="JZK116" s="181"/>
      <c r="JZL116" s="182"/>
      <c r="JZM116" s="181"/>
      <c r="JZN116" s="182"/>
      <c r="JZO116" s="181"/>
      <c r="JZP116" s="182"/>
      <c r="JZQ116" s="181"/>
      <c r="JZR116" s="182"/>
      <c r="JZS116" s="181"/>
      <c r="JZT116" s="182"/>
      <c r="JZU116" s="181"/>
      <c r="JZV116" s="182"/>
      <c r="JZW116" s="181"/>
      <c r="JZX116" s="182"/>
      <c r="JZY116" s="181"/>
      <c r="JZZ116" s="182"/>
      <c r="KAA116" s="181"/>
      <c r="KAB116" s="182"/>
      <c r="KAC116" s="181"/>
      <c r="KAD116" s="182"/>
      <c r="KAE116" s="181"/>
      <c r="KAF116" s="182"/>
      <c r="KAG116" s="181"/>
      <c r="KAH116" s="182"/>
      <c r="KAI116" s="181"/>
      <c r="KAJ116" s="182"/>
      <c r="KAK116" s="181"/>
      <c r="KAL116" s="182"/>
      <c r="KAM116" s="181"/>
      <c r="KAN116" s="182"/>
      <c r="KAO116" s="181"/>
      <c r="KAP116" s="182"/>
      <c r="KAQ116" s="181"/>
      <c r="KAR116" s="182"/>
      <c r="KAS116" s="181"/>
      <c r="KAT116" s="182"/>
      <c r="KAU116" s="181"/>
      <c r="KAV116" s="182"/>
      <c r="KAW116" s="181"/>
      <c r="KAX116" s="182"/>
      <c r="KAY116" s="181"/>
      <c r="KAZ116" s="182"/>
      <c r="KBA116" s="181"/>
      <c r="KBB116" s="182"/>
      <c r="KBC116" s="181"/>
      <c r="KBD116" s="182"/>
      <c r="KBE116" s="181"/>
      <c r="KBF116" s="182"/>
      <c r="KBG116" s="181"/>
      <c r="KBH116" s="182"/>
      <c r="KBI116" s="181"/>
      <c r="KBJ116" s="182"/>
      <c r="KBK116" s="181"/>
      <c r="KBL116" s="182"/>
      <c r="KBM116" s="181"/>
      <c r="KBN116" s="182"/>
      <c r="KBO116" s="181"/>
      <c r="KBP116" s="182"/>
      <c r="KBQ116" s="181"/>
      <c r="KBR116" s="182"/>
      <c r="KBS116" s="181"/>
      <c r="KBT116" s="182"/>
      <c r="KBU116" s="181"/>
      <c r="KBV116" s="182"/>
      <c r="KBW116" s="181"/>
      <c r="KBX116" s="182"/>
      <c r="KBY116" s="181"/>
      <c r="KBZ116" s="182"/>
      <c r="KCA116" s="181"/>
      <c r="KCB116" s="182"/>
      <c r="KCC116" s="181"/>
      <c r="KCD116" s="182"/>
      <c r="KCE116" s="181"/>
      <c r="KCF116" s="182"/>
      <c r="KCG116" s="181"/>
      <c r="KCH116" s="182"/>
      <c r="KCI116" s="181"/>
      <c r="KCJ116" s="182"/>
      <c r="KCK116" s="181"/>
      <c r="KCL116" s="182"/>
      <c r="KCM116" s="181"/>
      <c r="KCN116" s="182"/>
      <c r="KCO116" s="181"/>
      <c r="KCP116" s="182"/>
      <c r="KCQ116" s="181"/>
      <c r="KCR116" s="182"/>
      <c r="KCS116" s="181"/>
      <c r="KCT116" s="182"/>
      <c r="KCU116" s="181"/>
      <c r="KCV116" s="182"/>
      <c r="KCW116" s="181"/>
      <c r="KCX116" s="182"/>
      <c r="KCY116" s="181"/>
      <c r="KCZ116" s="182"/>
      <c r="KDA116" s="181"/>
      <c r="KDB116" s="182"/>
      <c r="KDC116" s="181"/>
      <c r="KDD116" s="182"/>
      <c r="KDE116" s="181"/>
      <c r="KDF116" s="182"/>
      <c r="KDG116" s="181"/>
      <c r="KDH116" s="182"/>
      <c r="KDI116" s="181"/>
      <c r="KDJ116" s="182"/>
      <c r="KDK116" s="181"/>
      <c r="KDL116" s="182"/>
      <c r="KDM116" s="181"/>
      <c r="KDN116" s="182"/>
      <c r="KDO116" s="181"/>
      <c r="KDP116" s="182"/>
      <c r="KDQ116" s="181"/>
      <c r="KDR116" s="182"/>
      <c r="KDS116" s="181"/>
      <c r="KDT116" s="182"/>
      <c r="KDU116" s="181"/>
      <c r="KDV116" s="182"/>
      <c r="KDW116" s="181"/>
      <c r="KDX116" s="182"/>
      <c r="KDY116" s="181"/>
      <c r="KDZ116" s="182"/>
      <c r="KEA116" s="181"/>
      <c r="KEB116" s="182"/>
      <c r="KEC116" s="181"/>
      <c r="KED116" s="182"/>
      <c r="KEE116" s="181"/>
      <c r="KEF116" s="182"/>
      <c r="KEG116" s="181"/>
      <c r="KEH116" s="182"/>
      <c r="KEI116" s="181"/>
      <c r="KEJ116" s="182"/>
      <c r="KEK116" s="181"/>
      <c r="KEL116" s="182"/>
      <c r="KEM116" s="181"/>
      <c r="KEN116" s="182"/>
      <c r="KEO116" s="181"/>
      <c r="KEP116" s="182"/>
      <c r="KEQ116" s="181"/>
      <c r="KER116" s="182"/>
      <c r="KES116" s="181"/>
      <c r="KET116" s="182"/>
      <c r="KEU116" s="181"/>
      <c r="KEV116" s="182"/>
      <c r="KEW116" s="181"/>
      <c r="KEX116" s="182"/>
      <c r="KEY116" s="181"/>
      <c r="KEZ116" s="182"/>
      <c r="KFA116" s="181"/>
      <c r="KFB116" s="182"/>
      <c r="KFC116" s="181"/>
      <c r="KFD116" s="182"/>
      <c r="KFE116" s="181"/>
      <c r="KFF116" s="182"/>
      <c r="KFG116" s="181"/>
      <c r="KFH116" s="182"/>
      <c r="KFI116" s="181"/>
      <c r="KFJ116" s="182"/>
      <c r="KFK116" s="181"/>
      <c r="KFL116" s="182"/>
      <c r="KFM116" s="181"/>
      <c r="KFN116" s="182"/>
      <c r="KFO116" s="181"/>
      <c r="KFP116" s="182"/>
      <c r="KFQ116" s="181"/>
      <c r="KFR116" s="182"/>
      <c r="KFS116" s="181"/>
      <c r="KFT116" s="182"/>
      <c r="KFU116" s="181"/>
      <c r="KFV116" s="182"/>
      <c r="KFW116" s="181"/>
      <c r="KFX116" s="182"/>
      <c r="KFY116" s="181"/>
      <c r="KFZ116" s="182"/>
      <c r="KGA116" s="181"/>
      <c r="KGB116" s="182"/>
      <c r="KGC116" s="181"/>
      <c r="KGD116" s="182"/>
      <c r="KGE116" s="181"/>
      <c r="KGF116" s="182"/>
      <c r="KGG116" s="181"/>
      <c r="KGH116" s="182"/>
      <c r="KGI116" s="181"/>
      <c r="KGJ116" s="182"/>
      <c r="KGK116" s="181"/>
      <c r="KGL116" s="182"/>
      <c r="KGM116" s="181"/>
      <c r="KGN116" s="182"/>
      <c r="KGO116" s="181"/>
      <c r="KGP116" s="182"/>
      <c r="KGQ116" s="181"/>
      <c r="KGR116" s="182"/>
      <c r="KGS116" s="181"/>
      <c r="KGT116" s="182"/>
      <c r="KGU116" s="181"/>
      <c r="KGV116" s="182"/>
      <c r="KGW116" s="181"/>
      <c r="KGX116" s="182"/>
      <c r="KGY116" s="181"/>
      <c r="KGZ116" s="182"/>
      <c r="KHA116" s="181"/>
      <c r="KHB116" s="182"/>
      <c r="KHC116" s="181"/>
      <c r="KHD116" s="182"/>
      <c r="KHE116" s="181"/>
      <c r="KHF116" s="182"/>
      <c r="KHG116" s="181"/>
      <c r="KHH116" s="182"/>
      <c r="KHI116" s="181"/>
      <c r="KHJ116" s="182"/>
      <c r="KHK116" s="181"/>
      <c r="KHL116" s="182"/>
      <c r="KHM116" s="181"/>
      <c r="KHN116" s="182"/>
      <c r="KHO116" s="181"/>
      <c r="KHP116" s="182"/>
      <c r="KHQ116" s="181"/>
      <c r="KHR116" s="182"/>
      <c r="KHS116" s="181"/>
      <c r="KHT116" s="182"/>
      <c r="KHU116" s="181"/>
      <c r="KHV116" s="182"/>
      <c r="KHW116" s="181"/>
      <c r="KHX116" s="182"/>
      <c r="KHY116" s="181"/>
      <c r="KHZ116" s="182"/>
      <c r="KIA116" s="181"/>
      <c r="KIB116" s="182"/>
      <c r="KIC116" s="181"/>
      <c r="KID116" s="182"/>
      <c r="KIE116" s="181"/>
      <c r="KIF116" s="182"/>
      <c r="KIG116" s="181"/>
      <c r="KIH116" s="182"/>
      <c r="KII116" s="181"/>
      <c r="KIJ116" s="182"/>
      <c r="KIK116" s="181"/>
      <c r="KIL116" s="182"/>
      <c r="KIM116" s="181"/>
      <c r="KIN116" s="182"/>
      <c r="KIO116" s="181"/>
      <c r="KIP116" s="182"/>
      <c r="KIQ116" s="181"/>
      <c r="KIR116" s="182"/>
      <c r="KIS116" s="181"/>
      <c r="KIT116" s="182"/>
      <c r="KIU116" s="181"/>
      <c r="KIV116" s="182"/>
      <c r="KIW116" s="181"/>
      <c r="KIX116" s="182"/>
      <c r="KIY116" s="181"/>
      <c r="KIZ116" s="182"/>
      <c r="KJA116" s="181"/>
      <c r="KJB116" s="182"/>
      <c r="KJC116" s="181"/>
      <c r="KJD116" s="182"/>
      <c r="KJE116" s="181"/>
      <c r="KJF116" s="182"/>
      <c r="KJG116" s="181"/>
      <c r="KJH116" s="182"/>
      <c r="KJI116" s="181"/>
      <c r="KJJ116" s="182"/>
      <c r="KJK116" s="181"/>
      <c r="KJL116" s="182"/>
      <c r="KJM116" s="181"/>
      <c r="KJN116" s="182"/>
      <c r="KJO116" s="181"/>
      <c r="KJP116" s="182"/>
      <c r="KJQ116" s="181"/>
      <c r="KJR116" s="182"/>
      <c r="KJS116" s="181"/>
      <c r="KJT116" s="182"/>
      <c r="KJU116" s="181"/>
      <c r="KJV116" s="182"/>
      <c r="KJW116" s="181"/>
      <c r="KJX116" s="182"/>
      <c r="KJY116" s="181"/>
      <c r="KJZ116" s="182"/>
      <c r="KKA116" s="181"/>
      <c r="KKB116" s="182"/>
      <c r="KKC116" s="181"/>
      <c r="KKD116" s="182"/>
      <c r="KKE116" s="181"/>
      <c r="KKF116" s="182"/>
      <c r="KKG116" s="181"/>
      <c r="KKH116" s="182"/>
      <c r="KKI116" s="181"/>
      <c r="KKJ116" s="182"/>
      <c r="KKK116" s="181"/>
      <c r="KKL116" s="182"/>
      <c r="KKM116" s="181"/>
      <c r="KKN116" s="182"/>
      <c r="KKO116" s="181"/>
      <c r="KKP116" s="182"/>
      <c r="KKQ116" s="181"/>
      <c r="KKR116" s="182"/>
      <c r="KKS116" s="181"/>
      <c r="KKT116" s="182"/>
      <c r="KKU116" s="181"/>
      <c r="KKV116" s="182"/>
      <c r="KKW116" s="181"/>
      <c r="KKX116" s="182"/>
      <c r="KKY116" s="181"/>
      <c r="KKZ116" s="182"/>
      <c r="KLA116" s="181"/>
      <c r="KLB116" s="182"/>
      <c r="KLC116" s="181"/>
      <c r="KLD116" s="182"/>
      <c r="KLE116" s="181"/>
      <c r="KLF116" s="182"/>
      <c r="KLG116" s="181"/>
      <c r="KLH116" s="182"/>
      <c r="KLI116" s="181"/>
      <c r="KLJ116" s="182"/>
      <c r="KLK116" s="181"/>
      <c r="KLL116" s="182"/>
      <c r="KLM116" s="181"/>
      <c r="KLN116" s="182"/>
      <c r="KLO116" s="181"/>
      <c r="KLP116" s="182"/>
      <c r="KLQ116" s="181"/>
      <c r="KLR116" s="182"/>
      <c r="KLS116" s="181"/>
      <c r="KLT116" s="182"/>
      <c r="KLU116" s="181"/>
      <c r="KLV116" s="182"/>
      <c r="KLW116" s="181"/>
      <c r="KLX116" s="182"/>
      <c r="KLY116" s="181"/>
      <c r="KLZ116" s="182"/>
      <c r="KMA116" s="181"/>
      <c r="KMB116" s="182"/>
      <c r="KMC116" s="181"/>
      <c r="KMD116" s="182"/>
      <c r="KME116" s="181"/>
      <c r="KMF116" s="182"/>
      <c r="KMG116" s="181"/>
      <c r="KMH116" s="182"/>
      <c r="KMI116" s="181"/>
      <c r="KMJ116" s="182"/>
      <c r="KMK116" s="181"/>
      <c r="KML116" s="182"/>
      <c r="KMM116" s="181"/>
      <c r="KMN116" s="182"/>
      <c r="KMO116" s="181"/>
      <c r="KMP116" s="182"/>
      <c r="KMQ116" s="181"/>
      <c r="KMR116" s="182"/>
      <c r="KMS116" s="181"/>
      <c r="KMT116" s="182"/>
      <c r="KMU116" s="181"/>
      <c r="KMV116" s="182"/>
      <c r="KMW116" s="181"/>
      <c r="KMX116" s="182"/>
      <c r="KMY116" s="181"/>
      <c r="KMZ116" s="182"/>
      <c r="KNA116" s="181"/>
      <c r="KNB116" s="182"/>
      <c r="KNC116" s="181"/>
      <c r="KND116" s="182"/>
      <c r="KNE116" s="181"/>
      <c r="KNF116" s="182"/>
      <c r="KNG116" s="181"/>
      <c r="KNH116" s="182"/>
      <c r="KNI116" s="181"/>
      <c r="KNJ116" s="182"/>
      <c r="KNK116" s="181"/>
      <c r="KNL116" s="182"/>
      <c r="KNM116" s="181"/>
      <c r="KNN116" s="182"/>
      <c r="KNO116" s="181"/>
      <c r="KNP116" s="182"/>
      <c r="KNQ116" s="181"/>
      <c r="KNR116" s="182"/>
      <c r="KNS116" s="181"/>
      <c r="KNT116" s="182"/>
      <c r="KNU116" s="181"/>
      <c r="KNV116" s="182"/>
      <c r="KNW116" s="181"/>
      <c r="KNX116" s="182"/>
      <c r="KNY116" s="181"/>
      <c r="KNZ116" s="182"/>
      <c r="KOA116" s="181"/>
      <c r="KOB116" s="182"/>
      <c r="KOC116" s="181"/>
      <c r="KOD116" s="182"/>
      <c r="KOE116" s="181"/>
      <c r="KOF116" s="182"/>
      <c r="KOG116" s="181"/>
      <c r="KOH116" s="182"/>
      <c r="KOI116" s="181"/>
      <c r="KOJ116" s="182"/>
      <c r="KOK116" s="181"/>
      <c r="KOL116" s="182"/>
      <c r="KOM116" s="181"/>
      <c r="KON116" s="182"/>
      <c r="KOO116" s="181"/>
      <c r="KOP116" s="182"/>
      <c r="KOQ116" s="181"/>
      <c r="KOR116" s="182"/>
      <c r="KOS116" s="181"/>
      <c r="KOT116" s="182"/>
      <c r="KOU116" s="181"/>
      <c r="KOV116" s="182"/>
      <c r="KOW116" s="181"/>
      <c r="KOX116" s="182"/>
      <c r="KOY116" s="181"/>
      <c r="KOZ116" s="182"/>
      <c r="KPA116" s="181"/>
      <c r="KPB116" s="182"/>
      <c r="KPC116" s="181"/>
      <c r="KPD116" s="182"/>
      <c r="KPE116" s="181"/>
      <c r="KPF116" s="182"/>
      <c r="KPG116" s="181"/>
      <c r="KPH116" s="182"/>
      <c r="KPI116" s="181"/>
      <c r="KPJ116" s="182"/>
      <c r="KPK116" s="181"/>
      <c r="KPL116" s="182"/>
      <c r="KPM116" s="181"/>
      <c r="KPN116" s="182"/>
      <c r="KPO116" s="181"/>
      <c r="KPP116" s="182"/>
      <c r="KPQ116" s="181"/>
      <c r="KPR116" s="182"/>
      <c r="KPS116" s="181"/>
      <c r="KPT116" s="182"/>
      <c r="KPU116" s="181"/>
      <c r="KPV116" s="182"/>
      <c r="KPW116" s="181"/>
      <c r="KPX116" s="182"/>
      <c r="KPY116" s="181"/>
      <c r="KPZ116" s="182"/>
      <c r="KQA116" s="181"/>
      <c r="KQB116" s="182"/>
      <c r="KQC116" s="181"/>
      <c r="KQD116" s="182"/>
      <c r="KQE116" s="181"/>
      <c r="KQF116" s="182"/>
      <c r="KQG116" s="181"/>
      <c r="KQH116" s="182"/>
      <c r="KQI116" s="181"/>
      <c r="KQJ116" s="182"/>
      <c r="KQK116" s="181"/>
      <c r="KQL116" s="182"/>
      <c r="KQM116" s="181"/>
      <c r="KQN116" s="182"/>
      <c r="KQO116" s="181"/>
      <c r="KQP116" s="182"/>
      <c r="KQQ116" s="181"/>
      <c r="KQR116" s="182"/>
      <c r="KQS116" s="181"/>
      <c r="KQT116" s="182"/>
      <c r="KQU116" s="181"/>
      <c r="KQV116" s="182"/>
      <c r="KQW116" s="181"/>
      <c r="KQX116" s="182"/>
      <c r="KQY116" s="181"/>
      <c r="KQZ116" s="182"/>
      <c r="KRA116" s="181"/>
      <c r="KRB116" s="182"/>
      <c r="KRC116" s="181"/>
      <c r="KRD116" s="182"/>
      <c r="KRE116" s="181"/>
      <c r="KRF116" s="182"/>
      <c r="KRG116" s="181"/>
      <c r="KRH116" s="182"/>
      <c r="KRI116" s="181"/>
      <c r="KRJ116" s="182"/>
      <c r="KRK116" s="181"/>
      <c r="KRL116" s="182"/>
      <c r="KRM116" s="181"/>
      <c r="KRN116" s="182"/>
      <c r="KRO116" s="181"/>
      <c r="KRP116" s="182"/>
      <c r="KRQ116" s="181"/>
      <c r="KRR116" s="182"/>
      <c r="KRS116" s="181"/>
      <c r="KRT116" s="182"/>
      <c r="KRU116" s="181"/>
      <c r="KRV116" s="182"/>
      <c r="KRW116" s="181"/>
      <c r="KRX116" s="182"/>
      <c r="KRY116" s="181"/>
      <c r="KRZ116" s="182"/>
      <c r="KSA116" s="181"/>
      <c r="KSB116" s="182"/>
      <c r="KSC116" s="181"/>
      <c r="KSD116" s="182"/>
      <c r="KSE116" s="181"/>
      <c r="KSF116" s="182"/>
      <c r="KSG116" s="181"/>
      <c r="KSH116" s="182"/>
      <c r="KSI116" s="181"/>
      <c r="KSJ116" s="182"/>
      <c r="KSK116" s="181"/>
      <c r="KSL116" s="182"/>
      <c r="KSM116" s="181"/>
      <c r="KSN116" s="182"/>
      <c r="KSO116" s="181"/>
      <c r="KSP116" s="182"/>
      <c r="KSQ116" s="181"/>
      <c r="KSR116" s="182"/>
      <c r="KSS116" s="181"/>
      <c r="KST116" s="182"/>
      <c r="KSU116" s="181"/>
      <c r="KSV116" s="182"/>
      <c r="KSW116" s="181"/>
      <c r="KSX116" s="182"/>
      <c r="KSY116" s="181"/>
      <c r="KSZ116" s="182"/>
      <c r="KTA116" s="181"/>
      <c r="KTB116" s="182"/>
      <c r="KTC116" s="181"/>
      <c r="KTD116" s="182"/>
      <c r="KTE116" s="181"/>
      <c r="KTF116" s="182"/>
      <c r="KTG116" s="181"/>
      <c r="KTH116" s="182"/>
      <c r="KTI116" s="181"/>
      <c r="KTJ116" s="182"/>
      <c r="KTK116" s="181"/>
      <c r="KTL116" s="182"/>
      <c r="KTM116" s="181"/>
      <c r="KTN116" s="182"/>
      <c r="KTO116" s="181"/>
      <c r="KTP116" s="182"/>
      <c r="KTQ116" s="181"/>
      <c r="KTR116" s="182"/>
      <c r="KTS116" s="181"/>
      <c r="KTT116" s="182"/>
      <c r="KTU116" s="181"/>
      <c r="KTV116" s="182"/>
      <c r="KTW116" s="181"/>
      <c r="KTX116" s="182"/>
      <c r="KTY116" s="181"/>
      <c r="KTZ116" s="182"/>
      <c r="KUA116" s="181"/>
      <c r="KUB116" s="182"/>
      <c r="KUC116" s="181"/>
      <c r="KUD116" s="182"/>
      <c r="KUE116" s="181"/>
      <c r="KUF116" s="182"/>
      <c r="KUG116" s="181"/>
      <c r="KUH116" s="182"/>
      <c r="KUI116" s="181"/>
      <c r="KUJ116" s="182"/>
      <c r="KUK116" s="181"/>
      <c r="KUL116" s="182"/>
      <c r="KUM116" s="181"/>
      <c r="KUN116" s="182"/>
      <c r="KUO116" s="181"/>
      <c r="KUP116" s="182"/>
      <c r="KUQ116" s="181"/>
      <c r="KUR116" s="182"/>
      <c r="KUS116" s="181"/>
      <c r="KUT116" s="182"/>
      <c r="KUU116" s="181"/>
      <c r="KUV116" s="182"/>
      <c r="KUW116" s="181"/>
      <c r="KUX116" s="182"/>
      <c r="KUY116" s="181"/>
      <c r="KUZ116" s="182"/>
      <c r="KVA116" s="181"/>
      <c r="KVB116" s="182"/>
      <c r="KVC116" s="181"/>
      <c r="KVD116" s="182"/>
      <c r="KVE116" s="181"/>
      <c r="KVF116" s="182"/>
      <c r="KVG116" s="181"/>
      <c r="KVH116" s="182"/>
      <c r="KVI116" s="181"/>
      <c r="KVJ116" s="182"/>
      <c r="KVK116" s="181"/>
      <c r="KVL116" s="182"/>
      <c r="KVM116" s="181"/>
      <c r="KVN116" s="182"/>
      <c r="KVO116" s="181"/>
      <c r="KVP116" s="182"/>
      <c r="KVQ116" s="181"/>
      <c r="KVR116" s="182"/>
      <c r="KVS116" s="181"/>
      <c r="KVT116" s="182"/>
      <c r="KVU116" s="181"/>
      <c r="KVV116" s="182"/>
      <c r="KVW116" s="181"/>
      <c r="KVX116" s="182"/>
      <c r="KVY116" s="181"/>
      <c r="KVZ116" s="182"/>
      <c r="KWA116" s="181"/>
      <c r="KWB116" s="182"/>
      <c r="KWC116" s="181"/>
      <c r="KWD116" s="182"/>
      <c r="KWE116" s="181"/>
      <c r="KWF116" s="182"/>
      <c r="KWG116" s="181"/>
      <c r="KWH116" s="182"/>
      <c r="KWI116" s="181"/>
      <c r="KWJ116" s="182"/>
      <c r="KWK116" s="181"/>
      <c r="KWL116" s="182"/>
      <c r="KWM116" s="181"/>
      <c r="KWN116" s="182"/>
      <c r="KWO116" s="181"/>
      <c r="KWP116" s="182"/>
      <c r="KWQ116" s="181"/>
      <c r="KWR116" s="182"/>
      <c r="KWS116" s="181"/>
      <c r="KWT116" s="182"/>
      <c r="KWU116" s="181"/>
      <c r="KWV116" s="182"/>
      <c r="KWW116" s="181"/>
      <c r="KWX116" s="182"/>
      <c r="KWY116" s="181"/>
      <c r="KWZ116" s="182"/>
      <c r="KXA116" s="181"/>
      <c r="KXB116" s="182"/>
      <c r="KXC116" s="181"/>
      <c r="KXD116" s="182"/>
      <c r="KXE116" s="181"/>
      <c r="KXF116" s="182"/>
      <c r="KXG116" s="181"/>
      <c r="KXH116" s="182"/>
      <c r="KXI116" s="181"/>
      <c r="KXJ116" s="182"/>
      <c r="KXK116" s="181"/>
      <c r="KXL116" s="182"/>
      <c r="KXM116" s="181"/>
      <c r="KXN116" s="182"/>
      <c r="KXO116" s="181"/>
      <c r="KXP116" s="182"/>
      <c r="KXQ116" s="181"/>
      <c r="KXR116" s="182"/>
      <c r="KXS116" s="181"/>
      <c r="KXT116" s="182"/>
      <c r="KXU116" s="181"/>
      <c r="KXV116" s="182"/>
      <c r="KXW116" s="181"/>
      <c r="KXX116" s="182"/>
      <c r="KXY116" s="181"/>
      <c r="KXZ116" s="182"/>
      <c r="KYA116" s="181"/>
      <c r="KYB116" s="182"/>
      <c r="KYC116" s="181"/>
      <c r="KYD116" s="182"/>
      <c r="KYE116" s="181"/>
      <c r="KYF116" s="182"/>
      <c r="KYG116" s="181"/>
      <c r="KYH116" s="182"/>
      <c r="KYI116" s="181"/>
      <c r="KYJ116" s="182"/>
      <c r="KYK116" s="181"/>
      <c r="KYL116" s="182"/>
      <c r="KYM116" s="181"/>
      <c r="KYN116" s="182"/>
      <c r="KYO116" s="181"/>
      <c r="KYP116" s="182"/>
      <c r="KYQ116" s="181"/>
      <c r="KYR116" s="182"/>
      <c r="KYS116" s="181"/>
      <c r="KYT116" s="182"/>
      <c r="KYU116" s="181"/>
      <c r="KYV116" s="182"/>
      <c r="KYW116" s="181"/>
      <c r="KYX116" s="182"/>
      <c r="KYY116" s="181"/>
      <c r="KYZ116" s="182"/>
      <c r="KZA116" s="181"/>
      <c r="KZB116" s="182"/>
      <c r="KZC116" s="181"/>
      <c r="KZD116" s="182"/>
      <c r="KZE116" s="181"/>
      <c r="KZF116" s="182"/>
      <c r="KZG116" s="181"/>
      <c r="KZH116" s="182"/>
      <c r="KZI116" s="181"/>
      <c r="KZJ116" s="182"/>
      <c r="KZK116" s="181"/>
      <c r="KZL116" s="182"/>
      <c r="KZM116" s="181"/>
      <c r="KZN116" s="182"/>
      <c r="KZO116" s="181"/>
      <c r="KZP116" s="182"/>
      <c r="KZQ116" s="181"/>
      <c r="KZR116" s="182"/>
      <c r="KZS116" s="181"/>
      <c r="KZT116" s="182"/>
      <c r="KZU116" s="181"/>
      <c r="KZV116" s="182"/>
      <c r="KZW116" s="181"/>
      <c r="KZX116" s="182"/>
      <c r="KZY116" s="181"/>
      <c r="KZZ116" s="182"/>
      <c r="LAA116" s="181"/>
      <c r="LAB116" s="182"/>
      <c r="LAC116" s="181"/>
      <c r="LAD116" s="182"/>
      <c r="LAE116" s="181"/>
      <c r="LAF116" s="182"/>
      <c r="LAG116" s="181"/>
      <c r="LAH116" s="182"/>
      <c r="LAI116" s="181"/>
      <c r="LAJ116" s="182"/>
      <c r="LAK116" s="181"/>
      <c r="LAL116" s="182"/>
      <c r="LAM116" s="181"/>
      <c r="LAN116" s="182"/>
      <c r="LAO116" s="181"/>
      <c r="LAP116" s="182"/>
      <c r="LAQ116" s="181"/>
      <c r="LAR116" s="182"/>
      <c r="LAS116" s="181"/>
      <c r="LAT116" s="182"/>
      <c r="LAU116" s="181"/>
      <c r="LAV116" s="182"/>
      <c r="LAW116" s="181"/>
      <c r="LAX116" s="182"/>
      <c r="LAY116" s="181"/>
      <c r="LAZ116" s="182"/>
      <c r="LBA116" s="181"/>
      <c r="LBB116" s="182"/>
      <c r="LBC116" s="181"/>
      <c r="LBD116" s="182"/>
      <c r="LBE116" s="181"/>
      <c r="LBF116" s="182"/>
      <c r="LBG116" s="181"/>
      <c r="LBH116" s="182"/>
      <c r="LBI116" s="181"/>
      <c r="LBJ116" s="182"/>
      <c r="LBK116" s="181"/>
      <c r="LBL116" s="182"/>
      <c r="LBM116" s="181"/>
      <c r="LBN116" s="182"/>
      <c r="LBO116" s="181"/>
      <c r="LBP116" s="182"/>
      <c r="LBQ116" s="181"/>
      <c r="LBR116" s="182"/>
      <c r="LBS116" s="181"/>
      <c r="LBT116" s="182"/>
      <c r="LBU116" s="181"/>
      <c r="LBV116" s="182"/>
      <c r="LBW116" s="181"/>
      <c r="LBX116" s="182"/>
      <c r="LBY116" s="181"/>
      <c r="LBZ116" s="182"/>
      <c r="LCA116" s="181"/>
      <c r="LCB116" s="182"/>
      <c r="LCC116" s="181"/>
      <c r="LCD116" s="182"/>
      <c r="LCE116" s="181"/>
      <c r="LCF116" s="182"/>
      <c r="LCG116" s="181"/>
      <c r="LCH116" s="182"/>
      <c r="LCI116" s="181"/>
      <c r="LCJ116" s="182"/>
      <c r="LCK116" s="181"/>
      <c r="LCL116" s="182"/>
      <c r="LCM116" s="181"/>
      <c r="LCN116" s="182"/>
      <c r="LCO116" s="181"/>
      <c r="LCP116" s="182"/>
      <c r="LCQ116" s="181"/>
      <c r="LCR116" s="182"/>
      <c r="LCS116" s="181"/>
      <c r="LCT116" s="182"/>
      <c r="LCU116" s="181"/>
      <c r="LCV116" s="182"/>
      <c r="LCW116" s="181"/>
      <c r="LCX116" s="182"/>
      <c r="LCY116" s="181"/>
      <c r="LCZ116" s="182"/>
      <c r="LDA116" s="181"/>
      <c r="LDB116" s="182"/>
      <c r="LDC116" s="181"/>
      <c r="LDD116" s="182"/>
      <c r="LDE116" s="181"/>
      <c r="LDF116" s="182"/>
      <c r="LDG116" s="181"/>
      <c r="LDH116" s="182"/>
      <c r="LDI116" s="181"/>
      <c r="LDJ116" s="182"/>
      <c r="LDK116" s="181"/>
      <c r="LDL116" s="182"/>
      <c r="LDM116" s="181"/>
      <c r="LDN116" s="182"/>
      <c r="LDO116" s="181"/>
      <c r="LDP116" s="182"/>
      <c r="LDQ116" s="181"/>
      <c r="LDR116" s="182"/>
      <c r="LDS116" s="181"/>
      <c r="LDT116" s="182"/>
      <c r="LDU116" s="181"/>
      <c r="LDV116" s="182"/>
      <c r="LDW116" s="181"/>
      <c r="LDX116" s="182"/>
      <c r="LDY116" s="181"/>
      <c r="LDZ116" s="182"/>
      <c r="LEA116" s="181"/>
      <c r="LEB116" s="182"/>
      <c r="LEC116" s="181"/>
      <c r="LED116" s="182"/>
      <c r="LEE116" s="181"/>
      <c r="LEF116" s="182"/>
      <c r="LEG116" s="181"/>
      <c r="LEH116" s="182"/>
      <c r="LEI116" s="181"/>
      <c r="LEJ116" s="182"/>
      <c r="LEK116" s="181"/>
      <c r="LEL116" s="182"/>
      <c r="LEM116" s="181"/>
      <c r="LEN116" s="182"/>
      <c r="LEO116" s="181"/>
      <c r="LEP116" s="182"/>
      <c r="LEQ116" s="181"/>
      <c r="LER116" s="182"/>
      <c r="LES116" s="181"/>
      <c r="LET116" s="182"/>
      <c r="LEU116" s="181"/>
      <c r="LEV116" s="182"/>
      <c r="LEW116" s="181"/>
      <c r="LEX116" s="182"/>
      <c r="LEY116" s="181"/>
      <c r="LEZ116" s="182"/>
      <c r="LFA116" s="181"/>
      <c r="LFB116" s="182"/>
      <c r="LFC116" s="181"/>
      <c r="LFD116" s="182"/>
      <c r="LFE116" s="181"/>
      <c r="LFF116" s="182"/>
      <c r="LFG116" s="181"/>
      <c r="LFH116" s="182"/>
      <c r="LFI116" s="181"/>
      <c r="LFJ116" s="182"/>
      <c r="LFK116" s="181"/>
      <c r="LFL116" s="182"/>
      <c r="LFM116" s="181"/>
      <c r="LFN116" s="182"/>
      <c r="LFO116" s="181"/>
      <c r="LFP116" s="182"/>
      <c r="LFQ116" s="181"/>
      <c r="LFR116" s="182"/>
      <c r="LFS116" s="181"/>
      <c r="LFT116" s="182"/>
      <c r="LFU116" s="181"/>
      <c r="LFV116" s="182"/>
      <c r="LFW116" s="181"/>
      <c r="LFX116" s="182"/>
      <c r="LFY116" s="181"/>
      <c r="LFZ116" s="182"/>
      <c r="LGA116" s="181"/>
      <c r="LGB116" s="182"/>
      <c r="LGC116" s="181"/>
      <c r="LGD116" s="182"/>
      <c r="LGE116" s="181"/>
      <c r="LGF116" s="182"/>
      <c r="LGG116" s="181"/>
      <c r="LGH116" s="182"/>
      <c r="LGI116" s="181"/>
      <c r="LGJ116" s="182"/>
      <c r="LGK116" s="181"/>
      <c r="LGL116" s="182"/>
      <c r="LGM116" s="181"/>
      <c r="LGN116" s="182"/>
      <c r="LGO116" s="181"/>
      <c r="LGP116" s="182"/>
      <c r="LGQ116" s="181"/>
      <c r="LGR116" s="182"/>
      <c r="LGS116" s="181"/>
      <c r="LGT116" s="182"/>
      <c r="LGU116" s="181"/>
      <c r="LGV116" s="182"/>
      <c r="LGW116" s="181"/>
      <c r="LGX116" s="182"/>
      <c r="LGY116" s="181"/>
      <c r="LGZ116" s="182"/>
      <c r="LHA116" s="181"/>
      <c r="LHB116" s="182"/>
      <c r="LHC116" s="181"/>
      <c r="LHD116" s="182"/>
      <c r="LHE116" s="181"/>
      <c r="LHF116" s="182"/>
      <c r="LHG116" s="181"/>
      <c r="LHH116" s="182"/>
      <c r="LHI116" s="181"/>
      <c r="LHJ116" s="182"/>
      <c r="LHK116" s="181"/>
      <c r="LHL116" s="182"/>
      <c r="LHM116" s="181"/>
      <c r="LHN116" s="182"/>
      <c r="LHO116" s="181"/>
      <c r="LHP116" s="182"/>
      <c r="LHQ116" s="181"/>
      <c r="LHR116" s="182"/>
      <c r="LHS116" s="181"/>
      <c r="LHT116" s="182"/>
      <c r="LHU116" s="181"/>
      <c r="LHV116" s="182"/>
      <c r="LHW116" s="181"/>
      <c r="LHX116" s="182"/>
      <c r="LHY116" s="181"/>
      <c r="LHZ116" s="182"/>
      <c r="LIA116" s="181"/>
      <c r="LIB116" s="182"/>
      <c r="LIC116" s="181"/>
      <c r="LID116" s="182"/>
      <c r="LIE116" s="181"/>
      <c r="LIF116" s="182"/>
      <c r="LIG116" s="181"/>
      <c r="LIH116" s="182"/>
      <c r="LII116" s="181"/>
      <c r="LIJ116" s="182"/>
      <c r="LIK116" s="181"/>
      <c r="LIL116" s="182"/>
      <c r="LIM116" s="181"/>
      <c r="LIN116" s="182"/>
      <c r="LIO116" s="181"/>
      <c r="LIP116" s="182"/>
      <c r="LIQ116" s="181"/>
      <c r="LIR116" s="182"/>
      <c r="LIS116" s="181"/>
      <c r="LIT116" s="182"/>
      <c r="LIU116" s="181"/>
      <c r="LIV116" s="182"/>
      <c r="LIW116" s="181"/>
      <c r="LIX116" s="182"/>
      <c r="LIY116" s="181"/>
      <c r="LIZ116" s="182"/>
      <c r="LJA116" s="181"/>
      <c r="LJB116" s="182"/>
      <c r="LJC116" s="181"/>
      <c r="LJD116" s="182"/>
      <c r="LJE116" s="181"/>
      <c r="LJF116" s="182"/>
      <c r="LJG116" s="181"/>
      <c r="LJH116" s="182"/>
      <c r="LJI116" s="181"/>
      <c r="LJJ116" s="182"/>
      <c r="LJK116" s="181"/>
      <c r="LJL116" s="182"/>
      <c r="LJM116" s="181"/>
      <c r="LJN116" s="182"/>
      <c r="LJO116" s="181"/>
      <c r="LJP116" s="182"/>
      <c r="LJQ116" s="181"/>
      <c r="LJR116" s="182"/>
      <c r="LJS116" s="181"/>
      <c r="LJT116" s="182"/>
      <c r="LJU116" s="181"/>
      <c r="LJV116" s="182"/>
      <c r="LJW116" s="181"/>
      <c r="LJX116" s="182"/>
      <c r="LJY116" s="181"/>
      <c r="LJZ116" s="182"/>
      <c r="LKA116" s="181"/>
      <c r="LKB116" s="182"/>
      <c r="LKC116" s="181"/>
      <c r="LKD116" s="182"/>
      <c r="LKE116" s="181"/>
      <c r="LKF116" s="182"/>
      <c r="LKG116" s="181"/>
      <c r="LKH116" s="182"/>
      <c r="LKI116" s="181"/>
      <c r="LKJ116" s="182"/>
      <c r="LKK116" s="181"/>
      <c r="LKL116" s="182"/>
      <c r="LKM116" s="181"/>
      <c r="LKN116" s="182"/>
      <c r="LKO116" s="181"/>
      <c r="LKP116" s="182"/>
      <c r="LKQ116" s="181"/>
      <c r="LKR116" s="182"/>
      <c r="LKS116" s="181"/>
      <c r="LKT116" s="182"/>
      <c r="LKU116" s="181"/>
      <c r="LKV116" s="182"/>
      <c r="LKW116" s="181"/>
      <c r="LKX116" s="182"/>
      <c r="LKY116" s="181"/>
      <c r="LKZ116" s="182"/>
      <c r="LLA116" s="181"/>
      <c r="LLB116" s="182"/>
      <c r="LLC116" s="181"/>
      <c r="LLD116" s="182"/>
      <c r="LLE116" s="181"/>
      <c r="LLF116" s="182"/>
      <c r="LLG116" s="181"/>
      <c r="LLH116" s="182"/>
      <c r="LLI116" s="181"/>
      <c r="LLJ116" s="182"/>
      <c r="LLK116" s="181"/>
      <c r="LLL116" s="182"/>
      <c r="LLM116" s="181"/>
      <c r="LLN116" s="182"/>
      <c r="LLO116" s="181"/>
      <c r="LLP116" s="182"/>
      <c r="LLQ116" s="181"/>
      <c r="LLR116" s="182"/>
      <c r="LLS116" s="181"/>
      <c r="LLT116" s="182"/>
      <c r="LLU116" s="181"/>
      <c r="LLV116" s="182"/>
      <c r="LLW116" s="181"/>
      <c r="LLX116" s="182"/>
      <c r="LLY116" s="181"/>
      <c r="LLZ116" s="182"/>
      <c r="LMA116" s="181"/>
      <c r="LMB116" s="182"/>
      <c r="LMC116" s="181"/>
      <c r="LMD116" s="182"/>
      <c r="LME116" s="181"/>
      <c r="LMF116" s="182"/>
      <c r="LMG116" s="181"/>
      <c r="LMH116" s="182"/>
      <c r="LMI116" s="181"/>
      <c r="LMJ116" s="182"/>
      <c r="LMK116" s="181"/>
      <c r="LML116" s="182"/>
      <c r="LMM116" s="181"/>
      <c r="LMN116" s="182"/>
      <c r="LMO116" s="181"/>
      <c r="LMP116" s="182"/>
      <c r="LMQ116" s="181"/>
      <c r="LMR116" s="182"/>
      <c r="LMS116" s="181"/>
      <c r="LMT116" s="182"/>
      <c r="LMU116" s="181"/>
      <c r="LMV116" s="182"/>
      <c r="LMW116" s="181"/>
      <c r="LMX116" s="182"/>
      <c r="LMY116" s="181"/>
      <c r="LMZ116" s="182"/>
      <c r="LNA116" s="181"/>
      <c r="LNB116" s="182"/>
      <c r="LNC116" s="181"/>
      <c r="LND116" s="182"/>
      <c r="LNE116" s="181"/>
      <c r="LNF116" s="182"/>
      <c r="LNG116" s="181"/>
      <c r="LNH116" s="182"/>
      <c r="LNI116" s="181"/>
      <c r="LNJ116" s="182"/>
      <c r="LNK116" s="181"/>
      <c r="LNL116" s="182"/>
      <c r="LNM116" s="181"/>
      <c r="LNN116" s="182"/>
      <c r="LNO116" s="181"/>
      <c r="LNP116" s="182"/>
      <c r="LNQ116" s="181"/>
      <c r="LNR116" s="182"/>
      <c r="LNS116" s="181"/>
      <c r="LNT116" s="182"/>
      <c r="LNU116" s="181"/>
      <c r="LNV116" s="182"/>
      <c r="LNW116" s="181"/>
      <c r="LNX116" s="182"/>
      <c r="LNY116" s="181"/>
      <c r="LNZ116" s="182"/>
      <c r="LOA116" s="181"/>
      <c r="LOB116" s="182"/>
      <c r="LOC116" s="181"/>
      <c r="LOD116" s="182"/>
      <c r="LOE116" s="181"/>
      <c r="LOF116" s="182"/>
      <c r="LOG116" s="181"/>
      <c r="LOH116" s="182"/>
      <c r="LOI116" s="181"/>
      <c r="LOJ116" s="182"/>
      <c r="LOK116" s="181"/>
      <c r="LOL116" s="182"/>
      <c r="LOM116" s="181"/>
      <c r="LON116" s="182"/>
      <c r="LOO116" s="181"/>
      <c r="LOP116" s="182"/>
      <c r="LOQ116" s="181"/>
      <c r="LOR116" s="182"/>
      <c r="LOS116" s="181"/>
      <c r="LOT116" s="182"/>
      <c r="LOU116" s="181"/>
      <c r="LOV116" s="182"/>
      <c r="LOW116" s="181"/>
      <c r="LOX116" s="182"/>
      <c r="LOY116" s="181"/>
      <c r="LOZ116" s="182"/>
      <c r="LPA116" s="181"/>
      <c r="LPB116" s="182"/>
      <c r="LPC116" s="181"/>
      <c r="LPD116" s="182"/>
      <c r="LPE116" s="181"/>
      <c r="LPF116" s="182"/>
      <c r="LPG116" s="181"/>
      <c r="LPH116" s="182"/>
      <c r="LPI116" s="181"/>
      <c r="LPJ116" s="182"/>
      <c r="LPK116" s="181"/>
      <c r="LPL116" s="182"/>
      <c r="LPM116" s="181"/>
      <c r="LPN116" s="182"/>
      <c r="LPO116" s="181"/>
      <c r="LPP116" s="182"/>
      <c r="LPQ116" s="181"/>
      <c r="LPR116" s="182"/>
      <c r="LPS116" s="181"/>
      <c r="LPT116" s="182"/>
      <c r="LPU116" s="181"/>
      <c r="LPV116" s="182"/>
      <c r="LPW116" s="181"/>
      <c r="LPX116" s="182"/>
      <c r="LPY116" s="181"/>
      <c r="LPZ116" s="182"/>
      <c r="LQA116" s="181"/>
      <c r="LQB116" s="182"/>
      <c r="LQC116" s="181"/>
      <c r="LQD116" s="182"/>
      <c r="LQE116" s="181"/>
      <c r="LQF116" s="182"/>
      <c r="LQG116" s="181"/>
      <c r="LQH116" s="182"/>
      <c r="LQI116" s="181"/>
      <c r="LQJ116" s="182"/>
      <c r="LQK116" s="181"/>
      <c r="LQL116" s="182"/>
      <c r="LQM116" s="181"/>
      <c r="LQN116" s="182"/>
      <c r="LQO116" s="181"/>
      <c r="LQP116" s="182"/>
      <c r="LQQ116" s="181"/>
      <c r="LQR116" s="182"/>
      <c r="LQS116" s="181"/>
      <c r="LQT116" s="182"/>
      <c r="LQU116" s="181"/>
      <c r="LQV116" s="182"/>
      <c r="LQW116" s="181"/>
      <c r="LQX116" s="182"/>
      <c r="LQY116" s="181"/>
      <c r="LQZ116" s="182"/>
      <c r="LRA116" s="181"/>
      <c r="LRB116" s="182"/>
      <c r="LRC116" s="181"/>
      <c r="LRD116" s="182"/>
      <c r="LRE116" s="181"/>
      <c r="LRF116" s="182"/>
      <c r="LRG116" s="181"/>
      <c r="LRH116" s="182"/>
      <c r="LRI116" s="181"/>
      <c r="LRJ116" s="182"/>
      <c r="LRK116" s="181"/>
      <c r="LRL116" s="182"/>
      <c r="LRM116" s="181"/>
      <c r="LRN116" s="182"/>
      <c r="LRO116" s="181"/>
      <c r="LRP116" s="182"/>
      <c r="LRQ116" s="181"/>
      <c r="LRR116" s="182"/>
      <c r="LRS116" s="181"/>
      <c r="LRT116" s="182"/>
      <c r="LRU116" s="181"/>
      <c r="LRV116" s="182"/>
      <c r="LRW116" s="181"/>
      <c r="LRX116" s="182"/>
      <c r="LRY116" s="181"/>
      <c r="LRZ116" s="182"/>
      <c r="LSA116" s="181"/>
      <c r="LSB116" s="182"/>
      <c r="LSC116" s="181"/>
      <c r="LSD116" s="182"/>
      <c r="LSE116" s="181"/>
      <c r="LSF116" s="182"/>
      <c r="LSG116" s="181"/>
      <c r="LSH116" s="182"/>
      <c r="LSI116" s="181"/>
      <c r="LSJ116" s="182"/>
      <c r="LSK116" s="181"/>
      <c r="LSL116" s="182"/>
      <c r="LSM116" s="181"/>
      <c r="LSN116" s="182"/>
      <c r="LSO116" s="181"/>
      <c r="LSP116" s="182"/>
      <c r="LSQ116" s="181"/>
      <c r="LSR116" s="182"/>
      <c r="LSS116" s="181"/>
      <c r="LST116" s="182"/>
      <c r="LSU116" s="181"/>
      <c r="LSV116" s="182"/>
      <c r="LSW116" s="181"/>
      <c r="LSX116" s="182"/>
      <c r="LSY116" s="181"/>
      <c r="LSZ116" s="182"/>
      <c r="LTA116" s="181"/>
      <c r="LTB116" s="182"/>
      <c r="LTC116" s="181"/>
      <c r="LTD116" s="182"/>
      <c r="LTE116" s="181"/>
      <c r="LTF116" s="182"/>
      <c r="LTG116" s="181"/>
      <c r="LTH116" s="182"/>
      <c r="LTI116" s="181"/>
      <c r="LTJ116" s="182"/>
      <c r="LTK116" s="181"/>
      <c r="LTL116" s="182"/>
      <c r="LTM116" s="181"/>
      <c r="LTN116" s="182"/>
      <c r="LTO116" s="181"/>
      <c r="LTP116" s="182"/>
      <c r="LTQ116" s="181"/>
      <c r="LTR116" s="182"/>
      <c r="LTS116" s="181"/>
      <c r="LTT116" s="182"/>
      <c r="LTU116" s="181"/>
      <c r="LTV116" s="182"/>
      <c r="LTW116" s="181"/>
      <c r="LTX116" s="182"/>
      <c r="LTY116" s="181"/>
      <c r="LTZ116" s="182"/>
      <c r="LUA116" s="181"/>
      <c r="LUB116" s="182"/>
      <c r="LUC116" s="181"/>
      <c r="LUD116" s="182"/>
      <c r="LUE116" s="181"/>
      <c r="LUF116" s="182"/>
      <c r="LUG116" s="181"/>
      <c r="LUH116" s="182"/>
      <c r="LUI116" s="181"/>
      <c r="LUJ116" s="182"/>
      <c r="LUK116" s="181"/>
      <c r="LUL116" s="182"/>
      <c r="LUM116" s="181"/>
      <c r="LUN116" s="182"/>
      <c r="LUO116" s="181"/>
      <c r="LUP116" s="182"/>
      <c r="LUQ116" s="181"/>
      <c r="LUR116" s="182"/>
      <c r="LUS116" s="181"/>
      <c r="LUT116" s="182"/>
      <c r="LUU116" s="181"/>
      <c r="LUV116" s="182"/>
      <c r="LUW116" s="181"/>
      <c r="LUX116" s="182"/>
      <c r="LUY116" s="181"/>
      <c r="LUZ116" s="182"/>
      <c r="LVA116" s="181"/>
      <c r="LVB116" s="182"/>
      <c r="LVC116" s="181"/>
      <c r="LVD116" s="182"/>
      <c r="LVE116" s="181"/>
      <c r="LVF116" s="182"/>
      <c r="LVG116" s="181"/>
      <c r="LVH116" s="182"/>
      <c r="LVI116" s="181"/>
      <c r="LVJ116" s="182"/>
      <c r="LVK116" s="181"/>
      <c r="LVL116" s="182"/>
      <c r="LVM116" s="181"/>
      <c r="LVN116" s="182"/>
      <c r="LVO116" s="181"/>
      <c r="LVP116" s="182"/>
      <c r="LVQ116" s="181"/>
      <c r="LVR116" s="182"/>
      <c r="LVS116" s="181"/>
      <c r="LVT116" s="182"/>
      <c r="LVU116" s="181"/>
      <c r="LVV116" s="182"/>
      <c r="LVW116" s="181"/>
      <c r="LVX116" s="182"/>
      <c r="LVY116" s="181"/>
      <c r="LVZ116" s="182"/>
      <c r="LWA116" s="181"/>
      <c r="LWB116" s="182"/>
      <c r="LWC116" s="181"/>
      <c r="LWD116" s="182"/>
      <c r="LWE116" s="181"/>
      <c r="LWF116" s="182"/>
      <c r="LWG116" s="181"/>
      <c r="LWH116" s="182"/>
      <c r="LWI116" s="181"/>
      <c r="LWJ116" s="182"/>
      <c r="LWK116" s="181"/>
      <c r="LWL116" s="182"/>
      <c r="LWM116" s="181"/>
      <c r="LWN116" s="182"/>
      <c r="LWO116" s="181"/>
      <c r="LWP116" s="182"/>
      <c r="LWQ116" s="181"/>
      <c r="LWR116" s="182"/>
      <c r="LWS116" s="181"/>
      <c r="LWT116" s="182"/>
      <c r="LWU116" s="181"/>
      <c r="LWV116" s="182"/>
      <c r="LWW116" s="181"/>
      <c r="LWX116" s="182"/>
      <c r="LWY116" s="181"/>
      <c r="LWZ116" s="182"/>
      <c r="LXA116" s="181"/>
      <c r="LXB116" s="182"/>
      <c r="LXC116" s="181"/>
      <c r="LXD116" s="182"/>
      <c r="LXE116" s="181"/>
      <c r="LXF116" s="182"/>
      <c r="LXG116" s="181"/>
      <c r="LXH116" s="182"/>
      <c r="LXI116" s="181"/>
      <c r="LXJ116" s="182"/>
      <c r="LXK116" s="181"/>
      <c r="LXL116" s="182"/>
      <c r="LXM116" s="181"/>
      <c r="LXN116" s="182"/>
      <c r="LXO116" s="181"/>
      <c r="LXP116" s="182"/>
      <c r="LXQ116" s="181"/>
      <c r="LXR116" s="182"/>
      <c r="LXS116" s="181"/>
      <c r="LXT116" s="182"/>
      <c r="LXU116" s="181"/>
      <c r="LXV116" s="182"/>
      <c r="LXW116" s="181"/>
      <c r="LXX116" s="182"/>
      <c r="LXY116" s="181"/>
      <c r="LXZ116" s="182"/>
      <c r="LYA116" s="181"/>
      <c r="LYB116" s="182"/>
      <c r="LYC116" s="181"/>
      <c r="LYD116" s="182"/>
      <c r="LYE116" s="181"/>
      <c r="LYF116" s="182"/>
      <c r="LYG116" s="181"/>
      <c r="LYH116" s="182"/>
      <c r="LYI116" s="181"/>
      <c r="LYJ116" s="182"/>
      <c r="LYK116" s="181"/>
      <c r="LYL116" s="182"/>
      <c r="LYM116" s="181"/>
      <c r="LYN116" s="182"/>
      <c r="LYO116" s="181"/>
      <c r="LYP116" s="182"/>
      <c r="LYQ116" s="181"/>
      <c r="LYR116" s="182"/>
      <c r="LYS116" s="181"/>
      <c r="LYT116" s="182"/>
      <c r="LYU116" s="181"/>
      <c r="LYV116" s="182"/>
      <c r="LYW116" s="181"/>
      <c r="LYX116" s="182"/>
      <c r="LYY116" s="181"/>
      <c r="LYZ116" s="182"/>
      <c r="LZA116" s="181"/>
      <c r="LZB116" s="182"/>
      <c r="LZC116" s="181"/>
      <c r="LZD116" s="182"/>
      <c r="LZE116" s="181"/>
      <c r="LZF116" s="182"/>
      <c r="LZG116" s="181"/>
      <c r="LZH116" s="182"/>
      <c r="LZI116" s="181"/>
      <c r="LZJ116" s="182"/>
      <c r="LZK116" s="181"/>
      <c r="LZL116" s="182"/>
      <c r="LZM116" s="181"/>
      <c r="LZN116" s="182"/>
      <c r="LZO116" s="181"/>
      <c r="LZP116" s="182"/>
      <c r="LZQ116" s="181"/>
      <c r="LZR116" s="182"/>
      <c r="LZS116" s="181"/>
      <c r="LZT116" s="182"/>
      <c r="LZU116" s="181"/>
      <c r="LZV116" s="182"/>
      <c r="LZW116" s="181"/>
      <c r="LZX116" s="182"/>
      <c r="LZY116" s="181"/>
      <c r="LZZ116" s="182"/>
      <c r="MAA116" s="181"/>
      <c r="MAB116" s="182"/>
      <c r="MAC116" s="181"/>
      <c r="MAD116" s="182"/>
      <c r="MAE116" s="181"/>
      <c r="MAF116" s="182"/>
      <c r="MAG116" s="181"/>
      <c r="MAH116" s="182"/>
      <c r="MAI116" s="181"/>
      <c r="MAJ116" s="182"/>
      <c r="MAK116" s="181"/>
      <c r="MAL116" s="182"/>
      <c r="MAM116" s="181"/>
      <c r="MAN116" s="182"/>
      <c r="MAO116" s="181"/>
      <c r="MAP116" s="182"/>
      <c r="MAQ116" s="181"/>
      <c r="MAR116" s="182"/>
      <c r="MAS116" s="181"/>
      <c r="MAT116" s="182"/>
      <c r="MAU116" s="181"/>
      <c r="MAV116" s="182"/>
      <c r="MAW116" s="181"/>
      <c r="MAX116" s="182"/>
      <c r="MAY116" s="181"/>
      <c r="MAZ116" s="182"/>
      <c r="MBA116" s="181"/>
      <c r="MBB116" s="182"/>
      <c r="MBC116" s="181"/>
      <c r="MBD116" s="182"/>
      <c r="MBE116" s="181"/>
      <c r="MBF116" s="182"/>
      <c r="MBG116" s="181"/>
      <c r="MBH116" s="182"/>
      <c r="MBI116" s="181"/>
      <c r="MBJ116" s="182"/>
      <c r="MBK116" s="181"/>
      <c r="MBL116" s="182"/>
      <c r="MBM116" s="181"/>
      <c r="MBN116" s="182"/>
      <c r="MBO116" s="181"/>
      <c r="MBP116" s="182"/>
      <c r="MBQ116" s="181"/>
      <c r="MBR116" s="182"/>
      <c r="MBS116" s="181"/>
      <c r="MBT116" s="182"/>
      <c r="MBU116" s="181"/>
      <c r="MBV116" s="182"/>
      <c r="MBW116" s="181"/>
      <c r="MBX116" s="182"/>
      <c r="MBY116" s="181"/>
      <c r="MBZ116" s="182"/>
      <c r="MCA116" s="181"/>
      <c r="MCB116" s="182"/>
      <c r="MCC116" s="181"/>
      <c r="MCD116" s="182"/>
      <c r="MCE116" s="181"/>
      <c r="MCF116" s="182"/>
      <c r="MCG116" s="181"/>
      <c r="MCH116" s="182"/>
      <c r="MCI116" s="181"/>
      <c r="MCJ116" s="182"/>
      <c r="MCK116" s="181"/>
      <c r="MCL116" s="182"/>
      <c r="MCM116" s="181"/>
      <c r="MCN116" s="182"/>
      <c r="MCO116" s="181"/>
      <c r="MCP116" s="182"/>
      <c r="MCQ116" s="181"/>
      <c r="MCR116" s="182"/>
      <c r="MCS116" s="181"/>
      <c r="MCT116" s="182"/>
      <c r="MCU116" s="181"/>
      <c r="MCV116" s="182"/>
      <c r="MCW116" s="181"/>
      <c r="MCX116" s="182"/>
      <c r="MCY116" s="181"/>
      <c r="MCZ116" s="182"/>
      <c r="MDA116" s="181"/>
      <c r="MDB116" s="182"/>
      <c r="MDC116" s="181"/>
      <c r="MDD116" s="182"/>
      <c r="MDE116" s="181"/>
      <c r="MDF116" s="182"/>
      <c r="MDG116" s="181"/>
      <c r="MDH116" s="182"/>
      <c r="MDI116" s="181"/>
      <c r="MDJ116" s="182"/>
      <c r="MDK116" s="181"/>
      <c r="MDL116" s="182"/>
      <c r="MDM116" s="181"/>
      <c r="MDN116" s="182"/>
      <c r="MDO116" s="181"/>
      <c r="MDP116" s="182"/>
      <c r="MDQ116" s="181"/>
      <c r="MDR116" s="182"/>
      <c r="MDS116" s="181"/>
      <c r="MDT116" s="182"/>
      <c r="MDU116" s="181"/>
      <c r="MDV116" s="182"/>
      <c r="MDW116" s="181"/>
      <c r="MDX116" s="182"/>
      <c r="MDY116" s="181"/>
      <c r="MDZ116" s="182"/>
      <c r="MEA116" s="181"/>
      <c r="MEB116" s="182"/>
      <c r="MEC116" s="181"/>
      <c r="MED116" s="182"/>
      <c r="MEE116" s="181"/>
      <c r="MEF116" s="182"/>
      <c r="MEG116" s="181"/>
      <c r="MEH116" s="182"/>
      <c r="MEI116" s="181"/>
      <c r="MEJ116" s="182"/>
      <c r="MEK116" s="181"/>
      <c r="MEL116" s="182"/>
      <c r="MEM116" s="181"/>
      <c r="MEN116" s="182"/>
      <c r="MEO116" s="181"/>
      <c r="MEP116" s="182"/>
      <c r="MEQ116" s="181"/>
      <c r="MER116" s="182"/>
      <c r="MES116" s="181"/>
      <c r="MET116" s="182"/>
      <c r="MEU116" s="181"/>
      <c r="MEV116" s="182"/>
      <c r="MEW116" s="181"/>
      <c r="MEX116" s="182"/>
      <c r="MEY116" s="181"/>
      <c r="MEZ116" s="182"/>
      <c r="MFA116" s="181"/>
      <c r="MFB116" s="182"/>
      <c r="MFC116" s="181"/>
      <c r="MFD116" s="182"/>
      <c r="MFE116" s="181"/>
      <c r="MFF116" s="182"/>
      <c r="MFG116" s="181"/>
      <c r="MFH116" s="182"/>
      <c r="MFI116" s="181"/>
      <c r="MFJ116" s="182"/>
      <c r="MFK116" s="181"/>
      <c r="MFL116" s="182"/>
      <c r="MFM116" s="181"/>
      <c r="MFN116" s="182"/>
      <c r="MFO116" s="181"/>
      <c r="MFP116" s="182"/>
      <c r="MFQ116" s="181"/>
      <c r="MFR116" s="182"/>
      <c r="MFS116" s="181"/>
      <c r="MFT116" s="182"/>
      <c r="MFU116" s="181"/>
      <c r="MFV116" s="182"/>
      <c r="MFW116" s="181"/>
      <c r="MFX116" s="182"/>
      <c r="MFY116" s="181"/>
      <c r="MFZ116" s="182"/>
      <c r="MGA116" s="181"/>
      <c r="MGB116" s="182"/>
      <c r="MGC116" s="181"/>
      <c r="MGD116" s="182"/>
      <c r="MGE116" s="181"/>
      <c r="MGF116" s="182"/>
      <c r="MGG116" s="181"/>
      <c r="MGH116" s="182"/>
      <c r="MGI116" s="181"/>
      <c r="MGJ116" s="182"/>
      <c r="MGK116" s="181"/>
      <c r="MGL116" s="182"/>
      <c r="MGM116" s="181"/>
      <c r="MGN116" s="182"/>
      <c r="MGO116" s="181"/>
      <c r="MGP116" s="182"/>
      <c r="MGQ116" s="181"/>
      <c r="MGR116" s="182"/>
      <c r="MGS116" s="181"/>
      <c r="MGT116" s="182"/>
      <c r="MGU116" s="181"/>
      <c r="MGV116" s="182"/>
      <c r="MGW116" s="181"/>
      <c r="MGX116" s="182"/>
      <c r="MGY116" s="181"/>
      <c r="MGZ116" s="182"/>
      <c r="MHA116" s="181"/>
      <c r="MHB116" s="182"/>
      <c r="MHC116" s="181"/>
      <c r="MHD116" s="182"/>
      <c r="MHE116" s="181"/>
      <c r="MHF116" s="182"/>
      <c r="MHG116" s="181"/>
      <c r="MHH116" s="182"/>
      <c r="MHI116" s="181"/>
      <c r="MHJ116" s="182"/>
      <c r="MHK116" s="181"/>
      <c r="MHL116" s="182"/>
      <c r="MHM116" s="181"/>
      <c r="MHN116" s="182"/>
      <c r="MHO116" s="181"/>
      <c r="MHP116" s="182"/>
      <c r="MHQ116" s="181"/>
      <c r="MHR116" s="182"/>
      <c r="MHS116" s="181"/>
      <c r="MHT116" s="182"/>
      <c r="MHU116" s="181"/>
      <c r="MHV116" s="182"/>
      <c r="MHW116" s="181"/>
      <c r="MHX116" s="182"/>
      <c r="MHY116" s="181"/>
      <c r="MHZ116" s="182"/>
      <c r="MIA116" s="181"/>
      <c r="MIB116" s="182"/>
      <c r="MIC116" s="181"/>
      <c r="MID116" s="182"/>
      <c r="MIE116" s="181"/>
      <c r="MIF116" s="182"/>
      <c r="MIG116" s="181"/>
      <c r="MIH116" s="182"/>
      <c r="MII116" s="181"/>
      <c r="MIJ116" s="182"/>
      <c r="MIK116" s="181"/>
      <c r="MIL116" s="182"/>
      <c r="MIM116" s="181"/>
      <c r="MIN116" s="182"/>
      <c r="MIO116" s="181"/>
      <c r="MIP116" s="182"/>
      <c r="MIQ116" s="181"/>
      <c r="MIR116" s="182"/>
      <c r="MIS116" s="181"/>
      <c r="MIT116" s="182"/>
      <c r="MIU116" s="181"/>
      <c r="MIV116" s="182"/>
      <c r="MIW116" s="181"/>
      <c r="MIX116" s="182"/>
      <c r="MIY116" s="181"/>
      <c r="MIZ116" s="182"/>
      <c r="MJA116" s="181"/>
      <c r="MJB116" s="182"/>
      <c r="MJC116" s="181"/>
      <c r="MJD116" s="182"/>
      <c r="MJE116" s="181"/>
      <c r="MJF116" s="182"/>
      <c r="MJG116" s="181"/>
      <c r="MJH116" s="182"/>
      <c r="MJI116" s="181"/>
      <c r="MJJ116" s="182"/>
      <c r="MJK116" s="181"/>
      <c r="MJL116" s="182"/>
      <c r="MJM116" s="181"/>
      <c r="MJN116" s="182"/>
      <c r="MJO116" s="181"/>
      <c r="MJP116" s="182"/>
      <c r="MJQ116" s="181"/>
      <c r="MJR116" s="182"/>
      <c r="MJS116" s="181"/>
      <c r="MJT116" s="182"/>
      <c r="MJU116" s="181"/>
      <c r="MJV116" s="182"/>
      <c r="MJW116" s="181"/>
      <c r="MJX116" s="182"/>
      <c r="MJY116" s="181"/>
      <c r="MJZ116" s="182"/>
      <c r="MKA116" s="181"/>
      <c r="MKB116" s="182"/>
      <c r="MKC116" s="181"/>
      <c r="MKD116" s="182"/>
      <c r="MKE116" s="181"/>
      <c r="MKF116" s="182"/>
      <c r="MKG116" s="181"/>
      <c r="MKH116" s="182"/>
      <c r="MKI116" s="181"/>
      <c r="MKJ116" s="182"/>
      <c r="MKK116" s="181"/>
      <c r="MKL116" s="182"/>
      <c r="MKM116" s="181"/>
      <c r="MKN116" s="182"/>
      <c r="MKO116" s="181"/>
      <c r="MKP116" s="182"/>
      <c r="MKQ116" s="181"/>
      <c r="MKR116" s="182"/>
      <c r="MKS116" s="181"/>
      <c r="MKT116" s="182"/>
      <c r="MKU116" s="181"/>
      <c r="MKV116" s="182"/>
      <c r="MKW116" s="181"/>
      <c r="MKX116" s="182"/>
      <c r="MKY116" s="181"/>
      <c r="MKZ116" s="182"/>
      <c r="MLA116" s="181"/>
      <c r="MLB116" s="182"/>
      <c r="MLC116" s="181"/>
      <c r="MLD116" s="182"/>
      <c r="MLE116" s="181"/>
      <c r="MLF116" s="182"/>
      <c r="MLG116" s="181"/>
      <c r="MLH116" s="182"/>
      <c r="MLI116" s="181"/>
      <c r="MLJ116" s="182"/>
      <c r="MLK116" s="181"/>
      <c r="MLL116" s="182"/>
      <c r="MLM116" s="181"/>
      <c r="MLN116" s="182"/>
      <c r="MLO116" s="181"/>
      <c r="MLP116" s="182"/>
      <c r="MLQ116" s="181"/>
      <c r="MLR116" s="182"/>
      <c r="MLS116" s="181"/>
      <c r="MLT116" s="182"/>
      <c r="MLU116" s="181"/>
      <c r="MLV116" s="182"/>
      <c r="MLW116" s="181"/>
      <c r="MLX116" s="182"/>
      <c r="MLY116" s="181"/>
      <c r="MLZ116" s="182"/>
      <c r="MMA116" s="181"/>
      <c r="MMB116" s="182"/>
      <c r="MMC116" s="181"/>
      <c r="MMD116" s="182"/>
      <c r="MME116" s="181"/>
      <c r="MMF116" s="182"/>
      <c r="MMG116" s="181"/>
      <c r="MMH116" s="182"/>
      <c r="MMI116" s="181"/>
      <c r="MMJ116" s="182"/>
      <c r="MMK116" s="181"/>
      <c r="MML116" s="182"/>
      <c r="MMM116" s="181"/>
      <c r="MMN116" s="182"/>
      <c r="MMO116" s="181"/>
      <c r="MMP116" s="182"/>
      <c r="MMQ116" s="181"/>
      <c r="MMR116" s="182"/>
      <c r="MMS116" s="181"/>
      <c r="MMT116" s="182"/>
      <c r="MMU116" s="181"/>
      <c r="MMV116" s="182"/>
      <c r="MMW116" s="181"/>
      <c r="MMX116" s="182"/>
      <c r="MMY116" s="181"/>
      <c r="MMZ116" s="182"/>
      <c r="MNA116" s="181"/>
      <c r="MNB116" s="182"/>
      <c r="MNC116" s="181"/>
      <c r="MND116" s="182"/>
      <c r="MNE116" s="181"/>
      <c r="MNF116" s="182"/>
      <c r="MNG116" s="181"/>
      <c r="MNH116" s="182"/>
      <c r="MNI116" s="181"/>
      <c r="MNJ116" s="182"/>
      <c r="MNK116" s="181"/>
      <c r="MNL116" s="182"/>
      <c r="MNM116" s="181"/>
      <c r="MNN116" s="182"/>
      <c r="MNO116" s="181"/>
      <c r="MNP116" s="182"/>
      <c r="MNQ116" s="181"/>
      <c r="MNR116" s="182"/>
      <c r="MNS116" s="181"/>
      <c r="MNT116" s="182"/>
      <c r="MNU116" s="181"/>
      <c r="MNV116" s="182"/>
      <c r="MNW116" s="181"/>
      <c r="MNX116" s="182"/>
      <c r="MNY116" s="181"/>
      <c r="MNZ116" s="182"/>
      <c r="MOA116" s="181"/>
      <c r="MOB116" s="182"/>
      <c r="MOC116" s="181"/>
      <c r="MOD116" s="182"/>
      <c r="MOE116" s="181"/>
      <c r="MOF116" s="182"/>
      <c r="MOG116" s="181"/>
      <c r="MOH116" s="182"/>
      <c r="MOI116" s="181"/>
      <c r="MOJ116" s="182"/>
      <c r="MOK116" s="181"/>
      <c r="MOL116" s="182"/>
      <c r="MOM116" s="181"/>
      <c r="MON116" s="182"/>
      <c r="MOO116" s="181"/>
      <c r="MOP116" s="182"/>
      <c r="MOQ116" s="181"/>
      <c r="MOR116" s="182"/>
      <c r="MOS116" s="181"/>
      <c r="MOT116" s="182"/>
      <c r="MOU116" s="181"/>
      <c r="MOV116" s="182"/>
      <c r="MOW116" s="181"/>
      <c r="MOX116" s="182"/>
      <c r="MOY116" s="181"/>
      <c r="MOZ116" s="182"/>
      <c r="MPA116" s="181"/>
      <c r="MPB116" s="182"/>
      <c r="MPC116" s="181"/>
      <c r="MPD116" s="182"/>
      <c r="MPE116" s="181"/>
      <c r="MPF116" s="182"/>
      <c r="MPG116" s="181"/>
      <c r="MPH116" s="182"/>
      <c r="MPI116" s="181"/>
      <c r="MPJ116" s="182"/>
      <c r="MPK116" s="181"/>
      <c r="MPL116" s="182"/>
      <c r="MPM116" s="181"/>
      <c r="MPN116" s="182"/>
      <c r="MPO116" s="181"/>
      <c r="MPP116" s="182"/>
      <c r="MPQ116" s="181"/>
      <c r="MPR116" s="182"/>
      <c r="MPS116" s="181"/>
      <c r="MPT116" s="182"/>
      <c r="MPU116" s="181"/>
      <c r="MPV116" s="182"/>
      <c r="MPW116" s="181"/>
      <c r="MPX116" s="182"/>
      <c r="MPY116" s="181"/>
      <c r="MPZ116" s="182"/>
      <c r="MQA116" s="181"/>
      <c r="MQB116" s="182"/>
      <c r="MQC116" s="181"/>
      <c r="MQD116" s="182"/>
      <c r="MQE116" s="181"/>
      <c r="MQF116" s="182"/>
      <c r="MQG116" s="181"/>
      <c r="MQH116" s="182"/>
      <c r="MQI116" s="181"/>
      <c r="MQJ116" s="182"/>
      <c r="MQK116" s="181"/>
      <c r="MQL116" s="182"/>
      <c r="MQM116" s="181"/>
      <c r="MQN116" s="182"/>
      <c r="MQO116" s="181"/>
      <c r="MQP116" s="182"/>
      <c r="MQQ116" s="181"/>
      <c r="MQR116" s="182"/>
      <c r="MQS116" s="181"/>
      <c r="MQT116" s="182"/>
      <c r="MQU116" s="181"/>
      <c r="MQV116" s="182"/>
      <c r="MQW116" s="181"/>
      <c r="MQX116" s="182"/>
      <c r="MQY116" s="181"/>
      <c r="MQZ116" s="182"/>
      <c r="MRA116" s="181"/>
      <c r="MRB116" s="182"/>
      <c r="MRC116" s="181"/>
      <c r="MRD116" s="182"/>
      <c r="MRE116" s="181"/>
      <c r="MRF116" s="182"/>
      <c r="MRG116" s="181"/>
      <c r="MRH116" s="182"/>
      <c r="MRI116" s="181"/>
      <c r="MRJ116" s="182"/>
      <c r="MRK116" s="181"/>
      <c r="MRL116" s="182"/>
      <c r="MRM116" s="181"/>
      <c r="MRN116" s="182"/>
      <c r="MRO116" s="181"/>
      <c r="MRP116" s="182"/>
      <c r="MRQ116" s="181"/>
      <c r="MRR116" s="182"/>
      <c r="MRS116" s="181"/>
      <c r="MRT116" s="182"/>
      <c r="MRU116" s="181"/>
      <c r="MRV116" s="182"/>
      <c r="MRW116" s="181"/>
      <c r="MRX116" s="182"/>
      <c r="MRY116" s="181"/>
      <c r="MRZ116" s="182"/>
      <c r="MSA116" s="181"/>
      <c r="MSB116" s="182"/>
      <c r="MSC116" s="181"/>
      <c r="MSD116" s="182"/>
      <c r="MSE116" s="181"/>
      <c r="MSF116" s="182"/>
      <c r="MSG116" s="181"/>
      <c r="MSH116" s="182"/>
      <c r="MSI116" s="181"/>
      <c r="MSJ116" s="182"/>
      <c r="MSK116" s="181"/>
      <c r="MSL116" s="182"/>
      <c r="MSM116" s="181"/>
      <c r="MSN116" s="182"/>
      <c r="MSO116" s="181"/>
      <c r="MSP116" s="182"/>
      <c r="MSQ116" s="181"/>
      <c r="MSR116" s="182"/>
      <c r="MSS116" s="181"/>
      <c r="MST116" s="182"/>
      <c r="MSU116" s="181"/>
      <c r="MSV116" s="182"/>
      <c r="MSW116" s="181"/>
      <c r="MSX116" s="182"/>
      <c r="MSY116" s="181"/>
      <c r="MSZ116" s="182"/>
      <c r="MTA116" s="181"/>
      <c r="MTB116" s="182"/>
      <c r="MTC116" s="181"/>
      <c r="MTD116" s="182"/>
      <c r="MTE116" s="181"/>
      <c r="MTF116" s="182"/>
      <c r="MTG116" s="181"/>
      <c r="MTH116" s="182"/>
      <c r="MTI116" s="181"/>
      <c r="MTJ116" s="182"/>
      <c r="MTK116" s="181"/>
      <c r="MTL116" s="182"/>
      <c r="MTM116" s="181"/>
      <c r="MTN116" s="182"/>
      <c r="MTO116" s="181"/>
      <c r="MTP116" s="182"/>
      <c r="MTQ116" s="181"/>
      <c r="MTR116" s="182"/>
      <c r="MTS116" s="181"/>
      <c r="MTT116" s="182"/>
      <c r="MTU116" s="181"/>
      <c r="MTV116" s="182"/>
      <c r="MTW116" s="181"/>
      <c r="MTX116" s="182"/>
      <c r="MTY116" s="181"/>
      <c r="MTZ116" s="182"/>
      <c r="MUA116" s="181"/>
      <c r="MUB116" s="182"/>
      <c r="MUC116" s="181"/>
      <c r="MUD116" s="182"/>
      <c r="MUE116" s="181"/>
      <c r="MUF116" s="182"/>
      <c r="MUG116" s="181"/>
      <c r="MUH116" s="182"/>
      <c r="MUI116" s="181"/>
      <c r="MUJ116" s="182"/>
      <c r="MUK116" s="181"/>
      <c r="MUL116" s="182"/>
      <c r="MUM116" s="181"/>
      <c r="MUN116" s="182"/>
      <c r="MUO116" s="181"/>
      <c r="MUP116" s="182"/>
      <c r="MUQ116" s="181"/>
      <c r="MUR116" s="182"/>
      <c r="MUS116" s="181"/>
      <c r="MUT116" s="182"/>
      <c r="MUU116" s="181"/>
      <c r="MUV116" s="182"/>
      <c r="MUW116" s="181"/>
      <c r="MUX116" s="182"/>
      <c r="MUY116" s="181"/>
      <c r="MUZ116" s="182"/>
      <c r="MVA116" s="181"/>
      <c r="MVB116" s="182"/>
      <c r="MVC116" s="181"/>
      <c r="MVD116" s="182"/>
      <c r="MVE116" s="181"/>
      <c r="MVF116" s="182"/>
      <c r="MVG116" s="181"/>
      <c r="MVH116" s="182"/>
      <c r="MVI116" s="181"/>
      <c r="MVJ116" s="182"/>
      <c r="MVK116" s="181"/>
      <c r="MVL116" s="182"/>
      <c r="MVM116" s="181"/>
      <c r="MVN116" s="182"/>
      <c r="MVO116" s="181"/>
      <c r="MVP116" s="182"/>
      <c r="MVQ116" s="181"/>
      <c r="MVR116" s="182"/>
      <c r="MVS116" s="181"/>
      <c r="MVT116" s="182"/>
      <c r="MVU116" s="181"/>
      <c r="MVV116" s="182"/>
      <c r="MVW116" s="181"/>
      <c r="MVX116" s="182"/>
      <c r="MVY116" s="181"/>
      <c r="MVZ116" s="182"/>
      <c r="MWA116" s="181"/>
      <c r="MWB116" s="182"/>
      <c r="MWC116" s="181"/>
      <c r="MWD116" s="182"/>
      <c r="MWE116" s="181"/>
      <c r="MWF116" s="182"/>
      <c r="MWG116" s="181"/>
      <c r="MWH116" s="182"/>
      <c r="MWI116" s="181"/>
      <c r="MWJ116" s="182"/>
      <c r="MWK116" s="181"/>
      <c r="MWL116" s="182"/>
      <c r="MWM116" s="181"/>
      <c r="MWN116" s="182"/>
      <c r="MWO116" s="181"/>
      <c r="MWP116" s="182"/>
      <c r="MWQ116" s="181"/>
      <c r="MWR116" s="182"/>
      <c r="MWS116" s="181"/>
      <c r="MWT116" s="182"/>
      <c r="MWU116" s="181"/>
      <c r="MWV116" s="182"/>
      <c r="MWW116" s="181"/>
      <c r="MWX116" s="182"/>
      <c r="MWY116" s="181"/>
      <c r="MWZ116" s="182"/>
      <c r="MXA116" s="181"/>
      <c r="MXB116" s="182"/>
      <c r="MXC116" s="181"/>
      <c r="MXD116" s="182"/>
      <c r="MXE116" s="181"/>
      <c r="MXF116" s="182"/>
      <c r="MXG116" s="181"/>
      <c r="MXH116" s="182"/>
      <c r="MXI116" s="181"/>
      <c r="MXJ116" s="182"/>
      <c r="MXK116" s="181"/>
      <c r="MXL116" s="182"/>
      <c r="MXM116" s="181"/>
      <c r="MXN116" s="182"/>
      <c r="MXO116" s="181"/>
      <c r="MXP116" s="182"/>
      <c r="MXQ116" s="181"/>
      <c r="MXR116" s="182"/>
      <c r="MXS116" s="181"/>
      <c r="MXT116" s="182"/>
      <c r="MXU116" s="181"/>
      <c r="MXV116" s="182"/>
      <c r="MXW116" s="181"/>
      <c r="MXX116" s="182"/>
      <c r="MXY116" s="181"/>
      <c r="MXZ116" s="182"/>
      <c r="MYA116" s="181"/>
      <c r="MYB116" s="182"/>
      <c r="MYC116" s="181"/>
      <c r="MYD116" s="182"/>
      <c r="MYE116" s="181"/>
      <c r="MYF116" s="182"/>
      <c r="MYG116" s="181"/>
      <c r="MYH116" s="182"/>
      <c r="MYI116" s="181"/>
      <c r="MYJ116" s="182"/>
      <c r="MYK116" s="181"/>
      <c r="MYL116" s="182"/>
      <c r="MYM116" s="181"/>
      <c r="MYN116" s="182"/>
      <c r="MYO116" s="181"/>
      <c r="MYP116" s="182"/>
      <c r="MYQ116" s="181"/>
      <c r="MYR116" s="182"/>
      <c r="MYS116" s="181"/>
      <c r="MYT116" s="182"/>
      <c r="MYU116" s="181"/>
      <c r="MYV116" s="182"/>
      <c r="MYW116" s="181"/>
      <c r="MYX116" s="182"/>
      <c r="MYY116" s="181"/>
      <c r="MYZ116" s="182"/>
      <c r="MZA116" s="181"/>
      <c r="MZB116" s="182"/>
      <c r="MZC116" s="181"/>
      <c r="MZD116" s="182"/>
      <c r="MZE116" s="181"/>
      <c r="MZF116" s="182"/>
      <c r="MZG116" s="181"/>
      <c r="MZH116" s="182"/>
      <c r="MZI116" s="181"/>
      <c r="MZJ116" s="182"/>
      <c r="MZK116" s="181"/>
      <c r="MZL116" s="182"/>
      <c r="MZM116" s="181"/>
      <c r="MZN116" s="182"/>
      <c r="MZO116" s="181"/>
      <c r="MZP116" s="182"/>
      <c r="MZQ116" s="181"/>
      <c r="MZR116" s="182"/>
      <c r="MZS116" s="181"/>
      <c r="MZT116" s="182"/>
      <c r="MZU116" s="181"/>
      <c r="MZV116" s="182"/>
      <c r="MZW116" s="181"/>
      <c r="MZX116" s="182"/>
      <c r="MZY116" s="181"/>
      <c r="MZZ116" s="182"/>
      <c r="NAA116" s="181"/>
      <c r="NAB116" s="182"/>
      <c r="NAC116" s="181"/>
      <c r="NAD116" s="182"/>
      <c r="NAE116" s="181"/>
      <c r="NAF116" s="182"/>
      <c r="NAG116" s="181"/>
      <c r="NAH116" s="182"/>
      <c r="NAI116" s="181"/>
      <c r="NAJ116" s="182"/>
      <c r="NAK116" s="181"/>
      <c r="NAL116" s="182"/>
      <c r="NAM116" s="181"/>
      <c r="NAN116" s="182"/>
      <c r="NAO116" s="181"/>
      <c r="NAP116" s="182"/>
      <c r="NAQ116" s="181"/>
      <c r="NAR116" s="182"/>
      <c r="NAS116" s="181"/>
      <c r="NAT116" s="182"/>
      <c r="NAU116" s="181"/>
      <c r="NAV116" s="182"/>
      <c r="NAW116" s="181"/>
      <c r="NAX116" s="182"/>
      <c r="NAY116" s="181"/>
      <c r="NAZ116" s="182"/>
      <c r="NBA116" s="181"/>
      <c r="NBB116" s="182"/>
      <c r="NBC116" s="181"/>
      <c r="NBD116" s="182"/>
      <c r="NBE116" s="181"/>
      <c r="NBF116" s="182"/>
      <c r="NBG116" s="181"/>
      <c r="NBH116" s="182"/>
      <c r="NBI116" s="181"/>
      <c r="NBJ116" s="182"/>
      <c r="NBK116" s="181"/>
      <c r="NBL116" s="182"/>
      <c r="NBM116" s="181"/>
      <c r="NBN116" s="182"/>
      <c r="NBO116" s="181"/>
      <c r="NBP116" s="182"/>
      <c r="NBQ116" s="181"/>
      <c r="NBR116" s="182"/>
      <c r="NBS116" s="181"/>
      <c r="NBT116" s="182"/>
      <c r="NBU116" s="181"/>
      <c r="NBV116" s="182"/>
      <c r="NBW116" s="181"/>
      <c r="NBX116" s="182"/>
      <c r="NBY116" s="181"/>
      <c r="NBZ116" s="182"/>
      <c r="NCA116" s="181"/>
      <c r="NCB116" s="182"/>
      <c r="NCC116" s="181"/>
      <c r="NCD116" s="182"/>
      <c r="NCE116" s="181"/>
      <c r="NCF116" s="182"/>
      <c r="NCG116" s="181"/>
      <c r="NCH116" s="182"/>
      <c r="NCI116" s="181"/>
      <c r="NCJ116" s="182"/>
      <c r="NCK116" s="181"/>
      <c r="NCL116" s="182"/>
      <c r="NCM116" s="181"/>
      <c r="NCN116" s="182"/>
      <c r="NCO116" s="181"/>
      <c r="NCP116" s="182"/>
      <c r="NCQ116" s="181"/>
      <c r="NCR116" s="182"/>
      <c r="NCS116" s="181"/>
      <c r="NCT116" s="182"/>
      <c r="NCU116" s="181"/>
      <c r="NCV116" s="182"/>
      <c r="NCW116" s="181"/>
      <c r="NCX116" s="182"/>
      <c r="NCY116" s="181"/>
      <c r="NCZ116" s="182"/>
      <c r="NDA116" s="181"/>
      <c r="NDB116" s="182"/>
      <c r="NDC116" s="181"/>
      <c r="NDD116" s="182"/>
      <c r="NDE116" s="181"/>
      <c r="NDF116" s="182"/>
      <c r="NDG116" s="181"/>
      <c r="NDH116" s="182"/>
      <c r="NDI116" s="181"/>
      <c r="NDJ116" s="182"/>
      <c r="NDK116" s="181"/>
      <c r="NDL116" s="182"/>
      <c r="NDM116" s="181"/>
      <c r="NDN116" s="182"/>
      <c r="NDO116" s="181"/>
      <c r="NDP116" s="182"/>
      <c r="NDQ116" s="181"/>
      <c r="NDR116" s="182"/>
      <c r="NDS116" s="181"/>
      <c r="NDT116" s="182"/>
      <c r="NDU116" s="181"/>
      <c r="NDV116" s="182"/>
      <c r="NDW116" s="181"/>
      <c r="NDX116" s="182"/>
      <c r="NDY116" s="181"/>
      <c r="NDZ116" s="182"/>
      <c r="NEA116" s="181"/>
      <c r="NEB116" s="182"/>
      <c r="NEC116" s="181"/>
      <c r="NED116" s="182"/>
      <c r="NEE116" s="181"/>
      <c r="NEF116" s="182"/>
      <c r="NEG116" s="181"/>
      <c r="NEH116" s="182"/>
      <c r="NEI116" s="181"/>
      <c r="NEJ116" s="182"/>
      <c r="NEK116" s="181"/>
      <c r="NEL116" s="182"/>
      <c r="NEM116" s="181"/>
      <c r="NEN116" s="182"/>
      <c r="NEO116" s="181"/>
      <c r="NEP116" s="182"/>
      <c r="NEQ116" s="181"/>
      <c r="NER116" s="182"/>
      <c r="NES116" s="181"/>
      <c r="NET116" s="182"/>
      <c r="NEU116" s="181"/>
      <c r="NEV116" s="182"/>
      <c r="NEW116" s="181"/>
      <c r="NEX116" s="182"/>
      <c r="NEY116" s="181"/>
      <c r="NEZ116" s="182"/>
      <c r="NFA116" s="181"/>
      <c r="NFB116" s="182"/>
      <c r="NFC116" s="181"/>
      <c r="NFD116" s="182"/>
      <c r="NFE116" s="181"/>
      <c r="NFF116" s="182"/>
      <c r="NFG116" s="181"/>
      <c r="NFH116" s="182"/>
      <c r="NFI116" s="181"/>
      <c r="NFJ116" s="182"/>
      <c r="NFK116" s="181"/>
      <c r="NFL116" s="182"/>
      <c r="NFM116" s="181"/>
      <c r="NFN116" s="182"/>
      <c r="NFO116" s="181"/>
      <c r="NFP116" s="182"/>
      <c r="NFQ116" s="181"/>
      <c r="NFR116" s="182"/>
      <c r="NFS116" s="181"/>
      <c r="NFT116" s="182"/>
      <c r="NFU116" s="181"/>
      <c r="NFV116" s="182"/>
      <c r="NFW116" s="181"/>
      <c r="NFX116" s="182"/>
      <c r="NFY116" s="181"/>
      <c r="NFZ116" s="182"/>
      <c r="NGA116" s="181"/>
      <c r="NGB116" s="182"/>
      <c r="NGC116" s="181"/>
      <c r="NGD116" s="182"/>
      <c r="NGE116" s="181"/>
      <c r="NGF116" s="182"/>
      <c r="NGG116" s="181"/>
      <c r="NGH116" s="182"/>
      <c r="NGI116" s="181"/>
      <c r="NGJ116" s="182"/>
      <c r="NGK116" s="181"/>
      <c r="NGL116" s="182"/>
      <c r="NGM116" s="181"/>
      <c r="NGN116" s="182"/>
      <c r="NGO116" s="181"/>
      <c r="NGP116" s="182"/>
      <c r="NGQ116" s="181"/>
      <c r="NGR116" s="182"/>
      <c r="NGS116" s="181"/>
      <c r="NGT116" s="182"/>
      <c r="NGU116" s="181"/>
      <c r="NGV116" s="182"/>
      <c r="NGW116" s="181"/>
      <c r="NGX116" s="182"/>
      <c r="NGY116" s="181"/>
      <c r="NGZ116" s="182"/>
      <c r="NHA116" s="181"/>
      <c r="NHB116" s="182"/>
      <c r="NHC116" s="181"/>
      <c r="NHD116" s="182"/>
      <c r="NHE116" s="181"/>
      <c r="NHF116" s="182"/>
      <c r="NHG116" s="181"/>
      <c r="NHH116" s="182"/>
      <c r="NHI116" s="181"/>
      <c r="NHJ116" s="182"/>
      <c r="NHK116" s="181"/>
      <c r="NHL116" s="182"/>
      <c r="NHM116" s="181"/>
      <c r="NHN116" s="182"/>
      <c r="NHO116" s="181"/>
      <c r="NHP116" s="182"/>
      <c r="NHQ116" s="181"/>
      <c r="NHR116" s="182"/>
      <c r="NHS116" s="181"/>
      <c r="NHT116" s="182"/>
      <c r="NHU116" s="181"/>
      <c r="NHV116" s="182"/>
      <c r="NHW116" s="181"/>
      <c r="NHX116" s="182"/>
      <c r="NHY116" s="181"/>
      <c r="NHZ116" s="182"/>
      <c r="NIA116" s="181"/>
      <c r="NIB116" s="182"/>
      <c r="NIC116" s="181"/>
      <c r="NID116" s="182"/>
      <c r="NIE116" s="181"/>
      <c r="NIF116" s="182"/>
      <c r="NIG116" s="181"/>
      <c r="NIH116" s="182"/>
      <c r="NII116" s="181"/>
      <c r="NIJ116" s="182"/>
      <c r="NIK116" s="181"/>
      <c r="NIL116" s="182"/>
      <c r="NIM116" s="181"/>
      <c r="NIN116" s="182"/>
      <c r="NIO116" s="181"/>
      <c r="NIP116" s="182"/>
      <c r="NIQ116" s="181"/>
      <c r="NIR116" s="182"/>
      <c r="NIS116" s="181"/>
      <c r="NIT116" s="182"/>
      <c r="NIU116" s="181"/>
      <c r="NIV116" s="182"/>
      <c r="NIW116" s="181"/>
      <c r="NIX116" s="182"/>
      <c r="NIY116" s="181"/>
      <c r="NIZ116" s="182"/>
      <c r="NJA116" s="181"/>
      <c r="NJB116" s="182"/>
      <c r="NJC116" s="181"/>
      <c r="NJD116" s="182"/>
      <c r="NJE116" s="181"/>
      <c r="NJF116" s="182"/>
      <c r="NJG116" s="181"/>
      <c r="NJH116" s="182"/>
      <c r="NJI116" s="181"/>
      <c r="NJJ116" s="182"/>
      <c r="NJK116" s="181"/>
      <c r="NJL116" s="182"/>
      <c r="NJM116" s="181"/>
      <c r="NJN116" s="182"/>
      <c r="NJO116" s="181"/>
      <c r="NJP116" s="182"/>
      <c r="NJQ116" s="181"/>
      <c r="NJR116" s="182"/>
      <c r="NJS116" s="181"/>
      <c r="NJT116" s="182"/>
      <c r="NJU116" s="181"/>
      <c r="NJV116" s="182"/>
      <c r="NJW116" s="181"/>
      <c r="NJX116" s="182"/>
      <c r="NJY116" s="181"/>
      <c r="NJZ116" s="182"/>
      <c r="NKA116" s="181"/>
      <c r="NKB116" s="182"/>
      <c r="NKC116" s="181"/>
      <c r="NKD116" s="182"/>
      <c r="NKE116" s="181"/>
      <c r="NKF116" s="182"/>
      <c r="NKG116" s="181"/>
      <c r="NKH116" s="182"/>
      <c r="NKI116" s="181"/>
      <c r="NKJ116" s="182"/>
      <c r="NKK116" s="181"/>
      <c r="NKL116" s="182"/>
      <c r="NKM116" s="181"/>
      <c r="NKN116" s="182"/>
      <c r="NKO116" s="181"/>
      <c r="NKP116" s="182"/>
      <c r="NKQ116" s="181"/>
      <c r="NKR116" s="182"/>
      <c r="NKS116" s="181"/>
      <c r="NKT116" s="182"/>
      <c r="NKU116" s="181"/>
      <c r="NKV116" s="182"/>
      <c r="NKW116" s="181"/>
      <c r="NKX116" s="182"/>
      <c r="NKY116" s="181"/>
      <c r="NKZ116" s="182"/>
      <c r="NLA116" s="181"/>
      <c r="NLB116" s="182"/>
      <c r="NLC116" s="181"/>
      <c r="NLD116" s="182"/>
      <c r="NLE116" s="181"/>
      <c r="NLF116" s="182"/>
      <c r="NLG116" s="181"/>
      <c r="NLH116" s="182"/>
      <c r="NLI116" s="181"/>
      <c r="NLJ116" s="182"/>
      <c r="NLK116" s="181"/>
      <c r="NLL116" s="182"/>
      <c r="NLM116" s="181"/>
      <c r="NLN116" s="182"/>
      <c r="NLO116" s="181"/>
      <c r="NLP116" s="182"/>
      <c r="NLQ116" s="181"/>
      <c r="NLR116" s="182"/>
      <c r="NLS116" s="181"/>
      <c r="NLT116" s="182"/>
      <c r="NLU116" s="181"/>
      <c r="NLV116" s="182"/>
      <c r="NLW116" s="181"/>
      <c r="NLX116" s="182"/>
      <c r="NLY116" s="181"/>
      <c r="NLZ116" s="182"/>
      <c r="NMA116" s="181"/>
      <c r="NMB116" s="182"/>
      <c r="NMC116" s="181"/>
      <c r="NMD116" s="182"/>
      <c r="NME116" s="181"/>
      <c r="NMF116" s="182"/>
      <c r="NMG116" s="181"/>
      <c r="NMH116" s="182"/>
      <c r="NMI116" s="181"/>
      <c r="NMJ116" s="182"/>
      <c r="NMK116" s="181"/>
      <c r="NML116" s="182"/>
      <c r="NMM116" s="181"/>
      <c r="NMN116" s="182"/>
      <c r="NMO116" s="181"/>
      <c r="NMP116" s="182"/>
      <c r="NMQ116" s="181"/>
      <c r="NMR116" s="182"/>
      <c r="NMS116" s="181"/>
      <c r="NMT116" s="182"/>
      <c r="NMU116" s="181"/>
      <c r="NMV116" s="182"/>
      <c r="NMW116" s="181"/>
      <c r="NMX116" s="182"/>
      <c r="NMY116" s="181"/>
      <c r="NMZ116" s="182"/>
      <c r="NNA116" s="181"/>
      <c r="NNB116" s="182"/>
      <c r="NNC116" s="181"/>
      <c r="NND116" s="182"/>
      <c r="NNE116" s="181"/>
      <c r="NNF116" s="182"/>
      <c r="NNG116" s="181"/>
      <c r="NNH116" s="182"/>
      <c r="NNI116" s="181"/>
      <c r="NNJ116" s="182"/>
      <c r="NNK116" s="181"/>
      <c r="NNL116" s="182"/>
      <c r="NNM116" s="181"/>
      <c r="NNN116" s="182"/>
      <c r="NNO116" s="181"/>
      <c r="NNP116" s="182"/>
      <c r="NNQ116" s="181"/>
      <c r="NNR116" s="182"/>
      <c r="NNS116" s="181"/>
      <c r="NNT116" s="182"/>
      <c r="NNU116" s="181"/>
      <c r="NNV116" s="182"/>
      <c r="NNW116" s="181"/>
      <c r="NNX116" s="182"/>
      <c r="NNY116" s="181"/>
      <c r="NNZ116" s="182"/>
      <c r="NOA116" s="181"/>
      <c r="NOB116" s="182"/>
      <c r="NOC116" s="181"/>
      <c r="NOD116" s="182"/>
      <c r="NOE116" s="181"/>
      <c r="NOF116" s="182"/>
      <c r="NOG116" s="181"/>
      <c r="NOH116" s="182"/>
      <c r="NOI116" s="181"/>
      <c r="NOJ116" s="182"/>
      <c r="NOK116" s="181"/>
      <c r="NOL116" s="182"/>
      <c r="NOM116" s="181"/>
      <c r="NON116" s="182"/>
      <c r="NOO116" s="181"/>
      <c r="NOP116" s="182"/>
      <c r="NOQ116" s="181"/>
      <c r="NOR116" s="182"/>
      <c r="NOS116" s="181"/>
      <c r="NOT116" s="182"/>
      <c r="NOU116" s="181"/>
      <c r="NOV116" s="182"/>
      <c r="NOW116" s="181"/>
      <c r="NOX116" s="182"/>
      <c r="NOY116" s="181"/>
      <c r="NOZ116" s="182"/>
      <c r="NPA116" s="181"/>
      <c r="NPB116" s="182"/>
      <c r="NPC116" s="181"/>
      <c r="NPD116" s="182"/>
      <c r="NPE116" s="181"/>
      <c r="NPF116" s="182"/>
      <c r="NPG116" s="181"/>
      <c r="NPH116" s="182"/>
      <c r="NPI116" s="181"/>
      <c r="NPJ116" s="182"/>
      <c r="NPK116" s="181"/>
      <c r="NPL116" s="182"/>
      <c r="NPM116" s="181"/>
      <c r="NPN116" s="182"/>
      <c r="NPO116" s="181"/>
      <c r="NPP116" s="182"/>
      <c r="NPQ116" s="181"/>
      <c r="NPR116" s="182"/>
      <c r="NPS116" s="181"/>
      <c r="NPT116" s="182"/>
      <c r="NPU116" s="181"/>
      <c r="NPV116" s="182"/>
      <c r="NPW116" s="181"/>
      <c r="NPX116" s="182"/>
      <c r="NPY116" s="181"/>
      <c r="NPZ116" s="182"/>
      <c r="NQA116" s="181"/>
      <c r="NQB116" s="182"/>
      <c r="NQC116" s="181"/>
      <c r="NQD116" s="182"/>
      <c r="NQE116" s="181"/>
      <c r="NQF116" s="182"/>
      <c r="NQG116" s="181"/>
      <c r="NQH116" s="182"/>
      <c r="NQI116" s="181"/>
      <c r="NQJ116" s="182"/>
      <c r="NQK116" s="181"/>
      <c r="NQL116" s="182"/>
      <c r="NQM116" s="181"/>
      <c r="NQN116" s="182"/>
      <c r="NQO116" s="181"/>
      <c r="NQP116" s="182"/>
      <c r="NQQ116" s="181"/>
      <c r="NQR116" s="182"/>
      <c r="NQS116" s="181"/>
      <c r="NQT116" s="182"/>
      <c r="NQU116" s="181"/>
      <c r="NQV116" s="182"/>
      <c r="NQW116" s="181"/>
      <c r="NQX116" s="182"/>
      <c r="NQY116" s="181"/>
      <c r="NQZ116" s="182"/>
      <c r="NRA116" s="181"/>
      <c r="NRB116" s="182"/>
      <c r="NRC116" s="181"/>
      <c r="NRD116" s="182"/>
      <c r="NRE116" s="181"/>
      <c r="NRF116" s="182"/>
      <c r="NRG116" s="181"/>
      <c r="NRH116" s="182"/>
      <c r="NRI116" s="181"/>
      <c r="NRJ116" s="182"/>
      <c r="NRK116" s="181"/>
      <c r="NRL116" s="182"/>
      <c r="NRM116" s="181"/>
      <c r="NRN116" s="182"/>
      <c r="NRO116" s="181"/>
      <c r="NRP116" s="182"/>
      <c r="NRQ116" s="181"/>
      <c r="NRR116" s="182"/>
      <c r="NRS116" s="181"/>
      <c r="NRT116" s="182"/>
      <c r="NRU116" s="181"/>
      <c r="NRV116" s="182"/>
      <c r="NRW116" s="181"/>
      <c r="NRX116" s="182"/>
      <c r="NRY116" s="181"/>
      <c r="NRZ116" s="182"/>
      <c r="NSA116" s="181"/>
      <c r="NSB116" s="182"/>
      <c r="NSC116" s="181"/>
      <c r="NSD116" s="182"/>
      <c r="NSE116" s="181"/>
      <c r="NSF116" s="182"/>
      <c r="NSG116" s="181"/>
      <c r="NSH116" s="182"/>
      <c r="NSI116" s="181"/>
      <c r="NSJ116" s="182"/>
      <c r="NSK116" s="181"/>
      <c r="NSL116" s="182"/>
      <c r="NSM116" s="181"/>
      <c r="NSN116" s="182"/>
      <c r="NSO116" s="181"/>
      <c r="NSP116" s="182"/>
      <c r="NSQ116" s="181"/>
      <c r="NSR116" s="182"/>
      <c r="NSS116" s="181"/>
      <c r="NST116" s="182"/>
      <c r="NSU116" s="181"/>
      <c r="NSV116" s="182"/>
      <c r="NSW116" s="181"/>
      <c r="NSX116" s="182"/>
      <c r="NSY116" s="181"/>
      <c r="NSZ116" s="182"/>
      <c r="NTA116" s="181"/>
      <c r="NTB116" s="182"/>
      <c r="NTC116" s="181"/>
      <c r="NTD116" s="182"/>
      <c r="NTE116" s="181"/>
      <c r="NTF116" s="182"/>
      <c r="NTG116" s="181"/>
      <c r="NTH116" s="182"/>
      <c r="NTI116" s="181"/>
      <c r="NTJ116" s="182"/>
      <c r="NTK116" s="181"/>
      <c r="NTL116" s="182"/>
      <c r="NTM116" s="181"/>
      <c r="NTN116" s="182"/>
      <c r="NTO116" s="181"/>
      <c r="NTP116" s="182"/>
      <c r="NTQ116" s="181"/>
      <c r="NTR116" s="182"/>
      <c r="NTS116" s="181"/>
      <c r="NTT116" s="182"/>
      <c r="NTU116" s="181"/>
      <c r="NTV116" s="182"/>
      <c r="NTW116" s="181"/>
      <c r="NTX116" s="182"/>
      <c r="NTY116" s="181"/>
      <c r="NTZ116" s="182"/>
      <c r="NUA116" s="181"/>
      <c r="NUB116" s="182"/>
      <c r="NUC116" s="181"/>
      <c r="NUD116" s="182"/>
      <c r="NUE116" s="181"/>
      <c r="NUF116" s="182"/>
      <c r="NUG116" s="181"/>
      <c r="NUH116" s="182"/>
      <c r="NUI116" s="181"/>
      <c r="NUJ116" s="182"/>
      <c r="NUK116" s="181"/>
      <c r="NUL116" s="182"/>
      <c r="NUM116" s="181"/>
      <c r="NUN116" s="182"/>
      <c r="NUO116" s="181"/>
      <c r="NUP116" s="182"/>
      <c r="NUQ116" s="181"/>
      <c r="NUR116" s="182"/>
      <c r="NUS116" s="181"/>
      <c r="NUT116" s="182"/>
      <c r="NUU116" s="181"/>
      <c r="NUV116" s="182"/>
      <c r="NUW116" s="181"/>
      <c r="NUX116" s="182"/>
      <c r="NUY116" s="181"/>
      <c r="NUZ116" s="182"/>
      <c r="NVA116" s="181"/>
      <c r="NVB116" s="182"/>
      <c r="NVC116" s="181"/>
      <c r="NVD116" s="182"/>
      <c r="NVE116" s="181"/>
      <c r="NVF116" s="182"/>
      <c r="NVG116" s="181"/>
      <c r="NVH116" s="182"/>
      <c r="NVI116" s="181"/>
      <c r="NVJ116" s="182"/>
      <c r="NVK116" s="181"/>
      <c r="NVL116" s="182"/>
      <c r="NVM116" s="181"/>
      <c r="NVN116" s="182"/>
      <c r="NVO116" s="181"/>
      <c r="NVP116" s="182"/>
      <c r="NVQ116" s="181"/>
      <c r="NVR116" s="182"/>
      <c r="NVS116" s="181"/>
      <c r="NVT116" s="182"/>
      <c r="NVU116" s="181"/>
      <c r="NVV116" s="182"/>
      <c r="NVW116" s="181"/>
      <c r="NVX116" s="182"/>
      <c r="NVY116" s="181"/>
      <c r="NVZ116" s="182"/>
      <c r="NWA116" s="181"/>
      <c r="NWB116" s="182"/>
      <c r="NWC116" s="181"/>
      <c r="NWD116" s="182"/>
      <c r="NWE116" s="181"/>
      <c r="NWF116" s="182"/>
      <c r="NWG116" s="181"/>
      <c r="NWH116" s="182"/>
      <c r="NWI116" s="181"/>
      <c r="NWJ116" s="182"/>
      <c r="NWK116" s="181"/>
      <c r="NWL116" s="182"/>
      <c r="NWM116" s="181"/>
      <c r="NWN116" s="182"/>
      <c r="NWO116" s="181"/>
      <c r="NWP116" s="182"/>
      <c r="NWQ116" s="181"/>
      <c r="NWR116" s="182"/>
      <c r="NWS116" s="181"/>
      <c r="NWT116" s="182"/>
      <c r="NWU116" s="181"/>
      <c r="NWV116" s="182"/>
      <c r="NWW116" s="181"/>
      <c r="NWX116" s="182"/>
      <c r="NWY116" s="181"/>
      <c r="NWZ116" s="182"/>
      <c r="NXA116" s="181"/>
      <c r="NXB116" s="182"/>
      <c r="NXC116" s="181"/>
      <c r="NXD116" s="182"/>
      <c r="NXE116" s="181"/>
      <c r="NXF116" s="182"/>
      <c r="NXG116" s="181"/>
      <c r="NXH116" s="182"/>
      <c r="NXI116" s="181"/>
      <c r="NXJ116" s="182"/>
      <c r="NXK116" s="181"/>
      <c r="NXL116" s="182"/>
      <c r="NXM116" s="181"/>
      <c r="NXN116" s="182"/>
      <c r="NXO116" s="181"/>
      <c r="NXP116" s="182"/>
      <c r="NXQ116" s="181"/>
      <c r="NXR116" s="182"/>
      <c r="NXS116" s="181"/>
      <c r="NXT116" s="182"/>
      <c r="NXU116" s="181"/>
      <c r="NXV116" s="182"/>
      <c r="NXW116" s="181"/>
      <c r="NXX116" s="182"/>
      <c r="NXY116" s="181"/>
      <c r="NXZ116" s="182"/>
      <c r="NYA116" s="181"/>
      <c r="NYB116" s="182"/>
      <c r="NYC116" s="181"/>
      <c r="NYD116" s="182"/>
      <c r="NYE116" s="181"/>
      <c r="NYF116" s="182"/>
      <c r="NYG116" s="181"/>
      <c r="NYH116" s="182"/>
      <c r="NYI116" s="181"/>
      <c r="NYJ116" s="182"/>
      <c r="NYK116" s="181"/>
      <c r="NYL116" s="182"/>
      <c r="NYM116" s="181"/>
      <c r="NYN116" s="182"/>
      <c r="NYO116" s="181"/>
      <c r="NYP116" s="182"/>
      <c r="NYQ116" s="181"/>
      <c r="NYR116" s="182"/>
      <c r="NYS116" s="181"/>
      <c r="NYT116" s="182"/>
      <c r="NYU116" s="181"/>
      <c r="NYV116" s="182"/>
      <c r="NYW116" s="181"/>
      <c r="NYX116" s="182"/>
      <c r="NYY116" s="181"/>
      <c r="NYZ116" s="182"/>
      <c r="NZA116" s="181"/>
      <c r="NZB116" s="182"/>
      <c r="NZC116" s="181"/>
      <c r="NZD116" s="182"/>
      <c r="NZE116" s="181"/>
      <c r="NZF116" s="182"/>
      <c r="NZG116" s="181"/>
      <c r="NZH116" s="182"/>
      <c r="NZI116" s="181"/>
      <c r="NZJ116" s="182"/>
      <c r="NZK116" s="181"/>
      <c r="NZL116" s="182"/>
      <c r="NZM116" s="181"/>
      <c r="NZN116" s="182"/>
      <c r="NZO116" s="181"/>
      <c r="NZP116" s="182"/>
      <c r="NZQ116" s="181"/>
      <c r="NZR116" s="182"/>
      <c r="NZS116" s="181"/>
      <c r="NZT116" s="182"/>
      <c r="NZU116" s="181"/>
      <c r="NZV116" s="182"/>
      <c r="NZW116" s="181"/>
      <c r="NZX116" s="182"/>
      <c r="NZY116" s="181"/>
      <c r="NZZ116" s="182"/>
      <c r="OAA116" s="181"/>
      <c r="OAB116" s="182"/>
      <c r="OAC116" s="181"/>
      <c r="OAD116" s="182"/>
      <c r="OAE116" s="181"/>
      <c r="OAF116" s="182"/>
      <c r="OAG116" s="181"/>
      <c r="OAH116" s="182"/>
      <c r="OAI116" s="181"/>
      <c r="OAJ116" s="182"/>
      <c r="OAK116" s="181"/>
      <c r="OAL116" s="182"/>
      <c r="OAM116" s="181"/>
      <c r="OAN116" s="182"/>
      <c r="OAO116" s="181"/>
      <c r="OAP116" s="182"/>
      <c r="OAQ116" s="181"/>
      <c r="OAR116" s="182"/>
      <c r="OAS116" s="181"/>
      <c r="OAT116" s="182"/>
      <c r="OAU116" s="181"/>
      <c r="OAV116" s="182"/>
      <c r="OAW116" s="181"/>
      <c r="OAX116" s="182"/>
      <c r="OAY116" s="181"/>
      <c r="OAZ116" s="182"/>
      <c r="OBA116" s="181"/>
      <c r="OBB116" s="182"/>
      <c r="OBC116" s="181"/>
      <c r="OBD116" s="182"/>
      <c r="OBE116" s="181"/>
      <c r="OBF116" s="182"/>
      <c r="OBG116" s="181"/>
      <c r="OBH116" s="182"/>
      <c r="OBI116" s="181"/>
      <c r="OBJ116" s="182"/>
      <c r="OBK116" s="181"/>
      <c r="OBL116" s="182"/>
      <c r="OBM116" s="181"/>
      <c r="OBN116" s="182"/>
      <c r="OBO116" s="181"/>
      <c r="OBP116" s="182"/>
      <c r="OBQ116" s="181"/>
      <c r="OBR116" s="182"/>
      <c r="OBS116" s="181"/>
      <c r="OBT116" s="182"/>
      <c r="OBU116" s="181"/>
      <c r="OBV116" s="182"/>
      <c r="OBW116" s="181"/>
      <c r="OBX116" s="182"/>
      <c r="OBY116" s="181"/>
      <c r="OBZ116" s="182"/>
      <c r="OCA116" s="181"/>
      <c r="OCB116" s="182"/>
      <c r="OCC116" s="181"/>
      <c r="OCD116" s="182"/>
      <c r="OCE116" s="181"/>
      <c r="OCF116" s="182"/>
      <c r="OCG116" s="181"/>
      <c r="OCH116" s="182"/>
      <c r="OCI116" s="181"/>
      <c r="OCJ116" s="182"/>
      <c r="OCK116" s="181"/>
      <c r="OCL116" s="182"/>
      <c r="OCM116" s="181"/>
      <c r="OCN116" s="182"/>
      <c r="OCO116" s="181"/>
      <c r="OCP116" s="182"/>
      <c r="OCQ116" s="181"/>
      <c r="OCR116" s="182"/>
      <c r="OCS116" s="181"/>
      <c r="OCT116" s="182"/>
      <c r="OCU116" s="181"/>
      <c r="OCV116" s="182"/>
      <c r="OCW116" s="181"/>
      <c r="OCX116" s="182"/>
      <c r="OCY116" s="181"/>
      <c r="OCZ116" s="182"/>
      <c r="ODA116" s="181"/>
      <c r="ODB116" s="182"/>
      <c r="ODC116" s="181"/>
      <c r="ODD116" s="182"/>
      <c r="ODE116" s="181"/>
      <c r="ODF116" s="182"/>
      <c r="ODG116" s="181"/>
      <c r="ODH116" s="182"/>
      <c r="ODI116" s="181"/>
      <c r="ODJ116" s="182"/>
      <c r="ODK116" s="181"/>
      <c r="ODL116" s="182"/>
      <c r="ODM116" s="181"/>
      <c r="ODN116" s="182"/>
      <c r="ODO116" s="181"/>
      <c r="ODP116" s="182"/>
      <c r="ODQ116" s="181"/>
      <c r="ODR116" s="182"/>
      <c r="ODS116" s="181"/>
      <c r="ODT116" s="182"/>
      <c r="ODU116" s="181"/>
      <c r="ODV116" s="182"/>
      <c r="ODW116" s="181"/>
      <c r="ODX116" s="182"/>
      <c r="ODY116" s="181"/>
      <c r="ODZ116" s="182"/>
      <c r="OEA116" s="181"/>
      <c r="OEB116" s="182"/>
      <c r="OEC116" s="181"/>
      <c r="OED116" s="182"/>
      <c r="OEE116" s="181"/>
      <c r="OEF116" s="182"/>
      <c r="OEG116" s="181"/>
      <c r="OEH116" s="182"/>
      <c r="OEI116" s="181"/>
      <c r="OEJ116" s="182"/>
      <c r="OEK116" s="181"/>
      <c r="OEL116" s="182"/>
      <c r="OEM116" s="181"/>
      <c r="OEN116" s="182"/>
      <c r="OEO116" s="181"/>
      <c r="OEP116" s="182"/>
      <c r="OEQ116" s="181"/>
      <c r="OER116" s="182"/>
      <c r="OES116" s="181"/>
      <c r="OET116" s="182"/>
      <c r="OEU116" s="181"/>
      <c r="OEV116" s="182"/>
      <c r="OEW116" s="181"/>
      <c r="OEX116" s="182"/>
      <c r="OEY116" s="181"/>
      <c r="OEZ116" s="182"/>
      <c r="OFA116" s="181"/>
      <c r="OFB116" s="182"/>
      <c r="OFC116" s="181"/>
      <c r="OFD116" s="182"/>
      <c r="OFE116" s="181"/>
      <c r="OFF116" s="182"/>
      <c r="OFG116" s="181"/>
      <c r="OFH116" s="182"/>
      <c r="OFI116" s="181"/>
      <c r="OFJ116" s="182"/>
      <c r="OFK116" s="181"/>
      <c r="OFL116" s="182"/>
      <c r="OFM116" s="181"/>
      <c r="OFN116" s="182"/>
      <c r="OFO116" s="181"/>
      <c r="OFP116" s="182"/>
      <c r="OFQ116" s="181"/>
      <c r="OFR116" s="182"/>
      <c r="OFS116" s="181"/>
      <c r="OFT116" s="182"/>
      <c r="OFU116" s="181"/>
      <c r="OFV116" s="182"/>
      <c r="OFW116" s="181"/>
      <c r="OFX116" s="182"/>
      <c r="OFY116" s="181"/>
      <c r="OFZ116" s="182"/>
      <c r="OGA116" s="181"/>
      <c r="OGB116" s="182"/>
      <c r="OGC116" s="181"/>
      <c r="OGD116" s="182"/>
      <c r="OGE116" s="181"/>
      <c r="OGF116" s="182"/>
      <c r="OGG116" s="181"/>
      <c r="OGH116" s="182"/>
      <c r="OGI116" s="181"/>
      <c r="OGJ116" s="182"/>
      <c r="OGK116" s="181"/>
      <c r="OGL116" s="182"/>
      <c r="OGM116" s="181"/>
      <c r="OGN116" s="182"/>
      <c r="OGO116" s="181"/>
      <c r="OGP116" s="182"/>
      <c r="OGQ116" s="181"/>
      <c r="OGR116" s="182"/>
      <c r="OGS116" s="181"/>
      <c r="OGT116" s="182"/>
      <c r="OGU116" s="181"/>
      <c r="OGV116" s="182"/>
      <c r="OGW116" s="181"/>
      <c r="OGX116" s="182"/>
      <c r="OGY116" s="181"/>
      <c r="OGZ116" s="182"/>
      <c r="OHA116" s="181"/>
      <c r="OHB116" s="182"/>
      <c r="OHC116" s="181"/>
      <c r="OHD116" s="182"/>
      <c r="OHE116" s="181"/>
      <c r="OHF116" s="182"/>
      <c r="OHG116" s="181"/>
      <c r="OHH116" s="182"/>
      <c r="OHI116" s="181"/>
      <c r="OHJ116" s="182"/>
      <c r="OHK116" s="181"/>
      <c r="OHL116" s="182"/>
      <c r="OHM116" s="181"/>
      <c r="OHN116" s="182"/>
      <c r="OHO116" s="181"/>
      <c r="OHP116" s="182"/>
      <c r="OHQ116" s="181"/>
      <c r="OHR116" s="182"/>
      <c r="OHS116" s="181"/>
      <c r="OHT116" s="182"/>
      <c r="OHU116" s="181"/>
      <c r="OHV116" s="182"/>
      <c r="OHW116" s="181"/>
      <c r="OHX116" s="182"/>
      <c r="OHY116" s="181"/>
      <c r="OHZ116" s="182"/>
      <c r="OIA116" s="181"/>
      <c r="OIB116" s="182"/>
      <c r="OIC116" s="181"/>
      <c r="OID116" s="182"/>
      <c r="OIE116" s="181"/>
      <c r="OIF116" s="182"/>
      <c r="OIG116" s="181"/>
      <c r="OIH116" s="182"/>
      <c r="OII116" s="181"/>
      <c r="OIJ116" s="182"/>
      <c r="OIK116" s="181"/>
      <c r="OIL116" s="182"/>
      <c r="OIM116" s="181"/>
      <c r="OIN116" s="182"/>
      <c r="OIO116" s="181"/>
      <c r="OIP116" s="182"/>
      <c r="OIQ116" s="181"/>
      <c r="OIR116" s="182"/>
      <c r="OIS116" s="181"/>
      <c r="OIT116" s="182"/>
      <c r="OIU116" s="181"/>
      <c r="OIV116" s="182"/>
      <c r="OIW116" s="181"/>
      <c r="OIX116" s="182"/>
      <c r="OIY116" s="181"/>
      <c r="OIZ116" s="182"/>
      <c r="OJA116" s="181"/>
      <c r="OJB116" s="182"/>
      <c r="OJC116" s="181"/>
      <c r="OJD116" s="182"/>
      <c r="OJE116" s="181"/>
      <c r="OJF116" s="182"/>
      <c r="OJG116" s="181"/>
      <c r="OJH116" s="182"/>
      <c r="OJI116" s="181"/>
      <c r="OJJ116" s="182"/>
      <c r="OJK116" s="181"/>
      <c r="OJL116" s="182"/>
      <c r="OJM116" s="181"/>
      <c r="OJN116" s="182"/>
      <c r="OJO116" s="181"/>
      <c r="OJP116" s="182"/>
      <c r="OJQ116" s="181"/>
      <c r="OJR116" s="182"/>
      <c r="OJS116" s="181"/>
      <c r="OJT116" s="182"/>
      <c r="OJU116" s="181"/>
      <c r="OJV116" s="182"/>
      <c r="OJW116" s="181"/>
      <c r="OJX116" s="182"/>
      <c r="OJY116" s="181"/>
      <c r="OJZ116" s="182"/>
      <c r="OKA116" s="181"/>
      <c r="OKB116" s="182"/>
      <c r="OKC116" s="181"/>
      <c r="OKD116" s="182"/>
      <c r="OKE116" s="181"/>
      <c r="OKF116" s="182"/>
      <c r="OKG116" s="181"/>
      <c r="OKH116" s="182"/>
      <c r="OKI116" s="181"/>
      <c r="OKJ116" s="182"/>
      <c r="OKK116" s="181"/>
      <c r="OKL116" s="182"/>
      <c r="OKM116" s="181"/>
      <c r="OKN116" s="182"/>
      <c r="OKO116" s="181"/>
      <c r="OKP116" s="182"/>
      <c r="OKQ116" s="181"/>
      <c r="OKR116" s="182"/>
      <c r="OKS116" s="181"/>
      <c r="OKT116" s="182"/>
      <c r="OKU116" s="181"/>
      <c r="OKV116" s="182"/>
      <c r="OKW116" s="181"/>
      <c r="OKX116" s="182"/>
      <c r="OKY116" s="181"/>
      <c r="OKZ116" s="182"/>
      <c r="OLA116" s="181"/>
      <c r="OLB116" s="182"/>
      <c r="OLC116" s="181"/>
      <c r="OLD116" s="182"/>
      <c r="OLE116" s="181"/>
      <c r="OLF116" s="182"/>
      <c r="OLG116" s="181"/>
      <c r="OLH116" s="182"/>
      <c r="OLI116" s="181"/>
      <c r="OLJ116" s="182"/>
      <c r="OLK116" s="181"/>
      <c r="OLL116" s="182"/>
      <c r="OLM116" s="181"/>
      <c r="OLN116" s="182"/>
      <c r="OLO116" s="181"/>
      <c r="OLP116" s="182"/>
      <c r="OLQ116" s="181"/>
      <c r="OLR116" s="182"/>
      <c r="OLS116" s="181"/>
      <c r="OLT116" s="182"/>
      <c r="OLU116" s="181"/>
      <c r="OLV116" s="182"/>
      <c r="OLW116" s="181"/>
      <c r="OLX116" s="182"/>
      <c r="OLY116" s="181"/>
      <c r="OLZ116" s="182"/>
      <c r="OMA116" s="181"/>
      <c r="OMB116" s="182"/>
      <c r="OMC116" s="181"/>
      <c r="OMD116" s="182"/>
      <c r="OME116" s="181"/>
      <c r="OMF116" s="182"/>
      <c r="OMG116" s="181"/>
      <c r="OMH116" s="182"/>
      <c r="OMI116" s="181"/>
      <c r="OMJ116" s="182"/>
      <c r="OMK116" s="181"/>
      <c r="OML116" s="182"/>
      <c r="OMM116" s="181"/>
      <c r="OMN116" s="182"/>
      <c r="OMO116" s="181"/>
      <c r="OMP116" s="182"/>
      <c r="OMQ116" s="181"/>
      <c r="OMR116" s="182"/>
      <c r="OMS116" s="181"/>
      <c r="OMT116" s="182"/>
      <c r="OMU116" s="181"/>
      <c r="OMV116" s="182"/>
      <c r="OMW116" s="181"/>
      <c r="OMX116" s="182"/>
      <c r="OMY116" s="181"/>
      <c r="OMZ116" s="182"/>
      <c r="ONA116" s="181"/>
      <c r="ONB116" s="182"/>
      <c r="ONC116" s="181"/>
      <c r="OND116" s="182"/>
      <c r="ONE116" s="181"/>
      <c r="ONF116" s="182"/>
      <c r="ONG116" s="181"/>
      <c r="ONH116" s="182"/>
      <c r="ONI116" s="181"/>
      <c r="ONJ116" s="182"/>
      <c r="ONK116" s="181"/>
      <c r="ONL116" s="182"/>
      <c r="ONM116" s="181"/>
      <c r="ONN116" s="182"/>
      <c r="ONO116" s="181"/>
      <c r="ONP116" s="182"/>
      <c r="ONQ116" s="181"/>
      <c r="ONR116" s="182"/>
      <c r="ONS116" s="181"/>
      <c r="ONT116" s="182"/>
      <c r="ONU116" s="181"/>
      <c r="ONV116" s="182"/>
      <c r="ONW116" s="181"/>
      <c r="ONX116" s="182"/>
      <c r="ONY116" s="181"/>
      <c r="ONZ116" s="182"/>
      <c r="OOA116" s="181"/>
      <c r="OOB116" s="182"/>
      <c r="OOC116" s="181"/>
      <c r="OOD116" s="182"/>
      <c r="OOE116" s="181"/>
      <c r="OOF116" s="182"/>
      <c r="OOG116" s="181"/>
      <c r="OOH116" s="182"/>
      <c r="OOI116" s="181"/>
      <c r="OOJ116" s="182"/>
      <c r="OOK116" s="181"/>
      <c r="OOL116" s="182"/>
      <c r="OOM116" s="181"/>
      <c r="OON116" s="182"/>
      <c r="OOO116" s="181"/>
      <c r="OOP116" s="182"/>
      <c r="OOQ116" s="181"/>
      <c r="OOR116" s="182"/>
      <c r="OOS116" s="181"/>
      <c r="OOT116" s="182"/>
      <c r="OOU116" s="181"/>
      <c r="OOV116" s="182"/>
      <c r="OOW116" s="181"/>
      <c r="OOX116" s="182"/>
      <c r="OOY116" s="181"/>
      <c r="OOZ116" s="182"/>
      <c r="OPA116" s="181"/>
      <c r="OPB116" s="182"/>
      <c r="OPC116" s="181"/>
      <c r="OPD116" s="182"/>
      <c r="OPE116" s="181"/>
      <c r="OPF116" s="182"/>
      <c r="OPG116" s="181"/>
      <c r="OPH116" s="182"/>
      <c r="OPI116" s="181"/>
      <c r="OPJ116" s="182"/>
      <c r="OPK116" s="181"/>
      <c r="OPL116" s="182"/>
      <c r="OPM116" s="181"/>
      <c r="OPN116" s="182"/>
      <c r="OPO116" s="181"/>
      <c r="OPP116" s="182"/>
      <c r="OPQ116" s="181"/>
      <c r="OPR116" s="182"/>
      <c r="OPS116" s="181"/>
      <c r="OPT116" s="182"/>
      <c r="OPU116" s="181"/>
      <c r="OPV116" s="182"/>
      <c r="OPW116" s="181"/>
      <c r="OPX116" s="182"/>
      <c r="OPY116" s="181"/>
      <c r="OPZ116" s="182"/>
      <c r="OQA116" s="181"/>
      <c r="OQB116" s="182"/>
      <c r="OQC116" s="181"/>
      <c r="OQD116" s="182"/>
      <c r="OQE116" s="181"/>
      <c r="OQF116" s="182"/>
      <c r="OQG116" s="181"/>
      <c r="OQH116" s="182"/>
      <c r="OQI116" s="181"/>
      <c r="OQJ116" s="182"/>
      <c r="OQK116" s="181"/>
      <c r="OQL116" s="182"/>
      <c r="OQM116" s="181"/>
      <c r="OQN116" s="182"/>
      <c r="OQO116" s="181"/>
      <c r="OQP116" s="182"/>
      <c r="OQQ116" s="181"/>
      <c r="OQR116" s="182"/>
      <c r="OQS116" s="181"/>
      <c r="OQT116" s="182"/>
      <c r="OQU116" s="181"/>
      <c r="OQV116" s="182"/>
      <c r="OQW116" s="181"/>
      <c r="OQX116" s="182"/>
      <c r="OQY116" s="181"/>
      <c r="OQZ116" s="182"/>
      <c r="ORA116" s="181"/>
      <c r="ORB116" s="182"/>
      <c r="ORC116" s="181"/>
      <c r="ORD116" s="182"/>
      <c r="ORE116" s="181"/>
      <c r="ORF116" s="182"/>
      <c r="ORG116" s="181"/>
      <c r="ORH116" s="182"/>
      <c r="ORI116" s="181"/>
      <c r="ORJ116" s="182"/>
      <c r="ORK116" s="181"/>
      <c r="ORL116" s="182"/>
      <c r="ORM116" s="181"/>
      <c r="ORN116" s="182"/>
      <c r="ORO116" s="181"/>
      <c r="ORP116" s="182"/>
      <c r="ORQ116" s="181"/>
      <c r="ORR116" s="182"/>
      <c r="ORS116" s="181"/>
      <c r="ORT116" s="182"/>
      <c r="ORU116" s="181"/>
      <c r="ORV116" s="182"/>
      <c r="ORW116" s="181"/>
      <c r="ORX116" s="182"/>
      <c r="ORY116" s="181"/>
      <c r="ORZ116" s="182"/>
      <c r="OSA116" s="181"/>
      <c r="OSB116" s="182"/>
      <c r="OSC116" s="181"/>
      <c r="OSD116" s="182"/>
      <c r="OSE116" s="181"/>
      <c r="OSF116" s="182"/>
      <c r="OSG116" s="181"/>
      <c r="OSH116" s="182"/>
      <c r="OSI116" s="181"/>
      <c r="OSJ116" s="182"/>
      <c r="OSK116" s="181"/>
      <c r="OSL116" s="182"/>
      <c r="OSM116" s="181"/>
      <c r="OSN116" s="182"/>
      <c r="OSO116" s="181"/>
      <c r="OSP116" s="182"/>
      <c r="OSQ116" s="181"/>
      <c r="OSR116" s="182"/>
      <c r="OSS116" s="181"/>
      <c r="OST116" s="182"/>
      <c r="OSU116" s="181"/>
      <c r="OSV116" s="182"/>
      <c r="OSW116" s="181"/>
      <c r="OSX116" s="182"/>
      <c r="OSY116" s="181"/>
      <c r="OSZ116" s="182"/>
      <c r="OTA116" s="181"/>
      <c r="OTB116" s="182"/>
      <c r="OTC116" s="181"/>
      <c r="OTD116" s="182"/>
      <c r="OTE116" s="181"/>
      <c r="OTF116" s="182"/>
      <c r="OTG116" s="181"/>
      <c r="OTH116" s="182"/>
      <c r="OTI116" s="181"/>
      <c r="OTJ116" s="182"/>
      <c r="OTK116" s="181"/>
      <c r="OTL116" s="182"/>
      <c r="OTM116" s="181"/>
      <c r="OTN116" s="182"/>
      <c r="OTO116" s="181"/>
      <c r="OTP116" s="182"/>
      <c r="OTQ116" s="181"/>
      <c r="OTR116" s="182"/>
      <c r="OTS116" s="181"/>
      <c r="OTT116" s="182"/>
      <c r="OTU116" s="181"/>
      <c r="OTV116" s="182"/>
      <c r="OTW116" s="181"/>
      <c r="OTX116" s="182"/>
      <c r="OTY116" s="181"/>
      <c r="OTZ116" s="182"/>
      <c r="OUA116" s="181"/>
      <c r="OUB116" s="182"/>
      <c r="OUC116" s="181"/>
      <c r="OUD116" s="182"/>
      <c r="OUE116" s="181"/>
      <c r="OUF116" s="182"/>
      <c r="OUG116" s="181"/>
      <c r="OUH116" s="182"/>
      <c r="OUI116" s="181"/>
      <c r="OUJ116" s="182"/>
      <c r="OUK116" s="181"/>
      <c r="OUL116" s="182"/>
      <c r="OUM116" s="181"/>
      <c r="OUN116" s="182"/>
      <c r="OUO116" s="181"/>
      <c r="OUP116" s="182"/>
      <c r="OUQ116" s="181"/>
      <c r="OUR116" s="182"/>
      <c r="OUS116" s="181"/>
      <c r="OUT116" s="182"/>
      <c r="OUU116" s="181"/>
      <c r="OUV116" s="182"/>
      <c r="OUW116" s="181"/>
      <c r="OUX116" s="182"/>
      <c r="OUY116" s="181"/>
      <c r="OUZ116" s="182"/>
      <c r="OVA116" s="181"/>
      <c r="OVB116" s="182"/>
      <c r="OVC116" s="181"/>
      <c r="OVD116" s="182"/>
      <c r="OVE116" s="181"/>
      <c r="OVF116" s="182"/>
      <c r="OVG116" s="181"/>
      <c r="OVH116" s="182"/>
      <c r="OVI116" s="181"/>
      <c r="OVJ116" s="182"/>
      <c r="OVK116" s="181"/>
      <c r="OVL116" s="182"/>
      <c r="OVM116" s="181"/>
      <c r="OVN116" s="182"/>
      <c r="OVO116" s="181"/>
      <c r="OVP116" s="182"/>
      <c r="OVQ116" s="181"/>
      <c r="OVR116" s="182"/>
      <c r="OVS116" s="181"/>
      <c r="OVT116" s="182"/>
      <c r="OVU116" s="181"/>
      <c r="OVV116" s="182"/>
      <c r="OVW116" s="181"/>
      <c r="OVX116" s="182"/>
      <c r="OVY116" s="181"/>
      <c r="OVZ116" s="182"/>
      <c r="OWA116" s="181"/>
      <c r="OWB116" s="182"/>
      <c r="OWC116" s="181"/>
      <c r="OWD116" s="182"/>
      <c r="OWE116" s="181"/>
      <c r="OWF116" s="182"/>
      <c r="OWG116" s="181"/>
      <c r="OWH116" s="182"/>
      <c r="OWI116" s="181"/>
      <c r="OWJ116" s="182"/>
      <c r="OWK116" s="181"/>
      <c r="OWL116" s="182"/>
      <c r="OWM116" s="181"/>
      <c r="OWN116" s="182"/>
      <c r="OWO116" s="181"/>
      <c r="OWP116" s="182"/>
      <c r="OWQ116" s="181"/>
      <c r="OWR116" s="182"/>
      <c r="OWS116" s="181"/>
      <c r="OWT116" s="182"/>
      <c r="OWU116" s="181"/>
      <c r="OWV116" s="182"/>
      <c r="OWW116" s="181"/>
      <c r="OWX116" s="182"/>
      <c r="OWY116" s="181"/>
      <c r="OWZ116" s="182"/>
      <c r="OXA116" s="181"/>
      <c r="OXB116" s="182"/>
      <c r="OXC116" s="181"/>
      <c r="OXD116" s="182"/>
      <c r="OXE116" s="181"/>
      <c r="OXF116" s="182"/>
      <c r="OXG116" s="181"/>
      <c r="OXH116" s="182"/>
      <c r="OXI116" s="181"/>
      <c r="OXJ116" s="182"/>
      <c r="OXK116" s="181"/>
      <c r="OXL116" s="182"/>
      <c r="OXM116" s="181"/>
      <c r="OXN116" s="182"/>
      <c r="OXO116" s="181"/>
      <c r="OXP116" s="182"/>
      <c r="OXQ116" s="181"/>
      <c r="OXR116" s="182"/>
      <c r="OXS116" s="181"/>
      <c r="OXT116" s="182"/>
      <c r="OXU116" s="181"/>
      <c r="OXV116" s="182"/>
      <c r="OXW116" s="181"/>
      <c r="OXX116" s="182"/>
      <c r="OXY116" s="181"/>
      <c r="OXZ116" s="182"/>
      <c r="OYA116" s="181"/>
      <c r="OYB116" s="182"/>
      <c r="OYC116" s="181"/>
      <c r="OYD116" s="182"/>
      <c r="OYE116" s="181"/>
      <c r="OYF116" s="182"/>
      <c r="OYG116" s="181"/>
      <c r="OYH116" s="182"/>
      <c r="OYI116" s="181"/>
      <c r="OYJ116" s="182"/>
      <c r="OYK116" s="181"/>
      <c r="OYL116" s="182"/>
      <c r="OYM116" s="181"/>
      <c r="OYN116" s="182"/>
      <c r="OYO116" s="181"/>
      <c r="OYP116" s="182"/>
      <c r="OYQ116" s="181"/>
      <c r="OYR116" s="182"/>
      <c r="OYS116" s="181"/>
      <c r="OYT116" s="182"/>
      <c r="OYU116" s="181"/>
      <c r="OYV116" s="182"/>
      <c r="OYW116" s="181"/>
      <c r="OYX116" s="182"/>
      <c r="OYY116" s="181"/>
      <c r="OYZ116" s="182"/>
      <c r="OZA116" s="181"/>
      <c r="OZB116" s="182"/>
      <c r="OZC116" s="181"/>
      <c r="OZD116" s="182"/>
      <c r="OZE116" s="181"/>
      <c r="OZF116" s="182"/>
      <c r="OZG116" s="181"/>
      <c r="OZH116" s="182"/>
      <c r="OZI116" s="181"/>
      <c r="OZJ116" s="182"/>
      <c r="OZK116" s="181"/>
      <c r="OZL116" s="182"/>
      <c r="OZM116" s="181"/>
      <c r="OZN116" s="182"/>
      <c r="OZO116" s="181"/>
      <c r="OZP116" s="182"/>
      <c r="OZQ116" s="181"/>
      <c r="OZR116" s="182"/>
      <c r="OZS116" s="181"/>
      <c r="OZT116" s="182"/>
      <c r="OZU116" s="181"/>
      <c r="OZV116" s="182"/>
      <c r="OZW116" s="181"/>
      <c r="OZX116" s="182"/>
      <c r="OZY116" s="181"/>
      <c r="OZZ116" s="182"/>
      <c r="PAA116" s="181"/>
      <c r="PAB116" s="182"/>
      <c r="PAC116" s="181"/>
      <c r="PAD116" s="182"/>
      <c r="PAE116" s="181"/>
      <c r="PAF116" s="182"/>
      <c r="PAG116" s="181"/>
      <c r="PAH116" s="182"/>
      <c r="PAI116" s="181"/>
      <c r="PAJ116" s="182"/>
      <c r="PAK116" s="181"/>
      <c r="PAL116" s="182"/>
      <c r="PAM116" s="181"/>
      <c r="PAN116" s="182"/>
      <c r="PAO116" s="181"/>
      <c r="PAP116" s="182"/>
      <c r="PAQ116" s="181"/>
      <c r="PAR116" s="182"/>
      <c r="PAS116" s="181"/>
      <c r="PAT116" s="182"/>
      <c r="PAU116" s="181"/>
      <c r="PAV116" s="182"/>
      <c r="PAW116" s="181"/>
      <c r="PAX116" s="182"/>
      <c r="PAY116" s="181"/>
      <c r="PAZ116" s="182"/>
      <c r="PBA116" s="181"/>
      <c r="PBB116" s="182"/>
      <c r="PBC116" s="181"/>
      <c r="PBD116" s="182"/>
      <c r="PBE116" s="181"/>
      <c r="PBF116" s="182"/>
      <c r="PBG116" s="181"/>
      <c r="PBH116" s="182"/>
      <c r="PBI116" s="181"/>
      <c r="PBJ116" s="182"/>
      <c r="PBK116" s="181"/>
      <c r="PBL116" s="182"/>
      <c r="PBM116" s="181"/>
      <c r="PBN116" s="182"/>
      <c r="PBO116" s="181"/>
      <c r="PBP116" s="182"/>
      <c r="PBQ116" s="181"/>
      <c r="PBR116" s="182"/>
      <c r="PBS116" s="181"/>
      <c r="PBT116" s="182"/>
      <c r="PBU116" s="181"/>
      <c r="PBV116" s="182"/>
      <c r="PBW116" s="181"/>
      <c r="PBX116" s="182"/>
      <c r="PBY116" s="181"/>
      <c r="PBZ116" s="182"/>
      <c r="PCA116" s="181"/>
      <c r="PCB116" s="182"/>
      <c r="PCC116" s="181"/>
      <c r="PCD116" s="182"/>
      <c r="PCE116" s="181"/>
      <c r="PCF116" s="182"/>
      <c r="PCG116" s="181"/>
      <c r="PCH116" s="182"/>
      <c r="PCI116" s="181"/>
      <c r="PCJ116" s="182"/>
      <c r="PCK116" s="181"/>
      <c r="PCL116" s="182"/>
      <c r="PCM116" s="181"/>
      <c r="PCN116" s="182"/>
      <c r="PCO116" s="181"/>
      <c r="PCP116" s="182"/>
      <c r="PCQ116" s="181"/>
      <c r="PCR116" s="182"/>
      <c r="PCS116" s="181"/>
      <c r="PCT116" s="182"/>
      <c r="PCU116" s="181"/>
      <c r="PCV116" s="182"/>
      <c r="PCW116" s="181"/>
      <c r="PCX116" s="182"/>
      <c r="PCY116" s="181"/>
      <c r="PCZ116" s="182"/>
      <c r="PDA116" s="181"/>
      <c r="PDB116" s="182"/>
      <c r="PDC116" s="181"/>
      <c r="PDD116" s="182"/>
      <c r="PDE116" s="181"/>
      <c r="PDF116" s="182"/>
      <c r="PDG116" s="181"/>
      <c r="PDH116" s="182"/>
      <c r="PDI116" s="181"/>
      <c r="PDJ116" s="182"/>
      <c r="PDK116" s="181"/>
      <c r="PDL116" s="182"/>
      <c r="PDM116" s="181"/>
      <c r="PDN116" s="182"/>
      <c r="PDO116" s="181"/>
      <c r="PDP116" s="182"/>
      <c r="PDQ116" s="181"/>
      <c r="PDR116" s="182"/>
      <c r="PDS116" s="181"/>
      <c r="PDT116" s="182"/>
      <c r="PDU116" s="181"/>
      <c r="PDV116" s="182"/>
      <c r="PDW116" s="181"/>
      <c r="PDX116" s="182"/>
      <c r="PDY116" s="181"/>
      <c r="PDZ116" s="182"/>
      <c r="PEA116" s="181"/>
      <c r="PEB116" s="182"/>
      <c r="PEC116" s="181"/>
      <c r="PED116" s="182"/>
      <c r="PEE116" s="181"/>
      <c r="PEF116" s="182"/>
      <c r="PEG116" s="181"/>
      <c r="PEH116" s="182"/>
      <c r="PEI116" s="181"/>
      <c r="PEJ116" s="182"/>
      <c r="PEK116" s="181"/>
      <c r="PEL116" s="182"/>
      <c r="PEM116" s="181"/>
      <c r="PEN116" s="182"/>
      <c r="PEO116" s="181"/>
      <c r="PEP116" s="182"/>
      <c r="PEQ116" s="181"/>
      <c r="PER116" s="182"/>
      <c r="PES116" s="181"/>
      <c r="PET116" s="182"/>
      <c r="PEU116" s="181"/>
      <c r="PEV116" s="182"/>
      <c r="PEW116" s="181"/>
      <c r="PEX116" s="182"/>
      <c r="PEY116" s="181"/>
      <c r="PEZ116" s="182"/>
      <c r="PFA116" s="181"/>
      <c r="PFB116" s="182"/>
      <c r="PFC116" s="181"/>
      <c r="PFD116" s="182"/>
      <c r="PFE116" s="181"/>
      <c r="PFF116" s="182"/>
      <c r="PFG116" s="181"/>
      <c r="PFH116" s="182"/>
      <c r="PFI116" s="181"/>
      <c r="PFJ116" s="182"/>
      <c r="PFK116" s="181"/>
      <c r="PFL116" s="182"/>
      <c r="PFM116" s="181"/>
      <c r="PFN116" s="182"/>
      <c r="PFO116" s="181"/>
      <c r="PFP116" s="182"/>
      <c r="PFQ116" s="181"/>
      <c r="PFR116" s="182"/>
      <c r="PFS116" s="181"/>
      <c r="PFT116" s="182"/>
      <c r="PFU116" s="181"/>
      <c r="PFV116" s="182"/>
      <c r="PFW116" s="181"/>
      <c r="PFX116" s="182"/>
      <c r="PFY116" s="181"/>
      <c r="PFZ116" s="182"/>
      <c r="PGA116" s="181"/>
      <c r="PGB116" s="182"/>
      <c r="PGC116" s="181"/>
      <c r="PGD116" s="182"/>
      <c r="PGE116" s="181"/>
      <c r="PGF116" s="182"/>
      <c r="PGG116" s="181"/>
      <c r="PGH116" s="182"/>
      <c r="PGI116" s="181"/>
      <c r="PGJ116" s="182"/>
      <c r="PGK116" s="181"/>
      <c r="PGL116" s="182"/>
      <c r="PGM116" s="181"/>
      <c r="PGN116" s="182"/>
      <c r="PGO116" s="181"/>
      <c r="PGP116" s="182"/>
      <c r="PGQ116" s="181"/>
      <c r="PGR116" s="182"/>
      <c r="PGS116" s="181"/>
      <c r="PGT116" s="182"/>
      <c r="PGU116" s="181"/>
      <c r="PGV116" s="182"/>
      <c r="PGW116" s="181"/>
      <c r="PGX116" s="182"/>
      <c r="PGY116" s="181"/>
      <c r="PGZ116" s="182"/>
      <c r="PHA116" s="181"/>
      <c r="PHB116" s="182"/>
      <c r="PHC116" s="181"/>
      <c r="PHD116" s="182"/>
      <c r="PHE116" s="181"/>
      <c r="PHF116" s="182"/>
      <c r="PHG116" s="181"/>
      <c r="PHH116" s="182"/>
      <c r="PHI116" s="181"/>
      <c r="PHJ116" s="182"/>
      <c r="PHK116" s="181"/>
      <c r="PHL116" s="182"/>
      <c r="PHM116" s="181"/>
      <c r="PHN116" s="182"/>
      <c r="PHO116" s="181"/>
      <c r="PHP116" s="182"/>
      <c r="PHQ116" s="181"/>
      <c r="PHR116" s="182"/>
      <c r="PHS116" s="181"/>
      <c r="PHT116" s="182"/>
      <c r="PHU116" s="181"/>
      <c r="PHV116" s="182"/>
      <c r="PHW116" s="181"/>
      <c r="PHX116" s="182"/>
      <c r="PHY116" s="181"/>
      <c r="PHZ116" s="182"/>
      <c r="PIA116" s="181"/>
      <c r="PIB116" s="182"/>
      <c r="PIC116" s="181"/>
      <c r="PID116" s="182"/>
      <c r="PIE116" s="181"/>
      <c r="PIF116" s="182"/>
      <c r="PIG116" s="181"/>
      <c r="PIH116" s="182"/>
      <c r="PII116" s="181"/>
      <c r="PIJ116" s="182"/>
      <c r="PIK116" s="181"/>
      <c r="PIL116" s="182"/>
      <c r="PIM116" s="181"/>
      <c r="PIN116" s="182"/>
      <c r="PIO116" s="181"/>
      <c r="PIP116" s="182"/>
      <c r="PIQ116" s="181"/>
      <c r="PIR116" s="182"/>
      <c r="PIS116" s="181"/>
      <c r="PIT116" s="182"/>
      <c r="PIU116" s="181"/>
      <c r="PIV116" s="182"/>
      <c r="PIW116" s="181"/>
      <c r="PIX116" s="182"/>
      <c r="PIY116" s="181"/>
      <c r="PIZ116" s="182"/>
      <c r="PJA116" s="181"/>
      <c r="PJB116" s="182"/>
      <c r="PJC116" s="181"/>
      <c r="PJD116" s="182"/>
      <c r="PJE116" s="181"/>
      <c r="PJF116" s="182"/>
      <c r="PJG116" s="181"/>
      <c r="PJH116" s="182"/>
      <c r="PJI116" s="181"/>
      <c r="PJJ116" s="182"/>
      <c r="PJK116" s="181"/>
      <c r="PJL116" s="182"/>
      <c r="PJM116" s="181"/>
      <c r="PJN116" s="182"/>
      <c r="PJO116" s="181"/>
      <c r="PJP116" s="182"/>
      <c r="PJQ116" s="181"/>
      <c r="PJR116" s="182"/>
      <c r="PJS116" s="181"/>
      <c r="PJT116" s="182"/>
      <c r="PJU116" s="181"/>
      <c r="PJV116" s="182"/>
      <c r="PJW116" s="181"/>
      <c r="PJX116" s="182"/>
      <c r="PJY116" s="181"/>
      <c r="PJZ116" s="182"/>
      <c r="PKA116" s="181"/>
      <c r="PKB116" s="182"/>
      <c r="PKC116" s="181"/>
      <c r="PKD116" s="182"/>
      <c r="PKE116" s="181"/>
      <c r="PKF116" s="182"/>
      <c r="PKG116" s="181"/>
      <c r="PKH116" s="182"/>
      <c r="PKI116" s="181"/>
      <c r="PKJ116" s="182"/>
      <c r="PKK116" s="181"/>
      <c r="PKL116" s="182"/>
      <c r="PKM116" s="181"/>
      <c r="PKN116" s="182"/>
      <c r="PKO116" s="181"/>
      <c r="PKP116" s="182"/>
      <c r="PKQ116" s="181"/>
      <c r="PKR116" s="182"/>
      <c r="PKS116" s="181"/>
      <c r="PKT116" s="182"/>
      <c r="PKU116" s="181"/>
      <c r="PKV116" s="182"/>
      <c r="PKW116" s="181"/>
      <c r="PKX116" s="182"/>
      <c r="PKY116" s="181"/>
      <c r="PKZ116" s="182"/>
      <c r="PLA116" s="181"/>
      <c r="PLB116" s="182"/>
      <c r="PLC116" s="181"/>
      <c r="PLD116" s="182"/>
      <c r="PLE116" s="181"/>
      <c r="PLF116" s="182"/>
      <c r="PLG116" s="181"/>
      <c r="PLH116" s="182"/>
      <c r="PLI116" s="181"/>
      <c r="PLJ116" s="182"/>
      <c r="PLK116" s="181"/>
      <c r="PLL116" s="182"/>
      <c r="PLM116" s="181"/>
      <c r="PLN116" s="182"/>
      <c r="PLO116" s="181"/>
      <c r="PLP116" s="182"/>
      <c r="PLQ116" s="181"/>
      <c r="PLR116" s="182"/>
      <c r="PLS116" s="181"/>
      <c r="PLT116" s="182"/>
      <c r="PLU116" s="181"/>
      <c r="PLV116" s="182"/>
      <c r="PLW116" s="181"/>
      <c r="PLX116" s="182"/>
      <c r="PLY116" s="181"/>
      <c r="PLZ116" s="182"/>
      <c r="PMA116" s="181"/>
      <c r="PMB116" s="182"/>
      <c r="PMC116" s="181"/>
      <c r="PMD116" s="182"/>
      <c r="PME116" s="181"/>
      <c r="PMF116" s="182"/>
      <c r="PMG116" s="181"/>
      <c r="PMH116" s="182"/>
      <c r="PMI116" s="181"/>
      <c r="PMJ116" s="182"/>
      <c r="PMK116" s="181"/>
      <c r="PML116" s="182"/>
      <c r="PMM116" s="181"/>
      <c r="PMN116" s="182"/>
      <c r="PMO116" s="181"/>
      <c r="PMP116" s="182"/>
      <c r="PMQ116" s="181"/>
      <c r="PMR116" s="182"/>
      <c r="PMS116" s="181"/>
      <c r="PMT116" s="182"/>
      <c r="PMU116" s="181"/>
      <c r="PMV116" s="182"/>
      <c r="PMW116" s="181"/>
      <c r="PMX116" s="182"/>
      <c r="PMY116" s="181"/>
      <c r="PMZ116" s="182"/>
      <c r="PNA116" s="181"/>
      <c r="PNB116" s="182"/>
      <c r="PNC116" s="181"/>
      <c r="PND116" s="182"/>
      <c r="PNE116" s="181"/>
      <c r="PNF116" s="182"/>
      <c r="PNG116" s="181"/>
      <c r="PNH116" s="182"/>
      <c r="PNI116" s="181"/>
      <c r="PNJ116" s="182"/>
      <c r="PNK116" s="181"/>
      <c r="PNL116" s="182"/>
      <c r="PNM116" s="181"/>
      <c r="PNN116" s="182"/>
      <c r="PNO116" s="181"/>
      <c r="PNP116" s="182"/>
      <c r="PNQ116" s="181"/>
      <c r="PNR116" s="182"/>
      <c r="PNS116" s="181"/>
      <c r="PNT116" s="182"/>
      <c r="PNU116" s="181"/>
      <c r="PNV116" s="182"/>
      <c r="PNW116" s="181"/>
      <c r="PNX116" s="182"/>
      <c r="PNY116" s="181"/>
      <c r="PNZ116" s="182"/>
      <c r="POA116" s="181"/>
      <c r="POB116" s="182"/>
      <c r="POC116" s="181"/>
      <c r="POD116" s="182"/>
      <c r="POE116" s="181"/>
      <c r="POF116" s="182"/>
      <c r="POG116" s="181"/>
      <c r="POH116" s="182"/>
      <c r="POI116" s="181"/>
      <c r="POJ116" s="182"/>
      <c r="POK116" s="181"/>
      <c r="POL116" s="182"/>
      <c r="POM116" s="181"/>
      <c r="PON116" s="182"/>
      <c r="POO116" s="181"/>
      <c r="POP116" s="182"/>
      <c r="POQ116" s="181"/>
      <c r="POR116" s="182"/>
      <c r="POS116" s="181"/>
      <c r="POT116" s="182"/>
      <c r="POU116" s="181"/>
      <c r="POV116" s="182"/>
      <c r="POW116" s="181"/>
      <c r="POX116" s="182"/>
      <c r="POY116" s="181"/>
      <c r="POZ116" s="182"/>
      <c r="PPA116" s="181"/>
      <c r="PPB116" s="182"/>
      <c r="PPC116" s="181"/>
      <c r="PPD116" s="182"/>
      <c r="PPE116" s="181"/>
      <c r="PPF116" s="182"/>
      <c r="PPG116" s="181"/>
      <c r="PPH116" s="182"/>
      <c r="PPI116" s="181"/>
      <c r="PPJ116" s="182"/>
      <c r="PPK116" s="181"/>
      <c r="PPL116" s="182"/>
      <c r="PPM116" s="181"/>
      <c r="PPN116" s="182"/>
      <c r="PPO116" s="181"/>
      <c r="PPP116" s="182"/>
      <c r="PPQ116" s="181"/>
      <c r="PPR116" s="182"/>
      <c r="PPS116" s="181"/>
      <c r="PPT116" s="182"/>
      <c r="PPU116" s="181"/>
      <c r="PPV116" s="182"/>
      <c r="PPW116" s="181"/>
      <c r="PPX116" s="182"/>
      <c r="PPY116" s="181"/>
      <c r="PPZ116" s="182"/>
      <c r="PQA116" s="181"/>
      <c r="PQB116" s="182"/>
      <c r="PQC116" s="181"/>
      <c r="PQD116" s="182"/>
      <c r="PQE116" s="181"/>
      <c r="PQF116" s="182"/>
      <c r="PQG116" s="181"/>
      <c r="PQH116" s="182"/>
      <c r="PQI116" s="181"/>
      <c r="PQJ116" s="182"/>
      <c r="PQK116" s="181"/>
      <c r="PQL116" s="182"/>
      <c r="PQM116" s="181"/>
      <c r="PQN116" s="182"/>
      <c r="PQO116" s="181"/>
      <c r="PQP116" s="182"/>
      <c r="PQQ116" s="181"/>
      <c r="PQR116" s="182"/>
      <c r="PQS116" s="181"/>
      <c r="PQT116" s="182"/>
      <c r="PQU116" s="181"/>
      <c r="PQV116" s="182"/>
      <c r="PQW116" s="181"/>
      <c r="PQX116" s="182"/>
      <c r="PQY116" s="181"/>
      <c r="PQZ116" s="182"/>
      <c r="PRA116" s="181"/>
      <c r="PRB116" s="182"/>
      <c r="PRC116" s="181"/>
      <c r="PRD116" s="182"/>
      <c r="PRE116" s="181"/>
      <c r="PRF116" s="182"/>
      <c r="PRG116" s="181"/>
      <c r="PRH116" s="182"/>
      <c r="PRI116" s="181"/>
      <c r="PRJ116" s="182"/>
      <c r="PRK116" s="181"/>
      <c r="PRL116" s="182"/>
      <c r="PRM116" s="181"/>
      <c r="PRN116" s="182"/>
      <c r="PRO116" s="181"/>
      <c r="PRP116" s="182"/>
      <c r="PRQ116" s="181"/>
      <c r="PRR116" s="182"/>
      <c r="PRS116" s="181"/>
      <c r="PRT116" s="182"/>
      <c r="PRU116" s="181"/>
      <c r="PRV116" s="182"/>
      <c r="PRW116" s="181"/>
      <c r="PRX116" s="182"/>
      <c r="PRY116" s="181"/>
      <c r="PRZ116" s="182"/>
      <c r="PSA116" s="181"/>
      <c r="PSB116" s="182"/>
      <c r="PSC116" s="181"/>
      <c r="PSD116" s="182"/>
      <c r="PSE116" s="181"/>
      <c r="PSF116" s="182"/>
      <c r="PSG116" s="181"/>
      <c r="PSH116" s="182"/>
      <c r="PSI116" s="181"/>
      <c r="PSJ116" s="182"/>
      <c r="PSK116" s="181"/>
      <c r="PSL116" s="182"/>
      <c r="PSM116" s="181"/>
      <c r="PSN116" s="182"/>
      <c r="PSO116" s="181"/>
      <c r="PSP116" s="182"/>
      <c r="PSQ116" s="181"/>
      <c r="PSR116" s="182"/>
      <c r="PSS116" s="181"/>
      <c r="PST116" s="182"/>
      <c r="PSU116" s="181"/>
      <c r="PSV116" s="182"/>
      <c r="PSW116" s="181"/>
      <c r="PSX116" s="182"/>
      <c r="PSY116" s="181"/>
      <c r="PSZ116" s="182"/>
      <c r="PTA116" s="181"/>
      <c r="PTB116" s="182"/>
      <c r="PTC116" s="181"/>
      <c r="PTD116" s="182"/>
      <c r="PTE116" s="181"/>
      <c r="PTF116" s="182"/>
      <c r="PTG116" s="181"/>
      <c r="PTH116" s="182"/>
      <c r="PTI116" s="181"/>
      <c r="PTJ116" s="182"/>
      <c r="PTK116" s="181"/>
      <c r="PTL116" s="182"/>
      <c r="PTM116" s="181"/>
      <c r="PTN116" s="182"/>
      <c r="PTO116" s="181"/>
      <c r="PTP116" s="182"/>
      <c r="PTQ116" s="181"/>
      <c r="PTR116" s="182"/>
      <c r="PTS116" s="181"/>
      <c r="PTT116" s="182"/>
      <c r="PTU116" s="181"/>
      <c r="PTV116" s="182"/>
      <c r="PTW116" s="181"/>
      <c r="PTX116" s="182"/>
      <c r="PTY116" s="181"/>
      <c r="PTZ116" s="182"/>
      <c r="PUA116" s="181"/>
      <c r="PUB116" s="182"/>
      <c r="PUC116" s="181"/>
      <c r="PUD116" s="182"/>
      <c r="PUE116" s="181"/>
      <c r="PUF116" s="182"/>
      <c r="PUG116" s="181"/>
      <c r="PUH116" s="182"/>
      <c r="PUI116" s="181"/>
      <c r="PUJ116" s="182"/>
      <c r="PUK116" s="181"/>
      <c r="PUL116" s="182"/>
      <c r="PUM116" s="181"/>
      <c r="PUN116" s="182"/>
      <c r="PUO116" s="181"/>
      <c r="PUP116" s="182"/>
      <c r="PUQ116" s="181"/>
      <c r="PUR116" s="182"/>
      <c r="PUS116" s="181"/>
      <c r="PUT116" s="182"/>
      <c r="PUU116" s="181"/>
      <c r="PUV116" s="182"/>
      <c r="PUW116" s="181"/>
      <c r="PUX116" s="182"/>
      <c r="PUY116" s="181"/>
      <c r="PUZ116" s="182"/>
      <c r="PVA116" s="181"/>
      <c r="PVB116" s="182"/>
      <c r="PVC116" s="181"/>
      <c r="PVD116" s="182"/>
      <c r="PVE116" s="181"/>
      <c r="PVF116" s="182"/>
      <c r="PVG116" s="181"/>
      <c r="PVH116" s="182"/>
      <c r="PVI116" s="181"/>
      <c r="PVJ116" s="182"/>
      <c r="PVK116" s="181"/>
      <c r="PVL116" s="182"/>
      <c r="PVM116" s="181"/>
      <c r="PVN116" s="182"/>
      <c r="PVO116" s="181"/>
      <c r="PVP116" s="182"/>
      <c r="PVQ116" s="181"/>
      <c r="PVR116" s="182"/>
      <c r="PVS116" s="181"/>
      <c r="PVT116" s="182"/>
      <c r="PVU116" s="181"/>
      <c r="PVV116" s="182"/>
      <c r="PVW116" s="181"/>
      <c r="PVX116" s="182"/>
      <c r="PVY116" s="181"/>
      <c r="PVZ116" s="182"/>
      <c r="PWA116" s="181"/>
      <c r="PWB116" s="182"/>
      <c r="PWC116" s="181"/>
      <c r="PWD116" s="182"/>
      <c r="PWE116" s="181"/>
      <c r="PWF116" s="182"/>
      <c r="PWG116" s="181"/>
      <c r="PWH116" s="182"/>
      <c r="PWI116" s="181"/>
      <c r="PWJ116" s="182"/>
      <c r="PWK116" s="181"/>
      <c r="PWL116" s="182"/>
      <c r="PWM116" s="181"/>
      <c r="PWN116" s="182"/>
      <c r="PWO116" s="181"/>
      <c r="PWP116" s="182"/>
      <c r="PWQ116" s="181"/>
      <c r="PWR116" s="182"/>
      <c r="PWS116" s="181"/>
      <c r="PWT116" s="182"/>
      <c r="PWU116" s="181"/>
      <c r="PWV116" s="182"/>
      <c r="PWW116" s="181"/>
      <c r="PWX116" s="182"/>
      <c r="PWY116" s="181"/>
      <c r="PWZ116" s="182"/>
      <c r="PXA116" s="181"/>
      <c r="PXB116" s="182"/>
      <c r="PXC116" s="181"/>
      <c r="PXD116" s="182"/>
      <c r="PXE116" s="181"/>
      <c r="PXF116" s="182"/>
      <c r="PXG116" s="181"/>
      <c r="PXH116" s="182"/>
      <c r="PXI116" s="181"/>
      <c r="PXJ116" s="182"/>
      <c r="PXK116" s="181"/>
      <c r="PXL116" s="182"/>
      <c r="PXM116" s="181"/>
      <c r="PXN116" s="182"/>
      <c r="PXO116" s="181"/>
      <c r="PXP116" s="182"/>
      <c r="PXQ116" s="181"/>
      <c r="PXR116" s="182"/>
      <c r="PXS116" s="181"/>
      <c r="PXT116" s="182"/>
      <c r="PXU116" s="181"/>
      <c r="PXV116" s="182"/>
      <c r="PXW116" s="181"/>
      <c r="PXX116" s="182"/>
      <c r="PXY116" s="181"/>
      <c r="PXZ116" s="182"/>
      <c r="PYA116" s="181"/>
      <c r="PYB116" s="182"/>
      <c r="PYC116" s="181"/>
      <c r="PYD116" s="182"/>
      <c r="PYE116" s="181"/>
      <c r="PYF116" s="182"/>
      <c r="PYG116" s="181"/>
      <c r="PYH116" s="182"/>
      <c r="PYI116" s="181"/>
      <c r="PYJ116" s="182"/>
      <c r="PYK116" s="181"/>
      <c r="PYL116" s="182"/>
      <c r="PYM116" s="181"/>
      <c r="PYN116" s="182"/>
      <c r="PYO116" s="181"/>
      <c r="PYP116" s="182"/>
      <c r="PYQ116" s="181"/>
      <c r="PYR116" s="182"/>
      <c r="PYS116" s="181"/>
      <c r="PYT116" s="182"/>
      <c r="PYU116" s="181"/>
      <c r="PYV116" s="182"/>
      <c r="PYW116" s="181"/>
      <c r="PYX116" s="182"/>
      <c r="PYY116" s="181"/>
      <c r="PYZ116" s="182"/>
      <c r="PZA116" s="181"/>
      <c r="PZB116" s="182"/>
      <c r="PZC116" s="181"/>
      <c r="PZD116" s="182"/>
      <c r="PZE116" s="181"/>
      <c r="PZF116" s="182"/>
      <c r="PZG116" s="181"/>
      <c r="PZH116" s="182"/>
      <c r="PZI116" s="181"/>
      <c r="PZJ116" s="182"/>
      <c r="PZK116" s="181"/>
      <c r="PZL116" s="182"/>
      <c r="PZM116" s="181"/>
      <c r="PZN116" s="182"/>
      <c r="PZO116" s="181"/>
      <c r="PZP116" s="182"/>
      <c r="PZQ116" s="181"/>
      <c r="PZR116" s="182"/>
      <c r="PZS116" s="181"/>
      <c r="PZT116" s="182"/>
      <c r="PZU116" s="181"/>
      <c r="PZV116" s="182"/>
      <c r="PZW116" s="181"/>
      <c r="PZX116" s="182"/>
      <c r="PZY116" s="181"/>
      <c r="PZZ116" s="182"/>
      <c r="QAA116" s="181"/>
      <c r="QAB116" s="182"/>
      <c r="QAC116" s="181"/>
      <c r="QAD116" s="182"/>
      <c r="QAE116" s="181"/>
      <c r="QAF116" s="182"/>
      <c r="QAG116" s="181"/>
      <c r="QAH116" s="182"/>
      <c r="QAI116" s="181"/>
      <c r="QAJ116" s="182"/>
      <c r="QAK116" s="181"/>
      <c r="QAL116" s="182"/>
      <c r="QAM116" s="181"/>
      <c r="QAN116" s="182"/>
      <c r="QAO116" s="181"/>
      <c r="QAP116" s="182"/>
      <c r="QAQ116" s="181"/>
      <c r="QAR116" s="182"/>
      <c r="QAS116" s="181"/>
      <c r="QAT116" s="182"/>
      <c r="QAU116" s="181"/>
      <c r="QAV116" s="182"/>
      <c r="QAW116" s="181"/>
      <c r="QAX116" s="182"/>
      <c r="QAY116" s="181"/>
      <c r="QAZ116" s="182"/>
      <c r="QBA116" s="181"/>
      <c r="QBB116" s="182"/>
      <c r="QBC116" s="181"/>
      <c r="QBD116" s="182"/>
      <c r="QBE116" s="181"/>
      <c r="QBF116" s="182"/>
      <c r="QBG116" s="181"/>
      <c r="QBH116" s="182"/>
      <c r="QBI116" s="181"/>
      <c r="QBJ116" s="182"/>
      <c r="QBK116" s="181"/>
      <c r="QBL116" s="182"/>
      <c r="QBM116" s="181"/>
      <c r="QBN116" s="182"/>
      <c r="QBO116" s="181"/>
      <c r="QBP116" s="182"/>
      <c r="QBQ116" s="181"/>
      <c r="QBR116" s="182"/>
      <c r="QBS116" s="181"/>
      <c r="QBT116" s="182"/>
      <c r="QBU116" s="181"/>
      <c r="QBV116" s="182"/>
      <c r="QBW116" s="181"/>
      <c r="QBX116" s="182"/>
      <c r="QBY116" s="181"/>
      <c r="QBZ116" s="182"/>
      <c r="QCA116" s="181"/>
      <c r="QCB116" s="182"/>
      <c r="QCC116" s="181"/>
      <c r="QCD116" s="182"/>
      <c r="QCE116" s="181"/>
      <c r="QCF116" s="182"/>
      <c r="QCG116" s="181"/>
      <c r="QCH116" s="182"/>
      <c r="QCI116" s="181"/>
      <c r="QCJ116" s="182"/>
      <c r="QCK116" s="181"/>
      <c r="QCL116" s="182"/>
      <c r="QCM116" s="181"/>
      <c r="QCN116" s="182"/>
      <c r="QCO116" s="181"/>
      <c r="QCP116" s="182"/>
      <c r="QCQ116" s="181"/>
      <c r="QCR116" s="182"/>
      <c r="QCS116" s="181"/>
      <c r="QCT116" s="182"/>
      <c r="QCU116" s="181"/>
      <c r="QCV116" s="182"/>
      <c r="QCW116" s="181"/>
      <c r="QCX116" s="182"/>
      <c r="QCY116" s="181"/>
      <c r="QCZ116" s="182"/>
      <c r="QDA116" s="181"/>
      <c r="QDB116" s="182"/>
      <c r="QDC116" s="181"/>
      <c r="QDD116" s="182"/>
      <c r="QDE116" s="181"/>
      <c r="QDF116" s="182"/>
      <c r="QDG116" s="181"/>
      <c r="QDH116" s="182"/>
      <c r="QDI116" s="181"/>
      <c r="QDJ116" s="182"/>
      <c r="QDK116" s="181"/>
      <c r="QDL116" s="182"/>
      <c r="QDM116" s="181"/>
      <c r="QDN116" s="182"/>
      <c r="QDO116" s="181"/>
      <c r="QDP116" s="182"/>
      <c r="QDQ116" s="181"/>
      <c r="QDR116" s="182"/>
      <c r="QDS116" s="181"/>
      <c r="QDT116" s="182"/>
      <c r="QDU116" s="181"/>
      <c r="QDV116" s="182"/>
      <c r="QDW116" s="181"/>
      <c r="QDX116" s="182"/>
      <c r="QDY116" s="181"/>
      <c r="QDZ116" s="182"/>
      <c r="QEA116" s="181"/>
      <c r="QEB116" s="182"/>
      <c r="QEC116" s="181"/>
      <c r="QED116" s="182"/>
      <c r="QEE116" s="181"/>
      <c r="QEF116" s="182"/>
      <c r="QEG116" s="181"/>
      <c r="QEH116" s="182"/>
      <c r="QEI116" s="181"/>
      <c r="QEJ116" s="182"/>
      <c r="QEK116" s="181"/>
      <c r="QEL116" s="182"/>
      <c r="QEM116" s="181"/>
      <c r="QEN116" s="182"/>
      <c r="QEO116" s="181"/>
      <c r="QEP116" s="182"/>
      <c r="QEQ116" s="181"/>
      <c r="QER116" s="182"/>
      <c r="QES116" s="181"/>
      <c r="QET116" s="182"/>
      <c r="QEU116" s="181"/>
      <c r="QEV116" s="182"/>
      <c r="QEW116" s="181"/>
      <c r="QEX116" s="182"/>
      <c r="QEY116" s="181"/>
      <c r="QEZ116" s="182"/>
      <c r="QFA116" s="181"/>
      <c r="QFB116" s="182"/>
      <c r="QFC116" s="181"/>
      <c r="QFD116" s="182"/>
      <c r="QFE116" s="181"/>
      <c r="QFF116" s="182"/>
      <c r="QFG116" s="181"/>
      <c r="QFH116" s="182"/>
      <c r="QFI116" s="181"/>
      <c r="QFJ116" s="182"/>
      <c r="QFK116" s="181"/>
      <c r="QFL116" s="182"/>
      <c r="QFM116" s="181"/>
      <c r="QFN116" s="182"/>
      <c r="QFO116" s="181"/>
      <c r="QFP116" s="182"/>
      <c r="QFQ116" s="181"/>
      <c r="QFR116" s="182"/>
      <c r="QFS116" s="181"/>
      <c r="QFT116" s="182"/>
      <c r="QFU116" s="181"/>
      <c r="QFV116" s="182"/>
      <c r="QFW116" s="181"/>
      <c r="QFX116" s="182"/>
      <c r="QFY116" s="181"/>
      <c r="QFZ116" s="182"/>
      <c r="QGA116" s="181"/>
      <c r="QGB116" s="182"/>
      <c r="QGC116" s="181"/>
      <c r="QGD116" s="182"/>
      <c r="QGE116" s="181"/>
      <c r="QGF116" s="182"/>
      <c r="QGG116" s="181"/>
      <c r="QGH116" s="182"/>
      <c r="QGI116" s="181"/>
      <c r="QGJ116" s="182"/>
      <c r="QGK116" s="181"/>
      <c r="QGL116" s="182"/>
      <c r="QGM116" s="181"/>
      <c r="QGN116" s="182"/>
      <c r="QGO116" s="181"/>
      <c r="QGP116" s="182"/>
      <c r="QGQ116" s="181"/>
      <c r="QGR116" s="182"/>
      <c r="QGS116" s="181"/>
      <c r="QGT116" s="182"/>
      <c r="QGU116" s="181"/>
      <c r="QGV116" s="182"/>
      <c r="QGW116" s="181"/>
      <c r="QGX116" s="182"/>
      <c r="QGY116" s="181"/>
      <c r="QGZ116" s="182"/>
      <c r="QHA116" s="181"/>
      <c r="QHB116" s="182"/>
      <c r="QHC116" s="181"/>
      <c r="QHD116" s="182"/>
      <c r="QHE116" s="181"/>
      <c r="QHF116" s="182"/>
      <c r="QHG116" s="181"/>
      <c r="QHH116" s="182"/>
      <c r="QHI116" s="181"/>
      <c r="QHJ116" s="182"/>
      <c r="QHK116" s="181"/>
      <c r="QHL116" s="182"/>
      <c r="QHM116" s="181"/>
      <c r="QHN116" s="182"/>
      <c r="QHO116" s="181"/>
      <c r="QHP116" s="182"/>
      <c r="QHQ116" s="181"/>
      <c r="QHR116" s="182"/>
      <c r="QHS116" s="181"/>
      <c r="QHT116" s="182"/>
      <c r="QHU116" s="181"/>
      <c r="QHV116" s="182"/>
      <c r="QHW116" s="181"/>
      <c r="QHX116" s="182"/>
      <c r="QHY116" s="181"/>
      <c r="QHZ116" s="182"/>
      <c r="QIA116" s="181"/>
      <c r="QIB116" s="182"/>
      <c r="QIC116" s="181"/>
      <c r="QID116" s="182"/>
      <c r="QIE116" s="181"/>
      <c r="QIF116" s="182"/>
      <c r="QIG116" s="181"/>
      <c r="QIH116" s="182"/>
      <c r="QII116" s="181"/>
      <c r="QIJ116" s="182"/>
      <c r="QIK116" s="181"/>
      <c r="QIL116" s="182"/>
      <c r="QIM116" s="181"/>
      <c r="QIN116" s="182"/>
      <c r="QIO116" s="181"/>
      <c r="QIP116" s="182"/>
      <c r="QIQ116" s="181"/>
      <c r="QIR116" s="182"/>
      <c r="QIS116" s="181"/>
      <c r="QIT116" s="182"/>
      <c r="QIU116" s="181"/>
      <c r="QIV116" s="182"/>
      <c r="QIW116" s="181"/>
      <c r="QIX116" s="182"/>
      <c r="QIY116" s="181"/>
      <c r="QIZ116" s="182"/>
      <c r="QJA116" s="181"/>
      <c r="QJB116" s="182"/>
      <c r="QJC116" s="181"/>
      <c r="QJD116" s="182"/>
      <c r="QJE116" s="181"/>
      <c r="QJF116" s="182"/>
      <c r="QJG116" s="181"/>
      <c r="QJH116" s="182"/>
      <c r="QJI116" s="181"/>
      <c r="QJJ116" s="182"/>
      <c r="QJK116" s="181"/>
      <c r="QJL116" s="182"/>
      <c r="QJM116" s="181"/>
      <c r="QJN116" s="182"/>
      <c r="QJO116" s="181"/>
      <c r="QJP116" s="182"/>
      <c r="QJQ116" s="181"/>
      <c r="QJR116" s="182"/>
      <c r="QJS116" s="181"/>
      <c r="QJT116" s="182"/>
      <c r="QJU116" s="181"/>
      <c r="QJV116" s="182"/>
      <c r="QJW116" s="181"/>
      <c r="QJX116" s="182"/>
      <c r="QJY116" s="181"/>
      <c r="QJZ116" s="182"/>
      <c r="QKA116" s="181"/>
      <c r="QKB116" s="182"/>
      <c r="QKC116" s="181"/>
      <c r="QKD116" s="182"/>
      <c r="QKE116" s="181"/>
      <c r="QKF116" s="182"/>
      <c r="QKG116" s="181"/>
      <c r="QKH116" s="182"/>
      <c r="QKI116" s="181"/>
      <c r="QKJ116" s="182"/>
      <c r="QKK116" s="181"/>
      <c r="QKL116" s="182"/>
      <c r="QKM116" s="181"/>
      <c r="QKN116" s="182"/>
      <c r="QKO116" s="181"/>
      <c r="QKP116" s="182"/>
      <c r="QKQ116" s="181"/>
      <c r="QKR116" s="182"/>
      <c r="QKS116" s="181"/>
      <c r="QKT116" s="182"/>
      <c r="QKU116" s="181"/>
      <c r="QKV116" s="182"/>
      <c r="QKW116" s="181"/>
      <c r="QKX116" s="182"/>
      <c r="QKY116" s="181"/>
      <c r="QKZ116" s="182"/>
      <c r="QLA116" s="181"/>
      <c r="QLB116" s="182"/>
      <c r="QLC116" s="181"/>
      <c r="QLD116" s="182"/>
      <c r="QLE116" s="181"/>
      <c r="QLF116" s="182"/>
      <c r="QLG116" s="181"/>
      <c r="QLH116" s="182"/>
      <c r="QLI116" s="181"/>
      <c r="QLJ116" s="182"/>
      <c r="QLK116" s="181"/>
      <c r="QLL116" s="182"/>
      <c r="QLM116" s="181"/>
      <c r="QLN116" s="182"/>
      <c r="QLO116" s="181"/>
      <c r="QLP116" s="182"/>
      <c r="QLQ116" s="181"/>
      <c r="QLR116" s="182"/>
      <c r="QLS116" s="181"/>
      <c r="QLT116" s="182"/>
      <c r="QLU116" s="181"/>
      <c r="QLV116" s="182"/>
      <c r="QLW116" s="181"/>
      <c r="QLX116" s="182"/>
      <c r="QLY116" s="181"/>
      <c r="QLZ116" s="182"/>
      <c r="QMA116" s="181"/>
      <c r="QMB116" s="182"/>
      <c r="QMC116" s="181"/>
      <c r="QMD116" s="182"/>
      <c r="QME116" s="181"/>
      <c r="QMF116" s="182"/>
      <c r="QMG116" s="181"/>
      <c r="QMH116" s="182"/>
      <c r="QMI116" s="181"/>
      <c r="QMJ116" s="182"/>
      <c r="QMK116" s="181"/>
      <c r="QML116" s="182"/>
      <c r="QMM116" s="181"/>
      <c r="QMN116" s="182"/>
      <c r="QMO116" s="181"/>
      <c r="QMP116" s="182"/>
      <c r="QMQ116" s="181"/>
      <c r="QMR116" s="182"/>
      <c r="QMS116" s="181"/>
      <c r="QMT116" s="182"/>
      <c r="QMU116" s="181"/>
      <c r="QMV116" s="182"/>
      <c r="QMW116" s="181"/>
      <c r="QMX116" s="182"/>
      <c r="QMY116" s="181"/>
      <c r="QMZ116" s="182"/>
      <c r="QNA116" s="181"/>
      <c r="QNB116" s="182"/>
      <c r="QNC116" s="181"/>
      <c r="QND116" s="182"/>
      <c r="QNE116" s="181"/>
      <c r="QNF116" s="182"/>
      <c r="QNG116" s="181"/>
      <c r="QNH116" s="182"/>
      <c r="QNI116" s="181"/>
      <c r="QNJ116" s="182"/>
      <c r="QNK116" s="181"/>
      <c r="QNL116" s="182"/>
      <c r="QNM116" s="181"/>
      <c r="QNN116" s="182"/>
      <c r="QNO116" s="181"/>
      <c r="QNP116" s="182"/>
      <c r="QNQ116" s="181"/>
      <c r="QNR116" s="182"/>
      <c r="QNS116" s="181"/>
      <c r="QNT116" s="182"/>
      <c r="QNU116" s="181"/>
      <c r="QNV116" s="182"/>
      <c r="QNW116" s="181"/>
      <c r="QNX116" s="182"/>
      <c r="QNY116" s="181"/>
      <c r="QNZ116" s="182"/>
      <c r="QOA116" s="181"/>
      <c r="QOB116" s="182"/>
      <c r="QOC116" s="181"/>
      <c r="QOD116" s="182"/>
      <c r="QOE116" s="181"/>
      <c r="QOF116" s="182"/>
      <c r="QOG116" s="181"/>
      <c r="QOH116" s="182"/>
      <c r="QOI116" s="181"/>
      <c r="QOJ116" s="182"/>
      <c r="QOK116" s="181"/>
      <c r="QOL116" s="182"/>
      <c r="QOM116" s="181"/>
      <c r="QON116" s="182"/>
      <c r="QOO116" s="181"/>
      <c r="QOP116" s="182"/>
      <c r="QOQ116" s="181"/>
      <c r="QOR116" s="182"/>
      <c r="QOS116" s="181"/>
      <c r="QOT116" s="182"/>
      <c r="QOU116" s="181"/>
      <c r="QOV116" s="182"/>
      <c r="QOW116" s="181"/>
      <c r="QOX116" s="182"/>
      <c r="QOY116" s="181"/>
      <c r="QOZ116" s="182"/>
      <c r="QPA116" s="181"/>
      <c r="QPB116" s="182"/>
      <c r="QPC116" s="181"/>
      <c r="QPD116" s="182"/>
      <c r="QPE116" s="181"/>
      <c r="QPF116" s="182"/>
      <c r="QPG116" s="181"/>
      <c r="QPH116" s="182"/>
      <c r="QPI116" s="181"/>
      <c r="QPJ116" s="182"/>
      <c r="QPK116" s="181"/>
      <c r="QPL116" s="182"/>
      <c r="QPM116" s="181"/>
      <c r="QPN116" s="182"/>
      <c r="QPO116" s="181"/>
      <c r="QPP116" s="182"/>
      <c r="QPQ116" s="181"/>
      <c r="QPR116" s="182"/>
      <c r="QPS116" s="181"/>
      <c r="QPT116" s="182"/>
      <c r="QPU116" s="181"/>
      <c r="QPV116" s="182"/>
      <c r="QPW116" s="181"/>
      <c r="QPX116" s="182"/>
      <c r="QPY116" s="181"/>
      <c r="QPZ116" s="182"/>
      <c r="QQA116" s="181"/>
      <c r="QQB116" s="182"/>
      <c r="QQC116" s="181"/>
      <c r="QQD116" s="182"/>
      <c r="QQE116" s="181"/>
      <c r="QQF116" s="182"/>
      <c r="QQG116" s="181"/>
      <c r="QQH116" s="182"/>
      <c r="QQI116" s="181"/>
      <c r="QQJ116" s="182"/>
      <c r="QQK116" s="181"/>
      <c r="QQL116" s="182"/>
      <c r="QQM116" s="181"/>
      <c r="QQN116" s="182"/>
      <c r="QQO116" s="181"/>
      <c r="QQP116" s="182"/>
      <c r="QQQ116" s="181"/>
      <c r="QQR116" s="182"/>
      <c r="QQS116" s="181"/>
      <c r="QQT116" s="182"/>
      <c r="QQU116" s="181"/>
      <c r="QQV116" s="182"/>
      <c r="QQW116" s="181"/>
      <c r="QQX116" s="182"/>
      <c r="QQY116" s="181"/>
      <c r="QQZ116" s="182"/>
      <c r="QRA116" s="181"/>
      <c r="QRB116" s="182"/>
      <c r="QRC116" s="181"/>
      <c r="QRD116" s="182"/>
      <c r="QRE116" s="181"/>
      <c r="QRF116" s="182"/>
      <c r="QRG116" s="181"/>
      <c r="QRH116" s="182"/>
      <c r="QRI116" s="181"/>
      <c r="QRJ116" s="182"/>
      <c r="QRK116" s="181"/>
      <c r="QRL116" s="182"/>
      <c r="QRM116" s="181"/>
      <c r="QRN116" s="182"/>
      <c r="QRO116" s="181"/>
      <c r="QRP116" s="182"/>
      <c r="QRQ116" s="181"/>
      <c r="QRR116" s="182"/>
      <c r="QRS116" s="181"/>
      <c r="QRT116" s="182"/>
      <c r="QRU116" s="181"/>
      <c r="QRV116" s="182"/>
      <c r="QRW116" s="181"/>
      <c r="QRX116" s="182"/>
      <c r="QRY116" s="181"/>
      <c r="QRZ116" s="182"/>
      <c r="QSA116" s="181"/>
      <c r="QSB116" s="182"/>
      <c r="QSC116" s="181"/>
      <c r="QSD116" s="182"/>
      <c r="QSE116" s="181"/>
      <c r="QSF116" s="182"/>
      <c r="QSG116" s="181"/>
      <c r="QSH116" s="182"/>
      <c r="QSI116" s="181"/>
      <c r="QSJ116" s="182"/>
      <c r="QSK116" s="181"/>
      <c r="QSL116" s="182"/>
      <c r="QSM116" s="181"/>
      <c r="QSN116" s="182"/>
      <c r="QSO116" s="181"/>
      <c r="QSP116" s="182"/>
      <c r="QSQ116" s="181"/>
      <c r="QSR116" s="182"/>
      <c r="QSS116" s="181"/>
      <c r="QST116" s="182"/>
      <c r="QSU116" s="181"/>
      <c r="QSV116" s="182"/>
      <c r="QSW116" s="181"/>
      <c r="QSX116" s="182"/>
      <c r="QSY116" s="181"/>
      <c r="QSZ116" s="182"/>
      <c r="QTA116" s="181"/>
      <c r="QTB116" s="182"/>
      <c r="QTC116" s="181"/>
      <c r="QTD116" s="182"/>
      <c r="QTE116" s="181"/>
      <c r="QTF116" s="182"/>
      <c r="QTG116" s="181"/>
      <c r="QTH116" s="182"/>
      <c r="QTI116" s="181"/>
      <c r="QTJ116" s="182"/>
      <c r="QTK116" s="181"/>
      <c r="QTL116" s="182"/>
      <c r="QTM116" s="181"/>
      <c r="QTN116" s="182"/>
      <c r="QTO116" s="181"/>
      <c r="QTP116" s="182"/>
      <c r="QTQ116" s="181"/>
      <c r="QTR116" s="182"/>
      <c r="QTS116" s="181"/>
      <c r="QTT116" s="182"/>
      <c r="QTU116" s="181"/>
      <c r="QTV116" s="182"/>
      <c r="QTW116" s="181"/>
      <c r="QTX116" s="182"/>
      <c r="QTY116" s="181"/>
      <c r="QTZ116" s="182"/>
      <c r="QUA116" s="181"/>
      <c r="QUB116" s="182"/>
      <c r="QUC116" s="181"/>
      <c r="QUD116" s="182"/>
      <c r="QUE116" s="181"/>
      <c r="QUF116" s="182"/>
      <c r="QUG116" s="181"/>
      <c r="QUH116" s="182"/>
      <c r="QUI116" s="181"/>
      <c r="QUJ116" s="182"/>
      <c r="QUK116" s="181"/>
      <c r="QUL116" s="182"/>
      <c r="QUM116" s="181"/>
      <c r="QUN116" s="182"/>
      <c r="QUO116" s="181"/>
      <c r="QUP116" s="182"/>
      <c r="QUQ116" s="181"/>
      <c r="QUR116" s="182"/>
      <c r="QUS116" s="181"/>
      <c r="QUT116" s="182"/>
      <c r="QUU116" s="181"/>
      <c r="QUV116" s="182"/>
      <c r="QUW116" s="181"/>
      <c r="QUX116" s="182"/>
      <c r="QUY116" s="181"/>
      <c r="QUZ116" s="182"/>
      <c r="QVA116" s="181"/>
      <c r="QVB116" s="182"/>
      <c r="QVC116" s="181"/>
      <c r="QVD116" s="182"/>
      <c r="QVE116" s="181"/>
      <c r="QVF116" s="182"/>
      <c r="QVG116" s="181"/>
      <c r="QVH116" s="182"/>
      <c r="QVI116" s="181"/>
      <c r="QVJ116" s="182"/>
      <c r="QVK116" s="181"/>
      <c r="QVL116" s="182"/>
      <c r="QVM116" s="181"/>
      <c r="QVN116" s="182"/>
      <c r="QVO116" s="181"/>
      <c r="QVP116" s="182"/>
      <c r="QVQ116" s="181"/>
      <c r="QVR116" s="182"/>
      <c r="QVS116" s="181"/>
      <c r="QVT116" s="182"/>
      <c r="QVU116" s="181"/>
      <c r="QVV116" s="182"/>
      <c r="QVW116" s="181"/>
      <c r="QVX116" s="182"/>
      <c r="QVY116" s="181"/>
      <c r="QVZ116" s="182"/>
      <c r="QWA116" s="181"/>
      <c r="QWB116" s="182"/>
      <c r="QWC116" s="181"/>
      <c r="QWD116" s="182"/>
      <c r="QWE116" s="181"/>
      <c r="QWF116" s="182"/>
      <c r="QWG116" s="181"/>
      <c r="QWH116" s="182"/>
      <c r="QWI116" s="181"/>
      <c r="QWJ116" s="182"/>
      <c r="QWK116" s="181"/>
      <c r="QWL116" s="182"/>
      <c r="QWM116" s="181"/>
      <c r="QWN116" s="182"/>
      <c r="QWO116" s="181"/>
      <c r="QWP116" s="182"/>
      <c r="QWQ116" s="181"/>
      <c r="QWR116" s="182"/>
      <c r="QWS116" s="181"/>
      <c r="QWT116" s="182"/>
      <c r="QWU116" s="181"/>
      <c r="QWV116" s="182"/>
      <c r="QWW116" s="181"/>
      <c r="QWX116" s="182"/>
      <c r="QWY116" s="181"/>
      <c r="QWZ116" s="182"/>
      <c r="QXA116" s="181"/>
      <c r="QXB116" s="182"/>
      <c r="QXC116" s="181"/>
      <c r="QXD116" s="182"/>
      <c r="QXE116" s="181"/>
      <c r="QXF116" s="182"/>
      <c r="QXG116" s="181"/>
      <c r="QXH116" s="182"/>
      <c r="QXI116" s="181"/>
      <c r="QXJ116" s="182"/>
      <c r="QXK116" s="181"/>
      <c r="QXL116" s="182"/>
      <c r="QXM116" s="181"/>
      <c r="QXN116" s="182"/>
      <c r="QXO116" s="181"/>
      <c r="QXP116" s="182"/>
      <c r="QXQ116" s="181"/>
      <c r="QXR116" s="182"/>
      <c r="QXS116" s="181"/>
      <c r="QXT116" s="182"/>
      <c r="QXU116" s="181"/>
      <c r="QXV116" s="182"/>
      <c r="QXW116" s="181"/>
      <c r="QXX116" s="182"/>
      <c r="QXY116" s="181"/>
      <c r="QXZ116" s="182"/>
      <c r="QYA116" s="181"/>
      <c r="QYB116" s="182"/>
      <c r="QYC116" s="181"/>
      <c r="QYD116" s="182"/>
      <c r="QYE116" s="181"/>
      <c r="QYF116" s="182"/>
      <c r="QYG116" s="181"/>
      <c r="QYH116" s="182"/>
      <c r="QYI116" s="181"/>
      <c r="QYJ116" s="182"/>
      <c r="QYK116" s="181"/>
      <c r="QYL116" s="182"/>
      <c r="QYM116" s="181"/>
      <c r="QYN116" s="182"/>
      <c r="QYO116" s="181"/>
      <c r="QYP116" s="182"/>
      <c r="QYQ116" s="181"/>
      <c r="QYR116" s="182"/>
      <c r="QYS116" s="181"/>
      <c r="QYT116" s="182"/>
      <c r="QYU116" s="181"/>
      <c r="QYV116" s="182"/>
      <c r="QYW116" s="181"/>
      <c r="QYX116" s="182"/>
      <c r="QYY116" s="181"/>
      <c r="QYZ116" s="182"/>
      <c r="QZA116" s="181"/>
      <c r="QZB116" s="182"/>
      <c r="QZC116" s="181"/>
      <c r="QZD116" s="182"/>
      <c r="QZE116" s="181"/>
      <c r="QZF116" s="182"/>
      <c r="QZG116" s="181"/>
      <c r="QZH116" s="182"/>
      <c r="QZI116" s="181"/>
      <c r="QZJ116" s="182"/>
      <c r="QZK116" s="181"/>
      <c r="QZL116" s="182"/>
      <c r="QZM116" s="181"/>
      <c r="QZN116" s="182"/>
      <c r="QZO116" s="181"/>
      <c r="QZP116" s="182"/>
      <c r="QZQ116" s="181"/>
      <c r="QZR116" s="182"/>
      <c r="QZS116" s="181"/>
      <c r="QZT116" s="182"/>
      <c r="QZU116" s="181"/>
      <c r="QZV116" s="182"/>
      <c r="QZW116" s="181"/>
      <c r="QZX116" s="182"/>
      <c r="QZY116" s="181"/>
      <c r="QZZ116" s="182"/>
      <c r="RAA116" s="181"/>
      <c r="RAB116" s="182"/>
      <c r="RAC116" s="181"/>
      <c r="RAD116" s="182"/>
      <c r="RAE116" s="181"/>
      <c r="RAF116" s="182"/>
      <c r="RAG116" s="181"/>
      <c r="RAH116" s="182"/>
      <c r="RAI116" s="181"/>
      <c r="RAJ116" s="182"/>
      <c r="RAK116" s="181"/>
      <c r="RAL116" s="182"/>
      <c r="RAM116" s="181"/>
      <c r="RAN116" s="182"/>
      <c r="RAO116" s="181"/>
      <c r="RAP116" s="182"/>
      <c r="RAQ116" s="181"/>
      <c r="RAR116" s="182"/>
      <c r="RAS116" s="181"/>
      <c r="RAT116" s="182"/>
      <c r="RAU116" s="181"/>
      <c r="RAV116" s="182"/>
      <c r="RAW116" s="181"/>
      <c r="RAX116" s="182"/>
      <c r="RAY116" s="181"/>
      <c r="RAZ116" s="182"/>
      <c r="RBA116" s="181"/>
      <c r="RBB116" s="182"/>
      <c r="RBC116" s="181"/>
      <c r="RBD116" s="182"/>
      <c r="RBE116" s="181"/>
      <c r="RBF116" s="182"/>
      <c r="RBG116" s="181"/>
      <c r="RBH116" s="182"/>
      <c r="RBI116" s="181"/>
      <c r="RBJ116" s="182"/>
      <c r="RBK116" s="181"/>
      <c r="RBL116" s="182"/>
      <c r="RBM116" s="181"/>
      <c r="RBN116" s="182"/>
      <c r="RBO116" s="181"/>
      <c r="RBP116" s="182"/>
      <c r="RBQ116" s="181"/>
      <c r="RBR116" s="182"/>
      <c r="RBS116" s="181"/>
      <c r="RBT116" s="182"/>
      <c r="RBU116" s="181"/>
      <c r="RBV116" s="182"/>
      <c r="RBW116" s="181"/>
      <c r="RBX116" s="182"/>
      <c r="RBY116" s="181"/>
      <c r="RBZ116" s="182"/>
      <c r="RCA116" s="181"/>
      <c r="RCB116" s="182"/>
      <c r="RCC116" s="181"/>
      <c r="RCD116" s="182"/>
      <c r="RCE116" s="181"/>
      <c r="RCF116" s="182"/>
      <c r="RCG116" s="181"/>
      <c r="RCH116" s="182"/>
      <c r="RCI116" s="181"/>
      <c r="RCJ116" s="182"/>
      <c r="RCK116" s="181"/>
      <c r="RCL116" s="182"/>
      <c r="RCM116" s="181"/>
      <c r="RCN116" s="182"/>
      <c r="RCO116" s="181"/>
      <c r="RCP116" s="182"/>
      <c r="RCQ116" s="181"/>
      <c r="RCR116" s="182"/>
      <c r="RCS116" s="181"/>
      <c r="RCT116" s="182"/>
      <c r="RCU116" s="181"/>
      <c r="RCV116" s="182"/>
      <c r="RCW116" s="181"/>
      <c r="RCX116" s="182"/>
      <c r="RCY116" s="181"/>
      <c r="RCZ116" s="182"/>
      <c r="RDA116" s="181"/>
      <c r="RDB116" s="182"/>
      <c r="RDC116" s="181"/>
      <c r="RDD116" s="182"/>
      <c r="RDE116" s="181"/>
      <c r="RDF116" s="182"/>
      <c r="RDG116" s="181"/>
      <c r="RDH116" s="182"/>
      <c r="RDI116" s="181"/>
      <c r="RDJ116" s="182"/>
      <c r="RDK116" s="181"/>
      <c r="RDL116" s="182"/>
      <c r="RDM116" s="181"/>
      <c r="RDN116" s="182"/>
      <c r="RDO116" s="181"/>
      <c r="RDP116" s="182"/>
      <c r="RDQ116" s="181"/>
      <c r="RDR116" s="182"/>
      <c r="RDS116" s="181"/>
      <c r="RDT116" s="182"/>
      <c r="RDU116" s="181"/>
      <c r="RDV116" s="182"/>
      <c r="RDW116" s="181"/>
      <c r="RDX116" s="182"/>
      <c r="RDY116" s="181"/>
      <c r="RDZ116" s="182"/>
      <c r="REA116" s="181"/>
      <c r="REB116" s="182"/>
      <c r="REC116" s="181"/>
      <c r="RED116" s="182"/>
      <c r="REE116" s="181"/>
      <c r="REF116" s="182"/>
      <c r="REG116" s="181"/>
      <c r="REH116" s="182"/>
      <c r="REI116" s="181"/>
      <c r="REJ116" s="182"/>
      <c r="REK116" s="181"/>
      <c r="REL116" s="182"/>
      <c r="REM116" s="181"/>
      <c r="REN116" s="182"/>
      <c r="REO116" s="181"/>
      <c r="REP116" s="182"/>
      <c r="REQ116" s="181"/>
      <c r="RER116" s="182"/>
      <c r="RES116" s="181"/>
      <c r="RET116" s="182"/>
      <c r="REU116" s="181"/>
      <c r="REV116" s="182"/>
      <c r="REW116" s="181"/>
      <c r="REX116" s="182"/>
      <c r="REY116" s="181"/>
      <c r="REZ116" s="182"/>
      <c r="RFA116" s="181"/>
      <c r="RFB116" s="182"/>
      <c r="RFC116" s="181"/>
      <c r="RFD116" s="182"/>
      <c r="RFE116" s="181"/>
      <c r="RFF116" s="182"/>
      <c r="RFG116" s="181"/>
      <c r="RFH116" s="182"/>
      <c r="RFI116" s="181"/>
      <c r="RFJ116" s="182"/>
      <c r="RFK116" s="181"/>
      <c r="RFL116" s="182"/>
      <c r="RFM116" s="181"/>
      <c r="RFN116" s="182"/>
      <c r="RFO116" s="181"/>
      <c r="RFP116" s="182"/>
      <c r="RFQ116" s="181"/>
      <c r="RFR116" s="182"/>
      <c r="RFS116" s="181"/>
      <c r="RFT116" s="182"/>
      <c r="RFU116" s="181"/>
      <c r="RFV116" s="182"/>
      <c r="RFW116" s="181"/>
      <c r="RFX116" s="182"/>
      <c r="RFY116" s="181"/>
      <c r="RFZ116" s="182"/>
      <c r="RGA116" s="181"/>
      <c r="RGB116" s="182"/>
      <c r="RGC116" s="181"/>
      <c r="RGD116" s="182"/>
      <c r="RGE116" s="181"/>
      <c r="RGF116" s="182"/>
      <c r="RGG116" s="181"/>
      <c r="RGH116" s="182"/>
      <c r="RGI116" s="181"/>
      <c r="RGJ116" s="182"/>
      <c r="RGK116" s="181"/>
      <c r="RGL116" s="182"/>
      <c r="RGM116" s="181"/>
      <c r="RGN116" s="182"/>
      <c r="RGO116" s="181"/>
      <c r="RGP116" s="182"/>
      <c r="RGQ116" s="181"/>
      <c r="RGR116" s="182"/>
      <c r="RGS116" s="181"/>
      <c r="RGT116" s="182"/>
      <c r="RGU116" s="181"/>
      <c r="RGV116" s="182"/>
      <c r="RGW116" s="181"/>
      <c r="RGX116" s="182"/>
      <c r="RGY116" s="181"/>
      <c r="RGZ116" s="182"/>
      <c r="RHA116" s="181"/>
      <c r="RHB116" s="182"/>
      <c r="RHC116" s="181"/>
      <c r="RHD116" s="182"/>
      <c r="RHE116" s="181"/>
      <c r="RHF116" s="182"/>
      <c r="RHG116" s="181"/>
      <c r="RHH116" s="182"/>
      <c r="RHI116" s="181"/>
      <c r="RHJ116" s="182"/>
      <c r="RHK116" s="181"/>
      <c r="RHL116" s="182"/>
      <c r="RHM116" s="181"/>
      <c r="RHN116" s="182"/>
      <c r="RHO116" s="181"/>
      <c r="RHP116" s="182"/>
      <c r="RHQ116" s="181"/>
      <c r="RHR116" s="182"/>
      <c r="RHS116" s="181"/>
      <c r="RHT116" s="182"/>
      <c r="RHU116" s="181"/>
      <c r="RHV116" s="182"/>
      <c r="RHW116" s="181"/>
      <c r="RHX116" s="182"/>
      <c r="RHY116" s="181"/>
      <c r="RHZ116" s="182"/>
      <c r="RIA116" s="181"/>
      <c r="RIB116" s="182"/>
      <c r="RIC116" s="181"/>
      <c r="RID116" s="182"/>
      <c r="RIE116" s="181"/>
      <c r="RIF116" s="182"/>
      <c r="RIG116" s="181"/>
      <c r="RIH116" s="182"/>
      <c r="RII116" s="181"/>
      <c r="RIJ116" s="182"/>
      <c r="RIK116" s="181"/>
      <c r="RIL116" s="182"/>
      <c r="RIM116" s="181"/>
      <c r="RIN116" s="182"/>
      <c r="RIO116" s="181"/>
      <c r="RIP116" s="182"/>
      <c r="RIQ116" s="181"/>
      <c r="RIR116" s="182"/>
      <c r="RIS116" s="181"/>
      <c r="RIT116" s="182"/>
      <c r="RIU116" s="181"/>
      <c r="RIV116" s="182"/>
      <c r="RIW116" s="181"/>
      <c r="RIX116" s="182"/>
      <c r="RIY116" s="181"/>
      <c r="RIZ116" s="182"/>
      <c r="RJA116" s="181"/>
      <c r="RJB116" s="182"/>
      <c r="RJC116" s="181"/>
      <c r="RJD116" s="182"/>
      <c r="RJE116" s="181"/>
      <c r="RJF116" s="182"/>
      <c r="RJG116" s="181"/>
      <c r="RJH116" s="182"/>
      <c r="RJI116" s="181"/>
      <c r="RJJ116" s="182"/>
      <c r="RJK116" s="181"/>
      <c r="RJL116" s="182"/>
      <c r="RJM116" s="181"/>
      <c r="RJN116" s="182"/>
      <c r="RJO116" s="181"/>
      <c r="RJP116" s="182"/>
      <c r="RJQ116" s="181"/>
      <c r="RJR116" s="182"/>
      <c r="RJS116" s="181"/>
      <c r="RJT116" s="182"/>
      <c r="RJU116" s="181"/>
      <c r="RJV116" s="182"/>
      <c r="RJW116" s="181"/>
      <c r="RJX116" s="182"/>
      <c r="RJY116" s="181"/>
      <c r="RJZ116" s="182"/>
      <c r="RKA116" s="181"/>
      <c r="RKB116" s="182"/>
      <c r="RKC116" s="181"/>
      <c r="RKD116" s="182"/>
      <c r="RKE116" s="181"/>
      <c r="RKF116" s="182"/>
      <c r="RKG116" s="181"/>
      <c r="RKH116" s="182"/>
      <c r="RKI116" s="181"/>
      <c r="RKJ116" s="182"/>
      <c r="RKK116" s="181"/>
      <c r="RKL116" s="182"/>
      <c r="RKM116" s="181"/>
      <c r="RKN116" s="182"/>
      <c r="RKO116" s="181"/>
      <c r="RKP116" s="182"/>
      <c r="RKQ116" s="181"/>
      <c r="RKR116" s="182"/>
      <c r="RKS116" s="181"/>
      <c r="RKT116" s="182"/>
      <c r="RKU116" s="181"/>
      <c r="RKV116" s="182"/>
      <c r="RKW116" s="181"/>
      <c r="RKX116" s="182"/>
      <c r="RKY116" s="181"/>
      <c r="RKZ116" s="182"/>
      <c r="RLA116" s="181"/>
      <c r="RLB116" s="182"/>
      <c r="RLC116" s="181"/>
      <c r="RLD116" s="182"/>
      <c r="RLE116" s="181"/>
      <c r="RLF116" s="182"/>
      <c r="RLG116" s="181"/>
      <c r="RLH116" s="182"/>
      <c r="RLI116" s="181"/>
      <c r="RLJ116" s="182"/>
      <c r="RLK116" s="181"/>
      <c r="RLL116" s="182"/>
      <c r="RLM116" s="181"/>
      <c r="RLN116" s="182"/>
      <c r="RLO116" s="181"/>
      <c r="RLP116" s="182"/>
      <c r="RLQ116" s="181"/>
      <c r="RLR116" s="182"/>
      <c r="RLS116" s="181"/>
      <c r="RLT116" s="182"/>
      <c r="RLU116" s="181"/>
      <c r="RLV116" s="182"/>
      <c r="RLW116" s="181"/>
      <c r="RLX116" s="182"/>
      <c r="RLY116" s="181"/>
      <c r="RLZ116" s="182"/>
      <c r="RMA116" s="181"/>
      <c r="RMB116" s="182"/>
      <c r="RMC116" s="181"/>
      <c r="RMD116" s="182"/>
      <c r="RME116" s="181"/>
      <c r="RMF116" s="182"/>
      <c r="RMG116" s="181"/>
      <c r="RMH116" s="182"/>
      <c r="RMI116" s="181"/>
      <c r="RMJ116" s="182"/>
      <c r="RMK116" s="181"/>
      <c r="RML116" s="182"/>
      <c r="RMM116" s="181"/>
      <c r="RMN116" s="182"/>
      <c r="RMO116" s="181"/>
      <c r="RMP116" s="182"/>
      <c r="RMQ116" s="181"/>
      <c r="RMR116" s="182"/>
      <c r="RMS116" s="181"/>
      <c r="RMT116" s="182"/>
      <c r="RMU116" s="181"/>
      <c r="RMV116" s="182"/>
      <c r="RMW116" s="181"/>
      <c r="RMX116" s="182"/>
      <c r="RMY116" s="181"/>
      <c r="RMZ116" s="182"/>
      <c r="RNA116" s="181"/>
      <c r="RNB116" s="182"/>
      <c r="RNC116" s="181"/>
      <c r="RND116" s="182"/>
      <c r="RNE116" s="181"/>
      <c r="RNF116" s="182"/>
      <c r="RNG116" s="181"/>
      <c r="RNH116" s="182"/>
      <c r="RNI116" s="181"/>
      <c r="RNJ116" s="182"/>
      <c r="RNK116" s="181"/>
      <c r="RNL116" s="182"/>
      <c r="RNM116" s="181"/>
      <c r="RNN116" s="182"/>
      <c r="RNO116" s="181"/>
      <c r="RNP116" s="182"/>
      <c r="RNQ116" s="181"/>
      <c r="RNR116" s="182"/>
      <c r="RNS116" s="181"/>
      <c r="RNT116" s="182"/>
      <c r="RNU116" s="181"/>
      <c r="RNV116" s="182"/>
      <c r="RNW116" s="181"/>
      <c r="RNX116" s="182"/>
      <c r="RNY116" s="181"/>
      <c r="RNZ116" s="182"/>
      <c r="ROA116" s="181"/>
      <c r="ROB116" s="182"/>
      <c r="ROC116" s="181"/>
      <c r="ROD116" s="182"/>
      <c r="ROE116" s="181"/>
      <c r="ROF116" s="182"/>
      <c r="ROG116" s="181"/>
      <c r="ROH116" s="182"/>
      <c r="ROI116" s="181"/>
      <c r="ROJ116" s="182"/>
      <c r="ROK116" s="181"/>
      <c r="ROL116" s="182"/>
      <c r="ROM116" s="181"/>
      <c r="RON116" s="182"/>
      <c r="ROO116" s="181"/>
      <c r="ROP116" s="182"/>
      <c r="ROQ116" s="181"/>
      <c r="ROR116" s="182"/>
      <c r="ROS116" s="181"/>
      <c r="ROT116" s="182"/>
      <c r="ROU116" s="181"/>
      <c r="ROV116" s="182"/>
      <c r="ROW116" s="181"/>
      <c r="ROX116" s="182"/>
      <c r="ROY116" s="181"/>
      <c r="ROZ116" s="182"/>
      <c r="RPA116" s="181"/>
      <c r="RPB116" s="182"/>
      <c r="RPC116" s="181"/>
      <c r="RPD116" s="182"/>
      <c r="RPE116" s="181"/>
      <c r="RPF116" s="182"/>
      <c r="RPG116" s="181"/>
      <c r="RPH116" s="182"/>
      <c r="RPI116" s="181"/>
      <c r="RPJ116" s="182"/>
      <c r="RPK116" s="181"/>
      <c r="RPL116" s="182"/>
      <c r="RPM116" s="181"/>
      <c r="RPN116" s="182"/>
      <c r="RPO116" s="181"/>
      <c r="RPP116" s="182"/>
      <c r="RPQ116" s="181"/>
      <c r="RPR116" s="182"/>
      <c r="RPS116" s="181"/>
      <c r="RPT116" s="182"/>
      <c r="RPU116" s="181"/>
      <c r="RPV116" s="182"/>
      <c r="RPW116" s="181"/>
      <c r="RPX116" s="182"/>
      <c r="RPY116" s="181"/>
      <c r="RPZ116" s="182"/>
      <c r="RQA116" s="181"/>
      <c r="RQB116" s="182"/>
      <c r="RQC116" s="181"/>
      <c r="RQD116" s="182"/>
      <c r="RQE116" s="181"/>
      <c r="RQF116" s="182"/>
      <c r="RQG116" s="181"/>
      <c r="RQH116" s="182"/>
      <c r="RQI116" s="181"/>
      <c r="RQJ116" s="182"/>
      <c r="RQK116" s="181"/>
      <c r="RQL116" s="182"/>
      <c r="RQM116" s="181"/>
      <c r="RQN116" s="182"/>
      <c r="RQO116" s="181"/>
      <c r="RQP116" s="182"/>
      <c r="RQQ116" s="181"/>
      <c r="RQR116" s="182"/>
      <c r="RQS116" s="181"/>
      <c r="RQT116" s="182"/>
      <c r="RQU116" s="181"/>
      <c r="RQV116" s="182"/>
      <c r="RQW116" s="181"/>
      <c r="RQX116" s="182"/>
      <c r="RQY116" s="181"/>
      <c r="RQZ116" s="182"/>
      <c r="RRA116" s="181"/>
      <c r="RRB116" s="182"/>
      <c r="RRC116" s="181"/>
      <c r="RRD116" s="182"/>
      <c r="RRE116" s="181"/>
      <c r="RRF116" s="182"/>
      <c r="RRG116" s="181"/>
      <c r="RRH116" s="182"/>
      <c r="RRI116" s="181"/>
      <c r="RRJ116" s="182"/>
      <c r="RRK116" s="181"/>
      <c r="RRL116" s="182"/>
      <c r="RRM116" s="181"/>
      <c r="RRN116" s="182"/>
      <c r="RRO116" s="181"/>
      <c r="RRP116" s="182"/>
      <c r="RRQ116" s="181"/>
      <c r="RRR116" s="182"/>
      <c r="RRS116" s="181"/>
      <c r="RRT116" s="182"/>
      <c r="RRU116" s="181"/>
      <c r="RRV116" s="182"/>
      <c r="RRW116" s="181"/>
      <c r="RRX116" s="182"/>
      <c r="RRY116" s="181"/>
      <c r="RRZ116" s="182"/>
      <c r="RSA116" s="181"/>
      <c r="RSB116" s="182"/>
      <c r="RSC116" s="181"/>
      <c r="RSD116" s="182"/>
      <c r="RSE116" s="181"/>
      <c r="RSF116" s="182"/>
      <c r="RSG116" s="181"/>
      <c r="RSH116" s="182"/>
      <c r="RSI116" s="181"/>
      <c r="RSJ116" s="182"/>
      <c r="RSK116" s="181"/>
      <c r="RSL116" s="182"/>
      <c r="RSM116" s="181"/>
      <c r="RSN116" s="182"/>
      <c r="RSO116" s="181"/>
      <c r="RSP116" s="182"/>
      <c r="RSQ116" s="181"/>
      <c r="RSR116" s="182"/>
      <c r="RSS116" s="181"/>
      <c r="RST116" s="182"/>
      <c r="RSU116" s="181"/>
      <c r="RSV116" s="182"/>
      <c r="RSW116" s="181"/>
      <c r="RSX116" s="182"/>
      <c r="RSY116" s="181"/>
      <c r="RSZ116" s="182"/>
      <c r="RTA116" s="181"/>
      <c r="RTB116" s="182"/>
      <c r="RTC116" s="181"/>
      <c r="RTD116" s="182"/>
      <c r="RTE116" s="181"/>
      <c r="RTF116" s="182"/>
      <c r="RTG116" s="181"/>
      <c r="RTH116" s="182"/>
      <c r="RTI116" s="181"/>
      <c r="RTJ116" s="182"/>
      <c r="RTK116" s="181"/>
      <c r="RTL116" s="182"/>
      <c r="RTM116" s="181"/>
      <c r="RTN116" s="182"/>
      <c r="RTO116" s="181"/>
      <c r="RTP116" s="182"/>
      <c r="RTQ116" s="181"/>
      <c r="RTR116" s="182"/>
      <c r="RTS116" s="181"/>
      <c r="RTT116" s="182"/>
      <c r="RTU116" s="181"/>
      <c r="RTV116" s="182"/>
      <c r="RTW116" s="181"/>
      <c r="RTX116" s="182"/>
      <c r="RTY116" s="181"/>
      <c r="RTZ116" s="182"/>
      <c r="RUA116" s="181"/>
      <c r="RUB116" s="182"/>
      <c r="RUC116" s="181"/>
      <c r="RUD116" s="182"/>
      <c r="RUE116" s="181"/>
      <c r="RUF116" s="182"/>
      <c r="RUG116" s="181"/>
      <c r="RUH116" s="182"/>
      <c r="RUI116" s="181"/>
      <c r="RUJ116" s="182"/>
      <c r="RUK116" s="181"/>
      <c r="RUL116" s="182"/>
      <c r="RUM116" s="181"/>
      <c r="RUN116" s="182"/>
      <c r="RUO116" s="181"/>
      <c r="RUP116" s="182"/>
      <c r="RUQ116" s="181"/>
      <c r="RUR116" s="182"/>
      <c r="RUS116" s="181"/>
      <c r="RUT116" s="182"/>
      <c r="RUU116" s="181"/>
      <c r="RUV116" s="182"/>
      <c r="RUW116" s="181"/>
      <c r="RUX116" s="182"/>
      <c r="RUY116" s="181"/>
      <c r="RUZ116" s="182"/>
      <c r="RVA116" s="181"/>
      <c r="RVB116" s="182"/>
      <c r="RVC116" s="181"/>
      <c r="RVD116" s="182"/>
      <c r="RVE116" s="181"/>
      <c r="RVF116" s="182"/>
      <c r="RVG116" s="181"/>
      <c r="RVH116" s="182"/>
      <c r="RVI116" s="181"/>
      <c r="RVJ116" s="182"/>
      <c r="RVK116" s="181"/>
      <c r="RVL116" s="182"/>
      <c r="RVM116" s="181"/>
      <c r="RVN116" s="182"/>
      <c r="RVO116" s="181"/>
      <c r="RVP116" s="182"/>
      <c r="RVQ116" s="181"/>
      <c r="RVR116" s="182"/>
      <c r="RVS116" s="181"/>
      <c r="RVT116" s="182"/>
      <c r="RVU116" s="181"/>
      <c r="RVV116" s="182"/>
      <c r="RVW116" s="181"/>
      <c r="RVX116" s="182"/>
      <c r="RVY116" s="181"/>
      <c r="RVZ116" s="182"/>
      <c r="RWA116" s="181"/>
      <c r="RWB116" s="182"/>
      <c r="RWC116" s="181"/>
      <c r="RWD116" s="182"/>
      <c r="RWE116" s="181"/>
      <c r="RWF116" s="182"/>
      <c r="RWG116" s="181"/>
      <c r="RWH116" s="182"/>
      <c r="RWI116" s="181"/>
      <c r="RWJ116" s="182"/>
      <c r="RWK116" s="181"/>
      <c r="RWL116" s="182"/>
      <c r="RWM116" s="181"/>
      <c r="RWN116" s="182"/>
      <c r="RWO116" s="181"/>
      <c r="RWP116" s="182"/>
      <c r="RWQ116" s="181"/>
      <c r="RWR116" s="182"/>
      <c r="RWS116" s="181"/>
      <c r="RWT116" s="182"/>
      <c r="RWU116" s="181"/>
      <c r="RWV116" s="182"/>
      <c r="RWW116" s="181"/>
      <c r="RWX116" s="182"/>
      <c r="RWY116" s="181"/>
      <c r="RWZ116" s="182"/>
      <c r="RXA116" s="181"/>
      <c r="RXB116" s="182"/>
      <c r="RXC116" s="181"/>
      <c r="RXD116" s="182"/>
      <c r="RXE116" s="181"/>
      <c r="RXF116" s="182"/>
      <c r="RXG116" s="181"/>
      <c r="RXH116" s="182"/>
      <c r="RXI116" s="181"/>
      <c r="RXJ116" s="182"/>
      <c r="RXK116" s="181"/>
      <c r="RXL116" s="182"/>
      <c r="RXM116" s="181"/>
      <c r="RXN116" s="182"/>
      <c r="RXO116" s="181"/>
      <c r="RXP116" s="182"/>
      <c r="RXQ116" s="181"/>
      <c r="RXR116" s="182"/>
      <c r="RXS116" s="181"/>
      <c r="RXT116" s="182"/>
      <c r="RXU116" s="181"/>
      <c r="RXV116" s="182"/>
      <c r="RXW116" s="181"/>
      <c r="RXX116" s="182"/>
      <c r="RXY116" s="181"/>
      <c r="RXZ116" s="182"/>
      <c r="RYA116" s="181"/>
      <c r="RYB116" s="182"/>
      <c r="RYC116" s="181"/>
      <c r="RYD116" s="182"/>
      <c r="RYE116" s="181"/>
      <c r="RYF116" s="182"/>
      <c r="RYG116" s="181"/>
      <c r="RYH116" s="182"/>
      <c r="RYI116" s="181"/>
      <c r="RYJ116" s="182"/>
      <c r="RYK116" s="181"/>
      <c r="RYL116" s="182"/>
      <c r="RYM116" s="181"/>
      <c r="RYN116" s="182"/>
      <c r="RYO116" s="181"/>
      <c r="RYP116" s="182"/>
      <c r="RYQ116" s="181"/>
      <c r="RYR116" s="182"/>
      <c r="RYS116" s="181"/>
      <c r="RYT116" s="182"/>
      <c r="RYU116" s="181"/>
      <c r="RYV116" s="182"/>
      <c r="RYW116" s="181"/>
      <c r="RYX116" s="182"/>
      <c r="RYY116" s="181"/>
      <c r="RYZ116" s="182"/>
      <c r="RZA116" s="181"/>
      <c r="RZB116" s="182"/>
      <c r="RZC116" s="181"/>
      <c r="RZD116" s="182"/>
      <c r="RZE116" s="181"/>
      <c r="RZF116" s="182"/>
      <c r="RZG116" s="181"/>
      <c r="RZH116" s="182"/>
      <c r="RZI116" s="181"/>
      <c r="RZJ116" s="182"/>
      <c r="RZK116" s="181"/>
      <c r="RZL116" s="182"/>
      <c r="RZM116" s="181"/>
      <c r="RZN116" s="182"/>
      <c r="RZO116" s="181"/>
      <c r="RZP116" s="182"/>
      <c r="RZQ116" s="181"/>
      <c r="RZR116" s="182"/>
      <c r="RZS116" s="181"/>
      <c r="RZT116" s="182"/>
      <c r="RZU116" s="181"/>
      <c r="RZV116" s="182"/>
      <c r="RZW116" s="181"/>
      <c r="RZX116" s="182"/>
      <c r="RZY116" s="181"/>
      <c r="RZZ116" s="182"/>
      <c r="SAA116" s="181"/>
      <c r="SAB116" s="182"/>
      <c r="SAC116" s="181"/>
      <c r="SAD116" s="182"/>
      <c r="SAE116" s="181"/>
      <c r="SAF116" s="182"/>
      <c r="SAG116" s="181"/>
      <c r="SAH116" s="182"/>
      <c r="SAI116" s="181"/>
      <c r="SAJ116" s="182"/>
      <c r="SAK116" s="181"/>
      <c r="SAL116" s="182"/>
      <c r="SAM116" s="181"/>
      <c r="SAN116" s="182"/>
      <c r="SAO116" s="181"/>
      <c r="SAP116" s="182"/>
      <c r="SAQ116" s="181"/>
      <c r="SAR116" s="182"/>
      <c r="SAS116" s="181"/>
      <c r="SAT116" s="182"/>
      <c r="SAU116" s="181"/>
      <c r="SAV116" s="182"/>
      <c r="SAW116" s="181"/>
      <c r="SAX116" s="182"/>
      <c r="SAY116" s="181"/>
      <c r="SAZ116" s="182"/>
      <c r="SBA116" s="181"/>
      <c r="SBB116" s="182"/>
      <c r="SBC116" s="181"/>
      <c r="SBD116" s="182"/>
      <c r="SBE116" s="181"/>
      <c r="SBF116" s="182"/>
      <c r="SBG116" s="181"/>
      <c r="SBH116" s="182"/>
      <c r="SBI116" s="181"/>
      <c r="SBJ116" s="182"/>
      <c r="SBK116" s="181"/>
      <c r="SBL116" s="182"/>
      <c r="SBM116" s="181"/>
      <c r="SBN116" s="182"/>
      <c r="SBO116" s="181"/>
      <c r="SBP116" s="182"/>
      <c r="SBQ116" s="181"/>
      <c r="SBR116" s="182"/>
      <c r="SBS116" s="181"/>
      <c r="SBT116" s="182"/>
      <c r="SBU116" s="181"/>
      <c r="SBV116" s="182"/>
      <c r="SBW116" s="181"/>
      <c r="SBX116" s="182"/>
      <c r="SBY116" s="181"/>
      <c r="SBZ116" s="182"/>
      <c r="SCA116" s="181"/>
      <c r="SCB116" s="182"/>
      <c r="SCC116" s="181"/>
      <c r="SCD116" s="182"/>
      <c r="SCE116" s="181"/>
      <c r="SCF116" s="182"/>
      <c r="SCG116" s="181"/>
      <c r="SCH116" s="182"/>
      <c r="SCI116" s="181"/>
      <c r="SCJ116" s="182"/>
      <c r="SCK116" s="181"/>
      <c r="SCL116" s="182"/>
      <c r="SCM116" s="181"/>
      <c r="SCN116" s="182"/>
      <c r="SCO116" s="181"/>
      <c r="SCP116" s="182"/>
      <c r="SCQ116" s="181"/>
      <c r="SCR116" s="182"/>
      <c r="SCS116" s="181"/>
      <c r="SCT116" s="182"/>
      <c r="SCU116" s="181"/>
      <c r="SCV116" s="182"/>
      <c r="SCW116" s="181"/>
      <c r="SCX116" s="182"/>
      <c r="SCY116" s="181"/>
      <c r="SCZ116" s="182"/>
      <c r="SDA116" s="181"/>
      <c r="SDB116" s="182"/>
      <c r="SDC116" s="181"/>
      <c r="SDD116" s="182"/>
      <c r="SDE116" s="181"/>
      <c r="SDF116" s="182"/>
      <c r="SDG116" s="181"/>
      <c r="SDH116" s="182"/>
      <c r="SDI116" s="181"/>
      <c r="SDJ116" s="182"/>
      <c r="SDK116" s="181"/>
      <c r="SDL116" s="182"/>
      <c r="SDM116" s="181"/>
      <c r="SDN116" s="182"/>
      <c r="SDO116" s="181"/>
      <c r="SDP116" s="182"/>
      <c r="SDQ116" s="181"/>
      <c r="SDR116" s="182"/>
      <c r="SDS116" s="181"/>
      <c r="SDT116" s="182"/>
      <c r="SDU116" s="181"/>
      <c r="SDV116" s="182"/>
      <c r="SDW116" s="181"/>
      <c r="SDX116" s="182"/>
      <c r="SDY116" s="181"/>
      <c r="SDZ116" s="182"/>
      <c r="SEA116" s="181"/>
      <c r="SEB116" s="182"/>
      <c r="SEC116" s="181"/>
      <c r="SED116" s="182"/>
      <c r="SEE116" s="181"/>
      <c r="SEF116" s="182"/>
      <c r="SEG116" s="181"/>
      <c r="SEH116" s="182"/>
      <c r="SEI116" s="181"/>
      <c r="SEJ116" s="182"/>
      <c r="SEK116" s="181"/>
      <c r="SEL116" s="182"/>
      <c r="SEM116" s="181"/>
      <c r="SEN116" s="182"/>
      <c r="SEO116" s="181"/>
      <c r="SEP116" s="182"/>
      <c r="SEQ116" s="181"/>
      <c r="SER116" s="182"/>
      <c r="SES116" s="181"/>
      <c r="SET116" s="182"/>
      <c r="SEU116" s="181"/>
      <c r="SEV116" s="182"/>
      <c r="SEW116" s="181"/>
      <c r="SEX116" s="182"/>
      <c r="SEY116" s="181"/>
      <c r="SEZ116" s="182"/>
      <c r="SFA116" s="181"/>
      <c r="SFB116" s="182"/>
      <c r="SFC116" s="181"/>
      <c r="SFD116" s="182"/>
      <c r="SFE116" s="181"/>
      <c r="SFF116" s="182"/>
      <c r="SFG116" s="181"/>
      <c r="SFH116" s="182"/>
      <c r="SFI116" s="181"/>
      <c r="SFJ116" s="182"/>
      <c r="SFK116" s="181"/>
      <c r="SFL116" s="182"/>
      <c r="SFM116" s="181"/>
      <c r="SFN116" s="182"/>
      <c r="SFO116" s="181"/>
      <c r="SFP116" s="182"/>
      <c r="SFQ116" s="181"/>
      <c r="SFR116" s="182"/>
      <c r="SFS116" s="181"/>
      <c r="SFT116" s="182"/>
      <c r="SFU116" s="181"/>
      <c r="SFV116" s="182"/>
      <c r="SFW116" s="181"/>
      <c r="SFX116" s="182"/>
      <c r="SFY116" s="181"/>
      <c r="SFZ116" s="182"/>
      <c r="SGA116" s="181"/>
      <c r="SGB116" s="182"/>
      <c r="SGC116" s="181"/>
      <c r="SGD116" s="182"/>
      <c r="SGE116" s="181"/>
      <c r="SGF116" s="182"/>
      <c r="SGG116" s="181"/>
      <c r="SGH116" s="182"/>
      <c r="SGI116" s="181"/>
      <c r="SGJ116" s="182"/>
      <c r="SGK116" s="181"/>
      <c r="SGL116" s="182"/>
      <c r="SGM116" s="181"/>
      <c r="SGN116" s="182"/>
      <c r="SGO116" s="181"/>
      <c r="SGP116" s="182"/>
      <c r="SGQ116" s="181"/>
      <c r="SGR116" s="182"/>
      <c r="SGS116" s="181"/>
      <c r="SGT116" s="182"/>
      <c r="SGU116" s="181"/>
      <c r="SGV116" s="182"/>
      <c r="SGW116" s="181"/>
      <c r="SGX116" s="182"/>
      <c r="SGY116" s="181"/>
      <c r="SGZ116" s="182"/>
      <c r="SHA116" s="181"/>
      <c r="SHB116" s="182"/>
      <c r="SHC116" s="181"/>
      <c r="SHD116" s="182"/>
      <c r="SHE116" s="181"/>
      <c r="SHF116" s="182"/>
      <c r="SHG116" s="181"/>
      <c r="SHH116" s="182"/>
      <c r="SHI116" s="181"/>
      <c r="SHJ116" s="182"/>
      <c r="SHK116" s="181"/>
      <c r="SHL116" s="182"/>
      <c r="SHM116" s="181"/>
      <c r="SHN116" s="182"/>
      <c r="SHO116" s="181"/>
      <c r="SHP116" s="182"/>
      <c r="SHQ116" s="181"/>
      <c r="SHR116" s="182"/>
      <c r="SHS116" s="181"/>
      <c r="SHT116" s="182"/>
      <c r="SHU116" s="181"/>
      <c r="SHV116" s="182"/>
      <c r="SHW116" s="181"/>
      <c r="SHX116" s="182"/>
      <c r="SHY116" s="181"/>
      <c r="SHZ116" s="182"/>
      <c r="SIA116" s="181"/>
      <c r="SIB116" s="182"/>
      <c r="SIC116" s="181"/>
      <c r="SID116" s="182"/>
      <c r="SIE116" s="181"/>
      <c r="SIF116" s="182"/>
      <c r="SIG116" s="181"/>
      <c r="SIH116" s="182"/>
      <c r="SII116" s="181"/>
      <c r="SIJ116" s="182"/>
      <c r="SIK116" s="181"/>
      <c r="SIL116" s="182"/>
      <c r="SIM116" s="181"/>
      <c r="SIN116" s="182"/>
      <c r="SIO116" s="181"/>
      <c r="SIP116" s="182"/>
      <c r="SIQ116" s="181"/>
      <c r="SIR116" s="182"/>
      <c r="SIS116" s="181"/>
      <c r="SIT116" s="182"/>
      <c r="SIU116" s="181"/>
      <c r="SIV116" s="182"/>
      <c r="SIW116" s="181"/>
      <c r="SIX116" s="182"/>
      <c r="SIY116" s="181"/>
      <c r="SIZ116" s="182"/>
      <c r="SJA116" s="181"/>
      <c r="SJB116" s="182"/>
      <c r="SJC116" s="181"/>
      <c r="SJD116" s="182"/>
      <c r="SJE116" s="181"/>
      <c r="SJF116" s="182"/>
      <c r="SJG116" s="181"/>
      <c r="SJH116" s="182"/>
      <c r="SJI116" s="181"/>
      <c r="SJJ116" s="182"/>
      <c r="SJK116" s="181"/>
      <c r="SJL116" s="182"/>
      <c r="SJM116" s="181"/>
      <c r="SJN116" s="182"/>
      <c r="SJO116" s="181"/>
      <c r="SJP116" s="182"/>
      <c r="SJQ116" s="181"/>
      <c r="SJR116" s="182"/>
      <c r="SJS116" s="181"/>
      <c r="SJT116" s="182"/>
      <c r="SJU116" s="181"/>
      <c r="SJV116" s="182"/>
      <c r="SJW116" s="181"/>
      <c r="SJX116" s="182"/>
      <c r="SJY116" s="181"/>
      <c r="SJZ116" s="182"/>
      <c r="SKA116" s="181"/>
      <c r="SKB116" s="182"/>
      <c r="SKC116" s="181"/>
      <c r="SKD116" s="182"/>
      <c r="SKE116" s="181"/>
      <c r="SKF116" s="182"/>
      <c r="SKG116" s="181"/>
      <c r="SKH116" s="182"/>
      <c r="SKI116" s="181"/>
      <c r="SKJ116" s="182"/>
      <c r="SKK116" s="181"/>
      <c r="SKL116" s="182"/>
      <c r="SKM116" s="181"/>
      <c r="SKN116" s="182"/>
      <c r="SKO116" s="181"/>
      <c r="SKP116" s="182"/>
      <c r="SKQ116" s="181"/>
      <c r="SKR116" s="182"/>
      <c r="SKS116" s="181"/>
      <c r="SKT116" s="182"/>
      <c r="SKU116" s="181"/>
      <c r="SKV116" s="182"/>
      <c r="SKW116" s="181"/>
      <c r="SKX116" s="182"/>
      <c r="SKY116" s="181"/>
      <c r="SKZ116" s="182"/>
      <c r="SLA116" s="181"/>
      <c r="SLB116" s="182"/>
      <c r="SLC116" s="181"/>
      <c r="SLD116" s="182"/>
      <c r="SLE116" s="181"/>
      <c r="SLF116" s="182"/>
      <c r="SLG116" s="181"/>
      <c r="SLH116" s="182"/>
      <c r="SLI116" s="181"/>
      <c r="SLJ116" s="182"/>
      <c r="SLK116" s="181"/>
      <c r="SLL116" s="182"/>
      <c r="SLM116" s="181"/>
      <c r="SLN116" s="182"/>
      <c r="SLO116" s="181"/>
      <c r="SLP116" s="182"/>
      <c r="SLQ116" s="181"/>
      <c r="SLR116" s="182"/>
      <c r="SLS116" s="181"/>
      <c r="SLT116" s="182"/>
      <c r="SLU116" s="181"/>
      <c r="SLV116" s="182"/>
      <c r="SLW116" s="181"/>
      <c r="SLX116" s="182"/>
      <c r="SLY116" s="181"/>
      <c r="SLZ116" s="182"/>
      <c r="SMA116" s="181"/>
      <c r="SMB116" s="182"/>
      <c r="SMC116" s="181"/>
      <c r="SMD116" s="182"/>
      <c r="SME116" s="181"/>
      <c r="SMF116" s="182"/>
      <c r="SMG116" s="181"/>
      <c r="SMH116" s="182"/>
      <c r="SMI116" s="181"/>
      <c r="SMJ116" s="182"/>
      <c r="SMK116" s="181"/>
      <c r="SML116" s="182"/>
      <c r="SMM116" s="181"/>
      <c r="SMN116" s="182"/>
      <c r="SMO116" s="181"/>
      <c r="SMP116" s="182"/>
      <c r="SMQ116" s="181"/>
      <c r="SMR116" s="182"/>
      <c r="SMS116" s="181"/>
      <c r="SMT116" s="182"/>
      <c r="SMU116" s="181"/>
      <c r="SMV116" s="182"/>
      <c r="SMW116" s="181"/>
      <c r="SMX116" s="182"/>
      <c r="SMY116" s="181"/>
      <c r="SMZ116" s="182"/>
      <c r="SNA116" s="181"/>
      <c r="SNB116" s="182"/>
      <c r="SNC116" s="181"/>
      <c r="SND116" s="182"/>
      <c r="SNE116" s="181"/>
      <c r="SNF116" s="182"/>
      <c r="SNG116" s="181"/>
      <c r="SNH116" s="182"/>
      <c r="SNI116" s="181"/>
      <c r="SNJ116" s="182"/>
      <c r="SNK116" s="181"/>
      <c r="SNL116" s="182"/>
      <c r="SNM116" s="181"/>
      <c r="SNN116" s="182"/>
      <c r="SNO116" s="181"/>
      <c r="SNP116" s="182"/>
      <c r="SNQ116" s="181"/>
      <c r="SNR116" s="182"/>
      <c r="SNS116" s="181"/>
      <c r="SNT116" s="182"/>
      <c r="SNU116" s="181"/>
      <c r="SNV116" s="182"/>
      <c r="SNW116" s="181"/>
      <c r="SNX116" s="182"/>
      <c r="SNY116" s="181"/>
      <c r="SNZ116" s="182"/>
      <c r="SOA116" s="181"/>
      <c r="SOB116" s="182"/>
      <c r="SOC116" s="181"/>
      <c r="SOD116" s="182"/>
      <c r="SOE116" s="181"/>
      <c r="SOF116" s="182"/>
      <c r="SOG116" s="181"/>
      <c r="SOH116" s="182"/>
      <c r="SOI116" s="181"/>
      <c r="SOJ116" s="182"/>
      <c r="SOK116" s="181"/>
      <c r="SOL116" s="182"/>
      <c r="SOM116" s="181"/>
      <c r="SON116" s="182"/>
      <c r="SOO116" s="181"/>
      <c r="SOP116" s="182"/>
      <c r="SOQ116" s="181"/>
      <c r="SOR116" s="182"/>
      <c r="SOS116" s="181"/>
      <c r="SOT116" s="182"/>
      <c r="SOU116" s="181"/>
      <c r="SOV116" s="182"/>
      <c r="SOW116" s="181"/>
      <c r="SOX116" s="182"/>
      <c r="SOY116" s="181"/>
      <c r="SOZ116" s="182"/>
      <c r="SPA116" s="181"/>
      <c r="SPB116" s="182"/>
      <c r="SPC116" s="181"/>
      <c r="SPD116" s="182"/>
      <c r="SPE116" s="181"/>
      <c r="SPF116" s="182"/>
      <c r="SPG116" s="181"/>
      <c r="SPH116" s="182"/>
      <c r="SPI116" s="181"/>
      <c r="SPJ116" s="182"/>
      <c r="SPK116" s="181"/>
      <c r="SPL116" s="182"/>
      <c r="SPM116" s="181"/>
      <c r="SPN116" s="182"/>
      <c r="SPO116" s="181"/>
      <c r="SPP116" s="182"/>
      <c r="SPQ116" s="181"/>
      <c r="SPR116" s="182"/>
      <c r="SPS116" s="181"/>
      <c r="SPT116" s="182"/>
      <c r="SPU116" s="181"/>
      <c r="SPV116" s="182"/>
      <c r="SPW116" s="181"/>
      <c r="SPX116" s="182"/>
      <c r="SPY116" s="181"/>
      <c r="SPZ116" s="182"/>
      <c r="SQA116" s="181"/>
      <c r="SQB116" s="182"/>
      <c r="SQC116" s="181"/>
      <c r="SQD116" s="182"/>
      <c r="SQE116" s="181"/>
      <c r="SQF116" s="182"/>
      <c r="SQG116" s="181"/>
      <c r="SQH116" s="182"/>
      <c r="SQI116" s="181"/>
      <c r="SQJ116" s="182"/>
      <c r="SQK116" s="181"/>
      <c r="SQL116" s="182"/>
      <c r="SQM116" s="181"/>
      <c r="SQN116" s="182"/>
      <c r="SQO116" s="181"/>
      <c r="SQP116" s="182"/>
      <c r="SQQ116" s="181"/>
      <c r="SQR116" s="182"/>
      <c r="SQS116" s="181"/>
      <c r="SQT116" s="182"/>
      <c r="SQU116" s="181"/>
      <c r="SQV116" s="182"/>
      <c r="SQW116" s="181"/>
      <c r="SQX116" s="182"/>
      <c r="SQY116" s="181"/>
      <c r="SQZ116" s="182"/>
      <c r="SRA116" s="181"/>
      <c r="SRB116" s="182"/>
      <c r="SRC116" s="181"/>
      <c r="SRD116" s="182"/>
      <c r="SRE116" s="181"/>
      <c r="SRF116" s="182"/>
      <c r="SRG116" s="181"/>
      <c r="SRH116" s="182"/>
      <c r="SRI116" s="181"/>
      <c r="SRJ116" s="182"/>
      <c r="SRK116" s="181"/>
      <c r="SRL116" s="182"/>
      <c r="SRM116" s="181"/>
      <c r="SRN116" s="182"/>
      <c r="SRO116" s="181"/>
      <c r="SRP116" s="182"/>
      <c r="SRQ116" s="181"/>
      <c r="SRR116" s="182"/>
      <c r="SRS116" s="181"/>
      <c r="SRT116" s="182"/>
      <c r="SRU116" s="181"/>
      <c r="SRV116" s="182"/>
      <c r="SRW116" s="181"/>
      <c r="SRX116" s="182"/>
      <c r="SRY116" s="181"/>
      <c r="SRZ116" s="182"/>
      <c r="SSA116" s="181"/>
      <c r="SSB116" s="182"/>
      <c r="SSC116" s="181"/>
      <c r="SSD116" s="182"/>
      <c r="SSE116" s="181"/>
      <c r="SSF116" s="182"/>
      <c r="SSG116" s="181"/>
      <c r="SSH116" s="182"/>
      <c r="SSI116" s="181"/>
      <c r="SSJ116" s="182"/>
      <c r="SSK116" s="181"/>
      <c r="SSL116" s="182"/>
      <c r="SSM116" s="181"/>
      <c r="SSN116" s="182"/>
      <c r="SSO116" s="181"/>
      <c r="SSP116" s="182"/>
      <c r="SSQ116" s="181"/>
      <c r="SSR116" s="182"/>
      <c r="SSS116" s="181"/>
      <c r="SST116" s="182"/>
      <c r="SSU116" s="181"/>
      <c r="SSV116" s="182"/>
      <c r="SSW116" s="181"/>
      <c r="SSX116" s="182"/>
      <c r="SSY116" s="181"/>
      <c r="SSZ116" s="182"/>
      <c r="STA116" s="181"/>
      <c r="STB116" s="182"/>
      <c r="STC116" s="181"/>
      <c r="STD116" s="182"/>
      <c r="STE116" s="181"/>
      <c r="STF116" s="182"/>
      <c r="STG116" s="181"/>
      <c r="STH116" s="182"/>
      <c r="STI116" s="181"/>
      <c r="STJ116" s="182"/>
      <c r="STK116" s="181"/>
      <c r="STL116" s="182"/>
      <c r="STM116" s="181"/>
      <c r="STN116" s="182"/>
      <c r="STO116" s="181"/>
      <c r="STP116" s="182"/>
      <c r="STQ116" s="181"/>
      <c r="STR116" s="182"/>
      <c r="STS116" s="181"/>
      <c r="STT116" s="182"/>
      <c r="STU116" s="181"/>
      <c r="STV116" s="182"/>
      <c r="STW116" s="181"/>
      <c r="STX116" s="182"/>
      <c r="STY116" s="181"/>
      <c r="STZ116" s="182"/>
      <c r="SUA116" s="181"/>
      <c r="SUB116" s="182"/>
      <c r="SUC116" s="181"/>
      <c r="SUD116" s="182"/>
      <c r="SUE116" s="181"/>
      <c r="SUF116" s="182"/>
      <c r="SUG116" s="181"/>
      <c r="SUH116" s="182"/>
      <c r="SUI116" s="181"/>
      <c r="SUJ116" s="182"/>
      <c r="SUK116" s="181"/>
      <c r="SUL116" s="182"/>
      <c r="SUM116" s="181"/>
      <c r="SUN116" s="182"/>
      <c r="SUO116" s="181"/>
      <c r="SUP116" s="182"/>
      <c r="SUQ116" s="181"/>
      <c r="SUR116" s="182"/>
      <c r="SUS116" s="181"/>
      <c r="SUT116" s="182"/>
      <c r="SUU116" s="181"/>
      <c r="SUV116" s="182"/>
      <c r="SUW116" s="181"/>
      <c r="SUX116" s="182"/>
      <c r="SUY116" s="181"/>
      <c r="SUZ116" s="182"/>
      <c r="SVA116" s="181"/>
      <c r="SVB116" s="182"/>
      <c r="SVC116" s="181"/>
      <c r="SVD116" s="182"/>
      <c r="SVE116" s="181"/>
      <c r="SVF116" s="182"/>
      <c r="SVG116" s="181"/>
      <c r="SVH116" s="182"/>
      <c r="SVI116" s="181"/>
      <c r="SVJ116" s="182"/>
      <c r="SVK116" s="181"/>
      <c r="SVL116" s="182"/>
      <c r="SVM116" s="181"/>
      <c r="SVN116" s="182"/>
      <c r="SVO116" s="181"/>
      <c r="SVP116" s="182"/>
      <c r="SVQ116" s="181"/>
      <c r="SVR116" s="182"/>
      <c r="SVS116" s="181"/>
      <c r="SVT116" s="182"/>
      <c r="SVU116" s="181"/>
      <c r="SVV116" s="182"/>
      <c r="SVW116" s="181"/>
      <c r="SVX116" s="182"/>
      <c r="SVY116" s="181"/>
      <c r="SVZ116" s="182"/>
      <c r="SWA116" s="181"/>
      <c r="SWB116" s="182"/>
      <c r="SWC116" s="181"/>
      <c r="SWD116" s="182"/>
      <c r="SWE116" s="181"/>
      <c r="SWF116" s="182"/>
      <c r="SWG116" s="181"/>
      <c r="SWH116" s="182"/>
      <c r="SWI116" s="181"/>
      <c r="SWJ116" s="182"/>
      <c r="SWK116" s="181"/>
      <c r="SWL116" s="182"/>
      <c r="SWM116" s="181"/>
      <c r="SWN116" s="182"/>
      <c r="SWO116" s="181"/>
      <c r="SWP116" s="182"/>
      <c r="SWQ116" s="181"/>
      <c r="SWR116" s="182"/>
      <c r="SWS116" s="181"/>
      <c r="SWT116" s="182"/>
      <c r="SWU116" s="181"/>
      <c r="SWV116" s="182"/>
      <c r="SWW116" s="181"/>
      <c r="SWX116" s="182"/>
      <c r="SWY116" s="181"/>
      <c r="SWZ116" s="182"/>
      <c r="SXA116" s="181"/>
      <c r="SXB116" s="182"/>
      <c r="SXC116" s="181"/>
      <c r="SXD116" s="182"/>
      <c r="SXE116" s="181"/>
      <c r="SXF116" s="182"/>
      <c r="SXG116" s="181"/>
      <c r="SXH116" s="182"/>
      <c r="SXI116" s="181"/>
      <c r="SXJ116" s="182"/>
      <c r="SXK116" s="181"/>
      <c r="SXL116" s="182"/>
      <c r="SXM116" s="181"/>
      <c r="SXN116" s="182"/>
      <c r="SXO116" s="181"/>
      <c r="SXP116" s="182"/>
      <c r="SXQ116" s="181"/>
      <c r="SXR116" s="182"/>
      <c r="SXS116" s="181"/>
      <c r="SXT116" s="182"/>
      <c r="SXU116" s="181"/>
      <c r="SXV116" s="182"/>
      <c r="SXW116" s="181"/>
      <c r="SXX116" s="182"/>
      <c r="SXY116" s="181"/>
      <c r="SXZ116" s="182"/>
      <c r="SYA116" s="181"/>
      <c r="SYB116" s="182"/>
      <c r="SYC116" s="181"/>
      <c r="SYD116" s="182"/>
      <c r="SYE116" s="181"/>
      <c r="SYF116" s="182"/>
      <c r="SYG116" s="181"/>
      <c r="SYH116" s="182"/>
      <c r="SYI116" s="181"/>
      <c r="SYJ116" s="182"/>
      <c r="SYK116" s="181"/>
      <c r="SYL116" s="182"/>
      <c r="SYM116" s="181"/>
      <c r="SYN116" s="182"/>
      <c r="SYO116" s="181"/>
      <c r="SYP116" s="182"/>
      <c r="SYQ116" s="181"/>
      <c r="SYR116" s="182"/>
      <c r="SYS116" s="181"/>
      <c r="SYT116" s="182"/>
      <c r="SYU116" s="181"/>
      <c r="SYV116" s="182"/>
      <c r="SYW116" s="181"/>
      <c r="SYX116" s="182"/>
      <c r="SYY116" s="181"/>
      <c r="SYZ116" s="182"/>
      <c r="SZA116" s="181"/>
      <c r="SZB116" s="182"/>
      <c r="SZC116" s="181"/>
      <c r="SZD116" s="182"/>
      <c r="SZE116" s="181"/>
      <c r="SZF116" s="182"/>
      <c r="SZG116" s="181"/>
      <c r="SZH116" s="182"/>
      <c r="SZI116" s="181"/>
      <c r="SZJ116" s="182"/>
      <c r="SZK116" s="181"/>
      <c r="SZL116" s="182"/>
      <c r="SZM116" s="181"/>
      <c r="SZN116" s="182"/>
      <c r="SZO116" s="181"/>
      <c r="SZP116" s="182"/>
      <c r="SZQ116" s="181"/>
      <c r="SZR116" s="182"/>
      <c r="SZS116" s="181"/>
      <c r="SZT116" s="182"/>
      <c r="SZU116" s="181"/>
      <c r="SZV116" s="182"/>
      <c r="SZW116" s="181"/>
      <c r="SZX116" s="182"/>
      <c r="SZY116" s="181"/>
      <c r="SZZ116" s="182"/>
      <c r="TAA116" s="181"/>
      <c r="TAB116" s="182"/>
      <c r="TAC116" s="181"/>
      <c r="TAD116" s="182"/>
      <c r="TAE116" s="181"/>
      <c r="TAF116" s="182"/>
      <c r="TAG116" s="181"/>
      <c r="TAH116" s="182"/>
      <c r="TAI116" s="181"/>
      <c r="TAJ116" s="182"/>
      <c r="TAK116" s="181"/>
      <c r="TAL116" s="182"/>
      <c r="TAM116" s="181"/>
      <c r="TAN116" s="182"/>
      <c r="TAO116" s="181"/>
      <c r="TAP116" s="182"/>
      <c r="TAQ116" s="181"/>
      <c r="TAR116" s="182"/>
      <c r="TAS116" s="181"/>
      <c r="TAT116" s="182"/>
      <c r="TAU116" s="181"/>
      <c r="TAV116" s="182"/>
      <c r="TAW116" s="181"/>
      <c r="TAX116" s="182"/>
      <c r="TAY116" s="181"/>
      <c r="TAZ116" s="182"/>
      <c r="TBA116" s="181"/>
      <c r="TBB116" s="182"/>
      <c r="TBC116" s="181"/>
      <c r="TBD116" s="182"/>
      <c r="TBE116" s="181"/>
      <c r="TBF116" s="182"/>
      <c r="TBG116" s="181"/>
      <c r="TBH116" s="182"/>
      <c r="TBI116" s="181"/>
      <c r="TBJ116" s="182"/>
      <c r="TBK116" s="181"/>
      <c r="TBL116" s="182"/>
      <c r="TBM116" s="181"/>
      <c r="TBN116" s="182"/>
      <c r="TBO116" s="181"/>
      <c r="TBP116" s="182"/>
      <c r="TBQ116" s="181"/>
      <c r="TBR116" s="182"/>
      <c r="TBS116" s="181"/>
      <c r="TBT116" s="182"/>
      <c r="TBU116" s="181"/>
      <c r="TBV116" s="182"/>
      <c r="TBW116" s="181"/>
      <c r="TBX116" s="182"/>
      <c r="TBY116" s="181"/>
      <c r="TBZ116" s="182"/>
      <c r="TCA116" s="181"/>
      <c r="TCB116" s="182"/>
      <c r="TCC116" s="181"/>
      <c r="TCD116" s="182"/>
      <c r="TCE116" s="181"/>
      <c r="TCF116" s="182"/>
      <c r="TCG116" s="181"/>
      <c r="TCH116" s="182"/>
      <c r="TCI116" s="181"/>
      <c r="TCJ116" s="182"/>
      <c r="TCK116" s="181"/>
      <c r="TCL116" s="182"/>
      <c r="TCM116" s="181"/>
      <c r="TCN116" s="182"/>
      <c r="TCO116" s="181"/>
      <c r="TCP116" s="182"/>
      <c r="TCQ116" s="181"/>
      <c r="TCR116" s="182"/>
      <c r="TCS116" s="181"/>
      <c r="TCT116" s="182"/>
      <c r="TCU116" s="181"/>
      <c r="TCV116" s="182"/>
      <c r="TCW116" s="181"/>
      <c r="TCX116" s="182"/>
      <c r="TCY116" s="181"/>
      <c r="TCZ116" s="182"/>
      <c r="TDA116" s="181"/>
      <c r="TDB116" s="182"/>
      <c r="TDC116" s="181"/>
      <c r="TDD116" s="182"/>
      <c r="TDE116" s="181"/>
      <c r="TDF116" s="182"/>
      <c r="TDG116" s="181"/>
      <c r="TDH116" s="182"/>
      <c r="TDI116" s="181"/>
      <c r="TDJ116" s="182"/>
      <c r="TDK116" s="181"/>
      <c r="TDL116" s="182"/>
      <c r="TDM116" s="181"/>
      <c r="TDN116" s="182"/>
      <c r="TDO116" s="181"/>
      <c r="TDP116" s="182"/>
      <c r="TDQ116" s="181"/>
      <c r="TDR116" s="182"/>
      <c r="TDS116" s="181"/>
      <c r="TDT116" s="182"/>
      <c r="TDU116" s="181"/>
      <c r="TDV116" s="182"/>
      <c r="TDW116" s="181"/>
      <c r="TDX116" s="182"/>
      <c r="TDY116" s="181"/>
      <c r="TDZ116" s="182"/>
      <c r="TEA116" s="181"/>
      <c r="TEB116" s="182"/>
      <c r="TEC116" s="181"/>
      <c r="TED116" s="182"/>
      <c r="TEE116" s="181"/>
      <c r="TEF116" s="182"/>
      <c r="TEG116" s="181"/>
      <c r="TEH116" s="182"/>
      <c r="TEI116" s="181"/>
      <c r="TEJ116" s="182"/>
      <c r="TEK116" s="181"/>
      <c r="TEL116" s="182"/>
      <c r="TEM116" s="181"/>
      <c r="TEN116" s="182"/>
      <c r="TEO116" s="181"/>
      <c r="TEP116" s="182"/>
      <c r="TEQ116" s="181"/>
      <c r="TER116" s="182"/>
      <c r="TES116" s="181"/>
      <c r="TET116" s="182"/>
      <c r="TEU116" s="181"/>
      <c r="TEV116" s="182"/>
      <c r="TEW116" s="181"/>
      <c r="TEX116" s="182"/>
      <c r="TEY116" s="181"/>
      <c r="TEZ116" s="182"/>
      <c r="TFA116" s="181"/>
      <c r="TFB116" s="182"/>
      <c r="TFC116" s="181"/>
      <c r="TFD116" s="182"/>
      <c r="TFE116" s="181"/>
      <c r="TFF116" s="182"/>
      <c r="TFG116" s="181"/>
      <c r="TFH116" s="182"/>
      <c r="TFI116" s="181"/>
      <c r="TFJ116" s="182"/>
      <c r="TFK116" s="181"/>
      <c r="TFL116" s="182"/>
      <c r="TFM116" s="181"/>
      <c r="TFN116" s="182"/>
      <c r="TFO116" s="181"/>
      <c r="TFP116" s="182"/>
      <c r="TFQ116" s="181"/>
      <c r="TFR116" s="182"/>
      <c r="TFS116" s="181"/>
      <c r="TFT116" s="182"/>
      <c r="TFU116" s="181"/>
      <c r="TFV116" s="182"/>
      <c r="TFW116" s="181"/>
      <c r="TFX116" s="182"/>
      <c r="TFY116" s="181"/>
      <c r="TFZ116" s="182"/>
      <c r="TGA116" s="181"/>
      <c r="TGB116" s="182"/>
      <c r="TGC116" s="181"/>
      <c r="TGD116" s="182"/>
      <c r="TGE116" s="181"/>
      <c r="TGF116" s="182"/>
      <c r="TGG116" s="181"/>
      <c r="TGH116" s="182"/>
      <c r="TGI116" s="181"/>
      <c r="TGJ116" s="182"/>
      <c r="TGK116" s="181"/>
      <c r="TGL116" s="182"/>
      <c r="TGM116" s="181"/>
      <c r="TGN116" s="182"/>
      <c r="TGO116" s="181"/>
      <c r="TGP116" s="182"/>
      <c r="TGQ116" s="181"/>
      <c r="TGR116" s="182"/>
      <c r="TGS116" s="181"/>
      <c r="TGT116" s="182"/>
      <c r="TGU116" s="181"/>
      <c r="TGV116" s="182"/>
      <c r="TGW116" s="181"/>
      <c r="TGX116" s="182"/>
      <c r="TGY116" s="181"/>
      <c r="TGZ116" s="182"/>
      <c r="THA116" s="181"/>
      <c r="THB116" s="182"/>
      <c r="THC116" s="181"/>
      <c r="THD116" s="182"/>
      <c r="THE116" s="181"/>
      <c r="THF116" s="182"/>
      <c r="THG116" s="181"/>
      <c r="THH116" s="182"/>
      <c r="THI116" s="181"/>
      <c r="THJ116" s="182"/>
      <c r="THK116" s="181"/>
      <c r="THL116" s="182"/>
      <c r="THM116" s="181"/>
      <c r="THN116" s="182"/>
      <c r="THO116" s="181"/>
      <c r="THP116" s="182"/>
      <c r="THQ116" s="181"/>
      <c r="THR116" s="182"/>
      <c r="THS116" s="181"/>
      <c r="THT116" s="182"/>
      <c r="THU116" s="181"/>
      <c r="THV116" s="182"/>
      <c r="THW116" s="181"/>
      <c r="THX116" s="182"/>
      <c r="THY116" s="181"/>
      <c r="THZ116" s="182"/>
      <c r="TIA116" s="181"/>
      <c r="TIB116" s="182"/>
      <c r="TIC116" s="181"/>
      <c r="TID116" s="182"/>
      <c r="TIE116" s="181"/>
      <c r="TIF116" s="182"/>
      <c r="TIG116" s="181"/>
      <c r="TIH116" s="182"/>
      <c r="TII116" s="181"/>
      <c r="TIJ116" s="182"/>
      <c r="TIK116" s="181"/>
      <c r="TIL116" s="182"/>
      <c r="TIM116" s="181"/>
      <c r="TIN116" s="182"/>
      <c r="TIO116" s="181"/>
      <c r="TIP116" s="182"/>
      <c r="TIQ116" s="181"/>
      <c r="TIR116" s="182"/>
      <c r="TIS116" s="181"/>
      <c r="TIT116" s="182"/>
      <c r="TIU116" s="181"/>
      <c r="TIV116" s="182"/>
      <c r="TIW116" s="181"/>
      <c r="TIX116" s="182"/>
      <c r="TIY116" s="181"/>
      <c r="TIZ116" s="182"/>
      <c r="TJA116" s="181"/>
      <c r="TJB116" s="182"/>
      <c r="TJC116" s="181"/>
      <c r="TJD116" s="182"/>
      <c r="TJE116" s="181"/>
      <c r="TJF116" s="182"/>
      <c r="TJG116" s="181"/>
      <c r="TJH116" s="182"/>
      <c r="TJI116" s="181"/>
      <c r="TJJ116" s="182"/>
      <c r="TJK116" s="181"/>
      <c r="TJL116" s="182"/>
      <c r="TJM116" s="181"/>
      <c r="TJN116" s="182"/>
      <c r="TJO116" s="181"/>
      <c r="TJP116" s="182"/>
      <c r="TJQ116" s="181"/>
      <c r="TJR116" s="182"/>
      <c r="TJS116" s="181"/>
      <c r="TJT116" s="182"/>
      <c r="TJU116" s="181"/>
      <c r="TJV116" s="182"/>
      <c r="TJW116" s="181"/>
      <c r="TJX116" s="182"/>
      <c r="TJY116" s="181"/>
      <c r="TJZ116" s="182"/>
      <c r="TKA116" s="181"/>
      <c r="TKB116" s="182"/>
      <c r="TKC116" s="181"/>
      <c r="TKD116" s="182"/>
      <c r="TKE116" s="181"/>
      <c r="TKF116" s="182"/>
      <c r="TKG116" s="181"/>
      <c r="TKH116" s="182"/>
      <c r="TKI116" s="181"/>
      <c r="TKJ116" s="182"/>
      <c r="TKK116" s="181"/>
      <c r="TKL116" s="182"/>
      <c r="TKM116" s="181"/>
      <c r="TKN116" s="182"/>
      <c r="TKO116" s="181"/>
      <c r="TKP116" s="182"/>
      <c r="TKQ116" s="181"/>
      <c r="TKR116" s="182"/>
      <c r="TKS116" s="181"/>
      <c r="TKT116" s="182"/>
      <c r="TKU116" s="181"/>
      <c r="TKV116" s="182"/>
      <c r="TKW116" s="181"/>
      <c r="TKX116" s="182"/>
      <c r="TKY116" s="181"/>
      <c r="TKZ116" s="182"/>
      <c r="TLA116" s="181"/>
      <c r="TLB116" s="182"/>
      <c r="TLC116" s="181"/>
      <c r="TLD116" s="182"/>
      <c r="TLE116" s="181"/>
      <c r="TLF116" s="182"/>
      <c r="TLG116" s="181"/>
      <c r="TLH116" s="182"/>
      <c r="TLI116" s="181"/>
      <c r="TLJ116" s="182"/>
      <c r="TLK116" s="181"/>
      <c r="TLL116" s="182"/>
      <c r="TLM116" s="181"/>
      <c r="TLN116" s="182"/>
      <c r="TLO116" s="181"/>
      <c r="TLP116" s="182"/>
      <c r="TLQ116" s="181"/>
      <c r="TLR116" s="182"/>
      <c r="TLS116" s="181"/>
      <c r="TLT116" s="182"/>
      <c r="TLU116" s="181"/>
      <c r="TLV116" s="182"/>
      <c r="TLW116" s="181"/>
      <c r="TLX116" s="182"/>
      <c r="TLY116" s="181"/>
      <c r="TLZ116" s="182"/>
      <c r="TMA116" s="181"/>
      <c r="TMB116" s="182"/>
      <c r="TMC116" s="181"/>
      <c r="TMD116" s="182"/>
      <c r="TME116" s="181"/>
      <c r="TMF116" s="182"/>
      <c r="TMG116" s="181"/>
      <c r="TMH116" s="182"/>
      <c r="TMI116" s="181"/>
      <c r="TMJ116" s="182"/>
      <c r="TMK116" s="181"/>
      <c r="TML116" s="182"/>
      <c r="TMM116" s="181"/>
      <c r="TMN116" s="182"/>
      <c r="TMO116" s="181"/>
      <c r="TMP116" s="182"/>
      <c r="TMQ116" s="181"/>
      <c r="TMR116" s="182"/>
      <c r="TMS116" s="181"/>
      <c r="TMT116" s="182"/>
      <c r="TMU116" s="181"/>
      <c r="TMV116" s="182"/>
      <c r="TMW116" s="181"/>
      <c r="TMX116" s="182"/>
      <c r="TMY116" s="181"/>
      <c r="TMZ116" s="182"/>
      <c r="TNA116" s="181"/>
      <c r="TNB116" s="182"/>
      <c r="TNC116" s="181"/>
      <c r="TND116" s="182"/>
      <c r="TNE116" s="181"/>
      <c r="TNF116" s="182"/>
      <c r="TNG116" s="181"/>
      <c r="TNH116" s="182"/>
      <c r="TNI116" s="181"/>
      <c r="TNJ116" s="182"/>
      <c r="TNK116" s="181"/>
      <c r="TNL116" s="182"/>
      <c r="TNM116" s="181"/>
      <c r="TNN116" s="182"/>
      <c r="TNO116" s="181"/>
      <c r="TNP116" s="182"/>
      <c r="TNQ116" s="181"/>
      <c r="TNR116" s="182"/>
      <c r="TNS116" s="181"/>
      <c r="TNT116" s="182"/>
      <c r="TNU116" s="181"/>
      <c r="TNV116" s="182"/>
      <c r="TNW116" s="181"/>
      <c r="TNX116" s="182"/>
      <c r="TNY116" s="181"/>
      <c r="TNZ116" s="182"/>
      <c r="TOA116" s="181"/>
      <c r="TOB116" s="182"/>
      <c r="TOC116" s="181"/>
      <c r="TOD116" s="182"/>
      <c r="TOE116" s="181"/>
      <c r="TOF116" s="182"/>
      <c r="TOG116" s="181"/>
      <c r="TOH116" s="182"/>
      <c r="TOI116" s="181"/>
      <c r="TOJ116" s="182"/>
      <c r="TOK116" s="181"/>
      <c r="TOL116" s="182"/>
      <c r="TOM116" s="181"/>
      <c r="TON116" s="182"/>
      <c r="TOO116" s="181"/>
      <c r="TOP116" s="182"/>
      <c r="TOQ116" s="181"/>
      <c r="TOR116" s="182"/>
      <c r="TOS116" s="181"/>
      <c r="TOT116" s="182"/>
      <c r="TOU116" s="181"/>
      <c r="TOV116" s="182"/>
      <c r="TOW116" s="181"/>
      <c r="TOX116" s="182"/>
      <c r="TOY116" s="181"/>
      <c r="TOZ116" s="182"/>
      <c r="TPA116" s="181"/>
      <c r="TPB116" s="182"/>
      <c r="TPC116" s="181"/>
      <c r="TPD116" s="182"/>
      <c r="TPE116" s="181"/>
      <c r="TPF116" s="182"/>
      <c r="TPG116" s="181"/>
      <c r="TPH116" s="182"/>
      <c r="TPI116" s="181"/>
      <c r="TPJ116" s="182"/>
      <c r="TPK116" s="181"/>
      <c r="TPL116" s="182"/>
      <c r="TPM116" s="181"/>
      <c r="TPN116" s="182"/>
      <c r="TPO116" s="181"/>
      <c r="TPP116" s="182"/>
      <c r="TPQ116" s="181"/>
      <c r="TPR116" s="182"/>
      <c r="TPS116" s="181"/>
      <c r="TPT116" s="182"/>
      <c r="TPU116" s="181"/>
      <c r="TPV116" s="182"/>
      <c r="TPW116" s="181"/>
      <c r="TPX116" s="182"/>
      <c r="TPY116" s="181"/>
      <c r="TPZ116" s="182"/>
      <c r="TQA116" s="181"/>
      <c r="TQB116" s="182"/>
      <c r="TQC116" s="181"/>
      <c r="TQD116" s="182"/>
      <c r="TQE116" s="181"/>
      <c r="TQF116" s="182"/>
      <c r="TQG116" s="181"/>
      <c r="TQH116" s="182"/>
      <c r="TQI116" s="181"/>
      <c r="TQJ116" s="182"/>
      <c r="TQK116" s="181"/>
      <c r="TQL116" s="182"/>
      <c r="TQM116" s="181"/>
      <c r="TQN116" s="182"/>
      <c r="TQO116" s="181"/>
      <c r="TQP116" s="182"/>
      <c r="TQQ116" s="181"/>
      <c r="TQR116" s="182"/>
      <c r="TQS116" s="181"/>
      <c r="TQT116" s="182"/>
      <c r="TQU116" s="181"/>
      <c r="TQV116" s="182"/>
      <c r="TQW116" s="181"/>
      <c r="TQX116" s="182"/>
      <c r="TQY116" s="181"/>
      <c r="TQZ116" s="182"/>
      <c r="TRA116" s="181"/>
      <c r="TRB116" s="182"/>
      <c r="TRC116" s="181"/>
      <c r="TRD116" s="182"/>
      <c r="TRE116" s="181"/>
      <c r="TRF116" s="182"/>
      <c r="TRG116" s="181"/>
      <c r="TRH116" s="182"/>
      <c r="TRI116" s="181"/>
      <c r="TRJ116" s="182"/>
      <c r="TRK116" s="181"/>
      <c r="TRL116" s="182"/>
      <c r="TRM116" s="181"/>
      <c r="TRN116" s="182"/>
      <c r="TRO116" s="181"/>
      <c r="TRP116" s="182"/>
      <c r="TRQ116" s="181"/>
      <c r="TRR116" s="182"/>
      <c r="TRS116" s="181"/>
      <c r="TRT116" s="182"/>
      <c r="TRU116" s="181"/>
      <c r="TRV116" s="182"/>
      <c r="TRW116" s="181"/>
      <c r="TRX116" s="182"/>
      <c r="TRY116" s="181"/>
      <c r="TRZ116" s="182"/>
      <c r="TSA116" s="181"/>
      <c r="TSB116" s="182"/>
      <c r="TSC116" s="181"/>
      <c r="TSD116" s="182"/>
      <c r="TSE116" s="181"/>
      <c r="TSF116" s="182"/>
      <c r="TSG116" s="181"/>
      <c r="TSH116" s="182"/>
      <c r="TSI116" s="181"/>
      <c r="TSJ116" s="182"/>
      <c r="TSK116" s="181"/>
      <c r="TSL116" s="182"/>
      <c r="TSM116" s="181"/>
      <c r="TSN116" s="182"/>
      <c r="TSO116" s="181"/>
      <c r="TSP116" s="182"/>
      <c r="TSQ116" s="181"/>
      <c r="TSR116" s="182"/>
      <c r="TSS116" s="181"/>
      <c r="TST116" s="182"/>
      <c r="TSU116" s="181"/>
      <c r="TSV116" s="182"/>
      <c r="TSW116" s="181"/>
      <c r="TSX116" s="182"/>
      <c r="TSY116" s="181"/>
      <c r="TSZ116" s="182"/>
      <c r="TTA116" s="181"/>
      <c r="TTB116" s="182"/>
      <c r="TTC116" s="181"/>
      <c r="TTD116" s="182"/>
      <c r="TTE116" s="181"/>
      <c r="TTF116" s="182"/>
      <c r="TTG116" s="181"/>
      <c r="TTH116" s="182"/>
      <c r="TTI116" s="181"/>
      <c r="TTJ116" s="182"/>
      <c r="TTK116" s="181"/>
      <c r="TTL116" s="182"/>
      <c r="TTM116" s="181"/>
      <c r="TTN116" s="182"/>
      <c r="TTO116" s="181"/>
      <c r="TTP116" s="182"/>
      <c r="TTQ116" s="181"/>
      <c r="TTR116" s="182"/>
      <c r="TTS116" s="181"/>
      <c r="TTT116" s="182"/>
      <c r="TTU116" s="181"/>
      <c r="TTV116" s="182"/>
      <c r="TTW116" s="181"/>
      <c r="TTX116" s="182"/>
      <c r="TTY116" s="181"/>
      <c r="TTZ116" s="182"/>
      <c r="TUA116" s="181"/>
      <c r="TUB116" s="182"/>
      <c r="TUC116" s="181"/>
      <c r="TUD116" s="182"/>
      <c r="TUE116" s="181"/>
      <c r="TUF116" s="182"/>
      <c r="TUG116" s="181"/>
      <c r="TUH116" s="182"/>
      <c r="TUI116" s="181"/>
      <c r="TUJ116" s="182"/>
      <c r="TUK116" s="181"/>
      <c r="TUL116" s="182"/>
      <c r="TUM116" s="181"/>
      <c r="TUN116" s="182"/>
      <c r="TUO116" s="181"/>
      <c r="TUP116" s="182"/>
      <c r="TUQ116" s="181"/>
      <c r="TUR116" s="182"/>
      <c r="TUS116" s="181"/>
      <c r="TUT116" s="182"/>
      <c r="TUU116" s="181"/>
      <c r="TUV116" s="182"/>
      <c r="TUW116" s="181"/>
      <c r="TUX116" s="182"/>
      <c r="TUY116" s="181"/>
      <c r="TUZ116" s="182"/>
      <c r="TVA116" s="181"/>
      <c r="TVB116" s="182"/>
      <c r="TVC116" s="181"/>
      <c r="TVD116" s="182"/>
      <c r="TVE116" s="181"/>
      <c r="TVF116" s="182"/>
      <c r="TVG116" s="181"/>
      <c r="TVH116" s="182"/>
      <c r="TVI116" s="181"/>
      <c r="TVJ116" s="182"/>
      <c r="TVK116" s="181"/>
      <c r="TVL116" s="182"/>
      <c r="TVM116" s="181"/>
      <c r="TVN116" s="182"/>
      <c r="TVO116" s="181"/>
      <c r="TVP116" s="182"/>
      <c r="TVQ116" s="181"/>
      <c r="TVR116" s="182"/>
      <c r="TVS116" s="181"/>
      <c r="TVT116" s="182"/>
      <c r="TVU116" s="181"/>
      <c r="TVV116" s="182"/>
      <c r="TVW116" s="181"/>
      <c r="TVX116" s="182"/>
      <c r="TVY116" s="181"/>
      <c r="TVZ116" s="182"/>
      <c r="TWA116" s="181"/>
      <c r="TWB116" s="182"/>
      <c r="TWC116" s="181"/>
      <c r="TWD116" s="182"/>
      <c r="TWE116" s="181"/>
      <c r="TWF116" s="182"/>
      <c r="TWG116" s="181"/>
      <c r="TWH116" s="182"/>
      <c r="TWI116" s="181"/>
      <c r="TWJ116" s="182"/>
      <c r="TWK116" s="181"/>
      <c r="TWL116" s="182"/>
      <c r="TWM116" s="181"/>
      <c r="TWN116" s="182"/>
      <c r="TWO116" s="181"/>
      <c r="TWP116" s="182"/>
      <c r="TWQ116" s="181"/>
      <c r="TWR116" s="182"/>
      <c r="TWS116" s="181"/>
      <c r="TWT116" s="182"/>
      <c r="TWU116" s="181"/>
      <c r="TWV116" s="182"/>
      <c r="TWW116" s="181"/>
      <c r="TWX116" s="182"/>
      <c r="TWY116" s="181"/>
      <c r="TWZ116" s="182"/>
      <c r="TXA116" s="181"/>
      <c r="TXB116" s="182"/>
      <c r="TXC116" s="181"/>
      <c r="TXD116" s="182"/>
      <c r="TXE116" s="181"/>
      <c r="TXF116" s="182"/>
      <c r="TXG116" s="181"/>
      <c r="TXH116" s="182"/>
      <c r="TXI116" s="181"/>
      <c r="TXJ116" s="182"/>
      <c r="TXK116" s="181"/>
      <c r="TXL116" s="182"/>
      <c r="TXM116" s="181"/>
      <c r="TXN116" s="182"/>
      <c r="TXO116" s="181"/>
      <c r="TXP116" s="182"/>
      <c r="TXQ116" s="181"/>
      <c r="TXR116" s="182"/>
      <c r="TXS116" s="181"/>
      <c r="TXT116" s="182"/>
      <c r="TXU116" s="181"/>
      <c r="TXV116" s="182"/>
      <c r="TXW116" s="181"/>
      <c r="TXX116" s="182"/>
      <c r="TXY116" s="181"/>
      <c r="TXZ116" s="182"/>
      <c r="TYA116" s="181"/>
      <c r="TYB116" s="182"/>
      <c r="TYC116" s="181"/>
      <c r="TYD116" s="182"/>
      <c r="TYE116" s="181"/>
      <c r="TYF116" s="182"/>
      <c r="TYG116" s="181"/>
      <c r="TYH116" s="182"/>
      <c r="TYI116" s="181"/>
      <c r="TYJ116" s="182"/>
      <c r="TYK116" s="181"/>
      <c r="TYL116" s="182"/>
      <c r="TYM116" s="181"/>
      <c r="TYN116" s="182"/>
      <c r="TYO116" s="181"/>
      <c r="TYP116" s="182"/>
      <c r="TYQ116" s="181"/>
      <c r="TYR116" s="182"/>
      <c r="TYS116" s="181"/>
      <c r="TYT116" s="182"/>
      <c r="TYU116" s="181"/>
      <c r="TYV116" s="182"/>
      <c r="TYW116" s="181"/>
      <c r="TYX116" s="182"/>
      <c r="TYY116" s="181"/>
      <c r="TYZ116" s="182"/>
      <c r="TZA116" s="181"/>
      <c r="TZB116" s="182"/>
      <c r="TZC116" s="181"/>
      <c r="TZD116" s="182"/>
      <c r="TZE116" s="181"/>
      <c r="TZF116" s="182"/>
      <c r="TZG116" s="181"/>
      <c r="TZH116" s="182"/>
      <c r="TZI116" s="181"/>
      <c r="TZJ116" s="182"/>
      <c r="TZK116" s="181"/>
      <c r="TZL116" s="182"/>
      <c r="TZM116" s="181"/>
      <c r="TZN116" s="182"/>
      <c r="TZO116" s="181"/>
      <c r="TZP116" s="182"/>
      <c r="TZQ116" s="181"/>
      <c r="TZR116" s="182"/>
      <c r="TZS116" s="181"/>
      <c r="TZT116" s="182"/>
      <c r="TZU116" s="181"/>
      <c r="TZV116" s="182"/>
      <c r="TZW116" s="181"/>
      <c r="TZX116" s="182"/>
      <c r="TZY116" s="181"/>
      <c r="TZZ116" s="182"/>
      <c r="UAA116" s="181"/>
      <c r="UAB116" s="182"/>
      <c r="UAC116" s="181"/>
      <c r="UAD116" s="182"/>
      <c r="UAE116" s="181"/>
      <c r="UAF116" s="182"/>
      <c r="UAG116" s="181"/>
      <c r="UAH116" s="182"/>
      <c r="UAI116" s="181"/>
      <c r="UAJ116" s="182"/>
      <c r="UAK116" s="181"/>
      <c r="UAL116" s="182"/>
      <c r="UAM116" s="181"/>
      <c r="UAN116" s="182"/>
      <c r="UAO116" s="181"/>
      <c r="UAP116" s="182"/>
      <c r="UAQ116" s="181"/>
      <c r="UAR116" s="182"/>
      <c r="UAS116" s="181"/>
      <c r="UAT116" s="182"/>
      <c r="UAU116" s="181"/>
      <c r="UAV116" s="182"/>
      <c r="UAW116" s="181"/>
      <c r="UAX116" s="182"/>
      <c r="UAY116" s="181"/>
      <c r="UAZ116" s="182"/>
      <c r="UBA116" s="181"/>
      <c r="UBB116" s="182"/>
      <c r="UBC116" s="181"/>
      <c r="UBD116" s="182"/>
      <c r="UBE116" s="181"/>
      <c r="UBF116" s="182"/>
      <c r="UBG116" s="181"/>
      <c r="UBH116" s="182"/>
      <c r="UBI116" s="181"/>
      <c r="UBJ116" s="182"/>
      <c r="UBK116" s="181"/>
      <c r="UBL116" s="182"/>
      <c r="UBM116" s="181"/>
      <c r="UBN116" s="182"/>
      <c r="UBO116" s="181"/>
      <c r="UBP116" s="182"/>
      <c r="UBQ116" s="181"/>
      <c r="UBR116" s="182"/>
      <c r="UBS116" s="181"/>
      <c r="UBT116" s="182"/>
      <c r="UBU116" s="181"/>
      <c r="UBV116" s="182"/>
      <c r="UBW116" s="181"/>
      <c r="UBX116" s="182"/>
      <c r="UBY116" s="181"/>
      <c r="UBZ116" s="182"/>
      <c r="UCA116" s="181"/>
      <c r="UCB116" s="182"/>
      <c r="UCC116" s="181"/>
      <c r="UCD116" s="182"/>
      <c r="UCE116" s="181"/>
      <c r="UCF116" s="182"/>
      <c r="UCG116" s="181"/>
      <c r="UCH116" s="182"/>
      <c r="UCI116" s="181"/>
      <c r="UCJ116" s="182"/>
      <c r="UCK116" s="181"/>
      <c r="UCL116" s="182"/>
      <c r="UCM116" s="181"/>
      <c r="UCN116" s="182"/>
      <c r="UCO116" s="181"/>
      <c r="UCP116" s="182"/>
      <c r="UCQ116" s="181"/>
      <c r="UCR116" s="182"/>
      <c r="UCS116" s="181"/>
      <c r="UCT116" s="182"/>
      <c r="UCU116" s="181"/>
      <c r="UCV116" s="182"/>
      <c r="UCW116" s="181"/>
      <c r="UCX116" s="182"/>
      <c r="UCY116" s="181"/>
      <c r="UCZ116" s="182"/>
      <c r="UDA116" s="181"/>
      <c r="UDB116" s="182"/>
      <c r="UDC116" s="181"/>
      <c r="UDD116" s="182"/>
      <c r="UDE116" s="181"/>
      <c r="UDF116" s="182"/>
      <c r="UDG116" s="181"/>
      <c r="UDH116" s="182"/>
      <c r="UDI116" s="181"/>
      <c r="UDJ116" s="182"/>
      <c r="UDK116" s="181"/>
      <c r="UDL116" s="182"/>
      <c r="UDM116" s="181"/>
      <c r="UDN116" s="182"/>
      <c r="UDO116" s="181"/>
      <c r="UDP116" s="182"/>
      <c r="UDQ116" s="181"/>
      <c r="UDR116" s="182"/>
      <c r="UDS116" s="181"/>
      <c r="UDT116" s="182"/>
      <c r="UDU116" s="181"/>
      <c r="UDV116" s="182"/>
      <c r="UDW116" s="181"/>
      <c r="UDX116" s="182"/>
      <c r="UDY116" s="181"/>
      <c r="UDZ116" s="182"/>
      <c r="UEA116" s="181"/>
      <c r="UEB116" s="182"/>
      <c r="UEC116" s="181"/>
      <c r="UED116" s="182"/>
      <c r="UEE116" s="181"/>
      <c r="UEF116" s="182"/>
      <c r="UEG116" s="181"/>
      <c r="UEH116" s="182"/>
      <c r="UEI116" s="181"/>
      <c r="UEJ116" s="182"/>
      <c r="UEK116" s="181"/>
      <c r="UEL116" s="182"/>
      <c r="UEM116" s="181"/>
      <c r="UEN116" s="182"/>
      <c r="UEO116" s="181"/>
      <c r="UEP116" s="182"/>
      <c r="UEQ116" s="181"/>
      <c r="UER116" s="182"/>
      <c r="UES116" s="181"/>
      <c r="UET116" s="182"/>
      <c r="UEU116" s="181"/>
      <c r="UEV116" s="182"/>
      <c r="UEW116" s="181"/>
      <c r="UEX116" s="182"/>
      <c r="UEY116" s="181"/>
      <c r="UEZ116" s="182"/>
      <c r="UFA116" s="181"/>
      <c r="UFB116" s="182"/>
      <c r="UFC116" s="181"/>
      <c r="UFD116" s="182"/>
      <c r="UFE116" s="181"/>
      <c r="UFF116" s="182"/>
      <c r="UFG116" s="181"/>
      <c r="UFH116" s="182"/>
      <c r="UFI116" s="181"/>
      <c r="UFJ116" s="182"/>
      <c r="UFK116" s="181"/>
      <c r="UFL116" s="182"/>
      <c r="UFM116" s="181"/>
      <c r="UFN116" s="182"/>
      <c r="UFO116" s="181"/>
      <c r="UFP116" s="182"/>
      <c r="UFQ116" s="181"/>
      <c r="UFR116" s="182"/>
      <c r="UFS116" s="181"/>
      <c r="UFT116" s="182"/>
      <c r="UFU116" s="181"/>
      <c r="UFV116" s="182"/>
      <c r="UFW116" s="181"/>
      <c r="UFX116" s="182"/>
      <c r="UFY116" s="181"/>
      <c r="UFZ116" s="182"/>
      <c r="UGA116" s="181"/>
      <c r="UGB116" s="182"/>
      <c r="UGC116" s="181"/>
      <c r="UGD116" s="182"/>
      <c r="UGE116" s="181"/>
      <c r="UGF116" s="182"/>
      <c r="UGG116" s="181"/>
      <c r="UGH116" s="182"/>
      <c r="UGI116" s="181"/>
      <c r="UGJ116" s="182"/>
      <c r="UGK116" s="181"/>
      <c r="UGL116" s="182"/>
      <c r="UGM116" s="181"/>
      <c r="UGN116" s="182"/>
      <c r="UGO116" s="181"/>
      <c r="UGP116" s="182"/>
      <c r="UGQ116" s="181"/>
      <c r="UGR116" s="182"/>
      <c r="UGS116" s="181"/>
      <c r="UGT116" s="182"/>
      <c r="UGU116" s="181"/>
      <c r="UGV116" s="182"/>
      <c r="UGW116" s="181"/>
      <c r="UGX116" s="182"/>
      <c r="UGY116" s="181"/>
      <c r="UGZ116" s="182"/>
      <c r="UHA116" s="181"/>
      <c r="UHB116" s="182"/>
      <c r="UHC116" s="181"/>
      <c r="UHD116" s="182"/>
      <c r="UHE116" s="181"/>
      <c r="UHF116" s="182"/>
      <c r="UHG116" s="181"/>
      <c r="UHH116" s="182"/>
      <c r="UHI116" s="181"/>
      <c r="UHJ116" s="182"/>
      <c r="UHK116" s="181"/>
      <c r="UHL116" s="182"/>
      <c r="UHM116" s="181"/>
      <c r="UHN116" s="182"/>
      <c r="UHO116" s="181"/>
      <c r="UHP116" s="182"/>
      <c r="UHQ116" s="181"/>
      <c r="UHR116" s="182"/>
      <c r="UHS116" s="181"/>
      <c r="UHT116" s="182"/>
      <c r="UHU116" s="181"/>
      <c r="UHV116" s="182"/>
      <c r="UHW116" s="181"/>
      <c r="UHX116" s="182"/>
      <c r="UHY116" s="181"/>
      <c r="UHZ116" s="182"/>
      <c r="UIA116" s="181"/>
      <c r="UIB116" s="182"/>
      <c r="UIC116" s="181"/>
      <c r="UID116" s="182"/>
      <c r="UIE116" s="181"/>
      <c r="UIF116" s="182"/>
      <c r="UIG116" s="181"/>
      <c r="UIH116" s="182"/>
      <c r="UII116" s="181"/>
      <c r="UIJ116" s="182"/>
      <c r="UIK116" s="181"/>
      <c r="UIL116" s="182"/>
      <c r="UIM116" s="181"/>
      <c r="UIN116" s="182"/>
      <c r="UIO116" s="181"/>
      <c r="UIP116" s="182"/>
      <c r="UIQ116" s="181"/>
      <c r="UIR116" s="182"/>
      <c r="UIS116" s="181"/>
      <c r="UIT116" s="182"/>
      <c r="UIU116" s="181"/>
      <c r="UIV116" s="182"/>
      <c r="UIW116" s="181"/>
      <c r="UIX116" s="182"/>
      <c r="UIY116" s="181"/>
      <c r="UIZ116" s="182"/>
      <c r="UJA116" s="181"/>
      <c r="UJB116" s="182"/>
      <c r="UJC116" s="181"/>
      <c r="UJD116" s="182"/>
      <c r="UJE116" s="181"/>
      <c r="UJF116" s="182"/>
      <c r="UJG116" s="181"/>
      <c r="UJH116" s="182"/>
      <c r="UJI116" s="181"/>
      <c r="UJJ116" s="182"/>
      <c r="UJK116" s="181"/>
      <c r="UJL116" s="182"/>
      <c r="UJM116" s="181"/>
      <c r="UJN116" s="182"/>
      <c r="UJO116" s="181"/>
      <c r="UJP116" s="182"/>
      <c r="UJQ116" s="181"/>
      <c r="UJR116" s="182"/>
      <c r="UJS116" s="181"/>
      <c r="UJT116" s="182"/>
      <c r="UJU116" s="181"/>
      <c r="UJV116" s="182"/>
      <c r="UJW116" s="181"/>
      <c r="UJX116" s="182"/>
      <c r="UJY116" s="181"/>
      <c r="UJZ116" s="182"/>
      <c r="UKA116" s="181"/>
      <c r="UKB116" s="182"/>
      <c r="UKC116" s="181"/>
      <c r="UKD116" s="182"/>
      <c r="UKE116" s="181"/>
      <c r="UKF116" s="182"/>
      <c r="UKG116" s="181"/>
      <c r="UKH116" s="182"/>
      <c r="UKI116" s="181"/>
      <c r="UKJ116" s="182"/>
      <c r="UKK116" s="181"/>
      <c r="UKL116" s="182"/>
      <c r="UKM116" s="181"/>
      <c r="UKN116" s="182"/>
      <c r="UKO116" s="181"/>
      <c r="UKP116" s="182"/>
      <c r="UKQ116" s="181"/>
      <c r="UKR116" s="182"/>
      <c r="UKS116" s="181"/>
      <c r="UKT116" s="182"/>
      <c r="UKU116" s="181"/>
      <c r="UKV116" s="182"/>
      <c r="UKW116" s="181"/>
      <c r="UKX116" s="182"/>
      <c r="UKY116" s="181"/>
      <c r="UKZ116" s="182"/>
      <c r="ULA116" s="181"/>
      <c r="ULB116" s="182"/>
      <c r="ULC116" s="181"/>
      <c r="ULD116" s="182"/>
      <c r="ULE116" s="181"/>
      <c r="ULF116" s="182"/>
      <c r="ULG116" s="181"/>
      <c r="ULH116" s="182"/>
      <c r="ULI116" s="181"/>
      <c r="ULJ116" s="182"/>
      <c r="ULK116" s="181"/>
      <c r="ULL116" s="182"/>
      <c r="ULM116" s="181"/>
      <c r="ULN116" s="182"/>
      <c r="ULO116" s="181"/>
      <c r="ULP116" s="182"/>
      <c r="ULQ116" s="181"/>
      <c r="ULR116" s="182"/>
      <c r="ULS116" s="181"/>
      <c r="ULT116" s="182"/>
      <c r="ULU116" s="181"/>
      <c r="ULV116" s="182"/>
      <c r="ULW116" s="181"/>
      <c r="ULX116" s="182"/>
      <c r="ULY116" s="181"/>
      <c r="ULZ116" s="182"/>
      <c r="UMA116" s="181"/>
      <c r="UMB116" s="182"/>
      <c r="UMC116" s="181"/>
      <c r="UMD116" s="182"/>
      <c r="UME116" s="181"/>
      <c r="UMF116" s="182"/>
      <c r="UMG116" s="181"/>
      <c r="UMH116" s="182"/>
      <c r="UMI116" s="181"/>
      <c r="UMJ116" s="182"/>
      <c r="UMK116" s="181"/>
      <c r="UML116" s="182"/>
      <c r="UMM116" s="181"/>
      <c r="UMN116" s="182"/>
      <c r="UMO116" s="181"/>
      <c r="UMP116" s="182"/>
      <c r="UMQ116" s="181"/>
      <c r="UMR116" s="182"/>
      <c r="UMS116" s="181"/>
      <c r="UMT116" s="182"/>
      <c r="UMU116" s="181"/>
      <c r="UMV116" s="182"/>
      <c r="UMW116" s="181"/>
      <c r="UMX116" s="182"/>
      <c r="UMY116" s="181"/>
      <c r="UMZ116" s="182"/>
      <c r="UNA116" s="181"/>
      <c r="UNB116" s="182"/>
      <c r="UNC116" s="181"/>
      <c r="UND116" s="182"/>
      <c r="UNE116" s="181"/>
      <c r="UNF116" s="182"/>
      <c r="UNG116" s="181"/>
      <c r="UNH116" s="182"/>
      <c r="UNI116" s="181"/>
      <c r="UNJ116" s="182"/>
      <c r="UNK116" s="181"/>
      <c r="UNL116" s="182"/>
      <c r="UNM116" s="181"/>
      <c r="UNN116" s="182"/>
      <c r="UNO116" s="181"/>
      <c r="UNP116" s="182"/>
      <c r="UNQ116" s="181"/>
      <c r="UNR116" s="182"/>
      <c r="UNS116" s="181"/>
      <c r="UNT116" s="182"/>
      <c r="UNU116" s="181"/>
      <c r="UNV116" s="182"/>
      <c r="UNW116" s="181"/>
      <c r="UNX116" s="182"/>
      <c r="UNY116" s="181"/>
      <c r="UNZ116" s="182"/>
      <c r="UOA116" s="181"/>
      <c r="UOB116" s="182"/>
      <c r="UOC116" s="181"/>
      <c r="UOD116" s="182"/>
      <c r="UOE116" s="181"/>
      <c r="UOF116" s="182"/>
      <c r="UOG116" s="181"/>
      <c r="UOH116" s="182"/>
      <c r="UOI116" s="181"/>
      <c r="UOJ116" s="182"/>
      <c r="UOK116" s="181"/>
      <c r="UOL116" s="182"/>
      <c r="UOM116" s="181"/>
      <c r="UON116" s="182"/>
      <c r="UOO116" s="181"/>
      <c r="UOP116" s="182"/>
      <c r="UOQ116" s="181"/>
      <c r="UOR116" s="182"/>
      <c r="UOS116" s="181"/>
      <c r="UOT116" s="182"/>
      <c r="UOU116" s="181"/>
      <c r="UOV116" s="182"/>
      <c r="UOW116" s="181"/>
      <c r="UOX116" s="182"/>
      <c r="UOY116" s="181"/>
      <c r="UOZ116" s="182"/>
      <c r="UPA116" s="181"/>
      <c r="UPB116" s="182"/>
      <c r="UPC116" s="181"/>
      <c r="UPD116" s="182"/>
      <c r="UPE116" s="181"/>
      <c r="UPF116" s="182"/>
      <c r="UPG116" s="181"/>
      <c r="UPH116" s="182"/>
      <c r="UPI116" s="181"/>
      <c r="UPJ116" s="182"/>
      <c r="UPK116" s="181"/>
      <c r="UPL116" s="182"/>
      <c r="UPM116" s="181"/>
      <c r="UPN116" s="182"/>
      <c r="UPO116" s="181"/>
      <c r="UPP116" s="182"/>
      <c r="UPQ116" s="181"/>
      <c r="UPR116" s="182"/>
      <c r="UPS116" s="181"/>
      <c r="UPT116" s="182"/>
      <c r="UPU116" s="181"/>
      <c r="UPV116" s="182"/>
      <c r="UPW116" s="181"/>
      <c r="UPX116" s="182"/>
      <c r="UPY116" s="181"/>
      <c r="UPZ116" s="182"/>
      <c r="UQA116" s="181"/>
      <c r="UQB116" s="182"/>
      <c r="UQC116" s="181"/>
      <c r="UQD116" s="182"/>
      <c r="UQE116" s="181"/>
      <c r="UQF116" s="182"/>
      <c r="UQG116" s="181"/>
      <c r="UQH116" s="182"/>
      <c r="UQI116" s="181"/>
      <c r="UQJ116" s="182"/>
      <c r="UQK116" s="181"/>
      <c r="UQL116" s="182"/>
      <c r="UQM116" s="181"/>
      <c r="UQN116" s="182"/>
      <c r="UQO116" s="181"/>
      <c r="UQP116" s="182"/>
      <c r="UQQ116" s="181"/>
      <c r="UQR116" s="182"/>
      <c r="UQS116" s="181"/>
      <c r="UQT116" s="182"/>
      <c r="UQU116" s="181"/>
      <c r="UQV116" s="182"/>
      <c r="UQW116" s="181"/>
      <c r="UQX116" s="182"/>
      <c r="UQY116" s="181"/>
      <c r="UQZ116" s="182"/>
      <c r="URA116" s="181"/>
      <c r="URB116" s="182"/>
      <c r="URC116" s="181"/>
      <c r="URD116" s="182"/>
      <c r="URE116" s="181"/>
      <c r="URF116" s="182"/>
      <c r="URG116" s="181"/>
      <c r="URH116" s="182"/>
      <c r="URI116" s="181"/>
      <c r="URJ116" s="182"/>
      <c r="URK116" s="181"/>
      <c r="URL116" s="182"/>
      <c r="URM116" s="181"/>
      <c r="URN116" s="182"/>
      <c r="URO116" s="181"/>
      <c r="URP116" s="182"/>
      <c r="URQ116" s="181"/>
      <c r="URR116" s="182"/>
      <c r="URS116" s="181"/>
      <c r="URT116" s="182"/>
      <c r="URU116" s="181"/>
      <c r="URV116" s="182"/>
      <c r="URW116" s="181"/>
      <c r="URX116" s="182"/>
      <c r="URY116" s="181"/>
      <c r="URZ116" s="182"/>
      <c r="USA116" s="181"/>
      <c r="USB116" s="182"/>
      <c r="USC116" s="181"/>
      <c r="USD116" s="182"/>
      <c r="USE116" s="181"/>
      <c r="USF116" s="182"/>
      <c r="USG116" s="181"/>
      <c r="USH116" s="182"/>
      <c r="USI116" s="181"/>
      <c r="USJ116" s="182"/>
      <c r="USK116" s="181"/>
      <c r="USL116" s="182"/>
      <c r="USM116" s="181"/>
      <c r="USN116" s="182"/>
      <c r="USO116" s="181"/>
      <c r="USP116" s="182"/>
      <c r="USQ116" s="181"/>
      <c r="USR116" s="182"/>
      <c r="USS116" s="181"/>
      <c r="UST116" s="182"/>
      <c r="USU116" s="181"/>
      <c r="USV116" s="182"/>
      <c r="USW116" s="181"/>
      <c r="USX116" s="182"/>
      <c r="USY116" s="181"/>
      <c r="USZ116" s="182"/>
      <c r="UTA116" s="181"/>
      <c r="UTB116" s="182"/>
      <c r="UTC116" s="181"/>
      <c r="UTD116" s="182"/>
      <c r="UTE116" s="181"/>
      <c r="UTF116" s="182"/>
      <c r="UTG116" s="181"/>
      <c r="UTH116" s="182"/>
      <c r="UTI116" s="181"/>
      <c r="UTJ116" s="182"/>
      <c r="UTK116" s="181"/>
      <c r="UTL116" s="182"/>
      <c r="UTM116" s="181"/>
      <c r="UTN116" s="182"/>
      <c r="UTO116" s="181"/>
      <c r="UTP116" s="182"/>
      <c r="UTQ116" s="181"/>
      <c r="UTR116" s="182"/>
      <c r="UTS116" s="181"/>
      <c r="UTT116" s="182"/>
      <c r="UTU116" s="181"/>
      <c r="UTV116" s="182"/>
      <c r="UTW116" s="181"/>
      <c r="UTX116" s="182"/>
      <c r="UTY116" s="181"/>
      <c r="UTZ116" s="182"/>
      <c r="UUA116" s="181"/>
      <c r="UUB116" s="182"/>
      <c r="UUC116" s="181"/>
      <c r="UUD116" s="182"/>
      <c r="UUE116" s="181"/>
      <c r="UUF116" s="182"/>
      <c r="UUG116" s="181"/>
      <c r="UUH116" s="182"/>
      <c r="UUI116" s="181"/>
      <c r="UUJ116" s="182"/>
      <c r="UUK116" s="181"/>
      <c r="UUL116" s="182"/>
      <c r="UUM116" s="181"/>
      <c r="UUN116" s="182"/>
      <c r="UUO116" s="181"/>
      <c r="UUP116" s="182"/>
      <c r="UUQ116" s="181"/>
      <c r="UUR116" s="182"/>
      <c r="UUS116" s="181"/>
      <c r="UUT116" s="182"/>
      <c r="UUU116" s="181"/>
      <c r="UUV116" s="182"/>
      <c r="UUW116" s="181"/>
      <c r="UUX116" s="182"/>
      <c r="UUY116" s="181"/>
      <c r="UUZ116" s="182"/>
      <c r="UVA116" s="181"/>
      <c r="UVB116" s="182"/>
      <c r="UVC116" s="181"/>
      <c r="UVD116" s="182"/>
      <c r="UVE116" s="181"/>
      <c r="UVF116" s="182"/>
      <c r="UVG116" s="181"/>
      <c r="UVH116" s="182"/>
      <c r="UVI116" s="181"/>
      <c r="UVJ116" s="182"/>
      <c r="UVK116" s="181"/>
      <c r="UVL116" s="182"/>
      <c r="UVM116" s="181"/>
      <c r="UVN116" s="182"/>
      <c r="UVO116" s="181"/>
      <c r="UVP116" s="182"/>
      <c r="UVQ116" s="181"/>
      <c r="UVR116" s="182"/>
      <c r="UVS116" s="181"/>
      <c r="UVT116" s="182"/>
      <c r="UVU116" s="181"/>
      <c r="UVV116" s="182"/>
      <c r="UVW116" s="181"/>
      <c r="UVX116" s="182"/>
      <c r="UVY116" s="181"/>
      <c r="UVZ116" s="182"/>
      <c r="UWA116" s="181"/>
      <c r="UWB116" s="182"/>
      <c r="UWC116" s="181"/>
      <c r="UWD116" s="182"/>
      <c r="UWE116" s="181"/>
      <c r="UWF116" s="182"/>
      <c r="UWG116" s="181"/>
      <c r="UWH116" s="182"/>
      <c r="UWI116" s="181"/>
      <c r="UWJ116" s="182"/>
      <c r="UWK116" s="181"/>
      <c r="UWL116" s="182"/>
      <c r="UWM116" s="181"/>
      <c r="UWN116" s="182"/>
      <c r="UWO116" s="181"/>
      <c r="UWP116" s="182"/>
      <c r="UWQ116" s="181"/>
      <c r="UWR116" s="182"/>
      <c r="UWS116" s="181"/>
      <c r="UWT116" s="182"/>
      <c r="UWU116" s="181"/>
      <c r="UWV116" s="182"/>
      <c r="UWW116" s="181"/>
      <c r="UWX116" s="182"/>
      <c r="UWY116" s="181"/>
      <c r="UWZ116" s="182"/>
      <c r="UXA116" s="181"/>
      <c r="UXB116" s="182"/>
      <c r="UXC116" s="181"/>
      <c r="UXD116" s="182"/>
      <c r="UXE116" s="181"/>
      <c r="UXF116" s="182"/>
      <c r="UXG116" s="181"/>
      <c r="UXH116" s="182"/>
      <c r="UXI116" s="181"/>
      <c r="UXJ116" s="182"/>
      <c r="UXK116" s="181"/>
      <c r="UXL116" s="182"/>
      <c r="UXM116" s="181"/>
      <c r="UXN116" s="182"/>
      <c r="UXO116" s="181"/>
      <c r="UXP116" s="182"/>
      <c r="UXQ116" s="181"/>
      <c r="UXR116" s="182"/>
      <c r="UXS116" s="181"/>
      <c r="UXT116" s="182"/>
      <c r="UXU116" s="181"/>
      <c r="UXV116" s="182"/>
      <c r="UXW116" s="181"/>
      <c r="UXX116" s="182"/>
      <c r="UXY116" s="181"/>
      <c r="UXZ116" s="182"/>
      <c r="UYA116" s="181"/>
      <c r="UYB116" s="182"/>
      <c r="UYC116" s="181"/>
      <c r="UYD116" s="182"/>
      <c r="UYE116" s="181"/>
      <c r="UYF116" s="182"/>
      <c r="UYG116" s="181"/>
      <c r="UYH116" s="182"/>
      <c r="UYI116" s="181"/>
      <c r="UYJ116" s="182"/>
      <c r="UYK116" s="181"/>
      <c r="UYL116" s="182"/>
      <c r="UYM116" s="181"/>
      <c r="UYN116" s="182"/>
      <c r="UYO116" s="181"/>
      <c r="UYP116" s="182"/>
      <c r="UYQ116" s="181"/>
      <c r="UYR116" s="182"/>
      <c r="UYS116" s="181"/>
      <c r="UYT116" s="182"/>
      <c r="UYU116" s="181"/>
      <c r="UYV116" s="182"/>
      <c r="UYW116" s="181"/>
      <c r="UYX116" s="182"/>
      <c r="UYY116" s="181"/>
      <c r="UYZ116" s="182"/>
      <c r="UZA116" s="181"/>
      <c r="UZB116" s="182"/>
      <c r="UZC116" s="181"/>
      <c r="UZD116" s="182"/>
      <c r="UZE116" s="181"/>
      <c r="UZF116" s="182"/>
      <c r="UZG116" s="181"/>
      <c r="UZH116" s="182"/>
      <c r="UZI116" s="181"/>
      <c r="UZJ116" s="182"/>
      <c r="UZK116" s="181"/>
      <c r="UZL116" s="182"/>
      <c r="UZM116" s="181"/>
      <c r="UZN116" s="182"/>
      <c r="UZO116" s="181"/>
      <c r="UZP116" s="182"/>
      <c r="UZQ116" s="181"/>
      <c r="UZR116" s="182"/>
      <c r="UZS116" s="181"/>
      <c r="UZT116" s="182"/>
      <c r="UZU116" s="181"/>
      <c r="UZV116" s="182"/>
      <c r="UZW116" s="181"/>
      <c r="UZX116" s="182"/>
      <c r="UZY116" s="181"/>
      <c r="UZZ116" s="182"/>
      <c r="VAA116" s="181"/>
      <c r="VAB116" s="182"/>
      <c r="VAC116" s="181"/>
      <c r="VAD116" s="182"/>
      <c r="VAE116" s="181"/>
      <c r="VAF116" s="182"/>
      <c r="VAG116" s="181"/>
      <c r="VAH116" s="182"/>
      <c r="VAI116" s="181"/>
      <c r="VAJ116" s="182"/>
      <c r="VAK116" s="181"/>
      <c r="VAL116" s="182"/>
      <c r="VAM116" s="181"/>
      <c r="VAN116" s="182"/>
      <c r="VAO116" s="181"/>
      <c r="VAP116" s="182"/>
      <c r="VAQ116" s="181"/>
      <c r="VAR116" s="182"/>
      <c r="VAS116" s="181"/>
      <c r="VAT116" s="182"/>
      <c r="VAU116" s="181"/>
      <c r="VAV116" s="182"/>
      <c r="VAW116" s="181"/>
      <c r="VAX116" s="182"/>
      <c r="VAY116" s="181"/>
      <c r="VAZ116" s="182"/>
      <c r="VBA116" s="181"/>
      <c r="VBB116" s="182"/>
      <c r="VBC116" s="181"/>
      <c r="VBD116" s="182"/>
      <c r="VBE116" s="181"/>
      <c r="VBF116" s="182"/>
      <c r="VBG116" s="181"/>
      <c r="VBH116" s="182"/>
      <c r="VBI116" s="181"/>
      <c r="VBJ116" s="182"/>
      <c r="VBK116" s="181"/>
      <c r="VBL116" s="182"/>
      <c r="VBM116" s="181"/>
      <c r="VBN116" s="182"/>
      <c r="VBO116" s="181"/>
      <c r="VBP116" s="182"/>
      <c r="VBQ116" s="181"/>
      <c r="VBR116" s="182"/>
      <c r="VBS116" s="181"/>
      <c r="VBT116" s="182"/>
      <c r="VBU116" s="181"/>
      <c r="VBV116" s="182"/>
      <c r="VBW116" s="181"/>
      <c r="VBX116" s="182"/>
      <c r="VBY116" s="181"/>
      <c r="VBZ116" s="182"/>
      <c r="VCA116" s="181"/>
      <c r="VCB116" s="182"/>
      <c r="VCC116" s="181"/>
      <c r="VCD116" s="182"/>
      <c r="VCE116" s="181"/>
      <c r="VCF116" s="182"/>
      <c r="VCG116" s="181"/>
      <c r="VCH116" s="182"/>
      <c r="VCI116" s="181"/>
      <c r="VCJ116" s="182"/>
      <c r="VCK116" s="181"/>
      <c r="VCL116" s="182"/>
      <c r="VCM116" s="181"/>
      <c r="VCN116" s="182"/>
      <c r="VCO116" s="181"/>
      <c r="VCP116" s="182"/>
      <c r="VCQ116" s="181"/>
      <c r="VCR116" s="182"/>
      <c r="VCS116" s="181"/>
      <c r="VCT116" s="182"/>
      <c r="VCU116" s="181"/>
      <c r="VCV116" s="182"/>
      <c r="VCW116" s="181"/>
      <c r="VCX116" s="182"/>
      <c r="VCY116" s="181"/>
      <c r="VCZ116" s="182"/>
      <c r="VDA116" s="181"/>
      <c r="VDB116" s="182"/>
      <c r="VDC116" s="181"/>
      <c r="VDD116" s="182"/>
      <c r="VDE116" s="181"/>
      <c r="VDF116" s="182"/>
      <c r="VDG116" s="181"/>
      <c r="VDH116" s="182"/>
      <c r="VDI116" s="181"/>
      <c r="VDJ116" s="182"/>
      <c r="VDK116" s="181"/>
      <c r="VDL116" s="182"/>
      <c r="VDM116" s="181"/>
      <c r="VDN116" s="182"/>
      <c r="VDO116" s="181"/>
      <c r="VDP116" s="182"/>
      <c r="VDQ116" s="181"/>
      <c r="VDR116" s="182"/>
      <c r="VDS116" s="181"/>
      <c r="VDT116" s="182"/>
      <c r="VDU116" s="181"/>
      <c r="VDV116" s="182"/>
      <c r="VDW116" s="181"/>
      <c r="VDX116" s="182"/>
      <c r="VDY116" s="181"/>
      <c r="VDZ116" s="182"/>
      <c r="VEA116" s="181"/>
      <c r="VEB116" s="182"/>
      <c r="VEC116" s="181"/>
      <c r="VED116" s="182"/>
      <c r="VEE116" s="181"/>
      <c r="VEF116" s="182"/>
      <c r="VEG116" s="181"/>
      <c r="VEH116" s="182"/>
      <c r="VEI116" s="181"/>
      <c r="VEJ116" s="182"/>
      <c r="VEK116" s="181"/>
      <c r="VEL116" s="182"/>
      <c r="VEM116" s="181"/>
      <c r="VEN116" s="182"/>
      <c r="VEO116" s="181"/>
      <c r="VEP116" s="182"/>
      <c r="VEQ116" s="181"/>
      <c r="VER116" s="182"/>
      <c r="VES116" s="181"/>
      <c r="VET116" s="182"/>
      <c r="VEU116" s="181"/>
      <c r="VEV116" s="182"/>
      <c r="VEW116" s="181"/>
      <c r="VEX116" s="182"/>
      <c r="VEY116" s="181"/>
      <c r="VEZ116" s="182"/>
      <c r="VFA116" s="181"/>
      <c r="VFB116" s="182"/>
      <c r="VFC116" s="181"/>
      <c r="VFD116" s="182"/>
      <c r="VFE116" s="181"/>
      <c r="VFF116" s="182"/>
      <c r="VFG116" s="181"/>
      <c r="VFH116" s="182"/>
      <c r="VFI116" s="181"/>
      <c r="VFJ116" s="182"/>
      <c r="VFK116" s="181"/>
      <c r="VFL116" s="182"/>
      <c r="VFM116" s="181"/>
      <c r="VFN116" s="182"/>
      <c r="VFO116" s="181"/>
      <c r="VFP116" s="182"/>
      <c r="VFQ116" s="181"/>
      <c r="VFR116" s="182"/>
      <c r="VFS116" s="181"/>
      <c r="VFT116" s="182"/>
      <c r="VFU116" s="181"/>
      <c r="VFV116" s="182"/>
      <c r="VFW116" s="181"/>
      <c r="VFX116" s="182"/>
      <c r="VFY116" s="181"/>
      <c r="VFZ116" s="182"/>
      <c r="VGA116" s="181"/>
      <c r="VGB116" s="182"/>
      <c r="VGC116" s="181"/>
      <c r="VGD116" s="182"/>
      <c r="VGE116" s="181"/>
      <c r="VGF116" s="182"/>
      <c r="VGG116" s="181"/>
      <c r="VGH116" s="182"/>
      <c r="VGI116" s="181"/>
      <c r="VGJ116" s="182"/>
      <c r="VGK116" s="181"/>
      <c r="VGL116" s="182"/>
      <c r="VGM116" s="181"/>
      <c r="VGN116" s="182"/>
      <c r="VGO116" s="181"/>
      <c r="VGP116" s="182"/>
      <c r="VGQ116" s="181"/>
      <c r="VGR116" s="182"/>
      <c r="VGS116" s="181"/>
      <c r="VGT116" s="182"/>
      <c r="VGU116" s="181"/>
      <c r="VGV116" s="182"/>
      <c r="VGW116" s="181"/>
      <c r="VGX116" s="182"/>
      <c r="VGY116" s="181"/>
      <c r="VGZ116" s="182"/>
      <c r="VHA116" s="181"/>
      <c r="VHB116" s="182"/>
      <c r="VHC116" s="181"/>
      <c r="VHD116" s="182"/>
      <c r="VHE116" s="181"/>
      <c r="VHF116" s="182"/>
      <c r="VHG116" s="181"/>
      <c r="VHH116" s="182"/>
      <c r="VHI116" s="181"/>
      <c r="VHJ116" s="182"/>
      <c r="VHK116" s="181"/>
      <c r="VHL116" s="182"/>
      <c r="VHM116" s="181"/>
      <c r="VHN116" s="182"/>
      <c r="VHO116" s="181"/>
      <c r="VHP116" s="182"/>
      <c r="VHQ116" s="181"/>
      <c r="VHR116" s="182"/>
      <c r="VHS116" s="181"/>
      <c r="VHT116" s="182"/>
      <c r="VHU116" s="181"/>
      <c r="VHV116" s="182"/>
      <c r="VHW116" s="181"/>
      <c r="VHX116" s="182"/>
      <c r="VHY116" s="181"/>
      <c r="VHZ116" s="182"/>
      <c r="VIA116" s="181"/>
      <c r="VIB116" s="182"/>
      <c r="VIC116" s="181"/>
      <c r="VID116" s="182"/>
      <c r="VIE116" s="181"/>
      <c r="VIF116" s="182"/>
      <c r="VIG116" s="181"/>
      <c r="VIH116" s="182"/>
      <c r="VII116" s="181"/>
      <c r="VIJ116" s="182"/>
      <c r="VIK116" s="181"/>
      <c r="VIL116" s="182"/>
      <c r="VIM116" s="181"/>
      <c r="VIN116" s="182"/>
      <c r="VIO116" s="181"/>
      <c r="VIP116" s="182"/>
      <c r="VIQ116" s="181"/>
      <c r="VIR116" s="182"/>
      <c r="VIS116" s="181"/>
      <c r="VIT116" s="182"/>
      <c r="VIU116" s="181"/>
      <c r="VIV116" s="182"/>
      <c r="VIW116" s="181"/>
      <c r="VIX116" s="182"/>
      <c r="VIY116" s="181"/>
      <c r="VIZ116" s="182"/>
      <c r="VJA116" s="181"/>
      <c r="VJB116" s="182"/>
      <c r="VJC116" s="181"/>
      <c r="VJD116" s="182"/>
      <c r="VJE116" s="181"/>
      <c r="VJF116" s="182"/>
      <c r="VJG116" s="181"/>
      <c r="VJH116" s="182"/>
      <c r="VJI116" s="181"/>
      <c r="VJJ116" s="182"/>
      <c r="VJK116" s="181"/>
      <c r="VJL116" s="182"/>
      <c r="VJM116" s="181"/>
      <c r="VJN116" s="182"/>
      <c r="VJO116" s="181"/>
      <c r="VJP116" s="182"/>
      <c r="VJQ116" s="181"/>
      <c r="VJR116" s="182"/>
      <c r="VJS116" s="181"/>
      <c r="VJT116" s="182"/>
      <c r="VJU116" s="181"/>
      <c r="VJV116" s="182"/>
      <c r="VJW116" s="181"/>
      <c r="VJX116" s="182"/>
      <c r="VJY116" s="181"/>
      <c r="VJZ116" s="182"/>
      <c r="VKA116" s="181"/>
      <c r="VKB116" s="182"/>
      <c r="VKC116" s="181"/>
      <c r="VKD116" s="182"/>
      <c r="VKE116" s="181"/>
      <c r="VKF116" s="182"/>
      <c r="VKG116" s="181"/>
      <c r="VKH116" s="182"/>
      <c r="VKI116" s="181"/>
      <c r="VKJ116" s="182"/>
      <c r="VKK116" s="181"/>
      <c r="VKL116" s="182"/>
      <c r="VKM116" s="181"/>
      <c r="VKN116" s="182"/>
      <c r="VKO116" s="181"/>
      <c r="VKP116" s="182"/>
      <c r="VKQ116" s="181"/>
      <c r="VKR116" s="182"/>
      <c r="VKS116" s="181"/>
      <c r="VKT116" s="182"/>
      <c r="VKU116" s="181"/>
      <c r="VKV116" s="182"/>
      <c r="VKW116" s="181"/>
      <c r="VKX116" s="182"/>
      <c r="VKY116" s="181"/>
      <c r="VKZ116" s="182"/>
      <c r="VLA116" s="181"/>
      <c r="VLB116" s="182"/>
      <c r="VLC116" s="181"/>
      <c r="VLD116" s="182"/>
      <c r="VLE116" s="181"/>
      <c r="VLF116" s="182"/>
      <c r="VLG116" s="181"/>
      <c r="VLH116" s="182"/>
      <c r="VLI116" s="181"/>
      <c r="VLJ116" s="182"/>
      <c r="VLK116" s="181"/>
      <c r="VLL116" s="182"/>
      <c r="VLM116" s="181"/>
      <c r="VLN116" s="182"/>
      <c r="VLO116" s="181"/>
      <c r="VLP116" s="182"/>
      <c r="VLQ116" s="181"/>
      <c r="VLR116" s="182"/>
      <c r="VLS116" s="181"/>
      <c r="VLT116" s="182"/>
      <c r="VLU116" s="181"/>
      <c r="VLV116" s="182"/>
      <c r="VLW116" s="181"/>
      <c r="VLX116" s="182"/>
      <c r="VLY116" s="181"/>
      <c r="VLZ116" s="182"/>
      <c r="VMA116" s="181"/>
      <c r="VMB116" s="182"/>
      <c r="VMC116" s="181"/>
      <c r="VMD116" s="182"/>
      <c r="VME116" s="181"/>
      <c r="VMF116" s="182"/>
      <c r="VMG116" s="181"/>
      <c r="VMH116" s="182"/>
      <c r="VMI116" s="181"/>
      <c r="VMJ116" s="182"/>
      <c r="VMK116" s="181"/>
      <c r="VML116" s="182"/>
      <c r="VMM116" s="181"/>
      <c r="VMN116" s="182"/>
      <c r="VMO116" s="181"/>
      <c r="VMP116" s="182"/>
      <c r="VMQ116" s="181"/>
      <c r="VMR116" s="182"/>
      <c r="VMS116" s="181"/>
      <c r="VMT116" s="182"/>
      <c r="VMU116" s="181"/>
      <c r="VMV116" s="182"/>
      <c r="VMW116" s="181"/>
      <c r="VMX116" s="182"/>
      <c r="VMY116" s="181"/>
      <c r="VMZ116" s="182"/>
      <c r="VNA116" s="181"/>
      <c r="VNB116" s="182"/>
      <c r="VNC116" s="181"/>
      <c r="VND116" s="182"/>
      <c r="VNE116" s="181"/>
      <c r="VNF116" s="182"/>
      <c r="VNG116" s="181"/>
      <c r="VNH116" s="182"/>
      <c r="VNI116" s="181"/>
      <c r="VNJ116" s="182"/>
      <c r="VNK116" s="181"/>
      <c r="VNL116" s="182"/>
      <c r="VNM116" s="181"/>
      <c r="VNN116" s="182"/>
      <c r="VNO116" s="181"/>
      <c r="VNP116" s="182"/>
      <c r="VNQ116" s="181"/>
      <c r="VNR116" s="182"/>
      <c r="VNS116" s="181"/>
      <c r="VNT116" s="182"/>
      <c r="VNU116" s="181"/>
      <c r="VNV116" s="182"/>
      <c r="VNW116" s="181"/>
      <c r="VNX116" s="182"/>
      <c r="VNY116" s="181"/>
      <c r="VNZ116" s="182"/>
      <c r="VOA116" s="181"/>
      <c r="VOB116" s="182"/>
      <c r="VOC116" s="181"/>
      <c r="VOD116" s="182"/>
      <c r="VOE116" s="181"/>
      <c r="VOF116" s="182"/>
      <c r="VOG116" s="181"/>
      <c r="VOH116" s="182"/>
      <c r="VOI116" s="181"/>
      <c r="VOJ116" s="182"/>
      <c r="VOK116" s="181"/>
      <c r="VOL116" s="182"/>
      <c r="VOM116" s="181"/>
      <c r="VON116" s="182"/>
      <c r="VOO116" s="181"/>
      <c r="VOP116" s="182"/>
      <c r="VOQ116" s="181"/>
      <c r="VOR116" s="182"/>
      <c r="VOS116" s="181"/>
      <c r="VOT116" s="182"/>
      <c r="VOU116" s="181"/>
      <c r="VOV116" s="182"/>
      <c r="VOW116" s="181"/>
      <c r="VOX116" s="182"/>
      <c r="VOY116" s="181"/>
      <c r="VOZ116" s="182"/>
      <c r="VPA116" s="181"/>
      <c r="VPB116" s="182"/>
      <c r="VPC116" s="181"/>
      <c r="VPD116" s="182"/>
      <c r="VPE116" s="181"/>
      <c r="VPF116" s="182"/>
      <c r="VPG116" s="181"/>
      <c r="VPH116" s="182"/>
      <c r="VPI116" s="181"/>
      <c r="VPJ116" s="182"/>
      <c r="VPK116" s="181"/>
      <c r="VPL116" s="182"/>
      <c r="VPM116" s="181"/>
      <c r="VPN116" s="182"/>
      <c r="VPO116" s="181"/>
      <c r="VPP116" s="182"/>
      <c r="VPQ116" s="181"/>
      <c r="VPR116" s="182"/>
      <c r="VPS116" s="181"/>
      <c r="VPT116" s="182"/>
      <c r="VPU116" s="181"/>
      <c r="VPV116" s="182"/>
      <c r="VPW116" s="181"/>
      <c r="VPX116" s="182"/>
      <c r="VPY116" s="181"/>
      <c r="VPZ116" s="182"/>
      <c r="VQA116" s="181"/>
      <c r="VQB116" s="182"/>
      <c r="VQC116" s="181"/>
      <c r="VQD116" s="182"/>
      <c r="VQE116" s="181"/>
      <c r="VQF116" s="182"/>
      <c r="VQG116" s="181"/>
      <c r="VQH116" s="182"/>
      <c r="VQI116" s="181"/>
      <c r="VQJ116" s="182"/>
      <c r="VQK116" s="181"/>
      <c r="VQL116" s="182"/>
      <c r="VQM116" s="181"/>
      <c r="VQN116" s="182"/>
      <c r="VQO116" s="181"/>
      <c r="VQP116" s="182"/>
      <c r="VQQ116" s="181"/>
      <c r="VQR116" s="182"/>
      <c r="VQS116" s="181"/>
      <c r="VQT116" s="182"/>
      <c r="VQU116" s="181"/>
      <c r="VQV116" s="182"/>
      <c r="VQW116" s="181"/>
      <c r="VQX116" s="182"/>
      <c r="VQY116" s="181"/>
      <c r="VQZ116" s="182"/>
      <c r="VRA116" s="181"/>
      <c r="VRB116" s="182"/>
      <c r="VRC116" s="181"/>
      <c r="VRD116" s="182"/>
      <c r="VRE116" s="181"/>
      <c r="VRF116" s="182"/>
      <c r="VRG116" s="181"/>
      <c r="VRH116" s="182"/>
      <c r="VRI116" s="181"/>
      <c r="VRJ116" s="182"/>
      <c r="VRK116" s="181"/>
      <c r="VRL116" s="182"/>
      <c r="VRM116" s="181"/>
      <c r="VRN116" s="182"/>
      <c r="VRO116" s="181"/>
      <c r="VRP116" s="182"/>
      <c r="VRQ116" s="181"/>
      <c r="VRR116" s="182"/>
      <c r="VRS116" s="181"/>
      <c r="VRT116" s="182"/>
      <c r="VRU116" s="181"/>
      <c r="VRV116" s="182"/>
      <c r="VRW116" s="181"/>
      <c r="VRX116" s="182"/>
      <c r="VRY116" s="181"/>
      <c r="VRZ116" s="182"/>
      <c r="VSA116" s="181"/>
      <c r="VSB116" s="182"/>
      <c r="VSC116" s="181"/>
      <c r="VSD116" s="182"/>
      <c r="VSE116" s="181"/>
      <c r="VSF116" s="182"/>
      <c r="VSG116" s="181"/>
      <c r="VSH116" s="182"/>
      <c r="VSI116" s="181"/>
      <c r="VSJ116" s="182"/>
      <c r="VSK116" s="181"/>
      <c r="VSL116" s="182"/>
      <c r="VSM116" s="181"/>
      <c r="VSN116" s="182"/>
      <c r="VSO116" s="181"/>
      <c r="VSP116" s="182"/>
      <c r="VSQ116" s="181"/>
      <c r="VSR116" s="182"/>
      <c r="VSS116" s="181"/>
      <c r="VST116" s="182"/>
      <c r="VSU116" s="181"/>
      <c r="VSV116" s="182"/>
      <c r="VSW116" s="181"/>
      <c r="VSX116" s="182"/>
      <c r="VSY116" s="181"/>
      <c r="VSZ116" s="182"/>
      <c r="VTA116" s="181"/>
      <c r="VTB116" s="182"/>
      <c r="VTC116" s="181"/>
      <c r="VTD116" s="182"/>
      <c r="VTE116" s="181"/>
      <c r="VTF116" s="182"/>
      <c r="VTG116" s="181"/>
      <c r="VTH116" s="182"/>
      <c r="VTI116" s="181"/>
      <c r="VTJ116" s="182"/>
      <c r="VTK116" s="181"/>
      <c r="VTL116" s="182"/>
      <c r="VTM116" s="181"/>
      <c r="VTN116" s="182"/>
      <c r="VTO116" s="181"/>
      <c r="VTP116" s="182"/>
      <c r="VTQ116" s="181"/>
      <c r="VTR116" s="182"/>
      <c r="VTS116" s="181"/>
      <c r="VTT116" s="182"/>
      <c r="VTU116" s="181"/>
      <c r="VTV116" s="182"/>
      <c r="VTW116" s="181"/>
      <c r="VTX116" s="182"/>
      <c r="VTY116" s="181"/>
      <c r="VTZ116" s="182"/>
      <c r="VUA116" s="181"/>
      <c r="VUB116" s="182"/>
      <c r="VUC116" s="181"/>
      <c r="VUD116" s="182"/>
      <c r="VUE116" s="181"/>
      <c r="VUF116" s="182"/>
      <c r="VUG116" s="181"/>
      <c r="VUH116" s="182"/>
      <c r="VUI116" s="181"/>
      <c r="VUJ116" s="182"/>
      <c r="VUK116" s="181"/>
      <c r="VUL116" s="182"/>
      <c r="VUM116" s="181"/>
      <c r="VUN116" s="182"/>
      <c r="VUO116" s="181"/>
      <c r="VUP116" s="182"/>
      <c r="VUQ116" s="181"/>
      <c r="VUR116" s="182"/>
      <c r="VUS116" s="181"/>
      <c r="VUT116" s="182"/>
      <c r="VUU116" s="181"/>
      <c r="VUV116" s="182"/>
      <c r="VUW116" s="181"/>
      <c r="VUX116" s="182"/>
      <c r="VUY116" s="181"/>
      <c r="VUZ116" s="182"/>
      <c r="VVA116" s="181"/>
      <c r="VVB116" s="182"/>
      <c r="VVC116" s="181"/>
      <c r="VVD116" s="182"/>
      <c r="VVE116" s="181"/>
      <c r="VVF116" s="182"/>
      <c r="VVG116" s="181"/>
      <c r="VVH116" s="182"/>
      <c r="VVI116" s="181"/>
      <c r="VVJ116" s="182"/>
      <c r="VVK116" s="181"/>
      <c r="VVL116" s="182"/>
      <c r="VVM116" s="181"/>
      <c r="VVN116" s="182"/>
      <c r="VVO116" s="181"/>
      <c r="VVP116" s="182"/>
      <c r="VVQ116" s="181"/>
      <c r="VVR116" s="182"/>
      <c r="VVS116" s="181"/>
      <c r="VVT116" s="182"/>
      <c r="VVU116" s="181"/>
      <c r="VVV116" s="182"/>
      <c r="VVW116" s="181"/>
      <c r="VVX116" s="182"/>
      <c r="VVY116" s="181"/>
      <c r="VVZ116" s="182"/>
      <c r="VWA116" s="181"/>
      <c r="VWB116" s="182"/>
      <c r="VWC116" s="181"/>
      <c r="VWD116" s="182"/>
      <c r="VWE116" s="181"/>
      <c r="VWF116" s="182"/>
      <c r="VWG116" s="181"/>
      <c r="VWH116" s="182"/>
      <c r="VWI116" s="181"/>
      <c r="VWJ116" s="182"/>
      <c r="VWK116" s="181"/>
      <c r="VWL116" s="182"/>
      <c r="VWM116" s="181"/>
      <c r="VWN116" s="182"/>
      <c r="VWO116" s="181"/>
      <c r="VWP116" s="182"/>
      <c r="VWQ116" s="181"/>
      <c r="VWR116" s="182"/>
      <c r="VWS116" s="181"/>
      <c r="VWT116" s="182"/>
      <c r="VWU116" s="181"/>
      <c r="VWV116" s="182"/>
      <c r="VWW116" s="181"/>
      <c r="VWX116" s="182"/>
      <c r="VWY116" s="181"/>
      <c r="VWZ116" s="182"/>
      <c r="VXA116" s="181"/>
      <c r="VXB116" s="182"/>
      <c r="VXC116" s="181"/>
      <c r="VXD116" s="182"/>
      <c r="VXE116" s="181"/>
      <c r="VXF116" s="182"/>
      <c r="VXG116" s="181"/>
      <c r="VXH116" s="182"/>
      <c r="VXI116" s="181"/>
      <c r="VXJ116" s="182"/>
      <c r="VXK116" s="181"/>
      <c r="VXL116" s="182"/>
      <c r="VXM116" s="181"/>
      <c r="VXN116" s="182"/>
      <c r="VXO116" s="181"/>
      <c r="VXP116" s="182"/>
      <c r="VXQ116" s="181"/>
      <c r="VXR116" s="182"/>
      <c r="VXS116" s="181"/>
      <c r="VXT116" s="182"/>
      <c r="VXU116" s="181"/>
      <c r="VXV116" s="182"/>
      <c r="VXW116" s="181"/>
      <c r="VXX116" s="182"/>
      <c r="VXY116" s="181"/>
      <c r="VXZ116" s="182"/>
      <c r="VYA116" s="181"/>
      <c r="VYB116" s="182"/>
      <c r="VYC116" s="181"/>
      <c r="VYD116" s="182"/>
      <c r="VYE116" s="181"/>
      <c r="VYF116" s="182"/>
      <c r="VYG116" s="181"/>
      <c r="VYH116" s="182"/>
      <c r="VYI116" s="181"/>
      <c r="VYJ116" s="182"/>
      <c r="VYK116" s="181"/>
      <c r="VYL116" s="182"/>
      <c r="VYM116" s="181"/>
      <c r="VYN116" s="182"/>
      <c r="VYO116" s="181"/>
      <c r="VYP116" s="182"/>
      <c r="VYQ116" s="181"/>
      <c r="VYR116" s="182"/>
      <c r="VYS116" s="181"/>
      <c r="VYT116" s="182"/>
      <c r="VYU116" s="181"/>
      <c r="VYV116" s="182"/>
      <c r="VYW116" s="181"/>
      <c r="VYX116" s="182"/>
      <c r="VYY116" s="181"/>
      <c r="VYZ116" s="182"/>
      <c r="VZA116" s="181"/>
      <c r="VZB116" s="182"/>
      <c r="VZC116" s="181"/>
      <c r="VZD116" s="182"/>
      <c r="VZE116" s="181"/>
      <c r="VZF116" s="182"/>
      <c r="VZG116" s="181"/>
      <c r="VZH116" s="182"/>
      <c r="VZI116" s="181"/>
      <c r="VZJ116" s="182"/>
      <c r="VZK116" s="181"/>
      <c r="VZL116" s="182"/>
      <c r="VZM116" s="181"/>
      <c r="VZN116" s="182"/>
      <c r="VZO116" s="181"/>
      <c r="VZP116" s="182"/>
      <c r="VZQ116" s="181"/>
      <c r="VZR116" s="182"/>
      <c r="VZS116" s="181"/>
      <c r="VZT116" s="182"/>
      <c r="VZU116" s="181"/>
      <c r="VZV116" s="182"/>
      <c r="VZW116" s="181"/>
      <c r="VZX116" s="182"/>
      <c r="VZY116" s="181"/>
      <c r="VZZ116" s="182"/>
      <c r="WAA116" s="181"/>
      <c r="WAB116" s="182"/>
      <c r="WAC116" s="181"/>
      <c r="WAD116" s="182"/>
      <c r="WAE116" s="181"/>
      <c r="WAF116" s="182"/>
      <c r="WAG116" s="181"/>
      <c r="WAH116" s="182"/>
      <c r="WAI116" s="181"/>
      <c r="WAJ116" s="182"/>
      <c r="WAK116" s="181"/>
      <c r="WAL116" s="182"/>
      <c r="WAM116" s="181"/>
      <c r="WAN116" s="182"/>
      <c r="WAO116" s="181"/>
      <c r="WAP116" s="182"/>
      <c r="WAQ116" s="181"/>
      <c r="WAR116" s="182"/>
      <c r="WAS116" s="181"/>
      <c r="WAT116" s="182"/>
      <c r="WAU116" s="181"/>
      <c r="WAV116" s="182"/>
      <c r="WAW116" s="181"/>
      <c r="WAX116" s="182"/>
      <c r="WAY116" s="181"/>
      <c r="WAZ116" s="182"/>
      <c r="WBA116" s="181"/>
      <c r="WBB116" s="182"/>
      <c r="WBC116" s="181"/>
      <c r="WBD116" s="182"/>
      <c r="WBE116" s="181"/>
      <c r="WBF116" s="182"/>
      <c r="WBG116" s="181"/>
      <c r="WBH116" s="182"/>
      <c r="WBI116" s="181"/>
      <c r="WBJ116" s="182"/>
      <c r="WBK116" s="181"/>
      <c r="WBL116" s="182"/>
      <c r="WBM116" s="181"/>
      <c r="WBN116" s="182"/>
      <c r="WBO116" s="181"/>
      <c r="WBP116" s="182"/>
      <c r="WBQ116" s="181"/>
      <c r="WBR116" s="182"/>
      <c r="WBS116" s="181"/>
      <c r="WBT116" s="182"/>
      <c r="WBU116" s="181"/>
      <c r="WBV116" s="182"/>
      <c r="WBW116" s="181"/>
      <c r="WBX116" s="182"/>
      <c r="WBY116" s="181"/>
      <c r="WBZ116" s="182"/>
      <c r="WCA116" s="181"/>
      <c r="WCB116" s="182"/>
      <c r="WCC116" s="181"/>
      <c r="WCD116" s="182"/>
      <c r="WCE116" s="181"/>
      <c r="WCF116" s="182"/>
      <c r="WCG116" s="181"/>
      <c r="WCH116" s="182"/>
      <c r="WCI116" s="181"/>
      <c r="WCJ116" s="182"/>
      <c r="WCK116" s="181"/>
      <c r="WCL116" s="182"/>
      <c r="WCM116" s="181"/>
      <c r="WCN116" s="182"/>
      <c r="WCO116" s="181"/>
      <c r="WCP116" s="182"/>
      <c r="WCQ116" s="181"/>
      <c r="WCR116" s="182"/>
      <c r="WCS116" s="181"/>
      <c r="WCT116" s="182"/>
      <c r="WCU116" s="181"/>
      <c r="WCV116" s="182"/>
      <c r="WCW116" s="181"/>
      <c r="WCX116" s="182"/>
      <c r="WCY116" s="181"/>
      <c r="WCZ116" s="182"/>
      <c r="WDA116" s="181"/>
      <c r="WDB116" s="182"/>
      <c r="WDC116" s="181"/>
      <c r="WDD116" s="182"/>
      <c r="WDE116" s="181"/>
      <c r="WDF116" s="182"/>
      <c r="WDG116" s="181"/>
      <c r="WDH116" s="182"/>
      <c r="WDI116" s="181"/>
      <c r="WDJ116" s="182"/>
      <c r="WDK116" s="181"/>
      <c r="WDL116" s="182"/>
      <c r="WDM116" s="181"/>
      <c r="WDN116" s="182"/>
      <c r="WDO116" s="181"/>
      <c r="WDP116" s="182"/>
      <c r="WDQ116" s="181"/>
      <c r="WDR116" s="182"/>
      <c r="WDS116" s="181"/>
      <c r="WDT116" s="182"/>
      <c r="WDU116" s="181"/>
      <c r="WDV116" s="182"/>
      <c r="WDW116" s="181"/>
      <c r="WDX116" s="182"/>
      <c r="WDY116" s="181"/>
      <c r="WDZ116" s="182"/>
      <c r="WEA116" s="181"/>
      <c r="WEB116" s="182"/>
      <c r="WEC116" s="181"/>
      <c r="WED116" s="182"/>
      <c r="WEE116" s="181"/>
      <c r="WEF116" s="182"/>
      <c r="WEG116" s="181"/>
      <c r="WEH116" s="182"/>
      <c r="WEI116" s="181"/>
      <c r="WEJ116" s="182"/>
      <c r="WEK116" s="181"/>
      <c r="WEL116" s="182"/>
      <c r="WEM116" s="181"/>
      <c r="WEN116" s="182"/>
      <c r="WEO116" s="181"/>
      <c r="WEP116" s="182"/>
      <c r="WEQ116" s="181"/>
      <c r="WER116" s="182"/>
      <c r="WES116" s="181"/>
      <c r="WET116" s="182"/>
      <c r="WEU116" s="181"/>
      <c r="WEV116" s="182"/>
      <c r="WEW116" s="181"/>
      <c r="WEX116" s="182"/>
      <c r="WEY116" s="181"/>
      <c r="WEZ116" s="182"/>
      <c r="WFA116" s="181"/>
      <c r="WFB116" s="182"/>
      <c r="WFC116" s="181"/>
      <c r="WFD116" s="182"/>
      <c r="WFE116" s="181"/>
      <c r="WFF116" s="182"/>
      <c r="WFG116" s="181"/>
      <c r="WFH116" s="182"/>
      <c r="WFI116" s="181"/>
      <c r="WFJ116" s="182"/>
      <c r="WFK116" s="181"/>
      <c r="WFL116" s="182"/>
      <c r="WFM116" s="181"/>
      <c r="WFN116" s="182"/>
      <c r="WFO116" s="181"/>
      <c r="WFP116" s="182"/>
      <c r="WFQ116" s="181"/>
      <c r="WFR116" s="182"/>
      <c r="WFS116" s="181"/>
      <c r="WFT116" s="182"/>
      <c r="WFU116" s="181"/>
      <c r="WFV116" s="182"/>
      <c r="WFW116" s="181"/>
      <c r="WFX116" s="182"/>
      <c r="WFY116" s="181"/>
      <c r="WFZ116" s="182"/>
      <c r="WGA116" s="181"/>
      <c r="WGB116" s="182"/>
      <c r="WGC116" s="181"/>
      <c r="WGD116" s="182"/>
      <c r="WGE116" s="181"/>
      <c r="WGF116" s="182"/>
      <c r="WGG116" s="181"/>
      <c r="WGH116" s="182"/>
      <c r="WGI116" s="181"/>
      <c r="WGJ116" s="182"/>
      <c r="WGK116" s="181"/>
      <c r="WGL116" s="182"/>
      <c r="WGM116" s="181"/>
      <c r="WGN116" s="182"/>
      <c r="WGO116" s="181"/>
      <c r="WGP116" s="182"/>
      <c r="WGQ116" s="181"/>
      <c r="WGR116" s="182"/>
      <c r="WGS116" s="181"/>
      <c r="WGT116" s="182"/>
      <c r="WGU116" s="181"/>
      <c r="WGV116" s="182"/>
      <c r="WGW116" s="181"/>
      <c r="WGX116" s="182"/>
      <c r="WGY116" s="181"/>
      <c r="WGZ116" s="182"/>
      <c r="WHA116" s="181"/>
      <c r="WHB116" s="182"/>
      <c r="WHC116" s="181"/>
      <c r="WHD116" s="182"/>
      <c r="WHE116" s="181"/>
      <c r="WHF116" s="182"/>
      <c r="WHG116" s="181"/>
      <c r="WHH116" s="182"/>
      <c r="WHI116" s="181"/>
      <c r="WHJ116" s="182"/>
      <c r="WHK116" s="181"/>
      <c r="WHL116" s="182"/>
      <c r="WHM116" s="181"/>
      <c r="WHN116" s="182"/>
      <c r="WHO116" s="181"/>
      <c r="WHP116" s="182"/>
      <c r="WHQ116" s="181"/>
      <c r="WHR116" s="182"/>
      <c r="WHS116" s="181"/>
      <c r="WHT116" s="182"/>
      <c r="WHU116" s="181"/>
      <c r="WHV116" s="182"/>
      <c r="WHW116" s="181"/>
      <c r="WHX116" s="182"/>
      <c r="WHY116" s="181"/>
      <c r="WHZ116" s="182"/>
      <c r="WIA116" s="181"/>
      <c r="WIB116" s="182"/>
      <c r="WIC116" s="181"/>
      <c r="WID116" s="182"/>
      <c r="WIE116" s="181"/>
      <c r="WIF116" s="182"/>
      <c r="WIG116" s="181"/>
      <c r="WIH116" s="182"/>
      <c r="WII116" s="181"/>
      <c r="WIJ116" s="182"/>
      <c r="WIK116" s="181"/>
      <c r="WIL116" s="182"/>
      <c r="WIM116" s="181"/>
      <c r="WIN116" s="182"/>
      <c r="WIO116" s="181"/>
      <c r="WIP116" s="182"/>
      <c r="WIQ116" s="181"/>
      <c r="WIR116" s="182"/>
      <c r="WIS116" s="181"/>
      <c r="WIT116" s="182"/>
      <c r="WIU116" s="181"/>
      <c r="WIV116" s="182"/>
      <c r="WIW116" s="181"/>
      <c r="WIX116" s="182"/>
      <c r="WIY116" s="181"/>
      <c r="WIZ116" s="182"/>
      <c r="WJA116" s="181"/>
      <c r="WJB116" s="182"/>
      <c r="WJC116" s="181"/>
      <c r="WJD116" s="182"/>
      <c r="WJE116" s="181"/>
      <c r="WJF116" s="182"/>
      <c r="WJG116" s="181"/>
      <c r="WJH116" s="182"/>
      <c r="WJI116" s="181"/>
      <c r="WJJ116" s="182"/>
      <c r="WJK116" s="181"/>
      <c r="WJL116" s="182"/>
      <c r="WJM116" s="181"/>
      <c r="WJN116" s="182"/>
      <c r="WJO116" s="181"/>
      <c r="WJP116" s="182"/>
      <c r="WJQ116" s="181"/>
      <c r="WJR116" s="182"/>
      <c r="WJS116" s="181"/>
      <c r="WJT116" s="182"/>
      <c r="WJU116" s="181"/>
      <c r="WJV116" s="182"/>
      <c r="WJW116" s="181"/>
      <c r="WJX116" s="182"/>
      <c r="WJY116" s="181"/>
      <c r="WJZ116" s="182"/>
      <c r="WKA116" s="181"/>
      <c r="WKB116" s="182"/>
      <c r="WKC116" s="181"/>
      <c r="WKD116" s="182"/>
      <c r="WKE116" s="181"/>
      <c r="WKF116" s="182"/>
      <c r="WKG116" s="181"/>
      <c r="WKH116" s="182"/>
      <c r="WKI116" s="181"/>
      <c r="WKJ116" s="182"/>
      <c r="WKK116" s="181"/>
      <c r="WKL116" s="182"/>
      <c r="WKM116" s="181"/>
      <c r="WKN116" s="182"/>
      <c r="WKO116" s="181"/>
      <c r="WKP116" s="182"/>
      <c r="WKQ116" s="181"/>
      <c r="WKR116" s="182"/>
      <c r="WKS116" s="181"/>
      <c r="WKT116" s="182"/>
      <c r="WKU116" s="181"/>
      <c r="WKV116" s="182"/>
      <c r="WKW116" s="181"/>
      <c r="WKX116" s="182"/>
      <c r="WKY116" s="181"/>
      <c r="WKZ116" s="182"/>
      <c r="WLA116" s="181"/>
      <c r="WLB116" s="182"/>
      <c r="WLC116" s="181"/>
      <c r="WLD116" s="182"/>
      <c r="WLE116" s="181"/>
      <c r="WLF116" s="182"/>
      <c r="WLG116" s="181"/>
      <c r="WLH116" s="182"/>
      <c r="WLI116" s="181"/>
      <c r="WLJ116" s="182"/>
      <c r="WLK116" s="181"/>
      <c r="WLL116" s="182"/>
      <c r="WLM116" s="181"/>
      <c r="WLN116" s="182"/>
      <c r="WLO116" s="181"/>
      <c r="WLP116" s="182"/>
      <c r="WLQ116" s="181"/>
      <c r="WLR116" s="182"/>
      <c r="WLS116" s="181"/>
      <c r="WLT116" s="182"/>
      <c r="WLU116" s="181"/>
      <c r="WLV116" s="182"/>
      <c r="WLW116" s="181"/>
      <c r="WLX116" s="182"/>
      <c r="WLY116" s="181"/>
      <c r="WLZ116" s="182"/>
      <c r="WMA116" s="181"/>
      <c r="WMB116" s="182"/>
      <c r="WMC116" s="181"/>
      <c r="WMD116" s="182"/>
      <c r="WME116" s="181"/>
      <c r="WMF116" s="182"/>
      <c r="WMG116" s="181"/>
      <c r="WMH116" s="182"/>
      <c r="WMI116" s="181"/>
      <c r="WMJ116" s="182"/>
      <c r="WMK116" s="181"/>
      <c r="WML116" s="182"/>
      <c r="WMM116" s="181"/>
      <c r="WMN116" s="182"/>
      <c r="WMO116" s="181"/>
      <c r="WMP116" s="182"/>
      <c r="WMQ116" s="181"/>
      <c r="WMR116" s="182"/>
      <c r="WMS116" s="181"/>
      <c r="WMT116" s="182"/>
      <c r="WMU116" s="181"/>
      <c r="WMV116" s="182"/>
      <c r="WMW116" s="181"/>
      <c r="WMX116" s="182"/>
      <c r="WMY116" s="181"/>
      <c r="WMZ116" s="182"/>
      <c r="WNA116" s="181"/>
      <c r="WNB116" s="182"/>
      <c r="WNC116" s="181"/>
      <c r="WND116" s="182"/>
      <c r="WNE116" s="181"/>
      <c r="WNF116" s="182"/>
      <c r="WNG116" s="181"/>
      <c r="WNH116" s="182"/>
      <c r="WNI116" s="181"/>
      <c r="WNJ116" s="182"/>
      <c r="WNK116" s="181"/>
      <c r="WNL116" s="182"/>
      <c r="WNM116" s="181"/>
      <c r="WNN116" s="182"/>
      <c r="WNO116" s="181"/>
      <c r="WNP116" s="182"/>
      <c r="WNQ116" s="181"/>
      <c r="WNR116" s="182"/>
      <c r="WNS116" s="181"/>
      <c r="WNT116" s="182"/>
      <c r="WNU116" s="181"/>
      <c r="WNV116" s="182"/>
      <c r="WNW116" s="181"/>
      <c r="WNX116" s="182"/>
      <c r="WNY116" s="181"/>
      <c r="WNZ116" s="182"/>
      <c r="WOA116" s="181"/>
      <c r="WOB116" s="182"/>
      <c r="WOC116" s="181"/>
      <c r="WOD116" s="182"/>
      <c r="WOE116" s="181"/>
      <c r="WOF116" s="182"/>
      <c r="WOG116" s="181"/>
      <c r="WOH116" s="182"/>
      <c r="WOI116" s="181"/>
      <c r="WOJ116" s="182"/>
      <c r="WOK116" s="181"/>
      <c r="WOL116" s="182"/>
      <c r="WOM116" s="181"/>
      <c r="WON116" s="182"/>
      <c r="WOO116" s="181"/>
      <c r="WOP116" s="182"/>
      <c r="WOQ116" s="181"/>
      <c r="WOR116" s="182"/>
      <c r="WOS116" s="181"/>
      <c r="WOT116" s="182"/>
      <c r="WOU116" s="181"/>
      <c r="WOV116" s="182"/>
      <c r="WOW116" s="181"/>
      <c r="WOX116" s="182"/>
      <c r="WOY116" s="181"/>
      <c r="WOZ116" s="182"/>
      <c r="WPA116" s="181"/>
      <c r="WPB116" s="182"/>
      <c r="WPC116" s="181"/>
      <c r="WPD116" s="182"/>
      <c r="WPE116" s="181"/>
      <c r="WPF116" s="182"/>
      <c r="WPG116" s="181"/>
      <c r="WPH116" s="182"/>
      <c r="WPI116" s="181"/>
      <c r="WPJ116" s="182"/>
      <c r="WPK116" s="181"/>
      <c r="WPL116" s="182"/>
      <c r="WPM116" s="181"/>
      <c r="WPN116" s="182"/>
      <c r="WPO116" s="181"/>
      <c r="WPP116" s="182"/>
      <c r="WPQ116" s="181"/>
      <c r="WPR116" s="182"/>
      <c r="WPS116" s="181"/>
      <c r="WPT116" s="182"/>
      <c r="WPU116" s="181"/>
      <c r="WPV116" s="182"/>
      <c r="WPW116" s="181"/>
      <c r="WPX116" s="182"/>
      <c r="WPY116" s="181"/>
      <c r="WPZ116" s="182"/>
      <c r="WQA116" s="181"/>
      <c r="WQB116" s="182"/>
      <c r="WQC116" s="181"/>
      <c r="WQD116" s="182"/>
      <c r="WQE116" s="181"/>
      <c r="WQF116" s="182"/>
      <c r="WQG116" s="181"/>
      <c r="WQH116" s="182"/>
      <c r="WQI116" s="181"/>
      <c r="WQJ116" s="182"/>
      <c r="WQK116" s="181"/>
      <c r="WQL116" s="182"/>
      <c r="WQM116" s="181"/>
      <c r="WQN116" s="182"/>
      <c r="WQO116" s="181"/>
      <c r="WQP116" s="182"/>
      <c r="WQQ116" s="181"/>
      <c r="WQR116" s="182"/>
      <c r="WQS116" s="181"/>
      <c r="WQT116" s="182"/>
      <c r="WQU116" s="181"/>
      <c r="WQV116" s="182"/>
      <c r="WQW116" s="181"/>
      <c r="WQX116" s="182"/>
      <c r="WQY116" s="181"/>
      <c r="WQZ116" s="182"/>
      <c r="WRA116" s="181"/>
      <c r="WRB116" s="182"/>
      <c r="WRC116" s="181"/>
      <c r="WRD116" s="182"/>
      <c r="WRE116" s="181"/>
      <c r="WRF116" s="182"/>
      <c r="WRG116" s="181"/>
      <c r="WRH116" s="182"/>
      <c r="WRI116" s="181"/>
      <c r="WRJ116" s="182"/>
      <c r="WRK116" s="181"/>
      <c r="WRL116" s="182"/>
      <c r="WRM116" s="181"/>
      <c r="WRN116" s="182"/>
      <c r="WRO116" s="181"/>
      <c r="WRP116" s="182"/>
      <c r="WRQ116" s="181"/>
      <c r="WRR116" s="182"/>
      <c r="WRS116" s="181"/>
      <c r="WRT116" s="182"/>
      <c r="WRU116" s="181"/>
      <c r="WRV116" s="182"/>
      <c r="WRW116" s="181"/>
      <c r="WRX116" s="182"/>
      <c r="WRY116" s="181"/>
      <c r="WRZ116" s="182"/>
      <c r="WSA116" s="181"/>
      <c r="WSB116" s="182"/>
      <c r="WSC116" s="181"/>
      <c r="WSD116" s="182"/>
      <c r="WSE116" s="181"/>
      <c r="WSF116" s="182"/>
      <c r="WSG116" s="181"/>
      <c r="WSH116" s="182"/>
      <c r="WSI116" s="181"/>
      <c r="WSJ116" s="182"/>
      <c r="WSK116" s="181"/>
      <c r="WSL116" s="182"/>
      <c r="WSM116" s="181"/>
      <c r="WSN116" s="182"/>
      <c r="WSO116" s="181"/>
      <c r="WSP116" s="182"/>
      <c r="WSQ116" s="181"/>
      <c r="WSR116" s="182"/>
      <c r="WSS116" s="181"/>
      <c r="WST116" s="182"/>
      <c r="WSU116" s="181"/>
      <c r="WSV116" s="182"/>
      <c r="WSW116" s="181"/>
      <c r="WSX116" s="182"/>
      <c r="WSY116" s="181"/>
      <c r="WSZ116" s="182"/>
      <c r="WTA116" s="181"/>
      <c r="WTB116" s="182"/>
      <c r="WTC116" s="181"/>
      <c r="WTD116" s="182"/>
      <c r="WTE116" s="181"/>
      <c r="WTF116" s="182"/>
      <c r="WTG116" s="181"/>
      <c r="WTH116" s="182"/>
      <c r="WTI116" s="181"/>
      <c r="WTJ116" s="182"/>
      <c r="WTK116" s="181"/>
      <c r="WTL116" s="182"/>
      <c r="WTM116" s="181"/>
      <c r="WTN116" s="182"/>
      <c r="WTO116" s="181"/>
      <c r="WTP116" s="182"/>
      <c r="WTQ116" s="181"/>
      <c r="WTR116" s="182"/>
      <c r="WTS116" s="181"/>
      <c r="WTT116" s="182"/>
      <c r="WTU116" s="181"/>
      <c r="WTV116" s="182"/>
      <c r="WTW116" s="181"/>
      <c r="WTX116" s="182"/>
      <c r="WTY116" s="181"/>
      <c r="WTZ116" s="182"/>
      <c r="WUA116" s="181"/>
      <c r="WUB116" s="182"/>
      <c r="WUC116" s="181"/>
      <c r="WUD116" s="182"/>
      <c r="WUE116" s="181"/>
      <c r="WUF116" s="182"/>
      <c r="WUG116" s="181"/>
      <c r="WUH116" s="182"/>
      <c r="WUI116" s="181"/>
      <c r="WUJ116" s="182"/>
      <c r="WUK116" s="181"/>
      <c r="WUL116" s="182"/>
      <c r="WUM116" s="181"/>
      <c r="WUN116" s="182"/>
      <c r="WUO116" s="181"/>
      <c r="WUP116" s="182"/>
      <c r="WUQ116" s="181"/>
      <c r="WUR116" s="182"/>
      <c r="WUS116" s="181"/>
      <c r="WUT116" s="182"/>
      <c r="WUU116" s="181"/>
      <c r="WUV116" s="182"/>
      <c r="WUW116" s="181"/>
      <c r="WUX116" s="182"/>
      <c r="WUY116" s="181"/>
      <c r="WUZ116" s="182"/>
      <c r="WVA116" s="181"/>
      <c r="WVB116" s="182"/>
      <c r="WVC116" s="181"/>
      <c r="WVD116" s="182"/>
      <c r="WVE116" s="181"/>
      <c r="WVF116" s="182"/>
      <c r="WVG116" s="181"/>
      <c r="WVH116" s="182"/>
      <c r="WVI116" s="181"/>
      <c r="WVJ116" s="182"/>
      <c r="WVK116" s="181"/>
      <c r="WVL116" s="182"/>
      <c r="WVM116" s="181"/>
      <c r="WVN116" s="182"/>
      <c r="WVO116" s="181"/>
      <c r="WVP116" s="182"/>
      <c r="WVQ116" s="181"/>
      <c r="WVR116" s="182"/>
      <c r="WVS116" s="181"/>
      <c r="WVT116" s="182"/>
      <c r="WVU116" s="181"/>
      <c r="WVV116" s="182"/>
      <c r="WVW116" s="181"/>
      <c r="WVX116" s="182"/>
      <c r="WVY116" s="181"/>
      <c r="WVZ116" s="182"/>
      <c r="WWA116" s="181"/>
      <c r="WWB116" s="182"/>
      <c r="WWC116" s="181"/>
      <c r="WWD116" s="182"/>
      <c r="WWE116" s="181"/>
      <c r="WWF116" s="182"/>
      <c r="WWG116" s="181"/>
      <c r="WWH116" s="182"/>
      <c r="WWI116" s="181"/>
      <c r="WWJ116" s="182"/>
      <c r="WWK116" s="181"/>
      <c r="WWL116" s="182"/>
      <c r="WWM116" s="181"/>
      <c r="WWN116" s="182"/>
      <c r="WWO116" s="181"/>
      <c r="WWP116" s="182"/>
      <c r="WWQ116" s="181"/>
      <c r="WWR116" s="182"/>
      <c r="WWS116" s="181"/>
      <c r="WWT116" s="182"/>
      <c r="WWU116" s="181"/>
      <c r="WWV116" s="182"/>
      <c r="WWW116" s="181"/>
      <c r="WWX116" s="182"/>
      <c r="WWY116" s="181"/>
      <c r="WWZ116" s="182"/>
      <c r="WXA116" s="181"/>
      <c r="WXB116" s="182"/>
      <c r="WXC116" s="181"/>
      <c r="WXD116" s="182"/>
      <c r="WXE116" s="181"/>
      <c r="WXF116" s="182"/>
      <c r="WXG116" s="181"/>
      <c r="WXH116" s="182"/>
      <c r="WXI116" s="181"/>
      <c r="WXJ116" s="182"/>
      <c r="WXK116" s="181"/>
      <c r="WXL116" s="182"/>
      <c r="WXM116" s="181"/>
      <c r="WXN116" s="182"/>
      <c r="WXO116" s="181"/>
      <c r="WXP116" s="182"/>
      <c r="WXQ116" s="181"/>
      <c r="WXR116" s="182"/>
      <c r="WXS116" s="181"/>
      <c r="WXT116" s="182"/>
      <c r="WXU116" s="181"/>
      <c r="WXV116" s="182"/>
      <c r="WXW116" s="181"/>
      <c r="WXX116" s="182"/>
      <c r="WXY116" s="181"/>
      <c r="WXZ116" s="182"/>
      <c r="WYA116" s="181"/>
      <c r="WYB116" s="182"/>
      <c r="WYC116" s="181"/>
      <c r="WYD116" s="182"/>
      <c r="WYE116" s="181"/>
      <c r="WYF116" s="182"/>
      <c r="WYG116" s="181"/>
      <c r="WYH116" s="182"/>
      <c r="WYI116" s="181"/>
      <c r="WYJ116" s="182"/>
      <c r="WYK116" s="181"/>
      <c r="WYL116" s="182"/>
      <c r="WYM116" s="181"/>
      <c r="WYN116" s="182"/>
      <c r="WYO116" s="181"/>
      <c r="WYP116" s="182"/>
      <c r="WYQ116" s="181"/>
      <c r="WYR116" s="182"/>
      <c r="WYS116" s="181"/>
      <c r="WYT116" s="182"/>
      <c r="WYU116" s="181"/>
      <c r="WYV116" s="182"/>
      <c r="WYW116" s="181"/>
      <c r="WYX116" s="182"/>
      <c r="WYY116" s="181"/>
      <c r="WYZ116" s="182"/>
      <c r="WZA116" s="181"/>
      <c r="WZB116" s="182"/>
      <c r="WZC116" s="181"/>
      <c r="WZD116" s="182"/>
      <c r="WZE116" s="181"/>
      <c r="WZF116" s="182"/>
      <c r="WZG116" s="181"/>
      <c r="WZH116" s="182"/>
      <c r="WZI116" s="181"/>
      <c r="WZJ116" s="182"/>
      <c r="WZK116" s="181"/>
      <c r="WZL116" s="182"/>
      <c r="WZM116" s="181"/>
      <c r="WZN116" s="182"/>
      <c r="WZO116" s="181"/>
      <c r="WZP116" s="182"/>
      <c r="WZQ116" s="181"/>
      <c r="WZR116" s="182"/>
      <c r="WZS116" s="181"/>
      <c r="WZT116" s="182"/>
      <c r="WZU116" s="181"/>
      <c r="WZV116" s="182"/>
      <c r="WZW116" s="181"/>
      <c r="WZX116" s="182"/>
      <c r="WZY116" s="181"/>
      <c r="WZZ116" s="182"/>
      <c r="XAA116" s="181"/>
      <c r="XAB116" s="182"/>
      <c r="XAC116" s="181"/>
      <c r="XAD116" s="182"/>
      <c r="XAE116" s="181"/>
      <c r="XAF116" s="182"/>
      <c r="XAG116" s="181"/>
      <c r="XAH116" s="182"/>
      <c r="XAI116" s="181"/>
      <c r="XAJ116" s="182"/>
      <c r="XAK116" s="181"/>
      <c r="XAL116" s="182"/>
      <c r="XAM116" s="181"/>
      <c r="XAN116" s="182"/>
      <c r="XAO116" s="181"/>
      <c r="XAP116" s="182"/>
      <c r="XAQ116" s="181"/>
      <c r="XAR116" s="182"/>
      <c r="XAS116" s="181"/>
      <c r="XAT116" s="182"/>
      <c r="XAU116" s="181"/>
      <c r="XAV116" s="182"/>
      <c r="XAW116" s="181"/>
      <c r="XAX116" s="182"/>
      <c r="XAY116" s="181"/>
      <c r="XAZ116" s="182"/>
      <c r="XBA116" s="181"/>
      <c r="XBB116" s="182"/>
      <c r="XBC116" s="181"/>
      <c r="XBD116" s="182"/>
      <c r="XBE116" s="181"/>
      <c r="XBF116" s="182"/>
      <c r="XBG116" s="181"/>
      <c r="XBH116" s="182"/>
      <c r="XBI116" s="181"/>
      <c r="XBJ116" s="182"/>
      <c r="XBK116" s="181"/>
      <c r="XBL116" s="182"/>
      <c r="XBM116" s="181"/>
      <c r="XBN116" s="182"/>
      <c r="XBO116" s="181"/>
      <c r="XBP116" s="182"/>
      <c r="XBQ116" s="181"/>
      <c r="XBR116" s="182"/>
      <c r="XBS116" s="181"/>
      <c r="XBT116" s="182"/>
      <c r="XBU116" s="181"/>
      <c r="XBV116" s="182"/>
      <c r="XBW116" s="181"/>
      <c r="XBX116" s="182"/>
      <c r="XBY116" s="181"/>
      <c r="XBZ116" s="182"/>
      <c r="XCA116" s="181"/>
      <c r="XCB116" s="182"/>
      <c r="XCC116" s="181"/>
      <c r="XCD116" s="182"/>
      <c r="XCE116" s="181"/>
      <c r="XCF116" s="182"/>
      <c r="XCG116" s="181"/>
      <c r="XCH116" s="182"/>
      <c r="XCI116" s="181"/>
      <c r="XCJ116" s="182"/>
      <c r="XCK116" s="181"/>
      <c r="XCL116" s="182"/>
      <c r="XCM116" s="181"/>
      <c r="XCN116" s="182"/>
      <c r="XCO116" s="181"/>
      <c r="XCP116" s="182"/>
      <c r="XCQ116" s="181"/>
      <c r="XCR116" s="182"/>
      <c r="XCS116" s="181"/>
      <c r="XCT116" s="182"/>
      <c r="XCU116" s="181"/>
      <c r="XCV116" s="182"/>
      <c r="XCW116" s="181"/>
      <c r="XCX116" s="182"/>
      <c r="XCY116" s="181"/>
      <c r="XCZ116" s="182"/>
      <c r="XDA116" s="181"/>
      <c r="XDB116" s="182"/>
      <c r="XDC116" s="181"/>
      <c r="XDD116" s="182"/>
      <c r="XDE116" s="181"/>
      <c r="XDF116" s="182"/>
      <c r="XDG116" s="181"/>
      <c r="XDH116" s="182"/>
      <c r="XDI116" s="181"/>
      <c r="XDJ116" s="182"/>
      <c r="XDK116" s="181"/>
      <c r="XDL116" s="182"/>
      <c r="XDM116" s="181"/>
      <c r="XDN116" s="182"/>
      <c r="XDO116" s="181"/>
      <c r="XDP116" s="182"/>
      <c r="XDQ116" s="181"/>
      <c r="XDR116" s="182"/>
      <c r="XDS116" s="181"/>
      <c r="XDT116" s="182"/>
      <c r="XDU116" s="181"/>
      <c r="XDV116" s="182"/>
      <c r="XDW116" s="181"/>
      <c r="XDX116" s="182"/>
      <c r="XDY116" s="181"/>
      <c r="XDZ116" s="182"/>
      <c r="XEA116" s="181"/>
      <c r="XEB116" s="182"/>
      <c r="XEC116" s="181"/>
      <c r="XED116" s="182"/>
      <c r="XEE116" s="181"/>
      <c r="XEF116" s="182"/>
      <c r="XEG116" s="181"/>
      <c r="XEH116" s="182"/>
      <c r="XEI116" s="181"/>
      <c r="XEJ116" s="182"/>
      <c r="XEK116" s="181"/>
      <c r="XEL116" s="182"/>
      <c r="XEM116" s="181"/>
      <c r="XEN116" s="182"/>
      <c r="XEO116" s="181"/>
      <c r="XEP116" s="182"/>
      <c r="XEQ116" s="181"/>
      <c r="XER116" s="182"/>
      <c r="XES116" s="181"/>
      <c r="XET116" s="182"/>
      <c r="XEU116" s="181"/>
      <c r="XEV116" s="182"/>
      <c r="XEW116" s="181"/>
      <c r="XEX116" s="182"/>
      <c r="XEY116" s="181"/>
      <c r="XEZ116" s="182"/>
      <c r="XFA116" s="181"/>
      <c r="XFB116" s="182"/>
      <c r="XFC116" s="181"/>
      <c r="XFD116" s="182"/>
    </row>
    <row r="117" spans="1:16384" s="99" customFormat="1" ht="95.1" customHeight="1">
      <c r="A117" s="102"/>
      <c r="B117" s="102"/>
      <c r="C117" s="103"/>
      <c r="D117" s="102"/>
      <c r="E117" s="103"/>
      <c r="F117" s="102"/>
      <c r="G117" s="103"/>
      <c r="H117" s="103"/>
      <c r="I117" s="104"/>
      <c r="J117" s="104"/>
      <c r="K117" s="103"/>
      <c r="L117" s="103"/>
      <c r="M117" s="103"/>
      <c r="N117" s="103"/>
      <c r="O117" s="103"/>
      <c r="P117" s="103"/>
      <c r="Q117" s="103"/>
      <c r="R117" s="103"/>
      <c r="S117" s="103"/>
      <c r="T117" s="103"/>
      <c r="U117" s="103"/>
      <c r="V117" s="103"/>
      <c r="W117" s="103"/>
      <c r="X117" s="103"/>
      <c r="Y117" s="103"/>
      <c r="Z117" s="103"/>
      <c r="AA117" s="105"/>
      <c r="AB117" s="102"/>
      <c r="AC117" s="181"/>
      <c r="AD117" s="182"/>
      <c r="AE117" s="181"/>
      <c r="AF117" s="182"/>
      <c r="AG117" s="181"/>
      <c r="AH117" s="182"/>
      <c r="AI117" s="181"/>
      <c r="AJ117" s="182"/>
      <c r="AK117" s="181"/>
      <c r="AL117" s="182"/>
      <c r="AM117" s="181"/>
      <c r="AN117" s="182"/>
      <c r="AO117" s="181"/>
      <c r="AP117" s="182"/>
      <c r="AQ117" s="181"/>
      <c r="AR117" s="182"/>
      <c r="AS117" s="181"/>
      <c r="AT117" s="182"/>
      <c r="AU117" s="181"/>
      <c r="AV117" s="182"/>
      <c r="AW117" s="181"/>
      <c r="AX117" s="182"/>
      <c r="AY117" s="181"/>
      <c r="AZ117" s="182"/>
      <c r="BA117" s="181"/>
      <c r="BB117" s="182"/>
      <c r="BC117" s="181"/>
      <c r="BD117" s="182"/>
      <c r="BE117" s="181"/>
      <c r="BF117" s="182"/>
      <c r="BG117" s="181"/>
      <c r="BH117" s="182"/>
      <c r="BI117" s="181"/>
      <c r="BJ117" s="182"/>
      <c r="BK117" s="181"/>
      <c r="BL117" s="182"/>
      <c r="BM117" s="181"/>
      <c r="BN117" s="182"/>
      <c r="BO117" s="181"/>
      <c r="BP117" s="182"/>
      <c r="BQ117" s="181"/>
      <c r="BR117" s="182"/>
      <c r="BS117" s="181"/>
      <c r="BT117" s="182"/>
      <c r="BU117" s="181"/>
      <c r="BV117" s="182"/>
      <c r="BW117" s="181"/>
      <c r="BX117" s="182"/>
      <c r="BY117" s="181"/>
      <c r="BZ117" s="182"/>
      <c r="CA117" s="181"/>
      <c r="CB117" s="182"/>
      <c r="CC117" s="181"/>
      <c r="CD117" s="182"/>
      <c r="CE117" s="181"/>
      <c r="CF117" s="182"/>
      <c r="CG117" s="181"/>
      <c r="CH117" s="182"/>
      <c r="CI117" s="181"/>
      <c r="CJ117" s="182"/>
      <c r="CK117" s="181"/>
      <c r="CL117" s="182"/>
      <c r="CM117" s="181"/>
      <c r="CN117" s="182"/>
      <c r="CO117" s="181"/>
      <c r="CP117" s="182"/>
      <c r="CQ117" s="181"/>
      <c r="CR117" s="182"/>
      <c r="CS117" s="181"/>
      <c r="CT117" s="182"/>
      <c r="CU117" s="181"/>
      <c r="CV117" s="182"/>
      <c r="CW117" s="181"/>
      <c r="CX117" s="182"/>
      <c r="CY117" s="181"/>
      <c r="CZ117" s="182"/>
      <c r="DA117" s="181"/>
      <c r="DB117" s="182"/>
      <c r="DC117" s="181"/>
      <c r="DD117" s="182"/>
      <c r="DE117" s="181"/>
      <c r="DF117" s="182"/>
      <c r="DG117" s="181"/>
      <c r="DH117" s="182"/>
      <c r="DI117" s="181"/>
      <c r="DJ117" s="182"/>
      <c r="DK117" s="181"/>
      <c r="DL117" s="182"/>
      <c r="DM117" s="181"/>
      <c r="DN117" s="182"/>
      <c r="DO117" s="181"/>
      <c r="DP117" s="182"/>
      <c r="DQ117" s="181"/>
      <c r="DR117" s="182"/>
      <c r="DS117" s="181"/>
      <c r="DT117" s="182"/>
      <c r="DU117" s="181"/>
      <c r="DV117" s="182"/>
      <c r="DW117" s="181"/>
      <c r="DX117" s="182"/>
      <c r="DY117" s="181"/>
      <c r="DZ117" s="182"/>
      <c r="EA117" s="181"/>
      <c r="EB117" s="182"/>
      <c r="EC117" s="181"/>
      <c r="ED117" s="182"/>
      <c r="EE117" s="181"/>
      <c r="EF117" s="182"/>
      <c r="EG117" s="181"/>
      <c r="EH117" s="182"/>
      <c r="EI117" s="181"/>
      <c r="EJ117" s="182"/>
      <c r="EK117" s="181"/>
      <c r="EL117" s="182"/>
      <c r="EM117" s="181"/>
      <c r="EN117" s="182"/>
      <c r="EO117" s="181"/>
      <c r="EP117" s="182"/>
      <c r="EQ117" s="181"/>
      <c r="ER117" s="182"/>
      <c r="ES117" s="181"/>
      <c r="ET117" s="182"/>
      <c r="EU117" s="181"/>
      <c r="EV117" s="182"/>
      <c r="EW117" s="181"/>
      <c r="EX117" s="182"/>
      <c r="EY117" s="181"/>
      <c r="EZ117" s="182"/>
      <c r="FA117" s="181"/>
      <c r="FB117" s="182"/>
      <c r="FC117" s="181"/>
      <c r="FD117" s="182"/>
      <c r="FE117" s="181"/>
      <c r="FF117" s="182"/>
      <c r="FG117" s="181"/>
      <c r="FH117" s="182"/>
      <c r="FI117" s="181"/>
      <c r="FJ117" s="182"/>
      <c r="FK117" s="181"/>
      <c r="FL117" s="182"/>
      <c r="FM117" s="181"/>
      <c r="FN117" s="182"/>
      <c r="FO117" s="181"/>
      <c r="FP117" s="182"/>
      <c r="FQ117" s="181"/>
      <c r="FR117" s="182"/>
      <c r="FS117" s="181"/>
      <c r="FT117" s="182"/>
      <c r="FU117" s="181"/>
      <c r="FV117" s="182"/>
      <c r="FW117" s="181"/>
      <c r="FX117" s="182"/>
      <c r="FY117" s="181"/>
      <c r="FZ117" s="182"/>
      <c r="GA117" s="181"/>
      <c r="GB117" s="182"/>
      <c r="GC117" s="181"/>
      <c r="GD117" s="182"/>
      <c r="GE117" s="181"/>
      <c r="GF117" s="182"/>
      <c r="GG117" s="181"/>
      <c r="GH117" s="182"/>
      <c r="GI117" s="181"/>
      <c r="GJ117" s="182"/>
      <c r="GK117" s="181"/>
      <c r="GL117" s="182"/>
      <c r="GM117" s="181"/>
      <c r="GN117" s="182"/>
      <c r="GO117" s="181"/>
      <c r="GP117" s="182"/>
      <c r="GQ117" s="181"/>
      <c r="GR117" s="182"/>
      <c r="GS117" s="181"/>
      <c r="GT117" s="182"/>
      <c r="GU117" s="181"/>
      <c r="GV117" s="182"/>
      <c r="GW117" s="181"/>
      <c r="GX117" s="182"/>
      <c r="GY117" s="181"/>
      <c r="GZ117" s="182"/>
      <c r="HA117" s="181"/>
      <c r="HB117" s="182"/>
      <c r="HC117" s="181"/>
      <c r="HD117" s="182"/>
      <c r="HE117" s="181"/>
      <c r="HF117" s="182"/>
      <c r="HG117" s="181"/>
      <c r="HH117" s="182"/>
      <c r="HI117" s="181"/>
      <c r="HJ117" s="182"/>
      <c r="HK117" s="181"/>
      <c r="HL117" s="182"/>
      <c r="HM117" s="181"/>
      <c r="HN117" s="182"/>
      <c r="HO117" s="181"/>
      <c r="HP117" s="182"/>
      <c r="HQ117" s="181"/>
      <c r="HR117" s="182"/>
      <c r="HS117" s="181"/>
      <c r="HT117" s="182"/>
      <c r="HU117" s="181"/>
      <c r="HV117" s="182"/>
      <c r="HW117" s="181"/>
      <c r="HX117" s="182"/>
      <c r="HY117" s="181"/>
      <c r="HZ117" s="182"/>
      <c r="IA117" s="181"/>
      <c r="IB117" s="182"/>
      <c r="IC117" s="181"/>
      <c r="ID117" s="182"/>
      <c r="IE117" s="181"/>
      <c r="IF117" s="182"/>
      <c r="IG117" s="181"/>
      <c r="IH117" s="182"/>
      <c r="II117" s="181"/>
      <c r="IJ117" s="182"/>
      <c r="IK117" s="181"/>
      <c r="IL117" s="182"/>
      <c r="IM117" s="181"/>
      <c r="IN117" s="182"/>
      <c r="IO117" s="181"/>
      <c r="IP117" s="182"/>
      <c r="IQ117" s="181"/>
      <c r="IR117" s="182"/>
      <c r="IS117" s="181"/>
      <c r="IT117" s="182"/>
      <c r="IU117" s="181"/>
      <c r="IV117" s="182"/>
      <c r="IW117" s="181"/>
      <c r="IX117" s="182"/>
      <c r="IY117" s="181"/>
      <c r="IZ117" s="182"/>
      <c r="JA117" s="181"/>
      <c r="JB117" s="182"/>
      <c r="JC117" s="181"/>
      <c r="JD117" s="182"/>
      <c r="JE117" s="181"/>
      <c r="JF117" s="182"/>
      <c r="JG117" s="181"/>
      <c r="JH117" s="182"/>
      <c r="JI117" s="181"/>
      <c r="JJ117" s="182"/>
      <c r="JK117" s="181"/>
      <c r="JL117" s="182"/>
      <c r="JM117" s="181"/>
      <c r="JN117" s="182"/>
      <c r="JO117" s="181"/>
      <c r="JP117" s="182"/>
      <c r="JQ117" s="181"/>
      <c r="JR117" s="182"/>
      <c r="JS117" s="181"/>
      <c r="JT117" s="182"/>
      <c r="JU117" s="181"/>
      <c r="JV117" s="182"/>
      <c r="JW117" s="181"/>
      <c r="JX117" s="182"/>
      <c r="JY117" s="181"/>
      <c r="JZ117" s="182"/>
      <c r="KA117" s="181"/>
      <c r="KB117" s="182"/>
      <c r="KC117" s="181"/>
      <c r="KD117" s="182"/>
      <c r="KE117" s="181"/>
      <c r="KF117" s="182"/>
      <c r="KG117" s="181"/>
      <c r="KH117" s="182"/>
      <c r="KI117" s="181"/>
      <c r="KJ117" s="182"/>
      <c r="KK117" s="181"/>
      <c r="KL117" s="182"/>
      <c r="KM117" s="181"/>
      <c r="KN117" s="182"/>
      <c r="KO117" s="181"/>
      <c r="KP117" s="182"/>
      <c r="KQ117" s="181"/>
      <c r="KR117" s="182"/>
      <c r="KS117" s="181"/>
      <c r="KT117" s="182"/>
      <c r="KU117" s="181"/>
      <c r="KV117" s="182"/>
      <c r="KW117" s="181"/>
      <c r="KX117" s="182"/>
      <c r="KY117" s="181"/>
      <c r="KZ117" s="182"/>
      <c r="LA117" s="181"/>
      <c r="LB117" s="182"/>
      <c r="LC117" s="181"/>
      <c r="LD117" s="182"/>
      <c r="LE117" s="181"/>
      <c r="LF117" s="182"/>
      <c r="LG117" s="181"/>
      <c r="LH117" s="182"/>
      <c r="LI117" s="181"/>
      <c r="LJ117" s="182"/>
      <c r="LK117" s="181"/>
      <c r="LL117" s="182"/>
      <c r="LM117" s="181"/>
      <c r="LN117" s="182"/>
      <c r="LO117" s="181"/>
      <c r="LP117" s="182"/>
      <c r="LQ117" s="181"/>
      <c r="LR117" s="182"/>
      <c r="LS117" s="181"/>
      <c r="LT117" s="182"/>
      <c r="LU117" s="181"/>
      <c r="LV117" s="182"/>
      <c r="LW117" s="181"/>
      <c r="LX117" s="182"/>
      <c r="LY117" s="181"/>
      <c r="LZ117" s="182"/>
      <c r="MA117" s="181"/>
      <c r="MB117" s="182"/>
      <c r="MC117" s="181"/>
      <c r="MD117" s="182"/>
      <c r="ME117" s="181"/>
      <c r="MF117" s="182"/>
      <c r="MG117" s="181"/>
      <c r="MH117" s="182"/>
      <c r="MI117" s="181"/>
      <c r="MJ117" s="182"/>
      <c r="MK117" s="181"/>
      <c r="ML117" s="182"/>
      <c r="MM117" s="181"/>
      <c r="MN117" s="182"/>
      <c r="MO117" s="181"/>
      <c r="MP117" s="182"/>
      <c r="MQ117" s="181"/>
      <c r="MR117" s="182"/>
      <c r="MS117" s="181"/>
      <c r="MT117" s="182"/>
      <c r="MU117" s="181"/>
      <c r="MV117" s="182"/>
      <c r="MW117" s="181"/>
      <c r="MX117" s="182"/>
      <c r="MY117" s="181"/>
      <c r="MZ117" s="182"/>
      <c r="NA117" s="181"/>
      <c r="NB117" s="182"/>
      <c r="NC117" s="181"/>
      <c r="ND117" s="182"/>
      <c r="NE117" s="181"/>
      <c r="NF117" s="182"/>
      <c r="NG117" s="181"/>
      <c r="NH117" s="182"/>
      <c r="NI117" s="181"/>
      <c r="NJ117" s="182"/>
      <c r="NK117" s="181"/>
      <c r="NL117" s="182"/>
      <c r="NM117" s="181"/>
      <c r="NN117" s="182"/>
      <c r="NO117" s="181"/>
      <c r="NP117" s="182"/>
      <c r="NQ117" s="181"/>
      <c r="NR117" s="182"/>
      <c r="NS117" s="181"/>
      <c r="NT117" s="182"/>
      <c r="NU117" s="181"/>
      <c r="NV117" s="182"/>
      <c r="NW117" s="181"/>
      <c r="NX117" s="182"/>
      <c r="NY117" s="181"/>
      <c r="NZ117" s="182"/>
      <c r="OA117" s="181"/>
      <c r="OB117" s="182"/>
      <c r="OC117" s="181"/>
      <c r="OD117" s="182"/>
      <c r="OE117" s="181"/>
      <c r="OF117" s="182"/>
      <c r="OG117" s="181"/>
      <c r="OH117" s="182"/>
      <c r="OI117" s="181"/>
      <c r="OJ117" s="182"/>
      <c r="OK117" s="181"/>
      <c r="OL117" s="182"/>
      <c r="OM117" s="181"/>
      <c r="ON117" s="182"/>
      <c r="OO117" s="181"/>
      <c r="OP117" s="182"/>
      <c r="OQ117" s="181"/>
      <c r="OR117" s="182"/>
      <c r="OS117" s="181"/>
      <c r="OT117" s="182"/>
      <c r="OU117" s="181"/>
      <c r="OV117" s="182"/>
      <c r="OW117" s="181"/>
      <c r="OX117" s="182"/>
      <c r="OY117" s="181"/>
      <c r="OZ117" s="182"/>
      <c r="PA117" s="181"/>
      <c r="PB117" s="182"/>
      <c r="PC117" s="181"/>
      <c r="PD117" s="182"/>
      <c r="PE117" s="181"/>
      <c r="PF117" s="182"/>
      <c r="PG117" s="181"/>
      <c r="PH117" s="182"/>
      <c r="PI117" s="181"/>
      <c r="PJ117" s="182"/>
      <c r="PK117" s="181"/>
      <c r="PL117" s="182"/>
      <c r="PM117" s="181"/>
      <c r="PN117" s="182"/>
      <c r="PO117" s="181"/>
      <c r="PP117" s="182"/>
      <c r="PQ117" s="181"/>
      <c r="PR117" s="182"/>
      <c r="PS117" s="181"/>
      <c r="PT117" s="182"/>
      <c r="PU117" s="181"/>
      <c r="PV117" s="182"/>
      <c r="PW117" s="181"/>
      <c r="PX117" s="182"/>
      <c r="PY117" s="181"/>
      <c r="PZ117" s="182"/>
      <c r="QA117" s="181"/>
      <c r="QB117" s="182"/>
      <c r="QC117" s="181"/>
      <c r="QD117" s="182"/>
      <c r="QE117" s="181"/>
      <c r="QF117" s="182"/>
      <c r="QG117" s="181"/>
      <c r="QH117" s="182"/>
      <c r="QI117" s="181"/>
      <c r="QJ117" s="182"/>
      <c r="QK117" s="181"/>
      <c r="QL117" s="182"/>
      <c r="QM117" s="181"/>
      <c r="QN117" s="182"/>
      <c r="QO117" s="181"/>
      <c r="QP117" s="182"/>
      <c r="QQ117" s="181"/>
      <c r="QR117" s="182"/>
      <c r="QS117" s="181"/>
      <c r="QT117" s="182"/>
      <c r="QU117" s="181"/>
      <c r="QV117" s="182"/>
      <c r="QW117" s="181"/>
      <c r="QX117" s="182"/>
      <c r="QY117" s="181"/>
      <c r="QZ117" s="182"/>
      <c r="RA117" s="181"/>
      <c r="RB117" s="182"/>
      <c r="RC117" s="181"/>
      <c r="RD117" s="182"/>
      <c r="RE117" s="181"/>
      <c r="RF117" s="182"/>
      <c r="RG117" s="181"/>
      <c r="RH117" s="182"/>
      <c r="RI117" s="181"/>
      <c r="RJ117" s="182"/>
      <c r="RK117" s="181"/>
      <c r="RL117" s="182"/>
      <c r="RM117" s="181"/>
      <c r="RN117" s="182"/>
      <c r="RO117" s="181"/>
      <c r="RP117" s="182"/>
      <c r="RQ117" s="181"/>
      <c r="RR117" s="182"/>
      <c r="RS117" s="181"/>
      <c r="RT117" s="182"/>
      <c r="RU117" s="181"/>
      <c r="RV117" s="182"/>
      <c r="RW117" s="181"/>
      <c r="RX117" s="182"/>
      <c r="RY117" s="181"/>
      <c r="RZ117" s="182"/>
      <c r="SA117" s="181"/>
      <c r="SB117" s="182"/>
      <c r="SC117" s="181"/>
      <c r="SD117" s="182"/>
      <c r="SE117" s="181"/>
      <c r="SF117" s="182"/>
      <c r="SG117" s="181"/>
      <c r="SH117" s="182"/>
      <c r="SI117" s="181"/>
      <c r="SJ117" s="182"/>
      <c r="SK117" s="181"/>
      <c r="SL117" s="182"/>
      <c r="SM117" s="181"/>
      <c r="SN117" s="182"/>
      <c r="SO117" s="181"/>
      <c r="SP117" s="182"/>
      <c r="SQ117" s="181"/>
      <c r="SR117" s="182"/>
      <c r="SS117" s="181"/>
      <c r="ST117" s="182"/>
      <c r="SU117" s="181"/>
      <c r="SV117" s="182"/>
      <c r="SW117" s="181"/>
      <c r="SX117" s="182"/>
      <c r="SY117" s="181"/>
      <c r="SZ117" s="182"/>
      <c r="TA117" s="181"/>
      <c r="TB117" s="182"/>
      <c r="TC117" s="181"/>
      <c r="TD117" s="182"/>
      <c r="TE117" s="181"/>
      <c r="TF117" s="182"/>
      <c r="TG117" s="181"/>
      <c r="TH117" s="182"/>
      <c r="TI117" s="181"/>
      <c r="TJ117" s="182"/>
      <c r="TK117" s="181"/>
      <c r="TL117" s="182"/>
      <c r="TM117" s="181"/>
      <c r="TN117" s="182"/>
      <c r="TO117" s="181"/>
      <c r="TP117" s="182"/>
      <c r="TQ117" s="181"/>
      <c r="TR117" s="182"/>
      <c r="TS117" s="181"/>
      <c r="TT117" s="182"/>
      <c r="TU117" s="181"/>
      <c r="TV117" s="182"/>
      <c r="TW117" s="181"/>
      <c r="TX117" s="182"/>
      <c r="TY117" s="181"/>
      <c r="TZ117" s="182"/>
      <c r="UA117" s="181"/>
      <c r="UB117" s="182"/>
      <c r="UC117" s="181"/>
      <c r="UD117" s="182"/>
      <c r="UE117" s="181"/>
      <c r="UF117" s="182"/>
      <c r="UG117" s="181"/>
      <c r="UH117" s="182"/>
      <c r="UI117" s="181"/>
      <c r="UJ117" s="182"/>
      <c r="UK117" s="181"/>
      <c r="UL117" s="182"/>
      <c r="UM117" s="181"/>
      <c r="UN117" s="182"/>
      <c r="UO117" s="181"/>
      <c r="UP117" s="182"/>
      <c r="UQ117" s="181"/>
      <c r="UR117" s="182"/>
      <c r="US117" s="181"/>
      <c r="UT117" s="182"/>
      <c r="UU117" s="181"/>
      <c r="UV117" s="182"/>
      <c r="UW117" s="181"/>
      <c r="UX117" s="182"/>
      <c r="UY117" s="181"/>
      <c r="UZ117" s="182"/>
      <c r="VA117" s="181"/>
      <c r="VB117" s="182"/>
      <c r="VC117" s="181"/>
      <c r="VD117" s="182"/>
      <c r="VE117" s="181"/>
      <c r="VF117" s="182"/>
      <c r="VG117" s="181"/>
      <c r="VH117" s="182"/>
      <c r="VI117" s="181"/>
      <c r="VJ117" s="182"/>
      <c r="VK117" s="181"/>
      <c r="VL117" s="182"/>
      <c r="VM117" s="181"/>
      <c r="VN117" s="182"/>
      <c r="VO117" s="181"/>
      <c r="VP117" s="182"/>
      <c r="VQ117" s="181"/>
      <c r="VR117" s="182"/>
      <c r="VS117" s="181"/>
      <c r="VT117" s="182"/>
      <c r="VU117" s="181"/>
      <c r="VV117" s="182"/>
      <c r="VW117" s="181"/>
      <c r="VX117" s="182"/>
      <c r="VY117" s="181"/>
      <c r="VZ117" s="182"/>
      <c r="WA117" s="181"/>
      <c r="WB117" s="182"/>
      <c r="WC117" s="181"/>
      <c r="WD117" s="182"/>
      <c r="WE117" s="181"/>
      <c r="WF117" s="182"/>
      <c r="WG117" s="181"/>
      <c r="WH117" s="182"/>
      <c r="WI117" s="181"/>
      <c r="WJ117" s="182"/>
      <c r="WK117" s="181"/>
      <c r="WL117" s="182"/>
      <c r="WM117" s="181"/>
      <c r="WN117" s="182"/>
      <c r="WO117" s="181"/>
      <c r="WP117" s="182"/>
      <c r="WQ117" s="181"/>
      <c r="WR117" s="182"/>
      <c r="WS117" s="181"/>
      <c r="WT117" s="182"/>
      <c r="WU117" s="181"/>
      <c r="WV117" s="182"/>
      <c r="WW117" s="181"/>
      <c r="WX117" s="182"/>
      <c r="WY117" s="181"/>
      <c r="WZ117" s="182"/>
      <c r="XA117" s="181"/>
      <c r="XB117" s="182"/>
      <c r="XC117" s="181"/>
      <c r="XD117" s="182"/>
      <c r="XE117" s="181"/>
      <c r="XF117" s="182"/>
      <c r="XG117" s="181"/>
      <c r="XH117" s="182"/>
      <c r="XI117" s="181"/>
      <c r="XJ117" s="182"/>
      <c r="XK117" s="181"/>
      <c r="XL117" s="182"/>
      <c r="XM117" s="181"/>
      <c r="XN117" s="182"/>
      <c r="XO117" s="181"/>
      <c r="XP117" s="182"/>
      <c r="XQ117" s="181"/>
      <c r="XR117" s="182"/>
      <c r="XS117" s="181"/>
      <c r="XT117" s="182"/>
      <c r="XU117" s="181"/>
      <c r="XV117" s="182"/>
      <c r="XW117" s="181"/>
      <c r="XX117" s="182"/>
      <c r="XY117" s="181"/>
      <c r="XZ117" s="182"/>
      <c r="YA117" s="181"/>
      <c r="YB117" s="182"/>
      <c r="YC117" s="181"/>
      <c r="YD117" s="182"/>
      <c r="YE117" s="181"/>
      <c r="YF117" s="182"/>
      <c r="YG117" s="181"/>
      <c r="YH117" s="182"/>
      <c r="YI117" s="181"/>
      <c r="YJ117" s="182"/>
      <c r="YK117" s="181"/>
      <c r="YL117" s="182"/>
      <c r="YM117" s="181"/>
      <c r="YN117" s="182"/>
      <c r="YO117" s="181"/>
      <c r="YP117" s="182"/>
      <c r="YQ117" s="181"/>
      <c r="YR117" s="182"/>
      <c r="YS117" s="181"/>
      <c r="YT117" s="182"/>
      <c r="YU117" s="181"/>
      <c r="YV117" s="182"/>
      <c r="YW117" s="181"/>
      <c r="YX117" s="182"/>
      <c r="YY117" s="181"/>
      <c r="YZ117" s="182"/>
      <c r="ZA117" s="181"/>
      <c r="ZB117" s="182"/>
      <c r="ZC117" s="181"/>
      <c r="ZD117" s="182"/>
      <c r="ZE117" s="181"/>
      <c r="ZF117" s="182"/>
      <c r="ZG117" s="181"/>
      <c r="ZH117" s="182"/>
      <c r="ZI117" s="181"/>
      <c r="ZJ117" s="182"/>
      <c r="ZK117" s="181"/>
      <c r="ZL117" s="182"/>
      <c r="ZM117" s="181"/>
      <c r="ZN117" s="182"/>
      <c r="ZO117" s="181"/>
      <c r="ZP117" s="182"/>
      <c r="ZQ117" s="181"/>
      <c r="ZR117" s="182"/>
      <c r="ZS117" s="181"/>
      <c r="ZT117" s="182"/>
      <c r="ZU117" s="181"/>
      <c r="ZV117" s="182"/>
      <c r="ZW117" s="181"/>
      <c r="ZX117" s="182"/>
      <c r="ZY117" s="181"/>
      <c r="ZZ117" s="182"/>
      <c r="AAA117" s="181"/>
      <c r="AAB117" s="182"/>
      <c r="AAC117" s="181"/>
      <c r="AAD117" s="182"/>
      <c r="AAE117" s="181"/>
      <c r="AAF117" s="182"/>
      <c r="AAG117" s="181"/>
      <c r="AAH117" s="182"/>
      <c r="AAI117" s="181"/>
      <c r="AAJ117" s="182"/>
      <c r="AAK117" s="181"/>
      <c r="AAL117" s="182"/>
      <c r="AAM117" s="181"/>
      <c r="AAN117" s="182"/>
      <c r="AAO117" s="181"/>
      <c r="AAP117" s="182"/>
      <c r="AAQ117" s="181"/>
      <c r="AAR117" s="182"/>
      <c r="AAS117" s="181"/>
      <c r="AAT117" s="182"/>
      <c r="AAU117" s="181"/>
      <c r="AAV117" s="182"/>
      <c r="AAW117" s="181"/>
      <c r="AAX117" s="182"/>
      <c r="AAY117" s="181"/>
      <c r="AAZ117" s="182"/>
      <c r="ABA117" s="181"/>
      <c r="ABB117" s="182"/>
      <c r="ABC117" s="181"/>
      <c r="ABD117" s="182"/>
      <c r="ABE117" s="181"/>
      <c r="ABF117" s="182"/>
      <c r="ABG117" s="181"/>
      <c r="ABH117" s="182"/>
      <c r="ABI117" s="181"/>
      <c r="ABJ117" s="182"/>
      <c r="ABK117" s="181"/>
      <c r="ABL117" s="182"/>
      <c r="ABM117" s="181"/>
      <c r="ABN117" s="182"/>
      <c r="ABO117" s="181"/>
      <c r="ABP117" s="182"/>
      <c r="ABQ117" s="181"/>
      <c r="ABR117" s="182"/>
      <c r="ABS117" s="181"/>
      <c r="ABT117" s="182"/>
      <c r="ABU117" s="181"/>
      <c r="ABV117" s="182"/>
      <c r="ABW117" s="181"/>
      <c r="ABX117" s="182"/>
      <c r="ABY117" s="181"/>
      <c r="ABZ117" s="182"/>
      <c r="ACA117" s="181"/>
      <c r="ACB117" s="182"/>
      <c r="ACC117" s="181"/>
      <c r="ACD117" s="182"/>
      <c r="ACE117" s="181"/>
      <c r="ACF117" s="182"/>
      <c r="ACG117" s="181"/>
      <c r="ACH117" s="182"/>
      <c r="ACI117" s="181"/>
      <c r="ACJ117" s="182"/>
      <c r="ACK117" s="181"/>
      <c r="ACL117" s="182"/>
      <c r="ACM117" s="181"/>
      <c r="ACN117" s="182"/>
      <c r="ACO117" s="181"/>
      <c r="ACP117" s="182"/>
      <c r="ACQ117" s="181"/>
      <c r="ACR117" s="182"/>
      <c r="ACS117" s="181"/>
      <c r="ACT117" s="182"/>
      <c r="ACU117" s="181"/>
      <c r="ACV117" s="182"/>
      <c r="ACW117" s="181"/>
      <c r="ACX117" s="182"/>
      <c r="ACY117" s="181"/>
      <c r="ACZ117" s="182"/>
      <c r="ADA117" s="181"/>
      <c r="ADB117" s="182"/>
      <c r="ADC117" s="181"/>
      <c r="ADD117" s="182"/>
      <c r="ADE117" s="181"/>
      <c r="ADF117" s="182"/>
      <c r="ADG117" s="181"/>
      <c r="ADH117" s="182"/>
      <c r="ADI117" s="181"/>
      <c r="ADJ117" s="182"/>
      <c r="ADK117" s="181"/>
      <c r="ADL117" s="182"/>
      <c r="ADM117" s="181"/>
      <c r="ADN117" s="182"/>
      <c r="ADO117" s="181"/>
      <c r="ADP117" s="182"/>
      <c r="ADQ117" s="181"/>
      <c r="ADR117" s="182"/>
      <c r="ADS117" s="181"/>
      <c r="ADT117" s="182"/>
      <c r="ADU117" s="181"/>
      <c r="ADV117" s="182"/>
      <c r="ADW117" s="181"/>
      <c r="ADX117" s="182"/>
      <c r="ADY117" s="181"/>
      <c r="ADZ117" s="182"/>
      <c r="AEA117" s="181"/>
      <c r="AEB117" s="182"/>
      <c r="AEC117" s="181"/>
      <c r="AED117" s="182"/>
      <c r="AEE117" s="181"/>
      <c r="AEF117" s="182"/>
      <c r="AEG117" s="181"/>
      <c r="AEH117" s="182"/>
      <c r="AEI117" s="181"/>
      <c r="AEJ117" s="182"/>
      <c r="AEK117" s="181"/>
      <c r="AEL117" s="182"/>
      <c r="AEM117" s="181"/>
      <c r="AEN117" s="182"/>
      <c r="AEO117" s="181"/>
      <c r="AEP117" s="182"/>
      <c r="AEQ117" s="181"/>
      <c r="AER117" s="182"/>
      <c r="AES117" s="181"/>
      <c r="AET117" s="182"/>
      <c r="AEU117" s="181"/>
      <c r="AEV117" s="182"/>
      <c r="AEW117" s="181"/>
      <c r="AEX117" s="182"/>
      <c r="AEY117" s="181"/>
      <c r="AEZ117" s="182"/>
      <c r="AFA117" s="181"/>
      <c r="AFB117" s="182"/>
      <c r="AFC117" s="181"/>
      <c r="AFD117" s="182"/>
      <c r="AFE117" s="181"/>
      <c r="AFF117" s="182"/>
      <c r="AFG117" s="181"/>
      <c r="AFH117" s="182"/>
      <c r="AFI117" s="181"/>
      <c r="AFJ117" s="182"/>
      <c r="AFK117" s="181"/>
      <c r="AFL117" s="182"/>
      <c r="AFM117" s="181"/>
      <c r="AFN117" s="182"/>
      <c r="AFO117" s="181"/>
      <c r="AFP117" s="182"/>
      <c r="AFQ117" s="181"/>
      <c r="AFR117" s="182"/>
      <c r="AFS117" s="181"/>
      <c r="AFT117" s="182"/>
      <c r="AFU117" s="181"/>
      <c r="AFV117" s="182"/>
      <c r="AFW117" s="181"/>
      <c r="AFX117" s="182"/>
      <c r="AFY117" s="181"/>
      <c r="AFZ117" s="182"/>
      <c r="AGA117" s="181"/>
      <c r="AGB117" s="182"/>
      <c r="AGC117" s="181"/>
      <c r="AGD117" s="182"/>
      <c r="AGE117" s="181"/>
      <c r="AGF117" s="182"/>
      <c r="AGG117" s="181"/>
      <c r="AGH117" s="182"/>
      <c r="AGI117" s="181"/>
      <c r="AGJ117" s="182"/>
      <c r="AGK117" s="181"/>
      <c r="AGL117" s="182"/>
      <c r="AGM117" s="181"/>
      <c r="AGN117" s="182"/>
      <c r="AGO117" s="181"/>
      <c r="AGP117" s="182"/>
      <c r="AGQ117" s="181"/>
      <c r="AGR117" s="182"/>
      <c r="AGS117" s="181"/>
      <c r="AGT117" s="182"/>
      <c r="AGU117" s="181"/>
      <c r="AGV117" s="182"/>
      <c r="AGW117" s="181"/>
      <c r="AGX117" s="182"/>
      <c r="AGY117" s="181"/>
      <c r="AGZ117" s="182"/>
      <c r="AHA117" s="181"/>
      <c r="AHB117" s="182"/>
      <c r="AHC117" s="181"/>
      <c r="AHD117" s="182"/>
      <c r="AHE117" s="181"/>
      <c r="AHF117" s="182"/>
      <c r="AHG117" s="181"/>
      <c r="AHH117" s="182"/>
      <c r="AHI117" s="181"/>
      <c r="AHJ117" s="182"/>
      <c r="AHK117" s="181"/>
      <c r="AHL117" s="182"/>
      <c r="AHM117" s="181"/>
      <c r="AHN117" s="182"/>
      <c r="AHO117" s="181"/>
      <c r="AHP117" s="182"/>
      <c r="AHQ117" s="181"/>
      <c r="AHR117" s="182"/>
      <c r="AHS117" s="181"/>
      <c r="AHT117" s="182"/>
      <c r="AHU117" s="181"/>
      <c r="AHV117" s="182"/>
      <c r="AHW117" s="181"/>
      <c r="AHX117" s="182"/>
      <c r="AHY117" s="181"/>
      <c r="AHZ117" s="182"/>
      <c r="AIA117" s="181"/>
      <c r="AIB117" s="182"/>
      <c r="AIC117" s="181"/>
      <c r="AID117" s="182"/>
      <c r="AIE117" s="181"/>
      <c r="AIF117" s="182"/>
      <c r="AIG117" s="181"/>
      <c r="AIH117" s="182"/>
      <c r="AII117" s="181"/>
      <c r="AIJ117" s="182"/>
      <c r="AIK117" s="181"/>
      <c r="AIL117" s="182"/>
      <c r="AIM117" s="181"/>
      <c r="AIN117" s="182"/>
      <c r="AIO117" s="181"/>
      <c r="AIP117" s="182"/>
      <c r="AIQ117" s="181"/>
      <c r="AIR117" s="182"/>
      <c r="AIS117" s="181"/>
      <c r="AIT117" s="182"/>
      <c r="AIU117" s="181"/>
      <c r="AIV117" s="182"/>
      <c r="AIW117" s="181"/>
      <c r="AIX117" s="182"/>
      <c r="AIY117" s="181"/>
      <c r="AIZ117" s="182"/>
      <c r="AJA117" s="181"/>
      <c r="AJB117" s="182"/>
      <c r="AJC117" s="181"/>
      <c r="AJD117" s="182"/>
      <c r="AJE117" s="181"/>
      <c r="AJF117" s="182"/>
      <c r="AJG117" s="181"/>
      <c r="AJH117" s="182"/>
      <c r="AJI117" s="181"/>
      <c r="AJJ117" s="182"/>
      <c r="AJK117" s="181"/>
      <c r="AJL117" s="182"/>
      <c r="AJM117" s="181"/>
      <c r="AJN117" s="182"/>
      <c r="AJO117" s="181"/>
      <c r="AJP117" s="182"/>
      <c r="AJQ117" s="181"/>
      <c r="AJR117" s="182"/>
      <c r="AJS117" s="181"/>
      <c r="AJT117" s="182"/>
      <c r="AJU117" s="181"/>
      <c r="AJV117" s="182"/>
      <c r="AJW117" s="181"/>
      <c r="AJX117" s="182"/>
      <c r="AJY117" s="181"/>
      <c r="AJZ117" s="182"/>
      <c r="AKA117" s="181"/>
      <c r="AKB117" s="182"/>
      <c r="AKC117" s="181"/>
      <c r="AKD117" s="182"/>
      <c r="AKE117" s="181"/>
      <c r="AKF117" s="182"/>
      <c r="AKG117" s="181"/>
      <c r="AKH117" s="182"/>
      <c r="AKI117" s="181"/>
      <c r="AKJ117" s="182"/>
      <c r="AKK117" s="181"/>
      <c r="AKL117" s="182"/>
      <c r="AKM117" s="181"/>
      <c r="AKN117" s="182"/>
      <c r="AKO117" s="181"/>
      <c r="AKP117" s="182"/>
      <c r="AKQ117" s="181"/>
      <c r="AKR117" s="182"/>
      <c r="AKS117" s="181"/>
      <c r="AKT117" s="182"/>
      <c r="AKU117" s="181"/>
      <c r="AKV117" s="182"/>
      <c r="AKW117" s="181"/>
      <c r="AKX117" s="182"/>
      <c r="AKY117" s="181"/>
      <c r="AKZ117" s="182"/>
      <c r="ALA117" s="181"/>
      <c r="ALB117" s="182"/>
      <c r="ALC117" s="181"/>
      <c r="ALD117" s="182"/>
      <c r="ALE117" s="181"/>
      <c r="ALF117" s="182"/>
      <c r="ALG117" s="181"/>
      <c r="ALH117" s="182"/>
      <c r="ALI117" s="181"/>
      <c r="ALJ117" s="182"/>
      <c r="ALK117" s="181"/>
      <c r="ALL117" s="182"/>
      <c r="ALM117" s="181"/>
      <c r="ALN117" s="182"/>
      <c r="ALO117" s="181"/>
      <c r="ALP117" s="182"/>
      <c r="ALQ117" s="181"/>
      <c r="ALR117" s="182"/>
      <c r="ALS117" s="181"/>
      <c r="ALT117" s="182"/>
      <c r="ALU117" s="181"/>
      <c r="ALV117" s="182"/>
      <c r="ALW117" s="181"/>
      <c r="ALX117" s="182"/>
      <c r="ALY117" s="181"/>
      <c r="ALZ117" s="182"/>
      <c r="AMA117" s="181"/>
      <c r="AMB117" s="182"/>
      <c r="AMC117" s="181"/>
      <c r="AMD117" s="182"/>
      <c r="AME117" s="181"/>
      <c r="AMF117" s="182"/>
      <c r="AMG117" s="181"/>
      <c r="AMH117" s="182"/>
      <c r="AMI117" s="181"/>
      <c r="AMJ117" s="182"/>
      <c r="AMK117" s="181"/>
      <c r="AML117" s="182"/>
      <c r="AMM117" s="181"/>
      <c r="AMN117" s="182"/>
      <c r="AMO117" s="181"/>
      <c r="AMP117" s="182"/>
      <c r="AMQ117" s="181"/>
      <c r="AMR117" s="182"/>
      <c r="AMS117" s="181"/>
      <c r="AMT117" s="182"/>
      <c r="AMU117" s="181"/>
      <c r="AMV117" s="182"/>
      <c r="AMW117" s="181"/>
      <c r="AMX117" s="182"/>
      <c r="AMY117" s="181"/>
      <c r="AMZ117" s="182"/>
      <c r="ANA117" s="181"/>
      <c r="ANB117" s="182"/>
      <c r="ANC117" s="181"/>
      <c r="AND117" s="182"/>
      <c r="ANE117" s="181"/>
      <c r="ANF117" s="182"/>
      <c r="ANG117" s="181"/>
      <c r="ANH117" s="182"/>
      <c r="ANI117" s="181"/>
      <c r="ANJ117" s="182"/>
      <c r="ANK117" s="181"/>
      <c r="ANL117" s="182"/>
      <c r="ANM117" s="181"/>
      <c r="ANN117" s="182"/>
      <c r="ANO117" s="181"/>
      <c r="ANP117" s="182"/>
      <c r="ANQ117" s="181"/>
      <c r="ANR117" s="182"/>
      <c r="ANS117" s="181"/>
      <c r="ANT117" s="182"/>
      <c r="ANU117" s="181"/>
      <c r="ANV117" s="182"/>
      <c r="ANW117" s="181"/>
      <c r="ANX117" s="182"/>
      <c r="ANY117" s="181"/>
      <c r="ANZ117" s="182"/>
      <c r="AOA117" s="181"/>
      <c r="AOB117" s="182"/>
      <c r="AOC117" s="181"/>
      <c r="AOD117" s="182"/>
      <c r="AOE117" s="181"/>
      <c r="AOF117" s="182"/>
      <c r="AOG117" s="181"/>
      <c r="AOH117" s="182"/>
      <c r="AOI117" s="181"/>
      <c r="AOJ117" s="182"/>
      <c r="AOK117" s="181"/>
      <c r="AOL117" s="182"/>
      <c r="AOM117" s="181"/>
      <c r="AON117" s="182"/>
      <c r="AOO117" s="181"/>
      <c r="AOP117" s="182"/>
      <c r="AOQ117" s="181"/>
      <c r="AOR117" s="182"/>
      <c r="AOS117" s="181"/>
      <c r="AOT117" s="182"/>
      <c r="AOU117" s="181"/>
      <c r="AOV117" s="182"/>
      <c r="AOW117" s="181"/>
      <c r="AOX117" s="182"/>
      <c r="AOY117" s="181"/>
      <c r="AOZ117" s="182"/>
      <c r="APA117" s="181"/>
      <c r="APB117" s="182"/>
      <c r="APC117" s="181"/>
      <c r="APD117" s="182"/>
      <c r="APE117" s="181"/>
      <c r="APF117" s="182"/>
      <c r="APG117" s="181"/>
      <c r="APH117" s="182"/>
      <c r="API117" s="181"/>
      <c r="APJ117" s="182"/>
      <c r="APK117" s="181"/>
      <c r="APL117" s="182"/>
      <c r="APM117" s="181"/>
      <c r="APN117" s="182"/>
      <c r="APO117" s="181"/>
      <c r="APP117" s="182"/>
      <c r="APQ117" s="181"/>
      <c r="APR117" s="182"/>
      <c r="APS117" s="181"/>
      <c r="APT117" s="182"/>
      <c r="APU117" s="181"/>
      <c r="APV117" s="182"/>
      <c r="APW117" s="181"/>
      <c r="APX117" s="182"/>
      <c r="APY117" s="181"/>
      <c r="APZ117" s="182"/>
      <c r="AQA117" s="181"/>
      <c r="AQB117" s="182"/>
      <c r="AQC117" s="181"/>
      <c r="AQD117" s="182"/>
      <c r="AQE117" s="181"/>
      <c r="AQF117" s="182"/>
      <c r="AQG117" s="181"/>
      <c r="AQH117" s="182"/>
      <c r="AQI117" s="181"/>
      <c r="AQJ117" s="182"/>
      <c r="AQK117" s="181"/>
      <c r="AQL117" s="182"/>
      <c r="AQM117" s="181"/>
      <c r="AQN117" s="182"/>
      <c r="AQO117" s="181"/>
      <c r="AQP117" s="182"/>
      <c r="AQQ117" s="181"/>
      <c r="AQR117" s="182"/>
      <c r="AQS117" s="181"/>
      <c r="AQT117" s="182"/>
      <c r="AQU117" s="181"/>
      <c r="AQV117" s="182"/>
      <c r="AQW117" s="181"/>
      <c r="AQX117" s="182"/>
      <c r="AQY117" s="181"/>
      <c r="AQZ117" s="182"/>
      <c r="ARA117" s="181"/>
      <c r="ARB117" s="182"/>
      <c r="ARC117" s="181"/>
      <c r="ARD117" s="182"/>
      <c r="ARE117" s="181"/>
      <c r="ARF117" s="182"/>
      <c r="ARG117" s="181"/>
      <c r="ARH117" s="182"/>
      <c r="ARI117" s="181"/>
      <c r="ARJ117" s="182"/>
      <c r="ARK117" s="181"/>
      <c r="ARL117" s="182"/>
      <c r="ARM117" s="181"/>
      <c r="ARN117" s="182"/>
      <c r="ARO117" s="181"/>
      <c r="ARP117" s="182"/>
      <c r="ARQ117" s="181"/>
      <c r="ARR117" s="182"/>
      <c r="ARS117" s="181"/>
      <c r="ART117" s="182"/>
      <c r="ARU117" s="181"/>
      <c r="ARV117" s="182"/>
      <c r="ARW117" s="181"/>
      <c r="ARX117" s="182"/>
      <c r="ARY117" s="181"/>
      <c r="ARZ117" s="182"/>
      <c r="ASA117" s="181"/>
      <c r="ASB117" s="182"/>
      <c r="ASC117" s="181"/>
      <c r="ASD117" s="182"/>
      <c r="ASE117" s="181"/>
      <c r="ASF117" s="182"/>
      <c r="ASG117" s="181"/>
      <c r="ASH117" s="182"/>
      <c r="ASI117" s="181"/>
      <c r="ASJ117" s="182"/>
      <c r="ASK117" s="181"/>
      <c r="ASL117" s="182"/>
      <c r="ASM117" s="181"/>
      <c r="ASN117" s="182"/>
      <c r="ASO117" s="181"/>
      <c r="ASP117" s="182"/>
      <c r="ASQ117" s="181"/>
      <c r="ASR117" s="182"/>
      <c r="ASS117" s="181"/>
      <c r="AST117" s="182"/>
      <c r="ASU117" s="181"/>
      <c r="ASV117" s="182"/>
      <c r="ASW117" s="181"/>
      <c r="ASX117" s="182"/>
      <c r="ASY117" s="181"/>
      <c r="ASZ117" s="182"/>
      <c r="ATA117" s="181"/>
      <c r="ATB117" s="182"/>
      <c r="ATC117" s="181"/>
      <c r="ATD117" s="182"/>
      <c r="ATE117" s="181"/>
      <c r="ATF117" s="182"/>
      <c r="ATG117" s="181"/>
      <c r="ATH117" s="182"/>
      <c r="ATI117" s="181"/>
      <c r="ATJ117" s="182"/>
      <c r="ATK117" s="181"/>
      <c r="ATL117" s="182"/>
      <c r="ATM117" s="181"/>
      <c r="ATN117" s="182"/>
      <c r="ATO117" s="181"/>
      <c r="ATP117" s="182"/>
      <c r="ATQ117" s="181"/>
      <c r="ATR117" s="182"/>
      <c r="ATS117" s="181"/>
      <c r="ATT117" s="182"/>
      <c r="ATU117" s="181"/>
      <c r="ATV117" s="182"/>
      <c r="ATW117" s="181"/>
      <c r="ATX117" s="182"/>
      <c r="ATY117" s="181"/>
      <c r="ATZ117" s="182"/>
      <c r="AUA117" s="181"/>
      <c r="AUB117" s="182"/>
      <c r="AUC117" s="181"/>
      <c r="AUD117" s="182"/>
      <c r="AUE117" s="181"/>
      <c r="AUF117" s="182"/>
      <c r="AUG117" s="181"/>
      <c r="AUH117" s="182"/>
      <c r="AUI117" s="181"/>
      <c r="AUJ117" s="182"/>
      <c r="AUK117" s="181"/>
      <c r="AUL117" s="182"/>
      <c r="AUM117" s="181"/>
      <c r="AUN117" s="182"/>
      <c r="AUO117" s="181"/>
      <c r="AUP117" s="182"/>
      <c r="AUQ117" s="181"/>
      <c r="AUR117" s="182"/>
      <c r="AUS117" s="181"/>
      <c r="AUT117" s="182"/>
      <c r="AUU117" s="181"/>
      <c r="AUV117" s="182"/>
      <c r="AUW117" s="181"/>
      <c r="AUX117" s="182"/>
      <c r="AUY117" s="181"/>
      <c r="AUZ117" s="182"/>
      <c r="AVA117" s="181"/>
      <c r="AVB117" s="182"/>
      <c r="AVC117" s="181"/>
      <c r="AVD117" s="182"/>
      <c r="AVE117" s="181"/>
      <c r="AVF117" s="182"/>
      <c r="AVG117" s="181"/>
      <c r="AVH117" s="182"/>
      <c r="AVI117" s="181"/>
      <c r="AVJ117" s="182"/>
      <c r="AVK117" s="181"/>
      <c r="AVL117" s="182"/>
      <c r="AVM117" s="181"/>
      <c r="AVN117" s="182"/>
      <c r="AVO117" s="181"/>
      <c r="AVP117" s="182"/>
      <c r="AVQ117" s="181"/>
      <c r="AVR117" s="182"/>
      <c r="AVS117" s="181"/>
      <c r="AVT117" s="182"/>
      <c r="AVU117" s="181"/>
      <c r="AVV117" s="182"/>
      <c r="AVW117" s="181"/>
      <c r="AVX117" s="182"/>
      <c r="AVY117" s="181"/>
      <c r="AVZ117" s="182"/>
      <c r="AWA117" s="181"/>
      <c r="AWB117" s="182"/>
      <c r="AWC117" s="181"/>
      <c r="AWD117" s="182"/>
      <c r="AWE117" s="181"/>
      <c r="AWF117" s="182"/>
      <c r="AWG117" s="181"/>
      <c r="AWH117" s="182"/>
      <c r="AWI117" s="181"/>
      <c r="AWJ117" s="182"/>
      <c r="AWK117" s="181"/>
      <c r="AWL117" s="182"/>
      <c r="AWM117" s="181"/>
      <c r="AWN117" s="182"/>
      <c r="AWO117" s="181"/>
      <c r="AWP117" s="182"/>
      <c r="AWQ117" s="181"/>
      <c r="AWR117" s="182"/>
      <c r="AWS117" s="181"/>
      <c r="AWT117" s="182"/>
      <c r="AWU117" s="181"/>
      <c r="AWV117" s="182"/>
      <c r="AWW117" s="181"/>
      <c r="AWX117" s="182"/>
      <c r="AWY117" s="181"/>
      <c r="AWZ117" s="182"/>
      <c r="AXA117" s="181"/>
      <c r="AXB117" s="182"/>
      <c r="AXC117" s="181"/>
      <c r="AXD117" s="182"/>
      <c r="AXE117" s="181"/>
      <c r="AXF117" s="182"/>
      <c r="AXG117" s="181"/>
      <c r="AXH117" s="182"/>
      <c r="AXI117" s="181"/>
      <c r="AXJ117" s="182"/>
      <c r="AXK117" s="181"/>
      <c r="AXL117" s="182"/>
      <c r="AXM117" s="181"/>
      <c r="AXN117" s="182"/>
      <c r="AXO117" s="181"/>
      <c r="AXP117" s="182"/>
      <c r="AXQ117" s="181"/>
      <c r="AXR117" s="182"/>
      <c r="AXS117" s="181"/>
      <c r="AXT117" s="182"/>
      <c r="AXU117" s="181"/>
      <c r="AXV117" s="182"/>
      <c r="AXW117" s="181"/>
      <c r="AXX117" s="182"/>
      <c r="AXY117" s="181"/>
      <c r="AXZ117" s="182"/>
      <c r="AYA117" s="181"/>
      <c r="AYB117" s="182"/>
      <c r="AYC117" s="181"/>
      <c r="AYD117" s="182"/>
      <c r="AYE117" s="181"/>
      <c r="AYF117" s="182"/>
      <c r="AYG117" s="181"/>
      <c r="AYH117" s="182"/>
      <c r="AYI117" s="181"/>
      <c r="AYJ117" s="182"/>
      <c r="AYK117" s="181"/>
      <c r="AYL117" s="182"/>
      <c r="AYM117" s="181"/>
      <c r="AYN117" s="182"/>
      <c r="AYO117" s="181"/>
      <c r="AYP117" s="182"/>
      <c r="AYQ117" s="181"/>
      <c r="AYR117" s="182"/>
      <c r="AYS117" s="181"/>
      <c r="AYT117" s="182"/>
      <c r="AYU117" s="181"/>
      <c r="AYV117" s="182"/>
      <c r="AYW117" s="181"/>
      <c r="AYX117" s="182"/>
      <c r="AYY117" s="181"/>
      <c r="AYZ117" s="182"/>
      <c r="AZA117" s="181"/>
      <c r="AZB117" s="182"/>
      <c r="AZC117" s="181"/>
      <c r="AZD117" s="182"/>
      <c r="AZE117" s="181"/>
      <c r="AZF117" s="182"/>
      <c r="AZG117" s="181"/>
      <c r="AZH117" s="182"/>
      <c r="AZI117" s="181"/>
      <c r="AZJ117" s="182"/>
      <c r="AZK117" s="181"/>
      <c r="AZL117" s="182"/>
      <c r="AZM117" s="181"/>
      <c r="AZN117" s="182"/>
      <c r="AZO117" s="181"/>
      <c r="AZP117" s="182"/>
      <c r="AZQ117" s="181"/>
      <c r="AZR117" s="182"/>
      <c r="AZS117" s="181"/>
      <c r="AZT117" s="182"/>
      <c r="AZU117" s="181"/>
      <c r="AZV117" s="182"/>
      <c r="AZW117" s="181"/>
      <c r="AZX117" s="182"/>
      <c r="AZY117" s="181"/>
      <c r="AZZ117" s="182"/>
      <c r="BAA117" s="181"/>
      <c r="BAB117" s="182"/>
      <c r="BAC117" s="181"/>
      <c r="BAD117" s="182"/>
      <c r="BAE117" s="181"/>
      <c r="BAF117" s="182"/>
      <c r="BAG117" s="181"/>
      <c r="BAH117" s="182"/>
      <c r="BAI117" s="181"/>
      <c r="BAJ117" s="182"/>
      <c r="BAK117" s="181"/>
      <c r="BAL117" s="182"/>
      <c r="BAM117" s="181"/>
      <c r="BAN117" s="182"/>
      <c r="BAO117" s="181"/>
      <c r="BAP117" s="182"/>
      <c r="BAQ117" s="181"/>
      <c r="BAR117" s="182"/>
      <c r="BAS117" s="181"/>
      <c r="BAT117" s="182"/>
      <c r="BAU117" s="181"/>
      <c r="BAV117" s="182"/>
      <c r="BAW117" s="181"/>
      <c r="BAX117" s="182"/>
      <c r="BAY117" s="181"/>
      <c r="BAZ117" s="182"/>
      <c r="BBA117" s="181"/>
      <c r="BBB117" s="182"/>
      <c r="BBC117" s="181"/>
      <c r="BBD117" s="182"/>
      <c r="BBE117" s="181"/>
      <c r="BBF117" s="182"/>
      <c r="BBG117" s="181"/>
      <c r="BBH117" s="182"/>
      <c r="BBI117" s="181"/>
      <c r="BBJ117" s="182"/>
      <c r="BBK117" s="181"/>
      <c r="BBL117" s="182"/>
      <c r="BBM117" s="181"/>
      <c r="BBN117" s="182"/>
      <c r="BBO117" s="181"/>
      <c r="BBP117" s="182"/>
      <c r="BBQ117" s="181"/>
      <c r="BBR117" s="182"/>
      <c r="BBS117" s="181"/>
      <c r="BBT117" s="182"/>
      <c r="BBU117" s="181"/>
      <c r="BBV117" s="182"/>
      <c r="BBW117" s="181"/>
      <c r="BBX117" s="182"/>
      <c r="BBY117" s="181"/>
      <c r="BBZ117" s="182"/>
      <c r="BCA117" s="181"/>
      <c r="BCB117" s="182"/>
      <c r="BCC117" s="181"/>
      <c r="BCD117" s="182"/>
      <c r="BCE117" s="181"/>
      <c r="BCF117" s="182"/>
      <c r="BCG117" s="181"/>
      <c r="BCH117" s="182"/>
      <c r="BCI117" s="181"/>
      <c r="BCJ117" s="182"/>
      <c r="BCK117" s="181"/>
      <c r="BCL117" s="182"/>
      <c r="BCM117" s="181"/>
      <c r="BCN117" s="182"/>
      <c r="BCO117" s="181"/>
      <c r="BCP117" s="182"/>
      <c r="BCQ117" s="181"/>
      <c r="BCR117" s="182"/>
      <c r="BCS117" s="181"/>
      <c r="BCT117" s="182"/>
      <c r="BCU117" s="181"/>
      <c r="BCV117" s="182"/>
      <c r="BCW117" s="181"/>
      <c r="BCX117" s="182"/>
      <c r="BCY117" s="181"/>
      <c r="BCZ117" s="182"/>
      <c r="BDA117" s="181"/>
      <c r="BDB117" s="182"/>
      <c r="BDC117" s="181"/>
      <c r="BDD117" s="182"/>
      <c r="BDE117" s="181"/>
      <c r="BDF117" s="182"/>
      <c r="BDG117" s="181"/>
      <c r="BDH117" s="182"/>
      <c r="BDI117" s="181"/>
      <c r="BDJ117" s="182"/>
      <c r="BDK117" s="181"/>
      <c r="BDL117" s="182"/>
      <c r="BDM117" s="181"/>
      <c r="BDN117" s="182"/>
      <c r="BDO117" s="181"/>
      <c r="BDP117" s="182"/>
      <c r="BDQ117" s="181"/>
      <c r="BDR117" s="182"/>
      <c r="BDS117" s="181"/>
      <c r="BDT117" s="182"/>
      <c r="BDU117" s="181"/>
      <c r="BDV117" s="182"/>
      <c r="BDW117" s="181"/>
      <c r="BDX117" s="182"/>
      <c r="BDY117" s="181"/>
      <c r="BDZ117" s="182"/>
      <c r="BEA117" s="181"/>
      <c r="BEB117" s="182"/>
      <c r="BEC117" s="181"/>
      <c r="BED117" s="182"/>
      <c r="BEE117" s="181"/>
      <c r="BEF117" s="182"/>
      <c r="BEG117" s="181"/>
      <c r="BEH117" s="182"/>
      <c r="BEI117" s="181"/>
      <c r="BEJ117" s="182"/>
      <c r="BEK117" s="181"/>
      <c r="BEL117" s="182"/>
      <c r="BEM117" s="181"/>
      <c r="BEN117" s="182"/>
      <c r="BEO117" s="181"/>
      <c r="BEP117" s="182"/>
      <c r="BEQ117" s="181"/>
      <c r="BER117" s="182"/>
      <c r="BES117" s="181"/>
      <c r="BET117" s="182"/>
      <c r="BEU117" s="181"/>
      <c r="BEV117" s="182"/>
      <c r="BEW117" s="181"/>
      <c r="BEX117" s="182"/>
      <c r="BEY117" s="181"/>
      <c r="BEZ117" s="182"/>
      <c r="BFA117" s="181"/>
      <c r="BFB117" s="182"/>
      <c r="BFC117" s="181"/>
      <c r="BFD117" s="182"/>
      <c r="BFE117" s="181"/>
      <c r="BFF117" s="182"/>
      <c r="BFG117" s="181"/>
      <c r="BFH117" s="182"/>
      <c r="BFI117" s="181"/>
      <c r="BFJ117" s="182"/>
      <c r="BFK117" s="181"/>
      <c r="BFL117" s="182"/>
      <c r="BFM117" s="181"/>
      <c r="BFN117" s="182"/>
      <c r="BFO117" s="181"/>
      <c r="BFP117" s="182"/>
      <c r="BFQ117" s="181"/>
      <c r="BFR117" s="182"/>
      <c r="BFS117" s="181"/>
      <c r="BFT117" s="182"/>
      <c r="BFU117" s="181"/>
      <c r="BFV117" s="182"/>
      <c r="BFW117" s="181"/>
      <c r="BFX117" s="182"/>
      <c r="BFY117" s="181"/>
      <c r="BFZ117" s="182"/>
      <c r="BGA117" s="181"/>
      <c r="BGB117" s="182"/>
      <c r="BGC117" s="181"/>
      <c r="BGD117" s="182"/>
      <c r="BGE117" s="181"/>
      <c r="BGF117" s="182"/>
      <c r="BGG117" s="181"/>
      <c r="BGH117" s="182"/>
      <c r="BGI117" s="181"/>
      <c r="BGJ117" s="182"/>
      <c r="BGK117" s="181"/>
      <c r="BGL117" s="182"/>
      <c r="BGM117" s="181"/>
      <c r="BGN117" s="182"/>
      <c r="BGO117" s="181"/>
      <c r="BGP117" s="182"/>
      <c r="BGQ117" s="181"/>
      <c r="BGR117" s="182"/>
      <c r="BGS117" s="181"/>
      <c r="BGT117" s="182"/>
      <c r="BGU117" s="181"/>
      <c r="BGV117" s="182"/>
      <c r="BGW117" s="181"/>
      <c r="BGX117" s="182"/>
      <c r="BGY117" s="181"/>
      <c r="BGZ117" s="182"/>
      <c r="BHA117" s="181"/>
      <c r="BHB117" s="182"/>
      <c r="BHC117" s="181"/>
      <c r="BHD117" s="182"/>
      <c r="BHE117" s="181"/>
      <c r="BHF117" s="182"/>
      <c r="BHG117" s="181"/>
      <c r="BHH117" s="182"/>
      <c r="BHI117" s="181"/>
      <c r="BHJ117" s="182"/>
      <c r="BHK117" s="181"/>
      <c r="BHL117" s="182"/>
      <c r="BHM117" s="181"/>
      <c r="BHN117" s="182"/>
      <c r="BHO117" s="181"/>
      <c r="BHP117" s="182"/>
      <c r="BHQ117" s="181"/>
      <c r="BHR117" s="182"/>
      <c r="BHS117" s="181"/>
      <c r="BHT117" s="182"/>
      <c r="BHU117" s="181"/>
      <c r="BHV117" s="182"/>
      <c r="BHW117" s="181"/>
      <c r="BHX117" s="182"/>
      <c r="BHY117" s="181"/>
      <c r="BHZ117" s="182"/>
      <c r="BIA117" s="181"/>
      <c r="BIB117" s="182"/>
      <c r="BIC117" s="181"/>
      <c r="BID117" s="182"/>
      <c r="BIE117" s="181"/>
      <c r="BIF117" s="182"/>
      <c r="BIG117" s="181"/>
      <c r="BIH117" s="182"/>
      <c r="BII117" s="181"/>
      <c r="BIJ117" s="182"/>
      <c r="BIK117" s="181"/>
      <c r="BIL117" s="182"/>
      <c r="BIM117" s="181"/>
      <c r="BIN117" s="182"/>
      <c r="BIO117" s="181"/>
      <c r="BIP117" s="182"/>
      <c r="BIQ117" s="181"/>
      <c r="BIR117" s="182"/>
      <c r="BIS117" s="181"/>
      <c r="BIT117" s="182"/>
      <c r="BIU117" s="181"/>
      <c r="BIV117" s="182"/>
      <c r="BIW117" s="181"/>
      <c r="BIX117" s="182"/>
      <c r="BIY117" s="181"/>
      <c r="BIZ117" s="182"/>
      <c r="BJA117" s="181"/>
      <c r="BJB117" s="182"/>
      <c r="BJC117" s="181"/>
      <c r="BJD117" s="182"/>
      <c r="BJE117" s="181"/>
      <c r="BJF117" s="182"/>
      <c r="BJG117" s="181"/>
      <c r="BJH117" s="182"/>
      <c r="BJI117" s="181"/>
      <c r="BJJ117" s="182"/>
      <c r="BJK117" s="181"/>
      <c r="BJL117" s="182"/>
      <c r="BJM117" s="181"/>
      <c r="BJN117" s="182"/>
      <c r="BJO117" s="181"/>
      <c r="BJP117" s="182"/>
      <c r="BJQ117" s="181"/>
      <c r="BJR117" s="182"/>
      <c r="BJS117" s="181"/>
      <c r="BJT117" s="182"/>
      <c r="BJU117" s="181"/>
      <c r="BJV117" s="182"/>
      <c r="BJW117" s="181"/>
      <c r="BJX117" s="182"/>
      <c r="BJY117" s="181"/>
      <c r="BJZ117" s="182"/>
      <c r="BKA117" s="181"/>
      <c r="BKB117" s="182"/>
      <c r="BKC117" s="181"/>
      <c r="BKD117" s="182"/>
      <c r="BKE117" s="181"/>
      <c r="BKF117" s="182"/>
      <c r="BKG117" s="181"/>
      <c r="BKH117" s="182"/>
      <c r="BKI117" s="181"/>
      <c r="BKJ117" s="182"/>
      <c r="BKK117" s="181"/>
      <c r="BKL117" s="182"/>
      <c r="BKM117" s="181"/>
      <c r="BKN117" s="182"/>
      <c r="BKO117" s="181"/>
      <c r="BKP117" s="182"/>
      <c r="BKQ117" s="181"/>
      <c r="BKR117" s="182"/>
      <c r="BKS117" s="181"/>
      <c r="BKT117" s="182"/>
      <c r="BKU117" s="181"/>
      <c r="BKV117" s="182"/>
      <c r="BKW117" s="181"/>
      <c r="BKX117" s="182"/>
      <c r="BKY117" s="181"/>
      <c r="BKZ117" s="182"/>
      <c r="BLA117" s="181"/>
      <c r="BLB117" s="182"/>
      <c r="BLC117" s="181"/>
      <c r="BLD117" s="182"/>
      <c r="BLE117" s="181"/>
      <c r="BLF117" s="182"/>
      <c r="BLG117" s="181"/>
      <c r="BLH117" s="182"/>
      <c r="BLI117" s="181"/>
      <c r="BLJ117" s="182"/>
      <c r="BLK117" s="181"/>
      <c r="BLL117" s="182"/>
      <c r="BLM117" s="181"/>
      <c r="BLN117" s="182"/>
      <c r="BLO117" s="181"/>
      <c r="BLP117" s="182"/>
      <c r="BLQ117" s="181"/>
      <c r="BLR117" s="182"/>
      <c r="BLS117" s="181"/>
      <c r="BLT117" s="182"/>
      <c r="BLU117" s="181"/>
      <c r="BLV117" s="182"/>
      <c r="BLW117" s="181"/>
      <c r="BLX117" s="182"/>
      <c r="BLY117" s="181"/>
      <c r="BLZ117" s="182"/>
      <c r="BMA117" s="181"/>
      <c r="BMB117" s="182"/>
      <c r="BMC117" s="181"/>
      <c r="BMD117" s="182"/>
      <c r="BME117" s="181"/>
      <c r="BMF117" s="182"/>
      <c r="BMG117" s="181"/>
      <c r="BMH117" s="182"/>
      <c r="BMI117" s="181"/>
      <c r="BMJ117" s="182"/>
      <c r="BMK117" s="181"/>
      <c r="BML117" s="182"/>
      <c r="BMM117" s="181"/>
      <c r="BMN117" s="182"/>
      <c r="BMO117" s="181"/>
      <c r="BMP117" s="182"/>
      <c r="BMQ117" s="181"/>
      <c r="BMR117" s="182"/>
      <c r="BMS117" s="181"/>
      <c r="BMT117" s="182"/>
      <c r="BMU117" s="181"/>
      <c r="BMV117" s="182"/>
      <c r="BMW117" s="181"/>
      <c r="BMX117" s="182"/>
      <c r="BMY117" s="181"/>
      <c r="BMZ117" s="182"/>
      <c r="BNA117" s="181"/>
      <c r="BNB117" s="182"/>
      <c r="BNC117" s="181"/>
      <c r="BND117" s="182"/>
      <c r="BNE117" s="181"/>
      <c r="BNF117" s="182"/>
      <c r="BNG117" s="181"/>
      <c r="BNH117" s="182"/>
      <c r="BNI117" s="181"/>
      <c r="BNJ117" s="182"/>
      <c r="BNK117" s="181"/>
      <c r="BNL117" s="182"/>
      <c r="BNM117" s="181"/>
      <c r="BNN117" s="182"/>
      <c r="BNO117" s="181"/>
      <c r="BNP117" s="182"/>
      <c r="BNQ117" s="181"/>
      <c r="BNR117" s="182"/>
      <c r="BNS117" s="181"/>
      <c r="BNT117" s="182"/>
      <c r="BNU117" s="181"/>
      <c r="BNV117" s="182"/>
      <c r="BNW117" s="181"/>
      <c r="BNX117" s="182"/>
      <c r="BNY117" s="181"/>
      <c r="BNZ117" s="182"/>
      <c r="BOA117" s="181"/>
      <c r="BOB117" s="182"/>
      <c r="BOC117" s="181"/>
      <c r="BOD117" s="182"/>
      <c r="BOE117" s="181"/>
      <c r="BOF117" s="182"/>
      <c r="BOG117" s="181"/>
      <c r="BOH117" s="182"/>
      <c r="BOI117" s="181"/>
      <c r="BOJ117" s="182"/>
      <c r="BOK117" s="181"/>
      <c r="BOL117" s="182"/>
      <c r="BOM117" s="181"/>
      <c r="BON117" s="182"/>
      <c r="BOO117" s="181"/>
      <c r="BOP117" s="182"/>
      <c r="BOQ117" s="181"/>
      <c r="BOR117" s="182"/>
      <c r="BOS117" s="181"/>
      <c r="BOT117" s="182"/>
      <c r="BOU117" s="181"/>
      <c r="BOV117" s="182"/>
      <c r="BOW117" s="181"/>
      <c r="BOX117" s="182"/>
      <c r="BOY117" s="181"/>
      <c r="BOZ117" s="182"/>
      <c r="BPA117" s="181"/>
      <c r="BPB117" s="182"/>
      <c r="BPC117" s="181"/>
      <c r="BPD117" s="182"/>
      <c r="BPE117" s="181"/>
      <c r="BPF117" s="182"/>
      <c r="BPG117" s="181"/>
      <c r="BPH117" s="182"/>
      <c r="BPI117" s="181"/>
      <c r="BPJ117" s="182"/>
      <c r="BPK117" s="181"/>
      <c r="BPL117" s="182"/>
      <c r="BPM117" s="181"/>
      <c r="BPN117" s="182"/>
      <c r="BPO117" s="181"/>
      <c r="BPP117" s="182"/>
      <c r="BPQ117" s="181"/>
      <c r="BPR117" s="182"/>
      <c r="BPS117" s="181"/>
      <c r="BPT117" s="182"/>
      <c r="BPU117" s="181"/>
      <c r="BPV117" s="182"/>
      <c r="BPW117" s="181"/>
      <c r="BPX117" s="182"/>
      <c r="BPY117" s="181"/>
      <c r="BPZ117" s="182"/>
      <c r="BQA117" s="181"/>
      <c r="BQB117" s="182"/>
      <c r="BQC117" s="181"/>
      <c r="BQD117" s="182"/>
      <c r="BQE117" s="181"/>
      <c r="BQF117" s="182"/>
      <c r="BQG117" s="181"/>
      <c r="BQH117" s="182"/>
      <c r="BQI117" s="181"/>
      <c r="BQJ117" s="182"/>
      <c r="BQK117" s="181"/>
      <c r="BQL117" s="182"/>
      <c r="BQM117" s="181"/>
      <c r="BQN117" s="182"/>
      <c r="BQO117" s="181"/>
      <c r="BQP117" s="182"/>
      <c r="BQQ117" s="181"/>
      <c r="BQR117" s="182"/>
      <c r="BQS117" s="181"/>
      <c r="BQT117" s="182"/>
      <c r="BQU117" s="181"/>
      <c r="BQV117" s="182"/>
      <c r="BQW117" s="181"/>
      <c r="BQX117" s="182"/>
      <c r="BQY117" s="181"/>
      <c r="BQZ117" s="182"/>
      <c r="BRA117" s="181"/>
      <c r="BRB117" s="182"/>
      <c r="BRC117" s="181"/>
      <c r="BRD117" s="182"/>
      <c r="BRE117" s="181"/>
      <c r="BRF117" s="182"/>
      <c r="BRG117" s="181"/>
      <c r="BRH117" s="182"/>
      <c r="BRI117" s="181"/>
      <c r="BRJ117" s="182"/>
      <c r="BRK117" s="181"/>
      <c r="BRL117" s="182"/>
      <c r="BRM117" s="181"/>
      <c r="BRN117" s="182"/>
      <c r="BRO117" s="181"/>
      <c r="BRP117" s="182"/>
      <c r="BRQ117" s="181"/>
      <c r="BRR117" s="182"/>
      <c r="BRS117" s="181"/>
      <c r="BRT117" s="182"/>
      <c r="BRU117" s="181"/>
      <c r="BRV117" s="182"/>
      <c r="BRW117" s="181"/>
      <c r="BRX117" s="182"/>
      <c r="BRY117" s="181"/>
      <c r="BRZ117" s="182"/>
      <c r="BSA117" s="181"/>
      <c r="BSB117" s="182"/>
      <c r="BSC117" s="181"/>
      <c r="BSD117" s="182"/>
      <c r="BSE117" s="181"/>
      <c r="BSF117" s="182"/>
      <c r="BSG117" s="181"/>
      <c r="BSH117" s="182"/>
      <c r="BSI117" s="181"/>
      <c r="BSJ117" s="182"/>
      <c r="BSK117" s="181"/>
      <c r="BSL117" s="182"/>
      <c r="BSM117" s="181"/>
      <c r="BSN117" s="182"/>
      <c r="BSO117" s="181"/>
      <c r="BSP117" s="182"/>
      <c r="BSQ117" s="181"/>
      <c r="BSR117" s="182"/>
      <c r="BSS117" s="181"/>
      <c r="BST117" s="182"/>
      <c r="BSU117" s="181"/>
      <c r="BSV117" s="182"/>
      <c r="BSW117" s="181"/>
      <c r="BSX117" s="182"/>
      <c r="BSY117" s="181"/>
      <c r="BSZ117" s="182"/>
      <c r="BTA117" s="181"/>
      <c r="BTB117" s="182"/>
      <c r="BTC117" s="181"/>
      <c r="BTD117" s="182"/>
      <c r="BTE117" s="181"/>
      <c r="BTF117" s="182"/>
      <c r="BTG117" s="181"/>
      <c r="BTH117" s="182"/>
      <c r="BTI117" s="181"/>
      <c r="BTJ117" s="182"/>
      <c r="BTK117" s="181"/>
      <c r="BTL117" s="182"/>
      <c r="BTM117" s="181"/>
      <c r="BTN117" s="182"/>
      <c r="BTO117" s="181"/>
      <c r="BTP117" s="182"/>
      <c r="BTQ117" s="181"/>
      <c r="BTR117" s="182"/>
      <c r="BTS117" s="181"/>
      <c r="BTT117" s="182"/>
      <c r="BTU117" s="181"/>
      <c r="BTV117" s="182"/>
      <c r="BTW117" s="181"/>
      <c r="BTX117" s="182"/>
      <c r="BTY117" s="181"/>
      <c r="BTZ117" s="182"/>
      <c r="BUA117" s="181"/>
      <c r="BUB117" s="182"/>
      <c r="BUC117" s="181"/>
      <c r="BUD117" s="182"/>
      <c r="BUE117" s="181"/>
      <c r="BUF117" s="182"/>
      <c r="BUG117" s="181"/>
      <c r="BUH117" s="182"/>
      <c r="BUI117" s="181"/>
      <c r="BUJ117" s="182"/>
      <c r="BUK117" s="181"/>
      <c r="BUL117" s="182"/>
      <c r="BUM117" s="181"/>
      <c r="BUN117" s="182"/>
      <c r="BUO117" s="181"/>
      <c r="BUP117" s="182"/>
      <c r="BUQ117" s="181"/>
      <c r="BUR117" s="182"/>
      <c r="BUS117" s="181"/>
      <c r="BUT117" s="182"/>
      <c r="BUU117" s="181"/>
      <c r="BUV117" s="182"/>
      <c r="BUW117" s="181"/>
      <c r="BUX117" s="182"/>
      <c r="BUY117" s="181"/>
      <c r="BUZ117" s="182"/>
      <c r="BVA117" s="181"/>
      <c r="BVB117" s="182"/>
      <c r="BVC117" s="181"/>
      <c r="BVD117" s="182"/>
      <c r="BVE117" s="181"/>
      <c r="BVF117" s="182"/>
      <c r="BVG117" s="181"/>
      <c r="BVH117" s="182"/>
      <c r="BVI117" s="181"/>
      <c r="BVJ117" s="182"/>
      <c r="BVK117" s="181"/>
      <c r="BVL117" s="182"/>
      <c r="BVM117" s="181"/>
      <c r="BVN117" s="182"/>
      <c r="BVO117" s="181"/>
      <c r="BVP117" s="182"/>
      <c r="BVQ117" s="181"/>
      <c r="BVR117" s="182"/>
      <c r="BVS117" s="181"/>
      <c r="BVT117" s="182"/>
      <c r="BVU117" s="181"/>
      <c r="BVV117" s="182"/>
      <c r="BVW117" s="181"/>
      <c r="BVX117" s="182"/>
      <c r="BVY117" s="181"/>
      <c r="BVZ117" s="182"/>
      <c r="BWA117" s="181"/>
      <c r="BWB117" s="182"/>
      <c r="BWC117" s="181"/>
      <c r="BWD117" s="182"/>
      <c r="BWE117" s="181"/>
      <c r="BWF117" s="182"/>
      <c r="BWG117" s="181"/>
      <c r="BWH117" s="182"/>
      <c r="BWI117" s="181"/>
      <c r="BWJ117" s="182"/>
      <c r="BWK117" s="181"/>
      <c r="BWL117" s="182"/>
      <c r="BWM117" s="181"/>
      <c r="BWN117" s="182"/>
      <c r="BWO117" s="181"/>
      <c r="BWP117" s="182"/>
      <c r="BWQ117" s="181"/>
      <c r="BWR117" s="182"/>
      <c r="BWS117" s="181"/>
      <c r="BWT117" s="182"/>
      <c r="BWU117" s="181"/>
      <c r="BWV117" s="182"/>
      <c r="BWW117" s="181"/>
      <c r="BWX117" s="182"/>
      <c r="BWY117" s="181"/>
      <c r="BWZ117" s="182"/>
      <c r="BXA117" s="181"/>
      <c r="BXB117" s="182"/>
      <c r="BXC117" s="181"/>
      <c r="BXD117" s="182"/>
      <c r="BXE117" s="181"/>
      <c r="BXF117" s="182"/>
      <c r="BXG117" s="181"/>
      <c r="BXH117" s="182"/>
      <c r="BXI117" s="181"/>
      <c r="BXJ117" s="182"/>
      <c r="BXK117" s="181"/>
      <c r="BXL117" s="182"/>
      <c r="BXM117" s="181"/>
      <c r="BXN117" s="182"/>
      <c r="BXO117" s="181"/>
      <c r="BXP117" s="182"/>
      <c r="BXQ117" s="181"/>
      <c r="BXR117" s="182"/>
      <c r="BXS117" s="181"/>
      <c r="BXT117" s="182"/>
      <c r="BXU117" s="181"/>
      <c r="BXV117" s="182"/>
      <c r="BXW117" s="181"/>
      <c r="BXX117" s="182"/>
      <c r="BXY117" s="181"/>
      <c r="BXZ117" s="182"/>
      <c r="BYA117" s="181"/>
      <c r="BYB117" s="182"/>
      <c r="BYC117" s="181"/>
      <c r="BYD117" s="182"/>
      <c r="BYE117" s="181"/>
      <c r="BYF117" s="182"/>
      <c r="BYG117" s="181"/>
      <c r="BYH117" s="182"/>
      <c r="BYI117" s="181"/>
      <c r="BYJ117" s="182"/>
      <c r="BYK117" s="181"/>
      <c r="BYL117" s="182"/>
      <c r="BYM117" s="181"/>
      <c r="BYN117" s="182"/>
      <c r="BYO117" s="181"/>
      <c r="BYP117" s="182"/>
      <c r="BYQ117" s="181"/>
      <c r="BYR117" s="182"/>
      <c r="BYS117" s="181"/>
      <c r="BYT117" s="182"/>
      <c r="BYU117" s="181"/>
      <c r="BYV117" s="182"/>
      <c r="BYW117" s="181"/>
      <c r="BYX117" s="182"/>
      <c r="BYY117" s="181"/>
      <c r="BYZ117" s="182"/>
      <c r="BZA117" s="181"/>
      <c r="BZB117" s="182"/>
      <c r="BZC117" s="181"/>
      <c r="BZD117" s="182"/>
      <c r="BZE117" s="181"/>
      <c r="BZF117" s="182"/>
      <c r="BZG117" s="181"/>
      <c r="BZH117" s="182"/>
      <c r="BZI117" s="181"/>
      <c r="BZJ117" s="182"/>
      <c r="BZK117" s="181"/>
      <c r="BZL117" s="182"/>
      <c r="BZM117" s="181"/>
      <c r="BZN117" s="182"/>
      <c r="BZO117" s="181"/>
      <c r="BZP117" s="182"/>
      <c r="BZQ117" s="181"/>
      <c r="BZR117" s="182"/>
      <c r="BZS117" s="181"/>
      <c r="BZT117" s="182"/>
      <c r="BZU117" s="181"/>
      <c r="BZV117" s="182"/>
      <c r="BZW117" s="181"/>
      <c r="BZX117" s="182"/>
      <c r="BZY117" s="181"/>
      <c r="BZZ117" s="182"/>
      <c r="CAA117" s="181"/>
      <c r="CAB117" s="182"/>
      <c r="CAC117" s="181"/>
      <c r="CAD117" s="182"/>
      <c r="CAE117" s="181"/>
      <c r="CAF117" s="182"/>
      <c r="CAG117" s="181"/>
      <c r="CAH117" s="182"/>
      <c r="CAI117" s="181"/>
      <c r="CAJ117" s="182"/>
      <c r="CAK117" s="181"/>
      <c r="CAL117" s="182"/>
      <c r="CAM117" s="181"/>
      <c r="CAN117" s="182"/>
      <c r="CAO117" s="181"/>
      <c r="CAP117" s="182"/>
      <c r="CAQ117" s="181"/>
      <c r="CAR117" s="182"/>
      <c r="CAS117" s="181"/>
      <c r="CAT117" s="182"/>
      <c r="CAU117" s="181"/>
      <c r="CAV117" s="182"/>
      <c r="CAW117" s="181"/>
      <c r="CAX117" s="182"/>
      <c r="CAY117" s="181"/>
      <c r="CAZ117" s="182"/>
      <c r="CBA117" s="181"/>
      <c r="CBB117" s="182"/>
      <c r="CBC117" s="181"/>
      <c r="CBD117" s="182"/>
      <c r="CBE117" s="181"/>
      <c r="CBF117" s="182"/>
      <c r="CBG117" s="181"/>
      <c r="CBH117" s="182"/>
      <c r="CBI117" s="181"/>
      <c r="CBJ117" s="182"/>
      <c r="CBK117" s="181"/>
      <c r="CBL117" s="182"/>
      <c r="CBM117" s="181"/>
      <c r="CBN117" s="182"/>
      <c r="CBO117" s="181"/>
      <c r="CBP117" s="182"/>
      <c r="CBQ117" s="181"/>
      <c r="CBR117" s="182"/>
      <c r="CBS117" s="181"/>
      <c r="CBT117" s="182"/>
      <c r="CBU117" s="181"/>
      <c r="CBV117" s="182"/>
      <c r="CBW117" s="181"/>
      <c r="CBX117" s="182"/>
      <c r="CBY117" s="181"/>
      <c r="CBZ117" s="182"/>
      <c r="CCA117" s="181"/>
      <c r="CCB117" s="182"/>
      <c r="CCC117" s="181"/>
      <c r="CCD117" s="182"/>
      <c r="CCE117" s="181"/>
      <c r="CCF117" s="182"/>
      <c r="CCG117" s="181"/>
      <c r="CCH117" s="182"/>
      <c r="CCI117" s="181"/>
      <c r="CCJ117" s="182"/>
      <c r="CCK117" s="181"/>
      <c r="CCL117" s="182"/>
      <c r="CCM117" s="181"/>
      <c r="CCN117" s="182"/>
      <c r="CCO117" s="181"/>
      <c r="CCP117" s="182"/>
      <c r="CCQ117" s="181"/>
      <c r="CCR117" s="182"/>
      <c r="CCS117" s="181"/>
      <c r="CCT117" s="182"/>
      <c r="CCU117" s="181"/>
      <c r="CCV117" s="182"/>
      <c r="CCW117" s="181"/>
      <c r="CCX117" s="182"/>
      <c r="CCY117" s="181"/>
      <c r="CCZ117" s="182"/>
      <c r="CDA117" s="181"/>
      <c r="CDB117" s="182"/>
      <c r="CDC117" s="181"/>
      <c r="CDD117" s="182"/>
      <c r="CDE117" s="181"/>
      <c r="CDF117" s="182"/>
      <c r="CDG117" s="181"/>
      <c r="CDH117" s="182"/>
      <c r="CDI117" s="181"/>
      <c r="CDJ117" s="182"/>
      <c r="CDK117" s="181"/>
      <c r="CDL117" s="182"/>
      <c r="CDM117" s="181"/>
      <c r="CDN117" s="182"/>
      <c r="CDO117" s="181"/>
      <c r="CDP117" s="182"/>
      <c r="CDQ117" s="181"/>
      <c r="CDR117" s="182"/>
      <c r="CDS117" s="181"/>
      <c r="CDT117" s="182"/>
      <c r="CDU117" s="181"/>
      <c r="CDV117" s="182"/>
      <c r="CDW117" s="181"/>
      <c r="CDX117" s="182"/>
      <c r="CDY117" s="181"/>
      <c r="CDZ117" s="182"/>
      <c r="CEA117" s="181"/>
      <c r="CEB117" s="182"/>
      <c r="CEC117" s="181"/>
      <c r="CED117" s="182"/>
      <c r="CEE117" s="181"/>
      <c r="CEF117" s="182"/>
      <c r="CEG117" s="181"/>
      <c r="CEH117" s="182"/>
      <c r="CEI117" s="181"/>
      <c r="CEJ117" s="182"/>
      <c r="CEK117" s="181"/>
      <c r="CEL117" s="182"/>
      <c r="CEM117" s="181"/>
      <c r="CEN117" s="182"/>
      <c r="CEO117" s="181"/>
      <c r="CEP117" s="182"/>
      <c r="CEQ117" s="181"/>
      <c r="CER117" s="182"/>
      <c r="CES117" s="181"/>
      <c r="CET117" s="182"/>
      <c r="CEU117" s="181"/>
      <c r="CEV117" s="182"/>
      <c r="CEW117" s="181"/>
      <c r="CEX117" s="182"/>
      <c r="CEY117" s="181"/>
      <c r="CEZ117" s="182"/>
      <c r="CFA117" s="181"/>
      <c r="CFB117" s="182"/>
      <c r="CFC117" s="181"/>
      <c r="CFD117" s="182"/>
      <c r="CFE117" s="181"/>
      <c r="CFF117" s="182"/>
      <c r="CFG117" s="181"/>
      <c r="CFH117" s="182"/>
      <c r="CFI117" s="181"/>
      <c r="CFJ117" s="182"/>
      <c r="CFK117" s="181"/>
      <c r="CFL117" s="182"/>
      <c r="CFM117" s="181"/>
      <c r="CFN117" s="182"/>
      <c r="CFO117" s="181"/>
      <c r="CFP117" s="182"/>
      <c r="CFQ117" s="181"/>
      <c r="CFR117" s="182"/>
      <c r="CFS117" s="181"/>
      <c r="CFT117" s="182"/>
      <c r="CFU117" s="181"/>
      <c r="CFV117" s="182"/>
      <c r="CFW117" s="181"/>
      <c r="CFX117" s="182"/>
      <c r="CFY117" s="181"/>
      <c r="CFZ117" s="182"/>
      <c r="CGA117" s="181"/>
      <c r="CGB117" s="182"/>
      <c r="CGC117" s="181"/>
      <c r="CGD117" s="182"/>
      <c r="CGE117" s="181"/>
      <c r="CGF117" s="182"/>
      <c r="CGG117" s="181"/>
      <c r="CGH117" s="182"/>
      <c r="CGI117" s="181"/>
      <c r="CGJ117" s="182"/>
      <c r="CGK117" s="181"/>
      <c r="CGL117" s="182"/>
      <c r="CGM117" s="181"/>
      <c r="CGN117" s="182"/>
      <c r="CGO117" s="181"/>
      <c r="CGP117" s="182"/>
      <c r="CGQ117" s="181"/>
      <c r="CGR117" s="182"/>
      <c r="CGS117" s="181"/>
      <c r="CGT117" s="182"/>
      <c r="CGU117" s="181"/>
      <c r="CGV117" s="182"/>
      <c r="CGW117" s="181"/>
      <c r="CGX117" s="182"/>
      <c r="CGY117" s="181"/>
      <c r="CGZ117" s="182"/>
      <c r="CHA117" s="181"/>
      <c r="CHB117" s="182"/>
      <c r="CHC117" s="181"/>
      <c r="CHD117" s="182"/>
      <c r="CHE117" s="181"/>
      <c r="CHF117" s="182"/>
      <c r="CHG117" s="181"/>
      <c r="CHH117" s="182"/>
      <c r="CHI117" s="181"/>
      <c r="CHJ117" s="182"/>
      <c r="CHK117" s="181"/>
      <c r="CHL117" s="182"/>
      <c r="CHM117" s="181"/>
      <c r="CHN117" s="182"/>
      <c r="CHO117" s="181"/>
      <c r="CHP117" s="182"/>
      <c r="CHQ117" s="181"/>
      <c r="CHR117" s="182"/>
      <c r="CHS117" s="181"/>
      <c r="CHT117" s="182"/>
      <c r="CHU117" s="181"/>
      <c r="CHV117" s="182"/>
      <c r="CHW117" s="181"/>
      <c r="CHX117" s="182"/>
      <c r="CHY117" s="181"/>
      <c r="CHZ117" s="182"/>
      <c r="CIA117" s="181"/>
      <c r="CIB117" s="182"/>
      <c r="CIC117" s="181"/>
      <c r="CID117" s="182"/>
      <c r="CIE117" s="181"/>
      <c r="CIF117" s="182"/>
      <c r="CIG117" s="181"/>
      <c r="CIH117" s="182"/>
      <c r="CII117" s="181"/>
      <c r="CIJ117" s="182"/>
      <c r="CIK117" s="181"/>
      <c r="CIL117" s="182"/>
      <c r="CIM117" s="181"/>
      <c r="CIN117" s="182"/>
      <c r="CIO117" s="181"/>
      <c r="CIP117" s="182"/>
      <c r="CIQ117" s="181"/>
      <c r="CIR117" s="182"/>
      <c r="CIS117" s="181"/>
      <c r="CIT117" s="182"/>
      <c r="CIU117" s="181"/>
      <c r="CIV117" s="182"/>
      <c r="CIW117" s="181"/>
      <c r="CIX117" s="182"/>
      <c r="CIY117" s="181"/>
      <c r="CIZ117" s="182"/>
      <c r="CJA117" s="181"/>
      <c r="CJB117" s="182"/>
      <c r="CJC117" s="181"/>
      <c r="CJD117" s="182"/>
      <c r="CJE117" s="181"/>
      <c r="CJF117" s="182"/>
      <c r="CJG117" s="181"/>
      <c r="CJH117" s="182"/>
      <c r="CJI117" s="181"/>
      <c r="CJJ117" s="182"/>
      <c r="CJK117" s="181"/>
      <c r="CJL117" s="182"/>
      <c r="CJM117" s="181"/>
      <c r="CJN117" s="182"/>
      <c r="CJO117" s="181"/>
      <c r="CJP117" s="182"/>
      <c r="CJQ117" s="181"/>
      <c r="CJR117" s="182"/>
      <c r="CJS117" s="181"/>
      <c r="CJT117" s="182"/>
      <c r="CJU117" s="181"/>
      <c r="CJV117" s="182"/>
      <c r="CJW117" s="181"/>
      <c r="CJX117" s="182"/>
      <c r="CJY117" s="181"/>
      <c r="CJZ117" s="182"/>
      <c r="CKA117" s="181"/>
      <c r="CKB117" s="182"/>
      <c r="CKC117" s="181"/>
      <c r="CKD117" s="182"/>
      <c r="CKE117" s="181"/>
      <c r="CKF117" s="182"/>
      <c r="CKG117" s="181"/>
      <c r="CKH117" s="182"/>
      <c r="CKI117" s="181"/>
      <c r="CKJ117" s="182"/>
      <c r="CKK117" s="181"/>
      <c r="CKL117" s="182"/>
      <c r="CKM117" s="181"/>
      <c r="CKN117" s="182"/>
      <c r="CKO117" s="181"/>
      <c r="CKP117" s="182"/>
      <c r="CKQ117" s="181"/>
      <c r="CKR117" s="182"/>
      <c r="CKS117" s="181"/>
      <c r="CKT117" s="182"/>
      <c r="CKU117" s="181"/>
      <c r="CKV117" s="182"/>
      <c r="CKW117" s="181"/>
      <c r="CKX117" s="182"/>
      <c r="CKY117" s="181"/>
      <c r="CKZ117" s="182"/>
      <c r="CLA117" s="181"/>
      <c r="CLB117" s="182"/>
      <c r="CLC117" s="181"/>
      <c r="CLD117" s="182"/>
      <c r="CLE117" s="181"/>
      <c r="CLF117" s="182"/>
      <c r="CLG117" s="181"/>
      <c r="CLH117" s="182"/>
      <c r="CLI117" s="181"/>
      <c r="CLJ117" s="182"/>
      <c r="CLK117" s="181"/>
      <c r="CLL117" s="182"/>
      <c r="CLM117" s="181"/>
      <c r="CLN117" s="182"/>
      <c r="CLO117" s="181"/>
      <c r="CLP117" s="182"/>
      <c r="CLQ117" s="181"/>
      <c r="CLR117" s="182"/>
      <c r="CLS117" s="181"/>
      <c r="CLT117" s="182"/>
      <c r="CLU117" s="181"/>
      <c r="CLV117" s="182"/>
      <c r="CLW117" s="181"/>
      <c r="CLX117" s="182"/>
      <c r="CLY117" s="181"/>
      <c r="CLZ117" s="182"/>
      <c r="CMA117" s="181"/>
      <c r="CMB117" s="182"/>
      <c r="CMC117" s="181"/>
      <c r="CMD117" s="182"/>
      <c r="CME117" s="181"/>
      <c r="CMF117" s="182"/>
      <c r="CMG117" s="181"/>
      <c r="CMH117" s="182"/>
      <c r="CMI117" s="181"/>
      <c r="CMJ117" s="182"/>
      <c r="CMK117" s="181"/>
      <c r="CML117" s="182"/>
      <c r="CMM117" s="181"/>
      <c r="CMN117" s="182"/>
      <c r="CMO117" s="181"/>
      <c r="CMP117" s="182"/>
      <c r="CMQ117" s="181"/>
      <c r="CMR117" s="182"/>
      <c r="CMS117" s="181"/>
      <c r="CMT117" s="182"/>
      <c r="CMU117" s="181"/>
      <c r="CMV117" s="182"/>
      <c r="CMW117" s="181"/>
      <c r="CMX117" s="182"/>
      <c r="CMY117" s="181"/>
      <c r="CMZ117" s="182"/>
      <c r="CNA117" s="181"/>
      <c r="CNB117" s="182"/>
      <c r="CNC117" s="181"/>
      <c r="CND117" s="182"/>
      <c r="CNE117" s="181"/>
      <c r="CNF117" s="182"/>
      <c r="CNG117" s="181"/>
      <c r="CNH117" s="182"/>
      <c r="CNI117" s="181"/>
      <c r="CNJ117" s="182"/>
      <c r="CNK117" s="181"/>
      <c r="CNL117" s="182"/>
      <c r="CNM117" s="181"/>
      <c r="CNN117" s="182"/>
      <c r="CNO117" s="181"/>
      <c r="CNP117" s="182"/>
      <c r="CNQ117" s="181"/>
      <c r="CNR117" s="182"/>
      <c r="CNS117" s="181"/>
      <c r="CNT117" s="182"/>
      <c r="CNU117" s="181"/>
      <c r="CNV117" s="182"/>
      <c r="CNW117" s="181"/>
      <c r="CNX117" s="182"/>
      <c r="CNY117" s="181"/>
      <c r="CNZ117" s="182"/>
      <c r="COA117" s="181"/>
      <c r="COB117" s="182"/>
      <c r="COC117" s="181"/>
      <c r="COD117" s="182"/>
      <c r="COE117" s="181"/>
      <c r="COF117" s="182"/>
      <c r="COG117" s="181"/>
      <c r="COH117" s="182"/>
      <c r="COI117" s="181"/>
      <c r="COJ117" s="182"/>
      <c r="COK117" s="181"/>
      <c r="COL117" s="182"/>
      <c r="COM117" s="181"/>
      <c r="CON117" s="182"/>
      <c r="COO117" s="181"/>
      <c r="COP117" s="182"/>
      <c r="COQ117" s="181"/>
      <c r="COR117" s="182"/>
      <c r="COS117" s="181"/>
      <c r="COT117" s="182"/>
      <c r="COU117" s="181"/>
      <c r="COV117" s="182"/>
      <c r="COW117" s="181"/>
      <c r="COX117" s="182"/>
      <c r="COY117" s="181"/>
      <c r="COZ117" s="182"/>
      <c r="CPA117" s="181"/>
      <c r="CPB117" s="182"/>
      <c r="CPC117" s="181"/>
      <c r="CPD117" s="182"/>
      <c r="CPE117" s="181"/>
      <c r="CPF117" s="182"/>
      <c r="CPG117" s="181"/>
      <c r="CPH117" s="182"/>
      <c r="CPI117" s="181"/>
      <c r="CPJ117" s="182"/>
      <c r="CPK117" s="181"/>
      <c r="CPL117" s="182"/>
      <c r="CPM117" s="181"/>
      <c r="CPN117" s="182"/>
      <c r="CPO117" s="181"/>
      <c r="CPP117" s="182"/>
      <c r="CPQ117" s="181"/>
      <c r="CPR117" s="182"/>
      <c r="CPS117" s="181"/>
      <c r="CPT117" s="182"/>
      <c r="CPU117" s="181"/>
      <c r="CPV117" s="182"/>
      <c r="CPW117" s="181"/>
      <c r="CPX117" s="182"/>
      <c r="CPY117" s="181"/>
      <c r="CPZ117" s="182"/>
      <c r="CQA117" s="181"/>
      <c r="CQB117" s="182"/>
      <c r="CQC117" s="181"/>
      <c r="CQD117" s="182"/>
      <c r="CQE117" s="181"/>
      <c r="CQF117" s="182"/>
      <c r="CQG117" s="181"/>
      <c r="CQH117" s="182"/>
      <c r="CQI117" s="181"/>
      <c r="CQJ117" s="182"/>
      <c r="CQK117" s="181"/>
      <c r="CQL117" s="182"/>
      <c r="CQM117" s="181"/>
      <c r="CQN117" s="182"/>
      <c r="CQO117" s="181"/>
      <c r="CQP117" s="182"/>
      <c r="CQQ117" s="181"/>
      <c r="CQR117" s="182"/>
      <c r="CQS117" s="181"/>
      <c r="CQT117" s="182"/>
      <c r="CQU117" s="181"/>
      <c r="CQV117" s="182"/>
      <c r="CQW117" s="181"/>
      <c r="CQX117" s="182"/>
      <c r="CQY117" s="181"/>
      <c r="CQZ117" s="182"/>
      <c r="CRA117" s="181"/>
      <c r="CRB117" s="182"/>
      <c r="CRC117" s="181"/>
      <c r="CRD117" s="182"/>
      <c r="CRE117" s="181"/>
      <c r="CRF117" s="182"/>
      <c r="CRG117" s="181"/>
      <c r="CRH117" s="182"/>
      <c r="CRI117" s="181"/>
      <c r="CRJ117" s="182"/>
      <c r="CRK117" s="181"/>
      <c r="CRL117" s="182"/>
      <c r="CRM117" s="181"/>
      <c r="CRN117" s="182"/>
      <c r="CRO117" s="181"/>
      <c r="CRP117" s="182"/>
      <c r="CRQ117" s="181"/>
      <c r="CRR117" s="182"/>
      <c r="CRS117" s="181"/>
      <c r="CRT117" s="182"/>
      <c r="CRU117" s="181"/>
      <c r="CRV117" s="182"/>
      <c r="CRW117" s="181"/>
      <c r="CRX117" s="182"/>
      <c r="CRY117" s="181"/>
      <c r="CRZ117" s="182"/>
      <c r="CSA117" s="181"/>
      <c r="CSB117" s="182"/>
      <c r="CSC117" s="181"/>
      <c r="CSD117" s="182"/>
      <c r="CSE117" s="181"/>
      <c r="CSF117" s="182"/>
      <c r="CSG117" s="181"/>
      <c r="CSH117" s="182"/>
      <c r="CSI117" s="181"/>
      <c r="CSJ117" s="182"/>
      <c r="CSK117" s="181"/>
      <c r="CSL117" s="182"/>
      <c r="CSM117" s="181"/>
      <c r="CSN117" s="182"/>
      <c r="CSO117" s="181"/>
      <c r="CSP117" s="182"/>
      <c r="CSQ117" s="181"/>
      <c r="CSR117" s="182"/>
      <c r="CSS117" s="181"/>
      <c r="CST117" s="182"/>
      <c r="CSU117" s="181"/>
      <c r="CSV117" s="182"/>
      <c r="CSW117" s="181"/>
      <c r="CSX117" s="182"/>
      <c r="CSY117" s="181"/>
      <c r="CSZ117" s="182"/>
      <c r="CTA117" s="181"/>
      <c r="CTB117" s="182"/>
      <c r="CTC117" s="181"/>
      <c r="CTD117" s="182"/>
      <c r="CTE117" s="181"/>
      <c r="CTF117" s="182"/>
      <c r="CTG117" s="181"/>
      <c r="CTH117" s="182"/>
      <c r="CTI117" s="181"/>
      <c r="CTJ117" s="182"/>
      <c r="CTK117" s="181"/>
      <c r="CTL117" s="182"/>
      <c r="CTM117" s="181"/>
      <c r="CTN117" s="182"/>
      <c r="CTO117" s="181"/>
      <c r="CTP117" s="182"/>
      <c r="CTQ117" s="181"/>
      <c r="CTR117" s="182"/>
      <c r="CTS117" s="181"/>
      <c r="CTT117" s="182"/>
      <c r="CTU117" s="181"/>
      <c r="CTV117" s="182"/>
      <c r="CTW117" s="181"/>
      <c r="CTX117" s="182"/>
      <c r="CTY117" s="181"/>
      <c r="CTZ117" s="182"/>
      <c r="CUA117" s="181"/>
      <c r="CUB117" s="182"/>
      <c r="CUC117" s="181"/>
      <c r="CUD117" s="182"/>
      <c r="CUE117" s="181"/>
      <c r="CUF117" s="182"/>
      <c r="CUG117" s="181"/>
      <c r="CUH117" s="182"/>
      <c r="CUI117" s="181"/>
      <c r="CUJ117" s="182"/>
      <c r="CUK117" s="181"/>
      <c r="CUL117" s="182"/>
      <c r="CUM117" s="181"/>
      <c r="CUN117" s="182"/>
      <c r="CUO117" s="181"/>
      <c r="CUP117" s="182"/>
      <c r="CUQ117" s="181"/>
      <c r="CUR117" s="182"/>
      <c r="CUS117" s="181"/>
      <c r="CUT117" s="182"/>
      <c r="CUU117" s="181"/>
      <c r="CUV117" s="182"/>
      <c r="CUW117" s="181"/>
      <c r="CUX117" s="182"/>
      <c r="CUY117" s="181"/>
      <c r="CUZ117" s="182"/>
      <c r="CVA117" s="181"/>
      <c r="CVB117" s="182"/>
      <c r="CVC117" s="181"/>
      <c r="CVD117" s="182"/>
      <c r="CVE117" s="181"/>
      <c r="CVF117" s="182"/>
      <c r="CVG117" s="181"/>
      <c r="CVH117" s="182"/>
      <c r="CVI117" s="181"/>
      <c r="CVJ117" s="182"/>
      <c r="CVK117" s="181"/>
      <c r="CVL117" s="182"/>
      <c r="CVM117" s="181"/>
      <c r="CVN117" s="182"/>
      <c r="CVO117" s="181"/>
      <c r="CVP117" s="182"/>
      <c r="CVQ117" s="181"/>
      <c r="CVR117" s="182"/>
      <c r="CVS117" s="181"/>
      <c r="CVT117" s="182"/>
      <c r="CVU117" s="181"/>
      <c r="CVV117" s="182"/>
      <c r="CVW117" s="181"/>
      <c r="CVX117" s="182"/>
      <c r="CVY117" s="181"/>
      <c r="CVZ117" s="182"/>
      <c r="CWA117" s="181"/>
      <c r="CWB117" s="182"/>
      <c r="CWC117" s="181"/>
      <c r="CWD117" s="182"/>
      <c r="CWE117" s="181"/>
      <c r="CWF117" s="182"/>
      <c r="CWG117" s="181"/>
      <c r="CWH117" s="182"/>
      <c r="CWI117" s="181"/>
      <c r="CWJ117" s="182"/>
      <c r="CWK117" s="181"/>
      <c r="CWL117" s="182"/>
      <c r="CWM117" s="181"/>
      <c r="CWN117" s="182"/>
      <c r="CWO117" s="181"/>
      <c r="CWP117" s="182"/>
      <c r="CWQ117" s="181"/>
      <c r="CWR117" s="182"/>
      <c r="CWS117" s="181"/>
      <c r="CWT117" s="182"/>
      <c r="CWU117" s="181"/>
      <c r="CWV117" s="182"/>
      <c r="CWW117" s="181"/>
      <c r="CWX117" s="182"/>
      <c r="CWY117" s="181"/>
      <c r="CWZ117" s="182"/>
      <c r="CXA117" s="181"/>
      <c r="CXB117" s="182"/>
      <c r="CXC117" s="181"/>
      <c r="CXD117" s="182"/>
      <c r="CXE117" s="181"/>
      <c r="CXF117" s="182"/>
      <c r="CXG117" s="181"/>
      <c r="CXH117" s="182"/>
      <c r="CXI117" s="181"/>
      <c r="CXJ117" s="182"/>
      <c r="CXK117" s="181"/>
      <c r="CXL117" s="182"/>
      <c r="CXM117" s="181"/>
      <c r="CXN117" s="182"/>
      <c r="CXO117" s="181"/>
      <c r="CXP117" s="182"/>
      <c r="CXQ117" s="181"/>
      <c r="CXR117" s="182"/>
      <c r="CXS117" s="181"/>
      <c r="CXT117" s="182"/>
      <c r="CXU117" s="181"/>
      <c r="CXV117" s="182"/>
      <c r="CXW117" s="181"/>
      <c r="CXX117" s="182"/>
      <c r="CXY117" s="181"/>
      <c r="CXZ117" s="182"/>
      <c r="CYA117" s="181"/>
      <c r="CYB117" s="182"/>
      <c r="CYC117" s="181"/>
      <c r="CYD117" s="182"/>
      <c r="CYE117" s="181"/>
      <c r="CYF117" s="182"/>
      <c r="CYG117" s="181"/>
      <c r="CYH117" s="182"/>
      <c r="CYI117" s="181"/>
      <c r="CYJ117" s="182"/>
      <c r="CYK117" s="181"/>
      <c r="CYL117" s="182"/>
      <c r="CYM117" s="181"/>
      <c r="CYN117" s="182"/>
      <c r="CYO117" s="181"/>
      <c r="CYP117" s="182"/>
      <c r="CYQ117" s="181"/>
      <c r="CYR117" s="182"/>
      <c r="CYS117" s="181"/>
      <c r="CYT117" s="182"/>
      <c r="CYU117" s="181"/>
      <c r="CYV117" s="182"/>
      <c r="CYW117" s="181"/>
      <c r="CYX117" s="182"/>
      <c r="CYY117" s="181"/>
      <c r="CYZ117" s="182"/>
      <c r="CZA117" s="181"/>
      <c r="CZB117" s="182"/>
      <c r="CZC117" s="181"/>
      <c r="CZD117" s="182"/>
      <c r="CZE117" s="181"/>
      <c r="CZF117" s="182"/>
      <c r="CZG117" s="181"/>
      <c r="CZH117" s="182"/>
      <c r="CZI117" s="181"/>
      <c r="CZJ117" s="182"/>
      <c r="CZK117" s="181"/>
      <c r="CZL117" s="182"/>
      <c r="CZM117" s="181"/>
      <c r="CZN117" s="182"/>
      <c r="CZO117" s="181"/>
      <c r="CZP117" s="182"/>
      <c r="CZQ117" s="181"/>
      <c r="CZR117" s="182"/>
      <c r="CZS117" s="181"/>
      <c r="CZT117" s="182"/>
      <c r="CZU117" s="181"/>
      <c r="CZV117" s="182"/>
      <c r="CZW117" s="181"/>
      <c r="CZX117" s="182"/>
      <c r="CZY117" s="181"/>
      <c r="CZZ117" s="182"/>
      <c r="DAA117" s="181"/>
      <c r="DAB117" s="182"/>
      <c r="DAC117" s="181"/>
      <c r="DAD117" s="182"/>
      <c r="DAE117" s="181"/>
      <c r="DAF117" s="182"/>
      <c r="DAG117" s="181"/>
      <c r="DAH117" s="182"/>
      <c r="DAI117" s="181"/>
      <c r="DAJ117" s="182"/>
      <c r="DAK117" s="181"/>
      <c r="DAL117" s="182"/>
      <c r="DAM117" s="181"/>
      <c r="DAN117" s="182"/>
      <c r="DAO117" s="181"/>
      <c r="DAP117" s="182"/>
      <c r="DAQ117" s="181"/>
      <c r="DAR117" s="182"/>
      <c r="DAS117" s="181"/>
      <c r="DAT117" s="182"/>
      <c r="DAU117" s="181"/>
      <c r="DAV117" s="182"/>
      <c r="DAW117" s="181"/>
      <c r="DAX117" s="182"/>
      <c r="DAY117" s="181"/>
      <c r="DAZ117" s="182"/>
      <c r="DBA117" s="181"/>
      <c r="DBB117" s="182"/>
      <c r="DBC117" s="181"/>
      <c r="DBD117" s="182"/>
      <c r="DBE117" s="181"/>
      <c r="DBF117" s="182"/>
      <c r="DBG117" s="181"/>
      <c r="DBH117" s="182"/>
      <c r="DBI117" s="181"/>
      <c r="DBJ117" s="182"/>
      <c r="DBK117" s="181"/>
      <c r="DBL117" s="182"/>
      <c r="DBM117" s="181"/>
      <c r="DBN117" s="182"/>
      <c r="DBO117" s="181"/>
      <c r="DBP117" s="182"/>
      <c r="DBQ117" s="181"/>
      <c r="DBR117" s="182"/>
      <c r="DBS117" s="181"/>
      <c r="DBT117" s="182"/>
      <c r="DBU117" s="181"/>
      <c r="DBV117" s="182"/>
      <c r="DBW117" s="181"/>
      <c r="DBX117" s="182"/>
      <c r="DBY117" s="181"/>
      <c r="DBZ117" s="182"/>
      <c r="DCA117" s="181"/>
      <c r="DCB117" s="182"/>
      <c r="DCC117" s="181"/>
      <c r="DCD117" s="182"/>
      <c r="DCE117" s="181"/>
      <c r="DCF117" s="182"/>
      <c r="DCG117" s="181"/>
      <c r="DCH117" s="182"/>
      <c r="DCI117" s="181"/>
      <c r="DCJ117" s="182"/>
      <c r="DCK117" s="181"/>
      <c r="DCL117" s="182"/>
      <c r="DCM117" s="181"/>
      <c r="DCN117" s="182"/>
      <c r="DCO117" s="181"/>
      <c r="DCP117" s="182"/>
      <c r="DCQ117" s="181"/>
      <c r="DCR117" s="182"/>
      <c r="DCS117" s="181"/>
      <c r="DCT117" s="182"/>
      <c r="DCU117" s="181"/>
      <c r="DCV117" s="182"/>
      <c r="DCW117" s="181"/>
      <c r="DCX117" s="182"/>
      <c r="DCY117" s="181"/>
      <c r="DCZ117" s="182"/>
      <c r="DDA117" s="181"/>
      <c r="DDB117" s="182"/>
      <c r="DDC117" s="181"/>
      <c r="DDD117" s="182"/>
      <c r="DDE117" s="181"/>
      <c r="DDF117" s="182"/>
      <c r="DDG117" s="181"/>
      <c r="DDH117" s="182"/>
      <c r="DDI117" s="181"/>
      <c r="DDJ117" s="182"/>
      <c r="DDK117" s="181"/>
      <c r="DDL117" s="182"/>
      <c r="DDM117" s="181"/>
      <c r="DDN117" s="182"/>
      <c r="DDO117" s="181"/>
      <c r="DDP117" s="182"/>
      <c r="DDQ117" s="181"/>
      <c r="DDR117" s="182"/>
      <c r="DDS117" s="181"/>
      <c r="DDT117" s="182"/>
      <c r="DDU117" s="181"/>
      <c r="DDV117" s="182"/>
      <c r="DDW117" s="181"/>
      <c r="DDX117" s="182"/>
      <c r="DDY117" s="181"/>
      <c r="DDZ117" s="182"/>
      <c r="DEA117" s="181"/>
      <c r="DEB117" s="182"/>
      <c r="DEC117" s="181"/>
      <c r="DED117" s="182"/>
      <c r="DEE117" s="181"/>
      <c r="DEF117" s="182"/>
      <c r="DEG117" s="181"/>
      <c r="DEH117" s="182"/>
      <c r="DEI117" s="181"/>
      <c r="DEJ117" s="182"/>
      <c r="DEK117" s="181"/>
      <c r="DEL117" s="182"/>
      <c r="DEM117" s="181"/>
      <c r="DEN117" s="182"/>
      <c r="DEO117" s="181"/>
      <c r="DEP117" s="182"/>
      <c r="DEQ117" s="181"/>
      <c r="DER117" s="182"/>
      <c r="DES117" s="181"/>
      <c r="DET117" s="182"/>
      <c r="DEU117" s="181"/>
      <c r="DEV117" s="182"/>
      <c r="DEW117" s="181"/>
      <c r="DEX117" s="182"/>
      <c r="DEY117" s="181"/>
      <c r="DEZ117" s="182"/>
      <c r="DFA117" s="181"/>
      <c r="DFB117" s="182"/>
      <c r="DFC117" s="181"/>
      <c r="DFD117" s="182"/>
      <c r="DFE117" s="181"/>
      <c r="DFF117" s="182"/>
      <c r="DFG117" s="181"/>
      <c r="DFH117" s="182"/>
      <c r="DFI117" s="181"/>
      <c r="DFJ117" s="182"/>
      <c r="DFK117" s="181"/>
      <c r="DFL117" s="182"/>
      <c r="DFM117" s="181"/>
      <c r="DFN117" s="182"/>
      <c r="DFO117" s="181"/>
      <c r="DFP117" s="182"/>
      <c r="DFQ117" s="181"/>
      <c r="DFR117" s="182"/>
      <c r="DFS117" s="181"/>
      <c r="DFT117" s="182"/>
      <c r="DFU117" s="181"/>
      <c r="DFV117" s="182"/>
      <c r="DFW117" s="181"/>
      <c r="DFX117" s="182"/>
      <c r="DFY117" s="181"/>
      <c r="DFZ117" s="182"/>
      <c r="DGA117" s="181"/>
      <c r="DGB117" s="182"/>
      <c r="DGC117" s="181"/>
      <c r="DGD117" s="182"/>
      <c r="DGE117" s="181"/>
      <c r="DGF117" s="182"/>
      <c r="DGG117" s="181"/>
      <c r="DGH117" s="182"/>
      <c r="DGI117" s="181"/>
      <c r="DGJ117" s="182"/>
      <c r="DGK117" s="181"/>
      <c r="DGL117" s="182"/>
      <c r="DGM117" s="181"/>
      <c r="DGN117" s="182"/>
      <c r="DGO117" s="181"/>
      <c r="DGP117" s="182"/>
      <c r="DGQ117" s="181"/>
      <c r="DGR117" s="182"/>
      <c r="DGS117" s="181"/>
      <c r="DGT117" s="182"/>
      <c r="DGU117" s="181"/>
      <c r="DGV117" s="182"/>
      <c r="DGW117" s="181"/>
      <c r="DGX117" s="182"/>
      <c r="DGY117" s="181"/>
      <c r="DGZ117" s="182"/>
      <c r="DHA117" s="181"/>
      <c r="DHB117" s="182"/>
      <c r="DHC117" s="181"/>
      <c r="DHD117" s="182"/>
      <c r="DHE117" s="181"/>
      <c r="DHF117" s="182"/>
      <c r="DHG117" s="181"/>
      <c r="DHH117" s="182"/>
      <c r="DHI117" s="181"/>
      <c r="DHJ117" s="182"/>
      <c r="DHK117" s="181"/>
      <c r="DHL117" s="182"/>
      <c r="DHM117" s="181"/>
      <c r="DHN117" s="182"/>
      <c r="DHO117" s="181"/>
      <c r="DHP117" s="182"/>
      <c r="DHQ117" s="181"/>
      <c r="DHR117" s="182"/>
      <c r="DHS117" s="181"/>
      <c r="DHT117" s="182"/>
      <c r="DHU117" s="181"/>
      <c r="DHV117" s="182"/>
      <c r="DHW117" s="181"/>
      <c r="DHX117" s="182"/>
      <c r="DHY117" s="181"/>
      <c r="DHZ117" s="182"/>
      <c r="DIA117" s="181"/>
      <c r="DIB117" s="182"/>
      <c r="DIC117" s="181"/>
      <c r="DID117" s="182"/>
      <c r="DIE117" s="181"/>
      <c r="DIF117" s="182"/>
      <c r="DIG117" s="181"/>
      <c r="DIH117" s="182"/>
      <c r="DII117" s="181"/>
      <c r="DIJ117" s="182"/>
      <c r="DIK117" s="181"/>
      <c r="DIL117" s="182"/>
      <c r="DIM117" s="181"/>
      <c r="DIN117" s="182"/>
      <c r="DIO117" s="181"/>
      <c r="DIP117" s="182"/>
      <c r="DIQ117" s="181"/>
      <c r="DIR117" s="182"/>
      <c r="DIS117" s="181"/>
      <c r="DIT117" s="182"/>
      <c r="DIU117" s="181"/>
      <c r="DIV117" s="182"/>
      <c r="DIW117" s="181"/>
      <c r="DIX117" s="182"/>
      <c r="DIY117" s="181"/>
      <c r="DIZ117" s="182"/>
      <c r="DJA117" s="181"/>
      <c r="DJB117" s="182"/>
      <c r="DJC117" s="181"/>
      <c r="DJD117" s="182"/>
      <c r="DJE117" s="181"/>
      <c r="DJF117" s="182"/>
      <c r="DJG117" s="181"/>
      <c r="DJH117" s="182"/>
      <c r="DJI117" s="181"/>
      <c r="DJJ117" s="182"/>
      <c r="DJK117" s="181"/>
      <c r="DJL117" s="182"/>
      <c r="DJM117" s="181"/>
      <c r="DJN117" s="182"/>
      <c r="DJO117" s="181"/>
      <c r="DJP117" s="182"/>
      <c r="DJQ117" s="181"/>
      <c r="DJR117" s="182"/>
      <c r="DJS117" s="181"/>
      <c r="DJT117" s="182"/>
      <c r="DJU117" s="181"/>
      <c r="DJV117" s="182"/>
      <c r="DJW117" s="181"/>
      <c r="DJX117" s="182"/>
      <c r="DJY117" s="181"/>
      <c r="DJZ117" s="182"/>
      <c r="DKA117" s="181"/>
      <c r="DKB117" s="182"/>
      <c r="DKC117" s="181"/>
      <c r="DKD117" s="182"/>
      <c r="DKE117" s="181"/>
      <c r="DKF117" s="182"/>
      <c r="DKG117" s="181"/>
      <c r="DKH117" s="182"/>
      <c r="DKI117" s="181"/>
      <c r="DKJ117" s="182"/>
      <c r="DKK117" s="181"/>
      <c r="DKL117" s="182"/>
      <c r="DKM117" s="181"/>
      <c r="DKN117" s="182"/>
      <c r="DKO117" s="181"/>
      <c r="DKP117" s="182"/>
      <c r="DKQ117" s="181"/>
      <c r="DKR117" s="182"/>
      <c r="DKS117" s="181"/>
      <c r="DKT117" s="182"/>
      <c r="DKU117" s="181"/>
      <c r="DKV117" s="182"/>
      <c r="DKW117" s="181"/>
      <c r="DKX117" s="182"/>
      <c r="DKY117" s="181"/>
      <c r="DKZ117" s="182"/>
      <c r="DLA117" s="181"/>
      <c r="DLB117" s="182"/>
      <c r="DLC117" s="181"/>
      <c r="DLD117" s="182"/>
      <c r="DLE117" s="181"/>
      <c r="DLF117" s="182"/>
      <c r="DLG117" s="181"/>
      <c r="DLH117" s="182"/>
      <c r="DLI117" s="181"/>
      <c r="DLJ117" s="182"/>
      <c r="DLK117" s="181"/>
      <c r="DLL117" s="182"/>
      <c r="DLM117" s="181"/>
      <c r="DLN117" s="182"/>
      <c r="DLO117" s="181"/>
      <c r="DLP117" s="182"/>
      <c r="DLQ117" s="181"/>
      <c r="DLR117" s="182"/>
      <c r="DLS117" s="181"/>
      <c r="DLT117" s="182"/>
      <c r="DLU117" s="181"/>
      <c r="DLV117" s="182"/>
      <c r="DLW117" s="181"/>
      <c r="DLX117" s="182"/>
      <c r="DLY117" s="181"/>
      <c r="DLZ117" s="182"/>
      <c r="DMA117" s="181"/>
      <c r="DMB117" s="182"/>
      <c r="DMC117" s="181"/>
      <c r="DMD117" s="182"/>
      <c r="DME117" s="181"/>
      <c r="DMF117" s="182"/>
      <c r="DMG117" s="181"/>
      <c r="DMH117" s="182"/>
      <c r="DMI117" s="181"/>
      <c r="DMJ117" s="182"/>
      <c r="DMK117" s="181"/>
      <c r="DML117" s="182"/>
      <c r="DMM117" s="181"/>
      <c r="DMN117" s="182"/>
      <c r="DMO117" s="181"/>
      <c r="DMP117" s="182"/>
      <c r="DMQ117" s="181"/>
      <c r="DMR117" s="182"/>
      <c r="DMS117" s="181"/>
      <c r="DMT117" s="182"/>
      <c r="DMU117" s="181"/>
      <c r="DMV117" s="182"/>
      <c r="DMW117" s="181"/>
      <c r="DMX117" s="182"/>
      <c r="DMY117" s="181"/>
      <c r="DMZ117" s="182"/>
      <c r="DNA117" s="181"/>
      <c r="DNB117" s="182"/>
      <c r="DNC117" s="181"/>
      <c r="DND117" s="182"/>
      <c r="DNE117" s="181"/>
      <c r="DNF117" s="182"/>
      <c r="DNG117" s="181"/>
      <c r="DNH117" s="182"/>
      <c r="DNI117" s="181"/>
      <c r="DNJ117" s="182"/>
      <c r="DNK117" s="181"/>
      <c r="DNL117" s="182"/>
      <c r="DNM117" s="181"/>
      <c r="DNN117" s="182"/>
      <c r="DNO117" s="181"/>
      <c r="DNP117" s="182"/>
      <c r="DNQ117" s="181"/>
      <c r="DNR117" s="182"/>
      <c r="DNS117" s="181"/>
      <c r="DNT117" s="182"/>
      <c r="DNU117" s="181"/>
      <c r="DNV117" s="182"/>
      <c r="DNW117" s="181"/>
      <c r="DNX117" s="182"/>
      <c r="DNY117" s="181"/>
      <c r="DNZ117" s="182"/>
      <c r="DOA117" s="181"/>
      <c r="DOB117" s="182"/>
      <c r="DOC117" s="181"/>
      <c r="DOD117" s="182"/>
      <c r="DOE117" s="181"/>
      <c r="DOF117" s="182"/>
      <c r="DOG117" s="181"/>
      <c r="DOH117" s="182"/>
      <c r="DOI117" s="181"/>
      <c r="DOJ117" s="182"/>
      <c r="DOK117" s="181"/>
      <c r="DOL117" s="182"/>
      <c r="DOM117" s="181"/>
      <c r="DON117" s="182"/>
      <c r="DOO117" s="181"/>
      <c r="DOP117" s="182"/>
      <c r="DOQ117" s="181"/>
      <c r="DOR117" s="182"/>
      <c r="DOS117" s="181"/>
      <c r="DOT117" s="182"/>
      <c r="DOU117" s="181"/>
      <c r="DOV117" s="182"/>
      <c r="DOW117" s="181"/>
      <c r="DOX117" s="182"/>
      <c r="DOY117" s="181"/>
      <c r="DOZ117" s="182"/>
      <c r="DPA117" s="181"/>
      <c r="DPB117" s="182"/>
      <c r="DPC117" s="181"/>
      <c r="DPD117" s="182"/>
      <c r="DPE117" s="181"/>
      <c r="DPF117" s="182"/>
      <c r="DPG117" s="181"/>
      <c r="DPH117" s="182"/>
      <c r="DPI117" s="181"/>
      <c r="DPJ117" s="182"/>
      <c r="DPK117" s="181"/>
      <c r="DPL117" s="182"/>
      <c r="DPM117" s="181"/>
      <c r="DPN117" s="182"/>
      <c r="DPO117" s="181"/>
      <c r="DPP117" s="182"/>
      <c r="DPQ117" s="181"/>
      <c r="DPR117" s="182"/>
      <c r="DPS117" s="181"/>
      <c r="DPT117" s="182"/>
      <c r="DPU117" s="181"/>
      <c r="DPV117" s="182"/>
      <c r="DPW117" s="181"/>
      <c r="DPX117" s="182"/>
      <c r="DPY117" s="181"/>
      <c r="DPZ117" s="182"/>
      <c r="DQA117" s="181"/>
      <c r="DQB117" s="182"/>
      <c r="DQC117" s="181"/>
      <c r="DQD117" s="182"/>
      <c r="DQE117" s="181"/>
      <c r="DQF117" s="182"/>
      <c r="DQG117" s="181"/>
      <c r="DQH117" s="182"/>
      <c r="DQI117" s="181"/>
      <c r="DQJ117" s="182"/>
      <c r="DQK117" s="181"/>
      <c r="DQL117" s="182"/>
      <c r="DQM117" s="181"/>
      <c r="DQN117" s="182"/>
      <c r="DQO117" s="181"/>
      <c r="DQP117" s="182"/>
      <c r="DQQ117" s="181"/>
      <c r="DQR117" s="182"/>
      <c r="DQS117" s="181"/>
      <c r="DQT117" s="182"/>
      <c r="DQU117" s="181"/>
      <c r="DQV117" s="182"/>
      <c r="DQW117" s="181"/>
      <c r="DQX117" s="182"/>
      <c r="DQY117" s="181"/>
      <c r="DQZ117" s="182"/>
      <c r="DRA117" s="181"/>
      <c r="DRB117" s="182"/>
      <c r="DRC117" s="181"/>
      <c r="DRD117" s="182"/>
      <c r="DRE117" s="181"/>
      <c r="DRF117" s="182"/>
      <c r="DRG117" s="181"/>
      <c r="DRH117" s="182"/>
      <c r="DRI117" s="181"/>
      <c r="DRJ117" s="182"/>
      <c r="DRK117" s="181"/>
      <c r="DRL117" s="182"/>
      <c r="DRM117" s="181"/>
      <c r="DRN117" s="182"/>
      <c r="DRO117" s="181"/>
      <c r="DRP117" s="182"/>
      <c r="DRQ117" s="181"/>
      <c r="DRR117" s="182"/>
      <c r="DRS117" s="181"/>
      <c r="DRT117" s="182"/>
      <c r="DRU117" s="181"/>
      <c r="DRV117" s="182"/>
      <c r="DRW117" s="181"/>
      <c r="DRX117" s="182"/>
      <c r="DRY117" s="181"/>
      <c r="DRZ117" s="182"/>
      <c r="DSA117" s="181"/>
      <c r="DSB117" s="182"/>
      <c r="DSC117" s="181"/>
      <c r="DSD117" s="182"/>
      <c r="DSE117" s="181"/>
      <c r="DSF117" s="182"/>
      <c r="DSG117" s="181"/>
      <c r="DSH117" s="182"/>
      <c r="DSI117" s="181"/>
      <c r="DSJ117" s="182"/>
      <c r="DSK117" s="181"/>
      <c r="DSL117" s="182"/>
      <c r="DSM117" s="181"/>
      <c r="DSN117" s="182"/>
      <c r="DSO117" s="181"/>
      <c r="DSP117" s="182"/>
      <c r="DSQ117" s="181"/>
      <c r="DSR117" s="182"/>
      <c r="DSS117" s="181"/>
      <c r="DST117" s="182"/>
      <c r="DSU117" s="181"/>
      <c r="DSV117" s="182"/>
      <c r="DSW117" s="181"/>
      <c r="DSX117" s="182"/>
      <c r="DSY117" s="181"/>
      <c r="DSZ117" s="182"/>
      <c r="DTA117" s="181"/>
      <c r="DTB117" s="182"/>
      <c r="DTC117" s="181"/>
      <c r="DTD117" s="182"/>
      <c r="DTE117" s="181"/>
      <c r="DTF117" s="182"/>
      <c r="DTG117" s="181"/>
      <c r="DTH117" s="182"/>
      <c r="DTI117" s="181"/>
      <c r="DTJ117" s="182"/>
      <c r="DTK117" s="181"/>
      <c r="DTL117" s="182"/>
      <c r="DTM117" s="181"/>
      <c r="DTN117" s="182"/>
      <c r="DTO117" s="181"/>
      <c r="DTP117" s="182"/>
      <c r="DTQ117" s="181"/>
      <c r="DTR117" s="182"/>
      <c r="DTS117" s="181"/>
      <c r="DTT117" s="182"/>
      <c r="DTU117" s="181"/>
      <c r="DTV117" s="182"/>
      <c r="DTW117" s="181"/>
      <c r="DTX117" s="182"/>
      <c r="DTY117" s="181"/>
      <c r="DTZ117" s="182"/>
      <c r="DUA117" s="181"/>
      <c r="DUB117" s="182"/>
      <c r="DUC117" s="181"/>
      <c r="DUD117" s="182"/>
      <c r="DUE117" s="181"/>
      <c r="DUF117" s="182"/>
      <c r="DUG117" s="181"/>
      <c r="DUH117" s="182"/>
      <c r="DUI117" s="181"/>
      <c r="DUJ117" s="182"/>
      <c r="DUK117" s="181"/>
      <c r="DUL117" s="182"/>
      <c r="DUM117" s="181"/>
      <c r="DUN117" s="182"/>
      <c r="DUO117" s="181"/>
      <c r="DUP117" s="182"/>
      <c r="DUQ117" s="181"/>
      <c r="DUR117" s="182"/>
      <c r="DUS117" s="181"/>
      <c r="DUT117" s="182"/>
      <c r="DUU117" s="181"/>
      <c r="DUV117" s="182"/>
      <c r="DUW117" s="181"/>
      <c r="DUX117" s="182"/>
      <c r="DUY117" s="181"/>
      <c r="DUZ117" s="182"/>
      <c r="DVA117" s="181"/>
      <c r="DVB117" s="182"/>
      <c r="DVC117" s="181"/>
      <c r="DVD117" s="182"/>
      <c r="DVE117" s="181"/>
      <c r="DVF117" s="182"/>
      <c r="DVG117" s="181"/>
      <c r="DVH117" s="182"/>
      <c r="DVI117" s="181"/>
      <c r="DVJ117" s="182"/>
      <c r="DVK117" s="181"/>
      <c r="DVL117" s="182"/>
      <c r="DVM117" s="181"/>
      <c r="DVN117" s="182"/>
      <c r="DVO117" s="181"/>
      <c r="DVP117" s="182"/>
      <c r="DVQ117" s="181"/>
      <c r="DVR117" s="182"/>
      <c r="DVS117" s="181"/>
      <c r="DVT117" s="182"/>
      <c r="DVU117" s="181"/>
      <c r="DVV117" s="182"/>
      <c r="DVW117" s="181"/>
      <c r="DVX117" s="182"/>
      <c r="DVY117" s="181"/>
      <c r="DVZ117" s="182"/>
      <c r="DWA117" s="181"/>
      <c r="DWB117" s="182"/>
      <c r="DWC117" s="181"/>
      <c r="DWD117" s="182"/>
      <c r="DWE117" s="181"/>
      <c r="DWF117" s="182"/>
      <c r="DWG117" s="181"/>
      <c r="DWH117" s="182"/>
      <c r="DWI117" s="181"/>
      <c r="DWJ117" s="182"/>
      <c r="DWK117" s="181"/>
      <c r="DWL117" s="182"/>
      <c r="DWM117" s="181"/>
      <c r="DWN117" s="182"/>
      <c r="DWO117" s="181"/>
      <c r="DWP117" s="182"/>
      <c r="DWQ117" s="181"/>
      <c r="DWR117" s="182"/>
      <c r="DWS117" s="181"/>
      <c r="DWT117" s="182"/>
      <c r="DWU117" s="181"/>
      <c r="DWV117" s="182"/>
      <c r="DWW117" s="181"/>
      <c r="DWX117" s="182"/>
      <c r="DWY117" s="181"/>
      <c r="DWZ117" s="182"/>
      <c r="DXA117" s="181"/>
      <c r="DXB117" s="182"/>
      <c r="DXC117" s="181"/>
      <c r="DXD117" s="182"/>
      <c r="DXE117" s="181"/>
      <c r="DXF117" s="182"/>
      <c r="DXG117" s="181"/>
      <c r="DXH117" s="182"/>
      <c r="DXI117" s="181"/>
      <c r="DXJ117" s="182"/>
      <c r="DXK117" s="181"/>
      <c r="DXL117" s="182"/>
      <c r="DXM117" s="181"/>
      <c r="DXN117" s="182"/>
      <c r="DXO117" s="181"/>
      <c r="DXP117" s="182"/>
      <c r="DXQ117" s="181"/>
      <c r="DXR117" s="182"/>
      <c r="DXS117" s="181"/>
      <c r="DXT117" s="182"/>
      <c r="DXU117" s="181"/>
      <c r="DXV117" s="182"/>
      <c r="DXW117" s="181"/>
      <c r="DXX117" s="182"/>
      <c r="DXY117" s="181"/>
      <c r="DXZ117" s="182"/>
      <c r="DYA117" s="181"/>
      <c r="DYB117" s="182"/>
      <c r="DYC117" s="181"/>
      <c r="DYD117" s="182"/>
      <c r="DYE117" s="181"/>
      <c r="DYF117" s="182"/>
      <c r="DYG117" s="181"/>
      <c r="DYH117" s="182"/>
      <c r="DYI117" s="181"/>
      <c r="DYJ117" s="182"/>
      <c r="DYK117" s="181"/>
      <c r="DYL117" s="182"/>
      <c r="DYM117" s="181"/>
      <c r="DYN117" s="182"/>
      <c r="DYO117" s="181"/>
      <c r="DYP117" s="182"/>
      <c r="DYQ117" s="181"/>
      <c r="DYR117" s="182"/>
      <c r="DYS117" s="181"/>
      <c r="DYT117" s="182"/>
      <c r="DYU117" s="181"/>
      <c r="DYV117" s="182"/>
      <c r="DYW117" s="181"/>
      <c r="DYX117" s="182"/>
      <c r="DYY117" s="181"/>
      <c r="DYZ117" s="182"/>
      <c r="DZA117" s="181"/>
      <c r="DZB117" s="182"/>
      <c r="DZC117" s="181"/>
      <c r="DZD117" s="182"/>
      <c r="DZE117" s="181"/>
      <c r="DZF117" s="182"/>
      <c r="DZG117" s="181"/>
      <c r="DZH117" s="182"/>
      <c r="DZI117" s="181"/>
      <c r="DZJ117" s="182"/>
      <c r="DZK117" s="181"/>
      <c r="DZL117" s="182"/>
      <c r="DZM117" s="181"/>
      <c r="DZN117" s="182"/>
      <c r="DZO117" s="181"/>
      <c r="DZP117" s="182"/>
      <c r="DZQ117" s="181"/>
      <c r="DZR117" s="182"/>
      <c r="DZS117" s="181"/>
      <c r="DZT117" s="182"/>
      <c r="DZU117" s="181"/>
      <c r="DZV117" s="182"/>
      <c r="DZW117" s="181"/>
      <c r="DZX117" s="182"/>
      <c r="DZY117" s="181"/>
      <c r="DZZ117" s="182"/>
      <c r="EAA117" s="181"/>
      <c r="EAB117" s="182"/>
      <c r="EAC117" s="181"/>
      <c r="EAD117" s="182"/>
      <c r="EAE117" s="181"/>
      <c r="EAF117" s="182"/>
      <c r="EAG117" s="181"/>
      <c r="EAH117" s="182"/>
      <c r="EAI117" s="181"/>
      <c r="EAJ117" s="182"/>
      <c r="EAK117" s="181"/>
      <c r="EAL117" s="182"/>
      <c r="EAM117" s="181"/>
      <c r="EAN117" s="182"/>
      <c r="EAO117" s="181"/>
      <c r="EAP117" s="182"/>
      <c r="EAQ117" s="181"/>
      <c r="EAR117" s="182"/>
      <c r="EAS117" s="181"/>
      <c r="EAT117" s="182"/>
      <c r="EAU117" s="181"/>
      <c r="EAV117" s="182"/>
      <c r="EAW117" s="181"/>
      <c r="EAX117" s="182"/>
      <c r="EAY117" s="181"/>
      <c r="EAZ117" s="182"/>
      <c r="EBA117" s="181"/>
      <c r="EBB117" s="182"/>
      <c r="EBC117" s="181"/>
      <c r="EBD117" s="182"/>
      <c r="EBE117" s="181"/>
      <c r="EBF117" s="182"/>
      <c r="EBG117" s="181"/>
      <c r="EBH117" s="182"/>
      <c r="EBI117" s="181"/>
      <c r="EBJ117" s="182"/>
      <c r="EBK117" s="181"/>
      <c r="EBL117" s="182"/>
      <c r="EBM117" s="181"/>
      <c r="EBN117" s="182"/>
      <c r="EBO117" s="181"/>
      <c r="EBP117" s="182"/>
      <c r="EBQ117" s="181"/>
      <c r="EBR117" s="182"/>
      <c r="EBS117" s="181"/>
      <c r="EBT117" s="182"/>
      <c r="EBU117" s="181"/>
      <c r="EBV117" s="182"/>
      <c r="EBW117" s="181"/>
      <c r="EBX117" s="182"/>
      <c r="EBY117" s="181"/>
      <c r="EBZ117" s="182"/>
      <c r="ECA117" s="181"/>
      <c r="ECB117" s="182"/>
      <c r="ECC117" s="181"/>
      <c r="ECD117" s="182"/>
      <c r="ECE117" s="181"/>
      <c r="ECF117" s="182"/>
      <c r="ECG117" s="181"/>
      <c r="ECH117" s="182"/>
      <c r="ECI117" s="181"/>
      <c r="ECJ117" s="182"/>
      <c r="ECK117" s="181"/>
      <c r="ECL117" s="182"/>
      <c r="ECM117" s="181"/>
      <c r="ECN117" s="182"/>
      <c r="ECO117" s="181"/>
      <c r="ECP117" s="182"/>
      <c r="ECQ117" s="181"/>
      <c r="ECR117" s="182"/>
      <c r="ECS117" s="181"/>
      <c r="ECT117" s="182"/>
      <c r="ECU117" s="181"/>
      <c r="ECV117" s="182"/>
      <c r="ECW117" s="181"/>
      <c r="ECX117" s="182"/>
      <c r="ECY117" s="181"/>
      <c r="ECZ117" s="182"/>
      <c r="EDA117" s="181"/>
      <c r="EDB117" s="182"/>
      <c r="EDC117" s="181"/>
      <c r="EDD117" s="182"/>
      <c r="EDE117" s="181"/>
      <c r="EDF117" s="182"/>
      <c r="EDG117" s="181"/>
      <c r="EDH117" s="182"/>
      <c r="EDI117" s="181"/>
      <c r="EDJ117" s="182"/>
      <c r="EDK117" s="181"/>
      <c r="EDL117" s="182"/>
      <c r="EDM117" s="181"/>
      <c r="EDN117" s="182"/>
      <c r="EDO117" s="181"/>
      <c r="EDP117" s="182"/>
      <c r="EDQ117" s="181"/>
      <c r="EDR117" s="182"/>
      <c r="EDS117" s="181"/>
      <c r="EDT117" s="182"/>
      <c r="EDU117" s="181"/>
      <c r="EDV117" s="182"/>
      <c r="EDW117" s="181"/>
      <c r="EDX117" s="182"/>
      <c r="EDY117" s="181"/>
      <c r="EDZ117" s="182"/>
      <c r="EEA117" s="181"/>
      <c r="EEB117" s="182"/>
      <c r="EEC117" s="181"/>
      <c r="EED117" s="182"/>
      <c r="EEE117" s="181"/>
      <c r="EEF117" s="182"/>
      <c r="EEG117" s="181"/>
      <c r="EEH117" s="182"/>
      <c r="EEI117" s="181"/>
      <c r="EEJ117" s="182"/>
      <c r="EEK117" s="181"/>
      <c r="EEL117" s="182"/>
      <c r="EEM117" s="181"/>
      <c r="EEN117" s="182"/>
      <c r="EEO117" s="181"/>
      <c r="EEP117" s="182"/>
      <c r="EEQ117" s="181"/>
      <c r="EER117" s="182"/>
      <c r="EES117" s="181"/>
      <c r="EET117" s="182"/>
      <c r="EEU117" s="181"/>
      <c r="EEV117" s="182"/>
      <c r="EEW117" s="181"/>
      <c r="EEX117" s="182"/>
      <c r="EEY117" s="181"/>
      <c r="EEZ117" s="182"/>
      <c r="EFA117" s="181"/>
      <c r="EFB117" s="182"/>
      <c r="EFC117" s="181"/>
      <c r="EFD117" s="182"/>
      <c r="EFE117" s="181"/>
      <c r="EFF117" s="182"/>
      <c r="EFG117" s="181"/>
      <c r="EFH117" s="182"/>
      <c r="EFI117" s="181"/>
      <c r="EFJ117" s="182"/>
      <c r="EFK117" s="181"/>
      <c r="EFL117" s="182"/>
      <c r="EFM117" s="181"/>
      <c r="EFN117" s="182"/>
      <c r="EFO117" s="181"/>
      <c r="EFP117" s="182"/>
      <c r="EFQ117" s="181"/>
      <c r="EFR117" s="182"/>
      <c r="EFS117" s="181"/>
      <c r="EFT117" s="182"/>
      <c r="EFU117" s="181"/>
      <c r="EFV117" s="182"/>
      <c r="EFW117" s="181"/>
      <c r="EFX117" s="182"/>
      <c r="EFY117" s="181"/>
      <c r="EFZ117" s="182"/>
      <c r="EGA117" s="181"/>
      <c r="EGB117" s="182"/>
      <c r="EGC117" s="181"/>
      <c r="EGD117" s="182"/>
      <c r="EGE117" s="181"/>
      <c r="EGF117" s="182"/>
      <c r="EGG117" s="181"/>
      <c r="EGH117" s="182"/>
      <c r="EGI117" s="181"/>
      <c r="EGJ117" s="182"/>
      <c r="EGK117" s="181"/>
      <c r="EGL117" s="182"/>
      <c r="EGM117" s="181"/>
      <c r="EGN117" s="182"/>
      <c r="EGO117" s="181"/>
      <c r="EGP117" s="182"/>
      <c r="EGQ117" s="181"/>
      <c r="EGR117" s="182"/>
      <c r="EGS117" s="181"/>
      <c r="EGT117" s="182"/>
      <c r="EGU117" s="181"/>
      <c r="EGV117" s="182"/>
      <c r="EGW117" s="181"/>
      <c r="EGX117" s="182"/>
      <c r="EGY117" s="181"/>
      <c r="EGZ117" s="182"/>
      <c r="EHA117" s="181"/>
      <c r="EHB117" s="182"/>
      <c r="EHC117" s="181"/>
      <c r="EHD117" s="182"/>
      <c r="EHE117" s="181"/>
      <c r="EHF117" s="182"/>
      <c r="EHG117" s="181"/>
      <c r="EHH117" s="182"/>
      <c r="EHI117" s="181"/>
      <c r="EHJ117" s="182"/>
      <c r="EHK117" s="181"/>
      <c r="EHL117" s="182"/>
      <c r="EHM117" s="181"/>
      <c r="EHN117" s="182"/>
      <c r="EHO117" s="181"/>
      <c r="EHP117" s="182"/>
      <c r="EHQ117" s="181"/>
      <c r="EHR117" s="182"/>
      <c r="EHS117" s="181"/>
      <c r="EHT117" s="182"/>
      <c r="EHU117" s="181"/>
      <c r="EHV117" s="182"/>
      <c r="EHW117" s="181"/>
      <c r="EHX117" s="182"/>
      <c r="EHY117" s="181"/>
      <c r="EHZ117" s="182"/>
      <c r="EIA117" s="181"/>
      <c r="EIB117" s="182"/>
      <c r="EIC117" s="181"/>
      <c r="EID117" s="182"/>
      <c r="EIE117" s="181"/>
      <c r="EIF117" s="182"/>
      <c r="EIG117" s="181"/>
      <c r="EIH117" s="182"/>
      <c r="EII117" s="181"/>
      <c r="EIJ117" s="182"/>
      <c r="EIK117" s="181"/>
      <c r="EIL117" s="182"/>
      <c r="EIM117" s="181"/>
      <c r="EIN117" s="182"/>
      <c r="EIO117" s="181"/>
      <c r="EIP117" s="182"/>
      <c r="EIQ117" s="181"/>
      <c r="EIR117" s="182"/>
      <c r="EIS117" s="181"/>
      <c r="EIT117" s="182"/>
      <c r="EIU117" s="181"/>
      <c r="EIV117" s="182"/>
      <c r="EIW117" s="181"/>
      <c r="EIX117" s="182"/>
      <c r="EIY117" s="181"/>
      <c r="EIZ117" s="182"/>
      <c r="EJA117" s="181"/>
      <c r="EJB117" s="182"/>
      <c r="EJC117" s="181"/>
      <c r="EJD117" s="182"/>
      <c r="EJE117" s="181"/>
      <c r="EJF117" s="182"/>
      <c r="EJG117" s="181"/>
      <c r="EJH117" s="182"/>
      <c r="EJI117" s="181"/>
      <c r="EJJ117" s="182"/>
      <c r="EJK117" s="181"/>
      <c r="EJL117" s="182"/>
      <c r="EJM117" s="181"/>
      <c r="EJN117" s="182"/>
      <c r="EJO117" s="181"/>
      <c r="EJP117" s="182"/>
      <c r="EJQ117" s="181"/>
      <c r="EJR117" s="182"/>
      <c r="EJS117" s="181"/>
      <c r="EJT117" s="182"/>
      <c r="EJU117" s="181"/>
      <c r="EJV117" s="182"/>
      <c r="EJW117" s="181"/>
      <c r="EJX117" s="182"/>
      <c r="EJY117" s="181"/>
      <c r="EJZ117" s="182"/>
      <c r="EKA117" s="181"/>
      <c r="EKB117" s="182"/>
      <c r="EKC117" s="181"/>
      <c r="EKD117" s="182"/>
      <c r="EKE117" s="181"/>
      <c r="EKF117" s="182"/>
      <c r="EKG117" s="181"/>
      <c r="EKH117" s="182"/>
      <c r="EKI117" s="181"/>
      <c r="EKJ117" s="182"/>
      <c r="EKK117" s="181"/>
      <c r="EKL117" s="182"/>
      <c r="EKM117" s="181"/>
      <c r="EKN117" s="182"/>
      <c r="EKO117" s="181"/>
      <c r="EKP117" s="182"/>
      <c r="EKQ117" s="181"/>
      <c r="EKR117" s="182"/>
      <c r="EKS117" s="181"/>
      <c r="EKT117" s="182"/>
      <c r="EKU117" s="181"/>
      <c r="EKV117" s="182"/>
      <c r="EKW117" s="181"/>
      <c r="EKX117" s="182"/>
      <c r="EKY117" s="181"/>
      <c r="EKZ117" s="182"/>
      <c r="ELA117" s="181"/>
      <c r="ELB117" s="182"/>
      <c r="ELC117" s="181"/>
      <c r="ELD117" s="182"/>
      <c r="ELE117" s="181"/>
      <c r="ELF117" s="182"/>
      <c r="ELG117" s="181"/>
      <c r="ELH117" s="182"/>
      <c r="ELI117" s="181"/>
      <c r="ELJ117" s="182"/>
      <c r="ELK117" s="181"/>
      <c r="ELL117" s="182"/>
      <c r="ELM117" s="181"/>
      <c r="ELN117" s="182"/>
      <c r="ELO117" s="181"/>
      <c r="ELP117" s="182"/>
      <c r="ELQ117" s="181"/>
      <c r="ELR117" s="182"/>
      <c r="ELS117" s="181"/>
      <c r="ELT117" s="182"/>
      <c r="ELU117" s="181"/>
      <c r="ELV117" s="182"/>
      <c r="ELW117" s="181"/>
      <c r="ELX117" s="182"/>
      <c r="ELY117" s="181"/>
      <c r="ELZ117" s="182"/>
      <c r="EMA117" s="181"/>
      <c r="EMB117" s="182"/>
      <c r="EMC117" s="181"/>
      <c r="EMD117" s="182"/>
      <c r="EME117" s="181"/>
      <c r="EMF117" s="182"/>
      <c r="EMG117" s="181"/>
      <c r="EMH117" s="182"/>
      <c r="EMI117" s="181"/>
      <c r="EMJ117" s="182"/>
      <c r="EMK117" s="181"/>
      <c r="EML117" s="182"/>
      <c r="EMM117" s="181"/>
      <c r="EMN117" s="182"/>
      <c r="EMO117" s="181"/>
      <c r="EMP117" s="182"/>
      <c r="EMQ117" s="181"/>
      <c r="EMR117" s="182"/>
      <c r="EMS117" s="181"/>
      <c r="EMT117" s="182"/>
      <c r="EMU117" s="181"/>
      <c r="EMV117" s="182"/>
      <c r="EMW117" s="181"/>
      <c r="EMX117" s="182"/>
      <c r="EMY117" s="181"/>
      <c r="EMZ117" s="182"/>
      <c r="ENA117" s="181"/>
      <c r="ENB117" s="182"/>
      <c r="ENC117" s="181"/>
      <c r="END117" s="182"/>
      <c r="ENE117" s="181"/>
      <c r="ENF117" s="182"/>
      <c r="ENG117" s="181"/>
      <c r="ENH117" s="182"/>
      <c r="ENI117" s="181"/>
      <c r="ENJ117" s="182"/>
      <c r="ENK117" s="181"/>
      <c r="ENL117" s="182"/>
      <c r="ENM117" s="181"/>
      <c r="ENN117" s="182"/>
      <c r="ENO117" s="181"/>
      <c r="ENP117" s="182"/>
      <c r="ENQ117" s="181"/>
      <c r="ENR117" s="182"/>
      <c r="ENS117" s="181"/>
      <c r="ENT117" s="182"/>
      <c r="ENU117" s="181"/>
      <c r="ENV117" s="182"/>
      <c r="ENW117" s="181"/>
      <c r="ENX117" s="182"/>
      <c r="ENY117" s="181"/>
      <c r="ENZ117" s="182"/>
      <c r="EOA117" s="181"/>
      <c r="EOB117" s="182"/>
      <c r="EOC117" s="181"/>
      <c r="EOD117" s="182"/>
      <c r="EOE117" s="181"/>
      <c r="EOF117" s="182"/>
      <c r="EOG117" s="181"/>
      <c r="EOH117" s="182"/>
      <c r="EOI117" s="181"/>
      <c r="EOJ117" s="182"/>
      <c r="EOK117" s="181"/>
      <c r="EOL117" s="182"/>
      <c r="EOM117" s="181"/>
      <c r="EON117" s="182"/>
      <c r="EOO117" s="181"/>
      <c r="EOP117" s="182"/>
      <c r="EOQ117" s="181"/>
      <c r="EOR117" s="182"/>
      <c r="EOS117" s="181"/>
      <c r="EOT117" s="182"/>
      <c r="EOU117" s="181"/>
      <c r="EOV117" s="182"/>
      <c r="EOW117" s="181"/>
      <c r="EOX117" s="182"/>
      <c r="EOY117" s="181"/>
      <c r="EOZ117" s="182"/>
      <c r="EPA117" s="181"/>
      <c r="EPB117" s="182"/>
      <c r="EPC117" s="181"/>
      <c r="EPD117" s="182"/>
      <c r="EPE117" s="181"/>
      <c r="EPF117" s="182"/>
      <c r="EPG117" s="181"/>
      <c r="EPH117" s="182"/>
      <c r="EPI117" s="181"/>
      <c r="EPJ117" s="182"/>
      <c r="EPK117" s="181"/>
      <c r="EPL117" s="182"/>
      <c r="EPM117" s="181"/>
      <c r="EPN117" s="182"/>
      <c r="EPO117" s="181"/>
      <c r="EPP117" s="182"/>
      <c r="EPQ117" s="181"/>
      <c r="EPR117" s="182"/>
      <c r="EPS117" s="181"/>
      <c r="EPT117" s="182"/>
      <c r="EPU117" s="181"/>
      <c r="EPV117" s="182"/>
      <c r="EPW117" s="181"/>
      <c r="EPX117" s="182"/>
      <c r="EPY117" s="181"/>
      <c r="EPZ117" s="182"/>
      <c r="EQA117" s="181"/>
      <c r="EQB117" s="182"/>
      <c r="EQC117" s="181"/>
      <c r="EQD117" s="182"/>
      <c r="EQE117" s="181"/>
      <c r="EQF117" s="182"/>
      <c r="EQG117" s="181"/>
      <c r="EQH117" s="182"/>
      <c r="EQI117" s="181"/>
      <c r="EQJ117" s="182"/>
      <c r="EQK117" s="181"/>
      <c r="EQL117" s="182"/>
      <c r="EQM117" s="181"/>
      <c r="EQN117" s="182"/>
      <c r="EQO117" s="181"/>
      <c r="EQP117" s="182"/>
      <c r="EQQ117" s="181"/>
      <c r="EQR117" s="182"/>
      <c r="EQS117" s="181"/>
      <c r="EQT117" s="182"/>
      <c r="EQU117" s="181"/>
      <c r="EQV117" s="182"/>
      <c r="EQW117" s="181"/>
      <c r="EQX117" s="182"/>
      <c r="EQY117" s="181"/>
      <c r="EQZ117" s="182"/>
      <c r="ERA117" s="181"/>
      <c r="ERB117" s="182"/>
      <c r="ERC117" s="181"/>
      <c r="ERD117" s="182"/>
      <c r="ERE117" s="181"/>
      <c r="ERF117" s="182"/>
      <c r="ERG117" s="181"/>
      <c r="ERH117" s="182"/>
      <c r="ERI117" s="181"/>
      <c r="ERJ117" s="182"/>
      <c r="ERK117" s="181"/>
      <c r="ERL117" s="182"/>
      <c r="ERM117" s="181"/>
      <c r="ERN117" s="182"/>
      <c r="ERO117" s="181"/>
      <c r="ERP117" s="182"/>
      <c r="ERQ117" s="181"/>
      <c r="ERR117" s="182"/>
      <c r="ERS117" s="181"/>
      <c r="ERT117" s="182"/>
      <c r="ERU117" s="181"/>
      <c r="ERV117" s="182"/>
      <c r="ERW117" s="181"/>
      <c r="ERX117" s="182"/>
      <c r="ERY117" s="181"/>
      <c r="ERZ117" s="182"/>
      <c r="ESA117" s="181"/>
      <c r="ESB117" s="182"/>
      <c r="ESC117" s="181"/>
      <c r="ESD117" s="182"/>
      <c r="ESE117" s="181"/>
      <c r="ESF117" s="182"/>
      <c r="ESG117" s="181"/>
      <c r="ESH117" s="182"/>
      <c r="ESI117" s="181"/>
      <c r="ESJ117" s="182"/>
      <c r="ESK117" s="181"/>
      <c r="ESL117" s="182"/>
      <c r="ESM117" s="181"/>
      <c r="ESN117" s="182"/>
      <c r="ESO117" s="181"/>
      <c r="ESP117" s="182"/>
      <c r="ESQ117" s="181"/>
      <c r="ESR117" s="182"/>
      <c r="ESS117" s="181"/>
      <c r="EST117" s="182"/>
      <c r="ESU117" s="181"/>
      <c r="ESV117" s="182"/>
      <c r="ESW117" s="181"/>
      <c r="ESX117" s="182"/>
      <c r="ESY117" s="181"/>
      <c r="ESZ117" s="182"/>
      <c r="ETA117" s="181"/>
      <c r="ETB117" s="182"/>
      <c r="ETC117" s="181"/>
      <c r="ETD117" s="182"/>
      <c r="ETE117" s="181"/>
      <c r="ETF117" s="182"/>
      <c r="ETG117" s="181"/>
      <c r="ETH117" s="182"/>
      <c r="ETI117" s="181"/>
      <c r="ETJ117" s="182"/>
      <c r="ETK117" s="181"/>
      <c r="ETL117" s="182"/>
      <c r="ETM117" s="181"/>
      <c r="ETN117" s="182"/>
      <c r="ETO117" s="181"/>
      <c r="ETP117" s="182"/>
      <c r="ETQ117" s="181"/>
      <c r="ETR117" s="182"/>
      <c r="ETS117" s="181"/>
      <c r="ETT117" s="182"/>
      <c r="ETU117" s="181"/>
      <c r="ETV117" s="182"/>
      <c r="ETW117" s="181"/>
      <c r="ETX117" s="182"/>
      <c r="ETY117" s="181"/>
      <c r="ETZ117" s="182"/>
      <c r="EUA117" s="181"/>
      <c r="EUB117" s="182"/>
      <c r="EUC117" s="181"/>
      <c r="EUD117" s="182"/>
      <c r="EUE117" s="181"/>
      <c r="EUF117" s="182"/>
      <c r="EUG117" s="181"/>
      <c r="EUH117" s="182"/>
      <c r="EUI117" s="181"/>
      <c r="EUJ117" s="182"/>
      <c r="EUK117" s="181"/>
      <c r="EUL117" s="182"/>
      <c r="EUM117" s="181"/>
      <c r="EUN117" s="182"/>
      <c r="EUO117" s="181"/>
      <c r="EUP117" s="182"/>
      <c r="EUQ117" s="181"/>
      <c r="EUR117" s="182"/>
      <c r="EUS117" s="181"/>
      <c r="EUT117" s="182"/>
      <c r="EUU117" s="181"/>
      <c r="EUV117" s="182"/>
      <c r="EUW117" s="181"/>
      <c r="EUX117" s="182"/>
      <c r="EUY117" s="181"/>
      <c r="EUZ117" s="182"/>
      <c r="EVA117" s="181"/>
      <c r="EVB117" s="182"/>
      <c r="EVC117" s="181"/>
      <c r="EVD117" s="182"/>
      <c r="EVE117" s="181"/>
      <c r="EVF117" s="182"/>
      <c r="EVG117" s="181"/>
      <c r="EVH117" s="182"/>
      <c r="EVI117" s="181"/>
      <c r="EVJ117" s="182"/>
      <c r="EVK117" s="181"/>
      <c r="EVL117" s="182"/>
      <c r="EVM117" s="181"/>
      <c r="EVN117" s="182"/>
      <c r="EVO117" s="181"/>
      <c r="EVP117" s="182"/>
      <c r="EVQ117" s="181"/>
      <c r="EVR117" s="182"/>
      <c r="EVS117" s="181"/>
      <c r="EVT117" s="182"/>
      <c r="EVU117" s="181"/>
      <c r="EVV117" s="182"/>
      <c r="EVW117" s="181"/>
      <c r="EVX117" s="182"/>
      <c r="EVY117" s="181"/>
      <c r="EVZ117" s="182"/>
      <c r="EWA117" s="181"/>
      <c r="EWB117" s="182"/>
      <c r="EWC117" s="181"/>
      <c r="EWD117" s="182"/>
      <c r="EWE117" s="181"/>
      <c r="EWF117" s="182"/>
      <c r="EWG117" s="181"/>
      <c r="EWH117" s="182"/>
      <c r="EWI117" s="181"/>
      <c r="EWJ117" s="182"/>
      <c r="EWK117" s="181"/>
      <c r="EWL117" s="182"/>
      <c r="EWM117" s="181"/>
      <c r="EWN117" s="182"/>
      <c r="EWO117" s="181"/>
      <c r="EWP117" s="182"/>
      <c r="EWQ117" s="181"/>
      <c r="EWR117" s="182"/>
      <c r="EWS117" s="181"/>
      <c r="EWT117" s="182"/>
      <c r="EWU117" s="181"/>
      <c r="EWV117" s="182"/>
      <c r="EWW117" s="181"/>
      <c r="EWX117" s="182"/>
      <c r="EWY117" s="181"/>
      <c r="EWZ117" s="182"/>
      <c r="EXA117" s="181"/>
      <c r="EXB117" s="182"/>
      <c r="EXC117" s="181"/>
      <c r="EXD117" s="182"/>
      <c r="EXE117" s="181"/>
      <c r="EXF117" s="182"/>
      <c r="EXG117" s="181"/>
      <c r="EXH117" s="182"/>
      <c r="EXI117" s="181"/>
      <c r="EXJ117" s="182"/>
      <c r="EXK117" s="181"/>
      <c r="EXL117" s="182"/>
      <c r="EXM117" s="181"/>
      <c r="EXN117" s="182"/>
      <c r="EXO117" s="181"/>
      <c r="EXP117" s="182"/>
      <c r="EXQ117" s="181"/>
      <c r="EXR117" s="182"/>
      <c r="EXS117" s="181"/>
      <c r="EXT117" s="182"/>
      <c r="EXU117" s="181"/>
      <c r="EXV117" s="182"/>
      <c r="EXW117" s="181"/>
      <c r="EXX117" s="182"/>
      <c r="EXY117" s="181"/>
      <c r="EXZ117" s="182"/>
      <c r="EYA117" s="181"/>
      <c r="EYB117" s="182"/>
      <c r="EYC117" s="181"/>
      <c r="EYD117" s="182"/>
      <c r="EYE117" s="181"/>
      <c r="EYF117" s="182"/>
      <c r="EYG117" s="181"/>
      <c r="EYH117" s="182"/>
      <c r="EYI117" s="181"/>
      <c r="EYJ117" s="182"/>
      <c r="EYK117" s="181"/>
      <c r="EYL117" s="182"/>
      <c r="EYM117" s="181"/>
      <c r="EYN117" s="182"/>
      <c r="EYO117" s="181"/>
      <c r="EYP117" s="182"/>
      <c r="EYQ117" s="181"/>
      <c r="EYR117" s="182"/>
      <c r="EYS117" s="181"/>
      <c r="EYT117" s="182"/>
      <c r="EYU117" s="181"/>
      <c r="EYV117" s="182"/>
      <c r="EYW117" s="181"/>
      <c r="EYX117" s="182"/>
      <c r="EYY117" s="181"/>
      <c r="EYZ117" s="182"/>
      <c r="EZA117" s="181"/>
      <c r="EZB117" s="182"/>
      <c r="EZC117" s="181"/>
      <c r="EZD117" s="182"/>
      <c r="EZE117" s="181"/>
      <c r="EZF117" s="182"/>
      <c r="EZG117" s="181"/>
      <c r="EZH117" s="182"/>
      <c r="EZI117" s="181"/>
      <c r="EZJ117" s="182"/>
      <c r="EZK117" s="181"/>
      <c r="EZL117" s="182"/>
      <c r="EZM117" s="181"/>
      <c r="EZN117" s="182"/>
      <c r="EZO117" s="181"/>
      <c r="EZP117" s="182"/>
      <c r="EZQ117" s="181"/>
      <c r="EZR117" s="182"/>
      <c r="EZS117" s="181"/>
      <c r="EZT117" s="182"/>
      <c r="EZU117" s="181"/>
      <c r="EZV117" s="182"/>
      <c r="EZW117" s="181"/>
      <c r="EZX117" s="182"/>
      <c r="EZY117" s="181"/>
      <c r="EZZ117" s="182"/>
      <c r="FAA117" s="181"/>
      <c r="FAB117" s="182"/>
      <c r="FAC117" s="181"/>
      <c r="FAD117" s="182"/>
      <c r="FAE117" s="181"/>
      <c r="FAF117" s="182"/>
      <c r="FAG117" s="181"/>
      <c r="FAH117" s="182"/>
      <c r="FAI117" s="181"/>
      <c r="FAJ117" s="182"/>
      <c r="FAK117" s="181"/>
      <c r="FAL117" s="182"/>
      <c r="FAM117" s="181"/>
      <c r="FAN117" s="182"/>
      <c r="FAO117" s="181"/>
      <c r="FAP117" s="182"/>
      <c r="FAQ117" s="181"/>
      <c r="FAR117" s="182"/>
      <c r="FAS117" s="181"/>
      <c r="FAT117" s="182"/>
      <c r="FAU117" s="181"/>
      <c r="FAV117" s="182"/>
      <c r="FAW117" s="181"/>
      <c r="FAX117" s="182"/>
      <c r="FAY117" s="181"/>
      <c r="FAZ117" s="182"/>
      <c r="FBA117" s="181"/>
      <c r="FBB117" s="182"/>
      <c r="FBC117" s="181"/>
      <c r="FBD117" s="182"/>
      <c r="FBE117" s="181"/>
      <c r="FBF117" s="182"/>
      <c r="FBG117" s="181"/>
      <c r="FBH117" s="182"/>
      <c r="FBI117" s="181"/>
      <c r="FBJ117" s="182"/>
      <c r="FBK117" s="181"/>
      <c r="FBL117" s="182"/>
      <c r="FBM117" s="181"/>
      <c r="FBN117" s="182"/>
      <c r="FBO117" s="181"/>
      <c r="FBP117" s="182"/>
      <c r="FBQ117" s="181"/>
      <c r="FBR117" s="182"/>
      <c r="FBS117" s="181"/>
      <c r="FBT117" s="182"/>
      <c r="FBU117" s="181"/>
      <c r="FBV117" s="182"/>
      <c r="FBW117" s="181"/>
      <c r="FBX117" s="182"/>
      <c r="FBY117" s="181"/>
      <c r="FBZ117" s="182"/>
      <c r="FCA117" s="181"/>
      <c r="FCB117" s="182"/>
      <c r="FCC117" s="181"/>
      <c r="FCD117" s="182"/>
      <c r="FCE117" s="181"/>
      <c r="FCF117" s="182"/>
      <c r="FCG117" s="181"/>
      <c r="FCH117" s="182"/>
      <c r="FCI117" s="181"/>
      <c r="FCJ117" s="182"/>
      <c r="FCK117" s="181"/>
      <c r="FCL117" s="182"/>
      <c r="FCM117" s="181"/>
      <c r="FCN117" s="182"/>
      <c r="FCO117" s="181"/>
      <c r="FCP117" s="182"/>
      <c r="FCQ117" s="181"/>
      <c r="FCR117" s="182"/>
      <c r="FCS117" s="181"/>
      <c r="FCT117" s="182"/>
      <c r="FCU117" s="181"/>
      <c r="FCV117" s="182"/>
      <c r="FCW117" s="181"/>
      <c r="FCX117" s="182"/>
      <c r="FCY117" s="181"/>
      <c r="FCZ117" s="182"/>
      <c r="FDA117" s="181"/>
      <c r="FDB117" s="182"/>
      <c r="FDC117" s="181"/>
      <c r="FDD117" s="182"/>
      <c r="FDE117" s="181"/>
      <c r="FDF117" s="182"/>
      <c r="FDG117" s="181"/>
      <c r="FDH117" s="182"/>
      <c r="FDI117" s="181"/>
      <c r="FDJ117" s="182"/>
      <c r="FDK117" s="181"/>
      <c r="FDL117" s="182"/>
      <c r="FDM117" s="181"/>
      <c r="FDN117" s="182"/>
      <c r="FDO117" s="181"/>
      <c r="FDP117" s="182"/>
      <c r="FDQ117" s="181"/>
      <c r="FDR117" s="182"/>
      <c r="FDS117" s="181"/>
      <c r="FDT117" s="182"/>
      <c r="FDU117" s="181"/>
      <c r="FDV117" s="182"/>
      <c r="FDW117" s="181"/>
      <c r="FDX117" s="182"/>
      <c r="FDY117" s="181"/>
      <c r="FDZ117" s="182"/>
      <c r="FEA117" s="181"/>
      <c r="FEB117" s="182"/>
      <c r="FEC117" s="181"/>
      <c r="FED117" s="182"/>
      <c r="FEE117" s="181"/>
      <c r="FEF117" s="182"/>
      <c r="FEG117" s="181"/>
      <c r="FEH117" s="182"/>
      <c r="FEI117" s="181"/>
      <c r="FEJ117" s="182"/>
      <c r="FEK117" s="181"/>
      <c r="FEL117" s="182"/>
      <c r="FEM117" s="181"/>
      <c r="FEN117" s="182"/>
      <c r="FEO117" s="181"/>
      <c r="FEP117" s="182"/>
      <c r="FEQ117" s="181"/>
      <c r="FER117" s="182"/>
      <c r="FES117" s="181"/>
      <c r="FET117" s="182"/>
      <c r="FEU117" s="181"/>
      <c r="FEV117" s="182"/>
      <c r="FEW117" s="181"/>
      <c r="FEX117" s="182"/>
      <c r="FEY117" s="181"/>
      <c r="FEZ117" s="182"/>
      <c r="FFA117" s="181"/>
      <c r="FFB117" s="182"/>
      <c r="FFC117" s="181"/>
      <c r="FFD117" s="182"/>
      <c r="FFE117" s="181"/>
      <c r="FFF117" s="182"/>
      <c r="FFG117" s="181"/>
      <c r="FFH117" s="182"/>
      <c r="FFI117" s="181"/>
      <c r="FFJ117" s="182"/>
      <c r="FFK117" s="181"/>
      <c r="FFL117" s="182"/>
      <c r="FFM117" s="181"/>
      <c r="FFN117" s="182"/>
      <c r="FFO117" s="181"/>
      <c r="FFP117" s="182"/>
      <c r="FFQ117" s="181"/>
      <c r="FFR117" s="182"/>
      <c r="FFS117" s="181"/>
      <c r="FFT117" s="182"/>
      <c r="FFU117" s="181"/>
      <c r="FFV117" s="182"/>
      <c r="FFW117" s="181"/>
      <c r="FFX117" s="182"/>
      <c r="FFY117" s="181"/>
      <c r="FFZ117" s="182"/>
      <c r="FGA117" s="181"/>
      <c r="FGB117" s="182"/>
      <c r="FGC117" s="181"/>
      <c r="FGD117" s="182"/>
      <c r="FGE117" s="181"/>
      <c r="FGF117" s="182"/>
      <c r="FGG117" s="181"/>
      <c r="FGH117" s="182"/>
      <c r="FGI117" s="181"/>
      <c r="FGJ117" s="182"/>
      <c r="FGK117" s="181"/>
      <c r="FGL117" s="182"/>
      <c r="FGM117" s="181"/>
      <c r="FGN117" s="182"/>
      <c r="FGO117" s="181"/>
      <c r="FGP117" s="182"/>
      <c r="FGQ117" s="181"/>
      <c r="FGR117" s="182"/>
      <c r="FGS117" s="181"/>
      <c r="FGT117" s="182"/>
      <c r="FGU117" s="181"/>
      <c r="FGV117" s="182"/>
      <c r="FGW117" s="181"/>
      <c r="FGX117" s="182"/>
      <c r="FGY117" s="181"/>
      <c r="FGZ117" s="182"/>
      <c r="FHA117" s="181"/>
      <c r="FHB117" s="182"/>
      <c r="FHC117" s="181"/>
      <c r="FHD117" s="182"/>
      <c r="FHE117" s="181"/>
      <c r="FHF117" s="182"/>
      <c r="FHG117" s="181"/>
      <c r="FHH117" s="182"/>
      <c r="FHI117" s="181"/>
      <c r="FHJ117" s="182"/>
      <c r="FHK117" s="181"/>
      <c r="FHL117" s="182"/>
      <c r="FHM117" s="181"/>
      <c r="FHN117" s="182"/>
      <c r="FHO117" s="181"/>
      <c r="FHP117" s="182"/>
      <c r="FHQ117" s="181"/>
      <c r="FHR117" s="182"/>
      <c r="FHS117" s="181"/>
      <c r="FHT117" s="182"/>
      <c r="FHU117" s="181"/>
      <c r="FHV117" s="182"/>
      <c r="FHW117" s="181"/>
      <c r="FHX117" s="182"/>
      <c r="FHY117" s="181"/>
      <c r="FHZ117" s="182"/>
      <c r="FIA117" s="181"/>
      <c r="FIB117" s="182"/>
      <c r="FIC117" s="181"/>
      <c r="FID117" s="182"/>
      <c r="FIE117" s="181"/>
      <c r="FIF117" s="182"/>
      <c r="FIG117" s="181"/>
      <c r="FIH117" s="182"/>
      <c r="FII117" s="181"/>
      <c r="FIJ117" s="182"/>
      <c r="FIK117" s="181"/>
      <c r="FIL117" s="182"/>
      <c r="FIM117" s="181"/>
      <c r="FIN117" s="182"/>
      <c r="FIO117" s="181"/>
      <c r="FIP117" s="182"/>
      <c r="FIQ117" s="181"/>
      <c r="FIR117" s="182"/>
      <c r="FIS117" s="181"/>
      <c r="FIT117" s="182"/>
      <c r="FIU117" s="181"/>
      <c r="FIV117" s="182"/>
      <c r="FIW117" s="181"/>
      <c r="FIX117" s="182"/>
      <c r="FIY117" s="181"/>
      <c r="FIZ117" s="182"/>
      <c r="FJA117" s="181"/>
      <c r="FJB117" s="182"/>
      <c r="FJC117" s="181"/>
      <c r="FJD117" s="182"/>
      <c r="FJE117" s="181"/>
      <c r="FJF117" s="182"/>
      <c r="FJG117" s="181"/>
      <c r="FJH117" s="182"/>
      <c r="FJI117" s="181"/>
      <c r="FJJ117" s="182"/>
      <c r="FJK117" s="181"/>
      <c r="FJL117" s="182"/>
      <c r="FJM117" s="181"/>
      <c r="FJN117" s="182"/>
      <c r="FJO117" s="181"/>
      <c r="FJP117" s="182"/>
      <c r="FJQ117" s="181"/>
      <c r="FJR117" s="182"/>
      <c r="FJS117" s="181"/>
      <c r="FJT117" s="182"/>
      <c r="FJU117" s="181"/>
      <c r="FJV117" s="182"/>
      <c r="FJW117" s="181"/>
      <c r="FJX117" s="182"/>
      <c r="FJY117" s="181"/>
      <c r="FJZ117" s="182"/>
      <c r="FKA117" s="181"/>
      <c r="FKB117" s="182"/>
      <c r="FKC117" s="181"/>
      <c r="FKD117" s="182"/>
      <c r="FKE117" s="181"/>
      <c r="FKF117" s="182"/>
      <c r="FKG117" s="181"/>
      <c r="FKH117" s="182"/>
      <c r="FKI117" s="181"/>
      <c r="FKJ117" s="182"/>
      <c r="FKK117" s="181"/>
      <c r="FKL117" s="182"/>
      <c r="FKM117" s="181"/>
      <c r="FKN117" s="182"/>
      <c r="FKO117" s="181"/>
      <c r="FKP117" s="182"/>
      <c r="FKQ117" s="181"/>
      <c r="FKR117" s="182"/>
      <c r="FKS117" s="181"/>
      <c r="FKT117" s="182"/>
      <c r="FKU117" s="181"/>
      <c r="FKV117" s="182"/>
      <c r="FKW117" s="181"/>
      <c r="FKX117" s="182"/>
      <c r="FKY117" s="181"/>
      <c r="FKZ117" s="182"/>
      <c r="FLA117" s="181"/>
      <c r="FLB117" s="182"/>
      <c r="FLC117" s="181"/>
      <c r="FLD117" s="182"/>
      <c r="FLE117" s="181"/>
      <c r="FLF117" s="182"/>
      <c r="FLG117" s="181"/>
      <c r="FLH117" s="182"/>
      <c r="FLI117" s="181"/>
      <c r="FLJ117" s="182"/>
      <c r="FLK117" s="181"/>
      <c r="FLL117" s="182"/>
      <c r="FLM117" s="181"/>
      <c r="FLN117" s="182"/>
      <c r="FLO117" s="181"/>
      <c r="FLP117" s="182"/>
      <c r="FLQ117" s="181"/>
      <c r="FLR117" s="182"/>
      <c r="FLS117" s="181"/>
      <c r="FLT117" s="182"/>
      <c r="FLU117" s="181"/>
      <c r="FLV117" s="182"/>
      <c r="FLW117" s="181"/>
      <c r="FLX117" s="182"/>
      <c r="FLY117" s="181"/>
      <c r="FLZ117" s="182"/>
      <c r="FMA117" s="181"/>
      <c r="FMB117" s="182"/>
      <c r="FMC117" s="181"/>
      <c r="FMD117" s="182"/>
      <c r="FME117" s="181"/>
      <c r="FMF117" s="182"/>
      <c r="FMG117" s="181"/>
      <c r="FMH117" s="182"/>
      <c r="FMI117" s="181"/>
      <c r="FMJ117" s="182"/>
      <c r="FMK117" s="181"/>
      <c r="FML117" s="182"/>
      <c r="FMM117" s="181"/>
      <c r="FMN117" s="182"/>
      <c r="FMO117" s="181"/>
      <c r="FMP117" s="182"/>
      <c r="FMQ117" s="181"/>
      <c r="FMR117" s="182"/>
      <c r="FMS117" s="181"/>
      <c r="FMT117" s="182"/>
      <c r="FMU117" s="181"/>
      <c r="FMV117" s="182"/>
      <c r="FMW117" s="181"/>
      <c r="FMX117" s="182"/>
      <c r="FMY117" s="181"/>
      <c r="FMZ117" s="182"/>
      <c r="FNA117" s="181"/>
      <c r="FNB117" s="182"/>
      <c r="FNC117" s="181"/>
      <c r="FND117" s="182"/>
      <c r="FNE117" s="181"/>
      <c r="FNF117" s="182"/>
      <c r="FNG117" s="181"/>
      <c r="FNH117" s="182"/>
      <c r="FNI117" s="181"/>
      <c r="FNJ117" s="182"/>
      <c r="FNK117" s="181"/>
      <c r="FNL117" s="182"/>
      <c r="FNM117" s="181"/>
      <c r="FNN117" s="182"/>
      <c r="FNO117" s="181"/>
      <c r="FNP117" s="182"/>
      <c r="FNQ117" s="181"/>
      <c r="FNR117" s="182"/>
      <c r="FNS117" s="181"/>
      <c r="FNT117" s="182"/>
      <c r="FNU117" s="181"/>
      <c r="FNV117" s="182"/>
      <c r="FNW117" s="181"/>
      <c r="FNX117" s="182"/>
      <c r="FNY117" s="181"/>
      <c r="FNZ117" s="182"/>
      <c r="FOA117" s="181"/>
      <c r="FOB117" s="182"/>
      <c r="FOC117" s="181"/>
      <c r="FOD117" s="182"/>
      <c r="FOE117" s="181"/>
      <c r="FOF117" s="182"/>
      <c r="FOG117" s="181"/>
      <c r="FOH117" s="182"/>
      <c r="FOI117" s="181"/>
      <c r="FOJ117" s="182"/>
      <c r="FOK117" s="181"/>
      <c r="FOL117" s="182"/>
      <c r="FOM117" s="181"/>
      <c r="FON117" s="182"/>
      <c r="FOO117" s="181"/>
      <c r="FOP117" s="182"/>
      <c r="FOQ117" s="181"/>
      <c r="FOR117" s="182"/>
      <c r="FOS117" s="181"/>
      <c r="FOT117" s="182"/>
      <c r="FOU117" s="181"/>
      <c r="FOV117" s="182"/>
      <c r="FOW117" s="181"/>
      <c r="FOX117" s="182"/>
      <c r="FOY117" s="181"/>
      <c r="FOZ117" s="182"/>
      <c r="FPA117" s="181"/>
      <c r="FPB117" s="182"/>
      <c r="FPC117" s="181"/>
      <c r="FPD117" s="182"/>
      <c r="FPE117" s="181"/>
      <c r="FPF117" s="182"/>
      <c r="FPG117" s="181"/>
      <c r="FPH117" s="182"/>
      <c r="FPI117" s="181"/>
      <c r="FPJ117" s="182"/>
      <c r="FPK117" s="181"/>
      <c r="FPL117" s="182"/>
      <c r="FPM117" s="181"/>
      <c r="FPN117" s="182"/>
      <c r="FPO117" s="181"/>
      <c r="FPP117" s="182"/>
      <c r="FPQ117" s="181"/>
      <c r="FPR117" s="182"/>
      <c r="FPS117" s="181"/>
      <c r="FPT117" s="182"/>
      <c r="FPU117" s="181"/>
      <c r="FPV117" s="182"/>
      <c r="FPW117" s="181"/>
      <c r="FPX117" s="182"/>
      <c r="FPY117" s="181"/>
      <c r="FPZ117" s="182"/>
      <c r="FQA117" s="181"/>
      <c r="FQB117" s="182"/>
      <c r="FQC117" s="181"/>
      <c r="FQD117" s="182"/>
      <c r="FQE117" s="181"/>
      <c r="FQF117" s="182"/>
      <c r="FQG117" s="181"/>
      <c r="FQH117" s="182"/>
      <c r="FQI117" s="181"/>
      <c r="FQJ117" s="182"/>
      <c r="FQK117" s="181"/>
      <c r="FQL117" s="182"/>
      <c r="FQM117" s="181"/>
      <c r="FQN117" s="182"/>
      <c r="FQO117" s="181"/>
      <c r="FQP117" s="182"/>
      <c r="FQQ117" s="181"/>
      <c r="FQR117" s="182"/>
      <c r="FQS117" s="181"/>
      <c r="FQT117" s="182"/>
      <c r="FQU117" s="181"/>
      <c r="FQV117" s="182"/>
      <c r="FQW117" s="181"/>
      <c r="FQX117" s="182"/>
      <c r="FQY117" s="181"/>
      <c r="FQZ117" s="182"/>
      <c r="FRA117" s="181"/>
      <c r="FRB117" s="182"/>
      <c r="FRC117" s="181"/>
      <c r="FRD117" s="182"/>
      <c r="FRE117" s="181"/>
      <c r="FRF117" s="182"/>
      <c r="FRG117" s="181"/>
      <c r="FRH117" s="182"/>
      <c r="FRI117" s="181"/>
      <c r="FRJ117" s="182"/>
      <c r="FRK117" s="181"/>
      <c r="FRL117" s="182"/>
      <c r="FRM117" s="181"/>
      <c r="FRN117" s="182"/>
      <c r="FRO117" s="181"/>
      <c r="FRP117" s="182"/>
      <c r="FRQ117" s="181"/>
      <c r="FRR117" s="182"/>
      <c r="FRS117" s="181"/>
      <c r="FRT117" s="182"/>
      <c r="FRU117" s="181"/>
      <c r="FRV117" s="182"/>
      <c r="FRW117" s="181"/>
      <c r="FRX117" s="182"/>
      <c r="FRY117" s="181"/>
      <c r="FRZ117" s="182"/>
      <c r="FSA117" s="181"/>
      <c r="FSB117" s="182"/>
      <c r="FSC117" s="181"/>
      <c r="FSD117" s="182"/>
      <c r="FSE117" s="181"/>
      <c r="FSF117" s="182"/>
      <c r="FSG117" s="181"/>
      <c r="FSH117" s="182"/>
      <c r="FSI117" s="181"/>
      <c r="FSJ117" s="182"/>
      <c r="FSK117" s="181"/>
      <c r="FSL117" s="182"/>
      <c r="FSM117" s="181"/>
      <c r="FSN117" s="182"/>
      <c r="FSO117" s="181"/>
      <c r="FSP117" s="182"/>
      <c r="FSQ117" s="181"/>
      <c r="FSR117" s="182"/>
      <c r="FSS117" s="181"/>
      <c r="FST117" s="182"/>
      <c r="FSU117" s="181"/>
      <c r="FSV117" s="182"/>
      <c r="FSW117" s="181"/>
      <c r="FSX117" s="182"/>
      <c r="FSY117" s="181"/>
      <c r="FSZ117" s="182"/>
      <c r="FTA117" s="181"/>
      <c r="FTB117" s="182"/>
      <c r="FTC117" s="181"/>
      <c r="FTD117" s="182"/>
      <c r="FTE117" s="181"/>
      <c r="FTF117" s="182"/>
      <c r="FTG117" s="181"/>
      <c r="FTH117" s="182"/>
      <c r="FTI117" s="181"/>
      <c r="FTJ117" s="182"/>
      <c r="FTK117" s="181"/>
      <c r="FTL117" s="182"/>
      <c r="FTM117" s="181"/>
      <c r="FTN117" s="182"/>
      <c r="FTO117" s="181"/>
      <c r="FTP117" s="182"/>
      <c r="FTQ117" s="181"/>
      <c r="FTR117" s="182"/>
      <c r="FTS117" s="181"/>
      <c r="FTT117" s="182"/>
      <c r="FTU117" s="181"/>
      <c r="FTV117" s="182"/>
      <c r="FTW117" s="181"/>
      <c r="FTX117" s="182"/>
      <c r="FTY117" s="181"/>
      <c r="FTZ117" s="182"/>
      <c r="FUA117" s="181"/>
      <c r="FUB117" s="182"/>
      <c r="FUC117" s="181"/>
      <c r="FUD117" s="182"/>
      <c r="FUE117" s="181"/>
      <c r="FUF117" s="182"/>
      <c r="FUG117" s="181"/>
      <c r="FUH117" s="182"/>
      <c r="FUI117" s="181"/>
      <c r="FUJ117" s="182"/>
      <c r="FUK117" s="181"/>
      <c r="FUL117" s="182"/>
      <c r="FUM117" s="181"/>
      <c r="FUN117" s="182"/>
      <c r="FUO117" s="181"/>
      <c r="FUP117" s="182"/>
      <c r="FUQ117" s="181"/>
      <c r="FUR117" s="182"/>
      <c r="FUS117" s="181"/>
      <c r="FUT117" s="182"/>
      <c r="FUU117" s="181"/>
      <c r="FUV117" s="182"/>
      <c r="FUW117" s="181"/>
      <c r="FUX117" s="182"/>
      <c r="FUY117" s="181"/>
      <c r="FUZ117" s="182"/>
      <c r="FVA117" s="181"/>
      <c r="FVB117" s="182"/>
      <c r="FVC117" s="181"/>
      <c r="FVD117" s="182"/>
      <c r="FVE117" s="181"/>
      <c r="FVF117" s="182"/>
      <c r="FVG117" s="181"/>
      <c r="FVH117" s="182"/>
      <c r="FVI117" s="181"/>
      <c r="FVJ117" s="182"/>
      <c r="FVK117" s="181"/>
      <c r="FVL117" s="182"/>
      <c r="FVM117" s="181"/>
      <c r="FVN117" s="182"/>
      <c r="FVO117" s="181"/>
      <c r="FVP117" s="182"/>
      <c r="FVQ117" s="181"/>
      <c r="FVR117" s="182"/>
      <c r="FVS117" s="181"/>
      <c r="FVT117" s="182"/>
      <c r="FVU117" s="181"/>
      <c r="FVV117" s="182"/>
      <c r="FVW117" s="181"/>
      <c r="FVX117" s="182"/>
      <c r="FVY117" s="181"/>
      <c r="FVZ117" s="182"/>
      <c r="FWA117" s="181"/>
      <c r="FWB117" s="182"/>
      <c r="FWC117" s="181"/>
      <c r="FWD117" s="182"/>
      <c r="FWE117" s="181"/>
      <c r="FWF117" s="182"/>
      <c r="FWG117" s="181"/>
      <c r="FWH117" s="182"/>
      <c r="FWI117" s="181"/>
      <c r="FWJ117" s="182"/>
      <c r="FWK117" s="181"/>
      <c r="FWL117" s="182"/>
      <c r="FWM117" s="181"/>
      <c r="FWN117" s="182"/>
      <c r="FWO117" s="181"/>
      <c r="FWP117" s="182"/>
      <c r="FWQ117" s="181"/>
      <c r="FWR117" s="182"/>
      <c r="FWS117" s="181"/>
      <c r="FWT117" s="182"/>
      <c r="FWU117" s="181"/>
      <c r="FWV117" s="182"/>
      <c r="FWW117" s="181"/>
      <c r="FWX117" s="182"/>
      <c r="FWY117" s="181"/>
      <c r="FWZ117" s="182"/>
      <c r="FXA117" s="181"/>
      <c r="FXB117" s="182"/>
      <c r="FXC117" s="181"/>
      <c r="FXD117" s="182"/>
      <c r="FXE117" s="181"/>
      <c r="FXF117" s="182"/>
      <c r="FXG117" s="181"/>
      <c r="FXH117" s="182"/>
      <c r="FXI117" s="181"/>
      <c r="FXJ117" s="182"/>
      <c r="FXK117" s="181"/>
      <c r="FXL117" s="182"/>
      <c r="FXM117" s="181"/>
      <c r="FXN117" s="182"/>
      <c r="FXO117" s="181"/>
      <c r="FXP117" s="182"/>
      <c r="FXQ117" s="181"/>
      <c r="FXR117" s="182"/>
      <c r="FXS117" s="181"/>
      <c r="FXT117" s="182"/>
      <c r="FXU117" s="181"/>
      <c r="FXV117" s="182"/>
      <c r="FXW117" s="181"/>
      <c r="FXX117" s="182"/>
      <c r="FXY117" s="181"/>
      <c r="FXZ117" s="182"/>
      <c r="FYA117" s="181"/>
      <c r="FYB117" s="182"/>
      <c r="FYC117" s="181"/>
      <c r="FYD117" s="182"/>
      <c r="FYE117" s="181"/>
      <c r="FYF117" s="182"/>
      <c r="FYG117" s="181"/>
      <c r="FYH117" s="182"/>
      <c r="FYI117" s="181"/>
      <c r="FYJ117" s="182"/>
      <c r="FYK117" s="181"/>
      <c r="FYL117" s="182"/>
      <c r="FYM117" s="181"/>
      <c r="FYN117" s="182"/>
      <c r="FYO117" s="181"/>
      <c r="FYP117" s="182"/>
      <c r="FYQ117" s="181"/>
      <c r="FYR117" s="182"/>
      <c r="FYS117" s="181"/>
      <c r="FYT117" s="182"/>
      <c r="FYU117" s="181"/>
      <c r="FYV117" s="182"/>
      <c r="FYW117" s="181"/>
      <c r="FYX117" s="182"/>
      <c r="FYY117" s="181"/>
      <c r="FYZ117" s="182"/>
      <c r="FZA117" s="181"/>
      <c r="FZB117" s="182"/>
      <c r="FZC117" s="181"/>
      <c r="FZD117" s="182"/>
      <c r="FZE117" s="181"/>
      <c r="FZF117" s="182"/>
      <c r="FZG117" s="181"/>
      <c r="FZH117" s="182"/>
      <c r="FZI117" s="181"/>
      <c r="FZJ117" s="182"/>
      <c r="FZK117" s="181"/>
      <c r="FZL117" s="182"/>
      <c r="FZM117" s="181"/>
      <c r="FZN117" s="182"/>
      <c r="FZO117" s="181"/>
      <c r="FZP117" s="182"/>
      <c r="FZQ117" s="181"/>
      <c r="FZR117" s="182"/>
      <c r="FZS117" s="181"/>
      <c r="FZT117" s="182"/>
      <c r="FZU117" s="181"/>
      <c r="FZV117" s="182"/>
      <c r="FZW117" s="181"/>
      <c r="FZX117" s="182"/>
      <c r="FZY117" s="181"/>
      <c r="FZZ117" s="182"/>
      <c r="GAA117" s="181"/>
      <c r="GAB117" s="182"/>
      <c r="GAC117" s="181"/>
      <c r="GAD117" s="182"/>
      <c r="GAE117" s="181"/>
      <c r="GAF117" s="182"/>
      <c r="GAG117" s="181"/>
      <c r="GAH117" s="182"/>
      <c r="GAI117" s="181"/>
      <c r="GAJ117" s="182"/>
      <c r="GAK117" s="181"/>
      <c r="GAL117" s="182"/>
      <c r="GAM117" s="181"/>
      <c r="GAN117" s="182"/>
      <c r="GAO117" s="181"/>
      <c r="GAP117" s="182"/>
      <c r="GAQ117" s="181"/>
      <c r="GAR117" s="182"/>
      <c r="GAS117" s="181"/>
      <c r="GAT117" s="182"/>
      <c r="GAU117" s="181"/>
      <c r="GAV117" s="182"/>
      <c r="GAW117" s="181"/>
      <c r="GAX117" s="182"/>
      <c r="GAY117" s="181"/>
      <c r="GAZ117" s="182"/>
      <c r="GBA117" s="181"/>
      <c r="GBB117" s="182"/>
      <c r="GBC117" s="181"/>
      <c r="GBD117" s="182"/>
      <c r="GBE117" s="181"/>
      <c r="GBF117" s="182"/>
      <c r="GBG117" s="181"/>
      <c r="GBH117" s="182"/>
      <c r="GBI117" s="181"/>
      <c r="GBJ117" s="182"/>
      <c r="GBK117" s="181"/>
      <c r="GBL117" s="182"/>
      <c r="GBM117" s="181"/>
      <c r="GBN117" s="182"/>
      <c r="GBO117" s="181"/>
      <c r="GBP117" s="182"/>
      <c r="GBQ117" s="181"/>
      <c r="GBR117" s="182"/>
      <c r="GBS117" s="181"/>
      <c r="GBT117" s="182"/>
      <c r="GBU117" s="181"/>
      <c r="GBV117" s="182"/>
      <c r="GBW117" s="181"/>
      <c r="GBX117" s="182"/>
      <c r="GBY117" s="181"/>
      <c r="GBZ117" s="182"/>
      <c r="GCA117" s="181"/>
      <c r="GCB117" s="182"/>
      <c r="GCC117" s="181"/>
      <c r="GCD117" s="182"/>
      <c r="GCE117" s="181"/>
      <c r="GCF117" s="182"/>
      <c r="GCG117" s="181"/>
      <c r="GCH117" s="182"/>
      <c r="GCI117" s="181"/>
      <c r="GCJ117" s="182"/>
      <c r="GCK117" s="181"/>
      <c r="GCL117" s="182"/>
      <c r="GCM117" s="181"/>
      <c r="GCN117" s="182"/>
      <c r="GCO117" s="181"/>
      <c r="GCP117" s="182"/>
      <c r="GCQ117" s="181"/>
      <c r="GCR117" s="182"/>
      <c r="GCS117" s="181"/>
      <c r="GCT117" s="182"/>
      <c r="GCU117" s="181"/>
      <c r="GCV117" s="182"/>
      <c r="GCW117" s="181"/>
      <c r="GCX117" s="182"/>
      <c r="GCY117" s="181"/>
      <c r="GCZ117" s="182"/>
      <c r="GDA117" s="181"/>
      <c r="GDB117" s="182"/>
      <c r="GDC117" s="181"/>
      <c r="GDD117" s="182"/>
      <c r="GDE117" s="181"/>
      <c r="GDF117" s="182"/>
      <c r="GDG117" s="181"/>
      <c r="GDH117" s="182"/>
      <c r="GDI117" s="181"/>
      <c r="GDJ117" s="182"/>
      <c r="GDK117" s="181"/>
      <c r="GDL117" s="182"/>
      <c r="GDM117" s="181"/>
      <c r="GDN117" s="182"/>
      <c r="GDO117" s="181"/>
      <c r="GDP117" s="182"/>
      <c r="GDQ117" s="181"/>
      <c r="GDR117" s="182"/>
      <c r="GDS117" s="181"/>
      <c r="GDT117" s="182"/>
      <c r="GDU117" s="181"/>
      <c r="GDV117" s="182"/>
      <c r="GDW117" s="181"/>
      <c r="GDX117" s="182"/>
      <c r="GDY117" s="181"/>
      <c r="GDZ117" s="182"/>
      <c r="GEA117" s="181"/>
      <c r="GEB117" s="182"/>
      <c r="GEC117" s="181"/>
      <c r="GED117" s="182"/>
      <c r="GEE117" s="181"/>
      <c r="GEF117" s="182"/>
      <c r="GEG117" s="181"/>
      <c r="GEH117" s="182"/>
      <c r="GEI117" s="181"/>
      <c r="GEJ117" s="182"/>
      <c r="GEK117" s="181"/>
      <c r="GEL117" s="182"/>
      <c r="GEM117" s="181"/>
      <c r="GEN117" s="182"/>
      <c r="GEO117" s="181"/>
      <c r="GEP117" s="182"/>
      <c r="GEQ117" s="181"/>
      <c r="GER117" s="182"/>
      <c r="GES117" s="181"/>
      <c r="GET117" s="182"/>
      <c r="GEU117" s="181"/>
      <c r="GEV117" s="182"/>
      <c r="GEW117" s="181"/>
      <c r="GEX117" s="182"/>
      <c r="GEY117" s="181"/>
      <c r="GEZ117" s="182"/>
      <c r="GFA117" s="181"/>
      <c r="GFB117" s="182"/>
      <c r="GFC117" s="181"/>
      <c r="GFD117" s="182"/>
      <c r="GFE117" s="181"/>
      <c r="GFF117" s="182"/>
      <c r="GFG117" s="181"/>
      <c r="GFH117" s="182"/>
      <c r="GFI117" s="181"/>
      <c r="GFJ117" s="182"/>
      <c r="GFK117" s="181"/>
      <c r="GFL117" s="182"/>
      <c r="GFM117" s="181"/>
      <c r="GFN117" s="182"/>
      <c r="GFO117" s="181"/>
      <c r="GFP117" s="182"/>
      <c r="GFQ117" s="181"/>
      <c r="GFR117" s="182"/>
      <c r="GFS117" s="181"/>
      <c r="GFT117" s="182"/>
      <c r="GFU117" s="181"/>
      <c r="GFV117" s="182"/>
      <c r="GFW117" s="181"/>
      <c r="GFX117" s="182"/>
      <c r="GFY117" s="181"/>
      <c r="GFZ117" s="182"/>
      <c r="GGA117" s="181"/>
      <c r="GGB117" s="182"/>
      <c r="GGC117" s="181"/>
      <c r="GGD117" s="182"/>
      <c r="GGE117" s="181"/>
      <c r="GGF117" s="182"/>
      <c r="GGG117" s="181"/>
      <c r="GGH117" s="182"/>
      <c r="GGI117" s="181"/>
      <c r="GGJ117" s="182"/>
      <c r="GGK117" s="181"/>
      <c r="GGL117" s="182"/>
      <c r="GGM117" s="181"/>
      <c r="GGN117" s="182"/>
      <c r="GGO117" s="181"/>
      <c r="GGP117" s="182"/>
      <c r="GGQ117" s="181"/>
      <c r="GGR117" s="182"/>
      <c r="GGS117" s="181"/>
      <c r="GGT117" s="182"/>
      <c r="GGU117" s="181"/>
      <c r="GGV117" s="182"/>
      <c r="GGW117" s="181"/>
      <c r="GGX117" s="182"/>
      <c r="GGY117" s="181"/>
      <c r="GGZ117" s="182"/>
      <c r="GHA117" s="181"/>
      <c r="GHB117" s="182"/>
      <c r="GHC117" s="181"/>
      <c r="GHD117" s="182"/>
      <c r="GHE117" s="181"/>
      <c r="GHF117" s="182"/>
      <c r="GHG117" s="181"/>
      <c r="GHH117" s="182"/>
      <c r="GHI117" s="181"/>
      <c r="GHJ117" s="182"/>
      <c r="GHK117" s="181"/>
      <c r="GHL117" s="182"/>
      <c r="GHM117" s="181"/>
      <c r="GHN117" s="182"/>
      <c r="GHO117" s="181"/>
      <c r="GHP117" s="182"/>
      <c r="GHQ117" s="181"/>
      <c r="GHR117" s="182"/>
      <c r="GHS117" s="181"/>
      <c r="GHT117" s="182"/>
      <c r="GHU117" s="181"/>
      <c r="GHV117" s="182"/>
      <c r="GHW117" s="181"/>
      <c r="GHX117" s="182"/>
      <c r="GHY117" s="181"/>
      <c r="GHZ117" s="182"/>
      <c r="GIA117" s="181"/>
      <c r="GIB117" s="182"/>
      <c r="GIC117" s="181"/>
      <c r="GID117" s="182"/>
      <c r="GIE117" s="181"/>
      <c r="GIF117" s="182"/>
      <c r="GIG117" s="181"/>
      <c r="GIH117" s="182"/>
      <c r="GII117" s="181"/>
      <c r="GIJ117" s="182"/>
      <c r="GIK117" s="181"/>
      <c r="GIL117" s="182"/>
      <c r="GIM117" s="181"/>
      <c r="GIN117" s="182"/>
      <c r="GIO117" s="181"/>
      <c r="GIP117" s="182"/>
      <c r="GIQ117" s="181"/>
      <c r="GIR117" s="182"/>
      <c r="GIS117" s="181"/>
      <c r="GIT117" s="182"/>
      <c r="GIU117" s="181"/>
      <c r="GIV117" s="182"/>
      <c r="GIW117" s="181"/>
      <c r="GIX117" s="182"/>
      <c r="GIY117" s="181"/>
      <c r="GIZ117" s="182"/>
      <c r="GJA117" s="181"/>
      <c r="GJB117" s="182"/>
      <c r="GJC117" s="181"/>
      <c r="GJD117" s="182"/>
      <c r="GJE117" s="181"/>
      <c r="GJF117" s="182"/>
      <c r="GJG117" s="181"/>
      <c r="GJH117" s="182"/>
      <c r="GJI117" s="181"/>
      <c r="GJJ117" s="182"/>
      <c r="GJK117" s="181"/>
      <c r="GJL117" s="182"/>
      <c r="GJM117" s="181"/>
      <c r="GJN117" s="182"/>
      <c r="GJO117" s="181"/>
      <c r="GJP117" s="182"/>
      <c r="GJQ117" s="181"/>
      <c r="GJR117" s="182"/>
      <c r="GJS117" s="181"/>
      <c r="GJT117" s="182"/>
      <c r="GJU117" s="181"/>
      <c r="GJV117" s="182"/>
      <c r="GJW117" s="181"/>
      <c r="GJX117" s="182"/>
      <c r="GJY117" s="181"/>
      <c r="GJZ117" s="182"/>
      <c r="GKA117" s="181"/>
      <c r="GKB117" s="182"/>
      <c r="GKC117" s="181"/>
      <c r="GKD117" s="182"/>
      <c r="GKE117" s="181"/>
      <c r="GKF117" s="182"/>
      <c r="GKG117" s="181"/>
      <c r="GKH117" s="182"/>
      <c r="GKI117" s="181"/>
      <c r="GKJ117" s="182"/>
      <c r="GKK117" s="181"/>
      <c r="GKL117" s="182"/>
      <c r="GKM117" s="181"/>
      <c r="GKN117" s="182"/>
      <c r="GKO117" s="181"/>
      <c r="GKP117" s="182"/>
      <c r="GKQ117" s="181"/>
      <c r="GKR117" s="182"/>
      <c r="GKS117" s="181"/>
      <c r="GKT117" s="182"/>
      <c r="GKU117" s="181"/>
      <c r="GKV117" s="182"/>
      <c r="GKW117" s="181"/>
      <c r="GKX117" s="182"/>
      <c r="GKY117" s="181"/>
      <c r="GKZ117" s="182"/>
      <c r="GLA117" s="181"/>
      <c r="GLB117" s="182"/>
      <c r="GLC117" s="181"/>
      <c r="GLD117" s="182"/>
      <c r="GLE117" s="181"/>
      <c r="GLF117" s="182"/>
      <c r="GLG117" s="181"/>
      <c r="GLH117" s="182"/>
      <c r="GLI117" s="181"/>
      <c r="GLJ117" s="182"/>
      <c r="GLK117" s="181"/>
      <c r="GLL117" s="182"/>
      <c r="GLM117" s="181"/>
      <c r="GLN117" s="182"/>
      <c r="GLO117" s="181"/>
      <c r="GLP117" s="182"/>
      <c r="GLQ117" s="181"/>
      <c r="GLR117" s="182"/>
      <c r="GLS117" s="181"/>
      <c r="GLT117" s="182"/>
      <c r="GLU117" s="181"/>
      <c r="GLV117" s="182"/>
      <c r="GLW117" s="181"/>
      <c r="GLX117" s="182"/>
      <c r="GLY117" s="181"/>
      <c r="GLZ117" s="182"/>
      <c r="GMA117" s="181"/>
      <c r="GMB117" s="182"/>
      <c r="GMC117" s="181"/>
      <c r="GMD117" s="182"/>
      <c r="GME117" s="181"/>
      <c r="GMF117" s="182"/>
      <c r="GMG117" s="181"/>
      <c r="GMH117" s="182"/>
      <c r="GMI117" s="181"/>
      <c r="GMJ117" s="182"/>
      <c r="GMK117" s="181"/>
      <c r="GML117" s="182"/>
      <c r="GMM117" s="181"/>
      <c r="GMN117" s="182"/>
      <c r="GMO117" s="181"/>
      <c r="GMP117" s="182"/>
      <c r="GMQ117" s="181"/>
      <c r="GMR117" s="182"/>
      <c r="GMS117" s="181"/>
      <c r="GMT117" s="182"/>
      <c r="GMU117" s="181"/>
      <c r="GMV117" s="182"/>
      <c r="GMW117" s="181"/>
      <c r="GMX117" s="182"/>
      <c r="GMY117" s="181"/>
      <c r="GMZ117" s="182"/>
      <c r="GNA117" s="181"/>
      <c r="GNB117" s="182"/>
      <c r="GNC117" s="181"/>
      <c r="GND117" s="182"/>
      <c r="GNE117" s="181"/>
      <c r="GNF117" s="182"/>
      <c r="GNG117" s="181"/>
      <c r="GNH117" s="182"/>
      <c r="GNI117" s="181"/>
      <c r="GNJ117" s="182"/>
      <c r="GNK117" s="181"/>
      <c r="GNL117" s="182"/>
      <c r="GNM117" s="181"/>
      <c r="GNN117" s="182"/>
      <c r="GNO117" s="181"/>
      <c r="GNP117" s="182"/>
      <c r="GNQ117" s="181"/>
      <c r="GNR117" s="182"/>
      <c r="GNS117" s="181"/>
      <c r="GNT117" s="182"/>
      <c r="GNU117" s="181"/>
      <c r="GNV117" s="182"/>
      <c r="GNW117" s="181"/>
      <c r="GNX117" s="182"/>
      <c r="GNY117" s="181"/>
      <c r="GNZ117" s="182"/>
      <c r="GOA117" s="181"/>
      <c r="GOB117" s="182"/>
      <c r="GOC117" s="181"/>
      <c r="GOD117" s="182"/>
      <c r="GOE117" s="181"/>
      <c r="GOF117" s="182"/>
      <c r="GOG117" s="181"/>
      <c r="GOH117" s="182"/>
      <c r="GOI117" s="181"/>
      <c r="GOJ117" s="182"/>
      <c r="GOK117" s="181"/>
      <c r="GOL117" s="182"/>
      <c r="GOM117" s="181"/>
      <c r="GON117" s="182"/>
      <c r="GOO117" s="181"/>
      <c r="GOP117" s="182"/>
      <c r="GOQ117" s="181"/>
      <c r="GOR117" s="182"/>
      <c r="GOS117" s="181"/>
      <c r="GOT117" s="182"/>
      <c r="GOU117" s="181"/>
      <c r="GOV117" s="182"/>
      <c r="GOW117" s="181"/>
      <c r="GOX117" s="182"/>
      <c r="GOY117" s="181"/>
      <c r="GOZ117" s="182"/>
      <c r="GPA117" s="181"/>
      <c r="GPB117" s="182"/>
      <c r="GPC117" s="181"/>
      <c r="GPD117" s="182"/>
      <c r="GPE117" s="181"/>
      <c r="GPF117" s="182"/>
      <c r="GPG117" s="181"/>
      <c r="GPH117" s="182"/>
      <c r="GPI117" s="181"/>
      <c r="GPJ117" s="182"/>
      <c r="GPK117" s="181"/>
      <c r="GPL117" s="182"/>
      <c r="GPM117" s="181"/>
      <c r="GPN117" s="182"/>
      <c r="GPO117" s="181"/>
      <c r="GPP117" s="182"/>
      <c r="GPQ117" s="181"/>
      <c r="GPR117" s="182"/>
      <c r="GPS117" s="181"/>
      <c r="GPT117" s="182"/>
      <c r="GPU117" s="181"/>
      <c r="GPV117" s="182"/>
      <c r="GPW117" s="181"/>
      <c r="GPX117" s="182"/>
      <c r="GPY117" s="181"/>
      <c r="GPZ117" s="182"/>
      <c r="GQA117" s="181"/>
      <c r="GQB117" s="182"/>
      <c r="GQC117" s="181"/>
      <c r="GQD117" s="182"/>
      <c r="GQE117" s="181"/>
      <c r="GQF117" s="182"/>
      <c r="GQG117" s="181"/>
      <c r="GQH117" s="182"/>
      <c r="GQI117" s="181"/>
      <c r="GQJ117" s="182"/>
      <c r="GQK117" s="181"/>
      <c r="GQL117" s="182"/>
      <c r="GQM117" s="181"/>
      <c r="GQN117" s="182"/>
      <c r="GQO117" s="181"/>
      <c r="GQP117" s="182"/>
      <c r="GQQ117" s="181"/>
      <c r="GQR117" s="182"/>
      <c r="GQS117" s="181"/>
      <c r="GQT117" s="182"/>
      <c r="GQU117" s="181"/>
      <c r="GQV117" s="182"/>
      <c r="GQW117" s="181"/>
      <c r="GQX117" s="182"/>
      <c r="GQY117" s="181"/>
      <c r="GQZ117" s="182"/>
      <c r="GRA117" s="181"/>
      <c r="GRB117" s="182"/>
      <c r="GRC117" s="181"/>
      <c r="GRD117" s="182"/>
      <c r="GRE117" s="181"/>
      <c r="GRF117" s="182"/>
      <c r="GRG117" s="181"/>
      <c r="GRH117" s="182"/>
      <c r="GRI117" s="181"/>
      <c r="GRJ117" s="182"/>
      <c r="GRK117" s="181"/>
      <c r="GRL117" s="182"/>
      <c r="GRM117" s="181"/>
      <c r="GRN117" s="182"/>
      <c r="GRO117" s="181"/>
      <c r="GRP117" s="182"/>
      <c r="GRQ117" s="181"/>
      <c r="GRR117" s="182"/>
      <c r="GRS117" s="181"/>
      <c r="GRT117" s="182"/>
      <c r="GRU117" s="181"/>
      <c r="GRV117" s="182"/>
      <c r="GRW117" s="181"/>
      <c r="GRX117" s="182"/>
      <c r="GRY117" s="181"/>
      <c r="GRZ117" s="182"/>
      <c r="GSA117" s="181"/>
      <c r="GSB117" s="182"/>
      <c r="GSC117" s="181"/>
      <c r="GSD117" s="182"/>
      <c r="GSE117" s="181"/>
      <c r="GSF117" s="182"/>
      <c r="GSG117" s="181"/>
      <c r="GSH117" s="182"/>
      <c r="GSI117" s="181"/>
      <c r="GSJ117" s="182"/>
      <c r="GSK117" s="181"/>
      <c r="GSL117" s="182"/>
      <c r="GSM117" s="181"/>
      <c r="GSN117" s="182"/>
      <c r="GSO117" s="181"/>
      <c r="GSP117" s="182"/>
      <c r="GSQ117" s="181"/>
      <c r="GSR117" s="182"/>
      <c r="GSS117" s="181"/>
      <c r="GST117" s="182"/>
      <c r="GSU117" s="181"/>
      <c r="GSV117" s="182"/>
      <c r="GSW117" s="181"/>
      <c r="GSX117" s="182"/>
      <c r="GSY117" s="181"/>
      <c r="GSZ117" s="182"/>
      <c r="GTA117" s="181"/>
      <c r="GTB117" s="182"/>
      <c r="GTC117" s="181"/>
      <c r="GTD117" s="182"/>
      <c r="GTE117" s="181"/>
      <c r="GTF117" s="182"/>
      <c r="GTG117" s="181"/>
      <c r="GTH117" s="182"/>
      <c r="GTI117" s="181"/>
      <c r="GTJ117" s="182"/>
      <c r="GTK117" s="181"/>
      <c r="GTL117" s="182"/>
      <c r="GTM117" s="181"/>
      <c r="GTN117" s="182"/>
      <c r="GTO117" s="181"/>
      <c r="GTP117" s="182"/>
      <c r="GTQ117" s="181"/>
      <c r="GTR117" s="182"/>
      <c r="GTS117" s="181"/>
      <c r="GTT117" s="182"/>
      <c r="GTU117" s="181"/>
      <c r="GTV117" s="182"/>
      <c r="GTW117" s="181"/>
      <c r="GTX117" s="182"/>
      <c r="GTY117" s="181"/>
      <c r="GTZ117" s="182"/>
      <c r="GUA117" s="181"/>
      <c r="GUB117" s="182"/>
      <c r="GUC117" s="181"/>
      <c r="GUD117" s="182"/>
      <c r="GUE117" s="181"/>
      <c r="GUF117" s="182"/>
      <c r="GUG117" s="181"/>
      <c r="GUH117" s="182"/>
      <c r="GUI117" s="181"/>
      <c r="GUJ117" s="182"/>
      <c r="GUK117" s="181"/>
      <c r="GUL117" s="182"/>
      <c r="GUM117" s="181"/>
      <c r="GUN117" s="182"/>
      <c r="GUO117" s="181"/>
      <c r="GUP117" s="182"/>
      <c r="GUQ117" s="181"/>
      <c r="GUR117" s="182"/>
      <c r="GUS117" s="181"/>
      <c r="GUT117" s="182"/>
      <c r="GUU117" s="181"/>
      <c r="GUV117" s="182"/>
      <c r="GUW117" s="181"/>
      <c r="GUX117" s="182"/>
      <c r="GUY117" s="181"/>
      <c r="GUZ117" s="182"/>
      <c r="GVA117" s="181"/>
      <c r="GVB117" s="182"/>
      <c r="GVC117" s="181"/>
      <c r="GVD117" s="182"/>
      <c r="GVE117" s="181"/>
      <c r="GVF117" s="182"/>
      <c r="GVG117" s="181"/>
      <c r="GVH117" s="182"/>
      <c r="GVI117" s="181"/>
      <c r="GVJ117" s="182"/>
      <c r="GVK117" s="181"/>
      <c r="GVL117" s="182"/>
      <c r="GVM117" s="181"/>
      <c r="GVN117" s="182"/>
      <c r="GVO117" s="181"/>
      <c r="GVP117" s="182"/>
      <c r="GVQ117" s="181"/>
      <c r="GVR117" s="182"/>
      <c r="GVS117" s="181"/>
      <c r="GVT117" s="182"/>
      <c r="GVU117" s="181"/>
      <c r="GVV117" s="182"/>
      <c r="GVW117" s="181"/>
      <c r="GVX117" s="182"/>
      <c r="GVY117" s="181"/>
      <c r="GVZ117" s="182"/>
      <c r="GWA117" s="181"/>
      <c r="GWB117" s="182"/>
      <c r="GWC117" s="181"/>
      <c r="GWD117" s="182"/>
      <c r="GWE117" s="181"/>
      <c r="GWF117" s="182"/>
      <c r="GWG117" s="181"/>
      <c r="GWH117" s="182"/>
      <c r="GWI117" s="181"/>
      <c r="GWJ117" s="182"/>
      <c r="GWK117" s="181"/>
      <c r="GWL117" s="182"/>
      <c r="GWM117" s="181"/>
      <c r="GWN117" s="182"/>
      <c r="GWO117" s="181"/>
      <c r="GWP117" s="182"/>
      <c r="GWQ117" s="181"/>
      <c r="GWR117" s="182"/>
      <c r="GWS117" s="181"/>
      <c r="GWT117" s="182"/>
      <c r="GWU117" s="181"/>
      <c r="GWV117" s="182"/>
      <c r="GWW117" s="181"/>
      <c r="GWX117" s="182"/>
      <c r="GWY117" s="181"/>
      <c r="GWZ117" s="182"/>
      <c r="GXA117" s="181"/>
      <c r="GXB117" s="182"/>
      <c r="GXC117" s="181"/>
      <c r="GXD117" s="182"/>
      <c r="GXE117" s="181"/>
      <c r="GXF117" s="182"/>
      <c r="GXG117" s="181"/>
      <c r="GXH117" s="182"/>
      <c r="GXI117" s="181"/>
      <c r="GXJ117" s="182"/>
      <c r="GXK117" s="181"/>
      <c r="GXL117" s="182"/>
      <c r="GXM117" s="181"/>
      <c r="GXN117" s="182"/>
      <c r="GXO117" s="181"/>
      <c r="GXP117" s="182"/>
      <c r="GXQ117" s="181"/>
      <c r="GXR117" s="182"/>
      <c r="GXS117" s="181"/>
      <c r="GXT117" s="182"/>
      <c r="GXU117" s="181"/>
      <c r="GXV117" s="182"/>
      <c r="GXW117" s="181"/>
      <c r="GXX117" s="182"/>
      <c r="GXY117" s="181"/>
      <c r="GXZ117" s="182"/>
      <c r="GYA117" s="181"/>
      <c r="GYB117" s="182"/>
      <c r="GYC117" s="181"/>
      <c r="GYD117" s="182"/>
      <c r="GYE117" s="181"/>
      <c r="GYF117" s="182"/>
      <c r="GYG117" s="181"/>
      <c r="GYH117" s="182"/>
      <c r="GYI117" s="181"/>
      <c r="GYJ117" s="182"/>
      <c r="GYK117" s="181"/>
      <c r="GYL117" s="182"/>
      <c r="GYM117" s="181"/>
      <c r="GYN117" s="182"/>
      <c r="GYO117" s="181"/>
      <c r="GYP117" s="182"/>
      <c r="GYQ117" s="181"/>
      <c r="GYR117" s="182"/>
      <c r="GYS117" s="181"/>
      <c r="GYT117" s="182"/>
      <c r="GYU117" s="181"/>
      <c r="GYV117" s="182"/>
      <c r="GYW117" s="181"/>
      <c r="GYX117" s="182"/>
      <c r="GYY117" s="181"/>
      <c r="GYZ117" s="182"/>
      <c r="GZA117" s="181"/>
      <c r="GZB117" s="182"/>
      <c r="GZC117" s="181"/>
      <c r="GZD117" s="182"/>
      <c r="GZE117" s="181"/>
      <c r="GZF117" s="182"/>
      <c r="GZG117" s="181"/>
      <c r="GZH117" s="182"/>
      <c r="GZI117" s="181"/>
      <c r="GZJ117" s="182"/>
      <c r="GZK117" s="181"/>
      <c r="GZL117" s="182"/>
      <c r="GZM117" s="181"/>
      <c r="GZN117" s="182"/>
      <c r="GZO117" s="181"/>
      <c r="GZP117" s="182"/>
      <c r="GZQ117" s="181"/>
      <c r="GZR117" s="182"/>
      <c r="GZS117" s="181"/>
      <c r="GZT117" s="182"/>
      <c r="GZU117" s="181"/>
      <c r="GZV117" s="182"/>
      <c r="GZW117" s="181"/>
      <c r="GZX117" s="182"/>
      <c r="GZY117" s="181"/>
      <c r="GZZ117" s="182"/>
      <c r="HAA117" s="181"/>
      <c r="HAB117" s="182"/>
      <c r="HAC117" s="181"/>
      <c r="HAD117" s="182"/>
      <c r="HAE117" s="181"/>
      <c r="HAF117" s="182"/>
      <c r="HAG117" s="181"/>
      <c r="HAH117" s="182"/>
      <c r="HAI117" s="181"/>
      <c r="HAJ117" s="182"/>
      <c r="HAK117" s="181"/>
      <c r="HAL117" s="182"/>
      <c r="HAM117" s="181"/>
      <c r="HAN117" s="182"/>
      <c r="HAO117" s="181"/>
      <c r="HAP117" s="182"/>
      <c r="HAQ117" s="181"/>
      <c r="HAR117" s="182"/>
      <c r="HAS117" s="181"/>
      <c r="HAT117" s="182"/>
      <c r="HAU117" s="181"/>
      <c r="HAV117" s="182"/>
      <c r="HAW117" s="181"/>
      <c r="HAX117" s="182"/>
      <c r="HAY117" s="181"/>
      <c r="HAZ117" s="182"/>
      <c r="HBA117" s="181"/>
      <c r="HBB117" s="182"/>
      <c r="HBC117" s="181"/>
      <c r="HBD117" s="182"/>
      <c r="HBE117" s="181"/>
      <c r="HBF117" s="182"/>
      <c r="HBG117" s="181"/>
      <c r="HBH117" s="182"/>
      <c r="HBI117" s="181"/>
      <c r="HBJ117" s="182"/>
      <c r="HBK117" s="181"/>
      <c r="HBL117" s="182"/>
      <c r="HBM117" s="181"/>
      <c r="HBN117" s="182"/>
      <c r="HBO117" s="181"/>
      <c r="HBP117" s="182"/>
      <c r="HBQ117" s="181"/>
      <c r="HBR117" s="182"/>
      <c r="HBS117" s="181"/>
      <c r="HBT117" s="182"/>
      <c r="HBU117" s="181"/>
      <c r="HBV117" s="182"/>
      <c r="HBW117" s="181"/>
      <c r="HBX117" s="182"/>
      <c r="HBY117" s="181"/>
      <c r="HBZ117" s="182"/>
      <c r="HCA117" s="181"/>
      <c r="HCB117" s="182"/>
      <c r="HCC117" s="181"/>
      <c r="HCD117" s="182"/>
      <c r="HCE117" s="181"/>
      <c r="HCF117" s="182"/>
      <c r="HCG117" s="181"/>
      <c r="HCH117" s="182"/>
      <c r="HCI117" s="181"/>
      <c r="HCJ117" s="182"/>
      <c r="HCK117" s="181"/>
      <c r="HCL117" s="182"/>
      <c r="HCM117" s="181"/>
      <c r="HCN117" s="182"/>
      <c r="HCO117" s="181"/>
      <c r="HCP117" s="182"/>
      <c r="HCQ117" s="181"/>
      <c r="HCR117" s="182"/>
      <c r="HCS117" s="181"/>
      <c r="HCT117" s="182"/>
      <c r="HCU117" s="181"/>
      <c r="HCV117" s="182"/>
      <c r="HCW117" s="181"/>
      <c r="HCX117" s="182"/>
      <c r="HCY117" s="181"/>
      <c r="HCZ117" s="182"/>
      <c r="HDA117" s="181"/>
      <c r="HDB117" s="182"/>
      <c r="HDC117" s="181"/>
      <c r="HDD117" s="182"/>
      <c r="HDE117" s="181"/>
      <c r="HDF117" s="182"/>
      <c r="HDG117" s="181"/>
      <c r="HDH117" s="182"/>
      <c r="HDI117" s="181"/>
      <c r="HDJ117" s="182"/>
      <c r="HDK117" s="181"/>
      <c r="HDL117" s="182"/>
      <c r="HDM117" s="181"/>
      <c r="HDN117" s="182"/>
      <c r="HDO117" s="181"/>
      <c r="HDP117" s="182"/>
      <c r="HDQ117" s="181"/>
      <c r="HDR117" s="182"/>
      <c r="HDS117" s="181"/>
      <c r="HDT117" s="182"/>
      <c r="HDU117" s="181"/>
      <c r="HDV117" s="182"/>
      <c r="HDW117" s="181"/>
      <c r="HDX117" s="182"/>
      <c r="HDY117" s="181"/>
      <c r="HDZ117" s="182"/>
      <c r="HEA117" s="181"/>
      <c r="HEB117" s="182"/>
      <c r="HEC117" s="181"/>
      <c r="HED117" s="182"/>
      <c r="HEE117" s="181"/>
      <c r="HEF117" s="182"/>
      <c r="HEG117" s="181"/>
      <c r="HEH117" s="182"/>
      <c r="HEI117" s="181"/>
      <c r="HEJ117" s="182"/>
      <c r="HEK117" s="181"/>
      <c r="HEL117" s="182"/>
      <c r="HEM117" s="181"/>
      <c r="HEN117" s="182"/>
      <c r="HEO117" s="181"/>
      <c r="HEP117" s="182"/>
      <c r="HEQ117" s="181"/>
      <c r="HER117" s="182"/>
      <c r="HES117" s="181"/>
      <c r="HET117" s="182"/>
      <c r="HEU117" s="181"/>
      <c r="HEV117" s="182"/>
      <c r="HEW117" s="181"/>
      <c r="HEX117" s="182"/>
      <c r="HEY117" s="181"/>
      <c r="HEZ117" s="182"/>
      <c r="HFA117" s="181"/>
      <c r="HFB117" s="182"/>
      <c r="HFC117" s="181"/>
      <c r="HFD117" s="182"/>
      <c r="HFE117" s="181"/>
      <c r="HFF117" s="182"/>
      <c r="HFG117" s="181"/>
      <c r="HFH117" s="182"/>
      <c r="HFI117" s="181"/>
      <c r="HFJ117" s="182"/>
      <c r="HFK117" s="181"/>
      <c r="HFL117" s="182"/>
      <c r="HFM117" s="181"/>
      <c r="HFN117" s="182"/>
      <c r="HFO117" s="181"/>
      <c r="HFP117" s="182"/>
      <c r="HFQ117" s="181"/>
      <c r="HFR117" s="182"/>
      <c r="HFS117" s="181"/>
      <c r="HFT117" s="182"/>
      <c r="HFU117" s="181"/>
      <c r="HFV117" s="182"/>
      <c r="HFW117" s="181"/>
      <c r="HFX117" s="182"/>
      <c r="HFY117" s="181"/>
      <c r="HFZ117" s="182"/>
      <c r="HGA117" s="181"/>
      <c r="HGB117" s="182"/>
      <c r="HGC117" s="181"/>
      <c r="HGD117" s="182"/>
      <c r="HGE117" s="181"/>
      <c r="HGF117" s="182"/>
      <c r="HGG117" s="181"/>
      <c r="HGH117" s="182"/>
      <c r="HGI117" s="181"/>
      <c r="HGJ117" s="182"/>
      <c r="HGK117" s="181"/>
      <c r="HGL117" s="182"/>
      <c r="HGM117" s="181"/>
      <c r="HGN117" s="182"/>
      <c r="HGO117" s="181"/>
      <c r="HGP117" s="182"/>
      <c r="HGQ117" s="181"/>
      <c r="HGR117" s="182"/>
      <c r="HGS117" s="181"/>
      <c r="HGT117" s="182"/>
      <c r="HGU117" s="181"/>
      <c r="HGV117" s="182"/>
      <c r="HGW117" s="181"/>
      <c r="HGX117" s="182"/>
      <c r="HGY117" s="181"/>
      <c r="HGZ117" s="182"/>
      <c r="HHA117" s="181"/>
      <c r="HHB117" s="182"/>
      <c r="HHC117" s="181"/>
      <c r="HHD117" s="182"/>
      <c r="HHE117" s="181"/>
      <c r="HHF117" s="182"/>
      <c r="HHG117" s="181"/>
      <c r="HHH117" s="182"/>
      <c r="HHI117" s="181"/>
      <c r="HHJ117" s="182"/>
      <c r="HHK117" s="181"/>
      <c r="HHL117" s="182"/>
      <c r="HHM117" s="181"/>
      <c r="HHN117" s="182"/>
      <c r="HHO117" s="181"/>
      <c r="HHP117" s="182"/>
      <c r="HHQ117" s="181"/>
      <c r="HHR117" s="182"/>
      <c r="HHS117" s="181"/>
      <c r="HHT117" s="182"/>
      <c r="HHU117" s="181"/>
      <c r="HHV117" s="182"/>
      <c r="HHW117" s="181"/>
      <c r="HHX117" s="182"/>
      <c r="HHY117" s="181"/>
      <c r="HHZ117" s="182"/>
      <c r="HIA117" s="181"/>
      <c r="HIB117" s="182"/>
      <c r="HIC117" s="181"/>
      <c r="HID117" s="182"/>
      <c r="HIE117" s="181"/>
      <c r="HIF117" s="182"/>
      <c r="HIG117" s="181"/>
      <c r="HIH117" s="182"/>
      <c r="HII117" s="181"/>
      <c r="HIJ117" s="182"/>
      <c r="HIK117" s="181"/>
      <c r="HIL117" s="182"/>
      <c r="HIM117" s="181"/>
      <c r="HIN117" s="182"/>
      <c r="HIO117" s="181"/>
      <c r="HIP117" s="182"/>
      <c r="HIQ117" s="181"/>
      <c r="HIR117" s="182"/>
      <c r="HIS117" s="181"/>
      <c r="HIT117" s="182"/>
      <c r="HIU117" s="181"/>
      <c r="HIV117" s="182"/>
      <c r="HIW117" s="181"/>
      <c r="HIX117" s="182"/>
      <c r="HIY117" s="181"/>
      <c r="HIZ117" s="182"/>
      <c r="HJA117" s="181"/>
      <c r="HJB117" s="182"/>
      <c r="HJC117" s="181"/>
      <c r="HJD117" s="182"/>
      <c r="HJE117" s="181"/>
      <c r="HJF117" s="182"/>
      <c r="HJG117" s="181"/>
      <c r="HJH117" s="182"/>
      <c r="HJI117" s="181"/>
      <c r="HJJ117" s="182"/>
      <c r="HJK117" s="181"/>
      <c r="HJL117" s="182"/>
      <c r="HJM117" s="181"/>
      <c r="HJN117" s="182"/>
      <c r="HJO117" s="181"/>
      <c r="HJP117" s="182"/>
      <c r="HJQ117" s="181"/>
      <c r="HJR117" s="182"/>
      <c r="HJS117" s="181"/>
      <c r="HJT117" s="182"/>
      <c r="HJU117" s="181"/>
      <c r="HJV117" s="182"/>
      <c r="HJW117" s="181"/>
      <c r="HJX117" s="182"/>
      <c r="HJY117" s="181"/>
      <c r="HJZ117" s="182"/>
      <c r="HKA117" s="181"/>
      <c r="HKB117" s="182"/>
      <c r="HKC117" s="181"/>
      <c r="HKD117" s="182"/>
      <c r="HKE117" s="181"/>
      <c r="HKF117" s="182"/>
      <c r="HKG117" s="181"/>
      <c r="HKH117" s="182"/>
      <c r="HKI117" s="181"/>
      <c r="HKJ117" s="182"/>
      <c r="HKK117" s="181"/>
      <c r="HKL117" s="182"/>
      <c r="HKM117" s="181"/>
      <c r="HKN117" s="182"/>
      <c r="HKO117" s="181"/>
      <c r="HKP117" s="182"/>
      <c r="HKQ117" s="181"/>
      <c r="HKR117" s="182"/>
      <c r="HKS117" s="181"/>
      <c r="HKT117" s="182"/>
      <c r="HKU117" s="181"/>
      <c r="HKV117" s="182"/>
      <c r="HKW117" s="181"/>
      <c r="HKX117" s="182"/>
      <c r="HKY117" s="181"/>
      <c r="HKZ117" s="182"/>
      <c r="HLA117" s="181"/>
      <c r="HLB117" s="182"/>
      <c r="HLC117" s="181"/>
      <c r="HLD117" s="182"/>
      <c r="HLE117" s="181"/>
      <c r="HLF117" s="182"/>
      <c r="HLG117" s="181"/>
      <c r="HLH117" s="182"/>
      <c r="HLI117" s="181"/>
      <c r="HLJ117" s="182"/>
      <c r="HLK117" s="181"/>
      <c r="HLL117" s="182"/>
      <c r="HLM117" s="181"/>
      <c r="HLN117" s="182"/>
      <c r="HLO117" s="181"/>
      <c r="HLP117" s="182"/>
      <c r="HLQ117" s="181"/>
      <c r="HLR117" s="182"/>
      <c r="HLS117" s="181"/>
      <c r="HLT117" s="182"/>
      <c r="HLU117" s="181"/>
      <c r="HLV117" s="182"/>
      <c r="HLW117" s="181"/>
      <c r="HLX117" s="182"/>
      <c r="HLY117" s="181"/>
      <c r="HLZ117" s="182"/>
      <c r="HMA117" s="181"/>
      <c r="HMB117" s="182"/>
      <c r="HMC117" s="181"/>
      <c r="HMD117" s="182"/>
      <c r="HME117" s="181"/>
      <c r="HMF117" s="182"/>
      <c r="HMG117" s="181"/>
      <c r="HMH117" s="182"/>
      <c r="HMI117" s="181"/>
      <c r="HMJ117" s="182"/>
      <c r="HMK117" s="181"/>
      <c r="HML117" s="182"/>
      <c r="HMM117" s="181"/>
      <c r="HMN117" s="182"/>
      <c r="HMO117" s="181"/>
      <c r="HMP117" s="182"/>
      <c r="HMQ117" s="181"/>
      <c r="HMR117" s="182"/>
      <c r="HMS117" s="181"/>
      <c r="HMT117" s="182"/>
      <c r="HMU117" s="181"/>
      <c r="HMV117" s="182"/>
      <c r="HMW117" s="181"/>
      <c r="HMX117" s="182"/>
      <c r="HMY117" s="181"/>
      <c r="HMZ117" s="182"/>
      <c r="HNA117" s="181"/>
      <c r="HNB117" s="182"/>
      <c r="HNC117" s="181"/>
      <c r="HND117" s="182"/>
      <c r="HNE117" s="181"/>
      <c r="HNF117" s="182"/>
      <c r="HNG117" s="181"/>
      <c r="HNH117" s="182"/>
      <c r="HNI117" s="181"/>
      <c r="HNJ117" s="182"/>
      <c r="HNK117" s="181"/>
      <c r="HNL117" s="182"/>
      <c r="HNM117" s="181"/>
      <c r="HNN117" s="182"/>
      <c r="HNO117" s="181"/>
      <c r="HNP117" s="182"/>
      <c r="HNQ117" s="181"/>
      <c r="HNR117" s="182"/>
      <c r="HNS117" s="181"/>
      <c r="HNT117" s="182"/>
      <c r="HNU117" s="181"/>
      <c r="HNV117" s="182"/>
      <c r="HNW117" s="181"/>
      <c r="HNX117" s="182"/>
      <c r="HNY117" s="181"/>
      <c r="HNZ117" s="182"/>
      <c r="HOA117" s="181"/>
      <c r="HOB117" s="182"/>
      <c r="HOC117" s="181"/>
      <c r="HOD117" s="182"/>
      <c r="HOE117" s="181"/>
      <c r="HOF117" s="182"/>
      <c r="HOG117" s="181"/>
      <c r="HOH117" s="182"/>
      <c r="HOI117" s="181"/>
      <c r="HOJ117" s="182"/>
      <c r="HOK117" s="181"/>
      <c r="HOL117" s="182"/>
      <c r="HOM117" s="181"/>
      <c r="HON117" s="182"/>
      <c r="HOO117" s="181"/>
      <c r="HOP117" s="182"/>
      <c r="HOQ117" s="181"/>
      <c r="HOR117" s="182"/>
      <c r="HOS117" s="181"/>
      <c r="HOT117" s="182"/>
      <c r="HOU117" s="181"/>
      <c r="HOV117" s="182"/>
      <c r="HOW117" s="181"/>
      <c r="HOX117" s="182"/>
      <c r="HOY117" s="181"/>
      <c r="HOZ117" s="182"/>
      <c r="HPA117" s="181"/>
      <c r="HPB117" s="182"/>
      <c r="HPC117" s="181"/>
      <c r="HPD117" s="182"/>
      <c r="HPE117" s="181"/>
      <c r="HPF117" s="182"/>
      <c r="HPG117" s="181"/>
      <c r="HPH117" s="182"/>
      <c r="HPI117" s="181"/>
      <c r="HPJ117" s="182"/>
      <c r="HPK117" s="181"/>
      <c r="HPL117" s="182"/>
      <c r="HPM117" s="181"/>
      <c r="HPN117" s="182"/>
      <c r="HPO117" s="181"/>
      <c r="HPP117" s="182"/>
      <c r="HPQ117" s="181"/>
      <c r="HPR117" s="182"/>
      <c r="HPS117" s="181"/>
      <c r="HPT117" s="182"/>
      <c r="HPU117" s="181"/>
      <c r="HPV117" s="182"/>
      <c r="HPW117" s="181"/>
      <c r="HPX117" s="182"/>
      <c r="HPY117" s="181"/>
      <c r="HPZ117" s="182"/>
      <c r="HQA117" s="181"/>
      <c r="HQB117" s="182"/>
      <c r="HQC117" s="181"/>
      <c r="HQD117" s="182"/>
      <c r="HQE117" s="181"/>
      <c r="HQF117" s="182"/>
      <c r="HQG117" s="181"/>
      <c r="HQH117" s="182"/>
      <c r="HQI117" s="181"/>
      <c r="HQJ117" s="182"/>
      <c r="HQK117" s="181"/>
      <c r="HQL117" s="182"/>
      <c r="HQM117" s="181"/>
      <c r="HQN117" s="182"/>
      <c r="HQO117" s="181"/>
      <c r="HQP117" s="182"/>
      <c r="HQQ117" s="181"/>
      <c r="HQR117" s="182"/>
      <c r="HQS117" s="181"/>
      <c r="HQT117" s="182"/>
      <c r="HQU117" s="181"/>
      <c r="HQV117" s="182"/>
      <c r="HQW117" s="181"/>
      <c r="HQX117" s="182"/>
      <c r="HQY117" s="181"/>
      <c r="HQZ117" s="182"/>
      <c r="HRA117" s="181"/>
      <c r="HRB117" s="182"/>
      <c r="HRC117" s="181"/>
      <c r="HRD117" s="182"/>
      <c r="HRE117" s="181"/>
      <c r="HRF117" s="182"/>
      <c r="HRG117" s="181"/>
      <c r="HRH117" s="182"/>
      <c r="HRI117" s="181"/>
      <c r="HRJ117" s="182"/>
      <c r="HRK117" s="181"/>
      <c r="HRL117" s="182"/>
      <c r="HRM117" s="181"/>
      <c r="HRN117" s="182"/>
      <c r="HRO117" s="181"/>
      <c r="HRP117" s="182"/>
      <c r="HRQ117" s="181"/>
      <c r="HRR117" s="182"/>
      <c r="HRS117" s="181"/>
      <c r="HRT117" s="182"/>
      <c r="HRU117" s="181"/>
      <c r="HRV117" s="182"/>
      <c r="HRW117" s="181"/>
      <c r="HRX117" s="182"/>
      <c r="HRY117" s="181"/>
      <c r="HRZ117" s="182"/>
      <c r="HSA117" s="181"/>
      <c r="HSB117" s="182"/>
      <c r="HSC117" s="181"/>
      <c r="HSD117" s="182"/>
      <c r="HSE117" s="181"/>
      <c r="HSF117" s="182"/>
      <c r="HSG117" s="181"/>
      <c r="HSH117" s="182"/>
      <c r="HSI117" s="181"/>
      <c r="HSJ117" s="182"/>
      <c r="HSK117" s="181"/>
      <c r="HSL117" s="182"/>
      <c r="HSM117" s="181"/>
      <c r="HSN117" s="182"/>
      <c r="HSO117" s="181"/>
      <c r="HSP117" s="182"/>
      <c r="HSQ117" s="181"/>
      <c r="HSR117" s="182"/>
      <c r="HSS117" s="181"/>
      <c r="HST117" s="182"/>
      <c r="HSU117" s="181"/>
      <c r="HSV117" s="182"/>
      <c r="HSW117" s="181"/>
      <c r="HSX117" s="182"/>
      <c r="HSY117" s="181"/>
      <c r="HSZ117" s="182"/>
      <c r="HTA117" s="181"/>
      <c r="HTB117" s="182"/>
      <c r="HTC117" s="181"/>
      <c r="HTD117" s="182"/>
      <c r="HTE117" s="181"/>
      <c r="HTF117" s="182"/>
      <c r="HTG117" s="181"/>
      <c r="HTH117" s="182"/>
      <c r="HTI117" s="181"/>
      <c r="HTJ117" s="182"/>
      <c r="HTK117" s="181"/>
      <c r="HTL117" s="182"/>
      <c r="HTM117" s="181"/>
      <c r="HTN117" s="182"/>
      <c r="HTO117" s="181"/>
      <c r="HTP117" s="182"/>
      <c r="HTQ117" s="181"/>
      <c r="HTR117" s="182"/>
      <c r="HTS117" s="181"/>
      <c r="HTT117" s="182"/>
      <c r="HTU117" s="181"/>
      <c r="HTV117" s="182"/>
      <c r="HTW117" s="181"/>
      <c r="HTX117" s="182"/>
      <c r="HTY117" s="181"/>
      <c r="HTZ117" s="182"/>
      <c r="HUA117" s="181"/>
      <c r="HUB117" s="182"/>
      <c r="HUC117" s="181"/>
      <c r="HUD117" s="182"/>
      <c r="HUE117" s="181"/>
      <c r="HUF117" s="182"/>
      <c r="HUG117" s="181"/>
      <c r="HUH117" s="182"/>
      <c r="HUI117" s="181"/>
      <c r="HUJ117" s="182"/>
      <c r="HUK117" s="181"/>
      <c r="HUL117" s="182"/>
      <c r="HUM117" s="181"/>
      <c r="HUN117" s="182"/>
      <c r="HUO117" s="181"/>
      <c r="HUP117" s="182"/>
      <c r="HUQ117" s="181"/>
      <c r="HUR117" s="182"/>
      <c r="HUS117" s="181"/>
      <c r="HUT117" s="182"/>
      <c r="HUU117" s="181"/>
      <c r="HUV117" s="182"/>
      <c r="HUW117" s="181"/>
      <c r="HUX117" s="182"/>
      <c r="HUY117" s="181"/>
      <c r="HUZ117" s="182"/>
      <c r="HVA117" s="181"/>
      <c r="HVB117" s="182"/>
      <c r="HVC117" s="181"/>
      <c r="HVD117" s="182"/>
      <c r="HVE117" s="181"/>
      <c r="HVF117" s="182"/>
      <c r="HVG117" s="181"/>
      <c r="HVH117" s="182"/>
      <c r="HVI117" s="181"/>
      <c r="HVJ117" s="182"/>
      <c r="HVK117" s="181"/>
      <c r="HVL117" s="182"/>
      <c r="HVM117" s="181"/>
      <c r="HVN117" s="182"/>
      <c r="HVO117" s="181"/>
      <c r="HVP117" s="182"/>
      <c r="HVQ117" s="181"/>
      <c r="HVR117" s="182"/>
      <c r="HVS117" s="181"/>
      <c r="HVT117" s="182"/>
      <c r="HVU117" s="181"/>
      <c r="HVV117" s="182"/>
      <c r="HVW117" s="181"/>
      <c r="HVX117" s="182"/>
      <c r="HVY117" s="181"/>
      <c r="HVZ117" s="182"/>
      <c r="HWA117" s="181"/>
      <c r="HWB117" s="182"/>
      <c r="HWC117" s="181"/>
      <c r="HWD117" s="182"/>
      <c r="HWE117" s="181"/>
      <c r="HWF117" s="182"/>
      <c r="HWG117" s="181"/>
      <c r="HWH117" s="182"/>
      <c r="HWI117" s="181"/>
      <c r="HWJ117" s="182"/>
      <c r="HWK117" s="181"/>
      <c r="HWL117" s="182"/>
      <c r="HWM117" s="181"/>
      <c r="HWN117" s="182"/>
      <c r="HWO117" s="181"/>
      <c r="HWP117" s="182"/>
      <c r="HWQ117" s="181"/>
      <c r="HWR117" s="182"/>
      <c r="HWS117" s="181"/>
      <c r="HWT117" s="182"/>
      <c r="HWU117" s="181"/>
      <c r="HWV117" s="182"/>
      <c r="HWW117" s="181"/>
      <c r="HWX117" s="182"/>
      <c r="HWY117" s="181"/>
      <c r="HWZ117" s="182"/>
      <c r="HXA117" s="181"/>
      <c r="HXB117" s="182"/>
      <c r="HXC117" s="181"/>
      <c r="HXD117" s="182"/>
      <c r="HXE117" s="181"/>
      <c r="HXF117" s="182"/>
      <c r="HXG117" s="181"/>
      <c r="HXH117" s="182"/>
      <c r="HXI117" s="181"/>
      <c r="HXJ117" s="182"/>
      <c r="HXK117" s="181"/>
      <c r="HXL117" s="182"/>
      <c r="HXM117" s="181"/>
      <c r="HXN117" s="182"/>
      <c r="HXO117" s="181"/>
      <c r="HXP117" s="182"/>
      <c r="HXQ117" s="181"/>
      <c r="HXR117" s="182"/>
      <c r="HXS117" s="181"/>
      <c r="HXT117" s="182"/>
      <c r="HXU117" s="181"/>
      <c r="HXV117" s="182"/>
      <c r="HXW117" s="181"/>
      <c r="HXX117" s="182"/>
      <c r="HXY117" s="181"/>
      <c r="HXZ117" s="182"/>
      <c r="HYA117" s="181"/>
      <c r="HYB117" s="182"/>
      <c r="HYC117" s="181"/>
      <c r="HYD117" s="182"/>
      <c r="HYE117" s="181"/>
      <c r="HYF117" s="182"/>
      <c r="HYG117" s="181"/>
      <c r="HYH117" s="182"/>
      <c r="HYI117" s="181"/>
      <c r="HYJ117" s="182"/>
      <c r="HYK117" s="181"/>
      <c r="HYL117" s="182"/>
      <c r="HYM117" s="181"/>
      <c r="HYN117" s="182"/>
      <c r="HYO117" s="181"/>
      <c r="HYP117" s="182"/>
      <c r="HYQ117" s="181"/>
      <c r="HYR117" s="182"/>
      <c r="HYS117" s="181"/>
      <c r="HYT117" s="182"/>
      <c r="HYU117" s="181"/>
      <c r="HYV117" s="182"/>
      <c r="HYW117" s="181"/>
      <c r="HYX117" s="182"/>
      <c r="HYY117" s="181"/>
      <c r="HYZ117" s="182"/>
      <c r="HZA117" s="181"/>
      <c r="HZB117" s="182"/>
      <c r="HZC117" s="181"/>
      <c r="HZD117" s="182"/>
      <c r="HZE117" s="181"/>
      <c r="HZF117" s="182"/>
      <c r="HZG117" s="181"/>
      <c r="HZH117" s="182"/>
      <c r="HZI117" s="181"/>
      <c r="HZJ117" s="182"/>
      <c r="HZK117" s="181"/>
      <c r="HZL117" s="182"/>
      <c r="HZM117" s="181"/>
      <c r="HZN117" s="182"/>
      <c r="HZO117" s="181"/>
      <c r="HZP117" s="182"/>
      <c r="HZQ117" s="181"/>
      <c r="HZR117" s="182"/>
      <c r="HZS117" s="181"/>
      <c r="HZT117" s="182"/>
      <c r="HZU117" s="181"/>
      <c r="HZV117" s="182"/>
      <c r="HZW117" s="181"/>
      <c r="HZX117" s="182"/>
      <c r="HZY117" s="181"/>
      <c r="HZZ117" s="182"/>
      <c r="IAA117" s="181"/>
      <c r="IAB117" s="182"/>
      <c r="IAC117" s="181"/>
      <c r="IAD117" s="182"/>
      <c r="IAE117" s="181"/>
      <c r="IAF117" s="182"/>
      <c r="IAG117" s="181"/>
      <c r="IAH117" s="182"/>
      <c r="IAI117" s="181"/>
      <c r="IAJ117" s="182"/>
      <c r="IAK117" s="181"/>
      <c r="IAL117" s="182"/>
      <c r="IAM117" s="181"/>
      <c r="IAN117" s="182"/>
      <c r="IAO117" s="181"/>
      <c r="IAP117" s="182"/>
      <c r="IAQ117" s="181"/>
      <c r="IAR117" s="182"/>
      <c r="IAS117" s="181"/>
      <c r="IAT117" s="182"/>
      <c r="IAU117" s="181"/>
      <c r="IAV117" s="182"/>
      <c r="IAW117" s="181"/>
      <c r="IAX117" s="182"/>
      <c r="IAY117" s="181"/>
      <c r="IAZ117" s="182"/>
      <c r="IBA117" s="181"/>
      <c r="IBB117" s="182"/>
      <c r="IBC117" s="181"/>
      <c r="IBD117" s="182"/>
      <c r="IBE117" s="181"/>
      <c r="IBF117" s="182"/>
      <c r="IBG117" s="181"/>
      <c r="IBH117" s="182"/>
      <c r="IBI117" s="181"/>
      <c r="IBJ117" s="182"/>
      <c r="IBK117" s="181"/>
      <c r="IBL117" s="182"/>
      <c r="IBM117" s="181"/>
      <c r="IBN117" s="182"/>
      <c r="IBO117" s="181"/>
      <c r="IBP117" s="182"/>
      <c r="IBQ117" s="181"/>
      <c r="IBR117" s="182"/>
      <c r="IBS117" s="181"/>
      <c r="IBT117" s="182"/>
      <c r="IBU117" s="181"/>
      <c r="IBV117" s="182"/>
      <c r="IBW117" s="181"/>
      <c r="IBX117" s="182"/>
      <c r="IBY117" s="181"/>
      <c r="IBZ117" s="182"/>
      <c r="ICA117" s="181"/>
      <c r="ICB117" s="182"/>
      <c r="ICC117" s="181"/>
      <c r="ICD117" s="182"/>
      <c r="ICE117" s="181"/>
      <c r="ICF117" s="182"/>
      <c r="ICG117" s="181"/>
      <c r="ICH117" s="182"/>
      <c r="ICI117" s="181"/>
      <c r="ICJ117" s="182"/>
      <c r="ICK117" s="181"/>
      <c r="ICL117" s="182"/>
      <c r="ICM117" s="181"/>
      <c r="ICN117" s="182"/>
      <c r="ICO117" s="181"/>
      <c r="ICP117" s="182"/>
      <c r="ICQ117" s="181"/>
      <c r="ICR117" s="182"/>
      <c r="ICS117" s="181"/>
      <c r="ICT117" s="182"/>
      <c r="ICU117" s="181"/>
      <c r="ICV117" s="182"/>
      <c r="ICW117" s="181"/>
      <c r="ICX117" s="182"/>
      <c r="ICY117" s="181"/>
      <c r="ICZ117" s="182"/>
      <c r="IDA117" s="181"/>
      <c r="IDB117" s="182"/>
      <c r="IDC117" s="181"/>
      <c r="IDD117" s="182"/>
      <c r="IDE117" s="181"/>
      <c r="IDF117" s="182"/>
      <c r="IDG117" s="181"/>
      <c r="IDH117" s="182"/>
      <c r="IDI117" s="181"/>
      <c r="IDJ117" s="182"/>
      <c r="IDK117" s="181"/>
      <c r="IDL117" s="182"/>
      <c r="IDM117" s="181"/>
      <c r="IDN117" s="182"/>
      <c r="IDO117" s="181"/>
      <c r="IDP117" s="182"/>
      <c r="IDQ117" s="181"/>
      <c r="IDR117" s="182"/>
      <c r="IDS117" s="181"/>
      <c r="IDT117" s="182"/>
      <c r="IDU117" s="181"/>
      <c r="IDV117" s="182"/>
      <c r="IDW117" s="181"/>
      <c r="IDX117" s="182"/>
      <c r="IDY117" s="181"/>
      <c r="IDZ117" s="182"/>
      <c r="IEA117" s="181"/>
      <c r="IEB117" s="182"/>
      <c r="IEC117" s="181"/>
      <c r="IED117" s="182"/>
      <c r="IEE117" s="181"/>
      <c r="IEF117" s="182"/>
      <c r="IEG117" s="181"/>
      <c r="IEH117" s="182"/>
      <c r="IEI117" s="181"/>
      <c r="IEJ117" s="182"/>
      <c r="IEK117" s="181"/>
      <c r="IEL117" s="182"/>
      <c r="IEM117" s="181"/>
      <c r="IEN117" s="182"/>
      <c r="IEO117" s="181"/>
      <c r="IEP117" s="182"/>
      <c r="IEQ117" s="181"/>
      <c r="IER117" s="182"/>
      <c r="IES117" s="181"/>
      <c r="IET117" s="182"/>
      <c r="IEU117" s="181"/>
      <c r="IEV117" s="182"/>
      <c r="IEW117" s="181"/>
      <c r="IEX117" s="182"/>
      <c r="IEY117" s="181"/>
      <c r="IEZ117" s="182"/>
      <c r="IFA117" s="181"/>
      <c r="IFB117" s="182"/>
      <c r="IFC117" s="181"/>
      <c r="IFD117" s="182"/>
      <c r="IFE117" s="181"/>
      <c r="IFF117" s="182"/>
      <c r="IFG117" s="181"/>
      <c r="IFH117" s="182"/>
      <c r="IFI117" s="181"/>
      <c r="IFJ117" s="182"/>
      <c r="IFK117" s="181"/>
      <c r="IFL117" s="182"/>
      <c r="IFM117" s="181"/>
      <c r="IFN117" s="182"/>
      <c r="IFO117" s="181"/>
      <c r="IFP117" s="182"/>
      <c r="IFQ117" s="181"/>
      <c r="IFR117" s="182"/>
      <c r="IFS117" s="181"/>
      <c r="IFT117" s="182"/>
      <c r="IFU117" s="181"/>
      <c r="IFV117" s="182"/>
      <c r="IFW117" s="181"/>
      <c r="IFX117" s="182"/>
      <c r="IFY117" s="181"/>
      <c r="IFZ117" s="182"/>
      <c r="IGA117" s="181"/>
      <c r="IGB117" s="182"/>
      <c r="IGC117" s="181"/>
      <c r="IGD117" s="182"/>
      <c r="IGE117" s="181"/>
      <c r="IGF117" s="182"/>
      <c r="IGG117" s="181"/>
      <c r="IGH117" s="182"/>
      <c r="IGI117" s="181"/>
      <c r="IGJ117" s="182"/>
      <c r="IGK117" s="181"/>
      <c r="IGL117" s="182"/>
      <c r="IGM117" s="181"/>
      <c r="IGN117" s="182"/>
      <c r="IGO117" s="181"/>
      <c r="IGP117" s="182"/>
      <c r="IGQ117" s="181"/>
      <c r="IGR117" s="182"/>
      <c r="IGS117" s="181"/>
      <c r="IGT117" s="182"/>
      <c r="IGU117" s="181"/>
      <c r="IGV117" s="182"/>
      <c r="IGW117" s="181"/>
      <c r="IGX117" s="182"/>
      <c r="IGY117" s="181"/>
      <c r="IGZ117" s="182"/>
      <c r="IHA117" s="181"/>
      <c r="IHB117" s="182"/>
      <c r="IHC117" s="181"/>
      <c r="IHD117" s="182"/>
      <c r="IHE117" s="181"/>
      <c r="IHF117" s="182"/>
      <c r="IHG117" s="181"/>
      <c r="IHH117" s="182"/>
      <c r="IHI117" s="181"/>
      <c r="IHJ117" s="182"/>
      <c r="IHK117" s="181"/>
      <c r="IHL117" s="182"/>
      <c r="IHM117" s="181"/>
      <c r="IHN117" s="182"/>
      <c r="IHO117" s="181"/>
      <c r="IHP117" s="182"/>
      <c r="IHQ117" s="181"/>
      <c r="IHR117" s="182"/>
      <c r="IHS117" s="181"/>
      <c r="IHT117" s="182"/>
      <c r="IHU117" s="181"/>
      <c r="IHV117" s="182"/>
      <c r="IHW117" s="181"/>
      <c r="IHX117" s="182"/>
      <c r="IHY117" s="181"/>
      <c r="IHZ117" s="182"/>
      <c r="IIA117" s="181"/>
      <c r="IIB117" s="182"/>
      <c r="IIC117" s="181"/>
      <c r="IID117" s="182"/>
      <c r="IIE117" s="181"/>
      <c r="IIF117" s="182"/>
      <c r="IIG117" s="181"/>
      <c r="IIH117" s="182"/>
      <c r="III117" s="181"/>
      <c r="IIJ117" s="182"/>
      <c r="IIK117" s="181"/>
      <c r="IIL117" s="182"/>
      <c r="IIM117" s="181"/>
      <c r="IIN117" s="182"/>
      <c r="IIO117" s="181"/>
      <c r="IIP117" s="182"/>
      <c r="IIQ117" s="181"/>
      <c r="IIR117" s="182"/>
      <c r="IIS117" s="181"/>
      <c r="IIT117" s="182"/>
      <c r="IIU117" s="181"/>
      <c r="IIV117" s="182"/>
      <c r="IIW117" s="181"/>
      <c r="IIX117" s="182"/>
      <c r="IIY117" s="181"/>
      <c r="IIZ117" s="182"/>
      <c r="IJA117" s="181"/>
      <c r="IJB117" s="182"/>
      <c r="IJC117" s="181"/>
      <c r="IJD117" s="182"/>
      <c r="IJE117" s="181"/>
      <c r="IJF117" s="182"/>
      <c r="IJG117" s="181"/>
      <c r="IJH117" s="182"/>
      <c r="IJI117" s="181"/>
      <c r="IJJ117" s="182"/>
      <c r="IJK117" s="181"/>
      <c r="IJL117" s="182"/>
      <c r="IJM117" s="181"/>
      <c r="IJN117" s="182"/>
      <c r="IJO117" s="181"/>
      <c r="IJP117" s="182"/>
      <c r="IJQ117" s="181"/>
      <c r="IJR117" s="182"/>
      <c r="IJS117" s="181"/>
      <c r="IJT117" s="182"/>
      <c r="IJU117" s="181"/>
      <c r="IJV117" s="182"/>
      <c r="IJW117" s="181"/>
      <c r="IJX117" s="182"/>
      <c r="IJY117" s="181"/>
      <c r="IJZ117" s="182"/>
      <c r="IKA117" s="181"/>
      <c r="IKB117" s="182"/>
      <c r="IKC117" s="181"/>
      <c r="IKD117" s="182"/>
      <c r="IKE117" s="181"/>
      <c r="IKF117" s="182"/>
      <c r="IKG117" s="181"/>
      <c r="IKH117" s="182"/>
      <c r="IKI117" s="181"/>
      <c r="IKJ117" s="182"/>
      <c r="IKK117" s="181"/>
      <c r="IKL117" s="182"/>
      <c r="IKM117" s="181"/>
      <c r="IKN117" s="182"/>
      <c r="IKO117" s="181"/>
      <c r="IKP117" s="182"/>
      <c r="IKQ117" s="181"/>
      <c r="IKR117" s="182"/>
      <c r="IKS117" s="181"/>
      <c r="IKT117" s="182"/>
      <c r="IKU117" s="181"/>
      <c r="IKV117" s="182"/>
      <c r="IKW117" s="181"/>
      <c r="IKX117" s="182"/>
      <c r="IKY117" s="181"/>
      <c r="IKZ117" s="182"/>
      <c r="ILA117" s="181"/>
      <c r="ILB117" s="182"/>
      <c r="ILC117" s="181"/>
      <c r="ILD117" s="182"/>
      <c r="ILE117" s="181"/>
      <c r="ILF117" s="182"/>
      <c r="ILG117" s="181"/>
      <c r="ILH117" s="182"/>
      <c r="ILI117" s="181"/>
      <c r="ILJ117" s="182"/>
      <c r="ILK117" s="181"/>
      <c r="ILL117" s="182"/>
      <c r="ILM117" s="181"/>
      <c r="ILN117" s="182"/>
      <c r="ILO117" s="181"/>
      <c r="ILP117" s="182"/>
      <c r="ILQ117" s="181"/>
      <c r="ILR117" s="182"/>
      <c r="ILS117" s="181"/>
      <c r="ILT117" s="182"/>
      <c r="ILU117" s="181"/>
      <c r="ILV117" s="182"/>
      <c r="ILW117" s="181"/>
      <c r="ILX117" s="182"/>
      <c r="ILY117" s="181"/>
      <c r="ILZ117" s="182"/>
      <c r="IMA117" s="181"/>
      <c r="IMB117" s="182"/>
      <c r="IMC117" s="181"/>
      <c r="IMD117" s="182"/>
      <c r="IME117" s="181"/>
      <c r="IMF117" s="182"/>
      <c r="IMG117" s="181"/>
      <c r="IMH117" s="182"/>
      <c r="IMI117" s="181"/>
      <c r="IMJ117" s="182"/>
      <c r="IMK117" s="181"/>
      <c r="IML117" s="182"/>
      <c r="IMM117" s="181"/>
      <c r="IMN117" s="182"/>
      <c r="IMO117" s="181"/>
      <c r="IMP117" s="182"/>
      <c r="IMQ117" s="181"/>
      <c r="IMR117" s="182"/>
      <c r="IMS117" s="181"/>
      <c r="IMT117" s="182"/>
      <c r="IMU117" s="181"/>
      <c r="IMV117" s="182"/>
      <c r="IMW117" s="181"/>
      <c r="IMX117" s="182"/>
      <c r="IMY117" s="181"/>
      <c r="IMZ117" s="182"/>
      <c r="INA117" s="181"/>
      <c r="INB117" s="182"/>
      <c r="INC117" s="181"/>
      <c r="IND117" s="182"/>
      <c r="INE117" s="181"/>
      <c r="INF117" s="182"/>
      <c r="ING117" s="181"/>
      <c r="INH117" s="182"/>
      <c r="INI117" s="181"/>
      <c r="INJ117" s="182"/>
      <c r="INK117" s="181"/>
      <c r="INL117" s="182"/>
      <c r="INM117" s="181"/>
      <c r="INN117" s="182"/>
      <c r="INO117" s="181"/>
      <c r="INP117" s="182"/>
      <c r="INQ117" s="181"/>
      <c r="INR117" s="182"/>
      <c r="INS117" s="181"/>
      <c r="INT117" s="182"/>
      <c r="INU117" s="181"/>
      <c r="INV117" s="182"/>
      <c r="INW117" s="181"/>
      <c r="INX117" s="182"/>
      <c r="INY117" s="181"/>
      <c r="INZ117" s="182"/>
      <c r="IOA117" s="181"/>
      <c r="IOB117" s="182"/>
      <c r="IOC117" s="181"/>
      <c r="IOD117" s="182"/>
      <c r="IOE117" s="181"/>
      <c r="IOF117" s="182"/>
      <c r="IOG117" s="181"/>
      <c r="IOH117" s="182"/>
      <c r="IOI117" s="181"/>
      <c r="IOJ117" s="182"/>
      <c r="IOK117" s="181"/>
      <c r="IOL117" s="182"/>
      <c r="IOM117" s="181"/>
      <c r="ION117" s="182"/>
      <c r="IOO117" s="181"/>
      <c r="IOP117" s="182"/>
      <c r="IOQ117" s="181"/>
      <c r="IOR117" s="182"/>
      <c r="IOS117" s="181"/>
      <c r="IOT117" s="182"/>
      <c r="IOU117" s="181"/>
      <c r="IOV117" s="182"/>
      <c r="IOW117" s="181"/>
      <c r="IOX117" s="182"/>
      <c r="IOY117" s="181"/>
      <c r="IOZ117" s="182"/>
      <c r="IPA117" s="181"/>
      <c r="IPB117" s="182"/>
      <c r="IPC117" s="181"/>
      <c r="IPD117" s="182"/>
      <c r="IPE117" s="181"/>
      <c r="IPF117" s="182"/>
      <c r="IPG117" s="181"/>
      <c r="IPH117" s="182"/>
      <c r="IPI117" s="181"/>
      <c r="IPJ117" s="182"/>
      <c r="IPK117" s="181"/>
      <c r="IPL117" s="182"/>
      <c r="IPM117" s="181"/>
      <c r="IPN117" s="182"/>
      <c r="IPO117" s="181"/>
      <c r="IPP117" s="182"/>
      <c r="IPQ117" s="181"/>
      <c r="IPR117" s="182"/>
      <c r="IPS117" s="181"/>
      <c r="IPT117" s="182"/>
      <c r="IPU117" s="181"/>
      <c r="IPV117" s="182"/>
      <c r="IPW117" s="181"/>
      <c r="IPX117" s="182"/>
      <c r="IPY117" s="181"/>
      <c r="IPZ117" s="182"/>
      <c r="IQA117" s="181"/>
      <c r="IQB117" s="182"/>
      <c r="IQC117" s="181"/>
      <c r="IQD117" s="182"/>
      <c r="IQE117" s="181"/>
      <c r="IQF117" s="182"/>
      <c r="IQG117" s="181"/>
      <c r="IQH117" s="182"/>
      <c r="IQI117" s="181"/>
      <c r="IQJ117" s="182"/>
      <c r="IQK117" s="181"/>
      <c r="IQL117" s="182"/>
      <c r="IQM117" s="181"/>
      <c r="IQN117" s="182"/>
      <c r="IQO117" s="181"/>
      <c r="IQP117" s="182"/>
      <c r="IQQ117" s="181"/>
      <c r="IQR117" s="182"/>
      <c r="IQS117" s="181"/>
      <c r="IQT117" s="182"/>
      <c r="IQU117" s="181"/>
      <c r="IQV117" s="182"/>
      <c r="IQW117" s="181"/>
      <c r="IQX117" s="182"/>
      <c r="IQY117" s="181"/>
      <c r="IQZ117" s="182"/>
      <c r="IRA117" s="181"/>
      <c r="IRB117" s="182"/>
      <c r="IRC117" s="181"/>
      <c r="IRD117" s="182"/>
      <c r="IRE117" s="181"/>
      <c r="IRF117" s="182"/>
      <c r="IRG117" s="181"/>
      <c r="IRH117" s="182"/>
      <c r="IRI117" s="181"/>
      <c r="IRJ117" s="182"/>
      <c r="IRK117" s="181"/>
      <c r="IRL117" s="182"/>
      <c r="IRM117" s="181"/>
      <c r="IRN117" s="182"/>
      <c r="IRO117" s="181"/>
      <c r="IRP117" s="182"/>
      <c r="IRQ117" s="181"/>
      <c r="IRR117" s="182"/>
      <c r="IRS117" s="181"/>
      <c r="IRT117" s="182"/>
      <c r="IRU117" s="181"/>
      <c r="IRV117" s="182"/>
      <c r="IRW117" s="181"/>
      <c r="IRX117" s="182"/>
      <c r="IRY117" s="181"/>
      <c r="IRZ117" s="182"/>
      <c r="ISA117" s="181"/>
      <c r="ISB117" s="182"/>
      <c r="ISC117" s="181"/>
      <c r="ISD117" s="182"/>
      <c r="ISE117" s="181"/>
      <c r="ISF117" s="182"/>
      <c r="ISG117" s="181"/>
      <c r="ISH117" s="182"/>
      <c r="ISI117" s="181"/>
      <c r="ISJ117" s="182"/>
      <c r="ISK117" s="181"/>
      <c r="ISL117" s="182"/>
      <c r="ISM117" s="181"/>
      <c r="ISN117" s="182"/>
      <c r="ISO117" s="181"/>
      <c r="ISP117" s="182"/>
      <c r="ISQ117" s="181"/>
      <c r="ISR117" s="182"/>
      <c r="ISS117" s="181"/>
      <c r="IST117" s="182"/>
      <c r="ISU117" s="181"/>
      <c r="ISV117" s="182"/>
      <c r="ISW117" s="181"/>
      <c r="ISX117" s="182"/>
      <c r="ISY117" s="181"/>
      <c r="ISZ117" s="182"/>
      <c r="ITA117" s="181"/>
      <c r="ITB117" s="182"/>
      <c r="ITC117" s="181"/>
      <c r="ITD117" s="182"/>
      <c r="ITE117" s="181"/>
      <c r="ITF117" s="182"/>
      <c r="ITG117" s="181"/>
      <c r="ITH117" s="182"/>
      <c r="ITI117" s="181"/>
      <c r="ITJ117" s="182"/>
      <c r="ITK117" s="181"/>
      <c r="ITL117" s="182"/>
      <c r="ITM117" s="181"/>
      <c r="ITN117" s="182"/>
      <c r="ITO117" s="181"/>
      <c r="ITP117" s="182"/>
      <c r="ITQ117" s="181"/>
      <c r="ITR117" s="182"/>
      <c r="ITS117" s="181"/>
      <c r="ITT117" s="182"/>
      <c r="ITU117" s="181"/>
      <c r="ITV117" s="182"/>
      <c r="ITW117" s="181"/>
      <c r="ITX117" s="182"/>
      <c r="ITY117" s="181"/>
      <c r="ITZ117" s="182"/>
      <c r="IUA117" s="181"/>
      <c r="IUB117" s="182"/>
      <c r="IUC117" s="181"/>
      <c r="IUD117" s="182"/>
      <c r="IUE117" s="181"/>
      <c r="IUF117" s="182"/>
      <c r="IUG117" s="181"/>
      <c r="IUH117" s="182"/>
      <c r="IUI117" s="181"/>
      <c r="IUJ117" s="182"/>
      <c r="IUK117" s="181"/>
      <c r="IUL117" s="182"/>
      <c r="IUM117" s="181"/>
      <c r="IUN117" s="182"/>
      <c r="IUO117" s="181"/>
      <c r="IUP117" s="182"/>
      <c r="IUQ117" s="181"/>
      <c r="IUR117" s="182"/>
      <c r="IUS117" s="181"/>
      <c r="IUT117" s="182"/>
      <c r="IUU117" s="181"/>
      <c r="IUV117" s="182"/>
      <c r="IUW117" s="181"/>
      <c r="IUX117" s="182"/>
      <c r="IUY117" s="181"/>
      <c r="IUZ117" s="182"/>
      <c r="IVA117" s="181"/>
      <c r="IVB117" s="182"/>
      <c r="IVC117" s="181"/>
      <c r="IVD117" s="182"/>
      <c r="IVE117" s="181"/>
      <c r="IVF117" s="182"/>
      <c r="IVG117" s="181"/>
      <c r="IVH117" s="182"/>
      <c r="IVI117" s="181"/>
      <c r="IVJ117" s="182"/>
      <c r="IVK117" s="181"/>
      <c r="IVL117" s="182"/>
      <c r="IVM117" s="181"/>
      <c r="IVN117" s="182"/>
      <c r="IVO117" s="181"/>
      <c r="IVP117" s="182"/>
      <c r="IVQ117" s="181"/>
      <c r="IVR117" s="182"/>
      <c r="IVS117" s="181"/>
      <c r="IVT117" s="182"/>
      <c r="IVU117" s="181"/>
      <c r="IVV117" s="182"/>
      <c r="IVW117" s="181"/>
      <c r="IVX117" s="182"/>
      <c r="IVY117" s="181"/>
      <c r="IVZ117" s="182"/>
      <c r="IWA117" s="181"/>
      <c r="IWB117" s="182"/>
      <c r="IWC117" s="181"/>
      <c r="IWD117" s="182"/>
      <c r="IWE117" s="181"/>
      <c r="IWF117" s="182"/>
      <c r="IWG117" s="181"/>
      <c r="IWH117" s="182"/>
      <c r="IWI117" s="181"/>
      <c r="IWJ117" s="182"/>
      <c r="IWK117" s="181"/>
      <c r="IWL117" s="182"/>
      <c r="IWM117" s="181"/>
      <c r="IWN117" s="182"/>
      <c r="IWO117" s="181"/>
      <c r="IWP117" s="182"/>
      <c r="IWQ117" s="181"/>
      <c r="IWR117" s="182"/>
      <c r="IWS117" s="181"/>
      <c r="IWT117" s="182"/>
      <c r="IWU117" s="181"/>
      <c r="IWV117" s="182"/>
      <c r="IWW117" s="181"/>
      <c r="IWX117" s="182"/>
      <c r="IWY117" s="181"/>
      <c r="IWZ117" s="182"/>
      <c r="IXA117" s="181"/>
      <c r="IXB117" s="182"/>
      <c r="IXC117" s="181"/>
      <c r="IXD117" s="182"/>
      <c r="IXE117" s="181"/>
      <c r="IXF117" s="182"/>
      <c r="IXG117" s="181"/>
      <c r="IXH117" s="182"/>
      <c r="IXI117" s="181"/>
      <c r="IXJ117" s="182"/>
      <c r="IXK117" s="181"/>
      <c r="IXL117" s="182"/>
      <c r="IXM117" s="181"/>
      <c r="IXN117" s="182"/>
      <c r="IXO117" s="181"/>
      <c r="IXP117" s="182"/>
      <c r="IXQ117" s="181"/>
      <c r="IXR117" s="182"/>
      <c r="IXS117" s="181"/>
      <c r="IXT117" s="182"/>
      <c r="IXU117" s="181"/>
      <c r="IXV117" s="182"/>
      <c r="IXW117" s="181"/>
      <c r="IXX117" s="182"/>
      <c r="IXY117" s="181"/>
      <c r="IXZ117" s="182"/>
      <c r="IYA117" s="181"/>
      <c r="IYB117" s="182"/>
      <c r="IYC117" s="181"/>
      <c r="IYD117" s="182"/>
      <c r="IYE117" s="181"/>
      <c r="IYF117" s="182"/>
      <c r="IYG117" s="181"/>
      <c r="IYH117" s="182"/>
      <c r="IYI117" s="181"/>
      <c r="IYJ117" s="182"/>
      <c r="IYK117" s="181"/>
      <c r="IYL117" s="182"/>
      <c r="IYM117" s="181"/>
      <c r="IYN117" s="182"/>
      <c r="IYO117" s="181"/>
      <c r="IYP117" s="182"/>
      <c r="IYQ117" s="181"/>
      <c r="IYR117" s="182"/>
      <c r="IYS117" s="181"/>
      <c r="IYT117" s="182"/>
      <c r="IYU117" s="181"/>
      <c r="IYV117" s="182"/>
      <c r="IYW117" s="181"/>
      <c r="IYX117" s="182"/>
      <c r="IYY117" s="181"/>
      <c r="IYZ117" s="182"/>
      <c r="IZA117" s="181"/>
      <c r="IZB117" s="182"/>
      <c r="IZC117" s="181"/>
      <c r="IZD117" s="182"/>
      <c r="IZE117" s="181"/>
      <c r="IZF117" s="182"/>
      <c r="IZG117" s="181"/>
      <c r="IZH117" s="182"/>
      <c r="IZI117" s="181"/>
      <c r="IZJ117" s="182"/>
      <c r="IZK117" s="181"/>
      <c r="IZL117" s="182"/>
      <c r="IZM117" s="181"/>
      <c r="IZN117" s="182"/>
      <c r="IZO117" s="181"/>
      <c r="IZP117" s="182"/>
      <c r="IZQ117" s="181"/>
      <c r="IZR117" s="182"/>
      <c r="IZS117" s="181"/>
      <c r="IZT117" s="182"/>
      <c r="IZU117" s="181"/>
      <c r="IZV117" s="182"/>
      <c r="IZW117" s="181"/>
      <c r="IZX117" s="182"/>
      <c r="IZY117" s="181"/>
      <c r="IZZ117" s="182"/>
      <c r="JAA117" s="181"/>
      <c r="JAB117" s="182"/>
      <c r="JAC117" s="181"/>
      <c r="JAD117" s="182"/>
      <c r="JAE117" s="181"/>
      <c r="JAF117" s="182"/>
      <c r="JAG117" s="181"/>
      <c r="JAH117" s="182"/>
      <c r="JAI117" s="181"/>
      <c r="JAJ117" s="182"/>
      <c r="JAK117" s="181"/>
      <c r="JAL117" s="182"/>
      <c r="JAM117" s="181"/>
      <c r="JAN117" s="182"/>
      <c r="JAO117" s="181"/>
      <c r="JAP117" s="182"/>
      <c r="JAQ117" s="181"/>
      <c r="JAR117" s="182"/>
      <c r="JAS117" s="181"/>
      <c r="JAT117" s="182"/>
      <c r="JAU117" s="181"/>
      <c r="JAV117" s="182"/>
      <c r="JAW117" s="181"/>
      <c r="JAX117" s="182"/>
      <c r="JAY117" s="181"/>
      <c r="JAZ117" s="182"/>
      <c r="JBA117" s="181"/>
      <c r="JBB117" s="182"/>
      <c r="JBC117" s="181"/>
      <c r="JBD117" s="182"/>
      <c r="JBE117" s="181"/>
      <c r="JBF117" s="182"/>
      <c r="JBG117" s="181"/>
      <c r="JBH117" s="182"/>
      <c r="JBI117" s="181"/>
      <c r="JBJ117" s="182"/>
      <c r="JBK117" s="181"/>
      <c r="JBL117" s="182"/>
      <c r="JBM117" s="181"/>
      <c r="JBN117" s="182"/>
      <c r="JBO117" s="181"/>
      <c r="JBP117" s="182"/>
      <c r="JBQ117" s="181"/>
      <c r="JBR117" s="182"/>
      <c r="JBS117" s="181"/>
      <c r="JBT117" s="182"/>
      <c r="JBU117" s="181"/>
      <c r="JBV117" s="182"/>
      <c r="JBW117" s="181"/>
      <c r="JBX117" s="182"/>
      <c r="JBY117" s="181"/>
      <c r="JBZ117" s="182"/>
      <c r="JCA117" s="181"/>
      <c r="JCB117" s="182"/>
      <c r="JCC117" s="181"/>
      <c r="JCD117" s="182"/>
      <c r="JCE117" s="181"/>
      <c r="JCF117" s="182"/>
      <c r="JCG117" s="181"/>
      <c r="JCH117" s="182"/>
      <c r="JCI117" s="181"/>
      <c r="JCJ117" s="182"/>
      <c r="JCK117" s="181"/>
      <c r="JCL117" s="182"/>
      <c r="JCM117" s="181"/>
      <c r="JCN117" s="182"/>
      <c r="JCO117" s="181"/>
      <c r="JCP117" s="182"/>
      <c r="JCQ117" s="181"/>
      <c r="JCR117" s="182"/>
      <c r="JCS117" s="181"/>
      <c r="JCT117" s="182"/>
      <c r="JCU117" s="181"/>
      <c r="JCV117" s="182"/>
      <c r="JCW117" s="181"/>
      <c r="JCX117" s="182"/>
      <c r="JCY117" s="181"/>
      <c r="JCZ117" s="182"/>
      <c r="JDA117" s="181"/>
      <c r="JDB117" s="182"/>
      <c r="JDC117" s="181"/>
      <c r="JDD117" s="182"/>
      <c r="JDE117" s="181"/>
      <c r="JDF117" s="182"/>
      <c r="JDG117" s="181"/>
      <c r="JDH117" s="182"/>
      <c r="JDI117" s="181"/>
      <c r="JDJ117" s="182"/>
      <c r="JDK117" s="181"/>
      <c r="JDL117" s="182"/>
      <c r="JDM117" s="181"/>
      <c r="JDN117" s="182"/>
      <c r="JDO117" s="181"/>
      <c r="JDP117" s="182"/>
      <c r="JDQ117" s="181"/>
      <c r="JDR117" s="182"/>
      <c r="JDS117" s="181"/>
      <c r="JDT117" s="182"/>
      <c r="JDU117" s="181"/>
      <c r="JDV117" s="182"/>
      <c r="JDW117" s="181"/>
      <c r="JDX117" s="182"/>
      <c r="JDY117" s="181"/>
      <c r="JDZ117" s="182"/>
      <c r="JEA117" s="181"/>
      <c r="JEB117" s="182"/>
      <c r="JEC117" s="181"/>
      <c r="JED117" s="182"/>
      <c r="JEE117" s="181"/>
      <c r="JEF117" s="182"/>
      <c r="JEG117" s="181"/>
      <c r="JEH117" s="182"/>
      <c r="JEI117" s="181"/>
      <c r="JEJ117" s="182"/>
      <c r="JEK117" s="181"/>
      <c r="JEL117" s="182"/>
      <c r="JEM117" s="181"/>
      <c r="JEN117" s="182"/>
      <c r="JEO117" s="181"/>
      <c r="JEP117" s="182"/>
      <c r="JEQ117" s="181"/>
      <c r="JER117" s="182"/>
      <c r="JES117" s="181"/>
      <c r="JET117" s="182"/>
      <c r="JEU117" s="181"/>
      <c r="JEV117" s="182"/>
      <c r="JEW117" s="181"/>
      <c r="JEX117" s="182"/>
      <c r="JEY117" s="181"/>
      <c r="JEZ117" s="182"/>
      <c r="JFA117" s="181"/>
      <c r="JFB117" s="182"/>
      <c r="JFC117" s="181"/>
      <c r="JFD117" s="182"/>
      <c r="JFE117" s="181"/>
      <c r="JFF117" s="182"/>
      <c r="JFG117" s="181"/>
      <c r="JFH117" s="182"/>
      <c r="JFI117" s="181"/>
      <c r="JFJ117" s="182"/>
      <c r="JFK117" s="181"/>
      <c r="JFL117" s="182"/>
      <c r="JFM117" s="181"/>
      <c r="JFN117" s="182"/>
      <c r="JFO117" s="181"/>
      <c r="JFP117" s="182"/>
      <c r="JFQ117" s="181"/>
      <c r="JFR117" s="182"/>
      <c r="JFS117" s="181"/>
      <c r="JFT117" s="182"/>
      <c r="JFU117" s="181"/>
      <c r="JFV117" s="182"/>
      <c r="JFW117" s="181"/>
      <c r="JFX117" s="182"/>
      <c r="JFY117" s="181"/>
      <c r="JFZ117" s="182"/>
      <c r="JGA117" s="181"/>
      <c r="JGB117" s="182"/>
      <c r="JGC117" s="181"/>
      <c r="JGD117" s="182"/>
      <c r="JGE117" s="181"/>
      <c r="JGF117" s="182"/>
      <c r="JGG117" s="181"/>
      <c r="JGH117" s="182"/>
      <c r="JGI117" s="181"/>
      <c r="JGJ117" s="182"/>
      <c r="JGK117" s="181"/>
      <c r="JGL117" s="182"/>
      <c r="JGM117" s="181"/>
      <c r="JGN117" s="182"/>
      <c r="JGO117" s="181"/>
      <c r="JGP117" s="182"/>
      <c r="JGQ117" s="181"/>
      <c r="JGR117" s="182"/>
      <c r="JGS117" s="181"/>
      <c r="JGT117" s="182"/>
      <c r="JGU117" s="181"/>
      <c r="JGV117" s="182"/>
      <c r="JGW117" s="181"/>
      <c r="JGX117" s="182"/>
      <c r="JGY117" s="181"/>
      <c r="JGZ117" s="182"/>
      <c r="JHA117" s="181"/>
      <c r="JHB117" s="182"/>
      <c r="JHC117" s="181"/>
      <c r="JHD117" s="182"/>
      <c r="JHE117" s="181"/>
      <c r="JHF117" s="182"/>
      <c r="JHG117" s="181"/>
      <c r="JHH117" s="182"/>
      <c r="JHI117" s="181"/>
      <c r="JHJ117" s="182"/>
      <c r="JHK117" s="181"/>
      <c r="JHL117" s="182"/>
      <c r="JHM117" s="181"/>
      <c r="JHN117" s="182"/>
      <c r="JHO117" s="181"/>
      <c r="JHP117" s="182"/>
      <c r="JHQ117" s="181"/>
      <c r="JHR117" s="182"/>
      <c r="JHS117" s="181"/>
      <c r="JHT117" s="182"/>
      <c r="JHU117" s="181"/>
      <c r="JHV117" s="182"/>
      <c r="JHW117" s="181"/>
      <c r="JHX117" s="182"/>
      <c r="JHY117" s="181"/>
      <c r="JHZ117" s="182"/>
      <c r="JIA117" s="181"/>
      <c r="JIB117" s="182"/>
      <c r="JIC117" s="181"/>
      <c r="JID117" s="182"/>
      <c r="JIE117" s="181"/>
      <c r="JIF117" s="182"/>
      <c r="JIG117" s="181"/>
      <c r="JIH117" s="182"/>
      <c r="JII117" s="181"/>
      <c r="JIJ117" s="182"/>
      <c r="JIK117" s="181"/>
      <c r="JIL117" s="182"/>
      <c r="JIM117" s="181"/>
      <c r="JIN117" s="182"/>
      <c r="JIO117" s="181"/>
      <c r="JIP117" s="182"/>
      <c r="JIQ117" s="181"/>
      <c r="JIR117" s="182"/>
      <c r="JIS117" s="181"/>
      <c r="JIT117" s="182"/>
      <c r="JIU117" s="181"/>
      <c r="JIV117" s="182"/>
      <c r="JIW117" s="181"/>
      <c r="JIX117" s="182"/>
      <c r="JIY117" s="181"/>
      <c r="JIZ117" s="182"/>
      <c r="JJA117" s="181"/>
      <c r="JJB117" s="182"/>
      <c r="JJC117" s="181"/>
      <c r="JJD117" s="182"/>
      <c r="JJE117" s="181"/>
      <c r="JJF117" s="182"/>
      <c r="JJG117" s="181"/>
      <c r="JJH117" s="182"/>
      <c r="JJI117" s="181"/>
      <c r="JJJ117" s="182"/>
      <c r="JJK117" s="181"/>
      <c r="JJL117" s="182"/>
      <c r="JJM117" s="181"/>
      <c r="JJN117" s="182"/>
      <c r="JJO117" s="181"/>
      <c r="JJP117" s="182"/>
      <c r="JJQ117" s="181"/>
      <c r="JJR117" s="182"/>
      <c r="JJS117" s="181"/>
      <c r="JJT117" s="182"/>
      <c r="JJU117" s="181"/>
      <c r="JJV117" s="182"/>
      <c r="JJW117" s="181"/>
      <c r="JJX117" s="182"/>
      <c r="JJY117" s="181"/>
      <c r="JJZ117" s="182"/>
      <c r="JKA117" s="181"/>
      <c r="JKB117" s="182"/>
      <c r="JKC117" s="181"/>
      <c r="JKD117" s="182"/>
      <c r="JKE117" s="181"/>
      <c r="JKF117" s="182"/>
      <c r="JKG117" s="181"/>
      <c r="JKH117" s="182"/>
      <c r="JKI117" s="181"/>
      <c r="JKJ117" s="182"/>
      <c r="JKK117" s="181"/>
      <c r="JKL117" s="182"/>
      <c r="JKM117" s="181"/>
      <c r="JKN117" s="182"/>
      <c r="JKO117" s="181"/>
      <c r="JKP117" s="182"/>
      <c r="JKQ117" s="181"/>
      <c r="JKR117" s="182"/>
      <c r="JKS117" s="181"/>
      <c r="JKT117" s="182"/>
      <c r="JKU117" s="181"/>
      <c r="JKV117" s="182"/>
      <c r="JKW117" s="181"/>
      <c r="JKX117" s="182"/>
      <c r="JKY117" s="181"/>
      <c r="JKZ117" s="182"/>
      <c r="JLA117" s="181"/>
      <c r="JLB117" s="182"/>
      <c r="JLC117" s="181"/>
      <c r="JLD117" s="182"/>
      <c r="JLE117" s="181"/>
      <c r="JLF117" s="182"/>
      <c r="JLG117" s="181"/>
      <c r="JLH117" s="182"/>
      <c r="JLI117" s="181"/>
      <c r="JLJ117" s="182"/>
      <c r="JLK117" s="181"/>
      <c r="JLL117" s="182"/>
      <c r="JLM117" s="181"/>
      <c r="JLN117" s="182"/>
      <c r="JLO117" s="181"/>
      <c r="JLP117" s="182"/>
      <c r="JLQ117" s="181"/>
      <c r="JLR117" s="182"/>
      <c r="JLS117" s="181"/>
      <c r="JLT117" s="182"/>
      <c r="JLU117" s="181"/>
      <c r="JLV117" s="182"/>
      <c r="JLW117" s="181"/>
      <c r="JLX117" s="182"/>
      <c r="JLY117" s="181"/>
      <c r="JLZ117" s="182"/>
      <c r="JMA117" s="181"/>
      <c r="JMB117" s="182"/>
      <c r="JMC117" s="181"/>
      <c r="JMD117" s="182"/>
      <c r="JME117" s="181"/>
      <c r="JMF117" s="182"/>
      <c r="JMG117" s="181"/>
      <c r="JMH117" s="182"/>
      <c r="JMI117" s="181"/>
      <c r="JMJ117" s="182"/>
      <c r="JMK117" s="181"/>
      <c r="JML117" s="182"/>
      <c r="JMM117" s="181"/>
      <c r="JMN117" s="182"/>
      <c r="JMO117" s="181"/>
      <c r="JMP117" s="182"/>
      <c r="JMQ117" s="181"/>
      <c r="JMR117" s="182"/>
      <c r="JMS117" s="181"/>
      <c r="JMT117" s="182"/>
      <c r="JMU117" s="181"/>
      <c r="JMV117" s="182"/>
      <c r="JMW117" s="181"/>
      <c r="JMX117" s="182"/>
      <c r="JMY117" s="181"/>
      <c r="JMZ117" s="182"/>
      <c r="JNA117" s="181"/>
      <c r="JNB117" s="182"/>
      <c r="JNC117" s="181"/>
      <c r="JND117" s="182"/>
      <c r="JNE117" s="181"/>
      <c r="JNF117" s="182"/>
      <c r="JNG117" s="181"/>
      <c r="JNH117" s="182"/>
      <c r="JNI117" s="181"/>
      <c r="JNJ117" s="182"/>
      <c r="JNK117" s="181"/>
      <c r="JNL117" s="182"/>
      <c r="JNM117" s="181"/>
      <c r="JNN117" s="182"/>
      <c r="JNO117" s="181"/>
      <c r="JNP117" s="182"/>
      <c r="JNQ117" s="181"/>
      <c r="JNR117" s="182"/>
      <c r="JNS117" s="181"/>
      <c r="JNT117" s="182"/>
      <c r="JNU117" s="181"/>
      <c r="JNV117" s="182"/>
      <c r="JNW117" s="181"/>
      <c r="JNX117" s="182"/>
      <c r="JNY117" s="181"/>
      <c r="JNZ117" s="182"/>
      <c r="JOA117" s="181"/>
      <c r="JOB117" s="182"/>
      <c r="JOC117" s="181"/>
      <c r="JOD117" s="182"/>
      <c r="JOE117" s="181"/>
      <c r="JOF117" s="182"/>
      <c r="JOG117" s="181"/>
      <c r="JOH117" s="182"/>
      <c r="JOI117" s="181"/>
      <c r="JOJ117" s="182"/>
      <c r="JOK117" s="181"/>
      <c r="JOL117" s="182"/>
      <c r="JOM117" s="181"/>
      <c r="JON117" s="182"/>
      <c r="JOO117" s="181"/>
      <c r="JOP117" s="182"/>
      <c r="JOQ117" s="181"/>
      <c r="JOR117" s="182"/>
      <c r="JOS117" s="181"/>
      <c r="JOT117" s="182"/>
      <c r="JOU117" s="181"/>
      <c r="JOV117" s="182"/>
      <c r="JOW117" s="181"/>
      <c r="JOX117" s="182"/>
      <c r="JOY117" s="181"/>
      <c r="JOZ117" s="182"/>
      <c r="JPA117" s="181"/>
      <c r="JPB117" s="182"/>
      <c r="JPC117" s="181"/>
      <c r="JPD117" s="182"/>
      <c r="JPE117" s="181"/>
      <c r="JPF117" s="182"/>
      <c r="JPG117" s="181"/>
      <c r="JPH117" s="182"/>
      <c r="JPI117" s="181"/>
      <c r="JPJ117" s="182"/>
      <c r="JPK117" s="181"/>
      <c r="JPL117" s="182"/>
      <c r="JPM117" s="181"/>
      <c r="JPN117" s="182"/>
      <c r="JPO117" s="181"/>
      <c r="JPP117" s="182"/>
      <c r="JPQ117" s="181"/>
      <c r="JPR117" s="182"/>
      <c r="JPS117" s="181"/>
      <c r="JPT117" s="182"/>
      <c r="JPU117" s="181"/>
      <c r="JPV117" s="182"/>
      <c r="JPW117" s="181"/>
      <c r="JPX117" s="182"/>
      <c r="JPY117" s="181"/>
      <c r="JPZ117" s="182"/>
      <c r="JQA117" s="181"/>
      <c r="JQB117" s="182"/>
      <c r="JQC117" s="181"/>
      <c r="JQD117" s="182"/>
      <c r="JQE117" s="181"/>
      <c r="JQF117" s="182"/>
      <c r="JQG117" s="181"/>
      <c r="JQH117" s="182"/>
      <c r="JQI117" s="181"/>
      <c r="JQJ117" s="182"/>
      <c r="JQK117" s="181"/>
      <c r="JQL117" s="182"/>
      <c r="JQM117" s="181"/>
      <c r="JQN117" s="182"/>
      <c r="JQO117" s="181"/>
      <c r="JQP117" s="182"/>
      <c r="JQQ117" s="181"/>
      <c r="JQR117" s="182"/>
      <c r="JQS117" s="181"/>
      <c r="JQT117" s="182"/>
      <c r="JQU117" s="181"/>
      <c r="JQV117" s="182"/>
      <c r="JQW117" s="181"/>
      <c r="JQX117" s="182"/>
      <c r="JQY117" s="181"/>
      <c r="JQZ117" s="182"/>
      <c r="JRA117" s="181"/>
      <c r="JRB117" s="182"/>
      <c r="JRC117" s="181"/>
      <c r="JRD117" s="182"/>
      <c r="JRE117" s="181"/>
      <c r="JRF117" s="182"/>
      <c r="JRG117" s="181"/>
      <c r="JRH117" s="182"/>
      <c r="JRI117" s="181"/>
      <c r="JRJ117" s="182"/>
      <c r="JRK117" s="181"/>
      <c r="JRL117" s="182"/>
      <c r="JRM117" s="181"/>
      <c r="JRN117" s="182"/>
      <c r="JRO117" s="181"/>
      <c r="JRP117" s="182"/>
      <c r="JRQ117" s="181"/>
      <c r="JRR117" s="182"/>
      <c r="JRS117" s="181"/>
      <c r="JRT117" s="182"/>
      <c r="JRU117" s="181"/>
      <c r="JRV117" s="182"/>
      <c r="JRW117" s="181"/>
      <c r="JRX117" s="182"/>
      <c r="JRY117" s="181"/>
      <c r="JRZ117" s="182"/>
      <c r="JSA117" s="181"/>
      <c r="JSB117" s="182"/>
      <c r="JSC117" s="181"/>
      <c r="JSD117" s="182"/>
      <c r="JSE117" s="181"/>
      <c r="JSF117" s="182"/>
      <c r="JSG117" s="181"/>
      <c r="JSH117" s="182"/>
      <c r="JSI117" s="181"/>
      <c r="JSJ117" s="182"/>
      <c r="JSK117" s="181"/>
      <c r="JSL117" s="182"/>
      <c r="JSM117" s="181"/>
      <c r="JSN117" s="182"/>
      <c r="JSO117" s="181"/>
      <c r="JSP117" s="182"/>
      <c r="JSQ117" s="181"/>
      <c r="JSR117" s="182"/>
      <c r="JSS117" s="181"/>
      <c r="JST117" s="182"/>
      <c r="JSU117" s="181"/>
      <c r="JSV117" s="182"/>
      <c r="JSW117" s="181"/>
      <c r="JSX117" s="182"/>
      <c r="JSY117" s="181"/>
      <c r="JSZ117" s="182"/>
      <c r="JTA117" s="181"/>
      <c r="JTB117" s="182"/>
      <c r="JTC117" s="181"/>
      <c r="JTD117" s="182"/>
      <c r="JTE117" s="181"/>
      <c r="JTF117" s="182"/>
      <c r="JTG117" s="181"/>
      <c r="JTH117" s="182"/>
      <c r="JTI117" s="181"/>
      <c r="JTJ117" s="182"/>
      <c r="JTK117" s="181"/>
      <c r="JTL117" s="182"/>
      <c r="JTM117" s="181"/>
      <c r="JTN117" s="182"/>
      <c r="JTO117" s="181"/>
      <c r="JTP117" s="182"/>
      <c r="JTQ117" s="181"/>
      <c r="JTR117" s="182"/>
      <c r="JTS117" s="181"/>
      <c r="JTT117" s="182"/>
      <c r="JTU117" s="181"/>
      <c r="JTV117" s="182"/>
      <c r="JTW117" s="181"/>
      <c r="JTX117" s="182"/>
      <c r="JTY117" s="181"/>
      <c r="JTZ117" s="182"/>
      <c r="JUA117" s="181"/>
      <c r="JUB117" s="182"/>
      <c r="JUC117" s="181"/>
      <c r="JUD117" s="182"/>
      <c r="JUE117" s="181"/>
      <c r="JUF117" s="182"/>
      <c r="JUG117" s="181"/>
      <c r="JUH117" s="182"/>
      <c r="JUI117" s="181"/>
      <c r="JUJ117" s="182"/>
      <c r="JUK117" s="181"/>
      <c r="JUL117" s="182"/>
      <c r="JUM117" s="181"/>
      <c r="JUN117" s="182"/>
      <c r="JUO117" s="181"/>
      <c r="JUP117" s="182"/>
      <c r="JUQ117" s="181"/>
      <c r="JUR117" s="182"/>
      <c r="JUS117" s="181"/>
      <c r="JUT117" s="182"/>
      <c r="JUU117" s="181"/>
      <c r="JUV117" s="182"/>
      <c r="JUW117" s="181"/>
      <c r="JUX117" s="182"/>
      <c r="JUY117" s="181"/>
      <c r="JUZ117" s="182"/>
      <c r="JVA117" s="181"/>
      <c r="JVB117" s="182"/>
      <c r="JVC117" s="181"/>
      <c r="JVD117" s="182"/>
      <c r="JVE117" s="181"/>
      <c r="JVF117" s="182"/>
      <c r="JVG117" s="181"/>
      <c r="JVH117" s="182"/>
      <c r="JVI117" s="181"/>
      <c r="JVJ117" s="182"/>
      <c r="JVK117" s="181"/>
      <c r="JVL117" s="182"/>
      <c r="JVM117" s="181"/>
      <c r="JVN117" s="182"/>
      <c r="JVO117" s="181"/>
      <c r="JVP117" s="182"/>
      <c r="JVQ117" s="181"/>
      <c r="JVR117" s="182"/>
      <c r="JVS117" s="181"/>
      <c r="JVT117" s="182"/>
      <c r="JVU117" s="181"/>
      <c r="JVV117" s="182"/>
      <c r="JVW117" s="181"/>
      <c r="JVX117" s="182"/>
      <c r="JVY117" s="181"/>
      <c r="JVZ117" s="182"/>
      <c r="JWA117" s="181"/>
      <c r="JWB117" s="182"/>
      <c r="JWC117" s="181"/>
      <c r="JWD117" s="182"/>
      <c r="JWE117" s="181"/>
      <c r="JWF117" s="182"/>
      <c r="JWG117" s="181"/>
      <c r="JWH117" s="182"/>
      <c r="JWI117" s="181"/>
      <c r="JWJ117" s="182"/>
      <c r="JWK117" s="181"/>
      <c r="JWL117" s="182"/>
      <c r="JWM117" s="181"/>
      <c r="JWN117" s="182"/>
      <c r="JWO117" s="181"/>
      <c r="JWP117" s="182"/>
      <c r="JWQ117" s="181"/>
      <c r="JWR117" s="182"/>
      <c r="JWS117" s="181"/>
      <c r="JWT117" s="182"/>
      <c r="JWU117" s="181"/>
      <c r="JWV117" s="182"/>
      <c r="JWW117" s="181"/>
      <c r="JWX117" s="182"/>
      <c r="JWY117" s="181"/>
      <c r="JWZ117" s="182"/>
      <c r="JXA117" s="181"/>
      <c r="JXB117" s="182"/>
      <c r="JXC117" s="181"/>
      <c r="JXD117" s="182"/>
      <c r="JXE117" s="181"/>
      <c r="JXF117" s="182"/>
      <c r="JXG117" s="181"/>
      <c r="JXH117" s="182"/>
      <c r="JXI117" s="181"/>
      <c r="JXJ117" s="182"/>
      <c r="JXK117" s="181"/>
      <c r="JXL117" s="182"/>
      <c r="JXM117" s="181"/>
      <c r="JXN117" s="182"/>
      <c r="JXO117" s="181"/>
      <c r="JXP117" s="182"/>
      <c r="JXQ117" s="181"/>
      <c r="JXR117" s="182"/>
      <c r="JXS117" s="181"/>
      <c r="JXT117" s="182"/>
      <c r="JXU117" s="181"/>
      <c r="JXV117" s="182"/>
      <c r="JXW117" s="181"/>
      <c r="JXX117" s="182"/>
      <c r="JXY117" s="181"/>
      <c r="JXZ117" s="182"/>
      <c r="JYA117" s="181"/>
      <c r="JYB117" s="182"/>
      <c r="JYC117" s="181"/>
      <c r="JYD117" s="182"/>
      <c r="JYE117" s="181"/>
      <c r="JYF117" s="182"/>
      <c r="JYG117" s="181"/>
      <c r="JYH117" s="182"/>
      <c r="JYI117" s="181"/>
      <c r="JYJ117" s="182"/>
      <c r="JYK117" s="181"/>
      <c r="JYL117" s="182"/>
      <c r="JYM117" s="181"/>
      <c r="JYN117" s="182"/>
      <c r="JYO117" s="181"/>
      <c r="JYP117" s="182"/>
      <c r="JYQ117" s="181"/>
      <c r="JYR117" s="182"/>
      <c r="JYS117" s="181"/>
      <c r="JYT117" s="182"/>
      <c r="JYU117" s="181"/>
      <c r="JYV117" s="182"/>
      <c r="JYW117" s="181"/>
      <c r="JYX117" s="182"/>
      <c r="JYY117" s="181"/>
      <c r="JYZ117" s="182"/>
      <c r="JZA117" s="181"/>
      <c r="JZB117" s="182"/>
      <c r="JZC117" s="181"/>
      <c r="JZD117" s="182"/>
      <c r="JZE117" s="181"/>
      <c r="JZF117" s="182"/>
      <c r="JZG117" s="181"/>
      <c r="JZH117" s="182"/>
      <c r="JZI117" s="181"/>
      <c r="JZJ117" s="182"/>
      <c r="JZK117" s="181"/>
      <c r="JZL117" s="182"/>
      <c r="JZM117" s="181"/>
      <c r="JZN117" s="182"/>
      <c r="JZO117" s="181"/>
      <c r="JZP117" s="182"/>
      <c r="JZQ117" s="181"/>
      <c r="JZR117" s="182"/>
      <c r="JZS117" s="181"/>
      <c r="JZT117" s="182"/>
      <c r="JZU117" s="181"/>
      <c r="JZV117" s="182"/>
      <c r="JZW117" s="181"/>
      <c r="JZX117" s="182"/>
      <c r="JZY117" s="181"/>
      <c r="JZZ117" s="182"/>
      <c r="KAA117" s="181"/>
      <c r="KAB117" s="182"/>
      <c r="KAC117" s="181"/>
      <c r="KAD117" s="182"/>
      <c r="KAE117" s="181"/>
      <c r="KAF117" s="182"/>
      <c r="KAG117" s="181"/>
      <c r="KAH117" s="182"/>
      <c r="KAI117" s="181"/>
      <c r="KAJ117" s="182"/>
      <c r="KAK117" s="181"/>
      <c r="KAL117" s="182"/>
      <c r="KAM117" s="181"/>
      <c r="KAN117" s="182"/>
      <c r="KAO117" s="181"/>
      <c r="KAP117" s="182"/>
      <c r="KAQ117" s="181"/>
      <c r="KAR117" s="182"/>
      <c r="KAS117" s="181"/>
      <c r="KAT117" s="182"/>
      <c r="KAU117" s="181"/>
      <c r="KAV117" s="182"/>
      <c r="KAW117" s="181"/>
      <c r="KAX117" s="182"/>
      <c r="KAY117" s="181"/>
      <c r="KAZ117" s="182"/>
      <c r="KBA117" s="181"/>
      <c r="KBB117" s="182"/>
      <c r="KBC117" s="181"/>
      <c r="KBD117" s="182"/>
      <c r="KBE117" s="181"/>
      <c r="KBF117" s="182"/>
      <c r="KBG117" s="181"/>
      <c r="KBH117" s="182"/>
      <c r="KBI117" s="181"/>
      <c r="KBJ117" s="182"/>
      <c r="KBK117" s="181"/>
      <c r="KBL117" s="182"/>
      <c r="KBM117" s="181"/>
      <c r="KBN117" s="182"/>
      <c r="KBO117" s="181"/>
      <c r="KBP117" s="182"/>
      <c r="KBQ117" s="181"/>
      <c r="KBR117" s="182"/>
      <c r="KBS117" s="181"/>
      <c r="KBT117" s="182"/>
      <c r="KBU117" s="181"/>
      <c r="KBV117" s="182"/>
      <c r="KBW117" s="181"/>
      <c r="KBX117" s="182"/>
      <c r="KBY117" s="181"/>
      <c r="KBZ117" s="182"/>
      <c r="KCA117" s="181"/>
      <c r="KCB117" s="182"/>
      <c r="KCC117" s="181"/>
      <c r="KCD117" s="182"/>
      <c r="KCE117" s="181"/>
      <c r="KCF117" s="182"/>
      <c r="KCG117" s="181"/>
      <c r="KCH117" s="182"/>
      <c r="KCI117" s="181"/>
      <c r="KCJ117" s="182"/>
      <c r="KCK117" s="181"/>
      <c r="KCL117" s="182"/>
      <c r="KCM117" s="181"/>
      <c r="KCN117" s="182"/>
      <c r="KCO117" s="181"/>
      <c r="KCP117" s="182"/>
      <c r="KCQ117" s="181"/>
      <c r="KCR117" s="182"/>
      <c r="KCS117" s="181"/>
      <c r="KCT117" s="182"/>
      <c r="KCU117" s="181"/>
      <c r="KCV117" s="182"/>
      <c r="KCW117" s="181"/>
      <c r="KCX117" s="182"/>
      <c r="KCY117" s="181"/>
      <c r="KCZ117" s="182"/>
      <c r="KDA117" s="181"/>
      <c r="KDB117" s="182"/>
      <c r="KDC117" s="181"/>
      <c r="KDD117" s="182"/>
      <c r="KDE117" s="181"/>
      <c r="KDF117" s="182"/>
      <c r="KDG117" s="181"/>
      <c r="KDH117" s="182"/>
      <c r="KDI117" s="181"/>
      <c r="KDJ117" s="182"/>
      <c r="KDK117" s="181"/>
      <c r="KDL117" s="182"/>
      <c r="KDM117" s="181"/>
      <c r="KDN117" s="182"/>
      <c r="KDO117" s="181"/>
      <c r="KDP117" s="182"/>
      <c r="KDQ117" s="181"/>
      <c r="KDR117" s="182"/>
      <c r="KDS117" s="181"/>
      <c r="KDT117" s="182"/>
      <c r="KDU117" s="181"/>
      <c r="KDV117" s="182"/>
      <c r="KDW117" s="181"/>
      <c r="KDX117" s="182"/>
      <c r="KDY117" s="181"/>
      <c r="KDZ117" s="182"/>
      <c r="KEA117" s="181"/>
      <c r="KEB117" s="182"/>
      <c r="KEC117" s="181"/>
      <c r="KED117" s="182"/>
      <c r="KEE117" s="181"/>
      <c r="KEF117" s="182"/>
      <c r="KEG117" s="181"/>
      <c r="KEH117" s="182"/>
      <c r="KEI117" s="181"/>
      <c r="KEJ117" s="182"/>
      <c r="KEK117" s="181"/>
      <c r="KEL117" s="182"/>
      <c r="KEM117" s="181"/>
      <c r="KEN117" s="182"/>
      <c r="KEO117" s="181"/>
      <c r="KEP117" s="182"/>
      <c r="KEQ117" s="181"/>
      <c r="KER117" s="182"/>
      <c r="KES117" s="181"/>
      <c r="KET117" s="182"/>
      <c r="KEU117" s="181"/>
      <c r="KEV117" s="182"/>
      <c r="KEW117" s="181"/>
      <c r="KEX117" s="182"/>
      <c r="KEY117" s="181"/>
      <c r="KEZ117" s="182"/>
      <c r="KFA117" s="181"/>
      <c r="KFB117" s="182"/>
      <c r="KFC117" s="181"/>
      <c r="KFD117" s="182"/>
      <c r="KFE117" s="181"/>
      <c r="KFF117" s="182"/>
      <c r="KFG117" s="181"/>
      <c r="KFH117" s="182"/>
      <c r="KFI117" s="181"/>
      <c r="KFJ117" s="182"/>
      <c r="KFK117" s="181"/>
      <c r="KFL117" s="182"/>
      <c r="KFM117" s="181"/>
      <c r="KFN117" s="182"/>
      <c r="KFO117" s="181"/>
      <c r="KFP117" s="182"/>
      <c r="KFQ117" s="181"/>
      <c r="KFR117" s="182"/>
      <c r="KFS117" s="181"/>
      <c r="KFT117" s="182"/>
      <c r="KFU117" s="181"/>
      <c r="KFV117" s="182"/>
      <c r="KFW117" s="181"/>
      <c r="KFX117" s="182"/>
      <c r="KFY117" s="181"/>
      <c r="KFZ117" s="182"/>
      <c r="KGA117" s="181"/>
      <c r="KGB117" s="182"/>
      <c r="KGC117" s="181"/>
      <c r="KGD117" s="182"/>
      <c r="KGE117" s="181"/>
      <c r="KGF117" s="182"/>
      <c r="KGG117" s="181"/>
      <c r="KGH117" s="182"/>
      <c r="KGI117" s="181"/>
      <c r="KGJ117" s="182"/>
      <c r="KGK117" s="181"/>
      <c r="KGL117" s="182"/>
      <c r="KGM117" s="181"/>
      <c r="KGN117" s="182"/>
      <c r="KGO117" s="181"/>
      <c r="KGP117" s="182"/>
      <c r="KGQ117" s="181"/>
      <c r="KGR117" s="182"/>
      <c r="KGS117" s="181"/>
      <c r="KGT117" s="182"/>
      <c r="KGU117" s="181"/>
      <c r="KGV117" s="182"/>
      <c r="KGW117" s="181"/>
      <c r="KGX117" s="182"/>
      <c r="KGY117" s="181"/>
      <c r="KGZ117" s="182"/>
      <c r="KHA117" s="181"/>
      <c r="KHB117" s="182"/>
      <c r="KHC117" s="181"/>
      <c r="KHD117" s="182"/>
      <c r="KHE117" s="181"/>
      <c r="KHF117" s="182"/>
      <c r="KHG117" s="181"/>
      <c r="KHH117" s="182"/>
      <c r="KHI117" s="181"/>
      <c r="KHJ117" s="182"/>
      <c r="KHK117" s="181"/>
      <c r="KHL117" s="182"/>
      <c r="KHM117" s="181"/>
      <c r="KHN117" s="182"/>
      <c r="KHO117" s="181"/>
      <c r="KHP117" s="182"/>
      <c r="KHQ117" s="181"/>
      <c r="KHR117" s="182"/>
      <c r="KHS117" s="181"/>
      <c r="KHT117" s="182"/>
      <c r="KHU117" s="181"/>
      <c r="KHV117" s="182"/>
      <c r="KHW117" s="181"/>
      <c r="KHX117" s="182"/>
      <c r="KHY117" s="181"/>
      <c r="KHZ117" s="182"/>
      <c r="KIA117" s="181"/>
      <c r="KIB117" s="182"/>
      <c r="KIC117" s="181"/>
      <c r="KID117" s="182"/>
      <c r="KIE117" s="181"/>
      <c r="KIF117" s="182"/>
      <c r="KIG117" s="181"/>
      <c r="KIH117" s="182"/>
      <c r="KII117" s="181"/>
      <c r="KIJ117" s="182"/>
      <c r="KIK117" s="181"/>
      <c r="KIL117" s="182"/>
      <c r="KIM117" s="181"/>
      <c r="KIN117" s="182"/>
      <c r="KIO117" s="181"/>
      <c r="KIP117" s="182"/>
      <c r="KIQ117" s="181"/>
      <c r="KIR117" s="182"/>
      <c r="KIS117" s="181"/>
      <c r="KIT117" s="182"/>
      <c r="KIU117" s="181"/>
      <c r="KIV117" s="182"/>
      <c r="KIW117" s="181"/>
      <c r="KIX117" s="182"/>
      <c r="KIY117" s="181"/>
      <c r="KIZ117" s="182"/>
      <c r="KJA117" s="181"/>
      <c r="KJB117" s="182"/>
      <c r="KJC117" s="181"/>
      <c r="KJD117" s="182"/>
      <c r="KJE117" s="181"/>
      <c r="KJF117" s="182"/>
      <c r="KJG117" s="181"/>
      <c r="KJH117" s="182"/>
      <c r="KJI117" s="181"/>
      <c r="KJJ117" s="182"/>
      <c r="KJK117" s="181"/>
      <c r="KJL117" s="182"/>
      <c r="KJM117" s="181"/>
      <c r="KJN117" s="182"/>
      <c r="KJO117" s="181"/>
      <c r="KJP117" s="182"/>
      <c r="KJQ117" s="181"/>
      <c r="KJR117" s="182"/>
      <c r="KJS117" s="181"/>
      <c r="KJT117" s="182"/>
      <c r="KJU117" s="181"/>
      <c r="KJV117" s="182"/>
      <c r="KJW117" s="181"/>
      <c r="KJX117" s="182"/>
      <c r="KJY117" s="181"/>
      <c r="KJZ117" s="182"/>
      <c r="KKA117" s="181"/>
      <c r="KKB117" s="182"/>
      <c r="KKC117" s="181"/>
      <c r="KKD117" s="182"/>
      <c r="KKE117" s="181"/>
      <c r="KKF117" s="182"/>
      <c r="KKG117" s="181"/>
      <c r="KKH117" s="182"/>
      <c r="KKI117" s="181"/>
      <c r="KKJ117" s="182"/>
      <c r="KKK117" s="181"/>
      <c r="KKL117" s="182"/>
      <c r="KKM117" s="181"/>
      <c r="KKN117" s="182"/>
      <c r="KKO117" s="181"/>
      <c r="KKP117" s="182"/>
      <c r="KKQ117" s="181"/>
      <c r="KKR117" s="182"/>
      <c r="KKS117" s="181"/>
      <c r="KKT117" s="182"/>
      <c r="KKU117" s="181"/>
      <c r="KKV117" s="182"/>
      <c r="KKW117" s="181"/>
      <c r="KKX117" s="182"/>
      <c r="KKY117" s="181"/>
      <c r="KKZ117" s="182"/>
      <c r="KLA117" s="181"/>
      <c r="KLB117" s="182"/>
      <c r="KLC117" s="181"/>
      <c r="KLD117" s="182"/>
      <c r="KLE117" s="181"/>
      <c r="KLF117" s="182"/>
      <c r="KLG117" s="181"/>
      <c r="KLH117" s="182"/>
      <c r="KLI117" s="181"/>
      <c r="KLJ117" s="182"/>
      <c r="KLK117" s="181"/>
      <c r="KLL117" s="182"/>
      <c r="KLM117" s="181"/>
      <c r="KLN117" s="182"/>
      <c r="KLO117" s="181"/>
      <c r="KLP117" s="182"/>
      <c r="KLQ117" s="181"/>
      <c r="KLR117" s="182"/>
      <c r="KLS117" s="181"/>
      <c r="KLT117" s="182"/>
      <c r="KLU117" s="181"/>
      <c r="KLV117" s="182"/>
      <c r="KLW117" s="181"/>
      <c r="KLX117" s="182"/>
      <c r="KLY117" s="181"/>
      <c r="KLZ117" s="182"/>
      <c r="KMA117" s="181"/>
      <c r="KMB117" s="182"/>
      <c r="KMC117" s="181"/>
      <c r="KMD117" s="182"/>
      <c r="KME117" s="181"/>
      <c r="KMF117" s="182"/>
      <c r="KMG117" s="181"/>
      <c r="KMH117" s="182"/>
      <c r="KMI117" s="181"/>
      <c r="KMJ117" s="182"/>
      <c r="KMK117" s="181"/>
      <c r="KML117" s="182"/>
      <c r="KMM117" s="181"/>
      <c r="KMN117" s="182"/>
      <c r="KMO117" s="181"/>
      <c r="KMP117" s="182"/>
      <c r="KMQ117" s="181"/>
      <c r="KMR117" s="182"/>
      <c r="KMS117" s="181"/>
      <c r="KMT117" s="182"/>
      <c r="KMU117" s="181"/>
      <c r="KMV117" s="182"/>
      <c r="KMW117" s="181"/>
      <c r="KMX117" s="182"/>
      <c r="KMY117" s="181"/>
      <c r="KMZ117" s="182"/>
      <c r="KNA117" s="181"/>
      <c r="KNB117" s="182"/>
      <c r="KNC117" s="181"/>
      <c r="KND117" s="182"/>
      <c r="KNE117" s="181"/>
      <c r="KNF117" s="182"/>
      <c r="KNG117" s="181"/>
      <c r="KNH117" s="182"/>
      <c r="KNI117" s="181"/>
      <c r="KNJ117" s="182"/>
      <c r="KNK117" s="181"/>
      <c r="KNL117" s="182"/>
      <c r="KNM117" s="181"/>
      <c r="KNN117" s="182"/>
      <c r="KNO117" s="181"/>
      <c r="KNP117" s="182"/>
      <c r="KNQ117" s="181"/>
      <c r="KNR117" s="182"/>
      <c r="KNS117" s="181"/>
      <c r="KNT117" s="182"/>
      <c r="KNU117" s="181"/>
      <c r="KNV117" s="182"/>
      <c r="KNW117" s="181"/>
      <c r="KNX117" s="182"/>
      <c r="KNY117" s="181"/>
      <c r="KNZ117" s="182"/>
      <c r="KOA117" s="181"/>
      <c r="KOB117" s="182"/>
      <c r="KOC117" s="181"/>
      <c r="KOD117" s="182"/>
      <c r="KOE117" s="181"/>
      <c r="KOF117" s="182"/>
      <c r="KOG117" s="181"/>
      <c r="KOH117" s="182"/>
      <c r="KOI117" s="181"/>
      <c r="KOJ117" s="182"/>
      <c r="KOK117" s="181"/>
      <c r="KOL117" s="182"/>
      <c r="KOM117" s="181"/>
      <c r="KON117" s="182"/>
      <c r="KOO117" s="181"/>
      <c r="KOP117" s="182"/>
      <c r="KOQ117" s="181"/>
      <c r="KOR117" s="182"/>
      <c r="KOS117" s="181"/>
      <c r="KOT117" s="182"/>
      <c r="KOU117" s="181"/>
      <c r="KOV117" s="182"/>
      <c r="KOW117" s="181"/>
      <c r="KOX117" s="182"/>
      <c r="KOY117" s="181"/>
      <c r="KOZ117" s="182"/>
      <c r="KPA117" s="181"/>
      <c r="KPB117" s="182"/>
      <c r="KPC117" s="181"/>
      <c r="KPD117" s="182"/>
      <c r="KPE117" s="181"/>
      <c r="KPF117" s="182"/>
      <c r="KPG117" s="181"/>
      <c r="KPH117" s="182"/>
      <c r="KPI117" s="181"/>
      <c r="KPJ117" s="182"/>
      <c r="KPK117" s="181"/>
      <c r="KPL117" s="182"/>
      <c r="KPM117" s="181"/>
      <c r="KPN117" s="182"/>
      <c r="KPO117" s="181"/>
      <c r="KPP117" s="182"/>
      <c r="KPQ117" s="181"/>
      <c r="KPR117" s="182"/>
      <c r="KPS117" s="181"/>
      <c r="KPT117" s="182"/>
      <c r="KPU117" s="181"/>
      <c r="KPV117" s="182"/>
      <c r="KPW117" s="181"/>
      <c r="KPX117" s="182"/>
      <c r="KPY117" s="181"/>
      <c r="KPZ117" s="182"/>
      <c r="KQA117" s="181"/>
      <c r="KQB117" s="182"/>
      <c r="KQC117" s="181"/>
      <c r="KQD117" s="182"/>
      <c r="KQE117" s="181"/>
      <c r="KQF117" s="182"/>
      <c r="KQG117" s="181"/>
      <c r="KQH117" s="182"/>
      <c r="KQI117" s="181"/>
      <c r="KQJ117" s="182"/>
      <c r="KQK117" s="181"/>
      <c r="KQL117" s="182"/>
      <c r="KQM117" s="181"/>
      <c r="KQN117" s="182"/>
      <c r="KQO117" s="181"/>
      <c r="KQP117" s="182"/>
      <c r="KQQ117" s="181"/>
      <c r="KQR117" s="182"/>
      <c r="KQS117" s="181"/>
      <c r="KQT117" s="182"/>
      <c r="KQU117" s="181"/>
      <c r="KQV117" s="182"/>
      <c r="KQW117" s="181"/>
      <c r="KQX117" s="182"/>
      <c r="KQY117" s="181"/>
      <c r="KQZ117" s="182"/>
      <c r="KRA117" s="181"/>
      <c r="KRB117" s="182"/>
      <c r="KRC117" s="181"/>
      <c r="KRD117" s="182"/>
      <c r="KRE117" s="181"/>
      <c r="KRF117" s="182"/>
      <c r="KRG117" s="181"/>
      <c r="KRH117" s="182"/>
      <c r="KRI117" s="181"/>
      <c r="KRJ117" s="182"/>
      <c r="KRK117" s="181"/>
      <c r="KRL117" s="182"/>
      <c r="KRM117" s="181"/>
      <c r="KRN117" s="182"/>
      <c r="KRO117" s="181"/>
      <c r="KRP117" s="182"/>
      <c r="KRQ117" s="181"/>
      <c r="KRR117" s="182"/>
      <c r="KRS117" s="181"/>
      <c r="KRT117" s="182"/>
      <c r="KRU117" s="181"/>
      <c r="KRV117" s="182"/>
      <c r="KRW117" s="181"/>
      <c r="KRX117" s="182"/>
      <c r="KRY117" s="181"/>
      <c r="KRZ117" s="182"/>
      <c r="KSA117" s="181"/>
      <c r="KSB117" s="182"/>
      <c r="KSC117" s="181"/>
      <c r="KSD117" s="182"/>
      <c r="KSE117" s="181"/>
      <c r="KSF117" s="182"/>
      <c r="KSG117" s="181"/>
      <c r="KSH117" s="182"/>
      <c r="KSI117" s="181"/>
      <c r="KSJ117" s="182"/>
      <c r="KSK117" s="181"/>
      <c r="KSL117" s="182"/>
      <c r="KSM117" s="181"/>
      <c r="KSN117" s="182"/>
      <c r="KSO117" s="181"/>
      <c r="KSP117" s="182"/>
      <c r="KSQ117" s="181"/>
      <c r="KSR117" s="182"/>
      <c r="KSS117" s="181"/>
      <c r="KST117" s="182"/>
      <c r="KSU117" s="181"/>
      <c r="KSV117" s="182"/>
      <c r="KSW117" s="181"/>
      <c r="KSX117" s="182"/>
      <c r="KSY117" s="181"/>
      <c r="KSZ117" s="182"/>
      <c r="KTA117" s="181"/>
      <c r="KTB117" s="182"/>
      <c r="KTC117" s="181"/>
      <c r="KTD117" s="182"/>
      <c r="KTE117" s="181"/>
      <c r="KTF117" s="182"/>
      <c r="KTG117" s="181"/>
      <c r="KTH117" s="182"/>
      <c r="KTI117" s="181"/>
      <c r="KTJ117" s="182"/>
      <c r="KTK117" s="181"/>
      <c r="KTL117" s="182"/>
      <c r="KTM117" s="181"/>
      <c r="KTN117" s="182"/>
      <c r="KTO117" s="181"/>
      <c r="KTP117" s="182"/>
      <c r="KTQ117" s="181"/>
      <c r="KTR117" s="182"/>
      <c r="KTS117" s="181"/>
      <c r="KTT117" s="182"/>
      <c r="KTU117" s="181"/>
      <c r="KTV117" s="182"/>
      <c r="KTW117" s="181"/>
      <c r="KTX117" s="182"/>
      <c r="KTY117" s="181"/>
      <c r="KTZ117" s="182"/>
      <c r="KUA117" s="181"/>
      <c r="KUB117" s="182"/>
      <c r="KUC117" s="181"/>
      <c r="KUD117" s="182"/>
      <c r="KUE117" s="181"/>
      <c r="KUF117" s="182"/>
      <c r="KUG117" s="181"/>
      <c r="KUH117" s="182"/>
      <c r="KUI117" s="181"/>
      <c r="KUJ117" s="182"/>
      <c r="KUK117" s="181"/>
      <c r="KUL117" s="182"/>
      <c r="KUM117" s="181"/>
      <c r="KUN117" s="182"/>
      <c r="KUO117" s="181"/>
      <c r="KUP117" s="182"/>
      <c r="KUQ117" s="181"/>
      <c r="KUR117" s="182"/>
      <c r="KUS117" s="181"/>
      <c r="KUT117" s="182"/>
      <c r="KUU117" s="181"/>
      <c r="KUV117" s="182"/>
      <c r="KUW117" s="181"/>
      <c r="KUX117" s="182"/>
      <c r="KUY117" s="181"/>
      <c r="KUZ117" s="182"/>
      <c r="KVA117" s="181"/>
      <c r="KVB117" s="182"/>
      <c r="KVC117" s="181"/>
      <c r="KVD117" s="182"/>
      <c r="KVE117" s="181"/>
      <c r="KVF117" s="182"/>
      <c r="KVG117" s="181"/>
      <c r="KVH117" s="182"/>
      <c r="KVI117" s="181"/>
      <c r="KVJ117" s="182"/>
      <c r="KVK117" s="181"/>
      <c r="KVL117" s="182"/>
      <c r="KVM117" s="181"/>
      <c r="KVN117" s="182"/>
      <c r="KVO117" s="181"/>
      <c r="KVP117" s="182"/>
      <c r="KVQ117" s="181"/>
      <c r="KVR117" s="182"/>
      <c r="KVS117" s="181"/>
      <c r="KVT117" s="182"/>
      <c r="KVU117" s="181"/>
      <c r="KVV117" s="182"/>
      <c r="KVW117" s="181"/>
      <c r="KVX117" s="182"/>
      <c r="KVY117" s="181"/>
      <c r="KVZ117" s="182"/>
      <c r="KWA117" s="181"/>
      <c r="KWB117" s="182"/>
      <c r="KWC117" s="181"/>
      <c r="KWD117" s="182"/>
      <c r="KWE117" s="181"/>
      <c r="KWF117" s="182"/>
      <c r="KWG117" s="181"/>
      <c r="KWH117" s="182"/>
      <c r="KWI117" s="181"/>
      <c r="KWJ117" s="182"/>
      <c r="KWK117" s="181"/>
      <c r="KWL117" s="182"/>
      <c r="KWM117" s="181"/>
      <c r="KWN117" s="182"/>
      <c r="KWO117" s="181"/>
      <c r="KWP117" s="182"/>
      <c r="KWQ117" s="181"/>
      <c r="KWR117" s="182"/>
      <c r="KWS117" s="181"/>
      <c r="KWT117" s="182"/>
      <c r="KWU117" s="181"/>
      <c r="KWV117" s="182"/>
      <c r="KWW117" s="181"/>
      <c r="KWX117" s="182"/>
      <c r="KWY117" s="181"/>
      <c r="KWZ117" s="182"/>
      <c r="KXA117" s="181"/>
      <c r="KXB117" s="182"/>
      <c r="KXC117" s="181"/>
      <c r="KXD117" s="182"/>
      <c r="KXE117" s="181"/>
      <c r="KXF117" s="182"/>
      <c r="KXG117" s="181"/>
      <c r="KXH117" s="182"/>
      <c r="KXI117" s="181"/>
      <c r="KXJ117" s="182"/>
      <c r="KXK117" s="181"/>
      <c r="KXL117" s="182"/>
      <c r="KXM117" s="181"/>
      <c r="KXN117" s="182"/>
      <c r="KXO117" s="181"/>
      <c r="KXP117" s="182"/>
      <c r="KXQ117" s="181"/>
      <c r="KXR117" s="182"/>
      <c r="KXS117" s="181"/>
      <c r="KXT117" s="182"/>
      <c r="KXU117" s="181"/>
      <c r="KXV117" s="182"/>
      <c r="KXW117" s="181"/>
      <c r="KXX117" s="182"/>
      <c r="KXY117" s="181"/>
      <c r="KXZ117" s="182"/>
      <c r="KYA117" s="181"/>
      <c r="KYB117" s="182"/>
      <c r="KYC117" s="181"/>
      <c r="KYD117" s="182"/>
      <c r="KYE117" s="181"/>
      <c r="KYF117" s="182"/>
      <c r="KYG117" s="181"/>
      <c r="KYH117" s="182"/>
      <c r="KYI117" s="181"/>
      <c r="KYJ117" s="182"/>
      <c r="KYK117" s="181"/>
      <c r="KYL117" s="182"/>
      <c r="KYM117" s="181"/>
      <c r="KYN117" s="182"/>
      <c r="KYO117" s="181"/>
      <c r="KYP117" s="182"/>
      <c r="KYQ117" s="181"/>
      <c r="KYR117" s="182"/>
      <c r="KYS117" s="181"/>
      <c r="KYT117" s="182"/>
      <c r="KYU117" s="181"/>
      <c r="KYV117" s="182"/>
      <c r="KYW117" s="181"/>
      <c r="KYX117" s="182"/>
      <c r="KYY117" s="181"/>
      <c r="KYZ117" s="182"/>
      <c r="KZA117" s="181"/>
      <c r="KZB117" s="182"/>
      <c r="KZC117" s="181"/>
      <c r="KZD117" s="182"/>
      <c r="KZE117" s="181"/>
      <c r="KZF117" s="182"/>
      <c r="KZG117" s="181"/>
      <c r="KZH117" s="182"/>
      <c r="KZI117" s="181"/>
      <c r="KZJ117" s="182"/>
      <c r="KZK117" s="181"/>
      <c r="KZL117" s="182"/>
      <c r="KZM117" s="181"/>
      <c r="KZN117" s="182"/>
      <c r="KZO117" s="181"/>
      <c r="KZP117" s="182"/>
      <c r="KZQ117" s="181"/>
      <c r="KZR117" s="182"/>
      <c r="KZS117" s="181"/>
      <c r="KZT117" s="182"/>
      <c r="KZU117" s="181"/>
      <c r="KZV117" s="182"/>
      <c r="KZW117" s="181"/>
      <c r="KZX117" s="182"/>
      <c r="KZY117" s="181"/>
      <c r="KZZ117" s="182"/>
      <c r="LAA117" s="181"/>
      <c r="LAB117" s="182"/>
      <c r="LAC117" s="181"/>
      <c r="LAD117" s="182"/>
      <c r="LAE117" s="181"/>
      <c r="LAF117" s="182"/>
      <c r="LAG117" s="181"/>
      <c r="LAH117" s="182"/>
      <c r="LAI117" s="181"/>
      <c r="LAJ117" s="182"/>
      <c r="LAK117" s="181"/>
      <c r="LAL117" s="182"/>
      <c r="LAM117" s="181"/>
      <c r="LAN117" s="182"/>
      <c r="LAO117" s="181"/>
      <c r="LAP117" s="182"/>
      <c r="LAQ117" s="181"/>
      <c r="LAR117" s="182"/>
      <c r="LAS117" s="181"/>
      <c r="LAT117" s="182"/>
      <c r="LAU117" s="181"/>
      <c r="LAV117" s="182"/>
      <c r="LAW117" s="181"/>
      <c r="LAX117" s="182"/>
      <c r="LAY117" s="181"/>
      <c r="LAZ117" s="182"/>
      <c r="LBA117" s="181"/>
      <c r="LBB117" s="182"/>
      <c r="LBC117" s="181"/>
      <c r="LBD117" s="182"/>
      <c r="LBE117" s="181"/>
      <c r="LBF117" s="182"/>
      <c r="LBG117" s="181"/>
      <c r="LBH117" s="182"/>
      <c r="LBI117" s="181"/>
      <c r="LBJ117" s="182"/>
      <c r="LBK117" s="181"/>
      <c r="LBL117" s="182"/>
      <c r="LBM117" s="181"/>
      <c r="LBN117" s="182"/>
      <c r="LBO117" s="181"/>
      <c r="LBP117" s="182"/>
      <c r="LBQ117" s="181"/>
      <c r="LBR117" s="182"/>
      <c r="LBS117" s="181"/>
      <c r="LBT117" s="182"/>
      <c r="LBU117" s="181"/>
      <c r="LBV117" s="182"/>
      <c r="LBW117" s="181"/>
      <c r="LBX117" s="182"/>
      <c r="LBY117" s="181"/>
      <c r="LBZ117" s="182"/>
      <c r="LCA117" s="181"/>
      <c r="LCB117" s="182"/>
      <c r="LCC117" s="181"/>
      <c r="LCD117" s="182"/>
      <c r="LCE117" s="181"/>
      <c r="LCF117" s="182"/>
      <c r="LCG117" s="181"/>
      <c r="LCH117" s="182"/>
      <c r="LCI117" s="181"/>
      <c r="LCJ117" s="182"/>
      <c r="LCK117" s="181"/>
      <c r="LCL117" s="182"/>
      <c r="LCM117" s="181"/>
      <c r="LCN117" s="182"/>
      <c r="LCO117" s="181"/>
      <c r="LCP117" s="182"/>
      <c r="LCQ117" s="181"/>
      <c r="LCR117" s="182"/>
      <c r="LCS117" s="181"/>
      <c r="LCT117" s="182"/>
      <c r="LCU117" s="181"/>
      <c r="LCV117" s="182"/>
      <c r="LCW117" s="181"/>
      <c r="LCX117" s="182"/>
      <c r="LCY117" s="181"/>
      <c r="LCZ117" s="182"/>
      <c r="LDA117" s="181"/>
      <c r="LDB117" s="182"/>
      <c r="LDC117" s="181"/>
      <c r="LDD117" s="182"/>
      <c r="LDE117" s="181"/>
      <c r="LDF117" s="182"/>
      <c r="LDG117" s="181"/>
      <c r="LDH117" s="182"/>
      <c r="LDI117" s="181"/>
      <c r="LDJ117" s="182"/>
      <c r="LDK117" s="181"/>
      <c r="LDL117" s="182"/>
      <c r="LDM117" s="181"/>
      <c r="LDN117" s="182"/>
      <c r="LDO117" s="181"/>
      <c r="LDP117" s="182"/>
      <c r="LDQ117" s="181"/>
      <c r="LDR117" s="182"/>
      <c r="LDS117" s="181"/>
      <c r="LDT117" s="182"/>
      <c r="LDU117" s="181"/>
      <c r="LDV117" s="182"/>
      <c r="LDW117" s="181"/>
      <c r="LDX117" s="182"/>
      <c r="LDY117" s="181"/>
      <c r="LDZ117" s="182"/>
      <c r="LEA117" s="181"/>
      <c r="LEB117" s="182"/>
      <c r="LEC117" s="181"/>
      <c r="LED117" s="182"/>
      <c r="LEE117" s="181"/>
      <c r="LEF117" s="182"/>
      <c r="LEG117" s="181"/>
      <c r="LEH117" s="182"/>
      <c r="LEI117" s="181"/>
      <c r="LEJ117" s="182"/>
      <c r="LEK117" s="181"/>
      <c r="LEL117" s="182"/>
      <c r="LEM117" s="181"/>
      <c r="LEN117" s="182"/>
      <c r="LEO117" s="181"/>
      <c r="LEP117" s="182"/>
      <c r="LEQ117" s="181"/>
      <c r="LER117" s="182"/>
      <c r="LES117" s="181"/>
      <c r="LET117" s="182"/>
      <c r="LEU117" s="181"/>
      <c r="LEV117" s="182"/>
      <c r="LEW117" s="181"/>
      <c r="LEX117" s="182"/>
      <c r="LEY117" s="181"/>
      <c r="LEZ117" s="182"/>
      <c r="LFA117" s="181"/>
      <c r="LFB117" s="182"/>
      <c r="LFC117" s="181"/>
      <c r="LFD117" s="182"/>
      <c r="LFE117" s="181"/>
      <c r="LFF117" s="182"/>
      <c r="LFG117" s="181"/>
      <c r="LFH117" s="182"/>
      <c r="LFI117" s="181"/>
      <c r="LFJ117" s="182"/>
      <c r="LFK117" s="181"/>
      <c r="LFL117" s="182"/>
      <c r="LFM117" s="181"/>
      <c r="LFN117" s="182"/>
      <c r="LFO117" s="181"/>
      <c r="LFP117" s="182"/>
      <c r="LFQ117" s="181"/>
      <c r="LFR117" s="182"/>
      <c r="LFS117" s="181"/>
      <c r="LFT117" s="182"/>
      <c r="LFU117" s="181"/>
      <c r="LFV117" s="182"/>
      <c r="LFW117" s="181"/>
      <c r="LFX117" s="182"/>
      <c r="LFY117" s="181"/>
      <c r="LFZ117" s="182"/>
      <c r="LGA117" s="181"/>
      <c r="LGB117" s="182"/>
      <c r="LGC117" s="181"/>
      <c r="LGD117" s="182"/>
      <c r="LGE117" s="181"/>
      <c r="LGF117" s="182"/>
      <c r="LGG117" s="181"/>
      <c r="LGH117" s="182"/>
      <c r="LGI117" s="181"/>
      <c r="LGJ117" s="182"/>
      <c r="LGK117" s="181"/>
      <c r="LGL117" s="182"/>
      <c r="LGM117" s="181"/>
      <c r="LGN117" s="182"/>
      <c r="LGO117" s="181"/>
      <c r="LGP117" s="182"/>
      <c r="LGQ117" s="181"/>
      <c r="LGR117" s="182"/>
      <c r="LGS117" s="181"/>
      <c r="LGT117" s="182"/>
      <c r="LGU117" s="181"/>
      <c r="LGV117" s="182"/>
      <c r="LGW117" s="181"/>
      <c r="LGX117" s="182"/>
      <c r="LGY117" s="181"/>
      <c r="LGZ117" s="182"/>
      <c r="LHA117" s="181"/>
      <c r="LHB117" s="182"/>
      <c r="LHC117" s="181"/>
      <c r="LHD117" s="182"/>
      <c r="LHE117" s="181"/>
      <c r="LHF117" s="182"/>
      <c r="LHG117" s="181"/>
      <c r="LHH117" s="182"/>
      <c r="LHI117" s="181"/>
      <c r="LHJ117" s="182"/>
      <c r="LHK117" s="181"/>
      <c r="LHL117" s="182"/>
      <c r="LHM117" s="181"/>
      <c r="LHN117" s="182"/>
      <c r="LHO117" s="181"/>
      <c r="LHP117" s="182"/>
      <c r="LHQ117" s="181"/>
      <c r="LHR117" s="182"/>
      <c r="LHS117" s="181"/>
      <c r="LHT117" s="182"/>
      <c r="LHU117" s="181"/>
      <c r="LHV117" s="182"/>
      <c r="LHW117" s="181"/>
      <c r="LHX117" s="182"/>
      <c r="LHY117" s="181"/>
      <c r="LHZ117" s="182"/>
      <c r="LIA117" s="181"/>
      <c r="LIB117" s="182"/>
      <c r="LIC117" s="181"/>
      <c r="LID117" s="182"/>
      <c r="LIE117" s="181"/>
      <c r="LIF117" s="182"/>
      <c r="LIG117" s="181"/>
      <c r="LIH117" s="182"/>
      <c r="LII117" s="181"/>
      <c r="LIJ117" s="182"/>
      <c r="LIK117" s="181"/>
      <c r="LIL117" s="182"/>
      <c r="LIM117" s="181"/>
      <c r="LIN117" s="182"/>
      <c r="LIO117" s="181"/>
      <c r="LIP117" s="182"/>
      <c r="LIQ117" s="181"/>
      <c r="LIR117" s="182"/>
      <c r="LIS117" s="181"/>
      <c r="LIT117" s="182"/>
      <c r="LIU117" s="181"/>
      <c r="LIV117" s="182"/>
      <c r="LIW117" s="181"/>
      <c r="LIX117" s="182"/>
      <c r="LIY117" s="181"/>
      <c r="LIZ117" s="182"/>
      <c r="LJA117" s="181"/>
      <c r="LJB117" s="182"/>
      <c r="LJC117" s="181"/>
      <c r="LJD117" s="182"/>
      <c r="LJE117" s="181"/>
      <c r="LJF117" s="182"/>
      <c r="LJG117" s="181"/>
      <c r="LJH117" s="182"/>
      <c r="LJI117" s="181"/>
      <c r="LJJ117" s="182"/>
      <c r="LJK117" s="181"/>
      <c r="LJL117" s="182"/>
      <c r="LJM117" s="181"/>
      <c r="LJN117" s="182"/>
      <c r="LJO117" s="181"/>
      <c r="LJP117" s="182"/>
      <c r="LJQ117" s="181"/>
      <c r="LJR117" s="182"/>
      <c r="LJS117" s="181"/>
      <c r="LJT117" s="182"/>
      <c r="LJU117" s="181"/>
      <c r="LJV117" s="182"/>
      <c r="LJW117" s="181"/>
      <c r="LJX117" s="182"/>
      <c r="LJY117" s="181"/>
      <c r="LJZ117" s="182"/>
      <c r="LKA117" s="181"/>
      <c r="LKB117" s="182"/>
      <c r="LKC117" s="181"/>
      <c r="LKD117" s="182"/>
      <c r="LKE117" s="181"/>
      <c r="LKF117" s="182"/>
      <c r="LKG117" s="181"/>
      <c r="LKH117" s="182"/>
      <c r="LKI117" s="181"/>
      <c r="LKJ117" s="182"/>
      <c r="LKK117" s="181"/>
      <c r="LKL117" s="182"/>
      <c r="LKM117" s="181"/>
      <c r="LKN117" s="182"/>
      <c r="LKO117" s="181"/>
      <c r="LKP117" s="182"/>
      <c r="LKQ117" s="181"/>
      <c r="LKR117" s="182"/>
      <c r="LKS117" s="181"/>
      <c r="LKT117" s="182"/>
      <c r="LKU117" s="181"/>
      <c r="LKV117" s="182"/>
      <c r="LKW117" s="181"/>
      <c r="LKX117" s="182"/>
      <c r="LKY117" s="181"/>
      <c r="LKZ117" s="182"/>
      <c r="LLA117" s="181"/>
      <c r="LLB117" s="182"/>
      <c r="LLC117" s="181"/>
      <c r="LLD117" s="182"/>
      <c r="LLE117" s="181"/>
      <c r="LLF117" s="182"/>
      <c r="LLG117" s="181"/>
      <c r="LLH117" s="182"/>
      <c r="LLI117" s="181"/>
      <c r="LLJ117" s="182"/>
      <c r="LLK117" s="181"/>
      <c r="LLL117" s="182"/>
      <c r="LLM117" s="181"/>
      <c r="LLN117" s="182"/>
      <c r="LLO117" s="181"/>
      <c r="LLP117" s="182"/>
      <c r="LLQ117" s="181"/>
      <c r="LLR117" s="182"/>
      <c r="LLS117" s="181"/>
      <c r="LLT117" s="182"/>
      <c r="LLU117" s="181"/>
      <c r="LLV117" s="182"/>
      <c r="LLW117" s="181"/>
      <c r="LLX117" s="182"/>
      <c r="LLY117" s="181"/>
      <c r="LLZ117" s="182"/>
      <c r="LMA117" s="181"/>
      <c r="LMB117" s="182"/>
      <c r="LMC117" s="181"/>
      <c r="LMD117" s="182"/>
      <c r="LME117" s="181"/>
      <c r="LMF117" s="182"/>
      <c r="LMG117" s="181"/>
      <c r="LMH117" s="182"/>
      <c r="LMI117" s="181"/>
      <c r="LMJ117" s="182"/>
      <c r="LMK117" s="181"/>
      <c r="LML117" s="182"/>
      <c r="LMM117" s="181"/>
      <c r="LMN117" s="182"/>
      <c r="LMO117" s="181"/>
      <c r="LMP117" s="182"/>
      <c r="LMQ117" s="181"/>
      <c r="LMR117" s="182"/>
      <c r="LMS117" s="181"/>
      <c r="LMT117" s="182"/>
      <c r="LMU117" s="181"/>
      <c r="LMV117" s="182"/>
      <c r="LMW117" s="181"/>
      <c r="LMX117" s="182"/>
      <c r="LMY117" s="181"/>
      <c r="LMZ117" s="182"/>
      <c r="LNA117" s="181"/>
      <c r="LNB117" s="182"/>
      <c r="LNC117" s="181"/>
      <c r="LND117" s="182"/>
      <c r="LNE117" s="181"/>
      <c r="LNF117" s="182"/>
      <c r="LNG117" s="181"/>
      <c r="LNH117" s="182"/>
      <c r="LNI117" s="181"/>
      <c r="LNJ117" s="182"/>
      <c r="LNK117" s="181"/>
      <c r="LNL117" s="182"/>
      <c r="LNM117" s="181"/>
      <c r="LNN117" s="182"/>
      <c r="LNO117" s="181"/>
      <c r="LNP117" s="182"/>
      <c r="LNQ117" s="181"/>
      <c r="LNR117" s="182"/>
      <c r="LNS117" s="181"/>
      <c r="LNT117" s="182"/>
      <c r="LNU117" s="181"/>
      <c r="LNV117" s="182"/>
      <c r="LNW117" s="181"/>
      <c r="LNX117" s="182"/>
      <c r="LNY117" s="181"/>
      <c r="LNZ117" s="182"/>
      <c r="LOA117" s="181"/>
      <c r="LOB117" s="182"/>
      <c r="LOC117" s="181"/>
      <c r="LOD117" s="182"/>
      <c r="LOE117" s="181"/>
      <c r="LOF117" s="182"/>
      <c r="LOG117" s="181"/>
      <c r="LOH117" s="182"/>
      <c r="LOI117" s="181"/>
      <c r="LOJ117" s="182"/>
      <c r="LOK117" s="181"/>
      <c r="LOL117" s="182"/>
      <c r="LOM117" s="181"/>
      <c r="LON117" s="182"/>
      <c r="LOO117" s="181"/>
      <c r="LOP117" s="182"/>
      <c r="LOQ117" s="181"/>
      <c r="LOR117" s="182"/>
      <c r="LOS117" s="181"/>
      <c r="LOT117" s="182"/>
      <c r="LOU117" s="181"/>
      <c r="LOV117" s="182"/>
      <c r="LOW117" s="181"/>
      <c r="LOX117" s="182"/>
      <c r="LOY117" s="181"/>
      <c r="LOZ117" s="182"/>
      <c r="LPA117" s="181"/>
      <c r="LPB117" s="182"/>
      <c r="LPC117" s="181"/>
      <c r="LPD117" s="182"/>
      <c r="LPE117" s="181"/>
      <c r="LPF117" s="182"/>
      <c r="LPG117" s="181"/>
      <c r="LPH117" s="182"/>
      <c r="LPI117" s="181"/>
      <c r="LPJ117" s="182"/>
      <c r="LPK117" s="181"/>
      <c r="LPL117" s="182"/>
      <c r="LPM117" s="181"/>
      <c r="LPN117" s="182"/>
      <c r="LPO117" s="181"/>
      <c r="LPP117" s="182"/>
      <c r="LPQ117" s="181"/>
      <c r="LPR117" s="182"/>
      <c r="LPS117" s="181"/>
      <c r="LPT117" s="182"/>
      <c r="LPU117" s="181"/>
      <c r="LPV117" s="182"/>
      <c r="LPW117" s="181"/>
      <c r="LPX117" s="182"/>
      <c r="LPY117" s="181"/>
      <c r="LPZ117" s="182"/>
      <c r="LQA117" s="181"/>
      <c r="LQB117" s="182"/>
      <c r="LQC117" s="181"/>
      <c r="LQD117" s="182"/>
      <c r="LQE117" s="181"/>
      <c r="LQF117" s="182"/>
      <c r="LQG117" s="181"/>
      <c r="LQH117" s="182"/>
      <c r="LQI117" s="181"/>
      <c r="LQJ117" s="182"/>
      <c r="LQK117" s="181"/>
      <c r="LQL117" s="182"/>
      <c r="LQM117" s="181"/>
      <c r="LQN117" s="182"/>
      <c r="LQO117" s="181"/>
      <c r="LQP117" s="182"/>
      <c r="LQQ117" s="181"/>
      <c r="LQR117" s="182"/>
      <c r="LQS117" s="181"/>
      <c r="LQT117" s="182"/>
      <c r="LQU117" s="181"/>
      <c r="LQV117" s="182"/>
      <c r="LQW117" s="181"/>
      <c r="LQX117" s="182"/>
      <c r="LQY117" s="181"/>
      <c r="LQZ117" s="182"/>
      <c r="LRA117" s="181"/>
      <c r="LRB117" s="182"/>
      <c r="LRC117" s="181"/>
      <c r="LRD117" s="182"/>
      <c r="LRE117" s="181"/>
      <c r="LRF117" s="182"/>
      <c r="LRG117" s="181"/>
      <c r="LRH117" s="182"/>
      <c r="LRI117" s="181"/>
      <c r="LRJ117" s="182"/>
      <c r="LRK117" s="181"/>
      <c r="LRL117" s="182"/>
      <c r="LRM117" s="181"/>
      <c r="LRN117" s="182"/>
      <c r="LRO117" s="181"/>
      <c r="LRP117" s="182"/>
      <c r="LRQ117" s="181"/>
      <c r="LRR117" s="182"/>
      <c r="LRS117" s="181"/>
      <c r="LRT117" s="182"/>
      <c r="LRU117" s="181"/>
      <c r="LRV117" s="182"/>
      <c r="LRW117" s="181"/>
      <c r="LRX117" s="182"/>
      <c r="LRY117" s="181"/>
      <c r="LRZ117" s="182"/>
      <c r="LSA117" s="181"/>
      <c r="LSB117" s="182"/>
      <c r="LSC117" s="181"/>
      <c r="LSD117" s="182"/>
      <c r="LSE117" s="181"/>
      <c r="LSF117" s="182"/>
      <c r="LSG117" s="181"/>
      <c r="LSH117" s="182"/>
      <c r="LSI117" s="181"/>
      <c r="LSJ117" s="182"/>
      <c r="LSK117" s="181"/>
      <c r="LSL117" s="182"/>
      <c r="LSM117" s="181"/>
      <c r="LSN117" s="182"/>
      <c r="LSO117" s="181"/>
      <c r="LSP117" s="182"/>
      <c r="LSQ117" s="181"/>
      <c r="LSR117" s="182"/>
      <c r="LSS117" s="181"/>
      <c r="LST117" s="182"/>
      <c r="LSU117" s="181"/>
      <c r="LSV117" s="182"/>
      <c r="LSW117" s="181"/>
      <c r="LSX117" s="182"/>
      <c r="LSY117" s="181"/>
      <c r="LSZ117" s="182"/>
      <c r="LTA117" s="181"/>
      <c r="LTB117" s="182"/>
      <c r="LTC117" s="181"/>
      <c r="LTD117" s="182"/>
      <c r="LTE117" s="181"/>
      <c r="LTF117" s="182"/>
      <c r="LTG117" s="181"/>
      <c r="LTH117" s="182"/>
      <c r="LTI117" s="181"/>
      <c r="LTJ117" s="182"/>
      <c r="LTK117" s="181"/>
      <c r="LTL117" s="182"/>
      <c r="LTM117" s="181"/>
      <c r="LTN117" s="182"/>
      <c r="LTO117" s="181"/>
      <c r="LTP117" s="182"/>
      <c r="LTQ117" s="181"/>
      <c r="LTR117" s="182"/>
      <c r="LTS117" s="181"/>
      <c r="LTT117" s="182"/>
      <c r="LTU117" s="181"/>
      <c r="LTV117" s="182"/>
      <c r="LTW117" s="181"/>
      <c r="LTX117" s="182"/>
      <c r="LTY117" s="181"/>
      <c r="LTZ117" s="182"/>
      <c r="LUA117" s="181"/>
      <c r="LUB117" s="182"/>
      <c r="LUC117" s="181"/>
      <c r="LUD117" s="182"/>
      <c r="LUE117" s="181"/>
      <c r="LUF117" s="182"/>
      <c r="LUG117" s="181"/>
      <c r="LUH117" s="182"/>
      <c r="LUI117" s="181"/>
      <c r="LUJ117" s="182"/>
      <c r="LUK117" s="181"/>
      <c r="LUL117" s="182"/>
      <c r="LUM117" s="181"/>
      <c r="LUN117" s="182"/>
      <c r="LUO117" s="181"/>
      <c r="LUP117" s="182"/>
      <c r="LUQ117" s="181"/>
      <c r="LUR117" s="182"/>
      <c r="LUS117" s="181"/>
      <c r="LUT117" s="182"/>
      <c r="LUU117" s="181"/>
      <c r="LUV117" s="182"/>
      <c r="LUW117" s="181"/>
      <c r="LUX117" s="182"/>
      <c r="LUY117" s="181"/>
      <c r="LUZ117" s="182"/>
      <c r="LVA117" s="181"/>
      <c r="LVB117" s="182"/>
      <c r="LVC117" s="181"/>
      <c r="LVD117" s="182"/>
      <c r="LVE117" s="181"/>
      <c r="LVF117" s="182"/>
      <c r="LVG117" s="181"/>
      <c r="LVH117" s="182"/>
      <c r="LVI117" s="181"/>
      <c r="LVJ117" s="182"/>
      <c r="LVK117" s="181"/>
      <c r="LVL117" s="182"/>
      <c r="LVM117" s="181"/>
      <c r="LVN117" s="182"/>
      <c r="LVO117" s="181"/>
      <c r="LVP117" s="182"/>
      <c r="LVQ117" s="181"/>
      <c r="LVR117" s="182"/>
      <c r="LVS117" s="181"/>
      <c r="LVT117" s="182"/>
      <c r="LVU117" s="181"/>
      <c r="LVV117" s="182"/>
      <c r="LVW117" s="181"/>
      <c r="LVX117" s="182"/>
      <c r="LVY117" s="181"/>
      <c r="LVZ117" s="182"/>
      <c r="LWA117" s="181"/>
      <c r="LWB117" s="182"/>
      <c r="LWC117" s="181"/>
      <c r="LWD117" s="182"/>
      <c r="LWE117" s="181"/>
      <c r="LWF117" s="182"/>
      <c r="LWG117" s="181"/>
      <c r="LWH117" s="182"/>
      <c r="LWI117" s="181"/>
      <c r="LWJ117" s="182"/>
      <c r="LWK117" s="181"/>
      <c r="LWL117" s="182"/>
      <c r="LWM117" s="181"/>
      <c r="LWN117" s="182"/>
      <c r="LWO117" s="181"/>
      <c r="LWP117" s="182"/>
      <c r="LWQ117" s="181"/>
      <c r="LWR117" s="182"/>
      <c r="LWS117" s="181"/>
      <c r="LWT117" s="182"/>
      <c r="LWU117" s="181"/>
      <c r="LWV117" s="182"/>
      <c r="LWW117" s="181"/>
      <c r="LWX117" s="182"/>
      <c r="LWY117" s="181"/>
      <c r="LWZ117" s="182"/>
      <c r="LXA117" s="181"/>
      <c r="LXB117" s="182"/>
      <c r="LXC117" s="181"/>
      <c r="LXD117" s="182"/>
      <c r="LXE117" s="181"/>
      <c r="LXF117" s="182"/>
      <c r="LXG117" s="181"/>
      <c r="LXH117" s="182"/>
      <c r="LXI117" s="181"/>
      <c r="LXJ117" s="182"/>
      <c r="LXK117" s="181"/>
      <c r="LXL117" s="182"/>
      <c r="LXM117" s="181"/>
      <c r="LXN117" s="182"/>
      <c r="LXO117" s="181"/>
      <c r="LXP117" s="182"/>
      <c r="LXQ117" s="181"/>
      <c r="LXR117" s="182"/>
      <c r="LXS117" s="181"/>
      <c r="LXT117" s="182"/>
      <c r="LXU117" s="181"/>
      <c r="LXV117" s="182"/>
      <c r="LXW117" s="181"/>
      <c r="LXX117" s="182"/>
      <c r="LXY117" s="181"/>
      <c r="LXZ117" s="182"/>
      <c r="LYA117" s="181"/>
      <c r="LYB117" s="182"/>
      <c r="LYC117" s="181"/>
      <c r="LYD117" s="182"/>
      <c r="LYE117" s="181"/>
      <c r="LYF117" s="182"/>
      <c r="LYG117" s="181"/>
      <c r="LYH117" s="182"/>
      <c r="LYI117" s="181"/>
      <c r="LYJ117" s="182"/>
      <c r="LYK117" s="181"/>
      <c r="LYL117" s="182"/>
      <c r="LYM117" s="181"/>
      <c r="LYN117" s="182"/>
      <c r="LYO117" s="181"/>
      <c r="LYP117" s="182"/>
      <c r="LYQ117" s="181"/>
      <c r="LYR117" s="182"/>
      <c r="LYS117" s="181"/>
      <c r="LYT117" s="182"/>
      <c r="LYU117" s="181"/>
      <c r="LYV117" s="182"/>
      <c r="LYW117" s="181"/>
      <c r="LYX117" s="182"/>
      <c r="LYY117" s="181"/>
      <c r="LYZ117" s="182"/>
      <c r="LZA117" s="181"/>
      <c r="LZB117" s="182"/>
      <c r="LZC117" s="181"/>
      <c r="LZD117" s="182"/>
      <c r="LZE117" s="181"/>
      <c r="LZF117" s="182"/>
      <c r="LZG117" s="181"/>
      <c r="LZH117" s="182"/>
      <c r="LZI117" s="181"/>
      <c r="LZJ117" s="182"/>
      <c r="LZK117" s="181"/>
      <c r="LZL117" s="182"/>
      <c r="LZM117" s="181"/>
      <c r="LZN117" s="182"/>
      <c r="LZO117" s="181"/>
      <c r="LZP117" s="182"/>
      <c r="LZQ117" s="181"/>
      <c r="LZR117" s="182"/>
      <c r="LZS117" s="181"/>
      <c r="LZT117" s="182"/>
      <c r="LZU117" s="181"/>
      <c r="LZV117" s="182"/>
      <c r="LZW117" s="181"/>
      <c r="LZX117" s="182"/>
      <c r="LZY117" s="181"/>
      <c r="LZZ117" s="182"/>
      <c r="MAA117" s="181"/>
      <c r="MAB117" s="182"/>
      <c r="MAC117" s="181"/>
      <c r="MAD117" s="182"/>
      <c r="MAE117" s="181"/>
      <c r="MAF117" s="182"/>
      <c r="MAG117" s="181"/>
      <c r="MAH117" s="182"/>
      <c r="MAI117" s="181"/>
      <c r="MAJ117" s="182"/>
      <c r="MAK117" s="181"/>
      <c r="MAL117" s="182"/>
      <c r="MAM117" s="181"/>
      <c r="MAN117" s="182"/>
      <c r="MAO117" s="181"/>
      <c r="MAP117" s="182"/>
      <c r="MAQ117" s="181"/>
      <c r="MAR117" s="182"/>
      <c r="MAS117" s="181"/>
      <c r="MAT117" s="182"/>
      <c r="MAU117" s="181"/>
      <c r="MAV117" s="182"/>
      <c r="MAW117" s="181"/>
      <c r="MAX117" s="182"/>
      <c r="MAY117" s="181"/>
      <c r="MAZ117" s="182"/>
      <c r="MBA117" s="181"/>
      <c r="MBB117" s="182"/>
      <c r="MBC117" s="181"/>
      <c r="MBD117" s="182"/>
      <c r="MBE117" s="181"/>
      <c r="MBF117" s="182"/>
      <c r="MBG117" s="181"/>
      <c r="MBH117" s="182"/>
      <c r="MBI117" s="181"/>
      <c r="MBJ117" s="182"/>
      <c r="MBK117" s="181"/>
      <c r="MBL117" s="182"/>
      <c r="MBM117" s="181"/>
      <c r="MBN117" s="182"/>
      <c r="MBO117" s="181"/>
      <c r="MBP117" s="182"/>
      <c r="MBQ117" s="181"/>
      <c r="MBR117" s="182"/>
      <c r="MBS117" s="181"/>
      <c r="MBT117" s="182"/>
      <c r="MBU117" s="181"/>
      <c r="MBV117" s="182"/>
      <c r="MBW117" s="181"/>
      <c r="MBX117" s="182"/>
      <c r="MBY117" s="181"/>
      <c r="MBZ117" s="182"/>
      <c r="MCA117" s="181"/>
      <c r="MCB117" s="182"/>
      <c r="MCC117" s="181"/>
      <c r="MCD117" s="182"/>
      <c r="MCE117" s="181"/>
      <c r="MCF117" s="182"/>
      <c r="MCG117" s="181"/>
      <c r="MCH117" s="182"/>
      <c r="MCI117" s="181"/>
      <c r="MCJ117" s="182"/>
      <c r="MCK117" s="181"/>
      <c r="MCL117" s="182"/>
      <c r="MCM117" s="181"/>
      <c r="MCN117" s="182"/>
      <c r="MCO117" s="181"/>
      <c r="MCP117" s="182"/>
      <c r="MCQ117" s="181"/>
      <c r="MCR117" s="182"/>
      <c r="MCS117" s="181"/>
      <c r="MCT117" s="182"/>
      <c r="MCU117" s="181"/>
      <c r="MCV117" s="182"/>
      <c r="MCW117" s="181"/>
      <c r="MCX117" s="182"/>
      <c r="MCY117" s="181"/>
      <c r="MCZ117" s="182"/>
      <c r="MDA117" s="181"/>
      <c r="MDB117" s="182"/>
      <c r="MDC117" s="181"/>
      <c r="MDD117" s="182"/>
      <c r="MDE117" s="181"/>
      <c r="MDF117" s="182"/>
      <c r="MDG117" s="181"/>
      <c r="MDH117" s="182"/>
      <c r="MDI117" s="181"/>
      <c r="MDJ117" s="182"/>
      <c r="MDK117" s="181"/>
      <c r="MDL117" s="182"/>
      <c r="MDM117" s="181"/>
      <c r="MDN117" s="182"/>
      <c r="MDO117" s="181"/>
      <c r="MDP117" s="182"/>
      <c r="MDQ117" s="181"/>
      <c r="MDR117" s="182"/>
      <c r="MDS117" s="181"/>
      <c r="MDT117" s="182"/>
      <c r="MDU117" s="181"/>
      <c r="MDV117" s="182"/>
      <c r="MDW117" s="181"/>
      <c r="MDX117" s="182"/>
      <c r="MDY117" s="181"/>
      <c r="MDZ117" s="182"/>
      <c r="MEA117" s="181"/>
      <c r="MEB117" s="182"/>
      <c r="MEC117" s="181"/>
      <c r="MED117" s="182"/>
      <c r="MEE117" s="181"/>
      <c r="MEF117" s="182"/>
      <c r="MEG117" s="181"/>
      <c r="MEH117" s="182"/>
      <c r="MEI117" s="181"/>
      <c r="MEJ117" s="182"/>
      <c r="MEK117" s="181"/>
      <c r="MEL117" s="182"/>
      <c r="MEM117" s="181"/>
      <c r="MEN117" s="182"/>
      <c r="MEO117" s="181"/>
      <c r="MEP117" s="182"/>
      <c r="MEQ117" s="181"/>
      <c r="MER117" s="182"/>
      <c r="MES117" s="181"/>
      <c r="MET117" s="182"/>
      <c r="MEU117" s="181"/>
      <c r="MEV117" s="182"/>
      <c r="MEW117" s="181"/>
      <c r="MEX117" s="182"/>
      <c r="MEY117" s="181"/>
      <c r="MEZ117" s="182"/>
      <c r="MFA117" s="181"/>
      <c r="MFB117" s="182"/>
      <c r="MFC117" s="181"/>
      <c r="MFD117" s="182"/>
      <c r="MFE117" s="181"/>
      <c r="MFF117" s="182"/>
      <c r="MFG117" s="181"/>
      <c r="MFH117" s="182"/>
      <c r="MFI117" s="181"/>
      <c r="MFJ117" s="182"/>
      <c r="MFK117" s="181"/>
      <c r="MFL117" s="182"/>
      <c r="MFM117" s="181"/>
      <c r="MFN117" s="182"/>
      <c r="MFO117" s="181"/>
      <c r="MFP117" s="182"/>
      <c r="MFQ117" s="181"/>
      <c r="MFR117" s="182"/>
      <c r="MFS117" s="181"/>
      <c r="MFT117" s="182"/>
      <c r="MFU117" s="181"/>
      <c r="MFV117" s="182"/>
      <c r="MFW117" s="181"/>
      <c r="MFX117" s="182"/>
      <c r="MFY117" s="181"/>
      <c r="MFZ117" s="182"/>
      <c r="MGA117" s="181"/>
      <c r="MGB117" s="182"/>
      <c r="MGC117" s="181"/>
      <c r="MGD117" s="182"/>
      <c r="MGE117" s="181"/>
      <c r="MGF117" s="182"/>
      <c r="MGG117" s="181"/>
      <c r="MGH117" s="182"/>
      <c r="MGI117" s="181"/>
      <c r="MGJ117" s="182"/>
      <c r="MGK117" s="181"/>
      <c r="MGL117" s="182"/>
      <c r="MGM117" s="181"/>
      <c r="MGN117" s="182"/>
      <c r="MGO117" s="181"/>
      <c r="MGP117" s="182"/>
      <c r="MGQ117" s="181"/>
      <c r="MGR117" s="182"/>
      <c r="MGS117" s="181"/>
      <c r="MGT117" s="182"/>
      <c r="MGU117" s="181"/>
      <c r="MGV117" s="182"/>
      <c r="MGW117" s="181"/>
      <c r="MGX117" s="182"/>
      <c r="MGY117" s="181"/>
      <c r="MGZ117" s="182"/>
      <c r="MHA117" s="181"/>
      <c r="MHB117" s="182"/>
      <c r="MHC117" s="181"/>
      <c r="MHD117" s="182"/>
      <c r="MHE117" s="181"/>
      <c r="MHF117" s="182"/>
      <c r="MHG117" s="181"/>
      <c r="MHH117" s="182"/>
      <c r="MHI117" s="181"/>
      <c r="MHJ117" s="182"/>
      <c r="MHK117" s="181"/>
      <c r="MHL117" s="182"/>
      <c r="MHM117" s="181"/>
      <c r="MHN117" s="182"/>
      <c r="MHO117" s="181"/>
      <c r="MHP117" s="182"/>
      <c r="MHQ117" s="181"/>
      <c r="MHR117" s="182"/>
      <c r="MHS117" s="181"/>
      <c r="MHT117" s="182"/>
      <c r="MHU117" s="181"/>
      <c r="MHV117" s="182"/>
      <c r="MHW117" s="181"/>
      <c r="MHX117" s="182"/>
      <c r="MHY117" s="181"/>
      <c r="MHZ117" s="182"/>
      <c r="MIA117" s="181"/>
      <c r="MIB117" s="182"/>
      <c r="MIC117" s="181"/>
      <c r="MID117" s="182"/>
      <c r="MIE117" s="181"/>
      <c r="MIF117" s="182"/>
      <c r="MIG117" s="181"/>
      <c r="MIH117" s="182"/>
      <c r="MII117" s="181"/>
      <c r="MIJ117" s="182"/>
      <c r="MIK117" s="181"/>
      <c r="MIL117" s="182"/>
      <c r="MIM117" s="181"/>
      <c r="MIN117" s="182"/>
      <c r="MIO117" s="181"/>
      <c r="MIP117" s="182"/>
      <c r="MIQ117" s="181"/>
      <c r="MIR117" s="182"/>
      <c r="MIS117" s="181"/>
      <c r="MIT117" s="182"/>
      <c r="MIU117" s="181"/>
      <c r="MIV117" s="182"/>
      <c r="MIW117" s="181"/>
      <c r="MIX117" s="182"/>
      <c r="MIY117" s="181"/>
      <c r="MIZ117" s="182"/>
      <c r="MJA117" s="181"/>
      <c r="MJB117" s="182"/>
      <c r="MJC117" s="181"/>
      <c r="MJD117" s="182"/>
      <c r="MJE117" s="181"/>
      <c r="MJF117" s="182"/>
      <c r="MJG117" s="181"/>
      <c r="MJH117" s="182"/>
      <c r="MJI117" s="181"/>
      <c r="MJJ117" s="182"/>
      <c r="MJK117" s="181"/>
      <c r="MJL117" s="182"/>
      <c r="MJM117" s="181"/>
      <c r="MJN117" s="182"/>
      <c r="MJO117" s="181"/>
      <c r="MJP117" s="182"/>
      <c r="MJQ117" s="181"/>
      <c r="MJR117" s="182"/>
      <c r="MJS117" s="181"/>
      <c r="MJT117" s="182"/>
      <c r="MJU117" s="181"/>
      <c r="MJV117" s="182"/>
      <c r="MJW117" s="181"/>
      <c r="MJX117" s="182"/>
      <c r="MJY117" s="181"/>
      <c r="MJZ117" s="182"/>
      <c r="MKA117" s="181"/>
      <c r="MKB117" s="182"/>
      <c r="MKC117" s="181"/>
      <c r="MKD117" s="182"/>
      <c r="MKE117" s="181"/>
      <c r="MKF117" s="182"/>
      <c r="MKG117" s="181"/>
      <c r="MKH117" s="182"/>
      <c r="MKI117" s="181"/>
      <c r="MKJ117" s="182"/>
      <c r="MKK117" s="181"/>
      <c r="MKL117" s="182"/>
      <c r="MKM117" s="181"/>
      <c r="MKN117" s="182"/>
      <c r="MKO117" s="181"/>
      <c r="MKP117" s="182"/>
      <c r="MKQ117" s="181"/>
      <c r="MKR117" s="182"/>
      <c r="MKS117" s="181"/>
      <c r="MKT117" s="182"/>
      <c r="MKU117" s="181"/>
      <c r="MKV117" s="182"/>
      <c r="MKW117" s="181"/>
      <c r="MKX117" s="182"/>
      <c r="MKY117" s="181"/>
      <c r="MKZ117" s="182"/>
      <c r="MLA117" s="181"/>
      <c r="MLB117" s="182"/>
      <c r="MLC117" s="181"/>
      <c r="MLD117" s="182"/>
      <c r="MLE117" s="181"/>
      <c r="MLF117" s="182"/>
      <c r="MLG117" s="181"/>
      <c r="MLH117" s="182"/>
      <c r="MLI117" s="181"/>
      <c r="MLJ117" s="182"/>
      <c r="MLK117" s="181"/>
      <c r="MLL117" s="182"/>
      <c r="MLM117" s="181"/>
      <c r="MLN117" s="182"/>
      <c r="MLO117" s="181"/>
      <c r="MLP117" s="182"/>
      <c r="MLQ117" s="181"/>
      <c r="MLR117" s="182"/>
      <c r="MLS117" s="181"/>
      <c r="MLT117" s="182"/>
      <c r="MLU117" s="181"/>
      <c r="MLV117" s="182"/>
      <c r="MLW117" s="181"/>
      <c r="MLX117" s="182"/>
      <c r="MLY117" s="181"/>
      <c r="MLZ117" s="182"/>
      <c r="MMA117" s="181"/>
      <c r="MMB117" s="182"/>
      <c r="MMC117" s="181"/>
      <c r="MMD117" s="182"/>
      <c r="MME117" s="181"/>
      <c r="MMF117" s="182"/>
      <c r="MMG117" s="181"/>
      <c r="MMH117" s="182"/>
      <c r="MMI117" s="181"/>
      <c r="MMJ117" s="182"/>
      <c r="MMK117" s="181"/>
      <c r="MML117" s="182"/>
      <c r="MMM117" s="181"/>
      <c r="MMN117" s="182"/>
      <c r="MMO117" s="181"/>
      <c r="MMP117" s="182"/>
      <c r="MMQ117" s="181"/>
      <c r="MMR117" s="182"/>
      <c r="MMS117" s="181"/>
      <c r="MMT117" s="182"/>
      <c r="MMU117" s="181"/>
      <c r="MMV117" s="182"/>
      <c r="MMW117" s="181"/>
      <c r="MMX117" s="182"/>
      <c r="MMY117" s="181"/>
      <c r="MMZ117" s="182"/>
      <c r="MNA117" s="181"/>
      <c r="MNB117" s="182"/>
      <c r="MNC117" s="181"/>
      <c r="MND117" s="182"/>
      <c r="MNE117" s="181"/>
      <c r="MNF117" s="182"/>
      <c r="MNG117" s="181"/>
      <c r="MNH117" s="182"/>
      <c r="MNI117" s="181"/>
      <c r="MNJ117" s="182"/>
      <c r="MNK117" s="181"/>
      <c r="MNL117" s="182"/>
      <c r="MNM117" s="181"/>
      <c r="MNN117" s="182"/>
      <c r="MNO117" s="181"/>
      <c r="MNP117" s="182"/>
      <c r="MNQ117" s="181"/>
      <c r="MNR117" s="182"/>
      <c r="MNS117" s="181"/>
      <c r="MNT117" s="182"/>
      <c r="MNU117" s="181"/>
      <c r="MNV117" s="182"/>
      <c r="MNW117" s="181"/>
      <c r="MNX117" s="182"/>
      <c r="MNY117" s="181"/>
      <c r="MNZ117" s="182"/>
      <c r="MOA117" s="181"/>
      <c r="MOB117" s="182"/>
      <c r="MOC117" s="181"/>
      <c r="MOD117" s="182"/>
      <c r="MOE117" s="181"/>
      <c r="MOF117" s="182"/>
      <c r="MOG117" s="181"/>
      <c r="MOH117" s="182"/>
      <c r="MOI117" s="181"/>
      <c r="MOJ117" s="182"/>
      <c r="MOK117" s="181"/>
      <c r="MOL117" s="182"/>
      <c r="MOM117" s="181"/>
      <c r="MON117" s="182"/>
      <c r="MOO117" s="181"/>
      <c r="MOP117" s="182"/>
      <c r="MOQ117" s="181"/>
      <c r="MOR117" s="182"/>
      <c r="MOS117" s="181"/>
      <c r="MOT117" s="182"/>
      <c r="MOU117" s="181"/>
      <c r="MOV117" s="182"/>
      <c r="MOW117" s="181"/>
      <c r="MOX117" s="182"/>
      <c r="MOY117" s="181"/>
      <c r="MOZ117" s="182"/>
      <c r="MPA117" s="181"/>
      <c r="MPB117" s="182"/>
      <c r="MPC117" s="181"/>
      <c r="MPD117" s="182"/>
      <c r="MPE117" s="181"/>
      <c r="MPF117" s="182"/>
      <c r="MPG117" s="181"/>
      <c r="MPH117" s="182"/>
      <c r="MPI117" s="181"/>
      <c r="MPJ117" s="182"/>
      <c r="MPK117" s="181"/>
      <c r="MPL117" s="182"/>
      <c r="MPM117" s="181"/>
      <c r="MPN117" s="182"/>
      <c r="MPO117" s="181"/>
      <c r="MPP117" s="182"/>
      <c r="MPQ117" s="181"/>
      <c r="MPR117" s="182"/>
      <c r="MPS117" s="181"/>
      <c r="MPT117" s="182"/>
      <c r="MPU117" s="181"/>
      <c r="MPV117" s="182"/>
      <c r="MPW117" s="181"/>
      <c r="MPX117" s="182"/>
      <c r="MPY117" s="181"/>
      <c r="MPZ117" s="182"/>
      <c r="MQA117" s="181"/>
      <c r="MQB117" s="182"/>
      <c r="MQC117" s="181"/>
      <c r="MQD117" s="182"/>
      <c r="MQE117" s="181"/>
      <c r="MQF117" s="182"/>
      <c r="MQG117" s="181"/>
      <c r="MQH117" s="182"/>
      <c r="MQI117" s="181"/>
      <c r="MQJ117" s="182"/>
      <c r="MQK117" s="181"/>
      <c r="MQL117" s="182"/>
      <c r="MQM117" s="181"/>
      <c r="MQN117" s="182"/>
      <c r="MQO117" s="181"/>
      <c r="MQP117" s="182"/>
      <c r="MQQ117" s="181"/>
      <c r="MQR117" s="182"/>
      <c r="MQS117" s="181"/>
      <c r="MQT117" s="182"/>
      <c r="MQU117" s="181"/>
      <c r="MQV117" s="182"/>
      <c r="MQW117" s="181"/>
      <c r="MQX117" s="182"/>
      <c r="MQY117" s="181"/>
      <c r="MQZ117" s="182"/>
      <c r="MRA117" s="181"/>
      <c r="MRB117" s="182"/>
      <c r="MRC117" s="181"/>
      <c r="MRD117" s="182"/>
      <c r="MRE117" s="181"/>
      <c r="MRF117" s="182"/>
      <c r="MRG117" s="181"/>
      <c r="MRH117" s="182"/>
      <c r="MRI117" s="181"/>
      <c r="MRJ117" s="182"/>
      <c r="MRK117" s="181"/>
      <c r="MRL117" s="182"/>
      <c r="MRM117" s="181"/>
      <c r="MRN117" s="182"/>
      <c r="MRO117" s="181"/>
      <c r="MRP117" s="182"/>
      <c r="MRQ117" s="181"/>
      <c r="MRR117" s="182"/>
      <c r="MRS117" s="181"/>
      <c r="MRT117" s="182"/>
      <c r="MRU117" s="181"/>
      <c r="MRV117" s="182"/>
      <c r="MRW117" s="181"/>
      <c r="MRX117" s="182"/>
      <c r="MRY117" s="181"/>
      <c r="MRZ117" s="182"/>
      <c r="MSA117" s="181"/>
      <c r="MSB117" s="182"/>
      <c r="MSC117" s="181"/>
      <c r="MSD117" s="182"/>
      <c r="MSE117" s="181"/>
      <c r="MSF117" s="182"/>
      <c r="MSG117" s="181"/>
      <c r="MSH117" s="182"/>
      <c r="MSI117" s="181"/>
      <c r="MSJ117" s="182"/>
      <c r="MSK117" s="181"/>
      <c r="MSL117" s="182"/>
      <c r="MSM117" s="181"/>
      <c r="MSN117" s="182"/>
      <c r="MSO117" s="181"/>
      <c r="MSP117" s="182"/>
      <c r="MSQ117" s="181"/>
      <c r="MSR117" s="182"/>
      <c r="MSS117" s="181"/>
      <c r="MST117" s="182"/>
      <c r="MSU117" s="181"/>
      <c r="MSV117" s="182"/>
      <c r="MSW117" s="181"/>
      <c r="MSX117" s="182"/>
      <c r="MSY117" s="181"/>
      <c r="MSZ117" s="182"/>
      <c r="MTA117" s="181"/>
      <c r="MTB117" s="182"/>
      <c r="MTC117" s="181"/>
      <c r="MTD117" s="182"/>
      <c r="MTE117" s="181"/>
      <c r="MTF117" s="182"/>
      <c r="MTG117" s="181"/>
      <c r="MTH117" s="182"/>
      <c r="MTI117" s="181"/>
      <c r="MTJ117" s="182"/>
      <c r="MTK117" s="181"/>
      <c r="MTL117" s="182"/>
      <c r="MTM117" s="181"/>
      <c r="MTN117" s="182"/>
      <c r="MTO117" s="181"/>
      <c r="MTP117" s="182"/>
      <c r="MTQ117" s="181"/>
      <c r="MTR117" s="182"/>
      <c r="MTS117" s="181"/>
      <c r="MTT117" s="182"/>
      <c r="MTU117" s="181"/>
      <c r="MTV117" s="182"/>
      <c r="MTW117" s="181"/>
      <c r="MTX117" s="182"/>
      <c r="MTY117" s="181"/>
      <c r="MTZ117" s="182"/>
      <c r="MUA117" s="181"/>
      <c r="MUB117" s="182"/>
      <c r="MUC117" s="181"/>
      <c r="MUD117" s="182"/>
      <c r="MUE117" s="181"/>
      <c r="MUF117" s="182"/>
      <c r="MUG117" s="181"/>
      <c r="MUH117" s="182"/>
      <c r="MUI117" s="181"/>
      <c r="MUJ117" s="182"/>
      <c r="MUK117" s="181"/>
      <c r="MUL117" s="182"/>
      <c r="MUM117" s="181"/>
      <c r="MUN117" s="182"/>
      <c r="MUO117" s="181"/>
      <c r="MUP117" s="182"/>
      <c r="MUQ117" s="181"/>
      <c r="MUR117" s="182"/>
      <c r="MUS117" s="181"/>
      <c r="MUT117" s="182"/>
      <c r="MUU117" s="181"/>
      <c r="MUV117" s="182"/>
      <c r="MUW117" s="181"/>
      <c r="MUX117" s="182"/>
      <c r="MUY117" s="181"/>
      <c r="MUZ117" s="182"/>
      <c r="MVA117" s="181"/>
      <c r="MVB117" s="182"/>
      <c r="MVC117" s="181"/>
      <c r="MVD117" s="182"/>
      <c r="MVE117" s="181"/>
      <c r="MVF117" s="182"/>
      <c r="MVG117" s="181"/>
      <c r="MVH117" s="182"/>
      <c r="MVI117" s="181"/>
      <c r="MVJ117" s="182"/>
      <c r="MVK117" s="181"/>
      <c r="MVL117" s="182"/>
      <c r="MVM117" s="181"/>
      <c r="MVN117" s="182"/>
      <c r="MVO117" s="181"/>
      <c r="MVP117" s="182"/>
      <c r="MVQ117" s="181"/>
      <c r="MVR117" s="182"/>
      <c r="MVS117" s="181"/>
      <c r="MVT117" s="182"/>
      <c r="MVU117" s="181"/>
      <c r="MVV117" s="182"/>
      <c r="MVW117" s="181"/>
      <c r="MVX117" s="182"/>
      <c r="MVY117" s="181"/>
      <c r="MVZ117" s="182"/>
      <c r="MWA117" s="181"/>
      <c r="MWB117" s="182"/>
      <c r="MWC117" s="181"/>
      <c r="MWD117" s="182"/>
      <c r="MWE117" s="181"/>
      <c r="MWF117" s="182"/>
      <c r="MWG117" s="181"/>
      <c r="MWH117" s="182"/>
      <c r="MWI117" s="181"/>
      <c r="MWJ117" s="182"/>
      <c r="MWK117" s="181"/>
      <c r="MWL117" s="182"/>
      <c r="MWM117" s="181"/>
      <c r="MWN117" s="182"/>
      <c r="MWO117" s="181"/>
      <c r="MWP117" s="182"/>
      <c r="MWQ117" s="181"/>
      <c r="MWR117" s="182"/>
      <c r="MWS117" s="181"/>
      <c r="MWT117" s="182"/>
      <c r="MWU117" s="181"/>
      <c r="MWV117" s="182"/>
      <c r="MWW117" s="181"/>
      <c r="MWX117" s="182"/>
      <c r="MWY117" s="181"/>
      <c r="MWZ117" s="182"/>
      <c r="MXA117" s="181"/>
      <c r="MXB117" s="182"/>
      <c r="MXC117" s="181"/>
      <c r="MXD117" s="182"/>
      <c r="MXE117" s="181"/>
      <c r="MXF117" s="182"/>
      <c r="MXG117" s="181"/>
      <c r="MXH117" s="182"/>
      <c r="MXI117" s="181"/>
      <c r="MXJ117" s="182"/>
      <c r="MXK117" s="181"/>
      <c r="MXL117" s="182"/>
      <c r="MXM117" s="181"/>
      <c r="MXN117" s="182"/>
      <c r="MXO117" s="181"/>
      <c r="MXP117" s="182"/>
      <c r="MXQ117" s="181"/>
      <c r="MXR117" s="182"/>
      <c r="MXS117" s="181"/>
      <c r="MXT117" s="182"/>
      <c r="MXU117" s="181"/>
      <c r="MXV117" s="182"/>
      <c r="MXW117" s="181"/>
      <c r="MXX117" s="182"/>
      <c r="MXY117" s="181"/>
      <c r="MXZ117" s="182"/>
      <c r="MYA117" s="181"/>
      <c r="MYB117" s="182"/>
      <c r="MYC117" s="181"/>
      <c r="MYD117" s="182"/>
      <c r="MYE117" s="181"/>
      <c r="MYF117" s="182"/>
      <c r="MYG117" s="181"/>
      <c r="MYH117" s="182"/>
      <c r="MYI117" s="181"/>
      <c r="MYJ117" s="182"/>
      <c r="MYK117" s="181"/>
      <c r="MYL117" s="182"/>
      <c r="MYM117" s="181"/>
      <c r="MYN117" s="182"/>
      <c r="MYO117" s="181"/>
      <c r="MYP117" s="182"/>
      <c r="MYQ117" s="181"/>
      <c r="MYR117" s="182"/>
      <c r="MYS117" s="181"/>
      <c r="MYT117" s="182"/>
      <c r="MYU117" s="181"/>
      <c r="MYV117" s="182"/>
      <c r="MYW117" s="181"/>
      <c r="MYX117" s="182"/>
      <c r="MYY117" s="181"/>
      <c r="MYZ117" s="182"/>
      <c r="MZA117" s="181"/>
      <c r="MZB117" s="182"/>
      <c r="MZC117" s="181"/>
      <c r="MZD117" s="182"/>
      <c r="MZE117" s="181"/>
      <c r="MZF117" s="182"/>
      <c r="MZG117" s="181"/>
      <c r="MZH117" s="182"/>
      <c r="MZI117" s="181"/>
      <c r="MZJ117" s="182"/>
      <c r="MZK117" s="181"/>
      <c r="MZL117" s="182"/>
      <c r="MZM117" s="181"/>
      <c r="MZN117" s="182"/>
      <c r="MZO117" s="181"/>
      <c r="MZP117" s="182"/>
      <c r="MZQ117" s="181"/>
      <c r="MZR117" s="182"/>
      <c r="MZS117" s="181"/>
      <c r="MZT117" s="182"/>
      <c r="MZU117" s="181"/>
      <c r="MZV117" s="182"/>
      <c r="MZW117" s="181"/>
      <c r="MZX117" s="182"/>
      <c r="MZY117" s="181"/>
      <c r="MZZ117" s="182"/>
      <c r="NAA117" s="181"/>
      <c r="NAB117" s="182"/>
      <c r="NAC117" s="181"/>
      <c r="NAD117" s="182"/>
      <c r="NAE117" s="181"/>
      <c r="NAF117" s="182"/>
      <c r="NAG117" s="181"/>
      <c r="NAH117" s="182"/>
      <c r="NAI117" s="181"/>
      <c r="NAJ117" s="182"/>
      <c r="NAK117" s="181"/>
      <c r="NAL117" s="182"/>
      <c r="NAM117" s="181"/>
      <c r="NAN117" s="182"/>
      <c r="NAO117" s="181"/>
      <c r="NAP117" s="182"/>
      <c r="NAQ117" s="181"/>
      <c r="NAR117" s="182"/>
      <c r="NAS117" s="181"/>
      <c r="NAT117" s="182"/>
      <c r="NAU117" s="181"/>
      <c r="NAV117" s="182"/>
      <c r="NAW117" s="181"/>
      <c r="NAX117" s="182"/>
      <c r="NAY117" s="181"/>
      <c r="NAZ117" s="182"/>
      <c r="NBA117" s="181"/>
      <c r="NBB117" s="182"/>
      <c r="NBC117" s="181"/>
      <c r="NBD117" s="182"/>
      <c r="NBE117" s="181"/>
      <c r="NBF117" s="182"/>
      <c r="NBG117" s="181"/>
      <c r="NBH117" s="182"/>
      <c r="NBI117" s="181"/>
      <c r="NBJ117" s="182"/>
      <c r="NBK117" s="181"/>
      <c r="NBL117" s="182"/>
      <c r="NBM117" s="181"/>
      <c r="NBN117" s="182"/>
      <c r="NBO117" s="181"/>
      <c r="NBP117" s="182"/>
      <c r="NBQ117" s="181"/>
      <c r="NBR117" s="182"/>
      <c r="NBS117" s="181"/>
      <c r="NBT117" s="182"/>
      <c r="NBU117" s="181"/>
      <c r="NBV117" s="182"/>
      <c r="NBW117" s="181"/>
      <c r="NBX117" s="182"/>
      <c r="NBY117" s="181"/>
      <c r="NBZ117" s="182"/>
      <c r="NCA117" s="181"/>
      <c r="NCB117" s="182"/>
      <c r="NCC117" s="181"/>
      <c r="NCD117" s="182"/>
      <c r="NCE117" s="181"/>
      <c r="NCF117" s="182"/>
      <c r="NCG117" s="181"/>
      <c r="NCH117" s="182"/>
      <c r="NCI117" s="181"/>
      <c r="NCJ117" s="182"/>
      <c r="NCK117" s="181"/>
      <c r="NCL117" s="182"/>
      <c r="NCM117" s="181"/>
      <c r="NCN117" s="182"/>
      <c r="NCO117" s="181"/>
      <c r="NCP117" s="182"/>
      <c r="NCQ117" s="181"/>
      <c r="NCR117" s="182"/>
      <c r="NCS117" s="181"/>
      <c r="NCT117" s="182"/>
      <c r="NCU117" s="181"/>
      <c r="NCV117" s="182"/>
      <c r="NCW117" s="181"/>
      <c r="NCX117" s="182"/>
      <c r="NCY117" s="181"/>
      <c r="NCZ117" s="182"/>
      <c r="NDA117" s="181"/>
      <c r="NDB117" s="182"/>
      <c r="NDC117" s="181"/>
      <c r="NDD117" s="182"/>
      <c r="NDE117" s="181"/>
      <c r="NDF117" s="182"/>
      <c r="NDG117" s="181"/>
      <c r="NDH117" s="182"/>
      <c r="NDI117" s="181"/>
      <c r="NDJ117" s="182"/>
      <c r="NDK117" s="181"/>
      <c r="NDL117" s="182"/>
      <c r="NDM117" s="181"/>
      <c r="NDN117" s="182"/>
      <c r="NDO117" s="181"/>
      <c r="NDP117" s="182"/>
      <c r="NDQ117" s="181"/>
      <c r="NDR117" s="182"/>
      <c r="NDS117" s="181"/>
      <c r="NDT117" s="182"/>
      <c r="NDU117" s="181"/>
      <c r="NDV117" s="182"/>
      <c r="NDW117" s="181"/>
      <c r="NDX117" s="182"/>
      <c r="NDY117" s="181"/>
      <c r="NDZ117" s="182"/>
      <c r="NEA117" s="181"/>
      <c r="NEB117" s="182"/>
      <c r="NEC117" s="181"/>
      <c r="NED117" s="182"/>
      <c r="NEE117" s="181"/>
      <c r="NEF117" s="182"/>
      <c r="NEG117" s="181"/>
      <c r="NEH117" s="182"/>
      <c r="NEI117" s="181"/>
      <c r="NEJ117" s="182"/>
      <c r="NEK117" s="181"/>
      <c r="NEL117" s="182"/>
      <c r="NEM117" s="181"/>
      <c r="NEN117" s="182"/>
      <c r="NEO117" s="181"/>
      <c r="NEP117" s="182"/>
      <c r="NEQ117" s="181"/>
      <c r="NER117" s="182"/>
      <c r="NES117" s="181"/>
      <c r="NET117" s="182"/>
      <c r="NEU117" s="181"/>
      <c r="NEV117" s="182"/>
      <c r="NEW117" s="181"/>
      <c r="NEX117" s="182"/>
      <c r="NEY117" s="181"/>
      <c r="NEZ117" s="182"/>
      <c r="NFA117" s="181"/>
      <c r="NFB117" s="182"/>
      <c r="NFC117" s="181"/>
      <c r="NFD117" s="182"/>
      <c r="NFE117" s="181"/>
      <c r="NFF117" s="182"/>
      <c r="NFG117" s="181"/>
      <c r="NFH117" s="182"/>
      <c r="NFI117" s="181"/>
      <c r="NFJ117" s="182"/>
      <c r="NFK117" s="181"/>
      <c r="NFL117" s="182"/>
      <c r="NFM117" s="181"/>
      <c r="NFN117" s="182"/>
      <c r="NFO117" s="181"/>
      <c r="NFP117" s="182"/>
      <c r="NFQ117" s="181"/>
      <c r="NFR117" s="182"/>
      <c r="NFS117" s="181"/>
      <c r="NFT117" s="182"/>
      <c r="NFU117" s="181"/>
      <c r="NFV117" s="182"/>
      <c r="NFW117" s="181"/>
      <c r="NFX117" s="182"/>
      <c r="NFY117" s="181"/>
      <c r="NFZ117" s="182"/>
      <c r="NGA117" s="181"/>
      <c r="NGB117" s="182"/>
      <c r="NGC117" s="181"/>
      <c r="NGD117" s="182"/>
      <c r="NGE117" s="181"/>
      <c r="NGF117" s="182"/>
      <c r="NGG117" s="181"/>
      <c r="NGH117" s="182"/>
      <c r="NGI117" s="181"/>
      <c r="NGJ117" s="182"/>
      <c r="NGK117" s="181"/>
      <c r="NGL117" s="182"/>
      <c r="NGM117" s="181"/>
      <c r="NGN117" s="182"/>
      <c r="NGO117" s="181"/>
      <c r="NGP117" s="182"/>
      <c r="NGQ117" s="181"/>
      <c r="NGR117" s="182"/>
      <c r="NGS117" s="181"/>
      <c r="NGT117" s="182"/>
      <c r="NGU117" s="181"/>
      <c r="NGV117" s="182"/>
      <c r="NGW117" s="181"/>
      <c r="NGX117" s="182"/>
      <c r="NGY117" s="181"/>
      <c r="NGZ117" s="182"/>
      <c r="NHA117" s="181"/>
      <c r="NHB117" s="182"/>
      <c r="NHC117" s="181"/>
      <c r="NHD117" s="182"/>
      <c r="NHE117" s="181"/>
      <c r="NHF117" s="182"/>
      <c r="NHG117" s="181"/>
      <c r="NHH117" s="182"/>
      <c r="NHI117" s="181"/>
      <c r="NHJ117" s="182"/>
      <c r="NHK117" s="181"/>
      <c r="NHL117" s="182"/>
      <c r="NHM117" s="181"/>
      <c r="NHN117" s="182"/>
      <c r="NHO117" s="181"/>
      <c r="NHP117" s="182"/>
      <c r="NHQ117" s="181"/>
      <c r="NHR117" s="182"/>
      <c r="NHS117" s="181"/>
      <c r="NHT117" s="182"/>
      <c r="NHU117" s="181"/>
      <c r="NHV117" s="182"/>
      <c r="NHW117" s="181"/>
      <c r="NHX117" s="182"/>
      <c r="NHY117" s="181"/>
      <c r="NHZ117" s="182"/>
      <c r="NIA117" s="181"/>
      <c r="NIB117" s="182"/>
      <c r="NIC117" s="181"/>
      <c r="NID117" s="182"/>
      <c r="NIE117" s="181"/>
      <c r="NIF117" s="182"/>
      <c r="NIG117" s="181"/>
      <c r="NIH117" s="182"/>
      <c r="NII117" s="181"/>
      <c r="NIJ117" s="182"/>
      <c r="NIK117" s="181"/>
      <c r="NIL117" s="182"/>
      <c r="NIM117" s="181"/>
      <c r="NIN117" s="182"/>
      <c r="NIO117" s="181"/>
      <c r="NIP117" s="182"/>
      <c r="NIQ117" s="181"/>
      <c r="NIR117" s="182"/>
      <c r="NIS117" s="181"/>
      <c r="NIT117" s="182"/>
      <c r="NIU117" s="181"/>
      <c r="NIV117" s="182"/>
      <c r="NIW117" s="181"/>
      <c r="NIX117" s="182"/>
      <c r="NIY117" s="181"/>
      <c r="NIZ117" s="182"/>
      <c r="NJA117" s="181"/>
      <c r="NJB117" s="182"/>
      <c r="NJC117" s="181"/>
      <c r="NJD117" s="182"/>
      <c r="NJE117" s="181"/>
      <c r="NJF117" s="182"/>
      <c r="NJG117" s="181"/>
      <c r="NJH117" s="182"/>
      <c r="NJI117" s="181"/>
      <c r="NJJ117" s="182"/>
      <c r="NJK117" s="181"/>
      <c r="NJL117" s="182"/>
      <c r="NJM117" s="181"/>
      <c r="NJN117" s="182"/>
      <c r="NJO117" s="181"/>
      <c r="NJP117" s="182"/>
      <c r="NJQ117" s="181"/>
      <c r="NJR117" s="182"/>
      <c r="NJS117" s="181"/>
      <c r="NJT117" s="182"/>
      <c r="NJU117" s="181"/>
      <c r="NJV117" s="182"/>
      <c r="NJW117" s="181"/>
      <c r="NJX117" s="182"/>
      <c r="NJY117" s="181"/>
      <c r="NJZ117" s="182"/>
      <c r="NKA117" s="181"/>
      <c r="NKB117" s="182"/>
      <c r="NKC117" s="181"/>
      <c r="NKD117" s="182"/>
      <c r="NKE117" s="181"/>
      <c r="NKF117" s="182"/>
      <c r="NKG117" s="181"/>
      <c r="NKH117" s="182"/>
      <c r="NKI117" s="181"/>
      <c r="NKJ117" s="182"/>
      <c r="NKK117" s="181"/>
      <c r="NKL117" s="182"/>
      <c r="NKM117" s="181"/>
      <c r="NKN117" s="182"/>
      <c r="NKO117" s="181"/>
      <c r="NKP117" s="182"/>
      <c r="NKQ117" s="181"/>
      <c r="NKR117" s="182"/>
      <c r="NKS117" s="181"/>
      <c r="NKT117" s="182"/>
      <c r="NKU117" s="181"/>
      <c r="NKV117" s="182"/>
      <c r="NKW117" s="181"/>
      <c r="NKX117" s="182"/>
      <c r="NKY117" s="181"/>
      <c r="NKZ117" s="182"/>
      <c r="NLA117" s="181"/>
      <c r="NLB117" s="182"/>
      <c r="NLC117" s="181"/>
      <c r="NLD117" s="182"/>
      <c r="NLE117" s="181"/>
      <c r="NLF117" s="182"/>
      <c r="NLG117" s="181"/>
      <c r="NLH117" s="182"/>
      <c r="NLI117" s="181"/>
      <c r="NLJ117" s="182"/>
      <c r="NLK117" s="181"/>
      <c r="NLL117" s="182"/>
      <c r="NLM117" s="181"/>
      <c r="NLN117" s="182"/>
      <c r="NLO117" s="181"/>
      <c r="NLP117" s="182"/>
      <c r="NLQ117" s="181"/>
      <c r="NLR117" s="182"/>
      <c r="NLS117" s="181"/>
      <c r="NLT117" s="182"/>
      <c r="NLU117" s="181"/>
      <c r="NLV117" s="182"/>
      <c r="NLW117" s="181"/>
      <c r="NLX117" s="182"/>
      <c r="NLY117" s="181"/>
      <c r="NLZ117" s="182"/>
      <c r="NMA117" s="181"/>
      <c r="NMB117" s="182"/>
      <c r="NMC117" s="181"/>
      <c r="NMD117" s="182"/>
      <c r="NME117" s="181"/>
      <c r="NMF117" s="182"/>
      <c r="NMG117" s="181"/>
      <c r="NMH117" s="182"/>
      <c r="NMI117" s="181"/>
      <c r="NMJ117" s="182"/>
      <c r="NMK117" s="181"/>
      <c r="NML117" s="182"/>
      <c r="NMM117" s="181"/>
      <c r="NMN117" s="182"/>
      <c r="NMO117" s="181"/>
      <c r="NMP117" s="182"/>
      <c r="NMQ117" s="181"/>
      <c r="NMR117" s="182"/>
      <c r="NMS117" s="181"/>
      <c r="NMT117" s="182"/>
      <c r="NMU117" s="181"/>
      <c r="NMV117" s="182"/>
      <c r="NMW117" s="181"/>
      <c r="NMX117" s="182"/>
      <c r="NMY117" s="181"/>
      <c r="NMZ117" s="182"/>
      <c r="NNA117" s="181"/>
      <c r="NNB117" s="182"/>
      <c r="NNC117" s="181"/>
      <c r="NND117" s="182"/>
      <c r="NNE117" s="181"/>
      <c r="NNF117" s="182"/>
      <c r="NNG117" s="181"/>
      <c r="NNH117" s="182"/>
      <c r="NNI117" s="181"/>
      <c r="NNJ117" s="182"/>
      <c r="NNK117" s="181"/>
      <c r="NNL117" s="182"/>
      <c r="NNM117" s="181"/>
      <c r="NNN117" s="182"/>
      <c r="NNO117" s="181"/>
      <c r="NNP117" s="182"/>
      <c r="NNQ117" s="181"/>
      <c r="NNR117" s="182"/>
      <c r="NNS117" s="181"/>
      <c r="NNT117" s="182"/>
      <c r="NNU117" s="181"/>
      <c r="NNV117" s="182"/>
      <c r="NNW117" s="181"/>
      <c r="NNX117" s="182"/>
      <c r="NNY117" s="181"/>
      <c r="NNZ117" s="182"/>
      <c r="NOA117" s="181"/>
      <c r="NOB117" s="182"/>
      <c r="NOC117" s="181"/>
      <c r="NOD117" s="182"/>
      <c r="NOE117" s="181"/>
      <c r="NOF117" s="182"/>
      <c r="NOG117" s="181"/>
      <c r="NOH117" s="182"/>
      <c r="NOI117" s="181"/>
      <c r="NOJ117" s="182"/>
      <c r="NOK117" s="181"/>
      <c r="NOL117" s="182"/>
      <c r="NOM117" s="181"/>
      <c r="NON117" s="182"/>
      <c r="NOO117" s="181"/>
      <c r="NOP117" s="182"/>
      <c r="NOQ117" s="181"/>
      <c r="NOR117" s="182"/>
      <c r="NOS117" s="181"/>
      <c r="NOT117" s="182"/>
      <c r="NOU117" s="181"/>
      <c r="NOV117" s="182"/>
      <c r="NOW117" s="181"/>
      <c r="NOX117" s="182"/>
      <c r="NOY117" s="181"/>
      <c r="NOZ117" s="182"/>
      <c r="NPA117" s="181"/>
      <c r="NPB117" s="182"/>
      <c r="NPC117" s="181"/>
      <c r="NPD117" s="182"/>
      <c r="NPE117" s="181"/>
      <c r="NPF117" s="182"/>
      <c r="NPG117" s="181"/>
      <c r="NPH117" s="182"/>
      <c r="NPI117" s="181"/>
      <c r="NPJ117" s="182"/>
      <c r="NPK117" s="181"/>
      <c r="NPL117" s="182"/>
      <c r="NPM117" s="181"/>
      <c r="NPN117" s="182"/>
      <c r="NPO117" s="181"/>
      <c r="NPP117" s="182"/>
      <c r="NPQ117" s="181"/>
      <c r="NPR117" s="182"/>
      <c r="NPS117" s="181"/>
      <c r="NPT117" s="182"/>
      <c r="NPU117" s="181"/>
      <c r="NPV117" s="182"/>
      <c r="NPW117" s="181"/>
      <c r="NPX117" s="182"/>
      <c r="NPY117" s="181"/>
      <c r="NPZ117" s="182"/>
      <c r="NQA117" s="181"/>
      <c r="NQB117" s="182"/>
      <c r="NQC117" s="181"/>
      <c r="NQD117" s="182"/>
      <c r="NQE117" s="181"/>
      <c r="NQF117" s="182"/>
      <c r="NQG117" s="181"/>
      <c r="NQH117" s="182"/>
      <c r="NQI117" s="181"/>
      <c r="NQJ117" s="182"/>
      <c r="NQK117" s="181"/>
      <c r="NQL117" s="182"/>
      <c r="NQM117" s="181"/>
      <c r="NQN117" s="182"/>
      <c r="NQO117" s="181"/>
      <c r="NQP117" s="182"/>
      <c r="NQQ117" s="181"/>
      <c r="NQR117" s="182"/>
      <c r="NQS117" s="181"/>
      <c r="NQT117" s="182"/>
      <c r="NQU117" s="181"/>
      <c r="NQV117" s="182"/>
      <c r="NQW117" s="181"/>
      <c r="NQX117" s="182"/>
      <c r="NQY117" s="181"/>
      <c r="NQZ117" s="182"/>
      <c r="NRA117" s="181"/>
      <c r="NRB117" s="182"/>
      <c r="NRC117" s="181"/>
      <c r="NRD117" s="182"/>
      <c r="NRE117" s="181"/>
      <c r="NRF117" s="182"/>
      <c r="NRG117" s="181"/>
      <c r="NRH117" s="182"/>
      <c r="NRI117" s="181"/>
      <c r="NRJ117" s="182"/>
      <c r="NRK117" s="181"/>
      <c r="NRL117" s="182"/>
      <c r="NRM117" s="181"/>
      <c r="NRN117" s="182"/>
      <c r="NRO117" s="181"/>
      <c r="NRP117" s="182"/>
      <c r="NRQ117" s="181"/>
      <c r="NRR117" s="182"/>
      <c r="NRS117" s="181"/>
      <c r="NRT117" s="182"/>
      <c r="NRU117" s="181"/>
      <c r="NRV117" s="182"/>
      <c r="NRW117" s="181"/>
      <c r="NRX117" s="182"/>
      <c r="NRY117" s="181"/>
      <c r="NRZ117" s="182"/>
      <c r="NSA117" s="181"/>
      <c r="NSB117" s="182"/>
      <c r="NSC117" s="181"/>
      <c r="NSD117" s="182"/>
      <c r="NSE117" s="181"/>
      <c r="NSF117" s="182"/>
      <c r="NSG117" s="181"/>
      <c r="NSH117" s="182"/>
      <c r="NSI117" s="181"/>
      <c r="NSJ117" s="182"/>
      <c r="NSK117" s="181"/>
      <c r="NSL117" s="182"/>
      <c r="NSM117" s="181"/>
      <c r="NSN117" s="182"/>
      <c r="NSO117" s="181"/>
      <c r="NSP117" s="182"/>
      <c r="NSQ117" s="181"/>
      <c r="NSR117" s="182"/>
      <c r="NSS117" s="181"/>
      <c r="NST117" s="182"/>
      <c r="NSU117" s="181"/>
      <c r="NSV117" s="182"/>
      <c r="NSW117" s="181"/>
      <c r="NSX117" s="182"/>
      <c r="NSY117" s="181"/>
      <c r="NSZ117" s="182"/>
      <c r="NTA117" s="181"/>
      <c r="NTB117" s="182"/>
      <c r="NTC117" s="181"/>
      <c r="NTD117" s="182"/>
      <c r="NTE117" s="181"/>
      <c r="NTF117" s="182"/>
      <c r="NTG117" s="181"/>
      <c r="NTH117" s="182"/>
      <c r="NTI117" s="181"/>
      <c r="NTJ117" s="182"/>
      <c r="NTK117" s="181"/>
      <c r="NTL117" s="182"/>
      <c r="NTM117" s="181"/>
      <c r="NTN117" s="182"/>
      <c r="NTO117" s="181"/>
      <c r="NTP117" s="182"/>
      <c r="NTQ117" s="181"/>
      <c r="NTR117" s="182"/>
      <c r="NTS117" s="181"/>
      <c r="NTT117" s="182"/>
      <c r="NTU117" s="181"/>
      <c r="NTV117" s="182"/>
      <c r="NTW117" s="181"/>
      <c r="NTX117" s="182"/>
      <c r="NTY117" s="181"/>
      <c r="NTZ117" s="182"/>
      <c r="NUA117" s="181"/>
      <c r="NUB117" s="182"/>
      <c r="NUC117" s="181"/>
      <c r="NUD117" s="182"/>
      <c r="NUE117" s="181"/>
      <c r="NUF117" s="182"/>
      <c r="NUG117" s="181"/>
      <c r="NUH117" s="182"/>
      <c r="NUI117" s="181"/>
      <c r="NUJ117" s="182"/>
      <c r="NUK117" s="181"/>
      <c r="NUL117" s="182"/>
      <c r="NUM117" s="181"/>
      <c r="NUN117" s="182"/>
      <c r="NUO117" s="181"/>
      <c r="NUP117" s="182"/>
      <c r="NUQ117" s="181"/>
      <c r="NUR117" s="182"/>
      <c r="NUS117" s="181"/>
      <c r="NUT117" s="182"/>
      <c r="NUU117" s="181"/>
      <c r="NUV117" s="182"/>
      <c r="NUW117" s="181"/>
      <c r="NUX117" s="182"/>
      <c r="NUY117" s="181"/>
      <c r="NUZ117" s="182"/>
      <c r="NVA117" s="181"/>
      <c r="NVB117" s="182"/>
      <c r="NVC117" s="181"/>
      <c r="NVD117" s="182"/>
      <c r="NVE117" s="181"/>
      <c r="NVF117" s="182"/>
      <c r="NVG117" s="181"/>
      <c r="NVH117" s="182"/>
      <c r="NVI117" s="181"/>
      <c r="NVJ117" s="182"/>
      <c r="NVK117" s="181"/>
      <c r="NVL117" s="182"/>
      <c r="NVM117" s="181"/>
      <c r="NVN117" s="182"/>
      <c r="NVO117" s="181"/>
      <c r="NVP117" s="182"/>
      <c r="NVQ117" s="181"/>
      <c r="NVR117" s="182"/>
      <c r="NVS117" s="181"/>
      <c r="NVT117" s="182"/>
      <c r="NVU117" s="181"/>
      <c r="NVV117" s="182"/>
      <c r="NVW117" s="181"/>
      <c r="NVX117" s="182"/>
      <c r="NVY117" s="181"/>
      <c r="NVZ117" s="182"/>
      <c r="NWA117" s="181"/>
      <c r="NWB117" s="182"/>
      <c r="NWC117" s="181"/>
      <c r="NWD117" s="182"/>
      <c r="NWE117" s="181"/>
      <c r="NWF117" s="182"/>
      <c r="NWG117" s="181"/>
      <c r="NWH117" s="182"/>
      <c r="NWI117" s="181"/>
      <c r="NWJ117" s="182"/>
      <c r="NWK117" s="181"/>
      <c r="NWL117" s="182"/>
      <c r="NWM117" s="181"/>
      <c r="NWN117" s="182"/>
      <c r="NWO117" s="181"/>
      <c r="NWP117" s="182"/>
      <c r="NWQ117" s="181"/>
      <c r="NWR117" s="182"/>
      <c r="NWS117" s="181"/>
      <c r="NWT117" s="182"/>
      <c r="NWU117" s="181"/>
      <c r="NWV117" s="182"/>
      <c r="NWW117" s="181"/>
      <c r="NWX117" s="182"/>
      <c r="NWY117" s="181"/>
      <c r="NWZ117" s="182"/>
      <c r="NXA117" s="181"/>
      <c r="NXB117" s="182"/>
      <c r="NXC117" s="181"/>
      <c r="NXD117" s="182"/>
      <c r="NXE117" s="181"/>
      <c r="NXF117" s="182"/>
      <c r="NXG117" s="181"/>
      <c r="NXH117" s="182"/>
      <c r="NXI117" s="181"/>
      <c r="NXJ117" s="182"/>
      <c r="NXK117" s="181"/>
      <c r="NXL117" s="182"/>
      <c r="NXM117" s="181"/>
      <c r="NXN117" s="182"/>
      <c r="NXO117" s="181"/>
      <c r="NXP117" s="182"/>
      <c r="NXQ117" s="181"/>
      <c r="NXR117" s="182"/>
      <c r="NXS117" s="181"/>
      <c r="NXT117" s="182"/>
      <c r="NXU117" s="181"/>
      <c r="NXV117" s="182"/>
      <c r="NXW117" s="181"/>
      <c r="NXX117" s="182"/>
      <c r="NXY117" s="181"/>
      <c r="NXZ117" s="182"/>
      <c r="NYA117" s="181"/>
      <c r="NYB117" s="182"/>
      <c r="NYC117" s="181"/>
      <c r="NYD117" s="182"/>
      <c r="NYE117" s="181"/>
      <c r="NYF117" s="182"/>
      <c r="NYG117" s="181"/>
      <c r="NYH117" s="182"/>
      <c r="NYI117" s="181"/>
      <c r="NYJ117" s="182"/>
      <c r="NYK117" s="181"/>
      <c r="NYL117" s="182"/>
      <c r="NYM117" s="181"/>
      <c r="NYN117" s="182"/>
      <c r="NYO117" s="181"/>
      <c r="NYP117" s="182"/>
      <c r="NYQ117" s="181"/>
      <c r="NYR117" s="182"/>
      <c r="NYS117" s="181"/>
      <c r="NYT117" s="182"/>
      <c r="NYU117" s="181"/>
      <c r="NYV117" s="182"/>
      <c r="NYW117" s="181"/>
      <c r="NYX117" s="182"/>
      <c r="NYY117" s="181"/>
      <c r="NYZ117" s="182"/>
      <c r="NZA117" s="181"/>
      <c r="NZB117" s="182"/>
      <c r="NZC117" s="181"/>
      <c r="NZD117" s="182"/>
      <c r="NZE117" s="181"/>
      <c r="NZF117" s="182"/>
      <c r="NZG117" s="181"/>
      <c r="NZH117" s="182"/>
      <c r="NZI117" s="181"/>
      <c r="NZJ117" s="182"/>
      <c r="NZK117" s="181"/>
      <c r="NZL117" s="182"/>
      <c r="NZM117" s="181"/>
      <c r="NZN117" s="182"/>
      <c r="NZO117" s="181"/>
      <c r="NZP117" s="182"/>
      <c r="NZQ117" s="181"/>
      <c r="NZR117" s="182"/>
      <c r="NZS117" s="181"/>
      <c r="NZT117" s="182"/>
      <c r="NZU117" s="181"/>
      <c r="NZV117" s="182"/>
      <c r="NZW117" s="181"/>
      <c r="NZX117" s="182"/>
      <c r="NZY117" s="181"/>
      <c r="NZZ117" s="182"/>
      <c r="OAA117" s="181"/>
      <c r="OAB117" s="182"/>
      <c r="OAC117" s="181"/>
      <c r="OAD117" s="182"/>
      <c r="OAE117" s="181"/>
      <c r="OAF117" s="182"/>
      <c r="OAG117" s="181"/>
      <c r="OAH117" s="182"/>
      <c r="OAI117" s="181"/>
      <c r="OAJ117" s="182"/>
      <c r="OAK117" s="181"/>
      <c r="OAL117" s="182"/>
      <c r="OAM117" s="181"/>
      <c r="OAN117" s="182"/>
      <c r="OAO117" s="181"/>
      <c r="OAP117" s="182"/>
      <c r="OAQ117" s="181"/>
      <c r="OAR117" s="182"/>
      <c r="OAS117" s="181"/>
      <c r="OAT117" s="182"/>
      <c r="OAU117" s="181"/>
      <c r="OAV117" s="182"/>
      <c r="OAW117" s="181"/>
      <c r="OAX117" s="182"/>
      <c r="OAY117" s="181"/>
      <c r="OAZ117" s="182"/>
      <c r="OBA117" s="181"/>
      <c r="OBB117" s="182"/>
      <c r="OBC117" s="181"/>
      <c r="OBD117" s="182"/>
      <c r="OBE117" s="181"/>
      <c r="OBF117" s="182"/>
      <c r="OBG117" s="181"/>
      <c r="OBH117" s="182"/>
      <c r="OBI117" s="181"/>
      <c r="OBJ117" s="182"/>
      <c r="OBK117" s="181"/>
      <c r="OBL117" s="182"/>
      <c r="OBM117" s="181"/>
      <c r="OBN117" s="182"/>
      <c r="OBO117" s="181"/>
      <c r="OBP117" s="182"/>
      <c r="OBQ117" s="181"/>
      <c r="OBR117" s="182"/>
      <c r="OBS117" s="181"/>
      <c r="OBT117" s="182"/>
      <c r="OBU117" s="181"/>
      <c r="OBV117" s="182"/>
      <c r="OBW117" s="181"/>
      <c r="OBX117" s="182"/>
      <c r="OBY117" s="181"/>
      <c r="OBZ117" s="182"/>
      <c r="OCA117" s="181"/>
      <c r="OCB117" s="182"/>
      <c r="OCC117" s="181"/>
      <c r="OCD117" s="182"/>
      <c r="OCE117" s="181"/>
      <c r="OCF117" s="182"/>
      <c r="OCG117" s="181"/>
      <c r="OCH117" s="182"/>
      <c r="OCI117" s="181"/>
      <c r="OCJ117" s="182"/>
      <c r="OCK117" s="181"/>
      <c r="OCL117" s="182"/>
      <c r="OCM117" s="181"/>
      <c r="OCN117" s="182"/>
      <c r="OCO117" s="181"/>
      <c r="OCP117" s="182"/>
      <c r="OCQ117" s="181"/>
      <c r="OCR117" s="182"/>
      <c r="OCS117" s="181"/>
      <c r="OCT117" s="182"/>
      <c r="OCU117" s="181"/>
      <c r="OCV117" s="182"/>
      <c r="OCW117" s="181"/>
      <c r="OCX117" s="182"/>
      <c r="OCY117" s="181"/>
      <c r="OCZ117" s="182"/>
      <c r="ODA117" s="181"/>
      <c r="ODB117" s="182"/>
      <c r="ODC117" s="181"/>
      <c r="ODD117" s="182"/>
      <c r="ODE117" s="181"/>
      <c r="ODF117" s="182"/>
      <c r="ODG117" s="181"/>
      <c r="ODH117" s="182"/>
      <c r="ODI117" s="181"/>
      <c r="ODJ117" s="182"/>
      <c r="ODK117" s="181"/>
      <c r="ODL117" s="182"/>
      <c r="ODM117" s="181"/>
      <c r="ODN117" s="182"/>
      <c r="ODO117" s="181"/>
      <c r="ODP117" s="182"/>
      <c r="ODQ117" s="181"/>
      <c r="ODR117" s="182"/>
      <c r="ODS117" s="181"/>
      <c r="ODT117" s="182"/>
      <c r="ODU117" s="181"/>
      <c r="ODV117" s="182"/>
      <c r="ODW117" s="181"/>
      <c r="ODX117" s="182"/>
      <c r="ODY117" s="181"/>
      <c r="ODZ117" s="182"/>
      <c r="OEA117" s="181"/>
      <c r="OEB117" s="182"/>
      <c r="OEC117" s="181"/>
      <c r="OED117" s="182"/>
      <c r="OEE117" s="181"/>
      <c r="OEF117" s="182"/>
      <c r="OEG117" s="181"/>
      <c r="OEH117" s="182"/>
      <c r="OEI117" s="181"/>
      <c r="OEJ117" s="182"/>
      <c r="OEK117" s="181"/>
      <c r="OEL117" s="182"/>
      <c r="OEM117" s="181"/>
      <c r="OEN117" s="182"/>
      <c r="OEO117" s="181"/>
      <c r="OEP117" s="182"/>
      <c r="OEQ117" s="181"/>
      <c r="OER117" s="182"/>
      <c r="OES117" s="181"/>
      <c r="OET117" s="182"/>
      <c r="OEU117" s="181"/>
      <c r="OEV117" s="182"/>
      <c r="OEW117" s="181"/>
      <c r="OEX117" s="182"/>
      <c r="OEY117" s="181"/>
      <c r="OEZ117" s="182"/>
      <c r="OFA117" s="181"/>
      <c r="OFB117" s="182"/>
      <c r="OFC117" s="181"/>
      <c r="OFD117" s="182"/>
      <c r="OFE117" s="181"/>
      <c r="OFF117" s="182"/>
      <c r="OFG117" s="181"/>
      <c r="OFH117" s="182"/>
      <c r="OFI117" s="181"/>
      <c r="OFJ117" s="182"/>
      <c r="OFK117" s="181"/>
      <c r="OFL117" s="182"/>
      <c r="OFM117" s="181"/>
      <c r="OFN117" s="182"/>
      <c r="OFO117" s="181"/>
      <c r="OFP117" s="182"/>
      <c r="OFQ117" s="181"/>
      <c r="OFR117" s="182"/>
      <c r="OFS117" s="181"/>
      <c r="OFT117" s="182"/>
      <c r="OFU117" s="181"/>
      <c r="OFV117" s="182"/>
      <c r="OFW117" s="181"/>
      <c r="OFX117" s="182"/>
      <c r="OFY117" s="181"/>
      <c r="OFZ117" s="182"/>
      <c r="OGA117" s="181"/>
      <c r="OGB117" s="182"/>
      <c r="OGC117" s="181"/>
      <c r="OGD117" s="182"/>
      <c r="OGE117" s="181"/>
      <c r="OGF117" s="182"/>
      <c r="OGG117" s="181"/>
      <c r="OGH117" s="182"/>
      <c r="OGI117" s="181"/>
      <c r="OGJ117" s="182"/>
      <c r="OGK117" s="181"/>
      <c r="OGL117" s="182"/>
      <c r="OGM117" s="181"/>
      <c r="OGN117" s="182"/>
      <c r="OGO117" s="181"/>
      <c r="OGP117" s="182"/>
      <c r="OGQ117" s="181"/>
      <c r="OGR117" s="182"/>
      <c r="OGS117" s="181"/>
      <c r="OGT117" s="182"/>
      <c r="OGU117" s="181"/>
      <c r="OGV117" s="182"/>
      <c r="OGW117" s="181"/>
      <c r="OGX117" s="182"/>
      <c r="OGY117" s="181"/>
      <c r="OGZ117" s="182"/>
      <c r="OHA117" s="181"/>
      <c r="OHB117" s="182"/>
      <c r="OHC117" s="181"/>
      <c r="OHD117" s="182"/>
      <c r="OHE117" s="181"/>
      <c r="OHF117" s="182"/>
      <c r="OHG117" s="181"/>
      <c r="OHH117" s="182"/>
      <c r="OHI117" s="181"/>
      <c r="OHJ117" s="182"/>
      <c r="OHK117" s="181"/>
      <c r="OHL117" s="182"/>
      <c r="OHM117" s="181"/>
      <c r="OHN117" s="182"/>
      <c r="OHO117" s="181"/>
      <c r="OHP117" s="182"/>
      <c r="OHQ117" s="181"/>
      <c r="OHR117" s="182"/>
      <c r="OHS117" s="181"/>
      <c r="OHT117" s="182"/>
      <c r="OHU117" s="181"/>
      <c r="OHV117" s="182"/>
      <c r="OHW117" s="181"/>
      <c r="OHX117" s="182"/>
      <c r="OHY117" s="181"/>
      <c r="OHZ117" s="182"/>
      <c r="OIA117" s="181"/>
      <c r="OIB117" s="182"/>
      <c r="OIC117" s="181"/>
      <c r="OID117" s="182"/>
      <c r="OIE117" s="181"/>
      <c r="OIF117" s="182"/>
      <c r="OIG117" s="181"/>
      <c r="OIH117" s="182"/>
      <c r="OII117" s="181"/>
      <c r="OIJ117" s="182"/>
      <c r="OIK117" s="181"/>
      <c r="OIL117" s="182"/>
      <c r="OIM117" s="181"/>
      <c r="OIN117" s="182"/>
      <c r="OIO117" s="181"/>
      <c r="OIP117" s="182"/>
      <c r="OIQ117" s="181"/>
      <c r="OIR117" s="182"/>
      <c r="OIS117" s="181"/>
      <c r="OIT117" s="182"/>
      <c r="OIU117" s="181"/>
      <c r="OIV117" s="182"/>
      <c r="OIW117" s="181"/>
      <c r="OIX117" s="182"/>
      <c r="OIY117" s="181"/>
      <c r="OIZ117" s="182"/>
      <c r="OJA117" s="181"/>
      <c r="OJB117" s="182"/>
      <c r="OJC117" s="181"/>
      <c r="OJD117" s="182"/>
      <c r="OJE117" s="181"/>
      <c r="OJF117" s="182"/>
      <c r="OJG117" s="181"/>
      <c r="OJH117" s="182"/>
      <c r="OJI117" s="181"/>
      <c r="OJJ117" s="182"/>
      <c r="OJK117" s="181"/>
      <c r="OJL117" s="182"/>
      <c r="OJM117" s="181"/>
      <c r="OJN117" s="182"/>
      <c r="OJO117" s="181"/>
      <c r="OJP117" s="182"/>
      <c r="OJQ117" s="181"/>
      <c r="OJR117" s="182"/>
      <c r="OJS117" s="181"/>
      <c r="OJT117" s="182"/>
      <c r="OJU117" s="181"/>
      <c r="OJV117" s="182"/>
      <c r="OJW117" s="181"/>
      <c r="OJX117" s="182"/>
      <c r="OJY117" s="181"/>
      <c r="OJZ117" s="182"/>
      <c r="OKA117" s="181"/>
      <c r="OKB117" s="182"/>
      <c r="OKC117" s="181"/>
      <c r="OKD117" s="182"/>
      <c r="OKE117" s="181"/>
      <c r="OKF117" s="182"/>
      <c r="OKG117" s="181"/>
      <c r="OKH117" s="182"/>
      <c r="OKI117" s="181"/>
      <c r="OKJ117" s="182"/>
      <c r="OKK117" s="181"/>
      <c r="OKL117" s="182"/>
      <c r="OKM117" s="181"/>
      <c r="OKN117" s="182"/>
      <c r="OKO117" s="181"/>
      <c r="OKP117" s="182"/>
      <c r="OKQ117" s="181"/>
      <c r="OKR117" s="182"/>
      <c r="OKS117" s="181"/>
      <c r="OKT117" s="182"/>
      <c r="OKU117" s="181"/>
      <c r="OKV117" s="182"/>
      <c r="OKW117" s="181"/>
      <c r="OKX117" s="182"/>
      <c r="OKY117" s="181"/>
      <c r="OKZ117" s="182"/>
      <c r="OLA117" s="181"/>
      <c r="OLB117" s="182"/>
      <c r="OLC117" s="181"/>
      <c r="OLD117" s="182"/>
      <c r="OLE117" s="181"/>
      <c r="OLF117" s="182"/>
      <c r="OLG117" s="181"/>
      <c r="OLH117" s="182"/>
      <c r="OLI117" s="181"/>
      <c r="OLJ117" s="182"/>
      <c r="OLK117" s="181"/>
      <c r="OLL117" s="182"/>
      <c r="OLM117" s="181"/>
      <c r="OLN117" s="182"/>
      <c r="OLO117" s="181"/>
      <c r="OLP117" s="182"/>
      <c r="OLQ117" s="181"/>
      <c r="OLR117" s="182"/>
      <c r="OLS117" s="181"/>
      <c r="OLT117" s="182"/>
      <c r="OLU117" s="181"/>
      <c r="OLV117" s="182"/>
      <c r="OLW117" s="181"/>
      <c r="OLX117" s="182"/>
      <c r="OLY117" s="181"/>
      <c r="OLZ117" s="182"/>
      <c r="OMA117" s="181"/>
      <c r="OMB117" s="182"/>
      <c r="OMC117" s="181"/>
      <c r="OMD117" s="182"/>
      <c r="OME117" s="181"/>
      <c r="OMF117" s="182"/>
      <c r="OMG117" s="181"/>
      <c r="OMH117" s="182"/>
      <c r="OMI117" s="181"/>
      <c r="OMJ117" s="182"/>
      <c r="OMK117" s="181"/>
      <c r="OML117" s="182"/>
      <c r="OMM117" s="181"/>
      <c r="OMN117" s="182"/>
      <c r="OMO117" s="181"/>
      <c r="OMP117" s="182"/>
      <c r="OMQ117" s="181"/>
      <c r="OMR117" s="182"/>
      <c r="OMS117" s="181"/>
      <c r="OMT117" s="182"/>
      <c r="OMU117" s="181"/>
      <c r="OMV117" s="182"/>
      <c r="OMW117" s="181"/>
      <c r="OMX117" s="182"/>
      <c r="OMY117" s="181"/>
      <c r="OMZ117" s="182"/>
      <c r="ONA117" s="181"/>
      <c r="ONB117" s="182"/>
      <c r="ONC117" s="181"/>
      <c r="OND117" s="182"/>
      <c r="ONE117" s="181"/>
      <c r="ONF117" s="182"/>
      <c r="ONG117" s="181"/>
      <c r="ONH117" s="182"/>
      <c r="ONI117" s="181"/>
      <c r="ONJ117" s="182"/>
      <c r="ONK117" s="181"/>
      <c r="ONL117" s="182"/>
      <c r="ONM117" s="181"/>
      <c r="ONN117" s="182"/>
      <c r="ONO117" s="181"/>
      <c r="ONP117" s="182"/>
      <c r="ONQ117" s="181"/>
      <c r="ONR117" s="182"/>
      <c r="ONS117" s="181"/>
      <c r="ONT117" s="182"/>
      <c r="ONU117" s="181"/>
      <c r="ONV117" s="182"/>
      <c r="ONW117" s="181"/>
      <c r="ONX117" s="182"/>
      <c r="ONY117" s="181"/>
      <c r="ONZ117" s="182"/>
      <c r="OOA117" s="181"/>
      <c r="OOB117" s="182"/>
      <c r="OOC117" s="181"/>
      <c r="OOD117" s="182"/>
      <c r="OOE117" s="181"/>
      <c r="OOF117" s="182"/>
      <c r="OOG117" s="181"/>
      <c r="OOH117" s="182"/>
      <c r="OOI117" s="181"/>
      <c r="OOJ117" s="182"/>
      <c r="OOK117" s="181"/>
      <c r="OOL117" s="182"/>
      <c r="OOM117" s="181"/>
      <c r="OON117" s="182"/>
      <c r="OOO117" s="181"/>
      <c r="OOP117" s="182"/>
      <c r="OOQ117" s="181"/>
      <c r="OOR117" s="182"/>
      <c r="OOS117" s="181"/>
      <c r="OOT117" s="182"/>
      <c r="OOU117" s="181"/>
      <c r="OOV117" s="182"/>
      <c r="OOW117" s="181"/>
      <c r="OOX117" s="182"/>
      <c r="OOY117" s="181"/>
      <c r="OOZ117" s="182"/>
      <c r="OPA117" s="181"/>
      <c r="OPB117" s="182"/>
      <c r="OPC117" s="181"/>
      <c r="OPD117" s="182"/>
      <c r="OPE117" s="181"/>
      <c r="OPF117" s="182"/>
      <c r="OPG117" s="181"/>
      <c r="OPH117" s="182"/>
      <c r="OPI117" s="181"/>
      <c r="OPJ117" s="182"/>
      <c r="OPK117" s="181"/>
      <c r="OPL117" s="182"/>
      <c r="OPM117" s="181"/>
      <c r="OPN117" s="182"/>
      <c r="OPO117" s="181"/>
      <c r="OPP117" s="182"/>
      <c r="OPQ117" s="181"/>
      <c r="OPR117" s="182"/>
      <c r="OPS117" s="181"/>
      <c r="OPT117" s="182"/>
      <c r="OPU117" s="181"/>
      <c r="OPV117" s="182"/>
      <c r="OPW117" s="181"/>
      <c r="OPX117" s="182"/>
      <c r="OPY117" s="181"/>
      <c r="OPZ117" s="182"/>
      <c r="OQA117" s="181"/>
      <c r="OQB117" s="182"/>
      <c r="OQC117" s="181"/>
      <c r="OQD117" s="182"/>
      <c r="OQE117" s="181"/>
      <c r="OQF117" s="182"/>
      <c r="OQG117" s="181"/>
      <c r="OQH117" s="182"/>
      <c r="OQI117" s="181"/>
      <c r="OQJ117" s="182"/>
      <c r="OQK117" s="181"/>
      <c r="OQL117" s="182"/>
      <c r="OQM117" s="181"/>
      <c r="OQN117" s="182"/>
      <c r="OQO117" s="181"/>
      <c r="OQP117" s="182"/>
      <c r="OQQ117" s="181"/>
      <c r="OQR117" s="182"/>
      <c r="OQS117" s="181"/>
      <c r="OQT117" s="182"/>
      <c r="OQU117" s="181"/>
      <c r="OQV117" s="182"/>
      <c r="OQW117" s="181"/>
      <c r="OQX117" s="182"/>
      <c r="OQY117" s="181"/>
      <c r="OQZ117" s="182"/>
      <c r="ORA117" s="181"/>
      <c r="ORB117" s="182"/>
      <c r="ORC117" s="181"/>
      <c r="ORD117" s="182"/>
      <c r="ORE117" s="181"/>
      <c r="ORF117" s="182"/>
      <c r="ORG117" s="181"/>
      <c r="ORH117" s="182"/>
      <c r="ORI117" s="181"/>
      <c r="ORJ117" s="182"/>
      <c r="ORK117" s="181"/>
      <c r="ORL117" s="182"/>
      <c r="ORM117" s="181"/>
      <c r="ORN117" s="182"/>
      <c r="ORO117" s="181"/>
      <c r="ORP117" s="182"/>
      <c r="ORQ117" s="181"/>
      <c r="ORR117" s="182"/>
      <c r="ORS117" s="181"/>
      <c r="ORT117" s="182"/>
      <c r="ORU117" s="181"/>
      <c r="ORV117" s="182"/>
      <c r="ORW117" s="181"/>
      <c r="ORX117" s="182"/>
      <c r="ORY117" s="181"/>
      <c r="ORZ117" s="182"/>
      <c r="OSA117" s="181"/>
      <c r="OSB117" s="182"/>
      <c r="OSC117" s="181"/>
      <c r="OSD117" s="182"/>
      <c r="OSE117" s="181"/>
      <c r="OSF117" s="182"/>
      <c r="OSG117" s="181"/>
      <c r="OSH117" s="182"/>
      <c r="OSI117" s="181"/>
      <c r="OSJ117" s="182"/>
      <c r="OSK117" s="181"/>
      <c r="OSL117" s="182"/>
      <c r="OSM117" s="181"/>
      <c r="OSN117" s="182"/>
      <c r="OSO117" s="181"/>
      <c r="OSP117" s="182"/>
      <c r="OSQ117" s="181"/>
      <c r="OSR117" s="182"/>
      <c r="OSS117" s="181"/>
      <c r="OST117" s="182"/>
      <c r="OSU117" s="181"/>
      <c r="OSV117" s="182"/>
      <c r="OSW117" s="181"/>
      <c r="OSX117" s="182"/>
      <c r="OSY117" s="181"/>
      <c r="OSZ117" s="182"/>
      <c r="OTA117" s="181"/>
      <c r="OTB117" s="182"/>
      <c r="OTC117" s="181"/>
      <c r="OTD117" s="182"/>
      <c r="OTE117" s="181"/>
      <c r="OTF117" s="182"/>
      <c r="OTG117" s="181"/>
      <c r="OTH117" s="182"/>
      <c r="OTI117" s="181"/>
      <c r="OTJ117" s="182"/>
      <c r="OTK117" s="181"/>
      <c r="OTL117" s="182"/>
      <c r="OTM117" s="181"/>
      <c r="OTN117" s="182"/>
      <c r="OTO117" s="181"/>
      <c r="OTP117" s="182"/>
      <c r="OTQ117" s="181"/>
      <c r="OTR117" s="182"/>
      <c r="OTS117" s="181"/>
      <c r="OTT117" s="182"/>
      <c r="OTU117" s="181"/>
      <c r="OTV117" s="182"/>
      <c r="OTW117" s="181"/>
      <c r="OTX117" s="182"/>
      <c r="OTY117" s="181"/>
      <c r="OTZ117" s="182"/>
      <c r="OUA117" s="181"/>
      <c r="OUB117" s="182"/>
      <c r="OUC117" s="181"/>
      <c r="OUD117" s="182"/>
      <c r="OUE117" s="181"/>
      <c r="OUF117" s="182"/>
      <c r="OUG117" s="181"/>
      <c r="OUH117" s="182"/>
      <c r="OUI117" s="181"/>
      <c r="OUJ117" s="182"/>
      <c r="OUK117" s="181"/>
      <c r="OUL117" s="182"/>
      <c r="OUM117" s="181"/>
      <c r="OUN117" s="182"/>
      <c r="OUO117" s="181"/>
      <c r="OUP117" s="182"/>
      <c r="OUQ117" s="181"/>
      <c r="OUR117" s="182"/>
      <c r="OUS117" s="181"/>
      <c r="OUT117" s="182"/>
      <c r="OUU117" s="181"/>
      <c r="OUV117" s="182"/>
      <c r="OUW117" s="181"/>
      <c r="OUX117" s="182"/>
      <c r="OUY117" s="181"/>
      <c r="OUZ117" s="182"/>
      <c r="OVA117" s="181"/>
      <c r="OVB117" s="182"/>
      <c r="OVC117" s="181"/>
      <c r="OVD117" s="182"/>
      <c r="OVE117" s="181"/>
      <c r="OVF117" s="182"/>
      <c r="OVG117" s="181"/>
      <c r="OVH117" s="182"/>
      <c r="OVI117" s="181"/>
      <c r="OVJ117" s="182"/>
      <c r="OVK117" s="181"/>
      <c r="OVL117" s="182"/>
      <c r="OVM117" s="181"/>
      <c r="OVN117" s="182"/>
      <c r="OVO117" s="181"/>
      <c r="OVP117" s="182"/>
      <c r="OVQ117" s="181"/>
      <c r="OVR117" s="182"/>
      <c r="OVS117" s="181"/>
      <c r="OVT117" s="182"/>
      <c r="OVU117" s="181"/>
      <c r="OVV117" s="182"/>
      <c r="OVW117" s="181"/>
      <c r="OVX117" s="182"/>
      <c r="OVY117" s="181"/>
      <c r="OVZ117" s="182"/>
      <c r="OWA117" s="181"/>
      <c r="OWB117" s="182"/>
      <c r="OWC117" s="181"/>
      <c r="OWD117" s="182"/>
      <c r="OWE117" s="181"/>
      <c r="OWF117" s="182"/>
      <c r="OWG117" s="181"/>
      <c r="OWH117" s="182"/>
      <c r="OWI117" s="181"/>
      <c r="OWJ117" s="182"/>
      <c r="OWK117" s="181"/>
      <c r="OWL117" s="182"/>
      <c r="OWM117" s="181"/>
      <c r="OWN117" s="182"/>
      <c r="OWO117" s="181"/>
      <c r="OWP117" s="182"/>
      <c r="OWQ117" s="181"/>
      <c r="OWR117" s="182"/>
      <c r="OWS117" s="181"/>
      <c r="OWT117" s="182"/>
      <c r="OWU117" s="181"/>
      <c r="OWV117" s="182"/>
      <c r="OWW117" s="181"/>
      <c r="OWX117" s="182"/>
      <c r="OWY117" s="181"/>
      <c r="OWZ117" s="182"/>
      <c r="OXA117" s="181"/>
      <c r="OXB117" s="182"/>
      <c r="OXC117" s="181"/>
      <c r="OXD117" s="182"/>
      <c r="OXE117" s="181"/>
      <c r="OXF117" s="182"/>
      <c r="OXG117" s="181"/>
      <c r="OXH117" s="182"/>
      <c r="OXI117" s="181"/>
      <c r="OXJ117" s="182"/>
      <c r="OXK117" s="181"/>
      <c r="OXL117" s="182"/>
      <c r="OXM117" s="181"/>
      <c r="OXN117" s="182"/>
      <c r="OXO117" s="181"/>
      <c r="OXP117" s="182"/>
      <c r="OXQ117" s="181"/>
      <c r="OXR117" s="182"/>
      <c r="OXS117" s="181"/>
      <c r="OXT117" s="182"/>
      <c r="OXU117" s="181"/>
      <c r="OXV117" s="182"/>
      <c r="OXW117" s="181"/>
      <c r="OXX117" s="182"/>
      <c r="OXY117" s="181"/>
      <c r="OXZ117" s="182"/>
      <c r="OYA117" s="181"/>
      <c r="OYB117" s="182"/>
      <c r="OYC117" s="181"/>
      <c r="OYD117" s="182"/>
      <c r="OYE117" s="181"/>
      <c r="OYF117" s="182"/>
      <c r="OYG117" s="181"/>
      <c r="OYH117" s="182"/>
      <c r="OYI117" s="181"/>
      <c r="OYJ117" s="182"/>
      <c r="OYK117" s="181"/>
      <c r="OYL117" s="182"/>
      <c r="OYM117" s="181"/>
      <c r="OYN117" s="182"/>
      <c r="OYO117" s="181"/>
      <c r="OYP117" s="182"/>
      <c r="OYQ117" s="181"/>
      <c r="OYR117" s="182"/>
      <c r="OYS117" s="181"/>
      <c r="OYT117" s="182"/>
      <c r="OYU117" s="181"/>
      <c r="OYV117" s="182"/>
      <c r="OYW117" s="181"/>
      <c r="OYX117" s="182"/>
      <c r="OYY117" s="181"/>
      <c r="OYZ117" s="182"/>
      <c r="OZA117" s="181"/>
      <c r="OZB117" s="182"/>
      <c r="OZC117" s="181"/>
      <c r="OZD117" s="182"/>
      <c r="OZE117" s="181"/>
      <c r="OZF117" s="182"/>
      <c r="OZG117" s="181"/>
      <c r="OZH117" s="182"/>
      <c r="OZI117" s="181"/>
      <c r="OZJ117" s="182"/>
      <c r="OZK117" s="181"/>
      <c r="OZL117" s="182"/>
      <c r="OZM117" s="181"/>
      <c r="OZN117" s="182"/>
      <c r="OZO117" s="181"/>
      <c r="OZP117" s="182"/>
      <c r="OZQ117" s="181"/>
      <c r="OZR117" s="182"/>
      <c r="OZS117" s="181"/>
      <c r="OZT117" s="182"/>
      <c r="OZU117" s="181"/>
      <c r="OZV117" s="182"/>
      <c r="OZW117" s="181"/>
      <c r="OZX117" s="182"/>
      <c r="OZY117" s="181"/>
      <c r="OZZ117" s="182"/>
      <c r="PAA117" s="181"/>
      <c r="PAB117" s="182"/>
      <c r="PAC117" s="181"/>
      <c r="PAD117" s="182"/>
      <c r="PAE117" s="181"/>
      <c r="PAF117" s="182"/>
      <c r="PAG117" s="181"/>
      <c r="PAH117" s="182"/>
      <c r="PAI117" s="181"/>
      <c r="PAJ117" s="182"/>
      <c r="PAK117" s="181"/>
      <c r="PAL117" s="182"/>
      <c r="PAM117" s="181"/>
      <c r="PAN117" s="182"/>
      <c r="PAO117" s="181"/>
      <c r="PAP117" s="182"/>
      <c r="PAQ117" s="181"/>
      <c r="PAR117" s="182"/>
      <c r="PAS117" s="181"/>
      <c r="PAT117" s="182"/>
      <c r="PAU117" s="181"/>
      <c r="PAV117" s="182"/>
      <c r="PAW117" s="181"/>
      <c r="PAX117" s="182"/>
      <c r="PAY117" s="181"/>
      <c r="PAZ117" s="182"/>
      <c r="PBA117" s="181"/>
      <c r="PBB117" s="182"/>
      <c r="PBC117" s="181"/>
      <c r="PBD117" s="182"/>
      <c r="PBE117" s="181"/>
      <c r="PBF117" s="182"/>
      <c r="PBG117" s="181"/>
      <c r="PBH117" s="182"/>
      <c r="PBI117" s="181"/>
      <c r="PBJ117" s="182"/>
      <c r="PBK117" s="181"/>
      <c r="PBL117" s="182"/>
      <c r="PBM117" s="181"/>
      <c r="PBN117" s="182"/>
      <c r="PBO117" s="181"/>
      <c r="PBP117" s="182"/>
      <c r="PBQ117" s="181"/>
      <c r="PBR117" s="182"/>
      <c r="PBS117" s="181"/>
      <c r="PBT117" s="182"/>
      <c r="PBU117" s="181"/>
      <c r="PBV117" s="182"/>
      <c r="PBW117" s="181"/>
      <c r="PBX117" s="182"/>
      <c r="PBY117" s="181"/>
      <c r="PBZ117" s="182"/>
      <c r="PCA117" s="181"/>
      <c r="PCB117" s="182"/>
      <c r="PCC117" s="181"/>
      <c r="PCD117" s="182"/>
      <c r="PCE117" s="181"/>
      <c r="PCF117" s="182"/>
      <c r="PCG117" s="181"/>
      <c r="PCH117" s="182"/>
      <c r="PCI117" s="181"/>
      <c r="PCJ117" s="182"/>
      <c r="PCK117" s="181"/>
      <c r="PCL117" s="182"/>
      <c r="PCM117" s="181"/>
      <c r="PCN117" s="182"/>
      <c r="PCO117" s="181"/>
      <c r="PCP117" s="182"/>
      <c r="PCQ117" s="181"/>
      <c r="PCR117" s="182"/>
      <c r="PCS117" s="181"/>
      <c r="PCT117" s="182"/>
      <c r="PCU117" s="181"/>
      <c r="PCV117" s="182"/>
      <c r="PCW117" s="181"/>
      <c r="PCX117" s="182"/>
      <c r="PCY117" s="181"/>
      <c r="PCZ117" s="182"/>
      <c r="PDA117" s="181"/>
      <c r="PDB117" s="182"/>
      <c r="PDC117" s="181"/>
      <c r="PDD117" s="182"/>
      <c r="PDE117" s="181"/>
      <c r="PDF117" s="182"/>
      <c r="PDG117" s="181"/>
      <c r="PDH117" s="182"/>
      <c r="PDI117" s="181"/>
      <c r="PDJ117" s="182"/>
      <c r="PDK117" s="181"/>
      <c r="PDL117" s="182"/>
      <c r="PDM117" s="181"/>
      <c r="PDN117" s="182"/>
      <c r="PDO117" s="181"/>
      <c r="PDP117" s="182"/>
      <c r="PDQ117" s="181"/>
      <c r="PDR117" s="182"/>
      <c r="PDS117" s="181"/>
      <c r="PDT117" s="182"/>
      <c r="PDU117" s="181"/>
      <c r="PDV117" s="182"/>
      <c r="PDW117" s="181"/>
      <c r="PDX117" s="182"/>
      <c r="PDY117" s="181"/>
      <c r="PDZ117" s="182"/>
      <c r="PEA117" s="181"/>
      <c r="PEB117" s="182"/>
      <c r="PEC117" s="181"/>
      <c r="PED117" s="182"/>
      <c r="PEE117" s="181"/>
      <c r="PEF117" s="182"/>
      <c r="PEG117" s="181"/>
      <c r="PEH117" s="182"/>
      <c r="PEI117" s="181"/>
      <c r="PEJ117" s="182"/>
      <c r="PEK117" s="181"/>
      <c r="PEL117" s="182"/>
      <c r="PEM117" s="181"/>
      <c r="PEN117" s="182"/>
      <c r="PEO117" s="181"/>
      <c r="PEP117" s="182"/>
      <c r="PEQ117" s="181"/>
      <c r="PER117" s="182"/>
      <c r="PES117" s="181"/>
      <c r="PET117" s="182"/>
      <c r="PEU117" s="181"/>
      <c r="PEV117" s="182"/>
      <c r="PEW117" s="181"/>
      <c r="PEX117" s="182"/>
      <c r="PEY117" s="181"/>
      <c r="PEZ117" s="182"/>
      <c r="PFA117" s="181"/>
      <c r="PFB117" s="182"/>
      <c r="PFC117" s="181"/>
      <c r="PFD117" s="182"/>
      <c r="PFE117" s="181"/>
      <c r="PFF117" s="182"/>
      <c r="PFG117" s="181"/>
      <c r="PFH117" s="182"/>
      <c r="PFI117" s="181"/>
      <c r="PFJ117" s="182"/>
      <c r="PFK117" s="181"/>
      <c r="PFL117" s="182"/>
      <c r="PFM117" s="181"/>
      <c r="PFN117" s="182"/>
      <c r="PFO117" s="181"/>
      <c r="PFP117" s="182"/>
      <c r="PFQ117" s="181"/>
      <c r="PFR117" s="182"/>
      <c r="PFS117" s="181"/>
      <c r="PFT117" s="182"/>
      <c r="PFU117" s="181"/>
      <c r="PFV117" s="182"/>
      <c r="PFW117" s="181"/>
      <c r="PFX117" s="182"/>
      <c r="PFY117" s="181"/>
      <c r="PFZ117" s="182"/>
      <c r="PGA117" s="181"/>
      <c r="PGB117" s="182"/>
      <c r="PGC117" s="181"/>
      <c r="PGD117" s="182"/>
      <c r="PGE117" s="181"/>
      <c r="PGF117" s="182"/>
      <c r="PGG117" s="181"/>
      <c r="PGH117" s="182"/>
      <c r="PGI117" s="181"/>
      <c r="PGJ117" s="182"/>
      <c r="PGK117" s="181"/>
      <c r="PGL117" s="182"/>
      <c r="PGM117" s="181"/>
      <c r="PGN117" s="182"/>
      <c r="PGO117" s="181"/>
      <c r="PGP117" s="182"/>
      <c r="PGQ117" s="181"/>
      <c r="PGR117" s="182"/>
      <c r="PGS117" s="181"/>
      <c r="PGT117" s="182"/>
      <c r="PGU117" s="181"/>
      <c r="PGV117" s="182"/>
      <c r="PGW117" s="181"/>
      <c r="PGX117" s="182"/>
      <c r="PGY117" s="181"/>
      <c r="PGZ117" s="182"/>
      <c r="PHA117" s="181"/>
      <c r="PHB117" s="182"/>
      <c r="PHC117" s="181"/>
      <c r="PHD117" s="182"/>
      <c r="PHE117" s="181"/>
      <c r="PHF117" s="182"/>
      <c r="PHG117" s="181"/>
      <c r="PHH117" s="182"/>
      <c r="PHI117" s="181"/>
      <c r="PHJ117" s="182"/>
      <c r="PHK117" s="181"/>
      <c r="PHL117" s="182"/>
      <c r="PHM117" s="181"/>
      <c r="PHN117" s="182"/>
      <c r="PHO117" s="181"/>
      <c r="PHP117" s="182"/>
      <c r="PHQ117" s="181"/>
      <c r="PHR117" s="182"/>
      <c r="PHS117" s="181"/>
      <c r="PHT117" s="182"/>
      <c r="PHU117" s="181"/>
      <c r="PHV117" s="182"/>
      <c r="PHW117" s="181"/>
      <c r="PHX117" s="182"/>
      <c r="PHY117" s="181"/>
      <c r="PHZ117" s="182"/>
      <c r="PIA117" s="181"/>
      <c r="PIB117" s="182"/>
      <c r="PIC117" s="181"/>
      <c r="PID117" s="182"/>
      <c r="PIE117" s="181"/>
      <c r="PIF117" s="182"/>
      <c r="PIG117" s="181"/>
      <c r="PIH117" s="182"/>
      <c r="PII117" s="181"/>
      <c r="PIJ117" s="182"/>
      <c r="PIK117" s="181"/>
      <c r="PIL117" s="182"/>
      <c r="PIM117" s="181"/>
      <c r="PIN117" s="182"/>
      <c r="PIO117" s="181"/>
      <c r="PIP117" s="182"/>
      <c r="PIQ117" s="181"/>
      <c r="PIR117" s="182"/>
      <c r="PIS117" s="181"/>
      <c r="PIT117" s="182"/>
      <c r="PIU117" s="181"/>
      <c r="PIV117" s="182"/>
      <c r="PIW117" s="181"/>
      <c r="PIX117" s="182"/>
      <c r="PIY117" s="181"/>
      <c r="PIZ117" s="182"/>
      <c r="PJA117" s="181"/>
      <c r="PJB117" s="182"/>
      <c r="PJC117" s="181"/>
      <c r="PJD117" s="182"/>
      <c r="PJE117" s="181"/>
      <c r="PJF117" s="182"/>
      <c r="PJG117" s="181"/>
      <c r="PJH117" s="182"/>
      <c r="PJI117" s="181"/>
      <c r="PJJ117" s="182"/>
      <c r="PJK117" s="181"/>
      <c r="PJL117" s="182"/>
      <c r="PJM117" s="181"/>
      <c r="PJN117" s="182"/>
      <c r="PJO117" s="181"/>
      <c r="PJP117" s="182"/>
      <c r="PJQ117" s="181"/>
      <c r="PJR117" s="182"/>
      <c r="PJS117" s="181"/>
      <c r="PJT117" s="182"/>
      <c r="PJU117" s="181"/>
      <c r="PJV117" s="182"/>
      <c r="PJW117" s="181"/>
      <c r="PJX117" s="182"/>
      <c r="PJY117" s="181"/>
      <c r="PJZ117" s="182"/>
      <c r="PKA117" s="181"/>
      <c r="PKB117" s="182"/>
      <c r="PKC117" s="181"/>
      <c r="PKD117" s="182"/>
      <c r="PKE117" s="181"/>
      <c r="PKF117" s="182"/>
      <c r="PKG117" s="181"/>
      <c r="PKH117" s="182"/>
      <c r="PKI117" s="181"/>
      <c r="PKJ117" s="182"/>
      <c r="PKK117" s="181"/>
      <c r="PKL117" s="182"/>
      <c r="PKM117" s="181"/>
      <c r="PKN117" s="182"/>
      <c r="PKO117" s="181"/>
      <c r="PKP117" s="182"/>
      <c r="PKQ117" s="181"/>
      <c r="PKR117" s="182"/>
      <c r="PKS117" s="181"/>
      <c r="PKT117" s="182"/>
      <c r="PKU117" s="181"/>
      <c r="PKV117" s="182"/>
      <c r="PKW117" s="181"/>
      <c r="PKX117" s="182"/>
      <c r="PKY117" s="181"/>
      <c r="PKZ117" s="182"/>
      <c r="PLA117" s="181"/>
      <c r="PLB117" s="182"/>
      <c r="PLC117" s="181"/>
      <c r="PLD117" s="182"/>
      <c r="PLE117" s="181"/>
      <c r="PLF117" s="182"/>
      <c r="PLG117" s="181"/>
      <c r="PLH117" s="182"/>
      <c r="PLI117" s="181"/>
      <c r="PLJ117" s="182"/>
      <c r="PLK117" s="181"/>
      <c r="PLL117" s="182"/>
      <c r="PLM117" s="181"/>
      <c r="PLN117" s="182"/>
      <c r="PLO117" s="181"/>
      <c r="PLP117" s="182"/>
      <c r="PLQ117" s="181"/>
      <c r="PLR117" s="182"/>
      <c r="PLS117" s="181"/>
      <c r="PLT117" s="182"/>
      <c r="PLU117" s="181"/>
      <c r="PLV117" s="182"/>
      <c r="PLW117" s="181"/>
      <c r="PLX117" s="182"/>
      <c r="PLY117" s="181"/>
      <c r="PLZ117" s="182"/>
      <c r="PMA117" s="181"/>
      <c r="PMB117" s="182"/>
      <c r="PMC117" s="181"/>
      <c r="PMD117" s="182"/>
      <c r="PME117" s="181"/>
      <c r="PMF117" s="182"/>
      <c r="PMG117" s="181"/>
      <c r="PMH117" s="182"/>
      <c r="PMI117" s="181"/>
      <c r="PMJ117" s="182"/>
      <c r="PMK117" s="181"/>
      <c r="PML117" s="182"/>
      <c r="PMM117" s="181"/>
      <c r="PMN117" s="182"/>
      <c r="PMO117" s="181"/>
      <c r="PMP117" s="182"/>
      <c r="PMQ117" s="181"/>
      <c r="PMR117" s="182"/>
      <c r="PMS117" s="181"/>
      <c r="PMT117" s="182"/>
      <c r="PMU117" s="181"/>
      <c r="PMV117" s="182"/>
      <c r="PMW117" s="181"/>
      <c r="PMX117" s="182"/>
      <c r="PMY117" s="181"/>
      <c r="PMZ117" s="182"/>
      <c r="PNA117" s="181"/>
      <c r="PNB117" s="182"/>
      <c r="PNC117" s="181"/>
      <c r="PND117" s="182"/>
      <c r="PNE117" s="181"/>
      <c r="PNF117" s="182"/>
      <c r="PNG117" s="181"/>
      <c r="PNH117" s="182"/>
      <c r="PNI117" s="181"/>
      <c r="PNJ117" s="182"/>
      <c r="PNK117" s="181"/>
      <c r="PNL117" s="182"/>
      <c r="PNM117" s="181"/>
      <c r="PNN117" s="182"/>
      <c r="PNO117" s="181"/>
      <c r="PNP117" s="182"/>
      <c r="PNQ117" s="181"/>
      <c r="PNR117" s="182"/>
      <c r="PNS117" s="181"/>
      <c r="PNT117" s="182"/>
      <c r="PNU117" s="181"/>
      <c r="PNV117" s="182"/>
      <c r="PNW117" s="181"/>
      <c r="PNX117" s="182"/>
      <c r="PNY117" s="181"/>
      <c r="PNZ117" s="182"/>
      <c r="POA117" s="181"/>
      <c r="POB117" s="182"/>
      <c r="POC117" s="181"/>
      <c r="POD117" s="182"/>
      <c r="POE117" s="181"/>
      <c r="POF117" s="182"/>
      <c r="POG117" s="181"/>
      <c r="POH117" s="182"/>
      <c r="POI117" s="181"/>
      <c r="POJ117" s="182"/>
      <c r="POK117" s="181"/>
      <c r="POL117" s="182"/>
      <c r="POM117" s="181"/>
      <c r="PON117" s="182"/>
      <c r="POO117" s="181"/>
      <c r="POP117" s="182"/>
      <c r="POQ117" s="181"/>
      <c r="POR117" s="182"/>
      <c r="POS117" s="181"/>
      <c r="POT117" s="182"/>
      <c r="POU117" s="181"/>
      <c r="POV117" s="182"/>
      <c r="POW117" s="181"/>
      <c r="POX117" s="182"/>
      <c r="POY117" s="181"/>
      <c r="POZ117" s="182"/>
      <c r="PPA117" s="181"/>
      <c r="PPB117" s="182"/>
      <c r="PPC117" s="181"/>
      <c r="PPD117" s="182"/>
      <c r="PPE117" s="181"/>
      <c r="PPF117" s="182"/>
      <c r="PPG117" s="181"/>
      <c r="PPH117" s="182"/>
      <c r="PPI117" s="181"/>
      <c r="PPJ117" s="182"/>
      <c r="PPK117" s="181"/>
      <c r="PPL117" s="182"/>
      <c r="PPM117" s="181"/>
      <c r="PPN117" s="182"/>
      <c r="PPO117" s="181"/>
      <c r="PPP117" s="182"/>
      <c r="PPQ117" s="181"/>
      <c r="PPR117" s="182"/>
      <c r="PPS117" s="181"/>
      <c r="PPT117" s="182"/>
      <c r="PPU117" s="181"/>
      <c r="PPV117" s="182"/>
      <c r="PPW117" s="181"/>
      <c r="PPX117" s="182"/>
      <c r="PPY117" s="181"/>
      <c r="PPZ117" s="182"/>
      <c r="PQA117" s="181"/>
      <c r="PQB117" s="182"/>
      <c r="PQC117" s="181"/>
      <c r="PQD117" s="182"/>
      <c r="PQE117" s="181"/>
      <c r="PQF117" s="182"/>
      <c r="PQG117" s="181"/>
      <c r="PQH117" s="182"/>
      <c r="PQI117" s="181"/>
      <c r="PQJ117" s="182"/>
      <c r="PQK117" s="181"/>
      <c r="PQL117" s="182"/>
      <c r="PQM117" s="181"/>
      <c r="PQN117" s="182"/>
      <c r="PQO117" s="181"/>
      <c r="PQP117" s="182"/>
      <c r="PQQ117" s="181"/>
      <c r="PQR117" s="182"/>
      <c r="PQS117" s="181"/>
      <c r="PQT117" s="182"/>
      <c r="PQU117" s="181"/>
      <c r="PQV117" s="182"/>
      <c r="PQW117" s="181"/>
      <c r="PQX117" s="182"/>
      <c r="PQY117" s="181"/>
      <c r="PQZ117" s="182"/>
      <c r="PRA117" s="181"/>
      <c r="PRB117" s="182"/>
      <c r="PRC117" s="181"/>
      <c r="PRD117" s="182"/>
      <c r="PRE117" s="181"/>
      <c r="PRF117" s="182"/>
      <c r="PRG117" s="181"/>
      <c r="PRH117" s="182"/>
      <c r="PRI117" s="181"/>
      <c r="PRJ117" s="182"/>
      <c r="PRK117" s="181"/>
      <c r="PRL117" s="182"/>
      <c r="PRM117" s="181"/>
      <c r="PRN117" s="182"/>
      <c r="PRO117" s="181"/>
      <c r="PRP117" s="182"/>
      <c r="PRQ117" s="181"/>
      <c r="PRR117" s="182"/>
      <c r="PRS117" s="181"/>
      <c r="PRT117" s="182"/>
      <c r="PRU117" s="181"/>
      <c r="PRV117" s="182"/>
      <c r="PRW117" s="181"/>
      <c r="PRX117" s="182"/>
      <c r="PRY117" s="181"/>
      <c r="PRZ117" s="182"/>
      <c r="PSA117" s="181"/>
      <c r="PSB117" s="182"/>
      <c r="PSC117" s="181"/>
      <c r="PSD117" s="182"/>
      <c r="PSE117" s="181"/>
      <c r="PSF117" s="182"/>
      <c r="PSG117" s="181"/>
      <c r="PSH117" s="182"/>
      <c r="PSI117" s="181"/>
      <c r="PSJ117" s="182"/>
      <c r="PSK117" s="181"/>
      <c r="PSL117" s="182"/>
      <c r="PSM117" s="181"/>
      <c r="PSN117" s="182"/>
      <c r="PSO117" s="181"/>
      <c r="PSP117" s="182"/>
      <c r="PSQ117" s="181"/>
      <c r="PSR117" s="182"/>
      <c r="PSS117" s="181"/>
      <c r="PST117" s="182"/>
      <c r="PSU117" s="181"/>
      <c r="PSV117" s="182"/>
      <c r="PSW117" s="181"/>
      <c r="PSX117" s="182"/>
      <c r="PSY117" s="181"/>
      <c r="PSZ117" s="182"/>
      <c r="PTA117" s="181"/>
      <c r="PTB117" s="182"/>
      <c r="PTC117" s="181"/>
      <c r="PTD117" s="182"/>
      <c r="PTE117" s="181"/>
      <c r="PTF117" s="182"/>
      <c r="PTG117" s="181"/>
      <c r="PTH117" s="182"/>
      <c r="PTI117" s="181"/>
      <c r="PTJ117" s="182"/>
      <c r="PTK117" s="181"/>
      <c r="PTL117" s="182"/>
      <c r="PTM117" s="181"/>
      <c r="PTN117" s="182"/>
      <c r="PTO117" s="181"/>
      <c r="PTP117" s="182"/>
      <c r="PTQ117" s="181"/>
      <c r="PTR117" s="182"/>
      <c r="PTS117" s="181"/>
      <c r="PTT117" s="182"/>
      <c r="PTU117" s="181"/>
      <c r="PTV117" s="182"/>
      <c r="PTW117" s="181"/>
      <c r="PTX117" s="182"/>
      <c r="PTY117" s="181"/>
      <c r="PTZ117" s="182"/>
      <c r="PUA117" s="181"/>
      <c r="PUB117" s="182"/>
      <c r="PUC117" s="181"/>
      <c r="PUD117" s="182"/>
      <c r="PUE117" s="181"/>
      <c r="PUF117" s="182"/>
      <c r="PUG117" s="181"/>
      <c r="PUH117" s="182"/>
      <c r="PUI117" s="181"/>
      <c r="PUJ117" s="182"/>
      <c r="PUK117" s="181"/>
      <c r="PUL117" s="182"/>
      <c r="PUM117" s="181"/>
      <c r="PUN117" s="182"/>
      <c r="PUO117" s="181"/>
      <c r="PUP117" s="182"/>
      <c r="PUQ117" s="181"/>
      <c r="PUR117" s="182"/>
      <c r="PUS117" s="181"/>
      <c r="PUT117" s="182"/>
      <c r="PUU117" s="181"/>
      <c r="PUV117" s="182"/>
      <c r="PUW117" s="181"/>
      <c r="PUX117" s="182"/>
      <c r="PUY117" s="181"/>
      <c r="PUZ117" s="182"/>
      <c r="PVA117" s="181"/>
      <c r="PVB117" s="182"/>
      <c r="PVC117" s="181"/>
      <c r="PVD117" s="182"/>
      <c r="PVE117" s="181"/>
      <c r="PVF117" s="182"/>
      <c r="PVG117" s="181"/>
      <c r="PVH117" s="182"/>
      <c r="PVI117" s="181"/>
      <c r="PVJ117" s="182"/>
      <c r="PVK117" s="181"/>
      <c r="PVL117" s="182"/>
      <c r="PVM117" s="181"/>
      <c r="PVN117" s="182"/>
      <c r="PVO117" s="181"/>
      <c r="PVP117" s="182"/>
      <c r="PVQ117" s="181"/>
      <c r="PVR117" s="182"/>
      <c r="PVS117" s="181"/>
      <c r="PVT117" s="182"/>
      <c r="PVU117" s="181"/>
      <c r="PVV117" s="182"/>
      <c r="PVW117" s="181"/>
      <c r="PVX117" s="182"/>
      <c r="PVY117" s="181"/>
      <c r="PVZ117" s="182"/>
      <c r="PWA117" s="181"/>
      <c r="PWB117" s="182"/>
      <c r="PWC117" s="181"/>
      <c r="PWD117" s="182"/>
      <c r="PWE117" s="181"/>
      <c r="PWF117" s="182"/>
      <c r="PWG117" s="181"/>
      <c r="PWH117" s="182"/>
      <c r="PWI117" s="181"/>
      <c r="PWJ117" s="182"/>
      <c r="PWK117" s="181"/>
      <c r="PWL117" s="182"/>
      <c r="PWM117" s="181"/>
      <c r="PWN117" s="182"/>
      <c r="PWO117" s="181"/>
      <c r="PWP117" s="182"/>
      <c r="PWQ117" s="181"/>
      <c r="PWR117" s="182"/>
      <c r="PWS117" s="181"/>
      <c r="PWT117" s="182"/>
      <c r="PWU117" s="181"/>
      <c r="PWV117" s="182"/>
      <c r="PWW117" s="181"/>
      <c r="PWX117" s="182"/>
      <c r="PWY117" s="181"/>
      <c r="PWZ117" s="182"/>
      <c r="PXA117" s="181"/>
      <c r="PXB117" s="182"/>
      <c r="PXC117" s="181"/>
      <c r="PXD117" s="182"/>
      <c r="PXE117" s="181"/>
      <c r="PXF117" s="182"/>
      <c r="PXG117" s="181"/>
      <c r="PXH117" s="182"/>
      <c r="PXI117" s="181"/>
      <c r="PXJ117" s="182"/>
      <c r="PXK117" s="181"/>
      <c r="PXL117" s="182"/>
      <c r="PXM117" s="181"/>
      <c r="PXN117" s="182"/>
      <c r="PXO117" s="181"/>
      <c r="PXP117" s="182"/>
      <c r="PXQ117" s="181"/>
      <c r="PXR117" s="182"/>
      <c r="PXS117" s="181"/>
      <c r="PXT117" s="182"/>
      <c r="PXU117" s="181"/>
      <c r="PXV117" s="182"/>
      <c r="PXW117" s="181"/>
      <c r="PXX117" s="182"/>
      <c r="PXY117" s="181"/>
      <c r="PXZ117" s="182"/>
      <c r="PYA117" s="181"/>
      <c r="PYB117" s="182"/>
      <c r="PYC117" s="181"/>
      <c r="PYD117" s="182"/>
      <c r="PYE117" s="181"/>
      <c r="PYF117" s="182"/>
      <c r="PYG117" s="181"/>
      <c r="PYH117" s="182"/>
      <c r="PYI117" s="181"/>
      <c r="PYJ117" s="182"/>
      <c r="PYK117" s="181"/>
      <c r="PYL117" s="182"/>
      <c r="PYM117" s="181"/>
      <c r="PYN117" s="182"/>
      <c r="PYO117" s="181"/>
      <c r="PYP117" s="182"/>
      <c r="PYQ117" s="181"/>
      <c r="PYR117" s="182"/>
      <c r="PYS117" s="181"/>
      <c r="PYT117" s="182"/>
      <c r="PYU117" s="181"/>
      <c r="PYV117" s="182"/>
      <c r="PYW117" s="181"/>
      <c r="PYX117" s="182"/>
      <c r="PYY117" s="181"/>
      <c r="PYZ117" s="182"/>
      <c r="PZA117" s="181"/>
      <c r="PZB117" s="182"/>
      <c r="PZC117" s="181"/>
      <c r="PZD117" s="182"/>
      <c r="PZE117" s="181"/>
      <c r="PZF117" s="182"/>
      <c r="PZG117" s="181"/>
      <c r="PZH117" s="182"/>
      <c r="PZI117" s="181"/>
      <c r="PZJ117" s="182"/>
      <c r="PZK117" s="181"/>
      <c r="PZL117" s="182"/>
      <c r="PZM117" s="181"/>
      <c r="PZN117" s="182"/>
      <c r="PZO117" s="181"/>
      <c r="PZP117" s="182"/>
      <c r="PZQ117" s="181"/>
      <c r="PZR117" s="182"/>
      <c r="PZS117" s="181"/>
      <c r="PZT117" s="182"/>
      <c r="PZU117" s="181"/>
      <c r="PZV117" s="182"/>
      <c r="PZW117" s="181"/>
      <c r="PZX117" s="182"/>
      <c r="PZY117" s="181"/>
      <c r="PZZ117" s="182"/>
      <c r="QAA117" s="181"/>
      <c r="QAB117" s="182"/>
      <c r="QAC117" s="181"/>
      <c r="QAD117" s="182"/>
      <c r="QAE117" s="181"/>
      <c r="QAF117" s="182"/>
      <c r="QAG117" s="181"/>
      <c r="QAH117" s="182"/>
      <c r="QAI117" s="181"/>
      <c r="QAJ117" s="182"/>
      <c r="QAK117" s="181"/>
      <c r="QAL117" s="182"/>
      <c r="QAM117" s="181"/>
      <c r="QAN117" s="182"/>
      <c r="QAO117" s="181"/>
      <c r="QAP117" s="182"/>
      <c r="QAQ117" s="181"/>
      <c r="QAR117" s="182"/>
      <c r="QAS117" s="181"/>
      <c r="QAT117" s="182"/>
      <c r="QAU117" s="181"/>
      <c r="QAV117" s="182"/>
      <c r="QAW117" s="181"/>
      <c r="QAX117" s="182"/>
      <c r="QAY117" s="181"/>
      <c r="QAZ117" s="182"/>
      <c r="QBA117" s="181"/>
      <c r="QBB117" s="182"/>
      <c r="QBC117" s="181"/>
      <c r="QBD117" s="182"/>
      <c r="QBE117" s="181"/>
      <c r="QBF117" s="182"/>
      <c r="QBG117" s="181"/>
      <c r="QBH117" s="182"/>
      <c r="QBI117" s="181"/>
      <c r="QBJ117" s="182"/>
      <c r="QBK117" s="181"/>
      <c r="QBL117" s="182"/>
      <c r="QBM117" s="181"/>
      <c r="QBN117" s="182"/>
      <c r="QBO117" s="181"/>
      <c r="QBP117" s="182"/>
      <c r="QBQ117" s="181"/>
      <c r="QBR117" s="182"/>
      <c r="QBS117" s="181"/>
      <c r="QBT117" s="182"/>
      <c r="QBU117" s="181"/>
      <c r="QBV117" s="182"/>
      <c r="QBW117" s="181"/>
      <c r="QBX117" s="182"/>
      <c r="QBY117" s="181"/>
      <c r="QBZ117" s="182"/>
      <c r="QCA117" s="181"/>
      <c r="QCB117" s="182"/>
      <c r="QCC117" s="181"/>
      <c r="QCD117" s="182"/>
      <c r="QCE117" s="181"/>
      <c r="QCF117" s="182"/>
      <c r="QCG117" s="181"/>
      <c r="QCH117" s="182"/>
      <c r="QCI117" s="181"/>
      <c r="QCJ117" s="182"/>
      <c r="QCK117" s="181"/>
      <c r="QCL117" s="182"/>
      <c r="QCM117" s="181"/>
      <c r="QCN117" s="182"/>
      <c r="QCO117" s="181"/>
      <c r="QCP117" s="182"/>
      <c r="QCQ117" s="181"/>
      <c r="QCR117" s="182"/>
      <c r="QCS117" s="181"/>
      <c r="QCT117" s="182"/>
      <c r="QCU117" s="181"/>
      <c r="QCV117" s="182"/>
      <c r="QCW117" s="181"/>
      <c r="QCX117" s="182"/>
      <c r="QCY117" s="181"/>
      <c r="QCZ117" s="182"/>
      <c r="QDA117" s="181"/>
      <c r="QDB117" s="182"/>
      <c r="QDC117" s="181"/>
      <c r="QDD117" s="182"/>
      <c r="QDE117" s="181"/>
      <c r="QDF117" s="182"/>
      <c r="QDG117" s="181"/>
      <c r="QDH117" s="182"/>
      <c r="QDI117" s="181"/>
      <c r="QDJ117" s="182"/>
      <c r="QDK117" s="181"/>
      <c r="QDL117" s="182"/>
      <c r="QDM117" s="181"/>
      <c r="QDN117" s="182"/>
      <c r="QDO117" s="181"/>
      <c r="QDP117" s="182"/>
      <c r="QDQ117" s="181"/>
      <c r="QDR117" s="182"/>
      <c r="QDS117" s="181"/>
      <c r="QDT117" s="182"/>
      <c r="QDU117" s="181"/>
      <c r="QDV117" s="182"/>
      <c r="QDW117" s="181"/>
      <c r="QDX117" s="182"/>
      <c r="QDY117" s="181"/>
      <c r="QDZ117" s="182"/>
      <c r="QEA117" s="181"/>
      <c r="QEB117" s="182"/>
      <c r="QEC117" s="181"/>
      <c r="QED117" s="182"/>
      <c r="QEE117" s="181"/>
      <c r="QEF117" s="182"/>
      <c r="QEG117" s="181"/>
      <c r="QEH117" s="182"/>
      <c r="QEI117" s="181"/>
      <c r="QEJ117" s="182"/>
      <c r="QEK117" s="181"/>
      <c r="QEL117" s="182"/>
      <c r="QEM117" s="181"/>
      <c r="QEN117" s="182"/>
      <c r="QEO117" s="181"/>
      <c r="QEP117" s="182"/>
      <c r="QEQ117" s="181"/>
      <c r="QER117" s="182"/>
      <c r="QES117" s="181"/>
      <c r="QET117" s="182"/>
      <c r="QEU117" s="181"/>
      <c r="QEV117" s="182"/>
      <c r="QEW117" s="181"/>
      <c r="QEX117" s="182"/>
      <c r="QEY117" s="181"/>
      <c r="QEZ117" s="182"/>
      <c r="QFA117" s="181"/>
      <c r="QFB117" s="182"/>
      <c r="QFC117" s="181"/>
      <c r="QFD117" s="182"/>
      <c r="QFE117" s="181"/>
      <c r="QFF117" s="182"/>
      <c r="QFG117" s="181"/>
      <c r="QFH117" s="182"/>
      <c r="QFI117" s="181"/>
      <c r="QFJ117" s="182"/>
      <c r="QFK117" s="181"/>
      <c r="QFL117" s="182"/>
      <c r="QFM117" s="181"/>
      <c r="QFN117" s="182"/>
      <c r="QFO117" s="181"/>
      <c r="QFP117" s="182"/>
      <c r="QFQ117" s="181"/>
      <c r="QFR117" s="182"/>
      <c r="QFS117" s="181"/>
      <c r="QFT117" s="182"/>
      <c r="QFU117" s="181"/>
      <c r="QFV117" s="182"/>
      <c r="QFW117" s="181"/>
      <c r="QFX117" s="182"/>
      <c r="QFY117" s="181"/>
      <c r="QFZ117" s="182"/>
      <c r="QGA117" s="181"/>
      <c r="QGB117" s="182"/>
      <c r="QGC117" s="181"/>
      <c r="QGD117" s="182"/>
      <c r="QGE117" s="181"/>
      <c r="QGF117" s="182"/>
      <c r="QGG117" s="181"/>
      <c r="QGH117" s="182"/>
      <c r="QGI117" s="181"/>
      <c r="QGJ117" s="182"/>
      <c r="QGK117" s="181"/>
      <c r="QGL117" s="182"/>
      <c r="QGM117" s="181"/>
      <c r="QGN117" s="182"/>
      <c r="QGO117" s="181"/>
      <c r="QGP117" s="182"/>
      <c r="QGQ117" s="181"/>
      <c r="QGR117" s="182"/>
      <c r="QGS117" s="181"/>
      <c r="QGT117" s="182"/>
      <c r="QGU117" s="181"/>
      <c r="QGV117" s="182"/>
      <c r="QGW117" s="181"/>
      <c r="QGX117" s="182"/>
      <c r="QGY117" s="181"/>
      <c r="QGZ117" s="182"/>
      <c r="QHA117" s="181"/>
      <c r="QHB117" s="182"/>
      <c r="QHC117" s="181"/>
      <c r="QHD117" s="182"/>
      <c r="QHE117" s="181"/>
      <c r="QHF117" s="182"/>
      <c r="QHG117" s="181"/>
      <c r="QHH117" s="182"/>
      <c r="QHI117" s="181"/>
      <c r="QHJ117" s="182"/>
      <c r="QHK117" s="181"/>
      <c r="QHL117" s="182"/>
      <c r="QHM117" s="181"/>
      <c r="QHN117" s="182"/>
      <c r="QHO117" s="181"/>
      <c r="QHP117" s="182"/>
      <c r="QHQ117" s="181"/>
      <c r="QHR117" s="182"/>
      <c r="QHS117" s="181"/>
      <c r="QHT117" s="182"/>
      <c r="QHU117" s="181"/>
      <c r="QHV117" s="182"/>
      <c r="QHW117" s="181"/>
      <c r="QHX117" s="182"/>
      <c r="QHY117" s="181"/>
      <c r="QHZ117" s="182"/>
      <c r="QIA117" s="181"/>
      <c r="QIB117" s="182"/>
      <c r="QIC117" s="181"/>
      <c r="QID117" s="182"/>
      <c r="QIE117" s="181"/>
      <c r="QIF117" s="182"/>
      <c r="QIG117" s="181"/>
      <c r="QIH117" s="182"/>
      <c r="QII117" s="181"/>
      <c r="QIJ117" s="182"/>
      <c r="QIK117" s="181"/>
      <c r="QIL117" s="182"/>
      <c r="QIM117" s="181"/>
      <c r="QIN117" s="182"/>
      <c r="QIO117" s="181"/>
      <c r="QIP117" s="182"/>
      <c r="QIQ117" s="181"/>
      <c r="QIR117" s="182"/>
      <c r="QIS117" s="181"/>
      <c r="QIT117" s="182"/>
      <c r="QIU117" s="181"/>
      <c r="QIV117" s="182"/>
      <c r="QIW117" s="181"/>
      <c r="QIX117" s="182"/>
      <c r="QIY117" s="181"/>
      <c r="QIZ117" s="182"/>
      <c r="QJA117" s="181"/>
      <c r="QJB117" s="182"/>
      <c r="QJC117" s="181"/>
      <c r="QJD117" s="182"/>
      <c r="QJE117" s="181"/>
      <c r="QJF117" s="182"/>
      <c r="QJG117" s="181"/>
      <c r="QJH117" s="182"/>
      <c r="QJI117" s="181"/>
      <c r="QJJ117" s="182"/>
      <c r="QJK117" s="181"/>
      <c r="QJL117" s="182"/>
      <c r="QJM117" s="181"/>
      <c r="QJN117" s="182"/>
      <c r="QJO117" s="181"/>
      <c r="QJP117" s="182"/>
      <c r="QJQ117" s="181"/>
      <c r="QJR117" s="182"/>
      <c r="QJS117" s="181"/>
      <c r="QJT117" s="182"/>
      <c r="QJU117" s="181"/>
      <c r="QJV117" s="182"/>
      <c r="QJW117" s="181"/>
      <c r="QJX117" s="182"/>
      <c r="QJY117" s="181"/>
      <c r="QJZ117" s="182"/>
      <c r="QKA117" s="181"/>
      <c r="QKB117" s="182"/>
      <c r="QKC117" s="181"/>
      <c r="QKD117" s="182"/>
      <c r="QKE117" s="181"/>
      <c r="QKF117" s="182"/>
      <c r="QKG117" s="181"/>
      <c r="QKH117" s="182"/>
      <c r="QKI117" s="181"/>
      <c r="QKJ117" s="182"/>
      <c r="QKK117" s="181"/>
      <c r="QKL117" s="182"/>
      <c r="QKM117" s="181"/>
      <c r="QKN117" s="182"/>
      <c r="QKO117" s="181"/>
      <c r="QKP117" s="182"/>
      <c r="QKQ117" s="181"/>
      <c r="QKR117" s="182"/>
      <c r="QKS117" s="181"/>
      <c r="QKT117" s="182"/>
      <c r="QKU117" s="181"/>
      <c r="QKV117" s="182"/>
      <c r="QKW117" s="181"/>
      <c r="QKX117" s="182"/>
      <c r="QKY117" s="181"/>
      <c r="QKZ117" s="182"/>
      <c r="QLA117" s="181"/>
      <c r="QLB117" s="182"/>
      <c r="QLC117" s="181"/>
      <c r="QLD117" s="182"/>
      <c r="QLE117" s="181"/>
      <c r="QLF117" s="182"/>
      <c r="QLG117" s="181"/>
      <c r="QLH117" s="182"/>
      <c r="QLI117" s="181"/>
      <c r="QLJ117" s="182"/>
      <c r="QLK117" s="181"/>
      <c r="QLL117" s="182"/>
      <c r="QLM117" s="181"/>
      <c r="QLN117" s="182"/>
      <c r="QLO117" s="181"/>
      <c r="QLP117" s="182"/>
      <c r="QLQ117" s="181"/>
      <c r="QLR117" s="182"/>
      <c r="QLS117" s="181"/>
      <c r="QLT117" s="182"/>
      <c r="QLU117" s="181"/>
      <c r="QLV117" s="182"/>
      <c r="QLW117" s="181"/>
      <c r="QLX117" s="182"/>
      <c r="QLY117" s="181"/>
      <c r="QLZ117" s="182"/>
      <c r="QMA117" s="181"/>
      <c r="QMB117" s="182"/>
      <c r="QMC117" s="181"/>
      <c r="QMD117" s="182"/>
      <c r="QME117" s="181"/>
      <c r="QMF117" s="182"/>
      <c r="QMG117" s="181"/>
      <c r="QMH117" s="182"/>
      <c r="QMI117" s="181"/>
      <c r="QMJ117" s="182"/>
      <c r="QMK117" s="181"/>
      <c r="QML117" s="182"/>
      <c r="QMM117" s="181"/>
      <c r="QMN117" s="182"/>
      <c r="QMO117" s="181"/>
      <c r="QMP117" s="182"/>
      <c r="QMQ117" s="181"/>
      <c r="QMR117" s="182"/>
      <c r="QMS117" s="181"/>
      <c r="QMT117" s="182"/>
      <c r="QMU117" s="181"/>
      <c r="QMV117" s="182"/>
      <c r="QMW117" s="181"/>
      <c r="QMX117" s="182"/>
      <c r="QMY117" s="181"/>
      <c r="QMZ117" s="182"/>
      <c r="QNA117" s="181"/>
      <c r="QNB117" s="182"/>
      <c r="QNC117" s="181"/>
      <c r="QND117" s="182"/>
      <c r="QNE117" s="181"/>
      <c r="QNF117" s="182"/>
      <c r="QNG117" s="181"/>
      <c r="QNH117" s="182"/>
      <c r="QNI117" s="181"/>
      <c r="QNJ117" s="182"/>
      <c r="QNK117" s="181"/>
      <c r="QNL117" s="182"/>
      <c r="QNM117" s="181"/>
      <c r="QNN117" s="182"/>
      <c r="QNO117" s="181"/>
      <c r="QNP117" s="182"/>
      <c r="QNQ117" s="181"/>
      <c r="QNR117" s="182"/>
      <c r="QNS117" s="181"/>
      <c r="QNT117" s="182"/>
      <c r="QNU117" s="181"/>
      <c r="QNV117" s="182"/>
      <c r="QNW117" s="181"/>
      <c r="QNX117" s="182"/>
      <c r="QNY117" s="181"/>
      <c r="QNZ117" s="182"/>
      <c r="QOA117" s="181"/>
      <c r="QOB117" s="182"/>
      <c r="QOC117" s="181"/>
      <c r="QOD117" s="182"/>
      <c r="QOE117" s="181"/>
      <c r="QOF117" s="182"/>
      <c r="QOG117" s="181"/>
      <c r="QOH117" s="182"/>
      <c r="QOI117" s="181"/>
      <c r="QOJ117" s="182"/>
      <c r="QOK117" s="181"/>
      <c r="QOL117" s="182"/>
      <c r="QOM117" s="181"/>
      <c r="QON117" s="182"/>
      <c r="QOO117" s="181"/>
      <c r="QOP117" s="182"/>
      <c r="QOQ117" s="181"/>
      <c r="QOR117" s="182"/>
      <c r="QOS117" s="181"/>
      <c r="QOT117" s="182"/>
      <c r="QOU117" s="181"/>
      <c r="QOV117" s="182"/>
      <c r="QOW117" s="181"/>
      <c r="QOX117" s="182"/>
      <c r="QOY117" s="181"/>
      <c r="QOZ117" s="182"/>
      <c r="QPA117" s="181"/>
      <c r="QPB117" s="182"/>
      <c r="QPC117" s="181"/>
      <c r="QPD117" s="182"/>
      <c r="QPE117" s="181"/>
      <c r="QPF117" s="182"/>
      <c r="QPG117" s="181"/>
      <c r="QPH117" s="182"/>
      <c r="QPI117" s="181"/>
      <c r="QPJ117" s="182"/>
      <c r="QPK117" s="181"/>
      <c r="QPL117" s="182"/>
      <c r="QPM117" s="181"/>
      <c r="QPN117" s="182"/>
      <c r="QPO117" s="181"/>
      <c r="QPP117" s="182"/>
      <c r="QPQ117" s="181"/>
      <c r="QPR117" s="182"/>
      <c r="QPS117" s="181"/>
      <c r="QPT117" s="182"/>
      <c r="QPU117" s="181"/>
      <c r="QPV117" s="182"/>
      <c r="QPW117" s="181"/>
      <c r="QPX117" s="182"/>
      <c r="QPY117" s="181"/>
      <c r="QPZ117" s="182"/>
      <c r="QQA117" s="181"/>
      <c r="QQB117" s="182"/>
      <c r="QQC117" s="181"/>
      <c r="QQD117" s="182"/>
      <c r="QQE117" s="181"/>
      <c r="QQF117" s="182"/>
      <c r="QQG117" s="181"/>
      <c r="QQH117" s="182"/>
      <c r="QQI117" s="181"/>
      <c r="QQJ117" s="182"/>
      <c r="QQK117" s="181"/>
      <c r="QQL117" s="182"/>
      <c r="QQM117" s="181"/>
      <c r="QQN117" s="182"/>
      <c r="QQO117" s="181"/>
      <c r="QQP117" s="182"/>
      <c r="QQQ117" s="181"/>
      <c r="QQR117" s="182"/>
      <c r="QQS117" s="181"/>
      <c r="QQT117" s="182"/>
      <c r="QQU117" s="181"/>
      <c r="QQV117" s="182"/>
      <c r="QQW117" s="181"/>
      <c r="QQX117" s="182"/>
      <c r="QQY117" s="181"/>
      <c r="QQZ117" s="182"/>
      <c r="QRA117" s="181"/>
      <c r="QRB117" s="182"/>
      <c r="QRC117" s="181"/>
      <c r="QRD117" s="182"/>
      <c r="QRE117" s="181"/>
      <c r="QRF117" s="182"/>
      <c r="QRG117" s="181"/>
      <c r="QRH117" s="182"/>
      <c r="QRI117" s="181"/>
      <c r="QRJ117" s="182"/>
      <c r="QRK117" s="181"/>
      <c r="QRL117" s="182"/>
      <c r="QRM117" s="181"/>
      <c r="QRN117" s="182"/>
      <c r="QRO117" s="181"/>
      <c r="QRP117" s="182"/>
      <c r="QRQ117" s="181"/>
      <c r="QRR117" s="182"/>
      <c r="QRS117" s="181"/>
      <c r="QRT117" s="182"/>
      <c r="QRU117" s="181"/>
      <c r="QRV117" s="182"/>
      <c r="QRW117" s="181"/>
      <c r="QRX117" s="182"/>
      <c r="QRY117" s="181"/>
      <c r="QRZ117" s="182"/>
      <c r="QSA117" s="181"/>
      <c r="QSB117" s="182"/>
      <c r="QSC117" s="181"/>
      <c r="QSD117" s="182"/>
      <c r="QSE117" s="181"/>
      <c r="QSF117" s="182"/>
      <c r="QSG117" s="181"/>
      <c r="QSH117" s="182"/>
      <c r="QSI117" s="181"/>
      <c r="QSJ117" s="182"/>
      <c r="QSK117" s="181"/>
      <c r="QSL117" s="182"/>
      <c r="QSM117" s="181"/>
      <c r="QSN117" s="182"/>
      <c r="QSO117" s="181"/>
      <c r="QSP117" s="182"/>
      <c r="QSQ117" s="181"/>
      <c r="QSR117" s="182"/>
      <c r="QSS117" s="181"/>
      <c r="QST117" s="182"/>
      <c r="QSU117" s="181"/>
      <c r="QSV117" s="182"/>
      <c r="QSW117" s="181"/>
      <c r="QSX117" s="182"/>
      <c r="QSY117" s="181"/>
      <c r="QSZ117" s="182"/>
      <c r="QTA117" s="181"/>
      <c r="QTB117" s="182"/>
      <c r="QTC117" s="181"/>
      <c r="QTD117" s="182"/>
      <c r="QTE117" s="181"/>
      <c r="QTF117" s="182"/>
      <c r="QTG117" s="181"/>
      <c r="QTH117" s="182"/>
      <c r="QTI117" s="181"/>
      <c r="QTJ117" s="182"/>
      <c r="QTK117" s="181"/>
      <c r="QTL117" s="182"/>
      <c r="QTM117" s="181"/>
      <c r="QTN117" s="182"/>
      <c r="QTO117" s="181"/>
      <c r="QTP117" s="182"/>
      <c r="QTQ117" s="181"/>
      <c r="QTR117" s="182"/>
      <c r="QTS117" s="181"/>
      <c r="QTT117" s="182"/>
      <c r="QTU117" s="181"/>
      <c r="QTV117" s="182"/>
      <c r="QTW117" s="181"/>
      <c r="QTX117" s="182"/>
      <c r="QTY117" s="181"/>
      <c r="QTZ117" s="182"/>
      <c r="QUA117" s="181"/>
      <c r="QUB117" s="182"/>
      <c r="QUC117" s="181"/>
      <c r="QUD117" s="182"/>
      <c r="QUE117" s="181"/>
      <c r="QUF117" s="182"/>
      <c r="QUG117" s="181"/>
      <c r="QUH117" s="182"/>
      <c r="QUI117" s="181"/>
      <c r="QUJ117" s="182"/>
      <c r="QUK117" s="181"/>
      <c r="QUL117" s="182"/>
      <c r="QUM117" s="181"/>
      <c r="QUN117" s="182"/>
      <c r="QUO117" s="181"/>
      <c r="QUP117" s="182"/>
      <c r="QUQ117" s="181"/>
      <c r="QUR117" s="182"/>
      <c r="QUS117" s="181"/>
      <c r="QUT117" s="182"/>
      <c r="QUU117" s="181"/>
      <c r="QUV117" s="182"/>
      <c r="QUW117" s="181"/>
      <c r="QUX117" s="182"/>
      <c r="QUY117" s="181"/>
      <c r="QUZ117" s="182"/>
      <c r="QVA117" s="181"/>
      <c r="QVB117" s="182"/>
      <c r="QVC117" s="181"/>
      <c r="QVD117" s="182"/>
      <c r="QVE117" s="181"/>
      <c r="QVF117" s="182"/>
      <c r="QVG117" s="181"/>
      <c r="QVH117" s="182"/>
      <c r="QVI117" s="181"/>
      <c r="QVJ117" s="182"/>
      <c r="QVK117" s="181"/>
      <c r="QVL117" s="182"/>
      <c r="QVM117" s="181"/>
      <c r="QVN117" s="182"/>
      <c r="QVO117" s="181"/>
      <c r="QVP117" s="182"/>
      <c r="QVQ117" s="181"/>
      <c r="QVR117" s="182"/>
      <c r="QVS117" s="181"/>
      <c r="QVT117" s="182"/>
      <c r="QVU117" s="181"/>
      <c r="QVV117" s="182"/>
      <c r="QVW117" s="181"/>
      <c r="QVX117" s="182"/>
      <c r="QVY117" s="181"/>
      <c r="QVZ117" s="182"/>
      <c r="QWA117" s="181"/>
      <c r="QWB117" s="182"/>
      <c r="QWC117" s="181"/>
      <c r="QWD117" s="182"/>
      <c r="QWE117" s="181"/>
      <c r="QWF117" s="182"/>
      <c r="QWG117" s="181"/>
      <c r="QWH117" s="182"/>
      <c r="QWI117" s="181"/>
      <c r="QWJ117" s="182"/>
      <c r="QWK117" s="181"/>
      <c r="QWL117" s="182"/>
      <c r="QWM117" s="181"/>
      <c r="QWN117" s="182"/>
      <c r="QWO117" s="181"/>
      <c r="QWP117" s="182"/>
      <c r="QWQ117" s="181"/>
      <c r="QWR117" s="182"/>
      <c r="QWS117" s="181"/>
      <c r="QWT117" s="182"/>
      <c r="QWU117" s="181"/>
      <c r="QWV117" s="182"/>
      <c r="QWW117" s="181"/>
      <c r="QWX117" s="182"/>
      <c r="QWY117" s="181"/>
      <c r="QWZ117" s="182"/>
      <c r="QXA117" s="181"/>
      <c r="QXB117" s="182"/>
      <c r="QXC117" s="181"/>
      <c r="QXD117" s="182"/>
      <c r="QXE117" s="181"/>
      <c r="QXF117" s="182"/>
      <c r="QXG117" s="181"/>
      <c r="QXH117" s="182"/>
      <c r="QXI117" s="181"/>
      <c r="QXJ117" s="182"/>
      <c r="QXK117" s="181"/>
      <c r="QXL117" s="182"/>
      <c r="QXM117" s="181"/>
      <c r="QXN117" s="182"/>
      <c r="QXO117" s="181"/>
      <c r="QXP117" s="182"/>
      <c r="QXQ117" s="181"/>
      <c r="QXR117" s="182"/>
      <c r="QXS117" s="181"/>
      <c r="QXT117" s="182"/>
      <c r="QXU117" s="181"/>
      <c r="QXV117" s="182"/>
      <c r="QXW117" s="181"/>
      <c r="QXX117" s="182"/>
      <c r="QXY117" s="181"/>
      <c r="QXZ117" s="182"/>
      <c r="QYA117" s="181"/>
      <c r="QYB117" s="182"/>
      <c r="QYC117" s="181"/>
      <c r="QYD117" s="182"/>
      <c r="QYE117" s="181"/>
      <c r="QYF117" s="182"/>
      <c r="QYG117" s="181"/>
      <c r="QYH117" s="182"/>
      <c r="QYI117" s="181"/>
      <c r="QYJ117" s="182"/>
      <c r="QYK117" s="181"/>
      <c r="QYL117" s="182"/>
      <c r="QYM117" s="181"/>
      <c r="QYN117" s="182"/>
      <c r="QYO117" s="181"/>
      <c r="QYP117" s="182"/>
      <c r="QYQ117" s="181"/>
      <c r="QYR117" s="182"/>
      <c r="QYS117" s="181"/>
      <c r="QYT117" s="182"/>
      <c r="QYU117" s="181"/>
      <c r="QYV117" s="182"/>
      <c r="QYW117" s="181"/>
      <c r="QYX117" s="182"/>
      <c r="QYY117" s="181"/>
      <c r="QYZ117" s="182"/>
      <c r="QZA117" s="181"/>
      <c r="QZB117" s="182"/>
      <c r="QZC117" s="181"/>
      <c r="QZD117" s="182"/>
      <c r="QZE117" s="181"/>
      <c r="QZF117" s="182"/>
      <c r="QZG117" s="181"/>
      <c r="QZH117" s="182"/>
      <c r="QZI117" s="181"/>
      <c r="QZJ117" s="182"/>
      <c r="QZK117" s="181"/>
      <c r="QZL117" s="182"/>
      <c r="QZM117" s="181"/>
      <c r="QZN117" s="182"/>
      <c r="QZO117" s="181"/>
      <c r="QZP117" s="182"/>
      <c r="QZQ117" s="181"/>
      <c r="QZR117" s="182"/>
      <c r="QZS117" s="181"/>
      <c r="QZT117" s="182"/>
      <c r="QZU117" s="181"/>
      <c r="QZV117" s="182"/>
      <c r="QZW117" s="181"/>
      <c r="QZX117" s="182"/>
      <c r="QZY117" s="181"/>
      <c r="QZZ117" s="182"/>
      <c r="RAA117" s="181"/>
      <c r="RAB117" s="182"/>
      <c r="RAC117" s="181"/>
      <c r="RAD117" s="182"/>
      <c r="RAE117" s="181"/>
      <c r="RAF117" s="182"/>
      <c r="RAG117" s="181"/>
      <c r="RAH117" s="182"/>
      <c r="RAI117" s="181"/>
      <c r="RAJ117" s="182"/>
      <c r="RAK117" s="181"/>
      <c r="RAL117" s="182"/>
      <c r="RAM117" s="181"/>
      <c r="RAN117" s="182"/>
      <c r="RAO117" s="181"/>
      <c r="RAP117" s="182"/>
      <c r="RAQ117" s="181"/>
      <c r="RAR117" s="182"/>
      <c r="RAS117" s="181"/>
      <c r="RAT117" s="182"/>
      <c r="RAU117" s="181"/>
      <c r="RAV117" s="182"/>
      <c r="RAW117" s="181"/>
      <c r="RAX117" s="182"/>
      <c r="RAY117" s="181"/>
      <c r="RAZ117" s="182"/>
      <c r="RBA117" s="181"/>
      <c r="RBB117" s="182"/>
      <c r="RBC117" s="181"/>
      <c r="RBD117" s="182"/>
      <c r="RBE117" s="181"/>
      <c r="RBF117" s="182"/>
      <c r="RBG117" s="181"/>
      <c r="RBH117" s="182"/>
      <c r="RBI117" s="181"/>
      <c r="RBJ117" s="182"/>
      <c r="RBK117" s="181"/>
      <c r="RBL117" s="182"/>
      <c r="RBM117" s="181"/>
      <c r="RBN117" s="182"/>
      <c r="RBO117" s="181"/>
      <c r="RBP117" s="182"/>
      <c r="RBQ117" s="181"/>
      <c r="RBR117" s="182"/>
      <c r="RBS117" s="181"/>
      <c r="RBT117" s="182"/>
      <c r="RBU117" s="181"/>
      <c r="RBV117" s="182"/>
      <c r="RBW117" s="181"/>
      <c r="RBX117" s="182"/>
      <c r="RBY117" s="181"/>
      <c r="RBZ117" s="182"/>
      <c r="RCA117" s="181"/>
      <c r="RCB117" s="182"/>
      <c r="RCC117" s="181"/>
      <c r="RCD117" s="182"/>
      <c r="RCE117" s="181"/>
      <c r="RCF117" s="182"/>
      <c r="RCG117" s="181"/>
      <c r="RCH117" s="182"/>
      <c r="RCI117" s="181"/>
      <c r="RCJ117" s="182"/>
      <c r="RCK117" s="181"/>
      <c r="RCL117" s="182"/>
      <c r="RCM117" s="181"/>
      <c r="RCN117" s="182"/>
      <c r="RCO117" s="181"/>
      <c r="RCP117" s="182"/>
      <c r="RCQ117" s="181"/>
      <c r="RCR117" s="182"/>
      <c r="RCS117" s="181"/>
      <c r="RCT117" s="182"/>
      <c r="RCU117" s="181"/>
      <c r="RCV117" s="182"/>
      <c r="RCW117" s="181"/>
      <c r="RCX117" s="182"/>
      <c r="RCY117" s="181"/>
      <c r="RCZ117" s="182"/>
      <c r="RDA117" s="181"/>
      <c r="RDB117" s="182"/>
      <c r="RDC117" s="181"/>
      <c r="RDD117" s="182"/>
      <c r="RDE117" s="181"/>
      <c r="RDF117" s="182"/>
      <c r="RDG117" s="181"/>
      <c r="RDH117" s="182"/>
      <c r="RDI117" s="181"/>
      <c r="RDJ117" s="182"/>
      <c r="RDK117" s="181"/>
      <c r="RDL117" s="182"/>
      <c r="RDM117" s="181"/>
      <c r="RDN117" s="182"/>
      <c r="RDO117" s="181"/>
      <c r="RDP117" s="182"/>
      <c r="RDQ117" s="181"/>
      <c r="RDR117" s="182"/>
      <c r="RDS117" s="181"/>
      <c r="RDT117" s="182"/>
      <c r="RDU117" s="181"/>
      <c r="RDV117" s="182"/>
      <c r="RDW117" s="181"/>
      <c r="RDX117" s="182"/>
      <c r="RDY117" s="181"/>
      <c r="RDZ117" s="182"/>
      <c r="REA117" s="181"/>
      <c r="REB117" s="182"/>
      <c r="REC117" s="181"/>
      <c r="RED117" s="182"/>
      <c r="REE117" s="181"/>
      <c r="REF117" s="182"/>
      <c r="REG117" s="181"/>
      <c r="REH117" s="182"/>
      <c r="REI117" s="181"/>
      <c r="REJ117" s="182"/>
      <c r="REK117" s="181"/>
      <c r="REL117" s="182"/>
      <c r="REM117" s="181"/>
      <c r="REN117" s="182"/>
      <c r="REO117" s="181"/>
      <c r="REP117" s="182"/>
      <c r="REQ117" s="181"/>
      <c r="RER117" s="182"/>
      <c r="RES117" s="181"/>
      <c r="RET117" s="182"/>
      <c r="REU117" s="181"/>
      <c r="REV117" s="182"/>
      <c r="REW117" s="181"/>
      <c r="REX117" s="182"/>
      <c r="REY117" s="181"/>
      <c r="REZ117" s="182"/>
      <c r="RFA117" s="181"/>
      <c r="RFB117" s="182"/>
      <c r="RFC117" s="181"/>
      <c r="RFD117" s="182"/>
      <c r="RFE117" s="181"/>
      <c r="RFF117" s="182"/>
      <c r="RFG117" s="181"/>
      <c r="RFH117" s="182"/>
      <c r="RFI117" s="181"/>
      <c r="RFJ117" s="182"/>
      <c r="RFK117" s="181"/>
      <c r="RFL117" s="182"/>
      <c r="RFM117" s="181"/>
      <c r="RFN117" s="182"/>
      <c r="RFO117" s="181"/>
      <c r="RFP117" s="182"/>
      <c r="RFQ117" s="181"/>
      <c r="RFR117" s="182"/>
      <c r="RFS117" s="181"/>
      <c r="RFT117" s="182"/>
      <c r="RFU117" s="181"/>
      <c r="RFV117" s="182"/>
      <c r="RFW117" s="181"/>
      <c r="RFX117" s="182"/>
      <c r="RFY117" s="181"/>
      <c r="RFZ117" s="182"/>
      <c r="RGA117" s="181"/>
      <c r="RGB117" s="182"/>
      <c r="RGC117" s="181"/>
      <c r="RGD117" s="182"/>
      <c r="RGE117" s="181"/>
      <c r="RGF117" s="182"/>
      <c r="RGG117" s="181"/>
      <c r="RGH117" s="182"/>
      <c r="RGI117" s="181"/>
      <c r="RGJ117" s="182"/>
      <c r="RGK117" s="181"/>
      <c r="RGL117" s="182"/>
      <c r="RGM117" s="181"/>
      <c r="RGN117" s="182"/>
      <c r="RGO117" s="181"/>
      <c r="RGP117" s="182"/>
      <c r="RGQ117" s="181"/>
      <c r="RGR117" s="182"/>
      <c r="RGS117" s="181"/>
      <c r="RGT117" s="182"/>
      <c r="RGU117" s="181"/>
      <c r="RGV117" s="182"/>
      <c r="RGW117" s="181"/>
      <c r="RGX117" s="182"/>
      <c r="RGY117" s="181"/>
      <c r="RGZ117" s="182"/>
      <c r="RHA117" s="181"/>
      <c r="RHB117" s="182"/>
      <c r="RHC117" s="181"/>
      <c r="RHD117" s="182"/>
      <c r="RHE117" s="181"/>
      <c r="RHF117" s="182"/>
      <c r="RHG117" s="181"/>
      <c r="RHH117" s="182"/>
      <c r="RHI117" s="181"/>
      <c r="RHJ117" s="182"/>
      <c r="RHK117" s="181"/>
      <c r="RHL117" s="182"/>
      <c r="RHM117" s="181"/>
      <c r="RHN117" s="182"/>
      <c r="RHO117" s="181"/>
      <c r="RHP117" s="182"/>
      <c r="RHQ117" s="181"/>
      <c r="RHR117" s="182"/>
      <c r="RHS117" s="181"/>
      <c r="RHT117" s="182"/>
      <c r="RHU117" s="181"/>
      <c r="RHV117" s="182"/>
      <c r="RHW117" s="181"/>
      <c r="RHX117" s="182"/>
      <c r="RHY117" s="181"/>
      <c r="RHZ117" s="182"/>
      <c r="RIA117" s="181"/>
      <c r="RIB117" s="182"/>
      <c r="RIC117" s="181"/>
      <c r="RID117" s="182"/>
      <c r="RIE117" s="181"/>
      <c r="RIF117" s="182"/>
      <c r="RIG117" s="181"/>
      <c r="RIH117" s="182"/>
      <c r="RII117" s="181"/>
      <c r="RIJ117" s="182"/>
      <c r="RIK117" s="181"/>
      <c r="RIL117" s="182"/>
      <c r="RIM117" s="181"/>
      <c r="RIN117" s="182"/>
      <c r="RIO117" s="181"/>
      <c r="RIP117" s="182"/>
      <c r="RIQ117" s="181"/>
      <c r="RIR117" s="182"/>
      <c r="RIS117" s="181"/>
      <c r="RIT117" s="182"/>
      <c r="RIU117" s="181"/>
      <c r="RIV117" s="182"/>
      <c r="RIW117" s="181"/>
      <c r="RIX117" s="182"/>
      <c r="RIY117" s="181"/>
      <c r="RIZ117" s="182"/>
      <c r="RJA117" s="181"/>
      <c r="RJB117" s="182"/>
      <c r="RJC117" s="181"/>
      <c r="RJD117" s="182"/>
      <c r="RJE117" s="181"/>
      <c r="RJF117" s="182"/>
      <c r="RJG117" s="181"/>
      <c r="RJH117" s="182"/>
      <c r="RJI117" s="181"/>
      <c r="RJJ117" s="182"/>
      <c r="RJK117" s="181"/>
      <c r="RJL117" s="182"/>
      <c r="RJM117" s="181"/>
      <c r="RJN117" s="182"/>
      <c r="RJO117" s="181"/>
      <c r="RJP117" s="182"/>
      <c r="RJQ117" s="181"/>
      <c r="RJR117" s="182"/>
      <c r="RJS117" s="181"/>
      <c r="RJT117" s="182"/>
      <c r="RJU117" s="181"/>
      <c r="RJV117" s="182"/>
      <c r="RJW117" s="181"/>
      <c r="RJX117" s="182"/>
      <c r="RJY117" s="181"/>
      <c r="RJZ117" s="182"/>
      <c r="RKA117" s="181"/>
      <c r="RKB117" s="182"/>
      <c r="RKC117" s="181"/>
      <c r="RKD117" s="182"/>
      <c r="RKE117" s="181"/>
      <c r="RKF117" s="182"/>
      <c r="RKG117" s="181"/>
      <c r="RKH117" s="182"/>
      <c r="RKI117" s="181"/>
      <c r="RKJ117" s="182"/>
      <c r="RKK117" s="181"/>
      <c r="RKL117" s="182"/>
      <c r="RKM117" s="181"/>
      <c r="RKN117" s="182"/>
      <c r="RKO117" s="181"/>
      <c r="RKP117" s="182"/>
      <c r="RKQ117" s="181"/>
      <c r="RKR117" s="182"/>
      <c r="RKS117" s="181"/>
      <c r="RKT117" s="182"/>
      <c r="RKU117" s="181"/>
      <c r="RKV117" s="182"/>
      <c r="RKW117" s="181"/>
      <c r="RKX117" s="182"/>
      <c r="RKY117" s="181"/>
      <c r="RKZ117" s="182"/>
      <c r="RLA117" s="181"/>
      <c r="RLB117" s="182"/>
      <c r="RLC117" s="181"/>
      <c r="RLD117" s="182"/>
      <c r="RLE117" s="181"/>
      <c r="RLF117" s="182"/>
      <c r="RLG117" s="181"/>
      <c r="RLH117" s="182"/>
      <c r="RLI117" s="181"/>
      <c r="RLJ117" s="182"/>
      <c r="RLK117" s="181"/>
      <c r="RLL117" s="182"/>
      <c r="RLM117" s="181"/>
      <c r="RLN117" s="182"/>
      <c r="RLO117" s="181"/>
      <c r="RLP117" s="182"/>
      <c r="RLQ117" s="181"/>
      <c r="RLR117" s="182"/>
      <c r="RLS117" s="181"/>
      <c r="RLT117" s="182"/>
      <c r="RLU117" s="181"/>
      <c r="RLV117" s="182"/>
      <c r="RLW117" s="181"/>
      <c r="RLX117" s="182"/>
      <c r="RLY117" s="181"/>
      <c r="RLZ117" s="182"/>
      <c r="RMA117" s="181"/>
      <c r="RMB117" s="182"/>
      <c r="RMC117" s="181"/>
      <c r="RMD117" s="182"/>
      <c r="RME117" s="181"/>
      <c r="RMF117" s="182"/>
      <c r="RMG117" s="181"/>
      <c r="RMH117" s="182"/>
      <c r="RMI117" s="181"/>
      <c r="RMJ117" s="182"/>
      <c r="RMK117" s="181"/>
      <c r="RML117" s="182"/>
      <c r="RMM117" s="181"/>
      <c r="RMN117" s="182"/>
      <c r="RMO117" s="181"/>
      <c r="RMP117" s="182"/>
      <c r="RMQ117" s="181"/>
      <c r="RMR117" s="182"/>
      <c r="RMS117" s="181"/>
      <c r="RMT117" s="182"/>
      <c r="RMU117" s="181"/>
      <c r="RMV117" s="182"/>
      <c r="RMW117" s="181"/>
      <c r="RMX117" s="182"/>
      <c r="RMY117" s="181"/>
      <c r="RMZ117" s="182"/>
      <c r="RNA117" s="181"/>
      <c r="RNB117" s="182"/>
      <c r="RNC117" s="181"/>
      <c r="RND117" s="182"/>
      <c r="RNE117" s="181"/>
      <c r="RNF117" s="182"/>
      <c r="RNG117" s="181"/>
      <c r="RNH117" s="182"/>
      <c r="RNI117" s="181"/>
      <c r="RNJ117" s="182"/>
      <c r="RNK117" s="181"/>
      <c r="RNL117" s="182"/>
      <c r="RNM117" s="181"/>
      <c r="RNN117" s="182"/>
      <c r="RNO117" s="181"/>
      <c r="RNP117" s="182"/>
      <c r="RNQ117" s="181"/>
      <c r="RNR117" s="182"/>
      <c r="RNS117" s="181"/>
      <c r="RNT117" s="182"/>
      <c r="RNU117" s="181"/>
      <c r="RNV117" s="182"/>
      <c r="RNW117" s="181"/>
      <c r="RNX117" s="182"/>
      <c r="RNY117" s="181"/>
      <c r="RNZ117" s="182"/>
      <c r="ROA117" s="181"/>
      <c r="ROB117" s="182"/>
      <c r="ROC117" s="181"/>
      <c r="ROD117" s="182"/>
      <c r="ROE117" s="181"/>
      <c r="ROF117" s="182"/>
      <c r="ROG117" s="181"/>
      <c r="ROH117" s="182"/>
      <c r="ROI117" s="181"/>
      <c r="ROJ117" s="182"/>
      <c r="ROK117" s="181"/>
      <c r="ROL117" s="182"/>
      <c r="ROM117" s="181"/>
      <c r="RON117" s="182"/>
      <c r="ROO117" s="181"/>
      <c r="ROP117" s="182"/>
      <c r="ROQ117" s="181"/>
      <c r="ROR117" s="182"/>
      <c r="ROS117" s="181"/>
      <c r="ROT117" s="182"/>
      <c r="ROU117" s="181"/>
      <c r="ROV117" s="182"/>
      <c r="ROW117" s="181"/>
      <c r="ROX117" s="182"/>
      <c r="ROY117" s="181"/>
      <c r="ROZ117" s="182"/>
      <c r="RPA117" s="181"/>
      <c r="RPB117" s="182"/>
      <c r="RPC117" s="181"/>
      <c r="RPD117" s="182"/>
      <c r="RPE117" s="181"/>
      <c r="RPF117" s="182"/>
      <c r="RPG117" s="181"/>
      <c r="RPH117" s="182"/>
      <c r="RPI117" s="181"/>
      <c r="RPJ117" s="182"/>
      <c r="RPK117" s="181"/>
      <c r="RPL117" s="182"/>
      <c r="RPM117" s="181"/>
      <c r="RPN117" s="182"/>
      <c r="RPO117" s="181"/>
      <c r="RPP117" s="182"/>
      <c r="RPQ117" s="181"/>
      <c r="RPR117" s="182"/>
      <c r="RPS117" s="181"/>
      <c r="RPT117" s="182"/>
      <c r="RPU117" s="181"/>
      <c r="RPV117" s="182"/>
      <c r="RPW117" s="181"/>
      <c r="RPX117" s="182"/>
      <c r="RPY117" s="181"/>
      <c r="RPZ117" s="182"/>
      <c r="RQA117" s="181"/>
      <c r="RQB117" s="182"/>
      <c r="RQC117" s="181"/>
      <c r="RQD117" s="182"/>
      <c r="RQE117" s="181"/>
      <c r="RQF117" s="182"/>
      <c r="RQG117" s="181"/>
      <c r="RQH117" s="182"/>
      <c r="RQI117" s="181"/>
      <c r="RQJ117" s="182"/>
      <c r="RQK117" s="181"/>
      <c r="RQL117" s="182"/>
      <c r="RQM117" s="181"/>
      <c r="RQN117" s="182"/>
      <c r="RQO117" s="181"/>
      <c r="RQP117" s="182"/>
      <c r="RQQ117" s="181"/>
      <c r="RQR117" s="182"/>
      <c r="RQS117" s="181"/>
      <c r="RQT117" s="182"/>
      <c r="RQU117" s="181"/>
      <c r="RQV117" s="182"/>
      <c r="RQW117" s="181"/>
      <c r="RQX117" s="182"/>
      <c r="RQY117" s="181"/>
      <c r="RQZ117" s="182"/>
      <c r="RRA117" s="181"/>
      <c r="RRB117" s="182"/>
      <c r="RRC117" s="181"/>
      <c r="RRD117" s="182"/>
      <c r="RRE117" s="181"/>
      <c r="RRF117" s="182"/>
      <c r="RRG117" s="181"/>
      <c r="RRH117" s="182"/>
      <c r="RRI117" s="181"/>
      <c r="RRJ117" s="182"/>
      <c r="RRK117" s="181"/>
      <c r="RRL117" s="182"/>
      <c r="RRM117" s="181"/>
      <c r="RRN117" s="182"/>
      <c r="RRO117" s="181"/>
      <c r="RRP117" s="182"/>
      <c r="RRQ117" s="181"/>
      <c r="RRR117" s="182"/>
      <c r="RRS117" s="181"/>
      <c r="RRT117" s="182"/>
      <c r="RRU117" s="181"/>
      <c r="RRV117" s="182"/>
      <c r="RRW117" s="181"/>
      <c r="RRX117" s="182"/>
      <c r="RRY117" s="181"/>
      <c r="RRZ117" s="182"/>
      <c r="RSA117" s="181"/>
      <c r="RSB117" s="182"/>
      <c r="RSC117" s="181"/>
      <c r="RSD117" s="182"/>
      <c r="RSE117" s="181"/>
      <c r="RSF117" s="182"/>
      <c r="RSG117" s="181"/>
      <c r="RSH117" s="182"/>
      <c r="RSI117" s="181"/>
      <c r="RSJ117" s="182"/>
      <c r="RSK117" s="181"/>
      <c r="RSL117" s="182"/>
      <c r="RSM117" s="181"/>
      <c r="RSN117" s="182"/>
      <c r="RSO117" s="181"/>
      <c r="RSP117" s="182"/>
      <c r="RSQ117" s="181"/>
      <c r="RSR117" s="182"/>
      <c r="RSS117" s="181"/>
      <c r="RST117" s="182"/>
      <c r="RSU117" s="181"/>
      <c r="RSV117" s="182"/>
      <c r="RSW117" s="181"/>
      <c r="RSX117" s="182"/>
      <c r="RSY117" s="181"/>
      <c r="RSZ117" s="182"/>
      <c r="RTA117" s="181"/>
      <c r="RTB117" s="182"/>
      <c r="RTC117" s="181"/>
      <c r="RTD117" s="182"/>
      <c r="RTE117" s="181"/>
      <c r="RTF117" s="182"/>
      <c r="RTG117" s="181"/>
      <c r="RTH117" s="182"/>
      <c r="RTI117" s="181"/>
      <c r="RTJ117" s="182"/>
      <c r="RTK117" s="181"/>
      <c r="RTL117" s="182"/>
      <c r="RTM117" s="181"/>
      <c r="RTN117" s="182"/>
      <c r="RTO117" s="181"/>
      <c r="RTP117" s="182"/>
      <c r="RTQ117" s="181"/>
      <c r="RTR117" s="182"/>
      <c r="RTS117" s="181"/>
      <c r="RTT117" s="182"/>
      <c r="RTU117" s="181"/>
      <c r="RTV117" s="182"/>
      <c r="RTW117" s="181"/>
      <c r="RTX117" s="182"/>
      <c r="RTY117" s="181"/>
      <c r="RTZ117" s="182"/>
      <c r="RUA117" s="181"/>
      <c r="RUB117" s="182"/>
      <c r="RUC117" s="181"/>
      <c r="RUD117" s="182"/>
      <c r="RUE117" s="181"/>
      <c r="RUF117" s="182"/>
      <c r="RUG117" s="181"/>
      <c r="RUH117" s="182"/>
      <c r="RUI117" s="181"/>
      <c r="RUJ117" s="182"/>
      <c r="RUK117" s="181"/>
      <c r="RUL117" s="182"/>
      <c r="RUM117" s="181"/>
      <c r="RUN117" s="182"/>
      <c r="RUO117" s="181"/>
      <c r="RUP117" s="182"/>
      <c r="RUQ117" s="181"/>
      <c r="RUR117" s="182"/>
      <c r="RUS117" s="181"/>
      <c r="RUT117" s="182"/>
      <c r="RUU117" s="181"/>
      <c r="RUV117" s="182"/>
      <c r="RUW117" s="181"/>
      <c r="RUX117" s="182"/>
      <c r="RUY117" s="181"/>
      <c r="RUZ117" s="182"/>
      <c r="RVA117" s="181"/>
      <c r="RVB117" s="182"/>
      <c r="RVC117" s="181"/>
      <c r="RVD117" s="182"/>
      <c r="RVE117" s="181"/>
      <c r="RVF117" s="182"/>
      <c r="RVG117" s="181"/>
      <c r="RVH117" s="182"/>
      <c r="RVI117" s="181"/>
      <c r="RVJ117" s="182"/>
      <c r="RVK117" s="181"/>
      <c r="RVL117" s="182"/>
      <c r="RVM117" s="181"/>
      <c r="RVN117" s="182"/>
      <c r="RVO117" s="181"/>
      <c r="RVP117" s="182"/>
      <c r="RVQ117" s="181"/>
      <c r="RVR117" s="182"/>
      <c r="RVS117" s="181"/>
      <c r="RVT117" s="182"/>
      <c r="RVU117" s="181"/>
      <c r="RVV117" s="182"/>
      <c r="RVW117" s="181"/>
      <c r="RVX117" s="182"/>
      <c r="RVY117" s="181"/>
      <c r="RVZ117" s="182"/>
      <c r="RWA117" s="181"/>
      <c r="RWB117" s="182"/>
      <c r="RWC117" s="181"/>
      <c r="RWD117" s="182"/>
      <c r="RWE117" s="181"/>
      <c r="RWF117" s="182"/>
      <c r="RWG117" s="181"/>
      <c r="RWH117" s="182"/>
      <c r="RWI117" s="181"/>
      <c r="RWJ117" s="182"/>
      <c r="RWK117" s="181"/>
      <c r="RWL117" s="182"/>
      <c r="RWM117" s="181"/>
      <c r="RWN117" s="182"/>
      <c r="RWO117" s="181"/>
      <c r="RWP117" s="182"/>
      <c r="RWQ117" s="181"/>
      <c r="RWR117" s="182"/>
      <c r="RWS117" s="181"/>
      <c r="RWT117" s="182"/>
      <c r="RWU117" s="181"/>
      <c r="RWV117" s="182"/>
      <c r="RWW117" s="181"/>
      <c r="RWX117" s="182"/>
      <c r="RWY117" s="181"/>
      <c r="RWZ117" s="182"/>
      <c r="RXA117" s="181"/>
      <c r="RXB117" s="182"/>
      <c r="RXC117" s="181"/>
      <c r="RXD117" s="182"/>
      <c r="RXE117" s="181"/>
      <c r="RXF117" s="182"/>
      <c r="RXG117" s="181"/>
      <c r="RXH117" s="182"/>
      <c r="RXI117" s="181"/>
      <c r="RXJ117" s="182"/>
      <c r="RXK117" s="181"/>
      <c r="RXL117" s="182"/>
      <c r="RXM117" s="181"/>
      <c r="RXN117" s="182"/>
      <c r="RXO117" s="181"/>
      <c r="RXP117" s="182"/>
      <c r="RXQ117" s="181"/>
      <c r="RXR117" s="182"/>
      <c r="RXS117" s="181"/>
      <c r="RXT117" s="182"/>
      <c r="RXU117" s="181"/>
      <c r="RXV117" s="182"/>
      <c r="RXW117" s="181"/>
      <c r="RXX117" s="182"/>
      <c r="RXY117" s="181"/>
      <c r="RXZ117" s="182"/>
      <c r="RYA117" s="181"/>
      <c r="RYB117" s="182"/>
      <c r="RYC117" s="181"/>
      <c r="RYD117" s="182"/>
      <c r="RYE117" s="181"/>
      <c r="RYF117" s="182"/>
      <c r="RYG117" s="181"/>
      <c r="RYH117" s="182"/>
      <c r="RYI117" s="181"/>
      <c r="RYJ117" s="182"/>
      <c r="RYK117" s="181"/>
      <c r="RYL117" s="182"/>
      <c r="RYM117" s="181"/>
      <c r="RYN117" s="182"/>
      <c r="RYO117" s="181"/>
      <c r="RYP117" s="182"/>
      <c r="RYQ117" s="181"/>
      <c r="RYR117" s="182"/>
      <c r="RYS117" s="181"/>
      <c r="RYT117" s="182"/>
      <c r="RYU117" s="181"/>
      <c r="RYV117" s="182"/>
      <c r="RYW117" s="181"/>
      <c r="RYX117" s="182"/>
      <c r="RYY117" s="181"/>
      <c r="RYZ117" s="182"/>
      <c r="RZA117" s="181"/>
      <c r="RZB117" s="182"/>
      <c r="RZC117" s="181"/>
      <c r="RZD117" s="182"/>
      <c r="RZE117" s="181"/>
      <c r="RZF117" s="182"/>
      <c r="RZG117" s="181"/>
      <c r="RZH117" s="182"/>
      <c r="RZI117" s="181"/>
      <c r="RZJ117" s="182"/>
      <c r="RZK117" s="181"/>
      <c r="RZL117" s="182"/>
      <c r="RZM117" s="181"/>
      <c r="RZN117" s="182"/>
      <c r="RZO117" s="181"/>
      <c r="RZP117" s="182"/>
      <c r="RZQ117" s="181"/>
      <c r="RZR117" s="182"/>
      <c r="RZS117" s="181"/>
      <c r="RZT117" s="182"/>
      <c r="RZU117" s="181"/>
      <c r="RZV117" s="182"/>
      <c r="RZW117" s="181"/>
      <c r="RZX117" s="182"/>
      <c r="RZY117" s="181"/>
      <c r="RZZ117" s="182"/>
      <c r="SAA117" s="181"/>
      <c r="SAB117" s="182"/>
      <c r="SAC117" s="181"/>
      <c r="SAD117" s="182"/>
      <c r="SAE117" s="181"/>
      <c r="SAF117" s="182"/>
      <c r="SAG117" s="181"/>
      <c r="SAH117" s="182"/>
      <c r="SAI117" s="181"/>
      <c r="SAJ117" s="182"/>
      <c r="SAK117" s="181"/>
      <c r="SAL117" s="182"/>
      <c r="SAM117" s="181"/>
      <c r="SAN117" s="182"/>
      <c r="SAO117" s="181"/>
      <c r="SAP117" s="182"/>
      <c r="SAQ117" s="181"/>
      <c r="SAR117" s="182"/>
      <c r="SAS117" s="181"/>
      <c r="SAT117" s="182"/>
      <c r="SAU117" s="181"/>
      <c r="SAV117" s="182"/>
      <c r="SAW117" s="181"/>
      <c r="SAX117" s="182"/>
      <c r="SAY117" s="181"/>
      <c r="SAZ117" s="182"/>
      <c r="SBA117" s="181"/>
      <c r="SBB117" s="182"/>
      <c r="SBC117" s="181"/>
      <c r="SBD117" s="182"/>
      <c r="SBE117" s="181"/>
      <c r="SBF117" s="182"/>
      <c r="SBG117" s="181"/>
      <c r="SBH117" s="182"/>
      <c r="SBI117" s="181"/>
      <c r="SBJ117" s="182"/>
      <c r="SBK117" s="181"/>
      <c r="SBL117" s="182"/>
      <c r="SBM117" s="181"/>
      <c r="SBN117" s="182"/>
      <c r="SBO117" s="181"/>
      <c r="SBP117" s="182"/>
      <c r="SBQ117" s="181"/>
      <c r="SBR117" s="182"/>
      <c r="SBS117" s="181"/>
      <c r="SBT117" s="182"/>
      <c r="SBU117" s="181"/>
      <c r="SBV117" s="182"/>
      <c r="SBW117" s="181"/>
      <c r="SBX117" s="182"/>
      <c r="SBY117" s="181"/>
      <c r="SBZ117" s="182"/>
      <c r="SCA117" s="181"/>
      <c r="SCB117" s="182"/>
      <c r="SCC117" s="181"/>
      <c r="SCD117" s="182"/>
      <c r="SCE117" s="181"/>
      <c r="SCF117" s="182"/>
      <c r="SCG117" s="181"/>
      <c r="SCH117" s="182"/>
      <c r="SCI117" s="181"/>
      <c r="SCJ117" s="182"/>
      <c r="SCK117" s="181"/>
      <c r="SCL117" s="182"/>
      <c r="SCM117" s="181"/>
      <c r="SCN117" s="182"/>
      <c r="SCO117" s="181"/>
      <c r="SCP117" s="182"/>
      <c r="SCQ117" s="181"/>
      <c r="SCR117" s="182"/>
      <c r="SCS117" s="181"/>
      <c r="SCT117" s="182"/>
      <c r="SCU117" s="181"/>
      <c r="SCV117" s="182"/>
      <c r="SCW117" s="181"/>
      <c r="SCX117" s="182"/>
      <c r="SCY117" s="181"/>
      <c r="SCZ117" s="182"/>
      <c r="SDA117" s="181"/>
      <c r="SDB117" s="182"/>
      <c r="SDC117" s="181"/>
      <c r="SDD117" s="182"/>
      <c r="SDE117" s="181"/>
      <c r="SDF117" s="182"/>
      <c r="SDG117" s="181"/>
      <c r="SDH117" s="182"/>
      <c r="SDI117" s="181"/>
      <c r="SDJ117" s="182"/>
      <c r="SDK117" s="181"/>
      <c r="SDL117" s="182"/>
      <c r="SDM117" s="181"/>
      <c r="SDN117" s="182"/>
      <c r="SDO117" s="181"/>
      <c r="SDP117" s="182"/>
      <c r="SDQ117" s="181"/>
      <c r="SDR117" s="182"/>
      <c r="SDS117" s="181"/>
      <c r="SDT117" s="182"/>
      <c r="SDU117" s="181"/>
      <c r="SDV117" s="182"/>
      <c r="SDW117" s="181"/>
      <c r="SDX117" s="182"/>
      <c r="SDY117" s="181"/>
      <c r="SDZ117" s="182"/>
      <c r="SEA117" s="181"/>
      <c r="SEB117" s="182"/>
      <c r="SEC117" s="181"/>
      <c r="SED117" s="182"/>
      <c r="SEE117" s="181"/>
      <c r="SEF117" s="182"/>
      <c r="SEG117" s="181"/>
      <c r="SEH117" s="182"/>
      <c r="SEI117" s="181"/>
      <c r="SEJ117" s="182"/>
      <c r="SEK117" s="181"/>
      <c r="SEL117" s="182"/>
      <c r="SEM117" s="181"/>
      <c r="SEN117" s="182"/>
      <c r="SEO117" s="181"/>
      <c r="SEP117" s="182"/>
      <c r="SEQ117" s="181"/>
      <c r="SER117" s="182"/>
      <c r="SES117" s="181"/>
      <c r="SET117" s="182"/>
      <c r="SEU117" s="181"/>
      <c r="SEV117" s="182"/>
      <c r="SEW117" s="181"/>
      <c r="SEX117" s="182"/>
      <c r="SEY117" s="181"/>
      <c r="SEZ117" s="182"/>
      <c r="SFA117" s="181"/>
      <c r="SFB117" s="182"/>
      <c r="SFC117" s="181"/>
      <c r="SFD117" s="182"/>
      <c r="SFE117" s="181"/>
      <c r="SFF117" s="182"/>
      <c r="SFG117" s="181"/>
      <c r="SFH117" s="182"/>
      <c r="SFI117" s="181"/>
      <c r="SFJ117" s="182"/>
      <c r="SFK117" s="181"/>
      <c r="SFL117" s="182"/>
      <c r="SFM117" s="181"/>
      <c r="SFN117" s="182"/>
      <c r="SFO117" s="181"/>
      <c r="SFP117" s="182"/>
      <c r="SFQ117" s="181"/>
      <c r="SFR117" s="182"/>
      <c r="SFS117" s="181"/>
      <c r="SFT117" s="182"/>
      <c r="SFU117" s="181"/>
      <c r="SFV117" s="182"/>
      <c r="SFW117" s="181"/>
      <c r="SFX117" s="182"/>
      <c r="SFY117" s="181"/>
      <c r="SFZ117" s="182"/>
      <c r="SGA117" s="181"/>
      <c r="SGB117" s="182"/>
      <c r="SGC117" s="181"/>
      <c r="SGD117" s="182"/>
      <c r="SGE117" s="181"/>
      <c r="SGF117" s="182"/>
      <c r="SGG117" s="181"/>
      <c r="SGH117" s="182"/>
      <c r="SGI117" s="181"/>
      <c r="SGJ117" s="182"/>
      <c r="SGK117" s="181"/>
      <c r="SGL117" s="182"/>
      <c r="SGM117" s="181"/>
      <c r="SGN117" s="182"/>
      <c r="SGO117" s="181"/>
      <c r="SGP117" s="182"/>
      <c r="SGQ117" s="181"/>
      <c r="SGR117" s="182"/>
      <c r="SGS117" s="181"/>
      <c r="SGT117" s="182"/>
      <c r="SGU117" s="181"/>
      <c r="SGV117" s="182"/>
      <c r="SGW117" s="181"/>
      <c r="SGX117" s="182"/>
      <c r="SGY117" s="181"/>
      <c r="SGZ117" s="182"/>
      <c r="SHA117" s="181"/>
      <c r="SHB117" s="182"/>
      <c r="SHC117" s="181"/>
      <c r="SHD117" s="182"/>
      <c r="SHE117" s="181"/>
      <c r="SHF117" s="182"/>
      <c r="SHG117" s="181"/>
      <c r="SHH117" s="182"/>
      <c r="SHI117" s="181"/>
      <c r="SHJ117" s="182"/>
      <c r="SHK117" s="181"/>
      <c r="SHL117" s="182"/>
      <c r="SHM117" s="181"/>
      <c r="SHN117" s="182"/>
      <c r="SHO117" s="181"/>
      <c r="SHP117" s="182"/>
      <c r="SHQ117" s="181"/>
      <c r="SHR117" s="182"/>
      <c r="SHS117" s="181"/>
      <c r="SHT117" s="182"/>
      <c r="SHU117" s="181"/>
      <c r="SHV117" s="182"/>
      <c r="SHW117" s="181"/>
      <c r="SHX117" s="182"/>
      <c r="SHY117" s="181"/>
      <c r="SHZ117" s="182"/>
      <c r="SIA117" s="181"/>
      <c r="SIB117" s="182"/>
      <c r="SIC117" s="181"/>
      <c r="SID117" s="182"/>
      <c r="SIE117" s="181"/>
      <c r="SIF117" s="182"/>
      <c r="SIG117" s="181"/>
      <c r="SIH117" s="182"/>
      <c r="SII117" s="181"/>
      <c r="SIJ117" s="182"/>
      <c r="SIK117" s="181"/>
      <c r="SIL117" s="182"/>
      <c r="SIM117" s="181"/>
      <c r="SIN117" s="182"/>
      <c r="SIO117" s="181"/>
      <c r="SIP117" s="182"/>
      <c r="SIQ117" s="181"/>
      <c r="SIR117" s="182"/>
      <c r="SIS117" s="181"/>
      <c r="SIT117" s="182"/>
      <c r="SIU117" s="181"/>
      <c r="SIV117" s="182"/>
      <c r="SIW117" s="181"/>
      <c r="SIX117" s="182"/>
      <c r="SIY117" s="181"/>
      <c r="SIZ117" s="182"/>
      <c r="SJA117" s="181"/>
      <c r="SJB117" s="182"/>
      <c r="SJC117" s="181"/>
      <c r="SJD117" s="182"/>
      <c r="SJE117" s="181"/>
      <c r="SJF117" s="182"/>
      <c r="SJG117" s="181"/>
      <c r="SJH117" s="182"/>
      <c r="SJI117" s="181"/>
      <c r="SJJ117" s="182"/>
      <c r="SJK117" s="181"/>
      <c r="SJL117" s="182"/>
      <c r="SJM117" s="181"/>
      <c r="SJN117" s="182"/>
      <c r="SJO117" s="181"/>
      <c r="SJP117" s="182"/>
      <c r="SJQ117" s="181"/>
      <c r="SJR117" s="182"/>
      <c r="SJS117" s="181"/>
      <c r="SJT117" s="182"/>
      <c r="SJU117" s="181"/>
      <c r="SJV117" s="182"/>
      <c r="SJW117" s="181"/>
      <c r="SJX117" s="182"/>
      <c r="SJY117" s="181"/>
      <c r="SJZ117" s="182"/>
      <c r="SKA117" s="181"/>
      <c r="SKB117" s="182"/>
      <c r="SKC117" s="181"/>
      <c r="SKD117" s="182"/>
      <c r="SKE117" s="181"/>
      <c r="SKF117" s="182"/>
      <c r="SKG117" s="181"/>
      <c r="SKH117" s="182"/>
      <c r="SKI117" s="181"/>
      <c r="SKJ117" s="182"/>
      <c r="SKK117" s="181"/>
      <c r="SKL117" s="182"/>
      <c r="SKM117" s="181"/>
      <c r="SKN117" s="182"/>
      <c r="SKO117" s="181"/>
      <c r="SKP117" s="182"/>
      <c r="SKQ117" s="181"/>
      <c r="SKR117" s="182"/>
      <c r="SKS117" s="181"/>
      <c r="SKT117" s="182"/>
      <c r="SKU117" s="181"/>
      <c r="SKV117" s="182"/>
      <c r="SKW117" s="181"/>
      <c r="SKX117" s="182"/>
      <c r="SKY117" s="181"/>
      <c r="SKZ117" s="182"/>
      <c r="SLA117" s="181"/>
      <c r="SLB117" s="182"/>
      <c r="SLC117" s="181"/>
      <c r="SLD117" s="182"/>
      <c r="SLE117" s="181"/>
      <c r="SLF117" s="182"/>
      <c r="SLG117" s="181"/>
      <c r="SLH117" s="182"/>
      <c r="SLI117" s="181"/>
      <c r="SLJ117" s="182"/>
      <c r="SLK117" s="181"/>
      <c r="SLL117" s="182"/>
      <c r="SLM117" s="181"/>
      <c r="SLN117" s="182"/>
      <c r="SLO117" s="181"/>
      <c r="SLP117" s="182"/>
      <c r="SLQ117" s="181"/>
      <c r="SLR117" s="182"/>
      <c r="SLS117" s="181"/>
      <c r="SLT117" s="182"/>
      <c r="SLU117" s="181"/>
      <c r="SLV117" s="182"/>
      <c r="SLW117" s="181"/>
      <c r="SLX117" s="182"/>
      <c r="SLY117" s="181"/>
      <c r="SLZ117" s="182"/>
      <c r="SMA117" s="181"/>
      <c r="SMB117" s="182"/>
      <c r="SMC117" s="181"/>
      <c r="SMD117" s="182"/>
      <c r="SME117" s="181"/>
      <c r="SMF117" s="182"/>
      <c r="SMG117" s="181"/>
      <c r="SMH117" s="182"/>
      <c r="SMI117" s="181"/>
      <c r="SMJ117" s="182"/>
      <c r="SMK117" s="181"/>
      <c r="SML117" s="182"/>
      <c r="SMM117" s="181"/>
      <c r="SMN117" s="182"/>
      <c r="SMO117" s="181"/>
      <c r="SMP117" s="182"/>
      <c r="SMQ117" s="181"/>
      <c r="SMR117" s="182"/>
      <c r="SMS117" s="181"/>
      <c r="SMT117" s="182"/>
      <c r="SMU117" s="181"/>
      <c r="SMV117" s="182"/>
      <c r="SMW117" s="181"/>
      <c r="SMX117" s="182"/>
      <c r="SMY117" s="181"/>
      <c r="SMZ117" s="182"/>
      <c r="SNA117" s="181"/>
      <c r="SNB117" s="182"/>
      <c r="SNC117" s="181"/>
      <c r="SND117" s="182"/>
      <c r="SNE117" s="181"/>
      <c r="SNF117" s="182"/>
      <c r="SNG117" s="181"/>
      <c r="SNH117" s="182"/>
      <c r="SNI117" s="181"/>
      <c r="SNJ117" s="182"/>
      <c r="SNK117" s="181"/>
      <c r="SNL117" s="182"/>
      <c r="SNM117" s="181"/>
      <c r="SNN117" s="182"/>
      <c r="SNO117" s="181"/>
      <c r="SNP117" s="182"/>
      <c r="SNQ117" s="181"/>
      <c r="SNR117" s="182"/>
      <c r="SNS117" s="181"/>
      <c r="SNT117" s="182"/>
      <c r="SNU117" s="181"/>
      <c r="SNV117" s="182"/>
      <c r="SNW117" s="181"/>
      <c r="SNX117" s="182"/>
      <c r="SNY117" s="181"/>
      <c r="SNZ117" s="182"/>
      <c r="SOA117" s="181"/>
      <c r="SOB117" s="182"/>
      <c r="SOC117" s="181"/>
      <c r="SOD117" s="182"/>
      <c r="SOE117" s="181"/>
      <c r="SOF117" s="182"/>
      <c r="SOG117" s="181"/>
      <c r="SOH117" s="182"/>
      <c r="SOI117" s="181"/>
      <c r="SOJ117" s="182"/>
      <c r="SOK117" s="181"/>
      <c r="SOL117" s="182"/>
      <c r="SOM117" s="181"/>
      <c r="SON117" s="182"/>
      <c r="SOO117" s="181"/>
      <c r="SOP117" s="182"/>
      <c r="SOQ117" s="181"/>
      <c r="SOR117" s="182"/>
      <c r="SOS117" s="181"/>
      <c r="SOT117" s="182"/>
      <c r="SOU117" s="181"/>
      <c r="SOV117" s="182"/>
      <c r="SOW117" s="181"/>
      <c r="SOX117" s="182"/>
      <c r="SOY117" s="181"/>
      <c r="SOZ117" s="182"/>
      <c r="SPA117" s="181"/>
      <c r="SPB117" s="182"/>
      <c r="SPC117" s="181"/>
      <c r="SPD117" s="182"/>
      <c r="SPE117" s="181"/>
      <c r="SPF117" s="182"/>
      <c r="SPG117" s="181"/>
      <c r="SPH117" s="182"/>
      <c r="SPI117" s="181"/>
      <c r="SPJ117" s="182"/>
      <c r="SPK117" s="181"/>
      <c r="SPL117" s="182"/>
      <c r="SPM117" s="181"/>
      <c r="SPN117" s="182"/>
      <c r="SPO117" s="181"/>
      <c r="SPP117" s="182"/>
      <c r="SPQ117" s="181"/>
      <c r="SPR117" s="182"/>
      <c r="SPS117" s="181"/>
      <c r="SPT117" s="182"/>
      <c r="SPU117" s="181"/>
      <c r="SPV117" s="182"/>
      <c r="SPW117" s="181"/>
      <c r="SPX117" s="182"/>
      <c r="SPY117" s="181"/>
      <c r="SPZ117" s="182"/>
      <c r="SQA117" s="181"/>
      <c r="SQB117" s="182"/>
      <c r="SQC117" s="181"/>
      <c r="SQD117" s="182"/>
      <c r="SQE117" s="181"/>
      <c r="SQF117" s="182"/>
      <c r="SQG117" s="181"/>
      <c r="SQH117" s="182"/>
      <c r="SQI117" s="181"/>
      <c r="SQJ117" s="182"/>
      <c r="SQK117" s="181"/>
      <c r="SQL117" s="182"/>
      <c r="SQM117" s="181"/>
      <c r="SQN117" s="182"/>
      <c r="SQO117" s="181"/>
      <c r="SQP117" s="182"/>
      <c r="SQQ117" s="181"/>
      <c r="SQR117" s="182"/>
      <c r="SQS117" s="181"/>
      <c r="SQT117" s="182"/>
      <c r="SQU117" s="181"/>
      <c r="SQV117" s="182"/>
      <c r="SQW117" s="181"/>
      <c r="SQX117" s="182"/>
      <c r="SQY117" s="181"/>
      <c r="SQZ117" s="182"/>
      <c r="SRA117" s="181"/>
      <c r="SRB117" s="182"/>
      <c r="SRC117" s="181"/>
      <c r="SRD117" s="182"/>
      <c r="SRE117" s="181"/>
      <c r="SRF117" s="182"/>
      <c r="SRG117" s="181"/>
      <c r="SRH117" s="182"/>
      <c r="SRI117" s="181"/>
      <c r="SRJ117" s="182"/>
      <c r="SRK117" s="181"/>
      <c r="SRL117" s="182"/>
      <c r="SRM117" s="181"/>
      <c r="SRN117" s="182"/>
      <c r="SRO117" s="181"/>
      <c r="SRP117" s="182"/>
      <c r="SRQ117" s="181"/>
      <c r="SRR117" s="182"/>
      <c r="SRS117" s="181"/>
      <c r="SRT117" s="182"/>
      <c r="SRU117" s="181"/>
      <c r="SRV117" s="182"/>
      <c r="SRW117" s="181"/>
      <c r="SRX117" s="182"/>
      <c r="SRY117" s="181"/>
      <c r="SRZ117" s="182"/>
      <c r="SSA117" s="181"/>
      <c r="SSB117" s="182"/>
      <c r="SSC117" s="181"/>
      <c r="SSD117" s="182"/>
      <c r="SSE117" s="181"/>
      <c r="SSF117" s="182"/>
      <c r="SSG117" s="181"/>
      <c r="SSH117" s="182"/>
      <c r="SSI117" s="181"/>
      <c r="SSJ117" s="182"/>
      <c r="SSK117" s="181"/>
      <c r="SSL117" s="182"/>
      <c r="SSM117" s="181"/>
      <c r="SSN117" s="182"/>
      <c r="SSO117" s="181"/>
      <c r="SSP117" s="182"/>
      <c r="SSQ117" s="181"/>
      <c r="SSR117" s="182"/>
      <c r="SSS117" s="181"/>
      <c r="SST117" s="182"/>
      <c r="SSU117" s="181"/>
      <c r="SSV117" s="182"/>
      <c r="SSW117" s="181"/>
      <c r="SSX117" s="182"/>
      <c r="SSY117" s="181"/>
      <c r="SSZ117" s="182"/>
      <c r="STA117" s="181"/>
      <c r="STB117" s="182"/>
      <c r="STC117" s="181"/>
      <c r="STD117" s="182"/>
      <c r="STE117" s="181"/>
      <c r="STF117" s="182"/>
      <c r="STG117" s="181"/>
      <c r="STH117" s="182"/>
      <c r="STI117" s="181"/>
      <c r="STJ117" s="182"/>
      <c r="STK117" s="181"/>
      <c r="STL117" s="182"/>
      <c r="STM117" s="181"/>
      <c r="STN117" s="182"/>
      <c r="STO117" s="181"/>
      <c r="STP117" s="182"/>
      <c r="STQ117" s="181"/>
      <c r="STR117" s="182"/>
      <c r="STS117" s="181"/>
      <c r="STT117" s="182"/>
      <c r="STU117" s="181"/>
      <c r="STV117" s="182"/>
      <c r="STW117" s="181"/>
      <c r="STX117" s="182"/>
      <c r="STY117" s="181"/>
      <c r="STZ117" s="182"/>
      <c r="SUA117" s="181"/>
      <c r="SUB117" s="182"/>
      <c r="SUC117" s="181"/>
      <c r="SUD117" s="182"/>
      <c r="SUE117" s="181"/>
      <c r="SUF117" s="182"/>
      <c r="SUG117" s="181"/>
      <c r="SUH117" s="182"/>
      <c r="SUI117" s="181"/>
      <c r="SUJ117" s="182"/>
      <c r="SUK117" s="181"/>
      <c r="SUL117" s="182"/>
      <c r="SUM117" s="181"/>
      <c r="SUN117" s="182"/>
      <c r="SUO117" s="181"/>
      <c r="SUP117" s="182"/>
      <c r="SUQ117" s="181"/>
      <c r="SUR117" s="182"/>
      <c r="SUS117" s="181"/>
      <c r="SUT117" s="182"/>
      <c r="SUU117" s="181"/>
      <c r="SUV117" s="182"/>
      <c r="SUW117" s="181"/>
      <c r="SUX117" s="182"/>
      <c r="SUY117" s="181"/>
      <c r="SUZ117" s="182"/>
      <c r="SVA117" s="181"/>
      <c r="SVB117" s="182"/>
      <c r="SVC117" s="181"/>
      <c r="SVD117" s="182"/>
      <c r="SVE117" s="181"/>
      <c r="SVF117" s="182"/>
      <c r="SVG117" s="181"/>
      <c r="SVH117" s="182"/>
      <c r="SVI117" s="181"/>
      <c r="SVJ117" s="182"/>
      <c r="SVK117" s="181"/>
      <c r="SVL117" s="182"/>
      <c r="SVM117" s="181"/>
      <c r="SVN117" s="182"/>
      <c r="SVO117" s="181"/>
      <c r="SVP117" s="182"/>
      <c r="SVQ117" s="181"/>
      <c r="SVR117" s="182"/>
      <c r="SVS117" s="181"/>
      <c r="SVT117" s="182"/>
      <c r="SVU117" s="181"/>
      <c r="SVV117" s="182"/>
      <c r="SVW117" s="181"/>
      <c r="SVX117" s="182"/>
      <c r="SVY117" s="181"/>
      <c r="SVZ117" s="182"/>
      <c r="SWA117" s="181"/>
      <c r="SWB117" s="182"/>
      <c r="SWC117" s="181"/>
      <c r="SWD117" s="182"/>
      <c r="SWE117" s="181"/>
      <c r="SWF117" s="182"/>
      <c r="SWG117" s="181"/>
      <c r="SWH117" s="182"/>
      <c r="SWI117" s="181"/>
      <c r="SWJ117" s="182"/>
      <c r="SWK117" s="181"/>
      <c r="SWL117" s="182"/>
      <c r="SWM117" s="181"/>
      <c r="SWN117" s="182"/>
      <c r="SWO117" s="181"/>
      <c r="SWP117" s="182"/>
      <c r="SWQ117" s="181"/>
      <c r="SWR117" s="182"/>
      <c r="SWS117" s="181"/>
      <c r="SWT117" s="182"/>
      <c r="SWU117" s="181"/>
      <c r="SWV117" s="182"/>
      <c r="SWW117" s="181"/>
      <c r="SWX117" s="182"/>
      <c r="SWY117" s="181"/>
      <c r="SWZ117" s="182"/>
      <c r="SXA117" s="181"/>
      <c r="SXB117" s="182"/>
      <c r="SXC117" s="181"/>
      <c r="SXD117" s="182"/>
      <c r="SXE117" s="181"/>
      <c r="SXF117" s="182"/>
      <c r="SXG117" s="181"/>
      <c r="SXH117" s="182"/>
      <c r="SXI117" s="181"/>
      <c r="SXJ117" s="182"/>
      <c r="SXK117" s="181"/>
      <c r="SXL117" s="182"/>
      <c r="SXM117" s="181"/>
      <c r="SXN117" s="182"/>
      <c r="SXO117" s="181"/>
      <c r="SXP117" s="182"/>
      <c r="SXQ117" s="181"/>
      <c r="SXR117" s="182"/>
      <c r="SXS117" s="181"/>
      <c r="SXT117" s="182"/>
      <c r="SXU117" s="181"/>
      <c r="SXV117" s="182"/>
      <c r="SXW117" s="181"/>
      <c r="SXX117" s="182"/>
      <c r="SXY117" s="181"/>
      <c r="SXZ117" s="182"/>
      <c r="SYA117" s="181"/>
      <c r="SYB117" s="182"/>
      <c r="SYC117" s="181"/>
      <c r="SYD117" s="182"/>
      <c r="SYE117" s="181"/>
      <c r="SYF117" s="182"/>
      <c r="SYG117" s="181"/>
      <c r="SYH117" s="182"/>
      <c r="SYI117" s="181"/>
      <c r="SYJ117" s="182"/>
      <c r="SYK117" s="181"/>
      <c r="SYL117" s="182"/>
      <c r="SYM117" s="181"/>
      <c r="SYN117" s="182"/>
      <c r="SYO117" s="181"/>
      <c r="SYP117" s="182"/>
      <c r="SYQ117" s="181"/>
      <c r="SYR117" s="182"/>
      <c r="SYS117" s="181"/>
      <c r="SYT117" s="182"/>
      <c r="SYU117" s="181"/>
      <c r="SYV117" s="182"/>
      <c r="SYW117" s="181"/>
      <c r="SYX117" s="182"/>
      <c r="SYY117" s="181"/>
      <c r="SYZ117" s="182"/>
      <c r="SZA117" s="181"/>
      <c r="SZB117" s="182"/>
      <c r="SZC117" s="181"/>
      <c r="SZD117" s="182"/>
      <c r="SZE117" s="181"/>
      <c r="SZF117" s="182"/>
      <c r="SZG117" s="181"/>
      <c r="SZH117" s="182"/>
      <c r="SZI117" s="181"/>
      <c r="SZJ117" s="182"/>
      <c r="SZK117" s="181"/>
      <c r="SZL117" s="182"/>
      <c r="SZM117" s="181"/>
      <c r="SZN117" s="182"/>
      <c r="SZO117" s="181"/>
      <c r="SZP117" s="182"/>
      <c r="SZQ117" s="181"/>
      <c r="SZR117" s="182"/>
      <c r="SZS117" s="181"/>
      <c r="SZT117" s="182"/>
      <c r="SZU117" s="181"/>
      <c r="SZV117" s="182"/>
      <c r="SZW117" s="181"/>
      <c r="SZX117" s="182"/>
      <c r="SZY117" s="181"/>
      <c r="SZZ117" s="182"/>
      <c r="TAA117" s="181"/>
      <c r="TAB117" s="182"/>
      <c r="TAC117" s="181"/>
      <c r="TAD117" s="182"/>
      <c r="TAE117" s="181"/>
      <c r="TAF117" s="182"/>
      <c r="TAG117" s="181"/>
      <c r="TAH117" s="182"/>
      <c r="TAI117" s="181"/>
      <c r="TAJ117" s="182"/>
      <c r="TAK117" s="181"/>
      <c r="TAL117" s="182"/>
      <c r="TAM117" s="181"/>
      <c r="TAN117" s="182"/>
      <c r="TAO117" s="181"/>
      <c r="TAP117" s="182"/>
      <c r="TAQ117" s="181"/>
      <c r="TAR117" s="182"/>
      <c r="TAS117" s="181"/>
      <c r="TAT117" s="182"/>
      <c r="TAU117" s="181"/>
      <c r="TAV117" s="182"/>
      <c r="TAW117" s="181"/>
      <c r="TAX117" s="182"/>
      <c r="TAY117" s="181"/>
      <c r="TAZ117" s="182"/>
      <c r="TBA117" s="181"/>
      <c r="TBB117" s="182"/>
      <c r="TBC117" s="181"/>
      <c r="TBD117" s="182"/>
      <c r="TBE117" s="181"/>
      <c r="TBF117" s="182"/>
      <c r="TBG117" s="181"/>
      <c r="TBH117" s="182"/>
      <c r="TBI117" s="181"/>
      <c r="TBJ117" s="182"/>
      <c r="TBK117" s="181"/>
      <c r="TBL117" s="182"/>
      <c r="TBM117" s="181"/>
      <c r="TBN117" s="182"/>
      <c r="TBO117" s="181"/>
      <c r="TBP117" s="182"/>
      <c r="TBQ117" s="181"/>
      <c r="TBR117" s="182"/>
      <c r="TBS117" s="181"/>
      <c r="TBT117" s="182"/>
      <c r="TBU117" s="181"/>
      <c r="TBV117" s="182"/>
      <c r="TBW117" s="181"/>
      <c r="TBX117" s="182"/>
      <c r="TBY117" s="181"/>
      <c r="TBZ117" s="182"/>
      <c r="TCA117" s="181"/>
      <c r="TCB117" s="182"/>
      <c r="TCC117" s="181"/>
      <c r="TCD117" s="182"/>
      <c r="TCE117" s="181"/>
      <c r="TCF117" s="182"/>
      <c r="TCG117" s="181"/>
      <c r="TCH117" s="182"/>
      <c r="TCI117" s="181"/>
      <c r="TCJ117" s="182"/>
      <c r="TCK117" s="181"/>
      <c r="TCL117" s="182"/>
      <c r="TCM117" s="181"/>
      <c r="TCN117" s="182"/>
      <c r="TCO117" s="181"/>
      <c r="TCP117" s="182"/>
      <c r="TCQ117" s="181"/>
      <c r="TCR117" s="182"/>
      <c r="TCS117" s="181"/>
      <c r="TCT117" s="182"/>
      <c r="TCU117" s="181"/>
      <c r="TCV117" s="182"/>
      <c r="TCW117" s="181"/>
      <c r="TCX117" s="182"/>
      <c r="TCY117" s="181"/>
      <c r="TCZ117" s="182"/>
      <c r="TDA117" s="181"/>
      <c r="TDB117" s="182"/>
      <c r="TDC117" s="181"/>
      <c r="TDD117" s="182"/>
      <c r="TDE117" s="181"/>
      <c r="TDF117" s="182"/>
      <c r="TDG117" s="181"/>
      <c r="TDH117" s="182"/>
      <c r="TDI117" s="181"/>
      <c r="TDJ117" s="182"/>
      <c r="TDK117" s="181"/>
      <c r="TDL117" s="182"/>
      <c r="TDM117" s="181"/>
      <c r="TDN117" s="182"/>
      <c r="TDO117" s="181"/>
      <c r="TDP117" s="182"/>
      <c r="TDQ117" s="181"/>
      <c r="TDR117" s="182"/>
      <c r="TDS117" s="181"/>
      <c r="TDT117" s="182"/>
      <c r="TDU117" s="181"/>
      <c r="TDV117" s="182"/>
      <c r="TDW117" s="181"/>
      <c r="TDX117" s="182"/>
      <c r="TDY117" s="181"/>
      <c r="TDZ117" s="182"/>
      <c r="TEA117" s="181"/>
      <c r="TEB117" s="182"/>
      <c r="TEC117" s="181"/>
      <c r="TED117" s="182"/>
      <c r="TEE117" s="181"/>
      <c r="TEF117" s="182"/>
      <c r="TEG117" s="181"/>
      <c r="TEH117" s="182"/>
      <c r="TEI117" s="181"/>
      <c r="TEJ117" s="182"/>
      <c r="TEK117" s="181"/>
      <c r="TEL117" s="182"/>
      <c r="TEM117" s="181"/>
      <c r="TEN117" s="182"/>
      <c r="TEO117" s="181"/>
      <c r="TEP117" s="182"/>
      <c r="TEQ117" s="181"/>
      <c r="TER117" s="182"/>
      <c r="TES117" s="181"/>
      <c r="TET117" s="182"/>
      <c r="TEU117" s="181"/>
      <c r="TEV117" s="182"/>
      <c r="TEW117" s="181"/>
      <c r="TEX117" s="182"/>
      <c r="TEY117" s="181"/>
      <c r="TEZ117" s="182"/>
      <c r="TFA117" s="181"/>
      <c r="TFB117" s="182"/>
      <c r="TFC117" s="181"/>
      <c r="TFD117" s="182"/>
      <c r="TFE117" s="181"/>
      <c r="TFF117" s="182"/>
      <c r="TFG117" s="181"/>
      <c r="TFH117" s="182"/>
      <c r="TFI117" s="181"/>
      <c r="TFJ117" s="182"/>
      <c r="TFK117" s="181"/>
      <c r="TFL117" s="182"/>
      <c r="TFM117" s="181"/>
      <c r="TFN117" s="182"/>
      <c r="TFO117" s="181"/>
      <c r="TFP117" s="182"/>
      <c r="TFQ117" s="181"/>
      <c r="TFR117" s="182"/>
      <c r="TFS117" s="181"/>
      <c r="TFT117" s="182"/>
      <c r="TFU117" s="181"/>
      <c r="TFV117" s="182"/>
      <c r="TFW117" s="181"/>
      <c r="TFX117" s="182"/>
      <c r="TFY117" s="181"/>
      <c r="TFZ117" s="182"/>
      <c r="TGA117" s="181"/>
      <c r="TGB117" s="182"/>
      <c r="TGC117" s="181"/>
      <c r="TGD117" s="182"/>
      <c r="TGE117" s="181"/>
      <c r="TGF117" s="182"/>
      <c r="TGG117" s="181"/>
      <c r="TGH117" s="182"/>
      <c r="TGI117" s="181"/>
      <c r="TGJ117" s="182"/>
      <c r="TGK117" s="181"/>
      <c r="TGL117" s="182"/>
      <c r="TGM117" s="181"/>
      <c r="TGN117" s="182"/>
      <c r="TGO117" s="181"/>
      <c r="TGP117" s="182"/>
      <c r="TGQ117" s="181"/>
      <c r="TGR117" s="182"/>
      <c r="TGS117" s="181"/>
      <c r="TGT117" s="182"/>
      <c r="TGU117" s="181"/>
      <c r="TGV117" s="182"/>
      <c r="TGW117" s="181"/>
      <c r="TGX117" s="182"/>
      <c r="TGY117" s="181"/>
      <c r="TGZ117" s="182"/>
      <c r="THA117" s="181"/>
      <c r="THB117" s="182"/>
      <c r="THC117" s="181"/>
      <c r="THD117" s="182"/>
      <c r="THE117" s="181"/>
      <c r="THF117" s="182"/>
      <c r="THG117" s="181"/>
      <c r="THH117" s="182"/>
      <c r="THI117" s="181"/>
      <c r="THJ117" s="182"/>
      <c r="THK117" s="181"/>
      <c r="THL117" s="182"/>
      <c r="THM117" s="181"/>
      <c r="THN117" s="182"/>
      <c r="THO117" s="181"/>
      <c r="THP117" s="182"/>
      <c r="THQ117" s="181"/>
      <c r="THR117" s="182"/>
      <c r="THS117" s="181"/>
      <c r="THT117" s="182"/>
      <c r="THU117" s="181"/>
      <c r="THV117" s="182"/>
      <c r="THW117" s="181"/>
      <c r="THX117" s="182"/>
      <c r="THY117" s="181"/>
      <c r="THZ117" s="182"/>
      <c r="TIA117" s="181"/>
      <c r="TIB117" s="182"/>
      <c r="TIC117" s="181"/>
      <c r="TID117" s="182"/>
      <c r="TIE117" s="181"/>
      <c r="TIF117" s="182"/>
      <c r="TIG117" s="181"/>
      <c r="TIH117" s="182"/>
      <c r="TII117" s="181"/>
      <c r="TIJ117" s="182"/>
      <c r="TIK117" s="181"/>
      <c r="TIL117" s="182"/>
      <c r="TIM117" s="181"/>
      <c r="TIN117" s="182"/>
      <c r="TIO117" s="181"/>
      <c r="TIP117" s="182"/>
      <c r="TIQ117" s="181"/>
      <c r="TIR117" s="182"/>
      <c r="TIS117" s="181"/>
      <c r="TIT117" s="182"/>
      <c r="TIU117" s="181"/>
      <c r="TIV117" s="182"/>
      <c r="TIW117" s="181"/>
      <c r="TIX117" s="182"/>
      <c r="TIY117" s="181"/>
      <c r="TIZ117" s="182"/>
      <c r="TJA117" s="181"/>
      <c r="TJB117" s="182"/>
      <c r="TJC117" s="181"/>
      <c r="TJD117" s="182"/>
      <c r="TJE117" s="181"/>
      <c r="TJF117" s="182"/>
      <c r="TJG117" s="181"/>
      <c r="TJH117" s="182"/>
      <c r="TJI117" s="181"/>
      <c r="TJJ117" s="182"/>
      <c r="TJK117" s="181"/>
      <c r="TJL117" s="182"/>
      <c r="TJM117" s="181"/>
      <c r="TJN117" s="182"/>
      <c r="TJO117" s="181"/>
      <c r="TJP117" s="182"/>
      <c r="TJQ117" s="181"/>
      <c r="TJR117" s="182"/>
      <c r="TJS117" s="181"/>
      <c r="TJT117" s="182"/>
      <c r="TJU117" s="181"/>
      <c r="TJV117" s="182"/>
      <c r="TJW117" s="181"/>
      <c r="TJX117" s="182"/>
      <c r="TJY117" s="181"/>
      <c r="TJZ117" s="182"/>
      <c r="TKA117" s="181"/>
      <c r="TKB117" s="182"/>
      <c r="TKC117" s="181"/>
      <c r="TKD117" s="182"/>
      <c r="TKE117" s="181"/>
      <c r="TKF117" s="182"/>
      <c r="TKG117" s="181"/>
      <c r="TKH117" s="182"/>
      <c r="TKI117" s="181"/>
      <c r="TKJ117" s="182"/>
      <c r="TKK117" s="181"/>
      <c r="TKL117" s="182"/>
      <c r="TKM117" s="181"/>
      <c r="TKN117" s="182"/>
      <c r="TKO117" s="181"/>
      <c r="TKP117" s="182"/>
      <c r="TKQ117" s="181"/>
      <c r="TKR117" s="182"/>
      <c r="TKS117" s="181"/>
      <c r="TKT117" s="182"/>
      <c r="TKU117" s="181"/>
      <c r="TKV117" s="182"/>
      <c r="TKW117" s="181"/>
      <c r="TKX117" s="182"/>
      <c r="TKY117" s="181"/>
      <c r="TKZ117" s="182"/>
      <c r="TLA117" s="181"/>
      <c r="TLB117" s="182"/>
      <c r="TLC117" s="181"/>
      <c r="TLD117" s="182"/>
      <c r="TLE117" s="181"/>
      <c r="TLF117" s="182"/>
      <c r="TLG117" s="181"/>
      <c r="TLH117" s="182"/>
      <c r="TLI117" s="181"/>
      <c r="TLJ117" s="182"/>
      <c r="TLK117" s="181"/>
      <c r="TLL117" s="182"/>
      <c r="TLM117" s="181"/>
      <c r="TLN117" s="182"/>
      <c r="TLO117" s="181"/>
      <c r="TLP117" s="182"/>
      <c r="TLQ117" s="181"/>
      <c r="TLR117" s="182"/>
      <c r="TLS117" s="181"/>
      <c r="TLT117" s="182"/>
      <c r="TLU117" s="181"/>
      <c r="TLV117" s="182"/>
      <c r="TLW117" s="181"/>
      <c r="TLX117" s="182"/>
      <c r="TLY117" s="181"/>
      <c r="TLZ117" s="182"/>
      <c r="TMA117" s="181"/>
      <c r="TMB117" s="182"/>
      <c r="TMC117" s="181"/>
      <c r="TMD117" s="182"/>
      <c r="TME117" s="181"/>
      <c r="TMF117" s="182"/>
      <c r="TMG117" s="181"/>
      <c r="TMH117" s="182"/>
      <c r="TMI117" s="181"/>
      <c r="TMJ117" s="182"/>
      <c r="TMK117" s="181"/>
      <c r="TML117" s="182"/>
      <c r="TMM117" s="181"/>
      <c r="TMN117" s="182"/>
      <c r="TMO117" s="181"/>
      <c r="TMP117" s="182"/>
      <c r="TMQ117" s="181"/>
      <c r="TMR117" s="182"/>
      <c r="TMS117" s="181"/>
      <c r="TMT117" s="182"/>
      <c r="TMU117" s="181"/>
      <c r="TMV117" s="182"/>
      <c r="TMW117" s="181"/>
      <c r="TMX117" s="182"/>
      <c r="TMY117" s="181"/>
      <c r="TMZ117" s="182"/>
      <c r="TNA117" s="181"/>
      <c r="TNB117" s="182"/>
      <c r="TNC117" s="181"/>
      <c r="TND117" s="182"/>
      <c r="TNE117" s="181"/>
      <c r="TNF117" s="182"/>
      <c r="TNG117" s="181"/>
      <c r="TNH117" s="182"/>
      <c r="TNI117" s="181"/>
      <c r="TNJ117" s="182"/>
      <c r="TNK117" s="181"/>
      <c r="TNL117" s="182"/>
      <c r="TNM117" s="181"/>
      <c r="TNN117" s="182"/>
      <c r="TNO117" s="181"/>
      <c r="TNP117" s="182"/>
      <c r="TNQ117" s="181"/>
      <c r="TNR117" s="182"/>
      <c r="TNS117" s="181"/>
      <c r="TNT117" s="182"/>
      <c r="TNU117" s="181"/>
      <c r="TNV117" s="182"/>
      <c r="TNW117" s="181"/>
      <c r="TNX117" s="182"/>
      <c r="TNY117" s="181"/>
      <c r="TNZ117" s="182"/>
      <c r="TOA117" s="181"/>
      <c r="TOB117" s="182"/>
      <c r="TOC117" s="181"/>
      <c r="TOD117" s="182"/>
      <c r="TOE117" s="181"/>
      <c r="TOF117" s="182"/>
      <c r="TOG117" s="181"/>
      <c r="TOH117" s="182"/>
      <c r="TOI117" s="181"/>
      <c r="TOJ117" s="182"/>
      <c r="TOK117" s="181"/>
      <c r="TOL117" s="182"/>
      <c r="TOM117" s="181"/>
      <c r="TON117" s="182"/>
      <c r="TOO117" s="181"/>
      <c r="TOP117" s="182"/>
      <c r="TOQ117" s="181"/>
      <c r="TOR117" s="182"/>
      <c r="TOS117" s="181"/>
      <c r="TOT117" s="182"/>
      <c r="TOU117" s="181"/>
      <c r="TOV117" s="182"/>
      <c r="TOW117" s="181"/>
      <c r="TOX117" s="182"/>
      <c r="TOY117" s="181"/>
      <c r="TOZ117" s="182"/>
      <c r="TPA117" s="181"/>
      <c r="TPB117" s="182"/>
      <c r="TPC117" s="181"/>
      <c r="TPD117" s="182"/>
      <c r="TPE117" s="181"/>
      <c r="TPF117" s="182"/>
      <c r="TPG117" s="181"/>
      <c r="TPH117" s="182"/>
      <c r="TPI117" s="181"/>
      <c r="TPJ117" s="182"/>
      <c r="TPK117" s="181"/>
      <c r="TPL117" s="182"/>
      <c r="TPM117" s="181"/>
      <c r="TPN117" s="182"/>
      <c r="TPO117" s="181"/>
      <c r="TPP117" s="182"/>
      <c r="TPQ117" s="181"/>
      <c r="TPR117" s="182"/>
      <c r="TPS117" s="181"/>
      <c r="TPT117" s="182"/>
      <c r="TPU117" s="181"/>
      <c r="TPV117" s="182"/>
      <c r="TPW117" s="181"/>
      <c r="TPX117" s="182"/>
      <c r="TPY117" s="181"/>
      <c r="TPZ117" s="182"/>
      <c r="TQA117" s="181"/>
      <c r="TQB117" s="182"/>
      <c r="TQC117" s="181"/>
      <c r="TQD117" s="182"/>
      <c r="TQE117" s="181"/>
      <c r="TQF117" s="182"/>
      <c r="TQG117" s="181"/>
      <c r="TQH117" s="182"/>
      <c r="TQI117" s="181"/>
      <c r="TQJ117" s="182"/>
      <c r="TQK117" s="181"/>
      <c r="TQL117" s="182"/>
      <c r="TQM117" s="181"/>
      <c r="TQN117" s="182"/>
      <c r="TQO117" s="181"/>
      <c r="TQP117" s="182"/>
      <c r="TQQ117" s="181"/>
      <c r="TQR117" s="182"/>
      <c r="TQS117" s="181"/>
      <c r="TQT117" s="182"/>
      <c r="TQU117" s="181"/>
      <c r="TQV117" s="182"/>
      <c r="TQW117" s="181"/>
      <c r="TQX117" s="182"/>
      <c r="TQY117" s="181"/>
      <c r="TQZ117" s="182"/>
      <c r="TRA117" s="181"/>
      <c r="TRB117" s="182"/>
      <c r="TRC117" s="181"/>
      <c r="TRD117" s="182"/>
      <c r="TRE117" s="181"/>
      <c r="TRF117" s="182"/>
      <c r="TRG117" s="181"/>
      <c r="TRH117" s="182"/>
      <c r="TRI117" s="181"/>
      <c r="TRJ117" s="182"/>
      <c r="TRK117" s="181"/>
      <c r="TRL117" s="182"/>
      <c r="TRM117" s="181"/>
      <c r="TRN117" s="182"/>
      <c r="TRO117" s="181"/>
      <c r="TRP117" s="182"/>
      <c r="TRQ117" s="181"/>
      <c r="TRR117" s="182"/>
      <c r="TRS117" s="181"/>
      <c r="TRT117" s="182"/>
      <c r="TRU117" s="181"/>
      <c r="TRV117" s="182"/>
      <c r="TRW117" s="181"/>
      <c r="TRX117" s="182"/>
      <c r="TRY117" s="181"/>
      <c r="TRZ117" s="182"/>
      <c r="TSA117" s="181"/>
      <c r="TSB117" s="182"/>
      <c r="TSC117" s="181"/>
      <c r="TSD117" s="182"/>
      <c r="TSE117" s="181"/>
      <c r="TSF117" s="182"/>
      <c r="TSG117" s="181"/>
      <c r="TSH117" s="182"/>
      <c r="TSI117" s="181"/>
      <c r="TSJ117" s="182"/>
      <c r="TSK117" s="181"/>
      <c r="TSL117" s="182"/>
      <c r="TSM117" s="181"/>
      <c r="TSN117" s="182"/>
      <c r="TSO117" s="181"/>
      <c r="TSP117" s="182"/>
      <c r="TSQ117" s="181"/>
      <c r="TSR117" s="182"/>
      <c r="TSS117" s="181"/>
      <c r="TST117" s="182"/>
      <c r="TSU117" s="181"/>
      <c r="TSV117" s="182"/>
      <c r="TSW117" s="181"/>
      <c r="TSX117" s="182"/>
      <c r="TSY117" s="181"/>
      <c r="TSZ117" s="182"/>
      <c r="TTA117" s="181"/>
      <c r="TTB117" s="182"/>
      <c r="TTC117" s="181"/>
      <c r="TTD117" s="182"/>
      <c r="TTE117" s="181"/>
      <c r="TTF117" s="182"/>
      <c r="TTG117" s="181"/>
      <c r="TTH117" s="182"/>
      <c r="TTI117" s="181"/>
      <c r="TTJ117" s="182"/>
      <c r="TTK117" s="181"/>
      <c r="TTL117" s="182"/>
      <c r="TTM117" s="181"/>
      <c r="TTN117" s="182"/>
      <c r="TTO117" s="181"/>
      <c r="TTP117" s="182"/>
      <c r="TTQ117" s="181"/>
      <c r="TTR117" s="182"/>
      <c r="TTS117" s="181"/>
      <c r="TTT117" s="182"/>
      <c r="TTU117" s="181"/>
      <c r="TTV117" s="182"/>
      <c r="TTW117" s="181"/>
      <c r="TTX117" s="182"/>
      <c r="TTY117" s="181"/>
      <c r="TTZ117" s="182"/>
      <c r="TUA117" s="181"/>
      <c r="TUB117" s="182"/>
      <c r="TUC117" s="181"/>
      <c r="TUD117" s="182"/>
      <c r="TUE117" s="181"/>
      <c r="TUF117" s="182"/>
      <c r="TUG117" s="181"/>
      <c r="TUH117" s="182"/>
      <c r="TUI117" s="181"/>
      <c r="TUJ117" s="182"/>
      <c r="TUK117" s="181"/>
      <c r="TUL117" s="182"/>
      <c r="TUM117" s="181"/>
      <c r="TUN117" s="182"/>
      <c r="TUO117" s="181"/>
      <c r="TUP117" s="182"/>
      <c r="TUQ117" s="181"/>
      <c r="TUR117" s="182"/>
      <c r="TUS117" s="181"/>
      <c r="TUT117" s="182"/>
      <c r="TUU117" s="181"/>
      <c r="TUV117" s="182"/>
      <c r="TUW117" s="181"/>
      <c r="TUX117" s="182"/>
      <c r="TUY117" s="181"/>
      <c r="TUZ117" s="182"/>
      <c r="TVA117" s="181"/>
      <c r="TVB117" s="182"/>
      <c r="TVC117" s="181"/>
      <c r="TVD117" s="182"/>
      <c r="TVE117" s="181"/>
      <c r="TVF117" s="182"/>
      <c r="TVG117" s="181"/>
      <c r="TVH117" s="182"/>
      <c r="TVI117" s="181"/>
      <c r="TVJ117" s="182"/>
      <c r="TVK117" s="181"/>
      <c r="TVL117" s="182"/>
      <c r="TVM117" s="181"/>
      <c r="TVN117" s="182"/>
      <c r="TVO117" s="181"/>
      <c r="TVP117" s="182"/>
      <c r="TVQ117" s="181"/>
      <c r="TVR117" s="182"/>
      <c r="TVS117" s="181"/>
      <c r="TVT117" s="182"/>
      <c r="TVU117" s="181"/>
      <c r="TVV117" s="182"/>
      <c r="TVW117" s="181"/>
      <c r="TVX117" s="182"/>
      <c r="TVY117" s="181"/>
      <c r="TVZ117" s="182"/>
      <c r="TWA117" s="181"/>
      <c r="TWB117" s="182"/>
      <c r="TWC117" s="181"/>
      <c r="TWD117" s="182"/>
      <c r="TWE117" s="181"/>
      <c r="TWF117" s="182"/>
      <c r="TWG117" s="181"/>
      <c r="TWH117" s="182"/>
      <c r="TWI117" s="181"/>
      <c r="TWJ117" s="182"/>
      <c r="TWK117" s="181"/>
      <c r="TWL117" s="182"/>
      <c r="TWM117" s="181"/>
      <c r="TWN117" s="182"/>
      <c r="TWO117" s="181"/>
      <c r="TWP117" s="182"/>
      <c r="TWQ117" s="181"/>
      <c r="TWR117" s="182"/>
      <c r="TWS117" s="181"/>
      <c r="TWT117" s="182"/>
      <c r="TWU117" s="181"/>
      <c r="TWV117" s="182"/>
      <c r="TWW117" s="181"/>
      <c r="TWX117" s="182"/>
      <c r="TWY117" s="181"/>
      <c r="TWZ117" s="182"/>
      <c r="TXA117" s="181"/>
      <c r="TXB117" s="182"/>
      <c r="TXC117" s="181"/>
      <c r="TXD117" s="182"/>
      <c r="TXE117" s="181"/>
      <c r="TXF117" s="182"/>
      <c r="TXG117" s="181"/>
      <c r="TXH117" s="182"/>
      <c r="TXI117" s="181"/>
      <c r="TXJ117" s="182"/>
      <c r="TXK117" s="181"/>
      <c r="TXL117" s="182"/>
      <c r="TXM117" s="181"/>
      <c r="TXN117" s="182"/>
      <c r="TXO117" s="181"/>
      <c r="TXP117" s="182"/>
      <c r="TXQ117" s="181"/>
      <c r="TXR117" s="182"/>
      <c r="TXS117" s="181"/>
      <c r="TXT117" s="182"/>
      <c r="TXU117" s="181"/>
      <c r="TXV117" s="182"/>
      <c r="TXW117" s="181"/>
      <c r="TXX117" s="182"/>
      <c r="TXY117" s="181"/>
      <c r="TXZ117" s="182"/>
      <c r="TYA117" s="181"/>
      <c r="TYB117" s="182"/>
      <c r="TYC117" s="181"/>
      <c r="TYD117" s="182"/>
      <c r="TYE117" s="181"/>
      <c r="TYF117" s="182"/>
      <c r="TYG117" s="181"/>
      <c r="TYH117" s="182"/>
      <c r="TYI117" s="181"/>
      <c r="TYJ117" s="182"/>
      <c r="TYK117" s="181"/>
      <c r="TYL117" s="182"/>
      <c r="TYM117" s="181"/>
      <c r="TYN117" s="182"/>
      <c r="TYO117" s="181"/>
      <c r="TYP117" s="182"/>
      <c r="TYQ117" s="181"/>
      <c r="TYR117" s="182"/>
      <c r="TYS117" s="181"/>
      <c r="TYT117" s="182"/>
      <c r="TYU117" s="181"/>
      <c r="TYV117" s="182"/>
      <c r="TYW117" s="181"/>
      <c r="TYX117" s="182"/>
      <c r="TYY117" s="181"/>
      <c r="TYZ117" s="182"/>
      <c r="TZA117" s="181"/>
      <c r="TZB117" s="182"/>
      <c r="TZC117" s="181"/>
      <c r="TZD117" s="182"/>
      <c r="TZE117" s="181"/>
      <c r="TZF117" s="182"/>
      <c r="TZG117" s="181"/>
      <c r="TZH117" s="182"/>
      <c r="TZI117" s="181"/>
      <c r="TZJ117" s="182"/>
      <c r="TZK117" s="181"/>
      <c r="TZL117" s="182"/>
      <c r="TZM117" s="181"/>
      <c r="TZN117" s="182"/>
      <c r="TZO117" s="181"/>
      <c r="TZP117" s="182"/>
      <c r="TZQ117" s="181"/>
      <c r="TZR117" s="182"/>
      <c r="TZS117" s="181"/>
      <c r="TZT117" s="182"/>
      <c r="TZU117" s="181"/>
      <c r="TZV117" s="182"/>
      <c r="TZW117" s="181"/>
      <c r="TZX117" s="182"/>
      <c r="TZY117" s="181"/>
      <c r="TZZ117" s="182"/>
      <c r="UAA117" s="181"/>
      <c r="UAB117" s="182"/>
      <c r="UAC117" s="181"/>
      <c r="UAD117" s="182"/>
      <c r="UAE117" s="181"/>
      <c r="UAF117" s="182"/>
      <c r="UAG117" s="181"/>
      <c r="UAH117" s="182"/>
      <c r="UAI117" s="181"/>
      <c r="UAJ117" s="182"/>
      <c r="UAK117" s="181"/>
      <c r="UAL117" s="182"/>
      <c r="UAM117" s="181"/>
      <c r="UAN117" s="182"/>
      <c r="UAO117" s="181"/>
      <c r="UAP117" s="182"/>
      <c r="UAQ117" s="181"/>
      <c r="UAR117" s="182"/>
      <c r="UAS117" s="181"/>
      <c r="UAT117" s="182"/>
      <c r="UAU117" s="181"/>
      <c r="UAV117" s="182"/>
      <c r="UAW117" s="181"/>
      <c r="UAX117" s="182"/>
      <c r="UAY117" s="181"/>
      <c r="UAZ117" s="182"/>
      <c r="UBA117" s="181"/>
      <c r="UBB117" s="182"/>
      <c r="UBC117" s="181"/>
      <c r="UBD117" s="182"/>
      <c r="UBE117" s="181"/>
      <c r="UBF117" s="182"/>
      <c r="UBG117" s="181"/>
      <c r="UBH117" s="182"/>
      <c r="UBI117" s="181"/>
      <c r="UBJ117" s="182"/>
      <c r="UBK117" s="181"/>
      <c r="UBL117" s="182"/>
      <c r="UBM117" s="181"/>
      <c r="UBN117" s="182"/>
      <c r="UBO117" s="181"/>
      <c r="UBP117" s="182"/>
      <c r="UBQ117" s="181"/>
      <c r="UBR117" s="182"/>
      <c r="UBS117" s="181"/>
      <c r="UBT117" s="182"/>
      <c r="UBU117" s="181"/>
      <c r="UBV117" s="182"/>
      <c r="UBW117" s="181"/>
      <c r="UBX117" s="182"/>
      <c r="UBY117" s="181"/>
      <c r="UBZ117" s="182"/>
      <c r="UCA117" s="181"/>
      <c r="UCB117" s="182"/>
      <c r="UCC117" s="181"/>
      <c r="UCD117" s="182"/>
      <c r="UCE117" s="181"/>
      <c r="UCF117" s="182"/>
      <c r="UCG117" s="181"/>
      <c r="UCH117" s="182"/>
      <c r="UCI117" s="181"/>
      <c r="UCJ117" s="182"/>
      <c r="UCK117" s="181"/>
      <c r="UCL117" s="182"/>
      <c r="UCM117" s="181"/>
      <c r="UCN117" s="182"/>
      <c r="UCO117" s="181"/>
      <c r="UCP117" s="182"/>
      <c r="UCQ117" s="181"/>
      <c r="UCR117" s="182"/>
      <c r="UCS117" s="181"/>
      <c r="UCT117" s="182"/>
      <c r="UCU117" s="181"/>
      <c r="UCV117" s="182"/>
      <c r="UCW117" s="181"/>
      <c r="UCX117" s="182"/>
      <c r="UCY117" s="181"/>
      <c r="UCZ117" s="182"/>
      <c r="UDA117" s="181"/>
      <c r="UDB117" s="182"/>
      <c r="UDC117" s="181"/>
      <c r="UDD117" s="182"/>
      <c r="UDE117" s="181"/>
      <c r="UDF117" s="182"/>
      <c r="UDG117" s="181"/>
      <c r="UDH117" s="182"/>
      <c r="UDI117" s="181"/>
      <c r="UDJ117" s="182"/>
      <c r="UDK117" s="181"/>
      <c r="UDL117" s="182"/>
      <c r="UDM117" s="181"/>
      <c r="UDN117" s="182"/>
      <c r="UDO117" s="181"/>
      <c r="UDP117" s="182"/>
      <c r="UDQ117" s="181"/>
      <c r="UDR117" s="182"/>
      <c r="UDS117" s="181"/>
      <c r="UDT117" s="182"/>
      <c r="UDU117" s="181"/>
      <c r="UDV117" s="182"/>
      <c r="UDW117" s="181"/>
      <c r="UDX117" s="182"/>
      <c r="UDY117" s="181"/>
      <c r="UDZ117" s="182"/>
      <c r="UEA117" s="181"/>
      <c r="UEB117" s="182"/>
      <c r="UEC117" s="181"/>
      <c r="UED117" s="182"/>
      <c r="UEE117" s="181"/>
      <c r="UEF117" s="182"/>
      <c r="UEG117" s="181"/>
      <c r="UEH117" s="182"/>
      <c r="UEI117" s="181"/>
      <c r="UEJ117" s="182"/>
      <c r="UEK117" s="181"/>
      <c r="UEL117" s="182"/>
      <c r="UEM117" s="181"/>
      <c r="UEN117" s="182"/>
      <c r="UEO117" s="181"/>
      <c r="UEP117" s="182"/>
      <c r="UEQ117" s="181"/>
      <c r="UER117" s="182"/>
      <c r="UES117" s="181"/>
      <c r="UET117" s="182"/>
      <c r="UEU117" s="181"/>
      <c r="UEV117" s="182"/>
      <c r="UEW117" s="181"/>
      <c r="UEX117" s="182"/>
      <c r="UEY117" s="181"/>
      <c r="UEZ117" s="182"/>
      <c r="UFA117" s="181"/>
      <c r="UFB117" s="182"/>
      <c r="UFC117" s="181"/>
      <c r="UFD117" s="182"/>
      <c r="UFE117" s="181"/>
      <c r="UFF117" s="182"/>
      <c r="UFG117" s="181"/>
      <c r="UFH117" s="182"/>
      <c r="UFI117" s="181"/>
      <c r="UFJ117" s="182"/>
      <c r="UFK117" s="181"/>
      <c r="UFL117" s="182"/>
      <c r="UFM117" s="181"/>
      <c r="UFN117" s="182"/>
      <c r="UFO117" s="181"/>
      <c r="UFP117" s="182"/>
      <c r="UFQ117" s="181"/>
      <c r="UFR117" s="182"/>
      <c r="UFS117" s="181"/>
      <c r="UFT117" s="182"/>
      <c r="UFU117" s="181"/>
      <c r="UFV117" s="182"/>
      <c r="UFW117" s="181"/>
      <c r="UFX117" s="182"/>
      <c r="UFY117" s="181"/>
      <c r="UFZ117" s="182"/>
      <c r="UGA117" s="181"/>
      <c r="UGB117" s="182"/>
      <c r="UGC117" s="181"/>
      <c r="UGD117" s="182"/>
      <c r="UGE117" s="181"/>
      <c r="UGF117" s="182"/>
      <c r="UGG117" s="181"/>
      <c r="UGH117" s="182"/>
      <c r="UGI117" s="181"/>
      <c r="UGJ117" s="182"/>
      <c r="UGK117" s="181"/>
      <c r="UGL117" s="182"/>
      <c r="UGM117" s="181"/>
      <c r="UGN117" s="182"/>
      <c r="UGO117" s="181"/>
      <c r="UGP117" s="182"/>
      <c r="UGQ117" s="181"/>
      <c r="UGR117" s="182"/>
      <c r="UGS117" s="181"/>
      <c r="UGT117" s="182"/>
      <c r="UGU117" s="181"/>
      <c r="UGV117" s="182"/>
      <c r="UGW117" s="181"/>
      <c r="UGX117" s="182"/>
      <c r="UGY117" s="181"/>
      <c r="UGZ117" s="182"/>
      <c r="UHA117" s="181"/>
      <c r="UHB117" s="182"/>
      <c r="UHC117" s="181"/>
      <c r="UHD117" s="182"/>
      <c r="UHE117" s="181"/>
      <c r="UHF117" s="182"/>
      <c r="UHG117" s="181"/>
      <c r="UHH117" s="182"/>
      <c r="UHI117" s="181"/>
      <c r="UHJ117" s="182"/>
      <c r="UHK117" s="181"/>
      <c r="UHL117" s="182"/>
      <c r="UHM117" s="181"/>
      <c r="UHN117" s="182"/>
      <c r="UHO117" s="181"/>
      <c r="UHP117" s="182"/>
      <c r="UHQ117" s="181"/>
      <c r="UHR117" s="182"/>
      <c r="UHS117" s="181"/>
      <c r="UHT117" s="182"/>
      <c r="UHU117" s="181"/>
      <c r="UHV117" s="182"/>
      <c r="UHW117" s="181"/>
      <c r="UHX117" s="182"/>
      <c r="UHY117" s="181"/>
      <c r="UHZ117" s="182"/>
      <c r="UIA117" s="181"/>
      <c r="UIB117" s="182"/>
      <c r="UIC117" s="181"/>
      <c r="UID117" s="182"/>
      <c r="UIE117" s="181"/>
      <c r="UIF117" s="182"/>
      <c r="UIG117" s="181"/>
      <c r="UIH117" s="182"/>
      <c r="UII117" s="181"/>
      <c r="UIJ117" s="182"/>
      <c r="UIK117" s="181"/>
      <c r="UIL117" s="182"/>
      <c r="UIM117" s="181"/>
      <c r="UIN117" s="182"/>
      <c r="UIO117" s="181"/>
      <c r="UIP117" s="182"/>
      <c r="UIQ117" s="181"/>
      <c r="UIR117" s="182"/>
      <c r="UIS117" s="181"/>
      <c r="UIT117" s="182"/>
      <c r="UIU117" s="181"/>
      <c r="UIV117" s="182"/>
      <c r="UIW117" s="181"/>
      <c r="UIX117" s="182"/>
      <c r="UIY117" s="181"/>
      <c r="UIZ117" s="182"/>
      <c r="UJA117" s="181"/>
      <c r="UJB117" s="182"/>
      <c r="UJC117" s="181"/>
      <c r="UJD117" s="182"/>
      <c r="UJE117" s="181"/>
      <c r="UJF117" s="182"/>
      <c r="UJG117" s="181"/>
      <c r="UJH117" s="182"/>
      <c r="UJI117" s="181"/>
      <c r="UJJ117" s="182"/>
      <c r="UJK117" s="181"/>
      <c r="UJL117" s="182"/>
      <c r="UJM117" s="181"/>
      <c r="UJN117" s="182"/>
      <c r="UJO117" s="181"/>
      <c r="UJP117" s="182"/>
      <c r="UJQ117" s="181"/>
      <c r="UJR117" s="182"/>
      <c r="UJS117" s="181"/>
      <c r="UJT117" s="182"/>
      <c r="UJU117" s="181"/>
      <c r="UJV117" s="182"/>
      <c r="UJW117" s="181"/>
      <c r="UJX117" s="182"/>
      <c r="UJY117" s="181"/>
      <c r="UJZ117" s="182"/>
      <c r="UKA117" s="181"/>
      <c r="UKB117" s="182"/>
      <c r="UKC117" s="181"/>
      <c r="UKD117" s="182"/>
      <c r="UKE117" s="181"/>
      <c r="UKF117" s="182"/>
      <c r="UKG117" s="181"/>
      <c r="UKH117" s="182"/>
      <c r="UKI117" s="181"/>
      <c r="UKJ117" s="182"/>
      <c r="UKK117" s="181"/>
      <c r="UKL117" s="182"/>
      <c r="UKM117" s="181"/>
      <c r="UKN117" s="182"/>
      <c r="UKO117" s="181"/>
      <c r="UKP117" s="182"/>
      <c r="UKQ117" s="181"/>
      <c r="UKR117" s="182"/>
      <c r="UKS117" s="181"/>
      <c r="UKT117" s="182"/>
      <c r="UKU117" s="181"/>
      <c r="UKV117" s="182"/>
      <c r="UKW117" s="181"/>
      <c r="UKX117" s="182"/>
      <c r="UKY117" s="181"/>
      <c r="UKZ117" s="182"/>
      <c r="ULA117" s="181"/>
      <c r="ULB117" s="182"/>
      <c r="ULC117" s="181"/>
      <c r="ULD117" s="182"/>
      <c r="ULE117" s="181"/>
      <c r="ULF117" s="182"/>
      <c r="ULG117" s="181"/>
      <c r="ULH117" s="182"/>
      <c r="ULI117" s="181"/>
      <c r="ULJ117" s="182"/>
      <c r="ULK117" s="181"/>
      <c r="ULL117" s="182"/>
      <c r="ULM117" s="181"/>
      <c r="ULN117" s="182"/>
      <c r="ULO117" s="181"/>
      <c r="ULP117" s="182"/>
      <c r="ULQ117" s="181"/>
      <c r="ULR117" s="182"/>
      <c r="ULS117" s="181"/>
      <c r="ULT117" s="182"/>
      <c r="ULU117" s="181"/>
      <c r="ULV117" s="182"/>
      <c r="ULW117" s="181"/>
      <c r="ULX117" s="182"/>
      <c r="ULY117" s="181"/>
      <c r="ULZ117" s="182"/>
      <c r="UMA117" s="181"/>
      <c r="UMB117" s="182"/>
      <c r="UMC117" s="181"/>
      <c r="UMD117" s="182"/>
      <c r="UME117" s="181"/>
      <c r="UMF117" s="182"/>
      <c r="UMG117" s="181"/>
      <c r="UMH117" s="182"/>
      <c r="UMI117" s="181"/>
      <c r="UMJ117" s="182"/>
      <c r="UMK117" s="181"/>
      <c r="UML117" s="182"/>
      <c r="UMM117" s="181"/>
      <c r="UMN117" s="182"/>
      <c r="UMO117" s="181"/>
      <c r="UMP117" s="182"/>
      <c r="UMQ117" s="181"/>
      <c r="UMR117" s="182"/>
      <c r="UMS117" s="181"/>
      <c r="UMT117" s="182"/>
      <c r="UMU117" s="181"/>
      <c r="UMV117" s="182"/>
      <c r="UMW117" s="181"/>
      <c r="UMX117" s="182"/>
      <c r="UMY117" s="181"/>
      <c r="UMZ117" s="182"/>
      <c r="UNA117" s="181"/>
      <c r="UNB117" s="182"/>
      <c r="UNC117" s="181"/>
      <c r="UND117" s="182"/>
      <c r="UNE117" s="181"/>
      <c r="UNF117" s="182"/>
      <c r="UNG117" s="181"/>
      <c r="UNH117" s="182"/>
      <c r="UNI117" s="181"/>
      <c r="UNJ117" s="182"/>
      <c r="UNK117" s="181"/>
      <c r="UNL117" s="182"/>
      <c r="UNM117" s="181"/>
      <c r="UNN117" s="182"/>
      <c r="UNO117" s="181"/>
      <c r="UNP117" s="182"/>
      <c r="UNQ117" s="181"/>
      <c r="UNR117" s="182"/>
      <c r="UNS117" s="181"/>
      <c r="UNT117" s="182"/>
      <c r="UNU117" s="181"/>
      <c r="UNV117" s="182"/>
      <c r="UNW117" s="181"/>
      <c r="UNX117" s="182"/>
      <c r="UNY117" s="181"/>
      <c r="UNZ117" s="182"/>
      <c r="UOA117" s="181"/>
      <c r="UOB117" s="182"/>
      <c r="UOC117" s="181"/>
      <c r="UOD117" s="182"/>
      <c r="UOE117" s="181"/>
      <c r="UOF117" s="182"/>
      <c r="UOG117" s="181"/>
      <c r="UOH117" s="182"/>
      <c r="UOI117" s="181"/>
      <c r="UOJ117" s="182"/>
      <c r="UOK117" s="181"/>
      <c r="UOL117" s="182"/>
      <c r="UOM117" s="181"/>
      <c r="UON117" s="182"/>
      <c r="UOO117" s="181"/>
      <c r="UOP117" s="182"/>
      <c r="UOQ117" s="181"/>
      <c r="UOR117" s="182"/>
      <c r="UOS117" s="181"/>
      <c r="UOT117" s="182"/>
      <c r="UOU117" s="181"/>
      <c r="UOV117" s="182"/>
      <c r="UOW117" s="181"/>
      <c r="UOX117" s="182"/>
      <c r="UOY117" s="181"/>
      <c r="UOZ117" s="182"/>
      <c r="UPA117" s="181"/>
      <c r="UPB117" s="182"/>
      <c r="UPC117" s="181"/>
      <c r="UPD117" s="182"/>
      <c r="UPE117" s="181"/>
      <c r="UPF117" s="182"/>
      <c r="UPG117" s="181"/>
      <c r="UPH117" s="182"/>
      <c r="UPI117" s="181"/>
      <c r="UPJ117" s="182"/>
      <c r="UPK117" s="181"/>
      <c r="UPL117" s="182"/>
      <c r="UPM117" s="181"/>
      <c r="UPN117" s="182"/>
      <c r="UPO117" s="181"/>
      <c r="UPP117" s="182"/>
      <c r="UPQ117" s="181"/>
      <c r="UPR117" s="182"/>
      <c r="UPS117" s="181"/>
      <c r="UPT117" s="182"/>
      <c r="UPU117" s="181"/>
      <c r="UPV117" s="182"/>
      <c r="UPW117" s="181"/>
      <c r="UPX117" s="182"/>
      <c r="UPY117" s="181"/>
      <c r="UPZ117" s="182"/>
      <c r="UQA117" s="181"/>
      <c r="UQB117" s="182"/>
      <c r="UQC117" s="181"/>
      <c r="UQD117" s="182"/>
      <c r="UQE117" s="181"/>
      <c r="UQF117" s="182"/>
      <c r="UQG117" s="181"/>
      <c r="UQH117" s="182"/>
      <c r="UQI117" s="181"/>
      <c r="UQJ117" s="182"/>
      <c r="UQK117" s="181"/>
      <c r="UQL117" s="182"/>
      <c r="UQM117" s="181"/>
      <c r="UQN117" s="182"/>
      <c r="UQO117" s="181"/>
      <c r="UQP117" s="182"/>
      <c r="UQQ117" s="181"/>
      <c r="UQR117" s="182"/>
      <c r="UQS117" s="181"/>
      <c r="UQT117" s="182"/>
      <c r="UQU117" s="181"/>
      <c r="UQV117" s="182"/>
      <c r="UQW117" s="181"/>
      <c r="UQX117" s="182"/>
      <c r="UQY117" s="181"/>
      <c r="UQZ117" s="182"/>
      <c r="URA117" s="181"/>
      <c r="URB117" s="182"/>
      <c r="URC117" s="181"/>
      <c r="URD117" s="182"/>
      <c r="URE117" s="181"/>
      <c r="URF117" s="182"/>
      <c r="URG117" s="181"/>
      <c r="URH117" s="182"/>
      <c r="URI117" s="181"/>
      <c r="URJ117" s="182"/>
      <c r="URK117" s="181"/>
      <c r="URL117" s="182"/>
      <c r="URM117" s="181"/>
      <c r="URN117" s="182"/>
      <c r="URO117" s="181"/>
      <c r="URP117" s="182"/>
      <c r="URQ117" s="181"/>
      <c r="URR117" s="182"/>
      <c r="URS117" s="181"/>
      <c r="URT117" s="182"/>
      <c r="URU117" s="181"/>
      <c r="URV117" s="182"/>
      <c r="URW117" s="181"/>
      <c r="URX117" s="182"/>
      <c r="URY117" s="181"/>
      <c r="URZ117" s="182"/>
      <c r="USA117" s="181"/>
      <c r="USB117" s="182"/>
      <c r="USC117" s="181"/>
      <c r="USD117" s="182"/>
      <c r="USE117" s="181"/>
      <c r="USF117" s="182"/>
      <c r="USG117" s="181"/>
      <c r="USH117" s="182"/>
      <c r="USI117" s="181"/>
      <c r="USJ117" s="182"/>
      <c r="USK117" s="181"/>
      <c r="USL117" s="182"/>
      <c r="USM117" s="181"/>
      <c r="USN117" s="182"/>
      <c r="USO117" s="181"/>
      <c r="USP117" s="182"/>
      <c r="USQ117" s="181"/>
      <c r="USR117" s="182"/>
      <c r="USS117" s="181"/>
      <c r="UST117" s="182"/>
      <c r="USU117" s="181"/>
      <c r="USV117" s="182"/>
      <c r="USW117" s="181"/>
      <c r="USX117" s="182"/>
      <c r="USY117" s="181"/>
      <c r="USZ117" s="182"/>
      <c r="UTA117" s="181"/>
      <c r="UTB117" s="182"/>
      <c r="UTC117" s="181"/>
      <c r="UTD117" s="182"/>
      <c r="UTE117" s="181"/>
      <c r="UTF117" s="182"/>
      <c r="UTG117" s="181"/>
      <c r="UTH117" s="182"/>
      <c r="UTI117" s="181"/>
      <c r="UTJ117" s="182"/>
      <c r="UTK117" s="181"/>
      <c r="UTL117" s="182"/>
      <c r="UTM117" s="181"/>
      <c r="UTN117" s="182"/>
      <c r="UTO117" s="181"/>
      <c r="UTP117" s="182"/>
      <c r="UTQ117" s="181"/>
      <c r="UTR117" s="182"/>
      <c r="UTS117" s="181"/>
      <c r="UTT117" s="182"/>
      <c r="UTU117" s="181"/>
      <c r="UTV117" s="182"/>
      <c r="UTW117" s="181"/>
      <c r="UTX117" s="182"/>
      <c r="UTY117" s="181"/>
      <c r="UTZ117" s="182"/>
      <c r="UUA117" s="181"/>
      <c r="UUB117" s="182"/>
      <c r="UUC117" s="181"/>
      <c r="UUD117" s="182"/>
      <c r="UUE117" s="181"/>
      <c r="UUF117" s="182"/>
      <c r="UUG117" s="181"/>
      <c r="UUH117" s="182"/>
      <c r="UUI117" s="181"/>
      <c r="UUJ117" s="182"/>
      <c r="UUK117" s="181"/>
      <c r="UUL117" s="182"/>
      <c r="UUM117" s="181"/>
      <c r="UUN117" s="182"/>
      <c r="UUO117" s="181"/>
      <c r="UUP117" s="182"/>
      <c r="UUQ117" s="181"/>
      <c r="UUR117" s="182"/>
      <c r="UUS117" s="181"/>
      <c r="UUT117" s="182"/>
      <c r="UUU117" s="181"/>
      <c r="UUV117" s="182"/>
      <c r="UUW117" s="181"/>
      <c r="UUX117" s="182"/>
      <c r="UUY117" s="181"/>
      <c r="UUZ117" s="182"/>
      <c r="UVA117" s="181"/>
      <c r="UVB117" s="182"/>
      <c r="UVC117" s="181"/>
      <c r="UVD117" s="182"/>
      <c r="UVE117" s="181"/>
      <c r="UVF117" s="182"/>
      <c r="UVG117" s="181"/>
      <c r="UVH117" s="182"/>
      <c r="UVI117" s="181"/>
      <c r="UVJ117" s="182"/>
      <c r="UVK117" s="181"/>
      <c r="UVL117" s="182"/>
      <c r="UVM117" s="181"/>
      <c r="UVN117" s="182"/>
      <c r="UVO117" s="181"/>
      <c r="UVP117" s="182"/>
      <c r="UVQ117" s="181"/>
      <c r="UVR117" s="182"/>
      <c r="UVS117" s="181"/>
      <c r="UVT117" s="182"/>
      <c r="UVU117" s="181"/>
      <c r="UVV117" s="182"/>
      <c r="UVW117" s="181"/>
      <c r="UVX117" s="182"/>
      <c r="UVY117" s="181"/>
      <c r="UVZ117" s="182"/>
      <c r="UWA117" s="181"/>
      <c r="UWB117" s="182"/>
      <c r="UWC117" s="181"/>
      <c r="UWD117" s="182"/>
      <c r="UWE117" s="181"/>
      <c r="UWF117" s="182"/>
      <c r="UWG117" s="181"/>
      <c r="UWH117" s="182"/>
      <c r="UWI117" s="181"/>
      <c r="UWJ117" s="182"/>
      <c r="UWK117" s="181"/>
      <c r="UWL117" s="182"/>
      <c r="UWM117" s="181"/>
      <c r="UWN117" s="182"/>
      <c r="UWO117" s="181"/>
      <c r="UWP117" s="182"/>
      <c r="UWQ117" s="181"/>
      <c r="UWR117" s="182"/>
      <c r="UWS117" s="181"/>
      <c r="UWT117" s="182"/>
      <c r="UWU117" s="181"/>
      <c r="UWV117" s="182"/>
      <c r="UWW117" s="181"/>
      <c r="UWX117" s="182"/>
      <c r="UWY117" s="181"/>
      <c r="UWZ117" s="182"/>
      <c r="UXA117" s="181"/>
      <c r="UXB117" s="182"/>
      <c r="UXC117" s="181"/>
      <c r="UXD117" s="182"/>
      <c r="UXE117" s="181"/>
      <c r="UXF117" s="182"/>
      <c r="UXG117" s="181"/>
      <c r="UXH117" s="182"/>
      <c r="UXI117" s="181"/>
      <c r="UXJ117" s="182"/>
      <c r="UXK117" s="181"/>
      <c r="UXL117" s="182"/>
      <c r="UXM117" s="181"/>
      <c r="UXN117" s="182"/>
      <c r="UXO117" s="181"/>
      <c r="UXP117" s="182"/>
      <c r="UXQ117" s="181"/>
      <c r="UXR117" s="182"/>
      <c r="UXS117" s="181"/>
      <c r="UXT117" s="182"/>
      <c r="UXU117" s="181"/>
      <c r="UXV117" s="182"/>
      <c r="UXW117" s="181"/>
      <c r="UXX117" s="182"/>
      <c r="UXY117" s="181"/>
      <c r="UXZ117" s="182"/>
      <c r="UYA117" s="181"/>
      <c r="UYB117" s="182"/>
      <c r="UYC117" s="181"/>
      <c r="UYD117" s="182"/>
      <c r="UYE117" s="181"/>
      <c r="UYF117" s="182"/>
      <c r="UYG117" s="181"/>
      <c r="UYH117" s="182"/>
      <c r="UYI117" s="181"/>
      <c r="UYJ117" s="182"/>
      <c r="UYK117" s="181"/>
      <c r="UYL117" s="182"/>
      <c r="UYM117" s="181"/>
      <c r="UYN117" s="182"/>
      <c r="UYO117" s="181"/>
      <c r="UYP117" s="182"/>
      <c r="UYQ117" s="181"/>
      <c r="UYR117" s="182"/>
      <c r="UYS117" s="181"/>
      <c r="UYT117" s="182"/>
      <c r="UYU117" s="181"/>
      <c r="UYV117" s="182"/>
      <c r="UYW117" s="181"/>
      <c r="UYX117" s="182"/>
      <c r="UYY117" s="181"/>
      <c r="UYZ117" s="182"/>
      <c r="UZA117" s="181"/>
      <c r="UZB117" s="182"/>
      <c r="UZC117" s="181"/>
      <c r="UZD117" s="182"/>
      <c r="UZE117" s="181"/>
      <c r="UZF117" s="182"/>
      <c r="UZG117" s="181"/>
      <c r="UZH117" s="182"/>
      <c r="UZI117" s="181"/>
      <c r="UZJ117" s="182"/>
      <c r="UZK117" s="181"/>
      <c r="UZL117" s="182"/>
      <c r="UZM117" s="181"/>
      <c r="UZN117" s="182"/>
      <c r="UZO117" s="181"/>
      <c r="UZP117" s="182"/>
      <c r="UZQ117" s="181"/>
      <c r="UZR117" s="182"/>
      <c r="UZS117" s="181"/>
      <c r="UZT117" s="182"/>
      <c r="UZU117" s="181"/>
      <c r="UZV117" s="182"/>
      <c r="UZW117" s="181"/>
      <c r="UZX117" s="182"/>
      <c r="UZY117" s="181"/>
      <c r="UZZ117" s="182"/>
      <c r="VAA117" s="181"/>
      <c r="VAB117" s="182"/>
      <c r="VAC117" s="181"/>
      <c r="VAD117" s="182"/>
      <c r="VAE117" s="181"/>
      <c r="VAF117" s="182"/>
      <c r="VAG117" s="181"/>
      <c r="VAH117" s="182"/>
      <c r="VAI117" s="181"/>
      <c r="VAJ117" s="182"/>
      <c r="VAK117" s="181"/>
      <c r="VAL117" s="182"/>
      <c r="VAM117" s="181"/>
      <c r="VAN117" s="182"/>
      <c r="VAO117" s="181"/>
      <c r="VAP117" s="182"/>
      <c r="VAQ117" s="181"/>
      <c r="VAR117" s="182"/>
      <c r="VAS117" s="181"/>
      <c r="VAT117" s="182"/>
      <c r="VAU117" s="181"/>
      <c r="VAV117" s="182"/>
      <c r="VAW117" s="181"/>
      <c r="VAX117" s="182"/>
      <c r="VAY117" s="181"/>
      <c r="VAZ117" s="182"/>
      <c r="VBA117" s="181"/>
      <c r="VBB117" s="182"/>
      <c r="VBC117" s="181"/>
      <c r="VBD117" s="182"/>
      <c r="VBE117" s="181"/>
      <c r="VBF117" s="182"/>
      <c r="VBG117" s="181"/>
      <c r="VBH117" s="182"/>
      <c r="VBI117" s="181"/>
      <c r="VBJ117" s="182"/>
      <c r="VBK117" s="181"/>
      <c r="VBL117" s="182"/>
      <c r="VBM117" s="181"/>
      <c r="VBN117" s="182"/>
      <c r="VBO117" s="181"/>
      <c r="VBP117" s="182"/>
      <c r="VBQ117" s="181"/>
      <c r="VBR117" s="182"/>
      <c r="VBS117" s="181"/>
      <c r="VBT117" s="182"/>
      <c r="VBU117" s="181"/>
      <c r="VBV117" s="182"/>
      <c r="VBW117" s="181"/>
      <c r="VBX117" s="182"/>
      <c r="VBY117" s="181"/>
      <c r="VBZ117" s="182"/>
      <c r="VCA117" s="181"/>
      <c r="VCB117" s="182"/>
      <c r="VCC117" s="181"/>
      <c r="VCD117" s="182"/>
      <c r="VCE117" s="181"/>
      <c r="VCF117" s="182"/>
      <c r="VCG117" s="181"/>
      <c r="VCH117" s="182"/>
      <c r="VCI117" s="181"/>
      <c r="VCJ117" s="182"/>
      <c r="VCK117" s="181"/>
      <c r="VCL117" s="182"/>
      <c r="VCM117" s="181"/>
      <c r="VCN117" s="182"/>
      <c r="VCO117" s="181"/>
      <c r="VCP117" s="182"/>
      <c r="VCQ117" s="181"/>
      <c r="VCR117" s="182"/>
      <c r="VCS117" s="181"/>
      <c r="VCT117" s="182"/>
      <c r="VCU117" s="181"/>
      <c r="VCV117" s="182"/>
      <c r="VCW117" s="181"/>
      <c r="VCX117" s="182"/>
      <c r="VCY117" s="181"/>
      <c r="VCZ117" s="182"/>
      <c r="VDA117" s="181"/>
      <c r="VDB117" s="182"/>
      <c r="VDC117" s="181"/>
      <c r="VDD117" s="182"/>
      <c r="VDE117" s="181"/>
      <c r="VDF117" s="182"/>
      <c r="VDG117" s="181"/>
      <c r="VDH117" s="182"/>
      <c r="VDI117" s="181"/>
      <c r="VDJ117" s="182"/>
      <c r="VDK117" s="181"/>
      <c r="VDL117" s="182"/>
      <c r="VDM117" s="181"/>
      <c r="VDN117" s="182"/>
      <c r="VDO117" s="181"/>
      <c r="VDP117" s="182"/>
      <c r="VDQ117" s="181"/>
      <c r="VDR117" s="182"/>
      <c r="VDS117" s="181"/>
      <c r="VDT117" s="182"/>
      <c r="VDU117" s="181"/>
      <c r="VDV117" s="182"/>
      <c r="VDW117" s="181"/>
      <c r="VDX117" s="182"/>
      <c r="VDY117" s="181"/>
      <c r="VDZ117" s="182"/>
      <c r="VEA117" s="181"/>
      <c r="VEB117" s="182"/>
      <c r="VEC117" s="181"/>
      <c r="VED117" s="182"/>
      <c r="VEE117" s="181"/>
      <c r="VEF117" s="182"/>
      <c r="VEG117" s="181"/>
      <c r="VEH117" s="182"/>
      <c r="VEI117" s="181"/>
      <c r="VEJ117" s="182"/>
      <c r="VEK117" s="181"/>
      <c r="VEL117" s="182"/>
      <c r="VEM117" s="181"/>
      <c r="VEN117" s="182"/>
      <c r="VEO117" s="181"/>
      <c r="VEP117" s="182"/>
      <c r="VEQ117" s="181"/>
      <c r="VER117" s="182"/>
      <c r="VES117" s="181"/>
      <c r="VET117" s="182"/>
      <c r="VEU117" s="181"/>
      <c r="VEV117" s="182"/>
      <c r="VEW117" s="181"/>
      <c r="VEX117" s="182"/>
      <c r="VEY117" s="181"/>
      <c r="VEZ117" s="182"/>
      <c r="VFA117" s="181"/>
      <c r="VFB117" s="182"/>
      <c r="VFC117" s="181"/>
      <c r="VFD117" s="182"/>
      <c r="VFE117" s="181"/>
      <c r="VFF117" s="182"/>
      <c r="VFG117" s="181"/>
      <c r="VFH117" s="182"/>
      <c r="VFI117" s="181"/>
      <c r="VFJ117" s="182"/>
      <c r="VFK117" s="181"/>
      <c r="VFL117" s="182"/>
      <c r="VFM117" s="181"/>
      <c r="VFN117" s="182"/>
      <c r="VFO117" s="181"/>
      <c r="VFP117" s="182"/>
      <c r="VFQ117" s="181"/>
      <c r="VFR117" s="182"/>
      <c r="VFS117" s="181"/>
      <c r="VFT117" s="182"/>
      <c r="VFU117" s="181"/>
      <c r="VFV117" s="182"/>
      <c r="VFW117" s="181"/>
      <c r="VFX117" s="182"/>
      <c r="VFY117" s="181"/>
      <c r="VFZ117" s="182"/>
      <c r="VGA117" s="181"/>
      <c r="VGB117" s="182"/>
      <c r="VGC117" s="181"/>
      <c r="VGD117" s="182"/>
      <c r="VGE117" s="181"/>
      <c r="VGF117" s="182"/>
      <c r="VGG117" s="181"/>
      <c r="VGH117" s="182"/>
      <c r="VGI117" s="181"/>
      <c r="VGJ117" s="182"/>
      <c r="VGK117" s="181"/>
      <c r="VGL117" s="182"/>
      <c r="VGM117" s="181"/>
      <c r="VGN117" s="182"/>
      <c r="VGO117" s="181"/>
      <c r="VGP117" s="182"/>
      <c r="VGQ117" s="181"/>
      <c r="VGR117" s="182"/>
      <c r="VGS117" s="181"/>
      <c r="VGT117" s="182"/>
      <c r="VGU117" s="181"/>
      <c r="VGV117" s="182"/>
      <c r="VGW117" s="181"/>
      <c r="VGX117" s="182"/>
      <c r="VGY117" s="181"/>
      <c r="VGZ117" s="182"/>
      <c r="VHA117" s="181"/>
      <c r="VHB117" s="182"/>
      <c r="VHC117" s="181"/>
      <c r="VHD117" s="182"/>
      <c r="VHE117" s="181"/>
      <c r="VHF117" s="182"/>
      <c r="VHG117" s="181"/>
      <c r="VHH117" s="182"/>
      <c r="VHI117" s="181"/>
      <c r="VHJ117" s="182"/>
      <c r="VHK117" s="181"/>
      <c r="VHL117" s="182"/>
      <c r="VHM117" s="181"/>
      <c r="VHN117" s="182"/>
      <c r="VHO117" s="181"/>
      <c r="VHP117" s="182"/>
      <c r="VHQ117" s="181"/>
      <c r="VHR117" s="182"/>
      <c r="VHS117" s="181"/>
      <c r="VHT117" s="182"/>
      <c r="VHU117" s="181"/>
      <c r="VHV117" s="182"/>
      <c r="VHW117" s="181"/>
      <c r="VHX117" s="182"/>
      <c r="VHY117" s="181"/>
      <c r="VHZ117" s="182"/>
      <c r="VIA117" s="181"/>
      <c r="VIB117" s="182"/>
      <c r="VIC117" s="181"/>
      <c r="VID117" s="182"/>
      <c r="VIE117" s="181"/>
      <c r="VIF117" s="182"/>
      <c r="VIG117" s="181"/>
      <c r="VIH117" s="182"/>
      <c r="VII117" s="181"/>
      <c r="VIJ117" s="182"/>
      <c r="VIK117" s="181"/>
      <c r="VIL117" s="182"/>
      <c r="VIM117" s="181"/>
      <c r="VIN117" s="182"/>
      <c r="VIO117" s="181"/>
      <c r="VIP117" s="182"/>
      <c r="VIQ117" s="181"/>
      <c r="VIR117" s="182"/>
      <c r="VIS117" s="181"/>
      <c r="VIT117" s="182"/>
      <c r="VIU117" s="181"/>
      <c r="VIV117" s="182"/>
      <c r="VIW117" s="181"/>
      <c r="VIX117" s="182"/>
      <c r="VIY117" s="181"/>
      <c r="VIZ117" s="182"/>
      <c r="VJA117" s="181"/>
      <c r="VJB117" s="182"/>
      <c r="VJC117" s="181"/>
      <c r="VJD117" s="182"/>
      <c r="VJE117" s="181"/>
      <c r="VJF117" s="182"/>
      <c r="VJG117" s="181"/>
      <c r="VJH117" s="182"/>
      <c r="VJI117" s="181"/>
      <c r="VJJ117" s="182"/>
      <c r="VJK117" s="181"/>
      <c r="VJL117" s="182"/>
      <c r="VJM117" s="181"/>
      <c r="VJN117" s="182"/>
      <c r="VJO117" s="181"/>
      <c r="VJP117" s="182"/>
      <c r="VJQ117" s="181"/>
      <c r="VJR117" s="182"/>
      <c r="VJS117" s="181"/>
      <c r="VJT117" s="182"/>
      <c r="VJU117" s="181"/>
      <c r="VJV117" s="182"/>
      <c r="VJW117" s="181"/>
      <c r="VJX117" s="182"/>
      <c r="VJY117" s="181"/>
      <c r="VJZ117" s="182"/>
      <c r="VKA117" s="181"/>
      <c r="VKB117" s="182"/>
      <c r="VKC117" s="181"/>
      <c r="VKD117" s="182"/>
      <c r="VKE117" s="181"/>
      <c r="VKF117" s="182"/>
      <c r="VKG117" s="181"/>
      <c r="VKH117" s="182"/>
      <c r="VKI117" s="181"/>
      <c r="VKJ117" s="182"/>
      <c r="VKK117" s="181"/>
      <c r="VKL117" s="182"/>
      <c r="VKM117" s="181"/>
      <c r="VKN117" s="182"/>
      <c r="VKO117" s="181"/>
      <c r="VKP117" s="182"/>
      <c r="VKQ117" s="181"/>
      <c r="VKR117" s="182"/>
      <c r="VKS117" s="181"/>
      <c r="VKT117" s="182"/>
      <c r="VKU117" s="181"/>
      <c r="VKV117" s="182"/>
      <c r="VKW117" s="181"/>
      <c r="VKX117" s="182"/>
      <c r="VKY117" s="181"/>
      <c r="VKZ117" s="182"/>
      <c r="VLA117" s="181"/>
      <c r="VLB117" s="182"/>
      <c r="VLC117" s="181"/>
      <c r="VLD117" s="182"/>
      <c r="VLE117" s="181"/>
      <c r="VLF117" s="182"/>
      <c r="VLG117" s="181"/>
      <c r="VLH117" s="182"/>
      <c r="VLI117" s="181"/>
      <c r="VLJ117" s="182"/>
      <c r="VLK117" s="181"/>
      <c r="VLL117" s="182"/>
      <c r="VLM117" s="181"/>
      <c r="VLN117" s="182"/>
      <c r="VLO117" s="181"/>
      <c r="VLP117" s="182"/>
      <c r="VLQ117" s="181"/>
      <c r="VLR117" s="182"/>
      <c r="VLS117" s="181"/>
      <c r="VLT117" s="182"/>
      <c r="VLU117" s="181"/>
      <c r="VLV117" s="182"/>
      <c r="VLW117" s="181"/>
      <c r="VLX117" s="182"/>
      <c r="VLY117" s="181"/>
      <c r="VLZ117" s="182"/>
      <c r="VMA117" s="181"/>
      <c r="VMB117" s="182"/>
      <c r="VMC117" s="181"/>
      <c r="VMD117" s="182"/>
      <c r="VME117" s="181"/>
      <c r="VMF117" s="182"/>
      <c r="VMG117" s="181"/>
      <c r="VMH117" s="182"/>
      <c r="VMI117" s="181"/>
      <c r="VMJ117" s="182"/>
      <c r="VMK117" s="181"/>
      <c r="VML117" s="182"/>
      <c r="VMM117" s="181"/>
      <c r="VMN117" s="182"/>
      <c r="VMO117" s="181"/>
      <c r="VMP117" s="182"/>
      <c r="VMQ117" s="181"/>
      <c r="VMR117" s="182"/>
      <c r="VMS117" s="181"/>
      <c r="VMT117" s="182"/>
      <c r="VMU117" s="181"/>
      <c r="VMV117" s="182"/>
      <c r="VMW117" s="181"/>
      <c r="VMX117" s="182"/>
      <c r="VMY117" s="181"/>
      <c r="VMZ117" s="182"/>
      <c r="VNA117" s="181"/>
      <c r="VNB117" s="182"/>
      <c r="VNC117" s="181"/>
      <c r="VND117" s="182"/>
      <c r="VNE117" s="181"/>
      <c r="VNF117" s="182"/>
      <c r="VNG117" s="181"/>
      <c r="VNH117" s="182"/>
      <c r="VNI117" s="181"/>
      <c r="VNJ117" s="182"/>
      <c r="VNK117" s="181"/>
      <c r="VNL117" s="182"/>
      <c r="VNM117" s="181"/>
      <c r="VNN117" s="182"/>
      <c r="VNO117" s="181"/>
      <c r="VNP117" s="182"/>
      <c r="VNQ117" s="181"/>
      <c r="VNR117" s="182"/>
      <c r="VNS117" s="181"/>
      <c r="VNT117" s="182"/>
      <c r="VNU117" s="181"/>
      <c r="VNV117" s="182"/>
      <c r="VNW117" s="181"/>
      <c r="VNX117" s="182"/>
      <c r="VNY117" s="181"/>
      <c r="VNZ117" s="182"/>
      <c r="VOA117" s="181"/>
      <c r="VOB117" s="182"/>
      <c r="VOC117" s="181"/>
      <c r="VOD117" s="182"/>
      <c r="VOE117" s="181"/>
      <c r="VOF117" s="182"/>
      <c r="VOG117" s="181"/>
      <c r="VOH117" s="182"/>
      <c r="VOI117" s="181"/>
      <c r="VOJ117" s="182"/>
      <c r="VOK117" s="181"/>
      <c r="VOL117" s="182"/>
      <c r="VOM117" s="181"/>
      <c r="VON117" s="182"/>
      <c r="VOO117" s="181"/>
      <c r="VOP117" s="182"/>
      <c r="VOQ117" s="181"/>
      <c r="VOR117" s="182"/>
      <c r="VOS117" s="181"/>
      <c r="VOT117" s="182"/>
      <c r="VOU117" s="181"/>
      <c r="VOV117" s="182"/>
      <c r="VOW117" s="181"/>
      <c r="VOX117" s="182"/>
      <c r="VOY117" s="181"/>
      <c r="VOZ117" s="182"/>
      <c r="VPA117" s="181"/>
      <c r="VPB117" s="182"/>
      <c r="VPC117" s="181"/>
      <c r="VPD117" s="182"/>
      <c r="VPE117" s="181"/>
      <c r="VPF117" s="182"/>
      <c r="VPG117" s="181"/>
      <c r="VPH117" s="182"/>
      <c r="VPI117" s="181"/>
      <c r="VPJ117" s="182"/>
      <c r="VPK117" s="181"/>
      <c r="VPL117" s="182"/>
      <c r="VPM117" s="181"/>
      <c r="VPN117" s="182"/>
      <c r="VPO117" s="181"/>
      <c r="VPP117" s="182"/>
      <c r="VPQ117" s="181"/>
      <c r="VPR117" s="182"/>
      <c r="VPS117" s="181"/>
      <c r="VPT117" s="182"/>
      <c r="VPU117" s="181"/>
      <c r="VPV117" s="182"/>
      <c r="VPW117" s="181"/>
      <c r="VPX117" s="182"/>
      <c r="VPY117" s="181"/>
      <c r="VPZ117" s="182"/>
      <c r="VQA117" s="181"/>
      <c r="VQB117" s="182"/>
      <c r="VQC117" s="181"/>
      <c r="VQD117" s="182"/>
      <c r="VQE117" s="181"/>
      <c r="VQF117" s="182"/>
      <c r="VQG117" s="181"/>
      <c r="VQH117" s="182"/>
      <c r="VQI117" s="181"/>
      <c r="VQJ117" s="182"/>
      <c r="VQK117" s="181"/>
      <c r="VQL117" s="182"/>
      <c r="VQM117" s="181"/>
      <c r="VQN117" s="182"/>
      <c r="VQO117" s="181"/>
      <c r="VQP117" s="182"/>
      <c r="VQQ117" s="181"/>
      <c r="VQR117" s="182"/>
      <c r="VQS117" s="181"/>
      <c r="VQT117" s="182"/>
      <c r="VQU117" s="181"/>
      <c r="VQV117" s="182"/>
      <c r="VQW117" s="181"/>
      <c r="VQX117" s="182"/>
      <c r="VQY117" s="181"/>
      <c r="VQZ117" s="182"/>
      <c r="VRA117" s="181"/>
      <c r="VRB117" s="182"/>
      <c r="VRC117" s="181"/>
      <c r="VRD117" s="182"/>
      <c r="VRE117" s="181"/>
      <c r="VRF117" s="182"/>
      <c r="VRG117" s="181"/>
      <c r="VRH117" s="182"/>
      <c r="VRI117" s="181"/>
      <c r="VRJ117" s="182"/>
      <c r="VRK117" s="181"/>
      <c r="VRL117" s="182"/>
      <c r="VRM117" s="181"/>
      <c r="VRN117" s="182"/>
      <c r="VRO117" s="181"/>
      <c r="VRP117" s="182"/>
      <c r="VRQ117" s="181"/>
      <c r="VRR117" s="182"/>
      <c r="VRS117" s="181"/>
      <c r="VRT117" s="182"/>
      <c r="VRU117" s="181"/>
      <c r="VRV117" s="182"/>
      <c r="VRW117" s="181"/>
      <c r="VRX117" s="182"/>
      <c r="VRY117" s="181"/>
      <c r="VRZ117" s="182"/>
      <c r="VSA117" s="181"/>
      <c r="VSB117" s="182"/>
      <c r="VSC117" s="181"/>
      <c r="VSD117" s="182"/>
      <c r="VSE117" s="181"/>
      <c r="VSF117" s="182"/>
      <c r="VSG117" s="181"/>
      <c r="VSH117" s="182"/>
      <c r="VSI117" s="181"/>
      <c r="VSJ117" s="182"/>
      <c r="VSK117" s="181"/>
      <c r="VSL117" s="182"/>
      <c r="VSM117" s="181"/>
      <c r="VSN117" s="182"/>
      <c r="VSO117" s="181"/>
      <c r="VSP117" s="182"/>
      <c r="VSQ117" s="181"/>
      <c r="VSR117" s="182"/>
      <c r="VSS117" s="181"/>
      <c r="VST117" s="182"/>
      <c r="VSU117" s="181"/>
      <c r="VSV117" s="182"/>
      <c r="VSW117" s="181"/>
      <c r="VSX117" s="182"/>
      <c r="VSY117" s="181"/>
      <c r="VSZ117" s="182"/>
      <c r="VTA117" s="181"/>
      <c r="VTB117" s="182"/>
      <c r="VTC117" s="181"/>
      <c r="VTD117" s="182"/>
      <c r="VTE117" s="181"/>
      <c r="VTF117" s="182"/>
      <c r="VTG117" s="181"/>
      <c r="VTH117" s="182"/>
      <c r="VTI117" s="181"/>
      <c r="VTJ117" s="182"/>
      <c r="VTK117" s="181"/>
      <c r="VTL117" s="182"/>
      <c r="VTM117" s="181"/>
      <c r="VTN117" s="182"/>
      <c r="VTO117" s="181"/>
      <c r="VTP117" s="182"/>
      <c r="VTQ117" s="181"/>
      <c r="VTR117" s="182"/>
      <c r="VTS117" s="181"/>
      <c r="VTT117" s="182"/>
      <c r="VTU117" s="181"/>
      <c r="VTV117" s="182"/>
      <c r="VTW117" s="181"/>
      <c r="VTX117" s="182"/>
      <c r="VTY117" s="181"/>
      <c r="VTZ117" s="182"/>
      <c r="VUA117" s="181"/>
      <c r="VUB117" s="182"/>
      <c r="VUC117" s="181"/>
      <c r="VUD117" s="182"/>
      <c r="VUE117" s="181"/>
      <c r="VUF117" s="182"/>
      <c r="VUG117" s="181"/>
      <c r="VUH117" s="182"/>
      <c r="VUI117" s="181"/>
      <c r="VUJ117" s="182"/>
      <c r="VUK117" s="181"/>
      <c r="VUL117" s="182"/>
      <c r="VUM117" s="181"/>
      <c r="VUN117" s="182"/>
      <c r="VUO117" s="181"/>
      <c r="VUP117" s="182"/>
      <c r="VUQ117" s="181"/>
      <c r="VUR117" s="182"/>
      <c r="VUS117" s="181"/>
      <c r="VUT117" s="182"/>
      <c r="VUU117" s="181"/>
      <c r="VUV117" s="182"/>
      <c r="VUW117" s="181"/>
      <c r="VUX117" s="182"/>
      <c r="VUY117" s="181"/>
      <c r="VUZ117" s="182"/>
      <c r="VVA117" s="181"/>
      <c r="VVB117" s="182"/>
      <c r="VVC117" s="181"/>
      <c r="VVD117" s="182"/>
      <c r="VVE117" s="181"/>
      <c r="VVF117" s="182"/>
      <c r="VVG117" s="181"/>
      <c r="VVH117" s="182"/>
      <c r="VVI117" s="181"/>
      <c r="VVJ117" s="182"/>
      <c r="VVK117" s="181"/>
      <c r="VVL117" s="182"/>
      <c r="VVM117" s="181"/>
      <c r="VVN117" s="182"/>
      <c r="VVO117" s="181"/>
      <c r="VVP117" s="182"/>
      <c r="VVQ117" s="181"/>
      <c r="VVR117" s="182"/>
      <c r="VVS117" s="181"/>
      <c r="VVT117" s="182"/>
      <c r="VVU117" s="181"/>
      <c r="VVV117" s="182"/>
      <c r="VVW117" s="181"/>
      <c r="VVX117" s="182"/>
      <c r="VVY117" s="181"/>
      <c r="VVZ117" s="182"/>
      <c r="VWA117" s="181"/>
      <c r="VWB117" s="182"/>
      <c r="VWC117" s="181"/>
      <c r="VWD117" s="182"/>
      <c r="VWE117" s="181"/>
      <c r="VWF117" s="182"/>
      <c r="VWG117" s="181"/>
      <c r="VWH117" s="182"/>
      <c r="VWI117" s="181"/>
      <c r="VWJ117" s="182"/>
      <c r="VWK117" s="181"/>
      <c r="VWL117" s="182"/>
      <c r="VWM117" s="181"/>
      <c r="VWN117" s="182"/>
      <c r="VWO117" s="181"/>
      <c r="VWP117" s="182"/>
      <c r="VWQ117" s="181"/>
      <c r="VWR117" s="182"/>
      <c r="VWS117" s="181"/>
      <c r="VWT117" s="182"/>
      <c r="VWU117" s="181"/>
      <c r="VWV117" s="182"/>
      <c r="VWW117" s="181"/>
      <c r="VWX117" s="182"/>
      <c r="VWY117" s="181"/>
      <c r="VWZ117" s="182"/>
      <c r="VXA117" s="181"/>
      <c r="VXB117" s="182"/>
      <c r="VXC117" s="181"/>
      <c r="VXD117" s="182"/>
      <c r="VXE117" s="181"/>
      <c r="VXF117" s="182"/>
      <c r="VXG117" s="181"/>
      <c r="VXH117" s="182"/>
      <c r="VXI117" s="181"/>
      <c r="VXJ117" s="182"/>
      <c r="VXK117" s="181"/>
      <c r="VXL117" s="182"/>
      <c r="VXM117" s="181"/>
      <c r="VXN117" s="182"/>
      <c r="VXO117" s="181"/>
      <c r="VXP117" s="182"/>
      <c r="VXQ117" s="181"/>
      <c r="VXR117" s="182"/>
      <c r="VXS117" s="181"/>
      <c r="VXT117" s="182"/>
      <c r="VXU117" s="181"/>
      <c r="VXV117" s="182"/>
      <c r="VXW117" s="181"/>
      <c r="VXX117" s="182"/>
      <c r="VXY117" s="181"/>
      <c r="VXZ117" s="182"/>
      <c r="VYA117" s="181"/>
      <c r="VYB117" s="182"/>
      <c r="VYC117" s="181"/>
      <c r="VYD117" s="182"/>
      <c r="VYE117" s="181"/>
      <c r="VYF117" s="182"/>
      <c r="VYG117" s="181"/>
      <c r="VYH117" s="182"/>
      <c r="VYI117" s="181"/>
      <c r="VYJ117" s="182"/>
      <c r="VYK117" s="181"/>
      <c r="VYL117" s="182"/>
      <c r="VYM117" s="181"/>
      <c r="VYN117" s="182"/>
      <c r="VYO117" s="181"/>
      <c r="VYP117" s="182"/>
      <c r="VYQ117" s="181"/>
      <c r="VYR117" s="182"/>
      <c r="VYS117" s="181"/>
      <c r="VYT117" s="182"/>
      <c r="VYU117" s="181"/>
      <c r="VYV117" s="182"/>
      <c r="VYW117" s="181"/>
      <c r="VYX117" s="182"/>
      <c r="VYY117" s="181"/>
      <c r="VYZ117" s="182"/>
      <c r="VZA117" s="181"/>
      <c r="VZB117" s="182"/>
      <c r="VZC117" s="181"/>
      <c r="VZD117" s="182"/>
      <c r="VZE117" s="181"/>
      <c r="VZF117" s="182"/>
      <c r="VZG117" s="181"/>
      <c r="VZH117" s="182"/>
      <c r="VZI117" s="181"/>
      <c r="VZJ117" s="182"/>
      <c r="VZK117" s="181"/>
      <c r="VZL117" s="182"/>
      <c r="VZM117" s="181"/>
      <c r="VZN117" s="182"/>
      <c r="VZO117" s="181"/>
      <c r="VZP117" s="182"/>
      <c r="VZQ117" s="181"/>
      <c r="VZR117" s="182"/>
      <c r="VZS117" s="181"/>
      <c r="VZT117" s="182"/>
      <c r="VZU117" s="181"/>
      <c r="VZV117" s="182"/>
      <c r="VZW117" s="181"/>
      <c r="VZX117" s="182"/>
      <c r="VZY117" s="181"/>
      <c r="VZZ117" s="182"/>
      <c r="WAA117" s="181"/>
      <c r="WAB117" s="182"/>
      <c r="WAC117" s="181"/>
      <c r="WAD117" s="182"/>
      <c r="WAE117" s="181"/>
      <c r="WAF117" s="182"/>
      <c r="WAG117" s="181"/>
      <c r="WAH117" s="182"/>
      <c r="WAI117" s="181"/>
      <c r="WAJ117" s="182"/>
      <c r="WAK117" s="181"/>
      <c r="WAL117" s="182"/>
      <c r="WAM117" s="181"/>
      <c r="WAN117" s="182"/>
      <c r="WAO117" s="181"/>
      <c r="WAP117" s="182"/>
      <c r="WAQ117" s="181"/>
      <c r="WAR117" s="182"/>
      <c r="WAS117" s="181"/>
      <c r="WAT117" s="182"/>
      <c r="WAU117" s="181"/>
      <c r="WAV117" s="182"/>
      <c r="WAW117" s="181"/>
      <c r="WAX117" s="182"/>
      <c r="WAY117" s="181"/>
      <c r="WAZ117" s="182"/>
      <c r="WBA117" s="181"/>
      <c r="WBB117" s="182"/>
      <c r="WBC117" s="181"/>
      <c r="WBD117" s="182"/>
      <c r="WBE117" s="181"/>
      <c r="WBF117" s="182"/>
      <c r="WBG117" s="181"/>
      <c r="WBH117" s="182"/>
      <c r="WBI117" s="181"/>
      <c r="WBJ117" s="182"/>
      <c r="WBK117" s="181"/>
      <c r="WBL117" s="182"/>
      <c r="WBM117" s="181"/>
      <c r="WBN117" s="182"/>
      <c r="WBO117" s="181"/>
      <c r="WBP117" s="182"/>
      <c r="WBQ117" s="181"/>
      <c r="WBR117" s="182"/>
      <c r="WBS117" s="181"/>
      <c r="WBT117" s="182"/>
      <c r="WBU117" s="181"/>
      <c r="WBV117" s="182"/>
      <c r="WBW117" s="181"/>
      <c r="WBX117" s="182"/>
      <c r="WBY117" s="181"/>
      <c r="WBZ117" s="182"/>
      <c r="WCA117" s="181"/>
      <c r="WCB117" s="182"/>
      <c r="WCC117" s="181"/>
      <c r="WCD117" s="182"/>
      <c r="WCE117" s="181"/>
      <c r="WCF117" s="182"/>
      <c r="WCG117" s="181"/>
      <c r="WCH117" s="182"/>
      <c r="WCI117" s="181"/>
      <c r="WCJ117" s="182"/>
      <c r="WCK117" s="181"/>
      <c r="WCL117" s="182"/>
      <c r="WCM117" s="181"/>
      <c r="WCN117" s="182"/>
      <c r="WCO117" s="181"/>
      <c r="WCP117" s="182"/>
      <c r="WCQ117" s="181"/>
      <c r="WCR117" s="182"/>
      <c r="WCS117" s="181"/>
      <c r="WCT117" s="182"/>
      <c r="WCU117" s="181"/>
      <c r="WCV117" s="182"/>
      <c r="WCW117" s="181"/>
      <c r="WCX117" s="182"/>
      <c r="WCY117" s="181"/>
      <c r="WCZ117" s="182"/>
      <c r="WDA117" s="181"/>
      <c r="WDB117" s="182"/>
      <c r="WDC117" s="181"/>
      <c r="WDD117" s="182"/>
      <c r="WDE117" s="181"/>
      <c r="WDF117" s="182"/>
      <c r="WDG117" s="181"/>
      <c r="WDH117" s="182"/>
      <c r="WDI117" s="181"/>
      <c r="WDJ117" s="182"/>
      <c r="WDK117" s="181"/>
      <c r="WDL117" s="182"/>
      <c r="WDM117" s="181"/>
      <c r="WDN117" s="182"/>
      <c r="WDO117" s="181"/>
      <c r="WDP117" s="182"/>
      <c r="WDQ117" s="181"/>
      <c r="WDR117" s="182"/>
      <c r="WDS117" s="181"/>
      <c r="WDT117" s="182"/>
      <c r="WDU117" s="181"/>
      <c r="WDV117" s="182"/>
      <c r="WDW117" s="181"/>
      <c r="WDX117" s="182"/>
      <c r="WDY117" s="181"/>
      <c r="WDZ117" s="182"/>
      <c r="WEA117" s="181"/>
      <c r="WEB117" s="182"/>
      <c r="WEC117" s="181"/>
      <c r="WED117" s="182"/>
      <c r="WEE117" s="181"/>
      <c r="WEF117" s="182"/>
      <c r="WEG117" s="181"/>
      <c r="WEH117" s="182"/>
      <c r="WEI117" s="181"/>
      <c r="WEJ117" s="182"/>
      <c r="WEK117" s="181"/>
      <c r="WEL117" s="182"/>
      <c r="WEM117" s="181"/>
      <c r="WEN117" s="182"/>
      <c r="WEO117" s="181"/>
      <c r="WEP117" s="182"/>
      <c r="WEQ117" s="181"/>
      <c r="WER117" s="182"/>
      <c r="WES117" s="181"/>
      <c r="WET117" s="182"/>
      <c r="WEU117" s="181"/>
      <c r="WEV117" s="182"/>
      <c r="WEW117" s="181"/>
      <c r="WEX117" s="182"/>
      <c r="WEY117" s="181"/>
      <c r="WEZ117" s="182"/>
      <c r="WFA117" s="181"/>
      <c r="WFB117" s="182"/>
      <c r="WFC117" s="181"/>
      <c r="WFD117" s="182"/>
      <c r="WFE117" s="181"/>
      <c r="WFF117" s="182"/>
      <c r="WFG117" s="181"/>
      <c r="WFH117" s="182"/>
      <c r="WFI117" s="181"/>
      <c r="WFJ117" s="182"/>
      <c r="WFK117" s="181"/>
      <c r="WFL117" s="182"/>
      <c r="WFM117" s="181"/>
      <c r="WFN117" s="182"/>
      <c r="WFO117" s="181"/>
      <c r="WFP117" s="182"/>
      <c r="WFQ117" s="181"/>
      <c r="WFR117" s="182"/>
      <c r="WFS117" s="181"/>
      <c r="WFT117" s="182"/>
      <c r="WFU117" s="181"/>
      <c r="WFV117" s="182"/>
      <c r="WFW117" s="181"/>
      <c r="WFX117" s="182"/>
      <c r="WFY117" s="181"/>
      <c r="WFZ117" s="182"/>
      <c r="WGA117" s="181"/>
      <c r="WGB117" s="182"/>
      <c r="WGC117" s="181"/>
      <c r="WGD117" s="182"/>
      <c r="WGE117" s="181"/>
      <c r="WGF117" s="182"/>
      <c r="WGG117" s="181"/>
      <c r="WGH117" s="182"/>
      <c r="WGI117" s="181"/>
      <c r="WGJ117" s="182"/>
      <c r="WGK117" s="181"/>
      <c r="WGL117" s="182"/>
      <c r="WGM117" s="181"/>
      <c r="WGN117" s="182"/>
      <c r="WGO117" s="181"/>
      <c r="WGP117" s="182"/>
      <c r="WGQ117" s="181"/>
      <c r="WGR117" s="182"/>
      <c r="WGS117" s="181"/>
      <c r="WGT117" s="182"/>
      <c r="WGU117" s="181"/>
      <c r="WGV117" s="182"/>
      <c r="WGW117" s="181"/>
      <c r="WGX117" s="182"/>
      <c r="WGY117" s="181"/>
      <c r="WGZ117" s="182"/>
      <c r="WHA117" s="181"/>
      <c r="WHB117" s="182"/>
      <c r="WHC117" s="181"/>
      <c r="WHD117" s="182"/>
      <c r="WHE117" s="181"/>
      <c r="WHF117" s="182"/>
      <c r="WHG117" s="181"/>
      <c r="WHH117" s="182"/>
      <c r="WHI117" s="181"/>
      <c r="WHJ117" s="182"/>
      <c r="WHK117" s="181"/>
      <c r="WHL117" s="182"/>
      <c r="WHM117" s="181"/>
      <c r="WHN117" s="182"/>
      <c r="WHO117" s="181"/>
      <c r="WHP117" s="182"/>
      <c r="WHQ117" s="181"/>
      <c r="WHR117" s="182"/>
      <c r="WHS117" s="181"/>
      <c r="WHT117" s="182"/>
      <c r="WHU117" s="181"/>
      <c r="WHV117" s="182"/>
      <c r="WHW117" s="181"/>
      <c r="WHX117" s="182"/>
      <c r="WHY117" s="181"/>
      <c r="WHZ117" s="182"/>
      <c r="WIA117" s="181"/>
      <c r="WIB117" s="182"/>
      <c r="WIC117" s="181"/>
      <c r="WID117" s="182"/>
      <c r="WIE117" s="181"/>
      <c r="WIF117" s="182"/>
      <c r="WIG117" s="181"/>
      <c r="WIH117" s="182"/>
      <c r="WII117" s="181"/>
      <c r="WIJ117" s="182"/>
      <c r="WIK117" s="181"/>
      <c r="WIL117" s="182"/>
      <c r="WIM117" s="181"/>
      <c r="WIN117" s="182"/>
      <c r="WIO117" s="181"/>
      <c r="WIP117" s="182"/>
      <c r="WIQ117" s="181"/>
      <c r="WIR117" s="182"/>
      <c r="WIS117" s="181"/>
      <c r="WIT117" s="182"/>
      <c r="WIU117" s="181"/>
      <c r="WIV117" s="182"/>
      <c r="WIW117" s="181"/>
      <c r="WIX117" s="182"/>
      <c r="WIY117" s="181"/>
      <c r="WIZ117" s="182"/>
      <c r="WJA117" s="181"/>
      <c r="WJB117" s="182"/>
      <c r="WJC117" s="181"/>
      <c r="WJD117" s="182"/>
      <c r="WJE117" s="181"/>
      <c r="WJF117" s="182"/>
      <c r="WJG117" s="181"/>
      <c r="WJH117" s="182"/>
      <c r="WJI117" s="181"/>
      <c r="WJJ117" s="182"/>
      <c r="WJK117" s="181"/>
      <c r="WJL117" s="182"/>
      <c r="WJM117" s="181"/>
      <c r="WJN117" s="182"/>
      <c r="WJO117" s="181"/>
      <c r="WJP117" s="182"/>
      <c r="WJQ117" s="181"/>
      <c r="WJR117" s="182"/>
      <c r="WJS117" s="181"/>
      <c r="WJT117" s="182"/>
      <c r="WJU117" s="181"/>
      <c r="WJV117" s="182"/>
      <c r="WJW117" s="181"/>
      <c r="WJX117" s="182"/>
      <c r="WJY117" s="181"/>
      <c r="WJZ117" s="182"/>
      <c r="WKA117" s="181"/>
      <c r="WKB117" s="182"/>
      <c r="WKC117" s="181"/>
      <c r="WKD117" s="182"/>
      <c r="WKE117" s="181"/>
      <c r="WKF117" s="182"/>
      <c r="WKG117" s="181"/>
      <c r="WKH117" s="182"/>
      <c r="WKI117" s="181"/>
      <c r="WKJ117" s="182"/>
      <c r="WKK117" s="181"/>
      <c r="WKL117" s="182"/>
      <c r="WKM117" s="181"/>
      <c r="WKN117" s="182"/>
      <c r="WKO117" s="181"/>
      <c r="WKP117" s="182"/>
      <c r="WKQ117" s="181"/>
      <c r="WKR117" s="182"/>
      <c r="WKS117" s="181"/>
      <c r="WKT117" s="182"/>
      <c r="WKU117" s="181"/>
      <c r="WKV117" s="182"/>
      <c r="WKW117" s="181"/>
      <c r="WKX117" s="182"/>
      <c r="WKY117" s="181"/>
      <c r="WKZ117" s="182"/>
      <c r="WLA117" s="181"/>
      <c r="WLB117" s="182"/>
      <c r="WLC117" s="181"/>
      <c r="WLD117" s="182"/>
      <c r="WLE117" s="181"/>
      <c r="WLF117" s="182"/>
      <c r="WLG117" s="181"/>
      <c r="WLH117" s="182"/>
      <c r="WLI117" s="181"/>
      <c r="WLJ117" s="182"/>
      <c r="WLK117" s="181"/>
      <c r="WLL117" s="182"/>
      <c r="WLM117" s="181"/>
      <c r="WLN117" s="182"/>
      <c r="WLO117" s="181"/>
      <c r="WLP117" s="182"/>
      <c r="WLQ117" s="181"/>
      <c r="WLR117" s="182"/>
      <c r="WLS117" s="181"/>
      <c r="WLT117" s="182"/>
      <c r="WLU117" s="181"/>
      <c r="WLV117" s="182"/>
      <c r="WLW117" s="181"/>
      <c r="WLX117" s="182"/>
      <c r="WLY117" s="181"/>
      <c r="WLZ117" s="182"/>
      <c r="WMA117" s="181"/>
      <c r="WMB117" s="182"/>
      <c r="WMC117" s="181"/>
      <c r="WMD117" s="182"/>
      <c r="WME117" s="181"/>
      <c r="WMF117" s="182"/>
      <c r="WMG117" s="181"/>
      <c r="WMH117" s="182"/>
      <c r="WMI117" s="181"/>
      <c r="WMJ117" s="182"/>
      <c r="WMK117" s="181"/>
      <c r="WML117" s="182"/>
      <c r="WMM117" s="181"/>
      <c r="WMN117" s="182"/>
      <c r="WMO117" s="181"/>
      <c r="WMP117" s="182"/>
      <c r="WMQ117" s="181"/>
      <c r="WMR117" s="182"/>
      <c r="WMS117" s="181"/>
      <c r="WMT117" s="182"/>
      <c r="WMU117" s="181"/>
      <c r="WMV117" s="182"/>
      <c r="WMW117" s="181"/>
      <c r="WMX117" s="182"/>
      <c r="WMY117" s="181"/>
      <c r="WMZ117" s="182"/>
      <c r="WNA117" s="181"/>
      <c r="WNB117" s="182"/>
      <c r="WNC117" s="181"/>
      <c r="WND117" s="182"/>
      <c r="WNE117" s="181"/>
      <c r="WNF117" s="182"/>
      <c r="WNG117" s="181"/>
      <c r="WNH117" s="182"/>
      <c r="WNI117" s="181"/>
      <c r="WNJ117" s="182"/>
      <c r="WNK117" s="181"/>
      <c r="WNL117" s="182"/>
      <c r="WNM117" s="181"/>
      <c r="WNN117" s="182"/>
      <c r="WNO117" s="181"/>
      <c r="WNP117" s="182"/>
      <c r="WNQ117" s="181"/>
      <c r="WNR117" s="182"/>
      <c r="WNS117" s="181"/>
      <c r="WNT117" s="182"/>
      <c r="WNU117" s="181"/>
      <c r="WNV117" s="182"/>
      <c r="WNW117" s="181"/>
      <c r="WNX117" s="182"/>
      <c r="WNY117" s="181"/>
      <c r="WNZ117" s="182"/>
      <c r="WOA117" s="181"/>
      <c r="WOB117" s="182"/>
      <c r="WOC117" s="181"/>
      <c r="WOD117" s="182"/>
      <c r="WOE117" s="181"/>
      <c r="WOF117" s="182"/>
      <c r="WOG117" s="181"/>
      <c r="WOH117" s="182"/>
      <c r="WOI117" s="181"/>
      <c r="WOJ117" s="182"/>
      <c r="WOK117" s="181"/>
      <c r="WOL117" s="182"/>
      <c r="WOM117" s="181"/>
      <c r="WON117" s="182"/>
      <c r="WOO117" s="181"/>
      <c r="WOP117" s="182"/>
      <c r="WOQ117" s="181"/>
      <c r="WOR117" s="182"/>
      <c r="WOS117" s="181"/>
      <c r="WOT117" s="182"/>
      <c r="WOU117" s="181"/>
      <c r="WOV117" s="182"/>
      <c r="WOW117" s="181"/>
      <c r="WOX117" s="182"/>
      <c r="WOY117" s="181"/>
      <c r="WOZ117" s="182"/>
      <c r="WPA117" s="181"/>
      <c r="WPB117" s="182"/>
      <c r="WPC117" s="181"/>
      <c r="WPD117" s="182"/>
      <c r="WPE117" s="181"/>
      <c r="WPF117" s="182"/>
      <c r="WPG117" s="181"/>
      <c r="WPH117" s="182"/>
      <c r="WPI117" s="181"/>
      <c r="WPJ117" s="182"/>
      <c r="WPK117" s="181"/>
      <c r="WPL117" s="182"/>
      <c r="WPM117" s="181"/>
      <c r="WPN117" s="182"/>
      <c r="WPO117" s="181"/>
      <c r="WPP117" s="182"/>
      <c r="WPQ117" s="181"/>
      <c r="WPR117" s="182"/>
      <c r="WPS117" s="181"/>
      <c r="WPT117" s="182"/>
      <c r="WPU117" s="181"/>
      <c r="WPV117" s="182"/>
      <c r="WPW117" s="181"/>
      <c r="WPX117" s="182"/>
      <c r="WPY117" s="181"/>
      <c r="WPZ117" s="182"/>
      <c r="WQA117" s="181"/>
      <c r="WQB117" s="182"/>
      <c r="WQC117" s="181"/>
      <c r="WQD117" s="182"/>
      <c r="WQE117" s="181"/>
      <c r="WQF117" s="182"/>
      <c r="WQG117" s="181"/>
      <c r="WQH117" s="182"/>
      <c r="WQI117" s="181"/>
      <c r="WQJ117" s="182"/>
      <c r="WQK117" s="181"/>
      <c r="WQL117" s="182"/>
      <c r="WQM117" s="181"/>
      <c r="WQN117" s="182"/>
      <c r="WQO117" s="181"/>
      <c r="WQP117" s="182"/>
      <c r="WQQ117" s="181"/>
      <c r="WQR117" s="182"/>
      <c r="WQS117" s="181"/>
      <c r="WQT117" s="182"/>
      <c r="WQU117" s="181"/>
      <c r="WQV117" s="182"/>
      <c r="WQW117" s="181"/>
      <c r="WQX117" s="182"/>
      <c r="WQY117" s="181"/>
      <c r="WQZ117" s="182"/>
      <c r="WRA117" s="181"/>
      <c r="WRB117" s="182"/>
      <c r="WRC117" s="181"/>
      <c r="WRD117" s="182"/>
      <c r="WRE117" s="181"/>
      <c r="WRF117" s="182"/>
      <c r="WRG117" s="181"/>
      <c r="WRH117" s="182"/>
      <c r="WRI117" s="181"/>
      <c r="WRJ117" s="182"/>
      <c r="WRK117" s="181"/>
      <c r="WRL117" s="182"/>
      <c r="WRM117" s="181"/>
      <c r="WRN117" s="182"/>
      <c r="WRO117" s="181"/>
      <c r="WRP117" s="182"/>
      <c r="WRQ117" s="181"/>
      <c r="WRR117" s="182"/>
      <c r="WRS117" s="181"/>
      <c r="WRT117" s="182"/>
      <c r="WRU117" s="181"/>
      <c r="WRV117" s="182"/>
      <c r="WRW117" s="181"/>
      <c r="WRX117" s="182"/>
      <c r="WRY117" s="181"/>
      <c r="WRZ117" s="182"/>
      <c r="WSA117" s="181"/>
      <c r="WSB117" s="182"/>
      <c r="WSC117" s="181"/>
      <c r="WSD117" s="182"/>
      <c r="WSE117" s="181"/>
      <c r="WSF117" s="182"/>
      <c r="WSG117" s="181"/>
      <c r="WSH117" s="182"/>
      <c r="WSI117" s="181"/>
      <c r="WSJ117" s="182"/>
      <c r="WSK117" s="181"/>
      <c r="WSL117" s="182"/>
      <c r="WSM117" s="181"/>
      <c r="WSN117" s="182"/>
      <c r="WSO117" s="181"/>
      <c r="WSP117" s="182"/>
      <c r="WSQ117" s="181"/>
      <c r="WSR117" s="182"/>
      <c r="WSS117" s="181"/>
      <c r="WST117" s="182"/>
      <c r="WSU117" s="181"/>
      <c r="WSV117" s="182"/>
      <c r="WSW117" s="181"/>
      <c r="WSX117" s="182"/>
      <c r="WSY117" s="181"/>
      <c r="WSZ117" s="182"/>
      <c r="WTA117" s="181"/>
      <c r="WTB117" s="182"/>
      <c r="WTC117" s="181"/>
      <c r="WTD117" s="182"/>
      <c r="WTE117" s="181"/>
      <c r="WTF117" s="182"/>
      <c r="WTG117" s="181"/>
      <c r="WTH117" s="182"/>
      <c r="WTI117" s="181"/>
      <c r="WTJ117" s="182"/>
      <c r="WTK117" s="181"/>
      <c r="WTL117" s="182"/>
      <c r="WTM117" s="181"/>
      <c r="WTN117" s="182"/>
      <c r="WTO117" s="181"/>
      <c r="WTP117" s="182"/>
      <c r="WTQ117" s="181"/>
      <c r="WTR117" s="182"/>
      <c r="WTS117" s="181"/>
      <c r="WTT117" s="182"/>
      <c r="WTU117" s="181"/>
      <c r="WTV117" s="182"/>
      <c r="WTW117" s="181"/>
      <c r="WTX117" s="182"/>
      <c r="WTY117" s="181"/>
      <c r="WTZ117" s="182"/>
      <c r="WUA117" s="181"/>
      <c r="WUB117" s="182"/>
      <c r="WUC117" s="181"/>
      <c r="WUD117" s="182"/>
      <c r="WUE117" s="181"/>
      <c r="WUF117" s="182"/>
      <c r="WUG117" s="181"/>
      <c r="WUH117" s="182"/>
      <c r="WUI117" s="181"/>
      <c r="WUJ117" s="182"/>
      <c r="WUK117" s="181"/>
      <c r="WUL117" s="182"/>
      <c r="WUM117" s="181"/>
      <c r="WUN117" s="182"/>
      <c r="WUO117" s="181"/>
      <c r="WUP117" s="182"/>
      <c r="WUQ117" s="181"/>
      <c r="WUR117" s="182"/>
      <c r="WUS117" s="181"/>
      <c r="WUT117" s="182"/>
      <c r="WUU117" s="181"/>
      <c r="WUV117" s="182"/>
      <c r="WUW117" s="181"/>
      <c r="WUX117" s="182"/>
      <c r="WUY117" s="181"/>
      <c r="WUZ117" s="182"/>
      <c r="WVA117" s="181"/>
      <c r="WVB117" s="182"/>
      <c r="WVC117" s="181"/>
      <c r="WVD117" s="182"/>
      <c r="WVE117" s="181"/>
      <c r="WVF117" s="182"/>
      <c r="WVG117" s="181"/>
      <c r="WVH117" s="182"/>
      <c r="WVI117" s="181"/>
      <c r="WVJ117" s="182"/>
      <c r="WVK117" s="181"/>
      <c r="WVL117" s="182"/>
      <c r="WVM117" s="181"/>
      <c r="WVN117" s="182"/>
      <c r="WVO117" s="181"/>
      <c r="WVP117" s="182"/>
      <c r="WVQ117" s="181"/>
      <c r="WVR117" s="182"/>
      <c r="WVS117" s="181"/>
      <c r="WVT117" s="182"/>
      <c r="WVU117" s="181"/>
      <c r="WVV117" s="182"/>
      <c r="WVW117" s="181"/>
      <c r="WVX117" s="182"/>
      <c r="WVY117" s="181"/>
      <c r="WVZ117" s="182"/>
      <c r="WWA117" s="181"/>
      <c r="WWB117" s="182"/>
      <c r="WWC117" s="181"/>
      <c r="WWD117" s="182"/>
      <c r="WWE117" s="181"/>
      <c r="WWF117" s="182"/>
      <c r="WWG117" s="181"/>
      <c r="WWH117" s="182"/>
      <c r="WWI117" s="181"/>
      <c r="WWJ117" s="182"/>
      <c r="WWK117" s="181"/>
      <c r="WWL117" s="182"/>
      <c r="WWM117" s="181"/>
      <c r="WWN117" s="182"/>
      <c r="WWO117" s="181"/>
      <c r="WWP117" s="182"/>
      <c r="WWQ117" s="181"/>
      <c r="WWR117" s="182"/>
      <c r="WWS117" s="181"/>
      <c r="WWT117" s="182"/>
      <c r="WWU117" s="181"/>
      <c r="WWV117" s="182"/>
      <c r="WWW117" s="181"/>
      <c r="WWX117" s="182"/>
      <c r="WWY117" s="181"/>
      <c r="WWZ117" s="182"/>
      <c r="WXA117" s="181"/>
      <c r="WXB117" s="182"/>
      <c r="WXC117" s="181"/>
      <c r="WXD117" s="182"/>
      <c r="WXE117" s="181"/>
      <c r="WXF117" s="182"/>
      <c r="WXG117" s="181"/>
      <c r="WXH117" s="182"/>
      <c r="WXI117" s="181"/>
      <c r="WXJ117" s="182"/>
      <c r="WXK117" s="181"/>
      <c r="WXL117" s="182"/>
      <c r="WXM117" s="181"/>
      <c r="WXN117" s="182"/>
      <c r="WXO117" s="181"/>
      <c r="WXP117" s="182"/>
      <c r="WXQ117" s="181"/>
      <c r="WXR117" s="182"/>
      <c r="WXS117" s="181"/>
      <c r="WXT117" s="182"/>
      <c r="WXU117" s="181"/>
      <c r="WXV117" s="182"/>
      <c r="WXW117" s="181"/>
      <c r="WXX117" s="182"/>
      <c r="WXY117" s="181"/>
      <c r="WXZ117" s="182"/>
      <c r="WYA117" s="181"/>
      <c r="WYB117" s="182"/>
      <c r="WYC117" s="181"/>
      <c r="WYD117" s="182"/>
      <c r="WYE117" s="181"/>
      <c r="WYF117" s="182"/>
      <c r="WYG117" s="181"/>
      <c r="WYH117" s="182"/>
      <c r="WYI117" s="181"/>
      <c r="WYJ117" s="182"/>
      <c r="WYK117" s="181"/>
      <c r="WYL117" s="182"/>
      <c r="WYM117" s="181"/>
      <c r="WYN117" s="182"/>
      <c r="WYO117" s="181"/>
      <c r="WYP117" s="182"/>
      <c r="WYQ117" s="181"/>
      <c r="WYR117" s="182"/>
      <c r="WYS117" s="181"/>
      <c r="WYT117" s="182"/>
      <c r="WYU117" s="181"/>
      <c r="WYV117" s="182"/>
      <c r="WYW117" s="181"/>
      <c r="WYX117" s="182"/>
      <c r="WYY117" s="181"/>
      <c r="WYZ117" s="182"/>
      <c r="WZA117" s="181"/>
      <c r="WZB117" s="182"/>
      <c r="WZC117" s="181"/>
      <c r="WZD117" s="182"/>
      <c r="WZE117" s="181"/>
      <c r="WZF117" s="182"/>
      <c r="WZG117" s="181"/>
      <c r="WZH117" s="182"/>
      <c r="WZI117" s="181"/>
      <c r="WZJ117" s="182"/>
      <c r="WZK117" s="181"/>
      <c r="WZL117" s="182"/>
      <c r="WZM117" s="181"/>
      <c r="WZN117" s="182"/>
      <c r="WZO117" s="181"/>
      <c r="WZP117" s="182"/>
      <c r="WZQ117" s="181"/>
      <c r="WZR117" s="182"/>
      <c r="WZS117" s="181"/>
      <c r="WZT117" s="182"/>
      <c r="WZU117" s="181"/>
      <c r="WZV117" s="182"/>
      <c r="WZW117" s="181"/>
      <c r="WZX117" s="182"/>
      <c r="WZY117" s="181"/>
      <c r="WZZ117" s="182"/>
      <c r="XAA117" s="181"/>
      <c r="XAB117" s="182"/>
      <c r="XAC117" s="181"/>
      <c r="XAD117" s="182"/>
      <c r="XAE117" s="181"/>
      <c r="XAF117" s="182"/>
      <c r="XAG117" s="181"/>
      <c r="XAH117" s="182"/>
      <c r="XAI117" s="181"/>
      <c r="XAJ117" s="182"/>
      <c r="XAK117" s="181"/>
      <c r="XAL117" s="182"/>
      <c r="XAM117" s="181"/>
      <c r="XAN117" s="182"/>
      <c r="XAO117" s="181"/>
      <c r="XAP117" s="182"/>
      <c r="XAQ117" s="181"/>
      <c r="XAR117" s="182"/>
      <c r="XAS117" s="181"/>
      <c r="XAT117" s="182"/>
      <c r="XAU117" s="181"/>
      <c r="XAV117" s="182"/>
      <c r="XAW117" s="181"/>
      <c r="XAX117" s="182"/>
      <c r="XAY117" s="181"/>
      <c r="XAZ117" s="182"/>
      <c r="XBA117" s="181"/>
      <c r="XBB117" s="182"/>
      <c r="XBC117" s="181"/>
      <c r="XBD117" s="182"/>
      <c r="XBE117" s="181"/>
      <c r="XBF117" s="182"/>
      <c r="XBG117" s="181"/>
      <c r="XBH117" s="182"/>
      <c r="XBI117" s="181"/>
      <c r="XBJ117" s="182"/>
      <c r="XBK117" s="181"/>
      <c r="XBL117" s="182"/>
      <c r="XBM117" s="181"/>
      <c r="XBN117" s="182"/>
      <c r="XBO117" s="181"/>
      <c r="XBP117" s="182"/>
      <c r="XBQ117" s="181"/>
      <c r="XBR117" s="182"/>
      <c r="XBS117" s="181"/>
      <c r="XBT117" s="182"/>
      <c r="XBU117" s="181"/>
      <c r="XBV117" s="182"/>
      <c r="XBW117" s="181"/>
      <c r="XBX117" s="182"/>
      <c r="XBY117" s="181"/>
      <c r="XBZ117" s="182"/>
      <c r="XCA117" s="181"/>
      <c r="XCB117" s="182"/>
      <c r="XCC117" s="181"/>
      <c r="XCD117" s="182"/>
      <c r="XCE117" s="181"/>
      <c r="XCF117" s="182"/>
      <c r="XCG117" s="181"/>
      <c r="XCH117" s="182"/>
      <c r="XCI117" s="181"/>
      <c r="XCJ117" s="182"/>
      <c r="XCK117" s="181"/>
      <c r="XCL117" s="182"/>
      <c r="XCM117" s="181"/>
      <c r="XCN117" s="182"/>
      <c r="XCO117" s="181"/>
      <c r="XCP117" s="182"/>
      <c r="XCQ117" s="181"/>
      <c r="XCR117" s="182"/>
      <c r="XCS117" s="181"/>
      <c r="XCT117" s="182"/>
      <c r="XCU117" s="181"/>
      <c r="XCV117" s="182"/>
      <c r="XCW117" s="181"/>
      <c r="XCX117" s="182"/>
      <c r="XCY117" s="181"/>
      <c r="XCZ117" s="182"/>
      <c r="XDA117" s="181"/>
      <c r="XDB117" s="182"/>
      <c r="XDC117" s="181"/>
      <c r="XDD117" s="182"/>
      <c r="XDE117" s="181"/>
      <c r="XDF117" s="182"/>
      <c r="XDG117" s="181"/>
      <c r="XDH117" s="182"/>
      <c r="XDI117" s="181"/>
      <c r="XDJ117" s="182"/>
      <c r="XDK117" s="181"/>
      <c r="XDL117" s="182"/>
      <c r="XDM117" s="181"/>
      <c r="XDN117" s="182"/>
      <c r="XDO117" s="181"/>
      <c r="XDP117" s="182"/>
      <c r="XDQ117" s="181"/>
      <c r="XDR117" s="182"/>
      <c r="XDS117" s="181"/>
      <c r="XDT117" s="182"/>
      <c r="XDU117" s="181"/>
      <c r="XDV117" s="182"/>
      <c r="XDW117" s="181"/>
      <c r="XDX117" s="182"/>
      <c r="XDY117" s="181"/>
      <c r="XDZ117" s="182"/>
      <c r="XEA117" s="181"/>
      <c r="XEB117" s="182"/>
      <c r="XEC117" s="181"/>
      <c r="XED117" s="182"/>
      <c r="XEE117" s="181"/>
      <c r="XEF117" s="182"/>
      <c r="XEG117" s="181"/>
      <c r="XEH117" s="182"/>
      <c r="XEI117" s="181"/>
      <c r="XEJ117" s="182"/>
      <c r="XEK117" s="181"/>
      <c r="XEL117" s="182"/>
      <c r="XEM117" s="181"/>
      <c r="XEN117" s="182"/>
      <c r="XEO117" s="181"/>
      <c r="XEP117" s="182"/>
      <c r="XEQ117" s="181"/>
      <c r="XER117" s="182"/>
      <c r="XES117" s="181"/>
      <c r="XET117" s="182"/>
      <c r="XEU117" s="181"/>
      <c r="XEV117" s="182"/>
      <c r="XEW117" s="181"/>
      <c r="XEX117" s="182"/>
      <c r="XEY117" s="181"/>
      <c r="XEZ117" s="182"/>
      <c r="XFA117" s="181"/>
      <c r="XFB117" s="182"/>
      <c r="XFC117" s="181"/>
      <c r="XFD117" s="182"/>
    </row>
    <row r="118" spans="1:16384" s="99" customFormat="1" ht="95.1" customHeight="1">
      <c r="A118" s="102"/>
      <c r="B118" s="102"/>
      <c r="C118" s="103"/>
      <c r="D118" s="102"/>
      <c r="E118" s="103"/>
      <c r="F118" s="102"/>
      <c r="G118" s="103"/>
      <c r="H118" s="103"/>
      <c r="I118" s="104"/>
      <c r="J118" s="104"/>
      <c r="K118" s="103"/>
      <c r="L118" s="103"/>
      <c r="M118" s="103"/>
      <c r="N118" s="103"/>
      <c r="O118" s="103"/>
      <c r="P118" s="103"/>
      <c r="Q118" s="103"/>
      <c r="R118" s="103"/>
      <c r="S118" s="103"/>
      <c r="T118" s="103"/>
      <c r="U118" s="103"/>
      <c r="V118" s="103"/>
      <c r="W118" s="103"/>
      <c r="X118" s="103"/>
      <c r="Y118" s="103"/>
      <c r="Z118" s="103"/>
      <c r="AA118" s="105"/>
      <c r="AB118" s="102"/>
      <c r="AC118" s="181"/>
      <c r="AD118" s="182"/>
      <c r="AE118" s="181"/>
      <c r="AF118" s="182"/>
      <c r="AG118" s="181"/>
      <c r="AH118" s="182"/>
      <c r="AI118" s="181"/>
      <c r="AJ118" s="182"/>
      <c r="AK118" s="181"/>
      <c r="AL118" s="182"/>
      <c r="AM118" s="181"/>
      <c r="AN118" s="182"/>
      <c r="AO118" s="181"/>
      <c r="AP118" s="182"/>
      <c r="AQ118" s="181"/>
      <c r="AR118" s="182"/>
      <c r="AS118" s="181"/>
      <c r="AT118" s="182"/>
      <c r="AU118" s="181"/>
      <c r="AV118" s="182"/>
      <c r="AW118" s="181"/>
      <c r="AX118" s="182"/>
      <c r="AY118" s="181"/>
      <c r="AZ118" s="182"/>
      <c r="BA118" s="181"/>
      <c r="BB118" s="182"/>
      <c r="BC118" s="181"/>
      <c r="BD118" s="182"/>
      <c r="BE118" s="181"/>
      <c r="BF118" s="182"/>
      <c r="BG118" s="181"/>
      <c r="BH118" s="182"/>
      <c r="BI118" s="181"/>
      <c r="BJ118" s="182"/>
      <c r="BK118" s="181"/>
      <c r="BL118" s="182"/>
      <c r="BM118" s="181"/>
      <c r="BN118" s="182"/>
      <c r="BO118" s="181"/>
      <c r="BP118" s="182"/>
      <c r="BQ118" s="181"/>
      <c r="BR118" s="182"/>
      <c r="BS118" s="181"/>
      <c r="BT118" s="182"/>
      <c r="BU118" s="181"/>
      <c r="BV118" s="182"/>
      <c r="BW118" s="181"/>
      <c r="BX118" s="182"/>
      <c r="BY118" s="181"/>
      <c r="BZ118" s="182"/>
      <c r="CA118" s="181"/>
      <c r="CB118" s="182"/>
      <c r="CC118" s="181"/>
      <c r="CD118" s="182"/>
      <c r="CE118" s="181"/>
      <c r="CF118" s="182"/>
      <c r="CG118" s="181"/>
      <c r="CH118" s="182"/>
      <c r="CI118" s="181"/>
      <c r="CJ118" s="182"/>
      <c r="CK118" s="181"/>
      <c r="CL118" s="182"/>
      <c r="CM118" s="181"/>
      <c r="CN118" s="182"/>
      <c r="CO118" s="181"/>
      <c r="CP118" s="182"/>
      <c r="CQ118" s="181"/>
      <c r="CR118" s="182"/>
      <c r="CS118" s="181"/>
      <c r="CT118" s="182"/>
      <c r="CU118" s="181"/>
      <c r="CV118" s="182"/>
      <c r="CW118" s="181"/>
      <c r="CX118" s="182"/>
      <c r="CY118" s="181"/>
      <c r="CZ118" s="182"/>
      <c r="DA118" s="181"/>
      <c r="DB118" s="182"/>
      <c r="DC118" s="181"/>
      <c r="DD118" s="182"/>
      <c r="DE118" s="181"/>
      <c r="DF118" s="182"/>
      <c r="DG118" s="181"/>
      <c r="DH118" s="182"/>
      <c r="DI118" s="181"/>
      <c r="DJ118" s="182"/>
      <c r="DK118" s="181"/>
      <c r="DL118" s="182"/>
      <c r="DM118" s="181"/>
      <c r="DN118" s="182"/>
      <c r="DO118" s="181"/>
      <c r="DP118" s="182"/>
      <c r="DQ118" s="181"/>
      <c r="DR118" s="182"/>
      <c r="DS118" s="181"/>
      <c r="DT118" s="182"/>
      <c r="DU118" s="181"/>
      <c r="DV118" s="182"/>
      <c r="DW118" s="181"/>
      <c r="DX118" s="182"/>
      <c r="DY118" s="181"/>
      <c r="DZ118" s="182"/>
      <c r="EA118" s="181"/>
      <c r="EB118" s="182"/>
      <c r="EC118" s="181"/>
      <c r="ED118" s="182"/>
      <c r="EE118" s="181"/>
      <c r="EF118" s="182"/>
      <c r="EG118" s="181"/>
      <c r="EH118" s="182"/>
      <c r="EI118" s="181"/>
      <c r="EJ118" s="182"/>
      <c r="EK118" s="181"/>
      <c r="EL118" s="182"/>
      <c r="EM118" s="181"/>
      <c r="EN118" s="182"/>
      <c r="EO118" s="181"/>
      <c r="EP118" s="182"/>
      <c r="EQ118" s="181"/>
      <c r="ER118" s="182"/>
      <c r="ES118" s="181"/>
      <c r="ET118" s="182"/>
      <c r="EU118" s="181"/>
      <c r="EV118" s="182"/>
      <c r="EW118" s="181"/>
      <c r="EX118" s="182"/>
      <c r="EY118" s="181"/>
      <c r="EZ118" s="182"/>
      <c r="FA118" s="181"/>
      <c r="FB118" s="182"/>
      <c r="FC118" s="181"/>
      <c r="FD118" s="182"/>
      <c r="FE118" s="181"/>
      <c r="FF118" s="182"/>
      <c r="FG118" s="181"/>
      <c r="FH118" s="182"/>
      <c r="FI118" s="181"/>
      <c r="FJ118" s="182"/>
      <c r="FK118" s="181"/>
      <c r="FL118" s="182"/>
      <c r="FM118" s="181"/>
      <c r="FN118" s="182"/>
      <c r="FO118" s="181"/>
      <c r="FP118" s="182"/>
      <c r="FQ118" s="181"/>
      <c r="FR118" s="182"/>
      <c r="FS118" s="181"/>
      <c r="FT118" s="182"/>
      <c r="FU118" s="181"/>
      <c r="FV118" s="182"/>
      <c r="FW118" s="181"/>
      <c r="FX118" s="182"/>
      <c r="FY118" s="181"/>
      <c r="FZ118" s="182"/>
      <c r="GA118" s="181"/>
      <c r="GB118" s="182"/>
      <c r="GC118" s="181"/>
      <c r="GD118" s="182"/>
      <c r="GE118" s="181"/>
      <c r="GF118" s="182"/>
      <c r="GG118" s="181"/>
      <c r="GH118" s="182"/>
      <c r="GI118" s="181"/>
      <c r="GJ118" s="182"/>
      <c r="GK118" s="181"/>
      <c r="GL118" s="182"/>
      <c r="GM118" s="181"/>
      <c r="GN118" s="182"/>
      <c r="GO118" s="181"/>
      <c r="GP118" s="182"/>
      <c r="GQ118" s="181"/>
      <c r="GR118" s="182"/>
      <c r="GS118" s="181"/>
      <c r="GT118" s="182"/>
      <c r="GU118" s="181"/>
      <c r="GV118" s="182"/>
      <c r="GW118" s="181"/>
      <c r="GX118" s="182"/>
      <c r="GY118" s="181"/>
      <c r="GZ118" s="182"/>
      <c r="HA118" s="181"/>
      <c r="HB118" s="182"/>
      <c r="HC118" s="181"/>
      <c r="HD118" s="182"/>
      <c r="HE118" s="181"/>
      <c r="HF118" s="182"/>
      <c r="HG118" s="181"/>
      <c r="HH118" s="182"/>
      <c r="HI118" s="181"/>
      <c r="HJ118" s="182"/>
      <c r="HK118" s="181"/>
      <c r="HL118" s="182"/>
      <c r="HM118" s="181"/>
      <c r="HN118" s="182"/>
      <c r="HO118" s="181"/>
      <c r="HP118" s="182"/>
      <c r="HQ118" s="181"/>
      <c r="HR118" s="182"/>
      <c r="HS118" s="181"/>
      <c r="HT118" s="182"/>
      <c r="HU118" s="181"/>
      <c r="HV118" s="182"/>
      <c r="HW118" s="181"/>
      <c r="HX118" s="182"/>
      <c r="HY118" s="181"/>
      <c r="HZ118" s="182"/>
      <c r="IA118" s="181"/>
      <c r="IB118" s="182"/>
      <c r="IC118" s="181"/>
      <c r="ID118" s="182"/>
      <c r="IE118" s="181"/>
      <c r="IF118" s="182"/>
      <c r="IG118" s="181"/>
      <c r="IH118" s="182"/>
      <c r="II118" s="181"/>
      <c r="IJ118" s="182"/>
      <c r="IK118" s="181"/>
      <c r="IL118" s="182"/>
      <c r="IM118" s="181"/>
      <c r="IN118" s="182"/>
      <c r="IO118" s="181"/>
      <c r="IP118" s="182"/>
      <c r="IQ118" s="181"/>
      <c r="IR118" s="182"/>
      <c r="IS118" s="181"/>
      <c r="IT118" s="182"/>
      <c r="IU118" s="181"/>
      <c r="IV118" s="182"/>
      <c r="IW118" s="181"/>
      <c r="IX118" s="182"/>
      <c r="IY118" s="181"/>
      <c r="IZ118" s="182"/>
      <c r="JA118" s="181"/>
      <c r="JB118" s="182"/>
      <c r="JC118" s="181"/>
      <c r="JD118" s="182"/>
      <c r="JE118" s="181"/>
      <c r="JF118" s="182"/>
      <c r="JG118" s="181"/>
      <c r="JH118" s="182"/>
      <c r="JI118" s="181"/>
      <c r="JJ118" s="182"/>
      <c r="JK118" s="181"/>
      <c r="JL118" s="182"/>
      <c r="JM118" s="181"/>
      <c r="JN118" s="182"/>
      <c r="JO118" s="181"/>
      <c r="JP118" s="182"/>
      <c r="JQ118" s="181"/>
      <c r="JR118" s="182"/>
      <c r="JS118" s="181"/>
      <c r="JT118" s="182"/>
      <c r="JU118" s="181"/>
      <c r="JV118" s="182"/>
      <c r="JW118" s="181"/>
      <c r="JX118" s="182"/>
      <c r="JY118" s="181"/>
      <c r="JZ118" s="182"/>
      <c r="KA118" s="181"/>
      <c r="KB118" s="182"/>
      <c r="KC118" s="181"/>
      <c r="KD118" s="182"/>
      <c r="KE118" s="181"/>
      <c r="KF118" s="182"/>
      <c r="KG118" s="181"/>
      <c r="KH118" s="182"/>
      <c r="KI118" s="181"/>
      <c r="KJ118" s="182"/>
      <c r="KK118" s="181"/>
      <c r="KL118" s="182"/>
      <c r="KM118" s="181"/>
      <c r="KN118" s="182"/>
      <c r="KO118" s="181"/>
      <c r="KP118" s="182"/>
      <c r="KQ118" s="181"/>
      <c r="KR118" s="182"/>
      <c r="KS118" s="181"/>
      <c r="KT118" s="182"/>
      <c r="KU118" s="181"/>
      <c r="KV118" s="182"/>
      <c r="KW118" s="181"/>
      <c r="KX118" s="182"/>
      <c r="KY118" s="181"/>
      <c r="KZ118" s="182"/>
      <c r="LA118" s="181"/>
      <c r="LB118" s="182"/>
      <c r="LC118" s="181"/>
      <c r="LD118" s="182"/>
      <c r="LE118" s="181"/>
      <c r="LF118" s="182"/>
      <c r="LG118" s="181"/>
      <c r="LH118" s="182"/>
      <c r="LI118" s="181"/>
      <c r="LJ118" s="182"/>
      <c r="LK118" s="181"/>
      <c r="LL118" s="182"/>
      <c r="LM118" s="181"/>
      <c r="LN118" s="182"/>
      <c r="LO118" s="181"/>
      <c r="LP118" s="182"/>
      <c r="LQ118" s="181"/>
      <c r="LR118" s="182"/>
      <c r="LS118" s="181"/>
      <c r="LT118" s="182"/>
      <c r="LU118" s="181"/>
      <c r="LV118" s="182"/>
      <c r="LW118" s="181"/>
      <c r="LX118" s="182"/>
      <c r="LY118" s="181"/>
      <c r="LZ118" s="182"/>
      <c r="MA118" s="181"/>
      <c r="MB118" s="182"/>
      <c r="MC118" s="181"/>
      <c r="MD118" s="182"/>
      <c r="ME118" s="181"/>
      <c r="MF118" s="182"/>
      <c r="MG118" s="181"/>
      <c r="MH118" s="182"/>
      <c r="MI118" s="181"/>
      <c r="MJ118" s="182"/>
      <c r="MK118" s="181"/>
      <c r="ML118" s="182"/>
      <c r="MM118" s="181"/>
      <c r="MN118" s="182"/>
      <c r="MO118" s="181"/>
      <c r="MP118" s="182"/>
      <c r="MQ118" s="181"/>
      <c r="MR118" s="182"/>
      <c r="MS118" s="181"/>
      <c r="MT118" s="182"/>
      <c r="MU118" s="181"/>
      <c r="MV118" s="182"/>
      <c r="MW118" s="181"/>
      <c r="MX118" s="182"/>
      <c r="MY118" s="181"/>
      <c r="MZ118" s="182"/>
      <c r="NA118" s="181"/>
      <c r="NB118" s="182"/>
      <c r="NC118" s="181"/>
      <c r="ND118" s="182"/>
      <c r="NE118" s="181"/>
      <c r="NF118" s="182"/>
      <c r="NG118" s="181"/>
      <c r="NH118" s="182"/>
      <c r="NI118" s="181"/>
      <c r="NJ118" s="182"/>
      <c r="NK118" s="181"/>
      <c r="NL118" s="182"/>
      <c r="NM118" s="181"/>
      <c r="NN118" s="182"/>
      <c r="NO118" s="181"/>
      <c r="NP118" s="182"/>
      <c r="NQ118" s="181"/>
      <c r="NR118" s="182"/>
      <c r="NS118" s="181"/>
      <c r="NT118" s="182"/>
      <c r="NU118" s="181"/>
      <c r="NV118" s="182"/>
      <c r="NW118" s="181"/>
      <c r="NX118" s="182"/>
      <c r="NY118" s="181"/>
      <c r="NZ118" s="182"/>
      <c r="OA118" s="181"/>
      <c r="OB118" s="182"/>
      <c r="OC118" s="181"/>
      <c r="OD118" s="182"/>
      <c r="OE118" s="181"/>
      <c r="OF118" s="182"/>
      <c r="OG118" s="181"/>
      <c r="OH118" s="182"/>
      <c r="OI118" s="181"/>
      <c r="OJ118" s="182"/>
      <c r="OK118" s="181"/>
      <c r="OL118" s="182"/>
      <c r="OM118" s="181"/>
      <c r="ON118" s="182"/>
      <c r="OO118" s="181"/>
      <c r="OP118" s="182"/>
      <c r="OQ118" s="181"/>
      <c r="OR118" s="182"/>
      <c r="OS118" s="181"/>
      <c r="OT118" s="182"/>
      <c r="OU118" s="181"/>
      <c r="OV118" s="182"/>
      <c r="OW118" s="181"/>
      <c r="OX118" s="182"/>
      <c r="OY118" s="181"/>
      <c r="OZ118" s="182"/>
      <c r="PA118" s="181"/>
      <c r="PB118" s="182"/>
      <c r="PC118" s="181"/>
      <c r="PD118" s="182"/>
      <c r="PE118" s="181"/>
      <c r="PF118" s="182"/>
      <c r="PG118" s="181"/>
      <c r="PH118" s="182"/>
      <c r="PI118" s="181"/>
      <c r="PJ118" s="182"/>
      <c r="PK118" s="181"/>
      <c r="PL118" s="182"/>
      <c r="PM118" s="181"/>
      <c r="PN118" s="182"/>
      <c r="PO118" s="181"/>
      <c r="PP118" s="182"/>
      <c r="PQ118" s="181"/>
      <c r="PR118" s="182"/>
      <c r="PS118" s="181"/>
      <c r="PT118" s="182"/>
      <c r="PU118" s="181"/>
      <c r="PV118" s="182"/>
      <c r="PW118" s="181"/>
      <c r="PX118" s="182"/>
      <c r="PY118" s="181"/>
      <c r="PZ118" s="182"/>
      <c r="QA118" s="181"/>
      <c r="QB118" s="182"/>
      <c r="QC118" s="181"/>
      <c r="QD118" s="182"/>
      <c r="QE118" s="181"/>
      <c r="QF118" s="182"/>
      <c r="QG118" s="181"/>
      <c r="QH118" s="182"/>
      <c r="QI118" s="181"/>
      <c r="QJ118" s="182"/>
      <c r="QK118" s="181"/>
      <c r="QL118" s="182"/>
      <c r="QM118" s="181"/>
      <c r="QN118" s="182"/>
      <c r="QO118" s="181"/>
      <c r="QP118" s="182"/>
      <c r="QQ118" s="181"/>
      <c r="QR118" s="182"/>
      <c r="QS118" s="181"/>
      <c r="QT118" s="182"/>
      <c r="QU118" s="181"/>
      <c r="QV118" s="182"/>
      <c r="QW118" s="181"/>
      <c r="QX118" s="182"/>
      <c r="QY118" s="181"/>
      <c r="QZ118" s="182"/>
      <c r="RA118" s="181"/>
      <c r="RB118" s="182"/>
      <c r="RC118" s="181"/>
      <c r="RD118" s="182"/>
      <c r="RE118" s="181"/>
      <c r="RF118" s="182"/>
      <c r="RG118" s="181"/>
      <c r="RH118" s="182"/>
      <c r="RI118" s="181"/>
      <c r="RJ118" s="182"/>
      <c r="RK118" s="181"/>
      <c r="RL118" s="182"/>
      <c r="RM118" s="181"/>
      <c r="RN118" s="182"/>
      <c r="RO118" s="181"/>
      <c r="RP118" s="182"/>
      <c r="RQ118" s="181"/>
      <c r="RR118" s="182"/>
      <c r="RS118" s="181"/>
      <c r="RT118" s="182"/>
      <c r="RU118" s="181"/>
      <c r="RV118" s="182"/>
      <c r="RW118" s="181"/>
      <c r="RX118" s="182"/>
      <c r="RY118" s="181"/>
      <c r="RZ118" s="182"/>
      <c r="SA118" s="181"/>
      <c r="SB118" s="182"/>
      <c r="SC118" s="181"/>
      <c r="SD118" s="182"/>
      <c r="SE118" s="181"/>
      <c r="SF118" s="182"/>
      <c r="SG118" s="181"/>
      <c r="SH118" s="182"/>
      <c r="SI118" s="181"/>
      <c r="SJ118" s="182"/>
      <c r="SK118" s="181"/>
      <c r="SL118" s="182"/>
      <c r="SM118" s="181"/>
      <c r="SN118" s="182"/>
      <c r="SO118" s="181"/>
      <c r="SP118" s="182"/>
      <c r="SQ118" s="181"/>
      <c r="SR118" s="182"/>
      <c r="SS118" s="181"/>
      <c r="ST118" s="182"/>
      <c r="SU118" s="181"/>
      <c r="SV118" s="182"/>
      <c r="SW118" s="181"/>
      <c r="SX118" s="182"/>
      <c r="SY118" s="181"/>
      <c r="SZ118" s="182"/>
      <c r="TA118" s="181"/>
      <c r="TB118" s="182"/>
      <c r="TC118" s="181"/>
      <c r="TD118" s="182"/>
      <c r="TE118" s="181"/>
      <c r="TF118" s="182"/>
      <c r="TG118" s="181"/>
      <c r="TH118" s="182"/>
      <c r="TI118" s="181"/>
      <c r="TJ118" s="182"/>
      <c r="TK118" s="181"/>
      <c r="TL118" s="182"/>
      <c r="TM118" s="181"/>
      <c r="TN118" s="182"/>
      <c r="TO118" s="181"/>
      <c r="TP118" s="182"/>
      <c r="TQ118" s="181"/>
      <c r="TR118" s="182"/>
      <c r="TS118" s="181"/>
      <c r="TT118" s="182"/>
      <c r="TU118" s="181"/>
      <c r="TV118" s="182"/>
      <c r="TW118" s="181"/>
      <c r="TX118" s="182"/>
      <c r="TY118" s="181"/>
      <c r="TZ118" s="182"/>
      <c r="UA118" s="181"/>
      <c r="UB118" s="182"/>
      <c r="UC118" s="181"/>
      <c r="UD118" s="182"/>
      <c r="UE118" s="181"/>
      <c r="UF118" s="182"/>
      <c r="UG118" s="181"/>
      <c r="UH118" s="182"/>
      <c r="UI118" s="181"/>
      <c r="UJ118" s="182"/>
      <c r="UK118" s="181"/>
      <c r="UL118" s="182"/>
      <c r="UM118" s="181"/>
      <c r="UN118" s="182"/>
      <c r="UO118" s="181"/>
      <c r="UP118" s="182"/>
      <c r="UQ118" s="181"/>
      <c r="UR118" s="182"/>
      <c r="US118" s="181"/>
      <c r="UT118" s="182"/>
      <c r="UU118" s="181"/>
      <c r="UV118" s="182"/>
      <c r="UW118" s="181"/>
      <c r="UX118" s="182"/>
      <c r="UY118" s="181"/>
      <c r="UZ118" s="182"/>
      <c r="VA118" s="181"/>
      <c r="VB118" s="182"/>
      <c r="VC118" s="181"/>
      <c r="VD118" s="182"/>
      <c r="VE118" s="181"/>
      <c r="VF118" s="182"/>
      <c r="VG118" s="181"/>
      <c r="VH118" s="182"/>
      <c r="VI118" s="181"/>
      <c r="VJ118" s="182"/>
      <c r="VK118" s="181"/>
      <c r="VL118" s="182"/>
      <c r="VM118" s="181"/>
      <c r="VN118" s="182"/>
      <c r="VO118" s="181"/>
      <c r="VP118" s="182"/>
      <c r="VQ118" s="181"/>
      <c r="VR118" s="182"/>
      <c r="VS118" s="181"/>
      <c r="VT118" s="182"/>
      <c r="VU118" s="181"/>
      <c r="VV118" s="182"/>
      <c r="VW118" s="181"/>
      <c r="VX118" s="182"/>
      <c r="VY118" s="181"/>
      <c r="VZ118" s="182"/>
      <c r="WA118" s="181"/>
      <c r="WB118" s="182"/>
      <c r="WC118" s="181"/>
      <c r="WD118" s="182"/>
      <c r="WE118" s="181"/>
      <c r="WF118" s="182"/>
      <c r="WG118" s="181"/>
      <c r="WH118" s="182"/>
      <c r="WI118" s="181"/>
      <c r="WJ118" s="182"/>
      <c r="WK118" s="181"/>
      <c r="WL118" s="182"/>
      <c r="WM118" s="181"/>
      <c r="WN118" s="182"/>
      <c r="WO118" s="181"/>
      <c r="WP118" s="182"/>
      <c r="WQ118" s="181"/>
      <c r="WR118" s="182"/>
      <c r="WS118" s="181"/>
      <c r="WT118" s="182"/>
      <c r="WU118" s="181"/>
      <c r="WV118" s="182"/>
      <c r="WW118" s="181"/>
      <c r="WX118" s="182"/>
      <c r="WY118" s="181"/>
      <c r="WZ118" s="182"/>
      <c r="XA118" s="181"/>
      <c r="XB118" s="182"/>
      <c r="XC118" s="181"/>
      <c r="XD118" s="182"/>
      <c r="XE118" s="181"/>
      <c r="XF118" s="182"/>
      <c r="XG118" s="181"/>
      <c r="XH118" s="182"/>
      <c r="XI118" s="181"/>
      <c r="XJ118" s="182"/>
      <c r="XK118" s="181"/>
      <c r="XL118" s="182"/>
      <c r="XM118" s="181"/>
      <c r="XN118" s="182"/>
      <c r="XO118" s="181"/>
      <c r="XP118" s="182"/>
      <c r="XQ118" s="181"/>
      <c r="XR118" s="182"/>
      <c r="XS118" s="181"/>
      <c r="XT118" s="182"/>
      <c r="XU118" s="181"/>
      <c r="XV118" s="182"/>
      <c r="XW118" s="181"/>
      <c r="XX118" s="182"/>
      <c r="XY118" s="181"/>
      <c r="XZ118" s="182"/>
      <c r="YA118" s="181"/>
      <c r="YB118" s="182"/>
      <c r="YC118" s="181"/>
      <c r="YD118" s="182"/>
      <c r="YE118" s="181"/>
      <c r="YF118" s="182"/>
      <c r="YG118" s="181"/>
      <c r="YH118" s="182"/>
      <c r="YI118" s="181"/>
      <c r="YJ118" s="182"/>
      <c r="YK118" s="181"/>
      <c r="YL118" s="182"/>
      <c r="YM118" s="181"/>
      <c r="YN118" s="182"/>
      <c r="YO118" s="181"/>
      <c r="YP118" s="182"/>
      <c r="YQ118" s="181"/>
      <c r="YR118" s="182"/>
      <c r="YS118" s="181"/>
      <c r="YT118" s="182"/>
      <c r="YU118" s="181"/>
      <c r="YV118" s="182"/>
      <c r="YW118" s="181"/>
      <c r="YX118" s="182"/>
      <c r="YY118" s="181"/>
      <c r="YZ118" s="182"/>
      <c r="ZA118" s="181"/>
      <c r="ZB118" s="182"/>
      <c r="ZC118" s="181"/>
      <c r="ZD118" s="182"/>
      <c r="ZE118" s="181"/>
      <c r="ZF118" s="182"/>
      <c r="ZG118" s="181"/>
      <c r="ZH118" s="182"/>
      <c r="ZI118" s="181"/>
      <c r="ZJ118" s="182"/>
      <c r="ZK118" s="181"/>
      <c r="ZL118" s="182"/>
      <c r="ZM118" s="181"/>
      <c r="ZN118" s="182"/>
      <c r="ZO118" s="181"/>
      <c r="ZP118" s="182"/>
      <c r="ZQ118" s="181"/>
      <c r="ZR118" s="182"/>
      <c r="ZS118" s="181"/>
      <c r="ZT118" s="182"/>
      <c r="ZU118" s="181"/>
      <c r="ZV118" s="182"/>
      <c r="ZW118" s="181"/>
      <c r="ZX118" s="182"/>
      <c r="ZY118" s="181"/>
      <c r="ZZ118" s="182"/>
      <c r="AAA118" s="181"/>
      <c r="AAB118" s="182"/>
      <c r="AAC118" s="181"/>
      <c r="AAD118" s="182"/>
      <c r="AAE118" s="181"/>
      <c r="AAF118" s="182"/>
      <c r="AAG118" s="181"/>
      <c r="AAH118" s="182"/>
      <c r="AAI118" s="181"/>
      <c r="AAJ118" s="182"/>
      <c r="AAK118" s="181"/>
      <c r="AAL118" s="182"/>
      <c r="AAM118" s="181"/>
      <c r="AAN118" s="182"/>
      <c r="AAO118" s="181"/>
      <c r="AAP118" s="182"/>
      <c r="AAQ118" s="181"/>
      <c r="AAR118" s="182"/>
      <c r="AAS118" s="181"/>
      <c r="AAT118" s="182"/>
      <c r="AAU118" s="181"/>
      <c r="AAV118" s="182"/>
      <c r="AAW118" s="181"/>
      <c r="AAX118" s="182"/>
      <c r="AAY118" s="181"/>
      <c r="AAZ118" s="182"/>
      <c r="ABA118" s="181"/>
      <c r="ABB118" s="182"/>
      <c r="ABC118" s="181"/>
      <c r="ABD118" s="182"/>
      <c r="ABE118" s="181"/>
      <c r="ABF118" s="182"/>
      <c r="ABG118" s="181"/>
      <c r="ABH118" s="182"/>
      <c r="ABI118" s="181"/>
      <c r="ABJ118" s="182"/>
      <c r="ABK118" s="181"/>
      <c r="ABL118" s="182"/>
      <c r="ABM118" s="181"/>
      <c r="ABN118" s="182"/>
      <c r="ABO118" s="181"/>
      <c r="ABP118" s="182"/>
      <c r="ABQ118" s="181"/>
      <c r="ABR118" s="182"/>
      <c r="ABS118" s="181"/>
      <c r="ABT118" s="182"/>
      <c r="ABU118" s="181"/>
      <c r="ABV118" s="182"/>
      <c r="ABW118" s="181"/>
      <c r="ABX118" s="182"/>
      <c r="ABY118" s="181"/>
      <c r="ABZ118" s="182"/>
      <c r="ACA118" s="181"/>
      <c r="ACB118" s="182"/>
      <c r="ACC118" s="181"/>
      <c r="ACD118" s="182"/>
      <c r="ACE118" s="181"/>
      <c r="ACF118" s="182"/>
      <c r="ACG118" s="181"/>
      <c r="ACH118" s="182"/>
      <c r="ACI118" s="181"/>
      <c r="ACJ118" s="182"/>
      <c r="ACK118" s="181"/>
      <c r="ACL118" s="182"/>
      <c r="ACM118" s="181"/>
      <c r="ACN118" s="182"/>
      <c r="ACO118" s="181"/>
      <c r="ACP118" s="182"/>
      <c r="ACQ118" s="181"/>
      <c r="ACR118" s="182"/>
      <c r="ACS118" s="181"/>
      <c r="ACT118" s="182"/>
      <c r="ACU118" s="181"/>
      <c r="ACV118" s="182"/>
      <c r="ACW118" s="181"/>
      <c r="ACX118" s="182"/>
      <c r="ACY118" s="181"/>
      <c r="ACZ118" s="182"/>
      <c r="ADA118" s="181"/>
      <c r="ADB118" s="182"/>
      <c r="ADC118" s="181"/>
      <c r="ADD118" s="182"/>
      <c r="ADE118" s="181"/>
      <c r="ADF118" s="182"/>
      <c r="ADG118" s="181"/>
      <c r="ADH118" s="182"/>
      <c r="ADI118" s="181"/>
      <c r="ADJ118" s="182"/>
      <c r="ADK118" s="181"/>
      <c r="ADL118" s="182"/>
      <c r="ADM118" s="181"/>
      <c r="ADN118" s="182"/>
      <c r="ADO118" s="181"/>
      <c r="ADP118" s="182"/>
      <c r="ADQ118" s="181"/>
      <c r="ADR118" s="182"/>
      <c r="ADS118" s="181"/>
      <c r="ADT118" s="182"/>
      <c r="ADU118" s="181"/>
      <c r="ADV118" s="182"/>
      <c r="ADW118" s="181"/>
      <c r="ADX118" s="182"/>
      <c r="ADY118" s="181"/>
      <c r="ADZ118" s="182"/>
      <c r="AEA118" s="181"/>
      <c r="AEB118" s="182"/>
      <c r="AEC118" s="181"/>
      <c r="AED118" s="182"/>
      <c r="AEE118" s="181"/>
      <c r="AEF118" s="182"/>
      <c r="AEG118" s="181"/>
      <c r="AEH118" s="182"/>
      <c r="AEI118" s="181"/>
      <c r="AEJ118" s="182"/>
      <c r="AEK118" s="181"/>
      <c r="AEL118" s="182"/>
      <c r="AEM118" s="181"/>
      <c r="AEN118" s="182"/>
      <c r="AEO118" s="181"/>
      <c r="AEP118" s="182"/>
      <c r="AEQ118" s="181"/>
      <c r="AER118" s="182"/>
      <c r="AES118" s="181"/>
      <c r="AET118" s="182"/>
      <c r="AEU118" s="181"/>
      <c r="AEV118" s="182"/>
      <c r="AEW118" s="181"/>
      <c r="AEX118" s="182"/>
      <c r="AEY118" s="181"/>
      <c r="AEZ118" s="182"/>
      <c r="AFA118" s="181"/>
      <c r="AFB118" s="182"/>
      <c r="AFC118" s="181"/>
      <c r="AFD118" s="182"/>
      <c r="AFE118" s="181"/>
      <c r="AFF118" s="182"/>
      <c r="AFG118" s="181"/>
      <c r="AFH118" s="182"/>
      <c r="AFI118" s="181"/>
      <c r="AFJ118" s="182"/>
      <c r="AFK118" s="181"/>
      <c r="AFL118" s="182"/>
      <c r="AFM118" s="181"/>
      <c r="AFN118" s="182"/>
      <c r="AFO118" s="181"/>
      <c r="AFP118" s="182"/>
      <c r="AFQ118" s="181"/>
      <c r="AFR118" s="182"/>
      <c r="AFS118" s="181"/>
      <c r="AFT118" s="182"/>
      <c r="AFU118" s="181"/>
      <c r="AFV118" s="182"/>
      <c r="AFW118" s="181"/>
      <c r="AFX118" s="182"/>
      <c r="AFY118" s="181"/>
      <c r="AFZ118" s="182"/>
      <c r="AGA118" s="181"/>
      <c r="AGB118" s="182"/>
      <c r="AGC118" s="181"/>
      <c r="AGD118" s="182"/>
      <c r="AGE118" s="181"/>
      <c r="AGF118" s="182"/>
      <c r="AGG118" s="181"/>
      <c r="AGH118" s="182"/>
      <c r="AGI118" s="181"/>
      <c r="AGJ118" s="182"/>
      <c r="AGK118" s="181"/>
      <c r="AGL118" s="182"/>
      <c r="AGM118" s="181"/>
      <c r="AGN118" s="182"/>
      <c r="AGO118" s="181"/>
      <c r="AGP118" s="182"/>
      <c r="AGQ118" s="181"/>
      <c r="AGR118" s="182"/>
      <c r="AGS118" s="181"/>
      <c r="AGT118" s="182"/>
      <c r="AGU118" s="181"/>
      <c r="AGV118" s="182"/>
      <c r="AGW118" s="181"/>
      <c r="AGX118" s="182"/>
      <c r="AGY118" s="181"/>
      <c r="AGZ118" s="182"/>
      <c r="AHA118" s="181"/>
      <c r="AHB118" s="182"/>
      <c r="AHC118" s="181"/>
      <c r="AHD118" s="182"/>
      <c r="AHE118" s="181"/>
      <c r="AHF118" s="182"/>
      <c r="AHG118" s="181"/>
      <c r="AHH118" s="182"/>
      <c r="AHI118" s="181"/>
      <c r="AHJ118" s="182"/>
      <c r="AHK118" s="181"/>
      <c r="AHL118" s="182"/>
      <c r="AHM118" s="181"/>
      <c r="AHN118" s="182"/>
      <c r="AHO118" s="181"/>
      <c r="AHP118" s="182"/>
      <c r="AHQ118" s="181"/>
      <c r="AHR118" s="182"/>
      <c r="AHS118" s="181"/>
      <c r="AHT118" s="182"/>
      <c r="AHU118" s="181"/>
      <c r="AHV118" s="182"/>
      <c r="AHW118" s="181"/>
      <c r="AHX118" s="182"/>
      <c r="AHY118" s="181"/>
      <c r="AHZ118" s="182"/>
      <c r="AIA118" s="181"/>
      <c r="AIB118" s="182"/>
      <c r="AIC118" s="181"/>
      <c r="AID118" s="182"/>
      <c r="AIE118" s="181"/>
      <c r="AIF118" s="182"/>
      <c r="AIG118" s="181"/>
      <c r="AIH118" s="182"/>
      <c r="AII118" s="181"/>
      <c r="AIJ118" s="182"/>
      <c r="AIK118" s="181"/>
      <c r="AIL118" s="182"/>
      <c r="AIM118" s="181"/>
      <c r="AIN118" s="182"/>
      <c r="AIO118" s="181"/>
      <c r="AIP118" s="182"/>
      <c r="AIQ118" s="181"/>
      <c r="AIR118" s="182"/>
      <c r="AIS118" s="181"/>
      <c r="AIT118" s="182"/>
      <c r="AIU118" s="181"/>
      <c r="AIV118" s="182"/>
      <c r="AIW118" s="181"/>
      <c r="AIX118" s="182"/>
      <c r="AIY118" s="181"/>
      <c r="AIZ118" s="182"/>
      <c r="AJA118" s="181"/>
      <c r="AJB118" s="182"/>
      <c r="AJC118" s="181"/>
      <c r="AJD118" s="182"/>
      <c r="AJE118" s="181"/>
      <c r="AJF118" s="182"/>
      <c r="AJG118" s="181"/>
      <c r="AJH118" s="182"/>
      <c r="AJI118" s="181"/>
      <c r="AJJ118" s="182"/>
      <c r="AJK118" s="181"/>
      <c r="AJL118" s="182"/>
      <c r="AJM118" s="181"/>
      <c r="AJN118" s="182"/>
      <c r="AJO118" s="181"/>
      <c r="AJP118" s="182"/>
      <c r="AJQ118" s="181"/>
      <c r="AJR118" s="182"/>
      <c r="AJS118" s="181"/>
      <c r="AJT118" s="182"/>
      <c r="AJU118" s="181"/>
      <c r="AJV118" s="182"/>
      <c r="AJW118" s="181"/>
      <c r="AJX118" s="182"/>
      <c r="AJY118" s="181"/>
      <c r="AJZ118" s="182"/>
      <c r="AKA118" s="181"/>
      <c r="AKB118" s="182"/>
      <c r="AKC118" s="181"/>
      <c r="AKD118" s="182"/>
      <c r="AKE118" s="181"/>
      <c r="AKF118" s="182"/>
      <c r="AKG118" s="181"/>
      <c r="AKH118" s="182"/>
      <c r="AKI118" s="181"/>
      <c r="AKJ118" s="182"/>
      <c r="AKK118" s="181"/>
      <c r="AKL118" s="182"/>
      <c r="AKM118" s="181"/>
      <c r="AKN118" s="182"/>
      <c r="AKO118" s="181"/>
      <c r="AKP118" s="182"/>
      <c r="AKQ118" s="181"/>
      <c r="AKR118" s="182"/>
      <c r="AKS118" s="181"/>
      <c r="AKT118" s="182"/>
      <c r="AKU118" s="181"/>
      <c r="AKV118" s="182"/>
      <c r="AKW118" s="181"/>
      <c r="AKX118" s="182"/>
      <c r="AKY118" s="181"/>
      <c r="AKZ118" s="182"/>
      <c r="ALA118" s="181"/>
      <c r="ALB118" s="182"/>
      <c r="ALC118" s="181"/>
      <c r="ALD118" s="182"/>
      <c r="ALE118" s="181"/>
      <c r="ALF118" s="182"/>
      <c r="ALG118" s="181"/>
      <c r="ALH118" s="182"/>
      <c r="ALI118" s="181"/>
      <c r="ALJ118" s="182"/>
      <c r="ALK118" s="181"/>
      <c r="ALL118" s="182"/>
      <c r="ALM118" s="181"/>
      <c r="ALN118" s="182"/>
      <c r="ALO118" s="181"/>
      <c r="ALP118" s="182"/>
      <c r="ALQ118" s="181"/>
      <c r="ALR118" s="182"/>
      <c r="ALS118" s="181"/>
      <c r="ALT118" s="182"/>
      <c r="ALU118" s="181"/>
      <c r="ALV118" s="182"/>
      <c r="ALW118" s="181"/>
      <c r="ALX118" s="182"/>
      <c r="ALY118" s="181"/>
      <c r="ALZ118" s="182"/>
      <c r="AMA118" s="181"/>
      <c r="AMB118" s="182"/>
      <c r="AMC118" s="181"/>
      <c r="AMD118" s="182"/>
      <c r="AME118" s="181"/>
      <c r="AMF118" s="182"/>
      <c r="AMG118" s="181"/>
      <c r="AMH118" s="182"/>
      <c r="AMI118" s="181"/>
      <c r="AMJ118" s="182"/>
      <c r="AMK118" s="181"/>
      <c r="AML118" s="182"/>
      <c r="AMM118" s="181"/>
      <c r="AMN118" s="182"/>
      <c r="AMO118" s="181"/>
      <c r="AMP118" s="182"/>
      <c r="AMQ118" s="181"/>
      <c r="AMR118" s="182"/>
      <c r="AMS118" s="181"/>
      <c r="AMT118" s="182"/>
      <c r="AMU118" s="181"/>
      <c r="AMV118" s="182"/>
      <c r="AMW118" s="181"/>
      <c r="AMX118" s="182"/>
      <c r="AMY118" s="181"/>
      <c r="AMZ118" s="182"/>
      <c r="ANA118" s="181"/>
      <c r="ANB118" s="182"/>
      <c r="ANC118" s="181"/>
      <c r="AND118" s="182"/>
      <c r="ANE118" s="181"/>
      <c r="ANF118" s="182"/>
      <c r="ANG118" s="181"/>
      <c r="ANH118" s="182"/>
      <c r="ANI118" s="181"/>
      <c r="ANJ118" s="182"/>
      <c r="ANK118" s="181"/>
      <c r="ANL118" s="182"/>
      <c r="ANM118" s="181"/>
      <c r="ANN118" s="182"/>
      <c r="ANO118" s="181"/>
      <c r="ANP118" s="182"/>
      <c r="ANQ118" s="181"/>
      <c r="ANR118" s="182"/>
      <c r="ANS118" s="181"/>
      <c r="ANT118" s="182"/>
      <c r="ANU118" s="181"/>
      <c r="ANV118" s="182"/>
      <c r="ANW118" s="181"/>
      <c r="ANX118" s="182"/>
      <c r="ANY118" s="181"/>
      <c r="ANZ118" s="182"/>
      <c r="AOA118" s="181"/>
      <c r="AOB118" s="182"/>
      <c r="AOC118" s="181"/>
      <c r="AOD118" s="182"/>
      <c r="AOE118" s="181"/>
      <c r="AOF118" s="182"/>
      <c r="AOG118" s="181"/>
      <c r="AOH118" s="182"/>
      <c r="AOI118" s="181"/>
      <c r="AOJ118" s="182"/>
      <c r="AOK118" s="181"/>
      <c r="AOL118" s="182"/>
      <c r="AOM118" s="181"/>
      <c r="AON118" s="182"/>
      <c r="AOO118" s="181"/>
      <c r="AOP118" s="182"/>
      <c r="AOQ118" s="181"/>
      <c r="AOR118" s="182"/>
      <c r="AOS118" s="181"/>
      <c r="AOT118" s="182"/>
      <c r="AOU118" s="181"/>
      <c r="AOV118" s="182"/>
      <c r="AOW118" s="181"/>
      <c r="AOX118" s="182"/>
      <c r="AOY118" s="181"/>
      <c r="AOZ118" s="182"/>
      <c r="APA118" s="181"/>
      <c r="APB118" s="182"/>
      <c r="APC118" s="181"/>
      <c r="APD118" s="182"/>
      <c r="APE118" s="181"/>
      <c r="APF118" s="182"/>
      <c r="APG118" s="181"/>
      <c r="APH118" s="182"/>
      <c r="API118" s="181"/>
      <c r="APJ118" s="182"/>
      <c r="APK118" s="181"/>
      <c r="APL118" s="182"/>
      <c r="APM118" s="181"/>
      <c r="APN118" s="182"/>
      <c r="APO118" s="181"/>
      <c r="APP118" s="182"/>
      <c r="APQ118" s="181"/>
      <c r="APR118" s="182"/>
      <c r="APS118" s="181"/>
      <c r="APT118" s="182"/>
      <c r="APU118" s="181"/>
      <c r="APV118" s="182"/>
      <c r="APW118" s="181"/>
      <c r="APX118" s="182"/>
      <c r="APY118" s="181"/>
      <c r="APZ118" s="182"/>
      <c r="AQA118" s="181"/>
      <c r="AQB118" s="182"/>
      <c r="AQC118" s="181"/>
      <c r="AQD118" s="182"/>
      <c r="AQE118" s="181"/>
      <c r="AQF118" s="182"/>
      <c r="AQG118" s="181"/>
      <c r="AQH118" s="182"/>
      <c r="AQI118" s="181"/>
      <c r="AQJ118" s="182"/>
      <c r="AQK118" s="181"/>
      <c r="AQL118" s="182"/>
      <c r="AQM118" s="181"/>
      <c r="AQN118" s="182"/>
      <c r="AQO118" s="181"/>
      <c r="AQP118" s="182"/>
      <c r="AQQ118" s="181"/>
      <c r="AQR118" s="182"/>
      <c r="AQS118" s="181"/>
      <c r="AQT118" s="182"/>
      <c r="AQU118" s="181"/>
      <c r="AQV118" s="182"/>
      <c r="AQW118" s="181"/>
      <c r="AQX118" s="182"/>
      <c r="AQY118" s="181"/>
      <c r="AQZ118" s="182"/>
      <c r="ARA118" s="181"/>
      <c r="ARB118" s="182"/>
      <c r="ARC118" s="181"/>
      <c r="ARD118" s="182"/>
      <c r="ARE118" s="181"/>
      <c r="ARF118" s="182"/>
      <c r="ARG118" s="181"/>
      <c r="ARH118" s="182"/>
      <c r="ARI118" s="181"/>
      <c r="ARJ118" s="182"/>
      <c r="ARK118" s="181"/>
      <c r="ARL118" s="182"/>
      <c r="ARM118" s="181"/>
      <c r="ARN118" s="182"/>
      <c r="ARO118" s="181"/>
      <c r="ARP118" s="182"/>
      <c r="ARQ118" s="181"/>
      <c r="ARR118" s="182"/>
      <c r="ARS118" s="181"/>
      <c r="ART118" s="182"/>
      <c r="ARU118" s="181"/>
      <c r="ARV118" s="182"/>
      <c r="ARW118" s="181"/>
      <c r="ARX118" s="182"/>
      <c r="ARY118" s="181"/>
      <c r="ARZ118" s="182"/>
      <c r="ASA118" s="181"/>
      <c r="ASB118" s="182"/>
      <c r="ASC118" s="181"/>
      <c r="ASD118" s="182"/>
      <c r="ASE118" s="181"/>
      <c r="ASF118" s="182"/>
      <c r="ASG118" s="181"/>
      <c r="ASH118" s="182"/>
      <c r="ASI118" s="181"/>
      <c r="ASJ118" s="182"/>
      <c r="ASK118" s="181"/>
      <c r="ASL118" s="182"/>
      <c r="ASM118" s="181"/>
      <c r="ASN118" s="182"/>
      <c r="ASO118" s="181"/>
      <c r="ASP118" s="182"/>
      <c r="ASQ118" s="181"/>
      <c r="ASR118" s="182"/>
      <c r="ASS118" s="181"/>
      <c r="AST118" s="182"/>
      <c r="ASU118" s="181"/>
      <c r="ASV118" s="182"/>
      <c r="ASW118" s="181"/>
      <c r="ASX118" s="182"/>
      <c r="ASY118" s="181"/>
      <c r="ASZ118" s="182"/>
      <c r="ATA118" s="181"/>
      <c r="ATB118" s="182"/>
      <c r="ATC118" s="181"/>
      <c r="ATD118" s="182"/>
      <c r="ATE118" s="181"/>
      <c r="ATF118" s="182"/>
      <c r="ATG118" s="181"/>
      <c r="ATH118" s="182"/>
      <c r="ATI118" s="181"/>
      <c r="ATJ118" s="182"/>
      <c r="ATK118" s="181"/>
      <c r="ATL118" s="182"/>
      <c r="ATM118" s="181"/>
      <c r="ATN118" s="182"/>
      <c r="ATO118" s="181"/>
      <c r="ATP118" s="182"/>
      <c r="ATQ118" s="181"/>
      <c r="ATR118" s="182"/>
      <c r="ATS118" s="181"/>
      <c r="ATT118" s="182"/>
      <c r="ATU118" s="181"/>
      <c r="ATV118" s="182"/>
      <c r="ATW118" s="181"/>
      <c r="ATX118" s="182"/>
      <c r="ATY118" s="181"/>
      <c r="ATZ118" s="182"/>
      <c r="AUA118" s="181"/>
      <c r="AUB118" s="182"/>
      <c r="AUC118" s="181"/>
      <c r="AUD118" s="182"/>
      <c r="AUE118" s="181"/>
      <c r="AUF118" s="182"/>
      <c r="AUG118" s="181"/>
      <c r="AUH118" s="182"/>
      <c r="AUI118" s="181"/>
      <c r="AUJ118" s="182"/>
      <c r="AUK118" s="181"/>
      <c r="AUL118" s="182"/>
      <c r="AUM118" s="181"/>
      <c r="AUN118" s="182"/>
      <c r="AUO118" s="181"/>
      <c r="AUP118" s="182"/>
      <c r="AUQ118" s="181"/>
      <c r="AUR118" s="182"/>
      <c r="AUS118" s="181"/>
      <c r="AUT118" s="182"/>
      <c r="AUU118" s="181"/>
      <c r="AUV118" s="182"/>
      <c r="AUW118" s="181"/>
      <c r="AUX118" s="182"/>
      <c r="AUY118" s="181"/>
      <c r="AUZ118" s="182"/>
      <c r="AVA118" s="181"/>
      <c r="AVB118" s="182"/>
      <c r="AVC118" s="181"/>
      <c r="AVD118" s="182"/>
      <c r="AVE118" s="181"/>
      <c r="AVF118" s="182"/>
      <c r="AVG118" s="181"/>
      <c r="AVH118" s="182"/>
      <c r="AVI118" s="181"/>
      <c r="AVJ118" s="182"/>
      <c r="AVK118" s="181"/>
      <c r="AVL118" s="182"/>
      <c r="AVM118" s="181"/>
      <c r="AVN118" s="182"/>
      <c r="AVO118" s="181"/>
      <c r="AVP118" s="182"/>
      <c r="AVQ118" s="181"/>
      <c r="AVR118" s="182"/>
      <c r="AVS118" s="181"/>
      <c r="AVT118" s="182"/>
      <c r="AVU118" s="181"/>
      <c r="AVV118" s="182"/>
      <c r="AVW118" s="181"/>
      <c r="AVX118" s="182"/>
      <c r="AVY118" s="181"/>
      <c r="AVZ118" s="182"/>
      <c r="AWA118" s="181"/>
      <c r="AWB118" s="182"/>
      <c r="AWC118" s="181"/>
      <c r="AWD118" s="182"/>
      <c r="AWE118" s="181"/>
      <c r="AWF118" s="182"/>
      <c r="AWG118" s="181"/>
      <c r="AWH118" s="182"/>
      <c r="AWI118" s="181"/>
      <c r="AWJ118" s="182"/>
      <c r="AWK118" s="181"/>
      <c r="AWL118" s="182"/>
      <c r="AWM118" s="181"/>
      <c r="AWN118" s="182"/>
      <c r="AWO118" s="181"/>
      <c r="AWP118" s="182"/>
      <c r="AWQ118" s="181"/>
      <c r="AWR118" s="182"/>
      <c r="AWS118" s="181"/>
      <c r="AWT118" s="182"/>
      <c r="AWU118" s="181"/>
      <c r="AWV118" s="182"/>
      <c r="AWW118" s="181"/>
      <c r="AWX118" s="182"/>
      <c r="AWY118" s="181"/>
      <c r="AWZ118" s="182"/>
      <c r="AXA118" s="181"/>
      <c r="AXB118" s="182"/>
      <c r="AXC118" s="181"/>
      <c r="AXD118" s="182"/>
      <c r="AXE118" s="181"/>
      <c r="AXF118" s="182"/>
      <c r="AXG118" s="181"/>
      <c r="AXH118" s="182"/>
      <c r="AXI118" s="181"/>
      <c r="AXJ118" s="182"/>
      <c r="AXK118" s="181"/>
      <c r="AXL118" s="182"/>
      <c r="AXM118" s="181"/>
      <c r="AXN118" s="182"/>
      <c r="AXO118" s="181"/>
      <c r="AXP118" s="182"/>
      <c r="AXQ118" s="181"/>
      <c r="AXR118" s="182"/>
      <c r="AXS118" s="181"/>
      <c r="AXT118" s="182"/>
      <c r="AXU118" s="181"/>
      <c r="AXV118" s="182"/>
      <c r="AXW118" s="181"/>
      <c r="AXX118" s="182"/>
      <c r="AXY118" s="181"/>
      <c r="AXZ118" s="182"/>
      <c r="AYA118" s="181"/>
      <c r="AYB118" s="182"/>
      <c r="AYC118" s="181"/>
      <c r="AYD118" s="182"/>
      <c r="AYE118" s="181"/>
      <c r="AYF118" s="182"/>
      <c r="AYG118" s="181"/>
      <c r="AYH118" s="182"/>
      <c r="AYI118" s="181"/>
      <c r="AYJ118" s="182"/>
      <c r="AYK118" s="181"/>
      <c r="AYL118" s="182"/>
      <c r="AYM118" s="181"/>
      <c r="AYN118" s="182"/>
      <c r="AYO118" s="181"/>
      <c r="AYP118" s="182"/>
      <c r="AYQ118" s="181"/>
      <c r="AYR118" s="182"/>
      <c r="AYS118" s="181"/>
      <c r="AYT118" s="182"/>
      <c r="AYU118" s="181"/>
      <c r="AYV118" s="182"/>
      <c r="AYW118" s="181"/>
      <c r="AYX118" s="182"/>
      <c r="AYY118" s="181"/>
      <c r="AYZ118" s="182"/>
      <c r="AZA118" s="181"/>
      <c r="AZB118" s="182"/>
      <c r="AZC118" s="181"/>
      <c r="AZD118" s="182"/>
      <c r="AZE118" s="181"/>
      <c r="AZF118" s="182"/>
      <c r="AZG118" s="181"/>
      <c r="AZH118" s="182"/>
      <c r="AZI118" s="181"/>
      <c r="AZJ118" s="182"/>
      <c r="AZK118" s="181"/>
      <c r="AZL118" s="182"/>
      <c r="AZM118" s="181"/>
      <c r="AZN118" s="182"/>
      <c r="AZO118" s="181"/>
      <c r="AZP118" s="182"/>
      <c r="AZQ118" s="181"/>
      <c r="AZR118" s="182"/>
      <c r="AZS118" s="181"/>
      <c r="AZT118" s="182"/>
      <c r="AZU118" s="181"/>
      <c r="AZV118" s="182"/>
      <c r="AZW118" s="181"/>
      <c r="AZX118" s="182"/>
      <c r="AZY118" s="181"/>
      <c r="AZZ118" s="182"/>
      <c r="BAA118" s="181"/>
      <c r="BAB118" s="182"/>
      <c r="BAC118" s="181"/>
      <c r="BAD118" s="182"/>
      <c r="BAE118" s="181"/>
      <c r="BAF118" s="182"/>
      <c r="BAG118" s="181"/>
      <c r="BAH118" s="182"/>
      <c r="BAI118" s="181"/>
      <c r="BAJ118" s="182"/>
      <c r="BAK118" s="181"/>
      <c r="BAL118" s="182"/>
      <c r="BAM118" s="181"/>
      <c r="BAN118" s="182"/>
      <c r="BAO118" s="181"/>
      <c r="BAP118" s="182"/>
      <c r="BAQ118" s="181"/>
      <c r="BAR118" s="182"/>
      <c r="BAS118" s="181"/>
      <c r="BAT118" s="182"/>
      <c r="BAU118" s="181"/>
      <c r="BAV118" s="182"/>
      <c r="BAW118" s="181"/>
      <c r="BAX118" s="182"/>
      <c r="BAY118" s="181"/>
      <c r="BAZ118" s="182"/>
      <c r="BBA118" s="181"/>
      <c r="BBB118" s="182"/>
      <c r="BBC118" s="181"/>
      <c r="BBD118" s="182"/>
      <c r="BBE118" s="181"/>
      <c r="BBF118" s="182"/>
      <c r="BBG118" s="181"/>
      <c r="BBH118" s="182"/>
      <c r="BBI118" s="181"/>
      <c r="BBJ118" s="182"/>
      <c r="BBK118" s="181"/>
      <c r="BBL118" s="182"/>
      <c r="BBM118" s="181"/>
      <c r="BBN118" s="182"/>
      <c r="BBO118" s="181"/>
      <c r="BBP118" s="182"/>
      <c r="BBQ118" s="181"/>
      <c r="BBR118" s="182"/>
      <c r="BBS118" s="181"/>
      <c r="BBT118" s="182"/>
      <c r="BBU118" s="181"/>
      <c r="BBV118" s="182"/>
      <c r="BBW118" s="181"/>
      <c r="BBX118" s="182"/>
      <c r="BBY118" s="181"/>
      <c r="BBZ118" s="182"/>
      <c r="BCA118" s="181"/>
      <c r="BCB118" s="182"/>
      <c r="BCC118" s="181"/>
      <c r="BCD118" s="182"/>
      <c r="BCE118" s="181"/>
      <c r="BCF118" s="182"/>
      <c r="BCG118" s="181"/>
      <c r="BCH118" s="182"/>
      <c r="BCI118" s="181"/>
      <c r="BCJ118" s="182"/>
      <c r="BCK118" s="181"/>
      <c r="BCL118" s="182"/>
      <c r="BCM118" s="181"/>
      <c r="BCN118" s="182"/>
      <c r="BCO118" s="181"/>
      <c r="BCP118" s="182"/>
      <c r="BCQ118" s="181"/>
      <c r="BCR118" s="182"/>
      <c r="BCS118" s="181"/>
      <c r="BCT118" s="182"/>
      <c r="BCU118" s="181"/>
      <c r="BCV118" s="182"/>
      <c r="BCW118" s="181"/>
      <c r="BCX118" s="182"/>
      <c r="BCY118" s="181"/>
      <c r="BCZ118" s="182"/>
      <c r="BDA118" s="181"/>
      <c r="BDB118" s="182"/>
      <c r="BDC118" s="181"/>
      <c r="BDD118" s="182"/>
      <c r="BDE118" s="181"/>
      <c r="BDF118" s="182"/>
      <c r="BDG118" s="181"/>
      <c r="BDH118" s="182"/>
      <c r="BDI118" s="181"/>
      <c r="BDJ118" s="182"/>
      <c r="BDK118" s="181"/>
      <c r="BDL118" s="182"/>
      <c r="BDM118" s="181"/>
      <c r="BDN118" s="182"/>
      <c r="BDO118" s="181"/>
      <c r="BDP118" s="182"/>
      <c r="BDQ118" s="181"/>
      <c r="BDR118" s="182"/>
      <c r="BDS118" s="181"/>
      <c r="BDT118" s="182"/>
      <c r="BDU118" s="181"/>
      <c r="BDV118" s="182"/>
      <c r="BDW118" s="181"/>
      <c r="BDX118" s="182"/>
      <c r="BDY118" s="181"/>
      <c r="BDZ118" s="182"/>
      <c r="BEA118" s="181"/>
      <c r="BEB118" s="182"/>
      <c r="BEC118" s="181"/>
      <c r="BED118" s="182"/>
      <c r="BEE118" s="181"/>
      <c r="BEF118" s="182"/>
      <c r="BEG118" s="181"/>
      <c r="BEH118" s="182"/>
      <c r="BEI118" s="181"/>
      <c r="BEJ118" s="182"/>
      <c r="BEK118" s="181"/>
      <c r="BEL118" s="182"/>
      <c r="BEM118" s="181"/>
      <c r="BEN118" s="182"/>
      <c r="BEO118" s="181"/>
      <c r="BEP118" s="182"/>
      <c r="BEQ118" s="181"/>
      <c r="BER118" s="182"/>
      <c r="BES118" s="181"/>
      <c r="BET118" s="182"/>
      <c r="BEU118" s="181"/>
      <c r="BEV118" s="182"/>
      <c r="BEW118" s="181"/>
      <c r="BEX118" s="182"/>
      <c r="BEY118" s="181"/>
      <c r="BEZ118" s="182"/>
      <c r="BFA118" s="181"/>
      <c r="BFB118" s="182"/>
      <c r="BFC118" s="181"/>
      <c r="BFD118" s="182"/>
      <c r="BFE118" s="181"/>
      <c r="BFF118" s="182"/>
      <c r="BFG118" s="181"/>
      <c r="BFH118" s="182"/>
      <c r="BFI118" s="181"/>
      <c r="BFJ118" s="182"/>
      <c r="BFK118" s="181"/>
      <c r="BFL118" s="182"/>
      <c r="BFM118" s="181"/>
      <c r="BFN118" s="182"/>
      <c r="BFO118" s="181"/>
      <c r="BFP118" s="182"/>
      <c r="BFQ118" s="181"/>
      <c r="BFR118" s="182"/>
      <c r="BFS118" s="181"/>
      <c r="BFT118" s="182"/>
      <c r="BFU118" s="181"/>
      <c r="BFV118" s="182"/>
      <c r="BFW118" s="181"/>
      <c r="BFX118" s="182"/>
      <c r="BFY118" s="181"/>
      <c r="BFZ118" s="182"/>
      <c r="BGA118" s="181"/>
      <c r="BGB118" s="182"/>
      <c r="BGC118" s="181"/>
      <c r="BGD118" s="182"/>
      <c r="BGE118" s="181"/>
      <c r="BGF118" s="182"/>
      <c r="BGG118" s="181"/>
      <c r="BGH118" s="182"/>
      <c r="BGI118" s="181"/>
      <c r="BGJ118" s="182"/>
      <c r="BGK118" s="181"/>
      <c r="BGL118" s="182"/>
      <c r="BGM118" s="181"/>
      <c r="BGN118" s="182"/>
      <c r="BGO118" s="181"/>
      <c r="BGP118" s="182"/>
      <c r="BGQ118" s="181"/>
      <c r="BGR118" s="182"/>
      <c r="BGS118" s="181"/>
      <c r="BGT118" s="182"/>
      <c r="BGU118" s="181"/>
      <c r="BGV118" s="182"/>
      <c r="BGW118" s="181"/>
      <c r="BGX118" s="182"/>
      <c r="BGY118" s="181"/>
      <c r="BGZ118" s="182"/>
      <c r="BHA118" s="181"/>
      <c r="BHB118" s="182"/>
      <c r="BHC118" s="181"/>
      <c r="BHD118" s="182"/>
      <c r="BHE118" s="181"/>
      <c r="BHF118" s="182"/>
      <c r="BHG118" s="181"/>
      <c r="BHH118" s="182"/>
      <c r="BHI118" s="181"/>
      <c r="BHJ118" s="182"/>
      <c r="BHK118" s="181"/>
      <c r="BHL118" s="182"/>
      <c r="BHM118" s="181"/>
      <c r="BHN118" s="182"/>
      <c r="BHO118" s="181"/>
      <c r="BHP118" s="182"/>
      <c r="BHQ118" s="181"/>
      <c r="BHR118" s="182"/>
      <c r="BHS118" s="181"/>
      <c r="BHT118" s="182"/>
      <c r="BHU118" s="181"/>
      <c r="BHV118" s="182"/>
      <c r="BHW118" s="181"/>
      <c r="BHX118" s="182"/>
      <c r="BHY118" s="181"/>
      <c r="BHZ118" s="182"/>
      <c r="BIA118" s="181"/>
      <c r="BIB118" s="182"/>
      <c r="BIC118" s="181"/>
      <c r="BID118" s="182"/>
      <c r="BIE118" s="181"/>
      <c r="BIF118" s="182"/>
      <c r="BIG118" s="181"/>
      <c r="BIH118" s="182"/>
      <c r="BII118" s="181"/>
      <c r="BIJ118" s="182"/>
      <c r="BIK118" s="181"/>
      <c r="BIL118" s="182"/>
      <c r="BIM118" s="181"/>
      <c r="BIN118" s="182"/>
      <c r="BIO118" s="181"/>
      <c r="BIP118" s="182"/>
      <c r="BIQ118" s="181"/>
      <c r="BIR118" s="182"/>
      <c r="BIS118" s="181"/>
      <c r="BIT118" s="182"/>
      <c r="BIU118" s="181"/>
      <c r="BIV118" s="182"/>
      <c r="BIW118" s="181"/>
      <c r="BIX118" s="182"/>
      <c r="BIY118" s="181"/>
      <c r="BIZ118" s="182"/>
      <c r="BJA118" s="181"/>
      <c r="BJB118" s="182"/>
      <c r="BJC118" s="181"/>
      <c r="BJD118" s="182"/>
      <c r="BJE118" s="181"/>
      <c r="BJF118" s="182"/>
      <c r="BJG118" s="181"/>
      <c r="BJH118" s="182"/>
      <c r="BJI118" s="181"/>
      <c r="BJJ118" s="182"/>
      <c r="BJK118" s="181"/>
      <c r="BJL118" s="182"/>
      <c r="BJM118" s="181"/>
      <c r="BJN118" s="182"/>
      <c r="BJO118" s="181"/>
      <c r="BJP118" s="182"/>
      <c r="BJQ118" s="181"/>
      <c r="BJR118" s="182"/>
      <c r="BJS118" s="181"/>
      <c r="BJT118" s="182"/>
      <c r="BJU118" s="181"/>
      <c r="BJV118" s="182"/>
      <c r="BJW118" s="181"/>
      <c r="BJX118" s="182"/>
      <c r="BJY118" s="181"/>
      <c r="BJZ118" s="182"/>
      <c r="BKA118" s="181"/>
      <c r="BKB118" s="182"/>
      <c r="BKC118" s="181"/>
      <c r="BKD118" s="182"/>
      <c r="BKE118" s="181"/>
      <c r="BKF118" s="182"/>
      <c r="BKG118" s="181"/>
      <c r="BKH118" s="182"/>
      <c r="BKI118" s="181"/>
      <c r="BKJ118" s="182"/>
      <c r="BKK118" s="181"/>
      <c r="BKL118" s="182"/>
      <c r="BKM118" s="181"/>
      <c r="BKN118" s="182"/>
      <c r="BKO118" s="181"/>
      <c r="BKP118" s="182"/>
      <c r="BKQ118" s="181"/>
      <c r="BKR118" s="182"/>
      <c r="BKS118" s="181"/>
      <c r="BKT118" s="182"/>
      <c r="BKU118" s="181"/>
      <c r="BKV118" s="182"/>
      <c r="BKW118" s="181"/>
      <c r="BKX118" s="182"/>
      <c r="BKY118" s="181"/>
      <c r="BKZ118" s="182"/>
      <c r="BLA118" s="181"/>
      <c r="BLB118" s="182"/>
      <c r="BLC118" s="181"/>
      <c r="BLD118" s="182"/>
      <c r="BLE118" s="181"/>
      <c r="BLF118" s="182"/>
      <c r="BLG118" s="181"/>
      <c r="BLH118" s="182"/>
      <c r="BLI118" s="181"/>
      <c r="BLJ118" s="182"/>
      <c r="BLK118" s="181"/>
      <c r="BLL118" s="182"/>
      <c r="BLM118" s="181"/>
      <c r="BLN118" s="182"/>
      <c r="BLO118" s="181"/>
      <c r="BLP118" s="182"/>
      <c r="BLQ118" s="181"/>
      <c r="BLR118" s="182"/>
      <c r="BLS118" s="181"/>
      <c r="BLT118" s="182"/>
      <c r="BLU118" s="181"/>
      <c r="BLV118" s="182"/>
      <c r="BLW118" s="181"/>
      <c r="BLX118" s="182"/>
      <c r="BLY118" s="181"/>
      <c r="BLZ118" s="182"/>
      <c r="BMA118" s="181"/>
      <c r="BMB118" s="182"/>
      <c r="BMC118" s="181"/>
      <c r="BMD118" s="182"/>
      <c r="BME118" s="181"/>
      <c r="BMF118" s="182"/>
      <c r="BMG118" s="181"/>
      <c r="BMH118" s="182"/>
      <c r="BMI118" s="181"/>
      <c r="BMJ118" s="182"/>
      <c r="BMK118" s="181"/>
      <c r="BML118" s="182"/>
      <c r="BMM118" s="181"/>
      <c r="BMN118" s="182"/>
      <c r="BMO118" s="181"/>
      <c r="BMP118" s="182"/>
      <c r="BMQ118" s="181"/>
      <c r="BMR118" s="182"/>
      <c r="BMS118" s="181"/>
      <c r="BMT118" s="182"/>
      <c r="BMU118" s="181"/>
      <c r="BMV118" s="182"/>
      <c r="BMW118" s="181"/>
      <c r="BMX118" s="182"/>
      <c r="BMY118" s="181"/>
      <c r="BMZ118" s="182"/>
      <c r="BNA118" s="181"/>
      <c r="BNB118" s="182"/>
      <c r="BNC118" s="181"/>
      <c r="BND118" s="182"/>
      <c r="BNE118" s="181"/>
      <c r="BNF118" s="182"/>
      <c r="BNG118" s="181"/>
      <c r="BNH118" s="182"/>
      <c r="BNI118" s="181"/>
      <c r="BNJ118" s="182"/>
      <c r="BNK118" s="181"/>
      <c r="BNL118" s="182"/>
      <c r="BNM118" s="181"/>
      <c r="BNN118" s="182"/>
      <c r="BNO118" s="181"/>
      <c r="BNP118" s="182"/>
      <c r="BNQ118" s="181"/>
      <c r="BNR118" s="182"/>
      <c r="BNS118" s="181"/>
      <c r="BNT118" s="182"/>
      <c r="BNU118" s="181"/>
      <c r="BNV118" s="182"/>
      <c r="BNW118" s="181"/>
      <c r="BNX118" s="182"/>
      <c r="BNY118" s="181"/>
      <c r="BNZ118" s="182"/>
      <c r="BOA118" s="181"/>
      <c r="BOB118" s="182"/>
      <c r="BOC118" s="181"/>
      <c r="BOD118" s="182"/>
      <c r="BOE118" s="181"/>
      <c r="BOF118" s="182"/>
      <c r="BOG118" s="181"/>
      <c r="BOH118" s="182"/>
      <c r="BOI118" s="181"/>
      <c r="BOJ118" s="182"/>
      <c r="BOK118" s="181"/>
      <c r="BOL118" s="182"/>
      <c r="BOM118" s="181"/>
      <c r="BON118" s="182"/>
      <c r="BOO118" s="181"/>
      <c r="BOP118" s="182"/>
      <c r="BOQ118" s="181"/>
      <c r="BOR118" s="182"/>
      <c r="BOS118" s="181"/>
      <c r="BOT118" s="182"/>
      <c r="BOU118" s="181"/>
      <c r="BOV118" s="182"/>
      <c r="BOW118" s="181"/>
      <c r="BOX118" s="182"/>
      <c r="BOY118" s="181"/>
      <c r="BOZ118" s="182"/>
      <c r="BPA118" s="181"/>
      <c r="BPB118" s="182"/>
      <c r="BPC118" s="181"/>
      <c r="BPD118" s="182"/>
      <c r="BPE118" s="181"/>
      <c r="BPF118" s="182"/>
      <c r="BPG118" s="181"/>
      <c r="BPH118" s="182"/>
      <c r="BPI118" s="181"/>
      <c r="BPJ118" s="182"/>
      <c r="BPK118" s="181"/>
      <c r="BPL118" s="182"/>
      <c r="BPM118" s="181"/>
      <c r="BPN118" s="182"/>
      <c r="BPO118" s="181"/>
      <c r="BPP118" s="182"/>
      <c r="BPQ118" s="181"/>
      <c r="BPR118" s="182"/>
      <c r="BPS118" s="181"/>
      <c r="BPT118" s="182"/>
      <c r="BPU118" s="181"/>
      <c r="BPV118" s="182"/>
      <c r="BPW118" s="181"/>
      <c r="BPX118" s="182"/>
      <c r="BPY118" s="181"/>
      <c r="BPZ118" s="182"/>
      <c r="BQA118" s="181"/>
      <c r="BQB118" s="182"/>
      <c r="BQC118" s="181"/>
      <c r="BQD118" s="182"/>
      <c r="BQE118" s="181"/>
      <c r="BQF118" s="182"/>
      <c r="BQG118" s="181"/>
      <c r="BQH118" s="182"/>
      <c r="BQI118" s="181"/>
      <c r="BQJ118" s="182"/>
      <c r="BQK118" s="181"/>
      <c r="BQL118" s="182"/>
      <c r="BQM118" s="181"/>
      <c r="BQN118" s="182"/>
      <c r="BQO118" s="181"/>
      <c r="BQP118" s="182"/>
      <c r="BQQ118" s="181"/>
      <c r="BQR118" s="182"/>
      <c r="BQS118" s="181"/>
      <c r="BQT118" s="182"/>
      <c r="BQU118" s="181"/>
      <c r="BQV118" s="182"/>
      <c r="BQW118" s="181"/>
      <c r="BQX118" s="182"/>
      <c r="BQY118" s="181"/>
      <c r="BQZ118" s="182"/>
      <c r="BRA118" s="181"/>
      <c r="BRB118" s="182"/>
      <c r="BRC118" s="181"/>
      <c r="BRD118" s="182"/>
      <c r="BRE118" s="181"/>
      <c r="BRF118" s="182"/>
      <c r="BRG118" s="181"/>
      <c r="BRH118" s="182"/>
      <c r="BRI118" s="181"/>
      <c r="BRJ118" s="182"/>
      <c r="BRK118" s="181"/>
      <c r="BRL118" s="182"/>
      <c r="BRM118" s="181"/>
      <c r="BRN118" s="182"/>
      <c r="BRO118" s="181"/>
      <c r="BRP118" s="182"/>
      <c r="BRQ118" s="181"/>
      <c r="BRR118" s="182"/>
      <c r="BRS118" s="181"/>
      <c r="BRT118" s="182"/>
      <c r="BRU118" s="181"/>
      <c r="BRV118" s="182"/>
      <c r="BRW118" s="181"/>
      <c r="BRX118" s="182"/>
      <c r="BRY118" s="181"/>
      <c r="BRZ118" s="182"/>
      <c r="BSA118" s="181"/>
      <c r="BSB118" s="182"/>
      <c r="BSC118" s="181"/>
      <c r="BSD118" s="182"/>
      <c r="BSE118" s="181"/>
      <c r="BSF118" s="182"/>
      <c r="BSG118" s="181"/>
      <c r="BSH118" s="182"/>
      <c r="BSI118" s="181"/>
      <c r="BSJ118" s="182"/>
      <c r="BSK118" s="181"/>
      <c r="BSL118" s="182"/>
      <c r="BSM118" s="181"/>
      <c r="BSN118" s="182"/>
      <c r="BSO118" s="181"/>
      <c r="BSP118" s="182"/>
      <c r="BSQ118" s="181"/>
      <c r="BSR118" s="182"/>
      <c r="BSS118" s="181"/>
      <c r="BST118" s="182"/>
      <c r="BSU118" s="181"/>
      <c r="BSV118" s="182"/>
      <c r="BSW118" s="181"/>
      <c r="BSX118" s="182"/>
      <c r="BSY118" s="181"/>
      <c r="BSZ118" s="182"/>
      <c r="BTA118" s="181"/>
      <c r="BTB118" s="182"/>
      <c r="BTC118" s="181"/>
      <c r="BTD118" s="182"/>
      <c r="BTE118" s="181"/>
      <c r="BTF118" s="182"/>
      <c r="BTG118" s="181"/>
      <c r="BTH118" s="182"/>
      <c r="BTI118" s="181"/>
      <c r="BTJ118" s="182"/>
      <c r="BTK118" s="181"/>
      <c r="BTL118" s="182"/>
      <c r="BTM118" s="181"/>
      <c r="BTN118" s="182"/>
      <c r="BTO118" s="181"/>
      <c r="BTP118" s="182"/>
      <c r="BTQ118" s="181"/>
      <c r="BTR118" s="182"/>
      <c r="BTS118" s="181"/>
      <c r="BTT118" s="182"/>
      <c r="BTU118" s="181"/>
      <c r="BTV118" s="182"/>
      <c r="BTW118" s="181"/>
      <c r="BTX118" s="182"/>
      <c r="BTY118" s="181"/>
      <c r="BTZ118" s="182"/>
      <c r="BUA118" s="181"/>
      <c r="BUB118" s="182"/>
      <c r="BUC118" s="181"/>
      <c r="BUD118" s="182"/>
      <c r="BUE118" s="181"/>
      <c r="BUF118" s="182"/>
      <c r="BUG118" s="181"/>
      <c r="BUH118" s="182"/>
      <c r="BUI118" s="181"/>
      <c r="BUJ118" s="182"/>
      <c r="BUK118" s="181"/>
      <c r="BUL118" s="182"/>
      <c r="BUM118" s="181"/>
      <c r="BUN118" s="182"/>
      <c r="BUO118" s="181"/>
      <c r="BUP118" s="182"/>
      <c r="BUQ118" s="181"/>
      <c r="BUR118" s="182"/>
      <c r="BUS118" s="181"/>
      <c r="BUT118" s="182"/>
      <c r="BUU118" s="181"/>
      <c r="BUV118" s="182"/>
      <c r="BUW118" s="181"/>
      <c r="BUX118" s="182"/>
      <c r="BUY118" s="181"/>
      <c r="BUZ118" s="182"/>
      <c r="BVA118" s="181"/>
      <c r="BVB118" s="182"/>
      <c r="BVC118" s="181"/>
      <c r="BVD118" s="182"/>
      <c r="BVE118" s="181"/>
      <c r="BVF118" s="182"/>
      <c r="BVG118" s="181"/>
      <c r="BVH118" s="182"/>
      <c r="BVI118" s="181"/>
      <c r="BVJ118" s="182"/>
      <c r="BVK118" s="181"/>
      <c r="BVL118" s="182"/>
      <c r="BVM118" s="181"/>
      <c r="BVN118" s="182"/>
      <c r="BVO118" s="181"/>
      <c r="BVP118" s="182"/>
      <c r="BVQ118" s="181"/>
      <c r="BVR118" s="182"/>
      <c r="BVS118" s="181"/>
      <c r="BVT118" s="182"/>
      <c r="BVU118" s="181"/>
      <c r="BVV118" s="182"/>
      <c r="BVW118" s="181"/>
      <c r="BVX118" s="182"/>
      <c r="BVY118" s="181"/>
      <c r="BVZ118" s="182"/>
      <c r="BWA118" s="181"/>
      <c r="BWB118" s="182"/>
      <c r="BWC118" s="181"/>
      <c r="BWD118" s="182"/>
      <c r="BWE118" s="181"/>
      <c r="BWF118" s="182"/>
      <c r="BWG118" s="181"/>
      <c r="BWH118" s="182"/>
      <c r="BWI118" s="181"/>
      <c r="BWJ118" s="182"/>
      <c r="BWK118" s="181"/>
      <c r="BWL118" s="182"/>
      <c r="BWM118" s="181"/>
      <c r="BWN118" s="182"/>
      <c r="BWO118" s="181"/>
      <c r="BWP118" s="182"/>
      <c r="BWQ118" s="181"/>
      <c r="BWR118" s="182"/>
      <c r="BWS118" s="181"/>
      <c r="BWT118" s="182"/>
      <c r="BWU118" s="181"/>
      <c r="BWV118" s="182"/>
      <c r="BWW118" s="181"/>
      <c r="BWX118" s="182"/>
      <c r="BWY118" s="181"/>
      <c r="BWZ118" s="182"/>
      <c r="BXA118" s="181"/>
      <c r="BXB118" s="182"/>
      <c r="BXC118" s="181"/>
      <c r="BXD118" s="182"/>
      <c r="BXE118" s="181"/>
      <c r="BXF118" s="182"/>
      <c r="BXG118" s="181"/>
      <c r="BXH118" s="182"/>
      <c r="BXI118" s="181"/>
      <c r="BXJ118" s="182"/>
      <c r="BXK118" s="181"/>
      <c r="BXL118" s="182"/>
      <c r="BXM118" s="181"/>
      <c r="BXN118" s="182"/>
      <c r="BXO118" s="181"/>
      <c r="BXP118" s="182"/>
      <c r="BXQ118" s="181"/>
      <c r="BXR118" s="182"/>
      <c r="BXS118" s="181"/>
      <c r="BXT118" s="182"/>
      <c r="BXU118" s="181"/>
      <c r="BXV118" s="182"/>
      <c r="BXW118" s="181"/>
      <c r="BXX118" s="182"/>
      <c r="BXY118" s="181"/>
      <c r="BXZ118" s="182"/>
      <c r="BYA118" s="181"/>
      <c r="BYB118" s="182"/>
      <c r="BYC118" s="181"/>
      <c r="BYD118" s="182"/>
      <c r="BYE118" s="181"/>
      <c r="BYF118" s="182"/>
      <c r="BYG118" s="181"/>
      <c r="BYH118" s="182"/>
      <c r="BYI118" s="181"/>
      <c r="BYJ118" s="182"/>
      <c r="BYK118" s="181"/>
      <c r="BYL118" s="182"/>
      <c r="BYM118" s="181"/>
      <c r="BYN118" s="182"/>
      <c r="BYO118" s="181"/>
      <c r="BYP118" s="182"/>
      <c r="BYQ118" s="181"/>
      <c r="BYR118" s="182"/>
      <c r="BYS118" s="181"/>
      <c r="BYT118" s="182"/>
      <c r="BYU118" s="181"/>
      <c r="BYV118" s="182"/>
      <c r="BYW118" s="181"/>
      <c r="BYX118" s="182"/>
      <c r="BYY118" s="181"/>
      <c r="BYZ118" s="182"/>
      <c r="BZA118" s="181"/>
      <c r="BZB118" s="182"/>
      <c r="BZC118" s="181"/>
      <c r="BZD118" s="182"/>
      <c r="BZE118" s="181"/>
      <c r="BZF118" s="182"/>
      <c r="BZG118" s="181"/>
      <c r="BZH118" s="182"/>
      <c r="BZI118" s="181"/>
      <c r="BZJ118" s="182"/>
      <c r="BZK118" s="181"/>
      <c r="BZL118" s="182"/>
      <c r="BZM118" s="181"/>
      <c r="BZN118" s="182"/>
      <c r="BZO118" s="181"/>
      <c r="BZP118" s="182"/>
      <c r="BZQ118" s="181"/>
      <c r="BZR118" s="182"/>
      <c r="BZS118" s="181"/>
      <c r="BZT118" s="182"/>
      <c r="BZU118" s="181"/>
      <c r="BZV118" s="182"/>
      <c r="BZW118" s="181"/>
      <c r="BZX118" s="182"/>
      <c r="BZY118" s="181"/>
      <c r="BZZ118" s="182"/>
      <c r="CAA118" s="181"/>
      <c r="CAB118" s="182"/>
      <c r="CAC118" s="181"/>
      <c r="CAD118" s="182"/>
      <c r="CAE118" s="181"/>
      <c r="CAF118" s="182"/>
      <c r="CAG118" s="181"/>
      <c r="CAH118" s="182"/>
      <c r="CAI118" s="181"/>
      <c r="CAJ118" s="182"/>
      <c r="CAK118" s="181"/>
      <c r="CAL118" s="182"/>
      <c r="CAM118" s="181"/>
      <c r="CAN118" s="182"/>
      <c r="CAO118" s="181"/>
      <c r="CAP118" s="182"/>
      <c r="CAQ118" s="181"/>
      <c r="CAR118" s="182"/>
      <c r="CAS118" s="181"/>
      <c r="CAT118" s="182"/>
      <c r="CAU118" s="181"/>
      <c r="CAV118" s="182"/>
      <c r="CAW118" s="181"/>
      <c r="CAX118" s="182"/>
      <c r="CAY118" s="181"/>
      <c r="CAZ118" s="182"/>
      <c r="CBA118" s="181"/>
      <c r="CBB118" s="182"/>
      <c r="CBC118" s="181"/>
      <c r="CBD118" s="182"/>
      <c r="CBE118" s="181"/>
      <c r="CBF118" s="182"/>
      <c r="CBG118" s="181"/>
      <c r="CBH118" s="182"/>
      <c r="CBI118" s="181"/>
      <c r="CBJ118" s="182"/>
      <c r="CBK118" s="181"/>
      <c r="CBL118" s="182"/>
      <c r="CBM118" s="181"/>
      <c r="CBN118" s="182"/>
      <c r="CBO118" s="181"/>
      <c r="CBP118" s="182"/>
      <c r="CBQ118" s="181"/>
      <c r="CBR118" s="182"/>
      <c r="CBS118" s="181"/>
      <c r="CBT118" s="182"/>
      <c r="CBU118" s="181"/>
      <c r="CBV118" s="182"/>
      <c r="CBW118" s="181"/>
      <c r="CBX118" s="182"/>
      <c r="CBY118" s="181"/>
      <c r="CBZ118" s="182"/>
      <c r="CCA118" s="181"/>
      <c r="CCB118" s="182"/>
      <c r="CCC118" s="181"/>
      <c r="CCD118" s="182"/>
      <c r="CCE118" s="181"/>
      <c r="CCF118" s="182"/>
      <c r="CCG118" s="181"/>
      <c r="CCH118" s="182"/>
      <c r="CCI118" s="181"/>
      <c r="CCJ118" s="182"/>
      <c r="CCK118" s="181"/>
      <c r="CCL118" s="182"/>
      <c r="CCM118" s="181"/>
      <c r="CCN118" s="182"/>
      <c r="CCO118" s="181"/>
      <c r="CCP118" s="182"/>
      <c r="CCQ118" s="181"/>
      <c r="CCR118" s="182"/>
      <c r="CCS118" s="181"/>
      <c r="CCT118" s="182"/>
      <c r="CCU118" s="181"/>
      <c r="CCV118" s="182"/>
      <c r="CCW118" s="181"/>
      <c r="CCX118" s="182"/>
      <c r="CCY118" s="181"/>
      <c r="CCZ118" s="182"/>
      <c r="CDA118" s="181"/>
      <c r="CDB118" s="182"/>
      <c r="CDC118" s="181"/>
      <c r="CDD118" s="182"/>
      <c r="CDE118" s="181"/>
      <c r="CDF118" s="182"/>
      <c r="CDG118" s="181"/>
      <c r="CDH118" s="182"/>
      <c r="CDI118" s="181"/>
      <c r="CDJ118" s="182"/>
      <c r="CDK118" s="181"/>
      <c r="CDL118" s="182"/>
      <c r="CDM118" s="181"/>
      <c r="CDN118" s="182"/>
      <c r="CDO118" s="181"/>
      <c r="CDP118" s="182"/>
      <c r="CDQ118" s="181"/>
      <c r="CDR118" s="182"/>
      <c r="CDS118" s="181"/>
      <c r="CDT118" s="182"/>
      <c r="CDU118" s="181"/>
      <c r="CDV118" s="182"/>
      <c r="CDW118" s="181"/>
      <c r="CDX118" s="182"/>
      <c r="CDY118" s="181"/>
      <c r="CDZ118" s="182"/>
      <c r="CEA118" s="181"/>
      <c r="CEB118" s="182"/>
      <c r="CEC118" s="181"/>
      <c r="CED118" s="182"/>
      <c r="CEE118" s="181"/>
      <c r="CEF118" s="182"/>
      <c r="CEG118" s="181"/>
      <c r="CEH118" s="182"/>
      <c r="CEI118" s="181"/>
      <c r="CEJ118" s="182"/>
      <c r="CEK118" s="181"/>
      <c r="CEL118" s="182"/>
      <c r="CEM118" s="181"/>
      <c r="CEN118" s="182"/>
      <c r="CEO118" s="181"/>
      <c r="CEP118" s="182"/>
      <c r="CEQ118" s="181"/>
      <c r="CER118" s="182"/>
      <c r="CES118" s="181"/>
      <c r="CET118" s="182"/>
      <c r="CEU118" s="181"/>
      <c r="CEV118" s="182"/>
      <c r="CEW118" s="181"/>
      <c r="CEX118" s="182"/>
      <c r="CEY118" s="181"/>
      <c r="CEZ118" s="182"/>
      <c r="CFA118" s="181"/>
      <c r="CFB118" s="182"/>
      <c r="CFC118" s="181"/>
      <c r="CFD118" s="182"/>
      <c r="CFE118" s="181"/>
      <c r="CFF118" s="182"/>
      <c r="CFG118" s="181"/>
      <c r="CFH118" s="182"/>
      <c r="CFI118" s="181"/>
      <c r="CFJ118" s="182"/>
      <c r="CFK118" s="181"/>
      <c r="CFL118" s="182"/>
      <c r="CFM118" s="181"/>
      <c r="CFN118" s="182"/>
      <c r="CFO118" s="181"/>
      <c r="CFP118" s="182"/>
      <c r="CFQ118" s="181"/>
      <c r="CFR118" s="182"/>
      <c r="CFS118" s="181"/>
      <c r="CFT118" s="182"/>
      <c r="CFU118" s="181"/>
      <c r="CFV118" s="182"/>
      <c r="CFW118" s="181"/>
      <c r="CFX118" s="182"/>
      <c r="CFY118" s="181"/>
      <c r="CFZ118" s="182"/>
      <c r="CGA118" s="181"/>
      <c r="CGB118" s="182"/>
      <c r="CGC118" s="181"/>
      <c r="CGD118" s="182"/>
      <c r="CGE118" s="181"/>
      <c r="CGF118" s="182"/>
      <c r="CGG118" s="181"/>
      <c r="CGH118" s="182"/>
      <c r="CGI118" s="181"/>
      <c r="CGJ118" s="182"/>
      <c r="CGK118" s="181"/>
      <c r="CGL118" s="182"/>
      <c r="CGM118" s="181"/>
      <c r="CGN118" s="182"/>
      <c r="CGO118" s="181"/>
      <c r="CGP118" s="182"/>
      <c r="CGQ118" s="181"/>
      <c r="CGR118" s="182"/>
      <c r="CGS118" s="181"/>
      <c r="CGT118" s="182"/>
      <c r="CGU118" s="181"/>
      <c r="CGV118" s="182"/>
      <c r="CGW118" s="181"/>
      <c r="CGX118" s="182"/>
      <c r="CGY118" s="181"/>
      <c r="CGZ118" s="182"/>
      <c r="CHA118" s="181"/>
      <c r="CHB118" s="182"/>
      <c r="CHC118" s="181"/>
      <c r="CHD118" s="182"/>
      <c r="CHE118" s="181"/>
      <c r="CHF118" s="182"/>
      <c r="CHG118" s="181"/>
      <c r="CHH118" s="182"/>
      <c r="CHI118" s="181"/>
      <c r="CHJ118" s="182"/>
      <c r="CHK118" s="181"/>
      <c r="CHL118" s="182"/>
      <c r="CHM118" s="181"/>
      <c r="CHN118" s="182"/>
      <c r="CHO118" s="181"/>
      <c r="CHP118" s="182"/>
      <c r="CHQ118" s="181"/>
      <c r="CHR118" s="182"/>
      <c r="CHS118" s="181"/>
      <c r="CHT118" s="182"/>
      <c r="CHU118" s="181"/>
      <c r="CHV118" s="182"/>
      <c r="CHW118" s="181"/>
      <c r="CHX118" s="182"/>
      <c r="CHY118" s="181"/>
      <c r="CHZ118" s="182"/>
      <c r="CIA118" s="181"/>
      <c r="CIB118" s="182"/>
      <c r="CIC118" s="181"/>
      <c r="CID118" s="182"/>
      <c r="CIE118" s="181"/>
      <c r="CIF118" s="182"/>
      <c r="CIG118" s="181"/>
      <c r="CIH118" s="182"/>
      <c r="CII118" s="181"/>
      <c r="CIJ118" s="182"/>
      <c r="CIK118" s="181"/>
      <c r="CIL118" s="182"/>
      <c r="CIM118" s="181"/>
      <c r="CIN118" s="182"/>
      <c r="CIO118" s="181"/>
      <c r="CIP118" s="182"/>
      <c r="CIQ118" s="181"/>
      <c r="CIR118" s="182"/>
      <c r="CIS118" s="181"/>
      <c r="CIT118" s="182"/>
      <c r="CIU118" s="181"/>
      <c r="CIV118" s="182"/>
      <c r="CIW118" s="181"/>
      <c r="CIX118" s="182"/>
      <c r="CIY118" s="181"/>
      <c r="CIZ118" s="182"/>
      <c r="CJA118" s="181"/>
      <c r="CJB118" s="182"/>
      <c r="CJC118" s="181"/>
      <c r="CJD118" s="182"/>
      <c r="CJE118" s="181"/>
      <c r="CJF118" s="182"/>
      <c r="CJG118" s="181"/>
      <c r="CJH118" s="182"/>
      <c r="CJI118" s="181"/>
      <c r="CJJ118" s="182"/>
      <c r="CJK118" s="181"/>
      <c r="CJL118" s="182"/>
      <c r="CJM118" s="181"/>
      <c r="CJN118" s="182"/>
      <c r="CJO118" s="181"/>
      <c r="CJP118" s="182"/>
      <c r="CJQ118" s="181"/>
      <c r="CJR118" s="182"/>
      <c r="CJS118" s="181"/>
      <c r="CJT118" s="182"/>
      <c r="CJU118" s="181"/>
      <c r="CJV118" s="182"/>
      <c r="CJW118" s="181"/>
      <c r="CJX118" s="182"/>
      <c r="CJY118" s="181"/>
      <c r="CJZ118" s="182"/>
      <c r="CKA118" s="181"/>
      <c r="CKB118" s="182"/>
      <c r="CKC118" s="181"/>
      <c r="CKD118" s="182"/>
      <c r="CKE118" s="181"/>
      <c r="CKF118" s="182"/>
      <c r="CKG118" s="181"/>
      <c r="CKH118" s="182"/>
      <c r="CKI118" s="181"/>
      <c r="CKJ118" s="182"/>
      <c r="CKK118" s="181"/>
      <c r="CKL118" s="182"/>
      <c r="CKM118" s="181"/>
      <c r="CKN118" s="182"/>
      <c r="CKO118" s="181"/>
      <c r="CKP118" s="182"/>
      <c r="CKQ118" s="181"/>
      <c r="CKR118" s="182"/>
      <c r="CKS118" s="181"/>
      <c r="CKT118" s="182"/>
      <c r="CKU118" s="181"/>
      <c r="CKV118" s="182"/>
      <c r="CKW118" s="181"/>
      <c r="CKX118" s="182"/>
      <c r="CKY118" s="181"/>
      <c r="CKZ118" s="182"/>
      <c r="CLA118" s="181"/>
      <c r="CLB118" s="182"/>
      <c r="CLC118" s="181"/>
      <c r="CLD118" s="182"/>
      <c r="CLE118" s="181"/>
      <c r="CLF118" s="182"/>
      <c r="CLG118" s="181"/>
      <c r="CLH118" s="182"/>
      <c r="CLI118" s="181"/>
      <c r="CLJ118" s="182"/>
      <c r="CLK118" s="181"/>
      <c r="CLL118" s="182"/>
      <c r="CLM118" s="181"/>
      <c r="CLN118" s="182"/>
      <c r="CLO118" s="181"/>
      <c r="CLP118" s="182"/>
      <c r="CLQ118" s="181"/>
      <c r="CLR118" s="182"/>
      <c r="CLS118" s="181"/>
      <c r="CLT118" s="182"/>
      <c r="CLU118" s="181"/>
      <c r="CLV118" s="182"/>
      <c r="CLW118" s="181"/>
      <c r="CLX118" s="182"/>
      <c r="CLY118" s="181"/>
      <c r="CLZ118" s="182"/>
      <c r="CMA118" s="181"/>
      <c r="CMB118" s="182"/>
      <c r="CMC118" s="181"/>
      <c r="CMD118" s="182"/>
      <c r="CME118" s="181"/>
      <c r="CMF118" s="182"/>
      <c r="CMG118" s="181"/>
      <c r="CMH118" s="182"/>
      <c r="CMI118" s="181"/>
      <c r="CMJ118" s="182"/>
      <c r="CMK118" s="181"/>
      <c r="CML118" s="182"/>
      <c r="CMM118" s="181"/>
      <c r="CMN118" s="182"/>
      <c r="CMO118" s="181"/>
      <c r="CMP118" s="182"/>
      <c r="CMQ118" s="181"/>
      <c r="CMR118" s="182"/>
      <c r="CMS118" s="181"/>
      <c r="CMT118" s="182"/>
      <c r="CMU118" s="181"/>
      <c r="CMV118" s="182"/>
      <c r="CMW118" s="181"/>
      <c r="CMX118" s="182"/>
      <c r="CMY118" s="181"/>
      <c r="CMZ118" s="182"/>
      <c r="CNA118" s="181"/>
      <c r="CNB118" s="182"/>
      <c r="CNC118" s="181"/>
      <c r="CND118" s="182"/>
      <c r="CNE118" s="181"/>
      <c r="CNF118" s="182"/>
      <c r="CNG118" s="181"/>
      <c r="CNH118" s="182"/>
      <c r="CNI118" s="181"/>
      <c r="CNJ118" s="182"/>
      <c r="CNK118" s="181"/>
      <c r="CNL118" s="182"/>
      <c r="CNM118" s="181"/>
      <c r="CNN118" s="182"/>
      <c r="CNO118" s="181"/>
      <c r="CNP118" s="182"/>
      <c r="CNQ118" s="181"/>
      <c r="CNR118" s="182"/>
      <c r="CNS118" s="181"/>
      <c r="CNT118" s="182"/>
      <c r="CNU118" s="181"/>
      <c r="CNV118" s="182"/>
      <c r="CNW118" s="181"/>
      <c r="CNX118" s="182"/>
      <c r="CNY118" s="181"/>
      <c r="CNZ118" s="182"/>
      <c r="COA118" s="181"/>
      <c r="COB118" s="182"/>
      <c r="COC118" s="181"/>
      <c r="COD118" s="182"/>
      <c r="COE118" s="181"/>
      <c r="COF118" s="182"/>
      <c r="COG118" s="181"/>
      <c r="COH118" s="182"/>
      <c r="COI118" s="181"/>
      <c r="COJ118" s="182"/>
      <c r="COK118" s="181"/>
      <c r="COL118" s="182"/>
      <c r="COM118" s="181"/>
      <c r="CON118" s="182"/>
      <c r="COO118" s="181"/>
      <c r="COP118" s="182"/>
      <c r="COQ118" s="181"/>
      <c r="COR118" s="182"/>
      <c r="COS118" s="181"/>
      <c r="COT118" s="182"/>
      <c r="COU118" s="181"/>
      <c r="COV118" s="182"/>
      <c r="COW118" s="181"/>
      <c r="COX118" s="182"/>
      <c r="COY118" s="181"/>
      <c r="COZ118" s="182"/>
      <c r="CPA118" s="181"/>
      <c r="CPB118" s="182"/>
      <c r="CPC118" s="181"/>
      <c r="CPD118" s="182"/>
      <c r="CPE118" s="181"/>
      <c r="CPF118" s="182"/>
      <c r="CPG118" s="181"/>
      <c r="CPH118" s="182"/>
      <c r="CPI118" s="181"/>
      <c r="CPJ118" s="182"/>
      <c r="CPK118" s="181"/>
      <c r="CPL118" s="182"/>
      <c r="CPM118" s="181"/>
      <c r="CPN118" s="182"/>
      <c r="CPO118" s="181"/>
      <c r="CPP118" s="182"/>
      <c r="CPQ118" s="181"/>
      <c r="CPR118" s="182"/>
      <c r="CPS118" s="181"/>
      <c r="CPT118" s="182"/>
      <c r="CPU118" s="181"/>
      <c r="CPV118" s="182"/>
      <c r="CPW118" s="181"/>
      <c r="CPX118" s="182"/>
      <c r="CPY118" s="181"/>
      <c r="CPZ118" s="182"/>
      <c r="CQA118" s="181"/>
      <c r="CQB118" s="182"/>
      <c r="CQC118" s="181"/>
      <c r="CQD118" s="182"/>
      <c r="CQE118" s="181"/>
      <c r="CQF118" s="182"/>
      <c r="CQG118" s="181"/>
      <c r="CQH118" s="182"/>
      <c r="CQI118" s="181"/>
      <c r="CQJ118" s="182"/>
      <c r="CQK118" s="181"/>
      <c r="CQL118" s="182"/>
      <c r="CQM118" s="181"/>
      <c r="CQN118" s="182"/>
      <c r="CQO118" s="181"/>
      <c r="CQP118" s="182"/>
      <c r="CQQ118" s="181"/>
      <c r="CQR118" s="182"/>
      <c r="CQS118" s="181"/>
      <c r="CQT118" s="182"/>
      <c r="CQU118" s="181"/>
      <c r="CQV118" s="182"/>
      <c r="CQW118" s="181"/>
      <c r="CQX118" s="182"/>
      <c r="CQY118" s="181"/>
      <c r="CQZ118" s="182"/>
      <c r="CRA118" s="181"/>
      <c r="CRB118" s="182"/>
      <c r="CRC118" s="181"/>
      <c r="CRD118" s="182"/>
      <c r="CRE118" s="181"/>
      <c r="CRF118" s="182"/>
      <c r="CRG118" s="181"/>
      <c r="CRH118" s="182"/>
      <c r="CRI118" s="181"/>
      <c r="CRJ118" s="182"/>
      <c r="CRK118" s="181"/>
      <c r="CRL118" s="182"/>
      <c r="CRM118" s="181"/>
      <c r="CRN118" s="182"/>
      <c r="CRO118" s="181"/>
      <c r="CRP118" s="182"/>
      <c r="CRQ118" s="181"/>
      <c r="CRR118" s="182"/>
      <c r="CRS118" s="181"/>
      <c r="CRT118" s="182"/>
      <c r="CRU118" s="181"/>
      <c r="CRV118" s="182"/>
      <c r="CRW118" s="181"/>
      <c r="CRX118" s="182"/>
      <c r="CRY118" s="181"/>
      <c r="CRZ118" s="182"/>
      <c r="CSA118" s="181"/>
      <c r="CSB118" s="182"/>
      <c r="CSC118" s="181"/>
      <c r="CSD118" s="182"/>
      <c r="CSE118" s="181"/>
      <c r="CSF118" s="182"/>
      <c r="CSG118" s="181"/>
      <c r="CSH118" s="182"/>
      <c r="CSI118" s="181"/>
      <c r="CSJ118" s="182"/>
      <c r="CSK118" s="181"/>
      <c r="CSL118" s="182"/>
      <c r="CSM118" s="181"/>
      <c r="CSN118" s="182"/>
      <c r="CSO118" s="181"/>
      <c r="CSP118" s="182"/>
      <c r="CSQ118" s="181"/>
      <c r="CSR118" s="182"/>
      <c r="CSS118" s="181"/>
      <c r="CST118" s="182"/>
      <c r="CSU118" s="181"/>
      <c r="CSV118" s="182"/>
      <c r="CSW118" s="181"/>
      <c r="CSX118" s="182"/>
      <c r="CSY118" s="181"/>
      <c r="CSZ118" s="182"/>
      <c r="CTA118" s="181"/>
      <c r="CTB118" s="182"/>
      <c r="CTC118" s="181"/>
      <c r="CTD118" s="182"/>
      <c r="CTE118" s="181"/>
      <c r="CTF118" s="182"/>
      <c r="CTG118" s="181"/>
      <c r="CTH118" s="182"/>
      <c r="CTI118" s="181"/>
      <c r="CTJ118" s="182"/>
      <c r="CTK118" s="181"/>
      <c r="CTL118" s="182"/>
      <c r="CTM118" s="181"/>
      <c r="CTN118" s="182"/>
      <c r="CTO118" s="181"/>
      <c r="CTP118" s="182"/>
      <c r="CTQ118" s="181"/>
      <c r="CTR118" s="182"/>
      <c r="CTS118" s="181"/>
      <c r="CTT118" s="182"/>
      <c r="CTU118" s="181"/>
      <c r="CTV118" s="182"/>
      <c r="CTW118" s="181"/>
      <c r="CTX118" s="182"/>
      <c r="CTY118" s="181"/>
      <c r="CTZ118" s="182"/>
      <c r="CUA118" s="181"/>
      <c r="CUB118" s="182"/>
      <c r="CUC118" s="181"/>
      <c r="CUD118" s="182"/>
      <c r="CUE118" s="181"/>
      <c r="CUF118" s="182"/>
      <c r="CUG118" s="181"/>
      <c r="CUH118" s="182"/>
      <c r="CUI118" s="181"/>
      <c r="CUJ118" s="182"/>
      <c r="CUK118" s="181"/>
      <c r="CUL118" s="182"/>
      <c r="CUM118" s="181"/>
      <c r="CUN118" s="182"/>
      <c r="CUO118" s="181"/>
      <c r="CUP118" s="182"/>
      <c r="CUQ118" s="181"/>
      <c r="CUR118" s="182"/>
      <c r="CUS118" s="181"/>
      <c r="CUT118" s="182"/>
      <c r="CUU118" s="181"/>
      <c r="CUV118" s="182"/>
      <c r="CUW118" s="181"/>
      <c r="CUX118" s="182"/>
      <c r="CUY118" s="181"/>
      <c r="CUZ118" s="182"/>
      <c r="CVA118" s="181"/>
      <c r="CVB118" s="182"/>
      <c r="CVC118" s="181"/>
      <c r="CVD118" s="182"/>
      <c r="CVE118" s="181"/>
      <c r="CVF118" s="182"/>
      <c r="CVG118" s="181"/>
      <c r="CVH118" s="182"/>
      <c r="CVI118" s="181"/>
      <c r="CVJ118" s="182"/>
      <c r="CVK118" s="181"/>
      <c r="CVL118" s="182"/>
      <c r="CVM118" s="181"/>
      <c r="CVN118" s="182"/>
      <c r="CVO118" s="181"/>
      <c r="CVP118" s="182"/>
      <c r="CVQ118" s="181"/>
      <c r="CVR118" s="182"/>
      <c r="CVS118" s="181"/>
      <c r="CVT118" s="182"/>
      <c r="CVU118" s="181"/>
      <c r="CVV118" s="182"/>
      <c r="CVW118" s="181"/>
      <c r="CVX118" s="182"/>
      <c r="CVY118" s="181"/>
      <c r="CVZ118" s="182"/>
      <c r="CWA118" s="181"/>
      <c r="CWB118" s="182"/>
      <c r="CWC118" s="181"/>
      <c r="CWD118" s="182"/>
      <c r="CWE118" s="181"/>
      <c r="CWF118" s="182"/>
      <c r="CWG118" s="181"/>
      <c r="CWH118" s="182"/>
      <c r="CWI118" s="181"/>
      <c r="CWJ118" s="182"/>
      <c r="CWK118" s="181"/>
      <c r="CWL118" s="182"/>
      <c r="CWM118" s="181"/>
      <c r="CWN118" s="182"/>
      <c r="CWO118" s="181"/>
      <c r="CWP118" s="182"/>
      <c r="CWQ118" s="181"/>
      <c r="CWR118" s="182"/>
      <c r="CWS118" s="181"/>
      <c r="CWT118" s="182"/>
      <c r="CWU118" s="181"/>
      <c r="CWV118" s="182"/>
      <c r="CWW118" s="181"/>
      <c r="CWX118" s="182"/>
      <c r="CWY118" s="181"/>
      <c r="CWZ118" s="182"/>
      <c r="CXA118" s="181"/>
      <c r="CXB118" s="182"/>
      <c r="CXC118" s="181"/>
      <c r="CXD118" s="182"/>
      <c r="CXE118" s="181"/>
      <c r="CXF118" s="182"/>
      <c r="CXG118" s="181"/>
      <c r="CXH118" s="182"/>
      <c r="CXI118" s="181"/>
      <c r="CXJ118" s="182"/>
      <c r="CXK118" s="181"/>
      <c r="CXL118" s="182"/>
      <c r="CXM118" s="181"/>
      <c r="CXN118" s="182"/>
      <c r="CXO118" s="181"/>
      <c r="CXP118" s="182"/>
      <c r="CXQ118" s="181"/>
      <c r="CXR118" s="182"/>
      <c r="CXS118" s="181"/>
      <c r="CXT118" s="182"/>
      <c r="CXU118" s="181"/>
      <c r="CXV118" s="182"/>
      <c r="CXW118" s="181"/>
      <c r="CXX118" s="182"/>
      <c r="CXY118" s="181"/>
      <c r="CXZ118" s="182"/>
      <c r="CYA118" s="181"/>
      <c r="CYB118" s="182"/>
      <c r="CYC118" s="181"/>
      <c r="CYD118" s="182"/>
      <c r="CYE118" s="181"/>
      <c r="CYF118" s="182"/>
      <c r="CYG118" s="181"/>
      <c r="CYH118" s="182"/>
      <c r="CYI118" s="181"/>
      <c r="CYJ118" s="182"/>
      <c r="CYK118" s="181"/>
      <c r="CYL118" s="182"/>
      <c r="CYM118" s="181"/>
      <c r="CYN118" s="182"/>
      <c r="CYO118" s="181"/>
      <c r="CYP118" s="182"/>
      <c r="CYQ118" s="181"/>
      <c r="CYR118" s="182"/>
      <c r="CYS118" s="181"/>
      <c r="CYT118" s="182"/>
      <c r="CYU118" s="181"/>
      <c r="CYV118" s="182"/>
      <c r="CYW118" s="181"/>
      <c r="CYX118" s="182"/>
      <c r="CYY118" s="181"/>
      <c r="CYZ118" s="182"/>
      <c r="CZA118" s="181"/>
      <c r="CZB118" s="182"/>
      <c r="CZC118" s="181"/>
      <c r="CZD118" s="182"/>
      <c r="CZE118" s="181"/>
      <c r="CZF118" s="182"/>
      <c r="CZG118" s="181"/>
      <c r="CZH118" s="182"/>
      <c r="CZI118" s="181"/>
      <c r="CZJ118" s="182"/>
      <c r="CZK118" s="181"/>
      <c r="CZL118" s="182"/>
      <c r="CZM118" s="181"/>
      <c r="CZN118" s="182"/>
      <c r="CZO118" s="181"/>
      <c r="CZP118" s="182"/>
      <c r="CZQ118" s="181"/>
      <c r="CZR118" s="182"/>
      <c r="CZS118" s="181"/>
      <c r="CZT118" s="182"/>
      <c r="CZU118" s="181"/>
      <c r="CZV118" s="182"/>
      <c r="CZW118" s="181"/>
      <c r="CZX118" s="182"/>
      <c r="CZY118" s="181"/>
      <c r="CZZ118" s="182"/>
      <c r="DAA118" s="181"/>
      <c r="DAB118" s="182"/>
      <c r="DAC118" s="181"/>
      <c r="DAD118" s="182"/>
      <c r="DAE118" s="181"/>
      <c r="DAF118" s="182"/>
      <c r="DAG118" s="181"/>
      <c r="DAH118" s="182"/>
      <c r="DAI118" s="181"/>
      <c r="DAJ118" s="182"/>
      <c r="DAK118" s="181"/>
      <c r="DAL118" s="182"/>
      <c r="DAM118" s="181"/>
      <c r="DAN118" s="182"/>
      <c r="DAO118" s="181"/>
      <c r="DAP118" s="182"/>
      <c r="DAQ118" s="181"/>
      <c r="DAR118" s="182"/>
      <c r="DAS118" s="181"/>
      <c r="DAT118" s="182"/>
      <c r="DAU118" s="181"/>
      <c r="DAV118" s="182"/>
      <c r="DAW118" s="181"/>
      <c r="DAX118" s="182"/>
      <c r="DAY118" s="181"/>
      <c r="DAZ118" s="182"/>
      <c r="DBA118" s="181"/>
      <c r="DBB118" s="182"/>
      <c r="DBC118" s="181"/>
      <c r="DBD118" s="182"/>
      <c r="DBE118" s="181"/>
      <c r="DBF118" s="182"/>
      <c r="DBG118" s="181"/>
      <c r="DBH118" s="182"/>
      <c r="DBI118" s="181"/>
      <c r="DBJ118" s="182"/>
      <c r="DBK118" s="181"/>
      <c r="DBL118" s="182"/>
      <c r="DBM118" s="181"/>
      <c r="DBN118" s="182"/>
      <c r="DBO118" s="181"/>
      <c r="DBP118" s="182"/>
      <c r="DBQ118" s="181"/>
      <c r="DBR118" s="182"/>
      <c r="DBS118" s="181"/>
      <c r="DBT118" s="182"/>
      <c r="DBU118" s="181"/>
      <c r="DBV118" s="182"/>
      <c r="DBW118" s="181"/>
      <c r="DBX118" s="182"/>
      <c r="DBY118" s="181"/>
      <c r="DBZ118" s="182"/>
      <c r="DCA118" s="181"/>
      <c r="DCB118" s="182"/>
      <c r="DCC118" s="181"/>
      <c r="DCD118" s="182"/>
      <c r="DCE118" s="181"/>
      <c r="DCF118" s="182"/>
      <c r="DCG118" s="181"/>
      <c r="DCH118" s="182"/>
      <c r="DCI118" s="181"/>
      <c r="DCJ118" s="182"/>
      <c r="DCK118" s="181"/>
      <c r="DCL118" s="182"/>
      <c r="DCM118" s="181"/>
      <c r="DCN118" s="182"/>
      <c r="DCO118" s="181"/>
      <c r="DCP118" s="182"/>
      <c r="DCQ118" s="181"/>
      <c r="DCR118" s="182"/>
      <c r="DCS118" s="181"/>
      <c r="DCT118" s="182"/>
      <c r="DCU118" s="181"/>
      <c r="DCV118" s="182"/>
      <c r="DCW118" s="181"/>
      <c r="DCX118" s="182"/>
      <c r="DCY118" s="181"/>
      <c r="DCZ118" s="182"/>
      <c r="DDA118" s="181"/>
      <c r="DDB118" s="182"/>
      <c r="DDC118" s="181"/>
      <c r="DDD118" s="182"/>
      <c r="DDE118" s="181"/>
      <c r="DDF118" s="182"/>
      <c r="DDG118" s="181"/>
      <c r="DDH118" s="182"/>
      <c r="DDI118" s="181"/>
      <c r="DDJ118" s="182"/>
      <c r="DDK118" s="181"/>
      <c r="DDL118" s="182"/>
      <c r="DDM118" s="181"/>
      <c r="DDN118" s="182"/>
      <c r="DDO118" s="181"/>
      <c r="DDP118" s="182"/>
      <c r="DDQ118" s="181"/>
      <c r="DDR118" s="182"/>
      <c r="DDS118" s="181"/>
      <c r="DDT118" s="182"/>
      <c r="DDU118" s="181"/>
      <c r="DDV118" s="182"/>
      <c r="DDW118" s="181"/>
      <c r="DDX118" s="182"/>
      <c r="DDY118" s="181"/>
      <c r="DDZ118" s="182"/>
      <c r="DEA118" s="181"/>
      <c r="DEB118" s="182"/>
      <c r="DEC118" s="181"/>
      <c r="DED118" s="182"/>
      <c r="DEE118" s="181"/>
      <c r="DEF118" s="182"/>
      <c r="DEG118" s="181"/>
      <c r="DEH118" s="182"/>
      <c r="DEI118" s="181"/>
      <c r="DEJ118" s="182"/>
      <c r="DEK118" s="181"/>
      <c r="DEL118" s="182"/>
      <c r="DEM118" s="181"/>
      <c r="DEN118" s="182"/>
      <c r="DEO118" s="181"/>
      <c r="DEP118" s="182"/>
      <c r="DEQ118" s="181"/>
      <c r="DER118" s="182"/>
      <c r="DES118" s="181"/>
      <c r="DET118" s="182"/>
      <c r="DEU118" s="181"/>
      <c r="DEV118" s="182"/>
      <c r="DEW118" s="181"/>
      <c r="DEX118" s="182"/>
      <c r="DEY118" s="181"/>
      <c r="DEZ118" s="182"/>
      <c r="DFA118" s="181"/>
      <c r="DFB118" s="182"/>
      <c r="DFC118" s="181"/>
      <c r="DFD118" s="182"/>
      <c r="DFE118" s="181"/>
      <c r="DFF118" s="182"/>
      <c r="DFG118" s="181"/>
      <c r="DFH118" s="182"/>
      <c r="DFI118" s="181"/>
      <c r="DFJ118" s="182"/>
      <c r="DFK118" s="181"/>
      <c r="DFL118" s="182"/>
      <c r="DFM118" s="181"/>
      <c r="DFN118" s="182"/>
      <c r="DFO118" s="181"/>
      <c r="DFP118" s="182"/>
      <c r="DFQ118" s="181"/>
      <c r="DFR118" s="182"/>
      <c r="DFS118" s="181"/>
      <c r="DFT118" s="182"/>
      <c r="DFU118" s="181"/>
      <c r="DFV118" s="182"/>
      <c r="DFW118" s="181"/>
      <c r="DFX118" s="182"/>
      <c r="DFY118" s="181"/>
      <c r="DFZ118" s="182"/>
      <c r="DGA118" s="181"/>
      <c r="DGB118" s="182"/>
      <c r="DGC118" s="181"/>
      <c r="DGD118" s="182"/>
      <c r="DGE118" s="181"/>
      <c r="DGF118" s="182"/>
      <c r="DGG118" s="181"/>
      <c r="DGH118" s="182"/>
      <c r="DGI118" s="181"/>
      <c r="DGJ118" s="182"/>
      <c r="DGK118" s="181"/>
      <c r="DGL118" s="182"/>
      <c r="DGM118" s="181"/>
      <c r="DGN118" s="182"/>
      <c r="DGO118" s="181"/>
      <c r="DGP118" s="182"/>
      <c r="DGQ118" s="181"/>
      <c r="DGR118" s="182"/>
      <c r="DGS118" s="181"/>
      <c r="DGT118" s="182"/>
      <c r="DGU118" s="181"/>
      <c r="DGV118" s="182"/>
      <c r="DGW118" s="181"/>
      <c r="DGX118" s="182"/>
      <c r="DGY118" s="181"/>
      <c r="DGZ118" s="182"/>
      <c r="DHA118" s="181"/>
      <c r="DHB118" s="182"/>
      <c r="DHC118" s="181"/>
      <c r="DHD118" s="182"/>
      <c r="DHE118" s="181"/>
      <c r="DHF118" s="182"/>
      <c r="DHG118" s="181"/>
      <c r="DHH118" s="182"/>
      <c r="DHI118" s="181"/>
      <c r="DHJ118" s="182"/>
      <c r="DHK118" s="181"/>
      <c r="DHL118" s="182"/>
      <c r="DHM118" s="181"/>
      <c r="DHN118" s="182"/>
      <c r="DHO118" s="181"/>
      <c r="DHP118" s="182"/>
      <c r="DHQ118" s="181"/>
      <c r="DHR118" s="182"/>
      <c r="DHS118" s="181"/>
      <c r="DHT118" s="182"/>
      <c r="DHU118" s="181"/>
      <c r="DHV118" s="182"/>
      <c r="DHW118" s="181"/>
      <c r="DHX118" s="182"/>
      <c r="DHY118" s="181"/>
      <c r="DHZ118" s="182"/>
      <c r="DIA118" s="181"/>
      <c r="DIB118" s="182"/>
      <c r="DIC118" s="181"/>
      <c r="DID118" s="182"/>
      <c r="DIE118" s="181"/>
      <c r="DIF118" s="182"/>
      <c r="DIG118" s="181"/>
      <c r="DIH118" s="182"/>
      <c r="DII118" s="181"/>
      <c r="DIJ118" s="182"/>
      <c r="DIK118" s="181"/>
      <c r="DIL118" s="182"/>
      <c r="DIM118" s="181"/>
      <c r="DIN118" s="182"/>
      <c r="DIO118" s="181"/>
      <c r="DIP118" s="182"/>
      <c r="DIQ118" s="181"/>
      <c r="DIR118" s="182"/>
      <c r="DIS118" s="181"/>
      <c r="DIT118" s="182"/>
      <c r="DIU118" s="181"/>
      <c r="DIV118" s="182"/>
      <c r="DIW118" s="181"/>
      <c r="DIX118" s="182"/>
      <c r="DIY118" s="181"/>
      <c r="DIZ118" s="182"/>
      <c r="DJA118" s="181"/>
      <c r="DJB118" s="182"/>
      <c r="DJC118" s="181"/>
      <c r="DJD118" s="182"/>
      <c r="DJE118" s="181"/>
      <c r="DJF118" s="182"/>
      <c r="DJG118" s="181"/>
      <c r="DJH118" s="182"/>
      <c r="DJI118" s="181"/>
      <c r="DJJ118" s="182"/>
      <c r="DJK118" s="181"/>
      <c r="DJL118" s="182"/>
      <c r="DJM118" s="181"/>
      <c r="DJN118" s="182"/>
      <c r="DJO118" s="181"/>
      <c r="DJP118" s="182"/>
      <c r="DJQ118" s="181"/>
      <c r="DJR118" s="182"/>
      <c r="DJS118" s="181"/>
      <c r="DJT118" s="182"/>
      <c r="DJU118" s="181"/>
      <c r="DJV118" s="182"/>
      <c r="DJW118" s="181"/>
      <c r="DJX118" s="182"/>
      <c r="DJY118" s="181"/>
      <c r="DJZ118" s="182"/>
      <c r="DKA118" s="181"/>
      <c r="DKB118" s="182"/>
      <c r="DKC118" s="181"/>
      <c r="DKD118" s="182"/>
      <c r="DKE118" s="181"/>
      <c r="DKF118" s="182"/>
      <c r="DKG118" s="181"/>
      <c r="DKH118" s="182"/>
      <c r="DKI118" s="181"/>
      <c r="DKJ118" s="182"/>
      <c r="DKK118" s="181"/>
      <c r="DKL118" s="182"/>
      <c r="DKM118" s="181"/>
      <c r="DKN118" s="182"/>
      <c r="DKO118" s="181"/>
      <c r="DKP118" s="182"/>
      <c r="DKQ118" s="181"/>
      <c r="DKR118" s="182"/>
      <c r="DKS118" s="181"/>
      <c r="DKT118" s="182"/>
      <c r="DKU118" s="181"/>
      <c r="DKV118" s="182"/>
      <c r="DKW118" s="181"/>
      <c r="DKX118" s="182"/>
      <c r="DKY118" s="181"/>
      <c r="DKZ118" s="182"/>
      <c r="DLA118" s="181"/>
      <c r="DLB118" s="182"/>
      <c r="DLC118" s="181"/>
      <c r="DLD118" s="182"/>
      <c r="DLE118" s="181"/>
      <c r="DLF118" s="182"/>
      <c r="DLG118" s="181"/>
      <c r="DLH118" s="182"/>
      <c r="DLI118" s="181"/>
      <c r="DLJ118" s="182"/>
      <c r="DLK118" s="181"/>
      <c r="DLL118" s="182"/>
      <c r="DLM118" s="181"/>
      <c r="DLN118" s="182"/>
      <c r="DLO118" s="181"/>
      <c r="DLP118" s="182"/>
      <c r="DLQ118" s="181"/>
      <c r="DLR118" s="182"/>
      <c r="DLS118" s="181"/>
      <c r="DLT118" s="182"/>
      <c r="DLU118" s="181"/>
      <c r="DLV118" s="182"/>
      <c r="DLW118" s="181"/>
      <c r="DLX118" s="182"/>
      <c r="DLY118" s="181"/>
      <c r="DLZ118" s="182"/>
      <c r="DMA118" s="181"/>
      <c r="DMB118" s="182"/>
      <c r="DMC118" s="181"/>
      <c r="DMD118" s="182"/>
      <c r="DME118" s="181"/>
      <c r="DMF118" s="182"/>
      <c r="DMG118" s="181"/>
      <c r="DMH118" s="182"/>
      <c r="DMI118" s="181"/>
      <c r="DMJ118" s="182"/>
      <c r="DMK118" s="181"/>
      <c r="DML118" s="182"/>
      <c r="DMM118" s="181"/>
      <c r="DMN118" s="182"/>
      <c r="DMO118" s="181"/>
      <c r="DMP118" s="182"/>
      <c r="DMQ118" s="181"/>
      <c r="DMR118" s="182"/>
      <c r="DMS118" s="181"/>
      <c r="DMT118" s="182"/>
      <c r="DMU118" s="181"/>
      <c r="DMV118" s="182"/>
      <c r="DMW118" s="181"/>
      <c r="DMX118" s="182"/>
      <c r="DMY118" s="181"/>
      <c r="DMZ118" s="182"/>
      <c r="DNA118" s="181"/>
      <c r="DNB118" s="182"/>
      <c r="DNC118" s="181"/>
      <c r="DND118" s="182"/>
      <c r="DNE118" s="181"/>
      <c r="DNF118" s="182"/>
      <c r="DNG118" s="181"/>
      <c r="DNH118" s="182"/>
      <c r="DNI118" s="181"/>
      <c r="DNJ118" s="182"/>
      <c r="DNK118" s="181"/>
      <c r="DNL118" s="182"/>
      <c r="DNM118" s="181"/>
      <c r="DNN118" s="182"/>
      <c r="DNO118" s="181"/>
      <c r="DNP118" s="182"/>
      <c r="DNQ118" s="181"/>
      <c r="DNR118" s="182"/>
      <c r="DNS118" s="181"/>
      <c r="DNT118" s="182"/>
      <c r="DNU118" s="181"/>
      <c r="DNV118" s="182"/>
      <c r="DNW118" s="181"/>
      <c r="DNX118" s="182"/>
      <c r="DNY118" s="181"/>
      <c r="DNZ118" s="182"/>
      <c r="DOA118" s="181"/>
      <c r="DOB118" s="182"/>
      <c r="DOC118" s="181"/>
      <c r="DOD118" s="182"/>
      <c r="DOE118" s="181"/>
      <c r="DOF118" s="182"/>
      <c r="DOG118" s="181"/>
      <c r="DOH118" s="182"/>
      <c r="DOI118" s="181"/>
      <c r="DOJ118" s="182"/>
      <c r="DOK118" s="181"/>
      <c r="DOL118" s="182"/>
      <c r="DOM118" s="181"/>
      <c r="DON118" s="182"/>
      <c r="DOO118" s="181"/>
      <c r="DOP118" s="182"/>
      <c r="DOQ118" s="181"/>
      <c r="DOR118" s="182"/>
      <c r="DOS118" s="181"/>
      <c r="DOT118" s="182"/>
      <c r="DOU118" s="181"/>
      <c r="DOV118" s="182"/>
      <c r="DOW118" s="181"/>
      <c r="DOX118" s="182"/>
      <c r="DOY118" s="181"/>
      <c r="DOZ118" s="182"/>
      <c r="DPA118" s="181"/>
      <c r="DPB118" s="182"/>
      <c r="DPC118" s="181"/>
      <c r="DPD118" s="182"/>
      <c r="DPE118" s="181"/>
      <c r="DPF118" s="182"/>
      <c r="DPG118" s="181"/>
      <c r="DPH118" s="182"/>
      <c r="DPI118" s="181"/>
      <c r="DPJ118" s="182"/>
      <c r="DPK118" s="181"/>
      <c r="DPL118" s="182"/>
      <c r="DPM118" s="181"/>
      <c r="DPN118" s="182"/>
      <c r="DPO118" s="181"/>
      <c r="DPP118" s="182"/>
      <c r="DPQ118" s="181"/>
      <c r="DPR118" s="182"/>
      <c r="DPS118" s="181"/>
      <c r="DPT118" s="182"/>
      <c r="DPU118" s="181"/>
      <c r="DPV118" s="182"/>
      <c r="DPW118" s="181"/>
      <c r="DPX118" s="182"/>
      <c r="DPY118" s="181"/>
      <c r="DPZ118" s="182"/>
      <c r="DQA118" s="181"/>
      <c r="DQB118" s="182"/>
      <c r="DQC118" s="181"/>
      <c r="DQD118" s="182"/>
      <c r="DQE118" s="181"/>
      <c r="DQF118" s="182"/>
      <c r="DQG118" s="181"/>
      <c r="DQH118" s="182"/>
      <c r="DQI118" s="181"/>
      <c r="DQJ118" s="182"/>
      <c r="DQK118" s="181"/>
      <c r="DQL118" s="182"/>
      <c r="DQM118" s="181"/>
      <c r="DQN118" s="182"/>
      <c r="DQO118" s="181"/>
      <c r="DQP118" s="182"/>
      <c r="DQQ118" s="181"/>
      <c r="DQR118" s="182"/>
      <c r="DQS118" s="181"/>
      <c r="DQT118" s="182"/>
      <c r="DQU118" s="181"/>
      <c r="DQV118" s="182"/>
      <c r="DQW118" s="181"/>
      <c r="DQX118" s="182"/>
      <c r="DQY118" s="181"/>
      <c r="DQZ118" s="182"/>
      <c r="DRA118" s="181"/>
      <c r="DRB118" s="182"/>
      <c r="DRC118" s="181"/>
      <c r="DRD118" s="182"/>
      <c r="DRE118" s="181"/>
      <c r="DRF118" s="182"/>
      <c r="DRG118" s="181"/>
      <c r="DRH118" s="182"/>
      <c r="DRI118" s="181"/>
      <c r="DRJ118" s="182"/>
      <c r="DRK118" s="181"/>
      <c r="DRL118" s="182"/>
      <c r="DRM118" s="181"/>
      <c r="DRN118" s="182"/>
      <c r="DRO118" s="181"/>
      <c r="DRP118" s="182"/>
      <c r="DRQ118" s="181"/>
      <c r="DRR118" s="182"/>
      <c r="DRS118" s="181"/>
      <c r="DRT118" s="182"/>
      <c r="DRU118" s="181"/>
      <c r="DRV118" s="182"/>
      <c r="DRW118" s="181"/>
      <c r="DRX118" s="182"/>
      <c r="DRY118" s="181"/>
      <c r="DRZ118" s="182"/>
      <c r="DSA118" s="181"/>
      <c r="DSB118" s="182"/>
      <c r="DSC118" s="181"/>
      <c r="DSD118" s="182"/>
      <c r="DSE118" s="181"/>
      <c r="DSF118" s="182"/>
      <c r="DSG118" s="181"/>
      <c r="DSH118" s="182"/>
      <c r="DSI118" s="181"/>
      <c r="DSJ118" s="182"/>
      <c r="DSK118" s="181"/>
      <c r="DSL118" s="182"/>
      <c r="DSM118" s="181"/>
      <c r="DSN118" s="182"/>
      <c r="DSO118" s="181"/>
      <c r="DSP118" s="182"/>
      <c r="DSQ118" s="181"/>
      <c r="DSR118" s="182"/>
      <c r="DSS118" s="181"/>
      <c r="DST118" s="182"/>
      <c r="DSU118" s="181"/>
      <c r="DSV118" s="182"/>
      <c r="DSW118" s="181"/>
      <c r="DSX118" s="182"/>
      <c r="DSY118" s="181"/>
      <c r="DSZ118" s="182"/>
      <c r="DTA118" s="181"/>
      <c r="DTB118" s="182"/>
      <c r="DTC118" s="181"/>
      <c r="DTD118" s="182"/>
      <c r="DTE118" s="181"/>
      <c r="DTF118" s="182"/>
      <c r="DTG118" s="181"/>
      <c r="DTH118" s="182"/>
      <c r="DTI118" s="181"/>
      <c r="DTJ118" s="182"/>
      <c r="DTK118" s="181"/>
      <c r="DTL118" s="182"/>
      <c r="DTM118" s="181"/>
      <c r="DTN118" s="182"/>
      <c r="DTO118" s="181"/>
      <c r="DTP118" s="182"/>
      <c r="DTQ118" s="181"/>
      <c r="DTR118" s="182"/>
      <c r="DTS118" s="181"/>
      <c r="DTT118" s="182"/>
      <c r="DTU118" s="181"/>
      <c r="DTV118" s="182"/>
      <c r="DTW118" s="181"/>
      <c r="DTX118" s="182"/>
      <c r="DTY118" s="181"/>
      <c r="DTZ118" s="182"/>
      <c r="DUA118" s="181"/>
      <c r="DUB118" s="182"/>
      <c r="DUC118" s="181"/>
      <c r="DUD118" s="182"/>
      <c r="DUE118" s="181"/>
      <c r="DUF118" s="182"/>
      <c r="DUG118" s="181"/>
      <c r="DUH118" s="182"/>
      <c r="DUI118" s="181"/>
      <c r="DUJ118" s="182"/>
      <c r="DUK118" s="181"/>
      <c r="DUL118" s="182"/>
      <c r="DUM118" s="181"/>
      <c r="DUN118" s="182"/>
      <c r="DUO118" s="181"/>
      <c r="DUP118" s="182"/>
      <c r="DUQ118" s="181"/>
      <c r="DUR118" s="182"/>
      <c r="DUS118" s="181"/>
      <c r="DUT118" s="182"/>
      <c r="DUU118" s="181"/>
      <c r="DUV118" s="182"/>
      <c r="DUW118" s="181"/>
      <c r="DUX118" s="182"/>
      <c r="DUY118" s="181"/>
      <c r="DUZ118" s="182"/>
      <c r="DVA118" s="181"/>
      <c r="DVB118" s="182"/>
      <c r="DVC118" s="181"/>
      <c r="DVD118" s="182"/>
      <c r="DVE118" s="181"/>
      <c r="DVF118" s="182"/>
      <c r="DVG118" s="181"/>
      <c r="DVH118" s="182"/>
      <c r="DVI118" s="181"/>
      <c r="DVJ118" s="182"/>
      <c r="DVK118" s="181"/>
      <c r="DVL118" s="182"/>
      <c r="DVM118" s="181"/>
      <c r="DVN118" s="182"/>
      <c r="DVO118" s="181"/>
      <c r="DVP118" s="182"/>
      <c r="DVQ118" s="181"/>
      <c r="DVR118" s="182"/>
      <c r="DVS118" s="181"/>
      <c r="DVT118" s="182"/>
      <c r="DVU118" s="181"/>
      <c r="DVV118" s="182"/>
      <c r="DVW118" s="181"/>
      <c r="DVX118" s="182"/>
      <c r="DVY118" s="181"/>
      <c r="DVZ118" s="182"/>
      <c r="DWA118" s="181"/>
      <c r="DWB118" s="182"/>
      <c r="DWC118" s="181"/>
      <c r="DWD118" s="182"/>
      <c r="DWE118" s="181"/>
      <c r="DWF118" s="182"/>
      <c r="DWG118" s="181"/>
      <c r="DWH118" s="182"/>
      <c r="DWI118" s="181"/>
      <c r="DWJ118" s="182"/>
      <c r="DWK118" s="181"/>
      <c r="DWL118" s="182"/>
      <c r="DWM118" s="181"/>
      <c r="DWN118" s="182"/>
      <c r="DWO118" s="181"/>
      <c r="DWP118" s="182"/>
      <c r="DWQ118" s="181"/>
      <c r="DWR118" s="182"/>
      <c r="DWS118" s="181"/>
      <c r="DWT118" s="182"/>
      <c r="DWU118" s="181"/>
      <c r="DWV118" s="182"/>
      <c r="DWW118" s="181"/>
      <c r="DWX118" s="182"/>
      <c r="DWY118" s="181"/>
      <c r="DWZ118" s="182"/>
      <c r="DXA118" s="181"/>
      <c r="DXB118" s="182"/>
      <c r="DXC118" s="181"/>
      <c r="DXD118" s="182"/>
      <c r="DXE118" s="181"/>
      <c r="DXF118" s="182"/>
      <c r="DXG118" s="181"/>
      <c r="DXH118" s="182"/>
      <c r="DXI118" s="181"/>
      <c r="DXJ118" s="182"/>
      <c r="DXK118" s="181"/>
      <c r="DXL118" s="182"/>
      <c r="DXM118" s="181"/>
      <c r="DXN118" s="182"/>
      <c r="DXO118" s="181"/>
      <c r="DXP118" s="182"/>
      <c r="DXQ118" s="181"/>
      <c r="DXR118" s="182"/>
      <c r="DXS118" s="181"/>
      <c r="DXT118" s="182"/>
      <c r="DXU118" s="181"/>
      <c r="DXV118" s="182"/>
      <c r="DXW118" s="181"/>
      <c r="DXX118" s="182"/>
      <c r="DXY118" s="181"/>
      <c r="DXZ118" s="182"/>
      <c r="DYA118" s="181"/>
      <c r="DYB118" s="182"/>
      <c r="DYC118" s="181"/>
      <c r="DYD118" s="182"/>
      <c r="DYE118" s="181"/>
      <c r="DYF118" s="182"/>
      <c r="DYG118" s="181"/>
      <c r="DYH118" s="182"/>
      <c r="DYI118" s="181"/>
      <c r="DYJ118" s="182"/>
      <c r="DYK118" s="181"/>
      <c r="DYL118" s="182"/>
      <c r="DYM118" s="181"/>
      <c r="DYN118" s="182"/>
      <c r="DYO118" s="181"/>
      <c r="DYP118" s="182"/>
      <c r="DYQ118" s="181"/>
      <c r="DYR118" s="182"/>
      <c r="DYS118" s="181"/>
      <c r="DYT118" s="182"/>
      <c r="DYU118" s="181"/>
      <c r="DYV118" s="182"/>
      <c r="DYW118" s="181"/>
      <c r="DYX118" s="182"/>
      <c r="DYY118" s="181"/>
      <c r="DYZ118" s="182"/>
      <c r="DZA118" s="181"/>
      <c r="DZB118" s="182"/>
      <c r="DZC118" s="181"/>
      <c r="DZD118" s="182"/>
      <c r="DZE118" s="181"/>
      <c r="DZF118" s="182"/>
      <c r="DZG118" s="181"/>
      <c r="DZH118" s="182"/>
      <c r="DZI118" s="181"/>
      <c r="DZJ118" s="182"/>
      <c r="DZK118" s="181"/>
      <c r="DZL118" s="182"/>
      <c r="DZM118" s="181"/>
      <c r="DZN118" s="182"/>
      <c r="DZO118" s="181"/>
      <c r="DZP118" s="182"/>
      <c r="DZQ118" s="181"/>
      <c r="DZR118" s="182"/>
      <c r="DZS118" s="181"/>
      <c r="DZT118" s="182"/>
      <c r="DZU118" s="181"/>
      <c r="DZV118" s="182"/>
      <c r="DZW118" s="181"/>
      <c r="DZX118" s="182"/>
      <c r="DZY118" s="181"/>
      <c r="DZZ118" s="182"/>
      <c r="EAA118" s="181"/>
      <c r="EAB118" s="182"/>
      <c r="EAC118" s="181"/>
      <c r="EAD118" s="182"/>
      <c r="EAE118" s="181"/>
      <c r="EAF118" s="182"/>
      <c r="EAG118" s="181"/>
      <c r="EAH118" s="182"/>
      <c r="EAI118" s="181"/>
      <c r="EAJ118" s="182"/>
      <c r="EAK118" s="181"/>
      <c r="EAL118" s="182"/>
      <c r="EAM118" s="181"/>
      <c r="EAN118" s="182"/>
      <c r="EAO118" s="181"/>
      <c r="EAP118" s="182"/>
      <c r="EAQ118" s="181"/>
      <c r="EAR118" s="182"/>
      <c r="EAS118" s="181"/>
      <c r="EAT118" s="182"/>
      <c r="EAU118" s="181"/>
      <c r="EAV118" s="182"/>
      <c r="EAW118" s="181"/>
      <c r="EAX118" s="182"/>
      <c r="EAY118" s="181"/>
      <c r="EAZ118" s="182"/>
      <c r="EBA118" s="181"/>
      <c r="EBB118" s="182"/>
      <c r="EBC118" s="181"/>
      <c r="EBD118" s="182"/>
      <c r="EBE118" s="181"/>
      <c r="EBF118" s="182"/>
      <c r="EBG118" s="181"/>
      <c r="EBH118" s="182"/>
      <c r="EBI118" s="181"/>
      <c r="EBJ118" s="182"/>
      <c r="EBK118" s="181"/>
      <c r="EBL118" s="182"/>
      <c r="EBM118" s="181"/>
      <c r="EBN118" s="182"/>
      <c r="EBO118" s="181"/>
      <c r="EBP118" s="182"/>
      <c r="EBQ118" s="181"/>
      <c r="EBR118" s="182"/>
      <c r="EBS118" s="181"/>
      <c r="EBT118" s="182"/>
      <c r="EBU118" s="181"/>
      <c r="EBV118" s="182"/>
      <c r="EBW118" s="181"/>
      <c r="EBX118" s="182"/>
      <c r="EBY118" s="181"/>
      <c r="EBZ118" s="182"/>
      <c r="ECA118" s="181"/>
      <c r="ECB118" s="182"/>
      <c r="ECC118" s="181"/>
      <c r="ECD118" s="182"/>
      <c r="ECE118" s="181"/>
      <c r="ECF118" s="182"/>
      <c r="ECG118" s="181"/>
      <c r="ECH118" s="182"/>
      <c r="ECI118" s="181"/>
      <c r="ECJ118" s="182"/>
      <c r="ECK118" s="181"/>
      <c r="ECL118" s="182"/>
      <c r="ECM118" s="181"/>
      <c r="ECN118" s="182"/>
      <c r="ECO118" s="181"/>
      <c r="ECP118" s="182"/>
      <c r="ECQ118" s="181"/>
      <c r="ECR118" s="182"/>
      <c r="ECS118" s="181"/>
      <c r="ECT118" s="182"/>
      <c r="ECU118" s="181"/>
      <c r="ECV118" s="182"/>
      <c r="ECW118" s="181"/>
      <c r="ECX118" s="182"/>
      <c r="ECY118" s="181"/>
      <c r="ECZ118" s="182"/>
      <c r="EDA118" s="181"/>
      <c r="EDB118" s="182"/>
      <c r="EDC118" s="181"/>
      <c r="EDD118" s="182"/>
      <c r="EDE118" s="181"/>
      <c r="EDF118" s="182"/>
      <c r="EDG118" s="181"/>
      <c r="EDH118" s="182"/>
      <c r="EDI118" s="181"/>
      <c r="EDJ118" s="182"/>
      <c r="EDK118" s="181"/>
      <c r="EDL118" s="182"/>
      <c r="EDM118" s="181"/>
      <c r="EDN118" s="182"/>
      <c r="EDO118" s="181"/>
      <c r="EDP118" s="182"/>
      <c r="EDQ118" s="181"/>
      <c r="EDR118" s="182"/>
      <c r="EDS118" s="181"/>
      <c r="EDT118" s="182"/>
      <c r="EDU118" s="181"/>
      <c r="EDV118" s="182"/>
      <c r="EDW118" s="181"/>
      <c r="EDX118" s="182"/>
      <c r="EDY118" s="181"/>
      <c r="EDZ118" s="182"/>
      <c r="EEA118" s="181"/>
      <c r="EEB118" s="182"/>
      <c r="EEC118" s="181"/>
      <c r="EED118" s="182"/>
      <c r="EEE118" s="181"/>
      <c r="EEF118" s="182"/>
      <c r="EEG118" s="181"/>
      <c r="EEH118" s="182"/>
      <c r="EEI118" s="181"/>
      <c r="EEJ118" s="182"/>
      <c r="EEK118" s="181"/>
      <c r="EEL118" s="182"/>
      <c r="EEM118" s="181"/>
      <c r="EEN118" s="182"/>
      <c r="EEO118" s="181"/>
      <c r="EEP118" s="182"/>
      <c r="EEQ118" s="181"/>
      <c r="EER118" s="182"/>
      <c r="EES118" s="181"/>
      <c r="EET118" s="182"/>
      <c r="EEU118" s="181"/>
      <c r="EEV118" s="182"/>
      <c r="EEW118" s="181"/>
      <c r="EEX118" s="182"/>
      <c r="EEY118" s="181"/>
      <c r="EEZ118" s="182"/>
      <c r="EFA118" s="181"/>
      <c r="EFB118" s="182"/>
      <c r="EFC118" s="181"/>
      <c r="EFD118" s="182"/>
      <c r="EFE118" s="181"/>
      <c r="EFF118" s="182"/>
      <c r="EFG118" s="181"/>
      <c r="EFH118" s="182"/>
      <c r="EFI118" s="181"/>
      <c r="EFJ118" s="182"/>
      <c r="EFK118" s="181"/>
      <c r="EFL118" s="182"/>
      <c r="EFM118" s="181"/>
      <c r="EFN118" s="182"/>
      <c r="EFO118" s="181"/>
      <c r="EFP118" s="182"/>
      <c r="EFQ118" s="181"/>
      <c r="EFR118" s="182"/>
      <c r="EFS118" s="181"/>
      <c r="EFT118" s="182"/>
      <c r="EFU118" s="181"/>
      <c r="EFV118" s="182"/>
      <c r="EFW118" s="181"/>
      <c r="EFX118" s="182"/>
      <c r="EFY118" s="181"/>
      <c r="EFZ118" s="182"/>
      <c r="EGA118" s="181"/>
      <c r="EGB118" s="182"/>
      <c r="EGC118" s="181"/>
      <c r="EGD118" s="182"/>
      <c r="EGE118" s="181"/>
      <c r="EGF118" s="182"/>
      <c r="EGG118" s="181"/>
      <c r="EGH118" s="182"/>
      <c r="EGI118" s="181"/>
      <c r="EGJ118" s="182"/>
      <c r="EGK118" s="181"/>
      <c r="EGL118" s="182"/>
      <c r="EGM118" s="181"/>
      <c r="EGN118" s="182"/>
      <c r="EGO118" s="181"/>
      <c r="EGP118" s="182"/>
      <c r="EGQ118" s="181"/>
      <c r="EGR118" s="182"/>
      <c r="EGS118" s="181"/>
      <c r="EGT118" s="182"/>
      <c r="EGU118" s="181"/>
      <c r="EGV118" s="182"/>
      <c r="EGW118" s="181"/>
      <c r="EGX118" s="182"/>
      <c r="EGY118" s="181"/>
      <c r="EGZ118" s="182"/>
      <c r="EHA118" s="181"/>
      <c r="EHB118" s="182"/>
      <c r="EHC118" s="181"/>
      <c r="EHD118" s="182"/>
      <c r="EHE118" s="181"/>
      <c r="EHF118" s="182"/>
      <c r="EHG118" s="181"/>
      <c r="EHH118" s="182"/>
      <c r="EHI118" s="181"/>
      <c r="EHJ118" s="182"/>
      <c r="EHK118" s="181"/>
      <c r="EHL118" s="182"/>
      <c r="EHM118" s="181"/>
      <c r="EHN118" s="182"/>
      <c r="EHO118" s="181"/>
      <c r="EHP118" s="182"/>
      <c r="EHQ118" s="181"/>
      <c r="EHR118" s="182"/>
      <c r="EHS118" s="181"/>
      <c r="EHT118" s="182"/>
      <c r="EHU118" s="181"/>
      <c r="EHV118" s="182"/>
      <c r="EHW118" s="181"/>
      <c r="EHX118" s="182"/>
      <c r="EHY118" s="181"/>
      <c r="EHZ118" s="182"/>
      <c r="EIA118" s="181"/>
      <c r="EIB118" s="182"/>
      <c r="EIC118" s="181"/>
      <c r="EID118" s="182"/>
      <c r="EIE118" s="181"/>
      <c r="EIF118" s="182"/>
      <c r="EIG118" s="181"/>
      <c r="EIH118" s="182"/>
      <c r="EII118" s="181"/>
      <c r="EIJ118" s="182"/>
      <c r="EIK118" s="181"/>
      <c r="EIL118" s="182"/>
      <c r="EIM118" s="181"/>
      <c r="EIN118" s="182"/>
      <c r="EIO118" s="181"/>
      <c r="EIP118" s="182"/>
      <c r="EIQ118" s="181"/>
      <c r="EIR118" s="182"/>
      <c r="EIS118" s="181"/>
      <c r="EIT118" s="182"/>
      <c r="EIU118" s="181"/>
      <c r="EIV118" s="182"/>
      <c r="EIW118" s="181"/>
      <c r="EIX118" s="182"/>
      <c r="EIY118" s="181"/>
      <c r="EIZ118" s="182"/>
      <c r="EJA118" s="181"/>
      <c r="EJB118" s="182"/>
      <c r="EJC118" s="181"/>
      <c r="EJD118" s="182"/>
      <c r="EJE118" s="181"/>
      <c r="EJF118" s="182"/>
      <c r="EJG118" s="181"/>
      <c r="EJH118" s="182"/>
      <c r="EJI118" s="181"/>
      <c r="EJJ118" s="182"/>
      <c r="EJK118" s="181"/>
      <c r="EJL118" s="182"/>
      <c r="EJM118" s="181"/>
      <c r="EJN118" s="182"/>
      <c r="EJO118" s="181"/>
      <c r="EJP118" s="182"/>
      <c r="EJQ118" s="181"/>
      <c r="EJR118" s="182"/>
      <c r="EJS118" s="181"/>
      <c r="EJT118" s="182"/>
      <c r="EJU118" s="181"/>
      <c r="EJV118" s="182"/>
      <c r="EJW118" s="181"/>
      <c r="EJX118" s="182"/>
      <c r="EJY118" s="181"/>
      <c r="EJZ118" s="182"/>
      <c r="EKA118" s="181"/>
      <c r="EKB118" s="182"/>
      <c r="EKC118" s="181"/>
      <c r="EKD118" s="182"/>
      <c r="EKE118" s="181"/>
      <c r="EKF118" s="182"/>
      <c r="EKG118" s="181"/>
      <c r="EKH118" s="182"/>
      <c r="EKI118" s="181"/>
      <c r="EKJ118" s="182"/>
      <c r="EKK118" s="181"/>
      <c r="EKL118" s="182"/>
      <c r="EKM118" s="181"/>
      <c r="EKN118" s="182"/>
      <c r="EKO118" s="181"/>
      <c r="EKP118" s="182"/>
      <c r="EKQ118" s="181"/>
      <c r="EKR118" s="182"/>
      <c r="EKS118" s="181"/>
      <c r="EKT118" s="182"/>
      <c r="EKU118" s="181"/>
      <c r="EKV118" s="182"/>
      <c r="EKW118" s="181"/>
      <c r="EKX118" s="182"/>
      <c r="EKY118" s="181"/>
      <c r="EKZ118" s="182"/>
      <c r="ELA118" s="181"/>
      <c r="ELB118" s="182"/>
      <c r="ELC118" s="181"/>
      <c r="ELD118" s="182"/>
      <c r="ELE118" s="181"/>
      <c r="ELF118" s="182"/>
      <c r="ELG118" s="181"/>
      <c r="ELH118" s="182"/>
      <c r="ELI118" s="181"/>
      <c r="ELJ118" s="182"/>
      <c r="ELK118" s="181"/>
      <c r="ELL118" s="182"/>
      <c r="ELM118" s="181"/>
      <c r="ELN118" s="182"/>
      <c r="ELO118" s="181"/>
      <c r="ELP118" s="182"/>
      <c r="ELQ118" s="181"/>
      <c r="ELR118" s="182"/>
      <c r="ELS118" s="181"/>
      <c r="ELT118" s="182"/>
      <c r="ELU118" s="181"/>
      <c r="ELV118" s="182"/>
      <c r="ELW118" s="181"/>
      <c r="ELX118" s="182"/>
      <c r="ELY118" s="181"/>
      <c r="ELZ118" s="182"/>
      <c r="EMA118" s="181"/>
      <c r="EMB118" s="182"/>
      <c r="EMC118" s="181"/>
      <c r="EMD118" s="182"/>
      <c r="EME118" s="181"/>
      <c r="EMF118" s="182"/>
      <c r="EMG118" s="181"/>
      <c r="EMH118" s="182"/>
      <c r="EMI118" s="181"/>
      <c r="EMJ118" s="182"/>
      <c r="EMK118" s="181"/>
      <c r="EML118" s="182"/>
      <c r="EMM118" s="181"/>
      <c r="EMN118" s="182"/>
      <c r="EMO118" s="181"/>
      <c r="EMP118" s="182"/>
      <c r="EMQ118" s="181"/>
      <c r="EMR118" s="182"/>
      <c r="EMS118" s="181"/>
      <c r="EMT118" s="182"/>
      <c r="EMU118" s="181"/>
      <c r="EMV118" s="182"/>
      <c r="EMW118" s="181"/>
      <c r="EMX118" s="182"/>
      <c r="EMY118" s="181"/>
      <c r="EMZ118" s="182"/>
      <c r="ENA118" s="181"/>
      <c r="ENB118" s="182"/>
      <c r="ENC118" s="181"/>
      <c r="END118" s="182"/>
      <c r="ENE118" s="181"/>
      <c r="ENF118" s="182"/>
      <c r="ENG118" s="181"/>
      <c r="ENH118" s="182"/>
      <c r="ENI118" s="181"/>
      <c r="ENJ118" s="182"/>
      <c r="ENK118" s="181"/>
      <c r="ENL118" s="182"/>
      <c r="ENM118" s="181"/>
      <c r="ENN118" s="182"/>
      <c r="ENO118" s="181"/>
      <c r="ENP118" s="182"/>
      <c r="ENQ118" s="181"/>
      <c r="ENR118" s="182"/>
      <c r="ENS118" s="181"/>
      <c r="ENT118" s="182"/>
      <c r="ENU118" s="181"/>
      <c r="ENV118" s="182"/>
      <c r="ENW118" s="181"/>
      <c r="ENX118" s="182"/>
      <c r="ENY118" s="181"/>
      <c r="ENZ118" s="182"/>
      <c r="EOA118" s="181"/>
      <c r="EOB118" s="182"/>
      <c r="EOC118" s="181"/>
      <c r="EOD118" s="182"/>
      <c r="EOE118" s="181"/>
      <c r="EOF118" s="182"/>
      <c r="EOG118" s="181"/>
      <c r="EOH118" s="182"/>
      <c r="EOI118" s="181"/>
      <c r="EOJ118" s="182"/>
      <c r="EOK118" s="181"/>
      <c r="EOL118" s="182"/>
      <c r="EOM118" s="181"/>
      <c r="EON118" s="182"/>
      <c r="EOO118" s="181"/>
      <c r="EOP118" s="182"/>
      <c r="EOQ118" s="181"/>
      <c r="EOR118" s="182"/>
      <c r="EOS118" s="181"/>
      <c r="EOT118" s="182"/>
      <c r="EOU118" s="181"/>
      <c r="EOV118" s="182"/>
      <c r="EOW118" s="181"/>
      <c r="EOX118" s="182"/>
      <c r="EOY118" s="181"/>
      <c r="EOZ118" s="182"/>
      <c r="EPA118" s="181"/>
      <c r="EPB118" s="182"/>
      <c r="EPC118" s="181"/>
      <c r="EPD118" s="182"/>
      <c r="EPE118" s="181"/>
      <c r="EPF118" s="182"/>
      <c r="EPG118" s="181"/>
      <c r="EPH118" s="182"/>
      <c r="EPI118" s="181"/>
      <c r="EPJ118" s="182"/>
      <c r="EPK118" s="181"/>
      <c r="EPL118" s="182"/>
      <c r="EPM118" s="181"/>
      <c r="EPN118" s="182"/>
      <c r="EPO118" s="181"/>
      <c r="EPP118" s="182"/>
      <c r="EPQ118" s="181"/>
      <c r="EPR118" s="182"/>
      <c r="EPS118" s="181"/>
      <c r="EPT118" s="182"/>
      <c r="EPU118" s="181"/>
      <c r="EPV118" s="182"/>
      <c r="EPW118" s="181"/>
      <c r="EPX118" s="182"/>
      <c r="EPY118" s="181"/>
      <c r="EPZ118" s="182"/>
      <c r="EQA118" s="181"/>
      <c r="EQB118" s="182"/>
      <c r="EQC118" s="181"/>
      <c r="EQD118" s="182"/>
      <c r="EQE118" s="181"/>
      <c r="EQF118" s="182"/>
      <c r="EQG118" s="181"/>
      <c r="EQH118" s="182"/>
      <c r="EQI118" s="181"/>
      <c r="EQJ118" s="182"/>
      <c r="EQK118" s="181"/>
      <c r="EQL118" s="182"/>
      <c r="EQM118" s="181"/>
      <c r="EQN118" s="182"/>
      <c r="EQO118" s="181"/>
      <c r="EQP118" s="182"/>
      <c r="EQQ118" s="181"/>
      <c r="EQR118" s="182"/>
      <c r="EQS118" s="181"/>
      <c r="EQT118" s="182"/>
      <c r="EQU118" s="181"/>
      <c r="EQV118" s="182"/>
      <c r="EQW118" s="181"/>
      <c r="EQX118" s="182"/>
      <c r="EQY118" s="181"/>
      <c r="EQZ118" s="182"/>
      <c r="ERA118" s="181"/>
      <c r="ERB118" s="182"/>
      <c r="ERC118" s="181"/>
      <c r="ERD118" s="182"/>
      <c r="ERE118" s="181"/>
      <c r="ERF118" s="182"/>
      <c r="ERG118" s="181"/>
      <c r="ERH118" s="182"/>
      <c r="ERI118" s="181"/>
      <c r="ERJ118" s="182"/>
      <c r="ERK118" s="181"/>
      <c r="ERL118" s="182"/>
      <c r="ERM118" s="181"/>
      <c r="ERN118" s="182"/>
      <c r="ERO118" s="181"/>
      <c r="ERP118" s="182"/>
      <c r="ERQ118" s="181"/>
      <c r="ERR118" s="182"/>
      <c r="ERS118" s="181"/>
      <c r="ERT118" s="182"/>
      <c r="ERU118" s="181"/>
      <c r="ERV118" s="182"/>
      <c r="ERW118" s="181"/>
      <c r="ERX118" s="182"/>
      <c r="ERY118" s="181"/>
      <c r="ERZ118" s="182"/>
      <c r="ESA118" s="181"/>
      <c r="ESB118" s="182"/>
      <c r="ESC118" s="181"/>
      <c r="ESD118" s="182"/>
      <c r="ESE118" s="181"/>
      <c r="ESF118" s="182"/>
      <c r="ESG118" s="181"/>
      <c r="ESH118" s="182"/>
      <c r="ESI118" s="181"/>
      <c r="ESJ118" s="182"/>
      <c r="ESK118" s="181"/>
      <c r="ESL118" s="182"/>
      <c r="ESM118" s="181"/>
      <c r="ESN118" s="182"/>
      <c r="ESO118" s="181"/>
      <c r="ESP118" s="182"/>
      <c r="ESQ118" s="181"/>
      <c r="ESR118" s="182"/>
      <c r="ESS118" s="181"/>
      <c r="EST118" s="182"/>
      <c r="ESU118" s="181"/>
      <c r="ESV118" s="182"/>
      <c r="ESW118" s="181"/>
      <c r="ESX118" s="182"/>
      <c r="ESY118" s="181"/>
      <c r="ESZ118" s="182"/>
      <c r="ETA118" s="181"/>
      <c r="ETB118" s="182"/>
      <c r="ETC118" s="181"/>
      <c r="ETD118" s="182"/>
      <c r="ETE118" s="181"/>
      <c r="ETF118" s="182"/>
      <c r="ETG118" s="181"/>
      <c r="ETH118" s="182"/>
      <c r="ETI118" s="181"/>
      <c r="ETJ118" s="182"/>
      <c r="ETK118" s="181"/>
      <c r="ETL118" s="182"/>
      <c r="ETM118" s="181"/>
      <c r="ETN118" s="182"/>
      <c r="ETO118" s="181"/>
      <c r="ETP118" s="182"/>
      <c r="ETQ118" s="181"/>
      <c r="ETR118" s="182"/>
      <c r="ETS118" s="181"/>
      <c r="ETT118" s="182"/>
      <c r="ETU118" s="181"/>
      <c r="ETV118" s="182"/>
      <c r="ETW118" s="181"/>
      <c r="ETX118" s="182"/>
      <c r="ETY118" s="181"/>
      <c r="ETZ118" s="182"/>
      <c r="EUA118" s="181"/>
      <c r="EUB118" s="182"/>
      <c r="EUC118" s="181"/>
      <c r="EUD118" s="182"/>
      <c r="EUE118" s="181"/>
      <c r="EUF118" s="182"/>
      <c r="EUG118" s="181"/>
      <c r="EUH118" s="182"/>
      <c r="EUI118" s="181"/>
      <c r="EUJ118" s="182"/>
      <c r="EUK118" s="181"/>
      <c r="EUL118" s="182"/>
      <c r="EUM118" s="181"/>
      <c r="EUN118" s="182"/>
      <c r="EUO118" s="181"/>
      <c r="EUP118" s="182"/>
      <c r="EUQ118" s="181"/>
      <c r="EUR118" s="182"/>
      <c r="EUS118" s="181"/>
      <c r="EUT118" s="182"/>
      <c r="EUU118" s="181"/>
      <c r="EUV118" s="182"/>
      <c r="EUW118" s="181"/>
      <c r="EUX118" s="182"/>
      <c r="EUY118" s="181"/>
      <c r="EUZ118" s="182"/>
      <c r="EVA118" s="181"/>
      <c r="EVB118" s="182"/>
      <c r="EVC118" s="181"/>
      <c r="EVD118" s="182"/>
      <c r="EVE118" s="181"/>
      <c r="EVF118" s="182"/>
      <c r="EVG118" s="181"/>
      <c r="EVH118" s="182"/>
      <c r="EVI118" s="181"/>
      <c r="EVJ118" s="182"/>
      <c r="EVK118" s="181"/>
      <c r="EVL118" s="182"/>
      <c r="EVM118" s="181"/>
      <c r="EVN118" s="182"/>
      <c r="EVO118" s="181"/>
      <c r="EVP118" s="182"/>
      <c r="EVQ118" s="181"/>
      <c r="EVR118" s="182"/>
      <c r="EVS118" s="181"/>
      <c r="EVT118" s="182"/>
      <c r="EVU118" s="181"/>
      <c r="EVV118" s="182"/>
      <c r="EVW118" s="181"/>
      <c r="EVX118" s="182"/>
      <c r="EVY118" s="181"/>
      <c r="EVZ118" s="182"/>
      <c r="EWA118" s="181"/>
      <c r="EWB118" s="182"/>
      <c r="EWC118" s="181"/>
      <c r="EWD118" s="182"/>
      <c r="EWE118" s="181"/>
      <c r="EWF118" s="182"/>
      <c r="EWG118" s="181"/>
      <c r="EWH118" s="182"/>
      <c r="EWI118" s="181"/>
      <c r="EWJ118" s="182"/>
      <c r="EWK118" s="181"/>
      <c r="EWL118" s="182"/>
      <c r="EWM118" s="181"/>
      <c r="EWN118" s="182"/>
      <c r="EWO118" s="181"/>
      <c r="EWP118" s="182"/>
      <c r="EWQ118" s="181"/>
      <c r="EWR118" s="182"/>
      <c r="EWS118" s="181"/>
      <c r="EWT118" s="182"/>
      <c r="EWU118" s="181"/>
      <c r="EWV118" s="182"/>
      <c r="EWW118" s="181"/>
      <c r="EWX118" s="182"/>
      <c r="EWY118" s="181"/>
      <c r="EWZ118" s="182"/>
      <c r="EXA118" s="181"/>
      <c r="EXB118" s="182"/>
      <c r="EXC118" s="181"/>
      <c r="EXD118" s="182"/>
      <c r="EXE118" s="181"/>
      <c r="EXF118" s="182"/>
      <c r="EXG118" s="181"/>
      <c r="EXH118" s="182"/>
      <c r="EXI118" s="181"/>
      <c r="EXJ118" s="182"/>
      <c r="EXK118" s="181"/>
      <c r="EXL118" s="182"/>
      <c r="EXM118" s="181"/>
      <c r="EXN118" s="182"/>
      <c r="EXO118" s="181"/>
      <c r="EXP118" s="182"/>
      <c r="EXQ118" s="181"/>
      <c r="EXR118" s="182"/>
      <c r="EXS118" s="181"/>
      <c r="EXT118" s="182"/>
      <c r="EXU118" s="181"/>
      <c r="EXV118" s="182"/>
      <c r="EXW118" s="181"/>
      <c r="EXX118" s="182"/>
      <c r="EXY118" s="181"/>
      <c r="EXZ118" s="182"/>
      <c r="EYA118" s="181"/>
      <c r="EYB118" s="182"/>
      <c r="EYC118" s="181"/>
      <c r="EYD118" s="182"/>
      <c r="EYE118" s="181"/>
      <c r="EYF118" s="182"/>
      <c r="EYG118" s="181"/>
      <c r="EYH118" s="182"/>
      <c r="EYI118" s="181"/>
      <c r="EYJ118" s="182"/>
      <c r="EYK118" s="181"/>
      <c r="EYL118" s="182"/>
      <c r="EYM118" s="181"/>
      <c r="EYN118" s="182"/>
      <c r="EYO118" s="181"/>
      <c r="EYP118" s="182"/>
      <c r="EYQ118" s="181"/>
      <c r="EYR118" s="182"/>
      <c r="EYS118" s="181"/>
      <c r="EYT118" s="182"/>
      <c r="EYU118" s="181"/>
      <c r="EYV118" s="182"/>
      <c r="EYW118" s="181"/>
      <c r="EYX118" s="182"/>
      <c r="EYY118" s="181"/>
      <c r="EYZ118" s="182"/>
      <c r="EZA118" s="181"/>
      <c r="EZB118" s="182"/>
      <c r="EZC118" s="181"/>
      <c r="EZD118" s="182"/>
      <c r="EZE118" s="181"/>
      <c r="EZF118" s="182"/>
      <c r="EZG118" s="181"/>
      <c r="EZH118" s="182"/>
      <c r="EZI118" s="181"/>
      <c r="EZJ118" s="182"/>
      <c r="EZK118" s="181"/>
      <c r="EZL118" s="182"/>
      <c r="EZM118" s="181"/>
      <c r="EZN118" s="182"/>
      <c r="EZO118" s="181"/>
      <c r="EZP118" s="182"/>
      <c r="EZQ118" s="181"/>
      <c r="EZR118" s="182"/>
      <c r="EZS118" s="181"/>
      <c r="EZT118" s="182"/>
      <c r="EZU118" s="181"/>
      <c r="EZV118" s="182"/>
      <c r="EZW118" s="181"/>
      <c r="EZX118" s="182"/>
      <c r="EZY118" s="181"/>
      <c r="EZZ118" s="182"/>
      <c r="FAA118" s="181"/>
      <c r="FAB118" s="182"/>
      <c r="FAC118" s="181"/>
      <c r="FAD118" s="182"/>
      <c r="FAE118" s="181"/>
      <c r="FAF118" s="182"/>
      <c r="FAG118" s="181"/>
      <c r="FAH118" s="182"/>
      <c r="FAI118" s="181"/>
      <c r="FAJ118" s="182"/>
      <c r="FAK118" s="181"/>
      <c r="FAL118" s="182"/>
      <c r="FAM118" s="181"/>
      <c r="FAN118" s="182"/>
      <c r="FAO118" s="181"/>
      <c r="FAP118" s="182"/>
      <c r="FAQ118" s="181"/>
      <c r="FAR118" s="182"/>
      <c r="FAS118" s="181"/>
      <c r="FAT118" s="182"/>
      <c r="FAU118" s="181"/>
      <c r="FAV118" s="182"/>
      <c r="FAW118" s="181"/>
      <c r="FAX118" s="182"/>
      <c r="FAY118" s="181"/>
      <c r="FAZ118" s="182"/>
      <c r="FBA118" s="181"/>
      <c r="FBB118" s="182"/>
      <c r="FBC118" s="181"/>
      <c r="FBD118" s="182"/>
      <c r="FBE118" s="181"/>
      <c r="FBF118" s="182"/>
      <c r="FBG118" s="181"/>
      <c r="FBH118" s="182"/>
      <c r="FBI118" s="181"/>
      <c r="FBJ118" s="182"/>
      <c r="FBK118" s="181"/>
      <c r="FBL118" s="182"/>
      <c r="FBM118" s="181"/>
      <c r="FBN118" s="182"/>
      <c r="FBO118" s="181"/>
      <c r="FBP118" s="182"/>
      <c r="FBQ118" s="181"/>
      <c r="FBR118" s="182"/>
      <c r="FBS118" s="181"/>
      <c r="FBT118" s="182"/>
      <c r="FBU118" s="181"/>
      <c r="FBV118" s="182"/>
      <c r="FBW118" s="181"/>
      <c r="FBX118" s="182"/>
      <c r="FBY118" s="181"/>
      <c r="FBZ118" s="182"/>
      <c r="FCA118" s="181"/>
      <c r="FCB118" s="182"/>
      <c r="FCC118" s="181"/>
      <c r="FCD118" s="182"/>
      <c r="FCE118" s="181"/>
      <c r="FCF118" s="182"/>
      <c r="FCG118" s="181"/>
      <c r="FCH118" s="182"/>
      <c r="FCI118" s="181"/>
      <c r="FCJ118" s="182"/>
      <c r="FCK118" s="181"/>
      <c r="FCL118" s="182"/>
      <c r="FCM118" s="181"/>
      <c r="FCN118" s="182"/>
      <c r="FCO118" s="181"/>
      <c r="FCP118" s="182"/>
      <c r="FCQ118" s="181"/>
      <c r="FCR118" s="182"/>
      <c r="FCS118" s="181"/>
      <c r="FCT118" s="182"/>
      <c r="FCU118" s="181"/>
      <c r="FCV118" s="182"/>
      <c r="FCW118" s="181"/>
      <c r="FCX118" s="182"/>
      <c r="FCY118" s="181"/>
      <c r="FCZ118" s="182"/>
      <c r="FDA118" s="181"/>
      <c r="FDB118" s="182"/>
      <c r="FDC118" s="181"/>
      <c r="FDD118" s="182"/>
      <c r="FDE118" s="181"/>
      <c r="FDF118" s="182"/>
      <c r="FDG118" s="181"/>
      <c r="FDH118" s="182"/>
      <c r="FDI118" s="181"/>
      <c r="FDJ118" s="182"/>
      <c r="FDK118" s="181"/>
      <c r="FDL118" s="182"/>
      <c r="FDM118" s="181"/>
      <c r="FDN118" s="182"/>
      <c r="FDO118" s="181"/>
      <c r="FDP118" s="182"/>
      <c r="FDQ118" s="181"/>
      <c r="FDR118" s="182"/>
      <c r="FDS118" s="181"/>
      <c r="FDT118" s="182"/>
      <c r="FDU118" s="181"/>
      <c r="FDV118" s="182"/>
      <c r="FDW118" s="181"/>
      <c r="FDX118" s="182"/>
      <c r="FDY118" s="181"/>
      <c r="FDZ118" s="182"/>
      <c r="FEA118" s="181"/>
      <c r="FEB118" s="182"/>
      <c r="FEC118" s="181"/>
      <c r="FED118" s="182"/>
      <c r="FEE118" s="181"/>
      <c r="FEF118" s="182"/>
      <c r="FEG118" s="181"/>
      <c r="FEH118" s="182"/>
      <c r="FEI118" s="181"/>
      <c r="FEJ118" s="182"/>
      <c r="FEK118" s="181"/>
      <c r="FEL118" s="182"/>
      <c r="FEM118" s="181"/>
      <c r="FEN118" s="182"/>
      <c r="FEO118" s="181"/>
      <c r="FEP118" s="182"/>
      <c r="FEQ118" s="181"/>
      <c r="FER118" s="182"/>
      <c r="FES118" s="181"/>
      <c r="FET118" s="182"/>
      <c r="FEU118" s="181"/>
      <c r="FEV118" s="182"/>
      <c r="FEW118" s="181"/>
      <c r="FEX118" s="182"/>
      <c r="FEY118" s="181"/>
      <c r="FEZ118" s="182"/>
      <c r="FFA118" s="181"/>
      <c r="FFB118" s="182"/>
      <c r="FFC118" s="181"/>
      <c r="FFD118" s="182"/>
      <c r="FFE118" s="181"/>
      <c r="FFF118" s="182"/>
      <c r="FFG118" s="181"/>
      <c r="FFH118" s="182"/>
      <c r="FFI118" s="181"/>
      <c r="FFJ118" s="182"/>
      <c r="FFK118" s="181"/>
      <c r="FFL118" s="182"/>
      <c r="FFM118" s="181"/>
      <c r="FFN118" s="182"/>
      <c r="FFO118" s="181"/>
      <c r="FFP118" s="182"/>
      <c r="FFQ118" s="181"/>
      <c r="FFR118" s="182"/>
      <c r="FFS118" s="181"/>
      <c r="FFT118" s="182"/>
      <c r="FFU118" s="181"/>
      <c r="FFV118" s="182"/>
      <c r="FFW118" s="181"/>
      <c r="FFX118" s="182"/>
      <c r="FFY118" s="181"/>
      <c r="FFZ118" s="182"/>
      <c r="FGA118" s="181"/>
      <c r="FGB118" s="182"/>
      <c r="FGC118" s="181"/>
      <c r="FGD118" s="182"/>
      <c r="FGE118" s="181"/>
      <c r="FGF118" s="182"/>
      <c r="FGG118" s="181"/>
      <c r="FGH118" s="182"/>
      <c r="FGI118" s="181"/>
      <c r="FGJ118" s="182"/>
      <c r="FGK118" s="181"/>
      <c r="FGL118" s="182"/>
      <c r="FGM118" s="181"/>
      <c r="FGN118" s="182"/>
      <c r="FGO118" s="181"/>
      <c r="FGP118" s="182"/>
      <c r="FGQ118" s="181"/>
      <c r="FGR118" s="182"/>
      <c r="FGS118" s="181"/>
      <c r="FGT118" s="182"/>
      <c r="FGU118" s="181"/>
      <c r="FGV118" s="182"/>
      <c r="FGW118" s="181"/>
      <c r="FGX118" s="182"/>
      <c r="FGY118" s="181"/>
      <c r="FGZ118" s="182"/>
      <c r="FHA118" s="181"/>
      <c r="FHB118" s="182"/>
      <c r="FHC118" s="181"/>
      <c r="FHD118" s="182"/>
      <c r="FHE118" s="181"/>
      <c r="FHF118" s="182"/>
      <c r="FHG118" s="181"/>
      <c r="FHH118" s="182"/>
      <c r="FHI118" s="181"/>
      <c r="FHJ118" s="182"/>
      <c r="FHK118" s="181"/>
      <c r="FHL118" s="182"/>
      <c r="FHM118" s="181"/>
      <c r="FHN118" s="182"/>
      <c r="FHO118" s="181"/>
      <c r="FHP118" s="182"/>
      <c r="FHQ118" s="181"/>
      <c r="FHR118" s="182"/>
      <c r="FHS118" s="181"/>
      <c r="FHT118" s="182"/>
      <c r="FHU118" s="181"/>
      <c r="FHV118" s="182"/>
      <c r="FHW118" s="181"/>
      <c r="FHX118" s="182"/>
      <c r="FHY118" s="181"/>
      <c r="FHZ118" s="182"/>
      <c r="FIA118" s="181"/>
      <c r="FIB118" s="182"/>
      <c r="FIC118" s="181"/>
      <c r="FID118" s="182"/>
      <c r="FIE118" s="181"/>
      <c r="FIF118" s="182"/>
      <c r="FIG118" s="181"/>
      <c r="FIH118" s="182"/>
      <c r="FII118" s="181"/>
      <c r="FIJ118" s="182"/>
      <c r="FIK118" s="181"/>
      <c r="FIL118" s="182"/>
      <c r="FIM118" s="181"/>
      <c r="FIN118" s="182"/>
      <c r="FIO118" s="181"/>
      <c r="FIP118" s="182"/>
      <c r="FIQ118" s="181"/>
      <c r="FIR118" s="182"/>
      <c r="FIS118" s="181"/>
      <c r="FIT118" s="182"/>
      <c r="FIU118" s="181"/>
      <c r="FIV118" s="182"/>
      <c r="FIW118" s="181"/>
      <c r="FIX118" s="182"/>
      <c r="FIY118" s="181"/>
      <c r="FIZ118" s="182"/>
      <c r="FJA118" s="181"/>
      <c r="FJB118" s="182"/>
      <c r="FJC118" s="181"/>
      <c r="FJD118" s="182"/>
      <c r="FJE118" s="181"/>
      <c r="FJF118" s="182"/>
      <c r="FJG118" s="181"/>
      <c r="FJH118" s="182"/>
      <c r="FJI118" s="181"/>
      <c r="FJJ118" s="182"/>
      <c r="FJK118" s="181"/>
      <c r="FJL118" s="182"/>
      <c r="FJM118" s="181"/>
      <c r="FJN118" s="182"/>
      <c r="FJO118" s="181"/>
      <c r="FJP118" s="182"/>
      <c r="FJQ118" s="181"/>
      <c r="FJR118" s="182"/>
      <c r="FJS118" s="181"/>
      <c r="FJT118" s="182"/>
      <c r="FJU118" s="181"/>
      <c r="FJV118" s="182"/>
      <c r="FJW118" s="181"/>
      <c r="FJX118" s="182"/>
      <c r="FJY118" s="181"/>
      <c r="FJZ118" s="182"/>
      <c r="FKA118" s="181"/>
      <c r="FKB118" s="182"/>
      <c r="FKC118" s="181"/>
      <c r="FKD118" s="182"/>
      <c r="FKE118" s="181"/>
      <c r="FKF118" s="182"/>
      <c r="FKG118" s="181"/>
      <c r="FKH118" s="182"/>
      <c r="FKI118" s="181"/>
      <c r="FKJ118" s="182"/>
      <c r="FKK118" s="181"/>
      <c r="FKL118" s="182"/>
      <c r="FKM118" s="181"/>
      <c r="FKN118" s="182"/>
      <c r="FKO118" s="181"/>
      <c r="FKP118" s="182"/>
      <c r="FKQ118" s="181"/>
      <c r="FKR118" s="182"/>
      <c r="FKS118" s="181"/>
      <c r="FKT118" s="182"/>
      <c r="FKU118" s="181"/>
      <c r="FKV118" s="182"/>
      <c r="FKW118" s="181"/>
      <c r="FKX118" s="182"/>
      <c r="FKY118" s="181"/>
      <c r="FKZ118" s="182"/>
      <c r="FLA118" s="181"/>
      <c r="FLB118" s="182"/>
      <c r="FLC118" s="181"/>
      <c r="FLD118" s="182"/>
      <c r="FLE118" s="181"/>
      <c r="FLF118" s="182"/>
      <c r="FLG118" s="181"/>
      <c r="FLH118" s="182"/>
      <c r="FLI118" s="181"/>
      <c r="FLJ118" s="182"/>
      <c r="FLK118" s="181"/>
      <c r="FLL118" s="182"/>
      <c r="FLM118" s="181"/>
      <c r="FLN118" s="182"/>
      <c r="FLO118" s="181"/>
      <c r="FLP118" s="182"/>
      <c r="FLQ118" s="181"/>
      <c r="FLR118" s="182"/>
      <c r="FLS118" s="181"/>
      <c r="FLT118" s="182"/>
      <c r="FLU118" s="181"/>
      <c r="FLV118" s="182"/>
      <c r="FLW118" s="181"/>
      <c r="FLX118" s="182"/>
      <c r="FLY118" s="181"/>
      <c r="FLZ118" s="182"/>
      <c r="FMA118" s="181"/>
      <c r="FMB118" s="182"/>
      <c r="FMC118" s="181"/>
      <c r="FMD118" s="182"/>
      <c r="FME118" s="181"/>
      <c r="FMF118" s="182"/>
      <c r="FMG118" s="181"/>
      <c r="FMH118" s="182"/>
      <c r="FMI118" s="181"/>
      <c r="FMJ118" s="182"/>
      <c r="FMK118" s="181"/>
      <c r="FML118" s="182"/>
      <c r="FMM118" s="181"/>
      <c r="FMN118" s="182"/>
      <c r="FMO118" s="181"/>
      <c r="FMP118" s="182"/>
      <c r="FMQ118" s="181"/>
      <c r="FMR118" s="182"/>
      <c r="FMS118" s="181"/>
      <c r="FMT118" s="182"/>
      <c r="FMU118" s="181"/>
      <c r="FMV118" s="182"/>
      <c r="FMW118" s="181"/>
      <c r="FMX118" s="182"/>
      <c r="FMY118" s="181"/>
      <c r="FMZ118" s="182"/>
      <c r="FNA118" s="181"/>
      <c r="FNB118" s="182"/>
      <c r="FNC118" s="181"/>
      <c r="FND118" s="182"/>
      <c r="FNE118" s="181"/>
      <c r="FNF118" s="182"/>
      <c r="FNG118" s="181"/>
      <c r="FNH118" s="182"/>
      <c r="FNI118" s="181"/>
      <c r="FNJ118" s="182"/>
      <c r="FNK118" s="181"/>
      <c r="FNL118" s="182"/>
      <c r="FNM118" s="181"/>
      <c r="FNN118" s="182"/>
      <c r="FNO118" s="181"/>
      <c r="FNP118" s="182"/>
      <c r="FNQ118" s="181"/>
      <c r="FNR118" s="182"/>
      <c r="FNS118" s="181"/>
      <c r="FNT118" s="182"/>
      <c r="FNU118" s="181"/>
      <c r="FNV118" s="182"/>
      <c r="FNW118" s="181"/>
      <c r="FNX118" s="182"/>
      <c r="FNY118" s="181"/>
      <c r="FNZ118" s="182"/>
      <c r="FOA118" s="181"/>
      <c r="FOB118" s="182"/>
      <c r="FOC118" s="181"/>
      <c r="FOD118" s="182"/>
      <c r="FOE118" s="181"/>
      <c r="FOF118" s="182"/>
      <c r="FOG118" s="181"/>
      <c r="FOH118" s="182"/>
      <c r="FOI118" s="181"/>
      <c r="FOJ118" s="182"/>
      <c r="FOK118" s="181"/>
      <c r="FOL118" s="182"/>
      <c r="FOM118" s="181"/>
      <c r="FON118" s="182"/>
      <c r="FOO118" s="181"/>
      <c r="FOP118" s="182"/>
      <c r="FOQ118" s="181"/>
      <c r="FOR118" s="182"/>
      <c r="FOS118" s="181"/>
      <c r="FOT118" s="182"/>
      <c r="FOU118" s="181"/>
      <c r="FOV118" s="182"/>
      <c r="FOW118" s="181"/>
      <c r="FOX118" s="182"/>
      <c r="FOY118" s="181"/>
      <c r="FOZ118" s="182"/>
      <c r="FPA118" s="181"/>
      <c r="FPB118" s="182"/>
      <c r="FPC118" s="181"/>
      <c r="FPD118" s="182"/>
      <c r="FPE118" s="181"/>
      <c r="FPF118" s="182"/>
      <c r="FPG118" s="181"/>
      <c r="FPH118" s="182"/>
      <c r="FPI118" s="181"/>
      <c r="FPJ118" s="182"/>
      <c r="FPK118" s="181"/>
      <c r="FPL118" s="182"/>
      <c r="FPM118" s="181"/>
      <c r="FPN118" s="182"/>
      <c r="FPO118" s="181"/>
      <c r="FPP118" s="182"/>
      <c r="FPQ118" s="181"/>
      <c r="FPR118" s="182"/>
      <c r="FPS118" s="181"/>
      <c r="FPT118" s="182"/>
      <c r="FPU118" s="181"/>
      <c r="FPV118" s="182"/>
      <c r="FPW118" s="181"/>
      <c r="FPX118" s="182"/>
      <c r="FPY118" s="181"/>
      <c r="FPZ118" s="182"/>
      <c r="FQA118" s="181"/>
      <c r="FQB118" s="182"/>
      <c r="FQC118" s="181"/>
      <c r="FQD118" s="182"/>
      <c r="FQE118" s="181"/>
      <c r="FQF118" s="182"/>
      <c r="FQG118" s="181"/>
      <c r="FQH118" s="182"/>
      <c r="FQI118" s="181"/>
      <c r="FQJ118" s="182"/>
      <c r="FQK118" s="181"/>
      <c r="FQL118" s="182"/>
      <c r="FQM118" s="181"/>
      <c r="FQN118" s="182"/>
      <c r="FQO118" s="181"/>
      <c r="FQP118" s="182"/>
      <c r="FQQ118" s="181"/>
      <c r="FQR118" s="182"/>
      <c r="FQS118" s="181"/>
      <c r="FQT118" s="182"/>
      <c r="FQU118" s="181"/>
      <c r="FQV118" s="182"/>
      <c r="FQW118" s="181"/>
      <c r="FQX118" s="182"/>
      <c r="FQY118" s="181"/>
      <c r="FQZ118" s="182"/>
      <c r="FRA118" s="181"/>
      <c r="FRB118" s="182"/>
      <c r="FRC118" s="181"/>
      <c r="FRD118" s="182"/>
      <c r="FRE118" s="181"/>
      <c r="FRF118" s="182"/>
      <c r="FRG118" s="181"/>
      <c r="FRH118" s="182"/>
      <c r="FRI118" s="181"/>
      <c r="FRJ118" s="182"/>
      <c r="FRK118" s="181"/>
      <c r="FRL118" s="182"/>
      <c r="FRM118" s="181"/>
      <c r="FRN118" s="182"/>
      <c r="FRO118" s="181"/>
      <c r="FRP118" s="182"/>
      <c r="FRQ118" s="181"/>
      <c r="FRR118" s="182"/>
      <c r="FRS118" s="181"/>
      <c r="FRT118" s="182"/>
      <c r="FRU118" s="181"/>
      <c r="FRV118" s="182"/>
      <c r="FRW118" s="181"/>
      <c r="FRX118" s="182"/>
      <c r="FRY118" s="181"/>
      <c r="FRZ118" s="182"/>
      <c r="FSA118" s="181"/>
      <c r="FSB118" s="182"/>
      <c r="FSC118" s="181"/>
      <c r="FSD118" s="182"/>
      <c r="FSE118" s="181"/>
      <c r="FSF118" s="182"/>
      <c r="FSG118" s="181"/>
      <c r="FSH118" s="182"/>
      <c r="FSI118" s="181"/>
      <c r="FSJ118" s="182"/>
      <c r="FSK118" s="181"/>
      <c r="FSL118" s="182"/>
      <c r="FSM118" s="181"/>
      <c r="FSN118" s="182"/>
      <c r="FSO118" s="181"/>
      <c r="FSP118" s="182"/>
      <c r="FSQ118" s="181"/>
      <c r="FSR118" s="182"/>
      <c r="FSS118" s="181"/>
      <c r="FST118" s="182"/>
      <c r="FSU118" s="181"/>
      <c r="FSV118" s="182"/>
      <c r="FSW118" s="181"/>
      <c r="FSX118" s="182"/>
      <c r="FSY118" s="181"/>
      <c r="FSZ118" s="182"/>
      <c r="FTA118" s="181"/>
      <c r="FTB118" s="182"/>
      <c r="FTC118" s="181"/>
      <c r="FTD118" s="182"/>
      <c r="FTE118" s="181"/>
      <c r="FTF118" s="182"/>
      <c r="FTG118" s="181"/>
      <c r="FTH118" s="182"/>
      <c r="FTI118" s="181"/>
      <c r="FTJ118" s="182"/>
      <c r="FTK118" s="181"/>
      <c r="FTL118" s="182"/>
      <c r="FTM118" s="181"/>
      <c r="FTN118" s="182"/>
      <c r="FTO118" s="181"/>
      <c r="FTP118" s="182"/>
      <c r="FTQ118" s="181"/>
      <c r="FTR118" s="182"/>
      <c r="FTS118" s="181"/>
      <c r="FTT118" s="182"/>
      <c r="FTU118" s="181"/>
      <c r="FTV118" s="182"/>
      <c r="FTW118" s="181"/>
      <c r="FTX118" s="182"/>
      <c r="FTY118" s="181"/>
      <c r="FTZ118" s="182"/>
      <c r="FUA118" s="181"/>
      <c r="FUB118" s="182"/>
      <c r="FUC118" s="181"/>
      <c r="FUD118" s="182"/>
      <c r="FUE118" s="181"/>
      <c r="FUF118" s="182"/>
      <c r="FUG118" s="181"/>
      <c r="FUH118" s="182"/>
      <c r="FUI118" s="181"/>
      <c r="FUJ118" s="182"/>
      <c r="FUK118" s="181"/>
      <c r="FUL118" s="182"/>
      <c r="FUM118" s="181"/>
      <c r="FUN118" s="182"/>
      <c r="FUO118" s="181"/>
      <c r="FUP118" s="182"/>
      <c r="FUQ118" s="181"/>
      <c r="FUR118" s="182"/>
      <c r="FUS118" s="181"/>
      <c r="FUT118" s="182"/>
      <c r="FUU118" s="181"/>
      <c r="FUV118" s="182"/>
      <c r="FUW118" s="181"/>
      <c r="FUX118" s="182"/>
      <c r="FUY118" s="181"/>
      <c r="FUZ118" s="182"/>
      <c r="FVA118" s="181"/>
      <c r="FVB118" s="182"/>
      <c r="FVC118" s="181"/>
      <c r="FVD118" s="182"/>
      <c r="FVE118" s="181"/>
      <c r="FVF118" s="182"/>
      <c r="FVG118" s="181"/>
      <c r="FVH118" s="182"/>
      <c r="FVI118" s="181"/>
      <c r="FVJ118" s="182"/>
      <c r="FVK118" s="181"/>
      <c r="FVL118" s="182"/>
      <c r="FVM118" s="181"/>
      <c r="FVN118" s="182"/>
      <c r="FVO118" s="181"/>
      <c r="FVP118" s="182"/>
      <c r="FVQ118" s="181"/>
      <c r="FVR118" s="182"/>
      <c r="FVS118" s="181"/>
      <c r="FVT118" s="182"/>
      <c r="FVU118" s="181"/>
      <c r="FVV118" s="182"/>
      <c r="FVW118" s="181"/>
      <c r="FVX118" s="182"/>
      <c r="FVY118" s="181"/>
      <c r="FVZ118" s="182"/>
      <c r="FWA118" s="181"/>
      <c r="FWB118" s="182"/>
      <c r="FWC118" s="181"/>
      <c r="FWD118" s="182"/>
      <c r="FWE118" s="181"/>
      <c r="FWF118" s="182"/>
      <c r="FWG118" s="181"/>
      <c r="FWH118" s="182"/>
      <c r="FWI118" s="181"/>
      <c r="FWJ118" s="182"/>
      <c r="FWK118" s="181"/>
      <c r="FWL118" s="182"/>
      <c r="FWM118" s="181"/>
      <c r="FWN118" s="182"/>
      <c r="FWO118" s="181"/>
      <c r="FWP118" s="182"/>
      <c r="FWQ118" s="181"/>
      <c r="FWR118" s="182"/>
      <c r="FWS118" s="181"/>
      <c r="FWT118" s="182"/>
      <c r="FWU118" s="181"/>
      <c r="FWV118" s="182"/>
      <c r="FWW118" s="181"/>
      <c r="FWX118" s="182"/>
      <c r="FWY118" s="181"/>
      <c r="FWZ118" s="182"/>
      <c r="FXA118" s="181"/>
      <c r="FXB118" s="182"/>
      <c r="FXC118" s="181"/>
      <c r="FXD118" s="182"/>
      <c r="FXE118" s="181"/>
      <c r="FXF118" s="182"/>
      <c r="FXG118" s="181"/>
      <c r="FXH118" s="182"/>
      <c r="FXI118" s="181"/>
      <c r="FXJ118" s="182"/>
      <c r="FXK118" s="181"/>
      <c r="FXL118" s="182"/>
      <c r="FXM118" s="181"/>
      <c r="FXN118" s="182"/>
      <c r="FXO118" s="181"/>
      <c r="FXP118" s="182"/>
      <c r="FXQ118" s="181"/>
      <c r="FXR118" s="182"/>
      <c r="FXS118" s="181"/>
      <c r="FXT118" s="182"/>
      <c r="FXU118" s="181"/>
      <c r="FXV118" s="182"/>
      <c r="FXW118" s="181"/>
      <c r="FXX118" s="182"/>
      <c r="FXY118" s="181"/>
      <c r="FXZ118" s="182"/>
      <c r="FYA118" s="181"/>
      <c r="FYB118" s="182"/>
      <c r="FYC118" s="181"/>
      <c r="FYD118" s="182"/>
      <c r="FYE118" s="181"/>
      <c r="FYF118" s="182"/>
      <c r="FYG118" s="181"/>
      <c r="FYH118" s="182"/>
      <c r="FYI118" s="181"/>
      <c r="FYJ118" s="182"/>
      <c r="FYK118" s="181"/>
      <c r="FYL118" s="182"/>
      <c r="FYM118" s="181"/>
      <c r="FYN118" s="182"/>
      <c r="FYO118" s="181"/>
      <c r="FYP118" s="182"/>
      <c r="FYQ118" s="181"/>
      <c r="FYR118" s="182"/>
      <c r="FYS118" s="181"/>
      <c r="FYT118" s="182"/>
      <c r="FYU118" s="181"/>
      <c r="FYV118" s="182"/>
      <c r="FYW118" s="181"/>
      <c r="FYX118" s="182"/>
      <c r="FYY118" s="181"/>
      <c r="FYZ118" s="182"/>
      <c r="FZA118" s="181"/>
      <c r="FZB118" s="182"/>
      <c r="FZC118" s="181"/>
      <c r="FZD118" s="182"/>
      <c r="FZE118" s="181"/>
      <c r="FZF118" s="182"/>
      <c r="FZG118" s="181"/>
      <c r="FZH118" s="182"/>
      <c r="FZI118" s="181"/>
      <c r="FZJ118" s="182"/>
      <c r="FZK118" s="181"/>
      <c r="FZL118" s="182"/>
      <c r="FZM118" s="181"/>
      <c r="FZN118" s="182"/>
      <c r="FZO118" s="181"/>
      <c r="FZP118" s="182"/>
      <c r="FZQ118" s="181"/>
      <c r="FZR118" s="182"/>
      <c r="FZS118" s="181"/>
      <c r="FZT118" s="182"/>
      <c r="FZU118" s="181"/>
      <c r="FZV118" s="182"/>
      <c r="FZW118" s="181"/>
      <c r="FZX118" s="182"/>
      <c r="FZY118" s="181"/>
      <c r="FZZ118" s="182"/>
      <c r="GAA118" s="181"/>
      <c r="GAB118" s="182"/>
      <c r="GAC118" s="181"/>
      <c r="GAD118" s="182"/>
      <c r="GAE118" s="181"/>
      <c r="GAF118" s="182"/>
      <c r="GAG118" s="181"/>
      <c r="GAH118" s="182"/>
      <c r="GAI118" s="181"/>
      <c r="GAJ118" s="182"/>
      <c r="GAK118" s="181"/>
      <c r="GAL118" s="182"/>
      <c r="GAM118" s="181"/>
      <c r="GAN118" s="182"/>
      <c r="GAO118" s="181"/>
      <c r="GAP118" s="182"/>
      <c r="GAQ118" s="181"/>
      <c r="GAR118" s="182"/>
      <c r="GAS118" s="181"/>
      <c r="GAT118" s="182"/>
      <c r="GAU118" s="181"/>
      <c r="GAV118" s="182"/>
      <c r="GAW118" s="181"/>
      <c r="GAX118" s="182"/>
      <c r="GAY118" s="181"/>
      <c r="GAZ118" s="182"/>
      <c r="GBA118" s="181"/>
      <c r="GBB118" s="182"/>
      <c r="GBC118" s="181"/>
      <c r="GBD118" s="182"/>
      <c r="GBE118" s="181"/>
      <c r="GBF118" s="182"/>
      <c r="GBG118" s="181"/>
      <c r="GBH118" s="182"/>
      <c r="GBI118" s="181"/>
      <c r="GBJ118" s="182"/>
      <c r="GBK118" s="181"/>
      <c r="GBL118" s="182"/>
      <c r="GBM118" s="181"/>
      <c r="GBN118" s="182"/>
      <c r="GBO118" s="181"/>
      <c r="GBP118" s="182"/>
      <c r="GBQ118" s="181"/>
      <c r="GBR118" s="182"/>
      <c r="GBS118" s="181"/>
      <c r="GBT118" s="182"/>
      <c r="GBU118" s="181"/>
      <c r="GBV118" s="182"/>
      <c r="GBW118" s="181"/>
      <c r="GBX118" s="182"/>
      <c r="GBY118" s="181"/>
      <c r="GBZ118" s="182"/>
      <c r="GCA118" s="181"/>
      <c r="GCB118" s="182"/>
      <c r="GCC118" s="181"/>
      <c r="GCD118" s="182"/>
      <c r="GCE118" s="181"/>
      <c r="GCF118" s="182"/>
      <c r="GCG118" s="181"/>
      <c r="GCH118" s="182"/>
      <c r="GCI118" s="181"/>
      <c r="GCJ118" s="182"/>
      <c r="GCK118" s="181"/>
      <c r="GCL118" s="182"/>
      <c r="GCM118" s="181"/>
      <c r="GCN118" s="182"/>
      <c r="GCO118" s="181"/>
      <c r="GCP118" s="182"/>
      <c r="GCQ118" s="181"/>
      <c r="GCR118" s="182"/>
      <c r="GCS118" s="181"/>
      <c r="GCT118" s="182"/>
      <c r="GCU118" s="181"/>
      <c r="GCV118" s="182"/>
      <c r="GCW118" s="181"/>
      <c r="GCX118" s="182"/>
      <c r="GCY118" s="181"/>
      <c r="GCZ118" s="182"/>
      <c r="GDA118" s="181"/>
      <c r="GDB118" s="182"/>
      <c r="GDC118" s="181"/>
      <c r="GDD118" s="182"/>
      <c r="GDE118" s="181"/>
      <c r="GDF118" s="182"/>
      <c r="GDG118" s="181"/>
      <c r="GDH118" s="182"/>
      <c r="GDI118" s="181"/>
      <c r="GDJ118" s="182"/>
      <c r="GDK118" s="181"/>
      <c r="GDL118" s="182"/>
      <c r="GDM118" s="181"/>
      <c r="GDN118" s="182"/>
      <c r="GDO118" s="181"/>
      <c r="GDP118" s="182"/>
      <c r="GDQ118" s="181"/>
      <c r="GDR118" s="182"/>
      <c r="GDS118" s="181"/>
      <c r="GDT118" s="182"/>
      <c r="GDU118" s="181"/>
      <c r="GDV118" s="182"/>
      <c r="GDW118" s="181"/>
      <c r="GDX118" s="182"/>
      <c r="GDY118" s="181"/>
      <c r="GDZ118" s="182"/>
      <c r="GEA118" s="181"/>
      <c r="GEB118" s="182"/>
      <c r="GEC118" s="181"/>
      <c r="GED118" s="182"/>
      <c r="GEE118" s="181"/>
      <c r="GEF118" s="182"/>
      <c r="GEG118" s="181"/>
      <c r="GEH118" s="182"/>
      <c r="GEI118" s="181"/>
      <c r="GEJ118" s="182"/>
      <c r="GEK118" s="181"/>
      <c r="GEL118" s="182"/>
      <c r="GEM118" s="181"/>
      <c r="GEN118" s="182"/>
      <c r="GEO118" s="181"/>
      <c r="GEP118" s="182"/>
      <c r="GEQ118" s="181"/>
      <c r="GER118" s="182"/>
      <c r="GES118" s="181"/>
      <c r="GET118" s="182"/>
      <c r="GEU118" s="181"/>
      <c r="GEV118" s="182"/>
      <c r="GEW118" s="181"/>
      <c r="GEX118" s="182"/>
      <c r="GEY118" s="181"/>
      <c r="GEZ118" s="182"/>
      <c r="GFA118" s="181"/>
      <c r="GFB118" s="182"/>
      <c r="GFC118" s="181"/>
      <c r="GFD118" s="182"/>
      <c r="GFE118" s="181"/>
      <c r="GFF118" s="182"/>
      <c r="GFG118" s="181"/>
      <c r="GFH118" s="182"/>
      <c r="GFI118" s="181"/>
      <c r="GFJ118" s="182"/>
      <c r="GFK118" s="181"/>
      <c r="GFL118" s="182"/>
      <c r="GFM118" s="181"/>
      <c r="GFN118" s="182"/>
      <c r="GFO118" s="181"/>
      <c r="GFP118" s="182"/>
      <c r="GFQ118" s="181"/>
      <c r="GFR118" s="182"/>
      <c r="GFS118" s="181"/>
      <c r="GFT118" s="182"/>
      <c r="GFU118" s="181"/>
      <c r="GFV118" s="182"/>
      <c r="GFW118" s="181"/>
      <c r="GFX118" s="182"/>
      <c r="GFY118" s="181"/>
      <c r="GFZ118" s="182"/>
      <c r="GGA118" s="181"/>
      <c r="GGB118" s="182"/>
      <c r="GGC118" s="181"/>
      <c r="GGD118" s="182"/>
      <c r="GGE118" s="181"/>
      <c r="GGF118" s="182"/>
      <c r="GGG118" s="181"/>
      <c r="GGH118" s="182"/>
      <c r="GGI118" s="181"/>
      <c r="GGJ118" s="182"/>
      <c r="GGK118" s="181"/>
      <c r="GGL118" s="182"/>
      <c r="GGM118" s="181"/>
      <c r="GGN118" s="182"/>
      <c r="GGO118" s="181"/>
      <c r="GGP118" s="182"/>
      <c r="GGQ118" s="181"/>
      <c r="GGR118" s="182"/>
      <c r="GGS118" s="181"/>
      <c r="GGT118" s="182"/>
      <c r="GGU118" s="181"/>
      <c r="GGV118" s="182"/>
      <c r="GGW118" s="181"/>
      <c r="GGX118" s="182"/>
      <c r="GGY118" s="181"/>
      <c r="GGZ118" s="182"/>
      <c r="GHA118" s="181"/>
      <c r="GHB118" s="182"/>
      <c r="GHC118" s="181"/>
      <c r="GHD118" s="182"/>
      <c r="GHE118" s="181"/>
      <c r="GHF118" s="182"/>
      <c r="GHG118" s="181"/>
      <c r="GHH118" s="182"/>
      <c r="GHI118" s="181"/>
      <c r="GHJ118" s="182"/>
      <c r="GHK118" s="181"/>
      <c r="GHL118" s="182"/>
      <c r="GHM118" s="181"/>
      <c r="GHN118" s="182"/>
      <c r="GHO118" s="181"/>
      <c r="GHP118" s="182"/>
      <c r="GHQ118" s="181"/>
      <c r="GHR118" s="182"/>
      <c r="GHS118" s="181"/>
      <c r="GHT118" s="182"/>
      <c r="GHU118" s="181"/>
      <c r="GHV118" s="182"/>
      <c r="GHW118" s="181"/>
      <c r="GHX118" s="182"/>
      <c r="GHY118" s="181"/>
      <c r="GHZ118" s="182"/>
      <c r="GIA118" s="181"/>
      <c r="GIB118" s="182"/>
      <c r="GIC118" s="181"/>
      <c r="GID118" s="182"/>
      <c r="GIE118" s="181"/>
      <c r="GIF118" s="182"/>
      <c r="GIG118" s="181"/>
      <c r="GIH118" s="182"/>
      <c r="GII118" s="181"/>
      <c r="GIJ118" s="182"/>
      <c r="GIK118" s="181"/>
      <c r="GIL118" s="182"/>
      <c r="GIM118" s="181"/>
      <c r="GIN118" s="182"/>
      <c r="GIO118" s="181"/>
      <c r="GIP118" s="182"/>
      <c r="GIQ118" s="181"/>
      <c r="GIR118" s="182"/>
      <c r="GIS118" s="181"/>
      <c r="GIT118" s="182"/>
      <c r="GIU118" s="181"/>
      <c r="GIV118" s="182"/>
      <c r="GIW118" s="181"/>
      <c r="GIX118" s="182"/>
      <c r="GIY118" s="181"/>
      <c r="GIZ118" s="182"/>
      <c r="GJA118" s="181"/>
      <c r="GJB118" s="182"/>
      <c r="GJC118" s="181"/>
      <c r="GJD118" s="182"/>
      <c r="GJE118" s="181"/>
      <c r="GJF118" s="182"/>
      <c r="GJG118" s="181"/>
      <c r="GJH118" s="182"/>
      <c r="GJI118" s="181"/>
      <c r="GJJ118" s="182"/>
      <c r="GJK118" s="181"/>
      <c r="GJL118" s="182"/>
      <c r="GJM118" s="181"/>
      <c r="GJN118" s="182"/>
      <c r="GJO118" s="181"/>
      <c r="GJP118" s="182"/>
      <c r="GJQ118" s="181"/>
      <c r="GJR118" s="182"/>
      <c r="GJS118" s="181"/>
      <c r="GJT118" s="182"/>
      <c r="GJU118" s="181"/>
      <c r="GJV118" s="182"/>
      <c r="GJW118" s="181"/>
      <c r="GJX118" s="182"/>
      <c r="GJY118" s="181"/>
      <c r="GJZ118" s="182"/>
      <c r="GKA118" s="181"/>
      <c r="GKB118" s="182"/>
      <c r="GKC118" s="181"/>
      <c r="GKD118" s="182"/>
      <c r="GKE118" s="181"/>
      <c r="GKF118" s="182"/>
      <c r="GKG118" s="181"/>
      <c r="GKH118" s="182"/>
      <c r="GKI118" s="181"/>
      <c r="GKJ118" s="182"/>
      <c r="GKK118" s="181"/>
      <c r="GKL118" s="182"/>
      <c r="GKM118" s="181"/>
      <c r="GKN118" s="182"/>
      <c r="GKO118" s="181"/>
      <c r="GKP118" s="182"/>
      <c r="GKQ118" s="181"/>
      <c r="GKR118" s="182"/>
      <c r="GKS118" s="181"/>
      <c r="GKT118" s="182"/>
      <c r="GKU118" s="181"/>
      <c r="GKV118" s="182"/>
      <c r="GKW118" s="181"/>
      <c r="GKX118" s="182"/>
      <c r="GKY118" s="181"/>
      <c r="GKZ118" s="182"/>
      <c r="GLA118" s="181"/>
      <c r="GLB118" s="182"/>
      <c r="GLC118" s="181"/>
      <c r="GLD118" s="182"/>
      <c r="GLE118" s="181"/>
      <c r="GLF118" s="182"/>
      <c r="GLG118" s="181"/>
      <c r="GLH118" s="182"/>
      <c r="GLI118" s="181"/>
      <c r="GLJ118" s="182"/>
      <c r="GLK118" s="181"/>
      <c r="GLL118" s="182"/>
      <c r="GLM118" s="181"/>
      <c r="GLN118" s="182"/>
      <c r="GLO118" s="181"/>
      <c r="GLP118" s="182"/>
      <c r="GLQ118" s="181"/>
      <c r="GLR118" s="182"/>
      <c r="GLS118" s="181"/>
      <c r="GLT118" s="182"/>
      <c r="GLU118" s="181"/>
      <c r="GLV118" s="182"/>
      <c r="GLW118" s="181"/>
      <c r="GLX118" s="182"/>
      <c r="GLY118" s="181"/>
      <c r="GLZ118" s="182"/>
      <c r="GMA118" s="181"/>
      <c r="GMB118" s="182"/>
      <c r="GMC118" s="181"/>
      <c r="GMD118" s="182"/>
      <c r="GME118" s="181"/>
      <c r="GMF118" s="182"/>
      <c r="GMG118" s="181"/>
      <c r="GMH118" s="182"/>
      <c r="GMI118" s="181"/>
      <c r="GMJ118" s="182"/>
      <c r="GMK118" s="181"/>
      <c r="GML118" s="182"/>
      <c r="GMM118" s="181"/>
      <c r="GMN118" s="182"/>
      <c r="GMO118" s="181"/>
      <c r="GMP118" s="182"/>
      <c r="GMQ118" s="181"/>
      <c r="GMR118" s="182"/>
      <c r="GMS118" s="181"/>
      <c r="GMT118" s="182"/>
      <c r="GMU118" s="181"/>
      <c r="GMV118" s="182"/>
      <c r="GMW118" s="181"/>
      <c r="GMX118" s="182"/>
      <c r="GMY118" s="181"/>
      <c r="GMZ118" s="182"/>
      <c r="GNA118" s="181"/>
      <c r="GNB118" s="182"/>
      <c r="GNC118" s="181"/>
      <c r="GND118" s="182"/>
      <c r="GNE118" s="181"/>
      <c r="GNF118" s="182"/>
      <c r="GNG118" s="181"/>
      <c r="GNH118" s="182"/>
      <c r="GNI118" s="181"/>
      <c r="GNJ118" s="182"/>
      <c r="GNK118" s="181"/>
      <c r="GNL118" s="182"/>
      <c r="GNM118" s="181"/>
      <c r="GNN118" s="182"/>
      <c r="GNO118" s="181"/>
      <c r="GNP118" s="182"/>
      <c r="GNQ118" s="181"/>
      <c r="GNR118" s="182"/>
      <c r="GNS118" s="181"/>
      <c r="GNT118" s="182"/>
      <c r="GNU118" s="181"/>
      <c r="GNV118" s="182"/>
      <c r="GNW118" s="181"/>
      <c r="GNX118" s="182"/>
      <c r="GNY118" s="181"/>
      <c r="GNZ118" s="182"/>
      <c r="GOA118" s="181"/>
      <c r="GOB118" s="182"/>
      <c r="GOC118" s="181"/>
      <c r="GOD118" s="182"/>
      <c r="GOE118" s="181"/>
      <c r="GOF118" s="182"/>
      <c r="GOG118" s="181"/>
      <c r="GOH118" s="182"/>
      <c r="GOI118" s="181"/>
      <c r="GOJ118" s="182"/>
      <c r="GOK118" s="181"/>
      <c r="GOL118" s="182"/>
      <c r="GOM118" s="181"/>
      <c r="GON118" s="182"/>
      <c r="GOO118" s="181"/>
      <c r="GOP118" s="182"/>
      <c r="GOQ118" s="181"/>
      <c r="GOR118" s="182"/>
      <c r="GOS118" s="181"/>
      <c r="GOT118" s="182"/>
      <c r="GOU118" s="181"/>
      <c r="GOV118" s="182"/>
      <c r="GOW118" s="181"/>
      <c r="GOX118" s="182"/>
      <c r="GOY118" s="181"/>
      <c r="GOZ118" s="182"/>
      <c r="GPA118" s="181"/>
      <c r="GPB118" s="182"/>
      <c r="GPC118" s="181"/>
      <c r="GPD118" s="182"/>
      <c r="GPE118" s="181"/>
      <c r="GPF118" s="182"/>
      <c r="GPG118" s="181"/>
      <c r="GPH118" s="182"/>
      <c r="GPI118" s="181"/>
      <c r="GPJ118" s="182"/>
      <c r="GPK118" s="181"/>
      <c r="GPL118" s="182"/>
      <c r="GPM118" s="181"/>
      <c r="GPN118" s="182"/>
      <c r="GPO118" s="181"/>
      <c r="GPP118" s="182"/>
      <c r="GPQ118" s="181"/>
      <c r="GPR118" s="182"/>
      <c r="GPS118" s="181"/>
      <c r="GPT118" s="182"/>
      <c r="GPU118" s="181"/>
      <c r="GPV118" s="182"/>
      <c r="GPW118" s="181"/>
      <c r="GPX118" s="182"/>
      <c r="GPY118" s="181"/>
      <c r="GPZ118" s="182"/>
      <c r="GQA118" s="181"/>
      <c r="GQB118" s="182"/>
      <c r="GQC118" s="181"/>
      <c r="GQD118" s="182"/>
      <c r="GQE118" s="181"/>
      <c r="GQF118" s="182"/>
      <c r="GQG118" s="181"/>
      <c r="GQH118" s="182"/>
      <c r="GQI118" s="181"/>
      <c r="GQJ118" s="182"/>
      <c r="GQK118" s="181"/>
      <c r="GQL118" s="182"/>
      <c r="GQM118" s="181"/>
      <c r="GQN118" s="182"/>
      <c r="GQO118" s="181"/>
      <c r="GQP118" s="182"/>
      <c r="GQQ118" s="181"/>
      <c r="GQR118" s="182"/>
      <c r="GQS118" s="181"/>
      <c r="GQT118" s="182"/>
      <c r="GQU118" s="181"/>
      <c r="GQV118" s="182"/>
      <c r="GQW118" s="181"/>
      <c r="GQX118" s="182"/>
      <c r="GQY118" s="181"/>
      <c r="GQZ118" s="182"/>
      <c r="GRA118" s="181"/>
      <c r="GRB118" s="182"/>
      <c r="GRC118" s="181"/>
      <c r="GRD118" s="182"/>
      <c r="GRE118" s="181"/>
      <c r="GRF118" s="182"/>
      <c r="GRG118" s="181"/>
      <c r="GRH118" s="182"/>
      <c r="GRI118" s="181"/>
      <c r="GRJ118" s="182"/>
      <c r="GRK118" s="181"/>
      <c r="GRL118" s="182"/>
      <c r="GRM118" s="181"/>
      <c r="GRN118" s="182"/>
      <c r="GRO118" s="181"/>
      <c r="GRP118" s="182"/>
      <c r="GRQ118" s="181"/>
      <c r="GRR118" s="182"/>
      <c r="GRS118" s="181"/>
      <c r="GRT118" s="182"/>
      <c r="GRU118" s="181"/>
      <c r="GRV118" s="182"/>
      <c r="GRW118" s="181"/>
      <c r="GRX118" s="182"/>
      <c r="GRY118" s="181"/>
      <c r="GRZ118" s="182"/>
      <c r="GSA118" s="181"/>
      <c r="GSB118" s="182"/>
      <c r="GSC118" s="181"/>
      <c r="GSD118" s="182"/>
      <c r="GSE118" s="181"/>
      <c r="GSF118" s="182"/>
      <c r="GSG118" s="181"/>
      <c r="GSH118" s="182"/>
      <c r="GSI118" s="181"/>
      <c r="GSJ118" s="182"/>
      <c r="GSK118" s="181"/>
      <c r="GSL118" s="182"/>
      <c r="GSM118" s="181"/>
      <c r="GSN118" s="182"/>
      <c r="GSO118" s="181"/>
      <c r="GSP118" s="182"/>
      <c r="GSQ118" s="181"/>
      <c r="GSR118" s="182"/>
      <c r="GSS118" s="181"/>
      <c r="GST118" s="182"/>
      <c r="GSU118" s="181"/>
      <c r="GSV118" s="182"/>
      <c r="GSW118" s="181"/>
      <c r="GSX118" s="182"/>
      <c r="GSY118" s="181"/>
      <c r="GSZ118" s="182"/>
      <c r="GTA118" s="181"/>
      <c r="GTB118" s="182"/>
      <c r="GTC118" s="181"/>
      <c r="GTD118" s="182"/>
      <c r="GTE118" s="181"/>
      <c r="GTF118" s="182"/>
      <c r="GTG118" s="181"/>
      <c r="GTH118" s="182"/>
      <c r="GTI118" s="181"/>
      <c r="GTJ118" s="182"/>
      <c r="GTK118" s="181"/>
      <c r="GTL118" s="182"/>
      <c r="GTM118" s="181"/>
      <c r="GTN118" s="182"/>
      <c r="GTO118" s="181"/>
      <c r="GTP118" s="182"/>
      <c r="GTQ118" s="181"/>
      <c r="GTR118" s="182"/>
      <c r="GTS118" s="181"/>
      <c r="GTT118" s="182"/>
      <c r="GTU118" s="181"/>
      <c r="GTV118" s="182"/>
      <c r="GTW118" s="181"/>
      <c r="GTX118" s="182"/>
      <c r="GTY118" s="181"/>
      <c r="GTZ118" s="182"/>
      <c r="GUA118" s="181"/>
      <c r="GUB118" s="182"/>
      <c r="GUC118" s="181"/>
      <c r="GUD118" s="182"/>
      <c r="GUE118" s="181"/>
      <c r="GUF118" s="182"/>
      <c r="GUG118" s="181"/>
      <c r="GUH118" s="182"/>
      <c r="GUI118" s="181"/>
      <c r="GUJ118" s="182"/>
      <c r="GUK118" s="181"/>
      <c r="GUL118" s="182"/>
      <c r="GUM118" s="181"/>
      <c r="GUN118" s="182"/>
      <c r="GUO118" s="181"/>
      <c r="GUP118" s="182"/>
      <c r="GUQ118" s="181"/>
      <c r="GUR118" s="182"/>
      <c r="GUS118" s="181"/>
      <c r="GUT118" s="182"/>
      <c r="GUU118" s="181"/>
      <c r="GUV118" s="182"/>
      <c r="GUW118" s="181"/>
      <c r="GUX118" s="182"/>
      <c r="GUY118" s="181"/>
      <c r="GUZ118" s="182"/>
      <c r="GVA118" s="181"/>
      <c r="GVB118" s="182"/>
      <c r="GVC118" s="181"/>
      <c r="GVD118" s="182"/>
      <c r="GVE118" s="181"/>
      <c r="GVF118" s="182"/>
      <c r="GVG118" s="181"/>
      <c r="GVH118" s="182"/>
      <c r="GVI118" s="181"/>
      <c r="GVJ118" s="182"/>
      <c r="GVK118" s="181"/>
      <c r="GVL118" s="182"/>
      <c r="GVM118" s="181"/>
      <c r="GVN118" s="182"/>
      <c r="GVO118" s="181"/>
      <c r="GVP118" s="182"/>
      <c r="GVQ118" s="181"/>
      <c r="GVR118" s="182"/>
      <c r="GVS118" s="181"/>
      <c r="GVT118" s="182"/>
      <c r="GVU118" s="181"/>
      <c r="GVV118" s="182"/>
      <c r="GVW118" s="181"/>
      <c r="GVX118" s="182"/>
      <c r="GVY118" s="181"/>
      <c r="GVZ118" s="182"/>
      <c r="GWA118" s="181"/>
      <c r="GWB118" s="182"/>
      <c r="GWC118" s="181"/>
      <c r="GWD118" s="182"/>
      <c r="GWE118" s="181"/>
      <c r="GWF118" s="182"/>
      <c r="GWG118" s="181"/>
      <c r="GWH118" s="182"/>
      <c r="GWI118" s="181"/>
      <c r="GWJ118" s="182"/>
      <c r="GWK118" s="181"/>
      <c r="GWL118" s="182"/>
      <c r="GWM118" s="181"/>
      <c r="GWN118" s="182"/>
      <c r="GWO118" s="181"/>
      <c r="GWP118" s="182"/>
      <c r="GWQ118" s="181"/>
      <c r="GWR118" s="182"/>
      <c r="GWS118" s="181"/>
      <c r="GWT118" s="182"/>
      <c r="GWU118" s="181"/>
      <c r="GWV118" s="182"/>
      <c r="GWW118" s="181"/>
      <c r="GWX118" s="182"/>
      <c r="GWY118" s="181"/>
      <c r="GWZ118" s="182"/>
      <c r="GXA118" s="181"/>
      <c r="GXB118" s="182"/>
      <c r="GXC118" s="181"/>
      <c r="GXD118" s="182"/>
      <c r="GXE118" s="181"/>
      <c r="GXF118" s="182"/>
      <c r="GXG118" s="181"/>
      <c r="GXH118" s="182"/>
      <c r="GXI118" s="181"/>
      <c r="GXJ118" s="182"/>
      <c r="GXK118" s="181"/>
      <c r="GXL118" s="182"/>
      <c r="GXM118" s="181"/>
      <c r="GXN118" s="182"/>
      <c r="GXO118" s="181"/>
      <c r="GXP118" s="182"/>
      <c r="GXQ118" s="181"/>
      <c r="GXR118" s="182"/>
      <c r="GXS118" s="181"/>
      <c r="GXT118" s="182"/>
      <c r="GXU118" s="181"/>
      <c r="GXV118" s="182"/>
      <c r="GXW118" s="181"/>
      <c r="GXX118" s="182"/>
      <c r="GXY118" s="181"/>
      <c r="GXZ118" s="182"/>
      <c r="GYA118" s="181"/>
      <c r="GYB118" s="182"/>
      <c r="GYC118" s="181"/>
      <c r="GYD118" s="182"/>
      <c r="GYE118" s="181"/>
      <c r="GYF118" s="182"/>
      <c r="GYG118" s="181"/>
      <c r="GYH118" s="182"/>
      <c r="GYI118" s="181"/>
      <c r="GYJ118" s="182"/>
      <c r="GYK118" s="181"/>
      <c r="GYL118" s="182"/>
      <c r="GYM118" s="181"/>
      <c r="GYN118" s="182"/>
      <c r="GYO118" s="181"/>
      <c r="GYP118" s="182"/>
      <c r="GYQ118" s="181"/>
      <c r="GYR118" s="182"/>
      <c r="GYS118" s="181"/>
      <c r="GYT118" s="182"/>
      <c r="GYU118" s="181"/>
      <c r="GYV118" s="182"/>
      <c r="GYW118" s="181"/>
      <c r="GYX118" s="182"/>
      <c r="GYY118" s="181"/>
      <c r="GYZ118" s="182"/>
      <c r="GZA118" s="181"/>
      <c r="GZB118" s="182"/>
      <c r="GZC118" s="181"/>
      <c r="GZD118" s="182"/>
      <c r="GZE118" s="181"/>
      <c r="GZF118" s="182"/>
      <c r="GZG118" s="181"/>
      <c r="GZH118" s="182"/>
      <c r="GZI118" s="181"/>
      <c r="GZJ118" s="182"/>
      <c r="GZK118" s="181"/>
      <c r="GZL118" s="182"/>
      <c r="GZM118" s="181"/>
      <c r="GZN118" s="182"/>
      <c r="GZO118" s="181"/>
      <c r="GZP118" s="182"/>
      <c r="GZQ118" s="181"/>
      <c r="GZR118" s="182"/>
      <c r="GZS118" s="181"/>
      <c r="GZT118" s="182"/>
      <c r="GZU118" s="181"/>
      <c r="GZV118" s="182"/>
      <c r="GZW118" s="181"/>
      <c r="GZX118" s="182"/>
      <c r="GZY118" s="181"/>
      <c r="GZZ118" s="182"/>
      <c r="HAA118" s="181"/>
      <c r="HAB118" s="182"/>
      <c r="HAC118" s="181"/>
      <c r="HAD118" s="182"/>
      <c r="HAE118" s="181"/>
      <c r="HAF118" s="182"/>
      <c r="HAG118" s="181"/>
      <c r="HAH118" s="182"/>
      <c r="HAI118" s="181"/>
      <c r="HAJ118" s="182"/>
      <c r="HAK118" s="181"/>
      <c r="HAL118" s="182"/>
      <c r="HAM118" s="181"/>
      <c r="HAN118" s="182"/>
      <c r="HAO118" s="181"/>
      <c r="HAP118" s="182"/>
      <c r="HAQ118" s="181"/>
      <c r="HAR118" s="182"/>
      <c r="HAS118" s="181"/>
      <c r="HAT118" s="182"/>
      <c r="HAU118" s="181"/>
      <c r="HAV118" s="182"/>
      <c r="HAW118" s="181"/>
      <c r="HAX118" s="182"/>
      <c r="HAY118" s="181"/>
      <c r="HAZ118" s="182"/>
      <c r="HBA118" s="181"/>
      <c r="HBB118" s="182"/>
      <c r="HBC118" s="181"/>
      <c r="HBD118" s="182"/>
      <c r="HBE118" s="181"/>
      <c r="HBF118" s="182"/>
      <c r="HBG118" s="181"/>
      <c r="HBH118" s="182"/>
      <c r="HBI118" s="181"/>
      <c r="HBJ118" s="182"/>
      <c r="HBK118" s="181"/>
      <c r="HBL118" s="182"/>
      <c r="HBM118" s="181"/>
      <c r="HBN118" s="182"/>
      <c r="HBO118" s="181"/>
      <c r="HBP118" s="182"/>
      <c r="HBQ118" s="181"/>
      <c r="HBR118" s="182"/>
      <c r="HBS118" s="181"/>
      <c r="HBT118" s="182"/>
      <c r="HBU118" s="181"/>
      <c r="HBV118" s="182"/>
      <c r="HBW118" s="181"/>
      <c r="HBX118" s="182"/>
      <c r="HBY118" s="181"/>
      <c r="HBZ118" s="182"/>
      <c r="HCA118" s="181"/>
      <c r="HCB118" s="182"/>
      <c r="HCC118" s="181"/>
      <c r="HCD118" s="182"/>
      <c r="HCE118" s="181"/>
      <c r="HCF118" s="182"/>
      <c r="HCG118" s="181"/>
      <c r="HCH118" s="182"/>
      <c r="HCI118" s="181"/>
      <c r="HCJ118" s="182"/>
      <c r="HCK118" s="181"/>
      <c r="HCL118" s="182"/>
      <c r="HCM118" s="181"/>
      <c r="HCN118" s="182"/>
      <c r="HCO118" s="181"/>
      <c r="HCP118" s="182"/>
      <c r="HCQ118" s="181"/>
      <c r="HCR118" s="182"/>
      <c r="HCS118" s="181"/>
      <c r="HCT118" s="182"/>
      <c r="HCU118" s="181"/>
      <c r="HCV118" s="182"/>
      <c r="HCW118" s="181"/>
      <c r="HCX118" s="182"/>
      <c r="HCY118" s="181"/>
      <c r="HCZ118" s="182"/>
      <c r="HDA118" s="181"/>
      <c r="HDB118" s="182"/>
      <c r="HDC118" s="181"/>
      <c r="HDD118" s="182"/>
      <c r="HDE118" s="181"/>
      <c r="HDF118" s="182"/>
      <c r="HDG118" s="181"/>
      <c r="HDH118" s="182"/>
      <c r="HDI118" s="181"/>
      <c r="HDJ118" s="182"/>
      <c r="HDK118" s="181"/>
      <c r="HDL118" s="182"/>
      <c r="HDM118" s="181"/>
      <c r="HDN118" s="182"/>
      <c r="HDO118" s="181"/>
      <c r="HDP118" s="182"/>
      <c r="HDQ118" s="181"/>
      <c r="HDR118" s="182"/>
      <c r="HDS118" s="181"/>
      <c r="HDT118" s="182"/>
      <c r="HDU118" s="181"/>
      <c r="HDV118" s="182"/>
      <c r="HDW118" s="181"/>
      <c r="HDX118" s="182"/>
      <c r="HDY118" s="181"/>
      <c r="HDZ118" s="182"/>
      <c r="HEA118" s="181"/>
      <c r="HEB118" s="182"/>
      <c r="HEC118" s="181"/>
      <c r="HED118" s="182"/>
      <c r="HEE118" s="181"/>
      <c r="HEF118" s="182"/>
      <c r="HEG118" s="181"/>
      <c r="HEH118" s="182"/>
      <c r="HEI118" s="181"/>
      <c r="HEJ118" s="182"/>
      <c r="HEK118" s="181"/>
      <c r="HEL118" s="182"/>
      <c r="HEM118" s="181"/>
      <c r="HEN118" s="182"/>
      <c r="HEO118" s="181"/>
      <c r="HEP118" s="182"/>
      <c r="HEQ118" s="181"/>
      <c r="HER118" s="182"/>
      <c r="HES118" s="181"/>
      <c r="HET118" s="182"/>
      <c r="HEU118" s="181"/>
      <c r="HEV118" s="182"/>
      <c r="HEW118" s="181"/>
      <c r="HEX118" s="182"/>
      <c r="HEY118" s="181"/>
      <c r="HEZ118" s="182"/>
      <c r="HFA118" s="181"/>
      <c r="HFB118" s="182"/>
      <c r="HFC118" s="181"/>
      <c r="HFD118" s="182"/>
      <c r="HFE118" s="181"/>
      <c r="HFF118" s="182"/>
      <c r="HFG118" s="181"/>
      <c r="HFH118" s="182"/>
      <c r="HFI118" s="181"/>
      <c r="HFJ118" s="182"/>
      <c r="HFK118" s="181"/>
      <c r="HFL118" s="182"/>
      <c r="HFM118" s="181"/>
      <c r="HFN118" s="182"/>
      <c r="HFO118" s="181"/>
      <c r="HFP118" s="182"/>
      <c r="HFQ118" s="181"/>
      <c r="HFR118" s="182"/>
      <c r="HFS118" s="181"/>
      <c r="HFT118" s="182"/>
      <c r="HFU118" s="181"/>
      <c r="HFV118" s="182"/>
      <c r="HFW118" s="181"/>
      <c r="HFX118" s="182"/>
      <c r="HFY118" s="181"/>
      <c r="HFZ118" s="182"/>
      <c r="HGA118" s="181"/>
      <c r="HGB118" s="182"/>
      <c r="HGC118" s="181"/>
      <c r="HGD118" s="182"/>
      <c r="HGE118" s="181"/>
      <c r="HGF118" s="182"/>
      <c r="HGG118" s="181"/>
      <c r="HGH118" s="182"/>
      <c r="HGI118" s="181"/>
      <c r="HGJ118" s="182"/>
      <c r="HGK118" s="181"/>
      <c r="HGL118" s="182"/>
      <c r="HGM118" s="181"/>
      <c r="HGN118" s="182"/>
      <c r="HGO118" s="181"/>
      <c r="HGP118" s="182"/>
      <c r="HGQ118" s="181"/>
      <c r="HGR118" s="182"/>
      <c r="HGS118" s="181"/>
      <c r="HGT118" s="182"/>
      <c r="HGU118" s="181"/>
      <c r="HGV118" s="182"/>
      <c r="HGW118" s="181"/>
      <c r="HGX118" s="182"/>
      <c r="HGY118" s="181"/>
      <c r="HGZ118" s="182"/>
      <c r="HHA118" s="181"/>
      <c r="HHB118" s="182"/>
      <c r="HHC118" s="181"/>
      <c r="HHD118" s="182"/>
      <c r="HHE118" s="181"/>
      <c r="HHF118" s="182"/>
      <c r="HHG118" s="181"/>
      <c r="HHH118" s="182"/>
      <c r="HHI118" s="181"/>
      <c r="HHJ118" s="182"/>
      <c r="HHK118" s="181"/>
      <c r="HHL118" s="182"/>
      <c r="HHM118" s="181"/>
      <c r="HHN118" s="182"/>
      <c r="HHO118" s="181"/>
      <c r="HHP118" s="182"/>
      <c r="HHQ118" s="181"/>
      <c r="HHR118" s="182"/>
      <c r="HHS118" s="181"/>
      <c r="HHT118" s="182"/>
      <c r="HHU118" s="181"/>
      <c r="HHV118" s="182"/>
      <c r="HHW118" s="181"/>
      <c r="HHX118" s="182"/>
      <c r="HHY118" s="181"/>
      <c r="HHZ118" s="182"/>
      <c r="HIA118" s="181"/>
      <c r="HIB118" s="182"/>
      <c r="HIC118" s="181"/>
      <c r="HID118" s="182"/>
      <c r="HIE118" s="181"/>
      <c r="HIF118" s="182"/>
      <c r="HIG118" s="181"/>
      <c r="HIH118" s="182"/>
      <c r="HII118" s="181"/>
      <c r="HIJ118" s="182"/>
      <c r="HIK118" s="181"/>
      <c r="HIL118" s="182"/>
      <c r="HIM118" s="181"/>
      <c r="HIN118" s="182"/>
      <c r="HIO118" s="181"/>
      <c r="HIP118" s="182"/>
      <c r="HIQ118" s="181"/>
      <c r="HIR118" s="182"/>
      <c r="HIS118" s="181"/>
      <c r="HIT118" s="182"/>
      <c r="HIU118" s="181"/>
      <c r="HIV118" s="182"/>
      <c r="HIW118" s="181"/>
      <c r="HIX118" s="182"/>
      <c r="HIY118" s="181"/>
      <c r="HIZ118" s="182"/>
      <c r="HJA118" s="181"/>
      <c r="HJB118" s="182"/>
      <c r="HJC118" s="181"/>
      <c r="HJD118" s="182"/>
      <c r="HJE118" s="181"/>
      <c r="HJF118" s="182"/>
      <c r="HJG118" s="181"/>
      <c r="HJH118" s="182"/>
      <c r="HJI118" s="181"/>
      <c r="HJJ118" s="182"/>
      <c r="HJK118" s="181"/>
      <c r="HJL118" s="182"/>
      <c r="HJM118" s="181"/>
      <c r="HJN118" s="182"/>
      <c r="HJO118" s="181"/>
      <c r="HJP118" s="182"/>
      <c r="HJQ118" s="181"/>
      <c r="HJR118" s="182"/>
      <c r="HJS118" s="181"/>
      <c r="HJT118" s="182"/>
      <c r="HJU118" s="181"/>
      <c r="HJV118" s="182"/>
      <c r="HJW118" s="181"/>
      <c r="HJX118" s="182"/>
      <c r="HJY118" s="181"/>
      <c r="HJZ118" s="182"/>
      <c r="HKA118" s="181"/>
      <c r="HKB118" s="182"/>
      <c r="HKC118" s="181"/>
      <c r="HKD118" s="182"/>
      <c r="HKE118" s="181"/>
      <c r="HKF118" s="182"/>
      <c r="HKG118" s="181"/>
      <c r="HKH118" s="182"/>
      <c r="HKI118" s="181"/>
      <c r="HKJ118" s="182"/>
      <c r="HKK118" s="181"/>
      <c r="HKL118" s="182"/>
      <c r="HKM118" s="181"/>
      <c r="HKN118" s="182"/>
      <c r="HKO118" s="181"/>
      <c r="HKP118" s="182"/>
      <c r="HKQ118" s="181"/>
      <c r="HKR118" s="182"/>
      <c r="HKS118" s="181"/>
      <c r="HKT118" s="182"/>
      <c r="HKU118" s="181"/>
      <c r="HKV118" s="182"/>
      <c r="HKW118" s="181"/>
      <c r="HKX118" s="182"/>
      <c r="HKY118" s="181"/>
      <c r="HKZ118" s="182"/>
      <c r="HLA118" s="181"/>
      <c r="HLB118" s="182"/>
      <c r="HLC118" s="181"/>
      <c r="HLD118" s="182"/>
      <c r="HLE118" s="181"/>
      <c r="HLF118" s="182"/>
      <c r="HLG118" s="181"/>
      <c r="HLH118" s="182"/>
      <c r="HLI118" s="181"/>
      <c r="HLJ118" s="182"/>
      <c r="HLK118" s="181"/>
      <c r="HLL118" s="182"/>
      <c r="HLM118" s="181"/>
      <c r="HLN118" s="182"/>
      <c r="HLO118" s="181"/>
      <c r="HLP118" s="182"/>
      <c r="HLQ118" s="181"/>
      <c r="HLR118" s="182"/>
      <c r="HLS118" s="181"/>
      <c r="HLT118" s="182"/>
      <c r="HLU118" s="181"/>
      <c r="HLV118" s="182"/>
      <c r="HLW118" s="181"/>
      <c r="HLX118" s="182"/>
      <c r="HLY118" s="181"/>
      <c r="HLZ118" s="182"/>
      <c r="HMA118" s="181"/>
      <c r="HMB118" s="182"/>
      <c r="HMC118" s="181"/>
      <c r="HMD118" s="182"/>
      <c r="HME118" s="181"/>
      <c r="HMF118" s="182"/>
      <c r="HMG118" s="181"/>
      <c r="HMH118" s="182"/>
      <c r="HMI118" s="181"/>
      <c r="HMJ118" s="182"/>
      <c r="HMK118" s="181"/>
      <c r="HML118" s="182"/>
      <c r="HMM118" s="181"/>
      <c r="HMN118" s="182"/>
      <c r="HMO118" s="181"/>
      <c r="HMP118" s="182"/>
      <c r="HMQ118" s="181"/>
      <c r="HMR118" s="182"/>
      <c r="HMS118" s="181"/>
      <c r="HMT118" s="182"/>
      <c r="HMU118" s="181"/>
      <c r="HMV118" s="182"/>
      <c r="HMW118" s="181"/>
      <c r="HMX118" s="182"/>
      <c r="HMY118" s="181"/>
      <c r="HMZ118" s="182"/>
      <c r="HNA118" s="181"/>
      <c r="HNB118" s="182"/>
      <c r="HNC118" s="181"/>
      <c r="HND118" s="182"/>
      <c r="HNE118" s="181"/>
      <c r="HNF118" s="182"/>
      <c r="HNG118" s="181"/>
      <c r="HNH118" s="182"/>
      <c r="HNI118" s="181"/>
      <c r="HNJ118" s="182"/>
      <c r="HNK118" s="181"/>
      <c r="HNL118" s="182"/>
      <c r="HNM118" s="181"/>
      <c r="HNN118" s="182"/>
      <c r="HNO118" s="181"/>
      <c r="HNP118" s="182"/>
      <c r="HNQ118" s="181"/>
      <c r="HNR118" s="182"/>
      <c r="HNS118" s="181"/>
      <c r="HNT118" s="182"/>
      <c r="HNU118" s="181"/>
      <c r="HNV118" s="182"/>
      <c r="HNW118" s="181"/>
      <c r="HNX118" s="182"/>
      <c r="HNY118" s="181"/>
      <c r="HNZ118" s="182"/>
      <c r="HOA118" s="181"/>
      <c r="HOB118" s="182"/>
      <c r="HOC118" s="181"/>
      <c r="HOD118" s="182"/>
      <c r="HOE118" s="181"/>
      <c r="HOF118" s="182"/>
      <c r="HOG118" s="181"/>
      <c r="HOH118" s="182"/>
      <c r="HOI118" s="181"/>
      <c r="HOJ118" s="182"/>
      <c r="HOK118" s="181"/>
      <c r="HOL118" s="182"/>
      <c r="HOM118" s="181"/>
      <c r="HON118" s="182"/>
      <c r="HOO118" s="181"/>
      <c r="HOP118" s="182"/>
      <c r="HOQ118" s="181"/>
      <c r="HOR118" s="182"/>
      <c r="HOS118" s="181"/>
      <c r="HOT118" s="182"/>
      <c r="HOU118" s="181"/>
      <c r="HOV118" s="182"/>
      <c r="HOW118" s="181"/>
      <c r="HOX118" s="182"/>
      <c r="HOY118" s="181"/>
      <c r="HOZ118" s="182"/>
      <c r="HPA118" s="181"/>
      <c r="HPB118" s="182"/>
      <c r="HPC118" s="181"/>
      <c r="HPD118" s="182"/>
      <c r="HPE118" s="181"/>
      <c r="HPF118" s="182"/>
      <c r="HPG118" s="181"/>
      <c r="HPH118" s="182"/>
      <c r="HPI118" s="181"/>
      <c r="HPJ118" s="182"/>
      <c r="HPK118" s="181"/>
      <c r="HPL118" s="182"/>
      <c r="HPM118" s="181"/>
      <c r="HPN118" s="182"/>
      <c r="HPO118" s="181"/>
      <c r="HPP118" s="182"/>
      <c r="HPQ118" s="181"/>
      <c r="HPR118" s="182"/>
      <c r="HPS118" s="181"/>
      <c r="HPT118" s="182"/>
      <c r="HPU118" s="181"/>
      <c r="HPV118" s="182"/>
      <c r="HPW118" s="181"/>
      <c r="HPX118" s="182"/>
      <c r="HPY118" s="181"/>
      <c r="HPZ118" s="182"/>
      <c r="HQA118" s="181"/>
      <c r="HQB118" s="182"/>
      <c r="HQC118" s="181"/>
      <c r="HQD118" s="182"/>
      <c r="HQE118" s="181"/>
      <c r="HQF118" s="182"/>
      <c r="HQG118" s="181"/>
      <c r="HQH118" s="182"/>
      <c r="HQI118" s="181"/>
      <c r="HQJ118" s="182"/>
      <c r="HQK118" s="181"/>
      <c r="HQL118" s="182"/>
      <c r="HQM118" s="181"/>
      <c r="HQN118" s="182"/>
      <c r="HQO118" s="181"/>
      <c r="HQP118" s="182"/>
      <c r="HQQ118" s="181"/>
      <c r="HQR118" s="182"/>
      <c r="HQS118" s="181"/>
      <c r="HQT118" s="182"/>
      <c r="HQU118" s="181"/>
      <c r="HQV118" s="182"/>
      <c r="HQW118" s="181"/>
      <c r="HQX118" s="182"/>
      <c r="HQY118" s="181"/>
      <c r="HQZ118" s="182"/>
      <c r="HRA118" s="181"/>
      <c r="HRB118" s="182"/>
      <c r="HRC118" s="181"/>
      <c r="HRD118" s="182"/>
      <c r="HRE118" s="181"/>
      <c r="HRF118" s="182"/>
      <c r="HRG118" s="181"/>
      <c r="HRH118" s="182"/>
      <c r="HRI118" s="181"/>
      <c r="HRJ118" s="182"/>
      <c r="HRK118" s="181"/>
      <c r="HRL118" s="182"/>
      <c r="HRM118" s="181"/>
      <c r="HRN118" s="182"/>
      <c r="HRO118" s="181"/>
      <c r="HRP118" s="182"/>
      <c r="HRQ118" s="181"/>
      <c r="HRR118" s="182"/>
      <c r="HRS118" s="181"/>
      <c r="HRT118" s="182"/>
      <c r="HRU118" s="181"/>
      <c r="HRV118" s="182"/>
      <c r="HRW118" s="181"/>
      <c r="HRX118" s="182"/>
      <c r="HRY118" s="181"/>
      <c r="HRZ118" s="182"/>
      <c r="HSA118" s="181"/>
      <c r="HSB118" s="182"/>
      <c r="HSC118" s="181"/>
      <c r="HSD118" s="182"/>
      <c r="HSE118" s="181"/>
      <c r="HSF118" s="182"/>
      <c r="HSG118" s="181"/>
      <c r="HSH118" s="182"/>
      <c r="HSI118" s="181"/>
      <c r="HSJ118" s="182"/>
      <c r="HSK118" s="181"/>
      <c r="HSL118" s="182"/>
      <c r="HSM118" s="181"/>
      <c r="HSN118" s="182"/>
      <c r="HSO118" s="181"/>
      <c r="HSP118" s="182"/>
      <c r="HSQ118" s="181"/>
      <c r="HSR118" s="182"/>
      <c r="HSS118" s="181"/>
      <c r="HST118" s="182"/>
      <c r="HSU118" s="181"/>
      <c r="HSV118" s="182"/>
      <c r="HSW118" s="181"/>
      <c r="HSX118" s="182"/>
      <c r="HSY118" s="181"/>
      <c r="HSZ118" s="182"/>
      <c r="HTA118" s="181"/>
      <c r="HTB118" s="182"/>
      <c r="HTC118" s="181"/>
      <c r="HTD118" s="182"/>
      <c r="HTE118" s="181"/>
      <c r="HTF118" s="182"/>
      <c r="HTG118" s="181"/>
      <c r="HTH118" s="182"/>
      <c r="HTI118" s="181"/>
      <c r="HTJ118" s="182"/>
      <c r="HTK118" s="181"/>
      <c r="HTL118" s="182"/>
      <c r="HTM118" s="181"/>
      <c r="HTN118" s="182"/>
      <c r="HTO118" s="181"/>
      <c r="HTP118" s="182"/>
      <c r="HTQ118" s="181"/>
      <c r="HTR118" s="182"/>
      <c r="HTS118" s="181"/>
      <c r="HTT118" s="182"/>
      <c r="HTU118" s="181"/>
      <c r="HTV118" s="182"/>
      <c r="HTW118" s="181"/>
      <c r="HTX118" s="182"/>
      <c r="HTY118" s="181"/>
      <c r="HTZ118" s="182"/>
      <c r="HUA118" s="181"/>
      <c r="HUB118" s="182"/>
      <c r="HUC118" s="181"/>
      <c r="HUD118" s="182"/>
      <c r="HUE118" s="181"/>
      <c r="HUF118" s="182"/>
      <c r="HUG118" s="181"/>
      <c r="HUH118" s="182"/>
      <c r="HUI118" s="181"/>
      <c r="HUJ118" s="182"/>
      <c r="HUK118" s="181"/>
      <c r="HUL118" s="182"/>
      <c r="HUM118" s="181"/>
      <c r="HUN118" s="182"/>
      <c r="HUO118" s="181"/>
      <c r="HUP118" s="182"/>
      <c r="HUQ118" s="181"/>
      <c r="HUR118" s="182"/>
      <c r="HUS118" s="181"/>
      <c r="HUT118" s="182"/>
      <c r="HUU118" s="181"/>
      <c r="HUV118" s="182"/>
      <c r="HUW118" s="181"/>
      <c r="HUX118" s="182"/>
      <c r="HUY118" s="181"/>
      <c r="HUZ118" s="182"/>
      <c r="HVA118" s="181"/>
      <c r="HVB118" s="182"/>
      <c r="HVC118" s="181"/>
      <c r="HVD118" s="182"/>
      <c r="HVE118" s="181"/>
      <c r="HVF118" s="182"/>
      <c r="HVG118" s="181"/>
      <c r="HVH118" s="182"/>
      <c r="HVI118" s="181"/>
      <c r="HVJ118" s="182"/>
      <c r="HVK118" s="181"/>
      <c r="HVL118" s="182"/>
      <c r="HVM118" s="181"/>
      <c r="HVN118" s="182"/>
      <c r="HVO118" s="181"/>
      <c r="HVP118" s="182"/>
      <c r="HVQ118" s="181"/>
      <c r="HVR118" s="182"/>
      <c r="HVS118" s="181"/>
      <c r="HVT118" s="182"/>
      <c r="HVU118" s="181"/>
      <c r="HVV118" s="182"/>
      <c r="HVW118" s="181"/>
      <c r="HVX118" s="182"/>
      <c r="HVY118" s="181"/>
      <c r="HVZ118" s="182"/>
      <c r="HWA118" s="181"/>
      <c r="HWB118" s="182"/>
      <c r="HWC118" s="181"/>
      <c r="HWD118" s="182"/>
      <c r="HWE118" s="181"/>
      <c r="HWF118" s="182"/>
      <c r="HWG118" s="181"/>
      <c r="HWH118" s="182"/>
      <c r="HWI118" s="181"/>
      <c r="HWJ118" s="182"/>
      <c r="HWK118" s="181"/>
      <c r="HWL118" s="182"/>
      <c r="HWM118" s="181"/>
      <c r="HWN118" s="182"/>
      <c r="HWO118" s="181"/>
      <c r="HWP118" s="182"/>
      <c r="HWQ118" s="181"/>
      <c r="HWR118" s="182"/>
      <c r="HWS118" s="181"/>
      <c r="HWT118" s="182"/>
      <c r="HWU118" s="181"/>
      <c r="HWV118" s="182"/>
      <c r="HWW118" s="181"/>
      <c r="HWX118" s="182"/>
      <c r="HWY118" s="181"/>
      <c r="HWZ118" s="182"/>
      <c r="HXA118" s="181"/>
      <c r="HXB118" s="182"/>
      <c r="HXC118" s="181"/>
      <c r="HXD118" s="182"/>
      <c r="HXE118" s="181"/>
      <c r="HXF118" s="182"/>
      <c r="HXG118" s="181"/>
      <c r="HXH118" s="182"/>
      <c r="HXI118" s="181"/>
      <c r="HXJ118" s="182"/>
      <c r="HXK118" s="181"/>
      <c r="HXL118" s="182"/>
      <c r="HXM118" s="181"/>
      <c r="HXN118" s="182"/>
      <c r="HXO118" s="181"/>
      <c r="HXP118" s="182"/>
      <c r="HXQ118" s="181"/>
      <c r="HXR118" s="182"/>
      <c r="HXS118" s="181"/>
      <c r="HXT118" s="182"/>
      <c r="HXU118" s="181"/>
      <c r="HXV118" s="182"/>
      <c r="HXW118" s="181"/>
      <c r="HXX118" s="182"/>
      <c r="HXY118" s="181"/>
      <c r="HXZ118" s="182"/>
      <c r="HYA118" s="181"/>
      <c r="HYB118" s="182"/>
      <c r="HYC118" s="181"/>
      <c r="HYD118" s="182"/>
      <c r="HYE118" s="181"/>
      <c r="HYF118" s="182"/>
      <c r="HYG118" s="181"/>
      <c r="HYH118" s="182"/>
      <c r="HYI118" s="181"/>
      <c r="HYJ118" s="182"/>
      <c r="HYK118" s="181"/>
      <c r="HYL118" s="182"/>
      <c r="HYM118" s="181"/>
      <c r="HYN118" s="182"/>
      <c r="HYO118" s="181"/>
      <c r="HYP118" s="182"/>
      <c r="HYQ118" s="181"/>
      <c r="HYR118" s="182"/>
      <c r="HYS118" s="181"/>
      <c r="HYT118" s="182"/>
      <c r="HYU118" s="181"/>
      <c r="HYV118" s="182"/>
      <c r="HYW118" s="181"/>
      <c r="HYX118" s="182"/>
      <c r="HYY118" s="181"/>
      <c r="HYZ118" s="182"/>
      <c r="HZA118" s="181"/>
      <c r="HZB118" s="182"/>
      <c r="HZC118" s="181"/>
      <c r="HZD118" s="182"/>
      <c r="HZE118" s="181"/>
      <c r="HZF118" s="182"/>
      <c r="HZG118" s="181"/>
      <c r="HZH118" s="182"/>
      <c r="HZI118" s="181"/>
      <c r="HZJ118" s="182"/>
      <c r="HZK118" s="181"/>
      <c r="HZL118" s="182"/>
      <c r="HZM118" s="181"/>
      <c r="HZN118" s="182"/>
      <c r="HZO118" s="181"/>
      <c r="HZP118" s="182"/>
      <c r="HZQ118" s="181"/>
      <c r="HZR118" s="182"/>
      <c r="HZS118" s="181"/>
      <c r="HZT118" s="182"/>
      <c r="HZU118" s="181"/>
      <c r="HZV118" s="182"/>
      <c r="HZW118" s="181"/>
      <c r="HZX118" s="182"/>
      <c r="HZY118" s="181"/>
      <c r="HZZ118" s="182"/>
      <c r="IAA118" s="181"/>
      <c r="IAB118" s="182"/>
      <c r="IAC118" s="181"/>
      <c r="IAD118" s="182"/>
      <c r="IAE118" s="181"/>
      <c r="IAF118" s="182"/>
      <c r="IAG118" s="181"/>
      <c r="IAH118" s="182"/>
      <c r="IAI118" s="181"/>
      <c r="IAJ118" s="182"/>
      <c r="IAK118" s="181"/>
      <c r="IAL118" s="182"/>
      <c r="IAM118" s="181"/>
      <c r="IAN118" s="182"/>
      <c r="IAO118" s="181"/>
      <c r="IAP118" s="182"/>
      <c r="IAQ118" s="181"/>
      <c r="IAR118" s="182"/>
      <c r="IAS118" s="181"/>
      <c r="IAT118" s="182"/>
      <c r="IAU118" s="181"/>
      <c r="IAV118" s="182"/>
      <c r="IAW118" s="181"/>
      <c r="IAX118" s="182"/>
      <c r="IAY118" s="181"/>
      <c r="IAZ118" s="182"/>
      <c r="IBA118" s="181"/>
      <c r="IBB118" s="182"/>
      <c r="IBC118" s="181"/>
      <c r="IBD118" s="182"/>
      <c r="IBE118" s="181"/>
      <c r="IBF118" s="182"/>
      <c r="IBG118" s="181"/>
      <c r="IBH118" s="182"/>
      <c r="IBI118" s="181"/>
      <c r="IBJ118" s="182"/>
      <c r="IBK118" s="181"/>
      <c r="IBL118" s="182"/>
      <c r="IBM118" s="181"/>
      <c r="IBN118" s="182"/>
      <c r="IBO118" s="181"/>
      <c r="IBP118" s="182"/>
      <c r="IBQ118" s="181"/>
      <c r="IBR118" s="182"/>
      <c r="IBS118" s="181"/>
      <c r="IBT118" s="182"/>
      <c r="IBU118" s="181"/>
      <c r="IBV118" s="182"/>
      <c r="IBW118" s="181"/>
      <c r="IBX118" s="182"/>
      <c r="IBY118" s="181"/>
      <c r="IBZ118" s="182"/>
      <c r="ICA118" s="181"/>
      <c r="ICB118" s="182"/>
      <c r="ICC118" s="181"/>
      <c r="ICD118" s="182"/>
      <c r="ICE118" s="181"/>
      <c r="ICF118" s="182"/>
      <c r="ICG118" s="181"/>
      <c r="ICH118" s="182"/>
      <c r="ICI118" s="181"/>
      <c r="ICJ118" s="182"/>
      <c r="ICK118" s="181"/>
      <c r="ICL118" s="182"/>
      <c r="ICM118" s="181"/>
      <c r="ICN118" s="182"/>
      <c r="ICO118" s="181"/>
      <c r="ICP118" s="182"/>
      <c r="ICQ118" s="181"/>
      <c r="ICR118" s="182"/>
      <c r="ICS118" s="181"/>
      <c r="ICT118" s="182"/>
      <c r="ICU118" s="181"/>
      <c r="ICV118" s="182"/>
      <c r="ICW118" s="181"/>
      <c r="ICX118" s="182"/>
      <c r="ICY118" s="181"/>
      <c r="ICZ118" s="182"/>
      <c r="IDA118" s="181"/>
      <c r="IDB118" s="182"/>
      <c r="IDC118" s="181"/>
      <c r="IDD118" s="182"/>
      <c r="IDE118" s="181"/>
      <c r="IDF118" s="182"/>
      <c r="IDG118" s="181"/>
      <c r="IDH118" s="182"/>
      <c r="IDI118" s="181"/>
      <c r="IDJ118" s="182"/>
      <c r="IDK118" s="181"/>
      <c r="IDL118" s="182"/>
      <c r="IDM118" s="181"/>
      <c r="IDN118" s="182"/>
      <c r="IDO118" s="181"/>
      <c r="IDP118" s="182"/>
      <c r="IDQ118" s="181"/>
      <c r="IDR118" s="182"/>
      <c r="IDS118" s="181"/>
      <c r="IDT118" s="182"/>
      <c r="IDU118" s="181"/>
      <c r="IDV118" s="182"/>
      <c r="IDW118" s="181"/>
      <c r="IDX118" s="182"/>
      <c r="IDY118" s="181"/>
      <c r="IDZ118" s="182"/>
      <c r="IEA118" s="181"/>
      <c r="IEB118" s="182"/>
      <c r="IEC118" s="181"/>
      <c r="IED118" s="182"/>
      <c r="IEE118" s="181"/>
      <c r="IEF118" s="182"/>
      <c r="IEG118" s="181"/>
      <c r="IEH118" s="182"/>
      <c r="IEI118" s="181"/>
      <c r="IEJ118" s="182"/>
      <c r="IEK118" s="181"/>
      <c r="IEL118" s="182"/>
      <c r="IEM118" s="181"/>
      <c r="IEN118" s="182"/>
      <c r="IEO118" s="181"/>
      <c r="IEP118" s="182"/>
      <c r="IEQ118" s="181"/>
      <c r="IER118" s="182"/>
      <c r="IES118" s="181"/>
      <c r="IET118" s="182"/>
      <c r="IEU118" s="181"/>
      <c r="IEV118" s="182"/>
      <c r="IEW118" s="181"/>
      <c r="IEX118" s="182"/>
      <c r="IEY118" s="181"/>
      <c r="IEZ118" s="182"/>
      <c r="IFA118" s="181"/>
      <c r="IFB118" s="182"/>
      <c r="IFC118" s="181"/>
      <c r="IFD118" s="182"/>
      <c r="IFE118" s="181"/>
      <c r="IFF118" s="182"/>
      <c r="IFG118" s="181"/>
      <c r="IFH118" s="182"/>
      <c r="IFI118" s="181"/>
      <c r="IFJ118" s="182"/>
      <c r="IFK118" s="181"/>
      <c r="IFL118" s="182"/>
      <c r="IFM118" s="181"/>
      <c r="IFN118" s="182"/>
      <c r="IFO118" s="181"/>
      <c r="IFP118" s="182"/>
      <c r="IFQ118" s="181"/>
      <c r="IFR118" s="182"/>
      <c r="IFS118" s="181"/>
      <c r="IFT118" s="182"/>
      <c r="IFU118" s="181"/>
      <c r="IFV118" s="182"/>
      <c r="IFW118" s="181"/>
      <c r="IFX118" s="182"/>
      <c r="IFY118" s="181"/>
      <c r="IFZ118" s="182"/>
      <c r="IGA118" s="181"/>
      <c r="IGB118" s="182"/>
      <c r="IGC118" s="181"/>
      <c r="IGD118" s="182"/>
      <c r="IGE118" s="181"/>
      <c r="IGF118" s="182"/>
      <c r="IGG118" s="181"/>
      <c r="IGH118" s="182"/>
      <c r="IGI118" s="181"/>
      <c r="IGJ118" s="182"/>
      <c r="IGK118" s="181"/>
      <c r="IGL118" s="182"/>
      <c r="IGM118" s="181"/>
      <c r="IGN118" s="182"/>
      <c r="IGO118" s="181"/>
      <c r="IGP118" s="182"/>
      <c r="IGQ118" s="181"/>
      <c r="IGR118" s="182"/>
      <c r="IGS118" s="181"/>
      <c r="IGT118" s="182"/>
      <c r="IGU118" s="181"/>
      <c r="IGV118" s="182"/>
      <c r="IGW118" s="181"/>
      <c r="IGX118" s="182"/>
      <c r="IGY118" s="181"/>
      <c r="IGZ118" s="182"/>
      <c r="IHA118" s="181"/>
      <c r="IHB118" s="182"/>
      <c r="IHC118" s="181"/>
      <c r="IHD118" s="182"/>
      <c r="IHE118" s="181"/>
      <c r="IHF118" s="182"/>
      <c r="IHG118" s="181"/>
      <c r="IHH118" s="182"/>
      <c r="IHI118" s="181"/>
      <c r="IHJ118" s="182"/>
      <c r="IHK118" s="181"/>
      <c r="IHL118" s="182"/>
      <c r="IHM118" s="181"/>
      <c r="IHN118" s="182"/>
      <c r="IHO118" s="181"/>
      <c r="IHP118" s="182"/>
      <c r="IHQ118" s="181"/>
      <c r="IHR118" s="182"/>
      <c r="IHS118" s="181"/>
      <c r="IHT118" s="182"/>
      <c r="IHU118" s="181"/>
      <c r="IHV118" s="182"/>
      <c r="IHW118" s="181"/>
      <c r="IHX118" s="182"/>
      <c r="IHY118" s="181"/>
      <c r="IHZ118" s="182"/>
      <c r="IIA118" s="181"/>
      <c r="IIB118" s="182"/>
      <c r="IIC118" s="181"/>
      <c r="IID118" s="182"/>
      <c r="IIE118" s="181"/>
      <c r="IIF118" s="182"/>
      <c r="IIG118" s="181"/>
      <c r="IIH118" s="182"/>
      <c r="III118" s="181"/>
      <c r="IIJ118" s="182"/>
      <c r="IIK118" s="181"/>
      <c r="IIL118" s="182"/>
      <c r="IIM118" s="181"/>
      <c r="IIN118" s="182"/>
      <c r="IIO118" s="181"/>
      <c r="IIP118" s="182"/>
      <c r="IIQ118" s="181"/>
      <c r="IIR118" s="182"/>
      <c r="IIS118" s="181"/>
      <c r="IIT118" s="182"/>
      <c r="IIU118" s="181"/>
      <c r="IIV118" s="182"/>
      <c r="IIW118" s="181"/>
      <c r="IIX118" s="182"/>
      <c r="IIY118" s="181"/>
      <c r="IIZ118" s="182"/>
      <c r="IJA118" s="181"/>
      <c r="IJB118" s="182"/>
      <c r="IJC118" s="181"/>
      <c r="IJD118" s="182"/>
      <c r="IJE118" s="181"/>
      <c r="IJF118" s="182"/>
      <c r="IJG118" s="181"/>
      <c r="IJH118" s="182"/>
      <c r="IJI118" s="181"/>
      <c r="IJJ118" s="182"/>
      <c r="IJK118" s="181"/>
      <c r="IJL118" s="182"/>
      <c r="IJM118" s="181"/>
      <c r="IJN118" s="182"/>
      <c r="IJO118" s="181"/>
      <c r="IJP118" s="182"/>
      <c r="IJQ118" s="181"/>
      <c r="IJR118" s="182"/>
      <c r="IJS118" s="181"/>
      <c r="IJT118" s="182"/>
      <c r="IJU118" s="181"/>
      <c r="IJV118" s="182"/>
      <c r="IJW118" s="181"/>
      <c r="IJX118" s="182"/>
      <c r="IJY118" s="181"/>
      <c r="IJZ118" s="182"/>
      <c r="IKA118" s="181"/>
      <c r="IKB118" s="182"/>
      <c r="IKC118" s="181"/>
      <c r="IKD118" s="182"/>
      <c r="IKE118" s="181"/>
      <c r="IKF118" s="182"/>
      <c r="IKG118" s="181"/>
      <c r="IKH118" s="182"/>
      <c r="IKI118" s="181"/>
      <c r="IKJ118" s="182"/>
      <c r="IKK118" s="181"/>
      <c r="IKL118" s="182"/>
      <c r="IKM118" s="181"/>
      <c r="IKN118" s="182"/>
      <c r="IKO118" s="181"/>
      <c r="IKP118" s="182"/>
      <c r="IKQ118" s="181"/>
      <c r="IKR118" s="182"/>
      <c r="IKS118" s="181"/>
      <c r="IKT118" s="182"/>
      <c r="IKU118" s="181"/>
      <c r="IKV118" s="182"/>
      <c r="IKW118" s="181"/>
      <c r="IKX118" s="182"/>
      <c r="IKY118" s="181"/>
      <c r="IKZ118" s="182"/>
      <c r="ILA118" s="181"/>
      <c r="ILB118" s="182"/>
      <c r="ILC118" s="181"/>
      <c r="ILD118" s="182"/>
      <c r="ILE118" s="181"/>
      <c r="ILF118" s="182"/>
      <c r="ILG118" s="181"/>
      <c r="ILH118" s="182"/>
      <c r="ILI118" s="181"/>
      <c r="ILJ118" s="182"/>
      <c r="ILK118" s="181"/>
      <c r="ILL118" s="182"/>
      <c r="ILM118" s="181"/>
      <c r="ILN118" s="182"/>
      <c r="ILO118" s="181"/>
      <c r="ILP118" s="182"/>
      <c r="ILQ118" s="181"/>
      <c r="ILR118" s="182"/>
      <c r="ILS118" s="181"/>
      <c r="ILT118" s="182"/>
      <c r="ILU118" s="181"/>
      <c r="ILV118" s="182"/>
      <c r="ILW118" s="181"/>
      <c r="ILX118" s="182"/>
      <c r="ILY118" s="181"/>
      <c r="ILZ118" s="182"/>
      <c r="IMA118" s="181"/>
      <c r="IMB118" s="182"/>
      <c r="IMC118" s="181"/>
      <c r="IMD118" s="182"/>
      <c r="IME118" s="181"/>
      <c r="IMF118" s="182"/>
      <c r="IMG118" s="181"/>
      <c r="IMH118" s="182"/>
      <c r="IMI118" s="181"/>
      <c r="IMJ118" s="182"/>
      <c r="IMK118" s="181"/>
      <c r="IML118" s="182"/>
      <c r="IMM118" s="181"/>
      <c r="IMN118" s="182"/>
      <c r="IMO118" s="181"/>
      <c r="IMP118" s="182"/>
      <c r="IMQ118" s="181"/>
      <c r="IMR118" s="182"/>
      <c r="IMS118" s="181"/>
      <c r="IMT118" s="182"/>
      <c r="IMU118" s="181"/>
      <c r="IMV118" s="182"/>
      <c r="IMW118" s="181"/>
      <c r="IMX118" s="182"/>
      <c r="IMY118" s="181"/>
      <c r="IMZ118" s="182"/>
      <c r="INA118" s="181"/>
      <c r="INB118" s="182"/>
      <c r="INC118" s="181"/>
      <c r="IND118" s="182"/>
      <c r="INE118" s="181"/>
      <c r="INF118" s="182"/>
      <c r="ING118" s="181"/>
      <c r="INH118" s="182"/>
      <c r="INI118" s="181"/>
      <c r="INJ118" s="182"/>
      <c r="INK118" s="181"/>
      <c r="INL118" s="182"/>
      <c r="INM118" s="181"/>
      <c r="INN118" s="182"/>
      <c r="INO118" s="181"/>
      <c r="INP118" s="182"/>
      <c r="INQ118" s="181"/>
      <c r="INR118" s="182"/>
      <c r="INS118" s="181"/>
      <c r="INT118" s="182"/>
      <c r="INU118" s="181"/>
      <c r="INV118" s="182"/>
      <c r="INW118" s="181"/>
      <c r="INX118" s="182"/>
      <c r="INY118" s="181"/>
      <c r="INZ118" s="182"/>
      <c r="IOA118" s="181"/>
      <c r="IOB118" s="182"/>
      <c r="IOC118" s="181"/>
      <c r="IOD118" s="182"/>
      <c r="IOE118" s="181"/>
      <c r="IOF118" s="182"/>
      <c r="IOG118" s="181"/>
      <c r="IOH118" s="182"/>
      <c r="IOI118" s="181"/>
      <c r="IOJ118" s="182"/>
      <c r="IOK118" s="181"/>
      <c r="IOL118" s="182"/>
      <c r="IOM118" s="181"/>
      <c r="ION118" s="182"/>
      <c r="IOO118" s="181"/>
      <c r="IOP118" s="182"/>
      <c r="IOQ118" s="181"/>
      <c r="IOR118" s="182"/>
      <c r="IOS118" s="181"/>
      <c r="IOT118" s="182"/>
      <c r="IOU118" s="181"/>
      <c r="IOV118" s="182"/>
      <c r="IOW118" s="181"/>
      <c r="IOX118" s="182"/>
      <c r="IOY118" s="181"/>
      <c r="IOZ118" s="182"/>
      <c r="IPA118" s="181"/>
      <c r="IPB118" s="182"/>
      <c r="IPC118" s="181"/>
      <c r="IPD118" s="182"/>
      <c r="IPE118" s="181"/>
      <c r="IPF118" s="182"/>
      <c r="IPG118" s="181"/>
      <c r="IPH118" s="182"/>
      <c r="IPI118" s="181"/>
      <c r="IPJ118" s="182"/>
      <c r="IPK118" s="181"/>
      <c r="IPL118" s="182"/>
      <c r="IPM118" s="181"/>
      <c r="IPN118" s="182"/>
      <c r="IPO118" s="181"/>
      <c r="IPP118" s="182"/>
      <c r="IPQ118" s="181"/>
      <c r="IPR118" s="182"/>
      <c r="IPS118" s="181"/>
      <c r="IPT118" s="182"/>
      <c r="IPU118" s="181"/>
      <c r="IPV118" s="182"/>
      <c r="IPW118" s="181"/>
      <c r="IPX118" s="182"/>
      <c r="IPY118" s="181"/>
      <c r="IPZ118" s="182"/>
      <c r="IQA118" s="181"/>
      <c r="IQB118" s="182"/>
      <c r="IQC118" s="181"/>
      <c r="IQD118" s="182"/>
      <c r="IQE118" s="181"/>
      <c r="IQF118" s="182"/>
      <c r="IQG118" s="181"/>
      <c r="IQH118" s="182"/>
      <c r="IQI118" s="181"/>
      <c r="IQJ118" s="182"/>
      <c r="IQK118" s="181"/>
      <c r="IQL118" s="182"/>
      <c r="IQM118" s="181"/>
      <c r="IQN118" s="182"/>
      <c r="IQO118" s="181"/>
      <c r="IQP118" s="182"/>
      <c r="IQQ118" s="181"/>
      <c r="IQR118" s="182"/>
      <c r="IQS118" s="181"/>
      <c r="IQT118" s="182"/>
      <c r="IQU118" s="181"/>
      <c r="IQV118" s="182"/>
      <c r="IQW118" s="181"/>
      <c r="IQX118" s="182"/>
      <c r="IQY118" s="181"/>
      <c r="IQZ118" s="182"/>
      <c r="IRA118" s="181"/>
      <c r="IRB118" s="182"/>
      <c r="IRC118" s="181"/>
      <c r="IRD118" s="182"/>
      <c r="IRE118" s="181"/>
      <c r="IRF118" s="182"/>
      <c r="IRG118" s="181"/>
      <c r="IRH118" s="182"/>
      <c r="IRI118" s="181"/>
      <c r="IRJ118" s="182"/>
      <c r="IRK118" s="181"/>
      <c r="IRL118" s="182"/>
      <c r="IRM118" s="181"/>
      <c r="IRN118" s="182"/>
      <c r="IRO118" s="181"/>
      <c r="IRP118" s="182"/>
      <c r="IRQ118" s="181"/>
      <c r="IRR118" s="182"/>
      <c r="IRS118" s="181"/>
      <c r="IRT118" s="182"/>
      <c r="IRU118" s="181"/>
      <c r="IRV118" s="182"/>
      <c r="IRW118" s="181"/>
      <c r="IRX118" s="182"/>
      <c r="IRY118" s="181"/>
      <c r="IRZ118" s="182"/>
      <c r="ISA118" s="181"/>
      <c r="ISB118" s="182"/>
      <c r="ISC118" s="181"/>
      <c r="ISD118" s="182"/>
      <c r="ISE118" s="181"/>
      <c r="ISF118" s="182"/>
      <c r="ISG118" s="181"/>
      <c r="ISH118" s="182"/>
      <c r="ISI118" s="181"/>
      <c r="ISJ118" s="182"/>
      <c r="ISK118" s="181"/>
      <c r="ISL118" s="182"/>
      <c r="ISM118" s="181"/>
      <c r="ISN118" s="182"/>
      <c r="ISO118" s="181"/>
      <c r="ISP118" s="182"/>
      <c r="ISQ118" s="181"/>
      <c r="ISR118" s="182"/>
      <c r="ISS118" s="181"/>
      <c r="IST118" s="182"/>
      <c r="ISU118" s="181"/>
      <c r="ISV118" s="182"/>
      <c r="ISW118" s="181"/>
      <c r="ISX118" s="182"/>
      <c r="ISY118" s="181"/>
      <c r="ISZ118" s="182"/>
      <c r="ITA118" s="181"/>
      <c r="ITB118" s="182"/>
      <c r="ITC118" s="181"/>
      <c r="ITD118" s="182"/>
      <c r="ITE118" s="181"/>
      <c r="ITF118" s="182"/>
      <c r="ITG118" s="181"/>
      <c r="ITH118" s="182"/>
      <c r="ITI118" s="181"/>
      <c r="ITJ118" s="182"/>
      <c r="ITK118" s="181"/>
      <c r="ITL118" s="182"/>
      <c r="ITM118" s="181"/>
      <c r="ITN118" s="182"/>
      <c r="ITO118" s="181"/>
      <c r="ITP118" s="182"/>
      <c r="ITQ118" s="181"/>
      <c r="ITR118" s="182"/>
      <c r="ITS118" s="181"/>
      <c r="ITT118" s="182"/>
      <c r="ITU118" s="181"/>
      <c r="ITV118" s="182"/>
      <c r="ITW118" s="181"/>
      <c r="ITX118" s="182"/>
      <c r="ITY118" s="181"/>
      <c r="ITZ118" s="182"/>
      <c r="IUA118" s="181"/>
      <c r="IUB118" s="182"/>
      <c r="IUC118" s="181"/>
      <c r="IUD118" s="182"/>
      <c r="IUE118" s="181"/>
      <c r="IUF118" s="182"/>
      <c r="IUG118" s="181"/>
      <c r="IUH118" s="182"/>
      <c r="IUI118" s="181"/>
      <c r="IUJ118" s="182"/>
      <c r="IUK118" s="181"/>
      <c r="IUL118" s="182"/>
      <c r="IUM118" s="181"/>
      <c r="IUN118" s="182"/>
      <c r="IUO118" s="181"/>
      <c r="IUP118" s="182"/>
      <c r="IUQ118" s="181"/>
      <c r="IUR118" s="182"/>
      <c r="IUS118" s="181"/>
      <c r="IUT118" s="182"/>
      <c r="IUU118" s="181"/>
      <c r="IUV118" s="182"/>
      <c r="IUW118" s="181"/>
      <c r="IUX118" s="182"/>
      <c r="IUY118" s="181"/>
      <c r="IUZ118" s="182"/>
      <c r="IVA118" s="181"/>
      <c r="IVB118" s="182"/>
      <c r="IVC118" s="181"/>
      <c r="IVD118" s="182"/>
      <c r="IVE118" s="181"/>
      <c r="IVF118" s="182"/>
      <c r="IVG118" s="181"/>
      <c r="IVH118" s="182"/>
      <c r="IVI118" s="181"/>
      <c r="IVJ118" s="182"/>
      <c r="IVK118" s="181"/>
      <c r="IVL118" s="182"/>
      <c r="IVM118" s="181"/>
      <c r="IVN118" s="182"/>
      <c r="IVO118" s="181"/>
      <c r="IVP118" s="182"/>
      <c r="IVQ118" s="181"/>
      <c r="IVR118" s="182"/>
      <c r="IVS118" s="181"/>
      <c r="IVT118" s="182"/>
      <c r="IVU118" s="181"/>
      <c r="IVV118" s="182"/>
      <c r="IVW118" s="181"/>
      <c r="IVX118" s="182"/>
      <c r="IVY118" s="181"/>
      <c r="IVZ118" s="182"/>
      <c r="IWA118" s="181"/>
      <c r="IWB118" s="182"/>
      <c r="IWC118" s="181"/>
      <c r="IWD118" s="182"/>
      <c r="IWE118" s="181"/>
      <c r="IWF118" s="182"/>
      <c r="IWG118" s="181"/>
      <c r="IWH118" s="182"/>
      <c r="IWI118" s="181"/>
      <c r="IWJ118" s="182"/>
      <c r="IWK118" s="181"/>
      <c r="IWL118" s="182"/>
      <c r="IWM118" s="181"/>
      <c r="IWN118" s="182"/>
      <c r="IWO118" s="181"/>
      <c r="IWP118" s="182"/>
      <c r="IWQ118" s="181"/>
      <c r="IWR118" s="182"/>
      <c r="IWS118" s="181"/>
      <c r="IWT118" s="182"/>
      <c r="IWU118" s="181"/>
      <c r="IWV118" s="182"/>
      <c r="IWW118" s="181"/>
      <c r="IWX118" s="182"/>
      <c r="IWY118" s="181"/>
      <c r="IWZ118" s="182"/>
      <c r="IXA118" s="181"/>
      <c r="IXB118" s="182"/>
      <c r="IXC118" s="181"/>
      <c r="IXD118" s="182"/>
      <c r="IXE118" s="181"/>
      <c r="IXF118" s="182"/>
      <c r="IXG118" s="181"/>
      <c r="IXH118" s="182"/>
      <c r="IXI118" s="181"/>
      <c r="IXJ118" s="182"/>
      <c r="IXK118" s="181"/>
      <c r="IXL118" s="182"/>
      <c r="IXM118" s="181"/>
      <c r="IXN118" s="182"/>
      <c r="IXO118" s="181"/>
      <c r="IXP118" s="182"/>
      <c r="IXQ118" s="181"/>
      <c r="IXR118" s="182"/>
      <c r="IXS118" s="181"/>
      <c r="IXT118" s="182"/>
      <c r="IXU118" s="181"/>
      <c r="IXV118" s="182"/>
      <c r="IXW118" s="181"/>
      <c r="IXX118" s="182"/>
      <c r="IXY118" s="181"/>
      <c r="IXZ118" s="182"/>
      <c r="IYA118" s="181"/>
      <c r="IYB118" s="182"/>
      <c r="IYC118" s="181"/>
      <c r="IYD118" s="182"/>
      <c r="IYE118" s="181"/>
      <c r="IYF118" s="182"/>
      <c r="IYG118" s="181"/>
      <c r="IYH118" s="182"/>
      <c r="IYI118" s="181"/>
      <c r="IYJ118" s="182"/>
      <c r="IYK118" s="181"/>
      <c r="IYL118" s="182"/>
      <c r="IYM118" s="181"/>
      <c r="IYN118" s="182"/>
      <c r="IYO118" s="181"/>
      <c r="IYP118" s="182"/>
      <c r="IYQ118" s="181"/>
      <c r="IYR118" s="182"/>
      <c r="IYS118" s="181"/>
      <c r="IYT118" s="182"/>
      <c r="IYU118" s="181"/>
      <c r="IYV118" s="182"/>
      <c r="IYW118" s="181"/>
      <c r="IYX118" s="182"/>
      <c r="IYY118" s="181"/>
      <c r="IYZ118" s="182"/>
      <c r="IZA118" s="181"/>
      <c r="IZB118" s="182"/>
      <c r="IZC118" s="181"/>
      <c r="IZD118" s="182"/>
      <c r="IZE118" s="181"/>
      <c r="IZF118" s="182"/>
      <c r="IZG118" s="181"/>
      <c r="IZH118" s="182"/>
      <c r="IZI118" s="181"/>
      <c r="IZJ118" s="182"/>
      <c r="IZK118" s="181"/>
      <c r="IZL118" s="182"/>
      <c r="IZM118" s="181"/>
      <c r="IZN118" s="182"/>
      <c r="IZO118" s="181"/>
      <c r="IZP118" s="182"/>
      <c r="IZQ118" s="181"/>
      <c r="IZR118" s="182"/>
      <c r="IZS118" s="181"/>
      <c r="IZT118" s="182"/>
      <c r="IZU118" s="181"/>
      <c r="IZV118" s="182"/>
      <c r="IZW118" s="181"/>
      <c r="IZX118" s="182"/>
      <c r="IZY118" s="181"/>
      <c r="IZZ118" s="182"/>
      <c r="JAA118" s="181"/>
      <c r="JAB118" s="182"/>
      <c r="JAC118" s="181"/>
      <c r="JAD118" s="182"/>
      <c r="JAE118" s="181"/>
      <c r="JAF118" s="182"/>
      <c r="JAG118" s="181"/>
      <c r="JAH118" s="182"/>
      <c r="JAI118" s="181"/>
      <c r="JAJ118" s="182"/>
      <c r="JAK118" s="181"/>
      <c r="JAL118" s="182"/>
      <c r="JAM118" s="181"/>
      <c r="JAN118" s="182"/>
      <c r="JAO118" s="181"/>
      <c r="JAP118" s="182"/>
      <c r="JAQ118" s="181"/>
      <c r="JAR118" s="182"/>
      <c r="JAS118" s="181"/>
      <c r="JAT118" s="182"/>
      <c r="JAU118" s="181"/>
      <c r="JAV118" s="182"/>
      <c r="JAW118" s="181"/>
      <c r="JAX118" s="182"/>
      <c r="JAY118" s="181"/>
      <c r="JAZ118" s="182"/>
      <c r="JBA118" s="181"/>
      <c r="JBB118" s="182"/>
      <c r="JBC118" s="181"/>
      <c r="JBD118" s="182"/>
      <c r="JBE118" s="181"/>
      <c r="JBF118" s="182"/>
      <c r="JBG118" s="181"/>
      <c r="JBH118" s="182"/>
      <c r="JBI118" s="181"/>
      <c r="JBJ118" s="182"/>
      <c r="JBK118" s="181"/>
      <c r="JBL118" s="182"/>
      <c r="JBM118" s="181"/>
      <c r="JBN118" s="182"/>
      <c r="JBO118" s="181"/>
      <c r="JBP118" s="182"/>
      <c r="JBQ118" s="181"/>
      <c r="JBR118" s="182"/>
      <c r="JBS118" s="181"/>
      <c r="JBT118" s="182"/>
      <c r="JBU118" s="181"/>
      <c r="JBV118" s="182"/>
      <c r="JBW118" s="181"/>
      <c r="JBX118" s="182"/>
      <c r="JBY118" s="181"/>
      <c r="JBZ118" s="182"/>
      <c r="JCA118" s="181"/>
      <c r="JCB118" s="182"/>
      <c r="JCC118" s="181"/>
      <c r="JCD118" s="182"/>
      <c r="JCE118" s="181"/>
      <c r="JCF118" s="182"/>
      <c r="JCG118" s="181"/>
      <c r="JCH118" s="182"/>
      <c r="JCI118" s="181"/>
      <c r="JCJ118" s="182"/>
      <c r="JCK118" s="181"/>
      <c r="JCL118" s="182"/>
      <c r="JCM118" s="181"/>
      <c r="JCN118" s="182"/>
      <c r="JCO118" s="181"/>
      <c r="JCP118" s="182"/>
      <c r="JCQ118" s="181"/>
      <c r="JCR118" s="182"/>
      <c r="JCS118" s="181"/>
      <c r="JCT118" s="182"/>
      <c r="JCU118" s="181"/>
      <c r="JCV118" s="182"/>
      <c r="JCW118" s="181"/>
      <c r="JCX118" s="182"/>
      <c r="JCY118" s="181"/>
      <c r="JCZ118" s="182"/>
      <c r="JDA118" s="181"/>
      <c r="JDB118" s="182"/>
      <c r="JDC118" s="181"/>
      <c r="JDD118" s="182"/>
      <c r="JDE118" s="181"/>
      <c r="JDF118" s="182"/>
      <c r="JDG118" s="181"/>
      <c r="JDH118" s="182"/>
      <c r="JDI118" s="181"/>
      <c r="JDJ118" s="182"/>
      <c r="JDK118" s="181"/>
      <c r="JDL118" s="182"/>
      <c r="JDM118" s="181"/>
      <c r="JDN118" s="182"/>
      <c r="JDO118" s="181"/>
      <c r="JDP118" s="182"/>
      <c r="JDQ118" s="181"/>
      <c r="JDR118" s="182"/>
      <c r="JDS118" s="181"/>
      <c r="JDT118" s="182"/>
      <c r="JDU118" s="181"/>
      <c r="JDV118" s="182"/>
      <c r="JDW118" s="181"/>
      <c r="JDX118" s="182"/>
      <c r="JDY118" s="181"/>
      <c r="JDZ118" s="182"/>
      <c r="JEA118" s="181"/>
      <c r="JEB118" s="182"/>
      <c r="JEC118" s="181"/>
      <c r="JED118" s="182"/>
      <c r="JEE118" s="181"/>
      <c r="JEF118" s="182"/>
      <c r="JEG118" s="181"/>
      <c r="JEH118" s="182"/>
      <c r="JEI118" s="181"/>
      <c r="JEJ118" s="182"/>
      <c r="JEK118" s="181"/>
      <c r="JEL118" s="182"/>
      <c r="JEM118" s="181"/>
      <c r="JEN118" s="182"/>
      <c r="JEO118" s="181"/>
      <c r="JEP118" s="182"/>
      <c r="JEQ118" s="181"/>
      <c r="JER118" s="182"/>
      <c r="JES118" s="181"/>
      <c r="JET118" s="182"/>
      <c r="JEU118" s="181"/>
      <c r="JEV118" s="182"/>
      <c r="JEW118" s="181"/>
      <c r="JEX118" s="182"/>
      <c r="JEY118" s="181"/>
      <c r="JEZ118" s="182"/>
      <c r="JFA118" s="181"/>
      <c r="JFB118" s="182"/>
      <c r="JFC118" s="181"/>
      <c r="JFD118" s="182"/>
      <c r="JFE118" s="181"/>
      <c r="JFF118" s="182"/>
      <c r="JFG118" s="181"/>
      <c r="JFH118" s="182"/>
      <c r="JFI118" s="181"/>
      <c r="JFJ118" s="182"/>
      <c r="JFK118" s="181"/>
      <c r="JFL118" s="182"/>
      <c r="JFM118" s="181"/>
      <c r="JFN118" s="182"/>
      <c r="JFO118" s="181"/>
      <c r="JFP118" s="182"/>
      <c r="JFQ118" s="181"/>
      <c r="JFR118" s="182"/>
      <c r="JFS118" s="181"/>
      <c r="JFT118" s="182"/>
      <c r="JFU118" s="181"/>
      <c r="JFV118" s="182"/>
      <c r="JFW118" s="181"/>
      <c r="JFX118" s="182"/>
      <c r="JFY118" s="181"/>
      <c r="JFZ118" s="182"/>
      <c r="JGA118" s="181"/>
      <c r="JGB118" s="182"/>
      <c r="JGC118" s="181"/>
      <c r="JGD118" s="182"/>
      <c r="JGE118" s="181"/>
      <c r="JGF118" s="182"/>
      <c r="JGG118" s="181"/>
      <c r="JGH118" s="182"/>
      <c r="JGI118" s="181"/>
      <c r="JGJ118" s="182"/>
      <c r="JGK118" s="181"/>
      <c r="JGL118" s="182"/>
      <c r="JGM118" s="181"/>
      <c r="JGN118" s="182"/>
      <c r="JGO118" s="181"/>
      <c r="JGP118" s="182"/>
      <c r="JGQ118" s="181"/>
      <c r="JGR118" s="182"/>
      <c r="JGS118" s="181"/>
      <c r="JGT118" s="182"/>
      <c r="JGU118" s="181"/>
      <c r="JGV118" s="182"/>
      <c r="JGW118" s="181"/>
      <c r="JGX118" s="182"/>
      <c r="JGY118" s="181"/>
      <c r="JGZ118" s="182"/>
      <c r="JHA118" s="181"/>
      <c r="JHB118" s="182"/>
      <c r="JHC118" s="181"/>
      <c r="JHD118" s="182"/>
      <c r="JHE118" s="181"/>
      <c r="JHF118" s="182"/>
      <c r="JHG118" s="181"/>
      <c r="JHH118" s="182"/>
      <c r="JHI118" s="181"/>
      <c r="JHJ118" s="182"/>
      <c r="JHK118" s="181"/>
      <c r="JHL118" s="182"/>
      <c r="JHM118" s="181"/>
      <c r="JHN118" s="182"/>
      <c r="JHO118" s="181"/>
      <c r="JHP118" s="182"/>
      <c r="JHQ118" s="181"/>
      <c r="JHR118" s="182"/>
      <c r="JHS118" s="181"/>
      <c r="JHT118" s="182"/>
      <c r="JHU118" s="181"/>
      <c r="JHV118" s="182"/>
      <c r="JHW118" s="181"/>
      <c r="JHX118" s="182"/>
      <c r="JHY118" s="181"/>
      <c r="JHZ118" s="182"/>
      <c r="JIA118" s="181"/>
      <c r="JIB118" s="182"/>
      <c r="JIC118" s="181"/>
      <c r="JID118" s="182"/>
      <c r="JIE118" s="181"/>
      <c r="JIF118" s="182"/>
      <c r="JIG118" s="181"/>
      <c r="JIH118" s="182"/>
      <c r="JII118" s="181"/>
      <c r="JIJ118" s="182"/>
      <c r="JIK118" s="181"/>
      <c r="JIL118" s="182"/>
      <c r="JIM118" s="181"/>
      <c r="JIN118" s="182"/>
      <c r="JIO118" s="181"/>
      <c r="JIP118" s="182"/>
      <c r="JIQ118" s="181"/>
      <c r="JIR118" s="182"/>
      <c r="JIS118" s="181"/>
      <c r="JIT118" s="182"/>
      <c r="JIU118" s="181"/>
      <c r="JIV118" s="182"/>
      <c r="JIW118" s="181"/>
      <c r="JIX118" s="182"/>
      <c r="JIY118" s="181"/>
      <c r="JIZ118" s="182"/>
      <c r="JJA118" s="181"/>
      <c r="JJB118" s="182"/>
      <c r="JJC118" s="181"/>
      <c r="JJD118" s="182"/>
      <c r="JJE118" s="181"/>
      <c r="JJF118" s="182"/>
      <c r="JJG118" s="181"/>
      <c r="JJH118" s="182"/>
      <c r="JJI118" s="181"/>
      <c r="JJJ118" s="182"/>
      <c r="JJK118" s="181"/>
      <c r="JJL118" s="182"/>
      <c r="JJM118" s="181"/>
      <c r="JJN118" s="182"/>
      <c r="JJO118" s="181"/>
      <c r="JJP118" s="182"/>
      <c r="JJQ118" s="181"/>
      <c r="JJR118" s="182"/>
      <c r="JJS118" s="181"/>
      <c r="JJT118" s="182"/>
      <c r="JJU118" s="181"/>
      <c r="JJV118" s="182"/>
      <c r="JJW118" s="181"/>
      <c r="JJX118" s="182"/>
      <c r="JJY118" s="181"/>
      <c r="JJZ118" s="182"/>
      <c r="JKA118" s="181"/>
      <c r="JKB118" s="182"/>
      <c r="JKC118" s="181"/>
      <c r="JKD118" s="182"/>
      <c r="JKE118" s="181"/>
      <c r="JKF118" s="182"/>
      <c r="JKG118" s="181"/>
      <c r="JKH118" s="182"/>
      <c r="JKI118" s="181"/>
      <c r="JKJ118" s="182"/>
      <c r="JKK118" s="181"/>
      <c r="JKL118" s="182"/>
      <c r="JKM118" s="181"/>
      <c r="JKN118" s="182"/>
      <c r="JKO118" s="181"/>
      <c r="JKP118" s="182"/>
      <c r="JKQ118" s="181"/>
      <c r="JKR118" s="182"/>
      <c r="JKS118" s="181"/>
      <c r="JKT118" s="182"/>
      <c r="JKU118" s="181"/>
      <c r="JKV118" s="182"/>
      <c r="JKW118" s="181"/>
      <c r="JKX118" s="182"/>
      <c r="JKY118" s="181"/>
      <c r="JKZ118" s="182"/>
      <c r="JLA118" s="181"/>
      <c r="JLB118" s="182"/>
      <c r="JLC118" s="181"/>
      <c r="JLD118" s="182"/>
      <c r="JLE118" s="181"/>
      <c r="JLF118" s="182"/>
      <c r="JLG118" s="181"/>
      <c r="JLH118" s="182"/>
      <c r="JLI118" s="181"/>
      <c r="JLJ118" s="182"/>
      <c r="JLK118" s="181"/>
      <c r="JLL118" s="182"/>
      <c r="JLM118" s="181"/>
      <c r="JLN118" s="182"/>
      <c r="JLO118" s="181"/>
      <c r="JLP118" s="182"/>
      <c r="JLQ118" s="181"/>
      <c r="JLR118" s="182"/>
      <c r="JLS118" s="181"/>
      <c r="JLT118" s="182"/>
      <c r="JLU118" s="181"/>
      <c r="JLV118" s="182"/>
      <c r="JLW118" s="181"/>
      <c r="JLX118" s="182"/>
      <c r="JLY118" s="181"/>
      <c r="JLZ118" s="182"/>
      <c r="JMA118" s="181"/>
      <c r="JMB118" s="182"/>
      <c r="JMC118" s="181"/>
      <c r="JMD118" s="182"/>
      <c r="JME118" s="181"/>
      <c r="JMF118" s="182"/>
      <c r="JMG118" s="181"/>
      <c r="JMH118" s="182"/>
      <c r="JMI118" s="181"/>
      <c r="JMJ118" s="182"/>
      <c r="JMK118" s="181"/>
      <c r="JML118" s="182"/>
      <c r="JMM118" s="181"/>
      <c r="JMN118" s="182"/>
      <c r="JMO118" s="181"/>
      <c r="JMP118" s="182"/>
      <c r="JMQ118" s="181"/>
      <c r="JMR118" s="182"/>
      <c r="JMS118" s="181"/>
      <c r="JMT118" s="182"/>
      <c r="JMU118" s="181"/>
      <c r="JMV118" s="182"/>
      <c r="JMW118" s="181"/>
      <c r="JMX118" s="182"/>
      <c r="JMY118" s="181"/>
      <c r="JMZ118" s="182"/>
      <c r="JNA118" s="181"/>
      <c r="JNB118" s="182"/>
      <c r="JNC118" s="181"/>
      <c r="JND118" s="182"/>
      <c r="JNE118" s="181"/>
      <c r="JNF118" s="182"/>
      <c r="JNG118" s="181"/>
      <c r="JNH118" s="182"/>
      <c r="JNI118" s="181"/>
      <c r="JNJ118" s="182"/>
      <c r="JNK118" s="181"/>
      <c r="JNL118" s="182"/>
      <c r="JNM118" s="181"/>
      <c r="JNN118" s="182"/>
      <c r="JNO118" s="181"/>
      <c r="JNP118" s="182"/>
      <c r="JNQ118" s="181"/>
      <c r="JNR118" s="182"/>
      <c r="JNS118" s="181"/>
      <c r="JNT118" s="182"/>
      <c r="JNU118" s="181"/>
      <c r="JNV118" s="182"/>
      <c r="JNW118" s="181"/>
      <c r="JNX118" s="182"/>
      <c r="JNY118" s="181"/>
      <c r="JNZ118" s="182"/>
      <c r="JOA118" s="181"/>
      <c r="JOB118" s="182"/>
      <c r="JOC118" s="181"/>
      <c r="JOD118" s="182"/>
      <c r="JOE118" s="181"/>
      <c r="JOF118" s="182"/>
      <c r="JOG118" s="181"/>
      <c r="JOH118" s="182"/>
      <c r="JOI118" s="181"/>
      <c r="JOJ118" s="182"/>
      <c r="JOK118" s="181"/>
      <c r="JOL118" s="182"/>
      <c r="JOM118" s="181"/>
      <c r="JON118" s="182"/>
      <c r="JOO118" s="181"/>
      <c r="JOP118" s="182"/>
      <c r="JOQ118" s="181"/>
      <c r="JOR118" s="182"/>
      <c r="JOS118" s="181"/>
      <c r="JOT118" s="182"/>
      <c r="JOU118" s="181"/>
      <c r="JOV118" s="182"/>
      <c r="JOW118" s="181"/>
      <c r="JOX118" s="182"/>
      <c r="JOY118" s="181"/>
      <c r="JOZ118" s="182"/>
      <c r="JPA118" s="181"/>
      <c r="JPB118" s="182"/>
      <c r="JPC118" s="181"/>
      <c r="JPD118" s="182"/>
      <c r="JPE118" s="181"/>
      <c r="JPF118" s="182"/>
      <c r="JPG118" s="181"/>
      <c r="JPH118" s="182"/>
      <c r="JPI118" s="181"/>
      <c r="JPJ118" s="182"/>
      <c r="JPK118" s="181"/>
      <c r="JPL118" s="182"/>
      <c r="JPM118" s="181"/>
      <c r="JPN118" s="182"/>
      <c r="JPO118" s="181"/>
      <c r="JPP118" s="182"/>
      <c r="JPQ118" s="181"/>
      <c r="JPR118" s="182"/>
      <c r="JPS118" s="181"/>
      <c r="JPT118" s="182"/>
      <c r="JPU118" s="181"/>
      <c r="JPV118" s="182"/>
      <c r="JPW118" s="181"/>
      <c r="JPX118" s="182"/>
      <c r="JPY118" s="181"/>
      <c r="JPZ118" s="182"/>
      <c r="JQA118" s="181"/>
      <c r="JQB118" s="182"/>
      <c r="JQC118" s="181"/>
      <c r="JQD118" s="182"/>
      <c r="JQE118" s="181"/>
      <c r="JQF118" s="182"/>
      <c r="JQG118" s="181"/>
      <c r="JQH118" s="182"/>
      <c r="JQI118" s="181"/>
      <c r="JQJ118" s="182"/>
      <c r="JQK118" s="181"/>
      <c r="JQL118" s="182"/>
      <c r="JQM118" s="181"/>
      <c r="JQN118" s="182"/>
      <c r="JQO118" s="181"/>
      <c r="JQP118" s="182"/>
      <c r="JQQ118" s="181"/>
      <c r="JQR118" s="182"/>
      <c r="JQS118" s="181"/>
      <c r="JQT118" s="182"/>
      <c r="JQU118" s="181"/>
      <c r="JQV118" s="182"/>
      <c r="JQW118" s="181"/>
      <c r="JQX118" s="182"/>
      <c r="JQY118" s="181"/>
      <c r="JQZ118" s="182"/>
      <c r="JRA118" s="181"/>
      <c r="JRB118" s="182"/>
      <c r="JRC118" s="181"/>
      <c r="JRD118" s="182"/>
      <c r="JRE118" s="181"/>
      <c r="JRF118" s="182"/>
      <c r="JRG118" s="181"/>
      <c r="JRH118" s="182"/>
      <c r="JRI118" s="181"/>
      <c r="JRJ118" s="182"/>
      <c r="JRK118" s="181"/>
      <c r="JRL118" s="182"/>
      <c r="JRM118" s="181"/>
      <c r="JRN118" s="182"/>
      <c r="JRO118" s="181"/>
      <c r="JRP118" s="182"/>
      <c r="JRQ118" s="181"/>
      <c r="JRR118" s="182"/>
      <c r="JRS118" s="181"/>
      <c r="JRT118" s="182"/>
      <c r="JRU118" s="181"/>
      <c r="JRV118" s="182"/>
      <c r="JRW118" s="181"/>
      <c r="JRX118" s="182"/>
      <c r="JRY118" s="181"/>
      <c r="JRZ118" s="182"/>
      <c r="JSA118" s="181"/>
      <c r="JSB118" s="182"/>
      <c r="JSC118" s="181"/>
      <c r="JSD118" s="182"/>
      <c r="JSE118" s="181"/>
      <c r="JSF118" s="182"/>
      <c r="JSG118" s="181"/>
      <c r="JSH118" s="182"/>
      <c r="JSI118" s="181"/>
      <c r="JSJ118" s="182"/>
      <c r="JSK118" s="181"/>
      <c r="JSL118" s="182"/>
      <c r="JSM118" s="181"/>
      <c r="JSN118" s="182"/>
      <c r="JSO118" s="181"/>
      <c r="JSP118" s="182"/>
      <c r="JSQ118" s="181"/>
      <c r="JSR118" s="182"/>
      <c r="JSS118" s="181"/>
      <c r="JST118" s="182"/>
      <c r="JSU118" s="181"/>
      <c r="JSV118" s="182"/>
      <c r="JSW118" s="181"/>
      <c r="JSX118" s="182"/>
      <c r="JSY118" s="181"/>
      <c r="JSZ118" s="182"/>
      <c r="JTA118" s="181"/>
      <c r="JTB118" s="182"/>
      <c r="JTC118" s="181"/>
      <c r="JTD118" s="182"/>
      <c r="JTE118" s="181"/>
      <c r="JTF118" s="182"/>
      <c r="JTG118" s="181"/>
      <c r="JTH118" s="182"/>
      <c r="JTI118" s="181"/>
      <c r="JTJ118" s="182"/>
      <c r="JTK118" s="181"/>
      <c r="JTL118" s="182"/>
      <c r="JTM118" s="181"/>
      <c r="JTN118" s="182"/>
      <c r="JTO118" s="181"/>
      <c r="JTP118" s="182"/>
      <c r="JTQ118" s="181"/>
      <c r="JTR118" s="182"/>
      <c r="JTS118" s="181"/>
      <c r="JTT118" s="182"/>
      <c r="JTU118" s="181"/>
      <c r="JTV118" s="182"/>
      <c r="JTW118" s="181"/>
      <c r="JTX118" s="182"/>
      <c r="JTY118" s="181"/>
      <c r="JTZ118" s="182"/>
      <c r="JUA118" s="181"/>
      <c r="JUB118" s="182"/>
      <c r="JUC118" s="181"/>
      <c r="JUD118" s="182"/>
      <c r="JUE118" s="181"/>
      <c r="JUF118" s="182"/>
      <c r="JUG118" s="181"/>
      <c r="JUH118" s="182"/>
      <c r="JUI118" s="181"/>
      <c r="JUJ118" s="182"/>
      <c r="JUK118" s="181"/>
      <c r="JUL118" s="182"/>
      <c r="JUM118" s="181"/>
      <c r="JUN118" s="182"/>
      <c r="JUO118" s="181"/>
      <c r="JUP118" s="182"/>
      <c r="JUQ118" s="181"/>
      <c r="JUR118" s="182"/>
      <c r="JUS118" s="181"/>
      <c r="JUT118" s="182"/>
      <c r="JUU118" s="181"/>
      <c r="JUV118" s="182"/>
      <c r="JUW118" s="181"/>
      <c r="JUX118" s="182"/>
      <c r="JUY118" s="181"/>
      <c r="JUZ118" s="182"/>
      <c r="JVA118" s="181"/>
      <c r="JVB118" s="182"/>
      <c r="JVC118" s="181"/>
      <c r="JVD118" s="182"/>
      <c r="JVE118" s="181"/>
      <c r="JVF118" s="182"/>
      <c r="JVG118" s="181"/>
      <c r="JVH118" s="182"/>
      <c r="JVI118" s="181"/>
      <c r="JVJ118" s="182"/>
      <c r="JVK118" s="181"/>
      <c r="JVL118" s="182"/>
      <c r="JVM118" s="181"/>
      <c r="JVN118" s="182"/>
      <c r="JVO118" s="181"/>
      <c r="JVP118" s="182"/>
      <c r="JVQ118" s="181"/>
      <c r="JVR118" s="182"/>
      <c r="JVS118" s="181"/>
      <c r="JVT118" s="182"/>
      <c r="JVU118" s="181"/>
      <c r="JVV118" s="182"/>
      <c r="JVW118" s="181"/>
      <c r="JVX118" s="182"/>
      <c r="JVY118" s="181"/>
      <c r="JVZ118" s="182"/>
      <c r="JWA118" s="181"/>
      <c r="JWB118" s="182"/>
      <c r="JWC118" s="181"/>
      <c r="JWD118" s="182"/>
      <c r="JWE118" s="181"/>
      <c r="JWF118" s="182"/>
      <c r="JWG118" s="181"/>
      <c r="JWH118" s="182"/>
      <c r="JWI118" s="181"/>
      <c r="JWJ118" s="182"/>
      <c r="JWK118" s="181"/>
      <c r="JWL118" s="182"/>
      <c r="JWM118" s="181"/>
      <c r="JWN118" s="182"/>
      <c r="JWO118" s="181"/>
      <c r="JWP118" s="182"/>
      <c r="JWQ118" s="181"/>
      <c r="JWR118" s="182"/>
      <c r="JWS118" s="181"/>
      <c r="JWT118" s="182"/>
      <c r="JWU118" s="181"/>
      <c r="JWV118" s="182"/>
      <c r="JWW118" s="181"/>
      <c r="JWX118" s="182"/>
      <c r="JWY118" s="181"/>
      <c r="JWZ118" s="182"/>
      <c r="JXA118" s="181"/>
      <c r="JXB118" s="182"/>
      <c r="JXC118" s="181"/>
      <c r="JXD118" s="182"/>
      <c r="JXE118" s="181"/>
      <c r="JXF118" s="182"/>
      <c r="JXG118" s="181"/>
      <c r="JXH118" s="182"/>
      <c r="JXI118" s="181"/>
      <c r="JXJ118" s="182"/>
      <c r="JXK118" s="181"/>
      <c r="JXL118" s="182"/>
      <c r="JXM118" s="181"/>
      <c r="JXN118" s="182"/>
      <c r="JXO118" s="181"/>
      <c r="JXP118" s="182"/>
      <c r="JXQ118" s="181"/>
      <c r="JXR118" s="182"/>
      <c r="JXS118" s="181"/>
      <c r="JXT118" s="182"/>
      <c r="JXU118" s="181"/>
      <c r="JXV118" s="182"/>
      <c r="JXW118" s="181"/>
      <c r="JXX118" s="182"/>
      <c r="JXY118" s="181"/>
      <c r="JXZ118" s="182"/>
      <c r="JYA118" s="181"/>
      <c r="JYB118" s="182"/>
      <c r="JYC118" s="181"/>
      <c r="JYD118" s="182"/>
      <c r="JYE118" s="181"/>
      <c r="JYF118" s="182"/>
      <c r="JYG118" s="181"/>
      <c r="JYH118" s="182"/>
      <c r="JYI118" s="181"/>
      <c r="JYJ118" s="182"/>
      <c r="JYK118" s="181"/>
      <c r="JYL118" s="182"/>
      <c r="JYM118" s="181"/>
      <c r="JYN118" s="182"/>
      <c r="JYO118" s="181"/>
      <c r="JYP118" s="182"/>
      <c r="JYQ118" s="181"/>
      <c r="JYR118" s="182"/>
      <c r="JYS118" s="181"/>
      <c r="JYT118" s="182"/>
      <c r="JYU118" s="181"/>
      <c r="JYV118" s="182"/>
      <c r="JYW118" s="181"/>
      <c r="JYX118" s="182"/>
      <c r="JYY118" s="181"/>
      <c r="JYZ118" s="182"/>
      <c r="JZA118" s="181"/>
      <c r="JZB118" s="182"/>
      <c r="JZC118" s="181"/>
      <c r="JZD118" s="182"/>
      <c r="JZE118" s="181"/>
      <c r="JZF118" s="182"/>
      <c r="JZG118" s="181"/>
      <c r="JZH118" s="182"/>
      <c r="JZI118" s="181"/>
      <c r="JZJ118" s="182"/>
      <c r="JZK118" s="181"/>
      <c r="JZL118" s="182"/>
      <c r="JZM118" s="181"/>
      <c r="JZN118" s="182"/>
      <c r="JZO118" s="181"/>
      <c r="JZP118" s="182"/>
      <c r="JZQ118" s="181"/>
      <c r="JZR118" s="182"/>
      <c r="JZS118" s="181"/>
      <c r="JZT118" s="182"/>
      <c r="JZU118" s="181"/>
      <c r="JZV118" s="182"/>
      <c r="JZW118" s="181"/>
      <c r="JZX118" s="182"/>
      <c r="JZY118" s="181"/>
      <c r="JZZ118" s="182"/>
      <c r="KAA118" s="181"/>
      <c r="KAB118" s="182"/>
      <c r="KAC118" s="181"/>
      <c r="KAD118" s="182"/>
      <c r="KAE118" s="181"/>
      <c r="KAF118" s="182"/>
      <c r="KAG118" s="181"/>
      <c r="KAH118" s="182"/>
      <c r="KAI118" s="181"/>
      <c r="KAJ118" s="182"/>
      <c r="KAK118" s="181"/>
      <c r="KAL118" s="182"/>
      <c r="KAM118" s="181"/>
      <c r="KAN118" s="182"/>
      <c r="KAO118" s="181"/>
      <c r="KAP118" s="182"/>
      <c r="KAQ118" s="181"/>
      <c r="KAR118" s="182"/>
      <c r="KAS118" s="181"/>
      <c r="KAT118" s="182"/>
      <c r="KAU118" s="181"/>
      <c r="KAV118" s="182"/>
      <c r="KAW118" s="181"/>
      <c r="KAX118" s="182"/>
      <c r="KAY118" s="181"/>
      <c r="KAZ118" s="182"/>
      <c r="KBA118" s="181"/>
      <c r="KBB118" s="182"/>
      <c r="KBC118" s="181"/>
      <c r="KBD118" s="182"/>
      <c r="KBE118" s="181"/>
      <c r="KBF118" s="182"/>
      <c r="KBG118" s="181"/>
      <c r="KBH118" s="182"/>
      <c r="KBI118" s="181"/>
      <c r="KBJ118" s="182"/>
      <c r="KBK118" s="181"/>
      <c r="KBL118" s="182"/>
      <c r="KBM118" s="181"/>
      <c r="KBN118" s="182"/>
      <c r="KBO118" s="181"/>
      <c r="KBP118" s="182"/>
      <c r="KBQ118" s="181"/>
      <c r="KBR118" s="182"/>
      <c r="KBS118" s="181"/>
      <c r="KBT118" s="182"/>
      <c r="KBU118" s="181"/>
      <c r="KBV118" s="182"/>
      <c r="KBW118" s="181"/>
      <c r="KBX118" s="182"/>
      <c r="KBY118" s="181"/>
      <c r="KBZ118" s="182"/>
      <c r="KCA118" s="181"/>
      <c r="KCB118" s="182"/>
      <c r="KCC118" s="181"/>
      <c r="KCD118" s="182"/>
      <c r="KCE118" s="181"/>
      <c r="KCF118" s="182"/>
      <c r="KCG118" s="181"/>
      <c r="KCH118" s="182"/>
      <c r="KCI118" s="181"/>
      <c r="KCJ118" s="182"/>
      <c r="KCK118" s="181"/>
      <c r="KCL118" s="182"/>
      <c r="KCM118" s="181"/>
      <c r="KCN118" s="182"/>
      <c r="KCO118" s="181"/>
      <c r="KCP118" s="182"/>
      <c r="KCQ118" s="181"/>
      <c r="KCR118" s="182"/>
      <c r="KCS118" s="181"/>
      <c r="KCT118" s="182"/>
      <c r="KCU118" s="181"/>
      <c r="KCV118" s="182"/>
      <c r="KCW118" s="181"/>
      <c r="KCX118" s="182"/>
      <c r="KCY118" s="181"/>
      <c r="KCZ118" s="182"/>
      <c r="KDA118" s="181"/>
      <c r="KDB118" s="182"/>
      <c r="KDC118" s="181"/>
      <c r="KDD118" s="182"/>
      <c r="KDE118" s="181"/>
      <c r="KDF118" s="182"/>
      <c r="KDG118" s="181"/>
      <c r="KDH118" s="182"/>
      <c r="KDI118" s="181"/>
      <c r="KDJ118" s="182"/>
      <c r="KDK118" s="181"/>
      <c r="KDL118" s="182"/>
      <c r="KDM118" s="181"/>
      <c r="KDN118" s="182"/>
      <c r="KDO118" s="181"/>
      <c r="KDP118" s="182"/>
      <c r="KDQ118" s="181"/>
      <c r="KDR118" s="182"/>
      <c r="KDS118" s="181"/>
      <c r="KDT118" s="182"/>
      <c r="KDU118" s="181"/>
      <c r="KDV118" s="182"/>
      <c r="KDW118" s="181"/>
      <c r="KDX118" s="182"/>
      <c r="KDY118" s="181"/>
      <c r="KDZ118" s="182"/>
      <c r="KEA118" s="181"/>
      <c r="KEB118" s="182"/>
      <c r="KEC118" s="181"/>
      <c r="KED118" s="182"/>
      <c r="KEE118" s="181"/>
      <c r="KEF118" s="182"/>
      <c r="KEG118" s="181"/>
      <c r="KEH118" s="182"/>
      <c r="KEI118" s="181"/>
      <c r="KEJ118" s="182"/>
      <c r="KEK118" s="181"/>
      <c r="KEL118" s="182"/>
      <c r="KEM118" s="181"/>
      <c r="KEN118" s="182"/>
      <c r="KEO118" s="181"/>
      <c r="KEP118" s="182"/>
      <c r="KEQ118" s="181"/>
      <c r="KER118" s="182"/>
      <c r="KES118" s="181"/>
      <c r="KET118" s="182"/>
      <c r="KEU118" s="181"/>
      <c r="KEV118" s="182"/>
      <c r="KEW118" s="181"/>
      <c r="KEX118" s="182"/>
      <c r="KEY118" s="181"/>
      <c r="KEZ118" s="182"/>
      <c r="KFA118" s="181"/>
      <c r="KFB118" s="182"/>
      <c r="KFC118" s="181"/>
      <c r="KFD118" s="182"/>
      <c r="KFE118" s="181"/>
      <c r="KFF118" s="182"/>
      <c r="KFG118" s="181"/>
      <c r="KFH118" s="182"/>
      <c r="KFI118" s="181"/>
      <c r="KFJ118" s="182"/>
      <c r="KFK118" s="181"/>
      <c r="KFL118" s="182"/>
      <c r="KFM118" s="181"/>
      <c r="KFN118" s="182"/>
      <c r="KFO118" s="181"/>
      <c r="KFP118" s="182"/>
      <c r="KFQ118" s="181"/>
      <c r="KFR118" s="182"/>
      <c r="KFS118" s="181"/>
      <c r="KFT118" s="182"/>
      <c r="KFU118" s="181"/>
      <c r="KFV118" s="182"/>
      <c r="KFW118" s="181"/>
      <c r="KFX118" s="182"/>
      <c r="KFY118" s="181"/>
      <c r="KFZ118" s="182"/>
      <c r="KGA118" s="181"/>
      <c r="KGB118" s="182"/>
      <c r="KGC118" s="181"/>
      <c r="KGD118" s="182"/>
      <c r="KGE118" s="181"/>
      <c r="KGF118" s="182"/>
      <c r="KGG118" s="181"/>
      <c r="KGH118" s="182"/>
      <c r="KGI118" s="181"/>
      <c r="KGJ118" s="182"/>
      <c r="KGK118" s="181"/>
      <c r="KGL118" s="182"/>
      <c r="KGM118" s="181"/>
      <c r="KGN118" s="182"/>
      <c r="KGO118" s="181"/>
      <c r="KGP118" s="182"/>
      <c r="KGQ118" s="181"/>
      <c r="KGR118" s="182"/>
      <c r="KGS118" s="181"/>
      <c r="KGT118" s="182"/>
      <c r="KGU118" s="181"/>
      <c r="KGV118" s="182"/>
      <c r="KGW118" s="181"/>
      <c r="KGX118" s="182"/>
      <c r="KGY118" s="181"/>
      <c r="KGZ118" s="182"/>
      <c r="KHA118" s="181"/>
      <c r="KHB118" s="182"/>
      <c r="KHC118" s="181"/>
      <c r="KHD118" s="182"/>
      <c r="KHE118" s="181"/>
      <c r="KHF118" s="182"/>
      <c r="KHG118" s="181"/>
      <c r="KHH118" s="182"/>
      <c r="KHI118" s="181"/>
      <c r="KHJ118" s="182"/>
      <c r="KHK118" s="181"/>
      <c r="KHL118" s="182"/>
      <c r="KHM118" s="181"/>
      <c r="KHN118" s="182"/>
      <c r="KHO118" s="181"/>
      <c r="KHP118" s="182"/>
      <c r="KHQ118" s="181"/>
      <c r="KHR118" s="182"/>
      <c r="KHS118" s="181"/>
      <c r="KHT118" s="182"/>
      <c r="KHU118" s="181"/>
      <c r="KHV118" s="182"/>
      <c r="KHW118" s="181"/>
      <c r="KHX118" s="182"/>
      <c r="KHY118" s="181"/>
      <c r="KHZ118" s="182"/>
      <c r="KIA118" s="181"/>
      <c r="KIB118" s="182"/>
      <c r="KIC118" s="181"/>
      <c r="KID118" s="182"/>
      <c r="KIE118" s="181"/>
      <c r="KIF118" s="182"/>
      <c r="KIG118" s="181"/>
      <c r="KIH118" s="182"/>
      <c r="KII118" s="181"/>
      <c r="KIJ118" s="182"/>
      <c r="KIK118" s="181"/>
      <c r="KIL118" s="182"/>
      <c r="KIM118" s="181"/>
      <c r="KIN118" s="182"/>
      <c r="KIO118" s="181"/>
      <c r="KIP118" s="182"/>
      <c r="KIQ118" s="181"/>
      <c r="KIR118" s="182"/>
      <c r="KIS118" s="181"/>
      <c r="KIT118" s="182"/>
      <c r="KIU118" s="181"/>
      <c r="KIV118" s="182"/>
      <c r="KIW118" s="181"/>
      <c r="KIX118" s="182"/>
      <c r="KIY118" s="181"/>
      <c r="KIZ118" s="182"/>
      <c r="KJA118" s="181"/>
      <c r="KJB118" s="182"/>
      <c r="KJC118" s="181"/>
      <c r="KJD118" s="182"/>
      <c r="KJE118" s="181"/>
      <c r="KJF118" s="182"/>
      <c r="KJG118" s="181"/>
      <c r="KJH118" s="182"/>
      <c r="KJI118" s="181"/>
      <c r="KJJ118" s="182"/>
      <c r="KJK118" s="181"/>
      <c r="KJL118" s="182"/>
      <c r="KJM118" s="181"/>
      <c r="KJN118" s="182"/>
      <c r="KJO118" s="181"/>
      <c r="KJP118" s="182"/>
      <c r="KJQ118" s="181"/>
      <c r="KJR118" s="182"/>
      <c r="KJS118" s="181"/>
      <c r="KJT118" s="182"/>
      <c r="KJU118" s="181"/>
      <c r="KJV118" s="182"/>
      <c r="KJW118" s="181"/>
      <c r="KJX118" s="182"/>
      <c r="KJY118" s="181"/>
      <c r="KJZ118" s="182"/>
      <c r="KKA118" s="181"/>
      <c r="KKB118" s="182"/>
      <c r="KKC118" s="181"/>
      <c r="KKD118" s="182"/>
      <c r="KKE118" s="181"/>
      <c r="KKF118" s="182"/>
      <c r="KKG118" s="181"/>
      <c r="KKH118" s="182"/>
      <c r="KKI118" s="181"/>
      <c r="KKJ118" s="182"/>
      <c r="KKK118" s="181"/>
      <c r="KKL118" s="182"/>
      <c r="KKM118" s="181"/>
      <c r="KKN118" s="182"/>
      <c r="KKO118" s="181"/>
      <c r="KKP118" s="182"/>
      <c r="KKQ118" s="181"/>
      <c r="KKR118" s="182"/>
      <c r="KKS118" s="181"/>
      <c r="KKT118" s="182"/>
      <c r="KKU118" s="181"/>
      <c r="KKV118" s="182"/>
      <c r="KKW118" s="181"/>
      <c r="KKX118" s="182"/>
      <c r="KKY118" s="181"/>
      <c r="KKZ118" s="182"/>
      <c r="KLA118" s="181"/>
      <c r="KLB118" s="182"/>
      <c r="KLC118" s="181"/>
      <c r="KLD118" s="182"/>
      <c r="KLE118" s="181"/>
      <c r="KLF118" s="182"/>
      <c r="KLG118" s="181"/>
      <c r="KLH118" s="182"/>
      <c r="KLI118" s="181"/>
      <c r="KLJ118" s="182"/>
      <c r="KLK118" s="181"/>
      <c r="KLL118" s="182"/>
      <c r="KLM118" s="181"/>
      <c r="KLN118" s="182"/>
      <c r="KLO118" s="181"/>
      <c r="KLP118" s="182"/>
      <c r="KLQ118" s="181"/>
      <c r="KLR118" s="182"/>
      <c r="KLS118" s="181"/>
      <c r="KLT118" s="182"/>
      <c r="KLU118" s="181"/>
      <c r="KLV118" s="182"/>
      <c r="KLW118" s="181"/>
      <c r="KLX118" s="182"/>
      <c r="KLY118" s="181"/>
      <c r="KLZ118" s="182"/>
      <c r="KMA118" s="181"/>
      <c r="KMB118" s="182"/>
      <c r="KMC118" s="181"/>
      <c r="KMD118" s="182"/>
      <c r="KME118" s="181"/>
      <c r="KMF118" s="182"/>
      <c r="KMG118" s="181"/>
      <c r="KMH118" s="182"/>
      <c r="KMI118" s="181"/>
      <c r="KMJ118" s="182"/>
      <c r="KMK118" s="181"/>
      <c r="KML118" s="182"/>
      <c r="KMM118" s="181"/>
      <c r="KMN118" s="182"/>
      <c r="KMO118" s="181"/>
      <c r="KMP118" s="182"/>
      <c r="KMQ118" s="181"/>
      <c r="KMR118" s="182"/>
      <c r="KMS118" s="181"/>
      <c r="KMT118" s="182"/>
      <c r="KMU118" s="181"/>
      <c r="KMV118" s="182"/>
      <c r="KMW118" s="181"/>
      <c r="KMX118" s="182"/>
      <c r="KMY118" s="181"/>
      <c r="KMZ118" s="182"/>
      <c r="KNA118" s="181"/>
      <c r="KNB118" s="182"/>
      <c r="KNC118" s="181"/>
      <c r="KND118" s="182"/>
      <c r="KNE118" s="181"/>
      <c r="KNF118" s="182"/>
      <c r="KNG118" s="181"/>
      <c r="KNH118" s="182"/>
      <c r="KNI118" s="181"/>
      <c r="KNJ118" s="182"/>
      <c r="KNK118" s="181"/>
      <c r="KNL118" s="182"/>
      <c r="KNM118" s="181"/>
      <c r="KNN118" s="182"/>
      <c r="KNO118" s="181"/>
      <c r="KNP118" s="182"/>
      <c r="KNQ118" s="181"/>
      <c r="KNR118" s="182"/>
      <c r="KNS118" s="181"/>
      <c r="KNT118" s="182"/>
      <c r="KNU118" s="181"/>
      <c r="KNV118" s="182"/>
      <c r="KNW118" s="181"/>
      <c r="KNX118" s="182"/>
      <c r="KNY118" s="181"/>
      <c r="KNZ118" s="182"/>
      <c r="KOA118" s="181"/>
      <c r="KOB118" s="182"/>
      <c r="KOC118" s="181"/>
      <c r="KOD118" s="182"/>
      <c r="KOE118" s="181"/>
      <c r="KOF118" s="182"/>
      <c r="KOG118" s="181"/>
      <c r="KOH118" s="182"/>
      <c r="KOI118" s="181"/>
      <c r="KOJ118" s="182"/>
      <c r="KOK118" s="181"/>
      <c r="KOL118" s="182"/>
      <c r="KOM118" s="181"/>
      <c r="KON118" s="182"/>
      <c r="KOO118" s="181"/>
      <c r="KOP118" s="182"/>
      <c r="KOQ118" s="181"/>
      <c r="KOR118" s="182"/>
      <c r="KOS118" s="181"/>
      <c r="KOT118" s="182"/>
      <c r="KOU118" s="181"/>
      <c r="KOV118" s="182"/>
      <c r="KOW118" s="181"/>
      <c r="KOX118" s="182"/>
      <c r="KOY118" s="181"/>
      <c r="KOZ118" s="182"/>
      <c r="KPA118" s="181"/>
      <c r="KPB118" s="182"/>
      <c r="KPC118" s="181"/>
      <c r="KPD118" s="182"/>
      <c r="KPE118" s="181"/>
      <c r="KPF118" s="182"/>
      <c r="KPG118" s="181"/>
      <c r="KPH118" s="182"/>
      <c r="KPI118" s="181"/>
      <c r="KPJ118" s="182"/>
      <c r="KPK118" s="181"/>
      <c r="KPL118" s="182"/>
      <c r="KPM118" s="181"/>
      <c r="KPN118" s="182"/>
      <c r="KPO118" s="181"/>
      <c r="KPP118" s="182"/>
      <c r="KPQ118" s="181"/>
      <c r="KPR118" s="182"/>
      <c r="KPS118" s="181"/>
      <c r="KPT118" s="182"/>
      <c r="KPU118" s="181"/>
      <c r="KPV118" s="182"/>
      <c r="KPW118" s="181"/>
      <c r="KPX118" s="182"/>
      <c r="KPY118" s="181"/>
      <c r="KPZ118" s="182"/>
      <c r="KQA118" s="181"/>
      <c r="KQB118" s="182"/>
      <c r="KQC118" s="181"/>
      <c r="KQD118" s="182"/>
      <c r="KQE118" s="181"/>
      <c r="KQF118" s="182"/>
      <c r="KQG118" s="181"/>
      <c r="KQH118" s="182"/>
      <c r="KQI118" s="181"/>
      <c r="KQJ118" s="182"/>
      <c r="KQK118" s="181"/>
      <c r="KQL118" s="182"/>
      <c r="KQM118" s="181"/>
      <c r="KQN118" s="182"/>
      <c r="KQO118" s="181"/>
      <c r="KQP118" s="182"/>
      <c r="KQQ118" s="181"/>
      <c r="KQR118" s="182"/>
      <c r="KQS118" s="181"/>
      <c r="KQT118" s="182"/>
      <c r="KQU118" s="181"/>
      <c r="KQV118" s="182"/>
      <c r="KQW118" s="181"/>
      <c r="KQX118" s="182"/>
      <c r="KQY118" s="181"/>
      <c r="KQZ118" s="182"/>
      <c r="KRA118" s="181"/>
      <c r="KRB118" s="182"/>
      <c r="KRC118" s="181"/>
      <c r="KRD118" s="182"/>
      <c r="KRE118" s="181"/>
      <c r="KRF118" s="182"/>
      <c r="KRG118" s="181"/>
      <c r="KRH118" s="182"/>
      <c r="KRI118" s="181"/>
      <c r="KRJ118" s="182"/>
      <c r="KRK118" s="181"/>
      <c r="KRL118" s="182"/>
      <c r="KRM118" s="181"/>
      <c r="KRN118" s="182"/>
      <c r="KRO118" s="181"/>
      <c r="KRP118" s="182"/>
      <c r="KRQ118" s="181"/>
      <c r="KRR118" s="182"/>
      <c r="KRS118" s="181"/>
      <c r="KRT118" s="182"/>
      <c r="KRU118" s="181"/>
      <c r="KRV118" s="182"/>
      <c r="KRW118" s="181"/>
      <c r="KRX118" s="182"/>
      <c r="KRY118" s="181"/>
      <c r="KRZ118" s="182"/>
      <c r="KSA118" s="181"/>
      <c r="KSB118" s="182"/>
      <c r="KSC118" s="181"/>
      <c r="KSD118" s="182"/>
      <c r="KSE118" s="181"/>
      <c r="KSF118" s="182"/>
      <c r="KSG118" s="181"/>
      <c r="KSH118" s="182"/>
      <c r="KSI118" s="181"/>
      <c r="KSJ118" s="182"/>
      <c r="KSK118" s="181"/>
      <c r="KSL118" s="182"/>
      <c r="KSM118" s="181"/>
      <c r="KSN118" s="182"/>
      <c r="KSO118" s="181"/>
      <c r="KSP118" s="182"/>
      <c r="KSQ118" s="181"/>
      <c r="KSR118" s="182"/>
      <c r="KSS118" s="181"/>
      <c r="KST118" s="182"/>
      <c r="KSU118" s="181"/>
      <c r="KSV118" s="182"/>
      <c r="KSW118" s="181"/>
      <c r="KSX118" s="182"/>
      <c r="KSY118" s="181"/>
      <c r="KSZ118" s="182"/>
      <c r="KTA118" s="181"/>
      <c r="KTB118" s="182"/>
      <c r="KTC118" s="181"/>
      <c r="KTD118" s="182"/>
      <c r="KTE118" s="181"/>
      <c r="KTF118" s="182"/>
      <c r="KTG118" s="181"/>
      <c r="KTH118" s="182"/>
      <c r="KTI118" s="181"/>
      <c r="KTJ118" s="182"/>
      <c r="KTK118" s="181"/>
      <c r="KTL118" s="182"/>
      <c r="KTM118" s="181"/>
      <c r="KTN118" s="182"/>
      <c r="KTO118" s="181"/>
      <c r="KTP118" s="182"/>
      <c r="KTQ118" s="181"/>
      <c r="KTR118" s="182"/>
      <c r="KTS118" s="181"/>
      <c r="KTT118" s="182"/>
      <c r="KTU118" s="181"/>
      <c r="KTV118" s="182"/>
      <c r="KTW118" s="181"/>
      <c r="KTX118" s="182"/>
      <c r="KTY118" s="181"/>
      <c r="KTZ118" s="182"/>
      <c r="KUA118" s="181"/>
      <c r="KUB118" s="182"/>
      <c r="KUC118" s="181"/>
      <c r="KUD118" s="182"/>
      <c r="KUE118" s="181"/>
      <c r="KUF118" s="182"/>
      <c r="KUG118" s="181"/>
      <c r="KUH118" s="182"/>
      <c r="KUI118" s="181"/>
      <c r="KUJ118" s="182"/>
      <c r="KUK118" s="181"/>
      <c r="KUL118" s="182"/>
      <c r="KUM118" s="181"/>
      <c r="KUN118" s="182"/>
      <c r="KUO118" s="181"/>
      <c r="KUP118" s="182"/>
      <c r="KUQ118" s="181"/>
      <c r="KUR118" s="182"/>
      <c r="KUS118" s="181"/>
      <c r="KUT118" s="182"/>
      <c r="KUU118" s="181"/>
      <c r="KUV118" s="182"/>
      <c r="KUW118" s="181"/>
      <c r="KUX118" s="182"/>
      <c r="KUY118" s="181"/>
      <c r="KUZ118" s="182"/>
      <c r="KVA118" s="181"/>
      <c r="KVB118" s="182"/>
      <c r="KVC118" s="181"/>
      <c r="KVD118" s="182"/>
      <c r="KVE118" s="181"/>
      <c r="KVF118" s="182"/>
      <c r="KVG118" s="181"/>
      <c r="KVH118" s="182"/>
      <c r="KVI118" s="181"/>
      <c r="KVJ118" s="182"/>
      <c r="KVK118" s="181"/>
      <c r="KVL118" s="182"/>
      <c r="KVM118" s="181"/>
      <c r="KVN118" s="182"/>
      <c r="KVO118" s="181"/>
      <c r="KVP118" s="182"/>
      <c r="KVQ118" s="181"/>
      <c r="KVR118" s="182"/>
      <c r="KVS118" s="181"/>
      <c r="KVT118" s="182"/>
      <c r="KVU118" s="181"/>
      <c r="KVV118" s="182"/>
      <c r="KVW118" s="181"/>
      <c r="KVX118" s="182"/>
      <c r="KVY118" s="181"/>
      <c r="KVZ118" s="182"/>
      <c r="KWA118" s="181"/>
      <c r="KWB118" s="182"/>
      <c r="KWC118" s="181"/>
      <c r="KWD118" s="182"/>
      <c r="KWE118" s="181"/>
      <c r="KWF118" s="182"/>
      <c r="KWG118" s="181"/>
      <c r="KWH118" s="182"/>
      <c r="KWI118" s="181"/>
      <c r="KWJ118" s="182"/>
      <c r="KWK118" s="181"/>
      <c r="KWL118" s="182"/>
      <c r="KWM118" s="181"/>
      <c r="KWN118" s="182"/>
      <c r="KWO118" s="181"/>
      <c r="KWP118" s="182"/>
      <c r="KWQ118" s="181"/>
      <c r="KWR118" s="182"/>
      <c r="KWS118" s="181"/>
      <c r="KWT118" s="182"/>
      <c r="KWU118" s="181"/>
      <c r="KWV118" s="182"/>
      <c r="KWW118" s="181"/>
      <c r="KWX118" s="182"/>
      <c r="KWY118" s="181"/>
      <c r="KWZ118" s="182"/>
      <c r="KXA118" s="181"/>
      <c r="KXB118" s="182"/>
      <c r="KXC118" s="181"/>
      <c r="KXD118" s="182"/>
      <c r="KXE118" s="181"/>
      <c r="KXF118" s="182"/>
      <c r="KXG118" s="181"/>
      <c r="KXH118" s="182"/>
      <c r="KXI118" s="181"/>
      <c r="KXJ118" s="182"/>
      <c r="KXK118" s="181"/>
      <c r="KXL118" s="182"/>
      <c r="KXM118" s="181"/>
      <c r="KXN118" s="182"/>
      <c r="KXO118" s="181"/>
      <c r="KXP118" s="182"/>
      <c r="KXQ118" s="181"/>
      <c r="KXR118" s="182"/>
      <c r="KXS118" s="181"/>
      <c r="KXT118" s="182"/>
      <c r="KXU118" s="181"/>
      <c r="KXV118" s="182"/>
      <c r="KXW118" s="181"/>
      <c r="KXX118" s="182"/>
      <c r="KXY118" s="181"/>
      <c r="KXZ118" s="182"/>
      <c r="KYA118" s="181"/>
      <c r="KYB118" s="182"/>
      <c r="KYC118" s="181"/>
      <c r="KYD118" s="182"/>
      <c r="KYE118" s="181"/>
      <c r="KYF118" s="182"/>
      <c r="KYG118" s="181"/>
      <c r="KYH118" s="182"/>
      <c r="KYI118" s="181"/>
      <c r="KYJ118" s="182"/>
      <c r="KYK118" s="181"/>
      <c r="KYL118" s="182"/>
      <c r="KYM118" s="181"/>
      <c r="KYN118" s="182"/>
      <c r="KYO118" s="181"/>
      <c r="KYP118" s="182"/>
      <c r="KYQ118" s="181"/>
      <c r="KYR118" s="182"/>
      <c r="KYS118" s="181"/>
      <c r="KYT118" s="182"/>
      <c r="KYU118" s="181"/>
      <c r="KYV118" s="182"/>
      <c r="KYW118" s="181"/>
      <c r="KYX118" s="182"/>
      <c r="KYY118" s="181"/>
      <c r="KYZ118" s="182"/>
      <c r="KZA118" s="181"/>
      <c r="KZB118" s="182"/>
      <c r="KZC118" s="181"/>
      <c r="KZD118" s="182"/>
      <c r="KZE118" s="181"/>
      <c r="KZF118" s="182"/>
      <c r="KZG118" s="181"/>
      <c r="KZH118" s="182"/>
      <c r="KZI118" s="181"/>
      <c r="KZJ118" s="182"/>
      <c r="KZK118" s="181"/>
      <c r="KZL118" s="182"/>
      <c r="KZM118" s="181"/>
      <c r="KZN118" s="182"/>
      <c r="KZO118" s="181"/>
      <c r="KZP118" s="182"/>
      <c r="KZQ118" s="181"/>
      <c r="KZR118" s="182"/>
      <c r="KZS118" s="181"/>
      <c r="KZT118" s="182"/>
      <c r="KZU118" s="181"/>
      <c r="KZV118" s="182"/>
      <c r="KZW118" s="181"/>
      <c r="KZX118" s="182"/>
      <c r="KZY118" s="181"/>
      <c r="KZZ118" s="182"/>
      <c r="LAA118" s="181"/>
      <c r="LAB118" s="182"/>
      <c r="LAC118" s="181"/>
      <c r="LAD118" s="182"/>
      <c r="LAE118" s="181"/>
      <c r="LAF118" s="182"/>
      <c r="LAG118" s="181"/>
      <c r="LAH118" s="182"/>
      <c r="LAI118" s="181"/>
      <c r="LAJ118" s="182"/>
      <c r="LAK118" s="181"/>
      <c r="LAL118" s="182"/>
      <c r="LAM118" s="181"/>
      <c r="LAN118" s="182"/>
      <c r="LAO118" s="181"/>
      <c r="LAP118" s="182"/>
      <c r="LAQ118" s="181"/>
      <c r="LAR118" s="182"/>
      <c r="LAS118" s="181"/>
      <c r="LAT118" s="182"/>
      <c r="LAU118" s="181"/>
      <c r="LAV118" s="182"/>
      <c r="LAW118" s="181"/>
      <c r="LAX118" s="182"/>
      <c r="LAY118" s="181"/>
      <c r="LAZ118" s="182"/>
      <c r="LBA118" s="181"/>
      <c r="LBB118" s="182"/>
      <c r="LBC118" s="181"/>
      <c r="LBD118" s="182"/>
      <c r="LBE118" s="181"/>
      <c r="LBF118" s="182"/>
      <c r="LBG118" s="181"/>
      <c r="LBH118" s="182"/>
      <c r="LBI118" s="181"/>
      <c r="LBJ118" s="182"/>
      <c r="LBK118" s="181"/>
      <c r="LBL118" s="182"/>
      <c r="LBM118" s="181"/>
      <c r="LBN118" s="182"/>
      <c r="LBO118" s="181"/>
      <c r="LBP118" s="182"/>
      <c r="LBQ118" s="181"/>
      <c r="LBR118" s="182"/>
      <c r="LBS118" s="181"/>
      <c r="LBT118" s="182"/>
      <c r="LBU118" s="181"/>
      <c r="LBV118" s="182"/>
      <c r="LBW118" s="181"/>
      <c r="LBX118" s="182"/>
      <c r="LBY118" s="181"/>
      <c r="LBZ118" s="182"/>
      <c r="LCA118" s="181"/>
      <c r="LCB118" s="182"/>
      <c r="LCC118" s="181"/>
      <c r="LCD118" s="182"/>
      <c r="LCE118" s="181"/>
      <c r="LCF118" s="182"/>
      <c r="LCG118" s="181"/>
      <c r="LCH118" s="182"/>
      <c r="LCI118" s="181"/>
      <c r="LCJ118" s="182"/>
      <c r="LCK118" s="181"/>
      <c r="LCL118" s="182"/>
      <c r="LCM118" s="181"/>
      <c r="LCN118" s="182"/>
      <c r="LCO118" s="181"/>
      <c r="LCP118" s="182"/>
      <c r="LCQ118" s="181"/>
      <c r="LCR118" s="182"/>
      <c r="LCS118" s="181"/>
      <c r="LCT118" s="182"/>
      <c r="LCU118" s="181"/>
      <c r="LCV118" s="182"/>
      <c r="LCW118" s="181"/>
      <c r="LCX118" s="182"/>
      <c r="LCY118" s="181"/>
      <c r="LCZ118" s="182"/>
      <c r="LDA118" s="181"/>
      <c r="LDB118" s="182"/>
      <c r="LDC118" s="181"/>
      <c r="LDD118" s="182"/>
      <c r="LDE118" s="181"/>
      <c r="LDF118" s="182"/>
      <c r="LDG118" s="181"/>
      <c r="LDH118" s="182"/>
      <c r="LDI118" s="181"/>
      <c r="LDJ118" s="182"/>
      <c r="LDK118" s="181"/>
      <c r="LDL118" s="182"/>
      <c r="LDM118" s="181"/>
      <c r="LDN118" s="182"/>
      <c r="LDO118" s="181"/>
      <c r="LDP118" s="182"/>
      <c r="LDQ118" s="181"/>
      <c r="LDR118" s="182"/>
      <c r="LDS118" s="181"/>
      <c r="LDT118" s="182"/>
      <c r="LDU118" s="181"/>
      <c r="LDV118" s="182"/>
      <c r="LDW118" s="181"/>
      <c r="LDX118" s="182"/>
      <c r="LDY118" s="181"/>
      <c r="LDZ118" s="182"/>
      <c r="LEA118" s="181"/>
      <c r="LEB118" s="182"/>
      <c r="LEC118" s="181"/>
      <c r="LED118" s="182"/>
      <c r="LEE118" s="181"/>
      <c r="LEF118" s="182"/>
      <c r="LEG118" s="181"/>
      <c r="LEH118" s="182"/>
      <c r="LEI118" s="181"/>
      <c r="LEJ118" s="182"/>
      <c r="LEK118" s="181"/>
      <c r="LEL118" s="182"/>
      <c r="LEM118" s="181"/>
      <c r="LEN118" s="182"/>
      <c r="LEO118" s="181"/>
      <c r="LEP118" s="182"/>
      <c r="LEQ118" s="181"/>
      <c r="LER118" s="182"/>
      <c r="LES118" s="181"/>
      <c r="LET118" s="182"/>
      <c r="LEU118" s="181"/>
      <c r="LEV118" s="182"/>
      <c r="LEW118" s="181"/>
      <c r="LEX118" s="182"/>
      <c r="LEY118" s="181"/>
      <c r="LEZ118" s="182"/>
      <c r="LFA118" s="181"/>
      <c r="LFB118" s="182"/>
      <c r="LFC118" s="181"/>
      <c r="LFD118" s="182"/>
      <c r="LFE118" s="181"/>
      <c r="LFF118" s="182"/>
      <c r="LFG118" s="181"/>
      <c r="LFH118" s="182"/>
      <c r="LFI118" s="181"/>
      <c r="LFJ118" s="182"/>
      <c r="LFK118" s="181"/>
      <c r="LFL118" s="182"/>
      <c r="LFM118" s="181"/>
      <c r="LFN118" s="182"/>
      <c r="LFO118" s="181"/>
      <c r="LFP118" s="182"/>
      <c r="LFQ118" s="181"/>
      <c r="LFR118" s="182"/>
      <c r="LFS118" s="181"/>
      <c r="LFT118" s="182"/>
      <c r="LFU118" s="181"/>
      <c r="LFV118" s="182"/>
      <c r="LFW118" s="181"/>
      <c r="LFX118" s="182"/>
      <c r="LFY118" s="181"/>
      <c r="LFZ118" s="182"/>
      <c r="LGA118" s="181"/>
      <c r="LGB118" s="182"/>
      <c r="LGC118" s="181"/>
      <c r="LGD118" s="182"/>
      <c r="LGE118" s="181"/>
      <c r="LGF118" s="182"/>
      <c r="LGG118" s="181"/>
      <c r="LGH118" s="182"/>
      <c r="LGI118" s="181"/>
      <c r="LGJ118" s="182"/>
      <c r="LGK118" s="181"/>
      <c r="LGL118" s="182"/>
      <c r="LGM118" s="181"/>
      <c r="LGN118" s="182"/>
      <c r="LGO118" s="181"/>
      <c r="LGP118" s="182"/>
      <c r="LGQ118" s="181"/>
      <c r="LGR118" s="182"/>
      <c r="LGS118" s="181"/>
      <c r="LGT118" s="182"/>
      <c r="LGU118" s="181"/>
      <c r="LGV118" s="182"/>
      <c r="LGW118" s="181"/>
      <c r="LGX118" s="182"/>
      <c r="LGY118" s="181"/>
      <c r="LGZ118" s="182"/>
      <c r="LHA118" s="181"/>
      <c r="LHB118" s="182"/>
      <c r="LHC118" s="181"/>
      <c r="LHD118" s="182"/>
      <c r="LHE118" s="181"/>
      <c r="LHF118" s="182"/>
      <c r="LHG118" s="181"/>
      <c r="LHH118" s="182"/>
      <c r="LHI118" s="181"/>
      <c r="LHJ118" s="182"/>
      <c r="LHK118" s="181"/>
      <c r="LHL118" s="182"/>
      <c r="LHM118" s="181"/>
      <c r="LHN118" s="182"/>
      <c r="LHO118" s="181"/>
      <c r="LHP118" s="182"/>
      <c r="LHQ118" s="181"/>
      <c r="LHR118" s="182"/>
      <c r="LHS118" s="181"/>
      <c r="LHT118" s="182"/>
      <c r="LHU118" s="181"/>
      <c r="LHV118" s="182"/>
      <c r="LHW118" s="181"/>
      <c r="LHX118" s="182"/>
      <c r="LHY118" s="181"/>
      <c r="LHZ118" s="182"/>
      <c r="LIA118" s="181"/>
      <c r="LIB118" s="182"/>
      <c r="LIC118" s="181"/>
      <c r="LID118" s="182"/>
      <c r="LIE118" s="181"/>
      <c r="LIF118" s="182"/>
      <c r="LIG118" s="181"/>
      <c r="LIH118" s="182"/>
      <c r="LII118" s="181"/>
      <c r="LIJ118" s="182"/>
      <c r="LIK118" s="181"/>
      <c r="LIL118" s="182"/>
      <c r="LIM118" s="181"/>
      <c r="LIN118" s="182"/>
      <c r="LIO118" s="181"/>
      <c r="LIP118" s="182"/>
      <c r="LIQ118" s="181"/>
      <c r="LIR118" s="182"/>
      <c r="LIS118" s="181"/>
      <c r="LIT118" s="182"/>
      <c r="LIU118" s="181"/>
      <c r="LIV118" s="182"/>
      <c r="LIW118" s="181"/>
      <c r="LIX118" s="182"/>
      <c r="LIY118" s="181"/>
      <c r="LIZ118" s="182"/>
      <c r="LJA118" s="181"/>
      <c r="LJB118" s="182"/>
      <c r="LJC118" s="181"/>
      <c r="LJD118" s="182"/>
      <c r="LJE118" s="181"/>
      <c r="LJF118" s="182"/>
      <c r="LJG118" s="181"/>
      <c r="LJH118" s="182"/>
      <c r="LJI118" s="181"/>
      <c r="LJJ118" s="182"/>
      <c r="LJK118" s="181"/>
      <c r="LJL118" s="182"/>
      <c r="LJM118" s="181"/>
      <c r="LJN118" s="182"/>
      <c r="LJO118" s="181"/>
      <c r="LJP118" s="182"/>
      <c r="LJQ118" s="181"/>
      <c r="LJR118" s="182"/>
      <c r="LJS118" s="181"/>
      <c r="LJT118" s="182"/>
      <c r="LJU118" s="181"/>
      <c r="LJV118" s="182"/>
      <c r="LJW118" s="181"/>
      <c r="LJX118" s="182"/>
      <c r="LJY118" s="181"/>
      <c r="LJZ118" s="182"/>
      <c r="LKA118" s="181"/>
      <c r="LKB118" s="182"/>
      <c r="LKC118" s="181"/>
      <c r="LKD118" s="182"/>
      <c r="LKE118" s="181"/>
      <c r="LKF118" s="182"/>
      <c r="LKG118" s="181"/>
      <c r="LKH118" s="182"/>
      <c r="LKI118" s="181"/>
      <c r="LKJ118" s="182"/>
      <c r="LKK118" s="181"/>
      <c r="LKL118" s="182"/>
      <c r="LKM118" s="181"/>
      <c r="LKN118" s="182"/>
      <c r="LKO118" s="181"/>
      <c r="LKP118" s="182"/>
      <c r="LKQ118" s="181"/>
      <c r="LKR118" s="182"/>
      <c r="LKS118" s="181"/>
      <c r="LKT118" s="182"/>
      <c r="LKU118" s="181"/>
      <c r="LKV118" s="182"/>
      <c r="LKW118" s="181"/>
      <c r="LKX118" s="182"/>
      <c r="LKY118" s="181"/>
      <c r="LKZ118" s="182"/>
      <c r="LLA118" s="181"/>
      <c r="LLB118" s="182"/>
      <c r="LLC118" s="181"/>
      <c r="LLD118" s="182"/>
      <c r="LLE118" s="181"/>
      <c r="LLF118" s="182"/>
      <c r="LLG118" s="181"/>
      <c r="LLH118" s="182"/>
      <c r="LLI118" s="181"/>
      <c r="LLJ118" s="182"/>
      <c r="LLK118" s="181"/>
      <c r="LLL118" s="182"/>
      <c r="LLM118" s="181"/>
      <c r="LLN118" s="182"/>
      <c r="LLO118" s="181"/>
      <c r="LLP118" s="182"/>
      <c r="LLQ118" s="181"/>
      <c r="LLR118" s="182"/>
      <c r="LLS118" s="181"/>
      <c r="LLT118" s="182"/>
      <c r="LLU118" s="181"/>
      <c r="LLV118" s="182"/>
      <c r="LLW118" s="181"/>
      <c r="LLX118" s="182"/>
      <c r="LLY118" s="181"/>
      <c r="LLZ118" s="182"/>
      <c r="LMA118" s="181"/>
      <c r="LMB118" s="182"/>
      <c r="LMC118" s="181"/>
      <c r="LMD118" s="182"/>
      <c r="LME118" s="181"/>
      <c r="LMF118" s="182"/>
      <c r="LMG118" s="181"/>
      <c r="LMH118" s="182"/>
      <c r="LMI118" s="181"/>
      <c r="LMJ118" s="182"/>
      <c r="LMK118" s="181"/>
      <c r="LML118" s="182"/>
      <c r="LMM118" s="181"/>
      <c r="LMN118" s="182"/>
      <c r="LMO118" s="181"/>
      <c r="LMP118" s="182"/>
      <c r="LMQ118" s="181"/>
      <c r="LMR118" s="182"/>
      <c r="LMS118" s="181"/>
      <c r="LMT118" s="182"/>
      <c r="LMU118" s="181"/>
      <c r="LMV118" s="182"/>
      <c r="LMW118" s="181"/>
      <c r="LMX118" s="182"/>
      <c r="LMY118" s="181"/>
      <c r="LMZ118" s="182"/>
      <c r="LNA118" s="181"/>
      <c r="LNB118" s="182"/>
      <c r="LNC118" s="181"/>
      <c r="LND118" s="182"/>
      <c r="LNE118" s="181"/>
      <c r="LNF118" s="182"/>
      <c r="LNG118" s="181"/>
      <c r="LNH118" s="182"/>
      <c r="LNI118" s="181"/>
      <c r="LNJ118" s="182"/>
      <c r="LNK118" s="181"/>
      <c r="LNL118" s="182"/>
      <c r="LNM118" s="181"/>
      <c r="LNN118" s="182"/>
      <c r="LNO118" s="181"/>
      <c r="LNP118" s="182"/>
      <c r="LNQ118" s="181"/>
      <c r="LNR118" s="182"/>
      <c r="LNS118" s="181"/>
      <c r="LNT118" s="182"/>
      <c r="LNU118" s="181"/>
      <c r="LNV118" s="182"/>
      <c r="LNW118" s="181"/>
      <c r="LNX118" s="182"/>
      <c r="LNY118" s="181"/>
      <c r="LNZ118" s="182"/>
      <c r="LOA118" s="181"/>
      <c r="LOB118" s="182"/>
      <c r="LOC118" s="181"/>
      <c r="LOD118" s="182"/>
      <c r="LOE118" s="181"/>
      <c r="LOF118" s="182"/>
      <c r="LOG118" s="181"/>
      <c r="LOH118" s="182"/>
      <c r="LOI118" s="181"/>
      <c r="LOJ118" s="182"/>
      <c r="LOK118" s="181"/>
      <c r="LOL118" s="182"/>
      <c r="LOM118" s="181"/>
      <c r="LON118" s="182"/>
      <c r="LOO118" s="181"/>
      <c r="LOP118" s="182"/>
      <c r="LOQ118" s="181"/>
      <c r="LOR118" s="182"/>
      <c r="LOS118" s="181"/>
      <c r="LOT118" s="182"/>
      <c r="LOU118" s="181"/>
      <c r="LOV118" s="182"/>
      <c r="LOW118" s="181"/>
      <c r="LOX118" s="182"/>
      <c r="LOY118" s="181"/>
      <c r="LOZ118" s="182"/>
      <c r="LPA118" s="181"/>
      <c r="LPB118" s="182"/>
      <c r="LPC118" s="181"/>
      <c r="LPD118" s="182"/>
      <c r="LPE118" s="181"/>
      <c r="LPF118" s="182"/>
      <c r="LPG118" s="181"/>
      <c r="LPH118" s="182"/>
      <c r="LPI118" s="181"/>
      <c r="LPJ118" s="182"/>
      <c r="LPK118" s="181"/>
      <c r="LPL118" s="182"/>
      <c r="LPM118" s="181"/>
      <c r="LPN118" s="182"/>
      <c r="LPO118" s="181"/>
      <c r="LPP118" s="182"/>
      <c r="LPQ118" s="181"/>
      <c r="LPR118" s="182"/>
      <c r="LPS118" s="181"/>
      <c r="LPT118" s="182"/>
      <c r="LPU118" s="181"/>
      <c r="LPV118" s="182"/>
      <c r="LPW118" s="181"/>
      <c r="LPX118" s="182"/>
      <c r="LPY118" s="181"/>
      <c r="LPZ118" s="182"/>
      <c r="LQA118" s="181"/>
      <c r="LQB118" s="182"/>
      <c r="LQC118" s="181"/>
      <c r="LQD118" s="182"/>
      <c r="LQE118" s="181"/>
      <c r="LQF118" s="182"/>
      <c r="LQG118" s="181"/>
      <c r="LQH118" s="182"/>
      <c r="LQI118" s="181"/>
      <c r="LQJ118" s="182"/>
      <c r="LQK118" s="181"/>
      <c r="LQL118" s="182"/>
      <c r="LQM118" s="181"/>
      <c r="LQN118" s="182"/>
      <c r="LQO118" s="181"/>
      <c r="LQP118" s="182"/>
      <c r="LQQ118" s="181"/>
      <c r="LQR118" s="182"/>
      <c r="LQS118" s="181"/>
      <c r="LQT118" s="182"/>
      <c r="LQU118" s="181"/>
      <c r="LQV118" s="182"/>
      <c r="LQW118" s="181"/>
      <c r="LQX118" s="182"/>
      <c r="LQY118" s="181"/>
      <c r="LQZ118" s="182"/>
      <c r="LRA118" s="181"/>
      <c r="LRB118" s="182"/>
      <c r="LRC118" s="181"/>
      <c r="LRD118" s="182"/>
      <c r="LRE118" s="181"/>
      <c r="LRF118" s="182"/>
      <c r="LRG118" s="181"/>
      <c r="LRH118" s="182"/>
      <c r="LRI118" s="181"/>
      <c r="LRJ118" s="182"/>
      <c r="LRK118" s="181"/>
      <c r="LRL118" s="182"/>
      <c r="LRM118" s="181"/>
      <c r="LRN118" s="182"/>
      <c r="LRO118" s="181"/>
      <c r="LRP118" s="182"/>
      <c r="LRQ118" s="181"/>
      <c r="LRR118" s="182"/>
      <c r="LRS118" s="181"/>
      <c r="LRT118" s="182"/>
      <c r="LRU118" s="181"/>
      <c r="LRV118" s="182"/>
      <c r="LRW118" s="181"/>
      <c r="LRX118" s="182"/>
      <c r="LRY118" s="181"/>
      <c r="LRZ118" s="182"/>
      <c r="LSA118" s="181"/>
      <c r="LSB118" s="182"/>
      <c r="LSC118" s="181"/>
      <c r="LSD118" s="182"/>
      <c r="LSE118" s="181"/>
      <c r="LSF118" s="182"/>
      <c r="LSG118" s="181"/>
      <c r="LSH118" s="182"/>
      <c r="LSI118" s="181"/>
      <c r="LSJ118" s="182"/>
      <c r="LSK118" s="181"/>
      <c r="LSL118" s="182"/>
      <c r="LSM118" s="181"/>
      <c r="LSN118" s="182"/>
      <c r="LSO118" s="181"/>
      <c r="LSP118" s="182"/>
      <c r="LSQ118" s="181"/>
      <c r="LSR118" s="182"/>
      <c r="LSS118" s="181"/>
      <c r="LST118" s="182"/>
      <c r="LSU118" s="181"/>
      <c r="LSV118" s="182"/>
      <c r="LSW118" s="181"/>
      <c r="LSX118" s="182"/>
      <c r="LSY118" s="181"/>
      <c r="LSZ118" s="182"/>
      <c r="LTA118" s="181"/>
      <c r="LTB118" s="182"/>
      <c r="LTC118" s="181"/>
      <c r="LTD118" s="182"/>
      <c r="LTE118" s="181"/>
      <c r="LTF118" s="182"/>
      <c r="LTG118" s="181"/>
      <c r="LTH118" s="182"/>
      <c r="LTI118" s="181"/>
      <c r="LTJ118" s="182"/>
      <c r="LTK118" s="181"/>
      <c r="LTL118" s="182"/>
      <c r="LTM118" s="181"/>
      <c r="LTN118" s="182"/>
      <c r="LTO118" s="181"/>
      <c r="LTP118" s="182"/>
      <c r="LTQ118" s="181"/>
      <c r="LTR118" s="182"/>
      <c r="LTS118" s="181"/>
      <c r="LTT118" s="182"/>
      <c r="LTU118" s="181"/>
      <c r="LTV118" s="182"/>
      <c r="LTW118" s="181"/>
      <c r="LTX118" s="182"/>
      <c r="LTY118" s="181"/>
      <c r="LTZ118" s="182"/>
      <c r="LUA118" s="181"/>
      <c r="LUB118" s="182"/>
      <c r="LUC118" s="181"/>
      <c r="LUD118" s="182"/>
      <c r="LUE118" s="181"/>
      <c r="LUF118" s="182"/>
      <c r="LUG118" s="181"/>
      <c r="LUH118" s="182"/>
      <c r="LUI118" s="181"/>
      <c r="LUJ118" s="182"/>
      <c r="LUK118" s="181"/>
      <c r="LUL118" s="182"/>
      <c r="LUM118" s="181"/>
      <c r="LUN118" s="182"/>
      <c r="LUO118" s="181"/>
      <c r="LUP118" s="182"/>
      <c r="LUQ118" s="181"/>
      <c r="LUR118" s="182"/>
      <c r="LUS118" s="181"/>
      <c r="LUT118" s="182"/>
      <c r="LUU118" s="181"/>
      <c r="LUV118" s="182"/>
      <c r="LUW118" s="181"/>
      <c r="LUX118" s="182"/>
      <c r="LUY118" s="181"/>
      <c r="LUZ118" s="182"/>
      <c r="LVA118" s="181"/>
      <c r="LVB118" s="182"/>
      <c r="LVC118" s="181"/>
      <c r="LVD118" s="182"/>
      <c r="LVE118" s="181"/>
      <c r="LVF118" s="182"/>
      <c r="LVG118" s="181"/>
      <c r="LVH118" s="182"/>
      <c r="LVI118" s="181"/>
      <c r="LVJ118" s="182"/>
      <c r="LVK118" s="181"/>
      <c r="LVL118" s="182"/>
      <c r="LVM118" s="181"/>
      <c r="LVN118" s="182"/>
      <c r="LVO118" s="181"/>
      <c r="LVP118" s="182"/>
      <c r="LVQ118" s="181"/>
      <c r="LVR118" s="182"/>
      <c r="LVS118" s="181"/>
      <c r="LVT118" s="182"/>
      <c r="LVU118" s="181"/>
      <c r="LVV118" s="182"/>
      <c r="LVW118" s="181"/>
      <c r="LVX118" s="182"/>
      <c r="LVY118" s="181"/>
      <c r="LVZ118" s="182"/>
      <c r="LWA118" s="181"/>
      <c r="LWB118" s="182"/>
      <c r="LWC118" s="181"/>
      <c r="LWD118" s="182"/>
      <c r="LWE118" s="181"/>
      <c r="LWF118" s="182"/>
      <c r="LWG118" s="181"/>
      <c r="LWH118" s="182"/>
      <c r="LWI118" s="181"/>
      <c r="LWJ118" s="182"/>
      <c r="LWK118" s="181"/>
      <c r="LWL118" s="182"/>
      <c r="LWM118" s="181"/>
      <c r="LWN118" s="182"/>
      <c r="LWO118" s="181"/>
      <c r="LWP118" s="182"/>
      <c r="LWQ118" s="181"/>
      <c r="LWR118" s="182"/>
      <c r="LWS118" s="181"/>
      <c r="LWT118" s="182"/>
      <c r="LWU118" s="181"/>
      <c r="LWV118" s="182"/>
      <c r="LWW118" s="181"/>
      <c r="LWX118" s="182"/>
      <c r="LWY118" s="181"/>
      <c r="LWZ118" s="182"/>
      <c r="LXA118" s="181"/>
      <c r="LXB118" s="182"/>
      <c r="LXC118" s="181"/>
      <c r="LXD118" s="182"/>
      <c r="LXE118" s="181"/>
      <c r="LXF118" s="182"/>
      <c r="LXG118" s="181"/>
      <c r="LXH118" s="182"/>
      <c r="LXI118" s="181"/>
      <c r="LXJ118" s="182"/>
      <c r="LXK118" s="181"/>
      <c r="LXL118" s="182"/>
      <c r="LXM118" s="181"/>
      <c r="LXN118" s="182"/>
      <c r="LXO118" s="181"/>
      <c r="LXP118" s="182"/>
      <c r="LXQ118" s="181"/>
      <c r="LXR118" s="182"/>
      <c r="LXS118" s="181"/>
      <c r="LXT118" s="182"/>
      <c r="LXU118" s="181"/>
      <c r="LXV118" s="182"/>
      <c r="LXW118" s="181"/>
      <c r="LXX118" s="182"/>
      <c r="LXY118" s="181"/>
      <c r="LXZ118" s="182"/>
      <c r="LYA118" s="181"/>
      <c r="LYB118" s="182"/>
      <c r="LYC118" s="181"/>
      <c r="LYD118" s="182"/>
      <c r="LYE118" s="181"/>
      <c r="LYF118" s="182"/>
      <c r="LYG118" s="181"/>
      <c r="LYH118" s="182"/>
      <c r="LYI118" s="181"/>
      <c r="LYJ118" s="182"/>
      <c r="LYK118" s="181"/>
      <c r="LYL118" s="182"/>
      <c r="LYM118" s="181"/>
      <c r="LYN118" s="182"/>
      <c r="LYO118" s="181"/>
      <c r="LYP118" s="182"/>
      <c r="LYQ118" s="181"/>
      <c r="LYR118" s="182"/>
      <c r="LYS118" s="181"/>
      <c r="LYT118" s="182"/>
      <c r="LYU118" s="181"/>
      <c r="LYV118" s="182"/>
      <c r="LYW118" s="181"/>
      <c r="LYX118" s="182"/>
      <c r="LYY118" s="181"/>
      <c r="LYZ118" s="182"/>
      <c r="LZA118" s="181"/>
      <c r="LZB118" s="182"/>
      <c r="LZC118" s="181"/>
      <c r="LZD118" s="182"/>
      <c r="LZE118" s="181"/>
      <c r="LZF118" s="182"/>
      <c r="LZG118" s="181"/>
      <c r="LZH118" s="182"/>
      <c r="LZI118" s="181"/>
      <c r="LZJ118" s="182"/>
      <c r="LZK118" s="181"/>
      <c r="LZL118" s="182"/>
      <c r="LZM118" s="181"/>
      <c r="LZN118" s="182"/>
      <c r="LZO118" s="181"/>
      <c r="LZP118" s="182"/>
      <c r="LZQ118" s="181"/>
      <c r="LZR118" s="182"/>
      <c r="LZS118" s="181"/>
      <c r="LZT118" s="182"/>
      <c r="LZU118" s="181"/>
      <c r="LZV118" s="182"/>
      <c r="LZW118" s="181"/>
      <c r="LZX118" s="182"/>
      <c r="LZY118" s="181"/>
      <c r="LZZ118" s="182"/>
      <c r="MAA118" s="181"/>
      <c r="MAB118" s="182"/>
      <c r="MAC118" s="181"/>
      <c r="MAD118" s="182"/>
      <c r="MAE118" s="181"/>
      <c r="MAF118" s="182"/>
      <c r="MAG118" s="181"/>
      <c r="MAH118" s="182"/>
      <c r="MAI118" s="181"/>
      <c r="MAJ118" s="182"/>
      <c r="MAK118" s="181"/>
      <c r="MAL118" s="182"/>
      <c r="MAM118" s="181"/>
      <c r="MAN118" s="182"/>
      <c r="MAO118" s="181"/>
      <c r="MAP118" s="182"/>
      <c r="MAQ118" s="181"/>
      <c r="MAR118" s="182"/>
      <c r="MAS118" s="181"/>
      <c r="MAT118" s="182"/>
      <c r="MAU118" s="181"/>
      <c r="MAV118" s="182"/>
      <c r="MAW118" s="181"/>
      <c r="MAX118" s="182"/>
      <c r="MAY118" s="181"/>
      <c r="MAZ118" s="182"/>
      <c r="MBA118" s="181"/>
      <c r="MBB118" s="182"/>
      <c r="MBC118" s="181"/>
      <c r="MBD118" s="182"/>
      <c r="MBE118" s="181"/>
      <c r="MBF118" s="182"/>
      <c r="MBG118" s="181"/>
      <c r="MBH118" s="182"/>
      <c r="MBI118" s="181"/>
      <c r="MBJ118" s="182"/>
      <c r="MBK118" s="181"/>
      <c r="MBL118" s="182"/>
      <c r="MBM118" s="181"/>
      <c r="MBN118" s="182"/>
      <c r="MBO118" s="181"/>
      <c r="MBP118" s="182"/>
      <c r="MBQ118" s="181"/>
      <c r="MBR118" s="182"/>
      <c r="MBS118" s="181"/>
      <c r="MBT118" s="182"/>
      <c r="MBU118" s="181"/>
      <c r="MBV118" s="182"/>
      <c r="MBW118" s="181"/>
      <c r="MBX118" s="182"/>
      <c r="MBY118" s="181"/>
      <c r="MBZ118" s="182"/>
      <c r="MCA118" s="181"/>
      <c r="MCB118" s="182"/>
      <c r="MCC118" s="181"/>
      <c r="MCD118" s="182"/>
      <c r="MCE118" s="181"/>
      <c r="MCF118" s="182"/>
      <c r="MCG118" s="181"/>
      <c r="MCH118" s="182"/>
      <c r="MCI118" s="181"/>
      <c r="MCJ118" s="182"/>
      <c r="MCK118" s="181"/>
      <c r="MCL118" s="182"/>
      <c r="MCM118" s="181"/>
      <c r="MCN118" s="182"/>
      <c r="MCO118" s="181"/>
      <c r="MCP118" s="182"/>
      <c r="MCQ118" s="181"/>
      <c r="MCR118" s="182"/>
      <c r="MCS118" s="181"/>
      <c r="MCT118" s="182"/>
      <c r="MCU118" s="181"/>
      <c r="MCV118" s="182"/>
      <c r="MCW118" s="181"/>
      <c r="MCX118" s="182"/>
      <c r="MCY118" s="181"/>
      <c r="MCZ118" s="182"/>
      <c r="MDA118" s="181"/>
      <c r="MDB118" s="182"/>
      <c r="MDC118" s="181"/>
      <c r="MDD118" s="182"/>
      <c r="MDE118" s="181"/>
      <c r="MDF118" s="182"/>
      <c r="MDG118" s="181"/>
      <c r="MDH118" s="182"/>
      <c r="MDI118" s="181"/>
      <c r="MDJ118" s="182"/>
      <c r="MDK118" s="181"/>
      <c r="MDL118" s="182"/>
      <c r="MDM118" s="181"/>
      <c r="MDN118" s="182"/>
      <c r="MDO118" s="181"/>
      <c r="MDP118" s="182"/>
      <c r="MDQ118" s="181"/>
      <c r="MDR118" s="182"/>
      <c r="MDS118" s="181"/>
      <c r="MDT118" s="182"/>
      <c r="MDU118" s="181"/>
      <c r="MDV118" s="182"/>
      <c r="MDW118" s="181"/>
      <c r="MDX118" s="182"/>
      <c r="MDY118" s="181"/>
      <c r="MDZ118" s="182"/>
      <c r="MEA118" s="181"/>
      <c r="MEB118" s="182"/>
      <c r="MEC118" s="181"/>
      <c r="MED118" s="182"/>
      <c r="MEE118" s="181"/>
      <c r="MEF118" s="182"/>
      <c r="MEG118" s="181"/>
      <c r="MEH118" s="182"/>
      <c r="MEI118" s="181"/>
      <c r="MEJ118" s="182"/>
      <c r="MEK118" s="181"/>
      <c r="MEL118" s="182"/>
      <c r="MEM118" s="181"/>
      <c r="MEN118" s="182"/>
      <c r="MEO118" s="181"/>
      <c r="MEP118" s="182"/>
      <c r="MEQ118" s="181"/>
      <c r="MER118" s="182"/>
      <c r="MES118" s="181"/>
      <c r="MET118" s="182"/>
      <c r="MEU118" s="181"/>
      <c r="MEV118" s="182"/>
      <c r="MEW118" s="181"/>
      <c r="MEX118" s="182"/>
      <c r="MEY118" s="181"/>
      <c r="MEZ118" s="182"/>
      <c r="MFA118" s="181"/>
      <c r="MFB118" s="182"/>
      <c r="MFC118" s="181"/>
      <c r="MFD118" s="182"/>
      <c r="MFE118" s="181"/>
      <c r="MFF118" s="182"/>
      <c r="MFG118" s="181"/>
      <c r="MFH118" s="182"/>
      <c r="MFI118" s="181"/>
      <c r="MFJ118" s="182"/>
      <c r="MFK118" s="181"/>
      <c r="MFL118" s="182"/>
      <c r="MFM118" s="181"/>
      <c r="MFN118" s="182"/>
      <c r="MFO118" s="181"/>
      <c r="MFP118" s="182"/>
      <c r="MFQ118" s="181"/>
      <c r="MFR118" s="182"/>
      <c r="MFS118" s="181"/>
      <c r="MFT118" s="182"/>
      <c r="MFU118" s="181"/>
      <c r="MFV118" s="182"/>
      <c r="MFW118" s="181"/>
      <c r="MFX118" s="182"/>
      <c r="MFY118" s="181"/>
      <c r="MFZ118" s="182"/>
      <c r="MGA118" s="181"/>
      <c r="MGB118" s="182"/>
      <c r="MGC118" s="181"/>
      <c r="MGD118" s="182"/>
      <c r="MGE118" s="181"/>
      <c r="MGF118" s="182"/>
      <c r="MGG118" s="181"/>
      <c r="MGH118" s="182"/>
      <c r="MGI118" s="181"/>
      <c r="MGJ118" s="182"/>
      <c r="MGK118" s="181"/>
      <c r="MGL118" s="182"/>
      <c r="MGM118" s="181"/>
      <c r="MGN118" s="182"/>
      <c r="MGO118" s="181"/>
      <c r="MGP118" s="182"/>
      <c r="MGQ118" s="181"/>
      <c r="MGR118" s="182"/>
      <c r="MGS118" s="181"/>
      <c r="MGT118" s="182"/>
      <c r="MGU118" s="181"/>
      <c r="MGV118" s="182"/>
      <c r="MGW118" s="181"/>
      <c r="MGX118" s="182"/>
      <c r="MGY118" s="181"/>
      <c r="MGZ118" s="182"/>
      <c r="MHA118" s="181"/>
      <c r="MHB118" s="182"/>
      <c r="MHC118" s="181"/>
      <c r="MHD118" s="182"/>
      <c r="MHE118" s="181"/>
      <c r="MHF118" s="182"/>
      <c r="MHG118" s="181"/>
      <c r="MHH118" s="182"/>
      <c r="MHI118" s="181"/>
      <c r="MHJ118" s="182"/>
      <c r="MHK118" s="181"/>
      <c r="MHL118" s="182"/>
      <c r="MHM118" s="181"/>
      <c r="MHN118" s="182"/>
      <c r="MHO118" s="181"/>
      <c r="MHP118" s="182"/>
      <c r="MHQ118" s="181"/>
      <c r="MHR118" s="182"/>
      <c r="MHS118" s="181"/>
      <c r="MHT118" s="182"/>
      <c r="MHU118" s="181"/>
      <c r="MHV118" s="182"/>
      <c r="MHW118" s="181"/>
      <c r="MHX118" s="182"/>
      <c r="MHY118" s="181"/>
      <c r="MHZ118" s="182"/>
      <c r="MIA118" s="181"/>
      <c r="MIB118" s="182"/>
      <c r="MIC118" s="181"/>
      <c r="MID118" s="182"/>
      <c r="MIE118" s="181"/>
      <c r="MIF118" s="182"/>
      <c r="MIG118" s="181"/>
      <c r="MIH118" s="182"/>
      <c r="MII118" s="181"/>
      <c r="MIJ118" s="182"/>
      <c r="MIK118" s="181"/>
      <c r="MIL118" s="182"/>
      <c r="MIM118" s="181"/>
      <c r="MIN118" s="182"/>
      <c r="MIO118" s="181"/>
      <c r="MIP118" s="182"/>
      <c r="MIQ118" s="181"/>
      <c r="MIR118" s="182"/>
      <c r="MIS118" s="181"/>
      <c r="MIT118" s="182"/>
      <c r="MIU118" s="181"/>
      <c r="MIV118" s="182"/>
      <c r="MIW118" s="181"/>
      <c r="MIX118" s="182"/>
      <c r="MIY118" s="181"/>
      <c r="MIZ118" s="182"/>
      <c r="MJA118" s="181"/>
      <c r="MJB118" s="182"/>
      <c r="MJC118" s="181"/>
      <c r="MJD118" s="182"/>
      <c r="MJE118" s="181"/>
      <c r="MJF118" s="182"/>
      <c r="MJG118" s="181"/>
      <c r="MJH118" s="182"/>
      <c r="MJI118" s="181"/>
      <c r="MJJ118" s="182"/>
      <c r="MJK118" s="181"/>
      <c r="MJL118" s="182"/>
      <c r="MJM118" s="181"/>
      <c r="MJN118" s="182"/>
      <c r="MJO118" s="181"/>
      <c r="MJP118" s="182"/>
      <c r="MJQ118" s="181"/>
      <c r="MJR118" s="182"/>
      <c r="MJS118" s="181"/>
      <c r="MJT118" s="182"/>
      <c r="MJU118" s="181"/>
      <c r="MJV118" s="182"/>
      <c r="MJW118" s="181"/>
      <c r="MJX118" s="182"/>
      <c r="MJY118" s="181"/>
      <c r="MJZ118" s="182"/>
      <c r="MKA118" s="181"/>
      <c r="MKB118" s="182"/>
      <c r="MKC118" s="181"/>
      <c r="MKD118" s="182"/>
      <c r="MKE118" s="181"/>
      <c r="MKF118" s="182"/>
      <c r="MKG118" s="181"/>
      <c r="MKH118" s="182"/>
      <c r="MKI118" s="181"/>
      <c r="MKJ118" s="182"/>
      <c r="MKK118" s="181"/>
      <c r="MKL118" s="182"/>
      <c r="MKM118" s="181"/>
      <c r="MKN118" s="182"/>
      <c r="MKO118" s="181"/>
      <c r="MKP118" s="182"/>
      <c r="MKQ118" s="181"/>
      <c r="MKR118" s="182"/>
      <c r="MKS118" s="181"/>
      <c r="MKT118" s="182"/>
      <c r="MKU118" s="181"/>
      <c r="MKV118" s="182"/>
      <c r="MKW118" s="181"/>
      <c r="MKX118" s="182"/>
      <c r="MKY118" s="181"/>
      <c r="MKZ118" s="182"/>
      <c r="MLA118" s="181"/>
      <c r="MLB118" s="182"/>
      <c r="MLC118" s="181"/>
      <c r="MLD118" s="182"/>
      <c r="MLE118" s="181"/>
      <c r="MLF118" s="182"/>
      <c r="MLG118" s="181"/>
      <c r="MLH118" s="182"/>
      <c r="MLI118" s="181"/>
      <c r="MLJ118" s="182"/>
      <c r="MLK118" s="181"/>
      <c r="MLL118" s="182"/>
      <c r="MLM118" s="181"/>
      <c r="MLN118" s="182"/>
      <c r="MLO118" s="181"/>
      <c r="MLP118" s="182"/>
      <c r="MLQ118" s="181"/>
      <c r="MLR118" s="182"/>
      <c r="MLS118" s="181"/>
      <c r="MLT118" s="182"/>
      <c r="MLU118" s="181"/>
      <c r="MLV118" s="182"/>
      <c r="MLW118" s="181"/>
      <c r="MLX118" s="182"/>
      <c r="MLY118" s="181"/>
      <c r="MLZ118" s="182"/>
      <c r="MMA118" s="181"/>
      <c r="MMB118" s="182"/>
      <c r="MMC118" s="181"/>
      <c r="MMD118" s="182"/>
      <c r="MME118" s="181"/>
      <c r="MMF118" s="182"/>
      <c r="MMG118" s="181"/>
      <c r="MMH118" s="182"/>
      <c r="MMI118" s="181"/>
      <c r="MMJ118" s="182"/>
      <c r="MMK118" s="181"/>
      <c r="MML118" s="182"/>
      <c r="MMM118" s="181"/>
      <c r="MMN118" s="182"/>
      <c r="MMO118" s="181"/>
      <c r="MMP118" s="182"/>
      <c r="MMQ118" s="181"/>
      <c r="MMR118" s="182"/>
      <c r="MMS118" s="181"/>
      <c r="MMT118" s="182"/>
      <c r="MMU118" s="181"/>
      <c r="MMV118" s="182"/>
      <c r="MMW118" s="181"/>
      <c r="MMX118" s="182"/>
      <c r="MMY118" s="181"/>
      <c r="MMZ118" s="182"/>
      <c r="MNA118" s="181"/>
      <c r="MNB118" s="182"/>
      <c r="MNC118" s="181"/>
      <c r="MND118" s="182"/>
      <c r="MNE118" s="181"/>
      <c r="MNF118" s="182"/>
      <c r="MNG118" s="181"/>
      <c r="MNH118" s="182"/>
      <c r="MNI118" s="181"/>
      <c r="MNJ118" s="182"/>
      <c r="MNK118" s="181"/>
      <c r="MNL118" s="182"/>
      <c r="MNM118" s="181"/>
      <c r="MNN118" s="182"/>
      <c r="MNO118" s="181"/>
      <c r="MNP118" s="182"/>
      <c r="MNQ118" s="181"/>
      <c r="MNR118" s="182"/>
      <c r="MNS118" s="181"/>
      <c r="MNT118" s="182"/>
      <c r="MNU118" s="181"/>
      <c r="MNV118" s="182"/>
      <c r="MNW118" s="181"/>
      <c r="MNX118" s="182"/>
      <c r="MNY118" s="181"/>
      <c r="MNZ118" s="182"/>
      <c r="MOA118" s="181"/>
      <c r="MOB118" s="182"/>
      <c r="MOC118" s="181"/>
      <c r="MOD118" s="182"/>
      <c r="MOE118" s="181"/>
      <c r="MOF118" s="182"/>
      <c r="MOG118" s="181"/>
      <c r="MOH118" s="182"/>
      <c r="MOI118" s="181"/>
      <c r="MOJ118" s="182"/>
      <c r="MOK118" s="181"/>
      <c r="MOL118" s="182"/>
      <c r="MOM118" s="181"/>
      <c r="MON118" s="182"/>
      <c r="MOO118" s="181"/>
      <c r="MOP118" s="182"/>
      <c r="MOQ118" s="181"/>
      <c r="MOR118" s="182"/>
      <c r="MOS118" s="181"/>
      <c r="MOT118" s="182"/>
      <c r="MOU118" s="181"/>
      <c r="MOV118" s="182"/>
      <c r="MOW118" s="181"/>
      <c r="MOX118" s="182"/>
      <c r="MOY118" s="181"/>
      <c r="MOZ118" s="182"/>
      <c r="MPA118" s="181"/>
      <c r="MPB118" s="182"/>
      <c r="MPC118" s="181"/>
      <c r="MPD118" s="182"/>
      <c r="MPE118" s="181"/>
      <c r="MPF118" s="182"/>
      <c r="MPG118" s="181"/>
      <c r="MPH118" s="182"/>
      <c r="MPI118" s="181"/>
      <c r="MPJ118" s="182"/>
      <c r="MPK118" s="181"/>
      <c r="MPL118" s="182"/>
      <c r="MPM118" s="181"/>
      <c r="MPN118" s="182"/>
      <c r="MPO118" s="181"/>
      <c r="MPP118" s="182"/>
      <c r="MPQ118" s="181"/>
      <c r="MPR118" s="182"/>
      <c r="MPS118" s="181"/>
      <c r="MPT118" s="182"/>
      <c r="MPU118" s="181"/>
      <c r="MPV118" s="182"/>
      <c r="MPW118" s="181"/>
      <c r="MPX118" s="182"/>
      <c r="MPY118" s="181"/>
      <c r="MPZ118" s="182"/>
      <c r="MQA118" s="181"/>
      <c r="MQB118" s="182"/>
      <c r="MQC118" s="181"/>
      <c r="MQD118" s="182"/>
      <c r="MQE118" s="181"/>
      <c r="MQF118" s="182"/>
      <c r="MQG118" s="181"/>
      <c r="MQH118" s="182"/>
      <c r="MQI118" s="181"/>
      <c r="MQJ118" s="182"/>
      <c r="MQK118" s="181"/>
      <c r="MQL118" s="182"/>
      <c r="MQM118" s="181"/>
      <c r="MQN118" s="182"/>
      <c r="MQO118" s="181"/>
      <c r="MQP118" s="182"/>
      <c r="MQQ118" s="181"/>
      <c r="MQR118" s="182"/>
      <c r="MQS118" s="181"/>
      <c r="MQT118" s="182"/>
      <c r="MQU118" s="181"/>
      <c r="MQV118" s="182"/>
      <c r="MQW118" s="181"/>
      <c r="MQX118" s="182"/>
      <c r="MQY118" s="181"/>
      <c r="MQZ118" s="182"/>
      <c r="MRA118" s="181"/>
      <c r="MRB118" s="182"/>
      <c r="MRC118" s="181"/>
      <c r="MRD118" s="182"/>
      <c r="MRE118" s="181"/>
      <c r="MRF118" s="182"/>
      <c r="MRG118" s="181"/>
      <c r="MRH118" s="182"/>
      <c r="MRI118" s="181"/>
      <c r="MRJ118" s="182"/>
      <c r="MRK118" s="181"/>
      <c r="MRL118" s="182"/>
      <c r="MRM118" s="181"/>
      <c r="MRN118" s="182"/>
      <c r="MRO118" s="181"/>
      <c r="MRP118" s="182"/>
      <c r="MRQ118" s="181"/>
      <c r="MRR118" s="182"/>
      <c r="MRS118" s="181"/>
      <c r="MRT118" s="182"/>
      <c r="MRU118" s="181"/>
      <c r="MRV118" s="182"/>
      <c r="MRW118" s="181"/>
      <c r="MRX118" s="182"/>
      <c r="MRY118" s="181"/>
      <c r="MRZ118" s="182"/>
      <c r="MSA118" s="181"/>
      <c r="MSB118" s="182"/>
      <c r="MSC118" s="181"/>
      <c r="MSD118" s="182"/>
      <c r="MSE118" s="181"/>
      <c r="MSF118" s="182"/>
      <c r="MSG118" s="181"/>
      <c r="MSH118" s="182"/>
      <c r="MSI118" s="181"/>
      <c r="MSJ118" s="182"/>
      <c r="MSK118" s="181"/>
      <c r="MSL118" s="182"/>
      <c r="MSM118" s="181"/>
      <c r="MSN118" s="182"/>
      <c r="MSO118" s="181"/>
      <c r="MSP118" s="182"/>
      <c r="MSQ118" s="181"/>
      <c r="MSR118" s="182"/>
      <c r="MSS118" s="181"/>
      <c r="MST118" s="182"/>
      <c r="MSU118" s="181"/>
      <c r="MSV118" s="182"/>
      <c r="MSW118" s="181"/>
      <c r="MSX118" s="182"/>
      <c r="MSY118" s="181"/>
      <c r="MSZ118" s="182"/>
      <c r="MTA118" s="181"/>
      <c r="MTB118" s="182"/>
      <c r="MTC118" s="181"/>
      <c r="MTD118" s="182"/>
      <c r="MTE118" s="181"/>
      <c r="MTF118" s="182"/>
      <c r="MTG118" s="181"/>
      <c r="MTH118" s="182"/>
      <c r="MTI118" s="181"/>
      <c r="MTJ118" s="182"/>
      <c r="MTK118" s="181"/>
      <c r="MTL118" s="182"/>
      <c r="MTM118" s="181"/>
      <c r="MTN118" s="182"/>
      <c r="MTO118" s="181"/>
      <c r="MTP118" s="182"/>
      <c r="MTQ118" s="181"/>
      <c r="MTR118" s="182"/>
      <c r="MTS118" s="181"/>
      <c r="MTT118" s="182"/>
      <c r="MTU118" s="181"/>
      <c r="MTV118" s="182"/>
      <c r="MTW118" s="181"/>
      <c r="MTX118" s="182"/>
      <c r="MTY118" s="181"/>
      <c r="MTZ118" s="182"/>
      <c r="MUA118" s="181"/>
      <c r="MUB118" s="182"/>
      <c r="MUC118" s="181"/>
      <c r="MUD118" s="182"/>
      <c r="MUE118" s="181"/>
      <c r="MUF118" s="182"/>
      <c r="MUG118" s="181"/>
      <c r="MUH118" s="182"/>
      <c r="MUI118" s="181"/>
      <c r="MUJ118" s="182"/>
      <c r="MUK118" s="181"/>
      <c r="MUL118" s="182"/>
      <c r="MUM118" s="181"/>
      <c r="MUN118" s="182"/>
      <c r="MUO118" s="181"/>
      <c r="MUP118" s="182"/>
      <c r="MUQ118" s="181"/>
      <c r="MUR118" s="182"/>
      <c r="MUS118" s="181"/>
      <c r="MUT118" s="182"/>
      <c r="MUU118" s="181"/>
      <c r="MUV118" s="182"/>
      <c r="MUW118" s="181"/>
      <c r="MUX118" s="182"/>
      <c r="MUY118" s="181"/>
      <c r="MUZ118" s="182"/>
      <c r="MVA118" s="181"/>
      <c r="MVB118" s="182"/>
      <c r="MVC118" s="181"/>
      <c r="MVD118" s="182"/>
      <c r="MVE118" s="181"/>
      <c r="MVF118" s="182"/>
      <c r="MVG118" s="181"/>
      <c r="MVH118" s="182"/>
      <c r="MVI118" s="181"/>
      <c r="MVJ118" s="182"/>
      <c r="MVK118" s="181"/>
      <c r="MVL118" s="182"/>
      <c r="MVM118" s="181"/>
      <c r="MVN118" s="182"/>
      <c r="MVO118" s="181"/>
      <c r="MVP118" s="182"/>
      <c r="MVQ118" s="181"/>
      <c r="MVR118" s="182"/>
      <c r="MVS118" s="181"/>
      <c r="MVT118" s="182"/>
      <c r="MVU118" s="181"/>
      <c r="MVV118" s="182"/>
      <c r="MVW118" s="181"/>
      <c r="MVX118" s="182"/>
      <c r="MVY118" s="181"/>
      <c r="MVZ118" s="182"/>
      <c r="MWA118" s="181"/>
      <c r="MWB118" s="182"/>
      <c r="MWC118" s="181"/>
      <c r="MWD118" s="182"/>
      <c r="MWE118" s="181"/>
      <c r="MWF118" s="182"/>
      <c r="MWG118" s="181"/>
      <c r="MWH118" s="182"/>
      <c r="MWI118" s="181"/>
      <c r="MWJ118" s="182"/>
      <c r="MWK118" s="181"/>
      <c r="MWL118" s="182"/>
      <c r="MWM118" s="181"/>
      <c r="MWN118" s="182"/>
      <c r="MWO118" s="181"/>
      <c r="MWP118" s="182"/>
      <c r="MWQ118" s="181"/>
      <c r="MWR118" s="182"/>
      <c r="MWS118" s="181"/>
      <c r="MWT118" s="182"/>
      <c r="MWU118" s="181"/>
      <c r="MWV118" s="182"/>
      <c r="MWW118" s="181"/>
      <c r="MWX118" s="182"/>
      <c r="MWY118" s="181"/>
      <c r="MWZ118" s="182"/>
      <c r="MXA118" s="181"/>
      <c r="MXB118" s="182"/>
      <c r="MXC118" s="181"/>
      <c r="MXD118" s="182"/>
      <c r="MXE118" s="181"/>
      <c r="MXF118" s="182"/>
      <c r="MXG118" s="181"/>
      <c r="MXH118" s="182"/>
      <c r="MXI118" s="181"/>
      <c r="MXJ118" s="182"/>
      <c r="MXK118" s="181"/>
      <c r="MXL118" s="182"/>
      <c r="MXM118" s="181"/>
      <c r="MXN118" s="182"/>
      <c r="MXO118" s="181"/>
      <c r="MXP118" s="182"/>
      <c r="MXQ118" s="181"/>
      <c r="MXR118" s="182"/>
      <c r="MXS118" s="181"/>
      <c r="MXT118" s="182"/>
      <c r="MXU118" s="181"/>
      <c r="MXV118" s="182"/>
      <c r="MXW118" s="181"/>
      <c r="MXX118" s="182"/>
      <c r="MXY118" s="181"/>
      <c r="MXZ118" s="182"/>
      <c r="MYA118" s="181"/>
      <c r="MYB118" s="182"/>
      <c r="MYC118" s="181"/>
      <c r="MYD118" s="182"/>
      <c r="MYE118" s="181"/>
      <c r="MYF118" s="182"/>
      <c r="MYG118" s="181"/>
      <c r="MYH118" s="182"/>
      <c r="MYI118" s="181"/>
      <c r="MYJ118" s="182"/>
      <c r="MYK118" s="181"/>
      <c r="MYL118" s="182"/>
      <c r="MYM118" s="181"/>
      <c r="MYN118" s="182"/>
      <c r="MYO118" s="181"/>
      <c r="MYP118" s="182"/>
      <c r="MYQ118" s="181"/>
      <c r="MYR118" s="182"/>
      <c r="MYS118" s="181"/>
      <c r="MYT118" s="182"/>
      <c r="MYU118" s="181"/>
      <c r="MYV118" s="182"/>
      <c r="MYW118" s="181"/>
      <c r="MYX118" s="182"/>
      <c r="MYY118" s="181"/>
      <c r="MYZ118" s="182"/>
      <c r="MZA118" s="181"/>
      <c r="MZB118" s="182"/>
      <c r="MZC118" s="181"/>
      <c r="MZD118" s="182"/>
      <c r="MZE118" s="181"/>
      <c r="MZF118" s="182"/>
      <c r="MZG118" s="181"/>
      <c r="MZH118" s="182"/>
      <c r="MZI118" s="181"/>
      <c r="MZJ118" s="182"/>
      <c r="MZK118" s="181"/>
      <c r="MZL118" s="182"/>
      <c r="MZM118" s="181"/>
      <c r="MZN118" s="182"/>
      <c r="MZO118" s="181"/>
      <c r="MZP118" s="182"/>
      <c r="MZQ118" s="181"/>
      <c r="MZR118" s="182"/>
      <c r="MZS118" s="181"/>
      <c r="MZT118" s="182"/>
      <c r="MZU118" s="181"/>
      <c r="MZV118" s="182"/>
      <c r="MZW118" s="181"/>
      <c r="MZX118" s="182"/>
      <c r="MZY118" s="181"/>
      <c r="MZZ118" s="182"/>
      <c r="NAA118" s="181"/>
      <c r="NAB118" s="182"/>
      <c r="NAC118" s="181"/>
      <c r="NAD118" s="182"/>
      <c r="NAE118" s="181"/>
      <c r="NAF118" s="182"/>
      <c r="NAG118" s="181"/>
      <c r="NAH118" s="182"/>
      <c r="NAI118" s="181"/>
      <c r="NAJ118" s="182"/>
      <c r="NAK118" s="181"/>
      <c r="NAL118" s="182"/>
      <c r="NAM118" s="181"/>
      <c r="NAN118" s="182"/>
      <c r="NAO118" s="181"/>
      <c r="NAP118" s="182"/>
      <c r="NAQ118" s="181"/>
      <c r="NAR118" s="182"/>
      <c r="NAS118" s="181"/>
      <c r="NAT118" s="182"/>
      <c r="NAU118" s="181"/>
      <c r="NAV118" s="182"/>
      <c r="NAW118" s="181"/>
      <c r="NAX118" s="182"/>
      <c r="NAY118" s="181"/>
      <c r="NAZ118" s="182"/>
      <c r="NBA118" s="181"/>
      <c r="NBB118" s="182"/>
      <c r="NBC118" s="181"/>
      <c r="NBD118" s="182"/>
      <c r="NBE118" s="181"/>
      <c r="NBF118" s="182"/>
      <c r="NBG118" s="181"/>
      <c r="NBH118" s="182"/>
      <c r="NBI118" s="181"/>
      <c r="NBJ118" s="182"/>
      <c r="NBK118" s="181"/>
      <c r="NBL118" s="182"/>
      <c r="NBM118" s="181"/>
      <c r="NBN118" s="182"/>
      <c r="NBO118" s="181"/>
      <c r="NBP118" s="182"/>
      <c r="NBQ118" s="181"/>
      <c r="NBR118" s="182"/>
      <c r="NBS118" s="181"/>
      <c r="NBT118" s="182"/>
      <c r="NBU118" s="181"/>
      <c r="NBV118" s="182"/>
      <c r="NBW118" s="181"/>
      <c r="NBX118" s="182"/>
      <c r="NBY118" s="181"/>
      <c r="NBZ118" s="182"/>
      <c r="NCA118" s="181"/>
      <c r="NCB118" s="182"/>
      <c r="NCC118" s="181"/>
      <c r="NCD118" s="182"/>
      <c r="NCE118" s="181"/>
      <c r="NCF118" s="182"/>
      <c r="NCG118" s="181"/>
      <c r="NCH118" s="182"/>
      <c r="NCI118" s="181"/>
      <c r="NCJ118" s="182"/>
      <c r="NCK118" s="181"/>
      <c r="NCL118" s="182"/>
      <c r="NCM118" s="181"/>
      <c r="NCN118" s="182"/>
      <c r="NCO118" s="181"/>
      <c r="NCP118" s="182"/>
      <c r="NCQ118" s="181"/>
      <c r="NCR118" s="182"/>
      <c r="NCS118" s="181"/>
      <c r="NCT118" s="182"/>
      <c r="NCU118" s="181"/>
      <c r="NCV118" s="182"/>
      <c r="NCW118" s="181"/>
      <c r="NCX118" s="182"/>
      <c r="NCY118" s="181"/>
      <c r="NCZ118" s="182"/>
      <c r="NDA118" s="181"/>
      <c r="NDB118" s="182"/>
      <c r="NDC118" s="181"/>
      <c r="NDD118" s="182"/>
      <c r="NDE118" s="181"/>
      <c r="NDF118" s="182"/>
      <c r="NDG118" s="181"/>
      <c r="NDH118" s="182"/>
      <c r="NDI118" s="181"/>
      <c r="NDJ118" s="182"/>
      <c r="NDK118" s="181"/>
      <c r="NDL118" s="182"/>
      <c r="NDM118" s="181"/>
      <c r="NDN118" s="182"/>
      <c r="NDO118" s="181"/>
      <c r="NDP118" s="182"/>
      <c r="NDQ118" s="181"/>
      <c r="NDR118" s="182"/>
      <c r="NDS118" s="181"/>
      <c r="NDT118" s="182"/>
      <c r="NDU118" s="181"/>
      <c r="NDV118" s="182"/>
      <c r="NDW118" s="181"/>
      <c r="NDX118" s="182"/>
      <c r="NDY118" s="181"/>
      <c r="NDZ118" s="182"/>
      <c r="NEA118" s="181"/>
      <c r="NEB118" s="182"/>
      <c r="NEC118" s="181"/>
      <c r="NED118" s="182"/>
      <c r="NEE118" s="181"/>
      <c r="NEF118" s="182"/>
      <c r="NEG118" s="181"/>
      <c r="NEH118" s="182"/>
      <c r="NEI118" s="181"/>
      <c r="NEJ118" s="182"/>
      <c r="NEK118" s="181"/>
      <c r="NEL118" s="182"/>
      <c r="NEM118" s="181"/>
      <c r="NEN118" s="182"/>
      <c r="NEO118" s="181"/>
      <c r="NEP118" s="182"/>
      <c r="NEQ118" s="181"/>
      <c r="NER118" s="182"/>
      <c r="NES118" s="181"/>
      <c r="NET118" s="182"/>
      <c r="NEU118" s="181"/>
      <c r="NEV118" s="182"/>
      <c r="NEW118" s="181"/>
      <c r="NEX118" s="182"/>
      <c r="NEY118" s="181"/>
      <c r="NEZ118" s="182"/>
      <c r="NFA118" s="181"/>
      <c r="NFB118" s="182"/>
      <c r="NFC118" s="181"/>
      <c r="NFD118" s="182"/>
      <c r="NFE118" s="181"/>
      <c r="NFF118" s="182"/>
      <c r="NFG118" s="181"/>
      <c r="NFH118" s="182"/>
      <c r="NFI118" s="181"/>
      <c r="NFJ118" s="182"/>
      <c r="NFK118" s="181"/>
      <c r="NFL118" s="182"/>
      <c r="NFM118" s="181"/>
      <c r="NFN118" s="182"/>
      <c r="NFO118" s="181"/>
      <c r="NFP118" s="182"/>
      <c r="NFQ118" s="181"/>
      <c r="NFR118" s="182"/>
      <c r="NFS118" s="181"/>
      <c r="NFT118" s="182"/>
      <c r="NFU118" s="181"/>
      <c r="NFV118" s="182"/>
      <c r="NFW118" s="181"/>
      <c r="NFX118" s="182"/>
      <c r="NFY118" s="181"/>
      <c r="NFZ118" s="182"/>
      <c r="NGA118" s="181"/>
      <c r="NGB118" s="182"/>
      <c r="NGC118" s="181"/>
      <c r="NGD118" s="182"/>
      <c r="NGE118" s="181"/>
      <c r="NGF118" s="182"/>
      <c r="NGG118" s="181"/>
      <c r="NGH118" s="182"/>
      <c r="NGI118" s="181"/>
      <c r="NGJ118" s="182"/>
      <c r="NGK118" s="181"/>
      <c r="NGL118" s="182"/>
      <c r="NGM118" s="181"/>
      <c r="NGN118" s="182"/>
      <c r="NGO118" s="181"/>
      <c r="NGP118" s="182"/>
      <c r="NGQ118" s="181"/>
      <c r="NGR118" s="182"/>
      <c r="NGS118" s="181"/>
      <c r="NGT118" s="182"/>
      <c r="NGU118" s="181"/>
      <c r="NGV118" s="182"/>
      <c r="NGW118" s="181"/>
      <c r="NGX118" s="182"/>
      <c r="NGY118" s="181"/>
      <c r="NGZ118" s="182"/>
      <c r="NHA118" s="181"/>
      <c r="NHB118" s="182"/>
      <c r="NHC118" s="181"/>
      <c r="NHD118" s="182"/>
      <c r="NHE118" s="181"/>
      <c r="NHF118" s="182"/>
      <c r="NHG118" s="181"/>
      <c r="NHH118" s="182"/>
      <c r="NHI118" s="181"/>
      <c r="NHJ118" s="182"/>
      <c r="NHK118" s="181"/>
      <c r="NHL118" s="182"/>
      <c r="NHM118" s="181"/>
      <c r="NHN118" s="182"/>
      <c r="NHO118" s="181"/>
      <c r="NHP118" s="182"/>
      <c r="NHQ118" s="181"/>
      <c r="NHR118" s="182"/>
      <c r="NHS118" s="181"/>
      <c r="NHT118" s="182"/>
      <c r="NHU118" s="181"/>
      <c r="NHV118" s="182"/>
      <c r="NHW118" s="181"/>
      <c r="NHX118" s="182"/>
      <c r="NHY118" s="181"/>
      <c r="NHZ118" s="182"/>
      <c r="NIA118" s="181"/>
      <c r="NIB118" s="182"/>
      <c r="NIC118" s="181"/>
      <c r="NID118" s="182"/>
      <c r="NIE118" s="181"/>
      <c r="NIF118" s="182"/>
      <c r="NIG118" s="181"/>
      <c r="NIH118" s="182"/>
      <c r="NII118" s="181"/>
      <c r="NIJ118" s="182"/>
      <c r="NIK118" s="181"/>
      <c r="NIL118" s="182"/>
      <c r="NIM118" s="181"/>
      <c r="NIN118" s="182"/>
      <c r="NIO118" s="181"/>
      <c r="NIP118" s="182"/>
      <c r="NIQ118" s="181"/>
      <c r="NIR118" s="182"/>
      <c r="NIS118" s="181"/>
      <c r="NIT118" s="182"/>
      <c r="NIU118" s="181"/>
      <c r="NIV118" s="182"/>
      <c r="NIW118" s="181"/>
      <c r="NIX118" s="182"/>
      <c r="NIY118" s="181"/>
      <c r="NIZ118" s="182"/>
      <c r="NJA118" s="181"/>
      <c r="NJB118" s="182"/>
      <c r="NJC118" s="181"/>
      <c r="NJD118" s="182"/>
      <c r="NJE118" s="181"/>
      <c r="NJF118" s="182"/>
      <c r="NJG118" s="181"/>
      <c r="NJH118" s="182"/>
      <c r="NJI118" s="181"/>
      <c r="NJJ118" s="182"/>
      <c r="NJK118" s="181"/>
      <c r="NJL118" s="182"/>
      <c r="NJM118" s="181"/>
      <c r="NJN118" s="182"/>
      <c r="NJO118" s="181"/>
      <c r="NJP118" s="182"/>
      <c r="NJQ118" s="181"/>
      <c r="NJR118" s="182"/>
      <c r="NJS118" s="181"/>
      <c r="NJT118" s="182"/>
      <c r="NJU118" s="181"/>
      <c r="NJV118" s="182"/>
      <c r="NJW118" s="181"/>
      <c r="NJX118" s="182"/>
      <c r="NJY118" s="181"/>
      <c r="NJZ118" s="182"/>
      <c r="NKA118" s="181"/>
      <c r="NKB118" s="182"/>
      <c r="NKC118" s="181"/>
      <c r="NKD118" s="182"/>
      <c r="NKE118" s="181"/>
      <c r="NKF118" s="182"/>
      <c r="NKG118" s="181"/>
      <c r="NKH118" s="182"/>
      <c r="NKI118" s="181"/>
      <c r="NKJ118" s="182"/>
      <c r="NKK118" s="181"/>
      <c r="NKL118" s="182"/>
      <c r="NKM118" s="181"/>
      <c r="NKN118" s="182"/>
      <c r="NKO118" s="181"/>
      <c r="NKP118" s="182"/>
      <c r="NKQ118" s="181"/>
      <c r="NKR118" s="182"/>
      <c r="NKS118" s="181"/>
      <c r="NKT118" s="182"/>
      <c r="NKU118" s="181"/>
      <c r="NKV118" s="182"/>
      <c r="NKW118" s="181"/>
      <c r="NKX118" s="182"/>
      <c r="NKY118" s="181"/>
      <c r="NKZ118" s="182"/>
      <c r="NLA118" s="181"/>
      <c r="NLB118" s="182"/>
      <c r="NLC118" s="181"/>
      <c r="NLD118" s="182"/>
      <c r="NLE118" s="181"/>
      <c r="NLF118" s="182"/>
      <c r="NLG118" s="181"/>
      <c r="NLH118" s="182"/>
      <c r="NLI118" s="181"/>
      <c r="NLJ118" s="182"/>
      <c r="NLK118" s="181"/>
      <c r="NLL118" s="182"/>
      <c r="NLM118" s="181"/>
      <c r="NLN118" s="182"/>
      <c r="NLO118" s="181"/>
      <c r="NLP118" s="182"/>
      <c r="NLQ118" s="181"/>
      <c r="NLR118" s="182"/>
      <c r="NLS118" s="181"/>
      <c r="NLT118" s="182"/>
      <c r="NLU118" s="181"/>
      <c r="NLV118" s="182"/>
      <c r="NLW118" s="181"/>
      <c r="NLX118" s="182"/>
      <c r="NLY118" s="181"/>
      <c r="NLZ118" s="182"/>
      <c r="NMA118" s="181"/>
      <c r="NMB118" s="182"/>
      <c r="NMC118" s="181"/>
      <c r="NMD118" s="182"/>
      <c r="NME118" s="181"/>
      <c r="NMF118" s="182"/>
      <c r="NMG118" s="181"/>
      <c r="NMH118" s="182"/>
      <c r="NMI118" s="181"/>
      <c r="NMJ118" s="182"/>
      <c r="NMK118" s="181"/>
      <c r="NML118" s="182"/>
      <c r="NMM118" s="181"/>
      <c r="NMN118" s="182"/>
      <c r="NMO118" s="181"/>
      <c r="NMP118" s="182"/>
      <c r="NMQ118" s="181"/>
      <c r="NMR118" s="182"/>
      <c r="NMS118" s="181"/>
      <c r="NMT118" s="182"/>
      <c r="NMU118" s="181"/>
      <c r="NMV118" s="182"/>
      <c r="NMW118" s="181"/>
      <c r="NMX118" s="182"/>
      <c r="NMY118" s="181"/>
      <c r="NMZ118" s="182"/>
      <c r="NNA118" s="181"/>
      <c r="NNB118" s="182"/>
      <c r="NNC118" s="181"/>
      <c r="NND118" s="182"/>
      <c r="NNE118" s="181"/>
      <c r="NNF118" s="182"/>
      <c r="NNG118" s="181"/>
      <c r="NNH118" s="182"/>
      <c r="NNI118" s="181"/>
      <c r="NNJ118" s="182"/>
      <c r="NNK118" s="181"/>
      <c r="NNL118" s="182"/>
      <c r="NNM118" s="181"/>
      <c r="NNN118" s="182"/>
      <c r="NNO118" s="181"/>
      <c r="NNP118" s="182"/>
      <c r="NNQ118" s="181"/>
      <c r="NNR118" s="182"/>
      <c r="NNS118" s="181"/>
      <c r="NNT118" s="182"/>
      <c r="NNU118" s="181"/>
      <c r="NNV118" s="182"/>
      <c r="NNW118" s="181"/>
      <c r="NNX118" s="182"/>
      <c r="NNY118" s="181"/>
      <c r="NNZ118" s="182"/>
      <c r="NOA118" s="181"/>
      <c r="NOB118" s="182"/>
      <c r="NOC118" s="181"/>
      <c r="NOD118" s="182"/>
      <c r="NOE118" s="181"/>
      <c r="NOF118" s="182"/>
      <c r="NOG118" s="181"/>
      <c r="NOH118" s="182"/>
      <c r="NOI118" s="181"/>
      <c r="NOJ118" s="182"/>
      <c r="NOK118" s="181"/>
      <c r="NOL118" s="182"/>
      <c r="NOM118" s="181"/>
      <c r="NON118" s="182"/>
      <c r="NOO118" s="181"/>
      <c r="NOP118" s="182"/>
      <c r="NOQ118" s="181"/>
      <c r="NOR118" s="182"/>
      <c r="NOS118" s="181"/>
      <c r="NOT118" s="182"/>
      <c r="NOU118" s="181"/>
      <c r="NOV118" s="182"/>
      <c r="NOW118" s="181"/>
      <c r="NOX118" s="182"/>
      <c r="NOY118" s="181"/>
      <c r="NOZ118" s="182"/>
      <c r="NPA118" s="181"/>
      <c r="NPB118" s="182"/>
      <c r="NPC118" s="181"/>
      <c r="NPD118" s="182"/>
      <c r="NPE118" s="181"/>
      <c r="NPF118" s="182"/>
      <c r="NPG118" s="181"/>
      <c r="NPH118" s="182"/>
      <c r="NPI118" s="181"/>
      <c r="NPJ118" s="182"/>
      <c r="NPK118" s="181"/>
      <c r="NPL118" s="182"/>
      <c r="NPM118" s="181"/>
      <c r="NPN118" s="182"/>
      <c r="NPO118" s="181"/>
      <c r="NPP118" s="182"/>
      <c r="NPQ118" s="181"/>
      <c r="NPR118" s="182"/>
      <c r="NPS118" s="181"/>
      <c r="NPT118" s="182"/>
      <c r="NPU118" s="181"/>
      <c r="NPV118" s="182"/>
      <c r="NPW118" s="181"/>
      <c r="NPX118" s="182"/>
      <c r="NPY118" s="181"/>
      <c r="NPZ118" s="182"/>
      <c r="NQA118" s="181"/>
      <c r="NQB118" s="182"/>
      <c r="NQC118" s="181"/>
      <c r="NQD118" s="182"/>
      <c r="NQE118" s="181"/>
      <c r="NQF118" s="182"/>
      <c r="NQG118" s="181"/>
      <c r="NQH118" s="182"/>
      <c r="NQI118" s="181"/>
      <c r="NQJ118" s="182"/>
      <c r="NQK118" s="181"/>
      <c r="NQL118" s="182"/>
      <c r="NQM118" s="181"/>
      <c r="NQN118" s="182"/>
      <c r="NQO118" s="181"/>
      <c r="NQP118" s="182"/>
      <c r="NQQ118" s="181"/>
      <c r="NQR118" s="182"/>
      <c r="NQS118" s="181"/>
      <c r="NQT118" s="182"/>
      <c r="NQU118" s="181"/>
      <c r="NQV118" s="182"/>
      <c r="NQW118" s="181"/>
      <c r="NQX118" s="182"/>
      <c r="NQY118" s="181"/>
      <c r="NQZ118" s="182"/>
      <c r="NRA118" s="181"/>
      <c r="NRB118" s="182"/>
      <c r="NRC118" s="181"/>
      <c r="NRD118" s="182"/>
      <c r="NRE118" s="181"/>
      <c r="NRF118" s="182"/>
      <c r="NRG118" s="181"/>
      <c r="NRH118" s="182"/>
      <c r="NRI118" s="181"/>
      <c r="NRJ118" s="182"/>
      <c r="NRK118" s="181"/>
      <c r="NRL118" s="182"/>
      <c r="NRM118" s="181"/>
      <c r="NRN118" s="182"/>
      <c r="NRO118" s="181"/>
      <c r="NRP118" s="182"/>
      <c r="NRQ118" s="181"/>
      <c r="NRR118" s="182"/>
      <c r="NRS118" s="181"/>
      <c r="NRT118" s="182"/>
      <c r="NRU118" s="181"/>
      <c r="NRV118" s="182"/>
      <c r="NRW118" s="181"/>
      <c r="NRX118" s="182"/>
      <c r="NRY118" s="181"/>
      <c r="NRZ118" s="182"/>
      <c r="NSA118" s="181"/>
      <c r="NSB118" s="182"/>
      <c r="NSC118" s="181"/>
      <c r="NSD118" s="182"/>
      <c r="NSE118" s="181"/>
      <c r="NSF118" s="182"/>
      <c r="NSG118" s="181"/>
      <c r="NSH118" s="182"/>
      <c r="NSI118" s="181"/>
      <c r="NSJ118" s="182"/>
      <c r="NSK118" s="181"/>
      <c r="NSL118" s="182"/>
      <c r="NSM118" s="181"/>
      <c r="NSN118" s="182"/>
      <c r="NSO118" s="181"/>
      <c r="NSP118" s="182"/>
      <c r="NSQ118" s="181"/>
      <c r="NSR118" s="182"/>
      <c r="NSS118" s="181"/>
      <c r="NST118" s="182"/>
      <c r="NSU118" s="181"/>
      <c r="NSV118" s="182"/>
      <c r="NSW118" s="181"/>
      <c r="NSX118" s="182"/>
      <c r="NSY118" s="181"/>
      <c r="NSZ118" s="182"/>
      <c r="NTA118" s="181"/>
      <c r="NTB118" s="182"/>
      <c r="NTC118" s="181"/>
      <c r="NTD118" s="182"/>
      <c r="NTE118" s="181"/>
      <c r="NTF118" s="182"/>
      <c r="NTG118" s="181"/>
      <c r="NTH118" s="182"/>
      <c r="NTI118" s="181"/>
      <c r="NTJ118" s="182"/>
      <c r="NTK118" s="181"/>
      <c r="NTL118" s="182"/>
      <c r="NTM118" s="181"/>
      <c r="NTN118" s="182"/>
      <c r="NTO118" s="181"/>
      <c r="NTP118" s="182"/>
      <c r="NTQ118" s="181"/>
      <c r="NTR118" s="182"/>
      <c r="NTS118" s="181"/>
      <c r="NTT118" s="182"/>
      <c r="NTU118" s="181"/>
      <c r="NTV118" s="182"/>
      <c r="NTW118" s="181"/>
      <c r="NTX118" s="182"/>
      <c r="NTY118" s="181"/>
      <c r="NTZ118" s="182"/>
      <c r="NUA118" s="181"/>
      <c r="NUB118" s="182"/>
      <c r="NUC118" s="181"/>
      <c r="NUD118" s="182"/>
      <c r="NUE118" s="181"/>
      <c r="NUF118" s="182"/>
      <c r="NUG118" s="181"/>
      <c r="NUH118" s="182"/>
      <c r="NUI118" s="181"/>
      <c r="NUJ118" s="182"/>
      <c r="NUK118" s="181"/>
      <c r="NUL118" s="182"/>
      <c r="NUM118" s="181"/>
      <c r="NUN118" s="182"/>
      <c r="NUO118" s="181"/>
      <c r="NUP118" s="182"/>
      <c r="NUQ118" s="181"/>
      <c r="NUR118" s="182"/>
      <c r="NUS118" s="181"/>
      <c r="NUT118" s="182"/>
      <c r="NUU118" s="181"/>
      <c r="NUV118" s="182"/>
      <c r="NUW118" s="181"/>
      <c r="NUX118" s="182"/>
      <c r="NUY118" s="181"/>
      <c r="NUZ118" s="182"/>
      <c r="NVA118" s="181"/>
      <c r="NVB118" s="182"/>
      <c r="NVC118" s="181"/>
      <c r="NVD118" s="182"/>
      <c r="NVE118" s="181"/>
      <c r="NVF118" s="182"/>
      <c r="NVG118" s="181"/>
      <c r="NVH118" s="182"/>
      <c r="NVI118" s="181"/>
      <c r="NVJ118" s="182"/>
      <c r="NVK118" s="181"/>
      <c r="NVL118" s="182"/>
      <c r="NVM118" s="181"/>
      <c r="NVN118" s="182"/>
      <c r="NVO118" s="181"/>
      <c r="NVP118" s="182"/>
      <c r="NVQ118" s="181"/>
      <c r="NVR118" s="182"/>
      <c r="NVS118" s="181"/>
      <c r="NVT118" s="182"/>
      <c r="NVU118" s="181"/>
      <c r="NVV118" s="182"/>
      <c r="NVW118" s="181"/>
      <c r="NVX118" s="182"/>
      <c r="NVY118" s="181"/>
      <c r="NVZ118" s="182"/>
      <c r="NWA118" s="181"/>
      <c r="NWB118" s="182"/>
      <c r="NWC118" s="181"/>
      <c r="NWD118" s="182"/>
      <c r="NWE118" s="181"/>
      <c r="NWF118" s="182"/>
      <c r="NWG118" s="181"/>
      <c r="NWH118" s="182"/>
      <c r="NWI118" s="181"/>
      <c r="NWJ118" s="182"/>
      <c r="NWK118" s="181"/>
      <c r="NWL118" s="182"/>
      <c r="NWM118" s="181"/>
      <c r="NWN118" s="182"/>
      <c r="NWO118" s="181"/>
      <c r="NWP118" s="182"/>
      <c r="NWQ118" s="181"/>
      <c r="NWR118" s="182"/>
      <c r="NWS118" s="181"/>
      <c r="NWT118" s="182"/>
      <c r="NWU118" s="181"/>
      <c r="NWV118" s="182"/>
      <c r="NWW118" s="181"/>
      <c r="NWX118" s="182"/>
      <c r="NWY118" s="181"/>
      <c r="NWZ118" s="182"/>
      <c r="NXA118" s="181"/>
      <c r="NXB118" s="182"/>
      <c r="NXC118" s="181"/>
      <c r="NXD118" s="182"/>
      <c r="NXE118" s="181"/>
      <c r="NXF118" s="182"/>
      <c r="NXG118" s="181"/>
      <c r="NXH118" s="182"/>
      <c r="NXI118" s="181"/>
      <c r="NXJ118" s="182"/>
      <c r="NXK118" s="181"/>
      <c r="NXL118" s="182"/>
      <c r="NXM118" s="181"/>
      <c r="NXN118" s="182"/>
      <c r="NXO118" s="181"/>
      <c r="NXP118" s="182"/>
      <c r="NXQ118" s="181"/>
      <c r="NXR118" s="182"/>
      <c r="NXS118" s="181"/>
      <c r="NXT118" s="182"/>
      <c r="NXU118" s="181"/>
      <c r="NXV118" s="182"/>
      <c r="NXW118" s="181"/>
      <c r="NXX118" s="182"/>
      <c r="NXY118" s="181"/>
      <c r="NXZ118" s="182"/>
      <c r="NYA118" s="181"/>
      <c r="NYB118" s="182"/>
      <c r="NYC118" s="181"/>
      <c r="NYD118" s="182"/>
      <c r="NYE118" s="181"/>
      <c r="NYF118" s="182"/>
      <c r="NYG118" s="181"/>
      <c r="NYH118" s="182"/>
      <c r="NYI118" s="181"/>
      <c r="NYJ118" s="182"/>
      <c r="NYK118" s="181"/>
      <c r="NYL118" s="182"/>
      <c r="NYM118" s="181"/>
      <c r="NYN118" s="182"/>
      <c r="NYO118" s="181"/>
      <c r="NYP118" s="182"/>
      <c r="NYQ118" s="181"/>
      <c r="NYR118" s="182"/>
      <c r="NYS118" s="181"/>
      <c r="NYT118" s="182"/>
      <c r="NYU118" s="181"/>
      <c r="NYV118" s="182"/>
      <c r="NYW118" s="181"/>
      <c r="NYX118" s="182"/>
      <c r="NYY118" s="181"/>
      <c r="NYZ118" s="182"/>
      <c r="NZA118" s="181"/>
      <c r="NZB118" s="182"/>
      <c r="NZC118" s="181"/>
      <c r="NZD118" s="182"/>
      <c r="NZE118" s="181"/>
      <c r="NZF118" s="182"/>
      <c r="NZG118" s="181"/>
      <c r="NZH118" s="182"/>
      <c r="NZI118" s="181"/>
      <c r="NZJ118" s="182"/>
      <c r="NZK118" s="181"/>
      <c r="NZL118" s="182"/>
      <c r="NZM118" s="181"/>
      <c r="NZN118" s="182"/>
      <c r="NZO118" s="181"/>
      <c r="NZP118" s="182"/>
      <c r="NZQ118" s="181"/>
      <c r="NZR118" s="182"/>
      <c r="NZS118" s="181"/>
      <c r="NZT118" s="182"/>
      <c r="NZU118" s="181"/>
      <c r="NZV118" s="182"/>
      <c r="NZW118" s="181"/>
      <c r="NZX118" s="182"/>
      <c r="NZY118" s="181"/>
      <c r="NZZ118" s="182"/>
      <c r="OAA118" s="181"/>
      <c r="OAB118" s="182"/>
      <c r="OAC118" s="181"/>
      <c r="OAD118" s="182"/>
      <c r="OAE118" s="181"/>
      <c r="OAF118" s="182"/>
      <c r="OAG118" s="181"/>
      <c r="OAH118" s="182"/>
      <c r="OAI118" s="181"/>
      <c r="OAJ118" s="182"/>
      <c r="OAK118" s="181"/>
      <c r="OAL118" s="182"/>
      <c r="OAM118" s="181"/>
      <c r="OAN118" s="182"/>
      <c r="OAO118" s="181"/>
      <c r="OAP118" s="182"/>
      <c r="OAQ118" s="181"/>
      <c r="OAR118" s="182"/>
      <c r="OAS118" s="181"/>
      <c r="OAT118" s="182"/>
      <c r="OAU118" s="181"/>
      <c r="OAV118" s="182"/>
      <c r="OAW118" s="181"/>
      <c r="OAX118" s="182"/>
      <c r="OAY118" s="181"/>
      <c r="OAZ118" s="182"/>
      <c r="OBA118" s="181"/>
      <c r="OBB118" s="182"/>
      <c r="OBC118" s="181"/>
      <c r="OBD118" s="182"/>
      <c r="OBE118" s="181"/>
      <c r="OBF118" s="182"/>
      <c r="OBG118" s="181"/>
      <c r="OBH118" s="182"/>
      <c r="OBI118" s="181"/>
      <c r="OBJ118" s="182"/>
      <c r="OBK118" s="181"/>
      <c r="OBL118" s="182"/>
      <c r="OBM118" s="181"/>
      <c r="OBN118" s="182"/>
      <c r="OBO118" s="181"/>
      <c r="OBP118" s="182"/>
      <c r="OBQ118" s="181"/>
      <c r="OBR118" s="182"/>
      <c r="OBS118" s="181"/>
      <c r="OBT118" s="182"/>
      <c r="OBU118" s="181"/>
      <c r="OBV118" s="182"/>
      <c r="OBW118" s="181"/>
      <c r="OBX118" s="182"/>
      <c r="OBY118" s="181"/>
      <c r="OBZ118" s="182"/>
      <c r="OCA118" s="181"/>
      <c r="OCB118" s="182"/>
      <c r="OCC118" s="181"/>
      <c r="OCD118" s="182"/>
      <c r="OCE118" s="181"/>
      <c r="OCF118" s="182"/>
      <c r="OCG118" s="181"/>
      <c r="OCH118" s="182"/>
      <c r="OCI118" s="181"/>
      <c r="OCJ118" s="182"/>
      <c r="OCK118" s="181"/>
      <c r="OCL118" s="182"/>
      <c r="OCM118" s="181"/>
      <c r="OCN118" s="182"/>
      <c r="OCO118" s="181"/>
      <c r="OCP118" s="182"/>
      <c r="OCQ118" s="181"/>
      <c r="OCR118" s="182"/>
      <c r="OCS118" s="181"/>
      <c r="OCT118" s="182"/>
      <c r="OCU118" s="181"/>
      <c r="OCV118" s="182"/>
      <c r="OCW118" s="181"/>
      <c r="OCX118" s="182"/>
      <c r="OCY118" s="181"/>
      <c r="OCZ118" s="182"/>
      <c r="ODA118" s="181"/>
      <c r="ODB118" s="182"/>
      <c r="ODC118" s="181"/>
      <c r="ODD118" s="182"/>
      <c r="ODE118" s="181"/>
      <c r="ODF118" s="182"/>
      <c r="ODG118" s="181"/>
      <c r="ODH118" s="182"/>
      <c r="ODI118" s="181"/>
      <c r="ODJ118" s="182"/>
      <c r="ODK118" s="181"/>
      <c r="ODL118" s="182"/>
      <c r="ODM118" s="181"/>
      <c r="ODN118" s="182"/>
      <c r="ODO118" s="181"/>
      <c r="ODP118" s="182"/>
      <c r="ODQ118" s="181"/>
      <c r="ODR118" s="182"/>
      <c r="ODS118" s="181"/>
      <c r="ODT118" s="182"/>
      <c r="ODU118" s="181"/>
      <c r="ODV118" s="182"/>
      <c r="ODW118" s="181"/>
      <c r="ODX118" s="182"/>
      <c r="ODY118" s="181"/>
      <c r="ODZ118" s="182"/>
      <c r="OEA118" s="181"/>
      <c r="OEB118" s="182"/>
      <c r="OEC118" s="181"/>
      <c r="OED118" s="182"/>
      <c r="OEE118" s="181"/>
      <c r="OEF118" s="182"/>
      <c r="OEG118" s="181"/>
      <c r="OEH118" s="182"/>
      <c r="OEI118" s="181"/>
      <c r="OEJ118" s="182"/>
      <c r="OEK118" s="181"/>
      <c r="OEL118" s="182"/>
      <c r="OEM118" s="181"/>
      <c r="OEN118" s="182"/>
      <c r="OEO118" s="181"/>
      <c r="OEP118" s="182"/>
      <c r="OEQ118" s="181"/>
      <c r="OER118" s="182"/>
      <c r="OES118" s="181"/>
      <c r="OET118" s="182"/>
      <c r="OEU118" s="181"/>
      <c r="OEV118" s="182"/>
      <c r="OEW118" s="181"/>
      <c r="OEX118" s="182"/>
      <c r="OEY118" s="181"/>
      <c r="OEZ118" s="182"/>
      <c r="OFA118" s="181"/>
      <c r="OFB118" s="182"/>
      <c r="OFC118" s="181"/>
      <c r="OFD118" s="182"/>
      <c r="OFE118" s="181"/>
      <c r="OFF118" s="182"/>
      <c r="OFG118" s="181"/>
      <c r="OFH118" s="182"/>
      <c r="OFI118" s="181"/>
      <c r="OFJ118" s="182"/>
      <c r="OFK118" s="181"/>
      <c r="OFL118" s="182"/>
      <c r="OFM118" s="181"/>
      <c r="OFN118" s="182"/>
      <c r="OFO118" s="181"/>
      <c r="OFP118" s="182"/>
      <c r="OFQ118" s="181"/>
      <c r="OFR118" s="182"/>
      <c r="OFS118" s="181"/>
      <c r="OFT118" s="182"/>
      <c r="OFU118" s="181"/>
      <c r="OFV118" s="182"/>
      <c r="OFW118" s="181"/>
      <c r="OFX118" s="182"/>
      <c r="OFY118" s="181"/>
      <c r="OFZ118" s="182"/>
      <c r="OGA118" s="181"/>
      <c r="OGB118" s="182"/>
      <c r="OGC118" s="181"/>
      <c r="OGD118" s="182"/>
      <c r="OGE118" s="181"/>
      <c r="OGF118" s="182"/>
      <c r="OGG118" s="181"/>
      <c r="OGH118" s="182"/>
      <c r="OGI118" s="181"/>
      <c r="OGJ118" s="182"/>
      <c r="OGK118" s="181"/>
      <c r="OGL118" s="182"/>
      <c r="OGM118" s="181"/>
      <c r="OGN118" s="182"/>
      <c r="OGO118" s="181"/>
      <c r="OGP118" s="182"/>
      <c r="OGQ118" s="181"/>
      <c r="OGR118" s="182"/>
      <c r="OGS118" s="181"/>
      <c r="OGT118" s="182"/>
      <c r="OGU118" s="181"/>
      <c r="OGV118" s="182"/>
      <c r="OGW118" s="181"/>
      <c r="OGX118" s="182"/>
      <c r="OGY118" s="181"/>
      <c r="OGZ118" s="182"/>
      <c r="OHA118" s="181"/>
      <c r="OHB118" s="182"/>
      <c r="OHC118" s="181"/>
      <c r="OHD118" s="182"/>
      <c r="OHE118" s="181"/>
      <c r="OHF118" s="182"/>
      <c r="OHG118" s="181"/>
      <c r="OHH118" s="182"/>
      <c r="OHI118" s="181"/>
      <c r="OHJ118" s="182"/>
      <c r="OHK118" s="181"/>
      <c r="OHL118" s="182"/>
      <c r="OHM118" s="181"/>
      <c r="OHN118" s="182"/>
      <c r="OHO118" s="181"/>
      <c r="OHP118" s="182"/>
      <c r="OHQ118" s="181"/>
      <c r="OHR118" s="182"/>
      <c r="OHS118" s="181"/>
      <c r="OHT118" s="182"/>
      <c r="OHU118" s="181"/>
      <c r="OHV118" s="182"/>
      <c r="OHW118" s="181"/>
      <c r="OHX118" s="182"/>
      <c r="OHY118" s="181"/>
      <c r="OHZ118" s="182"/>
      <c r="OIA118" s="181"/>
      <c r="OIB118" s="182"/>
      <c r="OIC118" s="181"/>
      <c r="OID118" s="182"/>
      <c r="OIE118" s="181"/>
      <c r="OIF118" s="182"/>
      <c r="OIG118" s="181"/>
      <c r="OIH118" s="182"/>
      <c r="OII118" s="181"/>
      <c r="OIJ118" s="182"/>
      <c r="OIK118" s="181"/>
      <c r="OIL118" s="182"/>
      <c r="OIM118" s="181"/>
      <c r="OIN118" s="182"/>
      <c r="OIO118" s="181"/>
      <c r="OIP118" s="182"/>
      <c r="OIQ118" s="181"/>
      <c r="OIR118" s="182"/>
      <c r="OIS118" s="181"/>
      <c r="OIT118" s="182"/>
      <c r="OIU118" s="181"/>
      <c r="OIV118" s="182"/>
      <c r="OIW118" s="181"/>
      <c r="OIX118" s="182"/>
      <c r="OIY118" s="181"/>
      <c r="OIZ118" s="182"/>
      <c r="OJA118" s="181"/>
      <c r="OJB118" s="182"/>
      <c r="OJC118" s="181"/>
      <c r="OJD118" s="182"/>
      <c r="OJE118" s="181"/>
      <c r="OJF118" s="182"/>
      <c r="OJG118" s="181"/>
      <c r="OJH118" s="182"/>
      <c r="OJI118" s="181"/>
      <c r="OJJ118" s="182"/>
      <c r="OJK118" s="181"/>
      <c r="OJL118" s="182"/>
      <c r="OJM118" s="181"/>
      <c r="OJN118" s="182"/>
      <c r="OJO118" s="181"/>
      <c r="OJP118" s="182"/>
      <c r="OJQ118" s="181"/>
      <c r="OJR118" s="182"/>
      <c r="OJS118" s="181"/>
      <c r="OJT118" s="182"/>
      <c r="OJU118" s="181"/>
      <c r="OJV118" s="182"/>
      <c r="OJW118" s="181"/>
      <c r="OJX118" s="182"/>
      <c r="OJY118" s="181"/>
      <c r="OJZ118" s="182"/>
      <c r="OKA118" s="181"/>
      <c r="OKB118" s="182"/>
      <c r="OKC118" s="181"/>
      <c r="OKD118" s="182"/>
      <c r="OKE118" s="181"/>
      <c r="OKF118" s="182"/>
      <c r="OKG118" s="181"/>
      <c r="OKH118" s="182"/>
      <c r="OKI118" s="181"/>
      <c r="OKJ118" s="182"/>
      <c r="OKK118" s="181"/>
      <c r="OKL118" s="182"/>
      <c r="OKM118" s="181"/>
      <c r="OKN118" s="182"/>
      <c r="OKO118" s="181"/>
      <c r="OKP118" s="182"/>
      <c r="OKQ118" s="181"/>
      <c r="OKR118" s="182"/>
      <c r="OKS118" s="181"/>
      <c r="OKT118" s="182"/>
      <c r="OKU118" s="181"/>
      <c r="OKV118" s="182"/>
      <c r="OKW118" s="181"/>
      <c r="OKX118" s="182"/>
      <c r="OKY118" s="181"/>
      <c r="OKZ118" s="182"/>
      <c r="OLA118" s="181"/>
      <c r="OLB118" s="182"/>
      <c r="OLC118" s="181"/>
      <c r="OLD118" s="182"/>
      <c r="OLE118" s="181"/>
      <c r="OLF118" s="182"/>
      <c r="OLG118" s="181"/>
      <c r="OLH118" s="182"/>
      <c r="OLI118" s="181"/>
      <c r="OLJ118" s="182"/>
      <c r="OLK118" s="181"/>
      <c r="OLL118" s="182"/>
      <c r="OLM118" s="181"/>
      <c r="OLN118" s="182"/>
      <c r="OLO118" s="181"/>
      <c r="OLP118" s="182"/>
      <c r="OLQ118" s="181"/>
      <c r="OLR118" s="182"/>
      <c r="OLS118" s="181"/>
      <c r="OLT118" s="182"/>
      <c r="OLU118" s="181"/>
      <c r="OLV118" s="182"/>
      <c r="OLW118" s="181"/>
      <c r="OLX118" s="182"/>
      <c r="OLY118" s="181"/>
      <c r="OLZ118" s="182"/>
      <c r="OMA118" s="181"/>
      <c r="OMB118" s="182"/>
      <c r="OMC118" s="181"/>
      <c r="OMD118" s="182"/>
      <c r="OME118" s="181"/>
      <c r="OMF118" s="182"/>
      <c r="OMG118" s="181"/>
      <c r="OMH118" s="182"/>
      <c r="OMI118" s="181"/>
      <c r="OMJ118" s="182"/>
      <c r="OMK118" s="181"/>
      <c r="OML118" s="182"/>
      <c r="OMM118" s="181"/>
      <c r="OMN118" s="182"/>
      <c r="OMO118" s="181"/>
      <c r="OMP118" s="182"/>
      <c r="OMQ118" s="181"/>
      <c r="OMR118" s="182"/>
      <c r="OMS118" s="181"/>
      <c r="OMT118" s="182"/>
      <c r="OMU118" s="181"/>
      <c r="OMV118" s="182"/>
      <c r="OMW118" s="181"/>
      <c r="OMX118" s="182"/>
      <c r="OMY118" s="181"/>
      <c r="OMZ118" s="182"/>
      <c r="ONA118" s="181"/>
      <c r="ONB118" s="182"/>
      <c r="ONC118" s="181"/>
      <c r="OND118" s="182"/>
      <c r="ONE118" s="181"/>
      <c r="ONF118" s="182"/>
      <c r="ONG118" s="181"/>
      <c r="ONH118" s="182"/>
      <c r="ONI118" s="181"/>
      <c r="ONJ118" s="182"/>
      <c r="ONK118" s="181"/>
      <c r="ONL118" s="182"/>
      <c r="ONM118" s="181"/>
      <c r="ONN118" s="182"/>
      <c r="ONO118" s="181"/>
      <c r="ONP118" s="182"/>
      <c r="ONQ118" s="181"/>
      <c r="ONR118" s="182"/>
      <c r="ONS118" s="181"/>
      <c r="ONT118" s="182"/>
      <c r="ONU118" s="181"/>
      <c r="ONV118" s="182"/>
      <c r="ONW118" s="181"/>
      <c r="ONX118" s="182"/>
      <c r="ONY118" s="181"/>
      <c r="ONZ118" s="182"/>
      <c r="OOA118" s="181"/>
      <c r="OOB118" s="182"/>
      <c r="OOC118" s="181"/>
      <c r="OOD118" s="182"/>
      <c r="OOE118" s="181"/>
      <c r="OOF118" s="182"/>
      <c r="OOG118" s="181"/>
      <c r="OOH118" s="182"/>
      <c r="OOI118" s="181"/>
      <c r="OOJ118" s="182"/>
      <c r="OOK118" s="181"/>
      <c r="OOL118" s="182"/>
      <c r="OOM118" s="181"/>
      <c r="OON118" s="182"/>
      <c r="OOO118" s="181"/>
      <c r="OOP118" s="182"/>
      <c r="OOQ118" s="181"/>
      <c r="OOR118" s="182"/>
      <c r="OOS118" s="181"/>
      <c r="OOT118" s="182"/>
      <c r="OOU118" s="181"/>
      <c r="OOV118" s="182"/>
      <c r="OOW118" s="181"/>
      <c r="OOX118" s="182"/>
      <c r="OOY118" s="181"/>
      <c r="OOZ118" s="182"/>
      <c r="OPA118" s="181"/>
      <c r="OPB118" s="182"/>
      <c r="OPC118" s="181"/>
      <c r="OPD118" s="182"/>
      <c r="OPE118" s="181"/>
      <c r="OPF118" s="182"/>
      <c r="OPG118" s="181"/>
      <c r="OPH118" s="182"/>
      <c r="OPI118" s="181"/>
      <c r="OPJ118" s="182"/>
      <c r="OPK118" s="181"/>
      <c r="OPL118" s="182"/>
      <c r="OPM118" s="181"/>
      <c r="OPN118" s="182"/>
      <c r="OPO118" s="181"/>
      <c r="OPP118" s="182"/>
      <c r="OPQ118" s="181"/>
      <c r="OPR118" s="182"/>
      <c r="OPS118" s="181"/>
      <c r="OPT118" s="182"/>
      <c r="OPU118" s="181"/>
      <c r="OPV118" s="182"/>
      <c r="OPW118" s="181"/>
      <c r="OPX118" s="182"/>
      <c r="OPY118" s="181"/>
      <c r="OPZ118" s="182"/>
      <c r="OQA118" s="181"/>
      <c r="OQB118" s="182"/>
      <c r="OQC118" s="181"/>
      <c r="OQD118" s="182"/>
      <c r="OQE118" s="181"/>
      <c r="OQF118" s="182"/>
      <c r="OQG118" s="181"/>
      <c r="OQH118" s="182"/>
      <c r="OQI118" s="181"/>
      <c r="OQJ118" s="182"/>
      <c r="OQK118" s="181"/>
      <c r="OQL118" s="182"/>
      <c r="OQM118" s="181"/>
      <c r="OQN118" s="182"/>
      <c r="OQO118" s="181"/>
      <c r="OQP118" s="182"/>
      <c r="OQQ118" s="181"/>
      <c r="OQR118" s="182"/>
      <c r="OQS118" s="181"/>
      <c r="OQT118" s="182"/>
      <c r="OQU118" s="181"/>
      <c r="OQV118" s="182"/>
      <c r="OQW118" s="181"/>
      <c r="OQX118" s="182"/>
      <c r="OQY118" s="181"/>
      <c r="OQZ118" s="182"/>
      <c r="ORA118" s="181"/>
      <c r="ORB118" s="182"/>
      <c r="ORC118" s="181"/>
      <c r="ORD118" s="182"/>
      <c r="ORE118" s="181"/>
      <c r="ORF118" s="182"/>
      <c r="ORG118" s="181"/>
      <c r="ORH118" s="182"/>
      <c r="ORI118" s="181"/>
      <c r="ORJ118" s="182"/>
      <c r="ORK118" s="181"/>
      <c r="ORL118" s="182"/>
      <c r="ORM118" s="181"/>
      <c r="ORN118" s="182"/>
      <c r="ORO118" s="181"/>
      <c r="ORP118" s="182"/>
      <c r="ORQ118" s="181"/>
      <c r="ORR118" s="182"/>
      <c r="ORS118" s="181"/>
      <c r="ORT118" s="182"/>
      <c r="ORU118" s="181"/>
      <c r="ORV118" s="182"/>
      <c r="ORW118" s="181"/>
      <c r="ORX118" s="182"/>
      <c r="ORY118" s="181"/>
      <c r="ORZ118" s="182"/>
      <c r="OSA118" s="181"/>
      <c r="OSB118" s="182"/>
      <c r="OSC118" s="181"/>
      <c r="OSD118" s="182"/>
      <c r="OSE118" s="181"/>
      <c r="OSF118" s="182"/>
      <c r="OSG118" s="181"/>
      <c r="OSH118" s="182"/>
      <c r="OSI118" s="181"/>
      <c r="OSJ118" s="182"/>
      <c r="OSK118" s="181"/>
      <c r="OSL118" s="182"/>
      <c r="OSM118" s="181"/>
      <c r="OSN118" s="182"/>
      <c r="OSO118" s="181"/>
      <c r="OSP118" s="182"/>
      <c r="OSQ118" s="181"/>
      <c r="OSR118" s="182"/>
      <c r="OSS118" s="181"/>
      <c r="OST118" s="182"/>
      <c r="OSU118" s="181"/>
      <c r="OSV118" s="182"/>
      <c r="OSW118" s="181"/>
      <c r="OSX118" s="182"/>
      <c r="OSY118" s="181"/>
      <c r="OSZ118" s="182"/>
      <c r="OTA118" s="181"/>
      <c r="OTB118" s="182"/>
      <c r="OTC118" s="181"/>
      <c r="OTD118" s="182"/>
      <c r="OTE118" s="181"/>
      <c r="OTF118" s="182"/>
      <c r="OTG118" s="181"/>
      <c r="OTH118" s="182"/>
      <c r="OTI118" s="181"/>
      <c r="OTJ118" s="182"/>
      <c r="OTK118" s="181"/>
      <c r="OTL118" s="182"/>
      <c r="OTM118" s="181"/>
      <c r="OTN118" s="182"/>
      <c r="OTO118" s="181"/>
      <c r="OTP118" s="182"/>
      <c r="OTQ118" s="181"/>
      <c r="OTR118" s="182"/>
      <c r="OTS118" s="181"/>
      <c r="OTT118" s="182"/>
      <c r="OTU118" s="181"/>
      <c r="OTV118" s="182"/>
      <c r="OTW118" s="181"/>
      <c r="OTX118" s="182"/>
      <c r="OTY118" s="181"/>
      <c r="OTZ118" s="182"/>
      <c r="OUA118" s="181"/>
      <c r="OUB118" s="182"/>
      <c r="OUC118" s="181"/>
      <c r="OUD118" s="182"/>
      <c r="OUE118" s="181"/>
      <c r="OUF118" s="182"/>
      <c r="OUG118" s="181"/>
      <c r="OUH118" s="182"/>
      <c r="OUI118" s="181"/>
      <c r="OUJ118" s="182"/>
      <c r="OUK118" s="181"/>
      <c r="OUL118" s="182"/>
      <c r="OUM118" s="181"/>
      <c r="OUN118" s="182"/>
      <c r="OUO118" s="181"/>
      <c r="OUP118" s="182"/>
      <c r="OUQ118" s="181"/>
      <c r="OUR118" s="182"/>
      <c r="OUS118" s="181"/>
      <c r="OUT118" s="182"/>
      <c r="OUU118" s="181"/>
      <c r="OUV118" s="182"/>
      <c r="OUW118" s="181"/>
      <c r="OUX118" s="182"/>
      <c r="OUY118" s="181"/>
      <c r="OUZ118" s="182"/>
      <c r="OVA118" s="181"/>
      <c r="OVB118" s="182"/>
      <c r="OVC118" s="181"/>
      <c r="OVD118" s="182"/>
      <c r="OVE118" s="181"/>
      <c r="OVF118" s="182"/>
      <c r="OVG118" s="181"/>
      <c r="OVH118" s="182"/>
      <c r="OVI118" s="181"/>
      <c r="OVJ118" s="182"/>
      <c r="OVK118" s="181"/>
      <c r="OVL118" s="182"/>
      <c r="OVM118" s="181"/>
      <c r="OVN118" s="182"/>
      <c r="OVO118" s="181"/>
      <c r="OVP118" s="182"/>
      <c r="OVQ118" s="181"/>
      <c r="OVR118" s="182"/>
      <c r="OVS118" s="181"/>
      <c r="OVT118" s="182"/>
      <c r="OVU118" s="181"/>
      <c r="OVV118" s="182"/>
      <c r="OVW118" s="181"/>
      <c r="OVX118" s="182"/>
      <c r="OVY118" s="181"/>
      <c r="OVZ118" s="182"/>
      <c r="OWA118" s="181"/>
      <c r="OWB118" s="182"/>
      <c r="OWC118" s="181"/>
      <c r="OWD118" s="182"/>
      <c r="OWE118" s="181"/>
      <c r="OWF118" s="182"/>
      <c r="OWG118" s="181"/>
      <c r="OWH118" s="182"/>
      <c r="OWI118" s="181"/>
      <c r="OWJ118" s="182"/>
      <c r="OWK118" s="181"/>
      <c r="OWL118" s="182"/>
      <c r="OWM118" s="181"/>
      <c r="OWN118" s="182"/>
      <c r="OWO118" s="181"/>
      <c r="OWP118" s="182"/>
      <c r="OWQ118" s="181"/>
      <c r="OWR118" s="182"/>
      <c r="OWS118" s="181"/>
      <c r="OWT118" s="182"/>
      <c r="OWU118" s="181"/>
      <c r="OWV118" s="182"/>
      <c r="OWW118" s="181"/>
      <c r="OWX118" s="182"/>
      <c r="OWY118" s="181"/>
      <c r="OWZ118" s="182"/>
      <c r="OXA118" s="181"/>
      <c r="OXB118" s="182"/>
      <c r="OXC118" s="181"/>
      <c r="OXD118" s="182"/>
      <c r="OXE118" s="181"/>
      <c r="OXF118" s="182"/>
      <c r="OXG118" s="181"/>
      <c r="OXH118" s="182"/>
      <c r="OXI118" s="181"/>
      <c r="OXJ118" s="182"/>
      <c r="OXK118" s="181"/>
      <c r="OXL118" s="182"/>
      <c r="OXM118" s="181"/>
      <c r="OXN118" s="182"/>
      <c r="OXO118" s="181"/>
      <c r="OXP118" s="182"/>
      <c r="OXQ118" s="181"/>
      <c r="OXR118" s="182"/>
      <c r="OXS118" s="181"/>
      <c r="OXT118" s="182"/>
      <c r="OXU118" s="181"/>
      <c r="OXV118" s="182"/>
      <c r="OXW118" s="181"/>
      <c r="OXX118" s="182"/>
      <c r="OXY118" s="181"/>
      <c r="OXZ118" s="182"/>
      <c r="OYA118" s="181"/>
      <c r="OYB118" s="182"/>
      <c r="OYC118" s="181"/>
      <c r="OYD118" s="182"/>
      <c r="OYE118" s="181"/>
      <c r="OYF118" s="182"/>
      <c r="OYG118" s="181"/>
      <c r="OYH118" s="182"/>
      <c r="OYI118" s="181"/>
      <c r="OYJ118" s="182"/>
      <c r="OYK118" s="181"/>
      <c r="OYL118" s="182"/>
      <c r="OYM118" s="181"/>
      <c r="OYN118" s="182"/>
      <c r="OYO118" s="181"/>
      <c r="OYP118" s="182"/>
      <c r="OYQ118" s="181"/>
      <c r="OYR118" s="182"/>
      <c r="OYS118" s="181"/>
      <c r="OYT118" s="182"/>
      <c r="OYU118" s="181"/>
      <c r="OYV118" s="182"/>
      <c r="OYW118" s="181"/>
      <c r="OYX118" s="182"/>
      <c r="OYY118" s="181"/>
      <c r="OYZ118" s="182"/>
      <c r="OZA118" s="181"/>
      <c r="OZB118" s="182"/>
      <c r="OZC118" s="181"/>
      <c r="OZD118" s="182"/>
      <c r="OZE118" s="181"/>
      <c r="OZF118" s="182"/>
      <c r="OZG118" s="181"/>
      <c r="OZH118" s="182"/>
      <c r="OZI118" s="181"/>
      <c r="OZJ118" s="182"/>
      <c r="OZK118" s="181"/>
      <c r="OZL118" s="182"/>
      <c r="OZM118" s="181"/>
      <c r="OZN118" s="182"/>
      <c r="OZO118" s="181"/>
      <c r="OZP118" s="182"/>
      <c r="OZQ118" s="181"/>
      <c r="OZR118" s="182"/>
      <c r="OZS118" s="181"/>
      <c r="OZT118" s="182"/>
      <c r="OZU118" s="181"/>
      <c r="OZV118" s="182"/>
      <c r="OZW118" s="181"/>
      <c r="OZX118" s="182"/>
      <c r="OZY118" s="181"/>
      <c r="OZZ118" s="182"/>
      <c r="PAA118" s="181"/>
      <c r="PAB118" s="182"/>
      <c r="PAC118" s="181"/>
      <c r="PAD118" s="182"/>
      <c r="PAE118" s="181"/>
      <c r="PAF118" s="182"/>
      <c r="PAG118" s="181"/>
      <c r="PAH118" s="182"/>
      <c r="PAI118" s="181"/>
      <c r="PAJ118" s="182"/>
      <c r="PAK118" s="181"/>
      <c r="PAL118" s="182"/>
      <c r="PAM118" s="181"/>
      <c r="PAN118" s="182"/>
      <c r="PAO118" s="181"/>
      <c r="PAP118" s="182"/>
      <c r="PAQ118" s="181"/>
      <c r="PAR118" s="182"/>
      <c r="PAS118" s="181"/>
      <c r="PAT118" s="182"/>
      <c r="PAU118" s="181"/>
      <c r="PAV118" s="182"/>
      <c r="PAW118" s="181"/>
      <c r="PAX118" s="182"/>
      <c r="PAY118" s="181"/>
      <c r="PAZ118" s="182"/>
      <c r="PBA118" s="181"/>
      <c r="PBB118" s="182"/>
      <c r="PBC118" s="181"/>
      <c r="PBD118" s="182"/>
      <c r="PBE118" s="181"/>
      <c r="PBF118" s="182"/>
      <c r="PBG118" s="181"/>
      <c r="PBH118" s="182"/>
      <c r="PBI118" s="181"/>
      <c r="PBJ118" s="182"/>
      <c r="PBK118" s="181"/>
      <c r="PBL118" s="182"/>
      <c r="PBM118" s="181"/>
      <c r="PBN118" s="182"/>
      <c r="PBO118" s="181"/>
      <c r="PBP118" s="182"/>
      <c r="PBQ118" s="181"/>
      <c r="PBR118" s="182"/>
      <c r="PBS118" s="181"/>
      <c r="PBT118" s="182"/>
      <c r="PBU118" s="181"/>
      <c r="PBV118" s="182"/>
      <c r="PBW118" s="181"/>
      <c r="PBX118" s="182"/>
      <c r="PBY118" s="181"/>
      <c r="PBZ118" s="182"/>
      <c r="PCA118" s="181"/>
      <c r="PCB118" s="182"/>
      <c r="PCC118" s="181"/>
      <c r="PCD118" s="182"/>
      <c r="PCE118" s="181"/>
      <c r="PCF118" s="182"/>
      <c r="PCG118" s="181"/>
      <c r="PCH118" s="182"/>
      <c r="PCI118" s="181"/>
      <c r="PCJ118" s="182"/>
      <c r="PCK118" s="181"/>
      <c r="PCL118" s="182"/>
      <c r="PCM118" s="181"/>
      <c r="PCN118" s="182"/>
      <c r="PCO118" s="181"/>
      <c r="PCP118" s="182"/>
      <c r="PCQ118" s="181"/>
      <c r="PCR118" s="182"/>
      <c r="PCS118" s="181"/>
      <c r="PCT118" s="182"/>
      <c r="PCU118" s="181"/>
      <c r="PCV118" s="182"/>
      <c r="PCW118" s="181"/>
      <c r="PCX118" s="182"/>
      <c r="PCY118" s="181"/>
      <c r="PCZ118" s="182"/>
      <c r="PDA118" s="181"/>
      <c r="PDB118" s="182"/>
      <c r="PDC118" s="181"/>
      <c r="PDD118" s="182"/>
      <c r="PDE118" s="181"/>
      <c r="PDF118" s="182"/>
      <c r="PDG118" s="181"/>
      <c r="PDH118" s="182"/>
      <c r="PDI118" s="181"/>
      <c r="PDJ118" s="182"/>
      <c r="PDK118" s="181"/>
      <c r="PDL118" s="182"/>
      <c r="PDM118" s="181"/>
      <c r="PDN118" s="182"/>
      <c r="PDO118" s="181"/>
      <c r="PDP118" s="182"/>
      <c r="PDQ118" s="181"/>
      <c r="PDR118" s="182"/>
      <c r="PDS118" s="181"/>
      <c r="PDT118" s="182"/>
      <c r="PDU118" s="181"/>
      <c r="PDV118" s="182"/>
      <c r="PDW118" s="181"/>
      <c r="PDX118" s="182"/>
      <c r="PDY118" s="181"/>
      <c r="PDZ118" s="182"/>
      <c r="PEA118" s="181"/>
      <c r="PEB118" s="182"/>
      <c r="PEC118" s="181"/>
      <c r="PED118" s="182"/>
      <c r="PEE118" s="181"/>
      <c r="PEF118" s="182"/>
      <c r="PEG118" s="181"/>
      <c r="PEH118" s="182"/>
      <c r="PEI118" s="181"/>
      <c r="PEJ118" s="182"/>
      <c r="PEK118" s="181"/>
      <c r="PEL118" s="182"/>
      <c r="PEM118" s="181"/>
      <c r="PEN118" s="182"/>
      <c r="PEO118" s="181"/>
      <c r="PEP118" s="182"/>
      <c r="PEQ118" s="181"/>
      <c r="PER118" s="182"/>
      <c r="PES118" s="181"/>
      <c r="PET118" s="182"/>
      <c r="PEU118" s="181"/>
      <c r="PEV118" s="182"/>
      <c r="PEW118" s="181"/>
      <c r="PEX118" s="182"/>
      <c r="PEY118" s="181"/>
      <c r="PEZ118" s="182"/>
      <c r="PFA118" s="181"/>
      <c r="PFB118" s="182"/>
      <c r="PFC118" s="181"/>
      <c r="PFD118" s="182"/>
      <c r="PFE118" s="181"/>
      <c r="PFF118" s="182"/>
      <c r="PFG118" s="181"/>
      <c r="PFH118" s="182"/>
      <c r="PFI118" s="181"/>
      <c r="PFJ118" s="182"/>
      <c r="PFK118" s="181"/>
      <c r="PFL118" s="182"/>
      <c r="PFM118" s="181"/>
      <c r="PFN118" s="182"/>
      <c r="PFO118" s="181"/>
      <c r="PFP118" s="182"/>
      <c r="PFQ118" s="181"/>
      <c r="PFR118" s="182"/>
      <c r="PFS118" s="181"/>
      <c r="PFT118" s="182"/>
      <c r="PFU118" s="181"/>
      <c r="PFV118" s="182"/>
      <c r="PFW118" s="181"/>
      <c r="PFX118" s="182"/>
      <c r="PFY118" s="181"/>
      <c r="PFZ118" s="182"/>
      <c r="PGA118" s="181"/>
      <c r="PGB118" s="182"/>
      <c r="PGC118" s="181"/>
      <c r="PGD118" s="182"/>
      <c r="PGE118" s="181"/>
      <c r="PGF118" s="182"/>
      <c r="PGG118" s="181"/>
      <c r="PGH118" s="182"/>
      <c r="PGI118" s="181"/>
      <c r="PGJ118" s="182"/>
      <c r="PGK118" s="181"/>
      <c r="PGL118" s="182"/>
      <c r="PGM118" s="181"/>
      <c r="PGN118" s="182"/>
      <c r="PGO118" s="181"/>
      <c r="PGP118" s="182"/>
      <c r="PGQ118" s="181"/>
      <c r="PGR118" s="182"/>
      <c r="PGS118" s="181"/>
      <c r="PGT118" s="182"/>
      <c r="PGU118" s="181"/>
      <c r="PGV118" s="182"/>
      <c r="PGW118" s="181"/>
      <c r="PGX118" s="182"/>
      <c r="PGY118" s="181"/>
      <c r="PGZ118" s="182"/>
      <c r="PHA118" s="181"/>
      <c r="PHB118" s="182"/>
      <c r="PHC118" s="181"/>
      <c r="PHD118" s="182"/>
      <c r="PHE118" s="181"/>
      <c r="PHF118" s="182"/>
      <c r="PHG118" s="181"/>
      <c r="PHH118" s="182"/>
      <c r="PHI118" s="181"/>
      <c r="PHJ118" s="182"/>
      <c r="PHK118" s="181"/>
      <c r="PHL118" s="182"/>
      <c r="PHM118" s="181"/>
      <c r="PHN118" s="182"/>
      <c r="PHO118" s="181"/>
      <c r="PHP118" s="182"/>
      <c r="PHQ118" s="181"/>
      <c r="PHR118" s="182"/>
      <c r="PHS118" s="181"/>
      <c r="PHT118" s="182"/>
      <c r="PHU118" s="181"/>
      <c r="PHV118" s="182"/>
      <c r="PHW118" s="181"/>
      <c r="PHX118" s="182"/>
      <c r="PHY118" s="181"/>
      <c r="PHZ118" s="182"/>
      <c r="PIA118" s="181"/>
      <c r="PIB118" s="182"/>
      <c r="PIC118" s="181"/>
      <c r="PID118" s="182"/>
      <c r="PIE118" s="181"/>
      <c r="PIF118" s="182"/>
      <c r="PIG118" s="181"/>
      <c r="PIH118" s="182"/>
      <c r="PII118" s="181"/>
      <c r="PIJ118" s="182"/>
      <c r="PIK118" s="181"/>
      <c r="PIL118" s="182"/>
      <c r="PIM118" s="181"/>
      <c r="PIN118" s="182"/>
      <c r="PIO118" s="181"/>
      <c r="PIP118" s="182"/>
      <c r="PIQ118" s="181"/>
      <c r="PIR118" s="182"/>
      <c r="PIS118" s="181"/>
      <c r="PIT118" s="182"/>
      <c r="PIU118" s="181"/>
      <c r="PIV118" s="182"/>
      <c r="PIW118" s="181"/>
      <c r="PIX118" s="182"/>
      <c r="PIY118" s="181"/>
      <c r="PIZ118" s="182"/>
      <c r="PJA118" s="181"/>
      <c r="PJB118" s="182"/>
      <c r="PJC118" s="181"/>
      <c r="PJD118" s="182"/>
      <c r="PJE118" s="181"/>
      <c r="PJF118" s="182"/>
      <c r="PJG118" s="181"/>
      <c r="PJH118" s="182"/>
      <c r="PJI118" s="181"/>
      <c r="PJJ118" s="182"/>
      <c r="PJK118" s="181"/>
      <c r="PJL118" s="182"/>
      <c r="PJM118" s="181"/>
      <c r="PJN118" s="182"/>
      <c r="PJO118" s="181"/>
      <c r="PJP118" s="182"/>
      <c r="PJQ118" s="181"/>
      <c r="PJR118" s="182"/>
      <c r="PJS118" s="181"/>
      <c r="PJT118" s="182"/>
      <c r="PJU118" s="181"/>
      <c r="PJV118" s="182"/>
      <c r="PJW118" s="181"/>
      <c r="PJX118" s="182"/>
      <c r="PJY118" s="181"/>
      <c r="PJZ118" s="182"/>
      <c r="PKA118" s="181"/>
      <c r="PKB118" s="182"/>
      <c r="PKC118" s="181"/>
      <c r="PKD118" s="182"/>
      <c r="PKE118" s="181"/>
      <c r="PKF118" s="182"/>
      <c r="PKG118" s="181"/>
      <c r="PKH118" s="182"/>
      <c r="PKI118" s="181"/>
      <c r="PKJ118" s="182"/>
      <c r="PKK118" s="181"/>
      <c r="PKL118" s="182"/>
      <c r="PKM118" s="181"/>
      <c r="PKN118" s="182"/>
      <c r="PKO118" s="181"/>
      <c r="PKP118" s="182"/>
      <c r="PKQ118" s="181"/>
      <c r="PKR118" s="182"/>
      <c r="PKS118" s="181"/>
      <c r="PKT118" s="182"/>
      <c r="PKU118" s="181"/>
      <c r="PKV118" s="182"/>
      <c r="PKW118" s="181"/>
      <c r="PKX118" s="182"/>
      <c r="PKY118" s="181"/>
      <c r="PKZ118" s="182"/>
      <c r="PLA118" s="181"/>
      <c r="PLB118" s="182"/>
      <c r="PLC118" s="181"/>
      <c r="PLD118" s="182"/>
      <c r="PLE118" s="181"/>
      <c r="PLF118" s="182"/>
      <c r="PLG118" s="181"/>
      <c r="PLH118" s="182"/>
      <c r="PLI118" s="181"/>
      <c r="PLJ118" s="182"/>
      <c r="PLK118" s="181"/>
      <c r="PLL118" s="182"/>
      <c r="PLM118" s="181"/>
      <c r="PLN118" s="182"/>
      <c r="PLO118" s="181"/>
      <c r="PLP118" s="182"/>
      <c r="PLQ118" s="181"/>
      <c r="PLR118" s="182"/>
      <c r="PLS118" s="181"/>
      <c r="PLT118" s="182"/>
      <c r="PLU118" s="181"/>
      <c r="PLV118" s="182"/>
      <c r="PLW118" s="181"/>
      <c r="PLX118" s="182"/>
      <c r="PLY118" s="181"/>
      <c r="PLZ118" s="182"/>
      <c r="PMA118" s="181"/>
      <c r="PMB118" s="182"/>
      <c r="PMC118" s="181"/>
      <c r="PMD118" s="182"/>
      <c r="PME118" s="181"/>
      <c r="PMF118" s="182"/>
      <c r="PMG118" s="181"/>
      <c r="PMH118" s="182"/>
      <c r="PMI118" s="181"/>
      <c r="PMJ118" s="182"/>
      <c r="PMK118" s="181"/>
      <c r="PML118" s="182"/>
      <c r="PMM118" s="181"/>
      <c r="PMN118" s="182"/>
      <c r="PMO118" s="181"/>
      <c r="PMP118" s="182"/>
      <c r="PMQ118" s="181"/>
      <c r="PMR118" s="182"/>
      <c r="PMS118" s="181"/>
      <c r="PMT118" s="182"/>
      <c r="PMU118" s="181"/>
      <c r="PMV118" s="182"/>
      <c r="PMW118" s="181"/>
      <c r="PMX118" s="182"/>
      <c r="PMY118" s="181"/>
      <c r="PMZ118" s="182"/>
      <c r="PNA118" s="181"/>
      <c r="PNB118" s="182"/>
      <c r="PNC118" s="181"/>
      <c r="PND118" s="182"/>
      <c r="PNE118" s="181"/>
      <c r="PNF118" s="182"/>
      <c r="PNG118" s="181"/>
      <c r="PNH118" s="182"/>
      <c r="PNI118" s="181"/>
      <c r="PNJ118" s="182"/>
      <c r="PNK118" s="181"/>
      <c r="PNL118" s="182"/>
      <c r="PNM118" s="181"/>
      <c r="PNN118" s="182"/>
      <c r="PNO118" s="181"/>
      <c r="PNP118" s="182"/>
      <c r="PNQ118" s="181"/>
      <c r="PNR118" s="182"/>
      <c r="PNS118" s="181"/>
      <c r="PNT118" s="182"/>
      <c r="PNU118" s="181"/>
      <c r="PNV118" s="182"/>
      <c r="PNW118" s="181"/>
      <c r="PNX118" s="182"/>
      <c r="PNY118" s="181"/>
      <c r="PNZ118" s="182"/>
      <c r="POA118" s="181"/>
      <c r="POB118" s="182"/>
      <c r="POC118" s="181"/>
      <c r="POD118" s="182"/>
      <c r="POE118" s="181"/>
      <c r="POF118" s="182"/>
      <c r="POG118" s="181"/>
      <c r="POH118" s="182"/>
      <c r="POI118" s="181"/>
      <c r="POJ118" s="182"/>
      <c r="POK118" s="181"/>
      <c r="POL118" s="182"/>
      <c r="POM118" s="181"/>
      <c r="PON118" s="182"/>
      <c r="POO118" s="181"/>
      <c r="POP118" s="182"/>
      <c r="POQ118" s="181"/>
      <c r="POR118" s="182"/>
      <c r="POS118" s="181"/>
      <c r="POT118" s="182"/>
      <c r="POU118" s="181"/>
      <c r="POV118" s="182"/>
      <c r="POW118" s="181"/>
      <c r="POX118" s="182"/>
      <c r="POY118" s="181"/>
      <c r="POZ118" s="182"/>
      <c r="PPA118" s="181"/>
      <c r="PPB118" s="182"/>
      <c r="PPC118" s="181"/>
      <c r="PPD118" s="182"/>
      <c r="PPE118" s="181"/>
      <c r="PPF118" s="182"/>
      <c r="PPG118" s="181"/>
      <c r="PPH118" s="182"/>
      <c r="PPI118" s="181"/>
      <c r="PPJ118" s="182"/>
      <c r="PPK118" s="181"/>
      <c r="PPL118" s="182"/>
      <c r="PPM118" s="181"/>
      <c r="PPN118" s="182"/>
      <c r="PPO118" s="181"/>
      <c r="PPP118" s="182"/>
      <c r="PPQ118" s="181"/>
      <c r="PPR118" s="182"/>
      <c r="PPS118" s="181"/>
      <c r="PPT118" s="182"/>
      <c r="PPU118" s="181"/>
      <c r="PPV118" s="182"/>
      <c r="PPW118" s="181"/>
      <c r="PPX118" s="182"/>
      <c r="PPY118" s="181"/>
      <c r="PPZ118" s="182"/>
      <c r="PQA118" s="181"/>
      <c r="PQB118" s="182"/>
      <c r="PQC118" s="181"/>
      <c r="PQD118" s="182"/>
      <c r="PQE118" s="181"/>
      <c r="PQF118" s="182"/>
      <c r="PQG118" s="181"/>
      <c r="PQH118" s="182"/>
      <c r="PQI118" s="181"/>
      <c r="PQJ118" s="182"/>
      <c r="PQK118" s="181"/>
      <c r="PQL118" s="182"/>
      <c r="PQM118" s="181"/>
      <c r="PQN118" s="182"/>
      <c r="PQO118" s="181"/>
      <c r="PQP118" s="182"/>
      <c r="PQQ118" s="181"/>
      <c r="PQR118" s="182"/>
      <c r="PQS118" s="181"/>
      <c r="PQT118" s="182"/>
      <c r="PQU118" s="181"/>
      <c r="PQV118" s="182"/>
      <c r="PQW118" s="181"/>
      <c r="PQX118" s="182"/>
      <c r="PQY118" s="181"/>
      <c r="PQZ118" s="182"/>
      <c r="PRA118" s="181"/>
      <c r="PRB118" s="182"/>
      <c r="PRC118" s="181"/>
      <c r="PRD118" s="182"/>
      <c r="PRE118" s="181"/>
      <c r="PRF118" s="182"/>
      <c r="PRG118" s="181"/>
      <c r="PRH118" s="182"/>
      <c r="PRI118" s="181"/>
      <c r="PRJ118" s="182"/>
      <c r="PRK118" s="181"/>
      <c r="PRL118" s="182"/>
      <c r="PRM118" s="181"/>
      <c r="PRN118" s="182"/>
      <c r="PRO118" s="181"/>
      <c r="PRP118" s="182"/>
      <c r="PRQ118" s="181"/>
      <c r="PRR118" s="182"/>
      <c r="PRS118" s="181"/>
      <c r="PRT118" s="182"/>
      <c r="PRU118" s="181"/>
      <c r="PRV118" s="182"/>
      <c r="PRW118" s="181"/>
      <c r="PRX118" s="182"/>
      <c r="PRY118" s="181"/>
      <c r="PRZ118" s="182"/>
      <c r="PSA118" s="181"/>
      <c r="PSB118" s="182"/>
      <c r="PSC118" s="181"/>
      <c r="PSD118" s="182"/>
      <c r="PSE118" s="181"/>
      <c r="PSF118" s="182"/>
      <c r="PSG118" s="181"/>
      <c r="PSH118" s="182"/>
      <c r="PSI118" s="181"/>
      <c r="PSJ118" s="182"/>
      <c r="PSK118" s="181"/>
      <c r="PSL118" s="182"/>
      <c r="PSM118" s="181"/>
      <c r="PSN118" s="182"/>
      <c r="PSO118" s="181"/>
      <c r="PSP118" s="182"/>
      <c r="PSQ118" s="181"/>
      <c r="PSR118" s="182"/>
      <c r="PSS118" s="181"/>
      <c r="PST118" s="182"/>
      <c r="PSU118" s="181"/>
      <c r="PSV118" s="182"/>
      <c r="PSW118" s="181"/>
      <c r="PSX118" s="182"/>
      <c r="PSY118" s="181"/>
      <c r="PSZ118" s="182"/>
      <c r="PTA118" s="181"/>
      <c r="PTB118" s="182"/>
      <c r="PTC118" s="181"/>
      <c r="PTD118" s="182"/>
      <c r="PTE118" s="181"/>
      <c r="PTF118" s="182"/>
      <c r="PTG118" s="181"/>
      <c r="PTH118" s="182"/>
      <c r="PTI118" s="181"/>
      <c r="PTJ118" s="182"/>
      <c r="PTK118" s="181"/>
      <c r="PTL118" s="182"/>
      <c r="PTM118" s="181"/>
      <c r="PTN118" s="182"/>
      <c r="PTO118" s="181"/>
      <c r="PTP118" s="182"/>
      <c r="PTQ118" s="181"/>
      <c r="PTR118" s="182"/>
      <c r="PTS118" s="181"/>
      <c r="PTT118" s="182"/>
      <c r="PTU118" s="181"/>
      <c r="PTV118" s="182"/>
      <c r="PTW118" s="181"/>
      <c r="PTX118" s="182"/>
      <c r="PTY118" s="181"/>
      <c r="PTZ118" s="182"/>
      <c r="PUA118" s="181"/>
      <c r="PUB118" s="182"/>
      <c r="PUC118" s="181"/>
      <c r="PUD118" s="182"/>
      <c r="PUE118" s="181"/>
      <c r="PUF118" s="182"/>
      <c r="PUG118" s="181"/>
      <c r="PUH118" s="182"/>
      <c r="PUI118" s="181"/>
      <c r="PUJ118" s="182"/>
      <c r="PUK118" s="181"/>
      <c r="PUL118" s="182"/>
      <c r="PUM118" s="181"/>
      <c r="PUN118" s="182"/>
      <c r="PUO118" s="181"/>
      <c r="PUP118" s="182"/>
      <c r="PUQ118" s="181"/>
      <c r="PUR118" s="182"/>
      <c r="PUS118" s="181"/>
      <c r="PUT118" s="182"/>
      <c r="PUU118" s="181"/>
      <c r="PUV118" s="182"/>
      <c r="PUW118" s="181"/>
      <c r="PUX118" s="182"/>
      <c r="PUY118" s="181"/>
      <c r="PUZ118" s="182"/>
      <c r="PVA118" s="181"/>
      <c r="PVB118" s="182"/>
      <c r="PVC118" s="181"/>
      <c r="PVD118" s="182"/>
      <c r="PVE118" s="181"/>
      <c r="PVF118" s="182"/>
      <c r="PVG118" s="181"/>
      <c r="PVH118" s="182"/>
      <c r="PVI118" s="181"/>
      <c r="PVJ118" s="182"/>
      <c r="PVK118" s="181"/>
      <c r="PVL118" s="182"/>
      <c r="PVM118" s="181"/>
      <c r="PVN118" s="182"/>
      <c r="PVO118" s="181"/>
      <c r="PVP118" s="182"/>
      <c r="PVQ118" s="181"/>
      <c r="PVR118" s="182"/>
      <c r="PVS118" s="181"/>
      <c r="PVT118" s="182"/>
      <c r="PVU118" s="181"/>
      <c r="PVV118" s="182"/>
      <c r="PVW118" s="181"/>
      <c r="PVX118" s="182"/>
      <c r="PVY118" s="181"/>
      <c r="PVZ118" s="182"/>
      <c r="PWA118" s="181"/>
      <c r="PWB118" s="182"/>
      <c r="PWC118" s="181"/>
      <c r="PWD118" s="182"/>
      <c r="PWE118" s="181"/>
      <c r="PWF118" s="182"/>
      <c r="PWG118" s="181"/>
      <c r="PWH118" s="182"/>
      <c r="PWI118" s="181"/>
      <c r="PWJ118" s="182"/>
      <c r="PWK118" s="181"/>
      <c r="PWL118" s="182"/>
      <c r="PWM118" s="181"/>
      <c r="PWN118" s="182"/>
      <c r="PWO118" s="181"/>
      <c r="PWP118" s="182"/>
      <c r="PWQ118" s="181"/>
      <c r="PWR118" s="182"/>
      <c r="PWS118" s="181"/>
      <c r="PWT118" s="182"/>
      <c r="PWU118" s="181"/>
      <c r="PWV118" s="182"/>
      <c r="PWW118" s="181"/>
      <c r="PWX118" s="182"/>
      <c r="PWY118" s="181"/>
      <c r="PWZ118" s="182"/>
      <c r="PXA118" s="181"/>
      <c r="PXB118" s="182"/>
      <c r="PXC118" s="181"/>
      <c r="PXD118" s="182"/>
      <c r="PXE118" s="181"/>
      <c r="PXF118" s="182"/>
      <c r="PXG118" s="181"/>
      <c r="PXH118" s="182"/>
      <c r="PXI118" s="181"/>
      <c r="PXJ118" s="182"/>
      <c r="PXK118" s="181"/>
      <c r="PXL118" s="182"/>
      <c r="PXM118" s="181"/>
      <c r="PXN118" s="182"/>
      <c r="PXO118" s="181"/>
      <c r="PXP118" s="182"/>
      <c r="PXQ118" s="181"/>
      <c r="PXR118" s="182"/>
      <c r="PXS118" s="181"/>
      <c r="PXT118" s="182"/>
      <c r="PXU118" s="181"/>
      <c r="PXV118" s="182"/>
      <c r="PXW118" s="181"/>
      <c r="PXX118" s="182"/>
      <c r="PXY118" s="181"/>
      <c r="PXZ118" s="182"/>
      <c r="PYA118" s="181"/>
      <c r="PYB118" s="182"/>
      <c r="PYC118" s="181"/>
      <c r="PYD118" s="182"/>
      <c r="PYE118" s="181"/>
      <c r="PYF118" s="182"/>
      <c r="PYG118" s="181"/>
      <c r="PYH118" s="182"/>
      <c r="PYI118" s="181"/>
      <c r="PYJ118" s="182"/>
      <c r="PYK118" s="181"/>
      <c r="PYL118" s="182"/>
      <c r="PYM118" s="181"/>
      <c r="PYN118" s="182"/>
      <c r="PYO118" s="181"/>
      <c r="PYP118" s="182"/>
      <c r="PYQ118" s="181"/>
      <c r="PYR118" s="182"/>
      <c r="PYS118" s="181"/>
      <c r="PYT118" s="182"/>
      <c r="PYU118" s="181"/>
      <c r="PYV118" s="182"/>
      <c r="PYW118" s="181"/>
      <c r="PYX118" s="182"/>
      <c r="PYY118" s="181"/>
      <c r="PYZ118" s="182"/>
      <c r="PZA118" s="181"/>
      <c r="PZB118" s="182"/>
      <c r="PZC118" s="181"/>
      <c r="PZD118" s="182"/>
      <c r="PZE118" s="181"/>
      <c r="PZF118" s="182"/>
      <c r="PZG118" s="181"/>
      <c r="PZH118" s="182"/>
      <c r="PZI118" s="181"/>
      <c r="PZJ118" s="182"/>
      <c r="PZK118" s="181"/>
      <c r="PZL118" s="182"/>
      <c r="PZM118" s="181"/>
      <c r="PZN118" s="182"/>
      <c r="PZO118" s="181"/>
      <c r="PZP118" s="182"/>
      <c r="PZQ118" s="181"/>
      <c r="PZR118" s="182"/>
      <c r="PZS118" s="181"/>
      <c r="PZT118" s="182"/>
      <c r="PZU118" s="181"/>
      <c r="PZV118" s="182"/>
      <c r="PZW118" s="181"/>
      <c r="PZX118" s="182"/>
      <c r="PZY118" s="181"/>
      <c r="PZZ118" s="182"/>
      <c r="QAA118" s="181"/>
      <c r="QAB118" s="182"/>
      <c r="QAC118" s="181"/>
      <c r="QAD118" s="182"/>
      <c r="QAE118" s="181"/>
      <c r="QAF118" s="182"/>
      <c r="QAG118" s="181"/>
      <c r="QAH118" s="182"/>
      <c r="QAI118" s="181"/>
      <c r="QAJ118" s="182"/>
      <c r="QAK118" s="181"/>
      <c r="QAL118" s="182"/>
      <c r="QAM118" s="181"/>
      <c r="QAN118" s="182"/>
      <c r="QAO118" s="181"/>
      <c r="QAP118" s="182"/>
      <c r="QAQ118" s="181"/>
      <c r="QAR118" s="182"/>
      <c r="QAS118" s="181"/>
      <c r="QAT118" s="182"/>
      <c r="QAU118" s="181"/>
      <c r="QAV118" s="182"/>
      <c r="QAW118" s="181"/>
      <c r="QAX118" s="182"/>
      <c r="QAY118" s="181"/>
      <c r="QAZ118" s="182"/>
      <c r="QBA118" s="181"/>
      <c r="QBB118" s="182"/>
      <c r="QBC118" s="181"/>
      <c r="QBD118" s="182"/>
      <c r="QBE118" s="181"/>
      <c r="QBF118" s="182"/>
      <c r="QBG118" s="181"/>
      <c r="QBH118" s="182"/>
      <c r="QBI118" s="181"/>
      <c r="QBJ118" s="182"/>
      <c r="QBK118" s="181"/>
      <c r="QBL118" s="182"/>
      <c r="QBM118" s="181"/>
      <c r="QBN118" s="182"/>
      <c r="QBO118" s="181"/>
      <c r="QBP118" s="182"/>
      <c r="QBQ118" s="181"/>
      <c r="QBR118" s="182"/>
      <c r="QBS118" s="181"/>
      <c r="QBT118" s="182"/>
      <c r="QBU118" s="181"/>
      <c r="QBV118" s="182"/>
      <c r="QBW118" s="181"/>
      <c r="QBX118" s="182"/>
      <c r="QBY118" s="181"/>
      <c r="QBZ118" s="182"/>
      <c r="QCA118" s="181"/>
      <c r="QCB118" s="182"/>
      <c r="QCC118" s="181"/>
      <c r="QCD118" s="182"/>
      <c r="QCE118" s="181"/>
      <c r="QCF118" s="182"/>
      <c r="QCG118" s="181"/>
      <c r="QCH118" s="182"/>
      <c r="QCI118" s="181"/>
      <c r="QCJ118" s="182"/>
      <c r="QCK118" s="181"/>
      <c r="QCL118" s="182"/>
      <c r="QCM118" s="181"/>
      <c r="QCN118" s="182"/>
      <c r="QCO118" s="181"/>
      <c r="QCP118" s="182"/>
      <c r="QCQ118" s="181"/>
      <c r="QCR118" s="182"/>
      <c r="QCS118" s="181"/>
      <c r="QCT118" s="182"/>
      <c r="QCU118" s="181"/>
      <c r="QCV118" s="182"/>
      <c r="QCW118" s="181"/>
      <c r="QCX118" s="182"/>
      <c r="QCY118" s="181"/>
      <c r="QCZ118" s="182"/>
      <c r="QDA118" s="181"/>
      <c r="QDB118" s="182"/>
      <c r="QDC118" s="181"/>
      <c r="QDD118" s="182"/>
      <c r="QDE118" s="181"/>
      <c r="QDF118" s="182"/>
      <c r="QDG118" s="181"/>
      <c r="QDH118" s="182"/>
      <c r="QDI118" s="181"/>
      <c r="QDJ118" s="182"/>
      <c r="QDK118" s="181"/>
      <c r="QDL118" s="182"/>
      <c r="QDM118" s="181"/>
      <c r="QDN118" s="182"/>
      <c r="QDO118" s="181"/>
      <c r="QDP118" s="182"/>
      <c r="QDQ118" s="181"/>
      <c r="QDR118" s="182"/>
      <c r="QDS118" s="181"/>
      <c r="QDT118" s="182"/>
      <c r="QDU118" s="181"/>
      <c r="QDV118" s="182"/>
      <c r="QDW118" s="181"/>
      <c r="QDX118" s="182"/>
      <c r="QDY118" s="181"/>
      <c r="QDZ118" s="182"/>
      <c r="QEA118" s="181"/>
      <c r="QEB118" s="182"/>
      <c r="QEC118" s="181"/>
      <c r="QED118" s="182"/>
      <c r="QEE118" s="181"/>
      <c r="QEF118" s="182"/>
      <c r="QEG118" s="181"/>
      <c r="QEH118" s="182"/>
      <c r="QEI118" s="181"/>
      <c r="QEJ118" s="182"/>
      <c r="QEK118" s="181"/>
      <c r="QEL118" s="182"/>
      <c r="QEM118" s="181"/>
      <c r="QEN118" s="182"/>
      <c r="QEO118" s="181"/>
      <c r="QEP118" s="182"/>
      <c r="QEQ118" s="181"/>
      <c r="QER118" s="182"/>
      <c r="QES118" s="181"/>
      <c r="QET118" s="182"/>
      <c r="QEU118" s="181"/>
      <c r="QEV118" s="182"/>
      <c r="QEW118" s="181"/>
      <c r="QEX118" s="182"/>
      <c r="QEY118" s="181"/>
      <c r="QEZ118" s="182"/>
      <c r="QFA118" s="181"/>
      <c r="QFB118" s="182"/>
      <c r="QFC118" s="181"/>
      <c r="QFD118" s="182"/>
      <c r="QFE118" s="181"/>
      <c r="QFF118" s="182"/>
      <c r="QFG118" s="181"/>
      <c r="QFH118" s="182"/>
      <c r="QFI118" s="181"/>
      <c r="QFJ118" s="182"/>
      <c r="QFK118" s="181"/>
      <c r="QFL118" s="182"/>
      <c r="QFM118" s="181"/>
      <c r="QFN118" s="182"/>
      <c r="QFO118" s="181"/>
      <c r="QFP118" s="182"/>
      <c r="QFQ118" s="181"/>
      <c r="QFR118" s="182"/>
      <c r="QFS118" s="181"/>
      <c r="QFT118" s="182"/>
      <c r="QFU118" s="181"/>
      <c r="QFV118" s="182"/>
      <c r="QFW118" s="181"/>
      <c r="QFX118" s="182"/>
      <c r="QFY118" s="181"/>
      <c r="QFZ118" s="182"/>
      <c r="QGA118" s="181"/>
      <c r="QGB118" s="182"/>
      <c r="QGC118" s="181"/>
      <c r="QGD118" s="182"/>
      <c r="QGE118" s="181"/>
      <c r="QGF118" s="182"/>
      <c r="QGG118" s="181"/>
      <c r="QGH118" s="182"/>
      <c r="QGI118" s="181"/>
      <c r="QGJ118" s="182"/>
      <c r="QGK118" s="181"/>
      <c r="QGL118" s="182"/>
      <c r="QGM118" s="181"/>
      <c r="QGN118" s="182"/>
      <c r="QGO118" s="181"/>
      <c r="QGP118" s="182"/>
      <c r="QGQ118" s="181"/>
      <c r="QGR118" s="182"/>
      <c r="QGS118" s="181"/>
      <c r="QGT118" s="182"/>
      <c r="QGU118" s="181"/>
      <c r="QGV118" s="182"/>
      <c r="QGW118" s="181"/>
      <c r="QGX118" s="182"/>
      <c r="QGY118" s="181"/>
      <c r="QGZ118" s="182"/>
      <c r="QHA118" s="181"/>
      <c r="QHB118" s="182"/>
      <c r="QHC118" s="181"/>
      <c r="QHD118" s="182"/>
      <c r="QHE118" s="181"/>
      <c r="QHF118" s="182"/>
      <c r="QHG118" s="181"/>
      <c r="QHH118" s="182"/>
      <c r="QHI118" s="181"/>
      <c r="QHJ118" s="182"/>
      <c r="QHK118" s="181"/>
      <c r="QHL118" s="182"/>
      <c r="QHM118" s="181"/>
      <c r="QHN118" s="182"/>
      <c r="QHO118" s="181"/>
      <c r="QHP118" s="182"/>
      <c r="QHQ118" s="181"/>
      <c r="QHR118" s="182"/>
      <c r="QHS118" s="181"/>
      <c r="QHT118" s="182"/>
      <c r="QHU118" s="181"/>
      <c r="QHV118" s="182"/>
      <c r="QHW118" s="181"/>
      <c r="QHX118" s="182"/>
      <c r="QHY118" s="181"/>
      <c r="QHZ118" s="182"/>
      <c r="QIA118" s="181"/>
      <c r="QIB118" s="182"/>
      <c r="QIC118" s="181"/>
      <c r="QID118" s="182"/>
      <c r="QIE118" s="181"/>
      <c r="QIF118" s="182"/>
      <c r="QIG118" s="181"/>
      <c r="QIH118" s="182"/>
      <c r="QII118" s="181"/>
      <c r="QIJ118" s="182"/>
      <c r="QIK118" s="181"/>
      <c r="QIL118" s="182"/>
      <c r="QIM118" s="181"/>
      <c r="QIN118" s="182"/>
      <c r="QIO118" s="181"/>
      <c r="QIP118" s="182"/>
      <c r="QIQ118" s="181"/>
      <c r="QIR118" s="182"/>
      <c r="QIS118" s="181"/>
      <c r="QIT118" s="182"/>
      <c r="QIU118" s="181"/>
      <c r="QIV118" s="182"/>
      <c r="QIW118" s="181"/>
      <c r="QIX118" s="182"/>
      <c r="QIY118" s="181"/>
      <c r="QIZ118" s="182"/>
      <c r="QJA118" s="181"/>
      <c r="QJB118" s="182"/>
      <c r="QJC118" s="181"/>
      <c r="QJD118" s="182"/>
      <c r="QJE118" s="181"/>
      <c r="QJF118" s="182"/>
      <c r="QJG118" s="181"/>
      <c r="QJH118" s="182"/>
      <c r="QJI118" s="181"/>
      <c r="QJJ118" s="182"/>
      <c r="QJK118" s="181"/>
      <c r="QJL118" s="182"/>
      <c r="QJM118" s="181"/>
      <c r="QJN118" s="182"/>
      <c r="QJO118" s="181"/>
      <c r="QJP118" s="182"/>
      <c r="QJQ118" s="181"/>
      <c r="QJR118" s="182"/>
      <c r="QJS118" s="181"/>
      <c r="QJT118" s="182"/>
      <c r="QJU118" s="181"/>
      <c r="QJV118" s="182"/>
      <c r="QJW118" s="181"/>
      <c r="QJX118" s="182"/>
      <c r="QJY118" s="181"/>
      <c r="QJZ118" s="182"/>
      <c r="QKA118" s="181"/>
      <c r="QKB118" s="182"/>
      <c r="QKC118" s="181"/>
      <c r="QKD118" s="182"/>
      <c r="QKE118" s="181"/>
      <c r="QKF118" s="182"/>
      <c r="QKG118" s="181"/>
      <c r="QKH118" s="182"/>
      <c r="QKI118" s="181"/>
      <c r="QKJ118" s="182"/>
      <c r="QKK118" s="181"/>
      <c r="QKL118" s="182"/>
      <c r="QKM118" s="181"/>
      <c r="QKN118" s="182"/>
      <c r="QKO118" s="181"/>
      <c r="QKP118" s="182"/>
      <c r="QKQ118" s="181"/>
      <c r="QKR118" s="182"/>
      <c r="QKS118" s="181"/>
      <c r="QKT118" s="182"/>
      <c r="QKU118" s="181"/>
      <c r="QKV118" s="182"/>
      <c r="QKW118" s="181"/>
      <c r="QKX118" s="182"/>
      <c r="QKY118" s="181"/>
      <c r="QKZ118" s="182"/>
      <c r="QLA118" s="181"/>
      <c r="QLB118" s="182"/>
      <c r="QLC118" s="181"/>
      <c r="QLD118" s="182"/>
      <c r="QLE118" s="181"/>
      <c r="QLF118" s="182"/>
      <c r="QLG118" s="181"/>
      <c r="QLH118" s="182"/>
      <c r="QLI118" s="181"/>
      <c r="QLJ118" s="182"/>
      <c r="QLK118" s="181"/>
      <c r="QLL118" s="182"/>
      <c r="QLM118" s="181"/>
      <c r="QLN118" s="182"/>
      <c r="QLO118" s="181"/>
      <c r="QLP118" s="182"/>
      <c r="QLQ118" s="181"/>
      <c r="QLR118" s="182"/>
      <c r="QLS118" s="181"/>
      <c r="QLT118" s="182"/>
      <c r="QLU118" s="181"/>
      <c r="QLV118" s="182"/>
      <c r="QLW118" s="181"/>
      <c r="QLX118" s="182"/>
      <c r="QLY118" s="181"/>
      <c r="QLZ118" s="182"/>
      <c r="QMA118" s="181"/>
      <c r="QMB118" s="182"/>
      <c r="QMC118" s="181"/>
      <c r="QMD118" s="182"/>
      <c r="QME118" s="181"/>
      <c r="QMF118" s="182"/>
      <c r="QMG118" s="181"/>
      <c r="QMH118" s="182"/>
      <c r="QMI118" s="181"/>
      <c r="QMJ118" s="182"/>
      <c r="QMK118" s="181"/>
      <c r="QML118" s="182"/>
      <c r="QMM118" s="181"/>
      <c r="QMN118" s="182"/>
      <c r="QMO118" s="181"/>
      <c r="QMP118" s="182"/>
      <c r="QMQ118" s="181"/>
      <c r="QMR118" s="182"/>
      <c r="QMS118" s="181"/>
      <c r="QMT118" s="182"/>
      <c r="QMU118" s="181"/>
      <c r="QMV118" s="182"/>
      <c r="QMW118" s="181"/>
      <c r="QMX118" s="182"/>
      <c r="QMY118" s="181"/>
      <c r="QMZ118" s="182"/>
      <c r="QNA118" s="181"/>
      <c r="QNB118" s="182"/>
      <c r="QNC118" s="181"/>
      <c r="QND118" s="182"/>
      <c r="QNE118" s="181"/>
      <c r="QNF118" s="182"/>
      <c r="QNG118" s="181"/>
      <c r="QNH118" s="182"/>
      <c r="QNI118" s="181"/>
      <c r="QNJ118" s="182"/>
      <c r="QNK118" s="181"/>
      <c r="QNL118" s="182"/>
      <c r="QNM118" s="181"/>
      <c r="QNN118" s="182"/>
      <c r="QNO118" s="181"/>
      <c r="QNP118" s="182"/>
      <c r="QNQ118" s="181"/>
      <c r="QNR118" s="182"/>
      <c r="QNS118" s="181"/>
      <c r="QNT118" s="182"/>
      <c r="QNU118" s="181"/>
      <c r="QNV118" s="182"/>
      <c r="QNW118" s="181"/>
      <c r="QNX118" s="182"/>
      <c r="QNY118" s="181"/>
      <c r="QNZ118" s="182"/>
      <c r="QOA118" s="181"/>
      <c r="QOB118" s="182"/>
      <c r="QOC118" s="181"/>
      <c r="QOD118" s="182"/>
      <c r="QOE118" s="181"/>
      <c r="QOF118" s="182"/>
      <c r="QOG118" s="181"/>
      <c r="QOH118" s="182"/>
      <c r="QOI118" s="181"/>
      <c r="QOJ118" s="182"/>
      <c r="QOK118" s="181"/>
      <c r="QOL118" s="182"/>
      <c r="QOM118" s="181"/>
      <c r="QON118" s="182"/>
      <c r="QOO118" s="181"/>
      <c r="QOP118" s="182"/>
      <c r="QOQ118" s="181"/>
      <c r="QOR118" s="182"/>
      <c r="QOS118" s="181"/>
      <c r="QOT118" s="182"/>
      <c r="QOU118" s="181"/>
      <c r="QOV118" s="182"/>
      <c r="QOW118" s="181"/>
      <c r="QOX118" s="182"/>
      <c r="QOY118" s="181"/>
      <c r="QOZ118" s="182"/>
      <c r="QPA118" s="181"/>
      <c r="QPB118" s="182"/>
      <c r="QPC118" s="181"/>
      <c r="QPD118" s="182"/>
      <c r="QPE118" s="181"/>
      <c r="QPF118" s="182"/>
      <c r="QPG118" s="181"/>
      <c r="QPH118" s="182"/>
      <c r="QPI118" s="181"/>
      <c r="QPJ118" s="182"/>
      <c r="QPK118" s="181"/>
      <c r="QPL118" s="182"/>
      <c r="QPM118" s="181"/>
      <c r="QPN118" s="182"/>
      <c r="QPO118" s="181"/>
      <c r="QPP118" s="182"/>
      <c r="QPQ118" s="181"/>
      <c r="QPR118" s="182"/>
      <c r="QPS118" s="181"/>
      <c r="QPT118" s="182"/>
      <c r="QPU118" s="181"/>
      <c r="QPV118" s="182"/>
      <c r="QPW118" s="181"/>
      <c r="QPX118" s="182"/>
      <c r="QPY118" s="181"/>
      <c r="QPZ118" s="182"/>
      <c r="QQA118" s="181"/>
      <c r="QQB118" s="182"/>
      <c r="QQC118" s="181"/>
      <c r="QQD118" s="182"/>
      <c r="QQE118" s="181"/>
      <c r="QQF118" s="182"/>
      <c r="QQG118" s="181"/>
      <c r="QQH118" s="182"/>
      <c r="QQI118" s="181"/>
      <c r="QQJ118" s="182"/>
      <c r="QQK118" s="181"/>
      <c r="QQL118" s="182"/>
      <c r="QQM118" s="181"/>
      <c r="QQN118" s="182"/>
      <c r="QQO118" s="181"/>
      <c r="QQP118" s="182"/>
      <c r="QQQ118" s="181"/>
      <c r="QQR118" s="182"/>
      <c r="QQS118" s="181"/>
      <c r="QQT118" s="182"/>
      <c r="QQU118" s="181"/>
      <c r="QQV118" s="182"/>
      <c r="QQW118" s="181"/>
      <c r="QQX118" s="182"/>
      <c r="QQY118" s="181"/>
      <c r="QQZ118" s="182"/>
      <c r="QRA118" s="181"/>
      <c r="QRB118" s="182"/>
      <c r="QRC118" s="181"/>
      <c r="QRD118" s="182"/>
      <c r="QRE118" s="181"/>
      <c r="QRF118" s="182"/>
      <c r="QRG118" s="181"/>
      <c r="QRH118" s="182"/>
      <c r="QRI118" s="181"/>
      <c r="QRJ118" s="182"/>
      <c r="QRK118" s="181"/>
      <c r="QRL118" s="182"/>
      <c r="QRM118" s="181"/>
      <c r="QRN118" s="182"/>
      <c r="QRO118" s="181"/>
      <c r="QRP118" s="182"/>
      <c r="QRQ118" s="181"/>
      <c r="QRR118" s="182"/>
      <c r="QRS118" s="181"/>
      <c r="QRT118" s="182"/>
      <c r="QRU118" s="181"/>
      <c r="QRV118" s="182"/>
      <c r="QRW118" s="181"/>
      <c r="QRX118" s="182"/>
      <c r="QRY118" s="181"/>
      <c r="QRZ118" s="182"/>
      <c r="QSA118" s="181"/>
      <c r="QSB118" s="182"/>
      <c r="QSC118" s="181"/>
      <c r="QSD118" s="182"/>
      <c r="QSE118" s="181"/>
      <c r="QSF118" s="182"/>
      <c r="QSG118" s="181"/>
      <c r="QSH118" s="182"/>
      <c r="QSI118" s="181"/>
      <c r="QSJ118" s="182"/>
      <c r="QSK118" s="181"/>
      <c r="QSL118" s="182"/>
      <c r="QSM118" s="181"/>
      <c r="QSN118" s="182"/>
      <c r="QSO118" s="181"/>
      <c r="QSP118" s="182"/>
      <c r="QSQ118" s="181"/>
      <c r="QSR118" s="182"/>
      <c r="QSS118" s="181"/>
      <c r="QST118" s="182"/>
      <c r="QSU118" s="181"/>
      <c r="QSV118" s="182"/>
      <c r="QSW118" s="181"/>
      <c r="QSX118" s="182"/>
      <c r="QSY118" s="181"/>
      <c r="QSZ118" s="182"/>
      <c r="QTA118" s="181"/>
      <c r="QTB118" s="182"/>
      <c r="QTC118" s="181"/>
      <c r="QTD118" s="182"/>
      <c r="QTE118" s="181"/>
      <c r="QTF118" s="182"/>
      <c r="QTG118" s="181"/>
      <c r="QTH118" s="182"/>
      <c r="QTI118" s="181"/>
      <c r="QTJ118" s="182"/>
      <c r="QTK118" s="181"/>
      <c r="QTL118" s="182"/>
      <c r="QTM118" s="181"/>
      <c r="QTN118" s="182"/>
      <c r="QTO118" s="181"/>
      <c r="QTP118" s="182"/>
      <c r="QTQ118" s="181"/>
      <c r="QTR118" s="182"/>
      <c r="QTS118" s="181"/>
      <c r="QTT118" s="182"/>
      <c r="QTU118" s="181"/>
      <c r="QTV118" s="182"/>
      <c r="QTW118" s="181"/>
      <c r="QTX118" s="182"/>
      <c r="QTY118" s="181"/>
      <c r="QTZ118" s="182"/>
      <c r="QUA118" s="181"/>
      <c r="QUB118" s="182"/>
      <c r="QUC118" s="181"/>
      <c r="QUD118" s="182"/>
      <c r="QUE118" s="181"/>
      <c r="QUF118" s="182"/>
      <c r="QUG118" s="181"/>
      <c r="QUH118" s="182"/>
      <c r="QUI118" s="181"/>
      <c r="QUJ118" s="182"/>
      <c r="QUK118" s="181"/>
      <c r="QUL118" s="182"/>
      <c r="QUM118" s="181"/>
      <c r="QUN118" s="182"/>
      <c r="QUO118" s="181"/>
      <c r="QUP118" s="182"/>
      <c r="QUQ118" s="181"/>
      <c r="QUR118" s="182"/>
      <c r="QUS118" s="181"/>
      <c r="QUT118" s="182"/>
      <c r="QUU118" s="181"/>
      <c r="QUV118" s="182"/>
      <c r="QUW118" s="181"/>
      <c r="QUX118" s="182"/>
      <c r="QUY118" s="181"/>
      <c r="QUZ118" s="182"/>
      <c r="QVA118" s="181"/>
      <c r="QVB118" s="182"/>
      <c r="QVC118" s="181"/>
      <c r="QVD118" s="182"/>
      <c r="QVE118" s="181"/>
      <c r="QVF118" s="182"/>
      <c r="QVG118" s="181"/>
      <c r="QVH118" s="182"/>
      <c r="QVI118" s="181"/>
      <c r="QVJ118" s="182"/>
      <c r="QVK118" s="181"/>
      <c r="QVL118" s="182"/>
      <c r="QVM118" s="181"/>
      <c r="QVN118" s="182"/>
      <c r="QVO118" s="181"/>
      <c r="QVP118" s="182"/>
      <c r="QVQ118" s="181"/>
      <c r="QVR118" s="182"/>
      <c r="QVS118" s="181"/>
      <c r="QVT118" s="182"/>
      <c r="QVU118" s="181"/>
      <c r="QVV118" s="182"/>
      <c r="QVW118" s="181"/>
      <c r="QVX118" s="182"/>
      <c r="QVY118" s="181"/>
      <c r="QVZ118" s="182"/>
      <c r="QWA118" s="181"/>
      <c r="QWB118" s="182"/>
      <c r="QWC118" s="181"/>
      <c r="QWD118" s="182"/>
      <c r="QWE118" s="181"/>
      <c r="QWF118" s="182"/>
      <c r="QWG118" s="181"/>
      <c r="QWH118" s="182"/>
      <c r="QWI118" s="181"/>
      <c r="QWJ118" s="182"/>
      <c r="QWK118" s="181"/>
      <c r="QWL118" s="182"/>
      <c r="QWM118" s="181"/>
      <c r="QWN118" s="182"/>
      <c r="QWO118" s="181"/>
      <c r="QWP118" s="182"/>
      <c r="QWQ118" s="181"/>
      <c r="QWR118" s="182"/>
      <c r="QWS118" s="181"/>
      <c r="QWT118" s="182"/>
      <c r="QWU118" s="181"/>
      <c r="QWV118" s="182"/>
      <c r="QWW118" s="181"/>
      <c r="QWX118" s="182"/>
      <c r="QWY118" s="181"/>
      <c r="QWZ118" s="182"/>
      <c r="QXA118" s="181"/>
      <c r="QXB118" s="182"/>
      <c r="QXC118" s="181"/>
      <c r="QXD118" s="182"/>
      <c r="QXE118" s="181"/>
      <c r="QXF118" s="182"/>
      <c r="QXG118" s="181"/>
      <c r="QXH118" s="182"/>
      <c r="QXI118" s="181"/>
      <c r="QXJ118" s="182"/>
      <c r="QXK118" s="181"/>
      <c r="QXL118" s="182"/>
      <c r="QXM118" s="181"/>
      <c r="QXN118" s="182"/>
      <c r="QXO118" s="181"/>
      <c r="QXP118" s="182"/>
      <c r="QXQ118" s="181"/>
      <c r="QXR118" s="182"/>
      <c r="QXS118" s="181"/>
      <c r="QXT118" s="182"/>
      <c r="QXU118" s="181"/>
      <c r="QXV118" s="182"/>
      <c r="QXW118" s="181"/>
      <c r="QXX118" s="182"/>
      <c r="QXY118" s="181"/>
      <c r="QXZ118" s="182"/>
      <c r="QYA118" s="181"/>
      <c r="QYB118" s="182"/>
      <c r="QYC118" s="181"/>
      <c r="QYD118" s="182"/>
      <c r="QYE118" s="181"/>
      <c r="QYF118" s="182"/>
      <c r="QYG118" s="181"/>
      <c r="QYH118" s="182"/>
      <c r="QYI118" s="181"/>
      <c r="QYJ118" s="182"/>
      <c r="QYK118" s="181"/>
      <c r="QYL118" s="182"/>
      <c r="QYM118" s="181"/>
      <c r="QYN118" s="182"/>
      <c r="QYO118" s="181"/>
      <c r="QYP118" s="182"/>
      <c r="QYQ118" s="181"/>
      <c r="QYR118" s="182"/>
      <c r="QYS118" s="181"/>
      <c r="QYT118" s="182"/>
      <c r="QYU118" s="181"/>
      <c r="QYV118" s="182"/>
      <c r="QYW118" s="181"/>
      <c r="QYX118" s="182"/>
      <c r="QYY118" s="181"/>
      <c r="QYZ118" s="182"/>
      <c r="QZA118" s="181"/>
      <c r="QZB118" s="182"/>
      <c r="QZC118" s="181"/>
      <c r="QZD118" s="182"/>
      <c r="QZE118" s="181"/>
      <c r="QZF118" s="182"/>
      <c r="QZG118" s="181"/>
      <c r="QZH118" s="182"/>
      <c r="QZI118" s="181"/>
      <c r="QZJ118" s="182"/>
      <c r="QZK118" s="181"/>
      <c r="QZL118" s="182"/>
      <c r="QZM118" s="181"/>
      <c r="QZN118" s="182"/>
      <c r="QZO118" s="181"/>
      <c r="QZP118" s="182"/>
      <c r="QZQ118" s="181"/>
      <c r="QZR118" s="182"/>
      <c r="QZS118" s="181"/>
      <c r="QZT118" s="182"/>
      <c r="QZU118" s="181"/>
      <c r="QZV118" s="182"/>
      <c r="QZW118" s="181"/>
      <c r="QZX118" s="182"/>
      <c r="QZY118" s="181"/>
      <c r="QZZ118" s="182"/>
      <c r="RAA118" s="181"/>
      <c r="RAB118" s="182"/>
      <c r="RAC118" s="181"/>
      <c r="RAD118" s="182"/>
      <c r="RAE118" s="181"/>
      <c r="RAF118" s="182"/>
      <c r="RAG118" s="181"/>
      <c r="RAH118" s="182"/>
      <c r="RAI118" s="181"/>
      <c r="RAJ118" s="182"/>
      <c r="RAK118" s="181"/>
      <c r="RAL118" s="182"/>
      <c r="RAM118" s="181"/>
      <c r="RAN118" s="182"/>
      <c r="RAO118" s="181"/>
      <c r="RAP118" s="182"/>
      <c r="RAQ118" s="181"/>
      <c r="RAR118" s="182"/>
      <c r="RAS118" s="181"/>
      <c r="RAT118" s="182"/>
      <c r="RAU118" s="181"/>
      <c r="RAV118" s="182"/>
      <c r="RAW118" s="181"/>
      <c r="RAX118" s="182"/>
      <c r="RAY118" s="181"/>
      <c r="RAZ118" s="182"/>
      <c r="RBA118" s="181"/>
      <c r="RBB118" s="182"/>
      <c r="RBC118" s="181"/>
      <c r="RBD118" s="182"/>
      <c r="RBE118" s="181"/>
      <c r="RBF118" s="182"/>
      <c r="RBG118" s="181"/>
      <c r="RBH118" s="182"/>
      <c r="RBI118" s="181"/>
      <c r="RBJ118" s="182"/>
      <c r="RBK118" s="181"/>
      <c r="RBL118" s="182"/>
      <c r="RBM118" s="181"/>
      <c r="RBN118" s="182"/>
      <c r="RBO118" s="181"/>
      <c r="RBP118" s="182"/>
      <c r="RBQ118" s="181"/>
      <c r="RBR118" s="182"/>
      <c r="RBS118" s="181"/>
      <c r="RBT118" s="182"/>
      <c r="RBU118" s="181"/>
      <c r="RBV118" s="182"/>
      <c r="RBW118" s="181"/>
      <c r="RBX118" s="182"/>
      <c r="RBY118" s="181"/>
      <c r="RBZ118" s="182"/>
      <c r="RCA118" s="181"/>
      <c r="RCB118" s="182"/>
      <c r="RCC118" s="181"/>
      <c r="RCD118" s="182"/>
      <c r="RCE118" s="181"/>
      <c r="RCF118" s="182"/>
      <c r="RCG118" s="181"/>
      <c r="RCH118" s="182"/>
      <c r="RCI118" s="181"/>
      <c r="RCJ118" s="182"/>
      <c r="RCK118" s="181"/>
      <c r="RCL118" s="182"/>
      <c r="RCM118" s="181"/>
      <c r="RCN118" s="182"/>
      <c r="RCO118" s="181"/>
      <c r="RCP118" s="182"/>
      <c r="RCQ118" s="181"/>
      <c r="RCR118" s="182"/>
      <c r="RCS118" s="181"/>
      <c r="RCT118" s="182"/>
      <c r="RCU118" s="181"/>
      <c r="RCV118" s="182"/>
      <c r="RCW118" s="181"/>
      <c r="RCX118" s="182"/>
      <c r="RCY118" s="181"/>
      <c r="RCZ118" s="182"/>
      <c r="RDA118" s="181"/>
      <c r="RDB118" s="182"/>
      <c r="RDC118" s="181"/>
      <c r="RDD118" s="182"/>
      <c r="RDE118" s="181"/>
      <c r="RDF118" s="182"/>
      <c r="RDG118" s="181"/>
      <c r="RDH118" s="182"/>
      <c r="RDI118" s="181"/>
      <c r="RDJ118" s="182"/>
      <c r="RDK118" s="181"/>
      <c r="RDL118" s="182"/>
      <c r="RDM118" s="181"/>
      <c r="RDN118" s="182"/>
      <c r="RDO118" s="181"/>
      <c r="RDP118" s="182"/>
      <c r="RDQ118" s="181"/>
      <c r="RDR118" s="182"/>
      <c r="RDS118" s="181"/>
      <c r="RDT118" s="182"/>
      <c r="RDU118" s="181"/>
      <c r="RDV118" s="182"/>
      <c r="RDW118" s="181"/>
      <c r="RDX118" s="182"/>
      <c r="RDY118" s="181"/>
      <c r="RDZ118" s="182"/>
      <c r="REA118" s="181"/>
      <c r="REB118" s="182"/>
      <c r="REC118" s="181"/>
      <c r="RED118" s="182"/>
      <c r="REE118" s="181"/>
      <c r="REF118" s="182"/>
      <c r="REG118" s="181"/>
      <c r="REH118" s="182"/>
      <c r="REI118" s="181"/>
      <c r="REJ118" s="182"/>
      <c r="REK118" s="181"/>
      <c r="REL118" s="182"/>
      <c r="REM118" s="181"/>
      <c r="REN118" s="182"/>
      <c r="REO118" s="181"/>
      <c r="REP118" s="182"/>
      <c r="REQ118" s="181"/>
      <c r="RER118" s="182"/>
      <c r="RES118" s="181"/>
      <c r="RET118" s="182"/>
      <c r="REU118" s="181"/>
      <c r="REV118" s="182"/>
      <c r="REW118" s="181"/>
      <c r="REX118" s="182"/>
      <c r="REY118" s="181"/>
      <c r="REZ118" s="182"/>
      <c r="RFA118" s="181"/>
      <c r="RFB118" s="182"/>
      <c r="RFC118" s="181"/>
      <c r="RFD118" s="182"/>
      <c r="RFE118" s="181"/>
      <c r="RFF118" s="182"/>
      <c r="RFG118" s="181"/>
      <c r="RFH118" s="182"/>
      <c r="RFI118" s="181"/>
      <c r="RFJ118" s="182"/>
      <c r="RFK118" s="181"/>
      <c r="RFL118" s="182"/>
      <c r="RFM118" s="181"/>
      <c r="RFN118" s="182"/>
      <c r="RFO118" s="181"/>
      <c r="RFP118" s="182"/>
      <c r="RFQ118" s="181"/>
      <c r="RFR118" s="182"/>
      <c r="RFS118" s="181"/>
      <c r="RFT118" s="182"/>
      <c r="RFU118" s="181"/>
      <c r="RFV118" s="182"/>
      <c r="RFW118" s="181"/>
      <c r="RFX118" s="182"/>
      <c r="RFY118" s="181"/>
      <c r="RFZ118" s="182"/>
      <c r="RGA118" s="181"/>
      <c r="RGB118" s="182"/>
      <c r="RGC118" s="181"/>
      <c r="RGD118" s="182"/>
      <c r="RGE118" s="181"/>
      <c r="RGF118" s="182"/>
      <c r="RGG118" s="181"/>
      <c r="RGH118" s="182"/>
      <c r="RGI118" s="181"/>
      <c r="RGJ118" s="182"/>
      <c r="RGK118" s="181"/>
      <c r="RGL118" s="182"/>
      <c r="RGM118" s="181"/>
      <c r="RGN118" s="182"/>
      <c r="RGO118" s="181"/>
      <c r="RGP118" s="182"/>
      <c r="RGQ118" s="181"/>
      <c r="RGR118" s="182"/>
      <c r="RGS118" s="181"/>
      <c r="RGT118" s="182"/>
      <c r="RGU118" s="181"/>
      <c r="RGV118" s="182"/>
      <c r="RGW118" s="181"/>
      <c r="RGX118" s="182"/>
      <c r="RGY118" s="181"/>
      <c r="RGZ118" s="182"/>
      <c r="RHA118" s="181"/>
      <c r="RHB118" s="182"/>
      <c r="RHC118" s="181"/>
      <c r="RHD118" s="182"/>
      <c r="RHE118" s="181"/>
      <c r="RHF118" s="182"/>
      <c r="RHG118" s="181"/>
      <c r="RHH118" s="182"/>
      <c r="RHI118" s="181"/>
      <c r="RHJ118" s="182"/>
      <c r="RHK118" s="181"/>
      <c r="RHL118" s="182"/>
      <c r="RHM118" s="181"/>
      <c r="RHN118" s="182"/>
      <c r="RHO118" s="181"/>
      <c r="RHP118" s="182"/>
      <c r="RHQ118" s="181"/>
      <c r="RHR118" s="182"/>
      <c r="RHS118" s="181"/>
      <c r="RHT118" s="182"/>
      <c r="RHU118" s="181"/>
      <c r="RHV118" s="182"/>
      <c r="RHW118" s="181"/>
      <c r="RHX118" s="182"/>
      <c r="RHY118" s="181"/>
      <c r="RHZ118" s="182"/>
      <c r="RIA118" s="181"/>
      <c r="RIB118" s="182"/>
      <c r="RIC118" s="181"/>
      <c r="RID118" s="182"/>
      <c r="RIE118" s="181"/>
      <c r="RIF118" s="182"/>
      <c r="RIG118" s="181"/>
      <c r="RIH118" s="182"/>
      <c r="RII118" s="181"/>
      <c r="RIJ118" s="182"/>
      <c r="RIK118" s="181"/>
      <c r="RIL118" s="182"/>
      <c r="RIM118" s="181"/>
      <c r="RIN118" s="182"/>
      <c r="RIO118" s="181"/>
      <c r="RIP118" s="182"/>
      <c r="RIQ118" s="181"/>
      <c r="RIR118" s="182"/>
      <c r="RIS118" s="181"/>
      <c r="RIT118" s="182"/>
      <c r="RIU118" s="181"/>
      <c r="RIV118" s="182"/>
      <c r="RIW118" s="181"/>
      <c r="RIX118" s="182"/>
      <c r="RIY118" s="181"/>
      <c r="RIZ118" s="182"/>
      <c r="RJA118" s="181"/>
      <c r="RJB118" s="182"/>
      <c r="RJC118" s="181"/>
      <c r="RJD118" s="182"/>
      <c r="RJE118" s="181"/>
      <c r="RJF118" s="182"/>
      <c r="RJG118" s="181"/>
      <c r="RJH118" s="182"/>
      <c r="RJI118" s="181"/>
      <c r="RJJ118" s="182"/>
      <c r="RJK118" s="181"/>
      <c r="RJL118" s="182"/>
      <c r="RJM118" s="181"/>
      <c r="RJN118" s="182"/>
      <c r="RJO118" s="181"/>
      <c r="RJP118" s="182"/>
      <c r="RJQ118" s="181"/>
      <c r="RJR118" s="182"/>
      <c r="RJS118" s="181"/>
      <c r="RJT118" s="182"/>
      <c r="RJU118" s="181"/>
      <c r="RJV118" s="182"/>
      <c r="RJW118" s="181"/>
      <c r="RJX118" s="182"/>
      <c r="RJY118" s="181"/>
      <c r="RJZ118" s="182"/>
      <c r="RKA118" s="181"/>
      <c r="RKB118" s="182"/>
      <c r="RKC118" s="181"/>
      <c r="RKD118" s="182"/>
      <c r="RKE118" s="181"/>
      <c r="RKF118" s="182"/>
      <c r="RKG118" s="181"/>
      <c r="RKH118" s="182"/>
      <c r="RKI118" s="181"/>
      <c r="RKJ118" s="182"/>
      <c r="RKK118" s="181"/>
      <c r="RKL118" s="182"/>
      <c r="RKM118" s="181"/>
      <c r="RKN118" s="182"/>
      <c r="RKO118" s="181"/>
      <c r="RKP118" s="182"/>
      <c r="RKQ118" s="181"/>
      <c r="RKR118" s="182"/>
      <c r="RKS118" s="181"/>
      <c r="RKT118" s="182"/>
      <c r="RKU118" s="181"/>
      <c r="RKV118" s="182"/>
      <c r="RKW118" s="181"/>
      <c r="RKX118" s="182"/>
      <c r="RKY118" s="181"/>
      <c r="RKZ118" s="182"/>
      <c r="RLA118" s="181"/>
      <c r="RLB118" s="182"/>
      <c r="RLC118" s="181"/>
      <c r="RLD118" s="182"/>
      <c r="RLE118" s="181"/>
      <c r="RLF118" s="182"/>
      <c r="RLG118" s="181"/>
      <c r="RLH118" s="182"/>
      <c r="RLI118" s="181"/>
      <c r="RLJ118" s="182"/>
      <c r="RLK118" s="181"/>
      <c r="RLL118" s="182"/>
      <c r="RLM118" s="181"/>
      <c r="RLN118" s="182"/>
      <c r="RLO118" s="181"/>
      <c r="RLP118" s="182"/>
      <c r="RLQ118" s="181"/>
      <c r="RLR118" s="182"/>
      <c r="RLS118" s="181"/>
      <c r="RLT118" s="182"/>
      <c r="RLU118" s="181"/>
      <c r="RLV118" s="182"/>
      <c r="RLW118" s="181"/>
      <c r="RLX118" s="182"/>
      <c r="RLY118" s="181"/>
      <c r="RLZ118" s="182"/>
      <c r="RMA118" s="181"/>
      <c r="RMB118" s="182"/>
      <c r="RMC118" s="181"/>
      <c r="RMD118" s="182"/>
      <c r="RME118" s="181"/>
      <c r="RMF118" s="182"/>
      <c r="RMG118" s="181"/>
      <c r="RMH118" s="182"/>
      <c r="RMI118" s="181"/>
      <c r="RMJ118" s="182"/>
      <c r="RMK118" s="181"/>
      <c r="RML118" s="182"/>
      <c r="RMM118" s="181"/>
      <c r="RMN118" s="182"/>
      <c r="RMO118" s="181"/>
      <c r="RMP118" s="182"/>
      <c r="RMQ118" s="181"/>
      <c r="RMR118" s="182"/>
      <c r="RMS118" s="181"/>
      <c r="RMT118" s="182"/>
      <c r="RMU118" s="181"/>
      <c r="RMV118" s="182"/>
      <c r="RMW118" s="181"/>
      <c r="RMX118" s="182"/>
      <c r="RMY118" s="181"/>
      <c r="RMZ118" s="182"/>
      <c r="RNA118" s="181"/>
      <c r="RNB118" s="182"/>
      <c r="RNC118" s="181"/>
      <c r="RND118" s="182"/>
      <c r="RNE118" s="181"/>
      <c r="RNF118" s="182"/>
      <c r="RNG118" s="181"/>
      <c r="RNH118" s="182"/>
      <c r="RNI118" s="181"/>
      <c r="RNJ118" s="182"/>
      <c r="RNK118" s="181"/>
      <c r="RNL118" s="182"/>
      <c r="RNM118" s="181"/>
      <c r="RNN118" s="182"/>
      <c r="RNO118" s="181"/>
      <c r="RNP118" s="182"/>
      <c r="RNQ118" s="181"/>
      <c r="RNR118" s="182"/>
      <c r="RNS118" s="181"/>
      <c r="RNT118" s="182"/>
      <c r="RNU118" s="181"/>
      <c r="RNV118" s="182"/>
      <c r="RNW118" s="181"/>
      <c r="RNX118" s="182"/>
      <c r="RNY118" s="181"/>
      <c r="RNZ118" s="182"/>
      <c r="ROA118" s="181"/>
      <c r="ROB118" s="182"/>
      <c r="ROC118" s="181"/>
      <c r="ROD118" s="182"/>
      <c r="ROE118" s="181"/>
      <c r="ROF118" s="182"/>
      <c r="ROG118" s="181"/>
      <c r="ROH118" s="182"/>
      <c r="ROI118" s="181"/>
      <c r="ROJ118" s="182"/>
      <c r="ROK118" s="181"/>
      <c r="ROL118" s="182"/>
      <c r="ROM118" s="181"/>
      <c r="RON118" s="182"/>
      <c r="ROO118" s="181"/>
      <c r="ROP118" s="182"/>
      <c r="ROQ118" s="181"/>
      <c r="ROR118" s="182"/>
      <c r="ROS118" s="181"/>
      <c r="ROT118" s="182"/>
      <c r="ROU118" s="181"/>
      <c r="ROV118" s="182"/>
      <c r="ROW118" s="181"/>
      <c r="ROX118" s="182"/>
      <c r="ROY118" s="181"/>
      <c r="ROZ118" s="182"/>
      <c r="RPA118" s="181"/>
      <c r="RPB118" s="182"/>
      <c r="RPC118" s="181"/>
      <c r="RPD118" s="182"/>
      <c r="RPE118" s="181"/>
      <c r="RPF118" s="182"/>
      <c r="RPG118" s="181"/>
      <c r="RPH118" s="182"/>
      <c r="RPI118" s="181"/>
      <c r="RPJ118" s="182"/>
      <c r="RPK118" s="181"/>
      <c r="RPL118" s="182"/>
      <c r="RPM118" s="181"/>
      <c r="RPN118" s="182"/>
      <c r="RPO118" s="181"/>
      <c r="RPP118" s="182"/>
      <c r="RPQ118" s="181"/>
      <c r="RPR118" s="182"/>
      <c r="RPS118" s="181"/>
      <c r="RPT118" s="182"/>
      <c r="RPU118" s="181"/>
      <c r="RPV118" s="182"/>
      <c r="RPW118" s="181"/>
      <c r="RPX118" s="182"/>
      <c r="RPY118" s="181"/>
      <c r="RPZ118" s="182"/>
      <c r="RQA118" s="181"/>
      <c r="RQB118" s="182"/>
      <c r="RQC118" s="181"/>
      <c r="RQD118" s="182"/>
      <c r="RQE118" s="181"/>
      <c r="RQF118" s="182"/>
      <c r="RQG118" s="181"/>
      <c r="RQH118" s="182"/>
      <c r="RQI118" s="181"/>
      <c r="RQJ118" s="182"/>
      <c r="RQK118" s="181"/>
      <c r="RQL118" s="182"/>
      <c r="RQM118" s="181"/>
      <c r="RQN118" s="182"/>
      <c r="RQO118" s="181"/>
      <c r="RQP118" s="182"/>
      <c r="RQQ118" s="181"/>
      <c r="RQR118" s="182"/>
      <c r="RQS118" s="181"/>
      <c r="RQT118" s="182"/>
      <c r="RQU118" s="181"/>
      <c r="RQV118" s="182"/>
      <c r="RQW118" s="181"/>
      <c r="RQX118" s="182"/>
      <c r="RQY118" s="181"/>
      <c r="RQZ118" s="182"/>
      <c r="RRA118" s="181"/>
      <c r="RRB118" s="182"/>
      <c r="RRC118" s="181"/>
      <c r="RRD118" s="182"/>
      <c r="RRE118" s="181"/>
      <c r="RRF118" s="182"/>
      <c r="RRG118" s="181"/>
      <c r="RRH118" s="182"/>
      <c r="RRI118" s="181"/>
      <c r="RRJ118" s="182"/>
      <c r="RRK118" s="181"/>
      <c r="RRL118" s="182"/>
      <c r="RRM118" s="181"/>
      <c r="RRN118" s="182"/>
      <c r="RRO118" s="181"/>
      <c r="RRP118" s="182"/>
      <c r="RRQ118" s="181"/>
      <c r="RRR118" s="182"/>
      <c r="RRS118" s="181"/>
      <c r="RRT118" s="182"/>
      <c r="RRU118" s="181"/>
      <c r="RRV118" s="182"/>
      <c r="RRW118" s="181"/>
      <c r="RRX118" s="182"/>
      <c r="RRY118" s="181"/>
      <c r="RRZ118" s="182"/>
      <c r="RSA118" s="181"/>
      <c r="RSB118" s="182"/>
      <c r="RSC118" s="181"/>
      <c r="RSD118" s="182"/>
      <c r="RSE118" s="181"/>
      <c r="RSF118" s="182"/>
      <c r="RSG118" s="181"/>
      <c r="RSH118" s="182"/>
      <c r="RSI118" s="181"/>
      <c r="RSJ118" s="182"/>
      <c r="RSK118" s="181"/>
      <c r="RSL118" s="182"/>
      <c r="RSM118" s="181"/>
      <c r="RSN118" s="182"/>
      <c r="RSO118" s="181"/>
      <c r="RSP118" s="182"/>
      <c r="RSQ118" s="181"/>
      <c r="RSR118" s="182"/>
      <c r="RSS118" s="181"/>
      <c r="RST118" s="182"/>
      <c r="RSU118" s="181"/>
      <c r="RSV118" s="182"/>
      <c r="RSW118" s="181"/>
      <c r="RSX118" s="182"/>
      <c r="RSY118" s="181"/>
      <c r="RSZ118" s="182"/>
      <c r="RTA118" s="181"/>
      <c r="RTB118" s="182"/>
      <c r="RTC118" s="181"/>
      <c r="RTD118" s="182"/>
      <c r="RTE118" s="181"/>
      <c r="RTF118" s="182"/>
      <c r="RTG118" s="181"/>
      <c r="RTH118" s="182"/>
      <c r="RTI118" s="181"/>
      <c r="RTJ118" s="182"/>
      <c r="RTK118" s="181"/>
      <c r="RTL118" s="182"/>
      <c r="RTM118" s="181"/>
      <c r="RTN118" s="182"/>
      <c r="RTO118" s="181"/>
      <c r="RTP118" s="182"/>
      <c r="RTQ118" s="181"/>
      <c r="RTR118" s="182"/>
      <c r="RTS118" s="181"/>
      <c r="RTT118" s="182"/>
      <c r="RTU118" s="181"/>
      <c r="RTV118" s="182"/>
      <c r="RTW118" s="181"/>
      <c r="RTX118" s="182"/>
      <c r="RTY118" s="181"/>
      <c r="RTZ118" s="182"/>
      <c r="RUA118" s="181"/>
      <c r="RUB118" s="182"/>
      <c r="RUC118" s="181"/>
      <c r="RUD118" s="182"/>
      <c r="RUE118" s="181"/>
      <c r="RUF118" s="182"/>
      <c r="RUG118" s="181"/>
      <c r="RUH118" s="182"/>
      <c r="RUI118" s="181"/>
      <c r="RUJ118" s="182"/>
      <c r="RUK118" s="181"/>
      <c r="RUL118" s="182"/>
      <c r="RUM118" s="181"/>
      <c r="RUN118" s="182"/>
      <c r="RUO118" s="181"/>
      <c r="RUP118" s="182"/>
      <c r="RUQ118" s="181"/>
      <c r="RUR118" s="182"/>
      <c r="RUS118" s="181"/>
      <c r="RUT118" s="182"/>
      <c r="RUU118" s="181"/>
      <c r="RUV118" s="182"/>
      <c r="RUW118" s="181"/>
      <c r="RUX118" s="182"/>
      <c r="RUY118" s="181"/>
      <c r="RUZ118" s="182"/>
      <c r="RVA118" s="181"/>
      <c r="RVB118" s="182"/>
      <c r="RVC118" s="181"/>
      <c r="RVD118" s="182"/>
      <c r="RVE118" s="181"/>
      <c r="RVF118" s="182"/>
      <c r="RVG118" s="181"/>
      <c r="RVH118" s="182"/>
      <c r="RVI118" s="181"/>
      <c r="RVJ118" s="182"/>
      <c r="RVK118" s="181"/>
      <c r="RVL118" s="182"/>
      <c r="RVM118" s="181"/>
      <c r="RVN118" s="182"/>
      <c r="RVO118" s="181"/>
      <c r="RVP118" s="182"/>
      <c r="RVQ118" s="181"/>
      <c r="RVR118" s="182"/>
      <c r="RVS118" s="181"/>
      <c r="RVT118" s="182"/>
      <c r="RVU118" s="181"/>
      <c r="RVV118" s="182"/>
      <c r="RVW118" s="181"/>
      <c r="RVX118" s="182"/>
      <c r="RVY118" s="181"/>
      <c r="RVZ118" s="182"/>
      <c r="RWA118" s="181"/>
      <c r="RWB118" s="182"/>
      <c r="RWC118" s="181"/>
      <c r="RWD118" s="182"/>
      <c r="RWE118" s="181"/>
      <c r="RWF118" s="182"/>
      <c r="RWG118" s="181"/>
      <c r="RWH118" s="182"/>
      <c r="RWI118" s="181"/>
      <c r="RWJ118" s="182"/>
      <c r="RWK118" s="181"/>
      <c r="RWL118" s="182"/>
      <c r="RWM118" s="181"/>
      <c r="RWN118" s="182"/>
      <c r="RWO118" s="181"/>
      <c r="RWP118" s="182"/>
      <c r="RWQ118" s="181"/>
      <c r="RWR118" s="182"/>
      <c r="RWS118" s="181"/>
      <c r="RWT118" s="182"/>
      <c r="RWU118" s="181"/>
      <c r="RWV118" s="182"/>
      <c r="RWW118" s="181"/>
      <c r="RWX118" s="182"/>
      <c r="RWY118" s="181"/>
      <c r="RWZ118" s="182"/>
      <c r="RXA118" s="181"/>
      <c r="RXB118" s="182"/>
      <c r="RXC118" s="181"/>
      <c r="RXD118" s="182"/>
      <c r="RXE118" s="181"/>
      <c r="RXF118" s="182"/>
      <c r="RXG118" s="181"/>
      <c r="RXH118" s="182"/>
      <c r="RXI118" s="181"/>
      <c r="RXJ118" s="182"/>
      <c r="RXK118" s="181"/>
      <c r="RXL118" s="182"/>
      <c r="RXM118" s="181"/>
      <c r="RXN118" s="182"/>
      <c r="RXO118" s="181"/>
      <c r="RXP118" s="182"/>
      <c r="RXQ118" s="181"/>
      <c r="RXR118" s="182"/>
      <c r="RXS118" s="181"/>
      <c r="RXT118" s="182"/>
      <c r="RXU118" s="181"/>
      <c r="RXV118" s="182"/>
      <c r="RXW118" s="181"/>
      <c r="RXX118" s="182"/>
      <c r="RXY118" s="181"/>
      <c r="RXZ118" s="182"/>
      <c r="RYA118" s="181"/>
      <c r="RYB118" s="182"/>
      <c r="RYC118" s="181"/>
      <c r="RYD118" s="182"/>
      <c r="RYE118" s="181"/>
      <c r="RYF118" s="182"/>
      <c r="RYG118" s="181"/>
      <c r="RYH118" s="182"/>
      <c r="RYI118" s="181"/>
      <c r="RYJ118" s="182"/>
      <c r="RYK118" s="181"/>
      <c r="RYL118" s="182"/>
      <c r="RYM118" s="181"/>
      <c r="RYN118" s="182"/>
      <c r="RYO118" s="181"/>
      <c r="RYP118" s="182"/>
      <c r="RYQ118" s="181"/>
      <c r="RYR118" s="182"/>
      <c r="RYS118" s="181"/>
      <c r="RYT118" s="182"/>
      <c r="RYU118" s="181"/>
      <c r="RYV118" s="182"/>
      <c r="RYW118" s="181"/>
      <c r="RYX118" s="182"/>
      <c r="RYY118" s="181"/>
      <c r="RYZ118" s="182"/>
      <c r="RZA118" s="181"/>
      <c r="RZB118" s="182"/>
      <c r="RZC118" s="181"/>
      <c r="RZD118" s="182"/>
      <c r="RZE118" s="181"/>
      <c r="RZF118" s="182"/>
      <c r="RZG118" s="181"/>
      <c r="RZH118" s="182"/>
      <c r="RZI118" s="181"/>
      <c r="RZJ118" s="182"/>
      <c r="RZK118" s="181"/>
      <c r="RZL118" s="182"/>
      <c r="RZM118" s="181"/>
      <c r="RZN118" s="182"/>
      <c r="RZO118" s="181"/>
      <c r="RZP118" s="182"/>
      <c r="RZQ118" s="181"/>
      <c r="RZR118" s="182"/>
      <c r="RZS118" s="181"/>
      <c r="RZT118" s="182"/>
      <c r="RZU118" s="181"/>
      <c r="RZV118" s="182"/>
      <c r="RZW118" s="181"/>
      <c r="RZX118" s="182"/>
      <c r="RZY118" s="181"/>
      <c r="RZZ118" s="182"/>
      <c r="SAA118" s="181"/>
      <c r="SAB118" s="182"/>
      <c r="SAC118" s="181"/>
      <c r="SAD118" s="182"/>
      <c r="SAE118" s="181"/>
      <c r="SAF118" s="182"/>
      <c r="SAG118" s="181"/>
      <c r="SAH118" s="182"/>
      <c r="SAI118" s="181"/>
      <c r="SAJ118" s="182"/>
      <c r="SAK118" s="181"/>
      <c r="SAL118" s="182"/>
      <c r="SAM118" s="181"/>
      <c r="SAN118" s="182"/>
      <c r="SAO118" s="181"/>
      <c r="SAP118" s="182"/>
      <c r="SAQ118" s="181"/>
      <c r="SAR118" s="182"/>
      <c r="SAS118" s="181"/>
      <c r="SAT118" s="182"/>
      <c r="SAU118" s="181"/>
      <c r="SAV118" s="182"/>
      <c r="SAW118" s="181"/>
      <c r="SAX118" s="182"/>
      <c r="SAY118" s="181"/>
      <c r="SAZ118" s="182"/>
      <c r="SBA118" s="181"/>
      <c r="SBB118" s="182"/>
      <c r="SBC118" s="181"/>
      <c r="SBD118" s="182"/>
      <c r="SBE118" s="181"/>
      <c r="SBF118" s="182"/>
      <c r="SBG118" s="181"/>
      <c r="SBH118" s="182"/>
      <c r="SBI118" s="181"/>
      <c r="SBJ118" s="182"/>
      <c r="SBK118" s="181"/>
      <c r="SBL118" s="182"/>
      <c r="SBM118" s="181"/>
      <c r="SBN118" s="182"/>
      <c r="SBO118" s="181"/>
      <c r="SBP118" s="182"/>
      <c r="SBQ118" s="181"/>
      <c r="SBR118" s="182"/>
      <c r="SBS118" s="181"/>
      <c r="SBT118" s="182"/>
      <c r="SBU118" s="181"/>
      <c r="SBV118" s="182"/>
      <c r="SBW118" s="181"/>
      <c r="SBX118" s="182"/>
      <c r="SBY118" s="181"/>
      <c r="SBZ118" s="182"/>
      <c r="SCA118" s="181"/>
      <c r="SCB118" s="182"/>
      <c r="SCC118" s="181"/>
      <c r="SCD118" s="182"/>
      <c r="SCE118" s="181"/>
      <c r="SCF118" s="182"/>
      <c r="SCG118" s="181"/>
      <c r="SCH118" s="182"/>
      <c r="SCI118" s="181"/>
      <c r="SCJ118" s="182"/>
      <c r="SCK118" s="181"/>
      <c r="SCL118" s="182"/>
      <c r="SCM118" s="181"/>
      <c r="SCN118" s="182"/>
      <c r="SCO118" s="181"/>
      <c r="SCP118" s="182"/>
      <c r="SCQ118" s="181"/>
      <c r="SCR118" s="182"/>
      <c r="SCS118" s="181"/>
      <c r="SCT118" s="182"/>
      <c r="SCU118" s="181"/>
      <c r="SCV118" s="182"/>
      <c r="SCW118" s="181"/>
      <c r="SCX118" s="182"/>
      <c r="SCY118" s="181"/>
      <c r="SCZ118" s="182"/>
      <c r="SDA118" s="181"/>
      <c r="SDB118" s="182"/>
      <c r="SDC118" s="181"/>
      <c r="SDD118" s="182"/>
      <c r="SDE118" s="181"/>
      <c r="SDF118" s="182"/>
      <c r="SDG118" s="181"/>
      <c r="SDH118" s="182"/>
      <c r="SDI118" s="181"/>
      <c r="SDJ118" s="182"/>
      <c r="SDK118" s="181"/>
      <c r="SDL118" s="182"/>
      <c r="SDM118" s="181"/>
      <c r="SDN118" s="182"/>
      <c r="SDO118" s="181"/>
      <c r="SDP118" s="182"/>
      <c r="SDQ118" s="181"/>
      <c r="SDR118" s="182"/>
      <c r="SDS118" s="181"/>
      <c r="SDT118" s="182"/>
      <c r="SDU118" s="181"/>
      <c r="SDV118" s="182"/>
      <c r="SDW118" s="181"/>
      <c r="SDX118" s="182"/>
      <c r="SDY118" s="181"/>
      <c r="SDZ118" s="182"/>
      <c r="SEA118" s="181"/>
      <c r="SEB118" s="182"/>
      <c r="SEC118" s="181"/>
      <c r="SED118" s="182"/>
      <c r="SEE118" s="181"/>
      <c r="SEF118" s="182"/>
      <c r="SEG118" s="181"/>
      <c r="SEH118" s="182"/>
      <c r="SEI118" s="181"/>
      <c r="SEJ118" s="182"/>
      <c r="SEK118" s="181"/>
      <c r="SEL118" s="182"/>
      <c r="SEM118" s="181"/>
      <c r="SEN118" s="182"/>
      <c r="SEO118" s="181"/>
      <c r="SEP118" s="182"/>
      <c r="SEQ118" s="181"/>
      <c r="SER118" s="182"/>
      <c r="SES118" s="181"/>
      <c r="SET118" s="182"/>
      <c r="SEU118" s="181"/>
      <c r="SEV118" s="182"/>
      <c r="SEW118" s="181"/>
      <c r="SEX118" s="182"/>
      <c r="SEY118" s="181"/>
      <c r="SEZ118" s="182"/>
      <c r="SFA118" s="181"/>
      <c r="SFB118" s="182"/>
      <c r="SFC118" s="181"/>
      <c r="SFD118" s="182"/>
      <c r="SFE118" s="181"/>
      <c r="SFF118" s="182"/>
      <c r="SFG118" s="181"/>
      <c r="SFH118" s="182"/>
      <c r="SFI118" s="181"/>
      <c r="SFJ118" s="182"/>
      <c r="SFK118" s="181"/>
      <c r="SFL118" s="182"/>
      <c r="SFM118" s="181"/>
      <c r="SFN118" s="182"/>
      <c r="SFO118" s="181"/>
      <c r="SFP118" s="182"/>
      <c r="SFQ118" s="181"/>
      <c r="SFR118" s="182"/>
      <c r="SFS118" s="181"/>
      <c r="SFT118" s="182"/>
      <c r="SFU118" s="181"/>
      <c r="SFV118" s="182"/>
      <c r="SFW118" s="181"/>
      <c r="SFX118" s="182"/>
      <c r="SFY118" s="181"/>
      <c r="SFZ118" s="182"/>
      <c r="SGA118" s="181"/>
      <c r="SGB118" s="182"/>
      <c r="SGC118" s="181"/>
      <c r="SGD118" s="182"/>
      <c r="SGE118" s="181"/>
      <c r="SGF118" s="182"/>
      <c r="SGG118" s="181"/>
      <c r="SGH118" s="182"/>
      <c r="SGI118" s="181"/>
      <c r="SGJ118" s="182"/>
      <c r="SGK118" s="181"/>
      <c r="SGL118" s="182"/>
      <c r="SGM118" s="181"/>
      <c r="SGN118" s="182"/>
      <c r="SGO118" s="181"/>
      <c r="SGP118" s="182"/>
      <c r="SGQ118" s="181"/>
      <c r="SGR118" s="182"/>
      <c r="SGS118" s="181"/>
      <c r="SGT118" s="182"/>
      <c r="SGU118" s="181"/>
      <c r="SGV118" s="182"/>
      <c r="SGW118" s="181"/>
      <c r="SGX118" s="182"/>
      <c r="SGY118" s="181"/>
      <c r="SGZ118" s="182"/>
      <c r="SHA118" s="181"/>
      <c r="SHB118" s="182"/>
      <c r="SHC118" s="181"/>
      <c r="SHD118" s="182"/>
      <c r="SHE118" s="181"/>
      <c r="SHF118" s="182"/>
      <c r="SHG118" s="181"/>
      <c r="SHH118" s="182"/>
      <c r="SHI118" s="181"/>
      <c r="SHJ118" s="182"/>
      <c r="SHK118" s="181"/>
      <c r="SHL118" s="182"/>
      <c r="SHM118" s="181"/>
      <c r="SHN118" s="182"/>
      <c r="SHO118" s="181"/>
      <c r="SHP118" s="182"/>
      <c r="SHQ118" s="181"/>
      <c r="SHR118" s="182"/>
      <c r="SHS118" s="181"/>
      <c r="SHT118" s="182"/>
      <c r="SHU118" s="181"/>
      <c r="SHV118" s="182"/>
      <c r="SHW118" s="181"/>
      <c r="SHX118" s="182"/>
      <c r="SHY118" s="181"/>
      <c r="SHZ118" s="182"/>
      <c r="SIA118" s="181"/>
      <c r="SIB118" s="182"/>
      <c r="SIC118" s="181"/>
      <c r="SID118" s="182"/>
      <c r="SIE118" s="181"/>
      <c r="SIF118" s="182"/>
      <c r="SIG118" s="181"/>
      <c r="SIH118" s="182"/>
      <c r="SII118" s="181"/>
      <c r="SIJ118" s="182"/>
      <c r="SIK118" s="181"/>
      <c r="SIL118" s="182"/>
      <c r="SIM118" s="181"/>
      <c r="SIN118" s="182"/>
      <c r="SIO118" s="181"/>
      <c r="SIP118" s="182"/>
      <c r="SIQ118" s="181"/>
      <c r="SIR118" s="182"/>
      <c r="SIS118" s="181"/>
      <c r="SIT118" s="182"/>
      <c r="SIU118" s="181"/>
      <c r="SIV118" s="182"/>
      <c r="SIW118" s="181"/>
      <c r="SIX118" s="182"/>
      <c r="SIY118" s="181"/>
      <c r="SIZ118" s="182"/>
      <c r="SJA118" s="181"/>
      <c r="SJB118" s="182"/>
      <c r="SJC118" s="181"/>
      <c r="SJD118" s="182"/>
      <c r="SJE118" s="181"/>
      <c r="SJF118" s="182"/>
      <c r="SJG118" s="181"/>
      <c r="SJH118" s="182"/>
      <c r="SJI118" s="181"/>
      <c r="SJJ118" s="182"/>
      <c r="SJK118" s="181"/>
      <c r="SJL118" s="182"/>
      <c r="SJM118" s="181"/>
      <c r="SJN118" s="182"/>
      <c r="SJO118" s="181"/>
      <c r="SJP118" s="182"/>
      <c r="SJQ118" s="181"/>
      <c r="SJR118" s="182"/>
      <c r="SJS118" s="181"/>
      <c r="SJT118" s="182"/>
      <c r="SJU118" s="181"/>
      <c r="SJV118" s="182"/>
      <c r="SJW118" s="181"/>
      <c r="SJX118" s="182"/>
      <c r="SJY118" s="181"/>
      <c r="SJZ118" s="182"/>
      <c r="SKA118" s="181"/>
      <c r="SKB118" s="182"/>
      <c r="SKC118" s="181"/>
      <c r="SKD118" s="182"/>
      <c r="SKE118" s="181"/>
      <c r="SKF118" s="182"/>
      <c r="SKG118" s="181"/>
      <c r="SKH118" s="182"/>
      <c r="SKI118" s="181"/>
      <c r="SKJ118" s="182"/>
      <c r="SKK118" s="181"/>
      <c r="SKL118" s="182"/>
      <c r="SKM118" s="181"/>
      <c r="SKN118" s="182"/>
      <c r="SKO118" s="181"/>
      <c r="SKP118" s="182"/>
      <c r="SKQ118" s="181"/>
      <c r="SKR118" s="182"/>
      <c r="SKS118" s="181"/>
      <c r="SKT118" s="182"/>
      <c r="SKU118" s="181"/>
      <c r="SKV118" s="182"/>
      <c r="SKW118" s="181"/>
      <c r="SKX118" s="182"/>
      <c r="SKY118" s="181"/>
      <c r="SKZ118" s="182"/>
      <c r="SLA118" s="181"/>
      <c r="SLB118" s="182"/>
      <c r="SLC118" s="181"/>
      <c r="SLD118" s="182"/>
      <c r="SLE118" s="181"/>
      <c r="SLF118" s="182"/>
      <c r="SLG118" s="181"/>
      <c r="SLH118" s="182"/>
      <c r="SLI118" s="181"/>
      <c r="SLJ118" s="182"/>
      <c r="SLK118" s="181"/>
      <c r="SLL118" s="182"/>
      <c r="SLM118" s="181"/>
      <c r="SLN118" s="182"/>
      <c r="SLO118" s="181"/>
      <c r="SLP118" s="182"/>
      <c r="SLQ118" s="181"/>
      <c r="SLR118" s="182"/>
      <c r="SLS118" s="181"/>
      <c r="SLT118" s="182"/>
      <c r="SLU118" s="181"/>
      <c r="SLV118" s="182"/>
      <c r="SLW118" s="181"/>
      <c r="SLX118" s="182"/>
      <c r="SLY118" s="181"/>
      <c r="SLZ118" s="182"/>
      <c r="SMA118" s="181"/>
      <c r="SMB118" s="182"/>
      <c r="SMC118" s="181"/>
      <c r="SMD118" s="182"/>
      <c r="SME118" s="181"/>
      <c r="SMF118" s="182"/>
      <c r="SMG118" s="181"/>
      <c r="SMH118" s="182"/>
      <c r="SMI118" s="181"/>
      <c r="SMJ118" s="182"/>
      <c r="SMK118" s="181"/>
      <c r="SML118" s="182"/>
      <c r="SMM118" s="181"/>
      <c r="SMN118" s="182"/>
      <c r="SMO118" s="181"/>
      <c r="SMP118" s="182"/>
      <c r="SMQ118" s="181"/>
      <c r="SMR118" s="182"/>
      <c r="SMS118" s="181"/>
      <c r="SMT118" s="182"/>
      <c r="SMU118" s="181"/>
      <c r="SMV118" s="182"/>
      <c r="SMW118" s="181"/>
      <c r="SMX118" s="182"/>
      <c r="SMY118" s="181"/>
      <c r="SMZ118" s="182"/>
      <c r="SNA118" s="181"/>
      <c r="SNB118" s="182"/>
      <c r="SNC118" s="181"/>
      <c r="SND118" s="182"/>
      <c r="SNE118" s="181"/>
      <c r="SNF118" s="182"/>
      <c r="SNG118" s="181"/>
      <c r="SNH118" s="182"/>
      <c r="SNI118" s="181"/>
      <c r="SNJ118" s="182"/>
      <c r="SNK118" s="181"/>
      <c r="SNL118" s="182"/>
      <c r="SNM118" s="181"/>
      <c r="SNN118" s="182"/>
      <c r="SNO118" s="181"/>
      <c r="SNP118" s="182"/>
      <c r="SNQ118" s="181"/>
      <c r="SNR118" s="182"/>
      <c r="SNS118" s="181"/>
      <c r="SNT118" s="182"/>
      <c r="SNU118" s="181"/>
      <c r="SNV118" s="182"/>
      <c r="SNW118" s="181"/>
      <c r="SNX118" s="182"/>
      <c r="SNY118" s="181"/>
      <c r="SNZ118" s="182"/>
      <c r="SOA118" s="181"/>
      <c r="SOB118" s="182"/>
      <c r="SOC118" s="181"/>
      <c r="SOD118" s="182"/>
      <c r="SOE118" s="181"/>
      <c r="SOF118" s="182"/>
      <c r="SOG118" s="181"/>
      <c r="SOH118" s="182"/>
      <c r="SOI118" s="181"/>
      <c r="SOJ118" s="182"/>
      <c r="SOK118" s="181"/>
      <c r="SOL118" s="182"/>
      <c r="SOM118" s="181"/>
      <c r="SON118" s="182"/>
      <c r="SOO118" s="181"/>
      <c r="SOP118" s="182"/>
      <c r="SOQ118" s="181"/>
      <c r="SOR118" s="182"/>
      <c r="SOS118" s="181"/>
      <c r="SOT118" s="182"/>
      <c r="SOU118" s="181"/>
      <c r="SOV118" s="182"/>
      <c r="SOW118" s="181"/>
      <c r="SOX118" s="182"/>
      <c r="SOY118" s="181"/>
      <c r="SOZ118" s="182"/>
      <c r="SPA118" s="181"/>
      <c r="SPB118" s="182"/>
      <c r="SPC118" s="181"/>
      <c r="SPD118" s="182"/>
      <c r="SPE118" s="181"/>
      <c r="SPF118" s="182"/>
      <c r="SPG118" s="181"/>
      <c r="SPH118" s="182"/>
      <c r="SPI118" s="181"/>
      <c r="SPJ118" s="182"/>
      <c r="SPK118" s="181"/>
      <c r="SPL118" s="182"/>
      <c r="SPM118" s="181"/>
      <c r="SPN118" s="182"/>
      <c r="SPO118" s="181"/>
      <c r="SPP118" s="182"/>
      <c r="SPQ118" s="181"/>
      <c r="SPR118" s="182"/>
      <c r="SPS118" s="181"/>
      <c r="SPT118" s="182"/>
      <c r="SPU118" s="181"/>
      <c r="SPV118" s="182"/>
      <c r="SPW118" s="181"/>
      <c r="SPX118" s="182"/>
      <c r="SPY118" s="181"/>
      <c r="SPZ118" s="182"/>
      <c r="SQA118" s="181"/>
      <c r="SQB118" s="182"/>
      <c r="SQC118" s="181"/>
      <c r="SQD118" s="182"/>
      <c r="SQE118" s="181"/>
      <c r="SQF118" s="182"/>
      <c r="SQG118" s="181"/>
      <c r="SQH118" s="182"/>
      <c r="SQI118" s="181"/>
      <c r="SQJ118" s="182"/>
      <c r="SQK118" s="181"/>
      <c r="SQL118" s="182"/>
      <c r="SQM118" s="181"/>
      <c r="SQN118" s="182"/>
      <c r="SQO118" s="181"/>
      <c r="SQP118" s="182"/>
      <c r="SQQ118" s="181"/>
      <c r="SQR118" s="182"/>
      <c r="SQS118" s="181"/>
      <c r="SQT118" s="182"/>
      <c r="SQU118" s="181"/>
      <c r="SQV118" s="182"/>
      <c r="SQW118" s="181"/>
      <c r="SQX118" s="182"/>
      <c r="SQY118" s="181"/>
      <c r="SQZ118" s="182"/>
      <c r="SRA118" s="181"/>
      <c r="SRB118" s="182"/>
      <c r="SRC118" s="181"/>
      <c r="SRD118" s="182"/>
      <c r="SRE118" s="181"/>
      <c r="SRF118" s="182"/>
      <c r="SRG118" s="181"/>
      <c r="SRH118" s="182"/>
      <c r="SRI118" s="181"/>
      <c r="SRJ118" s="182"/>
      <c r="SRK118" s="181"/>
      <c r="SRL118" s="182"/>
      <c r="SRM118" s="181"/>
      <c r="SRN118" s="182"/>
      <c r="SRO118" s="181"/>
      <c r="SRP118" s="182"/>
      <c r="SRQ118" s="181"/>
      <c r="SRR118" s="182"/>
      <c r="SRS118" s="181"/>
      <c r="SRT118" s="182"/>
      <c r="SRU118" s="181"/>
      <c r="SRV118" s="182"/>
      <c r="SRW118" s="181"/>
      <c r="SRX118" s="182"/>
      <c r="SRY118" s="181"/>
      <c r="SRZ118" s="182"/>
      <c r="SSA118" s="181"/>
      <c r="SSB118" s="182"/>
      <c r="SSC118" s="181"/>
      <c r="SSD118" s="182"/>
      <c r="SSE118" s="181"/>
      <c r="SSF118" s="182"/>
      <c r="SSG118" s="181"/>
      <c r="SSH118" s="182"/>
      <c r="SSI118" s="181"/>
      <c r="SSJ118" s="182"/>
      <c r="SSK118" s="181"/>
      <c r="SSL118" s="182"/>
      <c r="SSM118" s="181"/>
      <c r="SSN118" s="182"/>
      <c r="SSO118" s="181"/>
      <c r="SSP118" s="182"/>
      <c r="SSQ118" s="181"/>
      <c r="SSR118" s="182"/>
      <c r="SSS118" s="181"/>
      <c r="SST118" s="182"/>
      <c r="SSU118" s="181"/>
      <c r="SSV118" s="182"/>
      <c r="SSW118" s="181"/>
      <c r="SSX118" s="182"/>
      <c r="SSY118" s="181"/>
      <c r="SSZ118" s="182"/>
      <c r="STA118" s="181"/>
      <c r="STB118" s="182"/>
      <c r="STC118" s="181"/>
      <c r="STD118" s="182"/>
      <c r="STE118" s="181"/>
      <c r="STF118" s="182"/>
      <c r="STG118" s="181"/>
      <c r="STH118" s="182"/>
      <c r="STI118" s="181"/>
      <c r="STJ118" s="182"/>
      <c r="STK118" s="181"/>
      <c r="STL118" s="182"/>
      <c r="STM118" s="181"/>
      <c r="STN118" s="182"/>
      <c r="STO118" s="181"/>
      <c r="STP118" s="182"/>
      <c r="STQ118" s="181"/>
      <c r="STR118" s="182"/>
      <c r="STS118" s="181"/>
      <c r="STT118" s="182"/>
      <c r="STU118" s="181"/>
      <c r="STV118" s="182"/>
      <c r="STW118" s="181"/>
      <c r="STX118" s="182"/>
      <c r="STY118" s="181"/>
      <c r="STZ118" s="182"/>
      <c r="SUA118" s="181"/>
      <c r="SUB118" s="182"/>
      <c r="SUC118" s="181"/>
      <c r="SUD118" s="182"/>
      <c r="SUE118" s="181"/>
      <c r="SUF118" s="182"/>
      <c r="SUG118" s="181"/>
      <c r="SUH118" s="182"/>
      <c r="SUI118" s="181"/>
      <c r="SUJ118" s="182"/>
      <c r="SUK118" s="181"/>
      <c r="SUL118" s="182"/>
      <c r="SUM118" s="181"/>
      <c r="SUN118" s="182"/>
      <c r="SUO118" s="181"/>
      <c r="SUP118" s="182"/>
      <c r="SUQ118" s="181"/>
      <c r="SUR118" s="182"/>
      <c r="SUS118" s="181"/>
      <c r="SUT118" s="182"/>
      <c r="SUU118" s="181"/>
      <c r="SUV118" s="182"/>
      <c r="SUW118" s="181"/>
      <c r="SUX118" s="182"/>
      <c r="SUY118" s="181"/>
      <c r="SUZ118" s="182"/>
      <c r="SVA118" s="181"/>
      <c r="SVB118" s="182"/>
      <c r="SVC118" s="181"/>
      <c r="SVD118" s="182"/>
      <c r="SVE118" s="181"/>
      <c r="SVF118" s="182"/>
      <c r="SVG118" s="181"/>
      <c r="SVH118" s="182"/>
      <c r="SVI118" s="181"/>
      <c r="SVJ118" s="182"/>
      <c r="SVK118" s="181"/>
      <c r="SVL118" s="182"/>
      <c r="SVM118" s="181"/>
      <c r="SVN118" s="182"/>
      <c r="SVO118" s="181"/>
      <c r="SVP118" s="182"/>
      <c r="SVQ118" s="181"/>
      <c r="SVR118" s="182"/>
      <c r="SVS118" s="181"/>
      <c r="SVT118" s="182"/>
      <c r="SVU118" s="181"/>
      <c r="SVV118" s="182"/>
      <c r="SVW118" s="181"/>
      <c r="SVX118" s="182"/>
      <c r="SVY118" s="181"/>
      <c r="SVZ118" s="182"/>
      <c r="SWA118" s="181"/>
      <c r="SWB118" s="182"/>
      <c r="SWC118" s="181"/>
      <c r="SWD118" s="182"/>
      <c r="SWE118" s="181"/>
      <c r="SWF118" s="182"/>
      <c r="SWG118" s="181"/>
      <c r="SWH118" s="182"/>
      <c r="SWI118" s="181"/>
      <c r="SWJ118" s="182"/>
      <c r="SWK118" s="181"/>
      <c r="SWL118" s="182"/>
      <c r="SWM118" s="181"/>
      <c r="SWN118" s="182"/>
      <c r="SWO118" s="181"/>
      <c r="SWP118" s="182"/>
      <c r="SWQ118" s="181"/>
      <c r="SWR118" s="182"/>
      <c r="SWS118" s="181"/>
      <c r="SWT118" s="182"/>
      <c r="SWU118" s="181"/>
      <c r="SWV118" s="182"/>
      <c r="SWW118" s="181"/>
      <c r="SWX118" s="182"/>
      <c r="SWY118" s="181"/>
      <c r="SWZ118" s="182"/>
      <c r="SXA118" s="181"/>
      <c r="SXB118" s="182"/>
      <c r="SXC118" s="181"/>
      <c r="SXD118" s="182"/>
      <c r="SXE118" s="181"/>
      <c r="SXF118" s="182"/>
      <c r="SXG118" s="181"/>
      <c r="SXH118" s="182"/>
      <c r="SXI118" s="181"/>
      <c r="SXJ118" s="182"/>
      <c r="SXK118" s="181"/>
      <c r="SXL118" s="182"/>
      <c r="SXM118" s="181"/>
      <c r="SXN118" s="182"/>
      <c r="SXO118" s="181"/>
      <c r="SXP118" s="182"/>
      <c r="SXQ118" s="181"/>
      <c r="SXR118" s="182"/>
      <c r="SXS118" s="181"/>
      <c r="SXT118" s="182"/>
      <c r="SXU118" s="181"/>
      <c r="SXV118" s="182"/>
      <c r="SXW118" s="181"/>
      <c r="SXX118" s="182"/>
      <c r="SXY118" s="181"/>
      <c r="SXZ118" s="182"/>
      <c r="SYA118" s="181"/>
      <c r="SYB118" s="182"/>
      <c r="SYC118" s="181"/>
      <c r="SYD118" s="182"/>
      <c r="SYE118" s="181"/>
      <c r="SYF118" s="182"/>
      <c r="SYG118" s="181"/>
      <c r="SYH118" s="182"/>
      <c r="SYI118" s="181"/>
      <c r="SYJ118" s="182"/>
      <c r="SYK118" s="181"/>
      <c r="SYL118" s="182"/>
      <c r="SYM118" s="181"/>
      <c r="SYN118" s="182"/>
      <c r="SYO118" s="181"/>
      <c r="SYP118" s="182"/>
      <c r="SYQ118" s="181"/>
      <c r="SYR118" s="182"/>
      <c r="SYS118" s="181"/>
      <c r="SYT118" s="182"/>
      <c r="SYU118" s="181"/>
      <c r="SYV118" s="182"/>
      <c r="SYW118" s="181"/>
      <c r="SYX118" s="182"/>
      <c r="SYY118" s="181"/>
      <c r="SYZ118" s="182"/>
      <c r="SZA118" s="181"/>
      <c r="SZB118" s="182"/>
      <c r="SZC118" s="181"/>
      <c r="SZD118" s="182"/>
      <c r="SZE118" s="181"/>
      <c r="SZF118" s="182"/>
      <c r="SZG118" s="181"/>
      <c r="SZH118" s="182"/>
      <c r="SZI118" s="181"/>
      <c r="SZJ118" s="182"/>
      <c r="SZK118" s="181"/>
      <c r="SZL118" s="182"/>
      <c r="SZM118" s="181"/>
      <c r="SZN118" s="182"/>
      <c r="SZO118" s="181"/>
      <c r="SZP118" s="182"/>
      <c r="SZQ118" s="181"/>
      <c r="SZR118" s="182"/>
      <c r="SZS118" s="181"/>
      <c r="SZT118" s="182"/>
      <c r="SZU118" s="181"/>
      <c r="SZV118" s="182"/>
      <c r="SZW118" s="181"/>
      <c r="SZX118" s="182"/>
      <c r="SZY118" s="181"/>
      <c r="SZZ118" s="182"/>
      <c r="TAA118" s="181"/>
      <c r="TAB118" s="182"/>
      <c r="TAC118" s="181"/>
      <c r="TAD118" s="182"/>
      <c r="TAE118" s="181"/>
      <c r="TAF118" s="182"/>
      <c r="TAG118" s="181"/>
      <c r="TAH118" s="182"/>
      <c r="TAI118" s="181"/>
      <c r="TAJ118" s="182"/>
      <c r="TAK118" s="181"/>
      <c r="TAL118" s="182"/>
      <c r="TAM118" s="181"/>
      <c r="TAN118" s="182"/>
      <c r="TAO118" s="181"/>
      <c r="TAP118" s="182"/>
      <c r="TAQ118" s="181"/>
      <c r="TAR118" s="182"/>
      <c r="TAS118" s="181"/>
      <c r="TAT118" s="182"/>
      <c r="TAU118" s="181"/>
      <c r="TAV118" s="182"/>
      <c r="TAW118" s="181"/>
      <c r="TAX118" s="182"/>
      <c r="TAY118" s="181"/>
      <c r="TAZ118" s="182"/>
      <c r="TBA118" s="181"/>
      <c r="TBB118" s="182"/>
      <c r="TBC118" s="181"/>
      <c r="TBD118" s="182"/>
      <c r="TBE118" s="181"/>
      <c r="TBF118" s="182"/>
      <c r="TBG118" s="181"/>
      <c r="TBH118" s="182"/>
      <c r="TBI118" s="181"/>
      <c r="TBJ118" s="182"/>
      <c r="TBK118" s="181"/>
      <c r="TBL118" s="182"/>
      <c r="TBM118" s="181"/>
      <c r="TBN118" s="182"/>
      <c r="TBO118" s="181"/>
      <c r="TBP118" s="182"/>
      <c r="TBQ118" s="181"/>
      <c r="TBR118" s="182"/>
      <c r="TBS118" s="181"/>
      <c r="TBT118" s="182"/>
      <c r="TBU118" s="181"/>
      <c r="TBV118" s="182"/>
      <c r="TBW118" s="181"/>
      <c r="TBX118" s="182"/>
      <c r="TBY118" s="181"/>
      <c r="TBZ118" s="182"/>
      <c r="TCA118" s="181"/>
      <c r="TCB118" s="182"/>
      <c r="TCC118" s="181"/>
      <c r="TCD118" s="182"/>
      <c r="TCE118" s="181"/>
      <c r="TCF118" s="182"/>
      <c r="TCG118" s="181"/>
      <c r="TCH118" s="182"/>
      <c r="TCI118" s="181"/>
      <c r="TCJ118" s="182"/>
      <c r="TCK118" s="181"/>
      <c r="TCL118" s="182"/>
      <c r="TCM118" s="181"/>
      <c r="TCN118" s="182"/>
      <c r="TCO118" s="181"/>
      <c r="TCP118" s="182"/>
      <c r="TCQ118" s="181"/>
      <c r="TCR118" s="182"/>
      <c r="TCS118" s="181"/>
      <c r="TCT118" s="182"/>
      <c r="TCU118" s="181"/>
      <c r="TCV118" s="182"/>
      <c r="TCW118" s="181"/>
      <c r="TCX118" s="182"/>
      <c r="TCY118" s="181"/>
      <c r="TCZ118" s="182"/>
      <c r="TDA118" s="181"/>
      <c r="TDB118" s="182"/>
      <c r="TDC118" s="181"/>
      <c r="TDD118" s="182"/>
      <c r="TDE118" s="181"/>
      <c r="TDF118" s="182"/>
      <c r="TDG118" s="181"/>
      <c r="TDH118" s="182"/>
      <c r="TDI118" s="181"/>
      <c r="TDJ118" s="182"/>
      <c r="TDK118" s="181"/>
      <c r="TDL118" s="182"/>
      <c r="TDM118" s="181"/>
      <c r="TDN118" s="182"/>
      <c r="TDO118" s="181"/>
      <c r="TDP118" s="182"/>
      <c r="TDQ118" s="181"/>
      <c r="TDR118" s="182"/>
      <c r="TDS118" s="181"/>
      <c r="TDT118" s="182"/>
      <c r="TDU118" s="181"/>
      <c r="TDV118" s="182"/>
      <c r="TDW118" s="181"/>
      <c r="TDX118" s="182"/>
      <c r="TDY118" s="181"/>
      <c r="TDZ118" s="182"/>
      <c r="TEA118" s="181"/>
      <c r="TEB118" s="182"/>
      <c r="TEC118" s="181"/>
      <c r="TED118" s="182"/>
      <c r="TEE118" s="181"/>
      <c r="TEF118" s="182"/>
      <c r="TEG118" s="181"/>
      <c r="TEH118" s="182"/>
      <c r="TEI118" s="181"/>
      <c r="TEJ118" s="182"/>
      <c r="TEK118" s="181"/>
      <c r="TEL118" s="182"/>
      <c r="TEM118" s="181"/>
      <c r="TEN118" s="182"/>
      <c r="TEO118" s="181"/>
      <c r="TEP118" s="182"/>
      <c r="TEQ118" s="181"/>
      <c r="TER118" s="182"/>
      <c r="TES118" s="181"/>
      <c r="TET118" s="182"/>
      <c r="TEU118" s="181"/>
      <c r="TEV118" s="182"/>
      <c r="TEW118" s="181"/>
      <c r="TEX118" s="182"/>
      <c r="TEY118" s="181"/>
      <c r="TEZ118" s="182"/>
      <c r="TFA118" s="181"/>
      <c r="TFB118" s="182"/>
      <c r="TFC118" s="181"/>
      <c r="TFD118" s="182"/>
      <c r="TFE118" s="181"/>
      <c r="TFF118" s="182"/>
      <c r="TFG118" s="181"/>
      <c r="TFH118" s="182"/>
      <c r="TFI118" s="181"/>
      <c r="TFJ118" s="182"/>
      <c r="TFK118" s="181"/>
      <c r="TFL118" s="182"/>
      <c r="TFM118" s="181"/>
      <c r="TFN118" s="182"/>
      <c r="TFO118" s="181"/>
      <c r="TFP118" s="182"/>
      <c r="TFQ118" s="181"/>
      <c r="TFR118" s="182"/>
      <c r="TFS118" s="181"/>
      <c r="TFT118" s="182"/>
      <c r="TFU118" s="181"/>
      <c r="TFV118" s="182"/>
      <c r="TFW118" s="181"/>
      <c r="TFX118" s="182"/>
      <c r="TFY118" s="181"/>
      <c r="TFZ118" s="182"/>
      <c r="TGA118" s="181"/>
      <c r="TGB118" s="182"/>
      <c r="TGC118" s="181"/>
      <c r="TGD118" s="182"/>
      <c r="TGE118" s="181"/>
      <c r="TGF118" s="182"/>
      <c r="TGG118" s="181"/>
      <c r="TGH118" s="182"/>
      <c r="TGI118" s="181"/>
      <c r="TGJ118" s="182"/>
      <c r="TGK118" s="181"/>
      <c r="TGL118" s="182"/>
      <c r="TGM118" s="181"/>
      <c r="TGN118" s="182"/>
      <c r="TGO118" s="181"/>
      <c r="TGP118" s="182"/>
      <c r="TGQ118" s="181"/>
      <c r="TGR118" s="182"/>
      <c r="TGS118" s="181"/>
      <c r="TGT118" s="182"/>
      <c r="TGU118" s="181"/>
      <c r="TGV118" s="182"/>
      <c r="TGW118" s="181"/>
      <c r="TGX118" s="182"/>
      <c r="TGY118" s="181"/>
      <c r="TGZ118" s="182"/>
      <c r="THA118" s="181"/>
      <c r="THB118" s="182"/>
      <c r="THC118" s="181"/>
      <c r="THD118" s="182"/>
      <c r="THE118" s="181"/>
      <c r="THF118" s="182"/>
      <c r="THG118" s="181"/>
      <c r="THH118" s="182"/>
      <c r="THI118" s="181"/>
      <c r="THJ118" s="182"/>
      <c r="THK118" s="181"/>
      <c r="THL118" s="182"/>
      <c r="THM118" s="181"/>
      <c r="THN118" s="182"/>
      <c r="THO118" s="181"/>
      <c r="THP118" s="182"/>
      <c r="THQ118" s="181"/>
      <c r="THR118" s="182"/>
      <c r="THS118" s="181"/>
      <c r="THT118" s="182"/>
      <c r="THU118" s="181"/>
      <c r="THV118" s="182"/>
      <c r="THW118" s="181"/>
      <c r="THX118" s="182"/>
      <c r="THY118" s="181"/>
      <c r="THZ118" s="182"/>
      <c r="TIA118" s="181"/>
      <c r="TIB118" s="182"/>
      <c r="TIC118" s="181"/>
      <c r="TID118" s="182"/>
      <c r="TIE118" s="181"/>
      <c r="TIF118" s="182"/>
      <c r="TIG118" s="181"/>
      <c r="TIH118" s="182"/>
      <c r="TII118" s="181"/>
      <c r="TIJ118" s="182"/>
      <c r="TIK118" s="181"/>
      <c r="TIL118" s="182"/>
      <c r="TIM118" s="181"/>
      <c r="TIN118" s="182"/>
      <c r="TIO118" s="181"/>
      <c r="TIP118" s="182"/>
      <c r="TIQ118" s="181"/>
      <c r="TIR118" s="182"/>
      <c r="TIS118" s="181"/>
      <c r="TIT118" s="182"/>
      <c r="TIU118" s="181"/>
      <c r="TIV118" s="182"/>
      <c r="TIW118" s="181"/>
      <c r="TIX118" s="182"/>
      <c r="TIY118" s="181"/>
      <c r="TIZ118" s="182"/>
      <c r="TJA118" s="181"/>
      <c r="TJB118" s="182"/>
      <c r="TJC118" s="181"/>
      <c r="TJD118" s="182"/>
      <c r="TJE118" s="181"/>
      <c r="TJF118" s="182"/>
      <c r="TJG118" s="181"/>
      <c r="TJH118" s="182"/>
      <c r="TJI118" s="181"/>
      <c r="TJJ118" s="182"/>
      <c r="TJK118" s="181"/>
      <c r="TJL118" s="182"/>
      <c r="TJM118" s="181"/>
      <c r="TJN118" s="182"/>
      <c r="TJO118" s="181"/>
      <c r="TJP118" s="182"/>
      <c r="TJQ118" s="181"/>
      <c r="TJR118" s="182"/>
      <c r="TJS118" s="181"/>
      <c r="TJT118" s="182"/>
      <c r="TJU118" s="181"/>
      <c r="TJV118" s="182"/>
      <c r="TJW118" s="181"/>
      <c r="TJX118" s="182"/>
      <c r="TJY118" s="181"/>
      <c r="TJZ118" s="182"/>
      <c r="TKA118" s="181"/>
      <c r="TKB118" s="182"/>
      <c r="TKC118" s="181"/>
      <c r="TKD118" s="182"/>
      <c r="TKE118" s="181"/>
      <c r="TKF118" s="182"/>
      <c r="TKG118" s="181"/>
      <c r="TKH118" s="182"/>
      <c r="TKI118" s="181"/>
      <c r="TKJ118" s="182"/>
      <c r="TKK118" s="181"/>
      <c r="TKL118" s="182"/>
      <c r="TKM118" s="181"/>
      <c r="TKN118" s="182"/>
      <c r="TKO118" s="181"/>
      <c r="TKP118" s="182"/>
      <c r="TKQ118" s="181"/>
      <c r="TKR118" s="182"/>
      <c r="TKS118" s="181"/>
      <c r="TKT118" s="182"/>
      <c r="TKU118" s="181"/>
      <c r="TKV118" s="182"/>
      <c r="TKW118" s="181"/>
      <c r="TKX118" s="182"/>
      <c r="TKY118" s="181"/>
      <c r="TKZ118" s="182"/>
      <c r="TLA118" s="181"/>
      <c r="TLB118" s="182"/>
      <c r="TLC118" s="181"/>
      <c r="TLD118" s="182"/>
      <c r="TLE118" s="181"/>
      <c r="TLF118" s="182"/>
      <c r="TLG118" s="181"/>
      <c r="TLH118" s="182"/>
      <c r="TLI118" s="181"/>
      <c r="TLJ118" s="182"/>
      <c r="TLK118" s="181"/>
      <c r="TLL118" s="182"/>
      <c r="TLM118" s="181"/>
      <c r="TLN118" s="182"/>
      <c r="TLO118" s="181"/>
      <c r="TLP118" s="182"/>
      <c r="TLQ118" s="181"/>
      <c r="TLR118" s="182"/>
      <c r="TLS118" s="181"/>
      <c r="TLT118" s="182"/>
      <c r="TLU118" s="181"/>
      <c r="TLV118" s="182"/>
      <c r="TLW118" s="181"/>
      <c r="TLX118" s="182"/>
      <c r="TLY118" s="181"/>
      <c r="TLZ118" s="182"/>
      <c r="TMA118" s="181"/>
      <c r="TMB118" s="182"/>
      <c r="TMC118" s="181"/>
      <c r="TMD118" s="182"/>
      <c r="TME118" s="181"/>
      <c r="TMF118" s="182"/>
      <c r="TMG118" s="181"/>
      <c r="TMH118" s="182"/>
      <c r="TMI118" s="181"/>
      <c r="TMJ118" s="182"/>
      <c r="TMK118" s="181"/>
      <c r="TML118" s="182"/>
      <c r="TMM118" s="181"/>
      <c r="TMN118" s="182"/>
      <c r="TMO118" s="181"/>
      <c r="TMP118" s="182"/>
      <c r="TMQ118" s="181"/>
      <c r="TMR118" s="182"/>
      <c r="TMS118" s="181"/>
      <c r="TMT118" s="182"/>
      <c r="TMU118" s="181"/>
      <c r="TMV118" s="182"/>
      <c r="TMW118" s="181"/>
      <c r="TMX118" s="182"/>
      <c r="TMY118" s="181"/>
      <c r="TMZ118" s="182"/>
      <c r="TNA118" s="181"/>
      <c r="TNB118" s="182"/>
      <c r="TNC118" s="181"/>
      <c r="TND118" s="182"/>
      <c r="TNE118" s="181"/>
      <c r="TNF118" s="182"/>
      <c r="TNG118" s="181"/>
      <c r="TNH118" s="182"/>
      <c r="TNI118" s="181"/>
      <c r="TNJ118" s="182"/>
      <c r="TNK118" s="181"/>
      <c r="TNL118" s="182"/>
      <c r="TNM118" s="181"/>
      <c r="TNN118" s="182"/>
      <c r="TNO118" s="181"/>
      <c r="TNP118" s="182"/>
      <c r="TNQ118" s="181"/>
      <c r="TNR118" s="182"/>
      <c r="TNS118" s="181"/>
      <c r="TNT118" s="182"/>
      <c r="TNU118" s="181"/>
      <c r="TNV118" s="182"/>
      <c r="TNW118" s="181"/>
      <c r="TNX118" s="182"/>
      <c r="TNY118" s="181"/>
      <c r="TNZ118" s="182"/>
      <c r="TOA118" s="181"/>
      <c r="TOB118" s="182"/>
      <c r="TOC118" s="181"/>
      <c r="TOD118" s="182"/>
      <c r="TOE118" s="181"/>
      <c r="TOF118" s="182"/>
      <c r="TOG118" s="181"/>
      <c r="TOH118" s="182"/>
      <c r="TOI118" s="181"/>
      <c r="TOJ118" s="182"/>
      <c r="TOK118" s="181"/>
      <c r="TOL118" s="182"/>
      <c r="TOM118" s="181"/>
      <c r="TON118" s="182"/>
      <c r="TOO118" s="181"/>
      <c r="TOP118" s="182"/>
      <c r="TOQ118" s="181"/>
      <c r="TOR118" s="182"/>
      <c r="TOS118" s="181"/>
      <c r="TOT118" s="182"/>
      <c r="TOU118" s="181"/>
      <c r="TOV118" s="182"/>
      <c r="TOW118" s="181"/>
      <c r="TOX118" s="182"/>
      <c r="TOY118" s="181"/>
      <c r="TOZ118" s="182"/>
      <c r="TPA118" s="181"/>
      <c r="TPB118" s="182"/>
      <c r="TPC118" s="181"/>
      <c r="TPD118" s="182"/>
      <c r="TPE118" s="181"/>
      <c r="TPF118" s="182"/>
      <c r="TPG118" s="181"/>
      <c r="TPH118" s="182"/>
      <c r="TPI118" s="181"/>
      <c r="TPJ118" s="182"/>
      <c r="TPK118" s="181"/>
      <c r="TPL118" s="182"/>
      <c r="TPM118" s="181"/>
      <c r="TPN118" s="182"/>
      <c r="TPO118" s="181"/>
      <c r="TPP118" s="182"/>
      <c r="TPQ118" s="181"/>
      <c r="TPR118" s="182"/>
      <c r="TPS118" s="181"/>
      <c r="TPT118" s="182"/>
      <c r="TPU118" s="181"/>
      <c r="TPV118" s="182"/>
      <c r="TPW118" s="181"/>
      <c r="TPX118" s="182"/>
      <c r="TPY118" s="181"/>
      <c r="TPZ118" s="182"/>
      <c r="TQA118" s="181"/>
      <c r="TQB118" s="182"/>
      <c r="TQC118" s="181"/>
      <c r="TQD118" s="182"/>
      <c r="TQE118" s="181"/>
      <c r="TQF118" s="182"/>
      <c r="TQG118" s="181"/>
      <c r="TQH118" s="182"/>
      <c r="TQI118" s="181"/>
      <c r="TQJ118" s="182"/>
      <c r="TQK118" s="181"/>
      <c r="TQL118" s="182"/>
      <c r="TQM118" s="181"/>
      <c r="TQN118" s="182"/>
      <c r="TQO118" s="181"/>
      <c r="TQP118" s="182"/>
      <c r="TQQ118" s="181"/>
      <c r="TQR118" s="182"/>
      <c r="TQS118" s="181"/>
      <c r="TQT118" s="182"/>
      <c r="TQU118" s="181"/>
      <c r="TQV118" s="182"/>
      <c r="TQW118" s="181"/>
      <c r="TQX118" s="182"/>
      <c r="TQY118" s="181"/>
      <c r="TQZ118" s="182"/>
      <c r="TRA118" s="181"/>
      <c r="TRB118" s="182"/>
      <c r="TRC118" s="181"/>
      <c r="TRD118" s="182"/>
      <c r="TRE118" s="181"/>
      <c r="TRF118" s="182"/>
      <c r="TRG118" s="181"/>
      <c r="TRH118" s="182"/>
      <c r="TRI118" s="181"/>
      <c r="TRJ118" s="182"/>
      <c r="TRK118" s="181"/>
      <c r="TRL118" s="182"/>
      <c r="TRM118" s="181"/>
      <c r="TRN118" s="182"/>
      <c r="TRO118" s="181"/>
      <c r="TRP118" s="182"/>
      <c r="TRQ118" s="181"/>
      <c r="TRR118" s="182"/>
      <c r="TRS118" s="181"/>
      <c r="TRT118" s="182"/>
      <c r="TRU118" s="181"/>
      <c r="TRV118" s="182"/>
      <c r="TRW118" s="181"/>
      <c r="TRX118" s="182"/>
      <c r="TRY118" s="181"/>
      <c r="TRZ118" s="182"/>
      <c r="TSA118" s="181"/>
      <c r="TSB118" s="182"/>
      <c r="TSC118" s="181"/>
      <c r="TSD118" s="182"/>
      <c r="TSE118" s="181"/>
      <c r="TSF118" s="182"/>
      <c r="TSG118" s="181"/>
      <c r="TSH118" s="182"/>
      <c r="TSI118" s="181"/>
      <c r="TSJ118" s="182"/>
      <c r="TSK118" s="181"/>
      <c r="TSL118" s="182"/>
      <c r="TSM118" s="181"/>
      <c r="TSN118" s="182"/>
      <c r="TSO118" s="181"/>
      <c r="TSP118" s="182"/>
      <c r="TSQ118" s="181"/>
      <c r="TSR118" s="182"/>
      <c r="TSS118" s="181"/>
      <c r="TST118" s="182"/>
      <c r="TSU118" s="181"/>
      <c r="TSV118" s="182"/>
      <c r="TSW118" s="181"/>
      <c r="TSX118" s="182"/>
      <c r="TSY118" s="181"/>
      <c r="TSZ118" s="182"/>
      <c r="TTA118" s="181"/>
      <c r="TTB118" s="182"/>
      <c r="TTC118" s="181"/>
      <c r="TTD118" s="182"/>
      <c r="TTE118" s="181"/>
      <c r="TTF118" s="182"/>
      <c r="TTG118" s="181"/>
      <c r="TTH118" s="182"/>
      <c r="TTI118" s="181"/>
      <c r="TTJ118" s="182"/>
      <c r="TTK118" s="181"/>
      <c r="TTL118" s="182"/>
      <c r="TTM118" s="181"/>
      <c r="TTN118" s="182"/>
      <c r="TTO118" s="181"/>
      <c r="TTP118" s="182"/>
      <c r="TTQ118" s="181"/>
      <c r="TTR118" s="182"/>
      <c r="TTS118" s="181"/>
      <c r="TTT118" s="182"/>
      <c r="TTU118" s="181"/>
      <c r="TTV118" s="182"/>
      <c r="TTW118" s="181"/>
      <c r="TTX118" s="182"/>
      <c r="TTY118" s="181"/>
      <c r="TTZ118" s="182"/>
      <c r="TUA118" s="181"/>
      <c r="TUB118" s="182"/>
      <c r="TUC118" s="181"/>
      <c r="TUD118" s="182"/>
      <c r="TUE118" s="181"/>
      <c r="TUF118" s="182"/>
      <c r="TUG118" s="181"/>
      <c r="TUH118" s="182"/>
      <c r="TUI118" s="181"/>
      <c r="TUJ118" s="182"/>
      <c r="TUK118" s="181"/>
      <c r="TUL118" s="182"/>
      <c r="TUM118" s="181"/>
      <c r="TUN118" s="182"/>
      <c r="TUO118" s="181"/>
      <c r="TUP118" s="182"/>
      <c r="TUQ118" s="181"/>
      <c r="TUR118" s="182"/>
      <c r="TUS118" s="181"/>
      <c r="TUT118" s="182"/>
      <c r="TUU118" s="181"/>
      <c r="TUV118" s="182"/>
      <c r="TUW118" s="181"/>
      <c r="TUX118" s="182"/>
      <c r="TUY118" s="181"/>
      <c r="TUZ118" s="182"/>
      <c r="TVA118" s="181"/>
      <c r="TVB118" s="182"/>
      <c r="TVC118" s="181"/>
      <c r="TVD118" s="182"/>
      <c r="TVE118" s="181"/>
      <c r="TVF118" s="182"/>
      <c r="TVG118" s="181"/>
      <c r="TVH118" s="182"/>
      <c r="TVI118" s="181"/>
      <c r="TVJ118" s="182"/>
      <c r="TVK118" s="181"/>
      <c r="TVL118" s="182"/>
      <c r="TVM118" s="181"/>
      <c r="TVN118" s="182"/>
      <c r="TVO118" s="181"/>
      <c r="TVP118" s="182"/>
      <c r="TVQ118" s="181"/>
      <c r="TVR118" s="182"/>
      <c r="TVS118" s="181"/>
      <c r="TVT118" s="182"/>
      <c r="TVU118" s="181"/>
      <c r="TVV118" s="182"/>
      <c r="TVW118" s="181"/>
      <c r="TVX118" s="182"/>
      <c r="TVY118" s="181"/>
      <c r="TVZ118" s="182"/>
      <c r="TWA118" s="181"/>
      <c r="TWB118" s="182"/>
      <c r="TWC118" s="181"/>
      <c r="TWD118" s="182"/>
      <c r="TWE118" s="181"/>
      <c r="TWF118" s="182"/>
      <c r="TWG118" s="181"/>
      <c r="TWH118" s="182"/>
      <c r="TWI118" s="181"/>
      <c r="TWJ118" s="182"/>
      <c r="TWK118" s="181"/>
      <c r="TWL118" s="182"/>
      <c r="TWM118" s="181"/>
      <c r="TWN118" s="182"/>
      <c r="TWO118" s="181"/>
      <c r="TWP118" s="182"/>
      <c r="TWQ118" s="181"/>
      <c r="TWR118" s="182"/>
      <c r="TWS118" s="181"/>
      <c r="TWT118" s="182"/>
      <c r="TWU118" s="181"/>
      <c r="TWV118" s="182"/>
      <c r="TWW118" s="181"/>
      <c r="TWX118" s="182"/>
      <c r="TWY118" s="181"/>
      <c r="TWZ118" s="182"/>
      <c r="TXA118" s="181"/>
      <c r="TXB118" s="182"/>
      <c r="TXC118" s="181"/>
      <c r="TXD118" s="182"/>
      <c r="TXE118" s="181"/>
      <c r="TXF118" s="182"/>
      <c r="TXG118" s="181"/>
      <c r="TXH118" s="182"/>
      <c r="TXI118" s="181"/>
      <c r="TXJ118" s="182"/>
      <c r="TXK118" s="181"/>
      <c r="TXL118" s="182"/>
      <c r="TXM118" s="181"/>
      <c r="TXN118" s="182"/>
      <c r="TXO118" s="181"/>
      <c r="TXP118" s="182"/>
      <c r="TXQ118" s="181"/>
      <c r="TXR118" s="182"/>
      <c r="TXS118" s="181"/>
      <c r="TXT118" s="182"/>
      <c r="TXU118" s="181"/>
      <c r="TXV118" s="182"/>
      <c r="TXW118" s="181"/>
      <c r="TXX118" s="182"/>
      <c r="TXY118" s="181"/>
      <c r="TXZ118" s="182"/>
      <c r="TYA118" s="181"/>
      <c r="TYB118" s="182"/>
      <c r="TYC118" s="181"/>
      <c r="TYD118" s="182"/>
      <c r="TYE118" s="181"/>
      <c r="TYF118" s="182"/>
      <c r="TYG118" s="181"/>
      <c r="TYH118" s="182"/>
      <c r="TYI118" s="181"/>
      <c r="TYJ118" s="182"/>
      <c r="TYK118" s="181"/>
      <c r="TYL118" s="182"/>
      <c r="TYM118" s="181"/>
      <c r="TYN118" s="182"/>
      <c r="TYO118" s="181"/>
      <c r="TYP118" s="182"/>
      <c r="TYQ118" s="181"/>
      <c r="TYR118" s="182"/>
      <c r="TYS118" s="181"/>
      <c r="TYT118" s="182"/>
      <c r="TYU118" s="181"/>
      <c r="TYV118" s="182"/>
      <c r="TYW118" s="181"/>
      <c r="TYX118" s="182"/>
      <c r="TYY118" s="181"/>
      <c r="TYZ118" s="182"/>
      <c r="TZA118" s="181"/>
      <c r="TZB118" s="182"/>
      <c r="TZC118" s="181"/>
      <c r="TZD118" s="182"/>
      <c r="TZE118" s="181"/>
      <c r="TZF118" s="182"/>
      <c r="TZG118" s="181"/>
      <c r="TZH118" s="182"/>
      <c r="TZI118" s="181"/>
      <c r="TZJ118" s="182"/>
      <c r="TZK118" s="181"/>
      <c r="TZL118" s="182"/>
      <c r="TZM118" s="181"/>
      <c r="TZN118" s="182"/>
      <c r="TZO118" s="181"/>
      <c r="TZP118" s="182"/>
      <c r="TZQ118" s="181"/>
      <c r="TZR118" s="182"/>
      <c r="TZS118" s="181"/>
      <c r="TZT118" s="182"/>
      <c r="TZU118" s="181"/>
      <c r="TZV118" s="182"/>
      <c r="TZW118" s="181"/>
      <c r="TZX118" s="182"/>
      <c r="TZY118" s="181"/>
      <c r="TZZ118" s="182"/>
      <c r="UAA118" s="181"/>
      <c r="UAB118" s="182"/>
      <c r="UAC118" s="181"/>
      <c r="UAD118" s="182"/>
      <c r="UAE118" s="181"/>
      <c r="UAF118" s="182"/>
      <c r="UAG118" s="181"/>
      <c r="UAH118" s="182"/>
      <c r="UAI118" s="181"/>
      <c r="UAJ118" s="182"/>
      <c r="UAK118" s="181"/>
      <c r="UAL118" s="182"/>
      <c r="UAM118" s="181"/>
      <c r="UAN118" s="182"/>
      <c r="UAO118" s="181"/>
      <c r="UAP118" s="182"/>
      <c r="UAQ118" s="181"/>
      <c r="UAR118" s="182"/>
      <c r="UAS118" s="181"/>
      <c r="UAT118" s="182"/>
      <c r="UAU118" s="181"/>
      <c r="UAV118" s="182"/>
      <c r="UAW118" s="181"/>
      <c r="UAX118" s="182"/>
      <c r="UAY118" s="181"/>
      <c r="UAZ118" s="182"/>
      <c r="UBA118" s="181"/>
      <c r="UBB118" s="182"/>
      <c r="UBC118" s="181"/>
      <c r="UBD118" s="182"/>
      <c r="UBE118" s="181"/>
      <c r="UBF118" s="182"/>
      <c r="UBG118" s="181"/>
      <c r="UBH118" s="182"/>
      <c r="UBI118" s="181"/>
      <c r="UBJ118" s="182"/>
      <c r="UBK118" s="181"/>
      <c r="UBL118" s="182"/>
      <c r="UBM118" s="181"/>
      <c r="UBN118" s="182"/>
      <c r="UBO118" s="181"/>
      <c r="UBP118" s="182"/>
      <c r="UBQ118" s="181"/>
      <c r="UBR118" s="182"/>
      <c r="UBS118" s="181"/>
      <c r="UBT118" s="182"/>
      <c r="UBU118" s="181"/>
      <c r="UBV118" s="182"/>
      <c r="UBW118" s="181"/>
      <c r="UBX118" s="182"/>
      <c r="UBY118" s="181"/>
      <c r="UBZ118" s="182"/>
      <c r="UCA118" s="181"/>
      <c r="UCB118" s="182"/>
      <c r="UCC118" s="181"/>
      <c r="UCD118" s="182"/>
      <c r="UCE118" s="181"/>
      <c r="UCF118" s="182"/>
      <c r="UCG118" s="181"/>
      <c r="UCH118" s="182"/>
      <c r="UCI118" s="181"/>
      <c r="UCJ118" s="182"/>
      <c r="UCK118" s="181"/>
      <c r="UCL118" s="182"/>
      <c r="UCM118" s="181"/>
      <c r="UCN118" s="182"/>
      <c r="UCO118" s="181"/>
      <c r="UCP118" s="182"/>
      <c r="UCQ118" s="181"/>
      <c r="UCR118" s="182"/>
      <c r="UCS118" s="181"/>
      <c r="UCT118" s="182"/>
      <c r="UCU118" s="181"/>
      <c r="UCV118" s="182"/>
      <c r="UCW118" s="181"/>
      <c r="UCX118" s="182"/>
      <c r="UCY118" s="181"/>
      <c r="UCZ118" s="182"/>
      <c r="UDA118" s="181"/>
      <c r="UDB118" s="182"/>
      <c r="UDC118" s="181"/>
      <c r="UDD118" s="182"/>
      <c r="UDE118" s="181"/>
      <c r="UDF118" s="182"/>
      <c r="UDG118" s="181"/>
      <c r="UDH118" s="182"/>
      <c r="UDI118" s="181"/>
      <c r="UDJ118" s="182"/>
      <c r="UDK118" s="181"/>
      <c r="UDL118" s="182"/>
      <c r="UDM118" s="181"/>
      <c r="UDN118" s="182"/>
      <c r="UDO118" s="181"/>
      <c r="UDP118" s="182"/>
      <c r="UDQ118" s="181"/>
      <c r="UDR118" s="182"/>
      <c r="UDS118" s="181"/>
      <c r="UDT118" s="182"/>
      <c r="UDU118" s="181"/>
      <c r="UDV118" s="182"/>
      <c r="UDW118" s="181"/>
      <c r="UDX118" s="182"/>
      <c r="UDY118" s="181"/>
      <c r="UDZ118" s="182"/>
      <c r="UEA118" s="181"/>
      <c r="UEB118" s="182"/>
      <c r="UEC118" s="181"/>
      <c r="UED118" s="182"/>
      <c r="UEE118" s="181"/>
      <c r="UEF118" s="182"/>
      <c r="UEG118" s="181"/>
      <c r="UEH118" s="182"/>
      <c r="UEI118" s="181"/>
      <c r="UEJ118" s="182"/>
      <c r="UEK118" s="181"/>
      <c r="UEL118" s="182"/>
      <c r="UEM118" s="181"/>
      <c r="UEN118" s="182"/>
      <c r="UEO118" s="181"/>
      <c r="UEP118" s="182"/>
      <c r="UEQ118" s="181"/>
      <c r="UER118" s="182"/>
      <c r="UES118" s="181"/>
      <c r="UET118" s="182"/>
      <c r="UEU118" s="181"/>
      <c r="UEV118" s="182"/>
      <c r="UEW118" s="181"/>
      <c r="UEX118" s="182"/>
      <c r="UEY118" s="181"/>
      <c r="UEZ118" s="182"/>
      <c r="UFA118" s="181"/>
      <c r="UFB118" s="182"/>
      <c r="UFC118" s="181"/>
      <c r="UFD118" s="182"/>
      <c r="UFE118" s="181"/>
      <c r="UFF118" s="182"/>
      <c r="UFG118" s="181"/>
      <c r="UFH118" s="182"/>
      <c r="UFI118" s="181"/>
      <c r="UFJ118" s="182"/>
      <c r="UFK118" s="181"/>
      <c r="UFL118" s="182"/>
      <c r="UFM118" s="181"/>
      <c r="UFN118" s="182"/>
      <c r="UFO118" s="181"/>
      <c r="UFP118" s="182"/>
      <c r="UFQ118" s="181"/>
      <c r="UFR118" s="182"/>
      <c r="UFS118" s="181"/>
      <c r="UFT118" s="182"/>
      <c r="UFU118" s="181"/>
      <c r="UFV118" s="182"/>
      <c r="UFW118" s="181"/>
      <c r="UFX118" s="182"/>
      <c r="UFY118" s="181"/>
      <c r="UFZ118" s="182"/>
      <c r="UGA118" s="181"/>
      <c r="UGB118" s="182"/>
      <c r="UGC118" s="181"/>
      <c r="UGD118" s="182"/>
      <c r="UGE118" s="181"/>
      <c r="UGF118" s="182"/>
      <c r="UGG118" s="181"/>
      <c r="UGH118" s="182"/>
      <c r="UGI118" s="181"/>
      <c r="UGJ118" s="182"/>
      <c r="UGK118" s="181"/>
      <c r="UGL118" s="182"/>
      <c r="UGM118" s="181"/>
      <c r="UGN118" s="182"/>
      <c r="UGO118" s="181"/>
      <c r="UGP118" s="182"/>
      <c r="UGQ118" s="181"/>
      <c r="UGR118" s="182"/>
      <c r="UGS118" s="181"/>
      <c r="UGT118" s="182"/>
      <c r="UGU118" s="181"/>
      <c r="UGV118" s="182"/>
      <c r="UGW118" s="181"/>
      <c r="UGX118" s="182"/>
      <c r="UGY118" s="181"/>
      <c r="UGZ118" s="182"/>
      <c r="UHA118" s="181"/>
      <c r="UHB118" s="182"/>
      <c r="UHC118" s="181"/>
      <c r="UHD118" s="182"/>
      <c r="UHE118" s="181"/>
      <c r="UHF118" s="182"/>
      <c r="UHG118" s="181"/>
      <c r="UHH118" s="182"/>
      <c r="UHI118" s="181"/>
      <c r="UHJ118" s="182"/>
      <c r="UHK118" s="181"/>
      <c r="UHL118" s="182"/>
      <c r="UHM118" s="181"/>
      <c r="UHN118" s="182"/>
      <c r="UHO118" s="181"/>
      <c r="UHP118" s="182"/>
      <c r="UHQ118" s="181"/>
      <c r="UHR118" s="182"/>
      <c r="UHS118" s="181"/>
      <c r="UHT118" s="182"/>
      <c r="UHU118" s="181"/>
      <c r="UHV118" s="182"/>
      <c r="UHW118" s="181"/>
      <c r="UHX118" s="182"/>
      <c r="UHY118" s="181"/>
      <c r="UHZ118" s="182"/>
      <c r="UIA118" s="181"/>
      <c r="UIB118" s="182"/>
      <c r="UIC118" s="181"/>
      <c r="UID118" s="182"/>
      <c r="UIE118" s="181"/>
      <c r="UIF118" s="182"/>
      <c r="UIG118" s="181"/>
      <c r="UIH118" s="182"/>
      <c r="UII118" s="181"/>
      <c r="UIJ118" s="182"/>
      <c r="UIK118" s="181"/>
      <c r="UIL118" s="182"/>
      <c r="UIM118" s="181"/>
      <c r="UIN118" s="182"/>
      <c r="UIO118" s="181"/>
      <c r="UIP118" s="182"/>
      <c r="UIQ118" s="181"/>
      <c r="UIR118" s="182"/>
      <c r="UIS118" s="181"/>
      <c r="UIT118" s="182"/>
      <c r="UIU118" s="181"/>
      <c r="UIV118" s="182"/>
      <c r="UIW118" s="181"/>
      <c r="UIX118" s="182"/>
      <c r="UIY118" s="181"/>
      <c r="UIZ118" s="182"/>
      <c r="UJA118" s="181"/>
      <c r="UJB118" s="182"/>
      <c r="UJC118" s="181"/>
      <c r="UJD118" s="182"/>
      <c r="UJE118" s="181"/>
      <c r="UJF118" s="182"/>
      <c r="UJG118" s="181"/>
      <c r="UJH118" s="182"/>
      <c r="UJI118" s="181"/>
      <c r="UJJ118" s="182"/>
      <c r="UJK118" s="181"/>
      <c r="UJL118" s="182"/>
      <c r="UJM118" s="181"/>
      <c r="UJN118" s="182"/>
      <c r="UJO118" s="181"/>
      <c r="UJP118" s="182"/>
      <c r="UJQ118" s="181"/>
      <c r="UJR118" s="182"/>
      <c r="UJS118" s="181"/>
      <c r="UJT118" s="182"/>
      <c r="UJU118" s="181"/>
      <c r="UJV118" s="182"/>
      <c r="UJW118" s="181"/>
      <c r="UJX118" s="182"/>
      <c r="UJY118" s="181"/>
      <c r="UJZ118" s="182"/>
      <c r="UKA118" s="181"/>
      <c r="UKB118" s="182"/>
      <c r="UKC118" s="181"/>
      <c r="UKD118" s="182"/>
      <c r="UKE118" s="181"/>
      <c r="UKF118" s="182"/>
      <c r="UKG118" s="181"/>
      <c r="UKH118" s="182"/>
      <c r="UKI118" s="181"/>
      <c r="UKJ118" s="182"/>
      <c r="UKK118" s="181"/>
      <c r="UKL118" s="182"/>
      <c r="UKM118" s="181"/>
      <c r="UKN118" s="182"/>
      <c r="UKO118" s="181"/>
      <c r="UKP118" s="182"/>
      <c r="UKQ118" s="181"/>
      <c r="UKR118" s="182"/>
      <c r="UKS118" s="181"/>
      <c r="UKT118" s="182"/>
      <c r="UKU118" s="181"/>
      <c r="UKV118" s="182"/>
      <c r="UKW118" s="181"/>
      <c r="UKX118" s="182"/>
      <c r="UKY118" s="181"/>
      <c r="UKZ118" s="182"/>
      <c r="ULA118" s="181"/>
      <c r="ULB118" s="182"/>
      <c r="ULC118" s="181"/>
      <c r="ULD118" s="182"/>
      <c r="ULE118" s="181"/>
      <c r="ULF118" s="182"/>
      <c r="ULG118" s="181"/>
      <c r="ULH118" s="182"/>
      <c r="ULI118" s="181"/>
      <c r="ULJ118" s="182"/>
      <c r="ULK118" s="181"/>
      <c r="ULL118" s="182"/>
      <c r="ULM118" s="181"/>
      <c r="ULN118" s="182"/>
      <c r="ULO118" s="181"/>
      <c r="ULP118" s="182"/>
      <c r="ULQ118" s="181"/>
      <c r="ULR118" s="182"/>
      <c r="ULS118" s="181"/>
      <c r="ULT118" s="182"/>
      <c r="ULU118" s="181"/>
      <c r="ULV118" s="182"/>
      <c r="ULW118" s="181"/>
      <c r="ULX118" s="182"/>
      <c r="ULY118" s="181"/>
      <c r="ULZ118" s="182"/>
      <c r="UMA118" s="181"/>
      <c r="UMB118" s="182"/>
      <c r="UMC118" s="181"/>
      <c r="UMD118" s="182"/>
      <c r="UME118" s="181"/>
      <c r="UMF118" s="182"/>
      <c r="UMG118" s="181"/>
      <c r="UMH118" s="182"/>
      <c r="UMI118" s="181"/>
      <c r="UMJ118" s="182"/>
      <c r="UMK118" s="181"/>
      <c r="UML118" s="182"/>
      <c r="UMM118" s="181"/>
      <c r="UMN118" s="182"/>
      <c r="UMO118" s="181"/>
      <c r="UMP118" s="182"/>
      <c r="UMQ118" s="181"/>
      <c r="UMR118" s="182"/>
      <c r="UMS118" s="181"/>
      <c r="UMT118" s="182"/>
      <c r="UMU118" s="181"/>
      <c r="UMV118" s="182"/>
      <c r="UMW118" s="181"/>
      <c r="UMX118" s="182"/>
      <c r="UMY118" s="181"/>
      <c r="UMZ118" s="182"/>
      <c r="UNA118" s="181"/>
      <c r="UNB118" s="182"/>
      <c r="UNC118" s="181"/>
      <c r="UND118" s="182"/>
      <c r="UNE118" s="181"/>
      <c r="UNF118" s="182"/>
      <c r="UNG118" s="181"/>
      <c r="UNH118" s="182"/>
      <c r="UNI118" s="181"/>
      <c r="UNJ118" s="182"/>
      <c r="UNK118" s="181"/>
      <c r="UNL118" s="182"/>
      <c r="UNM118" s="181"/>
      <c r="UNN118" s="182"/>
      <c r="UNO118" s="181"/>
      <c r="UNP118" s="182"/>
      <c r="UNQ118" s="181"/>
      <c r="UNR118" s="182"/>
      <c r="UNS118" s="181"/>
      <c r="UNT118" s="182"/>
      <c r="UNU118" s="181"/>
      <c r="UNV118" s="182"/>
      <c r="UNW118" s="181"/>
      <c r="UNX118" s="182"/>
      <c r="UNY118" s="181"/>
      <c r="UNZ118" s="182"/>
      <c r="UOA118" s="181"/>
      <c r="UOB118" s="182"/>
      <c r="UOC118" s="181"/>
      <c r="UOD118" s="182"/>
      <c r="UOE118" s="181"/>
      <c r="UOF118" s="182"/>
      <c r="UOG118" s="181"/>
      <c r="UOH118" s="182"/>
      <c r="UOI118" s="181"/>
      <c r="UOJ118" s="182"/>
      <c r="UOK118" s="181"/>
      <c r="UOL118" s="182"/>
      <c r="UOM118" s="181"/>
      <c r="UON118" s="182"/>
      <c r="UOO118" s="181"/>
      <c r="UOP118" s="182"/>
      <c r="UOQ118" s="181"/>
      <c r="UOR118" s="182"/>
      <c r="UOS118" s="181"/>
      <c r="UOT118" s="182"/>
      <c r="UOU118" s="181"/>
      <c r="UOV118" s="182"/>
      <c r="UOW118" s="181"/>
      <c r="UOX118" s="182"/>
      <c r="UOY118" s="181"/>
      <c r="UOZ118" s="182"/>
      <c r="UPA118" s="181"/>
      <c r="UPB118" s="182"/>
      <c r="UPC118" s="181"/>
      <c r="UPD118" s="182"/>
      <c r="UPE118" s="181"/>
      <c r="UPF118" s="182"/>
      <c r="UPG118" s="181"/>
      <c r="UPH118" s="182"/>
      <c r="UPI118" s="181"/>
      <c r="UPJ118" s="182"/>
      <c r="UPK118" s="181"/>
      <c r="UPL118" s="182"/>
      <c r="UPM118" s="181"/>
      <c r="UPN118" s="182"/>
      <c r="UPO118" s="181"/>
      <c r="UPP118" s="182"/>
      <c r="UPQ118" s="181"/>
      <c r="UPR118" s="182"/>
      <c r="UPS118" s="181"/>
      <c r="UPT118" s="182"/>
      <c r="UPU118" s="181"/>
      <c r="UPV118" s="182"/>
      <c r="UPW118" s="181"/>
      <c r="UPX118" s="182"/>
      <c r="UPY118" s="181"/>
      <c r="UPZ118" s="182"/>
      <c r="UQA118" s="181"/>
      <c r="UQB118" s="182"/>
      <c r="UQC118" s="181"/>
      <c r="UQD118" s="182"/>
      <c r="UQE118" s="181"/>
      <c r="UQF118" s="182"/>
      <c r="UQG118" s="181"/>
      <c r="UQH118" s="182"/>
      <c r="UQI118" s="181"/>
      <c r="UQJ118" s="182"/>
      <c r="UQK118" s="181"/>
      <c r="UQL118" s="182"/>
      <c r="UQM118" s="181"/>
      <c r="UQN118" s="182"/>
      <c r="UQO118" s="181"/>
      <c r="UQP118" s="182"/>
      <c r="UQQ118" s="181"/>
      <c r="UQR118" s="182"/>
      <c r="UQS118" s="181"/>
      <c r="UQT118" s="182"/>
      <c r="UQU118" s="181"/>
      <c r="UQV118" s="182"/>
      <c r="UQW118" s="181"/>
      <c r="UQX118" s="182"/>
      <c r="UQY118" s="181"/>
      <c r="UQZ118" s="182"/>
      <c r="URA118" s="181"/>
      <c r="URB118" s="182"/>
      <c r="URC118" s="181"/>
      <c r="URD118" s="182"/>
      <c r="URE118" s="181"/>
      <c r="URF118" s="182"/>
      <c r="URG118" s="181"/>
      <c r="URH118" s="182"/>
      <c r="URI118" s="181"/>
      <c r="URJ118" s="182"/>
      <c r="URK118" s="181"/>
      <c r="URL118" s="182"/>
      <c r="URM118" s="181"/>
      <c r="URN118" s="182"/>
      <c r="URO118" s="181"/>
      <c r="URP118" s="182"/>
      <c r="URQ118" s="181"/>
      <c r="URR118" s="182"/>
      <c r="URS118" s="181"/>
      <c r="URT118" s="182"/>
      <c r="URU118" s="181"/>
      <c r="URV118" s="182"/>
      <c r="URW118" s="181"/>
      <c r="URX118" s="182"/>
      <c r="URY118" s="181"/>
      <c r="URZ118" s="182"/>
      <c r="USA118" s="181"/>
      <c r="USB118" s="182"/>
      <c r="USC118" s="181"/>
      <c r="USD118" s="182"/>
      <c r="USE118" s="181"/>
      <c r="USF118" s="182"/>
      <c r="USG118" s="181"/>
      <c r="USH118" s="182"/>
      <c r="USI118" s="181"/>
      <c r="USJ118" s="182"/>
      <c r="USK118" s="181"/>
      <c r="USL118" s="182"/>
      <c r="USM118" s="181"/>
      <c r="USN118" s="182"/>
      <c r="USO118" s="181"/>
      <c r="USP118" s="182"/>
      <c r="USQ118" s="181"/>
      <c r="USR118" s="182"/>
      <c r="USS118" s="181"/>
      <c r="UST118" s="182"/>
      <c r="USU118" s="181"/>
      <c r="USV118" s="182"/>
      <c r="USW118" s="181"/>
      <c r="USX118" s="182"/>
      <c r="USY118" s="181"/>
      <c r="USZ118" s="182"/>
      <c r="UTA118" s="181"/>
      <c r="UTB118" s="182"/>
      <c r="UTC118" s="181"/>
      <c r="UTD118" s="182"/>
      <c r="UTE118" s="181"/>
      <c r="UTF118" s="182"/>
      <c r="UTG118" s="181"/>
      <c r="UTH118" s="182"/>
      <c r="UTI118" s="181"/>
      <c r="UTJ118" s="182"/>
      <c r="UTK118" s="181"/>
      <c r="UTL118" s="182"/>
      <c r="UTM118" s="181"/>
      <c r="UTN118" s="182"/>
      <c r="UTO118" s="181"/>
      <c r="UTP118" s="182"/>
      <c r="UTQ118" s="181"/>
      <c r="UTR118" s="182"/>
      <c r="UTS118" s="181"/>
      <c r="UTT118" s="182"/>
      <c r="UTU118" s="181"/>
      <c r="UTV118" s="182"/>
      <c r="UTW118" s="181"/>
      <c r="UTX118" s="182"/>
      <c r="UTY118" s="181"/>
      <c r="UTZ118" s="182"/>
      <c r="UUA118" s="181"/>
      <c r="UUB118" s="182"/>
      <c r="UUC118" s="181"/>
      <c r="UUD118" s="182"/>
      <c r="UUE118" s="181"/>
      <c r="UUF118" s="182"/>
      <c r="UUG118" s="181"/>
      <c r="UUH118" s="182"/>
      <c r="UUI118" s="181"/>
      <c r="UUJ118" s="182"/>
      <c r="UUK118" s="181"/>
      <c r="UUL118" s="182"/>
      <c r="UUM118" s="181"/>
      <c r="UUN118" s="182"/>
      <c r="UUO118" s="181"/>
      <c r="UUP118" s="182"/>
      <c r="UUQ118" s="181"/>
      <c r="UUR118" s="182"/>
      <c r="UUS118" s="181"/>
      <c r="UUT118" s="182"/>
      <c r="UUU118" s="181"/>
      <c r="UUV118" s="182"/>
      <c r="UUW118" s="181"/>
      <c r="UUX118" s="182"/>
      <c r="UUY118" s="181"/>
      <c r="UUZ118" s="182"/>
      <c r="UVA118" s="181"/>
      <c r="UVB118" s="182"/>
      <c r="UVC118" s="181"/>
      <c r="UVD118" s="182"/>
      <c r="UVE118" s="181"/>
      <c r="UVF118" s="182"/>
      <c r="UVG118" s="181"/>
      <c r="UVH118" s="182"/>
      <c r="UVI118" s="181"/>
      <c r="UVJ118" s="182"/>
      <c r="UVK118" s="181"/>
      <c r="UVL118" s="182"/>
      <c r="UVM118" s="181"/>
      <c r="UVN118" s="182"/>
      <c r="UVO118" s="181"/>
      <c r="UVP118" s="182"/>
      <c r="UVQ118" s="181"/>
      <c r="UVR118" s="182"/>
      <c r="UVS118" s="181"/>
      <c r="UVT118" s="182"/>
      <c r="UVU118" s="181"/>
      <c r="UVV118" s="182"/>
      <c r="UVW118" s="181"/>
      <c r="UVX118" s="182"/>
      <c r="UVY118" s="181"/>
      <c r="UVZ118" s="182"/>
      <c r="UWA118" s="181"/>
      <c r="UWB118" s="182"/>
      <c r="UWC118" s="181"/>
      <c r="UWD118" s="182"/>
      <c r="UWE118" s="181"/>
      <c r="UWF118" s="182"/>
      <c r="UWG118" s="181"/>
      <c r="UWH118" s="182"/>
      <c r="UWI118" s="181"/>
      <c r="UWJ118" s="182"/>
      <c r="UWK118" s="181"/>
      <c r="UWL118" s="182"/>
      <c r="UWM118" s="181"/>
      <c r="UWN118" s="182"/>
      <c r="UWO118" s="181"/>
      <c r="UWP118" s="182"/>
      <c r="UWQ118" s="181"/>
      <c r="UWR118" s="182"/>
      <c r="UWS118" s="181"/>
      <c r="UWT118" s="182"/>
      <c r="UWU118" s="181"/>
      <c r="UWV118" s="182"/>
      <c r="UWW118" s="181"/>
      <c r="UWX118" s="182"/>
      <c r="UWY118" s="181"/>
      <c r="UWZ118" s="182"/>
      <c r="UXA118" s="181"/>
      <c r="UXB118" s="182"/>
      <c r="UXC118" s="181"/>
      <c r="UXD118" s="182"/>
      <c r="UXE118" s="181"/>
      <c r="UXF118" s="182"/>
      <c r="UXG118" s="181"/>
      <c r="UXH118" s="182"/>
      <c r="UXI118" s="181"/>
      <c r="UXJ118" s="182"/>
      <c r="UXK118" s="181"/>
      <c r="UXL118" s="182"/>
      <c r="UXM118" s="181"/>
      <c r="UXN118" s="182"/>
      <c r="UXO118" s="181"/>
      <c r="UXP118" s="182"/>
      <c r="UXQ118" s="181"/>
      <c r="UXR118" s="182"/>
      <c r="UXS118" s="181"/>
      <c r="UXT118" s="182"/>
      <c r="UXU118" s="181"/>
      <c r="UXV118" s="182"/>
      <c r="UXW118" s="181"/>
      <c r="UXX118" s="182"/>
      <c r="UXY118" s="181"/>
      <c r="UXZ118" s="182"/>
      <c r="UYA118" s="181"/>
      <c r="UYB118" s="182"/>
      <c r="UYC118" s="181"/>
      <c r="UYD118" s="182"/>
      <c r="UYE118" s="181"/>
      <c r="UYF118" s="182"/>
      <c r="UYG118" s="181"/>
      <c r="UYH118" s="182"/>
      <c r="UYI118" s="181"/>
      <c r="UYJ118" s="182"/>
      <c r="UYK118" s="181"/>
      <c r="UYL118" s="182"/>
      <c r="UYM118" s="181"/>
      <c r="UYN118" s="182"/>
      <c r="UYO118" s="181"/>
      <c r="UYP118" s="182"/>
      <c r="UYQ118" s="181"/>
      <c r="UYR118" s="182"/>
      <c r="UYS118" s="181"/>
      <c r="UYT118" s="182"/>
      <c r="UYU118" s="181"/>
      <c r="UYV118" s="182"/>
      <c r="UYW118" s="181"/>
      <c r="UYX118" s="182"/>
      <c r="UYY118" s="181"/>
      <c r="UYZ118" s="182"/>
      <c r="UZA118" s="181"/>
      <c r="UZB118" s="182"/>
      <c r="UZC118" s="181"/>
      <c r="UZD118" s="182"/>
      <c r="UZE118" s="181"/>
      <c r="UZF118" s="182"/>
      <c r="UZG118" s="181"/>
      <c r="UZH118" s="182"/>
      <c r="UZI118" s="181"/>
      <c r="UZJ118" s="182"/>
      <c r="UZK118" s="181"/>
      <c r="UZL118" s="182"/>
      <c r="UZM118" s="181"/>
      <c r="UZN118" s="182"/>
      <c r="UZO118" s="181"/>
      <c r="UZP118" s="182"/>
      <c r="UZQ118" s="181"/>
      <c r="UZR118" s="182"/>
      <c r="UZS118" s="181"/>
      <c r="UZT118" s="182"/>
      <c r="UZU118" s="181"/>
      <c r="UZV118" s="182"/>
      <c r="UZW118" s="181"/>
      <c r="UZX118" s="182"/>
      <c r="UZY118" s="181"/>
      <c r="UZZ118" s="182"/>
      <c r="VAA118" s="181"/>
      <c r="VAB118" s="182"/>
      <c r="VAC118" s="181"/>
      <c r="VAD118" s="182"/>
      <c r="VAE118" s="181"/>
      <c r="VAF118" s="182"/>
      <c r="VAG118" s="181"/>
      <c r="VAH118" s="182"/>
      <c r="VAI118" s="181"/>
      <c r="VAJ118" s="182"/>
      <c r="VAK118" s="181"/>
      <c r="VAL118" s="182"/>
      <c r="VAM118" s="181"/>
      <c r="VAN118" s="182"/>
      <c r="VAO118" s="181"/>
      <c r="VAP118" s="182"/>
      <c r="VAQ118" s="181"/>
      <c r="VAR118" s="182"/>
      <c r="VAS118" s="181"/>
      <c r="VAT118" s="182"/>
      <c r="VAU118" s="181"/>
      <c r="VAV118" s="182"/>
      <c r="VAW118" s="181"/>
      <c r="VAX118" s="182"/>
      <c r="VAY118" s="181"/>
      <c r="VAZ118" s="182"/>
      <c r="VBA118" s="181"/>
      <c r="VBB118" s="182"/>
      <c r="VBC118" s="181"/>
      <c r="VBD118" s="182"/>
      <c r="VBE118" s="181"/>
      <c r="VBF118" s="182"/>
      <c r="VBG118" s="181"/>
      <c r="VBH118" s="182"/>
      <c r="VBI118" s="181"/>
      <c r="VBJ118" s="182"/>
      <c r="VBK118" s="181"/>
      <c r="VBL118" s="182"/>
      <c r="VBM118" s="181"/>
      <c r="VBN118" s="182"/>
      <c r="VBO118" s="181"/>
      <c r="VBP118" s="182"/>
      <c r="VBQ118" s="181"/>
      <c r="VBR118" s="182"/>
      <c r="VBS118" s="181"/>
      <c r="VBT118" s="182"/>
      <c r="VBU118" s="181"/>
      <c r="VBV118" s="182"/>
      <c r="VBW118" s="181"/>
      <c r="VBX118" s="182"/>
      <c r="VBY118" s="181"/>
      <c r="VBZ118" s="182"/>
      <c r="VCA118" s="181"/>
      <c r="VCB118" s="182"/>
      <c r="VCC118" s="181"/>
      <c r="VCD118" s="182"/>
      <c r="VCE118" s="181"/>
      <c r="VCF118" s="182"/>
      <c r="VCG118" s="181"/>
      <c r="VCH118" s="182"/>
      <c r="VCI118" s="181"/>
      <c r="VCJ118" s="182"/>
      <c r="VCK118" s="181"/>
      <c r="VCL118" s="182"/>
      <c r="VCM118" s="181"/>
      <c r="VCN118" s="182"/>
      <c r="VCO118" s="181"/>
      <c r="VCP118" s="182"/>
      <c r="VCQ118" s="181"/>
      <c r="VCR118" s="182"/>
      <c r="VCS118" s="181"/>
      <c r="VCT118" s="182"/>
      <c r="VCU118" s="181"/>
      <c r="VCV118" s="182"/>
      <c r="VCW118" s="181"/>
      <c r="VCX118" s="182"/>
      <c r="VCY118" s="181"/>
      <c r="VCZ118" s="182"/>
      <c r="VDA118" s="181"/>
      <c r="VDB118" s="182"/>
      <c r="VDC118" s="181"/>
      <c r="VDD118" s="182"/>
      <c r="VDE118" s="181"/>
      <c r="VDF118" s="182"/>
      <c r="VDG118" s="181"/>
      <c r="VDH118" s="182"/>
      <c r="VDI118" s="181"/>
      <c r="VDJ118" s="182"/>
      <c r="VDK118" s="181"/>
      <c r="VDL118" s="182"/>
      <c r="VDM118" s="181"/>
      <c r="VDN118" s="182"/>
      <c r="VDO118" s="181"/>
      <c r="VDP118" s="182"/>
      <c r="VDQ118" s="181"/>
      <c r="VDR118" s="182"/>
      <c r="VDS118" s="181"/>
      <c r="VDT118" s="182"/>
      <c r="VDU118" s="181"/>
      <c r="VDV118" s="182"/>
      <c r="VDW118" s="181"/>
      <c r="VDX118" s="182"/>
      <c r="VDY118" s="181"/>
      <c r="VDZ118" s="182"/>
      <c r="VEA118" s="181"/>
      <c r="VEB118" s="182"/>
      <c r="VEC118" s="181"/>
      <c r="VED118" s="182"/>
      <c r="VEE118" s="181"/>
      <c r="VEF118" s="182"/>
      <c r="VEG118" s="181"/>
      <c r="VEH118" s="182"/>
      <c r="VEI118" s="181"/>
      <c r="VEJ118" s="182"/>
      <c r="VEK118" s="181"/>
      <c r="VEL118" s="182"/>
      <c r="VEM118" s="181"/>
      <c r="VEN118" s="182"/>
      <c r="VEO118" s="181"/>
      <c r="VEP118" s="182"/>
      <c r="VEQ118" s="181"/>
      <c r="VER118" s="182"/>
      <c r="VES118" s="181"/>
      <c r="VET118" s="182"/>
      <c r="VEU118" s="181"/>
      <c r="VEV118" s="182"/>
      <c r="VEW118" s="181"/>
      <c r="VEX118" s="182"/>
      <c r="VEY118" s="181"/>
      <c r="VEZ118" s="182"/>
      <c r="VFA118" s="181"/>
      <c r="VFB118" s="182"/>
      <c r="VFC118" s="181"/>
      <c r="VFD118" s="182"/>
      <c r="VFE118" s="181"/>
      <c r="VFF118" s="182"/>
      <c r="VFG118" s="181"/>
      <c r="VFH118" s="182"/>
      <c r="VFI118" s="181"/>
      <c r="VFJ118" s="182"/>
      <c r="VFK118" s="181"/>
      <c r="VFL118" s="182"/>
      <c r="VFM118" s="181"/>
      <c r="VFN118" s="182"/>
      <c r="VFO118" s="181"/>
      <c r="VFP118" s="182"/>
      <c r="VFQ118" s="181"/>
      <c r="VFR118" s="182"/>
      <c r="VFS118" s="181"/>
      <c r="VFT118" s="182"/>
      <c r="VFU118" s="181"/>
      <c r="VFV118" s="182"/>
      <c r="VFW118" s="181"/>
      <c r="VFX118" s="182"/>
      <c r="VFY118" s="181"/>
      <c r="VFZ118" s="182"/>
      <c r="VGA118" s="181"/>
      <c r="VGB118" s="182"/>
      <c r="VGC118" s="181"/>
      <c r="VGD118" s="182"/>
      <c r="VGE118" s="181"/>
      <c r="VGF118" s="182"/>
      <c r="VGG118" s="181"/>
      <c r="VGH118" s="182"/>
      <c r="VGI118" s="181"/>
      <c r="VGJ118" s="182"/>
      <c r="VGK118" s="181"/>
      <c r="VGL118" s="182"/>
      <c r="VGM118" s="181"/>
      <c r="VGN118" s="182"/>
      <c r="VGO118" s="181"/>
      <c r="VGP118" s="182"/>
      <c r="VGQ118" s="181"/>
      <c r="VGR118" s="182"/>
      <c r="VGS118" s="181"/>
      <c r="VGT118" s="182"/>
      <c r="VGU118" s="181"/>
      <c r="VGV118" s="182"/>
      <c r="VGW118" s="181"/>
      <c r="VGX118" s="182"/>
      <c r="VGY118" s="181"/>
      <c r="VGZ118" s="182"/>
      <c r="VHA118" s="181"/>
      <c r="VHB118" s="182"/>
      <c r="VHC118" s="181"/>
      <c r="VHD118" s="182"/>
      <c r="VHE118" s="181"/>
      <c r="VHF118" s="182"/>
      <c r="VHG118" s="181"/>
      <c r="VHH118" s="182"/>
      <c r="VHI118" s="181"/>
      <c r="VHJ118" s="182"/>
      <c r="VHK118" s="181"/>
      <c r="VHL118" s="182"/>
      <c r="VHM118" s="181"/>
      <c r="VHN118" s="182"/>
      <c r="VHO118" s="181"/>
      <c r="VHP118" s="182"/>
      <c r="VHQ118" s="181"/>
      <c r="VHR118" s="182"/>
      <c r="VHS118" s="181"/>
      <c r="VHT118" s="182"/>
      <c r="VHU118" s="181"/>
      <c r="VHV118" s="182"/>
      <c r="VHW118" s="181"/>
      <c r="VHX118" s="182"/>
      <c r="VHY118" s="181"/>
      <c r="VHZ118" s="182"/>
      <c r="VIA118" s="181"/>
      <c r="VIB118" s="182"/>
      <c r="VIC118" s="181"/>
      <c r="VID118" s="182"/>
      <c r="VIE118" s="181"/>
      <c r="VIF118" s="182"/>
      <c r="VIG118" s="181"/>
      <c r="VIH118" s="182"/>
      <c r="VII118" s="181"/>
      <c r="VIJ118" s="182"/>
      <c r="VIK118" s="181"/>
      <c r="VIL118" s="182"/>
      <c r="VIM118" s="181"/>
      <c r="VIN118" s="182"/>
      <c r="VIO118" s="181"/>
      <c r="VIP118" s="182"/>
      <c r="VIQ118" s="181"/>
      <c r="VIR118" s="182"/>
      <c r="VIS118" s="181"/>
      <c r="VIT118" s="182"/>
      <c r="VIU118" s="181"/>
      <c r="VIV118" s="182"/>
      <c r="VIW118" s="181"/>
      <c r="VIX118" s="182"/>
      <c r="VIY118" s="181"/>
      <c r="VIZ118" s="182"/>
      <c r="VJA118" s="181"/>
      <c r="VJB118" s="182"/>
      <c r="VJC118" s="181"/>
      <c r="VJD118" s="182"/>
      <c r="VJE118" s="181"/>
      <c r="VJF118" s="182"/>
      <c r="VJG118" s="181"/>
      <c r="VJH118" s="182"/>
      <c r="VJI118" s="181"/>
      <c r="VJJ118" s="182"/>
      <c r="VJK118" s="181"/>
      <c r="VJL118" s="182"/>
      <c r="VJM118" s="181"/>
      <c r="VJN118" s="182"/>
      <c r="VJO118" s="181"/>
      <c r="VJP118" s="182"/>
      <c r="VJQ118" s="181"/>
      <c r="VJR118" s="182"/>
      <c r="VJS118" s="181"/>
      <c r="VJT118" s="182"/>
      <c r="VJU118" s="181"/>
      <c r="VJV118" s="182"/>
      <c r="VJW118" s="181"/>
      <c r="VJX118" s="182"/>
      <c r="VJY118" s="181"/>
      <c r="VJZ118" s="182"/>
      <c r="VKA118" s="181"/>
      <c r="VKB118" s="182"/>
      <c r="VKC118" s="181"/>
      <c r="VKD118" s="182"/>
      <c r="VKE118" s="181"/>
      <c r="VKF118" s="182"/>
      <c r="VKG118" s="181"/>
      <c r="VKH118" s="182"/>
      <c r="VKI118" s="181"/>
      <c r="VKJ118" s="182"/>
      <c r="VKK118" s="181"/>
      <c r="VKL118" s="182"/>
      <c r="VKM118" s="181"/>
      <c r="VKN118" s="182"/>
      <c r="VKO118" s="181"/>
      <c r="VKP118" s="182"/>
      <c r="VKQ118" s="181"/>
      <c r="VKR118" s="182"/>
      <c r="VKS118" s="181"/>
      <c r="VKT118" s="182"/>
      <c r="VKU118" s="181"/>
      <c r="VKV118" s="182"/>
      <c r="VKW118" s="181"/>
      <c r="VKX118" s="182"/>
      <c r="VKY118" s="181"/>
      <c r="VKZ118" s="182"/>
      <c r="VLA118" s="181"/>
      <c r="VLB118" s="182"/>
      <c r="VLC118" s="181"/>
      <c r="VLD118" s="182"/>
      <c r="VLE118" s="181"/>
      <c r="VLF118" s="182"/>
      <c r="VLG118" s="181"/>
      <c r="VLH118" s="182"/>
      <c r="VLI118" s="181"/>
      <c r="VLJ118" s="182"/>
      <c r="VLK118" s="181"/>
      <c r="VLL118" s="182"/>
      <c r="VLM118" s="181"/>
      <c r="VLN118" s="182"/>
      <c r="VLO118" s="181"/>
      <c r="VLP118" s="182"/>
      <c r="VLQ118" s="181"/>
      <c r="VLR118" s="182"/>
      <c r="VLS118" s="181"/>
      <c r="VLT118" s="182"/>
      <c r="VLU118" s="181"/>
      <c r="VLV118" s="182"/>
      <c r="VLW118" s="181"/>
      <c r="VLX118" s="182"/>
      <c r="VLY118" s="181"/>
      <c r="VLZ118" s="182"/>
      <c r="VMA118" s="181"/>
      <c r="VMB118" s="182"/>
      <c r="VMC118" s="181"/>
      <c r="VMD118" s="182"/>
      <c r="VME118" s="181"/>
      <c r="VMF118" s="182"/>
      <c r="VMG118" s="181"/>
      <c r="VMH118" s="182"/>
      <c r="VMI118" s="181"/>
      <c r="VMJ118" s="182"/>
      <c r="VMK118" s="181"/>
      <c r="VML118" s="182"/>
      <c r="VMM118" s="181"/>
      <c r="VMN118" s="182"/>
      <c r="VMO118" s="181"/>
      <c r="VMP118" s="182"/>
      <c r="VMQ118" s="181"/>
      <c r="VMR118" s="182"/>
      <c r="VMS118" s="181"/>
      <c r="VMT118" s="182"/>
      <c r="VMU118" s="181"/>
      <c r="VMV118" s="182"/>
      <c r="VMW118" s="181"/>
      <c r="VMX118" s="182"/>
      <c r="VMY118" s="181"/>
      <c r="VMZ118" s="182"/>
      <c r="VNA118" s="181"/>
      <c r="VNB118" s="182"/>
      <c r="VNC118" s="181"/>
      <c r="VND118" s="182"/>
      <c r="VNE118" s="181"/>
      <c r="VNF118" s="182"/>
      <c r="VNG118" s="181"/>
      <c r="VNH118" s="182"/>
      <c r="VNI118" s="181"/>
      <c r="VNJ118" s="182"/>
      <c r="VNK118" s="181"/>
      <c r="VNL118" s="182"/>
      <c r="VNM118" s="181"/>
      <c r="VNN118" s="182"/>
      <c r="VNO118" s="181"/>
      <c r="VNP118" s="182"/>
      <c r="VNQ118" s="181"/>
      <c r="VNR118" s="182"/>
      <c r="VNS118" s="181"/>
      <c r="VNT118" s="182"/>
      <c r="VNU118" s="181"/>
      <c r="VNV118" s="182"/>
      <c r="VNW118" s="181"/>
      <c r="VNX118" s="182"/>
      <c r="VNY118" s="181"/>
      <c r="VNZ118" s="182"/>
      <c r="VOA118" s="181"/>
      <c r="VOB118" s="182"/>
      <c r="VOC118" s="181"/>
      <c r="VOD118" s="182"/>
      <c r="VOE118" s="181"/>
      <c r="VOF118" s="182"/>
      <c r="VOG118" s="181"/>
      <c r="VOH118" s="182"/>
      <c r="VOI118" s="181"/>
      <c r="VOJ118" s="182"/>
      <c r="VOK118" s="181"/>
      <c r="VOL118" s="182"/>
      <c r="VOM118" s="181"/>
      <c r="VON118" s="182"/>
      <c r="VOO118" s="181"/>
      <c r="VOP118" s="182"/>
      <c r="VOQ118" s="181"/>
      <c r="VOR118" s="182"/>
      <c r="VOS118" s="181"/>
      <c r="VOT118" s="182"/>
      <c r="VOU118" s="181"/>
      <c r="VOV118" s="182"/>
      <c r="VOW118" s="181"/>
      <c r="VOX118" s="182"/>
      <c r="VOY118" s="181"/>
      <c r="VOZ118" s="182"/>
      <c r="VPA118" s="181"/>
      <c r="VPB118" s="182"/>
      <c r="VPC118" s="181"/>
      <c r="VPD118" s="182"/>
      <c r="VPE118" s="181"/>
      <c r="VPF118" s="182"/>
      <c r="VPG118" s="181"/>
      <c r="VPH118" s="182"/>
      <c r="VPI118" s="181"/>
      <c r="VPJ118" s="182"/>
      <c r="VPK118" s="181"/>
      <c r="VPL118" s="182"/>
      <c r="VPM118" s="181"/>
      <c r="VPN118" s="182"/>
      <c r="VPO118" s="181"/>
      <c r="VPP118" s="182"/>
      <c r="VPQ118" s="181"/>
      <c r="VPR118" s="182"/>
      <c r="VPS118" s="181"/>
      <c r="VPT118" s="182"/>
      <c r="VPU118" s="181"/>
      <c r="VPV118" s="182"/>
      <c r="VPW118" s="181"/>
      <c r="VPX118" s="182"/>
      <c r="VPY118" s="181"/>
      <c r="VPZ118" s="182"/>
      <c r="VQA118" s="181"/>
      <c r="VQB118" s="182"/>
      <c r="VQC118" s="181"/>
      <c r="VQD118" s="182"/>
      <c r="VQE118" s="181"/>
      <c r="VQF118" s="182"/>
      <c r="VQG118" s="181"/>
      <c r="VQH118" s="182"/>
      <c r="VQI118" s="181"/>
      <c r="VQJ118" s="182"/>
      <c r="VQK118" s="181"/>
      <c r="VQL118" s="182"/>
      <c r="VQM118" s="181"/>
      <c r="VQN118" s="182"/>
      <c r="VQO118" s="181"/>
      <c r="VQP118" s="182"/>
      <c r="VQQ118" s="181"/>
      <c r="VQR118" s="182"/>
      <c r="VQS118" s="181"/>
      <c r="VQT118" s="182"/>
      <c r="VQU118" s="181"/>
      <c r="VQV118" s="182"/>
      <c r="VQW118" s="181"/>
      <c r="VQX118" s="182"/>
      <c r="VQY118" s="181"/>
      <c r="VQZ118" s="182"/>
      <c r="VRA118" s="181"/>
      <c r="VRB118" s="182"/>
      <c r="VRC118" s="181"/>
      <c r="VRD118" s="182"/>
      <c r="VRE118" s="181"/>
      <c r="VRF118" s="182"/>
      <c r="VRG118" s="181"/>
      <c r="VRH118" s="182"/>
      <c r="VRI118" s="181"/>
      <c r="VRJ118" s="182"/>
      <c r="VRK118" s="181"/>
      <c r="VRL118" s="182"/>
      <c r="VRM118" s="181"/>
      <c r="VRN118" s="182"/>
      <c r="VRO118" s="181"/>
      <c r="VRP118" s="182"/>
      <c r="VRQ118" s="181"/>
      <c r="VRR118" s="182"/>
      <c r="VRS118" s="181"/>
      <c r="VRT118" s="182"/>
      <c r="VRU118" s="181"/>
      <c r="VRV118" s="182"/>
      <c r="VRW118" s="181"/>
      <c r="VRX118" s="182"/>
      <c r="VRY118" s="181"/>
      <c r="VRZ118" s="182"/>
      <c r="VSA118" s="181"/>
      <c r="VSB118" s="182"/>
      <c r="VSC118" s="181"/>
      <c r="VSD118" s="182"/>
      <c r="VSE118" s="181"/>
      <c r="VSF118" s="182"/>
      <c r="VSG118" s="181"/>
      <c r="VSH118" s="182"/>
      <c r="VSI118" s="181"/>
      <c r="VSJ118" s="182"/>
      <c r="VSK118" s="181"/>
      <c r="VSL118" s="182"/>
      <c r="VSM118" s="181"/>
      <c r="VSN118" s="182"/>
      <c r="VSO118" s="181"/>
      <c r="VSP118" s="182"/>
      <c r="VSQ118" s="181"/>
      <c r="VSR118" s="182"/>
      <c r="VSS118" s="181"/>
      <c r="VST118" s="182"/>
      <c r="VSU118" s="181"/>
      <c r="VSV118" s="182"/>
      <c r="VSW118" s="181"/>
      <c r="VSX118" s="182"/>
      <c r="VSY118" s="181"/>
      <c r="VSZ118" s="182"/>
      <c r="VTA118" s="181"/>
      <c r="VTB118" s="182"/>
      <c r="VTC118" s="181"/>
      <c r="VTD118" s="182"/>
      <c r="VTE118" s="181"/>
      <c r="VTF118" s="182"/>
      <c r="VTG118" s="181"/>
      <c r="VTH118" s="182"/>
      <c r="VTI118" s="181"/>
      <c r="VTJ118" s="182"/>
      <c r="VTK118" s="181"/>
      <c r="VTL118" s="182"/>
      <c r="VTM118" s="181"/>
      <c r="VTN118" s="182"/>
      <c r="VTO118" s="181"/>
      <c r="VTP118" s="182"/>
      <c r="VTQ118" s="181"/>
      <c r="VTR118" s="182"/>
      <c r="VTS118" s="181"/>
      <c r="VTT118" s="182"/>
      <c r="VTU118" s="181"/>
      <c r="VTV118" s="182"/>
      <c r="VTW118" s="181"/>
      <c r="VTX118" s="182"/>
      <c r="VTY118" s="181"/>
      <c r="VTZ118" s="182"/>
      <c r="VUA118" s="181"/>
      <c r="VUB118" s="182"/>
      <c r="VUC118" s="181"/>
      <c r="VUD118" s="182"/>
      <c r="VUE118" s="181"/>
      <c r="VUF118" s="182"/>
      <c r="VUG118" s="181"/>
      <c r="VUH118" s="182"/>
      <c r="VUI118" s="181"/>
      <c r="VUJ118" s="182"/>
      <c r="VUK118" s="181"/>
      <c r="VUL118" s="182"/>
      <c r="VUM118" s="181"/>
      <c r="VUN118" s="182"/>
      <c r="VUO118" s="181"/>
      <c r="VUP118" s="182"/>
      <c r="VUQ118" s="181"/>
      <c r="VUR118" s="182"/>
      <c r="VUS118" s="181"/>
      <c r="VUT118" s="182"/>
      <c r="VUU118" s="181"/>
      <c r="VUV118" s="182"/>
      <c r="VUW118" s="181"/>
      <c r="VUX118" s="182"/>
      <c r="VUY118" s="181"/>
      <c r="VUZ118" s="182"/>
      <c r="VVA118" s="181"/>
      <c r="VVB118" s="182"/>
      <c r="VVC118" s="181"/>
      <c r="VVD118" s="182"/>
      <c r="VVE118" s="181"/>
      <c r="VVF118" s="182"/>
      <c r="VVG118" s="181"/>
      <c r="VVH118" s="182"/>
      <c r="VVI118" s="181"/>
      <c r="VVJ118" s="182"/>
      <c r="VVK118" s="181"/>
      <c r="VVL118" s="182"/>
      <c r="VVM118" s="181"/>
      <c r="VVN118" s="182"/>
      <c r="VVO118" s="181"/>
      <c r="VVP118" s="182"/>
      <c r="VVQ118" s="181"/>
      <c r="VVR118" s="182"/>
      <c r="VVS118" s="181"/>
      <c r="VVT118" s="182"/>
      <c r="VVU118" s="181"/>
      <c r="VVV118" s="182"/>
      <c r="VVW118" s="181"/>
      <c r="VVX118" s="182"/>
      <c r="VVY118" s="181"/>
      <c r="VVZ118" s="182"/>
      <c r="VWA118" s="181"/>
      <c r="VWB118" s="182"/>
      <c r="VWC118" s="181"/>
      <c r="VWD118" s="182"/>
      <c r="VWE118" s="181"/>
      <c r="VWF118" s="182"/>
      <c r="VWG118" s="181"/>
      <c r="VWH118" s="182"/>
      <c r="VWI118" s="181"/>
      <c r="VWJ118" s="182"/>
      <c r="VWK118" s="181"/>
      <c r="VWL118" s="182"/>
      <c r="VWM118" s="181"/>
      <c r="VWN118" s="182"/>
      <c r="VWO118" s="181"/>
      <c r="VWP118" s="182"/>
      <c r="VWQ118" s="181"/>
      <c r="VWR118" s="182"/>
      <c r="VWS118" s="181"/>
      <c r="VWT118" s="182"/>
      <c r="VWU118" s="181"/>
      <c r="VWV118" s="182"/>
      <c r="VWW118" s="181"/>
      <c r="VWX118" s="182"/>
      <c r="VWY118" s="181"/>
      <c r="VWZ118" s="182"/>
      <c r="VXA118" s="181"/>
      <c r="VXB118" s="182"/>
      <c r="VXC118" s="181"/>
      <c r="VXD118" s="182"/>
      <c r="VXE118" s="181"/>
      <c r="VXF118" s="182"/>
      <c r="VXG118" s="181"/>
      <c r="VXH118" s="182"/>
      <c r="VXI118" s="181"/>
      <c r="VXJ118" s="182"/>
      <c r="VXK118" s="181"/>
      <c r="VXL118" s="182"/>
      <c r="VXM118" s="181"/>
      <c r="VXN118" s="182"/>
      <c r="VXO118" s="181"/>
      <c r="VXP118" s="182"/>
      <c r="VXQ118" s="181"/>
      <c r="VXR118" s="182"/>
      <c r="VXS118" s="181"/>
      <c r="VXT118" s="182"/>
      <c r="VXU118" s="181"/>
      <c r="VXV118" s="182"/>
      <c r="VXW118" s="181"/>
      <c r="VXX118" s="182"/>
      <c r="VXY118" s="181"/>
      <c r="VXZ118" s="182"/>
      <c r="VYA118" s="181"/>
      <c r="VYB118" s="182"/>
      <c r="VYC118" s="181"/>
      <c r="VYD118" s="182"/>
      <c r="VYE118" s="181"/>
      <c r="VYF118" s="182"/>
      <c r="VYG118" s="181"/>
      <c r="VYH118" s="182"/>
      <c r="VYI118" s="181"/>
      <c r="VYJ118" s="182"/>
      <c r="VYK118" s="181"/>
      <c r="VYL118" s="182"/>
      <c r="VYM118" s="181"/>
      <c r="VYN118" s="182"/>
      <c r="VYO118" s="181"/>
      <c r="VYP118" s="182"/>
      <c r="VYQ118" s="181"/>
      <c r="VYR118" s="182"/>
      <c r="VYS118" s="181"/>
      <c r="VYT118" s="182"/>
      <c r="VYU118" s="181"/>
      <c r="VYV118" s="182"/>
      <c r="VYW118" s="181"/>
      <c r="VYX118" s="182"/>
      <c r="VYY118" s="181"/>
      <c r="VYZ118" s="182"/>
      <c r="VZA118" s="181"/>
      <c r="VZB118" s="182"/>
      <c r="VZC118" s="181"/>
      <c r="VZD118" s="182"/>
      <c r="VZE118" s="181"/>
      <c r="VZF118" s="182"/>
      <c r="VZG118" s="181"/>
      <c r="VZH118" s="182"/>
      <c r="VZI118" s="181"/>
      <c r="VZJ118" s="182"/>
      <c r="VZK118" s="181"/>
      <c r="VZL118" s="182"/>
      <c r="VZM118" s="181"/>
      <c r="VZN118" s="182"/>
      <c r="VZO118" s="181"/>
      <c r="VZP118" s="182"/>
      <c r="VZQ118" s="181"/>
      <c r="VZR118" s="182"/>
      <c r="VZS118" s="181"/>
      <c r="VZT118" s="182"/>
      <c r="VZU118" s="181"/>
      <c r="VZV118" s="182"/>
      <c r="VZW118" s="181"/>
      <c r="VZX118" s="182"/>
      <c r="VZY118" s="181"/>
      <c r="VZZ118" s="182"/>
      <c r="WAA118" s="181"/>
      <c r="WAB118" s="182"/>
      <c r="WAC118" s="181"/>
      <c r="WAD118" s="182"/>
      <c r="WAE118" s="181"/>
      <c r="WAF118" s="182"/>
      <c r="WAG118" s="181"/>
      <c r="WAH118" s="182"/>
      <c r="WAI118" s="181"/>
      <c r="WAJ118" s="182"/>
      <c r="WAK118" s="181"/>
      <c r="WAL118" s="182"/>
      <c r="WAM118" s="181"/>
      <c r="WAN118" s="182"/>
      <c r="WAO118" s="181"/>
      <c r="WAP118" s="182"/>
      <c r="WAQ118" s="181"/>
      <c r="WAR118" s="182"/>
      <c r="WAS118" s="181"/>
      <c r="WAT118" s="182"/>
      <c r="WAU118" s="181"/>
      <c r="WAV118" s="182"/>
      <c r="WAW118" s="181"/>
      <c r="WAX118" s="182"/>
      <c r="WAY118" s="181"/>
      <c r="WAZ118" s="182"/>
      <c r="WBA118" s="181"/>
      <c r="WBB118" s="182"/>
      <c r="WBC118" s="181"/>
      <c r="WBD118" s="182"/>
      <c r="WBE118" s="181"/>
      <c r="WBF118" s="182"/>
      <c r="WBG118" s="181"/>
      <c r="WBH118" s="182"/>
      <c r="WBI118" s="181"/>
      <c r="WBJ118" s="182"/>
      <c r="WBK118" s="181"/>
      <c r="WBL118" s="182"/>
      <c r="WBM118" s="181"/>
      <c r="WBN118" s="182"/>
      <c r="WBO118" s="181"/>
      <c r="WBP118" s="182"/>
      <c r="WBQ118" s="181"/>
      <c r="WBR118" s="182"/>
      <c r="WBS118" s="181"/>
      <c r="WBT118" s="182"/>
      <c r="WBU118" s="181"/>
      <c r="WBV118" s="182"/>
      <c r="WBW118" s="181"/>
      <c r="WBX118" s="182"/>
      <c r="WBY118" s="181"/>
      <c r="WBZ118" s="182"/>
      <c r="WCA118" s="181"/>
      <c r="WCB118" s="182"/>
      <c r="WCC118" s="181"/>
      <c r="WCD118" s="182"/>
      <c r="WCE118" s="181"/>
      <c r="WCF118" s="182"/>
      <c r="WCG118" s="181"/>
      <c r="WCH118" s="182"/>
      <c r="WCI118" s="181"/>
      <c r="WCJ118" s="182"/>
      <c r="WCK118" s="181"/>
      <c r="WCL118" s="182"/>
      <c r="WCM118" s="181"/>
      <c r="WCN118" s="182"/>
      <c r="WCO118" s="181"/>
      <c r="WCP118" s="182"/>
      <c r="WCQ118" s="181"/>
      <c r="WCR118" s="182"/>
      <c r="WCS118" s="181"/>
      <c r="WCT118" s="182"/>
      <c r="WCU118" s="181"/>
      <c r="WCV118" s="182"/>
      <c r="WCW118" s="181"/>
      <c r="WCX118" s="182"/>
      <c r="WCY118" s="181"/>
      <c r="WCZ118" s="182"/>
      <c r="WDA118" s="181"/>
      <c r="WDB118" s="182"/>
      <c r="WDC118" s="181"/>
      <c r="WDD118" s="182"/>
      <c r="WDE118" s="181"/>
      <c r="WDF118" s="182"/>
      <c r="WDG118" s="181"/>
      <c r="WDH118" s="182"/>
      <c r="WDI118" s="181"/>
      <c r="WDJ118" s="182"/>
      <c r="WDK118" s="181"/>
      <c r="WDL118" s="182"/>
      <c r="WDM118" s="181"/>
      <c r="WDN118" s="182"/>
      <c r="WDO118" s="181"/>
      <c r="WDP118" s="182"/>
      <c r="WDQ118" s="181"/>
      <c r="WDR118" s="182"/>
      <c r="WDS118" s="181"/>
      <c r="WDT118" s="182"/>
      <c r="WDU118" s="181"/>
      <c r="WDV118" s="182"/>
      <c r="WDW118" s="181"/>
      <c r="WDX118" s="182"/>
      <c r="WDY118" s="181"/>
      <c r="WDZ118" s="182"/>
      <c r="WEA118" s="181"/>
      <c r="WEB118" s="182"/>
      <c r="WEC118" s="181"/>
      <c r="WED118" s="182"/>
      <c r="WEE118" s="181"/>
      <c r="WEF118" s="182"/>
      <c r="WEG118" s="181"/>
      <c r="WEH118" s="182"/>
      <c r="WEI118" s="181"/>
      <c r="WEJ118" s="182"/>
      <c r="WEK118" s="181"/>
      <c r="WEL118" s="182"/>
      <c r="WEM118" s="181"/>
      <c r="WEN118" s="182"/>
      <c r="WEO118" s="181"/>
      <c r="WEP118" s="182"/>
      <c r="WEQ118" s="181"/>
      <c r="WER118" s="182"/>
      <c r="WES118" s="181"/>
      <c r="WET118" s="182"/>
      <c r="WEU118" s="181"/>
      <c r="WEV118" s="182"/>
      <c r="WEW118" s="181"/>
      <c r="WEX118" s="182"/>
      <c r="WEY118" s="181"/>
      <c r="WEZ118" s="182"/>
      <c r="WFA118" s="181"/>
      <c r="WFB118" s="182"/>
      <c r="WFC118" s="181"/>
      <c r="WFD118" s="182"/>
      <c r="WFE118" s="181"/>
      <c r="WFF118" s="182"/>
      <c r="WFG118" s="181"/>
      <c r="WFH118" s="182"/>
      <c r="WFI118" s="181"/>
      <c r="WFJ118" s="182"/>
      <c r="WFK118" s="181"/>
      <c r="WFL118" s="182"/>
      <c r="WFM118" s="181"/>
      <c r="WFN118" s="182"/>
      <c r="WFO118" s="181"/>
      <c r="WFP118" s="182"/>
      <c r="WFQ118" s="181"/>
      <c r="WFR118" s="182"/>
      <c r="WFS118" s="181"/>
      <c r="WFT118" s="182"/>
      <c r="WFU118" s="181"/>
      <c r="WFV118" s="182"/>
      <c r="WFW118" s="181"/>
      <c r="WFX118" s="182"/>
      <c r="WFY118" s="181"/>
      <c r="WFZ118" s="182"/>
      <c r="WGA118" s="181"/>
      <c r="WGB118" s="182"/>
      <c r="WGC118" s="181"/>
      <c r="WGD118" s="182"/>
      <c r="WGE118" s="181"/>
      <c r="WGF118" s="182"/>
      <c r="WGG118" s="181"/>
      <c r="WGH118" s="182"/>
      <c r="WGI118" s="181"/>
      <c r="WGJ118" s="182"/>
      <c r="WGK118" s="181"/>
      <c r="WGL118" s="182"/>
      <c r="WGM118" s="181"/>
      <c r="WGN118" s="182"/>
      <c r="WGO118" s="181"/>
      <c r="WGP118" s="182"/>
      <c r="WGQ118" s="181"/>
      <c r="WGR118" s="182"/>
      <c r="WGS118" s="181"/>
      <c r="WGT118" s="182"/>
      <c r="WGU118" s="181"/>
      <c r="WGV118" s="182"/>
      <c r="WGW118" s="181"/>
      <c r="WGX118" s="182"/>
      <c r="WGY118" s="181"/>
      <c r="WGZ118" s="182"/>
      <c r="WHA118" s="181"/>
      <c r="WHB118" s="182"/>
      <c r="WHC118" s="181"/>
      <c r="WHD118" s="182"/>
      <c r="WHE118" s="181"/>
      <c r="WHF118" s="182"/>
      <c r="WHG118" s="181"/>
      <c r="WHH118" s="182"/>
      <c r="WHI118" s="181"/>
      <c r="WHJ118" s="182"/>
      <c r="WHK118" s="181"/>
      <c r="WHL118" s="182"/>
      <c r="WHM118" s="181"/>
      <c r="WHN118" s="182"/>
      <c r="WHO118" s="181"/>
      <c r="WHP118" s="182"/>
      <c r="WHQ118" s="181"/>
      <c r="WHR118" s="182"/>
      <c r="WHS118" s="181"/>
      <c r="WHT118" s="182"/>
      <c r="WHU118" s="181"/>
      <c r="WHV118" s="182"/>
      <c r="WHW118" s="181"/>
      <c r="WHX118" s="182"/>
      <c r="WHY118" s="181"/>
      <c r="WHZ118" s="182"/>
      <c r="WIA118" s="181"/>
      <c r="WIB118" s="182"/>
      <c r="WIC118" s="181"/>
      <c r="WID118" s="182"/>
      <c r="WIE118" s="181"/>
      <c r="WIF118" s="182"/>
      <c r="WIG118" s="181"/>
      <c r="WIH118" s="182"/>
      <c r="WII118" s="181"/>
      <c r="WIJ118" s="182"/>
      <c r="WIK118" s="181"/>
      <c r="WIL118" s="182"/>
      <c r="WIM118" s="181"/>
      <c r="WIN118" s="182"/>
      <c r="WIO118" s="181"/>
      <c r="WIP118" s="182"/>
      <c r="WIQ118" s="181"/>
      <c r="WIR118" s="182"/>
      <c r="WIS118" s="181"/>
      <c r="WIT118" s="182"/>
      <c r="WIU118" s="181"/>
      <c r="WIV118" s="182"/>
      <c r="WIW118" s="181"/>
      <c r="WIX118" s="182"/>
      <c r="WIY118" s="181"/>
      <c r="WIZ118" s="182"/>
      <c r="WJA118" s="181"/>
      <c r="WJB118" s="182"/>
      <c r="WJC118" s="181"/>
      <c r="WJD118" s="182"/>
      <c r="WJE118" s="181"/>
      <c r="WJF118" s="182"/>
      <c r="WJG118" s="181"/>
      <c r="WJH118" s="182"/>
      <c r="WJI118" s="181"/>
      <c r="WJJ118" s="182"/>
      <c r="WJK118" s="181"/>
      <c r="WJL118" s="182"/>
      <c r="WJM118" s="181"/>
      <c r="WJN118" s="182"/>
      <c r="WJO118" s="181"/>
      <c r="WJP118" s="182"/>
      <c r="WJQ118" s="181"/>
      <c r="WJR118" s="182"/>
      <c r="WJS118" s="181"/>
      <c r="WJT118" s="182"/>
      <c r="WJU118" s="181"/>
      <c r="WJV118" s="182"/>
      <c r="WJW118" s="181"/>
      <c r="WJX118" s="182"/>
      <c r="WJY118" s="181"/>
      <c r="WJZ118" s="182"/>
      <c r="WKA118" s="181"/>
      <c r="WKB118" s="182"/>
      <c r="WKC118" s="181"/>
      <c r="WKD118" s="182"/>
      <c r="WKE118" s="181"/>
      <c r="WKF118" s="182"/>
      <c r="WKG118" s="181"/>
      <c r="WKH118" s="182"/>
      <c r="WKI118" s="181"/>
      <c r="WKJ118" s="182"/>
      <c r="WKK118" s="181"/>
      <c r="WKL118" s="182"/>
      <c r="WKM118" s="181"/>
      <c r="WKN118" s="182"/>
      <c r="WKO118" s="181"/>
      <c r="WKP118" s="182"/>
      <c r="WKQ118" s="181"/>
      <c r="WKR118" s="182"/>
      <c r="WKS118" s="181"/>
      <c r="WKT118" s="182"/>
      <c r="WKU118" s="181"/>
      <c r="WKV118" s="182"/>
      <c r="WKW118" s="181"/>
      <c r="WKX118" s="182"/>
      <c r="WKY118" s="181"/>
      <c r="WKZ118" s="182"/>
      <c r="WLA118" s="181"/>
      <c r="WLB118" s="182"/>
      <c r="WLC118" s="181"/>
      <c r="WLD118" s="182"/>
      <c r="WLE118" s="181"/>
      <c r="WLF118" s="182"/>
      <c r="WLG118" s="181"/>
      <c r="WLH118" s="182"/>
      <c r="WLI118" s="181"/>
      <c r="WLJ118" s="182"/>
      <c r="WLK118" s="181"/>
      <c r="WLL118" s="182"/>
      <c r="WLM118" s="181"/>
      <c r="WLN118" s="182"/>
      <c r="WLO118" s="181"/>
      <c r="WLP118" s="182"/>
      <c r="WLQ118" s="181"/>
      <c r="WLR118" s="182"/>
      <c r="WLS118" s="181"/>
      <c r="WLT118" s="182"/>
      <c r="WLU118" s="181"/>
      <c r="WLV118" s="182"/>
      <c r="WLW118" s="181"/>
      <c r="WLX118" s="182"/>
      <c r="WLY118" s="181"/>
      <c r="WLZ118" s="182"/>
      <c r="WMA118" s="181"/>
      <c r="WMB118" s="182"/>
      <c r="WMC118" s="181"/>
      <c r="WMD118" s="182"/>
      <c r="WME118" s="181"/>
      <c r="WMF118" s="182"/>
      <c r="WMG118" s="181"/>
      <c r="WMH118" s="182"/>
      <c r="WMI118" s="181"/>
      <c r="WMJ118" s="182"/>
      <c r="WMK118" s="181"/>
      <c r="WML118" s="182"/>
      <c r="WMM118" s="181"/>
      <c r="WMN118" s="182"/>
      <c r="WMO118" s="181"/>
      <c r="WMP118" s="182"/>
      <c r="WMQ118" s="181"/>
      <c r="WMR118" s="182"/>
      <c r="WMS118" s="181"/>
      <c r="WMT118" s="182"/>
      <c r="WMU118" s="181"/>
      <c r="WMV118" s="182"/>
      <c r="WMW118" s="181"/>
      <c r="WMX118" s="182"/>
      <c r="WMY118" s="181"/>
      <c r="WMZ118" s="182"/>
      <c r="WNA118" s="181"/>
      <c r="WNB118" s="182"/>
      <c r="WNC118" s="181"/>
      <c r="WND118" s="182"/>
      <c r="WNE118" s="181"/>
      <c r="WNF118" s="182"/>
      <c r="WNG118" s="181"/>
      <c r="WNH118" s="182"/>
      <c r="WNI118" s="181"/>
      <c r="WNJ118" s="182"/>
      <c r="WNK118" s="181"/>
      <c r="WNL118" s="182"/>
      <c r="WNM118" s="181"/>
      <c r="WNN118" s="182"/>
      <c r="WNO118" s="181"/>
      <c r="WNP118" s="182"/>
      <c r="WNQ118" s="181"/>
      <c r="WNR118" s="182"/>
      <c r="WNS118" s="181"/>
      <c r="WNT118" s="182"/>
      <c r="WNU118" s="181"/>
      <c r="WNV118" s="182"/>
      <c r="WNW118" s="181"/>
      <c r="WNX118" s="182"/>
      <c r="WNY118" s="181"/>
      <c r="WNZ118" s="182"/>
      <c r="WOA118" s="181"/>
      <c r="WOB118" s="182"/>
      <c r="WOC118" s="181"/>
      <c r="WOD118" s="182"/>
      <c r="WOE118" s="181"/>
      <c r="WOF118" s="182"/>
      <c r="WOG118" s="181"/>
      <c r="WOH118" s="182"/>
      <c r="WOI118" s="181"/>
      <c r="WOJ118" s="182"/>
      <c r="WOK118" s="181"/>
      <c r="WOL118" s="182"/>
      <c r="WOM118" s="181"/>
      <c r="WON118" s="182"/>
      <c r="WOO118" s="181"/>
      <c r="WOP118" s="182"/>
      <c r="WOQ118" s="181"/>
      <c r="WOR118" s="182"/>
      <c r="WOS118" s="181"/>
      <c r="WOT118" s="182"/>
      <c r="WOU118" s="181"/>
      <c r="WOV118" s="182"/>
      <c r="WOW118" s="181"/>
      <c r="WOX118" s="182"/>
      <c r="WOY118" s="181"/>
      <c r="WOZ118" s="182"/>
      <c r="WPA118" s="181"/>
      <c r="WPB118" s="182"/>
      <c r="WPC118" s="181"/>
      <c r="WPD118" s="182"/>
      <c r="WPE118" s="181"/>
      <c r="WPF118" s="182"/>
      <c r="WPG118" s="181"/>
      <c r="WPH118" s="182"/>
      <c r="WPI118" s="181"/>
      <c r="WPJ118" s="182"/>
      <c r="WPK118" s="181"/>
      <c r="WPL118" s="182"/>
      <c r="WPM118" s="181"/>
      <c r="WPN118" s="182"/>
      <c r="WPO118" s="181"/>
      <c r="WPP118" s="182"/>
      <c r="WPQ118" s="181"/>
      <c r="WPR118" s="182"/>
      <c r="WPS118" s="181"/>
      <c r="WPT118" s="182"/>
      <c r="WPU118" s="181"/>
      <c r="WPV118" s="182"/>
      <c r="WPW118" s="181"/>
      <c r="WPX118" s="182"/>
      <c r="WPY118" s="181"/>
      <c r="WPZ118" s="182"/>
      <c r="WQA118" s="181"/>
      <c r="WQB118" s="182"/>
      <c r="WQC118" s="181"/>
      <c r="WQD118" s="182"/>
      <c r="WQE118" s="181"/>
      <c r="WQF118" s="182"/>
      <c r="WQG118" s="181"/>
      <c r="WQH118" s="182"/>
      <c r="WQI118" s="181"/>
      <c r="WQJ118" s="182"/>
      <c r="WQK118" s="181"/>
      <c r="WQL118" s="182"/>
      <c r="WQM118" s="181"/>
      <c r="WQN118" s="182"/>
      <c r="WQO118" s="181"/>
      <c r="WQP118" s="182"/>
      <c r="WQQ118" s="181"/>
      <c r="WQR118" s="182"/>
      <c r="WQS118" s="181"/>
      <c r="WQT118" s="182"/>
      <c r="WQU118" s="181"/>
      <c r="WQV118" s="182"/>
      <c r="WQW118" s="181"/>
      <c r="WQX118" s="182"/>
      <c r="WQY118" s="181"/>
      <c r="WQZ118" s="182"/>
      <c r="WRA118" s="181"/>
      <c r="WRB118" s="182"/>
      <c r="WRC118" s="181"/>
      <c r="WRD118" s="182"/>
      <c r="WRE118" s="181"/>
      <c r="WRF118" s="182"/>
      <c r="WRG118" s="181"/>
      <c r="WRH118" s="182"/>
      <c r="WRI118" s="181"/>
      <c r="WRJ118" s="182"/>
      <c r="WRK118" s="181"/>
      <c r="WRL118" s="182"/>
      <c r="WRM118" s="181"/>
      <c r="WRN118" s="182"/>
      <c r="WRO118" s="181"/>
      <c r="WRP118" s="182"/>
      <c r="WRQ118" s="181"/>
      <c r="WRR118" s="182"/>
      <c r="WRS118" s="181"/>
      <c r="WRT118" s="182"/>
      <c r="WRU118" s="181"/>
      <c r="WRV118" s="182"/>
      <c r="WRW118" s="181"/>
      <c r="WRX118" s="182"/>
      <c r="WRY118" s="181"/>
      <c r="WRZ118" s="182"/>
      <c r="WSA118" s="181"/>
      <c r="WSB118" s="182"/>
      <c r="WSC118" s="181"/>
      <c r="WSD118" s="182"/>
      <c r="WSE118" s="181"/>
      <c r="WSF118" s="182"/>
      <c r="WSG118" s="181"/>
      <c r="WSH118" s="182"/>
      <c r="WSI118" s="181"/>
      <c r="WSJ118" s="182"/>
      <c r="WSK118" s="181"/>
      <c r="WSL118" s="182"/>
      <c r="WSM118" s="181"/>
      <c r="WSN118" s="182"/>
      <c r="WSO118" s="181"/>
      <c r="WSP118" s="182"/>
      <c r="WSQ118" s="181"/>
      <c r="WSR118" s="182"/>
      <c r="WSS118" s="181"/>
      <c r="WST118" s="182"/>
      <c r="WSU118" s="181"/>
      <c r="WSV118" s="182"/>
      <c r="WSW118" s="181"/>
      <c r="WSX118" s="182"/>
      <c r="WSY118" s="181"/>
      <c r="WSZ118" s="182"/>
      <c r="WTA118" s="181"/>
      <c r="WTB118" s="182"/>
      <c r="WTC118" s="181"/>
      <c r="WTD118" s="182"/>
      <c r="WTE118" s="181"/>
      <c r="WTF118" s="182"/>
      <c r="WTG118" s="181"/>
      <c r="WTH118" s="182"/>
      <c r="WTI118" s="181"/>
      <c r="WTJ118" s="182"/>
      <c r="WTK118" s="181"/>
      <c r="WTL118" s="182"/>
      <c r="WTM118" s="181"/>
      <c r="WTN118" s="182"/>
      <c r="WTO118" s="181"/>
      <c r="WTP118" s="182"/>
      <c r="WTQ118" s="181"/>
      <c r="WTR118" s="182"/>
      <c r="WTS118" s="181"/>
      <c r="WTT118" s="182"/>
      <c r="WTU118" s="181"/>
      <c r="WTV118" s="182"/>
      <c r="WTW118" s="181"/>
      <c r="WTX118" s="182"/>
      <c r="WTY118" s="181"/>
      <c r="WTZ118" s="182"/>
      <c r="WUA118" s="181"/>
      <c r="WUB118" s="182"/>
      <c r="WUC118" s="181"/>
      <c r="WUD118" s="182"/>
      <c r="WUE118" s="181"/>
      <c r="WUF118" s="182"/>
      <c r="WUG118" s="181"/>
      <c r="WUH118" s="182"/>
      <c r="WUI118" s="181"/>
      <c r="WUJ118" s="182"/>
      <c r="WUK118" s="181"/>
      <c r="WUL118" s="182"/>
      <c r="WUM118" s="181"/>
      <c r="WUN118" s="182"/>
      <c r="WUO118" s="181"/>
      <c r="WUP118" s="182"/>
      <c r="WUQ118" s="181"/>
      <c r="WUR118" s="182"/>
      <c r="WUS118" s="181"/>
      <c r="WUT118" s="182"/>
      <c r="WUU118" s="181"/>
      <c r="WUV118" s="182"/>
      <c r="WUW118" s="181"/>
      <c r="WUX118" s="182"/>
      <c r="WUY118" s="181"/>
      <c r="WUZ118" s="182"/>
      <c r="WVA118" s="181"/>
      <c r="WVB118" s="182"/>
      <c r="WVC118" s="181"/>
      <c r="WVD118" s="182"/>
      <c r="WVE118" s="181"/>
      <c r="WVF118" s="182"/>
      <c r="WVG118" s="181"/>
      <c r="WVH118" s="182"/>
      <c r="WVI118" s="181"/>
      <c r="WVJ118" s="182"/>
      <c r="WVK118" s="181"/>
      <c r="WVL118" s="182"/>
      <c r="WVM118" s="181"/>
      <c r="WVN118" s="182"/>
      <c r="WVO118" s="181"/>
      <c r="WVP118" s="182"/>
      <c r="WVQ118" s="181"/>
      <c r="WVR118" s="182"/>
      <c r="WVS118" s="181"/>
      <c r="WVT118" s="182"/>
      <c r="WVU118" s="181"/>
      <c r="WVV118" s="182"/>
      <c r="WVW118" s="181"/>
      <c r="WVX118" s="182"/>
      <c r="WVY118" s="181"/>
      <c r="WVZ118" s="182"/>
      <c r="WWA118" s="181"/>
      <c r="WWB118" s="182"/>
      <c r="WWC118" s="181"/>
      <c r="WWD118" s="182"/>
      <c r="WWE118" s="181"/>
      <c r="WWF118" s="182"/>
      <c r="WWG118" s="181"/>
      <c r="WWH118" s="182"/>
      <c r="WWI118" s="181"/>
      <c r="WWJ118" s="182"/>
      <c r="WWK118" s="181"/>
      <c r="WWL118" s="182"/>
      <c r="WWM118" s="181"/>
      <c r="WWN118" s="182"/>
      <c r="WWO118" s="181"/>
      <c r="WWP118" s="182"/>
      <c r="WWQ118" s="181"/>
      <c r="WWR118" s="182"/>
      <c r="WWS118" s="181"/>
      <c r="WWT118" s="182"/>
      <c r="WWU118" s="181"/>
      <c r="WWV118" s="182"/>
      <c r="WWW118" s="181"/>
      <c r="WWX118" s="182"/>
      <c r="WWY118" s="181"/>
      <c r="WWZ118" s="182"/>
      <c r="WXA118" s="181"/>
      <c r="WXB118" s="182"/>
      <c r="WXC118" s="181"/>
      <c r="WXD118" s="182"/>
      <c r="WXE118" s="181"/>
      <c r="WXF118" s="182"/>
      <c r="WXG118" s="181"/>
      <c r="WXH118" s="182"/>
      <c r="WXI118" s="181"/>
      <c r="WXJ118" s="182"/>
      <c r="WXK118" s="181"/>
      <c r="WXL118" s="182"/>
      <c r="WXM118" s="181"/>
      <c r="WXN118" s="182"/>
      <c r="WXO118" s="181"/>
      <c r="WXP118" s="182"/>
      <c r="WXQ118" s="181"/>
      <c r="WXR118" s="182"/>
      <c r="WXS118" s="181"/>
      <c r="WXT118" s="182"/>
      <c r="WXU118" s="181"/>
      <c r="WXV118" s="182"/>
      <c r="WXW118" s="181"/>
      <c r="WXX118" s="182"/>
      <c r="WXY118" s="181"/>
      <c r="WXZ118" s="182"/>
      <c r="WYA118" s="181"/>
      <c r="WYB118" s="182"/>
      <c r="WYC118" s="181"/>
      <c r="WYD118" s="182"/>
      <c r="WYE118" s="181"/>
      <c r="WYF118" s="182"/>
      <c r="WYG118" s="181"/>
      <c r="WYH118" s="182"/>
      <c r="WYI118" s="181"/>
      <c r="WYJ118" s="182"/>
      <c r="WYK118" s="181"/>
      <c r="WYL118" s="182"/>
      <c r="WYM118" s="181"/>
      <c r="WYN118" s="182"/>
      <c r="WYO118" s="181"/>
      <c r="WYP118" s="182"/>
      <c r="WYQ118" s="181"/>
      <c r="WYR118" s="182"/>
      <c r="WYS118" s="181"/>
      <c r="WYT118" s="182"/>
      <c r="WYU118" s="181"/>
      <c r="WYV118" s="182"/>
      <c r="WYW118" s="181"/>
      <c r="WYX118" s="182"/>
      <c r="WYY118" s="181"/>
      <c r="WYZ118" s="182"/>
      <c r="WZA118" s="181"/>
      <c r="WZB118" s="182"/>
      <c r="WZC118" s="181"/>
      <c r="WZD118" s="182"/>
      <c r="WZE118" s="181"/>
      <c r="WZF118" s="182"/>
      <c r="WZG118" s="181"/>
      <c r="WZH118" s="182"/>
      <c r="WZI118" s="181"/>
      <c r="WZJ118" s="182"/>
      <c r="WZK118" s="181"/>
      <c r="WZL118" s="182"/>
      <c r="WZM118" s="181"/>
      <c r="WZN118" s="182"/>
      <c r="WZO118" s="181"/>
      <c r="WZP118" s="182"/>
      <c r="WZQ118" s="181"/>
      <c r="WZR118" s="182"/>
      <c r="WZS118" s="181"/>
      <c r="WZT118" s="182"/>
      <c r="WZU118" s="181"/>
      <c r="WZV118" s="182"/>
      <c r="WZW118" s="181"/>
      <c r="WZX118" s="182"/>
      <c r="WZY118" s="181"/>
      <c r="WZZ118" s="182"/>
      <c r="XAA118" s="181"/>
      <c r="XAB118" s="182"/>
      <c r="XAC118" s="181"/>
      <c r="XAD118" s="182"/>
      <c r="XAE118" s="181"/>
      <c r="XAF118" s="182"/>
      <c r="XAG118" s="181"/>
      <c r="XAH118" s="182"/>
      <c r="XAI118" s="181"/>
      <c r="XAJ118" s="182"/>
      <c r="XAK118" s="181"/>
      <c r="XAL118" s="182"/>
      <c r="XAM118" s="181"/>
      <c r="XAN118" s="182"/>
      <c r="XAO118" s="181"/>
      <c r="XAP118" s="182"/>
      <c r="XAQ118" s="181"/>
      <c r="XAR118" s="182"/>
      <c r="XAS118" s="181"/>
      <c r="XAT118" s="182"/>
      <c r="XAU118" s="181"/>
      <c r="XAV118" s="182"/>
      <c r="XAW118" s="181"/>
      <c r="XAX118" s="182"/>
      <c r="XAY118" s="181"/>
      <c r="XAZ118" s="182"/>
      <c r="XBA118" s="181"/>
      <c r="XBB118" s="182"/>
      <c r="XBC118" s="181"/>
      <c r="XBD118" s="182"/>
      <c r="XBE118" s="181"/>
      <c r="XBF118" s="182"/>
      <c r="XBG118" s="181"/>
      <c r="XBH118" s="182"/>
      <c r="XBI118" s="181"/>
      <c r="XBJ118" s="182"/>
      <c r="XBK118" s="181"/>
      <c r="XBL118" s="182"/>
      <c r="XBM118" s="181"/>
      <c r="XBN118" s="182"/>
      <c r="XBO118" s="181"/>
      <c r="XBP118" s="182"/>
      <c r="XBQ118" s="181"/>
      <c r="XBR118" s="182"/>
      <c r="XBS118" s="181"/>
      <c r="XBT118" s="182"/>
      <c r="XBU118" s="181"/>
      <c r="XBV118" s="182"/>
      <c r="XBW118" s="181"/>
      <c r="XBX118" s="182"/>
      <c r="XBY118" s="181"/>
      <c r="XBZ118" s="182"/>
      <c r="XCA118" s="181"/>
      <c r="XCB118" s="182"/>
      <c r="XCC118" s="181"/>
      <c r="XCD118" s="182"/>
      <c r="XCE118" s="181"/>
      <c r="XCF118" s="182"/>
      <c r="XCG118" s="181"/>
      <c r="XCH118" s="182"/>
      <c r="XCI118" s="181"/>
      <c r="XCJ118" s="182"/>
      <c r="XCK118" s="181"/>
      <c r="XCL118" s="182"/>
      <c r="XCM118" s="181"/>
      <c r="XCN118" s="182"/>
      <c r="XCO118" s="181"/>
      <c r="XCP118" s="182"/>
      <c r="XCQ118" s="181"/>
      <c r="XCR118" s="182"/>
      <c r="XCS118" s="181"/>
      <c r="XCT118" s="182"/>
      <c r="XCU118" s="181"/>
      <c r="XCV118" s="182"/>
      <c r="XCW118" s="181"/>
      <c r="XCX118" s="182"/>
      <c r="XCY118" s="181"/>
      <c r="XCZ118" s="182"/>
      <c r="XDA118" s="181"/>
      <c r="XDB118" s="182"/>
      <c r="XDC118" s="181"/>
      <c r="XDD118" s="182"/>
      <c r="XDE118" s="181"/>
      <c r="XDF118" s="182"/>
      <c r="XDG118" s="181"/>
      <c r="XDH118" s="182"/>
      <c r="XDI118" s="181"/>
      <c r="XDJ118" s="182"/>
      <c r="XDK118" s="181"/>
      <c r="XDL118" s="182"/>
      <c r="XDM118" s="181"/>
      <c r="XDN118" s="182"/>
      <c r="XDO118" s="181"/>
      <c r="XDP118" s="182"/>
      <c r="XDQ118" s="181"/>
      <c r="XDR118" s="182"/>
      <c r="XDS118" s="181"/>
      <c r="XDT118" s="182"/>
      <c r="XDU118" s="181"/>
      <c r="XDV118" s="182"/>
      <c r="XDW118" s="181"/>
      <c r="XDX118" s="182"/>
      <c r="XDY118" s="181"/>
      <c r="XDZ118" s="182"/>
      <c r="XEA118" s="181"/>
      <c r="XEB118" s="182"/>
      <c r="XEC118" s="181"/>
      <c r="XED118" s="182"/>
      <c r="XEE118" s="181"/>
      <c r="XEF118" s="182"/>
      <c r="XEG118" s="181"/>
      <c r="XEH118" s="182"/>
      <c r="XEI118" s="181"/>
      <c r="XEJ118" s="182"/>
      <c r="XEK118" s="181"/>
      <c r="XEL118" s="182"/>
      <c r="XEM118" s="181"/>
      <c r="XEN118" s="182"/>
      <c r="XEO118" s="181"/>
      <c r="XEP118" s="182"/>
      <c r="XEQ118" s="181"/>
      <c r="XER118" s="182"/>
      <c r="XES118" s="181"/>
      <c r="XET118" s="182"/>
      <c r="XEU118" s="181"/>
      <c r="XEV118" s="182"/>
      <c r="XEW118" s="181"/>
      <c r="XEX118" s="182"/>
      <c r="XEY118" s="181"/>
      <c r="XEZ118" s="182"/>
      <c r="XFA118" s="181"/>
      <c r="XFB118" s="182"/>
      <c r="XFC118" s="181"/>
      <c r="XFD118" s="182"/>
    </row>
    <row r="119" spans="1:16384" s="99" customFormat="1" ht="95.1" customHeight="1">
      <c r="A119" s="102"/>
      <c r="B119" s="102"/>
      <c r="C119" s="103"/>
      <c r="D119" s="102"/>
      <c r="E119" s="103"/>
      <c r="F119" s="102"/>
      <c r="G119" s="103"/>
      <c r="H119" s="103"/>
      <c r="I119" s="104"/>
      <c r="J119" s="104"/>
      <c r="K119" s="103"/>
      <c r="L119" s="103"/>
      <c r="M119" s="103"/>
      <c r="N119" s="103"/>
      <c r="O119" s="103"/>
      <c r="P119" s="103"/>
      <c r="Q119" s="103"/>
      <c r="R119" s="103"/>
      <c r="S119" s="103"/>
      <c r="T119" s="103"/>
      <c r="U119" s="103"/>
      <c r="V119" s="103"/>
      <c r="W119" s="103"/>
      <c r="X119" s="103"/>
      <c r="Y119" s="103"/>
      <c r="Z119" s="103"/>
      <c r="AA119" s="105"/>
      <c r="AB119" s="102"/>
    </row>
    <row r="120" spans="1:16384" s="99" customFormat="1" ht="95.1" customHeight="1">
      <c r="A120" s="102"/>
      <c r="B120" s="102"/>
      <c r="C120" s="103"/>
      <c r="D120" s="102"/>
      <c r="E120" s="103"/>
      <c r="F120" s="102"/>
      <c r="G120" s="103"/>
      <c r="H120" s="103"/>
      <c r="I120" s="104"/>
      <c r="J120" s="104"/>
      <c r="K120" s="103"/>
      <c r="L120" s="103"/>
      <c r="M120" s="103"/>
      <c r="N120" s="103"/>
      <c r="O120" s="103"/>
      <c r="P120" s="103"/>
      <c r="Q120" s="103"/>
      <c r="R120" s="103"/>
      <c r="S120" s="103"/>
      <c r="T120" s="103"/>
      <c r="U120" s="103"/>
      <c r="V120" s="103"/>
      <c r="W120" s="103"/>
      <c r="X120" s="103"/>
      <c r="Y120" s="103"/>
      <c r="Z120" s="103"/>
      <c r="AA120" s="105"/>
      <c r="AB120" s="102"/>
    </row>
    <row r="121" spans="1:16384" s="99" customFormat="1" ht="95.1" customHeight="1">
      <c r="A121" s="102"/>
      <c r="B121" s="102"/>
      <c r="C121" s="103"/>
      <c r="D121" s="102"/>
      <c r="E121" s="103"/>
      <c r="F121" s="102"/>
      <c r="G121" s="103"/>
      <c r="H121" s="103"/>
      <c r="I121" s="104"/>
      <c r="J121" s="104"/>
      <c r="K121" s="103"/>
      <c r="L121" s="103"/>
      <c r="M121" s="103"/>
      <c r="N121" s="103"/>
      <c r="O121" s="103"/>
      <c r="P121" s="103"/>
      <c r="Q121" s="103"/>
      <c r="R121" s="103"/>
      <c r="S121" s="103"/>
      <c r="T121" s="103"/>
      <c r="U121" s="103"/>
      <c r="V121" s="103"/>
      <c r="W121" s="103"/>
      <c r="X121" s="103"/>
      <c r="Y121" s="103"/>
      <c r="Z121" s="103"/>
      <c r="AA121" s="105"/>
      <c r="AB121" s="102"/>
    </row>
    <row r="122" spans="1:16384" s="99" customFormat="1" ht="95.1" customHeight="1">
      <c r="A122" s="102"/>
      <c r="B122" s="102"/>
      <c r="C122" s="103"/>
      <c r="D122" s="102"/>
      <c r="E122" s="103"/>
      <c r="F122" s="102"/>
      <c r="G122" s="103"/>
      <c r="H122" s="103"/>
      <c r="I122" s="104"/>
      <c r="J122" s="104"/>
      <c r="K122" s="103"/>
      <c r="L122" s="103"/>
      <c r="M122" s="103"/>
      <c r="N122" s="103"/>
      <c r="O122" s="103"/>
      <c r="P122" s="103"/>
      <c r="Q122" s="103"/>
      <c r="R122" s="103"/>
      <c r="S122" s="103"/>
      <c r="T122" s="103"/>
      <c r="U122" s="103"/>
      <c r="V122" s="103"/>
      <c r="W122" s="103"/>
      <c r="X122" s="103"/>
      <c r="Y122" s="103"/>
      <c r="Z122" s="103"/>
      <c r="AA122" s="105"/>
      <c r="AB122" s="102"/>
    </row>
    <row r="123" spans="1:16384" s="99" customFormat="1" ht="95.1" customHeight="1">
      <c r="A123" s="102"/>
      <c r="B123" s="102"/>
      <c r="C123" s="103"/>
      <c r="D123" s="102"/>
      <c r="E123" s="103"/>
      <c r="F123" s="102"/>
      <c r="G123" s="103"/>
      <c r="H123" s="103"/>
      <c r="I123" s="104"/>
      <c r="J123" s="104"/>
      <c r="K123" s="103"/>
      <c r="L123" s="103"/>
      <c r="M123" s="103"/>
      <c r="N123" s="103"/>
      <c r="O123" s="103"/>
      <c r="P123" s="103"/>
      <c r="Q123" s="103"/>
      <c r="R123" s="103"/>
      <c r="S123" s="103"/>
      <c r="T123" s="103"/>
      <c r="U123" s="103"/>
      <c r="V123" s="103"/>
      <c r="W123" s="103"/>
      <c r="X123" s="103"/>
      <c r="Y123" s="103"/>
      <c r="Z123" s="103"/>
      <c r="AA123" s="105"/>
      <c r="AB123" s="102"/>
    </row>
    <row r="124" spans="1:16384" s="99" customFormat="1" ht="95.1" customHeight="1">
      <c r="A124" s="102"/>
      <c r="B124" s="102"/>
      <c r="C124" s="103"/>
      <c r="D124" s="102"/>
      <c r="E124" s="103"/>
      <c r="F124" s="102"/>
      <c r="G124" s="103"/>
      <c r="H124" s="103"/>
      <c r="I124" s="104"/>
      <c r="J124" s="104"/>
      <c r="K124" s="103"/>
      <c r="L124" s="103"/>
      <c r="M124" s="103"/>
      <c r="N124" s="103"/>
      <c r="O124" s="103"/>
      <c r="P124" s="103"/>
      <c r="Q124" s="103"/>
      <c r="R124" s="103"/>
      <c r="S124" s="103"/>
      <c r="T124" s="103"/>
      <c r="U124" s="103"/>
      <c r="V124" s="103"/>
      <c r="W124" s="103"/>
      <c r="X124" s="103"/>
      <c r="Y124" s="103"/>
      <c r="Z124" s="103"/>
      <c r="AA124" s="105"/>
      <c r="AB124" s="102"/>
    </row>
    <row r="125" spans="1:16384" s="99" customFormat="1" ht="95.1" customHeight="1">
      <c r="A125" s="102"/>
      <c r="B125" s="102"/>
      <c r="C125" s="103"/>
      <c r="D125" s="102"/>
      <c r="E125" s="103"/>
      <c r="F125" s="102"/>
      <c r="G125" s="103"/>
      <c r="H125" s="103"/>
      <c r="I125" s="104"/>
      <c r="J125" s="104"/>
      <c r="K125" s="103"/>
      <c r="L125" s="103"/>
      <c r="M125" s="103"/>
      <c r="N125" s="103"/>
      <c r="O125" s="103"/>
      <c r="P125" s="103"/>
      <c r="Q125" s="103"/>
      <c r="R125" s="103"/>
      <c r="S125" s="103"/>
      <c r="T125" s="103"/>
      <c r="U125" s="103"/>
      <c r="V125" s="103"/>
      <c r="W125" s="103"/>
      <c r="X125" s="103"/>
      <c r="Y125" s="103"/>
      <c r="Z125" s="103"/>
      <c r="AA125" s="105"/>
      <c r="AB125" s="102"/>
    </row>
    <row r="126" spans="1:16384" s="99" customFormat="1" ht="95.1" customHeight="1">
      <c r="A126" s="102"/>
      <c r="B126" s="102"/>
      <c r="C126" s="103"/>
      <c r="D126" s="102"/>
      <c r="E126" s="103"/>
      <c r="F126" s="102"/>
      <c r="G126" s="103"/>
      <c r="H126" s="103"/>
      <c r="I126" s="104"/>
      <c r="J126" s="104"/>
      <c r="K126" s="103"/>
      <c r="L126" s="103"/>
      <c r="M126" s="103"/>
      <c r="N126" s="103"/>
      <c r="O126" s="103"/>
      <c r="P126" s="103"/>
      <c r="Q126" s="103"/>
      <c r="R126" s="103"/>
      <c r="S126" s="103"/>
      <c r="T126" s="103"/>
      <c r="U126" s="103"/>
      <c r="V126" s="103"/>
      <c r="W126" s="103"/>
      <c r="X126" s="103"/>
      <c r="Y126" s="103"/>
      <c r="Z126" s="103"/>
      <c r="AA126" s="105"/>
      <c r="AB126" s="102"/>
    </row>
    <row r="127" spans="1:16384" s="99" customFormat="1" ht="95.1" customHeight="1">
      <c r="A127" s="102"/>
      <c r="B127" s="102"/>
      <c r="C127" s="103"/>
      <c r="D127" s="102"/>
      <c r="E127" s="103"/>
      <c r="F127" s="102"/>
      <c r="G127" s="103"/>
      <c r="H127" s="103"/>
      <c r="I127" s="104"/>
      <c r="J127" s="104"/>
      <c r="K127" s="103"/>
      <c r="L127" s="103"/>
      <c r="M127" s="103"/>
      <c r="N127" s="103"/>
      <c r="O127" s="103"/>
      <c r="P127" s="103"/>
      <c r="Q127" s="103"/>
      <c r="R127" s="103"/>
      <c r="S127" s="103"/>
      <c r="T127" s="103"/>
      <c r="U127" s="103"/>
      <c r="V127" s="103"/>
      <c r="W127" s="103"/>
      <c r="X127" s="103"/>
      <c r="Y127" s="103"/>
      <c r="Z127" s="103"/>
      <c r="AA127" s="105"/>
      <c r="AB127" s="102"/>
    </row>
    <row r="128" spans="1:16384" s="99" customFormat="1" ht="95.1" customHeight="1">
      <c r="A128" s="102"/>
      <c r="B128" s="102"/>
      <c r="C128" s="103"/>
      <c r="D128" s="102"/>
      <c r="E128" s="103"/>
      <c r="F128" s="102"/>
      <c r="G128" s="103"/>
      <c r="H128" s="103"/>
      <c r="I128" s="104"/>
      <c r="J128" s="104"/>
      <c r="K128" s="103"/>
      <c r="L128" s="103"/>
      <c r="M128" s="103"/>
      <c r="N128" s="103"/>
      <c r="O128" s="103"/>
      <c r="P128" s="103"/>
      <c r="Q128" s="103"/>
      <c r="R128" s="103"/>
      <c r="S128" s="103"/>
      <c r="T128" s="103"/>
      <c r="U128" s="103"/>
      <c r="V128" s="103"/>
      <c r="W128" s="103"/>
      <c r="X128" s="103"/>
      <c r="Y128" s="103"/>
      <c r="Z128" s="103"/>
      <c r="AA128" s="105"/>
      <c r="AB128" s="102"/>
    </row>
    <row r="129" spans="1:28" s="99" customFormat="1" ht="95.1" customHeight="1">
      <c r="A129" s="102"/>
      <c r="B129" s="102"/>
      <c r="C129" s="103"/>
      <c r="D129" s="102"/>
      <c r="E129" s="103"/>
      <c r="F129" s="102"/>
      <c r="G129" s="103"/>
      <c r="H129" s="103"/>
      <c r="I129" s="104"/>
      <c r="J129" s="104"/>
      <c r="K129" s="103"/>
      <c r="L129" s="103"/>
      <c r="M129" s="103"/>
      <c r="N129" s="103"/>
      <c r="O129" s="103"/>
      <c r="P129" s="103"/>
      <c r="Q129" s="103"/>
      <c r="R129" s="103"/>
      <c r="S129" s="103"/>
      <c r="T129" s="103"/>
      <c r="U129" s="103"/>
      <c r="V129" s="103"/>
      <c r="W129" s="103"/>
      <c r="X129" s="103"/>
      <c r="Y129" s="103"/>
      <c r="Z129" s="103"/>
      <c r="AA129" s="105"/>
      <c r="AB129" s="102"/>
    </row>
    <row r="130" spans="1:28" s="99" customFormat="1" ht="95.1" customHeight="1">
      <c r="A130" s="102"/>
      <c r="B130" s="102"/>
      <c r="C130" s="103"/>
      <c r="D130" s="102"/>
      <c r="E130" s="103"/>
      <c r="F130" s="102"/>
      <c r="G130" s="103"/>
      <c r="H130" s="103"/>
      <c r="I130" s="104"/>
      <c r="J130" s="104"/>
      <c r="K130" s="103"/>
      <c r="L130" s="103"/>
      <c r="M130" s="103"/>
      <c r="N130" s="103"/>
      <c r="O130" s="103"/>
      <c r="P130" s="103"/>
      <c r="Q130" s="103"/>
      <c r="R130" s="103"/>
      <c r="S130" s="103"/>
      <c r="T130" s="103"/>
      <c r="U130" s="103"/>
      <c r="V130" s="103"/>
      <c r="W130" s="103"/>
      <c r="X130" s="103"/>
      <c r="Y130" s="103"/>
      <c r="Z130" s="103"/>
      <c r="AA130" s="105"/>
      <c r="AB130" s="102"/>
    </row>
    <row r="131" spans="1:28" s="99" customFormat="1" ht="95.1" customHeight="1">
      <c r="A131" s="102"/>
      <c r="B131" s="102"/>
      <c r="C131" s="103"/>
      <c r="D131" s="102"/>
      <c r="E131" s="103"/>
      <c r="F131" s="102"/>
      <c r="G131" s="103"/>
      <c r="H131" s="103"/>
      <c r="I131" s="104"/>
      <c r="J131" s="104"/>
      <c r="K131" s="103"/>
      <c r="L131" s="103"/>
      <c r="M131" s="103"/>
      <c r="N131" s="103"/>
      <c r="O131" s="103"/>
      <c r="P131" s="103"/>
      <c r="Q131" s="103"/>
      <c r="R131" s="103"/>
      <c r="S131" s="103"/>
      <c r="T131" s="103"/>
      <c r="U131" s="103"/>
      <c r="V131" s="103"/>
      <c r="W131" s="103"/>
      <c r="X131" s="103"/>
      <c r="Y131" s="103"/>
      <c r="Z131" s="103"/>
      <c r="AA131" s="105"/>
      <c r="AB131" s="102"/>
    </row>
    <row r="132" spans="1:28" s="99" customFormat="1" ht="95.1" customHeight="1">
      <c r="A132" s="102"/>
      <c r="B132" s="102"/>
      <c r="C132" s="103"/>
      <c r="D132" s="102"/>
      <c r="E132" s="103"/>
      <c r="F132" s="102"/>
      <c r="G132" s="103"/>
      <c r="H132" s="103"/>
      <c r="I132" s="104"/>
      <c r="J132" s="104"/>
      <c r="K132" s="103"/>
      <c r="L132" s="103"/>
      <c r="M132" s="103"/>
      <c r="N132" s="103"/>
      <c r="O132" s="103"/>
      <c r="P132" s="103"/>
      <c r="Q132" s="103"/>
      <c r="R132" s="103"/>
      <c r="S132" s="103"/>
      <c r="T132" s="103"/>
      <c r="U132" s="103"/>
      <c r="V132" s="103"/>
      <c r="W132" s="103"/>
      <c r="X132" s="103"/>
      <c r="Y132" s="103"/>
      <c r="Z132" s="103"/>
      <c r="AA132" s="105"/>
      <c r="AB132" s="102"/>
    </row>
    <row r="133" spans="1:28" s="94" customFormat="1" ht="27" customHeight="1">
      <c r="A133" s="102"/>
      <c r="B133" s="102"/>
      <c r="C133" s="103"/>
      <c r="D133" s="102"/>
      <c r="E133" s="103"/>
      <c r="F133" s="102"/>
      <c r="G133" s="103"/>
      <c r="H133" s="103"/>
      <c r="I133" s="104"/>
      <c r="J133" s="104"/>
      <c r="K133" s="103"/>
      <c r="L133" s="103"/>
      <c r="M133" s="103"/>
      <c r="N133" s="103"/>
      <c r="O133" s="103"/>
      <c r="P133" s="103"/>
      <c r="Q133" s="103"/>
      <c r="R133" s="103"/>
      <c r="S133" s="103"/>
      <c r="T133" s="103"/>
      <c r="U133" s="103"/>
      <c r="V133" s="103"/>
      <c r="W133" s="103"/>
      <c r="X133" s="103"/>
      <c r="Y133" s="103"/>
      <c r="Z133" s="103"/>
      <c r="AA133" s="105"/>
      <c r="AB133" s="102"/>
    </row>
  </sheetData>
  <mergeCells count="35">
    <mergeCell ref="A1:AB1"/>
    <mergeCell ref="A2:AB2"/>
    <mergeCell ref="A3:AB3"/>
    <mergeCell ref="C5:H5"/>
    <mergeCell ref="J5:M5"/>
    <mergeCell ref="N5:T5"/>
    <mergeCell ref="U5:AA5"/>
    <mergeCell ref="C7:H7"/>
    <mergeCell ref="J7:M7"/>
    <mergeCell ref="N7:T7"/>
    <mergeCell ref="U7:AA7"/>
    <mergeCell ref="C9:H9"/>
    <mergeCell ref="J9:M9"/>
    <mergeCell ref="N9:T9"/>
    <mergeCell ref="U9:AA9"/>
    <mergeCell ref="A11:M11"/>
    <mergeCell ref="A12:M12"/>
    <mergeCell ref="A13:M13"/>
    <mergeCell ref="A14:M14"/>
    <mergeCell ref="A15:M15"/>
    <mergeCell ref="A54:Z54"/>
    <mergeCell ref="A17:A18"/>
    <mergeCell ref="B17:B18"/>
    <mergeCell ref="C17:C18"/>
    <mergeCell ref="D17:D18"/>
    <mergeCell ref="E17:E18"/>
    <mergeCell ref="F17:F18"/>
    <mergeCell ref="G17:G18"/>
    <mergeCell ref="T17:T18"/>
    <mergeCell ref="AA17:AA18"/>
    <mergeCell ref="AB17:AB18"/>
    <mergeCell ref="H17:S17"/>
    <mergeCell ref="U17:V17"/>
    <mergeCell ref="W17:X17"/>
    <mergeCell ref="Y17:Z17"/>
  </mergeCells>
  <conditionalFormatting sqref="B19:B34">
    <cfRule type="duplicateValues" dxfId="4" priority="57"/>
  </conditionalFormatting>
  <conditionalFormatting sqref="B35:B53">
    <cfRule type="duplicateValues" dxfId="3" priority="58"/>
  </conditionalFormatting>
  <conditionalFormatting sqref="H19:L30 N19:S53 H31:H32 J31:L32 H33:L53">
    <cfRule type="expression" dxfId="2" priority="3">
      <formula>$F19&gt;=$E19</formula>
    </cfRule>
  </conditionalFormatting>
  <conditionalFormatting sqref="I32">
    <cfRule type="expression" dxfId="1" priority="56">
      <formula>$F31&gt;=$E31</formula>
    </cfRule>
  </conditionalFormatting>
  <conditionalFormatting sqref="N80">
    <cfRule type="expression" dxfId="0" priority="4">
      <formula>$F19&gt;=$E19</formula>
    </cfRule>
  </conditionalFormatting>
  <pageMargins left="0.70866141732283505" right="0.70866141732283505" top="0.74803149606299202" bottom="0.74803149606299202" header="0.31496062992126" footer="0.31496062992126"/>
  <pageSetup scale="32"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24"/>
  <sheetViews>
    <sheetView topLeftCell="A21" zoomScale="60" zoomScaleNormal="60" workbookViewId="0">
      <selection activeCell="E20" sqref="E20"/>
    </sheetView>
  </sheetViews>
  <sheetFormatPr defaultColWidth="9.140625" defaultRowHeight="15"/>
  <cols>
    <col min="1" max="1" width="5.140625" style="67" customWidth="1"/>
    <col min="2" max="2" width="22.28515625" style="67" bestFit="1" customWidth="1"/>
    <col min="3" max="3" width="32" style="68" bestFit="1" customWidth="1"/>
    <col min="4" max="4" width="28.7109375" style="67" bestFit="1" customWidth="1"/>
    <col min="5" max="5" width="88.7109375" style="67" bestFit="1" customWidth="1"/>
    <col min="6" max="6" width="16.85546875" style="69" customWidth="1"/>
    <col min="7" max="8" width="32" style="70" bestFit="1" customWidth="1"/>
    <col min="9" max="9" width="23.140625" style="67" customWidth="1"/>
    <col min="10" max="10" width="40.42578125" style="67" bestFit="1" customWidth="1"/>
    <col min="11" max="11" width="17.140625" style="67" customWidth="1"/>
    <col min="12" max="12" width="22.140625" style="67" customWidth="1"/>
    <col min="13" max="13" width="13" style="67" customWidth="1"/>
    <col min="14" max="14" width="15.85546875" style="67" customWidth="1"/>
    <col min="15" max="15" width="13" style="67" customWidth="1"/>
    <col min="16" max="16" width="24.140625" style="67" customWidth="1"/>
    <col min="17" max="16384" width="9.140625" style="67"/>
  </cols>
  <sheetData>
    <row r="1" spans="1:17" s="62" customFormat="1" ht="114" customHeight="1">
      <c r="A1" s="747" t="s">
        <v>65</v>
      </c>
      <c r="B1" s="747"/>
      <c r="C1" s="747"/>
      <c r="D1" s="747"/>
      <c r="E1" s="747"/>
      <c r="F1" s="747"/>
      <c r="G1" s="747"/>
      <c r="H1" s="747"/>
      <c r="I1" s="747"/>
      <c r="J1" s="747"/>
      <c r="K1" s="747"/>
      <c r="L1" s="747"/>
      <c r="M1" s="747"/>
      <c r="N1" s="747"/>
      <c r="O1" s="747"/>
      <c r="P1" s="747"/>
      <c r="Q1" s="91"/>
    </row>
    <row r="2" spans="1:17" s="62" customFormat="1" ht="36.75" customHeight="1">
      <c r="A2" s="747" t="s">
        <v>429</v>
      </c>
      <c r="B2" s="747"/>
      <c r="C2" s="747"/>
      <c r="D2" s="747"/>
      <c r="E2" s="747"/>
      <c r="F2" s="747"/>
      <c r="G2" s="747"/>
      <c r="H2" s="747"/>
      <c r="I2" s="747"/>
      <c r="J2" s="747"/>
      <c r="K2" s="747"/>
      <c r="L2" s="747"/>
      <c r="M2" s="747"/>
      <c r="N2" s="747"/>
      <c r="O2" s="747"/>
      <c r="P2" s="747"/>
      <c r="Q2" s="92"/>
    </row>
    <row r="3" spans="1:17" s="62" customFormat="1" ht="36.75" customHeight="1">
      <c r="A3" s="749" t="s">
        <v>430</v>
      </c>
      <c r="B3" s="749"/>
      <c r="C3" s="749"/>
      <c r="D3" s="749"/>
      <c r="E3" s="749"/>
      <c r="F3" s="749"/>
      <c r="G3" s="749"/>
      <c r="H3" s="749"/>
      <c r="I3" s="749"/>
      <c r="J3" s="749"/>
      <c r="K3" s="749"/>
      <c r="L3" s="749"/>
      <c r="M3" s="749"/>
      <c r="N3" s="749"/>
      <c r="O3" s="749"/>
      <c r="P3" s="749"/>
      <c r="Q3" s="91"/>
    </row>
    <row r="4" spans="1:17" s="63" customFormat="1" ht="17.25" customHeight="1">
      <c r="A4" s="72"/>
      <c r="B4" s="73"/>
      <c r="C4" s="73"/>
      <c r="D4" s="73"/>
      <c r="E4" s="73"/>
      <c r="F4" s="83"/>
      <c r="G4" s="73"/>
      <c r="H4" s="73"/>
      <c r="I4" s="73"/>
      <c r="J4" s="73"/>
      <c r="K4" s="73"/>
      <c r="L4" s="73"/>
      <c r="M4" s="73"/>
      <c r="N4" s="73"/>
      <c r="O4" s="73"/>
      <c r="P4" s="73"/>
    </row>
    <row r="5" spans="1:17" s="63" customFormat="1" ht="33" customHeight="1">
      <c r="A5" s="74"/>
      <c r="B5" s="75" t="s">
        <v>67</v>
      </c>
      <c r="C5" s="832" t="s">
        <v>101</v>
      </c>
      <c r="D5" s="832"/>
      <c r="E5" s="832"/>
      <c r="F5" s="83"/>
      <c r="G5" s="73"/>
      <c r="H5" s="73"/>
      <c r="I5" s="841" t="s">
        <v>71</v>
      </c>
      <c r="J5" s="842"/>
      <c r="K5" s="843">
        <v>46113</v>
      </c>
      <c r="L5" s="844"/>
      <c r="M5" s="844"/>
      <c r="N5" s="845"/>
      <c r="O5" s="73"/>
      <c r="P5" s="73"/>
    </row>
    <row r="6" spans="1:17" s="63" customFormat="1" ht="9" customHeight="1">
      <c r="A6" s="74"/>
      <c r="B6" s="75"/>
      <c r="C6" s="76"/>
      <c r="D6" s="77"/>
      <c r="E6" s="77"/>
      <c r="F6" s="83"/>
      <c r="G6" s="73"/>
      <c r="H6" s="73"/>
      <c r="I6" s="75"/>
      <c r="J6" s="75"/>
      <c r="K6" s="74"/>
      <c r="L6" s="74"/>
      <c r="M6" s="74"/>
      <c r="N6" s="73"/>
      <c r="O6" s="73"/>
      <c r="P6" s="73"/>
    </row>
    <row r="7" spans="1:17" s="63" customFormat="1" ht="39.75" customHeight="1">
      <c r="A7" s="74"/>
      <c r="B7" s="75" t="s">
        <v>228</v>
      </c>
      <c r="C7" s="832" t="s">
        <v>105</v>
      </c>
      <c r="D7" s="832"/>
      <c r="E7" s="832"/>
      <c r="F7" s="84"/>
      <c r="G7" s="84"/>
      <c r="H7" s="84"/>
      <c r="I7" s="833" t="s">
        <v>431</v>
      </c>
      <c r="J7" s="834"/>
      <c r="K7" s="835">
        <f>BEMSdar!E11</f>
        <v>1329813.1567500001</v>
      </c>
      <c r="L7" s="836"/>
      <c r="M7" s="836"/>
      <c r="N7" s="837"/>
      <c r="O7" s="73"/>
      <c r="P7" s="73"/>
    </row>
    <row r="8" spans="1:17" s="63" customFormat="1" ht="9" customHeight="1">
      <c r="A8" s="74"/>
      <c r="B8" s="75"/>
      <c r="C8" s="76"/>
      <c r="D8" s="77"/>
      <c r="E8" s="77"/>
      <c r="F8" s="85"/>
      <c r="G8" s="86"/>
      <c r="H8" s="86"/>
      <c r="I8" s="75"/>
      <c r="J8" s="75"/>
      <c r="K8" s="74"/>
      <c r="L8" s="74"/>
      <c r="M8" s="74"/>
      <c r="N8" s="73"/>
      <c r="O8" s="73"/>
      <c r="P8" s="73"/>
    </row>
    <row r="9" spans="1:17" s="63" customFormat="1" ht="40.5" customHeight="1">
      <c r="A9" s="74"/>
      <c r="B9" s="75" t="s">
        <v>229</v>
      </c>
      <c r="C9" s="832" t="s">
        <v>108</v>
      </c>
      <c r="D9" s="832"/>
      <c r="E9" s="832"/>
      <c r="F9" s="84"/>
      <c r="G9" s="84"/>
      <c r="H9" s="84"/>
      <c r="I9" s="833" t="s">
        <v>77</v>
      </c>
      <c r="J9" s="834"/>
      <c r="K9" s="838">
        <f>BEMSdar!E13</f>
        <v>34097.773249999998</v>
      </c>
      <c r="L9" s="839"/>
      <c r="M9" s="839"/>
      <c r="N9" s="840"/>
      <c r="O9" s="73"/>
      <c r="P9" s="73"/>
    </row>
    <row r="10" spans="1:17" s="64" customFormat="1" ht="12.75" customHeight="1">
      <c r="A10" s="78"/>
      <c r="B10" s="78"/>
      <c r="C10" s="79"/>
      <c r="D10" s="80"/>
      <c r="E10" s="87"/>
      <c r="F10" s="83"/>
      <c r="G10" s="73"/>
      <c r="H10" s="73"/>
      <c r="I10" s="88"/>
      <c r="J10" s="78"/>
      <c r="K10" s="89"/>
      <c r="L10" s="90"/>
      <c r="M10" s="78"/>
      <c r="N10" s="73"/>
      <c r="O10" s="73"/>
      <c r="P10" s="73"/>
    </row>
    <row r="11" spans="1:17" s="63" customFormat="1" ht="15.75">
      <c r="A11" s="74" t="s">
        <v>112</v>
      </c>
      <c r="B11" s="74"/>
      <c r="C11" s="81"/>
      <c r="D11" s="74"/>
      <c r="E11" s="74"/>
      <c r="F11" s="83"/>
      <c r="G11" s="73"/>
      <c r="H11" s="73"/>
      <c r="I11" s="74"/>
      <c r="J11" s="74"/>
      <c r="K11" s="74"/>
      <c r="L11" s="74"/>
      <c r="M11" s="74"/>
      <c r="N11" s="73"/>
      <c r="O11" s="73"/>
      <c r="P11" s="73"/>
    </row>
    <row r="12" spans="1:17" s="63" customFormat="1" ht="15.75">
      <c r="A12" s="74" t="s">
        <v>113</v>
      </c>
      <c r="B12" s="74"/>
      <c r="C12" s="81"/>
      <c r="D12" s="74"/>
      <c r="E12" s="74"/>
      <c r="F12" s="85"/>
      <c r="G12" s="86"/>
      <c r="H12" s="86"/>
      <c r="I12" s="74"/>
      <c r="J12" s="74"/>
      <c r="K12" s="74"/>
      <c r="L12" s="74"/>
      <c r="M12" s="74"/>
      <c r="N12" s="73"/>
      <c r="O12" s="73"/>
      <c r="P12" s="73"/>
    </row>
    <row r="13" spans="1:17" s="63" customFormat="1" ht="15.75">
      <c r="A13" s="74" t="s">
        <v>432</v>
      </c>
      <c r="B13" s="74"/>
      <c r="C13" s="81"/>
      <c r="D13" s="74"/>
      <c r="E13" s="74"/>
      <c r="F13" s="85"/>
      <c r="G13" s="86"/>
      <c r="H13" s="86"/>
      <c r="I13" s="74"/>
      <c r="J13" s="74"/>
      <c r="K13" s="74"/>
      <c r="L13" s="74"/>
      <c r="M13" s="74"/>
      <c r="N13" s="73"/>
      <c r="O13" s="73"/>
      <c r="P13" s="73"/>
    </row>
    <row r="14" spans="1:17" s="63" customFormat="1">
      <c r="A14" s="74" t="s">
        <v>433</v>
      </c>
      <c r="B14" s="74"/>
      <c r="C14" s="81"/>
      <c r="D14" s="74"/>
      <c r="E14" s="74"/>
      <c r="F14" s="85"/>
      <c r="G14" s="86"/>
      <c r="H14" s="86"/>
      <c r="I14" s="74"/>
      <c r="J14" s="74"/>
      <c r="K14" s="74"/>
      <c r="L14" s="74"/>
      <c r="M14" s="74"/>
      <c r="N14" s="74"/>
      <c r="O14" s="74"/>
      <c r="P14" s="74"/>
    </row>
    <row r="15" spans="1:17" s="63" customFormat="1">
      <c r="A15" s="74" t="s">
        <v>434</v>
      </c>
      <c r="B15" s="74"/>
      <c r="C15" s="81"/>
      <c r="D15" s="74"/>
      <c r="E15" s="74"/>
      <c r="F15" s="85"/>
      <c r="G15" s="86"/>
      <c r="H15" s="86"/>
      <c r="I15" s="74"/>
      <c r="J15" s="74"/>
      <c r="K15" s="74"/>
      <c r="L15" s="74"/>
      <c r="M15" s="74"/>
      <c r="N15" s="74"/>
      <c r="O15" s="74"/>
      <c r="P15" s="74"/>
    </row>
    <row r="16" spans="1:17" s="63" customFormat="1">
      <c r="A16" s="74" t="s">
        <v>435</v>
      </c>
      <c r="B16" s="74"/>
      <c r="C16" s="81"/>
      <c r="D16" s="74"/>
      <c r="E16" s="74"/>
      <c r="F16" s="85"/>
      <c r="G16" s="86"/>
      <c r="H16" s="86"/>
      <c r="I16" s="74"/>
      <c r="J16" s="74"/>
      <c r="K16" s="74"/>
      <c r="L16" s="74"/>
      <c r="M16" s="74"/>
      <c r="N16" s="74"/>
      <c r="O16" s="74"/>
      <c r="P16" s="74"/>
    </row>
    <row r="17" spans="1:16" s="63" customFormat="1" ht="10.5" customHeight="1">
      <c r="A17" s="74"/>
      <c r="B17" s="74"/>
      <c r="C17" s="81"/>
      <c r="D17" s="74"/>
      <c r="E17" s="74"/>
      <c r="F17" s="85"/>
      <c r="G17" s="86"/>
      <c r="H17" s="86"/>
      <c r="I17" s="74"/>
      <c r="J17" s="74"/>
      <c r="K17" s="74"/>
      <c r="L17" s="74"/>
      <c r="M17" s="74"/>
      <c r="N17" s="74"/>
      <c r="O17" s="74"/>
      <c r="P17" s="74"/>
    </row>
    <row r="18" spans="1:16" s="65" customFormat="1" ht="101.25">
      <c r="A18" s="555" t="s">
        <v>78</v>
      </c>
      <c r="B18" s="556" t="s">
        <v>436</v>
      </c>
      <c r="C18" s="557" t="s">
        <v>437</v>
      </c>
      <c r="D18" s="558" t="s">
        <v>438</v>
      </c>
      <c r="E18" s="558" t="s">
        <v>439</v>
      </c>
      <c r="F18" s="556" t="s">
        <v>122</v>
      </c>
      <c r="G18" s="559" t="s">
        <v>440</v>
      </c>
      <c r="H18" s="559" t="s">
        <v>441</v>
      </c>
      <c r="I18" s="556" t="s">
        <v>442</v>
      </c>
      <c r="J18" s="556" t="s">
        <v>119</v>
      </c>
      <c r="K18" s="559" t="s">
        <v>443</v>
      </c>
      <c r="L18" s="556" t="s">
        <v>120</v>
      </c>
      <c r="M18" s="560" t="s">
        <v>375</v>
      </c>
      <c r="N18" s="556" t="s">
        <v>444</v>
      </c>
      <c r="O18" s="556" t="s">
        <v>133</v>
      </c>
      <c r="P18" s="556" t="s">
        <v>379</v>
      </c>
    </row>
    <row r="19" spans="1:16" s="65" customFormat="1" ht="27" customHeight="1">
      <c r="A19" s="826" t="s">
        <v>445</v>
      </c>
      <c r="B19" s="827"/>
      <c r="C19" s="827"/>
      <c r="D19" s="827"/>
      <c r="E19" s="827"/>
      <c r="F19" s="827"/>
      <c r="G19" s="827"/>
      <c r="H19" s="827"/>
      <c r="I19" s="827"/>
      <c r="J19" s="827"/>
      <c r="K19" s="827"/>
      <c r="L19" s="827"/>
      <c r="M19" s="827"/>
      <c r="N19" s="827"/>
      <c r="O19" s="827"/>
      <c r="P19" s="828"/>
    </row>
    <row r="20" spans="1:16" s="66" customFormat="1" ht="87.95" customHeight="1">
      <c r="A20" s="561">
        <v>1</v>
      </c>
      <c r="B20" s="562" t="s">
        <v>446</v>
      </c>
      <c r="C20" s="635">
        <v>46113.630555555559</v>
      </c>
      <c r="D20" s="636" t="s">
        <v>1018</v>
      </c>
      <c r="E20" s="637" t="s">
        <v>1022</v>
      </c>
      <c r="F20" s="636" t="s">
        <v>733</v>
      </c>
      <c r="G20" s="638">
        <v>46113.632638888892</v>
      </c>
      <c r="H20" s="638">
        <v>46113.708333333336</v>
      </c>
      <c r="I20" s="636" t="s">
        <v>1812</v>
      </c>
      <c r="J20" s="620" t="s">
        <v>1031</v>
      </c>
      <c r="K20" s="620" t="s">
        <v>1036</v>
      </c>
      <c r="L20" s="639">
        <v>12400</v>
      </c>
      <c r="M20" s="623" t="s">
        <v>223</v>
      </c>
      <c r="N20" s="623" t="s">
        <v>139</v>
      </c>
      <c r="O20" s="623" t="s">
        <v>223</v>
      </c>
      <c r="P20" s="640" t="s">
        <v>1892</v>
      </c>
    </row>
    <row r="21" spans="1:16" s="66" customFormat="1" ht="87.95" customHeight="1">
      <c r="A21" s="561">
        <v>2</v>
      </c>
      <c r="B21" s="562" t="s">
        <v>446</v>
      </c>
      <c r="C21" s="619">
        <v>46119</v>
      </c>
      <c r="D21" s="620" t="s">
        <v>1019</v>
      </c>
      <c r="E21" s="621" t="s">
        <v>1023</v>
      </c>
      <c r="F21" s="620" t="s">
        <v>1024</v>
      </c>
      <c r="G21" s="638">
        <v>46114.632638888892</v>
      </c>
      <c r="H21" s="638">
        <v>46114.708333333336</v>
      </c>
      <c r="I21" s="620" t="s">
        <v>1029</v>
      </c>
      <c r="J21" s="620" t="s">
        <v>1032</v>
      </c>
      <c r="K21" s="620" t="s">
        <v>1875</v>
      </c>
      <c r="L21" s="622">
        <v>12000</v>
      </c>
      <c r="M21" s="623" t="s">
        <v>223</v>
      </c>
      <c r="N21" s="623" t="s">
        <v>139</v>
      </c>
      <c r="O21" s="623" t="s">
        <v>223</v>
      </c>
      <c r="P21" s="624" t="s">
        <v>1037</v>
      </c>
    </row>
    <row r="22" spans="1:16" s="66" customFormat="1" ht="87.95" customHeight="1">
      <c r="A22" s="561">
        <v>3</v>
      </c>
      <c r="B22" s="562" t="s">
        <v>446</v>
      </c>
      <c r="C22" s="567">
        <v>46119</v>
      </c>
      <c r="D22" s="564" t="s">
        <v>1020</v>
      </c>
      <c r="E22" s="566" t="s">
        <v>1035</v>
      </c>
      <c r="F22" s="564" t="s">
        <v>1025</v>
      </c>
      <c r="G22" s="564" t="s">
        <v>784</v>
      </c>
      <c r="H22" s="564" t="s">
        <v>1027</v>
      </c>
      <c r="I22" s="564" t="s">
        <v>1028</v>
      </c>
      <c r="J22" s="564" t="s">
        <v>1030</v>
      </c>
      <c r="K22" s="564" t="s">
        <v>1875</v>
      </c>
      <c r="L22" s="565">
        <v>12000</v>
      </c>
      <c r="M22" s="563" t="s">
        <v>223</v>
      </c>
      <c r="N22" s="563" t="s">
        <v>139</v>
      </c>
      <c r="O22" s="563" t="s">
        <v>223</v>
      </c>
      <c r="P22" s="570" t="s">
        <v>1037</v>
      </c>
    </row>
    <row r="23" spans="1:16" s="66" customFormat="1" ht="87.95" customHeight="1">
      <c r="A23" s="561">
        <v>4</v>
      </c>
      <c r="B23" s="562" t="s">
        <v>446</v>
      </c>
      <c r="C23" s="619">
        <v>46126</v>
      </c>
      <c r="D23" s="620" t="s">
        <v>1021</v>
      </c>
      <c r="E23" s="621" t="s">
        <v>1813</v>
      </c>
      <c r="F23" s="620" t="s">
        <v>743</v>
      </c>
      <c r="G23" s="620" t="s">
        <v>1033</v>
      </c>
      <c r="H23" s="620" t="s">
        <v>1034</v>
      </c>
      <c r="I23" s="620"/>
      <c r="J23" s="620" t="s">
        <v>1031</v>
      </c>
      <c r="K23" s="620" t="s">
        <v>1036</v>
      </c>
      <c r="L23" s="622">
        <v>9000</v>
      </c>
      <c r="M23" s="623" t="s">
        <v>223</v>
      </c>
      <c r="N23" s="623" t="s">
        <v>139</v>
      </c>
      <c r="O23" s="623" t="s">
        <v>223</v>
      </c>
      <c r="P23" s="624" t="s">
        <v>1037</v>
      </c>
    </row>
    <row r="24" spans="1:16" ht="54" customHeight="1">
      <c r="A24" s="829" t="s">
        <v>447</v>
      </c>
      <c r="B24" s="830"/>
      <c r="C24" s="830"/>
      <c r="D24" s="830"/>
      <c r="E24" s="830"/>
      <c r="F24" s="830"/>
      <c r="G24" s="830"/>
      <c r="H24" s="830"/>
      <c r="I24" s="830"/>
      <c r="J24" s="830"/>
      <c r="K24" s="830"/>
      <c r="L24" s="830"/>
      <c r="M24" s="830"/>
      <c r="N24" s="831"/>
      <c r="O24" s="82">
        <f>SUM(O20:O20)</f>
        <v>0</v>
      </c>
      <c r="P24" s="519" t="s">
        <v>223</v>
      </c>
    </row>
  </sheetData>
  <mergeCells count="14">
    <mergeCell ref="A1:P1"/>
    <mergeCell ref="A2:P2"/>
    <mergeCell ref="A3:P3"/>
    <mergeCell ref="C5:E5"/>
    <mergeCell ref="I5:J5"/>
    <mergeCell ref="K5:N5"/>
    <mergeCell ref="A19:P19"/>
    <mergeCell ref="A24:N24"/>
    <mergeCell ref="C7:E7"/>
    <mergeCell ref="I7:J7"/>
    <mergeCell ref="K7:N7"/>
    <mergeCell ref="C9:E9"/>
    <mergeCell ref="I9:J9"/>
    <mergeCell ref="K9:N9"/>
  </mergeCells>
  <phoneticPr fontId="119" type="noConversion"/>
  <pageMargins left="0.43307086614173201" right="0.2" top="0.31" bottom="0.17" header="0.31496062992126" footer="0.5"/>
  <pageSetup paperSize="9" scale="33" fitToHeight="0" orientation="landscape"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11"/>
  <sheetViews>
    <sheetView showGridLines="0" zoomScale="70" zoomScaleNormal="70" workbookViewId="0">
      <selection activeCell="M4" sqref="M4"/>
    </sheetView>
  </sheetViews>
  <sheetFormatPr defaultColWidth="9.140625" defaultRowHeight="14.25"/>
  <cols>
    <col min="1" max="1" width="15.5703125" style="498" customWidth="1"/>
    <col min="2" max="2" width="21.140625" style="498" customWidth="1"/>
    <col min="3" max="3" width="23" style="498" customWidth="1"/>
    <col min="4" max="4" width="3" style="498" customWidth="1"/>
    <col min="5" max="5" width="15.85546875" style="498" customWidth="1"/>
    <col min="6" max="6" width="17.140625" style="498" customWidth="1"/>
    <col min="7" max="7" width="17.5703125" style="498" customWidth="1"/>
    <col min="8" max="8" width="13" style="498" customWidth="1"/>
    <col min="9" max="9" width="12.5703125" style="498" customWidth="1"/>
    <col min="10" max="10" width="15.85546875" style="498" customWidth="1"/>
    <col min="11" max="14" width="20" style="498" customWidth="1"/>
    <col min="15" max="16384" width="9.140625" style="498"/>
  </cols>
  <sheetData>
    <row r="1" spans="1:15" s="497" customFormat="1" ht="31.5" customHeight="1">
      <c r="A1" s="712" t="s">
        <v>0</v>
      </c>
      <c r="B1" s="683" t="s">
        <v>1</v>
      </c>
      <c r="C1" s="684"/>
      <c r="D1" s="685"/>
      <c r="E1" s="677" t="s">
        <v>2</v>
      </c>
      <c r="F1" s="677" t="s">
        <v>3</v>
      </c>
      <c r="G1" s="677"/>
      <c r="H1" s="683" t="s">
        <v>4</v>
      </c>
      <c r="I1" s="685"/>
      <c r="J1" s="677" t="s">
        <v>5</v>
      </c>
    </row>
    <row r="2" spans="1:15" s="497" customFormat="1" ht="26.25" customHeight="1">
      <c r="A2" s="713"/>
      <c r="B2" s="686"/>
      <c r="C2" s="687"/>
      <c r="D2" s="688"/>
      <c r="E2" s="678"/>
      <c r="F2" s="501" t="s">
        <v>6</v>
      </c>
      <c r="G2" s="501" t="s">
        <v>7</v>
      </c>
      <c r="H2" s="689"/>
      <c r="I2" s="690"/>
      <c r="J2" s="678"/>
    </row>
    <row r="3" spans="1:15" ht="142.5">
      <c r="A3" s="499" t="s">
        <v>8</v>
      </c>
      <c r="B3" s="720" t="s">
        <v>9</v>
      </c>
      <c r="C3" s="721"/>
      <c r="D3" s="722"/>
      <c r="E3" s="502" t="s">
        <v>10</v>
      </c>
      <c r="F3" s="502" t="s">
        <v>11</v>
      </c>
      <c r="G3" s="502" t="s">
        <v>12</v>
      </c>
      <c r="H3" s="708" t="s">
        <v>13</v>
      </c>
      <c r="I3" s="709"/>
      <c r="J3" s="502">
        <v>1</v>
      </c>
    </row>
    <row r="4" spans="1:15" ht="142.5">
      <c r="A4" s="500" t="s">
        <v>14</v>
      </c>
      <c r="B4" s="720" t="s">
        <v>15</v>
      </c>
      <c r="C4" s="721"/>
      <c r="D4" s="722"/>
      <c r="E4" s="502" t="s">
        <v>16</v>
      </c>
      <c r="F4" s="503" t="s">
        <v>11</v>
      </c>
      <c r="G4" s="503" t="s">
        <v>12</v>
      </c>
      <c r="H4" s="710" t="s">
        <v>13</v>
      </c>
      <c r="I4" s="711"/>
      <c r="J4" s="502" t="s">
        <v>17</v>
      </c>
    </row>
    <row r="5" spans="1:15" ht="142.5">
      <c r="A5" s="714" t="s">
        <v>18</v>
      </c>
      <c r="B5" s="691" t="s">
        <v>19</v>
      </c>
      <c r="C5" s="692"/>
      <c r="D5" s="693"/>
      <c r="E5" s="679" t="s">
        <v>10</v>
      </c>
      <c r="F5" s="505" t="s">
        <v>20</v>
      </c>
      <c r="G5" s="505" t="s">
        <v>21</v>
      </c>
      <c r="H5" s="679" t="s">
        <v>13</v>
      </c>
      <c r="I5" s="679"/>
      <c r="J5" s="679">
        <v>1</v>
      </c>
    </row>
    <row r="6" spans="1:15" ht="35.25" customHeight="1">
      <c r="A6" s="715"/>
      <c r="B6" s="694"/>
      <c r="C6" s="695"/>
      <c r="D6" s="696"/>
      <c r="E6" s="680"/>
      <c r="F6" s="680" t="s">
        <v>22</v>
      </c>
      <c r="G6" s="680"/>
      <c r="H6" s="680"/>
      <c r="I6" s="680"/>
      <c r="J6" s="680"/>
    </row>
    <row r="7" spans="1:15" ht="58.5">
      <c r="A7" s="716" t="s">
        <v>23</v>
      </c>
      <c r="B7" s="697" t="s">
        <v>24</v>
      </c>
      <c r="C7" s="698"/>
      <c r="D7" s="699"/>
      <c r="E7" s="681" t="s">
        <v>10</v>
      </c>
      <c r="F7" s="506"/>
      <c r="G7" s="507"/>
      <c r="H7" s="508" t="s">
        <v>25</v>
      </c>
      <c r="I7" s="511" t="s">
        <v>26</v>
      </c>
      <c r="J7" s="681">
        <v>2</v>
      </c>
    </row>
    <row r="8" spans="1:15" ht="144.75" customHeight="1">
      <c r="A8" s="717"/>
      <c r="B8" s="694"/>
      <c r="C8" s="695"/>
      <c r="D8" s="696"/>
      <c r="E8" s="681"/>
      <c r="F8" s="504" t="s">
        <v>20</v>
      </c>
      <c r="G8" s="509" t="s">
        <v>21</v>
      </c>
      <c r="H8" s="503" t="s">
        <v>13</v>
      </c>
      <c r="I8" s="503" t="s">
        <v>27</v>
      </c>
      <c r="J8" s="681"/>
      <c r="K8" s="512"/>
      <c r="L8" s="512"/>
      <c r="M8" s="512"/>
      <c r="N8" s="512"/>
      <c r="O8" s="513"/>
    </row>
    <row r="9" spans="1:15" ht="55.5" customHeight="1">
      <c r="A9" s="718"/>
      <c r="B9" s="700"/>
      <c r="C9" s="701"/>
      <c r="D9" s="702"/>
      <c r="E9" s="681"/>
      <c r="F9" s="703" t="s">
        <v>28</v>
      </c>
      <c r="G9" s="704"/>
      <c r="H9" s="704"/>
      <c r="I9" s="705"/>
      <c r="J9" s="681"/>
    </row>
    <row r="10" spans="1:15" ht="142.5">
      <c r="A10" s="719" t="s">
        <v>29</v>
      </c>
      <c r="B10" s="697" t="s">
        <v>30</v>
      </c>
      <c r="C10" s="698"/>
      <c r="D10" s="699"/>
      <c r="E10" s="680" t="s">
        <v>10</v>
      </c>
      <c r="F10" s="506" t="s">
        <v>20</v>
      </c>
      <c r="G10" s="510" t="s">
        <v>21</v>
      </c>
      <c r="H10" s="706" t="s">
        <v>13</v>
      </c>
      <c r="I10" s="707"/>
      <c r="J10" s="680">
        <v>1</v>
      </c>
    </row>
    <row r="11" spans="1:15" ht="36.75" customHeight="1">
      <c r="A11" s="719"/>
      <c r="B11" s="700"/>
      <c r="C11" s="701"/>
      <c r="D11" s="702"/>
      <c r="E11" s="682"/>
      <c r="F11" s="681" t="s">
        <v>22</v>
      </c>
      <c r="G11" s="681"/>
      <c r="H11" s="681"/>
      <c r="I11" s="681"/>
      <c r="J11" s="682"/>
    </row>
  </sheetData>
  <mergeCells count="27">
    <mergeCell ref="H4:I4"/>
    <mergeCell ref="A1:A2"/>
    <mergeCell ref="A5:A6"/>
    <mergeCell ref="A7:A9"/>
    <mergeCell ref="A10:A11"/>
    <mergeCell ref="E1:E2"/>
    <mergeCell ref="E5:E6"/>
    <mergeCell ref="E7:E9"/>
    <mergeCell ref="E10:E11"/>
    <mergeCell ref="B3:D3"/>
    <mergeCell ref="B4:D4"/>
    <mergeCell ref="J1:J2"/>
    <mergeCell ref="J5:J6"/>
    <mergeCell ref="J7:J9"/>
    <mergeCell ref="J10:J11"/>
    <mergeCell ref="B1:D2"/>
    <mergeCell ref="H1:I2"/>
    <mergeCell ref="B5:D6"/>
    <mergeCell ref="B7:D9"/>
    <mergeCell ref="B10:D11"/>
    <mergeCell ref="H5:I5"/>
    <mergeCell ref="F6:I6"/>
    <mergeCell ref="F9:I9"/>
    <mergeCell ref="H10:I10"/>
    <mergeCell ref="F11:I11"/>
    <mergeCell ref="F1:G1"/>
    <mergeCell ref="H3:I3"/>
  </mergeCells>
  <pageMargins left="0.61" right="0.38" top="0.85" bottom="0.28000000000000003" header="0.71" footer="0.23"/>
  <pageSetup paperSize="9" scale="55" orientation="portrait"/>
  <drawing r:id="rId1"/>
  <legacyDrawing r:id="rId2"/>
  <oleObjects>
    <mc:AlternateContent xmlns:mc="http://schemas.openxmlformats.org/markup-compatibility/2006">
      <mc:Choice Requires="x14">
        <oleObject progId="PBrush" shapeId="1025" r:id="rId3">
          <objectPr defaultSize="0" altText="" r:id="rId4">
            <anchor moveWithCells="1" sizeWithCells="1">
              <from>
                <xdr:col>0</xdr:col>
                <xdr:colOff>28575</xdr:colOff>
                <xdr:row>0</xdr:row>
                <xdr:rowOff>0</xdr:rowOff>
              </from>
              <to>
                <xdr:col>1</xdr:col>
                <xdr:colOff>876300</xdr:colOff>
                <xdr:row>0</xdr:row>
                <xdr:rowOff>0</xdr:rowOff>
              </to>
            </anchor>
          </objectPr>
        </oleObject>
      </mc:Choice>
      <mc:Fallback>
        <oleObject progId="PBrush" shapeId="1025" r:id="rId3"/>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49"/>
  <sheetViews>
    <sheetView topLeftCell="A40" workbookViewId="0">
      <selection activeCell="B22" sqref="B22"/>
    </sheetView>
  </sheetViews>
  <sheetFormatPr defaultColWidth="9.5703125" defaultRowHeight="12.75"/>
  <cols>
    <col min="1" max="1" width="17.5703125" style="492" customWidth="1"/>
    <col min="2" max="2" width="8.85546875" style="493" customWidth="1"/>
    <col min="3" max="3" width="51" style="493" customWidth="1"/>
    <col min="4" max="4" width="33.140625" style="493" customWidth="1"/>
    <col min="5" max="16384" width="9.5703125" style="493"/>
  </cols>
  <sheetData>
    <row r="1" spans="1:4">
      <c r="A1" s="492" t="s">
        <v>31</v>
      </c>
    </row>
    <row r="2" spans="1:4">
      <c r="A2" s="494" t="s">
        <v>32</v>
      </c>
      <c r="B2" s="495" t="s">
        <v>33</v>
      </c>
      <c r="C2" s="495" t="s">
        <v>34</v>
      </c>
      <c r="D2" s="495" t="s">
        <v>35</v>
      </c>
    </row>
    <row r="3" spans="1:4">
      <c r="A3" s="494"/>
      <c r="B3" s="495"/>
      <c r="C3" s="495"/>
      <c r="D3" s="495"/>
    </row>
    <row r="4" spans="1:4">
      <c r="A4" s="494">
        <v>46023</v>
      </c>
      <c r="B4" s="495" t="s">
        <v>36</v>
      </c>
      <c r="C4" s="495" t="s">
        <v>37</v>
      </c>
      <c r="D4" s="495" t="s">
        <v>38</v>
      </c>
    </row>
    <row r="5" spans="1:4">
      <c r="A5" s="494"/>
      <c r="B5" s="495"/>
      <c r="C5" s="495"/>
      <c r="D5" s="495"/>
    </row>
    <row r="6" spans="1:4">
      <c r="A6" s="494">
        <v>46070</v>
      </c>
      <c r="B6" s="495" t="s">
        <v>39</v>
      </c>
      <c r="C6" s="495" t="s">
        <v>40</v>
      </c>
      <c r="D6" s="495" t="s">
        <v>38</v>
      </c>
    </row>
    <row r="7" spans="1:4">
      <c r="A7" s="494"/>
      <c r="B7" s="495"/>
      <c r="C7" s="495"/>
      <c r="D7" s="495"/>
    </row>
    <row r="8" spans="1:4">
      <c r="A8" s="494">
        <v>46071</v>
      </c>
      <c r="B8" s="495" t="s">
        <v>41</v>
      </c>
      <c r="C8" s="495" t="s">
        <v>42</v>
      </c>
      <c r="D8" s="495" t="s">
        <v>38</v>
      </c>
    </row>
    <row r="9" spans="1:4">
      <c r="A9" s="494"/>
      <c r="B9" s="495"/>
      <c r="C9" s="495"/>
      <c r="D9" s="495"/>
    </row>
    <row r="10" spans="1:4">
      <c r="A10" s="494">
        <v>46055</v>
      </c>
      <c r="B10" s="495" t="s">
        <v>43</v>
      </c>
      <c r="C10" s="495" t="s">
        <v>44</v>
      </c>
      <c r="D10" s="495" t="s">
        <v>38</v>
      </c>
    </row>
    <row r="11" spans="1:4">
      <c r="A11" s="494"/>
      <c r="B11" s="495"/>
      <c r="C11" s="495"/>
      <c r="D11" s="495"/>
    </row>
    <row r="12" spans="1:4">
      <c r="A12" s="494">
        <v>46055</v>
      </c>
      <c r="B12" s="495" t="s">
        <v>43</v>
      </c>
      <c r="C12" s="495" t="s">
        <v>45</v>
      </c>
      <c r="D12" s="495" t="s">
        <v>38</v>
      </c>
    </row>
    <row r="13" spans="1:4">
      <c r="A13" s="494"/>
      <c r="B13" s="495"/>
      <c r="C13" s="495"/>
      <c r="D13" s="495"/>
    </row>
    <row r="14" spans="1:4">
      <c r="A14" s="494">
        <v>46088</v>
      </c>
      <c r="B14" s="495" t="s">
        <v>46</v>
      </c>
      <c r="C14" s="495" t="s">
        <v>47</v>
      </c>
      <c r="D14" s="495" t="s">
        <v>38</v>
      </c>
    </row>
    <row r="15" spans="1:4">
      <c r="A15" s="494"/>
      <c r="B15" s="495"/>
      <c r="C15" s="495"/>
      <c r="D15" s="495"/>
    </row>
    <row r="16" spans="1:4">
      <c r="A16" s="494">
        <v>46101</v>
      </c>
      <c r="B16" s="495" t="s">
        <v>46</v>
      </c>
      <c r="C16" s="495" t="s">
        <v>48</v>
      </c>
      <c r="D16" s="495" t="s">
        <v>38</v>
      </c>
    </row>
    <row r="17" spans="1:4">
      <c r="A17" s="494"/>
      <c r="B17" s="495"/>
      <c r="C17" s="495"/>
      <c r="D17" s="495"/>
    </row>
    <row r="18" spans="1:4">
      <c r="A18" s="494">
        <v>46102</v>
      </c>
      <c r="B18" s="495" t="s">
        <v>46</v>
      </c>
      <c r="C18" s="495" t="s">
        <v>48</v>
      </c>
      <c r="D18" s="495" t="s">
        <v>38</v>
      </c>
    </row>
    <row r="19" spans="1:4">
      <c r="A19" s="494"/>
      <c r="B19" s="495"/>
      <c r="C19" s="495"/>
      <c r="D19" s="495"/>
    </row>
    <row r="20" spans="1:4">
      <c r="A20" s="494">
        <v>46103</v>
      </c>
      <c r="B20" s="495" t="s">
        <v>49</v>
      </c>
      <c r="C20" s="495" t="s">
        <v>50</v>
      </c>
      <c r="D20" s="495" t="s">
        <v>38</v>
      </c>
    </row>
    <row r="21" spans="1:4">
      <c r="A21" s="494"/>
      <c r="B21" s="495"/>
      <c r="C21" s="495"/>
      <c r="D21" s="495"/>
    </row>
    <row r="22" spans="1:4">
      <c r="A22" s="494">
        <v>46104</v>
      </c>
      <c r="B22" s="495" t="s">
        <v>49</v>
      </c>
      <c r="C22" s="495" t="s">
        <v>50</v>
      </c>
      <c r="D22" s="495" t="s">
        <v>38</v>
      </c>
    </row>
    <row r="23" spans="1:4">
      <c r="A23" s="494"/>
      <c r="B23" s="495"/>
      <c r="C23" s="495"/>
      <c r="D23" s="495"/>
    </row>
    <row r="24" spans="1:4">
      <c r="A24" s="494">
        <v>46143</v>
      </c>
      <c r="B24" s="495" t="s">
        <v>51</v>
      </c>
      <c r="C24" s="495" t="s">
        <v>52</v>
      </c>
      <c r="D24" s="495" t="s">
        <v>38</v>
      </c>
    </row>
    <row r="25" spans="1:4">
      <c r="A25" s="494"/>
      <c r="B25" s="495"/>
      <c r="C25" s="495"/>
      <c r="D25" s="495"/>
    </row>
    <row r="26" spans="1:4">
      <c r="A26" s="494">
        <v>46173</v>
      </c>
      <c r="B26" s="495" t="s">
        <v>49</v>
      </c>
      <c r="C26" s="495" t="s">
        <v>53</v>
      </c>
      <c r="D26" s="495" t="s">
        <v>38</v>
      </c>
    </row>
    <row r="27" spans="1:4">
      <c r="A27" s="494"/>
      <c r="B27" s="495"/>
      <c r="C27" s="495"/>
      <c r="D27" s="495"/>
    </row>
    <row r="28" spans="1:4">
      <c r="A28" s="494">
        <v>46174</v>
      </c>
      <c r="B28" s="495" t="s">
        <v>43</v>
      </c>
      <c r="C28" s="495" t="s">
        <v>54</v>
      </c>
      <c r="D28" s="495" t="s">
        <v>38</v>
      </c>
    </row>
    <row r="29" spans="1:4">
      <c r="A29" s="494"/>
      <c r="B29" s="495"/>
      <c r="C29" s="495"/>
      <c r="D29" s="495"/>
    </row>
    <row r="30" spans="1:4">
      <c r="A30" s="494">
        <v>46169</v>
      </c>
      <c r="B30" s="495" t="s">
        <v>41</v>
      </c>
      <c r="C30" s="495" t="s">
        <v>55</v>
      </c>
      <c r="D30" s="495" t="s">
        <v>38</v>
      </c>
    </row>
    <row r="31" spans="1:4">
      <c r="A31" s="494"/>
      <c r="B31" s="495"/>
      <c r="C31" s="495"/>
      <c r="D31" s="495"/>
    </row>
    <row r="32" spans="1:4">
      <c r="A32" s="494">
        <v>46170</v>
      </c>
      <c r="B32" s="495" t="s">
        <v>36</v>
      </c>
      <c r="C32" s="495" t="s">
        <v>56</v>
      </c>
      <c r="D32" s="495" t="s">
        <v>38</v>
      </c>
    </row>
    <row r="33" spans="1:4">
      <c r="A33" s="494"/>
      <c r="B33" s="495"/>
      <c r="C33" s="495"/>
      <c r="D33" s="495"/>
    </row>
    <row r="34" spans="1:4">
      <c r="A34" s="494">
        <v>46190</v>
      </c>
      <c r="B34" s="495" t="s">
        <v>41</v>
      </c>
      <c r="C34" s="495" t="s">
        <v>57</v>
      </c>
      <c r="D34" s="495" t="s">
        <v>38</v>
      </c>
    </row>
    <row r="35" spans="1:4">
      <c r="A35" s="494"/>
      <c r="B35" s="495"/>
      <c r="C35" s="495"/>
      <c r="D35" s="495"/>
    </row>
    <row r="36" spans="1:4">
      <c r="A36" s="494">
        <v>46265</v>
      </c>
      <c r="B36" s="495" t="s">
        <v>43</v>
      </c>
      <c r="C36" s="495" t="s">
        <v>58</v>
      </c>
      <c r="D36" s="495" t="s">
        <v>38</v>
      </c>
    </row>
    <row r="37" spans="1:4">
      <c r="A37" s="494"/>
      <c r="B37" s="495"/>
      <c r="C37" s="495"/>
      <c r="D37" s="495"/>
    </row>
    <row r="38" spans="1:4">
      <c r="A38" s="494">
        <v>46259</v>
      </c>
      <c r="B38" s="495" t="s">
        <v>39</v>
      </c>
      <c r="C38" s="495" t="s">
        <v>59</v>
      </c>
      <c r="D38" s="495" t="s">
        <v>38</v>
      </c>
    </row>
    <row r="39" spans="1:4">
      <c r="A39" s="494"/>
      <c r="B39" s="495"/>
      <c r="C39" s="495"/>
      <c r="D39" s="495"/>
    </row>
    <row r="40" spans="1:4">
      <c r="A40" s="494">
        <v>46281</v>
      </c>
      <c r="B40" s="495" t="s">
        <v>41</v>
      </c>
      <c r="C40" s="495" t="s">
        <v>60</v>
      </c>
      <c r="D40" s="495" t="s">
        <v>38</v>
      </c>
    </row>
    <row r="41" spans="1:4">
      <c r="A41" s="494"/>
      <c r="B41" s="495"/>
      <c r="C41" s="495"/>
      <c r="D41" s="495"/>
    </row>
    <row r="42" spans="1:4">
      <c r="A42" s="494">
        <v>46334</v>
      </c>
      <c r="B42" s="495" t="s">
        <v>49</v>
      </c>
      <c r="C42" s="495" t="s">
        <v>61</v>
      </c>
      <c r="D42" s="495" t="s">
        <v>38</v>
      </c>
    </row>
    <row r="43" spans="1:4">
      <c r="A43" s="494"/>
      <c r="B43" s="495"/>
      <c r="C43" s="495"/>
      <c r="D43" s="495"/>
    </row>
    <row r="44" spans="1:4">
      <c r="A44" s="494">
        <v>46335</v>
      </c>
      <c r="B44" s="495" t="s">
        <v>43</v>
      </c>
      <c r="C44" s="495" t="s">
        <v>62</v>
      </c>
      <c r="D44" s="495" t="s">
        <v>38</v>
      </c>
    </row>
    <row r="45" spans="1:4">
      <c r="A45" s="494"/>
      <c r="B45" s="495"/>
      <c r="C45" s="495"/>
      <c r="D45" s="495"/>
    </row>
    <row r="46" spans="1:4">
      <c r="A46" s="494">
        <v>46381</v>
      </c>
      <c r="B46" s="495" t="s">
        <v>51</v>
      </c>
      <c r="C46" s="495" t="s">
        <v>63</v>
      </c>
      <c r="D46" s="495" t="s">
        <v>38</v>
      </c>
    </row>
    <row r="47" spans="1:4">
      <c r="A47" s="494"/>
      <c r="B47" s="495"/>
      <c r="C47" s="495"/>
      <c r="D47" s="495"/>
    </row>
    <row r="49" spans="1:1">
      <c r="A49" s="496" t="s">
        <v>64</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3:G84"/>
  <sheetViews>
    <sheetView workbookViewId="0">
      <selection activeCell="D8" sqref="D8"/>
    </sheetView>
  </sheetViews>
  <sheetFormatPr defaultColWidth="22.140625" defaultRowHeight="15"/>
  <cols>
    <col min="1" max="1" width="22" style="57" customWidth="1"/>
    <col min="2" max="2" width="5.140625" customWidth="1"/>
    <col min="3" max="3" width="12.140625" customWidth="1"/>
    <col min="4" max="4" width="20.5703125" customWidth="1"/>
    <col min="5" max="7" width="13.140625" customWidth="1"/>
  </cols>
  <sheetData>
    <row r="3" spans="1:7">
      <c r="A3" s="849" t="s">
        <v>448</v>
      </c>
      <c r="B3" s="851" t="s">
        <v>449</v>
      </c>
      <c r="C3" s="851" t="s">
        <v>450</v>
      </c>
      <c r="D3" s="851" t="s">
        <v>451</v>
      </c>
      <c r="E3" s="60" t="s">
        <v>452</v>
      </c>
      <c r="F3" s="60" t="s">
        <v>452</v>
      </c>
      <c r="G3" s="60" t="s">
        <v>453</v>
      </c>
    </row>
    <row r="4" spans="1:7">
      <c r="A4" s="850"/>
      <c r="B4" s="852"/>
      <c r="C4" s="852"/>
      <c r="D4" s="852"/>
      <c r="E4" s="59" t="s">
        <v>454</v>
      </c>
      <c r="F4" s="59" t="s">
        <v>455</v>
      </c>
      <c r="G4" s="59" t="s">
        <v>456</v>
      </c>
    </row>
    <row r="5" spans="1:7">
      <c r="A5" s="846" t="s">
        <v>457</v>
      </c>
      <c r="B5" s="847"/>
      <c r="C5" s="847"/>
      <c r="D5" s="847"/>
      <c r="E5" s="847"/>
      <c r="F5" s="847"/>
      <c r="G5" s="848"/>
    </row>
    <row r="6" spans="1:7">
      <c r="A6" s="58" t="s">
        <v>458</v>
      </c>
      <c r="B6" s="59" t="s">
        <v>459</v>
      </c>
      <c r="C6" s="59">
        <v>12</v>
      </c>
      <c r="D6" s="59">
        <v>6</v>
      </c>
      <c r="E6" s="61">
        <v>0.96</v>
      </c>
      <c r="F6" s="61">
        <v>0.92</v>
      </c>
      <c r="G6" s="61">
        <v>0.85</v>
      </c>
    </row>
    <row r="7" spans="1:7" ht="22.5">
      <c r="A7" s="58" t="s">
        <v>460</v>
      </c>
      <c r="B7" s="59" t="s">
        <v>461</v>
      </c>
      <c r="C7" s="59">
        <v>24</v>
      </c>
      <c r="D7" s="59">
        <v>7</v>
      </c>
      <c r="E7" s="61">
        <v>0.99</v>
      </c>
      <c r="F7" s="61">
        <v>0.95</v>
      </c>
      <c r="G7" s="61">
        <v>0.88</v>
      </c>
    </row>
    <row r="8" spans="1:7">
      <c r="A8" s="58" t="s">
        <v>462</v>
      </c>
      <c r="B8" s="59" t="s">
        <v>461</v>
      </c>
      <c r="C8" s="59">
        <v>24</v>
      </c>
      <c r="D8" s="59">
        <v>7</v>
      </c>
      <c r="E8" s="61">
        <v>0.99</v>
      </c>
      <c r="F8" s="61">
        <v>0.95</v>
      </c>
      <c r="G8" s="61">
        <v>0.88</v>
      </c>
    </row>
    <row r="9" spans="1:7">
      <c r="A9" s="58" t="s">
        <v>245</v>
      </c>
      <c r="B9" s="59" t="s">
        <v>461</v>
      </c>
      <c r="C9" s="59">
        <v>24</v>
      </c>
      <c r="D9" s="59">
        <v>7</v>
      </c>
      <c r="E9" s="61">
        <v>0.99</v>
      </c>
      <c r="F9" s="61">
        <v>0.95</v>
      </c>
      <c r="G9" s="61">
        <v>0.88</v>
      </c>
    </row>
    <row r="10" spans="1:7">
      <c r="A10" s="58" t="s">
        <v>463</v>
      </c>
      <c r="B10" s="59" t="s">
        <v>461</v>
      </c>
      <c r="C10" s="59">
        <v>24</v>
      </c>
      <c r="D10" s="59">
        <v>7</v>
      </c>
      <c r="E10" s="61">
        <v>0.99</v>
      </c>
      <c r="F10" s="61">
        <v>0.95</v>
      </c>
      <c r="G10" s="61">
        <v>0.88</v>
      </c>
    </row>
    <row r="11" spans="1:7">
      <c r="A11" s="58" t="s">
        <v>464</v>
      </c>
      <c r="B11" s="59" t="s">
        <v>459</v>
      </c>
      <c r="C11" s="59">
        <v>24</v>
      </c>
      <c r="D11" s="59">
        <v>7</v>
      </c>
      <c r="E11" s="61">
        <v>0.96</v>
      </c>
      <c r="F11" s="61">
        <v>0.92</v>
      </c>
      <c r="G11" s="61">
        <v>0.85</v>
      </c>
    </row>
    <row r="12" spans="1:7">
      <c r="A12" s="58" t="s">
        <v>465</v>
      </c>
      <c r="B12" s="59" t="s">
        <v>461</v>
      </c>
      <c r="C12" s="59">
        <v>24</v>
      </c>
      <c r="D12" s="59">
        <v>7</v>
      </c>
      <c r="E12" s="61">
        <v>0.99</v>
      </c>
      <c r="F12" s="61">
        <v>0.95</v>
      </c>
      <c r="G12" s="61">
        <v>0.88</v>
      </c>
    </row>
    <row r="13" spans="1:7">
      <c r="A13" s="58" t="s">
        <v>466</v>
      </c>
      <c r="B13" s="59" t="s">
        <v>461</v>
      </c>
      <c r="C13" s="59">
        <v>24</v>
      </c>
      <c r="D13" s="59">
        <v>7</v>
      </c>
      <c r="E13" s="61">
        <v>0.99</v>
      </c>
      <c r="F13" s="61">
        <v>0.95</v>
      </c>
      <c r="G13" s="61">
        <v>0.88</v>
      </c>
    </row>
    <row r="14" spans="1:7">
      <c r="A14" s="58" t="s">
        <v>467</v>
      </c>
      <c r="B14" s="59" t="s">
        <v>461</v>
      </c>
      <c r="C14" s="59">
        <v>24</v>
      </c>
      <c r="D14" s="59">
        <v>7</v>
      </c>
      <c r="E14" s="61">
        <v>0.99</v>
      </c>
      <c r="F14" s="61">
        <v>0.95</v>
      </c>
      <c r="G14" s="61">
        <v>0.88</v>
      </c>
    </row>
    <row r="15" spans="1:7">
      <c r="A15" s="58" t="s">
        <v>468</v>
      </c>
      <c r="B15" s="59" t="s">
        <v>461</v>
      </c>
      <c r="C15" s="59">
        <v>24</v>
      </c>
      <c r="D15" s="59">
        <v>7</v>
      </c>
      <c r="E15" s="61">
        <v>0.99</v>
      </c>
      <c r="F15" s="61">
        <v>0.95</v>
      </c>
      <c r="G15" s="61">
        <v>0.88</v>
      </c>
    </row>
    <row r="16" spans="1:7">
      <c r="A16" s="58" t="s">
        <v>469</v>
      </c>
      <c r="B16" s="59" t="s">
        <v>461</v>
      </c>
      <c r="C16" s="59">
        <v>24</v>
      </c>
      <c r="D16" s="59">
        <v>7</v>
      </c>
      <c r="E16" s="61">
        <v>0.99</v>
      </c>
      <c r="F16" s="61">
        <v>0.95</v>
      </c>
      <c r="G16" s="61">
        <v>0.88</v>
      </c>
    </row>
    <row r="17" spans="1:7">
      <c r="A17" s="58" t="s">
        <v>470</v>
      </c>
      <c r="B17" s="59" t="s">
        <v>461</v>
      </c>
      <c r="C17" s="59">
        <v>24</v>
      </c>
      <c r="D17" s="59">
        <v>7</v>
      </c>
      <c r="E17" s="61">
        <v>0.99</v>
      </c>
      <c r="F17" s="61">
        <v>0.95</v>
      </c>
      <c r="G17" s="61">
        <v>0.88</v>
      </c>
    </row>
    <row r="18" spans="1:7">
      <c r="A18" s="58" t="s">
        <v>471</v>
      </c>
      <c r="B18" s="59" t="s">
        <v>461</v>
      </c>
      <c r="C18" s="59">
        <v>24</v>
      </c>
      <c r="D18" s="59">
        <v>7</v>
      </c>
      <c r="E18" s="61">
        <v>0.99</v>
      </c>
      <c r="F18" s="61">
        <v>0.95</v>
      </c>
      <c r="G18" s="61">
        <v>0.88</v>
      </c>
    </row>
    <row r="19" spans="1:7">
      <c r="A19" s="58" t="s">
        <v>472</v>
      </c>
      <c r="B19" s="59" t="s">
        <v>461</v>
      </c>
      <c r="C19" s="59">
        <v>24</v>
      </c>
      <c r="D19" s="59">
        <v>7</v>
      </c>
      <c r="E19" s="61">
        <v>0.99</v>
      </c>
      <c r="F19" s="61">
        <v>0.95</v>
      </c>
      <c r="G19" s="61">
        <v>0.88</v>
      </c>
    </row>
    <row r="20" spans="1:7">
      <c r="A20" s="58" t="s">
        <v>473</v>
      </c>
      <c r="B20" s="59" t="s">
        <v>461</v>
      </c>
      <c r="C20" s="59">
        <v>12</v>
      </c>
      <c r="D20" s="59">
        <v>6</v>
      </c>
      <c r="E20" s="61">
        <v>0.99</v>
      </c>
      <c r="F20" s="61">
        <v>0.95</v>
      </c>
      <c r="G20" s="61">
        <v>0.88</v>
      </c>
    </row>
    <row r="21" spans="1:7">
      <c r="A21" s="58" t="s">
        <v>474</v>
      </c>
      <c r="B21" s="59" t="s">
        <v>461</v>
      </c>
      <c r="C21" s="59">
        <v>24</v>
      </c>
      <c r="D21" s="59">
        <v>7</v>
      </c>
      <c r="E21" s="61">
        <v>0.99</v>
      </c>
      <c r="F21" s="61">
        <v>0.95</v>
      </c>
      <c r="G21" s="61">
        <v>0.88</v>
      </c>
    </row>
    <row r="22" spans="1:7">
      <c r="A22" s="58" t="s">
        <v>475</v>
      </c>
      <c r="B22" s="59" t="s">
        <v>461</v>
      </c>
      <c r="C22" s="59">
        <v>24</v>
      </c>
      <c r="D22" s="59">
        <v>7</v>
      </c>
      <c r="E22" s="61">
        <v>0.99</v>
      </c>
      <c r="F22" s="61">
        <v>0.95</v>
      </c>
      <c r="G22" s="61">
        <v>0.88</v>
      </c>
    </row>
    <row r="23" spans="1:7">
      <c r="A23" s="58" t="s">
        <v>476</v>
      </c>
      <c r="B23" s="59" t="s">
        <v>461</v>
      </c>
      <c r="C23" s="59">
        <v>24</v>
      </c>
      <c r="D23" s="59">
        <v>7</v>
      </c>
      <c r="E23" s="61">
        <v>0.99</v>
      </c>
      <c r="F23" s="61">
        <v>0.95</v>
      </c>
      <c r="G23" s="61">
        <v>0.88</v>
      </c>
    </row>
    <row r="24" spans="1:7">
      <c r="A24" s="58" t="s">
        <v>477</v>
      </c>
      <c r="B24" s="59" t="s">
        <v>459</v>
      </c>
      <c r="C24" s="59">
        <v>24</v>
      </c>
      <c r="D24" s="59">
        <v>7</v>
      </c>
      <c r="E24" s="61">
        <v>0.96</v>
      </c>
      <c r="F24" s="61">
        <v>0.92</v>
      </c>
      <c r="G24" s="61">
        <v>0.85</v>
      </c>
    </row>
    <row r="25" spans="1:7">
      <c r="A25" s="58" t="s">
        <v>478</v>
      </c>
      <c r="B25" s="59" t="s">
        <v>461</v>
      </c>
      <c r="C25" s="59">
        <v>24</v>
      </c>
      <c r="D25" s="59">
        <v>7</v>
      </c>
      <c r="E25" s="61">
        <v>0.99</v>
      </c>
      <c r="F25" s="61">
        <v>0.95</v>
      </c>
      <c r="G25" s="61">
        <v>0.88</v>
      </c>
    </row>
    <row r="26" spans="1:7">
      <c r="A26" s="58" t="s">
        <v>479</v>
      </c>
      <c r="B26" s="59" t="s">
        <v>459</v>
      </c>
      <c r="C26" s="59">
        <v>12</v>
      </c>
      <c r="D26" s="59">
        <v>6</v>
      </c>
      <c r="E26" s="61">
        <v>0.96</v>
      </c>
      <c r="F26" s="61">
        <v>0.92</v>
      </c>
      <c r="G26" s="61">
        <v>0.85</v>
      </c>
    </row>
    <row r="27" spans="1:7">
      <c r="A27" s="58" t="s">
        <v>480</v>
      </c>
      <c r="B27" s="59" t="s">
        <v>461</v>
      </c>
      <c r="C27" s="59">
        <v>24</v>
      </c>
      <c r="D27" s="59">
        <v>7</v>
      </c>
      <c r="E27" s="61">
        <v>0.99</v>
      </c>
      <c r="F27" s="61">
        <v>0.95</v>
      </c>
      <c r="G27" s="61">
        <v>0.88</v>
      </c>
    </row>
    <row r="28" spans="1:7">
      <c r="A28" s="58" t="s">
        <v>481</v>
      </c>
      <c r="B28" s="59" t="s">
        <v>459</v>
      </c>
      <c r="C28" s="59">
        <v>12</v>
      </c>
      <c r="D28" s="59">
        <v>6</v>
      </c>
      <c r="E28" s="61">
        <v>0.96</v>
      </c>
      <c r="F28" s="61">
        <v>0.92</v>
      </c>
      <c r="G28" s="61">
        <v>0.85</v>
      </c>
    </row>
    <row r="29" spans="1:7">
      <c r="A29" s="58" t="s">
        <v>482</v>
      </c>
      <c r="B29" s="59" t="s">
        <v>461</v>
      </c>
      <c r="C29" s="59">
        <v>24</v>
      </c>
      <c r="D29" s="59">
        <v>7</v>
      </c>
      <c r="E29" s="61">
        <v>0.99</v>
      </c>
      <c r="F29" s="61">
        <v>0.95</v>
      </c>
      <c r="G29" s="61">
        <v>0.88</v>
      </c>
    </row>
    <row r="30" spans="1:7">
      <c r="A30" s="58" t="s">
        <v>483</v>
      </c>
      <c r="B30" s="59" t="s">
        <v>461</v>
      </c>
      <c r="C30" s="59">
        <v>24</v>
      </c>
      <c r="D30" s="59">
        <v>7</v>
      </c>
      <c r="E30" s="61">
        <v>0.99</v>
      </c>
      <c r="F30" s="61">
        <v>0.95</v>
      </c>
      <c r="G30" s="61">
        <v>0.88</v>
      </c>
    </row>
    <row r="31" spans="1:7">
      <c r="A31" s="58" t="s">
        <v>484</v>
      </c>
      <c r="B31" s="59" t="s">
        <v>459</v>
      </c>
      <c r="C31" s="59">
        <v>12</v>
      </c>
      <c r="D31" s="59">
        <v>6</v>
      </c>
      <c r="E31" s="61">
        <v>0.96</v>
      </c>
      <c r="F31" s="61">
        <v>0.92</v>
      </c>
      <c r="G31" s="61">
        <v>0.85</v>
      </c>
    </row>
    <row r="32" spans="1:7">
      <c r="A32" s="58" t="s">
        <v>485</v>
      </c>
      <c r="B32" s="59" t="s">
        <v>459</v>
      </c>
      <c r="C32" s="59">
        <v>12</v>
      </c>
      <c r="D32" s="59">
        <v>7</v>
      </c>
      <c r="E32" s="61">
        <v>0.96</v>
      </c>
      <c r="F32" s="61">
        <v>0.92</v>
      </c>
      <c r="G32" s="61">
        <v>0.85</v>
      </c>
    </row>
    <row r="33" spans="1:7">
      <c r="A33" s="58" t="s">
        <v>486</v>
      </c>
      <c r="B33" s="59" t="s">
        <v>459</v>
      </c>
      <c r="C33" s="59">
        <v>12</v>
      </c>
      <c r="D33" s="59">
        <v>6</v>
      </c>
      <c r="E33" s="61">
        <v>0.96</v>
      </c>
      <c r="F33" s="61">
        <v>0.92</v>
      </c>
      <c r="G33" s="61">
        <v>0.85</v>
      </c>
    </row>
    <row r="34" spans="1:7">
      <c r="A34" s="58" t="s">
        <v>487</v>
      </c>
      <c r="B34" s="59" t="s">
        <v>461</v>
      </c>
      <c r="C34" s="59">
        <v>24</v>
      </c>
      <c r="D34" s="59">
        <v>7</v>
      </c>
      <c r="E34" s="61">
        <v>0.99</v>
      </c>
      <c r="F34" s="61">
        <v>0.95</v>
      </c>
      <c r="G34" s="61">
        <v>0.88</v>
      </c>
    </row>
    <row r="35" spans="1:7" ht="22.5">
      <c r="A35" s="58" t="s">
        <v>488</v>
      </c>
      <c r="B35" s="59" t="s">
        <v>459</v>
      </c>
      <c r="C35" s="59">
        <v>24</v>
      </c>
      <c r="D35" s="59">
        <v>7</v>
      </c>
      <c r="E35" s="61">
        <v>0.96</v>
      </c>
      <c r="F35" s="61">
        <v>0.92</v>
      </c>
      <c r="G35" s="61">
        <v>0.85</v>
      </c>
    </row>
    <row r="36" spans="1:7">
      <c r="A36" s="58" t="s">
        <v>489</v>
      </c>
      <c r="B36" s="59" t="s">
        <v>461</v>
      </c>
      <c r="C36" s="59">
        <v>24</v>
      </c>
      <c r="D36" s="59">
        <v>7</v>
      </c>
      <c r="E36" s="61">
        <v>0.99</v>
      </c>
      <c r="F36" s="61">
        <v>0.95</v>
      </c>
      <c r="G36" s="61">
        <v>0.88</v>
      </c>
    </row>
    <row r="37" spans="1:7" ht="33.75">
      <c r="A37" s="58" t="s">
        <v>490</v>
      </c>
      <c r="B37" s="59" t="s">
        <v>461</v>
      </c>
      <c r="C37" s="59">
        <v>12</v>
      </c>
      <c r="D37" s="59">
        <v>6</v>
      </c>
      <c r="E37" s="61">
        <v>0.96</v>
      </c>
      <c r="F37" s="61">
        <v>0.92</v>
      </c>
      <c r="G37" s="61">
        <v>0.88</v>
      </c>
    </row>
    <row r="38" spans="1:7">
      <c r="A38" s="58" t="s">
        <v>491</v>
      </c>
      <c r="B38" s="59" t="s">
        <v>461</v>
      </c>
      <c r="C38" s="59">
        <v>24</v>
      </c>
      <c r="D38" s="59">
        <v>7</v>
      </c>
      <c r="E38" s="61">
        <v>0.99</v>
      </c>
      <c r="F38" s="61">
        <v>0.95</v>
      </c>
      <c r="G38" s="61">
        <v>0.88</v>
      </c>
    </row>
    <row r="39" spans="1:7">
      <c r="A39" s="58" t="s">
        <v>492</v>
      </c>
      <c r="B39" s="59" t="s">
        <v>459</v>
      </c>
      <c r="C39" s="59">
        <v>24</v>
      </c>
      <c r="D39" s="59">
        <v>7</v>
      </c>
      <c r="E39" s="61">
        <v>0.96</v>
      </c>
      <c r="F39" s="61">
        <v>0.92</v>
      </c>
      <c r="G39" s="61">
        <v>0.85</v>
      </c>
    </row>
    <row r="40" spans="1:7" ht="22.5">
      <c r="A40" s="58" t="s">
        <v>493</v>
      </c>
      <c r="B40" s="59" t="s">
        <v>461</v>
      </c>
      <c r="C40" s="59">
        <v>24</v>
      </c>
      <c r="D40" s="59">
        <v>7</v>
      </c>
      <c r="E40" s="61">
        <v>0.99</v>
      </c>
      <c r="F40" s="61">
        <v>0.95</v>
      </c>
      <c r="G40" s="61">
        <v>0.88</v>
      </c>
    </row>
    <row r="41" spans="1:7">
      <c r="A41" s="58" t="s">
        <v>494</v>
      </c>
      <c r="B41" s="59" t="s">
        <v>459</v>
      </c>
      <c r="C41" s="59">
        <v>12</v>
      </c>
      <c r="D41" s="59">
        <v>6</v>
      </c>
      <c r="E41" s="61">
        <v>0.96</v>
      </c>
      <c r="F41" s="61">
        <v>0.92</v>
      </c>
      <c r="G41" s="61">
        <v>0.85</v>
      </c>
    </row>
    <row r="42" spans="1:7">
      <c r="A42" s="58" t="s">
        <v>495</v>
      </c>
      <c r="B42" s="59" t="s">
        <v>459</v>
      </c>
      <c r="C42" s="59">
        <v>12</v>
      </c>
      <c r="D42" s="59">
        <v>6</v>
      </c>
      <c r="E42" s="61">
        <v>0.96</v>
      </c>
      <c r="F42" s="61">
        <v>0.92</v>
      </c>
      <c r="G42" s="61">
        <v>0.85</v>
      </c>
    </row>
    <row r="43" spans="1:7">
      <c r="A43" s="58" t="s">
        <v>496</v>
      </c>
      <c r="B43" s="59" t="s">
        <v>459</v>
      </c>
      <c r="C43" s="59">
        <v>12</v>
      </c>
      <c r="D43" s="59">
        <v>6</v>
      </c>
      <c r="E43" s="61">
        <v>0.96</v>
      </c>
      <c r="F43" s="61">
        <v>0.92</v>
      </c>
      <c r="G43" s="61">
        <v>0.85</v>
      </c>
    </row>
    <row r="44" spans="1:7">
      <c r="A44" s="58" t="s">
        <v>497</v>
      </c>
      <c r="B44" s="59" t="s">
        <v>459</v>
      </c>
      <c r="C44" s="59">
        <v>12</v>
      </c>
      <c r="D44" s="59">
        <v>6</v>
      </c>
      <c r="E44" s="61">
        <v>0.96</v>
      </c>
      <c r="F44" s="61">
        <v>0.92</v>
      </c>
      <c r="G44" s="61">
        <v>0.85</v>
      </c>
    </row>
    <row r="45" spans="1:7" ht="22.5">
      <c r="A45" s="58" t="s">
        <v>498</v>
      </c>
      <c r="B45" s="59" t="s">
        <v>461</v>
      </c>
      <c r="C45" s="59">
        <v>24</v>
      </c>
      <c r="D45" s="59">
        <v>7</v>
      </c>
      <c r="E45" s="61">
        <v>0.96</v>
      </c>
      <c r="F45" s="61">
        <v>0.92</v>
      </c>
      <c r="G45" s="61">
        <v>0.88</v>
      </c>
    </row>
    <row r="46" spans="1:7">
      <c r="A46" s="58" t="s">
        <v>499</v>
      </c>
      <c r="B46" s="59" t="s">
        <v>459</v>
      </c>
      <c r="C46" s="59">
        <v>12</v>
      </c>
      <c r="D46" s="59">
        <v>6</v>
      </c>
      <c r="E46" s="61">
        <v>0.96</v>
      </c>
      <c r="F46" s="61">
        <v>0.92</v>
      </c>
      <c r="G46" s="61">
        <v>0.85</v>
      </c>
    </row>
    <row r="47" spans="1:7">
      <c r="A47" s="58" t="s">
        <v>500</v>
      </c>
      <c r="B47" s="59" t="s">
        <v>461</v>
      </c>
      <c r="C47" s="59">
        <v>24</v>
      </c>
      <c r="D47" s="59">
        <v>7</v>
      </c>
      <c r="E47" s="61">
        <v>0.99</v>
      </c>
      <c r="F47" s="61">
        <v>0.95</v>
      </c>
      <c r="G47" s="61">
        <v>0.88</v>
      </c>
    </row>
    <row r="48" spans="1:7">
      <c r="A48" s="58" t="s">
        <v>501</v>
      </c>
      <c r="B48" s="59" t="s">
        <v>459</v>
      </c>
      <c r="C48" s="59">
        <v>24</v>
      </c>
      <c r="D48" s="59">
        <v>7</v>
      </c>
      <c r="E48" s="61">
        <v>0.96</v>
      </c>
      <c r="F48" s="61">
        <v>0.92</v>
      </c>
      <c r="G48" s="61">
        <v>0.85</v>
      </c>
    </row>
    <row r="49" spans="1:7">
      <c r="A49" s="58" t="s">
        <v>502</v>
      </c>
      <c r="B49" s="59" t="s">
        <v>461</v>
      </c>
      <c r="C49" s="59">
        <v>24</v>
      </c>
      <c r="D49" s="59">
        <v>7</v>
      </c>
      <c r="E49" s="61">
        <v>0.99</v>
      </c>
      <c r="F49" s="61">
        <v>0.95</v>
      </c>
      <c r="G49" s="61">
        <v>0.88</v>
      </c>
    </row>
    <row r="50" spans="1:7" ht="22.5">
      <c r="A50" s="58" t="s">
        <v>503</v>
      </c>
      <c r="B50" s="59" t="s">
        <v>461</v>
      </c>
      <c r="C50" s="59">
        <v>24</v>
      </c>
      <c r="D50" s="59">
        <v>7</v>
      </c>
      <c r="E50" s="61">
        <v>0.99</v>
      </c>
      <c r="F50" s="61">
        <v>0.95</v>
      </c>
      <c r="G50" s="61">
        <v>0.88</v>
      </c>
    </row>
    <row r="51" spans="1:7">
      <c r="A51" s="58" t="s">
        <v>504</v>
      </c>
      <c r="B51" s="59" t="s">
        <v>459</v>
      </c>
      <c r="C51" s="59">
        <v>12</v>
      </c>
      <c r="D51" s="59">
        <v>6</v>
      </c>
      <c r="E51" s="61">
        <v>0.96</v>
      </c>
      <c r="F51" s="61">
        <v>0.92</v>
      </c>
      <c r="G51" s="61">
        <v>0.85</v>
      </c>
    </row>
    <row r="52" spans="1:7" ht="22.5">
      <c r="A52" s="58" t="s">
        <v>505</v>
      </c>
      <c r="B52" s="59" t="s">
        <v>461</v>
      </c>
      <c r="C52" s="59">
        <v>24</v>
      </c>
      <c r="D52" s="59">
        <v>7</v>
      </c>
      <c r="E52" s="61">
        <v>0.99</v>
      </c>
      <c r="F52" s="61">
        <v>0.95</v>
      </c>
      <c r="G52" s="61">
        <v>0.88</v>
      </c>
    </row>
    <row r="53" spans="1:7" ht="22.5">
      <c r="A53" s="58" t="s">
        <v>506</v>
      </c>
      <c r="B53" s="59" t="s">
        <v>459</v>
      </c>
      <c r="C53" s="59">
        <v>12</v>
      </c>
      <c r="D53" s="59">
        <v>6</v>
      </c>
      <c r="E53" s="61">
        <v>0.99</v>
      </c>
      <c r="F53" s="61">
        <v>0.92</v>
      </c>
      <c r="G53" s="61">
        <v>0.85</v>
      </c>
    </row>
    <row r="54" spans="1:7">
      <c r="A54" s="58" t="s">
        <v>507</v>
      </c>
      <c r="B54" s="59" t="s">
        <v>461</v>
      </c>
      <c r="C54" s="59">
        <v>12</v>
      </c>
      <c r="D54" s="59">
        <v>6</v>
      </c>
      <c r="E54" s="61">
        <v>0.99</v>
      </c>
      <c r="F54" s="61">
        <v>0.95</v>
      </c>
      <c r="G54" s="61">
        <v>0.88</v>
      </c>
    </row>
    <row r="55" spans="1:7">
      <c r="A55" s="58" t="s">
        <v>508</v>
      </c>
      <c r="B55" s="59" t="s">
        <v>461</v>
      </c>
      <c r="C55" s="59">
        <v>24</v>
      </c>
      <c r="D55" s="59">
        <v>7</v>
      </c>
      <c r="E55" s="61">
        <v>0.99</v>
      </c>
      <c r="F55" s="61">
        <v>0.95</v>
      </c>
      <c r="G55" s="61">
        <v>0.88</v>
      </c>
    </row>
    <row r="56" spans="1:7" ht="22.5">
      <c r="A56" s="58" t="s">
        <v>509</v>
      </c>
      <c r="B56" s="59" t="s">
        <v>461</v>
      </c>
      <c r="C56" s="59">
        <v>24</v>
      </c>
      <c r="D56" s="59">
        <v>7</v>
      </c>
      <c r="E56" s="61">
        <v>0.99</v>
      </c>
      <c r="F56" s="61">
        <v>0.95</v>
      </c>
      <c r="G56" s="61">
        <v>0.88</v>
      </c>
    </row>
    <row r="57" spans="1:7">
      <c r="A57" s="58" t="s">
        <v>510</v>
      </c>
      <c r="B57" s="59" t="s">
        <v>459</v>
      </c>
      <c r="C57" s="59">
        <v>12</v>
      </c>
      <c r="D57" s="59">
        <v>6</v>
      </c>
      <c r="E57" s="61">
        <v>0.96</v>
      </c>
      <c r="F57" s="61">
        <v>0.92</v>
      </c>
      <c r="G57" s="61">
        <v>0.85</v>
      </c>
    </row>
    <row r="58" spans="1:7" ht="22.5">
      <c r="A58" s="58" t="s">
        <v>511</v>
      </c>
      <c r="B58" s="59" t="s">
        <v>459</v>
      </c>
      <c r="C58" s="59">
        <v>12</v>
      </c>
      <c r="D58" s="59">
        <v>6</v>
      </c>
      <c r="E58" s="61">
        <v>0.96</v>
      </c>
      <c r="F58" s="61">
        <v>0.92</v>
      </c>
      <c r="G58" s="61">
        <v>0.85</v>
      </c>
    </row>
    <row r="59" spans="1:7">
      <c r="A59" s="58" t="s">
        <v>512</v>
      </c>
      <c r="B59" s="59" t="s">
        <v>459</v>
      </c>
      <c r="C59" s="59">
        <v>12</v>
      </c>
      <c r="D59" s="59">
        <v>6</v>
      </c>
      <c r="E59" s="61">
        <v>0.96</v>
      </c>
      <c r="F59" s="61">
        <v>0.92</v>
      </c>
      <c r="G59" s="61">
        <v>0.85</v>
      </c>
    </row>
    <row r="60" spans="1:7">
      <c r="A60" s="58" t="s">
        <v>513</v>
      </c>
      <c r="B60" s="59"/>
      <c r="C60" s="59"/>
      <c r="D60" s="59"/>
      <c r="E60" s="59"/>
      <c r="F60" s="59"/>
      <c r="G60" s="59"/>
    </row>
    <row r="61" spans="1:7">
      <c r="A61" s="58" t="s">
        <v>514</v>
      </c>
      <c r="B61" s="59" t="s">
        <v>459</v>
      </c>
      <c r="C61" s="59">
        <v>12</v>
      </c>
      <c r="D61" s="59">
        <v>6</v>
      </c>
      <c r="E61" s="61">
        <v>0.96</v>
      </c>
      <c r="F61" s="61">
        <v>0.92</v>
      </c>
      <c r="G61" s="61">
        <v>0.85</v>
      </c>
    </row>
    <row r="62" spans="1:7">
      <c r="A62" s="58" t="s">
        <v>515</v>
      </c>
      <c r="B62" s="59" t="s">
        <v>459</v>
      </c>
      <c r="C62" s="59">
        <v>12</v>
      </c>
      <c r="D62" s="59">
        <v>6</v>
      </c>
      <c r="E62" s="61">
        <v>0.96</v>
      </c>
      <c r="F62" s="61">
        <v>0.92</v>
      </c>
      <c r="G62" s="61">
        <v>0.85</v>
      </c>
    </row>
    <row r="63" spans="1:7">
      <c r="A63" s="58" t="s">
        <v>516</v>
      </c>
      <c r="B63" s="59" t="s">
        <v>459</v>
      </c>
      <c r="C63" s="59">
        <v>12</v>
      </c>
      <c r="D63" s="59">
        <v>6</v>
      </c>
      <c r="E63" s="61">
        <v>0.96</v>
      </c>
      <c r="F63" s="61">
        <v>0.92</v>
      </c>
      <c r="G63" s="61">
        <v>0.85</v>
      </c>
    </row>
    <row r="64" spans="1:7">
      <c r="A64" s="58" t="s">
        <v>517</v>
      </c>
      <c r="B64" s="59" t="s">
        <v>459</v>
      </c>
      <c r="C64" s="59">
        <v>12</v>
      </c>
      <c r="D64" s="59">
        <v>6</v>
      </c>
      <c r="E64" s="61">
        <v>0.96</v>
      </c>
      <c r="F64" s="61">
        <v>0.92</v>
      </c>
      <c r="G64" s="61">
        <v>0.85</v>
      </c>
    </row>
    <row r="65" spans="1:7">
      <c r="A65" s="58" t="s">
        <v>518</v>
      </c>
      <c r="B65" s="59" t="s">
        <v>459</v>
      </c>
      <c r="C65" s="59">
        <v>12</v>
      </c>
      <c r="D65" s="59">
        <v>6</v>
      </c>
      <c r="E65" s="61">
        <v>0.96</v>
      </c>
      <c r="F65" s="61">
        <v>0.92</v>
      </c>
      <c r="G65" s="61">
        <v>0.85</v>
      </c>
    </row>
    <row r="66" spans="1:7">
      <c r="A66" s="58" t="s">
        <v>519</v>
      </c>
      <c r="B66" s="59" t="s">
        <v>459</v>
      </c>
      <c r="C66" s="59">
        <v>12</v>
      </c>
      <c r="D66" s="59">
        <v>6</v>
      </c>
      <c r="E66" s="61">
        <v>0.96</v>
      </c>
      <c r="F66" s="61">
        <v>0.92</v>
      </c>
      <c r="G66" s="61">
        <v>0.85</v>
      </c>
    </row>
    <row r="67" spans="1:7">
      <c r="A67" s="58" t="s">
        <v>520</v>
      </c>
      <c r="B67" s="59" t="s">
        <v>459</v>
      </c>
      <c r="C67" s="59">
        <v>12</v>
      </c>
      <c r="D67" s="59">
        <v>6</v>
      </c>
      <c r="E67" s="61">
        <v>0.96</v>
      </c>
      <c r="F67" s="61">
        <v>0.92</v>
      </c>
      <c r="G67" s="61">
        <v>0.85</v>
      </c>
    </row>
    <row r="68" spans="1:7">
      <c r="A68" s="58" t="s">
        <v>521</v>
      </c>
      <c r="B68" s="59" t="s">
        <v>459</v>
      </c>
      <c r="C68" s="59">
        <v>12</v>
      </c>
      <c r="D68" s="59">
        <v>6</v>
      </c>
      <c r="E68" s="61">
        <v>0.96</v>
      </c>
      <c r="F68" s="61">
        <v>0.92</v>
      </c>
      <c r="G68" s="61">
        <v>0.85</v>
      </c>
    </row>
    <row r="69" spans="1:7">
      <c r="A69" s="58" t="s">
        <v>522</v>
      </c>
      <c r="B69" s="59" t="s">
        <v>459</v>
      </c>
      <c r="C69" s="59">
        <v>12</v>
      </c>
      <c r="D69" s="59">
        <v>6</v>
      </c>
      <c r="E69" s="61">
        <v>0.96</v>
      </c>
      <c r="F69" s="61">
        <v>0.92</v>
      </c>
      <c r="G69" s="61">
        <v>0.85</v>
      </c>
    </row>
    <row r="70" spans="1:7">
      <c r="A70" s="58" t="s">
        <v>523</v>
      </c>
      <c r="B70" s="59" t="s">
        <v>459</v>
      </c>
      <c r="C70" s="59">
        <v>12</v>
      </c>
      <c r="D70" s="59">
        <v>6</v>
      </c>
      <c r="E70" s="61">
        <v>0.96</v>
      </c>
      <c r="F70" s="61">
        <v>0.92</v>
      </c>
      <c r="G70" s="61">
        <v>0.85</v>
      </c>
    </row>
    <row r="71" spans="1:7">
      <c r="A71" s="58" t="s">
        <v>524</v>
      </c>
      <c r="B71" s="59" t="s">
        <v>459</v>
      </c>
      <c r="C71" s="59">
        <v>12</v>
      </c>
      <c r="D71" s="59">
        <v>6</v>
      </c>
      <c r="E71" s="61">
        <v>0.96</v>
      </c>
      <c r="F71" s="61">
        <v>0.92</v>
      </c>
      <c r="G71" s="61">
        <v>0.85</v>
      </c>
    </row>
    <row r="72" spans="1:7">
      <c r="A72" s="58" t="s">
        <v>525</v>
      </c>
      <c r="B72" s="59" t="s">
        <v>459</v>
      </c>
      <c r="C72" s="59">
        <v>12</v>
      </c>
      <c r="D72" s="59">
        <v>6</v>
      </c>
      <c r="E72" s="61">
        <v>0.96</v>
      </c>
      <c r="F72" s="61">
        <v>0.92</v>
      </c>
      <c r="G72" s="61">
        <v>0.85</v>
      </c>
    </row>
    <row r="73" spans="1:7">
      <c r="A73" s="58" t="s">
        <v>526</v>
      </c>
      <c r="B73" s="59" t="s">
        <v>459</v>
      </c>
      <c r="C73" s="59">
        <v>12</v>
      </c>
      <c r="D73" s="59">
        <v>6</v>
      </c>
      <c r="E73" s="61">
        <v>0.96</v>
      </c>
      <c r="F73" s="61">
        <v>0.92</v>
      </c>
      <c r="G73" s="61">
        <v>0.85</v>
      </c>
    </row>
    <row r="74" spans="1:7" ht="22.5">
      <c r="A74" s="58" t="s">
        <v>527</v>
      </c>
      <c r="B74" s="59" t="s">
        <v>459</v>
      </c>
      <c r="C74" s="59">
        <v>12</v>
      </c>
      <c r="D74" s="59">
        <v>6</v>
      </c>
      <c r="E74" s="61">
        <v>0.96</v>
      </c>
      <c r="F74" s="61">
        <v>0.92</v>
      </c>
      <c r="G74" s="61">
        <v>0.85</v>
      </c>
    </row>
    <row r="75" spans="1:7" ht="22.5">
      <c r="A75" s="58" t="s">
        <v>528</v>
      </c>
      <c r="B75" s="59" t="s">
        <v>459</v>
      </c>
      <c r="C75" s="59">
        <v>12</v>
      </c>
      <c r="D75" s="59">
        <v>6</v>
      </c>
      <c r="E75" s="61">
        <v>0.96</v>
      </c>
      <c r="F75" s="61">
        <v>0.92</v>
      </c>
      <c r="G75" s="61">
        <v>0.85</v>
      </c>
    </row>
    <row r="76" spans="1:7">
      <c r="A76" s="58" t="s">
        <v>529</v>
      </c>
      <c r="B76" s="59" t="s">
        <v>459</v>
      </c>
      <c r="C76" s="59">
        <v>12</v>
      </c>
      <c r="D76" s="59">
        <v>6</v>
      </c>
      <c r="E76" s="61">
        <v>0.96</v>
      </c>
      <c r="F76" s="61">
        <v>0.92</v>
      </c>
      <c r="G76" s="61">
        <v>0.85</v>
      </c>
    </row>
    <row r="77" spans="1:7">
      <c r="A77" s="58" t="s">
        <v>530</v>
      </c>
      <c r="B77" s="59" t="s">
        <v>459</v>
      </c>
      <c r="C77" s="59">
        <v>12</v>
      </c>
      <c r="D77" s="59">
        <v>6</v>
      </c>
      <c r="E77" s="61">
        <v>0.96</v>
      </c>
      <c r="F77" s="61">
        <v>0.92</v>
      </c>
      <c r="G77" s="61">
        <v>0.85</v>
      </c>
    </row>
    <row r="78" spans="1:7">
      <c r="A78" s="58" t="s">
        <v>531</v>
      </c>
      <c r="B78" s="59" t="s">
        <v>459</v>
      </c>
      <c r="C78" s="59">
        <v>12</v>
      </c>
      <c r="D78" s="59">
        <v>6</v>
      </c>
      <c r="E78" s="61">
        <v>0.96</v>
      </c>
      <c r="F78" s="61">
        <v>0.92</v>
      </c>
      <c r="G78" s="61">
        <v>0.85</v>
      </c>
    </row>
    <row r="79" spans="1:7">
      <c r="A79" s="58" t="s">
        <v>532</v>
      </c>
      <c r="B79" s="59" t="s">
        <v>459</v>
      </c>
      <c r="C79" s="59">
        <v>12</v>
      </c>
      <c r="D79" s="59">
        <v>6</v>
      </c>
      <c r="E79" s="61">
        <v>0.96</v>
      </c>
      <c r="F79" s="61">
        <v>0.92</v>
      </c>
      <c r="G79" s="61">
        <v>0.85</v>
      </c>
    </row>
    <row r="80" spans="1:7">
      <c r="A80" s="58" t="s">
        <v>533</v>
      </c>
      <c r="B80" s="59" t="s">
        <v>459</v>
      </c>
      <c r="C80" s="59">
        <v>12</v>
      </c>
      <c r="D80" s="59">
        <v>6</v>
      </c>
      <c r="E80" s="61">
        <v>0.96</v>
      </c>
      <c r="F80" s="61">
        <v>0.92</v>
      </c>
      <c r="G80" s="61">
        <v>0.85</v>
      </c>
    </row>
    <row r="81" spans="1:7">
      <c r="A81" s="58" t="s">
        <v>534</v>
      </c>
      <c r="B81" s="59" t="s">
        <v>459</v>
      </c>
      <c r="C81" s="59">
        <v>12</v>
      </c>
      <c r="D81" s="59">
        <v>6</v>
      </c>
      <c r="E81" s="61">
        <v>0.96</v>
      </c>
      <c r="F81" s="61">
        <v>0.92</v>
      </c>
      <c r="G81" s="61">
        <v>0.85</v>
      </c>
    </row>
    <row r="82" spans="1:7">
      <c r="A82" s="58" t="s">
        <v>535</v>
      </c>
      <c r="B82" s="59" t="s">
        <v>459</v>
      </c>
      <c r="C82" s="59">
        <v>12</v>
      </c>
      <c r="D82" s="59">
        <v>6</v>
      </c>
      <c r="E82" s="61">
        <v>0.96</v>
      </c>
      <c r="F82" s="61">
        <v>0.92</v>
      </c>
      <c r="G82" s="61">
        <v>0.85</v>
      </c>
    </row>
    <row r="83" spans="1:7">
      <c r="A83" s="58" t="s">
        <v>239</v>
      </c>
      <c r="B83" s="59" t="s">
        <v>459</v>
      </c>
      <c r="C83" s="59">
        <v>12</v>
      </c>
      <c r="D83" s="59">
        <v>6</v>
      </c>
      <c r="E83" s="61">
        <v>0.96</v>
      </c>
      <c r="F83" s="61">
        <v>0.92</v>
      </c>
      <c r="G83" s="61">
        <v>0.85</v>
      </c>
    </row>
    <row r="84" spans="1:7">
      <c r="A84" s="58" t="s">
        <v>536</v>
      </c>
      <c r="B84" s="59" t="s">
        <v>459</v>
      </c>
      <c r="C84" s="59">
        <v>12</v>
      </c>
      <c r="D84" s="59">
        <v>6</v>
      </c>
      <c r="E84" s="61">
        <v>0.96</v>
      </c>
      <c r="F84" s="61">
        <v>0.92</v>
      </c>
      <c r="G84" s="61">
        <v>0.85</v>
      </c>
    </row>
  </sheetData>
  <autoFilter ref="A3:G84" xr:uid="{00000000-0009-0000-0000-000007000000}"/>
  <mergeCells count="5">
    <mergeCell ref="A5:G5"/>
    <mergeCell ref="A3:A4"/>
    <mergeCell ref="B3:B4"/>
    <mergeCell ref="C3:C4"/>
    <mergeCell ref="D3:D4"/>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E6" sqref="AE6"/>
    </sheetView>
  </sheetViews>
  <sheetFormatPr defaultColWidth="12.85546875" defaultRowHeight="12.75"/>
  <cols>
    <col min="1" max="1" width="3.42578125" style="4" customWidth="1"/>
    <col min="2" max="2" width="10.85546875" style="4" customWidth="1"/>
    <col min="3" max="3" width="15.85546875" style="4" customWidth="1"/>
    <col min="4" max="4" width="14.85546875" style="4" customWidth="1"/>
    <col min="5" max="5" width="5.5703125" style="4" customWidth="1"/>
    <col min="6" max="6" width="12.85546875" style="4"/>
    <col min="7" max="7" width="8.85546875" style="4" customWidth="1"/>
    <col min="8" max="8" width="18.140625" style="4" customWidth="1"/>
    <col min="9" max="9" width="7.140625" style="4" customWidth="1"/>
    <col min="10" max="10" width="8.85546875" style="4" customWidth="1"/>
    <col min="11" max="12" width="10.85546875" style="4" customWidth="1"/>
    <col min="13" max="13" width="8.140625" style="4" customWidth="1"/>
    <col min="14" max="14" width="8" style="4" customWidth="1"/>
    <col min="15" max="15" width="9.42578125" style="4" customWidth="1"/>
    <col min="16" max="16" width="10" style="4" customWidth="1"/>
    <col min="17" max="18" width="8.85546875" style="4" customWidth="1"/>
    <col min="19" max="19" width="12.140625" style="4" customWidth="1"/>
    <col min="20" max="20" width="4.140625" style="4" customWidth="1"/>
    <col min="21" max="21" width="10.140625" style="4" customWidth="1"/>
    <col min="22" max="22" width="9.85546875" style="4" customWidth="1"/>
    <col min="23" max="23" width="10.140625" style="4" customWidth="1"/>
    <col min="24" max="24" width="16.85546875" style="4" customWidth="1"/>
    <col min="25" max="25" width="7.140625" style="5" customWidth="1"/>
    <col min="26" max="27" width="12.85546875" style="5" customWidth="1"/>
    <col min="28" max="28" width="11" style="5" customWidth="1"/>
    <col min="29" max="29" width="13.140625" style="6" customWidth="1"/>
    <col min="30" max="30" width="13.140625" style="7" customWidth="1"/>
    <col min="31" max="31" width="12.85546875" style="5"/>
    <col min="32" max="16384" width="12.85546875" style="4"/>
  </cols>
  <sheetData>
    <row r="4" spans="1:31" s="1" customFormat="1" ht="33" customHeight="1">
      <c r="A4" s="860" t="s">
        <v>537</v>
      </c>
      <c r="B4" s="861" t="s">
        <v>118</v>
      </c>
      <c r="C4" s="862" t="s">
        <v>119</v>
      </c>
      <c r="D4" s="862" t="s">
        <v>120</v>
      </c>
      <c r="E4" s="861" t="s">
        <v>121</v>
      </c>
      <c r="F4" s="9"/>
      <c r="G4" s="860" t="s">
        <v>122</v>
      </c>
      <c r="H4" s="860" t="s">
        <v>123</v>
      </c>
      <c r="I4" s="864" t="s">
        <v>124</v>
      </c>
      <c r="J4" s="865" t="s">
        <v>125</v>
      </c>
      <c r="K4" s="866" t="s">
        <v>126</v>
      </c>
      <c r="L4" s="866" t="s">
        <v>128</v>
      </c>
      <c r="M4" s="867" t="s">
        <v>129</v>
      </c>
      <c r="N4" s="855" t="s">
        <v>130</v>
      </c>
      <c r="O4" s="856"/>
      <c r="P4" s="857"/>
      <c r="Q4" s="855" t="s">
        <v>131</v>
      </c>
      <c r="R4" s="858"/>
      <c r="S4" s="858"/>
      <c r="T4" s="858"/>
      <c r="U4" s="858"/>
      <c r="V4" s="859"/>
      <c r="W4" s="853" t="s">
        <v>538</v>
      </c>
      <c r="X4" s="42"/>
      <c r="Y4" s="42"/>
      <c r="Z4" s="42"/>
      <c r="AA4" s="42"/>
      <c r="AB4" s="42"/>
      <c r="AC4" s="53"/>
      <c r="AD4" s="54"/>
      <c r="AE4" s="42"/>
    </row>
    <row r="5" spans="1:31" s="1" customFormat="1" ht="60.75" customHeight="1">
      <c r="A5" s="860"/>
      <c r="B5" s="861"/>
      <c r="C5" s="863"/>
      <c r="D5" s="863"/>
      <c r="E5" s="861"/>
      <c r="F5" s="9" t="s">
        <v>539</v>
      </c>
      <c r="G5" s="860"/>
      <c r="H5" s="860"/>
      <c r="I5" s="864"/>
      <c r="J5" s="865"/>
      <c r="K5" s="866"/>
      <c r="L5" s="866"/>
      <c r="M5" s="867"/>
      <c r="N5" s="8" t="s">
        <v>132</v>
      </c>
      <c r="O5" s="34" t="s">
        <v>133</v>
      </c>
      <c r="P5" s="8" t="s">
        <v>134</v>
      </c>
      <c r="Q5" s="8" t="s">
        <v>132</v>
      </c>
      <c r="R5" s="8" t="s">
        <v>135</v>
      </c>
      <c r="S5" s="38" t="s">
        <v>136</v>
      </c>
      <c r="T5" s="33" t="s">
        <v>137</v>
      </c>
      <c r="U5" s="8" t="s">
        <v>133</v>
      </c>
      <c r="V5" s="43" t="s">
        <v>134</v>
      </c>
      <c r="W5" s="854"/>
      <c r="X5" s="44" t="s">
        <v>135</v>
      </c>
      <c r="Y5" s="42" t="s">
        <v>540</v>
      </c>
      <c r="Z5" s="42" t="s">
        <v>541</v>
      </c>
      <c r="AA5" s="42" t="s">
        <v>542</v>
      </c>
      <c r="AB5" s="42" t="s">
        <v>543</v>
      </c>
      <c r="AC5" s="53" t="s">
        <v>544</v>
      </c>
      <c r="AD5" s="54" t="s">
        <v>545</v>
      </c>
      <c r="AE5" s="42" t="s">
        <v>546</v>
      </c>
    </row>
    <row r="6" spans="1:31" s="2" customFormat="1" ht="25.5">
      <c r="A6" s="10">
        <v>23</v>
      </c>
      <c r="B6" s="11" t="s">
        <v>547</v>
      </c>
      <c r="C6" s="12" t="s">
        <v>548</v>
      </c>
      <c r="D6" s="13">
        <v>12049370</v>
      </c>
      <c r="E6" s="19">
        <v>1811</v>
      </c>
      <c r="F6" s="20"/>
      <c r="G6" s="11" t="s">
        <v>549</v>
      </c>
      <c r="H6" s="21" t="s">
        <v>550</v>
      </c>
      <c r="I6" s="24" t="s">
        <v>154</v>
      </c>
      <c r="J6" s="28">
        <v>1.0416666666666701E-2</v>
      </c>
      <c r="K6" s="29">
        <v>43781</v>
      </c>
      <c r="L6" s="29">
        <v>43795</v>
      </c>
      <c r="M6" s="35">
        <f t="shared" ref="M6:M16" si="0">IF(D6&gt;44999.99,100,ROUNDUP((D6/4999.99)*10,-1))</f>
        <v>100</v>
      </c>
      <c r="N6" s="10" t="s">
        <v>139</v>
      </c>
      <c r="O6" s="36">
        <f t="shared" ref="O6:O16" si="1">IF(N6="Y",M6,0)</f>
        <v>0</v>
      </c>
      <c r="P6" s="10" t="s">
        <v>551</v>
      </c>
      <c r="Q6" s="14" t="s">
        <v>139</v>
      </c>
      <c r="R6" s="39">
        <f t="shared" ref="R6:R16" si="2">L6-K6+1</f>
        <v>15</v>
      </c>
      <c r="S6" s="40">
        <f t="shared" ref="S6:S7" si="3">WORKDAY(K6,6,tarikhcuti)</f>
        <v>43789</v>
      </c>
      <c r="T6" s="39">
        <f t="shared" ref="T6:T7" si="4">IF(L6&gt;S6,L6-S6,0)</f>
        <v>6</v>
      </c>
      <c r="U6" s="45">
        <f t="shared" ref="U6:U16" si="5">M6*T6</f>
        <v>600</v>
      </c>
      <c r="V6" s="46"/>
      <c r="W6" s="47" t="s">
        <v>552</v>
      </c>
      <c r="X6" s="39">
        <f>R6</f>
        <v>15</v>
      </c>
      <c r="Y6" s="51">
        <v>24</v>
      </c>
      <c r="Z6" s="51">
        <f>X6*Y6</f>
        <v>360</v>
      </c>
      <c r="AA6" s="51">
        <v>8072</v>
      </c>
      <c r="AB6" s="51">
        <f>AA6-Z6</f>
        <v>7712</v>
      </c>
      <c r="AC6" s="55">
        <f>AB6/8072</f>
        <v>0.95540138751238801</v>
      </c>
      <c r="AD6" s="56">
        <v>0.92</v>
      </c>
      <c r="AE6" s="51" t="s">
        <v>78</v>
      </c>
    </row>
    <row r="7" spans="1:31" s="3" customFormat="1" ht="25.5">
      <c r="A7" s="14">
        <v>1</v>
      </c>
      <c r="B7" s="15" t="s">
        <v>553</v>
      </c>
      <c r="C7" s="16" t="s">
        <v>144</v>
      </c>
      <c r="D7" s="13">
        <v>10825</v>
      </c>
      <c r="E7" s="22">
        <v>1655</v>
      </c>
      <c r="F7" s="23"/>
      <c r="G7" s="16" t="s">
        <v>554</v>
      </c>
      <c r="H7" s="16" t="s">
        <v>555</v>
      </c>
      <c r="I7" s="15" t="s">
        <v>154</v>
      </c>
      <c r="J7" s="30">
        <v>2.5694444444444499E-2</v>
      </c>
      <c r="K7" s="31">
        <v>43774</v>
      </c>
      <c r="L7" s="31">
        <v>43799</v>
      </c>
      <c r="M7" s="35">
        <f t="shared" si="0"/>
        <v>30</v>
      </c>
      <c r="N7" s="14" t="s">
        <v>139</v>
      </c>
      <c r="O7" s="36">
        <f t="shared" si="1"/>
        <v>0</v>
      </c>
      <c r="P7" s="14" t="s">
        <v>551</v>
      </c>
      <c r="Q7" s="14" t="s">
        <v>140</v>
      </c>
      <c r="R7" s="39">
        <f t="shared" si="2"/>
        <v>26</v>
      </c>
      <c r="S7" s="41">
        <f t="shared" si="3"/>
        <v>43782</v>
      </c>
      <c r="T7" s="39">
        <f t="shared" si="4"/>
        <v>17</v>
      </c>
      <c r="U7" s="45">
        <f t="shared" si="5"/>
        <v>510</v>
      </c>
      <c r="V7" s="48"/>
      <c r="W7" s="49" t="s">
        <v>552</v>
      </c>
      <c r="X7" s="39">
        <f t="shared" ref="X7:X16" si="6">R7</f>
        <v>26</v>
      </c>
      <c r="Y7" s="51">
        <v>24</v>
      </c>
      <c r="Z7" s="51">
        <f t="shared" ref="Z7:Z16" si="7">X7*Y7</f>
        <v>624</v>
      </c>
      <c r="AA7" s="52">
        <v>8072</v>
      </c>
      <c r="AB7" s="51">
        <f t="shared" ref="AB7:AB16" si="8">AA7-Z7</f>
        <v>7448</v>
      </c>
      <c r="AC7" s="55">
        <f t="shared" ref="AC7:AC16" si="9">AB7/8072</f>
        <v>0.922695738354807</v>
      </c>
      <c r="AD7" s="56">
        <v>0.95</v>
      </c>
      <c r="AE7" s="52" t="s">
        <v>556</v>
      </c>
    </row>
    <row r="8" spans="1:31" s="3" customFormat="1" ht="51">
      <c r="A8" s="14">
        <f>A7+1</f>
        <v>2</v>
      </c>
      <c r="B8" s="17" t="s">
        <v>557</v>
      </c>
      <c r="C8" s="17" t="s">
        <v>558</v>
      </c>
      <c r="D8" s="18">
        <v>3557530</v>
      </c>
      <c r="E8" s="24">
        <v>1172</v>
      </c>
      <c r="F8" s="25"/>
      <c r="G8" s="26" t="s">
        <v>559</v>
      </c>
      <c r="H8" s="27" t="s">
        <v>560</v>
      </c>
      <c r="I8" s="24" t="s">
        <v>154</v>
      </c>
      <c r="J8" s="32">
        <v>2.0833333333333402E-2</v>
      </c>
      <c r="K8" s="31">
        <v>43770</v>
      </c>
      <c r="L8" s="29">
        <v>43782</v>
      </c>
      <c r="M8" s="35">
        <f t="shared" si="0"/>
        <v>100</v>
      </c>
      <c r="N8" s="10" t="s">
        <v>139</v>
      </c>
      <c r="O8" s="37">
        <f t="shared" si="1"/>
        <v>0</v>
      </c>
      <c r="P8" s="10" t="s">
        <v>551</v>
      </c>
      <c r="Q8" s="14" t="s">
        <v>139</v>
      </c>
      <c r="R8" s="39">
        <f t="shared" si="2"/>
        <v>13</v>
      </c>
      <c r="S8" s="40">
        <v>43763</v>
      </c>
      <c r="T8" s="39">
        <f>R8</f>
        <v>13</v>
      </c>
      <c r="U8" s="45">
        <f t="shared" si="5"/>
        <v>1300</v>
      </c>
      <c r="V8" s="46"/>
      <c r="W8" s="49" t="s">
        <v>552</v>
      </c>
      <c r="X8" s="39">
        <f t="shared" si="6"/>
        <v>13</v>
      </c>
      <c r="Y8" s="51">
        <v>24</v>
      </c>
      <c r="Z8" s="51">
        <f t="shared" si="7"/>
        <v>312</v>
      </c>
      <c r="AA8" s="52">
        <v>8072</v>
      </c>
      <c r="AB8" s="51">
        <f t="shared" si="8"/>
        <v>7760</v>
      </c>
      <c r="AC8" s="55">
        <f t="shared" si="9"/>
        <v>0.961347869177403</v>
      </c>
      <c r="AD8" s="56">
        <v>0.95</v>
      </c>
      <c r="AE8" s="52" t="s">
        <v>78</v>
      </c>
    </row>
    <row r="9" spans="1:31" s="3" customFormat="1" ht="51">
      <c r="A9" s="14">
        <f t="shared" ref="A9:A16" si="10">A8+1</f>
        <v>3</v>
      </c>
      <c r="B9" s="17" t="s">
        <v>561</v>
      </c>
      <c r="C9" s="17" t="s">
        <v>558</v>
      </c>
      <c r="D9" s="18">
        <v>3557530</v>
      </c>
      <c r="E9" s="24">
        <v>1173</v>
      </c>
      <c r="F9" s="25"/>
      <c r="G9" s="26" t="s">
        <v>559</v>
      </c>
      <c r="H9" s="27" t="s">
        <v>560</v>
      </c>
      <c r="I9" s="24" t="s">
        <v>154</v>
      </c>
      <c r="J9" s="32">
        <v>1.3888888888888999E-2</v>
      </c>
      <c r="K9" s="31">
        <v>43770</v>
      </c>
      <c r="L9" s="29">
        <v>43782</v>
      </c>
      <c r="M9" s="35">
        <f t="shared" si="0"/>
        <v>100</v>
      </c>
      <c r="N9" s="10" t="s">
        <v>139</v>
      </c>
      <c r="O9" s="37">
        <f t="shared" si="1"/>
        <v>0</v>
      </c>
      <c r="P9" s="10" t="s">
        <v>551</v>
      </c>
      <c r="Q9" s="14" t="s">
        <v>139</v>
      </c>
      <c r="R9" s="39">
        <f t="shared" si="2"/>
        <v>13</v>
      </c>
      <c r="S9" s="40">
        <v>43763</v>
      </c>
      <c r="T9" s="39">
        <f t="shared" ref="T9:T16" si="11">R9</f>
        <v>13</v>
      </c>
      <c r="U9" s="45">
        <f t="shared" si="5"/>
        <v>1300</v>
      </c>
      <c r="V9" s="46"/>
      <c r="W9" s="49" t="s">
        <v>552</v>
      </c>
      <c r="X9" s="39">
        <f t="shared" si="6"/>
        <v>13</v>
      </c>
      <c r="Y9" s="51">
        <v>24</v>
      </c>
      <c r="Z9" s="51">
        <f t="shared" si="7"/>
        <v>312</v>
      </c>
      <c r="AA9" s="52">
        <v>8072</v>
      </c>
      <c r="AB9" s="51">
        <f t="shared" si="8"/>
        <v>7760</v>
      </c>
      <c r="AC9" s="55">
        <f t="shared" si="9"/>
        <v>0.961347869177403</v>
      </c>
      <c r="AD9" s="56">
        <v>0.95</v>
      </c>
      <c r="AE9" s="52" t="s">
        <v>78</v>
      </c>
    </row>
    <row r="10" spans="1:31" s="3" customFormat="1" ht="51">
      <c r="A10" s="14">
        <f t="shared" si="10"/>
        <v>4</v>
      </c>
      <c r="B10" s="17" t="s">
        <v>253</v>
      </c>
      <c r="C10" s="17" t="s">
        <v>246</v>
      </c>
      <c r="D10" s="18">
        <v>28630</v>
      </c>
      <c r="E10" s="24">
        <v>1449</v>
      </c>
      <c r="F10" s="25"/>
      <c r="G10" s="26" t="s">
        <v>562</v>
      </c>
      <c r="H10" s="27" t="s">
        <v>563</v>
      </c>
      <c r="I10" s="24" t="s">
        <v>154</v>
      </c>
      <c r="J10" s="32">
        <v>2.7777777777777801E-2</v>
      </c>
      <c r="K10" s="31">
        <v>43770</v>
      </c>
      <c r="L10" s="29">
        <v>43775</v>
      </c>
      <c r="M10" s="35">
        <f t="shared" si="0"/>
        <v>60</v>
      </c>
      <c r="N10" s="10" t="s">
        <v>139</v>
      </c>
      <c r="O10" s="37">
        <f t="shared" si="1"/>
        <v>0</v>
      </c>
      <c r="P10" s="10" t="s">
        <v>551</v>
      </c>
      <c r="Q10" s="14" t="s">
        <v>139</v>
      </c>
      <c r="R10" s="39">
        <f t="shared" si="2"/>
        <v>6</v>
      </c>
      <c r="S10" s="40">
        <v>43774</v>
      </c>
      <c r="T10" s="39">
        <f t="shared" si="11"/>
        <v>6</v>
      </c>
      <c r="U10" s="45">
        <f t="shared" si="5"/>
        <v>360</v>
      </c>
      <c r="V10" s="46"/>
      <c r="W10" s="49" t="s">
        <v>552</v>
      </c>
      <c r="X10" s="39">
        <f t="shared" si="6"/>
        <v>6</v>
      </c>
      <c r="Y10" s="51">
        <v>24</v>
      </c>
      <c r="Z10" s="51">
        <f t="shared" si="7"/>
        <v>144</v>
      </c>
      <c r="AA10" s="52">
        <v>8072</v>
      </c>
      <c r="AB10" s="51">
        <f t="shared" si="8"/>
        <v>7928</v>
      </c>
      <c r="AC10" s="55">
        <f t="shared" si="9"/>
        <v>0.98216055500495503</v>
      </c>
      <c r="AD10" s="56">
        <v>0.92</v>
      </c>
      <c r="AE10" s="52" t="s">
        <v>78</v>
      </c>
    </row>
    <row r="11" spans="1:31" s="3" customFormat="1" ht="25.5">
      <c r="A11" s="14">
        <f t="shared" si="10"/>
        <v>5</v>
      </c>
      <c r="B11" s="17" t="s">
        <v>564</v>
      </c>
      <c r="C11" s="17" t="s">
        <v>565</v>
      </c>
      <c r="D11" s="18">
        <v>12049370</v>
      </c>
      <c r="E11" s="24">
        <v>1471</v>
      </c>
      <c r="F11" s="25"/>
      <c r="G11" s="26" t="s">
        <v>559</v>
      </c>
      <c r="H11" s="27" t="s">
        <v>566</v>
      </c>
      <c r="I11" s="24" t="s">
        <v>154</v>
      </c>
      <c r="J11" s="32">
        <v>6.5972222222222196E-2</v>
      </c>
      <c r="K11" s="31">
        <v>43770</v>
      </c>
      <c r="L11" s="29">
        <v>43773</v>
      </c>
      <c r="M11" s="35">
        <f t="shared" si="0"/>
        <v>100</v>
      </c>
      <c r="N11" s="10" t="s">
        <v>139</v>
      </c>
      <c r="O11" s="37">
        <f t="shared" si="1"/>
        <v>0</v>
      </c>
      <c r="P11" s="10" t="s">
        <v>551</v>
      </c>
      <c r="Q11" s="14" t="s">
        <v>139</v>
      </c>
      <c r="R11" s="39">
        <f t="shared" si="2"/>
        <v>4</v>
      </c>
      <c r="S11" s="40">
        <v>43775</v>
      </c>
      <c r="T11" s="39">
        <f t="shared" si="11"/>
        <v>4</v>
      </c>
      <c r="U11" s="45">
        <f t="shared" si="5"/>
        <v>400</v>
      </c>
      <c r="V11" s="46"/>
      <c r="W11" s="49" t="s">
        <v>552</v>
      </c>
      <c r="X11" s="39">
        <f t="shared" si="6"/>
        <v>4</v>
      </c>
      <c r="Y11" s="51">
        <v>24</v>
      </c>
      <c r="Z11" s="51">
        <f t="shared" si="7"/>
        <v>96</v>
      </c>
      <c r="AA11" s="52">
        <v>8072</v>
      </c>
      <c r="AB11" s="51">
        <f t="shared" si="8"/>
        <v>7976</v>
      </c>
      <c r="AC11" s="55">
        <f t="shared" si="9"/>
        <v>0.98810703666997002</v>
      </c>
      <c r="AD11" s="56">
        <v>0.92</v>
      </c>
      <c r="AE11" s="52" t="s">
        <v>78</v>
      </c>
    </row>
    <row r="12" spans="1:31" s="3" customFormat="1" ht="51">
      <c r="A12" s="14">
        <f t="shared" si="10"/>
        <v>6</v>
      </c>
      <c r="B12" s="17" t="s">
        <v>567</v>
      </c>
      <c r="C12" s="17" t="s">
        <v>246</v>
      </c>
      <c r="D12" s="18">
        <v>28630</v>
      </c>
      <c r="E12" s="24">
        <v>1476</v>
      </c>
      <c r="F12" s="25"/>
      <c r="G12" s="26" t="s">
        <v>568</v>
      </c>
      <c r="H12" s="27" t="s">
        <v>569</v>
      </c>
      <c r="I12" s="24" t="s">
        <v>154</v>
      </c>
      <c r="J12" s="32">
        <v>2.36111111111111E-2</v>
      </c>
      <c r="K12" s="31">
        <v>43770</v>
      </c>
      <c r="L12" s="29">
        <v>43775</v>
      </c>
      <c r="M12" s="35">
        <f t="shared" si="0"/>
        <v>60</v>
      </c>
      <c r="N12" s="10" t="s">
        <v>139</v>
      </c>
      <c r="O12" s="37">
        <f t="shared" si="1"/>
        <v>0</v>
      </c>
      <c r="P12" s="10" t="s">
        <v>551</v>
      </c>
      <c r="Q12" s="14" t="s">
        <v>139</v>
      </c>
      <c r="R12" s="39">
        <f t="shared" si="2"/>
        <v>6</v>
      </c>
      <c r="S12" s="40">
        <v>43775</v>
      </c>
      <c r="T12" s="39">
        <f t="shared" si="11"/>
        <v>6</v>
      </c>
      <c r="U12" s="45">
        <f t="shared" si="5"/>
        <v>360</v>
      </c>
      <c r="V12" s="46"/>
      <c r="W12" s="49" t="e">
        <v>#N/A</v>
      </c>
      <c r="X12" s="39">
        <f t="shared" si="6"/>
        <v>6</v>
      </c>
      <c r="Y12" s="51">
        <v>24</v>
      </c>
      <c r="Z12" s="51">
        <f t="shared" si="7"/>
        <v>144</v>
      </c>
      <c r="AA12" s="52">
        <v>8072</v>
      </c>
      <c r="AB12" s="51">
        <f t="shared" si="8"/>
        <v>7928</v>
      </c>
      <c r="AC12" s="55">
        <f t="shared" si="9"/>
        <v>0.98216055500495503</v>
      </c>
      <c r="AD12" s="56">
        <v>0.92</v>
      </c>
      <c r="AE12" s="52" t="s">
        <v>78</v>
      </c>
    </row>
    <row r="13" spans="1:31" s="3" customFormat="1" ht="38.25">
      <c r="A13" s="14">
        <f t="shared" si="10"/>
        <v>7</v>
      </c>
      <c r="B13" s="17" t="s">
        <v>241</v>
      </c>
      <c r="C13" s="17" t="s">
        <v>240</v>
      </c>
      <c r="D13" s="18">
        <v>4510</v>
      </c>
      <c r="E13" s="24">
        <v>1496</v>
      </c>
      <c r="F13" s="25"/>
      <c r="G13" s="26" t="s">
        <v>568</v>
      </c>
      <c r="H13" s="27" t="s">
        <v>570</v>
      </c>
      <c r="I13" s="24" t="s">
        <v>154</v>
      </c>
      <c r="J13" s="32">
        <v>1.04166666666666E-2</v>
      </c>
      <c r="K13" s="31">
        <v>43770</v>
      </c>
      <c r="L13" s="29">
        <v>43775</v>
      </c>
      <c r="M13" s="35">
        <f t="shared" si="0"/>
        <v>10</v>
      </c>
      <c r="N13" s="10" t="s">
        <v>139</v>
      </c>
      <c r="O13" s="37">
        <f t="shared" si="1"/>
        <v>0</v>
      </c>
      <c r="P13" s="10" t="s">
        <v>551</v>
      </c>
      <c r="Q13" s="14" t="s">
        <v>139</v>
      </c>
      <c r="R13" s="39">
        <f t="shared" si="2"/>
        <v>6</v>
      </c>
      <c r="S13" s="40">
        <v>43775</v>
      </c>
      <c r="T13" s="39">
        <f t="shared" si="11"/>
        <v>6</v>
      </c>
      <c r="U13" s="45">
        <f t="shared" si="5"/>
        <v>60</v>
      </c>
      <c r="V13" s="46"/>
      <c r="W13" s="49" t="s">
        <v>552</v>
      </c>
      <c r="X13" s="39">
        <f t="shared" si="6"/>
        <v>6</v>
      </c>
      <c r="Y13" s="51">
        <v>24</v>
      </c>
      <c r="Z13" s="51">
        <f t="shared" si="7"/>
        <v>144</v>
      </c>
      <c r="AA13" s="52">
        <v>8072</v>
      </c>
      <c r="AB13" s="51">
        <f t="shared" si="8"/>
        <v>7928</v>
      </c>
      <c r="AC13" s="55">
        <f t="shared" si="9"/>
        <v>0.98216055500495503</v>
      </c>
      <c r="AD13" s="56">
        <v>0.92</v>
      </c>
      <c r="AE13" s="52" t="s">
        <v>78</v>
      </c>
    </row>
    <row r="14" spans="1:31" s="3" customFormat="1" ht="51">
      <c r="A14" s="14">
        <f t="shared" si="10"/>
        <v>8</v>
      </c>
      <c r="B14" s="17" t="s">
        <v>571</v>
      </c>
      <c r="C14" s="17" t="s">
        <v>251</v>
      </c>
      <c r="D14" s="18">
        <v>1044560</v>
      </c>
      <c r="E14" s="24">
        <v>1535</v>
      </c>
      <c r="F14" s="25"/>
      <c r="G14" s="26" t="s">
        <v>572</v>
      </c>
      <c r="H14" s="27" t="s">
        <v>573</v>
      </c>
      <c r="I14" s="24" t="s">
        <v>154</v>
      </c>
      <c r="J14" s="32">
        <v>1.7361111111111199E-2</v>
      </c>
      <c r="K14" s="31">
        <v>43770</v>
      </c>
      <c r="L14" s="29">
        <v>43773</v>
      </c>
      <c r="M14" s="35">
        <f t="shared" si="0"/>
        <v>100</v>
      </c>
      <c r="N14" s="10" t="s">
        <v>139</v>
      </c>
      <c r="O14" s="37">
        <f t="shared" si="1"/>
        <v>0</v>
      </c>
      <c r="P14" s="10" t="s">
        <v>551</v>
      </c>
      <c r="Q14" s="14" t="s">
        <v>139</v>
      </c>
      <c r="R14" s="39">
        <f t="shared" si="2"/>
        <v>4</v>
      </c>
      <c r="S14" s="40">
        <v>43776</v>
      </c>
      <c r="T14" s="39">
        <f t="shared" si="11"/>
        <v>4</v>
      </c>
      <c r="U14" s="45">
        <f t="shared" si="5"/>
        <v>400</v>
      </c>
      <c r="V14" s="46"/>
      <c r="W14" s="49" t="s">
        <v>552</v>
      </c>
      <c r="X14" s="39">
        <f t="shared" si="6"/>
        <v>4</v>
      </c>
      <c r="Y14" s="51">
        <v>24</v>
      </c>
      <c r="Z14" s="51">
        <f t="shared" si="7"/>
        <v>96</v>
      </c>
      <c r="AA14" s="52">
        <v>8072</v>
      </c>
      <c r="AB14" s="51">
        <f t="shared" si="8"/>
        <v>7976</v>
      </c>
      <c r="AC14" s="55">
        <f t="shared" si="9"/>
        <v>0.98810703666997002</v>
      </c>
      <c r="AD14" s="56">
        <v>0.95</v>
      </c>
      <c r="AE14" s="52" t="s">
        <v>78</v>
      </c>
    </row>
    <row r="15" spans="1:31" s="3" customFormat="1" ht="25.5">
      <c r="A15" s="14">
        <f t="shared" si="10"/>
        <v>9</v>
      </c>
      <c r="B15" s="17" t="s">
        <v>574</v>
      </c>
      <c r="C15" s="17" t="s">
        <v>575</v>
      </c>
      <c r="D15" s="18">
        <v>3191750</v>
      </c>
      <c r="E15" s="24">
        <v>1550</v>
      </c>
      <c r="F15" s="25"/>
      <c r="G15" s="26" t="s">
        <v>576</v>
      </c>
      <c r="H15" s="27" t="s">
        <v>577</v>
      </c>
      <c r="I15" s="24" t="s">
        <v>154</v>
      </c>
      <c r="J15" s="32">
        <v>3.4722222222222099E-3</v>
      </c>
      <c r="K15" s="31">
        <v>43770</v>
      </c>
      <c r="L15" s="29">
        <v>43773</v>
      </c>
      <c r="M15" s="35">
        <f t="shared" si="0"/>
        <v>100</v>
      </c>
      <c r="N15" s="10" t="s">
        <v>139</v>
      </c>
      <c r="O15" s="37">
        <f t="shared" si="1"/>
        <v>0</v>
      </c>
      <c r="P15" s="10" t="s">
        <v>551</v>
      </c>
      <c r="Q15" s="14" t="s">
        <v>139</v>
      </c>
      <c r="R15" s="39">
        <f t="shared" si="2"/>
        <v>4</v>
      </c>
      <c r="S15" s="40">
        <v>43777</v>
      </c>
      <c r="T15" s="39">
        <f t="shared" si="11"/>
        <v>4</v>
      </c>
      <c r="U15" s="45">
        <f t="shared" si="5"/>
        <v>400</v>
      </c>
      <c r="V15" s="46"/>
      <c r="W15" s="49" t="s">
        <v>552</v>
      </c>
      <c r="X15" s="39">
        <f t="shared" si="6"/>
        <v>4</v>
      </c>
      <c r="Y15" s="51">
        <v>24</v>
      </c>
      <c r="Z15" s="51">
        <f t="shared" si="7"/>
        <v>96</v>
      </c>
      <c r="AA15" s="52">
        <v>8072</v>
      </c>
      <c r="AB15" s="51">
        <f t="shared" si="8"/>
        <v>7976</v>
      </c>
      <c r="AC15" s="55">
        <f t="shared" si="9"/>
        <v>0.98810703666997002</v>
      </c>
      <c r="AD15" s="56">
        <v>0.92</v>
      </c>
      <c r="AE15" s="52" t="s">
        <v>78</v>
      </c>
    </row>
    <row r="16" spans="1:31" s="3" customFormat="1" ht="63.75">
      <c r="A16" s="14">
        <f t="shared" si="10"/>
        <v>10</v>
      </c>
      <c r="B16" s="17" t="s">
        <v>578</v>
      </c>
      <c r="C16" s="17" t="s">
        <v>579</v>
      </c>
      <c r="D16" s="18">
        <v>3191750</v>
      </c>
      <c r="E16" s="24">
        <v>1565</v>
      </c>
      <c r="F16" s="24"/>
      <c r="G16" s="26" t="s">
        <v>572</v>
      </c>
      <c r="H16" s="27" t="s">
        <v>580</v>
      </c>
      <c r="I16" s="24" t="s">
        <v>154</v>
      </c>
      <c r="J16" s="32">
        <v>0</v>
      </c>
      <c r="K16" s="31">
        <v>43770</v>
      </c>
      <c r="L16" s="29">
        <v>43773</v>
      </c>
      <c r="M16" s="35">
        <f t="shared" si="0"/>
        <v>100</v>
      </c>
      <c r="N16" s="10" t="s">
        <v>139</v>
      </c>
      <c r="O16" s="37">
        <f t="shared" si="1"/>
        <v>0</v>
      </c>
      <c r="P16" s="10" t="s">
        <v>551</v>
      </c>
      <c r="Q16" s="14" t="s">
        <v>139</v>
      </c>
      <c r="R16" s="39">
        <f t="shared" si="2"/>
        <v>4</v>
      </c>
      <c r="S16" s="40">
        <v>43777</v>
      </c>
      <c r="T16" s="39">
        <f t="shared" si="11"/>
        <v>4</v>
      </c>
      <c r="U16" s="45">
        <f t="shared" si="5"/>
        <v>400</v>
      </c>
      <c r="V16" s="46"/>
      <c r="W16" s="49" t="s">
        <v>552</v>
      </c>
      <c r="X16" s="39">
        <f t="shared" si="6"/>
        <v>4</v>
      </c>
      <c r="Y16" s="51">
        <v>24</v>
      </c>
      <c r="Z16" s="51">
        <f t="shared" si="7"/>
        <v>96</v>
      </c>
      <c r="AA16" s="52">
        <v>8072</v>
      </c>
      <c r="AB16" s="51">
        <f t="shared" si="8"/>
        <v>7976</v>
      </c>
      <c r="AC16" s="55">
        <f t="shared" si="9"/>
        <v>0.98810703666997002</v>
      </c>
      <c r="AD16" s="56">
        <v>0.92</v>
      </c>
      <c r="AE16" s="52" t="s">
        <v>78</v>
      </c>
    </row>
    <row r="17" spans="21:21">
      <c r="U17" s="50">
        <f>SUM(U6:U16)</f>
        <v>6090</v>
      </c>
    </row>
  </sheetData>
  <mergeCells count="15">
    <mergeCell ref="W4:W5"/>
    <mergeCell ref="N4:P4"/>
    <mergeCell ref="Q4:V4"/>
    <mergeCell ref="A4:A5"/>
    <mergeCell ref="B4:B5"/>
    <mergeCell ref="C4:C5"/>
    <mergeCell ref="D4:D5"/>
    <mergeCell ref="E4:E5"/>
    <mergeCell ref="G4:G5"/>
    <mergeCell ref="H4:H5"/>
    <mergeCell ref="I4:I5"/>
    <mergeCell ref="J4:J5"/>
    <mergeCell ref="K4:K5"/>
    <mergeCell ref="L4:L5"/>
    <mergeCell ref="M4: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BEMSdar</vt:lpstr>
      <vt:lpstr>B1&amp;B2 UNSCHEDULED</vt:lpstr>
      <vt:lpstr>B3-SCHEDULED</vt:lpstr>
      <vt:lpstr>B4-UPTIME</vt:lpstr>
      <vt:lpstr>B5-T&amp;C</vt:lpstr>
      <vt:lpstr>KDI</vt:lpstr>
      <vt:lpstr>Public Holiday</vt:lpstr>
      <vt:lpstr>Sheet1</vt:lpstr>
      <vt:lpstr>Sheet2</vt:lpstr>
      <vt:lpstr>'B1&amp;B2 UNSCHEDULED'!AKHIR</vt:lpstr>
      <vt:lpstr>'B1&amp;B2 UNSCHEDULED'!AWAL</vt:lpstr>
      <vt:lpstr>cuti</vt:lpstr>
      <vt:lpstr>'B1&amp;B2 UNSCHEDULED'!hujung</vt:lpstr>
      <vt:lpstr>Sheet1!OLE_LINK2</vt:lpstr>
      <vt:lpstr>'B1&amp;B2 UNSCHEDULED'!Print_Area</vt:lpstr>
      <vt:lpstr>'B3-SCHEDULED'!Print_Area</vt:lpstr>
      <vt:lpstr>'B4-UPTIME'!Print_Area</vt:lpstr>
      <vt:lpstr>'B5-T&amp;C'!Print_Area</vt:lpstr>
      <vt:lpstr>BEMSdar!Print_Area</vt:lpstr>
      <vt:lpstr>KDI!Print_Area</vt:lpstr>
      <vt:lpstr>'B1&amp;B2 UNSCHEDULED'!Print_Titles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mohd khidir</cp:lastModifiedBy>
  <cp:lastPrinted>2026-05-08T01:27:02Z</cp:lastPrinted>
  <dcterms:created xsi:type="dcterms:W3CDTF">2016-04-17T03:55:00Z</dcterms:created>
  <dcterms:modified xsi:type="dcterms:W3CDTF">2026-06-08T12:47:40Z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D5CA3DA5F187A319CA10866907F8FFC9_42</vt:lpwstr>
  </property>
  <property fmtid="{D5CDD505-2E9C-101B-9397-08002B2CF9AE}" pid="3" name="KSOProductBuildVer">
    <vt:lpwstr>1033-12.8.2.22595</vt:lpwstr>
  </property>
</Properties>
</file>